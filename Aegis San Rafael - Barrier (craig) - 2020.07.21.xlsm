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hx4\Documents\GitHub\graphical-acoustic-calcs\"/>
    </mc:Choice>
  </mc:AlternateContent>
  <xr:revisionPtr revIDLastSave="0" documentId="13_ncr:1_{9EB15802-6A20-4B52-B80E-D8F1F71A532A}" xr6:coauthVersionLast="45" xr6:coauthVersionMax="45" xr10:uidLastSave="{00000000-0000-0000-0000-000000000000}"/>
  <bookViews>
    <workbookView xWindow="-108" yWindow="-108" windowWidth="30936" windowHeight="16896" activeTab="1" xr2:uid="{F529526F-B3F3-44C6-A118-5F588F5E7EB3}"/>
  </bookViews>
  <sheets>
    <sheet name="M. Long TOB" sheetId="8" r:id="rId1"/>
    <sheet name="M. Long OB" sheetId="15" r:id="rId2"/>
    <sheet name="ARI (manual)" sheetId="11" r:id="rId3"/>
    <sheet name="ARI (manual) (2)" sheetId="14" r:id="rId4"/>
    <sheet name="ARI (auto)" sheetId="13" r:id="rId5"/>
    <sheet name="barrier to receiver list" sheetId="1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15" l="1"/>
  <c r="J7" i="15"/>
  <c r="J8" i="15"/>
  <c r="J9" i="15"/>
  <c r="J10" i="15"/>
  <c r="J11" i="15"/>
  <c r="J12" i="15"/>
  <c r="J5" i="15"/>
  <c r="C8" i="15"/>
  <c r="C7" i="15"/>
  <c r="C6" i="15"/>
  <c r="C5" i="15"/>
  <c r="C9" i="15"/>
  <c r="H6" i="15"/>
  <c r="H7" i="15"/>
  <c r="H8" i="15"/>
  <c r="H9" i="15"/>
  <c r="H10" i="15"/>
  <c r="H11" i="15"/>
  <c r="H12" i="15"/>
  <c r="H5" i="15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3" i="16"/>
  <c r="A4" i="16"/>
  <c r="A2" i="16"/>
  <c r="C6" i="13" l="1"/>
  <c r="D6" i="13" s="1"/>
  <c r="F5" i="13" l="1"/>
  <c r="F6" i="13"/>
  <c r="H8" i="13" l="1"/>
  <c r="H7" i="13"/>
  <c r="C33" i="15"/>
  <c r="C32" i="15"/>
  <c r="C24" i="15"/>
  <c r="C23" i="15"/>
  <c r="U12" i="15"/>
  <c r="Y10" i="15" s="1"/>
  <c r="C11" i="15"/>
  <c r="Q38" i="8"/>
  <c r="V10" i="15" l="1"/>
  <c r="R12" i="14" l="1"/>
  <c r="V10" i="14" s="1"/>
  <c r="C11" i="14"/>
  <c r="S10" i="14"/>
  <c r="C9" i="14"/>
  <c r="T8" i="14"/>
  <c r="S8" i="14"/>
  <c r="V9" i="14" s="1"/>
  <c r="C8" i="14"/>
  <c r="C12" i="14" s="1"/>
  <c r="T7" i="14"/>
  <c r="S7" i="14"/>
  <c r="T6" i="14"/>
  <c r="T9" i="14" s="1"/>
  <c r="V7" i="14" s="1"/>
  <c r="V8" i="14" l="1"/>
  <c r="C10" i="14"/>
  <c r="V6" i="14"/>
  <c r="R12" i="11"/>
  <c r="F38" i="14" l="1"/>
  <c r="V5" i="14"/>
  <c r="E6" i="13"/>
  <c r="E5" i="13"/>
  <c r="D5" i="13"/>
  <c r="E3" i="13"/>
  <c r="F3" i="13"/>
  <c r="T6" i="13" s="1"/>
  <c r="T9" i="13" s="1"/>
  <c r="V7" i="13" s="1"/>
  <c r="D3" i="13"/>
  <c r="E4" i="13"/>
  <c r="F4" i="13"/>
  <c r="T8" i="13" s="1"/>
  <c r="D4" i="13"/>
  <c r="R12" i="13"/>
  <c r="V10" i="13" s="1"/>
  <c r="S10" i="13"/>
  <c r="H9" i="13" l="1"/>
  <c r="H10" i="13" s="1"/>
  <c r="C7" i="13"/>
  <c r="C10" i="13" s="1"/>
  <c r="F39" i="14"/>
  <c r="G38" i="14" s="1"/>
  <c r="F40" i="14"/>
  <c r="F8" i="13"/>
  <c r="E8" i="13"/>
  <c r="E10" i="13" s="1"/>
  <c r="F10" i="13"/>
  <c r="F7" i="13"/>
  <c r="E7" i="13"/>
  <c r="F9" i="13"/>
  <c r="V10" i="11"/>
  <c r="C9" i="11"/>
  <c r="C8" i="11"/>
  <c r="C12" i="11" s="1"/>
  <c r="C11" i="11"/>
  <c r="T8" i="11"/>
  <c r="S8" i="11"/>
  <c r="T7" i="11"/>
  <c r="S7" i="11"/>
  <c r="T6" i="11"/>
  <c r="T9" i="11" s="1"/>
  <c r="V7" i="11" s="1"/>
  <c r="E9" i="13" l="1"/>
  <c r="E11" i="13" s="1"/>
  <c r="F41" i="14"/>
  <c r="G39" i="14"/>
  <c r="G40" i="14" s="1"/>
  <c r="F42" i="14"/>
  <c r="V6" i="11"/>
  <c r="V8" i="11"/>
  <c r="F11" i="13"/>
  <c r="F12" i="13" s="1"/>
  <c r="S8" i="13"/>
  <c r="V9" i="13" s="1"/>
  <c r="V9" i="11"/>
  <c r="C10" i="11"/>
  <c r="S10" i="11"/>
  <c r="R12" i="8"/>
  <c r="E12" i="13" l="1"/>
  <c r="H11" i="13" s="1"/>
  <c r="H12" i="13" s="1"/>
  <c r="G41" i="14"/>
  <c r="F37" i="14" s="1"/>
  <c r="V11" i="14" s="1"/>
  <c r="F38" i="11"/>
  <c r="V5" i="11"/>
  <c r="T7" i="13" l="1"/>
  <c r="C8" i="13"/>
  <c r="F40" i="11"/>
  <c r="F39" i="11"/>
  <c r="G38" i="11" s="1"/>
  <c r="V10" i="8"/>
  <c r="C9" i="13" l="1"/>
  <c r="C13" i="13" s="1"/>
  <c r="S7" i="13"/>
  <c r="V8" i="13" s="1"/>
  <c r="C12" i="13"/>
  <c r="F41" i="11"/>
  <c r="F42" i="11" s="1"/>
  <c r="G39" i="11"/>
  <c r="G40" i="11" s="1"/>
  <c r="C33" i="8"/>
  <c r="C32" i="8"/>
  <c r="T8" i="8"/>
  <c r="S8" i="8"/>
  <c r="T7" i="8"/>
  <c r="S7" i="8"/>
  <c r="T6" i="8"/>
  <c r="T9" i="8" s="1"/>
  <c r="V7" i="8" s="1"/>
  <c r="C24" i="8"/>
  <c r="C23" i="8"/>
  <c r="C19" i="8"/>
  <c r="C14" i="8"/>
  <c r="C11" i="8"/>
  <c r="C10" i="8"/>
  <c r="C29" i="8" s="1"/>
  <c r="V6" i="13" l="1"/>
  <c r="C11" i="13"/>
  <c r="V5" i="13" s="1"/>
  <c r="G41" i="11"/>
  <c r="F37" i="11" s="1"/>
  <c r="V11" i="11" s="1"/>
  <c r="V9" i="8"/>
  <c r="V8" i="8"/>
  <c r="I14" i="8"/>
  <c r="J14" i="8" s="1"/>
  <c r="I22" i="8"/>
  <c r="J22" i="8" s="1"/>
  <c r="I30" i="8"/>
  <c r="J30" i="8" s="1"/>
  <c r="I19" i="8"/>
  <c r="J19" i="8" s="1"/>
  <c r="I13" i="8"/>
  <c r="J13" i="8" s="1"/>
  <c r="I7" i="8"/>
  <c r="J7" i="8" s="1"/>
  <c r="I15" i="8"/>
  <c r="J15" i="8" s="1"/>
  <c r="I23" i="8"/>
  <c r="J23" i="8" s="1"/>
  <c r="I31" i="8"/>
  <c r="J31" i="8" s="1"/>
  <c r="I27" i="8"/>
  <c r="J27" i="8" s="1"/>
  <c r="I5" i="8"/>
  <c r="J5" i="8" s="1"/>
  <c r="I21" i="8"/>
  <c r="J21" i="8" s="1"/>
  <c r="I8" i="8"/>
  <c r="J8" i="8" s="1"/>
  <c r="I16" i="8"/>
  <c r="J16" i="8" s="1"/>
  <c r="I24" i="8"/>
  <c r="J24" i="8" s="1"/>
  <c r="I32" i="8"/>
  <c r="J32" i="8" s="1"/>
  <c r="I12" i="8"/>
  <c r="J12" i="8" s="1"/>
  <c r="I6" i="8"/>
  <c r="J6" i="8" s="1"/>
  <c r="I9" i="8"/>
  <c r="J9" i="8" s="1"/>
  <c r="I17" i="8"/>
  <c r="J17" i="8" s="1"/>
  <c r="I25" i="8"/>
  <c r="J25" i="8" s="1"/>
  <c r="I33" i="8"/>
  <c r="J33" i="8" s="1"/>
  <c r="I35" i="8"/>
  <c r="J35" i="8" s="1"/>
  <c r="I28" i="8"/>
  <c r="J28" i="8" s="1"/>
  <c r="I10" i="8"/>
  <c r="J10" i="8" s="1"/>
  <c r="I18" i="8"/>
  <c r="J18" i="8" s="1"/>
  <c r="I26" i="8"/>
  <c r="J26" i="8" s="1"/>
  <c r="I34" i="8"/>
  <c r="J34" i="8" s="1"/>
  <c r="I11" i="8"/>
  <c r="J11" i="8" s="1"/>
  <c r="I20" i="8"/>
  <c r="J20" i="8" s="1"/>
  <c r="I29" i="8"/>
  <c r="J29" i="8" s="1"/>
  <c r="S10" i="8"/>
  <c r="C20" i="8"/>
  <c r="C18" i="8" s="1"/>
  <c r="C27" i="8"/>
  <c r="N45" i="13" l="1"/>
  <c r="V6" i="8"/>
  <c r="I51" i="8"/>
  <c r="E5" i="8"/>
  <c r="E13" i="8"/>
  <c r="K13" i="8" s="1"/>
  <c r="L13" i="8" s="1"/>
  <c r="M13" i="8" s="1"/>
  <c r="P13" i="8" s="1"/>
  <c r="E21" i="8"/>
  <c r="K21" i="8" s="1"/>
  <c r="L21" i="8" s="1"/>
  <c r="M21" i="8" s="1"/>
  <c r="P21" i="8" s="1"/>
  <c r="E29" i="8"/>
  <c r="E33" i="8"/>
  <c r="K33" i="8" s="1"/>
  <c r="L33" i="8" s="1"/>
  <c r="M33" i="8" s="1"/>
  <c r="P33" i="8" s="1"/>
  <c r="E34" i="8"/>
  <c r="K34" i="8" s="1"/>
  <c r="L34" i="8" s="1"/>
  <c r="M34" i="8" s="1"/>
  <c r="P34" i="8" s="1"/>
  <c r="E27" i="8"/>
  <c r="K27" i="8" s="1"/>
  <c r="L27" i="8" s="1"/>
  <c r="M27" i="8" s="1"/>
  <c r="P27" i="8" s="1"/>
  <c r="E28" i="8"/>
  <c r="K28" i="8" s="1"/>
  <c r="L28" i="8" s="1"/>
  <c r="M28" i="8" s="1"/>
  <c r="P28" i="8" s="1"/>
  <c r="E6" i="8"/>
  <c r="E14" i="8"/>
  <c r="K14" i="8" s="1"/>
  <c r="L14" i="8" s="1"/>
  <c r="M14" i="8" s="1"/>
  <c r="P14" i="8" s="1"/>
  <c r="E22" i="8"/>
  <c r="K22" i="8" s="1"/>
  <c r="L22" i="8" s="1"/>
  <c r="M22" i="8" s="1"/>
  <c r="P22" i="8" s="1"/>
  <c r="E30" i="8"/>
  <c r="K30" i="8" s="1"/>
  <c r="L30" i="8" s="1"/>
  <c r="M30" i="8" s="1"/>
  <c r="P30" i="8" s="1"/>
  <c r="E17" i="8"/>
  <c r="K17" i="8" s="1"/>
  <c r="L17" i="8" s="1"/>
  <c r="M17" i="8" s="1"/>
  <c r="P17" i="8" s="1"/>
  <c r="E26" i="8"/>
  <c r="K26" i="8" s="1"/>
  <c r="L26" i="8" s="1"/>
  <c r="M26" i="8" s="1"/>
  <c r="P26" i="8" s="1"/>
  <c r="E12" i="8"/>
  <c r="K12" i="8" s="1"/>
  <c r="L12" i="8" s="1"/>
  <c r="M12" i="8" s="1"/>
  <c r="P12" i="8" s="1"/>
  <c r="E7" i="8"/>
  <c r="K7" i="8" s="1"/>
  <c r="L7" i="8" s="1"/>
  <c r="M7" i="8" s="1"/>
  <c r="P7" i="8" s="1"/>
  <c r="E15" i="8"/>
  <c r="K15" i="8" s="1"/>
  <c r="L15" i="8" s="1"/>
  <c r="M15" i="8" s="1"/>
  <c r="P15" i="8" s="1"/>
  <c r="E23" i="8"/>
  <c r="K23" i="8" s="1"/>
  <c r="L23" i="8" s="1"/>
  <c r="M23" i="8" s="1"/>
  <c r="P23" i="8" s="1"/>
  <c r="E31" i="8"/>
  <c r="K31" i="8" s="1"/>
  <c r="L31" i="8" s="1"/>
  <c r="M31" i="8" s="1"/>
  <c r="P31" i="8" s="1"/>
  <c r="E10" i="8"/>
  <c r="K10" i="8" s="1"/>
  <c r="L10" i="8" s="1"/>
  <c r="M10" i="8" s="1"/>
  <c r="P10" i="8" s="1"/>
  <c r="E19" i="8"/>
  <c r="K19" i="8" s="1"/>
  <c r="L19" i="8" s="1"/>
  <c r="M19" i="8" s="1"/>
  <c r="P19" i="8" s="1"/>
  <c r="E20" i="8"/>
  <c r="K20" i="8" s="1"/>
  <c r="L20" i="8" s="1"/>
  <c r="M20" i="8" s="1"/>
  <c r="P20" i="8" s="1"/>
  <c r="E8" i="8"/>
  <c r="K8" i="8" s="1"/>
  <c r="L8" i="8" s="1"/>
  <c r="M8" i="8" s="1"/>
  <c r="P8" i="8" s="1"/>
  <c r="E16" i="8"/>
  <c r="K16" i="8" s="1"/>
  <c r="L16" i="8" s="1"/>
  <c r="M16" i="8" s="1"/>
  <c r="P16" i="8" s="1"/>
  <c r="E24" i="8"/>
  <c r="K24" i="8" s="1"/>
  <c r="L24" i="8" s="1"/>
  <c r="M24" i="8" s="1"/>
  <c r="P24" i="8" s="1"/>
  <c r="E32" i="8"/>
  <c r="K32" i="8" s="1"/>
  <c r="L32" i="8" s="1"/>
  <c r="M32" i="8" s="1"/>
  <c r="P32" i="8" s="1"/>
  <c r="E25" i="8"/>
  <c r="K25" i="8" s="1"/>
  <c r="L25" i="8" s="1"/>
  <c r="M25" i="8" s="1"/>
  <c r="P25" i="8" s="1"/>
  <c r="E11" i="8"/>
  <c r="K11" i="8" s="1"/>
  <c r="L11" i="8" s="1"/>
  <c r="M11" i="8" s="1"/>
  <c r="P11" i="8" s="1"/>
  <c r="E35" i="8"/>
  <c r="K35" i="8" s="1"/>
  <c r="L35" i="8" s="1"/>
  <c r="M35" i="8" s="1"/>
  <c r="P35" i="8" s="1"/>
  <c r="E9" i="8"/>
  <c r="K9" i="8" s="1"/>
  <c r="L9" i="8" s="1"/>
  <c r="M9" i="8" s="1"/>
  <c r="P9" i="8" s="1"/>
  <c r="E18" i="8"/>
  <c r="K18" i="8" s="1"/>
  <c r="L18" i="8" s="1"/>
  <c r="M18" i="8" s="1"/>
  <c r="P18" i="8" s="1"/>
  <c r="O14" i="8"/>
  <c r="O9" i="8"/>
  <c r="O32" i="8"/>
  <c r="O6" i="8"/>
  <c r="O5" i="8"/>
  <c r="O13" i="8"/>
  <c r="O30" i="8"/>
  <c r="O34" i="8"/>
  <c r="O35" i="8"/>
  <c r="O33" i="8"/>
  <c r="O7" i="8"/>
  <c r="O28" i="8"/>
  <c r="K29" i="8"/>
  <c r="L29" i="8" s="1"/>
  <c r="M29" i="8" s="1"/>
  <c r="P29" i="8" s="1"/>
  <c r="O8" i="8"/>
  <c r="O20" i="8"/>
  <c r="O19" i="8"/>
  <c r="O24" i="8"/>
  <c r="O17" i="8"/>
  <c r="K6" i="8"/>
  <c r="L6" i="8" s="1"/>
  <c r="M6" i="8" s="1"/>
  <c r="P6" i="8" s="1"/>
  <c r="O31" i="8"/>
  <c r="O12" i="8"/>
  <c r="O11" i="8"/>
  <c r="O26" i="8"/>
  <c r="O16" i="8"/>
  <c r="O27" i="8"/>
  <c r="O23" i="8"/>
  <c r="O25" i="8"/>
  <c r="O29" i="8"/>
  <c r="O18" i="8"/>
  <c r="K5" i="8"/>
  <c r="L5" i="8" s="1"/>
  <c r="M5" i="8" s="1"/>
  <c r="P5" i="8" s="1"/>
  <c r="O15" i="8"/>
  <c r="O22" i="8"/>
  <c r="O21" i="8"/>
  <c r="O10" i="8"/>
  <c r="V5" i="8"/>
  <c r="N46" i="13" l="1"/>
  <c r="O44" i="13" s="1"/>
  <c r="N47" i="13"/>
  <c r="O38" i="8" a="1"/>
  <c r="O38" i="8" s="1"/>
  <c r="P38" i="8" a="1"/>
  <c r="P38" i="8" s="1"/>
  <c r="I52" i="8"/>
  <c r="J51" i="8" s="1"/>
  <c r="I53" i="8"/>
  <c r="J52" i="8" s="1"/>
  <c r="N48" i="13" l="1"/>
  <c r="N49" i="13" s="1"/>
  <c r="O45" i="13"/>
  <c r="O46" i="13" s="1"/>
  <c r="J53" i="8"/>
  <c r="I54" i="8"/>
  <c r="O47" i="13" l="1"/>
  <c r="N44" i="13" s="1"/>
  <c r="V11" i="13" s="1"/>
  <c r="I55" i="8"/>
  <c r="J54" i="8" s="1"/>
  <c r="I50" i="8" s="1"/>
  <c r="V11" i="8" s="1"/>
  <c r="W8" i="15" l="1"/>
  <c r="W7" i="15" l="1"/>
  <c r="W6" i="15" l="1"/>
  <c r="W9" i="15" s="1"/>
  <c r="Y7" i="15" s="1"/>
  <c r="C14" i="15" l="1"/>
  <c r="V8" i="15"/>
  <c r="Y9" i="15" s="1"/>
  <c r="I11" i="15" l="1"/>
  <c r="O11" i="15" s="1"/>
  <c r="I8" i="15"/>
  <c r="O8" i="15" s="1"/>
  <c r="I10" i="15"/>
  <c r="O10" i="15" s="1"/>
  <c r="I12" i="15"/>
  <c r="O12" i="15" s="1"/>
  <c r="I7" i="15"/>
  <c r="O7" i="15" s="1"/>
  <c r="I5" i="15"/>
  <c r="O5" i="15" s="1"/>
  <c r="I9" i="15"/>
  <c r="O9" i="15" s="1"/>
  <c r="I6" i="15"/>
  <c r="O6" i="15" s="1"/>
  <c r="O15" i="15" l="1" a="1"/>
  <c r="O15" i="15" s="1"/>
  <c r="V7" i="15" l="1"/>
  <c r="Y8" i="15" s="1"/>
  <c r="C19" i="15"/>
  <c r="C10" i="15"/>
  <c r="C29" i="15" l="1"/>
  <c r="C27" i="15" s="1"/>
  <c r="C20" i="15"/>
  <c r="C18" i="15" s="1"/>
  <c r="Y6" i="15"/>
  <c r="E6" i="15" l="1"/>
  <c r="K6" i="15" s="1"/>
  <c r="L6" i="15" s="1"/>
  <c r="M6" i="15" s="1"/>
  <c r="P6" i="15" s="1"/>
  <c r="Y5" i="15"/>
  <c r="E12" i="15"/>
  <c r="K12" i="15" s="1"/>
  <c r="L12" i="15" s="1"/>
  <c r="M12" i="15" s="1"/>
  <c r="P12" i="15" s="1"/>
  <c r="E11" i="15"/>
  <c r="K11" i="15" s="1"/>
  <c r="L11" i="15" s="1"/>
  <c r="M11" i="15" s="1"/>
  <c r="P11" i="15" s="1"/>
  <c r="E7" i="15"/>
  <c r="K7" i="15" s="1"/>
  <c r="L7" i="15" s="1"/>
  <c r="M7" i="15" s="1"/>
  <c r="P7" i="15" s="1"/>
  <c r="E10" i="15"/>
  <c r="K10" i="15" s="1"/>
  <c r="L10" i="15" s="1"/>
  <c r="M10" i="15" s="1"/>
  <c r="P10" i="15" s="1"/>
  <c r="I51" i="15"/>
  <c r="E8" i="15"/>
  <c r="K8" i="15" s="1"/>
  <c r="L8" i="15" s="1"/>
  <c r="M8" i="15" s="1"/>
  <c r="P8" i="15" s="1"/>
  <c r="E9" i="15"/>
  <c r="K9" i="15" s="1"/>
  <c r="L9" i="15" s="1"/>
  <c r="M9" i="15" s="1"/>
  <c r="P9" i="15" s="1"/>
  <c r="E5" i="15"/>
  <c r="K5" i="15" l="1"/>
  <c r="L5" i="15" s="1"/>
  <c r="M5" i="15" s="1"/>
  <c r="P5" i="15" s="1"/>
  <c r="P15" i="15" s="1" a="1"/>
  <c r="P15" i="15" s="1"/>
  <c r="Q15" i="15" s="1"/>
  <c r="Q16" i="15" s="1"/>
  <c r="I53" i="15"/>
  <c r="I52" i="15"/>
  <c r="J51" i="15" s="1"/>
  <c r="I54" i="15" l="1"/>
  <c r="I55" i="15" s="1"/>
  <c r="J52" i="15"/>
  <c r="J53" i="15" s="1"/>
  <c r="J54" i="15" l="1"/>
  <c r="I50" i="15" s="1"/>
  <c r="Y11" i="1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<sst xmlns="http://schemas.openxmlformats.org/spreadsheetml/2006/main" count="873" uniqueCount="188">
  <si>
    <t>Barrier Attenuation</t>
  </si>
  <si>
    <t>distance: source - top of barrier</t>
  </si>
  <si>
    <t>1k</t>
  </si>
  <si>
    <t>1.25k</t>
  </si>
  <si>
    <t>16k</t>
  </si>
  <si>
    <t>2k</t>
  </si>
  <si>
    <t>2.5k</t>
  </si>
  <si>
    <t>3.15k</t>
  </si>
  <si>
    <t>4k</t>
  </si>
  <si>
    <t>5k</t>
  </si>
  <si>
    <t>6.3k</t>
  </si>
  <si>
    <t>8k</t>
  </si>
  <si>
    <t>10k</t>
  </si>
  <si>
    <t>12.5k</t>
  </si>
  <si>
    <t>20k</t>
  </si>
  <si>
    <t>Distance: Source - Measurement</t>
  </si>
  <si>
    <t>Distance: Barrier - Receiver (straight line)</t>
  </si>
  <si>
    <t>distance: receiver - top of barrier</t>
  </si>
  <si>
    <t>Point/Line Source Correction</t>
  </si>
  <si>
    <t>Point or Line Source</t>
  </si>
  <si>
    <t>Source Type List</t>
  </si>
  <si>
    <t>Don't Touch</t>
  </si>
  <si>
    <t>Finite/Infinite Barrier</t>
  </si>
  <si>
    <t>Barrier Type List</t>
  </si>
  <si>
    <t>Finite</t>
  </si>
  <si>
    <t>Infinite</t>
  </si>
  <si>
    <t>Finite/Infinite Barrier Correction</t>
  </si>
  <si>
    <t>horizontal angle receiver to barrier</t>
  </si>
  <si>
    <t>Barrier Length</t>
  </si>
  <si>
    <t>Wall/Berm Barrier</t>
  </si>
  <si>
    <t>Barrier Length List</t>
  </si>
  <si>
    <t>Wall</t>
  </si>
  <si>
    <t>Berm</t>
  </si>
  <si>
    <t>delta (a+b-r) - figure 5.4</t>
  </si>
  <si>
    <t>Kb (Barrier Constant)</t>
  </si>
  <si>
    <t>Barrier Attenuation (Practical Limit)</t>
  </si>
  <si>
    <t>Point/Line Attenuation Multiplier</t>
  </si>
  <si>
    <t>Source</t>
  </si>
  <si>
    <t>Receiver</t>
  </si>
  <si>
    <t>x</t>
  </si>
  <si>
    <t>y</t>
  </si>
  <si>
    <t>Measurement</t>
  </si>
  <si>
    <t>Horizontal Distance: Source - Measurement</t>
  </si>
  <si>
    <t>Height: Measurement</t>
  </si>
  <si>
    <t>Distance: Source - Receiver Propogation</t>
  </si>
  <si>
    <t>Distance: Source - Receiver (Horizontal line)</t>
  </si>
  <si>
    <t>Distance: Source - Barrier (Horizontal line)</t>
  </si>
  <si>
    <t>ARI</t>
  </si>
  <si>
    <t>Path 
Length (ft)</t>
  </si>
  <si>
    <t>Barrier 
Reduction (dB)</t>
  </si>
  <si>
    <t>Path</t>
  </si>
  <si>
    <t>Barrier - Min 4lb/ft2, unperforated</t>
  </si>
  <si>
    <t>A-Weighting</t>
  </si>
  <si>
    <t>Total (dBA)</t>
  </si>
  <si>
    <t xml:space="preserve">Barrier Atten. Practical Limit per Wall/Berm Decision </t>
  </si>
  <si>
    <t>to</t>
  </si>
  <si>
    <t>Delta</t>
  </si>
  <si>
    <t>Hz</t>
  </si>
  <si>
    <t>Lp Meas.</t>
  </si>
  <si>
    <t>Point</t>
  </si>
  <si>
    <t>Line</t>
  </si>
  <si>
    <t>Speed of Sound (ft/s)</t>
  </si>
  <si>
    <t>W Bar</t>
  </si>
  <si>
    <t>WO Bar</t>
  </si>
  <si>
    <t>N (Max Fresnel #)</t>
  </si>
  <si>
    <t>Measurement to Source Distance Δ Correction</t>
  </si>
  <si>
    <t>Receiver WO Barrier</t>
  </si>
  <si>
    <t>Level: Receiver W Barrier</t>
  </si>
  <si>
    <t>A-Weighted Level: Receiver WO Barrier</t>
  </si>
  <si>
    <t>A-Weighted  Level: Receiver W Barrier</t>
  </si>
  <si>
    <t xml:space="preserve">Barrier Reduction per ARI: </t>
  </si>
  <si>
    <t>PLD</t>
  </si>
  <si>
    <t>First Greater</t>
  </si>
  <si>
    <t>First Lower</t>
  </si>
  <si>
    <t>difference in adjency</t>
  </si>
  <si>
    <t xml:space="preserve">difference in reduction </t>
  </si>
  <si>
    <t>Name</t>
  </si>
  <si>
    <t>X</t>
  </si>
  <si>
    <t>Y</t>
  </si>
  <si>
    <t>Z</t>
  </si>
  <si>
    <t>Barrier (start)</t>
  </si>
  <si>
    <t>Barrier (end)</t>
  </si>
  <si>
    <t>m: S to R</t>
  </si>
  <si>
    <t>b: S to R</t>
  </si>
  <si>
    <t>intersection: X</t>
  </si>
  <si>
    <t>intersection: Y</t>
  </si>
  <si>
    <t>test^</t>
  </si>
  <si>
    <t>used^</t>
  </si>
  <si>
    <t>Sources</t>
  </si>
  <si>
    <t>Receivers</t>
  </si>
  <si>
    <t>Barriers</t>
  </si>
  <si>
    <t xml:space="preserve">Barrier Height </t>
  </si>
  <si>
    <t>Source Height</t>
  </si>
  <si>
    <t>Receiver Height</t>
  </si>
  <si>
    <t>Source Name</t>
  </si>
  <si>
    <t>Condenser</t>
  </si>
  <si>
    <t>condenser</t>
  </si>
  <si>
    <t>R1</t>
  </si>
  <si>
    <t>R2</t>
  </si>
  <si>
    <t>R3</t>
  </si>
  <si>
    <t>R4</t>
  </si>
  <si>
    <t>m: bar S to bar E</t>
  </si>
  <si>
    <t>b: bar S to bar E</t>
  </si>
  <si>
    <t>new barrier height q</t>
  </si>
  <si>
    <t>min(height)</t>
  </si>
  <si>
    <t>height difference</t>
  </si>
  <si>
    <t>len barrier</t>
  </si>
  <si>
    <t>slope</t>
  </si>
  <si>
    <t>dist to x</t>
  </si>
  <si>
    <t>Bar Height to Use</t>
  </si>
  <si>
    <t>Aermec 1</t>
  </si>
  <si>
    <t>Aermec 2</t>
  </si>
  <si>
    <t>DOAS</t>
  </si>
  <si>
    <t>Dry Cooler</t>
  </si>
  <si>
    <t xml:space="preserve">colmac dhw </t>
  </si>
  <si>
    <t>n start</t>
  </si>
  <si>
    <t>n end</t>
  </si>
  <si>
    <t>e start</t>
  </si>
  <si>
    <t>e end</t>
  </si>
  <si>
    <t>s start</t>
  </si>
  <si>
    <t>s end</t>
  </si>
  <si>
    <t>w end</t>
  </si>
  <si>
    <t>w start</t>
  </si>
  <si>
    <t>eqmt</t>
  </si>
  <si>
    <t>rcvr</t>
  </si>
  <si>
    <t>bar</t>
  </si>
  <si>
    <t>eqmt height</t>
  </si>
  <si>
    <t>rcvr height</t>
  </si>
  <si>
    <t>bar height</t>
  </si>
  <si>
    <t>source to receiver</t>
  </si>
  <si>
    <t>source to bar (ft)</t>
  </si>
  <si>
    <t>noise data (if OB Fresnel used)</t>
  </si>
  <si>
    <t>MAU-R1</t>
  </si>
  <si>
    <t>bar22</t>
  </si>
  <si>
    <t>ERV-R.1</t>
  </si>
  <si>
    <t>bar21</t>
  </si>
  <si>
    <t>GEF-R1-</t>
  </si>
  <si>
    <t>bar2</t>
  </si>
  <si>
    <t>DEF-R1,-R2</t>
  </si>
  <si>
    <t>KEF-R1-</t>
  </si>
  <si>
    <t>bar20</t>
  </si>
  <si>
    <t>DWEF-R1</t>
  </si>
  <si>
    <t>CU-R1</t>
  </si>
  <si>
    <t>CU-R2</t>
  </si>
  <si>
    <t>CU-R4</t>
  </si>
  <si>
    <t>CU-R5</t>
  </si>
  <si>
    <t>RCU-R(4p)1</t>
  </si>
  <si>
    <t>RCU-R(4p)2</t>
  </si>
  <si>
    <t>RCU-R(4p)3</t>
  </si>
  <si>
    <t>RCU-R(2p)</t>
  </si>
  <si>
    <t>RCU-R(2p)1</t>
  </si>
  <si>
    <t>RCU-R(4p)4</t>
  </si>
  <si>
    <t>RCU-R(2p)2</t>
  </si>
  <si>
    <t>RCU-R(2p)3</t>
  </si>
  <si>
    <t>RCU-R(2p)4</t>
  </si>
  <si>
    <t>RCU-R(2p)5</t>
  </si>
  <si>
    <t>RCU-R(2p)6</t>
  </si>
  <si>
    <t>BEF-R03-</t>
  </si>
  <si>
    <t>BEF-R04-</t>
  </si>
  <si>
    <t>BEF-R08-</t>
  </si>
  <si>
    <t>BEF-R09-</t>
  </si>
  <si>
    <t>BEF-R10-</t>
  </si>
  <si>
    <t>BEF-R11-</t>
  </si>
  <si>
    <t>BEF-R12-</t>
  </si>
  <si>
    <t>BEF-R13-</t>
  </si>
  <si>
    <t>BEF-R14-</t>
  </si>
  <si>
    <t>bar18</t>
  </si>
  <si>
    <t>BEF-R16-</t>
  </si>
  <si>
    <t>bar1</t>
  </si>
  <si>
    <t>BEF-R15-</t>
  </si>
  <si>
    <t>bar3</t>
  </si>
  <si>
    <t>bar4</t>
  </si>
  <si>
    <t>bar5</t>
  </si>
  <si>
    <t>BEF-R02-</t>
  </si>
  <si>
    <t>BEF-R05-</t>
  </si>
  <si>
    <t>BEF-R06-</t>
  </si>
  <si>
    <t>bar12</t>
  </si>
  <si>
    <t>bar6</t>
  </si>
  <si>
    <t>bar11</t>
  </si>
  <si>
    <t>bar10</t>
  </si>
  <si>
    <t>BEF-R01-</t>
  </si>
  <si>
    <t>bar8</t>
  </si>
  <si>
    <t>BEF-R07-</t>
  </si>
  <si>
    <t>bar7</t>
  </si>
  <si>
    <t>R5</t>
  </si>
  <si>
    <t>bar17</t>
  </si>
  <si>
    <t>Source to Receiver</t>
  </si>
  <si>
    <t>MAU-R1 to 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</si>
</sst>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>
    <font>
      <sz val="11"/>
      <color theme="1"/>
      <name val="Arial Narrow"/>
      <family val="2"/>
    </font>
    <font>
      <b/>
      <sz val="11"/>
      <color theme="1"/>
      <name val="Avenir-Book"/>
    </font>
    <font>
      <sz val="11"/>
      <color theme="1"/>
      <name val="Arial Narrow"/>
      <family val="2"/>
    </font>
    <font>
      <sz val="8"/>
      <name val="Avenir-Book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color theme="1"/>
      <name val="Arial Narrow"/>
      <family val="2"/>
    </font>
    <font>
      <b/>
      <sz val="11"/>
      <color rgb="FF3F3F3F"/>
      <name val="Arial Narrow"/>
      <family val="2"/>
    </font>
    <font>
      <b/>
      <sz val="8"/>
      <color theme="0"/>
      <name val="Arial Narrow"/>
      <family val="2"/>
    </font>
    <font>
      <sz val="11"/>
      <color theme="0"/>
      <name val="Arial Narrow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7" tint="0.79998168889431442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 applyBorder="0"/>
    <xf numFmtId="0" fontId="6" fillId="2" borderId="1" applyNumberFormat="0" applyBorder="0" applyAlignment="0" applyProtection="0"/>
    <xf numFmtId="2" fontId="7" fillId="3" borderId="1" applyBorder="0" applyAlignment="0" applyProtection="0"/>
    <xf numFmtId="0" fontId="6" fillId="5" borderId="1" applyBorder="0" applyAlignment="0" applyProtection="0"/>
    <xf numFmtId="0" fontId="11" fillId="6" borderId="0" applyBorder="0">
      <alignment wrapText="1"/>
    </xf>
    <xf numFmtId="0" fontId="9" fillId="3" borderId="2" applyBorder="0" applyAlignment="0" applyProtection="0"/>
    <xf numFmtId="0" fontId="6" fillId="7" borderId="1" applyBorder="0" applyAlignment="0" applyProtection="0"/>
    <xf numFmtId="0" fontId="11" fillId="6" borderId="0" applyNumberFormat="0" applyBorder="0" applyAlignment="0">
      <alignment wrapText="1"/>
    </xf>
  </cellStyleXfs>
  <cellXfs count="133">
    <xf numFmtId="0" fontId="0" fillId="0" borderId="0" xfId="0"/>
    <xf numFmtId="0" fontId="1" fillId="0" borderId="0" xfId="0" applyFont="1"/>
    <xf numFmtId="2" fontId="7" fillId="3" borderId="1" xfId="2"/>
    <xf numFmtId="164" fontId="0" fillId="0" borderId="0" xfId="0" applyNumberFormat="1"/>
    <xf numFmtId="0" fontId="6" fillId="2" borderId="1" xfId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1" fillId="0" borderId="3" xfId="0" applyFont="1" applyBorder="1"/>
    <xf numFmtId="0" fontId="0" fillId="0" borderId="7" xfId="0" applyBorder="1"/>
    <xf numFmtId="0" fontId="0" fillId="0" borderId="9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3" xfId="0" applyFill="1" applyBorder="1"/>
    <xf numFmtId="0" fontId="4" fillId="4" borderId="1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8" fillId="0" borderId="0" xfId="0" applyFont="1"/>
    <xf numFmtId="0" fontId="0" fillId="0" borderId="0" xfId="0" applyFont="1" applyAlignment="1"/>
    <xf numFmtId="0" fontId="6" fillId="2" borderId="0" xfId="1" applyBorder="1"/>
    <xf numFmtId="0" fontId="6" fillId="2" borderId="22" xfId="1" applyBorder="1"/>
    <xf numFmtId="0" fontId="6" fillId="2" borderId="25" xfId="1" applyBorder="1"/>
    <xf numFmtId="2" fontId="7" fillId="3" borderId="29" xfId="2" applyNumberFormat="1" applyBorder="1"/>
    <xf numFmtId="2" fontId="7" fillId="3" borderId="30" xfId="2" applyNumberFormat="1" applyBorder="1"/>
    <xf numFmtId="2" fontId="7" fillId="3" borderId="31" xfId="2" applyNumberFormat="1" applyBorder="1"/>
    <xf numFmtId="0" fontId="6" fillId="2" borderId="29" xfId="1" applyBorder="1"/>
    <xf numFmtId="0" fontId="6" fillId="2" borderId="30" xfId="1" applyBorder="1"/>
    <xf numFmtId="2" fontId="7" fillId="3" borderId="30" xfId="2" applyBorder="1"/>
    <xf numFmtId="164" fontId="7" fillId="3" borderId="29" xfId="2" applyNumberFormat="1" applyBorder="1"/>
    <xf numFmtId="164" fontId="7" fillId="3" borderId="30" xfId="2" applyNumberFormat="1" applyBorder="1"/>
    <xf numFmtId="1" fontId="7" fillId="3" borderId="31" xfId="2" applyNumberFormat="1" applyBorder="1"/>
    <xf numFmtId="1" fontId="6" fillId="2" borderId="30" xfId="1" applyNumberFormat="1" applyBorder="1"/>
    <xf numFmtId="2" fontId="7" fillId="3" borderId="31" xfId="2" applyBorder="1"/>
    <xf numFmtId="164" fontId="9" fillId="3" borderId="27" xfId="5" applyNumberFormat="1" applyBorder="1"/>
    <xf numFmtId="0" fontId="1" fillId="0" borderId="7" xfId="0" applyFont="1" applyBorder="1" applyAlignment="1">
      <alignment wrapText="1"/>
    </xf>
    <xf numFmtId="1" fontId="7" fillId="3" borderId="22" xfId="2" applyNumberFormat="1" applyBorder="1"/>
    <xf numFmtId="1" fontId="7" fillId="3" borderId="25" xfId="2" applyNumberFormat="1" applyBorder="1"/>
    <xf numFmtId="0" fontId="6" fillId="2" borderId="30" xfId="1" applyBorder="1" applyAlignment="1">
      <alignment horizontal="right"/>
    </xf>
    <xf numFmtId="0" fontId="6" fillId="2" borderId="29" xfId="1" applyBorder="1" applyAlignment="1">
      <alignment horizontal="right"/>
    </xf>
    <xf numFmtId="164" fontId="9" fillId="3" borderId="28" xfId="5" applyNumberFormat="1" applyBorder="1"/>
    <xf numFmtId="164" fontId="7" fillId="3" borderId="17" xfId="2" applyNumberFormat="1" applyBorder="1"/>
    <xf numFmtId="0" fontId="11" fillId="6" borderId="5" xfId="4" applyBorder="1">
      <alignment wrapText="1"/>
    </xf>
    <xf numFmtId="0" fontId="11" fillId="6" borderId="17" xfId="4" applyBorder="1">
      <alignment wrapText="1"/>
    </xf>
    <xf numFmtId="0" fontId="11" fillId="6" borderId="17" xfId="4" applyBorder="1" applyAlignment="1">
      <alignment horizontal="center" wrapText="1"/>
    </xf>
    <xf numFmtId="0" fontId="11" fillId="6" borderId="8" xfId="4" applyBorder="1" applyAlignment="1">
      <alignment horizontal="center" wrapText="1"/>
    </xf>
    <xf numFmtId="0" fontId="11" fillId="6" borderId="6" xfId="4" applyBorder="1" applyAlignment="1">
      <alignment horizontal="right"/>
    </xf>
    <xf numFmtId="1" fontId="9" fillId="3" borderId="23" xfId="5" applyNumberFormat="1" applyBorder="1"/>
    <xf numFmtId="1" fontId="9" fillId="3" borderId="26" xfId="5" applyNumberFormat="1" applyBorder="1"/>
    <xf numFmtId="0" fontId="10" fillId="6" borderId="19" xfId="4" applyFont="1" applyBorder="1" applyAlignment="1">
      <alignment horizontal="center" wrapText="1"/>
    </xf>
    <xf numFmtId="0" fontId="10" fillId="6" borderId="20" xfId="4" applyFont="1" applyBorder="1" applyAlignment="1">
      <alignment horizontal="center" wrapText="1"/>
    </xf>
    <xf numFmtId="0" fontId="10" fillId="6" borderId="29" xfId="4" applyFont="1" applyBorder="1" applyAlignment="1">
      <alignment horizontal="center" wrapText="1"/>
    </xf>
    <xf numFmtId="0" fontId="10" fillId="6" borderId="18" xfId="4" applyFont="1" applyBorder="1" applyAlignment="1">
      <alignment horizontal="center" wrapText="1"/>
    </xf>
    <xf numFmtId="0" fontId="11" fillId="6" borderId="21" xfId="4" applyFont="1" applyBorder="1">
      <alignment wrapText="1"/>
    </xf>
    <xf numFmtId="0" fontId="11" fillId="6" borderId="24" xfId="4" applyFont="1" applyBorder="1">
      <alignment wrapText="1"/>
    </xf>
    <xf numFmtId="2" fontId="0" fillId="0" borderId="0" xfId="0" applyNumberFormat="1"/>
    <xf numFmtId="164" fontId="7" fillId="3" borderId="31" xfId="2" applyNumberFormat="1" applyBorder="1"/>
    <xf numFmtId="0" fontId="0" fillId="0" borderId="17" xfId="0" applyBorder="1"/>
    <xf numFmtId="0" fontId="0" fillId="0" borderId="3" xfId="0" applyFill="1" applyBorder="1"/>
    <xf numFmtId="0" fontId="6" fillId="2" borderId="34" xfId="1" applyBorder="1"/>
    <xf numFmtId="0" fontId="6" fillId="2" borderId="35" xfId="1" applyBorder="1"/>
    <xf numFmtId="0" fontId="6" fillId="2" borderId="36" xfId="1" applyBorder="1"/>
    <xf numFmtId="0" fontId="6" fillId="2" borderId="11" xfId="1" applyBorder="1"/>
    <xf numFmtId="0" fontId="6" fillId="2" borderId="10" xfId="1" applyBorder="1"/>
    <xf numFmtId="0" fontId="6" fillId="2" borderId="12" xfId="1" applyBorder="1"/>
    <xf numFmtId="0" fontId="6" fillId="2" borderId="37" xfId="1" applyBorder="1"/>
    <xf numFmtId="0" fontId="6" fillId="2" borderId="38" xfId="1" applyBorder="1"/>
    <xf numFmtId="0" fontId="6" fillId="2" borderId="39" xfId="1" applyBorder="1"/>
    <xf numFmtId="2" fontId="7" fillId="3" borderId="33" xfId="2" applyBorder="1"/>
    <xf numFmtId="2" fontId="7" fillId="3" borderId="32" xfId="2" applyBorder="1"/>
    <xf numFmtId="0" fontId="8" fillId="0" borderId="14" xfId="0" applyFont="1" applyBorder="1"/>
    <xf numFmtId="0" fontId="8" fillId="0" borderId="13" xfId="0" applyFont="1" applyBorder="1"/>
    <xf numFmtId="0" fontId="0" fillId="0" borderId="5" xfId="0" applyBorder="1"/>
    <xf numFmtId="0" fontId="8" fillId="0" borderId="8" xfId="0" applyFont="1" applyBorder="1"/>
    <xf numFmtId="0" fontId="8" fillId="0" borderId="6" xfId="0" applyFont="1" applyBorder="1"/>
    <xf numFmtId="0" fontId="8" fillId="0" borderId="17" xfId="0" applyFont="1" applyBorder="1"/>
    <xf numFmtId="0" fontId="6" fillId="2" borderId="44" xfId="1" applyBorder="1"/>
    <xf numFmtId="0" fontId="6" fillId="2" borderId="45" xfId="1" applyBorder="1"/>
    <xf numFmtId="0" fontId="6" fillId="2" borderId="46" xfId="1" applyBorder="1"/>
    <xf numFmtId="0" fontId="8" fillId="0" borderId="7" xfId="0" applyFont="1" applyBorder="1"/>
    <xf numFmtId="0" fontId="8" fillId="0" borderId="3" xfId="0" applyFont="1" applyBorder="1"/>
    <xf numFmtId="0" fontId="8" fillId="0" borderId="4" xfId="0" applyFont="1" applyBorder="1"/>
    <xf numFmtId="2" fontId="7" fillId="3" borderId="34" xfId="2" applyBorder="1"/>
    <xf numFmtId="2" fontId="7" fillId="3" borderId="36" xfId="2" applyBorder="1"/>
    <xf numFmtId="2" fontId="7" fillId="3" borderId="11" xfId="2" applyBorder="1"/>
    <xf numFmtId="2" fontId="7" fillId="3" borderId="12" xfId="2" applyBorder="1"/>
    <xf numFmtId="2" fontId="7" fillId="3" borderId="37" xfId="2" applyBorder="1"/>
    <xf numFmtId="2" fontId="7" fillId="3" borderId="39" xfId="2" applyBorder="1"/>
    <xf numFmtId="0" fontId="6" fillId="5" borderId="42" xfId="3" applyBorder="1"/>
    <xf numFmtId="0" fontId="6" fillId="5" borderId="40" xfId="3" applyBorder="1"/>
    <xf numFmtId="0" fontId="6" fillId="5" borderId="41" xfId="3" applyBorder="1"/>
    <xf numFmtId="0" fontId="6" fillId="5" borderId="16" xfId="3" applyBorder="1"/>
    <xf numFmtId="0" fontId="6" fillId="5" borderId="10" xfId="3" applyBorder="1"/>
    <xf numFmtId="0" fontId="6" fillId="5" borderId="12" xfId="3" applyBorder="1"/>
    <xf numFmtId="0" fontId="6" fillId="2" borderId="47" xfId="1" applyBorder="1"/>
    <xf numFmtId="0" fontId="6" fillId="2" borderId="17" xfId="1" applyBorder="1"/>
    <xf numFmtId="0" fontId="8" fillId="0" borderId="48" xfId="0" applyFont="1" applyBorder="1"/>
    <xf numFmtId="0" fontId="8" fillId="0" borderId="49" xfId="0" applyFont="1" applyBorder="1"/>
    <xf numFmtId="0" fontId="8" fillId="0" borderId="50" xfId="0" applyFont="1" applyBorder="1"/>
    <xf numFmtId="164" fontId="7" fillId="3" borderId="33" xfId="2" applyNumberFormat="1" applyBorder="1"/>
    <xf numFmtId="0" fontId="6" fillId="2" borderId="31" xfId="1" applyBorder="1"/>
    <xf numFmtId="0" fontId="10" fillId="6" borderId="7" xfId="4" applyFont="1" applyBorder="1" applyAlignment="1">
      <alignment horizontal="center" wrapText="1"/>
    </xf>
    <xf numFmtId="0" fontId="0" fillId="0" borderId="51" xfId="0" applyBorder="1" applyAlignment="1">
      <alignment horizontal="center"/>
    </xf>
    <xf numFmtId="0" fontId="0" fillId="0" borderId="51" xfId="0" applyBorder="1"/>
    <xf numFmtId="0" fontId="0" fillId="0" borderId="14" xfId="0" applyBorder="1" applyAlignment="1">
      <alignment horizontal="right"/>
    </xf>
    <xf numFmtId="0" fontId="0" fillId="0" borderId="0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2" xfId="0" applyBorder="1" applyAlignment="1">
      <alignment horizontal="center"/>
    </xf>
    <xf numFmtId="0" fontId="0" fillId="0" borderId="13" xfId="0" applyBorder="1" applyAlignment="1">
      <alignment horizontal="right"/>
    </xf>
    <xf numFmtId="2" fontId="7" fillId="3" borderId="17" xfId="2" applyBorder="1"/>
    <xf numFmtId="0" fontId="6" fillId="5" borderId="43" xfId="3" applyBorder="1"/>
    <xf numFmtId="0" fontId="6" fillId="5" borderId="38" xfId="3" applyBorder="1"/>
    <xf numFmtId="2" fontId="7" fillId="3" borderId="56" xfId="2" applyBorder="1"/>
    <xf numFmtId="0" fontId="6" fillId="7" borderId="44" xfId="6" applyBorder="1"/>
    <xf numFmtId="0" fontId="6" fillId="7" borderId="45" xfId="6" applyBorder="1"/>
    <xf numFmtId="1" fontId="6" fillId="2" borderId="22" xfId="1" applyNumberFormat="1" applyBorder="1"/>
    <xf numFmtId="0" fontId="6" fillId="5" borderId="44" xfId="3" applyBorder="1"/>
    <xf numFmtId="0" fontId="6" fillId="5" borderId="45" xfId="3" applyBorder="1"/>
    <xf numFmtId="0" fontId="6" fillId="5" borderId="46" xfId="3" applyBorder="1"/>
    <xf numFmtId="0" fontId="6" fillId="5" borderId="29" xfId="3" applyBorder="1"/>
    <xf numFmtId="0" fontId="6" fillId="5" borderId="31" xfId="3" applyBorder="1"/>
    <xf numFmtId="165" fontId="7" fillId="3" borderId="29" xfId="2" applyNumberFormat="1" applyBorder="1"/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2" fontId="7" fillId="3" borderId="17" xfId="2" applyBorder="1" applyAlignment="1">
      <alignment horizontal="right"/>
    </xf>
    <xf numFmtId="0" fontId="12" fillId="0" borderId="0" xfId="0" applyFont="1"/>
    <xf numFmtId="0" fontId="6" fillId="7" borderId="1" xfId="6"/>
  </cellXfs>
  <cellStyles count="8">
    <cellStyle name="Calculation" xfId="2" builtinId="22" customBuiltin="1"/>
    <cellStyle name="Heading" xfId="7" xr:uid="{4A5CAD3C-328B-4185-B9B3-01BFF4560A1D}"/>
    <cellStyle name="Input" xfId="1" builtinId="20" customBuiltin="1"/>
    <cellStyle name="List" xfId="6" xr:uid="{B572807A-5C15-4858-8350-2813B5ACDA4F}"/>
    <cellStyle name="Normal" xfId="0" builtinId="0" customBuiltin="1"/>
    <cellStyle name="Normal 2" xfId="4" xr:uid="{3497161C-0B84-40C5-928A-E1B8B47721D6}"/>
    <cellStyle name="Reference" xfId="3" xr:uid="{CA017954-14B9-4E38-B99E-8A06361DD410}"/>
    <cellStyle name="Result" xfId="5" xr:uid="{9DE2285B-D95A-4CDE-B34A-3CE3AB6672E6}"/>
  </cellStyles>
  <dxfs count="1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'M. Long TOB'!$R$6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68D-4F89-810F-ECDCBA3F0034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A68D-4F89-810F-ECDCBA3F0034}"/>
              </c:ext>
            </c:extLst>
          </c:dPt>
          <c:xVal>
            <c:numRef>
              <c:f>'M. Long TOB'!$S$6:$S$9</c:f>
              <c:numCache>
                <c:formatCode>General</c:formatCode>
                <c:ptCount val="4"/>
                <c:pt idx="0">
                  <c:v>0</c:v>
                </c:pt>
                <c:pt idx="1">
                  <c:v>21</c:v>
                </c:pt>
                <c:pt idx="2">
                  <c:v>65</c:v>
                </c:pt>
                <c:pt idx="3">
                  <c:v>0</c:v>
                </c:pt>
              </c:numCache>
            </c:numRef>
          </c:xVal>
          <c:yVal>
            <c:numRef>
              <c:f>'M. Long TOB'!$T$6:$T$9</c:f>
              <c:numCache>
                <c:formatCode>General</c:formatCode>
                <c:ptCount val="4"/>
                <c:pt idx="0">
                  <c:v>342</c:v>
                </c:pt>
                <c:pt idx="1">
                  <c:v>344</c:v>
                </c:pt>
                <c:pt idx="2">
                  <c:v>341</c:v>
                </c:pt>
                <c:pt idx="3">
                  <c:v>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8D-4F89-810F-ECDCBA3F0034}"/>
            </c:ext>
          </c:extLst>
        </c:ser>
        <c:ser>
          <c:idx val="1"/>
          <c:order val="1"/>
          <c:tx>
            <c:strRef>
              <c:f>'M. Long TOB'!$R$7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'M. Long TOB'!$C$7</c:f>
                <c:numCache>
                  <c:formatCode>General</c:formatCode>
                  <c:ptCount val="1"/>
                  <c:pt idx="0">
                    <c:v>344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'M. Long TOB'!$S$7</c:f>
              <c:numCache>
                <c:formatCode>General</c:formatCode>
                <c:ptCount val="1"/>
                <c:pt idx="0">
                  <c:v>21</c:v>
                </c:pt>
              </c:numCache>
            </c:numRef>
          </c:xVal>
          <c:yVal>
            <c:numRef>
              <c:f>'M. Long TOB'!$T$7</c:f>
              <c:numCache>
                <c:formatCode>General</c:formatCode>
                <c:ptCount val="1"/>
                <c:pt idx="0">
                  <c:v>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8D-4F89-810F-ECDCBA3F0034}"/>
            </c:ext>
          </c:extLst>
        </c:ser>
        <c:ser>
          <c:idx val="2"/>
          <c:order val="2"/>
          <c:tx>
            <c:strRef>
              <c:f>'M. Long TOB'!$R$8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8D-4F89-810F-ECDCBA3F0034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'M. Long TOB'!$S$8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'M. Long TOB'!$T$8</c:f>
              <c:numCache>
                <c:formatCode>General</c:formatCode>
                <c:ptCount val="1"/>
                <c:pt idx="0">
                  <c:v>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68D-4F89-810F-ECDCBA3F0034}"/>
            </c:ext>
          </c:extLst>
        </c:ser>
        <c:ser>
          <c:idx val="4"/>
          <c:order val="4"/>
          <c:tx>
            <c:strRef>
              <c:f>'M. Long TOB'!$R$9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A68D-4F89-810F-ECDCBA3F0034}"/>
              </c:ext>
            </c:extLst>
          </c:dPt>
          <c:xVal>
            <c:numRef>
              <c:f>'M. Long TOB'!$S$9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'M. Long TOB'!$T$9</c:f>
              <c:numCache>
                <c:formatCode>General</c:formatCode>
                <c:ptCount val="1"/>
                <c:pt idx="0">
                  <c:v>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68D-4F89-810F-ECDCBA3F0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'M. Long TOB'!$R$10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A68D-4F89-810F-ECDCBA3F0034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'M. Long TOB'!$S$10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'M. Long TOB'!$T$10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A68D-4F89-810F-ECDCBA3F0034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'M. Long OB'!$U$6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FED-4D86-A241-3496514F9238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5FED-4D86-A241-3496514F9238}"/>
              </c:ext>
            </c:extLst>
          </c:dPt>
          <c:xVal>
            <c:numRef>
              <c:f>'M. Long OB'!$V$6:$V$9</c:f>
              <c:numCache>
                <c:formatCode>General</c:formatCode>
                <c:ptCount val="4"/>
                <c:pt idx="0">
                  <c:v>0</c:v>
                </c:pt>
                <c:pt idx="1">
                  <c:v>28.2</c:v>
                </c:pt>
                <c:pt idx="2">
                  <c:v>72.099999999999994</c:v>
                </c:pt>
                <c:pt idx="3">
                  <c:v>0</c:v>
                </c:pt>
              </c:numCache>
            </c:numRef>
          </c:xVal>
          <c:yVal>
            <c:numRef>
              <c:f>'M. Long OB'!$W$6:$W$9</c:f>
              <c:numCache>
                <c:formatCode>General</c:formatCode>
                <c:ptCount val="4"/>
                <c:pt idx="0">
                  <c:v>74.2</c:v>
                </c:pt>
                <c:pt idx="1">
                  <c:v>75.400000000000006</c:v>
                </c:pt>
                <c:pt idx="2">
                  <c:v>65</c:v>
                </c:pt>
                <c:pt idx="3">
                  <c:v>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ED-4D86-A241-3496514F9238}"/>
            </c:ext>
          </c:extLst>
        </c:ser>
        <c:ser>
          <c:idx val="1"/>
          <c:order val="1"/>
          <c:tx>
            <c:strRef>
              <c:f>'M. Long OB'!$U$7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'M. Long OB'!$C$7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'M. Long OB'!$V$7</c:f>
              <c:numCache>
                <c:formatCode>General</c:formatCode>
                <c:ptCount val="1"/>
                <c:pt idx="0">
                  <c:v>28.2</c:v>
                </c:pt>
              </c:numCache>
            </c:numRef>
          </c:xVal>
          <c:yVal>
            <c:numRef>
              <c:f>'M. Long OB'!$W$7</c:f>
              <c:numCache>
                <c:formatCode>General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ED-4D86-A241-3496514F9238}"/>
            </c:ext>
          </c:extLst>
        </c:ser>
        <c:ser>
          <c:idx val="2"/>
          <c:order val="2"/>
          <c:tx>
            <c:strRef>
              <c:f>'M. Long OB'!$U$8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FED-4D86-A241-3496514F9238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'M. Long OB'!$V$8</c:f>
              <c:numCache>
                <c:formatCode>General</c:formatCode>
                <c:ptCount val="1"/>
                <c:pt idx="0">
                  <c:v>72.099999999999994</c:v>
                </c:pt>
              </c:numCache>
            </c:numRef>
          </c:xVal>
          <c:yVal>
            <c:numRef>
              <c:f>'M. Long OB'!$W$8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FED-4D86-A241-3496514F9238}"/>
            </c:ext>
          </c:extLst>
        </c:ser>
        <c:ser>
          <c:idx val="4"/>
          <c:order val="4"/>
          <c:tx>
            <c:strRef>
              <c:f>'M. Long OB'!$U$9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5FED-4D86-A241-3496514F9238}"/>
              </c:ext>
            </c:extLst>
          </c:dPt>
          <c:xVal>
            <c:numRef>
              <c:f>'M. Long OB'!$V$9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'M. Long OB'!$W$9</c:f>
              <c:numCache>
                <c:formatCode>General</c:formatCode>
                <c:ptCount val="1"/>
                <c:pt idx="0">
                  <c:v>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FED-4D86-A241-3496514F9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'M. Long OB'!$U$10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5FED-4D86-A241-3496514F9238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'M. Long OB'!$V$10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'M. Long OB'!$W$10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5FED-4D86-A241-3496514F9238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'ARI (manual)'!$R$6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4AD-49D7-8ED0-BC9AA292AADB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14AD-49D7-8ED0-BC9AA292AADB}"/>
              </c:ext>
            </c:extLst>
          </c:dPt>
          <c:xVal>
            <c:numRef>
              <c:f>'ARI (manual)'!$S$6:$S$9</c:f>
              <c:numCache>
                <c:formatCode>General</c:formatCode>
                <c:ptCount val="4"/>
                <c:pt idx="0">
                  <c:v>0</c:v>
                </c:pt>
                <c:pt idx="1">
                  <c:v>18</c:v>
                </c:pt>
                <c:pt idx="2">
                  <c:v>58</c:v>
                </c:pt>
                <c:pt idx="3">
                  <c:v>0</c:v>
                </c:pt>
              </c:numCache>
            </c:numRef>
          </c:xVal>
          <c:yVal>
            <c:numRef>
              <c:f>'ARI (manual)'!$T$6:$T$9</c:f>
              <c:numCache>
                <c:formatCode>General</c:formatCode>
                <c:ptCount val="4"/>
                <c:pt idx="0">
                  <c:v>9</c:v>
                </c:pt>
                <c:pt idx="1">
                  <c:v>11</c:v>
                </c:pt>
                <c:pt idx="2">
                  <c:v>7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AD-49D7-8ED0-BC9AA292AADB}"/>
            </c:ext>
          </c:extLst>
        </c:ser>
        <c:ser>
          <c:idx val="1"/>
          <c:order val="1"/>
          <c:tx>
            <c:strRef>
              <c:f>'ARI (manual)'!$R$7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'ARI (manual)'!$C$5</c:f>
                <c:numCache>
                  <c:formatCode>General</c:formatCode>
                  <c:ptCount val="1"/>
                  <c:pt idx="0">
                    <c:v>11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'ARI (manual)'!$S$7</c:f>
              <c:numCache>
                <c:formatCode>General</c:formatCode>
                <c:ptCount val="1"/>
                <c:pt idx="0">
                  <c:v>18</c:v>
                </c:pt>
              </c:numCache>
            </c:numRef>
          </c:xVal>
          <c:yVal>
            <c:numRef>
              <c:f>'ARI (manual)'!$T$7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AD-49D7-8ED0-BC9AA292AADB}"/>
            </c:ext>
          </c:extLst>
        </c:ser>
        <c:ser>
          <c:idx val="2"/>
          <c:order val="2"/>
          <c:tx>
            <c:strRef>
              <c:f>'ARI (manual)'!$R$8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4AD-49D7-8ED0-BC9AA292AADB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'ARI (manual)'!$S$8</c:f>
              <c:numCache>
                <c:formatCode>General</c:formatCode>
                <c:ptCount val="1"/>
                <c:pt idx="0">
                  <c:v>58</c:v>
                </c:pt>
              </c:numCache>
            </c:numRef>
          </c:xVal>
          <c:yVal>
            <c:numRef>
              <c:f>'ARI (manual)'!$T$8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AD-49D7-8ED0-BC9AA292AADB}"/>
            </c:ext>
          </c:extLst>
        </c:ser>
        <c:ser>
          <c:idx val="4"/>
          <c:order val="4"/>
          <c:tx>
            <c:strRef>
              <c:f>'ARI (manual)'!$R$9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14AD-49D7-8ED0-BC9AA292AADB}"/>
              </c:ext>
            </c:extLst>
          </c:dPt>
          <c:xVal>
            <c:numRef>
              <c:f>'ARI (manual)'!$S$9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'ARI (manual)'!$T$9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AD-49D7-8ED0-BC9AA292A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'ARI (manual)'!$R$10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14AD-49D7-8ED0-BC9AA292AADB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'ARI (manual)'!$S$10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'ARI (manual)'!$T$10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14AD-49D7-8ED0-BC9AA292AADB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'ARI (manual) (2)'!$R$6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F-4B9B-B0E7-A7228D9DC95D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623F-4B9B-B0E7-A7228D9DC95D}"/>
              </c:ext>
            </c:extLst>
          </c:dPt>
          <c:xVal>
            <c:numRef>
              <c:f>'ARI (manual) (2)'!$S$6:$S$9</c:f>
              <c:numCache>
                <c:formatCode>General</c:formatCode>
                <c:ptCount val="4"/>
                <c:pt idx="0">
                  <c:v>0</c:v>
                </c:pt>
                <c:pt idx="1">
                  <c:v>21</c:v>
                </c:pt>
                <c:pt idx="2">
                  <c:v>65</c:v>
                </c:pt>
                <c:pt idx="3">
                  <c:v>0</c:v>
                </c:pt>
              </c:numCache>
            </c:numRef>
          </c:xVal>
          <c:yVal>
            <c:numRef>
              <c:f>'ARI (manual) (2)'!$T$6:$T$9</c:f>
              <c:numCache>
                <c:formatCode>General</c:formatCode>
                <c:ptCount val="4"/>
                <c:pt idx="0">
                  <c:v>342</c:v>
                </c:pt>
                <c:pt idx="1">
                  <c:v>344</c:v>
                </c:pt>
                <c:pt idx="2">
                  <c:v>341</c:v>
                </c:pt>
                <c:pt idx="3">
                  <c:v>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F-4B9B-B0E7-A7228D9DC95D}"/>
            </c:ext>
          </c:extLst>
        </c:ser>
        <c:ser>
          <c:idx val="1"/>
          <c:order val="1"/>
          <c:tx>
            <c:strRef>
              <c:f>'ARI (manual) (2)'!$R$7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'ARI (manual) (2)'!$C$5</c:f>
                <c:numCache>
                  <c:formatCode>General</c:formatCode>
                  <c:ptCount val="1"/>
                  <c:pt idx="0">
                    <c:v>344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'ARI (manual) (2)'!$S$7</c:f>
              <c:numCache>
                <c:formatCode>General</c:formatCode>
                <c:ptCount val="1"/>
                <c:pt idx="0">
                  <c:v>21</c:v>
                </c:pt>
              </c:numCache>
            </c:numRef>
          </c:xVal>
          <c:yVal>
            <c:numRef>
              <c:f>'ARI (manual) (2)'!$T$7</c:f>
              <c:numCache>
                <c:formatCode>General</c:formatCode>
                <c:ptCount val="1"/>
                <c:pt idx="0">
                  <c:v>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F-4B9B-B0E7-A7228D9DC95D}"/>
            </c:ext>
          </c:extLst>
        </c:ser>
        <c:ser>
          <c:idx val="2"/>
          <c:order val="2"/>
          <c:tx>
            <c:strRef>
              <c:f>'ARI (manual) (2)'!$R$8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3F-4B9B-B0E7-A7228D9DC95D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'ARI (manual) (2)'!$S$8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'ARI (manual) (2)'!$T$8</c:f>
              <c:numCache>
                <c:formatCode>General</c:formatCode>
                <c:ptCount val="1"/>
                <c:pt idx="0">
                  <c:v>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3F-4B9B-B0E7-A7228D9DC95D}"/>
            </c:ext>
          </c:extLst>
        </c:ser>
        <c:ser>
          <c:idx val="4"/>
          <c:order val="4"/>
          <c:tx>
            <c:strRef>
              <c:f>'ARI (manual) (2)'!$R$9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623F-4B9B-B0E7-A7228D9DC95D}"/>
              </c:ext>
            </c:extLst>
          </c:dPt>
          <c:xVal>
            <c:numRef>
              <c:f>'ARI (manual) (2)'!$S$9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'ARI (manual) (2)'!$T$9</c:f>
              <c:numCache>
                <c:formatCode>General</c:formatCode>
                <c:ptCount val="1"/>
                <c:pt idx="0">
                  <c:v>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23F-4B9B-B0E7-A7228D9DC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'ARI (manual) (2)'!$R$10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623F-4B9B-B0E7-A7228D9DC95D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'ARI (manual) (2)'!$S$10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'ARI (manual) (2)'!$T$10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623F-4B9B-B0E7-A7228D9DC95D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'ARI (auto)'!$R$6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8C3-4D12-AE2B-D5E96CC7C6C7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D8C3-4D12-AE2B-D5E96CC7C6C7}"/>
              </c:ext>
            </c:extLst>
          </c:dPt>
          <c:xVal>
            <c:numRef>
              <c:f>'ARI (auto)'!$S$6:$S$9</c:f>
              <c:numCache>
                <c:formatCode>General</c:formatCode>
                <c:ptCount val="4"/>
                <c:pt idx="0">
                  <c:v>0</c:v>
                </c:pt>
                <c:pt idx="1">
                  <c:v>30.384283499188783</c:v>
                </c:pt>
                <c:pt idx="2">
                  <c:v>134.31678971744373</c:v>
                </c:pt>
                <c:pt idx="3">
                  <c:v>0</c:v>
                </c:pt>
              </c:numCache>
            </c:numRef>
          </c:xVal>
          <c:yVal>
            <c:numRef>
              <c:f>'ARI (auto)'!$T$6:$T$9</c:f>
              <c:numCache>
                <c:formatCode>0.00</c:formatCode>
                <c:ptCount val="4"/>
                <c:pt idx="0" formatCode="General">
                  <c:v>274.47000000000003</c:v>
                </c:pt>
                <c:pt idx="1">
                  <c:v>278.7</c:v>
                </c:pt>
                <c:pt idx="2" formatCode="General">
                  <c:v>274.39999999999998</c:v>
                </c:pt>
                <c:pt idx="3" formatCode="General">
                  <c:v>274.47000000000003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C3-4D12-AE2B-D5E96CC7C6C7}"/>
            </c:ext>
          </c:extLst>
        </c:ser>
        <c:ser>
          <c:idx val="1"/>
          <c:order val="1"/>
          <c:tx>
            <c:strRef>
              <c:f>'ARI (auto)'!$R$7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'ARI (auto)'!$F$5</c:f>
                <c:numCache>
                  <c:formatCode>General</c:formatCode>
                  <c:ptCount val="1"/>
                  <c:pt idx="0">
                    <c:v>278.7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'ARI (auto)'!$S$7</c:f>
              <c:numCache>
                <c:formatCode>General</c:formatCode>
                <c:ptCount val="1"/>
                <c:pt idx="0">
                  <c:v>30.384283499188783</c:v>
                </c:pt>
              </c:numCache>
            </c:numRef>
          </c:xVal>
          <c:yVal>
            <c:numRef>
              <c:f>'ARI (auto)'!$T$7</c:f>
              <c:numCache>
                <c:formatCode>0.00</c:formatCode>
                <c:ptCount val="1"/>
                <c:pt idx="0">
                  <c:v>278.7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C3-4D12-AE2B-D5E96CC7C6C7}"/>
            </c:ext>
          </c:extLst>
        </c:ser>
        <c:ser>
          <c:idx val="2"/>
          <c:order val="2"/>
          <c:tx>
            <c:strRef>
              <c:f>'ARI (auto)'!$R$8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C3-4D12-AE2B-D5E96CC7C6C7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'ARI (auto)'!$S$8</c:f>
              <c:numCache>
                <c:formatCode>General</c:formatCode>
                <c:ptCount val="1"/>
                <c:pt idx="0">
                  <c:v>134.31678971744373</c:v>
                </c:pt>
              </c:numCache>
            </c:numRef>
          </c:xVal>
          <c:yVal>
            <c:numRef>
              <c:f>'ARI (auto)'!$T$8</c:f>
              <c:numCache>
                <c:formatCode>General</c:formatCode>
                <c:ptCount val="1"/>
                <c:pt idx="0">
                  <c:v>274.39999999999998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C3-4D12-AE2B-D5E96CC7C6C7}"/>
            </c:ext>
          </c:extLst>
        </c:ser>
        <c:ser>
          <c:idx val="4"/>
          <c:order val="4"/>
          <c:tx>
            <c:strRef>
              <c:f>'ARI (auto)'!$R$9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D8C3-4D12-AE2B-D5E96CC7C6C7}"/>
              </c:ext>
            </c:extLst>
          </c:dPt>
          <c:xVal>
            <c:numRef>
              <c:f>'ARI (auto)'!$S$9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'ARI (auto)'!$T$9</c:f>
              <c:numCache>
                <c:formatCode>General</c:formatCode>
                <c:ptCount val="1"/>
                <c:pt idx="0">
                  <c:v>274.47000000000003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C3-4D12-AE2B-D5E96CC7C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'ARI (auto)'!$R$10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D8C3-4D12-AE2B-D5E96CC7C6C7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'ARI (auto)'!$S$10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'ARI (auto)'!$T$10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D8C3-4D12-AE2B-D5E96CC7C6C7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222787</xdr:colOff>
      <xdr:row>39</xdr:row>
      <xdr:rowOff>82732</xdr:rowOff>
    </xdr:from>
    <xdr:to>
      <xdr:col>9</xdr:col>
      <xdr:colOff>184687</xdr:colOff>
      <xdr:row>48</xdr:row>
      <xdr:rowOff>174394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6319F3-6622-468C-9F42-955D200C7F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222787" y="9281161"/>
          <a:ext cx="5935436" cy="349344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8222716" y="10334226"/>
    <xdr:ext cx="8663609" cy="62865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4B8617-3CFD-47AC-B8BC-4BD1F053884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M. Long TOB'!$V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EE34E80-AEDB-4494-95FA-F02BA6888728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 algn="ctr"/>
            <a:t>condenser to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M. Long TOB'!$V$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Path-Length Difference (L) = 0.19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M. Long TOB'!$V$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A = 21.1, B = 44.1, D = 65.01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0.86736</cdr:y>
    </cdr:from>
    <cdr:to>
      <cdr:x>0.45907</cdr:x>
      <cdr:y>0.90969</cdr:y>
    </cdr:to>
    <cdr:sp macro="" textlink="'M. Long TOB'!$V$7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404140" y="5446233"/>
          <a:ext cx="157125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Source Height: 342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0.90122</cdr:y>
    </cdr:from>
    <cdr:to>
      <cdr:x>0.54297</cdr:x>
      <cdr:y>0.94356</cdr:y>
    </cdr:to>
    <cdr:sp macro="" textlink="'M. Long TOB'!$V$8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398232" y="5658884"/>
          <a:ext cx="2303721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Barrier Location: X = 21 ft, Y = 344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0.93621</cdr:y>
    </cdr:from>
    <cdr:to>
      <cdr:x>0.54611</cdr:x>
      <cdr:y>0.98024</cdr:y>
    </cdr:to>
    <cdr:sp macro="" textlink="'M. Long TOB'!$V$9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399300" y="5885488"/>
          <a:ext cx="2331984" cy="2767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Receiver Location: X = 65 ft, Y = 341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M. Long TOB'!$V$11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5CF840B-44D6-4830-85F6-3CEEA980A917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ARI: 2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735106</xdr:colOff>
      <xdr:row>48</xdr:row>
      <xdr:rowOff>72087</xdr:rowOff>
    </xdr:from>
    <xdr:to>
      <xdr:col>10</xdr:col>
      <xdr:colOff>177613</xdr:colOff>
      <xdr:row>63</xdr:row>
      <xdr:rowOff>116124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3C7D9A-7DE4-41DF-A4BB-87DA70B008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977153" y="11385546"/>
          <a:ext cx="5457825" cy="309203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9723062" y="450752"/>
    <xdr:ext cx="10691800" cy="7793414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A69123-3F5B-46F6-A15F-E2C6BA4073A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M. Long OB'!$C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AEB32C37-EA4E-4D49-924F-C7A36EB6A8AF}" type="TxLink">
            <a:rPr lang="en-US" sz="1100" b="0" i="0" u="none" strike="noStrike">
              <a:solidFill>
                <a:srgbClr val="3F3F76"/>
              </a:solidFill>
              <a:latin typeface="Arial Narrow"/>
            </a:rPr>
            <a:t>MAU-R1 to R1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M. Long OB'!$Y$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Path-Length Difference (L) = 0.66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M. Long OB'!$Y$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A = 28.23, B = 45.12, D = 72.68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0.86736</cdr:y>
    </cdr:from>
    <cdr:to>
      <cdr:x>0.45907</cdr:x>
      <cdr:y>0.90969</cdr:y>
    </cdr:to>
    <cdr:sp macro="" textlink="'M. Long OB'!$Y$7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404140" y="5446233"/>
          <a:ext cx="157125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Source Height: 74.2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0.90122</cdr:y>
    </cdr:from>
    <cdr:to>
      <cdr:x>0.54297</cdr:x>
      <cdr:y>0.94356</cdr:y>
    </cdr:to>
    <cdr:sp macro="" textlink="'M. Long OB'!$Y$8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398232" y="5658884"/>
          <a:ext cx="2303721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Barrier Location: X = 28.2 ft, Y = 75.4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0.93621</cdr:y>
    </cdr:from>
    <cdr:to>
      <cdr:x>0.54611</cdr:x>
      <cdr:y>0.98024</cdr:y>
    </cdr:to>
    <cdr:sp macro="" textlink="'M. Long OB'!$Y$9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399300" y="5885488"/>
          <a:ext cx="2331984" cy="2767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Receiver Location: X = 72.1 ft, Y = 65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M. Long OB'!$Y$11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6116C365-101E-4332-AEFB-B4286850CEB0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ARI: 5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0.00942</cdr:x>
      <cdr:y>0.96707</cdr:y>
    </cdr:from>
    <cdr:to>
      <cdr:x>0.23679</cdr:x>
      <cdr:y>1</cdr:y>
    </cdr:to>
    <cdr:sp macro="" textlink="'M. Long OB'!$Q$16">
      <cdr:nvSpPr>
        <cdr:cNvPr id="12" name="TextBox 11">
          <a:extLst xmlns:a="http://schemas.openxmlformats.org/drawingml/2006/main">
            <a:ext uri="{FF2B5EF4-FFF2-40B4-BE49-F238E27FC236}">
              <a16:creationId xmlns:a16="http://schemas.microsoft.com/office/drawing/2014/main" id="{9FD1D268-DC9A-4C57-A862-C7F95D1F4B28}"/>
            </a:ext>
          </a:extLst>
        </cdr:cNvPr>
        <cdr:cNvSpPr txBox="1"/>
      </cdr:nvSpPr>
      <cdr:spPr>
        <a:xfrm xmlns:a="http://schemas.openxmlformats.org/drawingml/2006/main">
          <a:off x="100717" y="7536800"/>
          <a:ext cx="2430974" cy="2566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1855F06C-67E8-4A02-BF79-19ABE1EE3C0B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OB Fresnel: 12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112059</xdr:colOff>
      <xdr:row>26</xdr:row>
      <xdr:rowOff>60317</xdr:rowOff>
    </xdr:from>
    <xdr:to>
      <xdr:col>6</xdr:col>
      <xdr:colOff>340641</xdr:colOff>
      <xdr:row>42</xdr:row>
      <xdr:rowOff>101652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DB7EB8-B83B-431C-9C7C-160AABD2AD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384202" y="5448746"/>
          <a:ext cx="6066046" cy="359279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8686159" y="436432"/>
    <xdr:ext cx="8663609" cy="62865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8FE9FA-1DCC-448C-AF86-35C759E46DA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ARI (manual)'!$V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EE34E80-AEDB-4494-95FA-F02BA6888728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 algn="ctr"/>
            <a:t>Condenser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ARI (manual)'!$V$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Path-Length Difference (L) = 0.28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ARI (manual)'!$V$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A = 18.11, B = 40.2, D = 58.03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0.86736</cdr:y>
    </cdr:from>
    <cdr:to>
      <cdr:x>0.45907</cdr:x>
      <cdr:y>0.90969</cdr:y>
    </cdr:to>
    <cdr:sp macro="" textlink="'ARI (manual)'!$V$7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404140" y="5446233"/>
          <a:ext cx="157125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Source Height: 9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0.90122</cdr:y>
    </cdr:from>
    <cdr:to>
      <cdr:x>0.54297</cdr:x>
      <cdr:y>0.94356</cdr:y>
    </cdr:to>
    <cdr:sp macro="" textlink="'ARI (manual)'!$V$8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398232" y="5658884"/>
          <a:ext cx="2303721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Barrier Location: X = 18 ft, Y = 11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0.93058</cdr:y>
    </cdr:from>
    <cdr:to>
      <cdr:x>0.53659</cdr:x>
      <cdr:y>0.98024</cdr:y>
    </cdr:to>
    <cdr:sp macro="" textlink="'ARI (manual)'!$V$9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399300" y="5850069"/>
          <a:ext cx="2249541" cy="3122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Receiver Location: X = 58 ft, Y = 7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ARI (manual)'!$V$11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5CF840B-44D6-4830-85F6-3CEEA980A917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ARI: 2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578784</xdr:colOff>
      <xdr:row>25</xdr:row>
      <xdr:rowOff>184142</xdr:rowOff>
    </xdr:from>
    <xdr:to>
      <xdr:col>7</xdr:col>
      <xdr:colOff>340641</xdr:colOff>
      <xdr:row>42</xdr:row>
      <xdr:rowOff>15927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10FBF2-C906-4B79-ACE3-D3FCF594D1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845484" y="5480042"/>
          <a:ext cx="6067407" cy="367036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8686159" y="436432"/>
    <xdr:ext cx="8663609" cy="62865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18331D-5B01-4FBC-945F-A9A297C797F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ARI (manual) (2)'!$V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EE34E80-AEDB-4494-95FA-F02BA6888728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 algn="ctr"/>
            <a:t>Condenser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ARI (manual) (2)'!$V$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Path-Length Difference (L) = 0.19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ARI (manual) (2)'!$V$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A = 21.1, B = 44.1, D = 65.01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0.86736</cdr:y>
    </cdr:from>
    <cdr:to>
      <cdr:x>0.45907</cdr:x>
      <cdr:y>0.90969</cdr:y>
    </cdr:to>
    <cdr:sp macro="" textlink="'ARI (manual) (2)'!$V$7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404140" y="5446233"/>
          <a:ext cx="157125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Source Height: 342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0.90122</cdr:y>
    </cdr:from>
    <cdr:to>
      <cdr:x>0.54297</cdr:x>
      <cdr:y>0.94356</cdr:y>
    </cdr:to>
    <cdr:sp macro="" textlink="'ARI (manual) (2)'!$V$8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398232" y="5658884"/>
          <a:ext cx="2303721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Barrier Location: X = 21 ft, Y = 344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0.93058</cdr:y>
    </cdr:from>
    <cdr:to>
      <cdr:x>0.53659</cdr:x>
      <cdr:y>0.98024</cdr:y>
    </cdr:to>
    <cdr:sp macro="" textlink="'ARI (manual) (2)'!$V$9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399300" y="5850069"/>
          <a:ext cx="2249541" cy="3122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Receiver Location: X = 65 ft, Y = 341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ARI (manual) (2)'!$V$11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5CF840B-44D6-4830-85F6-3CEEA980A917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ARI: 2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403412</xdr:colOff>
      <xdr:row>18</xdr:row>
      <xdr:rowOff>49111</xdr:rowOff>
    </xdr:from>
    <xdr:to>
      <xdr:col>21</xdr:col>
      <xdr:colOff>101314</xdr:colOff>
      <xdr:row>35</xdr:row>
      <xdr:rowOff>101652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83F384-CFCF-485A-AA97-DF4D1B4433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9468971" y="3993582"/>
          <a:ext cx="6096461" cy="37168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8515511" y="91888"/>
    <xdr:ext cx="8663609" cy="62865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341446-5A90-4660-A60C-21F8608153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ARI (auto)'!$V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EE34E80-AEDB-4494-95FA-F02BA6888728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 algn="ctr"/>
            <a:t>Dry Cooler to R4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ARI (auto)'!$V$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Path-Length Difference (L) = 0.4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ARI (auto)'!$V$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A = 30.7, B = 104, D = 134.3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0.86736</cdr:y>
    </cdr:from>
    <cdr:to>
      <cdr:x>0.45907</cdr:x>
      <cdr:y>0.90969</cdr:y>
    </cdr:to>
    <cdr:sp macro="" textlink="'ARI (auto)'!$V$7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404140" y="5446233"/>
          <a:ext cx="157125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Source Height: 274.5 ft</a:t>
          </a:fld>
          <a:endParaRPr lang="en-US" sz="1100" b="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0.90613</cdr:y>
    </cdr:from>
    <cdr:to>
      <cdr:x>0.55766</cdr:x>
      <cdr:y>0.94356</cdr:y>
    </cdr:to>
    <cdr:sp macro="" textlink="'ARI (auto)'!$V$8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399299" y="5696388"/>
          <a:ext cx="2432035" cy="2353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Barrier Location: X = 30.4 ft, Y = 278.7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0.27779</cdr:x>
      <cdr:y>0.94271</cdr:y>
    </cdr:from>
    <cdr:to>
      <cdr:x>0.54465</cdr:x>
      <cdr:y>0.98257</cdr:y>
    </cdr:to>
    <cdr:sp macro="" textlink="'ARI (auto)'!$V$9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406627" y="5926353"/>
          <a:ext cx="2311971" cy="250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Receiver Location: X = 134.3 ft, Y = 274.4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ARI (auto)'!$V$11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5CF840B-44D6-4830-85F6-3CEEA980A917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ARI: 3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A72F5-ACF7-473B-8895-EDA6CA7D94CE}">
  <sheetPr codeName="Sheet4">
    <tabColor rgb="FF92D050"/>
  </sheetPr>
  <dimension ref="B1:AX88"/>
  <sheetViews>
    <sheetView zoomScaleNormal="100" workbookViewId="0">
      <selection activeCell="G5" sqref="G5:P9"/>
    </sheetView>
  </sheetViews>
  <sheetFormatPr defaultRowHeight="13.8"/>
  <cols>
    <col min="1" max="1" width="4" customWidth="1"/>
    <col min="2" max="2" width="43.25" bestFit="1" customWidth="1"/>
    <col min="3" max="3" width="6.875" customWidth="1"/>
    <col min="4" max="4" width="3.375" customWidth="1"/>
    <col min="5" max="5" width="7.25" customWidth="1"/>
    <col min="6" max="6" width="3.625" customWidth="1"/>
    <col min="7" max="7" width="6.875" customWidth="1"/>
    <col min="8" max="14" width="7" customWidth="1"/>
    <col min="15" max="15" width="7.625" customWidth="1"/>
    <col min="16" max="16" width="7" customWidth="1"/>
    <col min="18" max="18" width="27.25" bestFit="1" customWidth="1"/>
    <col min="19" max="19" width="12" bestFit="1" customWidth="1"/>
    <col min="20" max="21" width="5.625" bestFit="1" customWidth="1"/>
    <col min="22" max="22" width="30.125" bestFit="1" customWidth="1"/>
    <col min="23" max="23" width="5.625" bestFit="1" customWidth="1"/>
    <col min="24" max="24" width="11" bestFit="1" customWidth="1"/>
    <col min="25" max="25" width="10.125" bestFit="1" customWidth="1"/>
    <col min="26" max="27" width="11" bestFit="1" customWidth="1"/>
    <col min="28" max="35" width="10.875" customWidth="1"/>
    <col min="36" max="36" width="12.25" customWidth="1"/>
    <col min="37" max="38" width="10.875" customWidth="1"/>
    <col min="39" max="48" width="11.25" customWidth="1"/>
    <col min="49" max="50" width="12.25" customWidth="1"/>
  </cols>
  <sheetData>
    <row r="1" spans="2:49">
      <c r="C1" s="19" t="s">
        <v>37</v>
      </c>
      <c r="E1" s="19" t="s">
        <v>38</v>
      </c>
    </row>
    <row r="2" spans="2:49">
      <c r="C2" s="4" t="s">
        <v>96</v>
      </c>
      <c r="D2" t="s">
        <v>55</v>
      </c>
      <c r="E2" s="4"/>
      <c r="F2" s="21"/>
      <c r="G2" s="21"/>
    </row>
    <row r="3" spans="2:49" ht="14.4" thickBot="1"/>
    <row r="4" spans="2:49" ht="102" customHeight="1" thickBot="1">
      <c r="E4" s="52" t="s">
        <v>64</v>
      </c>
      <c r="F4" s="18"/>
      <c r="G4" s="53" t="s">
        <v>57</v>
      </c>
      <c r="H4" s="50" t="s">
        <v>58</v>
      </c>
      <c r="I4" s="50" t="s">
        <v>65</v>
      </c>
      <c r="J4" s="50" t="s">
        <v>66</v>
      </c>
      <c r="K4" s="50" t="s">
        <v>0</v>
      </c>
      <c r="L4" s="50" t="s">
        <v>35</v>
      </c>
      <c r="M4" s="50" t="s">
        <v>67</v>
      </c>
      <c r="N4" s="50" t="s">
        <v>52</v>
      </c>
      <c r="O4" s="50" t="s">
        <v>68</v>
      </c>
      <c r="P4" s="51" t="s">
        <v>69</v>
      </c>
      <c r="Q4" s="20"/>
    </row>
    <row r="5" spans="2:49">
      <c r="B5" s="9" t="s">
        <v>92</v>
      </c>
      <c r="C5" s="77">
        <v>342</v>
      </c>
      <c r="E5" s="24">
        <f t="shared" ref="E5:E35" si="0">(2*$C$18)/($C$21/G5)</f>
        <v>6.7193404095339526E-3</v>
      </c>
      <c r="G5" s="54">
        <v>20</v>
      </c>
      <c r="H5" s="22"/>
      <c r="I5" s="37">
        <f>IFERROR($C$24*LOG($C$11/$C$14),0)</f>
        <v>0</v>
      </c>
      <c r="J5" s="37">
        <f>H5+I5</f>
        <v>0</v>
      </c>
      <c r="K5" s="37">
        <f t="shared" ref="K5:K35" si="1">(20*LOG10((SQRT(2*PI()*E5))/(TANH(SQRT(2*PI()*E5)))) + $C$33 +$C$23)^$C$27</f>
        <v>5.1210460776388382</v>
      </c>
      <c r="L5" s="37">
        <f t="shared" ref="L5:L35" si="2">IF(K5&gt;$C$32,$C$32,K5)</f>
        <v>5.1210460776388382</v>
      </c>
      <c r="M5" s="37">
        <f>J5-L5</f>
        <v>-5.1210460776388382</v>
      </c>
      <c r="N5" s="37">
        <v>-50.5</v>
      </c>
      <c r="O5" s="37">
        <f>SUM(J5,N5)</f>
        <v>-50.5</v>
      </c>
      <c r="P5" s="48">
        <f>SUM(M5:N5)</f>
        <v>-55.621046077638837</v>
      </c>
      <c r="S5" s="14" t="s">
        <v>39</v>
      </c>
      <c r="T5" s="14" t="s">
        <v>40</v>
      </c>
      <c r="V5" t="str">
        <f>"Path-Length Difference (L) = " &amp;ROUND(C18,2) &amp;" ft"</f>
        <v>Path-Length Difference (L) = 0.19 ft</v>
      </c>
    </row>
    <row r="6" spans="2:49">
      <c r="B6" s="5" t="s">
        <v>93</v>
      </c>
      <c r="C6" s="78">
        <v>341</v>
      </c>
      <c r="E6" s="25">
        <f t="shared" si="0"/>
        <v>8.3991755119174408E-3</v>
      </c>
      <c r="G6" s="54">
        <v>25</v>
      </c>
      <c r="H6" s="22"/>
      <c r="I6" s="37">
        <f>IFERROR($C$24*LOG($C$11/$C$14),0)</f>
        <v>0</v>
      </c>
      <c r="J6" s="37">
        <f>H6+I6</f>
        <v>0</v>
      </c>
      <c r="K6" s="37">
        <f t="shared" si="1"/>
        <v>5.1509411326782129</v>
      </c>
      <c r="L6" s="37">
        <f t="shared" si="2"/>
        <v>5.1509411326782129</v>
      </c>
      <c r="M6" s="37">
        <f t="shared" ref="M6:M35" si="3">J6-L6</f>
        <v>-5.1509411326782129</v>
      </c>
      <c r="N6" s="37">
        <v>-44.7</v>
      </c>
      <c r="O6" s="37">
        <f t="shared" ref="O6:O35" si="4">SUM(J6,N6)</f>
        <v>-44.7</v>
      </c>
      <c r="P6" s="48">
        <f t="shared" ref="P6:P35" si="5">SUM(M6:N6)</f>
        <v>-49.850941132678216</v>
      </c>
      <c r="R6" s="13" t="s">
        <v>50</v>
      </c>
      <c r="S6">
        <v>0</v>
      </c>
      <c r="T6">
        <f>C5</f>
        <v>342</v>
      </c>
      <c r="V6" t="str">
        <f>"A = " &amp; ROUND(C19,2) &amp; ", B = " &amp;ROUND(C20,2) &amp;", D = " &amp;ROUND(C14,2)</f>
        <v>A = 21.1, B = 44.1, D = 65.01</v>
      </c>
    </row>
    <row r="7" spans="2:49" ht="14.4" thickBot="1">
      <c r="B7" s="6" t="s">
        <v>91</v>
      </c>
      <c r="C7" s="79">
        <v>344</v>
      </c>
      <c r="E7" s="25">
        <f t="shared" si="0"/>
        <v>1.0582961145015975E-2</v>
      </c>
      <c r="G7" s="54">
        <v>31.5</v>
      </c>
      <c r="H7" s="22"/>
      <c r="I7" s="37">
        <f t="shared" ref="I7:I35" si="6">IFERROR($C$24*LOG($C$11/$C$14),0)</f>
        <v>0</v>
      </c>
      <c r="J7" s="37">
        <f t="shared" ref="J7:J35" si="7">H7+I7</f>
        <v>0</v>
      </c>
      <c r="K7" s="37">
        <f t="shared" si="1"/>
        <v>5.1895895642329073</v>
      </c>
      <c r="L7" s="37">
        <f t="shared" si="2"/>
        <v>5.1895895642329073</v>
      </c>
      <c r="M7" s="37">
        <f t="shared" si="3"/>
        <v>-5.1895895642329073</v>
      </c>
      <c r="N7" s="37">
        <v>-39.4</v>
      </c>
      <c r="O7" s="37">
        <f t="shared" si="4"/>
        <v>-39.4</v>
      </c>
      <c r="P7" s="48">
        <f t="shared" si="5"/>
        <v>-44.589589564232909</v>
      </c>
      <c r="R7" s="13" t="s">
        <v>51</v>
      </c>
      <c r="S7">
        <f>C9</f>
        <v>21</v>
      </c>
      <c r="T7">
        <f>C7</f>
        <v>344</v>
      </c>
      <c r="V7" t="str">
        <f>"Source Height: " &amp; ROUND(T9,2) &amp; " ft"</f>
        <v>Source Height: 342 ft</v>
      </c>
    </row>
    <row r="8" spans="2:49">
      <c r="B8" s="10" t="s">
        <v>45</v>
      </c>
      <c r="C8" s="27">
        <v>65</v>
      </c>
      <c r="E8" s="25">
        <f t="shared" si="0"/>
        <v>1.3438680819067905E-2</v>
      </c>
      <c r="G8" s="54">
        <v>40</v>
      </c>
      <c r="H8" s="22"/>
      <c r="I8" s="37">
        <f t="shared" si="6"/>
        <v>0</v>
      </c>
      <c r="J8" s="37">
        <f t="shared" si="7"/>
        <v>0</v>
      </c>
      <c r="K8" s="37">
        <f t="shared" si="1"/>
        <v>5.2397670885164516</v>
      </c>
      <c r="L8" s="37">
        <f t="shared" si="2"/>
        <v>5.2397670885164516</v>
      </c>
      <c r="M8" s="37">
        <f t="shared" si="3"/>
        <v>-5.2397670885164516</v>
      </c>
      <c r="N8" s="37">
        <v>-34.6</v>
      </c>
      <c r="O8" s="37">
        <f t="shared" si="4"/>
        <v>-34.6</v>
      </c>
      <c r="P8" s="48">
        <f t="shared" si="5"/>
        <v>-39.839767088516453</v>
      </c>
      <c r="R8" s="13" t="s">
        <v>38</v>
      </c>
      <c r="S8">
        <f>C8</f>
        <v>65</v>
      </c>
      <c r="T8">
        <f>C6</f>
        <v>341</v>
      </c>
      <c r="V8" t="str">
        <f>"Barrier Location: X = " &amp; ROUND(S7,2) &amp; " ft, Y = " &amp; ROUND(T7,2) &amp; " ft"</f>
        <v>Barrier Location: X = 21 ft, Y = 344 ft</v>
      </c>
    </row>
    <row r="9" spans="2:49" ht="14.4" thickBot="1">
      <c r="B9" s="11" t="s">
        <v>46</v>
      </c>
      <c r="C9" s="101">
        <v>21</v>
      </c>
      <c r="E9" s="25">
        <f t="shared" si="0"/>
        <v>1.6798351023834882E-2</v>
      </c>
      <c r="G9" s="54">
        <v>50</v>
      </c>
      <c r="H9" s="22"/>
      <c r="I9" s="37">
        <f t="shared" si="6"/>
        <v>0</v>
      </c>
      <c r="J9" s="37">
        <f t="shared" si="7"/>
        <v>0</v>
      </c>
      <c r="K9" s="37">
        <f t="shared" si="1"/>
        <v>5.2982806787351011</v>
      </c>
      <c r="L9" s="37">
        <f t="shared" si="2"/>
        <v>5.2982806787351011</v>
      </c>
      <c r="M9" s="37">
        <f t="shared" si="3"/>
        <v>-5.2982806787351011</v>
      </c>
      <c r="N9" s="37">
        <v>-30.2</v>
      </c>
      <c r="O9" s="37">
        <f t="shared" si="4"/>
        <v>-30.2</v>
      </c>
      <c r="P9" s="48">
        <f t="shared" si="5"/>
        <v>-35.4982806787351</v>
      </c>
      <c r="R9" s="13" t="s">
        <v>37</v>
      </c>
      <c r="S9">
        <v>0</v>
      </c>
      <c r="T9">
        <f>T6</f>
        <v>342</v>
      </c>
      <c r="V9" t="str">
        <f>"Receiver Location: X = " &amp; ROUND(S8,2) &amp; " ft, Y = " &amp; ROUND(T8,2) &amp; " ft"</f>
        <v>Receiver Location: X = 65 ft, Y = 341 ft</v>
      </c>
    </row>
    <row r="10" spans="2:49">
      <c r="B10" s="12" t="s">
        <v>16</v>
      </c>
      <c r="C10" s="100">
        <f>C8-C9</f>
        <v>44</v>
      </c>
      <c r="E10" s="25">
        <f t="shared" si="0"/>
        <v>2.116592229003195E-2</v>
      </c>
      <c r="G10" s="54">
        <v>63</v>
      </c>
      <c r="H10" s="22">
        <v>60</v>
      </c>
      <c r="I10" s="37">
        <f t="shared" si="6"/>
        <v>0</v>
      </c>
      <c r="J10" s="37">
        <f t="shared" si="7"/>
        <v>60</v>
      </c>
      <c r="K10" s="37">
        <f t="shared" si="1"/>
        <v>5.3735248336276324</v>
      </c>
      <c r="L10" s="37">
        <f t="shared" si="2"/>
        <v>5.3735248336276324</v>
      </c>
      <c r="M10" s="37">
        <f t="shared" si="3"/>
        <v>54.626475166372366</v>
      </c>
      <c r="N10" s="37">
        <v>-26.2</v>
      </c>
      <c r="O10" s="37">
        <f t="shared" si="4"/>
        <v>33.799999999999997</v>
      </c>
      <c r="P10" s="48">
        <f t="shared" si="5"/>
        <v>28.426475166372366</v>
      </c>
      <c r="R10" s="13" t="s">
        <v>41</v>
      </c>
      <c r="S10">
        <f>C11</f>
        <v>0</v>
      </c>
      <c r="T10">
        <v>3.28</v>
      </c>
      <c r="V10" t="str">
        <f>R12</f>
        <v>condenser to</v>
      </c>
    </row>
    <row r="11" spans="2:49">
      <c r="B11" s="12" t="s">
        <v>15</v>
      </c>
      <c r="C11" s="31">
        <f>SQRT(C12^2+C13^2)</f>
        <v>0</v>
      </c>
      <c r="E11" s="25">
        <f t="shared" si="0"/>
        <v>2.687736163813581E-2</v>
      </c>
      <c r="G11" s="54">
        <v>80</v>
      </c>
      <c r="H11" s="22"/>
      <c r="I11" s="37">
        <f t="shared" si="6"/>
        <v>0</v>
      </c>
      <c r="J11" s="37">
        <f t="shared" si="7"/>
        <v>0</v>
      </c>
      <c r="K11" s="37">
        <f t="shared" si="1"/>
        <v>5.470547839237911</v>
      </c>
      <c r="L11" s="37">
        <f t="shared" si="2"/>
        <v>5.470547839237911</v>
      </c>
      <c r="M11" s="37">
        <f t="shared" si="3"/>
        <v>-5.470547839237911</v>
      </c>
      <c r="N11" s="37">
        <v>-22.5</v>
      </c>
      <c r="O11" s="37">
        <f t="shared" si="4"/>
        <v>-22.5</v>
      </c>
      <c r="P11" s="48">
        <f t="shared" si="5"/>
        <v>-27.970547839237909</v>
      </c>
      <c r="V11" t="str">
        <f>"Barrier Reduction per ARI: " &amp; I50 &amp; " dB"</f>
        <v>Barrier Reduction per ARI: 2 dB</v>
      </c>
    </row>
    <row r="12" spans="2:49">
      <c r="B12" s="12" t="s">
        <v>42</v>
      </c>
      <c r="C12" s="28"/>
      <c r="E12" s="25">
        <f t="shared" si="0"/>
        <v>3.3596702047669763E-2</v>
      </c>
      <c r="G12" s="54">
        <v>100</v>
      </c>
      <c r="H12" s="22"/>
      <c r="I12" s="37">
        <f t="shared" si="6"/>
        <v>0</v>
      </c>
      <c r="J12" s="37">
        <f t="shared" si="7"/>
        <v>0</v>
      </c>
      <c r="K12" s="37">
        <f t="shared" si="1"/>
        <v>5.5827550619920672</v>
      </c>
      <c r="L12" s="37">
        <f t="shared" si="2"/>
        <v>5.5827550619920672</v>
      </c>
      <c r="M12" s="37">
        <f t="shared" si="3"/>
        <v>-5.5827550619920672</v>
      </c>
      <c r="N12" s="37">
        <v>-19.100000000000001</v>
      </c>
      <c r="O12" s="37">
        <f t="shared" si="4"/>
        <v>-19.100000000000001</v>
      </c>
      <c r="P12" s="48">
        <f t="shared" si="5"/>
        <v>-24.682755061992069</v>
      </c>
      <c r="R12" s="2" t="str">
        <f>_xlfn.TEXTJOIN(" ",TRUE,C2:E2)</f>
        <v>condenser to</v>
      </c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2:49">
      <c r="B13" s="12" t="s">
        <v>43</v>
      </c>
      <c r="C13" s="28"/>
      <c r="E13" s="25">
        <f t="shared" si="0"/>
        <v>4.1995877559587204E-2</v>
      </c>
      <c r="G13" s="54">
        <v>125</v>
      </c>
      <c r="H13" s="22">
        <v>63</v>
      </c>
      <c r="I13" s="37">
        <f t="shared" si="6"/>
        <v>0</v>
      </c>
      <c r="J13" s="37">
        <f t="shared" si="7"/>
        <v>63</v>
      </c>
      <c r="K13" s="37">
        <f t="shared" si="1"/>
        <v>5.7201676514316357</v>
      </c>
      <c r="L13" s="37">
        <f t="shared" si="2"/>
        <v>5.7201676514316357</v>
      </c>
      <c r="M13" s="37">
        <f t="shared" si="3"/>
        <v>57.279832348568362</v>
      </c>
      <c r="N13" s="37">
        <v>-16.100000000000001</v>
      </c>
      <c r="O13" s="37">
        <f t="shared" si="4"/>
        <v>46.9</v>
      </c>
      <c r="P13" s="48">
        <f t="shared" si="5"/>
        <v>41.179832348568361</v>
      </c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4" spans="2:49" ht="14.4" thickBot="1">
      <c r="B14" s="15" t="s">
        <v>44</v>
      </c>
      <c r="C14" s="26">
        <f>SQRT(C8^2+(C6-C5)^2)</f>
        <v>65.007691852580024</v>
      </c>
      <c r="E14" s="25">
        <f t="shared" si="0"/>
        <v>5.3754723276271621E-2</v>
      </c>
      <c r="G14" s="54">
        <v>160</v>
      </c>
      <c r="H14" s="22"/>
      <c r="I14" s="37">
        <f t="shared" si="6"/>
        <v>0</v>
      </c>
      <c r="J14" s="37">
        <f t="shared" si="7"/>
        <v>0</v>
      </c>
      <c r="K14" s="37">
        <f t="shared" si="1"/>
        <v>5.9074571778650853</v>
      </c>
      <c r="L14" s="37">
        <f t="shared" si="2"/>
        <v>5.9074571778650853</v>
      </c>
      <c r="M14" s="37">
        <f t="shared" si="3"/>
        <v>-5.9074571778650853</v>
      </c>
      <c r="N14" s="37">
        <v>-13.4</v>
      </c>
      <c r="O14" s="37">
        <f t="shared" si="4"/>
        <v>-13.4</v>
      </c>
      <c r="P14" s="48">
        <f t="shared" si="5"/>
        <v>-19.307457177865086</v>
      </c>
    </row>
    <row r="15" spans="2:49">
      <c r="E15" s="25">
        <f t="shared" si="0"/>
        <v>6.7193404095339526E-2</v>
      </c>
      <c r="G15" s="54">
        <v>200</v>
      </c>
      <c r="H15" s="22"/>
      <c r="I15" s="37">
        <f t="shared" si="6"/>
        <v>0</v>
      </c>
      <c r="J15" s="37">
        <f t="shared" si="7"/>
        <v>0</v>
      </c>
      <c r="K15" s="37">
        <f t="shared" si="1"/>
        <v>6.1146087552367119</v>
      </c>
      <c r="L15" s="37">
        <f t="shared" si="2"/>
        <v>6.1146087552367119</v>
      </c>
      <c r="M15" s="37">
        <f t="shared" si="3"/>
        <v>-6.1146087552367119</v>
      </c>
      <c r="N15" s="37">
        <v>-10.9</v>
      </c>
      <c r="O15" s="37">
        <f t="shared" si="4"/>
        <v>-10.9</v>
      </c>
      <c r="P15" s="48">
        <f t="shared" si="5"/>
        <v>-17.014608755236711</v>
      </c>
    </row>
    <row r="16" spans="2:49">
      <c r="E16" s="25">
        <f t="shared" si="0"/>
        <v>8.3991755119174408E-2</v>
      </c>
      <c r="G16" s="54">
        <v>250</v>
      </c>
      <c r="H16" s="22">
        <v>59</v>
      </c>
      <c r="I16" s="37">
        <f t="shared" si="6"/>
        <v>0</v>
      </c>
      <c r="J16" s="37">
        <f t="shared" si="7"/>
        <v>59</v>
      </c>
      <c r="K16" s="37">
        <f t="shared" si="1"/>
        <v>6.3638538115650656</v>
      </c>
      <c r="L16" s="37">
        <f t="shared" si="2"/>
        <v>6.3638538115650656</v>
      </c>
      <c r="M16" s="37">
        <f t="shared" si="3"/>
        <v>52.636146188434935</v>
      </c>
      <c r="N16" s="37">
        <v>-8.6</v>
      </c>
      <c r="O16" s="37">
        <f t="shared" si="4"/>
        <v>50.4</v>
      </c>
      <c r="P16" s="48">
        <f t="shared" si="5"/>
        <v>44.036146188434934</v>
      </c>
    </row>
    <row r="17" spans="2:47" ht="14.4" thickBot="1">
      <c r="E17" s="25">
        <f t="shared" si="0"/>
        <v>0.10582961145015975</v>
      </c>
      <c r="G17" s="54">
        <v>315</v>
      </c>
      <c r="H17" s="22"/>
      <c r="I17" s="37">
        <f t="shared" si="6"/>
        <v>0</v>
      </c>
      <c r="J17" s="37">
        <f t="shared" si="7"/>
        <v>0</v>
      </c>
      <c r="K17" s="37">
        <f t="shared" si="1"/>
        <v>6.6729675023991852</v>
      </c>
      <c r="L17" s="37">
        <f t="shared" si="2"/>
        <v>6.6729675023991852</v>
      </c>
      <c r="M17" s="37">
        <f t="shared" si="3"/>
        <v>-6.6729675023991852</v>
      </c>
      <c r="N17" s="37">
        <v>-6.6</v>
      </c>
      <c r="O17" s="37">
        <f t="shared" si="4"/>
        <v>-6.6</v>
      </c>
      <c r="P17" s="48">
        <f t="shared" si="5"/>
        <v>-13.272967502399185</v>
      </c>
    </row>
    <row r="18" spans="2:47">
      <c r="B18" s="10" t="s">
        <v>33</v>
      </c>
      <c r="C18" s="30">
        <f>C19+C20-C14</f>
        <v>0.18948539954885746</v>
      </c>
      <c r="E18" s="25">
        <f t="shared" si="0"/>
        <v>0.13438680819067905</v>
      </c>
      <c r="G18" s="54">
        <v>400</v>
      </c>
      <c r="H18" s="22"/>
      <c r="I18" s="37">
        <f t="shared" si="6"/>
        <v>0</v>
      </c>
      <c r="J18" s="37">
        <f t="shared" si="7"/>
        <v>0</v>
      </c>
      <c r="K18" s="37">
        <f t="shared" si="1"/>
        <v>7.0540939908497293</v>
      </c>
      <c r="L18" s="37">
        <f t="shared" si="2"/>
        <v>7.0540939908497293</v>
      </c>
      <c r="M18" s="37">
        <f t="shared" si="3"/>
        <v>-7.0540939908497293</v>
      </c>
      <c r="N18" s="37">
        <v>-4.8</v>
      </c>
      <c r="O18" s="37">
        <f t="shared" si="4"/>
        <v>-4.8</v>
      </c>
      <c r="P18" s="48">
        <f t="shared" si="5"/>
        <v>-11.85409399084973</v>
      </c>
    </row>
    <row r="19" spans="2:47">
      <c r="B19" s="12" t="s">
        <v>1</v>
      </c>
      <c r="C19" s="31">
        <f>SQRT((C7-C5)^2+(C9)^2)</f>
        <v>21.095023109728988</v>
      </c>
      <c r="E19" s="25">
        <f t="shared" si="0"/>
        <v>0.16798351023834882</v>
      </c>
      <c r="G19" s="54">
        <v>500</v>
      </c>
      <c r="H19" s="22">
        <v>59</v>
      </c>
      <c r="I19" s="37">
        <f t="shared" si="6"/>
        <v>0</v>
      </c>
      <c r="J19" s="37">
        <f t="shared" si="7"/>
        <v>59</v>
      </c>
      <c r="K19" s="37">
        <f t="shared" si="1"/>
        <v>7.4725841365295951</v>
      </c>
      <c r="L19" s="37">
        <f t="shared" si="2"/>
        <v>7.4725841365295951</v>
      </c>
      <c r="M19" s="37">
        <f t="shared" si="3"/>
        <v>51.527415863470402</v>
      </c>
      <c r="N19" s="37">
        <v>-3.2</v>
      </c>
      <c r="O19" s="37">
        <f t="shared" si="4"/>
        <v>55.8</v>
      </c>
      <c r="P19" s="48">
        <f t="shared" si="5"/>
        <v>48.327415863470399</v>
      </c>
    </row>
    <row r="20" spans="2:47">
      <c r="B20" s="12" t="s">
        <v>17</v>
      </c>
      <c r="C20" s="31">
        <f>SQRT((C7-C6)^2+(C10)^2)</f>
        <v>44.10215414239989</v>
      </c>
      <c r="E20" s="25">
        <f t="shared" si="0"/>
        <v>0.21165922290031949</v>
      </c>
      <c r="G20" s="54">
        <v>630</v>
      </c>
      <c r="H20" s="22"/>
      <c r="I20" s="37">
        <f t="shared" si="6"/>
        <v>0</v>
      </c>
      <c r="J20" s="37">
        <f t="shared" si="7"/>
        <v>0</v>
      </c>
      <c r="K20" s="37">
        <f t="shared" si="1"/>
        <v>7.9744568730212313</v>
      </c>
      <c r="L20" s="37">
        <f t="shared" si="2"/>
        <v>7.9744568730212313</v>
      </c>
      <c r="M20" s="37">
        <f t="shared" si="3"/>
        <v>-7.9744568730212313</v>
      </c>
      <c r="N20" s="37">
        <v>-1.9</v>
      </c>
      <c r="O20" s="37">
        <f t="shared" si="4"/>
        <v>-1.9</v>
      </c>
      <c r="P20" s="48">
        <f t="shared" si="5"/>
        <v>-9.8744568730212308</v>
      </c>
    </row>
    <row r="21" spans="2:47">
      <c r="B21" s="12" t="s">
        <v>61</v>
      </c>
      <c r="C21" s="28">
        <v>1128</v>
      </c>
      <c r="E21" s="25">
        <f t="shared" si="0"/>
        <v>0.2687736163813581</v>
      </c>
      <c r="G21" s="54">
        <v>800</v>
      </c>
      <c r="H21" s="22"/>
      <c r="I21" s="37">
        <f t="shared" si="6"/>
        <v>0</v>
      </c>
      <c r="J21" s="37">
        <f t="shared" si="7"/>
        <v>0</v>
      </c>
      <c r="K21" s="37">
        <f t="shared" si="1"/>
        <v>8.5695536552796536</v>
      </c>
      <c r="L21" s="37">
        <f t="shared" si="2"/>
        <v>8.5695536552796536</v>
      </c>
      <c r="M21" s="37">
        <f t="shared" si="3"/>
        <v>-8.5695536552796536</v>
      </c>
      <c r="N21" s="37">
        <v>-0.8</v>
      </c>
      <c r="O21" s="37">
        <f t="shared" si="4"/>
        <v>-0.8</v>
      </c>
      <c r="P21" s="48">
        <f t="shared" si="5"/>
        <v>-9.3695536552796543</v>
      </c>
    </row>
    <row r="22" spans="2:47">
      <c r="B22" s="12" t="s">
        <v>19</v>
      </c>
      <c r="C22" s="39" t="s">
        <v>59</v>
      </c>
      <c r="E22" s="25">
        <f t="shared" si="0"/>
        <v>0.33596702047669763</v>
      </c>
      <c r="G22" s="54">
        <v>1000</v>
      </c>
      <c r="H22" s="22">
        <v>58</v>
      </c>
      <c r="I22" s="37">
        <f t="shared" si="6"/>
        <v>0</v>
      </c>
      <c r="J22" s="37">
        <f t="shared" si="7"/>
        <v>58</v>
      </c>
      <c r="K22" s="37">
        <f t="shared" si="1"/>
        <v>9.196022039437004</v>
      </c>
      <c r="L22" s="37">
        <f t="shared" si="2"/>
        <v>9.196022039437004</v>
      </c>
      <c r="M22" s="37">
        <f t="shared" si="3"/>
        <v>48.803977960562996</v>
      </c>
      <c r="N22" s="37">
        <v>0</v>
      </c>
      <c r="O22" s="37">
        <f t="shared" si="4"/>
        <v>58</v>
      </c>
      <c r="P22" s="48">
        <f t="shared" si="5"/>
        <v>48.803977960562996</v>
      </c>
    </row>
    <row r="23" spans="2:47">
      <c r="B23" s="12" t="s">
        <v>18</v>
      </c>
      <c r="C23" s="31">
        <f>_xlfn.IFS($C$22=$B$43,0,$C$22=$B$44, -5)</f>
        <v>0</v>
      </c>
      <c r="E23" s="25">
        <f t="shared" si="0"/>
        <v>0.41995877559587202</v>
      </c>
      <c r="G23" s="54">
        <v>1250</v>
      </c>
      <c r="H23" s="22"/>
      <c r="I23" s="37">
        <f t="shared" si="6"/>
        <v>0</v>
      </c>
      <c r="J23" s="37">
        <f t="shared" si="7"/>
        <v>0</v>
      </c>
      <c r="K23" s="37">
        <f t="shared" si="1"/>
        <v>9.8885887006248812</v>
      </c>
      <c r="L23" s="37">
        <f t="shared" si="2"/>
        <v>9.8885887006248812</v>
      </c>
      <c r="M23" s="37">
        <f t="shared" si="3"/>
        <v>-9.8885887006248812</v>
      </c>
      <c r="N23" s="37">
        <v>0.6</v>
      </c>
      <c r="O23" s="37">
        <f t="shared" si="4"/>
        <v>0.6</v>
      </c>
      <c r="P23" s="48">
        <f t="shared" si="5"/>
        <v>-9.2885887006248815</v>
      </c>
    </row>
    <row r="24" spans="2:47" ht="14.4" thickBot="1">
      <c r="B24" s="11" t="s">
        <v>36</v>
      </c>
      <c r="C24" s="32">
        <f>_xlfn.IFS($C$22=$B$43,20,$C$22=$B$44, 10)</f>
        <v>20</v>
      </c>
      <c r="E24" s="25">
        <f t="shared" si="0"/>
        <v>0.53754723276271621</v>
      </c>
      <c r="G24" s="54">
        <v>1600</v>
      </c>
      <c r="H24" s="22"/>
      <c r="I24" s="37">
        <f t="shared" si="6"/>
        <v>0</v>
      </c>
      <c r="J24" s="37">
        <f t="shared" si="7"/>
        <v>0</v>
      </c>
      <c r="K24" s="37">
        <f t="shared" si="1"/>
        <v>10.726159309977881</v>
      </c>
      <c r="L24" s="37">
        <f t="shared" si="2"/>
        <v>10.726159309977881</v>
      </c>
      <c r="M24" s="37">
        <f t="shared" si="3"/>
        <v>-10.726159309977881</v>
      </c>
      <c r="N24" s="37">
        <v>1</v>
      </c>
      <c r="O24" s="37">
        <f t="shared" si="4"/>
        <v>1</v>
      </c>
      <c r="P24" s="48">
        <f t="shared" si="5"/>
        <v>-9.7261593099778807</v>
      </c>
    </row>
    <row r="25" spans="2:47" ht="14.4" thickBot="1">
      <c r="E25" s="25">
        <f t="shared" si="0"/>
        <v>0.67193404095339526</v>
      </c>
      <c r="G25" s="54">
        <v>2000</v>
      </c>
      <c r="H25" s="22">
        <v>53</v>
      </c>
      <c r="I25" s="37">
        <f t="shared" si="6"/>
        <v>0</v>
      </c>
      <c r="J25" s="37">
        <f t="shared" si="7"/>
        <v>53</v>
      </c>
      <c r="K25" s="37">
        <f t="shared" si="1"/>
        <v>11.540281004003026</v>
      </c>
      <c r="L25" s="37">
        <f t="shared" si="2"/>
        <v>11.540281004003026</v>
      </c>
      <c r="M25" s="37">
        <f t="shared" si="3"/>
        <v>41.459718995996973</v>
      </c>
      <c r="N25" s="37">
        <v>1.2</v>
      </c>
      <c r="O25" s="37">
        <f t="shared" si="4"/>
        <v>54.2</v>
      </c>
      <c r="P25" s="48">
        <f t="shared" si="5"/>
        <v>42.659718995996975</v>
      </c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</row>
    <row r="26" spans="2:47">
      <c r="B26" s="10" t="s">
        <v>22</v>
      </c>
      <c r="C26" s="40" t="s">
        <v>25</v>
      </c>
      <c r="E26" s="25">
        <f t="shared" si="0"/>
        <v>0.83991755119174405</v>
      </c>
      <c r="G26" s="54">
        <v>2500</v>
      </c>
      <c r="H26" s="22"/>
      <c r="I26" s="37">
        <f t="shared" si="6"/>
        <v>0</v>
      </c>
      <c r="J26" s="37">
        <f t="shared" si="7"/>
        <v>0</v>
      </c>
      <c r="K26" s="37">
        <f t="shared" si="1"/>
        <v>12.399752542207189</v>
      </c>
      <c r="L26" s="37">
        <f t="shared" si="2"/>
        <v>12.399752542207189</v>
      </c>
      <c r="M26" s="37">
        <f t="shared" si="3"/>
        <v>-12.399752542207189</v>
      </c>
      <c r="N26" s="37">
        <v>1.3</v>
      </c>
      <c r="O26" s="37">
        <f t="shared" si="4"/>
        <v>1.3</v>
      </c>
      <c r="P26" s="48">
        <f t="shared" si="5"/>
        <v>-11.099752542207188</v>
      </c>
      <c r="S26">
        <v>60</v>
      </c>
      <c r="U26" s="3"/>
    </row>
    <row r="27" spans="2:47">
      <c r="B27" s="12" t="s">
        <v>26</v>
      </c>
      <c r="C27" s="29">
        <f>_xlfn.IFS(C26=C44, 1, C26=C43, C29/180)</f>
        <v>1</v>
      </c>
      <c r="E27" s="25">
        <f t="shared" si="0"/>
        <v>1.0582961145015977</v>
      </c>
      <c r="G27" s="54">
        <v>3150</v>
      </c>
      <c r="H27" s="22"/>
      <c r="I27" s="37">
        <f t="shared" si="6"/>
        <v>0</v>
      </c>
      <c r="J27" s="37">
        <f t="shared" si="7"/>
        <v>0</v>
      </c>
      <c r="K27" s="37">
        <f t="shared" si="1"/>
        <v>13.327883667204027</v>
      </c>
      <c r="L27" s="37">
        <f t="shared" si="2"/>
        <v>13.327883667204027</v>
      </c>
      <c r="M27" s="37">
        <f t="shared" si="3"/>
        <v>-13.327883667204027</v>
      </c>
      <c r="N27" s="37">
        <v>1.2</v>
      </c>
      <c r="O27" s="37">
        <f t="shared" si="4"/>
        <v>1.2</v>
      </c>
      <c r="P27" s="48">
        <f t="shared" si="5"/>
        <v>-12.127883667204028</v>
      </c>
      <c r="S27">
        <v>63</v>
      </c>
    </row>
    <row r="28" spans="2:47">
      <c r="B28" s="12" t="s">
        <v>28</v>
      </c>
      <c r="C28" s="33">
        <v>0</v>
      </c>
      <c r="E28" s="25">
        <f t="shared" si="0"/>
        <v>1.3438680819067905</v>
      </c>
      <c r="G28" s="54">
        <v>4000</v>
      </c>
      <c r="H28" s="22">
        <v>47</v>
      </c>
      <c r="I28" s="37">
        <f t="shared" si="6"/>
        <v>0</v>
      </c>
      <c r="J28" s="37">
        <f t="shared" si="7"/>
        <v>47</v>
      </c>
      <c r="K28" s="37">
        <f t="shared" si="1"/>
        <v>14.317350914522386</v>
      </c>
      <c r="L28" s="37">
        <f t="shared" si="2"/>
        <v>14.317350914522386</v>
      </c>
      <c r="M28" s="37">
        <f t="shared" si="3"/>
        <v>32.682649085477614</v>
      </c>
      <c r="N28" s="37">
        <v>1</v>
      </c>
      <c r="O28" s="37">
        <f t="shared" si="4"/>
        <v>48</v>
      </c>
      <c r="P28" s="48">
        <f t="shared" si="5"/>
        <v>33.682649085477614</v>
      </c>
      <c r="S28">
        <v>59</v>
      </c>
    </row>
    <row r="29" spans="2:47" ht="14.4" thickBot="1">
      <c r="B29" s="11" t="s">
        <v>27</v>
      </c>
      <c r="C29" s="26">
        <f>2*DEGREES(ATAN((C28/2)/C10))</f>
        <v>0</v>
      </c>
      <c r="E29" s="25">
        <f t="shared" si="0"/>
        <v>1.6798351023834881</v>
      </c>
      <c r="G29" s="54">
        <v>5000</v>
      </c>
      <c r="H29" s="22"/>
      <c r="I29" s="37">
        <f t="shared" si="6"/>
        <v>0</v>
      </c>
      <c r="J29" s="37">
        <f t="shared" si="7"/>
        <v>0</v>
      </c>
      <c r="K29" s="37">
        <f t="shared" si="1"/>
        <v>15.260645284916379</v>
      </c>
      <c r="L29" s="37">
        <f t="shared" si="2"/>
        <v>15.260645284916379</v>
      </c>
      <c r="M29" s="37">
        <f t="shared" si="3"/>
        <v>-15.260645284916379</v>
      </c>
      <c r="N29" s="37">
        <v>0.5</v>
      </c>
      <c r="O29" s="37">
        <f t="shared" si="4"/>
        <v>0.5</v>
      </c>
      <c r="P29" s="48">
        <f t="shared" si="5"/>
        <v>-14.760645284916379</v>
      </c>
      <c r="S29">
        <v>59</v>
      </c>
    </row>
    <row r="30" spans="2:47" ht="14.4" thickBot="1">
      <c r="E30" s="25">
        <f t="shared" si="0"/>
        <v>2.1165922290031953</v>
      </c>
      <c r="G30" s="54">
        <v>6300</v>
      </c>
      <c r="H30" s="22"/>
      <c r="I30" s="37">
        <f t="shared" si="6"/>
        <v>0</v>
      </c>
      <c r="J30" s="37">
        <f t="shared" si="7"/>
        <v>0</v>
      </c>
      <c r="K30" s="37">
        <f t="shared" si="1"/>
        <v>16.24998199273994</v>
      </c>
      <c r="L30" s="37">
        <f t="shared" si="2"/>
        <v>16.24998199273994</v>
      </c>
      <c r="M30" s="37">
        <f t="shared" si="3"/>
        <v>-16.24998199273994</v>
      </c>
      <c r="N30" s="37">
        <v>-0.1</v>
      </c>
      <c r="O30" s="37">
        <f t="shared" si="4"/>
        <v>-0.1</v>
      </c>
      <c r="P30" s="48">
        <f t="shared" si="5"/>
        <v>-16.349981992739941</v>
      </c>
      <c r="S30">
        <v>58</v>
      </c>
    </row>
    <row r="31" spans="2:47">
      <c r="B31" s="10" t="s">
        <v>29</v>
      </c>
      <c r="C31" s="40" t="s">
        <v>31</v>
      </c>
      <c r="E31" s="25">
        <f t="shared" si="0"/>
        <v>2.687736163813581</v>
      </c>
      <c r="G31" s="54">
        <v>8000</v>
      </c>
      <c r="H31" s="22">
        <v>40</v>
      </c>
      <c r="I31" s="37">
        <f t="shared" si="6"/>
        <v>0</v>
      </c>
      <c r="J31" s="37">
        <f t="shared" si="7"/>
        <v>40</v>
      </c>
      <c r="K31" s="37">
        <f t="shared" si="1"/>
        <v>17.280346963766839</v>
      </c>
      <c r="L31" s="37">
        <f t="shared" si="2"/>
        <v>17.280346963766839</v>
      </c>
      <c r="M31" s="37">
        <f t="shared" si="3"/>
        <v>22.719653036233161</v>
      </c>
      <c r="N31" s="37">
        <v>-1.1000000000000001</v>
      </c>
      <c r="O31" s="37">
        <f t="shared" si="4"/>
        <v>38.9</v>
      </c>
      <c r="P31" s="48">
        <f t="shared" si="5"/>
        <v>21.61965303623316</v>
      </c>
      <c r="S31">
        <v>53</v>
      </c>
    </row>
    <row r="32" spans="2:47">
      <c r="B32" s="12" t="s">
        <v>54</v>
      </c>
      <c r="C32" s="29">
        <f>_xlfn.IFS(C31=D43,20,C31=D44,23)</f>
        <v>20</v>
      </c>
      <c r="E32" s="25">
        <f t="shared" si="0"/>
        <v>3.3596702047669762</v>
      </c>
      <c r="G32" s="54">
        <v>10000</v>
      </c>
      <c r="H32" s="22"/>
      <c r="I32" s="37">
        <f t="shared" si="6"/>
        <v>0</v>
      </c>
      <c r="J32" s="37">
        <f t="shared" si="7"/>
        <v>0</v>
      </c>
      <c r="K32" s="37">
        <f t="shared" si="1"/>
        <v>18.246539810272147</v>
      </c>
      <c r="L32" s="37">
        <f t="shared" si="2"/>
        <v>18.246539810272147</v>
      </c>
      <c r="M32" s="37">
        <f t="shared" si="3"/>
        <v>-18.246539810272147</v>
      </c>
      <c r="N32" s="37">
        <v>-2.5</v>
      </c>
      <c r="O32" s="37">
        <f t="shared" si="4"/>
        <v>-2.5</v>
      </c>
      <c r="P32" s="48">
        <f t="shared" si="5"/>
        <v>-20.746539810272147</v>
      </c>
      <c r="S32">
        <v>47</v>
      </c>
    </row>
    <row r="33" spans="2:33" ht="14.4" thickBot="1">
      <c r="B33" s="11" t="s">
        <v>34</v>
      </c>
      <c r="C33" s="34">
        <f>_xlfn.IFS(C31=D43,5,C31=D44,8)</f>
        <v>5</v>
      </c>
      <c r="E33" s="25">
        <f t="shared" si="0"/>
        <v>4.1995877559587198</v>
      </c>
      <c r="G33" s="54">
        <v>12500</v>
      </c>
      <c r="H33" s="22"/>
      <c r="I33" s="37">
        <f t="shared" si="6"/>
        <v>0</v>
      </c>
      <c r="J33" s="37">
        <f t="shared" si="7"/>
        <v>0</v>
      </c>
      <c r="K33" s="37">
        <f t="shared" si="1"/>
        <v>19.214465180217793</v>
      </c>
      <c r="L33" s="37">
        <f t="shared" si="2"/>
        <v>19.214465180217793</v>
      </c>
      <c r="M33" s="37">
        <f t="shared" si="3"/>
        <v>-19.214465180217793</v>
      </c>
      <c r="N33" s="37">
        <v>-4.3</v>
      </c>
      <c r="O33" s="37">
        <f t="shared" si="4"/>
        <v>-4.3</v>
      </c>
      <c r="P33" s="48">
        <f t="shared" si="5"/>
        <v>-23.514465180217794</v>
      </c>
      <c r="S33">
        <v>40</v>
      </c>
    </row>
    <row r="34" spans="2:33">
      <c r="E34" s="25">
        <f t="shared" si="0"/>
        <v>5.3754723276271621</v>
      </c>
      <c r="G34" s="54">
        <v>16000</v>
      </c>
      <c r="H34" s="22"/>
      <c r="I34" s="37">
        <f t="shared" si="6"/>
        <v>0</v>
      </c>
      <c r="J34" s="37">
        <f t="shared" si="7"/>
        <v>0</v>
      </c>
      <c r="K34" s="37">
        <f t="shared" si="1"/>
        <v>20.286120557622695</v>
      </c>
      <c r="L34" s="37">
        <f t="shared" si="2"/>
        <v>20</v>
      </c>
      <c r="M34" s="37">
        <f t="shared" si="3"/>
        <v>-20</v>
      </c>
      <c r="N34" s="37">
        <v>-6.6</v>
      </c>
      <c r="O34" s="37">
        <f t="shared" si="4"/>
        <v>-6.6</v>
      </c>
      <c r="P34" s="48">
        <f t="shared" si="5"/>
        <v>-26.6</v>
      </c>
    </row>
    <row r="35" spans="2:33" ht="14.4" thickBot="1">
      <c r="E35" s="26">
        <f t="shared" si="0"/>
        <v>6.7193404095339524</v>
      </c>
      <c r="G35" s="55">
        <v>20000</v>
      </c>
      <c r="H35" s="23"/>
      <c r="I35" s="38">
        <f t="shared" si="6"/>
        <v>0</v>
      </c>
      <c r="J35" s="38">
        <f t="shared" si="7"/>
        <v>0</v>
      </c>
      <c r="K35" s="38">
        <f t="shared" si="1"/>
        <v>21.255104573182855</v>
      </c>
      <c r="L35" s="38">
        <f t="shared" si="2"/>
        <v>20</v>
      </c>
      <c r="M35" s="38">
        <f t="shared" si="3"/>
        <v>-20</v>
      </c>
      <c r="N35" s="38">
        <v>-9.3000000000000007</v>
      </c>
      <c r="O35" s="38">
        <f t="shared" si="4"/>
        <v>-9.3000000000000007</v>
      </c>
      <c r="P35" s="49">
        <f t="shared" si="5"/>
        <v>-29.3</v>
      </c>
    </row>
    <row r="36" spans="2:33" ht="14.4" thickBot="1"/>
    <row r="37" spans="2:33" ht="14.4" thickBot="1">
      <c r="O37" s="45" t="s">
        <v>63</v>
      </c>
      <c r="P37" s="46" t="s">
        <v>62</v>
      </c>
      <c r="Q37" s="44" t="s">
        <v>56</v>
      </c>
    </row>
    <row r="38" spans="2:33" ht="14.4" thickBot="1">
      <c r="M38" s="43"/>
      <c r="N38" s="47" t="s">
        <v>53</v>
      </c>
      <c r="O38" s="35" cm="1">
        <f t="array" ref="O38">10*LOG10(SUM(10^((O5:O35)/10)))</f>
        <v>61.778442630722708</v>
      </c>
      <c r="P38" s="41" cm="1">
        <f t="array" ref="P38">10*LOG10(SUM(10^((P5:P35)/10)))</f>
        <v>53.097151288168561</v>
      </c>
      <c r="Q38" s="42">
        <f>O38-P38</f>
        <v>8.6812913425541467</v>
      </c>
    </row>
    <row r="39" spans="2:33" ht="15" customHeight="1">
      <c r="AG39" s="3"/>
    </row>
    <row r="40" spans="2:33" ht="14.4" thickBot="1"/>
    <row r="41" spans="2:33" ht="14.4" thickBot="1">
      <c r="B41" s="125" t="s">
        <v>21</v>
      </c>
      <c r="C41" s="126"/>
      <c r="D41" s="127"/>
      <c r="H41" s="128" t="s">
        <v>47</v>
      </c>
      <c r="I41" s="129"/>
    </row>
    <row r="42" spans="2:33" ht="138">
      <c r="B42" s="8" t="s">
        <v>20</v>
      </c>
      <c r="C42" s="36" t="s">
        <v>30</v>
      </c>
      <c r="D42" s="36" t="s">
        <v>23</v>
      </c>
      <c r="H42" s="16" t="s">
        <v>48</v>
      </c>
      <c r="I42" s="16" t="s">
        <v>49</v>
      </c>
    </row>
    <row r="43" spans="2:33">
      <c r="B43" s="5" t="s">
        <v>59</v>
      </c>
      <c r="C43" s="5" t="s">
        <v>24</v>
      </c>
      <c r="D43" s="5" t="s">
        <v>31</v>
      </c>
      <c r="H43" s="17">
        <v>0</v>
      </c>
      <c r="I43" s="17">
        <v>0</v>
      </c>
    </row>
    <row r="44" spans="2:33" ht="14.4" thickBot="1">
      <c r="B44" s="6" t="s">
        <v>60</v>
      </c>
      <c r="C44" s="6" t="s">
        <v>25</v>
      </c>
      <c r="D44" s="6" t="s">
        <v>32</v>
      </c>
      <c r="H44" s="17">
        <v>0.5</v>
      </c>
      <c r="I44" s="17">
        <v>4</v>
      </c>
    </row>
    <row r="45" spans="2:33">
      <c r="H45" s="17">
        <v>1</v>
      </c>
      <c r="I45" s="17">
        <v>7</v>
      </c>
    </row>
    <row r="46" spans="2:33">
      <c r="H46" s="17">
        <v>2</v>
      </c>
      <c r="I46" s="17">
        <v>10</v>
      </c>
    </row>
    <row r="47" spans="2:33">
      <c r="H47" s="17">
        <v>3</v>
      </c>
      <c r="I47" s="17">
        <v>12</v>
      </c>
    </row>
    <row r="48" spans="2:33">
      <c r="H48" s="17">
        <v>6</v>
      </c>
      <c r="I48" s="17">
        <v>15</v>
      </c>
    </row>
    <row r="49" spans="8:10">
      <c r="H49" s="17">
        <v>12</v>
      </c>
      <c r="I49" s="17">
        <v>17</v>
      </c>
    </row>
    <row r="50" spans="8:10">
      <c r="H50" t="s">
        <v>70</v>
      </c>
      <c r="I50">
        <f>ROUND(J54,0)</f>
        <v>2</v>
      </c>
    </row>
    <row r="51" spans="8:10">
      <c r="H51" t="s">
        <v>71</v>
      </c>
      <c r="I51" s="56">
        <f>C18</f>
        <v>0.18948539954885746</v>
      </c>
      <c r="J51">
        <f>_xlfn.XLOOKUP(I52,H43:H49,I43:I49,"error",0,1)</f>
        <v>0</v>
      </c>
    </row>
    <row r="52" spans="8:10">
      <c r="H52" t="s">
        <v>73</v>
      </c>
      <c r="I52">
        <f>_xlfn.XLOOKUP(I51,H43:H49,H43:H49,"error",-1,1)</f>
        <v>0</v>
      </c>
      <c r="J52">
        <f>_xlfn.XLOOKUP(I53,H43:H49,I43:I49,"error",0,1)</f>
        <v>4</v>
      </c>
    </row>
    <row r="53" spans="8:10" ht="42.75" customHeight="1">
      <c r="H53" t="s">
        <v>72</v>
      </c>
      <c r="I53">
        <f>_xlfn.XLOOKUP(I51,H43:H49,H43:H49,12,1,1)</f>
        <v>0.5</v>
      </c>
      <c r="J53">
        <f>J52-J51</f>
        <v>4</v>
      </c>
    </row>
    <row r="54" spans="8:10">
      <c r="H54" t="s">
        <v>74</v>
      </c>
      <c r="I54">
        <f>I53-I52</f>
        <v>0.5</v>
      </c>
      <c r="J54">
        <f>J51+(J53*I55)</f>
        <v>1.5158831963908597</v>
      </c>
    </row>
    <row r="55" spans="8:10">
      <c r="H55" t="s">
        <v>75</v>
      </c>
      <c r="I55">
        <f>IFERROR((I51-I52)/I54,0)</f>
        <v>0.37897079909771492</v>
      </c>
    </row>
    <row r="87" spans="19:50">
      <c r="S87" s="1"/>
      <c r="T87" s="1">
        <v>20</v>
      </c>
      <c r="U87" s="1">
        <v>25</v>
      </c>
      <c r="V87" s="1">
        <v>31.5</v>
      </c>
      <c r="W87" s="1">
        <v>40</v>
      </c>
      <c r="X87" s="1">
        <v>50</v>
      </c>
      <c r="Y87" s="1">
        <v>63</v>
      </c>
      <c r="Z87" s="1">
        <v>80</v>
      </c>
      <c r="AA87" s="1">
        <v>100</v>
      </c>
      <c r="AB87" s="1">
        <v>125</v>
      </c>
      <c r="AC87" s="1">
        <v>160</v>
      </c>
      <c r="AD87" s="1">
        <v>200</v>
      </c>
      <c r="AE87" s="1">
        <v>250</v>
      </c>
      <c r="AF87" s="1">
        <v>315</v>
      </c>
      <c r="AG87" s="1">
        <v>400</v>
      </c>
      <c r="AH87" s="1">
        <v>500</v>
      </c>
      <c r="AI87" s="1">
        <v>630</v>
      </c>
      <c r="AJ87" s="1">
        <v>800</v>
      </c>
      <c r="AK87" s="1" t="s">
        <v>2</v>
      </c>
      <c r="AL87" s="1" t="s">
        <v>3</v>
      </c>
      <c r="AM87" s="1" t="s">
        <v>4</v>
      </c>
      <c r="AN87" s="1" t="s">
        <v>5</v>
      </c>
      <c r="AO87" s="1" t="s">
        <v>6</v>
      </c>
      <c r="AP87" s="1" t="s">
        <v>7</v>
      </c>
      <c r="AQ87" s="1" t="s">
        <v>8</v>
      </c>
      <c r="AR87" s="1" t="s">
        <v>9</v>
      </c>
      <c r="AS87" s="1" t="s">
        <v>10</v>
      </c>
      <c r="AT87" s="1" t="s">
        <v>11</v>
      </c>
      <c r="AU87" s="1" t="s">
        <v>12</v>
      </c>
      <c r="AV87" s="1" t="s">
        <v>13</v>
      </c>
      <c r="AW87" s="1" t="s">
        <v>4</v>
      </c>
      <c r="AX87" s="1" t="s">
        <v>14</v>
      </c>
    </row>
    <row r="88" spans="19:50">
      <c r="S88" s="7"/>
      <c r="T88" s="7">
        <v>-50.5</v>
      </c>
      <c r="U88" s="7">
        <v>-44.7</v>
      </c>
      <c r="V88" s="7">
        <v>-39.4</v>
      </c>
      <c r="W88" s="7">
        <v>-34.6</v>
      </c>
      <c r="X88" s="7">
        <v>-30.2</v>
      </c>
      <c r="Y88" s="7">
        <v>-26.2</v>
      </c>
      <c r="Z88" s="7">
        <v>-22.5</v>
      </c>
      <c r="AA88" s="7">
        <v>-19.100000000000001</v>
      </c>
      <c r="AB88" s="7">
        <v>-16.100000000000001</v>
      </c>
      <c r="AC88" s="7">
        <v>-13.4</v>
      </c>
      <c r="AD88" s="7">
        <v>-10.9</v>
      </c>
      <c r="AE88" s="7">
        <v>-8.6</v>
      </c>
      <c r="AF88" s="7">
        <v>-6.6</v>
      </c>
      <c r="AG88" s="7">
        <v>-4.8</v>
      </c>
      <c r="AH88" s="7">
        <v>-3.2</v>
      </c>
      <c r="AI88" s="7">
        <v>-1.9</v>
      </c>
      <c r="AJ88" s="7">
        <v>-0.8</v>
      </c>
      <c r="AK88" s="7">
        <v>0</v>
      </c>
      <c r="AL88" s="7">
        <v>0.6</v>
      </c>
      <c r="AM88" s="7">
        <v>1</v>
      </c>
      <c r="AN88" s="7">
        <v>1.2</v>
      </c>
      <c r="AO88" s="7">
        <v>1.3</v>
      </c>
      <c r="AP88" s="7">
        <v>1.2</v>
      </c>
      <c r="AQ88" s="7">
        <v>1</v>
      </c>
      <c r="AR88" s="7">
        <v>0.5</v>
      </c>
      <c r="AS88" s="7">
        <v>-0.1</v>
      </c>
      <c r="AT88" s="7">
        <v>-1.1000000000000001</v>
      </c>
      <c r="AU88" s="7">
        <v>-2.5</v>
      </c>
      <c r="AV88" s="7">
        <v>-4.3</v>
      </c>
      <c r="AW88" s="7">
        <v>-6.6</v>
      </c>
      <c r="AX88" s="7">
        <v>-9.3000000000000007</v>
      </c>
    </row>
  </sheetData>
  <mergeCells count="2">
    <mergeCell ref="B41:D41"/>
    <mergeCell ref="H41:I41"/>
  </mergeCells>
  <phoneticPr fontId="3" type="noConversion"/>
  <conditionalFormatting sqref="H44:H49">
    <cfRule type="expression" dxfId="9" priority="2">
      <formula>"Rounddown($F$3)=J35"</formula>
    </cfRule>
  </conditionalFormatting>
  <conditionalFormatting sqref="H43">
    <cfRule type="expression" dxfId="8" priority="1">
      <formula>"Rounddown($F$3)=J35"</formula>
    </cfRule>
  </conditionalFormatting>
  <dataValidations disablePrompts="1" count="3">
    <dataValidation type="list" allowBlank="1" showInputMessage="1" showErrorMessage="1" sqref="C31" xr:uid="{B1ECE1C8-5BCE-489A-AA23-660C43C56FB6}">
      <formula1>$D$43:$D$44</formula1>
    </dataValidation>
    <dataValidation type="list" allowBlank="1" showInputMessage="1" showErrorMessage="1" sqref="C26" xr:uid="{2CB8D6A4-46FF-49E0-90DC-E9E8004D3B0D}">
      <formula1>$C$43:$C$44</formula1>
    </dataValidation>
    <dataValidation type="list" allowBlank="1" showInputMessage="1" showErrorMessage="1" sqref="C22" xr:uid="{09B89921-98BD-4813-A771-EFB02A320B97}">
      <formula1>$B$43:$B$44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970FC-8DAD-4133-8997-14132FD227E2}">
  <sheetPr codeName="Sheet8">
    <tabColor rgb="FF92D050"/>
  </sheetPr>
  <dimension ref="B1:BA88"/>
  <sheetViews>
    <sheetView tabSelected="1" zoomScale="85" zoomScaleNormal="85" workbookViewId="0">
      <selection activeCell="N27" sqref="N27"/>
    </sheetView>
  </sheetViews>
  <sheetFormatPr defaultRowHeight="13.8"/>
  <cols>
    <col min="1" max="1" width="4" customWidth="1"/>
    <col min="2" max="2" width="37.75" customWidth="1"/>
    <col min="3" max="3" width="18.5" bestFit="1" customWidth="1"/>
    <col min="4" max="4" width="3.375" customWidth="1"/>
    <col min="5" max="5" width="7.25" customWidth="1"/>
    <col min="6" max="6" width="3.625" customWidth="1"/>
    <col min="7" max="7" width="6.875" customWidth="1"/>
    <col min="8" max="14" width="7" customWidth="1"/>
    <col min="15" max="15" width="7.625" customWidth="1"/>
    <col min="16" max="16" width="7" customWidth="1"/>
    <col min="21" max="21" width="35.125" bestFit="1" customWidth="1"/>
    <col min="22" max="22" width="4.25" bestFit="1" customWidth="1"/>
    <col min="23" max="24" width="7.75" bestFit="1" customWidth="1"/>
    <col min="25" max="25" width="38.625" bestFit="1" customWidth="1"/>
    <col min="26" max="26" width="5.625" bestFit="1" customWidth="1"/>
    <col min="27" max="27" width="11" bestFit="1" customWidth="1"/>
    <col min="28" max="28" width="10.125" bestFit="1" customWidth="1"/>
    <col min="29" max="30" width="11" bestFit="1" customWidth="1"/>
    <col min="31" max="38" width="10.875" customWidth="1"/>
    <col min="39" max="39" width="12.25" customWidth="1"/>
    <col min="40" max="41" width="10.875" customWidth="1"/>
    <col min="42" max="51" width="11.25" customWidth="1"/>
    <col min="52" max="53" width="12.25" customWidth="1"/>
  </cols>
  <sheetData>
    <row r="1" spans="2:52">
      <c r="C1" s="19" t="s">
        <v>186</v>
      </c>
      <c r="E1" s="19"/>
    </row>
    <row r="2" spans="2:52">
      <c r="C2" s="132" t="s">
        <v>187</v>
      </c>
    </row>
    <row r="3" spans="2:52" ht="14.4" thickBot="1"/>
    <row r="4" spans="2:52" ht="102" customHeight="1" thickBot="1">
      <c r="E4" s="102" t="s">
        <v>64</v>
      </c>
      <c r="F4" s="18"/>
      <c r="G4" s="53" t="s">
        <v>57</v>
      </c>
      <c r="H4" s="50" t="s">
        <v>58</v>
      </c>
      <c r="I4" s="50" t="s">
        <v>65</v>
      </c>
      <c r="J4" s="50" t="s">
        <v>66</v>
      </c>
      <c r="K4" s="50" t="s">
        <v>0</v>
      </c>
      <c r="L4" s="50" t="s">
        <v>35</v>
      </c>
      <c r="M4" s="50" t="s">
        <v>67</v>
      </c>
      <c r="N4" s="50" t="s">
        <v>52</v>
      </c>
      <c r="O4" s="50" t="s">
        <v>68</v>
      </c>
      <c r="P4" s="51" t="s">
        <v>69</v>
      </c>
      <c r="Q4" s="20"/>
    </row>
    <row r="5" spans="2:52">
      <c r="B5" s="9" t="s">
        <v>92</v>
      </c>
      <c r="C5" s="119">
        <f>_xlfn.XLOOKUP($C$2, 'barrier to receiver list'!$A$2:$A$277, 'barrier to receiver list'!E2:E277)</f>
        <v>74.2</v>
      </c>
      <c r="D5" s="3"/>
      <c r="E5" s="124">
        <f t="shared" ref="E5:E12" si="0">(2*$C$18)/($C$21/G5)</f>
        <v>7.3276915532904649E-2</v>
      </c>
      <c r="G5" s="54">
        <v>63</v>
      </c>
      <c r="H5" s="118">
        <f>_xlfn.XLOOKUP($C$2, 'barrier to receiver list'!$A$2:$A$277, 'barrier to receiver list'!J2:J277)</f>
        <v>80</v>
      </c>
      <c r="I5" s="37">
        <f t="shared" ref="I5:I12" si="1">IFERROR($C$24*LOG($C$11/$C$14),0)</f>
        <v>0</v>
      </c>
      <c r="J5" s="37">
        <f>H5+I5</f>
        <v>80</v>
      </c>
      <c r="K5" s="37">
        <f>(20*LOG10((SQRT(2*PI()*E5))/(TANH(SQRT(2*PI()*E5)))) + $C$33 +$C$23)^$C$27</f>
        <v>6.2060802263354127</v>
      </c>
      <c r="L5" s="37">
        <f t="shared" ref="L5:L12" si="2">IF(K5&gt;$C$32,$C$32,K5)</f>
        <v>6.2060802263354127</v>
      </c>
      <c r="M5" s="37">
        <f t="shared" ref="M5:M12" si="3">J5-L5</f>
        <v>73.793919773664584</v>
      </c>
      <c r="N5" s="37">
        <v>-26.2</v>
      </c>
      <c r="O5" s="37">
        <f t="shared" ref="O5:O12" si="4">SUM(J5,N5)</f>
        <v>53.8</v>
      </c>
      <c r="P5" s="48">
        <f t="shared" ref="P5:P12" si="5">SUM(M5:N5)</f>
        <v>47.593919773664581</v>
      </c>
      <c r="U5" s="10"/>
      <c r="V5" s="103" t="s">
        <v>39</v>
      </c>
      <c r="W5" s="110" t="s">
        <v>40</v>
      </c>
      <c r="X5" s="104"/>
      <c r="Y5" s="9" t="str">
        <f>"Path-Length Difference (L) = " &amp;ROUND(C18,2) &amp;" ft"</f>
        <v>Path-Length Difference (L) = 0.66 ft</v>
      </c>
    </row>
    <row r="6" spans="2:52">
      <c r="B6" s="5" t="s">
        <v>93</v>
      </c>
      <c r="C6" s="120">
        <f>_xlfn.XLOOKUP($C$2, 'barrier to receiver list'!$A$2:$A$277, 'barrier to receiver list'!F2:F277)</f>
        <v>65</v>
      </c>
      <c r="D6" s="3"/>
      <c r="E6" s="31">
        <f>(2*$C$18)/($C$21/G6)</f>
        <v>0.14539070542242988</v>
      </c>
      <c r="G6" s="54">
        <v>125</v>
      </c>
      <c r="H6" s="118">
        <f>_xlfn.XLOOKUP($C$2, 'barrier to receiver list'!$A$2:$A$277, 'barrier to receiver list'!K2:K277)</f>
        <v>77</v>
      </c>
      <c r="I6" s="37">
        <f t="shared" si="1"/>
        <v>0</v>
      </c>
      <c r="J6" s="37">
        <f t="shared" ref="J6:J12" si="6">H6+I6</f>
        <v>77</v>
      </c>
      <c r="K6" s="37">
        <f>(20*LOG10((SQRT(2*PI()*E6))/(TANH(SQRT(2*PI()*E6)))) + $C$33 +$C$23)^$C$27</f>
        <v>7.1945354640292205</v>
      </c>
      <c r="L6" s="37">
        <f t="shared" si="2"/>
        <v>7.1945354640292205</v>
      </c>
      <c r="M6" s="37">
        <f t="shared" si="3"/>
        <v>69.805464535970785</v>
      </c>
      <c r="N6" s="37">
        <v>-16.100000000000001</v>
      </c>
      <c r="O6" s="37">
        <f t="shared" si="4"/>
        <v>60.9</v>
      </c>
      <c r="P6" s="48">
        <f t="shared" si="5"/>
        <v>53.705464535970783</v>
      </c>
      <c r="U6" s="105" t="s">
        <v>50</v>
      </c>
      <c r="V6" s="106">
        <v>0</v>
      </c>
      <c r="W6" s="107">
        <f>C5</f>
        <v>74.2</v>
      </c>
      <c r="X6" s="106"/>
      <c r="Y6" s="5" t="str">
        <f>"A = " &amp; ROUND(C19,2) &amp; ", B = " &amp;ROUND(C20,2) &amp;", D = " &amp;ROUND(C14,2)</f>
        <v>A = 28.23, B = 45.12, D = 72.68</v>
      </c>
    </row>
    <row r="7" spans="2:52" ht="14.4" thickBot="1">
      <c r="B7" s="6" t="s">
        <v>91</v>
      </c>
      <c r="C7" s="121">
        <f>_xlfn.XLOOKUP($C$2, 'barrier to receiver list'!$A$2:$A$277, 'barrier to receiver list'!G2:G277)</f>
        <v>75.400000000000006</v>
      </c>
      <c r="D7" s="3"/>
      <c r="E7" s="31">
        <f>(2*$C$18)/($C$21/G7)</f>
        <v>0.29078141084485976</v>
      </c>
      <c r="G7" s="54">
        <v>250</v>
      </c>
      <c r="H7" s="118">
        <f>_xlfn.XLOOKUP($C$2, 'barrier to receiver list'!$A$2:$A$277, 'barrier to receiver list'!L2:L277)</f>
        <v>84</v>
      </c>
      <c r="I7" s="37">
        <f t="shared" si="1"/>
        <v>0</v>
      </c>
      <c r="J7" s="37">
        <f t="shared" si="6"/>
        <v>84</v>
      </c>
      <c r="K7" s="37">
        <f t="shared" ref="K7:K12" si="7">(20*LOG10((SQRT(2*PI()*E7))/(TANH(SQRT(2*PI()*E7)))) + $C$33 +$C$23)^$C$27</f>
        <v>8.782777617767092</v>
      </c>
      <c r="L7" s="37">
        <f t="shared" si="2"/>
        <v>8.782777617767092</v>
      </c>
      <c r="M7" s="37">
        <f t="shared" si="3"/>
        <v>75.217222382232904</v>
      </c>
      <c r="N7" s="37">
        <v>-8.6</v>
      </c>
      <c r="O7" s="37">
        <f t="shared" si="4"/>
        <v>75.400000000000006</v>
      </c>
      <c r="P7" s="48">
        <f t="shared" si="5"/>
        <v>66.61722238223291</v>
      </c>
      <c r="U7" s="105" t="s">
        <v>51</v>
      </c>
      <c r="V7" s="106">
        <f>C9</f>
        <v>28.2</v>
      </c>
      <c r="W7" s="107">
        <f>C7</f>
        <v>75.400000000000006</v>
      </c>
      <c r="X7" s="106"/>
      <c r="Y7" s="5" t="str">
        <f>"Source Height: " &amp; ROUND(W9,2) &amp; " ft"</f>
        <v>Source Height: 74.2 ft</v>
      </c>
    </row>
    <row r="8" spans="2:52">
      <c r="B8" s="10" t="s">
        <v>45</v>
      </c>
      <c r="C8" s="122">
        <f>_xlfn.XLOOKUP($C$2, 'barrier to receiver list'!$A$2:$A$277, 'barrier to receiver list'!H2:H277)</f>
        <v>72.099999999999994</v>
      </c>
      <c r="D8" s="3"/>
      <c r="E8" s="31">
        <f t="shared" si="0"/>
        <v>0.58156282168971951</v>
      </c>
      <c r="G8" s="54">
        <v>500</v>
      </c>
      <c r="H8" s="118">
        <f>_xlfn.XLOOKUP($C$2, 'barrier to receiver list'!$A$2:$A$277, 'barrier to receiver list'!M2:M277)</f>
        <v>87</v>
      </c>
      <c r="I8" s="37">
        <f t="shared" si="1"/>
        <v>0</v>
      </c>
      <c r="J8" s="37">
        <f t="shared" si="6"/>
        <v>87</v>
      </c>
      <c r="K8" s="37">
        <f t="shared" si="7"/>
        <v>11.007562757347049</v>
      </c>
      <c r="L8" s="37">
        <f t="shared" si="2"/>
        <v>11.007562757347049</v>
      </c>
      <c r="M8" s="37">
        <f t="shared" si="3"/>
        <v>75.992437242652954</v>
      </c>
      <c r="N8" s="37">
        <v>-3.2</v>
      </c>
      <c r="O8" s="37">
        <f t="shared" si="4"/>
        <v>83.8</v>
      </c>
      <c r="P8" s="48">
        <f t="shared" si="5"/>
        <v>72.792437242652952</v>
      </c>
      <c r="U8" s="105" t="s">
        <v>38</v>
      </c>
      <c r="V8" s="106">
        <f>C8</f>
        <v>72.099999999999994</v>
      </c>
      <c r="W8" s="107">
        <f>C6</f>
        <v>65</v>
      </c>
      <c r="X8" s="106"/>
      <c r="Y8" s="5" t="str">
        <f>"Barrier Location: X = " &amp; ROUND(V7,2) &amp; " ft, Y = " &amp; ROUND(W7,2) &amp; " ft"</f>
        <v>Barrier Location: X = 28.2 ft, Y = 75.4 ft</v>
      </c>
    </row>
    <row r="9" spans="2:52" ht="14.4" thickBot="1">
      <c r="B9" s="11" t="s">
        <v>46</v>
      </c>
      <c r="C9" s="123">
        <f>_xlfn.XLOOKUP($C$2, 'barrier to receiver list'!$A$2:$A$277, 'barrier to receiver list'!I2:I277)</f>
        <v>28.2</v>
      </c>
      <c r="D9" s="3"/>
      <c r="E9" s="31">
        <f t="shared" si="0"/>
        <v>1.163125643379439</v>
      </c>
      <c r="G9" s="54">
        <v>1000</v>
      </c>
      <c r="H9" s="118">
        <f>_xlfn.XLOOKUP($C$2, 'barrier to receiver list'!$A$2:$A$277, 'barrier to receiver list'!N2:N277)</f>
        <v>80</v>
      </c>
      <c r="I9" s="37">
        <f t="shared" si="1"/>
        <v>0</v>
      </c>
      <c r="J9" s="37">
        <f t="shared" si="6"/>
        <v>80</v>
      </c>
      <c r="K9" s="37">
        <f t="shared" si="7"/>
        <v>13.716001685238396</v>
      </c>
      <c r="L9" s="37">
        <f t="shared" si="2"/>
        <v>13.716001685238396</v>
      </c>
      <c r="M9" s="37">
        <f t="shared" si="3"/>
        <v>66.283998314761604</v>
      </c>
      <c r="N9" s="37">
        <v>0</v>
      </c>
      <c r="O9" s="37">
        <f t="shared" si="4"/>
        <v>80</v>
      </c>
      <c r="P9" s="48">
        <f t="shared" si="5"/>
        <v>66.283998314761604</v>
      </c>
      <c r="U9" s="105" t="s">
        <v>37</v>
      </c>
      <c r="V9" s="106">
        <v>0</v>
      </c>
      <c r="W9" s="107">
        <f>W6</f>
        <v>74.2</v>
      </c>
      <c r="X9" s="106"/>
      <c r="Y9" s="5" t="str">
        <f>"Receiver Location: X = " &amp; ROUND(V8,2) &amp; " ft, Y = " &amp; ROUND(W8,2) &amp; " ft"</f>
        <v>Receiver Location: X = 72.1 ft, Y = 65 ft</v>
      </c>
    </row>
    <row r="10" spans="2:52" ht="14.4" thickBot="1">
      <c r="B10" s="12" t="s">
        <v>16</v>
      </c>
      <c r="C10" s="100">
        <f>C8-C9</f>
        <v>43.899999999999991</v>
      </c>
      <c r="D10" s="3"/>
      <c r="E10" s="31">
        <f t="shared" si="0"/>
        <v>2.326251286758878</v>
      </c>
      <c r="G10" s="54">
        <v>2000</v>
      </c>
      <c r="H10" s="118">
        <f>_xlfn.XLOOKUP($C$2, 'barrier to receiver list'!$A$2:$A$277, 'barrier to receiver list'!O2:O277)</f>
        <v>72</v>
      </c>
      <c r="I10" s="37">
        <f t="shared" si="1"/>
        <v>0</v>
      </c>
      <c r="J10" s="37">
        <f t="shared" si="6"/>
        <v>72</v>
      </c>
      <c r="K10" s="37">
        <f t="shared" si="7"/>
        <v>16.656665787750136</v>
      </c>
      <c r="L10" s="37">
        <f t="shared" si="2"/>
        <v>16.656665787750136</v>
      </c>
      <c r="M10" s="37">
        <f t="shared" si="3"/>
        <v>55.343334212249864</v>
      </c>
      <c r="N10" s="37">
        <v>1.2</v>
      </c>
      <c r="O10" s="37">
        <f t="shared" si="4"/>
        <v>73.2</v>
      </c>
      <c r="P10" s="48">
        <f t="shared" si="5"/>
        <v>56.543334212249867</v>
      </c>
      <c r="U10" s="111" t="s">
        <v>41</v>
      </c>
      <c r="V10" s="108">
        <f>C11</f>
        <v>0</v>
      </c>
      <c r="W10" s="109">
        <v>3.28</v>
      </c>
      <c r="X10" s="106"/>
      <c r="Y10" s="5" t="str">
        <f>U12</f>
        <v>MAU-R1 to R1</v>
      </c>
    </row>
    <row r="11" spans="2:52" ht="14.4" thickBot="1">
      <c r="B11" s="12" t="s">
        <v>15</v>
      </c>
      <c r="C11" s="31">
        <f>SQRT(C12^2+C13^2)</f>
        <v>0</v>
      </c>
      <c r="D11" s="3"/>
      <c r="E11" s="31">
        <f t="shared" si="0"/>
        <v>4.6525025735177561</v>
      </c>
      <c r="G11" s="54">
        <v>4000</v>
      </c>
      <c r="H11" s="118">
        <f>_xlfn.XLOOKUP($C$2, 'barrier to receiver list'!$A$2:$A$277, 'barrier to receiver list'!P2:P277)</f>
        <v>69</v>
      </c>
      <c r="I11" s="37">
        <f t="shared" si="1"/>
        <v>0</v>
      </c>
      <c r="J11" s="37">
        <f t="shared" si="6"/>
        <v>69</v>
      </c>
      <c r="K11" s="37">
        <f t="shared" si="7"/>
        <v>19.659014554140789</v>
      </c>
      <c r="L11" s="37">
        <f t="shared" si="2"/>
        <v>19.659014554140789</v>
      </c>
      <c r="M11" s="37">
        <f t="shared" si="3"/>
        <v>49.340985445859211</v>
      </c>
      <c r="N11" s="37">
        <v>1</v>
      </c>
      <c r="O11" s="37">
        <f t="shared" si="4"/>
        <v>70</v>
      </c>
      <c r="P11" s="48">
        <f t="shared" si="5"/>
        <v>50.340985445859211</v>
      </c>
      <c r="U11" s="12"/>
      <c r="V11" s="106"/>
      <c r="W11" s="106"/>
      <c r="X11" s="106"/>
      <c r="Y11" s="5" t="str">
        <f>"Barrier Reduction per ARI: " &amp; I50 &amp; " dB"</f>
        <v>Barrier Reduction per ARI: 5 dB</v>
      </c>
    </row>
    <row r="12" spans="2:52" ht="14.4" thickBot="1">
      <c r="B12" s="12" t="s">
        <v>42</v>
      </c>
      <c r="C12" s="28"/>
      <c r="D12" s="3"/>
      <c r="E12" s="57">
        <f t="shared" si="0"/>
        <v>9.3050051470355122</v>
      </c>
      <c r="G12" s="55">
        <v>8000</v>
      </c>
      <c r="H12" s="118">
        <f>_xlfn.XLOOKUP($C$2, 'barrier to receiver list'!$A$2:$A$277, 'barrier to receiver list'!Q2:Q277)</f>
        <v>61</v>
      </c>
      <c r="I12" s="38">
        <f t="shared" si="1"/>
        <v>0</v>
      </c>
      <c r="J12" s="38">
        <f t="shared" si="6"/>
        <v>61</v>
      </c>
      <c r="K12" s="38">
        <f t="shared" si="7"/>
        <v>22.668968826966257</v>
      </c>
      <c r="L12" s="38">
        <f t="shared" si="2"/>
        <v>20</v>
      </c>
      <c r="M12" s="38">
        <f t="shared" si="3"/>
        <v>41</v>
      </c>
      <c r="N12" s="38">
        <v>-1.1000000000000001</v>
      </c>
      <c r="O12" s="38">
        <f t="shared" si="4"/>
        <v>59.9</v>
      </c>
      <c r="P12" s="49">
        <f t="shared" si="5"/>
        <v>39.9</v>
      </c>
      <c r="U12" s="112" t="str">
        <f>_xlfn.TEXTJOIN(" ",TRUE,C2:E2)</f>
        <v>MAU-R1 to R1</v>
      </c>
      <c r="V12" s="108"/>
      <c r="W12" s="108"/>
      <c r="X12" s="108"/>
      <c r="Y12" s="6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ht="14.4" thickBot="1">
      <c r="B13" s="12" t="s">
        <v>43</v>
      </c>
      <c r="C13" s="28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ht="14.4" thickBot="1">
      <c r="B14" s="15" t="s">
        <v>44</v>
      </c>
      <c r="C14" s="26">
        <f>SQRT(C8^2+(C6-C5)^2)</f>
        <v>72.684592590176905</v>
      </c>
      <c r="O14" s="45" t="s">
        <v>63</v>
      </c>
      <c r="P14" s="46" t="s">
        <v>62</v>
      </c>
      <c r="Q14" s="44" t="s">
        <v>56</v>
      </c>
    </row>
    <row r="15" spans="2:52" ht="14.4" thickBot="1">
      <c r="M15" s="43"/>
      <c r="N15" s="47" t="s">
        <v>53</v>
      </c>
      <c r="O15" s="35" cm="1">
        <f t="array" ref="O15">10*LOG10(SUM(10^((O5:O12)/10)))</f>
        <v>86.10550859917025</v>
      </c>
      <c r="P15" s="41" cm="1">
        <f t="array" ref="P15">10*LOG10(SUM(10^((P5:P12)/10)))</f>
        <v>74.582130175097973</v>
      </c>
      <c r="Q15" s="42">
        <f>O15-P15</f>
        <v>11.523378424072277</v>
      </c>
    </row>
    <row r="16" spans="2:52" ht="14.4" thickBot="1">
      <c r="Q16" s="130" t="str">
        <f>IFERROR("Barrier Reduction per OB Fresnel: " &amp; ROUND(Q15,0) &amp; " dB", "")</f>
        <v>Barrier Reduction per OB Fresnel: 12 dB</v>
      </c>
    </row>
    <row r="17" spans="2:50" ht="14.4" thickBot="1"/>
    <row r="18" spans="2:50">
      <c r="B18" s="10" t="s">
        <v>33</v>
      </c>
      <c r="C18" s="30">
        <f>C19+C20-C14</f>
        <v>0.65600286286600351</v>
      </c>
    </row>
    <row r="19" spans="2:50">
      <c r="B19" s="12" t="s">
        <v>1</v>
      </c>
      <c r="C19" s="31">
        <f>SQRT((C7-C5)^2+(C9)^2)</f>
        <v>28.225520367213782</v>
      </c>
    </row>
    <row r="20" spans="2:50">
      <c r="B20" s="12" t="s">
        <v>17</v>
      </c>
      <c r="C20" s="31">
        <f>SQRT((C7-C6)^2+(C10)^2)</f>
        <v>45.115075085829119</v>
      </c>
    </row>
    <row r="21" spans="2:50">
      <c r="B21" s="12" t="s">
        <v>61</v>
      </c>
      <c r="C21" s="28">
        <v>1128</v>
      </c>
    </row>
    <row r="22" spans="2:50">
      <c r="B22" s="12" t="s">
        <v>19</v>
      </c>
      <c r="C22" s="39" t="s">
        <v>59</v>
      </c>
    </row>
    <row r="23" spans="2:50">
      <c r="B23" s="12" t="s">
        <v>18</v>
      </c>
      <c r="C23" s="31">
        <f>_xlfn.IFS($C$22=$B$43,0,$C$22=$B$44, -5)</f>
        <v>0</v>
      </c>
    </row>
    <row r="24" spans="2:50" ht="14.4" thickBot="1">
      <c r="B24" s="11" t="s">
        <v>36</v>
      </c>
      <c r="C24" s="32">
        <f>_xlfn.IFS($C$22=$B$43,20,$C$22=$B$44, 10)</f>
        <v>20</v>
      </c>
    </row>
    <row r="25" spans="2:50" ht="14.4" thickBot="1"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</row>
    <row r="26" spans="2:50">
      <c r="B26" s="10" t="s">
        <v>22</v>
      </c>
      <c r="C26" s="40" t="s">
        <v>25</v>
      </c>
      <c r="X26" s="3"/>
    </row>
    <row r="27" spans="2:50">
      <c r="B27" s="12" t="s">
        <v>26</v>
      </c>
      <c r="C27" s="29">
        <f>_xlfn.IFS(C26=C44, 1, C26=C43, C29/180)</f>
        <v>1</v>
      </c>
    </row>
    <row r="28" spans="2:50">
      <c r="B28" s="12" t="s">
        <v>28</v>
      </c>
      <c r="C28" s="33">
        <v>0</v>
      </c>
    </row>
    <row r="29" spans="2:50" ht="14.4" thickBot="1">
      <c r="B29" s="11" t="s">
        <v>27</v>
      </c>
      <c r="C29" s="26">
        <f>2*DEGREES(ATAN((C28/2)/C10))</f>
        <v>0</v>
      </c>
    </row>
    <row r="30" spans="2:50" ht="14.4" thickBot="1"/>
    <row r="31" spans="2:50">
      <c r="B31" s="10" t="s">
        <v>29</v>
      </c>
      <c r="C31" s="40" t="s">
        <v>31</v>
      </c>
    </row>
    <row r="32" spans="2:50">
      <c r="B32" s="12" t="s">
        <v>54</v>
      </c>
      <c r="C32" s="29">
        <f>_xlfn.IFS(C31=D43,20,C31=D44,23)</f>
        <v>20</v>
      </c>
    </row>
    <row r="33" spans="2:36" ht="14.4" thickBot="1">
      <c r="B33" s="11" t="s">
        <v>34</v>
      </c>
      <c r="C33" s="34">
        <f>_xlfn.IFS(C31=D43,5,C31=D44,8)</f>
        <v>5</v>
      </c>
    </row>
    <row r="39" spans="2:36" ht="15" customHeight="1">
      <c r="AJ39" s="3"/>
    </row>
    <row r="40" spans="2:36" ht="14.4" thickBot="1"/>
    <row r="41" spans="2:36" ht="14.4" thickBot="1">
      <c r="B41" s="125" t="s">
        <v>21</v>
      </c>
      <c r="C41" s="126"/>
      <c r="D41" s="127"/>
      <c r="H41" s="128" t="s">
        <v>47</v>
      </c>
      <c r="I41" s="129"/>
    </row>
    <row r="42" spans="2:36" ht="138">
      <c r="B42" s="8" t="s">
        <v>20</v>
      </c>
      <c r="C42" s="36" t="s">
        <v>30</v>
      </c>
      <c r="D42" s="36" t="s">
        <v>23</v>
      </c>
      <c r="H42" s="16" t="s">
        <v>48</v>
      </c>
      <c r="I42" s="16" t="s">
        <v>49</v>
      </c>
    </row>
    <row r="43" spans="2:36">
      <c r="B43" s="5" t="s">
        <v>59</v>
      </c>
      <c r="C43" s="5" t="s">
        <v>24</v>
      </c>
      <c r="D43" s="5" t="s">
        <v>31</v>
      </c>
      <c r="H43" s="17">
        <v>0</v>
      </c>
      <c r="I43" s="17">
        <v>0</v>
      </c>
    </row>
    <row r="44" spans="2:36" ht="14.4" thickBot="1">
      <c r="B44" s="6" t="s">
        <v>60</v>
      </c>
      <c r="C44" s="6" t="s">
        <v>25</v>
      </c>
      <c r="D44" s="6" t="s">
        <v>32</v>
      </c>
      <c r="H44" s="17">
        <v>0.5</v>
      </c>
      <c r="I44" s="17">
        <v>4</v>
      </c>
    </row>
    <row r="45" spans="2:36">
      <c r="H45" s="17">
        <v>1</v>
      </c>
      <c r="I45" s="17">
        <v>7</v>
      </c>
    </row>
    <row r="46" spans="2:36">
      <c r="H46" s="17">
        <v>2</v>
      </c>
      <c r="I46" s="17">
        <v>10</v>
      </c>
    </row>
    <row r="47" spans="2:36">
      <c r="H47" s="17">
        <v>3</v>
      </c>
      <c r="I47" s="17">
        <v>12</v>
      </c>
    </row>
    <row r="48" spans="2:36">
      <c r="H48" s="17">
        <v>6</v>
      </c>
      <c r="I48" s="17">
        <v>15</v>
      </c>
    </row>
    <row r="49" spans="8:10">
      <c r="H49" s="17">
        <v>12</v>
      </c>
      <c r="I49" s="17">
        <v>17</v>
      </c>
    </row>
    <row r="50" spans="8:10">
      <c r="H50" t="s">
        <v>70</v>
      </c>
      <c r="I50">
        <f>ROUND(J54,0)</f>
        <v>5</v>
      </c>
    </row>
    <row r="51" spans="8:10">
      <c r="H51" t="s">
        <v>71</v>
      </c>
      <c r="I51" s="56">
        <f>C18</f>
        <v>0.65600286286600351</v>
      </c>
      <c r="J51">
        <f>_xlfn.XLOOKUP(I52,H43:H49,I43:I49,"error",0,1)</f>
        <v>4</v>
      </c>
    </row>
    <row r="52" spans="8:10">
      <c r="H52" t="s">
        <v>73</v>
      </c>
      <c r="I52">
        <f>_xlfn.XLOOKUP(I51,H43:H49,H43:H49,"error",-1,1)</f>
        <v>0.5</v>
      </c>
      <c r="J52">
        <f>_xlfn.XLOOKUP(I53,H43:H49,I43:I49,"error",0,1)</f>
        <v>7</v>
      </c>
    </row>
    <row r="53" spans="8:10" ht="42.75" customHeight="1">
      <c r="H53" t="s">
        <v>72</v>
      </c>
      <c r="I53">
        <f>_xlfn.XLOOKUP(I51,H43:H49,H43:H49,12,1,1)</f>
        <v>1</v>
      </c>
      <c r="J53">
        <f>J52-J51</f>
        <v>3</v>
      </c>
    </row>
    <row r="54" spans="8:10">
      <c r="H54" t="s">
        <v>74</v>
      </c>
      <c r="I54">
        <f>I53-I52</f>
        <v>0.5</v>
      </c>
      <c r="J54">
        <f>J51+(J53*I55)</f>
        <v>4.9360171771960211</v>
      </c>
    </row>
    <row r="55" spans="8:10">
      <c r="H55" t="s">
        <v>75</v>
      </c>
      <c r="I55">
        <f>IFERROR((I51-I52)/I54,0)</f>
        <v>0.31200572573200702</v>
      </c>
    </row>
    <row r="87" spans="22:53">
      <c r="V87" s="1"/>
      <c r="W87" s="1">
        <v>20</v>
      </c>
      <c r="X87" s="1">
        <v>25</v>
      </c>
      <c r="Y87" s="1">
        <v>31.5</v>
      </c>
      <c r="Z87" s="1">
        <v>40</v>
      </c>
      <c r="AA87" s="1">
        <v>50</v>
      </c>
      <c r="AB87" s="1">
        <v>63</v>
      </c>
      <c r="AC87" s="1">
        <v>80</v>
      </c>
      <c r="AD87" s="1">
        <v>100</v>
      </c>
      <c r="AE87" s="1">
        <v>125</v>
      </c>
      <c r="AF87" s="1">
        <v>160</v>
      </c>
      <c r="AG87" s="1">
        <v>200</v>
      </c>
      <c r="AH87" s="1">
        <v>250</v>
      </c>
      <c r="AI87" s="1">
        <v>315</v>
      </c>
      <c r="AJ87" s="1">
        <v>400</v>
      </c>
      <c r="AK87" s="1">
        <v>500</v>
      </c>
      <c r="AL87" s="1">
        <v>630</v>
      </c>
      <c r="AM87" s="1">
        <v>800</v>
      </c>
      <c r="AN87" s="1" t="s">
        <v>2</v>
      </c>
      <c r="AO87" s="1" t="s">
        <v>3</v>
      </c>
      <c r="AP87" s="1" t="s">
        <v>4</v>
      </c>
      <c r="AQ87" s="1" t="s">
        <v>5</v>
      </c>
      <c r="AR87" s="1" t="s">
        <v>6</v>
      </c>
      <c r="AS87" s="1" t="s">
        <v>7</v>
      </c>
      <c r="AT87" s="1" t="s">
        <v>8</v>
      </c>
      <c r="AU87" s="1" t="s">
        <v>9</v>
      </c>
      <c r="AV87" s="1" t="s">
        <v>10</v>
      </c>
      <c r="AW87" s="1" t="s">
        <v>11</v>
      </c>
      <c r="AX87" s="1" t="s">
        <v>12</v>
      </c>
      <c r="AY87" s="1" t="s">
        <v>13</v>
      </c>
      <c r="AZ87" s="1" t="s">
        <v>4</v>
      </c>
      <c r="BA87" s="1" t="s">
        <v>14</v>
      </c>
    </row>
    <row r="88" spans="22:53">
      <c r="V88" s="7"/>
      <c r="W88" s="7">
        <v>-50.5</v>
      </c>
      <c r="X88" s="7">
        <v>-44.7</v>
      </c>
      <c r="Y88" s="7">
        <v>-39.4</v>
      </c>
      <c r="Z88" s="7">
        <v>-34.6</v>
      </c>
      <c r="AA88" s="7">
        <v>-30.2</v>
      </c>
      <c r="AB88" s="7">
        <v>-26.2</v>
      </c>
      <c r="AC88" s="7">
        <v>-22.5</v>
      </c>
      <c r="AD88" s="7">
        <v>-19.100000000000001</v>
      </c>
      <c r="AE88" s="7">
        <v>-16.100000000000001</v>
      </c>
      <c r="AF88" s="7">
        <v>-13.4</v>
      </c>
      <c r="AG88" s="7">
        <v>-10.9</v>
      </c>
      <c r="AH88" s="7">
        <v>-8.6</v>
      </c>
      <c r="AI88" s="7">
        <v>-6.6</v>
      </c>
      <c r="AJ88" s="7">
        <v>-4.8</v>
      </c>
      <c r="AK88" s="7">
        <v>-3.2</v>
      </c>
      <c r="AL88" s="7">
        <v>-1.9</v>
      </c>
      <c r="AM88" s="7">
        <v>-0.8</v>
      </c>
      <c r="AN88" s="7">
        <v>0</v>
      </c>
      <c r="AO88" s="7">
        <v>0.6</v>
      </c>
      <c r="AP88" s="7">
        <v>1</v>
      </c>
      <c r="AQ88" s="7">
        <v>1.2</v>
      </c>
      <c r="AR88" s="7">
        <v>1.3</v>
      </c>
      <c r="AS88" s="7">
        <v>1.2</v>
      </c>
      <c r="AT88" s="7">
        <v>1</v>
      </c>
      <c r="AU88" s="7">
        <v>0.5</v>
      </c>
      <c r="AV88" s="7">
        <v>-0.1</v>
      </c>
      <c r="AW88" s="7">
        <v>-1.1000000000000001</v>
      </c>
      <c r="AX88" s="7">
        <v>-2.5</v>
      </c>
      <c r="AY88" s="7">
        <v>-4.3</v>
      </c>
      <c r="AZ88" s="7">
        <v>-6.6</v>
      </c>
      <c r="BA88" s="7">
        <v>-9.3000000000000007</v>
      </c>
    </row>
  </sheetData>
  <mergeCells count="2">
    <mergeCell ref="B41:D41"/>
    <mergeCell ref="H41:I41"/>
  </mergeCells>
  <conditionalFormatting sqref="H44:H49">
    <cfRule type="expression" dxfId="7" priority="2">
      <formula>"Rounddown($F$3)=J35"</formula>
    </cfRule>
  </conditionalFormatting>
  <conditionalFormatting sqref="H43">
    <cfRule type="expression" dxfId="6" priority="1">
      <formula>"Rounddown($F$3)=J35"</formula>
    </cfRule>
  </conditionalFormatting>
  <dataValidations count="3">
    <dataValidation type="list" allowBlank="1" showInputMessage="1" showErrorMessage="1" sqref="C22" xr:uid="{D206DC6E-7E52-495C-A54D-BCBF7F10DC8C}">
      <formula1>$B$43:$B$44</formula1>
    </dataValidation>
    <dataValidation type="list" allowBlank="1" showInputMessage="1" showErrorMessage="1" sqref="C26" xr:uid="{A64F7917-0B87-4542-8C65-D80CC24D3300}">
      <formula1>$C$43:$C$44</formula1>
    </dataValidation>
    <dataValidation type="list" allowBlank="1" showInputMessage="1" showErrorMessage="1" sqref="C31" xr:uid="{9BA8BBE9-AB2F-45F2-9D86-41754D6B0D5C}">
      <formula1>$D$43:$D$44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2982931-518A-4910-895E-4C0DBF69D75A}">
          <x14:formula1>
            <xm:f>'barrier to receiver list'!$A$2:$A$186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4FAB-5DD1-4129-BEDF-9330AECE3429}">
  <sheetPr codeName="Sheet5">
    <tabColor rgb="FF92D050"/>
  </sheetPr>
  <dimension ref="B1:AX88"/>
  <sheetViews>
    <sheetView zoomScaleNormal="100" workbookViewId="0">
      <selection activeCell="F18" sqref="F18"/>
    </sheetView>
  </sheetViews>
  <sheetFormatPr defaultRowHeight="13.8"/>
  <cols>
    <col min="1" max="1" width="4" customWidth="1"/>
    <col min="2" max="2" width="40.125" customWidth="1"/>
    <col min="3" max="6" width="11.875" customWidth="1"/>
    <col min="7" max="14" width="7" customWidth="1"/>
    <col min="15" max="15" width="7.625" customWidth="1"/>
    <col min="16" max="16" width="7" customWidth="1"/>
    <col min="18" max="18" width="27.25" bestFit="1" customWidth="1"/>
    <col min="19" max="19" width="12" bestFit="1" customWidth="1"/>
    <col min="20" max="21" width="5.625" bestFit="1" customWidth="1"/>
    <col min="22" max="22" width="30.125" bestFit="1" customWidth="1"/>
    <col min="23" max="23" width="5.625" bestFit="1" customWidth="1"/>
    <col min="24" max="24" width="11" bestFit="1" customWidth="1"/>
    <col min="25" max="25" width="10.125" bestFit="1" customWidth="1"/>
    <col min="26" max="27" width="11" bestFit="1" customWidth="1"/>
    <col min="28" max="35" width="10.875" customWidth="1"/>
    <col min="36" max="36" width="12.25" customWidth="1"/>
    <col min="37" max="38" width="10.875" customWidth="1"/>
    <col min="39" max="48" width="11.25" customWidth="1"/>
    <col min="49" max="50" width="12.25" customWidth="1"/>
  </cols>
  <sheetData>
    <row r="1" spans="2:49" ht="14.4" thickBot="1">
      <c r="C1" s="19"/>
      <c r="D1" s="19" t="s">
        <v>38</v>
      </c>
      <c r="E1" s="19"/>
      <c r="F1" s="19"/>
    </row>
    <row r="2" spans="2:49" ht="14.4" thickBot="1">
      <c r="B2" s="58" t="s">
        <v>94</v>
      </c>
      <c r="C2" s="96" t="s">
        <v>95</v>
      </c>
    </row>
    <row r="3" spans="2:49">
      <c r="B3" s="9" t="s">
        <v>92</v>
      </c>
      <c r="C3" s="95">
        <v>9</v>
      </c>
    </row>
    <row r="4" spans="2:49">
      <c r="B4" s="5" t="s">
        <v>93</v>
      </c>
      <c r="C4" s="78">
        <v>7</v>
      </c>
    </row>
    <row r="5" spans="2:49" ht="14.4" thickBot="1">
      <c r="B5" s="6" t="s">
        <v>91</v>
      </c>
      <c r="C5" s="79">
        <v>11</v>
      </c>
      <c r="S5" s="14" t="s">
        <v>39</v>
      </c>
      <c r="T5" s="14" t="s">
        <v>40</v>
      </c>
      <c r="V5" t="str">
        <f>"Path-Length Difference (L) = " &amp;ROUND(C10,2) &amp;" ft"</f>
        <v>Path-Length Difference (L) = 0.28 ft</v>
      </c>
    </row>
    <row r="6" spans="2:49">
      <c r="B6" s="9" t="s">
        <v>45</v>
      </c>
      <c r="C6" s="27">
        <v>58</v>
      </c>
      <c r="R6" s="13" t="s">
        <v>50</v>
      </c>
      <c r="S6">
        <v>0</v>
      </c>
      <c r="T6">
        <f>C3</f>
        <v>9</v>
      </c>
      <c r="V6" t="str">
        <f>"A = " &amp; ROUND(C11,2) &amp; ", B = " &amp;ROUND(C12,2) &amp;", D = " &amp;ROUND(C9,2)</f>
        <v>A = 18.11, B = 40.2, D = 58.03</v>
      </c>
    </row>
    <row r="7" spans="2:49" ht="14.4" thickBot="1">
      <c r="B7" s="6" t="s">
        <v>46</v>
      </c>
      <c r="C7" s="101">
        <v>18</v>
      </c>
      <c r="R7" s="13" t="s">
        <v>51</v>
      </c>
      <c r="S7">
        <f>C7</f>
        <v>18</v>
      </c>
      <c r="T7">
        <f>C5</f>
        <v>11</v>
      </c>
      <c r="V7" t="str">
        <f>"Source Height: " &amp; ROUND(T9,2) &amp; " ft"</f>
        <v>Source Height: 9 ft</v>
      </c>
    </row>
    <row r="8" spans="2:49">
      <c r="B8" s="5" t="s">
        <v>16</v>
      </c>
      <c r="C8" s="100">
        <f>C6-C7</f>
        <v>40</v>
      </c>
      <c r="R8" s="13" t="s">
        <v>38</v>
      </c>
      <c r="S8">
        <f>C6</f>
        <v>58</v>
      </c>
      <c r="T8">
        <f>C4</f>
        <v>7</v>
      </c>
      <c r="V8" t="str">
        <f>"Barrier Location: X = " &amp; ROUND(S7,2) &amp; " ft, Y = " &amp; ROUND(T7,2) &amp; " ft"</f>
        <v>Barrier Location: X = 18 ft, Y = 11 ft</v>
      </c>
    </row>
    <row r="9" spans="2:49" ht="14.4" thickBot="1">
      <c r="B9" s="59" t="s">
        <v>44</v>
      </c>
      <c r="C9" s="26">
        <f>SQRT(C6^2+(C4-C3)^2)</f>
        <v>58.034472514187634</v>
      </c>
      <c r="R9" s="13" t="s">
        <v>37</v>
      </c>
      <c r="S9">
        <v>0</v>
      </c>
      <c r="T9">
        <f>T6</f>
        <v>9</v>
      </c>
      <c r="V9" t="str">
        <f>"Receiver Location: X = " &amp; ROUND(S8,2) &amp; " ft, Y = " &amp; ROUND(T8,2) &amp; " ft"</f>
        <v>Receiver Location: X = 58 ft, Y = 7 ft</v>
      </c>
    </row>
    <row r="10" spans="2:49">
      <c r="B10" s="5" t="s">
        <v>33</v>
      </c>
      <c r="C10" s="30">
        <f>C11+C12-C9</f>
        <v>0.27580024657076052</v>
      </c>
      <c r="R10" s="13" t="s">
        <v>41</v>
      </c>
      <c r="S10" t="e">
        <f>#REF!</f>
        <v>#REF!</v>
      </c>
      <c r="T10">
        <v>3.28</v>
      </c>
      <c r="V10" t="str">
        <f>R12</f>
        <v>Condenser</v>
      </c>
    </row>
    <row r="11" spans="2:49">
      <c r="B11" s="5" t="s">
        <v>1</v>
      </c>
      <c r="C11" s="31">
        <f>SQRT((C5-C3)^2+(C7)^2)</f>
        <v>18.110770276274835</v>
      </c>
      <c r="V11" t="str">
        <f>"Barrier Reduction per ARI: " &amp; F37 &amp; " dB"</f>
        <v>Barrier Reduction per ARI: 2 dB</v>
      </c>
    </row>
    <row r="12" spans="2:49" ht="14.4" thickBot="1">
      <c r="B12" s="6" t="s">
        <v>17</v>
      </c>
      <c r="C12" s="57">
        <f>SQRT((C5-C4)^2+(C8)^2)</f>
        <v>40.19950248448356</v>
      </c>
      <c r="R12" s="2" t="str">
        <f>_xlfn.TEXTJOIN(" to ",TRUE,C2:D2)</f>
        <v>Condenser</v>
      </c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2:49"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25" spans="5:47"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</row>
    <row r="26" spans="5:47">
      <c r="U26" s="3"/>
    </row>
    <row r="28" spans="5:47">
      <c r="E28" s="128" t="s">
        <v>47</v>
      </c>
      <c r="F28" s="129"/>
    </row>
    <row r="29" spans="5:47" ht="39.6">
      <c r="E29" s="16" t="s">
        <v>48</v>
      </c>
      <c r="F29" s="16" t="s">
        <v>49</v>
      </c>
    </row>
    <row r="30" spans="5:47">
      <c r="E30" s="17">
        <v>0</v>
      </c>
      <c r="F30" s="17">
        <v>0</v>
      </c>
    </row>
    <row r="31" spans="5:47">
      <c r="E31" s="17">
        <v>0.5</v>
      </c>
      <c r="F31" s="17">
        <v>4</v>
      </c>
    </row>
    <row r="32" spans="5:47">
      <c r="E32" s="17">
        <v>1</v>
      </c>
      <c r="F32" s="17">
        <v>7</v>
      </c>
    </row>
    <row r="33" spans="5:33">
      <c r="E33" s="17">
        <v>2</v>
      </c>
      <c r="F33" s="17">
        <v>10</v>
      </c>
    </row>
    <row r="34" spans="5:33">
      <c r="E34" s="17">
        <v>3</v>
      </c>
      <c r="F34" s="17">
        <v>12</v>
      </c>
    </row>
    <row r="35" spans="5:33">
      <c r="E35" s="17">
        <v>6</v>
      </c>
      <c r="F35" s="17">
        <v>15</v>
      </c>
    </row>
    <row r="36" spans="5:33">
      <c r="E36" s="17">
        <v>12</v>
      </c>
      <c r="F36" s="17">
        <v>17</v>
      </c>
    </row>
    <row r="37" spans="5:33">
      <c r="E37" t="s">
        <v>70</v>
      </c>
      <c r="F37">
        <f>ROUND(G41,0)</f>
        <v>2</v>
      </c>
    </row>
    <row r="38" spans="5:33">
      <c r="E38" t="s">
        <v>71</v>
      </c>
      <c r="F38" s="56">
        <f>C10</f>
        <v>0.27580024657076052</v>
      </c>
      <c r="G38">
        <f>_xlfn.XLOOKUP(F39,E30:E36,F30:F36,"error",0,1)</f>
        <v>0</v>
      </c>
    </row>
    <row r="39" spans="5:33" ht="15" customHeight="1">
      <c r="E39" t="s">
        <v>73</v>
      </c>
      <c r="F39">
        <f>_xlfn.XLOOKUP(F38,E30:E36,E30:E36,"error",-1,1)</f>
        <v>0</v>
      </c>
      <c r="G39">
        <f>_xlfn.XLOOKUP(F40,E30:E36,F30:F36,"error",0,1)</f>
        <v>4</v>
      </c>
      <c r="AG39" s="3"/>
    </row>
    <row r="40" spans="5:33">
      <c r="E40" t="s">
        <v>72</v>
      </c>
      <c r="F40">
        <f>_xlfn.XLOOKUP(F38,E30:E36,E30:E36,12,1,1)</f>
        <v>0.5</v>
      </c>
      <c r="G40">
        <f>G39-G38</f>
        <v>4</v>
      </c>
    </row>
    <row r="41" spans="5:33">
      <c r="E41" t="s">
        <v>74</v>
      </c>
      <c r="F41">
        <f>F40-F39</f>
        <v>0.5</v>
      </c>
      <c r="G41">
        <f>G38+(G40*F42)</f>
        <v>2.2064019725660842</v>
      </c>
    </row>
    <row r="42" spans="5:33">
      <c r="E42" t="s">
        <v>75</v>
      </c>
      <c r="F42">
        <f>IFERROR((F38-F39)/F41,0)</f>
        <v>0.55160049314152104</v>
      </c>
    </row>
    <row r="53" ht="42.75" customHeight="1"/>
    <row r="87" spans="19:50"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9:50"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</row>
  </sheetData>
  <mergeCells count="1">
    <mergeCell ref="E28:F28"/>
  </mergeCells>
  <conditionalFormatting sqref="E31:E36">
    <cfRule type="expression" dxfId="5" priority="2">
      <formula>"Rounddown($F$3)=J35"</formula>
    </cfRule>
  </conditionalFormatting>
  <conditionalFormatting sqref="E30">
    <cfRule type="expression" dxfId="4" priority="1">
      <formula>"Rounddown($F$3)=J35"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C693F-157F-452D-B0A8-9FAEE3CFDE8F}">
  <sheetPr codeName="Sheet6">
    <tabColor rgb="FF92D050"/>
  </sheetPr>
  <dimension ref="B1:AX88"/>
  <sheetViews>
    <sheetView zoomScaleNormal="100" workbookViewId="0">
      <selection activeCell="J10" sqref="J10"/>
    </sheetView>
  </sheetViews>
  <sheetFormatPr defaultRowHeight="13.8"/>
  <cols>
    <col min="1" max="1" width="4" customWidth="1"/>
    <col min="2" max="2" width="40.125" customWidth="1"/>
    <col min="3" max="6" width="11.875" customWidth="1"/>
    <col min="7" max="14" width="7" customWidth="1"/>
    <col min="15" max="15" width="7.625" customWidth="1"/>
    <col min="16" max="16" width="7" customWidth="1"/>
    <col min="18" max="18" width="27.25" bestFit="1" customWidth="1"/>
    <col min="19" max="19" width="12" bestFit="1" customWidth="1"/>
    <col min="20" max="21" width="5.625" bestFit="1" customWidth="1"/>
    <col min="22" max="22" width="30.125" bestFit="1" customWidth="1"/>
    <col min="23" max="23" width="5.625" bestFit="1" customWidth="1"/>
    <col min="24" max="24" width="11" bestFit="1" customWidth="1"/>
    <col min="25" max="25" width="10.125" bestFit="1" customWidth="1"/>
    <col min="26" max="27" width="11" bestFit="1" customWidth="1"/>
    <col min="28" max="35" width="10.875" customWidth="1"/>
    <col min="36" max="36" width="12.25" customWidth="1"/>
    <col min="37" max="38" width="10.875" customWidth="1"/>
    <col min="39" max="48" width="11.25" customWidth="1"/>
    <col min="49" max="50" width="12.25" customWidth="1"/>
  </cols>
  <sheetData>
    <row r="1" spans="2:49" ht="14.4" thickBot="1">
      <c r="C1" s="19"/>
      <c r="D1" s="19" t="s">
        <v>38</v>
      </c>
      <c r="E1" s="19"/>
      <c r="F1" s="19"/>
    </row>
    <row r="2" spans="2:49" ht="14.4" thickBot="1">
      <c r="B2" s="58" t="s">
        <v>94</v>
      </c>
      <c r="C2" s="96" t="s">
        <v>95</v>
      </c>
    </row>
    <row r="3" spans="2:49">
      <c r="B3" s="9" t="s">
        <v>92</v>
      </c>
      <c r="C3" s="95">
        <v>342</v>
      </c>
    </row>
    <row r="4" spans="2:49">
      <c r="B4" s="5" t="s">
        <v>93</v>
      </c>
      <c r="C4" s="78">
        <v>341</v>
      </c>
    </row>
    <row r="5" spans="2:49" ht="14.4" thickBot="1">
      <c r="B5" s="6" t="s">
        <v>91</v>
      </c>
      <c r="C5" s="79">
        <v>344</v>
      </c>
      <c r="S5" s="14" t="s">
        <v>39</v>
      </c>
      <c r="T5" s="14" t="s">
        <v>40</v>
      </c>
      <c r="V5" t="str">
        <f>"Path-Length Difference (L) = " &amp;ROUND(C10,2) &amp;" ft"</f>
        <v>Path-Length Difference (L) = 0.19 ft</v>
      </c>
    </row>
    <row r="6" spans="2:49">
      <c r="B6" s="9" t="s">
        <v>45</v>
      </c>
      <c r="C6" s="27">
        <v>65</v>
      </c>
      <c r="R6" s="13" t="s">
        <v>50</v>
      </c>
      <c r="S6">
        <v>0</v>
      </c>
      <c r="T6">
        <f>C3</f>
        <v>342</v>
      </c>
      <c r="V6" t="str">
        <f>"A = " &amp; ROUND(C11,2) &amp; ", B = " &amp;ROUND(C12,2) &amp;", D = " &amp;ROUND(C9,2)</f>
        <v>A = 21.1, B = 44.1, D = 65.01</v>
      </c>
    </row>
    <row r="7" spans="2:49" ht="14.4" thickBot="1">
      <c r="B7" s="6" t="s">
        <v>46</v>
      </c>
      <c r="C7" s="101">
        <v>21</v>
      </c>
      <c r="R7" s="13" t="s">
        <v>51</v>
      </c>
      <c r="S7">
        <f>C7</f>
        <v>21</v>
      </c>
      <c r="T7">
        <f>C5</f>
        <v>344</v>
      </c>
      <c r="V7" t="str">
        <f>"Source Height: " &amp; ROUND(T9,2) &amp; " ft"</f>
        <v>Source Height: 342 ft</v>
      </c>
    </row>
    <row r="8" spans="2:49">
      <c r="B8" s="5" t="s">
        <v>16</v>
      </c>
      <c r="C8" s="100">
        <f>C6-C7</f>
        <v>44</v>
      </c>
      <c r="R8" s="13" t="s">
        <v>38</v>
      </c>
      <c r="S8">
        <f>C6</f>
        <v>65</v>
      </c>
      <c r="T8">
        <f>C4</f>
        <v>341</v>
      </c>
      <c r="V8" t="str">
        <f>"Barrier Location: X = " &amp; ROUND(S7,2) &amp; " ft, Y = " &amp; ROUND(T7,2) &amp; " ft"</f>
        <v>Barrier Location: X = 21 ft, Y = 344 ft</v>
      </c>
    </row>
    <row r="9" spans="2:49" ht="14.4" thickBot="1">
      <c r="B9" s="59" t="s">
        <v>44</v>
      </c>
      <c r="C9" s="26">
        <f>SQRT(C6^2+(C4-C3)^2)</f>
        <v>65.007691852580024</v>
      </c>
      <c r="R9" s="13" t="s">
        <v>37</v>
      </c>
      <c r="S9">
        <v>0</v>
      </c>
      <c r="T9">
        <f>T6</f>
        <v>342</v>
      </c>
      <c r="V9" t="str">
        <f>"Receiver Location: X = " &amp; ROUND(S8,2) &amp; " ft, Y = " &amp; ROUND(T8,2) &amp; " ft"</f>
        <v>Receiver Location: X = 65 ft, Y = 341 ft</v>
      </c>
    </row>
    <row r="10" spans="2:49">
      <c r="B10" s="5" t="s">
        <v>33</v>
      </c>
      <c r="C10" s="30">
        <f>C11+C12-C9</f>
        <v>0.18948539954885746</v>
      </c>
      <c r="R10" s="13" t="s">
        <v>41</v>
      </c>
      <c r="S10" t="e">
        <f>#REF!</f>
        <v>#REF!</v>
      </c>
      <c r="T10">
        <v>3.28</v>
      </c>
      <c r="V10" t="str">
        <f>R12</f>
        <v>Condenser</v>
      </c>
    </row>
    <row r="11" spans="2:49">
      <c r="B11" s="5" t="s">
        <v>1</v>
      </c>
      <c r="C11" s="31">
        <f>SQRT((C5-C3)^2+(C7)^2)</f>
        <v>21.095023109728988</v>
      </c>
      <c r="V11" t="str">
        <f>"Barrier Reduction per ARI: " &amp; F37 &amp; " dB"</f>
        <v>Barrier Reduction per ARI: 2 dB</v>
      </c>
    </row>
    <row r="12" spans="2:49" ht="14.4" thickBot="1">
      <c r="B12" s="6" t="s">
        <v>17</v>
      </c>
      <c r="C12" s="57">
        <f>SQRT((C5-C4)^2+(C8)^2)</f>
        <v>44.10215414239989</v>
      </c>
      <c r="R12" s="2" t="str">
        <f>_xlfn.TEXTJOIN(" to ",TRUE,C2:D2)</f>
        <v>Condenser</v>
      </c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2:49"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25" spans="5:47"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</row>
    <row r="26" spans="5:47">
      <c r="U26" s="3"/>
    </row>
    <row r="28" spans="5:47">
      <c r="E28" s="128" t="s">
        <v>47</v>
      </c>
      <c r="F28" s="129"/>
    </row>
    <row r="29" spans="5:47" ht="39.6">
      <c r="E29" s="16" t="s">
        <v>48</v>
      </c>
      <c r="F29" s="16" t="s">
        <v>49</v>
      </c>
    </row>
    <row r="30" spans="5:47">
      <c r="E30" s="17">
        <v>0</v>
      </c>
      <c r="F30" s="17">
        <v>0</v>
      </c>
    </row>
    <row r="31" spans="5:47">
      <c r="E31" s="17">
        <v>0.5</v>
      </c>
      <c r="F31" s="17">
        <v>4</v>
      </c>
    </row>
    <row r="32" spans="5:47">
      <c r="E32" s="17">
        <v>1</v>
      </c>
      <c r="F32" s="17">
        <v>7</v>
      </c>
    </row>
    <row r="33" spans="5:33">
      <c r="E33" s="17">
        <v>2</v>
      </c>
      <c r="F33" s="17">
        <v>10</v>
      </c>
    </row>
    <row r="34" spans="5:33">
      <c r="E34" s="17">
        <v>3</v>
      </c>
      <c r="F34" s="17">
        <v>12</v>
      </c>
    </row>
    <row r="35" spans="5:33">
      <c r="E35" s="17">
        <v>6</v>
      </c>
      <c r="F35" s="17">
        <v>15</v>
      </c>
    </row>
    <row r="36" spans="5:33">
      <c r="E36" s="17">
        <v>12</v>
      </c>
      <c r="F36" s="17">
        <v>17</v>
      </c>
    </row>
    <row r="37" spans="5:33">
      <c r="E37" t="s">
        <v>70</v>
      </c>
      <c r="F37">
        <f>ROUND(G41,0)</f>
        <v>2</v>
      </c>
    </row>
    <row r="38" spans="5:33">
      <c r="E38" t="s">
        <v>71</v>
      </c>
      <c r="F38" s="56">
        <f>C10</f>
        <v>0.18948539954885746</v>
      </c>
      <c r="G38">
        <f>_xlfn.XLOOKUP(F39,E30:E36,F30:F36,"error",0,1)</f>
        <v>0</v>
      </c>
    </row>
    <row r="39" spans="5:33" ht="15" customHeight="1">
      <c r="E39" t="s">
        <v>73</v>
      </c>
      <c r="F39">
        <f>_xlfn.XLOOKUP(F38,E30:E36,E30:E36,"error",-1,1)</f>
        <v>0</v>
      </c>
      <c r="G39">
        <f>_xlfn.XLOOKUP(F40,E30:E36,F30:F36,"error",0,1)</f>
        <v>4</v>
      </c>
      <c r="AG39" s="3"/>
    </row>
    <row r="40" spans="5:33">
      <c r="E40" t="s">
        <v>72</v>
      </c>
      <c r="F40">
        <f>_xlfn.XLOOKUP(F38,E30:E36,E30:E36,12,1,1)</f>
        <v>0.5</v>
      </c>
      <c r="G40">
        <f>G39-G38</f>
        <v>4</v>
      </c>
    </row>
    <row r="41" spans="5:33">
      <c r="E41" t="s">
        <v>74</v>
      </c>
      <c r="F41">
        <f>F40-F39</f>
        <v>0.5</v>
      </c>
      <c r="G41">
        <f>G38+(G40*F42)</f>
        <v>1.5158831963908597</v>
      </c>
    </row>
    <row r="42" spans="5:33">
      <c r="E42" t="s">
        <v>75</v>
      </c>
      <c r="F42">
        <f>IFERROR((F38-F39)/F41,0)</f>
        <v>0.37897079909771492</v>
      </c>
    </row>
    <row r="53" ht="42.75" customHeight="1"/>
    <row r="87" spans="19:50"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9:50"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</row>
  </sheetData>
  <mergeCells count="1">
    <mergeCell ref="E28:F28"/>
  </mergeCells>
  <conditionalFormatting sqref="E31:E36">
    <cfRule type="expression" dxfId="3" priority="2">
      <formula>"Rounddown($F$3)=J35"</formula>
    </cfRule>
  </conditionalFormatting>
  <conditionalFormatting sqref="E30">
    <cfRule type="expression" dxfId="2" priority="1">
      <formula>"Rounddown($F$3)=J35"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4F71-7C9C-4526-86A0-09D9F9C065A1}">
  <sheetPr codeName="Sheet7">
    <tabColor rgb="FF92D050"/>
  </sheetPr>
  <dimension ref="B1:AX93"/>
  <sheetViews>
    <sheetView zoomScale="85" zoomScaleNormal="85" workbookViewId="0">
      <selection activeCell="H22" sqref="H22"/>
    </sheetView>
  </sheetViews>
  <sheetFormatPr defaultRowHeight="13.8"/>
  <cols>
    <col min="1" max="1" width="4" customWidth="1"/>
    <col min="2" max="2" width="36.625" bestFit="1" customWidth="1"/>
    <col min="3" max="3" width="24.125" customWidth="1"/>
    <col min="4" max="6" width="11.875" customWidth="1"/>
    <col min="7" max="7" width="16.75" bestFit="1" customWidth="1"/>
    <col min="8" max="14" width="7" customWidth="1"/>
    <col min="15" max="15" width="7.625" customWidth="1"/>
    <col min="16" max="16" width="7" customWidth="1"/>
    <col min="18" max="18" width="27.25" bestFit="1" customWidth="1"/>
    <col min="19" max="19" width="12" bestFit="1" customWidth="1"/>
    <col min="20" max="20" width="6.375" bestFit="1" customWidth="1"/>
    <col min="21" max="21" width="5.625" bestFit="1" customWidth="1"/>
    <col min="22" max="22" width="30.125" bestFit="1" customWidth="1"/>
    <col min="23" max="23" width="5.625" bestFit="1" customWidth="1"/>
    <col min="24" max="24" width="11" bestFit="1" customWidth="1"/>
    <col min="25" max="25" width="10.125" bestFit="1" customWidth="1"/>
    <col min="26" max="27" width="11" bestFit="1" customWidth="1"/>
    <col min="28" max="35" width="10.875" customWidth="1"/>
    <col min="36" max="36" width="12.25" customWidth="1"/>
    <col min="37" max="38" width="10.875" customWidth="1"/>
    <col min="39" max="48" width="11.25" customWidth="1"/>
    <col min="49" max="50" width="12.25" customWidth="1"/>
  </cols>
  <sheetData>
    <row r="1" spans="2:49" ht="14.4" thickBot="1">
      <c r="C1" s="19" t="s">
        <v>37</v>
      </c>
      <c r="D1" s="19" t="s">
        <v>38</v>
      </c>
      <c r="E1" s="19" t="s">
        <v>80</v>
      </c>
      <c r="F1" s="19" t="s">
        <v>81</v>
      </c>
    </row>
    <row r="2" spans="2:49" ht="14.4" thickBot="1">
      <c r="B2" s="73"/>
      <c r="C2" s="76" t="s">
        <v>76</v>
      </c>
      <c r="D2" s="97" t="s">
        <v>77</v>
      </c>
      <c r="E2" s="98" t="s">
        <v>78</v>
      </c>
      <c r="F2" s="99" t="s">
        <v>79</v>
      </c>
    </row>
    <row r="3" spans="2:49">
      <c r="B3" s="71" t="s">
        <v>37</v>
      </c>
      <c r="C3" s="116" t="s">
        <v>113</v>
      </c>
      <c r="D3" s="89">
        <f>_xlfn.XLOOKUP($C$3,$C$33:$C$59,D33:D59,"not found",0,1)</f>
        <v>340</v>
      </c>
      <c r="E3" s="90">
        <f t="shared" ref="E3:F3" si="0">_xlfn.XLOOKUP($C$3,$C$33:$C$59,E33:E59,"not found",0,1)</f>
        <v>182</v>
      </c>
      <c r="F3" s="91">
        <f t="shared" si="0"/>
        <v>274.47000000000003</v>
      </c>
    </row>
    <row r="4" spans="2:49">
      <c r="B4" s="71" t="s">
        <v>38</v>
      </c>
      <c r="C4" s="117" t="s">
        <v>100</v>
      </c>
      <c r="D4" s="92">
        <f>_xlfn.XLOOKUP($C$4,$C$18:$C$29,D18:D29,"not found",0,1)</f>
        <v>255</v>
      </c>
      <c r="E4" s="93">
        <f t="shared" ref="E4:F4" si="1">_xlfn.XLOOKUP($C$4,$C$18:$C$29,E18:E29,"not found",0,1)</f>
        <v>286</v>
      </c>
      <c r="F4" s="94">
        <f t="shared" si="1"/>
        <v>274.39999999999998</v>
      </c>
    </row>
    <row r="5" spans="2:49">
      <c r="B5" s="71" t="s">
        <v>80</v>
      </c>
      <c r="C5" s="117" t="s">
        <v>122</v>
      </c>
      <c r="D5" s="92">
        <f>_xlfn.XLOOKUP($C$5,$C$67:$C$93,D67:D93,"error",0,1)</f>
        <v>312</v>
      </c>
      <c r="E5" s="93">
        <f t="shared" ref="E5:F5" si="2">_xlfn.XLOOKUP($C$5,$C$67:$C$93,E67:E93,"error",0,1)</f>
        <v>195</v>
      </c>
      <c r="F5" s="94">
        <f t="shared" si="2"/>
        <v>278.7</v>
      </c>
      <c r="S5" s="14" t="s">
        <v>39</v>
      </c>
      <c r="T5" s="14" t="s">
        <v>40</v>
      </c>
      <c r="V5" t="str">
        <f>"Path-Length Difference (L) = " &amp;ROUND(C11,1) &amp;" ft"</f>
        <v>Path-Length Difference (L) = 0.4 ft</v>
      </c>
    </row>
    <row r="6" spans="2:49" ht="14.4" thickBot="1">
      <c r="B6" s="72" t="s">
        <v>81</v>
      </c>
      <c r="C6" s="117" t="str">
        <f>LEFT(C5,LEN(C5)-5) &amp; "end"</f>
        <v>w end</v>
      </c>
      <c r="D6" s="113">
        <f>_xlfn.XLOOKUP($C$6,$C$67:$C$93,D67:D93,"error",0,1)</f>
        <v>352</v>
      </c>
      <c r="E6" s="114">
        <f>_xlfn.XLOOKUP($C$6,$C$67:$C$93,E67:E93,"error",0,1)</f>
        <v>243</v>
      </c>
      <c r="F6" s="94">
        <f>_xlfn.XLOOKUP($C$6,$C$67:$C$93,F67:F93,"error",0,1)</f>
        <v>278.7</v>
      </c>
      <c r="R6" s="13" t="s">
        <v>50</v>
      </c>
      <c r="S6">
        <v>0</v>
      </c>
      <c r="T6">
        <f>F3</f>
        <v>274.47000000000003</v>
      </c>
      <c r="V6" t="str">
        <f>"A = " &amp; ROUND(C12,1) &amp; ", B = " &amp;ROUND(C13,1) &amp;", D = " &amp;ROUND(C10,1)</f>
        <v>A = 30.7, B = 104, D = 134.3</v>
      </c>
    </row>
    <row r="7" spans="2:49">
      <c r="B7" s="5" t="s">
        <v>45</v>
      </c>
      <c r="C7" s="69">
        <f>SQRT((D4-D3)^2+(E4-E3)^2)</f>
        <v>134.31678971744373</v>
      </c>
      <c r="D7" s="80" t="s">
        <v>82</v>
      </c>
      <c r="E7" s="83">
        <f>(E4-E3)/(D4-D3)</f>
        <v>-1.223529411764706</v>
      </c>
      <c r="F7" s="84">
        <f>SLOPE(E3:E4,D3:D4)</f>
        <v>-1.223529411764706</v>
      </c>
      <c r="G7" s="80" t="s">
        <v>104</v>
      </c>
      <c r="H7" s="83">
        <f>MIN(F5:F6)</f>
        <v>278.7</v>
      </c>
      <c r="R7" s="13" t="s">
        <v>51</v>
      </c>
      <c r="S7">
        <f>C8</f>
        <v>30.384283499188783</v>
      </c>
      <c r="T7" s="56">
        <f>H12</f>
        <v>278.7</v>
      </c>
      <c r="V7" t="str">
        <f>"Source Height: " &amp; ROUND(T9,1) &amp; " ft"</f>
        <v>Source Height: 274.5 ft</v>
      </c>
    </row>
    <row r="8" spans="2:49" ht="14.4" thickBot="1">
      <c r="B8" s="5" t="s">
        <v>46</v>
      </c>
      <c r="C8" s="70">
        <f>SQRT((E11-D3)^2+(E12-E3)^2)</f>
        <v>30.384283499188783</v>
      </c>
      <c r="D8" s="81" t="s">
        <v>101</v>
      </c>
      <c r="E8" s="85">
        <f>(E6-E5)/(D6-D5)</f>
        <v>1.2</v>
      </c>
      <c r="F8" s="86">
        <f>SLOPE(E5:E6,D5:D6)</f>
        <v>1.2</v>
      </c>
      <c r="G8" s="81" t="s">
        <v>105</v>
      </c>
      <c r="H8" s="85">
        <f>ABS(F5-F6)</f>
        <v>0</v>
      </c>
      <c r="R8" s="13" t="s">
        <v>38</v>
      </c>
      <c r="S8">
        <f>C7</f>
        <v>134.31678971744373</v>
      </c>
      <c r="T8">
        <f>F4</f>
        <v>274.39999999999998</v>
      </c>
      <c r="V8" t="str">
        <f>"Barrier Location: X = " &amp; ROUND(S7,1) &amp; " ft, Y = " &amp; ROUND(T7,1) &amp; " ft"</f>
        <v>Barrier Location: X = 30.4 ft, Y = 278.7 ft</v>
      </c>
    </row>
    <row r="9" spans="2:49">
      <c r="B9" s="5" t="s">
        <v>16</v>
      </c>
      <c r="C9" s="30">
        <f>C7-C8</f>
        <v>103.93250621825494</v>
      </c>
      <c r="D9" s="81" t="s">
        <v>83</v>
      </c>
      <c r="E9" s="85">
        <f>E3-(E7*D3)</f>
        <v>598</v>
      </c>
      <c r="F9" s="86">
        <f>INTERCEPT(E3:E4,D3:D4)</f>
        <v>598</v>
      </c>
      <c r="G9" s="81" t="s">
        <v>106</v>
      </c>
      <c r="H9" s="85">
        <f>SQRT((D6-D5)^2+(E6-E5)^2)</f>
        <v>62.481997407253232</v>
      </c>
      <c r="R9" s="13" t="s">
        <v>37</v>
      </c>
      <c r="S9">
        <v>0</v>
      </c>
      <c r="T9">
        <f>T6</f>
        <v>274.47000000000003</v>
      </c>
      <c r="V9" t="str">
        <f>"Receiver Location: X = " &amp; ROUND(S8,1) &amp; " ft, Y = " &amp; ROUND(T8,1) &amp; " ft"</f>
        <v>Receiver Location: X = 134.3 ft, Y = 274.4 ft</v>
      </c>
    </row>
    <row r="10" spans="2:49" ht="14.4" thickBot="1">
      <c r="B10" s="59" t="s">
        <v>44</v>
      </c>
      <c r="C10" s="26">
        <f>SQRT(C7^2+(F4-F3)^2)</f>
        <v>134.31680795790226</v>
      </c>
      <c r="D10" s="81" t="s">
        <v>102</v>
      </c>
      <c r="E10" s="85">
        <f>E5-(E8*D5)</f>
        <v>-179.39999999999998</v>
      </c>
      <c r="F10" s="86">
        <f>INTERCEPT(E5:E6,D5:D6)</f>
        <v>-179.39999999999998</v>
      </c>
      <c r="G10" s="81" t="s">
        <v>107</v>
      </c>
      <c r="H10" s="85">
        <f>H8/H9</f>
        <v>0</v>
      </c>
      <c r="R10" s="13" t="s">
        <v>41</v>
      </c>
      <c r="S10" t="e">
        <f>#REF!</f>
        <v>#REF!</v>
      </c>
      <c r="T10">
        <v>3.28</v>
      </c>
      <c r="V10" t="str">
        <f>R12</f>
        <v>Dry Cooler to R4</v>
      </c>
    </row>
    <row r="11" spans="2:49" ht="14.4" thickBot="1">
      <c r="B11" s="5" t="s">
        <v>33</v>
      </c>
      <c r="C11" s="30">
        <f>C12+C13-C10</f>
        <v>0.38192601519330083</v>
      </c>
      <c r="D11" s="81" t="s">
        <v>84</v>
      </c>
      <c r="E11" s="85">
        <f>(E10-E9)/(E7-E8)</f>
        <v>320.77184466019412</v>
      </c>
      <c r="F11" s="86">
        <f>(F10-F9)/(F7-F8)</f>
        <v>320.77184466019412</v>
      </c>
      <c r="G11" s="81" t="s">
        <v>108</v>
      </c>
      <c r="H11" s="115">
        <f>SQRT((E11-_xlfn.XLOOKUP(MIN(F5:F6),F5:F6,D5:D6))^2+(E12-_xlfn.XLOOKUP(MIN(F5:F6),F5:F6,E5:E6))^2)</f>
        <v>13.702059382876996</v>
      </c>
      <c r="V11" t="str">
        <f>"Barrier Reduction per ARI: " &amp; N44 &amp; " dB"</f>
        <v>Barrier Reduction per ARI: 3 dB</v>
      </c>
    </row>
    <row r="12" spans="2:49" ht="14.4" thickBot="1">
      <c r="B12" s="5" t="s">
        <v>1</v>
      </c>
      <c r="C12" s="31">
        <f>SQRT((H12-F3)^2+(C8)^2)</f>
        <v>30.677313828936775</v>
      </c>
      <c r="D12" s="82" t="s">
        <v>85</v>
      </c>
      <c r="E12" s="87">
        <f>(E7*E11)+E9</f>
        <v>205.52621359223303</v>
      </c>
      <c r="F12" s="88">
        <f>(F7*F11)+F9</f>
        <v>205.52621359223303</v>
      </c>
      <c r="G12" s="82" t="s">
        <v>109</v>
      </c>
      <c r="H12" s="112">
        <f xml:space="preserve"> H10*H11+H7</f>
        <v>278.7</v>
      </c>
      <c r="R12" s="2" t="str">
        <f>_xlfn.TEXTJOIN(" to ",TRUE,C3:C4)</f>
        <v>Dry Cooler to R4</v>
      </c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2:49" ht="14.4" thickBot="1">
      <c r="B13" s="6" t="s">
        <v>17</v>
      </c>
      <c r="C13" s="57">
        <f>SQRT((H12-F4)^2+(C9)^2)</f>
        <v>104.02142014415878</v>
      </c>
      <c r="E13" t="s">
        <v>87</v>
      </c>
      <c r="F13" t="s">
        <v>86</v>
      </c>
      <c r="G13" t="s">
        <v>103</v>
      </c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5" spans="2:49" ht="14.4" thickBot="1"/>
    <row r="16" spans="2:49" ht="14.4" thickBot="1">
      <c r="C16" s="76" t="s">
        <v>89</v>
      </c>
    </row>
    <row r="17" spans="3:47" ht="14.4" thickBot="1">
      <c r="C17" s="76" t="s">
        <v>76</v>
      </c>
      <c r="D17" s="74" t="s">
        <v>77</v>
      </c>
      <c r="E17" s="74" t="s">
        <v>78</v>
      </c>
      <c r="F17" s="75" t="s">
        <v>79</v>
      </c>
    </row>
    <row r="18" spans="3:47">
      <c r="C18" s="60" t="s">
        <v>97</v>
      </c>
      <c r="D18" s="61">
        <v>388</v>
      </c>
      <c r="E18" s="61">
        <v>281</v>
      </c>
      <c r="F18" s="62">
        <v>274.39999999999998</v>
      </c>
    </row>
    <row r="19" spans="3:47">
      <c r="C19" s="63" t="s">
        <v>98</v>
      </c>
      <c r="D19" s="64">
        <v>384</v>
      </c>
      <c r="E19" s="64">
        <v>150</v>
      </c>
      <c r="F19" s="65">
        <v>274.39999999999998</v>
      </c>
    </row>
    <row r="20" spans="3:47">
      <c r="C20" s="63" t="s">
        <v>99</v>
      </c>
      <c r="D20" s="64">
        <v>259</v>
      </c>
      <c r="E20" s="64">
        <v>124</v>
      </c>
      <c r="F20" s="65">
        <v>274.39999999999998</v>
      </c>
    </row>
    <row r="21" spans="3:47">
      <c r="C21" s="63" t="s">
        <v>100</v>
      </c>
      <c r="D21" s="64">
        <v>255</v>
      </c>
      <c r="E21" s="64">
        <v>286</v>
      </c>
      <c r="F21" s="65">
        <v>274.39999999999998</v>
      </c>
    </row>
    <row r="22" spans="3:47">
      <c r="C22" s="63"/>
      <c r="D22" s="64"/>
      <c r="E22" s="64"/>
      <c r="F22" s="65"/>
    </row>
    <row r="23" spans="3:47">
      <c r="C23" s="63"/>
      <c r="D23" s="64"/>
      <c r="E23" s="64"/>
      <c r="F23" s="65"/>
    </row>
    <row r="24" spans="3:47">
      <c r="C24" s="63"/>
      <c r="D24" s="64"/>
      <c r="E24" s="64"/>
      <c r="F24" s="65"/>
    </row>
    <row r="25" spans="3:47">
      <c r="C25" s="63"/>
      <c r="D25" s="64"/>
      <c r="E25" s="64"/>
      <c r="F25" s="65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</row>
    <row r="26" spans="3:47">
      <c r="C26" s="63"/>
      <c r="D26" s="64"/>
      <c r="E26" s="64"/>
      <c r="F26" s="65"/>
      <c r="U26" s="3"/>
    </row>
    <row r="27" spans="3:47">
      <c r="C27" s="63"/>
      <c r="D27" s="64"/>
      <c r="E27" s="64"/>
      <c r="F27" s="65"/>
    </row>
    <row r="28" spans="3:47">
      <c r="C28" s="63"/>
      <c r="D28" s="64"/>
      <c r="E28" s="64"/>
      <c r="F28" s="65"/>
    </row>
    <row r="29" spans="3:47" ht="14.4" thickBot="1">
      <c r="C29" s="66"/>
      <c r="D29" s="67"/>
      <c r="E29" s="67"/>
      <c r="F29" s="68"/>
    </row>
    <row r="30" spans="3:47" ht="14.4" thickBot="1"/>
    <row r="31" spans="3:47" ht="14.4" thickBot="1">
      <c r="C31" s="76" t="s">
        <v>88</v>
      </c>
    </row>
    <row r="32" spans="3:47" ht="14.4" thickBot="1">
      <c r="C32" s="76" t="s">
        <v>76</v>
      </c>
      <c r="D32" s="74" t="s">
        <v>77</v>
      </c>
      <c r="E32" s="74" t="s">
        <v>78</v>
      </c>
      <c r="F32" s="75" t="s">
        <v>79</v>
      </c>
    </row>
    <row r="33" spans="3:33">
      <c r="C33" s="60" t="s">
        <v>110</v>
      </c>
      <c r="D33" s="61">
        <v>351</v>
      </c>
      <c r="E33" s="61">
        <v>224</v>
      </c>
      <c r="F33" s="62">
        <v>274.40833333333336</v>
      </c>
    </row>
    <row r="34" spans="3:33">
      <c r="C34" s="63" t="s">
        <v>111</v>
      </c>
      <c r="D34" s="64">
        <v>328</v>
      </c>
      <c r="E34" s="64">
        <v>204</v>
      </c>
      <c r="F34" s="65">
        <v>274.40833333333336</v>
      </c>
    </row>
    <row r="35" spans="3:33">
      <c r="C35" s="63" t="s">
        <v>112</v>
      </c>
      <c r="D35" s="64"/>
      <c r="E35" s="64"/>
      <c r="F35" s="65"/>
      <c r="M35" s="128" t="s">
        <v>47</v>
      </c>
      <c r="N35" s="129"/>
    </row>
    <row r="36" spans="3:33" ht="16.5" customHeight="1">
      <c r="C36" s="63" t="s">
        <v>113</v>
      </c>
      <c r="D36" s="64">
        <v>340</v>
      </c>
      <c r="E36" s="64">
        <v>182</v>
      </c>
      <c r="F36" s="65">
        <v>274.47000000000003</v>
      </c>
      <c r="M36" s="16" t="s">
        <v>48</v>
      </c>
      <c r="N36" s="16" t="s">
        <v>49</v>
      </c>
    </row>
    <row r="37" spans="3:33">
      <c r="C37" s="63" t="s">
        <v>114</v>
      </c>
      <c r="D37" s="64"/>
      <c r="E37" s="64"/>
      <c r="F37" s="65"/>
      <c r="M37" s="17">
        <v>0</v>
      </c>
      <c r="N37" s="17">
        <v>0</v>
      </c>
    </row>
    <row r="38" spans="3:33">
      <c r="C38" s="63"/>
      <c r="D38" s="64"/>
      <c r="E38" s="64"/>
      <c r="F38" s="65"/>
      <c r="M38" s="17">
        <v>0.5</v>
      </c>
      <c r="N38" s="17">
        <v>4</v>
      </c>
    </row>
    <row r="39" spans="3:33" ht="15" customHeight="1">
      <c r="C39" s="63"/>
      <c r="D39" s="64"/>
      <c r="E39" s="64"/>
      <c r="F39" s="65"/>
      <c r="M39" s="17">
        <v>1</v>
      </c>
      <c r="N39" s="17">
        <v>7</v>
      </c>
      <c r="AG39" s="3"/>
    </row>
    <row r="40" spans="3:33">
      <c r="C40" s="63"/>
      <c r="D40" s="64"/>
      <c r="E40" s="64"/>
      <c r="F40" s="65"/>
      <c r="M40" s="17">
        <v>2</v>
      </c>
      <c r="N40" s="17">
        <v>10</v>
      </c>
    </row>
    <row r="41" spans="3:33">
      <c r="C41" s="63"/>
      <c r="D41" s="64"/>
      <c r="E41" s="64"/>
      <c r="F41" s="65"/>
      <c r="M41" s="17">
        <v>3</v>
      </c>
      <c r="N41" s="17">
        <v>12</v>
      </c>
    </row>
    <row r="42" spans="3:33">
      <c r="C42" s="63"/>
      <c r="D42" s="64"/>
      <c r="E42" s="64"/>
      <c r="F42" s="65"/>
      <c r="M42" s="17">
        <v>6</v>
      </c>
      <c r="N42" s="17">
        <v>15</v>
      </c>
    </row>
    <row r="43" spans="3:33">
      <c r="C43" s="63"/>
      <c r="D43" s="64"/>
      <c r="E43" s="64"/>
      <c r="F43" s="65"/>
      <c r="M43" s="17">
        <v>12</v>
      </c>
      <c r="N43" s="17">
        <v>17</v>
      </c>
    </row>
    <row r="44" spans="3:33">
      <c r="C44" s="63"/>
      <c r="D44" s="64"/>
      <c r="E44" s="64"/>
      <c r="F44" s="65"/>
      <c r="M44" t="s">
        <v>70</v>
      </c>
      <c r="N44">
        <f>ROUND(O47,0)</f>
        <v>3</v>
      </c>
      <c r="O44">
        <f>_xlfn.XLOOKUP(N46,M37:M43,N37:N43,"error",0,1)</f>
        <v>0</v>
      </c>
    </row>
    <row r="45" spans="3:33">
      <c r="C45" s="63"/>
      <c r="D45" s="64"/>
      <c r="E45" s="64"/>
      <c r="F45" s="65"/>
      <c r="M45" t="s">
        <v>71</v>
      </c>
      <c r="N45" s="56">
        <f>C11</f>
        <v>0.38192601519330083</v>
      </c>
      <c r="O45">
        <f>_xlfn.XLOOKUP(N47,M37:M43,N37:N43,"error",0,1)</f>
        <v>4</v>
      </c>
    </row>
    <row r="46" spans="3:33">
      <c r="C46" s="63"/>
      <c r="D46" s="64"/>
      <c r="E46" s="64"/>
      <c r="F46" s="65"/>
      <c r="M46" t="s">
        <v>73</v>
      </c>
      <c r="N46">
        <f>_xlfn.XLOOKUP(N45,M37:M43,M37:M43,"error",-1,1)</f>
        <v>0</v>
      </c>
      <c r="O46">
        <f>O45-O44</f>
        <v>4</v>
      </c>
    </row>
    <row r="47" spans="3:33">
      <c r="C47" s="63"/>
      <c r="D47" s="64"/>
      <c r="E47" s="64"/>
      <c r="F47" s="65"/>
      <c r="M47" t="s">
        <v>72</v>
      </c>
      <c r="N47">
        <f>_xlfn.XLOOKUP(N45,M37:M43,M37:M43,12,1,1)</f>
        <v>0.5</v>
      </c>
      <c r="O47">
        <f>O44+(O46*N49)</f>
        <v>3.0554081215464066</v>
      </c>
    </row>
    <row r="48" spans="3:33">
      <c r="C48" s="63"/>
      <c r="D48" s="64"/>
      <c r="E48" s="64"/>
      <c r="F48" s="65"/>
      <c r="M48" t="s">
        <v>74</v>
      </c>
      <c r="N48">
        <f>N47-N46</f>
        <v>0.5</v>
      </c>
    </row>
    <row r="49" spans="3:14">
      <c r="C49" s="63"/>
      <c r="D49" s="64"/>
      <c r="E49" s="64"/>
      <c r="F49" s="65"/>
      <c r="M49" t="s">
        <v>75</v>
      </c>
      <c r="N49">
        <f>IFERROR((N45-N46)/N48,0)</f>
        <v>0.76385203038660165</v>
      </c>
    </row>
    <row r="50" spans="3:14">
      <c r="C50" s="63"/>
      <c r="D50" s="64"/>
      <c r="E50" s="64"/>
      <c r="F50" s="65"/>
    </row>
    <row r="51" spans="3:14">
      <c r="C51" s="63"/>
      <c r="D51" s="64"/>
      <c r="E51" s="64"/>
      <c r="F51" s="65"/>
    </row>
    <row r="52" spans="3:14">
      <c r="C52" s="63"/>
      <c r="D52" s="64"/>
      <c r="E52" s="64"/>
      <c r="F52" s="65"/>
    </row>
    <row r="53" spans="3:14">
      <c r="C53" s="63"/>
      <c r="D53" s="64"/>
      <c r="E53" s="64"/>
      <c r="F53" s="65"/>
    </row>
    <row r="54" spans="3:14">
      <c r="C54" s="63"/>
      <c r="D54" s="64"/>
      <c r="E54" s="64"/>
      <c r="F54" s="65"/>
    </row>
    <row r="55" spans="3:14">
      <c r="C55" s="63"/>
      <c r="D55" s="64"/>
      <c r="E55" s="64"/>
      <c r="F55" s="65"/>
    </row>
    <row r="56" spans="3:14">
      <c r="C56" s="63"/>
      <c r="D56" s="64"/>
      <c r="E56" s="64"/>
      <c r="F56" s="65"/>
    </row>
    <row r="57" spans="3:14">
      <c r="C57" s="63"/>
      <c r="D57" s="64"/>
      <c r="E57" s="64"/>
      <c r="F57" s="65"/>
    </row>
    <row r="58" spans="3:14">
      <c r="C58" s="63"/>
      <c r="D58" s="64"/>
      <c r="E58" s="64"/>
      <c r="F58" s="65"/>
    </row>
    <row r="59" spans="3:14" ht="14.4" thickBot="1">
      <c r="C59" s="66"/>
      <c r="D59" s="67"/>
      <c r="E59" s="67"/>
      <c r="F59" s="68"/>
    </row>
    <row r="64" spans="3:14" ht="14.4" thickBot="1"/>
    <row r="65" spans="3:6" ht="14.4" thickBot="1">
      <c r="C65" s="76" t="s">
        <v>90</v>
      </c>
    </row>
    <row r="66" spans="3:6" ht="14.4" thickBot="1">
      <c r="C66" s="76"/>
      <c r="D66" s="74"/>
      <c r="E66" s="74"/>
      <c r="F66" s="75"/>
    </row>
    <row r="67" spans="3:6">
      <c r="C67" s="60" t="s">
        <v>115</v>
      </c>
      <c r="D67" s="61">
        <v>352</v>
      </c>
      <c r="E67" s="61">
        <v>243</v>
      </c>
      <c r="F67" s="62">
        <v>278.7</v>
      </c>
    </row>
    <row r="68" spans="3:6">
      <c r="C68" s="63" t="s">
        <v>116</v>
      </c>
      <c r="D68" s="64">
        <v>391</v>
      </c>
      <c r="E68" s="64">
        <v>209</v>
      </c>
      <c r="F68" s="65">
        <v>278.7</v>
      </c>
    </row>
    <row r="69" spans="3:6">
      <c r="C69" s="63"/>
      <c r="D69" s="64"/>
      <c r="E69" s="64"/>
      <c r="F69" s="65"/>
    </row>
    <row r="70" spans="3:6">
      <c r="C70" s="63" t="s">
        <v>117</v>
      </c>
      <c r="D70" s="64">
        <v>391</v>
      </c>
      <c r="E70" s="64">
        <v>209</v>
      </c>
      <c r="F70" s="65">
        <v>278.7</v>
      </c>
    </row>
    <row r="71" spans="3:6">
      <c r="C71" s="63" t="s">
        <v>118</v>
      </c>
      <c r="D71" s="64">
        <v>343</v>
      </c>
      <c r="E71" s="64">
        <v>167</v>
      </c>
      <c r="F71" s="65">
        <v>278.7</v>
      </c>
    </row>
    <row r="72" spans="3:6">
      <c r="C72" s="63"/>
      <c r="D72" s="64"/>
      <c r="E72" s="64"/>
      <c r="F72" s="65"/>
    </row>
    <row r="73" spans="3:6">
      <c r="C73" s="63" t="s">
        <v>119</v>
      </c>
      <c r="D73" s="64">
        <v>343</v>
      </c>
      <c r="E73" s="64">
        <v>167</v>
      </c>
      <c r="F73" s="65">
        <v>278.7</v>
      </c>
    </row>
    <row r="74" spans="3:6">
      <c r="C74" s="63" t="s">
        <v>120</v>
      </c>
      <c r="D74" s="64">
        <v>312</v>
      </c>
      <c r="E74" s="64">
        <v>195</v>
      </c>
      <c r="F74" s="65">
        <v>278.7</v>
      </c>
    </row>
    <row r="75" spans="3:6">
      <c r="C75" s="63"/>
      <c r="D75" s="64"/>
      <c r="E75" s="64"/>
      <c r="F75" s="65"/>
    </row>
    <row r="76" spans="3:6">
      <c r="C76" s="63" t="s">
        <v>122</v>
      </c>
      <c r="D76" s="64">
        <v>312</v>
      </c>
      <c r="E76" s="64">
        <v>195</v>
      </c>
      <c r="F76" s="65">
        <v>278.7</v>
      </c>
    </row>
    <row r="77" spans="3:6">
      <c r="C77" s="63" t="s">
        <v>121</v>
      </c>
      <c r="D77" s="64">
        <v>352</v>
      </c>
      <c r="E77" s="64">
        <v>243</v>
      </c>
      <c r="F77" s="65">
        <v>278.7</v>
      </c>
    </row>
    <row r="78" spans="3:6">
      <c r="C78" s="63"/>
      <c r="D78" s="64"/>
      <c r="E78" s="64"/>
      <c r="F78" s="65"/>
    </row>
    <row r="79" spans="3:6">
      <c r="C79" s="63"/>
      <c r="D79" s="64"/>
      <c r="E79" s="64"/>
      <c r="F79" s="65"/>
    </row>
    <row r="80" spans="3:6">
      <c r="C80" s="63"/>
      <c r="D80" s="64"/>
      <c r="E80" s="64"/>
      <c r="F80" s="65"/>
    </row>
    <row r="81" spans="3:50">
      <c r="C81" s="63"/>
      <c r="D81" s="64"/>
      <c r="E81" s="64"/>
      <c r="F81" s="65"/>
    </row>
    <row r="82" spans="3:50">
      <c r="C82" s="63"/>
      <c r="D82" s="64"/>
      <c r="E82" s="64"/>
      <c r="F82" s="65"/>
    </row>
    <row r="83" spans="3:50">
      <c r="C83" s="63"/>
      <c r="D83" s="64"/>
      <c r="E83" s="64"/>
      <c r="F83" s="65"/>
    </row>
    <row r="84" spans="3:50">
      <c r="C84" s="63"/>
      <c r="D84" s="64"/>
      <c r="E84" s="64"/>
      <c r="F84" s="65"/>
    </row>
    <row r="85" spans="3:50">
      <c r="C85" s="63"/>
      <c r="D85" s="64"/>
      <c r="E85" s="64"/>
      <c r="F85" s="65"/>
    </row>
    <row r="86" spans="3:50">
      <c r="C86" s="63"/>
      <c r="D86" s="64"/>
      <c r="E86" s="64"/>
      <c r="F86" s="65"/>
    </row>
    <row r="87" spans="3:50">
      <c r="C87" s="63"/>
      <c r="D87" s="64"/>
      <c r="E87" s="64"/>
      <c r="F87" s="65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3:50">
      <c r="C88" s="63"/>
      <c r="D88" s="64"/>
      <c r="E88" s="64"/>
      <c r="F88" s="65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</row>
    <row r="89" spans="3:50">
      <c r="C89" s="63"/>
      <c r="D89" s="64"/>
      <c r="E89" s="64"/>
      <c r="F89" s="65"/>
    </row>
    <row r="90" spans="3:50">
      <c r="C90" s="63"/>
      <c r="D90" s="64"/>
      <c r="E90" s="64"/>
      <c r="F90" s="65"/>
    </row>
    <row r="91" spans="3:50">
      <c r="C91" s="63"/>
      <c r="D91" s="64"/>
      <c r="E91" s="64"/>
      <c r="F91" s="65"/>
    </row>
    <row r="92" spans="3:50">
      <c r="C92" s="63"/>
      <c r="D92" s="64"/>
      <c r="E92" s="64"/>
      <c r="F92" s="65"/>
    </row>
    <row r="93" spans="3:50" ht="14.4" thickBot="1">
      <c r="C93" s="66"/>
      <c r="D93" s="67"/>
      <c r="E93" s="67"/>
      <c r="F93" s="68"/>
    </row>
  </sheetData>
  <mergeCells count="1">
    <mergeCell ref="M35:N35"/>
  </mergeCells>
  <conditionalFormatting sqref="M38:M43">
    <cfRule type="expression" dxfId="1" priority="2">
      <formula>"Rounddown($F$3)=J35"</formula>
    </cfRule>
  </conditionalFormatting>
  <conditionalFormatting sqref="M37">
    <cfRule type="expression" dxfId="0" priority="1">
      <formula>"Rounddown($F$3)=J35"</formula>
    </cfRule>
  </conditionalFormatting>
  <dataValidations count="3">
    <dataValidation type="list" allowBlank="1" showInputMessage="1" showErrorMessage="1" sqref="C3" xr:uid="{7C90CB61-2CCC-412F-BBAB-236CDA485125}">
      <formula1>$C$33:$C$59</formula1>
    </dataValidation>
    <dataValidation type="list" allowBlank="1" showInputMessage="1" showErrorMessage="1" sqref="C4" xr:uid="{25B3D28E-6410-4694-B766-3272AC03319D}">
      <formula1>$C$18:$C$29</formula1>
    </dataValidation>
    <dataValidation type="list" allowBlank="1" showInputMessage="1" showErrorMessage="1" sqref="C5:C6" xr:uid="{95BC67D6-60F6-4E9D-9529-597AEBBF5F02}">
      <formula1>$C$67:$C$93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044ED-CECA-41F9-9776-79273FFA7ABB}">
  <dimension ref="A1:Q186"/>
  <sheetViews>
    <sheetView workbookViewId="0">
      <selection activeCell="A2" sqref="A2"/>
    </sheetView>
  </sheetViews>
  <sheetFormatPr defaultRowHeight="13.8"/>
  <cols>
    <col min="1" max="1" width="16.125" bestFit="1" customWidth="1"/>
  </cols>
  <sheetData>
    <row r="1" spans="1:17" ht="14.4">
      <c r="B1" s="131" t="s">
        <v>123</v>
      </c>
      <c r="C1" s="131" t="s">
        <v>124</v>
      </c>
      <c r="D1" s="131" t="s">
        <v>125</v>
      </c>
      <c r="E1" s="131" t="s">
        <v>126</v>
      </c>
      <c r="F1" s="131" t="s">
        <v>127</v>
      </c>
      <c r="G1" s="131" t="s">
        <v>128</v>
      </c>
      <c r="H1" s="131" t="s">
        <v>129</v>
      </c>
      <c r="I1" s="131" t="s">
        <v>130</v>
      </c>
      <c r="J1" s="131" t="s">
        <v>131</v>
      </c>
      <c r="K1" s="131"/>
    </row>
    <row r="2" spans="1:17">
      <c r="A2" t="str">
        <f>B2 &amp; " to " &amp; C2</f>
        <v>MAU-R1 to R1</v>
      </c>
      <c r="B2" t="s">
        <v>132</v>
      </c>
      <c r="C2" t="s">
        <v>97</v>
      </c>
      <c r="D2" t="s">
        <v>133</v>
      </c>
      <c r="E2">
        <v>74.2</v>
      </c>
      <c r="F2">
        <v>65</v>
      </c>
      <c r="G2">
        <v>75.400000000000006</v>
      </c>
      <c r="H2">
        <v>72.099999999999994</v>
      </c>
      <c r="I2">
        <v>28.2</v>
      </c>
      <c r="J2">
        <v>80</v>
      </c>
      <c r="K2">
        <v>77</v>
      </c>
      <c r="L2">
        <v>84</v>
      </c>
      <c r="M2">
        <v>87</v>
      </c>
      <c r="N2">
        <v>80</v>
      </c>
      <c r="O2">
        <v>72</v>
      </c>
      <c r="P2">
        <v>69</v>
      </c>
      <c r="Q2">
        <v>61</v>
      </c>
    </row>
    <row r="3" spans="1:17">
      <c r="A3" t="str">
        <f t="shared" ref="A3:A66" si="0">B3 &amp; " to " &amp; C3</f>
        <v>ERV-R.1 to R1</v>
      </c>
      <c r="B3" t="s">
        <v>134</v>
      </c>
      <c r="C3" t="s">
        <v>97</v>
      </c>
      <c r="D3" t="s">
        <v>135</v>
      </c>
      <c r="E3">
        <v>72.5</v>
      </c>
      <c r="F3">
        <v>65</v>
      </c>
      <c r="G3">
        <v>75.400000000000006</v>
      </c>
      <c r="H3">
        <v>126.2</v>
      </c>
      <c r="I3">
        <v>86.1</v>
      </c>
      <c r="J3">
        <v>91</v>
      </c>
      <c r="K3">
        <v>92</v>
      </c>
      <c r="L3">
        <v>95</v>
      </c>
      <c r="M3">
        <v>89</v>
      </c>
      <c r="N3">
        <v>86</v>
      </c>
      <c r="O3">
        <v>76</v>
      </c>
      <c r="P3">
        <v>72</v>
      </c>
      <c r="Q3">
        <v>67</v>
      </c>
    </row>
    <row r="4" spans="1:17">
      <c r="A4" t="str">
        <f t="shared" si="0"/>
        <v>GEF-R1- to R1</v>
      </c>
      <c r="B4" t="s">
        <v>136</v>
      </c>
      <c r="C4" t="s">
        <v>97</v>
      </c>
      <c r="D4" t="s">
        <v>137</v>
      </c>
      <c r="E4">
        <v>75</v>
      </c>
      <c r="F4">
        <v>65</v>
      </c>
      <c r="G4">
        <v>75.400000000000006</v>
      </c>
      <c r="H4">
        <v>184.4</v>
      </c>
      <c r="I4">
        <v>37.5</v>
      </c>
      <c r="J4">
        <v>88</v>
      </c>
      <c r="K4">
        <v>88</v>
      </c>
      <c r="L4">
        <v>83</v>
      </c>
      <c r="M4">
        <v>78</v>
      </c>
      <c r="N4">
        <v>77</v>
      </c>
      <c r="O4">
        <v>73</v>
      </c>
      <c r="P4">
        <v>65</v>
      </c>
      <c r="Q4">
        <v>58</v>
      </c>
    </row>
    <row r="5" spans="1:17">
      <c r="A5" t="str">
        <f t="shared" si="0"/>
        <v>DEF-R1,-R2 to R1</v>
      </c>
      <c r="B5" t="s">
        <v>138</v>
      </c>
      <c r="C5" t="s">
        <v>97</v>
      </c>
      <c r="D5" t="s">
        <v>133</v>
      </c>
      <c r="E5">
        <v>72</v>
      </c>
      <c r="F5">
        <v>65</v>
      </c>
      <c r="G5">
        <v>75.400000000000006</v>
      </c>
      <c r="H5">
        <v>141.4</v>
      </c>
      <c r="I5">
        <v>97.3</v>
      </c>
      <c r="J5">
        <v>81</v>
      </c>
      <c r="K5">
        <v>79</v>
      </c>
      <c r="L5">
        <v>73</v>
      </c>
      <c r="M5">
        <v>66</v>
      </c>
      <c r="N5">
        <v>61</v>
      </c>
      <c r="O5">
        <v>59</v>
      </c>
      <c r="P5">
        <v>50</v>
      </c>
      <c r="Q5">
        <v>43</v>
      </c>
    </row>
    <row r="6" spans="1:17">
      <c r="A6" t="str">
        <f t="shared" si="0"/>
        <v>KEF-R1- to R1</v>
      </c>
      <c r="B6" t="s">
        <v>139</v>
      </c>
      <c r="C6" t="s">
        <v>97</v>
      </c>
      <c r="D6" t="s">
        <v>140</v>
      </c>
      <c r="E6">
        <v>75.5</v>
      </c>
      <c r="F6">
        <v>65</v>
      </c>
      <c r="G6">
        <v>75.400000000000006</v>
      </c>
      <c r="H6">
        <v>39.9</v>
      </c>
      <c r="I6">
        <v>3.4</v>
      </c>
      <c r="J6">
        <v>84</v>
      </c>
      <c r="K6">
        <v>87</v>
      </c>
      <c r="L6">
        <v>83</v>
      </c>
      <c r="M6">
        <v>78</v>
      </c>
      <c r="N6">
        <v>74</v>
      </c>
      <c r="O6">
        <v>69</v>
      </c>
      <c r="P6">
        <v>64</v>
      </c>
      <c r="Q6">
        <v>60</v>
      </c>
    </row>
    <row r="7" spans="1:17">
      <c r="A7" t="str">
        <f t="shared" si="0"/>
        <v>DWEF-R1 to R1</v>
      </c>
      <c r="B7" t="s">
        <v>141</v>
      </c>
      <c r="C7" t="s">
        <v>97</v>
      </c>
      <c r="D7" t="s">
        <v>133</v>
      </c>
      <c r="E7">
        <v>74</v>
      </c>
      <c r="F7">
        <v>65</v>
      </c>
      <c r="G7">
        <v>75.400000000000006</v>
      </c>
      <c r="H7">
        <v>57</v>
      </c>
      <c r="I7">
        <v>12.9</v>
      </c>
      <c r="J7">
        <v>73</v>
      </c>
      <c r="K7">
        <v>76</v>
      </c>
      <c r="L7">
        <v>75</v>
      </c>
      <c r="M7">
        <v>67</v>
      </c>
      <c r="N7">
        <v>61</v>
      </c>
      <c r="O7">
        <v>61</v>
      </c>
      <c r="P7">
        <v>56</v>
      </c>
      <c r="Q7">
        <v>51</v>
      </c>
    </row>
    <row r="8" spans="1:17">
      <c r="A8" t="str">
        <f t="shared" si="0"/>
        <v>CU-R1 to R1</v>
      </c>
      <c r="B8" t="s">
        <v>142</v>
      </c>
      <c r="C8" t="s">
        <v>97</v>
      </c>
      <c r="D8" t="s">
        <v>133</v>
      </c>
      <c r="E8">
        <v>76.5</v>
      </c>
      <c r="F8">
        <v>65</v>
      </c>
      <c r="G8">
        <v>75.400000000000006</v>
      </c>
      <c r="H8">
        <v>112.3</v>
      </c>
      <c r="I8">
        <v>68.3</v>
      </c>
    </row>
    <row r="9" spans="1:17">
      <c r="A9" t="str">
        <f t="shared" si="0"/>
        <v>CU-R2 to R1</v>
      </c>
      <c r="B9" t="s">
        <v>143</v>
      </c>
      <c r="C9" t="s">
        <v>97</v>
      </c>
      <c r="D9" t="s">
        <v>133</v>
      </c>
      <c r="E9">
        <v>76.5</v>
      </c>
      <c r="F9">
        <v>65</v>
      </c>
      <c r="G9">
        <v>75.400000000000006</v>
      </c>
      <c r="H9">
        <v>105.6</v>
      </c>
      <c r="I9">
        <v>61.6</v>
      </c>
    </row>
    <row r="10" spans="1:17">
      <c r="A10" t="str">
        <f t="shared" si="0"/>
        <v>CU-R4 to R1</v>
      </c>
      <c r="B10" t="s">
        <v>144</v>
      </c>
      <c r="C10" t="s">
        <v>97</v>
      </c>
      <c r="D10" t="s">
        <v>133</v>
      </c>
      <c r="E10">
        <v>76</v>
      </c>
      <c r="F10">
        <v>65</v>
      </c>
      <c r="G10">
        <v>75.400000000000006</v>
      </c>
      <c r="H10">
        <v>119.3</v>
      </c>
      <c r="I10">
        <v>75.3</v>
      </c>
    </row>
    <row r="11" spans="1:17">
      <c r="A11" t="str">
        <f t="shared" si="0"/>
        <v>CU-R5 to R1</v>
      </c>
      <c r="B11" t="s">
        <v>145</v>
      </c>
      <c r="C11" t="s">
        <v>97</v>
      </c>
      <c r="D11" t="s">
        <v>133</v>
      </c>
      <c r="E11">
        <v>76</v>
      </c>
      <c r="F11">
        <v>65</v>
      </c>
      <c r="G11">
        <v>75.400000000000006</v>
      </c>
      <c r="H11">
        <v>83</v>
      </c>
      <c r="I11">
        <v>39</v>
      </c>
    </row>
    <row r="12" spans="1:17">
      <c r="A12" t="str">
        <f t="shared" si="0"/>
        <v>RCU-R(4p)1 to R1</v>
      </c>
      <c r="B12" t="s">
        <v>146</v>
      </c>
      <c r="C12" t="s">
        <v>97</v>
      </c>
      <c r="D12" t="s">
        <v>137</v>
      </c>
      <c r="E12">
        <v>74</v>
      </c>
      <c r="F12">
        <v>65</v>
      </c>
      <c r="G12">
        <v>75.400000000000006</v>
      </c>
      <c r="H12">
        <v>201.2</v>
      </c>
      <c r="I12">
        <v>58.5</v>
      </c>
    </row>
    <row r="13" spans="1:17">
      <c r="A13" t="str">
        <f t="shared" si="0"/>
        <v>RCU-R(4p)2 to R1</v>
      </c>
      <c r="B13" t="s">
        <v>147</v>
      </c>
      <c r="C13" t="s">
        <v>97</v>
      </c>
      <c r="D13" t="s">
        <v>140</v>
      </c>
      <c r="E13">
        <v>74</v>
      </c>
      <c r="F13">
        <v>65</v>
      </c>
      <c r="G13">
        <v>75.400000000000006</v>
      </c>
      <c r="H13">
        <v>145.6</v>
      </c>
      <c r="I13">
        <v>109.2</v>
      </c>
    </row>
    <row r="14" spans="1:17">
      <c r="A14" t="str">
        <f t="shared" si="0"/>
        <v>RCU-R(4p)3 to R1</v>
      </c>
      <c r="B14" t="s">
        <v>148</v>
      </c>
      <c r="C14" t="s">
        <v>97</v>
      </c>
      <c r="D14" t="s">
        <v>133</v>
      </c>
      <c r="E14">
        <v>74</v>
      </c>
      <c r="F14">
        <v>65</v>
      </c>
      <c r="G14">
        <v>75.400000000000006</v>
      </c>
      <c r="H14">
        <v>124.4</v>
      </c>
      <c r="I14">
        <v>80.400000000000006</v>
      </c>
    </row>
    <row r="15" spans="1:17">
      <c r="A15" t="str">
        <f t="shared" si="0"/>
        <v>RCU-R(2p) to R1</v>
      </c>
      <c r="B15" t="s">
        <v>149</v>
      </c>
      <c r="C15" t="s">
        <v>97</v>
      </c>
      <c r="D15" t="s">
        <v>133</v>
      </c>
      <c r="E15">
        <v>74</v>
      </c>
      <c r="F15">
        <v>65</v>
      </c>
      <c r="G15">
        <v>75.400000000000006</v>
      </c>
      <c r="H15">
        <v>111.1</v>
      </c>
      <c r="I15">
        <v>67.2</v>
      </c>
    </row>
    <row r="16" spans="1:17">
      <c r="A16" t="str">
        <f t="shared" si="0"/>
        <v>RCU-R(2p)1 to R1</v>
      </c>
      <c r="B16" t="s">
        <v>150</v>
      </c>
      <c r="C16" t="s">
        <v>97</v>
      </c>
      <c r="D16" t="s">
        <v>133</v>
      </c>
      <c r="E16">
        <v>74</v>
      </c>
      <c r="F16">
        <v>65</v>
      </c>
      <c r="G16">
        <v>75.400000000000006</v>
      </c>
      <c r="H16">
        <v>83.8</v>
      </c>
      <c r="I16">
        <v>39.799999999999997</v>
      </c>
    </row>
    <row r="17" spans="1:9">
      <c r="A17" t="str">
        <f t="shared" si="0"/>
        <v>RCU-R(4p)4 to R1</v>
      </c>
      <c r="B17" t="s">
        <v>151</v>
      </c>
      <c r="C17" t="s">
        <v>97</v>
      </c>
      <c r="D17" t="s">
        <v>133</v>
      </c>
      <c r="E17">
        <v>74</v>
      </c>
      <c r="F17">
        <v>65</v>
      </c>
      <c r="G17">
        <v>75.400000000000006</v>
      </c>
      <c r="H17">
        <v>55.4</v>
      </c>
      <c r="I17">
        <v>11.3</v>
      </c>
    </row>
    <row r="18" spans="1:9">
      <c r="A18" t="str">
        <f t="shared" si="0"/>
        <v>RCU-R(2p)2 to R1</v>
      </c>
      <c r="B18" t="s">
        <v>152</v>
      </c>
      <c r="C18" t="s">
        <v>97</v>
      </c>
      <c r="D18" t="s">
        <v>140</v>
      </c>
      <c r="E18">
        <v>74</v>
      </c>
      <c r="F18">
        <v>65</v>
      </c>
      <c r="G18">
        <v>75.400000000000006</v>
      </c>
      <c r="H18">
        <v>48.6</v>
      </c>
      <c r="I18">
        <v>9.8000000000000007</v>
      </c>
    </row>
    <row r="19" spans="1:9">
      <c r="A19" t="str">
        <f t="shared" si="0"/>
        <v>RCU-R(2p)3 to R1</v>
      </c>
      <c r="B19" t="s">
        <v>153</v>
      </c>
      <c r="C19" t="s">
        <v>97</v>
      </c>
      <c r="D19" t="s">
        <v>140</v>
      </c>
      <c r="E19">
        <v>74</v>
      </c>
      <c r="F19">
        <v>65</v>
      </c>
      <c r="G19">
        <v>75.400000000000006</v>
      </c>
      <c r="H19">
        <v>71.5</v>
      </c>
      <c r="I19">
        <v>31.3</v>
      </c>
    </row>
    <row r="20" spans="1:9">
      <c r="A20" t="str">
        <f t="shared" si="0"/>
        <v>RCU-R(2p)4 to R1</v>
      </c>
      <c r="B20" t="s">
        <v>154</v>
      </c>
      <c r="C20" t="s">
        <v>97</v>
      </c>
      <c r="D20" t="s">
        <v>140</v>
      </c>
      <c r="E20">
        <v>74</v>
      </c>
      <c r="F20">
        <v>65</v>
      </c>
      <c r="G20">
        <v>75.400000000000006</v>
      </c>
      <c r="H20">
        <v>90.1</v>
      </c>
      <c r="I20">
        <v>51.6</v>
      </c>
    </row>
    <row r="21" spans="1:9">
      <c r="A21" t="str">
        <f t="shared" si="0"/>
        <v>RCU-R(2p)5 to R1</v>
      </c>
      <c r="B21" t="s">
        <v>155</v>
      </c>
      <c r="C21" t="s">
        <v>97</v>
      </c>
      <c r="D21" t="s">
        <v>140</v>
      </c>
      <c r="E21">
        <v>74</v>
      </c>
      <c r="F21">
        <v>65</v>
      </c>
      <c r="G21">
        <v>75.400000000000006</v>
      </c>
      <c r="H21">
        <v>109.1</v>
      </c>
      <c r="I21">
        <v>71.400000000000006</v>
      </c>
    </row>
    <row r="22" spans="1:9">
      <c r="A22" t="str">
        <f t="shared" si="0"/>
        <v>RCU-R(2p)6 to R1</v>
      </c>
      <c r="B22" t="s">
        <v>156</v>
      </c>
      <c r="C22" t="s">
        <v>97</v>
      </c>
      <c r="D22" t="s">
        <v>140</v>
      </c>
      <c r="E22">
        <v>74</v>
      </c>
      <c r="F22">
        <v>65</v>
      </c>
      <c r="G22">
        <v>75.400000000000006</v>
      </c>
      <c r="H22">
        <v>128.30000000000001</v>
      </c>
      <c r="I22">
        <v>91.1</v>
      </c>
    </row>
    <row r="23" spans="1:9">
      <c r="A23" t="str">
        <f t="shared" si="0"/>
        <v>RCU-R(2p)6 to R1</v>
      </c>
      <c r="B23" t="s">
        <v>156</v>
      </c>
      <c r="C23" t="s">
        <v>97</v>
      </c>
      <c r="D23" t="s">
        <v>140</v>
      </c>
      <c r="E23">
        <v>74</v>
      </c>
      <c r="F23">
        <v>65</v>
      </c>
      <c r="G23">
        <v>75.400000000000006</v>
      </c>
      <c r="H23">
        <v>128.30000000000001</v>
      </c>
      <c r="I23">
        <v>91.1</v>
      </c>
    </row>
    <row r="24" spans="1:9">
      <c r="A24" t="str">
        <f t="shared" si="0"/>
        <v>RCU-R(2p)6 to R1</v>
      </c>
      <c r="B24" t="s">
        <v>156</v>
      </c>
      <c r="C24" t="s">
        <v>97</v>
      </c>
      <c r="D24" t="s">
        <v>140</v>
      </c>
      <c r="E24">
        <v>74</v>
      </c>
      <c r="F24">
        <v>65</v>
      </c>
      <c r="G24">
        <v>75.400000000000006</v>
      </c>
      <c r="H24">
        <v>128.30000000000001</v>
      </c>
      <c r="I24">
        <v>91.1</v>
      </c>
    </row>
    <row r="25" spans="1:9">
      <c r="A25" t="str">
        <f t="shared" si="0"/>
        <v>BEF-R03- to R1</v>
      </c>
      <c r="B25" t="s">
        <v>157</v>
      </c>
      <c r="C25" t="s">
        <v>97</v>
      </c>
      <c r="D25" t="s">
        <v>133</v>
      </c>
      <c r="E25">
        <v>75</v>
      </c>
      <c r="F25">
        <v>65</v>
      </c>
      <c r="G25">
        <v>75.400000000000006</v>
      </c>
      <c r="H25">
        <v>71.5</v>
      </c>
      <c r="I25">
        <v>27.4</v>
      </c>
    </row>
    <row r="26" spans="1:9">
      <c r="A26" t="str">
        <f t="shared" si="0"/>
        <v>BEF-R04- to R1</v>
      </c>
      <c r="B26" t="s">
        <v>158</v>
      </c>
      <c r="C26" t="s">
        <v>97</v>
      </c>
      <c r="D26" t="s">
        <v>133</v>
      </c>
      <c r="E26">
        <v>75</v>
      </c>
      <c r="F26">
        <v>65</v>
      </c>
      <c r="G26">
        <v>75.400000000000006</v>
      </c>
      <c r="H26">
        <v>98.8</v>
      </c>
      <c r="I26">
        <v>54.8</v>
      </c>
    </row>
    <row r="27" spans="1:9">
      <c r="A27" t="str">
        <f t="shared" si="0"/>
        <v>BEF-R04- to R1</v>
      </c>
      <c r="B27" t="s">
        <v>158</v>
      </c>
      <c r="C27" t="s">
        <v>97</v>
      </c>
      <c r="D27" t="s">
        <v>133</v>
      </c>
      <c r="E27">
        <v>75</v>
      </c>
      <c r="F27">
        <v>65</v>
      </c>
      <c r="G27">
        <v>75.400000000000006</v>
      </c>
      <c r="H27">
        <v>98.8</v>
      </c>
      <c r="I27">
        <v>54.8</v>
      </c>
    </row>
    <row r="28" spans="1:9">
      <c r="A28" t="str">
        <f t="shared" si="0"/>
        <v>BEF-R04- to R1</v>
      </c>
      <c r="B28" t="s">
        <v>158</v>
      </c>
      <c r="C28" t="s">
        <v>97</v>
      </c>
      <c r="D28" t="s">
        <v>133</v>
      </c>
      <c r="E28">
        <v>75</v>
      </c>
      <c r="F28">
        <v>65</v>
      </c>
      <c r="G28">
        <v>75.400000000000006</v>
      </c>
      <c r="H28">
        <v>98.8</v>
      </c>
      <c r="I28">
        <v>54.8</v>
      </c>
    </row>
    <row r="29" spans="1:9">
      <c r="A29" t="str">
        <f t="shared" si="0"/>
        <v>BEF-R04- to R1</v>
      </c>
      <c r="B29" t="s">
        <v>158</v>
      </c>
      <c r="C29" t="s">
        <v>97</v>
      </c>
      <c r="D29" t="s">
        <v>133</v>
      </c>
      <c r="E29">
        <v>75</v>
      </c>
      <c r="F29">
        <v>65</v>
      </c>
      <c r="G29">
        <v>75.400000000000006</v>
      </c>
      <c r="H29">
        <v>98.8</v>
      </c>
      <c r="I29">
        <v>54.8</v>
      </c>
    </row>
    <row r="30" spans="1:9">
      <c r="A30" t="str">
        <f t="shared" si="0"/>
        <v>BEF-R08- to R1</v>
      </c>
      <c r="B30" t="s">
        <v>159</v>
      </c>
      <c r="C30" t="s">
        <v>97</v>
      </c>
      <c r="D30" t="s">
        <v>137</v>
      </c>
      <c r="E30">
        <v>75</v>
      </c>
      <c r="F30">
        <v>65</v>
      </c>
      <c r="G30">
        <v>75.400000000000006</v>
      </c>
      <c r="H30">
        <v>192.9</v>
      </c>
      <c r="I30">
        <v>46.3</v>
      </c>
    </row>
    <row r="31" spans="1:9">
      <c r="A31" t="str">
        <f t="shared" si="0"/>
        <v>BEF-R09- to R1</v>
      </c>
      <c r="B31" t="s">
        <v>160</v>
      </c>
      <c r="C31" t="s">
        <v>97</v>
      </c>
      <c r="D31" t="s">
        <v>137</v>
      </c>
      <c r="E31">
        <v>75</v>
      </c>
      <c r="F31">
        <v>65</v>
      </c>
      <c r="G31">
        <v>75.400000000000006</v>
      </c>
      <c r="H31">
        <v>185.7</v>
      </c>
      <c r="I31">
        <v>47.2</v>
      </c>
    </row>
    <row r="32" spans="1:9">
      <c r="A32" t="str">
        <f t="shared" si="0"/>
        <v>BEF-R10- to R1</v>
      </c>
      <c r="B32" t="s">
        <v>161</v>
      </c>
      <c r="C32" t="s">
        <v>97</v>
      </c>
      <c r="D32" t="s">
        <v>133</v>
      </c>
      <c r="E32">
        <v>75</v>
      </c>
      <c r="F32">
        <v>65</v>
      </c>
      <c r="G32">
        <v>75.400000000000006</v>
      </c>
      <c r="H32">
        <v>181.5</v>
      </c>
      <c r="I32">
        <v>137</v>
      </c>
    </row>
    <row r="33" spans="1:17">
      <c r="A33" t="str">
        <f t="shared" si="0"/>
        <v>BEF-R11- to R1</v>
      </c>
      <c r="B33" t="s">
        <v>162</v>
      </c>
      <c r="C33" t="s">
        <v>97</v>
      </c>
      <c r="D33" t="s">
        <v>133</v>
      </c>
      <c r="E33">
        <v>75</v>
      </c>
      <c r="F33">
        <v>65</v>
      </c>
      <c r="G33">
        <v>75.400000000000006</v>
      </c>
      <c r="H33">
        <v>176.5</v>
      </c>
      <c r="I33">
        <v>132.6</v>
      </c>
    </row>
    <row r="34" spans="1:17">
      <c r="A34" t="str">
        <f t="shared" si="0"/>
        <v>BEF-R12- to R1</v>
      </c>
      <c r="B34" t="s">
        <v>163</v>
      </c>
      <c r="C34" t="s">
        <v>97</v>
      </c>
      <c r="D34" t="s">
        <v>140</v>
      </c>
      <c r="E34">
        <v>75</v>
      </c>
      <c r="F34">
        <v>65</v>
      </c>
      <c r="G34">
        <v>75.400000000000006</v>
      </c>
      <c r="H34">
        <v>116</v>
      </c>
      <c r="I34">
        <v>78.7</v>
      </c>
    </row>
    <row r="35" spans="1:17">
      <c r="A35" t="str">
        <f t="shared" si="0"/>
        <v>BEF-R13- to R1</v>
      </c>
      <c r="B35" t="s">
        <v>164</v>
      </c>
      <c r="C35" t="s">
        <v>97</v>
      </c>
      <c r="D35" t="s">
        <v>140</v>
      </c>
      <c r="E35">
        <v>75</v>
      </c>
      <c r="F35">
        <v>65</v>
      </c>
      <c r="G35">
        <v>75.400000000000006</v>
      </c>
      <c r="H35">
        <v>76.2</v>
      </c>
      <c r="I35">
        <v>37.4</v>
      </c>
    </row>
    <row r="36" spans="1:17">
      <c r="A36" t="str">
        <f t="shared" si="0"/>
        <v>BEF-R14- to R1</v>
      </c>
      <c r="B36" t="s">
        <v>165</v>
      </c>
      <c r="C36" t="s">
        <v>97</v>
      </c>
      <c r="D36" t="s">
        <v>166</v>
      </c>
      <c r="E36">
        <v>75</v>
      </c>
      <c r="F36">
        <v>65</v>
      </c>
      <c r="G36">
        <v>75.400000000000006</v>
      </c>
      <c r="H36">
        <v>52.4</v>
      </c>
      <c r="I36">
        <v>0.6</v>
      </c>
    </row>
    <row r="37" spans="1:17">
      <c r="A37" t="str">
        <f t="shared" si="0"/>
        <v>BEF-R14- to R1</v>
      </c>
      <c r="B37" t="s">
        <v>165</v>
      </c>
      <c r="C37" t="s">
        <v>97</v>
      </c>
      <c r="D37" t="s">
        <v>166</v>
      </c>
      <c r="E37">
        <v>75</v>
      </c>
      <c r="F37">
        <v>65</v>
      </c>
      <c r="G37">
        <v>75.400000000000006</v>
      </c>
      <c r="H37">
        <v>52.4</v>
      </c>
      <c r="I37">
        <v>0.6</v>
      </c>
    </row>
    <row r="38" spans="1:17">
      <c r="A38" t="str">
        <f t="shared" si="0"/>
        <v>BEF-R16- to R1</v>
      </c>
      <c r="B38" t="s">
        <v>167</v>
      </c>
      <c r="C38" t="s">
        <v>97</v>
      </c>
      <c r="D38" t="s">
        <v>140</v>
      </c>
      <c r="E38">
        <v>75</v>
      </c>
      <c r="F38">
        <v>65</v>
      </c>
      <c r="G38">
        <v>75.400000000000006</v>
      </c>
      <c r="H38">
        <v>127.9</v>
      </c>
      <c r="I38">
        <v>90.8</v>
      </c>
    </row>
    <row r="39" spans="1:17">
      <c r="A39" t="str">
        <f t="shared" si="0"/>
        <v>MAU-R1 to R2</v>
      </c>
      <c r="B39" t="s">
        <v>132</v>
      </c>
      <c r="C39" t="s">
        <v>98</v>
      </c>
      <c r="D39" t="s">
        <v>168</v>
      </c>
      <c r="E39">
        <v>74.2</v>
      </c>
      <c r="F39">
        <v>40</v>
      </c>
      <c r="G39">
        <v>75.400000000000006</v>
      </c>
      <c r="H39">
        <v>47.1</v>
      </c>
      <c r="I39">
        <v>7.8</v>
      </c>
      <c r="J39">
        <v>80</v>
      </c>
      <c r="K39">
        <v>77</v>
      </c>
      <c r="L39">
        <v>84</v>
      </c>
      <c r="M39">
        <v>87</v>
      </c>
      <c r="N39">
        <v>80</v>
      </c>
      <c r="O39">
        <v>72</v>
      </c>
      <c r="P39">
        <v>69</v>
      </c>
      <c r="Q39">
        <v>61</v>
      </c>
    </row>
    <row r="40" spans="1:17">
      <c r="A40" t="str">
        <f t="shared" si="0"/>
        <v>ERV-R.1 to R2</v>
      </c>
      <c r="B40" t="s">
        <v>134</v>
      </c>
      <c r="C40" t="s">
        <v>98</v>
      </c>
      <c r="D40" t="s">
        <v>168</v>
      </c>
      <c r="E40">
        <v>72.5</v>
      </c>
      <c r="F40">
        <v>40</v>
      </c>
      <c r="G40">
        <v>75.400000000000006</v>
      </c>
      <c r="H40">
        <v>85</v>
      </c>
      <c r="I40">
        <v>28.7</v>
      </c>
      <c r="J40">
        <v>91</v>
      </c>
      <c r="K40">
        <v>92</v>
      </c>
      <c r="L40">
        <v>95</v>
      </c>
      <c r="M40">
        <v>89</v>
      </c>
      <c r="N40">
        <v>86</v>
      </c>
      <c r="O40">
        <v>76</v>
      </c>
      <c r="P40">
        <v>72</v>
      </c>
      <c r="Q40">
        <v>67</v>
      </c>
    </row>
    <row r="41" spans="1:17">
      <c r="A41" t="str">
        <f t="shared" si="0"/>
        <v>GEF-R1- to R2</v>
      </c>
      <c r="B41" t="s">
        <v>136</v>
      </c>
      <c r="C41" t="s">
        <v>98</v>
      </c>
      <c r="D41" t="s">
        <v>137</v>
      </c>
      <c r="E41">
        <v>75</v>
      </c>
      <c r="F41">
        <v>40</v>
      </c>
      <c r="G41">
        <v>75.400000000000006</v>
      </c>
      <c r="H41">
        <v>107.7</v>
      </c>
      <c r="I41">
        <v>35.700000000000003</v>
      </c>
      <c r="J41">
        <v>88</v>
      </c>
      <c r="K41">
        <v>88</v>
      </c>
      <c r="L41">
        <v>83</v>
      </c>
      <c r="M41">
        <v>78</v>
      </c>
      <c r="N41">
        <v>77</v>
      </c>
      <c r="O41">
        <v>73</v>
      </c>
      <c r="P41">
        <v>65</v>
      </c>
      <c r="Q41">
        <v>58</v>
      </c>
    </row>
    <row r="42" spans="1:17">
      <c r="A42" t="str">
        <f t="shared" si="0"/>
        <v>DEF-R1,-R2 to R2</v>
      </c>
      <c r="B42" t="s">
        <v>138</v>
      </c>
      <c r="C42" t="s">
        <v>98</v>
      </c>
      <c r="D42" t="s">
        <v>168</v>
      </c>
      <c r="E42">
        <v>72</v>
      </c>
      <c r="F42">
        <v>40</v>
      </c>
      <c r="G42">
        <v>75.400000000000006</v>
      </c>
      <c r="H42">
        <v>95.2</v>
      </c>
      <c r="I42">
        <v>28.9</v>
      </c>
      <c r="J42">
        <v>81</v>
      </c>
      <c r="K42">
        <v>79</v>
      </c>
      <c r="L42">
        <v>73</v>
      </c>
      <c r="M42">
        <v>66</v>
      </c>
      <c r="N42">
        <v>61</v>
      </c>
      <c r="O42">
        <v>59</v>
      </c>
      <c r="P42">
        <v>50</v>
      </c>
      <c r="Q42">
        <v>43</v>
      </c>
    </row>
    <row r="43" spans="1:17">
      <c r="A43" t="str">
        <f t="shared" si="0"/>
        <v>KEF-R1- to R2</v>
      </c>
      <c r="B43" t="s">
        <v>139</v>
      </c>
      <c r="C43" t="s">
        <v>98</v>
      </c>
      <c r="D43" t="s">
        <v>168</v>
      </c>
      <c r="E43">
        <v>75.5</v>
      </c>
      <c r="F43">
        <v>40</v>
      </c>
      <c r="G43">
        <v>75.400000000000006</v>
      </c>
      <c r="H43">
        <v>57.6</v>
      </c>
      <c r="I43">
        <v>14.9</v>
      </c>
      <c r="J43">
        <v>84</v>
      </c>
      <c r="K43">
        <v>87</v>
      </c>
      <c r="L43">
        <v>83</v>
      </c>
      <c r="M43">
        <v>78</v>
      </c>
      <c r="N43">
        <v>74</v>
      </c>
      <c r="O43">
        <v>69</v>
      </c>
      <c r="P43">
        <v>64</v>
      </c>
      <c r="Q43">
        <v>60</v>
      </c>
    </row>
    <row r="44" spans="1:17">
      <c r="A44" t="str">
        <f t="shared" si="0"/>
        <v>DWEF-R1 to R2</v>
      </c>
      <c r="B44" t="s">
        <v>141</v>
      </c>
      <c r="C44" t="s">
        <v>98</v>
      </c>
      <c r="D44" t="s">
        <v>168</v>
      </c>
      <c r="E44">
        <v>74</v>
      </c>
      <c r="F44">
        <v>40</v>
      </c>
      <c r="G44">
        <v>75.400000000000006</v>
      </c>
      <c r="H44">
        <v>51.4</v>
      </c>
      <c r="I44">
        <v>12.4</v>
      </c>
      <c r="J44">
        <v>73</v>
      </c>
      <c r="K44">
        <v>76</v>
      </c>
      <c r="L44">
        <v>75</v>
      </c>
      <c r="M44">
        <v>67</v>
      </c>
      <c r="N44">
        <v>61</v>
      </c>
      <c r="O44">
        <v>61</v>
      </c>
      <c r="P44">
        <v>56</v>
      </c>
      <c r="Q44">
        <v>51</v>
      </c>
    </row>
    <row r="45" spans="1:17">
      <c r="A45" t="str">
        <f t="shared" si="0"/>
        <v>CU-R1 to R2</v>
      </c>
      <c r="B45" t="s">
        <v>142</v>
      </c>
      <c r="C45" t="s">
        <v>98</v>
      </c>
      <c r="D45" t="s">
        <v>168</v>
      </c>
      <c r="E45">
        <v>76.5</v>
      </c>
      <c r="F45">
        <v>40</v>
      </c>
      <c r="G45">
        <v>75.400000000000006</v>
      </c>
      <c r="H45">
        <v>68.7</v>
      </c>
      <c r="I45">
        <v>14</v>
      </c>
    </row>
    <row r="46" spans="1:17">
      <c r="A46" t="str">
        <f t="shared" si="0"/>
        <v>CU-R2 to R2</v>
      </c>
      <c r="B46" t="s">
        <v>143</v>
      </c>
      <c r="C46" t="s">
        <v>98</v>
      </c>
      <c r="D46" t="s">
        <v>168</v>
      </c>
      <c r="E46">
        <v>76.5</v>
      </c>
      <c r="F46">
        <v>40</v>
      </c>
      <c r="G46">
        <v>75.400000000000006</v>
      </c>
      <c r="H46">
        <v>65.8</v>
      </c>
      <c r="I46">
        <v>15.8</v>
      </c>
    </row>
    <row r="47" spans="1:17">
      <c r="A47" t="str">
        <f t="shared" si="0"/>
        <v>CU-R4 to R2</v>
      </c>
      <c r="B47" t="s">
        <v>144</v>
      </c>
      <c r="C47" t="s">
        <v>98</v>
      </c>
      <c r="D47" t="s">
        <v>168</v>
      </c>
      <c r="E47">
        <v>76</v>
      </c>
      <c r="F47">
        <v>40</v>
      </c>
      <c r="G47">
        <v>75.400000000000006</v>
      </c>
      <c r="H47">
        <v>75.900000000000006</v>
      </c>
      <c r="I47">
        <v>19.2</v>
      </c>
    </row>
    <row r="48" spans="1:17">
      <c r="A48" t="str">
        <f t="shared" si="0"/>
        <v>CU-R5 to R2</v>
      </c>
      <c r="B48" t="s">
        <v>145</v>
      </c>
      <c r="C48" t="s">
        <v>98</v>
      </c>
      <c r="D48" t="s">
        <v>168</v>
      </c>
      <c r="E48">
        <v>76</v>
      </c>
      <c r="F48">
        <v>40</v>
      </c>
      <c r="G48">
        <v>75.400000000000006</v>
      </c>
      <c r="H48">
        <v>50.1</v>
      </c>
      <c r="I48">
        <v>8.1999999999999993</v>
      </c>
    </row>
    <row r="49" spans="1:9">
      <c r="A49" t="str">
        <f t="shared" si="0"/>
        <v>RCU-R(4p)1 to R2</v>
      </c>
      <c r="B49" t="s">
        <v>146</v>
      </c>
      <c r="C49" t="s">
        <v>98</v>
      </c>
      <c r="D49" t="s">
        <v>137</v>
      </c>
      <c r="E49">
        <v>74</v>
      </c>
      <c r="F49">
        <v>40</v>
      </c>
      <c r="G49">
        <v>75.400000000000006</v>
      </c>
      <c r="H49">
        <v>126</v>
      </c>
      <c r="I49">
        <v>55.8</v>
      </c>
    </row>
    <row r="50" spans="1:9">
      <c r="A50" t="str">
        <f t="shared" si="0"/>
        <v>RCU-R(4p)2 to R2</v>
      </c>
      <c r="B50" t="s">
        <v>147</v>
      </c>
      <c r="C50" t="s">
        <v>98</v>
      </c>
      <c r="D50" t="s">
        <v>168</v>
      </c>
      <c r="E50">
        <v>74</v>
      </c>
      <c r="F50">
        <v>40</v>
      </c>
      <c r="G50">
        <v>75.400000000000006</v>
      </c>
      <c r="H50">
        <v>106.5</v>
      </c>
      <c r="I50">
        <v>48</v>
      </c>
    </row>
    <row r="51" spans="1:9">
      <c r="A51" t="str">
        <f t="shared" si="0"/>
        <v>RCU-R(4p)3 to R2</v>
      </c>
      <c r="B51" t="s">
        <v>148</v>
      </c>
      <c r="C51" t="s">
        <v>98</v>
      </c>
      <c r="D51" t="s">
        <v>168</v>
      </c>
      <c r="E51">
        <v>74</v>
      </c>
      <c r="F51">
        <v>40</v>
      </c>
      <c r="G51">
        <v>75.400000000000006</v>
      </c>
      <c r="H51">
        <v>73.099999999999994</v>
      </c>
      <c r="I51">
        <v>3.9</v>
      </c>
    </row>
    <row r="52" spans="1:9">
      <c r="A52" t="str">
        <f t="shared" si="0"/>
        <v>RCU-R(2p) to R2</v>
      </c>
      <c r="B52" t="s">
        <v>149</v>
      </c>
      <c r="C52" t="s">
        <v>98</v>
      </c>
      <c r="D52" t="s">
        <v>168</v>
      </c>
      <c r="E52">
        <v>74</v>
      </c>
      <c r="F52">
        <v>40</v>
      </c>
      <c r="G52">
        <v>75.400000000000006</v>
      </c>
      <c r="H52">
        <v>62.1</v>
      </c>
      <c r="I52">
        <v>2.2999999999999998</v>
      </c>
    </row>
    <row r="53" spans="1:9">
      <c r="A53" t="str">
        <f t="shared" si="0"/>
        <v>RCU-R(2p)1 to R2</v>
      </c>
      <c r="B53" t="s">
        <v>150</v>
      </c>
      <c r="C53" t="s">
        <v>98</v>
      </c>
      <c r="D53" t="s">
        <v>168</v>
      </c>
      <c r="E53">
        <v>74</v>
      </c>
      <c r="F53">
        <v>40</v>
      </c>
      <c r="G53">
        <v>75.400000000000006</v>
      </c>
      <c r="H53">
        <v>44.9</v>
      </c>
      <c r="I53">
        <v>1.8</v>
      </c>
    </row>
    <row r="54" spans="1:9">
      <c r="A54" t="str">
        <f t="shared" si="0"/>
        <v>RCU-R(4p)4 to R2</v>
      </c>
      <c r="B54" t="s">
        <v>151</v>
      </c>
      <c r="C54" t="s">
        <v>98</v>
      </c>
      <c r="D54" t="s">
        <v>168</v>
      </c>
      <c r="E54">
        <v>74</v>
      </c>
      <c r="F54">
        <v>40</v>
      </c>
      <c r="G54">
        <v>75.400000000000006</v>
      </c>
      <c r="H54">
        <v>40.9</v>
      </c>
      <c r="I54">
        <v>1.3</v>
      </c>
    </row>
    <row r="55" spans="1:9">
      <c r="A55" t="str">
        <f t="shared" si="0"/>
        <v>RCU-R(2p)2 to R2</v>
      </c>
      <c r="B55" t="s">
        <v>152</v>
      </c>
      <c r="C55" t="s">
        <v>98</v>
      </c>
      <c r="D55" t="s">
        <v>168</v>
      </c>
      <c r="E55">
        <v>74</v>
      </c>
      <c r="F55">
        <v>40</v>
      </c>
      <c r="G55">
        <v>75.400000000000006</v>
      </c>
      <c r="H55">
        <v>67.099999999999994</v>
      </c>
      <c r="I55">
        <v>26.8</v>
      </c>
    </row>
    <row r="56" spans="1:9">
      <c r="A56" t="str">
        <f t="shared" si="0"/>
        <v>RCU-R(2p)3 to R2</v>
      </c>
      <c r="B56" t="s">
        <v>153</v>
      </c>
      <c r="C56" t="s">
        <v>98</v>
      </c>
      <c r="D56" t="s">
        <v>168</v>
      </c>
      <c r="E56">
        <v>74</v>
      </c>
      <c r="F56">
        <v>40</v>
      </c>
      <c r="G56">
        <v>75.400000000000006</v>
      </c>
      <c r="H56">
        <v>78.2</v>
      </c>
      <c r="I56">
        <v>39.6</v>
      </c>
    </row>
    <row r="57" spans="1:9">
      <c r="A57" t="str">
        <f t="shared" si="0"/>
        <v>RCU-R(2p)4 to R2</v>
      </c>
      <c r="B57" t="s">
        <v>154</v>
      </c>
      <c r="C57" t="s">
        <v>98</v>
      </c>
      <c r="D57" t="s">
        <v>168</v>
      </c>
      <c r="E57">
        <v>74</v>
      </c>
      <c r="F57">
        <v>40</v>
      </c>
      <c r="G57">
        <v>75.400000000000006</v>
      </c>
      <c r="H57">
        <v>81</v>
      </c>
      <c r="I57">
        <v>41</v>
      </c>
    </row>
    <row r="58" spans="1:9">
      <c r="A58" t="str">
        <f t="shared" si="0"/>
        <v>RCU-R(2p)5 to R2</v>
      </c>
      <c r="B58" t="s">
        <v>155</v>
      </c>
      <c r="C58" t="s">
        <v>98</v>
      </c>
      <c r="D58" t="s">
        <v>168</v>
      </c>
      <c r="E58">
        <v>74</v>
      </c>
      <c r="F58">
        <v>40</v>
      </c>
      <c r="G58">
        <v>75.400000000000006</v>
      </c>
      <c r="H58">
        <v>88.3</v>
      </c>
      <c r="I58">
        <v>44.8</v>
      </c>
    </row>
    <row r="59" spans="1:9">
      <c r="A59" t="str">
        <f t="shared" si="0"/>
        <v>RCU-R(2p)6 to R2</v>
      </c>
      <c r="B59" t="s">
        <v>156</v>
      </c>
      <c r="C59" t="s">
        <v>98</v>
      </c>
      <c r="D59" t="s">
        <v>168</v>
      </c>
      <c r="E59">
        <v>74</v>
      </c>
      <c r="F59">
        <v>40</v>
      </c>
      <c r="G59">
        <v>75.400000000000006</v>
      </c>
      <c r="H59">
        <v>99</v>
      </c>
      <c r="I59">
        <v>50.2</v>
      </c>
    </row>
    <row r="60" spans="1:9">
      <c r="A60" t="str">
        <f t="shared" si="0"/>
        <v>RCU-R(2p)6 to R2</v>
      </c>
      <c r="B60" t="s">
        <v>156</v>
      </c>
      <c r="C60" t="s">
        <v>98</v>
      </c>
      <c r="D60" t="s">
        <v>168</v>
      </c>
      <c r="E60">
        <v>74</v>
      </c>
      <c r="F60">
        <v>40</v>
      </c>
      <c r="G60">
        <v>75.400000000000006</v>
      </c>
      <c r="H60">
        <v>99</v>
      </c>
      <c r="I60">
        <v>50.2</v>
      </c>
    </row>
    <row r="61" spans="1:9">
      <c r="A61" t="str">
        <f t="shared" si="0"/>
        <v>RCU-R(2p)6 to R2</v>
      </c>
      <c r="B61" t="s">
        <v>156</v>
      </c>
      <c r="C61" t="s">
        <v>98</v>
      </c>
      <c r="D61" t="s">
        <v>168</v>
      </c>
      <c r="E61">
        <v>74</v>
      </c>
      <c r="F61">
        <v>40</v>
      </c>
      <c r="G61">
        <v>75.400000000000006</v>
      </c>
      <c r="H61">
        <v>99</v>
      </c>
      <c r="I61">
        <v>50.2</v>
      </c>
    </row>
    <row r="62" spans="1:9">
      <c r="A62" t="str">
        <f t="shared" si="0"/>
        <v>BEF-R03- to R2</v>
      </c>
      <c r="B62" t="s">
        <v>157</v>
      </c>
      <c r="C62" t="s">
        <v>98</v>
      </c>
      <c r="D62" t="s">
        <v>168</v>
      </c>
      <c r="E62">
        <v>75</v>
      </c>
      <c r="F62">
        <v>40</v>
      </c>
      <c r="G62">
        <v>75.400000000000006</v>
      </c>
      <c r="H62">
        <v>40.4</v>
      </c>
      <c r="I62">
        <v>1</v>
      </c>
    </row>
    <row r="63" spans="1:9">
      <c r="A63" t="str">
        <f t="shared" si="0"/>
        <v>BEF-R04- to R2</v>
      </c>
      <c r="B63" t="s">
        <v>158</v>
      </c>
      <c r="C63" t="s">
        <v>98</v>
      </c>
      <c r="D63" t="s">
        <v>168</v>
      </c>
      <c r="E63">
        <v>75</v>
      </c>
      <c r="F63">
        <v>40</v>
      </c>
      <c r="G63">
        <v>75.400000000000006</v>
      </c>
      <c r="H63">
        <v>54.6</v>
      </c>
      <c r="I63">
        <v>4.2</v>
      </c>
    </row>
    <row r="64" spans="1:9">
      <c r="A64" t="str">
        <f t="shared" si="0"/>
        <v>BEF-R04- to R2</v>
      </c>
      <c r="B64" t="s">
        <v>158</v>
      </c>
      <c r="C64" t="s">
        <v>98</v>
      </c>
      <c r="D64" t="s">
        <v>168</v>
      </c>
      <c r="E64">
        <v>75</v>
      </c>
      <c r="F64">
        <v>40</v>
      </c>
      <c r="G64">
        <v>75.400000000000006</v>
      </c>
      <c r="H64">
        <v>54.6</v>
      </c>
      <c r="I64">
        <v>4.2</v>
      </c>
    </row>
    <row r="65" spans="1:17">
      <c r="A65" t="str">
        <f t="shared" si="0"/>
        <v>BEF-R04- to R2</v>
      </c>
      <c r="B65" t="s">
        <v>158</v>
      </c>
      <c r="C65" t="s">
        <v>98</v>
      </c>
      <c r="D65" t="s">
        <v>168</v>
      </c>
      <c r="E65">
        <v>75</v>
      </c>
      <c r="F65">
        <v>40</v>
      </c>
      <c r="G65">
        <v>75.400000000000006</v>
      </c>
      <c r="H65">
        <v>54.6</v>
      </c>
      <c r="I65">
        <v>4.2</v>
      </c>
    </row>
    <row r="66" spans="1:17">
      <c r="A66" t="str">
        <f t="shared" si="0"/>
        <v>BEF-R04- to R2</v>
      </c>
      <c r="B66" t="s">
        <v>158</v>
      </c>
      <c r="C66" t="s">
        <v>98</v>
      </c>
      <c r="D66" t="s">
        <v>168</v>
      </c>
      <c r="E66">
        <v>75</v>
      </c>
      <c r="F66">
        <v>40</v>
      </c>
      <c r="G66">
        <v>75.400000000000006</v>
      </c>
      <c r="H66">
        <v>54.6</v>
      </c>
      <c r="I66">
        <v>4.2</v>
      </c>
    </row>
    <row r="67" spans="1:17">
      <c r="A67" t="str">
        <f t="shared" ref="A67:A130" si="1">B67 &amp; " to " &amp; C67</f>
        <v>BEF-R08- to R2</v>
      </c>
      <c r="B67" t="s">
        <v>159</v>
      </c>
      <c r="C67" t="s">
        <v>98</v>
      </c>
      <c r="D67" t="s">
        <v>137</v>
      </c>
      <c r="E67">
        <v>75</v>
      </c>
      <c r="F67">
        <v>40</v>
      </c>
      <c r="G67">
        <v>75.400000000000006</v>
      </c>
      <c r="H67">
        <v>116.2</v>
      </c>
      <c r="I67">
        <v>44.1</v>
      </c>
    </row>
    <row r="68" spans="1:17">
      <c r="A68" t="str">
        <f t="shared" si="1"/>
        <v>BEF-R09- to R2</v>
      </c>
      <c r="B68" t="s">
        <v>160</v>
      </c>
      <c r="C68" t="s">
        <v>98</v>
      </c>
      <c r="D68" t="s">
        <v>137</v>
      </c>
      <c r="E68">
        <v>75</v>
      </c>
      <c r="F68">
        <v>40</v>
      </c>
      <c r="G68">
        <v>75.400000000000006</v>
      </c>
      <c r="H68">
        <v>113.4</v>
      </c>
      <c r="I68">
        <v>45</v>
      </c>
    </row>
    <row r="69" spans="1:17">
      <c r="A69" t="str">
        <f t="shared" si="1"/>
        <v>BEF-R10- to R2</v>
      </c>
      <c r="B69" t="s">
        <v>161</v>
      </c>
      <c r="C69" t="s">
        <v>98</v>
      </c>
      <c r="D69" t="s">
        <v>137</v>
      </c>
      <c r="E69">
        <v>75</v>
      </c>
      <c r="F69">
        <v>40</v>
      </c>
      <c r="G69">
        <v>75.400000000000006</v>
      </c>
      <c r="H69">
        <v>116.7</v>
      </c>
      <c r="I69">
        <v>48.1</v>
      </c>
    </row>
    <row r="70" spans="1:17">
      <c r="A70" t="str">
        <f t="shared" si="1"/>
        <v>BEF-R11- to R2</v>
      </c>
      <c r="B70" t="s">
        <v>162</v>
      </c>
      <c r="C70" t="s">
        <v>98</v>
      </c>
      <c r="D70" t="s">
        <v>137</v>
      </c>
      <c r="E70">
        <v>75</v>
      </c>
      <c r="F70">
        <v>40</v>
      </c>
      <c r="G70">
        <v>75.400000000000006</v>
      </c>
      <c r="H70">
        <v>120.5</v>
      </c>
      <c r="I70">
        <v>48</v>
      </c>
    </row>
    <row r="71" spans="1:17">
      <c r="A71" t="str">
        <f t="shared" si="1"/>
        <v>BEF-R12- to R2</v>
      </c>
      <c r="B71" t="s">
        <v>163</v>
      </c>
      <c r="C71" t="s">
        <v>98</v>
      </c>
      <c r="D71" t="s">
        <v>168</v>
      </c>
      <c r="E71">
        <v>75</v>
      </c>
      <c r="F71">
        <v>40</v>
      </c>
      <c r="G71">
        <v>75.400000000000006</v>
      </c>
      <c r="H71">
        <v>90.3</v>
      </c>
      <c r="I71">
        <v>44.5</v>
      </c>
    </row>
    <row r="72" spans="1:17">
      <c r="A72" t="str">
        <f t="shared" si="1"/>
        <v>BEF-R13- to R2</v>
      </c>
      <c r="B72" t="s">
        <v>164</v>
      </c>
      <c r="C72" t="s">
        <v>98</v>
      </c>
      <c r="D72" t="s">
        <v>168</v>
      </c>
      <c r="E72">
        <v>75</v>
      </c>
      <c r="F72">
        <v>40</v>
      </c>
      <c r="G72">
        <v>75.400000000000006</v>
      </c>
      <c r="H72">
        <v>74.7</v>
      </c>
      <c r="I72">
        <v>35.799999999999997</v>
      </c>
    </row>
    <row r="73" spans="1:17">
      <c r="A73" t="str">
        <f t="shared" si="1"/>
        <v>BEF-R14- to R2</v>
      </c>
      <c r="B73" t="s">
        <v>165</v>
      </c>
      <c r="C73" t="s">
        <v>98</v>
      </c>
      <c r="D73" t="s">
        <v>168</v>
      </c>
      <c r="E73">
        <v>75</v>
      </c>
      <c r="F73">
        <v>40</v>
      </c>
      <c r="G73">
        <v>75.400000000000006</v>
      </c>
      <c r="H73">
        <v>76.7</v>
      </c>
      <c r="I73">
        <v>36.700000000000003</v>
      </c>
    </row>
    <row r="74" spans="1:17">
      <c r="A74" t="str">
        <f t="shared" si="1"/>
        <v>BEF-R15- to R2</v>
      </c>
      <c r="B74" t="s">
        <v>169</v>
      </c>
      <c r="C74" t="s">
        <v>98</v>
      </c>
      <c r="D74" t="s">
        <v>135</v>
      </c>
      <c r="E74">
        <v>75</v>
      </c>
      <c r="F74">
        <v>40</v>
      </c>
      <c r="G74">
        <v>75.400000000000006</v>
      </c>
      <c r="H74">
        <v>90.4</v>
      </c>
      <c r="I74">
        <v>33.4</v>
      </c>
    </row>
    <row r="75" spans="1:17">
      <c r="A75" t="str">
        <f t="shared" si="1"/>
        <v>BEF-R16- to R2</v>
      </c>
      <c r="B75" t="s">
        <v>167</v>
      </c>
      <c r="C75" t="s">
        <v>98</v>
      </c>
      <c r="D75" t="s">
        <v>168</v>
      </c>
      <c r="E75">
        <v>75</v>
      </c>
      <c r="F75">
        <v>40</v>
      </c>
      <c r="G75">
        <v>75.400000000000006</v>
      </c>
      <c r="H75">
        <v>97.5</v>
      </c>
      <c r="I75">
        <v>48.1</v>
      </c>
    </row>
    <row r="76" spans="1:17">
      <c r="A76" t="str">
        <f t="shared" si="1"/>
        <v>MAU-R1 to R3</v>
      </c>
      <c r="B76" t="s">
        <v>132</v>
      </c>
      <c r="C76" t="s">
        <v>99</v>
      </c>
      <c r="D76" t="s">
        <v>170</v>
      </c>
      <c r="E76">
        <v>74.2</v>
      </c>
      <c r="F76">
        <v>60</v>
      </c>
      <c r="G76">
        <v>75.400000000000006</v>
      </c>
      <c r="H76">
        <v>136.9</v>
      </c>
      <c r="I76">
        <v>101.6</v>
      </c>
      <c r="J76">
        <v>80</v>
      </c>
      <c r="K76">
        <v>77</v>
      </c>
      <c r="L76">
        <v>84</v>
      </c>
      <c r="M76">
        <v>87</v>
      </c>
      <c r="N76">
        <v>80</v>
      </c>
      <c r="O76">
        <v>72</v>
      </c>
      <c r="P76">
        <v>69</v>
      </c>
      <c r="Q76">
        <v>61</v>
      </c>
    </row>
    <row r="77" spans="1:17">
      <c r="A77" t="str">
        <f t="shared" si="1"/>
        <v>ERV-R.1 to R3</v>
      </c>
      <c r="B77" t="s">
        <v>134</v>
      </c>
      <c r="C77" t="s">
        <v>99</v>
      </c>
      <c r="D77" t="s">
        <v>171</v>
      </c>
      <c r="E77">
        <v>72.5</v>
      </c>
      <c r="F77">
        <v>60</v>
      </c>
      <c r="G77">
        <v>75.400000000000006</v>
      </c>
      <c r="H77">
        <v>117.6</v>
      </c>
      <c r="I77">
        <v>105.6</v>
      </c>
      <c r="J77">
        <v>91</v>
      </c>
      <c r="K77">
        <v>92</v>
      </c>
      <c r="L77">
        <v>95</v>
      </c>
      <c r="M77">
        <v>89</v>
      </c>
      <c r="N77">
        <v>86</v>
      </c>
      <c r="O77">
        <v>76</v>
      </c>
      <c r="P77">
        <v>72</v>
      </c>
      <c r="Q77">
        <v>67</v>
      </c>
    </row>
    <row r="78" spans="1:17">
      <c r="A78" t="str">
        <f t="shared" si="1"/>
        <v>GEF-R1- to R3</v>
      </c>
      <c r="B78" t="s">
        <v>136</v>
      </c>
      <c r="C78" t="s">
        <v>99</v>
      </c>
      <c r="D78" t="s">
        <v>172</v>
      </c>
      <c r="E78">
        <v>75</v>
      </c>
      <c r="F78">
        <v>60</v>
      </c>
      <c r="G78">
        <v>75.400000000000006</v>
      </c>
      <c r="H78">
        <v>15.9</v>
      </c>
      <c r="I78">
        <v>5.6</v>
      </c>
      <c r="J78">
        <v>88</v>
      </c>
      <c r="K78">
        <v>88</v>
      </c>
      <c r="L78">
        <v>83</v>
      </c>
      <c r="M78">
        <v>78</v>
      </c>
      <c r="N78">
        <v>77</v>
      </c>
      <c r="O78">
        <v>73</v>
      </c>
      <c r="P78">
        <v>65</v>
      </c>
      <c r="Q78">
        <v>58</v>
      </c>
    </row>
    <row r="79" spans="1:17">
      <c r="A79" t="str">
        <f t="shared" si="1"/>
        <v>DEF-R1,-R2 to R3</v>
      </c>
      <c r="B79" t="s">
        <v>138</v>
      </c>
      <c r="C79" t="s">
        <v>99</v>
      </c>
      <c r="D79" t="s">
        <v>172</v>
      </c>
      <c r="E79">
        <v>72</v>
      </c>
      <c r="F79">
        <v>60</v>
      </c>
      <c r="G79">
        <v>75.400000000000006</v>
      </c>
      <c r="H79">
        <v>110.2</v>
      </c>
      <c r="I79">
        <v>99.7</v>
      </c>
      <c r="J79">
        <v>81</v>
      </c>
      <c r="K79">
        <v>79</v>
      </c>
      <c r="L79">
        <v>73</v>
      </c>
      <c r="M79">
        <v>66</v>
      </c>
      <c r="N79">
        <v>61</v>
      </c>
      <c r="O79">
        <v>59</v>
      </c>
      <c r="P79">
        <v>50</v>
      </c>
      <c r="Q79">
        <v>43</v>
      </c>
    </row>
    <row r="80" spans="1:17">
      <c r="A80" t="str">
        <f t="shared" si="1"/>
        <v>KEF-R1- to R3</v>
      </c>
      <c r="B80" t="s">
        <v>139</v>
      </c>
      <c r="C80" t="s">
        <v>99</v>
      </c>
      <c r="D80" t="s">
        <v>170</v>
      </c>
      <c r="E80">
        <v>75.5</v>
      </c>
      <c r="F80">
        <v>60</v>
      </c>
      <c r="G80">
        <v>75.400000000000006</v>
      </c>
      <c r="H80">
        <v>165.2</v>
      </c>
      <c r="I80">
        <v>125.1</v>
      </c>
      <c r="J80">
        <v>84</v>
      </c>
      <c r="K80">
        <v>87</v>
      </c>
      <c r="L80">
        <v>83</v>
      </c>
      <c r="M80">
        <v>78</v>
      </c>
      <c r="N80">
        <v>74</v>
      </c>
      <c r="O80">
        <v>69</v>
      </c>
      <c r="P80">
        <v>64</v>
      </c>
      <c r="Q80">
        <v>60</v>
      </c>
    </row>
    <row r="81" spans="1:17">
      <c r="A81" t="str">
        <f t="shared" si="1"/>
        <v>DWEF-R1 to R3</v>
      </c>
      <c r="B81" t="s">
        <v>141</v>
      </c>
      <c r="C81" t="s">
        <v>99</v>
      </c>
      <c r="D81" t="s">
        <v>170</v>
      </c>
      <c r="E81">
        <v>74</v>
      </c>
      <c r="F81">
        <v>60</v>
      </c>
      <c r="G81">
        <v>75.400000000000006</v>
      </c>
      <c r="H81">
        <v>151.19999999999999</v>
      </c>
      <c r="I81">
        <v>114</v>
      </c>
      <c r="J81">
        <v>73</v>
      </c>
      <c r="K81">
        <v>76</v>
      </c>
      <c r="L81">
        <v>75</v>
      </c>
      <c r="M81">
        <v>67</v>
      </c>
      <c r="N81">
        <v>61</v>
      </c>
      <c r="O81">
        <v>61</v>
      </c>
      <c r="P81">
        <v>56</v>
      </c>
      <c r="Q81">
        <v>51</v>
      </c>
    </row>
    <row r="82" spans="1:17">
      <c r="A82" t="str">
        <f t="shared" si="1"/>
        <v>CU-R1 to R3</v>
      </c>
      <c r="B82" t="s">
        <v>142</v>
      </c>
      <c r="C82" t="s">
        <v>99</v>
      </c>
      <c r="D82" t="s">
        <v>170</v>
      </c>
      <c r="E82">
        <v>76.5</v>
      </c>
      <c r="F82">
        <v>60</v>
      </c>
      <c r="G82">
        <v>75.400000000000006</v>
      </c>
      <c r="H82">
        <v>114.5</v>
      </c>
      <c r="I82">
        <v>85.5</v>
      </c>
    </row>
    <row r="83" spans="1:17">
      <c r="A83" t="str">
        <f t="shared" si="1"/>
        <v>CU-R2 to R3</v>
      </c>
      <c r="B83" t="s">
        <v>143</v>
      </c>
      <c r="C83" t="s">
        <v>99</v>
      </c>
      <c r="D83" t="s">
        <v>170</v>
      </c>
      <c r="E83">
        <v>76.5</v>
      </c>
      <c r="F83">
        <v>60</v>
      </c>
      <c r="G83">
        <v>75.400000000000006</v>
      </c>
      <c r="H83">
        <v>119.9</v>
      </c>
      <c r="I83">
        <v>90.3</v>
      </c>
    </row>
    <row r="84" spans="1:17">
      <c r="A84" t="str">
        <f t="shared" si="1"/>
        <v>CU-R4 to R3</v>
      </c>
      <c r="B84" t="s">
        <v>144</v>
      </c>
      <c r="C84" t="s">
        <v>99</v>
      </c>
      <c r="D84" t="s">
        <v>170</v>
      </c>
      <c r="E84">
        <v>76</v>
      </c>
      <c r="F84">
        <v>60</v>
      </c>
      <c r="G84">
        <v>75.400000000000006</v>
      </c>
      <c r="H84">
        <v>114.1</v>
      </c>
      <c r="I84">
        <v>86.2</v>
      </c>
    </row>
    <row r="85" spans="1:17">
      <c r="A85" t="str">
        <f t="shared" si="1"/>
        <v>CU-R5 to R3</v>
      </c>
      <c r="B85" t="s">
        <v>145</v>
      </c>
      <c r="C85" t="s">
        <v>99</v>
      </c>
      <c r="D85" t="s">
        <v>170</v>
      </c>
      <c r="E85">
        <v>76</v>
      </c>
      <c r="F85">
        <v>60</v>
      </c>
      <c r="G85">
        <v>75.400000000000006</v>
      </c>
      <c r="H85">
        <v>129.5</v>
      </c>
      <c r="I85">
        <v>96.1</v>
      </c>
    </row>
    <row r="86" spans="1:17">
      <c r="A86" t="str">
        <f t="shared" si="1"/>
        <v>RCU-R(4p)1 to R3</v>
      </c>
      <c r="B86" t="s">
        <v>146</v>
      </c>
      <c r="C86" t="s">
        <v>99</v>
      </c>
      <c r="D86" t="s">
        <v>172</v>
      </c>
      <c r="E86">
        <v>74</v>
      </c>
      <c r="F86">
        <v>60</v>
      </c>
      <c r="G86">
        <v>75.400000000000006</v>
      </c>
      <c r="H86">
        <v>26.1</v>
      </c>
      <c r="I86">
        <v>12.3</v>
      </c>
    </row>
    <row r="87" spans="1:17">
      <c r="A87" t="str">
        <f t="shared" si="1"/>
        <v>RCU-R(4p)2 to R3</v>
      </c>
      <c r="B87" t="s">
        <v>147</v>
      </c>
      <c r="C87" t="s">
        <v>99</v>
      </c>
      <c r="D87" t="s">
        <v>172</v>
      </c>
      <c r="E87">
        <v>74</v>
      </c>
      <c r="F87">
        <v>60</v>
      </c>
      <c r="G87">
        <v>75.400000000000006</v>
      </c>
      <c r="H87">
        <v>124.1</v>
      </c>
      <c r="I87">
        <v>113.8</v>
      </c>
    </row>
    <row r="88" spans="1:17">
      <c r="A88" t="str">
        <f t="shared" si="1"/>
        <v>RCU-R(4p)3 to R3</v>
      </c>
      <c r="B88" t="s">
        <v>148</v>
      </c>
      <c r="C88" t="s">
        <v>99</v>
      </c>
      <c r="D88" t="s">
        <v>170</v>
      </c>
      <c r="E88">
        <v>74</v>
      </c>
      <c r="F88">
        <v>60</v>
      </c>
      <c r="G88">
        <v>75.400000000000006</v>
      </c>
      <c r="H88">
        <v>102.1</v>
      </c>
      <c r="I88">
        <v>74.099999999999994</v>
      </c>
    </row>
    <row r="89" spans="1:17">
      <c r="A89" t="str">
        <f t="shared" si="1"/>
        <v>RCU-R(2p) to R3</v>
      </c>
      <c r="B89" t="s">
        <v>149</v>
      </c>
      <c r="C89" t="s">
        <v>99</v>
      </c>
      <c r="D89" t="s">
        <v>170</v>
      </c>
      <c r="E89">
        <v>74</v>
      </c>
      <c r="F89">
        <v>60</v>
      </c>
      <c r="G89">
        <v>75.400000000000006</v>
      </c>
      <c r="H89">
        <v>107.9</v>
      </c>
      <c r="I89">
        <v>78.099999999999994</v>
      </c>
    </row>
    <row r="90" spans="1:17">
      <c r="A90" t="str">
        <f t="shared" si="1"/>
        <v>RCU-R(2p)1 to R3</v>
      </c>
      <c r="B90" t="s">
        <v>150</v>
      </c>
      <c r="C90" t="s">
        <v>99</v>
      </c>
      <c r="D90" t="s">
        <v>170</v>
      </c>
      <c r="E90">
        <v>74</v>
      </c>
      <c r="F90">
        <v>60</v>
      </c>
      <c r="G90">
        <v>75.400000000000006</v>
      </c>
      <c r="H90">
        <v>124.6</v>
      </c>
      <c r="I90">
        <v>90.4</v>
      </c>
    </row>
    <row r="91" spans="1:17">
      <c r="A91" t="str">
        <f t="shared" si="1"/>
        <v>RCU-R(4p)4 to R3</v>
      </c>
      <c r="B91" t="s">
        <v>151</v>
      </c>
      <c r="C91" t="s">
        <v>99</v>
      </c>
      <c r="D91" t="s">
        <v>170</v>
      </c>
      <c r="E91">
        <v>74</v>
      </c>
      <c r="F91">
        <v>60</v>
      </c>
      <c r="G91">
        <v>75.400000000000006</v>
      </c>
      <c r="H91">
        <v>145.30000000000001</v>
      </c>
      <c r="I91">
        <v>105.3</v>
      </c>
    </row>
    <row r="92" spans="1:17">
      <c r="A92" t="str">
        <f t="shared" si="1"/>
        <v>RCU-R(2p)2 to R3</v>
      </c>
      <c r="B92" t="s">
        <v>152</v>
      </c>
      <c r="C92" t="s">
        <v>99</v>
      </c>
      <c r="D92" t="s">
        <v>170</v>
      </c>
      <c r="E92">
        <v>74</v>
      </c>
      <c r="F92">
        <v>60</v>
      </c>
      <c r="G92">
        <v>75.400000000000006</v>
      </c>
      <c r="H92">
        <v>169</v>
      </c>
      <c r="I92">
        <v>132.30000000000001</v>
      </c>
    </row>
    <row r="93" spans="1:17">
      <c r="A93" t="str">
        <f t="shared" si="1"/>
        <v>RCU-R(2p)3 to R3</v>
      </c>
      <c r="B93" t="s">
        <v>153</v>
      </c>
      <c r="C93" t="s">
        <v>99</v>
      </c>
      <c r="D93" t="s">
        <v>170</v>
      </c>
      <c r="E93">
        <v>74</v>
      </c>
      <c r="F93">
        <v>60</v>
      </c>
      <c r="G93">
        <v>75.400000000000006</v>
      </c>
      <c r="H93">
        <v>166.3</v>
      </c>
      <c r="I93">
        <v>134</v>
      </c>
    </row>
    <row r="94" spans="1:17">
      <c r="A94" t="str">
        <f t="shared" si="1"/>
        <v>RCU-R(2p)4 to R3</v>
      </c>
      <c r="B94" t="s">
        <v>154</v>
      </c>
      <c r="C94" t="s">
        <v>99</v>
      </c>
      <c r="D94" t="s">
        <v>170</v>
      </c>
      <c r="E94">
        <v>74</v>
      </c>
      <c r="F94">
        <v>60</v>
      </c>
      <c r="G94">
        <v>75.400000000000006</v>
      </c>
      <c r="H94">
        <v>154.6</v>
      </c>
      <c r="I94">
        <v>124.5</v>
      </c>
    </row>
    <row r="95" spans="1:17">
      <c r="A95" t="str">
        <f t="shared" si="1"/>
        <v>RCU-R(2p)5 to R3</v>
      </c>
      <c r="B95" t="s">
        <v>155</v>
      </c>
      <c r="C95" t="s">
        <v>99</v>
      </c>
      <c r="D95" t="s">
        <v>170</v>
      </c>
      <c r="E95">
        <v>74</v>
      </c>
      <c r="F95">
        <v>60</v>
      </c>
      <c r="G95">
        <v>75.400000000000006</v>
      </c>
      <c r="H95">
        <v>144.69999999999999</v>
      </c>
      <c r="I95">
        <v>116.6</v>
      </c>
    </row>
    <row r="96" spans="1:17">
      <c r="A96" t="str">
        <f t="shared" si="1"/>
        <v>RCU-R(2p)6 to R3</v>
      </c>
      <c r="B96" t="s">
        <v>156</v>
      </c>
      <c r="C96" t="s">
        <v>99</v>
      </c>
      <c r="D96" t="s">
        <v>171</v>
      </c>
      <c r="E96">
        <v>74</v>
      </c>
      <c r="F96">
        <v>60</v>
      </c>
      <c r="G96">
        <v>75.400000000000006</v>
      </c>
      <c r="H96">
        <v>137</v>
      </c>
      <c r="I96">
        <v>123.4</v>
      </c>
    </row>
    <row r="97" spans="1:9">
      <c r="A97" t="str">
        <f t="shared" si="1"/>
        <v>RCU-R(2p)6 to R3</v>
      </c>
      <c r="B97" t="s">
        <v>156</v>
      </c>
      <c r="C97" t="s">
        <v>99</v>
      </c>
      <c r="D97" t="s">
        <v>171</v>
      </c>
      <c r="E97">
        <v>74</v>
      </c>
      <c r="F97">
        <v>60</v>
      </c>
      <c r="G97">
        <v>75.400000000000006</v>
      </c>
      <c r="H97">
        <v>137</v>
      </c>
      <c r="I97">
        <v>123.4</v>
      </c>
    </row>
    <row r="98" spans="1:9">
      <c r="A98" t="str">
        <f t="shared" si="1"/>
        <v>BEF-R02- to R3</v>
      </c>
      <c r="B98" t="s">
        <v>173</v>
      </c>
      <c r="C98" t="s">
        <v>99</v>
      </c>
      <c r="D98" t="s">
        <v>137</v>
      </c>
      <c r="E98">
        <v>75</v>
      </c>
      <c r="F98">
        <v>60</v>
      </c>
      <c r="G98">
        <v>75.400000000000006</v>
      </c>
      <c r="H98">
        <v>156.1</v>
      </c>
      <c r="I98">
        <v>111.1</v>
      </c>
    </row>
    <row r="99" spans="1:9">
      <c r="A99" t="str">
        <f t="shared" si="1"/>
        <v>BEF-R03- to R3</v>
      </c>
      <c r="B99" t="s">
        <v>157</v>
      </c>
      <c r="C99" t="s">
        <v>99</v>
      </c>
      <c r="D99" t="s">
        <v>170</v>
      </c>
      <c r="E99">
        <v>75</v>
      </c>
      <c r="F99">
        <v>60</v>
      </c>
      <c r="G99">
        <v>75.400000000000006</v>
      </c>
      <c r="H99">
        <v>132.9</v>
      </c>
      <c r="I99">
        <v>96.2</v>
      </c>
    </row>
    <row r="100" spans="1:9">
      <c r="A100" t="str">
        <f t="shared" si="1"/>
        <v>BEF-R04- to R3</v>
      </c>
      <c r="B100" t="s">
        <v>158</v>
      </c>
      <c r="C100" t="s">
        <v>99</v>
      </c>
      <c r="D100" t="s">
        <v>170</v>
      </c>
      <c r="E100">
        <v>75</v>
      </c>
      <c r="F100">
        <v>60</v>
      </c>
      <c r="G100">
        <v>75.400000000000006</v>
      </c>
      <c r="H100">
        <v>116.3</v>
      </c>
      <c r="I100">
        <v>84.8</v>
      </c>
    </row>
    <row r="101" spans="1:9">
      <c r="A101" t="str">
        <f t="shared" si="1"/>
        <v>BEF-R05- to R3</v>
      </c>
      <c r="B101" t="s">
        <v>174</v>
      </c>
      <c r="C101" t="s">
        <v>99</v>
      </c>
      <c r="D101" t="s">
        <v>170</v>
      </c>
      <c r="E101">
        <v>75</v>
      </c>
      <c r="F101">
        <v>60</v>
      </c>
      <c r="G101">
        <v>75.400000000000006</v>
      </c>
      <c r="H101">
        <v>76.7</v>
      </c>
      <c r="I101">
        <v>47.3</v>
      </c>
    </row>
    <row r="102" spans="1:9">
      <c r="A102" t="str">
        <f t="shared" si="1"/>
        <v>BEF-R06- to R3</v>
      </c>
      <c r="B102" t="s">
        <v>175</v>
      </c>
      <c r="C102" t="s">
        <v>99</v>
      </c>
      <c r="D102" t="s">
        <v>170</v>
      </c>
      <c r="E102">
        <v>75</v>
      </c>
      <c r="F102">
        <v>60</v>
      </c>
      <c r="G102">
        <v>75.400000000000006</v>
      </c>
      <c r="H102">
        <v>54.4</v>
      </c>
      <c r="I102">
        <v>18.2</v>
      </c>
    </row>
    <row r="103" spans="1:9">
      <c r="A103" t="str">
        <f t="shared" si="1"/>
        <v>BEF-R06- to R3</v>
      </c>
      <c r="B103" t="s">
        <v>175</v>
      </c>
      <c r="C103" t="s">
        <v>99</v>
      </c>
      <c r="D103" t="s">
        <v>170</v>
      </c>
      <c r="E103">
        <v>75</v>
      </c>
      <c r="F103">
        <v>60</v>
      </c>
      <c r="G103">
        <v>75.400000000000006</v>
      </c>
      <c r="H103">
        <v>54.4</v>
      </c>
      <c r="I103">
        <v>18.2</v>
      </c>
    </row>
    <row r="104" spans="1:9">
      <c r="A104" t="str">
        <f t="shared" si="1"/>
        <v>BEF-R08- to R3</v>
      </c>
      <c r="B104" t="s">
        <v>159</v>
      </c>
      <c r="C104" t="s">
        <v>99</v>
      </c>
      <c r="D104" t="s">
        <v>172</v>
      </c>
      <c r="E104">
        <v>75</v>
      </c>
      <c r="F104">
        <v>60</v>
      </c>
      <c r="G104">
        <v>75.400000000000006</v>
      </c>
      <c r="H104">
        <v>13.5</v>
      </c>
      <c r="I104">
        <v>2.5</v>
      </c>
    </row>
    <row r="105" spans="1:9">
      <c r="A105" t="str">
        <f t="shared" si="1"/>
        <v>BEF-R09- to R3</v>
      </c>
      <c r="B105" t="s">
        <v>160</v>
      </c>
      <c r="C105" t="s">
        <v>99</v>
      </c>
      <c r="D105" t="s">
        <v>172</v>
      </c>
      <c r="E105">
        <v>75</v>
      </c>
      <c r="F105">
        <v>60</v>
      </c>
      <c r="G105">
        <v>75.400000000000006</v>
      </c>
      <c r="H105">
        <v>40</v>
      </c>
      <c r="I105">
        <v>29.6</v>
      </c>
    </row>
    <row r="106" spans="1:9">
      <c r="A106" t="str">
        <f t="shared" si="1"/>
        <v>BEF-R10- to R3</v>
      </c>
      <c r="B106" t="s">
        <v>161</v>
      </c>
      <c r="C106" t="s">
        <v>99</v>
      </c>
      <c r="D106" t="s">
        <v>172</v>
      </c>
      <c r="E106">
        <v>75</v>
      </c>
      <c r="F106">
        <v>60</v>
      </c>
      <c r="G106">
        <v>75.400000000000006</v>
      </c>
      <c r="H106">
        <v>69.099999999999994</v>
      </c>
      <c r="I106">
        <v>58.8</v>
      </c>
    </row>
    <row r="107" spans="1:9">
      <c r="A107" t="str">
        <f t="shared" si="1"/>
        <v>BEF-R11- to R3</v>
      </c>
      <c r="B107" t="s">
        <v>162</v>
      </c>
      <c r="C107" t="s">
        <v>99</v>
      </c>
      <c r="D107" t="s">
        <v>172</v>
      </c>
      <c r="E107">
        <v>75</v>
      </c>
      <c r="F107">
        <v>60</v>
      </c>
      <c r="G107">
        <v>75.400000000000006</v>
      </c>
      <c r="H107">
        <v>94.1</v>
      </c>
      <c r="I107">
        <v>83.9</v>
      </c>
    </row>
    <row r="108" spans="1:9">
      <c r="A108" t="str">
        <f t="shared" si="1"/>
        <v>BEF-R12- to R3</v>
      </c>
      <c r="B108" t="s">
        <v>163</v>
      </c>
      <c r="C108" t="s">
        <v>99</v>
      </c>
      <c r="D108" t="s">
        <v>170</v>
      </c>
      <c r="E108">
        <v>75</v>
      </c>
      <c r="F108">
        <v>60</v>
      </c>
      <c r="G108">
        <v>75.400000000000006</v>
      </c>
      <c r="H108">
        <v>139.4</v>
      </c>
      <c r="I108">
        <v>111.8</v>
      </c>
    </row>
    <row r="109" spans="1:9">
      <c r="A109" t="str">
        <f t="shared" si="1"/>
        <v>BEF-R13- to R3</v>
      </c>
      <c r="B109" t="s">
        <v>164</v>
      </c>
      <c r="C109" t="s">
        <v>99</v>
      </c>
      <c r="D109" t="s">
        <v>170</v>
      </c>
      <c r="E109">
        <v>75</v>
      </c>
      <c r="F109">
        <v>60</v>
      </c>
      <c r="G109">
        <v>75.400000000000006</v>
      </c>
      <c r="H109">
        <v>159</v>
      </c>
      <c r="I109">
        <v>127.1</v>
      </c>
    </row>
    <row r="110" spans="1:9">
      <c r="A110" t="str">
        <f t="shared" si="1"/>
        <v>BEF-R14- to R3</v>
      </c>
      <c r="B110" t="s">
        <v>165</v>
      </c>
      <c r="C110" t="s">
        <v>99</v>
      </c>
      <c r="D110" t="s">
        <v>170</v>
      </c>
      <c r="E110">
        <v>75</v>
      </c>
      <c r="F110">
        <v>60</v>
      </c>
      <c r="G110">
        <v>75.400000000000006</v>
      </c>
      <c r="H110">
        <v>176.4</v>
      </c>
      <c r="I110">
        <v>141</v>
      </c>
    </row>
    <row r="111" spans="1:9">
      <c r="A111" t="str">
        <f t="shared" si="1"/>
        <v>BEF-R15- to R3</v>
      </c>
      <c r="B111" t="s">
        <v>169</v>
      </c>
      <c r="C111" t="s">
        <v>99</v>
      </c>
      <c r="D111" t="s">
        <v>170</v>
      </c>
      <c r="E111">
        <v>75</v>
      </c>
      <c r="F111">
        <v>60</v>
      </c>
      <c r="G111">
        <v>75.400000000000006</v>
      </c>
      <c r="H111">
        <v>197.4</v>
      </c>
      <c r="I111">
        <v>159.30000000000001</v>
      </c>
    </row>
    <row r="112" spans="1:9">
      <c r="A112" t="str">
        <f t="shared" si="1"/>
        <v>BEF-R16- to R3</v>
      </c>
      <c r="B112" t="s">
        <v>167</v>
      </c>
      <c r="C112" t="s">
        <v>99</v>
      </c>
      <c r="D112" t="s">
        <v>171</v>
      </c>
      <c r="E112">
        <v>75</v>
      </c>
      <c r="F112">
        <v>60</v>
      </c>
      <c r="G112">
        <v>75.400000000000006</v>
      </c>
      <c r="H112">
        <v>135.1</v>
      </c>
      <c r="I112">
        <v>121.6</v>
      </c>
    </row>
    <row r="113" spans="1:17">
      <c r="A113" t="str">
        <f t="shared" si="1"/>
        <v>MAU-R1 to R4</v>
      </c>
      <c r="B113" t="s">
        <v>132</v>
      </c>
      <c r="C113" t="s">
        <v>100</v>
      </c>
      <c r="D113" t="s">
        <v>176</v>
      </c>
      <c r="E113">
        <v>74.2</v>
      </c>
      <c r="F113">
        <v>40</v>
      </c>
      <c r="G113">
        <v>75.400000000000006</v>
      </c>
      <c r="H113">
        <v>213.3</v>
      </c>
      <c r="I113">
        <v>104.5</v>
      </c>
      <c r="J113">
        <v>80</v>
      </c>
      <c r="K113">
        <v>77</v>
      </c>
      <c r="L113">
        <v>84</v>
      </c>
      <c r="M113">
        <v>87</v>
      </c>
      <c r="N113">
        <v>80</v>
      </c>
      <c r="O113">
        <v>72</v>
      </c>
      <c r="P113">
        <v>69</v>
      </c>
      <c r="Q113">
        <v>61</v>
      </c>
    </row>
    <row r="114" spans="1:17">
      <c r="A114" t="str">
        <f t="shared" si="1"/>
        <v>ERV-R.1 to R4</v>
      </c>
      <c r="B114" t="s">
        <v>134</v>
      </c>
      <c r="C114" t="s">
        <v>100</v>
      </c>
      <c r="D114" t="s">
        <v>176</v>
      </c>
      <c r="E114">
        <v>72.5</v>
      </c>
      <c r="F114">
        <v>40</v>
      </c>
      <c r="G114">
        <v>75.400000000000006</v>
      </c>
      <c r="H114">
        <v>166.5</v>
      </c>
      <c r="I114">
        <v>52</v>
      </c>
      <c r="J114">
        <v>91</v>
      </c>
      <c r="K114">
        <v>92</v>
      </c>
      <c r="L114">
        <v>95</v>
      </c>
      <c r="M114">
        <v>89</v>
      </c>
      <c r="N114">
        <v>86</v>
      </c>
      <c r="O114">
        <v>76</v>
      </c>
      <c r="P114">
        <v>72</v>
      </c>
      <c r="Q114">
        <v>67</v>
      </c>
    </row>
    <row r="115" spans="1:17">
      <c r="A115" t="str">
        <f t="shared" si="1"/>
        <v>GEF-R1- to R4</v>
      </c>
      <c r="B115" t="s">
        <v>136</v>
      </c>
      <c r="C115" t="s">
        <v>100</v>
      </c>
      <c r="D115" t="s">
        <v>177</v>
      </c>
      <c r="E115">
        <v>75</v>
      </c>
      <c r="F115">
        <v>40</v>
      </c>
      <c r="G115">
        <v>75.400000000000006</v>
      </c>
      <c r="H115">
        <v>116.6</v>
      </c>
      <c r="I115">
        <v>25.4</v>
      </c>
      <c r="J115">
        <v>88</v>
      </c>
      <c r="K115">
        <v>88</v>
      </c>
      <c r="L115">
        <v>83</v>
      </c>
      <c r="M115">
        <v>78</v>
      </c>
      <c r="N115">
        <v>77</v>
      </c>
      <c r="O115">
        <v>73</v>
      </c>
      <c r="P115">
        <v>65</v>
      </c>
      <c r="Q115">
        <v>58</v>
      </c>
    </row>
    <row r="116" spans="1:17">
      <c r="A116" t="str">
        <f t="shared" si="1"/>
        <v>DEF-R1,-R2 to R4</v>
      </c>
      <c r="B116" t="s">
        <v>138</v>
      </c>
      <c r="C116" t="s">
        <v>100</v>
      </c>
      <c r="D116" t="s">
        <v>176</v>
      </c>
      <c r="E116">
        <v>72</v>
      </c>
      <c r="F116">
        <v>40</v>
      </c>
      <c r="G116">
        <v>75.400000000000006</v>
      </c>
      <c r="H116">
        <v>151.19999999999999</v>
      </c>
      <c r="I116">
        <v>35.5</v>
      </c>
      <c r="J116">
        <v>81</v>
      </c>
      <c r="K116">
        <v>79</v>
      </c>
      <c r="L116">
        <v>73</v>
      </c>
      <c r="M116">
        <v>66</v>
      </c>
      <c r="N116">
        <v>61</v>
      </c>
      <c r="O116">
        <v>59</v>
      </c>
      <c r="P116">
        <v>50</v>
      </c>
      <c r="Q116">
        <v>43</v>
      </c>
    </row>
    <row r="117" spans="1:17">
      <c r="A117" t="str">
        <f t="shared" si="1"/>
        <v>KEF-R1- to R4</v>
      </c>
      <c r="B117" t="s">
        <v>139</v>
      </c>
      <c r="C117" t="s">
        <v>100</v>
      </c>
      <c r="D117" t="s">
        <v>176</v>
      </c>
      <c r="E117">
        <v>75.5</v>
      </c>
      <c r="F117">
        <v>40</v>
      </c>
      <c r="G117">
        <v>75.400000000000006</v>
      </c>
      <c r="H117">
        <v>246.5</v>
      </c>
      <c r="I117">
        <v>138</v>
      </c>
      <c r="J117">
        <v>84</v>
      </c>
      <c r="K117">
        <v>87</v>
      </c>
      <c r="L117">
        <v>83</v>
      </c>
      <c r="M117">
        <v>78</v>
      </c>
      <c r="N117">
        <v>74</v>
      </c>
      <c r="O117">
        <v>69</v>
      </c>
      <c r="P117">
        <v>64</v>
      </c>
      <c r="Q117">
        <v>60</v>
      </c>
    </row>
    <row r="118" spans="1:17">
      <c r="A118" t="str">
        <f t="shared" si="1"/>
        <v>DWEF-R1 to R4</v>
      </c>
      <c r="B118" t="s">
        <v>141</v>
      </c>
      <c r="C118" t="s">
        <v>100</v>
      </c>
      <c r="D118" t="s">
        <v>176</v>
      </c>
      <c r="E118">
        <v>74</v>
      </c>
      <c r="F118">
        <v>40</v>
      </c>
      <c r="G118">
        <v>75.400000000000006</v>
      </c>
      <c r="H118">
        <v>229.3</v>
      </c>
      <c r="I118">
        <v>120.5</v>
      </c>
      <c r="J118">
        <v>73</v>
      </c>
      <c r="K118">
        <v>76</v>
      </c>
      <c r="L118">
        <v>75</v>
      </c>
      <c r="M118">
        <v>67</v>
      </c>
      <c r="N118">
        <v>61</v>
      </c>
      <c r="O118">
        <v>61</v>
      </c>
      <c r="P118">
        <v>56</v>
      </c>
      <c r="Q118">
        <v>51</v>
      </c>
    </row>
    <row r="119" spans="1:17">
      <c r="A119" t="str">
        <f t="shared" si="1"/>
        <v>CU-R1 to R4</v>
      </c>
      <c r="B119" t="s">
        <v>142</v>
      </c>
      <c r="C119" t="s">
        <v>100</v>
      </c>
      <c r="D119" t="s">
        <v>176</v>
      </c>
      <c r="E119">
        <v>76.5</v>
      </c>
      <c r="F119">
        <v>40</v>
      </c>
      <c r="G119">
        <v>75.400000000000006</v>
      </c>
      <c r="H119">
        <v>175.5</v>
      </c>
      <c r="I119">
        <v>64.400000000000006</v>
      </c>
    </row>
    <row r="120" spans="1:17">
      <c r="A120" t="str">
        <f t="shared" si="1"/>
        <v>CU-R2 to R4</v>
      </c>
      <c r="B120" t="s">
        <v>143</v>
      </c>
      <c r="C120" t="s">
        <v>100</v>
      </c>
      <c r="D120" t="s">
        <v>176</v>
      </c>
      <c r="E120">
        <v>76.5</v>
      </c>
      <c r="F120">
        <v>40</v>
      </c>
      <c r="G120">
        <v>75.400000000000006</v>
      </c>
      <c r="H120">
        <v>182.7</v>
      </c>
      <c r="I120">
        <v>71.599999999999994</v>
      </c>
    </row>
    <row r="121" spans="1:17">
      <c r="A121" t="str">
        <f t="shared" si="1"/>
        <v>CU-R4 to R4</v>
      </c>
      <c r="B121" t="s">
        <v>144</v>
      </c>
      <c r="C121" t="s">
        <v>100</v>
      </c>
      <c r="D121" t="s">
        <v>176</v>
      </c>
      <c r="E121">
        <v>76</v>
      </c>
      <c r="F121">
        <v>40</v>
      </c>
      <c r="G121">
        <v>75.400000000000006</v>
      </c>
      <c r="H121">
        <v>170</v>
      </c>
      <c r="I121">
        <v>57.7</v>
      </c>
    </row>
    <row r="122" spans="1:17">
      <c r="A122" t="str">
        <f t="shared" si="1"/>
        <v>CU-R5 to R4</v>
      </c>
      <c r="B122" t="s">
        <v>145</v>
      </c>
      <c r="C122" t="s">
        <v>100</v>
      </c>
      <c r="D122" t="s">
        <v>176</v>
      </c>
      <c r="E122">
        <v>76</v>
      </c>
      <c r="F122">
        <v>40</v>
      </c>
      <c r="G122">
        <v>75.400000000000006</v>
      </c>
      <c r="H122">
        <v>202.8</v>
      </c>
      <c r="I122">
        <v>93.6</v>
      </c>
    </row>
    <row r="123" spans="1:17">
      <c r="A123" t="str">
        <f t="shared" si="1"/>
        <v>RCU-R(4p)1 to R4</v>
      </c>
      <c r="B123" t="s">
        <v>146</v>
      </c>
      <c r="C123" t="s">
        <v>100</v>
      </c>
      <c r="D123" t="s">
        <v>177</v>
      </c>
      <c r="E123">
        <v>74</v>
      </c>
      <c r="F123">
        <v>40</v>
      </c>
      <c r="G123">
        <v>75.400000000000006</v>
      </c>
      <c r="H123">
        <v>96</v>
      </c>
      <c r="I123">
        <v>4.5</v>
      </c>
    </row>
    <row r="124" spans="1:17">
      <c r="A124" t="str">
        <f t="shared" si="1"/>
        <v>RCU-R(4p)2 to R4</v>
      </c>
      <c r="B124" t="s">
        <v>147</v>
      </c>
      <c r="C124" t="s">
        <v>100</v>
      </c>
      <c r="D124" t="s">
        <v>176</v>
      </c>
      <c r="E124">
        <v>74</v>
      </c>
      <c r="F124">
        <v>40</v>
      </c>
      <c r="G124">
        <v>75.400000000000006</v>
      </c>
      <c r="H124">
        <v>155.80000000000001</v>
      </c>
      <c r="I124">
        <v>34.4</v>
      </c>
    </row>
    <row r="125" spans="1:17">
      <c r="A125" t="str">
        <f t="shared" si="1"/>
        <v>RCU-R(4p)3 to R4</v>
      </c>
      <c r="B125" t="s">
        <v>148</v>
      </c>
      <c r="C125" t="s">
        <v>100</v>
      </c>
      <c r="D125" t="s">
        <v>176</v>
      </c>
      <c r="E125">
        <v>74</v>
      </c>
      <c r="F125">
        <v>40</v>
      </c>
      <c r="G125">
        <v>75.400000000000006</v>
      </c>
      <c r="H125">
        <v>161.69999999999999</v>
      </c>
      <c r="I125">
        <v>51.4</v>
      </c>
    </row>
    <row r="126" spans="1:17">
      <c r="A126" t="str">
        <f t="shared" si="1"/>
        <v>RCU-R(2p) to R4</v>
      </c>
      <c r="B126" t="s">
        <v>149</v>
      </c>
      <c r="C126" t="s">
        <v>100</v>
      </c>
      <c r="D126" t="s">
        <v>176</v>
      </c>
      <c r="E126">
        <v>74</v>
      </c>
      <c r="F126">
        <v>40</v>
      </c>
      <c r="G126">
        <v>75.400000000000006</v>
      </c>
      <c r="H126">
        <v>174.2</v>
      </c>
      <c r="I126">
        <v>64.7</v>
      </c>
    </row>
    <row r="127" spans="1:17">
      <c r="A127" t="str">
        <f t="shared" si="1"/>
        <v>RCU-R(2p)1 to R4</v>
      </c>
      <c r="B127" t="s">
        <v>150</v>
      </c>
      <c r="C127" t="s">
        <v>100</v>
      </c>
      <c r="D127" t="s">
        <v>178</v>
      </c>
      <c r="E127">
        <v>74</v>
      </c>
      <c r="F127">
        <v>40</v>
      </c>
      <c r="G127">
        <v>75.400000000000006</v>
      </c>
      <c r="H127">
        <v>200.6</v>
      </c>
      <c r="I127">
        <v>106.5</v>
      </c>
    </row>
    <row r="128" spans="1:17">
      <c r="A128" t="str">
        <f t="shared" si="1"/>
        <v>RCU-R(4p)4 to R4</v>
      </c>
      <c r="B128" t="s">
        <v>151</v>
      </c>
      <c r="C128" t="s">
        <v>100</v>
      </c>
      <c r="D128" t="s">
        <v>179</v>
      </c>
      <c r="E128">
        <v>74</v>
      </c>
      <c r="F128">
        <v>40</v>
      </c>
      <c r="G128">
        <v>75.400000000000006</v>
      </c>
      <c r="H128">
        <v>228.4</v>
      </c>
      <c r="I128">
        <v>137.30000000000001</v>
      </c>
    </row>
    <row r="129" spans="1:9">
      <c r="A129" t="str">
        <f t="shared" si="1"/>
        <v>RCU-R(2p)2 to R4</v>
      </c>
      <c r="B129" t="s">
        <v>152</v>
      </c>
      <c r="C129" t="s">
        <v>100</v>
      </c>
      <c r="D129" t="s">
        <v>176</v>
      </c>
      <c r="E129">
        <v>74</v>
      </c>
      <c r="F129">
        <v>40</v>
      </c>
      <c r="G129">
        <v>75.400000000000006</v>
      </c>
      <c r="H129">
        <v>244.4</v>
      </c>
      <c r="I129">
        <v>134.30000000000001</v>
      </c>
    </row>
    <row r="130" spans="1:9">
      <c r="A130" t="str">
        <f t="shared" si="1"/>
        <v>RCU-R(2p)3 to R4</v>
      </c>
      <c r="B130" t="s">
        <v>153</v>
      </c>
      <c r="C130" t="s">
        <v>100</v>
      </c>
      <c r="D130" t="s">
        <v>176</v>
      </c>
      <c r="E130">
        <v>74</v>
      </c>
      <c r="F130">
        <v>40</v>
      </c>
      <c r="G130">
        <v>75.400000000000006</v>
      </c>
      <c r="H130">
        <v>231.2</v>
      </c>
      <c r="I130">
        <v>117.9</v>
      </c>
    </row>
    <row r="131" spans="1:9">
      <c r="A131" t="str">
        <f t="shared" ref="A131:A186" si="2">B131 &amp; " to " &amp; C131</f>
        <v>RCU-R(2p)4 to R4</v>
      </c>
      <c r="B131" t="s">
        <v>154</v>
      </c>
      <c r="C131" t="s">
        <v>100</v>
      </c>
      <c r="D131" t="s">
        <v>176</v>
      </c>
      <c r="E131">
        <v>74</v>
      </c>
      <c r="F131">
        <v>40</v>
      </c>
      <c r="G131">
        <v>75.400000000000006</v>
      </c>
      <c r="H131">
        <v>212.6</v>
      </c>
      <c r="I131">
        <v>97.6</v>
      </c>
    </row>
    <row r="132" spans="1:9">
      <c r="A132" t="str">
        <f t="shared" si="2"/>
        <v>RCU-R(2p)5 to R4</v>
      </c>
      <c r="B132" t="s">
        <v>155</v>
      </c>
      <c r="C132" t="s">
        <v>100</v>
      </c>
      <c r="D132" t="s">
        <v>176</v>
      </c>
      <c r="E132">
        <v>74</v>
      </c>
      <c r="F132">
        <v>40</v>
      </c>
      <c r="G132">
        <v>75.400000000000006</v>
      </c>
      <c r="H132">
        <v>194.5</v>
      </c>
      <c r="I132">
        <v>77.2</v>
      </c>
    </row>
    <row r="133" spans="1:9">
      <c r="A133" t="str">
        <f t="shared" si="2"/>
        <v>RCU-R(2p)6 to R4</v>
      </c>
      <c r="B133" t="s">
        <v>156</v>
      </c>
      <c r="C133" t="s">
        <v>100</v>
      </c>
      <c r="D133" t="s">
        <v>176</v>
      </c>
      <c r="E133">
        <v>74</v>
      </c>
      <c r="F133">
        <v>40</v>
      </c>
      <c r="G133">
        <v>75.400000000000006</v>
      </c>
      <c r="H133">
        <v>176.7</v>
      </c>
      <c r="I133">
        <v>56.4</v>
      </c>
    </row>
    <row r="134" spans="1:9">
      <c r="A134" t="str">
        <f t="shared" si="2"/>
        <v>BEF-R01- to R4</v>
      </c>
      <c r="B134" t="s">
        <v>180</v>
      </c>
      <c r="C134" t="s">
        <v>100</v>
      </c>
      <c r="D134" t="s">
        <v>179</v>
      </c>
      <c r="E134">
        <v>75</v>
      </c>
      <c r="F134">
        <v>40</v>
      </c>
      <c r="G134">
        <v>75.400000000000006</v>
      </c>
      <c r="H134">
        <v>264.89999999999998</v>
      </c>
      <c r="I134">
        <v>174.4</v>
      </c>
    </row>
    <row r="135" spans="1:9">
      <c r="A135" t="str">
        <f t="shared" si="2"/>
        <v>BEF-R02- to R4</v>
      </c>
      <c r="B135" t="s">
        <v>173</v>
      </c>
      <c r="C135" t="s">
        <v>100</v>
      </c>
      <c r="D135" t="s">
        <v>179</v>
      </c>
      <c r="E135">
        <v>75</v>
      </c>
      <c r="F135">
        <v>40</v>
      </c>
      <c r="G135">
        <v>75.400000000000006</v>
      </c>
      <c r="H135">
        <v>241.7</v>
      </c>
      <c r="I135">
        <v>150.9</v>
      </c>
    </row>
    <row r="136" spans="1:9">
      <c r="A136" t="str">
        <f t="shared" si="2"/>
        <v>BEF-R03- to R4</v>
      </c>
      <c r="B136" t="s">
        <v>157</v>
      </c>
      <c r="C136" t="s">
        <v>100</v>
      </c>
      <c r="D136" t="s">
        <v>179</v>
      </c>
      <c r="E136">
        <v>75</v>
      </c>
      <c r="F136">
        <v>40</v>
      </c>
      <c r="G136">
        <v>75.400000000000006</v>
      </c>
      <c r="H136">
        <v>212.6</v>
      </c>
      <c r="I136">
        <v>121.2</v>
      </c>
    </row>
    <row r="137" spans="1:9">
      <c r="A137" t="str">
        <f t="shared" si="2"/>
        <v>BEF-R04- to R4</v>
      </c>
      <c r="B137" t="s">
        <v>158</v>
      </c>
      <c r="C137" t="s">
        <v>100</v>
      </c>
      <c r="D137" t="s">
        <v>176</v>
      </c>
      <c r="E137">
        <v>75</v>
      </c>
      <c r="F137">
        <v>40</v>
      </c>
      <c r="G137">
        <v>75.400000000000006</v>
      </c>
      <c r="H137">
        <v>186.5</v>
      </c>
      <c r="I137">
        <v>77.3</v>
      </c>
    </row>
    <row r="138" spans="1:9">
      <c r="A138" t="str">
        <f t="shared" si="2"/>
        <v>BEF-R05- to R4</v>
      </c>
      <c r="B138" t="s">
        <v>174</v>
      </c>
      <c r="C138" t="s">
        <v>100</v>
      </c>
      <c r="D138" t="s">
        <v>179</v>
      </c>
      <c r="E138">
        <v>75</v>
      </c>
      <c r="F138">
        <v>40</v>
      </c>
      <c r="G138">
        <v>75.400000000000006</v>
      </c>
      <c r="H138">
        <v>151.1</v>
      </c>
      <c r="I138">
        <v>61.1</v>
      </c>
    </row>
    <row r="139" spans="1:9">
      <c r="A139" t="str">
        <f t="shared" si="2"/>
        <v>BEF-R06- to R4</v>
      </c>
      <c r="B139" t="s">
        <v>175</v>
      </c>
      <c r="C139" t="s">
        <v>100</v>
      </c>
      <c r="D139" t="s">
        <v>181</v>
      </c>
      <c r="E139">
        <v>75</v>
      </c>
      <c r="F139">
        <v>40</v>
      </c>
      <c r="G139">
        <v>75.400000000000006</v>
      </c>
      <c r="H139">
        <v>149.5</v>
      </c>
      <c r="I139">
        <v>46.5</v>
      </c>
    </row>
    <row r="140" spans="1:9">
      <c r="A140" t="str">
        <f t="shared" si="2"/>
        <v>BEF-R07- to R4</v>
      </c>
      <c r="B140" t="s">
        <v>182</v>
      </c>
      <c r="C140" t="s">
        <v>100</v>
      </c>
      <c r="D140" t="s">
        <v>183</v>
      </c>
      <c r="E140">
        <v>75</v>
      </c>
      <c r="F140">
        <v>40</v>
      </c>
      <c r="G140">
        <v>75.400000000000006</v>
      </c>
      <c r="H140">
        <v>151.5</v>
      </c>
      <c r="I140">
        <v>59</v>
      </c>
    </row>
    <row r="141" spans="1:9">
      <c r="A141" t="str">
        <f t="shared" si="2"/>
        <v>BEF-R08- to R4</v>
      </c>
      <c r="B141" t="s">
        <v>159</v>
      </c>
      <c r="C141" t="s">
        <v>100</v>
      </c>
      <c r="D141" t="s">
        <v>177</v>
      </c>
      <c r="E141">
        <v>75</v>
      </c>
      <c r="F141">
        <v>40</v>
      </c>
      <c r="G141">
        <v>75.400000000000006</v>
      </c>
      <c r="H141">
        <v>109.7</v>
      </c>
      <c r="I141">
        <v>17.399999999999999</v>
      </c>
    </row>
    <row r="142" spans="1:9">
      <c r="A142" t="str">
        <f t="shared" si="2"/>
        <v>BEF-R08- to R4</v>
      </c>
      <c r="B142" t="s">
        <v>159</v>
      </c>
      <c r="C142" t="s">
        <v>100</v>
      </c>
      <c r="D142" t="s">
        <v>177</v>
      </c>
      <c r="E142">
        <v>75</v>
      </c>
      <c r="F142">
        <v>40</v>
      </c>
      <c r="G142">
        <v>75.400000000000006</v>
      </c>
      <c r="H142">
        <v>109.7</v>
      </c>
      <c r="I142">
        <v>17.399999999999999</v>
      </c>
    </row>
    <row r="143" spans="1:9">
      <c r="A143" t="str">
        <f t="shared" si="2"/>
        <v>BEF-R10- to R4</v>
      </c>
      <c r="B143" t="s">
        <v>161</v>
      </c>
      <c r="C143" t="s">
        <v>100</v>
      </c>
      <c r="D143" t="s">
        <v>178</v>
      </c>
      <c r="E143">
        <v>75</v>
      </c>
      <c r="F143">
        <v>40</v>
      </c>
      <c r="G143">
        <v>75.400000000000006</v>
      </c>
      <c r="H143">
        <v>102.3</v>
      </c>
      <c r="I143">
        <v>8.8000000000000007</v>
      </c>
    </row>
    <row r="144" spans="1:9">
      <c r="A144" t="str">
        <f t="shared" si="2"/>
        <v>BEF-R10- to R4</v>
      </c>
      <c r="B144" t="s">
        <v>161</v>
      </c>
      <c r="C144" t="s">
        <v>100</v>
      </c>
      <c r="D144" t="s">
        <v>178</v>
      </c>
      <c r="E144">
        <v>75</v>
      </c>
      <c r="F144">
        <v>40</v>
      </c>
      <c r="G144">
        <v>75.400000000000006</v>
      </c>
      <c r="H144">
        <v>102.3</v>
      </c>
      <c r="I144">
        <v>8.8000000000000007</v>
      </c>
    </row>
    <row r="145" spans="1:17">
      <c r="A145" t="str">
        <f t="shared" si="2"/>
        <v>BEF-R12- to R4</v>
      </c>
      <c r="B145" t="s">
        <v>163</v>
      </c>
      <c r="C145" t="s">
        <v>100</v>
      </c>
      <c r="D145" t="s">
        <v>176</v>
      </c>
      <c r="E145">
        <v>75</v>
      </c>
      <c r="F145">
        <v>40</v>
      </c>
      <c r="G145">
        <v>75.400000000000006</v>
      </c>
      <c r="H145">
        <v>186.5</v>
      </c>
      <c r="I145">
        <v>68.8</v>
      </c>
    </row>
    <row r="146" spans="1:17">
      <c r="A146" t="str">
        <f t="shared" si="2"/>
        <v>BEF-R13- to R4</v>
      </c>
      <c r="B146" t="s">
        <v>164</v>
      </c>
      <c r="C146" t="s">
        <v>100</v>
      </c>
      <c r="D146" t="s">
        <v>176</v>
      </c>
      <c r="E146">
        <v>75</v>
      </c>
      <c r="F146">
        <v>40</v>
      </c>
      <c r="G146">
        <v>75.400000000000006</v>
      </c>
      <c r="H146">
        <v>223.4</v>
      </c>
      <c r="I146">
        <v>110.3</v>
      </c>
    </row>
    <row r="147" spans="1:17">
      <c r="A147" t="str">
        <f t="shared" si="2"/>
        <v>BEF-R14- to R4</v>
      </c>
      <c r="B147" t="s">
        <v>165</v>
      </c>
      <c r="C147" t="s">
        <v>100</v>
      </c>
      <c r="D147" t="s">
        <v>176</v>
      </c>
      <c r="E147">
        <v>75</v>
      </c>
      <c r="F147">
        <v>40</v>
      </c>
      <c r="G147">
        <v>75.400000000000006</v>
      </c>
      <c r="H147">
        <v>248.2</v>
      </c>
      <c r="I147">
        <v>136.80000000000001</v>
      </c>
    </row>
    <row r="148" spans="1:17">
      <c r="A148" t="str">
        <f t="shared" si="2"/>
        <v>BEF-R15- to R4</v>
      </c>
      <c r="B148" t="s">
        <v>169</v>
      </c>
      <c r="C148" t="s">
        <v>100</v>
      </c>
      <c r="D148" t="s">
        <v>176</v>
      </c>
      <c r="E148">
        <v>75</v>
      </c>
      <c r="F148">
        <v>40</v>
      </c>
      <c r="G148">
        <v>75.400000000000006</v>
      </c>
      <c r="H148">
        <v>272.60000000000002</v>
      </c>
      <c r="I148">
        <v>161.6</v>
      </c>
    </row>
    <row r="149" spans="1:17">
      <c r="A149" t="str">
        <f t="shared" si="2"/>
        <v>BEF-R16- to R4</v>
      </c>
      <c r="B149" t="s">
        <v>167</v>
      </c>
      <c r="C149" t="s">
        <v>100</v>
      </c>
      <c r="D149" t="s">
        <v>176</v>
      </c>
      <c r="E149">
        <v>75</v>
      </c>
      <c r="F149">
        <v>40</v>
      </c>
      <c r="G149">
        <v>75.400000000000006</v>
      </c>
      <c r="H149">
        <v>175.7</v>
      </c>
      <c r="I149">
        <v>56</v>
      </c>
    </row>
    <row r="150" spans="1:17">
      <c r="A150" t="str">
        <f t="shared" si="2"/>
        <v>MAU-R1 to R5</v>
      </c>
      <c r="B150" t="s">
        <v>132</v>
      </c>
      <c r="C150" t="s">
        <v>184</v>
      </c>
      <c r="D150" t="s">
        <v>185</v>
      </c>
      <c r="E150">
        <v>74.2</v>
      </c>
      <c r="F150">
        <v>45</v>
      </c>
      <c r="G150">
        <v>75.400000000000006</v>
      </c>
      <c r="H150">
        <v>145.1</v>
      </c>
      <c r="I150">
        <v>38.1</v>
      </c>
      <c r="J150">
        <v>80</v>
      </c>
      <c r="K150">
        <v>77</v>
      </c>
      <c r="L150">
        <v>84</v>
      </c>
      <c r="M150">
        <v>87</v>
      </c>
      <c r="N150">
        <v>80</v>
      </c>
      <c r="O150">
        <v>72</v>
      </c>
      <c r="P150">
        <v>69</v>
      </c>
      <c r="Q150">
        <v>61</v>
      </c>
    </row>
    <row r="151" spans="1:17">
      <c r="A151" t="str">
        <f t="shared" si="2"/>
        <v>ERV-R.1 to R5</v>
      </c>
      <c r="B151" t="s">
        <v>134</v>
      </c>
      <c r="C151" t="s">
        <v>184</v>
      </c>
      <c r="D151" t="s">
        <v>185</v>
      </c>
      <c r="E151">
        <v>72.5</v>
      </c>
      <c r="F151">
        <v>45</v>
      </c>
      <c r="G151">
        <v>75.400000000000006</v>
      </c>
      <c r="H151">
        <v>167.4</v>
      </c>
      <c r="I151">
        <v>31.5</v>
      </c>
      <c r="J151">
        <v>91</v>
      </c>
      <c r="K151">
        <v>92</v>
      </c>
      <c r="L151">
        <v>95</v>
      </c>
      <c r="M151">
        <v>89</v>
      </c>
      <c r="N151">
        <v>86</v>
      </c>
      <c r="O151">
        <v>76</v>
      </c>
      <c r="P151">
        <v>72</v>
      </c>
      <c r="Q151">
        <v>67</v>
      </c>
    </row>
    <row r="152" spans="1:17">
      <c r="A152" t="str">
        <f t="shared" si="2"/>
        <v>GEF-R1- to R5</v>
      </c>
      <c r="B152" t="s">
        <v>136</v>
      </c>
      <c r="C152" t="s">
        <v>184</v>
      </c>
      <c r="D152" t="s">
        <v>185</v>
      </c>
      <c r="E152">
        <v>75</v>
      </c>
      <c r="F152">
        <v>45</v>
      </c>
      <c r="G152">
        <v>75.400000000000006</v>
      </c>
      <c r="H152">
        <v>264.5</v>
      </c>
      <c r="I152">
        <v>145.30000000000001</v>
      </c>
      <c r="J152">
        <v>88</v>
      </c>
      <c r="K152">
        <v>88</v>
      </c>
      <c r="L152">
        <v>83</v>
      </c>
      <c r="M152">
        <v>78</v>
      </c>
      <c r="N152">
        <v>77</v>
      </c>
      <c r="O152">
        <v>73</v>
      </c>
      <c r="P152">
        <v>65</v>
      </c>
      <c r="Q152">
        <v>58</v>
      </c>
    </row>
    <row r="153" spans="1:17">
      <c r="A153" t="str">
        <f t="shared" si="2"/>
        <v>DEF-R1,-R2 to R5</v>
      </c>
      <c r="B153" t="s">
        <v>138</v>
      </c>
      <c r="C153" t="s">
        <v>184</v>
      </c>
      <c r="D153" t="s">
        <v>185</v>
      </c>
      <c r="E153">
        <v>72</v>
      </c>
      <c r="F153">
        <v>45</v>
      </c>
      <c r="G153">
        <v>75.400000000000006</v>
      </c>
      <c r="H153">
        <v>180.7</v>
      </c>
      <c r="I153">
        <v>37.5</v>
      </c>
      <c r="J153">
        <v>81</v>
      </c>
      <c r="K153">
        <v>79</v>
      </c>
      <c r="L153">
        <v>73</v>
      </c>
      <c r="M153">
        <v>66</v>
      </c>
      <c r="N153">
        <v>61</v>
      </c>
      <c r="O153">
        <v>59</v>
      </c>
      <c r="P153">
        <v>50</v>
      </c>
      <c r="Q153">
        <v>43</v>
      </c>
    </row>
    <row r="154" spans="1:17">
      <c r="A154" t="str">
        <f t="shared" si="2"/>
        <v>KEF-R1- to R5</v>
      </c>
      <c r="B154" t="s">
        <v>139</v>
      </c>
      <c r="C154" t="s">
        <v>184</v>
      </c>
      <c r="D154" t="s">
        <v>140</v>
      </c>
      <c r="E154">
        <v>75.5</v>
      </c>
      <c r="F154">
        <v>45</v>
      </c>
      <c r="G154">
        <v>75.400000000000006</v>
      </c>
      <c r="H154">
        <v>127.7</v>
      </c>
      <c r="I154">
        <v>13.3</v>
      </c>
      <c r="J154">
        <v>84</v>
      </c>
      <c r="K154">
        <v>87</v>
      </c>
      <c r="L154">
        <v>83</v>
      </c>
      <c r="M154">
        <v>78</v>
      </c>
      <c r="N154">
        <v>74</v>
      </c>
      <c r="O154">
        <v>69</v>
      </c>
      <c r="P154">
        <v>64</v>
      </c>
      <c r="Q154">
        <v>60</v>
      </c>
    </row>
    <row r="155" spans="1:17">
      <c r="A155" t="str">
        <f t="shared" si="2"/>
        <v>DWEF-R1 to R5</v>
      </c>
      <c r="B155" t="s">
        <v>141</v>
      </c>
      <c r="C155" t="s">
        <v>184</v>
      </c>
      <c r="D155" t="s">
        <v>185</v>
      </c>
      <c r="E155">
        <v>74</v>
      </c>
      <c r="F155">
        <v>45</v>
      </c>
      <c r="G155">
        <v>75.400000000000006</v>
      </c>
      <c r="H155">
        <v>134.5</v>
      </c>
      <c r="I155">
        <v>31.6</v>
      </c>
      <c r="J155">
        <v>73</v>
      </c>
      <c r="K155">
        <v>76</v>
      </c>
      <c r="L155">
        <v>75</v>
      </c>
      <c r="M155">
        <v>67</v>
      </c>
      <c r="N155">
        <v>61</v>
      </c>
      <c r="O155">
        <v>61</v>
      </c>
      <c r="P155">
        <v>56</v>
      </c>
      <c r="Q155">
        <v>51</v>
      </c>
    </row>
    <row r="156" spans="1:17">
      <c r="A156" t="str">
        <f t="shared" si="2"/>
        <v>CU-R1 to R5</v>
      </c>
      <c r="B156" t="s">
        <v>142</v>
      </c>
      <c r="C156" t="s">
        <v>184</v>
      </c>
      <c r="D156" t="s">
        <v>185</v>
      </c>
      <c r="E156">
        <v>76.5</v>
      </c>
      <c r="F156">
        <v>45</v>
      </c>
      <c r="G156">
        <v>75.400000000000006</v>
      </c>
      <c r="H156">
        <v>165.5</v>
      </c>
      <c r="I156">
        <v>41.4</v>
      </c>
    </row>
    <row r="157" spans="1:17">
      <c r="A157" t="str">
        <f t="shared" si="2"/>
        <v>CU-R2 to R5</v>
      </c>
      <c r="B157" t="s">
        <v>143</v>
      </c>
      <c r="C157" t="s">
        <v>184</v>
      </c>
      <c r="D157" t="s">
        <v>185</v>
      </c>
      <c r="E157">
        <v>76.5</v>
      </c>
      <c r="F157">
        <v>45</v>
      </c>
      <c r="G157">
        <v>75.400000000000006</v>
      </c>
      <c r="H157">
        <v>159.4</v>
      </c>
      <c r="I157">
        <v>37.6</v>
      </c>
    </row>
    <row r="158" spans="1:17">
      <c r="A158" t="str">
        <f t="shared" si="2"/>
        <v>CU-R4 to R5</v>
      </c>
      <c r="B158" t="s">
        <v>144</v>
      </c>
      <c r="C158" t="s">
        <v>184</v>
      </c>
      <c r="D158" t="s">
        <v>185</v>
      </c>
      <c r="E158">
        <v>76</v>
      </c>
      <c r="F158">
        <v>45</v>
      </c>
      <c r="G158">
        <v>75.400000000000006</v>
      </c>
      <c r="H158">
        <v>167.7</v>
      </c>
      <c r="I158">
        <v>38.700000000000003</v>
      </c>
    </row>
    <row r="159" spans="1:17">
      <c r="A159" t="str">
        <f t="shared" si="2"/>
        <v>CU-R5 to R5</v>
      </c>
      <c r="B159" t="s">
        <v>145</v>
      </c>
      <c r="C159" t="s">
        <v>184</v>
      </c>
      <c r="D159" t="s">
        <v>185</v>
      </c>
      <c r="E159">
        <v>76</v>
      </c>
      <c r="F159">
        <v>45</v>
      </c>
      <c r="G159">
        <v>75.400000000000006</v>
      </c>
      <c r="H159">
        <v>150.4</v>
      </c>
      <c r="I159">
        <v>39.6</v>
      </c>
    </row>
    <row r="160" spans="1:17">
      <c r="A160" t="str">
        <f t="shared" si="2"/>
        <v>RCU-R(4p)1 to R5</v>
      </c>
      <c r="B160" t="s">
        <v>146</v>
      </c>
      <c r="C160" t="s">
        <v>184</v>
      </c>
      <c r="D160" t="s">
        <v>185</v>
      </c>
      <c r="E160">
        <v>74</v>
      </c>
      <c r="F160">
        <v>45</v>
      </c>
      <c r="G160">
        <v>75.400000000000006</v>
      </c>
      <c r="H160">
        <v>274.3</v>
      </c>
      <c r="I160">
        <v>148.4</v>
      </c>
    </row>
    <row r="161" spans="1:9">
      <c r="A161" t="str">
        <f t="shared" si="2"/>
        <v>RCU-R(4p)2 to R5</v>
      </c>
      <c r="B161" t="s">
        <v>147</v>
      </c>
      <c r="C161" t="s">
        <v>184</v>
      </c>
      <c r="D161" t="s">
        <v>185</v>
      </c>
      <c r="E161">
        <v>74</v>
      </c>
      <c r="F161">
        <v>45</v>
      </c>
      <c r="G161">
        <v>75.400000000000006</v>
      </c>
      <c r="H161">
        <v>173.1</v>
      </c>
      <c r="I161">
        <v>16.600000000000001</v>
      </c>
    </row>
    <row r="162" spans="1:9">
      <c r="A162" t="str">
        <f t="shared" si="2"/>
        <v>RCU-R(4p)3 to R5</v>
      </c>
      <c r="B162" t="s">
        <v>148</v>
      </c>
      <c r="C162" t="s">
        <v>184</v>
      </c>
      <c r="D162" t="s">
        <v>185</v>
      </c>
      <c r="E162">
        <v>74</v>
      </c>
      <c r="F162">
        <v>45</v>
      </c>
      <c r="G162">
        <v>75.400000000000006</v>
      </c>
      <c r="H162">
        <v>179.2</v>
      </c>
      <c r="I162">
        <v>52.5</v>
      </c>
    </row>
    <row r="163" spans="1:9">
      <c r="A163" t="str">
        <f t="shared" si="2"/>
        <v>RCU-R(2p) to R5</v>
      </c>
      <c r="B163" t="s">
        <v>149</v>
      </c>
      <c r="C163" t="s">
        <v>184</v>
      </c>
      <c r="D163" t="s">
        <v>185</v>
      </c>
      <c r="E163">
        <v>74</v>
      </c>
      <c r="F163">
        <v>45</v>
      </c>
      <c r="G163">
        <v>75.400000000000006</v>
      </c>
      <c r="H163">
        <v>171.3</v>
      </c>
      <c r="I163">
        <v>50.8</v>
      </c>
    </row>
    <row r="164" spans="1:9">
      <c r="A164" t="str">
        <f t="shared" si="2"/>
        <v>RCU-R(2p)1 to R5</v>
      </c>
      <c r="B164" t="s">
        <v>150</v>
      </c>
      <c r="C164" t="s">
        <v>184</v>
      </c>
      <c r="D164" t="s">
        <v>185</v>
      </c>
      <c r="E164">
        <v>74</v>
      </c>
      <c r="F164">
        <v>45</v>
      </c>
      <c r="G164">
        <v>75.400000000000006</v>
      </c>
      <c r="H164">
        <v>155.9</v>
      </c>
      <c r="I164">
        <v>46.1</v>
      </c>
    </row>
    <row r="165" spans="1:9">
      <c r="A165" t="str">
        <f t="shared" si="2"/>
        <v>RCU-R(4p)4 to R5</v>
      </c>
      <c r="B165" t="s">
        <v>151</v>
      </c>
      <c r="C165" t="s">
        <v>184</v>
      </c>
      <c r="D165" t="s">
        <v>166</v>
      </c>
      <c r="E165">
        <v>74</v>
      </c>
      <c r="F165">
        <v>45</v>
      </c>
      <c r="G165">
        <v>75.400000000000006</v>
      </c>
      <c r="H165">
        <v>144.1</v>
      </c>
      <c r="I165">
        <v>33.700000000000003</v>
      </c>
    </row>
    <row r="166" spans="1:9">
      <c r="A166" t="str">
        <f t="shared" si="2"/>
        <v>RCU-R(2p)2 to R5</v>
      </c>
      <c r="B166" t="s">
        <v>152</v>
      </c>
      <c r="C166" t="s">
        <v>184</v>
      </c>
      <c r="D166" t="s">
        <v>166</v>
      </c>
      <c r="E166">
        <v>74</v>
      </c>
      <c r="F166">
        <v>45</v>
      </c>
      <c r="G166">
        <v>75.400000000000006</v>
      </c>
      <c r="H166">
        <v>117.7</v>
      </c>
      <c r="I166">
        <v>3.9</v>
      </c>
    </row>
    <row r="167" spans="1:9">
      <c r="A167" t="str">
        <f t="shared" si="2"/>
        <v>RCU-R(2p)3 to R5</v>
      </c>
      <c r="B167" t="s">
        <v>153</v>
      </c>
      <c r="C167" t="s">
        <v>184</v>
      </c>
      <c r="D167" t="s">
        <v>185</v>
      </c>
      <c r="E167">
        <v>74</v>
      </c>
      <c r="F167">
        <v>45</v>
      </c>
      <c r="G167">
        <v>75.400000000000006</v>
      </c>
      <c r="H167">
        <v>113.1</v>
      </c>
      <c r="I167">
        <v>2.2999999999999998</v>
      </c>
    </row>
    <row r="168" spans="1:9">
      <c r="A168" t="str">
        <f t="shared" si="2"/>
        <v>RCU-R(2p)4 to R5</v>
      </c>
      <c r="B168" t="s">
        <v>154</v>
      </c>
      <c r="C168" t="s">
        <v>184</v>
      </c>
      <c r="D168" t="s">
        <v>185</v>
      </c>
      <c r="E168">
        <v>74</v>
      </c>
      <c r="F168">
        <v>45</v>
      </c>
      <c r="G168">
        <v>75.400000000000006</v>
      </c>
      <c r="H168">
        <v>124.6</v>
      </c>
      <c r="I168">
        <v>2.5</v>
      </c>
    </row>
    <row r="169" spans="1:9">
      <c r="A169" t="str">
        <f t="shared" si="2"/>
        <v>RCU-R(2p)5 to R5</v>
      </c>
      <c r="B169" t="s">
        <v>155</v>
      </c>
      <c r="C169" t="s">
        <v>184</v>
      </c>
      <c r="D169" t="s">
        <v>185</v>
      </c>
      <c r="E169">
        <v>74</v>
      </c>
      <c r="F169">
        <v>45</v>
      </c>
      <c r="G169">
        <v>75.400000000000006</v>
      </c>
      <c r="H169">
        <v>138</v>
      </c>
      <c r="I169">
        <v>2.7</v>
      </c>
    </row>
    <row r="170" spans="1:9">
      <c r="A170" t="str">
        <f t="shared" si="2"/>
        <v>RCU-R(2p)6 to R5</v>
      </c>
      <c r="B170" t="s">
        <v>156</v>
      </c>
      <c r="C170" t="s">
        <v>184</v>
      </c>
      <c r="D170" t="s">
        <v>185</v>
      </c>
      <c r="E170">
        <v>74</v>
      </c>
      <c r="F170">
        <v>45</v>
      </c>
      <c r="G170">
        <v>75.400000000000006</v>
      </c>
      <c r="H170">
        <v>152.9</v>
      </c>
      <c r="I170">
        <v>3.2</v>
      </c>
    </row>
    <row r="171" spans="1:9">
      <c r="A171" t="str">
        <f t="shared" si="2"/>
        <v>RCU-R(2p)6 to R5</v>
      </c>
      <c r="B171" t="s">
        <v>156</v>
      </c>
      <c r="C171" t="s">
        <v>184</v>
      </c>
      <c r="D171" t="s">
        <v>185</v>
      </c>
      <c r="E171">
        <v>74</v>
      </c>
      <c r="F171">
        <v>45</v>
      </c>
      <c r="G171">
        <v>75.400000000000006</v>
      </c>
      <c r="H171">
        <v>152.9</v>
      </c>
      <c r="I171">
        <v>3.2</v>
      </c>
    </row>
    <row r="172" spans="1:9">
      <c r="A172" t="str">
        <f t="shared" si="2"/>
        <v>BEF-R02- to R5</v>
      </c>
      <c r="B172" t="s">
        <v>173</v>
      </c>
      <c r="C172" t="s">
        <v>184</v>
      </c>
      <c r="D172" t="s">
        <v>140</v>
      </c>
      <c r="E172">
        <v>75</v>
      </c>
      <c r="F172">
        <v>45</v>
      </c>
      <c r="G172">
        <v>75.400000000000006</v>
      </c>
      <c r="H172">
        <v>140.1</v>
      </c>
      <c r="I172">
        <v>21.9</v>
      </c>
    </row>
    <row r="173" spans="1:9">
      <c r="A173" t="str">
        <f t="shared" si="2"/>
        <v>BEF-R03- to R5</v>
      </c>
      <c r="B173" t="s">
        <v>157</v>
      </c>
      <c r="C173" t="s">
        <v>184</v>
      </c>
      <c r="D173" t="s">
        <v>185</v>
      </c>
      <c r="E173">
        <v>75</v>
      </c>
      <c r="F173">
        <v>45</v>
      </c>
      <c r="G173">
        <v>75.400000000000006</v>
      </c>
      <c r="H173">
        <v>150.69999999999999</v>
      </c>
      <c r="I173">
        <v>45</v>
      </c>
    </row>
    <row r="174" spans="1:9">
      <c r="A174" t="str">
        <f t="shared" si="2"/>
        <v>BEF-R04- to R5</v>
      </c>
      <c r="B174" t="s">
        <v>158</v>
      </c>
      <c r="C174" t="s">
        <v>184</v>
      </c>
      <c r="D174" t="s">
        <v>185</v>
      </c>
      <c r="E174">
        <v>75</v>
      </c>
      <c r="F174">
        <v>45</v>
      </c>
      <c r="G174">
        <v>75.400000000000006</v>
      </c>
      <c r="H174">
        <v>162.6</v>
      </c>
      <c r="I174">
        <v>46.7</v>
      </c>
    </row>
    <row r="175" spans="1:9">
      <c r="A175" t="str">
        <f t="shared" si="2"/>
        <v>BEF-R05- to R5</v>
      </c>
      <c r="B175" t="s">
        <v>174</v>
      </c>
      <c r="C175" t="s">
        <v>184</v>
      </c>
      <c r="D175" t="s">
        <v>185</v>
      </c>
      <c r="E175">
        <v>75</v>
      </c>
      <c r="F175">
        <v>45</v>
      </c>
      <c r="G175">
        <v>75.400000000000006</v>
      </c>
      <c r="H175">
        <v>202.5</v>
      </c>
      <c r="I175">
        <v>82.7</v>
      </c>
    </row>
    <row r="176" spans="1:9">
      <c r="A176" t="str">
        <f t="shared" si="2"/>
        <v>BEF-R06- to R5</v>
      </c>
      <c r="B176" t="s">
        <v>175</v>
      </c>
      <c r="C176" t="s">
        <v>184</v>
      </c>
      <c r="D176" t="s">
        <v>185</v>
      </c>
      <c r="E176">
        <v>75</v>
      </c>
      <c r="F176">
        <v>45</v>
      </c>
      <c r="G176">
        <v>75.400000000000006</v>
      </c>
      <c r="H176">
        <v>225.5</v>
      </c>
      <c r="I176">
        <v>111.9</v>
      </c>
    </row>
    <row r="177" spans="1:9">
      <c r="A177" t="str">
        <f t="shared" si="2"/>
        <v>BEF-R07- to R5</v>
      </c>
      <c r="B177" t="s">
        <v>182</v>
      </c>
      <c r="C177" t="s">
        <v>184</v>
      </c>
      <c r="D177" t="s">
        <v>185</v>
      </c>
      <c r="E177">
        <v>75</v>
      </c>
      <c r="F177">
        <v>45</v>
      </c>
      <c r="G177">
        <v>75.400000000000006</v>
      </c>
      <c r="H177">
        <v>247.9</v>
      </c>
      <c r="I177">
        <v>137.9</v>
      </c>
    </row>
    <row r="178" spans="1:9">
      <c r="A178" t="str">
        <f t="shared" si="2"/>
        <v>BEF-R08- to R5</v>
      </c>
      <c r="B178" t="s">
        <v>159</v>
      </c>
      <c r="C178" t="s">
        <v>184</v>
      </c>
      <c r="D178" t="s">
        <v>185</v>
      </c>
      <c r="E178">
        <v>75</v>
      </c>
      <c r="F178">
        <v>45</v>
      </c>
      <c r="G178">
        <v>75.400000000000006</v>
      </c>
      <c r="H178">
        <v>271.8</v>
      </c>
      <c r="I178">
        <v>151.1</v>
      </c>
    </row>
    <row r="179" spans="1:9">
      <c r="A179" t="str">
        <f t="shared" si="2"/>
        <v>BEF-R09- to R5</v>
      </c>
      <c r="B179" t="s">
        <v>160</v>
      </c>
      <c r="C179" t="s">
        <v>184</v>
      </c>
      <c r="D179" t="s">
        <v>185</v>
      </c>
      <c r="E179">
        <v>75</v>
      </c>
      <c r="F179">
        <v>45</v>
      </c>
      <c r="G179">
        <v>75.400000000000006</v>
      </c>
      <c r="H179">
        <v>253.4</v>
      </c>
      <c r="I179">
        <v>124.9</v>
      </c>
    </row>
    <row r="180" spans="1:9">
      <c r="A180" t="str">
        <f t="shared" si="2"/>
        <v>BEF-R10- to R5</v>
      </c>
      <c r="B180" t="s">
        <v>161</v>
      </c>
      <c r="C180" t="s">
        <v>184</v>
      </c>
      <c r="D180" t="s">
        <v>185</v>
      </c>
      <c r="E180">
        <v>75</v>
      </c>
      <c r="F180">
        <v>45</v>
      </c>
      <c r="G180">
        <v>75.400000000000006</v>
      </c>
      <c r="H180">
        <v>234.8</v>
      </c>
      <c r="I180">
        <v>94</v>
      </c>
    </row>
    <row r="181" spans="1:9">
      <c r="A181" t="str">
        <f t="shared" si="2"/>
        <v>BEF-R11- to R5</v>
      </c>
      <c r="B181" t="s">
        <v>162</v>
      </c>
      <c r="C181" t="s">
        <v>184</v>
      </c>
      <c r="D181" t="s">
        <v>185</v>
      </c>
      <c r="E181">
        <v>75</v>
      </c>
      <c r="F181">
        <v>45</v>
      </c>
      <c r="G181">
        <v>75.400000000000006</v>
      </c>
      <c r="H181">
        <v>216.3</v>
      </c>
      <c r="I181">
        <v>61.8</v>
      </c>
    </row>
    <row r="182" spans="1:9">
      <c r="A182" t="str">
        <f t="shared" si="2"/>
        <v>BEF-R12- to R5</v>
      </c>
      <c r="B182" t="s">
        <v>163</v>
      </c>
      <c r="C182" t="s">
        <v>184</v>
      </c>
      <c r="D182" t="s">
        <v>185</v>
      </c>
      <c r="E182">
        <v>75</v>
      </c>
      <c r="F182">
        <v>45</v>
      </c>
      <c r="G182">
        <v>75.400000000000006</v>
      </c>
      <c r="H182">
        <v>145.1</v>
      </c>
      <c r="I182">
        <v>6</v>
      </c>
    </row>
    <row r="183" spans="1:9">
      <c r="A183" t="str">
        <f t="shared" si="2"/>
        <v>BEF-R13- to R5</v>
      </c>
      <c r="B183" t="s">
        <v>164</v>
      </c>
      <c r="C183" t="s">
        <v>184</v>
      </c>
      <c r="D183" t="s">
        <v>185</v>
      </c>
      <c r="E183">
        <v>75</v>
      </c>
      <c r="F183">
        <v>45</v>
      </c>
      <c r="G183">
        <v>75.400000000000006</v>
      </c>
      <c r="H183">
        <v>120</v>
      </c>
      <c r="I183">
        <v>7</v>
      </c>
    </row>
    <row r="184" spans="1:9">
      <c r="A184" t="str">
        <f t="shared" si="2"/>
        <v>BEF-R14- to R5</v>
      </c>
      <c r="B184" t="s">
        <v>165</v>
      </c>
      <c r="C184" t="s">
        <v>184</v>
      </c>
      <c r="D184" t="s">
        <v>166</v>
      </c>
      <c r="E184">
        <v>75</v>
      </c>
      <c r="F184">
        <v>45</v>
      </c>
      <c r="G184">
        <v>75.400000000000006</v>
      </c>
      <c r="H184">
        <v>108.2</v>
      </c>
      <c r="I184">
        <v>1.6</v>
      </c>
    </row>
    <row r="185" spans="1:9">
      <c r="A185" t="str">
        <f t="shared" si="2"/>
        <v>BEF-R14- to R5</v>
      </c>
      <c r="B185" t="s">
        <v>165</v>
      </c>
      <c r="C185" t="s">
        <v>184</v>
      </c>
      <c r="D185" t="s">
        <v>166</v>
      </c>
      <c r="E185">
        <v>75</v>
      </c>
      <c r="F185">
        <v>45</v>
      </c>
      <c r="G185">
        <v>75.400000000000006</v>
      </c>
      <c r="H185">
        <v>108.2</v>
      </c>
      <c r="I185">
        <v>1.6</v>
      </c>
    </row>
    <row r="186" spans="1:9">
      <c r="A186" t="str">
        <f t="shared" si="2"/>
        <v>BEF-R16- to R5</v>
      </c>
      <c r="B186" t="s">
        <v>167</v>
      </c>
      <c r="C186" t="s">
        <v>184</v>
      </c>
      <c r="D186" t="s">
        <v>185</v>
      </c>
      <c r="E186">
        <v>75</v>
      </c>
      <c r="F186">
        <v>45</v>
      </c>
      <c r="G186">
        <v>75.400000000000006</v>
      </c>
      <c r="H186">
        <v>154.19999999999999</v>
      </c>
      <c r="I186">
        <v>6.2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M. Long TOB</vt:lpstr>
      <vt:lpstr>M. Long OB</vt:lpstr>
      <vt:lpstr>ARI (manual)</vt:lpstr>
      <vt:lpstr>ARI (manual) (2)</vt:lpstr>
      <vt:lpstr>ARI (auto)</vt:lpstr>
      <vt:lpstr>barrier to receiver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</dc:creator>
  <cp:lastModifiedBy>Craig Harris</cp:lastModifiedBy>
  <dcterms:created xsi:type="dcterms:W3CDTF">2019-09-06T15:35:04Z</dcterms:created>
  <dcterms:modified xsi:type="dcterms:W3CDTF">2020-09-11T02:20:06Z</dcterms:modified>
</cp:coreProperties>
</file>