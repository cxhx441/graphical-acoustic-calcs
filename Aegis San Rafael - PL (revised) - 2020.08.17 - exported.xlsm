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828" yWindow="-16224" windowWidth="13932" windowHeight="16224" tabRatio="847" firstSheet="0" activeTab="0" autoFilterDateGrouping="1"/>
  </bookViews>
  <sheets>
    <sheet name="Input LwA_XYZ" sheetId="1" state="visible" r:id="rId1"/>
    <sheet name="Sheet1" sheetId="2" state="visible" r:id="rId2"/>
    <sheet name="Tables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C00000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Arial Narrow"/>
      <family val="2"/>
      <b val="1"/>
      <sz val="11"/>
    </font>
    <font>
      <name val="Calibri"/>
      <family val="2"/>
      <color rgb="FF3F3F76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b val="1"/>
      <color rgb="FF3F3F76"/>
      <sz val="11"/>
      <scheme val="minor"/>
    </font>
    <font>
      <name val="Arial Narrow"/>
      <family val="2"/>
      <color theme="1"/>
      <sz val="11"/>
    </font>
    <font>
      <name val="Arial Narrow"/>
      <family val="2"/>
      <b val="1"/>
      <color indexed="8"/>
      <sz val="11"/>
    </font>
    <font>
      <name val="Arial Narrow"/>
      <family val="2"/>
      <b val="1"/>
      <color theme="1"/>
      <sz val="11"/>
    </font>
    <font>
      <name val="Arial Narrow"/>
      <family val="2"/>
      <b val="1"/>
      <color rgb="FFC00000"/>
      <sz val="11"/>
    </font>
    <font>
      <name val="Arial Narrow"/>
      <family val="2"/>
      <color rgb="FF3F3F76"/>
      <sz val="11"/>
    </font>
    <font>
      <name val="Arial Narrow"/>
      <family val="2"/>
      <b val="1"/>
      <color rgb="FFFA7D00"/>
      <sz val="11"/>
    </font>
    <font>
      <name val="Calibri"/>
      <family val="2"/>
      <b val="1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 Narrow"/>
      <family val="2"/>
      <b val="1"/>
      <color rgb="FFFF0000"/>
      <sz val="11"/>
    </font>
    <font>
      <name val="Arial Narrow"/>
      <family val="2"/>
      <b val="1"/>
      <color rgb="FF00B050"/>
      <sz val="11"/>
    </font>
    <font>
      <name val="Arial Narrow"/>
      <family val="2"/>
      <color rgb="FF00B050"/>
      <sz val="11"/>
    </font>
    <font>
      <name val="Arial Narrow"/>
      <family val="2"/>
      <b val="1"/>
      <color theme="0"/>
      <sz val="11"/>
    </font>
    <font>
      <name val="Calibri"/>
      <family val="2"/>
      <sz val="8"/>
      <scheme val="minor"/>
    </font>
  </fonts>
  <fills count="16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2">
    <xf numFmtId="0" fontId="0" fillId="0" borderId="0" pivotButton="0" quotePrefix="0" xfId="0"/>
    <xf numFmtId="0" fontId="1" fillId="0" borderId="5" applyAlignment="1" pivotButton="0" quotePrefix="0" xfId="0">
      <alignment horizontal="center"/>
    </xf>
    <xf numFmtId="1" fontId="1" fillId="8" borderId="5" applyAlignment="1" pivotButton="0" quotePrefix="0" xfId="0">
      <alignment horizontal="center"/>
    </xf>
    <xf numFmtId="0" fontId="12" fillId="2" borderId="18" applyAlignment="1" pivotButton="0" quotePrefix="0" xfId="0">
      <alignment horizontal="center"/>
    </xf>
    <xf numFmtId="1" fontId="6" fillId="6" borderId="18" applyAlignment="1" pivotButton="0" quotePrefix="0" xfId="1">
      <alignment horizontal="left"/>
    </xf>
    <xf numFmtId="1" fontId="0" fillId="0" borderId="0" pivotButton="0" quotePrefix="0" xfId="0"/>
    <xf numFmtId="1" fontId="6" fillId="6" borderId="32" applyAlignment="1" pivotButton="0" quotePrefix="0" xfId="1">
      <alignment horizontal="left"/>
    </xf>
    <xf numFmtId="0" fontId="12" fillId="2" borderId="32" applyAlignment="1" pivotButton="0" quotePrefix="0" xfId="0">
      <alignment horizontal="center"/>
    </xf>
    <xf numFmtId="1" fontId="8" fillId="6" borderId="22" applyAlignment="1" pivotButton="0" quotePrefix="0" xfId="1">
      <alignment horizontal="center"/>
    </xf>
    <xf numFmtId="0" fontId="6" fillId="6" borderId="28" applyAlignment="1" pivotButton="0" quotePrefix="0" xfId="1">
      <alignment horizontal="left"/>
    </xf>
    <xf numFmtId="0" fontId="6" fillId="6" borderId="30" applyAlignment="1" pivotButton="0" quotePrefix="0" xfId="1">
      <alignment horizontal="left"/>
    </xf>
    <xf numFmtId="0" fontId="1" fillId="0" borderId="4" applyAlignment="1" pivotButton="0" quotePrefix="0" xfId="0">
      <alignment wrapText="1"/>
    </xf>
    <xf numFmtId="0" fontId="1" fillId="0" borderId="4" applyAlignment="1" pivotButton="0" quotePrefix="0" xfId="0">
      <alignment horizontal="left" wrapText="1"/>
    </xf>
    <xf numFmtId="49" fontId="10" fillId="2" borderId="4" applyAlignment="1" pivotButton="0" quotePrefix="0" xfId="0">
      <alignment horizontal="center" wrapText="1"/>
    </xf>
    <xf numFmtId="1" fontId="1" fillId="0" borderId="4" applyAlignment="1" pivotButton="0" quotePrefix="0" xfId="0">
      <alignment horizontal="left" wrapText="1"/>
    </xf>
    <xf numFmtId="49" fontId="1" fillId="0" borderId="4" applyAlignment="1" pivotButton="0" quotePrefix="0" xfId="0">
      <alignment horizontal="left" wrapText="1"/>
    </xf>
    <xf numFmtId="0" fontId="1" fillId="0" borderId="4" pivotButton="0" quotePrefix="0" xfId="0"/>
    <xf numFmtId="0" fontId="1" fillId="0" borderId="22" pivotButton="0" quotePrefix="0" xfId="0"/>
    <xf numFmtId="0" fontId="13" fillId="10" borderId="35" applyAlignment="1" pivotButton="0" quotePrefix="0" xfId="3">
      <alignment horizontal="left"/>
    </xf>
    <xf numFmtId="0" fontId="13" fillId="10" borderId="39" applyAlignment="1" pivotButton="0" quotePrefix="0" xfId="3">
      <alignment horizontal="left"/>
    </xf>
    <xf numFmtId="0" fontId="13" fillId="10" borderId="40" applyAlignment="1" pivotButton="0" quotePrefix="0" xfId="3">
      <alignment horizontal="left"/>
    </xf>
    <xf numFmtId="0" fontId="9" fillId="0" borderId="0" pivotButton="0" quotePrefix="0" xfId="4"/>
    <xf numFmtId="0" fontId="11" fillId="0" borderId="0" pivotButton="0" quotePrefix="0" xfId="4"/>
    <xf numFmtId="0" fontId="9" fillId="0" borderId="3" pivotButton="0" quotePrefix="0" xfId="4"/>
    <xf numFmtId="0" fontId="11" fillId="0" borderId="5" pivotButton="0" quotePrefix="0" xfId="4"/>
    <xf numFmtId="0" fontId="11" fillId="0" borderId="10" pivotButton="0" quotePrefix="0" xfId="4"/>
    <xf numFmtId="0" fontId="11" fillId="0" borderId="11" pivotButton="0" quotePrefix="0" xfId="4"/>
    <xf numFmtId="0" fontId="11" fillId="0" borderId="12" pivotButton="0" quotePrefix="0" xfId="4"/>
    <xf numFmtId="0" fontId="11" fillId="0" borderId="19" pivotButton="0" quotePrefix="0" xfId="4"/>
    <xf numFmtId="0" fontId="13" fillId="12" borderId="41" pivotButton="0" quotePrefix="0" xfId="5"/>
    <xf numFmtId="0" fontId="13" fillId="4" borderId="42" pivotButton="0" quotePrefix="0" xfId="6"/>
    <xf numFmtId="0" fontId="13" fillId="4" borderId="13" pivotButton="0" quotePrefix="0" xfId="6"/>
    <xf numFmtId="0" fontId="13" fillId="4" borderId="14" pivotButton="0" quotePrefix="0" xfId="6"/>
    <xf numFmtId="0" fontId="13" fillId="12" borderId="43" pivotButton="0" quotePrefix="0" xfId="5"/>
    <xf numFmtId="0" fontId="13" fillId="4" borderId="2" pivotButton="0" quotePrefix="0" xfId="6"/>
    <xf numFmtId="0" fontId="13" fillId="4" borderId="1" pivotButton="0" quotePrefix="0" xfId="6"/>
    <xf numFmtId="0" fontId="13" fillId="4" borderId="7" pivotButton="0" quotePrefix="0" xfId="6"/>
    <xf numFmtId="0" fontId="9" fillId="0" borderId="0" applyAlignment="1" pivotButton="0" quotePrefix="0" xfId="4">
      <alignment horizontal="center"/>
    </xf>
    <xf numFmtId="0" fontId="11" fillId="0" borderId="20" pivotButton="0" quotePrefix="0" xfId="4"/>
    <xf numFmtId="0" fontId="13" fillId="4" borderId="44" pivotButton="0" quotePrefix="0" xfId="6"/>
    <xf numFmtId="0" fontId="9" fillId="0" borderId="0" applyAlignment="1" pivotButton="0" quotePrefix="0" xfId="4">
      <alignment horizontal="right"/>
    </xf>
    <xf numFmtId="0" fontId="9" fillId="0" borderId="23" pivotButton="0" quotePrefix="0" xfId="4"/>
    <xf numFmtId="0" fontId="11" fillId="0" borderId="46" pivotButton="0" quotePrefix="0" xfId="4"/>
    <xf numFmtId="2" fontId="9" fillId="0" borderId="0" pivotButton="0" quotePrefix="0" xfId="4"/>
    <xf numFmtId="0" fontId="11" fillId="0" borderId="23" pivotButton="0" quotePrefix="0" xfId="4"/>
    <xf numFmtId="2" fontId="14" fillId="7" borderId="50" pivotButton="0" quotePrefix="0" xfId="7"/>
    <xf numFmtId="0" fontId="11" fillId="0" borderId="21" pivotButton="0" quotePrefix="0" xfId="4"/>
    <xf numFmtId="2" fontId="14" fillId="7" borderId="5" pivotButton="0" quotePrefix="0" xfId="7"/>
    <xf numFmtId="2" fontId="14" fillId="7" borderId="18" pivotButton="0" quotePrefix="0" xfId="7"/>
    <xf numFmtId="0" fontId="9" fillId="0" borderId="21" pivotButton="0" quotePrefix="0" xfId="4"/>
    <xf numFmtId="0" fontId="11" fillId="0" borderId="4" pivotButton="0" quotePrefix="0" xfId="4"/>
    <xf numFmtId="0" fontId="11" fillId="0" borderId="22" pivotButton="0" quotePrefix="0" xfId="4"/>
    <xf numFmtId="0" fontId="13" fillId="6" borderId="1" pivotButton="0" quotePrefix="0" xfId="8"/>
    <xf numFmtId="0" fontId="13" fillId="6" borderId="7" pivotButton="0" quotePrefix="0" xfId="8"/>
    <xf numFmtId="0" fontId="13" fillId="6" borderId="15" pivotButton="0" quotePrefix="0" xfId="8"/>
    <xf numFmtId="0" fontId="13" fillId="6" borderId="9" pivotButton="0" quotePrefix="0" xfId="8"/>
    <xf numFmtId="0" fontId="3" fillId="11" borderId="1" applyAlignment="1" pivotButton="0" quotePrefix="0" xfId="4">
      <alignment horizontal="center"/>
    </xf>
    <xf numFmtId="0" fontId="4" fillId="11" borderId="1" applyAlignment="1" pivotButton="0" quotePrefix="0" xfId="4">
      <alignment horizontal="center"/>
    </xf>
    <xf numFmtId="1" fontId="7" fillId="7" borderId="35" pivotButton="0" quotePrefix="0" xfId="2"/>
    <xf numFmtId="1" fontId="7" fillId="7" borderId="39" pivotButton="0" quotePrefix="0" xfId="2"/>
    <xf numFmtId="1" fontId="7" fillId="7" borderId="40" pivotButton="0" quotePrefix="0" xfId="2"/>
    <xf numFmtId="0" fontId="1" fillId="0" borderId="0" applyAlignment="1" pivotButton="0" quotePrefix="0" xfId="0">
      <alignment horizontal="left"/>
    </xf>
    <xf numFmtId="0" fontId="13" fillId="10" borderId="36" applyAlignment="1" pivotButton="0" quotePrefix="0" xfId="3">
      <alignment horizontal="left"/>
    </xf>
    <xf numFmtId="1" fontId="7" fillId="7" borderId="36" pivotButton="0" quotePrefix="0" xfId="2"/>
    <xf numFmtId="1" fontId="20" fillId="14" borderId="1" applyAlignment="1" pivotButton="0" quotePrefix="0" xfId="0">
      <alignment horizontal="center" vertical="center"/>
    </xf>
    <xf numFmtId="1" fontId="5" fillId="9" borderId="7" applyAlignment="1" pivotButton="0" quotePrefix="0" xfId="0">
      <alignment horizontal="center" vertical="center"/>
    </xf>
    <xf numFmtId="1" fontId="5" fillId="9" borderId="9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13" fillId="10" borderId="5" pivotButton="0" quotePrefix="0" xfId="3"/>
    <xf numFmtId="0" fontId="13" fillId="12" borderId="5" applyAlignment="1" pivotButton="0" quotePrefix="0" xfId="5">
      <alignment horizontal="center"/>
    </xf>
    <xf numFmtId="0" fontId="7" fillId="7" borderId="33" pivotButton="0" quotePrefix="0" xfId="2"/>
    <xf numFmtId="1" fontId="6" fillId="6" borderId="30" applyAlignment="1" pivotButton="0" quotePrefix="0" xfId="1">
      <alignment horizontal="left"/>
    </xf>
    <xf numFmtId="0" fontId="1" fillId="0" borderId="60" pivotButton="0" quotePrefix="0" xfId="0"/>
    <xf numFmtId="0" fontId="1" fillId="0" borderId="61" pivotButton="0" quotePrefix="0" xfId="0"/>
    <xf numFmtId="1" fontId="1" fillId="0" borderId="61" pivotButton="0" quotePrefix="0" xfId="0"/>
    <xf numFmtId="0" fontId="1" fillId="0" borderId="62" pivotButton="0" quotePrefix="0" xfId="0"/>
    <xf numFmtId="0" fontId="1" fillId="0" borderId="19" pivotButton="0" quotePrefix="0" xfId="0"/>
    <xf numFmtId="0" fontId="1" fillId="0" borderId="0" pivotButton="0" quotePrefix="0" xfId="0"/>
    <xf numFmtId="1" fontId="1" fillId="0" borderId="0" pivotButton="0" quotePrefix="0" xfId="0"/>
    <xf numFmtId="0" fontId="1" fillId="0" borderId="63" pivotButton="0" quotePrefix="0" xfId="0"/>
    <xf numFmtId="1" fontId="11" fillId="8" borderId="5" applyAlignment="1" pivotButton="0" quotePrefix="0" xfId="0">
      <alignment horizontal="center"/>
    </xf>
    <xf numFmtId="1" fontId="6" fillId="6" borderId="37" applyAlignment="1" pivotButton="0" quotePrefix="0" xfId="1">
      <alignment horizontal="left"/>
    </xf>
    <xf numFmtId="0" fontId="12" fillId="2" borderId="37" applyAlignment="1" pivotButton="0" quotePrefix="0" xfId="0">
      <alignment horizontal="center"/>
    </xf>
    <xf numFmtId="0" fontId="1" fillId="0" borderId="3" applyAlignment="1" pivotButton="0" quotePrefix="0" xfId="0">
      <alignment horizontal="left"/>
    </xf>
    <xf numFmtId="0" fontId="1" fillId="0" borderId="4" applyAlignment="1" pivotButton="0" quotePrefix="0" xfId="0">
      <alignment horizontal="left"/>
    </xf>
    <xf numFmtId="0" fontId="1" fillId="0" borderId="22" applyAlignment="1" pivotButton="0" quotePrefix="0" xfId="0">
      <alignment horizontal="left"/>
    </xf>
    <xf numFmtId="0" fontId="6" fillId="6" borderId="34" applyAlignment="1" pivotButton="0" quotePrefix="0" xfId="1">
      <alignment horizontal="left"/>
    </xf>
    <xf numFmtId="1" fontId="6" fillId="6" borderId="38" applyAlignment="1" pivotButton="0" quotePrefix="0" xfId="1">
      <alignment horizontal="left"/>
    </xf>
    <xf numFmtId="0" fontId="13" fillId="10" borderId="4" pivotButton="0" quotePrefix="0" xfId="3"/>
    <xf numFmtId="0" fontId="13" fillId="10" borderId="22" pivotButton="0" quotePrefix="0" xfId="3"/>
    <xf numFmtId="1" fontId="20" fillId="14" borderId="13" applyAlignment="1" pivotButton="0" quotePrefix="0" xfId="0">
      <alignment horizontal="center" vertical="center"/>
    </xf>
    <xf numFmtId="0" fontId="19" fillId="14" borderId="13" applyAlignment="1" pivotButton="0" quotePrefix="1" xfId="0">
      <alignment horizontal="center" vertical="center"/>
    </xf>
    <xf numFmtId="1" fontId="5" fillId="9" borderId="14" applyAlignment="1" pivotButton="0" quotePrefix="0" xfId="0">
      <alignment horizontal="center" vertical="center"/>
    </xf>
    <xf numFmtId="0" fontId="22" fillId="5" borderId="10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 wrapText="1"/>
    </xf>
    <xf numFmtId="0" fontId="22" fillId="5" borderId="12" applyAlignment="1" pivotButton="0" quotePrefix="0" xfId="0">
      <alignment horizontal="center" vertical="center"/>
    </xf>
    <xf numFmtId="1" fontId="20" fillId="14" borderId="66" applyAlignment="1" pivotButton="0" quotePrefix="0" xfId="0">
      <alignment horizontal="center" vertical="center"/>
    </xf>
    <xf numFmtId="0" fontId="19" fillId="14" borderId="65" applyAlignment="1" pivotButton="0" quotePrefix="1" xfId="0">
      <alignment horizontal="center" vertical="center"/>
    </xf>
    <xf numFmtId="0" fontId="5" fillId="9" borderId="3" applyAlignment="1" pivotButton="0" quotePrefix="0" xfId="0">
      <alignment horizontal="left" vertical="center"/>
    </xf>
    <xf numFmtId="0" fontId="5" fillId="9" borderId="4" applyAlignment="1" pivotButton="0" quotePrefix="0" xfId="0">
      <alignment vertical="center"/>
    </xf>
    <xf numFmtId="0" fontId="5" fillId="9" borderId="22" applyAlignment="1" pivotButton="0" quotePrefix="0" xfId="0">
      <alignment vertical="center"/>
    </xf>
    <xf numFmtId="1" fontId="6" fillId="6" borderId="67" applyAlignment="1" pivotButton="0" quotePrefix="0" xfId="1">
      <alignment horizontal="left"/>
    </xf>
    <xf numFmtId="0" fontId="13" fillId="6" borderId="13" pivotButton="0" quotePrefix="0" xfId="8"/>
    <xf numFmtId="0" fontId="13" fillId="6" borderId="14" pivotButton="0" quotePrefix="0" xfId="8"/>
    <xf numFmtId="1" fontId="0" fillId="0" borderId="0" applyAlignment="1" pivotButton="0" quotePrefix="0" xfId="0">
      <alignment horizontal="center"/>
    </xf>
    <xf numFmtId="1" fontId="11" fillId="15" borderId="5" applyAlignment="1" pivotButton="0" quotePrefix="0" xfId="0">
      <alignment horizontal="center"/>
    </xf>
    <xf numFmtId="1" fontId="7" fillId="7" borderId="18" applyAlignment="1" pivotButton="0" quotePrefix="0" xfId="2">
      <alignment horizontal="left"/>
    </xf>
    <xf numFmtId="0" fontId="0" fillId="0" borderId="3" pivotButton="0" quotePrefix="0" xfId="0"/>
    <xf numFmtId="0" fontId="0" fillId="0" borderId="22" pivotButton="0" quotePrefix="0" xfId="0"/>
    <xf numFmtId="0" fontId="13" fillId="6" borderId="42" pivotButton="0" quotePrefix="0" xfId="8"/>
    <xf numFmtId="0" fontId="13" fillId="6" borderId="2" pivotButton="0" quotePrefix="0" xfId="8"/>
    <xf numFmtId="0" fontId="13" fillId="6" borderId="44" pivotButton="0" quotePrefix="0" xfId="8"/>
    <xf numFmtId="0" fontId="13" fillId="6" borderId="68" pivotButton="0" quotePrefix="0" xfId="8"/>
    <xf numFmtId="0" fontId="13" fillId="6" borderId="43" pivotButton="0" quotePrefix="0" xfId="8"/>
    <xf numFmtId="0" fontId="13" fillId="6" borderId="69" pivotButton="0" quotePrefix="0" xfId="8"/>
    <xf numFmtId="0" fontId="13" fillId="5" borderId="43" pivotButton="0" quotePrefix="0" xfId="6"/>
    <xf numFmtId="2" fontId="14" fillId="7" borderId="16" pivotButton="0" quotePrefix="0" xfId="7"/>
    <xf numFmtId="2" fontId="14" fillId="7" borderId="6" pivotButton="0" quotePrefix="0" xfId="7"/>
    <xf numFmtId="2" fontId="14" fillId="7" borderId="8" pivotButton="0" quotePrefix="0" xfId="7"/>
    <xf numFmtId="164" fontId="15" fillId="3" borderId="35" applyAlignment="1" pivotButton="0" quotePrefix="0" xfId="0">
      <alignment wrapText="1"/>
    </xf>
    <xf numFmtId="164" fontId="15" fillId="4" borderId="36" pivotButton="0" quotePrefix="0" xfId="0"/>
    <xf numFmtId="164" fontId="15" fillId="9" borderId="36" pivotButton="0" quotePrefix="0" xfId="0"/>
    <xf numFmtId="164" fontId="2" fillId="3" borderId="34" pivotButton="0" quotePrefix="0" xfId="0"/>
    <xf numFmtId="164" fontId="2" fillId="4" borderId="57" pivotButton="0" quotePrefix="0" xfId="0"/>
    <xf numFmtId="164" fontId="2" fillId="9" borderId="57" pivotButton="0" quotePrefix="0" xfId="0"/>
    <xf numFmtId="165" fontId="7" fillId="7" borderId="18" applyAlignment="1" pivotButton="0" quotePrefix="0" xfId="2">
      <alignment horizontal="left"/>
    </xf>
    <xf numFmtId="166" fontId="6" fillId="6" borderId="38" applyAlignment="1" pivotButton="0" quotePrefix="0" xfId="1">
      <alignment horizontal="left"/>
    </xf>
    <xf numFmtId="167" fontId="16" fillId="7" borderId="34" applyAlignment="1" pivotButton="0" quotePrefix="0" xfId="2">
      <alignment horizontal="left"/>
    </xf>
    <xf numFmtId="164" fontId="16" fillId="7" borderId="57" applyAlignment="1" pivotButton="0" quotePrefix="0" xfId="2">
      <alignment horizontal="left"/>
    </xf>
    <xf numFmtId="164" fontId="16" fillId="7" borderId="37" applyAlignment="1" pivotButton="0" quotePrefix="0" xfId="2">
      <alignment horizontal="left"/>
    </xf>
    <xf numFmtId="164" fontId="16" fillId="7" borderId="38" applyAlignment="1" pivotButton="0" quotePrefix="0" xfId="2">
      <alignment horizontal="left"/>
    </xf>
    <xf numFmtId="164" fontId="0" fillId="0" borderId="0" pivotButton="0" quotePrefix="0" xfId="0"/>
    <xf numFmtId="168" fontId="17" fillId="7" borderId="28" applyAlignment="1" pivotButton="0" quotePrefix="0" xfId="2">
      <alignment horizontal="left"/>
    </xf>
    <xf numFmtId="165" fontId="17" fillId="7" borderId="25" applyAlignment="1" pivotButton="0" quotePrefix="0" xfId="2">
      <alignment horizontal="left"/>
    </xf>
    <xf numFmtId="165" fontId="17" fillId="7" borderId="26" applyAlignment="1" pivotButton="0" quotePrefix="0" xfId="2">
      <alignment horizontal="left"/>
    </xf>
    <xf numFmtId="165" fontId="17" fillId="7" borderId="27" applyAlignment="1" pivotButton="0" quotePrefix="0" xfId="2">
      <alignment horizontal="left"/>
    </xf>
    <xf numFmtId="164" fontId="0" fillId="0" borderId="0" applyAlignment="1" pivotButton="0" quotePrefix="0" xfId="0">
      <alignment horizontal="right"/>
    </xf>
    <xf numFmtId="164" fontId="6" fillId="6" borderId="18" pivotButton="0" quotePrefix="0" xfId="1"/>
    <xf numFmtId="164" fontId="15" fillId="7" borderId="54" applyAlignment="1" pivotButton="0" quotePrefix="0" xfId="2">
      <alignment horizontal="left"/>
    </xf>
    <xf numFmtId="164" fontId="15" fillId="7" borderId="58" applyAlignment="1" pivotButton="0" quotePrefix="0" xfId="2">
      <alignment horizontal="left"/>
    </xf>
    <xf numFmtId="164" fontId="15" fillId="7" borderId="52" applyAlignment="1" pivotButton="0" quotePrefix="0" xfId="2">
      <alignment horizontal="left"/>
    </xf>
    <xf numFmtId="164" fontId="15" fillId="7" borderId="55" applyAlignment="1" pivotButton="0" quotePrefix="0" xfId="2">
      <alignment horizontal="left"/>
    </xf>
    <xf numFmtId="164" fontId="2" fillId="3" borderId="28" pivotButton="0" quotePrefix="0" xfId="0"/>
    <xf numFmtId="164" fontId="2" fillId="4" borderId="24" pivotButton="0" quotePrefix="0" xfId="0"/>
    <xf numFmtId="164" fontId="2" fillId="9" borderId="24" pivotButton="0" quotePrefix="0" xfId="0"/>
    <xf numFmtId="166" fontId="6" fillId="6" borderId="29" applyAlignment="1" pivotButton="0" quotePrefix="0" xfId="1">
      <alignment horizontal="left"/>
    </xf>
    <xf numFmtId="167" fontId="16" fillId="7" borderId="28" applyAlignment="1" pivotButton="0" quotePrefix="0" xfId="2">
      <alignment horizontal="left"/>
    </xf>
    <xf numFmtId="164" fontId="16" fillId="7" borderId="24" applyAlignment="1" pivotButton="0" quotePrefix="0" xfId="2">
      <alignment horizontal="left"/>
    </xf>
    <xf numFmtId="164" fontId="16" fillId="7" borderId="18" applyAlignment="1" pivotButton="0" quotePrefix="0" xfId="2">
      <alignment horizontal="left"/>
    </xf>
    <xf numFmtId="164" fontId="16" fillId="7" borderId="29" applyAlignment="1" pivotButton="0" quotePrefix="0" xfId="2">
      <alignment horizontal="left"/>
    </xf>
    <xf numFmtId="165" fontId="17" fillId="7" borderId="24" applyAlignment="1" pivotButton="0" quotePrefix="0" xfId="2">
      <alignment horizontal="left"/>
    </xf>
    <xf numFmtId="165" fontId="17" fillId="7" borderId="18" applyAlignment="1" pivotButton="0" quotePrefix="0" xfId="2">
      <alignment horizontal="left"/>
    </xf>
    <xf numFmtId="165" fontId="17" fillId="7" borderId="29" applyAlignment="1" pivotButton="0" quotePrefix="0" xfId="2">
      <alignment horizontal="left"/>
    </xf>
    <xf numFmtId="164" fontId="15" fillId="7" borderId="56" applyAlignment="1" pivotButton="0" quotePrefix="0" xfId="2">
      <alignment horizontal="left"/>
    </xf>
    <xf numFmtId="164" fontId="15" fillId="7" borderId="59" applyAlignment="1" pivotButton="0" quotePrefix="0" xfId="2">
      <alignment horizontal="left"/>
    </xf>
    <xf numFmtId="164" fontId="15" fillId="7" borderId="53" applyAlignment="1" pivotButton="0" quotePrefix="0" xfId="2">
      <alignment horizontal="left"/>
    </xf>
    <xf numFmtId="164" fontId="1" fillId="0" borderId="0" applyAlignment="1" pivotButton="0" quotePrefix="0" xfId="0">
      <alignment horizontal="left"/>
    </xf>
    <xf numFmtId="166" fontId="14" fillId="7" borderId="45" pivotButton="0" quotePrefix="0" xfId="7"/>
    <xf numFmtId="166" fontId="14" fillId="7" borderId="17" pivotButton="0" quotePrefix="0" xfId="7"/>
    <xf numFmtId="166" fontId="14" fillId="7" borderId="47" pivotButton="0" quotePrefix="0" xfId="7"/>
    <xf numFmtId="166" fontId="14" fillId="7" borderId="7" pivotButton="0" quotePrefix="0" xfId="7"/>
    <xf numFmtId="166" fontId="14" fillId="7" borderId="48" pivotButton="0" quotePrefix="0" xfId="7"/>
    <xf numFmtId="166" fontId="14" fillId="7" borderId="49" pivotButton="0" quotePrefix="0" xfId="7"/>
    <xf numFmtId="166" fontId="14" fillId="7" borderId="51" pivotButton="0" quotePrefix="0" xfId="7"/>
    <xf numFmtId="166" fontId="14" fillId="7" borderId="9" pivotButton="0" quotePrefix="0" xfId="7"/>
    <xf numFmtId="164" fontId="16" fillId="7" borderId="28" applyAlignment="1" pivotButton="0" quotePrefix="0" xfId="2">
      <alignment horizontal="left"/>
    </xf>
    <xf numFmtId="164" fontId="15" fillId="7" borderId="28" applyAlignment="1" pivotButton="0" quotePrefix="0" xfId="2">
      <alignment horizontal="left"/>
    </xf>
    <xf numFmtId="164" fontId="15" fillId="7" borderId="24" applyAlignment="1" pivotButton="0" quotePrefix="0" xfId="2">
      <alignment horizontal="left"/>
    </xf>
    <xf numFmtId="166" fontId="6" fillId="6" borderId="18" applyAlignment="1" pivotButton="0" quotePrefix="0" xfId="1">
      <alignment horizontal="left"/>
    </xf>
    <xf numFmtId="164" fontId="15" fillId="7" borderId="18" applyAlignment="1" pivotButton="0" quotePrefix="0" xfId="2">
      <alignment horizontal="left"/>
    </xf>
    <xf numFmtId="164" fontId="15" fillId="7" borderId="29" applyAlignment="1" pivotButton="0" quotePrefix="0" xfId="2">
      <alignment horizontal="left"/>
    </xf>
    <xf numFmtId="164" fontId="2" fillId="3" borderId="30" pivotButton="0" quotePrefix="0" xfId="0"/>
    <xf numFmtId="164" fontId="2" fillId="4" borderId="31" pivotButton="0" quotePrefix="0" xfId="0"/>
    <xf numFmtId="164" fontId="2" fillId="9" borderId="31" pivotButton="0" quotePrefix="0" xfId="0"/>
    <xf numFmtId="166" fontId="6" fillId="6" borderId="32" applyAlignment="1" pivotButton="0" quotePrefix="0" xfId="1">
      <alignment horizontal="left"/>
    </xf>
    <xf numFmtId="166" fontId="6" fillId="6" borderId="33" applyAlignment="1" pivotButton="0" quotePrefix="0" xfId="1">
      <alignment horizontal="left"/>
    </xf>
    <xf numFmtId="164" fontId="16" fillId="7" borderId="30" applyAlignment="1" pivotButton="0" quotePrefix="0" xfId="2">
      <alignment horizontal="left"/>
    </xf>
    <xf numFmtId="164" fontId="16" fillId="7" borderId="31" applyAlignment="1" pivotButton="0" quotePrefix="0" xfId="2">
      <alignment horizontal="left"/>
    </xf>
    <xf numFmtId="164" fontId="16" fillId="7" borderId="32" applyAlignment="1" pivotButton="0" quotePrefix="0" xfId="2">
      <alignment horizontal="left"/>
    </xf>
    <xf numFmtId="164" fontId="16" fillId="7" borderId="33" applyAlignment="1" pivotButton="0" quotePrefix="0" xfId="2">
      <alignment horizontal="left"/>
    </xf>
    <xf numFmtId="165" fontId="18" fillId="7" borderId="31" applyAlignment="1" pivotButton="0" quotePrefix="0" xfId="2">
      <alignment horizontal="left"/>
    </xf>
    <xf numFmtId="165" fontId="18" fillId="7" borderId="32" applyAlignment="1" pivotButton="0" quotePrefix="0" xfId="2">
      <alignment horizontal="left"/>
    </xf>
    <xf numFmtId="165" fontId="18" fillId="7" borderId="33" applyAlignment="1" pivotButton="0" quotePrefix="0" xfId="2">
      <alignment horizontal="left"/>
    </xf>
    <xf numFmtId="164" fontId="15" fillId="7" borderId="30" applyAlignment="1" pivotButton="0" quotePrefix="0" xfId="2">
      <alignment horizontal="left"/>
    </xf>
    <xf numFmtId="164" fontId="15" fillId="7" borderId="31" applyAlignment="1" pivotButton="0" quotePrefix="0" xfId="2">
      <alignment horizontal="left"/>
    </xf>
    <xf numFmtId="164" fontId="15" fillId="7" borderId="32" applyAlignment="1" pivotButton="0" quotePrefix="0" xfId="2">
      <alignment horizontal="left"/>
    </xf>
    <xf numFmtId="164" fontId="15" fillId="7" borderId="33" applyAlignment="1" pivotButton="0" quotePrefix="0" xfId="2">
      <alignment horizontal="left"/>
    </xf>
    <xf numFmtId="164" fontId="13" fillId="10" borderId="35" applyAlignment="1" pivotButton="0" quotePrefix="0" xfId="3">
      <alignment horizontal="left"/>
    </xf>
    <xf numFmtId="164" fontId="12" fillId="3" borderId="64" applyAlignment="1" pivotButton="0" quotePrefix="0" xfId="0">
      <alignment horizontal="center"/>
    </xf>
    <xf numFmtId="164" fontId="12" fillId="4" borderId="13" pivotButton="0" quotePrefix="0" xfId="0"/>
    <xf numFmtId="164" fontId="2" fillId="3" borderId="64" applyAlignment="1" pivotButton="0" quotePrefix="0" xfId="0">
      <alignment horizontal="center"/>
    </xf>
    <xf numFmtId="164" fontId="2" fillId="4" borderId="13" pivotButton="0" quotePrefix="0" xfId="0"/>
    <xf numFmtId="164" fontId="12" fillId="3" borderId="6" applyAlignment="1" pivotButton="0" quotePrefix="0" xfId="0">
      <alignment horizontal="center"/>
    </xf>
    <xf numFmtId="164" fontId="2" fillId="3" borderId="6" applyAlignment="1" pivotButton="0" quotePrefix="0" xfId="0">
      <alignment horizontal="center"/>
    </xf>
    <xf numFmtId="164" fontId="12" fillId="3" borderId="50" applyAlignment="1" pivotButton="0" quotePrefix="0" xfId="0">
      <alignment horizontal="center"/>
    </xf>
    <xf numFmtId="164" fontId="12" fillId="4" borderId="65" pivotButton="0" quotePrefix="0" xfId="0"/>
    <xf numFmtId="166" fontId="0" fillId="0" borderId="0" pivotButton="0" quotePrefix="0" xfId="0"/>
    <xf numFmtId="0" fontId="0" fillId="0" borderId="0" applyAlignment="1" pivotButton="0" quotePrefix="0" xfId="0">
      <alignment horizontal="right"/>
    </xf>
    <xf numFmtId="164" fontId="17" fillId="6" borderId="18" pivotButton="0" quotePrefix="0" xfId="1"/>
    <xf numFmtId="0" fontId="9" fillId="11" borderId="1" applyAlignment="1" pivotButton="0" quotePrefix="0" xfId="4">
      <alignment horizontal="center"/>
    </xf>
    <xf numFmtId="0" fontId="0" fillId="0" borderId="2" pivotButton="0" quotePrefix="0" xfId="0"/>
    <xf numFmtId="164" fontId="2" fillId="9" borderId="70" pivotButton="0" quotePrefix="0" xfId="0"/>
    <xf numFmtId="164" fontId="2" fillId="9" borderId="71" pivotButton="0" quotePrefix="0" xfId="0"/>
    <xf numFmtId="164" fontId="2" fillId="9" borderId="72" pivotButton="0" quotePrefix="0" xfId="0"/>
    <xf numFmtId="0" fontId="12" fillId="2" borderId="57" applyAlignment="1" pivotButton="0" quotePrefix="0" xfId="0">
      <alignment horizontal="center"/>
    </xf>
    <xf numFmtId="0" fontId="12" fillId="2" borderId="24" applyAlignment="1" pivotButton="0" quotePrefix="0" xfId="0">
      <alignment horizontal="center"/>
    </xf>
    <xf numFmtId="0" fontId="12" fillId="2" borderId="31" applyAlignment="1" pivotButton="0" quotePrefix="0" xfId="0">
      <alignment horizontal="center"/>
    </xf>
    <xf numFmtId="1" fontId="6" fillId="6" borderId="73" applyAlignment="1" pivotButton="0" quotePrefix="0" xfId="1">
      <alignment horizontal="left"/>
    </xf>
    <xf numFmtId="1" fontId="6" fillId="6" borderId="26" applyAlignment="1" pivotButton="0" quotePrefix="0" xfId="1">
      <alignment horizontal="left"/>
    </xf>
    <xf numFmtId="1" fontId="6" fillId="6" borderId="27" applyAlignment="1" pivotButton="0" quotePrefix="0" xfId="1">
      <alignment horizontal="left"/>
    </xf>
    <xf numFmtId="1" fontId="6" fillId="6" borderId="28" applyAlignment="1" pivotButton="0" quotePrefix="0" xfId="1">
      <alignment horizontal="left"/>
    </xf>
    <xf numFmtId="1" fontId="6" fillId="6" borderId="18" applyAlignment="1" pivotButton="0" quotePrefix="0" xfId="1">
      <alignment horizontal="left"/>
    </xf>
    <xf numFmtId="1" fontId="6" fillId="6" borderId="29" applyAlignment="1" pivotButton="0" quotePrefix="0" xfId="1">
      <alignment horizontal="left"/>
    </xf>
    <xf numFmtId="1" fontId="6" fillId="6" borderId="33" applyAlignment="1" pivotButton="0" quotePrefix="0" xfId="1">
      <alignment horizontal="left"/>
    </xf>
    <xf numFmtId="1" fontId="6" fillId="6" borderId="74" applyAlignment="1" pivotButton="0" quotePrefix="0" xfId="1">
      <alignment horizontal="left"/>
    </xf>
    <xf numFmtId="1" fontId="6" fillId="6" borderId="75" applyAlignment="1" pivotButton="0" quotePrefix="0" xfId="1">
      <alignment horizontal="left"/>
    </xf>
    <xf numFmtId="1" fontId="6" fillId="6" borderId="76" applyAlignment="1" pivotButton="0" quotePrefix="0" xfId="1">
      <alignment horizontal="left"/>
    </xf>
    <xf numFmtId="0" fontId="1" fillId="0" borderId="3" applyAlignment="1" pivotButton="0" quotePrefix="0" xfId="0">
      <alignment wrapText="1"/>
    </xf>
    <xf numFmtId="0" fontId="1" fillId="0" borderId="22" applyAlignment="1" pivotButton="0" quotePrefix="0" xfId="0">
      <alignment horizontal="left" wrapText="1"/>
    </xf>
  </cellXfs>
  <cellStyles count="10">
    <cellStyle name="Normal" xfId="0" builtinId="0"/>
    <cellStyle name="Input" xfId="1" builtinId="20"/>
    <cellStyle name="Calculation" xfId="2" builtinId="22"/>
    <cellStyle name="Reference" xfId="3"/>
    <cellStyle name="Normal 2" xfId="4"/>
    <cellStyle name="List" xfId="5"/>
    <cellStyle name="Reference 2" xfId="6"/>
    <cellStyle name="Calculation 2" xfId="7"/>
    <cellStyle name="Input 2" xfId="8"/>
    <cellStyle name="Calculation (RG)" xfId="9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rich>
      </tx>
      <layout>
        <manualLayout>
          <xMode val="edge"/>
          <yMode val="edge"/>
          <wMode val="factor"/>
          <hMode val="factor"/>
          <x val="0.3737867275381621"/>
          <y val="0.01618056013724515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1226192038495188"/>
          <y val="0.1158583545780197"/>
          <w val="0.840874453193351"/>
          <h val="0.6412275302246752"/>
        </manualLayout>
      </layout>
      <scatterChart>
        <scatterStyle val="lineMarker"/>
        <varyColors val="0"/>
        <ser>
          <idx val="0"/>
          <order val="0"/>
          <tx>
            <strRef>
              <f>'Input LwA_XYZ'!$BO$27</f>
              <strCache>
                <ptCount val="1"/>
                <pt idx="0">
                  <v>Path</v>
                </pt>
              </strCache>
            </strRef>
          </tx>
          <spPr>
            <a:ln w="25400">
              <a:solidFill>
                <a:srgbClr val="FF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dPt>
            <idx val="0"/>
            <marker>
              <symbol val="circle"/>
              <size val="8"/>
              <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spPr>
            </marker>
            <bubble3D val="0"/>
            <spPr>
              <a:ln>
                <a:prstDash val="solid"/>
              </a:ln>
            </spPr>
          </dPt>
          <dPt>
            <idx val="3"/>
            <bubble3D val="0"/>
            <spPr>
              <a:ln w="3175">
                <a:solidFill>
                  <a:srgbClr val="3366FF"/>
                </a:solidFill>
                <a:prstDash val="sysDash"/>
              </a:ln>
            </spPr>
          </dPt>
          <xVal>
            <numRef>
              <f>'Input LwA_XYZ'!$BP$27:$BP$30</f>
              <numCache>
                <formatCode>General</formatCode>
                <ptCount val="4"/>
                <pt idx="0">
                  <v>0</v>
                </pt>
                <pt idx="1">
                  <v>3.446509339574881</v>
                </pt>
                <pt idx="2">
                  <v>39.87378336701949</v>
                </pt>
                <pt idx="3">
                  <v>0</v>
                </pt>
              </numCache>
            </numRef>
          </xVal>
          <yVal>
            <numRef>
              <f>'Input LwA_XYZ'!$BQ$27:$BQ$30</f>
              <numCache>
                <formatCode>0.00</formatCode>
                <ptCount val="4"/>
                <pt idx="0">
                  <formatCode>General</formatCode>
                  <v>75.5</v>
                </pt>
                <pt idx="1">
                  <v>75.40000000000001</v>
                </pt>
                <pt idx="2">
                  <formatCode>General</formatCode>
                  <v>65</v>
                </pt>
                <pt idx="3">
                  <formatCode>General</formatCode>
                  <v>75.5</v>
                </pt>
              </numCache>
            </numRef>
          </yVal>
          <smooth val="0"/>
        </ser>
        <ser>
          <idx val="1"/>
          <order val="1"/>
          <tx>
            <strRef>
              <f>'Input LwA_XYZ'!$BO$28</f>
              <strCache>
                <ptCount val="1"/>
                <pt idx="0">
                  <v>Barrier - Min 4lb/ft2, unperforated</v>
                </pt>
              </strCache>
            </strRef>
          </tx>
          <spPr>
            <a:ln w="25400">
              <a:solidFill>
                <a:srgbClr val="FF00FF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errBars>
            <errDir val="y"/>
            <errBarType val="minus"/>
            <errValType val="cust"/>
            <noEndCap val="1"/>
            <minus>
              <numRef>
                <f>'Input LwA_XYZ'!$BS$6</f>
                <numCache>
                  <formatCode>General</formatCode>
                  <ptCount val="1"/>
                  <pt idx="0">
                    <v>75.40000000000001</v>
                  </pt>
                </numCache>
              </numRef>
            </minus>
            <spPr>
              <a:ln w="25400">
                <a:solidFill>
                  <a:srgbClr val="FF00FF"/>
                </a:solidFill>
                <a:prstDash val="solid"/>
              </a:ln>
            </spPr>
          </errBars>
          <xVal>
            <numRef>
              <f>'Input LwA_XYZ'!$BP$28</f>
              <numCache>
                <formatCode>General</formatCode>
                <ptCount val="1"/>
                <pt idx="0">
                  <v>3.446509339574881</v>
                </pt>
              </numCache>
            </numRef>
          </xVal>
          <yVal>
            <numRef>
              <f>'Input LwA_XYZ'!$BQ$28</f>
              <numCache>
                <formatCode>0.00</formatCode>
                <ptCount val="1"/>
                <pt idx="0">
                  <v>75.40000000000001</v>
                </pt>
              </numCache>
            </numRef>
          </yVal>
          <smooth val="0"/>
        </ser>
        <ser>
          <idx val="2"/>
          <order val="2"/>
          <tx>
            <strRef>
              <f>'Input LwA_XYZ'!$BO$29</f>
              <strCache>
                <ptCount val="1"/>
                <pt idx="0">
                  <v>Receiver</v>
                </pt>
              </strCache>
            </strRef>
          </tx>
          <spPr>
            <a:ln w="38100">
              <a:solidFill>
                <a:srgbClr val="008000"/>
              </a:solidFill>
              <a:prstDash val="solid"/>
            </a:ln>
          </spPr>
          <marker>
            <symbol val="diamond"/>
            <size val="8"/>
            <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spPr>
          </marker>
          <dLbls>
            <spPr>
              <a:solidFill>
                <a:srgbClr val="008000"/>
              </a:solidFill>
              <a:ln w="25400">
                <a:noFill/>
                <a:prstDash val="solid"/>
              </a:ln>
            </spPr>
            <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1"/>
            <showPercent val="0"/>
            <showBubbleSize val="0"/>
            <showLeaderLines val="0"/>
          </dLbls>
          <xVal>
            <numRef>
              <f>'Input LwA_XYZ'!$BP$29</f>
              <numCache>
                <formatCode>General</formatCode>
                <ptCount val="1"/>
                <pt idx="0">
                  <v>39.87378336701949</v>
                </pt>
              </numCache>
            </numRef>
          </xVal>
          <yVal>
            <numRef>
              <f>'Input LwA_XYZ'!$BQ$29</f>
              <numCache>
                <formatCode>General</formatCode>
                <ptCount val="1"/>
                <pt idx="0">
                  <v>65</v>
                </pt>
              </numCache>
            </numRef>
          </yVal>
          <smooth val="0"/>
        </ser>
        <ser>
          <idx val="3"/>
          <order val="3"/>
          <tx>
            <strRef>
              <f>'Input LwA_XYZ'!$BO$30</f>
              <strCache>
                <ptCount val="1"/>
                <pt idx="0">
                  <v>Source</v>
                </pt>
              </strCache>
            </strRef>
          </tx>
          <spPr>
            <a:ln>
              <a:solidFill>
                <a:srgbClr val="002060"/>
              </a:solidFill>
              <a:prstDash val="solid"/>
            </a:ln>
          </spPr>
          <marker>
            <symbol val="diamond"/>
            <size val="5"/>
            <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spPr>
          </marker>
          <dPt>
            <idx val="0"/>
            <bubble3D val="0"/>
            <spPr>
              <a:ln>
                <a:prstDash val="solid"/>
              </a:ln>
            </spPr>
          </dPt>
          <xVal>
            <numRef>
              <f>'Input LwA_XYZ'!$BP$30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LwA_XYZ'!$BQ$30</f>
              <numCache>
                <formatCode>General</formatCode>
                <ptCount val="1"/>
                <pt idx="0">
                  <v>75.5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9238784"/>
        <axId val="69240704"/>
      </scatterChart>
      <valAx>
        <axId val="69238784"/>
        <scaling>
          <orientation val="minMax"/>
        </scaling>
        <delete val="0"/>
        <axPos val="b"/>
        <majorGridlines>
          <spPr>
            <a:ln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69240704"/>
        <crosses val="autoZero"/>
        <crossBetween val="midCat"/>
      </valAx>
      <valAx>
        <axId val="69240704"/>
        <scaling>
          <orientation val="minMax"/>
          <min val="0"/>
        </scaling>
        <delete val="0"/>
        <axPos val="l"/>
        <majorGridlines>
          <spPr>
            <a:ln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69238784"/>
        <crosses val="autoZero"/>
        <crossBetween val="midCat"/>
      </valAx>
    </plotArea>
    <legend>
      <legendPos val="b"/>
      <layout>
        <manualLayout>
          <xMode val="edge"/>
          <yMode val="edge"/>
          <wMode val="factor"/>
          <hMode val="factor"/>
          <x val="0.7441975273871628"/>
          <y val="0.8487362904081074"/>
          <w val="0.242609263548837"/>
          <h val="0.1397594104654874"/>
        </manualLayout>
      </layout>
      <overlay val="0"/>
      <txPr>
        <a:bodyPr/>
        <a:lstStyle/>
        <a:p>
          <a:pPr>
            <a:defRPr>
              <a:latin typeface="Arial Narrow" panose="020B0606020202030204" pitchFamily="34" charset="0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image" Target="/xl/media/image1.png" Id="rId2" /><Relationship Type="http://schemas.openxmlformats.org/officeDocument/2006/relationships/image" Target="/xl/media/image2.png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65</col>
      <colOff>70957</colOff>
      <row>51</row>
      <rowOff>153069</rowOff>
    </from>
    <to>
      <col>74</col>
      <colOff>108857</colOff>
      <row>79</row>
      <rowOff>133357</rowOff>
    </to>
    <pic>
      <nvPicPr>
        <cNvPr id="15" name="Picture 14"/>
        <cNvPicPr>
          <a:picLocks noChangeAspect="1"/>
        </cNvPicPr>
      </nvPicPr>
      <blipFill>
        <a:blip r:embed="rId2"/>
        <a:srcRect/>
        <a:stretch>
          <a:fillRect/>
        </a:stretch>
      </blipFill>
      <spPr>
        <a:xfrm>
          <a:off x="27350557" y="11713698"/>
          <a:ext cx="7396642" cy="5390488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56</col>
      <colOff>155541</colOff>
      <row>42</row>
      <rowOff>135652</rowOff>
    </from>
    <to>
      <col>64</col>
      <colOff>301285</colOff>
      <row>48</row>
      <rowOff>201019</rowOff>
    </to>
    <pic>
      <nvPicPr>
        <cNvPr id="3" name="Picture 2"/>
        <cNvPicPr>
          <a:picLocks noChangeAspect="1"/>
        </cNvPicPr>
      </nvPicPr>
      <blipFill rotWithShape="1">
        <a:blip cstate="print" r:embed="rId3"/>
        <a:srcRect r="15475"/>
        <a:stretch>
          <a:fillRect/>
        </a:stretch>
      </blipFill>
      <spPr>
        <a:xfrm>
          <a:off x="24393003" y="9983037"/>
          <a:ext cx="2138668" cy="1340251"/>
        </a:xfrm>
        <a:prstGeom prst="rect">
          <avLst/>
        </a:prstGeom>
        <a:ln>
          <a:solidFill>
            <a:sysClr val="windowText" lastClr="000000"/>
          </a:solidFill>
          <a:prstDash val="solid"/>
        </a:ln>
      </spPr>
    </pic>
    <clientData/>
  </twoCellAnchor>
  <absoluteAnchor>
    <pos x="27762885" y="5787813"/>
    <ext cx="5373229" cy="3900474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5">
    <tabColor theme="9" tint="0.5999938962981048"/>
    <outlinePr summaryBelow="1" summaryRight="1"/>
    <pageSetUpPr/>
  </sheetPr>
  <dimension ref="A1:DQ65"/>
  <sheetViews>
    <sheetView tabSelected="1" zoomScale="70" zoomScaleNormal="70" workbookViewId="0">
      <pane xSplit="2" topLeftCell="C1" activePane="topRight" state="frozen"/>
      <selection pane="topRight" activeCell="T17" sqref="T17"/>
    </sheetView>
  </sheetViews>
  <sheetFormatPr baseColWidth="8" defaultRowHeight="14.4"/>
  <cols>
    <col width="8.33203125" bestFit="1" customWidth="1" min="1" max="1"/>
    <col width="11.88671875" bestFit="1" customWidth="1" min="2" max="2"/>
    <col width="9.33203125" bestFit="1" customWidth="1" min="3" max="3"/>
    <col width="8.88671875" bestFit="1" customWidth="1" min="4" max="4"/>
    <col width="10.88671875" customWidth="1" min="5" max="5"/>
    <col width="4.5546875" customWidth="1" min="6" max="13"/>
    <col width="6.33203125" bestFit="1" customWidth="1" min="14" max="14"/>
    <col width="10" customWidth="1" min="15" max="19"/>
    <col width="8.5546875" bestFit="1" customWidth="1" style="5" min="20" max="20"/>
    <col width="6.5546875" bestFit="1" customWidth="1" style="5" min="21" max="21"/>
    <col width="7" customWidth="1" min="22" max="22"/>
    <col width="8.44140625" customWidth="1" min="23" max="23"/>
    <col width="10.6640625" bestFit="1" customWidth="1" min="24" max="24"/>
    <col width="6.77734375" customWidth="1" min="26" max="26"/>
    <col width="7.109375" customWidth="1" min="27" max="29"/>
    <col width="8.44140625" customWidth="1" min="30" max="32"/>
    <col width="12.6640625" customWidth="1" min="33" max="33"/>
    <col width="5.88671875" customWidth="1" min="34" max="48"/>
    <col width="4.6640625" customWidth="1" min="49" max="49"/>
    <col width="16.44140625" customWidth="1" min="50" max="50"/>
    <col width="6.88671875" customWidth="1" min="51" max="51"/>
    <col width="3.6640625" customWidth="1" min="52" max="64"/>
    <col width="5" customWidth="1" min="65" max="65"/>
    <col width="9.109375" customWidth="1" min="66" max="66"/>
    <col width="31.44140625" customWidth="1" min="67" max="67"/>
    <col width="21.109375" customWidth="1" min="68" max="68"/>
    <col width="9" customWidth="1" min="69" max="69"/>
    <col width="8.88671875" customWidth="1" min="70" max="70"/>
    <col width="6.6640625" customWidth="1" min="71" max="71"/>
    <col width="3.33203125" bestFit="1" customWidth="1" min="74" max="74"/>
    <col width="3.33203125" customWidth="1" min="75" max="81"/>
    <col width="3.33203125" bestFit="1" customWidth="1" min="82" max="87"/>
    <col width="3.33203125" customWidth="1" min="88" max="88"/>
    <col width="6.5546875" bestFit="1" customWidth="1" min="91" max="91"/>
    <col width="4.5546875" customWidth="1" min="92" max="98"/>
    <col width="4.5546875" bestFit="1" customWidth="1" min="99" max="100"/>
    <col width="4.33203125" bestFit="1" customWidth="1" min="101" max="101"/>
    <col width="4.5546875" bestFit="1" customWidth="1" min="102" max="105"/>
  </cols>
  <sheetData>
    <row r="1" ht="76.5" customHeight="1" thickBot="1">
      <c r="A1" s="122" t="inlineStr">
        <is>
          <t>Number of Units</t>
        </is>
      </c>
      <c r="B1" s="123" t="inlineStr">
        <is>
          <t>Tag</t>
        </is>
      </c>
      <c r="C1" s="123" t="inlineStr">
        <is>
          <t>Path</t>
        </is>
      </c>
      <c r="D1" s="124" t="inlineStr">
        <is>
          <t>Make</t>
        </is>
      </c>
      <c r="E1" s="124" t="inlineStr">
        <is>
          <t>Model</t>
        </is>
      </c>
      <c r="F1" s="11" t="n">
        <v>63</v>
      </c>
      <c r="G1" s="11" t="n">
        <v>125</v>
      </c>
      <c r="H1" s="11" t="n">
        <v>250</v>
      </c>
      <c r="I1" s="11" t="n">
        <v>500</v>
      </c>
      <c r="J1" s="11" t="n">
        <v>1000</v>
      </c>
      <c r="K1" s="11" t="n">
        <v>2000</v>
      </c>
      <c r="L1" s="11" t="n">
        <v>4000</v>
      </c>
      <c r="M1" s="11" t="n">
        <v>8000</v>
      </c>
      <c r="N1" s="220" t="inlineStr">
        <is>
          <t>Lw/Lp (A)</t>
        </is>
      </c>
      <c r="O1" s="221" t="inlineStr">
        <is>
          <t>Ref. Dist.
(0 = LwA,
dist. = Lp)</t>
        </is>
      </c>
      <c r="P1" s="13" t="inlineStr">
        <is>
          <t>Tested Q</t>
        </is>
      </c>
      <c r="Q1" s="12" t="inlineStr">
        <is>
          <t>Sound Power 
(estimated if SPL provided)</t>
        </is>
      </c>
      <c r="R1" s="13" t="inlineStr">
        <is>
          <t>Installed Q</t>
        </is>
      </c>
      <c r="S1" s="13" t="inlineStr">
        <is>
          <t>IL (duct, silencer, 
louver, etc)</t>
        </is>
      </c>
      <c r="T1" s="14" t="inlineStr">
        <is>
          <t>X</t>
        </is>
      </c>
      <c r="U1" s="14" t="inlineStr">
        <is>
          <t>Y</t>
        </is>
      </c>
      <c r="V1" s="15" t="inlineStr">
        <is>
          <t>Z</t>
        </is>
      </c>
      <c r="W1" s="16" t="inlineStr">
        <is>
          <t>building height</t>
        </is>
      </c>
      <c r="X1" s="17" t="inlineStr">
        <is>
          <t>unit height</t>
        </is>
      </c>
      <c r="Z1" s="83" t="inlineStr">
        <is>
          <t>R#</t>
        </is>
      </c>
      <c r="AA1" s="84" t="inlineStr">
        <is>
          <t>X</t>
        </is>
      </c>
      <c r="AB1" s="84" t="inlineStr">
        <is>
          <t>Y</t>
        </is>
      </c>
      <c r="AC1" s="85" t="inlineStr">
        <is>
          <t>Z</t>
        </is>
      </c>
      <c r="AD1" s="1" t="inlineStr">
        <is>
          <t>Lim. (dBA)</t>
        </is>
      </c>
      <c r="AE1" s="1" t="inlineStr">
        <is>
          <t>Est. Level</t>
        </is>
      </c>
      <c r="AG1" s="61" t="inlineStr">
        <is>
          <t>R#</t>
        </is>
      </c>
      <c r="AH1" s="18">
        <f t="array" ref="AH1:AV1">TRANSPOSE(Z2:Z16)</f>
        <v/>
      </c>
      <c r="AI1" s="62" t="inlineStr">
        <is>
          <t>R2</t>
        </is>
      </c>
      <c r="AJ1" s="62" t="inlineStr">
        <is>
          <t>R3</t>
        </is>
      </c>
      <c r="AK1" s="62" t="inlineStr">
        <is>
          <t>R4</t>
        </is>
      </c>
      <c r="AL1" s="62" t="inlineStr">
        <is>
          <t>R5</t>
        </is>
      </c>
      <c r="AM1" s="62" t="n">
        <v>0</v>
      </c>
      <c r="AN1" s="62" t="n">
        <v>0</v>
      </c>
      <c r="AO1" s="62" t="n">
        <v>0</v>
      </c>
      <c r="AP1" s="19" t="n">
        <v>0</v>
      </c>
      <c r="AQ1" s="19" t="n">
        <v>0</v>
      </c>
      <c r="AR1" s="19" t="n">
        <v>0</v>
      </c>
      <c r="AS1" s="19" t="n">
        <v>0</v>
      </c>
      <c r="AT1" s="19" t="n">
        <v>0</v>
      </c>
      <c r="AU1" s="19" t="n">
        <v>0</v>
      </c>
      <c r="AV1" s="20" t="n">
        <v>0</v>
      </c>
      <c r="AX1" s="61" t="inlineStr">
        <is>
          <t>R#</t>
        </is>
      </c>
      <c r="AY1" s="18">
        <f>AH1</f>
        <v/>
      </c>
      <c r="AZ1" s="62">
        <f>AI1</f>
        <v/>
      </c>
      <c r="BA1" s="62">
        <f>AJ1</f>
        <v/>
      </c>
      <c r="BB1" s="62">
        <f>AK1</f>
        <v/>
      </c>
      <c r="BC1" s="62">
        <f>AL1</f>
        <v/>
      </c>
      <c r="BD1" s="62">
        <f>AM1</f>
        <v/>
      </c>
      <c r="BE1" s="62">
        <f>AN1</f>
        <v/>
      </c>
      <c r="BF1" s="62">
        <f>AO1</f>
        <v/>
      </c>
      <c r="BG1" s="19">
        <f>AP1</f>
        <v/>
      </c>
      <c r="BH1" s="19">
        <f>AQ1</f>
        <v/>
      </c>
      <c r="BI1" s="19">
        <f>AR1</f>
        <v/>
      </c>
      <c r="BJ1" s="19">
        <f>AS1</f>
        <v/>
      </c>
      <c r="BK1" s="19">
        <f>AT1</f>
        <v/>
      </c>
      <c r="BL1" s="19">
        <f>AU1</f>
        <v/>
      </c>
      <c r="BM1" s="20">
        <f>AV1</f>
        <v/>
      </c>
      <c r="BU1" t="inlineStr">
        <is>
          <t>R#</t>
        </is>
      </c>
      <c r="BV1" s="18">
        <f>AH1</f>
        <v/>
      </c>
      <c r="BW1" s="62">
        <f>AI1</f>
        <v/>
      </c>
      <c r="BX1" s="62">
        <f>AJ1</f>
        <v/>
      </c>
      <c r="BY1" s="62">
        <f>AK1</f>
        <v/>
      </c>
      <c r="BZ1" s="62">
        <f>AL1</f>
        <v/>
      </c>
      <c r="CA1" s="62">
        <f>AM1</f>
        <v/>
      </c>
      <c r="CB1" s="62">
        <f>AN1</f>
        <v/>
      </c>
      <c r="CC1" s="62">
        <f>AO1</f>
        <v/>
      </c>
      <c r="CD1" s="19">
        <f>AP1</f>
        <v/>
      </c>
      <c r="CE1" s="19">
        <f>AQ1</f>
        <v/>
      </c>
      <c r="CF1" s="19">
        <f>AR1</f>
        <v/>
      </c>
      <c r="CG1" s="19">
        <f>AS1</f>
        <v/>
      </c>
      <c r="CH1" s="19">
        <f>AT1</f>
        <v/>
      </c>
      <c r="CI1" s="19">
        <f>AU1</f>
        <v/>
      </c>
      <c r="CJ1" s="20">
        <f>AV1</f>
        <v/>
      </c>
      <c r="CL1" t="inlineStr">
        <is>
          <t>R#</t>
        </is>
      </c>
      <c r="CM1" s="18">
        <f>AH1</f>
        <v/>
      </c>
      <c r="CN1" s="62">
        <f>AI1</f>
        <v/>
      </c>
      <c r="CO1" s="62">
        <f>AJ1</f>
        <v/>
      </c>
      <c r="CP1" s="62">
        <f>AK1</f>
        <v/>
      </c>
      <c r="CQ1" s="62">
        <f>AL1</f>
        <v/>
      </c>
      <c r="CR1" s="62">
        <f>AM1</f>
        <v/>
      </c>
      <c r="CS1" s="62">
        <f>AN1</f>
        <v/>
      </c>
      <c r="CT1" s="62">
        <f>AO1</f>
        <v/>
      </c>
      <c r="CU1" s="19">
        <f>AP1</f>
        <v/>
      </c>
      <c r="CV1" s="19">
        <f>AQ1</f>
        <v/>
      </c>
      <c r="CW1" s="19">
        <f>AR1</f>
        <v/>
      </c>
      <c r="CX1" s="19">
        <f>AS1</f>
        <v/>
      </c>
      <c r="CY1" s="19">
        <f>AT1</f>
        <v/>
      </c>
      <c r="CZ1" s="19">
        <f>AU1</f>
        <v/>
      </c>
      <c r="DA1" s="20">
        <f>AV1</f>
        <v/>
      </c>
    </row>
    <row r="2" ht="17.25" customHeight="1" thickBot="1">
      <c r="A2" s="125" t="n">
        <v>1</v>
      </c>
      <c r="B2" s="126" t="inlineStr">
        <is>
          <t>MAU-R1</t>
        </is>
      </c>
      <c r="C2" s="126" t="inlineStr">
        <is>
          <t>Ducted Inlet</t>
        </is>
      </c>
      <c r="D2" s="127" t="inlineStr">
        <is>
          <t>Trane</t>
        </is>
      </c>
      <c r="E2" s="204" t="inlineStr">
        <is>
          <t>UCCA</t>
        </is>
      </c>
      <c r="F2" s="210" t="n"/>
      <c r="G2" s="211" t="n"/>
      <c r="H2" s="211" t="n"/>
      <c r="I2" s="211" t="n"/>
      <c r="J2" s="211" t="n"/>
      <c r="K2" s="211" t="n"/>
      <c r="L2" s="211" t="n"/>
      <c r="M2" s="217" t="n"/>
      <c r="N2" s="210" t="n">
        <v>86</v>
      </c>
      <c r="O2" s="212" t="n">
        <v>0</v>
      </c>
      <c r="P2" s="207" t="n">
        <v>1</v>
      </c>
      <c r="Q2" s="128">
        <f>ROUND(IF(AND(A2&gt;0, O2&gt;0), N2+ABS(10*LOG10(P2/(4*PI()*CONVERT(O2,"ft", "m")^2))), N2),0)</f>
        <v/>
      </c>
      <c r="R2" s="82" t="n">
        <v>2</v>
      </c>
      <c r="S2" s="82" t="n"/>
      <c r="T2" s="81" t="n">
        <v>104.01</v>
      </c>
      <c r="U2" s="81" t="n">
        <v>99.84999999999999</v>
      </c>
      <c r="V2" s="109">
        <f>SUM(W2:X2)</f>
        <v/>
      </c>
      <c r="W2" s="81" t="n">
        <v>70</v>
      </c>
      <c r="X2" s="129" t="n">
        <v>4.25</v>
      </c>
      <c r="Z2" s="86" t="inlineStr">
        <is>
          <t>R1</t>
        </is>
      </c>
      <c r="AA2" s="81" t="n">
        <v>33.28</v>
      </c>
      <c r="AB2" s="81" t="n">
        <v>85.62</v>
      </c>
      <c r="AC2" s="87" t="n">
        <v>65</v>
      </c>
      <c r="AD2" s="8" t="n">
        <v>40</v>
      </c>
      <c r="AE2" s="2">
        <f t="array" ref="AE2:AE16">IFERROR(TRANSPOSE(ROUND(CM59:DA59,0)), "")</f>
        <v/>
      </c>
      <c r="AG2" t="inlineStr">
        <is>
          <t>Distance (ft)</t>
        </is>
      </c>
      <c r="AH2" s="130">
        <f t="array" ref="AH2">IF(AH$1=0,"",SQRT((_xlfn.XLOOKUP(AH$1,$Z$2:$Z$18,$AA$2:$AA$18)-$T2)^2+(_xlfn.XLOOKUP(AH$1,$Z$2:$Z$18,$AB$2:$AB$18)-$U2)^2+(_xlfn.XLOOKUP(AH$1,$Z$2:$Z$18,$AC$2:$AC$18-$V2)^2)))</f>
        <v/>
      </c>
      <c r="AI2" s="131">
        <f t="array" ref="AI2">IF(AI$1=0,"",SQRT((_xlfn.XLOOKUP(AI$1,$Z$2:$Z$18,$AA$2:$AA$18)-$T2)^2+(_xlfn.XLOOKUP(AI$1,$Z$2:$Z$18,$AB$2:$AB$18)-$U2)^2+(_xlfn.XLOOKUP(AI$1,$Z$2:$Z$18,$AC$2:$AC$18-$V2)^2)))</f>
        <v/>
      </c>
      <c r="AJ2" s="131">
        <f t="array" ref="AJ2">IF(AJ$1=0,"",SQRT((_xlfn.XLOOKUP(AJ$1,$Z$2:$Z$18,$AA$2:$AA$18)-$T2)^2+(_xlfn.XLOOKUP(AJ$1,$Z$2:$Z$18,$AB$2:$AB$18)-$U2)^2+(_xlfn.XLOOKUP(AJ$1,$Z$2:$Z$18,$AC$2:$AC$18-$V2)^2)))</f>
        <v/>
      </c>
      <c r="AK2" s="131">
        <f t="array" ref="AK2">IF(AK$1=0,"",SQRT((_xlfn.XLOOKUP(AK$1,$Z$2:$Z$18,$AA$2:$AA$18)-$T2)^2+(_xlfn.XLOOKUP(AK$1,$Z$2:$Z$18,$AB$2:$AB$18)-$U2)^2+(_xlfn.XLOOKUP(AK$1,$Z$2:$Z$18,$AC$2:$AC$18-$V2)^2)))</f>
        <v/>
      </c>
      <c r="AL2" s="131">
        <f t="array" ref="AL2">IF(AL$1=0,"",SQRT((_xlfn.XLOOKUP(AL$1,$Z$2:$Z$18,$AA$2:$AA$18)-$T2)^2+(_xlfn.XLOOKUP(AL$1,$Z$2:$Z$18,$AB$2:$AB$18)-$U2)^2+(_xlfn.XLOOKUP(AL$1,$Z$2:$Z$18,$AC$2:$AC$18-$V2)^2)))</f>
        <v/>
      </c>
      <c r="AM2" s="131">
        <f t="array" ref="AM2">IF(AM$1=0,"",SQRT((_xlfn.XLOOKUP(AM$1,$Z$2:$Z$18,$AA$2:$AA$18)-$T2)^2+(_xlfn.XLOOKUP(AM$1,$Z$2:$Z$18,$AB$2:$AB$18)-$U2)^2+(_xlfn.XLOOKUP(AM$1,$Z$2:$Z$18,$AC$2:$AC$18-$V2)^2)))</f>
        <v/>
      </c>
      <c r="AN2" s="131">
        <f t="array" ref="AN2">IF(AN$1=0,"",SQRT((_xlfn.XLOOKUP(AN$1,$Z$2:$Z$18,$AA$2:$AA$18)-$T2)^2+(_xlfn.XLOOKUP(AN$1,$Z$2:$Z$18,$AB$2:$AB$18)-$U2)^2+(_xlfn.XLOOKUP(AN$1,$Z$2:$Z$18,$AC$2:$AC$18-$V2)^2)))</f>
        <v/>
      </c>
      <c r="AO2" s="131">
        <f t="array" ref="AO2">IF(AO$1=0,"",SQRT((_xlfn.XLOOKUP(AO$1,$Z$2:$Z$18,$AA$2:$AA$18)-$T2)^2+(_xlfn.XLOOKUP(AO$1,$Z$2:$Z$18,$AB$2:$AB$18)-$U2)^2+(_xlfn.XLOOKUP(AO$1,$Z$2:$Z$18,$AC$2:$AC$18-$V2)^2)))</f>
        <v/>
      </c>
      <c r="AP2" s="132">
        <f t="array" ref="AP2">IF(AP$1=0,"",SQRT((_xlfn.XLOOKUP(AP$1,$Z$2:$Z$18,$AA$2:$AA$18)-$T2)^2+(_xlfn.XLOOKUP(AP$1,$Z$2:$Z$18,$AB$2:$AB$18)-$U2)^2+(_xlfn.XLOOKUP(AP$1,$Z$2:$Z$18,$AC$2:$AC$18-$V2)^2)))</f>
        <v/>
      </c>
      <c r="AQ2" s="132">
        <f t="array" ref="AQ2">IF(AQ$1=0,"",SQRT((_xlfn.XLOOKUP(AQ$1,$Z$2:$Z$18,$AA$2:$AA$18)-$T2)^2+(_xlfn.XLOOKUP(AQ$1,$Z$2:$Z$18,$AB$2:$AB$18)-$U2)^2+(_xlfn.XLOOKUP(AQ$1,$Z$2:$Z$18,$AC$2:$AC$18-$V2)^2)))</f>
        <v/>
      </c>
      <c r="AR2" s="132">
        <f t="array" ref="AR2">IF(AR$1=0,"",SQRT((_xlfn.XLOOKUP(AR$1,$Z$2:$Z$18,$AA$2:$AA$18)-$T2)^2+(_xlfn.XLOOKUP(AR$1,$Z$2:$Z$18,$AB$2:$AB$18)-$U2)^2+(_xlfn.XLOOKUP(AR$1,$Z$2:$Z$18,$AC$2:$AC$18-$V2)^2)))</f>
        <v/>
      </c>
      <c r="AS2" s="132">
        <f t="array" ref="AS2">IF(AS$1=0,"",SQRT((_xlfn.XLOOKUP(AS$1,$Z$2:$Z$18,$AA$2:$AA$18)-$T2)^2+(_xlfn.XLOOKUP(AS$1,$Z$2:$Z$18,$AB$2:$AB$18)-$U2)^2+(_xlfn.XLOOKUP(AS$1,$Z$2:$Z$18,$AC$2:$AC$18-$V2)^2)))</f>
        <v/>
      </c>
      <c r="AT2" s="132">
        <f t="array" ref="AT2">IF(AT$1=0,"",SQRT((_xlfn.XLOOKUP(AT$1,$Z$2:$Z$18,$AA$2:$AA$18)-$T2)^2+(_xlfn.XLOOKUP(AT$1,$Z$2:$Z$18,$AB$2:$AB$18)-$U2)^2+(_xlfn.XLOOKUP(AT$1,$Z$2:$Z$18,$AC$2:$AC$18-$V2)^2)))</f>
        <v/>
      </c>
      <c r="AU2" s="132">
        <f t="array" ref="AU2">IF(AU$1=0,"",SQRT((_xlfn.XLOOKUP(AU$1,$Z$2:$Z$18,$AA$2:$AA$18)-$T2)^2+(_xlfn.XLOOKUP(AU$1,$Z$2:$Z$18,$AB$2:$AB$18)-$U2)^2+(_xlfn.XLOOKUP(AU$1,$Z$2:$Z$18,$AC$2:$AC$18-$V2)^2)))</f>
        <v/>
      </c>
      <c r="AV2" s="133">
        <f t="array" ref="AV2">IF(AV$1=0,"",SQRT((_xlfn.XLOOKUP(AV$1,$Z$2:$Z$18,$AA$2:$AA$18)-$T2)^2+(_xlfn.XLOOKUP(AV$1,$Z$2:$Z$18,$AB$2:$AB$18)-$U2)^2+(_xlfn.XLOOKUP(AV$1,$Z$2:$Z$18,$AC$2:$AC$18-$V2)^2)))</f>
        <v/>
      </c>
      <c r="AW2" s="134" t="n"/>
      <c r="AX2" s="134" t="inlineStr">
        <is>
          <t>Attenuation (dB)</t>
        </is>
      </c>
      <c r="AY2" s="135">
        <f>IFERROR(-ABS(10*LOG10(($R2/(4*PI()*CONVERT(AH2,"ft","m")^2)))),0)</f>
        <v/>
      </c>
      <c r="AZ2" s="136">
        <f>IFERROR(-ABS(10*LOG10(($R2/(4*PI()*CONVERT(AI2,"ft","m")^2)))),0)</f>
        <v/>
      </c>
      <c r="BA2" s="136">
        <f>IFERROR(-ABS(10*LOG10(($R2/(4*PI()*CONVERT(AJ2,"ft","m")^2)))),0)</f>
        <v/>
      </c>
      <c r="BB2" s="136">
        <f>IFERROR(-ABS(10*LOG10(($R2/(4*PI()*CONVERT(AK2,"ft","m")^2)))),0)</f>
        <v/>
      </c>
      <c r="BC2" s="136">
        <f>IFERROR(-ABS(10*LOG10(($R2/(4*PI()*CONVERT(AL2,"ft","m")^2)))),0)</f>
        <v/>
      </c>
      <c r="BD2" s="136">
        <f>IFERROR(-ABS(10*LOG10(($R2/(4*PI()*CONVERT(AM2,"ft","m")^2)))),0)</f>
        <v/>
      </c>
      <c r="BE2" s="136">
        <f>IFERROR(-ABS(10*LOG10(($R2/(4*PI()*CONVERT(AN2,"ft","m")^2)))),0)</f>
        <v/>
      </c>
      <c r="BF2" s="136">
        <f>IFERROR(-ABS(10*LOG10(($R2/(4*PI()*CONVERT(AO2,"ft","m")^2)))),0)</f>
        <v/>
      </c>
      <c r="BG2" s="137">
        <f>IFERROR(-ABS(10*LOG10(($R2/(4*PI()*CONVERT(AP2,"ft","m")^2)))),0)</f>
        <v/>
      </c>
      <c r="BH2" s="137">
        <f>IFERROR(-ABS(10*LOG10(($R2/(4*PI()*CONVERT(AQ2,"ft","m")^2)))),0)</f>
        <v/>
      </c>
      <c r="BI2" s="137">
        <f>IFERROR(-ABS(10*LOG10(($R2/(4*PI()*CONVERT(AR2,"ft","m")^2)))),0)</f>
        <v/>
      </c>
      <c r="BJ2" s="137">
        <f>IFERROR(-ABS(10*LOG10(($R2/(4*PI()*CONVERT(AS2,"ft","m")^2)))),0)</f>
        <v/>
      </c>
      <c r="BK2" s="137">
        <f>IFERROR(-ABS(10*LOG10(($R2/(4*PI()*CONVERT(AT2,"ft","m")^2)))),0)</f>
        <v/>
      </c>
      <c r="BL2" s="137">
        <f>IFERROR(-ABS(10*LOG10(($R2/(4*PI()*CONVERT(AU2,"ft","m")^2)))),0)</f>
        <v/>
      </c>
      <c r="BM2" s="138">
        <f>IFERROR(-ABS(10*LOG10(($R2/(4*PI()*CONVERT(AV2,"ft","m")^2)))),0)</f>
        <v/>
      </c>
      <c r="BN2" s="134" t="n"/>
      <c r="BO2" s="21" t="n"/>
      <c r="BP2" s="22" t="inlineStr">
        <is>
          <t>Source</t>
        </is>
      </c>
      <c r="BQ2" s="22" t="inlineStr">
        <is>
          <t>Receiver</t>
        </is>
      </c>
      <c r="BR2" s="22" t="inlineStr">
        <is>
          <t>Barrier (start)</t>
        </is>
      </c>
      <c r="BS2" s="22" t="inlineStr">
        <is>
          <t>Barrier (end)</t>
        </is>
      </c>
      <c r="BT2" s="134" t="n"/>
      <c r="BU2" s="139" t="inlineStr">
        <is>
          <t>Barrier IL (dB)</t>
        </is>
      </c>
      <c r="BV2" s="201" t="n"/>
      <c r="BW2" s="201" t="n"/>
      <c r="BX2" s="140" t="n"/>
      <c r="BY2" s="140" t="n"/>
      <c r="BZ2" s="140" t="n"/>
      <c r="CA2" s="140" t="n"/>
      <c r="CB2" s="140" t="n"/>
      <c r="CC2" s="140" t="n"/>
      <c r="CD2" s="140" t="n"/>
      <c r="CE2" s="140" t="n"/>
      <c r="CF2" s="140" t="n"/>
      <c r="CG2" s="140" t="n"/>
      <c r="CH2" s="140" t="n"/>
      <c r="CI2" s="140" t="n"/>
      <c r="CJ2" s="140" t="n"/>
      <c r="CK2" s="134" t="n"/>
      <c r="CL2" s="134" t="inlineStr">
        <is>
          <t>Total</t>
        </is>
      </c>
      <c r="CM2" s="141">
        <f>IF( CM$1= 0,"",$Q2-$S2+AY2-BV2)</f>
        <v/>
      </c>
      <c r="CN2" s="142">
        <f>IF( CN$1= 0,"",$Q2-$S2+AZ2-BW2)</f>
        <v/>
      </c>
      <c r="CO2" s="142">
        <f>IF( CO$1= 0,"",$Q2-$S2+BA2-BX2)</f>
        <v/>
      </c>
      <c r="CP2" s="142">
        <f>IF( CP$1= 0,"",$Q2-$S2+BB2-BY2)</f>
        <v/>
      </c>
      <c r="CQ2" s="142">
        <f>IF( CQ$1= 0,"",$Q2-$S2+BC2-BZ2)</f>
        <v/>
      </c>
      <c r="CR2" s="142">
        <f>IF( CR$1= 0,"",$Q2-$S2+BD2-CA2)</f>
        <v/>
      </c>
      <c r="CS2" s="142">
        <f>IF( CS$1= 0,"",$Q2-$S2+BE2-CB2)</f>
        <v/>
      </c>
      <c r="CT2" s="142">
        <f>IF( CT$1= 0,"",$Q2-$S2+BF2-CC2)</f>
        <v/>
      </c>
      <c r="CU2" s="143">
        <f>IF( CU$1= 0,"",$Q2-$S2+BG2-CD2)</f>
        <v/>
      </c>
      <c r="CV2" s="143">
        <f>IF( CV$1= 0,"",$Q2-$S2+BH2-CE2)</f>
        <v/>
      </c>
      <c r="CW2" s="143">
        <f>IF( CW$1= 0,"",$Q2-$S2+BI2-CF2)</f>
        <v/>
      </c>
      <c r="CX2" s="143">
        <f>IF( CX$1= 0,"",$Q2-$S2+BJ2-CG2)</f>
        <v/>
      </c>
      <c r="CY2" s="143">
        <f>IF( CY$1= 0,"",$Q2-$S2+BK2-CH2)</f>
        <v/>
      </c>
      <c r="CZ2" s="143">
        <f>IF( CZ$1= 0,"",$Q2-$S2+BL2-CI2)</f>
        <v/>
      </c>
      <c r="DA2" s="144">
        <f>IF( DA$1= 0,"",$Q2-$S2+BM2-CJ2)</f>
        <v/>
      </c>
      <c r="DN2" t="inlineStr">
        <is>
          <t>bumper</t>
        </is>
      </c>
      <c r="DO2" t="inlineStr">
        <is>
          <t>bumper</t>
        </is>
      </c>
      <c r="DP2" t="inlineStr">
        <is>
          <t>bumper</t>
        </is>
      </c>
      <c r="DQ2" t="inlineStr">
        <is>
          <t>bumper</t>
        </is>
      </c>
    </row>
    <row r="3" ht="17.25" customHeight="1" thickBot="1">
      <c r="A3" s="145" t="n">
        <v>1</v>
      </c>
      <c r="B3" s="126" t="inlineStr">
        <is>
          <t>ERV-R.1</t>
        </is>
      </c>
      <c r="C3" s="146" t="inlineStr">
        <is>
          <t>Outdoor+Casing+Exhaust</t>
        </is>
      </c>
      <c r="D3" s="127" t="inlineStr">
        <is>
          <t>Trane</t>
        </is>
      </c>
      <c r="E3" s="205" t="inlineStr">
        <is>
          <t>CSAA</t>
        </is>
      </c>
      <c r="F3" s="213" t="n"/>
      <c r="G3" s="214" t="n"/>
      <c r="H3" s="214" t="n"/>
      <c r="I3" s="214" t="n"/>
      <c r="J3" s="214" t="n"/>
      <c r="K3" s="214" t="n"/>
      <c r="L3" s="214" t="n"/>
      <c r="M3" s="218" t="n"/>
      <c r="N3" s="213" t="n">
        <v>91</v>
      </c>
      <c r="O3" s="215" t="n">
        <v>0</v>
      </c>
      <c r="P3" s="208" t="n">
        <v>1</v>
      </c>
      <c r="Q3" s="128">
        <f>ROUND(IF(AND(A3&gt;0, O3&gt;0), N3+ABS(10*LOG10(P3/(4*PI()*CONVERT(O3,"ft", "m")^2))), N3),0)</f>
        <v/>
      </c>
      <c r="R3" s="3" t="n">
        <v>2</v>
      </c>
      <c r="S3" s="3" t="n"/>
      <c r="T3" s="214" t="n">
        <v>154.11</v>
      </c>
      <c r="U3" s="214" t="n">
        <v>121.92</v>
      </c>
      <c r="V3" s="109">
        <f>SUM(W3:X3)</f>
        <v/>
      </c>
      <c r="W3" s="81" t="n">
        <v>70</v>
      </c>
      <c r="X3" s="148" t="n">
        <v>2.5</v>
      </c>
      <c r="Z3" s="9" t="inlineStr">
        <is>
          <t>R2</t>
        </is>
      </c>
      <c r="AA3" s="214" t="n">
        <v>104.62</v>
      </c>
      <c r="AB3" s="214" t="n">
        <v>52.77</v>
      </c>
      <c r="AC3" s="87" t="n">
        <v>40</v>
      </c>
      <c r="AD3" s="8" t="n">
        <v>40</v>
      </c>
      <c r="AE3" s="2" t="n">
        <v>59</v>
      </c>
      <c r="AG3" s="61" t="n"/>
      <c r="AH3" s="149">
        <f t="array" ref="AH3">IF(AH$1=0,"",SQRT((_xlfn.XLOOKUP(AH$1,$Z$2:$Z$18,$AA$2:$AA$18)-$T3)^2+(_xlfn.XLOOKUP(AH$1,$Z$2:$Z$18,$AB$2:$AB$18)-$U3)^2+(_xlfn.XLOOKUP(AH$1,$Z$2:$Z$18,$AC$2:$AC$18-$V3)^2)))</f>
        <v/>
      </c>
      <c r="AI3" s="150">
        <f t="array" ref="AI3">IF(AI$1=0,"",SQRT((_xlfn.XLOOKUP(AI$1,$Z$2:$Z$18,$AA$2:$AA$18)-$T3)^2+(_xlfn.XLOOKUP(AI$1,$Z$2:$Z$18,$AB$2:$AB$18)-$U3)^2+(_xlfn.XLOOKUP(AI$1,$Z$2:$Z$18,$AC$2:$AC$18-$V3)^2)))</f>
        <v/>
      </c>
      <c r="AJ3" s="150">
        <f t="array" ref="AJ3">IF(AJ$1=0,"",SQRT((_xlfn.XLOOKUP(AJ$1,$Z$2:$Z$18,$AA$2:$AA$18)-$T3)^2+(_xlfn.XLOOKUP(AJ$1,$Z$2:$Z$18,$AB$2:$AB$18)-$U3)^2+(_xlfn.XLOOKUP(AJ$1,$Z$2:$Z$18,$AC$2:$AC$18-$V3)^2)))</f>
        <v/>
      </c>
      <c r="AK3" s="150">
        <f t="array" ref="AK3">IF(AK$1=0,"",SQRT((_xlfn.XLOOKUP(AK$1,$Z$2:$Z$18,$AA$2:$AA$18)-$T3)^2+(_xlfn.XLOOKUP(AK$1,$Z$2:$Z$18,$AB$2:$AB$18)-$U3)^2+(_xlfn.XLOOKUP(AK$1,$Z$2:$Z$18,$AC$2:$AC$18-$V3)^2)))</f>
        <v/>
      </c>
      <c r="AL3" s="150">
        <f t="array" ref="AL3">IF(AL$1=0,"",SQRT((_xlfn.XLOOKUP(AL$1,$Z$2:$Z$18,$AA$2:$AA$18)-$T3)^2+(_xlfn.XLOOKUP(AL$1,$Z$2:$Z$18,$AB$2:$AB$18)-$U3)^2+(_xlfn.XLOOKUP(AL$1,$Z$2:$Z$18,$AC$2:$AC$18-$V3)^2)))</f>
        <v/>
      </c>
      <c r="AM3" s="150">
        <f t="array" ref="AM3">IF(AM$1=0,"",SQRT((_xlfn.XLOOKUP(AM$1,$Z$2:$Z$18,$AA$2:$AA$18)-$T3)^2+(_xlfn.XLOOKUP(AM$1,$Z$2:$Z$18,$AB$2:$AB$18)-$U3)^2+(_xlfn.XLOOKUP(AM$1,$Z$2:$Z$18,$AC$2:$AC$18-$V3)^2)))</f>
        <v/>
      </c>
      <c r="AN3" s="150">
        <f t="array" ref="AN3">IF(AN$1=0,"",SQRT((_xlfn.XLOOKUP(AN$1,$Z$2:$Z$18,$AA$2:$AA$18)-$T3)^2+(_xlfn.XLOOKUP(AN$1,$Z$2:$Z$18,$AB$2:$AB$18)-$U3)^2+(_xlfn.XLOOKUP(AN$1,$Z$2:$Z$18,$AC$2:$AC$18-$V3)^2)))</f>
        <v/>
      </c>
      <c r="AO3" s="150">
        <f t="array" ref="AO3">IF(AO$1=0,"",SQRT((_xlfn.XLOOKUP(AO$1,$Z$2:$Z$18,$AA$2:$AA$18)-$T3)^2+(_xlfn.XLOOKUP(AO$1,$Z$2:$Z$18,$AB$2:$AB$18)-$U3)^2+(_xlfn.XLOOKUP(AO$1,$Z$2:$Z$18,$AC$2:$AC$18-$V3)^2)))</f>
        <v/>
      </c>
      <c r="AP3" s="151">
        <f t="array" ref="AP3">IF(AP$1=0,"",SQRT((_xlfn.XLOOKUP(AP$1,$Z$2:$Z$18,$AA$2:$AA$18)-$T3)^2+(_xlfn.XLOOKUP(AP$1,$Z$2:$Z$18,$AB$2:$AB$18)-$U3)^2+(_xlfn.XLOOKUP(AP$1,$Z$2:$Z$18,$AC$2:$AC$18-$V3)^2)))</f>
        <v/>
      </c>
      <c r="AQ3" s="151">
        <f t="array" ref="AQ3">IF(AQ$1=0,"",SQRT((_xlfn.XLOOKUP(AQ$1,$Z$2:$Z$18,$AA$2:$AA$18)-$T3)^2+(_xlfn.XLOOKUP(AQ$1,$Z$2:$Z$18,$AB$2:$AB$18)-$U3)^2+(_xlfn.XLOOKUP(AQ$1,$Z$2:$Z$18,$AC$2:$AC$18-$V3)^2)))</f>
        <v/>
      </c>
      <c r="AR3" s="151">
        <f t="array" ref="AR3">IF(AR$1=0,"",SQRT((_xlfn.XLOOKUP(AR$1,$Z$2:$Z$18,$AA$2:$AA$18)-$T3)^2+(_xlfn.XLOOKUP(AR$1,$Z$2:$Z$18,$AB$2:$AB$18)-$U3)^2+(_xlfn.XLOOKUP(AR$1,$Z$2:$Z$18,$AC$2:$AC$18-$V3)^2)))</f>
        <v/>
      </c>
      <c r="AS3" s="151">
        <f t="array" ref="AS3">IF(AS$1=0,"",SQRT((_xlfn.XLOOKUP(AS$1,$Z$2:$Z$18,$AA$2:$AA$18)-$T3)^2+(_xlfn.XLOOKUP(AS$1,$Z$2:$Z$18,$AB$2:$AB$18)-$U3)^2+(_xlfn.XLOOKUP(AS$1,$Z$2:$Z$18,$AC$2:$AC$18-$V3)^2)))</f>
        <v/>
      </c>
      <c r="AT3" s="151">
        <f t="array" ref="AT3">IF(AT$1=0,"",SQRT((_xlfn.XLOOKUP(AT$1,$Z$2:$Z$18,$AA$2:$AA$18)-$T3)^2+(_xlfn.XLOOKUP(AT$1,$Z$2:$Z$18,$AB$2:$AB$18)-$U3)^2+(_xlfn.XLOOKUP(AT$1,$Z$2:$Z$18,$AC$2:$AC$18-$V3)^2)))</f>
        <v/>
      </c>
      <c r="AU3" s="151">
        <f t="array" ref="AU3">IF(AU$1=0,"",SQRT((_xlfn.XLOOKUP(AU$1,$Z$2:$Z$18,$AA$2:$AA$18)-$T3)^2+(_xlfn.XLOOKUP(AU$1,$Z$2:$Z$18,$AB$2:$AB$18)-$U3)^2+(_xlfn.XLOOKUP(AU$1,$Z$2:$Z$18,$AC$2:$AC$18-$V3)^2)))</f>
        <v/>
      </c>
      <c r="AV3" s="152">
        <f t="array" ref="AV3">IF(AV$1=0,"",SQRT((_xlfn.XLOOKUP(AV$1,$Z$2:$Z$18,$AA$2:$AA$18)-$T3)^2+(_xlfn.XLOOKUP(AV$1,$Z$2:$Z$18,$AB$2:$AB$18)-$U3)^2+(_xlfn.XLOOKUP(AV$1,$Z$2:$Z$18,$AC$2:$AC$18-$V3)^2)))</f>
        <v/>
      </c>
      <c r="AW3" s="134" t="n"/>
      <c r="AX3" s="61" t="n"/>
      <c r="AY3" s="135">
        <f>IFERROR(-ABS(10*LOG10(($R3/(4*PI()*CONVERT(AH3,"ft","m")^2)))),0)</f>
        <v/>
      </c>
      <c r="AZ3" s="153">
        <f>IFERROR(-ABS(10*LOG10(($R3/(4*PI()*CONVERT(AI3,"ft","m")^2)))),0)</f>
        <v/>
      </c>
      <c r="BA3" s="153">
        <f>IFERROR(-ABS(10*LOG10(($R3/(4*PI()*CONVERT(AJ3,"ft","m")^2)))),0)</f>
        <v/>
      </c>
      <c r="BB3" s="153">
        <f>IFERROR(-ABS(10*LOG10(($R3/(4*PI()*CONVERT(AK3,"ft","m")^2)))),0)</f>
        <v/>
      </c>
      <c r="BC3" s="153">
        <f>IFERROR(-ABS(10*LOG10(($R3/(4*PI()*CONVERT(AL3,"ft","m")^2)))),0)</f>
        <v/>
      </c>
      <c r="BD3" s="153">
        <f>IFERROR(-ABS(10*LOG10(($R3/(4*PI()*CONVERT(AM3,"ft","m")^2)))),0)</f>
        <v/>
      </c>
      <c r="BE3" s="153">
        <f>IFERROR(-ABS(10*LOG10(($R3/(4*PI()*CONVERT(AN3,"ft","m")^2)))),0)</f>
        <v/>
      </c>
      <c r="BF3" s="153">
        <f>IFERROR(-ABS(10*LOG10(($R3/(4*PI()*CONVERT(AO3,"ft","m")^2)))),0)</f>
        <v/>
      </c>
      <c r="BG3" s="154">
        <f>IFERROR(-ABS(10*LOG10(($R3/(4*PI()*CONVERT(AP3,"ft","m")^2)))),0)</f>
        <v/>
      </c>
      <c r="BH3" s="154">
        <f>IFERROR(-ABS(10*LOG10(($R3/(4*PI()*CONVERT(AQ3,"ft","m")^2)))),0)</f>
        <v/>
      </c>
      <c r="BI3" s="154">
        <f>IFERROR(-ABS(10*LOG10(($R3/(4*PI()*CONVERT(AR3,"ft","m")^2)))),0)</f>
        <v/>
      </c>
      <c r="BJ3" s="154">
        <f>IFERROR(-ABS(10*LOG10(($R3/(4*PI()*CONVERT(AS3,"ft","m")^2)))),0)</f>
        <v/>
      </c>
      <c r="BK3" s="154">
        <f>IFERROR(-ABS(10*LOG10(($R3/(4*PI()*CONVERT(AT3,"ft","m")^2)))),0)</f>
        <v/>
      </c>
      <c r="BL3" s="154">
        <f>IFERROR(-ABS(10*LOG10(($R3/(4*PI()*CONVERT(AU3,"ft","m")^2)))),0)</f>
        <v/>
      </c>
      <c r="BM3" s="155">
        <f>IFERROR(-ABS(10*LOG10(($R3/(4*PI()*CONVERT(AV3,"ft","m")^2)))),0)</f>
        <v/>
      </c>
      <c r="BN3" s="134" t="n"/>
      <c r="BO3" s="23" t="n"/>
      <c r="BP3" s="24" t="inlineStr">
        <is>
          <t>Name</t>
        </is>
      </c>
      <c r="BQ3" s="25" t="inlineStr">
        <is>
          <t>X</t>
        </is>
      </c>
      <c r="BR3" s="26" t="inlineStr">
        <is>
          <t>Y</t>
        </is>
      </c>
      <c r="BS3" s="27" t="inlineStr">
        <is>
          <t>Z</t>
        </is>
      </c>
      <c r="BT3" s="134" t="n"/>
      <c r="BU3" s="134" t="n"/>
      <c r="BV3" s="201" t="n"/>
      <c r="BW3" s="201" t="n"/>
      <c r="BX3" s="140" t="n"/>
      <c r="BY3" s="140" t="n"/>
      <c r="BZ3" s="201" t="n"/>
      <c r="CA3" s="140" t="n"/>
      <c r="CB3" s="140" t="n"/>
      <c r="CC3" s="140" t="n"/>
      <c r="CD3" s="140" t="n"/>
      <c r="CE3" s="140" t="n"/>
      <c r="CF3" s="140" t="n"/>
      <c r="CG3" s="140" t="n"/>
      <c r="CH3" s="140" t="n"/>
      <c r="CI3" s="140" t="n"/>
      <c r="CJ3" s="140" t="n"/>
      <c r="CK3" s="134" t="n"/>
      <c r="CL3" s="134" t="n"/>
      <c r="CM3" s="156">
        <f>IF( CM$1= 0,"",$Q3-$S3+AY3-BV3)</f>
        <v/>
      </c>
      <c r="CN3" s="157">
        <f>IF( CN$1= 0,"",$Q3-$S3+AZ3-BW3)</f>
        <v/>
      </c>
      <c r="CO3" s="157">
        <f>IF( CO$1= 0,"",$Q3-$S3+BA3-BX3)</f>
        <v/>
      </c>
      <c r="CP3" s="157">
        <f>IF( CP$1= 0,"",$Q3-$S3+BB3-BY3)</f>
        <v/>
      </c>
      <c r="CQ3" s="157">
        <f>IF( CQ$1= 0,"",$Q3-$S3+BC3-BZ3)</f>
        <v/>
      </c>
      <c r="CR3" s="157">
        <f>IF( CR$1= 0,"",$Q3-$S3+BD3-CA3)</f>
        <v/>
      </c>
      <c r="CS3" s="157">
        <f>IF( CS$1= 0,"",$Q3-$S3+BE3-CB3)</f>
        <v/>
      </c>
      <c r="CT3" s="157">
        <f>IF( CT$1= 0,"",$Q3-$S3+BF3-CC3)</f>
        <v/>
      </c>
      <c r="CU3" s="158">
        <f>IF( CU$1= 0,"",$Q3-$S3+BG3-CD3)</f>
        <v/>
      </c>
      <c r="CV3" s="158">
        <f>IF( CV$1= 0,"",$Q3-$S3+BH3-CE3)</f>
        <v/>
      </c>
      <c r="CW3" s="158">
        <f>IF( CW$1= 0,"",$Q3-$S3+BI3-CF3)</f>
        <v/>
      </c>
      <c r="CX3" s="158">
        <f>IF( CX$1= 0,"",$Q3-$S3+BJ3-CG3)</f>
        <v/>
      </c>
      <c r="CY3" s="143">
        <f>IF( CY$1= 0,"",$Q3-$S3+BK3-CH3)</f>
        <v/>
      </c>
      <c r="CZ3" s="143">
        <f>IF( CZ$1= 0,"",$Q3-$S3+BL3-CI3)</f>
        <v/>
      </c>
      <c r="DA3" s="144">
        <f>IF( DA$1= 0,"",$Q3-$S3+BM3-CJ3)</f>
        <v/>
      </c>
    </row>
    <row r="4" ht="17.25" customHeight="1" thickBot="1">
      <c r="A4" s="145" t="n">
        <v>1</v>
      </c>
      <c r="B4" s="126" t="inlineStr">
        <is>
          <t xml:space="preserve">GEF-R1 </t>
        </is>
      </c>
      <c r="C4" s="146" t="inlineStr">
        <is>
          <t>Inlet (plus ductwork lined)</t>
        </is>
      </c>
      <c r="D4" s="147" t="inlineStr">
        <is>
          <t>Greenheck</t>
        </is>
      </c>
      <c r="E4" s="205" t="inlineStr">
        <is>
          <t>USF-336 BL</t>
        </is>
      </c>
      <c r="F4" s="213" t="n"/>
      <c r="G4" s="214" t="n"/>
      <c r="H4" s="214" t="n"/>
      <c r="I4" s="214" t="n"/>
      <c r="J4" s="214" t="n"/>
      <c r="K4" s="214" t="n"/>
      <c r="L4" s="214" t="n"/>
      <c r="M4" s="218" t="n"/>
      <c r="N4" s="213" t="n">
        <v>82</v>
      </c>
      <c r="O4" s="215" t="n">
        <v>0</v>
      </c>
      <c r="P4" s="208" t="n">
        <v>1</v>
      </c>
      <c r="Q4" s="128">
        <f>ROUND(IF(AND(A4&gt;0, O4&gt;0), N4+ABS(10*LOG10(P4/(4*PI()*CONVERT(O4,"ft", "m")^2))), N4),0)</f>
        <v/>
      </c>
      <c r="R4" s="3" t="n">
        <v>2</v>
      </c>
      <c r="S4" s="3" t="n">
        <v>13</v>
      </c>
      <c r="T4" s="214" t="n">
        <v>211.2</v>
      </c>
      <c r="U4" s="214" t="n">
        <v>37.28</v>
      </c>
      <c r="V4" s="109">
        <f>SUM(W4:X4)</f>
        <v/>
      </c>
      <c r="W4" s="81" t="n">
        <v>70</v>
      </c>
      <c r="X4" s="148" t="n">
        <v>5</v>
      </c>
      <c r="Z4" s="9" t="inlineStr">
        <is>
          <t>R3</t>
        </is>
      </c>
      <c r="AA4" s="214" t="n">
        <v>217.01</v>
      </c>
      <c r="AB4" s="214" t="n">
        <v>22.5</v>
      </c>
      <c r="AC4" s="87" t="n">
        <v>60</v>
      </c>
      <c r="AD4" s="8" t="n">
        <v>40</v>
      </c>
      <c r="AE4" s="2" t="n">
        <v>55</v>
      </c>
      <c r="AG4" s="61" t="n"/>
      <c r="AH4" s="149">
        <f t="array" ref="AH4">IF(AH$1=0,"",SQRT((_xlfn.XLOOKUP(AH$1,$Z$2:$Z$18,$AA$2:$AA$18)-$T4)^2+(_xlfn.XLOOKUP(AH$1,$Z$2:$Z$18,$AB$2:$AB$18)-$U4)^2+(_xlfn.XLOOKUP(AH$1,$Z$2:$Z$18,$AC$2:$AC$18-$V4)^2)))</f>
        <v/>
      </c>
      <c r="AI4" s="150">
        <f t="array" ref="AI4">IF(AI$1=0,"",SQRT((_xlfn.XLOOKUP(AI$1,$Z$2:$Z$18,$AA$2:$AA$18)-$T4)^2+(_xlfn.XLOOKUP(AI$1,$Z$2:$Z$18,$AB$2:$AB$18)-$U4)^2+(_xlfn.XLOOKUP(AI$1,$Z$2:$Z$18,$AC$2:$AC$18-$V4)^2)))</f>
        <v/>
      </c>
      <c r="AJ4" s="150">
        <f t="array" ref="AJ4">IF(AJ$1=0,"",SQRT((_xlfn.XLOOKUP(AJ$1,$Z$2:$Z$18,$AA$2:$AA$18)-$T4)^2+(_xlfn.XLOOKUP(AJ$1,$Z$2:$Z$18,$AB$2:$AB$18)-$U4)^2+(_xlfn.XLOOKUP(AJ$1,$Z$2:$Z$18,$AC$2:$AC$18-$V4)^2)))</f>
        <v/>
      </c>
      <c r="AK4" s="150">
        <f t="array" ref="AK4">IF(AK$1=0,"",SQRT((_xlfn.XLOOKUP(AK$1,$Z$2:$Z$18,$AA$2:$AA$18)-$T4)^2+(_xlfn.XLOOKUP(AK$1,$Z$2:$Z$18,$AB$2:$AB$18)-$U4)^2+(_xlfn.XLOOKUP(AK$1,$Z$2:$Z$18,$AC$2:$AC$18-$V4)^2)))</f>
        <v/>
      </c>
      <c r="AL4" s="150">
        <f t="array" ref="AL4">IF(AL$1=0,"",SQRT((_xlfn.XLOOKUP(AL$1,$Z$2:$Z$18,$AA$2:$AA$18)-$T4)^2+(_xlfn.XLOOKUP(AL$1,$Z$2:$Z$18,$AB$2:$AB$18)-$U4)^2+(_xlfn.XLOOKUP(AL$1,$Z$2:$Z$18,$AC$2:$AC$18-$V4)^2)))</f>
        <v/>
      </c>
      <c r="AM4" s="150">
        <f t="array" ref="AM4">IF(AM$1=0,"",SQRT((_xlfn.XLOOKUP(AM$1,$Z$2:$Z$18,$AA$2:$AA$18)-$T4)^2+(_xlfn.XLOOKUP(AM$1,$Z$2:$Z$18,$AB$2:$AB$18)-$U4)^2+(_xlfn.XLOOKUP(AM$1,$Z$2:$Z$18,$AC$2:$AC$18-$V4)^2)))</f>
        <v/>
      </c>
      <c r="AN4" s="150">
        <f t="array" ref="AN4">IF(AN$1=0,"",SQRT((_xlfn.XLOOKUP(AN$1,$Z$2:$Z$18,$AA$2:$AA$18)-$T4)^2+(_xlfn.XLOOKUP(AN$1,$Z$2:$Z$18,$AB$2:$AB$18)-$U4)^2+(_xlfn.XLOOKUP(AN$1,$Z$2:$Z$18,$AC$2:$AC$18-$V4)^2)))</f>
        <v/>
      </c>
      <c r="AO4" s="150">
        <f t="array" ref="AO4">IF(AO$1=0,"",SQRT((_xlfn.XLOOKUP(AO$1,$Z$2:$Z$18,$AA$2:$AA$18)-$T4)^2+(_xlfn.XLOOKUP(AO$1,$Z$2:$Z$18,$AB$2:$AB$18)-$U4)^2+(_xlfn.XLOOKUP(AO$1,$Z$2:$Z$18,$AC$2:$AC$18-$V4)^2)))</f>
        <v/>
      </c>
      <c r="AP4" s="151">
        <f t="array" ref="AP4">IF(AP$1=0,"",SQRT((_xlfn.XLOOKUP(AP$1,$Z$2:$Z$18,$AA$2:$AA$18)-$T4)^2+(_xlfn.XLOOKUP(AP$1,$Z$2:$Z$18,$AB$2:$AB$18)-$U4)^2+(_xlfn.XLOOKUP(AP$1,$Z$2:$Z$18,$AC$2:$AC$18-$V4)^2)))</f>
        <v/>
      </c>
      <c r="AQ4" s="151">
        <f t="array" ref="AQ4">IF(AQ$1=0,"",SQRT((_xlfn.XLOOKUP(AQ$1,$Z$2:$Z$18,$AA$2:$AA$18)-$T4)^2+(_xlfn.XLOOKUP(AQ$1,$Z$2:$Z$18,$AB$2:$AB$18)-$U4)^2+(_xlfn.XLOOKUP(AQ$1,$Z$2:$Z$18,$AC$2:$AC$18-$V4)^2)))</f>
        <v/>
      </c>
      <c r="AR4" s="151">
        <f t="array" ref="AR4">IF(AR$1=0,"",SQRT((_xlfn.XLOOKUP(AR$1,$Z$2:$Z$18,$AA$2:$AA$18)-$T4)^2+(_xlfn.XLOOKUP(AR$1,$Z$2:$Z$18,$AB$2:$AB$18)-$U4)^2+(_xlfn.XLOOKUP(AR$1,$Z$2:$Z$18,$AC$2:$AC$18-$V4)^2)))</f>
        <v/>
      </c>
      <c r="AS4" s="151">
        <f t="array" ref="AS4">IF(AS$1=0,"",SQRT((_xlfn.XLOOKUP(AS$1,$Z$2:$Z$18,$AA$2:$AA$18)-$T4)^2+(_xlfn.XLOOKUP(AS$1,$Z$2:$Z$18,$AB$2:$AB$18)-$U4)^2+(_xlfn.XLOOKUP(AS$1,$Z$2:$Z$18,$AC$2:$AC$18-$V4)^2)))</f>
        <v/>
      </c>
      <c r="AT4" s="151">
        <f t="array" ref="AT4">IF(AT$1=0,"",SQRT((_xlfn.XLOOKUP(AT$1,$Z$2:$Z$18,$AA$2:$AA$18)-$T4)^2+(_xlfn.XLOOKUP(AT$1,$Z$2:$Z$18,$AB$2:$AB$18)-$U4)^2+(_xlfn.XLOOKUP(AT$1,$Z$2:$Z$18,$AC$2:$AC$18-$V4)^2)))</f>
        <v/>
      </c>
      <c r="AU4" s="151">
        <f t="array" ref="AU4">IF(AU$1=0,"",SQRT((_xlfn.XLOOKUP(AU$1,$Z$2:$Z$18,$AA$2:$AA$18)-$T4)^2+(_xlfn.XLOOKUP(AU$1,$Z$2:$Z$18,$AB$2:$AB$18)-$U4)^2+(_xlfn.XLOOKUP(AU$1,$Z$2:$Z$18,$AC$2:$AC$18-$V4)^2)))</f>
        <v/>
      </c>
      <c r="AV4" s="152">
        <f t="array" ref="AV4">IF(AV$1=0,"",SQRT((_xlfn.XLOOKUP(AV$1,$Z$2:$Z$18,$AA$2:$AA$18)-$T4)^2+(_xlfn.XLOOKUP(AV$1,$Z$2:$Z$18,$AB$2:$AB$18)-$U4)^2+(_xlfn.XLOOKUP(AV$1,$Z$2:$Z$18,$AC$2:$AC$18-$V4)^2)))</f>
        <v/>
      </c>
      <c r="AW4" s="134" t="n"/>
      <c r="AX4" s="159" t="n"/>
      <c r="AY4" s="135">
        <f>IFERROR(-ABS(10*LOG10(($R4/(4*PI()*CONVERT(AH4,"ft","m")^2)))),0)</f>
        <v/>
      </c>
      <c r="AZ4" s="153">
        <f>IFERROR(-ABS(10*LOG10(($R4/(4*PI()*CONVERT(AI4,"ft","m")^2)))),0)</f>
        <v/>
      </c>
      <c r="BA4" s="153">
        <f>IFERROR(-ABS(10*LOG10(($R4/(4*PI()*CONVERT(AJ4,"ft","m")^2)))),0)</f>
        <v/>
      </c>
      <c r="BB4" s="153">
        <f>IFERROR(-ABS(10*LOG10(($R4/(4*PI()*CONVERT(AK4,"ft","m")^2)))),0)</f>
        <v/>
      </c>
      <c r="BC4" s="153">
        <f>IFERROR(-ABS(10*LOG10(($R4/(4*PI()*CONVERT(AL4,"ft","m")^2)))),0)</f>
        <v/>
      </c>
      <c r="BD4" s="153">
        <f>IFERROR(-ABS(10*LOG10(($R4/(4*PI()*CONVERT(AM4,"ft","m")^2)))),0)</f>
        <v/>
      </c>
      <c r="BE4" s="153">
        <f>IFERROR(-ABS(10*LOG10(($R4/(4*PI()*CONVERT(AN4,"ft","m")^2)))),0)</f>
        <v/>
      </c>
      <c r="BF4" s="153">
        <f>IFERROR(-ABS(10*LOG10(($R4/(4*PI()*CONVERT(AO4,"ft","m")^2)))),0)</f>
        <v/>
      </c>
      <c r="BG4" s="154">
        <f>IFERROR(-ABS(10*LOG10(($R4/(4*PI()*CONVERT(AP4,"ft","m")^2)))),0)</f>
        <v/>
      </c>
      <c r="BH4" s="154">
        <f>IFERROR(-ABS(10*LOG10(($R4/(4*PI()*CONVERT(AQ4,"ft","m")^2)))),0)</f>
        <v/>
      </c>
      <c r="BI4" s="154">
        <f>IFERROR(-ABS(10*LOG10(($R4/(4*PI()*CONVERT(AR4,"ft","m")^2)))),0)</f>
        <v/>
      </c>
      <c r="BJ4" s="154">
        <f>IFERROR(-ABS(10*LOG10(($R4/(4*PI()*CONVERT(AS4,"ft","m")^2)))),0)</f>
        <v/>
      </c>
      <c r="BK4" s="154">
        <f>IFERROR(-ABS(10*LOG10(($R4/(4*PI()*CONVERT(AT4,"ft","m")^2)))),0)</f>
        <v/>
      </c>
      <c r="BL4" s="154">
        <f>IFERROR(-ABS(10*LOG10(($R4/(4*PI()*CONVERT(AU4,"ft","m")^2)))),0)</f>
        <v/>
      </c>
      <c r="BM4" s="155">
        <f>IFERROR(-ABS(10*LOG10(($R4/(4*PI()*CONVERT(AV4,"ft","m")^2)))),0)</f>
        <v/>
      </c>
      <c r="BN4" s="134" t="n"/>
      <c r="BO4" s="28" t="inlineStr">
        <is>
          <t>Source</t>
        </is>
      </c>
      <c r="BP4" s="29" t="inlineStr">
        <is>
          <t xml:space="preserve">KEF-R1 </t>
        </is>
      </c>
      <c r="BQ4" s="30">
        <f>_xlfn.XLOOKUP($BP$4,$B$2:$B$58,T2:T58,"not found",0,1)</f>
        <v/>
      </c>
      <c r="BR4" s="31">
        <f>_xlfn.XLOOKUP($BP$4,$B$2:$B$58,U2:U58,"not found",0,1)</f>
        <v/>
      </c>
      <c r="BS4" s="32">
        <f>_xlfn.XLOOKUP($BP$4,$B$2:$B$58,V2:V58,"not found",0,1)</f>
        <v/>
      </c>
      <c r="BT4" s="134" t="n"/>
      <c r="BU4" s="134" t="n"/>
      <c r="BV4" s="140" t="n"/>
      <c r="BW4" s="140" t="n"/>
      <c r="BX4" s="140" t="n"/>
      <c r="BY4" s="140" t="n"/>
      <c r="BZ4" s="140" t="n"/>
      <c r="CA4" s="140" t="n"/>
      <c r="CB4" s="140" t="n"/>
      <c r="CC4" s="140" t="n"/>
      <c r="CD4" s="140" t="n"/>
      <c r="CE4" s="140" t="n"/>
      <c r="CF4" s="140" t="n"/>
      <c r="CG4" s="140" t="n"/>
      <c r="CH4" s="140" t="n"/>
      <c r="CI4" s="140" t="n"/>
      <c r="CJ4" s="140" t="n"/>
      <c r="CK4" s="134" t="n"/>
      <c r="CL4" s="134" t="n"/>
      <c r="CM4" s="141">
        <f>IF( CM$1= 0,"",$Q4-$S4+AY4-BV4)</f>
        <v/>
      </c>
      <c r="CN4" s="142">
        <f>IF( CN$1= 0,"",$Q4-$S4+AZ4-BW4)</f>
        <v/>
      </c>
      <c r="CO4" s="142">
        <f>IF( CO$1= 0,"",$Q4-$S4+BA4-BX4)</f>
        <v/>
      </c>
      <c r="CP4" s="142">
        <f>IF( CP$1= 0,"",$Q4-$S4+BB4-BY4)</f>
        <v/>
      </c>
      <c r="CQ4" s="142">
        <f>IF( CQ$1= 0,"",$Q4-$S4+BC4-BZ4)</f>
        <v/>
      </c>
      <c r="CR4" s="142">
        <f>IF( CR$1= 0,"",$Q4-$S4+BD4-CA4)</f>
        <v/>
      </c>
      <c r="CS4" s="142">
        <f>IF( CS$1= 0,"",$Q4-$S4+BE4-CB4)</f>
        <v/>
      </c>
      <c r="CT4" s="142">
        <f>IF( CT$1= 0,"",$Q4-$S4+BF4-CC4)</f>
        <v/>
      </c>
      <c r="CU4" s="143">
        <f>IF( CU$1= 0,"",$Q4-$S4+BG4-CD4)</f>
        <v/>
      </c>
      <c r="CV4" s="143">
        <f>IF( CV$1= 0,"",$Q4-$S4+BH4-CE4)</f>
        <v/>
      </c>
      <c r="CW4" s="143">
        <f>IF( CW$1= 0,"",$Q4-$S4+BI4-CF4)</f>
        <v/>
      </c>
      <c r="CX4" s="143">
        <f>IF( CX$1= 0,"",$Q4-$S4+BJ4-CG4)</f>
        <v/>
      </c>
      <c r="CY4" s="143">
        <f>IF( CY$1= 0,"",$Q4-$S4+BK4-CH4)</f>
        <v/>
      </c>
      <c r="CZ4" s="143">
        <f>IF( CZ$1= 0,"",$Q4-$S4+BL4-CI4)</f>
        <v/>
      </c>
      <c r="DA4" s="144">
        <f>IF( DA$1= 0,"",$Q4-$S4+BM4-CJ4)</f>
        <v/>
      </c>
    </row>
    <row r="5" ht="17.25" customHeight="1" thickBot="1">
      <c r="A5" s="145" t="n">
        <v>1</v>
      </c>
      <c r="B5" s="126" t="inlineStr">
        <is>
          <t>DEF-R1, R2</t>
        </is>
      </c>
      <c r="C5" s="146" t="inlineStr">
        <is>
          <t>Inlet</t>
        </is>
      </c>
      <c r="D5" s="147" t="inlineStr">
        <is>
          <t>Greenheck</t>
        </is>
      </c>
      <c r="E5" s="205" t="inlineStr">
        <is>
          <t>G-095-VG</t>
        </is>
      </c>
      <c r="F5" s="213" t="n"/>
      <c r="G5" s="214" t="n"/>
      <c r="H5" s="214" t="n"/>
      <c r="I5" s="214" t="n"/>
      <c r="J5" s="214" t="n"/>
      <c r="K5" s="214" t="n"/>
      <c r="L5" s="214" t="n"/>
      <c r="M5" s="218" t="n"/>
      <c r="N5" s="213" t="n">
        <v>70</v>
      </c>
      <c r="O5" s="215" t="n">
        <v>0</v>
      </c>
      <c r="P5" s="208" t="n">
        <v>1</v>
      </c>
      <c r="Q5" s="128">
        <f>ROUND(IF(AND(A5&gt;0, O5&gt;0), N5+ABS(10*LOG10(P5/(4*PI()*CONVERT(O5,"ft", "m")^2))), N5),0)</f>
        <v/>
      </c>
      <c r="R5" s="3" t="n">
        <v>2</v>
      </c>
      <c r="S5" s="3" t="n"/>
      <c r="T5" s="214" t="n">
        <v>169.87</v>
      </c>
      <c r="U5" s="214" t="n">
        <v>122.08</v>
      </c>
      <c r="V5" s="109">
        <f>SUM(W5:X5)</f>
        <v/>
      </c>
      <c r="W5" s="81" t="n">
        <v>70</v>
      </c>
      <c r="X5" s="148" t="n">
        <v>2</v>
      </c>
      <c r="Z5" s="9" t="inlineStr">
        <is>
          <t>R4</t>
        </is>
      </c>
      <c r="AA5" s="214" t="n">
        <v>316.86</v>
      </c>
      <c r="AB5" s="214" t="n">
        <v>86.55</v>
      </c>
      <c r="AC5" s="87" t="n">
        <v>40</v>
      </c>
      <c r="AD5" s="8" t="n">
        <v>40</v>
      </c>
      <c r="AE5" s="2" t="n">
        <v>51</v>
      </c>
      <c r="AH5" s="149">
        <f t="array" ref="AH5">IF(AH$1=0,"",SQRT((_xlfn.XLOOKUP(AH$1,$Z$2:$Z$18,$AA$2:$AA$18)-$T5)^2+(_xlfn.XLOOKUP(AH$1,$Z$2:$Z$18,$AB$2:$AB$18)-$U5)^2+(_xlfn.XLOOKUP(AH$1,$Z$2:$Z$18,$AC$2:$AC$18-$V5)^2)))</f>
        <v/>
      </c>
      <c r="AI5" s="150">
        <f t="array" ref="AI5">IF(AI$1=0,"",SQRT((_xlfn.XLOOKUP(AI$1,$Z$2:$Z$18,$AA$2:$AA$18)-$T5)^2+(_xlfn.XLOOKUP(AI$1,$Z$2:$Z$18,$AB$2:$AB$18)-$U5)^2+(_xlfn.XLOOKUP(AI$1,$Z$2:$Z$18,$AC$2:$AC$18-$V5)^2)))</f>
        <v/>
      </c>
      <c r="AJ5" s="150">
        <f t="array" ref="AJ5">IF(AJ$1=0,"",SQRT((_xlfn.XLOOKUP(AJ$1,$Z$2:$Z$18,$AA$2:$AA$18)-$T5)^2+(_xlfn.XLOOKUP(AJ$1,$Z$2:$Z$18,$AB$2:$AB$18)-$U5)^2+(_xlfn.XLOOKUP(AJ$1,$Z$2:$Z$18,$AC$2:$AC$18-$V5)^2)))</f>
        <v/>
      </c>
      <c r="AK5" s="150">
        <f t="array" ref="AK5">IF(AK$1=0,"",SQRT((_xlfn.XLOOKUP(AK$1,$Z$2:$Z$18,$AA$2:$AA$18)-$T5)^2+(_xlfn.XLOOKUP(AK$1,$Z$2:$Z$18,$AB$2:$AB$18)-$U5)^2+(_xlfn.XLOOKUP(AK$1,$Z$2:$Z$18,$AC$2:$AC$18-$V5)^2)))</f>
        <v/>
      </c>
      <c r="AL5" s="150">
        <f t="array" ref="AL5">IF(AL$1=0,"",SQRT((_xlfn.XLOOKUP(AL$1,$Z$2:$Z$18,$AA$2:$AA$18)-$T5)^2+(_xlfn.XLOOKUP(AL$1,$Z$2:$Z$18,$AB$2:$AB$18)-$U5)^2+(_xlfn.XLOOKUP(AL$1,$Z$2:$Z$18,$AC$2:$AC$18-$V5)^2)))</f>
        <v/>
      </c>
      <c r="AM5" s="150">
        <f t="array" ref="AM5">IF(AM$1=0,"",SQRT((_xlfn.XLOOKUP(AM$1,$Z$2:$Z$18,$AA$2:$AA$18)-$T5)^2+(_xlfn.XLOOKUP(AM$1,$Z$2:$Z$18,$AB$2:$AB$18)-$U5)^2+(_xlfn.XLOOKUP(AM$1,$Z$2:$Z$18,$AC$2:$AC$18-$V5)^2)))</f>
        <v/>
      </c>
      <c r="AN5" s="150">
        <f t="array" ref="AN5">IF(AN$1=0,"",SQRT((_xlfn.XLOOKUP(AN$1,$Z$2:$Z$18,$AA$2:$AA$18)-$T5)^2+(_xlfn.XLOOKUP(AN$1,$Z$2:$Z$18,$AB$2:$AB$18)-$U5)^2+(_xlfn.XLOOKUP(AN$1,$Z$2:$Z$18,$AC$2:$AC$18-$V5)^2)))</f>
        <v/>
      </c>
      <c r="AO5" s="150">
        <f t="array" ref="AO5">IF(AO$1=0,"",SQRT((_xlfn.XLOOKUP(AO$1,$Z$2:$Z$18,$AA$2:$AA$18)-$T5)^2+(_xlfn.XLOOKUP(AO$1,$Z$2:$Z$18,$AB$2:$AB$18)-$U5)^2+(_xlfn.XLOOKUP(AO$1,$Z$2:$Z$18,$AC$2:$AC$18-$V5)^2)))</f>
        <v/>
      </c>
      <c r="AP5" s="151">
        <f t="array" ref="AP5">IF(AP$1=0,"",SQRT((_xlfn.XLOOKUP(AP$1,$Z$2:$Z$18,$AA$2:$AA$18)-$T5)^2+(_xlfn.XLOOKUP(AP$1,$Z$2:$Z$18,$AB$2:$AB$18)-$U5)^2+(_xlfn.XLOOKUP(AP$1,$Z$2:$Z$18,$AC$2:$AC$18-$V5)^2)))</f>
        <v/>
      </c>
      <c r="AQ5" s="151">
        <f t="array" ref="AQ5">IF(AQ$1=0,"",SQRT((_xlfn.XLOOKUP(AQ$1,$Z$2:$Z$18,$AA$2:$AA$18)-$T5)^2+(_xlfn.XLOOKUP(AQ$1,$Z$2:$Z$18,$AB$2:$AB$18)-$U5)^2+(_xlfn.XLOOKUP(AQ$1,$Z$2:$Z$18,$AC$2:$AC$18-$V5)^2)))</f>
        <v/>
      </c>
      <c r="AR5" s="151">
        <f t="array" ref="AR5">IF(AR$1=0,"",SQRT((_xlfn.XLOOKUP(AR$1,$Z$2:$Z$18,$AA$2:$AA$18)-$T5)^2+(_xlfn.XLOOKUP(AR$1,$Z$2:$Z$18,$AB$2:$AB$18)-$U5)^2+(_xlfn.XLOOKUP(AR$1,$Z$2:$Z$18,$AC$2:$AC$18-$V5)^2)))</f>
        <v/>
      </c>
      <c r="AS5" s="151">
        <f t="array" ref="AS5">IF(AS$1=0,"",SQRT((_xlfn.XLOOKUP(AS$1,$Z$2:$Z$18,$AA$2:$AA$18)-$T5)^2+(_xlfn.XLOOKUP(AS$1,$Z$2:$Z$18,$AB$2:$AB$18)-$U5)^2+(_xlfn.XLOOKUP(AS$1,$Z$2:$Z$18,$AC$2:$AC$18-$V5)^2)))</f>
        <v/>
      </c>
      <c r="AT5" s="151">
        <f t="array" ref="AT5">IF(AT$1=0,"",SQRT((_xlfn.XLOOKUP(AT$1,$Z$2:$Z$18,$AA$2:$AA$18)-$T5)^2+(_xlfn.XLOOKUP(AT$1,$Z$2:$Z$18,$AB$2:$AB$18)-$U5)^2+(_xlfn.XLOOKUP(AT$1,$Z$2:$Z$18,$AC$2:$AC$18-$V5)^2)))</f>
        <v/>
      </c>
      <c r="AU5" s="151">
        <f t="array" ref="AU5">IF(AU$1=0,"",SQRT((_xlfn.XLOOKUP(AU$1,$Z$2:$Z$18,$AA$2:$AA$18)-$T5)^2+(_xlfn.XLOOKUP(AU$1,$Z$2:$Z$18,$AB$2:$AB$18)-$U5)^2+(_xlfn.XLOOKUP(AU$1,$Z$2:$Z$18,$AC$2:$AC$18-$V5)^2)))</f>
        <v/>
      </c>
      <c r="AV5" s="152">
        <f t="array" ref="AV5">IF(AV$1=0,"",SQRT((_xlfn.XLOOKUP(AV$1,$Z$2:$Z$18,$AA$2:$AA$18)-$T5)^2+(_xlfn.XLOOKUP(AV$1,$Z$2:$Z$18,$AB$2:$AB$18)-$U5)^2+(_xlfn.XLOOKUP(AV$1,$Z$2:$Z$18,$AC$2:$AC$18-$V5)^2)))</f>
        <v/>
      </c>
      <c r="AW5" s="134" t="n"/>
      <c r="AX5" s="134" t="n"/>
      <c r="AY5" s="135">
        <f>IFERROR(-ABS(10*LOG10(($R5/(4*PI()*CONVERT(AH5,"ft","m")^2)))),0)</f>
        <v/>
      </c>
      <c r="AZ5" s="153">
        <f>IFERROR(-ABS(10*LOG10(($R5/(4*PI()*CONVERT(AI5,"ft","m")^2)))),0)</f>
        <v/>
      </c>
      <c r="BA5" s="153">
        <f>IFERROR(-ABS(10*LOG10(($R5/(4*PI()*CONVERT(AJ5,"ft","m")^2)))),0)</f>
        <v/>
      </c>
      <c r="BB5" s="153">
        <f>IFERROR(-ABS(10*LOG10(($R5/(4*PI()*CONVERT(AK5,"ft","m")^2)))),0)</f>
        <v/>
      </c>
      <c r="BC5" s="153">
        <f>IFERROR(-ABS(10*LOG10(($R5/(4*PI()*CONVERT(AL5,"ft","m")^2)))),0)</f>
        <v/>
      </c>
      <c r="BD5" s="153">
        <f>IFERROR(-ABS(10*LOG10(($R5/(4*PI()*CONVERT(AM5,"ft","m")^2)))),0)</f>
        <v/>
      </c>
      <c r="BE5" s="153">
        <f>IFERROR(-ABS(10*LOG10(($R5/(4*PI()*CONVERT(AN5,"ft","m")^2)))),0)</f>
        <v/>
      </c>
      <c r="BF5" s="153">
        <f>IFERROR(-ABS(10*LOG10(($R5/(4*PI()*CONVERT(AO5,"ft","m")^2)))),0)</f>
        <v/>
      </c>
      <c r="BG5" s="154">
        <f>IFERROR(-ABS(10*LOG10(($R5/(4*PI()*CONVERT(AP5,"ft","m")^2)))),0)</f>
        <v/>
      </c>
      <c r="BH5" s="154">
        <f>IFERROR(-ABS(10*LOG10(($R5/(4*PI()*CONVERT(AQ5,"ft","m")^2)))),0)</f>
        <v/>
      </c>
      <c r="BI5" s="154">
        <f>IFERROR(-ABS(10*LOG10(($R5/(4*PI()*CONVERT(AR5,"ft","m")^2)))),0)</f>
        <v/>
      </c>
      <c r="BJ5" s="154">
        <f>IFERROR(-ABS(10*LOG10(($R5/(4*PI()*CONVERT(AS5,"ft","m")^2)))),0)</f>
        <v/>
      </c>
      <c r="BK5" s="154">
        <f>IFERROR(-ABS(10*LOG10(($R5/(4*PI()*CONVERT(AT5,"ft","m")^2)))),0)</f>
        <v/>
      </c>
      <c r="BL5" s="154">
        <f>IFERROR(-ABS(10*LOG10(($R5/(4*PI()*CONVERT(AU5,"ft","m")^2)))),0)</f>
        <v/>
      </c>
      <c r="BM5" s="155">
        <f>IFERROR(-ABS(10*LOG10(($R5/(4*PI()*CONVERT(AV5,"ft","m")^2)))),0)</f>
        <v/>
      </c>
      <c r="BN5" s="134" t="n"/>
      <c r="BO5" s="28" t="inlineStr">
        <is>
          <t>Receiver</t>
        </is>
      </c>
      <c r="BP5" s="33" t="inlineStr">
        <is>
          <t>R1</t>
        </is>
      </c>
      <c r="BQ5" s="34">
        <f>_xlfn.XLOOKUP($BP$5,$Z$2:$Z$18,AA2:AA18,"not found",0,1)</f>
        <v/>
      </c>
      <c r="BR5" s="34">
        <f>_xlfn.XLOOKUP($BP$5,$Z$2:$Z$18,AB2:AB18,"not found",0,1)</f>
        <v/>
      </c>
      <c r="BS5" s="34">
        <f>_xlfn.XLOOKUP($BP$5,$Z$2:$Z$18,AC2:AC18,"not found",0,1)</f>
        <v/>
      </c>
      <c r="BT5" s="134" t="n"/>
      <c r="BU5" s="134" t="n"/>
      <c r="BV5" s="140" t="n"/>
      <c r="BW5" s="140" t="n"/>
      <c r="BX5" s="140" t="n"/>
      <c r="BY5" s="140" t="n"/>
      <c r="BZ5" s="140" t="n"/>
      <c r="CA5" s="140" t="n"/>
      <c r="CB5" s="140" t="n"/>
      <c r="CC5" s="140" t="n"/>
      <c r="CD5" s="140" t="n"/>
      <c r="CE5" s="140" t="n"/>
      <c r="CF5" s="140" t="n"/>
      <c r="CG5" s="140" t="n"/>
      <c r="CH5" s="140" t="n"/>
      <c r="CI5" s="140" t="n"/>
      <c r="CJ5" s="140" t="n"/>
      <c r="CK5" s="134" t="n"/>
      <c r="CL5" s="134" t="n"/>
      <c r="CM5" s="156">
        <f>IF( CM$1= 0,"",$Q5-$S5+AY5-BV5)</f>
        <v/>
      </c>
      <c r="CN5" s="157">
        <f>IF( CN$1= 0,"",$Q5-$S5+AZ5-BW5)</f>
        <v/>
      </c>
      <c r="CO5" s="157">
        <f>IF( CO$1= 0,"",$Q5-$S5+BA5-BX5)</f>
        <v/>
      </c>
      <c r="CP5" s="157">
        <f>IF( CP$1= 0,"",$Q5-$S5+BB5-BY5)</f>
        <v/>
      </c>
      <c r="CQ5" s="157">
        <f>IF( CQ$1= 0,"",$Q5-$S5+BC5-BZ5)</f>
        <v/>
      </c>
      <c r="CR5" s="157">
        <f>IF( CR$1= 0,"",$Q5-$S5+BD5-CA5)</f>
        <v/>
      </c>
      <c r="CS5" s="157">
        <f>IF( CS$1= 0,"",$Q5-$S5+BE5-CB5)</f>
        <v/>
      </c>
      <c r="CT5" s="157">
        <f>IF( CT$1= 0,"",$Q5-$S5+BF5-CC5)</f>
        <v/>
      </c>
      <c r="CU5" s="158">
        <f>IF( CU$1= 0,"",$Q5-$S5+BG5-CD5)</f>
        <v/>
      </c>
      <c r="CV5" s="158">
        <f>IF( CV$1= 0,"",$Q5-$S5+BH5-CE5)</f>
        <v/>
      </c>
      <c r="CW5" s="158">
        <f>IF( CW$1= 0,"",$Q5-$S5+BI5-CF5)</f>
        <v/>
      </c>
      <c r="CX5" s="158">
        <f>IF( CX$1= 0,"",$Q5-$S5+BJ5-CG5)</f>
        <v/>
      </c>
      <c r="CY5" s="143">
        <f>IF( CY$1= 0,"",$Q5-$S5+BK5-CH5)</f>
        <v/>
      </c>
      <c r="CZ5" s="143">
        <f>IF( CZ$1= 0,"",$Q5-$S5+BL5-CI5)</f>
        <v/>
      </c>
      <c r="DA5" s="144">
        <f>IF( DA$1= 0,"",$Q5-$S5+BM5-CJ5)</f>
        <v/>
      </c>
    </row>
    <row r="6" ht="17.25" customHeight="1" thickBot="1">
      <c r="A6" s="145" t="n">
        <v>1</v>
      </c>
      <c r="B6" s="126" t="inlineStr">
        <is>
          <t xml:space="preserve">KEF-R1 </t>
        </is>
      </c>
      <c r="C6" s="146" t="inlineStr">
        <is>
          <t>Inlet</t>
        </is>
      </c>
      <c r="D6" s="147" t="inlineStr">
        <is>
          <t>Greenheck</t>
        </is>
      </c>
      <c r="E6" s="205" t="inlineStr">
        <is>
          <t>USF-324-BL</t>
        </is>
      </c>
      <c r="F6" s="213" t="n"/>
      <c r="G6" s="214" t="n"/>
      <c r="H6" s="214" t="n"/>
      <c r="I6" s="214" t="n"/>
      <c r="J6" s="214" t="n"/>
      <c r="K6" s="214" t="n"/>
      <c r="L6" s="214" t="n"/>
      <c r="M6" s="218" t="n"/>
      <c r="N6" s="213" t="n">
        <v>80</v>
      </c>
      <c r="O6" s="215" t="n">
        <v>0</v>
      </c>
      <c r="P6" s="208" t="n">
        <v>1</v>
      </c>
      <c r="Q6" s="128">
        <f>ROUND(IF(AND(A6&gt;0, O6&gt;0), N6+ABS(10*LOG10(P6/(4*PI()*CONVERT(O6,"ft", "m")^2))), N6),0)</f>
        <v/>
      </c>
      <c r="R6" s="3" t="n">
        <v>2</v>
      </c>
      <c r="S6" s="3" t="n"/>
      <c r="T6" s="214" t="n">
        <v>70.73</v>
      </c>
      <c r="U6" s="214" t="n">
        <v>99.31</v>
      </c>
      <c r="V6" s="109">
        <f>SUM(W6:X6)</f>
        <v/>
      </c>
      <c r="W6" s="81" t="n">
        <v>70</v>
      </c>
      <c r="X6" s="148" t="n">
        <v>5.5</v>
      </c>
      <c r="Z6" s="9" t="inlineStr">
        <is>
          <t>R5</t>
        </is>
      </c>
      <c r="AA6" s="214" t="n">
        <v>14.23</v>
      </c>
      <c r="AB6" s="214" t="n">
        <v>213.83</v>
      </c>
      <c r="AC6" s="87" t="n">
        <v>45</v>
      </c>
      <c r="AD6" s="8" t="n">
        <v>40</v>
      </c>
      <c r="AE6" s="2" t="n">
        <v>52</v>
      </c>
      <c r="AH6" s="149">
        <f t="array" ref="AH6">IF(AH$1=0,"",SQRT((_xlfn.XLOOKUP(AH$1,$Z$2:$Z$18,$AA$2:$AA$18)-$T6)^2+(_xlfn.XLOOKUP(AH$1,$Z$2:$Z$18,$AB$2:$AB$18)-$U6)^2+(_xlfn.XLOOKUP(AH$1,$Z$2:$Z$18,$AC$2:$AC$18-$V6)^2)))</f>
        <v/>
      </c>
      <c r="AI6" s="150">
        <f t="array" ref="AI6">IF(AI$1=0,"",SQRT((_xlfn.XLOOKUP(AI$1,$Z$2:$Z$18,$AA$2:$AA$18)-$T6)^2+(_xlfn.XLOOKUP(AI$1,$Z$2:$Z$18,$AB$2:$AB$18)-$U6)^2+(_xlfn.XLOOKUP(AI$1,$Z$2:$Z$18,$AC$2:$AC$18-$V6)^2)))</f>
        <v/>
      </c>
      <c r="AJ6" s="150">
        <f t="array" ref="AJ6">IF(AJ$1=0,"",SQRT((_xlfn.XLOOKUP(AJ$1,$Z$2:$Z$18,$AA$2:$AA$18)-$T6)^2+(_xlfn.XLOOKUP(AJ$1,$Z$2:$Z$18,$AB$2:$AB$18)-$U6)^2+(_xlfn.XLOOKUP(AJ$1,$Z$2:$Z$18,$AC$2:$AC$18-$V6)^2)))</f>
        <v/>
      </c>
      <c r="AK6" s="150">
        <f t="array" ref="AK6">IF(AK$1=0,"",SQRT((_xlfn.XLOOKUP(AK$1,$Z$2:$Z$18,$AA$2:$AA$18)-$T6)^2+(_xlfn.XLOOKUP(AK$1,$Z$2:$Z$18,$AB$2:$AB$18)-$U6)^2+(_xlfn.XLOOKUP(AK$1,$Z$2:$Z$18,$AC$2:$AC$18-$V6)^2)))</f>
        <v/>
      </c>
      <c r="AL6" s="150">
        <f t="array" ref="AL6">IF(AL$1=0,"",SQRT((_xlfn.XLOOKUP(AL$1,$Z$2:$Z$18,$AA$2:$AA$18)-$T6)^2+(_xlfn.XLOOKUP(AL$1,$Z$2:$Z$18,$AB$2:$AB$18)-$U6)^2+(_xlfn.XLOOKUP(AL$1,$Z$2:$Z$18,$AC$2:$AC$18-$V6)^2)))</f>
        <v/>
      </c>
      <c r="AM6" s="150">
        <f t="array" ref="AM6">IF(AM$1=0,"",SQRT((_xlfn.XLOOKUP(AM$1,$Z$2:$Z$18,$AA$2:$AA$18)-$T6)^2+(_xlfn.XLOOKUP(AM$1,$Z$2:$Z$18,$AB$2:$AB$18)-$U6)^2+(_xlfn.XLOOKUP(AM$1,$Z$2:$Z$18,$AC$2:$AC$18-$V6)^2)))</f>
        <v/>
      </c>
      <c r="AN6" s="150">
        <f t="array" ref="AN6">IF(AN$1=0,"",SQRT((_xlfn.XLOOKUP(AN$1,$Z$2:$Z$18,$AA$2:$AA$18)-$T6)^2+(_xlfn.XLOOKUP(AN$1,$Z$2:$Z$18,$AB$2:$AB$18)-$U6)^2+(_xlfn.XLOOKUP(AN$1,$Z$2:$Z$18,$AC$2:$AC$18-$V6)^2)))</f>
        <v/>
      </c>
      <c r="AO6" s="150">
        <f t="array" ref="AO6">IF(AO$1=0,"",SQRT((_xlfn.XLOOKUP(AO$1,$Z$2:$Z$18,$AA$2:$AA$18)-$T6)^2+(_xlfn.XLOOKUP(AO$1,$Z$2:$Z$18,$AB$2:$AB$18)-$U6)^2+(_xlfn.XLOOKUP(AO$1,$Z$2:$Z$18,$AC$2:$AC$18-$V6)^2)))</f>
        <v/>
      </c>
      <c r="AP6" s="151">
        <f t="array" ref="AP6">IF(AP$1=0,"",SQRT((_xlfn.XLOOKUP(AP$1,$Z$2:$Z$18,$AA$2:$AA$18)-$T6)^2+(_xlfn.XLOOKUP(AP$1,$Z$2:$Z$18,$AB$2:$AB$18)-$U6)^2+(_xlfn.XLOOKUP(AP$1,$Z$2:$Z$18,$AC$2:$AC$18-$V6)^2)))</f>
        <v/>
      </c>
      <c r="AQ6" s="151">
        <f t="array" ref="AQ6">IF(AQ$1=0,"",SQRT((_xlfn.XLOOKUP(AQ$1,$Z$2:$Z$18,$AA$2:$AA$18)-$T6)^2+(_xlfn.XLOOKUP(AQ$1,$Z$2:$Z$18,$AB$2:$AB$18)-$U6)^2+(_xlfn.XLOOKUP(AQ$1,$Z$2:$Z$18,$AC$2:$AC$18-$V6)^2)))</f>
        <v/>
      </c>
      <c r="AR6" s="151">
        <f t="array" ref="AR6">IF(AR$1=0,"",SQRT((_xlfn.XLOOKUP(AR$1,$Z$2:$Z$18,$AA$2:$AA$18)-$T6)^2+(_xlfn.XLOOKUP(AR$1,$Z$2:$Z$18,$AB$2:$AB$18)-$U6)^2+(_xlfn.XLOOKUP(AR$1,$Z$2:$Z$18,$AC$2:$AC$18-$V6)^2)))</f>
        <v/>
      </c>
      <c r="AS6" s="151">
        <f t="array" ref="AS6">IF(AS$1=0,"",SQRT((_xlfn.XLOOKUP(AS$1,$Z$2:$Z$18,$AA$2:$AA$18)-$T6)^2+(_xlfn.XLOOKUP(AS$1,$Z$2:$Z$18,$AB$2:$AB$18)-$U6)^2+(_xlfn.XLOOKUP(AS$1,$Z$2:$Z$18,$AC$2:$AC$18-$V6)^2)))</f>
        <v/>
      </c>
      <c r="AT6" s="151">
        <f t="array" ref="AT6">IF(AT$1=0,"",SQRT((_xlfn.XLOOKUP(AT$1,$Z$2:$Z$18,$AA$2:$AA$18)-$T6)^2+(_xlfn.XLOOKUP(AT$1,$Z$2:$Z$18,$AB$2:$AB$18)-$U6)^2+(_xlfn.XLOOKUP(AT$1,$Z$2:$Z$18,$AC$2:$AC$18-$V6)^2)))</f>
        <v/>
      </c>
      <c r="AU6" s="151">
        <f t="array" ref="AU6">IF(AU$1=0,"",SQRT((_xlfn.XLOOKUP(AU$1,$Z$2:$Z$18,$AA$2:$AA$18)-$T6)^2+(_xlfn.XLOOKUP(AU$1,$Z$2:$Z$18,$AB$2:$AB$18)-$U6)^2+(_xlfn.XLOOKUP(AU$1,$Z$2:$Z$18,$AC$2:$AC$18-$V6)^2)))</f>
        <v/>
      </c>
      <c r="AV6" s="152">
        <f t="array" ref="AV6">IF(AV$1=0,"",SQRT((_xlfn.XLOOKUP(AV$1,$Z$2:$Z$18,$AA$2:$AA$18)-$T6)^2+(_xlfn.XLOOKUP(AV$1,$Z$2:$Z$18,$AB$2:$AB$18)-$U6)^2+(_xlfn.XLOOKUP(AV$1,$Z$2:$Z$18,$AC$2:$AC$18-$V6)^2)))</f>
        <v/>
      </c>
      <c r="AW6" s="134" t="n"/>
      <c r="AX6" s="134" t="n"/>
      <c r="AY6" s="135">
        <f>IFERROR(-ABS(10*LOG10(($R6/(4*PI()*CONVERT(AH6,"ft","m")^2)))),0)</f>
        <v/>
      </c>
      <c r="AZ6" s="153">
        <f>IFERROR(-ABS(10*LOG10(($R6/(4*PI()*CONVERT(AI6,"ft","m")^2)))),0)</f>
        <v/>
      </c>
      <c r="BA6" s="153">
        <f>IFERROR(-ABS(10*LOG10(($R6/(4*PI()*CONVERT(AJ6,"ft","m")^2)))),0)</f>
        <v/>
      </c>
      <c r="BB6" s="153">
        <f>IFERROR(-ABS(10*LOG10(($R6/(4*PI()*CONVERT(AK6,"ft","m")^2)))),0)</f>
        <v/>
      </c>
      <c r="BC6" s="153">
        <f>IFERROR(-ABS(10*LOG10(($R6/(4*PI()*CONVERT(AL6,"ft","m")^2)))),0)</f>
        <v/>
      </c>
      <c r="BD6" s="153">
        <f>IFERROR(-ABS(10*LOG10(($R6/(4*PI()*CONVERT(AM6,"ft","m")^2)))),0)</f>
        <v/>
      </c>
      <c r="BE6" s="153">
        <f>IFERROR(-ABS(10*LOG10(($R6/(4*PI()*CONVERT(AN6,"ft","m")^2)))),0)</f>
        <v/>
      </c>
      <c r="BF6" s="153">
        <f>IFERROR(-ABS(10*LOG10(($R6/(4*PI()*CONVERT(AO6,"ft","m")^2)))),0)</f>
        <v/>
      </c>
      <c r="BG6" s="154">
        <f>IFERROR(-ABS(10*LOG10(($R6/(4*PI()*CONVERT(AP6,"ft","m")^2)))),0)</f>
        <v/>
      </c>
      <c r="BH6" s="154">
        <f>IFERROR(-ABS(10*LOG10(($R6/(4*PI()*CONVERT(AQ6,"ft","m")^2)))),0)</f>
        <v/>
      </c>
      <c r="BI6" s="154">
        <f>IFERROR(-ABS(10*LOG10(($R6/(4*PI()*CONVERT(AR6,"ft","m")^2)))),0)</f>
        <v/>
      </c>
      <c r="BJ6" s="154">
        <f>IFERROR(-ABS(10*LOG10(($R6/(4*PI()*CONVERT(AS6,"ft","m")^2)))),0)</f>
        <v/>
      </c>
      <c r="BK6" s="154">
        <f>IFERROR(-ABS(10*LOG10(($R6/(4*PI()*CONVERT(AT6,"ft","m")^2)))),0)</f>
        <v/>
      </c>
      <c r="BL6" s="154">
        <f>IFERROR(-ABS(10*LOG10(($R6/(4*PI()*CONVERT(AU6,"ft","m")^2)))),0)</f>
        <v/>
      </c>
      <c r="BM6" s="155">
        <f>IFERROR(-ABS(10*LOG10(($R6/(4*PI()*CONVERT(AV6,"ft","m")^2)))),0)</f>
        <v/>
      </c>
      <c r="BN6" s="134" t="n"/>
      <c r="BO6" s="28" t="inlineStr">
        <is>
          <t>Barrier (X0, Y1, Z0)</t>
        </is>
      </c>
      <c r="BP6" s="33" t="inlineStr">
        <is>
          <t>bar20</t>
        </is>
      </c>
      <c r="BQ6" s="34">
        <f>_xlfn.XLOOKUP($BP$6,$Z$24:$Z$50,AA24:AA50,"error",0,1)</f>
        <v/>
      </c>
      <c r="BR6" s="35">
        <f>_xlfn.XLOOKUP($BP$6,$Z$24:$Z$50,AB24:AB50,"error",0,1)</f>
        <v/>
      </c>
      <c r="BS6" s="36">
        <f>_xlfn.XLOOKUP($BP$6,$Z$24:$Z$50,AC24:AC50,"error",0,1)</f>
        <v/>
      </c>
      <c r="BT6" s="134" t="n"/>
      <c r="BU6" s="134" t="n"/>
      <c r="BV6" s="201" t="n"/>
      <c r="BW6" s="140" t="n"/>
      <c r="BX6" s="140" t="n"/>
      <c r="BY6" s="140" t="n"/>
      <c r="BZ6" s="140" t="n"/>
      <c r="CA6" s="140" t="n"/>
      <c r="CB6" s="140" t="n"/>
      <c r="CC6" s="140" t="n"/>
      <c r="CD6" s="140" t="n"/>
      <c r="CE6" s="140" t="n"/>
      <c r="CF6" s="140" t="n"/>
      <c r="CG6" s="140" t="n"/>
      <c r="CH6" s="140" t="n"/>
      <c r="CI6" s="140" t="n"/>
      <c r="CJ6" s="140" t="n"/>
      <c r="CK6" s="134" t="n"/>
      <c r="CL6" s="134" t="n"/>
      <c r="CM6" s="141">
        <f>IF( CM$1= 0,"",$Q6-$S6+AY6-BV6)</f>
        <v/>
      </c>
      <c r="CN6" s="142">
        <f>IF( CN$1= 0,"",$Q6-$S6+AZ6-BW6)</f>
        <v/>
      </c>
      <c r="CO6" s="142">
        <f>IF( CO$1= 0,"",$Q6-$S6+BA6-BX6)</f>
        <v/>
      </c>
      <c r="CP6" s="142">
        <f>IF( CP$1= 0,"",$Q6-$S6+BB6-BY6)</f>
        <v/>
      </c>
      <c r="CQ6" s="142">
        <f>IF( CQ$1= 0,"",$Q6-$S6+BC6-BZ6)</f>
        <v/>
      </c>
      <c r="CR6" s="142">
        <f>IF( CR$1= 0,"",$Q6-$S6+BD6-CA6)</f>
        <v/>
      </c>
      <c r="CS6" s="142">
        <f>IF( CS$1= 0,"",$Q6-$S6+BE6-CB6)</f>
        <v/>
      </c>
      <c r="CT6" s="142">
        <f>IF( CT$1= 0,"",$Q6-$S6+BF6-CC6)</f>
        <v/>
      </c>
      <c r="CU6" s="143">
        <f>IF( CU$1= 0,"",$Q6-$S6+BG6-CD6)</f>
        <v/>
      </c>
      <c r="CV6" s="143">
        <f>IF( CV$1= 0,"",$Q6-$S6+BH6-CE6)</f>
        <v/>
      </c>
      <c r="CW6" s="143">
        <f>IF( CW$1= 0,"",$Q6-$S6+BI6-CF6)</f>
        <v/>
      </c>
      <c r="CX6" s="143">
        <f>IF( CX$1= 0,"",$Q6-$S6+BJ6-CG6)</f>
        <v/>
      </c>
      <c r="CY6" s="143">
        <f>IF( CY$1= 0,"",$Q6-$S6+BK6-CH6)</f>
        <v/>
      </c>
      <c r="CZ6" s="143">
        <f>IF( CZ$1= 0,"",$Q6-$S6+BL6-CI6)</f>
        <v/>
      </c>
      <c r="DA6" s="144">
        <f>IF( DA$1= 0,"",$Q6-$S6+BM6-CJ6)</f>
        <v/>
      </c>
    </row>
    <row r="7" ht="17.25" customHeight="1" thickBot="1">
      <c r="A7" s="145" t="n">
        <v>1</v>
      </c>
      <c r="B7" s="126" t="inlineStr">
        <is>
          <t>DWEF-R1</t>
        </is>
      </c>
      <c r="C7" s="146" t="inlineStr">
        <is>
          <t>Inlet</t>
        </is>
      </c>
      <c r="D7" s="147" t="inlineStr">
        <is>
          <t>Greenheck</t>
        </is>
      </c>
      <c r="E7" s="205" t="inlineStr">
        <is>
          <t>G-99-VG</t>
        </is>
      </c>
      <c r="F7" s="213" t="n"/>
      <c r="G7" s="214" t="n"/>
      <c r="H7" s="214" t="n"/>
      <c r="I7" s="214" t="n"/>
      <c r="J7" s="214" t="n"/>
      <c r="K7" s="214" t="n"/>
      <c r="L7" s="214" t="n"/>
      <c r="M7" s="218" t="n"/>
      <c r="N7" s="213" t="n">
        <v>71</v>
      </c>
      <c r="O7" s="215" t="n">
        <v>0</v>
      </c>
      <c r="P7" s="208" t="n">
        <v>1</v>
      </c>
      <c r="Q7" s="128">
        <f>ROUND(IF(AND(A7&gt;0, O7&gt;0), N7+ABS(10*LOG10(P7/(4*PI()*CONVERT(O7,"ft", "m")^2))), N7),0)</f>
        <v/>
      </c>
      <c r="R7" s="3" t="n">
        <v>2</v>
      </c>
      <c r="S7" s="3" t="n"/>
      <c r="T7" s="214" t="n">
        <v>88.03</v>
      </c>
      <c r="U7" s="214" t="n">
        <v>101.44</v>
      </c>
      <c r="V7" s="109">
        <f>SUM(W7:X7)</f>
        <v/>
      </c>
      <c r="W7" s="81" t="n">
        <v>70</v>
      </c>
      <c r="X7" s="148" t="n">
        <v>4</v>
      </c>
      <c r="Z7" s="9" t="n"/>
      <c r="AA7" s="214" t="n"/>
      <c r="AB7" s="214" t="n"/>
      <c r="AC7" s="87" t="n"/>
      <c r="AD7" s="8" t="n"/>
      <c r="AE7" s="2" t="str"/>
      <c r="AH7" s="149">
        <f t="array" ref="AH7">IF(AH$1=0,"",SQRT((_xlfn.XLOOKUP(AH$1,$Z$2:$Z$18,$AA$2:$AA$18)-$T7)^2+(_xlfn.XLOOKUP(AH$1,$Z$2:$Z$18,$AB$2:$AB$18)-$U7)^2+(_xlfn.XLOOKUP(AH$1,$Z$2:$Z$18,$AC$2:$AC$18-$V7)^2)))</f>
        <v/>
      </c>
      <c r="AI7" s="150">
        <f t="array" ref="AI7">IF(AI$1=0,"",SQRT((_xlfn.XLOOKUP(AI$1,$Z$2:$Z$18,$AA$2:$AA$18)-$T7)^2+(_xlfn.XLOOKUP(AI$1,$Z$2:$Z$18,$AB$2:$AB$18)-$U7)^2+(_xlfn.XLOOKUP(AI$1,$Z$2:$Z$18,$AC$2:$AC$18-$V7)^2)))</f>
        <v/>
      </c>
      <c r="AJ7" s="150">
        <f t="array" ref="AJ7">IF(AJ$1=0,"",SQRT((_xlfn.XLOOKUP(AJ$1,$Z$2:$Z$18,$AA$2:$AA$18)-$T7)^2+(_xlfn.XLOOKUP(AJ$1,$Z$2:$Z$18,$AB$2:$AB$18)-$U7)^2+(_xlfn.XLOOKUP(AJ$1,$Z$2:$Z$18,$AC$2:$AC$18-$V7)^2)))</f>
        <v/>
      </c>
      <c r="AK7" s="150">
        <f t="array" ref="AK7">IF(AK$1=0,"",SQRT((_xlfn.XLOOKUP(AK$1,$Z$2:$Z$18,$AA$2:$AA$18)-$T7)^2+(_xlfn.XLOOKUP(AK$1,$Z$2:$Z$18,$AB$2:$AB$18)-$U7)^2+(_xlfn.XLOOKUP(AK$1,$Z$2:$Z$18,$AC$2:$AC$18-$V7)^2)))</f>
        <v/>
      </c>
      <c r="AL7" s="150">
        <f t="array" ref="AL7">IF(AL$1=0,"",SQRT((_xlfn.XLOOKUP(AL$1,$Z$2:$Z$18,$AA$2:$AA$18)-$T7)^2+(_xlfn.XLOOKUP(AL$1,$Z$2:$Z$18,$AB$2:$AB$18)-$U7)^2+(_xlfn.XLOOKUP(AL$1,$Z$2:$Z$18,$AC$2:$AC$18-$V7)^2)))</f>
        <v/>
      </c>
      <c r="AM7" s="150">
        <f t="array" ref="AM7">IF(AM$1=0,"",SQRT((_xlfn.XLOOKUP(AM$1,$Z$2:$Z$18,$AA$2:$AA$18)-$T7)^2+(_xlfn.XLOOKUP(AM$1,$Z$2:$Z$18,$AB$2:$AB$18)-$U7)^2+(_xlfn.XLOOKUP(AM$1,$Z$2:$Z$18,$AC$2:$AC$18-$V7)^2)))</f>
        <v/>
      </c>
      <c r="AN7" s="150">
        <f t="array" ref="AN7">IF(AN$1=0,"",SQRT((_xlfn.XLOOKUP(AN$1,$Z$2:$Z$18,$AA$2:$AA$18)-$T7)^2+(_xlfn.XLOOKUP(AN$1,$Z$2:$Z$18,$AB$2:$AB$18)-$U7)^2+(_xlfn.XLOOKUP(AN$1,$Z$2:$Z$18,$AC$2:$AC$18-$V7)^2)))</f>
        <v/>
      </c>
      <c r="AO7" s="150">
        <f t="array" ref="AO7">IF(AO$1=0,"",SQRT((_xlfn.XLOOKUP(AO$1,$Z$2:$Z$18,$AA$2:$AA$18)-$T7)^2+(_xlfn.XLOOKUP(AO$1,$Z$2:$Z$18,$AB$2:$AB$18)-$U7)^2+(_xlfn.XLOOKUP(AO$1,$Z$2:$Z$18,$AC$2:$AC$18-$V7)^2)))</f>
        <v/>
      </c>
      <c r="AP7" s="151">
        <f t="array" ref="AP7">IF(AP$1=0,"",SQRT((_xlfn.XLOOKUP(AP$1,$Z$2:$Z$18,$AA$2:$AA$18)-$T7)^2+(_xlfn.XLOOKUP(AP$1,$Z$2:$Z$18,$AB$2:$AB$18)-$U7)^2+(_xlfn.XLOOKUP(AP$1,$Z$2:$Z$18,$AC$2:$AC$18-$V7)^2)))</f>
        <v/>
      </c>
      <c r="AQ7" s="151">
        <f t="array" ref="AQ7">IF(AQ$1=0,"",SQRT((_xlfn.XLOOKUP(AQ$1,$Z$2:$Z$18,$AA$2:$AA$18)-$T7)^2+(_xlfn.XLOOKUP(AQ$1,$Z$2:$Z$18,$AB$2:$AB$18)-$U7)^2+(_xlfn.XLOOKUP(AQ$1,$Z$2:$Z$18,$AC$2:$AC$18-$V7)^2)))</f>
        <v/>
      </c>
      <c r="AR7" s="151">
        <f t="array" ref="AR7">IF(AR$1=0,"",SQRT((_xlfn.XLOOKUP(AR$1,$Z$2:$Z$18,$AA$2:$AA$18)-$T7)^2+(_xlfn.XLOOKUP(AR$1,$Z$2:$Z$18,$AB$2:$AB$18)-$U7)^2+(_xlfn.XLOOKUP(AR$1,$Z$2:$Z$18,$AC$2:$AC$18-$V7)^2)))</f>
        <v/>
      </c>
      <c r="AS7" s="151">
        <f t="array" ref="AS7">IF(AS$1=0,"",SQRT((_xlfn.XLOOKUP(AS$1,$Z$2:$Z$18,$AA$2:$AA$18)-$T7)^2+(_xlfn.XLOOKUP(AS$1,$Z$2:$Z$18,$AB$2:$AB$18)-$U7)^2+(_xlfn.XLOOKUP(AS$1,$Z$2:$Z$18,$AC$2:$AC$18-$V7)^2)))</f>
        <v/>
      </c>
      <c r="AT7" s="151">
        <f t="array" ref="AT7">IF(AT$1=0,"",SQRT((_xlfn.XLOOKUP(AT$1,$Z$2:$Z$18,$AA$2:$AA$18)-$T7)^2+(_xlfn.XLOOKUP(AT$1,$Z$2:$Z$18,$AB$2:$AB$18)-$U7)^2+(_xlfn.XLOOKUP(AT$1,$Z$2:$Z$18,$AC$2:$AC$18-$V7)^2)))</f>
        <v/>
      </c>
      <c r="AU7" s="151">
        <f t="array" ref="AU7">IF(AU$1=0,"",SQRT((_xlfn.XLOOKUP(AU$1,$Z$2:$Z$18,$AA$2:$AA$18)-$T7)^2+(_xlfn.XLOOKUP(AU$1,$Z$2:$Z$18,$AB$2:$AB$18)-$U7)^2+(_xlfn.XLOOKUP(AU$1,$Z$2:$Z$18,$AC$2:$AC$18-$V7)^2)))</f>
        <v/>
      </c>
      <c r="AV7" s="152">
        <f t="array" ref="AV7">IF(AV$1=0,"",SQRT((_xlfn.XLOOKUP(AV$1,$Z$2:$Z$18,$AA$2:$AA$18)-$T7)^2+(_xlfn.XLOOKUP(AV$1,$Z$2:$Z$18,$AB$2:$AB$18)-$U7)^2+(_xlfn.XLOOKUP(AV$1,$Z$2:$Z$18,$AC$2:$AC$18-$V7)^2)))</f>
        <v/>
      </c>
      <c r="AW7" s="134" t="n"/>
      <c r="AX7" s="134" t="n"/>
      <c r="AY7" s="135">
        <f>IFERROR(-ABS(10*LOG10(($R7/(4*PI()*CONVERT(AH7,"ft","m")^2)))),0)</f>
        <v/>
      </c>
      <c r="AZ7" s="153">
        <f>IFERROR(-ABS(10*LOG10(($R7/(4*PI()*CONVERT(AI7,"ft","m")^2)))),0)</f>
        <v/>
      </c>
      <c r="BA7" s="153">
        <f>IFERROR(-ABS(10*LOG10(($R7/(4*PI()*CONVERT(AJ7,"ft","m")^2)))),0)</f>
        <v/>
      </c>
      <c r="BB7" s="153">
        <f>IFERROR(-ABS(10*LOG10(($R7/(4*PI()*CONVERT(AK7,"ft","m")^2)))),0)</f>
        <v/>
      </c>
      <c r="BC7" s="153">
        <f>IFERROR(-ABS(10*LOG10(($R7/(4*PI()*CONVERT(AL7,"ft","m")^2)))),0)</f>
        <v/>
      </c>
      <c r="BD7" s="153">
        <f>IFERROR(-ABS(10*LOG10(($R7/(4*PI()*CONVERT(AM7,"ft","m")^2)))),0)</f>
        <v/>
      </c>
      <c r="BE7" s="153">
        <f>IFERROR(-ABS(10*LOG10(($R7/(4*PI()*CONVERT(AN7,"ft","m")^2)))),0)</f>
        <v/>
      </c>
      <c r="BF7" s="153">
        <f>IFERROR(-ABS(10*LOG10(($R7/(4*PI()*CONVERT(AO7,"ft","m")^2)))),0)</f>
        <v/>
      </c>
      <c r="BG7" s="154">
        <f>IFERROR(-ABS(10*LOG10(($R7/(4*PI()*CONVERT(AP7,"ft","m")^2)))),0)</f>
        <v/>
      </c>
      <c r="BH7" s="154">
        <f>IFERROR(-ABS(10*LOG10(($R7/(4*PI()*CONVERT(AQ7,"ft","m")^2)))),0)</f>
        <v/>
      </c>
      <c r="BI7" s="154">
        <f>IFERROR(-ABS(10*LOG10(($R7/(4*PI()*CONVERT(AR7,"ft","m")^2)))),0)</f>
        <v/>
      </c>
      <c r="BJ7" s="154">
        <f>IFERROR(-ABS(10*LOG10(($R7/(4*PI()*CONVERT(AS7,"ft","m")^2)))),0)</f>
        <v/>
      </c>
      <c r="BK7" s="154">
        <f>IFERROR(-ABS(10*LOG10(($R7/(4*PI()*CONVERT(AT7,"ft","m")^2)))),0)</f>
        <v/>
      </c>
      <c r="BL7" s="154">
        <f>IFERROR(-ABS(10*LOG10(($R7/(4*PI()*CONVERT(AU7,"ft","m")^2)))),0)</f>
        <v/>
      </c>
      <c r="BM7" s="155">
        <f>IFERROR(-ABS(10*LOG10(($R7/(4*PI()*CONVERT(AV7,"ft","m")^2)))),0)</f>
        <v/>
      </c>
      <c r="BN7" s="134" t="n"/>
      <c r="BO7" s="38" t="inlineStr">
        <is>
          <t>Barrier (X1, Y1, Z1)</t>
        </is>
      </c>
      <c r="BP7" s="118" t="n"/>
      <c r="BQ7" s="39">
        <f>_xlfn.XLOOKUP($BP$6,$Z$24:$Z$50,AD24:AD50,"error",0,1)</f>
        <v/>
      </c>
      <c r="BR7" s="39">
        <f>_xlfn.XLOOKUP($BP$6,$Z$24:$Z$50,AE24:AE50,"error",0,1)</f>
        <v/>
      </c>
      <c r="BS7" s="39">
        <f>_xlfn.XLOOKUP($BP$6,$Z$24:$Z$50,AF24:AF50,"error",0,1)</f>
        <v/>
      </c>
      <c r="BT7" s="134" t="n"/>
      <c r="BU7" s="134" t="n"/>
      <c r="BV7" s="140" t="n"/>
      <c r="BW7" s="140" t="n"/>
      <c r="BX7" s="140" t="n"/>
      <c r="BY7" s="140" t="n"/>
      <c r="BZ7" s="140" t="n"/>
      <c r="CA7" s="140" t="n"/>
      <c r="CB7" s="140" t="n"/>
      <c r="CC7" s="140" t="n"/>
      <c r="CD7" s="140" t="n"/>
      <c r="CE7" s="140" t="n"/>
      <c r="CF7" s="140" t="n"/>
      <c r="CG7" s="140" t="n"/>
      <c r="CH7" s="140" t="n"/>
      <c r="CI7" s="140" t="n"/>
      <c r="CJ7" s="140" t="n"/>
      <c r="CK7" s="134" t="n"/>
      <c r="CL7" s="134" t="n"/>
      <c r="CM7" s="156">
        <f>IF( CM$1= 0,"",$Q7-$S7+AY7-BV7)</f>
        <v/>
      </c>
      <c r="CN7" s="157">
        <f>IF( CN$1= 0,"",$Q7-$S7+AZ7-BW7)</f>
        <v/>
      </c>
      <c r="CO7" s="157">
        <f>IF( CO$1= 0,"",$Q7-$S7+BA7-BX7)</f>
        <v/>
      </c>
      <c r="CP7" s="157">
        <f>IF( CP$1= 0,"",$Q7-$S7+BB7-BY7)</f>
        <v/>
      </c>
      <c r="CQ7" s="157">
        <f>IF( CQ$1= 0,"",$Q7-$S7+BC7-BZ7)</f>
        <v/>
      </c>
      <c r="CR7" s="157">
        <f>IF( CR$1= 0,"",$Q7-$S7+BD7-CA7)</f>
        <v/>
      </c>
      <c r="CS7" s="157">
        <f>IF( CS$1= 0,"",$Q7-$S7+BE7-CB7)</f>
        <v/>
      </c>
      <c r="CT7" s="157">
        <f>IF( CT$1= 0,"",$Q7-$S7+BF7-CC7)</f>
        <v/>
      </c>
      <c r="CU7" s="158">
        <f>IF( CU$1= 0,"",$Q7-$S7+BG7-CD7)</f>
        <v/>
      </c>
      <c r="CV7" s="158">
        <f>IF( CV$1= 0,"",$Q7-$S7+BH7-CE7)</f>
        <v/>
      </c>
      <c r="CW7" s="158">
        <f>IF( CW$1= 0,"",$Q7-$S7+BI7-CF7)</f>
        <v/>
      </c>
      <c r="CX7" s="158">
        <f>IF( CX$1= 0,"",$Q7-$S7+BJ7-CG7)</f>
        <v/>
      </c>
      <c r="CY7" s="143">
        <f>IF( CY$1= 0,"",$Q7-$S7+BK7-CH7)</f>
        <v/>
      </c>
      <c r="CZ7" s="143">
        <f>IF( CZ$1= 0,"",$Q7-$S7+BL7-CI7)</f>
        <v/>
      </c>
      <c r="DA7" s="144">
        <f>IF( DA$1= 0,"",$Q7-$S7+BM7-CJ7)</f>
        <v/>
      </c>
    </row>
    <row r="8" ht="17.25" customHeight="1" thickBot="1">
      <c r="A8" s="145" t="n">
        <v>1</v>
      </c>
      <c r="B8" s="146" t="inlineStr">
        <is>
          <t>CU-R1</t>
        </is>
      </c>
      <c r="C8" s="146" t="inlineStr">
        <is>
          <t>Radiated</t>
        </is>
      </c>
      <c r="D8" s="147" t="inlineStr">
        <is>
          <t>Mitsubishi</t>
        </is>
      </c>
      <c r="E8" s="205" t="inlineStr">
        <is>
          <t>TURYE3363BN40AN</t>
        </is>
      </c>
      <c r="F8" s="213" t="n"/>
      <c r="G8" s="214" t="n"/>
      <c r="H8" s="214" t="n"/>
      <c r="I8" s="214" t="n"/>
      <c r="J8" s="214" t="n"/>
      <c r="K8" s="214" t="n"/>
      <c r="L8" s="214" t="n"/>
      <c r="M8" s="218" t="n"/>
      <c r="N8" s="213" t="n">
        <v>69.5</v>
      </c>
      <c r="O8" s="215" t="n">
        <v>5</v>
      </c>
      <c r="P8" s="208" t="n">
        <v>1</v>
      </c>
      <c r="Q8" s="128">
        <f>ROUND(IF(AND(A8&gt;0, O8&gt;0), N8+ABS(10*LOG10(P8/(4*PI()*CONVERT(O8,"ft", "m")^2))), N8),0)</f>
        <v/>
      </c>
      <c r="R8" s="3" t="n">
        <v>2</v>
      </c>
      <c r="S8" s="3" t="n"/>
      <c r="T8" s="214" t="n">
        <v>142.94</v>
      </c>
      <c r="U8" s="214" t="n">
        <v>109.76</v>
      </c>
      <c r="V8" s="109">
        <f>SUM(W8:X8)</f>
        <v/>
      </c>
      <c r="W8" s="81" t="n">
        <v>70</v>
      </c>
      <c r="X8" s="148" t="n">
        <v>6.5</v>
      </c>
      <c r="Z8" s="9" t="n"/>
      <c r="AA8" s="214" t="n"/>
      <c r="AB8" s="214" t="n"/>
      <c r="AC8" s="87" t="n"/>
      <c r="AD8" s="8" t="n"/>
      <c r="AE8" s="2" t="str"/>
      <c r="AH8" s="149">
        <f t="array" ref="AH8">IF(AH$1=0,"",SQRT((_xlfn.XLOOKUP(AH$1,$Z$2:$Z$18,$AA$2:$AA$18)-$T8)^2+(_xlfn.XLOOKUP(AH$1,$Z$2:$Z$18,$AB$2:$AB$18)-$U8)^2+(_xlfn.XLOOKUP(AH$1,$Z$2:$Z$18,$AC$2:$AC$18-$V8)^2)))</f>
        <v/>
      </c>
      <c r="AI8" s="150">
        <f t="array" ref="AI8">IF(AI$1=0,"",SQRT((_xlfn.XLOOKUP(AI$1,$Z$2:$Z$18,$AA$2:$AA$18)-$T8)^2+(_xlfn.XLOOKUP(AI$1,$Z$2:$Z$18,$AB$2:$AB$18)-$U8)^2+(_xlfn.XLOOKUP(AI$1,$Z$2:$Z$18,$AC$2:$AC$18-$V8)^2)))</f>
        <v/>
      </c>
      <c r="AJ8" s="150">
        <f t="array" ref="AJ8">IF(AJ$1=0,"",SQRT((_xlfn.XLOOKUP(AJ$1,$Z$2:$Z$18,$AA$2:$AA$18)-$T8)^2+(_xlfn.XLOOKUP(AJ$1,$Z$2:$Z$18,$AB$2:$AB$18)-$U8)^2+(_xlfn.XLOOKUP(AJ$1,$Z$2:$Z$18,$AC$2:$AC$18-$V8)^2)))</f>
        <v/>
      </c>
      <c r="AK8" s="150">
        <f t="array" ref="AK8">IF(AK$1=0,"",SQRT((_xlfn.XLOOKUP(AK$1,$Z$2:$Z$18,$AA$2:$AA$18)-$T8)^2+(_xlfn.XLOOKUP(AK$1,$Z$2:$Z$18,$AB$2:$AB$18)-$U8)^2+(_xlfn.XLOOKUP(AK$1,$Z$2:$Z$18,$AC$2:$AC$18-$V8)^2)))</f>
        <v/>
      </c>
      <c r="AL8" s="150">
        <f t="array" ref="AL8">IF(AL$1=0,"",SQRT((_xlfn.XLOOKUP(AL$1,$Z$2:$Z$18,$AA$2:$AA$18)-$T8)^2+(_xlfn.XLOOKUP(AL$1,$Z$2:$Z$18,$AB$2:$AB$18)-$U8)^2+(_xlfn.XLOOKUP(AL$1,$Z$2:$Z$18,$AC$2:$AC$18-$V8)^2)))</f>
        <v/>
      </c>
      <c r="AM8" s="150">
        <f t="array" ref="AM8">IF(AM$1=0,"",SQRT((_xlfn.XLOOKUP(AM$1,$Z$2:$Z$18,$AA$2:$AA$18)-$T8)^2+(_xlfn.XLOOKUP(AM$1,$Z$2:$Z$18,$AB$2:$AB$18)-$U8)^2+(_xlfn.XLOOKUP(AM$1,$Z$2:$Z$18,$AC$2:$AC$18-$V8)^2)))</f>
        <v/>
      </c>
      <c r="AN8" s="150">
        <f t="array" ref="AN8">IF(AN$1=0,"",SQRT((_xlfn.XLOOKUP(AN$1,$Z$2:$Z$18,$AA$2:$AA$18)-$T8)^2+(_xlfn.XLOOKUP(AN$1,$Z$2:$Z$18,$AB$2:$AB$18)-$U8)^2+(_xlfn.XLOOKUP(AN$1,$Z$2:$Z$18,$AC$2:$AC$18-$V8)^2)))</f>
        <v/>
      </c>
      <c r="AO8" s="150">
        <f t="array" ref="AO8">IF(AO$1=0,"",SQRT((_xlfn.XLOOKUP(AO$1,$Z$2:$Z$18,$AA$2:$AA$18)-$T8)^2+(_xlfn.XLOOKUP(AO$1,$Z$2:$Z$18,$AB$2:$AB$18)-$U8)^2+(_xlfn.XLOOKUP(AO$1,$Z$2:$Z$18,$AC$2:$AC$18-$V8)^2)))</f>
        <v/>
      </c>
      <c r="AP8" s="151">
        <f t="array" ref="AP8">IF(AP$1=0,"",SQRT((_xlfn.XLOOKUP(AP$1,$Z$2:$Z$18,$AA$2:$AA$18)-$T8)^2+(_xlfn.XLOOKUP(AP$1,$Z$2:$Z$18,$AB$2:$AB$18)-$U8)^2+(_xlfn.XLOOKUP(AP$1,$Z$2:$Z$18,$AC$2:$AC$18-$V8)^2)))</f>
        <v/>
      </c>
      <c r="AQ8" s="151">
        <f t="array" ref="AQ8">IF(AQ$1=0,"",SQRT((_xlfn.XLOOKUP(AQ$1,$Z$2:$Z$18,$AA$2:$AA$18)-$T8)^2+(_xlfn.XLOOKUP(AQ$1,$Z$2:$Z$18,$AB$2:$AB$18)-$U8)^2+(_xlfn.XLOOKUP(AQ$1,$Z$2:$Z$18,$AC$2:$AC$18-$V8)^2)))</f>
        <v/>
      </c>
      <c r="AR8" s="151">
        <f t="array" ref="AR8">IF(AR$1=0,"",SQRT((_xlfn.XLOOKUP(AR$1,$Z$2:$Z$18,$AA$2:$AA$18)-$T8)^2+(_xlfn.XLOOKUP(AR$1,$Z$2:$Z$18,$AB$2:$AB$18)-$U8)^2+(_xlfn.XLOOKUP(AR$1,$Z$2:$Z$18,$AC$2:$AC$18-$V8)^2)))</f>
        <v/>
      </c>
      <c r="AS8" s="151">
        <f t="array" ref="AS8">IF(AS$1=0,"",SQRT((_xlfn.XLOOKUP(AS$1,$Z$2:$Z$18,$AA$2:$AA$18)-$T8)^2+(_xlfn.XLOOKUP(AS$1,$Z$2:$Z$18,$AB$2:$AB$18)-$U8)^2+(_xlfn.XLOOKUP(AS$1,$Z$2:$Z$18,$AC$2:$AC$18-$V8)^2)))</f>
        <v/>
      </c>
      <c r="AT8" s="151">
        <f t="array" ref="AT8">IF(AT$1=0,"",SQRT((_xlfn.XLOOKUP(AT$1,$Z$2:$Z$18,$AA$2:$AA$18)-$T8)^2+(_xlfn.XLOOKUP(AT$1,$Z$2:$Z$18,$AB$2:$AB$18)-$U8)^2+(_xlfn.XLOOKUP(AT$1,$Z$2:$Z$18,$AC$2:$AC$18-$V8)^2)))</f>
        <v/>
      </c>
      <c r="AU8" s="151">
        <f t="array" ref="AU8">IF(AU$1=0,"",SQRT((_xlfn.XLOOKUP(AU$1,$Z$2:$Z$18,$AA$2:$AA$18)-$T8)^2+(_xlfn.XLOOKUP(AU$1,$Z$2:$Z$18,$AB$2:$AB$18)-$U8)^2+(_xlfn.XLOOKUP(AU$1,$Z$2:$Z$18,$AC$2:$AC$18-$V8)^2)))</f>
        <v/>
      </c>
      <c r="AV8" s="152">
        <f t="array" ref="AV8">IF(AV$1=0,"",SQRT((_xlfn.XLOOKUP(AV$1,$Z$2:$Z$18,$AA$2:$AA$18)-$T8)^2+(_xlfn.XLOOKUP(AV$1,$Z$2:$Z$18,$AB$2:$AB$18)-$U8)^2+(_xlfn.XLOOKUP(AV$1,$Z$2:$Z$18,$AC$2:$AC$18-$V8)^2)))</f>
        <v/>
      </c>
      <c r="AW8" s="134" t="n"/>
      <c r="AX8" s="134" t="n"/>
      <c r="AY8" s="135">
        <f>IFERROR(-ABS(10*LOG10(($R8/(4*PI()*CONVERT(AH8,"ft","m")^2)))),0)</f>
        <v/>
      </c>
      <c r="AZ8" s="153">
        <f>IFERROR(-ABS(10*LOG10(($R8/(4*PI()*CONVERT(AI8,"ft","m")^2)))),0)</f>
        <v/>
      </c>
      <c r="BA8" s="153">
        <f>IFERROR(-ABS(10*LOG10(($R8/(4*PI()*CONVERT(AJ8,"ft","m")^2)))),0)</f>
        <v/>
      </c>
      <c r="BB8" s="153">
        <f>IFERROR(-ABS(10*LOG10(($R8/(4*PI()*CONVERT(AK8,"ft","m")^2)))),0)</f>
        <v/>
      </c>
      <c r="BC8" s="153">
        <f>IFERROR(-ABS(10*LOG10(($R8/(4*PI()*CONVERT(AL8,"ft","m")^2)))),0)</f>
        <v/>
      </c>
      <c r="BD8" s="153">
        <f>IFERROR(-ABS(10*LOG10(($R8/(4*PI()*CONVERT(AM8,"ft","m")^2)))),0)</f>
        <v/>
      </c>
      <c r="BE8" s="153">
        <f>IFERROR(-ABS(10*LOG10(($R8/(4*PI()*CONVERT(AN8,"ft","m")^2)))),0)</f>
        <v/>
      </c>
      <c r="BF8" s="153">
        <f>IFERROR(-ABS(10*LOG10(($R8/(4*PI()*CONVERT(AO8,"ft","m")^2)))),0)</f>
        <v/>
      </c>
      <c r="BG8" s="154">
        <f>IFERROR(-ABS(10*LOG10(($R8/(4*PI()*CONVERT(AP8,"ft","m")^2)))),0)</f>
        <v/>
      </c>
      <c r="BH8" s="154">
        <f>IFERROR(-ABS(10*LOG10(($R8/(4*PI()*CONVERT(AQ8,"ft","m")^2)))),0)</f>
        <v/>
      </c>
      <c r="BI8" s="154">
        <f>IFERROR(-ABS(10*LOG10(($R8/(4*PI()*CONVERT(AR8,"ft","m")^2)))),0)</f>
        <v/>
      </c>
      <c r="BJ8" s="154">
        <f>IFERROR(-ABS(10*LOG10(($R8/(4*PI()*CONVERT(AS8,"ft","m")^2)))),0)</f>
        <v/>
      </c>
      <c r="BK8" s="154">
        <f>IFERROR(-ABS(10*LOG10(($R8/(4*PI()*CONVERT(AT8,"ft","m")^2)))),0)</f>
        <v/>
      </c>
      <c r="BL8" s="154">
        <f>IFERROR(-ABS(10*LOG10(($R8/(4*PI()*CONVERT(AU8,"ft","m")^2)))),0)</f>
        <v/>
      </c>
      <c r="BM8" s="155">
        <f>IFERROR(-ABS(10*LOG10(($R8/(4*PI()*CONVERT(AV8,"ft","m")^2)))),0)</f>
        <v/>
      </c>
      <c r="BN8" s="134" t="n"/>
      <c r="BO8" s="41" t="inlineStr">
        <is>
          <t>Distance: Source - Receiver (Horizontal line)</t>
        </is>
      </c>
      <c r="BP8" s="160">
        <f>SQRT((BQ5-BQ4)^2+(BR5-BR4)^2)</f>
        <v/>
      </c>
      <c r="BQ8" s="42" t="inlineStr">
        <is>
          <t>m: S to R</t>
        </is>
      </c>
      <c r="BR8" s="119">
        <f>(BR5-BR4)/(BQ5-BQ4)</f>
        <v/>
      </c>
      <c r="BS8" s="161">
        <f>SLOPE(BR4:BR5,BQ4:BQ5)</f>
        <v/>
      </c>
      <c r="BT8" s="134" t="n"/>
      <c r="BU8" s="134" t="n"/>
      <c r="BV8" s="140" t="n"/>
      <c r="BW8" s="140" t="n"/>
      <c r="BX8" s="140" t="n"/>
      <c r="BY8" s="140" t="n"/>
      <c r="BZ8" s="140" t="n"/>
      <c r="CA8" s="140" t="n"/>
      <c r="CB8" s="140" t="n"/>
      <c r="CC8" s="140" t="n"/>
      <c r="CD8" s="140" t="n"/>
      <c r="CE8" s="140" t="n"/>
      <c r="CF8" s="140" t="n"/>
      <c r="CG8" s="140" t="n"/>
      <c r="CH8" s="140" t="n"/>
      <c r="CI8" s="140" t="n"/>
      <c r="CJ8" s="140" t="n"/>
      <c r="CK8" s="134" t="n"/>
      <c r="CL8" s="134" t="n"/>
      <c r="CM8" s="156">
        <f>IF( CM$1= 0,"",$Q8-$S8+AY8-BV8)</f>
        <v/>
      </c>
      <c r="CN8" s="157">
        <f>IF( CN$1= 0,"",$Q8-$S8+AZ8-BW8)</f>
        <v/>
      </c>
      <c r="CO8" s="157">
        <f>IF( CO$1= 0,"",$Q8-$S8+BA8-BX8)</f>
        <v/>
      </c>
      <c r="CP8" s="157">
        <f>IF( CP$1= 0,"",$Q8-$S8+BB8-BY8)</f>
        <v/>
      </c>
      <c r="CQ8" s="157">
        <f>IF( CQ$1= 0,"",$Q8-$S8+BC8-BZ8)</f>
        <v/>
      </c>
      <c r="CR8" s="157">
        <f>IF( CR$1= 0,"",$Q8-$S8+BD8-CA8)</f>
        <v/>
      </c>
      <c r="CS8" s="157">
        <f>IF( CS$1= 0,"",$Q8-$S8+BE8-CB8)</f>
        <v/>
      </c>
      <c r="CT8" s="157">
        <f>IF( CT$1= 0,"",$Q8-$S8+BF8-CC8)</f>
        <v/>
      </c>
      <c r="CU8" s="158">
        <f>IF( CU$1= 0,"",$Q8-$S8+BG8-CD8)</f>
        <v/>
      </c>
      <c r="CV8" s="158">
        <f>IF( CV$1= 0,"",$Q8-$S8+BH8-CE8)</f>
        <v/>
      </c>
      <c r="CW8" s="158">
        <f>IF( CW$1= 0,"",$Q8-$S8+BI8-CF8)</f>
        <v/>
      </c>
      <c r="CX8" s="158">
        <f>IF( CX$1= 0,"",$Q8-$S8+BJ8-CG8)</f>
        <v/>
      </c>
      <c r="CY8" s="143">
        <f>IF( CY$1= 0,"",$Q8-$S8+BK8-CH8)</f>
        <v/>
      </c>
      <c r="CZ8" s="143">
        <f>IF( CZ$1= 0,"",$Q8-$S8+BL8-CI8)</f>
        <v/>
      </c>
      <c r="DA8" s="144">
        <f>IF( DA$1= 0,"",$Q8-$S8+BM8-CJ8)</f>
        <v/>
      </c>
    </row>
    <row r="9" ht="17.25" customHeight="1" thickBot="1">
      <c r="A9" s="145" t="n">
        <v>1</v>
      </c>
      <c r="B9" s="146" t="inlineStr">
        <is>
          <t>CU-R2</t>
        </is>
      </c>
      <c r="C9" s="146" t="inlineStr">
        <is>
          <t>Radiated</t>
        </is>
      </c>
      <c r="D9" s="147" t="inlineStr">
        <is>
          <t>Mitsubishi</t>
        </is>
      </c>
      <c r="E9" s="205" t="inlineStr">
        <is>
          <t>TURYE1683AN40AN</t>
        </is>
      </c>
      <c r="F9" s="213" t="n"/>
      <c r="G9" s="214" t="n"/>
      <c r="H9" s="214" t="n"/>
      <c r="I9" s="214" t="n"/>
      <c r="J9" s="214" t="n"/>
      <c r="K9" s="214" t="n"/>
      <c r="L9" s="214" t="n"/>
      <c r="M9" s="218" t="n"/>
      <c r="N9" s="213" t="n">
        <v>66.5</v>
      </c>
      <c r="O9" s="215" t="n">
        <v>5</v>
      </c>
      <c r="P9" s="208" t="n">
        <v>1</v>
      </c>
      <c r="Q9" s="128">
        <f>ROUND(IF(AND(A9&gt;0, O9&gt;0), N9+ABS(10*LOG10(P9/(4*PI()*CONVERT(O9,"ft", "m")^2))), N9),0)</f>
        <v/>
      </c>
      <c r="R9" s="3" t="n">
        <v>2</v>
      </c>
      <c r="S9" s="3" t="n"/>
      <c r="T9" s="214" t="n">
        <v>135.82</v>
      </c>
      <c r="U9" s="214" t="n">
        <v>110.75</v>
      </c>
      <c r="V9" s="109">
        <f>SUM(W9:X9)</f>
        <v/>
      </c>
      <c r="W9" s="81" t="n">
        <v>70</v>
      </c>
      <c r="X9" s="148" t="n">
        <v>6.5</v>
      </c>
      <c r="Z9" s="9" t="n"/>
      <c r="AA9" s="214" t="n"/>
      <c r="AB9" s="214" t="n"/>
      <c r="AC9" s="87" t="n"/>
      <c r="AD9" s="8" t="n"/>
      <c r="AE9" s="2" t="str"/>
      <c r="AH9" s="149">
        <f t="array" ref="AH9">IF(AH$1=0,"",SQRT((_xlfn.XLOOKUP(AH$1,$Z$2:$Z$18,$AA$2:$AA$18)-$T9)^2+(_xlfn.XLOOKUP(AH$1,$Z$2:$Z$18,$AB$2:$AB$18)-$U9)^2+(_xlfn.XLOOKUP(AH$1,$Z$2:$Z$18,$AC$2:$AC$18-$V9)^2)))</f>
        <v/>
      </c>
      <c r="AI9" s="150">
        <f t="array" ref="AI9">IF(AI$1=0,"",SQRT((_xlfn.XLOOKUP(AI$1,$Z$2:$Z$18,$AA$2:$AA$18)-$T9)^2+(_xlfn.XLOOKUP(AI$1,$Z$2:$Z$18,$AB$2:$AB$18)-$U9)^2+(_xlfn.XLOOKUP(AI$1,$Z$2:$Z$18,$AC$2:$AC$18-$V9)^2)))</f>
        <v/>
      </c>
      <c r="AJ9" s="150">
        <f t="array" ref="AJ9">IF(AJ$1=0,"",SQRT((_xlfn.XLOOKUP(AJ$1,$Z$2:$Z$18,$AA$2:$AA$18)-$T9)^2+(_xlfn.XLOOKUP(AJ$1,$Z$2:$Z$18,$AB$2:$AB$18)-$U9)^2+(_xlfn.XLOOKUP(AJ$1,$Z$2:$Z$18,$AC$2:$AC$18-$V9)^2)))</f>
        <v/>
      </c>
      <c r="AK9" s="150">
        <f t="array" ref="AK9">IF(AK$1=0,"",SQRT((_xlfn.XLOOKUP(AK$1,$Z$2:$Z$18,$AA$2:$AA$18)-$T9)^2+(_xlfn.XLOOKUP(AK$1,$Z$2:$Z$18,$AB$2:$AB$18)-$U9)^2+(_xlfn.XLOOKUP(AK$1,$Z$2:$Z$18,$AC$2:$AC$18-$V9)^2)))</f>
        <v/>
      </c>
      <c r="AL9" s="150">
        <f t="array" ref="AL9">IF(AL$1=0,"",SQRT((_xlfn.XLOOKUP(AL$1,$Z$2:$Z$18,$AA$2:$AA$18)-$T9)^2+(_xlfn.XLOOKUP(AL$1,$Z$2:$Z$18,$AB$2:$AB$18)-$U9)^2+(_xlfn.XLOOKUP(AL$1,$Z$2:$Z$18,$AC$2:$AC$18-$V9)^2)))</f>
        <v/>
      </c>
      <c r="AM9" s="150">
        <f t="array" ref="AM9">IF(AM$1=0,"",SQRT((_xlfn.XLOOKUP(AM$1,$Z$2:$Z$18,$AA$2:$AA$18)-$T9)^2+(_xlfn.XLOOKUP(AM$1,$Z$2:$Z$18,$AB$2:$AB$18)-$U9)^2+(_xlfn.XLOOKUP(AM$1,$Z$2:$Z$18,$AC$2:$AC$18-$V9)^2)))</f>
        <v/>
      </c>
      <c r="AN9" s="150">
        <f t="array" ref="AN9">IF(AN$1=0,"",SQRT((_xlfn.XLOOKUP(AN$1,$Z$2:$Z$18,$AA$2:$AA$18)-$T9)^2+(_xlfn.XLOOKUP(AN$1,$Z$2:$Z$18,$AB$2:$AB$18)-$U9)^2+(_xlfn.XLOOKUP(AN$1,$Z$2:$Z$18,$AC$2:$AC$18-$V9)^2)))</f>
        <v/>
      </c>
      <c r="AO9" s="150">
        <f t="array" ref="AO9">IF(AO$1=0,"",SQRT((_xlfn.XLOOKUP(AO$1,$Z$2:$Z$18,$AA$2:$AA$18)-$T9)^2+(_xlfn.XLOOKUP(AO$1,$Z$2:$Z$18,$AB$2:$AB$18)-$U9)^2+(_xlfn.XLOOKUP(AO$1,$Z$2:$Z$18,$AC$2:$AC$18-$V9)^2)))</f>
        <v/>
      </c>
      <c r="AP9" s="151">
        <f t="array" ref="AP9">IF(AP$1=0,"",SQRT((_xlfn.XLOOKUP(AP$1,$Z$2:$Z$18,$AA$2:$AA$18)-$T9)^2+(_xlfn.XLOOKUP(AP$1,$Z$2:$Z$18,$AB$2:$AB$18)-$U9)^2+(_xlfn.XLOOKUP(AP$1,$Z$2:$Z$18,$AC$2:$AC$18-$V9)^2)))</f>
        <v/>
      </c>
      <c r="AQ9" s="151">
        <f t="array" ref="AQ9">IF(AQ$1=0,"",SQRT((_xlfn.XLOOKUP(AQ$1,$Z$2:$Z$18,$AA$2:$AA$18)-$T9)^2+(_xlfn.XLOOKUP(AQ$1,$Z$2:$Z$18,$AB$2:$AB$18)-$U9)^2+(_xlfn.XLOOKUP(AQ$1,$Z$2:$Z$18,$AC$2:$AC$18-$V9)^2)))</f>
        <v/>
      </c>
      <c r="AR9" s="151">
        <f t="array" ref="AR9">IF(AR$1=0,"",SQRT((_xlfn.XLOOKUP(AR$1,$Z$2:$Z$18,$AA$2:$AA$18)-$T9)^2+(_xlfn.XLOOKUP(AR$1,$Z$2:$Z$18,$AB$2:$AB$18)-$U9)^2+(_xlfn.XLOOKUP(AR$1,$Z$2:$Z$18,$AC$2:$AC$18-$V9)^2)))</f>
        <v/>
      </c>
      <c r="AS9" s="151">
        <f t="array" ref="AS9">IF(AS$1=0,"",SQRT((_xlfn.XLOOKUP(AS$1,$Z$2:$Z$18,$AA$2:$AA$18)-$T9)^2+(_xlfn.XLOOKUP(AS$1,$Z$2:$Z$18,$AB$2:$AB$18)-$U9)^2+(_xlfn.XLOOKUP(AS$1,$Z$2:$Z$18,$AC$2:$AC$18-$V9)^2)))</f>
        <v/>
      </c>
      <c r="AT9" s="151">
        <f t="array" ref="AT9">IF(AT$1=0,"",SQRT((_xlfn.XLOOKUP(AT$1,$Z$2:$Z$18,$AA$2:$AA$18)-$T9)^2+(_xlfn.XLOOKUP(AT$1,$Z$2:$Z$18,$AB$2:$AB$18)-$U9)^2+(_xlfn.XLOOKUP(AT$1,$Z$2:$Z$18,$AC$2:$AC$18-$V9)^2)))</f>
        <v/>
      </c>
      <c r="AU9" s="151">
        <f t="array" ref="AU9">IF(AU$1=0,"",SQRT((_xlfn.XLOOKUP(AU$1,$Z$2:$Z$18,$AA$2:$AA$18)-$T9)^2+(_xlfn.XLOOKUP(AU$1,$Z$2:$Z$18,$AB$2:$AB$18)-$U9)^2+(_xlfn.XLOOKUP(AU$1,$Z$2:$Z$18,$AC$2:$AC$18-$V9)^2)))</f>
        <v/>
      </c>
      <c r="AV9" s="152">
        <f t="array" ref="AV9">IF(AV$1=0,"",SQRT((_xlfn.XLOOKUP(AV$1,$Z$2:$Z$18,$AA$2:$AA$18)-$T9)^2+(_xlfn.XLOOKUP(AV$1,$Z$2:$Z$18,$AB$2:$AB$18)-$U9)^2+(_xlfn.XLOOKUP(AV$1,$Z$2:$Z$18,$AC$2:$AC$18-$V9)^2)))</f>
        <v/>
      </c>
      <c r="AW9" s="134" t="n"/>
      <c r="AX9" s="134" t="n"/>
      <c r="AY9" s="135">
        <f>IFERROR(-ABS(10*LOG10(($R9/(4*PI()*CONVERT(AH9,"ft","m")^2)))),0)</f>
        <v/>
      </c>
      <c r="AZ9" s="153">
        <f>IFERROR(-ABS(10*LOG10(($R9/(4*PI()*CONVERT(AI9,"ft","m")^2)))),0)</f>
        <v/>
      </c>
      <c r="BA9" s="153">
        <f>IFERROR(-ABS(10*LOG10(($R9/(4*PI()*CONVERT(AJ9,"ft","m")^2)))),0)</f>
        <v/>
      </c>
      <c r="BB9" s="153">
        <f>IFERROR(-ABS(10*LOG10(($R9/(4*PI()*CONVERT(AK9,"ft","m")^2)))),0)</f>
        <v/>
      </c>
      <c r="BC9" s="153">
        <f>IFERROR(-ABS(10*LOG10(($R9/(4*PI()*CONVERT(AL9,"ft","m")^2)))),0)</f>
        <v/>
      </c>
      <c r="BD9" s="153">
        <f>IFERROR(-ABS(10*LOG10(($R9/(4*PI()*CONVERT(AM9,"ft","m")^2)))),0)</f>
        <v/>
      </c>
      <c r="BE9" s="153">
        <f>IFERROR(-ABS(10*LOG10(($R9/(4*PI()*CONVERT(AN9,"ft","m")^2)))),0)</f>
        <v/>
      </c>
      <c r="BF9" s="153">
        <f>IFERROR(-ABS(10*LOG10(($R9/(4*PI()*CONVERT(AO9,"ft","m")^2)))),0)</f>
        <v/>
      </c>
      <c r="BG9" s="154">
        <f>IFERROR(-ABS(10*LOG10(($R9/(4*PI()*CONVERT(AP9,"ft","m")^2)))),0)</f>
        <v/>
      </c>
      <c r="BH9" s="154">
        <f>IFERROR(-ABS(10*LOG10(($R9/(4*PI()*CONVERT(AQ9,"ft","m")^2)))),0)</f>
        <v/>
      </c>
      <c r="BI9" s="154">
        <f>IFERROR(-ABS(10*LOG10(($R9/(4*PI()*CONVERT(AR9,"ft","m")^2)))),0)</f>
        <v/>
      </c>
      <c r="BJ9" s="154">
        <f>IFERROR(-ABS(10*LOG10(($R9/(4*PI()*CONVERT(AS9,"ft","m")^2)))),0)</f>
        <v/>
      </c>
      <c r="BK9" s="154">
        <f>IFERROR(-ABS(10*LOG10(($R9/(4*PI()*CONVERT(AT9,"ft","m")^2)))),0)</f>
        <v/>
      </c>
      <c r="BL9" s="154">
        <f>IFERROR(-ABS(10*LOG10(($R9/(4*PI()*CONVERT(AU9,"ft","m")^2)))),0)</f>
        <v/>
      </c>
      <c r="BM9" s="155">
        <f>IFERROR(-ABS(10*LOG10(($R9/(4*PI()*CONVERT(AV9,"ft","m")^2)))),0)</f>
        <v/>
      </c>
      <c r="BN9" s="134" t="n"/>
      <c r="BO9" s="41" t="inlineStr">
        <is>
          <t>Distance: Source - Barrier (Horizontal line)</t>
        </is>
      </c>
      <c r="BP9" s="162">
        <f>SQRT((BR12-BQ4)^2+(BR13-BR4)^2)</f>
        <v/>
      </c>
      <c r="BQ9" s="44" t="inlineStr">
        <is>
          <t>m: bar S to bar E</t>
        </is>
      </c>
      <c r="BR9" s="120">
        <f>(BR7-BR6)/(BQ7-BQ6)</f>
        <v/>
      </c>
      <c r="BS9" s="163">
        <f>SLOPE(BR6:BR7,BQ6:BQ7)</f>
        <v/>
      </c>
      <c r="BT9" s="134" t="n"/>
      <c r="BU9" s="134" t="n"/>
      <c r="BV9" s="140" t="n"/>
      <c r="BW9" s="140" t="n"/>
      <c r="BX9" s="140" t="n"/>
      <c r="BY9" s="140" t="n"/>
      <c r="BZ9" s="140" t="n"/>
      <c r="CA9" s="140" t="n"/>
      <c r="CB9" s="140" t="n"/>
      <c r="CC9" s="140" t="n"/>
      <c r="CD9" s="140" t="n"/>
      <c r="CE9" s="140" t="n"/>
      <c r="CF9" s="140" t="n"/>
      <c r="CG9" s="140" t="n"/>
      <c r="CH9" s="140" t="n"/>
      <c r="CI9" s="140" t="n"/>
      <c r="CJ9" s="140" t="n"/>
      <c r="CK9" s="134" t="n"/>
      <c r="CL9" s="134" t="n"/>
      <c r="CM9" s="156">
        <f>IF( CM$1= 0,"",$Q9-$S9+AY9-BV9)</f>
        <v/>
      </c>
      <c r="CN9" s="157">
        <f>IF( CN$1= 0,"",$Q9-$S9+AZ9-BW9)</f>
        <v/>
      </c>
      <c r="CO9" s="157">
        <f>IF( CO$1= 0,"",$Q9-$S9+BA9-BX9)</f>
        <v/>
      </c>
      <c r="CP9" s="157">
        <f>IF( CP$1= 0,"",$Q9-$S9+BB9-BY9)</f>
        <v/>
      </c>
      <c r="CQ9" s="157">
        <f>IF( CQ$1= 0,"",$Q9-$S9+BC9-BZ9)</f>
        <v/>
      </c>
      <c r="CR9" s="157">
        <f>IF( CR$1= 0,"",$Q9-$S9+BD9-CA9)</f>
        <v/>
      </c>
      <c r="CS9" s="157">
        <f>IF( CS$1= 0,"",$Q9-$S9+BE9-CB9)</f>
        <v/>
      </c>
      <c r="CT9" s="157">
        <f>IF( CT$1= 0,"",$Q9-$S9+BF9-CC9)</f>
        <v/>
      </c>
      <c r="CU9" s="158">
        <f>IF( CU$1= 0,"",$Q9-$S9+BG9-CD9)</f>
        <v/>
      </c>
      <c r="CV9" s="158">
        <f>IF( CV$1= 0,"",$Q9-$S9+BH9-CE9)</f>
        <v/>
      </c>
      <c r="CW9" s="158">
        <f>IF( CW$1= 0,"",$Q9-$S9+BI9-CF9)</f>
        <v/>
      </c>
      <c r="CX9" s="158">
        <f>IF( CX$1= 0,"",$Q9-$S9+BJ9-CG9)</f>
        <v/>
      </c>
      <c r="CY9" s="143">
        <f>IF( CY$1= 0,"",$Q9-$S9+BK9-CH9)</f>
        <v/>
      </c>
      <c r="CZ9" s="143">
        <f>IF( CZ$1= 0,"",$Q9-$S9+BL9-CI9)</f>
        <v/>
      </c>
      <c r="DA9" s="144">
        <f>IF( DA$1= 0,"",$Q9-$S9+BM9-CJ9)</f>
        <v/>
      </c>
    </row>
    <row r="10" ht="17.25" customHeight="1" thickBot="1">
      <c r="A10" s="145" t="n">
        <v>1</v>
      </c>
      <c r="B10" s="126" t="inlineStr">
        <is>
          <t>CU-R4</t>
        </is>
      </c>
      <c r="C10" s="146" t="inlineStr">
        <is>
          <t>Radiated</t>
        </is>
      </c>
      <c r="D10" s="147" t="inlineStr">
        <is>
          <t>Mitsubishi</t>
        </is>
      </c>
      <c r="E10" s="205" t="inlineStr">
        <is>
          <t>PUHY-P96YLMU-A</t>
        </is>
      </c>
      <c r="F10" s="213" t="n"/>
      <c r="G10" s="214" t="n"/>
      <c r="H10" s="214" t="n"/>
      <c r="I10" s="214" t="n"/>
      <c r="J10" s="214" t="n"/>
      <c r="K10" s="214" t="n"/>
      <c r="L10" s="214" t="n"/>
      <c r="M10" s="218" t="n"/>
      <c r="N10" s="213" t="n">
        <v>58</v>
      </c>
      <c r="O10" s="215" t="n">
        <v>5</v>
      </c>
      <c r="P10" s="208" t="n">
        <v>1</v>
      </c>
      <c r="Q10" s="128">
        <f>ROUND(IF(AND(A10&gt;0, O10&gt;0), N10+ABS(10*LOG10(P10/(4*PI()*CONVERT(O10,"ft", "m")^2))), N10),0)</f>
        <v/>
      </c>
      <c r="R10" s="3" t="n">
        <v>2</v>
      </c>
      <c r="S10" s="3" t="n"/>
      <c r="T10" s="214" t="n">
        <v>149.12</v>
      </c>
      <c r="U10" s="214" t="n">
        <v>114.25</v>
      </c>
      <c r="V10" s="109">
        <f>SUM(W10:X10)</f>
        <v/>
      </c>
      <c r="W10" s="81" t="n">
        <v>70</v>
      </c>
      <c r="X10" s="148" t="n">
        <v>6</v>
      </c>
      <c r="Z10" s="9" t="n"/>
      <c r="AA10" s="214" t="n"/>
      <c r="AB10" s="214" t="n"/>
      <c r="AC10" s="87" t="n"/>
      <c r="AD10" s="8" t="n"/>
      <c r="AE10" s="2" t="str"/>
      <c r="AH10" s="149">
        <f t="array" ref="AH10">IF(AH$1=0,"",SQRT((_xlfn.XLOOKUP(AH$1,$Z$2:$Z$18,$AA$2:$AA$18)-$T10)^2+(_xlfn.XLOOKUP(AH$1,$Z$2:$Z$18,$AB$2:$AB$18)-$U10)^2+(_xlfn.XLOOKUP(AH$1,$Z$2:$Z$18,$AC$2:$AC$18-$V10)^2)))</f>
        <v/>
      </c>
      <c r="AI10" s="150">
        <f t="array" ref="AI10">IF(AI$1=0,"",SQRT((_xlfn.XLOOKUP(AI$1,$Z$2:$Z$18,$AA$2:$AA$18)-$T10)^2+(_xlfn.XLOOKUP(AI$1,$Z$2:$Z$18,$AB$2:$AB$18)-$U10)^2+(_xlfn.XLOOKUP(AI$1,$Z$2:$Z$18,$AC$2:$AC$18-$V10)^2)))</f>
        <v/>
      </c>
      <c r="AJ10" s="150">
        <f t="array" ref="AJ10">IF(AJ$1=0,"",SQRT((_xlfn.XLOOKUP(AJ$1,$Z$2:$Z$18,$AA$2:$AA$18)-$T10)^2+(_xlfn.XLOOKUP(AJ$1,$Z$2:$Z$18,$AB$2:$AB$18)-$U10)^2+(_xlfn.XLOOKUP(AJ$1,$Z$2:$Z$18,$AC$2:$AC$18-$V10)^2)))</f>
        <v/>
      </c>
      <c r="AK10" s="150">
        <f t="array" ref="AK10">IF(AK$1=0,"",SQRT((_xlfn.XLOOKUP(AK$1,$Z$2:$Z$18,$AA$2:$AA$18)-$T10)^2+(_xlfn.XLOOKUP(AK$1,$Z$2:$Z$18,$AB$2:$AB$18)-$U10)^2+(_xlfn.XLOOKUP(AK$1,$Z$2:$Z$18,$AC$2:$AC$18-$V10)^2)))</f>
        <v/>
      </c>
      <c r="AL10" s="150">
        <f t="array" ref="AL10">IF(AL$1=0,"",SQRT((_xlfn.XLOOKUP(AL$1,$Z$2:$Z$18,$AA$2:$AA$18)-$T10)^2+(_xlfn.XLOOKUP(AL$1,$Z$2:$Z$18,$AB$2:$AB$18)-$U10)^2+(_xlfn.XLOOKUP(AL$1,$Z$2:$Z$18,$AC$2:$AC$18-$V10)^2)))</f>
        <v/>
      </c>
      <c r="AM10" s="150">
        <f t="array" ref="AM10">IF(AM$1=0,"",SQRT((_xlfn.XLOOKUP(AM$1,$Z$2:$Z$18,$AA$2:$AA$18)-$T10)^2+(_xlfn.XLOOKUP(AM$1,$Z$2:$Z$18,$AB$2:$AB$18)-$U10)^2+(_xlfn.XLOOKUP(AM$1,$Z$2:$Z$18,$AC$2:$AC$18-$V10)^2)))</f>
        <v/>
      </c>
      <c r="AN10" s="150">
        <f t="array" ref="AN10">IF(AN$1=0,"",SQRT((_xlfn.XLOOKUP(AN$1,$Z$2:$Z$18,$AA$2:$AA$18)-$T10)^2+(_xlfn.XLOOKUP(AN$1,$Z$2:$Z$18,$AB$2:$AB$18)-$U10)^2+(_xlfn.XLOOKUP(AN$1,$Z$2:$Z$18,$AC$2:$AC$18-$V10)^2)))</f>
        <v/>
      </c>
      <c r="AO10" s="150">
        <f t="array" ref="AO10">IF(AO$1=0,"",SQRT((_xlfn.XLOOKUP(AO$1,$Z$2:$Z$18,$AA$2:$AA$18)-$T10)^2+(_xlfn.XLOOKUP(AO$1,$Z$2:$Z$18,$AB$2:$AB$18)-$U10)^2+(_xlfn.XLOOKUP(AO$1,$Z$2:$Z$18,$AC$2:$AC$18-$V10)^2)))</f>
        <v/>
      </c>
      <c r="AP10" s="151">
        <f t="array" ref="AP10">IF(AP$1=0,"",SQRT((_xlfn.XLOOKUP(AP$1,$Z$2:$Z$18,$AA$2:$AA$18)-$T10)^2+(_xlfn.XLOOKUP(AP$1,$Z$2:$Z$18,$AB$2:$AB$18)-$U10)^2+(_xlfn.XLOOKUP(AP$1,$Z$2:$Z$18,$AC$2:$AC$18-$V10)^2)))</f>
        <v/>
      </c>
      <c r="AQ10" s="151">
        <f t="array" ref="AQ10">IF(AQ$1=0,"",SQRT((_xlfn.XLOOKUP(AQ$1,$Z$2:$Z$18,$AA$2:$AA$18)-$T10)^2+(_xlfn.XLOOKUP(AQ$1,$Z$2:$Z$18,$AB$2:$AB$18)-$U10)^2+(_xlfn.XLOOKUP(AQ$1,$Z$2:$Z$18,$AC$2:$AC$18-$V10)^2)))</f>
        <v/>
      </c>
      <c r="AR10" s="151">
        <f t="array" ref="AR10">IF(AR$1=0,"",SQRT((_xlfn.XLOOKUP(AR$1,$Z$2:$Z$18,$AA$2:$AA$18)-$T10)^2+(_xlfn.XLOOKUP(AR$1,$Z$2:$Z$18,$AB$2:$AB$18)-$U10)^2+(_xlfn.XLOOKUP(AR$1,$Z$2:$Z$18,$AC$2:$AC$18-$V10)^2)))</f>
        <v/>
      </c>
      <c r="AS10" s="151">
        <f t="array" ref="AS10">IF(AS$1=0,"",SQRT((_xlfn.XLOOKUP(AS$1,$Z$2:$Z$18,$AA$2:$AA$18)-$T10)^2+(_xlfn.XLOOKUP(AS$1,$Z$2:$Z$18,$AB$2:$AB$18)-$U10)^2+(_xlfn.XLOOKUP(AS$1,$Z$2:$Z$18,$AC$2:$AC$18-$V10)^2)))</f>
        <v/>
      </c>
      <c r="AT10" s="151">
        <f t="array" ref="AT10">IF(AT$1=0,"",SQRT((_xlfn.XLOOKUP(AT$1,$Z$2:$Z$18,$AA$2:$AA$18)-$T10)^2+(_xlfn.XLOOKUP(AT$1,$Z$2:$Z$18,$AB$2:$AB$18)-$U10)^2+(_xlfn.XLOOKUP(AT$1,$Z$2:$Z$18,$AC$2:$AC$18-$V10)^2)))</f>
        <v/>
      </c>
      <c r="AU10" s="151">
        <f t="array" ref="AU10">IF(AU$1=0,"",SQRT((_xlfn.XLOOKUP(AU$1,$Z$2:$Z$18,$AA$2:$AA$18)-$T10)^2+(_xlfn.XLOOKUP(AU$1,$Z$2:$Z$18,$AB$2:$AB$18)-$U10)^2+(_xlfn.XLOOKUP(AU$1,$Z$2:$Z$18,$AC$2:$AC$18-$V10)^2)))</f>
        <v/>
      </c>
      <c r="AV10" s="152">
        <f t="array" ref="AV10">IF(AV$1=0,"",SQRT((_xlfn.XLOOKUP(AV$1,$Z$2:$Z$18,$AA$2:$AA$18)-$T10)^2+(_xlfn.XLOOKUP(AV$1,$Z$2:$Z$18,$AB$2:$AB$18)-$U10)^2+(_xlfn.XLOOKUP(AV$1,$Z$2:$Z$18,$AC$2:$AC$18-$V10)^2)))</f>
        <v/>
      </c>
      <c r="AW10" s="134" t="n"/>
      <c r="AX10" s="134" t="n"/>
      <c r="AY10" s="135">
        <f>IFERROR(-ABS(10*LOG10(($R10/(4*PI()*CONVERT(AH10,"ft","m")^2)))),0)</f>
        <v/>
      </c>
      <c r="AZ10" s="153">
        <f>IFERROR(-ABS(10*LOG10(($R10/(4*PI()*CONVERT(AI10,"ft","m")^2)))),0)</f>
        <v/>
      </c>
      <c r="BA10" s="153">
        <f>IFERROR(-ABS(10*LOG10(($R10/(4*PI()*CONVERT(AJ10,"ft","m")^2)))),0)</f>
        <v/>
      </c>
      <c r="BB10" s="153">
        <f>IFERROR(-ABS(10*LOG10(($R10/(4*PI()*CONVERT(AK10,"ft","m")^2)))),0)</f>
        <v/>
      </c>
      <c r="BC10" s="153">
        <f>IFERROR(-ABS(10*LOG10(($R10/(4*PI()*CONVERT(AL10,"ft","m")^2)))),0)</f>
        <v/>
      </c>
      <c r="BD10" s="153">
        <f>IFERROR(-ABS(10*LOG10(($R10/(4*PI()*CONVERT(AM10,"ft","m")^2)))),0)</f>
        <v/>
      </c>
      <c r="BE10" s="153">
        <f>IFERROR(-ABS(10*LOG10(($R10/(4*PI()*CONVERT(AN10,"ft","m")^2)))),0)</f>
        <v/>
      </c>
      <c r="BF10" s="153">
        <f>IFERROR(-ABS(10*LOG10(($R10/(4*PI()*CONVERT(AO10,"ft","m")^2)))),0)</f>
        <v/>
      </c>
      <c r="BG10" s="154">
        <f>IFERROR(-ABS(10*LOG10(($R10/(4*PI()*CONVERT(AP10,"ft","m")^2)))),0)</f>
        <v/>
      </c>
      <c r="BH10" s="154">
        <f>IFERROR(-ABS(10*LOG10(($R10/(4*PI()*CONVERT(AQ10,"ft","m")^2)))),0)</f>
        <v/>
      </c>
      <c r="BI10" s="154">
        <f>IFERROR(-ABS(10*LOG10(($R10/(4*PI()*CONVERT(AR10,"ft","m")^2)))),0)</f>
        <v/>
      </c>
      <c r="BJ10" s="154">
        <f>IFERROR(-ABS(10*LOG10(($R10/(4*PI()*CONVERT(AS10,"ft","m")^2)))),0)</f>
        <v/>
      </c>
      <c r="BK10" s="154">
        <f>IFERROR(-ABS(10*LOG10(($R10/(4*PI()*CONVERT(AT10,"ft","m")^2)))),0)</f>
        <v/>
      </c>
      <c r="BL10" s="154">
        <f>IFERROR(-ABS(10*LOG10(($R10/(4*PI()*CONVERT(AU10,"ft","m")^2)))),0)</f>
        <v/>
      </c>
      <c r="BM10" s="155">
        <f>IFERROR(-ABS(10*LOG10(($R10/(4*PI()*CONVERT(AV10,"ft","m")^2)))),0)</f>
        <v/>
      </c>
      <c r="BN10" s="134" t="n"/>
      <c r="BO10" s="41" t="inlineStr">
        <is>
          <t>Distance: Barrier - Receiver (straight line)</t>
        </is>
      </c>
      <c r="BP10" s="164">
        <f>BP8-BP9</f>
        <v/>
      </c>
      <c r="BQ10" s="44" t="inlineStr">
        <is>
          <t>b: S to R</t>
        </is>
      </c>
      <c r="BR10" s="120">
        <f>BR4-(BR8*BQ4)</f>
        <v/>
      </c>
      <c r="BS10" s="163">
        <f>INTERCEPT(BR4:BR5,BQ4:BQ5)</f>
        <v/>
      </c>
      <c r="BT10" s="134" t="n"/>
      <c r="BU10" s="134" t="n"/>
      <c r="BV10" s="140" t="n"/>
      <c r="BW10" s="140" t="n"/>
      <c r="BX10" s="140" t="n"/>
      <c r="BY10" s="140" t="n"/>
      <c r="BZ10" s="140" t="n"/>
      <c r="CA10" s="140" t="n"/>
      <c r="CB10" s="140" t="n"/>
      <c r="CC10" s="140" t="n"/>
      <c r="CD10" s="140" t="n"/>
      <c r="CE10" s="140" t="n"/>
      <c r="CF10" s="140" t="n"/>
      <c r="CG10" s="140" t="n"/>
      <c r="CH10" s="140" t="n"/>
      <c r="CI10" s="140" t="n"/>
      <c r="CJ10" s="140" t="n"/>
      <c r="CK10" s="134" t="n"/>
      <c r="CL10" s="134" t="n"/>
      <c r="CM10" s="156">
        <f>IF( CM$1= 0,"",$Q10-$S10+AY10-BV10)</f>
        <v/>
      </c>
      <c r="CN10" s="157">
        <f>IF( CN$1= 0,"",$Q10-$S10+AZ10-BW10)</f>
        <v/>
      </c>
      <c r="CO10" s="157">
        <f>IF( CO$1= 0,"",$Q10-$S10+BA10-BX10)</f>
        <v/>
      </c>
      <c r="CP10" s="157">
        <f>IF( CP$1= 0,"",$Q10-$S10+BB10-BY10)</f>
        <v/>
      </c>
      <c r="CQ10" s="157">
        <f>IF( CQ$1= 0,"",$Q10-$S10+BC10-BZ10)</f>
        <v/>
      </c>
      <c r="CR10" s="157">
        <f>IF( CR$1= 0,"",$Q10-$S10+BD10-CA10)</f>
        <v/>
      </c>
      <c r="CS10" s="157">
        <f>IF( CS$1= 0,"",$Q10-$S10+BE10-CB10)</f>
        <v/>
      </c>
      <c r="CT10" s="157">
        <f>IF( CT$1= 0,"",$Q10-$S10+BF10-CC10)</f>
        <v/>
      </c>
      <c r="CU10" s="158">
        <f>IF( CU$1= 0,"",$Q10-$S10+BG10-CD10)</f>
        <v/>
      </c>
      <c r="CV10" s="158">
        <f>IF( CV$1= 0,"",$Q10-$S10+BH10-CE10)</f>
        <v/>
      </c>
      <c r="CW10" s="158">
        <f>IF( CW$1= 0,"",$Q10-$S10+BI10-CF10)</f>
        <v/>
      </c>
      <c r="CX10" s="158">
        <f>IF( CX$1= 0,"",$Q10-$S10+BJ10-CG10)</f>
        <v/>
      </c>
      <c r="CY10" s="143">
        <f>IF( CY$1= 0,"",$Q10-$S10+BK10-CH10)</f>
        <v/>
      </c>
      <c r="CZ10" s="143">
        <f>IF( CZ$1= 0,"",$Q10-$S10+BL10-CI10)</f>
        <v/>
      </c>
      <c r="DA10" s="144">
        <f>IF( DA$1= 0,"",$Q10-$S10+BM10-CJ10)</f>
        <v/>
      </c>
    </row>
    <row r="11" ht="17.25" customHeight="1" thickBot="1">
      <c r="A11" s="145" t="n">
        <v>1</v>
      </c>
      <c r="B11" s="146" t="inlineStr">
        <is>
          <t>CU-R5</t>
        </is>
      </c>
      <c r="C11" s="146" t="inlineStr">
        <is>
          <t>Radiated</t>
        </is>
      </c>
      <c r="D11" s="147" t="inlineStr">
        <is>
          <t>Mitsubishi</t>
        </is>
      </c>
      <c r="E11" s="205" t="inlineStr">
        <is>
          <t>PUHY-P120YLMU-A</t>
        </is>
      </c>
      <c r="F11" s="213" t="n"/>
      <c r="G11" s="214" t="n"/>
      <c r="H11" s="214" t="n"/>
      <c r="I11" s="214" t="n"/>
      <c r="J11" s="214" t="n"/>
      <c r="K11" s="214" t="n"/>
      <c r="L11" s="214" t="n"/>
      <c r="M11" s="218" t="n"/>
      <c r="N11" s="213" t="n">
        <v>60</v>
      </c>
      <c r="O11" s="215" t="n">
        <v>5</v>
      </c>
      <c r="P11" s="208" t="n">
        <v>1</v>
      </c>
      <c r="Q11" s="128">
        <f>ROUND(IF(AND(A11&gt;0, O11&gt;0), N11+ABS(10*LOG10(P11/(4*PI()*CONVERT(O11,"ft", "m")^2))), N11),0)</f>
        <v/>
      </c>
      <c r="R11" s="3" t="n">
        <v>2</v>
      </c>
      <c r="S11" s="3" t="n"/>
      <c r="T11" s="214" t="n">
        <v>114.64</v>
      </c>
      <c r="U11" s="214" t="n">
        <v>101.82</v>
      </c>
      <c r="V11" s="109">
        <f>SUM(W11:X11)</f>
        <v/>
      </c>
      <c r="W11" s="81" t="n">
        <v>70</v>
      </c>
      <c r="X11" s="148" t="n">
        <v>6</v>
      </c>
      <c r="Z11" s="9" t="n"/>
      <c r="AA11" s="214" t="n"/>
      <c r="AB11" s="214" t="n"/>
      <c r="AC11" s="87" t="n"/>
      <c r="AD11" s="8" t="n"/>
      <c r="AE11" s="2" t="str"/>
      <c r="AH11" s="149">
        <f t="array" ref="AH11">IF(AH$1=0,"",SQRT((_xlfn.XLOOKUP(AH$1,$Z$2:$Z$18,$AA$2:$AA$18)-$T11)^2+(_xlfn.XLOOKUP(AH$1,$Z$2:$Z$18,$AB$2:$AB$18)-$U11)^2+(_xlfn.XLOOKUP(AH$1,$Z$2:$Z$18,$AC$2:$AC$18-$V11)^2)))</f>
        <v/>
      </c>
      <c r="AI11" s="150">
        <f t="array" ref="AI11">IF(AI$1=0,"",SQRT((_xlfn.XLOOKUP(AI$1,$Z$2:$Z$18,$AA$2:$AA$18)-$T11)^2+(_xlfn.XLOOKUP(AI$1,$Z$2:$Z$18,$AB$2:$AB$18)-$U11)^2+(_xlfn.XLOOKUP(AI$1,$Z$2:$Z$18,$AC$2:$AC$18-$V11)^2)))</f>
        <v/>
      </c>
      <c r="AJ11" s="150">
        <f t="array" ref="AJ11">IF(AJ$1=0,"",SQRT((_xlfn.XLOOKUP(AJ$1,$Z$2:$Z$18,$AA$2:$AA$18)-$T11)^2+(_xlfn.XLOOKUP(AJ$1,$Z$2:$Z$18,$AB$2:$AB$18)-$U11)^2+(_xlfn.XLOOKUP(AJ$1,$Z$2:$Z$18,$AC$2:$AC$18-$V11)^2)))</f>
        <v/>
      </c>
      <c r="AK11" s="150">
        <f t="array" ref="AK11">IF(AK$1=0,"",SQRT((_xlfn.XLOOKUP(AK$1,$Z$2:$Z$18,$AA$2:$AA$18)-$T11)^2+(_xlfn.XLOOKUP(AK$1,$Z$2:$Z$18,$AB$2:$AB$18)-$U11)^2+(_xlfn.XLOOKUP(AK$1,$Z$2:$Z$18,$AC$2:$AC$18-$V11)^2)))</f>
        <v/>
      </c>
      <c r="AL11" s="150">
        <f t="array" ref="AL11">IF(AL$1=0,"",SQRT((_xlfn.XLOOKUP(AL$1,$Z$2:$Z$18,$AA$2:$AA$18)-$T11)^2+(_xlfn.XLOOKUP(AL$1,$Z$2:$Z$18,$AB$2:$AB$18)-$U11)^2+(_xlfn.XLOOKUP(AL$1,$Z$2:$Z$18,$AC$2:$AC$18-$V11)^2)))</f>
        <v/>
      </c>
      <c r="AM11" s="150">
        <f t="array" ref="AM11">IF(AM$1=0,"",SQRT((_xlfn.XLOOKUP(AM$1,$Z$2:$Z$18,$AA$2:$AA$18)-$T11)^2+(_xlfn.XLOOKUP(AM$1,$Z$2:$Z$18,$AB$2:$AB$18)-$U11)^2+(_xlfn.XLOOKUP(AM$1,$Z$2:$Z$18,$AC$2:$AC$18-$V11)^2)))</f>
        <v/>
      </c>
      <c r="AN11" s="150">
        <f t="array" ref="AN11">IF(AN$1=0,"",SQRT((_xlfn.XLOOKUP(AN$1,$Z$2:$Z$18,$AA$2:$AA$18)-$T11)^2+(_xlfn.XLOOKUP(AN$1,$Z$2:$Z$18,$AB$2:$AB$18)-$U11)^2+(_xlfn.XLOOKUP(AN$1,$Z$2:$Z$18,$AC$2:$AC$18-$V11)^2)))</f>
        <v/>
      </c>
      <c r="AO11" s="150">
        <f t="array" ref="AO11">IF(AO$1=0,"",SQRT((_xlfn.XLOOKUP(AO$1,$Z$2:$Z$18,$AA$2:$AA$18)-$T11)^2+(_xlfn.XLOOKUP(AO$1,$Z$2:$Z$18,$AB$2:$AB$18)-$U11)^2+(_xlfn.XLOOKUP(AO$1,$Z$2:$Z$18,$AC$2:$AC$18-$V11)^2)))</f>
        <v/>
      </c>
      <c r="AP11" s="151">
        <f t="array" ref="AP11">IF(AP$1=0,"",SQRT((_xlfn.XLOOKUP(AP$1,$Z$2:$Z$18,$AA$2:$AA$18)-$T11)^2+(_xlfn.XLOOKUP(AP$1,$Z$2:$Z$18,$AB$2:$AB$18)-$U11)^2+(_xlfn.XLOOKUP(AP$1,$Z$2:$Z$18,$AC$2:$AC$18-$V11)^2)))</f>
        <v/>
      </c>
      <c r="AQ11" s="151">
        <f t="array" ref="AQ11">IF(AQ$1=0,"",SQRT((_xlfn.XLOOKUP(AQ$1,$Z$2:$Z$18,$AA$2:$AA$18)-$T11)^2+(_xlfn.XLOOKUP(AQ$1,$Z$2:$Z$18,$AB$2:$AB$18)-$U11)^2+(_xlfn.XLOOKUP(AQ$1,$Z$2:$Z$18,$AC$2:$AC$18-$V11)^2)))</f>
        <v/>
      </c>
      <c r="AR11" s="151">
        <f t="array" ref="AR11">IF(AR$1=0,"",SQRT((_xlfn.XLOOKUP(AR$1,$Z$2:$Z$18,$AA$2:$AA$18)-$T11)^2+(_xlfn.XLOOKUP(AR$1,$Z$2:$Z$18,$AB$2:$AB$18)-$U11)^2+(_xlfn.XLOOKUP(AR$1,$Z$2:$Z$18,$AC$2:$AC$18-$V11)^2)))</f>
        <v/>
      </c>
      <c r="AS11" s="151">
        <f t="array" ref="AS11">IF(AS$1=0,"",SQRT((_xlfn.XLOOKUP(AS$1,$Z$2:$Z$18,$AA$2:$AA$18)-$T11)^2+(_xlfn.XLOOKUP(AS$1,$Z$2:$Z$18,$AB$2:$AB$18)-$U11)^2+(_xlfn.XLOOKUP(AS$1,$Z$2:$Z$18,$AC$2:$AC$18-$V11)^2)))</f>
        <v/>
      </c>
      <c r="AT11" s="151">
        <f t="array" ref="AT11">IF(AT$1=0,"",SQRT((_xlfn.XLOOKUP(AT$1,$Z$2:$Z$18,$AA$2:$AA$18)-$T11)^2+(_xlfn.XLOOKUP(AT$1,$Z$2:$Z$18,$AB$2:$AB$18)-$U11)^2+(_xlfn.XLOOKUP(AT$1,$Z$2:$Z$18,$AC$2:$AC$18-$V11)^2)))</f>
        <v/>
      </c>
      <c r="AU11" s="151">
        <f t="array" ref="AU11">IF(AU$1=0,"",SQRT((_xlfn.XLOOKUP(AU$1,$Z$2:$Z$18,$AA$2:$AA$18)-$T11)^2+(_xlfn.XLOOKUP(AU$1,$Z$2:$Z$18,$AB$2:$AB$18)-$U11)^2+(_xlfn.XLOOKUP(AU$1,$Z$2:$Z$18,$AC$2:$AC$18-$V11)^2)))</f>
        <v/>
      </c>
      <c r="AV11" s="152">
        <f t="array" ref="AV11">IF(AV$1=0,"",SQRT((_xlfn.XLOOKUP(AV$1,$Z$2:$Z$18,$AA$2:$AA$18)-$T11)^2+(_xlfn.XLOOKUP(AV$1,$Z$2:$Z$18,$AB$2:$AB$18)-$U11)^2+(_xlfn.XLOOKUP(AV$1,$Z$2:$Z$18,$AC$2:$AC$18-$V11)^2)))</f>
        <v/>
      </c>
      <c r="AW11" s="134" t="n"/>
      <c r="AX11" s="134" t="n"/>
      <c r="AY11" s="135">
        <f>IFERROR(-ABS(10*LOG10(($R11/(4*PI()*CONVERT(AH11,"ft","m")^2)))),0)</f>
        <v/>
      </c>
      <c r="AZ11" s="153">
        <f>IFERROR(-ABS(10*LOG10(($R11/(4*PI()*CONVERT(AI11,"ft","m")^2)))),0)</f>
        <v/>
      </c>
      <c r="BA11" s="153">
        <f>IFERROR(-ABS(10*LOG10(($R11/(4*PI()*CONVERT(AJ11,"ft","m")^2)))),0)</f>
        <v/>
      </c>
      <c r="BB11" s="153">
        <f>IFERROR(-ABS(10*LOG10(($R11/(4*PI()*CONVERT(AK11,"ft","m")^2)))),0)</f>
        <v/>
      </c>
      <c r="BC11" s="153">
        <f>IFERROR(-ABS(10*LOG10(($R11/(4*PI()*CONVERT(AL11,"ft","m")^2)))),0)</f>
        <v/>
      </c>
      <c r="BD11" s="153">
        <f>IFERROR(-ABS(10*LOG10(($R11/(4*PI()*CONVERT(AM11,"ft","m")^2)))),0)</f>
        <v/>
      </c>
      <c r="BE11" s="153">
        <f>IFERROR(-ABS(10*LOG10(($R11/(4*PI()*CONVERT(AN11,"ft","m")^2)))),0)</f>
        <v/>
      </c>
      <c r="BF11" s="153">
        <f>IFERROR(-ABS(10*LOG10(($R11/(4*PI()*CONVERT(AO11,"ft","m")^2)))),0)</f>
        <v/>
      </c>
      <c r="BG11" s="154">
        <f>IFERROR(-ABS(10*LOG10(($R11/(4*PI()*CONVERT(AP11,"ft","m")^2)))),0)</f>
        <v/>
      </c>
      <c r="BH11" s="154">
        <f>IFERROR(-ABS(10*LOG10(($R11/(4*PI()*CONVERT(AQ11,"ft","m")^2)))),0)</f>
        <v/>
      </c>
      <c r="BI11" s="154">
        <f>IFERROR(-ABS(10*LOG10(($R11/(4*PI()*CONVERT(AR11,"ft","m")^2)))),0)</f>
        <v/>
      </c>
      <c r="BJ11" s="154">
        <f>IFERROR(-ABS(10*LOG10(($R11/(4*PI()*CONVERT(AS11,"ft","m")^2)))),0)</f>
        <v/>
      </c>
      <c r="BK11" s="154">
        <f>IFERROR(-ABS(10*LOG10(($R11/(4*PI()*CONVERT(AT11,"ft","m")^2)))),0)</f>
        <v/>
      </c>
      <c r="BL11" s="154">
        <f>IFERROR(-ABS(10*LOG10(($R11/(4*PI()*CONVERT(AU11,"ft","m")^2)))),0)</f>
        <v/>
      </c>
      <c r="BM11" s="155">
        <f>IFERROR(-ABS(10*LOG10(($R11/(4*PI()*CONVERT(AV11,"ft","m")^2)))),0)</f>
        <v/>
      </c>
      <c r="BN11" s="134" t="n"/>
      <c r="BO11" s="41" t="inlineStr">
        <is>
          <t>Distance: Source - Receiver Propogation</t>
        </is>
      </c>
      <c r="BP11" s="165">
        <f>SQRT(BP8^2+(BS5-BS4)^2)</f>
        <v/>
      </c>
      <c r="BQ11" s="44" t="inlineStr">
        <is>
          <t>b: bar S to bar E</t>
        </is>
      </c>
      <c r="BR11" s="120">
        <f>BR6-(BR9*BQ6)</f>
        <v/>
      </c>
      <c r="BS11" s="163">
        <f>INTERCEPT(BR6:BR7,BQ6:BQ7)</f>
        <v/>
      </c>
      <c r="BT11" s="134" t="n"/>
      <c r="BU11" s="134" t="n"/>
      <c r="BV11" s="140" t="n"/>
      <c r="BW11" s="140" t="n"/>
      <c r="BX11" s="140" t="n"/>
      <c r="BY11" s="140" t="n"/>
      <c r="BZ11" s="140" t="n"/>
      <c r="CA11" s="140" t="n"/>
      <c r="CB11" s="140" t="n"/>
      <c r="CC11" s="140" t="n"/>
      <c r="CD11" s="140" t="n"/>
      <c r="CE11" s="140" t="n"/>
      <c r="CF11" s="140" t="n"/>
      <c r="CG11" s="140" t="n"/>
      <c r="CH11" s="140" t="n"/>
      <c r="CI11" s="140" t="n"/>
      <c r="CJ11" s="140" t="n"/>
      <c r="CK11" s="134" t="n"/>
      <c r="CL11" s="134" t="n"/>
      <c r="CM11" s="156">
        <f>IF( CM$1= 0,"",$Q11-$S11+AY11-BV11)</f>
        <v/>
      </c>
      <c r="CN11" s="157">
        <f>IF( CN$1= 0,"",$Q11-$S11+AZ11-BW11)</f>
        <v/>
      </c>
      <c r="CO11" s="157">
        <f>IF( CO$1= 0,"",$Q11-$S11+BA11-BX11)</f>
        <v/>
      </c>
      <c r="CP11" s="157">
        <f>IF( CP$1= 0,"",$Q11-$S11+BB11-BY11)</f>
        <v/>
      </c>
      <c r="CQ11" s="157">
        <f>IF( CQ$1= 0,"",$Q11-$S11+BC11-BZ11)</f>
        <v/>
      </c>
      <c r="CR11" s="157">
        <f>IF( CR$1= 0,"",$Q11-$S11+BD11-CA11)</f>
        <v/>
      </c>
      <c r="CS11" s="157">
        <f>IF( CS$1= 0,"",$Q11-$S11+BE11-CB11)</f>
        <v/>
      </c>
      <c r="CT11" s="157">
        <f>IF( CT$1= 0,"",$Q11-$S11+BF11-CC11)</f>
        <v/>
      </c>
      <c r="CU11" s="158">
        <f>IF( CU$1= 0,"",$Q11-$S11+BG11-CD11)</f>
        <v/>
      </c>
      <c r="CV11" s="158">
        <f>IF( CV$1= 0,"",$Q11-$S11+BH11-CE11)</f>
        <v/>
      </c>
      <c r="CW11" s="158">
        <f>IF( CW$1= 0,"",$Q11-$S11+BI11-CF11)</f>
        <v/>
      </c>
      <c r="CX11" s="158">
        <f>IF( CX$1= 0,"",$Q11-$S11+BJ11-CG11)</f>
        <v/>
      </c>
      <c r="CY11" s="143">
        <f>IF( CY$1= 0,"",$Q11-$S11+BK11-CH11)</f>
        <v/>
      </c>
      <c r="CZ11" s="143">
        <f>IF( CZ$1= 0,"",$Q11-$S11+BL11-CI11)</f>
        <v/>
      </c>
      <c r="DA11" s="144">
        <f>IF( DA$1= 0,"",$Q11-$S11+BM11-CJ11)</f>
        <v/>
      </c>
    </row>
    <row r="12" ht="17.25" customHeight="1" thickBot="1">
      <c r="A12" s="145" t="n">
        <v>4</v>
      </c>
      <c r="B12" s="146" t="inlineStr">
        <is>
          <t>RCU-R(4p)1</t>
        </is>
      </c>
      <c r="C12" s="146" t="inlineStr">
        <is>
          <t>Radiated</t>
        </is>
      </c>
      <c r="D12" s="147" t="inlineStr">
        <is>
          <t>Greenheck</t>
        </is>
      </c>
      <c r="E12" s="205" t="inlineStr">
        <is>
          <t>MXZ-5C42</t>
        </is>
      </c>
      <c r="F12" s="213" t="n"/>
      <c r="G12" s="214" t="n"/>
      <c r="H12" s="214" t="n"/>
      <c r="I12" s="214" t="n"/>
      <c r="J12" s="214" t="n"/>
      <c r="K12" s="214" t="n"/>
      <c r="L12" s="214" t="n"/>
      <c r="M12" s="218" t="n"/>
      <c r="N12" s="213" t="n">
        <v>58</v>
      </c>
      <c r="O12" s="215" t="n">
        <v>5</v>
      </c>
      <c r="P12" s="208" t="n">
        <v>1</v>
      </c>
      <c r="Q12" s="128">
        <f>ROUND(IF(AND(A12&gt;0, O12&gt;0), N12+ABS(10*LOG10(P12/(4*PI()*CONVERT(O12,"ft", "m")^2))), N12),0)</f>
        <v/>
      </c>
      <c r="R12" s="3" t="n">
        <v>2</v>
      </c>
      <c r="S12" s="3" t="n"/>
      <c r="T12" s="214" t="n">
        <v>230.36</v>
      </c>
      <c r="U12" s="214" t="n">
        <v>44.95</v>
      </c>
      <c r="V12" s="109">
        <f>SUM(W12:X12)</f>
        <v/>
      </c>
      <c r="W12" s="81" t="n">
        <v>70</v>
      </c>
      <c r="X12" s="148" t="n">
        <v>4</v>
      </c>
      <c r="Z12" s="9" t="n"/>
      <c r="AA12" s="214" t="n"/>
      <c r="AB12" s="214" t="n"/>
      <c r="AC12" s="87" t="n"/>
      <c r="AD12" s="8" t="n"/>
      <c r="AE12" s="2" t="str"/>
      <c r="AH12" s="149">
        <f t="array" ref="AH12">IF(AH$1=0,"",SQRT((_xlfn.XLOOKUP(AH$1,$Z$2:$Z$18,$AA$2:$AA$18)-$T12)^2+(_xlfn.XLOOKUP(AH$1,$Z$2:$Z$18,$AB$2:$AB$18)-$U12)^2+(_xlfn.XLOOKUP(AH$1,$Z$2:$Z$18,$AC$2:$AC$18-$V12)^2)))</f>
        <v/>
      </c>
      <c r="AI12" s="150">
        <f t="array" ref="AI12">IF(AI$1=0,"",SQRT((_xlfn.XLOOKUP(AI$1,$Z$2:$Z$18,$AA$2:$AA$18)-$T12)^2+(_xlfn.XLOOKUP(AI$1,$Z$2:$Z$18,$AB$2:$AB$18)-$U12)^2+(_xlfn.XLOOKUP(AI$1,$Z$2:$Z$18,$AC$2:$AC$18-$V12)^2)))</f>
        <v/>
      </c>
      <c r="AJ12" s="150">
        <f t="array" ref="AJ12">IF(AJ$1=0,"",SQRT((_xlfn.XLOOKUP(AJ$1,$Z$2:$Z$18,$AA$2:$AA$18)-$T12)^2+(_xlfn.XLOOKUP(AJ$1,$Z$2:$Z$18,$AB$2:$AB$18)-$U12)^2+(_xlfn.XLOOKUP(AJ$1,$Z$2:$Z$18,$AC$2:$AC$18-$V12)^2)))</f>
        <v/>
      </c>
      <c r="AK12" s="150">
        <f t="array" ref="AK12">IF(AK$1=0,"",SQRT((_xlfn.XLOOKUP(AK$1,$Z$2:$Z$18,$AA$2:$AA$18)-$T12)^2+(_xlfn.XLOOKUP(AK$1,$Z$2:$Z$18,$AB$2:$AB$18)-$U12)^2+(_xlfn.XLOOKUP(AK$1,$Z$2:$Z$18,$AC$2:$AC$18-$V12)^2)))</f>
        <v/>
      </c>
      <c r="AL12" s="150">
        <f t="array" ref="AL12">IF(AL$1=0,"",SQRT((_xlfn.XLOOKUP(AL$1,$Z$2:$Z$18,$AA$2:$AA$18)-$T12)^2+(_xlfn.XLOOKUP(AL$1,$Z$2:$Z$18,$AB$2:$AB$18)-$U12)^2+(_xlfn.XLOOKUP(AL$1,$Z$2:$Z$18,$AC$2:$AC$18-$V12)^2)))</f>
        <v/>
      </c>
      <c r="AM12" s="150">
        <f t="array" ref="AM12">IF(AM$1=0,"",SQRT((_xlfn.XLOOKUP(AM$1,$Z$2:$Z$18,$AA$2:$AA$18)-$T12)^2+(_xlfn.XLOOKUP(AM$1,$Z$2:$Z$18,$AB$2:$AB$18)-$U12)^2+(_xlfn.XLOOKUP(AM$1,$Z$2:$Z$18,$AC$2:$AC$18-$V12)^2)))</f>
        <v/>
      </c>
      <c r="AN12" s="150">
        <f t="array" ref="AN12">IF(AN$1=0,"",SQRT((_xlfn.XLOOKUP(AN$1,$Z$2:$Z$18,$AA$2:$AA$18)-$T12)^2+(_xlfn.XLOOKUP(AN$1,$Z$2:$Z$18,$AB$2:$AB$18)-$U12)^2+(_xlfn.XLOOKUP(AN$1,$Z$2:$Z$18,$AC$2:$AC$18-$V12)^2)))</f>
        <v/>
      </c>
      <c r="AO12" s="150">
        <f t="array" ref="AO12">IF(AO$1=0,"",SQRT((_xlfn.XLOOKUP(AO$1,$Z$2:$Z$18,$AA$2:$AA$18)-$T12)^2+(_xlfn.XLOOKUP(AO$1,$Z$2:$Z$18,$AB$2:$AB$18)-$U12)^2+(_xlfn.XLOOKUP(AO$1,$Z$2:$Z$18,$AC$2:$AC$18-$V12)^2)))</f>
        <v/>
      </c>
      <c r="AP12" s="151">
        <f t="array" ref="AP12">IF(AP$1=0,"",SQRT((_xlfn.XLOOKUP(AP$1,$Z$2:$Z$18,$AA$2:$AA$18)-$T12)^2+(_xlfn.XLOOKUP(AP$1,$Z$2:$Z$18,$AB$2:$AB$18)-$U12)^2+(_xlfn.XLOOKUP(AP$1,$Z$2:$Z$18,$AC$2:$AC$18-$V12)^2)))</f>
        <v/>
      </c>
      <c r="AQ12" s="151">
        <f t="array" ref="AQ12">IF(AQ$1=0,"",SQRT((_xlfn.XLOOKUP(AQ$1,$Z$2:$Z$18,$AA$2:$AA$18)-$T12)^2+(_xlfn.XLOOKUP(AQ$1,$Z$2:$Z$18,$AB$2:$AB$18)-$U12)^2+(_xlfn.XLOOKUP(AQ$1,$Z$2:$Z$18,$AC$2:$AC$18-$V12)^2)))</f>
        <v/>
      </c>
      <c r="AR12" s="151">
        <f t="array" ref="AR12">IF(AR$1=0,"",SQRT((_xlfn.XLOOKUP(AR$1,$Z$2:$Z$18,$AA$2:$AA$18)-$T12)^2+(_xlfn.XLOOKUP(AR$1,$Z$2:$Z$18,$AB$2:$AB$18)-$U12)^2+(_xlfn.XLOOKUP(AR$1,$Z$2:$Z$18,$AC$2:$AC$18-$V12)^2)))</f>
        <v/>
      </c>
      <c r="AS12" s="151">
        <f t="array" ref="AS12">IF(AS$1=0,"",SQRT((_xlfn.XLOOKUP(AS$1,$Z$2:$Z$18,$AA$2:$AA$18)-$T12)^2+(_xlfn.XLOOKUP(AS$1,$Z$2:$Z$18,$AB$2:$AB$18)-$U12)^2+(_xlfn.XLOOKUP(AS$1,$Z$2:$Z$18,$AC$2:$AC$18-$V12)^2)))</f>
        <v/>
      </c>
      <c r="AT12" s="151">
        <f t="array" ref="AT12">IF(AT$1=0,"",SQRT((_xlfn.XLOOKUP(AT$1,$Z$2:$Z$18,$AA$2:$AA$18)-$T12)^2+(_xlfn.XLOOKUP(AT$1,$Z$2:$Z$18,$AB$2:$AB$18)-$U12)^2+(_xlfn.XLOOKUP(AT$1,$Z$2:$Z$18,$AC$2:$AC$18-$V12)^2)))</f>
        <v/>
      </c>
      <c r="AU12" s="151">
        <f t="array" ref="AU12">IF(AU$1=0,"",SQRT((_xlfn.XLOOKUP(AU$1,$Z$2:$Z$18,$AA$2:$AA$18)-$T12)^2+(_xlfn.XLOOKUP(AU$1,$Z$2:$Z$18,$AB$2:$AB$18)-$U12)^2+(_xlfn.XLOOKUP(AU$1,$Z$2:$Z$18,$AC$2:$AC$18-$V12)^2)))</f>
        <v/>
      </c>
      <c r="AV12" s="152">
        <f t="array" ref="AV12">IF(AV$1=0,"",SQRT((_xlfn.XLOOKUP(AV$1,$Z$2:$Z$18,$AA$2:$AA$18)-$T12)^2+(_xlfn.XLOOKUP(AV$1,$Z$2:$Z$18,$AB$2:$AB$18)-$U12)^2+(_xlfn.XLOOKUP(AV$1,$Z$2:$Z$18,$AC$2:$AC$18-$V12)^2)))</f>
        <v/>
      </c>
      <c r="AW12" s="134" t="n"/>
      <c r="AX12" s="134" t="n"/>
      <c r="AY12" s="135">
        <f>IFERROR(-ABS(10*LOG10(($R12/(4*PI()*CONVERT(AH12,"ft","m")^2)))),0)</f>
        <v/>
      </c>
      <c r="AZ12" s="153">
        <f>IFERROR(-ABS(10*LOG10(($R12/(4*PI()*CONVERT(AI12,"ft","m")^2)))),0)</f>
        <v/>
      </c>
      <c r="BA12" s="153">
        <f>IFERROR(-ABS(10*LOG10(($R12/(4*PI()*CONVERT(AJ12,"ft","m")^2)))),0)</f>
        <v/>
      </c>
      <c r="BB12" s="153">
        <f>IFERROR(-ABS(10*LOG10(($R12/(4*PI()*CONVERT(AK12,"ft","m")^2)))),0)</f>
        <v/>
      </c>
      <c r="BC12" s="153">
        <f>IFERROR(-ABS(10*LOG10(($R12/(4*PI()*CONVERT(AL12,"ft","m")^2)))),0)</f>
        <v/>
      </c>
      <c r="BD12" s="153">
        <f>IFERROR(-ABS(10*LOG10(($R12/(4*PI()*CONVERT(AM12,"ft","m")^2)))),0)</f>
        <v/>
      </c>
      <c r="BE12" s="153">
        <f>IFERROR(-ABS(10*LOG10(($R12/(4*PI()*CONVERT(AN12,"ft","m")^2)))),0)</f>
        <v/>
      </c>
      <c r="BF12" s="153">
        <f>IFERROR(-ABS(10*LOG10(($R12/(4*PI()*CONVERT(AO12,"ft","m")^2)))),0)</f>
        <v/>
      </c>
      <c r="BG12" s="154">
        <f>IFERROR(-ABS(10*LOG10(($R12/(4*PI()*CONVERT(AP12,"ft","m")^2)))),0)</f>
        <v/>
      </c>
      <c r="BH12" s="154">
        <f>IFERROR(-ABS(10*LOG10(($R12/(4*PI()*CONVERT(AQ12,"ft","m")^2)))),0)</f>
        <v/>
      </c>
      <c r="BI12" s="154">
        <f>IFERROR(-ABS(10*LOG10(($R12/(4*PI()*CONVERT(AR12,"ft","m")^2)))),0)</f>
        <v/>
      </c>
      <c r="BJ12" s="154">
        <f>IFERROR(-ABS(10*LOG10(($R12/(4*PI()*CONVERT(AS12,"ft","m")^2)))),0)</f>
        <v/>
      </c>
      <c r="BK12" s="154">
        <f>IFERROR(-ABS(10*LOG10(($R12/(4*PI()*CONVERT(AT12,"ft","m")^2)))),0)</f>
        <v/>
      </c>
      <c r="BL12" s="154">
        <f>IFERROR(-ABS(10*LOG10(($R12/(4*PI()*CONVERT(AU12,"ft","m")^2)))),0)</f>
        <v/>
      </c>
      <c r="BM12" s="155">
        <f>IFERROR(-ABS(10*LOG10(($R12/(4*PI()*CONVERT(AV12,"ft","m")^2)))),0)</f>
        <v/>
      </c>
      <c r="BN12" s="134" t="n"/>
      <c r="BO12" s="41" t="inlineStr">
        <is>
          <t>delta (a+b-r) - figure 5.4</t>
        </is>
      </c>
      <c r="BP12" s="164">
        <f>BP13+BP14-BP11</f>
        <v/>
      </c>
      <c r="BQ12" s="44" t="inlineStr">
        <is>
          <t>intersection: X</t>
        </is>
      </c>
      <c r="BR12" s="120">
        <f>(BR11-BR10)/(BR8-BR9)</f>
        <v/>
      </c>
      <c r="BS12" s="163">
        <f>(BS11-BS10)/(BS8-BS9)</f>
        <v/>
      </c>
      <c r="BT12" s="134" t="n"/>
      <c r="BU12" s="134" t="n"/>
      <c r="BV12" s="140" t="n"/>
      <c r="BW12" s="140" t="n"/>
      <c r="BX12" s="140" t="n"/>
      <c r="BY12" s="140" t="n"/>
      <c r="BZ12" s="140" t="n"/>
      <c r="CA12" s="140" t="n"/>
      <c r="CB12" s="140" t="n"/>
      <c r="CC12" s="140" t="n"/>
      <c r="CD12" s="140" t="n"/>
      <c r="CE12" s="140" t="n"/>
      <c r="CF12" s="140" t="n"/>
      <c r="CG12" s="140" t="n"/>
      <c r="CH12" s="140" t="n"/>
      <c r="CI12" s="140" t="n"/>
      <c r="CJ12" s="140" t="n"/>
      <c r="CK12" s="134" t="n"/>
      <c r="CL12" s="134" t="n"/>
      <c r="CM12" s="156">
        <f>IF( CM$1= 0,"",$Q12-$S12+AY12-BV12)</f>
        <v/>
      </c>
      <c r="CN12" s="157">
        <f>IF( CN$1= 0,"",$Q12-$S12+AZ12-BW12)</f>
        <v/>
      </c>
      <c r="CO12" s="157">
        <f>IF( CO$1= 0,"",$Q12-$S12+BA12-BX12)</f>
        <v/>
      </c>
      <c r="CP12" s="157">
        <f>IF( CP$1= 0,"",$Q12-$S12+BB12-BY12)</f>
        <v/>
      </c>
      <c r="CQ12" s="157">
        <f>IF( CQ$1= 0,"",$Q12-$S12+BC12-BZ12)</f>
        <v/>
      </c>
      <c r="CR12" s="157">
        <f>IF( CR$1= 0,"",$Q12-$S12+BD12-CA12)</f>
        <v/>
      </c>
      <c r="CS12" s="157">
        <f>IF( CS$1= 0,"",$Q12-$S12+BE12-CB12)</f>
        <v/>
      </c>
      <c r="CT12" s="157">
        <f>IF( CT$1= 0,"",$Q12-$S12+BF12-CC12)</f>
        <v/>
      </c>
      <c r="CU12" s="158">
        <f>IF( CU$1= 0,"",$Q12-$S12+BG12-CD12)</f>
        <v/>
      </c>
      <c r="CV12" s="158">
        <f>IF( CV$1= 0,"",$Q12-$S12+BH12-CE12)</f>
        <v/>
      </c>
      <c r="CW12" s="158">
        <f>IF( CW$1= 0,"",$Q12-$S12+BI12-CF12)</f>
        <v/>
      </c>
      <c r="CX12" s="158">
        <f>IF( CX$1= 0,"",$Q12-$S12+BJ12-CG12)</f>
        <v/>
      </c>
      <c r="CY12" s="143">
        <f>IF( CY$1= 0,"",$Q12-$S12+BK12-CH12)</f>
        <v/>
      </c>
      <c r="CZ12" s="143">
        <f>IF( CZ$1= 0,"",$Q12-$S12+BL12-CI12)</f>
        <v/>
      </c>
      <c r="DA12" s="144">
        <f>IF( DA$1= 0,"",$Q12-$S12+BM12-CJ12)</f>
        <v/>
      </c>
    </row>
    <row r="13" ht="17.25" customHeight="1" thickBot="1">
      <c r="A13" s="145" t="n">
        <v>4</v>
      </c>
      <c r="B13" s="146" t="inlineStr">
        <is>
          <t>RCU-R(4p)2</t>
        </is>
      </c>
      <c r="C13" s="146" t="inlineStr">
        <is>
          <t>Radiated</t>
        </is>
      </c>
      <c r="D13" s="147" t="inlineStr">
        <is>
          <t>Greenheck</t>
        </is>
      </c>
      <c r="E13" s="205" t="inlineStr">
        <is>
          <t>MXZ-5C42</t>
        </is>
      </c>
      <c r="F13" s="213" t="n"/>
      <c r="G13" s="214" t="n"/>
      <c r="H13" s="214" t="n"/>
      <c r="I13" s="214" t="n"/>
      <c r="J13" s="214" t="n"/>
      <c r="K13" s="214" t="n"/>
      <c r="L13" s="214" t="n"/>
      <c r="M13" s="218" t="n"/>
      <c r="N13" s="213" t="n">
        <v>58</v>
      </c>
      <c r="O13" s="215" t="n">
        <v>5</v>
      </c>
      <c r="P13" s="208" t="n">
        <v>1</v>
      </c>
      <c r="Q13" s="128">
        <f>ROUND(IF(AND(A13&gt;0, O13&gt;0), N13+ABS(10*LOG10(P13/(4*PI()*CONVERT(O13,"ft", "m")^2))), N13),0)</f>
        <v/>
      </c>
      <c r="R13" s="3" t="n">
        <v>2</v>
      </c>
      <c r="S13" s="3" t="n"/>
      <c r="T13" s="214" t="n">
        <v>169.49</v>
      </c>
      <c r="U13" s="214" t="n">
        <v>137.19</v>
      </c>
      <c r="V13" s="109">
        <f>SUM(W13:X13)</f>
        <v/>
      </c>
      <c r="W13" s="81" t="n">
        <v>70</v>
      </c>
      <c r="X13" s="148" t="n">
        <v>4</v>
      </c>
      <c r="Z13" s="9" t="n"/>
      <c r="AA13" s="214" t="n"/>
      <c r="AB13" s="214" t="n"/>
      <c r="AC13" s="87" t="n"/>
      <c r="AD13" s="8" t="n"/>
      <c r="AE13" s="2" t="str"/>
      <c r="AH13" s="149">
        <f t="array" ref="AH13">IF(AH$1=0,"",SQRT((_xlfn.XLOOKUP(AH$1,$Z$2:$Z$18,$AA$2:$AA$18)-$T13)^2+(_xlfn.XLOOKUP(AH$1,$Z$2:$Z$18,$AB$2:$AB$18)-$U13)^2+(_xlfn.XLOOKUP(AH$1,$Z$2:$Z$18,$AC$2:$AC$18-$V13)^2)))</f>
        <v/>
      </c>
      <c r="AI13" s="150">
        <f t="array" ref="AI13">IF(AI$1=0,"",SQRT((_xlfn.XLOOKUP(AI$1,$Z$2:$Z$18,$AA$2:$AA$18)-$T13)^2+(_xlfn.XLOOKUP(AI$1,$Z$2:$Z$18,$AB$2:$AB$18)-$U13)^2+(_xlfn.XLOOKUP(AI$1,$Z$2:$Z$18,$AC$2:$AC$18-$V13)^2)))</f>
        <v/>
      </c>
      <c r="AJ13" s="150">
        <f t="array" ref="AJ13">IF(AJ$1=0,"",SQRT((_xlfn.XLOOKUP(AJ$1,$Z$2:$Z$18,$AA$2:$AA$18)-$T13)^2+(_xlfn.XLOOKUP(AJ$1,$Z$2:$Z$18,$AB$2:$AB$18)-$U13)^2+(_xlfn.XLOOKUP(AJ$1,$Z$2:$Z$18,$AC$2:$AC$18-$V13)^2)))</f>
        <v/>
      </c>
      <c r="AK13" s="150">
        <f t="array" ref="AK13">IF(AK$1=0,"",SQRT((_xlfn.XLOOKUP(AK$1,$Z$2:$Z$18,$AA$2:$AA$18)-$T13)^2+(_xlfn.XLOOKUP(AK$1,$Z$2:$Z$18,$AB$2:$AB$18)-$U13)^2+(_xlfn.XLOOKUP(AK$1,$Z$2:$Z$18,$AC$2:$AC$18-$V13)^2)))</f>
        <v/>
      </c>
      <c r="AL13" s="150">
        <f t="array" ref="AL13">IF(AL$1=0,"",SQRT((_xlfn.XLOOKUP(AL$1,$Z$2:$Z$18,$AA$2:$AA$18)-$T13)^2+(_xlfn.XLOOKUP(AL$1,$Z$2:$Z$18,$AB$2:$AB$18)-$U13)^2+(_xlfn.XLOOKUP(AL$1,$Z$2:$Z$18,$AC$2:$AC$18-$V13)^2)))</f>
        <v/>
      </c>
      <c r="AM13" s="150">
        <f t="array" ref="AM13">IF(AM$1=0,"",SQRT((_xlfn.XLOOKUP(AM$1,$Z$2:$Z$18,$AA$2:$AA$18)-$T13)^2+(_xlfn.XLOOKUP(AM$1,$Z$2:$Z$18,$AB$2:$AB$18)-$U13)^2+(_xlfn.XLOOKUP(AM$1,$Z$2:$Z$18,$AC$2:$AC$18-$V13)^2)))</f>
        <v/>
      </c>
      <c r="AN13" s="150">
        <f t="array" ref="AN13">IF(AN$1=0,"",SQRT((_xlfn.XLOOKUP(AN$1,$Z$2:$Z$18,$AA$2:$AA$18)-$T13)^2+(_xlfn.XLOOKUP(AN$1,$Z$2:$Z$18,$AB$2:$AB$18)-$U13)^2+(_xlfn.XLOOKUP(AN$1,$Z$2:$Z$18,$AC$2:$AC$18-$V13)^2)))</f>
        <v/>
      </c>
      <c r="AO13" s="150">
        <f t="array" ref="AO13">IF(AO$1=0,"",SQRT((_xlfn.XLOOKUP(AO$1,$Z$2:$Z$18,$AA$2:$AA$18)-$T13)^2+(_xlfn.XLOOKUP(AO$1,$Z$2:$Z$18,$AB$2:$AB$18)-$U13)^2+(_xlfn.XLOOKUP(AO$1,$Z$2:$Z$18,$AC$2:$AC$18-$V13)^2)))</f>
        <v/>
      </c>
      <c r="AP13" s="151">
        <f t="array" ref="AP13">IF(AP$1=0,"",SQRT((_xlfn.XLOOKUP(AP$1,$Z$2:$Z$18,$AA$2:$AA$18)-$T13)^2+(_xlfn.XLOOKUP(AP$1,$Z$2:$Z$18,$AB$2:$AB$18)-$U13)^2+(_xlfn.XLOOKUP(AP$1,$Z$2:$Z$18,$AC$2:$AC$18-$V13)^2)))</f>
        <v/>
      </c>
      <c r="AQ13" s="151">
        <f t="array" ref="AQ13">IF(AQ$1=0,"",SQRT((_xlfn.XLOOKUP(AQ$1,$Z$2:$Z$18,$AA$2:$AA$18)-$T13)^2+(_xlfn.XLOOKUP(AQ$1,$Z$2:$Z$18,$AB$2:$AB$18)-$U13)^2+(_xlfn.XLOOKUP(AQ$1,$Z$2:$Z$18,$AC$2:$AC$18-$V13)^2)))</f>
        <v/>
      </c>
      <c r="AR13" s="151">
        <f t="array" ref="AR13">IF(AR$1=0,"",SQRT((_xlfn.XLOOKUP(AR$1,$Z$2:$Z$18,$AA$2:$AA$18)-$T13)^2+(_xlfn.XLOOKUP(AR$1,$Z$2:$Z$18,$AB$2:$AB$18)-$U13)^2+(_xlfn.XLOOKUP(AR$1,$Z$2:$Z$18,$AC$2:$AC$18-$V13)^2)))</f>
        <v/>
      </c>
      <c r="AS13" s="151">
        <f t="array" ref="AS13">IF(AS$1=0,"",SQRT((_xlfn.XLOOKUP(AS$1,$Z$2:$Z$18,$AA$2:$AA$18)-$T13)^2+(_xlfn.XLOOKUP(AS$1,$Z$2:$Z$18,$AB$2:$AB$18)-$U13)^2+(_xlfn.XLOOKUP(AS$1,$Z$2:$Z$18,$AC$2:$AC$18-$V13)^2)))</f>
        <v/>
      </c>
      <c r="AT13" s="151">
        <f t="array" ref="AT13">IF(AT$1=0,"",SQRT((_xlfn.XLOOKUP(AT$1,$Z$2:$Z$18,$AA$2:$AA$18)-$T13)^2+(_xlfn.XLOOKUP(AT$1,$Z$2:$Z$18,$AB$2:$AB$18)-$U13)^2+(_xlfn.XLOOKUP(AT$1,$Z$2:$Z$18,$AC$2:$AC$18-$V13)^2)))</f>
        <v/>
      </c>
      <c r="AU13" s="151">
        <f t="array" ref="AU13">IF(AU$1=0,"",SQRT((_xlfn.XLOOKUP(AU$1,$Z$2:$Z$18,$AA$2:$AA$18)-$T13)^2+(_xlfn.XLOOKUP(AU$1,$Z$2:$Z$18,$AB$2:$AB$18)-$U13)^2+(_xlfn.XLOOKUP(AU$1,$Z$2:$Z$18,$AC$2:$AC$18-$V13)^2)))</f>
        <v/>
      </c>
      <c r="AV13" s="152">
        <f t="array" ref="AV13">IF(AV$1=0,"",SQRT((_xlfn.XLOOKUP(AV$1,$Z$2:$Z$18,$AA$2:$AA$18)-$T13)^2+(_xlfn.XLOOKUP(AV$1,$Z$2:$Z$18,$AB$2:$AB$18)-$U13)^2+(_xlfn.XLOOKUP(AV$1,$Z$2:$Z$18,$AC$2:$AC$18-$V13)^2)))</f>
        <v/>
      </c>
      <c r="AW13" s="134" t="n"/>
      <c r="AX13" s="134" t="n"/>
      <c r="AY13" s="135">
        <f>IFERROR(-ABS(10*LOG10(($R13/(4*PI()*CONVERT(AH13,"ft","m")^2)))),0)</f>
        <v/>
      </c>
      <c r="AZ13" s="153">
        <f>IFERROR(-ABS(10*LOG10(($R13/(4*PI()*CONVERT(AI13,"ft","m")^2)))),0)</f>
        <v/>
      </c>
      <c r="BA13" s="153">
        <f>IFERROR(-ABS(10*LOG10(($R13/(4*PI()*CONVERT(AJ13,"ft","m")^2)))),0)</f>
        <v/>
      </c>
      <c r="BB13" s="153">
        <f>IFERROR(-ABS(10*LOG10(($R13/(4*PI()*CONVERT(AK13,"ft","m")^2)))),0)</f>
        <v/>
      </c>
      <c r="BC13" s="153">
        <f>IFERROR(-ABS(10*LOG10(($R13/(4*PI()*CONVERT(AL13,"ft","m")^2)))),0)</f>
        <v/>
      </c>
      <c r="BD13" s="153">
        <f>IFERROR(-ABS(10*LOG10(($R13/(4*PI()*CONVERT(AM13,"ft","m")^2)))),0)</f>
        <v/>
      </c>
      <c r="BE13" s="153">
        <f>IFERROR(-ABS(10*LOG10(($R13/(4*PI()*CONVERT(AN13,"ft","m")^2)))),0)</f>
        <v/>
      </c>
      <c r="BF13" s="153">
        <f>IFERROR(-ABS(10*LOG10(($R13/(4*PI()*CONVERT(AO13,"ft","m")^2)))),0)</f>
        <v/>
      </c>
      <c r="BG13" s="154">
        <f>IFERROR(-ABS(10*LOG10(($R13/(4*PI()*CONVERT(AP13,"ft","m")^2)))),0)</f>
        <v/>
      </c>
      <c r="BH13" s="154">
        <f>IFERROR(-ABS(10*LOG10(($R13/(4*PI()*CONVERT(AQ13,"ft","m")^2)))),0)</f>
        <v/>
      </c>
      <c r="BI13" s="154">
        <f>IFERROR(-ABS(10*LOG10(($R13/(4*PI()*CONVERT(AR13,"ft","m")^2)))),0)</f>
        <v/>
      </c>
      <c r="BJ13" s="154">
        <f>IFERROR(-ABS(10*LOG10(($R13/(4*PI()*CONVERT(AS13,"ft","m")^2)))),0)</f>
        <v/>
      </c>
      <c r="BK13" s="154">
        <f>IFERROR(-ABS(10*LOG10(($R13/(4*PI()*CONVERT(AT13,"ft","m")^2)))),0)</f>
        <v/>
      </c>
      <c r="BL13" s="154">
        <f>IFERROR(-ABS(10*LOG10(($R13/(4*PI()*CONVERT(AU13,"ft","m")^2)))),0)</f>
        <v/>
      </c>
      <c r="BM13" s="155">
        <f>IFERROR(-ABS(10*LOG10(($R13/(4*PI()*CONVERT(AV13,"ft","m")^2)))),0)</f>
        <v/>
      </c>
      <c r="BN13" s="134" t="n"/>
      <c r="BO13" s="41" t="inlineStr">
        <is>
          <t>distance: source - top of barrier</t>
        </is>
      </c>
      <c r="BP13" s="166">
        <f>SQRT((BP21-BS4)^2+(BP9)^2)</f>
        <v/>
      </c>
      <c r="BQ13" s="46" t="inlineStr">
        <is>
          <t>intersection: Y</t>
        </is>
      </c>
      <c r="BR13" s="121">
        <f>(BR8*BR12)+BR10</f>
        <v/>
      </c>
      <c r="BS13" s="167">
        <f>(BS8*BS12)+BS10</f>
        <v/>
      </c>
      <c r="BT13" s="134" t="n"/>
      <c r="BU13" s="134" t="n"/>
      <c r="BV13" s="140" t="n"/>
      <c r="BW13" s="140" t="n"/>
      <c r="BX13" s="140" t="n"/>
      <c r="BY13" s="140" t="n"/>
      <c r="BZ13" s="140" t="n"/>
      <c r="CA13" s="140" t="n"/>
      <c r="CB13" s="140" t="n"/>
      <c r="CC13" s="140" t="n"/>
      <c r="CD13" s="140" t="n"/>
      <c r="CE13" s="140" t="n"/>
      <c r="CF13" s="140" t="n"/>
      <c r="CG13" s="140" t="n"/>
      <c r="CH13" s="140" t="n"/>
      <c r="CI13" s="140" t="n"/>
      <c r="CJ13" s="140" t="n"/>
      <c r="CK13" s="134" t="n"/>
      <c r="CL13" s="134" t="n"/>
      <c r="CM13" s="156">
        <f>IF( CM$1= 0,"",$Q13-$S13+AY13-BV13)</f>
        <v/>
      </c>
      <c r="CN13" s="157">
        <f>IF( CN$1= 0,"",$Q13-$S13+AZ13-BW13)</f>
        <v/>
      </c>
      <c r="CO13" s="157">
        <f>IF( CO$1= 0,"",$Q13-$S13+BA13-BX13)</f>
        <v/>
      </c>
      <c r="CP13" s="157">
        <f>IF( CP$1= 0,"",$Q13-$S13+BB13-BY13)</f>
        <v/>
      </c>
      <c r="CQ13" s="157">
        <f>IF( CQ$1= 0,"",$Q13-$S13+BC13-BZ13)</f>
        <v/>
      </c>
      <c r="CR13" s="157">
        <f>IF( CR$1= 0,"",$Q13-$S13+BD13-CA13)</f>
        <v/>
      </c>
      <c r="CS13" s="157">
        <f>IF( CS$1= 0,"",$Q13-$S13+BE13-CB13)</f>
        <v/>
      </c>
      <c r="CT13" s="157">
        <f>IF( CT$1= 0,"",$Q13-$S13+BF13-CC13)</f>
        <v/>
      </c>
      <c r="CU13" s="158">
        <f>IF( CU$1= 0,"",$Q13-$S13+BG13-CD13)</f>
        <v/>
      </c>
      <c r="CV13" s="158">
        <f>IF( CV$1= 0,"",$Q13-$S13+BH13-CE13)</f>
        <v/>
      </c>
      <c r="CW13" s="158">
        <f>IF( CW$1= 0,"",$Q13-$S13+BI13-CF13)</f>
        <v/>
      </c>
      <c r="CX13" s="158">
        <f>IF( CX$1= 0,"",$Q13-$S13+BJ13-CG13)</f>
        <v/>
      </c>
      <c r="CY13" s="143">
        <f>IF( CY$1= 0,"",$Q13-$S13+BK13-CH13)</f>
        <v/>
      </c>
      <c r="CZ13" s="143">
        <f>IF( CZ$1= 0,"",$Q13-$S13+BL13-CI13)</f>
        <v/>
      </c>
      <c r="DA13" s="144">
        <f>IF( DA$1= 0,"",$Q13-$S13+BM13-CJ13)</f>
        <v/>
      </c>
    </row>
    <row r="14" ht="17.25" customHeight="1" thickBot="1">
      <c r="A14" s="145" t="n">
        <v>4</v>
      </c>
      <c r="B14" s="146" t="inlineStr">
        <is>
          <t>RCU-R(4p)3</t>
        </is>
      </c>
      <c r="C14" s="146" t="inlineStr">
        <is>
          <t>Radiated</t>
        </is>
      </c>
      <c r="D14" s="147" t="inlineStr">
        <is>
          <t>Greenheck</t>
        </is>
      </c>
      <c r="E14" s="205" t="inlineStr">
        <is>
          <t>MXZ-5C42</t>
        </is>
      </c>
      <c r="F14" s="213" t="n"/>
      <c r="G14" s="214" t="n"/>
      <c r="H14" s="214" t="n"/>
      <c r="I14" s="214" t="n"/>
      <c r="J14" s="214" t="n"/>
      <c r="K14" s="214" t="n"/>
      <c r="L14" s="214" t="n"/>
      <c r="M14" s="218" t="n"/>
      <c r="N14" s="213" t="n">
        <v>58</v>
      </c>
      <c r="O14" s="215" t="n">
        <v>5</v>
      </c>
      <c r="P14" s="208" t="n">
        <v>1</v>
      </c>
      <c r="Q14" s="128">
        <f>ROUND(IF(AND(A14&gt;0, O14&gt;0), N14+ABS(10*LOG10(P14/(4*PI()*CONVERT(O14,"ft", "m")^2))), N14),0)</f>
        <v/>
      </c>
      <c r="R14" s="3" t="n">
        <v>2</v>
      </c>
      <c r="S14" s="3" t="n"/>
      <c r="T14" s="214" t="n">
        <v>156.19</v>
      </c>
      <c r="U14" s="214" t="n">
        <v>104.51</v>
      </c>
      <c r="V14" s="109">
        <f>SUM(W14:X14)</f>
        <v/>
      </c>
      <c r="W14" s="81" t="n">
        <v>70</v>
      </c>
      <c r="X14" s="148" t="n">
        <v>4</v>
      </c>
      <c r="Z14" s="9" t="n"/>
      <c r="AA14" s="214" t="n"/>
      <c r="AB14" s="214" t="n"/>
      <c r="AC14" s="87" t="n"/>
      <c r="AD14" s="8" t="n"/>
      <c r="AE14" s="2" t="str"/>
      <c r="AH14" s="149">
        <f t="array" ref="AH14">IF(AH$1=0,"",SQRT((_xlfn.XLOOKUP(AH$1,$Z$2:$Z$18,$AA$2:$AA$18)-$T14)^2+(_xlfn.XLOOKUP(AH$1,$Z$2:$Z$18,$AB$2:$AB$18)-$U14)^2+(_xlfn.XLOOKUP(AH$1,$Z$2:$Z$18,$AC$2:$AC$18-$V14)^2)))</f>
        <v/>
      </c>
      <c r="AI14" s="150">
        <f t="array" ref="AI14">IF(AI$1=0,"",SQRT((_xlfn.XLOOKUP(AI$1,$Z$2:$Z$18,$AA$2:$AA$18)-$T14)^2+(_xlfn.XLOOKUP(AI$1,$Z$2:$Z$18,$AB$2:$AB$18)-$U14)^2+(_xlfn.XLOOKUP(AI$1,$Z$2:$Z$18,$AC$2:$AC$18-$V14)^2)))</f>
        <v/>
      </c>
      <c r="AJ14" s="150">
        <f t="array" ref="AJ14">IF(AJ$1=0,"",SQRT((_xlfn.XLOOKUP(AJ$1,$Z$2:$Z$18,$AA$2:$AA$18)-$T14)^2+(_xlfn.XLOOKUP(AJ$1,$Z$2:$Z$18,$AB$2:$AB$18)-$U14)^2+(_xlfn.XLOOKUP(AJ$1,$Z$2:$Z$18,$AC$2:$AC$18-$V14)^2)))</f>
        <v/>
      </c>
      <c r="AK14" s="150">
        <f t="array" ref="AK14">IF(AK$1=0,"",SQRT((_xlfn.XLOOKUP(AK$1,$Z$2:$Z$18,$AA$2:$AA$18)-$T14)^2+(_xlfn.XLOOKUP(AK$1,$Z$2:$Z$18,$AB$2:$AB$18)-$U14)^2+(_xlfn.XLOOKUP(AK$1,$Z$2:$Z$18,$AC$2:$AC$18-$V14)^2)))</f>
        <v/>
      </c>
      <c r="AL14" s="150">
        <f t="array" ref="AL14">IF(AL$1=0,"",SQRT((_xlfn.XLOOKUP(AL$1,$Z$2:$Z$18,$AA$2:$AA$18)-$T14)^2+(_xlfn.XLOOKUP(AL$1,$Z$2:$Z$18,$AB$2:$AB$18)-$U14)^2+(_xlfn.XLOOKUP(AL$1,$Z$2:$Z$18,$AC$2:$AC$18-$V14)^2)))</f>
        <v/>
      </c>
      <c r="AM14" s="150">
        <f t="array" ref="AM14">IF(AM$1=0,"",SQRT((_xlfn.XLOOKUP(AM$1,$Z$2:$Z$18,$AA$2:$AA$18)-$T14)^2+(_xlfn.XLOOKUP(AM$1,$Z$2:$Z$18,$AB$2:$AB$18)-$U14)^2+(_xlfn.XLOOKUP(AM$1,$Z$2:$Z$18,$AC$2:$AC$18-$V14)^2)))</f>
        <v/>
      </c>
      <c r="AN14" s="150">
        <f t="array" ref="AN14">IF(AN$1=0,"",SQRT((_xlfn.XLOOKUP(AN$1,$Z$2:$Z$18,$AA$2:$AA$18)-$T14)^2+(_xlfn.XLOOKUP(AN$1,$Z$2:$Z$18,$AB$2:$AB$18)-$U14)^2+(_xlfn.XLOOKUP(AN$1,$Z$2:$Z$18,$AC$2:$AC$18-$V14)^2)))</f>
        <v/>
      </c>
      <c r="AO14" s="150">
        <f t="array" ref="AO14">IF(AO$1=0,"",SQRT((_xlfn.XLOOKUP(AO$1,$Z$2:$Z$18,$AA$2:$AA$18)-$T14)^2+(_xlfn.XLOOKUP(AO$1,$Z$2:$Z$18,$AB$2:$AB$18)-$U14)^2+(_xlfn.XLOOKUP(AO$1,$Z$2:$Z$18,$AC$2:$AC$18-$V14)^2)))</f>
        <v/>
      </c>
      <c r="AP14" s="151">
        <f t="array" ref="AP14">IF(AP$1=0,"",SQRT((_xlfn.XLOOKUP(AP$1,$Z$2:$Z$18,$AA$2:$AA$18)-$T14)^2+(_xlfn.XLOOKUP(AP$1,$Z$2:$Z$18,$AB$2:$AB$18)-$U14)^2+(_xlfn.XLOOKUP(AP$1,$Z$2:$Z$18,$AC$2:$AC$18-$V14)^2)))</f>
        <v/>
      </c>
      <c r="AQ14" s="151">
        <f t="array" ref="AQ14">IF(AQ$1=0,"",SQRT((_xlfn.XLOOKUP(AQ$1,$Z$2:$Z$18,$AA$2:$AA$18)-$T14)^2+(_xlfn.XLOOKUP(AQ$1,$Z$2:$Z$18,$AB$2:$AB$18)-$U14)^2+(_xlfn.XLOOKUP(AQ$1,$Z$2:$Z$18,$AC$2:$AC$18-$V14)^2)))</f>
        <v/>
      </c>
      <c r="AR14" s="151">
        <f t="array" ref="AR14">IF(AR$1=0,"",SQRT((_xlfn.XLOOKUP(AR$1,$Z$2:$Z$18,$AA$2:$AA$18)-$T14)^2+(_xlfn.XLOOKUP(AR$1,$Z$2:$Z$18,$AB$2:$AB$18)-$U14)^2+(_xlfn.XLOOKUP(AR$1,$Z$2:$Z$18,$AC$2:$AC$18-$V14)^2)))</f>
        <v/>
      </c>
      <c r="AS14" s="151">
        <f t="array" ref="AS14">IF(AS$1=0,"",SQRT((_xlfn.XLOOKUP(AS$1,$Z$2:$Z$18,$AA$2:$AA$18)-$T14)^2+(_xlfn.XLOOKUP(AS$1,$Z$2:$Z$18,$AB$2:$AB$18)-$U14)^2+(_xlfn.XLOOKUP(AS$1,$Z$2:$Z$18,$AC$2:$AC$18-$V14)^2)))</f>
        <v/>
      </c>
      <c r="AT14" s="151">
        <f t="array" ref="AT14">IF(AT$1=0,"",SQRT((_xlfn.XLOOKUP(AT$1,$Z$2:$Z$18,$AA$2:$AA$18)-$T14)^2+(_xlfn.XLOOKUP(AT$1,$Z$2:$Z$18,$AB$2:$AB$18)-$U14)^2+(_xlfn.XLOOKUP(AT$1,$Z$2:$Z$18,$AC$2:$AC$18-$V14)^2)))</f>
        <v/>
      </c>
      <c r="AU14" s="151">
        <f t="array" ref="AU14">IF(AU$1=0,"",SQRT((_xlfn.XLOOKUP(AU$1,$Z$2:$Z$18,$AA$2:$AA$18)-$T14)^2+(_xlfn.XLOOKUP(AU$1,$Z$2:$Z$18,$AB$2:$AB$18)-$U14)^2+(_xlfn.XLOOKUP(AU$1,$Z$2:$Z$18,$AC$2:$AC$18-$V14)^2)))</f>
        <v/>
      </c>
      <c r="AV14" s="152">
        <f t="array" ref="AV14">IF(AV$1=0,"",SQRT((_xlfn.XLOOKUP(AV$1,$Z$2:$Z$18,$AA$2:$AA$18)-$T14)^2+(_xlfn.XLOOKUP(AV$1,$Z$2:$Z$18,$AB$2:$AB$18)-$U14)^2+(_xlfn.XLOOKUP(AV$1,$Z$2:$Z$18,$AC$2:$AC$18-$V14)^2)))</f>
        <v/>
      </c>
      <c r="AW14" s="134" t="n"/>
      <c r="AX14" s="134" t="n"/>
      <c r="AY14" s="135">
        <f>IFERROR(-ABS(10*LOG10(($R14/(4*PI()*CONVERT(AH14,"ft","m")^2)))),0)</f>
        <v/>
      </c>
      <c r="AZ14" s="153">
        <f>IFERROR(-ABS(10*LOG10(($R14/(4*PI()*CONVERT(AI14,"ft","m")^2)))),0)</f>
        <v/>
      </c>
      <c r="BA14" s="153">
        <f>IFERROR(-ABS(10*LOG10(($R14/(4*PI()*CONVERT(AJ14,"ft","m")^2)))),0)</f>
        <v/>
      </c>
      <c r="BB14" s="153">
        <f>IFERROR(-ABS(10*LOG10(($R14/(4*PI()*CONVERT(AK14,"ft","m")^2)))),0)</f>
        <v/>
      </c>
      <c r="BC14" s="153">
        <f>IFERROR(-ABS(10*LOG10(($R14/(4*PI()*CONVERT(AL14,"ft","m")^2)))),0)</f>
        <v/>
      </c>
      <c r="BD14" s="153">
        <f>IFERROR(-ABS(10*LOG10(($R14/(4*PI()*CONVERT(AM14,"ft","m")^2)))),0)</f>
        <v/>
      </c>
      <c r="BE14" s="153">
        <f>IFERROR(-ABS(10*LOG10(($R14/(4*PI()*CONVERT(AN14,"ft","m")^2)))),0)</f>
        <v/>
      </c>
      <c r="BF14" s="153">
        <f>IFERROR(-ABS(10*LOG10(($R14/(4*PI()*CONVERT(AO14,"ft","m")^2)))),0)</f>
        <v/>
      </c>
      <c r="BG14" s="154">
        <f>IFERROR(-ABS(10*LOG10(($R14/(4*PI()*CONVERT(AP14,"ft","m")^2)))),0)</f>
        <v/>
      </c>
      <c r="BH14" s="154">
        <f>IFERROR(-ABS(10*LOG10(($R14/(4*PI()*CONVERT(AQ14,"ft","m")^2)))),0)</f>
        <v/>
      </c>
      <c r="BI14" s="154">
        <f>IFERROR(-ABS(10*LOG10(($R14/(4*PI()*CONVERT(AR14,"ft","m")^2)))),0)</f>
        <v/>
      </c>
      <c r="BJ14" s="154">
        <f>IFERROR(-ABS(10*LOG10(($R14/(4*PI()*CONVERT(AS14,"ft","m")^2)))),0)</f>
        <v/>
      </c>
      <c r="BK14" s="154">
        <f>IFERROR(-ABS(10*LOG10(($R14/(4*PI()*CONVERT(AT14,"ft","m")^2)))),0)</f>
        <v/>
      </c>
      <c r="BL14" s="154">
        <f>IFERROR(-ABS(10*LOG10(($R14/(4*PI()*CONVERT(AU14,"ft","m")^2)))),0)</f>
        <v/>
      </c>
      <c r="BM14" s="155">
        <f>IFERROR(-ABS(10*LOG10(($R14/(4*PI()*CONVERT(AV14,"ft","m")^2)))),0)</f>
        <v/>
      </c>
      <c r="BN14" s="134" t="n"/>
      <c r="BO14" s="49" t="inlineStr">
        <is>
          <t>distance: receiver - top of barrier</t>
        </is>
      </c>
      <c r="BP14" s="165">
        <f>SQRT((BP21-BS5)^2+(BP10)^2)</f>
        <v/>
      </c>
      <c r="BQ14" s="21" t="n"/>
      <c r="BR14" s="21" t="inlineStr">
        <is>
          <t>used^</t>
        </is>
      </c>
      <c r="BS14" s="21" t="inlineStr">
        <is>
          <t>test^</t>
        </is>
      </c>
      <c r="BT14" s="134" t="n"/>
      <c r="BU14" s="134" t="n"/>
      <c r="BV14" s="140" t="n"/>
      <c r="BW14" s="140" t="n"/>
      <c r="BX14" s="140" t="n"/>
      <c r="BY14" s="140" t="n"/>
      <c r="BZ14" s="140" t="n"/>
      <c r="CA14" s="140" t="n"/>
      <c r="CB14" s="140" t="n"/>
      <c r="CC14" s="140" t="n"/>
      <c r="CD14" s="140" t="n"/>
      <c r="CE14" s="140" t="n"/>
      <c r="CF14" s="140" t="n"/>
      <c r="CG14" s="140" t="n"/>
      <c r="CH14" s="140" t="n"/>
      <c r="CI14" s="140" t="n"/>
      <c r="CJ14" s="140" t="n"/>
      <c r="CK14" s="134" t="n"/>
      <c r="CL14" s="134" t="n"/>
      <c r="CM14" s="156">
        <f>IF( CM$1= 0,"",$Q14-$S14+AY14-BV14)</f>
        <v/>
      </c>
      <c r="CN14" s="157">
        <f>IF( CN$1= 0,"",$Q14-$S14+AZ14-BW14)</f>
        <v/>
      </c>
      <c r="CO14" s="157">
        <f>IF( CO$1= 0,"",$Q14-$S14+BA14-BX14)</f>
        <v/>
      </c>
      <c r="CP14" s="157">
        <f>IF( CP$1= 0,"",$Q14-$S14+BB14-BY14)</f>
        <v/>
      </c>
      <c r="CQ14" s="157">
        <f>IF( CQ$1= 0,"",$Q14-$S14+BC14-BZ14)</f>
        <v/>
      </c>
      <c r="CR14" s="157">
        <f>IF( CR$1= 0,"",$Q14-$S14+BD14-CA14)</f>
        <v/>
      </c>
      <c r="CS14" s="157">
        <f>IF( CS$1= 0,"",$Q14-$S14+BE14-CB14)</f>
        <v/>
      </c>
      <c r="CT14" s="157">
        <f>IF( CT$1= 0,"",$Q14-$S14+BF14-CC14)</f>
        <v/>
      </c>
      <c r="CU14" s="158">
        <f>IF( CU$1= 0,"",$Q14-$S14+BG14-CD14)</f>
        <v/>
      </c>
      <c r="CV14" s="158">
        <f>IF( CV$1= 0,"",$Q14-$S14+BH14-CE14)</f>
        <v/>
      </c>
      <c r="CW14" s="158">
        <f>IF( CW$1= 0,"",$Q14-$S14+BI14-CF14)</f>
        <v/>
      </c>
      <c r="CX14" s="158">
        <f>IF( CX$1= 0,"",$Q14-$S14+BJ14-CG14)</f>
        <v/>
      </c>
      <c r="CY14" s="143">
        <f>IF( CY$1= 0,"",$Q14-$S14+BK14-CH14)</f>
        <v/>
      </c>
      <c r="CZ14" s="143">
        <f>IF( CZ$1= 0,"",$Q14-$S14+BL14-CI14)</f>
        <v/>
      </c>
      <c r="DA14" s="144">
        <f>IF( DA$1= 0,"",$Q14-$S14+BM14-CJ14)</f>
        <v/>
      </c>
    </row>
    <row r="15" ht="17.25" customHeight="1" thickBot="1">
      <c r="A15" s="145" t="n">
        <v>2</v>
      </c>
      <c r="B15" s="146" t="inlineStr">
        <is>
          <t>RCU-R(2p)</t>
        </is>
      </c>
      <c r="C15" s="146" t="inlineStr">
        <is>
          <t>Radiated</t>
        </is>
      </c>
      <c r="D15" s="147" t="inlineStr">
        <is>
          <t>Greenheck</t>
        </is>
      </c>
      <c r="E15" s="205" t="inlineStr">
        <is>
          <t>MXZ-5C42</t>
        </is>
      </c>
      <c r="F15" s="213" t="n"/>
      <c r="G15" s="214" t="n"/>
      <c r="H15" s="214" t="n"/>
      <c r="I15" s="214" t="n"/>
      <c r="J15" s="214" t="n"/>
      <c r="K15" s="214" t="n"/>
      <c r="L15" s="214" t="n"/>
      <c r="M15" s="218" t="n"/>
      <c r="N15" s="213" t="n">
        <v>58</v>
      </c>
      <c r="O15" s="215" t="n">
        <v>5</v>
      </c>
      <c r="P15" s="208" t="n">
        <v>1</v>
      </c>
      <c r="Q15" s="128">
        <f>ROUND(IF(AND(A15&gt;0, O15&gt;0), N15+ABS(10*LOG10(P15/(4*PI()*CONVERT(O15,"ft", "m")^2))), N15),0)</f>
        <v/>
      </c>
      <c r="R15" s="3" t="n">
        <v>2</v>
      </c>
      <c r="S15" s="3" t="n"/>
      <c r="T15" s="214" t="n">
        <v>143.32</v>
      </c>
      <c r="U15" s="214" t="n">
        <v>101.28</v>
      </c>
      <c r="V15" s="109">
        <f>SUM(W15:X15)</f>
        <v/>
      </c>
      <c r="W15" s="81" t="n">
        <v>70</v>
      </c>
      <c r="X15" s="148" t="n">
        <v>4</v>
      </c>
      <c r="Z15" s="9" t="n"/>
      <c r="AA15" s="214" t="n"/>
      <c r="AB15" s="214" t="n"/>
      <c r="AC15" s="87" t="n"/>
      <c r="AD15" s="8" t="n"/>
      <c r="AE15" s="2" t="str"/>
      <c r="AH15" s="149">
        <f t="array" ref="AH15">IF(AH$1=0,"",SQRT((_xlfn.XLOOKUP(AH$1,$Z$2:$Z$18,$AA$2:$AA$18)-$T15)^2+(_xlfn.XLOOKUP(AH$1,$Z$2:$Z$18,$AB$2:$AB$18)-$U15)^2+(_xlfn.XLOOKUP(AH$1,$Z$2:$Z$18,$AC$2:$AC$18-$V15)^2)))</f>
        <v/>
      </c>
      <c r="AI15" s="150">
        <f t="array" ref="AI15">IF(AI$1=0,"",SQRT((_xlfn.XLOOKUP(AI$1,$Z$2:$Z$18,$AA$2:$AA$18)-$T15)^2+(_xlfn.XLOOKUP(AI$1,$Z$2:$Z$18,$AB$2:$AB$18)-$U15)^2+(_xlfn.XLOOKUP(AI$1,$Z$2:$Z$18,$AC$2:$AC$18-$V15)^2)))</f>
        <v/>
      </c>
      <c r="AJ15" s="150">
        <f t="array" ref="AJ15">IF(AJ$1=0,"",SQRT((_xlfn.XLOOKUP(AJ$1,$Z$2:$Z$18,$AA$2:$AA$18)-$T15)^2+(_xlfn.XLOOKUP(AJ$1,$Z$2:$Z$18,$AB$2:$AB$18)-$U15)^2+(_xlfn.XLOOKUP(AJ$1,$Z$2:$Z$18,$AC$2:$AC$18-$V15)^2)))</f>
        <v/>
      </c>
      <c r="AK15" s="150">
        <f t="array" ref="AK15">IF(AK$1=0,"",SQRT((_xlfn.XLOOKUP(AK$1,$Z$2:$Z$18,$AA$2:$AA$18)-$T15)^2+(_xlfn.XLOOKUP(AK$1,$Z$2:$Z$18,$AB$2:$AB$18)-$U15)^2+(_xlfn.XLOOKUP(AK$1,$Z$2:$Z$18,$AC$2:$AC$18-$V15)^2)))</f>
        <v/>
      </c>
      <c r="AL15" s="150">
        <f t="array" ref="AL15">IF(AL$1=0,"",SQRT((_xlfn.XLOOKUP(AL$1,$Z$2:$Z$18,$AA$2:$AA$18)-$T15)^2+(_xlfn.XLOOKUP(AL$1,$Z$2:$Z$18,$AB$2:$AB$18)-$U15)^2+(_xlfn.XLOOKUP(AL$1,$Z$2:$Z$18,$AC$2:$AC$18-$V15)^2)))</f>
        <v/>
      </c>
      <c r="AM15" s="150">
        <f t="array" ref="AM15">IF(AM$1=0,"",SQRT((_xlfn.XLOOKUP(AM$1,$Z$2:$Z$18,$AA$2:$AA$18)-$T15)^2+(_xlfn.XLOOKUP(AM$1,$Z$2:$Z$18,$AB$2:$AB$18)-$U15)^2+(_xlfn.XLOOKUP(AM$1,$Z$2:$Z$18,$AC$2:$AC$18-$V15)^2)))</f>
        <v/>
      </c>
      <c r="AN15" s="150">
        <f t="array" ref="AN15">IF(AN$1=0,"",SQRT((_xlfn.XLOOKUP(AN$1,$Z$2:$Z$18,$AA$2:$AA$18)-$T15)^2+(_xlfn.XLOOKUP(AN$1,$Z$2:$Z$18,$AB$2:$AB$18)-$U15)^2+(_xlfn.XLOOKUP(AN$1,$Z$2:$Z$18,$AC$2:$AC$18-$V15)^2)))</f>
        <v/>
      </c>
      <c r="AO15" s="150">
        <f t="array" ref="AO15">IF(AO$1=0,"",SQRT((_xlfn.XLOOKUP(AO$1,$Z$2:$Z$18,$AA$2:$AA$18)-$T15)^2+(_xlfn.XLOOKUP(AO$1,$Z$2:$Z$18,$AB$2:$AB$18)-$U15)^2+(_xlfn.XLOOKUP(AO$1,$Z$2:$Z$18,$AC$2:$AC$18-$V15)^2)))</f>
        <v/>
      </c>
      <c r="AP15" s="151">
        <f t="array" ref="AP15">IF(AP$1=0,"",SQRT((_xlfn.XLOOKUP(AP$1,$Z$2:$Z$18,$AA$2:$AA$18)-$T15)^2+(_xlfn.XLOOKUP(AP$1,$Z$2:$Z$18,$AB$2:$AB$18)-$U15)^2+(_xlfn.XLOOKUP(AP$1,$Z$2:$Z$18,$AC$2:$AC$18-$V15)^2)))</f>
        <v/>
      </c>
      <c r="AQ15" s="151">
        <f t="array" ref="AQ15">IF(AQ$1=0,"",SQRT((_xlfn.XLOOKUP(AQ$1,$Z$2:$Z$18,$AA$2:$AA$18)-$T15)^2+(_xlfn.XLOOKUP(AQ$1,$Z$2:$Z$18,$AB$2:$AB$18)-$U15)^2+(_xlfn.XLOOKUP(AQ$1,$Z$2:$Z$18,$AC$2:$AC$18-$V15)^2)))</f>
        <v/>
      </c>
      <c r="AR15" s="151">
        <f t="array" ref="AR15">IF(AR$1=0,"",SQRT((_xlfn.XLOOKUP(AR$1,$Z$2:$Z$18,$AA$2:$AA$18)-$T15)^2+(_xlfn.XLOOKUP(AR$1,$Z$2:$Z$18,$AB$2:$AB$18)-$U15)^2+(_xlfn.XLOOKUP(AR$1,$Z$2:$Z$18,$AC$2:$AC$18-$V15)^2)))</f>
        <v/>
      </c>
      <c r="AS15" s="151">
        <f t="array" ref="AS15">IF(AS$1=0,"",SQRT((_xlfn.XLOOKUP(AS$1,$Z$2:$Z$18,$AA$2:$AA$18)-$T15)^2+(_xlfn.XLOOKUP(AS$1,$Z$2:$Z$18,$AB$2:$AB$18)-$U15)^2+(_xlfn.XLOOKUP(AS$1,$Z$2:$Z$18,$AC$2:$AC$18-$V15)^2)))</f>
        <v/>
      </c>
      <c r="AT15" s="151">
        <f t="array" ref="AT15">IF(AT$1=0,"",SQRT((_xlfn.XLOOKUP(AT$1,$Z$2:$Z$18,$AA$2:$AA$18)-$T15)^2+(_xlfn.XLOOKUP(AT$1,$Z$2:$Z$18,$AB$2:$AB$18)-$U15)^2+(_xlfn.XLOOKUP(AT$1,$Z$2:$Z$18,$AC$2:$AC$18-$V15)^2)))</f>
        <v/>
      </c>
      <c r="AU15" s="151">
        <f t="array" ref="AU15">IF(AU$1=0,"",SQRT((_xlfn.XLOOKUP(AU$1,$Z$2:$Z$18,$AA$2:$AA$18)-$T15)^2+(_xlfn.XLOOKUP(AU$1,$Z$2:$Z$18,$AB$2:$AB$18)-$U15)^2+(_xlfn.XLOOKUP(AU$1,$Z$2:$Z$18,$AC$2:$AC$18-$V15)^2)))</f>
        <v/>
      </c>
      <c r="AV15" s="152">
        <f t="array" ref="AV15">IF(AV$1=0,"",SQRT((_xlfn.XLOOKUP(AV$1,$Z$2:$Z$18,$AA$2:$AA$18)-$T15)^2+(_xlfn.XLOOKUP(AV$1,$Z$2:$Z$18,$AB$2:$AB$18)-$U15)^2+(_xlfn.XLOOKUP(AV$1,$Z$2:$Z$18,$AC$2:$AC$18-$V15)^2)))</f>
        <v/>
      </c>
      <c r="AW15" s="134" t="n"/>
      <c r="AX15" s="134" t="n"/>
      <c r="AY15" s="135">
        <f>IFERROR(-ABS(10*LOG10(($R15/(4*PI()*CONVERT(AH15,"ft","m")^2)))),0)</f>
        <v/>
      </c>
      <c r="AZ15" s="153">
        <f>IFERROR(-ABS(10*LOG10(($R15/(4*PI()*CONVERT(AI15,"ft","m")^2)))),0)</f>
        <v/>
      </c>
      <c r="BA15" s="153">
        <f>IFERROR(-ABS(10*LOG10(($R15/(4*PI()*CONVERT(AJ15,"ft","m")^2)))),0)</f>
        <v/>
      </c>
      <c r="BB15" s="153">
        <f>IFERROR(-ABS(10*LOG10(($R15/(4*PI()*CONVERT(AK15,"ft","m")^2)))),0)</f>
        <v/>
      </c>
      <c r="BC15" s="153">
        <f>IFERROR(-ABS(10*LOG10(($R15/(4*PI()*CONVERT(AL15,"ft","m")^2)))),0)</f>
        <v/>
      </c>
      <c r="BD15" s="153">
        <f>IFERROR(-ABS(10*LOG10(($R15/(4*PI()*CONVERT(AM15,"ft","m")^2)))),0)</f>
        <v/>
      </c>
      <c r="BE15" s="153">
        <f>IFERROR(-ABS(10*LOG10(($R15/(4*PI()*CONVERT(AN15,"ft","m")^2)))),0)</f>
        <v/>
      </c>
      <c r="BF15" s="153">
        <f>IFERROR(-ABS(10*LOG10(($R15/(4*PI()*CONVERT(AO15,"ft","m")^2)))),0)</f>
        <v/>
      </c>
      <c r="BG15" s="154">
        <f>IFERROR(-ABS(10*LOG10(($R15/(4*PI()*CONVERT(AP15,"ft","m")^2)))),0)</f>
        <v/>
      </c>
      <c r="BH15" s="154">
        <f>IFERROR(-ABS(10*LOG10(($R15/(4*PI()*CONVERT(AQ15,"ft","m")^2)))),0)</f>
        <v/>
      </c>
      <c r="BI15" s="154">
        <f>IFERROR(-ABS(10*LOG10(($R15/(4*PI()*CONVERT(AR15,"ft","m")^2)))),0)</f>
        <v/>
      </c>
      <c r="BJ15" s="154">
        <f>IFERROR(-ABS(10*LOG10(($R15/(4*PI()*CONVERT(AS15,"ft","m")^2)))),0)</f>
        <v/>
      </c>
      <c r="BK15" s="154">
        <f>IFERROR(-ABS(10*LOG10(($R15/(4*PI()*CONVERT(AT15,"ft","m")^2)))),0)</f>
        <v/>
      </c>
      <c r="BL15" s="154">
        <f>IFERROR(-ABS(10*LOG10(($R15/(4*PI()*CONVERT(AU15,"ft","m")^2)))),0)</f>
        <v/>
      </c>
      <c r="BM15" s="155">
        <f>IFERROR(-ABS(10*LOG10(($R15/(4*PI()*CONVERT(AV15,"ft","m")^2)))),0)</f>
        <v/>
      </c>
      <c r="BN15" s="134" t="n"/>
      <c r="BO15" s="134" t="n"/>
      <c r="BP15" s="134" t="n"/>
      <c r="BQ15" s="134" t="n"/>
      <c r="BR15" s="134" t="n"/>
      <c r="BS15" s="134" t="n"/>
      <c r="BT15" s="134" t="n"/>
      <c r="BU15" s="134" t="n"/>
      <c r="BV15" s="140" t="n"/>
      <c r="BW15" s="140" t="n"/>
      <c r="BX15" s="140" t="n"/>
      <c r="BY15" s="140" t="n"/>
      <c r="BZ15" s="140" t="n"/>
      <c r="CA15" s="140" t="n"/>
      <c r="CB15" s="140" t="n"/>
      <c r="CC15" s="140" t="n"/>
      <c r="CD15" s="140" t="n"/>
      <c r="CE15" s="140" t="n"/>
      <c r="CF15" s="140" t="n"/>
      <c r="CG15" s="140" t="n"/>
      <c r="CH15" s="140" t="n"/>
      <c r="CI15" s="140" t="n"/>
      <c r="CJ15" s="140" t="n"/>
      <c r="CK15" s="134" t="n"/>
      <c r="CL15" s="134" t="n"/>
      <c r="CM15" s="156">
        <f>IF( CM$1= 0,"",$Q15-$S15+AY15-BV15)</f>
        <v/>
      </c>
      <c r="CN15" s="157">
        <f>IF( CN$1= 0,"",$Q15-$S15+AZ15-BW15)</f>
        <v/>
      </c>
      <c r="CO15" s="157">
        <f>IF( CO$1= 0,"",$Q15-$S15+BA15-BX15)</f>
        <v/>
      </c>
      <c r="CP15" s="157">
        <f>IF( CP$1= 0,"",$Q15-$S15+BB15-BY15)</f>
        <v/>
      </c>
      <c r="CQ15" s="157">
        <f>IF( CQ$1= 0,"",$Q15-$S15+BC15-BZ15)</f>
        <v/>
      </c>
      <c r="CR15" s="157">
        <f>IF( CR$1= 0,"",$Q15-$S15+BD15-CA15)</f>
        <v/>
      </c>
      <c r="CS15" s="157">
        <f>IF( CS$1= 0,"",$Q15-$S15+BE15-CB15)</f>
        <v/>
      </c>
      <c r="CT15" s="157">
        <f>IF( CT$1= 0,"",$Q15-$S15+BF15-CC15)</f>
        <v/>
      </c>
      <c r="CU15" s="158">
        <f>IF( CU$1= 0,"",$Q15-$S15+BG15-CD15)</f>
        <v/>
      </c>
      <c r="CV15" s="158">
        <f>IF( CV$1= 0,"",$Q15-$S15+BH15-CE15)</f>
        <v/>
      </c>
      <c r="CW15" s="158">
        <f>IF( CW$1= 0,"",$Q15-$S15+BI15-CF15)</f>
        <v/>
      </c>
      <c r="CX15" s="158">
        <f>IF( CX$1= 0,"",$Q15-$S15+BJ15-CG15)</f>
        <v/>
      </c>
      <c r="CY15" s="143">
        <f>IF( CY$1= 0,"",$Q15-$S15+BK15-CH15)</f>
        <v/>
      </c>
      <c r="CZ15" s="143">
        <f>IF( CZ$1= 0,"",$Q15-$S15+BL15-CI15)</f>
        <v/>
      </c>
      <c r="DA15" s="144">
        <f>IF( DA$1= 0,"",$Q15-$S15+BM15-CJ15)</f>
        <v/>
      </c>
    </row>
    <row r="16" ht="17.25" customHeight="1" thickBot="1">
      <c r="A16" s="145" t="n">
        <v>2</v>
      </c>
      <c r="B16" s="146" t="inlineStr">
        <is>
          <t>RCU-R(2p)1</t>
        </is>
      </c>
      <c r="C16" s="146" t="inlineStr">
        <is>
          <t>Radiated</t>
        </is>
      </c>
      <c r="D16" s="147" t="inlineStr">
        <is>
          <t>Greenheck</t>
        </is>
      </c>
      <c r="E16" s="205" t="inlineStr">
        <is>
          <t>MXZ-5C42</t>
        </is>
      </c>
      <c r="F16" s="213" t="n"/>
      <c r="G16" s="214" t="n"/>
      <c r="H16" s="214" t="n"/>
      <c r="I16" s="214" t="n"/>
      <c r="J16" s="214" t="n"/>
      <c r="K16" s="214" t="n"/>
      <c r="L16" s="214" t="n"/>
      <c r="M16" s="218" t="n"/>
      <c r="N16" s="213" t="n">
        <v>58</v>
      </c>
      <c r="O16" s="215" t="n">
        <v>5</v>
      </c>
      <c r="P16" s="208" t="n">
        <v>1</v>
      </c>
      <c r="Q16" s="128">
        <f>ROUND(IF(AND(A16&gt;0, O16&gt;0), N16+ABS(10*LOG10(P16/(4*PI()*CONVERT(O16,"ft", "m")^2))), N16),0)</f>
        <v/>
      </c>
      <c r="R16" s="3" t="n">
        <v>2</v>
      </c>
      <c r="S16" s="3" t="n"/>
      <c r="T16" s="214" t="n">
        <v>116.44</v>
      </c>
      <c r="U16" s="214" t="n">
        <v>96.13</v>
      </c>
      <c r="V16" s="109">
        <f>SUM(W16:X16)</f>
        <v/>
      </c>
      <c r="W16" s="81" t="n">
        <v>70</v>
      </c>
      <c r="X16" s="148" t="n">
        <v>4</v>
      </c>
      <c r="Z16" s="10" t="n"/>
      <c r="AA16" s="6" t="n"/>
      <c r="AB16" s="6" t="n"/>
      <c r="AC16" s="104" t="n"/>
      <c r="AD16" s="8" t="n"/>
      <c r="AE16" s="2" t="str"/>
      <c r="AH16" s="168">
        <f t="array" ref="AH16">IF(AH$1=0,"",SQRT((_xlfn.XLOOKUP(AH$1,$Z$2:$Z$18,$AA$2:$AA$18)-$T16)^2+(_xlfn.XLOOKUP(AH$1,$Z$2:$Z$18,$AB$2:$AB$18)-$U16)^2+(_xlfn.XLOOKUP(AH$1,$Z$2:$Z$18,$AC$2:$AC$18-$V16)^2)))</f>
        <v/>
      </c>
      <c r="AI16" s="150">
        <f t="array" ref="AI16">IF(AI$1=0,"",SQRT((_xlfn.XLOOKUP(AI$1,$Z$2:$Z$18,$AA$2:$AA$18)-$T16)^2+(_xlfn.XLOOKUP(AI$1,$Z$2:$Z$18,$AB$2:$AB$18)-$U16)^2+(_xlfn.XLOOKUP(AI$1,$Z$2:$Z$18,$AC$2:$AC$18-$V16)^2)))</f>
        <v/>
      </c>
      <c r="AJ16" s="150">
        <f t="array" ref="AJ16">IF(AJ$1=0,"",SQRT((_xlfn.XLOOKUP(AJ$1,$Z$2:$Z$18,$AA$2:$AA$18)-$T16)^2+(_xlfn.XLOOKUP(AJ$1,$Z$2:$Z$18,$AB$2:$AB$18)-$U16)^2+(_xlfn.XLOOKUP(AJ$1,$Z$2:$Z$18,$AC$2:$AC$18-$V16)^2)))</f>
        <v/>
      </c>
      <c r="AK16" s="150">
        <f t="array" ref="AK16">IF(AK$1=0,"",SQRT((_xlfn.XLOOKUP(AK$1,$Z$2:$Z$18,$AA$2:$AA$18)-$T16)^2+(_xlfn.XLOOKUP(AK$1,$Z$2:$Z$18,$AB$2:$AB$18)-$U16)^2+(_xlfn.XLOOKUP(AK$1,$Z$2:$Z$18,$AC$2:$AC$18-$V16)^2)))</f>
        <v/>
      </c>
      <c r="AL16" s="150">
        <f t="array" ref="AL16">IF(AL$1=0,"",SQRT((_xlfn.XLOOKUP(AL$1,$Z$2:$Z$18,$AA$2:$AA$18)-$T16)^2+(_xlfn.XLOOKUP(AL$1,$Z$2:$Z$18,$AB$2:$AB$18)-$U16)^2+(_xlfn.XLOOKUP(AL$1,$Z$2:$Z$18,$AC$2:$AC$18-$V16)^2)))</f>
        <v/>
      </c>
      <c r="AM16" s="150">
        <f t="array" ref="AM16">IF(AM$1=0,"",SQRT((_xlfn.XLOOKUP(AM$1,$Z$2:$Z$18,$AA$2:$AA$18)-$T16)^2+(_xlfn.XLOOKUP(AM$1,$Z$2:$Z$18,$AB$2:$AB$18)-$U16)^2+(_xlfn.XLOOKUP(AM$1,$Z$2:$Z$18,$AC$2:$AC$18-$V16)^2)))</f>
        <v/>
      </c>
      <c r="AN16" s="150">
        <f t="array" ref="AN16">IF(AN$1=0,"",SQRT((_xlfn.XLOOKUP(AN$1,$Z$2:$Z$18,$AA$2:$AA$18)-$T16)^2+(_xlfn.XLOOKUP(AN$1,$Z$2:$Z$18,$AB$2:$AB$18)-$U16)^2+(_xlfn.XLOOKUP(AN$1,$Z$2:$Z$18,$AC$2:$AC$18-$V16)^2)))</f>
        <v/>
      </c>
      <c r="AO16" s="150">
        <f t="array" ref="AO16">IF(AO$1=0,"",SQRT((_xlfn.XLOOKUP(AO$1,$Z$2:$Z$18,$AA$2:$AA$18)-$T16)^2+(_xlfn.XLOOKUP(AO$1,$Z$2:$Z$18,$AB$2:$AB$18)-$U16)^2+(_xlfn.XLOOKUP(AO$1,$Z$2:$Z$18,$AC$2:$AC$18-$V16)^2)))</f>
        <v/>
      </c>
      <c r="AP16" s="151">
        <f t="array" ref="AP16">IF(AP$1=0,"",SQRT((_xlfn.XLOOKUP(AP$1,$Z$2:$Z$18,$AA$2:$AA$18)-$T16)^2+(_xlfn.XLOOKUP(AP$1,$Z$2:$Z$18,$AB$2:$AB$18)-$U16)^2+(_xlfn.XLOOKUP(AP$1,$Z$2:$Z$18,$AC$2:$AC$18-$V16)^2)))</f>
        <v/>
      </c>
      <c r="AQ16" s="151">
        <f t="array" ref="AQ16">IF(AQ$1=0,"",SQRT((_xlfn.XLOOKUP(AQ$1,$Z$2:$Z$18,$AA$2:$AA$18)-$T16)^2+(_xlfn.XLOOKUP(AQ$1,$Z$2:$Z$18,$AB$2:$AB$18)-$U16)^2+(_xlfn.XLOOKUP(AQ$1,$Z$2:$Z$18,$AC$2:$AC$18-$V16)^2)))</f>
        <v/>
      </c>
      <c r="AR16" s="151">
        <f t="array" ref="AR16">IF(AR$1=0,"",SQRT((_xlfn.XLOOKUP(AR$1,$Z$2:$Z$18,$AA$2:$AA$18)-$T16)^2+(_xlfn.XLOOKUP(AR$1,$Z$2:$Z$18,$AB$2:$AB$18)-$U16)^2+(_xlfn.XLOOKUP(AR$1,$Z$2:$Z$18,$AC$2:$AC$18-$V16)^2)))</f>
        <v/>
      </c>
      <c r="AS16" s="151">
        <f t="array" ref="AS16">IF(AS$1=0,"",SQRT((_xlfn.XLOOKUP(AS$1,$Z$2:$Z$18,$AA$2:$AA$18)-$T16)^2+(_xlfn.XLOOKUP(AS$1,$Z$2:$Z$18,$AB$2:$AB$18)-$U16)^2+(_xlfn.XLOOKUP(AS$1,$Z$2:$Z$18,$AC$2:$AC$18-$V16)^2)))</f>
        <v/>
      </c>
      <c r="AT16" s="151">
        <f t="array" ref="AT16">IF(AT$1=0,"",SQRT((_xlfn.XLOOKUP(AT$1,$Z$2:$Z$18,$AA$2:$AA$18)-$T16)^2+(_xlfn.XLOOKUP(AT$1,$Z$2:$Z$18,$AB$2:$AB$18)-$U16)^2+(_xlfn.XLOOKUP(AT$1,$Z$2:$Z$18,$AC$2:$AC$18-$V16)^2)))</f>
        <v/>
      </c>
      <c r="AU16" s="151">
        <f t="array" ref="AU16">IF(AU$1=0,"",SQRT((_xlfn.XLOOKUP(AU$1,$Z$2:$Z$18,$AA$2:$AA$18)-$T16)^2+(_xlfn.XLOOKUP(AU$1,$Z$2:$Z$18,$AB$2:$AB$18)-$U16)^2+(_xlfn.XLOOKUP(AU$1,$Z$2:$Z$18,$AC$2:$AC$18-$V16)^2)))</f>
        <v/>
      </c>
      <c r="AV16" s="152">
        <f t="array" ref="AV16">IF(AV$1=0,"",SQRT((_xlfn.XLOOKUP(AV$1,$Z$2:$Z$18,$AA$2:$AA$18)-$T16)^2+(_xlfn.XLOOKUP(AV$1,$Z$2:$Z$18,$AB$2:$AB$18)-$U16)^2+(_xlfn.XLOOKUP(AV$1,$Z$2:$Z$18,$AC$2:$AC$18-$V16)^2)))</f>
        <v/>
      </c>
      <c r="AW16" s="134" t="n"/>
      <c r="AX16" s="134" t="n"/>
      <c r="AY16" s="135">
        <f>IFERROR(-ABS(10*LOG10(($R16/(4*PI()*CONVERT(AH16,"ft","m")^2)))),0)</f>
        <v/>
      </c>
      <c r="AZ16" s="153">
        <f>IFERROR(-ABS(10*LOG10(($R16/(4*PI()*CONVERT(AI16,"ft","m")^2)))),0)</f>
        <v/>
      </c>
      <c r="BA16" s="153">
        <f>IFERROR(-ABS(10*LOG10(($R16/(4*PI()*CONVERT(AJ16,"ft","m")^2)))),0)</f>
        <v/>
      </c>
      <c r="BB16" s="153">
        <f>IFERROR(-ABS(10*LOG10(($R16/(4*PI()*CONVERT(AK16,"ft","m")^2)))),0)</f>
        <v/>
      </c>
      <c r="BC16" s="153">
        <f>IFERROR(-ABS(10*LOG10(($R16/(4*PI()*CONVERT(AL16,"ft","m")^2)))),0)</f>
        <v/>
      </c>
      <c r="BD16" s="153">
        <f>IFERROR(-ABS(10*LOG10(($R16/(4*PI()*CONVERT(AM16,"ft","m")^2)))),0)</f>
        <v/>
      </c>
      <c r="BE16" s="153">
        <f>IFERROR(-ABS(10*LOG10(($R16/(4*PI()*CONVERT(AN16,"ft","m")^2)))),0)</f>
        <v/>
      </c>
      <c r="BF16" s="153">
        <f>IFERROR(-ABS(10*LOG10(($R16/(4*PI()*CONVERT(AO16,"ft","m")^2)))),0)</f>
        <v/>
      </c>
      <c r="BG16" s="154">
        <f>IFERROR(-ABS(10*LOG10(($R16/(4*PI()*CONVERT(AP16,"ft","m")^2)))),0)</f>
        <v/>
      </c>
      <c r="BH16" s="154">
        <f>IFERROR(-ABS(10*LOG10(($R16/(4*PI()*CONVERT(AQ16,"ft","m")^2)))),0)</f>
        <v/>
      </c>
      <c r="BI16" s="154">
        <f>IFERROR(-ABS(10*LOG10(($R16/(4*PI()*CONVERT(AR16,"ft","m")^2)))),0)</f>
        <v/>
      </c>
      <c r="BJ16" s="154">
        <f>IFERROR(-ABS(10*LOG10(($R16/(4*PI()*CONVERT(AS16,"ft","m")^2)))),0)</f>
        <v/>
      </c>
      <c r="BK16" s="154">
        <f>IFERROR(-ABS(10*LOG10(($R16/(4*PI()*CONVERT(AT16,"ft","m")^2)))),0)</f>
        <v/>
      </c>
      <c r="BL16" s="154">
        <f>IFERROR(-ABS(10*LOG10(($R16/(4*PI()*CONVERT(AU16,"ft","m")^2)))),0)</f>
        <v/>
      </c>
      <c r="BM16" s="155">
        <f>IFERROR(-ABS(10*LOG10(($R16/(4*PI()*CONVERT(AV16,"ft","m")^2)))),0)</f>
        <v/>
      </c>
      <c r="BN16" s="134" t="n"/>
      <c r="BO16" s="42" t="inlineStr">
        <is>
          <t>min(height)</t>
        </is>
      </c>
      <c r="BP16" s="119">
        <f>MIN(BS6:BS7)</f>
        <v/>
      </c>
      <c r="BQ16" s="134" t="n"/>
      <c r="BR16" s="134" t="n"/>
      <c r="BS16" s="134" t="n"/>
      <c r="BT16" s="134" t="n"/>
      <c r="BU16" s="134" t="n"/>
      <c r="BV16" s="140" t="n"/>
      <c r="BW16" s="140" t="n"/>
      <c r="BX16" s="140" t="n"/>
      <c r="BY16" s="140" t="n"/>
      <c r="BZ16" s="140" t="n"/>
      <c r="CA16" s="140" t="n"/>
      <c r="CB16" s="140" t="n"/>
      <c r="CC16" s="140" t="n"/>
      <c r="CD16" s="140" t="n"/>
      <c r="CE16" s="140" t="n"/>
      <c r="CF16" s="140" t="n"/>
      <c r="CG16" s="140" t="n"/>
      <c r="CH16" s="140" t="n"/>
      <c r="CI16" s="140" t="n"/>
      <c r="CJ16" s="140" t="n"/>
      <c r="CK16" s="134" t="n"/>
      <c r="CL16" s="134" t="n"/>
      <c r="CM16" s="156">
        <f>IF( CM$1= 0,"",$Q16-$S16+AY16-BV16)</f>
        <v/>
      </c>
      <c r="CN16" s="157">
        <f>IF( CN$1= 0,"",$Q16-$S16+AZ16-BW16)</f>
        <v/>
      </c>
      <c r="CO16" s="157">
        <f>IF( CO$1= 0,"",$Q16-$S16+BA16-BX16)</f>
        <v/>
      </c>
      <c r="CP16" s="157">
        <f>IF( CP$1= 0,"",$Q16-$S16+BB16-BY16)</f>
        <v/>
      </c>
      <c r="CQ16" s="157">
        <f>IF( CQ$1= 0,"",$Q16-$S16+BC16-BZ16)</f>
        <v/>
      </c>
      <c r="CR16" s="157">
        <f>IF( CR$1= 0,"",$Q16-$S16+BD16-CA16)</f>
        <v/>
      </c>
      <c r="CS16" s="157">
        <f>IF( CS$1= 0,"",$Q16-$S16+BE16-CB16)</f>
        <v/>
      </c>
      <c r="CT16" s="157">
        <f>IF( CT$1= 0,"",$Q16-$S16+BF16-CC16)</f>
        <v/>
      </c>
      <c r="CU16" s="158">
        <f>IF( CU$1= 0,"",$Q16-$S16+BG16-CD16)</f>
        <v/>
      </c>
      <c r="CV16" s="158">
        <f>IF( CV$1= 0,"",$Q16-$S16+BH16-CE16)</f>
        <v/>
      </c>
      <c r="CW16" s="158">
        <f>IF( CW$1= 0,"",$Q16-$S16+BI16-CF16)</f>
        <v/>
      </c>
      <c r="CX16" s="158">
        <f>IF( CX$1= 0,"",$Q16-$S16+BJ16-CG16)</f>
        <v/>
      </c>
      <c r="CY16" s="143">
        <f>IF( CY$1= 0,"",$Q16-$S16+BK16-CH16)</f>
        <v/>
      </c>
      <c r="CZ16" s="143">
        <f>IF( CZ$1= 0,"",$Q16-$S16+BL16-CI16)</f>
        <v/>
      </c>
      <c r="DA16" s="144">
        <f>IF( DA$1= 0,"",$Q16-$S16+BM16-CJ16)</f>
        <v/>
      </c>
    </row>
    <row r="17" ht="17.25" customHeight="1" thickBot="1">
      <c r="A17" s="145" t="n">
        <v>4</v>
      </c>
      <c r="B17" s="146" t="inlineStr">
        <is>
          <t>RCU-R(4p)4</t>
        </is>
      </c>
      <c r="C17" s="146" t="inlineStr">
        <is>
          <t>Radiated</t>
        </is>
      </c>
      <c r="D17" s="147" t="inlineStr">
        <is>
          <t>Greenheck</t>
        </is>
      </c>
      <c r="E17" s="205" t="inlineStr">
        <is>
          <t>MXZ-5C42</t>
        </is>
      </c>
      <c r="F17" s="213" t="n"/>
      <c r="G17" s="214" t="n"/>
      <c r="H17" s="214" t="n"/>
      <c r="I17" s="214" t="n"/>
      <c r="J17" s="214" t="n"/>
      <c r="K17" s="214" t="n"/>
      <c r="L17" s="214" t="n"/>
      <c r="M17" s="218" t="n"/>
      <c r="N17" s="213" t="n">
        <v>58</v>
      </c>
      <c r="O17" s="215" t="n">
        <v>5</v>
      </c>
      <c r="P17" s="208" t="n">
        <v>1</v>
      </c>
      <c r="Q17" s="128">
        <f>ROUND(IF(AND(A17&gt;0, O17&gt;0), N17+ABS(10*LOG10(P17/(4*PI()*CONVERT(O17,"ft", "m")^2))), N17),0)</f>
        <v/>
      </c>
      <c r="R17" s="3" t="n">
        <v>2</v>
      </c>
      <c r="S17" s="3" t="n"/>
      <c r="T17" s="214" t="n">
        <v>88.52</v>
      </c>
      <c r="U17" s="214" t="n">
        <v>90.33</v>
      </c>
      <c r="V17" s="109">
        <f>SUM(W17:X17)</f>
        <v/>
      </c>
      <c r="W17" s="81" t="n">
        <v>70</v>
      </c>
      <c r="X17" s="148" t="n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/>
      </c>
      <c r="AI17" s="150">
        <f t="array" ref="AI17">IF(AI$1=0,"",SQRT((_xlfn.XLOOKUP(AI$1,$Z$2:$Z$18,$AA$2:$AA$18)-$T17)^2+(_xlfn.XLOOKUP(AI$1,$Z$2:$Z$18,$AB$2:$AB$18)-$U17)^2+(_xlfn.XLOOKUP(AI$1,$Z$2:$Z$18,$AC$2:$AC$18-$V17)^2)))</f>
        <v/>
      </c>
      <c r="AJ17" s="150">
        <f t="array" ref="AJ17">IF(AJ$1=0,"",SQRT((_xlfn.XLOOKUP(AJ$1,$Z$2:$Z$18,$AA$2:$AA$18)-$T17)^2+(_xlfn.XLOOKUP(AJ$1,$Z$2:$Z$18,$AB$2:$AB$18)-$U17)^2+(_xlfn.XLOOKUP(AJ$1,$Z$2:$Z$18,$AC$2:$AC$18-$V17)^2)))</f>
        <v/>
      </c>
      <c r="AK17" s="150">
        <f t="array" ref="AK17">IF(AK$1=0,"",SQRT((_xlfn.XLOOKUP(AK$1,$Z$2:$Z$18,$AA$2:$AA$18)-$T17)^2+(_xlfn.XLOOKUP(AK$1,$Z$2:$Z$18,$AB$2:$AB$18)-$U17)^2+(_xlfn.XLOOKUP(AK$1,$Z$2:$Z$18,$AC$2:$AC$18-$V17)^2)))</f>
        <v/>
      </c>
      <c r="AL17" s="150">
        <f t="array" ref="AL17">IF(AL$1=0,"",SQRT((_xlfn.XLOOKUP(AL$1,$Z$2:$Z$18,$AA$2:$AA$18)-$T17)^2+(_xlfn.XLOOKUP(AL$1,$Z$2:$Z$18,$AB$2:$AB$18)-$U17)^2+(_xlfn.XLOOKUP(AL$1,$Z$2:$Z$18,$AC$2:$AC$18-$V17)^2)))</f>
        <v/>
      </c>
      <c r="AM17" s="150">
        <f t="array" ref="AM17">IF(AM$1=0,"",SQRT((_xlfn.XLOOKUP(AM$1,$Z$2:$Z$18,$AA$2:$AA$18)-$T17)^2+(_xlfn.XLOOKUP(AM$1,$Z$2:$Z$18,$AB$2:$AB$18)-$U17)^2+(_xlfn.XLOOKUP(AM$1,$Z$2:$Z$18,$AC$2:$AC$18-$V17)^2)))</f>
        <v/>
      </c>
      <c r="AN17" s="150">
        <f t="array" ref="AN17">IF(AN$1=0,"",SQRT((_xlfn.XLOOKUP(AN$1,$Z$2:$Z$18,$AA$2:$AA$18)-$T17)^2+(_xlfn.XLOOKUP(AN$1,$Z$2:$Z$18,$AB$2:$AB$18)-$U17)^2+(_xlfn.XLOOKUP(AN$1,$Z$2:$Z$18,$AC$2:$AC$18-$V17)^2)))</f>
        <v/>
      </c>
      <c r="AO17" s="150">
        <f t="array" ref="AO17">IF(AO$1=0,"",SQRT((_xlfn.XLOOKUP(AO$1,$Z$2:$Z$18,$AA$2:$AA$18)-$T17)^2+(_xlfn.XLOOKUP(AO$1,$Z$2:$Z$18,$AB$2:$AB$18)-$U17)^2+(_xlfn.XLOOKUP(AO$1,$Z$2:$Z$18,$AC$2:$AC$18-$V17)^2)))</f>
        <v/>
      </c>
      <c r="AP17" s="151">
        <f t="array" ref="AP17">IF(AP$1=0,"",SQRT((_xlfn.XLOOKUP(AP$1,$Z$2:$Z$18,$AA$2:$AA$18)-$T17)^2+(_xlfn.XLOOKUP(AP$1,$Z$2:$Z$18,$AB$2:$AB$18)-$U17)^2+(_xlfn.XLOOKUP(AP$1,$Z$2:$Z$18,$AC$2:$AC$18-$V17)^2)))</f>
        <v/>
      </c>
      <c r="AQ17" s="151">
        <f t="array" ref="AQ17">IF(AQ$1=0,"",SQRT((_xlfn.XLOOKUP(AQ$1,$Z$2:$Z$18,$AA$2:$AA$18)-$T17)^2+(_xlfn.XLOOKUP(AQ$1,$Z$2:$Z$18,$AB$2:$AB$18)-$U17)^2+(_xlfn.XLOOKUP(AQ$1,$Z$2:$Z$18,$AC$2:$AC$18-$V17)^2)))</f>
        <v/>
      </c>
      <c r="AR17" s="151">
        <f t="array" ref="AR17">IF(AR$1=0,"",SQRT((_xlfn.XLOOKUP(AR$1,$Z$2:$Z$18,$AA$2:$AA$18)-$T17)^2+(_xlfn.XLOOKUP(AR$1,$Z$2:$Z$18,$AB$2:$AB$18)-$U17)^2+(_xlfn.XLOOKUP(AR$1,$Z$2:$Z$18,$AC$2:$AC$18-$V17)^2)))</f>
        <v/>
      </c>
      <c r="AS17" s="151">
        <f t="array" ref="AS17">IF(AS$1=0,"",SQRT((_xlfn.XLOOKUP(AS$1,$Z$2:$Z$18,$AA$2:$AA$18)-$T17)^2+(_xlfn.XLOOKUP(AS$1,$Z$2:$Z$18,$AB$2:$AB$18)-$U17)^2+(_xlfn.XLOOKUP(AS$1,$Z$2:$Z$18,$AC$2:$AC$18-$V17)^2)))</f>
        <v/>
      </c>
      <c r="AT17" s="151">
        <f t="array" ref="AT17">IF(AT$1=0,"",SQRT((_xlfn.XLOOKUP(AT$1,$Z$2:$Z$18,$AA$2:$AA$18)-$T17)^2+(_xlfn.XLOOKUP(AT$1,$Z$2:$Z$18,$AB$2:$AB$18)-$U17)^2+(_xlfn.XLOOKUP(AT$1,$Z$2:$Z$18,$AC$2:$AC$18-$V17)^2)))</f>
        <v/>
      </c>
      <c r="AU17" s="151">
        <f t="array" ref="AU17">IF(AU$1=0,"",SQRT((_xlfn.XLOOKUP(AU$1,$Z$2:$Z$18,$AA$2:$AA$18)-$T17)^2+(_xlfn.XLOOKUP(AU$1,$Z$2:$Z$18,$AB$2:$AB$18)-$U17)^2+(_xlfn.XLOOKUP(AU$1,$Z$2:$Z$18,$AC$2:$AC$18-$V17)^2)))</f>
        <v/>
      </c>
      <c r="AV17" s="152">
        <f t="array" ref="AV17">IF(AV$1=0,"",SQRT((_xlfn.XLOOKUP(AV$1,$Z$2:$Z$18,$AA$2:$AA$18)-$T17)^2+(_xlfn.XLOOKUP(AV$1,$Z$2:$Z$18,$AB$2:$AB$18)-$U17)^2+(_xlfn.XLOOKUP(AV$1,$Z$2:$Z$18,$AC$2:$AC$18-$V17)^2)))</f>
        <v/>
      </c>
      <c r="AW17" s="134" t="n"/>
      <c r="AX17" s="134" t="n"/>
      <c r="AY17" s="135">
        <f>IFERROR(-ABS(10*LOG10(($R17/(4*PI()*CONVERT(AH17,"ft","m")^2)))),0)</f>
        <v/>
      </c>
      <c r="AZ17" s="153">
        <f>IFERROR(-ABS(10*LOG10(($R17/(4*PI()*CONVERT(AI17,"ft","m")^2)))),0)</f>
        <v/>
      </c>
      <c r="BA17" s="153">
        <f>IFERROR(-ABS(10*LOG10(($R17/(4*PI()*CONVERT(AJ17,"ft","m")^2)))),0)</f>
        <v/>
      </c>
      <c r="BB17" s="153">
        <f>IFERROR(-ABS(10*LOG10(($R17/(4*PI()*CONVERT(AK17,"ft","m")^2)))),0)</f>
        <v/>
      </c>
      <c r="BC17" s="153">
        <f>IFERROR(-ABS(10*LOG10(($R17/(4*PI()*CONVERT(AL17,"ft","m")^2)))),0)</f>
        <v/>
      </c>
      <c r="BD17" s="153">
        <f>IFERROR(-ABS(10*LOG10(($R17/(4*PI()*CONVERT(AM17,"ft","m")^2)))),0)</f>
        <v/>
      </c>
      <c r="BE17" s="153">
        <f>IFERROR(-ABS(10*LOG10(($R17/(4*PI()*CONVERT(AN17,"ft","m")^2)))),0)</f>
        <v/>
      </c>
      <c r="BF17" s="153">
        <f>IFERROR(-ABS(10*LOG10(($R17/(4*PI()*CONVERT(AO17,"ft","m")^2)))),0)</f>
        <v/>
      </c>
      <c r="BG17" s="154">
        <f>IFERROR(-ABS(10*LOG10(($R17/(4*PI()*CONVERT(AP17,"ft","m")^2)))),0)</f>
        <v/>
      </c>
      <c r="BH17" s="154">
        <f>IFERROR(-ABS(10*LOG10(($R17/(4*PI()*CONVERT(AQ17,"ft","m")^2)))),0)</f>
        <v/>
      </c>
      <c r="BI17" s="154">
        <f>IFERROR(-ABS(10*LOG10(($R17/(4*PI()*CONVERT(AR17,"ft","m")^2)))),0)</f>
        <v/>
      </c>
      <c r="BJ17" s="154">
        <f>IFERROR(-ABS(10*LOG10(($R17/(4*PI()*CONVERT(AS17,"ft","m")^2)))),0)</f>
        <v/>
      </c>
      <c r="BK17" s="154">
        <f>IFERROR(-ABS(10*LOG10(($R17/(4*PI()*CONVERT(AT17,"ft","m")^2)))),0)</f>
        <v/>
      </c>
      <c r="BL17" s="154">
        <f>IFERROR(-ABS(10*LOG10(($R17/(4*PI()*CONVERT(AU17,"ft","m")^2)))),0)</f>
        <v/>
      </c>
      <c r="BM17" s="155">
        <f>IFERROR(-ABS(10*LOG10(($R17/(4*PI()*CONVERT(AV17,"ft","m")^2)))),0)</f>
        <v/>
      </c>
      <c r="BN17" s="134" t="n"/>
      <c r="BO17" s="44" t="inlineStr">
        <is>
          <t>height difference</t>
        </is>
      </c>
      <c r="BP17" s="120">
        <f>ABS(BS6-BS7)</f>
        <v/>
      </c>
      <c r="BQ17" s="134" t="n"/>
      <c r="BR17" s="134" t="n"/>
      <c r="BS17" s="134" t="n"/>
      <c r="BT17" s="134" t="n"/>
      <c r="BU17" s="134" t="n"/>
      <c r="BV17" s="140" t="n"/>
      <c r="BW17" s="140" t="n"/>
      <c r="BX17" s="140" t="n"/>
      <c r="BY17" s="140" t="n"/>
      <c r="BZ17" s="140" t="n"/>
      <c r="CA17" s="140" t="n"/>
      <c r="CB17" s="140" t="n"/>
      <c r="CC17" s="140" t="n"/>
      <c r="CD17" s="140" t="n"/>
      <c r="CE17" s="140" t="n"/>
      <c r="CF17" s="140" t="n"/>
      <c r="CG17" s="140" t="n"/>
      <c r="CH17" s="140" t="n"/>
      <c r="CI17" s="140" t="n"/>
      <c r="CJ17" s="140" t="n"/>
      <c r="CK17" s="134" t="n"/>
      <c r="CL17" s="134" t="n"/>
      <c r="CM17" s="156">
        <f>IF( CM$1= 0,"",$Q17-$S17+AY17-BV17)</f>
        <v/>
      </c>
      <c r="CN17" s="157">
        <f>IF( CN$1= 0,"",$Q17-$S17+AZ17-BW17)</f>
        <v/>
      </c>
      <c r="CO17" s="157">
        <f>IF( CO$1= 0,"",$Q17-$S17+BA17-BX17)</f>
        <v/>
      </c>
      <c r="CP17" s="157">
        <f>IF( CP$1= 0,"",$Q17-$S17+BB17-BY17)</f>
        <v/>
      </c>
      <c r="CQ17" s="157">
        <f>IF( CQ$1= 0,"",$Q17-$S17+BC17-BZ17)</f>
        <v/>
      </c>
      <c r="CR17" s="157">
        <f>IF( CR$1= 0,"",$Q17-$S17+BD17-CA17)</f>
        <v/>
      </c>
      <c r="CS17" s="157">
        <f>IF( CS$1= 0,"",$Q17-$S17+BE17-CB17)</f>
        <v/>
      </c>
      <c r="CT17" s="157">
        <f>IF( CT$1= 0,"",$Q17-$S17+BF17-CC17)</f>
        <v/>
      </c>
      <c r="CU17" s="158">
        <f>IF( CU$1= 0,"",$Q17-$S17+BG17-CD17)</f>
        <v/>
      </c>
      <c r="CV17" s="158">
        <f>IF( CV$1= 0,"",$Q17-$S17+BH17-CE17)</f>
        <v/>
      </c>
      <c r="CW17" s="158">
        <f>IF( CW$1= 0,"",$Q17-$S17+BI17-CF17)</f>
        <v/>
      </c>
      <c r="CX17" s="158">
        <f>IF( CX$1= 0,"",$Q17-$S17+BJ17-CG17)</f>
        <v/>
      </c>
      <c r="CY17" s="143">
        <f>IF( CY$1= 0,"",$Q17-$S17+BK17-CH17)</f>
        <v/>
      </c>
      <c r="CZ17" s="143">
        <f>IF( CZ$1= 0,"",$Q17-$S17+BL17-CI17)</f>
        <v/>
      </c>
      <c r="DA17" s="144">
        <f>IF( DA$1= 0,"",$Q17-$S17+BM17-CJ17)</f>
        <v/>
      </c>
    </row>
    <row r="18" ht="17.25" customHeight="1" thickBot="1">
      <c r="A18" s="145" t="n">
        <v>2</v>
      </c>
      <c r="B18" s="146" t="inlineStr">
        <is>
          <t>RCU-R(2p)2</t>
        </is>
      </c>
      <c r="C18" s="146" t="inlineStr">
        <is>
          <t>Radiated</t>
        </is>
      </c>
      <c r="D18" s="147" t="inlineStr">
        <is>
          <t>Greenheck</t>
        </is>
      </c>
      <c r="E18" s="205" t="inlineStr">
        <is>
          <t>MXZ-5C42</t>
        </is>
      </c>
      <c r="F18" s="213" t="n"/>
      <c r="G18" s="214" t="n"/>
      <c r="H18" s="214" t="n"/>
      <c r="I18" s="214" t="n"/>
      <c r="J18" s="214" t="n"/>
      <c r="K18" s="214" t="n"/>
      <c r="L18" s="214" t="n"/>
      <c r="M18" s="218" t="n"/>
      <c r="N18" s="213" t="n">
        <v>58</v>
      </c>
      <c r="O18" s="215" t="n">
        <v>5</v>
      </c>
      <c r="P18" s="208" t="n">
        <v>1</v>
      </c>
      <c r="Q18" s="128">
        <f>ROUND(IF(AND(A18&gt;0, O18&gt;0), N18+ABS(10*LOG10(P18/(4*PI()*CONVERT(O18,"ft", "m")^2))), N18),0)</f>
        <v/>
      </c>
      <c r="R18" s="3" t="n">
        <v>2</v>
      </c>
      <c r="S18" s="3" t="n"/>
      <c r="T18" s="214" t="n">
        <v>73.84999999999999</v>
      </c>
      <c r="U18" s="214" t="n">
        <v>112.39</v>
      </c>
      <c r="V18" s="109">
        <f>SUM(W18:X18)</f>
        <v/>
      </c>
      <c r="W18" s="81" t="n">
        <v>70</v>
      </c>
      <c r="X18" s="148" t="n">
        <v>4</v>
      </c>
      <c r="AE18" s="24" t="inlineStr">
        <is>
          <t>Master_Scale</t>
        </is>
      </c>
      <c r="AH18" s="168">
        <f t="array" ref="AH18">IF(AH$1=0,"",SQRT((_xlfn.XLOOKUP(AH$1,$Z$2:$Z$18,$AA$2:$AA$18)-$T18)^2+(_xlfn.XLOOKUP(AH$1,$Z$2:$Z$18,$AB$2:$AB$18)-$U18)^2+(_xlfn.XLOOKUP(AH$1,$Z$2:$Z$18,$AC$2:$AC$18-$V18)^2)))</f>
        <v/>
      </c>
      <c r="AI18" s="150">
        <f t="array" ref="AI18">IF(AI$1=0,"",SQRT((_xlfn.XLOOKUP(AI$1,$Z$2:$Z$18,$AA$2:$AA$18)-$T18)^2+(_xlfn.XLOOKUP(AI$1,$Z$2:$Z$18,$AB$2:$AB$18)-$U18)^2+(_xlfn.XLOOKUP(AI$1,$Z$2:$Z$18,$AC$2:$AC$18-$V18)^2)))</f>
        <v/>
      </c>
      <c r="AJ18" s="150">
        <f t="array" ref="AJ18">IF(AJ$1=0,"",SQRT((_xlfn.XLOOKUP(AJ$1,$Z$2:$Z$18,$AA$2:$AA$18)-$T18)^2+(_xlfn.XLOOKUP(AJ$1,$Z$2:$Z$18,$AB$2:$AB$18)-$U18)^2+(_xlfn.XLOOKUP(AJ$1,$Z$2:$Z$18,$AC$2:$AC$18-$V18)^2)))</f>
        <v/>
      </c>
      <c r="AK18" s="150">
        <f t="array" ref="AK18">IF(AK$1=0,"",SQRT((_xlfn.XLOOKUP(AK$1,$Z$2:$Z$18,$AA$2:$AA$18)-$T18)^2+(_xlfn.XLOOKUP(AK$1,$Z$2:$Z$18,$AB$2:$AB$18)-$U18)^2+(_xlfn.XLOOKUP(AK$1,$Z$2:$Z$18,$AC$2:$AC$18-$V18)^2)))</f>
        <v/>
      </c>
      <c r="AL18" s="150">
        <f t="array" ref="AL18">IF(AL$1=0,"",SQRT((_xlfn.XLOOKUP(AL$1,$Z$2:$Z$18,$AA$2:$AA$18)-$T18)^2+(_xlfn.XLOOKUP(AL$1,$Z$2:$Z$18,$AB$2:$AB$18)-$U18)^2+(_xlfn.XLOOKUP(AL$1,$Z$2:$Z$18,$AC$2:$AC$18-$V18)^2)))</f>
        <v/>
      </c>
      <c r="AM18" s="150">
        <f t="array" ref="AM18">IF(AM$1=0,"",SQRT((_xlfn.XLOOKUP(AM$1,$Z$2:$Z$18,$AA$2:$AA$18)-$T18)^2+(_xlfn.XLOOKUP(AM$1,$Z$2:$Z$18,$AB$2:$AB$18)-$U18)^2+(_xlfn.XLOOKUP(AM$1,$Z$2:$Z$18,$AC$2:$AC$18-$V18)^2)))</f>
        <v/>
      </c>
      <c r="AN18" s="150">
        <f t="array" ref="AN18">IF(AN$1=0,"",SQRT((_xlfn.XLOOKUP(AN$1,$Z$2:$Z$18,$AA$2:$AA$18)-$T18)^2+(_xlfn.XLOOKUP(AN$1,$Z$2:$Z$18,$AB$2:$AB$18)-$U18)^2+(_xlfn.XLOOKUP(AN$1,$Z$2:$Z$18,$AC$2:$AC$18-$V18)^2)))</f>
        <v/>
      </c>
      <c r="AO18" s="150">
        <f t="array" ref="AO18">IF(AO$1=0,"",SQRT((_xlfn.XLOOKUP(AO$1,$Z$2:$Z$18,$AA$2:$AA$18)-$T18)^2+(_xlfn.XLOOKUP(AO$1,$Z$2:$Z$18,$AB$2:$AB$18)-$U18)^2+(_xlfn.XLOOKUP(AO$1,$Z$2:$Z$18,$AC$2:$AC$18-$V18)^2)))</f>
        <v/>
      </c>
      <c r="AP18" s="151">
        <f t="array" ref="AP18">IF(AP$1=0,"",SQRT((_xlfn.XLOOKUP(AP$1,$Z$2:$Z$18,$AA$2:$AA$18)-$T18)^2+(_xlfn.XLOOKUP(AP$1,$Z$2:$Z$18,$AB$2:$AB$18)-$U18)^2+(_xlfn.XLOOKUP(AP$1,$Z$2:$Z$18,$AC$2:$AC$18-$V18)^2)))</f>
        <v/>
      </c>
      <c r="AQ18" s="151">
        <f t="array" ref="AQ18">IF(AQ$1=0,"",SQRT((_xlfn.XLOOKUP(AQ$1,$Z$2:$Z$18,$AA$2:$AA$18)-$T18)^2+(_xlfn.XLOOKUP(AQ$1,$Z$2:$Z$18,$AB$2:$AB$18)-$U18)^2+(_xlfn.XLOOKUP(AQ$1,$Z$2:$Z$18,$AC$2:$AC$18-$V18)^2)))</f>
        <v/>
      </c>
      <c r="AR18" s="151">
        <f t="array" ref="AR18">IF(AR$1=0,"",SQRT((_xlfn.XLOOKUP(AR$1,$Z$2:$Z$18,$AA$2:$AA$18)-$T18)^2+(_xlfn.XLOOKUP(AR$1,$Z$2:$Z$18,$AB$2:$AB$18)-$U18)^2+(_xlfn.XLOOKUP(AR$1,$Z$2:$Z$18,$AC$2:$AC$18-$V18)^2)))</f>
        <v/>
      </c>
      <c r="AS18" s="151">
        <f t="array" ref="AS18">IF(AS$1=0,"",SQRT((_xlfn.XLOOKUP(AS$1,$Z$2:$Z$18,$AA$2:$AA$18)-$T18)^2+(_xlfn.XLOOKUP(AS$1,$Z$2:$Z$18,$AB$2:$AB$18)-$U18)^2+(_xlfn.XLOOKUP(AS$1,$Z$2:$Z$18,$AC$2:$AC$18-$V18)^2)))</f>
        <v/>
      </c>
      <c r="AT18" s="151">
        <f t="array" ref="AT18">IF(AT$1=0,"",SQRT((_xlfn.XLOOKUP(AT$1,$Z$2:$Z$18,$AA$2:$AA$18)-$T18)^2+(_xlfn.XLOOKUP(AT$1,$Z$2:$Z$18,$AB$2:$AB$18)-$U18)^2+(_xlfn.XLOOKUP(AT$1,$Z$2:$Z$18,$AC$2:$AC$18-$V18)^2)))</f>
        <v/>
      </c>
      <c r="AU18" s="151">
        <f t="array" ref="AU18">IF(AU$1=0,"",SQRT((_xlfn.XLOOKUP(AU$1,$Z$2:$Z$18,$AA$2:$AA$18)-$T18)^2+(_xlfn.XLOOKUP(AU$1,$Z$2:$Z$18,$AB$2:$AB$18)-$U18)^2+(_xlfn.XLOOKUP(AU$1,$Z$2:$Z$18,$AC$2:$AC$18-$V18)^2)))</f>
        <v/>
      </c>
      <c r="AV18" s="152">
        <f t="array" ref="AV18">IF(AV$1=0,"",SQRT((_xlfn.XLOOKUP(AV$1,$Z$2:$Z$18,$AA$2:$AA$18)-$T18)^2+(_xlfn.XLOOKUP(AV$1,$Z$2:$Z$18,$AB$2:$AB$18)-$U18)^2+(_xlfn.XLOOKUP(AV$1,$Z$2:$Z$18,$AC$2:$AC$18-$V18)^2)))</f>
        <v/>
      </c>
      <c r="AW18" s="134" t="n"/>
      <c r="AX18" s="134" t="n"/>
      <c r="AY18" s="135">
        <f>IFERROR(-ABS(10*LOG10(($R18/(4*PI()*CONVERT(AH18,"ft","m")^2)))),0)</f>
        <v/>
      </c>
      <c r="AZ18" s="153">
        <f>IFERROR(-ABS(10*LOG10(($R18/(4*PI()*CONVERT(AI18,"ft","m")^2)))),0)</f>
        <v/>
      </c>
      <c r="BA18" s="153">
        <f>IFERROR(-ABS(10*LOG10(($R18/(4*PI()*CONVERT(AJ18,"ft","m")^2)))),0)</f>
        <v/>
      </c>
      <c r="BB18" s="153">
        <f>IFERROR(-ABS(10*LOG10(($R18/(4*PI()*CONVERT(AK18,"ft","m")^2)))),0)</f>
        <v/>
      </c>
      <c r="BC18" s="153">
        <f>IFERROR(-ABS(10*LOG10(($R18/(4*PI()*CONVERT(AL18,"ft","m")^2)))),0)</f>
        <v/>
      </c>
      <c r="BD18" s="153">
        <f>IFERROR(-ABS(10*LOG10(($R18/(4*PI()*CONVERT(AM18,"ft","m")^2)))),0)</f>
        <v/>
      </c>
      <c r="BE18" s="153">
        <f>IFERROR(-ABS(10*LOG10(($R18/(4*PI()*CONVERT(AN18,"ft","m")^2)))),0)</f>
        <v/>
      </c>
      <c r="BF18" s="153">
        <f>IFERROR(-ABS(10*LOG10(($R18/(4*PI()*CONVERT(AO18,"ft","m")^2)))),0)</f>
        <v/>
      </c>
      <c r="BG18" s="154">
        <f>IFERROR(-ABS(10*LOG10(($R18/(4*PI()*CONVERT(AP18,"ft","m")^2)))),0)</f>
        <v/>
      </c>
      <c r="BH18" s="154">
        <f>IFERROR(-ABS(10*LOG10(($R18/(4*PI()*CONVERT(AQ18,"ft","m")^2)))),0)</f>
        <v/>
      </c>
      <c r="BI18" s="154">
        <f>IFERROR(-ABS(10*LOG10(($R18/(4*PI()*CONVERT(AR18,"ft","m")^2)))),0)</f>
        <v/>
      </c>
      <c r="BJ18" s="154">
        <f>IFERROR(-ABS(10*LOG10(($R18/(4*PI()*CONVERT(AS18,"ft","m")^2)))),0)</f>
        <v/>
      </c>
      <c r="BK18" s="154">
        <f>IFERROR(-ABS(10*LOG10(($R18/(4*PI()*CONVERT(AT18,"ft","m")^2)))),0)</f>
        <v/>
      </c>
      <c r="BL18" s="154">
        <f>IFERROR(-ABS(10*LOG10(($R18/(4*PI()*CONVERT(AU18,"ft","m")^2)))),0)</f>
        <v/>
      </c>
      <c r="BM18" s="155">
        <f>IFERROR(-ABS(10*LOG10(($R18/(4*PI()*CONVERT(AV18,"ft","m")^2)))),0)</f>
        <v/>
      </c>
      <c r="BN18" s="134" t="n"/>
      <c r="BO18" s="44" t="inlineStr">
        <is>
          <t>len barrier</t>
        </is>
      </c>
      <c r="BP18" s="120">
        <f>SQRT((BQ7-BQ6)^2+(BR7-BR6)^2)</f>
        <v/>
      </c>
      <c r="BQ18" s="134" t="n"/>
      <c r="BR18" s="134" t="n"/>
      <c r="BS18" s="134" t="n"/>
      <c r="BT18" s="134" t="n"/>
      <c r="BU18" s="134" t="n"/>
      <c r="BV18" s="140" t="n"/>
      <c r="BW18" s="140" t="n"/>
      <c r="BX18" s="140" t="n"/>
      <c r="BY18" s="140" t="n"/>
      <c r="BZ18" s="140" t="n"/>
      <c r="CA18" s="140" t="n"/>
      <c r="CB18" s="140" t="n"/>
      <c r="CC18" s="140" t="n"/>
      <c r="CD18" s="140" t="n"/>
      <c r="CE18" s="140" t="n"/>
      <c r="CF18" s="140" t="n"/>
      <c r="CG18" s="140" t="n"/>
      <c r="CH18" s="140" t="n"/>
      <c r="CI18" s="140" t="n"/>
      <c r="CJ18" s="140" t="n"/>
      <c r="CK18" s="134" t="n"/>
      <c r="CL18" s="134" t="n"/>
      <c r="CM18" s="156">
        <f>IF( CM$1= 0,"",$Q18-$S18+AY18-BV18)</f>
        <v/>
      </c>
      <c r="CN18" s="157">
        <f>IF( CN$1= 0,"",$Q18-$S18+AZ18-BW18)</f>
        <v/>
      </c>
      <c r="CO18" s="157">
        <f>IF( CO$1= 0,"",$Q18-$S18+BA18-BX18)</f>
        <v/>
      </c>
      <c r="CP18" s="157">
        <f>IF( CP$1= 0,"",$Q18-$S18+BB18-BY18)</f>
        <v/>
      </c>
      <c r="CQ18" s="157">
        <f>IF( CQ$1= 0,"",$Q18-$S18+BC18-BZ18)</f>
        <v/>
      </c>
      <c r="CR18" s="157">
        <f>IF( CR$1= 0,"",$Q18-$S18+BD18-CA18)</f>
        <v/>
      </c>
      <c r="CS18" s="157">
        <f>IF( CS$1= 0,"",$Q18-$S18+BE18-CB18)</f>
        <v/>
      </c>
      <c r="CT18" s="157">
        <f>IF( CT$1= 0,"",$Q18-$S18+BF18-CC18)</f>
        <v/>
      </c>
      <c r="CU18" s="158">
        <f>IF( CU$1= 0,"",$Q18-$S18+BG18-CD18)</f>
        <v/>
      </c>
      <c r="CV18" s="158">
        <f>IF( CV$1= 0,"",$Q18-$S18+BH18-CE18)</f>
        <v/>
      </c>
      <c r="CW18" s="158">
        <f>IF( CW$1= 0,"",$Q18-$S18+BI18-CF18)</f>
        <v/>
      </c>
      <c r="CX18" s="158">
        <f>IF( CX$1= 0,"",$Q18-$S18+BJ18-CG18)</f>
        <v/>
      </c>
      <c r="CY18" s="143">
        <f>IF( CY$1= 0,"",$Q18-$S18+BK18-CH18)</f>
        <v/>
      </c>
      <c r="CZ18" s="143">
        <f>IF( CZ$1= 0,"",$Q18-$S18+BL18-CI18)</f>
        <v/>
      </c>
      <c r="DA18" s="144">
        <f>IF( DA$1= 0,"",$Q18-$S18+BM18-CJ18)</f>
        <v/>
      </c>
    </row>
    <row r="19" ht="17.25" customHeight="1" thickBot="1">
      <c r="A19" s="145" t="n">
        <v>2</v>
      </c>
      <c r="B19" s="146" t="inlineStr">
        <is>
          <t>RCU-R(2p)3</t>
        </is>
      </c>
      <c r="C19" s="146" t="inlineStr">
        <is>
          <t>Radiated</t>
        </is>
      </c>
      <c r="D19" s="147" t="inlineStr">
        <is>
          <t>Greenheck</t>
        </is>
      </c>
      <c r="E19" s="205" t="inlineStr">
        <is>
          <t>MXZ-5C42</t>
        </is>
      </c>
      <c r="F19" s="213" t="n"/>
      <c r="G19" s="214" t="n"/>
      <c r="H19" s="214" t="n"/>
      <c r="I19" s="214" t="n"/>
      <c r="J19" s="214" t="n"/>
      <c r="K19" s="214" t="n"/>
      <c r="L19" s="214" t="n"/>
      <c r="M19" s="218" t="n"/>
      <c r="N19" s="213" t="n">
        <v>58</v>
      </c>
      <c r="O19" s="215" t="n">
        <v>5</v>
      </c>
      <c r="P19" s="208" t="n">
        <v>1</v>
      </c>
      <c r="Q19" s="128">
        <f>ROUND(IF(AND(A19&gt;0, O19&gt;0), N19+ABS(10*LOG10(P19/(4*PI()*CONVERT(O19,"ft", "m")^2))), N19),0)</f>
        <v/>
      </c>
      <c r="R19" s="3" t="n">
        <v>2</v>
      </c>
      <c r="S19" s="3" t="n"/>
      <c r="T19" s="214" t="n">
        <v>89.73</v>
      </c>
      <c r="U19" s="214" t="n">
        <v>129.58</v>
      </c>
      <c r="V19" s="109">
        <f>SUM(W19:X19)</f>
        <v/>
      </c>
      <c r="W19" s="81" t="n">
        <v>70</v>
      </c>
      <c r="X19" s="148" t="n">
        <v>4</v>
      </c>
      <c r="AE19" s="24" t="inlineStr">
        <is>
          <t>Know Distance (ft)</t>
        </is>
      </c>
      <c r="AF19" s="24" t="inlineStr">
        <is>
          <t>Image Distance (px)</t>
        </is>
      </c>
      <c r="AH19" s="168">
        <f t="array" ref="AH19">IF(AH$1=0,"",SQRT((_xlfn.XLOOKUP(AH$1,$Z$2:$Z$18,$AA$2:$AA$18)-$T19)^2+(_xlfn.XLOOKUP(AH$1,$Z$2:$Z$18,$AB$2:$AB$18)-$U19)^2+(_xlfn.XLOOKUP(AH$1,$Z$2:$Z$18,$AC$2:$AC$18-$V19)^2)))</f>
        <v/>
      </c>
      <c r="AI19" s="150">
        <f t="array" ref="AI19">IF(AI$1=0,"",SQRT((_xlfn.XLOOKUP(AI$1,$Z$2:$Z$18,$AA$2:$AA$18)-$T19)^2+(_xlfn.XLOOKUP(AI$1,$Z$2:$Z$18,$AB$2:$AB$18)-$U19)^2+(_xlfn.XLOOKUP(AI$1,$Z$2:$Z$18,$AC$2:$AC$18-$V19)^2)))</f>
        <v/>
      </c>
      <c r="AJ19" s="150">
        <f t="array" ref="AJ19">IF(AJ$1=0,"",SQRT((_xlfn.XLOOKUP(AJ$1,$Z$2:$Z$18,$AA$2:$AA$18)-$T19)^2+(_xlfn.XLOOKUP(AJ$1,$Z$2:$Z$18,$AB$2:$AB$18)-$U19)^2+(_xlfn.XLOOKUP(AJ$1,$Z$2:$Z$18,$AC$2:$AC$18-$V19)^2)))</f>
        <v/>
      </c>
      <c r="AK19" s="150">
        <f t="array" ref="AK19">IF(AK$1=0,"",SQRT((_xlfn.XLOOKUP(AK$1,$Z$2:$Z$18,$AA$2:$AA$18)-$T19)^2+(_xlfn.XLOOKUP(AK$1,$Z$2:$Z$18,$AB$2:$AB$18)-$U19)^2+(_xlfn.XLOOKUP(AK$1,$Z$2:$Z$18,$AC$2:$AC$18-$V19)^2)))</f>
        <v/>
      </c>
      <c r="AL19" s="150">
        <f t="array" ref="AL19">IF(AL$1=0,"",SQRT((_xlfn.XLOOKUP(AL$1,$Z$2:$Z$18,$AA$2:$AA$18)-$T19)^2+(_xlfn.XLOOKUP(AL$1,$Z$2:$Z$18,$AB$2:$AB$18)-$U19)^2+(_xlfn.XLOOKUP(AL$1,$Z$2:$Z$18,$AC$2:$AC$18-$V19)^2)))</f>
        <v/>
      </c>
      <c r="AM19" s="150">
        <f t="array" ref="AM19">IF(AM$1=0,"",SQRT((_xlfn.XLOOKUP(AM$1,$Z$2:$Z$18,$AA$2:$AA$18)-$T19)^2+(_xlfn.XLOOKUP(AM$1,$Z$2:$Z$18,$AB$2:$AB$18)-$U19)^2+(_xlfn.XLOOKUP(AM$1,$Z$2:$Z$18,$AC$2:$AC$18-$V19)^2)))</f>
        <v/>
      </c>
      <c r="AN19" s="150">
        <f t="array" ref="AN19">IF(AN$1=0,"",SQRT((_xlfn.XLOOKUP(AN$1,$Z$2:$Z$18,$AA$2:$AA$18)-$T19)^2+(_xlfn.XLOOKUP(AN$1,$Z$2:$Z$18,$AB$2:$AB$18)-$U19)^2+(_xlfn.XLOOKUP(AN$1,$Z$2:$Z$18,$AC$2:$AC$18-$V19)^2)))</f>
        <v/>
      </c>
      <c r="AO19" s="150">
        <f t="array" ref="AO19">IF(AO$1=0,"",SQRT((_xlfn.XLOOKUP(AO$1,$Z$2:$Z$18,$AA$2:$AA$18)-$T19)^2+(_xlfn.XLOOKUP(AO$1,$Z$2:$Z$18,$AB$2:$AB$18)-$U19)^2+(_xlfn.XLOOKUP(AO$1,$Z$2:$Z$18,$AC$2:$AC$18-$V19)^2)))</f>
        <v/>
      </c>
      <c r="AP19" s="151">
        <f t="array" ref="AP19">IF(AP$1=0,"",SQRT((_xlfn.XLOOKUP(AP$1,$Z$2:$Z$18,$AA$2:$AA$18)-$T19)^2+(_xlfn.XLOOKUP(AP$1,$Z$2:$Z$18,$AB$2:$AB$18)-$U19)^2+(_xlfn.XLOOKUP(AP$1,$Z$2:$Z$18,$AC$2:$AC$18-$V19)^2)))</f>
        <v/>
      </c>
      <c r="AQ19" s="151">
        <f t="array" ref="AQ19">IF(AQ$1=0,"",SQRT((_xlfn.XLOOKUP(AQ$1,$Z$2:$Z$18,$AA$2:$AA$18)-$T19)^2+(_xlfn.XLOOKUP(AQ$1,$Z$2:$Z$18,$AB$2:$AB$18)-$U19)^2+(_xlfn.XLOOKUP(AQ$1,$Z$2:$Z$18,$AC$2:$AC$18-$V19)^2)))</f>
        <v/>
      </c>
      <c r="AR19" s="151">
        <f t="array" ref="AR19">IF(AR$1=0,"",SQRT((_xlfn.XLOOKUP(AR$1,$Z$2:$Z$18,$AA$2:$AA$18)-$T19)^2+(_xlfn.XLOOKUP(AR$1,$Z$2:$Z$18,$AB$2:$AB$18)-$U19)^2+(_xlfn.XLOOKUP(AR$1,$Z$2:$Z$18,$AC$2:$AC$18-$V19)^2)))</f>
        <v/>
      </c>
      <c r="AS19" s="151">
        <f t="array" ref="AS19">IF(AS$1=0,"",SQRT((_xlfn.XLOOKUP(AS$1,$Z$2:$Z$18,$AA$2:$AA$18)-$T19)^2+(_xlfn.XLOOKUP(AS$1,$Z$2:$Z$18,$AB$2:$AB$18)-$U19)^2+(_xlfn.XLOOKUP(AS$1,$Z$2:$Z$18,$AC$2:$AC$18-$V19)^2)))</f>
        <v/>
      </c>
      <c r="AT19" s="151">
        <f t="array" ref="AT19">IF(AT$1=0,"",SQRT((_xlfn.XLOOKUP(AT$1,$Z$2:$Z$18,$AA$2:$AA$18)-$T19)^2+(_xlfn.XLOOKUP(AT$1,$Z$2:$Z$18,$AB$2:$AB$18)-$U19)^2+(_xlfn.XLOOKUP(AT$1,$Z$2:$Z$18,$AC$2:$AC$18-$V19)^2)))</f>
        <v/>
      </c>
      <c r="AU19" s="151">
        <f t="array" ref="AU19">IF(AU$1=0,"",SQRT((_xlfn.XLOOKUP(AU$1,$Z$2:$Z$18,$AA$2:$AA$18)-$T19)^2+(_xlfn.XLOOKUP(AU$1,$Z$2:$Z$18,$AB$2:$AB$18)-$U19)^2+(_xlfn.XLOOKUP(AU$1,$Z$2:$Z$18,$AC$2:$AC$18-$V19)^2)))</f>
        <v/>
      </c>
      <c r="AV19" s="152">
        <f t="array" ref="AV19">IF(AV$1=0,"",SQRT((_xlfn.XLOOKUP(AV$1,$Z$2:$Z$18,$AA$2:$AA$18)-$T19)^2+(_xlfn.XLOOKUP(AV$1,$Z$2:$Z$18,$AB$2:$AB$18)-$U19)^2+(_xlfn.XLOOKUP(AV$1,$Z$2:$Z$18,$AC$2:$AC$18-$V19)^2)))</f>
        <v/>
      </c>
      <c r="AW19" s="134" t="n"/>
      <c r="AX19" s="134" t="n"/>
      <c r="AY19" s="135">
        <f>IFERROR(-ABS(10*LOG10(($R19/(4*PI()*CONVERT(AH19,"ft","m")^2)))),0)</f>
        <v/>
      </c>
      <c r="AZ19" s="153">
        <f>IFERROR(-ABS(10*LOG10(($R19/(4*PI()*CONVERT(AI19,"ft","m")^2)))),0)</f>
        <v/>
      </c>
      <c r="BA19" s="153">
        <f>IFERROR(-ABS(10*LOG10(($R19/(4*PI()*CONVERT(AJ19,"ft","m")^2)))),0)</f>
        <v/>
      </c>
      <c r="BB19" s="153">
        <f>IFERROR(-ABS(10*LOG10(($R19/(4*PI()*CONVERT(AK19,"ft","m")^2)))),0)</f>
        <v/>
      </c>
      <c r="BC19" s="153">
        <f>IFERROR(-ABS(10*LOG10(($R19/(4*PI()*CONVERT(AL19,"ft","m")^2)))),0)</f>
        <v/>
      </c>
      <c r="BD19" s="153">
        <f>IFERROR(-ABS(10*LOG10(($R19/(4*PI()*CONVERT(AM19,"ft","m")^2)))),0)</f>
        <v/>
      </c>
      <c r="BE19" s="153">
        <f>IFERROR(-ABS(10*LOG10(($R19/(4*PI()*CONVERT(AN19,"ft","m")^2)))),0)</f>
        <v/>
      </c>
      <c r="BF19" s="153">
        <f>IFERROR(-ABS(10*LOG10(($R19/(4*PI()*CONVERT(AO19,"ft","m")^2)))),0)</f>
        <v/>
      </c>
      <c r="BG19" s="154">
        <f>IFERROR(-ABS(10*LOG10(($R19/(4*PI()*CONVERT(AP19,"ft","m")^2)))),0)</f>
        <v/>
      </c>
      <c r="BH19" s="154">
        <f>IFERROR(-ABS(10*LOG10(($R19/(4*PI()*CONVERT(AQ19,"ft","m")^2)))),0)</f>
        <v/>
      </c>
      <c r="BI19" s="154">
        <f>IFERROR(-ABS(10*LOG10(($R19/(4*PI()*CONVERT(AR19,"ft","m")^2)))),0)</f>
        <v/>
      </c>
      <c r="BJ19" s="154">
        <f>IFERROR(-ABS(10*LOG10(($R19/(4*PI()*CONVERT(AS19,"ft","m")^2)))),0)</f>
        <v/>
      </c>
      <c r="BK19" s="154">
        <f>IFERROR(-ABS(10*LOG10(($R19/(4*PI()*CONVERT(AT19,"ft","m")^2)))),0)</f>
        <v/>
      </c>
      <c r="BL19" s="154">
        <f>IFERROR(-ABS(10*LOG10(($R19/(4*PI()*CONVERT(AU19,"ft","m")^2)))),0)</f>
        <v/>
      </c>
      <c r="BM19" s="155">
        <f>IFERROR(-ABS(10*LOG10(($R19/(4*PI()*CONVERT(AV19,"ft","m")^2)))),0)</f>
        <v/>
      </c>
      <c r="BN19" s="134" t="n"/>
      <c r="BO19" s="44" t="inlineStr">
        <is>
          <t>slope</t>
        </is>
      </c>
      <c r="BP19" s="120">
        <f>BP17/BP18</f>
        <v/>
      </c>
      <c r="BQ19" s="134" t="n"/>
      <c r="BR19" s="134" t="n"/>
      <c r="BS19" s="134" t="n"/>
      <c r="BT19" s="134" t="n"/>
      <c r="BU19" s="134" t="n"/>
      <c r="BV19" s="140" t="n"/>
      <c r="BW19" s="140" t="n"/>
      <c r="BX19" s="140" t="n"/>
      <c r="BY19" s="140" t="n"/>
      <c r="BZ19" s="140" t="n"/>
      <c r="CA19" s="140" t="n"/>
      <c r="CB19" s="140" t="n"/>
      <c r="CC19" s="140" t="n"/>
      <c r="CD19" s="140" t="n"/>
      <c r="CE19" s="140" t="n"/>
      <c r="CF19" s="140" t="n"/>
      <c r="CG19" s="140" t="n"/>
      <c r="CH19" s="140" t="n"/>
      <c r="CI19" s="140" t="n"/>
      <c r="CJ19" s="140" t="n"/>
      <c r="CK19" s="134" t="n"/>
      <c r="CL19" s="134" t="n"/>
      <c r="CM19" s="156">
        <f>IF( CM$1= 0,"",$Q19-$S19+AY19-BV19)</f>
        <v/>
      </c>
      <c r="CN19" s="157">
        <f>IF( CN$1= 0,"",$Q19-$S19+AZ19-BW19)</f>
        <v/>
      </c>
      <c r="CO19" s="157">
        <f>IF( CO$1= 0,"",$Q19-$S19+BA19-BX19)</f>
        <v/>
      </c>
      <c r="CP19" s="157">
        <f>IF( CP$1= 0,"",$Q19-$S19+BB19-BY19)</f>
        <v/>
      </c>
      <c r="CQ19" s="157">
        <f>IF( CQ$1= 0,"",$Q19-$S19+BC19-BZ19)</f>
        <v/>
      </c>
      <c r="CR19" s="157">
        <f>IF( CR$1= 0,"",$Q19-$S19+BD19-CA19)</f>
        <v/>
      </c>
      <c r="CS19" s="157">
        <f>IF( CS$1= 0,"",$Q19-$S19+BE19-CB19)</f>
        <v/>
      </c>
      <c r="CT19" s="157">
        <f>IF( CT$1= 0,"",$Q19-$S19+BF19-CC19)</f>
        <v/>
      </c>
      <c r="CU19" s="158">
        <f>IF( CU$1= 0,"",$Q19-$S19+BG19-CD19)</f>
        <v/>
      </c>
      <c r="CV19" s="158">
        <f>IF( CV$1= 0,"",$Q19-$S19+BH19-CE19)</f>
        <v/>
      </c>
      <c r="CW19" s="158">
        <f>IF( CW$1= 0,"",$Q19-$S19+BI19-CF19)</f>
        <v/>
      </c>
      <c r="CX19" s="158">
        <f>IF( CX$1= 0,"",$Q19-$S19+BJ19-CG19)</f>
        <v/>
      </c>
      <c r="CY19" s="143">
        <f>IF( CY$1= 0,"",$Q19-$S19+BK19-CH19)</f>
        <v/>
      </c>
      <c r="CZ19" s="143">
        <f>IF( CZ$1= 0,"",$Q19-$S19+BL19-CI19)</f>
        <v/>
      </c>
      <c r="DA19" s="144">
        <f>IF( DA$1= 0,"",$Q19-$S19+BM19-CJ19)</f>
        <v/>
      </c>
    </row>
    <row r="20" ht="17.25" customHeight="1" thickBot="1">
      <c r="A20" s="145" t="n">
        <v>2</v>
      </c>
      <c r="B20" s="146" t="inlineStr">
        <is>
          <t>RCU-R(2p)4</t>
        </is>
      </c>
      <c r="C20" s="146" t="inlineStr">
        <is>
          <t>Radiated</t>
        </is>
      </c>
      <c r="D20" s="147" t="inlineStr">
        <is>
          <t>Greenheck</t>
        </is>
      </c>
      <c r="E20" s="205" t="inlineStr">
        <is>
          <t>MXZ-5C42</t>
        </is>
      </c>
      <c r="F20" s="213" t="n"/>
      <c r="G20" s="214" t="n"/>
      <c r="H20" s="214" t="n"/>
      <c r="I20" s="214" t="n"/>
      <c r="J20" s="214" t="n"/>
      <c r="K20" s="214" t="n"/>
      <c r="L20" s="214" t="n"/>
      <c r="M20" s="218" t="n"/>
      <c r="N20" s="213" t="n">
        <v>58</v>
      </c>
      <c r="O20" s="215" t="n">
        <v>5</v>
      </c>
      <c r="P20" s="208" t="n">
        <v>1</v>
      </c>
      <c r="Q20" s="128">
        <f>ROUND(IF(AND(A20&gt;0, O20&gt;0), N20+ABS(10*LOG10(P20/(4*PI()*CONVERT(O20,"ft", "m")^2))), N20),0)</f>
        <v/>
      </c>
      <c r="R20" s="3" t="n">
        <v>2</v>
      </c>
      <c r="S20" s="3" t="n"/>
      <c r="T20" s="214" t="n">
        <v>109.54</v>
      </c>
      <c r="U20" s="214" t="n">
        <v>133.58</v>
      </c>
      <c r="V20" s="109">
        <f>SUM(W20:X20)</f>
        <v/>
      </c>
      <c r="W20" s="81" t="n">
        <v>150</v>
      </c>
      <c r="X20" s="148" t="n">
        <v>1370</v>
      </c>
      <c r="AE20" s="110" t="n">
        <v>150</v>
      </c>
      <c r="AF20" s="111" t="n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/>
      </c>
      <c r="AI20" s="150">
        <f t="array" ref="AI20">IF(AI$1=0,"",SQRT((_xlfn.XLOOKUP(AI$1,$Z$2:$Z$18,$AA$2:$AA$18)-$T20)^2+(_xlfn.XLOOKUP(AI$1,$Z$2:$Z$18,$AB$2:$AB$18)-$U20)^2+(_xlfn.XLOOKUP(AI$1,$Z$2:$Z$18,$AC$2:$AC$18-$V20)^2)))</f>
        <v/>
      </c>
      <c r="AJ20" s="150">
        <f t="array" ref="AJ20">IF(AJ$1=0,"",SQRT((_xlfn.XLOOKUP(AJ$1,$Z$2:$Z$18,$AA$2:$AA$18)-$T20)^2+(_xlfn.XLOOKUP(AJ$1,$Z$2:$Z$18,$AB$2:$AB$18)-$U20)^2+(_xlfn.XLOOKUP(AJ$1,$Z$2:$Z$18,$AC$2:$AC$18-$V20)^2)))</f>
        <v/>
      </c>
      <c r="AK20" s="150">
        <f t="array" ref="AK20">IF(AK$1=0,"",SQRT((_xlfn.XLOOKUP(AK$1,$Z$2:$Z$18,$AA$2:$AA$18)-$T20)^2+(_xlfn.XLOOKUP(AK$1,$Z$2:$Z$18,$AB$2:$AB$18)-$U20)^2+(_xlfn.XLOOKUP(AK$1,$Z$2:$Z$18,$AC$2:$AC$18-$V20)^2)))</f>
        <v/>
      </c>
      <c r="AL20" s="150">
        <f t="array" ref="AL20">IF(AL$1=0,"",SQRT((_xlfn.XLOOKUP(AL$1,$Z$2:$Z$18,$AA$2:$AA$18)-$T20)^2+(_xlfn.XLOOKUP(AL$1,$Z$2:$Z$18,$AB$2:$AB$18)-$U20)^2+(_xlfn.XLOOKUP(AL$1,$Z$2:$Z$18,$AC$2:$AC$18-$V20)^2)))</f>
        <v/>
      </c>
      <c r="AM20" s="150">
        <f t="array" ref="AM20">IF(AM$1=0,"",SQRT((_xlfn.XLOOKUP(AM$1,$Z$2:$Z$18,$AA$2:$AA$18)-$T20)^2+(_xlfn.XLOOKUP(AM$1,$Z$2:$Z$18,$AB$2:$AB$18)-$U20)^2+(_xlfn.XLOOKUP(AM$1,$Z$2:$Z$18,$AC$2:$AC$18-$V20)^2)))</f>
        <v/>
      </c>
      <c r="AN20" s="150">
        <f t="array" ref="AN20">IF(AN$1=0,"",SQRT((_xlfn.XLOOKUP(AN$1,$Z$2:$Z$18,$AA$2:$AA$18)-$T20)^2+(_xlfn.XLOOKUP(AN$1,$Z$2:$Z$18,$AB$2:$AB$18)-$U20)^2+(_xlfn.XLOOKUP(AN$1,$Z$2:$Z$18,$AC$2:$AC$18-$V20)^2)))</f>
        <v/>
      </c>
      <c r="AO20" s="150">
        <f t="array" ref="AO20">IF(AO$1=0,"",SQRT((_xlfn.XLOOKUP(AO$1,$Z$2:$Z$18,$AA$2:$AA$18)-$T20)^2+(_xlfn.XLOOKUP(AO$1,$Z$2:$Z$18,$AB$2:$AB$18)-$U20)^2+(_xlfn.XLOOKUP(AO$1,$Z$2:$Z$18,$AC$2:$AC$18-$V20)^2)))</f>
        <v/>
      </c>
      <c r="AP20" s="151">
        <f t="array" ref="AP20">IF(AP$1=0,"",SQRT((_xlfn.XLOOKUP(AP$1,$Z$2:$Z$18,$AA$2:$AA$18)-$T20)^2+(_xlfn.XLOOKUP(AP$1,$Z$2:$Z$18,$AB$2:$AB$18)-$U20)^2+(_xlfn.XLOOKUP(AP$1,$Z$2:$Z$18,$AC$2:$AC$18-$V20)^2)))</f>
        <v/>
      </c>
      <c r="AQ20" s="151">
        <f t="array" ref="AQ20">IF(AQ$1=0,"",SQRT((_xlfn.XLOOKUP(AQ$1,$Z$2:$Z$18,$AA$2:$AA$18)-$T20)^2+(_xlfn.XLOOKUP(AQ$1,$Z$2:$Z$18,$AB$2:$AB$18)-$U20)^2+(_xlfn.XLOOKUP(AQ$1,$Z$2:$Z$18,$AC$2:$AC$18-$V20)^2)))</f>
        <v/>
      </c>
      <c r="AR20" s="151">
        <f t="array" ref="AR20">IF(AR$1=0,"",SQRT((_xlfn.XLOOKUP(AR$1,$Z$2:$Z$18,$AA$2:$AA$18)-$T20)^2+(_xlfn.XLOOKUP(AR$1,$Z$2:$Z$18,$AB$2:$AB$18)-$U20)^2+(_xlfn.XLOOKUP(AR$1,$Z$2:$Z$18,$AC$2:$AC$18-$V20)^2)))</f>
        <v/>
      </c>
      <c r="AS20" s="151">
        <f t="array" ref="AS20">IF(AS$1=0,"",SQRT((_xlfn.XLOOKUP(AS$1,$Z$2:$Z$18,$AA$2:$AA$18)-$T20)^2+(_xlfn.XLOOKUP(AS$1,$Z$2:$Z$18,$AB$2:$AB$18)-$U20)^2+(_xlfn.XLOOKUP(AS$1,$Z$2:$Z$18,$AC$2:$AC$18-$V20)^2)))</f>
        <v/>
      </c>
      <c r="AT20" s="151">
        <f t="array" ref="AT20">IF(AT$1=0,"",SQRT((_xlfn.XLOOKUP(AT$1,$Z$2:$Z$18,$AA$2:$AA$18)-$T20)^2+(_xlfn.XLOOKUP(AT$1,$Z$2:$Z$18,$AB$2:$AB$18)-$U20)^2+(_xlfn.XLOOKUP(AT$1,$Z$2:$Z$18,$AC$2:$AC$18-$V20)^2)))</f>
        <v/>
      </c>
      <c r="AU20" s="151">
        <f t="array" ref="AU20">IF(AU$1=0,"",SQRT((_xlfn.XLOOKUP(AU$1,$Z$2:$Z$18,$AA$2:$AA$18)-$T20)^2+(_xlfn.XLOOKUP(AU$1,$Z$2:$Z$18,$AB$2:$AB$18)-$U20)^2+(_xlfn.XLOOKUP(AU$1,$Z$2:$Z$18,$AC$2:$AC$18-$V20)^2)))</f>
        <v/>
      </c>
      <c r="AV20" s="152">
        <f t="array" ref="AV20">IF(AV$1=0,"",SQRT((_xlfn.XLOOKUP(AV$1,$Z$2:$Z$18,$AA$2:$AA$18)-$T20)^2+(_xlfn.XLOOKUP(AV$1,$Z$2:$Z$18,$AB$2:$AB$18)-$U20)^2+(_xlfn.XLOOKUP(AV$1,$Z$2:$Z$18,$AC$2:$AC$18-$V20)^2)))</f>
        <v/>
      </c>
      <c r="AW20" s="134" t="n"/>
      <c r="AX20" s="134" t="n"/>
      <c r="AY20" s="135">
        <f>IFERROR(-ABS(10*LOG10(($R20/(4*PI()*CONVERT(AH20,"ft","m")^2)))),0)</f>
        <v/>
      </c>
      <c r="AZ20" s="153">
        <f>IFERROR(-ABS(10*LOG10(($R20/(4*PI()*CONVERT(AI20,"ft","m")^2)))),0)</f>
        <v/>
      </c>
      <c r="BA20" s="153">
        <f>IFERROR(-ABS(10*LOG10(($R20/(4*PI()*CONVERT(AJ20,"ft","m")^2)))),0)</f>
        <v/>
      </c>
      <c r="BB20" s="153">
        <f>IFERROR(-ABS(10*LOG10(($R20/(4*PI()*CONVERT(AK20,"ft","m")^2)))),0)</f>
        <v/>
      </c>
      <c r="BC20" s="153">
        <f>IFERROR(-ABS(10*LOG10(($R20/(4*PI()*CONVERT(AL20,"ft","m")^2)))),0)</f>
        <v/>
      </c>
      <c r="BD20" s="153">
        <f>IFERROR(-ABS(10*LOG10(($R20/(4*PI()*CONVERT(AM20,"ft","m")^2)))),0)</f>
        <v/>
      </c>
      <c r="BE20" s="153">
        <f>IFERROR(-ABS(10*LOG10(($R20/(4*PI()*CONVERT(AN20,"ft","m")^2)))),0)</f>
        <v/>
      </c>
      <c r="BF20" s="153">
        <f>IFERROR(-ABS(10*LOG10(($R20/(4*PI()*CONVERT(AO20,"ft","m")^2)))),0)</f>
        <v/>
      </c>
      <c r="BG20" s="154">
        <f>IFERROR(-ABS(10*LOG10(($R20/(4*PI()*CONVERT(AP20,"ft","m")^2)))),0)</f>
        <v/>
      </c>
      <c r="BH20" s="154">
        <f>IFERROR(-ABS(10*LOG10(($R20/(4*PI()*CONVERT(AQ20,"ft","m")^2)))),0)</f>
        <v/>
      </c>
      <c r="BI20" s="154">
        <f>IFERROR(-ABS(10*LOG10(($R20/(4*PI()*CONVERT(AR20,"ft","m")^2)))),0)</f>
        <v/>
      </c>
      <c r="BJ20" s="154">
        <f>IFERROR(-ABS(10*LOG10(($R20/(4*PI()*CONVERT(AS20,"ft","m")^2)))),0)</f>
        <v/>
      </c>
      <c r="BK20" s="154">
        <f>IFERROR(-ABS(10*LOG10(($R20/(4*PI()*CONVERT(AT20,"ft","m")^2)))),0)</f>
        <v/>
      </c>
      <c r="BL20" s="154">
        <f>IFERROR(-ABS(10*LOG10(($R20/(4*PI()*CONVERT(AU20,"ft","m")^2)))),0)</f>
        <v/>
      </c>
      <c r="BM20" s="155">
        <f>IFERROR(-ABS(10*LOG10(($R20/(4*PI()*CONVERT(AV20,"ft","m")^2)))),0)</f>
        <v/>
      </c>
      <c r="BN20" s="134" t="n"/>
      <c r="BO20" s="44" t="inlineStr">
        <is>
          <t>dist to x</t>
        </is>
      </c>
      <c r="BP20" s="45">
        <f>SQRT((BR12-_xlfn.XLOOKUP(MIN(BS6:BS7),BS6:BS7,BQ6:BQ7))^2+(BR13-_xlfn.XLOOKUP(MIN(BS6:BS7),BS6:BS7,BR6:BR7))^2)</f>
        <v/>
      </c>
      <c r="BQ20" s="134" t="n"/>
      <c r="BR20" s="134" t="n"/>
      <c r="BS20" s="134" t="n"/>
      <c r="BT20" s="134" t="n"/>
      <c r="BU20" s="134" t="n"/>
      <c r="BV20" s="140" t="n"/>
      <c r="BW20" s="140" t="n"/>
      <c r="BX20" s="140" t="n"/>
      <c r="BY20" s="140" t="n"/>
      <c r="BZ20" s="140" t="n"/>
      <c r="CA20" s="140" t="n"/>
      <c r="CB20" s="140" t="n"/>
      <c r="CC20" s="140" t="n"/>
      <c r="CD20" s="140" t="n"/>
      <c r="CE20" s="140" t="n"/>
      <c r="CF20" s="140" t="n"/>
      <c r="CG20" s="140" t="n"/>
      <c r="CH20" s="140" t="n"/>
      <c r="CI20" s="140" t="n"/>
      <c r="CJ20" s="140" t="n"/>
      <c r="CK20" s="134" t="n"/>
      <c r="CL20" s="134" t="n"/>
      <c r="CM20" s="156">
        <f>IF( CM$1= 0,"",$Q20-$S20+AY20-BV20)</f>
        <v/>
      </c>
      <c r="CN20" s="157">
        <f>IF( CN$1= 0,"",$Q20-$S20+AZ20-BW20)</f>
        <v/>
      </c>
      <c r="CO20" s="157">
        <f>IF( CO$1= 0,"",$Q20-$S20+BA20-BX20)</f>
        <v/>
      </c>
      <c r="CP20" s="157">
        <f>IF( CP$1= 0,"",$Q20-$S20+BB20-BY20)</f>
        <v/>
      </c>
      <c r="CQ20" s="157">
        <f>IF( CQ$1= 0,"",$Q20-$S20+BC20-BZ20)</f>
        <v/>
      </c>
      <c r="CR20" s="157">
        <f>IF( CR$1= 0,"",$Q20-$S20+BD20-CA20)</f>
        <v/>
      </c>
      <c r="CS20" s="157">
        <f>IF( CS$1= 0,"",$Q20-$S20+BE20-CB20)</f>
        <v/>
      </c>
      <c r="CT20" s="157">
        <f>IF( CT$1= 0,"",$Q20-$S20+BF20-CC20)</f>
        <v/>
      </c>
      <c r="CU20" s="158">
        <f>IF( CU$1= 0,"",$Q20-$S20+BG20-CD20)</f>
        <v/>
      </c>
      <c r="CV20" s="158">
        <f>IF( CV$1= 0,"",$Q20-$S20+BH20-CE20)</f>
        <v/>
      </c>
      <c r="CW20" s="158">
        <f>IF( CW$1= 0,"",$Q20-$S20+BI20-CF20)</f>
        <v/>
      </c>
      <c r="CX20" s="158">
        <f>IF( CX$1= 0,"",$Q20-$S20+BJ20-CG20)</f>
        <v/>
      </c>
      <c r="CY20" s="143">
        <f>IF( CY$1= 0,"",$Q20-$S20+BK20-CH20)</f>
        <v/>
      </c>
      <c r="CZ20" s="143">
        <f>IF( CZ$1= 0,"",$Q20-$S20+BL20-CI20)</f>
        <v/>
      </c>
      <c r="DA20" s="144">
        <f>IF( DA$1= 0,"",$Q20-$S20+BM20-CJ20)</f>
        <v/>
      </c>
    </row>
    <row r="21" ht="17.25" customHeight="1" thickBot="1">
      <c r="A21" s="145" t="n">
        <v>2</v>
      </c>
      <c r="B21" s="146" t="inlineStr">
        <is>
          <t>RCU-R(2p)5</t>
        </is>
      </c>
      <c r="C21" s="146" t="inlineStr">
        <is>
          <t>Radiated</t>
        </is>
      </c>
      <c r="D21" s="147" t="inlineStr">
        <is>
          <t>Greenheck</t>
        </is>
      </c>
      <c r="E21" s="205" t="inlineStr">
        <is>
          <t>MXZ-5C42</t>
        </is>
      </c>
      <c r="F21" s="213" t="n"/>
      <c r="G21" s="214" t="n"/>
      <c r="H21" s="214" t="n"/>
      <c r="I21" s="214" t="n"/>
      <c r="J21" s="214" t="n"/>
      <c r="K21" s="214" t="n"/>
      <c r="L21" s="214" t="n"/>
      <c r="M21" s="218" t="n"/>
      <c r="N21" s="213" t="n">
        <v>58</v>
      </c>
      <c r="O21" s="215" t="n">
        <v>5</v>
      </c>
      <c r="P21" s="208" t="n">
        <v>1</v>
      </c>
      <c r="Q21" s="128">
        <f>ROUND(IF(AND(A21&gt;0, O21&gt;0), N21+ABS(10*LOG10(P21/(4*PI()*CONVERT(O21,"ft", "m")^2))), N21),0)</f>
        <v/>
      </c>
      <c r="R21" s="3" t="n">
        <v>2</v>
      </c>
      <c r="S21" s="3" t="n"/>
      <c r="T21" s="214" t="n">
        <v>129.2</v>
      </c>
      <c r="U21" s="214" t="n">
        <v>137.57</v>
      </c>
      <c r="V21" s="109">
        <f>SUM(W21:X21)</f>
        <v/>
      </c>
      <c r="W21" s="81" t="n">
        <v>70</v>
      </c>
      <c r="X21" s="148" t="n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/>
      </c>
      <c r="AI21" s="150">
        <f t="array" ref="AI21">IF(AI$1=0,"",SQRT((_xlfn.XLOOKUP(AI$1,$Z$2:$Z$18,$AA$2:$AA$18)-$T21)^2+(_xlfn.XLOOKUP(AI$1,$Z$2:$Z$18,$AB$2:$AB$18)-$U21)^2+(_xlfn.XLOOKUP(AI$1,$Z$2:$Z$18,$AC$2:$AC$18-$V21)^2)))</f>
        <v/>
      </c>
      <c r="AJ21" s="150">
        <f t="array" ref="AJ21">IF(AJ$1=0,"",SQRT((_xlfn.XLOOKUP(AJ$1,$Z$2:$Z$18,$AA$2:$AA$18)-$T21)^2+(_xlfn.XLOOKUP(AJ$1,$Z$2:$Z$18,$AB$2:$AB$18)-$U21)^2+(_xlfn.XLOOKUP(AJ$1,$Z$2:$Z$18,$AC$2:$AC$18-$V21)^2)))</f>
        <v/>
      </c>
      <c r="AK21" s="150">
        <f t="array" ref="AK21">IF(AK$1=0,"",SQRT((_xlfn.XLOOKUP(AK$1,$Z$2:$Z$18,$AA$2:$AA$18)-$T21)^2+(_xlfn.XLOOKUP(AK$1,$Z$2:$Z$18,$AB$2:$AB$18)-$U21)^2+(_xlfn.XLOOKUP(AK$1,$Z$2:$Z$18,$AC$2:$AC$18-$V21)^2)))</f>
        <v/>
      </c>
      <c r="AL21" s="150">
        <f t="array" ref="AL21">IF(AL$1=0,"",SQRT((_xlfn.XLOOKUP(AL$1,$Z$2:$Z$18,$AA$2:$AA$18)-$T21)^2+(_xlfn.XLOOKUP(AL$1,$Z$2:$Z$18,$AB$2:$AB$18)-$U21)^2+(_xlfn.XLOOKUP(AL$1,$Z$2:$Z$18,$AC$2:$AC$18-$V21)^2)))</f>
        <v/>
      </c>
      <c r="AM21" s="150">
        <f t="array" ref="AM21">IF(AM$1=0,"",SQRT((_xlfn.XLOOKUP(AM$1,$Z$2:$Z$18,$AA$2:$AA$18)-$T21)^2+(_xlfn.XLOOKUP(AM$1,$Z$2:$Z$18,$AB$2:$AB$18)-$U21)^2+(_xlfn.XLOOKUP(AM$1,$Z$2:$Z$18,$AC$2:$AC$18-$V21)^2)))</f>
        <v/>
      </c>
      <c r="AN21" s="150">
        <f t="array" ref="AN21">IF(AN$1=0,"",SQRT((_xlfn.XLOOKUP(AN$1,$Z$2:$Z$18,$AA$2:$AA$18)-$T21)^2+(_xlfn.XLOOKUP(AN$1,$Z$2:$Z$18,$AB$2:$AB$18)-$U21)^2+(_xlfn.XLOOKUP(AN$1,$Z$2:$Z$18,$AC$2:$AC$18-$V21)^2)))</f>
        <v/>
      </c>
      <c r="AO21" s="150">
        <f t="array" ref="AO21">IF(AO$1=0,"",SQRT((_xlfn.XLOOKUP(AO$1,$Z$2:$Z$18,$AA$2:$AA$18)-$T21)^2+(_xlfn.XLOOKUP(AO$1,$Z$2:$Z$18,$AB$2:$AB$18)-$U21)^2+(_xlfn.XLOOKUP(AO$1,$Z$2:$Z$18,$AC$2:$AC$18-$V21)^2)))</f>
        <v/>
      </c>
      <c r="AP21" s="151">
        <f t="array" ref="AP21">IF(AP$1=0,"",SQRT((_xlfn.XLOOKUP(AP$1,$Z$2:$Z$18,$AA$2:$AA$18)-$T21)^2+(_xlfn.XLOOKUP(AP$1,$Z$2:$Z$18,$AB$2:$AB$18)-$U21)^2+(_xlfn.XLOOKUP(AP$1,$Z$2:$Z$18,$AC$2:$AC$18-$V21)^2)))</f>
        <v/>
      </c>
      <c r="AQ21" s="151">
        <f t="array" ref="AQ21">IF(AQ$1=0,"",SQRT((_xlfn.XLOOKUP(AQ$1,$Z$2:$Z$18,$AA$2:$AA$18)-$T21)^2+(_xlfn.XLOOKUP(AQ$1,$Z$2:$Z$18,$AB$2:$AB$18)-$U21)^2+(_xlfn.XLOOKUP(AQ$1,$Z$2:$Z$18,$AC$2:$AC$18-$V21)^2)))</f>
        <v/>
      </c>
      <c r="AR21" s="151">
        <f t="array" ref="AR21">IF(AR$1=0,"",SQRT((_xlfn.XLOOKUP(AR$1,$Z$2:$Z$18,$AA$2:$AA$18)-$T21)^2+(_xlfn.XLOOKUP(AR$1,$Z$2:$Z$18,$AB$2:$AB$18)-$U21)^2+(_xlfn.XLOOKUP(AR$1,$Z$2:$Z$18,$AC$2:$AC$18-$V21)^2)))</f>
        <v/>
      </c>
      <c r="AS21" s="151">
        <f t="array" ref="AS21">IF(AS$1=0,"",SQRT((_xlfn.XLOOKUP(AS$1,$Z$2:$Z$18,$AA$2:$AA$18)-$T21)^2+(_xlfn.XLOOKUP(AS$1,$Z$2:$Z$18,$AB$2:$AB$18)-$U21)^2+(_xlfn.XLOOKUP(AS$1,$Z$2:$Z$18,$AC$2:$AC$18-$V21)^2)))</f>
        <v/>
      </c>
      <c r="AT21" s="151">
        <f t="array" ref="AT21">IF(AT$1=0,"",SQRT((_xlfn.XLOOKUP(AT$1,$Z$2:$Z$18,$AA$2:$AA$18)-$T21)^2+(_xlfn.XLOOKUP(AT$1,$Z$2:$Z$18,$AB$2:$AB$18)-$U21)^2+(_xlfn.XLOOKUP(AT$1,$Z$2:$Z$18,$AC$2:$AC$18-$V21)^2)))</f>
        <v/>
      </c>
      <c r="AU21" s="151">
        <f t="array" ref="AU21">IF(AU$1=0,"",SQRT((_xlfn.XLOOKUP(AU$1,$Z$2:$Z$18,$AA$2:$AA$18)-$T21)^2+(_xlfn.XLOOKUP(AU$1,$Z$2:$Z$18,$AB$2:$AB$18)-$U21)^2+(_xlfn.XLOOKUP(AU$1,$Z$2:$Z$18,$AC$2:$AC$18-$V21)^2)))</f>
        <v/>
      </c>
      <c r="AV21" s="152">
        <f t="array" ref="AV21">IF(AV$1=0,"",SQRT((_xlfn.XLOOKUP(AV$1,$Z$2:$Z$18,$AA$2:$AA$18)-$T21)^2+(_xlfn.XLOOKUP(AV$1,$Z$2:$Z$18,$AB$2:$AB$18)-$U21)^2+(_xlfn.XLOOKUP(AV$1,$Z$2:$Z$18,$AC$2:$AC$18-$V21)^2)))</f>
        <v/>
      </c>
      <c r="AW21" s="134" t="n"/>
      <c r="AX21" s="134" t="n"/>
      <c r="AY21" s="135">
        <f>IFERROR(-ABS(10*LOG10(($R21/(4*PI()*CONVERT(AH21,"ft","m")^2)))),0)</f>
        <v/>
      </c>
      <c r="AZ21" s="153">
        <f>IFERROR(-ABS(10*LOG10(($R21/(4*PI()*CONVERT(AI21,"ft","m")^2)))),0)</f>
        <v/>
      </c>
      <c r="BA21" s="153">
        <f>IFERROR(-ABS(10*LOG10(($R21/(4*PI()*CONVERT(AJ21,"ft","m")^2)))),0)</f>
        <v/>
      </c>
      <c r="BB21" s="153">
        <f>IFERROR(-ABS(10*LOG10(($R21/(4*PI()*CONVERT(AK21,"ft","m")^2)))),0)</f>
        <v/>
      </c>
      <c r="BC21" s="153">
        <f>IFERROR(-ABS(10*LOG10(($R21/(4*PI()*CONVERT(AL21,"ft","m")^2)))),0)</f>
        <v/>
      </c>
      <c r="BD21" s="153">
        <f>IFERROR(-ABS(10*LOG10(($R21/(4*PI()*CONVERT(AM21,"ft","m")^2)))),0)</f>
        <v/>
      </c>
      <c r="BE21" s="153">
        <f>IFERROR(-ABS(10*LOG10(($R21/(4*PI()*CONVERT(AN21,"ft","m")^2)))),0)</f>
        <v/>
      </c>
      <c r="BF21" s="153">
        <f>IFERROR(-ABS(10*LOG10(($R21/(4*PI()*CONVERT(AO21,"ft","m")^2)))),0)</f>
        <v/>
      </c>
      <c r="BG21" s="154">
        <f>IFERROR(-ABS(10*LOG10(($R21/(4*PI()*CONVERT(AP21,"ft","m")^2)))),0)</f>
        <v/>
      </c>
      <c r="BH21" s="154">
        <f>IFERROR(-ABS(10*LOG10(($R21/(4*PI()*CONVERT(AQ21,"ft","m")^2)))),0)</f>
        <v/>
      </c>
      <c r="BI21" s="154">
        <f>IFERROR(-ABS(10*LOG10(($R21/(4*PI()*CONVERT(AR21,"ft","m")^2)))),0)</f>
        <v/>
      </c>
      <c r="BJ21" s="154">
        <f>IFERROR(-ABS(10*LOG10(($R21/(4*PI()*CONVERT(AS21,"ft","m")^2)))),0)</f>
        <v/>
      </c>
      <c r="BK21" s="154">
        <f>IFERROR(-ABS(10*LOG10(($R21/(4*PI()*CONVERT(AT21,"ft","m")^2)))),0)</f>
        <v/>
      </c>
      <c r="BL21" s="154">
        <f>IFERROR(-ABS(10*LOG10(($R21/(4*PI()*CONVERT(AU21,"ft","m")^2)))),0)</f>
        <v/>
      </c>
      <c r="BM21" s="155">
        <f>IFERROR(-ABS(10*LOG10(($R21/(4*PI()*CONVERT(AV21,"ft","m")^2)))),0)</f>
        <v/>
      </c>
      <c r="BN21" s="134" t="n"/>
      <c r="BO21" s="46" t="inlineStr">
        <is>
          <t>Bar Height to Use</t>
        </is>
      </c>
      <c r="BP21" s="47">
        <f>BP19*BP20+BP16</f>
        <v/>
      </c>
      <c r="BQ21" s="134" t="n"/>
      <c r="BR21" s="134" t="n"/>
      <c r="BS21" s="134" t="n"/>
      <c r="BT21" s="134" t="n"/>
      <c r="BU21" s="134" t="n"/>
      <c r="BV21" s="140" t="n"/>
      <c r="BW21" s="140" t="n"/>
      <c r="BX21" s="140" t="n"/>
      <c r="BY21" s="140" t="n"/>
      <c r="BZ21" s="140" t="n"/>
      <c r="CA21" s="140" t="n"/>
      <c r="CB21" s="140" t="n"/>
      <c r="CC21" s="140" t="n"/>
      <c r="CD21" s="140" t="n"/>
      <c r="CE21" s="140" t="n"/>
      <c r="CF21" s="140" t="n"/>
      <c r="CG21" s="140" t="n"/>
      <c r="CH21" s="140" t="n"/>
      <c r="CI21" s="140" t="n"/>
      <c r="CJ21" s="140" t="n"/>
      <c r="CK21" s="134" t="n"/>
      <c r="CL21" s="134" t="n"/>
      <c r="CM21" s="156">
        <f>IF( CM$1= 0,"",$Q21-$S21+AY21-BV21)</f>
        <v/>
      </c>
      <c r="CN21" s="157">
        <f>IF( CN$1= 0,"",$Q21-$S21+AZ21-BW21)</f>
        <v/>
      </c>
      <c r="CO21" s="157">
        <f>IF( CO$1= 0,"",$Q21-$S21+BA21-BX21)</f>
        <v/>
      </c>
      <c r="CP21" s="157">
        <f>IF( CP$1= 0,"",$Q21-$S21+BB21-BY21)</f>
        <v/>
      </c>
      <c r="CQ21" s="157">
        <f>IF( CQ$1= 0,"",$Q21-$S21+BC21-BZ21)</f>
        <v/>
      </c>
      <c r="CR21" s="157">
        <f>IF( CR$1= 0,"",$Q21-$S21+BD21-CA21)</f>
        <v/>
      </c>
      <c r="CS21" s="157">
        <f>IF( CS$1= 0,"",$Q21-$S21+BE21-CB21)</f>
        <v/>
      </c>
      <c r="CT21" s="157">
        <f>IF( CT$1= 0,"",$Q21-$S21+BF21-CC21)</f>
        <v/>
      </c>
      <c r="CU21" s="158">
        <f>IF( CU$1= 0,"",$Q21-$S21+BG21-CD21)</f>
        <v/>
      </c>
      <c r="CV21" s="158">
        <f>IF( CV$1= 0,"",$Q21-$S21+BH21-CE21)</f>
        <v/>
      </c>
      <c r="CW21" s="158">
        <f>IF( CW$1= 0,"",$Q21-$S21+BI21-CF21)</f>
        <v/>
      </c>
      <c r="CX21" s="158">
        <f>IF( CX$1= 0,"",$Q21-$S21+BJ21-CG21)</f>
        <v/>
      </c>
      <c r="CY21" s="143">
        <f>IF( CY$1= 0,"",$Q21-$S21+BK21-CH21)</f>
        <v/>
      </c>
      <c r="CZ21" s="143">
        <f>IF( CZ$1= 0,"",$Q21-$S21+BL21-CI21)</f>
        <v/>
      </c>
      <c r="DA21" s="144">
        <f>IF( DA$1= 0,"",$Q21-$S21+BM21-CJ21)</f>
        <v/>
      </c>
    </row>
    <row r="22" ht="17.25" customHeight="1" thickBot="1">
      <c r="A22" s="145" t="n">
        <v>2</v>
      </c>
      <c r="B22" s="146" t="inlineStr">
        <is>
          <t>RCU-R(2p)6</t>
        </is>
      </c>
      <c r="C22" s="146" t="inlineStr">
        <is>
          <t>Radiated</t>
        </is>
      </c>
      <c r="D22" s="147" t="inlineStr">
        <is>
          <t>Greenheck</t>
        </is>
      </c>
      <c r="E22" s="205" t="inlineStr">
        <is>
          <t>MXZ-5C42</t>
        </is>
      </c>
      <c r="F22" s="213" t="n"/>
      <c r="G22" s="214" t="n"/>
      <c r="H22" s="214" t="n"/>
      <c r="I22" s="214" t="n"/>
      <c r="J22" s="214" t="n"/>
      <c r="K22" s="214" t="n"/>
      <c r="L22" s="214" t="n"/>
      <c r="M22" s="218" t="n"/>
      <c r="N22" s="213" t="n">
        <v>58</v>
      </c>
      <c r="O22" s="215" t="n">
        <v>5</v>
      </c>
      <c r="P22" s="208" t="n">
        <v>1</v>
      </c>
      <c r="Q22" s="128">
        <f>ROUND(IF(AND(A22&gt;0, O22&gt;0), N22+ABS(10*LOG10(P22/(4*PI()*CONVERT(O22,"ft", "m")^2))), N22),0)</f>
        <v/>
      </c>
      <c r="R22" s="3" t="n">
        <v>2</v>
      </c>
      <c r="S22" s="3" t="n"/>
      <c r="T22" s="214" t="n">
        <v>148.85</v>
      </c>
      <c r="U22" s="214" t="n">
        <v>141.3</v>
      </c>
      <c r="V22" s="109">
        <f>SUM(W22:X22)</f>
        <v/>
      </c>
      <c r="W22" s="81" t="n">
        <v>70</v>
      </c>
      <c r="X22" s="148" t="n">
        <v>4</v>
      </c>
      <c r="Z22" s="24" t="inlineStr">
        <is>
          <t>Barriers</t>
        </is>
      </c>
      <c r="AA22" s="21" t="n"/>
      <c r="AB22" s="21" t="n"/>
      <c r="AC22" s="21" t="n"/>
      <c r="AH22" s="168">
        <f t="array" ref="AH22">IF(AH$1=0,"",SQRT((_xlfn.XLOOKUP(AH$1,$Z$2:$Z$18,$AA$2:$AA$18)-$T22)^2+(_xlfn.XLOOKUP(AH$1,$Z$2:$Z$18,$AB$2:$AB$18)-$U22)^2+(_xlfn.XLOOKUP(AH$1,$Z$2:$Z$18,$AC$2:$AC$18-$V22)^2)))</f>
        <v/>
      </c>
      <c r="AI22" s="150">
        <f t="array" ref="AI22">IF(AI$1=0,"",SQRT((_xlfn.XLOOKUP(AI$1,$Z$2:$Z$18,$AA$2:$AA$18)-$T22)^2+(_xlfn.XLOOKUP(AI$1,$Z$2:$Z$18,$AB$2:$AB$18)-$U22)^2+(_xlfn.XLOOKUP(AI$1,$Z$2:$Z$18,$AC$2:$AC$18-$V22)^2)))</f>
        <v/>
      </c>
      <c r="AJ22" s="150">
        <f t="array" ref="AJ22">IF(AJ$1=0,"",SQRT((_xlfn.XLOOKUP(AJ$1,$Z$2:$Z$18,$AA$2:$AA$18)-$T22)^2+(_xlfn.XLOOKUP(AJ$1,$Z$2:$Z$18,$AB$2:$AB$18)-$U22)^2+(_xlfn.XLOOKUP(AJ$1,$Z$2:$Z$18,$AC$2:$AC$18-$V22)^2)))</f>
        <v/>
      </c>
      <c r="AK22" s="150">
        <f t="array" ref="AK22">IF(AK$1=0,"",SQRT((_xlfn.XLOOKUP(AK$1,$Z$2:$Z$18,$AA$2:$AA$18)-$T22)^2+(_xlfn.XLOOKUP(AK$1,$Z$2:$Z$18,$AB$2:$AB$18)-$U22)^2+(_xlfn.XLOOKUP(AK$1,$Z$2:$Z$18,$AC$2:$AC$18-$V22)^2)))</f>
        <v/>
      </c>
      <c r="AL22" s="150">
        <f t="array" ref="AL22">IF(AL$1=0,"",SQRT((_xlfn.XLOOKUP(AL$1,$Z$2:$Z$18,$AA$2:$AA$18)-$T22)^2+(_xlfn.XLOOKUP(AL$1,$Z$2:$Z$18,$AB$2:$AB$18)-$U22)^2+(_xlfn.XLOOKUP(AL$1,$Z$2:$Z$18,$AC$2:$AC$18-$V22)^2)))</f>
        <v/>
      </c>
      <c r="AM22" s="150">
        <f t="array" ref="AM22">IF(AM$1=0,"",SQRT((_xlfn.XLOOKUP(AM$1,$Z$2:$Z$18,$AA$2:$AA$18)-$T22)^2+(_xlfn.XLOOKUP(AM$1,$Z$2:$Z$18,$AB$2:$AB$18)-$U22)^2+(_xlfn.XLOOKUP(AM$1,$Z$2:$Z$18,$AC$2:$AC$18-$V22)^2)))</f>
        <v/>
      </c>
      <c r="AN22" s="150">
        <f t="array" ref="AN22">IF(AN$1=0,"",SQRT((_xlfn.XLOOKUP(AN$1,$Z$2:$Z$18,$AA$2:$AA$18)-$T22)^2+(_xlfn.XLOOKUP(AN$1,$Z$2:$Z$18,$AB$2:$AB$18)-$U22)^2+(_xlfn.XLOOKUP(AN$1,$Z$2:$Z$18,$AC$2:$AC$18-$V22)^2)))</f>
        <v/>
      </c>
      <c r="AO22" s="150">
        <f t="array" ref="AO22">IF(AO$1=0,"",SQRT((_xlfn.XLOOKUP(AO$1,$Z$2:$Z$18,$AA$2:$AA$18)-$T22)^2+(_xlfn.XLOOKUP(AO$1,$Z$2:$Z$18,$AB$2:$AB$18)-$U22)^2+(_xlfn.XLOOKUP(AO$1,$Z$2:$Z$18,$AC$2:$AC$18-$V22)^2)))</f>
        <v/>
      </c>
      <c r="AP22" s="151">
        <f t="array" ref="AP22">IF(AP$1=0,"",SQRT((_xlfn.XLOOKUP(AP$1,$Z$2:$Z$18,$AA$2:$AA$18)-$T22)^2+(_xlfn.XLOOKUP(AP$1,$Z$2:$Z$18,$AB$2:$AB$18)-$U22)^2+(_xlfn.XLOOKUP(AP$1,$Z$2:$Z$18,$AC$2:$AC$18-$V22)^2)))</f>
        <v/>
      </c>
      <c r="AQ22" s="151">
        <f t="array" ref="AQ22">IF(AQ$1=0,"",SQRT((_xlfn.XLOOKUP(AQ$1,$Z$2:$Z$18,$AA$2:$AA$18)-$T22)^2+(_xlfn.XLOOKUP(AQ$1,$Z$2:$Z$18,$AB$2:$AB$18)-$U22)^2+(_xlfn.XLOOKUP(AQ$1,$Z$2:$Z$18,$AC$2:$AC$18-$V22)^2)))</f>
        <v/>
      </c>
      <c r="AR22" s="151">
        <f t="array" ref="AR22">IF(AR$1=0,"",SQRT((_xlfn.XLOOKUP(AR$1,$Z$2:$Z$18,$AA$2:$AA$18)-$T22)^2+(_xlfn.XLOOKUP(AR$1,$Z$2:$Z$18,$AB$2:$AB$18)-$U22)^2+(_xlfn.XLOOKUP(AR$1,$Z$2:$Z$18,$AC$2:$AC$18-$V22)^2)))</f>
        <v/>
      </c>
      <c r="AS22" s="151">
        <f t="array" ref="AS22">IF(AS$1=0,"",SQRT((_xlfn.XLOOKUP(AS$1,$Z$2:$Z$18,$AA$2:$AA$18)-$T22)^2+(_xlfn.XLOOKUP(AS$1,$Z$2:$Z$18,$AB$2:$AB$18)-$U22)^2+(_xlfn.XLOOKUP(AS$1,$Z$2:$Z$18,$AC$2:$AC$18-$V22)^2)))</f>
        <v/>
      </c>
      <c r="AT22" s="151">
        <f t="array" ref="AT22">IF(AT$1=0,"",SQRT((_xlfn.XLOOKUP(AT$1,$Z$2:$Z$18,$AA$2:$AA$18)-$T22)^2+(_xlfn.XLOOKUP(AT$1,$Z$2:$Z$18,$AB$2:$AB$18)-$U22)^2+(_xlfn.XLOOKUP(AT$1,$Z$2:$Z$18,$AC$2:$AC$18-$V22)^2)))</f>
        <v/>
      </c>
      <c r="AU22" s="151">
        <f t="array" ref="AU22">IF(AU$1=0,"",SQRT((_xlfn.XLOOKUP(AU$1,$Z$2:$Z$18,$AA$2:$AA$18)-$T22)^2+(_xlfn.XLOOKUP(AU$1,$Z$2:$Z$18,$AB$2:$AB$18)-$U22)^2+(_xlfn.XLOOKUP(AU$1,$Z$2:$Z$18,$AC$2:$AC$18-$V22)^2)))</f>
        <v/>
      </c>
      <c r="AV22" s="152">
        <f t="array" ref="AV22">IF(AV$1=0,"",SQRT((_xlfn.XLOOKUP(AV$1,$Z$2:$Z$18,$AA$2:$AA$18)-$T22)^2+(_xlfn.XLOOKUP(AV$1,$Z$2:$Z$18,$AB$2:$AB$18)-$U22)^2+(_xlfn.XLOOKUP(AV$1,$Z$2:$Z$18,$AC$2:$AC$18-$V22)^2)))</f>
        <v/>
      </c>
      <c r="AW22" s="134" t="n"/>
      <c r="AX22" s="200">
        <f>BR32</f>
        <v/>
      </c>
      <c r="AY22" s="135">
        <f>IFERROR(-ABS(10*LOG10(($R22/(4*PI()*CONVERT(AH22,"ft","m")^2)))),0)</f>
        <v/>
      </c>
      <c r="AZ22" s="153">
        <f>IFERROR(-ABS(10*LOG10(($R22/(4*PI()*CONVERT(AI22,"ft","m")^2)))),0)</f>
        <v/>
      </c>
      <c r="BA22" s="153">
        <f>IFERROR(-ABS(10*LOG10(($R22/(4*PI()*CONVERT(AJ22,"ft","m")^2)))),0)</f>
        <v/>
      </c>
      <c r="BB22" s="153">
        <f>IFERROR(-ABS(10*LOG10(($R22/(4*PI()*CONVERT(AK22,"ft","m")^2)))),0)</f>
        <v/>
      </c>
      <c r="BC22" s="153">
        <f>IFERROR(-ABS(10*LOG10(($R22/(4*PI()*CONVERT(AL22,"ft","m")^2)))),0)</f>
        <v/>
      </c>
      <c r="BD22" s="153">
        <f>IFERROR(-ABS(10*LOG10(($R22/(4*PI()*CONVERT(AM22,"ft","m")^2)))),0)</f>
        <v/>
      </c>
      <c r="BE22" s="153">
        <f>IFERROR(-ABS(10*LOG10(($R22/(4*PI()*CONVERT(AN22,"ft","m")^2)))),0)</f>
        <v/>
      </c>
      <c r="BF22" s="153">
        <f>IFERROR(-ABS(10*LOG10(($R22/(4*PI()*CONVERT(AO22,"ft","m")^2)))),0)</f>
        <v/>
      </c>
      <c r="BG22" s="154">
        <f>IFERROR(-ABS(10*LOG10(($R22/(4*PI()*CONVERT(AP22,"ft","m")^2)))),0)</f>
        <v/>
      </c>
      <c r="BH22" s="154">
        <f>IFERROR(-ABS(10*LOG10(($R22/(4*PI()*CONVERT(AQ22,"ft","m")^2)))),0)</f>
        <v/>
      </c>
      <c r="BI22" s="154">
        <f>IFERROR(-ABS(10*LOG10(($R22/(4*PI()*CONVERT(AR22,"ft","m")^2)))),0)</f>
        <v/>
      </c>
      <c r="BJ22" s="154">
        <f>IFERROR(-ABS(10*LOG10(($R22/(4*PI()*CONVERT(AS22,"ft","m")^2)))),0)</f>
        <v/>
      </c>
      <c r="BK22" s="154">
        <f>IFERROR(-ABS(10*LOG10(($R22/(4*PI()*CONVERT(AT22,"ft","m")^2)))),0)</f>
        <v/>
      </c>
      <c r="BL22" s="154">
        <f>IFERROR(-ABS(10*LOG10(($R22/(4*PI()*CONVERT(AU22,"ft","m")^2)))),0)</f>
        <v/>
      </c>
      <c r="BM22" s="155">
        <f>IFERROR(-ABS(10*LOG10(($R22/(4*PI()*CONVERT(AV22,"ft","m")^2)))),0)</f>
        <v/>
      </c>
      <c r="BN22" s="134" t="n"/>
      <c r="BO22" s="21" t="inlineStr">
        <is>
          <t>new barrier height q^</t>
        </is>
      </c>
      <c r="BP22" s="21" t="n"/>
      <c r="BQ22" s="134" t="n"/>
      <c r="BR22" s="134" t="n"/>
      <c r="BS22" s="134" t="n"/>
      <c r="BT22" s="134" t="n"/>
      <c r="BU22" s="134" t="n"/>
      <c r="BV22" s="140" t="n"/>
      <c r="BW22" s="140" t="n"/>
      <c r="BX22" s="140" t="n"/>
      <c r="BY22" s="140" t="n"/>
      <c r="BZ22" s="140" t="n"/>
      <c r="CA22" s="140" t="n"/>
      <c r="CB22" s="140" t="n"/>
      <c r="CC22" s="140" t="n"/>
      <c r="CD22" s="140" t="n"/>
      <c r="CE22" s="140" t="n"/>
      <c r="CF22" s="140" t="n"/>
      <c r="CG22" s="140" t="n"/>
      <c r="CH22" s="140" t="n"/>
      <c r="CI22" s="140" t="n"/>
      <c r="CJ22" s="140" t="n"/>
      <c r="CK22" s="134" t="n"/>
      <c r="CL22" s="134" t="n"/>
      <c r="CM22" s="156">
        <f>IF( CM$1= 0,"",$Q22-$S22+AY22-BV22)</f>
        <v/>
      </c>
      <c r="CN22" s="157">
        <f>IF( CN$1= 0,"",$Q22-$S22+AZ22-BW22)</f>
        <v/>
      </c>
      <c r="CO22" s="157">
        <f>IF( CO$1= 0,"",$Q22-$S22+BA22-BX22)</f>
        <v/>
      </c>
      <c r="CP22" s="157">
        <f>IF( CP$1= 0,"",$Q22-$S22+BB22-BY22)</f>
        <v/>
      </c>
      <c r="CQ22" s="157">
        <f>IF( CQ$1= 0,"",$Q22-$S22+BC22-BZ22)</f>
        <v/>
      </c>
      <c r="CR22" s="157">
        <f>IF( CR$1= 0,"",$Q22-$S22+BD22-CA22)</f>
        <v/>
      </c>
      <c r="CS22" s="157">
        <f>IF( CS$1= 0,"",$Q22-$S22+BE22-CB22)</f>
        <v/>
      </c>
      <c r="CT22" s="157">
        <f>IF( CT$1= 0,"",$Q22-$S22+BF22-CC22)</f>
        <v/>
      </c>
      <c r="CU22" s="158">
        <f>IF( CU$1= 0,"",$Q22-$S22+BG22-CD22)</f>
        <v/>
      </c>
      <c r="CV22" s="158">
        <f>IF( CV$1= 0,"",$Q22-$S22+BH22-CE22)</f>
        <v/>
      </c>
      <c r="CW22" s="158">
        <f>IF( CW$1= 0,"",$Q22-$S22+BI22-CF22)</f>
        <v/>
      </c>
      <c r="CX22" s="158">
        <f>IF( CX$1= 0,"",$Q22-$S22+BJ22-CG22)</f>
        <v/>
      </c>
      <c r="CY22" s="143">
        <f>IF( CY$1= 0,"",$Q22-$S22+BK22-CH22)</f>
        <v/>
      </c>
      <c r="CZ22" s="143">
        <f>IF( CZ$1= 0,"",$Q22-$S22+BL22-CI22)</f>
        <v/>
      </c>
      <c r="DA22" s="144">
        <f>IF( DA$1= 0,"",$Q22-$S22+BM22-CJ22)</f>
        <v/>
      </c>
    </row>
    <row r="23" ht="17.25" customHeight="1" thickBot="1">
      <c r="A23" s="145" t="n">
        <v>1</v>
      </c>
      <c r="B23" s="146" t="inlineStr">
        <is>
          <t xml:space="preserve">BEF-R01 </t>
        </is>
      </c>
      <c r="C23" s="146" t="inlineStr">
        <is>
          <t>Inlet</t>
        </is>
      </c>
      <c r="D23" s="147" t="inlineStr">
        <is>
          <t>Greenheck</t>
        </is>
      </c>
      <c r="E23" s="205" t="inlineStr">
        <is>
          <t>CUE-70VG</t>
        </is>
      </c>
      <c r="F23" s="213" t="n"/>
      <c r="G23" s="214" t="n"/>
      <c r="H23" s="214" t="n"/>
      <c r="I23" s="214" t="n"/>
      <c r="J23" s="214" t="n"/>
      <c r="K23" s="214" t="n"/>
      <c r="L23" s="214" t="n"/>
      <c r="M23" s="218" t="n"/>
      <c r="N23" s="213" t="n">
        <v>57.39273779573718</v>
      </c>
      <c r="O23" s="215" t="n">
        <v>0</v>
      </c>
      <c r="P23" s="208" t="n">
        <v>1</v>
      </c>
      <c r="Q23" s="128">
        <f>ROUND(IF(AND(A23&gt;0, O23&gt;0), N23+ABS(10*LOG10(P23/(4*PI()*CONVERT(O23,"ft", "m")^2))), N23),0)</f>
        <v/>
      </c>
      <c r="R23" s="3" t="n">
        <v>2</v>
      </c>
      <c r="S23" s="3" t="n"/>
      <c r="T23" s="214" t="n">
        <v>52.01</v>
      </c>
      <c r="U23" s="214" t="n">
        <v>82.77</v>
      </c>
      <c r="V23" s="109">
        <f>SUM(W23:X23)</f>
        <v/>
      </c>
      <c r="W23" s="81" t="n">
        <v>73</v>
      </c>
      <c r="X23" s="148" t="n">
        <v>2</v>
      </c>
      <c r="Z23" s="24" t="n"/>
      <c r="AA23" s="50" t="inlineStr">
        <is>
          <t>X0</t>
        </is>
      </c>
      <c r="AB23" s="50" t="inlineStr">
        <is>
          <t>Y0</t>
        </is>
      </c>
      <c r="AC23" s="51" t="inlineStr">
        <is>
          <t>Z0</t>
        </is>
      </c>
      <c r="AD23" s="50" t="inlineStr">
        <is>
          <t>X1</t>
        </is>
      </c>
      <c r="AE23" s="50" t="inlineStr">
        <is>
          <t>Y1</t>
        </is>
      </c>
      <c r="AF23" s="51" t="inlineStr">
        <is>
          <t>Z1</t>
        </is>
      </c>
      <c r="AH23" s="168">
        <f t="array" ref="AH23">IF(AH$1=0,"",SQRT((_xlfn.XLOOKUP(AH$1,$Z$2:$Z$18,$AA$2:$AA$18)-$T23)^2+(_xlfn.XLOOKUP(AH$1,$Z$2:$Z$18,$AB$2:$AB$18)-$U23)^2+(_xlfn.XLOOKUP(AH$1,$Z$2:$Z$18,$AC$2:$AC$18-$V23)^2)))</f>
        <v/>
      </c>
      <c r="AI23" s="150">
        <f t="array" ref="AI23">IF(AI$1=0,"",SQRT((_xlfn.XLOOKUP(AI$1,$Z$2:$Z$18,$AA$2:$AA$18)-$T23)^2+(_xlfn.XLOOKUP(AI$1,$Z$2:$Z$18,$AB$2:$AB$18)-$U23)^2+(_xlfn.XLOOKUP(AI$1,$Z$2:$Z$18,$AC$2:$AC$18-$V23)^2)))</f>
        <v/>
      </c>
      <c r="AJ23" s="150">
        <f t="array" ref="AJ23">IF(AJ$1=0,"",SQRT((_xlfn.XLOOKUP(AJ$1,$Z$2:$Z$18,$AA$2:$AA$18)-$T23)^2+(_xlfn.XLOOKUP(AJ$1,$Z$2:$Z$18,$AB$2:$AB$18)-$U23)^2+(_xlfn.XLOOKUP(AJ$1,$Z$2:$Z$18,$AC$2:$AC$18-$V23)^2)))</f>
        <v/>
      </c>
      <c r="AK23" s="150">
        <f t="array" ref="AK23">IF(AK$1=0,"",SQRT((_xlfn.XLOOKUP(AK$1,$Z$2:$Z$18,$AA$2:$AA$18)-$T23)^2+(_xlfn.XLOOKUP(AK$1,$Z$2:$Z$18,$AB$2:$AB$18)-$U23)^2+(_xlfn.XLOOKUP(AK$1,$Z$2:$Z$18,$AC$2:$AC$18-$V23)^2)))</f>
        <v/>
      </c>
      <c r="AL23" s="150">
        <f t="array" ref="AL23">IF(AL$1=0,"",SQRT((_xlfn.XLOOKUP(AL$1,$Z$2:$Z$18,$AA$2:$AA$18)-$T23)^2+(_xlfn.XLOOKUP(AL$1,$Z$2:$Z$18,$AB$2:$AB$18)-$U23)^2+(_xlfn.XLOOKUP(AL$1,$Z$2:$Z$18,$AC$2:$AC$18-$V23)^2)))</f>
        <v/>
      </c>
      <c r="AM23" s="150">
        <f t="array" ref="AM23">IF(AM$1=0,"",SQRT((_xlfn.XLOOKUP(AM$1,$Z$2:$Z$18,$AA$2:$AA$18)-$T23)^2+(_xlfn.XLOOKUP(AM$1,$Z$2:$Z$18,$AB$2:$AB$18)-$U23)^2+(_xlfn.XLOOKUP(AM$1,$Z$2:$Z$18,$AC$2:$AC$18-$V23)^2)))</f>
        <v/>
      </c>
      <c r="AN23" s="150">
        <f t="array" ref="AN23">IF(AN$1=0,"",SQRT((_xlfn.XLOOKUP(AN$1,$Z$2:$Z$18,$AA$2:$AA$18)-$T23)^2+(_xlfn.XLOOKUP(AN$1,$Z$2:$Z$18,$AB$2:$AB$18)-$U23)^2+(_xlfn.XLOOKUP(AN$1,$Z$2:$Z$18,$AC$2:$AC$18-$V23)^2)))</f>
        <v/>
      </c>
      <c r="AO23" s="150">
        <f t="array" ref="AO23">IF(AO$1=0,"",SQRT((_xlfn.XLOOKUP(AO$1,$Z$2:$Z$18,$AA$2:$AA$18)-$T23)^2+(_xlfn.XLOOKUP(AO$1,$Z$2:$Z$18,$AB$2:$AB$18)-$U23)^2+(_xlfn.XLOOKUP(AO$1,$Z$2:$Z$18,$AC$2:$AC$18-$V23)^2)))</f>
        <v/>
      </c>
      <c r="AP23" s="151">
        <f t="array" ref="AP23">IF(AP$1=0,"",SQRT((_xlfn.XLOOKUP(AP$1,$Z$2:$Z$18,$AA$2:$AA$18)-$T23)^2+(_xlfn.XLOOKUP(AP$1,$Z$2:$Z$18,$AB$2:$AB$18)-$U23)^2+(_xlfn.XLOOKUP(AP$1,$Z$2:$Z$18,$AC$2:$AC$18-$V23)^2)))</f>
        <v/>
      </c>
      <c r="AQ23" s="151">
        <f t="array" ref="AQ23">IF(AQ$1=0,"",SQRT((_xlfn.XLOOKUP(AQ$1,$Z$2:$Z$18,$AA$2:$AA$18)-$T23)^2+(_xlfn.XLOOKUP(AQ$1,$Z$2:$Z$18,$AB$2:$AB$18)-$U23)^2+(_xlfn.XLOOKUP(AQ$1,$Z$2:$Z$18,$AC$2:$AC$18-$V23)^2)))</f>
        <v/>
      </c>
      <c r="AR23" s="151">
        <f t="array" ref="AR23">IF(AR$1=0,"",SQRT((_xlfn.XLOOKUP(AR$1,$Z$2:$Z$18,$AA$2:$AA$18)-$T23)^2+(_xlfn.XLOOKUP(AR$1,$Z$2:$Z$18,$AB$2:$AB$18)-$U23)^2+(_xlfn.XLOOKUP(AR$1,$Z$2:$Z$18,$AC$2:$AC$18-$V23)^2)))</f>
        <v/>
      </c>
      <c r="AS23" s="151">
        <f t="array" ref="AS23">IF(AS$1=0,"",SQRT((_xlfn.XLOOKUP(AS$1,$Z$2:$Z$18,$AA$2:$AA$18)-$T23)^2+(_xlfn.XLOOKUP(AS$1,$Z$2:$Z$18,$AB$2:$AB$18)-$U23)^2+(_xlfn.XLOOKUP(AS$1,$Z$2:$Z$18,$AC$2:$AC$18-$V23)^2)))</f>
        <v/>
      </c>
      <c r="AT23" s="151">
        <f t="array" ref="AT23">IF(AT$1=0,"",SQRT((_xlfn.XLOOKUP(AT$1,$Z$2:$Z$18,$AA$2:$AA$18)-$T23)^2+(_xlfn.XLOOKUP(AT$1,$Z$2:$Z$18,$AB$2:$AB$18)-$U23)^2+(_xlfn.XLOOKUP(AT$1,$Z$2:$Z$18,$AC$2:$AC$18-$V23)^2)))</f>
        <v/>
      </c>
      <c r="AU23" s="151">
        <f t="array" ref="AU23">IF(AU$1=0,"",SQRT((_xlfn.XLOOKUP(AU$1,$Z$2:$Z$18,$AA$2:$AA$18)-$T23)^2+(_xlfn.XLOOKUP(AU$1,$Z$2:$Z$18,$AB$2:$AB$18)-$U23)^2+(_xlfn.XLOOKUP(AU$1,$Z$2:$Z$18,$AC$2:$AC$18-$V23)^2)))</f>
        <v/>
      </c>
      <c r="AV23" s="152">
        <f t="array" ref="AV23">IF(AV$1=0,"",SQRT((_xlfn.XLOOKUP(AV$1,$Z$2:$Z$18,$AA$2:$AA$18)-$T23)^2+(_xlfn.XLOOKUP(AV$1,$Z$2:$Z$18,$AB$2:$AB$18)-$U23)^2+(_xlfn.XLOOKUP(AV$1,$Z$2:$Z$18,$AC$2:$AC$18-$V23)^2)))</f>
        <v/>
      </c>
      <c r="AW23" s="134" t="n"/>
      <c r="AX23" s="134" t="n"/>
      <c r="AY23" s="135">
        <f>IFERROR(-ABS(10*LOG10(($R23/(4*PI()*CONVERT(AH23,"ft","m")^2)))),0)</f>
        <v/>
      </c>
      <c r="AZ23" s="153">
        <f>IFERROR(-ABS(10*LOG10(($R23/(4*PI()*CONVERT(AI23,"ft","m")^2)))),0)</f>
        <v/>
      </c>
      <c r="BA23" s="153">
        <f>IFERROR(-ABS(10*LOG10(($R23/(4*PI()*CONVERT(AJ23,"ft","m")^2)))),0)</f>
        <v/>
      </c>
      <c r="BB23" s="153">
        <f>IFERROR(-ABS(10*LOG10(($R23/(4*PI()*CONVERT(AK23,"ft","m")^2)))),0)</f>
        <v/>
      </c>
      <c r="BC23" s="153">
        <f>IFERROR(-ABS(10*LOG10(($R23/(4*PI()*CONVERT(AL23,"ft","m")^2)))),0)</f>
        <v/>
      </c>
      <c r="BD23" s="153">
        <f>IFERROR(-ABS(10*LOG10(($R23/(4*PI()*CONVERT(AM23,"ft","m")^2)))),0)</f>
        <v/>
      </c>
      <c r="BE23" s="153">
        <f>IFERROR(-ABS(10*LOG10(($R23/(4*PI()*CONVERT(AN23,"ft","m")^2)))),0)</f>
        <v/>
      </c>
      <c r="BF23" s="153">
        <f>IFERROR(-ABS(10*LOG10(($R23/(4*PI()*CONVERT(AO23,"ft","m")^2)))),0)</f>
        <v/>
      </c>
      <c r="BG23" s="154">
        <f>IFERROR(-ABS(10*LOG10(($R23/(4*PI()*CONVERT(AP23,"ft","m")^2)))),0)</f>
        <v/>
      </c>
      <c r="BH23" s="154">
        <f>IFERROR(-ABS(10*LOG10(($R23/(4*PI()*CONVERT(AQ23,"ft","m")^2)))),0)</f>
        <v/>
      </c>
      <c r="BI23" s="154">
        <f>IFERROR(-ABS(10*LOG10(($R23/(4*PI()*CONVERT(AR23,"ft","m")^2)))),0)</f>
        <v/>
      </c>
      <c r="BJ23" s="154">
        <f>IFERROR(-ABS(10*LOG10(($R23/(4*PI()*CONVERT(AS23,"ft","m")^2)))),0)</f>
        <v/>
      </c>
      <c r="BK23" s="154">
        <f>IFERROR(-ABS(10*LOG10(($R23/(4*PI()*CONVERT(AT23,"ft","m")^2)))),0)</f>
        <v/>
      </c>
      <c r="BL23" s="154">
        <f>IFERROR(-ABS(10*LOG10(($R23/(4*PI()*CONVERT(AU23,"ft","m")^2)))),0)</f>
        <v/>
      </c>
      <c r="BM23" s="155">
        <f>IFERROR(-ABS(10*LOG10(($R23/(4*PI()*CONVERT(AV23,"ft","m")^2)))),0)</f>
        <v/>
      </c>
      <c r="BN23" s="134" t="n"/>
      <c r="BO23" s="134" t="n"/>
      <c r="BP23" s="134" t="n"/>
      <c r="BQ23" s="134" t="n"/>
      <c r="BR23" s="134" t="n"/>
      <c r="BS23" s="134" t="n"/>
      <c r="BT23" s="134" t="n"/>
      <c r="BU23" s="134" t="n"/>
      <c r="BV23" s="140" t="n"/>
      <c r="BW23" s="140" t="n"/>
      <c r="BX23" s="140" t="n"/>
      <c r="BY23" s="140" t="n"/>
      <c r="BZ23" s="140" t="n"/>
      <c r="CA23" s="140" t="n"/>
      <c r="CB23" s="140" t="n"/>
      <c r="CC23" s="140" t="n"/>
      <c r="CD23" s="140" t="n"/>
      <c r="CE23" s="140" t="n"/>
      <c r="CF23" s="140" t="n"/>
      <c r="CG23" s="140" t="n"/>
      <c r="CH23" s="140" t="n"/>
      <c r="CI23" s="140" t="n"/>
      <c r="CJ23" s="140" t="n"/>
      <c r="CK23" s="134" t="n"/>
      <c r="CL23" s="134" t="n"/>
      <c r="CM23" s="156">
        <f>IF( CM$1= 0,"",$Q23-$S23+AY23-BV23)</f>
        <v/>
      </c>
      <c r="CN23" s="157">
        <f>IF( CN$1= 0,"",$Q23-$S23+AZ23-BW23)</f>
        <v/>
      </c>
      <c r="CO23" s="157">
        <f>IF( CO$1= 0,"",$Q23-$S23+BA23-BX23)</f>
        <v/>
      </c>
      <c r="CP23" s="157">
        <f>IF( CP$1= 0,"",$Q23-$S23+BB23-BY23)</f>
        <v/>
      </c>
      <c r="CQ23" s="157">
        <f>IF( CQ$1= 0,"",$Q23-$S23+BC23-BZ23)</f>
        <v/>
      </c>
      <c r="CR23" s="157">
        <f>IF( CR$1= 0,"",$Q23-$S23+BD23-CA23)</f>
        <v/>
      </c>
      <c r="CS23" s="157">
        <f>IF( CS$1= 0,"",$Q23-$S23+BE23-CB23)</f>
        <v/>
      </c>
      <c r="CT23" s="157">
        <f>IF( CT$1= 0,"",$Q23-$S23+BF23-CC23)</f>
        <v/>
      </c>
      <c r="CU23" s="158">
        <f>IF( CU$1= 0,"",$Q23-$S23+BG23-CD23)</f>
        <v/>
      </c>
      <c r="CV23" s="158">
        <f>IF( CV$1= 0,"",$Q23-$S23+BH23-CE23)</f>
        <v/>
      </c>
      <c r="CW23" s="158">
        <f>IF( CW$1= 0,"",$Q23-$S23+BI23-CF23)</f>
        <v/>
      </c>
      <c r="CX23" s="158">
        <f>IF( CX$1= 0,"",$Q23-$S23+BJ23-CG23)</f>
        <v/>
      </c>
      <c r="CY23" s="143">
        <f>IF( CY$1= 0,"",$Q23-$S23+BK23-CH23)</f>
        <v/>
      </c>
      <c r="CZ23" s="143">
        <f>IF( CZ$1= 0,"",$Q23-$S23+BL23-CI23)</f>
        <v/>
      </c>
      <c r="DA23" s="144">
        <f>IF( DA$1= 0,"",$Q23-$S23+BM23-CJ23)</f>
        <v/>
      </c>
    </row>
    <row r="24" ht="16.5" customHeight="1">
      <c r="A24" s="145" t="n">
        <v>1</v>
      </c>
      <c r="B24" s="146" t="inlineStr">
        <is>
          <t xml:space="preserve">BEF-R02 </t>
        </is>
      </c>
      <c r="C24" s="146" t="inlineStr">
        <is>
          <t>Inlet</t>
        </is>
      </c>
      <c r="D24" s="147" t="inlineStr">
        <is>
          <t>Greenheck</t>
        </is>
      </c>
      <c r="E24" s="205" t="inlineStr">
        <is>
          <t>CUE-80VG</t>
        </is>
      </c>
      <c r="F24" s="213" t="n"/>
      <c r="G24" s="214" t="n"/>
      <c r="H24" s="214" t="n"/>
      <c r="I24" s="214" t="n"/>
      <c r="J24" s="214" t="n"/>
      <c r="K24" s="214" t="n"/>
      <c r="L24" s="214" t="n"/>
      <c r="M24" s="218" t="n"/>
      <c r="N24" s="213" t="n">
        <v>65.8731209211611</v>
      </c>
      <c r="O24" s="215" t="n">
        <v>0</v>
      </c>
      <c r="P24" s="208" t="n">
        <v>1</v>
      </c>
      <c r="Q24" s="128">
        <f>ROUND(IF(AND(A24&gt;0, O24&gt;0), N24+ABS(10*LOG10(P24/(4*PI()*CONVERT(O24,"ft", "m")^2))), N24),0)</f>
        <v/>
      </c>
      <c r="R24" s="3" t="n">
        <v>2</v>
      </c>
      <c r="S24" s="3" t="n"/>
      <c r="T24" s="214" t="n">
        <v>75.16</v>
      </c>
      <c r="U24" s="214" t="n">
        <v>87.7</v>
      </c>
      <c r="V24" s="109">
        <f>SUM(W24:X24)</f>
        <v/>
      </c>
      <c r="W24" s="81" t="n">
        <v>73</v>
      </c>
      <c r="X24" s="148" t="n">
        <v>2</v>
      </c>
      <c r="Z24" s="115" t="inlineStr">
        <is>
          <t>bar1</t>
        </is>
      </c>
      <c r="AA24" s="112" t="n">
        <v>77.77</v>
      </c>
      <c r="AB24" s="105" t="n">
        <v>86.90000000000001</v>
      </c>
      <c r="AC24" s="106" t="n">
        <v>75.40000000000001</v>
      </c>
      <c r="AD24" s="105" t="n">
        <v>163.68</v>
      </c>
      <c r="AE24" s="105" t="n">
        <v>103.73</v>
      </c>
      <c r="AF24" s="106" t="n">
        <v>75.40000000000001</v>
      </c>
      <c r="AH24" s="168">
        <f t="array" ref="AH24">IF(AH$1=0,"",SQRT((_xlfn.XLOOKUP(AH$1,$Z$2:$Z$18,$AA$2:$AA$18)-$T24)^2+(_xlfn.XLOOKUP(AH$1,$Z$2:$Z$18,$AB$2:$AB$18)-$U24)^2+(_xlfn.XLOOKUP(AH$1,$Z$2:$Z$18,$AC$2:$AC$18-$V24)^2)))</f>
        <v/>
      </c>
      <c r="AI24" s="150">
        <f t="array" ref="AI24">IF(AI$1=0,"",SQRT((_xlfn.XLOOKUP(AI$1,$Z$2:$Z$18,$AA$2:$AA$18)-$T24)^2+(_xlfn.XLOOKUP(AI$1,$Z$2:$Z$18,$AB$2:$AB$18)-$U24)^2+(_xlfn.XLOOKUP(AI$1,$Z$2:$Z$18,$AC$2:$AC$18-$V24)^2)))</f>
        <v/>
      </c>
      <c r="AJ24" s="150">
        <f t="array" ref="AJ24">IF(AJ$1=0,"",SQRT((_xlfn.XLOOKUP(AJ$1,$Z$2:$Z$18,$AA$2:$AA$18)-$T24)^2+(_xlfn.XLOOKUP(AJ$1,$Z$2:$Z$18,$AB$2:$AB$18)-$U24)^2+(_xlfn.XLOOKUP(AJ$1,$Z$2:$Z$18,$AC$2:$AC$18-$V24)^2)))</f>
        <v/>
      </c>
      <c r="AK24" s="150">
        <f t="array" ref="AK24">IF(AK$1=0,"",SQRT((_xlfn.XLOOKUP(AK$1,$Z$2:$Z$18,$AA$2:$AA$18)-$T24)^2+(_xlfn.XLOOKUP(AK$1,$Z$2:$Z$18,$AB$2:$AB$18)-$U24)^2+(_xlfn.XLOOKUP(AK$1,$Z$2:$Z$18,$AC$2:$AC$18-$V24)^2)))</f>
        <v/>
      </c>
      <c r="AL24" s="150">
        <f t="array" ref="AL24">IF(AL$1=0,"",SQRT((_xlfn.XLOOKUP(AL$1,$Z$2:$Z$18,$AA$2:$AA$18)-$T24)^2+(_xlfn.XLOOKUP(AL$1,$Z$2:$Z$18,$AB$2:$AB$18)-$U24)^2+(_xlfn.XLOOKUP(AL$1,$Z$2:$Z$18,$AC$2:$AC$18-$V24)^2)))</f>
        <v/>
      </c>
      <c r="AM24" s="150">
        <f t="array" ref="AM24">IF(AM$1=0,"",SQRT((_xlfn.XLOOKUP(AM$1,$Z$2:$Z$18,$AA$2:$AA$18)-$T24)^2+(_xlfn.XLOOKUP(AM$1,$Z$2:$Z$18,$AB$2:$AB$18)-$U24)^2+(_xlfn.XLOOKUP(AM$1,$Z$2:$Z$18,$AC$2:$AC$18-$V24)^2)))</f>
        <v/>
      </c>
      <c r="AN24" s="150">
        <f t="array" ref="AN24">IF(AN$1=0,"",SQRT((_xlfn.XLOOKUP(AN$1,$Z$2:$Z$18,$AA$2:$AA$18)-$T24)^2+(_xlfn.XLOOKUP(AN$1,$Z$2:$Z$18,$AB$2:$AB$18)-$U24)^2+(_xlfn.XLOOKUP(AN$1,$Z$2:$Z$18,$AC$2:$AC$18-$V24)^2)))</f>
        <v/>
      </c>
      <c r="AO24" s="150">
        <f t="array" ref="AO24">IF(AO$1=0,"",SQRT((_xlfn.XLOOKUP(AO$1,$Z$2:$Z$18,$AA$2:$AA$18)-$T24)^2+(_xlfn.XLOOKUP(AO$1,$Z$2:$Z$18,$AB$2:$AB$18)-$U24)^2+(_xlfn.XLOOKUP(AO$1,$Z$2:$Z$18,$AC$2:$AC$18-$V24)^2)))</f>
        <v/>
      </c>
      <c r="AP24" s="151">
        <f t="array" ref="AP24">IF(AP$1=0,"",SQRT((_xlfn.XLOOKUP(AP$1,$Z$2:$Z$18,$AA$2:$AA$18)-$T24)^2+(_xlfn.XLOOKUP(AP$1,$Z$2:$Z$18,$AB$2:$AB$18)-$U24)^2+(_xlfn.XLOOKUP(AP$1,$Z$2:$Z$18,$AC$2:$AC$18-$V24)^2)))</f>
        <v/>
      </c>
      <c r="AQ24" s="151">
        <f t="array" ref="AQ24">IF(AQ$1=0,"",SQRT((_xlfn.XLOOKUP(AQ$1,$Z$2:$Z$18,$AA$2:$AA$18)-$T24)^2+(_xlfn.XLOOKUP(AQ$1,$Z$2:$Z$18,$AB$2:$AB$18)-$U24)^2+(_xlfn.XLOOKUP(AQ$1,$Z$2:$Z$18,$AC$2:$AC$18-$V24)^2)))</f>
        <v/>
      </c>
      <c r="AR24" s="151">
        <f t="array" ref="AR24">IF(AR$1=0,"",SQRT((_xlfn.XLOOKUP(AR$1,$Z$2:$Z$18,$AA$2:$AA$18)-$T24)^2+(_xlfn.XLOOKUP(AR$1,$Z$2:$Z$18,$AB$2:$AB$18)-$U24)^2+(_xlfn.XLOOKUP(AR$1,$Z$2:$Z$18,$AC$2:$AC$18-$V24)^2)))</f>
        <v/>
      </c>
      <c r="AS24" s="151">
        <f t="array" ref="AS24">IF(AS$1=0,"",SQRT((_xlfn.XLOOKUP(AS$1,$Z$2:$Z$18,$AA$2:$AA$18)-$T24)^2+(_xlfn.XLOOKUP(AS$1,$Z$2:$Z$18,$AB$2:$AB$18)-$U24)^2+(_xlfn.XLOOKUP(AS$1,$Z$2:$Z$18,$AC$2:$AC$18-$V24)^2)))</f>
        <v/>
      </c>
      <c r="AT24" s="151">
        <f t="array" ref="AT24">IF(AT$1=0,"",SQRT((_xlfn.XLOOKUP(AT$1,$Z$2:$Z$18,$AA$2:$AA$18)-$T24)^2+(_xlfn.XLOOKUP(AT$1,$Z$2:$Z$18,$AB$2:$AB$18)-$U24)^2+(_xlfn.XLOOKUP(AT$1,$Z$2:$Z$18,$AC$2:$AC$18-$V24)^2)))</f>
        <v/>
      </c>
      <c r="AU24" s="151">
        <f t="array" ref="AU24">IF(AU$1=0,"",SQRT((_xlfn.XLOOKUP(AU$1,$Z$2:$Z$18,$AA$2:$AA$18)-$T24)^2+(_xlfn.XLOOKUP(AU$1,$Z$2:$Z$18,$AB$2:$AB$18)-$U24)^2+(_xlfn.XLOOKUP(AU$1,$Z$2:$Z$18,$AC$2:$AC$18-$V24)^2)))</f>
        <v/>
      </c>
      <c r="AV24" s="152">
        <f t="array" ref="AV24">IF(AV$1=0,"",SQRT((_xlfn.XLOOKUP(AV$1,$Z$2:$Z$18,$AA$2:$AA$18)-$T24)^2+(_xlfn.XLOOKUP(AV$1,$Z$2:$Z$18,$AB$2:$AB$18)-$U24)^2+(_xlfn.XLOOKUP(AV$1,$Z$2:$Z$18,$AC$2:$AC$18-$V24)^2)))</f>
        <v/>
      </c>
      <c r="AW24" s="134" t="n"/>
      <c r="AX24" s="134" t="n"/>
      <c r="AY24" s="135">
        <f>IFERROR(-ABS(10*LOG10(($R24/(4*PI()*CONVERT(AH24,"ft","m")^2)))),0)</f>
        <v/>
      </c>
      <c r="AZ24" s="153">
        <f>IFERROR(-ABS(10*LOG10(($R24/(4*PI()*CONVERT(AI24,"ft","m")^2)))),0)</f>
        <v/>
      </c>
      <c r="BA24" s="153">
        <f>IFERROR(-ABS(10*LOG10(($R24/(4*PI()*CONVERT(AJ24,"ft","m")^2)))),0)</f>
        <v/>
      </c>
      <c r="BB24" s="153">
        <f>IFERROR(-ABS(10*LOG10(($R24/(4*PI()*CONVERT(AK24,"ft","m")^2)))),0)</f>
        <v/>
      </c>
      <c r="BC24" s="153">
        <f>IFERROR(-ABS(10*LOG10(($R24/(4*PI()*CONVERT(AL24,"ft","m")^2)))),0)</f>
        <v/>
      </c>
      <c r="BD24" s="153">
        <f>IFERROR(-ABS(10*LOG10(($R24/(4*PI()*CONVERT(AM24,"ft","m")^2)))),0)</f>
        <v/>
      </c>
      <c r="BE24" s="153">
        <f>IFERROR(-ABS(10*LOG10(($R24/(4*PI()*CONVERT(AN24,"ft","m")^2)))),0)</f>
        <v/>
      </c>
      <c r="BF24" s="153">
        <f>IFERROR(-ABS(10*LOG10(($R24/(4*PI()*CONVERT(AO24,"ft","m")^2)))),0)</f>
        <v/>
      </c>
      <c r="BG24" s="154">
        <f>IFERROR(-ABS(10*LOG10(($R24/(4*PI()*CONVERT(AP24,"ft","m")^2)))),0)</f>
        <v/>
      </c>
      <c r="BH24" s="154">
        <f>IFERROR(-ABS(10*LOG10(($R24/(4*PI()*CONVERT(AQ24,"ft","m")^2)))),0)</f>
        <v/>
      </c>
      <c r="BI24" s="154">
        <f>IFERROR(-ABS(10*LOG10(($R24/(4*PI()*CONVERT(AR24,"ft","m")^2)))),0)</f>
        <v/>
      </c>
      <c r="BJ24" s="154">
        <f>IFERROR(-ABS(10*LOG10(($R24/(4*PI()*CONVERT(AS24,"ft","m")^2)))),0)</f>
        <v/>
      </c>
      <c r="BK24" s="154">
        <f>IFERROR(-ABS(10*LOG10(($R24/(4*PI()*CONVERT(AT24,"ft","m")^2)))),0)</f>
        <v/>
      </c>
      <c r="BL24" s="154">
        <f>IFERROR(-ABS(10*LOG10(($R24/(4*PI()*CONVERT(AU24,"ft","m")^2)))),0)</f>
        <v/>
      </c>
      <c r="BM24" s="155">
        <f>IFERROR(-ABS(10*LOG10(($R24/(4*PI()*CONVERT(AV24,"ft","m")^2)))),0)</f>
        <v/>
      </c>
      <c r="BN24" s="134" t="n"/>
      <c r="BO24" s="134" t="n"/>
      <c r="BP24" s="134" t="n"/>
      <c r="BQ24" s="134" t="n"/>
      <c r="BR24" s="134" t="n"/>
      <c r="BS24" s="134" t="n"/>
      <c r="BT24" s="134" t="n"/>
      <c r="BU24" s="134" t="n"/>
      <c r="BV24" s="140" t="n"/>
      <c r="BW24" s="140" t="n"/>
      <c r="BX24" s="140" t="n"/>
      <c r="BY24" s="140" t="n"/>
      <c r="BZ24" s="140" t="n"/>
      <c r="CA24" s="140" t="n"/>
      <c r="CB24" s="140" t="n"/>
      <c r="CC24" s="140" t="n"/>
      <c r="CD24" s="140" t="n"/>
      <c r="CE24" s="140" t="n"/>
      <c r="CF24" s="140" t="n"/>
      <c r="CG24" s="140" t="n"/>
      <c r="CH24" s="140" t="n"/>
      <c r="CI24" s="140" t="n"/>
      <c r="CJ24" s="140" t="n"/>
      <c r="CK24" s="134" t="n"/>
      <c r="CL24" s="134" t="n"/>
      <c r="CM24" s="156">
        <f>IF( CM$1= 0,"",$Q24-$S24+AY24-BV24)</f>
        <v/>
      </c>
      <c r="CN24" s="157">
        <f>IF( CN$1= 0,"",$Q24-$S24+AZ24-BW24)</f>
        <v/>
      </c>
      <c r="CO24" s="157">
        <f>IF( CO$1= 0,"",$Q24-$S24+BA24-BX24)</f>
        <v/>
      </c>
      <c r="CP24" s="157">
        <f>IF( CP$1= 0,"",$Q24-$S24+BB24-BY24)</f>
        <v/>
      </c>
      <c r="CQ24" s="157">
        <f>IF( CQ$1= 0,"",$Q24-$S24+BC24-BZ24)</f>
        <v/>
      </c>
      <c r="CR24" s="157">
        <f>IF( CR$1= 0,"",$Q24-$S24+BD24-CA24)</f>
        <v/>
      </c>
      <c r="CS24" s="157">
        <f>IF( CS$1= 0,"",$Q24-$S24+BE24-CB24)</f>
        <v/>
      </c>
      <c r="CT24" s="157">
        <f>IF( CT$1= 0,"",$Q24-$S24+BF24-CC24)</f>
        <v/>
      </c>
      <c r="CU24" s="158">
        <f>IF( CU$1= 0,"",$Q24-$S24+BG24-CD24)</f>
        <v/>
      </c>
      <c r="CV24" s="158">
        <f>IF( CV$1= 0,"",$Q24-$S24+BH24-CE24)</f>
        <v/>
      </c>
      <c r="CW24" s="158">
        <f>IF( CW$1= 0,"",$Q24-$S24+BI24-CF24)</f>
        <v/>
      </c>
      <c r="CX24" s="158">
        <f>IF( CX$1= 0,"",$Q24-$S24+BJ24-CG24)</f>
        <v/>
      </c>
      <c r="CY24" s="143">
        <f>IF( CY$1= 0,"",$Q24-$S24+BK24-CH24)</f>
        <v/>
      </c>
      <c r="CZ24" s="143">
        <f>IF( CZ$1= 0,"",$Q24-$S24+BL24-CI24)</f>
        <v/>
      </c>
      <c r="DA24" s="144">
        <f>IF( DA$1= 0,"",$Q24-$S24+BM24-CJ24)</f>
        <v/>
      </c>
    </row>
    <row r="25" ht="16.5" customHeight="1">
      <c r="A25" s="145" t="n">
        <v>1</v>
      </c>
      <c r="B25" s="146" t="inlineStr">
        <is>
          <t xml:space="preserve">BEF-R03 </t>
        </is>
      </c>
      <c r="C25" s="146" t="inlineStr">
        <is>
          <t>Inlet</t>
        </is>
      </c>
      <c r="D25" s="147" t="inlineStr">
        <is>
          <t>Greenheck</t>
        </is>
      </c>
      <c r="E25" s="205" t="inlineStr">
        <is>
          <t>CUE-80VG</t>
        </is>
      </c>
      <c r="F25" s="213" t="n"/>
      <c r="G25" s="214" t="n"/>
      <c r="H25" s="214" t="n"/>
      <c r="I25" s="214" t="n"/>
      <c r="J25" s="214" t="n"/>
      <c r="K25" s="214" t="n"/>
      <c r="L25" s="214" t="n"/>
      <c r="M25" s="218" t="n"/>
      <c r="N25" s="213" t="n">
        <v>65.8731209211611</v>
      </c>
      <c r="O25" s="215" t="n">
        <v>0</v>
      </c>
      <c r="P25" s="208" t="n">
        <v>1</v>
      </c>
      <c r="Q25" s="128">
        <f>ROUND(IF(AND(A25&gt;0, O25&gt;0), N25+ABS(10*LOG10(P25/(4*PI()*CONVERT(O25,"ft", "m")^2))), N25),0)</f>
        <v/>
      </c>
      <c r="R25" s="3" t="n">
        <v>2</v>
      </c>
      <c r="S25" s="3" t="n"/>
      <c r="T25" s="214" t="n">
        <v>104.4</v>
      </c>
      <c r="U25" s="214" t="n">
        <v>93.12</v>
      </c>
      <c r="V25" s="109">
        <f>SUM(W25:X25)</f>
        <v/>
      </c>
      <c r="W25" s="81" t="n">
        <v>73</v>
      </c>
      <c r="X25" s="148" t="n">
        <v>2</v>
      </c>
      <c r="Z25" s="115" t="inlineStr">
        <is>
          <t>bar2</t>
        </is>
      </c>
      <c r="AA25" s="113" t="n">
        <v>163.68</v>
      </c>
      <c r="AB25" s="52" t="n">
        <v>103.84</v>
      </c>
      <c r="AC25" s="106" t="n">
        <v>75.40000000000001</v>
      </c>
      <c r="AD25" s="52" t="n">
        <v>176.44</v>
      </c>
      <c r="AE25" s="52" t="n">
        <v>39.71</v>
      </c>
      <c r="AF25" s="53" t="n">
        <v>75.40000000000001</v>
      </c>
      <c r="AH25" s="168">
        <f t="array" ref="AH25">IF(AH$1=0,"",SQRT((_xlfn.XLOOKUP(AH$1,$Z$2:$Z$18,$AA$2:$AA$18)-$T25)^2+(_xlfn.XLOOKUP(AH$1,$Z$2:$Z$18,$AB$2:$AB$18)-$U25)^2+(_xlfn.XLOOKUP(AH$1,$Z$2:$Z$18,$AC$2:$AC$18-$V25)^2)))</f>
        <v/>
      </c>
      <c r="AI25" s="150">
        <f t="array" ref="AI25">IF(AI$1=0,"",SQRT((_xlfn.XLOOKUP(AI$1,$Z$2:$Z$18,$AA$2:$AA$18)-$T25)^2+(_xlfn.XLOOKUP(AI$1,$Z$2:$Z$18,$AB$2:$AB$18)-$U25)^2+(_xlfn.XLOOKUP(AI$1,$Z$2:$Z$18,$AC$2:$AC$18-$V25)^2)))</f>
        <v/>
      </c>
      <c r="AJ25" s="150">
        <f t="array" ref="AJ25">IF(AJ$1=0,"",SQRT((_xlfn.XLOOKUP(AJ$1,$Z$2:$Z$18,$AA$2:$AA$18)-$T25)^2+(_xlfn.XLOOKUP(AJ$1,$Z$2:$Z$18,$AB$2:$AB$18)-$U25)^2+(_xlfn.XLOOKUP(AJ$1,$Z$2:$Z$18,$AC$2:$AC$18-$V25)^2)))</f>
        <v/>
      </c>
      <c r="AK25" s="150">
        <f t="array" ref="AK25">IF(AK$1=0,"",SQRT((_xlfn.XLOOKUP(AK$1,$Z$2:$Z$18,$AA$2:$AA$18)-$T25)^2+(_xlfn.XLOOKUP(AK$1,$Z$2:$Z$18,$AB$2:$AB$18)-$U25)^2+(_xlfn.XLOOKUP(AK$1,$Z$2:$Z$18,$AC$2:$AC$18-$V25)^2)))</f>
        <v/>
      </c>
      <c r="AL25" s="150">
        <f t="array" ref="AL25">IF(AL$1=0,"",SQRT((_xlfn.XLOOKUP(AL$1,$Z$2:$Z$18,$AA$2:$AA$18)-$T25)^2+(_xlfn.XLOOKUP(AL$1,$Z$2:$Z$18,$AB$2:$AB$18)-$U25)^2+(_xlfn.XLOOKUP(AL$1,$Z$2:$Z$18,$AC$2:$AC$18-$V25)^2)))</f>
        <v/>
      </c>
      <c r="AM25" s="150">
        <f t="array" ref="AM25">IF(AM$1=0,"",SQRT((_xlfn.XLOOKUP(AM$1,$Z$2:$Z$18,$AA$2:$AA$18)-$T25)^2+(_xlfn.XLOOKUP(AM$1,$Z$2:$Z$18,$AB$2:$AB$18)-$U25)^2+(_xlfn.XLOOKUP(AM$1,$Z$2:$Z$18,$AC$2:$AC$18-$V25)^2)))</f>
        <v/>
      </c>
      <c r="AN25" s="150">
        <f t="array" ref="AN25">IF(AN$1=0,"",SQRT((_xlfn.XLOOKUP(AN$1,$Z$2:$Z$18,$AA$2:$AA$18)-$T25)^2+(_xlfn.XLOOKUP(AN$1,$Z$2:$Z$18,$AB$2:$AB$18)-$U25)^2+(_xlfn.XLOOKUP(AN$1,$Z$2:$Z$18,$AC$2:$AC$18-$V25)^2)))</f>
        <v/>
      </c>
      <c r="AO25" s="150">
        <f t="array" ref="AO25">IF(AO$1=0,"",SQRT((_xlfn.XLOOKUP(AO$1,$Z$2:$Z$18,$AA$2:$AA$18)-$T25)^2+(_xlfn.XLOOKUP(AO$1,$Z$2:$Z$18,$AB$2:$AB$18)-$U25)^2+(_xlfn.XLOOKUP(AO$1,$Z$2:$Z$18,$AC$2:$AC$18-$V25)^2)))</f>
        <v/>
      </c>
      <c r="AP25" s="151">
        <f t="array" ref="AP25">IF(AP$1=0,"",SQRT((_xlfn.XLOOKUP(AP$1,$Z$2:$Z$18,$AA$2:$AA$18)-$T25)^2+(_xlfn.XLOOKUP(AP$1,$Z$2:$Z$18,$AB$2:$AB$18)-$U25)^2+(_xlfn.XLOOKUP(AP$1,$Z$2:$Z$18,$AC$2:$AC$18-$V25)^2)))</f>
        <v/>
      </c>
      <c r="AQ25" s="151">
        <f t="array" ref="AQ25">IF(AQ$1=0,"",SQRT((_xlfn.XLOOKUP(AQ$1,$Z$2:$Z$18,$AA$2:$AA$18)-$T25)^2+(_xlfn.XLOOKUP(AQ$1,$Z$2:$Z$18,$AB$2:$AB$18)-$U25)^2+(_xlfn.XLOOKUP(AQ$1,$Z$2:$Z$18,$AC$2:$AC$18-$V25)^2)))</f>
        <v/>
      </c>
      <c r="AR25" s="151">
        <f t="array" ref="AR25">IF(AR$1=0,"",SQRT((_xlfn.XLOOKUP(AR$1,$Z$2:$Z$18,$AA$2:$AA$18)-$T25)^2+(_xlfn.XLOOKUP(AR$1,$Z$2:$Z$18,$AB$2:$AB$18)-$U25)^2+(_xlfn.XLOOKUP(AR$1,$Z$2:$Z$18,$AC$2:$AC$18-$V25)^2)))</f>
        <v/>
      </c>
      <c r="AS25" s="151">
        <f t="array" ref="AS25">IF(AS$1=0,"",SQRT((_xlfn.XLOOKUP(AS$1,$Z$2:$Z$18,$AA$2:$AA$18)-$T25)^2+(_xlfn.XLOOKUP(AS$1,$Z$2:$Z$18,$AB$2:$AB$18)-$U25)^2+(_xlfn.XLOOKUP(AS$1,$Z$2:$Z$18,$AC$2:$AC$18-$V25)^2)))</f>
        <v/>
      </c>
      <c r="AT25" s="151">
        <f t="array" ref="AT25">IF(AT$1=0,"",SQRT((_xlfn.XLOOKUP(AT$1,$Z$2:$Z$18,$AA$2:$AA$18)-$T25)^2+(_xlfn.XLOOKUP(AT$1,$Z$2:$Z$18,$AB$2:$AB$18)-$U25)^2+(_xlfn.XLOOKUP(AT$1,$Z$2:$Z$18,$AC$2:$AC$18-$V25)^2)))</f>
        <v/>
      </c>
      <c r="AU25" s="151">
        <f t="array" ref="AU25">IF(AU$1=0,"",SQRT((_xlfn.XLOOKUP(AU$1,$Z$2:$Z$18,$AA$2:$AA$18)-$T25)^2+(_xlfn.XLOOKUP(AU$1,$Z$2:$Z$18,$AB$2:$AB$18)-$U25)^2+(_xlfn.XLOOKUP(AU$1,$Z$2:$Z$18,$AC$2:$AC$18-$V25)^2)))</f>
        <v/>
      </c>
      <c r="AV25" s="152">
        <f t="array" ref="AV25">IF(AV$1=0,"",SQRT((_xlfn.XLOOKUP(AV$1,$Z$2:$Z$18,$AA$2:$AA$18)-$T25)^2+(_xlfn.XLOOKUP(AV$1,$Z$2:$Z$18,$AB$2:$AB$18)-$U25)^2+(_xlfn.XLOOKUP(AV$1,$Z$2:$Z$18,$AC$2:$AC$18-$V25)^2)))</f>
        <v/>
      </c>
      <c r="AW25" s="134" t="n"/>
      <c r="AX25" s="134" t="n"/>
      <c r="AY25" s="135">
        <f>IFERROR(-ABS(10*LOG10(($R25/(4*PI()*CONVERT(AH25,"ft","m")^2)))),0)</f>
        <v/>
      </c>
      <c r="AZ25" s="153">
        <f>IFERROR(-ABS(10*LOG10(($R25/(4*PI()*CONVERT(AI25,"ft","m")^2)))),0)</f>
        <v/>
      </c>
      <c r="BA25" s="153">
        <f>IFERROR(-ABS(10*LOG10(($R25/(4*PI()*CONVERT(AJ25,"ft","m")^2)))),0)</f>
        <v/>
      </c>
      <c r="BB25" s="153">
        <f>IFERROR(-ABS(10*LOG10(($R25/(4*PI()*CONVERT(AK25,"ft","m")^2)))),0)</f>
        <v/>
      </c>
      <c r="BC25" s="153">
        <f>IFERROR(-ABS(10*LOG10(($R25/(4*PI()*CONVERT(AL25,"ft","m")^2)))),0)</f>
        <v/>
      </c>
      <c r="BD25" s="153">
        <f>IFERROR(-ABS(10*LOG10(($R25/(4*PI()*CONVERT(AM25,"ft","m")^2)))),0)</f>
        <v/>
      </c>
      <c r="BE25" s="153">
        <f>IFERROR(-ABS(10*LOG10(($R25/(4*PI()*CONVERT(AN25,"ft","m")^2)))),0)</f>
        <v/>
      </c>
      <c r="BF25" s="153">
        <f>IFERROR(-ABS(10*LOG10(($R25/(4*PI()*CONVERT(AO25,"ft","m")^2)))),0)</f>
        <v/>
      </c>
      <c r="BG25" s="154">
        <f>IFERROR(-ABS(10*LOG10(($R25/(4*PI()*CONVERT(AP25,"ft","m")^2)))),0)</f>
        <v/>
      </c>
      <c r="BH25" s="154">
        <f>IFERROR(-ABS(10*LOG10(($R25/(4*PI()*CONVERT(AQ25,"ft","m")^2)))),0)</f>
        <v/>
      </c>
      <c r="BI25" s="154">
        <f>IFERROR(-ABS(10*LOG10(($R25/(4*PI()*CONVERT(AR25,"ft","m")^2)))),0)</f>
        <v/>
      </c>
      <c r="BJ25" s="154">
        <f>IFERROR(-ABS(10*LOG10(($R25/(4*PI()*CONVERT(AS25,"ft","m")^2)))),0)</f>
        <v/>
      </c>
      <c r="BK25" s="154">
        <f>IFERROR(-ABS(10*LOG10(($R25/(4*PI()*CONVERT(AT25,"ft","m")^2)))),0)</f>
        <v/>
      </c>
      <c r="BL25" s="154">
        <f>IFERROR(-ABS(10*LOG10(($R25/(4*PI()*CONVERT(AU25,"ft","m")^2)))),0)</f>
        <v/>
      </c>
      <c r="BM25" s="155">
        <f>IFERROR(-ABS(10*LOG10(($R25/(4*PI()*CONVERT(AV25,"ft","m")^2)))),0)</f>
        <v/>
      </c>
      <c r="BN25" s="134" t="n"/>
      <c r="BO25" s="134" t="n"/>
      <c r="BP25" s="134" t="n"/>
      <c r="BQ25" s="134" t="n"/>
      <c r="BR25" s="134" t="n"/>
      <c r="BS25" s="134" t="n"/>
      <c r="BT25" s="134" t="n"/>
      <c r="BU25" s="134" t="n"/>
      <c r="BV25" s="140" t="n"/>
      <c r="BW25" s="140" t="n"/>
      <c r="BX25" s="140" t="n"/>
      <c r="BY25" s="140" t="n"/>
      <c r="BZ25" s="140" t="n"/>
      <c r="CA25" s="140" t="n"/>
      <c r="CB25" s="140" t="n"/>
      <c r="CC25" s="140" t="n"/>
      <c r="CD25" s="140" t="n"/>
      <c r="CE25" s="140" t="n"/>
      <c r="CF25" s="140" t="n"/>
      <c r="CG25" s="140" t="n"/>
      <c r="CH25" s="140" t="n"/>
      <c r="CI25" s="140" t="n"/>
      <c r="CJ25" s="140" t="n"/>
      <c r="CK25" s="134" t="n"/>
      <c r="CL25" s="134" t="n"/>
      <c r="CM25" s="156">
        <f>IF( CM$1= 0,"",$Q25-$S25+AY25-BV25)</f>
        <v/>
      </c>
      <c r="CN25" s="157">
        <f>IF( CN$1= 0,"",$Q25-$S25+AZ25-BW25)</f>
        <v/>
      </c>
      <c r="CO25" s="157">
        <f>IF( CO$1= 0,"",$Q25-$S25+BA25-BX25)</f>
        <v/>
      </c>
      <c r="CP25" s="157">
        <f>IF( CP$1= 0,"",$Q25-$S25+BB25-BY25)</f>
        <v/>
      </c>
      <c r="CQ25" s="157">
        <f>IF( CQ$1= 0,"",$Q25-$S25+BC25-BZ25)</f>
        <v/>
      </c>
      <c r="CR25" s="157">
        <f>IF( CR$1= 0,"",$Q25-$S25+BD25-CA25)</f>
        <v/>
      </c>
      <c r="CS25" s="157">
        <f>IF( CS$1= 0,"",$Q25-$S25+BE25-CB25)</f>
        <v/>
      </c>
      <c r="CT25" s="157">
        <f>IF( CT$1= 0,"",$Q25-$S25+BF25-CC25)</f>
        <v/>
      </c>
      <c r="CU25" s="158">
        <f>IF( CU$1= 0,"",$Q25-$S25+BG25-CD25)</f>
        <v/>
      </c>
      <c r="CV25" s="158">
        <f>IF( CV$1= 0,"",$Q25-$S25+BH25-CE25)</f>
        <v/>
      </c>
      <c r="CW25" s="158">
        <f>IF( CW$1= 0,"",$Q25-$S25+BI25-CF25)</f>
        <v/>
      </c>
      <c r="CX25" s="158">
        <f>IF( CX$1= 0,"",$Q25-$S25+BJ25-CG25)</f>
        <v/>
      </c>
      <c r="CY25" s="143">
        <f>IF( CY$1= 0,"",$Q25-$S25+BK25-CH25)</f>
        <v/>
      </c>
      <c r="CZ25" s="143">
        <f>IF( CZ$1= 0,"",$Q25-$S25+BL25-CI25)</f>
        <v/>
      </c>
      <c r="DA25" s="144">
        <f>IF( DA$1= 0,"",$Q25-$S25+BM25-CJ25)</f>
        <v/>
      </c>
    </row>
    <row r="26" ht="16.5" customHeight="1">
      <c r="A26" s="145" t="n">
        <v>1</v>
      </c>
      <c r="B26" s="146" t="inlineStr">
        <is>
          <t xml:space="preserve">BEF-R04 </t>
        </is>
      </c>
      <c r="C26" s="146" t="inlineStr">
        <is>
          <t>Inlet</t>
        </is>
      </c>
      <c r="D26" s="147" t="inlineStr">
        <is>
          <t>Greenheck</t>
        </is>
      </c>
      <c r="E26" s="205" t="inlineStr">
        <is>
          <t>CUE-80VG</t>
        </is>
      </c>
      <c r="F26" s="213" t="n"/>
      <c r="G26" s="214" t="n"/>
      <c r="H26" s="214" t="n"/>
      <c r="I26" s="214" t="n"/>
      <c r="J26" s="214" t="n"/>
      <c r="K26" s="214" t="n"/>
      <c r="L26" s="214" t="n"/>
      <c r="M26" s="218" t="n"/>
      <c r="N26" s="213" t="n">
        <v>65.8731209211611</v>
      </c>
      <c r="O26" s="215" t="n">
        <v>0</v>
      </c>
      <c r="P26" s="208" t="n">
        <v>1</v>
      </c>
      <c r="Q26" s="128">
        <f>ROUND(IF(AND(A26&gt;0, O26&gt;0), N26+ABS(10*LOG10(P26/(4*PI()*CONVERT(O26,"ft", "m")^2))), N26),0)</f>
        <v/>
      </c>
      <c r="R26" s="3" t="n">
        <v>2</v>
      </c>
      <c r="S26" s="3" t="n"/>
      <c r="T26" s="214" t="n">
        <v>130.89</v>
      </c>
      <c r="U26" s="214" t="n">
        <v>100.62</v>
      </c>
      <c r="V26" s="109">
        <f>SUM(W26:X26)</f>
        <v/>
      </c>
      <c r="W26" s="81" t="n">
        <v>73</v>
      </c>
      <c r="X26" s="148" t="n">
        <v>2</v>
      </c>
      <c r="Z26" s="115" t="inlineStr">
        <is>
          <t>bar3</t>
        </is>
      </c>
      <c r="AA26" s="113" t="n">
        <v>176.56</v>
      </c>
      <c r="AB26" s="52" t="n">
        <v>40.15</v>
      </c>
      <c r="AC26" s="106" t="n">
        <v>75.40000000000001</v>
      </c>
      <c r="AD26" s="52" t="n">
        <v>208.02</v>
      </c>
      <c r="AE26" s="52" t="n">
        <v>46.53</v>
      </c>
      <c r="AF26" s="53" t="n">
        <v>75.40000000000001</v>
      </c>
      <c r="AH26" s="168">
        <f t="array" ref="AH26">IF(AH$1=0,"",SQRT((_xlfn.XLOOKUP(AH$1,$Z$2:$Z$18,$AA$2:$AA$18)-$T26)^2+(_xlfn.XLOOKUP(AH$1,$Z$2:$Z$18,$AB$2:$AB$18)-$U26)^2+(_xlfn.XLOOKUP(AH$1,$Z$2:$Z$18,$AC$2:$AC$18-$V26)^2)))</f>
        <v/>
      </c>
      <c r="AI26" s="150">
        <f t="array" ref="AI26">IF(AI$1=0,"",SQRT((_xlfn.XLOOKUP(AI$1,$Z$2:$Z$18,$AA$2:$AA$18)-$T26)^2+(_xlfn.XLOOKUP(AI$1,$Z$2:$Z$18,$AB$2:$AB$18)-$U26)^2+(_xlfn.XLOOKUP(AI$1,$Z$2:$Z$18,$AC$2:$AC$18-$V26)^2)))</f>
        <v/>
      </c>
      <c r="AJ26" s="150">
        <f t="array" ref="AJ26">IF(AJ$1=0,"",SQRT((_xlfn.XLOOKUP(AJ$1,$Z$2:$Z$18,$AA$2:$AA$18)-$T26)^2+(_xlfn.XLOOKUP(AJ$1,$Z$2:$Z$18,$AB$2:$AB$18)-$U26)^2+(_xlfn.XLOOKUP(AJ$1,$Z$2:$Z$18,$AC$2:$AC$18-$V26)^2)))</f>
        <v/>
      </c>
      <c r="AK26" s="150">
        <f t="array" ref="AK26">IF(AK$1=0,"",SQRT((_xlfn.XLOOKUP(AK$1,$Z$2:$Z$18,$AA$2:$AA$18)-$T26)^2+(_xlfn.XLOOKUP(AK$1,$Z$2:$Z$18,$AB$2:$AB$18)-$U26)^2+(_xlfn.XLOOKUP(AK$1,$Z$2:$Z$18,$AC$2:$AC$18-$V26)^2)))</f>
        <v/>
      </c>
      <c r="AL26" s="150">
        <f t="array" ref="AL26">IF(AL$1=0,"",SQRT((_xlfn.XLOOKUP(AL$1,$Z$2:$Z$18,$AA$2:$AA$18)-$T26)^2+(_xlfn.XLOOKUP(AL$1,$Z$2:$Z$18,$AB$2:$AB$18)-$U26)^2+(_xlfn.XLOOKUP(AL$1,$Z$2:$Z$18,$AC$2:$AC$18-$V26)^2)))</f>
        <v/>
      </c>
      <c r="AM26" s="150">
        <f t="array" ref="AM26">IF(AM$1=0,"",SQRT((_xlfn.XLOOKUP(AM$1,$Z$2:$Z$18,$AA$2:$AA$18)-$T26)^2+(_xlfn.XLOOKUP(AM$1,$Z$2:$Z$18,$AB$2:$AB$18)-$U26)^2+(_xlfn.XLOOKUP(AM$1,$Z$2:$Z$18,$AC$2:$AC$18-$V26)^2)))</f>
        <v/>
      </c>
      <c r="AN26" s="150">
        <f t="array" ref="AN26">IF(AN$1=0,"",SQRT((_xlfn.XLOOKUP(AN$1,$Z$2:$Z$18,$AA$2:$AA$18)-$T26)^2+(_xlfn.XLOOKUP(AN$1,$Z$2:$Z$18,$AB$2:$AB$18)-$U26)^2+(_xlfn.XLOOKUP(AN$1,$Z$2:$Z$18,$AC$2:$AC$18-$V26)^2)))</f>
        <v/>
      </c>
      <c r="AO26" s="150">
        <f t="array" ref="AO26">IF(AO$1=0,"",SQRT((_xlfn.XLOOKUP(AO$1,$Z$2:$Z$18,$AA$2:$AA$18)-$T26)^2+(_xlfn.XLOOKUP(AO$1,$Z$2:$Z$18,$AB$2:$AB$18)-$U26)^2+(_xlfn.XLOOKUP(AO$1,$Z$2:$Z$18,$AC$2:$AC$18-$V26)^2)))</f>
        <v/>
      </c>
      <c r="AP26" s="151">
        <f t="array" ref="AP26">IF(AP$1=0,"",SQRT((_xlfn.XLOOKUP(AP$1,$Z$2:$Z$18,$AA$2:$AA$18)-$T26)^2+(_xlfn.XLOOKUP(AP$1,$Z$2:$Z$18,$AB$2:$AB$18)-$U26)^2+(_xlfn.XLOOKUP(AP$1,$Z$2:$Z$18,$AC$2:$AC$18-$V26)^2)))</f>
        <v/>
      </c>
      <c r="AQ26" s="151">
        <f t="array" ref="AQ26">IF(AQ$1=0,"",SQRT((_xlfn.XLOOKUP(AQ$1,$Z$2:$Z$18,$AA$2:$AA$18)-$T26)^2+(_xlfn.XLOOKUP(AQ$1,$Z$2:$Z$18,$AB$2:$AB$18)-$U26)^2+(_xlfn.XLOOKUP(AQ$1,$Z$2:$Z$18,$AC$2:$AC$18-$V26)^2)))</f>
        <v/>
      </c>
      <c r="AR26" s="151">
        <f t="array" ref="AR26">IF(AR$1=0,"",SQRT((_xlfn.XLOOKUP(AR$1,$Z$2:$Z$18,$AA$2:$AA$18)-$T26)^2+(_xlfn.XLOOKUP(AR$1,$Z$2:$Z$18,$AB$2:$AB$18)-$U26)^2+(_xlfn.XLOOKUP(AR$1,$Z$2:$Z$18,$AC$2:$AC$18-$V26)^2)))</f>
        <v/>
      </c>
      <c r="AS26" s="151">
        <f t="array" ref="AS26">IF(AS$1=0,"",SQRT((_xlfn.XLOOKUP(AS$1,$Z$2:$Z$18,$AA$2:$AA$18)-$T26)^2+(_xlfn.XLOOKUP(AS$1,$Z$2:$Z$18,$AB$2:$AB$18)-$U26)^2+(_xlfn.XLOOKUP(AS$1,$Z$2:$Z$18,$AC$2:$AC$18-$V26)^2)))</f>
        <v/>
      </c>
      <c r="AT26" s="151">
        <f t="array" ref="AT26">IF(AT$1=0,"",SQRT((_xlfn.XLOOKUP(AT$1,$Z$2:$Z$18,$AA$2:$AA$18)-$T26)^2+(_xlfn.XLOOKUP(AT$1,$Z$2:$Z$18,$AB$2:$AB$18)-$U26)^2+(_xlfn.XLOOKUP(AT$1,$Z$2:$Z$18,$AC$2:$AC$18-$V26)^2)))</f>
        <v/>
      </c>
      <c r="AU26" s="151">
        <f t="array" ref="AU26">IF(AU$1=0,"",SQRT((_xlfn.XLOOKUP(AU$1,$Z$2:$Z$18,$AA$2:$AA$18)-$T26)^2+(_xlfn.XLOOKUP(AU$1,$Z$2:$Z$18,$AB$2:$AB$18)-$U26)^2+(_xlfn.XLOOKUP(AU$1,$Z$2:$Z$18,$AC$2:$AC$18-$V26)^2)))</f>
        <v/>
      </c>
      <c r="AV26" s="152">
        <f t="array" ref="AV26">IF(AV$1=0,"",SQRT((_xlfn.XLOOKUP(AV$1,$Z$2:$Z$18,$AA$2:$AA$18)-$T26)^2+(_xlfn.XLOOKUP(AV$1,$Z$2:$Z$18,$AB$2:$AB$18)-$U26)^2+(_xlfn.XLOOKUP(AV$1,$Z$2:$Z$18,$AC$2:$AC$18-$V26)^2)))</f>
        <v/>
      </c>
      <c r="AW26" s="134" t="n"/>
      <c r="AX26" s="134" t="n"/>
      <c r="AY26" s="135">
        <f>IFERROR(-ABS(10*LOG10(($R26/(4*PI()*CONVERT(AH26,"ft","m")^2)))),0)</f>
        <v/>
      </c>
      <c r="AZ26" s="153">
        <f>IFERROR(-ABS(10*LOG10(($R26/(4*PI()*CONVERT(AI26,"ft","m")^2)))),0)</f>
        <v/>
      </c>
      <c r="BA26" s="153">
        <f>IFERROR(-ABS(10*LOG10(($R26/(4*PI()*CONVERT(AJ26,"ft","m")^2)))),0)</f>
        <v/>
      </c>
      <c r="BB26" s="153">
        <f>IFERROR(-ABS(10*LOG10(($R26/(4*PI()*CONVERT(AK26,"ft","m")^2)))),0)</f>
        <v/>
      </c>
      <c r="BC26" s="153">
        <f>IFERROR(-ABS(10*LOG10(($R26/(4*PI()*CONVERT(AL26,"ft","m")^2)))),0)</f>
        <v/>
      </c>
      <c r="BD26" s="153">
        <f>IFERROR(-ABS(10*LOG10(($R26/(4*PI()*CONVERT(AM26,"ft","m")^2)))),0)</f>
        <v/>
      </c>
      <c r="BE26" s="153">
        <f>IFERROR(-ABS(10*LOG10(($R26/(4*PI()*CONVERT(AN26,"ft","m")^2)))),0)</f>
        <v/>
      </c>
      <c r="BF26" s="153">
        <f>IFERROR(-ABS(10*LOG10(($R26/(4*PI()*CONVERT(AO26,"ft","m")^2)))),0)</f>
        <v/>
      </c>
      <c r="BG26" s="154">
        <f>IFERROR(-ABS(10*LOG10(($R26/(4*PI()*CONVERT(AP26,"ft","m")^2)))),0)</f>
        <v/>
      </c>
      <c r="BH26" s="154">
        <f>IFERROR(-ABS(10*LOG10(($R26/(4*PI()*CONVERT(AQ26,"ft","m")^2)))),0)</f>
        <v/>
      </c>
      <c r="BI26" s="154">
        <f>IFERROR(-ABS(10*LOG10(($R26/(4*PI()*CONVERT(AR26,"ft","m")^2)))),0)</f>
        <v/>
      </c>
      <c r="BJ26" s="154">
        <f>IFERROR(-ABS(10*LOG10(($R26/(4*PI()*CONVERT(AS26,"ft","m")^2)))),0)</f>
        <v/>
      </c>
      <c r="BK26" s="154">
        <f>IFERROR(-ABS(10*LOG10(($R26/(4*PI()*CONVERT(AT26,"ft","m")^2)))),0)</f>
        <v/>
      </c>
      <c r="BL26" s="154">
        <f>IFERROR(-ABS(10*LOG10(($R26/(4*PI()*CONVERT(AU26,"ft","m")^2)))),0)</f>
        <v/>
      </c>
      <c r="BM26" s="155">
        <f>IFERROR(-ABS(10*LOG10(($R26/(4*PI()*CONVERT(AV26,"ft","m")^2)))),0)</f>
        <v/>
      </c>
      <c r="BN26" s="134" t="n"/>
      <c r="BO26" s="21" t="n"/>
      <c r="BP26" s="37" t="inlineStr">
        <is>
          <t>x</t>
        </is>
      </c>
      <c r="BQ26" s="37" t="inlineStr">
        <is>
          <t>y</t>
        </is>
      </c>
      <c r="BR26" s="21">
        <f>"Path-Length Difference (L) = " &amp;ROUND('Input LwA_XYZ'!BP12,1) &amp;" ft"</f>
        <v/>
      </c>
      <c r="BT26" s="134" t="n"/>
      <c r="BU26" s="134" t="n"/>
      <c r="BV26" s="140" t="n"/>
      <c r="BW26" s="140" t="n"/>
      <c r="BX26" s="140" t="n"/>
      <c r="BY26" s="140" t="n"/>
      <c r="BZ26" s="140" t="n"/>
      <c r="CA26" s="140" t="n"/>
      <c r="CB26" s="140" t="n"/>
      <c r="CC26" s="140" t="n"/>
      <c r="CD26" s="140" t="n"/>
      <c r="CE26" s="140" t="n"/>
      <c r="CF26" s="140" t="n"/>
      <c r="CG26" s="140" t="n"/>
      <c r="CH26" s="140" t="n"/>
      <c r="CI26" s="140" t="n"/>
      <c r="CJ26" s="140" t="n"/>
      <c r="CK26" s="134" t="n"/>
      <c r="CL26" s="134" t="n"/>
      <c r="CM26" s="156">
        <f>IF( CM$1= 0,"",$Q26-$S26+AY26-BV26)</f>
        <v/>
      </c>
      <c r="CN26" s="157">
        <f>IF( CN$1= 0,"",$Q26-$S26+AZ26-BW26)</f>
        <v/>
      </c>
      <c r="CO26" s="157">
        <f>IF( CO$1= 0,"",$Q26-$S26+BA26-BX26)</f>
        <v/>
      </c>
      <c r="CP26" s="157">
        <f>IF( CP$1= 0,"",$Q26-$S26+BB26-BY26)</f>
        <v/>
      </c>
      <c r="CQ26" s="157">
        <f>IF( CQ$1= 0,"",$Q26-$S26+BC26-BZ26)</f>
        <v/>
      </c>
      <c r="CR26" s="157">
        <f>IF( CR$1= 0,"",$Q26-$S26+BD26-CA26)</f>
        <v/>
      </c>
      <c r="CS26" s="157">
        <f>IF( CS$1= 0,"",$Q26-$S26+BE26-CB26)</f>
        <v/>
      </c>
      <c r="CT26" s="157">
        <f>IF( CT$1= 0,"",$Q26-$S26+BF26-CC26)</f>
        <v/>
      </c>
      <c r="CU26" s="158">
        <f>IF( CU$1= 0,"",$Q26-$S26+BG26-CD26)</f>
        <v/>
      </c>
      <c r="CV26" s="158">
        <f>IF( CV$1= 0,"",$Q26-$S26+BH26-CE26)</f>
        <v/>
      </c>
      <c r="CW26" s="158">
        <f>IF( CW$1= 0,"",$Q26-$S26+BI26-CF26)</f>
        <v/>
      </c>
      <c r="CX26" s="158">
        <f>IF( CX$1= 0,"",$Q26-$S26+BJ26-CG26)</f>
        <v/>
      </c>
      <c r="CY26" s="143">
        <f>IF( CY$1= 0,"",$Q26-$S26+BK26-CH26)</f>
        <v/>
      </c>
      <c r="CZ26" s="143">
        <f>IF( CZ$1= 0,"",$Q26-$S26+BL26-CI26)</f>
        <v/>
      </c>
      <c r="DA26" s="144">
        <f>IF( DA$1= 0,"",$Q26-$S26+BM26-CJ26)</f>
        <v/>
      </c>
    </row>
    <row r="27" ht="16.5" customHeight="1">
      <c r="A27" s="145" t="n">
        <v>1</v>
      </c>
      <c r="B27" s="146" t="inlineStr">
        <is>
          <t xml:space="preserve">BEF-R05 </t>
        </is>
      </c>
      <c r="C27" s="146" t="inlineStr">
        <is>
          <t>Inlet</t>
        </is>
      </c>
      <c r="D27" s="147" t="inlineStr">
        <is>
          <t>Greenheck</t>
        </is>
      </c>
      <c r="E27" s="205" t="inlineStr">
        <is>
          <t>CUE-80VG</t>
        </is>
      </c>
      <c r="F27" s="213" t="n"/>
      <c r="G27" s="214" t="n"/>
      <c r="H27" s="214" t="n"/>
      <c r="I27" s="214" t="n"/>
      <c r="J27" s="214" t="n"/>
      <c r="K27" s="214" t="n"/>
      <c r="L27" s="214" t="n"/>
      <c r="M27" s="218" t="n"/>
      <c r="N27" s="213" t="n">
        <v>65.8731209211611</v>
      </c>
      <c r="O27" s="215" t="n">
        <v>0</v>
      </c>
      <c r="P27" s="208" t="n">
        <v>1</v>
      </c>
      <c r="Q27" s="128">
        <f>ROUND(IF(AND(A27&gt;0, O27&gt;0), N27+ABS(10*LOG10(P27/(4*PI()*CONVERT(O27,"ft", "m")^2))), N27),0)</f>
        <v/>
      </c>
      <c r="R27" s="3" t="n">
        <v>2</v>
      </c>
      <c r="S27" s="3" t="n"/>
      <c r="T27" s="214" t="n">
        <v>165.93</v>
      </c>
      <c r="U27" s="214" t="n">
        <v>79.65000000000001</v>
      </c>
      <c r="V27" s="109">
        <f>SUM(W27:X27)</f>
        <v/>
      </c>
      <c r="W27" s="81" t="n">
        <v>73</v>
      </c>
      <c r="X27" s="148" t="n">
        <v>2</v>
      </c>
      <c r="Z27" s="115" t="inlineStr">
        <is>
          <t>bar4</t>
        </is>
      </c>
      <c r="AA27" s="112" t="n">
        <v>207.91</v>
      </c>
      <c r="AB27" s="105" t="n">
        <v>46.31</v>
      </c>
      <c r="AC27" s="106" t="n">
        <v>75.40000000000001</v>
      </c>
      <c r="AD27" s="105" t="n">
        <v>210.77</v>
      </c>
      <c r="AE27" s="105" t="n">
        <v>31.57</v>
      </c>
      <c r="AF27" s="106" t="n">
        <v>75.40000000000001</v>
      </c>
      <c r="AH27" s="168">
        <f t="array" ref="AH27">IF(AH$1=0,"",SQRT((_xlfn.XLOOKUP(AH$1,$Z$2:$Z$18,$AA$2:$AA$18)-$T27)^2+(_xlfn.XLOOKUP(AH$1,$Z$2:$Z$18,$AB$2:$AB$18)-$U27)^2+(_xlfn.XLOOKUP(AH$1,$Z$2:$Z$18,$AC$2:$AC$18-$V27)^2)))</f>
        <v/>
      </c>
      <c r="AI27" s="150">
        <f t="array" ref="AI27">IF(AI$1=0,"",SQRT((_xlfn.XLOOKUP(AI$1,$Z$2:$Z$18,$AA$2:$AA$18)-$T27)^2+(_xlfn.XLOOKUP(AI$1,$Z$2:$Z$18,$AB$2:$AB$18)-$U27)^2+(_xlfn.XLOOKUP(AI$1,$Z$2:$Z$18,$AC$2:$AC$18-$V27)^2)))</f>
        <v/>
      </c>
      <c r="AJ27" s="150">
        <f t="array" ref="AJ27">IF(AJ$1=0,"",SQRT((_xlfn.XLOOKUP(AJ$1,$Z$2:$Z$18,$AA$2:$AA$18)-$T27)^2+(_xlfn.XLOOKUP(AJ$1,$Z$2:$Z$18,$AB$2:$AB$18)-$U27)^2+(_xlfn.XLOOKUP(AJ$1,$Z$2:$Z$18,$AC$2:$AC$18-$V27)^2)))</f>
        <v/>
      </c>
      <c r="AK27" s="150">
        <f t="array" ref="AK27">IF(AK$1=0,"",SQRT((_xlfn.XLOOKUP(AK$1,$Z$2:$Z$18,$AA$2:$AA$18)-$T27)^2+(_xlfn.XLOOKUP(AK$1,$Z$2:$Z$18,$AB$2:$AB$18)-$U27)^2+(_xlfn.XLOOKUP(AK$1,$Z$2:$Z$18,$AC$2:$AC$18-$V27)^2)))</f>
        <v/>
      </c>
      <c r="AL27" s="150">
        <f t="array" ref="AL27">IF(AL$1=0,"",SQRT((_xlfn.XLOOKUP(AL$1,$Z$2:$Z$18,$AA$2:$AA$18)-$T27)^2+(_xlfn.XLOOKUP(AL$1,$Z$2:$Z$18,$AB$2:$AB$18)-$U27)^2+(_xlfn.XLOOKUP(AL$1,$Z$2:$Z$18,$AC$2:$AC$18-$V27)^2)))</f>
        <v/>
      </c>
      <c r="AM27" s="150">
        <f t="array" ref="AM27">IF(AM$1=0,"",SQRT((_xlfn.XLOOKUP(AM$1,$Z$2:$Z$18,$AA$2:$AA$18)-$T27)^2+(_xlfn.XLOOKUP(AM$1,$Z$2:$Z$18,$AB$2:$AB$18)-$U27)^2+(_xlfn.XLOOKUP(AM$1,$Z$2:$Z$18,$AC$2:$AC$18-$V27)^2)))</f>
        <v/>
      </c>
      <c r="AN27" s="150">
        <f t="array" ref="AN27">IF(AN$1=0,"",SQRT((_xlfn.XLOOKUP(AN$1,$Z$2:$Z$18,$AA$2:$AA$18)-$T27)^2+(_xlfn.XLOOKUP(AN$1,$Z$2:$Z$18,$AB$2:$AB$18)-$U27)^2+(_xlfn.XLOOKUP(AN$1,$Z$2:$Z$18,$AC$2:$AC$18-$V27)^2)))</f>
        <v/>
      </c>
      <c r="AO27" s="150">
        <f t="array" ref="AO27">IF(AO$1=0,"",SQRT((_xlfn.XLOOKUP(AO$1,$Z$2:$Z$18,$AA$2:$AA$18)-$T27)^2+(_xlfn.XLOOKUP(AO$1,$Z$2:$Z$18,$AB$2:$AB$18)-$U27)^2+(_xlfn.XLOOKUP(AO$1,$Z$2:$Z$18,$AC$2:$AC$18-$V27)^2)))</f>
        <v/>
      </c>
      <c r="AP27" s="151">
        <f t="array" ref="AP27">IF(AP$1=0,"",SQRT((_xlfn.XLOOKUP(AP$1,$Z$2:$Z$18,$AA$2:$AA$18)-$T27)^2+(_xlfn.XLOOKUP(AP$1,$Z$2:$Z$18,$AB$2:$AB$18)-$U27)^2+(_xlfn.XLOOKUP(AP$1,$Z$2:$Z$18,$AC$2:$AC$18-$V27)^2)))</f>
        <v/>
      </c>
      <c r="AQ27" s="151">
        <f t="array" ref="AQ27">IF(AQ$1=0,"",SQRT((_xlfn.XLOOKUP(AQ$1,$Z$2:$Z$18,$AA$2:$AA$18)-$T27)^2+(_xlfn.XLOOKUP(AQ$1,$Z$2:$Z$18,$AB$2:$AB$18)-$U27)^2+(_xlfn.XLOOKUP(AQ$1,$Z$2:$Z$18,$AC$2:$AC$18-$V27)^2)))</f>
        <v/>
      </c>
      <c r="AR27" s="151">
        <f t="array" ref="AR27">IF(AR$1=0,"",SQRT((_xlfn.XLOOKUP(AR$1,$Z$2:$Z$18,$AA$2:$AA$18)-$T27)^2+(_xlfn.XLOOKUP(AR$1,$Z$2:$Z$18,$AB$2:$AB$18)-$U27)^2+(_xlfn.XLOOKUP(AR$1,$Z$2:$Z$18,$AC$2:$AC$18-$V27)^2)))</f>
        <v/>
      </c>
      <c r="AS27" s="151">
        <f t="array" ref="AS27">IF(AS$1=0,"",SQRT((_xlfn.XLOOKUP(AS$1,$Z$2:$Z$18,$AA$2:$AA$18)-$T27)^2+(_xlfn.XLOOKUP(AS$1,$Z$2:$Z$18,$AB$2:$AB$18)-$U27)^2+(_xlfn.XLOOKUP(AS$1,$Z$2:$Z$18,$AC$2:$AC$18-$V27)^2)))</f>
        <v/>
      </c>
      <c r="AT27" s="151">
        <f t="array" ref="AT27">IF(AT$1=0,"",SQRT((_xlfn.XLOOKUP(AT$1,$Z$2:$Z$18,$AA$2:$AA$18)-$T27)^2+(_xlfn.XLOOKUP(AT$1,$Z$2:$Z$18,$AB$2:$AB$18)-$U27)^2+(_xlfn.XLOOKUP(AT$1,$Z$2:$Z$18,$AC$2:$AC$18-$V27)^2)))</f>
        <v/>
      </c>
      <c r="AU27" s="151">
        <f t="array" ref="AU27">IF(AU$1=0,"",SQRT((_xlfn.XLOOKUP(AU$1,$Z$2:$Z$18,$AA$2:$AA$18)-$T27)^2+(_xlfn.XLOOKUP(AU$1,$Z$2:$Z$18,$AB$2:$AB$18)-$U27)^2+(_xlfn.XLOOKUP(AU$1,$Z$2:$Z$18,$AC$2:$AC$18-$V27)^2)))</f>
        <v/>
      </c>
      <c r="AV27" s="152">
        <f t="array" ref="AV27">IF(AV$1=0,"",SQRT((_xlfn.XLOOKUP(AV$1,$Z$2:$Z$18,$AA$2:$AA$18)-$T27)^2+(_xlfn.XLOOKUP(AV$1,$Z$2:$Z$18,$AB$2:$AB$18)-$U27)^2+(_xlfn.XLOOKUP(AV$1,$Z$2:$Z$18,$AC$2:$AC$18-$V27)^2)))</f>
        <v/>
      </c>
      <c r="AW27" s="134" t="n"/>
      <c r="AX27" s="134" t="n"/>
      <c r="AY27" s="135">
        <f>IFERROR(-ABS(10*LOG10(($R27/(4*PI()*CONVERT(AH27,"ft","m")^2)))),0)</f>
        <v/>
      </c>
      <c r="AZ27" s="153">
        <f>IFERROR(-ABS(10*LOG10(($R27/(4*PI()*CONVERT(AI27,"ft","m")^2)))),0)</f>
        <v/>
      </c>
      <c r="BA27" s="153">
        <f>IFERROR(-ABS(10*LOG10(($R27/(4*PI()*CONVERT(AJ27,"ft","m")^2)))),0)</f>
        <v/>
      </c>
      <c r="BB27" s="153">
        <f>IFERROR(-ABS(10*LOG10(($R27/(4*PI()*CONVERT(AK27,"ft","m")^2)))),0)</f>
        <v/>
      </c>
      <c r="BC27" s="153">
        <f>IFERROR(-ABS(10*LOG10(($R27/(4*PI()*CONVERT(AL27,"ft","m")^2)))),0)</f>
        <v/>
      </c>
      <c r="BD27" s="153">
        <f>IFERROR(-ABS(10*LOG10(($R27/(4*PI()*CONVERT(AM27,"ft","m")^2)))),0)</f>
        <v/>
      </c>
      <c r="BE27" s="153">
        <f>IFERROR(-ABS(10*LOG10(($R27/(4*PI()*CONVERT(AN27,"ft","m")^2)))),0)</f>
        <v/>
      </c>
      <c r="BF27" s="153">
        <f>IFERROR(-ABS(10*LOG10(($R27/(4*PI()*CONVERT(AO27,"ft","m")^2)))),0)</f>
        <v/>
      </c>
      <c r="BG27" s="154">
        <f>IFERROR(-ABS(10*LOG10(($R27/(4*PI()*CONVERT(AP27,"ft","m")^2)))),0)</f>
        <v/>
      </c>
      <c r="BH27" s="154">
        <f>IFERROR(-ABS(10*LOG10(($R27/(4*PI()*CONVERT(AQ27,"ft","m")^2)))),0)</f>
        <v/>
      </c>
      <c r="BI27" s="154">
        <f>IFERROR(-ABS(10*LOG10(($R27/(4*PI()*CONVERT(AR27,"ft","m")^2)))),0)</f>
        <v/>
      </c>
      <c r="BJ27" s="154">
        <f>IFERROR(-ABS(10*LOG10(($R27/(4*PI()*CONVERT(AS27,"ft","m")^2)))),0)</f>
        <v/>
      </c>
      <c r="BK27" s="154">
        <f>IFERROR(-ABS(10*LOG10(($R27/(4*PI()*CONVERT(AT27,"ft","m")^2)))),0)</f>
        <v/>
      </c>
      <c r="BL27" s="154">
        <f>IFERROR(-ABS(10*LOG10(($R27/(4*PI()*CONVERT(AU27,"ft","m")^2)))),0)</f>
        <v/>
      </c>
      <c r="BM27" s="155">
        <f>IFERROR(-ABS(10*LOG10(($R27/(4*PI()*CONVERT(AV27,"ft","m")^2)))),0)</f>
        <v/>
      </c>
      <c r="BN27" s="134" t="n"/>
      <c r="BO27" s="40" t="inlineStr">
        <is>
          <t>Path</t>
        </is>
      </c>
      <c r="BP27" s="21" t="n">
        <v>0</v>
      </c>
      <c r="BQ27" s="21">
        <f>'Input LwA_XYZ'!BS4</f>
        <v/>
      </c>
      <c r="BR27" s="21">
        <f>"A = " &amp; ROUND('Input LwA_XYZ'!BP13,1) &amp; ", B = " &amp;ROUND('Input LwA_XYZ'!BP14,1) &amp;", D = " &amp;ROUND('Input LwA_XYZ'!BP11,1)</f>
        <v/>
      </c>
      <c r="BT27" s="134" t="n"/>
      <c r="BU27" s="134" t="n"/>
      <c r="BV27" s="140" t="n"/>
      <c r="BW27" s="140" t="n"/>
      <c r="BX27" s="140" t="n"/>
      <c r="BY27" s="140" t="n"/>
      <c r="BZ27" s="140" t="n"/>
      <c r="CA27" s="140" t="n"/>
      <c r="CB27" s="140" t="n"/>
      <c r="CC27" s="140" t="n"/>
      <c r="CD27" s="140" t="n"/>
      <c r="CE27" s="140" t="n"/>
      <c r="CF27" s="140" t="n"/>
      <c r="CG27" s="140" t="n"/>
      <c r="CH27" s="140" t="n"/>
      <c r="CI27" s="140" t="n"/>
      <c r="CJ27" s="140" t="n"/>
      <c r="CK27" s="134" t="n"/>
      <c r="CL27" s="134" t="n"/>
      <c r="CM27" s="156">
        <f>IF( CM$1= 0,"",$Q27-$S27+AY27-BV27)</f>
        <v/>
      </c>
      <c r="CN27" s="157">
        <f>IF( CN$1= 0,"",$Q27-$S27+AZ27-BW27)</f>
        <v/>
      </c>
      <c r="CO27" s="157">
        <f>IF( CO$1= 0,"",$Q27-$S27+BA27-BX27)</f>
        <v/>
      </c>
      <c r="CP27" s="157">
        <f>IF( CP$1= 0,"",$Q27-$S27+BB27-BY27)</f>
        <v/>
      </c>
      <c r="CQ27" s="157">
        <f>IF( CQ$1= 0,"",$Q27-$S27+BC27-BZ27)</f>
        <v/>
      </c>
      <c r="CR27" s="157">
        <f>IF( CR$1= 0,"",$Q27-$S27+BD27-CA27)</f>
        <v/>
      </c>
      <c r="CS27" s="157">
        <f>IF( CS$1= 0,"",$Q27-$S27+BE27-CB27)</f>
        <v/>
      </c>
      <c r="CT27" s="157">
        <f>IF( CT$1= 0,"",$Q27-$S27+BF27-CC27)</f>
        <v/>
      </c>
      <c r="CU27" s="158">
        <f>IF( CU$1= 0,"",$Q27-$S27+BG27-CD27)</f>
        <v/>
      </c>
      <c r="CV27" s="158">
        <f>IF( CV$1= 0,"",$Q27-$S27+BH27-CE27)</f>
        <v/>
      </c>
      <c r="CW27" s="158">
        <f>IF( CW$1= 0,"",$Q27-$S27+BI27-CF27)</f>
        <v/>
      </c>
      <c r="CX27" s="158">
        <f>IF( CX$1= 0,"",$Q27-$S27+BJ27-CG27)</f>
        <v/>
      </c>
      <c r="CY27" s="143">
        <f>IF( CY$1= 0,"",$Q27-$S27+BK27-CH27)</f>
        <v/>
      </c>
      <c r="CZ27" s="143">
        <f>IF( CZ$1= 0,"",$Q27-$S27+BL27-CI27)</f>
        <v/>
      </c>
      <c r="DA27" s="144">
        <f>IF( DA$1= 0,"",$Q27-$S27+BM27-CJ27)</f>
        <v/>
      </c>
    </row>
    <row r="28" ht="16.5" customHeight="1">
      <c r="A28" s="145" t="n">
        <v>1</v>
      </c>
      <c r="B28" s="146" t="inlineStr">
        <is>
          <t xml:space="preserve">BEF-R06 </t>
        </is>
      </c>
      <c r="C28" s="146" t="inlineStr">
        <is>
          <t>Inlet</t>
        </is>
      </c>
      <c r="D28" s="147" t="inlineStr">
        <is>
          <t>Greenheck</t>
        </is>
      </c>
      <c r="E28" s="205" t="inlineStr">
        <is>
          <t>CUE-80VG</t>
        </is>
      </c>
      <c r="F28" s="213" t="n"/>
      <c r="G28" s="214" t="n"/>
      <c r="H28" s="214" t="n"/>
      <c r="I28" s="214" t="n"/>
      <c r="J28" s="214" t="n"/>
      <c r="K28" s="214" t="n"/>
      <c r="L28" s="214" t="n"/>
      <c r="M28" s="218" t="n"/>
      <c r="N28" s="213" t="n">
        <v>65.8731209211611</v>
      </c>
      <c r="O28" s="215" t="n">
        <v>0</v>
      </c>
      <c r="P28" s="208" t="n">
        <v>1</v>
      </c>
      <c r="Q28" s="128">
        <f>ROUND(IF(AND(A28&gt;0, O28&gt;0), N28+ABS(10*LOG10(P28/(4*PI()*CONVERT(O28,"ft", "m")^2))), N28),0)</f>
        <v/>
      </c>
      <c r="R28" s="3" t="n">
        <v>2</v>
      </c>
      <c r="S28" s="3" t="n"/>
      <c r="T28" s="214" t="n">
        <v>171.41</v>
      </c>
      <c r="U28" s="214" t="n">
        <v>52.12</v>
      </c>
      <c r="V28" s="109">
        <f>SUM(W28:X28)</f>
        <v/>
      </c>
      <c r="W28" s="81" t="n">
        <v>73</v>
      </c>
      <c r="X28" s="148" t="n">
        <v>2</v>
      </c>
      <c r="Z28" s="115" t="inlineStr">
        <is>
          <t>bar5</t>
        </is>
      </c>
      <c r="AA28" s="113" t="n">
        <v>211.31</v>
      </c>
      <c r="AB28" s="52" t="n">
        <v>31.68</v>
      </c>
      <c r="AC28" s="106" t="n">
        <v>75.40000000000001</v>
      </c>
      <c r="AD28" s="52" t="n">
        <v>236.06</v>
      </c>
      <c r="AE28" s="52" t="n">
        <v>36.96</v>
      </c>
      <c r="AF28" s="53" t="n">
        <v>75.40000000000001</v>
      </c>
      <c r="AH28" s="168">
        <f t="array" ref="AH28">IF(AH$1=0,"",SQRT((_xlfn.XLOOKUP(AH$1,$Z$2:$Z$18,$AA$2:$AA$18)-$T28)^2+(_xlfn.XLOOKUP(AH$1,$Z$2:$Z$18,$AB$2:$AB$18)-$U28)^2+(_xlfn.XLOOKUP(AH$1,$Z$2:$Z$18,$AC$2:$AC$18-$V28)^2)))</f>
        <v/>
      </c>
      <c r="AI28" s="150">
        <f t="array" ref="AI28">IF(AI$1=0,"",SQRT((_xlfn.XLOOKUP(AI$1,$Z$2:$Z$18,$AA$2:$AA$18)-$T28)^2+(_xlfn.XLOOKUP(AI$1,$Z$2:$Z$18,$AB$2:$AB$18)-$U28)^2+(_xlfn.XLOOKUP(AI$1,$Z$2:$Z$18,$AC$2:$AC$18-$V28)^2)))</f>
        <v/>
      </c>
      <c r="AJ28" s="150">
        <f t="array" ref="AJ28">IF(AJ$1=0,"",SQRT((_xlfn.XLOOKUP(AJ$1,$Z$2:$Z$18,$AA$2:$AA$18)-$T28)^2+(_xlfn.XLOOKUP(AJ$1,$Z$2:$Z$18,$AB$2:$AB$18)-$U28)^2+(_xlfn.XLOOKUP(AJ$1,$Z$2:$Z$18,$AC$2:$AC$18-$V28)^2)))</f>
        <v/>
      </c>
      <c r="AK28" s="150">
        <f t="array" ref="AK28">IF(AK$1=0,"",SQRT((_xlfn.XLOOKUP(AK$1,$Z$2:$Z$18,$AA$2:$AA$18)-$T28)^2+(_xlfn.XLOOKUP(AK$1,$Z$2:$Z$18,$AB$2:$AB$18)-$U28)^2+(_xlfn.XLOOKUP(AK$1,$Z$2:$Z$18,$AC$2:$AC$18-$V28)^2)))</f>
        <v/>
      </c>
      <c r="AL28" s="150">
        <f t="array" ref="AL28">IF(AL$1=0,"",SQRT((_xlfn.XLOOKUP(AL$1,$Z$2:$Z$18,$AA$2:$AA$18)-$T28)^2+(_xlfn.XLOOKUP(AL$1,$Z$2:$Z$18,$AB$2:$AB$18)-$U28)^2+(_xlfn.XLOOKUP(AL$1,$Z$2:$Z$18,$AC$2:$AC$18-$V28)^2)))</f>
        <v/>
      </c>
      <c r="AM28" s="150">
        <f t="array" ref="AM28">IF(AM$1=0,"",SQRT((_xlfn.XLOOKUP(AM$1,$Z$2:$Z$18,$AA$2:$AA$18)-$T28)^2+(_xlfn.XLOOKUP(AM$1,$Z$2:$Z$18,$AB$2:$AB$18)-$U28)^2+(_xlfn.XLOOKUP(AM$1,$Z$2:$Z$18,$AC$2:$AC$18-$V28)^2)))</f>
        <v/>
      </c>
      <c r="AN28" s="150">
        <f t="array" ref="AN28">IF(AN$1=0,"",SQRT((_xlfn.XLOOKUP(AN$1,$Z$2:$Z$18,$AA$2:$AA$18)-$T28)^2+(_xlfn.XLOOKUP(AN$1,$Z$2:$Z$18,$AB$2:$AB$18)-$U28)^2+(_xlfn.XLOOKUP(AN$1,$Z$2:$Z$18,$AC$2:$AC$18-$V28)^2)))</f>
        <v/>
      </c>
      <c r="AO28" s="150">
        <f t="array" ref="AO28">IF(AO$1=0,"",SQRT((_xlfn.XLOOKUP(AO$1,$Z$2:$Z$18,$AA$2:$AA$18)-$T28)^2+(_xlfn.XLOOKUP(AO$1,$Z$2:$Z$18,$AB$2:$AB$18)-$U28)^2+(_xlfn.XLOOKUP(AO$1,$Z$2:$Z$18,$AC$2:$AC$18-$V28)^2)))</f>
        <v/>
      </c>
      <c r="AP28" s="151">
        <f t="array" ref="AP28">IF(AP$1=0,"",SQRT((_xlfn.XLOOKUP(AP$1,$Z$2:$Z$18,$AA$2:$AA$18)-$T28)^2+(_xlfn.XLOOKUP(AP$1,$Z$2:$Z$18,$AB$2:$AB$18)-$U28)^2+(_xlfn.XLOOKUP(AP$1,$Z$2:$Z$18,$AC$2:$AC$18-$V28)^2)))</f>
        <v/>
      </c>
      <c r="AQ28" s="151">
        <f t="array" ref="AQ28">IF(AQ$1=0,"",SQRT((_xlfn.XLOOKUP(AQ$1,$Z$2:$Z$18,$AA$2:$AA$18)-$T28)^2+(_xlfn.XLOOKUP(AQ$1,$Z$2:$Z$18,$AB$2:$AB$18)-$U28)^2+(_xlfn.XLOOKUP(AQ$1,$Z$2:$Z$18,$AC$2:$AC$18-$V28)^2)))</f>
        <v/>
      </c>
      <c r="AR28" s="151">
        <f t="array" ref="AR28">IF(AR$1=0,"",SQRT((_xlfn.XLOOKUP(AR$1,$Z$2:$Z$18,$AA$2:$AA$18)-$T28)^2+(_xlfn.XLOOKUP(AR$1,$Z$2:$Z$18,$AB$2:$AB$18)-$U28)^2+(_xlfn.XLOOKUP(AR$1,$Z$2:$Z$18,$AC$2:$AC$18-$V28)^2)))</f>
        <v/>
      </c>
      <c r="AS28" s="151">
        <f t="array" ref="AS28">IF(AS$1=0,"",SQRT((_xlfn.XLOOKUP(AS$1,$Z$2:$Z$18,$AA$2:$AA$18)-$T28)^2+(_xlfn.XLOOKUP(AS$1,$Z$2:$Z$18,$AB$2:$AB$18)-$U28)^2+(_xlfn.XLOOKUP(AS$1,$Z$2:$Z$18,$AC$2:$AC$18-$V28)^2)))</f>
        <v/>
      </c>
      <c r="AT28" s="151">
        <f t="array" ref="AT28">IF(AT$1=0,"",SQRT((_xlfn.XLOOKUP(AT$1,$Z$2:$Z$18,$AA$2:$AA$18)-$T28)^2+(_xlfn.XLOOKUP(AT$1,$Z$2:$Z$18,$AB$2:$AB$18)-$U28)^2+(_xlfn.XLOOKUP(AT$1,$Z$2:$Z$18,$AC$2:$AC$18-$V28)^2)))</f>
        <v/>
      </c>
      <c r="AU28" s="151">
        <f t="array" ref="AU28">IF(AU$1=0,"",SQRT((_xlfn.XLOOKUP(AU$1,$Z$2:$Z$18,$AA$2:$AA$18)-$T28)^2+(_xlfn.XLOOKUP(AU$1,$Z$2:$Z$18,$AB$2:$AB$18)-$U28)^2+(_xlfn.XLOOKUP(AU$1,$Z$2:$Z$18,$AC$2:$AC$18-$V28)^2)))</f>
        <v/>
      </c>
      <c r="AV28" s="152">
        <f t="array" ref="AV28">IF(AV$1=0,"",SQRT((_xlfn.XLOOKUP(AV$1,$Z$2:$Z$18,$AA$2:$AA$18)-$T28)^2+(_xlfn.XLOOKUP(AV$1,$Z$2:$Z$18,$AB$2:$AB$18)-$U28)^2+(_xlfn.XLOOKUP(AV$1,$Z$2:$Z$18,$AC$2:$AC$18-$V28)^2)))</f>
        <v/>
      </c>
      <c r="AW28" s="134" t="n"/>
      <c r="AX28" s="134" t="n"/>
      <c r="AY28" s="135">
        <f>IFERROR(-ABS(10*LOG10(($R28/(4*PI()*CONVERT(AH28,"ft","m")^2)))),0)</f>
        <v/>
      </c>
      <c r="AZ28" s="153">
        <f>IFERROR(-ABS(10*LOG10(($R28/(4*PI()*CONVERT(AI28,"ft","m")^2)))),0)</f>
        <v/>
      </c>
      <c r="BA28" s="153">
        <f>IFERROR(-ABS(10*LOG10(($R28/(4*PI()*CONVERT(AJ28,"ft","m")^2)))),0)</f>
        <v/>
      </c>
      <c r="BB28" s="153">
        <f>IFERROR(-ABS(10*LOG10(($R28/(4*PI()*CONVERT(AK28,"ft","m")^2)))),0)</f>
        <v/>
      </c>
      <c r="BC28" s="153">
        <f>IFERROR(-ABS(10*LOG10(($R28/(4*PI()*CONVERT(AL28,"ft","m")^2)))),0)</f>
        <v/>
      </c>
      <c r="BD28" s="153">
        <f>IFERROR(-ABS(10*LOG10(($R28/(4*PI()*CONVERT(AM28,"ft","m")^2)))),0)</f>
        <v/>
      </c>
      <c r="BE28" s="153">
        <f>IFERROR(-ABS(10*LOG10(($R28/(4*PI()*CONVERT(AN28,"ft","m")^2)))),0)</f>
        <v/>
      </c>
      <c r="BF28" s="153">
        <f>IFERROR(-ABS(10*LOG10(($R28/(4*PI()*CONVERT(AO28,"ft","m")^2)))),0)</f>
        <v/>
      </c>
      <c r="BG28" s="154">
        <f>IFERROR(-ABS(10*LOG10(($R28/(4*PI()*CONVERT(AP28,"ft","m")^2)))),0)</f>
        <v/>
      </c>
      <c r="BH28" s="154">
        <f>IFERROR(-ABS(10*LOG10(($R28/(4*PI()*CONVERT(AQ28,"ft","m")^2)))),0)</f>
        <v/>
      </c>
      <c r="BI28" s="154">
        <f>IFERROR(-ABS(10*LOG10(($R28/(4*PI()*CONVERT(AR28,"ft","m")^2)))),0)</f>
        <v/>
      </c>
      <c r="BJ28" s="154">
        <f>IFERROR(-ABS(10*LOG10(($R28/(4*PI()*CONVERT(AS28,"ft","m")^2)))),0)</f>
        <v/>
      </c>
      <c r="BK28" s="154">
        <f>IFERROR(-ABS(10*LOG10(($R28/(4*PI()*CONVERT(AT28,"ft","m")^2)))),0)</f>
        <v/>
      </c>
      <c r="BL28" s="154">
        <f>IFERROR(-ABS(10*LOG10(($R28/(4*PI()*CONVERT(AU28,"ft","m")^2)))),0)</f>
        <v/>
      </c>
      <c r="BM28" s="155">
        <f>IFERROR(-ABS(10*LOG10(($R28/(4*PI()*CONVERT(AV28,"ft","m")^2)))),0)</f>
        <v/>
      </c>
      <c r="BN28" s="134" t="n"/>
      <c r="BO28" s="40" t="inlineStr">
        <is>
          <t>Barrier - Min 4lb/ft2, unperforated</t>
        </is>
      </c>
      <c r="BP28" s="21">
        <f>'Input LwA_XYZ'!BP9</f>
        <v/>
      </c>
      <c r="BQ28" s="43">
        <f>'Input LwA_XYZ'!BP21</f>
        <v/>
      </c>
      <c r="BR28" s="21">
        <f>"Source Height: " &amp; ROUND(BQ30,1) &amp; " ft"</f>
        <v/>
      </c>
      <c r="BT28" s="134" t="n"/>
      <c r="BU28" s="134" t="n"/>
      <c r="BV28" s="140" t="n"/>
      <c r="BW28" s="140" t="n"/>
      <c r="BX28" s="140" t="n"/>
      <c r="BY28" s="140" t="n"/>
      <c r="BZ28" s="140" t="n"/>
      <c r="CA28" s="140" t="n"/>
      <c r="CB28" s="140" t="n"/>
      <c r="CC28" s="140" t="n"/>
      <c r="CD28" s="140" t="n"/>
      <c r="CE28" s="140" t="n"/>
      <c r="CF28" s="140" t="n"/>
      <c r="CG28" s="140" t="n"/>
      <c r="CH28" s="140" t="n"/>
      <c r="CI28" s="140" t="n"/>
      <c r="CJ28" s="140" t="n"/>
      <c r="CK28" s="134" t="n"/>
      <c r="CL28" s="134" t="n"/>
      <c r="CM28" s="156">
        <f>IF( CM$1= 0,"",$Q28-$S28+AY28-BV28)</f>
        <v/>
      </c>
      <c r="CN28" s="157">
        <f>IF( CN$1= 0,"",$Q28-$S28+AZ28-BW28)</f>
        <v/>
      </c>
      <c r="CO28" s="157">
        <f>IF( CO$1= 0,"",$Q28-$S28+BA28-BX28)</f>
        <v/>
      </c>
      <c r="CP28" s="157">
        <f>IF( CP$1= 0,"",$Q28-$S28+BB28-BY28)</f>
        <v/>
      </c>
      <c r="CQ28" s="157">
        <f>IF( CQ$1= 0,"",$Q28-$S28+BC28-BZ28)</f>
        <v/>
      </c>
      <c r="CR28" s="157">
        <f>IF( CR$1= 0,"",$Q28-$S28+BD28-CA28)</f>
        <v/>
      </c>
      <c r="CS28" s="157">
        <f>IF( CS$1= 0,"",$Q28-$S28+BE28-CB28)</f>
        <v/>
      </c>
      <c r="CT28" s="157">
        <f>IF( CT$1= 0,"",$Q28-$S28+BF28-CC28)</f>
        <v/>
      </c>
      <c r="CU28" s="158">
        <f>IF( CU$1= 0,"",$Q28-$S28+BG28-CD28)</f>
        <v/>
      </c>
      <c r="CV28" s="158">
        <f>IF( CV$1= 0,"",$Q28-$S28+BH28-CE28)</f>
        <v/>
      </c>
      <c r="CW28" s="158">
        <f>IF( CW$1= 0,"",$Q28-$S28+BI28-CF28)</f>
        <v/>
      </c>
      <c r="CX28" s="158">
        <f>IF( CX$1= 0,"",$Q28-$S28+BJ28-CG28)</f>
        <v/>
      </c>
      <c r="CY28" s="143">
        <f>IF( CY$1= 0,"",$Q28-$S28+BK28-CH28)</f>
        <v/>
      </c>
      <c r="CZ28" s="143">
        <f>IF( CZ$1= 0,"",$Q28-$S28+BL28-CI28)</f>
        <v/>
      </c>
      <c r="DA28" s="144">
        <f>IF( DA$1= 0,"",$Q28-$S28+BM28-CJ28)</f>
        <v/>
      </c>
    </row>
    <row r="29" ht="16.5" customHeight="1">
      <c r="A29" s="145" t="n">
        <v>1</v>
      </c>
      <c r="B29" s="146" t="inlineStr">
        <is>
          <t xml:space="preserve">BEF-R07 </t>
        </is>
      </c>
      <c r="C29" s="146" t="inlineStr">
        <is>
          <t>Inlet</t>
        </is>
      </c>
      <c r="D29" s="147" t="inlineStr">
        <is>
          <t>Greenheck</t>
        </is>
      </c>
      <c r="E29" s="205" t="inlineStr">
        <is>
          <t>CUE-70VG</t>
        </is>
      </c>
      <c r="F29" s="213" t="n"/>
      <c r="G29" s="214" t="n"/>
      <c r="H29" s="214" t="n"/>
      <c r="I29" s="214" t="n"/>
      <c r="J29" s="214" t="n"/>
      <c r="K29" s="214" t="n"/>
      <c r="L29" s="214" t="n"/>
      <c r="M29" s="218" t="n"/>
      <c r="N29" s="213" t="n">
        <v>57.39273779573718</v>
      </c>
      <c r="O29" s="215" t="n">
        <v>0</v>
      </c>
      <c r="P29" s="208" t="n">
        <v>1</v>
      </c>
      <c r="Q29" s="128">
        <f>ROUND(IF(AND(A29&gt;0, O29&gt;0), N29+ABS(10*LOG10(P29/(4*PI()*CONVERT(O29,"ft", "m")^2))), N29),0)</f>
        <v/>
      </c>
      <c r="R29" s="3" t="n">
        <v>2</v>
      </c>
      <c r="S29" s="3" t="n"/>
      <c r="T29" s="214" t="n">
        <v>177.48</v>
      </c>
      <c r="U29" s="214" t="n">
        <v>27.21</v>
      </c>
      <c r="V29" s="109">
        <f>SUM(W29:X29)</f>
        <v/>
      </c>
      <c r="W29" s="81" t="n">
        <v>73</v>
      </c>
      <c r="X29" s="148" t="n">
        <v>2</v>
      </c>
      <c r="Z29" s="115" t="inlineStr">
        <is>
          <t>bar6</t>
        </is>
      </c>
      <c r="AA29" s="113" t="n">
        <v>236.29</v>
      </c>
      <c r="AB29" s="52" t="n">
        <v>37.73</v>
      </c>
      <c r="AC29" s="106" t="n">
        <v>75.40000000000001</v>
      </c>
      <c r="AD29" s="52" t="n">
        <v>233.65</v>
      </c>
      <c r="AE29" s="52" t="n">
        <v>50.6</v>
      </c>
      <c r="AF29" s="53" t="n">
        <v>75.40000000000001</v>
      </c>
      <c r="AH29" s="168">
        <f t="array" ref="AH29">IF(AH$1=0,"",SQRT((_xlfn.XLOOKUP(AH$1,$Z$2:$Z$18,$AA$2:$AA$18)-$T29)^2+(_xlfn.XLOOKUP(AH$1,$Z$2:$Z$18,$AB$2:$AB$18)-$U29)^2+(_xlfn.XLOOKUP(AH$1,$Z$2:$Z$18,$AC$2:$AC$18-$V29)^2)))</f>
        <v/>
      </c>
      <c r="AI29" s="150">
        <f t="array" ref="AI29">IF(AI$1=0,"",SQRT((_xlfn.XLOOKUP(AI$1,$Z$2:$Z$18,$AA$2:$AA$18)-$T29)^2+(_xlfn.XLOOKUP(AI$1,$Z$2:$Z$18,$AB$2:$AB$18)-$U29)^2+(_xlfn.XLOOKUP(AI$1,$Z$2:$Z$18,$AC$2:$AC$18-$V29)^2)))</f>
        <v/>
      </c>
      <c r="AJ29" s="150">
        <f t="array" ref="AJ29">IF(AJ$1=0,"",SQRT((_xlfn.XLOOKUP(AJ$1,$Z$2:$Z$18,$AA$2:$AA$18)-$T29)^2+(_xlfn.XLOOKUP(AJ$1,$Z$2:$Z$18,$AB$2:$AB$18)-$U29)^2+(_xlfn.XLOOKUP(AJ$1,$Z$2:$Z$18,$AC$2:$AC$18-$V29)^2)))</f>
        <v/>
      </c>
      <c r="AK29" s="150">
        <f t="array" ref="AK29">IF(AK$1=0,"",SQRT((_xlfn.XLOOKUP(AK$1,$Z$2:$Z$18,$AA$2:$AA$18)-$T29)^2+(_xlfn.XLOOKUP(AK$1,$Z$2:$Z$18,$AB$2:$AB$18)-$U29)^2+(_xlfn.XLOOKUP(AK$1,$Z$2:$Z$18,$AC$2:$AC$18-$V29)^2)))</f>
        <v/>
      </c>
      <c r="AL29" s="150">
        <f t="array" ref="AL29">IF(AL$1=0,"",SQRT((_xlfn.XLOOKUP(AL$1,$Z$2:$Z$18,$AA$2:$AA$18)-$T29)^2+(_xlfn.XLOOKUP(AL$1,$Z$2:$Z$18,$AB$2:$AB$18)-$U29)^2+(_xlfn.XLOOKUP(AL$1,$Z$2:$Z$18,$AC$2:$AC$18-$V29)^2)))</f>
        <v/>
      </c>
      <c r="AM29" s="150">
        <f t="array" ref="AM29">IF(AM$1=0,"",SQRT((_xlfn.XLOOKUP(AM$1,$Z$2:$Z$18,$AA$2:$AA$18)-$T29)^2+(_xlfn.XLOOKUP(AM$1,$Z$2:$Z$18,$AB$2:$AB$18)-$U29)^2+(_xlfn.XLOOKUP(AM$1,$Z$2:$Z$18,$AC$2:$AC$18-$V29)^2)))</f>
        <v/>
      </c>
      <c r="AN29" s="150">
        <f t="array" ref="AN29">IF(AN$1=0,"",SQRT((_xlfn.XLOOKUP(AN$1,$Z$2:$Z$18,$AA$2:$AA$18)-$T29)^2+(_xlfn.XLOOKUP(AN$1,$Z$2:$Z$18,$AB$2:$AB$18)-$U29)^2+(_xlfn.XLOOKUP(AN$1,$Z$2:$Z$18,$AC$2:$AC$18-$V29)^2)))</f>
        <v/>
      </c>
      <c r="AO29" s="150">
        <f t="array" ref="AO29">IF(AO$1=0,"",SQRT((_xlfn.XLOOKUP(AO$1,$Z$2:$Z$18,$AA$2:$AA$18)-$T29)^2+(_xlfn.XLOOKUP(AO$1,$Z$2:$Z$18,$AB$2:$AB$18)-$U29)^2+(_xlfn.XLOOKUP(AO$1,$Z$2:$Z$18,$AC$2:$AC$18-$V29)^2)))</f>
        <v/>
      </c>
      <c r="AP29" s="151">
        <f t="array" ref="AP29">IF(AP$1=0,"",SQRT((_xlfn.XLOOKUP(AP$1,$Z$2:$Z$18,$AA$2:$AA$18)-$T29)^2+(_xlfn.XLOOKUP(AP$1,$Z$2:$Z$18,$AB$2:$AB$18)-$U29)^2+(_xlfn.XLOOKUP(AP$1,$Z$2:$Z$18,$AC$2:$AC$18-$V29)^2)))</f>
        <v/>
      </c>
      <c r="AQ29" s="151">
        <f t="array" ref="AQ29">IF(AQ$1=0,"",SQRT((_xlfn.XLOOKUP(AQ$1,$Z$2:$Z$18,$AA$2:$AA$18)-$T29)^2+(_xlfn.XLOOKUP(AQ$1,$Z$2:$Z$18,$AB$2:$AB$18)-$U29)^2+(_xlfn.XLOOKUP(AQ$1,$Z$2:$Z$18,$AC$2:$AC$18-$V29)^2)))</f>
        <v/>
      </c>
      <c r="AR29" s="151">
        <f t="array" ref="AR29">IF(AR$1=0,"",SQRT((_xlfn.XLOOKUP(AR$1,$Z$2:$Z$18,$AA$2:$AA$18)-$T29)^2+(_xlfn.XLOOKUP(AR$1,$Z$2:$Z$18,$AB$2:$AB$18)-$U29)^2+(_xlfn.XLOOKUP(AR$1,$Z$2:$Z$18,$AC$2:$AC$18-$V29)^2)))</f>
        <v/>
      </c>
      <c r="AS29" s="151">
        <f t="array" ref="AS29">IF(AS$1=0,"",SQRT((_xlfn.XLOOKUP(AS$1,$Z$2:$Z$18,$AA$2:$AA$18)-$T29)^2+(_xlfn.XLOOKUP(AS$1,$Z$2:$Z$18,$AB$2:$AB$18)-$U29)^2+(_xlfn.XLOOKUP(AS$1,$Z$2:$Z$18,$AC$2:$AC$18-$V29)^2)))</f>
        <v/>
      </c>
      <c r="AT29" s="151">
        <f t="array" ref="AT29">IF(AT$1=0,"",SQRT((_xlfn.XLOOKUP(AT$1,$Z$2:$Z$18,$AA$2:$AA$18)-$T29)^2+(_xlfn.XLOOKUP(AT$1,$Z$2:$Z$18,$AB$2:$AB$18)-$U29)^2+(_xlfn.XLOOKUP(AT$1,$Z$2:$Z$18,$AC$2:$AC$18-$V29)^2)))</f>
        <v/>
      </c>
      <c r="AU29" s="151">
        <f t="array" ref="AU29">IF(AU$1=0,"",SQRT((_xlfn.XLOOKUP(AU$1,$Z$2:$Z$18,$AA$2:$AA$18)-$T29)^2+(_xlfn.XLOOKUP(AU$1,$Z$2:$Z$18,$AB$2:$AB$18)-$U29)^2+(_xlfn.XLOOKUP(AU$1,$Z$2:$Z$18,$AC$2:$AC$18-$V29)^2)))</f>
        <v/>
      </c>
      <c r="AV29" s="152">
        <f t="array" ref="AV29">IF(AV$1=0,"",SQRT((_xlfn.XLOOKUP(AV$1,$Z$2:$Z$18,$AA$2:$AA$18)-$T29)^2+(_xlfn.XLOOKUP(AV$1,$Z$2:$Z$18,$AB$2:$AB$18)-$U29)^2+(_xlfn.XLOOKUP(AV$1,$Z$2:$Z$18,$AC$2:$AC$18-$V29)^2)))</f>
        <v/>
      </c>
      <c r="AW29" s="134" t="n"/>
      <c r="AX29" s="134" t="n"/>
      <c r="AY29" s="135">
        <f>IFERROR(-ABS(10*LOG10(($R29/(4*PI()*CONVERT(AH29,"ft","m")^2)))),0)</f>
        <v/>
      </c>
      <c r="AZ29" s="153">
        <f>IFERROR(-ABS(10*LOG10(($R29/(4*PI()*CONVERT(AI29,"ft","m")^2)))),0)</f>
        <v/>
      </c>
      <c r="BA29" s="153">
        <f>IFERROR(-ABS(10*LOG10(($R29/(4*PI()*CONVERT(AJ29,"ft","m")^2)))),0)</f>
        <v/>
      </c>
      <c r="BB29" s="153">
        <f>IFERROR(-ABS(10*LOG10(($R29/(4*PI()*CONVERT(AK29,"ft","m")^2)))),0)</f>
        <v/>
      </c>
      <c r="BC29" s="153">
        <f>IFERROR(-ABS(10*LOG10(($R29/(4*PI()*CONVERT(AL29,"ft","m")^2)))),0)</f>
        <v/>
      </c>
      <c r="BD29" s="153">
        <f>IFERROR(-ABS(10*LOG10(($R29/(4*PI()*CONVERT(AM29,"ft","m")^2)))),0)</f>
        <v/>
      </c>
      <c r="BE29" s="153">
        <f>IFERROR(-ABS(10*LOG10(($R29/(4*PI()*CONVERT(AN29,"ft","m")^2)))),0)</f>
        <v/>
      </c>
      <c r="BF29" s="153">
        <f>IFERROR(-ABS(10*LOG10(($R29/(4*PI()*CONVERT(AO29,"ft","m")^2)))),0)</f>
        <v/>
      </c>
      <c r="BG29" s="154">
        <f>IFERROR(-ABS(10*LOG10(($R29/(4*PI()*CONVERT(AP29,"ft","m")^2)))),0)</f>
        <v/>
      </c>
      <c r="BH29" s="154">
        <f>IFERROR(-ABS(10*LOG10(($R29/(4*PI()*CONVERT(AQ29,"ft","m")^2)))),0)</f>
        <v/>
      </c>
      <c r="BI29" s="154">
        <f>IFERROR(-ABS(10*LOG10(($R29/(4*PI()*CONVERT(AR29,"ft","m")^2)))),0)</f>
        <v/>
      </c>
      <c r="BJ29" s="154">
        <f>IFERROR(-ABS(10*LOG10(($R29/(4*PI()*CONVERT(AS29,"ft","m")^2)))),0)</f>
        <v/>
      </c>
      <c r="BK29" s="154">
        <f>IFERROR(-ABS(10*LOG10(($R29/(4*PI()*CONVERT(AT29,"ft","m")^2)))),0)</f>
        <v/>
      </c>
      <c r="BL29" s="154">
        <f>IFERROR(-ABS(10*LOG10(($R29/(4*PI()*CONVERT(AU29,"ft","m")^2)))),0)</f>
        <v/>
      </c>
      <c r="BM29" s="155">
        <f>IFERROR(-ABS(10*LOG10(($R29/(4*PI()*CONVERT(AV29,"ft","m")^2)))),0)</f>
        <v/>
      </c>
      <c r="BN29" s="134" t="n"/>
      <c r="BO29" s="40" t="inlineStr">
        <is>
          <t>Receiver</t>
        </is>
      </c>
      <c r="BP29" s="21">
        <f>'Input LwA_XYZ'!BP8</f>
        <v/>
      </c>
      <c r="BQ29" s="21">
        <f>'Input LwA_XYZ'!BS5</f>
        <v/>
      </c>
      <c r="BR29" s="21">
        <f>"Barrier Location: X = " &amp; ROUND(BP28,1) &amp; " ft, Y = " &amp; ROUND(BQ28,1) &amp; " ft"</f>
        <v/>
      </c>
      <c r="BT29" s="134" t="n"/>
      <c r="BU29" s="134" t="n"/>
      <c r="BV29" s="140" t="n"/>
      <c r="BW29" s="140" t="n"/>
      <c r="BX29" s="140" t="n"/>
      <c r="BY29" s="140" t="n"/>
      <c r="BZ29" s="140" t="n"/>
      <c r="CA29" s="140" t="n"/>
      <c r="CB29" s="140" t="n"/>
      <c r="CC29" s="140" t="n"/>
      <c r="CD29" s="140" t="n"/>
      <c r="CE29" s="140" t="n"/>
      <c r="CF29" s="140" t="n"/>
      <c r="CG29" s="140" t="n"/>
      <c r="CH29" s="140" t="n"/>
      <c r="CI29" s="140" t="n"/>
      <c r="CJ29" s="140" t="n"/>
      <c r="CK29" s="134" t="n"/>
      <c r="CL29" s="134" t="n"/>
      <c r="CM29" s="156">
        <f>IF( CM$1= 0,"",$Q29-$S29+AY29-BV29)</f>
        <v/>
      </c>
      <c r="CN29" s="157">
        <f>IF( CN$1= 0,"",$Q29-$S29+AZ29-BW29)</f>
        <v/>
      </c>
      <c r="CO29" s="157">
        <f>IF( CO$1= 0,"",$Q29-$S29+BA29-BX29)</f>
        <v/>
      </c>
      <c r="CP29" s="157">
        <f>IF( CP$1= 0,"",$Q29-$S29+BB29-BY29)</f>
        <v/>
      </c>
      <c r="CQ29" s="157">
        <f>IF( CQ$1= 0,"",$Q29-$S29+BC29-BZ29)</f>
        <v/>
      </c>
      <c r="CR29" s="157">
        <f>IF( CR$1= 0,"",$Q29-$S29+BD29-CA29)</f>
        <v/>
      </c>
      <c r="CS29" s="157">
        <f>IF( CS$1= 0,"",$Q29-$S29+BE29-CB29)</f>
        <v/>
      </c>
      <c r="CT29" s="157">
        <f>IF( CT$1= 0,"",$Q29-$S29+BF29-CC29)</f>
        <v/>
      </c>
      <c r="CU29" s="158">
        <f>IF( CU$1= 0,"",$Q29-$S29+BG29-CD29)</f>
        <v/>
      </c>
      <c r="CV29" s="158">
        <f>IF( CV$1= 0,"",$Q29-$S29+BH29-CE29)</f>
        <v/>
      </c>
      <c r="CW29" s="158">
        <f>IF( CW$1= 0,"",$Q29-$S29+BI29-CF29)</f>
        <v/>
      </c>
      <c r="CX29" s="158">
        <f>IF( CX$1= 0,"",$Q29-$S29+BJ29-CG29)</f>
        <v/>
      </c>
      <c r="CY29" s="143">
        <f>IF( CY$1= 0,"",$Q29-$S29+BK29-CH29)</f>
        <v/>
      </c>
      <c r="CZ29" s="143">
        <f>IF( CZ$1= 0,"",$Q29-$S29+BL29-CI29)</f>
        <v/>
      </c>
      <c r="DA29" s="144">
        <f>IF( DA$1= 0,"",$Q29-$S29+BM29-CJ29)</f>
        <v/>
      </c>
    </row>
    <row r="30" ht="16.5" customHeight="1">
      <c r="A30" s="145" t="n">
        <v>1</v>
      </c>
      <c r="B30" s="146" t="inlineStr">
        <is>
          <t xml:space="preserve">BEF-R08 </t>
        </is>
      </c>
      <c r="C30" s="146" t="inlineStr">
        <is>
          <t>Inlet</t>
        </is>
      </c>
      <c r="D30" s="147" t="inlineStr">
        <is>
          <t>Greenheck</t>
        </is>
      </c>
      <c r="E30" s="205" t="inlineStr">
        <is>
          <t>CUE-70VG</t>
        </is>
      </c>
      <c r="F30" s="213" t="n"/>
      <c r="G30" s="214" t="n"/>
      <c r="H30" s="214" t="n"/>
      <c r="I30" s="214" t="n"/>
      <c r="J30" s="214" t="n"/>
      <c r="K30" s="214" t="n"/>
      <c r="L30" s="214" t="n"/>
      <c r="M30" s="218" t="n"/>
      <c r="N30" s="213" t="n">
        <v>57.39273779573718</v>
      </c>
      <c r="O30" s="215" t="n">
        <v>0</v>
      </c>
      <c r="P30" s="208" t="n">
        <v>1</v>
      </c>
      <c r="Q30" s="128">
        <f>ROUND(IF(AND(A30&gt;0, O30&gt;0), N30+ABS(10*LOG10(P30/(4*PI()*CONVERT(O30,"ft", "m")^2))), N30),0)</f>
        <v/>
      </c>
      <c r="R30" s="3" t="n">
        <v>2</v>
      </c>
      <c r="S30" s="3" t="n"/>
      <c r="T30" s="214" t="n">
        <v>219.58</v>
      </c>
      <c r="U30" s="214" t="n">
        <v>35.75</v>
      </c>
      <c r="V30" s="109">
        <f>SUM(W30:X30)</f>
        <v/>
      </c>
      <c r="W30" s="81" t="n">
        <v>73</v>
      </c>
      <c r="X30" s="148" t="n">
        <v>2</v>
      </c>
      <c r="Z30" s="115" t="inlineStr">
        <is>
          <t>bar7</t>
        </is>
      </c>
      <c r="AA30" s="113" t="n">
        <v>219.02</v>
      </c>
      <c r="AB30" s="52" t="n">
        <v>47.74</v>
      </c>
      <c r="AC30" s="106" t="n">
        <v>75.40000000000001</v>
      </c>
      <c r="AD30" s="52" t="n">
        <v>233.1</v>
      </c>
      <c r="AE30" s="52" t="n">
        <v>50.6</v>
      </c>
      <c r="AF30" s="53" t="n">
        <v>75.40000000000001</v>
      </c>
      <c r="AH30" s="168">
        <f t="array" ref="AH30">IF(AH$1=0,"",SQRT((_xlfn.XLOOKUP(AH$1,$Z$2:$Z$18,$AA$2:$AA$18)-$T30)^2+(_xlfn.XLOOKUP(AH$1,$Z$2:$Z$18,$AB$2:$AB$18)-$U30)^2+(_xlfn.XLOOKUP(AH$1,$Z$2:$Z$18,$AC$2:$AC$18-$V30)^2)))</f>
        <v/>
      </c>
      <c r="AI30" s="150">
        <f t="array" ref="AI30">IF(AI$1=0,"",SQRT((_xlfn.XLOOKUP(AI$1,$Z$2:$Z$18,$AA$2:$AA$18)-$T30)^2+(_xlfn.XLOOKUP(AI$1,$Z$2:$Z$18,$AB$2:$AB$18)-$U30)^2+(_xlfn.XLOOKUP(AI$1,$Z$2:$Z$18,$AC$2:$AC$18-$V30)^2)))</f>
        <v/>
      </c>
      <c r="AJ30" s="150">
        <f t="array" ref="AJ30">IF(AJ$1=0,"",SQRT((_xlfn.XLOOKUP(AJ$1,$Z$2:$Z$18,$AA$2:$AA$18)-$T30)^2+(_xlfn.XLOOKUP(AJ$1,$Z$2:$Z$18,$AB$2:$AB$18)-$U30)^2+(_xlfn.XLOOKUP(AJ$1,$Z$2:$Z$18,$AC$2:$AC$18-$V30)^2)))</f>
        <v/>
      </c>
      <c r="AK30" s="150">
        <f t="array" ref="AK30">IF(AK$1=0,"",SQRT((_xlfn.XLOOKUP(AK$1,$Z$2:$Z$18,$AA$2:$AA$18)-$T30)^2+(_xlfn.XLOOKUP(AK$1,$Z$2:$Z$18,$AB$2:$AB$18)-$U30)^2+(_xlfn.XLOOKUP(AK$1,$Z$2:$Z$18,$AC$2:$AC$18-$V30)^2)))</f>
        <v/>
      </c>
      <c r="AL30" s="150">
        <f t="array" ref="AL30">IF(AL$1=0,"",SQRT((_xlfn.XLOOKUP(AL$1,$Z$2:$Z$18,$AA$2:$AA$18)-$T30)^2+(_xlfn.XLOOKUP(AL$1,$Z$2:$Z$18,$AB$2:$AB$18)-$U30)^2+(_xlfn.XLOOKUP(AL$1,$Z$2:$Z$18,$AC$2:$AC$18-$V30)^2)))</f>
        <v/>
      </c>
      <c r="AM30" s="150">
        <f t="array" ref="AM30">IF(AM$1=0,"",SQRT((_xlfn.XLOOKUP(AM$1,$Z$2:$Z$18,$AA$2:$AA$18)-$T30)^2+(_xlfn.XLOOKUP(AM$1,$Z$2:$Z$18,$AB$2:$AB$18)-$U30)^2+(_xlfn.XLOOKUP(AM$1,$Z$2:$Z$18,$AC$2:$AC$18-$V30)^2)))</f>
        <v/>
      </c>
      <c r="AN30" s="150">
        <f t="array" ref="AN30">IF(AN$1=0,"",SQRT((_xlfn.XLOOKUP(AN$1,$Z$2:$Z$18,$AA$2:$AA$18)-$T30)^2+(_xlfn.XLOOKUP(AN$1,$Z$2:$Z$18,$AB$2:$AB$18)-$U30)^2+(_xlfn.XLOOKUP(AN$1,$Z$2:$Z$18,$AC$2:$AC$18-$V30)^2)))</f>
        <v/>
      </c>
      <c r="AO30" s="150">
        <f t="array" ref="AO30">IF(AO$1=0,"",SQRT((_xlfn.XLOOKUP(AO$1,$Z$2:$Z$18,$AA$2:$AA$18)-$T30)^2+(_xlfn.XLOOKUP(AO$1,$Z$2:$Z$18,$AB$2:$AB$18)-$U30)^2+(_xlfn.XLOOKUP(AO$1,$Z$2:$Z$18,$AC$2:$AC$18-$V30)^2)))</f>
        <v/>
      </c>
      <c r="AP30" s="151">
        <f t="array" ref="AP30">IF(AP$1=0,"",SQRT((_xlfn.XLOOKUP(AP$1,$Z$2:$Z$18,$AA$2:$AA$18)-$T30)^2+(_xlfn.XLOOKUP(AP$1,$Z$2:$Z$18,$AB$2:$AB$18)-$U30)^2+(_xlfn.XLOOKUP(AP$1,$Z$2:$Z$18,$AC$2:$AC$18-$V30)^2)))</f>
        <v/>
      </c>
      <c r="AQ30" s="151">
        <f t="array" ref="AQ30">IF(AQ$1=0,"",SQRT((_xlfn.XLOOKUP(AQ$1,$Z$2:$Z$18,$AA$2:$AA$18)-$T30)^2+(_xlfn.XLOOKUP(AQ$1,$Z$2:$Z$18,$AB$2:$AB$18)-$U30)^2+(_xlfn.XLOOKUP(AQ$1,$Z$2:$Z$18,$AC$2:$AC$18-$V30)^2)))</f>
        <v/>
      </c>
      <c r="AR30" s="151">
        <f t="array" ref="AR30">IF(AR$1=0,"",SQRT((_xlfn.XLOOKUP(AR$1,$Z$2:$Z$18,$AA$2:$AA$18)-$T30)^2+(_xlfn.XLOOKUP(AR$1,$Z$2:$Z$18,$AB$2:$AB$18)-$U30)^2+(_xlfn.XLOOKUP(AR$1,$Z$2:$Z$18,$AC$2:$AC$18-$V30)^2)))</f>
        <v/>
      </c>
      <c r="AS30" s="151">
        <f t="array" ref="AS30">IF(AS$1=0,"",SQRT((_xlfn.XLOOKUP(AS$1,$Z$2:$Z$18,$AA$2:$AA$18)-$T30)^2+(_xlfn.XLOOKUP(AS$1,$Z$2:$Z$18,$AB$2:$AB$18)-$U30)^2+(_xlfn.XLOOKUP(AS$1,$Z$2:$Z$18,$AC$2:$AC$18-$V30)^2)))</f>
        <v/>
      </c>
      <c r="AT30" s="151">
        <f t="array" ref="AT30">IF(AT$1=0,"",SQRT((_xlfn.XLOOKUP(AT$1,$Z$2:$Z$18,$AA$2:$AA$18)-$T30)^2+(_xlfn.XLOOKUP(AT$1,$Z$2:$Z$18,$AB$2:$AB$18)-$U30)^2+(_xlfn.XLOOKUP(AT$1,$Z$2:$Z$18,$AC$2:$AC$18-$V30)^2)))</f>
        <v/>
      </c>
      <c r="AU30" s="151">
        <f t="array" ref="AU30">IF(AU$1=0,"",SQRT((_xlfn.XLOOKUP(AU$1,$Z$2:$Z$18,$AA$2:$AA$18)-$T30)^2+(_xlfn.XLOOKUP(AU$1,$Z$2:$Z$18,$AB$2:$AB$18)-$U30)^2+(_xlfn.XLOOKUP(AU$1,$Z$2:$Z$18,$AC$2:$AC$18-$V30)^2)))</f>
        <v/>
      </c>
      <c r="AV30" s="152">
        <f t="array" ref="AV30">IF(AV$1=0,"",SQRT((_xlfn.XLOOKUP(AV$1,$Z$2:$Z$18,$AA$2:$AA$18)-$T30)^2+(_xlfn.XLOOKUP(AV$1,$Z$2:$Z$18,$AB$2:$AB$18)-$U30)^2+(_xlfn.XLOOKUP(AV$1,$Z$2:$Z$18,$AC$2:$AC$18-$V30)^2)))</f>
        <v/>
      </c>
      <c r="AW30" s="134" t="n"/>
      <c r="AX30" s="134" t="n"/>
      <c r="AY30" s="135">
        <f>IFERROR(-ABS(10*LOG10(($R30/(4*PI()*CONVERT(AH30,"ft","m")^2)))),0)</f>
        <v/>
      </c>
      <c r="AZ30" s="153">
        <f>IFERROR(-ABS(10*LOG10(($R30/(4*PI()*CONVERT(AI30,"ft","m")^2)))),0)</f>
        <v/>
      </c>
      <c r="BA30" s="153">
        <f>IFERROR(-ABS(10*LOG10(($R30/(4*PI()*CONVERT(AJ30,"ft","m")^2)))),0)</f>
        <v/>
      </c>
      <c r="BB30" s="153">
        <f>IFERROR(-ABS(10*LOG10(($R30/(4*PI()*CONVERT(AK30,"ft","m")^2)))),0)</f>
        <v/>
      </c>
      <c r="BC30" s="153">
        <f>IFERROR(-ABS(10*LOG10(($R30/(4*PI()*CONVERT(AL30,"ft","m")^2)))),0)</f>
        <v/>
      </c>
      <c r="BD30" s="153">
        <f>IFERROR(-ABS(10*LOG10(($R30/(4*PI()*CONVERT(AM30,"ft","m")^2)))),0)</f>
        <v/>
      </c>
      <c r="BE30" s="153">
        <f>IFERROR(-ABS(10*LOG10(($R30/(4*PI()*CONVERT(AN30,"ft","m")^2)))),0)</f>
        <v/>
      </c>
      <c r="BF30" s="153">
        <f>IFERROR(-ABS(10*LOG10(($R30/(4*PI()*CONVERT(AO30,"ft","m")^2)))),0)</f>
        <v/>
      </c>
      <c r="BG30" s="154">
        <f>IFERROR(-ABS(10*LOG10(($R30/(4*PI()*CONVERT(AP30,"ft","m")^2)))),0)</f>
        <v/>
      </c>
      <c r="BH30" s="154">
        <f>IFERROR(-ABS(10*LOG10(($R30/(4*PI()*CONVERT(AQ30,"ft","m")^2)))),0)</f>
        <v/>
      </c>
      <c r="BI30" s="154">
        <f>IFERROR(-ABS(10*LOG10(($R30/(4*PI()*CONVERT(AR30,"ft","m")^2)))),0)</f>
        <v/>
      </c>
      <c r="BJ30" s="154">
        <f>IFERROR(-ABS(10*LOG10(($R30/(4*PI()*CONVERT(AS30,"ft","m")^2)))),0)</f>
        <v/>
      </c>
      <c r="BK30" s="154">
        <f>IFERROR(-ABS(10*LOG10(($R30/(4*PI()*CONVERT(AT30,"ft","m")^2)))),0)</f>
        <v/>
      </c>
      <c r="BL30" s="154">
        <f>IFERROR(-ABS(10*LOG10(($R30/(4*PI()*CONVERT(AU30,"ft","m")^2)))),0)</f>
        <v/>
      </c>
      <c r="BM30" s="155">
        <f>IFERROR(-ABS(10*LOG10(($R30/(4*PI()*CONVERT(AV30,"ft","m")^2)))),0)</f>
        <v/>
      </c>
      <c r="BN30" s="134" t="n"/>
      <c r="BO30" s="40" t="inlineStr">
        <is>
          <t>Source</t>
        </is>
      </c>
      <c r="BP30" s="21" t="n">
        <v>0</v>
      </c>
      <c r="BQ30" s="21">
        <f>BQ27</f>
        <v/>
      </c>
      <c r="BR30" s="21">
        <f>"Receiver Location: X = " &amp; ROUND(BP29,1) &amp; " ft, Y = " &amp; ROUND(BQ29,1) &amp; " ft"</f>
        <v/>
      </c>
      <c r="BT30" s="134" t="n"/>
      <c r="BU30" s="134" t="n"/>
      <c r="BV30" s="140" t="n"/>
      <c r="BW30" s="140" t="n"/>
      <c r="BX30" s="140" t="n"/>
      <c r="BY30" s="140" t="n"/>
      <c r="BZ30" s="140" t="n"/>
      <c r="CA30" s="140" t="n"/>
      <c r="CB30" s="140" t="n"/>
      <c r="CC30" s="140" t="n"/>
      <c r="CD30" s="140" t="n"/>
      <c r="CE30" s="140" t="n"/>
      <c r="CF30" s="140" t="n"/>
      <c r="CG30" s="140" t="n"/>
      <c r="CH30" s="140" t="n"/>
      <c r="CI30" s="140" t="n"/>
      <c r="CJ30" s="140" t="n"/>
      <c r="CK30" s="134" t="n"/>
      <c r="CL30" s="134" t="n"/>
      <c r="CM30" s="156">
        <f>IF( CM$1= 0,"",$Q30-$S30+AY30-BV30)</f>
        <v/>
      </c>
      <c r="CN30" s="157">
        <f>IF( CN$1= 0,"",$Q30-$S30+AZ30-BW30)</f>
        <v/>
      </c>
      <c r="CO30" s="157">
        <f>IF( CO$1= 0,"",$Q30-$S30+BA30-BX30)</f>
        <v/>
      </c>
      <c r="CP30" s="157">
        <f>IF( CP$1= 0,"",$Q30-$S30+BB30-BY30)</f>
        <v/>
      </c>
      <c r="CQ30" s="157">
        <f>IF( CQ$1= 0,"",$Q30-$S30+BC30-BZ30)</f>
        <v/>
      </c>
      <c r="CR30" s="157">
        <f>IF( CR$1= 0,"",$Q30-$S30+BD30-CA30)</f>
        <v/>
      </c>
      <c r="CS30" s="157">
        <f>IF( CS$1= 0,"",$Q30-$S30+BE30-CB30)</f>
        <v/>
      </c>
      <c r="CT30" s="157">
        <f>IF( CT$1= 0,"",$Q30-$S30+BF30-CC30)</f>
        <v/>
      </c>
      <c r="CU30" s="158">
        <f>IF( CU$1= 0,"",$Q30-$S30+BG30-CD30)</f>
        <v/>
      </c>
      <c r="CV30" s="158">
        <f>IF( CV$1= 0,"",$Q30-$S30+BH30-CE30)</f>
        <v/>
      </c>
      <c r="CW30" s="158">
        <f>IF( CW$1= 0,"",$Q30-$S30+BI30-CF30)</f>
        <v/>
      </c>
      <c r="CX30" s="158">
        <f>IF( CX$1= 0,"",$Q30-$S30+BJ30-CG30)</f>
        <v/>
      </c>
      <c r="CY30" s="143">
        <f>IF( CY$1= 0,"",$Q30-$S30+BK30-CH30)</f>
        <v/>
      </c>
      <c r="CZ30" s="143">
        <f>IF( CZ$1= 0,"",$Q30-$S30+BL30-CI30)</f>
        <v/>
      </c>
      <c r="DA30" s="144">
        <f>IF( DA$1= 0,"",$Q30-$S30+BM30-CJ30)</f>
        <v/>
      </c>
    </row>
    <row r="31" ht="16.5" customHeight="1">
      <c r="A31" s="145" t="n">
        <v>1</v>
      </c>
      <c r="B31" s="146" t="inlineStr">
        <is>
          <t xml:space="preserve">BEF-R09 </t>
        </is>
      </c>
      <c r="C31" s="146" t="inlineStr">
        <is>
          <t>Inlet</t>
        </is>
      </c>
      <c r="D31" s="147" t="inlineStr">
        <is>
          <t>Greenheck</t>
        </is>
      </c>
      <c r="E31" s="205" t="inlineStr">
        <is>
          <t>CUE-80VG</t>
        </is>
      </c>
      <c r="F31" s="213" t="n"/>
      <c r="G31" s="214" t="n"/>
      <c r="H31" s="214" t="n"/>
      <c r="I31" s="214" t="n"/>
      <c r="J31" s="214" t="n"/>
      <c r="K31" s="214" t="n"/>
      <c r="L31" s="214" t="n"/>
      <c r="M31" s="218" t="n"/>
      <c r="N31" s="213" t="n">
        <v>65.8731209211611</v>
      </c>
      <c r="O31" s="215" t="n">
        <v>0</v>
      </c>
      <c r="P31" s="208" t="n">
        <v>1</v>
      </c>
      <c r="Q31" s="128">
        <f>ROUND(IF(AND(A31&gt;0, O31&gt;0), N31+ABS(10*LOG10(P31/(4*PI()*CONVERT(O31,"ft", "m")^2))), N31),0)</f>
        <v/>
      </c>
      <c r="R31" s="3" t="n">
        <v>2</v>
      </c>
      <c r="S31" s="3" t="n"/>
      <c r="T31" s="214" t="n">
        <v>217.55</v>
      </c>
      <c r="U31" s="214" t="n">
        <v>62.52</v>
      </c>
      <c r="V31" s="109">
        <f>SUM(W31:X31)</f>
        <v/>
      </c>
      <c r="W31" s="81" t="n">
        <v>73</v>
      </c>
      <c r="X31" s="148" t="n">
        <v>2</v>
      </c>
      <c r="Z31" s="115" t="inlineStr">
        <is>
          <t>bar8</t>
        </is>
      </c>
      <c r="AA31" s="113" t="n">
        <v>219.34</v>
      </c>
      <c r="AB31" s="52" t="n">
        <v>48.62</v>
      </c>
      <c r="AC31" s="106" t="n">
        <v>75.40000000000001</v>
      </c>
      <c r="AD31" s="52" t="n">
        <v>214.39</v>
      </c>
      <c r="AE31" s="52" t="n">
        <v>74.8</v>
      </c>
      <c r="AF31" s="53" t="n">
        <v>75.40000000000001</v>
      </c>
      <c r="AH31" s="168">
        <f t="array" ref="AH31">IF(AH$1=0,"",SQRT((_xlfn.XLOOKUP(AH$1,$Z$2:$Z$18,$AA$2:$AA$18)-$T31)^2+(_xlfn.XLOOKUP(AH$1,$Z$2:$Z$18,$AB$2:$AB$18)-$U31)^2+(_xlfn.XLOOKUP(AH$1,$Z$2:$Z$18,$AC$2:$AC$18-$V31)^2)))</f>
        <v/>
      </c>
      <c r="AI31" s="150">
        <f t="array" ref="AI31">IF(AI$1=0,"",SQRT((_xlfn.XLOOKUP(AI$1,$Z$2:$Z$18,$AA$2:$AA$18)-$T31)^2+(_xlfn.XLOOKUP(AI$1,$Z$2:$Z$18,$AB$2:$AB$18)-$U31)^2+(_xlfn.XLOOKUP(AI$1,$Z$2:$Z$18,$AC$2:$AC$18-$V31)^2)))</f>
        <v/>
      </c>
      <c r="AJ31" s="150">
        <f t="array" ref="AJ31">IF(AJ$1=0,"",SQRT((_xlfn.XLOOKUP(AJ$1,$Z$2:$Z$18,$AA$2:$AA$18)-$T31)^2+(_xlfn.XLOOKUP(AJ$1,$Z$2:$Z$18,$AB$2:$AB$18)-$U31)^2+(_xlfn.XLOOKUP(AJ$1,$Z$2:$Z$18,$AC$2:$AC$18-$V31)^2)))</f>
        <v/>
      </c>
      <c r="AK31" s="150">
        <f t="array" ref="AK31">IF(AK$1=0,"",SQRT((_xlfn.XLOOKUP(AK$1,$Z$2:$Z$18,$AA$2:$AA$18)-$T31)^2+(_xlfn.XLOOKUP(AK$1,$Z$2:$Z$18,$AB$2:$AB$18)-$U31)^2+(_xlfn.XLOOKUP(AK$1,$Z$2:$Z$18,$AC$2:$AC$18-$V31)^2)))</f>
        <v/>
      </c>
      <c r="AL31" s="150">
        <f t="array" ref="AL31">IF(AL$1=0,"",SQRT((_xlfn.XLOOKUP(AL$1,$Z$2:$Z$18,$AA$2:$AA$18)-$T31)^2+(_xlfn.XLOOKUP(AL$1,$Z$2:$Z$18,$AB$2:$AB$18)-$U31)^2+(_xlfn.XLOOKUP(AL$1,$Z$2:$Z$18,$AC$2:$AC$18-$V31)^2)))</f>
        <v/>
      </c>
      <c r="AM31" s="150">
        <f t="array" ref="AM31">IF(AM$1=0,"",SQRT((_xlfn.XLOOKUP(AM$1,$Z$2:$Z$18,$AA$2:$AA$18)-$T31)^2+(_xlfn.XLOOKUP(AM$1,$Z$2:$Z$18,$AB$2:$AB$18)-$U31)^2+(_xlfn.XLOOKUP(AM$1,$Z$2:$Z$18,$AC$2:$AC$18-$V31)^2)))</f>
        <v/>
      </c>
      <c r="AN31" s="150">
        <f t="array" ref="AN31">IF(AN$1=0,"",SQRT((_xlfn.XLOOKUP(AN$1,$Z$2:$Z$18,$AA$2:$AA$18)-$T31)^2+(_xlfn.XLOOKUP(AN$1,$Z$2:$Z$18,$AB$2:$AB$18)-$U31)^2+(_xlfn.XLOOKUP(AN$1,$Z$2:$Z$18,$AC$2:$AC$18-$V31)^2)))</f>
        <v/>
      </c>
      <c r="AO31" s="150">
        <f t="array" ref="AO31">IF(AO$1=0,"",SQRT((_xlfn.XLOOKUP(AO$1,$Z$2:$Z$18,$AA$2:$AA$18)-$T31)^2+(_xlfn.XLOOKUP(AO$1,$Z$2:$Z$18,$AB$2:$AB$18)-$U31)^2+(_xlfn.XLOOKUP(AO$1,$Z$2:$Z$18,$AC$2:$AC$18-$V31)^2)))</f>
        <v/>
      </c>
      <c r="AP31" s="151">
        <f t="array" ref="AP31">IF(AP$1=0,"",SQRT((_xlfn.XLOOKUP(AP$1,$Z$2:$Z$18,$AA$2:$AA$18)-$T31)^2+(_xlfn.XLOOKUP(AP$1,$Z$2:$Z$18,$AB$2:$AB$18)-$U31)^2+(_xlfn.XLOOKUP(AP$1,$Z$2:$Z$18,$AC$2:$AC$18-$V31)^2)))</f>
        <v/>
      </c>
      <c r="AQ31" s="151">
        <f t="array" ref="AQ31">IF(AQ$1=0,"",SQRT((_xlfn.XLOOKUP(AQ$1,$Z$2:$Z$18,$AA$2:$AA$18)-$T31)^2+(_xlfn.XLOOKUP(AQ$1,$Z$2:$Z$18,$AB$2:$AB$18)-$U31)^2+(_xlfn.XLOOKUP(AQ$1,$Z$2:$Z$18,$AC$2:$AC$18-$V31)^2)))</f>
        <v/>
      </c>
      <c r="AR31" s="151">
        <f t="array" ref="AR31">IF(AR$1=0,"",SQRT((_xlfn.XLOOKUP(AR$1,$Z$2:$Z$18,$AA$2:$AA$18)-$T31)^2+(_xlfn.XLOOKUP(AR$1,$Z$2:$Z$18,$AB$2:$AB$18)-$U31)^2+(_xlfn.XLOOKUP(AR$1,$Z$2:$Z$18,$AC$2:$AC$18-$V31)^2)))</f>
        <v/>
      </c>
      <c r="AS31" s="151">
        <f t="array" ref="AS31">IF(AS$1=0,"",SQRT((_xlfn.XLOOKUP(AS$1,$Z$2:$Z$18,$AA$2:$AA$18)-$T31)^2+(_xlfn.XLOOKUP(AS$1,$Z$2:$Z$18,$AB$2:$AB$18)-$U31)^2+(_xlfn.XLOOKUP(AS$1,$Z$2:$Z$18,$AC$2:$AC$18-$V31)^2)))</f>
        <v/>
      </c>
      <c r="AT31" s="151">
        <f t="array" ref="AT31">IF(AT$1=0,"",SQRT((_xlfn.XLOOKUP(AT$1,$Z$2:$Z$18,$AA$2:$AA$18)-$T31)^2+(_xlfn.XLOOKUP(AT$1,$Z$2:$Z$18,$AB$2:$AB$18)-$U31)^2+(_xlfn.XLOOKUP(AT$1,$Z$2:$Z$18,$AC$2:$AC$18-$V31)^2)))</f>
        <v/>
      </c>
      <c r="AU31" s="151">
        <f t="array" ref="AU31">IF(AU$1=0,"",SQRT((_xlfn.XLOOKUP(AU$1,$Z$2:$Z$18,$AA$2:$AA$18)-$T31)^2+(_xlfn.XLOOKUP(AU$1,$Z$2:$Z$18,$AB$2:$AB$18)-$U31)^2+(_xlfn.XLOOKUP(AU$1,$Z$2:$Z$18,$AC$2:$AC$18-$V31)^2)))</f>
        <v/>
      </c>
      <c r="AV31" s="152">
        <f t="array" ref="AV31">IF(AV$1=0,"",SQRT((_xlfn.XLOOKUP(AV$1,$Z$2:$Z$18,$AA$2:$AA$18)-$T31)^2+(_xlfn.XLOOKUP(AV$1,$Z$2:$Z$18,$AB$2:$AB$18)-$U31)^2+(_xlfn.XLOOKUP(AV$1,$Z$2:$Z$18,$AC$2:$AC$18-$V31)^2)))</f>
        <v/>
      </c>
      <c r="AW31" s="134" t="n"/>
      <c r="AX31" s="134" t="n"/>
      <c r="AY31" s="135">
        <f>IFERROR(-ABS(10*LOG10(($R31/(4*PI()*CONVERT(AH31,"ft","m")^2)))),0)</f>
        <v/>
      </c>
      <c r="AZ31" s="153">
        <f>IFERROR(-ABS(10*LOG10(($R31/(4*PI()*CONVERT(AI31,"ft","m")^2)))),0)</f>
        <v/>
      </c>
      <c r="BA31" s="153">
        <f>IFERROR(-ABS(10*LOG10(($R31/(4*PI()*CONVERT(AJ31,"ft","m")^2)))),0)</f>
        <v/>
      </c>
      <c r="BB31" s="153">
        <f>IFERROR(-ABS(10*LOG10(($R31/(4*PI()*CONVERT(AK31,"ft","m")^2)))),0)</f>
        <v/>
      </c>
      <c r="BC31" s="153">
        <f>IFERROR(-ABS(10*LOG10(($R31/(4*PI()*CONVERT(AL31,"ft","m")^2)))),0)</f>
        <v/>
      </c>
      <c r="BD31" s="153">
        <f>IFERROR(-ABS(10*LOG10(($R31/(4*PI()*CONVERT(AM31,"ft","m")^2)))),0)</f>
        <v/>
      </c>
      <c r="BE31" s="153">
        <f>IFERROR(-ABS(10*LOG10(($R31/(4*PI()*CONVERT(AN31,"ft","m")^2)))),0)</f>
        <v/>
      </c>
      <c r="BF31" s="153">
        <f>IFERROR(-ABS(10*LOG10(($R31/(4*PI()*CONVERT(AO31,"ft","m")^2)))),0)</f>
        <v/>
      </c>
      <c r="BG31" s="154">
        <f>IFERROR(-ABS(10*LOG10(($R31/(4*PI()*CONVERT(AP31,"ft","m")^2)))),0)</f>
        <v/>
      </c>
      <c r="BH31" s="154">
        <f>IFERROR(-ABS(10*LOG10(($R31/(4*PI()*CONVERT(AQ31,"ft","m")^2)))),0)</f>
        <v/>
      </c>
      <c r="BI31" s="154">
        <f>IFERROR(-ABS(10*LOG10(($R31/(4*PI()*CONVERT(AR31,"ft","m")^2)))),0)</f>
        <v/>
      </c>
      <c r="BJ31" s="154">
        <f>IFERROR(-ABS(10*LOG10(($R31/(4*PI()*CONVERT(AS31,"ft","m")^2)))),0)</f>
        <v/>
      </c>
      <c r="BK31" s="154">
        <f>IFERROR(-ABS(10*LOG10(($R31/(4*PI()*CONVERT(AT31,"ft","m")^2)))),0)</f>
        <v/>
      </c>
      <c r="BL31" s="154">
        <f>IFERROR(-ABS(10*LOG10(($R31/(4*PI()*CONVERT(AU31,"ft","m")^2)))),0)</f>
        <v/>
      </c>
      <c r="BM31" s="155">
        <f>IFERROR(-ABS(10*LOG10(($R31/(4*PI()*CONVERT(AV31,"ft","m")^2)))),0)</f>
        <v/>
      </c>
      <c r="BN31" s="134" t="n"/>
      <c r="BO31" s="40" t="inlineStr">
        <is>
          <t>Measurement</t>
        </is>
      </c>
      <c r="BP31" s="21">
        <f>#REF!</f>
        <v/>
      </c>
      <c r="BQ31" s="21" t="n">
        <v>3.28</v>
      </c>
      <c r="BR31" s="21">
        <f>BO33</f>
        <v/>
      </c>
      <c r="BT31" s="134" t="n"/>
      <c r="BU31" s="134" t="n"/>
      <c r="BV31" s="140" t="n"/>
      <c r="BW31" s="140" t="n"/>
      <c r="BX31" s="140" t="n"/>
      <c r="BY31" s="140" t="n"/>
      <c r="BZ31" s="140" t="n"/>
      <c r="CA31" s="140" t="n"/>
      <c r="CB31" s="140" t="n"/>
      <c r="CC31" s="140" t="n"/>
      <c r="CD31" s="140" t="n"/>
      <c r="CE31" s="140" t="n"/>
      <c r="CF31" s="140" t="n"/>
      <c r="CG31" s="140" t="n"/>
      <c r="CH31" s="140" t="n"/>
      <c r="CI31" s="140" t="n"/>
      <c r="CJ31" s="140" t="n"/>
      <c r="CK31" s="134" t="n"/>
      <c r="CL31" s="134" t="n"/>
      <c r="CM31" s="156">
        <f>IF( CM$1= 0,"",$Q31-$S31+AY31-BV31)</f>
        <v/>
      </c>
      <c r="CN31" s="157">
        <f>IF( CN$1= 0,"",$Q31-$S31+AZ31-BW31)</f>
        <v/>
      </c>
      <c r="CO31" s="157">
        <f>IF( CO$1= 0,"",$Q31-$S31+BA31-BX31)</f>
        <v/>
      </c>
      <c r="CP31" s="157">
        <f>IF( CP$1= 0,"",$Q31-$S31+BB31-BY31)</f>
        <v/>
      </c>
      <c r="CQ31" s="157">
        <f>IF( CQ$1= 0,"",$Q31-$S31+BC31-BZ31)</f>
        <v/>
      </c>
      <c r="CR31" s="157">
        <f>IF( CR$1= 0,"",$Q31-$S31+BD31-CA31)</f>
        <v/>
      </c>
      <c r="CS31" s="157">
        <f>IF( CS$1= 0,"",$Q31-$S31+BE31-CB31)</f>
        <v/>
      </c>
      <c r="CT31" s="157">
        <f>IF( CT$1= 0,"",$Q31-$S31+BF31-CC31)</f>
        <v/>
      </c>
      <c r="CU31" s="158">
        <f>IF( CU$1= 0,"",$Q31-$S31+BG31-CD31)</f>
        <v/>
      </c>
      <c r="CV31" s="158">
        <f>IF( CV$1= 0,"",$Q31-$S31+BH31-CE31)</f>
        <v/>
      </c>
      <c r="CW31" s="158">
        <f>IF( CW$1= 0,"",$Q31-$S31+BI31-CF31)</f>
        <v/>
      </c>
      <c r="CX31" s="158">
        <f>IF( CX$1= 0,"",$Q31-$S31+BJ31-CG31)</f>
        <v/>
      </c>
      <c r="CY31" s="143">
        <f>IF( CY$1= 0,"",$Q31-$S31+BK31-CH31)</f>
        <v/>
      </c>
      <c r="CZ31" s="143">
        <f>IF( CZ$1= 0,"",$Q31-$S31+BL31-CI31)</f>
        <v/>
      </c>
      <c r="DA31" s="144">
        <f>IF( DA$1= 0,"",$Q31-$S31+BM31-CJ31)</f>
        <v/>
      </c>
    </row>
    <row r="32" ht="16.5" customHeight="1">
      <c r="A32" s="145" t="n">
        <v>1</v>
      </c>
      <c r="B32" s="146" t="inlineStr">
        <is>
          <t xml:space="preserve">BEF-R10 </t>
        </is>
      </c>
      <c r="C32" s="146" t="inlineStr">
        <is>
          <t>Inlet</t>
        </is>
      </c>
      <c r="D32" s="147" t="inlineStr">
        <is>
          <t>Greenheck</t>
        </is>
      </c>
      <c r="E32" s="205" t="inlineStr">
        <is>
          <t>CUE-80VG</t>
        </is>
      </c>
      <c r="F32" s="213" t="n"/>
      <c r="G32" s="214" t="n"/>
      <c r="H32" s="214" t="n"/>
      <c r="I32" s="214" t="n"/>
      <c r="J32" s="214" t="n"/>
      <c r="K32" s="214" t="n"/>
      <c r="L32" s="214" t="n"/>
      <c r="M32" s="218" t="n"/>
      <c r="N32" s="213" t="n">
        <v>65.8731209211611</v>
      </c>
      <c r="O32" s="215" t="n">
        <v>0</v>
      </c>
      <c r="P32" s="208" t="n">
        <v>1</v>
      </c>
      <c r="Q32" s="128">
        <f>ROUND(IF(AND(A32&gt;0, O32&gt;0), N32+ABS(10*LOG10(P32/(4*PI()*CONVERT(O32,"ft", "m")^2))), N32),0)</f>
        <v/>
      </c>
      <c r="R32" s="3" t="n">
        <v>2</v>
      </c>
      <c r="S32" s="3" t="n"/>
      <c r="T32" s="214" t="n">
        <v>214.65</v>
      </c>
      <c r="U32" s="214" t="n">
        <v>91.59</v>
      </c>
      <c r="V32" s="109">
        <f>SUM(W32:X32)</f>
        <v/>
      </c>
      <c r="W32" s="81" t="n">
        <v>73</v>
      </c>
      <c r="X32" s="148" t="n">
        <v>2</v>
      </c>
      <c r="Z32" s="115" t="inlineStr">
        <is>
          <t>bar9</t>
        </is>
      </c>
      <c r="AA32" s="113" t="n">
        <v>213.85</v>
      </c>
      <c r="AB32" s="52" t="n">
        <v>75.13</v>
      </c>
      <c r="AC32" s="106" t="n">
        <v>75.40000000000001</v>
      </c>
      <c r="AD32" s="52" t="n">
        <v>227.71</v>
      </c>
      <c r="AE32" s="52" t="n">
        <v>77.77</v>
      </c>
      <c r="AF32" s="53" t="n">
        <v>75.40000000000001</v>
      </c>
      <c r="AH32" s="168">
        <f t="array" ref="AH32">IF(AH$1=0,"",SQRT((_xlfn.XLOOKUP(AH$1,$Z$2:$Z$18,$AA$2:$AA$18)-$T32)^2+(_xlfn.XLOOKUP(AH$1,$Z$2:$Z$18,$AB$2:$AB$18)-$U32)^2+(_xlfn.XLOOKUP(AH$1,$Z$2:$Z$18,$AC$2:$AC$18-$V32)^2)))</f>
        <v/>
      </c>
      <c r="AI32" s="150">
        <f t="array" ref="AI32">IF(AI$1=0,"",SQRT((_xlfn.XLOOKUP(AI$1,$Z$2:$Z$18,$AA$2:$AA$18)-$T32)^2+(_xlfn.XLOOKUP(AI$1,$Z$2:$Z$18,$AB$2:$AB$18)-$U32)^2+(_xlfn.XLOOKUP(AI$1,$Z$2:$Z$18,$AC$2:$AC$18-$V32)^2)))</f>
        <v/>
      </c>
      <c r="AJ32" s="150">
        <f t="array" ref="AJ32">IF(AJ$1=0,"",SQRT((_xlfn.XLOOKUP(AJ$1,$Z$2:$Z$18,$AA$2:$AA$18)-$T32)^2+(_xlfn.XLOOKUP(AJ$1,$Z$2:$Z$18,$AB$2:$AB$18)-$U32)^2+(_xlfn.XLOOKUP(AJ$1,$Z$2:$Z$18,$AC$2:$AC$18-$V32)^2)))</f>
        <v/>
      </c>
      <c r="AK32" s="150">
        <f t="array" ref="AK32">IF(AK$1=0,"",SQRT((_xlfn.XLOOKUP(AK$1,$Z$2:$Z$18,$AA$2:$AA$18)-$T32)^2+(_xlfn.XLOOKUP(AK$1,$Z$2:$Z$18,$AB$2:$AB$18)-$U32)^2+(_xlfn.XLOOKUP(AK$1,$Z$2:$Z$18,$AC$2:$AC$18-$V32)^2)))</f>
        <v/>
      </c>
      <c r="AL32" s="150">
        <f t="array" ref="AL32">IF(AL$1=0,"",SQRT((_xlfn.XLOOKUP(AL$1,$Z$2:$Z$18,$AA$2:$AA$18)-$T32)^2+(_xlfn.XLOOKUP(AL$1,$Z$2:$Z$18,$AB$2:$AB$18)-$U32)^2+(_xlfn.XLOOKUP(AL$1,$Z$2:$Z$18,$AC$2:$AC$18-$V32)^2)))</f>
        <v/>
      </c>
      <c r="AM32" s="150">
        <f t="array" ref="AM32">IF(AM$1=0,"",SQRT((_xlfn.XLOOKUP(AM$1,$Z$2:$Z$18,$AA$2:$AA$18)-$T32)^2+(_xlfn.XLOOKUP(AM$1,$Z$2:$Z$18,$AB$2:$AB$18)-$U32)^2+(_xlfn.XLOOKUP(AM$1,$Z$2:$Z$18,$AC$2:$AC$18-$V32)^2)))</f>
        <v/>
      </c>
      <c r="AN32" s="150">
        <f t="array" ref="AN32">IF(AN$1=0,"",SQRT((_xlfn.XLOOKUP(AN$1,$Z$2:$Z$18,$AA$2:$AA$18)-$T32)^2+(_xlfn.XLOOKUP(AN$1,$Z$2:$Z$18,$AB$2:$AB$18)-$U32)^2+(_xlfn.XLOOKUP(AN$1,$Z$2:$Z$18,$AC$2:$AC$18-$V32)^2)))</f>
        <v/>
      </c>
      <c r="AO32" s="150">
        <f t="array" ref="AO32">IF(AO$1=0,"",SQRT((_xlfn.XLOOKUP(AO$1,$Z$2:$Z$18,$AA$2:$AA$18)-$T32)^2+(_xlfn.XLOOKUP(AO$1,$Z$2:$Z$18,$AB$2:$AB$18)-$U32)^2+(_xlfn.XLOOKUP(AO$1,$Z$2:$Z$18,$AC$2:$AC$18-$V32)^2)))</f>
        <v/>
      </c>
      <c r="AP32" s="151">
        <f t="array" ref="AP32">IF(AP$1=0,"",SQRT((_xlfn.XLOOKUP(AP$1,$Z$2:$Z$18,$AA$2:$AA$18)-$T32)^2+(_xlfn.XLOOKUP(AP$1,$Z$2:$Z$18,$AB$2:$AB$18)-$U32)^2+(_xlfn.XLOOKUP(AP$1,$Z$2:$Z$18,$AC$2:$AC$18-$V32)^2)))</f>
        <v/>
      </c>
      <c r="AQ32" s="151">
        <f t="array" ref="AQ32">IF(AQ$1=0,"",SQRT((_xlfn.XLOOKUP(AQ$1,$Z$2:$Z$18,$AA$2:$AA$18)-$T32)^2+(_xlfn.XLOOKUP(AQ$1,$Z$2:$Z$18,$AB$2:$AB$18)-$U32)^2+(_xlfn.XLOOKUP(AQ$1,$Z$2:$Z$18,$AC$2:$AC$18-$V32)^2)))</f>
        <v/>
      </c>
      <c r="AR32" s="151">
        <f t="array" ref="AR32">IF(AR$1=0,"",SQRT((_xlfn.XLOOKUP(AR$1,$Z$2:$Z$18,$AA$2:$AA$18)-$T32)^2+(_xlfn.XLOOKUP(AR$1,$Z$2:$Z$18,$AB$2:$AB$18)-$U32)^2+(_xlfn.XLOOKUP(AR$1,$Z$2:$Z$18,$AC$2:$AC$18-$V32)^2)))</f>
        <v/>
      </c>
      <c r="AS32" s="151">
        <f t="array" ref="AS32">IF(AS$1=0,"",SQRT((_xlfn.XLOOKUP(AS$1,$Z$2:$Z$18,$AA$2:$AA$18)-$T32)^2+(_xlfn.XLOOKUP(AS$1,$Z$2:$Z$18,$AB$2:$AB$18)-$U32)^2+(_xlfn.XLOOKUP(AS$1,$Z$2:$Z$18,$AC$2:$AC$18-$V32)^2)))</f>
        <v/>
      </c>
      <c r="AT32" s="151">
        <f t="array" ref="AT32">IF(AT$1=0,"",SQRT((_xlfn.XLOOKUP(AT$1,$Z$2:$Z$18,$AA$2:$AA$18)-$T32)^2+(_xlfn.XLOOKUP(AT$1,$Z$2:$Z$18,$AB$2:$AB$18)-$U32)^2+(_xlfn.XLOOKUP(AT$1,$Z$2:$Z$18,$AC$2:$AC$18-$V32)^2)))</f>
        <v/>
      </c>
      <c r="AU32" s="151">
        <f t="array" ref="AU32">IF(AU$1=0,"",SQRT((_xlfn.XLOOKUP(AU$1,$Z$2:$Z$18,$AA$2:$AA$18)-$T32)^2+(_xlfn.XLOOKUP(AU$1,$Z$2:$Z$18,$AB$2:$AB$18)-$U32)^2+(_xlfn.XLOOKUP(AU$1,$Z$2:$Z$18,$AC$2:$AC$18-$V32)^2)))</f>
        <v/>
      </c>
      <c r="AV32" s="152">
        <f t="array" ref="AV32">IF(AV$1=0,"",SQRT((_xlfn.XLOOKUP(AV$1,$Z$2:$Z$18,$AA$2:$AA$18)-$T32)^2+(_xlfn.XLOOKUP(AV$1,$Z$2:$Z$18,$AB$2:$AB$18)-$U32)^2+(_xlfn.XLOOKUP(AV$1,$Z$2:$Z$18,$AC$2:$AC$18-$V32)^2)))</f>
        <v/>
      </c>
      <c r="AW32" s="134" t="n"/>
      <c r="AX32" s="134" t="n"/>
      <c r="AY32" s="135">
        <f>IFERROR(-ABS(10*LOG10(($R32/(4*PI()*CONVERT(AH32,"ft","m")^2)))),0)</f>
        <v/>
      </c>
      <c r="AZ32" s="153">
        <f>IFERROR(-ABS(10*LOG10(($R32/(4*PI()*CONVERT(AI32,"ft","m")^2)))),0)</f>
        <v/>
      </c>
      <c r="BA32" s="153">
        <f>IFERROR(-ABS(10*LOG10(($R32/(4*PI()*CONVERT(AJ32,"ft","m")^2)))),0)</f>
        <v/>
      </c>
      <c r="BB32" s="153">
        <f>IFERROR(-ABS(10*LOG10(($R32/(4*PI()*CONVERT(AK32,"ft","m")^2)))),0)</f>
        <v/>
      </c>
      <c r="BC32" s="153">
        <f>IFERROR(-ABS(10*LOG10(($R32/(4*PI()*CONVERT(AL32,"ft","m")^2)))),0)</f>
        <v/>
      </c>
      <c r="BD32" s="153">
        <f>IFERROR(-ABS(10*LOG10(($R32/(4*PI()*CONVERT(AM32,"ft","m")^2)))),0)</f>
        <v/>
      </c>
      <c r="BE32" s="153">
        <f>IFERROR(-ABS(10*LOG10(($R32/(4*PI()*CONVERT(AN32,"ft","m")^2)))),0)</f>
        <v/>
      </c>
      <c r="BF32" s="153">
        <f>IFERROR(-ABS(10*LOG10(($R32/(4*PI()*CONVERT(AO32,"ft","m")^2)))),0)</f>
        <v/>
      </c>
      <c r="BG32" s="154">
        <f>IFERROR(-ABS(10*LOG10(($R32/(4*PI()*CONVERT(AP32,"ft","m")^2)))),0)</f>
        <v/>
      </c>
      <c r="BH32" s="154">
        <f>IFERROR(-ABS(10*LOG10(($R32/(4*PI()*CONVERT(AQ32,"ft","m")^2)))),0)</f>
        <v/>
      </c>
      <c r="BI32" s="154">
        <f>IFERROR(-ABS(10*LOG10(($R32/(4*PI()*CONVERT(AR32,"ft","m")^2)))),0)</f>
        <v/>
      </c>
      <c r="BJ32" s="154">
        <f>IFERROR(-ABS(10*LOG10(($R32/(4*PI()*CONVERT(AS32,"ft","m")^2)))),0)</f>
        <v/>
      </c>
      <c r="BK32" s="154">
        <f>IFERROR(-ABS(10*LOG10(($R32/(4*PI()*CONVERT(AT32,"ft","m")^2)))),0)</f>
        <v/>
      </c>
      <c r="BL32" s="154">
        <f>IFERROR(-ABS(10*LOG10(($R32/(4*PI()*CONVERT(AU32,"ft","m")^2)))),0)</f>
        <v/>
      </c>
      <c r="BM32" s="155">
        <f>IFERROR(-ABS(10*LOG10(($R32/(4*PI()*CONVERT(AV32,"ft","m")^2)))),0)</f>
        <v/>
      </c>
      <c r="BN32" s="134" t="n"/>
      <c r="BO32" s="21" t="n"/>
      <c r="BP32" s="21" t="n"/>
      <c r="BQ32" s="21" t="n"/>
      <c r="BR32" s="21">
        <f>"Barrier Reduction per ARI: " &amp; 'Input LwA_XYZ'!BP46 &amp; " dB"</f>
        <v/>
      </c>
      <c r="BT32" s="134" t="n"/>
      <c r="BU32" s="134" t="n"/>
      <c r="BV32" s="140" t="n"/>
      <c r="BW32" s="140" t="n"/>
      <c r="BX32" s="140" t="n"/>
      <c r="BY32" s="140" t="n"/>
      <c r="BZ32" s="140" t="n"/>
      <c r="CA32" s="140" t="n"/>
      <c r="CB32" s="140" t="n"/>
      <c r="CC32" s="140" t="n"/>
      <c r="CD32" s="140" t="n"/>
      <c r="CE32" s="140" t="n"/>
      <c r="CF32" s="140" t="n"/>
      <c r="CG32" s="140" t="n"/>
      <c r="CH32" s="140" t="n"/>
      <c r="CI32" s="140" t="n"/>
      <c r="CJ32" s="140" t="n"/>
      <c r="CK32" s="134" t="n"/>
      <c r="CL32" s="134" t="n"/>
      <c r="CM32" s="156">
        <f>IF( CM$1= 0,"",$Q32-$S32+AY32-BV32)</f>
        <v/>
      </c>
      <c r="CN32" s="157">
        <f>IF( CN$1= 0,"",$Q32-$S32+AZ32-BW32)</f>
        <v/>
      </c>
      <c r="CO32" s="157">
        <f>IF( CO$1= 0,"",$Q32-$S32+BA32-BX32)</f>
        <v/>
      </c>
      <c r="CP32" s="157">
        <f>IF( CP$1= 0,"",$Q32-$S32+BB32-BY32)</f>
        <v/>
      </c>
      <c r="CQ32" s="157">
        <f>IF( CQ$1= 0,"",$Q32-$S32+BC32-BZ32)</f>
        <v/>
      </c>
      <c r="CR32" s="157">
        <f>IF( CR$1= 0,"",$Q32-$S32+BD32-CA32)</f>
        <v/>
      </c>
      <c r="CS32" s="157">
        <f>IF( CS$1= 0,"",$Q32-$S32+BE32-CB32)</f>
        <v/>
      </c>
      <c r="CT32" s="157">
        <f>IF( CT$1= 0,"",$Q32-$S32+BF32-CC32)</f>
        <v/>
      </c>
      <c r="CU32" s="158">
        <f>IF( CU$1= 0,"",$Q32-$S32+BG32-CD32)</f>
        <v/>
      </c>
      <c r="CV32" s="158">
        <f>IF( CV$1= 0,"",$Q32-$S32+BH32-CE32)</f>
        <v/>
      </c>
      <c r="CW32" s="158">
        <f>IF( CW$1= 0,"",$Q32-$S32+BI32-CF32)</f>
        <v/>
      </c>
      <c r="CX32" s="158">
        <f>IF( CX$1= 0,"",$Q32-$S32+BJ32-CG32)</f>
        <v/>
      </c>
      <c r="CY32" s="143">
        <f>IF( CY$1= 0,"",$Q32-$S32+BK32-CH32)</f>
        <v/>
      </c>
      <c r="CZ32" s="143">
        <f>IF( CZ$1= 0,"",$Q32-$S32+BL32-CI32)</f>
        <v/>
      </c>
      <c r="DA32" s="144">
        <f>IF( DA$1= 0,"",$Q32-$S32+BM32-CJ32)</f>
        <v/>
      </c>
    </row>
    <row r="33" ht="16.5" customHeight="1">
      <c r="A33" s="145" t="n">
        <v>1</v>
      </c>
      <c r="B33" s="146" t="inlineStr">
        <is>
          <t xml:space="preserve">BEF-R11 </t>
        </is>
      </c>
      <c r="C33" s="146" t="inlineStr">
        <is>
          <t>Inlet</t>
        </is>
      </c>
      <c r="D33" s="147" t="inlineStr">
        <is>
          <t>Greenheck</t>
        </is>
      </c>
      <c r="E33" s="205" t="inlineStr">
        <is>
          <t>CUE-80VG</t>
        </is>
      </c>
      <c r="F33" s="213" t="n"/>
      <c r="G33" s="214" t="n"/>
      <c r="H33" s="214" t="n"/>
      <c r="I33" s="214" t="n"/>
      <c r="J33" s="214" t="n"/>
      <c r="K33" s="214" t="n"/>
      <c r="L33" s="214" t="n"/>
      <c r="M33" s="218" t="n"/>
      <c r="N33" s="213" t="n">
        <v>65.8731209211611</v>
      </c>
      <c r="O33" s="215" t="n">
        <v>0</v>
      </c>
      <c r="P33" s="208" t="n">
        <v>1</v>
      </c>
      <c r="Q33" s="128">
        <f>ROUND(IF(AND(A33&gt;0, O33&gt;0), N33+ABS(10*LOG10(P33/(4*PI()*CONVERT(O33,"ft", "m")^2))), N33),0)</f>
        <v/>
      </c>
      <c r="R33" s="3" t="n">
        <v>2</v>
      </c>
      <c r="S33" s="3" t="n"/>
      <c r="T33" s="214" t="n">
        <v>207.15</v>
      </c>
      <c r="U33" s="214" t="n">
        <v>116.06</v>
      </c>
      <c r="V33" s="109">
        <f>SUM(W33:X33)</f>
        <v/>
      </c>
      <c r="W33" s="81" t="n">
        <v>73</v>
      </c>
      <c r="X33" s="148" t="n">
        <v>2</v>
      </c>
      <c r="Z33" s="115" t="inlineStr">
        <is>
          <t>bar10</t>
        </is>
      </c>
      <c r="AA33" s="113" t="n">
        <v>225.28</v>
      </c>
      <c r="AB33" s="52" t="n">
        <v>90.65000000000001</v>
      </c>
      <c r="AC33" s="106" t="n">
        <v>75.40000000000001</v>
      </c>
      <c r="AD33" s="52" t="n">
        <v>227.92</v>
      </c>
      <c r="AE33" s="52" t="n">
        <v>77.78</v>
      </c>
      <c r="AF33" s="53" t="n">
        <v>75.40000000000001</v>
      </c>
      <c r="AH33" s="168">
        <f t="array" ref="AH33">IF(AH$1=0,"",SQRT((_xlfn.XLOOKUP(AH$1,$Z$2:$Z$18,$AA$2:$AA$18)-$T33)^2+(_xlfn.XLOOKUP(AH$1,$Z$2:$Z$18,$AB$2:$AB$18)-$U33)^2+(_xlfn.XLOOKUP(AH$1,$Z$2:$Z$18,$AC$2:$AC$18-$V33)^2)))</f>
        <v/>
      </c>
      <c r="AI33" s="150">
        <f t="array" ref="AI33">IF(AI$1=0,"",SQRT((_xlfn.XLOOKUP(AI$1,$Z$2:$Z$18,$AA$2:$AA$18)-$T33)^2+(_xlfn.XLOOKUP(AI$1,$Z$2:$Z$18,$AB$2:$AB$18)-$U33)^2+(_xlfn.XLOOKUP(AI$1,$Z$2:$Z$18,$AC$2:$AC$18-$V33)^2)))</f>
        <v/>
      </c>
      <c r="AJ33" s="150">
        <f t="array" ref="AJ33">IF(AJ$1=0,"",SQRT((_xlfn.XLOOKUP(AJ$1,$Z$2:$Z$18,$AA$2:$AA$18)-$T33)^2+(_xlfn.XLOOKUP(AJ$1,$Z$2:$Z$18,$AB$2:$AB$18)-$U33)^2+(_xlfn.XLOOKUP(AJ$1,$Z$2:$Z$18,$AC$2:$AC$18-$V33)^2)))</f>
        <v/>
      </c>
      <c r="AK33" s="150">
        <f t="array" ref="AK33">IF(AK$1=0,"",SQRT((_xlfn.XLOOKUP(AK$1,$Z$2:$Z$18,$AA$2:$AA$18)-$T33)^2+(_xlfn.XLOOKUP(AK$1,$Z$2:$Z$18,$AB$2:$AB$18)-$U33)^2+(_xlfn.XLOOKUP(AK$1,$Z$2:$Z$18,$AC$2:$AC$18-$V33)^2)))</f>
        <v/>
      </c>
      <c r="AL33" s="150">
        <f t="array" ref="AL33">IF(AL$1=0,"",SQRT((_xlfn.XLOOKUP(AL$1,$Z$2:$Z$18,$AA$2:$AA$18)-$T33)^2+(_xlfn.XLOOKUP(AL$1,$Z$2:$Z$18,$AB$2:$AB$18)-$U33)^2+(_xlfn.XLOOKUP(AL$1,$Z$2:$Z$18,$AC$2:$AC$18-$V33)^2)))</f>
        <v/>
      </c>
      <c r="AM33" s="150">
        <f t="array" ref="AM33">IF(AM$1=0,"",SQRT((_xlfn.XLOOKUP(AM$1,$Z$2:$Z$18,$AA$2:$AA$18)-$T33)^2+(_xlfn.XLOOKUP(AM$1,$Z$2:$Z$18,$AB$2:$AB$18)-$U33)^2+(_xlfn.XLOOKUP(AM$1,$Z$2:$Z$18,$AC$2:$AC$18-$V33)^2)))</f>
        <v/>
      </c>
      <c r="AN33" s="150">
        <f t="array" ref="AN33">IF(AN$1=0,"",SQRT((_xlfn.XLOOKUP(AN$1,$Z$2:$Z$18,$AA$2:$AA$18)-$T33)^2+(_xlfn.XLOOKUP(AN$1,$Z$2:$Z$18,$AB$2:$AB$18)-$U33)^2+(_xlfn.XLOOKUP(AN$1,$Z$2:$Z$18,$AC$2:$AC$18-$V33)^2)))</f>
        <v/>
      </c>
      <c r="AO33" s="150">
        <f t="array" ref="AO33">IF(AO$1=0,"",SQRT((_xlfn.XLOOKUP(AO$1,$Z$2:$Z$18,$AA$2:$AA$18)-$T33)^2+(_xlfn.XLOOKUP(AO$1,$Z$2:$Z$18,$AB$2:$AB$18)-$U33)^2+(_xlfn.XLOOKUP(AO$1,$Z$2:$Z$18,$AC$2:$AC$18-$V33)^2)))</f>
        <v/>
      </c>
      <c r="AP33" s="151">
        <f t="array" ref="AP33">IF(AP$1=0,"",SQRT((_xlfn.XLOOKUP(AP$1,$Z$2:$Z$18,$AA$2:$AA$18)-$T33)^2+(_xlfn.XLOOKUP(AP$1,$Z$2:$Z$18,$AB$2:$AB$18)-$U33)^2+(_xlfn.XLOOKUP(AP$1,$Z$2:$Z$18,$AC$2:$AC$18-$V33)^2)))</f>
        <v/>
      </c>
      <c r="AQ33" s="151">
        <f t="array" ref="AQ33">IF(AQ$1=0,"",SQRT((_xlfn.XLOOKUP(AQ$1,$Z$2:$Z$18,$AA$2:$AA$18)-$T33)^2+(_xlfn.XLOOKUP(AQ$1,$Z$2:$Z$18,$AB$2:$AB$18)-$U33)^2+(_xlfn.XLOOKUP(AQ$1,$Z$2:$Z$18,$AC$2:$AC$18-$V33)^2)))</f>
        <v/>
      </c>
      <c r="AR33" s="151">
        <f t="array" ref="AR33">IF(AR$1=0,"",SQRT((_xlfn.XLOOKUP(AR$1,$Z$2:$Z$18,$AA$2:$AA$18)-$T33)^2+(_xlfn.XLOOKUP(AR$1,$Z$2:$Z$18,$AB$2:$AB$18)-$U33)^2+(_xlfn.XLOOKUP(AR$1,$Z$2:$Z$18,$AC$2:$AC$18-$V33)^2)))</f>
        <v/>
      </c>
      <c r="AS33" s="151">
        <f t="array" ref="AS33">IF(AS$1=0,"",SQRT((_xlfn.XLOOKUP(AS$1,$Z$2:$Z$18,$AA$2:$AA$18)-$T33)^2+(_xlfn.XLOOKUP(AS$1,$Z$2:$Z$18,$AB$2:$AB$18)-$U33)^2+(_xlfn.XLOOKUP(AS$1,$Z$2:$Z$18,$AC$2:$AC$18-$V33)^2)))</f>
        <v/>
      </c>
      <c r="AT33" s="151">
        <f t="array" ref="AT33">IF(AT$1=0,"",SQRT((_xlfn.XLOOKUP(AT$1,$Z$2:$Z$18,$AA$2:$AA$18)-$T33)^2+(_xlfn.XLOOKUP(AT$1,$Z$2:$Z$18,$AB$2:$AB$18)-$U33)^2+(_xlfn.XLOOKUP(AT$1,$Z$2:$Z$18,$AC$2:$AC$18-$V33)^2)))</f>
        <v/>
      </c>
      <c r="AU33" s="151">
        <f t="array" ref="AU33">IF(AU$1=0,"",SQRT((_xlfn.XLOOKUP(AU$1,$Z$2:$Z$18,$AA$2:$AA$18)-$T33)^2+(_xlfn.XLOOKUP(AU$1,$Z$2:$Z$18,$AB$2:$AB$18)-$U33)^2+(_xlfn.XLOOKUP(AU$1,$Z$2:$Z$18,$AC$2:$AC$18-$V33)^2)))</f>
        <v/>
      </c>
      <c r="AV33" s="152">
        <f t="array" ref="AV33">IF(AV$1=0,"",SQRT((_xlfn.XLOOKUP(AV$1,$Z$2:$Z$18,$AA$2:$AA$18)-$T33)^2+(_xlfn.XLOOKUP(AV$1,$Z$2:$Z$18,$AB$2:$AB$18)-$U33)^2+(_xlfn.XLOOKUP(AV$1,$Z$2:$Z$18,$AC$2:$AC$18-$V33)^2)))</f>
        <v/>
      </c>
      <c r="AW33" s="134" t="n"/>
      <c r="AX33" s="134" t="n"/>
      <c r="AY33" s="135">
        <f>IFERROR(-ABS(10*LOG10(($R33/(4*PI()*CONVERT(AH33,"ft","m")^2)))),0)</f>
        <v/>
      </c>
      <c r="AZ33" s="153">
        <f>IFERROR(-ABS(10*LOG10(($R33/(4*PI()*CONVERT(AI33,"ft","m")^2)))),0)</f>
        <v/>
      </c>
      <c r="BA33" s="153">
        <f>IFERROR(-ABS(10*LOG10(($R33/(4*PI()*CONVERT(AJ33,"ft","m")^2)))),0)</f>
        <v/>
      </c>
      <c r="BB33" s="153">
        <f>IFERROR(-ABS(10*LOG10(($R33/(4*PI()*CONVERT(AK33,"ft","m")^2)))),0)</f>
        <v/>
      </c>
      <c r="BC33" s="153">
        <f>IFERROR(-ABS(10*LOG10(($R33/(4*PI()*CONVERT(AL33,"ft","m")^2)))),0)</f>
        <v/>
      </c>
      <c r="BD33" s="153">
        <f>IFERROR(-ABS(10*LOG10(($R33/(4*PI()*CONVERT(AM33,"ft","m")^2)))),0)</f>
        <v/>
      </c>
      <c r="BE33" s="153">
        <f>IFERROR(-ABS(10*LOG10(($R33/(4*PI()*CONVERT(AN33,"ft","m")^2)))),0)</f>
        <v/>
      </c>
      <c r="BF33" s="153">
        <f>IFERROR(-ABS(10*LOG10(($R33/(4*PI()*CONVERT(AO33,"ft","m")^2)))),0)</f>
        <v/>
      </c>
      <c r="BG33" s="154">
        <f>IFERROR(-ABS(10*LOG10(($R33/(4*PI()*CONVERT(AP33,"ft","m")^2)))),0)</f>
        <v/>
      </c>
      <c r="BH33" s="154">
        <f>IFERROR(-ABS(10*LOG10(($R33/(4*PI()*CONVERT(AQ33,"ft","m")^2)))),0)</f>
        <v/>
      </c>
      <c r="BI33" s="154">
        <f>IFERROR(-ABS(10*LOG10(($R33/(4*PI()*CONVERT(AR33,"ft","m")^2)))),0)</f>
        <v/>
      </c>
      <c r="BJ33" s="154">
        <f>IFERROR(-ABS(10*LOG10(($R33/(4*PI()*CONVERT(AS33,"ft","m")^2)))),0)</f>
        <v/>
      </c>
      <c r="BK33" s="154">
        <f>IFERROR(-ABS(10*LOG10(($R33/(4*PI()*CONVERT(AT33,"ft","m")^2)))),0)</f>
        <v/>
      </c>
      <c r="BL33" s="154">
        <f>IFERROR(-ABS(10*LOG10(($R33/(4*PI()*CONVERT(AU33,"ft","m")^2)))),0)</f>
        <v/>
      </c>
      <c r="BM33" s="155">
        <f>IFERROR(-ABS(10*LOG10(($R33/(4*PI()*CONVERT(AV33,"ft","m")^2)))),0)</f>
        <v/>
      </c>
      <c r="BN33" s="134" t="n"/>
      <c r="BO33" s="48">
        <f>_xlfn.TEXTJOIN(" to ",TRUE,'Input LwA_XYZ'!BP4:BP5)</f>
        <v/>
      </c>
      <c r="BP33" s="21" t="n"/>
      <c r="BQ33" s="21" t="n"/>
      <c r="BR33" s="21" t="n"/>
      <c r="BS33" s="21" t="n"/>
      <c r="BT33" s="134" t="n"/>
      <c r="BU33" s="134" t="n"/>
      <c r="BV33" s="140" t="n"/>
      <c r="BW33" s="140" t="n"/>
      <c r="BX33" s="140" t="n"/>
      <c r="BY33" s="140" t="n"/>
      <c r="BZ33" s="140" t="n"/>
      <c r="CA33" s="140" t="n"/>
      <c r="CB33" s="140" t="n"/>
      <c r="CC33" s="140" t="n"/>
      <c r="CD33" s="140" t="n"/>
      <c r="CE33" s="140" t="n"/>
      <c r="CF33" s="140" t="n"/>
      <c r="CG33" s="140" t="n"/>
      <c r="CH33" s="140" t="n"/>
      <c r="CI33" s="140" t="n"/>
      <c r="CJ33" s="140" t="n"/>
      <c r="CK33" s="134" t="n"/>
      <c r="CL33" s="134" t="n"/>
      <c r="CM33" s="156">
        <f>IF( CM$1= 0,"",$Q33-$S33+AY33-BV33)</f>
        <v/>
      </c>
      <c r="CN33" s="157">
        <f>IF( CN$1= 0,"",$Q33-$S33+AZ33-BW33)</f>
        <v/>
      </c>
      <c r="CO33" s="157">
        <f>IF( CO$1= 0,"",$Q33-$S33+BA33-BX33)</f>
        <v/>
      </c>
      <c r="CP33" s="157">
        <f>IF( CP$1= 0,"",$Q33-$S33+BB33-BY33)</f>
        <v/>
      </c>
      <c r="CQ33" s="157">
        <f>IF( CQ$1= 0,"",$Q33-$S33+BC33-BZ33)</f>
        <v/>
      </c>
      <c r="CR33" s="157">
        <f>IF( CR$1= 0,"",$Q33-$S33+BD33-CA33)</f>
        <v/>
      </c>
      <c r="CS33" s="157">
        <f>IF( CS$1= 0,"",$Q33-$S33+BE33-CB33)</f>
        <v/>
      </c>
      <c r="CT33" s="157">
        <f>IF( CT$1= 0,"",$Q33-$S33+BF33-CC33)</f>
        <v/>
      </c>
      <c r="CU33" s="158">
        <f>IF( CU$1= 0,"",$Q33-$S33+BG33-CD33)</f>
        <v/>
      </c>
      <c r="CV33" s="158">
        <f>IF( CV$1= 0,"",$Q33-$S33+BH33-CE33)</f>
        <v/>
      </c>
      <c r="CW33" s="158">
        <f>IF( CW$1= 0,"",$Q33-$S33+BI33-CF33)</f>
        <v/>
      </c>
      <c r="CX33" s="158">
        <f>IF( CX$1= 0,"",$Q33-$S33+BJ33-CG33)</f>
        <v/>
      </c>
      <c r="CY33" s="143">
        <f>IF( CY$1= 0,"",$Q33-$S33+BK33-CH33)</f>
        <v/>
      </c>
      <c r="CZ33" s="143">
        <f>IF( CZ$1= 0,"",$Q33-$S33+BL33-CI33)</f>
        <v/>
      </c>
      <c r="DA33" s="144">
        <f>IF( DA$1= 0,"",$Q33-$S33+BM33-CJ33)</f>
        <v/>
      </c>
    </row>
    <row r="34" ht="16.5" customHeight="1">
      <c r="A34" s="145" t="n">
        <v>1</v>
      </c>
      <c r="B34" s="146" t="inlineStr">
        <is>
          <t xml:space="preserve">BEF-R12 </t>
        </is>
      </c>
      <c r="C34" s="146" t="inlineStr">
        <is>
          <t>Inlet</t>
        </is>
      </c>
      <c r="D34" s="147" t="inlineStr">
        <is>
          <t>Greenheck</t>
        </is>
      </c>
      <c r="E34" s="205" t="inlineStr">
        <is>
          <t>CUE-80VG</t>
        </is>
      </c>
      <c r="F34" s="213" t="n"/>
      <c r="G34" s="214" t="n"/>
      <c r="H34" s="214" t="n"/>
      <c r="I34" s="214" t="n"/>
      <c r="J34" s="214" t="n"/>
      <c r="K34" s="214" t="n"/>
      <c r="L34" s="214" t="n"/>
      <c r="M34" s="218" t="n"/>
      <c r="N34" s="213" t="n">
        <v>65.8731209211611</v>
      </c>
      <c r="O34" s="215" t="n">
        <v>0</v>
      </c>
      <c r="P34" s="208" t="n">
        <v>1</v>
      </c>
      <c r="Q34" s="128">
        <f>ROUND(IF(AND(A34&gt;0, O34&gt;0), N34+ABS(10*LOG10(P34/(4*PI()*CONVERT(O34,"ft", "m")^2))), N34),0)</f>
        <v/>
      </c>
      <c r="R34" s="3" t="n">
        <v>2</v>
      </c>
      <c r="S34" s="3" t="n"/>
      <c r="T34" s="214" t="n">
        <v>137.3</v>
      </c>
      <c r="U34" s="214" t="n">
        <v>136.92</v>
      </c>
      <c r="V34" s="109">
        <f>SUM(W34:X34)</f>
        <v/>
      </c>
      <c r="W34" s="81" t="n">
        <v>73</v>
      </c>
      <c r="X34" s="148" t="n">
        <v>2</v>
      </c>
      <c r="Z34" s="115" t="inlineStr">
        <is>
          <t>bar11</t>
        </is>
      </c>
      <c r="AA34" s="113" t="n">
        <v>209.12</v>
      </c>
      <c r="AB34" s="52" t="n">
        <v>88.44</v>
      </c>
      <c r="AC34" s="106" t="n">
        <v>75.40000000000001</v>
      </c>
      <c r="AD34" s="52" t="n">
        <v>224.19</v>
      </c>
      <c r="AE34" s="52" t="n">
        <v>91.3</v>
      </c>
      <c r="AF34" s="53" t="n">
        <v>75.40000000000001</v>
      </c>
      <c r="AH34" s="168">
        <f t="array" ref="AH34">IF(AH$1=0,"",SQRT((_xlfn.XLOOKUP(AH$1,$Z$2:$Z$18,$AA$2:$AA$18)-$T34)^2+(_xlfn.XLOOKUP(AH$1,$Z$2:$Z$18,$AB$2:$AB$18)-$U34)^2+(_xlfn.XLOOKUP(AH$1,$Z$2:$Z$18,$AC$2:$AC$18-$V34)^2)))</f>
        <v/>
      </c>
      <c r="AI34" s="150">
        <f t="array" ref="AI34">IF(AI$1=0,"",SQRT((_xlfn.XLOOKUP(AI$1,$Z$2:$Z$18,$AA$2:$AA$18)-$T34)^2+(_xlfn.XLOOKUP(AI$1,$Z$2:$Z$18,$AB$2:$AB$18)-$U34)^2+(_xlfn.XLOOKUP(AI$1,$Z$2:$Z$18,$AC$2:$AC$18-$V34)^2)))</f>
        <v/>
      </c>
      <c r="AJ34" s="150">
        <f t="array" ref="AJ34">IF(AJ$1=0,"",SQRT((_xlfn.XLOOKUP(AJ$1,$Z$2:$Z$18,$AA$2:$AA$18)-$T34)^2+(_xlfn.XLOOKUP(AJ$1,$Z$2:$Z$18,$AB$2:$AB$18)-$U34)^2+(_xlfn.XLOOKUP(AJ$1,$Z$2:$Z$18,$AC$2:$AC$18-$V34)^2)))</f>
        <v/>
      </c>
      <c r="AK34" s="150">
        <f t="array" ref="AK34">IF(AK$1=0,"",SQRT((_xlfn.XLOOKUP(AK$1,$Z$2:$Z$18,$AA$2:$AA$18)-$T34)^2+(_xlfn.XLOOKUP(AK$1,$Z$2:$Z$18,$AB$2:$AB$18)-$U34)^2+(_xlfn.XLOOKUP(AK$1,$Z$2:$Z$18,$AC$2:$AC$18-$V34)^2)))</f>
        <v/>
      </c>
      <c r="AL34" s="150">
        <f t="array" ref="AL34">IF(AL$1=0,"",SQRT((_xlfn.XLOOKUP(AL$1,$Z$2:$Z$18,$AA$2:$AA$18)-$T34)^2+(_xlfn.XLOOKUP(AL$1,$Z$2:$Z$18,$AB$2:$AB$18)-$U34)^2+(_xlfn.XLOOKUP(AL$1,$Z$2:$Z$18,$AC$2:$AC$18-$V34)^2)))</f>
        <v/>
      </c>
      <c r="AM34" s="150">
        <f t="array" ref="AM34">IF(AM$1=0,"",SQRT((_xlfn.XLOOKUP(AM$1,$Z$2:$Z$18,$AA$2:$AA$18)-$T34)^2+(_xlfn.XLOOKUP(AM$1,$Z$2:$Z$18,$AB$2:$AB$18)-$U34)^2+(_xlfn.XLOOKUP(AM$1,$Z$2:$Z$18,$AC$2:$AC$18-$V34)^2)))</f>
        <v/>
      </c>
      <c r="AN34" s="150">
        <f t="array" ref="AN34">IF(AN$1=0,"",SQRT((_xlfn.XLOOKUP(AN$1,$Z$2:$Z$18,$AA$2:$AA$18)-$T34)^2+(_xlfn.XLOOKUP(AN$1,$Z$2:$Z$18,$AB$2:$AB$18)-$U34)^2+(_xlfn.XLOOKUP(AN$1,$Z$2:$Z$18,$AC$2:$AC$18-$V34)^2)))</f>
        <v/>
      </c>
      <c r="AO34" s="150">
        <f t="array" ref="AO34">IF(AO$1=0,"",SQRT((_xlfn.XLOOKUP(AO$1,$Z$2:$Z$18,$AA$2:$AA$18)-$T34)^2+(_xlfn.XLOOKUP(AO$1,$Z$2:$Z$18,$AB$2:$AB$18)-$U34)^2+(_xlfn.XLOOKUP(AO$1,$Z$2:$Z$18,$AC$2:$AC$18-$V34)^2)))</f>
        <v/>
      </c>
      <c r="AP34" s="151">
        <f t="array" ref="AP34">IF(AP$1=0,"",SQRT((_xlfn.XLOOKUP(AP$1,$Z$2:$Z$18,$AA$2:$AA$18)-$T34)^2+(_xlfn.XLOOKUP(AP$1,$Z$2:$Z$18,$AB$2:$AB$18)-$U34)^2+(_xlfn.XLOOKUP(AP$1,$Z$2:$Z$18,$AC$2:$AC$18-$V34)^2)))</f>
        <v/>
      </c>
      <c r="AQ34" s="151">
        <f t="array" ref="AQ34">IF(AQ$1=0,"",SQRT((_xlfn.XLOOKUP(AQ$1,$Z$2:$Z$18,$AA$2:$AA$18)-$T34)^2+(_xlfn.XLOOKUP(AQ$1,$Z$2:$Z$18,$AB$2:$AB$18)-$U34)^2+(_xlfn.XLOOKUP(AQ$1,$Z$2:$Z$18,$AC$2:$AC$18-$V34)^2)))</f>
        <v/>
      </c>
      <c r="AR34" s="151">
        <f t="array" ref="AR34">IF(AR$1=0,"",SQRT((_xlfn.XLOOKUP(AR$1,$Z$2:$Z$18,$AA$2:$AA$18)-$T34)^2+(_xlfn.XLOOKUP(AR$1,$Z$2:$Z$18,$AB$2:$AB$18)-$U34)^2+(_xlfn.XLOOKUP(AR$1,$Z$2:$Z$18,$AC$2:$AC$18-$V34)^2)))</f>
        <v/>
      </c>
      <c r="AS34" s="151">
        <f t="array" ref="AS34">IF(AS$1=0,"",SQRT((_xlfn.XLOOKUP(AS$1,$Z$2:$Z$18,$AA$2:$AA$18)-$T34)^2+(_xlfn.XLOOKUP(AS$1,$Z$2:$Z$18,$AB$2:$AB$18)-$U34)^2+(_xlfn.XLOOKUP(AS$1,$Z$2:$Z$18,$AC$2:$AC$18-$V34)^2)))</f>
        <v/>
      </c>
      <c r="AT34" s="151">
        <f t="array" ref="AT34">IF(AT$1=0,"",SQRT((_xlfn.XLOOKUP(AT$1,$Z$2:$Z$18,$AA$2:$AA$18)-$T34)^2+(_xlfn.XLOOKUP(AT$1,$Z$2:$Z$18,$AB$2:$AB$18)-$U34)^2+(_xlfn.XLOOKUP(AT$1,$Z$2:$Z$18,$AC$2:$AC$18-$V34)^2)))</f>
        <v/>
      </c>
      <c r="AU34" s="151">
        <f t="array" ref="AU34">IF(AU$1=0,"",SQRT((_xlfn.XLOOKUP(AU$1,$Z$2:$Z$18,$AA$2:$AA$18)-$T34)^2+(_xlfn.XLOOKUP(AU$1,$Z$2:$Z$18,$AB$2:$AB$18)-$U34)^2+(_xlfn.XLOOKUP(AU$1,$Z$2:$Z$18,$AC$2:$AC$18-$V34)^2)))</f>
        <v/>
      </c>
      <c r="AV34" s="152">
        <f t="array" ref="AV34">IF(AV$1=0,"",SQRT((_xlfn.XLOOKUP(AV$1,$Z$2:$Z$18,$AA$2:$AA$18)-$T34)^2+(_xlfn.XLOOKUP(AV$1,$Z$2:$Z$18,$AB$2:$AB$18)-$U34)^2+(_xlfn.XLOOKUP(AV$1,$Z$2:$Z$18,$AC$2:$AC$18-$V34)^2)))</f>
        <v/>
      </c>
      <c r="AW34" s="134" t="n"/>
      <c r="AX34" s="134" t="n"/>
      <c r="AY34" s="135">
        <f>IFERROR(-ABS(10*LOG10(($R34/(4*PI()*CONVERT(AH34,"ft","m")^2)))),0)</f>
        <v/>
      </c>
      <c r="AZ34" s="153">
        <f>IFERROR(-ABS(10*LOG10(($R34/(4*PI()*CONVERT(AI34,"ft","m")^2)))),0)</f>
        <v/>
      </c>
      <c r="BA34" s="153">
        <f>IFERROR(-ABS(10*LOG10(($R34/(4*PI()*CONVERT(AJ34,"ft","m")^2)))),0)</f>
        <v/>
      </c>
      <c r="BB34" s="153">
        <f>IFERROR(-ABS(10*LOG10(($R34/(4*PI()*CONVERT(AK34,"ft","m")^2)))),0)</f>
        <v/>
      </c>
      <c r="BC34" s="153">
        <f>IFERROR(-ABS(10*LOG10(($R34/(4*PI()*CONVERT(AL34,"ft","m")^2)))),0)</f>
        <v/>
      </c>
      <c r="BD34" s="153">
        <f>IFERROR(-ABS(10*LOG10(($R34/(4*PI()*CONVERT(AM34,"ft","m")^2)))),0)</f>
        <v/>
      </c>
      <c r="BE34" s="153">
        <f>IFERROR(-ABS(10*LOG10(($R34/(4*PI()*CONVERT(AN34,"ft","m")^2)))),0)</f>
        <v/>
      </c>
      <c r="BF34" s="153">
        <f>IFERROR(-ABS(10*LOG10(($R34/(4*PI()*CONVERT(AO34,"ft","m")^2)))),0)</f>
        <v/>
      </c>
      <c r="BG34" s="154">
        <f>IFERROR(-ABS(10*LOG10(($R34/(4*PI()*CONVERT(AP34,"ft","m")^2)))),0)</f>
        <v/>
      </c>
      <c r="BH34" s="154">
        <f>IFERROR(-ABS(10*LOG10(($R34/(4*PI()*CONVERT(AQ34,"ft","m")^2)))),0)</f>
        <v/>
      </c>
      <c r="BI34" s="154">
        <f>IFERROR(-ABS(10*LOG10(($R34/(4*PI()*CONVERT(AR34,"ft","m")^2)))),0)</f>
        <v/>
      </c>
      <c r="BJ34" s="154">
        <f>IFERROR(-ABS(10*LOG10(($R34/(4*PI()*CONVERT(AS34,"ft","m")^2)))),0)</f>
        <v/>
      </c>
      <c r="BK34" s="154">
        <f>IFERROR(-ABS(10*LOG10(($R34/(4*PI()*CONVERT(AT34,"ft","m")^2)))),0)</f>
        <v/>
      </c>
      <c r="BL34" s="154">
        <f>IFERROR(-ABS(10*LOG10(($R34/(4*PI()*CONVERT(AU34,"ft","m")^2)))),0)</f>
        <v/>
      </c>
      <c r="BM34" s="155">
        <f>IFERROR(-ABS(10*LOG10(($R34/(4*PI()*CONVERT(AV34,"ft","m")^2)))),0)</f>
        <v/>
      </c>
      <c r="BN34" s="134" t="n"/>
      <c r="BO34" s="134" t="n"/>
      <c r="BP34" s="134" t="n"/>
      <c r="BQ34" s="134" t="n"/>
      <c r="BR34" s="134" t="n"/>
      <c r="BS34" s="134" t="n"/>
      <c r="BT34" s="134" t="n"/>
      <c r="BU34" s="134" t="n"/>
      <c r="BV34" s="140" t="n"/>
      <c r="BW34" s="140" t="n"/>
      <c r="BX34" s="140" t="n"/>
      <c r="BY34" s="140" t="n"/>
      <c r="BZ34" s="140" t="n"/>
      <c r="CA34" s="140" t="n"/>
      <c r="CB34" s="140" t="n"/>
      <c r="CC34" s="140" t="n"/>
      <c r="CD34" s="140" t="n"/>
      <c r="CE34" s="140" t="n"/>
      <c r="CF34" s="140" t="n"/>
      <c r="CG34" s="140" t="n"/>
      <c r="CH34" s="140" t="n"/>
      <c r="CI34" s="140" t="n"/>
      <c r="CJ34" s="140" t="n"/>
      <c r="CK34" s="134" t="n"/>
      <c r="CL34" s="134" t="n"/>
      <c r="CM34" s="156">
        <f>IF( CM$1= 0,"",$Q34-$S34+AY34-BV34)</f>
        <v/>
      </c>
      <c r="CN34" s="157">
        <f>IF( CN$1= 0,"",$Q34-$S34+AZ34-BW34)</f>
        <v/>
      </c>
      <c r="CO34" s="157">
        <f>IF( CO$1= 0,"",$Q34-$S34+BA34-BX34)</f>
        <v/>
      </c>
      <c r="CP34" s="157">
        <f>IF( CP$1= 0,"",$Q34-$S34+BB34-BY34)</f>
        <v/>
      </c>
      <c r="CQ34" s="157">
        <f>IF( CQ$1= 0,"",$Q34-$S34+BC34-BZ34)</f>
        <v/>
      </c>
      <c r="CR34" s="157">
        <f>IF( CR$1= 0,"",$Q34-$S34+BD34-CA34)</f>
        <v/>
      </c>
      <c r="CS34" s="157">
        <f>IF( CS$1= 0,"",$Q34-$S34+BE34-CB34)</f>
        <v/>
      </c>
      <c r="CT34" s="157">
        <f>IF( CT$1= 0,"",$Q34-$S34+BF34-CC34)</f>
        <v/>
      </c>
      <c r="CU34" s="158">
        <f>IF( CU$1= 0,"",$Q34-$S34+BG34-CD34)</f>
        <v/>
      </c>
      <c r="CV34" s="158">
        <f>IF( CV$1= 0,"",$Q34-$S34+BH34-CE34)</f>
        <v/>
      </c>
      <c r="CW34" s="158">
        <f>IF( CW$1= 0,"",$Q34-$S34+BI34-CF34)</f>
        <v/>
      </c>
      <c r="CX34" s="158">
        <f>IF( CX$1= 0,"",$Q34-$S34+BJ34-CG34)</f>
        <v/>
      </c>
      <c r="CY34" s="143">
        <f>IF( CY$1= 0,"",$Q34-$S34+BK34-CH34)</f>
        <v/>
      </c>
      <c r="CZ34" s="143">
        <f>IF( CZ$1= 0,"",$Q34-$S34+BL34-CI34)</f>
        <v/>
      </c>
      <c r="DA34" s="144">
        <f>IF( DA$1= 0,"",$Q34-$S34+BM34-CJ34)</f>
        <v/>
      </c>
    </row>
    <row r="35" ht="16.5" customHeight="1">
      <c r="A35" s="145" t="n">
        <v>1</v>
      </c>
      <c r="B35" s="146" t="inlineStr">
        <is>
          <t xml:space="preserve">BEF-R13 </t>
        </is>
      </c>
      <c r="C35" s="146" t="inlineStr">
        <is>
          <t>Inlet</t>
        </is>
      </c>
      <c r="D35" s="147" t="inlineStr">
        <is>
          <t>Greenheck</t>
        </is>
      </c>
      <c r="E35" s="205" t="inlineStr">
        <is>
          <t>CUE-80VG</t>
        </is>
      </c>
      <c r="F35" s="213" t="n"/>
      <c r="G35" s="214" t="n"/>
      <c r="H35" s="214" t="n"/>
      <c r="I35" s="214" t="n"/>
      <c r="J35" s="214" t="n"/>
      <c r="K35" s="214" t="n"/>
      <c r="L35" s="214" t="n"/>
      <c r="M35" s="218" t="n"/>
      <c r="N35" s="213" t="n">
        <v>65.8731209211611</v>
      </c>
      <c r="O35" s="215" t="n">
        <v>0</v>
      </c>
      <c r="P35" s="208" t="n">
        <v>1</v>
      </c>
      <c r="Q35" s="128">
        <f>ROUND(IF(AND(A35&gt;0, O35&gt;0), N35+ABS(10*LOG10(P35/(4*PI()*CONVERT(O35,"ft", "m")^2))), N35),0)</f>
        <v/>
      </c>
      <c r="R35" s="3" t="n">
        <v>2</v>
      </c>
      <c r="S35" s="3" t="n"/>
      <c r="T35" s="214" t="n">
        <v>97.17</v>
      </c>
      <c r="U35" s="214" t="n">
        <v>127.06</v>
      </c>
      <c r="V35" s="109">
        <f>SUM(W35:X35)</f>
        <v/>
      </c>
      <c r="W35" s="81" t="n">
        <v>73</v>
      </c>
      <c r="X35" s="148" t="n">
        <v>2</v>
      </c>
      <c r="Z35" s="115" t="inlineStr">
        <is>
          <t>bar12</t>
        </is>
      </c>
      <c r="AA35" s="113" t="n">
        <v>209.22</v>
      </c>
      <c r="AB35" s="52" t="n">
        <v>88.44</v>
      </c>
      <c r="AC35" s="106" t="n">
        <v>75.40000000000001</v>
      </c>
      <c r="AD35" s="52" t="n">
        <v>200.97</v>
      </c>
      <c r="AE35" s="52" t="n">
        <v>131.56</v>
      </c>
      <c r="AF35" s="53" t="n">
        <v>75.40000000000001</v>
      </c>
      <c r="AH35" s="168">
        <f t="array" ref="AH35">IF(AH$1=0,"",SQRT((_xlfn.XLOOKUP(AH$1,$Z$2:$Z$18,$AA$2:$AA$18)-$T35)^2+(_xlfn.XLOOKUP(AH$1,$Z$2:$Z$18,$AB$2:$AB$18)-$U35)^2+(_xlfn.XLOOKUP(AH$1,$Z$2:$Z$18,$AC$2:$AC$18-$V35)^2)))</f>
        <v/>
      </c>
      <c r="AI35" s="150">
        <f t="array" ref="AI35">IF(AI$1=0,"",SQRT((_xlfn.XLOOKUP(AI$1,$Z$2:$Z$18,$AA$2:$AA$18)-$T35)^2+(_xlfn.XLOOKUP(AI$1,$Z$2:$Z$18,$AB$2:$AB$18)-$U35)^2+(_xlfn.XLOOKUP(AI$1,$Z$2:$Z$18,$AC$2:$AC$18-$V35)^2)))</f>
        <v/>
      </c>
      <c r="AJ35" s="150">
        <f t="array" ref="AJ35">IF(AJ$1=0,"",SQRT((_xlfn.XLOOKUP(AJ$1,$Z$2:$Z$18,$AA$2:$AA$18)-$T35)^2+(_xlfn.XLOOKUP(AJ$1,$Z$2:$Z$18,$AB$2:$AB$18)-$U35)^2+(_xlfn.XLOOKUP(AJ$1,$Z$2:$Z$18,$AC$2:$AC$18-$V35)^2)))</f>
        <v/>
      </c>
      <c r="AK35" s="150">
        <f t="array" ref="AK35">IF(AK$1=0,"",SQRT((_xlfn.XLOOKUP(AK$1,$Z$2:$Z$18,$AA$2:$AA$18)-$T35)^2+(_xlfn.XLOOKUP(AK$1,$Z$2:$Z$18,$AB$2:$AB$18)-$U35)^2+(_xlfn.XLOOKUP(AK$1,$Z$2:$Z$18,$AC$2:$AC$18-$V35)^2)))</f>
        <v/>
      </c>
      <c r="AL35" s="150">
        <f t="array" ref="AL35">IF(AL$1=0,"",SQRT((_xlfn.XLOOKUP(AL$1,$Z$2:$Z$18,$AA$2:$AA$18)-$T35)^2+(_xlfn.XLOOKUP(AL$1,$Z$2:$Z$18,$AB$2:$AB$18)-$U35)^2+(_xlfn.XLOOKUP(AL$1,$Z$2:$Z$18,$AC$2:$AC$18-$V35)^2)))</f>
        <v/>
      </c>
      <c r="AM35" s="150">
        <f t="array" ref="AM35">IF(AM$1=0,"",SQRT((_xlfn.XLOOKUP(AM$1,$Z$2:$Z$18,$AA$2:$AA$18)-$T35)^2+(_xlfn.XLOOKUP(AM$1,$Z$2:$Z$18,$AB$2:$AB$18)-$U35)^2+(_xlfn.XLOOKUP(AM$1,$Z$2:$Z$18,$AC$2:$AC$18-$V35)^2)))</f>
        <v/>
      </c>
      <c r="AN35" s="150">
        <f t="array" ref="AN35">IF(AN$1=0,"",SQRT((_xlfn.XLOOKUP(AN$1,$Z$2:$Z$18,$AA$2:$AA$18)-$T35)^2+(_xlfn.XLOOKUP(AN$1,$Z$2:$Z$18,$AB$2:$AB$18)-$U35)^2+(_xlfn.XLOOKUP(AN$1,$Z$2:$Z$18,$AC$2:$AC$18-$V35)^2)))</f>
        <v/>
      </c>
      <c r="AO35" s="150">
        <f t="array" ref="AO35">IF(AO$1=0,"",SQRT((_xlfn.XLOOKUP(AO$1,$Z$2:$Z$18,$AA$2:$AA$18)-$T35)^2+(_xlfn.XLOOKUP(AO$1,$Z$2:$Z$18,$AB$2:$AB$18)-$U35)^2+(_xlfn.XLOOKUP(AO$1,$Z$2:$Z$18,$AC$2:$AC$18-$V35)^2)))</f>
        <v/>
      </c>
      <c r="AP35" s="151">
        <f t="array" ref="AP35">IF(AP$1=0,"",SQRT((_xlfn.XLOOKUP(AP$1,$Z$2:$Z$18,$AA$2:$AA$18)-$T35)^2+(_xlfn.XLOOKUP(AP$1,$Z$2:$Z$18,$AB$2:$AB$18)-$U35)^2+(_xlfn.XLOOKUP(AP$1,$Z$2:$Z$18,$AC$2:$AC$18-$V35)^2)))</f>
        <v/>
      </c>
      <c r="AQ35" s="151">
        <f t="array" ref="AQ35">IF(AQ$1=0,"",SQRT((_xlfn.XLOOKUP(AQ$1,$Z$2:$Z$18,$AA$2:$AA$18)-$T35)^2+(_xlfn.XLOOKUP(AQ$1,$Z$2:$Z$18,$AB$2:$AB$18)-$U35)^2+(_xlfn.XLOOKUP(AQ$1,$Z$2:$Z$18,$AC$2:$AC$18-$V35)^2)))</f>
        <v/>
      </c>
      <c r="AR35" s="151">
        <f t="array" ref="AR35">IF(AR$1=0,"",SQRT((_xlfn.XLOOKUP(AR$1,$Z$2:$Z$18,$AA$2:$AA$18)-$T35)^2+(_xlfn.XLOOKUP(AR$1,$Z$2:$Z$18,$AB$2:$AB$18)-$U35)^2+(_xlfn.XLOOKUP(AR$1,$Z$2:$Z$18,$AC$2:$AC$18-$V35)^2)))</f>
        <v/>
      </c>
      <c r="AS35" s="151">
        <f t="array" ref="AS35">IF(AS$1=0,"",SQRT((_xlfn.XLOOKUP(AS$1,$Z$2:$Z$18,$AA$2:$AA$18)-$T35)^2+(_xlfn.XLOOKUP(AS$1,$Z$2:$Z$18,$AB$2:$AB$18)-$U35)^2+(_xlfn.XLOOKUP(AS$1,$Z$2:$Z$18,$AC$2:$AC$18-$V35)^2)))</f>
        <v/>
      </c>
      <c r="AT35" s="151">
        <f t="array" ref="AT35">IF(AT$1=0,"",SQRT((_xlfn.XLOOKUP(AT$1,$Z$2:$Z$18,$AA$2:$AA$18)-$T35)^2+(_xlfn.XLOOKUP(AT$1,$Z$2:$Z$18,$AB$2:$AB$18)-$U35)^2+(_xlfn.XLOOKUP(AT$1,$Z$2:$Z$18,$AC$2:$AC$18-$V35)^2)))</f>
        <v/>
      </c>
      <c r="AU35" s="151">
        <f t="array" ref="AU35">IF(AU$1=0,"",SQRT((_xlfn.XLOOKUP(AU$1,$Z$2:$Z$18,$AA$2:$AA$18)-$T35)^2+(_xlfn.XLOOKUP(AU$1,$Z$2:$Z$18,$AB$2:$AB$18)-$U35)^2+(_xlfn.XLOOKUP(AU$1,$Z$2:$Z$18,$AC$2:$AC$18-$V35)^2)))</f>
        <v/>
      </c>
      <c r="AV35" s="152">
        <f t="array" ref="AV35">IF(AV$1=0,"",SQRT((_xlfn.XLOOKUP(AV$1,$Z$2:$Z$18,$AA$2:$AA$18)-$T35)^2+(_xlfn.XLOOKUP(AV$1,$Z$2:$Z$18,$AB$2:$AB$18)-$U35)^2+(_xlfn.XLOOKUP(AV$1,$Z$2:$Z$18,$AC$2:$AC$18-$V35)^2)))</f>
        <v/>
      </c>
      <c r="AW35" s="134" t="n"/>
      <c r="AX35" s="134" t="n"/>
      <c r="AY35" s="135">
        <f>IFERROR(-ABS(10*LOG10(($R35/(4*PI()*CONVERT(AH35,"ft","m")^2)))),0)</f>
        <v/>
      </c>
      <c r="AZ35" s="153">
        <f>IFERROR(-ABS(10*LOG10(($R35/(4*PI()*CONVERT(AI35,"ft","m")^2)))),0)</f>
        <v/>
      </c>
      <c r="BA35" s="153">
        <f>IFERROR(-ABS(10*LOG10(($R35/(4*PI()*CONVERT(AJ35,"ft","m")^2)))),0)</f>
        <v/>
      </c>
      <c r="BB35" s="153">
        <f>IFERROR(-ABS(10*LOG10(($R35/(4*PI()*CONVERT(AK35,"ft","m")^2)))),0)</f>
        <v/>
      </c>
      <c r="BC35" s="153">
        <f>IFERROR(-ABS(10*LOG10(($R35/(4*PI()*CONVERT(AL35,"ft","m")^2)))),0)</f>
        <v/>
      </c>
      <c r="BD35" s="153">
        <f>IFERROR(-ABS(10*LOG10(($R35/(4*PI()*CONVERT(AM35,"ft","m")^2)))),0)</f>
        <v/>
      </c>
      <c r="BE35" s="153">
        <f>IFERROR(-ABS(10*LOG10(($R35/(4*PI()*CONVERT(AN35,"ft","m")^2)))),0)</f>
        <v/>
      </c>
      <c r="BF35" s="153">
        <f>IFERROR(-ABS(10*LOG10(($R35/(4*PI()*CONVERT(AO35,"ft","m")^2)))),0)</f>
        <v/>
      </c>
      <c r="BG35" s="154">
        <f>IFERROR(-ABS(10*LOG10(($R35/(4*PI()*CONVERT(AP35,"ft","m")^2)))),0)</f>
        <v/>
      </c>
      <c r="BH35" s="154">
        <f>IFERROR(-ABS(10*LOG10(($R35/(4*PI()*CONVERT(AQ35,"ft","m")^2)))),0)</f>
        <v/>
      </c>
      <c r="BI35" s="154">
        <f>IFERROR(-ABS(10*LOG10(($R35/(4*PI()*CONVERT(AR35,"ft","m")^2)))),0)</f>
        <v/>
      </c>
      <c r="BJ35" s="154">
        <f>IFERROR(-ABS(10*LOG10(($R35/(4*PI()*CONVERT(AS35,"ft","m")^2)))),0)</f>
        <v/>
      </c>
      <c r="BK35" s="154">
        <f>IFERROR(-ABS(10*LOG10(($R35/(4*PI()*CONVERT(AT35,"ft","m")^2)))),0)</f>
        <v/>
      </c>
      <c r="BL35" s="154">
        <f>IFERROR(-ABS(10*LOG10(($R35/(4*PI()*CONVERT(AU35,"ft","m")^2)))),0)</f>
        <v/>
      </c>
      <c r="BM35" s="155">
        <f>IFERROR(-ABS(10*LOG10(($R35/(4*PI()*CONVERT(AV35,"ft","m")^2)))),0)</f>
        <v/>
      </c>
      <c r="BN35" s="134" t="n"/>
      <c r="BO35" s="134" t="n"/>
      <c r="BP35" s="134" t="n"/>
      <c r="BQ35" s="134" t="n"/>
      <c r="BR35" s="134" t="n"/>
      <c r="BS35" s="134" t="n"/>
      <c r="BT35" s="134" t="n"/>
      <c r="BU35" s="134" t="n"/>
      <c r="BV35" s="140" t="n"/>
      <c r="BW35" s="140" t="n"/>
      <c r="BX35" s="140" t="n"/>
      <c r="BY35" s="140" t="n"/>
      <c r="BZ35" s="140" t="n"/>
      <c r="CA35" s="140" t="n"/>
      <c r="CB35" s="140" t="n"/>
      <c r="CC35" s="140" t="n"/>
      <c r="CD35" s="140" t="n"/>
      <c r="CE35" s="140" t="n"/>
      <c r="CF35" s="140" t="n"/>
      <c r="CG35" s="140" t="n"/>
      <c r="CH35" s="140" t="n"/>
      <c r="CI35" s="140" t="n"/>
      <c r="CJ35" s="140" t="n"/>
      <c r="CK35" s="134" t="n"/>
      <c r="CL35" s="134" t="n"/>
      <c r="CM35" s="156">
        <f>IF( CM$1= 0,"",$Q35-$S35+AY35-BV35)</f>
        <v/>
      </c>
      <c r="CN35" s="157">
        <f>IF( CN$1= 0,"",$Q35-$S35+AZ35-BW35)</f>
        <v/>
      </c>
      <c r="CO35" s="157">
        <f>IF( CO$1= 0,"",$Q35-$S35+BA35-BX35)</f>
        <v/>
      </c>
      <c r="CP35" s="157">
        <f>IF( CP$1= 0,"",$Q35-$S35+BB35-BY35)</f>
        <v/>
      </c>
      <c r="CQ35" s="157">
        <f>IF( CQ$1= 0,"",$Q35-$S35+BC35-BZ35)</f>
        <v/>
      </c>
      <c r="CR35" s="157">
        <f>IF( CR$1= 0,"",$Q35-$S35+BD35-CA35)</f>
        <v/>
      </c>
      <c r="CS35" s="157">
        <f>IF( CS$1= 0,"",$Q35-$S35+BE35-CB35)</f>
        <v/>
      </c>
      <c r="CT35" s="157">
        <f>IF( CT$1= 0,"",$Q35-$S35+BF35-CC35)</f>
        <v/>
      </c>
      <c r="CU35" s="158">
        <f>IF( CU$1= 0,"",$Q35-$S35+BG35-CD35)</f>
        <v/>
      </c>
      <c r="CV35" s="158">
        <f>IF( CV$1= 0,"",$Q35-$S35+BH35-CE35)</f>
        <v/>
      </c>
      <c r="CW35" s="158">
        <f>IF( CW$1= 0,"",$Q35-$S35+BI35-CF35)</f>
        <v/>
      </c>
      <c r="CX35" s="158">
        <f>IF( CX$1= 0,"",$Q35-$S35+BJ35-CG35)</f>
        <v/>
      </c>
      <c r="CY35" s="143">
        <f>IF( CY$1= 0,"",$Q35-$S35+BK35-CH35)</f>
        <v/>
      </c>
      <c r="CZ35" s="143">
        <f>IF( CZ$1= 0,"",$Q35-$S35+BL35-CI35)</f>
        <v/>
      </c>
      <c r="DA35" s="144">
        <f>IF( DA$1= 0,"",$Q35-$S35+BM35-CJ35)</f>
        <v/>
      </c>
    </row>
    <row r="36" ht="16.5" customHeight="1">
      <c r="A36" s="145" t="n">
        <v>1</v>
      </c>
      <c r="B36" s="146" t="inlineStr">
        <is>
          <t xml:space="preserve">BEF-R14 </t>
        </is>
      </c>
      <c r="C36" s="146" t="inlineStr">
        <is>
          <t>Inlet</t>
        </is>
      </c>
      <c r="D36" s="147" t="inlineStr">
        <is>
          <t>Greenheck</t>
        </is>
      </c>
      <c r="E36" s="205" t="inlineStr">
        <is>
          <t>CUE-80VG</t>
        </is>
      </c>
      <c r="F36" s="213" t="n"/>
      <c r="G36" s="214" t="n"/>
      <c r="H36" s="214" t="n"/>
      <c r="I36" s="214" t="n"/>
      <c r="J36" s="214" t="n"/>
      <c r="K36" s="214" t="n"/>
      <c r="L36" s="214" t="n"/>
      <c r="M36" s="218" t="n"/>
      <c r="N36" s="213" t="n">
        <v>65.8731209211611</v>
      </c>
      <c r="O36" s="215" t="n">
        <v>0</v>
      </c>
      <c r="P36" s="208" t="n">
        <v>1</v>
      </c>
      <c r="Q36" s="128">
        <f>ROUND(IF(AND(A36&gt;0, O36&gt;0), N36+ABS(10*LOG10(P36/(4*PI()*CONVERT(O36,"ft", "m")^2))), N36),0)</f>
        <v/>
      </c>
      <c r="R36" s="3" t="n">
        <v>2</v>
      </c>
      <c r="S36" s="3" t="n"/>
      <c r="T36" s="214" t="n">
        <v>71.17</v>
      </c>
      <c r="U36" s="214" t="n">
        <v>121.81</v>
      </c>
      <c r="V36" s="109">
        <f>SUM(W36:X36)</f>
        <v/>
      </c>
      <c r="W36" s="81" t="n">
        <v>73</v>
      </c>
      <c r="X36" s="148" t="n">
        <v>2</v>
      </c>
      <c r="Z36" s="115" t="inlineStr">
        <is>
          <t>bar13</t>
        </is>
      </c>
      <c r="AA36" s="113" t="n">
        <v>176.66</v>
      </c>
      <c r="AB36" s="52" t="n">
        <v>127.16</v>
      </c>
      <c r="AC36" s="106" t="n">
        <v>75.40000000000001</v>
      </c>
      <c r="AD36" s="52" t="n">
        <v>200.64</v>
      </c>
      <c r="AE36" s="52" t="n">
        <v>132</v>
      </c>
      <c r="AF36" s="53" t="n">
        <v>75.40000000000001</v>
      </c>
      <c r="AH36" s="168">
        <f t="array" ref="AH36">IF(AH$1=0,"",SQRT((_xlfn.XLOOKUP(AH$1,$Z$2:$Z$18,$AA$2:$AA$18)-$T36)^2+(_xlfn.XLOOKUP(AH$1,$Z$2:$Z$18,$AB$2:$AB$18)-$U36)^2+(_xlfn.XLOOKUP(AH$1,$Z$2:$Z$18,$AC$2:$AC$18-$V36)^2)))</f>
        <v/>
      </c>
      <c r="AI36" s="150">
        <f t="array" ref="AI36">IF(AI$1=0,"",SQRT((_xlfn.XLOOKUP(AI$1,$Z$2:$Z$18,$AA$2:$AA$18)-$T36)^2+(_xlfn.XLOOKUP(AI$1,$Z$2:$Z$18,$AB$2:$AB$18)-$U36)^2+(_xlfn.XLOOKUP(AI$1,$Z$2:$Z$18,$AC$2:$AC$18-$V36)^2)))</f>
        <v/>
      </c>
      <c r="AJ36" s="150">
        <f t="array" ref="AJ36">IF(AJ$1=0,"",SQRT((_xlfn.XLOOKUP(AJ$1,$Z$2:$Z$18,$AA$2:$AA$18)-$T36)^2+(_xlfn.XLOOKUP(AJ$1,$Z$2:$Z$18,$AB$2:$AB$18)-$U36)^2+(_xlfn.XLOOKUP(AJ$1,$Z$2:$Z$18,$AC$2:$AC$18-$V36)^2)))</f>
        <v/>
      </c>
      <c r="AK36" s="150">
        <f t="array" ref="AK36">IF(AK$1=0,"",SQRT((_xlfn.XLOOKUP(AK$1,$Z$2:$Z$18,$AA$2:$AA$18)-$T36)^2+(_xlfn.XLOOKUP(AK$1,$Z$2:$Z$18,$AB$2:$AB$18)-$U36)^2+(_xlfn.XLOOKUP(AK$1,$Z$2:$Z$18,$AC$2:$AC$18-$V36)^2)))</f>
        <v/>
      </c>
      <c r="AL36" s="150">
        <f t="array" ref="AL36">IF(AL$1=0,"",SQRT((_xlfn.XLOOKUP(AL$1,$Z$2:$Z$18,$AA$2:$AA$18)-$T36)^2+(_xlfn.XLOOKUP(AL$1,$Z$2:$Z$18,$AB$2:$AB$18)-$U36)^2+(_xlfn.XLOOKUP(AL$1,$Z$2:$Z$18,$AC$2:$AC$18-$V36)^2)))</f>
        <v/>
      </c>
      <c r="AM36" s="150">
        <f t="array" ref="AM36">IF(AM$1=0,"",SQRT((_xlfn.XLOOKUP(AM$1,$Z$2:$Z$18,$AA$2:$AA$18)-$T36)^2+(_xlfn.XLOOKUP(AM$1,$Z$2:$Z$18,$AB$2:$AB$18)-$U36)^2+(_xlfn.XLOOKUP(AM$1,$Z$2:$Z$18,$AC$2:$AC$18-$V36)^2)))</f>
        <v/>
      </c>
      <c r="AN36" s="150">
        <f t="array" ref="AN36">IF(AN$1=0,"",SQRT((_xlfn.XLOOKUP(AN$1,$Z$2:$Z$18,$AA$2:$AA$18)-$T36)^2+(_xlfn.XLOOKUP(AN$1,$Z$2:$Z$18,$AB$2:$AB$18)-$U36)^2+(_xlfn.XLOOKUP(AN$1,$Z$2:$Z$18,$AC$2:$AC$18-$V36)^2)))</f>
        <v/>
      </c>
      <c r="AO36" s="150">
        <f t="array" ref="AO36">IF(AO$1=0,"",SQRT((_xlfn.XLOOKUP(AO$1,$Z$2:$Z$18,$AA$2:$AA$18)-$T36)^2+(_xlfn.XLOOKUP(AO$1,$Z$2:$Z$18,$AB$2:$AB$18)-$U36)^2+(_xlfn.XLOOKUP(AO$1,$Z$2:$Z$18,$AC$2:$AC$18-$V36)^2)))</f>
        <v/>
      </c>
      <c r="AP36" s="151">
        <f t="array" ref="AP36">IF(AP$1=0,"",SQRT((_xlfn.XLOOKUP(AP$1,$Z$2:$Z$18,$AA$2:$AA$18)-$T36)^2+(_xlfn.XLOOKUP(AP$1,$Z$2:$Z$18,$AB$2:$AB$18)-$U36)^2+(_xlfn.XLOOKUP(AP$1,$Z$2:$Z$18,$AC$2:$AC$18-$V36)^2)))</f>
        <v/>
      </c>
      <c r="AQ36" s="151">
        <f t="array" ref="AQ36">IF(AQ$1=0,"",SQRT((_xlfn.XLOOKUP(AQ$1,$Z$2:$Z$18,$AA$2:$AA$18)-$T36)^2+(_xlfn.XLOOKUP(AQ$1,$Z$2:$Z$18,$AB$2:$AB$18)-$U36)^2+(_xlfn.XLOOKUP(AQ$1,$Z$2:$Z$18,$AC$2:$AC$18-$V36)^2)))</f>
        <v/>
      </c>
      <c r="AR36" s="151">
        <f t="array" ref="AR36">IF(AR$1=0,"",SQRT((_xlfn.XLOOKUP(AR$1,$Z$2:$Z$18,$AA$2:$AA$18)-$T36)^2+(_xlfn.XLOOKUP(AR$1,$Z$2:$Z$18,$AB$2:$AB$18)-$U36)^2+(_xlfn.XLOOKUP(AR$1,$Z$2:$Z$18,$AC$2:$AC$18-$V36)^2)))</f>
        <v/>
      </c>
      <c r="AS36" s="151">
        <f t="array" ref="AS36">IF(AS$1=0,"",SQRT((_xlfn.XLOOKUP(AS$1,$Z$2:$Z$18,$AA$2:$AA$18)-$T36)^2+(_xlfn.XLOOKUP(AS$1,$Z$2:$Z$18,$AB$2:$AB$18)-$U36)^2+(_xlfn.XLOOKUP(AS$1,$Z$2:$Z$18,$AC$2:$AC$18-$V36)^2)))</f>
        <v/>
      </c>
      <c r="AT36" s="151">
        <f t="array" ref="AT36">IF(AT$1=0,"",SQRT((_xlfn.XLOOKUP(AT$1,$Z$2:$Z$18,$AA$2:$AA$18)-$T36)^2+(_xlfn.XLOOKUP(AT$1,$Z$2:$Z$18,$AB$2:$AB$18)-$U36)^2+(_xlfn.XLOOKUP(AT$1,$Z$2:$Z$18,$AC$2:$AC$18-$V36)^2)))</f>
        <v/>
      </c>
      <c r="AU36" s="151">
        <f t="array" ref="AU36">IF(AU$1=0,"",SQRT((_xlfn.XLOOKUP(AU$1,$Z$2:$Z$18,$AA$2:$AA$18)-$T36)^2+(_xlfn.XLOOKUP(AU$1,$Z$2:$Z$18,$AB$2:$AB$18)-$U36)^2+(_xlfn.XLOOKUP(AU$1,$Z$2:$Z$18,$AC$2:$AC$18-$V36)^2)))</f>
        <v/>
      </c>
      <c r="AV36" s="152">
        <f t="array" ref="AV36">IF(AV$1=0,"",SQRT((_xlfn.XLOOKUP(AV$1,$Z$2:$Z$18,$AA$2:$AA$18)-$T36)^2+(_xlfn.XLOOKUP(AV$1,$Z$2:$Z$18,$AB$2:$AB$18)-$U36)^2+(_xlfn.XLOOKUP(AV$1,$Z$2:$Z$18,$AC$2:$AC$18-$V36)^2)))</f>
        <v/>
      </c>
      <c r="AW36" s="134" t="n"/>
      <c r="AX36" s="134" t="n"/>
      <c r="AY36" s="135">
        <f>IFERROR(-ABS(10*LOG10(($R36/(4*PI()*CONVERT(AH36,"ft","m")^2)))),0)</f>
        <v/>
      </c>
      <c r="AZ36" s="153">
        <f>IFERROR(-ABS(10*LOG10(($R36/(4*PI()*CONVERT(AI36,"ft","m")^2)))),0)</f>
        <v/>
      </c>
      <c r="BA36" s="153">
        <f>IFERROR(-ABS(10*LOG10(($R36/(4*PI()*CONVERT(AJ36,"ft","m")^2)))),0)</f>
        <v/>
      </c>
      <c r="BB36" s="153">
        <f>IFERROR(-ABS(10*LOG10(($R36/(4*PI()*CONVERT(AK36,"ft","m")^2)))),0)</f>
        <v/>
      </c>
      <c r="BC36" s="153">
        <f>IFERROR(-ABS(10*LOG10(($R36/(4*PI()*CONVERT(AL36,"ft","m")^2)))),0)</f>
        <v/>
      </c>
      <c r="BD36" s="153">
        <f>IFERROR(-ABS(10*LOG10(($R36/(4*PI()*CONVERT(AM36,"ft","m")^2)))),0)</f>
        <v/>
      </c>
      <c r="BE36" s="153">
        <f>IFERROR(-ABS(10*LOG10(($R36/(4*PI()*CONVERT(AN36,"ft","m")^2)))),0)</f>
        <v/>
      </c>
      <c r="BF36" s="153">
        <f>IFERROR(-ABS(10*LOG10(($R36/(4*PI()*CONVERT(AO36,"ft","m")^2)))),0)</f>
        <v/>
      </c>
      <c r="BG36" s="154">
        <f>IFERROR(-ABS(10*LOG10(($R36/(4*PI()*CONVERT(AP36,"ft","m")^2)))),0)</f>
        <v/>
      </c>
      <c r="BH36" s="154">
        <f>IFERROR(-ABS(10*LOG10(($R36/(4*PI()*CONVERT(AQ36,"ft","m")^2)))),0)</f>
        <v/>
      </c>
      <c r="BI36" s="154">
        <f>IFERROR(-ABS(10*LOG10(($R36/(4*PI()*CONVERT(AR36,"ft","m")^2)))),0)</f>
        <v/>
      </c>
      <c r="BJ36" s="154">
        <f>IFERROR(-ABS(10*LOG10(($R36/(4*PI()*CONVERT(AS36,"ft","m")^2)))),0)</f>
        <v/>
      </c>
      <c r="BK36" s="154">
        <f>IFERROR(-ABS(10*LOG10(($R36/(4*PI()*CONVERT(AT36,"ft","m")^2)))),0)</f>
        <v/>
      </c>
      <c r="BL36" s="154">
        <f>IFERROR(-ABS(10*LOG10(($R36/(4*PI()*CONVERT(AU36,"ft","m")^2)))),0)</f>
        <v/>
      </c>
      <c r="BM36" s="155">
        <f>IFERROR(-ABS(10*LOG10(($R36/(4*PI()*CONVERT(AV36,"ft","m")^2)))),0)</f>
        <v/>
      </c>
      <c r="BN36" s="134" t="n"/>
      <c r="BO36" s="134" t="n"/>
      <c r="BP36" s="134" t="n"/>
      <c r="BQ36" s="134" t="n"/>
      <c r="BR36" s="134" t="n"/>
      <c r="BS36" s="134" t="n"/>
      <c r="BT36" s="134" t="n"/>
      <c r="BU36" s="134" t="n"/>
      <c r="BV36" s="140" t="n"/>
      <c r="BW36" s="140" t="n"/>
      <c r="BX36" s="140" t="n"/>
      <c r="BY36" s="140" t="n"/>
      <c r="BZ36" s="140" t="n"/>
      <c r="CA36" s="140" t="n"/>
      <c r="CB36" s="140" t="n"/>
      <c r="CC36" s="140" t="n"/>
      <c r="CD36" s="140" t="n"/>
      <c r="CE36" s="140" t="n"/>
      <c r="CF36" s="140" t="n"/>
      <c r="CG36" s="140" t="n"/>
      <c r="CH36" s="140" t="n"/>
      <c r="CI36" s="140" t="n"/>
      <c r="CJ36" s="140" t="n"/>
      <c r="CK36" s="134" t="n"/>
      <c r="CL36" s="134" t="n"/>
      <c r="CM36" s="156">
        <f>IF( CM$1= 0,"",$Q36-$S36+AY36-BV36)</f>
        <v/>
      </c>
      <c r="CN36" s="157">
        <f>IF( CN$1= 0,"",$Q36-$S36+AZ36-BW36)</f>
        <v/>
      </c>
      <c r="CO36" s="157">
        <f>IF( CO$1= 0,"",$Q36-$S36+BA36-BX36)</f>
        <v/>
      </c>
      <c r="CP36" s="157">
        <f>IF( CP$1= 0,"",$Q36-$S36+BB36-BY36)</f>
        <v/>
      </c>
      <c r="CQ36" s="157">
        <f>IF( CQ$1= 0,"",$Q36-$S36+BC36-BZ36)</f>
        <v/>
      </c>
      <c r="CR36" s="157">
        <f>IF( CR$1= 0,"",$Q36-$S36+BD36-CA36)</f>
        <v/>
      </c>
      <c r="CS36" s="157">
        <f>IF( CS$1= 0,"",$Q36-$S36+BE36-CB36)</f>
        <v/>
      </c>
      <c r="CT36" s="157">
        <f>IF( CT$1= 0,"",$Q36-$S36+BF36-CC36)</f>
        <v/>
      </c>
      <c r="CU36" s="158">
        <f>IF( CU$1= 0,"",$Q36-$S36+BG36-CD36)</f>
        <v/>
      </c>
      <c r="CV36" s="158">
        <f>IF( CV$1= 0,"",$Q36-$S36+BH36-CE36)</f>
        <v/>
      </c>
      <c r="CW36" s="158">
        <f>IF( CW$1= 0,"",$Q36-$S36+BI36-CF36)</f>
        <v/>
      </c>
      <c r="CX36" s="158">
        <f>IF( CX$1= 0,"",$Q36-$S36+BJ36-CG36)</f>
        <v/>
      </c>
      <c r="CY36" s="143">
        <f>IF( CY$1= 0,"",$Q36-$S36+BK36-CH36)</f>
        <v/>
      </c>
      <c r="CZ36" s="143">
        <f>IF( CZ$1= 0,"",$Q36-$S36+BL36-CI36)</f>
        <v/>
      </c>
      <c r="DA36" s="144">
        <f>IF( DA$1= 0,"",$Q36-$S36+BM36-CJ36)</f>
        <v/>
      </c>
    </row>
    <row r="37" ht="16.5" customHeight="1">
      <c r="A37" s="145" t="n">
        <v>1</v>
      </c>
      <c r="B37" s="146" t="inlineStr">
        <is>
          <t xml:space="preserve">BEF-R15 </t>
        </is>
      </c>
      <c r="C37" s="146" t="inlineStr">
        <is>
          <t>Inlet</t>
        </is>
      </c>
      <c r="D37" s="147" t="inlineStr">
        <is>
          <t>Greenheck</t>
        </is>
      </c>
      <c r="E37" s="205" t="inlineStr">
        <is>
          <t>CUE-70VG</t>
        </is>
      </c>
      <c r="F37" s="213" t="n"/>
      <c r="G37" s="214" t="n"/>
      <c r="H37" s="214" t="n"/>
      <c r="I37" s="214" t="n"/>
      <c r="J37" s="214" t="n"/>
      <c r="K37" s="214" t="n"/>
      <c r="L37" s="214" t="n"/>
      <c r="M37" s="218" t="n"/>
      <c r="N37" s="213" t="n">
        <v>57.39273779573718</v>
      </c>
      <c r="O37" s="215" t="n">
        <v>0</v>
      </c>
      <c r="P37" s="208" t="n">
        <v>1</v>
      </c>
      <c r="Q37" s="128">
        <f>ROUND(IF(AND(A37&gt;0, O37&gt;0), N37+ABS(10*LOG10(P37/(4*PI()*CONVERT(O37,"ft", "m")^2))), N37),0)</f>
        <v/>
      </c>
      <c r="R37" s="3" t="n">
        <v>2</v>
      </c>
      <c r="S37" s="3" t="n"/>
      <c r="T37" s="214" t="n">
        <v>46.64</v>
      </c>
      <c r="U37" s="214" t="n">
        <v>122.14</v>
      </c>
      <c r="V37" s="109">
        <f>SUM(W37:X37)</f>
        <v/>
      </c>
      <c r="W37" s="81" t="n">
        <v>73</v>
      </c>
      <c r="X37" s="148" t="n">
        <v>2</v>
      </c>
      <c r="Z37" s="115" t="inlineStr">
        <is>
          <t>bar14</t>
        </is>
      </c>
      <c r="AA37" s="113" t="n">
        <v>176.77</v>
      </c>
      <c r="AB37" s="52" t="n">
        <v>127.38</v>
      </c>
      <c r="AC37" s="106" t="n">
        <v>75.40000000000001</v>
      </c>
      <c r="AD37" s="52" t="n">
        <v>173.91</v>
      </c>
      <c r="AE37" s="52" t="n">
        <v>142.34</v>
      </c>
      <c r="AF37" s="53" t="n">
        <v>75.40000000000001</v>
      </c>
      <c r="AH37" s="168">
        <f t="array" ref="AH37">IF(AH$1=0,"",SQRT((_xlfn.XLOOKUP(AH$1,$Z$2:$Z$18,$AA$2:$AA$18)-$T37)^2+(_xlfn.XLOOKUP(AH$1,$Z$2:$Z$18,$AB$2:$AB$18)-$U37)^2+(_xlfn.XLOOKUP(AH$1,$Z$2:$Z$18,$AC$2:$AC$18-$V37)^2)))</f>
        <v/>
      </c>
      <c r="AI37" s="150">
        <f t="array" ref="AI37">IF(AI$1=0,"",SQRT((_xlfn.XLOOKUP(AI$1,$Z$2:$Z$18,$AA$2:$AA$18)-$T37)^2+(_xlfn.XLOOKUP(AI$1,$Z$2:$Z$18,$AB$2:$AB$18)-$U37)^2+(_xlfn.XLOOKUP(AI$1,$Z$2:$Z$18,$AC$2:$AC$18-$V37)^2)))</f>
        <v/>
      </c>
      <c r="AJ37" s="150">
        <f t="array" ref="AJ37">IF(AJ$1=0,"",SQRT((_xlfn.XLOOKUP(AJ$1,$Z$2:$Z$18,$AA$2:$AA$18)-$T37)^2+(_xlfn.XLOOKUP(AJ$1,$Z$2:$Z$18,$AB$2:$AB$18)-$U37)^2+(_xlfn.XLOOKUP(AJ$1,$Z$2:$Z$18,$AC$2:$AC$18-$V37)^2)))</f>
        <v/>
      </c>
      <c r="AK37" s="150">
        <f t="array" ref="AK37">IF(AK$1=0,"",SQRT((_xlfn.XLOOKUP(AK$1,$Z$2:$Z$18,$AA$2:$AA$18)-$T37)^2+(_xlfn.XLOOKUP(AK$1,$Z$2:$Z$18,$AB$2:$AB$18)-$U37)^2+(_xlfn.XLOOKUP(AK$1,$Z$2:$Z$18,$AC$2:$AC$18-$V37)^2)))</f>
        <v/>
      </c>
      <c r="AL37" s="150">
        <f t="array" ref="AL37">IF(AL$1=0,"",SQRT((_xlfn.XLOOKUP(AL$1,$Z$2:$Z$18,$AA$2:$AA$18)-$T37)^2+(_xlfn.XLOOKUP(AL$1,$Z$2:$Z$18,$AB$2:$AB$18)-$U37)^2+(_xlfn.XLOOKUP(AL$1,$Z$2:$Z$18,$AC$2:$AC$18-$V37)^2)))</f>
        <v/>
      </c>
      <c r="AM37" s="150">
        <f t="array" ref="AM37">IF(AM$1=0,"",SQRT((_xlfn.XLOOKUP(AM$1,$Z$2:$Z$18,$AA$2:$AA$18)-$T37)^2+(_xlfn.XLOOKUP(AM$1,$Z$2:$Z$18,$AB$2:$AB$18)-$U37)^2+(_xlfn.XLOOKUP(AM$1,$Z$2:$Z$18,$AC$2:$AC$18-$V37)^2)))</f>
        <v/>
      </c>
      <c r="AN37" s="150">
        <f t="array" ref="AN37">IF(AN$1=0,"",SQRT((_xlfn.XLOOKUP(AN$1,$Z$2:$Z$18,$AA$2:$AA$18)-$T37)^2+(_xlfn.XLOOKUP(AN$1,$Z$2:$Z$18,$AB$2:$AB$18)-$U37)^2+(_xlfn.XLOOKUP(AN$1,$Z$2:$Z$18,$AC$2:$AC$18-$V37)^2)))</f>
        <v/>
      </c>
      <c r="AO37" s="150">
        <f t="array" ref="AO37">IF(AO$1=0,"",SQRT((_xlfn.XLOOKUP(AO$1,$Z$2:$Z$18,$AA$2:$AA$18)-$T37)^2+(_xlfn.XLOOKUP(AO$1,$Z$2:$Z$18,$AB$2:$AB$18)-$U37)^2+(_xlfn.XLOOKUP(AO$1,$Z$2:$Z$18,$AC$2:$AC$18-$V37)^2)))</f>
        <v/>
      </c>
      <c r="AP37" s="151">
        <f t="array" ref="AP37">IF(AP$1=0,"",SQRT((_xlfn.XLOOKUP(AP$1,$Z$2:$Z$18,$AA$2:$AA$18)-$T37)^2+(_xlfn.XLOOKUP(AP$1,$Z$2:$Z$18,$AB$2:$AB$18)-$U37)^2+(_xlfn.XLOOKUP(AP$1,$Z$2:$Z$18,$AC$2:$AC$18-$V37)^2)))</f>
        <v/>
      </c>
      <c r="AQ37" s="151">
        <f t="array" ref="AQ37">IF(AQ$1=0,"",SQRT((_xlfn.XLOOKUP(AQ$1,$Z$2:$Z$18,$AA$2:$AA$18)-$T37)^2+(_xlfn.XLOOKUP(AQ$1,$Z$2:$Z$18,$AB$2:$AB$18)-$U37)^2+(_xlfn.XLOOKUP(AQ$1,$Z$2:$Z$18,$AC$2:$AC$18-$V37)^2)))</f>
        <v/>
      </c>
      <c r="AR37" s="151">
        <f t="array" ref="AR37">IF(AR$1=0,"",SQRT((_xlfn.XLOOKUP(AR$1,$Z$2:$Z$18,$AA$2:$AA$18)-$T37)^2+(_xlfn.XLOOKUP(AR$1,$Z$2:$Z$18,$AB$2:$AB$18)-$U37)^2+(_xlfn.XLOOKUP(AR$1,$Z$2:$Z$18,$AC$2:$AC$18-$V37)^2)))</f>
        <v/>
      </c>
      <c r="AS37" s="151">
        <f t="array" ref="AS37">IF(AS$1=0,"",SQRT((_xlfn.XLOOKUP(AS$1,$Z$2:$Z$18,$AA$2:$AA$18)-$T37)^2+(_xlfn.XLOOKUP(AS$1,$Z$2:$Z$18,$AB$2:$AB$18)-$U37)^2+(_xlfn.XLOOKUP(AS$1,$Z$2:$Z$18,$AC$2:$AC$18-$V37)^2)))</f>
        <v/>
      </c>
      <c r="AT37" s="151">
        <f t="array" ref="AT37">IF(AT$1=0,"",SQRT((_xlfn.XLOOKUP(AT$1,$Z$2:$Z$18,$AA$2:$AA$18)-$T37)^2+(_xlfn.XLOOKUP(AT$1,$Z$2:$Z$18,$AB$2:$AB$18)-$U37)^2+(_xlfn.XLOOKUP(AT$1,$Z$2:$Z$18,$AC$2:$AC$18-$V37)^2)))</f>
        <v/>
      </c>
      <c r="AU37" s="151">
        <f t="array" ref="AU37">IF(AU$1=0,"",SQRT((_xlfn.XLOOKUP(AU$1,$Z$2:$Z$18,$AA$2:$AA$18)-$T37)^2+(_xlfn.XLOOKUP(AU$1,$Z$2:$Z$18,$AB$2:$AB$18)-$U37)^2+(_xlfn.XLOOKUP(AU$1,$Z$2:$Z$18,$AC$2:$AC$18-$V37)^2)))</f>
        <v/>
      </c>
      <c r="AV37" s="152">
        <f t="array" ref="AV37">IF(AV$1=0,"",SQRT((_xlfn.XLOOKUP(AV$1,$Z$2:$Z$18,$AA$2:$AA$18)-$T37)^2+(_xlfn.XLOOKUP(AV$1,$Z$2:$Z$18,$AB$2:$AB$18)-$U37)^2+(_xlfn.XLOOKUP(AV$1,$Z$2:$Z$18,$AC$2:$AC$18-$V37)^2)))</f>
        <v/>
      </c>
      <c r="AW37" s="134" t="n"/>
      <c r="AX37" s="134" t="n"/>
      <c r="AY37" s="135">
        <f>IFERROR(-ABS(10*LOG10(($R37/(4*PI()*CONVERT(AH37,"ft","m")^2)))),0)</f>
        <v/>
      </c>
      <c r="AZ37" s="153">
        <f>IFERROR(-ABS(10*LOG10(($R37/(4*PI()*CONVERT(AI37,"ft","m")^2)))),0)</f>
        <v/>
      </c>
      <c r="BA37" s="153">
        <f>IFERROR(-ABS(10*LOG10(($R37/(4*PI()*CONVERT(AJ37,"ft","m")^2)))),0)</f>
        <v/>
      </c>
      <c r="BB37" s="153">
        <f>IFERROR(-ABS(10*LOG10(($R37/(4*PI()*CONVERT(AK37,"ft","m")^2)))),0)</f>
        <v/>
      </c>
      <c r="BC37" s="153">
        <f>IFERROR(-ABS(10*LOG10(($R37/(4*PI()*CONVERT(AL37,"ft","m")^2)))),0)</f>
        <v/>
      </c>
      <c r="BD37" s="153">
        <f>IFERROR(-ABS(10*LOG10(($R37/(4*PI()*CONVERT(AM37,"ft","m")^2)))),0)</f>
        <v/>
      </c>
      <c r="BE37" s="153">
        <f>IFERROR(-ABS(10*LOG10(($R37/(4*PI()*CONVERT(AN37,"ft","m")^2)))),0)</f>
        <v/>
      </c>
      <c r="BF37" s="153">
        <f>IFERROR(-ABS(10*LOG10(($R37/(4*PI()*CONVERT(AO37,"ft","m")^2)))),0)</f>
        <v/>
      </c>
      <c r="BG37" s="154">
        <f>IFERROR(-ABS(10*LOG10(($R37/(4*PI()*CONVERT(AP37,"ft","m")^2)))),0)</f>
        <v/>
      </c>
      <c r="BH37" s="154">
        <f>IFERROR(-ABS(10*LOG10(($R37/(4*PI()*CONVERT(AQ37,"ft","m")^2)))),0)</f>
        <v/>
      </c>
      <c r="BI37" s="154">
        <f>IFERROR(-ABS(10*LOG10(($R37/(4*PI()*CONVERT(AR37,"ft","m")^2)))),0)</f>
        <v/>
      </c>
      <c r="BJ37" s="154">
        <f>IFERROR(-ABS(10*LOG10(($R37/(4*PI()*CONVERT(AS37,"ft","m")^2)))),0)</f>
        <v/>
      </c>
      <c r="BK37" s="154">
        <f>IFERROR(-ABS(10*LOG10(($R37/(4*PI()*CONVERT(AT37,"ft","m")^2)))),0)</f>
        <v/>
      </c>
      <c r="BL37" s="154">
        <f>IFERROR(-ABS(10*LOG10(($R37/(4*PI()*CONVERT(AU37,"ft","m")^2)))),0)</f>
        <v/>
      </c>
      <c r="BM37" s="155">
        <f>IFERROR(-ABS(10*LOG10(($R37/(4*PI()*CONVERT(AV37,"ft","m")^2)))),0)</f>
        <v/>
      </c>
      <c r="BN37" s="134" t="n"/>
      <c r="BO37" s="202" t="inlineStr">
        <is>
          <t>ARI</t>
        </is>
      </c>
      <c r="BP37" s="203" t="n"/>
      <c r="BQ37" s="21" t="n"/>
      <c r="BR37" s="134" t="n"/>
      <c r="BS37" s="134" t="n"/>
      <c r="BT37" s="134" t="n"/>
      <c r="BU37" s="134" t="n"/>
      <c r="BV37" s="140" t="n"/>
      <c r="BW37" s="140" t="n"/>
      <c r="BX37" s="140" t="n"/>
      <c r="BY37" s="140" t="n"/>
      <c r="BZ37" s="140" t="n"/>
      <c r="CA37" s="140" t="n"/>
      <c r="CB37" s="140" t="n"/>
      <c r="CC37" s="140" t="n"/>
      <c r="CD37" s="140" t="n"/>
      <c r="CE37" s="140" t="n"/>
      <c r="CF37" s="140" t="n"/>
      <c r="CG37" s="140" t="n"/>
      <c r="CH37" s="140" t="n"/>
      <c r="CI37" s="140" t="n"/>
      <c r="CJ37" s="140" t="n"/>
      <c r="CK37" s="134" t="n"/>
      <c r="CL37" s="134" t="n"/>
      <c r="CM37" s="156">
        <f>IF( CM$1= 0,"",$Q37-$S37+AY37-BV37)</f>
        <v/>
      </c>
      <c r="CN37" s="157">
        <f>IF( CN$1= 0,"",$Q37-$S37+AZ37-BW37)</f>
        <v/>
      </c>
      <c r="CO37" s="157">
        <f>IF( CO$1= 0,"",$Q37-$S37+BA37-BX37)</f>
        <v/>
      </c>
      <c r="CP37" s="157">
        <f>IF( CP$1= 0,"",$Q37-$S37+BB37-BY37)</f>
        <v/>
      </c>
      <c r="CQ37" s="157">
        <f>IF( CQ$1= 0,"",$Q37-$S37+BC37-BZ37)</f>
        <v/>
      </c>
      <c r="CR37" s="157">
        <f>IF( CR$1= 0,"",$Q37-$S37+BD37-CA37)</f>
        <v/>
      </c>
      <c r="CS37" s="157">
        <f>IF( CS$1= 0,"",$Q37-$S37+BE37-CB37)</f>
        <v/>
      </c>
      <c r="CT37" s="157">
        <f>IF( CT$1= 0,"",$Q37-$S37+BF37-CC37)</f>
        <v/>
      </c>
      <c r="CU37" s="158">
        <f>IF( CU$1= 0,"",$Q37-$S37+BG37-CD37)</f>
        <v/>
      </c>
      <c r="CV37" s="158">
        <f>IF( CV$1= 0,"",$Q37-$S37+BH37-CE37)</f>
        <v/>
      </c>
      <c r="CW37" s="158">
        <f>IF( CW$1= 0,"",$Q37-$S37+BI37-CF37)</f>
        <v/>
      </c>
      <c r="CX37" s="158">
        <f>IF( CX$1= 0,"",$Q37-$S37+BJ37-CG37)</f>
        <v/>
      </c>
      <c r="CY37" s="143">
        <f>IF( CY$1= 0,"",$Q37-$S37+BK37-CH37)</f>
        <v/>
      </c>
      <c r="CZ37" s="143">
        <f>IF( CZ$1= 0,"",$Q37-$S37+BL37-CI37)</f>
        <v/>
      </c>
      <c r="DA37" s="144">
        <f>IF( DA$1= 0,"",$Q37-$S37+BM37-CJ37)</f>
        <v/>
      </c>
    </row>
    <row r="38" ht="16.5" customHeight="1">
      <c r="A38" s="145" t="n">
        <v>1</v>
      </c>
      <c r="B38" s="146" t="inlineStr">
        <is>
          <t xml:space="preserve">BEF-R16 </t>
        </is>
      </c>
      <c r="C38" s="146" t="inlineStr">
        <is>
          <t>Inlet</t>
        </is>
      </c>
      <c r="D38" s="147" t="inlineStr">
        <is>
          <t>Greenheck</t>
        </is>
      </c>
      <c r="E38" s="205" t="inlineStr">
        <is>
          <t>CUE-70VG</t>
        </is>
      </c>
      <c r="F38" s="213" t="n"/>
      <c r="G38" s="214" t="n"/>
      <c r="H38" s="214" t="n"/>
      <c r="I38" s="214" t="n"/>
      <c r="J38" s="214" t="n"/>
      <c r="K38" s="214" t="n"/>
      <c r="L38" s="214" t="n"/>
      <c r="M38" s="218" t="n"/>
      <c r="N38" s="213" t="n">
        <v>57.39273779573718</v>
      </c>
      <c r="O38" s="215" t="n">
        <v>0</v>
      </c>
      <c r="P38" s="208" t="n">
        <v>1</v>
      </c>
      <c r="Q38" s="128">
        <f>ROUND(IF(AND(A38&gt;0, O38&gt;0), N38+ABS(10*LOG10(P38/(4*PI()*CONVERT(O38,"ft", "m")^2))), N38),0)</f>
        <v/>
      </c>
      <c r="R38" s="3" t="n">
        <v>2</v>
      </c>
      <c r="S38" s="3" t="n"/>
      <c r="T38" s="214" t="n">
        <v>149.29</v>
      </c>
      <c r="U38" s="214" t="n">
        <v>139.38</v>
      </c>
      <c r="V38" s="109">
        <f>SUM(W38:X38)</f>
        <v/>
      </c>
      <c r="W38" s="81" t="n">
        <v>73</v>
      </c>
      <c r="X38" s="148" t="n">
        <v>2</v>
      </c>
      <c r="Z38" s="115" t="inlineStr">
        <is>
          <t>bar15</t>
        </is>
      </c>
      <c r="AA38" s="113" t="n">
        <v>162.91</v>
      </c>
      <c r="AB38" s="52" t="n">
        <v>140.8</v>
      </c>
      <c r="AC38" s="106" t="n">
        <v>75.40000000000001</v>
      </c>
      <c r="AD38" s="52" t="n">
        <v>173.14</v>
      </c>
      <c r="AE38" s="52" t="n">
        <v>143</v>
      </c>
      <c r="AF38" s="53" t="n">
        <v>75.40000000000001</v>
      </c>
      <c r="AH38" s="168">
        <f t="array" ref="AH38">IF(AH$1=0,"",SQRT((_xlfn.XLOOKUP(AH$1,$Z$2:$Z$18,$AA$2:$AA$18)-$T38)^2+(_xlfn.XLOOKUP(AH$1,$Z$2:$Z$18,$AB$2:$AB$18)-$U38)^2+(_xlfn.XLOOKUP(AH$1,$Z$2:$Z$18,$AC$2:$AC$18-$V38)^2)))</f>
        <v/>
      </c>
      <c r="AI38" s="150">
        <f t="array" ref="AI38">IF(AI$1=0,"",SQRT((_xlfn.XLOOKUP(AI$1,$Z$2:$Z$18,$AA$2:$AA$18)-$T38)^2+(_xlfn.XLOOKUP(AI$1,$Z$2:$Z$18,$AB$2:$AB$18)-$U38)^2+(_xlfn.XLOOKUP(AI$1,$Z$2:$Z$18,$AC$2:$AC$18-$V38)^2)))</f>
        <v/>
      </c>
      <c r="AJ38" s="150">
        <f t="array" ref="AJ38">IF(AJ$1=0,"",SQRT((_xlfn.XLOOKUP(AJ$1,$Z$2:$Z$18,$AA$2:$AA$18)-$T38)^2+(_xlfn.XLOOKUP(AJ$1,$Z$2:$Z$18,$AB$2:$AB$18)-$U38)^2+(_xlfn.XLOOKUP(AJ$1,$Z$2:$Z$18,$AC$2:$AC$18-$V38)^2)))</f>
        <v/>
      </c>
      <c r="AK38" s="150">
        <f t="array" ref="AK38">IF(AK$1=0,"",SQRT((_xlfn.XLOOKUP(AK$1,$Z$2:$Z$18,$AA$2:$AA$18)-$T38)^2+(_xlfn.XLOOKUP(AK$1,$Z$2:$Z$18,$AB$2:$AB$18)-$U38)^2+(_xlfn.XLOOKUP(AK$1,$Z$2:$Z$18,$AC$2:$AC$18-$V38)^2)))</f>
        <v/>
      </c>
      <c r="AL38" s="150">
        <f t="array" ref="AL38">IF(AL$1=0,"",SQRT((_xlfn.XLOOKUP(AL$1,$Z$2:$Z$18,$AA$2:$AA$18)-$T38)^2+(_xlfn.XLOOKUP(AL$1,$Z$2:$Z$18,$AB$2:$AB$18)-$U38)^2+(_xlfn.XLOOKUP(AL$1,$Z$2:$Z$18,$AC$2:$AC$18-$V38)^2)))</f>
        <v/>
      </c>
      <c r="AM38" s="150">
        <f t="array" ref="AM38">IF(AM$1=0,"",SQRT((_xlfn.XLOOKUP(AM$1,$Z$2:$Z$18,$AA$2:$AA$18)-$T38)^2+(_xlfn.XLOOKUP(AM$1,$Z$2:$Z$18,$AB$2:$AB$18)-$U38)^2+(_xlfn.XLOOKUP(AM$1,$Z$2:$Z$18,$AC$2:$AC$18-$V38)^2)))</f>
        <v/>
      </c>
      <c r="AN38" s="150">
        <f t="array" ref="AN38">IF(AN$1=0,"",SQRT((_xlfn.XLOOKUP(AN$1,$Z$2:$Z$18,$AA$2:$AA$18)-$T38)^2+(_xlfn.XLOOKUP(AN$1,$Z$2:$Z$18,$AB$2:$AB$18)-$U38)^2+(_xlfn.XLOOKUP(AN$1,$Z$2:$Z$18,$AC$2:$AC$18-$V38)^2)))</f>
        <v/>
      </c>
      <c r="AO38" s="150">
        <f t="array" ref="AO38">IF(AO$1=0,"",SQRT((_xlfn.XLOOKUP(AO$1,$Z$2:$Z$18,$AA$2:$AA$18)-$T38)^2+(_xlfn.XLOOKUP(AO$1,$Z$2:$Z$18,$AB$2:$AB$18)-$U38)^2+(_xlfn.XLOOKUP(AO$1,$Z$2:$Z$18,$AC$2:$AC$18-$V38)^2)))</f>
        <v/>
      </c>
      <c r="AP38" s="151">
        <f t="array" ref="AP38">IF(AP$1=0,"",SQRT((_xlfn.XLOOKUP(AP$1,$Z$2:$Z$18,$AA$2:$AA$18)-$T38)^2+(_xlfn.XLOOKUP(AP$1,$Z$2:$Z$18,$AB$2:$AB$18)-$U38)^2+(_xlfn.XLOOKUP(AP$1,$Z$2:$Z$18,$AC$2:$AC$18-$V38)^2)))</f>
        <v/>
      </c>
      <c r="AQ38" s="151">
        <f t="array" ref="AQ38">IF(AQ$1=0,"",SQRT((_xlfn.XLOOKUP(AQ$1,$Z$2:$Z$18,$AA$2:$AA$18)-$T38)^2+(_xlfn.XLOOKUP(AQ$1,$Z$2:$Z$18,$AB$2:$AB$18)-$U38)^2+(_xlfn.XLOOKUP(AQ$1,$Z$2:$Z$18,$AC$2:$AC$18-$V38)^2)))</f>
        <v/>
      </c>
      <c r="AR38" s="151">
        <f t="array" ref="AR38">IF(AR$1=0,"",SQRT((_xlfn.XLOOKUP(AR$1,$Z$2:$Z$18,$AA$2:$AA$18)-$T38)^2+(_xlfn.XLOOKUP(AR$1,$Z$2:$Z$18,$AB$2:$AB$18)-$U38)^2+(_xlfn.XLOOKUP(AR$1,$Z$2:$Z$18,$AC$2:$AC$18-$V38)^2)))</f>
        <v/>
      </c>
      <c r="AS38" s="151">
        <f t="array" ref="AS38">IF(AS$1=0,"",SQRT((_xlfn.XLOOKUP(AS$1,$Z$2:$Z$18,$AA$2:$AA$18)-$T38)^2+(_xlfn.XLOOKUP(AS$1,$Z$2:$Z$18,$AB$2:$AB$18)-$U38)^2+(_xlfn.XLOOKUP(AS$1,$Z$2:$Z$18,$AC$2:$AC$18-$V38)^2)))</f>
        <v/>
      </c>
      <c r="AT38" s="151">
        <f t="array" ref="AT38">IF(AT$1=0,"",SQRT((_xlfn.XLOOKUP(AT$1,$Z$2:$Z$18,$AA$2:$AA$18)-$T38)^2+(_xlfn.XLOOKUP(AT$1,$Z$2:$Z$18,$AB$2:$AB$18)-$U38)^2+(_xlfn.XLOOKUP(AT$1,$Z$2:$Z$18,$AC$2:$AC$18-$V38)^2)))</f>
        <v/>
      </c>
      <c r="AU38" s="151">
        <f t="array" ref="AU38">IF(AU$1=0,"",SQRT((_xlfn.XLOOKUP(AU$1,$Z$2:$Z$18,$AA$2:$AA$18)-$T38)^2+(_xlfn.XLOOKUP(AU$1,$Z$2:$Z$18,$AB$2:$AB$18)-$U38)^2+(_xlfn.XLOOKUP(AU$1,$Z$2:$Z$18,$AC$2:$AC$18-$V38)^2)))</f>
        <v/>
      </c>
      <c r="AV38" s="152">
        <f t="array" ref="AV38">IF(AV$1=0,"",SQRT((_xlfn.XLOOKUP(AV$1,$Z$2:$Z$18,$AA$2:$AA$18)-$T38)^2+(_xlfn.XLOOKUP(AV$1,$Z$2:$Z$18,$AB$2:$AB$18)-$U38)^2+(_xlfn.XLOOKUP(AV$1,$Z$2:$Z$18,$AC$2:$AC$18-$V38)^2)))</f>
        <v/>
      </c>
      <c r="AW38" s="134" t="n"/>
      <c r="AX38" s="134" t="n"/>
      <c r="AY38" s="135">
        <f>IFERROR(-ABS(10*LOG10(($R38/(4*PI()*CONVERT(AH38,"ft","m")^2)))),0)</f>
        <v/>
      </c>
      <c r="AZ38" s="153">
        <f>IFERROR(-ABS(10*LOG10(($R38/(4*PI()*CONVERT(AI38,"ft","m")^2)))),0)</f>
        <v/>
      </c>
      <c r="BA38" s="153">
        <f>IFERROR(-ABS(10*LOG10(($R38/(4*PI()*CONVERT(AJ38,"ft","m")^2)))),0)</f>
        <v/>
      </c>
      <c r="BB38" s="153">
        <f>IFERROR(-ABS(10*LOG10(($R38/(4*PI()*CONVERT(AK38,"ft","m")^2)))),0)</f>
        <v/>
      </c>
      <c r="BC38" s="153">
        <f>IFERROR(-ABS(10*LOG10(($R38/(4*PI()*CONVERT(AL38,"ft","m")^2)))),0)</f>
        <v/>
      </c>
      <c r="BD38" s="153">
        <f>IFERROR(-ABS(10*LOG10(($R38/(4*PI()*CONVERT(AM38,"ft","m")^2)))),0)</f>
        <v/>
      </c>
      <c r="BE38" s="153">
        <f>IFERROR(-ABS(10*LOG10(($R38/(4*PI()*CONVERT(AN38,"ft","m")^2)))),0)</f>
        <v/>
      </c>
      <c r="BF38" s="153">
        <f>IFERROR(-ABS(10*LOG10(($R38/(4*PI()*CONVERT(AO38,"ft","m")^2)))),0)</f>
        <v/>
      </c>
      <c r="BG38" s="154">
        <f>IFERROR(-ABS(10*LOG10(($R38/(4*PI()*CONVERT(AP38,"ft","m")^2)))),0)</f>
        <v/>
      </c>
      <c r="BH38" s="154">
        <f>IFERROR(-ABS(10*LOG10(($R38/(4*PI()*CONVERT(AQ38,"ft","m")^2)))),0)</f>
        <v/>
      </c>
      <c r="BI38" s="154">
        <f>IFERROR(-ABS(10*LOG10(($R38/(4*PI()*CONVERT(AR38,"ft","m")^2)))),0)</f>
        <v/>
      </c>
      <c r="BJ38" s="154">
        <f>IFERROR(-ABS(10*LOG10(($R38/(4*PI()*CONVERT(AS38,"ft","m")^2)))),0)</f>
        <v/>
      </c>
      <c r="BK38" s="154">
        <f>IFERROR(-ABS(10*LOG10(($R38/(4*PI()*CONVERT(AT38,"ft","m")^2)))),0)</f>
        <v/>
      </c>
      <c r="BL38" s="154">
        <f>IFERROR(-ABS(10*LOG10(($R38/(4*PI()*CONVERT(AU38,"ft","m")^2)))),0)</f>
        <v/>
      </c>
      <c r="BM38" s="155">
        <f>IFERROR(-ABS(10*LOG10(($R38/(4*PI()*CONVERT(AV38,"ft","m")^2)))),0)</f>
        <v/>
      </c>
      <c r="BN38" s="134" t="n"/>
      <c r="BO38" s="57" t="inlineStr">
        <is>
          <t>Path 
Length (ft)</t>
        </is>
      </c>
      <c r="BP38" s="57" t="inlineStr">
        <is>
          <t>Barrier 
Reduction (dB)</t>
        </is>
      </c>
      <c r="BQ38" s="21" t="n"/>
      <c r="BR38" s="134" t="n"/>
      <c r="BS38" s="134" t="n"/>
      <c r="BT38" s="134" t="n"/>
      <c r="BU38" s="134" t="n"/>
      <c r="BV38" s="140" t="n"/>
      <c r="BW38" s="140" t="n"/>
      <c r="BX38" s="140" t="n"/>
      <c r="BY38" s="140" t="n"/>
      <c r="BZ38" s="140" t="n"/>
      <c r="CA38" s="140" t="n"/>
      <c r="CB38" s="140" t="n"/>
      <c r="CC38" s="140" t="n"/>
      <c r="CD38" s="140" t="n"/>
      <c r="CE38" s="140" t="n"/>
      <c r="CF38" s="140" t="n"/>
      <c r="CG38" s="140" t="n"/>
      <c r="CH38" s="140" t="n"/>
      <c r="CI38" s="140" t="n"/>
      <c r="CJ38" s="140" t="n"/>
      <c r="CK38" s="134" t="n"/>
      <c r="CL38" s="134" t="n"/>
      <c r="CM38" s="156">
        <f>IF( CM$1= 0,"",$Q38-$S38+AY38-BV38)</f>
        <v/>
      </c>
      <c r="CN38" s="157">
        <f>IF( CN$1= 0,"",$Q38-$S38+AZ38-BW38)</f>
        <v/>
      </c>
      <c r="CO38" s="157">
        <f>IF( CO$1= 0,"",$Q38-$S38+BA38-BX38)</f>
        <v/>
      </c>
      <c r="CP38" s="157">
        <f>IF( CP$1= 0,"",$Q38-$S38+BB38-BY38)</f>
        <v/>
      </c>
      <c r="CQ38" s="157">
        <f>IF( CQ$1= 0,"",$Q38-$S38+BC38-BZ38)</f>
        <v/>
      </c>
      <c r="CR38" s="157">
        <f>IF( CR$1= 0,"",$Q38-$S38+BD38-CA38)</f>
        <v/>
      </c>
      <c r="CS38" s="157">
        <f>IF( CS$1= 0,"",$Q38-$S38+BE38-CB38)</f>
        <v/>
      </c>
      <c r="CT38" s="157">
        <f>IF( CT$1= 0,"",$Q38-$S38+BF38-CC38)</f>
        <v/>
      </c>
      <c r="CU38" s="158">
        <f>IF( CU$1= 0,"",$Q38-$S38+BG38-CD38)</f>
        <v/>
      </c>
      <c r="CV38" s="158">
        <f>IF( CV$1= 0,"",$Q38-$S38+BH38-CE38)</f>
        <v/>
      </c>
      <c r="CW38" s="158">
        <f>IF( CW$1= 0,"",$Q38-$S38+BI38-CF38)</f>
        <v/>
      </c>
      <c r="CX38" s="158">
        <f>IF( CX$1= 0,"",$Q38-$S38+BJ38-CG38)</f>
        <v/>
      </c>
      <c r="CY38" s="143">
        <f>IF( CY$1= 0,"",$Q38-$S38+BK38-CH38)</f>
        <v/>
      </c>
      <c r="CZ38" s="143">
        <f>IF( CZ$1= 0,"",$Q38-$S38+BL38-CI38)</f>
        <v/>
      </c>
      <c r="DA38" s="144">
        <f>IF( DA$1= 0,"",$Q38-$S38+BM38-CJ38)</f>
        <v/>
      </c>
    </row>
    <row r="39" ht="16.5" customHeight="1">
      <c r="A39" s="145" t="n"/>
      <c r="B39" s="146" t="n"/>
      <c r="C39" s="146" t="n"/>
      <c r="D39" s="147" t="n"/>
      <c r="E39" s="205" t="n"/>
      <c r="F39" s="213" t="n"/>
      <c r="G39" s="214" t="n"/>
      <c r="H39" s="214" t="n"/>
      <c r="I39" s="214" t="n"/>
      <c r="J39" s="214" t="n"/>
      <c r="K39" s="214" t="n"/>
      <c r="L39" s="214" t="n"/>
      <c r="M39" s="218" t="n"/>
      <c r="N39" s="213" t="n"/>
      <c r="O39" s="215" t="n"/>
      <c r="P39" s="208" t="n"/>
      <c r="Q39" s="128">
        <f>ROUND(IF(AND(A39&gt;0, O39&gt;0), N39+ABS(10*LOG10(P39/(4*PI()*CONVERT(O39,"ft", "m")^2))), N39),0)</f>
        <v/>
      </c>
      <c r="R39" s="3" t="n"/>
      <c r="S39" s="3" t="n"/>
      <c r="T39" s="214" t="n"/>
      <c r="U39" s="214" t="n"/>
      <c r="V39" s="109">
        <f>SUM(W39:X39)</f>
        <v/>
      </c>
      <c r="W39" s="171" t="n"/>
      <c r="X39" s="148" t="n"/>
      <c r="Z39" s="115" t="inlineStr">
        <is>
          <t>bar16</t>
        </is>
      </c>
      <c r="AA39" s="113" t="n">
        <v>162.14</v>
      </c>
      <c r="AB39" s="52" t="n">
        <v>146.19</v>
      </c>
      <c r="AC39" s="106" t="n">
        <v>75.40000000000001</v>
      </c>
      <c r="AD39" s="52" t="n">
        <v>163.24</v>
      </c>
      <c r="AE39" s="52" t="n">
        <v>141.24</v>
      </c>
      <c r="AF39" s="53" t="n">
        <v>75.40000000000001</v>
      </c>
      <c r="AH39" s="168">
        <f t="array" ref="AH39">IF(AH$1=0,"",SQRT((_xlfn.XLOOKUP(AH$1,$Z$2:$Z$18,$AA$2:$AA$18)-$T39)^2+(_xlfn.XLOOKUP(AH$1,$Z$2:$Z$18,$AB$2:$AB$18)-$U39)^2+(_xlfn.XLOOKUP(AH$1,$Z$2:$Z$18,$AC$2:$AC$18-$V39)^2)))</f>
        <v/>
      </c>
      <c r="AI39" s="150">
        <f t="array" ref="AI39">IF(AI$1=0,"",SQRT((_xlfn.XLOOKUP(AI$1,$Z$2:$Z$18,$AA$2:$AA$18)-$T39)^2+(_xlfn.XLOOKUP(AI$1,$Z$2:$Z$18,$AB$2:$AB$18)-$U39)^2+(_xlfn.XLOOKUP(AI$1,$Z$2:$Z$18,$AC$2:$AC$18-$V39)^2)))</f>
        <v/>
      </c>
      <c r="AJ39" s="150">
        <f t="array" ref="AJ39">IF(AJ$1=0,"",SQRT((_xlfn.XLOOKUP(AJ$1,$Z$2:$Z$18,$AA$2:$AA$18)-$T39)^2+(_xlfn.XLOOKUP(AJ$1,$Z$2:$Z$18,$AB$2:$AB$18)-$U39)^2+(_xlfn.XLOOKUP(AJ$1,$Z$2:$Z$18,$AC$2:$AC$18-$V39)^2)))</f>
        <v/>
      </c>
      <c r="AK39" s="150">
        <f t="array" ref="AK39">IF(AK$1=0,"",SQRT((_xlfn.XLOOKUP(AK$1,$Z$2:$Z$18,$AA$2:$AA$18)-$T39)^2+(_xlfn.XLOOKUP(AK$1,$Z$2:$Z$18,$AB$2:$AB$18)-$U39)^2+(_xlfn.XLOOKUP(AK$1,$Z$2:$Z$18,$AC$2:$AC$18-$V39)^2)))</f>
        <v/>
      </c>
      <c r="AL39" s="150">
        <f t="array" ref="AL39">IF(AL$1=0,"",SQRT((_xlfn.XLOOKUP(AL$1,$Z$2:$Z$18,$AA$2:$AA$18)-$T39)^2+(_xlfn.XLOOKUP(AL$1,$Z$2:$Z$18,$AB$2:$AB$18)-$U39)^2+(_xlfn.XLOOKUP(AL$1,$Z$2:$Z$18,$AC$2:$AC$18-$V39)^2)))</f>
        <v/>
      </c>
      <c r="AM39" s="150">
        <f t="array" ref="AM39">IF(AM$1=0,"",SQRT((_xlfn.XLOOKUP(AM$1,$Z$2:$Z$18,$AA$2:$AA$18)-$T39)^2+(_xlfn.XLOOKUP(AM$1,$Z$2:$Z$18,$AB$2:$AB$18)-$U39)^2+(_xlfn.XLOOKUP(AM$1,$Z$2:$Z$18,$AC$2:$AC$18-$V39)^2)))</f>
        <v/>
      </c>
      <c r="AN39" s="150">
        <f t="array" ref="AN39">IF(AN$1=0,"",SQRT((_xlfn.XLOOKUP(AN$1,$Z$2:$Z$18,$AA$2:$AA$18)-$T39)^2+(_xlfn.XLOOKUP(AN$1,$Z$2:$Z$18,$AB$2:$AB$18)-$U39)^2+(_xlfn.XLOOKUP(AN$1,$Z$2:$Z$18,$AC$2:$AC$18-$V39)^2)))</f>
        <v/>
      </c>
      <c r="AO39" s="150">
        <f t="array" ref="AO39">IF(AO$1=0,"",SQRT((_xlfn.XLOOKUP(AO$1,$Z$2:$Z$18,$AA$2:$AA$18)-$T39)^2+(_xlfn.XLOOKUP(AO$1,$Z$2:$Z$18,$AB$2:$AB$18)-$U39)^2+(_xlfn.XLOOKUP(AO$1,$Z$2:$Z$18,$AC$2:$AC$18-$V39)^2)))</f>
        <v/>
      </c>
      <c r="AP39" s="151">
        <f t="array" ref="AP39">IF(AP$1=0,"",SQRT((_xlfn.XLOOKUP(AP$1,$Z$2:$Z$18,$AA$2:$AA$18)-$T39)^2+(_xlfn.XLOOKUP(AP$1,$Z$2:$Z$18,$AB$2:$AB$18)-$U39)^2+(_xlfn.XLOOKUP(AP$1,$Z$2:$Z$18,$AC$2:$AC$18-$V39)^2)))</f>
        <v/>
      </c>
      <c r="AQ39" s="151">
        <f t="array" ref="AQ39">IF(AQ$1=0,"",SQRT((_xlfn.XLOOKUP(AQ$1,$Z$2:$Z$18,$AA$2:$AA$18)-$T39)^2+(_xlfn.XLOOKUP(AQ$1,$Z$2:$Z$18,$AB$2:$AB$18)-$U39)^2+(_xlfn.XLOOKUP(AQ$1,$Z$2:$Z$18,$AC$2:$AC$18-$V39)^2)))</f>
        <v/>
      </c>
      <c r="AR39" s="151">
        <f t="array" ref="AR39">IF(AR$1=0,"",SQRT((_xlfn.XLOOKUP(AR$1,$Z$2:$Z$18,$AA$2:$AA$18)-$T39)^2+(_xlfn.XLOOKUP(AR$1,$Z$2:$Z$18,$AB$2:$AB$18)-$U39)^2+(_xlfn.XLOOKUP(AR$1,$Z$2:$Z$18,$AC$2:$AC$18-$V39)^2)))</f>
        <v/>
      </c>
      <c r="AS39" s="151">
        <f t="array" ref="AS39">IF(AS$1=0,"",SQRT((_xlfn.XLOOKUP(AS$1,$Z$2:$Z$18,$AA$2:$AA$18)-$T39)^2+(_xlfn.XLOOKUP(AS$1,$Z$2:$Z$18,$AB$2:$AB$18)-$U39)^2+(_xlfn.XLOOKUP(AS$1,$Z$2:$Z$18,$AC$2:$AC$18-$V39)^2)))</f>
        <v/>
      </c>
      <c r="AT39" s="151">
        <f t="array" ref="AT39">IF(AT$1=0,"",SQRT((_xlfn.XLOOKUP(AT$1,$Z$2:$Z$18,$AA$2:$AA$18)-$T39)^2+(_xlfn.XLOOKUP(AT$1,$Z$2:$Z$18,$AB$2:$AB$18)-$U39)^2+(_xlfn.XLOOKUP(AT$1,$Z$2:$Z$18,$AC$2:$AC$18-$V39)^2)))</f>
        <v/>
      </c>
      <c r="AU39" s="151">
        <f t="array" ref="AU39">IF(AU$1=0,"",SQRT((_xlfn.XLOOKUP(AU$1,$Z$2:$Z$18,$AA$2:$AA$18)-$T39)^2+(_xlfn.XLOOKUP(AU$1,$Z$2:$Z$18,$AB$2:$AB$18)-$U39)^2+(_xlfn.XLOOKUP(AU$1,$Z$2:$Z$18,$AC$2:$AC$18-$V39)^2)))</f>
        <v/>
      </c>
      <c r="AV39" s="152">
        <f t="array" ref="AV39">IF(AV$1=0,"",SQRT((_xlfn.XLOOKUP(AV$1,$Z$2:$Z$18,$AA$2:$AA$18)-$T39)^2+(_xlfn.XLOOKUP(AV$1,$Z$2:$Z$18,$AB$2:$AB$18)-$U39)^2+(_xlfn.XLOOKUP(AV$1,$Z$2:$Z$18,$AC$2:$AC$18-$V39)^2)))</f>
        <v/>
      </c>
      <c r="AW39" s="134" t="n"/>
      <c r="AX39" s="134" t="n"/>
      <c r="AY39" s="135">
        <f>IFERROR(-ABS(10*LOG10(($R39/(4*PI()*CONVERT(AH39,"ft","m")^2)))),0)</f>
        <v/>
      </c>
      <c r="AZ39" s="153">
        <f>IFERROR(-ABS(10*LOG10(($R39/(4*PI()*CONVERT(AI39,"ft","m")^2)))),0)</f>
        <v/>
      </c>
      <c r="BA39" s="153">
        <f>IFERROR(-ABS(10*LOG10(($R39/(4*PI()*CONVERT(AJ39,"ft","m")^2)))),0)</f>
        <v/>
      </c>
      <c r="BB39" s="153">
        <f>IFERROR(-ABS(10*LOG10(($R39/(4*PI()*CONVERT(AK39,"ft","m")^2)))),0)</f>
        <v/>
      </c>
      <c r="BC39" s="153">
        <f>IFERROR(-ABS(10*LOG10(($R39/(4*PI()*CONVERT(AL39,"ft","m")^2)))),0)</f>
        <v/>
      </c>
      <c r="BD39" s="153">
        <f>IFERROR(-ABS(10*LOG10(($R39/(4*PI()*CONVERT(AM39,"ft","m")^2)))),0)</f>
        <v/>
      </c>
      <c r="BE39" s="153">
        <f>IFERROR(-ABS(10*LOG10(($R39/(4*PI()*CONVERT(AN39,"ft","m")^2)))),0)</f>
        <v/>
      </c>
      <c r="BF39" s="153">
        <f>IFERROR(-ABS(10*LOG10(($R39/(4*PI()*CONVERT(AO39,"ft","m")^2)))),0)</f>
        <v/>
      </c>
      <c r="BG39" s="154">
        <f>IFERROR(-ABS(10*LOG10(($R39/(4*PI()*CONVERT(AP39,"ft","m")^2)))),0)</f>
        <v/>
      </c>
      <c r="BH39" s="154">
        <f>IFERROR(-ABS(10*LOG10(($R39/(4*PI()*CONVERT(AQ39,"ft","m")^2)))),0)</f>
        <v/>
      </c>
      <c r="BI39" s="154">
        <f>IFERROR(-ABS(10*LOG10(($R39/(4*PI()*CONVERT(AR39,"ft","m")^2)))),0)</f>
        <v/>
      </c>
      <c r="BJ39" s="154">
        <f>IFERROR(-ABS(10*LOG10(($R39/(4*PI()*CONVERT(AS39,"ft","m")^2)))),0)</f>
        <v/>
      </c>
      <c r="BK39" s="154">
        <f>IFERROR(-ABS(10*LOG10(($R39/(4*PI()*CONVERT(AT39,"ft","m")^2)))),0)</f>
        <v/>
      </c>
      <c r="BL39" s="154">
        <f>IFERROR(-ABS(10*LOG10(($R39/(4*PI()*CONVERT(AU39,"ft","m")^2)))),0)</f>
        <v/>
      </c>
      <c r="BM39" s="155">
        <f>IFERROR(-ABS(10*LOG10(($R39/(4*PI()*CONVERT(AV39,"ft","m")^2)))),0)</f>
        <v/>
      </c>
      <c r="BN39" s="134" t="n"/>
      <c r="BO39" s="56" t="n">
        <v>0</v>
      </c>
      <c r="BP39" s="56" t="n">
        <v>0</v>
      </c>
      <c r="BQ39" s="21" t="n"/>
      <c r="BR39" s="134" t="n"/>
      <c r="BS39" s="134" t="n"/>
      <c r="BT39" s="134" t="n"/>
      <c r="BU39" s="134" t="n"/>
      <c r="BV39" s="140" t="n"/>
      <c r="BW39" s="140" t="n"/>
      <c r="BX39" s="140" t="n"/>
      <c r="BY39" s="140" t="n"/>
      <c r="BZ39" s="140" t="n"/>
      <c r="CA39" s="140" t="n"/>
      <c r="CB39" s="140" t="n"/>
      <c r="CC39" s="140" t="n"/>
      <c r="CD39" s="140" t="n"/>
      <c r="CE39" s="140" t="n"/>
      <c r="CF39" s="140" t="n"/>
      <c r="CG39" s="140" t="n"/>
      <c r="CH39" s="140" t="n"/>
      <c r="CI39" s="140" t="n"/>
      <c r="CJ39" s="140" t="n"/>
      <c r="CK39" s="134" t="n"/>
      <c r="CL39" s="134" t="n"/>
      <c r="CM39" s="169">
        <f>IF( CM$1= 0,"",$Q39-$S39+AY39-BV39)</f>
        <v/>
      </c>
      <c r="CN39" s="170">
        <f>IF( CN$1= 0,"",$Q39-$S39+AZ39-BW39)</f>
        <v/>
      </c>
      <c r="CO39" s="170">
        <f>IF( CO$1= 0,"",$Q39-$S39+BA39-BX39)</f>
        <v/>
      </c>
      <c r="CP39" s="170">
        <f>IF( CP$1= 0,"",$Q39-$S39+BB39-BY39)</f>
        <v/>
      </c>
      <c r="CQ39" s="170">
        <f>IF( CQ$1= 0,"",$Q39-$S39+BC39-BZ39)</f>
        <v/>
      </c>
      <c r="CR39" s="170">
        <f>IF( CR$1= 0,"",$Q39-$S39+BD39-CA39)</f>
        <v/>
      </c>
      <c r="CS39" s="170">
        <f>IF( CS$1= 0,"",$Q39-$S39+BE39-CB39)</f>
        <v/>
      </c>
      <c r="CT39" s="170">
        <f>IF( CT$1= 0,"",$Q39-$S39+BF39-CC39)</f>
        <v/>
      </c>
      <c r="CU39" s="172">
        <f>IF( CU$1= 0,"",$Q39-$S39+BG39-CD39)</f>
        <v/>
      </c>
      <c r="CV39" s="172">
        <f>IF( CV$1= 0,"",$Q39-$S39+BH39-CE39)</f>
        <v/>
      </c>
      <c r="CW39" s="172">
        <f>IF( CW$1= 0,"",$Q39-$S39+BI39-CF39)</f>
        <v/>
      </c>
      <c r="CX39" s="172">
        <f>IF( CX$1= 0,"",$Q39-$S39+BJ39-CG39)</f>
        <v/>
      </c>
      <c r="CY39" s="172">
        <f>IF( CY$1= 0,"",$Q39-$S39+BK39-CH39)</f>
        <v/>
      </c>
      <c r="CZ39" s="172">
        <f>IF( CZ$1= 0,"",$Q39-$S39+BL39-CI39)</f>
        <v/>
      </c>
      <c r="DA39" s="173">
        <f>IF( DA$1= 0,"",$Q39-$S39+BM39-CJ39)</f>
        <v/>
      </c>
    </row>
    <row r="40" ht="16.5" customHeight="1">
      <c r="A40" s="145" t="n"/>
      <c r="B40" s="146" t="n"/>
      <c r="C40" s="146" t="n"/>
      <c r="D40" s="147" t="n"/>
      <c r="E40" s="205" t="n"/>
      <c r="F40" s="213" t="n"/>
      <c r="G40" s="214" t="n"/>
      <c r="H40" s="214" t="n"/>
      <c r="I40" s="214" t="n"/>
      <c r="J40" s="214" t="n"/>
      <c r="K40" s="214" t="n"/>
      <c r="L40" s="214" t="n"/>
      <c r="M40" s="218" t="n"/>
      <c r="N40" s="213" t="n"/>
      <c r="O40" s="215" t="n"/>
      <c r="P40" s="208" t="n"/>
      <c r="Q40" s="128">
        <f>ROUND(IF(AND(A40&gt;0, O40&gt;0), N40+ABS(10*LOG10(P40/(4*PI()*CONVERT(O40,"ft", "m")^2))), N40),0)</f>
        <v/>
      </c>
      <c r="R40" s="3" t="n"/>
      <c r="S40" s="3" t="n"/>
      <c r="T40" s="214" t="n"/>
      <c r="U40" s="214" t="n"/>
      <c r="V40" s="109">
        <f>SUM(W40:X40)</f>
        <v/>
      </c>
      <c r="W40" s="171" t="n"/>
      <c r="X40" s="148" t="n"/>
      <c r="Z40" s="115" t="inlineStr">
        <is>
          <t>bar17</t>
        </is>
      </c>
      <c r="AA40" s="113" t="n">
        <v>162.36</v>
      </c>
      <c r="AB40" s="52" t="n">
        <v>146.08</v>
      </c>
      <c r="AC40" s="106" t="n">
        <v>75.40000000000001</v>
      </c>
      <c r="AD40" s="52" t="n">
        <v>69.52</v>
      </c>
      <c r="AE40" s="52" t="n">
        <v>127.6</v>
      </c>
      <c r="AF40" s="53" t="n">
        <v>75.40000000000001</v>
      </c>
      <c r="AH40" s="168">
        <f t="array" ref="AH40">IF(AH$1=0,"",SQRT((_xlfn.XLOOKUP(AH$1,$Z$2:$Z$18,$AA$2:$AA$18)-$T40)^2+(_xlfn.XLOOKUP(AH$1,$Z$2:$Z$18,$AB$2:$AB$18)-$U40)^2+(_xlfn.XLOOKUP(AH$1,$Z$2:$Z$18,$AC$2:$AC$18-$V40)^2)))</f>
        <v/>
      </c>
      <c r="AI40" s="150">
        <f t="array" ref="AI40">IF(AI$1=0,"",SQRT((_xlfn.XLOOKUP(AI$1,$Z$2:$Z$18,$AA$2:$AA$18)-$T40)^2+(_xlfn.XLOOKUP(AI$1,$Z$2:$Z$18,$AB$2:$AB$18)-$U40)^2+(_xlfn.XLOOKUP(AI$1,$Z$2:$Z$18,$AC$2:$AC$18-$V40)^2)))</f>
        <v/>
      </c>
      <c r="AJ40" s="150">
        <f t="array" ref="AJ40">IF(AJ$1=0,"",SQRT((_xlfn.XLOOKUP(AJ$1,$Z$2:$Z$18,$AA$2:$AA$18)-$T40)^2+(_xlfn.XLOOKUP(AJ$1,$Z$2:$Z$18,$AB$2:$AB$18)-$U40)^2+(_xlfn.XLOOKUP(AJ$1,$Z$2:$Z$18,$AC$2:$AC$18-$V40)^2)))</f>
        <v/>
      </c>
      <c r="AK40" s="150">
        <f t="array" ref="AK40">IF(AK$1=0,"",SQRT((_xlfn.XLOOKUP(AK$1,$Z$2:$Z$18,$AA$2:$AA$18)-$T40)^2+(_xlfn.XLOOKUP(AK$1,$Z$2:$Z$18,$AB$2:$AB$18)-$U40)^2+(_xlfn.XLOOKUP(AK$1,$Z$2:$Z$18,$AC$2:$AC$18-$V40)^2)))</f>
        <v/>
      </c>
      <c r="AL40" s="150">
        <f t="array" ref="AL40">IF(AL$1=0,"",SQRT((_xlfn.XLOOKUP(AL$1,$Z$2:$Z$18,$AA$2:$AA$18)-$T40)^2+(_xlfn.XLOOKUP(AL$1,$Z$2:$Z$18,$AB$2:$AB$18)-$U40)^2+(_xlfn.XLOOKUP(AL$1,$Z$2:$Z$18,$AC$2:$AC$18-$V40)^2)))</f>
        <v/>
      </c>
      <c r="AM40" s="150">
        <f t="array" ref="AM40">IF(AM$1=0,"",SQRT((_xlfn.XLOOKUP(AM$1,$Z$2:$Z$18,$AA$2:$AA$18)-$T40)^2+(_xlfn.XLOOKUP(AM$1,$Z$2:$Z$18,$AB$2:$AB$18)-$U40)^2+(_xlfn.XLOOKUP(AM$1,$Z$2:$Z$18,$AC$2:$AC$18-$V40)^2)))</f>
        <v/>
      </c>
      <c r="AN40" s="150">
        <f t="array" ref="AN40">IF(AN$1=0,"",SQRT((_xlfn.XLOOKUP(AN$1,$Z$2:$Z$18,$AA$2:$AA$18)-$T40)^2+(_xlfn.XLOOKUP(AN$1,$Z$2:$Z$18,$AB$2:$AB$18)-$U40)^2+(_xlfn.XLOOKUP(AN$1,$Z$2:$Z$18,$AC$2:$AC$18-$V40)^2)))</f>
        <v/>
      </c>
      <c r="AO40" s="150">
        <f t="array" ref="AO40">IF(AO$1=0,"",SQRT((_xlfn.XLOOKUP(AO$1,$Z$2:$Z$18,$AA$2:$AA$18)-$T40)^2+(_xlfn.XLOOKUP(AO$1,$Z$2:$Z$18,$AB$2:$AB$18)-$U40)^2+(_xlfn.XLOOKUP(AO$1,$Z$2:$Z$18,$AC$2:$AC$18-$V40)^2)))</f>
        <v/>
      </c>
      <c r="AP40" s="151">
        <f t="array" ref="AP40">IF(AP$1=0,"",SQRT((_xlfn.XLOOKUP(AP$1,$Z$2:$Z$18,$AA$2:$AA$18)-$T40)^2+(_xlfn.XLOOKUP(AP$1,$Z$2:$Z$18,$AB$2:$AB$18)-$U40)^2+(_xlfn.XLOOKUP(AP$1,$Z$2:$Z$18,$AC$2:$AC$18-$V40)^2)))</f>
        <v/>
      </c>
      <c r="AQ40" s="151">
        <f t="array" ref="AQ40">IF(AQ$1=0,"",SQRT((_xlfn.XLOOKUP(AQ$1,$Z$2:$Z$18,$AA$2:$AA$18)-$T40)^2+(_xlfn.XLOOKUP(AQ$1,$Z$2:$Z$18,$AB$2:$AB$18)-$U40)^2+(_xlfn.XLOOKUP(AQ$1,$Z$2:$Z$18,$AC$2:$AC$18-$V40)^2)))</f>
        <v/>
      </c>
      <c r="AR40" s="151">
        <f t="array" ref="AR40">IF(AR$1=0,"",SQRT((_xlfn.XLOOKUP(AR$1,$Z$2:$Z$18,$AA$2:$AA$18)-$T40)^2+(_xlfn.XLOOKUP(AR$1,$Z$2:$Z$18,$AB$2:$AB$18)-$U40)^2+(_xlfn.XLOOKUP(AR$1,$Z$2:$Z$18,$AC$2:$AC$18-$V40)^2)))</f>
        <v/>
      </c>
      <c r="AS40" s="151">
        <f t="array" ref="AS40">IF(AS$1=0,"",SQRT((_xlfn.XLOOKUP(AS$1,$Z$2:$Z$18,$AA$2:$AA$18)-$T40)^2+(_xlfn.XLOOKUP(AS$1,$Z$2:$Z$18,$AB$2:$AB$18)-$U40)^2+(_xlfn.XLOOKUP(AS$1,$Z$2:$Z$18,$AC$2:$AC$18-$V40)^2)))</f>
        <v/>
      </c>
      <c r="AT40" s="151">
        <f t="array" ref="AT40">IF(AT$1=0,"",SQRT((_xlfn.XLOOKUP(AT$1,$Z$2:$Z$18,$AA$2:$AA$18)-$T40)^2+(_xlfn.XLOOKUP(AT$1,$Z$2:$Z$18,$AB$2:$AB$18)-$U40)^2+(_xlfn.XLOOKUP(AT$1,$Z$2:$Z$18,$AC$2:$AC$18-$V40)^2)))</f>
        <v/>
      </c>
      <c r="AU40" s="151">
        <f t="array" ref="AU40">IF(AU$1=0,"",SQRT((_xlfn.XLOOKUP(AU$1,$Z$2:$Z$18,$AA$2:$AA$18)-$T40)^2+(_xlfn.XLOOKUP(AU$1,$Z$2:$Z$18,$AB$2:$AB$18)-$U40)^2+(_xlfn.XLOOKUP(AU$1,$Z$2:$Z$18,$AC$2:$AC$18-$V40)^2)))</f>
        <v/>
      </c>
      <c r="AV40" s="152">
        <f t="array" ref="AV40">IF(AV$1=0,"",SQRT((_xlfn.XLOOKUP(AV$1,$Z$2:$Z$18,$AA$2:$AA$18)-$T40)^2+(_xlfn.XLOOKUP(AV$1,$Z$2:$Z$18,$AB$2:$AB$18)-$U40)^2+(_xlfn.XLOOKUP(AV$1,$Z$2:$Z$18,$AC$2:$AC$18-$V40)^2)))</f>
        <v/>
      </c>
      <c r="AW40" s="134" t="n"/>
      <c r="AX40" s="134" t="n"/>
      <c r="AY40" s="135">
        <f>IFERROR(-ABS(10*LOG10(($R40/(4*PI()*CONVERT(AH40,"ft","m")^2)))),0)</f>
        <v/>
      </c>
      <c r="AZ40" s="153">
        <f>IFERROR(-ABS(10*LOG10(($R40/(4*PI()*CONVERT(AI40,"ft","m")^2)))),0)</f>
        <v/>
      </c>
      <c r="BA40" s="153">
        <f>IFERROR(-ABS(10*LOG10(($R40/(4*PI()*CONVERT(AJ40,"ft","m")^2)))),0)</f>
        <v/>
      </c>
      <c r="BB40" s="153">
        <f>IFERROR(-ABS(10*LOG10(($R40/(4*PI()*CONVERT(AK40,"ft","m")^2)))),0)</f>
        <v/>
      </c>
      <c r="BC40" s="153">
        <f>IFERROR(-ABS(10*LOG10(($R40/(4*PI()*CONVERT(AL40,"ft","m")^2)))),0)</f>
        <v/>
      </c>
      <c r="BD40" s="153">
        <f>IFERROR(-ABS(10*LOG10(($R40/(4*PI()*CONVERT(AM40,"ft","m")^2)))),0)</f>
        <v/>
      </c>
      <c r="BE40" s="153">
        <f>IFERROR(-ABS(10*LOG10(($R40/(4*PI()*CONVERT(AN40,"ft","m")^2)))),0)</f>
        <v/>
      </c>
      <c r="BF40" s="153">
        <f>IFERROR(-ABS(10*LOG10(($R40/(4*PI()*CONVERT(AO40,"ft","m")^2)))),0)</f>
        <v/>
      </c>
      <c r="BG40" s="154">
        <f>IFERROR(-ABS(10*LOG10(($R40/(4*PI()*CONVERT(AP40,"ft","m")^2)))),0)</f>
        <v/>
      </c>
      <c r="BH40" s="154">
        <f>IFERROR(-ABS(10*LOG10(($R40/(4*PI()*CONVERT(AQ40,"ft","m")^2)))),0)</f>
        <v/>
      </c>
      <c r="BI40" s="154">
        <f>IFERROR(-ABS(10*LOG10(($R40/(4*PI()*CONVERT(AR40,"ft","m")^2)))),0)</f>
        <v/>
      </c>
      <c r="BJ40" s="154">
        <f>IFERROR(-ABS(10*LOG10(($R40/(4*PI()*CONVERT(AS40,"ft","m")^2)))),0)</f>
        <v/>
      </c>
      <c r="BK40" s="154">
        <f>IFERROR(-ABS(10*LOG10(($R40/(4*PI()*CONVERT(AT40,"ft","m")^2)))),0)</f>
        <v/>
      </c>
      <c r="BL40" s="154">
        <f>IFERROR(-ABS(10*LOG10(($R40/(4*PI()*CONVERT(AU40,"ft","m")^2)))),0)</f>
        <v/>
      </c>
      <c r="BM40" s="155">
        <f>IFERROR(-ABS(10*LOG10(($R40/(4*PI()*CONVERT(AV40,"ft","m")^2)))),0)</f>
        <v/>
      </c>
      <c r="BN40" s="134" t="n"/>
      <c r="BO40" s="56" t="n">
        <v>0.5</v>
      </c>
      <c r="BP40" s="56" t="n">
        <v>4</v>
      </c>
      <c r="BQ40" s="21" t="n"/>
      <c r="BR40" s="134" t="n"/>
      <c r="BS40" s="134" t="n"/>
      <c r="BT40" s="134" t="n"/>
      <c r="BU40" s="134" t="n"/>
      <c r="BV40" s="140" t="n"/>
      <c r="BW40" s="140" t="n"/>
      <c r="BX40" s="140" t="n"/>
      <c r="BY40" s="140" t="n"/>
      <c r="BZ40" s="140" t="n"/>
      <c r="CA40" s="140" t="n"/>
      <c r="CB40" s="140" t="n"/>
      <c r="CC40" s="140" t="n"/>
      <c r="CD40" s="140" t="n"/>
      <c r="CE40" s="140" t="n"/>
      <c r="CF40" s="140" t="n"/>
      <c r="CG40" s="140" t="n"/>
      <c r="CH40" s="140" t="n"/>
      <c r="CI40" s="140" t="n"/>
      <c r="CJ40" s="140" t="n"/>
      <c r="CK40" s="134" t="n"/>
      <c r="CL40" s="134" t="n"/>
      <c r="CM40" s="169">
        <f>IF( CM$1= 0,"",$Q40-$S40+AY40-BV40)</f>
        <v/>
      </c>
      <c r="CN40" s="170">
        <f>IF( CN$1= 0,"",$Q40-$S40+AZ40-BW40)</f>
        <v/>
      </c>
      <c r="CO40" s="170">
        <f>IF( CO$1= 0,"",$Q40-$S40+BA40-BX40)</f>
        <v/>
      </c>
      <c r="CP40" s="170">
        <f>IF( CP$1= 0,"",$Q40-$S40+BB40-BY40)</f>
        <v/>
      </c>
      <c r="CQ40" s="170">
        <f>IF( CQ$1= 0,"",$Q40-$S40+BC40-BZ40)</f>
        <v/>
      </c>
      <c r="CR40" s="170">
        <f>IF( CR$1= 0,"",$Q40-$S40+BD40-CA40)</f>
        <v/>
      </c>
      <c r="CS40" s="170">
        <f>IF( CS$1= 0,"",$Q40-$S40+BE40-CB40)</f>
        <v/>
      </c>
      <c r="CT40" s="170">
        <f>IF( CT$1= 0,"",$Q40-$S40+BF40-CC40)</f>
        <v/>
      </c>
      <c r="CU40" s="172">
        <f>IF( CU$1= 0,"",$Q40-$S40+BG40-CD40)</f>
        <v/>
      </c>
      <c r="CV40" s="172">
        <f>IF( CV$1= 0,"",$Q40-$S40+BH40-CE40)</f>
        <v/>
      </c>
      <c r="CW40" s="172">
        <f>IF( CW$1= 0,"",$Q40-$S40+BI40-CF40)</f>
        <v/>
      </c>
      <c r="CX40" s="172">
        <f>IF( CX$1= 0,"",$Q40-$S40+BJ40-CG40)</f>
        <v/>
      </c>
      <c r="CY40" s="172">
        <f>IF( CY$1= 0,"",$Q40-$S40+BK40-CH40)</f>
        <v/>
      </c>
      <c r="CZ40" s="172">
        <f>IF( CZ$1= 0,"",$Q40-$S40+BL40-CI40)</f>
        <v/>
      </c>
      <c r="DA40" s="173">
        <f>IF( DA$1= 0,"",$Q40-$S40+BM40-CJ40)</f>
        <v/>
      </c>
    </row>
    <row r="41" ht="16.5" customHeight="1">
      <c r="A41" s="145" t="n"/>
      <c r="B41" s="146" t="n"/>
      <c r="C41" s="146" t="n"/>
      <c r="D41" s="147" t="n"/>
      <c r="E41" s="205" t="n"/>
      <c r="F41" s="213" t="n"/>
      <c r="G41" s="214" t="n"/>
      <c r="H41" s="214" t="n"/>
      <c r="I41" s="214" t="n"/>
      <c r="J41" s="214" t="n"/>
      <c r="K41" s="214" t="n"/>
      <c r="L41" s="214" t="n"/>
      <c r="M41" s="218" t="n"/>
      <c r="N41" s="213" t="n"/>
      <c r="O41" s="215" t="n"/>
      <c r="P41" s="208" t="n"/>
      <c r="Q41" s="128">
        <f>ROUND(IF(AND(A41&gt;0, O41&gt;0), N41+ABS(10*LOG10(P41/(4*PI()*CONVERT(O41,"ft", "m")^2))), N41),0)</f>
        <v/>
      </c>
      <c r="R41" s="3" t="n"/>
      <c r="S41" s="3" t="n"/>
      <c r="T41" s="214" t="n"/>
      <c r="U41" s="214" t="n"/>
      <c r="V41" s="109">
        <f>SUM(W41:X41)</f>
        <v/>
      </c>
      <c r="W41" s="171" t="n"/>
      <c r="X41" s="148" t="n"/>
      <c r="Z41" s="115" t="inlineStr">
        <is>
          <t>bar18</t>
        </is>
      </c>
      <c r="AA41" s="113" t="n">
        <v>71.94</v>
      </c>
      <c r="AB41" s="52" t="n">
        <v>115.39</v>
      </c>
      <c r="AC41" s="106" t="n">
        <v>75.40000000000001</v>
      </c>
      <c r="AD41" s="52" t="n">
        <v>69.52</v>
      </c>
      <c r="AE41" s="52" t="n">
        <v>127.16</v>
      </c>
      <c r="AF41" s="53" t="n">
        <v>75.40000000000001</v>
      </c>
      <c r="AH41" s="168">
        <f t="array" ref="AH41">IF(AH$1=0,"",SQRT((_xlfn.XLOOKUP(AH$1,$Z$2:$Z$18,$AA$2:$AA$18)-$T41)^2+(_xlfn.XLOOKUP(AH$1,$Z$2:$Z$18,$AB$2:$AB$18)-$U41)^2+(_xlfn.XLOOKUP(AH$1,$Z$2:$Z$18,$AC$2:$AC$18-$V41)^2)))</f>
        <v/>
      </c>
      <c r="AI41" s="150">
        <f t="array" ref="AI41">IF(AI$1=0,"",SQRT((_xlfn.XLOOKUP(AI$1,$Z$2:$Z$18,$AA$2:$AA$18)-$T41)^2+(_xlfn.XLOOKUP(AI$1,$Z$2:$Z$18,$AB$2:$AB$18)-$U41)^2+(_xlfn.XLOOKUP(AI$1,$Z$2:$Z$18,$AC$2:$AC$18-$V41)^2)))</f>
        <v/>
      </c>
      <c r="AJ41" s="150">
        <f t="array" ref="AJ41">IF(AJ$1=0,"",SQRT((_xlfn.XLOOKUP(AJ$1,$Z$2:$Z$18,$AA$2:$AA$18)-$T41)^2+(_xlfn.XLOOKUP(AJ$1,$Z$2:$Z$18,$AB$2:$AB$18)-$U41)^2+(_xlfn.XLOOKUP(AJ$1,$Z$2:$Z$18,$AC$2:$AC$18-$V41)^2)))</f>
        <v/>
      </c>
      <c r="AK41" s="150">
        <f t="array" ref="AK41">IF(AK$1=0,"",SQRT((_xlfn.XLOOKUP(AK$1,$Z$2:$Z$18,$AA$2:$AA$18)-$T41)^2+(_xlfn.XLOOKUP(AK$1,$Z$2:$Z$18,$AB$2:$AB$18)-$U41)^2+(_xlfn.XLOOKUP(AK$1,$Z$2:$Z$18,$AC$2:$AC$18-$V41)^2)))</f>
        <v/>
      </c>
      <c r="AL41" s="150">
        <f t="array" ref="AL41">IF(AL$1=0,"",SQRT((_xlfn.XLOOKUP(AL$1,$Z$2:$Z$18,$AA$2:$AA$18)-$T41)^2+(_xlfn.XLOOKUP(AL$1,$Z$2:$Z$18,$AB$2:$AB$18)-$U41)^2+(_xlfn.XLOOKUP(AL$1,$Z$2:$Z$18,$AC$2:$AC$18-$V41)^2)))</f>
        <v/>
      </c>
      <c r="AM41" s="150">
        <f t="array" ref="AM41">IF(AM$1=0,"",SQRT((_xlfn.XLOOKUP(AM$1,$Z$2:$Z$18,$AA$2:$AA$18)-$T41)^2+(_xlfn.XLOOKUP(AM$1,$Z$2:$Z$18,$AB$2:$AB$18)-$U41)^2+(_xlfn.XLOOKUP(AM$1,$Z$2:$Z$18,$AC$2:$AC$18-$V41)^2)))</f>
        <v/>
      </c>
      <c r="AN41" s="150">
        <f t="array" ref="AN41">IF(AN$1=0,"",SQRT((_xlfn.XLOOKUP(AN$1,$Z$2:$Z$18,$AA$2:$AA$18)-$T41)^2+(_xlfn.XLOOKUP(AN$1,$Z$2:$Z$18,$AB$2:$AB$18)-$U41)^2+(_xlfn.XLOOKUP(AN$1,$Z$2:$Z$18,$AC$2:$AC$18-$V41)^2)))</f>
        <v/>
      </c>
      <c r="AO41" s="150">
        <f t="array" ref="AO41">IF(AO$1=0,"",SQRT((_xlfn.XLOOKUP(AO$1,$Z$2:$Z$18,$AA$2:$AA$18)-$T41)^2+(_xlfn.XLOOKUP(AO$1,$Z$2:$Z$18,$AB$2:$AB$18)-$U41)^2+(_xlfn.XLOOKUP(AO$1,$Z$2:$Z$18,$AC$2:$AC$18-$V41)^2)))</f>
        <v/>
      </c>
      <c r="AP41" s="151">
        <f t="array" ref="AP41">IF(AP$1=0,"",SQRT((_xlfn.XLOOKUP(AP$1,$Z$2:$Z$18,$AA$2:$AA$18)-$T41)^2+(_xlfn.XLOOKUP(AP$1,$Z$2:$Z$18,$AB$2:$AB$18)-$U41)^2+(_xlfn.XLOOKUP(AP$1,$Z$2:$Z$18,$AC$2:$AC$18-$V41)^2)))</f>
        <v/>
      </c>
      <c r="AQ41" s="151">
        <f t="array" ref="AQ41">IF(AQ$1=0,"",SQRT((_xlfn.XLOOKUP(AQ$1,$Z$2:$Z$18,$AA$2:$AA$18)-$T41)^2+(_xlfn.XLOOKUP(AQ$1,$Z$2:$Z$18,$AB$2:$AB$18)-$U41)^2+(_xlfn.XLOOKUP(AQ$1,$Z$2:$Z$18,$AC$2:$AC$18-$V41)^2)))</f>
        <v/>
      </c>
      <c r="AR41" s="151">
        <f t="array" ref="AR41">IF(AR$1=0,"",SQRT((_xlfn.XLOOKUP(AR$1,$Z$2:$Z$18,$AA$2:$AA$18)-$T41)^2+(_xlfn.XLOOKUP(AR$1,$Z$2:$Z$18,$AB$2:$AB$18)-$U41)^2+(_xlfn.XLOOKUP(AR$1,$Z$2:$Z$18,$AC$2:$AC$18-$V41)^2)))</f>
        <v/>
      </c>
      <c r="AS41" s="151">
        <f t="array" ref="AS41">IF(AS$1=0,"",SQRT((_xlfn.XLOOKUP(AS$1,$Z$2:$Z$18,$AA$2:$AA$18)-$T41)^2+(_xlfn.XLOOKUP(AS$1,$Z$2:$Z$18,$AB$2:$AB$18)-$U41)^2+(_xlfn.XLOOKUP(AS$1,$Z$2:$Z$18,$AC$2:$AC$18-$V41)^2)))</f>
        <v/>
      </c>
      <c r="AT41" s="151">
        <f t="array" ref="AT41">IF(AT$1=0,"",SQRT((_xlfn.XLOOKUP(AT$1,$Z$2:$Z$18,$AA$2:$AA$18)-$T41)^2+(_xlfn.XLOOKUP(AT$1,$Z$2:$Z$18,$AB$2:$AB$18)-$U41)^2+(_xlfn.XLOOKUP(AT$1,$Z$2:$Z$18,$AC$2:$AC$18-$V41)^2)))</f>
        <v/>
      </c>
      <c r="AU41" s="151">
        <f t="array" ref="AU41">IF(AU$1=0,"",SQRT((_xlfn.XLOOKUP(AU$1,$Z$2:$Z$18,$AA$2:$AA$18)-$T41)^2+(_xlfn.XLOOKUP(AU$1,$Z$2:$Z$18,$AB$2:$AB$18)-$U41)^2+(_xlfn.XLOOKUP(AU$1,$Z$2:$Z$18,$AC$2:$AC$18-$V41)^2)))</f>
        <v/>
      </c>
      <c r="AV41" s="152">
        <f t="array" ref="AV41">IF(AV$1=0,"",SQRT((_xlfn.XLOOKUP(AV$1,$Z$2:$Z$18,$AA$2:$AA$18)-$T41)^2+(_xlfn.XLOOKUP(AV$1,$Z$2:$Z$18,$AB$2:$AB$18)-$U41)^2+(_xlfn.XLOOKUP(AV$1,$Z$2:$Z$18,$AC$2:$AC$18-$V41)^2)))</f>
        <v/>
      </c>
      <c r="AW41" s="134" t="n"/>
      <c r="AX41" s="134" t="n"/>
      <c r="AY41" s="135">
        <f>IFERROR(-ABS(10*LOG10(($R41/(4*PI()*CONVERT(AH41,"ft","m")^2)))),0)</f>
        <v/>
      </c>
      <c r="AZ41" s="153">
        <f>IFERROR(-ABS(10*LOG10(($R41/(4*PI()*CONVERT(AI41,"ft","m")^2)))),0)</f>
        <v/>
      </c>
      <c r="BA41" s="153">
        <f>IFERROR(-ABS(10*LOG10(($R41/(4*PI()*CONVERT(AJ41,"ft","m")^2)))),0)</f>
        <v/>
      </c>
      <c r="BB41" s="153">
        <f>IFERROR(-ABS(10*LOG10(($R41/(4*PI()*CONVERT(AK41,"ft","m")^2)))),0)</f>
        <v/>
      </c>
      <c r="BC41" s="153">
        <f>IFERROR(-ABS(10*LOG10(($R41/(4*PI()*CONVERT(AL41,"ft","m")^2)))),0)</f>
        <v/>
      </c>
      <c r="BD41" s="153">
        <f>IFERROR(-ABS(10*LOG10(($R41/(4*PI()*CONVERT(AM41,"ft","m")^2)))),0)</f>
        <v/>
      </c>
      <c r="BE41" s="153">
        <f>IFERROR(-ABS(10*LOG10(($R41/(4*PI()*CONVERT(AN41,"ft","m")^2)))),0)</f>
        <v/>
      </c>
      <c r="BF41" s="153">
        <f>IFERROR(-ABS(10*LOG10(($R41/(4*PI()*CONVERT(AO41,"ft","m")^2)))),0)</f>
        <v/>
      </c>
      <c r="BG41" s="154">
        <f>IFERROR(-ABS(10*LOG10(($R41/(4*PI()*CONVERT(AP41,"ft","m")^2)))),0)</f>
        <v/>
      </c>
      <c r="BH41" s="154">
        <f>IFERROR(-ABS(10*LOG10(($R41/(4*PI()*CONVERT(AQ41,"ft","m")^2)))),0)</f>
        <v/>
      </c>
      <c r="BI41" s="154">
        <f>IFERROR(-ABS(10*LOG10(($R41/(4*PI()*CONVERT(AR41,"ft","m")^2)))),0)</f>
        <v/>
      </c>
      <c r="BJ41" s="154">
        <f>IFERROR(-ABS(10*LOG10(($R41/(4*PI()*CONVERT(AS41,"ft","m")^2)))),0)</f>
        <v/>
      </c>
      <c r="BK41" s="154">
        <f>IFERROR(-ABS(10*LOG10(($R41/(4*PI()*CONVERT(AT41,"ft","m")^2)))),0)</f>
        <v/>
      </c>
      <c r="BL41" s="154">
        <f>IFERROR(-ABS(10*LOG10(($R41/(4*PI()*CONVERT(AU41,"ft","m")^2)))),0)</f>
        <v/>
      </c>
      <c r="BM41" s="155">
        <f>IFERROR(-ABS(10*LOG10(($R41/(4*PI()*CONVERT(AV41,"ft","m")^2)))),0)</f>
        <v/>
      </c>
      <c r="BN41" s="134" t="n"/>
      <c r="BO41" s="56" t="n">
        <v>1</v>
      </c>
      <c r="BP41" s="56" t="n">
        <v>7</v>
      </c>
      <c r="BQ41" s="21" t="n"/>
      <c r="BR41" s="134" t="n"/>
      <c r="BS41" s="134" t="n"/>
      <c r="BT41" s="134" t="n"/>
      <c r="BU41" s="134" t="n"/>
      <c r="BV41" s="140" t="n"/>
      <c r="BW41" s="140" t="n"/>
      <c r="BX41" s="140" t="n"/>
      <c r="BY41" s="140" t="n"/>
      <c r="BZ41" s="140" t="n"/>
      <c r="CA41" s="140" t="n"/>
      <c r="CB41" s="140" t="n"/>
      <c r="CC41" s="140" t="n"/>
      <c r="CD41" s="140" t="n"/>
      <c r="CE41" s="140" t="n"/>
      <c r="CF41" s="140" t="n"/>
      <c r="CG41" s="140" t="n"/>
      <c r="CH41" s="140" t="n"/>
      <c r="CI41" s="140" t="n"/>
      <c r="CJ41" s="140" t="n"/>
      <c r="CK41" s="134" t="n"/>
      <c r="CL41" s="134" t="n"/>
      <c r="CM41" s="169">
        <f>IF( CM$1= 0,"",$Q41-$S41+AY41-BV41)</f>
        <v/>
      </c>
      <c r="CN41" s="170">
        <f>IF( CN$1= 0,"",$Q41-$S41+AZ41-BW41)</f>
        <v/>
      </c>
      <c r="CO41" s="170">
        <f>IF( CO$1= 0,"",$Q41-$S41+BA41-BX41)</f>
        <v/>
      </c>
      <c r="CP41" s="170">
        <f>IF( CP$1= 0,"",$Q41-$S41+BB41-BY41)</f>
        <v/>
      </c>
      <c r="CQ41" s="170">
        <f>IF( CQ$1= 0,"",$Q41-$S41+BC41-BZ41)</f>
        <v/>
      </c>
      <c r="CR41" s="170">
        <f>IF( CR$1= 0,"",$Q41-$S41+BD41-CA41)</f>
        <v/>
      </c>
      <c r="CS41" s="170">
        <f>IF( CS$1= 0,"",$Q41-$S41+BE41-CB41)</f>
        <v/>
      </c>
      <c r="CT41" s="170">
        <f>IF( CT$1= 0,"",$Q41-$S41+BF41-CC41)</f>
        <v/>
      </c>
      <c r="CU41" s="172">
        <f>IF( CU$1= 0,"",$Q41-$S41+BG41-CD41)</f>
        <v/>
      </c>
      <c r="CV41" s="172">
        <f>IF( CV$1= 0,"",$Q41-$S41+BH41-CE41)</f>
        <v/>
      </c>
      <c r="CW41" s="172">
        <f>IF( CW$1= 0,"",$Q41-$S41+BI41-CF41)</f>
        <v/>
      </c>
      <c r="CX41" s="172">
        <f>IF( CX$1= 0,"",$Q41-$S41+BJ41-CG41)</f>
        <v/>
      </c>
      <c r="CY41" s="172">
        <f>IF( CY$1= 0,"",$Q41-$S41+BK41-CH41)</f>
        <v/>
      </c>
      <c r="CZ41" s="172">
        <f>IF( CZ$1= 0,"",$Q41-$S41+BL41-CI41)</f>
        <v/>
      </c>
      <c r="DA41" s="173">
        <f>IF( DA$1= 0,"",$Q41-$S41+BM41-CJ41)</f>
        <v/>
      </c>
    </row>
    <row r="42" ht="16.5" customHeight="1">
      <c r="A42" s="145" t="n"/>
      <c r="B42" s="146" t="n"/>
      <c r="C42" s="146" t="n"/>
      <c r="D42" s="147" t="n"/>
      <c r="E42" s="205" t="n"/>
      <c r="F42" s="213" t="n"/>
      <c r="G42" s="214" t="n"/>
      <c r="H42" s="214" t="n"/>
      <c r="I42" s="214" t="n"/>
      <c r="J42" s="214" t="n"/>
      <c r="K42" s="214" t="n"/>
      <c r="L42" s="214" t="n"/>
      <c r="M42" s="218" t="n"/>
      <c r="N42" s="213" t="n"/>
      <c r="O42" s="215" t="n"/>
      <c r="P42" s="208" t="n"/>
      <c r="Q42" s="128">
        <f>ROUND(IF(AND(A42&gt;0, O42&gt;0), N42+ABS(10*LOG10(P42/(4*PI()*CONVERT(O42,"ft", "m")^2))), N42),0)</f>
        <v/>
      </c>
      <c r="R42" s="3" t="n"/>
      <c r="S42" s="3" t="n"/>
      <c r="T42" s="214" t="n"/>
      <c r="U42" s="214" t="n"/>
      <c r="V42" s="109">
        <f>SUM(W42:X42)</f>
        <v/>
      </c>
      <c r="W42" s="171" t="n"/>
      <c r="X42" s="148" t="n"/>
      <c r="Z42" s="115" t="inlineStr">
        <is>
          <t>bar19</t>
        </is>
      </c>
      <c r="AA42" s="113" t="n">
        <v>64.45999999999999</v>
      </c>
      <c r="AB42" s="52" t="n">
        <v>114.18</v>
      </c>
      <c r="AC42" s="106" t="n">
        <v>75.40000000000001</v>
      </c>
      <c r="AD42" s="52" t="n">
        <v>71.83</v>
      </c>
      <c r="AE42" s="52" t="n">
        <v>115.72</v>
      </c>
      <c r="AF42" s="53" t="n">
        <v>75.40000000000001</v>
      </c>
      <c r="AH42" s="168">
        <f t="array" ref="AH42">IF(AH$1=0,"",SQRT((_xlfn.XLOOKUP(AH$1,$Z$2:$Z$18,$AA$2:$AA$18)-$T42)^2+(_xlfn.XLOOKUP(AH$1,$Z$2:$Z$18,$AB$2:$AB$18)-$U42)^2+(_xlfn.XLOOKUP(AH$1,$Z$2:$Z$18,$AC$2:$AC$18-$V42)^2)))</f>
        <v/>
      </c>
      <c r="AI42" s="150">
        <f t="array" ref="AI42">IF(AI$1=0,"",SQRT((_xlfn.XLOOKUP(AI$1,$Z$2:$Z$18,$AA$2:$AA$18)-$T42)^2+(_xlfn.XLOOKUP(AI$1,$Z$2:$Z$18,$AB$2:$AB$18)-$U42)^2+(_xlfn.XLOOKUP(AI$1,$Z$2:$Z$18,$AC$2:$AC$18-$V42)^2)))</f>
        <v/>
      </c>
      <c r="AJ42" s="150">
        <f t="array" ref="AJ42">IF(AJ$1=0,"",SQRT((_xlfn.XLOOKUP(AJ$1,$Z$2:$Z$18,$AA$2:$AA$18)-$T42)^2+(_xlfn.XLOOKUP(AJ$1,$Z$2:$Z$18,$AB$2:$AB$18)-$U42)^2+(_xlfn.XLOOKUP(AJ$1,$Z$2:$Z$18,$AC$2:$AC$18-$V42)^2)))</f>
        <v/>
      </c>
      <c r="AK42" s="150">
        <f t="array" ref="AK42">IF(AK$1=0,"",SQRT((_xlfn.XLOOKUP(AK$1,$Z$2:$Z$18,$AA$2:$AA$18)-$T42)^2+(_xlfn.XLOOKUP(AK$1,$Z$2:$Z$18,$AB$2:$AB$18)-$U42)^2+(_xlfn.XLOOKUP(AK$1,$Z$2:$Z$18,$AC$2:$AC$18-$V42)^2)))</f>
        <v/>
      </c>
      <c r="AL42" s="150">
        <f t="array" ref="AL42">IF(AL$1=0,"",SQRT((_xlfn.XLOOKUP(AL$1,$Z$2:$Z$18,$AA$2:$AA$18)-$T42)^2+(_xlfn.XLOOKUP(AL$1,$Z$2:$Z$18,$AB$2:$AB$18)-$U42)^2+(_xlfn.XLOOKUP(AL$1,$Z$2:$Z$18,$AC$2:$AC$18-$V42)^2)))</f>
        <v/>
      </c>
      <c r="AM42" s="150">
        <f t="array" ref="AM42">IF(AM$1=0,"",SQRT((_xlfn.XLOOKUP(AM$1,$Z$2:$Z$18,$AA$2:$AA$18)-$T42)^2+(_xlfn.XLOOKUP(AM$1,$Z$2:$Z$18,$AB$2:$AB$18)-$U42)^2+(_xlfn.XLOOKUP(AM$1,$Z$2:$Z$18,$AC$2:$AC$18-$V42)^2)))</f>
        <v/>
      </c>
      <c r="AN42" s="150">
        <f t="array" ref="AN42">IF(AN$1=0,"",SQRT((_xlfn.XLOOKUP(AN$1,$Z$2:$Z$18,$AA$2:$AA$18)-$T42)^2+(_xlfn.XLOOKUP(AN$1,$Z$2:$Z$18,$AB$2:$AB$18)-$U42)^2+(_xlfn.XLOOKUP(AN$1,$Z$2:$Z$18,$AC$2:$AC$18-$V42)^2)))</f>
        <v/>
      </c>
      <c r="AO42" s="150">
        <f t="array" ref="AO42">IF(AO$1=0,"",SQRT((_xlfn.XLOOKUP(AO$1,$Z$2:$Z$18,$AA$2:$AA$18)-$T42)^2+(_xlfn.XLOOKUP(AO$1,$Z$2:$Z$18,$AB$2:$AB$18)-$U42)^2+(_xlfn.XLOOKUP(AO$1,$Z$2:$Z$18,$AC$2:$AC$18-$V42)^2)))</f>
        <v/>
      </c>
      <c r="AP42" s="151">
        <f t="array" ref="AP42">IF(AP$1=0,"",SQRT((_xlfn.XLOOKUP(AP$1,$Z$2:$Z$18,$AA$2:$AA$18)-$T42)^2+(_xlfn.XLOOKUP(AP$1,$Z$2:$Z$18,$AB$2:$AB$18)-$U42)^2+(_xlfn.XLOOKUP(AP$1,$Z$2:$Z$18,$AC$2:$AC$18-$V42)^2)))</f>
        <v/>
      </c>
      <c r="AQ42" s="151">
        <f t="array" ref="AQ42">IF(AQ$1=0,"",SQRT((_xlfn.XLOOKUP(AQ$1,$Z$2:$Z$18,$AA$2:$AA$18)-$T42)^2+(_xlfn.XLOOKUP(AQ$1,$Z$2:$Z$18,$AB$2:$AB$18)-$U42)^2+(_xlfn.XLOOKUP(AQ$1,$Z$2:$Z$18,$AC$2:$AC$18-$V42)^2)))</f>
        <v/>
      </c>
      <c r="AR42" s="151">
        <f t="array" ref="AR42">IF(AR$1=0,"",SQRT((_xlfn.XLOOKUP(AR$1,$Z$2:$Z$18,$AA$2:$AA$18)-$T42)^2+(_xlfn.XLOOKUP(AR$1,$Z$2:$Z$18,$AB$2:$AB$18)-$U42)^2+(_xlfn.XLOOKUP(AR$1,$Z$2:$Z$18,$AC$2:$AC$18-$V42)^2)))</f>
        <v/>
      </c>
      <c r="AS42" s="151">
        <f t="array" ref="AS42">IF(AS$1=0,"",SQRT((_xlfn.XLOOKUP(AS$1,$Z$2:$Z$18,$AA$2:$AA$18)-$T42)^2+(_xlfn.XLOOKUP(AS$1,$Z$2:$Z$18,$AB$2:$AB$18)-$U42)^2+(_xlfn.XLOOKUP(AS$1,$Z$2:$Z$18,$AC$2:$AC$18-$V42)^2)))</f>
        <v/>
      </c>
      <c r="AT42" s="151">
        <f t="array" ref="AT42">IF(AT$1=0,"",SQRT((_xlfn.XLOOKUP(AT$1,$Z$2:$Z$18,$AA$2:$AA$18)-$T42)^2+(_xlfn.XLOOKUP(AT$1,$Z$2:$Z$18,$AB$2:$AB$18)-$U42)^2+(_xlfn.XLOOKUP(AT$1,$Z$2:$Z$18,$AC$2:$AC$18-$V42)^2)))</f>
        <v/>
      </c>
      <c r="AU42" s="151">
        <f t="array" ref="AU42">IF(AU$1=0,"",SQRT((_xlfn.XLOOKUP(AU$1,$Z$2:$Z$18,$AA$2:$AA$18)-$T42)^2+(_xlfn.XLOOKUP(AU$1,$Z$2:$Z$18,$AB$2:$AB$18)-$U42)^2+(_xlfn.XLOOKUP(AU$1,$Z$2:$Z$18,$AC$2:$AC$18-$V42)^2)))</f>
        <v/>
      </c>
      <c r="AV42" s="152">
        <f t="array" ref="AV42">IF(AV$1=0,"",SQRT((_xlfn.XLOOKUP(AV$1,$Z$2:$Z$18,$AA$2:$AA$18)-$T42)^2+(_xlfn.XLOOKUP(AV$1,$Z$2:$Z$18,$AB$2:$AB$18)-$U42)^2+(_xlfn.XLOOKUP(AV$1,$Z$2:$Z$18,$AC$2:$AC$18-$V42)^2)))</f>
        <v/>
      </c>
      <c r="AW42" s="134" t="n"/>
      <c r="AX42" s="134" t="n"/>
      <c r="AY42" s="135">
        <f>IFERROR(-ABS(10*LOG10(($R42/(4*PI()*CONVERT(AH42,"ft","m")^2)))),0)</f>
        <v/>
      </c>
      <c r="AZ42" s="153">
        <f>IFERROR(-ABS(10*LOG10(($R42/(4*PI()*CONVERT(AI42,"ft","m")^2)))),0)</f>
        <v/>
      </c>
      <c r="BA42" s="153">
        <f>IFERROR(-ABS(10*LOG10(($R42/(4*PI()*CONVERT(AJ42,"ft","m")^2)))),0)</f>
        <v/>
      </c>
      <c r="BB42" s="153">
        <f>IFERROR(-ABS(10*LOG10(($R42/(4*PI()*CONVERT(AK42,"ft","m")^2)))),0)</f>
        <v/>
      </c>
      <c r="BC42" s="153">
        <f>IFERROR(-ABS(10*LOG10(($R42/(4*PI()*CONVERT(AL42,"ft","m")^2)))),0)</f>
        <v/>
      </c>
      <c r="BD42" s="153">
        <f>IFERROR(-ABS(10*LOG10(($R42/(4*PI()*CONVERT(AM42,"ft","m")^2)))),0)</f>
        <v/>
      </c>
      <c r="BE42" s="153">
        <f>IFERROR(-ABS(10*LOG10(($R42/(4*PI()*CONVERT(AN42,"ft","m")^2)))),0)</f>
        <v/>
      </c>
      <c r="BF42" s="153">
        <f>IFERROR(-ABS(10*LOG10(($R42/(4*PI()*CONVERT(AO42,"ft","m")^2)))),0)</f>
        <v/>
      </c>
      <c r="BG42" s="154">
        <f>IFERROR(-ABS(10*LOG10(($R42/(4*PI()*CONVERT(AP42,"ft","m")^2)))),0)</f>
        <v/>
      </c>
      <c r="BH42" s="154">
        <f>IFERROR(-ABS(10*LOG10(($R42/(4*PI()*CONVERT(AQ42,"ft","m")^2)))),0)</f>
        <v/>
      </c>
      <c r="BI42" s="154">
        <f>IFERROR(-ABS(10*LOG10(($R42/(4*PI()*CONVERT(AR42,"ft","m")^2)))),0)</f>
        <v/>
      </c>
      <c r="BJ42" s="154">
        <f>IFERROR(-ABS(10*LOG10(($R42/(4*PI()*CONVERT(AS42,"ft","m")^2)))),0)</f>
        <v/>
      </c>
      <c r="BK42" s="154">
        <f>IFERROR(-ABS(10*LOG10(($R42/(4*PI()*CONVERT(AT42,"ft","m")^2)))),0)</f>
        <v/>
      </c>
      <c r="BL42" s="154">
        <f>IFERROR(-ABS(10*LOG10(($R42/(4*PI()*CONVERT(AU42,"ft","m")^2)))),0)</f>
        <v/>
      </c>
      <c r="BM42" s="155">
        <f>IFERROR(-ABS(10*LOG10(($R42/(4*PI()*CONVERT(AV42,"ft","m")^2)))),0)</f>
        <v/>
      </c>
      <c r="BN42" s="134" t="n"/>
      <c r="BO42" s="56" t="n">
        <v>2</v>
      </c>
      <c r="BP42" s="56" t="n">
        <v>10</v>
      </c>
      <c r="BQ42" s="21" t="n"/>
      <c r="BR42" s="134" t="n"/>
      <c r="BS42" s="134" t="n"/>
      <c r="BT42" s="134" t="n"/>
      <c r="BU42" s="134" t="n"/>
      <c r="BV42" s="140" t="n"/>
      <c r="BW42" s="140" t="n"/>
      <c r="BX42" s="140" t="n"/>
      <c r="BY42" s="140" t="n"/>
      <c r="BZ42" s="140" t="n"/>
      <c r="CA42" s="140" t="n"/>
      <c r="CB42" s="140" t="n"/>
      <c r="CC42" s="140" t="n"/>
      <c r="CD42" s="140" t="n"/>
      <c r="CE42" s="140" t="n"/>
      <c r="CF42" s="140" t="n"/>
      <c r="CG42" s="140" t="n"/>
      <c r="CH42" s="140" t="n"/>
      <c r="CI42" s="140" t="n"/>
      <c r="CJ42" s="140" t="n"/>
      <c r="CK42" s="134" t="n"/>
      <c r="CL42" s="134" t="n"/>
      <c r="CM42" s="169">
        <f>IF( CM$1= 0,"",$Q42-$S42+AY42-BV42)</f>
        <v/>
      </c>
      <c r="CN42" s="170">
        <f>IF( CN$1= 0,"",$Q42-$S42+AZ42-BW42)</f>
        <v/>
      </c>
      <c r="CO42" s="170">
        <f>IF( CO$1= 0,"",$Q42-$S42+BA42-BX42)</f>
        <v/>
      </c>
      <c r="CP42" s="170">
        <f>IF( CP$1= 0,"",$Q42-$S42+BB42-BY42)</f>
        <v/>
      </c>
      <c r="CQ42" s="170">
        <f>IF( CQ$1= 0,"",$Q42-$S42+BC42-BZ42)</f>
        <v/>
      </c>
      <c r="CR42" s="170">
        <f>IF( CR$1= 0,"",$Q42-$S42+BD42-CA42)</f>
        <v/>
      </c>
      <c r="CS42" s="170">
        <f>IF( CS$1= 0,"",$Q42-$S42+BE42-CB42)</f>
        <v/>
      </c>
      <c r="CT42" s="170">
        <f>IF( CT$1= 0,"",$Q42-$S42+BF42-CC42)</f>
        <v/>
      </c>
      <c r="CU42" s="172">
        <f>IF( CU$1= 0,"",$Q42-$S42+BG42-CD42)</f>
        <v/>
      </c>
      <c r="CV42" s="172">
        <f>IF( CV$1= 0,"",$Q42-$S42+BH42-CE42)</f>
        <v/>
      </c>
      <c r="CW42" s="172">
        <f>IF( CW$1= 0,"",$Q42-$S42+BI42-CF42)</f>
        <v/>
      </c>
      <c r="CX42" s="172">
        <f>IF( CX$1= 0,"",$Q42-$S42+BJ42-CG42)</f>
        <v/>
      </c>
      <c r="CY42" s="172">
        <f>IF( CY$1= 0,"",$Q42-$S42+BK42-CH42)</f>
        <v/>
      </c>
      <c r="CZ42" s="172">
        <f>IF( CZ$1= 0,"",$Q42-$S42+BL42-CI42)</f>
        <v/>
      </c>
      <c r="DA42" s="173">
        <f>IF( DA$1= 0,"",$Q42-$S42+BM42-CJ42)</f>
        <v/>
      </c>
    </row>
    <row r="43" ht="16.5" customHeight="1">
      <c r="A43" s="145" t="n"/>
      <c r="B43" s="146" t="n"/>
      <c r="C43" s="146" t="n"/>
      <c r="D43" s="147" t="n"/>
      <c r="E43" s="205" t="n"/>
      <c r="F43" s="213" t="n"/>
      <c r="G43" s="214" t="n"/>
      <c r="H43" s="214" t="n"/>
      <c r="I43" s="214" t="n"/>
      <c r="J43" s="214" t="n"/>
      <c r="K43" s="214" t="n"/>
      <c r="L43" s="214" t="n"/>
      <c r="M43" s="218" t="n"/>
      <c r="N43" s="213" t="n"/>
      <c r="O43" s="215" t="n"/>
      <c r="P43" s="208" t="n"/>
      <c r="Q43" s="128">
        <f>ROUND(IF(AND(A43&gt;0, O43&gt;0), N43+ABS(10*LOG10(P43/(4*PI()*CONVERT(O43,"ft", "m")^2))), N43),0)</f>
        <v/>
      </c>
      <c r="R43" s="3" t="n"/>
      <c r="S43" s="3" t="n"/>
      <c r="T43" s="214" t="n"/>
      <c r="U43" s="214" t="n"/>
      <c r="V43" s="109">
        <f>SUM(W43:X43)</f>
        <v/>
      </c>
      <c r="W43" s="171" t="n"/>
      <c r="X43" s="148" t="n"/>
      <c r="Z43" s="115" t="inlineStr">
        <is>
          <t>bar20</t>
        </is>
      </c>
      <c r="AA43" s="113" t="n">
        <v>64.23999999999999</v>
      </c>
      <c r="AB43" s="52" t="n">
        <v>114.29</v>
      </c>
      <c r="AC43" s="106" t="n">
        <v>75.40000000000001</v>
      </c>
      <c r="AD43" s="52" t="n">
        <v>67.76000000000001</v>
      </c>
      <c r="AE43" s="52" t="n">
        <v>96.8</v>
      </c>
      <c r="AF43" s="53" t="n">
        <v>75.40000000000001</v>
      </c>
      <c r="AH43" s="168">
        <f t="array" ref="AH43">IF(AH$1=0,"",SQRT((_xlfn.XLOOKUP(AH$1,$Z$2:$Z$18,$AA$2:$AA$18)-$T43)^2+(_xlfn.XLOOKUP(AH$1,$Z$2:$Z$18,$AB$2:$AB$18)-$U43)^2+(_xlfn.XLOOKUP(AH$1,$Z$2:$Z$18,$AC$2:$AC$18-$V43)^2)))</f>
        <v/>
      </c>
      <c r="AI43" s="150">
        <f t="array" ref="AI43">IF(AI$1=0,"",SQRT((_xlfn.XLOOKUP(AI$1,$Z$2:$Z$18,$AA$2:$AA$18)-$T43)^2+(_xlfn.XLOOKUP(AI$1,$Z$2:$Z$18,$AB$2:$AB$18)-$U43)^2+(_xlfn.XLOOKUP(AI$1,$Z$2:$Z$18,$AC$2:$AC$18-$V43)^2)))</f>
        <v/>
      </c>
      <c r="AJ43" s="150">
        <f t="array" ref="AJ43">IF(AJ$1=0,"",SQRT((_xlfn.XLOOKUP(AJ$1,$Z$2:$Z$18,$AA$2:$AA$18)-$T43)^2+(_xlfn.XLOOKUP(AJ$1,$Z$2:$Z$18,$AB$2:$AB$18)-$U43)^2+(_xlfn.XLOOKUP(AJ$1,$Z$2:$Z$18,$AC$2:$AC$18-$V43)^2)))</f>
        <v/>
      </c>
      <c r="AK43" s="150">
        <f t="array" ref="AK43">IF(AK$1=0,"",SQRT((_xlfn.XLOOKUP(AK$1,$Z$2:$Z$18,$AA$2:$AA$18)-$T43)^2+(_xlfn.XLOOKUP(AK$1,$Z$2:$Z$18,$AB$2:$AB$18)-$U43)^2+(_xlfn.XLOOKUP(AK$1,$Z$2:$Z$18,$AC$2:$AC$18-$V43)^2)))</f>
        <v/>
      </c>
      <c r="AL43" s="150">
        <f t="array" ref="AL43">IF(AL$1=0,"",SQRT((_xlfn.XLOOKUP(AL$1,$Z$2:$Z$18,$AA$2:$AA$18)-$T43)^2+(_xlfn.XLOOKUP(AL$1,$Z$2:$Z$18,$AB$2:$AB$18)-$U43)^2+(_xlfn.XLOOKUP(AL$1,$Z$2:$Z$18,$AC$2:$AC$18-$V43)^2)))</f>
        <v/>
      </c>
      <c r="AM43" s="150">
        <f t="array" ref="AM43">IF(AM$1=0,"",SQRT((_xlfn.XLOOKUP(AM$1,$Z$2:$Z$18,$AA$2:$AA$18)-$T43)^2+(_xlfn.XLOOKUP(AM$1,$Z$2:$Z$18,$AB$2:$AB$18)-$U43)^2+(_xlfn.XLOOKUP(AM$1,$Z$2:$Z$18,$AC$2:$AC$18-$V43)^2)))</f>
        <v/>
      </c>
      <c r="AN43" s="150">
        <f t="array" ref="AN43">IF(AN$1=0,"",SQRT((_xlfn.XLOOKUP(AN$1,$Z$2:$Z$18,$AA$2:$AA$18)-$T43)^2+(_xlfn.XLOOKUP(AN$1,$Z$2:$Z$18,$AB$2:$AB$18)-$U43)^2+(_xlfn.XLOOKUP(AN$1,$Z$2:$Z$18,$AC$2:$AC$18-$V43)^2)))</f>
        <v/>
      </c>
      <c r="AO43" s="150">
        <f t="array" ref="AO43">IF(AO$1=0,"",SQRT((_xlfn.XLOOKUP(AO$1,$Z$2:$Z$18,$AA$2:$AA$18)-$T43)^2+(_xlfn.XLOOKUP(AO$1,$Z$2:$Z$18,$AB$2:$AB$18)-$U43)^2+(_xlfn.XLOOKUP(AO$1,$Z$2:$Z$18,$AC$2:$AC$18-$V43)^2)))</f>
        <v/>
      </c>
      <c r="AP43" s="151">
        <f t="array" ref="AP43">IF(AP$1=0,"",SQRT((_xlfn.XLOOKUP(AP$1,$Z$2:$Z$18,$AA$2:$AA$18)-$T43)^2+(_xlfn.XLOOKUP(AP$1,$Z$2:$Z$18,$AB$2:$AB$18)-$U43)^2+(_xlfn.XLOOKUP(AP$1,$Z$2:$Z$18,$AC$2:$AC$18-$V43)^2)))</f>
        <v/>
      </c>
      <c r="AQ43" s="151">
        <f t="array" ref="AQ43">IF(AQ$1=0,"",SQRT((_xlfn.XLOOKUP(AQ$1,$Z$2:$Z$18,$AA$2:$AA$18)-$T43)^2+(_xlfn.XLOOKUP(AQ$1,$Z$2:$Z$18,$AB$2:$AB$18)-$U43)^2+(_xlfn.XLOOKUP(AQ$1,$Z$2:$Z$18,$AC$2:$AC$18-$V43)^2)))</f>
        <v/>
      </c>
      <c r="AR43" s="151">
        <f t="array" ref="AR43">IF(AR$1=0,"",SQRT((_xlfn.XLOOKUP(AR$1,$Z$2:$Z$18,$AA$2:$AA$18)-$T43)^2+(_xlfn.XLOOKUP(AR$1,$Z$2:$Z$18,$AB$2:$AB$18)-$U43)^2+(_xlfn.XLOOKUP(AR$1,$Z$2:$Z$18,$AC$2:$AC$18-$V43)^2)))</f>
        <v/>
      </c>
      <c r="AS43" s="151">
        <f t="array" ref="AS43">IF(AS$1=0,"",SQRT((_xlfn.XLOOKUP(AS$1,$Z$2:$Z$18,$AA$2:$AA$18)-$T43)^2+(_xlfn.XLOOKUP(AS$1,$Z$2:$Z$18,$AB$2:$AB$18)-$U43)^2+(_xlfn.XLOOKUP(AS$1,$Z$2:$Z$18,$AC$2:$AC$18-$V43)^2)))</f>
        <v/>
      </c>
      <c r="AT43" s="151">
        <f t="array" ref="AT43">IF(AT$1=0,"",SQRT((_xlfn.XLOOKUP(AT$1,$Z$2:$Z$18,$AA$2:$AA$18)-$T43)^2+(_xlfn.XLOOKUP(AT$1,$Z$2:$Z$18,$AB$2:$AB$18)-$U43)^2+(_xlfn.XLOOKUP(AT$1,$Z$2:$Z$18,$AC$2:$AC$18-$V43)^2)))</f>
        <v/>
      </c>
      <c r="AU43" s="151">
        <f t="array" ref="AU43">IF(AU$1=0,"",SQRT((_xlfn.XLOOKUP(AU$1,$Z$2:$Z$18,$AA$2:$AA$18)-$T43)^2+(_xlfn.XLOOKUP(AU$1,$Z$2:$Z$18,$AB$2:$AB$18)-$U43)^2+(_xlfn.XLOOKUP(AU$1,$Z$2:$Z$18,$AC$2:$AC$18-$V43)^2)))</f>
        <v/>
      </c>
      <c r="AV43" s="152">
        <f t="array" ref="AV43">IF(AV$1=0,"",SQRT((_xlfn.XLOOKUP(AV$1,$Z$2:$Z$18,$AA$2:$AA$18)-$T43)^2+(_xlfn.XLOOKUP(AV$1,$Z$2:$Z$18,$AB$2:$AB$18)-$U43)^2+(_xlfn.XLOOKUP(AV$1,$Z$2:$Z$18,$AC$2:$AC$18-$V43)^2)))</f>
        <v/>
      </c>
      <c r="AW43" s="134" t="n"/>
      <c r="AX43" s="134" t="n"/>
      <c r="AY43" s="135">
        <f>IFERROR(-ABS(10*LOG10(($R43/(4*PI()*CONVERT(AH43,"ft","m")^2)))),0)</f>
        <v/>
      </c>
      <c r="AZ43" s="153">
        <f>IFERROR(-ABS(10*LOG10(($R43/(4*PI()*CONVERT(AI43,"ft","m")^2)))),0)</f>
        <v/>
      </c>
      <c r="BA43" s="153">
        <f>IFERROR(-ABS(10*LOG10(($R43/(4*PI()*CONVERT(AJ43,"ft","m")^2)))),0)</f>
        <v/>
      </c>
      <c r="BB43" s="153">
        <f>IFERROR(-ABS(10*LOG10(($R43/(4*PI()*CONVERT(AK43,"ft","m")^2)))),0)</f>
        <v/>
      </c>
      <c r="BC43" s="153">
        <f>IFERROR(-ABS(10*LOG10(($R43/(4*PI()*CONVERT(AL43,"ft","m")^2)))),0)</f>
        <v/>
      </c>
      <c r="BD43" s="153">
        <f>IFERROR(-ABS(10*LOG10(($R43/(4*PI()*CONVERT(AM43,"ft","m")^2)))),0)</f>
        <v/>
      </c>
      <c r="BE43" s="153">
        <f>IFERROR(-ABS(10*LOG10(($R43/(4*PI()*CONVERT(AN43,"ft","m")^2)))),0)</f>
        <v/>
      </c>
      <c r="BF43" s="153">
        <f>IFERROR(-ABS(10*LOG10(($R43/(4*PI()*CONVERT(AO43,"ft","m")^2)))),0)</f>
        <v/>
      </c>
      <c r="BG43" s="154">
        <f>IFERROR(-ABS(10*LOG10(($R43/(4*PI()*CONVERT(AP43,"ft","m")^2)))),0)</f>
        <v/>
      </c>
      <c r="BH43" s="154">
        <f>IFERROR(-ABS(10*LOG10(($R43/(4*PI()*CONVERT(AQ43,"ft","m")^2)))),0)</f>
        <v/>
      </c>
      <c r="BI43" s="154">
        <f>IFERROR(-ABS(10*LOG10(($R43/(4*PI()*CONVERT(AR43,"ft","m")^2)))),0)</f>
        <v/>
      </c>
      <c r="BJ43" s="154">
        <f>IFERROR(-ABS(10*LOG10(($R43/(4*PI()*CONVERT(AS43,"ft","m")^2)))),0)</f>
        <v/>
      </c>
      <c r="BK43" s="154">
        <f>IFERROR(-ABS(10*LOG10(($R43/(4*PI()*CONVERT(AT43,"ft","m")^2)))),0)</f>
        <v/>
      </c>
      <c r="BL43" s="154">
        <f>IFERROR(-ABS(10*LOG10(($R43/(4*PI()*CONVERT(AU43,"ft","m")^2)))),0)</f>
        <v/>
      </c>
      <c r="BM43" s="155">
        <f>IFERROR(-ABS(10*LOG10(($R43/(4*PI()*CONVERT(AV43,"ft","m")^2)))),0)</f>
        <v/>
      </c>
      <c r="BN43" s="134" t="n"/>
      <c r="BO43" s="56" t="n">
        <v>3</v>
      </c>
      <c r="BP43" s="56" t="n">
        <v>12</v>
      </c>
      <c r="BQ43" s="21" t="n"/>
      <c r="BR43" s="134" t="n"/>
      <c r="BS43" s="134" t="n"/>
      <c r="BT43" s="134" t="n"/>
      <c r="BU43" s="134" t="n"/>
      <c r="BV43" s="140" t="n"/>
      <c r="BW43" s="140" t="n"/>
      <c r="BX43" s="140" t="n"/>
      <c r="BY43" s="140" t="n"/>
      <c r="BZ43" s="140" t="n"/>
      <c r="CA43" s="140" t="n"/>
      <c r="CB43" s="140" t="n"/>
      <c r="CC43" s="140" t="n"/>
      <c r="CD43" s="140" t="n"/>
      <c r="CE43" s="140" t="n"/>
      <c r="CF43" s="140" t="n"/>
      <c r="CG43" s="140" t="n"/>
      <c r="CH43" s="140" t="n"/>
      <c r="CI43" s="140" t="n"/>
      <c r="CJ43" s="140" t="n"/>
      <c r="CK43" s="134" t="n"/>
      <c r="CL43" s="134" t="n"/>
      <c r="CM43" s="169">
        <f>IF( CM$1= 0,"",$Q43-$S43+AY43-BV43)</f>
        <v/>
      </c>
      <c r="CN43" s="170">
        <f>IF( CN$1= 0,"",$Q43-$S43+AZ43-BW43)</f>
        <v/>
      </c>
      <c r="CO43" s="170">
        <f>IF( CO$1= 0,"",$Q43-$S43+BA43-BX43)</f>
        <v/>
      </c>
      <c r="CP43" s="170">
        <f>IF( CP$1= 0,"",$Q43-$S43+BB43-BY43)</f>
        <v/>
      </c>
      <c r="CQ43" s="170">
        <f>IF( CQ$1= 0,"",$Q43-$S43+BC43-BZ43)</f>
        <v/>
      </c>
      <c r="CR43" s="170">
        <f>IF( CR$1= 0,"",$Q43-$S43+BD43-CA43)</f>
        <v/>
      </c>
      <c r="CS43" s="170">
        <f>IF( CS$1= 0,"",$Q43-$S43+BE43-CB43)</f>
        <v/>
      </c>
      <c r="CT43" s="170">
        <f>IF( CT$1= 0,"",$Q43-$S43+BF43-CC43)</f>
        <v/>
      </c>
      <c r="CU43" s="172">
        <f>IF( CU$1= 0,"",$Q43-$S43+BG43-CD43)</f>
        <v/>
      </c>
      <c r="CV43" s="172">
        <f>IF( CV$1= 0,"",$Q43-$S43+BH43-CE43)</f>
        <v/>
      </c>
      <c r="CW43" s="172">
        <f>IF( CW$1= 0,"",$Q43-$S43+BI43-CF43)</f>
        <v/>
      </c>
      <c r="CX43" s="172">
        <f>IF( CX$1= 0,"",$Q43-$S43+BJ43-CG43)</f>
        <v/>
      </c>
      <c r="CY43" s="172">
        <f>IF( CY$1= 0,"",$Q43-$S43+BK43-CH43)</f>
        <v/>
      </c>
      <c r="CZ43" s="172">
        <f>IF( CZ$1= 0,"",$Q43-$S43+BL43-CI43)</f>
        <v/>
      </c>
      <c r="DA43" s="173">
        <f>IF( DA$1= 0,"",$Q43-$S43+BM43-CJ43)</f>
        <v/>
      </c>
    </row>
    <row r="44" ht="16.5" customHeight="1">
      <c r="A44" s="145" t="n"/>
      <c r="B44" s="146" t="n"/>
      <c r="C44" s="146" t="n"/>
      <c r="D44" s="147" t="n"/>
      <c r="E44" s="205" t="n"/>
      <c r="F44" s="213" t="n"/>
      <c r="G44" s="214" t="n"/>
      <c r="H44" s="214" t="n"/>
      <c r="I44" s="214" t="n"/>
      <c r="J44" s="214" t="n"/>
      <c r="K44" s="214" t="n"/>
      <c r="L44" s="214" t="n"/>
      <c r="M44" s="218" t="n"/>
      <c r="N44" s="213" t="n"/>
      <c r="O44" s="215" t="n"/>
      <c r="P44" s="208" t="n"/>
      <c r="Q44" s="128">
        <f>ROUND(IF(AND(A44&gt;0, O44&gt;0), N44+ABS(10*LOG10(P44/(4*PI()*CONVERT(O44,"ft", "m")^2))), N44),0)</f>
        <v/>
      </c>
      <c r="R44" s="3" t="n"/>
      <c r="S44" s="3" t="n"/>
      <c r="T44" s="214" t="n"/>
      <c r="U44" s="214" t="n"/>
      <c r="V44" s="109">
        <f>SUM(W44:X44)</f>
        <v/>
      </c>
      <c r="W44" s="171" t="n"/>
      <c r="X44" s="148" t="n"/>
      <c r="Z44" s="115" t="inlineStr">
        <is>
          <t>bar21</t>
        </is>
      </c>
      <c r="AA44" s="113" t="n">
        <v>67.76000000000001</v>
      </c>
      <c r="AB44" s="52" t="n">
        <v>96.47</v>
      </c>
      <c r="AC44" s="106" t="n">
        <v>75.40000000000001</v>
      </c>
      <c r="AD44" s="52" t="n">
        <v>75.34999999999999</v>
      </c>
      <c r="AE44" s="52" t="n">
        <v>97.79000000000001</v>
      </c>
      <c r="AF44" s="53" t="n">
        <v>75.40000000000001</v>
      </c>
      <c r="AH44" s="168">
        <f t="array" ref="AH44">IF(AH$1=0,"",SQRT((_xlfn.XLOOKUP(AH$1,$Z$2:$Z$18,$AA$2:$AA$18)-$T44)^2+(_xlfn.XLOOKUP(AH$1,$Z$2:$Z$18,$AB$2:$AB$18)-$U44)^2+(_xlfn.XLOOKUP(AH$1,$Z$2:$Z$18,$AC$2:$AC$18-$V44)^2)))</f>
        <v/>
      </c>
      <c r="AI44" s="150">
        <f t="array" ref="AI44">IF(AI$1=0,"",SQRT((_xlfn.XLOOKUP(AI$1,$Z$2:$Z$18,$AA$2:$AA$18)-$T44)^2+(_xlfn.XLOOKUP(AI$1,$Z$2:$Z$18,$AB$2:$AB$18)-$U44)^2+(_xlfn.XLOOKUP(AI$1,$Z$2:$Z$18,$AC$2:$AC$18-$V44)^2)))</f>
        <v/>
      </c>
      <c r="AJ44" s="150">
        <f t="array" ref="AJ44">IF(AJ$1=0,"",SQRT((_xlfn.XLOOKUP(AJ$1,$Z$2:$Z$18,$AA$2:$AA$18)-$T44)^2+(_xlfn.XLOOKUP(AJ$1,$Z$2:$Z$18,$AB$2:$AB$18)-$U44)^2+(_xlfn.XLOOKUP(AJ$1,$Z$2:$Z$18,$AC$2:$AC$18-$V44)^2)))</f>
        <v/>
      </c>
      <c r="AK44" s="150">
        <f t="array" ref="AK44">IF(AK$1=0,"",SQRT((_xlfn.XLOOKUP(AK$1,$Z$2:$Z$18,$AA$2:$AA$18)-$T44)^2+(_xlfn.XLOOKUP(AK$1,$Z$2:$Z$18,$AB$2:$AB$18)-$U44)^2+(_xlfn.XLOOKUP(AK$1,$Z$2:$Z$18,$AC$2:$AC$18-$V44)^2)))</f>
        <v/>
      </c>
      <c r="AL44" s="150">
        <f t="array" ref="AL44">IF(AL$1=0,"",SQRT((_xlfn.XLOOKUP(AL$1,$Z$2:$Z$18,$AA$2:$AA$18)-$T44)^2+(_xlfn.XLOOKUP(AL$1,$Z$2:$Z$18,$AB$2:$AB$18)-$U44)^2+(_xlfn.XLOOKUP(AL$1,$Z$2:$Z$18,$AC$2:$AC$18-$V44)^2)))</f>
        <v/>
      </c>
      <c r="AM44" s="150">
        <f t="array" ref="AM44">IF(AM$1=0,"",SQRT((_xlfn.XLOOKUP(AM$1,$Z$2:$Z$18,$AA$2:$AA$18)-$T44)^2+(_xlfn.XLOOKUP(AM$1,$Z$2:$Z$18,$AB$2:$AB$18)-$U44)^2+(_xlfn.XLOOKUP(AM$1,$Z$2:$Z$18,$AC$2:$AC$18-$V44)^2)))</f>
        <v/>
      </c>
      <c r="AN44" s="150">
        <f t="array" ref="AN44">IF(AN$1=0,"",SQRT((_xlfn.XLOOKUP(AN$1,$Z$2:$Z$18,$AA$2:$AA$18)-$T44)^2+(_xlfn.XLOOKUP(AN$1,$Z$2:$Z$18,$AB$2:$AB$18)-$U44)^2+(_xlfn.XLOOKUP(AN$1,$Z$2:$Z$18,$AC$2:$AC$18-$V44)^2)))</f>
        <v/>
      </c>
      <c r="AO44" s="150">
        <f t="array" ref="AO44">IF(AO$1=0,"",SQRT((_xlfn.XLOOKUP(AO$1,$Z$2:$Z$18,$AA$2:$AA$18)-$T44)^2+(_xlfn.XLOOKUP(AO$1,$Z$2:$Z$18,$AB$2:$AB$18)-$U44)^2+(_xlfn.XLOOKUP(AO$1,$Z$2:$Z$18,$AC$2:$AC$18-$V44)^2)))</f>
        <v/>
      </c>
      <c r="AP44" s="151">
        <f t="array" ref="AP44">IF(AP$1=0,"",SQRT((_xlfn.XLOOKUP(AP$1,$Z$2:$Z$18,$AA$2:$AA$18)-$T44)^2+(_xlfn.XLOOKUP(AP$1,$Z$2:$Z$18,$AB$2:$AB$18)-$U44)^2+(_xlfn.XLOOKUP(AP$1,$Z$2:$Z$18,$AC$2:$AC$18-$V44)^2)))</f>
        <v/>
      </c>
      <c r="AQ44" s="151">
        <f t="array" ref="AQ44">IF(AQ$1=0,"",SQRT((_xlfn.XLOOKUP(AQ$1,$Z$2:$Z$18,$AA$2:$AA$18)-$T44)^2+(_xlfn.XLOOKUP(AQ$1,$Z$2:$Z$18,$AB$2:$AB$18)-$U44)^2+(_xlfn.XLOOKUP(AQ$1,$Z$2:$Z$18,$AC$2:$AC$18-$V44)^2)))</f>
        <v/>
      </c>
      <c r="AR44" s="151">
        <f t="array" ref="AR44">IF(AR$1=0,"",SQRT((_xlfn.XLOOKUP(AR$1,$Z$2:$Z$18,$AA$2:$AA$18)-$T44)^2+(_xlfn.XLOOKUP(AR$1,$Z$2:$Z$18,$AB$2:$AB$18)-$U44)^2+(_xlfn.XLOOKUP(AR$1,$Z$2:$Z$18,$AC$2:$AC$18-$V44)^2)))</f>
        <v/>
      </c>
      <c r="AS44" s="151">
        <f t="array" ref="AS44">IF(AS$1=0,"",SQRT((_xlfn.XLOOKUP(AS$1,$Z$2:$Z$18,$AA$2:$AA$18)-$T44)^2+(_xlfn.XLOOKUP(AS$1,$Z$2:$Z$18,$AB$2:$AB$18)-$U44)^2+(_xlfn.XLOOKUP(AS$1,$Z$2:$Z$18,$AC$2:$AC$18-$V44)^2)))</f>
        <v/>
      </c>
      <c r="AT44" s="151">
        <f t="array" ref="AT44">IF(AT$1=0,"",SQRT((_xlfn.XLOOKUP(AT$1,$Z$2:$Z$18,$AA$2:$AA$18)-$T44)^2+(_xlfn.XLOOKUP(AT$1,$Z$2:$Z$18,$AB$2:$AB$18)-$U44)^2+(_xlfn.XLOOKUP(AT$1,$Z$2:$Z$18,$AC$2:$AC$18-$V44)^2)))</f>
        <v/>
      </c>
      <c r="AU44" s="151">
        <f t="array" ref="AU44">IF(AU$1=0,"",SQRT((_xlfn.XLOOKUP(AU$1,$Z$2:$Z$18,$AA$2:$AA$18)-$T44)^2+(_xlfn.XLOOKUP(AU$1,$Z$2:$Z$18,$AB$2:$AB$18)-$U44)^2+(_xlfn.XLOOKUP(AU$1,$Z$2:$Z$18,$AC$2:$AC$18-$V44)^2)))</f>
        <v/>
      </c>
      <c r="AV44" s="152">
        <f t="array" ref="AV44">IF(AV$1=0,"",SQRT((_xlfn.XLOOKUP(AV$1,$Z$2:$Z$18,$AA$2:$AA$18)-$T44)^2+(_xlfn.XLOOKUP(AV$1,$Z$2:$Z$18,$AB$2:$AB$18)-$U44)^2+(_xlfn.XLOOKUP(AV$1,$Z$2:$Z$18,$AC$2:$AC$18-$V44)^2)))</f>
        <v/>
      </c>
      <c r="AW44" s="134" t="n"/>
      <c r="AX44" s="134" t="n"/>
      <c r="AY44" s="135">
        <f>IFERROR(-ABS(10*LOG10(($R44/(4*PI()*CONVERT(AH44,"ft","m")^2)))),0)</f>
        <v/>
      </c>
      <c r="AZ44" s="153">
        <f>IFERROR(-ABS(10*LOG10(($R44/(4*PI()*CONVERT(AI44,"ft","m")^2)))),0)</f>
        <v/>
      </c>
      <c r="BA44" s="153">
        <f>IFERROR(-ABS(10*LOG10(($R44/(4*PI()*CONVERT(AJ44,"ft","m")^2)))),0)</f>
        <v/>
      </c>
      <c r="BB44" s="153">
        <f>IFERROR(-ABS(10*LOG10(($R44/(4*PI()*CONVERT(AK44,"ft","m")^2)))),0)</f>
        <v/>
      </c>
      <c r="BC44" s="153">
        <f>IFERROR(-ABS(10*LOG10(($R44/(4*PI()*CONVERT(AL44,"ft","m")^2)))),0)</f>
        <v/>
      </c>
      <c r="BD44" s="153">
        <f>IFERROR(-ABS(10*LOG10(($R44/(4*PI()*CONVERT(AM44,"ft","m")^2)))),0)</f>
        <v/>
      </c>
      <c r="BE44" s="153">
        <f>IFERROR(-ABS(10*LOG10(($R44/(4*PI()*CONVERT(AN44,"ft","m")^2)))),0)</f>
        <v/>
      </c>
      <c r="BF44" s="153">
        <f>IFERROR(-ABS(10*LOG10(($R44/(4*PI()*CONVERT(AO44,"ft","m")^2)))),0)</f>
        <v/>
      </c>
      <c r="BG44" s="154">
        <f>IFERROR(-ABS(10*LOG10(($R44/(4*PI()*CONVERT(AP44,"ft","m")^2)))),0)</f>
        <v/>
      </c>
      <c r="BH44" s="154">
        <f>IFERROR(-ABS(10*LOG10(($R44/(4*PI()*CONVERT(AQ44,"ft","m")^2)))),0)</f>
        <v/>
      </c>
      <c r="BI44" s="154">
        <f>IFERROR(-ABS(10*LOG10(($R44/(4*PI()*CONVERT(AR44,"ft","m")^2)))),0)</f>
        <v/>
      </c>
      <c r="BJ44" s="154">
        <f>IFERROR(-ABS(10*LOG10(($R44/(4*PI()*CONVERT(AS44,"ft","m")^2)))),0)</f>
        <v/>
      </c>
      <c r="BK44" s="154">
        <f>IFERROR(-ABS(10*LOG10(($R44/(4*PI()*CONVERT(AT44,"ft","m")^2)))),0)</f>
        <v/>
      </c>
      <c r="BL44" s="154">
        <f>IFERROR(-ABS(10*LOG10(($R44/(4*PI()*CONVERT(AU44,"ft","m")^2)))),0)</f>
        <v/>
      </c>
      <c r="BM44" s="155">
        <f>IFERROR(-ABS(10*LOG10(($R44/(4*PI()*CONVERT(AV44,"ft","m")^2)))),0)</f>
        <v/>
      </c>
      <c r="BN44" s="134" t="n"/>
      <c r="BO44" s="56" t="n">
        <v>6</v>
      </c>
      <c r="BP44" s="56" t="n">
        <v>15</v>
      </c>
      <c r="BQ44" s="21" t="n"/>
      <c r="BR44" s="134" t="n"/>
      <c r="BS44" s="134" t="n"/>
      <c r="BT44" s="134" t="n"/>
      <c r="BU44" s="134" t="n"/>
      <c r="BV44" s="140" t="n"/>
      <c r="BW44" s="140" t="n"/>
      <c r="BX44" s="140" t="n"/>
      <c r="BY44" s="140" t="n"/>
      <c r="BZ44" s="140" t="n"/>
      <c r="CA44" s="140" t="n"/>
      <c r="CB44" s="140" t="n"/>
      <c r="CC44" s="140" t="n"/>
      <c r="CD44" s="140" t="n"/>
      <c r="CE44" s="140" t="n"/>
      <c r="CF44" s="140" t="n"/>
      <c r="CG44" s="140" t="n"/>
      <c r="CH44" s="140" t="n"/>
      <c r="CI44" s="140" t="n"/>
      <c r="CJ44" s="140" t="n"/>
      <c r="CK44" s="134" t="n"/>
      <c r="CL44" s="134" t="n"/>
      <c r="CM44" s="169">
        <f>IF( CM$1= 0,"",$Q44-$S44+AY44-BV44)</f>
        <v/>
      </c>
      <c r="CN44" s="170">
        <f>IF( CN$1= 0,"",$Q44-$S44+AZ44-BW44)</f>
        <v/>
      </c>
      <c r="CO44" s="170">
        <f>IF( CO$1= 0,"",$Q44-$S44+BA44-BX44)</f>
        <v/>
      </c>
      <c r="CP44" s="170">
        <f>IF( CP$1= 0,"",$Q44-$S44+BB44-BY44)</f>
        <v/>
      </c>
      <c r="CQ44" s="170">
        <f>IF( CQ$1= 0,"",$Q44-$S44+BC44-BZ44)</f>
        <v/>
      </c>
      <c r="CR44" s="170">
        <f>IF( CR$1= 0,"",$Q44-$S44+BD44-CA44)</f>
        <v/>
      </c>
      <c r="CS44" s="170">
        <f>IF( CS$1= 0,"",$Q44-$S44+BE44-CB44)</f>
        <v/>
      </c>
      <c r="CT44" s="170">
        <f>IF( CT$1= 0,"",$Q44-$S44+BF44-CC44)</f>
        <v/>
      </c>
      <c r="CU44" s="172">
        <f>IF( CU$1= 0,"",$Q44-$S44+BG44-CD44)</f>
        <v/>
      </c>
      <c r="CV44" s="172">
        <f>IF( CV$1= 0,"",$Q44-$S44+BH44-CE44)</f>
        <v/>
      </c>
      <c r="CW44" s="172">
        <f>IF( CW$1= 0,"",$Q44-$S44+BI44-CF44)</f>
        <v/>
      </c>
      <c r="CX44" s="172">
        <f>IF( CX$1= 0,"",$Q44-$S44+BJ44-CG44)</f>
        <v/>
      </c>
      <c r="CY44" s="172">
        <f>IF( CY$1= 0,"",$Q44-$S44+BK44-CH44)</f>
        <v/>
      </c>
      <c r="CZ44" s="172">
        <f>IF( CZ$1= 0,"",$Q44-$S44+BL44-CI44)</f>
        <v/>
      </c>
      <c r="DA44" s="173">
        <f>IF( DA$1= 0,"",$Q44-$S44+BM44-CJ44)</f>
        <v/>
      </c>
    </row>
    <row r="45" ht="16.5" customHeight="1">
      <c r="A45" s="145" t="n"/>
      <c r="B45" s="146" t="n"/>
      <c r="C45" s="146" t="n"/>
      <c r="D45" s="147" t="n"/>
      <c r="E45" s="205" t="n"/>
      <c r="F45" s="213" t="n"/>
      <c r="G45" s="214" t="n"/>
      <c r="H45" s="214" t="n"/>
      <c r="I45" s="214" t="n"/>
      <c r="J45" s="214" t="n"/>
      <c r="K45" s="214" t="n"/>
      <c r="L45" s="214" t="n"/>
      <c r="M45" s="218" t="n"/>
      <c r="N45" s="213" t="n"/>
      <c r="O45" s="215" t="n"/>
      <c r="P45" s="208" t="n"/>
      <c r="Q45" s="128">
        <f>ROUND(IF(AND(A45&gt;0, O45&gt;0), N45+ABS(10*LOG10(P45/(4*PI()*CONVERT(O45,"ft", "m")^2))), N45),0)</f>
        <v/>
      </c>
      <c r="R45" s="3" t="n"/>
      <c r="S45" s="3" t="n"/>
      <c r="T45" s="214" t="n"/>
      <c r="U45" s="214" t="n"/>
      <c r="V45" s="109">
        <f>SUM(W45:X45)</f>
        <v/>
      </c>
      <c r="W45" s="171" t="n"/>
      <c r="X45" s="148" t="n"/>
      <c r="Z45" s="115" t="inlineStr">
        <is>
          <t>bar22</t>
        </is>
      </c>
      <c r="AA45" s="113" t="n">
        <v>75.56999999999999</v>
      </c>
      <c r="AB45" s="52" t="n">
        <v>98.34</v>
      </c>
      <c r="AC45" s="106" t="n">
        <v>75.40000000000001</v>
      </c>
      <c r="AD45" s="52" t="n">
        <v>77.77</v>
      </c>
      <c r="AE45" s="52" t="n">
        <v>86.79000000000001</v>
      </c>
      <c r="AF45" s="53" t="n">
        <v>75.40000000000001</v>
      </c>
      <c r="AH45" s="168">
        <f t="array" ref="AH45">IF(AH$1=0,"",SQRT((_xlfn.XLOOKUP(AH$1,$Z$2:$Z$18,$AA$2:$AA$18)-$T45)^2+(_xlfn.XLOOKUP(AH$1,$Z$2:$Z$18,$AB$2:$AB$18)-$U45)^2+(_xlfn.XLOOKUP(AH$1,$Z$2:$Z$18,$AC$2:$AC$18-$V45)^2)))</f>
        <v/>
      </c>
      <c r="AI45" s="150">
        <f t="array" ref="AI45">IF(AI$1=0,"",SQRT((_xlfn.XLOOKUP(AI$1,$Z$2:$Z$18,$AA$2:$AA$18)-$T45)^2+(_xlfn.XLOOKUP(AI$1,$Z$2:$Z$18,$AB$2:$AB$18)-$U45)^2+(_xlfn.XLOOKUP(AI$1,$Z$2:$Z$18,$AC$2:$AC$18-$V45)^2)))</f>
        <v/>
      </c>
      <c r="AJ45" s="150">
        <f t="array" ref="AJ45">IF(AJ$1=0,"",SQRT((_xlfn.XLOOKUP(AJ$1,$Z$2:$Z$18,$AA$2:$AA$18)-$T45)^2+(_xlfn.XLOOKUP(AJ$1,$Z$2:$Z$18,$AB$2:$AB$18)-$U45)^2+(_xlfn.XLOOKUP(AJ$1,$Z$2:$Z$18,$AC$2:$AC$18-$V45)^2)))</f>
        <v/>
      </c>
      <c r="AK45" s="150">
        <f t="array" ref="AK45">IF(AK$1=0,"",SQRT((_xlfn.XLOOKUP(AK$1,$Z$2:$Z$18,$AA$2:$AA$18)-$T45)^2+(_xlfn.XLOOKUP(AK$1,$Z$2:$Z$18,$AB$2:$AB$18)-$U45)^2+(_xlfn.XLOOKUP(AK$1,$Z$2:$Z$18,$AC$2:$AC$18-$V45)^2)))</f>
        <v/>
      </c>
      <c r="AL45" s="150">
        <f t="array" ref="AL45">IF(AL$1=0,"",SQRT((_xlfn.XLOOKUP(AL$1,$Z$2:$Z$18,$AA$2:$AA$18)-$T45)^2+(_xlfn.XLOOKUP(AL$1,$Z$2:$Z$18,$AB$2:$AB$18)-$U45)^2+(_xlfn.XLOOKUP(AL$1,$Z$2:$Z$18,$AC$2:$AC$18-$V45)^2)))</f>
        <v/>
      </c>
      <c r="AM45" s="150">
        <f t="array" ref="AM45">IF(AM$1=0,"",SQRT((_xlfn.XLOOKUP(AM$1,$Z$2:$Z$18,$AA$2:$AA$18)-$T45)^2+(_xlfn.XLOOKUP(AM$1,$Z$2:$Z$18,$AB$2:$AB$18)-$U45)^2+(_xlfn.XLOOKUP(AM$1,$Z$2:$Z$18,$AC$2:$AC$18-$V45)^2)))</f>
        <v/>
      </c>
      <c r="AN45" s="150">
        <f t="array" ref="AN45">IF(AN$1=0,"",SQRT((_xlfn.XLOOKUP(AN$1,$Z$2:$Z$18,$AA$2:$AA$18)-$T45)^2+(_xlfn.XLOOKUP(AN$1,$Z$2:$Z$18,$AB$2:$AB$18)-$U45)^2+(_xlfn.XLOOKUP(AN$1,$Z$2:$Z$18,$AC$2:$AC$18-$V45)^2)))</f>
        <v/>
      </c>
      <c r="AO45" s="150">
        <f t="array" ref="AO45">IF(AO$1=0,"",SQRT((_xlfn.XLOOKUP(AO$1,$Z$2:$Z$18,$AA$2:$AA$18)-$T45)^2+(_xlfn.XLOOKUP(AO$1,$Z$2:$Z$18,$AB$2:$AB$18)-$U45)^2+(_xlfn.XLOOKUP(AO$1,$Z$2:$Z$18,$AC$2:$AC$18-$V45)^2)))</f>
        <v/>
      </c>
      <c r="AP45" s="151">
        <f t="array" ref="AP45">IF(AP$1=0,"",SQRT((_xlfn.XLOOKUP(AP$1,$Z$2:$Z$18,$AA$2:$AA$18)-$T45)^2+(_xlfn.XLOOKUP(AP$1,$Z$2:$Z$18,$AB$2:$AB$18)-$U45)^2+(_xlfn.XLOOKUP(AP$1,$Z$2:$Z$18,$AC$2:$AC$18-$V45)^2)))</f>
        <v/>
      </c>
      <c r="AQ45" s="151">
        <f t="array" ref="AQ45">IF(AQ$1=0,"",SQRT((_xlfn.XLOOKUP(AQ$1,$Z$2:$Z$18,$AA$2:$AA$18)-$T45)^2+(_xlfn.XLOOKUP(AQ$1,$Z$2:$Z$18,$AB$2:$AB$18)-$U45)^2+(_xlfn.XLOOKUP(AQ$1,$Z$2:$Z$18,$AC$2:$AC$18-$V45)^2)))</f>
        <v/>
      </c>
      <c r="AR45" s="151">
        <f t="array" ref="AR45">IF(AR$1=0,"",SQRT((_xlfn.XLOOKUP(AR$1,$Z$2:$Z$18,$AA$2:$AA$18)-$T45)^2+(_xlfn.XLOOKUP(AR$1,$Z$2:$Z$18,$AB$2:$AB$18)-$U45)^2+(_xlfn.XLOOKUP(AR$1,$Z$2:$Z$18,$AC$2:$AC$18-$V45)^2)))</f>
        <v/>
      </c>
      <c r="AS45" s="151">
        <f t="array" ref="AS45">IF(AS$1=0,"",SQRT((_xlfn.XLOOKUP(AS$1,$Z$2:$Z$18,$AA$2:$AA$18)-$T45)^2+(_xlfn.XLOOKUP(AS$1,$Z$2:$Z$18,$AB$2:$AB$18)-$U45)^2+(_xlfn.XLOOKUP(AS$1,$Z$2:$Z$18,$AC$2:$AC$18-$V45)^2)))</f>
        <v/>
      </c>
      <c r="AT45" s="151">
        <f t="array" ref="AT45">IF(AT$1=0,"",SQRT((_xlfn.XLOOKUP(AT$1,$Z$2:$Z$18,$AA$2:$AA$18)-$T45)^2+(_xlfn.XLOOKUP(AT$1,$Z$2:$Z$18,$AB$2:$AB$18)-$U45)^2+(_xlfn.XLOOKUP(AT$1,$Z$2:$Z$18,$AC$2:$AC$18-$V45)^2)))</f>
        <v/>
      </c>
      <c r="AU45" s="151">
        <f t="array" ref="AU45">IF(AU$1=0,"",SQRT((_xlfn.XLOOKUP(AU$1,$Z$2:$Z$18,$AA$2:$AA$18)-$T45)^2+(_xlfn.XLOOKUP(AU$1,$Z$2:$Z$18,$AB$2:$AB$18)-$U45)^2+(_xlfn.XLOOKUP(AU$1,$Z$2:$Z$18,$AC$2:$AC$18-$V45)^2)))</f>
        <v/>
      </c>
      <c r="AV45" s="152">
        <f t="array" ref="AV45">IF(AV$1=0,"",SQRT((_xlfn.XLOOKUP(AV$1,$Z$2:$Z$18,$AA$2:$AA$18)-$T45)^2+(_xlfn.XLOOKUP(AV$1,$Z$2:$Z$18,$AB$2:$AB$18)-$U45)^2+(_xlfn.XLOOKUP(AV$1,$Z$2:$Z$18,$AC$2:$AC$18-$V45)^2)))</f>
        <v/>
      </c>
      <c r="AW45" s="134" t="n"/>
      <c r="AX45" s="134" t="n"/>
      <c r="AY45" s="135">
        <f>IFERROR(-ABS(10*LOG10(($R45/(4*PI()*CONVERT(AH45,"ft","m")^2)))),0)</f>
        <v/>
      </c>
      <c r="AZ45" s="153">
        <f>IFERROR(-ABS(10*LOG10(($R45/(4*PI()*CONVERT(AI45,"ft","m")^2)))),0)</f>
        <v/>
      </c>
      <c r="BA45" s="153">
        <f>IFERROR(-ABS(10*LOG10(($R45/(4*PI()*CONVERT(AJ45,"ft","m")^2)))),0)</f>
        <v/>
      </c>
      <c r="BB45" s="153">
        <f>IFERROR(-ABS(10*LOG10(($R45/(4*PI()*CONVERT(AK45,"ft","m")^2)))),0)</f>
        <v/>
      </c>
      <c r="BC45" s="153">
        <f>IFERROR(-ABS(10*LOG10(($R45/(4*PI()*CONVERT(AL45,"ft","m")^2)))),0)</f>
        <v/>
      </c>
      <c r="BD45" s="153">
        <f>IFERROR(-ABS(10*LOG10(($R45/(4*PI()*CONVERT(AM45,"ft","m")^2)))),0)</f>
        <v/>
      </c>
      <c r="BE45" s="153">
        <f>IFERROR(-ABS(10*LOG10(($R45/(4*PI()*CONVERT(AN45,"ft","m")^2)))),0)</f>
        <v/>
      </c>
      <c r="BF45" s="153">
        <f>IFERROR(-ABS(10*LOG10(($R45/(4*PI()*CONVERT(AO45,"ft","m")^2)))),0)</f>
        <v/>
      </c>
      <c r="BG45" s="154">
        <f>IFERROR(-ABS(10*LOG10(($R45/(4*PI()*CONVERT(AP45,"ft","m")^2)))),0)</f>
        <v/>
      </c>
      <c r="BH45" s="154">
        <f>IFERROR(-ABS(10*LOG10(($R45/(4*PI()*CONVERT(AQ45,"ft","m")^2)))),0)</f>
        <v/>
      </c>
      <c r="BI45" s="154">
        <f>IFERROR(-ABS(10*LOG10(($R45/(4*PI()*CONVERT(AR45,"ft","m")^2)))),0)</f>
        <v/>
      </c>
      <c r="BJ45" s="154">
        <f>IFERROR(-ABS(10*LOG10(($R45/(4*PI()*CONVERT(AS45,"ft","m")^2)))),0)</f>
        <v/>
      </c>
      <c r="BK45" s="154">
        <f>IFERROR(-ABS(10*LOG10(($R45/(4*PI()*CONVERT(AT45,"ft","m")^2)))),0)</f>
        <v/>
      </c>
      <c r="BL45" s="154">
        <f>IFERROR(-ABS(10*LOG10(($R45/(4*PI()*CONVERT(AU45,"ft","m")^2)))),0)</f>
        <v/>
      </c>
      <c r="BM45" s="155">
        <f>IFERROR(-ABS(10*LOG10(($R45/(4*PI()*CONVERT(AV45,"ft","m")^2)))),0)</f>
        <v/>
      </c>
      <c r="BN45" s="134" t="n"/>
      <c r="BO45" s="56" t="n">
        <v>12</v>
      </c>
      <c r="BP45" s="56" t="n">
        <v>17</v>
      </c>
      <c r="BQ45" s="21" t="n"/>
      <c r="BR45" s="134" t="n"/>
      <c r="BS45" s="134" t="n"/>
      <c r="BT45" s="134" t="n"/>
      <c r="BU45" s="134" t="n"/>
      <c r="BV45" s="140" t="n"/>
      <c r="BW45" s="140" t="n"/>
      <c r="BX45" s="140" t="n"/>
      <c r="BY45" s="140" t="n"/>
      <c r="BZ45" s="140" t="n"/>
      <c r="CA45" s="140" t="n"/>
      <c r="CB45" s="140" t="n"/>
      <c r="CC45" s="140" t="n"/>
      <c r="CD45" s="140" t="n"/>
      <c r="CE45" s="140" t="n"/>
      <c r="CF45" s="140" t="n"/>
      <c r="CG45" s="140" t="n"/>
      <c r="CH45" s="140" t="n"/>
      <c r="CI45" s="140" t="n"/>
      <c r="CJ45" s="140" t="n"/>
      <c r="CK45" s="134" t="n"/>
      <c r="CL45" s="134" t="n"/>
      <c r="CM45" s="169">
        <f>IF( CM$1= 0,"",$Q45-$S45+AY45-BV45)</f>
        <v/>
      </c>
      <c r="CN45" s="170">
        <f>IF( CN$1= 0,"",$Q45-$S45+AZ45-BW45)</f>
        <v/>
      </c>
      <c r="CO45" s="170">
        <f>IF( CO$1= 0,"",$Q45-$S45+BA45-BX45)</f>
        <v/>
      </c>
      <c r="CP45" s="170">
        <f>IF( CP$1= 0,"",$Q45-$S45+BB45-BY45)</f>
        <v/>
      </c>
      <c r="CQ45" s="170">
        <f>IF( CQ$1= 0,"",$Q45-$S45+BC45-BZ45)</f>
        <v/>
      </c>
      <c r="CR45" s="170">
        <f>IF( CR$1= 0,"",$Q45-$S45+BD45-CA45)</f>
        <v/>
      </c>
      <c r="CS45" s="170">
        <f>IF( CS$1= 0,"",$Q45-$S45+BE45-CB45)</f>
        <v/>
      </c>
      <c r="CT45" s="170">
        <f>IF( CT$1= 0,"",$Q45-$S45+BF45-CC45)</f>
        <v/>
      </c>
      <c r="CU45" s="172">
        <f>IF( CU$1= 0,"",$Q45-$S45+BG45-CD45)</f>
        <v/>
      </c>
      <c r="CV45" s="172">
        <f>IF( CV$1= 0,"",$Q45-$S45+BH45-CE45)</f>
        <v/>
      </c>
      <c r="CW45" s="172">
        <f>IF( CW$1= 0,"",$Q45-$S45+BI45-CF45)</f>
        <v/>
      </c>
      <c r="CX45" s="172">
        <f>IF( CX$1= 0,"",$Q45-$S45+BJ45-CG45)</f>
        <v/>
      </c>
      <c r="CY45" s="172">
        <f>IF( CY$1= 0,"",$Q45-$S45+BK45-CH45)</f>
        <v/>
      </c>
      <c r="CZ45" s="172">
        <f>IF( CZ$1= 0,"",$Q45-$S45+BL45-CI45)</f>
        <v/>
      </c>
      <c r="DA45" s="173">
        <f>IF( DA$1= 0,"",$Q45-$S45+BM45-CJ45)</f>
        <v/>
      </c>
    </row>
    <row r="46" ht="16.5" customHeight="1">
      <c r="A46" s="145" t="n"/>
      <c r="B46" s="146" t="n"/>
      <c r="C46" s="146" t="n"/>
      <c r="D46" s="147" t="n"/>
      <c r="E46" s="205" t="n"/>
      <c r="F46" s="213" t="n"/>
      <c r="G46" s="214" t="n"/>
      <c r="H46" s="214" t="n"/>
      <c r="I46" s="214" t="n"/>
      <c r="J46" s="214" t="n"/>
      <c r="K46" s="214" t="n"/>
      <c r="L46" s="214" t="n"/>
      <c r="M46" s="218" t="n"/>
      <c r="N46" s="213" t="n"/>
      <c r="O46" s="215" t="n"/>
      <c r="P46" s="208" t="n"/>
      <c r="Q46" s="128">
        <f>ROUND(IF(AND(A46&gt;0, O46&gt;0), N46+ABS(10*LOG10(P46/(4*PI()*CONVERT(O46,"ft", "m")^2))), N46),0)</f>
        <v/>
      </c>
      <c r="R46" s="3" t="n"/>
      <c r="S46" s="3" t="n"/>
      <c r="T46" s="214" t="n"/>
      <c r="U46" s="214" t="n"/>
      <c r="V46" s="109">
        <f>SUM(W46:X46)</f>
        <v/>
      </c>
      <c r="W46" s="171" t="n"/>
      <c r="X46" s="148" t="n"/>
      <c r="Z46" s="115" t="inlineStr">
        <is>
          <t>bar23</t>
        </is>
      </c>
      <c r="AA46" s="113" t="n">
        <v>0</v>
      </c>
      <c r="AB46" s="52" t="n">
        <v>0</v>
      </c>
      <c r="AC46" s="106" t="n">
        <v>75.40000000000001</v>
      </c>
      <c r="AD46" s="52" t="n">
        <v>0</v>
      </c>
      <c r="AE46" s="52" t="n">
        <v>0</v>
      </c>
      <c r="AF46" s="53" t="n">
        <v>75.40000000000001</v>
      </c>
      <c r="AH46" s="168">
        <f t="array" ref="AH46">IF(AH$1=0,"",SQRT((_xlfn.XLOOKUP(AH$1,$Z$2:$Z$18,$AA$2:$AA$18)-$T46)^2+(_xlfn.XLOOKUP(AH$1,$Z$2:$Z$18,$AB$2:$AB$18)-$U46)^2+(_xlfn.XLOOKUP(AH$1,$Z$2:$Z$18,$AC$2:$AC$18-$V46)^2)))</f>
        <v/>
      </c>
      <c r="AI46" s="150">
        <f t="array" ref="AI46">IF(AI$1=0,"",SQRT((_xlfn.XLOOKUP(AI$1,$Z$2:$Z$18,$AA$2:$AA$18)-$T46)^2+(_xlfn.XLOOKUP(AI$1,$Z$2:$Z$18,$AB$2:$AB$18)-$U46)^2+(_xlfn.XLOOKUP(AI$1,$Z$2:$Z$18,$AC$2:$AC$18-$V46)^2)))</f>
        <v/>
      </c>
      <c r="AJ46" s="150">
        <f t="array" ref="AJ46">IF(AJ$1=0,"",SQRT((_xlfn.XLOOKUP(AJ$1,$Z$2:$Z$18,$AA$2:$AA$18)-$T46)^2+(_xlfn.XLOOKUP(AJ$1,$Z$2:$Z$18,$AB$2:$AB$18)-$U46)^2+(_xlfn.XLOOKUP(AJ$1,$Z$2:$Z$18,$AC$2:$AC$18-$V46)^2)))</f>
        <v/>
      </c>
      <c r="AK46" s="150">
        <f t="array" ref="AK46">IF(AK$1=0,"",SQRT((_xlfn.XLOOKUP(AK$1,$Z$2:$Z$18,$AA$2:$AA$18)-$T46)^2+(_xlfn.XLOOKUP(AK$1,$Z$2:$Z$18,$AB$2:$AB$18)-$U46)^2+(_xlfn.XLOOKUP(AK$1,$Z$2:$Z$18,$AC$2:$AC$18-$V46)^2)))</f>
        <v/>
      </c>
      <c r="AL46" s="150">
        <f t="array" ref="AL46">IF(AL$1=0,"",SQRT((_xlfn.XLOOKUP(AL$1,$Z$2:$Z$18,$AA$2:$AA$18)-$T46)^2+(_xlfn.XLOOKUP(AL$1,$Z$2:$Z$18,$AB$2:$AB$18)-$U46)^2+(_xlfn.XLOOKUP(AL$1,$Z$2:$Z$18,$AC$2:$AC$18-$V46)^2)))</f>
        <v/>
      </c>
      <c r="AM46" s="150">
        <f t="array" ref="AM46">IF(AM$1=0,"",SQRT((_xlfn.XLOOKUP(AM$1,$Z$2:$Z$18,$AA$2:$AA$18)-$T46)^2+(_xlfn.XLOOKUP(AM$1,$Z$2:$Z$18,$AB$2:$AB$18)-$U46)^2+(_xlfn.XLOOKUP(AM$1,$Z$2:$Z$18,$AC$2:$AC$18-$V46)^2)))</f>
        <v/>
      </c>
      <c r="AN46" s="150">
        <f t="array" ref="AN46">IF(AN$1=0,"",SQRT((_xlfn.XLOOKUP(AN$1,$Z$2:$Z$18,$AA$2:$AA$18)-$T46)^2+(_xlfn.XLOOKUP(AN$1,$Z$2:$Z$18,$AB$2:$AB$18)-$U46)^2+(_xlfn.XLOOKUP(AN$1,$Z$2:$Z$18,$AC$2:$AC$18-$V46)^2)))</f>
        <v/>
      </c>
      <c r="AO46" s="150">
        <f t="array" ref="AO46">IF(AO$1=0,"",SQRT((_xlfn.XLOOKUP(AO$1,$Z$2:$Z$18,$AA$2:$AA$18)-$T46)^2+(_xlfn.XLOOKUP(AO$1,$Z$2:$Z$18,$AB$2:$AB$18)-$U46)^2+(_xlfn.XLOOKUP(AO$1,$Z$2:$Z$18,$AC$2:$AC$18-$V46)^2)))</f>
        <v/>
      </c>
      <c r="AP46" s="151">
        <f t="array" ref="AP46">IF(AP$1=0,"",SQRT((_xlfn.XLOOKUP(AP$1,$Z$2:$Z$18,$AA$2:$AA$18)-$T46)^2+(_xlfn.XLOOKUP(AP$1,$Z$2:$Z$18,$AB$2:$AB$18)-$U46)^2+(_xlfn.XLOOKUP(AP$1,$Z$2:$Z$18,$AC$2:$AC$18-$V46)^2)))</f>
        <v/>
      </c>
      <c r="AQ46" s="151">
        <f t="array" ref="AQ46">IF(AQ$1=0,"",SQRT((_xlfn.XLOOKUP(AQ$1,$Z$2:$Z$18,$AA$2:$AA$18)-$T46)^2+(_xlfn.XLOOKUP(AQ$1,$Z$2:$Z$18,$AB$2:$AB$18)-$U46)^2+(_xlfn.XLOOKUP(AQ$1,$Z$2:$Z$18,$AC$2:$AC$18-$V46)^2)))</f>
        <v/>
      </c>
      <c r="AR46" s="151">
        <f t="array" ref="AR46">IF(AR$1=0,"",SQRT((_xlfn.XLOOKUP(AR$1,$Z$2:$Z$18,$AA$2:$AA$18)-$T46)^2+(_xlfn.XLOOKUP(AR$1,$Z$2:$Z$18,$AB$2:$AB$18)-$U46)^2+(_xlfn.XLOOKUP(AR$1,$Z$2:$Z$18,$AC$2:$AC$18-$V46)^2)))</f>
        <v/>
      </c>
      <c r="AS46" s="151">
        <f t="array" ref="AS46">IF(AS$1=0,"",SQRT((_xlfn.XLOOKUP(AS$1,$Z$2:$Z$18,$AA$2:$AA$18)-$T46)^2+(_xlfn.XLOOKUP(AS$1,$Z$2:$Z$18,$AB$2:$AB$18)-$U46)^2+(_xlfn.XLOOKUP(AS$1,$Z$2:$Z$18,$AC$2:$AC$18-$V46)^2)))</f>
        <v/>
      </c>
      <c r="AT46" s="151">
        <f t="array" ref="AT46">IF(AT$1=0,"",SQRT((_xlfn.XLOOKUP(AT$1,$Z$2:$Z$18,$AA$2:$AA$18)-$T46)^2+(_xlfn.XLOOKUP(AT$1,$Z$2:$Z$18,$AB$2:$AB$18)-$U46)^2+(_xlfn.XLOOKUP(AT$1,$Z$2:$Z$18,$AC$2:$AC$18-$V46)^2)))</f>
        <v/>
      </c>
      <c r="AU46" s="151">
        <f t="array" ref="AU46">IF(AU$1=0,"",SQRT((_xlfn.XLOOKUP(AU$1,$Z$2:$Z$18,$AA$2:$AA$18)-$T46)^2+(_xlfn.XLOOKUP(AU$1,$Z$2:$Z$18,$AB$2:$AB$18)-$U46)^2+(_xlfn.XLOOKUP(AU$1,$Z$2:$Z$18,$AC$2:$AC$18-$V46)^2)))</f>
        <v/>
      </c>
      <c r="AV46" s="152">
        <f t="array" ref="AV46">IF(AV$1=0,"",SQRT((_xlfn.XLOOKUP(AV$1,$Z$2:$Z$18,$AA$2:$AA$18)-$T46)^2+(_xlfn.XLOOKUP(AV$1,$Z$2:$Z$18,$AB$2:$AB$18)-$U46)^2+(_xlfn.XLOOKUP(AV$1,$Z$2:$Z$18,$AC$2:$AC$18-$V46)^2)))</f>
        <v/>
      </c>
      <c r="AW46" s="134" t="n"/>
      <c r="AX46" s="134" t="n"/>
      <c r="AY46" s="135">
        <f>IFERROR(-ABS(10*LOG10(($R46/(4*PI()*CONVERT(AH46,"ft","m")^2)))),0)</f>
        <v/>
      </c>
      <c r="AZ46" s="153">
        <f>IFERROR(-ABS(10*LOG10(($R46/(4*PI()*CONVERT(AI46,"ft","m")^2)))),0)</f>
        <v/>
      </c>
      <c r="BA46" s="153">
        <f>IFERROR(-ABS(10*LOG10(($R46/(4*PI()*CONVERT(AJ46,"ft","m")^2)))),0)</f>
        <v/>
      </c>
      <c r="BB46" s="153">
        <f>IFERROR(-ABS(10*LOG10(($R46/(4*PI()*CONVERT(AK46,"ft","m")^2)))),0)</f>
        <v/>
      </c>
      <c r="BC46" s="153">
        <f>IFERROR(-ABS(10*LOG10(($R46/(4*PI()*CONVERT(AL46,"ft","m")^2)))),0)</f>
        <v/>
      </c>
      <c r="BD46" s="153">
        <f>IFERROR(-ABS(10*LOG10(($R46/(4*PI()*CONVERT(AM46,"ft","m")^2)))),0)</f>
        <v/>
      </c>
      <c r="BE46" s="153">
        <f>IFERROR(-ABS(10*LOG10(($R46/(4*PI()*CONVERT(AN46,"ft","m")^2)))),0)</f>
        <v/>
      </c>
      <c r="BF46" s="153">
        <f>IFERROR(-ABS(10*LOG10(($R46/(4*PI()*CONVERT(AO46,"ft","m")^2)))),0)</f>
        <v/>
      </c>
      <c r="BG46" s="154">
        <f>IFERROR(-ABS(10*LOG10(($R46/(4*PI()*CONVERT(AP46,"ft","m")^2)))),0)</f>
        <v/>
      </c>
      <c r="BH46" s="154">
        <f>IFERROR(-ABS(10*LOG10(($R46/(4*PI()*CONVERT(AQ46,"ft","m")^2)))),0)</f>
        <v/>
      </c>
      <c r="BI46" s="154">
        <f>IFERROR(-ABS(10*LOG10(($R46/(4*PI()*CONVERT(AR46,"ft","m")^2)))),0)</f>
        <v/>
      </c>
      <c r="BJ46" s="154">
        <f>IFERROR(-ABS(10*LOG10(($R46/(4*PI()*CONVERT(AS46,"ft","m")^2)))),0)</f>
        <v/>
      </c>
      <c r="BK46" s="154">
        <f>IFERROR(-ABS(10*LOG10(($R46/(4*PI()*CONVERT(AT46,"ft","m")^2)))),0)</f>
        <v/>
      </c>
      <c r="BL46" s="154">
        <f>IFERROR(-ABS(10*LOG10(($R46/(4*PI()*CONVERT(AU46,"ft","m")^2)))),0)</f>
        <v/>
      </c>
      <c r="BM46" s="155">
        <f>IFERROR(-ABS(10*LOG10(($R46/(4*PI()*CONVERT(AV46,"ft","m")^2)))),0)</f>
        <v/>
      </c>
      <c r="BN46" s="134" t="n"/>
      <c r="BO46" s="21" t="inlineStr">
        <is>
          <t xml:space="preserve">Barrier Reduction per ARI: </t>
        </is>
      </c>
      <c r="BP46" s="21">
        <f>ROUND(BQ49,0)</f>
        <v/>
      </c>
      <c r="BQ46" s="21">
        <f>_xlfn.XLOOKUP(BP48,BO39:BO45,BP39:BP45,"error",0,1)</f>
        <v/>
      </c>
      <c r="BR46" s="134" t="n"/>
      <c r="BS46" s="134" t="n"/>
      <c r="BT46" s="134" t="n"/>
      <c r="BU46" s="134" t="n"/>
      <c r="BV46" s="140" t="n"/>
      <c r="BW46" s="140" t="n"/>
      <c r="BX46" s="140" t="n"/>
      <c r="BY46" s="140" t="n"/>
      <c r="BZ46" s="140" t="n"/>
      <c r="CA46" s="140" t="n"/>
      <c r="CB46" s="140" t="n"/>
      <c r="CC46" s="140" t="n"/>
      <c r="CD46" s="140" t="n"/>
      <c r="CE46" s="140" t="n"/>
      <c r="CF46" s="140" t="n"/>
      <c r="CG46" s="140" t="n"/>
      <c r="CH46" s="140" t="n"/>
      <c r="CI46" s="140" t="n"/>
      <c r="CJ46" s="140" t="n"/>
      <c r="CK46" s="134" t="n"/>
      <c r="CL46" s="134" t="n"/>
      <c r="CM46" s="169">
        <f>IF( CM$1= 0,"",$Q46-$S46+AY46-BV46)</f>
        <v/>
      </c>
      <c r="CN46" s="170">
        <f>IF( CN$1= 0,"",$Q46-$S46+AZ46-BW46)</f>
        <v/>
      </c>
      <c r="CO46" s="170">
        <f>IF( CO$1= 0,"",$Q46-$S46+BA46-BX46)</f>
        <v/>
      </c>
      <c r="CP46" s="170">
        <f>IF( CP$1= 0,"",$Q46-$S46+BB46-BY46)</f>
        <v/>
      </c>
      <c r="CQ46" s="170">
        <f>IF( CQ$1= 0,"",$Q46-$S46+BC46-BZ46)</f>
        <v/>
      </c>
      <c r="CR46" s="170">
        <f>IF( CR$1= 0,"",$Q46-$S46+BD46-CA46)</f>
        <v/>
      </c>
      <c r="CS46" s="170">
        <f>IF( CS$1= 0,"",$Q46-$S46+BE46-CB46)</f>
        <v/>
      </c>
      <c r="CT46" s="170">
        <f>IF( CT$1= 0,"",$Q46-$S46+BF46-CC46)</f>
        <v/>
      </c>
      <c r="CU46" s="172">
        <f>IF( CU$1= 0,"",$Q46-$S46+BG46-CD46)</f>
        <v/>
      </c>
      <c r="CV46" s="172">
        <f>IF( CV$1= 0,"",$Q46-$S46+BH46-CE46)</f>
        <v/>
      </c>
      <c r="CW46" s="172">
        <f>IF( CW$1= 0,"",$Q46-$S46+BI46-CF46)</f>
        <v/>
      </c>
      <c r="CX46" s="172">
        <f>IF( CX$1= 0,"",$Q46-$S46+BJ46-CG46)</f>
        <v/>
      </c>
      <c r="CY46" s="172">
        <f>IF( CY$1= 0,"",$Q46-$S46+BK46-CH46)</f>
        <v/>
      </c>
      <c r="CZ46" s="172">
        <f>IF( CZ$1= 0,"",$Q46-$S46+BL46-CI46)</f>
        <v/>
      </c>
      <c r="DA46" s="173">
        <f>IF( DA$1= 0,"",$Q46-$S46+BM46-CJ46)</f>
        <v/>
      </c>
    </row>
    <row r="47" ht="16.5" customHeight="1">
      <c r="A47" s="145" t="n"/>
      <c r="B47" s="146" t="n"/>
      <c r="C47" s="146" t="n"/>
      <c r="D47" s="147" t="n"/>
      <c r="E47" s="205" t="n"/>
      <c r="F47" s="213" t="n"/>
      <c r="G47" s="214" t="n"/>
      <c r="H47" s="214" t="n"/>
      <c r="I47" s="214" t="n"/>
      <c r="J47" s="214" t="n"/>
      <c r="K47" s="214" t="n"/>
      <c r="L47" s="214" t="n"/>
      <c r="M47" s="218" t="n"/>
      <c r="N47" s="213" t="n"/>
      <c r="O47" s="215" t="n"/>
      <c r="P47" s="208" t="n"/>
      <c r="Q47" s="128">
        <f>ROUND(IF(AND(A47&gt;0, O47&gt;0), N47+ABS(10*LOG10(P47/(4*PI()*CONVERT(O47,"ft", "m")^2))), N47),0)</f>
        <v/>
      </c>
      <c r="R47" s="3" t="n"/>
      <c r="S47" s="3" t="n"/>
      <c r="T47" s="214" t="n"/>
      <c r="U47" s="214" t="n"/>
      <c r="V47" s="109">
        <f>SUM(W47:X47)</f>
        <v/>
      </c>
      <c r="W47" s="171" t="n"/>
      <c r="X47" s="148" t="n"/>
      <c r="Z47" s="115" t="inlineStr">
        <is>
          <t>bar24</t>
        </is>
      </c>
      <c r="AA47" s="113" t="n">
        <v>0</v>
      </c>
      <c r="AB47" s="52" t="n">
        <v>0</v>
      </c>
      <c r="AC47" s="106" t="n">
        <v>75.40000000000001</v>
      </c>
      <c r="AD47" s="52" t="n">
        <v>0</v>
      </c>
      <c r="AE47" s="52" t="n">
        <v>0</v>
      </c>
      <c r="AF47" s="53" t="n">
        <v>75.40000000000001</v>
      </c>
      <c r="AH47" s="168">
        <f t="array" ref="AH47">IF(AH$1=0,"",SQRT((_xlfn.XLOOKUP(AH$1,$Z$2:$Z$18,$AA$2:$AA$18)-$T47)^2+(_xlfn.XLOOKUP(AH$1,$Z$2:$Z$18,$AB$2:$AB$18)-$U47)^2+(_xlfn.XLOOKUP(AH$1,$Z$2:$Z$18,$AC$2:$AC$18-$V47)^2)))</f>
        <v/>
      </c>
      <c r="AI47" s="150">
        <f t="array" ref="AI47">IF(AI$1=0,"",SQRT((_xlfn.XLOOKUP(AI$1,$Z$2:$Z$18,$AA$2:$AA$18)-$T47)^2+(_xlfn.XLOOKUP(AI$1,$Z$2:$Z$18,$AB$2:$AB$18)-$U47)^2+(_xlfn.XLOOKUP(AI$1,$Z$2:$Z$18,$AC$2:$AC$18-$V47)^2)))</f>
        <v/>
      </c>
      <c r="AJ47" s="150">
        <f t="array" ref="AJ47">IF(AJ$1=0,"",SQRT((_xlfn.XLOOKUP(AJ$1,$Z$2:$Z$18,$AA$2:$AA$18)-$T47)^2+(_xlfn.XLOOKUP(AJ$1,$Z$2:$Z$18,$AB$2:$AB$18)-$U47)^2+(_xlfn.XLOOKUP(AJ$1,$Z$2:$Z$18,$AC$2:$AC$18-$V47)^2)))</f>
        <v/>
      </c>
      <c r="AK47" s="150">
        <f t="array" ref="AK47">IF(AK$1=0,"",SQRT((_xlfn.XLOOKUP(AK$1,$Z$2:$Z$18,$AA$2:$AA$18)-$T47)^2+(_xlfn.XLOOKUP(AK$1,$Z$2:$Z$18,$AB$2:$AB$18)-$U47)^2+(_xlfn.XLOOKUP(AK$1,$Z$2:$Z$18,$AC$2:$AC$18-$V47)^2)))</f>
        <v/>
      </c>
      <c r="AL47" s="150">
        <f t="array" ref="AL47">IF(AL$1=0,"",SQRT((_xlfn.XLOOKUP(AL$1,$Z$2:$Z$18,$AA$2:$AA$18)-$T47)^2+(_xlfn.XLOOKUP(AL$1,$Z$2:$Z$18,$AB$2:$AB$18)-$U47)^2+(_xlfn.XLOOKUP(AL$1,$Z$2:$Z$18,$AC$2:$AC$18-$V47)^2)))</f>
        <v/>
      </c>
      <c r="AM47" s="150">
        <f t="array" ref="AM47">IF(AM$1=0,"",SQRT((_xlfn.XLOOKUP(AM$1,$Z$2:$Z$18,$AA$2:$AA$18)-$T47)^2+(_xlfn.XLOOKUP(AM$1,$Z$2:$Z$18,$AB$2:$AB$18)-$U47)^2+(_xlfn.XLOOKUP(AM$1,$Z$2:$Z$18,$AC$2:$AC$18-$V47)^2)))</f>
        <v/>
      </c>
      <c r="AN47" s="150">
        <f t="array" ref="AN47">IF(AN$1=0,"",SQRT((_xlfn.XLOOKUP(AN$1,$Z$2:$Z$18,$AA$2:$AA$18)-$T47)^2+(_xlfn.XLOOKUP(AN$1,$Z$2:$Z$18,$AB$2:$AB$18)-$U47)^2+(_xlfn.XLOOKUP(AN$1,$Z$2:$Z$18,$AC$2:$AC$18-$V47)^2)))</f>
        <v/>
      </c>
      <c r="AO47" s="150">
        <f t="array" ref="AO47">IF(AO$1=0,"",SQRT((_xlfn.XLOOKUP(AO$1,$Z$2:$Z$18,$AA$2:$AA$18)-$T47)^2+(_xlfn.XLOOKUP(AO$1,$Z$2:$Z$18,$AB$2:$AB$18)-$U47)^2+(_xlfn.XLOOKUP(AO$1,$Z$2:$Z$18,$AC$2:$AC$18-$V47)^2)))</f>
        <v/>
      </c>
      <c r="AP47" s="151">
        <f t="array" ref="AP47">IF(AP$1=0,"",SQRT((_xlfn.XLOOKUP(AP$1,$Z$2:$Z$18,$AA$2:$AA$18)-$T47)^2+(_xlfn.XLOOKUP(AP$1,$Z$2:$Z$18,$AB$2:$AB$18)-$U47)^2+(_xlfn.XLOOKUP(AP$1,$Z$2:$Z$18,$AC$2:$AC$18-$V47)^2)))</f>
        <v/>
      </c>
      <c r="AQ47" s="151">
        <f t="array" ref="AQ47">IF(AQ$1=0,"",SQRT((_xlfn.XLOOKUP(AQ$1,$Z$2:$Z$18,$AA$2:$AA$18)-$T47)^2+(_xlfn.XLOOKUP(AQ$1,$Z$2:$Z$18,$AB$2:$AB$18)-$U47)^2+(_xlfn.XLOOKUP(AQ$1,$Z$2:$Z$18,$AC$2:$AC$18-$V47)^2)))</f>
        <v/>
      </c>
      <c r="AR47" s="151">
        <f t="array" ref="AR47">IF(AR$1=0,"",SQRT((_xlfn.XLOOKUP(AR$1,$Z$2:$Z$18,$AA$2:$AA$18)-$T47)^2+(_xlfn.XLOOKUP(AR$1,$Z$2:$Z$18,$AB$2:$AB$18)-$U47)^2+(_xlfn.XLOOKUP(AR$1,$Z$2:$Z$18,$AC$2:$AC$18-$V47)^2)))</f>
        <v/>
      </c>
      <c r="AS47" s="151">
        <f t="array" ref="AS47">IF(AS$1=0,"",SQRT((_xlfn.XLOOKUP(AS$1,$Z$2:$Z$18,$AA$2:$AA$18)-$T47)^2+(_xlfn.XLOOKUP(AS$1,$Z$2:$Z$18,$AB$2:$AB$18)-$U47)^2+(_xlfn.XLOOKUP(AS$1,$Z$2:$Z$18,$AC$2:$AC$18-$V47)^2)))</f>
        <v/>
      </c>
      <c r="AT47" s="151">
        <f t="array" ref="AT47">IF(AT$1=0,"",SQRT((_xlfn.XLOOKUP(AT$1,$Z$2:$Z$18,$AA$2:$AA$18)-$T47)^2+(_xlfn.XLOOKUP(AT$1,$Z$2:$Z$18,$AB$2:$AB$18)-$U47)^2+(_xlfn.XLOOKUP(AT$1,$Z$2:$Z$18,$AC$2:$AC$18-$V47)^2)))</f>
        <v/>
      </c>
      <c r="AU47" s="151">
        <f t="array" ref="AU47">IF(AU$1=0,"",SQRT((_xlfn.XLOOKUP(AU$1,$Z$2:$Z$18,$AA$2:$AA$18)-$T47)^2+(_xlfn.XLOOKUP(AU$1,$Z$2:$Z$18,$AB$2:$AB$18)-$U47)^2+(_xlfn.XLOOKUP(AU$1,$Z$2:$Z$18,$AC$2:$AC$18-$V47)^2)))</f>
        <v/>
      </c>
      <c r="AV47" s="152">
        <f t="array" ref="AV47">IF(AV$1=0,"",SQRT((_xlfn.XLOOKUP(AV$1,$Z$2:$Z$18,$AA$2:$AA$18)-$T47)^2+(_xlfn.XLOOKUP(AV$1,$Z$2:$Z$18,$AB$2:$AB$18)-$U47)^2+(_xlfn.XLOOKUP(AV$1,$Z$2:$Z$18,$AC$2:$AC$18-$V47)^2)))</f>
        <v/>
      </c>
      <c r="AW47" s="134" t="n"/>
      <c r="AX47" s="134" t="n"/>
      <c r="AY47" s="135">
        <f>IFERROR(-ABS(10*LOG10(($R47/(4*PI()*CONVERT(AH47,"ft","m")^2)))),0)</f>
        <v/>
      </c>
      <c r="AZ47" s="153">
        <f>IFERROR(-ABS(10*LOG10(($R47/(4*PI()*CONVERT(AI47,"ft","m")^2)))),0)</f>
        <v/>
      </c>
      <c r="BA47" s="153">
        <f>IFERROR(-ABS(10*LOG10(($R47/(4*PI()*CONVERT(AJ47,"ft","m")^2)))),0)</f>
        <v/>
      </c>
      <c r="BB47" s="153">
        <f>IFERROR(-ABS(10*LOG10(($R47/(4*PI()*CONVERT(AK47,"ft","m")^2)))),0)</f>
        <v/>
      </c>
      <c r="BC47" s="153">
        <f>IFERROR(-ABS(10*LOG10(($R47/(4*PI()*CONVERT(AL47,"ft","m")^2)))),0)</f>
        <v/>
      </c>
      <c r="BD47" s="153">
        <f>IFERROR(-ABS(10*LOG10(($R47/(4*PI()*CONVERT(AM47,"ft","m")^2)))),0)</f>
        <v/>
      </c>
      <c r="BE47" s="153">
        <f>IFERROR(-ABS(10*LOG10(($R47/(4*PI()*CONVERT(AN47,"ft","m")^2)))),0)</f>
        <v/>
      </c>
      <c r="BF47" s="153">
        <f>IFERROR(-ABS(10*LOG10(($R47/(4*PI()*CONVERT(AO47,"ft","m")^2)))),0)</f>
        <v/>
      </c>
      <c r="BG47" s="154">
        <f>IFERROR(-ABS(10*LOG10(($R47/(4*PI()*CONVERT(AP47,"ft","m")^2)))),0)</f>
        <v/>
      </c>
      <c r="BH47" s="154">
        <f>IFERROR(-ABS(10*LOG10(($R47/(4*PI()*CONVERT(AQ47,"ft","m")^2)))),0)</f>
        <v/>
      </c>
      <c r="BI47" s="154">
        <f>IFERROR(-ABS(10*LOG10(($R47/(4*PI()*CONVERT(AR47,"ft","m")^2)))),0)</f>
        <v/>
      </c>
      <c r="BJ47" s="154">
        <f>IFERROR(-ABS(10*LOG10(($R47/(4*PI()*CONVERT(AS47,"ft","m")^2)))),0)</f>
        <v/>
      </c>
      <c r="BK47" s="154">
        <f>IFERROR(-ABS(10*LOG10(($R47/(4*PI()*CONVERT(AT47,"ft","m")^2)))),0)</f>
        <v/>
      </c>
      <c r="BL47" s="154">
        <f>IFERROR(-ABS(10*LOG10(($R47/(4*PI()*CONVERT(AU47,"ft","m")^2)))),0)</f>
        <v/>
      </c>
      <c r="BM47" s="155">
        <f>IFERROR(-ABS(10*LOG10(($R47/(4*PI()*CONVERT(AV47,"ft","m")^2)))),0)</f>
        <v/>
      </c>
      <c r="BN47" s="134" t="n"/>
      <c r="BO47" s="21" t="inlineStr">
        <is>
          <t>PLD</t>
        </is>
      </c>
      <c r="BP47" s="43">
        <f>'Input LwA_XYZ'!BP12</f>
        <v/>
      </c>
      <c r="BQ47" s="21">
        <f>_xlfn.XLOOKUP(BP49,BO39:BO45,BP39:BP45,"error",0,1)</f>
        <v/>
      </c>
      <c r="BR47" s="134" t="n"/>
      <c r="BS47" s="134" t="n"/>
      <c r="BT47" s="134" t="n"/>
      <c r="BU47" s="134" t="n"/>
      <c r="BV47" s="140" t="n"/>
      <c r="BW47" s="140" t="n"/>
      <c r="BX47" s="140" t="n"/>
      <c r="BY47" s="140" t="n"/>
      <c r="BZ47" s="140" t="n"/>
      <c r="CA47" s="140" t="n"/>
      <c r="CB47" s="140" t="n"/>
      <c r="CC47" s="140" t="n"/>
      <c r="CD47" s="140" t="n"/>
      <c r="CE47" s="140" t="n"/>
      <c r="CF47" s="140" t="n"/>
      <c r="CG47" s="140" t="n"/>
      <c r="CH47" s="140" t="n"/>
      <c r="CI47" s="140" t="n"/>
      <c r="CJ47" s="140" t="n"/>
      <c r="CK47" s="134" t="n"/>
      <c r="CL47" s="134" t="n"/>
      <c r="CM47" s="169">
        <f>IF( CM$1= 0,"",$Q47-$S47+AY47-BV47)</f>
        <v/>
      </c>
      <c r="CN47" s="170">
        <f>IF( CN$1= 0,"",$Q47-$S47+AZ47-BW47)</f>
        <v/>
      </c>
      <c r="CO47" s="170">
        <f>IF( CO$1= 0,"",$Q47-$S47+BA47-BX47)</f>
        <v/>
      </c>
      <c r="CP47" s="170">
        <f>IF( CP$1= 0,"",$Q47-$S47+BB47-BY47)</f>
        <v/>
      </c>
      <c r="CQ47" s="170">
        <f>IF( CQ$1= 0,"",$Q47-$S47+BC47-BZ47)</f>
        <v/>
      </c>
      <c r="CR47" s="170">
        <f>IF( CR$1= 0,"",$Q47-$S47+BD47-CA47)</f>
        <v/>
      </c>
      <c r="CS47" s="170">
        <f>IF( CS$1= 0,"",$Q47-$S47+BE47-CB47)</f>
        <v/>
      </c>
      <c r="CT47" s="170">
        <f>IF( CT$1= 0,"",$Q47-$S47+BF47-CC47)</f>
        <v/>
      </c>
      <c r="CU47" s="172">
        <f>IF( CU$1= 0,"",$Q47-$S47+BG47-CD47)</f>
        <v/>
      </c>
      <c r="CV47" s="172">
        <f>IF( CV$1= 0,"",$Q47-$S47+BH47-CE47)</f>
        <v/>
      </c>
      <c r="CW47" s="172">
        <f>IF( CW$1= 0,"",$Q47-$S47+BI47-CF47)</f>
        <v/>
      </c>
      <c r="CX47" s="172">
        <f>IF( CX$1= 0,"",$Q47-$S47+BJ47-CG47)</f>
        <v/>
      </c>
      <c r="CY47" s="172">
        <f>IF( CY$1= 0,"",$Q47-$S47+BK47-CH47)</f>
        <v/>
      </c>
      <c r="CZ47" s="172">
        <f>IF( CZ$1= 0,"",$Q47-$S47+BL47-CI47)</f>
        <v/>
      </c>
      <c r="DA47" s="173">
        <f>IF( DA$1= 0,"",$Q47-$S47+BM47-CJ47)</f>
        <v/>
      </c>
    </row>
    <row r="48" ht="16.5" customHeight="1">
      <c r="A48" s="145" t="n"/>
      <c r="B48" s="146" t="n"/>
      <c r="C48" s="146" t="n"/>
      <c r="D48" s="147" t="n"/>
      <c r="E48" s="205" t="n"/>
      <c r="F48" s="213" t="n"/>
      <c r="G48" s="214" t="n"/>
      <c r="H48" s="214" t="n"/>
      <c r="I48" s="214" t="n"/>
      <c r="J48" s="214" t="n"/>
      <c r="K48" s="214" t="n"/>
      <c r="L48" s="214" t="n"/>
      <c r="M48" s="218" t="n"/>
      <c r="N48" s="213" t="n"/>
      <c r="O48" s="215" t="n"/>
      <c r="P48" s="208" t="n"/>
      <c r="Q48" s="128">
        <f>ROUND(IF(AND(A48&gt;0, O48&gt;0), N48+ABS(10*LOG10(P48/(4*PI()*CONVERT(O48,"ft", "m")^2))), N48),0)</f>
        <v/>
      </c>
      <c r="R48" s="3" t="n"/>
      <c r="S48" s="3" t="n"/>
      <c r="T48" s="214" t="n"/>
      <c r="U48" s="214" t="n"/>
      <c r="V48" s="109">
        <f>SUM(W48:X48)</f>
        <v/>
      </c>
      <c r="W48" s="171" t="n"/>
      <c r="X48" s="148" t="n"/>
      <c r="Z48" s="116" t="n"/>
      <c r="AA48" s="113" t="n"/>
      <c r="AB48" s="52" t="n"/>
      <c r="AC48" s="53" t="n"/>
      <c r="AD48" s="52" t="n"/>
      <c r="AE48" s="52" t="n"/>
      <c r="AF48" s="53" t="n"/>
      <c r="AH48" s="168">
        <f t="array" ref="AH48">IF(AH$1=0,"",SQRT((_xlfn.XLOOKUP(AH$1,$Z$2:$Z$18,$AA$2:$AA$18)-$T48)^2+(_xlfn.XLOOKUP(AH$1,$Z$2:$Z$18,$AB$2:$AB$18)-$U48)^2+(_xlfn.XLOOKUP(AH$1,$Z$2:$Z$18,$AC$2:$AC$18-$V48)^2)))</f>
        <v/>
      </c>
      <c r="AI48" s="150">
        <f t="array" ref="AI48">IF(AI$1=0,"",SQRT((_xlfn.XLOOKUP(AI$1,$Z$2:$Z$18,$AA$2:$AA$18)-$T48)^2+(_xlfn.XLOOKUP(AI$1,$Z$2:$Z$18,$AB$2:$AB$18)-$U48)^2+(_xlfn.XLOOKUP(AI$1,$Z$2:$Z$18,$AC$2:$AC$18-$V48)^2)))</f>
        <v/>
      </c>
      <c r="AJ48" s="150">
        <f t="array" ref="AJ48">IF(AJ$1=0,"",SQRT((_xlfn.XLOOKUP(AJ$1,$Z$2:$Z$18,$AA$2:$AA$18)-$T48)^2+(_xlfn.XLOOKUP(AJ$1,$Z$2:$Z$18,$AB$2:$AB$18)-$U48)^2+(_xlfn.XLOOKUP(AJ$1,$Z$2:$Z$18,$AC$2:$AC$18-$V48)^2)))</f>
        <v/>
      </c>
      <c r="AK48" s="150">
        <f t="array" ref="AK48">IF(AK$1=0,"",SQRT((_xlfn.XLOOKUP(AK$1,$Z$2:$Z$18,$AA$2:$AA$18)-$T48)^2+(_xlfn.XLOOKUP(AK$1,$Z$2:$Z$18,$AB$2:$AB$18)-$U48)^2+(_xlfn.XLOOKUP(AK$1,$Z$2:$Z$18,$AC$2:$AC$18-$V48)^2)))</f>
        <v/>
      </c>
      <c r="AL48" s="150">
        <f t="array" ref="AL48">IF(AL$1=0,"",SQRT((_xlfn.XLOOKUP(AL$1,$Z$2:$Z$18,$AA$2:$AA$18)-$T48)^2+(_xlfn.XLOOKUP(AL$1,$Z$2:$Z$18,$AB$2:$AB$18)-$U48)^2+(_xlfn.XLOOKUP(AL$1,$Z$2:$Z$18,$AC$2:$AC$18-$V48)^2)))</f>
        <v/>
      </c>
      <c r="AM48" s="150">
        <f t="array" ref="AM48">IF(AM$1=0,"",SQRT((_xlfn.XLOOKUP(AM$1,$Z$2:$Z$18,$AA$2:$AA$18)-$T48)^2+(_xlfn.XLOOKUP(AM$1,$Z$2:$Z$18,$AB$2:$AB$18)-$U48)^2+(_xlfn.XLOOKUP(AM$1,$Z$2:$Z$18,$AC$2:$AC$18-$V48)^2)))</f>
        <v/>
      </c>
      <c r="AN48" s="150">
        <f t="array" ref="AN48">IF(AN$1=0,"",SQRT((_xlfn.XLOOKUP(AN$1,$Z$2:$Z$18,$AA$2:$AA$18)-$T48)^2+(_xlfn.XLOOKUP(AN$1,$Z$2:$Z$18,$AB$2:$AB$18)-$U48)^2+(_xlfn.XLOOKUP(AN$1,$Z$2:$Z$18,$AC$2:$AC$18-$V48)^2)))</f>
        <v/>
      </c>
      <c r="AO48" s="150">
        <f t="array" ref="AO48">IF(AO$1=0,"",SQRT((_xlfn.XLOOKUP(AO$1,$Z$2:$Z$18,$AA$2:$AA$18)-$T48)^2+(_xlfn.XLOOKUP(AO$1,$Z$2:$Z$18,$AB$2:$AB$18)-$U48)^2+(_xlfn.XLOOKUP(AO$1,$Z$2:$Z$18,$AC$2:$AC$18-$V48)^2)))</f>
        <v/>
      </c>
      <c r="AP48" s="151">
        <f t="array" ref="AP48">IF(AP$1=0,"",SQRT((_xlfn.XLOOKUP(AP$1,$Z$2:$Z$18,$AA$2:$AA$18)-$T48)^2+(_xlfn.XLOOKUP(AP$1,$Z$2:$Z$18,$AB$2:$AB$18)-$U48)^2+(_xlfn.XLOOKUP(AP$1,$Z$2:$Z$18,$AC$2:$AC$18-$V48)^2)))</f>
        <v/>
      </c>
      <c r="AQ48" s="151">
        <f t="array" ref="AQ48">IF(AQ$1=0,"",SQRT((_xlfn.XLOOKUP(AQ$1,$Z$2:$Z$18,$AA$2:$AA$18)-$T48)^2+(_xlfn.XLOOKUP(AQ$1,$Z$2:$Z$18,$AB$2:$AB$18)-$U48)^2+(_xlfn.XLOOKUP(AQ$1,$Z$2:$Z$18,$AC$2:$AC$18-$V48)^2)))</f>
        <v/>
      </c>
      <c r="AR48" s="151">
        <f t="array" ref="AR48">IF(AR$1=0,"",SQRT((_xlfn.XLOOKUP(AR$1,$Z$2:$Z$18,$AA$2:$AA$18)-$T48)^2+(_xlfn.XLOOKUP(AR$1,$Z$2:$Z$18,$AB$2:$AB$18)-$U48)^2+(_xlfn.XLOOKUP(AR$1,$Z$2:$Z$18,$AC$2:$AC$18-$V48)^2)))</f>
        <v/>
      </c>
      <c r="AS48" s="151">
        <f t="array" ref="AS48">IF(AS$1=0,"",SQRT((_xlfn.XLOOKUP(AS$1,$Z$2:$Z$18,$AA$2:$AA$18)-$T48)^2+(_xlfn.XLOOKUP(AS$1,$Z$2:$Z$18,$AB$2:$AB$18)-$U48)^2+(_xlfn.XLOOKUP(AS$1,$Z$2:$Z$18,$AC$2:$AC$18-$V48)^2)))</f>
        <v/>
      </c>
      <c r="AT48" s="151">
        <f t="array" ref="AT48">IF(AT$1=0,"",SQRT((_xlfn.XLOOKUP(AT$1,$Z$2:$Z$18,$AA$2:$AA$18)-$T48)^2+(_xlfn.XLOOKUP(AT$1,$Z$2:$Z$18,$AB$2:$AB$18)-$U48)^2+(_xlfn.XLOOKUP(AT$1,$Z$2:$Z$18,$AC$2:$AC$18-$V48)^2)))</f>
        <v/>
      </c>
      <c r="AU48" s="151">
        <f t="array" ref="AU48">IF(AU$1=0,"",SQRT((_xlfn.XLOOKUP(AU$1,$Z$2:$Z$18,$AA$2:$AA$18)-$T48)^2+(_xlfn.XLOOKUP(AU$1,$Z$2:$Z$18,$AB$2:$AB$18)-$U48)^2+(_xlfn.XLOOKUP(AU$1,$Z$2:$Z$18,$AC$2:$AC$18-$V48)^2)))</f>
        <v/>
      </c>
      <c r="AV48" s="152">
        <f t="array" ref="AV48">IF(AV$1=0,"",SQRT((_xlfn.XLOOKUP(AV$1,$Z$2:$Z$18,$AA$2:$AA$18)-$T48)^2+(_xlfn.XLOOKUP(AV$1,$Z$2:$Z$18,$AB$2:$AB$18)-$U48)^2+(_xlfn.XLOOKUP(AV$1,$Z$2:$Z$18,$AC$2:$AC$18-$V48)^2)))</f>
        <v/>
      </c>
      <c r="AW48" s="134" t="n"/>
      <c r="AX48" s="134" t="n"/>
      <c r="AY48" s="135">
        <f>IFERROR(-ABS(10*LOG10(($R48/(4*PI()*CONVERT(AH48,"ft","m")^2)))),0)</f>
        <v/>
      </c>
      <c r="AZ48" s="153">
        <f>IFERROR(-ABS(10*LOG10(($R48/(4*PI()*CONVERT(AI48,"ft","m")^2)))),0)</f>
        <v/>
      </c>
      <c r="BA48" s="153">
        <f>IFERROR(-ABS(10*LOG10(($R48/(4*PI()*CONVERT(AJ48,"ft","m")^2)))),0)</f>
        <v/>
      </c>
      <c r="BB48" s="153">
        <f>IFERROR(-ABS(10*LOG10(($R48/(4*PI()*CONVERT(AK48,"ft","m")^2)))),0)</f>
        <v/>
      </c>
      <c r="BC48" s="153">
        <f>IFERROR(-ABS(10*LOG10(($R48/(4*PI()*CONVERT(AL48,"ft","m")^2)))),0)</f>
        <v/>
      </c>
      <c r="BD48" s="153">
        <f>IFERROR(-ABS(10*LOG10(($R48/(4*PI()*CONVERT(AM48,"ft","m")^2)))),0)</f>
        <v/>
      </c>
      <c r="BE48" s="153">
        <f>IFERROR(-ABS(10*LOG10(($R48/(4*PI()*CONVERT(AN48,"ft","m")^2)))),0)</f>
        <v/>
      </c>
      <c r="BF48" s="153">
        <f>IFERROR(-ABS(10*LOG10(($R48/(4*PI()*CONVERT(AO48,"ft","m")^2)))),0)</f>
        <v/>
      </c>
      <c r="BG48" s="154">
        <f>IFERROR(-ABS(10*LOG10(($R48/(4*PI()*CONVERT(AP48,"ft","m")^2)))),0)</f>
        <v/>
      </c>
      <c r="BH48" s="154">
        <f>IFERROR(-ABS(10*LOG10(($R48/(4*PI()*CONVERT(AQ48,"ft","m")^2)))),0)</f>
        <v/>
      </c>
      <c r="BI48" s="154">
        <f>IFERROR(-ABS(10*LOG10(($R48/(4*PI()*CONVERT(AR48,"ft","m")^2)))),0)</f>
        <v/>
      </c>
      <c r="BJ48" s="154">
        <f>IFERROR(-ABS(10*LOG10(($R48/(4*PI()*CONVERT(AS48,"ft","m")^2)))),0)</f>
        <v/>
      </c>
      <c r="BK48" s="154">
        <f>IFERROR(-ABS(10*LOG10(($R48/(4*PI()*CONVERT(AT48,"ft","m")^2)))),0)</f>
        <v/>
      </c>
      <c r="BL48" s="154">
        <f>IFERROR(-ABS(10*LOG10(($R48/(4*PI()*CONVERT(AU48,"ft","m")^2)))),0)</f>
        <v/>
      </c>
      <c r="BM48" s="155">
        <f>IFERROR(-ABS(10*LOG10(($R48/(4*PI()*CONVERT(AV48,"ft","m")^2)))),0)</f>
        <v/>
      </c>
      <c r="BN48" s="134" t="n"/>
      <c r="BO48" s="21" t="inlineStr">
        <is>
          <t>First Lower</t>
        </is>
      </c>
      <c r="BP48" s="21">
        <f>_xlfn.XLOOKUP(BP47,BO39:BO45,BO39:BO45,"error",-1,1)</f>
        <v/>
      </c>
      <c r="BQ48" s="21">
        <f>BQ47-BQ46</f>
        <v/>
      </c>
      <c r="BR48" s="134" t="n"/>
      <c r="BS48" s="134" t="n"/>
      <c r="BT48" s="134" t="n"/>
      <c r="BU48" s="134" t="n"/>
      <c r="BV48" s="140" t="n"/>
      <c r="BW48" s="140" t="n"/>
      <c r="BX48" s="140" t="n"/>
      <c r="BY48" s="140" t="n"/>
      <c r="BZ48" s="140" t="n"/>
      <c r="CA48" s="140" t="n"/>
      <c r="CB48" s="140" t="n"/>
      <c r="CC48" s="140" t="n"/>
      <c r="CD48" s="140" t="n"/>
      <c r="CE48" s="140" t="n"/>
      <c r="CF48" s="140" t="n"/>
      <c r="CG48" s="140" t="n"/>
      <c r="CH48" s="140" t="n"/>
      <c r="CI48" s="140" t="n"/>
      <c r="CJ48" s="140" t="n"/>
      <c r="CK48" s="134" t="n"/>
      <c r="CL48" s="134" t="n"/>
      <c r="CM48" s="169">
        <f>IF( CM$1= 0,"",$Q48-$S48+AY48-BV48)</f>
        <v/>
      </c>
      <c r="CN48" s="170">
        <f>IF( CN$1= 0,"",$Q48-$S48+AZ48-BW48)</f>
        <v/>
      </c>
      <c r="CO48" s="170">
        <f>IF( CO$1= 0,"",$Q48-$S48+BA48-BX48)</f>
        <v/>
      </c>
      <c r="CP48" s="170">
        <f>IF( CP$1= 0,"",$Q48-$S48+BB48-BY48)</f>
        <v/>
      </c>
      <c r="CQ48" s="170">
        <f>IF( CQ$1= 0,"",$Q48-$S48+BC48-BZ48)</f>
        <v/>
      </c>
      <c r="CR48" s="170">
        <f>IF( CR$1= 0,"",$Q48-$S48+BD48-CA48)</f>
        <v/>
      </c>
      <c r="CS48" s="170">
        <f>IF( CS$1= 0,"",$Q48-$S48+BE48-CB48)</f>
        <v/>
      </c>
      <c r="CT48" s="170">
        <f>IF( CT$1= 0,"",$Q48-$S48+BF48-CC48)</f>
        <v/>
      </c>
      <c r="CU48" s="172">
        <f>IF( CU$1= 0,"",$Q48-$S48+BG48-CD48)</f>
        <v/>
      </c>
      <c r="CV48" s="172">
        <f>IF( CV$1= 0,"",$Q48-$S48+BH48-CE48)</f>
        <v/>
      </c>
      <c r="CW48" s="172">
        <f>IF( CW$1= 0,"",$Q48-$S48+BI48-CF48)</f>
        <v/>
      </c>
      <c r="CX48" s="172">
        <f>IF( CX$1= 0,"",$Q48-$S48+BJ48-CG48)</f>
        <v/>
      </c>
      <c r="CY48" s="172">
        <f>IF( CY$1= 0,"",$Q48-$S48+BK48-CH48)</f>
        <v/>
      </c>
      <c r="CZ48" s="172">
        <f>IF( CZ$1= 0,"",$Q48-$S48+BL48-CI48)</f>
        <v/>
      </c>
      <c r="DA48" s="173">
        <f>IF( DA$1= 0,"",$Q48-$S48+BM48-CJ48)</f>
        <v/>
      </c>
    </row>
    <row r="49" ht="16.5" customHeight="1">
      <c r="A49" s="145" t="n"/>
      <c r="B49" s="146" t="n"/>
      <c r="C49" s="146" t="n"/>
      <c r="D49" s="147" t="n"/>
      <c r="E49" s="205" t="n"/>
      <c r="F49" s="213" t="n"/>
      <c r="G49" s="214" t="n"/>
      <c r="H49" s="214" t="n"/>
      <c r="I49" s="214" t="n"/>
      <c r="J49" s="214" t="n"/>
      <c r="K49" s="214" t="n"/>
      <c r="L49" s="214" t="n"/>
      <c r="M49" s="218" t="n"/>
      <c r="N49" s="213" t="n"/>
      <c r="O49" s="215" t="n"/>
      <c r="P49" s="208" t="n"/>
      <c r="Q49" s="128">
        <f>ROUND(IF(AND(A49&gt;0, O49&gt;0), N49+ABS(10*LOG10(P49/(4*PI()*CONVERT(O49,"ft", "m")^2))), N49),0)</f>
        <v/>
      </c>
      <c r="R49" s="3" t="n"/>
      <c r="S49" s="3" t="n"/>
      <c r="T49" s="214" t="n"/>
      <c r="U49" s="214" t="n"/>
      <c r="V49" s="109">
        <f>SUM(W49:X49)</f>
        <v/>
      </c>
      <c r="W49" s="171" t="n"/>
      <c r="X49" s="148" t="n"/>
      <c r="Z49" s="116" t="n"/>
      <c r="AA49" s="113" t="n"/>
      <c r="AB49" s="52" t="n"/>
      <c r="AC49" s="53" t="n"/>
      <c r="AD49" s="52" t="n"/>
      <c r="AE49" s="52" t="n"/>
      <c r="AF49" s="53" t="n"/>
      <c r="AH49" s="168">
        <f t="array" ref="AH49">IF(AH$1=0,"",SQRT((_xlfn.XLOOKUP(AH$1,$Z$2:$Z$18,$AA$2:$AA$18)-$T49)^2+(_xlfn.XLOOKUP(AH$1,$Z$2:$Z$18,$AB$2:$AB$18)-$U49)^2+(_xlfn.XLOOKUP(AH$1,$Z$2:$Z$18,$AC$2:$AC$18-$V49)^2)))</f>
        <v/>
      </c>
      <c r="AI49" s="150">
        <f t="array" ref="AI49">IF(AI$1=0,"",SQRT((_xlfn.XLOOKUP(AI$1,$Z$2:$Z$18,$AA$2:$AA$18)-$T49)^2+(_xlfn.XLOOKUP(AI$1,$Z$2:$Z$18,$AB$2:$AB$18)-$U49)^2+(_xlfn.XLOOKUP(AI$1,$Z$2:$Z$18,$AC$2:$AC$18-$V49)^2)))</f>
        <v/>
      </c>
      <c r="AJ49" s="150">
        <f t="array" ref="AJ49">IF(AJ$1=0,"",SQRT((_xlfn.XLOOKUP(AJ$1,$Z$2:$Z$18,$AA$2:$AA$18)-$T49)^2+(_xlfn.XLOOKUP(AJ$1,$Z$2:$Z$18,$AB$2:$AB$18)-$U49)^2+(_xlfn.XLOOKUP(AJ$1,$Z$2:$Z$18,$AC$2:$AC$18-$V49)^2)))</f>
        <v/>
      </c>
      <c r="AK49" s="150">
        <f t="array" ref="AK49">IF(AK$1=0,"",SQRT((_xlfn.XLOOKUP(AK$1,$Z$2:$Z$18,$AA$2:$AA$18)-$T49)^2+(_xlfn.XLOOKUP(AK$1,$Z$2:$Z$18,$AB$2:$AB$18)-$U49)^2+(_xlfn.XLOOKUP(AK$1,$Z$2:$Z$18,$AC$2:$AC$18-$V49)^2)))</f>
        <v/>
      </c>
      <c r="AL49" s="150">
        <f t="array" ref="AL49">IF(AL$1=0,"",SQRT((_xlfn.XLOOKUP(AL$1,$Z$2:$Z$18,$AA$2:$AA$18)-$T49)^2+(_xlfn.XLOOKUP(AL$1,$Z$2:$Z$18,$AB$2:$AB$18)-$U49)^2+(_xlfn.XLOOKUP(AL$1,$Z$2:$Z$18,$AC$2:$AC$18-$V49)^2)))</f>
        <v/>
      </c>
      <c r="AM49" s="150">
        <f t="array" ref="AM49">IF(AM$1=0,"",SQRT((_xlfn.XLOOKUP(AM$1,$Z$2:$Z$18,$AA$2:$AA$18)-$T49)^2+(_xlfn.XLOOKUP(AM$1,$Z$2:$Z$18,$AB$2:$AB$18)-$U49)^2+(_xlfn.XLOOKUP(AM$1,$Z$2:$Z$18,$AC$2:$AC$18-$V49)^2)))</f>
        <v/>
      </c>
      <c r="AN49" s="150">
        <f t="array" ref="AN49">IF(AN$1=0,"",SQRT((_xlfn.XLOOKUP(AN$1,$Z$2:$Z$18,$AA$2:$AA$18)-$T49)^2+(_xlfn.XLOOKUP(AN$1,$Z$2:$Z$18,$AB$2:$AB$18)-$U49)^2+(_xlfn.XLOOKUP(AN$1,$Z$2:$Z$18,$AC$2:$AC$18-$V49)^2)))</f>
        <v/>
      </c>
      <c r="AO49" s="150">
        <f t="array" ref="AO49">IF(AO$1=0,"",SQRT((_xlfn.XLOOKUP(AO$1,$Z$2:$Z$18,$AA$2:$AA$18)-$T49)^2+(_xlfn.XLOOKUP(AO$1,$Z$2:$Z$18,$AB$2:$AB$18)-$U49)^2+(_xlfn.XLOOKUP(AO$1,$Z$2:$Z$18,$AC$2:$AC$18-$V49)^2)))</f>
        <v/>
      </c>
      <c r="AP49" s="151">
        <f t="array" ref="AP49">IF(AP$1=0,"",SQRT((_xlfn.XLOOKUP(AP$1,$Z$2:$Z$18,$AA$2:$AA$18)-$T49)^2+(_xlfn.XLOOKUP(AP$1,$Z$2:$Z$18,$AB$2:$AB$18)-$U49)^2+(_xlfn.XLOOKUP(AP$1,$Z$2:$Z$18,$AC$2:$AC$18-$V49)^2)))</f>
        <v/>
      </c>
      <c r="AQ49" s="151">
        <f t="array" ref="AQ49">IF(AQ$1=0,"",SQRT((_xlfn.XLOOKUP(AQ$1,$Z$2:$Z$18,$AA$2:$AA$18)-$T49)^2+(_xlfn.XLOOKUP(AQ$1,$Z$2:$Z$18,$AB$2:$AB$18)-$U49)^2+(_xlfn.XLOOKUP(AQ$1,$Z$2:$Z$18,$AC$2:$AC$18-$V49)^2)))</f>
        <v/>
      </c>
      <c r="AR49" s="151">
        <f t="array" ref="AR49">IF(AR$1=0,"",SQRT((_xlfn.XLOOKUP(AR$1,$Z$2:$Z$18,$AA$2:$AA$18)-$T49)^2+(_xlfn.XLOOKUP(AR$1,$Z$2:$Z$18,$AB$2:$AB$18)-$U49)^2+(_xlfn.XLOOKUP(AR$1,$Z$2:$Z$18,$AC$2:$AC$18-$V49)^2)))</f>
        <v/>
      </c>
      <c r="AS49" s="151">
        <f t="array" ref="AS49">IF(AS$1=0,"",SQRT((_xlfn.XLOOKUP(AS$1,$Z$2:$Z$18,$AA$2:$AA$18)-$T49)^2+(_xlfn.XLOOKUP(AS$1,$Z$2:$Z$18,$AB$2:$AB$18)-$U49)^2+(_xlfn.XLOOKUP(AS$1,$Z$2:$Z$18,$AC$2:$AC$18-$V49)^2)))</f>
        <v/>
      </c>
      <c r="AT49" s="151">
        <f t="array" ref="AT49">IF(AT$1=0,"",SQRT((_xlfn.XLOOKUP(AT$1,$Z$2:$Z$18,$AA$2:$AA$18)-$T49)^2+(_xlfn.XLOOKUP(AT$1,$Z$2:$Z$18,$AB$2:$AB$18)-$U49)^2+(_xlfn.XLOOKUP(AT$1,$Z$2:$Z$18,$AC$2:$AC$18-$V49)^2)))</f>
        <v/>
      </c>
      <c r="AU49" s="151">
        <f t="array" ref="AU49">IF(AU$1=0,"",SQRT((_xlfn.XLOOKUP(AU$1,$Z$2:$Z$18,$AA$2:$AA$18)-$T49)^2+(_xlfn.XLOOKUP(AU$1,$Z$2:$Z$18,$AB$2:$AB$18)-$U49)^2+(_xlfn.XLOOKUP(AU$1,$Z$2:$Z$18,$AC$2:$AC$18-$V49)^2)))</f>
        <v/>
      </c>
      <c r="AV49" s="152">
        <f t="array" ref="AV49">IF(AV$1=0,"",SQRT((_xlfn.XLOOKUP(AV$1,$Z$2:$Z$18,$AA$2:$AA$18)-$T49)^2+(_xlfn.XLOOKUP(AV$1,$Z$2:$Z$18,$AB$2:$AB$18)-$U49)^2+(_xlfn.XLOOKUP(AV$1,$Z$2:$Z$18,$AC$2:$AC$18-$V49)^2)))</f>
        <v/>
      </c>
      <c r="AW49" s="134" t="n"/>
      <c r="AX49" s="134" t="n"/>
      <c r="AY49" s="135">
        <f>IFERROR(-ABS(10*LOG10(($R49/(4*PI()*CONVERT(AH49,"ft","m")^2)))),0)</f>
        <v/>
      </c>
      <c r="AZ49" s="153">
        <f>IFERROR(-ABS(10*LOG10(($R49/(4*PI()*CONVERT(AI49,"ft","m")^2)))),0)</f>
        <v/>
      </c>
      <c r="BA49" s="153">
        <f>IFERROR(-ABS(10*LOG10(($R49/(4*PI()*CONVERT(AJ49,"ft","m")^2)))),0)</f>
        <v/>
      </c>
      <c r="BB49" s="153">
        <f>IFERROR(-ABS(10*LOG10(($R49/(4*PI()*CONVERT(AK49,"ft","m")^2)))),0)</f>
        <v/>
      </c>
      <c r="BC49" s="153">
        <f>IFERROR(-ABS(10*LOG10(($R49/(4*PI()*CONVERT(AL49,"ft","m")^2)))),0)</f>
        <v/>
      </c>
      <c r="BD49" s="153">
        <f>IFERROR(-ABS(10*LOG10(($R49/(4*PI()*CONVERT(AM49,"ft","m")^2)))),0)</f>
        <v/>
      </c>
      <c r="BE49" s="153">
        <f>IFERROR(-ABS(10*LOG10(($R49/(4*PI()*CONVERT(AN49,"ft","m")^2)))),0)</f>
        <v/>
      </c>
      <c r="BF49" s="153">
        <f>IFERROR(-ABS(10*LOG10(($R49/(4*PI()*CONVERT(AO49,"ft","m")^2)))),0)</f>
        <v/>
      </c>
      <c r="BG49" s="154">
        <f>IFERROR(-ABS(10*LOG10(($R49/(4*PI()*CONVERT(AP49,"ft","m")^2)))),0)</f>
        <v/>
      </c>
      <c r="BH49" s="154">
        <f>IFERROR(-ABS(10*LOG10(($R49/(4*PI()*CONVERT(AQ49,"ft","m")^2)))),0)</f>
        <v/>
      </c>
      <c r="BI49" s="154">
        <f>IFERROR(-ABS(10*LOG10(($R49/(4*PI()*CONVERT(AR49,"ft","m")^2)))),0)</f>
        <v/>
      </c>
      <c r="BJ49" s="154">
        <f>IFERROR(-ABS(10*LOG10(($R49/(4*PI()*CONVERT(AS49,"ft","m")^2)))),0)</f>
        <v/>
      </c>
      <c r="BK49" s="154">
        <f>IFERROR(-ABS(10*LOG10(($R49/(4*PI()*CONVERT(AT49,"ft","m")^2)))),0)</f>
        <v/>
      </c>
      <c r="BL49" s="154">
        <f>IFERROR(-ABS(10*LOG10(($R49/(4*PI()*CONVERT(AU49,"ft","m")^2)))),0)</f>
        <v/>
      </c>
      <c r="BM49" s="155">
        <f>IFERROR(-ABS(10*LOG10(($R49/(4*PI()*CONVERT(AV49,"ft","m")^2)))),0)</f>
        <v/>
      </c>
      <c r="BN49" s="134" t="n"/>
      <c r="BO49" s="21" t="inlineStr">
        <is>
          <t>First Greater</t>
        </is>
      </c>
      <c r="BP49" s="21">
        <f>_xlfn.XLOOKUP(BP47,BO39:BO45,BO39:BO45,12,1,1)</f>
        <v/>
      </c>
      <c r="BQ49" s="21">
        <f>BQ46+(BQ48*BP51)</f>
        <v/>
      </c>
      <c r="BR49" s="134" t="n"/>
      <c r="BS49" s="134" t="n"/>
      <c r="BT49" s="134" t="n"/>
      <c r="BU49" s="134" t="n"/>
      <c r="BV49" s="140" t="n"/>
      <c r="BW49" s="140" t="n"/>
      <c r="BX49" s="140" t="n"/>
      <c r="BY49" s="140" t="n"/>
      <c r="BZ49" s="140" t="n"/>
      <c r="CA49" s="140" t="n"/>
      <c r="CB49" s="140" t="n"/>
      <c r="CC49" s="140" t="n"/>
      <c r="CD49" s="140" t="n"/>
      <c r="CE49" s="140" t="n"/>
      <c r="CF49" s="140" t="n"/>
      <c r="CG49" s="140" t="n"/>
      <c r="CH49" s="140" t="n"/>
      <c r="CI49" s="140" t="n"/>
      <c r="CJ49" s="140" t="n"/>
      <c r="CK49" s="134" t="n"/>
      <c r="CL49" s="134" t="n"/>
      <c r="CM49" s="169">
        <f>IF( CM$1= 0,"",$Q49-$S49+AY49-BV49)</f>
        <v/>
      </c>
      <c r="CN49" s="170">
        <f>IF( CN$1= 0,"",$Q49-$S49+AZ49-BW49)</f>
        <v/>
      </c>
      <c r="CO49" s="170">
        <f>IF( CO$1= 0,"",$Q49-$S49+BA49-BX49)</f>
        <v/>
      </c>
      <c r="CP49" s="170">
        <f>IF( CP$1= 0,"",$Q49-$S49+BB49-BY49)</f>
        <v/>
      </c>
      <c r="CQ49" s="170">
        <f>IF( CQ$1= 0,"",$Q49-$S49+BC49-BZ49)</f>
        <v/>
      </c>
      <c r="CR49" s="170">
        <f>IF( CR$1= 0,"",$Q49-$S49+BD49-CA49)</f>
        <v/>
      </c>
      <c r="CS49" s="170">
        <f>IF( CS$1= 0,"",$Q49-$S49+BE49-CB49)</f>
        <v/>
      </c>
      <c r="CT49" s="170">
        <f>IF( CT$1= 0,"",$Q49-$S49+BF49-CC49)</f>
        <v/>
      </c>
      <c r="CU49" s="172">
        <f>IF( CU$1= 0,"",$Q49-$S49+BG49-CD49)</f>
        <v/>
      </c>
      <c r="CV49" s="172">
        <f>IF( CV$1= 0,"",$Q49-$S49+BH49-CE49)</f>
        <v/>
      </c>
      <c r="CW49" s="172">
        <f>IF( CW$1= 0,"",$Q49-$S49+BI49-CF49)</f>
        <v/>
      </c>
      <c r="CX49" s="172">
        <f>IF( CX$1= 0,"",$Q49-$S49+BJ49-CG49)</f>
        <v/>
      </c>
      <c r="CY49" s="172">
        <f>IF( CY$1= 0,"",$Q49-$S49+BK49-CH49)</f>
        <v/>
      </c>
      <c r="CZ49" s="172">
        <f>IF( CZ$1= 0,"",$Q49-$S49+BL49-CI49)</f>
        <v/>
      </c>
      <c r="DA49" s="173">
        <f>IF( DA$1= 0,"",$Q49-$S49+BM49-CJ49)</f>
        <v/>
      </c>
    </row>
    <row r="50" ht="17.25" customHeight="1" thickBot="1">
      <c r="A50" s="145" t="n"/>
      <c r="B50" s="146" t="n"/>
      <c r="C50" s="146" t="n"/>
      <c r="D50" s="147" t="n"/>
      <c r="E50" s="205" t="n"/>
      <c r="F50" s="213" t="n"/>
      <c r="G50" s="214" t="n"/>
      <c r="H50" s="214" t="n"/>
      <c r="I50" s="214" t="n"/>
      <c r="J50" s="214" t="n"/>
      <c r="K50" s="214" t="n"/>
      <c r="L50" s="214" t="n"/>
      <c r="M50" s="218" t="n"/>
      <c r="N50" s="213" t="n"/>
      <c r="O50" s="215" t="n"/>
      <c r="P50" s="208" t="n"/>
      <c r="Q50" s="128">
        <f>ROUND(IF(AND(A50&gt;0, O50&gt;0), N50+ABS(10*LOG10(P50/(4*PI()*CONVERT(O50,"ft", "m")^2))), N50),0)</f>
        <v/>
      </c>
      <c r="R50" s="3" t="n"/>
      <c r="S50" s="3" t="n"/>
      <c r="T50" s="214" t="n"/>
      <c r="U50" s="214" t="n"/>
      <c r="V50" s="109">
        <f>SUM(W50:X50)</f>
        <v/>
      </c>
      <c r="W50" s="171" t="n"/>
      <c r="X50" s="148" t="n"/>
      <c r="Z50" s="117" t="n"/>
      <c r="AA50" s="114" t="n"/>
      <c r="AB50" s="54" t="n"/>
      <c r="AC50" s="55" t="n"/>
      <c r="AD50" s="54" t="n"/>
      <c r="AE50" s="54" t="n"/>
      <c r="AF50" s="55" t="n"/>
      <c r="AH50" s="168">
        <f t="array" ref="AH50">IF(AH$1=0,"",SQRT((_xlfn.XLOOKUP(AH$1,$Z$2:$Z$18,$AA$2:$AA$18)-$T50)^2+(_xlfn.XLOOKUP(AH$1,$Z$2:$Z$18,$AB$2:$AB$18)-$U50)^2+(_xlfn.XLOOKUP(AH$1,$Z$2:$Z$18,$AC$2:$AC$18-$V50)^2)))</f>
        <v/>
      </c>
      <c r="AI50" s="150">
        <f t="array" ref="AI50">IF(AI$1=0,"",SQRT((_xlfn.XLOOKUP(AI$1,$Z$2:$Z$18,$AA$2:$AA$18)-$T50)^2+(_xlfn.XLOOKUP(AI$1,$Z$2:$Z$18,$AB$2:$AB$18)-$U50)^2+(_xlfn.XLOOKUP(AI$1,$Z$2:$Z$18,$AC$2:$AC$18-$V50)^2)))</f>
        <v/>
      </c>
      <c r="AJ50" s="150">
        <f t="array" ref="AJ50">IF(AJ$1=0,"",SQRT((_xlfn.XLOOKUP(AJ$1,$Z$2:$Z$18,$AA$2:$AA$18)-$T50)^2+(_xlfn.XLOOKUP(AJ$1,$Z$2:$Z$18,$AB$2:$AB$18)-$U50)^2+(_xlfn.XLOOKUP(AJ$1,$Z$2:$Z$18,$AC$2:$AC$18-$V50)^2)))</f>
        <v/>
      </c>
      <c r="AK50" s="150">
        <f t="array" ref="AK50">IF(AK$1=0,"",SQRT((_xlfn.XLOOKUP(AK$1,$Z$2:$Z$18,$AA$2:$AA$18)-$T50)^2+(_xlfn.XLOOKUP(AK$1,$Z$2:$Z$18,$AB$2:$AB$18)-$U50)^2+(_xlfn.XLOOKUP(AK$1,$Z$2:$Z$18,$AC$2:$AC$18-$V50)^2)))</f>
        <v/>
      </c>
      <c r="AL50" s="150">
        <f t="array" ref="AL50">IF(AL$1=0,"",SQRT((_xlfn.XLOOKUP(AL$1,$Z$2:$Z$18,$AA$2:$AA$18)-$T50)^2+(_xlfn.XLOOKUP(AL$1,$Z$2:$Z$18,$AB$2:$AB$18)-$U50)^2+(_xlfn.XLOOKUP(AL$1,$Z$2:$Z$18,$AC$2:$AC$18-$V50)^2)))</f>
        <v/>
      </c>
      <c r="AM50" s="150">
        <f t="array" ref="AM50">IF(AM$1=0,"",SQRT((_xlfn.XLOOKUP(AM$1,$Z$2:$Z$18,$AA$2:$AA$18)-$T50)^2+(_xlfn.XLOOKUP(AM$1,$Z$2:$Z$18,$AB$2:$AB$18)-$U50)^2+(_xlfn.XLOOKUP(AM$1,$Z$2:$Z$18,$AC$2:$AC$18-$V50)^2)))</f>
        <v/>
      </c>
      <c r="AN50" s="150">
        <f t="array" ref="AN50">IF(AN$1=0,"",SQRT((_xlfn.XLOOKUP(AN$1,$Z$2:$Z$18,$AA$2:$AA$18)-$T50)^2+(_xlfn.XLOOKUP(AN$1,$Z$2:$Z$18,$AB$2:$AB$18)-$U50)^2+(_xlfn.XLOOKUP(AN$1,$Z$2:$Z$18,$AC$2:$AC$18-$V50)^2)))</f>
        <v/>
      </c>
      <c r="AO50" s="150">
        <f t="array" ref="AO50">IF(AO$1=0,"",SQRT((_xlfn.XLOOKUP(AO$1,$Z$2:$Z$18,$AA$2:$AA$18)-$T50)^2+(_xlfn.XLOOKUP(AO$1,$Z$2:$Z$18,$AB$2:$AB$18)-$U50)^2+(_xlfn.XLOOKUP(AO$1,$Z$2:$Z$18,$AC$2:$AC$18-$V50)^2)))</f>
        <v/>
      </c>
      <c r="AP50" s="151">
        <f t="array" ref="AP50">IF(AP$1=0,"",SQRT((_xlfn.XLOOKUP(AP$1,$Z$2:$Z$18,$AA$2:$AA$18)-$T50)^2+(_xlfn.XLOOKUP(AP$1,$Z$2:$Z$18,$AB$2:$AB$18)-$U50)^2+(_xlfn.XLOOKUP(AP$1,$Z$2:$Z$18,$AC$2:$AC$18-$V50)^2)))</f>
        <v/>
      </c>
      <c r="AQ50" s="151">
        <f t="array" ref="AQ50">IF(AQ$1=0,"",SQRT((_xlfn.XLOOKUP(AQ$1,$Z$2:$Z$18,$AA$2:$AA$18)-$T50)^2+(_xlfn.XLOOKUP(AQ$1,$Z$2:$Z$18,$AB$2:$AB$18)-$U50)^2+(_xlfn.XLOOKUP(AQ$1,$Z$2:$Z$18,$AC$2:$AC$18-$V50)^2)))</f>
        <v/>
      </c>
      <c r="AR50" s="151">
        <f t="array" ref="AR50">IF(AR$1=0,"",SQRT((_xlfn.XLOOKUP(AR$1,$Z$2:$Z$18,$AA$2:$AA$18)-$T50)^2+(_xlfn.XLOOKUP(AR$1,$Z$2:$Z$18,$AB$2:$AB$18)-$U50)^2+(_xlfn.XLOOKUP(AR$1,$Z$2:$Z$18,$AC$2:$AC$18-$V50)^2)))</f>
        <v/>
      </c>
      <c r="AS50" s="151">
        <f t="array" ref="AS50">IF(AS$1=0,"",SQRT((_xlfn.XLOOKUP(AS$1,$Z$2:$Z$18,$AA$2:$AA$18)-$T50)^2+(_xlfn.XLOOKUP(AS$1,$Z$2:$Z$18,$AB$2:$AB$18)-$U50)^2+(_xlfn.XLOOKUP(AS$1,$Z$2:$Z$18,$AC$2:$AC$18-$V50)^2)))</f>
        <v/>
      </c>
      <c r="AT50" s="151">
        <f t="array" ref="AT50">IF(AT$1=0,"",SQRT((_xlfn.XLOOKUP(AT$1,$Z$2:$Z$18,$AA$2:$AA$18)-$T50)^2+(_xlfn.XLOOKUP(AT$1,$Z$2:$Z$18,$AB$2:$AB$18)-$U50)^2+(_xlfn.XLOOKUP(AT$1,$Z$2:$Z$18,$AC$2:$AC$18-$V50)^2)))</f>
        <v/>
      </c>
      <c r="AU50" s="151">
        <f t="array" ref="AU50">IF(AU$1=0,"",SQRT((_xlfn.XLOOKUP(AU$1,$Z$2:$Z$18,$AA$2:$AA$18)-$T50)^2+(_xlfn.XLOOKUP(AU$1,$Z$2:$Z$18,$AB$2:$AB$18)-$U50)^2+(_xlfn.XLOOKUP(AU$1,$Z$2:$Z$18,$AC$2:$AC$18-$V50)^2)))</f>
        <v/>
      </c>
      <c r="AV50" s="152">
        <f t="array" ref="AV50">IF(AV$1=0,"",SQRT((_xlfn.XLOOKUP(AV$1,$Z$2:$Z$18,$AA$2:$AA$18)-$T50)^2+(_xlfn.XLOOKUP(AV$1,$Z$2:$Z$18,$AB$2:$AB$18)-$U50)^2+(_xlfn.XLOOKUP(AV$1,$Z$2:$Z$18,$AC$2:$AC$18-$V50)^2)))</f>
        <v/>
      </c>
      <c r="AW50" s="134" t="n"/>
      <c r="AX50" s="134" t="n"/>
      <c r="AY50" s="135">
        <f>IFERROR(-ABS(10*LOG10(($R50/(4*PI()*CONVERT(AH50,"ft","m")^2)))),0)</f>
        <v/>
      </c>
      <c r="AZ50" s="153">
        <f>IFERROR(-ABS(10*LOG10(($R50/(4*PI()*CONVERT(AI50,"ft","m")^2)))),0)</f>
        <v/>
      </c>
      <c r="BA50" s="153">
        <f>IFERROR(-ABS(10*LOG10(($R50/(4*PI()*CONVERT(AJ50,"ft","m")^2)))),0)</f>
        <v/>
      </c>
      <c r="BB50" s="153">
        <f>IFERROR(-ABS(10*LOG10(($R50/(4*PI()*CONVERT(AK50,"ft","m")^2)))),0)</f>
        <v/>
      </c>
      <c r="BC50" s="153">
        <f>IFERROR(-ABS(10*LOG10(($R50/(4*PI()*CONVERT(AL50,"ft","m")^2)))),0)</f>
        <v/>
      </c>
      <c r="BD50" s="153">
        <f>IFERROR(-ABS(10*LOG10(($R50/(4*PI()*CONVERT(AM50,"ft","m")^2)))),0)</f>
        <v/>
      </c>
      <c r="BE50" s="153">
        <f>IFERROR(-ABS(10*LOG10(($R50/(4*PI()*CONVERT(AN50,"ft","m")^2)))),0)</f>
        <v/>
      </c>
      <c r="BF50" s="153">
        <f>IFERROR(-ABS(10*LOG10(($R50/(4*PI()*CONVERT(AO50,"ft","m")^2)))),0)</f>
        <v/>
      </c>
      <c r="BG50" s="154">
        <f>IFERROR(-ABS(10*LOG10(($R50/(4*PI()*CONVERT(AP50,"ft","m")^2)))),0)</f>
        <v/>
      </c>
      <c r="BH50" s="154">
        <f>IFERROR(-ABS(10*LOG10(($R50/(4*PI()*CONVERT(AQ50,"ft","m")^2)))),0)</f>
        <v/>
      </c>
      <c r="BI50" s="154">
        <f>IFERROR(-ABS(10*LOG10(($R50/(4*PI()*CONVERT(AR50,"ft","m")^2)))),0)</f>
        <v/>
      </c>
      <c r="BJ50" s="154">
        <f>IFERROR(-ABS(10*LOG10(($R50/(4*PI()*CONVERT(AS50,"ft","m")^2)))),0)</f>
        <v/>
      </c>
      <c r="BK50" s="154">
        <f>IFERROR(-ABS(10*LOG10(($R50/(4*PI()*CONVERT(AT50,"ft","m")^2)))),0)</f>
        <v/>
      </c>
      <c r="BL50" s="154">
        <f>IFERROR(-ABS(10*LOG10(($R50/(4*PI()*CONVERT(AU50,"ft","m")^2)))),0)</f>
        <v/>
      </c>
      <c r="BM50" s="155">
        <f>IFERROR(-ABS(10*LOG10(($R50/(4*PI()*CONVERT(AV50,"ft","m")^2)))),0)</f>
        <v/>
      </c>
      <c r="BN50" s="134" t="n"/>
      <c r="BO50" s="21" t="inlineStr">
        <is>
          <t>difference in adjency</t>
        </is>
      </c>
      <c r="BP50" s="21">
        <f>BP49-BP48</f>
        <v/>
      </c>
      <c r="BQ50" s="21" t="n"/>
      <c r="BR50" s="134" t="n"/>
      <c r="BS50" s="134" t="n"/>
      <c r="BT50" s="134" t="n"/>
      <c r="BU50" s="134" t="n"/>
      <c r="BV50" s="140" t="n"/>
      <c r="BW50" s="140" t="n"/>
      <c r="BX50" s="140" t="n"/>
      <c r="BY50" s="140" t="n"/>
      <c r="BZ50" s="140" t="n"/>
      <c r="CA50" s="140" t="n"/>
      <c r="CB50" s="140" t="n"/>
      <c r="CC50" s="140" t="n"/>
      <c r="CD50" s="140" t="n"/>
      <c r="CE50" s="140" t="n"/>
      <c r="CF50" s="140" t="n"/>
      <c r="CG50" s="140" t="n"/>
      <c r="CH50" s="140" t="n"/>
      <c r="CI50" s="140" t="n"/>
      <c r="CJ50" s="140" t="n"/>
      <c r="CK50" s="134" t="n"/>
      <c r="CL50" s="134" t="n"/>
      <c r="CM50" s="169">
        <f>IF( CM$1= 0,"",$Q50-$S50+AY50-BV50)</f>
        <v/>
      </c>
      <c r="CN50" s="170">
        <f>IF( CN$1= 0,"",$Q50-$S50+AZ50-BW50)</f>
        <v/>
      </c>
      <c r="CO50" s="170">
        <f>IF( CO$1= 0,"",$Q50-$S50+BA50-BX50)</f>
        <v/>
      </c>
      <c r="CP50" s="170">
        <f>IF( CP$1= 0,"",$Q50-$S50+BB50-BY50)</f>
        <v/>
      </c>
      <c r="CQ50" s="170">
        <f>IF( CQ$1= 0,"",$Q50-$S50+BC50-BZ50)</f>
        <v/>
      </c>
      <c r="CR50" s="170">
        <f>IF( CR$1= 0,"",$Q50-$S50+BD50-CA50)</f>
        <v/>
      </c>
      <c r="CS50" s="170">
        <f>IF( CS$1= 0,"",$Q50-$S50+BE50-CB50)</f>
        <v/>
      </c>
      <c r="CT50" s="170">
        <f>IF( CT$1= 0,"",$Q50-$S50+BF50-CC50)</f>
        <v/>
      </c>
      <c r="CU50" s="172">
        <f>IF( CU$1= 0,"",$Q50-$S50+BG50-CD50)</f>
        <v/>
      </c>
      <c r="CV50" s="172">
        <f>IF( CV$1= 0,"",$Q50-$S50+BH50-CE50)</f>
        <v/>
      </c>
      <c r="CW50" s="172">
        <f>IF( CW$1= 0,"",$Q50-$S50+BI50-CF50)</f>
        <v/>
      </c>
      <c r="CX50" s="172">
        <f>IF( CX$1= 0,"",$Q50-$S50+BJ50-CG50)</f>
        <v/>
      </c>
      <c r="CY50" s="172">
        <f>IF( CY$1= 0,"",$Q50-$S50+BK50-CH50)</f>
        <v/>
      </c>
      <c r="CZ50" s="172">
        <f>IF( CZ$1= 0,"",$Q50-$S50+BL50-CI50)</f>
        <v/>
      </c>
      <c r="DA50" s="173">
        <f>IF( DA$1= 0,"",$Q50-$S50+BM50-CJ50)</f>
        <v/>
      </c>
    </row>
    <row r="51" ht="16.5" customHeight="1">
      <c r="A51" s="145" t="n"/>
      <c r="B51" s="146" t="n"/>
      <c r="C51" s="146" t="n"/>
      <c r="D51" s="147" t="n"/>
      <c r="E51" s="205" t="n"/>
      <c r="F51" s="213" t="n"/>
      <c r="G51" s="214" t="n"/>
      <c r="H51" s="214" t="n"/>
      <c r="I51" s="214" t="n"/>
      <c r="J51" s="214" t="n"/>
      <c r="K51" s="214" t="n"/>
      <c r="L51" s="214" t="n"/>
      <c r="M51" s="218" t="n"/>
      <c r="N51" s="213" t="n"/>
      <c r="O51" s="215" t="n"/>
      <c r="P51" s="208" t="n"/>
      <c r="Q51" s="128">
        <f>ROUND(IF(AND(A51&gt;0, O51&gt;0), N51+ABS(10*LOG10(P51/(4*PI()*CONVERT(O51,"ft", "m")^2))), N51),0)</f>
        <v/>
      </c>
      <c r="R51" s="3" t="n"/>
      <c r="S51" s="3" t="n"/>
      <c r="T51" s="214" t="n"/>
      <c r="U51" s="214" t="n"/>
      <c r="V51" s="109">
        <f>SUM(W51:X51)</f>
        <v/>
      </c>
      <c r="W51" s="171" t="n"/>
      <c r="X51" s="148" t="n"/>
      <c r="AH51" s="168">
        <f t="array" ref="AH51">IF(AH$1=0,"",SQRT((_xlfn.XLOOKUP(AH$1,$Z$2:$Z$18,$AA$2:$AA$18)-$T51)^2+(_xlfn.XLOOKUP(AH$1,$Z$2:$Z$18,$AB$2:$AB$18)-$U51)^2+(_xlfn.XLOOKUP(AH$1,$Z$2:$Z$18,$AC$2:$AC$18-$V51)^2)))</f>
        <v/>
      </c>
      <c r="AI51" s="150">
        <f t="array" ref="AI51">IF(AI$1=0,"",SQRT((_xlfn.XLOOKUP(AI$1,$Z$2:$Z$18,$AA$2:$AA$18)-$T51)^2+(_xlfn.XLOOKUP(AI$1,$Z$2:$Z$18,$AB$2:$AB$18)-$U51)^2+(_xlfn.XLOOKUP(AI$1,$Z$2:$Z$18,$AC$2:$AC$18-$V51)^2)))</f>
        <v/>
      </c>
      <c r="AJ51" s="150">
        <f t="array" ref="AJ51">IF(AJ$1=0,"",SQRT((_xlfn.XLOOKUP(AJ$1,$Z$2:$Z$18,$AA$2:$AA$18)-$T51)^2+(_xlfn.XLOOKUP(AJ$1,$Z$2:$Z$18,$AB$2:$AB$18)-$U51)^2+(_xlfn.XLOOKUP(AJ$1,$Z$2:$Z$18,$AC$2:$AC$18-$V51)^2)))</f>
        <v/>
      </c>
      <c r="AK51" s="150">
        <f t="array" ref="AK51">IF(AK$1=0,"",SQRT((_xlfn.XLOOKUP(AK$1,$Z$2:$Z$18,$AA$2:$AA$18)-$T51)^2+(_xlfn.XLOOKUP(AK$1,$Z$2:$Z$18,$AB$2:$AB$18)-$U51)^2+(_xlfn.XLOOKUP(AK$1,$Z$2:$Z$18,$AC$2:$AC$18-$V51)^2)))</f>
        <v/>
      </c>
      <c r="AL51" s="150">
        <f t="array" ref="AL51">IF(AL$1=0,"",SQRT((_xlfn.XLOOKUP(AL$1,$Z$2:$Z$18,$AA$2:$AA$18)-$T51)^2+(_xlfn.XLOOKUP(AL$1,$Z$2:$Z$18,$AB$2:$AB$18)-$U51)^2+(_xlfn.XLOOKUP(AL$1,$Z$2:$Z$18,$AC$2:$AC$18-$V51)^2)))</f>
        <v/>
      </c>
      <c r="AM51" s="150">
        <f t="array" ref="AM51">IF(AM$1=0,"",SQRT((_xlfn.XLOOKUP(AM$1,$Z$2:$Z$18,$AA$2:$AA$18)-$T51)^2+(_xlfn.XLOOKUP(AM$1,$Z$2:$Z$18,$AB$2:$AB$18)-$U51)^2+(_xlfn.XLOOKUP(AM$1,$Z$2:$Z$18,$AC$2:$AC$18-$V51)^2)))</f>
        <v/>
      </c>
      <c r="AN51" s="150">
        <f t="array" ref="AN51">IF(AN$1=0,"",SQRT((_xlfn.XLOOKUP(AN$1,$Z$2:$Z$18,$AA$2:$AA$18)-$T51)^2+(_xlfn.XLOOKUP(AN$1,$Z$2:$Z$18,$AB$2:$AB$18)-$U51)^2+(_xlfn.XLOOKUP(AN$1,$Z$2:$Z$18,$AC$2:$AC$18-$V51)^2)))</f>
        <v/>
      </c>
      <c r="AO51" s="150">
        <f t="array" ref="AO51">IF(AO$1=0,"",SQRT((_xlfn.XLOOKUP(AO$1,$Z$2:$Z$18,$AA$2:$AA$18)-$T51)^2+(_xlfn.XLOOKUP(AO$1,$Z$2:$Z$18,$AB$2:$AB$18)-$U51)^2+(_xlfn.XLOOKUP(AO$1,$Z$2:$Z$18,$AC$2:$AC$18-$V51)^2)))</f>
        <v/>
      </c>
      <c r="AP51" s="151">
        <f t="array" ref="AP51">IF(AP$1=0,"",SQRT((_xlfn.XLOOKUP(AP$1,$Z$2:$Z$18,$AA$2:$AA$18)-$T51)^2+(_xlfn.XLOOKUP(AP$1,$Z$2:$Z$18,$AB$2:$AB$18)-$U51)^2+(_xlfn.XLOOKUP(AP$1,$Z$2:$Z$18,$AC$2:$AC$18-$V51)^2)))</f>
        <v/>
      </c>
      <c r="AQ51" s="151">
        <f t="array" ref="AQ51">IF(AQ$1=0,"",SQRT((_xlfn.XLOOKUP(AQ$1,$Z$2:$Z$18,$AA$2:$AA$18)-$T51)^2+(_xlfn.XLOOKUP(AQ$1,$Z$2:$Z$18,$AB$2:$AB$18)-$U51)^2+(_xlfn.XLOOKUP(AQ$1,$Z$2:$Z$18,$AC$2:$AC$18-$V51)^2)))</f>
        <v/>
      </c>
      <c r="AR51" s="151">
        <f t="array" ref="AR51">IF(AR$1=0,"",SQRT((_xlfn.XLOOKUP(AR$1,$Z$2:$Z$18,$AA$2:$AA$18)-$T51)^2+(_xlfn.XLOOKUP(AR$1,$Z$2:$Z$18,$AB$2:$AB$18)-$U51)^2+(_xlfn.XLOOKUP(AR$1,$Z$2:$Z$18,$AC$2:$AC$18-$V51)^2)))</f>
        <v/>
      </c>
      <c r="AS51" s="151">
        <f t="array" ref="AS51">IF(AS$1=0,"",SQRT((_xlfn.XLOOKUP(AS$1,$Z$2:$Z$18,$AA$2:$AA$18)-$T51)^2+(_xlfn.XLOOKUP(AS$1,$Z$2:$Z$18,$AB$2:$AB$18)-$U51)^2+(_xlfn.XLOOKUP(AS$1,$Z$2:$Z$18,$AC$2:$AC$18-$V51)^2)))</f>
        <v/>
      </c>
      <c r="AT51" s="151">
        <f t="array" ref="AT51">IF(AT$1=0,"",SQRT((_xlfn.XLOOKUP(AT$1,$Z$2:$Z$18,$AA$2:$AA$18)-$T51)^2+(_xlfn.XLOOKUP(AT$1,$Z$2:$Z$18,$AB$2:$AB$18)-$U51)^2+(_xlfn.XLOOKUP(AT$1,$Z$2:$Z$18,$AC$2:$AC$18-$V51)^2)))</f>
        <v/>
      </c>
      <c r="AU51" s="151">
        <f t="array" ref="AU51">IF(AU$1=0,"",SQRT((_xlfn.XLOOKUP(AU$1,$Z$2:$Z$18,$AA$2:$AA$18)-$T51)^2+(_xlfn.XLOOKUP(AU$1,$Z$2:$Z$18,$AB$2:$AB$18)-$U51)^2+(_xlfn.XLOOKUP(AU$1,$Z$2:$Z$18,$AC$2:$AC$18-$V51)^2)))</f>
        <v/>
      </c>
      <c r="AV51" s="152">
        <f t="array" ref="AV51">IF(AV$1=0,"",SQRT((_xlfn.XLOOKUP(AV$1,$Z$2:$Z$18,$AA$2:$AA$18)-$T51)^2+(_xlfn.XLOOKUP(AV$1,$Z$2:$Z$18,$AB$2:$AB$18)-$U51)^2+(_xlfn.XLOOKUP(AV$1,$Z$2:$Z$18,$AC$2:$AC$18-$V51)^2)))</f>
        <v/>
      </c>
      <c r="AW51" s="134" t="n"/>
      <c r="AX51" s="134" t="n"/>
      <c r="AY51" s="135">
        <f>IFERROR(-ABS(10*LOG10(($R51/(4*PI()*CONVERT(AH51,"ft","m")^2)))),0)</f>
        <v/>
      </c>
      <c r="AZ51" s="153">
        <f>IFERROR(-ABS(10*LOG10(($R51/(4*PI()*CONVERT(AI51,"ft","m")^2)))),0)</f>
        <v/>
      </c>
      <c r="BA51" s="153">
        <f>IFERROR(-ABS(10*LOG10(($R51/(4*PI()*CONVERT(AJ51,"ft","m")^2)))),0)</f>
        <v/>
      </c>
      <c r="BB51" s="153">
        <f>IFERROR(-ABS(10*LOG10(($R51/(4*PI()*CONVERT(AK51,"ft","m")^2)))),0)</f>
        <v/>
      </c>
      <c r="BC51" s="153">
        <f>IFERROR(-ABS(10*LOG10(($R51/(4*PI()*CONVERT(AL51,"ft","m")^2)))),0)</f>
        <v/>
      </c>
      <c r="BD51" s="153">
        <f>IFERROR(-ABS(10*LOG10(($R51/(4*PI()*CONVERT(AM51,"ft","m")^2)))),0)</f>
        <v/>
      </c>
      <c r="BE51" s="153">
        <f>IFERROR(-ABS(10*LOG10(($R51/(4*PI()*CONVERT(AN51,"ft","m")^2)))),0)</f>
        <v/>
      </c>
      <c r="BF51" s="153">
        <f>IFERROR(-ABS(10*LOG10(($R51/(4*PI()*CONVERT(AO51,"ft","m")^2)))),0)</f>
        <v/>
      </c>
      <c r="BG51" s="154">
        <f>IFERROR(-ABS(10*LOG10(($R51/(4*PI()*CONVERT(AP51,"ft","m")^2)))),0)</f>
        <v/>
      </c>
      <c r="BH51" s="154">
        <f>IFERROR(-ABS(10*LOG10(($R51/(4*PI()*CONVERT(AQ51,"ft","m")^2)))),0)</f>
        <v/>
      </c>
      <c r="BI51" s="154">
        <f>IFERROR(-ABS(10*LOG10(($R51/(4*PI()*CONVERT(AR51,"ft","m")^2)))),0)</f>
        <v/>
      </c>
      <c r="BJ51" s="154">
        <f>IFERROR(-ABS(10*LOG10(($R51/(4*PI()*CONVERT(AS51,"ft","m")^2)))),0)</f>
        <v/>
      </c>
      <c r="BK51" s="154">
        <f>IFERROR(-ABS(10*LOG10(($R51/(4*PI()*CONVERT(AT51,"ft","m")^2)))),0)</f>
        <v/>
      </c>
      <c r="BL51" s="154">
        <f>IFERROR(-ABS(10*LOG10(($R51/(4*PI()*CONVERT(AU51,"ft","m")^2)))),0)</f>
        <v/>
      </c>
      <c r="BM51" s="155">
        <f>IFERROR(-ABS(10*LOG10(($R51/(4*PI()*CONVERT(AV51,"ft","m")^2)))),0)</f>
        <v/>
      </c>
      <c r="BN51" s="134" t="n"/>
      <c r="BO51" s="21" t="inlineStr">
        <is>
          <t xml:space="preserve">difference in reduction </t>
        </is>
      </c>
      <c r="BP51" s="21">
        <f>IFERROR((BP47-BP48)/BP50,0)</f>
        <v/>
      </c>
      <c r="BQ51" s="21" t="n"/>
      <c r="BR51" s="134" t="n"/>
      <c r="BS51" s="134" t="n"/>
      <c r="BT51" s="134" t="n"/>
      <c r="BU51" s="134" t="n"/>
      <c r="BV51" s="140" t="n"/>
      <c r="BW51" s="140" t="n"/>
      <c r="BX51" s="140" t="n"/>
      <c r="BY51" s="140" t="n"/>
      <c r="BZ51" s="140" t="n"/>
      <c r="CA51" s="140" t="n"/>
      <c r="CB51" s="140" t="n"/>
      <c r="CC51" s="140" t="n"/>
      <c r="CD51" s="140" t="n"/>
      <c r="CE51" s="140" t="n"/>
      <c r="CF51" s="140" t="n"/>
      <c r="CG51" s="140" t="n"/>
      <c r="CH51" s="140" t="n"/>
      <c r="CI51" s="140" t="n"/>
      <c r="CJ51" s="140" t="n"/>
      <c r="CK51" s="134" t="n"/>
      <c r="CL51" s="134" t="n"/>
      <c r="CM51" s="169">
        <f>IF( CM$1= 0,"",$Q51-$S51+AY51-BV51)</f>
        <v/>
      </c>
      <c r="CN51" s="170">
        <f>IF( CN$1= 0,"",$Q51-$S51+AZ51-BW51)</f>
        <v/>
      </c>
      <c r="CO51" s="170">
        <f>IF( CO$1= 0,"",$Q51-$S51+BA51-BX51)</f>
        <v/>
      </c>
      <c r="CP51" s="170">
        <f>IF( CP$1= 0,"",$Q51-$S51+BB51-BY51)</f>
        <v/>
      </c>
      <c r="CQ51" s="170">
        <f>IF( CQ$1= 0,"",$Q51-$S51+BC51-BZ51)</f>
        <v/>
      </c>
      <c r="CR51" s="170">
        <f>IF( CR$1= 0,"",$Q51-$S51+BD51-CA51)</f>
        <v/>
      </c>
      <c r="CS51" s="170">
        <f>IF( CS$1= 0,"",$Q51-$S51+BE51-CB51)</f>
        <v/>
      </c>
      <c r="CT51" s="170">
        <f>IF( CT$1= 0,"",$Q51-$S51+BF51-CC51)</f>
        <v/>
      </c>
      <c r="CU51" s="172">
        <f>IF( CU$1= 0,"",$Q51-$S51+BG51-CD51)</f>
        <v/>
      </c>
      <c r="CV51" s="172">
        <f>IF( CV$1= 0,"",$Q51-$S51+BH51-CE51)</f>
        <v/>
      </c>
      <c r="CW51" s="172">
        <f>IF( CW$1= 0,"",$Q51-$S51+BI51-CF51)</f>
        <v/>
      </c>
      <c r="CX51" s="172">
        <f>IF( CX$1= 0,"",$Q51-$S51+BJ51-CG51)</f>
        <v/>
      </c>
      <c r="CY51" s="172">
        <f>IF( CY$1= 0,"",$Q51-$S51+BK51-CH51)</f>
        <v/>
      </c>
      <c r="CZ51" s="172">
        <f>IF( CZ$1= 0,"",$Q51-$S51+BL51-CI51)</f>
        <v/>
      </c>
      <c r="DA51" s="173">
        <f>IF( DA$1= 0,"",$Q51-$S51+BM51-CJ51)</f>
        <v/>
      </c>
    </row>
    <row r="52" ht="16.5" customHeight="1">
      <c r="A52" s="145" t="n"/>
      <c r="B52" s="146" t="n"/>
      <c r="C52" s="146" t="n"/>
      <c r="D52" s="147" t="n"/>
      <c r="E52" s="205" t="n"/>
      <c r="F52" s="213" t="n"/>
      <c r="G52" s="214" t="n"/>
      <c r="H52" s="214" t="n"/>
      <c r="I52" s="214" t="n"/>
      <c r="J52" s="214" t="n"/>
      <c r="K52" s="214" t="n"/>
      <c r="L52" s="214" t="n"/>
      <c r="M52" s="218" t="n"/>
      <c r="N52" s="213" t="n"/>
      <c r="O52" s="215" t="n"/>
      <c r="P52" s="208" t="n"/>
      <c r="Q52" s="128">
        <f>ROUND(IF(AND(A52&gt;0, O52&gt;0), N52+ABS(10*LOG10(P52/(4*PI()*CONVERT(O52,"ft", "m")^2))), N52),0)</f>
        <v/>
      </c>
      <c r="R52" s="3" t="n"/>
      <c r="S52" s="3" t="n"/>
      <c r="T52" s="214" t="n"/>
      <c r="U52" s="214" t="n"/>
      <c r="V52" s="109">
        <f>SUM(W52:X52)</f>
        <v/>
      </c>
      <c r="W52" s="171" t="n"/>
      <c r="X52" s="148" t="n"/>
      <c r="AH52" s="168">
        <f t="array" ref="AH52">IF(AH$1=0,"",SQRT((_xlfn.XLOOKUP(AH$1,$Z$2:$Z$18,$AA$2:$AA$18)-$T52)^2+(_xlfn.XLOOKUP(AH$1,$Z$2:$Z$18,$AB$2:$AB$18)-$U52)^2+(_xlfn.XLOOKUP(AH$1,$Z$2:$Z$18,$AC$2:$AC$18-$V52)^2)))</f>
        <v/>
      </c>
      <c r="AI52" s="150">
        <f t="array" ref="AI52">IF(AI$1=0,"",SQRT((_xlfn.XLOOKUP(AI$1,$Z$2:$Z$18,$AA$2:$AA$18)-$T52)^2+(_xlfn.XLOOKUP(AI$1,$Z$2:$Z$18,$AB$2:$AB$18)-$U52)^2+(_xlfn.XLOOKUP(AI$1,$Z$2:$Z$18,$AC$2:$AC$18-$V52)^2)))</f>
        <v/>
      </c>
      <c r="AJ52" s="150">
        <f t="array" ref="AJ52">IF(AJ$1=0,"",SQRT((_xlfn.XLOOKUP(AJ$1,$Z$2:$Z$18,$AA$2:$AA$18)-$T52)^2+(_xlfn.XLOOKUP(AJ$1,$Z$2:$Z$18,$AB$2:$AB$18)-$U52)^2+(_xlfn.XLOOKUP(AJ$1,$Z$2:$Z$18,$AC$2:$AC$18-$V52)^2)))</f>
        <v/>
      </c>
      <c r="AK52" s="150">
        <f t="array" ref="AK52">IF(AK$1=0,"",SQRT((_xlfn.XLOOKUP(AK$1,$Z$2:$Z$18,$AA$2:$AA$18)-$T52)^2+(_xlfn.XLOOKUP(AK$1,$Z$2:$Z$18,$AB$2:$AB$18)-$U52)^2+(_xlfn.XLOOKUP(AK$1,$Z$2:$Z$18,$AC$2:$AC$18-$V52)^2)))</f>
        <v/>
      </c>
      <c r="AL52" s="150">
        <f t="array" ref="AL52">IF(AL$1=0,"",SQRT((_xlfn.XLOOKUP(AL$1,$Z$2:$Z$18,$AA$2:$AA$18)-$T52)^2+(_xlfn.XLOOKUP(AL$1,$Z$2:$Z$18,$AB$2:$AB$18)-$U52)^2+(_xlfn.XLOOKUP(AL$1,$Z$2:$Z$18,$AC$2:$AC$18-$V52)^2)))</f>
        <v/>
      </c>
      <c r="AM52" s="150">
        <f t="array" ref="AM52">IF(AM$1=0,"",SQRT((_xlfn.XLOOKUP(AM$1,$Z$2:$Z$18,$AA$2:$AA$18)-$T52)^2+(_xlfn.XLOOKUP(AM$1,$Z$2:$Z$18,$AB$2:$AB$18)-$U52)^2+(_xlfn.XLOOKUP(AM$1,$Z$2:$Z$18,$AC$2:$AC$18-$V52)^2)))</f>
        <v/>
      </c>
      <c r="AN52" s="150">
        <f t="array" ref="AN52">IF(AN$1=0,"",SQRT((_xlfn.XLOOKUP(AN$1,$Z$2:$Z$18,$AA$2:$AA$18)-$T52)^2+(_xlfn.XLOOKUP(AN$1,$Z$2:$Z$18,$AB$2:$AB$18)-$U52)^2+(_xlfn.XLOOKUP(AN$1,$Z$2:$Z$18,$AC$2:$AC$18-$V52)^2)))</f>
        <v/>
      </c>
      <c r="AO52" s="150">
        <f t="array" ref="AO52">IF(AO$1=0,"",SQRT((_xlfn.XLOOKUP(AO$1,$Z$2:$Z$18,$AA$2:$AA$18)-$T52)^2+(_xlfn.XLOOKUP(AO$1,$Z$2:$Z$18,$AB$2:$AB$18)-$U52)^2+(_xlfn.XLOOKUP(AO$1,$Z$2:$Z$18,$AC$2:$AC$18-$V52)^2)))</f>
        <v/>
      </c>
      <c r="AP52" s="151">
        <f t="array" ref="AP52">IF(AP$1=0,"",SQRT((_xlfn.XLOOKUP(AP$1,$Z$2:$Z$18,$AA$2:$AA$18)-$T52)^2+(_xlfn.XLOOKUP(AP$1,$Z$2:$Z$18,$AB$2:$AB$18)-$U52)^2+(_xlfn.XLOOKUP(AP$1,$Z$2:$Z$18,$AC$2:$AC$18-$V52)^2)))</f>
        <v/>
      </c>
      <c r="AQ52" s="151">
        <f t="array" ref="AQ52">IF(AQ$1=0,"",SQRT((_xlfn.XLOOKUP(AQ$1,$Z$2:$Z$18,$AA$2:$AA$18)-$T52)^2+(_xlfn.XLOOKUP(AQ$1,$Z$2:$Z$18,$AB$2:$AB$18)-$U52)^2+(_xlfn.XLOOKUP(AQ$1,$Z$2:$Z$18,$AC$2:$AC$18-$V52)^2)))</f>
        <v/>
      </c>
      <c r="AR52" s="151">
        <f t="array" ref="AR52">IF(AR$1=0,"",SQRT((_xlfn.XLOOKUP(AR$1,$Z$2:$Z$18,$AA$2:$AA$18)-$T52)^2+(_xlfn.XLOOKUP(AR$1,$Z$2:$Z$18,$AB$2:$AB$18)-$U52)^2+(_xlfn.XLOOKUP(AR$1,$Z$2:$Z$18,$AC$2:$AC$18-$V52)^2)))</f>
        <v/>
      </c>
      <c r="AS52" s="151">
        <f t="array" ref="AS52">IF(AS$1=0,"",SQRT((_xlfn.XLOOKUP(AS$1,$Z$2:$Z$18,$AA$2:$AA$18)-$T52)^2+(_xlfn.XLOOKUP(AS$1,$Z$2:$Z$18,$AB$2:$AB$18)-$U52)^2+(_xlfn.XLOOKUP(AS$1,$Z$2:$Z$18,$AC$2:$AC$18-$V52)^2)))</f>
        <v/>
      </c>
      <c r="AT52" s="151">
        <f t="array" ref="AT52">IF(AT$1=0,"",SQRT((_xlfn.XLOOKUP(AT$1,$Z$2:$Z$18,$AA$2:$AA$18)-$T52)^2+(_xlfn.XLOOKUP(AT$1,$Z$2:$Z$18,$AB$2:$AB$18)-$U52)^2+(_xlfn.XLOOKUP(AT$1,$Z$2:$Z$18,$AC$2:$AC$18-$V52)^2)))</f>
        <v/>
      </c>
      <c r="AU52" s="151">
        <f t="array" ref="AU52">IF(AU$1=0,"",SQRT((_xlfn.XLOOKUP(AU$1,$Z$2:$Z$18,$AA$2:$AA$18)-$T52)^2+(_xlfn.XLOOKUP(AU$1,$Z$2:$Z$18,$AB$2:$AB$18)-$U52)^2+(_xlfn.XLOOKUP(AU$1,$Z$2:$Z$18,$AC$2:$AC$18-$V52)^2)))</f>
        <v/>
      </c>
      <c r="AV52" s="152">
        <f t="array" ref="AV52">IF(AV$1=0,"",SQRT((_xlfn.XLOOKUP(AV$1,$Z$2:$Z$18,$AA$2:$AA$18)-$T52)^2+(_xlfn.XLOOKUP(AV$1,$Z$2:$Z$18,$AB$2:$AB$18)-$U52)^2+(_xlfn.XLOOKUP(AV$1,$Z$2:$Z$18,$AC$2:$AC$18-$V52)^2)))</f>
        <v/>
      </c>
      <c r="AW52" s="134" t="n"/>
      <c r="AX52" s="134" t="n"/>
      <c r="AY52" s="135">
        <f>IFERROR(-ABS(10*LOG10(($R52/(4*PI()*CONVERT(AH52,"ft","m")^2)))),0)</f>
        <v/>
      </c>
      <c r="AZ52" s="153">
        <f>IFERROR(-ABS(10*LOG10(($R52/(4*PI()*CONVERT(AI52,"ft","m")^2)))),0)</f>
        <v/>
      </c>
      <c r="BA52" s="153">
        <f>IFERROR(-ABS(10*LOG10(($R52/(4*PI()*CONVERT(AJ52,"ft","m")^2)))),0)</f>
        <v/>
      </c>
      <c r="BB52" s="153">
        <f>IFERROR(-ABS(10*LOG10(($R52/(4*PI()*CONVERT(AK52,"ft","m")^2)))),0)</f>
        <v/>
      </c>
      <c r="BC52" s="153">
        <f>IFERROR(-ABS(10*LOG10(($R52/(4*PI()*CONVERT(AL52,"ft","m")^2)))),0)</f>
        <v/>
      </c>
      <c r="BD52" s="153">
        <f>IFERROR(-ABS(10*LOG10(($R52/(4*PI()*CONVERT(AM52,"ft","m")^2)))),0)</f>
        <v/>
      </c>
      <c r="BE52" s="153">
        <f>IFERROR(-ABS(10*LOG10(($R52/(4*PI()*CONVERT(AN52,"ft","m")^2)))),0)</f>
        <v/>
      </c>
      <c r="BF52" s="153">
        <f>IFERROR(-ABS(10*LOG10(($R52/(4*PI()*CONVERT(AO52,"ft","m")^2)))),0)</f>
        <v/>
      </c>
      <c r="BG52" s="154">
        <f>IFERROR(-ABS(10*LOG10(($R52/(4*PI()*CONVERT(AP52,"ft","m")^2)))),0)</f>
        <v/>
      </c>
      <c r="BH52" s="154">
        <f>IFERROR(-ABS(10*LOG10(($R52/(4*PI()*CONVERT(AQ52,"ft","m")^2)))),0)</f>
        <v/>
      </c>
      <c r="BI52" s="154">
        <f>IFERROR(-ABS(10*LOG10(($R52/(4*PI()*CONVERT(AR52,"ft","m")^2)))),0)</f>
        <v/>
      </c>
      <c r="BJ52" s="154">
        <f>IFERROR(-ABS(10*LOG10(($R52/(4*PI()*CONVERT(AS52,"ft","m")^2)))),0)</f>
        <v/>
      </c>
      <c r="BK52" s="154">
        <f>IFERROR(-ABS(10*LOG10(($R52/(4*PI()*CONVERT(AT52,"ft","m")^2)))),0)</f>
        <v/>
      </c>
      <c r="BL52" s="154">
        <f>IFERROR(-ABS(10*LOG10(($R52/(4*PI()*CONVERT(AU52,"ft","m")^2)))),0)</f>
        <v/>
      </c>
      <c r="BM52" s="155">
        <f>IFERROR(-ABS(10*LOG10(($R52/(4*PI()*CONVERT(AV52,"ft","m")^2)))),0)</f>
        <v/>
      </c>
      <c r="BN52" s="134" t="n"/>
      <c r="BO52" s="134" t="n"/>
      <c r="BP52" s="134" t="n"/>
      <c r="BQ52" s="134" t="n"/>
      <c r="BR52" s="134" t="n"/>
      <c r="BS52" s="134" t="n"/>
      <c r="BT52" s="134" t="n"/>
      <c r="BU52" s="134" t="n"/>
      <c r="BV52" s="140" t="n"/>
      <c r="BW52" s="140" t="n"/>
      <c r="BX52" s="140" t="n"/>
      <c r="BY52" s="140" t="n"/>
      <c r="BZ52" s="140" t="n"/>
      <c r="CA52" s="140" t="n"/>
      <c r="CB52" s="140" t="n"/>
      <c r="CC52" s="140" t="n"/>
      <c r="CD52" s="140" t="n"/>
      <c r="CE52" s="140" t="n"/>
      <c r="CF52" s="140" t="n"/>
      <c r="CG52" s="140" t="n"/>
      <c r="CH52" s="140" t="n"/>
      <c r="CI52" s="140" t="n"/>
      <c r="CJ52" s="140" t="n"/>
      <c r="CK52" s="134" t="n"/>
      <c r="CL52" s="134" t="n"/>
      <c r="CM52" s="169">
        <f>IF( CM$1= 0,"",$Q52-$S52+AY52-BV52)</f>
        <v/>
      </c>
      <c r="CN52" s="170">
        <f>IF( CN$1= 0,"",$Q52-$S52+AZ52-BW52)</f>
        <v/>
      </c>
      <c r="CO52" s="170">
        <f>IF( CO$1= 0,"",$Q52-$S52+BA52-BX52)</f>
        <v/>
      </c>
      <c r="CP52" s="170">
        <f>IF( CP$1= 0,"",$Q52-$S52+BB52-BY52)</f>
        <v/>
      </c>
      <c r="CQ52" s="170">
        <f>IF( CQ$1= 0,"",$Q52-$S52+BC52-BZ52)</f>
        <v/>
      </c>
      <c r="CR52" s="170">
        <f>IF( CR$1= 0,"",$Q52-$S52+BD52-CA52)</f>
        <v/>
      </c>
      <c r="CS52" s="170">
        <f>IF( CS$1= 0,"",$Q52-$S52+BE52-CB52)</f>
        <v/>
      </c>
      <c r="CT52" s="170">
        <f>IF( CT$1= 0,"",$Q52-$S52+BF52-CC52)</f>
        <v/>
      </c>
      <c r="CU52" s="172">
        <f>IF( CU$1= 0,"",$Q52-$S52+BG52-CD52)</f>
        <v/>
      </c>
      <c r="CV52" s="172">
        <f>IF( CV$1= 0,"",$Q52-$S52+BH52-CE52)</f>
        <v/>
      </c>
      <c r="CW52" s="172">
        <f>IF( CW$1= 0,"",$Q52-$S52+BI52-CF52)</f>
        <v/>
      </c>
      <c r="CX52" s="172">
        <f>IF( CX$1= 0,"",$Q52-$S52+BJ52-CG52)</f>
        <v/>
      </c>
      <c r="CY52" s="172">
        <f>IF( CY$1= 0,"",$Q52-$S52+BK52-CH52)</f>
        <v/>
      </c>
      <c r="CZ52" s="172">
        <f>IF( CZ$1= 0,"",$Q52-$S52+BL52-CI52)</f>
        <v/>
      </c>
      <c r="DA52" s="173">
        <f>IF( DA$1= 0,"",$Q52-$S52+BM52-CJ52)</f>
        <v/>
      </c>
    </row>
    <row r="53" ht="16.5" customHeight="1">
      <c r="A53" s="145" t="n"/>
      <c r="B53" s="146" t="n"/>
      <c r="C53" s="146" t="n"/>
      <c r="D53" s="147" t="n"/>
      <c r="E53" s="205" t="n"/>
      <c r="F53" s="213" t="n"/>
      <c r="G53" s="214" t="n"/>
      <c r="H53" s="214" t="n"/>
      <c r="I53" s="214" t="n"/>
      <c r="J53" s="214" t="n"/>
      <c r="K53" s="214" t="n"/>
      <c r="L53" s="214" t="n"/>
      <c r="M53" s="218" t="n"/>
      <c r="N53" s="213" t="n"/>
      <c r="O53" s="215" t="n"/>
      <c r="P53" s="208" t="n"/>
      <c r="Q53" s="128">
        <f>ROUND(IF(AND(A53&gt;0, O53&gt;0), N53+ABS(10*LOG10(P53/(4*PI()*CONVERT(O53,"ft", "m")^2))), N53),0)</f>
        <v/>
      </c>
      <c r="R53" s="3" t="n"/>
      <c r="S53" s="3" t="n"/>
      <c r="T53" s="214" t="n"/>
      <c r="U53" s="214" t="n"/>
      <c r="V53" s="109">
        <f>SUM(W53:X53)</f>
        <v/>
      </c>
      <c r="W53" s="171" t="n"/>
      <c r="X53" s="148" t="n"/>
      <c r="AH53" s="168">
        <f t="array" ref="AH53">IF(AH$1=0,"",SQRT((_xlfn.XLOOKUP(AH$1,$Z$2:$Z$18,$AA$2:$AA$18)-$T53)^2+(_xlfn.XLOOKUP(AH$1,$Z$2:$Z$18,$AB$2:$AB$18)-$U53)^2+(_xlfn.XLOOKUP(AH$1,$Z$2:$Z$18,$AC$2:$AC$18-$V53)^2)))</f>
        <v/>
      </c>
      <c r="AI53" s="150">
        <f t="array" ref="AI53">IF(AI$1=0,"",SQRT((_xlfn.XLOOKUP(AI$1,$Z$2:$Z$18,$AA$2:$AA$18)-$T53)^2+(_xlfn.XLOOKUP(AI$1,$Z$2:$Z$18,$AB$2:$AB$18)-$U53)^2+(_xlfn.XLOOKUP(AI$1,$Z$2:$Z$18,$AC$2:$AC$18-$V53)^2)))</f>
        <v/>
      </c>
      <c r="AJ53" s="150">
        <f t="array" ref="AJ53">IF(AJ$1=0,"",SQRT((_xlfn.XLOOKUP(AJ$1,$Z$2:$Z$18,$AA$2:$AA$18)-$T53)^2+(_xlfn.XLOOKUP(AJ$1,$Z$2:$Z$18,$AB$2:$AB$18)-$U53)^2+(_xlfn.XLOOKUP(AJ$1,$Z$2:$Z$18,$AC$2:$AC$18-$V53)^2)))</f>
        <v/>
      </c>
      <c r="AK53" s="150">
        <f t="array" ref="AK53">IF(AK$1=0,"",SQRT((_xlfn.XLOOKUP(AK$1,$Z$2:$Z$18,$AA$2:$AA$18)-$T53)^2+(_xlfn.XLOOKUP(AK$1,$Z$2:$Z$18,$AB$2:$AB$18)-$U53)^2+(_xlfn.XLOOKUP(AK$1,$Z$2:$Z$18,$AC$2:$AC$18-$V53)^2)))</f>
        <v/>
      </c>
      <c r="AL53" s="150">
        <f t="array" ref="AL53">IF(AL$1=0,"",SQRT((_xlfn.XLOOKUP(AL$1,$Z$2:$Z$18,$AA$2:$AA$18)-$T53)^2+(_xlfn.XLOOKUP(AL$1,$Z$2:$Z$18,$AB$2:$AB$18)-$U53)^2+(_xlfn.XLOOKUP(AL$1,$Z$2:$Z$18,$AC$2:$AC$18-$V53)^2)))</f>
        <v/>
      </c>
      <c r="AM53" s="150">
        <f t="array" ref="AM53">IF(AM$1=0,"",SQRT((_xlfn.XLOOKUP(AM$1,$Z$2:$Z$18,$AA$2:$AA$18)-$T53)^2+(_xlfn.XLOOKUP(AM$1,$Z$2:$Z$18,$AB$2:$AB$18)-$U53)^2+(_xlfn.XLOOKUP(AM$1,$Z$2:$Z$18,$AC$2:$AC$18-$V53)^2)))</f>
        <v/>
      </c>
      <c r="AN53" s="150">
        <f t="array" ref="AN53">IF(AN$1=0,"",SQRT((_xlfn.XLOOKUP(AN$1,$Z$2:$Z$18,$AA$2:$AA$18)-$T53)^2+(_xlfn.XLOOKUP(AN$1,$Z$2:$Z$18,$AB$2:$AB$18)-$U53)^2+(_xlfn.XLOOKUP(AN$1,$Z$2:$Z$18,$AC$2:$AC$18-$V53)^2)))</f>
        <v/>
      </c>
      <c r="AO53" s="150">
        <f t="array" ref="AO53">IF(AO$1=0,"",SQRT((_xlfn.XLOOKUP(AO$1,$Z$2:$Z$18,$AA$2:$AA$18)-$T53)^2+(_xlfn.XLOOKUP(AO$1,$Z$2:$Z$18,$AB$2:$AB$18)-$U53)^2+(_xlfn.XLOOKUP(AO$1,$Z$2:$Z$18,$AC$2:$AC$18-$V53)^2)))</f>
        <v/>
      </c>
      <c r="AP53" s="151">
        <f t="array" ref="AP53">IF(AP$1=0,"",SQRT((_xlfn.XLOOKUP(AP$1,$Z$2:$Z$18,$AA$2:$AA$18)-$T53)^2+(_xlfn.XLOOKUP(AP$1,$Z$2:$Z$18,$AB$2:$AB$18)-$U53)^2+(_xlfn.XLOOKUP(AP$1,$Z$2:$Z$18,$AC$2:$AC$18-$V53)^2)))</f>
        <v/>
      </c>
      <c r="AQ53" s="151">
        <f t="array" ref="AQ53">IF(AQ$1=0,"",SQRT((_xlfn.XLOOKUP(AQ$1,$Z$2:$Z$18,$AA$2:$AA$18)-$T53)^2+(_xlfn.XLOOKUP(AQ$1,$Z$2:$Z$18,$AB$2:$AB$18)-$U53)^2+(_xlfn.XLOOKUP(AQ$1,$Z$2:$Z$18,$AC$2:$AC$18-$V53)^2)))</f>
        <v/>
      </c>
      <c r="AR53" s="151">
        <f t="array" ref="AR53">IF(AR$1=0,"",SQRT((_xlfn.XLOOKUP(AR$1,$Z$2:$Z$18,$AA$2:$AA$18)-$T53)^2+(_xlfn.XLOOKUP(AR$1,$Z$2:$Z$18,$AB$2:$AB$18)-$U53)^2+(_xlfn.XLOOKUP(AR$1,$Z$2:$Z$18,$AC$2:$AC$18-$V53)^2)))</f>
        <v/>
      </c>
      <c r="AS53" s="151">
        <f t="array" ref="AS53">IF(AS$1=0,"",SQRT((_xlfn.XLOOKUP(AS$1,$Z$2:$Z$18,$AA$2:$AA$18)-$T53)^2+(_xlfn.XLOOKUP(AS$1,$Z$2:$Z$18,$AB$2:$AB$18)-$U53)^2+(_xlfn.XLOOKUP(AS$1,$Z$2:$Z$18,$AC$2:$AC$18-$V53)^2)))</f>
        <v/>
      </c>
      <c r="AT53" s="151">
        <f t="array" ref="AT53">IF(AT$1=0,"",SQRT((_xlfn.XLOOKUP(AT$1,$Z$2:$Z$18,$AA$2:$AA$18)-$T53)^2+(_xlfn.XLOOKUP(AT$1,$Z$2:$Z$18,$AB$2:$AB$18)-$U53)^2+(_xlfn.XLOOKUP(AT$1,$Z$2:$Z$18,$AC$2:$AC$18-$V53)^2)))</f>
        <v/>
      </c>
      <c r="AU53" s="151">
        <f t="array" ref="AU53">IF(AU$1=0,"",SQRT((_xlfn.XLOOKUP(AU$1,$Z$2:$Z$18,$AA$2:$AA$18)-$T53)^2+(_xlfn.XLOOKUP(AU$1,$Z$2:$Z$18,$AB$2:$AB$18)-$U53)^2+(_xlfn.XLOOKUP(AU$1,$Z$2:$Z$18,$AC$2:$AC$18-$V53)^2)))</f>
        <v/>
      </c>
      <c r="AV53" s="152">
        <f t="array" ref="AV53">IF(AV$1=0,"",SQRT((_xlfn.XLOOKUP(AV$1,$Z$2:$Z$18,$AA$2:$AA$18)-$T53)^2+(_xlfn.XLOOKUP(AV$1,$Z$2:$Z$18,$AB$2:$AB$18)-$U53)^2+(_xlfn.XLOOKUP(AV$1,$Z$2:$Z$18,$AC$2:$AC$18-$V53)^2)))</f>
        <v/>
      </c>
      <c r="AW53" s="134" t="n"/>
      <c r="AX53" s="134" t="n"/>
      <c r="AY53" s="135">
        <f>IFERROR(-ABS(10*LOG10(($R53/(4*PI()*CONVERT(AH53,"ft","m")^2)))),0)</f>
        <v/>
      </c>
      <c r="AZ53" s="153">
        <f>IFERROR(-ABS(10*LOG10(($R53/(4*PI()*CONVERT(AI53,"ft","m")^2)))),0)</f>
        <v/>
      </c>
      <c r="BA53" s="153">
        <f>IFERROR(-ABS(10*LOG10(($R53/(4*PI()*CONVERT(AJ53,"ft","m")^2)))),0)</f>
        <v/>
      </c>
      <c r="BB53" s="153">
        <f>IFERROR(-ABS(10*LOG10(($R53/(4*PI()*CONVERT(AK53,"ft","m")^2)))),0)</f>
        <v/>
      </c>
      <c r="BC53" s="153">
        <f>IFERROR(-ABS(10*LOG10(($R53/(4*PI()*CONVERT(AL53,"ft","m")^2)))),0)</f>
        <v/>
      </c>
      <c r="BD53" s="153">
        <f>IFERROR(-ABS(10*LOG10(($R53/(4*PI()*CONVERT(AM53,"ft","m")^2)))),0)</f>
        <v/>
      </c>
      <c r="BE53" s="153">
        <f>IFERROR(-ABS(10*LOG10(($R53/(4*PI()*CONVERT(AN53,"ft","m")^2)))),0)</f>
        <v/>
      </c>
      <c r="BF53" s="153">
        <f>IFERROR(-ABS(10*LOG10(($R53/(4*PI()*CONVERT(AO53,"ft","m")^2)))),0)</f>
        <v/>
      </c>
      <c r="BG53" s="154">
        <f>IFERROR(-ABS(10*LOG10(($R53/(4*PI()*CONVERT(AP53,"ft","m")^2)))),0)</f>
        <v/>
      </c>
      <c r="BH53" s="154">
        <f>IFERROR(-ABS(10*LOG10(($R53/(4*PI()*CONVERT(AQ53,"ft","m")^2)))),0)</f>
        <v/>
      </c>
      <c r="BI53" s="154">
        <f>IFERROR(-ABS(10*LOG10(($R53/(4*PI()*CONVERT(AR53,"ft","m")^2)))),0)</f>
        <v/>
      </c>
      <c r="BJ53" s="154">
        <f>IFERROR(-ABS(10*LOG10(($R53/(4*PI()*CONVERT(AS53,"ft","m")^2)))),0)</f>
        <v/>
      </c>
      <c r="BK53" s="154">
        <f>IFERROR(-ABS(10*LOG10(($R53/(4*PI()*CONVERT(AT53,"ft","m")^2)))),0)</f>
        <v/>
      </c>
      <c r="BL53" s="154">
        <f>IFERROR(-ABS(10*LOG10(($R53/(4*PI()*CONVERT(AU53,"ft","m")^2)))),0)</f>
        <v/>
      </c>
      <c r="BM53" s="155">
        <f>IFERROR(-ABS(10*LOG10(($R53/(4*PI()*CONVERT(AV53,"ft","m")^2)))),0)</f>
        <v/>
      </c>
      <c r="BN53" s="134" t="n"/>
      <c r="BO53" s="134" t="n"/>
      <c r="BP53" s="134" t="n"/>
      <c r="BQ53" s="134" t="n"/>
      <c r="BR53" s="134" t="n"/>
      <c r="BS53" s="134" t="n"/>
      <c r="BT53" s="134" t="n"/>
      <c r="BU53" s="134" t="n"/>
      <c r="BV53" s="140" t="n"/>
      <c r="BW53" s="140" t="n"/>
      <c r="BX53" s="140" t="n"/>
      <c r="BY53" s="140" t="n"/>
      <c r="BZ53" s="140" t="n"/>
      <c r="CA53" s="140" t="n"/>
      <c r="CB53" s="140" t="n"/>
      <c r="CC53" s="140" t="n"/>
      <c r="CD53" s="140" t="n"/>
      <c r="CE53" s="140" t="n"/>
      <c r="CF53" s="140" t="n"/>
      <c r="CG53" s="140" t="n"/>
      <c r="CH53" s="140" t="n"/>
      <c r="CI53" s="140" t="n"/>
      <c r="CJ53" s="140" t="n"/>
      <c r="CK53" s="134" t="n"/>
      <c r="CL53" s="134" t="n"/>
      <c r="CM53" s="169">
        <f>IF( CM$1= 0,"",$Q53-$S53+AY53-BV53)</f>
        <v/>
      </c>
      <c r="CN53" s="170">
        <f>IF( CN$1= 0,"",$Q53-$S53+AZ53-BW53)</f>
        <v/>
      </c>
      <c r="CO53" s="170">
        <f>IF( CO$1= 0,"",$Q53-$S53+BA53-BX53)</f>
        <v/>
      </c>
      <c r="CP53" s="170">
        <f>IF( CP$1= 0,"",$Q53-$S53+BB53-BY53)</f>
        <v/>
      </c>
      <c r="CQ53" s="170">
        <f>IF( CQ$1= 0,"",$Q53-$S53+BC53-BZ53)</f>
        <v/>
      </c>
      <c r="CR53" s="170">
        <f>IF( CR$1= 0,"",$Q53-$S53+BD53-CA53)</f>
        <v/>
      </c>
      <c r="CS53" s="170">
        <f>IF( CS$1= 0,"",$Q53-$S53+BE53-CB53)</f>
        <v/>
      </c>
      <c r="CT53" s="170">
        <f>IF( CT$1= 0,"",$Q53-$S53+BF53-CC53)</f>
        <v/>
      </c>
      <c r="CU53" s="172">
        <f>IF( CU$1= 0,"",$Q53-$S53+BG53-CD53)</f>
        <v/>
      </c>
      <c r="CV53" s="172">
        <f>IF( CV$1= 0,"",$Q53-$S53+BH53-CE53)</f>
        <v/>
      </c>
      <c r="CW53" s="172">
        <f>IF( CW$1= 0,"",$Q53-$S53+BI53-CF53)</f>
        <v/>
      </c>
      <c r="CX53" s="172">
        <f>IF( CX$1= 0,"",$Q53-$S53+BJ53-CG53)</f>
        <v/>
      </c>
      <c r="CY53" s="172">
        <f>IF( CY$1= 0,"",$Q53-$S53+BK53-CH53)</f>
        <v/>
      </c>
      <c r="CZ53" s="172">
        <f>IF( CZ$1= 0,"",$Q53-$S53+BL53-CI53)</f>
        <v/>
      </c>
      <c r="DA53" s="173">
        <f>IF( DA$1= 0,"",$Q53-$S53+BM53-CJ53)</f>
        <v/>
      </c>
    </row>
    <row r="54" ht="16.5" customHeight="1">
      <c r="A54" s="145" t="n"/>
      <c r="B54" s="146" t="n"/>
      <c r="C54" s="146" t="n"/>
      <c r="D54" s="147" t="n"/>
      <c r="E54" s="205" t="n"/>
      <c r="F54" s="213" t="n"/>
      <c r="G54" s="214" t="n"/>
      <c r="H54" s="214" t="n"/>
      <c r="I54" s="214" t="n"/>
      <c r="J54" s="214" t="n"/>
      <c r="K54" s="214" t="n"/>
      <c r="L54" s="214" t="n"/>
      <c r="M54" s="218" t="n"/>
      <c r="N54" s="213" t="n"/>
      <c r="O54" s="215" t="n"/>
      <c r="P54" s="208" t="n"/>
      <c r="Q54" s="128">
        <f>ROUND(IF(AND(A54&gt;0, O54&gt;0), N54+ABS(10*LOG10(P54/(4*PI()*CONVERT(O54,"ft", "m")^2))), N54),0)</f>
        <v/>
      </c>
      <c r="R54" s="3" t="n"/>
      <c r="S54" s="3" t="n"/>
      <c r="T54" s="214" t="n"/>
      <c r="U54" s="214" t="n"/>
      <c r="V54" s="109">
        <f>SUM(W54:X54)</f>
        <v/>
      </c>
      <c r="W54" s="171" t="n"/>
      <c r="X54" s="148" t="n"/>
      <c r="AH54" s="168">
        <f t="array" ref="AH54">IF(AH$1=0,"",SQRT((_xlfn.XLOOKUP(AH$1,$Z$2:$Z$18,$AA$2:$AA$18)-$T54)^2+(_xlfn.XLOOKUP(AH$1,$Z$2:$Z$18,$AB$2:$AB$18)-$U54)^2+(_xlfn.XLOOKUP(AH$1,$Z$2:$Z$18,$AC$2:$AC$18-$V54)^2)))</f>
        <v/>
      </c>
      <c r="AI54" s="150">
        <f t="array" ref="AI54">IF(AI$1=0,"",SQRT((_xlfn.XLOOKUP(AI$1,$Z$2:$Z$18,$AA$2:$AA$18)-$T54)^2+(_xlfn.XLOOKUP(AI$1,$Z$2:$Z$18,$AB$2:$AB$18)-$U54)^2+(_xlfn.XLOOKUP(AI$1,$Z$2:$Z$18,$AC$2:$AC$18-$V54)^2)))</f>
        <v/>
      </c>
      <c r="AJ54" s="150">
        <f t="array" ref="AJ54">IF(AJ$1=0,"",SQRT((_xlfn.XLOOKUP(AJ$1,$Z$2:$Z$18,$AA$2:$AA$18)-$T54)^2+(_xlfn.XLOOKUP(AJ$1,$Z$2:$Z$18,$AB$2:$AB$18)-$U54)^2+(_xlfn.XLOOKUP(AJ$1,$Z$2:$Z$18,$AC$2:$AC$18-$V54)^2)))</f>
        <v/>
      </c>
      <c r="AK54" s="150">
        <f t="array" ref="AK54">IF(AK$1=0,"",SQRT((_xlfn.XLOOKUP(AK$1,$Z$2:$Z$18,$AA$2:$AA$18)-$T54)^2+(_xlfn.XLOOKUP(AK$1,$Z$2:$Z$18,$AB$2:$AB$18)-$U54)^2+(_xlfn.XLOOKUP(AK$1,$Z$2:$Z$18,$AC$2:$AC$18-$V54)^2)))</f>
        <v/>
      </c>
      <c r="AL54" s="150">
        <f t="array" ref="AL54">IF(AL$1=0,"",SQRT((_xlfn.XLOOKUP(AL$1,$Z$2:$Z$18,$AA$2:$AA$18)-$T54)^2+(_xlfn.XLOOKUP(AL$1,$Z$2:$Z$18,$AB$2:$AB$18)-$U54)^2+(_xlfn.XLOOKUP(AL$1,$Z$2:$Z$18,$AC$2:$AC$18-$V54)^2)))</f>
        <v/>
      </c>
      <c r="AM54" s="150">
        <f t="array" ref="AM54">IF(AM$1=0,"",SQRT((_xlfn.XLOOKUP(AM$1,$Z$2:$Z$18,$AA$2:$AA$18)-$T54)^2+(_xlfn.XLOOKUP(AM$1,$Z$2:$Z$18,$AB$2:$AB$18)-$U54)^2+(_xlfn.XLOOKUP(AM$1,$Z$2:$Z$18,$AC$2:$AC$18-$V54)^2)))</f>
        <v/>
      </c>
      <c r="AN54" s="150">
        <f t="array" ref="AN54">IF(AN$1=0,"",SQRT((_xlfn.XLOOKUP(AN$1,$Z$2:$Z$18,$AA$2:$AA$18)-$T54)^2+(_xlfn.XLOOKUP(AN$1,$Z$2:$Z$18,$AB$2:$AB$18)-$U54)^2+(_xlfn.XLOOKUP(AN$1,$Z$2:$Z$18,$AC$2:$AC$18-$V54)^2)))</f>
        <v/>
      </c>
      <c r="AO54" s="150">
        <f t="array" ref="AO54">IF(AO$1=0,"",SQRT((_xlfn.XLOOKUP(AO$1,$Z$2:$Z$18,$AA$2:$AA$18)-$T54)^2+(_xlfn.XLOOKUP(AO$1,$Z$2:$Z$18,$AB$2:$AB$18)-$U54)^2+(_xlfn.XLOOKUP(AO$1,$Z$2:$Z$18,$AC$2:$AC$18-$V54)^2)))</f>
        <v/>
      </c>
      <c r="AP54" s="151">
        <f t="array" ref="AP54">IF(AP$1=0,"",SQRT((_xlfn.XLOOKUP(AP$1,$Z$2:$Z$18,$AA$2:$AA$18)-$T54)^2+(_xlfn.XLOOKUP(AP$1,$Z$2:$Z$18,$AB$2:$AB$18)-$U54)^2+(_xlfn.XLOOKUP(AP$1,$Z$2:$Z$18,$AC$2:$AC$18-$V54)^2)))</f>
        <v/>
      </c>
      <c r="AQ54" s="151">
        <f t="array" ref="AQ54">IF(AQ$1=0,"",SQRT((_xlfn.XLOOKUP(AQ$1,$Z$2:$Z$18,$AA$2:$AA$18)-$T54)^2+(_xlfn.XLOOKUP(AQ$1,$Z$2:$Z$18,$AB$2:$AB$18)-$U54)^2+(_xlfn.XLOOKUP(AQ$1,$Z$2:$Z$18,$AC$2:$AC$18-$V54)^2)))</f>
        <v/>
      </c>
      <c r="AR54" s="151">
        <f t="array" ref="AR54">IF(AR$1=0,"",SQRT((_xlfn.XLOOKUP(AR$1,$Z$2:$Z$18,$AA$2:$AA$18)-$T54)^2+(_xlfn.XLOOKUP(AR$1,$Z$2:$Z$18,$AB$2:$AB$18)-$U54)^2+(_xlfn.XLOOKUP(AR$1,$Z$2:$Z$18,$AC$2:$AC$18-$V54)^2)))</f>
        <v/>
      </c>
      <c r="AS54" s="151">
        <f t="array" ref="AS54">IF(AS$1=0,"",SQRT((_xlfn.XLOOKUP(AS$1,$Z$2:$Z$18,$AA$2:$AA$18)-$T54)^2+(_xlfn.XLOOKUP(AS$1,$Z$2:$Z$18,$AB$2:$AB$18)-$U54)^2+(_xlfn.XLOOKUP(AS$1,$Z$2:$Z$18,$AC$2:$AC$18-$V54)^2)))</f>
        <v/>
      </c>
      <c r="AT54" s="151">
        <f t="array" ref="AT54">IF(AT$1=0,"",SQRT((_xlfn.XLOOKUP(AT$1,$Z$2:$Z$18,$AA$2:$AA$18)-$T54)^2+(_xlfn.XLOOKUP(AT$1,$Z$2:$Z$18,$AB$2:$AB$18)-$U54)^2+(_xlfn.XLOOKUP(AT$1,$Z$2:$Z$18,$AC$2:$AC$18-$V54)^2)))</f>
        <v/>
      </c>
      <c r="AU54" s="151">
        <f t="array" ref="AU54">IF(AU$1=0,"",SQRT((_xlfn.XLOOKUP(AU$1,$Z$2:$Z$18,$AA$2:$AA$18)-$T54)^2+(_xlfn.XLOOKUP(AU$1,$Z$2:$Z$18,$AB$2:$AB$18)-$U54)^2+(_xlfn.XLOOKUP(AU$1,$Z$2:$Z$18,$AC$2:$AC$18-$V54)^2)))</f>
        <v/>
      </c>
      <c r="AV54" s="152">
        <f t="array" ref="AV54">IF(AV$1=0,"",SQRT((_xlfn.XLOOKUP(AV$1,$Z$2:$Z$18,$AA$2:$AA$18)-$T54)^2+(_xlfn.XLOOKUP(AV$1,$Z$2:$Z$18,$AB$2:$AB$18)-$U54)^2+(_xlfn.XLOOKUP(AV$1,$Z$2:$Z$18,$AC$2:$AC$18-$V54)^2)))</f>
        <v/>
      </c>
      <c r="AW54" s="134" t="n"/>
      <c r="AX54" s="134" t="n"/>
      <c r="AY54" s="135">
        <f>IFERROR(-ABS(10*LOG10(($R54/(4*PI()*CONVERT(AH54,"ft","m")^2)))),0)</f>
        <v/>
      </c>
      <c r="AZ54" s="153">
        <f>IFERROR(-ABS(10*LOG10(($R54/(4*PI()*CONVERT(AI54,"ft","m")^2)))),0)</f>
        <v/>
      </c>
      <c r="BA54" s="153">
        <f>IFERROR(-ABS(10*LOG10(($R54/(4*PI()*CONVERT(AJ54,"ft","m")^2)))),0)</f>
        <v/>
      </c>
      <c r="BB54" s="153">
        <f>IFERROR(-ABS(10*LOG10(($R54/(4*PI()*CONVERT(AK54,"ft","m")^2)))),0)</f>
        <v/>
      </c>
      <c r="BC54" s="153">
        <f>IFERROR(-ABS(10*LOG10(($R54/(4*PI()*CONVERT(AL54,"ft","m")^2)))),0)</f>
        <v/>
      </c>
      <c r="BD54" s="153">
        <f>IFERROR(-ABS(10*LOG10(($R54/(4*PI()*CONVERT(AM54,"ft","m")^2)))),0)</f>
        <v/>
      </c>
      <c r="BE54" s="153">
        <f>IFERROR(-ABS(10*LOG10(($R54/(4*PI()*CONVERT(AN54,"ft","m")^2)))),0)</f>
        <v/>
      </c>
      <c r="BF54" s="153">
        <f>IFERROR(-ABS(10*LOG10(($R54/(4*PI()*CONVERT(AO54,"ft","m")^2)))),0)</f>
        <v/>
      </c>
      <c r="BG54" s="154">
        <f>IFERROR(-ABS(10*LOG10(($R54/(4*PI()*CONVERT(AP54,"ft","m")^2)))),0)</f>
        <v/>
      </c>
      <c r="BH54" s="154">
        <f>IFERROR(-ABS(10*LOG10(($R54/(4*PI()*CONVERT(AQ54,"ft","m")^2)))),0)</f>
        <v/>
      </c>
      <c r="BI54" s="154">
        <f>IFERROR(-ABS(10*LOG10(($R54/(4*PI()*CONVERT(AR54,"ft","m")^2)))),0)</f>
        <v/>
      </c>
      <c r="BJ54" s="154">
        <f>IFERROR(-ABS(10*LOG10(($R54/(4*PI()*CONVERT(AS54,"ft","m")^2)))),0)</f>
        <v/>
      </c>
      <c r="BK54" s="154">
        <f>IFERROR(-ABS(10*LOG10(($R54/(4*PI()*CONVERT(AT54,"ft","m")^2)))),0)</f>
        <v/>
      </c>
      <c r="BL54" s="154">
        <f>IFERROR(-ABS(10*LOG10(($R54/(4*PI()*CONVERT(AU54,"ft","m")^2)))),0)</f>
        <v/>
      </c>
      <c r="BM54" s="155">
        <f>IFERROR(-ABS(10*LOG10(($R54/(4*PI()*CONVERT(AV54,"ft","m")^2)))),0)</f>
        <v/>
      </c>
      <c r="BN54" s="134" t="n"/>
      <c r="BO54" s="134" t="n"/>
      <c r="BP54" s="134" t="n"/>
      <c r="BQ54" s="134" t="n"/>
      <c r="BR54" s="134" t="n"/>
      <c r="BS54" s="134" t="n"/>
      <c r="BT54" s="134" t="n"/>
      <c r="BU54" s="134" t="n"/>
      <c r="BV54" s="140" t="n"/>
      <c r="BW54" s="140" t="n"/>
      <c r="BX54" s="140" t="n"/>
      <c r="BY54" s="140" t="n"/>
      <c r="BZ54" s="140" t="n"/>
      <c r="CA54" s="140" t="n"/>
      <c r="CB54" s="140" t="n"/>
      <c r="CC54" s="140" t="n"/>
      <c r="CD54" s="140" t="n"/>
      <c r="CE54" s="140" t="n"/>
      <c r="CF54" s="140" t="n"/>
      <c r="CG54" s="140" t="n"/>
      <c r="CH54" s="140" t="n"/>
      <c r="CI54" s="140" t="n"/>
      <c r="CJ54" s="140" t="n"/>
      <c r="CK54" s="134" t="n"/>
      <c r="CL54" s="134" t="n"/>
      <c r="CM54" s="169">
        <f>IF( CM$1= 0,"",$Q54-$S54+AY54-BV54)</f>
        <v/>
      </c>
      <c r="CN54" s="170">
        <f>IF( CN$1= 0,"",$Q54-$S54+AZ54-BW54)</f>
        <v/>
      </c>
      <c r="CO54" s="170">
        <f>IF( CO$1= 0,"",$Q54-$S54+BA54-BX54)</f>
        <v/>
      </c>
      <c r="CP54" s="170">
        <f>IF( CP$1= 0,"",$Q54-$S54+BB54-BY54)</f>
        <v/>
      </c>
      <c r="CQ54" s="170">
        <f>IF( CQ$1= 0,"",$Q54-$S54+BC54-BZ54)</f>
        <v/>
      </c>
      <c r="CR54" s="170">
        <f>IF( CR$1= 0,"",$Q54-$S54+BD54-CA54)</f>
        <v/>
      </c>
      <c r="CS54" s="170">
        <f>IF( CS$1= 0,"",$Q54-$S54+BE54-CB54)</f>
        <v/>
      </c>
      <c r="CT54" s="170">
        <f>IF( CT$1= 0,"",$Q54-$S54+BF54-CC54)</f>
        <v/>
      </c>
      <c r="CU54" s="172">
        <f>IF( CU$1= 0,"",$Q54-$S54+BG54-CD54)</f>
        <v/>
      </c>
      <c r="CV54" s="172">
        <f>IF( CV$1= 0,"",$Q54-$S54+BH54-CE54)</f>
        <v/>
      </c>
      <c r="CW54" s="172">
        <f>IF( CW$1= 0,"",$Q54-$S54+BI54-CF54)</f>
        <v/>
      </c>
      <c r="CX54" s="172">
        <f>IF( CX$1= 0,"",$Q54-$S54+BJ54-CG54)</f>
        <v/>
      </c>
      <c r="CY54" s="172">
        <f>IF( CY$1= 0,"",$Q54-$S54+BK54-CH54)</f>
        <v/>
      </c>
      <c r="CZ54" s="172">
        <f>IF( CZ$1= 0,"",$Q54-$S54+BL54-CI54)</f>
        <v/>
      </c>
      <c r="DA54" s="173">
        <f>IF( DA$1= 0,"",$Q54-$S54+BM54-CJ54)</f>
        <v/>
      </c>
    </row>
    <row r="55" ht="16.5" customHeight="1">
      <c r="A55" s="145" t="n"/>
      <c r="B55" s="146" t="n"/>
      <c r="C55" s="146" t="n"/>
      <c r="D55" s="147" t="n"/>
      <c r="E55" s="205" t="n"/>
      <c r="F55" s="213" t="n"/>
      <c r="G55" s="214" t="n"/>
      <c r="H55" s="214" t="n"/>
      <c r="I55" s="214" t="n"/>
      <c r="J55" s="214" t="n"/>
      <c r="K55" s="214" t="n"/>
      <c r="L55" s="214" t="n"/>
      <c r="M55" s="218" t="n"/>
      <c r="N55" s="213" t="n"/>
      <c r="O55" s="215" t="n"/>
      <c r="P55" s="208" t="n"/>
      <c r="Q55" s="128">
        <f>ROUND(IF(AND(A55&gt;0, O55&gt;0), N55+ABS(10*LOG10(P55/(4*PI()*CONVERT(O55,"ft", "m")^2))), N55),0)</f>
        <v/>
      </c>
      <c r="R55" s="3" t="n"/>
      <c r="S55" s="3" t="n"/>
      <c r="T55" s="214" t="n"/>
      <c r="U55" s="214" t="n"/>
      <c r="V55" s="109">
        <f>SUM(W55:X55)</f>
        <v/>
      </c>
      <c r="W55" s="171" t="n"/>
      <c r="X55" s="148" t="n"/>
      <c r="AH55" s="168">
        <f t="array" ref="AH55">IF(AH$1=0,"",SQRT((_xlfn.XLOOKUP(AH$1,$Z$2:$Z$18,$AA$2:$AA$18)-$T55)^2+(_xlfn.XLOOKUP(AH$1,$Z$2:$Z$18,$AB$2:$AB$18)-$U55)^2+(_xlfn.XLOOKUP(AH$1,$Z$2:$Z$18,$AC$2:$AC$18-$V55)^2)))</f>
        <v/>
      </c>
      <c r="AI55" s="150">
        <f t="array" ref="AI55">IF(AI$1=0,"",SQRT((_xlfn.XLOOKUP(AI$1,$Z$2:$Z$18,$AA$2:$AA$18)-$T55)^2+(_xlfn.XLOOKUP(AI$1,$Z$2:$Z$18,$AB$2:$AB$18)-$U55)^2+(_xlfn.XLOOKUP(AI$1,$Z$2:$Z$18,$AC$2:$AC$18-$V55)^2)))</f>
        <v/>
      </c>
      <c r="AJ55" s="150">
        <f t="array" ref="AJ55">IF(AJ$1=0,"",SQRT((_xlfn.XLOOKUP(AJ$1,$Z$2:$Z$18,$AA$2:$AA$18)-$T55)^2+(_xlfn.XLOOKUP(AJ$1,$Z$2:$Z$18,$AB$2:$AB$18)-$U55)^2+(_xlfn.XLOOKUP(AJ$1,$Z$2:$Z$18,$AC$2:$AC$18-$V55)^2)))</f>
        <v/>
      </c>
      <c r="AK55" s="150">
        <f t="array" ref="AK55">IF(AK$1=0,"",SQRT((_xlfn.XLOOKUP(AK$1,$Z$2:$Z$18,$AA$2:$AA$18)-$T55)^2+(_xlfn.XLOOKUP(AK$1,$Z$2:$Z$18,$AB$2:$AB$18)-$U55)^2+(_xlfn.XLOOKUP(AK$1,$Z$2:$Z$18,$AC$2:$AC$18-$V55)^2)))</f>
        <v/>
      </c>
      <c r="AL55" s="150">
        <f t="array" ref="AL55">IF(AL$1=0,"",SQRT((_xlfn.XLOOKUP(AL$1,$Z$2:$Z$18,$AA$2:$AA$18)-$T55)^2+(_xlfn.XLOOKUP(AL$1,$Z$2:$Z$18,$AB$2:$AB$18)-$U55)^2+(_xlfn.XLOOKUP(AL$1,$Z$2:$Z$18,$AC$2:$AC$18-$V55)^2)))</f>
        <v/>
      </c>
      <c r="AM55" s="150">
        <f t="array" ref="AM55">IF(AM$1=0,"",SQRT((_xlfn.XLOOKUP(AM$1,$Z$2:$Z$18,$AA$2:$AA$18)-$T55)^2+(_xlfn.XLOOKUP(AM$1,$Z$2:$Z$18,$AB$2:$AB$18)-$U55)^2+(_xlfn.XLOOKUP(AM$1,$Z$2:$Z$18,$AC$2:$AC$18-$V55)^2)))</f>
        <v/>
      </c>
      <c r="AN55" s="150">
        <f t="array" ref="AN55">IF(AN$1=0,"",SQRT((_xlfn.XLOOKUP(AN$1,$Z$2:$Z$18,$AA$2:$AA$18)-$T55)^2+(_xlfn.XLOOKUP(AN$1,$Z$2:$Z$18,$AB$2:$AB$18)-$U55)^2+(_xlfn.XLOOKUP(AN$1,$Z$2:$Z$18,$AC$2:$AC$18-$V55)^2)))</f>
        <v/>
      </c>
      <c r="AO55" s="150">
        <f t="array" ref="AO55">IF(AO$1=0,"",SQRT((_xlfn.XLOOKUP(AO$1,$Z$2:$Z$18,$AA$2:$AA$18)-$T55)^2+(_xlfn.XLOOKUP(AO$1,$Z$2:$Z$18,$AB$2:$AB$18)-$U55)^2+(_xlfn.XLOOKUP(AO$1,$Z$2:$Z$18,$AC$2:$AC$18-$V55)^2)))</f>
        <v/>
      </c>
      <c r="AP55" s="151">
        <f t="array" ref="AP55">IF(AP$1=0,"",SQRT((_xlfn.XLOOKUP(AP$1,$Z$2:$Z$18,$AA$2:$AA$18)-$T55)^2+(_xlfn.XLOOKUP(AP$1,$Z$2:$Z$18,$AB$2:$AB$18)-$U55)^2+(_xlfn.XLOOKUP(AP$1,$Z$2:$Z$18,$AC$2:$AC$18-$V55)^2)))</f>
        <v/>
      </c>
      <c r="AQ55" s="151">
        <f t="array" ref="AQ55">IF(AQ$1=0,"",SQRT((_xlfn.XLOOKUP(AQ$1,$Z$2:$Z$18,$AA$2:$AA$18)-$T55)^2+(_xlfn.XLOOKUP(AQ$1,$Z$2:$Z$18,$AB$2:$AB$18)-$U55)^2+(_xlfn.XLOOKUP(AQ$1,$Z$2:$Z$18,$AC$2:$AC$18-$V55)^2)))</f>
        <v/>
      </c>
      <c r="AR55" s="151">
        <f t="array" ref="AR55">IF(AR$1=0,"",SQRT((_xlfn.XLOOKUP(AR$1,$Z$2:$Z$18,$AA$2:$AA$18)-$T55)^2+(_xlfn.XLOOKUP(AR$1,$Z$2:$Z$18,$AB$2:$AB$18)-$U55)^2+(_xlfn.XLOOKUP(AR$1,$Z$2:$Z$18,$AC$2:$AC$18-$V55)^2)))</f>
        <v/>
      </c>
      <c r="AS55" s="151">
        <f t="array" ref="AS55">IF(AS$1=0,"",SQRT((_xlfn.XLOOKUP(AS$1,$Z$2:$Z$18,$AA$2:$AA$18)-$T55)^2+(_xlfn.XLOOKUP(AS$1,$Z$2:$Z$18,$AB$2:$AB$18)-$U55)^2+(_xlfn.XLOOKUP(AS$1,$Z$2:$Z$18,$AC$2:$AC$18-$V55)^2)))</f>
        <v/>
      </c>
      <c r="AT55" s="151">
        <f t="array" ref="AT55">IF(AT$1=0,"",SQRT((_xlfn.XLOOKUP(AT$1,$Z$2:$Z$18,$AA$2:$AA$18)-$T55)^2+(_xlfn.XLOOKUP(AT$1,$Z$2:$Z$18,$AB$2:$AB$18)-$U55)^2+(_xlfn.XLOOKUP(AT$1,$Z$2:$Z$18,$AC$2:$AC$18-$V55)^2)))</f>
        <v/>
      </c>
      <c r="AU55" s="151">
        <f t="array" ref="AU55">IF(AU$1=0,"",SQRT((_xlfn.XLOOKUP(AU$1,$Z$2:$Z$18,$AA$2:$AA$18)-$T55)^2+(_xlfn.XLOOKUP(AU$1,$Z$2:$Z$18,$AB$2:$AB$18)-$U55)^2+(_xlfn.XLOOKUP(AU$1,$Z$2:$Z$18,$AC$2:$AC$18-$V55)^2)))</f>
        <v/>
      </c>
      <c r="AV55" s="152">
        <f t="array" ref="AV55">IF(AV$1=0,"",SQRT((_xlfn.XLOOKUP(AV$1,$Z$2:$Z$18,$AA$2:$AA$18)-$T55)^2+(_xlfn.XLOOKUP(AV$1,$Z$2:$Z$18,$AB$2:$AB$18)-$U55)^2+(_xlfn.XLOOKUP(AV$1,$Z$2:$Z$18,$AC$2:$AC$18-$V55)^2)))</f>
        <v/>
      </c>
      <c r="AW55" s="134" t="n"/>
      <c r="AX55" s="134" t="n"/>
      <c r="AY55" s="135">
        <f>IFERROR(-ABS(10*LOG10(($R55/(4*PI()*CONVERT(AH55,"ft","m")^2)))),0)</f>
        <v/>
      </c>
      <c r="AZ55" s="153">
        <f>IFERROR(-ABS(10*LOG10(($R55/(4*PI()*CONVERT(AI55,"ft","m")^2)))),0)</f>
        <v/>
      </c>
      <c r="BA55" s="153">
        <f>IFERROR(-ABS(10*LOG10(($R55/(4*PI()*CONVERT(AJ55,"ft","m")^2)))),0)</f>
        <v/>
      </c>
      <c r="BB55" s="153">
        <f>IFERROR(-ABS(10*LOG10(($R55/(4*PI()*CONVERT(AK55,"ft","m")^2)))),0)</f>
        <v/>
      </c>
      <c r="BC55" s="153">
        <f>IFERROR(-ABS(10*LOG10(($R55/(4*PI()*CONVERT(AL55,"ft","m")^2)))),0)</f>
        <v/>
      </c>
      <c r="BD55" s="153">
        <f>IFERROR(-ABS(10*LOG10(($R55/(4*PI()*CONVERT(AM55,"ft","m")^2)))),0)</f>
        <v/>
      </c>
      <c r="BE55" s="153">
        <f>IFERROR(-ABS(10*LOG10(($R55/(4*PI()*CONVERT(AN55,"ft","m")^2)))),0)</f>
        <v/>
      </c>
      <c r="BF55" s="153">
        <f>IFERROR(-ABS(10*LOG10(($R55/(4*PI()*CONVERT(AO55,"ft","m")^2)))),0)</f>
        <v/>
      </c>
      <c r="BG55" s="154">
        <f>IFERROR(-ABS(10*LOG10(($R55/(4*PI()*CONVERT(AP55,"ft","m")^2)))),0)</f>
        <v/>
      </c>
      <c r="BH55" s="154">
        <f>IFERROR(-ABS(10*LOG10(($R55/(4*PI()*CONVERT(AQ55,"ft","m")^2)))),0)</f>
        <v/>
      </c>
      <c r="BI55" s="154">
        <f>IFERROR(-ABS(10*LOG10(($R55/(4*PI()*CONVERT(AR55,"ft","m")^2)))),0)</f>
        <v/>
      </c>
      <c r="BJ55" s="154">
        <f>IFERROR(-ABS(10*LOG10(($R55/(4*PI()*CONVERT(AS55,"ft","m")^2)))),0)</f>
        <v/>
      </c>
      <c r="BK55" s="154">
        <f>IFERROR(-ABS(10*LOG10(($R55/(4*PI()*CONVERT(AT55,"ft","m")^2)))),0)</f>
        <v/>
      </c>
      <c r="BL55" s="154">
        <f>IFERROR(-ABS(10*LOG10(($R55/(4*PI()*CONVERT(AU55,"ft","m")^2)))),0)</f>
        <v/>
      </c>
      <c r="BM55" s="155">
        <f>IFERROR(-ABS(10*LOG10(($R55/(4*PI()*CONVERT(AV55,"ft","m")^2)))),0)</f>
        <v/>
      </c>
      <c r="BN55" s="134" t="n"/>
      <c r="BO55" s="134" t="n"/>
      <c r="BP55" s="134" t="n"/>
      <c r="BQ55" s="134" t="n"/>
      <c r="BR55" s="134" t="n"/>
      <c r="BS55" s="134" t="n"/>
      <c r="BT55" s="134" t="n"/>
      <c r="BU55" s="134" t="n"/>
      <c r="BV55" s="140" t="n"/>
      <c r="BW55" s="140" t="n"/>
      <c r="BX55" s="140" t="n"/>
      <c r="BY55" s="140" t="n"/>
      <c r="BZ55" s="140" t="n"/>
      <c r="CA55" s="140" t="n"/>
      <c r="CB55" s="140" t="n"/>
      <c r="CC55" s="140" t="n"/>
      <c r="CD55" s="140" t="n"/>
      <c r="CE55" s="140" t="n"/>
      <c r="CF55" s="140" t="n"/>
      <c r="CG55" s="140" t="n"/>
      <c r="CH55" s="140" t="n"/>
      <c r="CI55" s="140" t="n"/>
      <c r="CJ55" s="140" t="n"/>
      <c r="CK55" s="134" t="n"/>
      <c r="CL55" s="134" t="n"/>
      <c r="CM55" s="169">
        <f>IF( CM$1= 0,"",$Q55-$S55+AY55-BV55)</f>
        <v/>
      </c>
      <c r="CN55" s="170">
        <f>IF( CN$1= 0,"",$Q55-$S55+AZ55-BW55)</f>
        <v/>
      </c>
      <c r="CO55" s="170">
        <f>IF( CO$1= 0,"",$Q55-$S55+BA55-BX55)</f>
        <v/>
      </c>
      <c r="CP55" s="170">
        <f>IF( CP$1= 0,"",$Q55-$S55+BB55-BY55)</f>
        <v/>
      </c>
      <c r="CQ55" s="170">
        <f>IF( CQ$1= 0,"",$Q55-$S55+BC55-BZ55)</f>
        <v/>
      </c>
      <c r="CR55" s="170">
        <f>IF( CR$1= 0,"",$Q55-$S55+BD55-CA55)</f>
        <v/>
      </c>
      <c r="CS55" s="170">
        <f>IF( CS$1= 0,"",$Q55-$S55+BE55-CB55)</f>
        <v/>
      </c>
      <c r="CT55" s="170">
        <f>IF( CT$1= 0,"",$Q55-$S55+BF55-CC55)</f>
        <v/>
      </c>
      <c r="CU55" s="172">
        <f>IF( CU$1= 0,"",$Q55-$S55+BG55-CD55)</f>
        <v/>
      </c>
      <c r="CV55" s="172">
        <f>IF( CV$1= 0,"",$Q55-$S55+BH55-CE55)</f>
        <v/>
      </c>
      <c r="CW55" s="172">
        <f>IF( CW$1= 0,"",$Q55-$S55+BI55-CF55)</f>
        <v/>
      </c>
      <c r="CX55" s="172">
        <f>IF( CX$1= 0,"",$Q55-$S55+BJ55-CG55)</f>
        <v/>
      </c>
      <c r="CY55" s="172">
        <f>IF( CY$1= 0,"",$Q55-$S55+BK55-CH55)</f>
        <v/>
      </c>
      <c r="CZ55" s="172">
        <f>IF( CZ$1= 0,"",$Q55-$S55+BL55-CI55)</f>
        <v/>
      </c>
      <c r="DA55" s="173">
        <f>IF( DA$1= 0,"",$Q55-$S55+BM55-CJ55)</f>
        <v/>
      </c>
    </row>
    <row r="56" ht="16.5" customHeight="1">
      <c r="A56" s="145" t="n"/>
      <c r="B56" s="146" t="n"/>
      <c r="C56" s="146" t="n"/>
      <c r="D56" s="147" t="n"/>
      <c r="E56" s="205" t="n"/>
      <c r="F56" s="213" t="n"/>
      <c r="G56" s="214" t="n"/>
      <c r="H56" s="214" t="n"/>
      <c r="I56" s="214" t="n"/>
      <c r="J56" s="214" t="n"/>
      <c r="K56" s="214" t="n"/>
      <c r="L56" s="214" t="n"/>
      <c r="M56" s="218" t="n"/>
      <c r="N56" s="213" t="n"/>
      <c r="O56" s="215" t="n"/>
      <c r="P56" s="208" t="n"/>
      <c r="Q56" s="128">
        <f>ROUND(IF(AND(A56&gt;0, O56&gt;0), N56+ABS(10*LOG10(P56/(4*PI()*CONVERT(O56,"ft", "m")^2))), N56),0)</f>
        <v/>
      </c>
      <c r="R56" s="3" t="n"/>
      <c r="S56" s="3" t="n"/>
      <c r="T56" s="214" t="n"/>
      <c r="U56" s="214" t="n"/>
      <c r="V56" s="109">
        <f>SUM(W56:X56)</f>
        <v/>
      </c>
      <c r="W56" s="171" t="n"/>
      <c r="X56" s="148" t="n"/>
      <c r="AH56" s="168">
        <f t="array" ref="AH56">IF(AH$1=0,"",SQRT((_xlfn.XLOOKUP(AH$1,$Z$2:$Z$18,$AA$2:$AA$18)-$T56)^2+(_xlfn.XLOOKUP(AH$1,$Z$2:$Z$18,$AB$2:$AB$18)-$U56)^2+(_xlfn.XLOOKUP(AH$1,$Z$2:$Z$18,$AC$2:$AC$18-$V56)^2)))</f>
        <v/>
      </c>
      <c r="AI56" s="150">
        <f t="array" ref="AI56">IF(AI$1=0,"",SQRT((_xlfn.XLOOKUP(AI$1,$Z$2:$Z$18,$AA$2:$AA$18)-$T56)^2+(_xlfn.XLOOKUP(AI$1,$Z$2:$Z$18,$AB$2:$AB$18)-$U56)^2+(_xlfn.XLOOKUP(AI$1,$Z$2:$Z$18,$AC$2:$AC$18-$V56)^2)))</f>
        <v/>
      </c>
      <c r="AJ56" s="150">
        <f t="array" ref="AJ56">IF(AJ$1=0,"",SQRT((_xlfn.XLOOKUP(AJ$1,$Z$2:$Z$18,$AA$2:$AA$18)-$T56)^2+(_xlfn.XLOOKUP(AJ$1,$Z$2:$Z$18,$AB$2:$AB$18)-$U56)^2+(_xlfn.XLOOKUP(AJ$1,$Z$2:$Z$18,$AC$2:$AC$18-$V56)^2)))</f>
        <v/>
      </c>
      <c r="AK56" s="150">
        <f t="array" ref="AK56">IF(AK$1=0,"",SQRT((_xlfn.XLOOKUP(AK$1,$Z$2:$Z$18,$AA$2:$AA$18)-$T56)^2+(_xlfn.XLOOKUP(AK$1,$Z$2:$Z$18,$AB$2:$AB$18)-$U56)^2+(_xlfn.XLOOKUP(AK$1,$Z$2:$Z$18,$AC$2:$AC$18-$V56)^2)))</f>
        <v/>
      </c>
      <c r="AL56" s="150">
        <f t="array" ref="AL56">IF(AL$1=0,"",SQRT((_xlfn.XLOOKUP(AL$1,$Z$2:$Z$18,$AA$2:$AA$18)-$T56)^2+(_xlfn.XLOOKUP(AL$1,$Z$2:$Z$18,$AB$2:$AB$18)-$U56)^2+(_xlfn.XLOOKUP(AL$1,$Z$2:$Z$18,$AC$2:$AC$18-$V56)^2)))</f>
        <v/>
      </c>
      <c r="AM56" s="150">
        <f t="array" ref="AM56">IF(AM$1=0,"",SQRT((_xlfn.XLOOKUP(AM$1,$Z$2:$Z$18,$AA$2:$AA$18)-$T56)^2+(_xlfn.XLOOKUP(AM$1,$Z$2:$Z$18,$AB$2:$AB$18)-$U56)^2+(_xlfn.XLOOKUP(AM$1,$Z$2:$Z$18,$AC$2:$AC$18-$V56)^2)))</f>
        <v/>
      </c>
      <c r="AN56" s="150">
        <f t="array" ref="AN56">IF(AN$1=0,"",SQRT((_xlfn.XLOOKUP(AN$1,$Z$2:$Z$18,$AA$2:$AA$18)-$T56)^2+(_xlfn.XLOOKUP(AN$1,$Z$2:$Z$18,$AB$2:$AB$18)-$U56)^2+(_xlfn.XLOOKUP(AN$1,$Z$2:$Z$18,$AC$2:$AC$18-$V56)^2)))</f>
        <v/>
      </c>
      <c r="AO56" s="150">
        <f t="array" ref="AO56">IF(AO$1=0,"",SQRT((_xlfn.XLOOKUP(AO$1,$Z$2:$Z$18,$AA$2:$AA$18)-$T56)^2+(_xlfn.XLOOKUP(AO$1,$Z$2:$Z$18,$AB$2:$AB$18)-$U56)^2+(_xlfn.XLOOKUP(AO$1,$Z$2:$Z$18,$AC$2:$AC$18-$V56)^2)))</f>
        <v/>
      </c>
      <c r="AP56" s="151">
        <f t="array" ref="AP56">IF(AP$1=0,"",SQRT((_xlfn.XLOOKUP(AP$1,$Z$2:$Z$18,$AA$2:$AA$18)-$T56)^2+(_xlfn.XLOOKUP(AP$1,$Z$2:$Z$18,$AB$2:$AB$18)-$U56)^2+(_xlfn.XLOOKUP(AP$1,$Z$2:$Z$18,$AC$2:$AC$18-$V56)^2)))</f>
        <v/>
      </c>
      <c r="AQ56" s="151">
        <f t="array" ref="AQ56">IF(AQ$1=0,"",SQRT((_xlfn.XLOOKUP(AQ$1,$Z$2:$Z$18,$AA$2:$AA$18)-$T56)^2+(_xlfn.XLOOKUP(AQ$1,$Z$2:$Z$18,$AB$2:$AB$18)-$U56)^2+(_xlfn.XLOOKUP(AQ$1,$Z$2:$Z$18,$AC$2:$AC$18-$V56)^2)))</f>
        <v/>
      </c>
      <c r="AR56" s="151">
        <f t="array" ref="AR56">IF(AR$1=0,"",SQRT((_xlfn.XLOOKUP(AR$1,$Z$2:$Z$18,$AA$2:$AA$18)-$T56)^2+(_xlfn.XLOOKUP(AR$1,$Z$2:$Z$18,$AB$2:$AB$18)-$U56)^2+(_xlfn.XLOOKUP(AR$1,$Z$2:$Z$18,$AC$2:$AC$18-$V56)^2)))</f>
        <v/>
      </c>
      <c r="AS56" s="151">
        <f t="array" ref="AS56">IF(AS$1=0,"",SQRT((_xlfn.XLOOKUP(AS$1,$Z$2:$Z$18,$AA$2:$AA$18)-$T56)^2+(_xlfn.XLOOKUP(AS$1,$Z$2:$Z$18,$AB$2:$AB$18)-$U56)^2+(_xlfn.XLOOKUP(AS$1,$Z$2:$Z$18,$AC$2:$AC$18-$V56)^2)))</f>
        <v/>
      </c>
      <c r="AT56" s="151">
        <f t="array" ref="AT56">IF(AT$1=0,"",SQRT((_xlfn.XLOOKUP(AT$1,$Z$2:$Z$18,$AA$2:$AA$18)-$T56)^2+(_xlfn.XLOOKUP(AT$1,$Z$2:$Z$18,$AB$2:$AB$18)-$U56)^2+(_xlfn.XLOOKUP(AT$1,$Z$2:$Z$18,$AC$2:$AC$18-$V56)^2)))</f>
        <v/>
      </c>
      <c r="AU56" s="151">
        <f t="array" ref="AU56">IF(AU$1=0,"",SQRT((_xlfn.XLOOKUP(AU$1,$Z$2:$Z$18,$AA$2:$AA$18)-$T56)^2+(_xlfn.XLOOKUP(AU$1,$Z$2:$Z$18,$AB$2:$AB$18)-$U56)^2+(_xlfn.XLOOKUP(AU$1,$Z$2:$Z$18,$AC$2:$AC$18-$V56)^2)))</f>
        <v/>
      </c>
      <c r="AV56" s="152">
        <f t="array" ref="AV56">IF(AV$1=0,"",SQRT((_xlfn.XLOOKUP(AV$1,$Z$2:$Z$18,$AA$2:$AA$18)-$T56)^2+(_xlfn.XLOOKUP(AV$1,$Z$2:$Z$18,$AB$2:$AB$18)-$U56)^2+(_xlfn.XLOOKUP(AV$1,$Z$2:$Z$18,$AC$2:$AC$18-$V56)^2)))</f>
        <v/>
      </c>
      <c r="AW56" s="134" t="n"/>
      <c r="AX56" s="134" t="n"/>
      <c r="AY56" s="135">
        <f>IFERROR(-ABS(10*LOG10(($R56/(4*PI()*CONVERT(AH56,"ft","m")^2)))),0)</f>
        <v/>
      </c>
      <c r="AZ56" s="153">
        <f>IFERROR(-ABS(10*LOG10(($R56/(4*PI()*CONVERT(AI56,"ft","m")^2)))),0)</f>
        <v/>
      </c>
      <c r="BA56" s="153">
        <f>IFERROR(-ABS(10*LOG10(($R56/(4*PI()*CONVERT(AJ56,"ft","m")^2)))),0)</f>
        <v/>
      </c>
      <c r="BB56" s="153">
        <f>IFERROR(-ABS(10*LOG10(($R56/(4*PI()*CONVERT(AK56,"ft","m")^2)))),0)</f>
        <v/>
      </c>
      <c r="BC56" s="153">
        <f>IFERROR(-ABS(10*LOG10(($R56/(4*PI()*CONVERT(AL56,"ft","m")^2)))),0)</f>
        <v/>
      </c>
      <c r="BD56" s="153">
        <f>IFERROR(-ABS(10*LOG10(($R56/(4*PI()*CONVERT(AM56,"ft","m")^2)))),0)</f>
        <v/>
      </c>
      <c r="BE56" s="153">
        <f>IFERROR(-ABS(10*LOG10(($R56/(4*PI()*CONVERT(AN56,"ft","m")^2)))),0)</f>
        <v/>
      </c>
      <c r="BF56" s="153">
        <f>IFERROR(-ABS(10*LOG10(($R56/(4*PI()*CONVERT(AO56,"ft","m")^2)))),0)</f>
        <v/>
      </c>
      <c r="BG56" s="154">
        <f>IFERROR(-ABS(10*LOG10(($R56/(4*PI()*CONVERT(AP56,"ft","m")^2)))),0)</f>
        <v/>
      </c>
      <c r="BH56" s="154">
        <f>IFERROR(-ABS(10*LOG10(($R56/(4*PI()*CONVERT(AQ56,"ft","m")^2)))),0)</f>
        <v/>
      </c>
      <c r="BI56" s="154">
        <f>IFERROR(-ABS(10*LOG10(($R56/(4*PI()*CONVERT(AR56,"ft","m")^2)))),0)</f>
        <v/>
      </c>
      <c r="BJ56" s="154">
        <f>IFERROR(-ABS(10*LOG10(($R56/(4*PI()*CONVERT(AS56,"ft","m")^2)))),0)</f>
        <v/>
      </c>
      <c r="BK56" s="154">
        <f>IFERROR(-ABS(10*LOG10(($R56/(4*PI()*CONVERT(AT56,"ft","m")^2)))),0)</f>
        <v/>
      </c>
      <c r="BL56" s="154">
        <f>IFERROR(-ABS(10*LOG10(($R56/(4*PI()*CONVERT(AU56,"ft","m")^2)))),0)</f>
        <v/>
      </c>
      <c r="BM56" s="155">
        <f>IFERROR(-ABS(10*LOG10(($R56/(4*PI()*CONVERT(AV56,"ft","m")^2)))),0)</f>
        <v/>
      </c>
      <c r="BN56" s="134" t="n"/>
      <c r="BO56" s="134" t="n"/>
      <c r="BP56" s="134" t="n"/>
      <c r="BQ56" s="134" t="n"/>
      <c r="BR56" s="134" t="n"/>
      <c r="BS56" s="134" t="n"/>
      <c r="BT56" s="134" t="n"/>
      <c r="BU56" s="134" t="n"/>
      <c r="BV56" s="140" t="n"/>
      <c r="BW56" s="140" t="n"/>
      <c r="BX56" s="140" t="n"/>
      <c r="BY56" s="140" t="n"/>
      <c r="BZ56" s="140" t="n"/>
      <c r="CA56" s="140" t="n"/>
      <c r="CB56" s="140" t="n"/>
      <c r="CC56" s="140" t="n"/>
      <c r="CD56" s="140" t="n"/>
      <c r="CE56" s="140" t="n"/>
      <c r="CF56" s="140" t="n"/>
      <c r="CG56" s="140" t="n"/>
      <c r="CH56" s="140" t="n"/>
      <c r="CI56" s="140" t="n"/>
      <c r="CJ56" s="140" t="n"/>
      <c r="CK56" s="134" t="n"/>
      <c r="CL56" s="134" t="n"/>
      <c r="CM56" s="169">
        <f>IF( CM$1= 0,"",$Q56-$S56+AY56-BV56)</f>
        <v/>
      </c>
      <c r="CN56" s="170">
        <f>IF( CN$1= 0,"",$Q56-$S56+AZ56-BW56)</f>
        <v/>
      </c>
      <c r="CO56" s="170">
        <f>IF( CO$1= 0,"",$Q56-$S56+BA56-BX56)</f>
        <v/>
      </c>
      <c r="CP56" s="170">
        <f>IF( CP$1= 0,"",$Q56-$S56+BB56-BY56)</f>
        <v/>
      </c>
      <c r="CQ56" s="170">
        <f>IF( CQ$1= 0,"",$Q56-$S56+BC56-BZ56)</f>
        <v/>
      </c>
      <c r="CR56" s="170">
        <f>IF( CR$1= 0,"",$Q56-$S56+BD56-CA56)</f>
        <v/>
      </c>
      <c r="CS56" s="170">
        <f>IF( CS$1= 0,"",$Q56-$S56+BE56-CB56)</f>
        <v/>
      </c>
      <c r="CT56" s="170">
        <f>IF( CT$1= 0,"",$Q56-$S56+BF56-CC56)</f>
        <v/>
      </c>
      <c r="CU56" s="172">
        <f>IF( CU$1= 0,"",$Q56-$S56+BG56-CD56)</f>
        <v/>
      </c>
      <c r="CV56" s="172">
        <f>IF( CV$1= 0,"",$Q56-$S56+BH56-CE56)</f>
        <v/>
      </c>
      <c r="CW56" s="172">
        <f>IF( CW$1= 0,"",$Q56-$S56+BI56-CF56)</f>
        <v/>
      </c>
      <c r="CX56" s="172">
        <f>IF( CX$1= 0,"",$Q56-$S56+BJ56-CG56)</f>
        <v/>
      </c>
      <c r="CY56" s="172">
        <f>IF( CY$1= 0,"",$Q56-$S56+BK56-CH56)</f>
        <v/>
      </c>
      <c r="CZ56" s="172">
        <f>IF( CZ$1= 0,"",$Q56-$S56+BL56-CI56)</f>
        <v/>
      </c>
      <c r="DA56" s="173">
        <f>IF( DA$1= 0,"",$Q56-$S56+BM56-CJ56)</f>
        <v/>
      </c>
    </row>
    <row r="57" ht="16.5" customHeight="1">
      <c r="A57" s="145" t="n"/>
      <c r="B57" s="146" t="n"/>
      <c r="C57" s="146" t="n"/>
      <c r="D57" s="147" t="n"/>
      <c r="E57" s="205" t="n"/>
      <c r="F57" s="213" t="n"/>
      <c r="G57" s="214" t="n"/>
      <c r="H57" s="214" t="n"/>
      <c r="I57" s="214" t="n"/>
      <c r="J57" s="214" t="n"/>
      <c r="K57" s="214" t="n"/>
      <c r="L57" s="214" t="n"/>
      <c r="M57" s="218" t="n"/>
      <c r="N57" s="213" t="n"/>
      <c r="O57" s="215" t="n"/>
      <c r="P57" s="208" t="n"/>
      <c r="Q57" s="128">
        <f>ROUND(IF(AND(A57&gt;0, O57&gt;0), N57+ABS(10*LOG10(P57/(4*PI()*CONVERT(O57,"ft", "m")^2))), N57),0)</f>
        <v/>
      </c>
      <c r="R57" s="3" t="n"/>
      <c r="S57" s="3" t="n"/>
      <c r="T57" s="214" t="n"/>
      <c r="U57" s="214" t="n"/>
      <c r="V57" s="109">
        <f>SUM(W57:X57)</f>
        <v/>
      </c>
      <c r="W57" s="171" t="n"/>
      <c r="X57" s="148" t="n"/>
      <c r="AH57" s="168">
        <f t="array" ref="AH57">IF(AH$1=0,"",SQRT((_xlfn.XLOOKUP(AH$1,$Z$2:$Z$18,$AA$2:$AA$18)-$T57)^2+(_xlfn.XLOOKUP(AH$1,$Z$2:$Z$18,$AB$2:$AB$18)-$U57)^2+(_xlfn.XLOOKUP(AH$1,$Z$2:$Z$18,$AC$2:$AC$18-$V57)^2)))</f>
        <v/>
      </c>
      <c r="AI57" s="150">
        <f t="array" ref="AI57">IF(AI$1=0,"",SQRT((_xlfn.XLOOKUP(AI$1,$Z$2:$Z$18,$AA$2:$AA$18)-$T57)^2+(_xlfn.XLOOKUP(AI$1,$Z$2:$Z$18,$AB$2:$AB$18)-$U57)^2+(_xlfn.XLOOKUP(AI$1,$Z$2:$Z$18,$AC$2:$AC$18-$V57)^2)))</f>
        <v/>
      </c>
      <c r="AJ57" s="150">
        <f t="array" ref="AJ57">IF(AJ$1=0,"",SQRT((_xlfn.XLOOKUP(AJ$1,$Z$2:$Z$18,$AA$2:$AA$18)-$T57)^2+(_xlfn.XLOOKUP(AJ$1,$Z$2:$Z$18,$AB$2:$AB$18)-$U57)^2+(_xlfn.XLOOKUP(AJ$1,$Z$2:$Z$18,$AC$2:$AC$18-$V57)^2)))</f>
        <v/>
      </c>
      <c r="AK57" s="150">
        <f t="array" ref="AK57">IF(AK$1=0,"",SQRT((_xlfn.XLOOKUP(AK$1,$Z$2:$Z$18,$AA$2:$AA$18)-$T57)^2+(_xlfn.XLOOKUP(AK$1,$Z$2:$Z$18,$AB$2:$AB$18)-$U57)^2+(_xlfn.XLOOKUP(AK$1,$Z$2:$Z$18,$AC$2:$AC$18-$V57)^2)))</f>
        <v/>
      </c>
      <c r="AL57" s="150">
        <f t="array" ref="AL57">IF(AL$1=0,"",SQRT((_xlfn.XLOOKUP(AL$1,$Z$2:$Z$18,$AA$2:$AA$18)-$T57)^2+(_xlfn.XLOOKUP(AL$1,$Z$2:$Z$18,$AB$2:$AB$18)-$U57)^2+(_xlfn.XLOOKUP(AL$1,$Z$2:$Z$18,$AC$2:$AC$18-$V57)^2)))</f>
        <v/>
      </c>
      <c r="AM57" s="150">
        <f t="array" ref="AM57">IF(AM$1=0,"",SQRT((_xlfn.XLOOKUP(AM$1,$Z$2:$Z$18,$AA$2:$AA$18)-$T57)^2+(_xlfn.XLOOKUP(AM$1,$Z$2:$Z$18,$AB$2:$AB$18)-$U57)^2+(_xlfn.XLOOKUP(AM$1,$Z$2:$Z$18,$AC$2:$AC$18-$V57)^2)))</f>
        <v/>
      </c>
      <c r="AN57" s="150">
        <f t="array" ref="AN57">IF(AN$1=0,"",SQRT((_xlfn.XLOOKUP(AN$1,$Z$2:$Z$18,$AA$2:$AA$18)-$T57)^2+(_xlfn.XLOOKUP(AN$1,$Z$2:$Z$18,$AB$2:$AB$18)-$U57)^2+(_xlfn.XLOOKUP(AN$1,$Z$2:$Z$18,$AC$2:$AC$18-$V57)^2)))</f>
        <v/>
      </c>
      <c r="AO57" s="150">
        <f t="array" ref="AO57">IF(AO$1=0,"",SQRT((_xlfn.XLOOKUP(AO$1,$Z$2:$Z$18,$AA$2:$AA$18)-$T57)^2+(_xlfn.XLOOKUP(AO$1,$Z$2:$Z$18,$AB$2:$AB$18)-$U57)^2+(_xlfn.XLOOKUP(AO$1,$Z$2:$Z$18,$AC$2:$AC$18-$V57)^2)))</f>
        <v/>
      </c>
      <c r="AP57" s="151">
        <f t="array" ref="AP57">IF(AP$1=0,"",SQRT((_xlfn.XLOOKUP(AP$1,$Z$2:$Z$18,$AA$2:$AA$18)-$T57)^2+(_xlfn.XLOOKUP(AP$1,$Z$2:$Z$18,$AB$2:$AB$18)-$U57)^2+(_xlfn.XLOOKUP(AP$1,$Z$2:$Z$18,$AC$2:$AC$18-$V57)^2)))</f>
        <v/>
      </c>
      <c r="AQ57" s="151">
        <f t="array" ref="AQ57">IF(AQ$1=0,"",SQRT((_xlfn.XLOOKUP(AQ$1,$Z$2:$Z$18,$AA$2:$AA$18)-$T57)^2+(_xlfn.XLOOKUP(AQ$1,$Z$2:$Z$18,$AB$2:$AB$18)-$U57)^2+(_xlfn.XLOOKUP(AQ$1,$Z$2:$Z$18,$AC$2:$AC$18-$V57)^2)))</f>
        <v/>
      </c>
      <c r="AR57" s="151">
        <f t="array" ref="AR57">IF(AR$1=0,"",SQRT((_xlfn.XLOOKUP(AR$1,$Z$2:$Z$18,$AA$2:$AA$18)-$T57)^2+(_xlfn.XLOOKUP(AR$1,$Z$2:$Z$18,$AB$2:$AB$18)-$U57)^2+(_xlfn.XLOOKUP(AR$1,$Z$2:$Z$18,$AC$2:$AC$18-$V57)^2)))</f>
        <v/>
      </c>
      <c r="AS57" s="151">
        <f t="array" ref="AS57">IF(AS$1=0,"",SQRT((_xlfn.XLOOKUP(AS$1,$Z$2:$Z$18,$AA$2:$AA$18)-$T57)^2+(_xlfn.XLOOKUP(AS$1,$Z$2:$Z$18,$AB$2:$AB$18)-$U57)^2+(_xlfn.XLOOKUP(AS$1,$Z$2:$Z$18,$AC$2:$AC$18-$V57)^2)))</f>
        <v/>
      </c>
      <c r="AT57" s="151">
        <f t="array" ref="AT57">IF(AT$1=0,"",SQRT((_xlfn.XLOOKUP(AT$1,$Z$2:$Z$18,$AA$2:$AA$18)-$T57)^2+(_xlfn.XLOOKUP(AT$1,$Z$2:$Z$18,$AB$2:$AB$18)-$U57)^2+(_xlfn.XLOOKUP(AT$1,$Z$2:$Z$18,$AC$2:$AC$18-$V57)^2)))</f>
        <v/>
      </c>
      <c r="AU57" s="151">
        <f t="array" ref="AU57">IF(AU$1=0,"",SQRT((_xlfn.XLOOKUP(AU$1,$Z$2:$Z$18,$AA$2:$AA$18)-$T57)^2+(_xlfn.XLOOKUP(AU$1,$Z$2:$Z$18,$AB$2:$AB$18)-$U57)^2+(_xlfn.XLOOKUP(AU$1,$Z$2:$Z$18,$AC$2:$AC$18-$V57)^2)))</f>
        <v/>
      </c>
      <c r="AV57" s="152">
        <f t="array" ref="AV57">IF(AV$1=0,"",SQRT((_xlfn.XLOOKUP(AV$1,$Z$2:$Z$18,$AA$2:$AA$18)-$T57)^2+(_xlfn.XLOOKUP(AV$1,$Z$2:$Z$18,$AB$2:$AB$18)-$U57)^2+(_xlfn.XLOOKUP(AV$1,$Z$2:$Z$18,$AC$2:$AC$18-$V57)^2)))</f>
        <v/>
      </c>
      <c r="AW57" s="134" t="n"/>
      <c r="AX57" s="134" t="n"/>
      <c r="AY57" s="135">
        <f>IFERROR(-ABS(10*LOG10(($R57/(4*PI()*CONVERT(AH57,"ft","m")^2)))),0)</f>
        <v/>
      </c>
      <c r="AZ57" s="153">
        <f>IFERROR(-ABS(10*LOG10(($R57/(4*PI()*CONVERT(AI57,"ft","m")^2)))),0)</f>
        <v/>
      </c>
      <c r="BA57" s="153">
        <f>IFERROR(-ABS(10*LOG10(($R57/(4*PI()*CONVERT(AJ57,"ft","m")^2)))),0)</f>
        <v/>
      </c>
      <c r="BB57" s="153">
        <f>IFERROR(-ABS(10*LOG10(($R57/(4*PI()*CONVERT(AK57,"ft","m")^2)))),0)</f>
        <v/>
      </c>
      <c r="BC57" s="153">
        <f>IFERROR(-ABS(10*LOG10(($R57/(4*PI()*CONVERT(AL57,"ft","m")^2)))),0)</f>
        <v/>
      </c>
      <c r="BD57" s="153">
        <f>IFERROR(-ABS(10*LOG10(($R57/(4*PI()*CONVERT(AM57,"ft","m")^2)))),0)</f>
        <v/>
      </c>
      <c r="BE57" s="153">
        <f>IFERROR(-ABS(10*LOG10(($R57/(4*PI()*CONVERT(AN57,"ft","m")^2)))),0)</f>
        <v/>
      </c>
      <c r="BF57" s="153">
        <f>IFERROR(-ABS(10*LOG10(($R57/(4*PI()*CONVERT(AO57,"ft","m")^2)))),0)</f>
        <v/>
      </c>
      <c r="BG57" s="154">
        <f>IFERROR(-ABS(10*LOG10(($R57/(4*PI()*CONVERT(AP57,"ft","m")^2)))),0)</f>
        <v/>
      </c>
      <c r="BH57" s="154">
        <f>IFERROR(-ABS(10*LOG10(($R57/(4*PI()*CONVERT(AQ57,"ft","m")^2)))),0)</f>
        <v/>
      </c>
      <c r="BI57" s="154">
        <f>IFERROR(-ABS(10*LOG10(($R57/(4*PI()*CONVERT(AR57,"ft","m")^2)))),0)</f>
        <v/>
      </c>
      <c r="BJ57" s="154">
        <f>IFERROR(-ABS(10*LOG10(($R57/(4*PI()*CONVERT(AS57,"ft","m")^2)))),0)</f>
        <v/>
      </c>
      <c r="BK57" s="154">
        <f>IFERROR(-ABS(10*LOG10(($R57/(4*PI()*CONVERT(AT57,"ft","m")^2)))),0)</f>
        <v/>
      </c>
      <c r="BL57" s="154">
        <f>IFERROR(-ABS(10*LOG10(($R57/(4*PI()*CONVERT(AU57,"ft","m")^2)))),0)</f>
        <v/>
      </c>
      <c r="BM57" s="155">
        <f>IFERROR(-ABS(10*LOG10(($R57/(4*PI()*CONVERT(AV57,"ft","m")^2)))),0)</f>
        <v/>
      </c>
      <c r="BN57" s="134" t="n"/>
      <c r="BO57" s="134" t="n"/>
      <c r="BP57" s="134" t="n"/>
      <c r="BQ57" s="134" t="n"/>
      <c r="BR57" s="134" t="n"/>
      <c r="BS57" s="134" t="n"/>
      <c r="BT57" s="134" t="n"/>
      <c r="BU57" s="134" t="n"/>
      <c r="BV57" s="140" t="n"/>
      <c r="BW57" s="140" t="n"/>
      <c r="BX57" s="140" t="n"/>
      <c r="BY57" s="140" t="n"/>
      <c r="BZ57" s="140" t="n"/>
      <c r="CA57" s="140" t="n"/>
      <c r="CB57" s="140" t="n"/>
      <c r="CC57" s="140" t="n"/>
      <c r="CD57" s="140" t="n"/>
      <c r="CE57" s="140" t="n"/>
      <c r="CF57" s="140" t="n"/>
      <c r="CG57" s="140" t="n"/>
      <c r="CH57" s="140" t="n"/>
      <c r="CI57" s="140" t="n"/>
      <c r="CJ57" s="140" t="n"/>
      <c r="CK57" s="134" t="n"/>
      <c r="CL57" s="134" t="n"/>
      <c r="CM57" s="169">
        <f>IF( CM$1= 0,"",$Q57-$S57+AY57-BV57)</f>
        <v/>
      </c>
      <c r="CN57" s="170">
        <f>IF( CN$1= 0,"",$Q57-$S57+AZ57-BW57)</f>
        <v/>
      </c>
      <c r="CO57" s="170">
        <f>IF( CO$1= 0,"",$Q57-$S57+BA57-BX57)</f>
        <v/>
      </c>
      <c r="CP57" s="170">
        <f>IF( CP$1= 0,"",$Q57-$S57+BB57-BY57)</f>
        <v/>
      </c>
      <c r="CQ57" s="170">
        <f>IF( CQ$1= 0,"",$Q57-$S57+BC57-BZ57)</f>
        <v/>
      </c>
      <c r="CR57" s="170">
        <f>IF( CR$1= 0,"",$Q57-$S57+BD57-CA57)</f>
        <v/>
      </c>
      <c r="CS57" s="170">
        <f>IF( CS$1= 0,"",$Q57-$S57+BE57-CB57)</f>
        <v/>
      </c>
      <c r="CT57" s="170">
        <f>IF( CT$1= 0,"",$Q57-$S57+BF57-CC57)</f>
        <v/>
      </c>
      <c r="CU57" s="172">
        <f>IF( CU$1= 0,"",$Q57-$S57+BG57-CD57)</f>
        <v/>
      </c>
      <c r="CV57" s="172">
        <f>IF( CV$1= 0,"",$Q57-$S57+BH57-CE57)</f>
        <v/>
      </c>
      <c r="CW57" s="172">
        <f>IF( CW$1= 0,"",$Q57-$S57+BI57-CF57)</f>
        <v/>
      </c>
      <c r="CX57" s="172">
        <f>IF( CX$1= 0,"",$Q57-$S57+BJ57-CG57)</f>
        <v/>
      </c>
      <c r="CY57" s="172">
        <f>IF( CY$1= 0,"",$Q57-$S57+BK57-CH57)</f>
        <v/>
      </c>
      <c r="CZ57" s="172">
        <f>IF( CZ$1= 0,"",$Q57-$S57+BL57-CI57)</f>
        <v/>
      </c>
      <c r="DA57" s="173">
        <f>IF( DA$1= 0,"",$Q57-$S57+BM57-CJ57)</f>
        <v/>
      </c>
    </row>
    <row r="58" ht="17.25" customHeight="1" thickBot="1">
      <c r="A58" s="174" t="n"/>
      <c r="B58" s="175" t="n"/>
      <c r="C58" s="175" t="n"/>
      <c r="D58" s="176" t="n"/>
      <c r="E58" s="206" t="n"/>
      <c r="F58" s="71" t="n"/>
      <c r="G58" s="6" t="n"/>
      <c r="H58" s="6" t="n"/>
      <c r="I58" s="6" t="n"/>
      <c r="J58" s="6" t="n"/>
      <c r="K58" s="6" t="n"/>
      <c r="L58" s="6" t="n"/>
      <c r="M58" s="219" t="n"/>
      <c r="N58" s="71" t="n"/>
      <c r="O58" s="216" t="n"/>
      <c r="P58" s="209" t="n"/>
      <c r="Q58" s="128">
        <f>ROUND(IF(AND(A58&gt;0, O58&gt;0), N58+ABS(10*LOG10(P58/(4*PI()*CONVERT(O58,"ft", "m")^2))), N58),0)</f>
        <v/>
      </c>
      <c r="R58" s="7" t="n"/>
      <c r="S58" s="7" t="n"/>
      <c r="T58" s="6" t="n"/>
      <c r="U58" s="6" t="n"/>
      <c r="V58" s="109">
        <f>SUM(W58:X58)</f>
        <v/>
      </c>
      <c r="W58" s="177" t="n"/>
      <c r="X58" s="178" t="n"/>
      <c r="AH58" s="179">
        <f t="array" ref="AH58">IF(AH$1=0,"",SQRT((_xlfn.XLOOKUP(AH$1,$Z$2:$Z$18,$AA$2:$AA$18)-$T58)^2+(_xlfn.XLOOKUP(AH$1,$Z$2:$Z$18,$AB$2:$AB$18)-$U58)^2+(_xlfn.XLOOKUP(AH$1,$Z$2:$Z$18,$AC$2:$AC$18-$V58)^2)))</f>
        <v/>
      </c>
      <c r="AI58" s="180">
        <f t="array" ref="AI58">IF(AI$1=0,"",SQRT((_xlfn.XLOOKUP(AI$1,$Z$2:$Z$18,$AA$2:$AA$18)-$T58)^2+(_xlfn.XLOOKUP(AI$1,$Z$2:$Z$18,$AB$2:$AB$18)-$U58)^2+(_xlfn.XLOOKUP(AI$1,$Z$2:$Z$18,$AC$2:$AC$18-$V58)^2)))</f>
        <v/>
      </c>
      <c r="AJ58" s="180">
        <f t="array" ref="AJ58">IF(AJ$1=0,"",SQRT((_xlfn.XLOOKUP(AJ$1,$Z$2:$Z$18,$AA$2:$AA$18)-$T58)^2+(_xlfn.XLOOKUP(AJ$1,$Z$2:$Z$18,$AB$2:$AB$18)-$U58)^2+(_xlfn.XLOOKUP(AJ$1,$Z$2:$Z$18,$AC$2:$AC$18-$V58)^2)))</f>
        <v/>
      </c>
      <c r="AK58" s="180">
        <f t="array" ref="AK58">IF(AK$1=0,"",SQRT((_xlfn.XLOOKUP(AK$1,$Z$2:$Z$18,$AA$2:$AA$18)-$T58)^2+(_xlfn.XLOOKUP(AK$1,$Z$2:$Z$18,$AB$2:$AB$18)-$U58)^2+(_xlfn.XLOOKUP(AK$1,$Z$2:$Z$18,$AC$2:$AC$18-$V58)^2)))</f>
        <v/>
      </c>
      <c r="AL58" s="180">
        <f t="array" ref="AL58">IF(AL$1=0,"",SQRT((_xlfn.XLOOKUP(AL$1,$Z$2:$Z$18,$AA$2:$AA$18)-$T58)^2+(_xlfn.XLOOKUP(AL$1,$Z$2:$Z$18,$AB$2:$AB$18)-$U58)^2+(_xlfn.XLOOKUP(AL$1,$Z$2:$Z$18,$AC$2:$AC$18-$V58)^2)))</f>
        <v/>
      </c>
      <c r="AM58" s="180">
        <f t="array" ref="AM58">IF(AM$1=0,"",SQRT((_xlfn.XLOOKUP(AM$1,$Z$2:$Z$18,$AA$2:$AA$18)-$T58)^2+(_xlfn.XLOOKUP(AM$1,$Z$2:$Z$18,$AB$2:$AB$18)-$U58)^2+(_xlfn.XLOOKUP(AM$1,$Z$2:$Z$18,$AC$2:$AC$18-$V58)^2)))</f>
        <v/>
      </c>
      <c r="AN58" s="180">
        <f t="array" ref="AN58">IF(AN$1=0,"",SQRT((_xlfn.XLOOKUP(AN$1,$Z$2:$Z$18,$AA$2:$AA$18)-$T58)^2+(_xlfn.XLOOKUP(AN$1,$Z$2:$Z$18,$AB$2:$AB$18)-$U58)^2+(_xlfn.XLOOKUP(AN$1,$Z$2:$Z$18,$AC$2:$AC$18-$V58)^2)))</f>
        <v/>
      </c>
      <c r="AO58" s="180">
        <f t="array" ref="AO58">IF(AO$1=0,"",SQRT((_xlfn.XLOOKUP(AO$1,$Z$2:$Z$18,$AA$2:$AA$18)-$T58)^2+(_xlfn.XLOOKUP(AO$1,$Z$2:$Z$18,$AB$2:$AB$18)-$U58)^2+(_xlfn.XLOOKUP(AO$1,$Z$2:$Z$18,$AC$2:$AC$18-$V58)^2)))</f>
        <v/>
      </c>
      <c r="AP58" s="181">
        <f t="array" ref="AP58">IF(AP$1=0,"",SQRT((_xlfn.XLOOKUP(AP$1,$Z$2:$Z$18,$AA$2:$AA$18)-$T58)^2+(_xlfn.XLOOKUP(AP$1,$Z$2:$Z$18,$AB$2:$AB$18)-$U58)^2+(_xlfn.XLOOKUP(AP$1,$Z$2:$Z$18,$AC$2:$AC$18-$V58)^2)))</f>
        <v/>
      </c>
      <c r="AQ58" s="181">
        <f t="array" ref="AQ58">IF(AQ$1=0,"",SQRT((_xlfn.XLOOKUP(AQ$1,$Z$2:$Z$18,$AA$2:$AA$18)-$T58)^2+(_xlfn.XLOOKUP(AQ$1,$Z$2:$Z$18,$AB$2:$AB$18)-$U58)^2+(_xlfn.XLOOKUP(AQ$1,$Z$2:$Z$18,$AC$2:$AC$18-$V58)^2)))</f>
        <v/>
      </c>
      <c r="AR58" s="181">
        <f t="array" ref="AR58">IF(AR$1=0,"",SQRT((_xlfn.XLOOKUP(AR$1,$Z$2:$Z$18,$AA$2:$AA$18)-$T58)^2+(_xlfn.XLOOKUP(AR$1,$Z$2:$Z$18,$AB$2:$AB$18)-$U58)^2+(_xlfn.XLOOKUP(AR$1,$Z$2:$Z$18,$AC$2:$AC$18-$V58)^2)))</f>
        <v/>
      </c>
      <c r="AS58" s="181">
        <f t="array" ref="AS58">IF(AS$1=0,"",SQRT((_xlfn.XLOOKUP(AS$1,$Z$2:$Z$18,$AA$2:$AA$18)-$T58)^2+(_xlfn.XLOOKUP(AS$1,$Z$2:$Z$18,$AB$2:$AB$18)-$U58)^2+(_xlfn.XLOOKUP(AS$1,$Z$2:$Z$18,$AC$2:$AC$18-$V58)^2)))</f>
        <v/>
      </c>
      <c r="AT58" s="181">
        <f t="array" ref="AT58">IF(AT$1=0,"",SQRT((_xlfn.XLOOKUP(AT$1,$Z$2:$Z$18,$AA$2:$AA$18)-$T58)^2+(_xlfn.XLOOKUP(AT$1,$Z$2:$Z$18,$AB$2:$AB$18)-$U58)^2+(_xlfn.XLOOKUP(AT$1,$Z$2:$Z$18,$AC$2:$AC$18-$V58)^2)))</f>
        <v/>
      </c>
      <c r="AU58" s="181">
        <f t="array" ref="AU58">IF(AU$1=0,"",SQRT((_xlfn.XLOOKUP(AU$1,$Z$2:$Z$18,$AA$2:$AA$18)-$T58)^2+(_xlfn.XLOOKUP(AU$1,$Z$2:$Z$18,$AB$2:$AB$18)-$U58)^2+(_xlfn.XLOOKUP(AU$1,$Z$2:$Z$18,$AC$2:$AC$18-$V58)^2)))</f>
        <v/>
      </c>
      <c r="AV58" s="182">
        <f t="array" ref="AV58">IF(AV$1=0,"",SQRT((_xlfn.XLOOKUP(AV$1,$Z$2:$Z$18,$AA$2:$AA$18)-$T58)^2+(_xlfn.XLOOKUP(AV$1,$Z$2:$Z$18,$AB$2:$AB$18)-$U58)^2+(_xlfn.XLOOKUP(AV$1,$Z$2:$Z$18,$AC$2:$AC$18-$V58)^2)))</f>
        <v/>
      </c>
      <c r="AW58" s="134" t="n"/>
      <c r="AX58" s="134" t="n"/>
      <c r="AY58" s="135">
        <f>IFERROR(-ABS(10*LOG10(($R58/(4*PI()*CONVERT(AH58,"ft","m")^2)))),0)</f>
        <v/>
      </c>
      <c r="AZ58" s="183">
        <f>IFERROR(-ABS(10*LOG10(($R58/(4*PI()*CONVERT(AI58,"ft","m")^2)))),0)</f>
        <v/>
      </c>
      <c r="BA58" s="183">
        <f>IFERROR(-ABS(10*LOG10(($R58/(4*PI()*CONVERT(AJ58,"ft","m")^2)))),0)</f>
        <v/>
      </c>
      <c r="BB58" s="183">
        <f>IFERROR(-ABS(10*LOG10(($R58/(4*PI()*CONVERT(AK58,"ft","m")^2)))),0)</f>
        <v/>
      </c>
      <c r="BC58" s="183">
        <f>IFERROR(-ABS(10*LOG10(($R58/(4*PI()*CONVERT(AL58,"ft","m")^2)))),0)</f>
        <v/>
      </c>
      <c r="BD58" s="183">
        <f>IFERROR(-ABS(10*LOG10(($R58/(4*PI()*CONVERT(AM58,"ft","m")^2)))),0)</f>
        <v/>
      </c>
      <c r="BE58" s="183">
        <f>IFERROR(-ABS(10*LOG10(($R58/(4*PI()*CONVERT(AN58,"ft","m")^2)))),0)</f>
        <v/>
      </c>
      <c r="BF58" s="183">
        <f>IFERROR(-ABS(10*LOG10(($R58/(4*PI()*CONVERT(AO58,"ft","m")^2)))),0)</f>
        <v/>
      </c>
      <c r="BG58" s="184">
        <f>IFERROR(-ABS(10*LOG10(($R58/(4*PI()*CONVERT(AP58,"ft","m")^2)))),0)</f>
        <v/>
      </c>
      <c r="BH58" s="184">
        <f>IFERROR(-ABS(10*LOG10(($R58/(4*PI()*CONVERT(AQ58,"ft","m")^2)))),0)</f>
        <v/>
      </c>
      <c r="BI58" s="184">
        <f>IFERROR(-ABS(10*LOG10(($R58/(4*PI()*CONVERT(AR58,"ft","m")^2)))),0)</f>
        <v/>
      </c>
      <c r="BJ58" s="184">
        <f>IFERROR(-ABS(10*LOG10(($R58/(4*PI()*CONVERT(AS58,"ft","m")^2)))),0)</f>
        <v/>
      </c>
      <c r="BK58" s="184">
        <f>IFERROR(-ABS(10*LOG10(($R58/(4*PI()*CONVERT(AT58,"ft","m")^2)))),0)</f>
        <v/>
      </c>
      <c r="BL58" s="184">
        <f>IFERROR(-ABS(10*LOG10(($R58/(4*PI()*CONVERT(AU58,"ft","m")^2)))),0)</f>
        <v/>
      </c>
      <c r="BM58" s="185">
        <f>IFERROR(-ABS(10*LOG10(($R58/(4*PI()*CONVERT(AV58,"ft","m")^2)))),0)</f>
        <v/>
      </c>
      <c r="BN58" s="134" t="n"/>
      <c r="BO58" s="134" t="n"/>
      <c r="BP58" s="134" t="n"/>
      <c r="BQ58" s="134" t="n"/>
      <c r="BR58" s="134" t="n"/>
      <c r="BS58" s="134" t="n"/>
      <c r="BT58" s="134" t="n"/>
      <c r="BU58" s="134" t="n"/>
      <c r="BV58" s="140" t="n"/>
      <c r="BW58" s="140" t="n"/>
      <c r="BX58" s="140" t="n"/>
      <c r="BY58" s="140" t="n"/>
      <c r="BZ58" s="140" t="n"/>
      <c r="CA58" s="140" t="n"/>
      <c r="CB58" s="140" t="n"/>
      <c r="CC58" s="140" t="n"/>
      <c r="CD58" s="140" t="n"/>
      <c r="CE58" s="140" t="n"/>
      <c r="CF58" s="140" t="n"/>
      <c r="CG58" s="140" t="n"/>
      <c r="CH58" s="140" t="n"/>
      <c r="CI58" s="140" t="n"/>
      <c r="CJ58" s="140" t="n"/>
      <c r="CK58" s="134" t="n"/>
      <c r="CL58" s="134" t="n"/>
      <c r="CM58" s="186">
        <f>IF( CM$1= 0,"",$Q58-$S58+AY58-BV58)</f>
        <v/>
      </c>
      <c r="CN58" s="187">
        <f>IF( CN$1= 0,"",$Q58-$S58+AZ58-BW58)</f>
        <v/>
      </c>
      <c r="CO58" s="187">
        <f>IF( CO$1= 0,"",$Q58-$S58+BA58-BX58)</f>
        <v/>
      </c>
      <c r="CP58" s="187">
        <f>IF( CP$1= 0,"",$Q58-$S58+BB58-BY58)</f>
        <v/>
      </c>
      <c r="CQ58" s="187">
        <f>IF( CQ$1= 0,"",$Q58-$S58+BC58-BZ58)</f>
        <v/>
      </c>
      <c r="CR58" s="187">
        <f>IF( CR$1= 0,"",$Q58-$S58+BD58-CA58)</f>
        <v/>
      </c>
      <c r="CS58" s="187">
        <f>IF( CS$1= 0,"",$Q58-$S58+BE58-CB58)</f>
        <v/>
      </c>
      <c r="CT58" s="187">
        <f>IF( CT$1= 0,"",$Q58-$S58+BF58-CC58)</f>
        <v/>
      </c>
      <c r="CU58" s="188">
        <f>IF( CU$1= 0,"",$Q58-$S58+BG58-CD58)</f>
        <v/>
      </c>
      <c r="CV58" s="188">
        <f>IF( CV$1= 0,"",$Q58-$S58+BH58-CE58)</f>
        <v/>
      </c>
      <c r="CW58" s="188">
        <f>IF( CW$1= 0,"",$Q58-$S58+BI58-CF58)</f>
        <v/>
      </c>
      <c r="CX58" s="188">
        <f>IF( CX$1= 0,"",$Q58-$S58+BJ58-CG58)</f>
        <v/>
      </c>
      <c r="CY58" s="188">
        <f>IF( CY$1= 0,"",$Q58-$S58+BK58-CH58)</f>
        <v/>
      </c>
      <c r="CZ58" s="188">
        <f>IF( CZ$1= 0,"",$Q58-$S58+BL58-CI58)</f>
        <v/>
      </c>
      <c r="DA58" s="189">
        <f>IF( DA$1= 0,"",$Q58-$S58+BM58-CJ58)</f>
        <v/>
      </c>
    </row>
    <row r="59" ht="15.75" customHeight="1" thickBot="1">
      <c r="CL59" s="77" t="inlineStr">
        <is>
          <t>Total</t>
        </is>
      </c>
      <c r="CM59" s="58">
        <f t="array" ref="CM59">IF(ISBLANK(_xlfn.XLOOKUP(CM$1,$Z$2:$Z$16,$AA$2:$AA$16)),"", 10*LOG10(SUM(10^(CM2:CM58/10))))</f>
        <v/>
      </c>
      <c r="CN59" s="63">
        <f t="array" ref="CN59">IF(ISBLANK(_xlfn.XLOOKUP(CN$1,$Z$2:$Z$16,$AA$2:$AA$16)),"", 10*LOG10(SUM(10^(CN2:CN58/10))))</f>
        <v/>
      </c>
      <c r="CO59" s="63">
        <f t="array" ref="CO59">IF(ISBLANK(_xlfn.XLOOKUP(CO$1,$Z$2:$Z$16,$AA$2:$AA$16)),"", 10*LOG10(SUM(10^(CO2:CO58/10))))</f>
        <v/>
      </c>
      <c r="CP59" s="63">
        <f t="array" ref="CP59">IF(ISBLANK(_xlfn.XLOOKUP(CP$1,$Z$2:$Z$16,$AA$2:$AA$16)),"", 10*LOG10(SUM(10^(CP2:CP58/10))))</f>
        <v/>
      </c>
      <c r="CQ59" s="63">
        <f t="array" ref="CQ59">IF(ISBLANK(_xlfn.XLOOKUP(CQ$1,$Z$2:$Z$16,$AA$2:$AA$16)),"", 10*LOG10(SUM(10^(CQ2:CQ58/10))))</f>
        <v/>
      </c>
      <c r="CR59" s="63">
        <f t="array" ref="CR59">IF(ISBLANK(_xlfn.XLOOKUP(CR$1,$Z$2:$Z$16,$AA$2:$AA$16)),"", 10*LOG10(SUM(10^(CR2:CR58/10))))</f>
        <v/>
      </c>
      <c r="CS59" s="63">
        <f t="array" ref="CS59">IF(ISBLANK(_xlfn.XLOOKUP(CS$1,$Z$2:$Z$16,$AA$2:$AA$16)),"", 10*LOG10(SUM(10^(CS2:CS58/10))))</f>
        <v/>
      </c>
      <c r="CT59" s="63">
        <f t="array" ref="CT59">IF(ISBLANK(_xlfn.XLOOKUP(CT$1,$Z$2:$Z$16,$AA$2:$AA$16)),"", 10*LOG10(SUM(10^(CT2:CT58/10))))</f>
        <v/>
      </c>
      <c r="CU59" s="59">
        <f t="array" ref="CU59">IF(ISBLANK(_xlfn.XLOOKUP(CU$1,$Z$2:$Z$16,$AA$2:$AA$16)),"", 10*LOG10(SUM(10^(CU2:CU58/10))))</f>
        <v/>
      </c>
      <c r="CV59" s="59">
        <f t="array" ref="CV59">IF(ISBLANK(_xlfn.XLOOKUP(CV$1,$Z$2:$Z$16,$AA$2:$AA$16)),"", 10*LOG10(SUM(10^(CV2:CV58/10))))</f>
        <v/>
      </c>
      <c r="CW59" s="59">
        <f t="array" ref="CW59">IF(ISBLANK(_xlfn.XLOOKUP(CW$1,$Z$2:$Z$16,$AA$2:$AA$16)),"", 10*LOG10(SUM(10^(CW2:CW58/10))))</f>
        <v/>
      </c>
      <c r="CX59" s="59">
        <f t="array" ref="CX59">IF(ISBLANK(_xlfn.XLOOKUP(CX$1,$Z$2:$Z$16,$AA$2:$AA$16)),"", 10*LOG10(SUM(10^(CX2:CX58/10))))</f>
        <v/>
      </c>
      <c r="CY59" s="59">
        <f t="array" ref="CY59">IF(ISBLANK(_xlfn.XLOOKUP(CY$1,$Z$2:$Z$16,$AA$2:$AA$16)),"", 10*LOG10(SUM(10^(CY2:CY58/10))))</f>
        <v/>
      </c>
      <c r="CZ59" s="59">
        <f t="array" ref="CZ59">IF(ISBLANK(_xlfn.XLOOKUP(CZ$1,$Z$2:$Z$16,$AA$2:$AA$16)),"", 10*LOG10(SUM(10^(CZ2:CZ58/10))))</f>
        <v/>
      </c>
      <c r="DA59" s="60">
        <f t="array" ref="DA59">IF(ISBLANK(_xlfn.XLOOKUP(DA$1,$Z$2:$Z$16,$AA$2:$AA$16)),"", 10*LOG10(SUM(10^(DA2:DA58/10))))</f>
        <v/>
      </c>
    </row>
    <row r="60" ht="17.25" customHeight="1" thickBot="1">
      <c r="CL60" t="inlineStr">
        <is>
          <t>Limit</t>
        </is>
      </c>
      <c r="CM60" s="190">
        <f t="array" ref="CM60:DA60">TRANSPOSE(AD2:AD16)</f>
        <v/>
      </c>
      <c r="CN60" s="88" t="n">
        <v>40</v>
      </c>
      <c r="CO60" s="88" t="n">
        <v>40</v>
      </c>
      <c r="CP60" s="88" t="n">
        <v>40</v>
      </c>
      <c r="CQ60" s="88" t="n">
        <v>40</v>
      </c>
      <c r="CR60" s="88" t="n">
        <v>0</v>
      </c>
      <c r="CS60" s="88" t="n">
        <v>0</v>
      </c>
      <c r="CT60" s="88" t="n">
        <v>0</v>
      </c>
      <c r="CU60" s="88" t="n">
        <v>0</v>
      </c>
      <c r="CV60" s="88" t="n">
        <v>0</v>
      </c>
      <c r="CW60" s="88" t="n">
        <v>0</v>
      </c>
      <c r="CX60" s="88" t="n">
        <v>0</v>
      </c>
      <c r="CY60" s="88" t="n">
        <v>0</v>
      </c>
      <c r="CZ60" s="88" t="n">
        <v>0</v>
      </c>
      <c r="DA60" s="89" t="n">
        <v>0</v>
      </c>
    </row>
    <row r="62" ht="15.75" customHeight="1" thickBot="1"/>
    <row r="63">
      <c r="C63" s="72" t="n">
        <v>-26.2</v>
      </c>
      <c r="D63" s="73" t="n">
        <v>-16.1</v>
      </c>
      <c r="E63" s="73" t="n">
        <v>-8.6</v>
      </c>
      <c r="F63" s="73" t="n"/>
      <c r="G63" s="73" t="n"/>
      <c r="H63" s="73" t="n"/>
      <c r="I63" s="73" t="n"/>
      <c r="J63" s="73" t="n"/>
      <c r="K63" s="73" t="n"/>
      <c r="L63" s="73" t="n"/>
      <c r="M63" s="73" t="n"/>
      <c r="N63" s="73" t="n">
        <v>-3.2</v>
      </c>
      <c r="O63" s="74" t="n">
        <v>0</v>
      </c>
      <c r="P63" s="73" t="n"/>
      <c r="Q63" s="73" t="n">
        <v>1.2</v>
      </c>
      <c r="R63" s="73" t="n"/>
      <c r="S63" s="73" t="n">
        <v>1</v>
      </c>
      <c r="T63" s="73" t="n">
        <v>-1.1</v>
      </c>
      <c r="U63" s="75" t="n"/>
    </row>
    <row r="64">
      <c r="C64" s="76" t="n">
        <v>63</v>
      </c>
      <c r="D64" s="77" t="n">
        <v>125</v>
      </c>
      <c r="E64" s="77" t="n">
        <v>250</v>
      </c>
      <c r="F64" s="77" t="n"/>
      <c r="G64" s="77" t="n"/>
      <c r="H64" s="77" t="n"/>
      <c r="I64" s="77" t="n"/>
      <c r="J64" s="77" t="n"/>
      <c r="K64" s="77" t="n"/>
      <c r="L64" s="77" t="n"/>
      <c r="M64" s="77" t="n"/>
      <c r="N64" s="77" t="n">
        <v>500</v>
      </c>
      <c r="O64" s="78" t="n">
        <v>1000</v>
      </c>
      <c r="P64" s="77" t="n"/>
      <c r="Q64" s="77" t="n">
        <v>2000</v>
      </c>
      <c r="R64" s="77" t="n"/>
      <c r="S64" s="77" t="n">
        <v>4000</v>
      </c>
      <c r="T64" s="77" t="n">
        <v>8000</v>
      </c>
      <c r="U64" s="79" t="inlineStr">
        <is>
          <t>dBA</t>
        </is>
      </c>
    </row>
    <row r="65" ht="15.75" customHeight="1" thickBot="1">
      <c r="C65" s="71" t="n">
        <v>83</v>
      </c>
      <c r="D65" s="6" t="n">
        <v>88</v>
      </c>
      <c r="E65" s="6" t="n">
        <v>84</v>
      </c>
      <c r="F65" s="6" t="n"/>
      <c r="G65" s="6" t="n"/>
      <c r="H65" s="6" t="n"/>
      <c r="I65" s="6" t="n"/>
      <c r="J65" s="6" t="n"/>
      <c r="K65" s="6" t="n"/>
      <c r="L65" s="6" t="n"/>
      <c r="M65" s="6" t="n"/>
      <c r="N65" s="6" t="n">
        <v>77</v>
      </c>
      <c r="O65" s="6" t="n">
        <v>73</v>
      </c>
      <c r="P65" s="6" t="n"/>
      <c r="Q65" s="6" t="n">
        <v>64</v>
      </c>
      <c r="R65" s="6" t="n"/>
      <c r="S65" s="6" t="n">
        <v>61</v>
      </c>
      <c r="T65" s="6" t="n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/>
      </c>
    </row>
  </sheetData>
  <mergeCells count="1">
    <mergeCell ref="BO37:BP37"/>
  </mergeCells>
  <conditionalFormatting sqref="BO40:BO45">
    <cfRule type="expression" priority="21" dxfId="1">
      <formula>"Rounddown($F$3)=J35"</formula>
    </cfRule>
  </conditionalFormatting>
  <conditionalFormatting sqref="BO39">
    <cfRule type="expression" priority="20" dxfId="1">
      <formula>"Rounddown($F$3)=J35"</formula>
    </cfRule>
  </conditionalFormatting>
  <conditionalFormatting sqref="CM2:CT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:CU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:CV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2:CX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:CW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2:CY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2:DA3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priority="5" dxfId="1">
      <formula>AE16=AD16+1</formula>
    </cfRule>
    <cfRule type="expression" priority="6" dxfId="0">
      <formula>AE16&lt;=AD16</formula>
    </cfRule>
  </conditionalFormatting>
  <conditionalFormatting sqref="AE2:AE16">
    <cfRule type="expression" priority="44" dxfId="1">
      <formula>AE2=AD2+1</formula>
    </cfRule>
    <cfRule type="expression" priority="101" dxfId="0">
      <formula>AE2&lt;=AD2</formula>
    </cfRule>
  </conditionalFormatting>
  <dataValidations count="3">
    <dataValidation sqref="BP4" showErrorMessage="1" showInputMessage="1" allowBlank="0" type="list">
      <formula1>$B$2:$B$58</formula1>
    </dataValidation>
    <dataValidation sqref="BP5" showErrorMessage="1" showInputMessage="1" allowBlank="0" type="list">
      <formula1>$Z$2:$Z$18</formula1>
    </dataValidation>
    <dataValidation sqref="BP6:BP7" showErrorMessage="1" showInputMessage="1" allowBlank="0" type="list">
      <formula1>$Z$24:$Z$50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P241"/>
  <sheetViews>
    <sheetView workbookViewId="0">
      <selection activeCell="M17" sqref="M17:O17"/>
    </sheetView>
  </sheetViews>
  <sheetFormatPr baseColWidth="8" defaultRowHeight="14.4"/>
  <sheetData>
    <row r="2">
      <c r="B2" t="n">
        <v>75</v>
      </c>
      <c r="M2" t="inlineStr">
        <is>
          <t>eqmt</t>
        </is>
      </c>
      <c r="N2" t="inlineStr">
        <is>
          <t>rcvr</t>
        </is>
      </c>
      <c r="O2" t="inlineStr">
        <is>
          <t>bar</t>
        </is>
      </c>
      <c r="P2" t="inlineStr">
        <is>
          <t>barrier IL</t>
        </is>
      </c>
    </row>
    <row r="3">
      <c r="B3" t="n">
        <v>75</v>
      </c>
      <c r="M3">
        <f>C2</f>
        <v/>
      </c>
      <c r="N3">
        <f>E2</f>
        <v/>
      </c>
      <c r="O3">
        <f>G2</f>
        <v/>
      </c>
      <c r="P3">
        <f>J2</f>
        <v/>
      </c>
    </row>
    <row r="4">
      <c r="B4" t="n">
        <v>75</v>
      </c>
      <c r="M4">
        <f>C3</f>
        <v/>
      </c>
      <c r="N4">
        <f>E3</f>
        <v/>
      </c>
      <c r="O4">
        <f>G3</f>
        <v/>
      </c>
      <c r="P4">
        <f>J3</f>
        <v/>
      </c>
    </row>
    <row r="5">
      <c r="B5" t="n">
        <v>75</v>
      </c>
      <c r="M5">
        <f>C4</f>
        <v/>
      </c>
      <c r="N5">
        <f>E4</f>
        <v/>
      </c>
      <c r="O5">
        <f>G4</f>
        <v/>
      </c>
      <c r="P5">
        <f>J4</f>
        <v/>
      </c>
    </row>
    <row r="6">
      <c r="B6" t="n">
        <v>75</v>
      </c>
      <c r="M6">
        <f>C5</f>
        <v/>
      </c>
      <c r="N6">
        <f>E5</f>
        <v/>
      </c>
      <c r="O6">
        <f>G5</f>
        <v/>
      </c>
      <c r="P6">
        <f>J5</f>
        <v/>
      </c>
    </row>
    <row r="7">
      <c r="B7" t="n">
        <v>75</v>
      </c>
      <c r="M7">
        <f>C6</f>
        <v/>
      </c>
      <c r="N7">
        <f>E6</f>
        <v/>
      </c>
      <c r="O7">
        <f>G6</f>
        <v/>
      </c>
      <c r="P7">
        <f>J6</f>
        <v/>
      </c>
    </row>
    <row r="8">
      <c r="B8" t="n">
        <v>75</v>
      </c>
      <c r="M8">
        <f>C7</f>
        <v/>
      </c>
      <c r="N8">
        <f>E7</f>
        <v/>
      </c>
      <c r="O8">
        <f>G7</f>
        <v/>
      </c>
      <c r="P8">
        <f>J7</f>
        <v/>
      </c>
    </row>
    <row r="9">
      <c r="B9" t="n">
        <v>75</v>
      </c>
      <c r="M9">
        <f>C8</f>
        <v/>
      </c>
      <c r="N9">
        <f>E8</f>
        <v/>
      </c>
      <c r="O9">
        <f>G8</f>
        <v/>
      </c>
      <c r="P9">
        <f>J8</f>
        <v/>
      </c>
    </row>
    <row r="10">
      <c r="B10" t="inlineStr">
        <is>
          <t>(2039,</t>
        </is>
      </c>
      <c r="C10" t="inlineStr">
        <is>
          <t>1314)</t>
        </is>
      </c>
      <c r="M10">
        <f>C9</f>
        <v/>
      </c>
      <c r="N10">
        <f>E9</f>
        <v/>
      </c>
      <c r="O10">
        <f>G9</f>
        <v/>
      </c>
      <c r="P10">
        <f>J9</f>
        <v/>
      </c>
    </row>
    <row r="11">
      <c r="B11" t="inlineStr">
        <is>
          <t>r_name:</t>
        </is>
      </c>
      <c r="C11" t="inlineStr">
        <is>
          <t>R1</t>
        </is>
      </c>
      <c r="D11" t="inlineStr">
        <is>
          <t>x:</t>
        </is>
      </c>
      <c r="E11" t="inlineStr">
        <is>
          <t>33.28,</t>
        </is>
      </c>
      <c r="F11" t="inlineStr">
        <is>
          <t>y:</t>
        </is>
      </c>
      <c r="G11" t="inlineStr">
        <is>
          <t>85.62,</t>
        </is>
      </c>
      <c r="H11" t="inlineStr">
        <is>
          <t>z:</t>
        </is>
      </c>
      <c r="I11" t="n">
        <v>65</v>
      </c>
      <c r="M11">
        <f>C10</f>
        <v/>
      </c>
      <c r="N11">
        <f>E10</f>
        <v/>
      </c>
      <c r="O11">
        <f>G10</f>
        <v/>
      </c>
      <c r="P11">
        <f>J10</f>
        <v/>
      </c>
    </row>
    <row r="12">
      <c r="B12" t="inlineStr">
        <is>
          <t>eqmt:</t>
        </is>
      </c>
      <c r="C12" t="inlineStr">
        <is>
          <t>MAU-R1,</t>
        </is>
      </c>
      <c r="D12" t="inlineStr">
        <is>
          <t>rcvr:</t>
        </is>
      </c>
      <c r="E12" t="inlineStr">
        <is>
          <t>R1,</t>
        </is>
      </c>
      <c r="F12" t="inlineStr">
        <is>
          <t>bar:</t>
        </is>
      </c>
      <c r="G12" t="inlineStr">
        <is>
          <t>bar22,</t>
        </is>
      </c>
      <c r="H12" t="inlineStr">
        <is>
          <t>barrier</t>
        </is>
      </c>
      <c r="I12" t="inlineStr">
        <is>
          <t>IL:</t>
        </is>
      </c>
      <c r="J12" t="n">
        <v>5</v>
      </c>
      <c r="M12" s="77">
        <f>C11</f>
        <v/>
      </c>
      <c r="N12">
        <f>E11</f>
        <v/>
      </c>
      <c r="O12">
        <f>G11</f>
        <v/>
      </c>
      <c r="P12">
        <f>J11</f>
        <v/>
      </c>
    </row>
    <row r="13">
      <c r="B13" t="inlineStr">
        <is>
          <t>eqmt:</t>
        </is>
      </c>
      <c r="C13" t="inlineStr">
        <is>
          <t>ERV-R.1,</t>
        </is>
      </c>
      <c r="D13" t="inlineStr">
        <is>
          <t>rcvr:</t>
        </is>
      </c>
      <c r="E13" t="inlineStr">
        <is>
          <t>R1,</t>
        </is>
      </c>
      <c r="F13" t="inlineStr">
        <is>
          <t>bar:</t>
        </is>
      </c>
      <c r="G13" t="inlineStr">
        <is>
          <t>bar21,</t>
        </is>
      </c>
      <c r="H13" t="inlineStr">
        <is>
          <t>barrier</t>
        </is>
      </c>
      <c r="I13" t="inlineStr">
        <is>
          <t>IL:</t>
        </is>
      </c>
      <c r="J13" t="n">
        <v>7</v>
      </c>
      <c r="M13">
        <f>C12</f>
        <v/>
      </c>
      <c r="N13">
        <f>E12</f>
        <v/>
      </c>
      <c r="O13">
        <f>G12</f>
        <v/>
      </c>
      <c r="P13">
        <f>J12</f>
        <v/>
      </c>
    </row>
    <row r="14">
      <c r="B14" t="inlineStr">
        <is>
          <t>eqmt:</t>
        </is>
      </c>
      <c r="C14" t="inlineStr">
        <is>
          <t>GEF-R1-,</t>
        </is>
      </c>
      <c r="D14" t="inlineStr">
        <is>
          <t>rcvr:</t>
        </is>
      </c>
      <c r="E14" t="inlineStr">
        <is>
          <t>R1,</t>
        </is>
      </c>
      <c r="F14" t="inlineStr">
        <is>
          <t>bar:</t>
        </is>
      </c>
      <c r="G14" t="inlineStr">
        <is>
          <t>bar2,</t>
        </is>
      </c>
      <c r="H14" t="inlineStr">
        <is>
          <t>barrier</t>
        </is>
      </c>
      <c r="I14" t="inlineStr">
        <is>
          <t>IL:</t>
        </is>
      </c>
      <c r="J14" t="n">
        <v>1</v>
      </c>
      <c r="M14">
        <f>C13</f>
        <v/>
      </c>
      <c r="N14">
        <f>E13</f>
        <v/>
      </c>
      <c r="O14">
        <f>G13</f>
        <v/>
      </c>
      <c r="P14">
        <f>J13</f>
        <v/>
      </c>
    </row>
    <row r="15">
      <c r="B15" t="inlineStr">
        <is>
          <t>eqmt:</t>
        </is>
      </c>
      <c r="C15" t="inlineStr">
        <is>
          <t>DEF-R1,-R2,</t>
        </is>
      </c>
      <c r="D15" t="inlineStr">
        <is>
          <t>rcvr:</t>
        </is>
      </c>
      <c r="E15" t="inlineStr">
        <is>
          <t>R1,</t>
        </is>
      </c>
      <c r="F15" t="inlineStr">
        <is>
          <t>bar:</t>
        </is>
      </c>
      <c r="G15" t="inlineStr">
        <is>
          <t>bar22,</t>
        </is>
      </c>
      <c r="H15" t="inlineStr">
        <is>
          <t>barrier</t>
        </is>
      </c>
      <c r="I15" t="inlineStr">
        <is>
          <t>IL:</t>
        </is>
      </c>
      <c r="J15" t="n">
        <v>7</v>
      </c>
      <c r="M15">
        <f>C14</f>
        <v/>
      </c>
      <c r="N15">
        <f>E14</f>
        <v/>
      </c>
      <c r="O15">
        <f>G14</f>
        <v/>
      </c>
      <c r="P15">
        <f>J14</f>
        <v/>
      </c>
    </row>
    <row r="16">
      <c r="B16" t="inlineStr">
        <is>
          <t>eqmt:</t>
        </is>
      </c>
      <c r="C16" t="inlineStr">
        <is>
          <t>KEF-R1-,</t>
        </is>
      </c>
      <c r="D16" t="inlineStr">
        <is>
          <t>rcvr:</t>
        </is>
      </c>
      <c r="E16" t="inlineStr">
        <is>
          <t>R1,</t>
        </is>
      </c>
      <c r="F16" t="inlineStr">
        <is>
          <t>bar:</t>
        </is>
      </c>
      <c r="G16" t="inlineStr">
        <is>
          <t>bar20,</t>
        </is>
      </c>
      <c r="H16" t="inlineStr">
        <is>
          <t>barrier</t>
        </is>
      </c>
      <c r="I16" t="inlineStr">
        <is>
          <t>IL:</t>
        </is>
      </c>
      <c r="J16" t="n">
        <v>1</v>
      </c>
      <c r="M16">
        <f>C15</f>
        <v/>
      </c>
      <c r="N16">
        <f>E15</f>
        <v/>
      </c>
      <c r="O16">
        <f>G15</f>
        <v/>
      </c>
      <c r="P16">
        <f>J15</f>
        <v/>
      </c>
    </row>
    <row r="17">
      <c r="B17" t="inlineStr">
        <is>
          <t>eqmt:</t>
        </is>
      </c>
      <c r="C17" t="inlineStr">
        <is>
          <t>DWEF-R1,</t>
        </is>
      </c>
      <c r="D17" t="inlineStr">
        <is>
          <t>rcvr:</t>
        </is>
      </c>
      <c r="E17" t="inlineStr">
        <is>
          <t>R1,</t>
        </is>
      </c>
      <c r="F17" t="inlineStr">
        <is>
          <t>bar:</t>
        </is>
      </c>
      <c r="G17" t="inlineStr">
        <is>
          <t>bar22,</t>
        </is>
      </c>
      <c r="H17" t="inlineStr">
        <is>
          <t>barrier</t>
        </is>
      </c>
      <c r="I17" t="inlineStr">
        <is>
          <t>IL:</t>
        </is>
      </c>
      <c r="J17" t="n">
        <v>4</v>
      </c>
      <c r="M17">
        <f>C16</f>
        <v/>
      </c>
      <c r="N17">
        <f>E16</f>
        <v/>
      </c>
      <c r="O17">
        <f>G16</f>
        <v/>
      </c>
      <c r="P17">
        <f>J16</f>
        <v/>
      </c>
    </row>
    <row r="18">
      <c r="B18" t="inlineStr">
        <is>
          <t>eqmt:</t>
        </is>
      </c>
      <c r="C18" t="inlineStr">
        <is>
          <t>CU-R1,</t>
        </is>
      </c>
      <c r="D18" t="inlineStr">
        <is>
          <t>rcvr:</t>
        </is>
      </c>
      <c r="E18" t="inlineStr">
        <is>
          <t>R1,</t>
        </is>
      </c>
      <c r="F18" t="inlineStr">
        <is>
          <t>bar:</t>
        </is>
      </c>
      <c r="G18" t="inlineStr">
        <is>
          <t>bar22,</t>
        </is>
      </c>
      <c r="H18" t="inlineStr">
        <is>
          <t>barrier</t>
        </is>
      </c>
      <c r="I18" t="inlineStr">
        <is>
          <t>IL:</t>
        </is>
      </c>
      <c r="J18" t="n">
        <v>5</v>
      </c>
      <c r="M18">
        <f>C17</f>
        <v/>
      </c>
      <c r="N18">
        <f>E17</f>
        <v/>
      </c>
      <c r="O18">
        <f>G17</f>
        <v/>
      </c>
      <c r="P18">
        <f>J17</f>
        <v/>
      </c>
    </row>
    <row r="19">
      <c r="B19" t="inlineStr">
        <is>
          <t>eqmt:</t>
        </is>
      </c>
      <c r="C19" t="inlineStr">
        <is>
          <t>CU-R2,</t>
        </is>
      </c>
      <c r="D19" t="inlineStr">
        <is>
          <t>rcvr:</t>
        </is>
      </c>
      <c r="E19" t="inlineStr">
        <is>
          <t>R1,</t>
        </is>
      </c>
      <c r="F19" t="inlineStr">
        <is>
          <t>bar:</t>
        </is>
      </c>
      <c r="G19" t="inlineStr">
        <is>
          <t>bar22,</t>
        </is>
      </c>
      <c r="H19" t="inlineStr">
        <is>
          <t>barrier</t>
        </is>
      </c>
      <c r="I19" t="inlineStr">
        <is>
          <t>IL:</t>
        </is>
      </c>
      <c r="J19" t="n">
        <v>5</v>
      </c>
      <c r="M19">
        <f>C18</f>
        <v/>
      </c>
      <c r="N19">
        <f>E18</f>
        <v/>
      </c>
      <c r="O19">
        <f>G18</f>
        <v/>
      </c>
      <c r="P19">
        <f>J18</f>
        <v/>
      </c>
    </row>
    <row r="20">
      <c r="B20" t="inlineStr">
        <is>
          <t>eqmt:</t>
        </is>
      </c>
      <c r="C20" t="inlineStr">
        <is>
          <t>CU-R4,</t>
        </is>
      </c>
      <c r="D20" t="inlineStr">
        <is>
          <t>rcvr:</t>
        </is>
      </c>
      <c r="E20" t="inlineStr">
        <is>
          <t>R1,</t>
        </is>
      </c>
      <c r="F20" t="inlineStr">
        <is>
          <t>bar:</t>
        </is>
      </c>
      <c r="G20" t="inlineStr">
        <is>
          <t>bar22,</t>
        </is>
      </c>
      <c r="H20" t="inlineStr">
        <is>
          <t>barrier</t>
        </is>
      </c>
      <c r="I20" t="inlineStr">
        <is>
          <t>IL:</t>
        </is>
      </c>
      <c r="J20" t="n">
        <v>5</v>
      </c>
      <c r="M20">
        <f>C19</f>
        <v/>
      </c>
      <c r="N20">
        <f>E19</f>
        <v/>
      </c>
      <c r="O20">
        <f>G19</f>
        <v/>
      </c>
      <c r="P20">
        <f>J19</f>
        <v/>
      </c>
    </row>
    <row r="21">
      <c r="B21" t="inlineStr">
        <is>
          <t>eqmt:</t>
        </is>
      </c>
      <c r="C21" t="inlineStr">
        <is>
          <t>CU-R5,</t>
        </is>
      </c>
      <c r="D21" t="inlineStr">
        <is>
          <t>rcvr:</t>
        </is>
      </c>
      <c r="E21" t="inlineStr">
        <is>
          <t>R1,</t>
        </is>
      </c>
      <c r="F21" t="inlineStr">
        <is>
          <t>bar:</t>
        </is>
      </c>
      <c r="G21" t="inlineStr">
        <is>
          <t>bar22,</t>
        </is>
      </c>
      <c r="H21" t="inlineStr">
        <is>
          <t>barrier</t>
        </is>
      </c>
      <c r="I21" t="inlineStr">
        <is>
          <t>IL:</t>
        </is>
      </c>
      <c r="J21" t="n">
        <v>4</v>
      </c>
      <c r="M21">
        <f>C20</f>
        <v/>
      </c>
      <c r="N21">
        <f>E20</f>
        <v/>
      </c>
      <c r="O21">
        <f>G20</f>
        <v/>
      </c>
      <c r="P21">
        <f>J20</f>
        <v/>
      </c>
    </row>
    <row r="22">
      <c r="B22" t="inlineStr">
        <is>
          <t>eqmt:</t>
        </is>
      </c>
      <c r="C22" t="inlineStr">
        <is>
          <t>RCU-R(4p)1,</t>
        </is>
      </c>
      <c r="D22" t="inlineStr">
        <is>
          <t>rcvr:</t>
        </is>
      </c>
      <c r="E22" t="inlineStr">
        <is>
          <t>R1,</t>
        </is>
      </c>
      <c r="F22" t="inlineStr">
        <is>
          <t>bar:</t>
        </is>
      </c>
      <c r="G22" t="inlineStr">
        <is>
          <t>bar2,</t>
        </is>
      </c>
      <c r="H22" t="inlineStr">
        <is>
          <t>barrier</t>
        </is>
      </c>
      <c r="I22" t="inlineStr">
        <is>
          <t>IL:</t>
        </is>
      </c>
      <c r="J22" t="n">
        <v>2</v>
      </c>
      <c r="M22">
        <f>C21</f>
        <v/>
      </c>
      <c r="N22">
        <f>E21</f>
        <v/>
      </c>
      <c r="O22">
        <f>G21</f>
        <v/>
      </c>
      <c r="P22">
        <f>J21</f>
        <v/>
      </c>
    </row>
    <row r="23">
      <c r="B23" t="inlineStr">
        <is>
          <t>eqmt:</t>
        </is>
      </c>
      <c r="C23" t="inlineStr">
        <is>
          <t>RCU-R(4p)2,</t>
        </is>
      </c>
      <c r="D23" t="inlineStr">
        <is>
          <t>rcvr:</t>
        </is>
      </c>
      <c r="E23" t="inlineStr">
        <is>
          <t>R1,</t>
        </is>
      </c>
      <c r="F23" t="inlineStr">
        <is>
          <t>bar:</t>
        </is>
      </c>
      <c r="G23" t="inlineStr">
        <is>
          <t>bar20,</t>
        </is>
      </c>
      <c r="H23" t="inlineStr">
        <is>
          <t>barrier</t>
        </is>
      </c>
      <c r="I23" t="inlineStr">
        <is>
          <t>IL:</t>
        </is>
      </c>
      <c r="J23" t="n">
        <v>8</v>
      </c>
      <c r="M23">
        <f>C22</f>
        <v/>
      </c>
      <c r="N23">
        <f>E22</f>
        <v/>
      </c>
      <c r="O23">
        <f>G22</f>
        <v/>
      </c>
      <c r="P23">
        <f>J22</f>
        <v/>
      </c>
    </row>
    <row r="24">
      <c r="B24" t="inlineStr">
        <is>
          <t>eqmt:</t>
        </is>
      </c>
      <c r="C24" t="inlineStr">
        <is>
          <t>RCU-R(4p)3,</t>
        </is>
      </c>
      <c r="D24" t="inlineStr">
        <is>
          <t>rcvr:</t>
        </is>
      </c>
      <c r="E24" t="inlineStr">
        <is>
          <t>R1,</t>
        </is>
      </c>
      <c r="F24" t="inlineStr">
        <is>
          <t>bar:</t>
        </is>
      </c>
      <c r="G24" t="inlineStr">
        <is>
          <t>bar22,</t>
        </is>
      </c>
      <c r="H24" t="inlineStr">
        <is>
          <t>barrier</t>
        </is>
      </c>
      <c r="I24" t="inlineStr">
        <is>
          <t>IL:</t>
        </is>
      </c>
      <c r="J24" t="n">
        <v>6</v>
      </c>
      <c r="M24">
        <f>C23</f>
        <v/>
      </c>
      <c r="N24">
        <f>E23</f>
        <v/>
      </c>
      <c r="O24">
        <f>G23</f>
        <v/>
      </c>
      <c r="P24">
        <f>J23</f>
        <v/>
      </c>
    </row>
    <row r="25">
      <c r="B25" t="inlineStr">
        <is>
          <t>eqmt:</t>
        </is>
      </c>
      <c r="C25" t="inlineStr">
        <is>
          <t>RCU-R(2p),</t>
        </is>
      </c>
      <c r="D25" t="inlineStr">
        <is>
          <t>rcvr:</t>
        </is>
      </c>
      <c r="E25" t="inlineStr">
        <is>
          <t>R1,</t>
        </is>
      </c>
      <c r="F25" t="inlineStr">
        <is>
          <t>bar:</t>
        </is>
      </c>
      <c r="G25" t="inlineStr">
        <is>
          <t>bar22,</t>
        </is>
      </c>
      <c r="H25" t="inlineStr">
        <is>
          <t>barrier</t>
        </is>
      </c>
      <c r="I25" t="inlineStr">
        <is>
          <t>IL:</t>
        </is>
      </c>
      <c r="J25" t="n">
        <v>6</v>
      </c>
      <c r="M25">
        <f>C24</f>
        <v/>
      </c>
      <c r="N25">
        <f>E24</f>
        <v/>
      </c>
      <c r="O25">
        <f>G24</f>
        <v/>
      </c>
      <c r="P25">
        <f>J24</f>
        <v/>
      </c>
    </row>
    <row r="26">
      <c r="B26" t="inlineStr">
        <is>
          <t>eqmt:</t>
        </is>
      </c>
      <c r="C26" t="inlineStr">
        <is>
          <t>RCU-R(2p)1,</t>
        </is>
      </c>
      <c r="D26" t="inlineStr">
        <is>
          <t>rcvr:</t>
        </is>
      </c>
      <c r="E26" t="inlineStr">
        <is>
          <t>R1,</t>
        </is>
      </c>
      <c r="F26" t="inlineStr">
        <is>
          <t>bar:</t>
        </is>
      </c>
      <c r="G26" t="inlineStr">
        <is>
          <t>bar22,</t>
        </is>
      </c>
      <c r="H26" t="inlineStr">
        <is>
          <t>barrier</t>
        </is>
      </c>
      <c r="I26" t="inlineStr">
        <is>
          <t>IL:</t>
        </is>
      </c>
      <c r="J26" t="n">
        <v>6</v>
      </c>
      <c r="M26">
        <f>C25</f>
        <v/>
      </c>
      <c r="N26">
        <f>E25</f>
        <v/>
      </c>
      <c r="O26">
        <f>G25</f>
        <v/>
      </c>
      <c r="P26">
        <f>J25</f>
        <v/>
      </c>
    </row>
    <row r="27">
      <c r="B27" t="inlineStr">
        <is>
          <t>eqmt:</t>
        </is>
      </c>
      <c r="C27" t="inlineStr">
        <is>
          <t>RCU-R(4p)4,</t>
        </is>
      </c>
      <c r="D27" t="inlineStr">
        <is>
          <t>rcvr:</t>
        </is>
      </c>
      <c r="E27" t="inlineStr">
        <is>
          <t>R1,</t>
        </is>
      </c>
      <c r="F27" t="inlineStr">
        <is>
          <t>bar:</t>
        </is>
      </c>
      <c r="G27" t="inlineStr">
        <is>
          <t>bar22,</t>
        </is>
      </c>
      <c r="H27" t="inlineStr">
        <is>
          <t>barrier</t>
        </is>
      </c>
      <c r="I27" t="inlineStr">
        <is>
          <t>IL:</t>
        </is>
      </c>
      <c r="J27" t="n">
        <v>4</v>
      </c>
      <c r="M27">
        <f>C26</f>
        <v/>
      </c>
      <c r="N27">
        <f>E26</f>
        <v/>
      </c>
      <c r="O27">
        <f>G26</f>
        <v/>
      </c>
      <c r="P27">
        <f>J26</f>
        <v/>
      </c>
    </row>
    <row r="28">
      <c r="B28" t="inlineStr">
        <is>
          <t>eqmt:</t>
        </is>
      </c>
      <c r="C28" t="inlineStr">
        <is>
          <t>RCU-R(2p)2,</t>
        </is>
      </c>
      <c r="D28" t="inlineStr">
        <is>
          <t>rcvr:</t>
        </is>
      </c>
      <c r="E28" t="inlineStr">
        <is>
          <t>R1,</t>
        </is>
      </c>
      <c r="F28" t="inlineStr">
        <is>
          <t>bar:</t>
        </is>
      </c>
      <c r="G28" t="inlineStr">
        <is>
          <t>bar20,</t>
        </is>
      </c>
      <c r="H28" t="inlineStr">
        <is>
          <t>barrier</t>
        </is>
      </c>
      <c r="I28" t="inlineStr">
        <is>
          <t>IL:</t>
        </is>
      </c>
      <c r="J28" t="n">
        <v>5</v>
      </c>
      <c r="M28">
        <f>C27</f>
        <v/>
      </c>
      <c r="N28">
        <f>E27</f>
        <v/>
      </c>
      <c r="O28">
        <f>G27</f>
        <v/>
      </c>
      <c r="P28">
        <f>J27</f>
        <v/>
      </c>
    </row>
    <row r="29">
      <c r="B29" t="inlineStr">
        <is>
          <t>eqmt:</t>
        </is>
      </c>
      <c r="C29" t="inlineStr">
        <is>
          <t>RCU-R(2p)3,</t>
        </is>
      </c>
      <c r="D29" t="inlineStr">
        <is>
          <t>rcvr:</t>
        </is>
      </c>
      <c r="E29" t="inlineStr">
        <is>
          <t>R1,</t>
        </is>
      </c>
      <c r="F29" t="inlineStr">
        <is>
          <t>bar:</t>
        </is>
      </c>
      <c r="G29" t="inlineStr">
        <is>
          <t>bar20,</t>
        </is>
      </c>
      <c r="H29" t="inlineStr">
        <is>
          <t>barrier</t>
        </is>
      </c>
      <c r="I29" t="inlineStr">
        <is>
          <t>IL:</t>
        </is>
      </c>
      <c r="J29" t="n">
        <v>6</v>
      </c>
      <c r="M29">
        <f>C28</f>
        <v/>
      </c>
      <c r="N29">
        <f>E28</f>
        <v/>
      </c>
      <c r="O29">
        <f>G28</f>
        <v/>
      </c>
      <c r="P29">
        <f>J28</f>
        <v/>
      </c>
    </row>
    <row r="30">
      <c r="B30" t="inlineStr">
        <is>
          <t>eqmt:</t>
        </is>
      </c>
      <c r="C30" t="inlineStr">
        <is>
          <t>RCU-R(2p)4,</t>
        </is>
      </c>
      <c r="D30" t="inlineStr">
        <is>
          <t>rcvr:</t>
        </is>
      </c>
      <c r="E30" t="inlineStr">
        <is>
          <t>R1,</t>
        </is>
      </c>
      <c r="F30" t="inlineStr">
        <is>
          <t>bar:</t>
        </is>
      </c>
      <c r="G30" t="inlineStr">
        <is>
          <t>bar20,</t>
        </is>
      </c>
      <c r="H30" t="inlineStr">
        <is>
          <t>barrier</t>
        </is>
      </c>
      <c r="I30" t="inlineStr">
        <is>
          <t>IL:</t>
        </is>
      </c>
      <c r="J30" t="n">
        <v>7</v>
      </c>
      <c r="M30">
        <f>C29</f>
        <v/>
      </c>
      <c r="N30">
        <f>E29</f>
        <v/>
      </c>
      <c r="O30">
        <f>G29</f>
        <v/>
      </c>
      <c r="P30">
        <f>J29</f>
        <v/>
      </c>
    </row>
    <row r="31">
      <c r="B31" t="inlineStr">
        <is>
          <t>eqmt:</t>
        </is>
      </c>
      <c r="C31" t="inlineStr">
        <is>
          <t>RCU-R(2p)5,</t>
        </is>
      </c>
      <c r="D31" t="inlineStr">
        <is>
          <t>rcvr:</t>
        </is>
      </c>
      <c r="E31" t="inlineStr">
        <is>
          <t>R1,</t>
        </is>
      </c>
      <c r="F31" t="inlineStr">
        <is>
          <t>bar:</t>
        </is>
      </c>
      <c r="G31" t="inlineStr">
        <is>
          <t>bar20,</t>
        </is>
      </c>
      <c r="H31" t="inlineStr">
        <is>
          <t>barrier</t>
        </is>
      </c>
      <c r="I31" t="inlineStr">
        <is>
          <t>IL:</t>
        </is>
      </c>
      <c r="J31" t="n">
        <v>7</v>
      </c>
      <c r="M31">
        <f>C30</f>
        <v/>
      </c>
      <c r="N31">
        <f>E30</f>
        <v/>
      </c>
      <c r="O31">
        <f>G30</f>
        <v/>
      </c>
      <c r="P31">
        <f>J30</f>
        <v/>
      </c>
    </row>
    <row r="32">
      <c r="B32" t="inlineStr">
        <is>
          <t>eqmt:</t>
        </is>
      </c>
      <c r="C32" t="inlineStr">
        <is>
          <t>RCU-R(2p)6,</t>
        </is>
      </c>
      <c r="D32" t="inlineStr">
        <is>
          <t>rcvr:</t>
        </is>
      </c>
      <c r="E32" t="inlineStr">
        <is>
          <t>R1,</t>
        </is>
      </c>
      <c r="F32" t="inlineStr">
        <is>
          <t>bar:</t>
        </is>
      </c>
      <c r="G32" t="inlineStr">
        <is>
          <t>bar20,</t>
        </is>
      </c>
      <c r="H32" t="inlineStr">
        <is>
          <t>barrier</t>
        </is>
      </c>
      <c r="I32" t="inlineStr">
        <is>
          <t>IL:</t>
        </is>
      </c>
      <c r="J32" t="n">
        <v>7</v>
      </c>
      <c r="M32">
        <f>C31</f>
        <v/>
      </c>
      <c r="N32">
        <f>E31</f>
        <v/>
      </c>
      <c r="O32">
        <f>G31</f>
        <v/>
      </c>
      <c r="P32">
        <f>J31</f>
        <v/>
      </c>
    </row>
    <row r="33">
      <c r="B33" t="inlineStr">
        <is>
          <t>eqmt:</t>
        </is>
      </c>
      <c r="C33" t="inlineStr">
        <is>
          <t>BEF-R01-,</t>
        </is>
      </c>
      <c r="D33" t="inlineStr">
        <is>
          <t>rcvr:</t>
        </is>
      </c>
      <c r="E33" t="inlineStr">
        <is>
          <t>R1,</t>
        </is>
      </c>
      <c r="F33" t="inlineStr">
        <is>
          <t>bar:</t>
        </is>
      </c>
      <c r="G33" t="inlineStr">
        <is>
          <t>None,</t>
        </is>
      </c>
      <c r="H33" t="inlineStr">
        <is>
          <t>barrier</t>
        </is>
      </c>
      <c r="I33" t="inlineStr">
        <is>
          <t>IL:</t>
        </is>
      </c>
      <c r="J33" t="n">
        <v>0</v>
      </c>
      <c r="M33">
        <f>C32</f>
        <v/>
      </c>
      <c r="N33">
        <f>E32</f>
        <v/>
      </c>
      <c r="O33">
        <f>G32</f>
        <v/>
      </c>
      <c r="P33">
        <f>J32</f>
        <v/>
      </c>
    </row>
    <row r="34">
      <c r="B34" t="inlineStr">
        <is>
          <t>eqmt:</t>
        </is>
      </c>
      <c r="C34" t="inlineStr">
        <is>
          <t>BEF-R02-,</t>
        </is>
      </c>
      <c r="D34" t="inlineStr">
        <is>
          <t>rcvr:</t>
        </is>
      </c>
      <c r="E34" t="inlineStr">
        <is>
          <t>R1,</t>
        </is>
      </c>
      <c r="F34" t="inlineStr">
        <is>
          <t>bar:</t>
        </is>
      </c>
      <c r="G34" t="inlineStr">
        <is>
          <t>None,</t>
        </is>
      </c>
      <c r="H34" t="inlineStr">
        <is>
          <t>barrier</t>
        </is>
      </c>
      <c r="I34" t="inlineStr">
        <is>
          <t>IL:</t>
        </is>
      </c>
      <c r="J34" t="n">
        <v>0</v>
      </c>
      <c r="M34">
        <f>C33</f>
        <v/>
      </c>
      <c r="N34">
        <f>E33</f>
        <v/>
      </c>
      <c r="O34">
        <f>G33</f>
        <v/>
      </c>
      <c r="P34">
        <f>J33</f>
        <v/>
      </c>
    </row>
    <row r="35">
      <c r="B35" t="inlineStr">
        <is>
          <t>eqmt:</t>
        </is>
      </c>
      <c r="C35" t="inlineStr">
        <is>
          <t>BEF-R03-,</t>
        </is>
      </c>
      <c r="D35" t="inlineStr">
        <is>
          <t>rcvr:</t>
        </is>
      </c>
      <c r="E35" t="inlineStr">
        <is>
          <t>R1,</t>
        </is>
      </c>
      <c r="F35" t="inlineStr">
        <is>
          <t>bar:</t>
        </is>
      </c>
      <c r="G35" t="inlineStr">
        <is>
          <t>bar22,</t>
        </is>
      </c>
      <c r="H35" t="inlineStr">
        <is>
          <t>barrier</t>
        </is>
      </c>
      <c r="I35" t="inlineStr">
        <is>
          <t>IL:</t>
        </is>
      </c>
      <c r="J35" t="n">
        <v>4</v>
      </c>
      <c r="M35">
        <f>C34</f>
        <v/>
      </c>
      <c r="N35">
        <f>E34</f>
        <v/>
      </c>
      <c r="O35">
        <f>G34</f>
        <v/>
      </c>
      <c r="P35">
        <f>J34</f>
        <v/>
      </c>
    </row>
    <row r="36">
      <c r="B36" t="inlineStr">
        <is>
          <t>eqmt:</t>
        </is>
      </c>
      <c r="C36" t="inlineStr">
        <is>
          <t>BEF-R04-,</t>
        </is>
      </c>
      <c r="D36" t="inlineStr">
        <is>
          <t>rcvr:</t>
        </is>
      </c>
      <c r="E36" t="inlineStr">
        <is>
          <t>R1,</t>
        </is>
      </c>
      <c r="F36" t="inlineStr">
        <is>
          <t>bar:</t>
        </is>
      </c>
      <c r="G36" t="inlineStr">
        <is>
          <t>bar22,</t>
        </is>
      </c>
      <c r="H36" t="inlineStr">
        <is>
          <t>barrier</t>
        </is>
      </c>
      <c r="I36" t="inlineStr">
        <is>
          <t>IL:</t>
        </is>
      </c>
      <c r="J36" t="n">
        <v>5</v>
      </c>
      <c r="M36">
        <f>C35</f>
        <v/>
      </c>
      <c r="N36">
        <f>E35</f>
        <v/>
      </c>
      <c r="O36">
        <f>G35</f>
        <v/>
      </c>
      <c r="P36">
        <f>J35</f>
        <v/>
      </c>
    </row>
    <row r="37">
      <c r="B37" t="inlineStr">
        <is>
          <t>eqmt:</t>
        </is>
      </c>
      <c r="C37" t="inlineStr">
        <is>
          <t>BEF-R05-,</t>
        </is>
      </c>
      <c r="D37" t="inlineStr">
        <is>
          <t>rcvr:</t>
        </is>
      </c>
      <c r="E37" t="inlineStr">
        <is>
          <t>R1,</t>
        </is>
      </c>
      <c r="F37" t="inlineStr">
        <is>
          <t>bar:</t>
        </is>
      </c>
      <c r="G37" t="inlineStr">
        <is>
          <t>None,</t>
        </is>
      </c>
      <c r="H37" t="inlineStr">
        <is>
          <t>barrier</t>
        </is>
      </c>
      <c r="I37" t="inlineStr">
        <is>
          <t>IL:</t>
        </is>
      </c>
      <c r="J37" t="n">
        <v>0</v>
      </c>
      <c r="M37">
        <f>C36</f>
        <v/>
      </c>
      <c r="N37">
        <f>E36</f>
        <v/>
      </c>
      <c r="O37">
        <f>G36</f>
        <v/>
      </c>
      <c r="P37">
        <f>J36</f>
        <v/>
      </c>
    </row>
    <row r="38">
      <c r="B38" t="inlineStr">
        <is>
          <t>eqmt:</t>
        </is>
      </c>
      <c r="C38" t="inlineStr">
        <is>
          <t>BEF-R06-,</t>
        </is>
      </c>
      <c r="D38" t="inlineStr">
        <is>
          <t>rcvr:</t>
        </is>
      </c>
      <c r="E38" t="inlineStr">
        <is>
          <t>R1,</t>
        </is>
      </c>
      <c r="F38" t="inlineStr">
        <is>
          <t>bar:</t>
        </is>
      </c>
      <c r="G38" t="inlineStr">
        <is>
          <t>None,</t>
        </is>
      </c>
      <c r="H38" t="inlineStr">
        <is>
          <t>barrier</t>
        </is>
      </c>
      <c r="I38" t="inlineStr">
        <is>
          <t>IL:</t>
        </is>
      </c>
      <c r="J38" t="n">
        <v>0</v>
      </c>
      <c r="M38">
        <f>C37</f>
        <v/>
      </c>
      <c r="N38">
        <f>E37</f>
        <v/>
      </c>
      <c r="O38">
        <f>G37</f>
        <v/>
      </c>
      <c r="P38">
        <f>J37</f>
        <v/>
      </c>
    </row>
    <row r="39">
      <c r="B39" t="inlineStr">
        <is>
          <t>eqmt:</t>
        </is>
      </c>
      <c r="C39" t="inlineStr">
        <is>
          <t>BEF-R07-,</t>
        </is>
      </c>
      <c r="D39" t="inlineStr">
        <is>
          <t>rcvr:</t>
        </is>
      </c>
      <c r="E39" t="inlineStr">
        <is>
          <t>R1,</t>
        </is>
      </c>
      <c r="F39" t="inlineStr">
        <is>
          <t>bar:</t>
        </is>
      </c>
      <c r="G39" t="inlineStr">
        <is>
          <t>None,</t>
        </is>
      </c>
      <c r="H39" t="inlineStr">
        <is>
          <t>barrier</t>
        </is>
      </c>
      <c r="I39" t="inlineStr">
        <is>
          <t>IL:</t>
        </is>
      </c>
      <c r="J39" t="n">
        <v>0</v>
      </c>
      <c r="M39">
        <f>C38</f>
        <v/>
      </c>
      <c r="N39">
        <f>E38</f>
        <v/>
      </c>
      <c r="O39">
        <f>G38</f>
        <v/>
      </c>
      <c r="P39">
        <f>J38</f>
        <v/>
      </c>
    </row>
    <row r="40">
      <c r="B40" t="inlineStr">
        <is>
          <t>eqmt:</t>
        </is>
      </c>
      <c r="C40" t="inlineStr">
        <is>
          <t>BEF-R08-,</t>
        </is>
      </c>
      <c r="D40" t="inlineStr">
        <is>
          <t>rcvr:</t>
        </is>
      </c>
      <c r="E40" t="inlineStr">
        <is>
          <t>R1,</t>
        </is>
      </c>
      <c r="F40" t="inlineStr">
        <is>
          <t>bar:</t>
        </is>
      </c>
      <c r="G40" t="inlineStr">
        <is>
          <t>bar2,</t>
        </is>
      </c>
      <c r="H40" t="inlineStr">
        <is>
          <t>barrier</t>
        </is>
      </c>
      <c r="I40" t="inlineStr">
        <is>
          <t>IL:</t>
        </is>
      </c>
      <c r="J40" t="n">
        <v>1</v>
      </c>
      <c r="M40">
        <f>C39</f>
        <v/>
      </c>
      <c r="N40">
        <f>E39</f>
        <v/>
      </c>
      <c r="O40">
        <f>G39</f>
        <v/>
      </c>
      <c r="P40">
        <f>J39</f>
        <v/>
      </c>
    </row>
    <row r="41">
      <c r="B41" t="inlineStr">
        <is>
          <t>eqmt:</t>
        </is>
      </c>
      <c r="C41" t="inlineStr">
        <is>
          <t>BEF-R09-,</t>
        </is>
      </c>
      <c r="D41" t="inlineStr">
        <is>
          <t>rcvr:</t>
        </is>
      </c>
      <c r="E41" t="inlineStr">
        <is>
          <t>R1,</t>
        </is>
      </c>
      <c r="F41" t="inlineStr">
        <is>
          <t>bar:</t>
        </is>
      </c>
      <c r="G41" t="inlineStr">
        <is>
          <t>bar2,</t>
        </is>
      </c>
      <c r="H41" t="inlineStr">
        <is>
          <t>barrier</t>
        </is>
      </c>
      <c r="I41" t="inlineStr">
        <is>
          <t>IL:</t>
        </is>
      </c>
      <c r="J41" t="n">
        <v>1</v>
      </c>
      <c r="M41">
        <f>C40</f>
        <v/>
      </c>
      <c r="N41">
        <f>E40</f>
        <v/>
      </c>
      <c r="O41">
        <f>G40</f>
        <v/>
      </c>
      <c r="P41">
        <f>J40</f>
        <v/>
      </c>
    </row>
    <row r="42">
      <c r="B42" t="inlineStr">
        <is>
          <t>eqmt:</t>
        </is>
      </c>
      <c r="C42" t="inlineStr">
        <is>
          <t>BEF-R10-,</t>
        </is>
      </c>
      <c r="D42" t="inlineStr">
        <is>
          <t>rcvr:</t>
        </is>
      </c>
      <c r="E42" t="inlineStr">
        <is>
          <t>R1,</t>
        </is>
      </c>
      <c r="F42" t="inlineStr">
        <is>
          <t>bar:</t>
        </is>
      </c>
      <c r="G42" t="inlineStr">
        <is>
          <t>bar22,</t>
        </is>
      </c>
      <c r="H42" t="inlineStr">
        <is>
          <t>barrier</t>
        </is>
      </c>
      <c r="I42" t="inlineStr">
        <is>
          <t>IL:</t>
        </is>
      </c>
      <c r="J42" t="n">
        <v>7</v>
      </c>
      <c r="M42">
        <f>C41</f>
        <v/>
      </c>
      <c r="N42">
        <f>E41</f>
        <v/>
      </c>
      <c r="O42">
        <f>G41</f>
        <v/>
      </c>
      <c r="P42">
        <f>J41</f>
        <v/>
      </c>
    </row>
    <row r="43">
      <c r="B43" t="inlineStr">
        <is>
          <t>eqmt:</t>
        </is>
      </c>
      <c r="C43" t="inlineStr">
        <is>
          <t>BEF-R11-,</t>
        </is>
      </c>
      <c r="D43" t="inlineStr">
        <is>
          <t>rcvr:</t>
        </is>
      </c>
      <c r="E43" t="inlineStr">
        <is>
          <t>R1,</t>
        </is>
      </c>
      <c r="F43" t="inlineStr">
        <is>
          <t>bar:</t>
        </is>
      </c>
      <c r="G43" t="inlineStr">
        <is>
          <t>bar22,</t>
        </is>
      </c>
      <c r="H43" t="inlineStr">
        <is>
          <t>barrier</t>
        </is>
      </c>
      <c r="I43" t="inlineStr">
        <is>
          <t>IL:</t>
        </is>
      </c>
      <c r="J43" t="n">
        <v>7</v>
      </c>
      <c r="M43">
        <f>C42</f>
        <v/>
      </c>
      <c r="N43">
        <f>E42</f>
        <v/>
      </c>
      <c r="O43">
        <f>G42</f>
        <v/>
      </c>
      <c r="P43">
        <f>J42</f>
        <v/>
      </c>
    </row>
    <row r="44">
      <c r="B44" t="inlineStr">
        <is>
          <t>eqmt:</t>
        </is>
      </c>
      <c r="C44" t="inlineStr">
        <is>
          <t>BEF-R12-,</t>
        </is>
      </c>
      <c r="D44" t="inlineStr">
        <is>
          <t>rcvr:</t>
        </is>
      </c>
      <c r="E44" t="inlineStr">
        <is>
          <t>R1,</t>
        </is>
      </c>
      <c r="F44" t="inlineStr">
        <is>
          <t>bar:</t>
        </is>
      </c>
      <c r="G44" t="inlineStr">
        <is>
          <t>bar20,</t>
        </is>
      </c>
      <c r="H44" t="inlineStr">
        <is>
          <t>barrier</t>
        </is>
      </c>
      <c r="I44" t="inlineStr">
        <is>
          <t>IL:</t>
        </is>
      </c>
      <c r="J44" t="n">
        <v>7</v>
      </c>
      <c r="M44">
        <f>C43</f>
        <v/>
      </c>
      <c r="N44">
        <f>E43</f>
        <v/>
      </c>
      <c r="O44">
        <f>G43</f>
        <v/>
      </c>
      <c r="P44">
        <f>J43</f>
        <v/>
      </c>
    </row>
    <row r="45">
      <c r="B45" t="inlineStr">
        <is>
          <t>eqmt:</t>
        </is>
      </c>
      <c r="C45" t="inlineStr">
        <is>
          <t>BEF-R13-,</t>
        </is>
      </c>
      <c r="D45" t="inlineStr">
        <is>
          <t>rcvr:</t>
        </is>
      </c>
      <c r="E45" t="inlineStr">
        <is>
          <t>R1,</t>
        </is>
      </c>
      <c r="F45" t="inlineStr">
        <is>
          <t>bar:</t>
        </is>
      </c>
      <c r="G45" t="inlineStr">
        <is>
          <t>bar20,</t>
        </is>
      </c>
      <c r="H45" t="inlineStr">
        <is>
          <t>barrier</t>
        </is>
      </c>
      <c r="I45" t="inlineStr">
        <is>
          <t>IL:</t>
        </is>
      </c>
      <c r="J45" t="n">
        <v>5</v>
      </c>
      <c r="M45">
        <f>C44</f>
        <v/>
      </c>
      <c r="N45">
        <f>E44</f>
        <v/>
      </c>
      <c r="O45">
        <f>G44</f>
        <v/>
      </c>
      <c r="P45">
        <f>J44</f>
        <v/>
      </c>
    </row>
    <row r="46">
      <c r="B46" t="inlineStr">
        <is>
          <t>eqmt:</t>
        </is>
      </c>
      <c r="C46" t="inlineStr">
        <is>
          <t>BEF-R14-,</t>
        </is>
      </c>
      <c r="D46" t="inlineStr">
        <is>
          <t>rcvr:</t>
        </is>
      </c>
      <c r="E46" t="inlineStr">
        <is>
          <t>R1,</t>
        </is>
      </c>
      <c r="F46" t="inlineStr">
        <is>
          <t>bar:</t>
        </is>
      </c>
      <c r="G46" t="inlineStr">
        <is>
          <t>bar18,</t>
        </is>
      </c>
      <c r="H46" t="inlineStr">
        <is>
          <t>barrier</t>
        </is>
      </c>
      <c r="I46" t="inlineStr">
        <is>
          <t>IL:</t>
        </is>
      </c>
      <c r="J46" t="n">
        <v>2</v>
      </c>
      <c r="M46">
        <f>C45</f>
        <v/>
      </c>
      <c r="N46">
        <f>E45</f>
        <v/>
      </c>
      <c r="O46">
        <f>G45</f>
        <v/>
      </c>
      <c r="P46">
        <f>J45</f>
        <v/>
      </c>
    </row>
    <row r="47">
      <c r="B47" t="inlineStr">
        <is>
          <t>eqmt:</t>
        </is>
      </c>
      <c r="C47" t="inlineStr">
        <is>
          <t>BEF-R15-,</t>
        </is>
      </c>
      <c r="D47" t="inlineStr">
        <is>
          <t>rcvr:</t>
        </is>
      </c>
      <c r="E47" t="inlineStr">
        <is>
          <t>R1,</t>
        </is>
      </c>
      <c r="F47" t="inlineStr">
        <is>
          <t>bar:</t>
        </is>
      </c>
      <c r="G47" t="inlineStr">
        <is>
          <t>None,</t>
        </is>
      </c>
      <c r="H47" t="inlineStr">
        <is>
          <t>barrier</t>
        </is>
      </c>
      <c r="I47" t="inlineStr">
        <is>
          <t>IL:</t>
        </is>
      </c>
      <c r="J47" t="n">
        <v>0</v>
      </c>
      <c r="M47">
        <f>C46</f>
        <v/>
      </c>
      <c r="N47">
        <f>E46</f>
        <v/>
      </c>
      <c r="O47">
        <f>G46</f>
        <v/>
      </c>
      <c r="P47">
        <f>J46</f>
        <v/>
      </c>
    </row>
    <row r="48">
      <c r="B48" t="inlineStr">
        <is>
          <t>eqmt:</t>
        </is>
      </c>
      <c r="C48" t="inlineStr">
        <is>
          <t>BEF-R16-,</t>
        </is>
      </c>
      <c r="D48" t="inlineStr">
        <is>
          <t>rcvr:</t>
        </is>
      </c>
      <c r="E48" t="inlineStr">
        <is>
          <t>R1,</t>
        </is>
      </c>
      <c r="F48" t="inlineStr">
        <is>
          <t>bar:</t>
        </is>
      </c>
      <c r="G48" t="inlineStr">
        <is>
          <t>bar20,</t>
        </is>
      </c>
      <c r="H48" t="inlineStr">
        <is>
          <t>barrier</t>
        </is>
      </c>
      <c r="I48" t="inlineStr">
        <is>
          <t>IL:</t>
        </is>
      </c>
      <c r="J48" t="n">
        <v>7</v>
      </c>
      <c r="M48">
        <f>C47</f>
        <v/>
      </c>
      <c r="N48">
        <f>E47</f>
        <v/>
      </c>
      <c r="O48">
        <f>G47</f>
        <v/>
      </c>
      <c r="P48">
        <f>J47</f>
        <v/>
      </c>
    </row>
    <row r="49">
      <c r="B49" t="inlineStr">
        <is>
          <t>r_name:</t>
        </is>
      </c>
      <c r="C49" t="inlineStr">
        <is>
          <t>R2</t>
        </is>
      </c>
      <c r="D49" t="inlineStr">
        <is>
          <t>x:</t>
        </is>
      </c>
      <c r="E49" t="inlineStr">
        <is>
          <t>104.62,</t>
        </is>
      </c>
      <c r="F49" t="inlineStr">
        <is>
          <t>y:</t>
        </is>
      </c>
      <c r="G49" t="inlineStr">
        <is>
          <t>52.77,</t>
        </is>
      </c>
      <c r="H49" t="inlineStr">
        <is>
          <t>z:</t>
        </is>
      </c>
      <c r="I49" t="n">
        <v>40</v>
      </c>
      <c r="M49">
        <f>C48</f>
        <v/>
      </c>
      <c r="N49">
        <f>E48</f>
        <v/>
      </c>
      <c r="O49">
        <f>G48</f>
        <v/>
      </c>
      <c r="P49">
        <f>J48</f>
        <v/>
      </c>
    </row>
    <row r="50">
      <c r="B50" t="inlineStr">
        <is>
          <t>eqmt:</t>
        </is>
      </c>
      <c r="C50" t="inlineStr">
        <is>
          <t>MAU-R1,</t>
        </is>
      </c>
      <c r="D50" t="inlineStr">
        <is>
          <t>rcvr:</t>
        </is>
      </c>
      <c r="E50" t="inlineStr">
        <is>
          <t>R2,</t>
        </is>
      </c>
      <c r="F50" t="inlineStr">
        <is>
          <t>bar:</t>
        </is>
      </c>
      <c r="G50" t="inlineStr">
        <is>
          <t>bar1,</t>
        </is>
      </c>
      <c r="H50" t="inlineStr">
        <is>
          <t>barrier</t>
        </is>
      </c>
      <c r="I50" t="inlineStr">
        <is>
          <t>IL:</t>
        </is>
      </c>
      <c r="J50" t="n">
        <v>11</v>
      </c>
      <c r="M50" s="77">
        <f>C49</f>
        <v/>
      </c>
      <c r="N50">
        <f>E49</f>
        <v/>
      </c>
      <c r="O50">
        <f>G49</f>
        <v/>
      </c>
      <c r="P50">
        <f>J49</f>
        <v/>
      </c>
    </row>
    <row r="51">
      <c r="B51" t="inlineStr">
        <is>
          <t>eqmt:</t>
        </is>
      </c>
      <c r="C51" t="inlineStr">
        <is>
          <t>ERV-R.1,</t>
        </is>
      </c>
      <c r="D51" t="inlineStr">
        <is>
          <t>rcvr:</t>
        </is>
      </c>
      <c r="E51" t="inlineStr">
        <is>
          <t>R2,</t>
        </is>
      </c>
      <c r="F51" t="inlineStr">
        <is>
          <t>bar:</t>
        </is>
      </c>
      <c r="G51" t="inlineStr">
        <is>
          <t>bar1,</t>
        </is>
      </c>
      <c r="H51" t="inlineStr">
        <is>
          <t>barrier</t>
        </is>
      </c>
      <c r="I51" t="inlineStr">
        <is>
          <t>IL:</t>
        </is>
      </c>
      <c r="J51" t="n">
        <v>13</v>
      </c>
      <c r="M51">
        <f>C50</f>
        <v/>
      </c>
      <c r="N51">
        <f>E50</f>
        <v/>
      </c>
      <c r="O51">
        <f>G50</f>
        <v/>
      </c>
      <c r="P51">
        <f>J50</f>
        <v/>
      </c>
    </row>
    <row r="52">
      <c r="B52" t="inlineStr">
        <is>
          <t>eqmt:</t>
        </is>
      </c>
      <c r="C52" t="inlineStr">
        <is>
          <t>GEF-R1-,</t>
        </is>
      </c>
      <c r="D52" t="inlineStr">
        <is>
          <t>rcvr:</t>
        </is>
      </c>
      <c r="E52" t="inlineStr">
        <is>
          <t>R2,</t>
        </is>
      </c>
      <c r="F52" t="inlineStr">
        <is>
          <t>bar:</t>
        </is>
      </c>
      <c r="G52" t="inlineStr">
        <is>
          <t>bar2,</t>
        </is>
      </c>
      <c r="H52" t="inlineStr">
        <is>
          <t>barrier</t>
        </is>
      </c>
      <c r="I52" t="inlineStr">
        <is>
          <t>IL:</t>
        </is>
      </c>
      <c r="J52" t="n">
        <v>11</v>
      </c>
      <c r="M52">
        <f>C51</f>
        <v/>
      </c>
      <c r="N52">
        <f>E51</f>
        <v/>
      </c>
      <c r="O52">
        <f>G51</f>
        <v/>
      </c>
      <c r="P52">
        <f>J51</f>
        <v/>
      </c>
    </row>
    <row r="53">
      <c r="B53" t="inlineStr">
        <is>
          <t>eqmt:</t>
        </is>
      </c>
      <c r="C53" t="inlineStr">
        <is>
          <t>DEF-R1,-R2,</t>
        </is>
      </c>
      <c r="D53" t="inlineStr">
        <is>
          <t>rcvr:</t>
        </is>
      </c>
      <c r="E53" t="inlineStr">
        <is>
          <t>R2,</t>
        </is>
      </c>
      <c r="F53" t="inlineStr">
        <is>
          <t>bar:</t>
        </is>
      </c>
      <c r="G53" t="inlineStr">
        <is>
          <t>bar1,</t>
        </is>
      </c>
      <c r="H53" t="inlineStr">
        <is>
          <t>barrier</t>
        </is>
      </c>
      <c r="I53" t="inlineStr">
        <is>
          <t>IL:</t>
        </is>
      </c>
      <c r="J53" t="n">
        <v>13</v>
      </c>
      <c r="M53">
        <f>C52</f>
        <v/>
      </c>
      <c r="N53">
        <f>E52</f>
        <v/>
      </c>
      <c r="O53">
        <f>G52</f>
        <v/>
      </c>
      <c r="P53">
        <f>J52</f>
        <v/>
      </c>
    </row>
    <row r="54">
      <c r="B54" t="inlineStr">
        <is>
          <t>eqmt:</t>
        </is>
      </c>
      <c r="C54" t="inlineStr">
        <is>
          <t>KEF-R1-,</t>
        </is>
      </c>
      <c r="D54" t="inlineStr">
        <is>
          <t>rcvr:</t>
        </is>
      </c>
      <c r="E54" t="inlineStr">
        <is>
          <t>R2,</t>
        </is>
      </c>
      <c r="F54" t="inlineStr">
        <is>
          <t>bar:</t>
        </is>
      </c>
      <c r="G54" t="inlineStr">
        <is>
          <t>bar1,</t>
        </is>
      </c>
      <c r="H54" t="inlineStr">
        <is>
          <t>barrier</t>
        </is>
      </c>
      <c r="I54" t="inlineStr">
        <is>
          <t>IL:</t>
        </is>
      </c>
      <c r="J54" t="n">
        <v>11</v>
      </c>
      <c r="M54">
        <f>C53</f>
        <v/>
      </c>
      <c r="N54">
        <f>E53</f>
        <v/>
      </c>
      <c r="O54">
        <f>G53</f>
        <v/>
      </c>
      <c r="P54">
        <f>J53</f>
        <v/>
      </c>
    </row>
    <row r="55">
      <c r="B55" t="inlineStr">
        <is>
          <t>eqmt:</t>
        </is>
      </c>
      <c r="C55" t="inlineStr">
        <is>
          <t>DWEF-R1,</t>
        </is>
      </c>
      <c r="D55" t="inlineStr">
        <is>
          <t>rcvr:</t>
        </is>
      </c>
      <c r="E55" t="inlineStr">
        <is>
          <t>R2,</t>
        </is>
      </c>
      <c r="F55" t="inlineStr">
        <is>
          <t>bar:</t>
        </is>
      </c>
      <c r="G55" t="inlineStr">
        <is>
          <t>bar1,</t>
        </is>
      </c>
      <c r="H55" t="inlineStr">
        <is>
          <t>barrier</t>
        </is>
      </c>
      <c r="I55" t="inlineStr">
        <is>
          <t>IL:</t>
        </is>
      </c>
      <c r="J55" t="n">
        <v>13</v>
      </c>
      <c r="M55">
        <f>C54</f>
        <v/>
      </c>
      <c r="N55">
        <f>E54</f>
        <v/>
      </c>
      <c r="O55">
        <f>G54</f>
        <v/>
      </c>
      <c r="P55">
        <f>J54</f>
        <v/>
      </c>
    </row>
    <row r="56">
      <c r="B56" t="inlineStr">
        <is>
          <t>eqmt:</t>
        </is>
      </c>
      <c r="C56" t="inlineStr">
        <is>
          <t>CU-R1,</t>
        </is>
      </c>
      <c r="D56" t="inlineStr">
        <is>
          <t>rcvr:</t>
        </is>
      </c>
      <c r="E56" t="inlineStr">
        <is>
          <t>R2,</t>
        </is>
      </c>
      <c r="F56" t="inlineStr">
        <is>
          <t>bar:</t>
        </is>
      </c>
      <c r="G56" t="inlineStr">
        <is>
          <t>bar1,</t>
        </is>
      </c>
      <c r="H56" t="inlineStr">
        <is>
          <t>barrier</t>
        </is>
      </c>
      <c r="I56" t="inlineStr">
        <is>
          <t>IL:</t>
        </is>
      </c>
      <c r="J56" t="n">
        <v>8</v>
      </c>
      <c r="M56">
        <f>C55</f>
        <v/>
      </c>
      <c r="N56">
        <f>E55</f>
        <v/>
      </c>
      <c r="O56">
        <f>G55</f>
        <v/>
      </c>
      <c r="P56">
        <f>J55</f>
        <v/>
      </c>
    </row>
    <row r="57">
      <c r="B57" t="inlineStr">
        <is>
          <t>eqmt:</t>
        </is>
      </c>
      <c r="C57" t="inlineStr">
        <is>
          <t>CU-R2,</t>
        </is>
      </c>
      <c r="D57" t="inlineStr">
        <is>
          <t>rcvr:</t>
        </is>
      </c>
      <c r="E57" t="inlineStr">
        <is>
          <t>R2,</t>
        </is>
      </c>
      <c r="F57" t="inlineStr">
        <is>
          <t>bar:</t>
        </is>
      </c>
      <c r="G57" t="inlineStr">
        <is>
          <t>bar1,</t>
        </is>
      </c>
      <c r="H57" t="inlineStr">
        <is>
          <t>barrier</t>
        </is>
      </c>
      <c r="I57" t="inlineStr">
        <is>
          <t>IL:</t>
        </is>
      </c>
      <c r="J57" t="n">
        <v>10</v>
      </c>
      <c r="M57">
        <f>C56</f>
        <v/>
      </c>
      <c r="N57">
        <f>E56</f>
        <v/>
      </c>
      <c r="O57">
        <f>G56</f>
        <v/>
      </c>
      <c r="P57">
        <f>J56</f>
        <v/>
      </c>
    </row>
    <row r="58">
      <c r="B58" t="inlineStr">
        <is>
          <t>eqmt:</t>
        </is>
      </c>
      <c r="C58" t="inlineStr">
        <is>
          <t>CU-R4,</t>
        </is>
      </c>
      <c r="D58" t="inlineStr">
        <is>
          <t>rcvr:</t>
        </is>
      </c>
      <c r="E58" t="inlineStr">
        <is>
          <t>R2,</t>
        </is>
      </c>
      <c r="F58" t="inlineStr">
        <is>
          <t>bar:</t>
        </is>
      </c>
      <c r="G58" t="inlineStr">
        <is>
          <t>bar1,</t>
        </is>
      </c>
      <c r="H58" t="inlineStr">
        <is>
          <t>barrier</t>
        </is>
      </c>
      <c r="I58" t="inlineStr">
        <is>
          <t>IL:</t>
        </is>
      </c>
      <c r="J58" t="n">
        <v>10</v>
      </c>
      <c r="M58">
        <f>C57</f>
        <v/>
      </c>
      <c r="N58">
        <f>E57</f>
        <v/>
      </c>
      <c r="O58">
        <f>G57</f>
        <v/>
      </c>
      <c r="P58">
        <f>J57</f>
        <v/>
      </c>
    </row>
    <row r="59">
      <c r="B59" t="inlineStr">
        <is>
          <t>eqmt:</t>
        </is>
      </c>
      <c r="C59" t="inlineStr">
        <is>
          <t>CU-R5,</t>
        </is>
      </c>
      <c r="D59" t="inlineStr">
        <is>
          <t>rcvr:</t>
        </is>
      </c>
      <c r="E59" t="inlineStr">
        <is>
          <t>R2,</t>
        </is>
      </c>
      <c r="F59" t="inlineStr">
        <is>
          <t>bar:</t>
        </is>
      </c>
      <c r="G59" t="inlineStr">
        <is>
          <t>bar1,</t>
        </is>
      </c>
      <c r="H59" t="inlineStr">
        <is>
          <t>barrier</t>
        </is>
      </c>
      <c r="I59" t="inlineStr">
        <is>
          <t>IL:</t>
        </is>
      </c>
      <c r="J59" t="n">
        <v>8</v>
      </c>
      <c r="M59">
        <f>C58</f>
        <v/>
      </c>
      <c r="N59">
        <f>E58</f>
        <v/>
      </c>
      <c r="O59">
        <f>G58</f>
        <v/>
      </c>
      <c r="P59">
        <f>J58</f>
        <v/>
      </c>
    </row>
    <row r="60">
      <c r="B60" t="inlineStr">
        <is>
          <t>eqmt:</t>
        </is>
      </c>
      <c r="C60" t="inlineStr">
        <is>
          <t>RCU-R(4p)1,</t>
        </is>
      </c>
      <c r="D60" t="inlineStr">
        <is>
          <t>rcvr:</t>
        </is>
      </c>
      <c r="E60" t="inlineStr">
        <is>
          <t>R2,</t>
        </is>
      </c>
      <c r="F60" t="inlineStr">
        <is>
          <t>bar:</t>
        </is>
      </c>
      <c r="G60" t="inlineStr">
        <is>
          <t>bar2,</t>
        </is>
      </c>
      <c r="H60" t="inlineStr">
        <is>
          <t>barrier</t>
        </is>
      </c>
      <c r="I60" t="inlineStr">
        <is>
          <t>IL:</t>
        </is>
      </c>
      <c r="J60" t="n">
        <v>13</v>
      </c>
      <c r="M60">
        <f>C59</f>
        <v/>
      </c>
      <c r="N60">
        <f>E59</f>
        <v/>
      </c>
      <c r="O60">
        <f>G59</f>
        <v/>
      </c>
      <c r="P60">
        <f>J59</f>
        <v/>
      </c>
    </row>
    <row r="61">
      <c r="B61" t="inlineStr">
        <is>
          <t>eqmt:</t>
        </is>
      </c>
      <c r="C61" t="inlineStr">
        <is>
          <t>RCU-R(4p)2,</t>
        </is>
      </c>
      <c r="D61" t="inlineStr">
        <is>
          <t>rcvr:</t>
        </is>
      </c>
      <c r="E61" t="inlineStr">
        <is>
          <t>R2,</t>
        </is>
      </c>
      <c r="F61" t="inlineStr">
        <is>
          <t>bar:</t>
        </is>
      </c>
      <c r="G61" t="inlineStr">
        <is>
          <t>bar1,</t>
        </is>
      </c>
      <c r="H61" t="inlineStr">
        <is>
          <t>barrier</t>
        </is>
      </c>
      <c r="I61" t="inlineStr">
        <is>
          <t>IL:</t>
        </is>
      </c>
      <c r="J61" t="n">
        <v>14</v>
      </c>
      <c r="M61">
        <f>C60</f>
        <v/>
      </c>
      <c r="N61">
        <f>E60</f>
        <v/>
      </c>
      <c r="O61">
        <f>G60</f>
        <v/>
      </c>
      <c r="P61">
        <f>J60</f>
        <v/>
      </c>
    </row>
    <row r="62">
      <c r="B62" t="inlineStr">
        <is>
          <t>eqmt:</t>
        </is>
      </c>
      <c r="C62" t="inlineStr">
        <is>
          <t>RCU-R(4p)3,</t>
        </is>
      </c>
      <c r="D62" t="inlineStr">
        <is>
          <t>rcvr:</t>
        </is>
      </c>
      <c r="E62" t="inlineStr">
        <is>
          <t>R2,</t>
        </is>
      </c>
      <c r="F62" t="inlineStr">
        <is>
          <t>bar:</t>
        </is>
      </c>
      <c r="G62" t="inlineStr">
        <is>
          <t>bar1,</t>
        </is>
      </c>
      <c r="H62" t="inlineStr">
        <is>
          <t>barrier</t>
        </is>
      </c>
      <c r="I62" t="inlineStr">
        <is>
          <t>IL:</t>
        </is>
      </c>
      <c r="J62" t="n">
        <v>8</v>
      </c>
      <c r="M62">
        <f>C61</f>
        <v/>
      </c>
      <c r="N62">
        <f>E61</f>
        <v/>
      </c>
      <c r="O62">
        <f>G61</f>
        <v/>
      </c>
      <c r="P62">
        <f>J61</f>
        <v/>
      </c>
    </row>
    <row r="63">
      <c r="B63" t="inlineStr">
        <is>
          <t>eqmt:</t>
        </is>
      </c>
      <c r="C63" t="inlineStr">
        <is>
          <t>RCU-R(2p),</t>
        </is>
      </c>
      <c r="D63" t="inlineStr">
        <is>
          <t>rcvr:</t>
        </is>
      </c>
      <c r="E63" t="inlineStr">
        <is>
          <t>R2,</t>
        </is>
      </c>
      <c r="F63" t="inlineStr">
        <is>
          <t>bar:</t>
        </is>
      </c>
      <c r="G63" t="inlineStr">
        <is>
          <t>bar1,</t>
        </is>
      </c>
      <c r="H63" t="inlineStr">
        <is>
          <t>barrier</t>
        </is>
      </c>
      <c r="I63" t="inlineStr">
        <is>
          <t>IL:</t>
        </is>
      </c>
      <c r="J63" t="n">
        <v>8</v>
      </c>
      <c r="M63">
        <f>C62</f>
        <v/>
      </c>
      <c r="N63">
        <f>E62</f>
        <v/>
      </c>
      <c r="O63">
        <f>G62</f>
        <v/>
      </c>
      <c r="P63">
        <f>J62</f>
        <v/>
      </c>
    </row>
    <row r="64">
      <c r="B64" t="inlineStr">
        <is>
          <t>eqmt:</t>
        </is>
      </c>
      <c r="C64" t="inlineStr">
        <is>
          <t>RCU-R(2p)1,</t>
        </is>
      </c>
      <c r="D64" t="inlineStr">
        <is>
          <t>rcvr:</t>
        </is>
      </c>
      <c r="E64" t="inlineStr">
        <is>
          <t>R2,</t>
        </is>
      </c>
      <c r="F64" t="inlineStr">
        <is>
          <t>bar:</t>
        </is>
      </c>
      <c r="G64" t="inlineStr">
        <is>
          <t>bar1,</t>
        </is>
      </c>
      <c r="H64" t="inlineStr">
        <is>
          <t>barrier</t>
        </is>
      </c>
      <c r="I64" t="inlineStr">
        <is>
          <t>IL:</t>
        </is>
      </c>
      <c r="J64" t="n">
        <v>9</v>
      </c>
      <c r="M64">
        <f>C63</f>
        <v/>
      </c>
      <c r="N64">
        <f>E63</f>
        <v/>
      </c>
      <c r="O64">
        <f>G63</f>
        <v/>
      </c>
      <c r="P64">
        <f>J63</f>
        <v/>
      </c>
    </row>
    <row r="65">
      <c r="B65" t="inlineStr">
        <is>
          <t>eqmt:</t>
        </is>
      </c>
      <c r="C65" t="inlineStr">
        <is>
          <t>RCU-R(4p)4,</t>
        </is>
      </c>
      <c r="D65" t="inlineStr">
        <is>
          <t>rcvr:</t>
        </is>
      </c>
      <c r="E65" t="inlineStr">
        <is>
          <t>R2,</t>
        </is>
      </c>
      <c r="F65" t="inlineStr">
        <is>
          <t>bar:</t>
        </is>
      </c>
      <c r="G65" t="inlineStr">
        <is>
          <t>bar1,</t>
        </is>
      </c>
      <c r="H65" t="inlineStr">
        <is>
          <t>barrier</t>
        </is>
      </c>
      <c r="I65" t="inlineStr">
        <is>
          <t>IL:</t>
        </is>
      </c>
      <c r="J65" t="n">
        <v>10</v>
      </c>
      <c r="M65">
        <f>C64</f>
        <v/>
      </c>
      <c r="N65">
        <f>E64</f>
        <v/>
      </c>
      <c r="O65">
        <f>G64</f>
        <v/>
      </c>
      <c r="P65">
        <f>J64</f>
        <v/>
      </c>
    </row>
    <row r="66">
      <c r="B66" t="inlineStr">
        <is>
          <t>eqmt:</t>
        </is>
      </c>
      <c r="C66" t="inlineStr">
        <is>
          <t>RCU-R(2p)2,</t>
        </is>
      </c>
      <c r="D66" t="inlineStr">
        <is>
          <t>rcvr:</t>
        </is>
      </c>
      <c r="E66" t="inlineStr">
        <is>
          <t>R2,</t>
        </is>
      </c>
      <c r="F66" t="inlineStr">
        <is>
          <t>bar:</t>
        </is>
      </c>
      <c r="G66" t="inlineStr">
        <is>
          <t>bar1,</t>
        </is>
      </c>
      <c r="H66" t="inlineStr">
        <is>
          <t>barrier</t>
        </is>
      </c>
      <c r="I66" t="inlineStr">
        <is>
          <t>IL:</t>
        </is>
      </c>
      <c r="J66" t="n">
        <v>14</v>
      </c>
      <c r="M66">
        <f>C65</f>
        <v/>
      </c>
      <c r="N66">
        <f>E65</f>
        <v/>
      </c>
      <c r="O66">
        <f>G65</f>
        <v/>
      </c>
      <c r="P66">
        <f>J65</f>
        <v/>
      </c>
    </row>
    <row r="67">
      <c r="B67" t="inlineStr">
        <is>
          <t>eqmt:</t>
        </is>
      </c>
      <c r="C67" t="inlineStr">
        <is>
          <t>RCU-R(2p)3,</t>
        </is>
      </c>
      <c r="D67" t="inlineStr">
        <is>
          <t>rcvr:</t>
        </is>
      </c>
      <c r="E67" t="inlineStr">
        <is>
          <t>R2,</t>
        </is>
      </c>
      <c r="F67" t="inlineStr">
        <is>
          <t>bar:</t>
        </is>
      </c>
      <c r="G67" t="inlineStr">
        <is>
          <t>bar1,</t>
        </is>
      </c>
      <c r="H67" t="inlineStr">
        <is>
          <t>barrier</t>
        </is>
      </c>
      <c r="I67" t="inlineStr">
        <is>
          <t>IL:</t>
        </is>
      </c>
      <c r="J67" t="n">
        <v>15</v>
      </c>
      <c r="M67">
        <f>C66</f>
        <v/>
      </c>
      <c r="N67">
        <f>E66</f>
        <v/>
      </c>
      <c r="O67">
        <f>G66</f>
        <v/>
      </c>
      <c r="P67">
        <f>J66</f>
        <v/>
      </c>
    </row>
    <row r="68">
      <c r="B68" t="inlineStr">
        <is>
          <t>eqmt:</t>
        </is>
      </c>
      <c r="C68" t="inlineStr">
        <is>
          <t>RCU-R(2p)4,</t>
        </is>
      </c>
      <c r="D68" t="inlineStr">
        <is>
          <t>rcvr:</t>
        </is>
      </c>
      <c r="E68" t="inlineStr">
        <is>
          <t>R2,</t>
        </is>
      </c>
      <c r="F68" t="inlineStr">
        <is>
          <t>bar:</t>
        </is>
      </c>
      <c r="G68" t="inlineStr">
        <is>
          <t>bar1,</t>
        </is>
      </c>
      <c r="H68" t="inlineStr">
        <is>
          <t>barrier</t>
        </is>
      </c>
      <c r="I68" t="inlineStr">
        <is>
          <t>IL:</t>
        </is>
      </c>
      <c r="J68" t="n">
        <v>15</v>
      </c>
      <c r="M68">
        <f>C67</f>
        <v/>
      </c>
      <c r="N68">
        <f>E67</f>
        <v/>
      </c>
      <c r="O68">
        <f>G67</f>
        <v/>
      </c>
      <c r="P68">
        <f>J67</f>
        <v/>
      </c>
    </row>
    <row r="69">
      <c r="B69" t="inlineStr">
        <is>
          <t>eqmt:</t>
        </is>
      </c>
      <c r="C69" t="inlineStr">
        <is>
          <t>RCU-R(2p)5,</t>
        </is>
      </c>
      <c r="D69" t="inlineStr">
        <is>
          <t>rcvr:</t>
        </is>
      </c>
      <c r="E69" t="inlineStr">
        <is>
          <t>R2,</t>
        </is>
      </c>
      <c r="F69" t="inlineStr">
        <is>
          <t>bar:</t>
        </is>
      </c>
      <c r="G69" t="inlineStr">
        <is>
          <t>bar1,</t>
        </is>
      </c>
      <c r="H69" t="inlineStr">
        <is>
          <t>barrier</t>
        </is>
      </c>
      <c r="I69" t="inlineStr">
        <is>
          <t>IL:</t>
        </is>
      </c>
      <c r="J69" t="n">
        <v>15</v>
      </c>
      <c r="M69">
        <f>C68</f>
        <v/>
      </c>
      <c r="N69">
        <f>E68</f>
        <v/>
      </c>
      <c r="O69">
        <f>G68</f>
        <v/>
      </c>
      <c r="P69">
        <f>J68</f>
        <v/>
      </c>
    </row>
    <row r="70">
      <c r="B70" t="inlineStr">
        <is>
          <t>eqmt:</t>
        </is>
      </c>
      <c r="C70" t="inlineStr">
        <is>
          <t>RCU-R(2p)6,</t>
        </is>
      </c>
      <c r="D70" t="inlineStr">
        <is>
          <t>rcvr:</t>
        </is>
      </c>
      <c r="E70" t="inlineStr">
        <is>
          <t>R2,</t>
        </is>
      </c>
      <c r="F70" t="inlineStr">
        <is>
          <t>bar:</t>
        </is>
      </c>
      <c r="G70" t="inlineStr">
        <is>
          <t>bar1,</t>
        </is>
      </c>
      <c r="H70" t="inlineStr">
        <is>
          <t>barrier</t>
        </is>
      </c>
      <c r="I70" t="inlineStr">
        <is>
          <t>IL:</t>
        </is>
      </c>
      <c r="J70" t="n">
        <v>15</v>
      </c>
      <c r="M70">
        <f>C69</f>
        <v/>
      </c>
      <c r="N70">
        <f>E69</f>
        <v/>
      </c>
      <c r="O70">
        <f>G69</f>
        <v/>
      </c>
      <c r="P70">
        <f>J69</f>
        <v/>
      </c>
    </row>
    <row r="71">
      <c r="B71" t="inlineStr">
        <is>
          <t>eqmt:</t>
        </is>
      </c>
      <c r="C71" t="inlineStr">
        <is>
          <t>BEF-R01-,</t>
        </is>
      </c>
      <c r="D71" t="inlineStr">
        <is>
          <t>rcvr:</t>
        </is>
      </c>
      <c r="E71" t="inlineStr">
        <is>
          <t>R2,</t>
        </is>
      </c>
      <c r="F71" t="inlineStr">
        <is>
          <t>bar:</t>
        </is>
      </c>
      <c r="G71" t="inlineStr">
        <is>
          <t>None,</t>
        </is>
      </c>
      <c r="H71" t="inlineStr">
        <is>
          <t>barrier</t>
        </is>
      </c>
      <c r="I71" t="inlineStr">
        <is>
          <t>IL:</t>
        </is>
      </c>
      <c r="J71" t="n">
        <v>0</v>
      </c>
      <c r="M71">
        <f>C70</f>
        <v/>
      </c>
      <c r="N71">
        <f>E70</f>
        <v/>
      </c>
      <c r="O71">
        <f>G70</f>
        <v/>
      </c>
      <c r="P71">
        <f>J70</f>
        <v/>
      </c>
    </row>
    <row r="72">
      <c r="B72" t="inlineStr">
        <is>
          <t>eqmt:</t>
        </is>
      </c>
      <c r="C72" t="inlineStr">
        <is>
          <t>BEF-R02-,</t>
        </is>
      </c>
      <c r="D72" t="inlineStr">
        <is>
          <t>rcvr:</t>
        </is>
      </c>
      <c r="E72" t="inlineStr">
        <is>
          <t>R2,</t>
        </is>
      </c>
      <c r="F72" t="inlineStr">
        <is>
          <t>bar:</t>
        </is>
      </c>
      <c r="G72" t="inlineStr">
        <is>
          <t>None,</t>
        </is>
      </c>
      <c r="H72" t="inlineStr">
        <is>
          <t>barrier</t>
        </is>
      </c>
      <c r="I72" t="inlineStr">
        <is>
          <t>IL:</t>
        </is>
      </c>
      <c r="J72" t="n">
        <v>0</v>
      </c>
      <c r="M72">
        <f>C71</f>
        <v/>
      </c>
      <c r="N72">
        <f>E71</f>
        <v/>
      </c>
      <c r="O72">
        <f>G71</f>
        <v/>
      </c>
      <c r="P72">
        <f>J71</f>
        <v/>
      </c>
    </row>
    <row r="73">
      <c r="B73" t="inlineStr">
        <is>
          <t>eqmt:</t>
        </is>
      </c>
      <c r="C73" t="inlineStr">
        <is>
          <t>BEF-R03-,</t>
        </is>
      </c>
      <c r="D73" t="inlineStr">
        <is>
          <t>rcvr:</t>
        </is>
      </c>
      <c r="E73" t="inlineStr">
        <is>
          <t>R2,</t>
        </is>
      </c>
      <c r="F73" t="inlineStr">
        <is>
          <t>bar:</t>
        </is>
      </c>
      <c r="G73" t="inlineStr">
        <is>
          <t>bar1,</t>
        </is>
      </c>
      <c r="H73" t="inlineStr">
        <is>
          <t>barrier</t>
        </is>
      </c>
      <c r="I73" t="inlineStr">
        <is>
          <t>IL:</t>
        </is>
      </c>
      <c r="J73" t="n">
        <v>5</v>
      </c>
      <c r="M73">
        <f>C72</f>
        <v/>
      </c>
      <c r="N73">
        <f>E72</f>
        <v/>
      </c>
      <c r="O73">
        <f>G72</f>
        <v/>
      </c>
      <c r="P73">
        <f>J72</f>
        <v/>
      </c>
    </row>
    <row r="74">
      <c r="B74" t="inlineStr">
        <is>
          <t>eqmt:</t>
        </is>
      </c>
      <c r="C74" t="inlineStr">
        <is>
          <t>BEF-R04-,</t>
        </is>
      </c>
      <c r="D74" t="inlineStr">
        <is>
          <t>rcvr:</t>
        </is>
      </c>
      <c r="E74" t="inlineStr">
        <is>
          <t>R2,</t>
        </is>
      </c>
      <c r="F74" t="inlineStr">
        <is>
          <t>bar:</t>
        </is>
      </c>
      <c r="G74" t="inlineStr">
        <is>
          <t>bar1,</t>
        </is>
      </c>
      <c r="H74" t="inlineStr">
        <is>
          <t>barrier</t>
        </is>
      </c>
      <c r="I74" t="inlineStr">
        <is>
          <t>IL:</t>
        </is>
      </c>
      <c r="J74" t="n">
        <v>7</v>
      </c>
      <c r="M74">
        <f>C73</f>
        <v/>
      </c>
      <c r="N74">
        <f>E73</f>
        <v/>
      </c>
      <c r="O74">
        <f>G73</f>
        <v/>
      </c>
      <c r="P74">
        <f>J73</f>
        <v/>
      </c>
    </row>
    <row r="75">
      <c r="B75" t="inlineStr">
        <is>
          <t>eqmt:</t>
        </is>
      </c>
      <c r="C75" t="inlineStr">
        <is>
          <t>BEF-R05-,</t>
        </is>
      </c>
      <c r="D75" t="inlineStr">
        <is>
          <t>rcvr:</t>
        </is>
      </c>
      <c r="E75" t="inlineStr">
        <is>
          <t>R2,</t>
        </is>
      </c>
      <c r="F75" t="inlineStr">
        <is>
          <t>bar:</t>
        </is>
      </c>
      <c r="G75" t="inlineStr">
        <is>
          <t>None,</t>
        </is>
      </c>
      <c r="H75" t="inlineStr">
        <is>
          <t>barrier</t>
        </is>
      </c>
      <c r="I75" t="inlineStr">
        <is>
          <t>IL:</t>
        </is>
      </c>
      <c r="J75" t="n">
        <v>0</v>
      </c>
      <c r="M75">
        <f>C74</f>
        <v/>
      </c>
      <c r="N75">
        <f>E74</f>
        <v/>
      </c>
      <c r="O75">
        <f>G74</f>
        <v/>
      </c>
      <c r="P75">
        <f>J74</f>
        <v/>
      </c>
    </row>
    <row r="76">
      <c r="B76" t="inlineStr">
        <is>
          <t>eqmt:</t>
        </is>
      </c>
      <c r="C76" t="inlineStr">
        <is>
          <t>BEF-R06-,</t>
        </is>
      </c>
      <c r="D76" t="inlineStr">
        <is>
          <t>rcvr:</t>
        </is>
      </c>
      <c r="E76" t="inlineStr">
        <is>
          <t>R2,</t>
        </is>
      </c>
      <c r="F76" t="inlineStr">
        <is>
          <t>bar:</t>
        </is>
      </c>
      <c r="G76" t="inlineStr">
        <is>
          <t>None,</t>
        </is>
      </c>
      <c r="H76" t="inlineStr">
        <is>
          <t>barrier</t>
        </is>
      </c>
      <c r="I76" t="inlineStr">
        <is>
          <t>IL:</t>
        </is>
      </c>
      <c r="J76" t="n">
        <v>0</v>
      </c>
      <c r="M76">
        <f>C75</f>
        <v/>
      </c>
      <c r="N76">
        <f>E75</f>
        <v/>
      </c>
      <c r="O76">
        <f>G75</f>
        <v/>
      </c>
      <c r="P76">
        <f>J75</f>
        <v/>
      </c>
    </row>
    <row r="77">
      <c r="B77" t="inlineStr">
        <is>
          <t>eqmt:</t>
        </is>
      </c>
      <c r="C77" t="inlineStr">
        <is>
          <t>BEF-R07-,</t>
        </is>
      </c>
      <c r="D77" t="inlineStr">
        <is>
          <t>rcvr:</t>
        </is>
      </c>
      <c r="E77" t="inlineStr">
        <is>
          <t>R2,</t>
        </is>
      </c>
      <c r="F77" t="inlineStr">
        <is>
          <t>bar:</t>
        </is>
      </c>
      <c r="G77" t="inlineStr">
        <is>
          <t>None,</t>
        </is>
      </c>
      <c r="H77" t="inlineStr">
        <is>
          <t>barrier</t>
        </is>
      </c>
      <c r="I77" t="inlineStr">
        <is>
          <t>IL:</t>
        </is>
      </c>
      <c r="J77" t="n">
        <v>0</v>
      </c>
      <c r="M77">
        <f>C76</f>
        <v/>
      </c>
      <c r="N77">
        <f>E76</f>
        <v/>
      </c>
      <c r="O77">
        <f>G76</f>
        <v/>
      </c>
      <c r="P77">
        <f>J76</f>
        <v/>
      </c>
    </row>
    <row r="78">
      <c r="B78" t="inlineStr">
        <is>
          <t>eqmt:</t>
        </is>
      </c>
      <c r="C78" t="inlineStr">
        <is>
          <t>BEF-R08-,</t>
        </is>
      </c>
      <c r="D78" t="inlineStr">
        <is>
          <t>rcvr:</t>
        </is>
      </c>
      <c r="E78" t="inlineStr">
        <is>
          <t>R2,</t>
        </is>
      </c>
      <c r="F78" t="inlineStr">
        <is>
          <t>bar:</t>
        </is>
      </c>
      <c r="G78" t="inlineStr">
        <is>
          <t>bar2,</t>
        </is>
      </c>
      <c r="H78" t="inlineStr">
        <is>
          <t>barrier</t>
        </is>
      </c>
      <c r="I78" t="inlineStr">
        <is>
          <t>IL:</t>
        </is>
      </c>
      <c r="J78" t="n">
        <v>12</v>
      </c>
      <c r="M78">
        <f>C77</f>
        <v/>
      </c>
      <c r="N78">
        <f>E77</f>
        <v/>
      </c>
      <c r="O78">
        <f>G77</f>
        <v/>
      </c>
      <c r="P78">
        <f>J77</f>
        <v/>
      </c>
    </row>
    <row r="79">
      <c r="B79" t="inlineStr">
        <is>
          <t>eqmt:</t>
        </is>
      </c>
      <c r="C79" t="inlineStr">
        <is>
          <t>BEF-R09-,</t>
        </is>
      </c>
      <c r="D79" t="inlineStr">
        <is>
          <t>rcvr:</t>
        </is>
      </c>
      <c r="E79" t="inlineStr">
        <is>
          <t>R2,</t>
        </is>
      </c>
      <c r="F79" t="inlineStr">
        <is>
          <t>bar:</t>
        </is>
      </c>
      <c r="G79" t="inlineStr">
        <is>
          <t>bar2,</t>
        </is>
      </c>
      <c r="H79" t="inlineStr">
        <is>
          <t>barrier</t>
        </is>
      </c>
      <c r="I79" t="inlineStr">
        <is>
          <t>IL:</t>
        </is>
      </c>
      <c r="J79" t="n">
        <v>12</v>
      </c>
      <c r="M79">
        <f>C78</f>
        <v/>
      </c>
      <c r="N79">
        <f>E78</f>
        <v/>
      </c>
      <c r="O79">
        <f>G78</f>
        <v/>
      </c>
      <c r="P79">
        <f>J78</f>
        <v/>
      </c>
    </row>
    <row r="80">
      <c r="B80" t="inlineStr">
        <is>
          <t>eqmt:</t>
        </is>
      </c>
      <c r="C80" t="inlineStr">
        <is>
          <t>BEF-R10-,</t>
        </is>
      </c>
      <c r="D80" t="inlineStr">
        <is>
          <t>rcvr:</t>
        </is>
      </c>
      <c r="E80" t="inlineStr">
        <is>
          <t>R2,</t>
        </is>
      </c>
      <c r="F80" t="inlineStr">
        <is>
          <t>bar:</t>
        </is>
      </c>
      <c r="G80" t="inlineStr">
        <is>
          <t>bar2,</t>
        </is>
      </c>
      <c r="H80" t="inlineStr">
        <is>
          <t>barrier</t>
        </is>
      </c>
      <c r="I80" t="inlineStr">
        <is>
          <t>IL:</t>
        </is>
      </c>
      <c r="J80" t="n">
        <v>12</v>
      </c>
      <c r="M80">
        <f>C79</f>
        <v/>
      </c>
      <c r="N80">
        <f>E79</f>
        <v/>
      </c>
      <c r="O80">
        <f>G79</f>
        <v/>
      </c>
      <c r="P80">
        <f>J79</f>
        <v/>
      </c>
    </row>
    <row r="81">
      <c r="B81" t="inlineStr">
        <is>
          <t>eqmt:</t>
        </is>
      </c>
      <c r="C81" t="inlineStr">
        <is>
          <t>BEF-R11-,</t>
        </is>
      </c>
      <c r="D81" t="inlineStr">
        <is>
          <t>rcvr:</t>
        </is>
      </c>
      <c r="E81" t="inlineStr">
        <is>
          <t>R2,</t>
        </is>
      </c>
      <c r="F81" t="inlineStr">
        <is>
          <t>bar:</t>
        </is>
      </c>
      <c r="G81" t="inlineStr">
        <is>
          <t>bar2,</t>
        </is>
      </c>
      <c r="H81" t="inlineStr">
        <is>
          <t>barrier</t>
        </is>
      </c>
      <c r="I81" t="inlineStr">
        <is>
          <t>IL:</t>
        </is>
      </c>
      <c r="J81" t="n">
        <v>12</v>
      </c>
      <c r="M81">
        <f>C80</f>
        <v/>
      </c>
      <c r="N81">
        <f>E80</f>
        <v/>
      </c>
      <c r="O81">
        <f>G80</f>
        <v/>
      </c>
      <c r="P81">
        <f>J80</f>
        <v/>
      </c>
    </row>
    <row r="82">
      <c r="B82" t="inlineStr">
        <is>
          <t>eqmt:</t>
        </is>
      </c>
      <c r="C82" t="inlineStr">
        <is>
          <t>BEF-R12-,</t>
        </is>
      </c>
      <c r="D82" t="inlineStr">
        <is>
          <t>rcvr:</t>
        </is>
      </c>
      <c r="E82" t="inlineStr">
        <is>
          <t>R2,</t>
        </is>
      </c>
      <c r="F82" t="inlineStr">
        <is>
          <t>bar:</t>
        </is>
      </c>
      <c r="G82" t="inlineStr">
        <is>
          <t>bar1,</t>
        </is>
      </c>
      <c r="H82" t="inlineStr">
        <is>
          <t>barrier</t>
        </is>
      </c>
      <c r="I82" t="inlineStr">
        <is>
          <t>IL:</t>
        </is>
      </c>
      <c r="J82" t="n">
        <v>15</v>
      </c>
      <c r="M82">
        <f>C81</f>
        <v/>
      </c>
      <c r="N82">
        <f>E81</f>
        <v/>
      </c>
      <c r="O82">
        <f>G81</f>
        <v/>
      </c>
      <c r="P82">
        <f>J81</f>
        <v/>
      </c>
    </row>
    <row r="83">
      <c r="B83" t="inlineStr">
        <is>
          <t>eqmt:</t>
        </is>
      </c>
      <c r="C83" t="inlineStr">
        <is>
          <t>BEF-R13-,</t>
        </is>
      </c>
      <c r="D83" t="inlineStr">
        <is>
          <t>rcvr:</t>
        </is>
      </c>
      <c r="E83" t="inlineStr">
        <is>
          <t>R2,</t>
        </is>
      </c>
      <c r="F83" t="inlineStr">
        <is>
          <t>bar:</t>
        </is>
      </c>
      <c r="G83" t="inlineStr">
        <is>
          <t>bar1,</t>
        </is>
      </c>
      <c r="H83" t="inlineStr">
        <is>
          <t>barrier</t>
        </is>
      </c>
      <c r="I83" t="inlineStr">
        <is>
          <t>IL:</t>
        </is>
      </c>
      <c r="J83" t="n">
        <v>15</v>
      </c>
      <c r="M83">
        <f>C82</f>
        <v/>
      </c>
      <c r="N83">
        <f>E82</f>
        <v/>
      </c>
      <c r="O83">
        <f>G82</f>
        <v/>
      </c>
      <c r="P83">
        <f>J82</f>
        <v/>
      </c>
    </row>
    <row r="84">
      <c r="B84" t="inlineStr">
        <is>
          <t>eqmt:</t>
        </is>
      </c>
      <c r="C84" t="inlineStr">
        <is>
          <t>BEF-R14-,</t>
        </is>
      </c>
      <c r="D84" t="inlineStr">
        <is>
          <t>rcvr:</t>
        </is>
      </c>
      <c r="E84" t="inlineStr">
        <is>
          <t>R2,</t>
        </is>
      </c>
      <c r="F84" t="inlineStr">
        <is>
          <t>bar:</t>
        </is>
      </c>
      <c r="G84" t="inlineStr">
        <is>
          <t>bar1,</t>
        </is>
      </c>
      <c r="H84" t="inlineStr">
        <is>
          <t>barrier</t>
        </is>
      </c>
      <c r="I84" t="inlineStr">
        <is>
          <t>IL:</t>
        </is>
      </c>
      <c r="J84" t="n">
        <v>15</v>
      </c>
      <c r="M84">
        <f>C83</f>
        <v/>
      </c>
      <c r="N84">
        <f>E83</f>
        <v/>
      </c>
      <c r="O84">
        <f>G83</f>
        <v/>
      </c>
      <c r="P84">
        <f>J83</f>
        <v/>
      </c>
    </row>
    <row r="85">
      <c r="B85" t="inlineStr">
        <is>
          <t>eqmt:</t>
        </is>
      </c>
      <c r="C85" t="inlineStr">
        <is>
          <t>BEF-R15-,</t>
        </is>
      </c>
      <c r="D85" t="inlineStr">
        <is>
          <t>rcvr:</t>
        </is>
      </c>
      <c r="E85" t="inlineStr">
        <is>
          <t>R2,</t>
        </is>
      </c>
      <c r="F85" t="inlineStr">
        <is>
          <t>bar:</t>
        </is>
      </c>
      <c r="G85" t="inlineStr">
        <is>
          <t>bar21,</t>
        </is>
      </c>
      <c r="H85" t="inlineStr">
        <is>
          <t>barrier</t>
        </is>
      </c>
      <c r="I85" t="inlineStr">
        <is>
          <t>IL:</t>
        </is>
      </c>
      <c r="J85" t="n">
        <v>13</v>
      </c>
      <c r="M85">
        <f>C84</f>
        <v/>
      </c>
      <c r="N85">
        <f>E84</f>
        <v/>
      </c>
      <c r="O85">
        <f>G84</f>
        <v/>
      </c>
      <c r="P85">
        <f>J84</f>
        <v/>
      </c>
    </row>
    <row r="86">
      <c r="B86" t="inlineStr">
        <is>
          <t>eqmt:</t>
        </is>
      </c>
      <c r="C86" t="inlineStr">
        <is>
          <t>BEF-R16-,</t>
        </is>
      </c>
      <c r="D86" t="inlineStr">
        <is>
          <t>rcvr:</t>
        </is>
      </c>
      <c r="E86" t="inlineStr">
        <is>
          <t>R2,</t>
        </is>
      </c>
      <c r="F86" t="inlineStr">
        <is>
          <t>bar:</t>
        </is>
      </c>
      <c r="G86" t="inlineStr">
        <is>
          <t>bar1,</t>
        </is>
      </c>
      <c r="H86" t="inlineStr">
        <is>
          <t>barrier</t>
        </is>
      </c>
      <c r="I86" t="inlineStr">
        <is>
          <t>IL:</t>
        </is>
      </c>
      <c r="J86" t="n">
        <v>14</v>
      </c>
      <c r="M86">
        <f>C85</f>
        <v/>
      </c>
      <c r="N86">
        <f>E85</f>
        <v/>
      </c>
      <c r="O86">
        <f>G85</f>
        <v/>
      </c>
      <c r="P86">
        <f>J85</f>
        <v/>
      </c>
    </row>
    <row r="87">
      <c r="B87" t="inlineStr">
        <is>
          <t>r_name:</t>
        </is>
      </c>
      <c r="C87" t="inlineStr">
        <is>
          <t>R3</t>
        </is>
      </c>
      <c r="D87" t="inlineStr">
        <is>
          <t>x:</t>
        </is>
      </c>
      <c r="E87" t="inlineStr">
        <is>
          <t>217.01,</t>
        </is>
      </c>
      <c r="F87" t="inlineStr">
        <is>
          <t>y:</t>
        </is>
      </c>
      <c r="G87" t="inlineStr">
        <is>
          <t>22.5,</t>
        </is>
      </c>
      <c r="H87" t="inlineStr">
        <is>
          <t>z:</t>
        </is>
      </c>
      <c r="I87" t="n">
        <v>60</v>
      </c>
      <c r="M87">
        <f>C86</f>
        <v/>
      </c>
      <c r="N87">
        <f>E86</f>
        <v/>
      </c>
      <c r="O87">
        <f>G86</f>
        <v/>
      </c>
      <c r="P87">
        <f>J86</f>
        <v/>
      </c>
    </row>
    <row r="88">
      <c r="B88" t="inlineStr">
        <is>
          <t>eqmt:</t>
        </is>
      </c>
      <c r="C88" t="inlineStr">
        <is>
          <t>MAU-R1,</t>
        </is>
      </c>
      <c r="D88" t="inlineStr">
        <is>
          <t>rcvr:</t>
        </is>
      </c>
      <c r="E88" t="inlineStr">
        <is>
          <t>R3,</t>
        </is>
      </c>
      <c r="F88" t="inlineStr">
        <is>
          <t>bar:</t>
        </is>
      </c>
      <c r="G88" t="inlineStr">
        <is>
          <t>bar3,</t>
        </is>
      </c>
      <c r="H88" t="inlineStr">
        <is>
          <t>barrier</t>
        </is>
      </c>
      <c r="I88" t="inlineStr">
        <is>
          <t>IL:</t>
        </is>
      </c>
      <c r="J88" t="n">
        <v>11</v>
      </c>
      <c r="M88" s="77">
        <f>C87</f>
        <v/>
      </c>
      <c r="N88">
        <f>E87</f>
        <v/>
      </c>
      <c r="O88">
        <f>G87</f>
        <v/>
      </c>
      <c r="P88">
        <f>J87</f>
        <v/>
      </c>
    </row>
    <row r="89">
      <c r="B89" t="inlineStr">
        <is>
          <t>eqmt:</t>
        </is>
      </c>
      <c r="C89" t="inlineStr">
        <is>
          <t>ERV-R.1,</t>
        </is>
      </c>
      <c r="D89" t="inlineStr">
        <is>
          <t>rcvr:</t>
        </is>
      </c>
      <c r="E89" t="inlineStr">
        <is>
          <t>R3,</t>
        </is>
      </c>
      <c r="F89" t="inlineStr">
        <is>
          <t>bar:</t>
        </is>
      </c>
      <c r="G89" t="inlineStr">
        <is>
          <t>bar4,</t>
        </is>
      </c>
      <c r="H89" t="inlineStr">
        <is>
          <t>barrier</t>
        </is>
      </c>
      <c r="I89" t="inlineStr">
        <is>
          <t>IL:</t>
        </is>
      </c>
      <c r="J89" t="n">
        <v>15</v>
      </c>
      <c r="M89">
        <f>C88</f>
        <v/>
      </c>
      <c r="N89">
        <f>E88</f>
        <v/>
      </c>
      <c r="O89">
        <f>G88</f>
        <v/>
      </c>
      <c r="P89">
        <f>J88</f>
        <v/>
      </c>
    </row>
    <row r="90">
      <c r="B90" t="inlineStr">
        <is>
          <t>eqmt:</t>
        </is>
      </c>
      <c r="C90" t="inlineStr">
        <is>
          <t>GEF-R1-,</t>
        </is>
      </c>
      <c r="D90" t="inlineStr">
        <is>
          <t>rcvr:</t>
        </is>
      </c>
      <c r="E90" t="inlineStr">
        <is>
          <t>R3,</t>
        </is>
      </c>
      <c r="F90" t="inlineStr">
        <is>
          <t>bar:</t>
        </is>
      </c>
      <c r="G90" t="inlineStr">
        <is>
          <t>bar5,</t>
        </is>
      </c>
      <c r="H90" t="inlineStr">
        <is>
          <t>barrier</t>
        </is>
      </c>
      <c r="I90" t="inlineStr">
        <is>
          <t>IL:</t>
        </is>
      </c>
      <c r="J90" t="n">
        <v>11</v>
      </c>
      <c r="M90">
        <f>C89</f>
        <v/>
      </c>
      <c r="N90">
        <f>E89</f>
        <v/>
      </c>
      <c r="O90">
        <f>G89</f>
        <v/>
      </c>
      <c r="P90">
        <f>J89</f>
        <v/>
      </c>
    </row>
    <row r="91">
      <c r="B91" t="inlineStr">
        <is>
          <t>eqmt:</t>
        </is>
      </c>
      <c r="C91" t="inlineStr">
        <is>
          <t>DEF-R1,-R2,</t>
        </is>
      </c>
      <c r="D91" t="inlineStr">
        <is>
          <t>rcvr:</t>
        </is>
      </c>
      <c r="E91" t="inlineStr">
        <is>
          <t>R3,</t>
        </is>
      </c>
      <c r="F91" t="inlineStr">
        <is>
          <t>bar:</t>
        </is>
      </c>
      <c r="G91" t="inlineStr">
        <is>
          <t>bar5,</t>
        </is>
      </c>
      <c r="H91" t="inlineStr">
        <is>
          <t>barrier</t>
        </is>
      </c>
      <c r="I91" t="inlineStr">
        <is>
          <t>IL:</t>
        </is>
      </c>
      <c r="J91" t="n">
        <v>16</v>
      </c>
      <c r="M91">
        <f>C90</f>
        <v/>
      </c>
      <c r="N91">
        <f>E90</f>
        <v/>
      </c>
      <c r="O91">
        <f>G90</f>
        <v/>
      </c>
      <c r="P91">
        <f>J90</f>
        <v/>
      </c>
    </row>
    <row r="92">
      <c r="B92" t="inlineStr">
        <is>
          <t>eqmt:</t>
        </is>
      </c>
      <c r="C92" t="inlineStr">
        <is>
          <t>KEF-R1-,</t>
        </is>
      </c>
      <c r="D92" t="inlineStr">
        <is>
          <t>rcvr:</t>
        </is>
      </c>
      <c r="E92" t="inlineStr">
        <is>
          <t>R3,</t>
        </is>
      </c>
      <c r="F92" t="inlineStr">
        <is>
          <t>bar:</t>
        </is>
      </c>
      <c r="G92" t="inlineStr">
        <is>
          <t>bar3,</t>
        </is>
      </c>
      <c r="H92" t="inlineStr">
        <is>
          <t>barrier</t>
        </is>
      </c>
      <c r="I92" t="inlineStr">
        <is>
          <t>IL:</t>
        </is>
      </c>
      <c r="J92" t="n">
        <v>10</v>
      </c>
      <c r="M92">
        <f>C91</f>
        <v/>
      </c>
      <c r="N92">
        <f>E91</f>
        <v/>
      </c>
      <c r="O92">
        <f>G91</f>
        <v/>
      </c>
      <c r="P92">
        <f>J91</f>
        <v/>
      </c>
    </row>
    <row r="93">
      <c r="B93" t="inlineStr">
        <is>
          <t>eqmt:</t>
        </is>
      </c>
      <c r="C93" t="inlineStr">
        <is>
          <t>DWEF-R1,</t>
        </is>
      </c>
      <c r="D93" t="inlineStr">
        <is>
          <t>rcvr:</t>
        </is>
      </c>
      <c r="E93" t="inlineStr">
        <is>
          <t>R3,</t>
        </is>
      </c>
      <c r="F93" t="inlineStr">
        <is>
          <t>bar:</t>
        </is>
      </c>
      <c r="G93" t="inlineStr">
        <is>
          <t>bar3,</t>
        </is>
      </c>
      <c r="H93" t="inlineStr">
        <is>
          <t>barrier</t>
        </is>
      </c>
      <c r="I93" t="inlineStr">
        <is>
          <t>IL:</t>
        </is>
      </c>
      <c r="J93" t="n">
        <v>11</v>
      </c>
      <c r="M93">
        <f>C92</f>
        <v/>
      </c>
      <c r="N93">
        <f>E92</f>
        <v/>
      </c>
      <c r="O93">
        <f>G92</f>
        <v/>
      </c>
      <c r="P93">
        <f>J92</f>
        <v/>
      </c>
    </row>
    <row r="94">
      <c r="B94" t="inlineStr">
        <is>
          <t>eqmt:</t>
        </is>
      </c>
      <c r="C94" t="inlineStr">
        <is>
          <t>CU-R1,</t>
        </is>
      </c>
      <c r="D94" t="inlineStr">
        <is>
          <t>rcvr:</t>
        </is>
      </c>
      <c r="E94" t="inlineStr">
        <is>
          <t>R3,</t>
        </is>
      </c>
      <c r="F94" t="inlineStr">
        <is>
          <t>bar:</t>
        </is>
      </c>
      <c r="G94" t="inlineStr">
        <is>
          <t>bar3,</t>
        </is>
      </c>
      <c r="H94" t="inlineStr">
        <is>
          <t>barrier</t>
        </is>
      </c>
      <c r="I94" t="inlineStr">
        <is>
          <t>IL:</t>
        </is>
      </c>
      <c r="J94" t="n">
        <v>11</v>
      </c>
      <c r="M94">
        <f>C93</f>
        <v/>
      </c>
      <c r="N94">
        <f>E93</f>
        <v/>
      </c>
      <c r="O94">
        <f>G93</f>
        <v/>
      </c>
      <c r="P94">
        <f>J93</f>
        <v/>
      </c>
    </row>
    <row r="95">
      <c r="B95" t="inlineStr">
        <is>
          <t>eqmt:</t>
        </is>
      </c>
      <c r="C95" t="inlineStr">
        <is>
          <t>CU-R2,</t>
        </is>
      </c>
      <c r="D95" t="inlineStr">
        <is>
          <t>rcvr:</t>
        </is>
      </c>
      <c r="E95" t="inlineStr">
        <is>
          <t>R3,</t>
        </is>
      </c>
      <c r="F95" t="inlineStr">
        <is>
          <t>bar:</t>
        </is>
      </c>
      <c r="G95" t="inlineStr">
        <is>
          <t>bar3,</t>
        </is>
      </c>
      <c r="H95" t="inlineStr">
        <is>
          <t>barrier</t>
        </is>
      </c>
      <c r="I95" t="inlineStr">
        <is>
          <t>IL:</t>
        </is>
      </c>
      <c r="J95" t="n">
        <v>11</v>
      </c>
      <c r="M95">
        <f>C94</f>
        <v/>
      </c>
      <c r="N95">
        <f>E94</f>
        <v/>
      </c>
      <c r="O95">
        <f>G94</f>
        <v/>
      </c>
      <c r="P95">
        <f>J94</f>
        <v/>
      </c>
    </row>
    <row r="96">
      <c r="B96" t="inlineStr">
        <is>
          <t>eqmt:</t>
        </is>
      </c>
      <c r="C96" t="inlineStr">
        <is>
          <t>CU-R4,</t>
        </is>
      </c>
      <c r="D96" t="inlineStr">
        <is>
          <t>rcvr:</t>
        </is>
      </c>
      <c r="E96" t="inlineStr">
        <is>
          <t>R3,</t>
        </is>
      </c>
      <c r="F96" t="inlineStr">
        <is>
          <t>bar:</t>
        </is>
      </c>
      <c r="G96" t="inlineStr">
        <is>
          <t>bar3,</t>
        </is>
      </c>
      <c r="H96" t="inlineStr">
        <is>
          <t>barrier</t>
        </is>
      </c>
      <c r="I96" t="inlineStr">
        <is>
          <t>IL:</t>
        </is>
      </c>
      <c r="J96" t="n">
        <v>12</v>
      </c>
      <c r="M96">
        <f>C95</f>
        <v/>
      </c>
      <c r="N96">
        <f>E95</f>
        <v/>
      </c>
      <c r="O96">
        <f>G95</f>
        <v/>
      </c>
      <c r="P96">
        <f>J95</f>
        <v/>
      </c>
    </row>
    <row r="97">
      <c r="B97" t="inlineStr">
        <is>
          <t>eqmt:</t>
        </is>
      </c>
      <c r="C97" t="inlineStr">
        <is>
          <t>CU-R5,</t>
        </is>
      </c>
      <c r="D97" t="inlineStr">
        <is>
          <t>rcvr:</t>
        </is>
      </c>
      <c r="E97" t="inlineStr">
        <is>
          <t>R3,</t>
        </is>
      </c>
      <c r="F97" t="inlineStr">
        <is>
          <t>bar:</t>
        </is>
      </c>
      <c r="G97" t="inlineStr">
        <is>
          <t>bar3,</t>
        </is>
      </c>
      <c r="H97" t="inlineStr">
        <is>
          <t>barrier</t>
        </is>
      </c>
      <c r="I97" t="inlineStr">
        <is>
          <t>IL:</t>
        </is>
      </c>
      <c r="J97" t="n">
        <v>11</v>
      </c>
      <c r="M97">
        <f>C96</f>
        <v/>
      </c>
      <c r="N97">
        <f>E96</f>
        <v/>
      </c>
      <c r="O97">
        <f>G96</f>
        <v/>
      </c>
      <c r="P97">
        <f>J96</f>
        <v/>
      </c>
    </row>
    <row r="98">
      <c r="B98" t="inlineStr">
        <is>
          <t>eqmt:</t>
        </is>
      </c>
      <c r="C98" t="inlineStr">
        <is>
          <t>RCU-R(4p)1,</t>
        </is>
      </c>
      <c r="D98" t="inlineStr">
        <is>
          <t>rcvr:</t>
        </is>
      </c>
      <c r="E98" t="inlineStr">
        <is>
          <t>R3,</t>
        </is>
      </c>
      <c r="F98" t="inlineStr">
        <is>
          <t>bar:</t>
        </is>
      </c>
      <c r="G98" t="inlineStr">
        <is>
          <t>bar5,</t>
        </is>
      </c>
      <c r="H98" t="inlineStr">
        <is>
          <t>barrier</t>
        </is>
      </c>
      <c r="I98" t="inlineStr">
        <is>
          <t>IL:</t>
        </is>
      </c>
      <c r="J98" t="n">
        <v>12</v>
      </c>
      <c r="M98">
        <f>C97</f>
        <v/>
      </c>
      <c r="N98">
        <f>E97</f>
        <v/>
      </c>
      <c r="O98">
        <f>G97</f>
        <v/>
      </c>
      <c r="P98">
        <f>J97</f>
        <v/>
      </c>
    </row>
    <row r="99">
      <c r="B99" t="inlineStr">
        <is>
          <t>eqmt:</t>
        </is>
      </c>
      <c r="C99" t="inlineStr">
        <is>
          <t>RCU-R(4p)2,</t>
        </is>
      </c>
      <c r="D99" t="inlineStr">
        <is>
          <t>rcvr:</t>
        </is>
      </c>
      <c r="E99" t="inlineStr">
        <is>
          <t>R3,</t>
        </is>
      </c>
      <c r="F99" t="inlineStr">
        <is>
          <t>bar:</t>
        </is>
      </c>
      <c r="G99" t="inlineStr">
        <is>
          <t>bar5,</t>
        </is>
      </c>
      <c r="H99" t="inlineStr">
        <is>
          <t>barrier</t>
        </is>
      </c>
      <c r="I99" t="inlineStr">
        <is>
          <t>IL:</t>
        </is>
      </c>
      <c r="J99" t="n">
        <v>15</v>
      </c>
      <c r="M99">
        <f>C98</f>
        <v/>
      </c>
      <c r="N99">
        <f>E98</f>
        <v/>
      </c>
      <c r="O99">
        <f>G98</f>
        <v/>
      </c>
      <c r="P99">
        <f>J98</f>
        <v/>
      </c>
    </row>
    <row r="100">
      <c r="B100" t="inlineStr">
        <is>
          <t>eqmt:</t>
        </is>
      </c>
      <c r="C100" t="inlineStr">
        <is>
          <t>RCU-R(4p)3,</t>
        </is>
      </c>
      <c r="D100" t="inlineStr">
        <is>
          <t>rcvr:</t>
        </is>
      </c>
      <c r="E100" t="inlineStr">
        <is>
          <t>R3,</t>
        </is>
      </c>
      <c r="F100" t="inlineStr">
        <is>
          <t>bar:</t>
        </is>
      </c>
      <c r="G100" t="inlineStr">
        <is>
          <t>bar3,</t>
        </is>
      </c>
      <c r="H100" t="inlineStr">
        <is>
          <t>barrier</t>
        </is>
      </c>
      <c r="I100" t="inlineStr">
        <is>
          <t>IL:</t>
        </is>
      </c>
      <c r="J100" t="n">
        <v>12</v>
      </c>
      <c r="M100">
        <f>C99</f>
        <v/>
      </c>
      <c r="N100">
        <f>E99</f>
        <v/>
      </c>
      <c r="O100">
        <f>G99</f>
        <v/>
      </c>
      <c r="P100">
        <f>J99</f>
        <v/>
      </c>
    </row>
    <row r="101">
      <c r="B101" t="inlineStr">
        <is>
          <t>eqmt:</t>
        </is>
      </c>
      <c r="C101" t="inlineStr">
        <is>
          <t>RCU-R(2p),</t>
        </is>
      </c>
      <c r="D101" t="inlineStr">
        <is>
          <t>rcvr:</t>
        </is>
      </c>
      <c r="E101" t="inlineStr">
        <is>
          <t>R3,</t>
        </is>
      </c>
      <c r="F101" t="inlineStr">
        <is>
          <t>bar:</t>
        </is>
      </c>
      <c r="G101" t="inlineStr">
        <is>
          <t>bar3,</t>
        </is>
      </c>
      <c r="H101" t="inlineStr">
        <is>
          <t>barrier</t>
        </is>
      </c>
      <c r="I101" t="inlineStr">
        <is>
          <t>IL:</t>
        </is>
      </c>
      <c r="J101" t="n">
        <v>12</v>
      </c>
      <c r="M101">
        <f>C100</f>
        <v/>
      </c>
      <c r="N101">
        <f>E100</f>
        <v/>
      </c>
      <c r="O101">
        <f>G100</f>
        <v/>
      </c>
      <c r="P101">
        <f>J100</f>
        <v/>
      </c>
    </row>
    <row r="102">
      <c r="B102" t="inlineStr">
        <is>
          <t>eqmt:</t>
        </is>
      </c>
      <c r="C102" t="inlineStr">
        <is>
          <t>RCU-R(2p)1,</t>
        </is>
      </c>
      <c r="D102" t="inlineStr">
        <is>
          <t>rcvr:</t>
        </is>
      </c>
      <c r="E102" t="inlineStr">
        <is>
          <t>R3,</t>
        </is>
      </c>
      <c r="F102" t="inlineStr">
        <is>
          <t>bar:</t>
        </is>
      </c>
      <c r="G102" t="inlineStr">
        <is>
          <t>bar3,</t>
        </is>
      </c>
      <c r="H102" t="inlineStr">
        <is>
          <t>barrier</t>
        </is>
      </c>
      <c r="I102" t="inlineStr">
        <is>
          <t>IL:</t>
        </is>
      </c>
      <c r="J102" t="n">
        <v>11</v>
      </c>
      <c r="M102">
        <f>C101</f>
        <v/>
      </c>
      <c r="N102">
        <f>E101</f>
        <v/>
      </c>
      <c r="O102">
        <f>G101</f>
        <v/>
      </c>
      <c r="P102">
        <f>J101</f>
        <v/>
      </c>
    </row>
    <row r="103">
      <c r="B103" t="inlineStr">
        <is>
          <t>eqmt:</t>
        </is>
      </c>
      <c r="C103" t="inlineStr">
        <is>
          <t>RCU-R(4p)4,</t>
        </is>
      </c>
      <c r="D103" t="inlineStr">
        <is>
          <t>rcvr:</t>
        </is>
      </c>
      <c r="E103" t="inlineStr">
        <is>
          <t>R3,</t>
        </is>
      </c>
      <c r="F103" t="inlineStr">
        <is>
          <t>bar:</t>
        </is>
      </c>
      <c r="G103" t="inlineStr">
        <is>
          <t>bar3,</t>
        </is>
      </c>
      <c r="H103" t="inlineStr">
        <is>
          <t>barrier</t>
        </is>
      </c>
      <c r="I103" t="inlineStr">
        <is>
          <t>IL:</t>
        </is>
      </c>
      <c r="J103" t="n">
        <v>10</v>
      </c>
      <c r="M103">
        <f>C102</f>
        <v/>
      </c>
      <c r="N103">
        <f>E102</f>
        <v/>
      </c>
      <c r="O103">
        <f>G102</f>
        <v/>
      </c>
      <c r="P103">
        <f>J102</f>
        <v/>
      </c>
    </row>
    <row r="104">
      <c r="B104" t="inlineStr">
        <is>
          <t>eqmt:</t>
        </is>
      </c>
      <c r="C104" t="inlineStr">
        <is>
          <t>RCU-R(2p)2,</t>
        </is>
      </c>
      <c r="D104" t="inlineStr">
        <is>
          <t>rcvr:</t>
        </is>
      </c>
      <c r="E104" t="inlineStr">
        <is>
          <t>R3,</t>
        </is>
      </c>
      <c r="F104" t="inlineStr">
        <is>
          <t>bar:</t>
        </is>
      </c>
      <c r="G104" t="inlineStr">
        <is>
          <t>bar3,</t>
        </is>
      </c>
      <c r="H104" t="inlineStr">
        <is>
          <t>barrier</t>
        </is>
      </c>
      <c r="I104" t="inlineStr">
        <is>
          <t>IL:</t>
        </is>
      </c>
      <c r="J104" t="n">
        <v>11</v>
      </c>
      <c r="M104">
        <f>C103</f>
        <v/>
      </c>
      <c r="N104">
        <f>E103</f>
        <v/>
      </c>
      <c r="O104">
        <f>G103</f>
        <v/>
      </c>
      <c r="P104">
        <f>J103</f>
        <v/>
      </c>
    </row>
    <row r="105">
      <c r="B105" t="inlineStr">
        <is>
          <t>eqmt:</t>
        </is>
      </c>
      <c r="C105" t="inlineStr">
        <is>
          <t>RCU-R(2p)3,</t>
        </is>
      </c>
      <c r="D105" t="inlineStr">
        <is>
          <t>rcvr:</t>
        </is>
      </c>
      <c r="E105" t="inlineStr">
        <is>
          <t>R3,</t>
        </is>
      </c>
      <c r="F105" t="inlineStr">
        <is>
          <t>bar:</t>
        </is>
      </c>
      <c r="G105" t="inlineStr">
        <is>
          <t>bar3,</t>
        </is>
      </c>
      <c r="H105" t="inlineStr">
        <is>
          <t>barrier</t>
        </is>
      </c>
      <c r="I105" t="inlineStr">
        <is>
          <t>IL:</t>
        </is>
      </c>
      <c r="J105" t="n">
        <v>12</v>
      </c>
      <c r="M105">
        <f>C104</f>
        <v/>
      </c>
      <c r="N105">
        <f>E104</f>
        <v/>
      </c>
      <c r="O105">
        <f>G104</f>
        <v/>
      </c>
      <c r="P105">
        <f>J104</f>
        <v/>
      </c>
    </row>
    <row r="106">
      <c r="B106" t="inlineStr">
        <is>
          <t>eqmt:</t>
        </is>
      </c>
      <c r="C106" t="inlineStr">
        <is>
          <t>RCU-R(2p)4,</t>
        </is>
      </c>
      <c r="D106" t="inlineStr">
        <is>
          <t>rcvr:</t>
        </is>
      </c>
      <c r="E106" t="inlineStr">
        <is>
          <t>R3,</t>
        </is>
      </c>
      <c r="F106" t="inlineStr">
        <is>
          <t>bar:</t>
        </is>
      </c>
      <c r="G106" t="inlineStr">
        <is>
          <t>bar3,</t>
        </is>
      </c>
      <c r="H106" t="inlineStr">
        <is>
          <t>barrier</t>
        </is>
      </c>
      <c r="I106" t="inlineStr">
        <is>
          <t>IL:</t>
        </is>
      </c>
      <c r="J106" t="n">
        <v>12</v>
      </c>
      <c r="M106">
        <f>C105</f>
        <v/>
      </c>
      <c r="N106">
        <f>E105</f>
        <v/>
      </c>
      <c r="O106">
        <f>G105</f>
        <v/>
      </c>
      <c r="P106">
        <f>J105</f>
        <v/>
      </c>
    </row>
    <row r="107">
      <c r="B107" t="inlineStr">
        <is>
          <t>eqmt:</t>
        </is>
      </c>
      <c r="C107" t="inlineStr">
        <is>
          <t>RCU-R(2p)5,</t>
        </is>
      </c>
      <c r="D107" t="inlineStr">
        <is>
          <t>rcvr:</t>
        </is>
      </c>
      <c r="E107" t="inlineStr">
        <is>
          <t>R3,</t>
        </is>
      </c>
      <c r="F107" t="inlineStr">
        <is>
          <t>bar:</t>
        </is>
      </c>
      <c r="G107" t="inlineStr">
        <is>
          <t>bar3,</t>
        </is>
      </c>
      <c r="H107" t="inlineStr">
        <is>
          <t>barrier</t>
        </is>
      </c>
      <c r="I107" t="inlineStr">
        <is>
          <t>IL:</t>
        </is>
      </c>
      <c r="J107" t="n">
        <v>12</v>
      </c>
      <c r="M107">
        <f>C106</f>
        <v/>
      </c>
      <c r="N107">
        <f>E106</f>
        <v/>
      </c>
      <c r="O107">
        <f>G106</f>
        <v/>
      </c>
      <c r="P107">
        <f>J106</f>
        <v/>
      </c>
    </row>
    <row r="108">
      <c r="B108" t="inlineStr">
        <is>
          <t>eqmt:</t>
        </is>
      </c>
      <c r="C108" t="inlineStr">
        <is>
          <t>RCU-R(2p)6,</t>
        </is>
      </c>
      <c r="D108" t="inlineStr">
        <is>
          <t>rcvr:</t>
        </is>
      </c>
      <c r="E108" t="inlineStr">
        <is>
          <t>R3,</t>
        </is>
      </c>
      <c r="F108" t="inlineStr">
        <is>
          <t>bar:</t>
        </is>
      </c>
      <c r="G108" t="inlineStr">
        <is>
          <t>bar4,</t>
        </is>
      </c>
      <c r="H108" t="inlineStr">
        <is>
          <t>barrier</t>
        </is>
      </c>
      <c r="I108" t="inlineStr">
        <is>
          <t>IL:</t>
        </is>
      </c>
      <c r="J108" t="n">
        <v>15</v>
      </c>
      <c r="M108">
        <f>C107</f>
        <v/>
      </c>
      <c r="N108">
        <f>E107</f>
        <v/>
      </c>
      <c r="O108">
        <f>G107</f>
        <v/>
      </c>
      <c r="P108">
        <f>J107</f>
        <v/>
      </c>
    </row>
    <row r="109">
      <c r="B109" t="inlineStr">
        <is>
          <t>eqmt:</t>
        </is>
      </c>
      <c r="C109" t="inlineStr">
        <is>
          <t>BEF-R01-,</t>
        </is>
      </c>
      <c r="D109" t="inlineStr">
        <is>
          <t>rcvr:</t>
        </is>
      </c>
      <c r="E109" t="inlineStr">
        <is>
          <t>R3,</t>
        </is>
      </c>
      <c r="F109" t="inlineStr">
        <is>
          <t>bar:</t>
        </is>
      </c>
      <c r="G109" t="inlineStr">
        <is>
          <t>None,</t>
        </is>
      </c>
      <c r="H109" t="inlineStr">
        <is>
          <t>barrier</t>
        </is>
      </c>
      <c r="I109" t="inlineStr">
        <is>
          <t>IL:</t>
        </is>
      </c>
      <c r="J109" t="n">
        <v>0</v>
      </c>
      <c r="M109">
        <f>C108</f>
        <v/>
      </c>
      <c r="N109">
        <f>E108</f>
        <v/>
      </c>
      <c r="O109">
        <f>G108</f>
        <v/>
      </c>
      <c r="P109">
        <f>J108</f>
        <v/>
      </c>
    </row>
    <row r="110">
      <c r="B110" t="inlineStr">
        <is>
          <t>eqmt:</t>
        </is>
      </c>
      <c r="C110" t="inlineStr">
        <is>
          <t>BEF-R02-,</t>
        </is>
      </c>
      <c r="D110" t="inlineStr">
        <is>
          <t>rcvr:</t>
        </is>
      </c>
      <c r="E110" t="inlineStr">
        <is>
          <t>R3,</t>
        </is>
      </c>
      <c r="F110" t="inlineStr">
        <is>
          <t>bar:</t>
        </is>
      </c>
      <c r="G110" t="inlineStr">
        <is>
          <t>bar2,</t>
        </is>
      </c>
      <c r="H110" t="inlineStr">
        <is>
          <t>barrier</t>
        </is>
      </c>
      <c r="I110" t="inlineStr">
        <is>
          <t>IL:</t>
        </is>
      </c>
      <c r="J110" t="n">
        <v>10</v>
      </c>
      <c r="M110">
        <f>C109</f>
        <v/>
      </c>
      <c r="N110">
        <f>E109</f>
        <v/>
      </c>
      <c r="O110">
        <f>G109</f>
        <v/>
      </c>
      <c r="P110">
        <f>J109</f>
        <v/>
      </c>
    </row>
    <row r="111">
      <c r="B111" t="inlineStr">
        <is>
          <t>eqmt:</t>
        </is>
      </c>
      <c r="C111" t="inlineStr">
        <is>
          <t>BEF-R03-,</t>
        </is>
      </c>
      <c r="D111" t="inlineStr">
        <is>
          <t>rcvr:</t>
        </is>
      </c>
      <c r="E111" t="inlineStr">
        <is>
          <t>R3,</t>
        </is>
      </c>
      <c r="F111" t="inlineStr">
        <is>
          <t>bar:</t>
        </is>
      </c>
      <c r="G111" t="inlineStr">
        <is>
          <t>bar3,</t>
        </is>
      </c>
      <c r="H111" t="inlineStr">
        <is>
          <t>barrier</t>
        </is>
      </c>
      <c r="I111" t="inlineStr">
        <is>
          <t>IL:</t>
        </is>
      </c>
      <c r="J111" t="n">
        <v>11</v>
      </c>
      <c r="M111">
        <f>C110</f>
        <v/>
      </c>
      <c r="N111">
        <f>E110</f>
        <v/>
      </c>
      <c r="O111">
        <f>G110</f>
        <v/>
      </c>
      <c r="P111">
        <f>J110</f>
        <v/>
      </c>
    </row>
    <row r="112">
      <c r="B112" t="inlineStr">
        <is>
          <t>eqmt:</t>
        </is>
      </c>
      <c r="C112" t="inlineStr">
        <is>
          <t>BEF-R04-,</t>
        </is>
      </c>
      <c r="D112" t="inlineStr">
        <is>
          <t>rcvr:</t>
        </is>
      </c>
      <c r="E112" t="inlineStr">
        <is>
          <t>R3,</t>
        </is>
      </c>
      <c r="F112" t="inlineStr">
        <is>
          <t>bar:</t>
        </is>
      </c>
      <c r="G112" t="inlineStr">
        <is>
          <t>bar3,</t>
        </is>
      </c>
      <c r="H112" t="inlineStr">
        <is>
          <t>barrier</t>
        </is>
      </c>
      <c r="I112" t="inlineStr">
        <is>
          <t>IL:</t>
        </is>
      </c>
      <c r="J112" t="n">
        <v>11</v>
      </c>
      <c r="M112">
        <f>C111</f>
        <v/>
      </c>
      <c r="N112">
        <f>E111</f>
        <v/>
      </c>
      <c r="O112">
        <f>G111</f>
        <v/>
      </c>
      <c r="P112">
        <f>J111</f>
        <v/>
      </c>
    </row>
    <row r="113">
      <c r="B113" t="inlineStr">
        <is>
          <t>eqmt:</t>
        </is>
      </c>
      <c r="C113" t="inlineStr">
        <is>
          <t>BEF-R05-,</t>
        </is>
      </c>
      <c r="D113" t="inlineStr">
        <is>
          <t>rcvr:</t>
        </is>
      </c>
      <c r="E113" t="inlineStr">
        <is>
          <t>R3,</t>
        </is>
      </c>
      <c r="F113" t="inlineStr">
        <is>
          <t>bar:</t>
        </is>
      </c>
      <c r="G113" t="inlineStr">
        <is>
          <t>bar3,</t>
        </is>
      </c>
      <c r="H113" t="inlineStr">
        <is>
          <t>barrier</t>
        </is>
      </c>
      <c r="I113" t="inlineStr">
        <is>
          <t>IL:</t>
        </is>
      </c>
      <c r="J113" t="n">
        <v>11</v>
      </c>
      <c r="M113">
        <f>C112</f>
        <v/>
      </c>
      <c r="N113">
        <f>E112</f>
        <v/>
      </c>
      <c r="O113">
        <f>G112</f>
        <v/>
      </c>
      <c r="P113">
        <f>J112</f>
        <v/>
      </c>
    </row>
    <row r="114">
      <c r="B114" t="inlineStr">
        <is>
          <t>eqmt:</t>
        </is>
      </c>
      <c r="C114" t="inlineStr">
        <is>
          <t>BEF-R06-,</t>
        </is>
      </c>
      <c r="D114" t="inlineStr">
        <is>
          <t>rcvr:</t>
        </is>
      </c>
      <c r="E114" t="inlineStr">
        <is>
          <t>R3,</t>
        </is>
      </c>
      <c r="F114" t="inlineStr">
        <is>
          <t>bar:</t>
        </is>
      </c>
      <c r="G114" t="inlineStr">
        <is>
          <t>bar3,</t>
        </is>
      </c>
      <c r="H114" t="inlineStr">
        <is>
          <t>barrier</t>
        </is>
      </c>
      <c r="I114" t="inlineStr">
        <is>
          <t>IL:</t>
        </is>
      </c>
      <c r="J114" t="n">
        <v>7</v>
      </c>
      <c r="M114">
        <f>C113</f>
        <v/>
      </c>
      <c r="N114">
        <f>E113</f>
        <v/>
      </c>
      <c r="O114">
        <f>G113</f>
        <v/>
      </c>
      <c r="P114">
        <f>J113</f>
        <v/>
      </c>
    </row>
    <row r="115">
      <c r="B115" t="inlineStr">
        <is>
          <t>eqmt:</t>
        </is>
      </c>
      <c r="C115" t="inlineStr">
        <is>
          <t>BEF-R07-,</t>
        </is>
      </c>
      <c r="D115" t="inlineStr">
        <is>
          <t>rcvr:</t>
        </is>
      </c>
      <c r="E115" t="inlineStr">
        <is>
          <t>R3,</t>
        </is>
      </c>
      <c r="F115" t="inlineStr">
        <is>
          <t>bar:</t>
        </is>
      </c>
      <c r="G115" t="inlineStr">
        <is>
          <t>None,</t>
        </is>
      </c>
      <c r="H115" t="inlineStr">
        <is>
          <t>barrier</t>
        </is>
      </c>
      <c r="I115" t="inlineStr">
        <is>
          <t>IL:</t>
        </is>
      </c>
      <c r="J115" t="n">
        <v>0</v>
      </c>
      <c r="M115">
        <f>C114</f>
        <v/>
      </c>
      <c r="N115">
        <f>E114</f>
        <v/>
      </c>
      <c r="O115">
        <f>G114</f>
        <v/>
      </c>
      <c r="P115">
        <f>J114</f>
        <v/>
      </c>
    </row>
    <row r="116">
      <c r="B116" t="inlineStr">
        <is>
          <t>eqmt:</t>
        </is>
      </c>
      <c r="C116" t="inlineStr">
        <is>
          <t>BEF-R08-,</t>
        </is>
      </c>
      <c r="D116" t="inlineStr">
        <is>
          <t>rcvr:</t>
        </is>
      </c>
      <c r="E116" t="inlineStr">
        <is>
          <t>R3,</t>
        </is>
      </c>
      <c r="F116" t="inlineStr">
        <is>
          <t>bar:</t>
        </is>
      </c>
      <c r="G116" t="inlineStr">
        <is>
          <t>bar5,</t>
        </is>
      </c>
      <c r="H116" t="inlineStr">
        <is>
          <t>barrier</t>
        </is>
      </c>
      <c r="I116" t="inlineStr">
        <is>
          <t>IL:</t>
        </is>
      </c>
      <c r="J116" t="n">
        <v>8</v>
      </c>
      <c r="M116">
        <f>C115</f>
        <v/>
      </c>
      <c r="N116">
        <f>E115</f>
        <v/>
      </c>
      <c r="O116">
        <f>G115</f>
        <v/>
      </c>
      <c r="P116">
        <f>J115</f>
        <v/>
      </c>
    </row>
    <row r="117">
      <c r="B117" t="inlineStr">
        <is>
          <t>eqmt:</t>
        </is>
      </c>
      <c r="C117" t="inlineStr">
        <is>
          <t>BEF-R09-,</t>
        </is>
      </c>
      <c r="D117" t="inlineStr">
        <is>
          <t>rcvr:</t>
        </is>
      </c>
      <c r="E117" t="inlineStr">
        <is>
          <t>R3,</t>
        </is>
      </c>
      <c r="F117" t="inlineStr">
        <is>
          <t>bar:</t>
        </is>
      </c>
      <c r="G117" t="inlineStr">
        <is>
          <t>bar5,</t>
        </is>
      </c>
      <c r="H117" t="inlineStr">
        <is>
          <t>barrier</t>
        </is>
      </c>
      <c r="I117" t="inlineStr">
        <is>
          <t>IL:</t>
        </is>
      </c>
      <c r="J117" t="n">
        <v>14</v>
      </c>
      <c r="M117">
        <f>C116</f>
        <v/>
      </c>
      <c r="N117">
        <f>E116</f>
        <v/>
      </c>
      <c r="O117">
        <f>G116</f>
        <v/>
      </c>
      <c r="P117">
        <f>J116</f>
        <v/>
      </c>
    </row>
    <row r="118">
      <c r="B118" t="inlineStr">
        <is>
          <t>eqmt:</t>
        </is>
      </c>
      <c r="C118" t="inlineStr">
        <is>
          <t>BEF-R10-,</t>
        </is>
      </c>
      <c r="D118" t="inlineStr">
        <is>
          <t>rcvr:</t>
        </is>
      </c>
      <c r="E118" t="inlineStr">
        <is>
          <t>R3,</t>
        </is>
      </c>
      <c r="F118" t="inlineStr">
        <is>
          <t>bar:</t>
        </is>
      </c>
      <c r="G118" t="inlineStr">
        <is>
          <t>bar5,</t>
        </is>
      </c>
      <c r="H118" t="inlineStr">
        <is>
          <t>barrier</t>
        </is>
      </c>
      <c r="I118" t="inlineStr">
        <is>
          <t>IL:</t>
        </is>
      </c>
      <c r="J118" t="n">
        <v>15</v>
      </c>
      <c r="M118">
        <f>C117</f>
        <v/>
      </c>
      <c r="N118">
        <f>E117</f>
        <v/>
      </c>
      <c r="O118">
        <f>G117</f>
        <v/>
      </c>
      <c r="P118">
        <f>J117</f>
        <v/>
      </c>
    </row>
    <row r="119">
      <c r="B119" t="inlineStr">
        <is>
          <t>eqmt:</t>
        </is>
      </c>
      <c r="C119" t="inlineStr">
        <is>
          <t>BEF-R11-,</t>
        </is>
      </c>
      <c r="D119" t="inlineStr">
        <is>
          <t>rcvr:</t>
        </is>
      </c>
      <c r="E119" t="inlineStr">
        <is>
          <t>R3,</t>
        </is>
      </c>
      <c r="F119" t="inlineStr">
        <is>
          <t>bar:</t>
        </is>
      </c>
      <c r="G119" t="inlineStr">
        <is>
          <t>bar5,</t>
        </is>
      </c>
      <c r="H119" t="inlineStr">
        <is>
          <t>barrier</t>
        </is>
      </c>
      <c r="I119" t="inlineStr">
        <is>
          <t>IL:</t>
        </is>
      </c>
      <c r="J119" t="n">
        <v>15</v>
      </c>
      <c r="M119">
        <f>C118</f>
        <v/>
      </c>
      <c r="N119">
        <f>E118</f>
        <v/>
      </c>
      <c r="O119">
        <f>G118</f>
        <v/>
      </c>
      <c r="P119">
        <f>J118</f>
        <v/>
      </c>
    </row>
    <row r="120">
      <c r="B120" t="inlineStr">
        <is>
          <t>eqmt:</t>
        </is>
      </c>
      <c r="C120" t="inlineStr">
        <is>
          <t>BEF-R12-,</t>
        </is>
      </c>
      <c r="D120" t="inlineStr">
        <is>
          <t>rcvr:</t>
        </is>
      </c>
      <c r="E120" t="inlineStr">
        <is>
          <t>R3,</t>
        </is>
      </c>
      <c r="F120" t="inlineStr">
        <is>
          <t>bar:</t>
        </is>
      </c>
      <c r="G120" t="inlineStr">
        <is>
          <t>bar3,</t>
        </is>
      </c>
      <c r="H120" t="inlineStr">
        <is>
          <t>barrier</t>
        </is>
      </c>
      <c r="I120" t="inlineStr">
        <is>
          <t>IL:</t>
        </is>
      </c>
      <c r="J120" t="n">
        <v>12</v>
      </c>
      <c r="M120">
        <f>C119</f>
        <v/>
      </c>
      <c r="N120">
        <f>E119</f>
        <v/>
      </c>
      <c r="O120">
        <f>G119</f>
        <v/>
      </c>
      <c r="P120">
        <f>J119</f>
        <v/>
      </c>
    </row>
    <row r="121">
      <c r="B121" t="inlineStr">
        <is>
          <t>eqmt:</t>
        </is>
      </c>
      <c r="C121" t="inlineStr">
        <is>
          <t>BEF-R13-,</t>
        </is>
      </c>
      <c r="D121" t="inlineStr">
        <is>
          <t>rcvr:</t>
        </is>
      </c>
      <c r="E121" t="inlineStr">
        <is>
          <t>R3,</t>
        </is>
      </c>
      <c r="F121" t="inlineStr">
        <is>
          <t>bar:</t>
        </is>
      </c>
      <c r="G121" t="inlineStr">
        <is>
          <t>bar3,</t>
        </is>
      </c>
      <c r="H121" t="inlineStr">
        <is>
          <t>barrier</t>
        </is>
      </c>
      <c r="I121" t="inlineStr">
        <is>
          <t>IL:</t>
        </is>
      </c>
      <c r="J121" t="n">
        <v>12</v>
      </c>
      <c r="M121">
        <f>C120</f>
        <v/>
      </c>
      <c r="N121">
        <f>E120</f>
        <v/>
      </c>
      <c r="O121">
        <f>G120</f>
        <v/>
      </c>
      <c r="P121">
        <f>J120</f>
        <v/>
      </c>
    </row>
    <row r="122">
      <c r="B122" t="inlineStr">
        <is>
          <t>eqmt:</t>
        </is>
      </c>
      <c r="C122" t="inlineStr">
        <is>
          <t>BEF-R14-,</t>
        </is>
      </c>
      <c r="D122" t="inlineStr">
        <is>
          <t>rcvr:</t>
        </is>
      </c>
      <c r="E122" t="inlineStr">
        <is>
          <t>R3,</t>
        </is>
      </c>
      <c r="F122" t="inlineStr">
        <is>
          <t>bar:</t>
        </is>
      </c>
      <c r="G122" t="inlineStr">
        <is>
          <t>bar3,</t>
        </is>
      </c>
      <c r="H122" t="inlineStr">
        <is>
          <t>barrier</t>
        </is>
      </c>
      <c r="I122" t="inlineStr">
        <is>
          <t>IL:</t>
        </is>
      </c>
      <c r="J122" t="n">
        <v>11</v>
      </c>
      <c r="M122">
        <f>C121</f>
        <v/>
      </c>
      <c r="N122">
        <f>E121</f>
        <v/>
      </c>
      <c r="O122">
        <f>G121</f>
        <v/>
      </c>
      <c r="P122">
        <f>J121</f>
        <v/>
      </c>
    </row>
    <row r="123">
      <c r="B123" t="inlineStr">
        <is>
          <t>eqmt:</t>
        </is>
      </c>
      <c r="C123" t="inlineStr">
        <is>
          <t>BEF-R15-,</t>
        </is>
      </c>
      <c r="D123" t="inlineStr">
        <is>
          <t>rcvr:</t>
        </is>
      </c>
      <c r="E123" t="inlineStr">
        <is>
          <t>R3,</t>
        </is>
      </c>
      <c r="F123" t="inlineStr">
        <is>
          <t>bar:</t>
        </is>
      </c>
      <c r="G123" t="inlineStr">
        <is>
          <t>bar3,</t>
        </is>
      </c>
      <c r="H123" t="inlineStr">
        <is>
          <t>barrier</t>
        </is>
      </c>
      <c r="I123" t="inlineStr">
        <is>
          <t>IL:</t>
        </is>
      </c>
      <c r="J123" t="n">
        <v>11</v>
      </c>
      <c r="M123">
        <f>C122</f>
        <v/>
      </c>
      <c r="N123">
        <f>E122</f>
        <v/>
      </c>
      <c r="O123">
        <f>G122</f>
        <v/>
      </c>
      <c r="P123">
        <f>J122</f>
        <v/>
      </c>
    </row>
    <row r="124">
      <c r="B124" t="inlineStr">
        <is>
          <t>eqmt:</t>
        </is>
      </c>
      <c r="C124" t="inlineStr">
        <is>
          <t>BEF-R16-,</t>
        </is>
      </c>
      <c r="D124" t="inlineStr">
        <is>
          <t>rcvr:</t>
        </is>
      </c>
      <c r="E124" t="inlineStr">
        <is>
          <t>R3,</t>
        </is>
      </c>
      <c r="F124" t="inlineStr">
        <is>
          <t>bar:</t>
        </is>
      </c>
      <c r="G124" t="inlineStr">
        <is>
          <t>bar4,</t>
        </is>
      </c>
      <c r="H124" t="inlineStr">
        <is>
          <t>barrier</t>
        </is>
      </c>
      <c r="I124" t="inlineStr">
        <is>
          <t>IL:</t>
        </is>
      </c>
      <c r="J124" t="n">
        <v>15</v>
      </c>
      <c r="M124">
        <f>C123</f>
        <v/>
      </c>
      <c r="N124">
        <f>E123</f>
        <v/>
      </c>
      <c r="O124">
        <f>G123</f>
        <v/>
      </c>
      <c r="P124">
        <f>J123</f>
        <v/>
      </c>
    </row>
    <row r="125">
      <c r="B125" t="inlineStr">
        <is>
          <t>r_name:</t>
        </is>
      </c>
      <c r="C125" t="inlineStr">
        <is>
          <t>R4</t>
        </is>
      </c>
      <c r="D125" t="inlineStr">
        <is>
          <t>x:</t>
        </is>
      </c>
      <c r="E125" t="inlineStr">
        <is>
          <t>316.86,</t>
        </is>
      </c>
      <c r="F125" t="inlineStr">
        <is>
          <t>y:</t>
        </is>
      </c>
      <c r="G125" t="inlineStr">
        <is>
          <t>86.55,</t>
        </is>
      </c>
      <c r="H125" t="inlineStr">
        <is>
          <t>z:</t>
        </is>
      </c>
      <c r="I125" t="n">
        <v>40</v>
      </c>
      <c r="M125">
        <f>C124</f>
        <v/>
      </c>
      <c r="N125">
        <f>E124</f>
        <v/>
      </c>
      <c r="O125">
        <f>G124</f>
        <v/>
      </c>
      <c r="P125">
        <f>J124</f>
        <v/>
      </c>
    </row>
    <row r="126">
      <c r="B126" t="inlineStr">
        <is>
          <t>eqmt:</t>
        </is>
      </c>
      <c r="C126" t="inlineStr">
        <is>
          <t>MAU-R1,</t>
        </is>
      </c>
      <c r="D126" t="inlineStr">
        <is>
          <t>rcvr:</t>
        </is>
      </c>
      <c r="E126" t="inlineStr">
        <is>
          <t>R4,</t>
        </is>
      </c>
      <c r="F126" t="inlineStr">
        <is>
          <t>bar:</t>
        </is>
      </c>
      <c r="G126" t="inlineStr">
        <is>
          <t>bar12,</t>
        </is>
      </c>
      <c r="H126" t="inlineStr">
        <is>
          <t>barrier</t>
        </is>
      </c>
      <c r="I126" t="inlineStr">
        <is>
          <t>IL:</t>
        </is>
      </c>
      <c r="J126" t="n">
        <v>12</v>
      </c>
      <c r="M126" s="77">
        <f>C125</f>
        <v/>
      </c>
      <c r="N126">
        <f>E125</f>
        <v/>
      </c>
      <c r="O126">
        <f>G125</f>
        <v/>
      </c>
      <c r="P126">
        <f>J125</f>
        <v/>
      </c>
    </row>
    <row r="127">
      <c r="B127" t="inlineStr">
        <is>
          <t>eqmt:</t>
        </is>
      </c>
      <c r="C127" t="inlineStr">
        <is>
          <t>ERV-R.1,</t>
        </is>
      </c>
      <c r="D127" t="inlineStr">
        <is>
          <t>rcvr:</t>
        </is>
      </c>
      <c r="E127" t="inlineStr">
        <is>
          <t>R4,</t>
        </is>
      </c>
      <c r="F127" t="inlineStr">
        <is>
          <t>bar:</t>
        </is>
      </c>
      <c r="G127" t="inlineStr">
        <is>
          <t>bar12,</t>
        </is>
      </c>
      <c r="H127" t="inlineStr">
        <is>
          <t>barrier</t>
        </is>
      </c>
      <c r="I127" t="inlineStr">
        <is>
          <t>IL:</t>
        </is>
      </c>
      <c r="J127" t="n">
        <v>11</v>
      </c>
      <c r="M127">
        <f>C126</f>
        <v/>
      </c>
      <c r="N127">
        <f>E126</f>
        <v/>
      </c>
      <c r="O127">
        <f>G126</f>
        <v/>
      </c>
      <c r="P127">
        <f>J126</f>
        <v/>
      </c>
    </row>
    <row r="128">
      <c r="B128" t="inlineStr">
        <is>
          <t>eqmt:</t>
        </is>
      </c>
      <c r="C128" t="inlineStr">
        <is>
          <t>GEF-R1-,</t>
        </is>
      </c>
      <c r="D128" t="inlineStr">
        <is>
          <t>rcvr:</t>
        </is>
      </c>
      <c r="E128" t="inlineStr">
        <is>
          <t>R4,</t>
        </is>
      </c>
      <c r="F128" t="inlineStr">
        <is>
          <t>bar:</t>
        </is>
      </c>
      <c r="G128" t="inlineStr">
        <is>
          <t>bar6,</t>
        </is>
      </c>
      <c r="H128" t="inlineStr">
        <is>
          <t>barrier</t>
        </is>
      </c>
      <c r="I128" t="inlineStr">
        <is>
          <t>IL:</t>
        </is>
      </c>
      <c r="J128" t="n">
        <v>8</v>
      </c>
      <c r="M128">
        <f>C127</f>
        <v/>
      </c>
      <c r="N128">
        <f>E127</f>
        <v/>
      </c>
      <c r="O128">
        <f>G127</f>
        <v/>
      </c>
      <c r="P128">
        <f>J127</f>
        <v/>
      </c>
    </row>
    <row r="129">
      <c r="B129" t="inlineStr">
        <is>
          <t>eqmt:</t>
        </is>
      </c>
      <c r="C129" t="inlineStr">
        <is>
          <t>DEF-R1,-R2,</t>
        </is>
      </c>
      <c r="D129" t="inlineStr">
        <is>
          <t>rcvr:</t>
        </is>
      </c>
      <c r="E129" t="inlineStr">
        <is>
          <t>R4,</t>
        </is>
      </c>
      <c r="F129" t="inlineStr">
        <is>
          <t>bar:</t>
        </is>
      </c>
      <c r="G129" t="inlineStr">
        <is>
          <t>bar12,</t>
        </is>
      </c>
      <c r="H129" t="inlineStr">
        <is>
          <t>barrier</t>
        </is>
      </c>
      <c r="I129" t="inlineStr">
        <is>
          <t>IL:</t>
        </is>
      </c>
      <c r="J129" t="n">
        <v>10</v>
      </c>
      <c r="M129">
        <f>C128</f>
        <v/>
      </c>
      <c r="N129">
        <f>E128</f>
        <v/>
      </c>
      <c r="O129">
        <f>G128</f>
        <v/>
      </c>
      <c r="P129">
        <f>J128</f>
        <v/>
      </c>
    </row>
    <row r="130">
      <c r="B130" t="inlineStr">
        <is>
          <t>eqmt:</t>
        </is>
      </c>
      <c r="C130" t="inlineStr">
        <is>
          <t>KEF-R1-,</t>
        </is>
      </c>
      <c r="D130" t="inlineStr">
        <is>
          <t>rcvr:</t>
        </is>
      </c>
      <c r="E130" t="inlineStr">
        <is>
          <t>R4,</t>
        </is>
      </c>
      <c r="F130" t="inlineStr">
        <is>
          <t>bar:</t>
        </is>
      </c>
      <c r="G130" t="inlineStr">
        <is>
          <t>bar12,</t>
        </is>
      </c>
      <c r="H130" t="inlineStr">
        <is>
          <t>barrier</t>
        </is>
      </c>
      <c r="I130" t="inlineStr">
        <is>
          <t>IL:</t>
        </is>
      </c>
      <c r="J130" t="n">
        <v>12</v>
      </c>
      <c r="M130">
        <f>C129</f>
        <v/>
      </c>
      <c r="N130">
        <f>E129</f>
        <v/>
      </c>
      <c r="O130">
        <f>G129</f>
        <v/>
      </c>
      <c r="P130">
        <f>J129</f>
        <v/>
      </c>
    </row>
    <row r="131">
      <c r="B131" t="inlineStr">
        <is>
          <t>eqmt:</t>
        </is>
      </c>
      <c r="C131" t="inlineStr">
        <is>
          <t>DWEF-R1,</t>
        </is>
      </c>
      <c r="D131" t="inlineStr">
        <is>
          <t>rcvr:</t>
        </is>
      </c>
      <c r="E131" t="inlineStr">
        <is>
          <t>R4,</t>
        </is>
      </c>
      <c r="F131" t="inlineStr">
        <is>
          <t>bar:</t>
        </is>
      </c>
      <c r="G131" t="inlineStr">
        <is>
          <t>bar12,</t>
        </is>
      </c>
      <c r="H131" t="inlineStr">
        <is>
          <t>barrier</t>
        </is>
      </c>
      <c r="I131" t="inlineStr">
        <is>
          <t>IL:</t>
        </is>
      </c>
      <c r="J131" t="n">
        <v>12</v>
      </c>
      <c r="M131">
        <f>C130</f>
        <v/>
      </c>
      <c r="N131">
        <f>E130</f>
        <v/>
      </c>
      <c r="O131">
        <f>G130</f>
        <v/>
      </c>
      <c r="P131">
        <f>J130</f>
        <v/>
      </c>
    </row>
    <row r="132">
      <c r="B132" t="inlineStr">
        <is>
          <t>eqmt:</t>
        </is>
      </c>
      <c r="C132" t="inlineStr">
        <is>
          <t>CU-R1,</t>
        </is>
      </c>
      <c r="D132" t="inlineStr">
        <is>
          <t>rcvr:</t>
        </is>
      </c>
      <c r="E132" t="inlineStr">
        <is>
          <t>R4,</t>
        </is>
      </c>
      <c r="F132" t="inlineStr">
        <is>
          <t>bar:</t>
        </is>
      </c>
      <c r="G132" t="inlineStr">
        <is>
          <t>bar12,</t>
        </is>
      </c>
      <c r="H132" t="inlineStr">
        <is>
          <t>barrier</t>
        </is>
      </c>
      <c r="I132" t="inlineStr">
        <is>
          <t>IL:</t>
        </is>
      </c>
      <c r="J132" t="n">
        <v>9</v>
      </c>
      <c r="M132">
        <f>C131</f>
        <v/>
      </c>
      <c r="N132">
        <f>E131</f>
        <v/>
      </c>
      <c r="O132">
        <f>G131</f>
        <v/>
      </c>
      <c r="P132">
        <f>J131</f>
        <v/>
      </c>
    </row>
    <row r="133">
      <c r="B133" t="inlineStr">
        <is>
          <t>eqmt:</t>
        </is>
      </c>
      <c r="C133" t="inlineStr">
        <is>
          <t>CU-R2,</t>
        </is>
      </c>
      <c r="D133" t="inlineStr">
        <is>
          <t>rcvr:</t>
        </is>
      </c>
      <c r="E133" t="inlineStr">
        <is>
          <t>R4,</t>
        </is>
      </c>
      <c r="F133" t="inlineStr">
        <is>
          <t>bar:</t>
        </is>
      </c>
      <c r="G133" t="inlineStr">
        <is>
          <t>bar12,</t>
        </is>
      </c>
      <c r="H133" t="inlineStr">
        <is>
          <t>barrier</t>
        </is>
      </c>
      <c r="I133" t="inlineStr">
        <is>
          <t>IL:</t>
        </is>
      </c>
      <c r="J133" t="n">
        <v>10</v>
      </c>
      <c r="M133">
        <f>C132</f>
        <v/>
      </c>
      <c r="N133">
        <f>E132</f>
        <v/>
      </c>
      <c r="O133">
        <f>G132</f>
        <v/>
      </c>
      <c r="P133">
        <f>J132</f>
        <v/>
      </c>
    </row>
    <row r="134">
      <c r="B134" t="inlineStr">
        <is>
          <t>eqmt:</t>
        </is>
      </c>
      <c r="C134" t="inlineStr">
        <is>
          <t>CU-R4,</t>
        </is>
      </c>
      <c r="D134" t="inlineStr">
        <is>
          <t>rcvr:</t>
        </is>
      </c>
      <c r="E134" t="inlineStr">
        <is>
          <t>R4,</t>
        </is>
      </c>
      <c r="F134" t="inlineStr">
        <is>
          <t>bar:</t>
        </is>
      </c>
      <c r="G134" t="inlineStr">
        <is>
          <t>bar12,</t>
        </is>
      </c>
      <c r="H134" t="inlineStr">
        <is>
          <t>barrier</t>
        </is>
      </c>
      <c r="I134" t="inlineStr">
        <is>
          <t>IL:</t>
        </is>
      </c>
      <c r="J134" t="n">
        <v>9</v>
      </c>
      <c r="M134">
        <f>C133</f>
        <v/>
      </c>
      <c r="N134">
        <f>E133</f>
        <v/>
      </c>
      <c r="O134">
        <f>G133</f>
        <v/>
      </c>
      <c r="P134">
        <f>J133</f>
        <v/>
      </c>
    </row>
    <row r="135">
      <c r="B135" t="inlineStr">
        <is>
          <t>eqmt:</t>
        </is>
      </c>
      <c r="C135" t="inlineStr">
        <is>
          <t>CU-R5,</t>
        </is>
      </c>
      <c r="D135" t="inlineStr">
        <is>
          <t>rcvr:</t>
        </is>
      </c>
      <c r="E135" t="inlineStr">
        <is>
          <t>R4,</t>
        </is>
      </c>
      <c r="F135" t="inlineStr">
        <is>
          <t>bar:</t>
        </is>
      </c>
      <c r="G135" t="inlineStr">
        <is>
          <t>bar12,</t>
        </is>
      </c>
      <c r="H135" t="inlineStr">
        <is>
          <t>barrier</t>
        </is>
      </c>
      <c r="I135" t="inlineStr">
        <is>
          <t>IL:</t>
        </is>
      </c>
      <c r="J135" t="n">
        <v>11</v>
      </c>
      <c r="M135">
        <f>C134</f>
        <v/>
      </c>
      <c r="N135">
        <f>E134</f>
        <v/>
      </c>
      <c r="O135">
        <f>G134</f>
        <v/>
      </c>
      <c r="P135">
        <f>J134</f>
        <v/>
      </c>
    </row>
    <row r="136">
      <c r="B136" t="inlineStr">
        <is>
          <t>eqmt:</t>
        </is>
      </c>
      <c r="C136" t="inlineStr">
        <is>
          <t>RCU-R(4p)1,</t>
        </is>
      </c>
      <c r="D136" t="inlineStr">
        <is>
          <t>rcvr:</t>
        </is>
      </c>
      <c r="E136" t="inlineStr">
        <is>
          <t>R4,</t>
        </is>
      </c>
      <c r="F136" t="inlineStr">
        <is>
          <t>bar:</t>
        </is>
      </c>
      <c r="G136" t="inlineStr">
        <is>
          <t>bar6,</t>
        </is>
      </c>
      <c r="H136" t="inlineStr">
        <is>
          <t>barrier</t>
        </is>
      </c>
      <c r="I136" t="inlineStr">
        <is>
          <t>IL:</t>
        </is>
      </c>
      <c r="J136" t="n">
        <v>7</v>
      </c>
      <c r="M136">
        <f>C135</f>
        <v/>
      </c>
      <c r="N136">
        <f>E135</f>
        <v/>
      </c>
      <c r="O136">
        <f>G135</f>
        <v/>
      </c>
      <c r="P136">
        <f>J135</f>
        <v/>
      </c>
    </row>
    <row r="137">
      <c r="B137" t="inlineStr">
        <is>
          <t>eqmt:</t>
        </is>
      </c>
      <c r="C137" t="inlineStr">
        <is>
          <t>RCU-R(4p)2,</t>
        </is>
      </c>
      <c r="D137" t="inlineStr">
        <is>
          <t>rcvr:</t>
        </is>
      </c>
      <c r="E137" t="inlineStr">
        <is>
          <t>R4,</t>
        </is>
      </c>
      <c r="F137" t="inlineStr">
        <is>
          <t>bar:</t>
        </is>
      </c>
      <c r="G137" t="inlineStr">
        <is>
          <t>bar12,</t>
        </is>
      </c>
      <c r="H137" t="inlineStr">
        <is>
          <t>barrier</t>
        </is>
      </c>
      <c r="I137" t="inlineStr">
        <is>
          <t>IL:</t>
        </is>
      </c>
      <c r="J137" t="n">
        <v>8</v>
      </c>
      <c r="M137">
        <f>C136</f>
        <v/>
      </c>
      <c r="N137">
        <f>E136</f>
        <v/>
      </c>
      <c r="O137">
        <f>G136</f>
        <v/>
      </c>
      <c r="P137">
        <f>J136</f>
        <v/>
      </c>
    </row>
    <row r="138">
      <c r="B138" t="inlineStr">
        <is>
          <t>eqmt:</t>
        </is>
      </c>
      <c r="C138" t="inlineStr">
        <is>
          <t>RCU-R(4p)3,</t>
        </is>
      </c>
      <c r="D138" t="inlineStr">
        <is>
          <t>rcvr:</t>
        </is>
      </c>
      <c r="E138" t="inlineStr">
        <is>
          <t>R4,</t>
        </is>
      </c>
      <c r="F138" t="inlineStr">
        <is>
          <t>bar:</t>
        </is>
      </c>
      <c r="G138" t="inlineStr">
        <is>
          <t>bar12,</t>
        </is>
      </c>
      <c r="H138" t="inlineStr">
        <is>
          <t>barrier</t>
        </is>
      </c>
      <c r="I138" t="inlineStr">
        <is>
          <t>IL:</t>
        </is>
      </c>
      <c r="J138" t="n">
        <v>10</v>
      </c>
      <c r="M138">
        <f>C137</f>
        <v/>
      </c>
      <c r="N138">
        <f>E137</f>
        <v/>
      </c>
      <c r="O138">
        <f>G137</f>
        <v/>
      </c>
      <c r="P138">
        <f>J137</f>
        <v/>
      </c>
    </row>
    <row r="139">
      <c r="B139" t="inlineStr">
        <is>
          <t>eqmt:</t>
        </is>
      </c>
      <c r="C139" t="inlineStr">
        <is>
          <t>RCU-R(2p),</t>
        </is>
      </c>
      <c r="D139" t="inlineStr">
        <is>
          <t>rcvr:</t>
        </is>
      </c>
      <c r="E139" t="inlineStr">
        <is>
          <t>R4,</t>
        </is>
      </c>
      <c r="F139" t="inlineStr">
        <is>
          <t>bar:</t>
        </is>
      </c>
      <c r="G139" t="inlineStr">
        <is>
          <t>bar12,</t>
        </is>
      </c>
      <c r="H139" t="inlineStr">
        <is>
          <t>barrier</t>
        </is>
      </c>
      <c r="I139" t="inlineStr">
        <is>
          <t>IL:</t>
        </is>
      </c>
      <c r="J139" t="n">
        <v>11</v>
      </c>
      <c r="M139">
        <f>C138</f>
        <v/>
      </c>
      <c r="N139">
        <f>E138</f>
        <v/>
      </c>
      <c r="O139">
        <f>G138</f>
        <v/>
      </c>
      <c r="P139">
        <f>J138</f>
        <v/>
      </c>
    </row>
    <row r="140">
      <c r="B140" t="inlineStr">
        <is>
          <t>eqmt:</t>
        </is>
      </c>
      <c r="C140" t="inlineStr">
        <is>
          <t>RCU-R(2p)1,</t>
        </is>
      </c>
      <c r="D140" t="inlineStr">
        <is>
          <t>rcvr:</t>
        </is>
      </c>
      <c r="E140" t="inlineStr">
        <is>
          <t>R4,</t>
        </is>
      </c>
      <c r="F140" t="inlineStr">
        <is>
          <t>bar:</t>
        </is>
      </c>
      <c r="G140" t="inlineStr">
        <is>
          <t>bar11,</t>
        </is>
      </c>
      <c r="H140" t="inlineStr">
        <is>
          <t>barrier</t>
        </is>
      </c>
      <c r="I140" t="inlineStr">
        <is>
          <t>IL:</t>
        </is>
      </c>
      <c r="J140" t="n">
        <v>13</v>
      </c>
      <c r="M140">
        <f>C139</f>
        <v/>
      </c>
      <c r="N140">
        <f>E139</f>
        <v/>
      </c>
      <c r="O140">
        <f>G139</f>
        <v/>
      </c>
      <c r="P140">
        <f>J139</f>
        <v/>
      </c>
    </row>
    <row r="141">
      <c r="B141" t="inlineStr">
        <is>
          <t>eqmt:</t>
        </is>
      </c>
      <c r="C141" t="inlineStr">
        <is>
          <t>RCU-R(4p)4,</t>
        </is>
      </c>
      <c r="D141" t="inlineStr">
        <is>
          <t>rcvr:</t>
        </is>
      </c>
      <c r="E141" t="inlineStr">
        <is>
          <t>R4,</t>
        </is>
      </c>
      <c r="F141" t="inlineStr">
        <is>
          <t>bar:</t>
        </is>
      </c>
      <c r="G141" t="inlineStr">
        <is>
          <t>bar10,</t>
        </is>
      </c>
      <c r="H141" t="inlineStr">
        <is>
          <t>barrier</t>
        </is>
      </c>
      <c r="I141" t="inlineStr">
        <is>
          <t>IL:</t>
        </is>
      </c>
      <c r="J141" t="n">
        <v>13</v>
      </c>
      <c r="M141">
        <f>C140</f>
        <v/>
      </c>
      <c r="N141">
        <f>E140</f>
        <v/>
      </c>
      <c r="O141">
        <f>G140</f>
        <v/>
      </c>
      <c r="P141">
        <f>J140</f>
        <v/>
      </c>
    </row>
    <row r="142">
      <c r="B142" t="inlineStr">
        <is>
          <t>eqmt:</t>
        </is>
      </c>
      <c r="C142" t="inlineStr">
        <is>
          <t>RCU-R(2p)2,</t>
        </is>
      </c>
      <c r="D142" t="inlineStr">
        <is>
          <t>rcvr:</t>
        </is>
      </c>
      <c r="E142" t="inlineStr">
        <is>
          <t>R4,</t>
        </is>
      </c>
      <c r="F142" t="inlineStr">
        <is>
          <t>bar:</t>
        </is>
      </c>
      <c r="G142" t="inlineStr">
        <is>
          <t>bar12,</t>
        </is>
      </c>
      <c r="H142" t="inlineStr">
        <is>
          <t>barrier</t>
        </is>
      </c>
      <c r="I142" t="inlineStr">
        <is>
          <t>IL:</t>
        </is>
      </c>
      <c r="J142" t="n">
        <v>12</v>
      </c>
      <c r="M142">
        <f>C141</f>
        <v/>
      </c>
      <c r="N142">
        <f>E141</f>
        <v/>
      </c>
      <c r="O142">
        <f>G141</f>
        <v/>
      </c>
      <c r="P142">
        <f>J141</f>
        <v/>
      </c>
    </row>
    <row r="143">
      <c r="B143" t="inlineStr">
        <is>
          <t>eqmt:</t>
        </is>
      </c>
      <c r="C143" t="inlineStr">
        <is>
          <t>RCU-R(2p)3,</t>
        </is>
      </c>
      <c r="D143" t="inlineStr">
        <is>
          <t>rcvr:</t>
        </is>
      </c>
      <c r="E143" t="inlineStr">
        <is>
          <t>R4,</t>
        </is>
      </c>
      <c r="F143" t="inlineStr">
        <is>
          <t>bar:</t>
        </is>
      </c>
      <c r="G143" t="inlineStr">
        <is>
          <t>bar12,</t>
        </is>
      </c>
      <c r="H143" t="inlineStr">
        <is>
          <t>barrier</t>
        </is>
      </c>
      <c r="I143" t="inlineStr">
        <is>
          <t>IL:</t>
        </is>
      </c>
      <c r="J143" t="n">
        <v>12</v>
      </c>
      <c r="M143">
        <f>C142</f>
        <v/>
      </c>
      <c r="N143">
        <f>E142</f>
        <v/>
      </c>
      <c r="O143">
        <f>G142</f>
        <v/>
      </c>
      <c r="P143">
        <f>J142</f>
        <v/>
      </c>
    </row>
    <row r="144">
      <c r="B144" t="inlineStr">
        <is>
          <t>eqmt:</t>
        </is>
      </c>
      <c r="C144" t="inlineStr">
        <is>
          <t>RCU-R(2p)4,</t>
        </is>
      </c>
      <c r="D144" t="inlineStr">
        <is>
          <t>rcvr:</t>
        </is>
      </c>
      <c r="E144" t="inlineStr">
        <is>
          <t>R4,</t>
        </is>
      </c>
      <c r="F144" t="inlineStr">
        <is>
          <t>bar:</t>
        </is>
      </c>
      <c r="G144" t="inlineStr">
        <is>
          <t>bar12,</t>
        </is>
      </c>
      <c r="H144" t="inlineStr">
        <is>
          <t>barrier</t>
        </is>
      </c>
      <c r="I144" t="inlineStr">
        <is>
          <t>IL:</t>
        </is>
      </c>
      <c r="J144" t="n">
        <v>11</v>
      </c>
      <c r="M144">
        <f>C143</f>
        <v/>
      </c>
      <c r="N144">
        <f>E143</f>
        <v/>
      </c>
      <c r="O144">
        <f>G143</f>
        <v/>
      </c>
      <c r="P144">
        <f>J143</f>
        <v/>
      </c>
    </row>
    <row r="145">
      <c r="B145" t="inlineStr">
        <is>
          <t>eqmt:</t>
        </is>
      </c>
      <c r="C145" t="inlineStr">
        <is>
          <t>RCU-R(2p)5,</t>
        </is>
      </c>
      <c r="D145" t="inlineStr">
        <is>
          <t>rcvr:</t>
        </is>
      </c>
      <c r="E145" t="inlineStr">
        <is>
          <t>R4,</t>
        </is>
      </c>
      <c r="F145" t="inlineStr">
        <is>
          <t>bar:</t>
        </is>
      </c>
      <c r="G145" t="inlineStr">
        <is>
          <t>bar12,</t>
        </is>
      </c>
      <c r="H145" t="inlineStr">
        <is>
          <t>barrier</t>
        </is>
      </c>
      <c r="I145" t="inlineStr">
        <is>
          <t>IL:</t>
        </is>
      </c>
      <c r="J145" t="n">
        <v>11</v>
      </c>
      <c r="M145">
        <f>C144</f>
        <v/>
      </c>
      <c r="N145">
        <f>E144</f>
        <v/>
      </c>
      <c r="O145">
        <f>G144</f>
        <v/>
      </c>
      <c r="P145">
        <f>J144</f>
        <v/>
      </c>
    </row>
    <row r="146">
      <c r="B146" t="inlineStr">
        <is>
          <t>eqmt:</t>
        </is>
      </c>
      <c r="C146" t="inlineStr">
        <is>
          <t>RCU-R(2p)6,</t>
        </is>
      </c>
      <c r="D146" t="inlineStr">
        <is>
          <t>rcvr:</t>
        </is>
      </c>
      <c r="E146" t="inlineStr">
        <is>
          <t>R4,</t>
        </is>
      </c>
      <c r="F146" t="inlineStr">
        <is>
          <t>bar:</t>
        </is>
      </c>
      <c r="G146" t="inlineStr">
        <is>
          <t>bar12,</t>
        </is>
      </c>
      <c r="H146" t="inlineStr">
        <is>
          <t>barrier</t>
        </is>
      </c>
      <c r="I146" t="inlineStr">
        <is>
          <t>IL:</t>
        </is>
      </c>
      <c r="J146" t="n">
        <v>10</v>
      </c>
      <c r="M146">
        <f>C145</f>
        <v/>
      </c>
      <c r="N146">
        <f>E145</f>
        <v/>
      </c>
      <c r="O146">
        <f>G145</f>
        <v/>
      </c>
      <c r="P146">
        <f>J145</f>
        <v/>
      </c>
    </row>
    <row r="147">
      <c r="B147" t="inlineStr">
        <is>
          <t>eqmt:</t>
        </is>
      </c>
      <c r="C147" t="inlineStr">
        <is>
          <t>BEF-R01-,</t>
        </is>
      </c>
      <c r="D147" t="inlineStr">
        <is>
          <t>rcvr:</t>
        </is>
      </c>
      <c r="E147" t="inlineStr">
        <is>
          <t>R4,</t>
        </is>
      </c>
      <c r="F147" t="inlineStr">
        <is>
          <t>bar:</t>
        </is>
      </c>
      <c r="G147" t="inlineStr">
        <is>
          <t>bar10,</t>
        </is>
      </c>
      <c r="H147" t="inlineStr">
        <is>
          <t>barrier</t>
        </is>
      </c>
      <c r="I147" t="inlineStr">
        <is>
          <t>IL:</t>
        </is>
      </c>
      <c r="J147" t="n">
        <v>13</v>
      </c>
      <c r="M147">
        <f>C146</f>
        <v/>
      </c>
      <c r="N147">
        <f>E146</f>
        <v/>
      </c>
      <c r="O147">
        <f>G146</f>
        <v/>
      </c>
      <c r="P147">
        <f>J146</f>
        <v/>
      </c>
    </row>
    <row r="148">
      <c r="B148" t="inlineStr">
        <is>
          <t>eqmt:</t>
        </is>
      </c>
      <c r="C148" t="inlineStr">
        <is>
          <t>BEF-R02-,</t>
        </is>
      </c>
      <c r="D148" t="inlineStr">
        <is>
          <t>rcvr:</t>
        </is>
      </c>
      <c r="E148" t="inlineStr">
        <is>
          <t>R4,</t>
        </is>
      </c>
      <c r="F148" t="inlineStr">
        <is>
          <t>bar:</t>
        </is>
      </c>
      <c r="G148" t="inlineStr">
        <is>
          <t>bar10,</t>
        </is>
      </c>
      <c r="H148" t="inlineStr">
        <is>
          <t>barrier</t>
        </is>
      </c>
      <c r="I148" t="inlineStr">
        <is>
          <t>IL:</t>
        </is>
      </c>
      <c r="J148" t="n">
        <v>13</v>
      </c>
      <c r="M148">
        <f>C147</f>
        <v/>
      </c>
      <c r="N148">
        <f>E147</f>
        <v/>
      </c>
      <c r="O148">
        <f>G147</f>
        <v/>
      </c>
      <c r="P148">
        <f>J147</f>
        <v/>
      </c>
    </row>
    <row r="149">
      <c r="B149" t="inlineStr">
        <is>
          <t>eqmt:</t>
        </is>
      </c>
      <c r="C149" t="inlineStr">
        <is>
          <t>BEF-R03-,</t>
        </is>
      </c>
      <c r="D149" t="inlineStr">
        <is>
          <t>rcvr:</t>
        </is>
      </c>
      <c r="E149" t="inlineStr">
        <is>
          <t>R4,</t>
        </is>
      </c>
      <c r="F149" t="inlineStr">
        <is>
          <t>bar:</t>
        </is>
      </c>
      <c r="G149" t="inlineStr">
        <is>
          <t>bar10,</t>
        </is>
      </c>
      <c r="H149" t="inlineStr">
        <is>
          <t>barrier</t>
        </is>
      </c>
      <c r="I149" t="inlineStr">
        <is>
          <t>IL:</t>
        </is>
      </c>
      <c r="J149" t="n">
        <v>13</v>
      </c>
      <c r="M149">
        <f>C148</f>
        <v/>
      </c>
      <c r="N149">
        <f>E148</f>
        <v/>
      </c>
      <c r="O149">
        <f>G148</f>
        <v/>
      </c>
      <c r="P149">
        <f>J148</f>
        <v/>
      </c>
    </row>
    <row r="150">
      <c r="B150" t="inlineStr">
        <is>
          <t>eqmt:</t>
        </is>
      </c>
      <c r="C150" t="inlineStr">
        <is>
          <t>BEF-R04-,</t>
        </is>
      </c>
      <c r="D150" t="inlineStr">
        <is>
          <t>rcvr:</t>
        </is>
      </c>
      <c r="E150" t="inlineStr">
        <is>
          <t>R4,</t>
        </is>
      </c>
      <c r="F150" t="inlineStr">
        <is>
          <t>bar:</t>
        </is>
      </c>
      <c r="G150" t="inlineStr">
        <is>
          <t>bar12,</t>
        </is>
      </c>
      <c r="H150" t="inlineStr">
        <is>
          <t>barrier</t>
        </is>
      </c>
      <c r="I150" t="inlineStr">
        <is>
          <t>IL:</t>
        </is>
      </c>
      <c r="J150" t="n">
        <v>11</v>
      </c>
      <c r="M150">
        <f>C149</f>
        <v/>
      </c>
      <c r="N150">
        <f>E149</f>
        <v/>
      </c>
      <c r="O150">
        <f>G149</f>
        <v/>
      </c>
      <c r="P150">
        <f>J149</f>
        <v/>
      </c>
    </row>
    <row r="151">
      <c r="B151" t="inlineStr">
        <is>
          <t>eqmt:</t>
        </is>
      </c>
      <c r="C151" t="inlineStr">
        <is>
          <t>BEF-R05-,</t>
        </is>
      </c>
      <c r="D151" t="inlineStr">
        <is>
          <t>rcvr:</t>
        </is>
      </c>
      <c r="E151" t="inlineStr">
        <is>
          <t>R4,</t>
        </is>
      </c>
      <c r="F151" t="inlineStr">
        <is>
          <t>bar:</t>
        </is>
      </c>
      <c r="G151" t="inlineStr">
        <is>
          <t>bar10,</t>
        </is>
      </c>
      <c r="H151" t="inlineStr">
        <is>
          <t>barrier</t>
        </is>
      </c>
      <c r="I151" t="inlineStr">
        <is>
          <t>IL:</t>
        </is>
      </c>
      <c r="J151" t="n">
        <v>11</v>
      </c>
      <c r="M151">
        <f>C150</f>
        <v/>
      </c>
      <c r="N151">
        <f>E150</f>
        <v/>
      </c>
      <c r="O151">
        <f>G150</f>
        <v/>
      </c>
      <c r="P151">
        <f>J150</f>
        <v/>
      </c>
    </row>
    <row r="152">
      <c r="B152" t="inlineStr">
        <is>
          <t>eqmt:</t>
        </is>
      </c>
      <c r="C152" t="inlineStr">
        <is>
          <t>BEF-R06-,</t>
        </is>
      </c>
      <c r="D152" t="inlineStr">
        <is>
          <t>rcvr:</t>
        </is>
      </c>
      <c r="E152" t="inlineStr">
        <is>
          <t>R4,</t>
        </is>
      </c>
      <c r="F152" t="inlineStr">
        <is>
          <t>bar:</t>
        </is>
      </c>
      <c r="G152" t="inlineStr">
        <is>
          <t>bar8,</t>
        </is>
      </c>
      <c r="H152" t="inlineStr">
        <is>
          <t>barrier</t>
        </is>
      </c>
      <c r="I152" t="inlineStr">
        <is>
          <t>IL:</t>
        </is>
      </c>
      <c r="J152" t="n">
        <v>10</v>
      </c>
      <c r="M152">
        <f>C151</f>
        <v/>
      </c>
      <c r="N152">
        <f>E151</f>
        <v/>
      </c>
      <c r="O152">
        <f>G151</f>
        <v/>
      </c>
      <c r="P152">
        <f>J151</f>
        <v/>
      </c>
    </row>
    <row r="153">
      <c r="B153" t="inlineStr">
        <is>
          <t>eqmt:</t>
        </is>
      </c>
      <c r="C153" t="inlineStr">
        <is>
          <t>BEF-R07-,</t>
        </is>
      </c>
      <c r="D153" t="inlineStr">
        <is>
          <t>rcvr:</t>
        </is>
      </c>
      <c r="E153" t="inlineStr">
        <is>
          <t>R4,</t>
        </is>
      </c>
      <c r="F153" t="inlineStr">
        <is>
          <t>bar:</t>
        </is>
      </c>
      <c r="G153" t="inlineStr">
        <is>
          <t>bar7,</t>
        </is>
      </c>
      <c r="H153" t="inlineStr">
        <is>
          <t>barrier</t>
        </is>
      </c>
      <c r="I153" t="inlineStr">
        <is>
          <t>IL:</t>
        </is>
      </c>
      <c r="J153" t="n">
        <v>11</v>
      </c>
      <c r="M153">
        <f>C152</f>
        <v/>
      </c>
      <c r="N153">
        <f>E152</f>
        <v/>
      </c>
      <c r="O153">
        <f>G152</f>
        <v/>
      </c>
      <c r="P153">
        <f>J152</f>
        <v/>
      </c>
    </row>
    <row r="154">
      <c r="B154" t="inlineStr">
        <is>
          <t>eqmt:</t>
        </is>
      </c>
      <c r="C154" t="inlineStr">
        <is>
          <t>BEF-R08-,</t>
        </is>
      </c>
      <c r="D154" t="inlineStr">
        <is>
          <t>rcvr:</t>
        </is>
      </c>
      <c r="E154" t="inlineStr">
        <is>
          <t>R4,</t>
        </is>
      </c>
      <c r="F154" t="inlineStr">
        <is>
          <t>bar:</t>
        </is>
      </c>
      <c r="G154" t="inlineStr">
        <is>
          <t>bar6,</t>
        </is>
      </c>
      <c r="H154" t="inlineStr">
        <is>
          <t>barrier</t>
        </is>
      </c>
      <c r="I154" t="inlineStr">
        <is>
          <t>IL:</t>
        </is>
      </c>
      <c r="J154" t="n">
        <v>7</v>
      </c>
      <c r="M154">
        <f>C153</f>
        <v/>
      </c>
      <c r="N154">
        <f>E153</f>
        <v/>
      </c>
      <c r="O154">
        <f>G153</f>
        <v/>
      </c>
      <c r="P154">
        <f>J153</f>
        <v/>
      </c>
    </row>
    <row r="155">
      <c r="B155" t="inlineStr">
        <is>
          <t>eqmt:</t>
        </is>
      </c>
      <c r="C155" t="inlineStr">
        <is>
          <t>BEF-R09-,</t>
        </is>
      </c>
      <c r="D155" t="inlineStr">
        <is>
          <t>rcvr:</t>
        </is>
      </c>
      <c r="E155" t="inlineStr">
        <is>
          <t>R4,</t>
        </is>
      </c>
      <c r="F155" t="inlineStr">
        <is>
          <t>bar:</t>
        </is>
      </c>
      <c r="G155" t="inlineStr">
        <is>
          <t>None,</t>
        </is>
      </c>
      <c r="H155" t="inlineStr">
        <is>
          <t>barrier</t>
        </is>
      </c>
      <c r="I155" t="inlineStr">
        <is>
          <t>IL:</t>
        </is>
      </c>
      <c r="J155" t="n">
        <v>0</v>
      </c>
      <c r="M155">
        <f>C154</f>
        <v/>
      </c>
      <c r="N155">
        <f>E154</f>
        <v/>
      </c>
      <c r="O155">
        <f>G154</f>
        <v/>
      </c>
      <c r="P155">
        <f>J154</f>
        <v/>
      </c>
    </row>
    <row r="156">
      <c r="B156" t="inlineStr">
        <is>
          <t>eqmt:</t>
        </is>
      </c>
      <c r="C156" t="inlineStr">
        <is>
          <t>BEF-R10-,</t>
        </is>
      </c>
      <c r="D156" t="inlineStr">
        <is>
          <t>rcvr:</t>
        </is>
      </c>
      <c r="E156" t="inlineStr">
        <is>
          <t>R4,</t>
        </is>
      </c>
      <c r="F156" t="inlineStr">
        <is>
          <t>bar:</t>
        </is>
      </c>
      <c r="G156" t="inlineStr">
        <is>
          <t>bar11,</t>
        </is>
      </c>
      <c r="H156" t="inlineStr">
        <is>
          <t>barrier</t>
        </is>
      </c>
      <c r="I156" t="inlineStr">
        <is>
          <t>IL:</t>
        </is>
      </c>
      <c r="J156" t="n">
        <v>5</v>
      </c>
      <c r="M156">
        <f>C155</f>
        <v/>
      </c>
      <c r="N156">
        <f>E155</f>
        <v/>
      </c>
      <c r="O156">
        <f>G155</f>
        <v/>
      </c>
      <c r="P156">
        <f>J155</f>
        <v/>
      </c>
    </row>
    <row r="157">
      <c r="B157" t="inlineStr">
        <is>
          <t>eqmt:</t>
        </is>
      </c>
      <c r="C157" t="inlineStr">
        <is>
          <t>BEF-R11-,</t>
        </is>
      </c>
      <c r="D157" t="inlineStr">
        <is>
          <t>rcvr:</t>
        </is>
      </c>
      <c r="E157" t="inlineStr">
        <is>
          <t>R4,</t>
        </is>
      </c>
      <c r="F157" t="inlineStr">
        <is>
          <t>bar:</t>
        </is>
      </c>
      <c r="G157" t="inlineStr">
        <is>
          <t>None,</t>
        </is>
      </c>
      <c r="H157" t="inlineStr">
        <is>
          <t>barrier</t>
        </is>
      </c>
      <c r="I157" t="inlineStr">
        <is>
          <t>IL:</t>
        </is>
      </c>
      <c r="J157" t="n">
        <v>0</v>
      </c>
      <c r="M157">
        <f>C156</f>
        <v/>
      </c>
      <c r="N157">
        <f>E156</f>
        <v/>
      </c>
      <c r="O157">
        <f>G156</f>
        <v/>
      </c>
      <c r="P157">
        <f>J156</f>
        <v/>
      </c>
    </row>
    <row r="158">
      <c r="B158" t="inlineStr">
        <is>
          <t>eqmt:</t>
        </is>
      </c>
      <c r="C158" t="inlineStr">
        <is>
          <t>BEF-R12-,</t>
        </is>
      </c>
      <c r="D158" t="inlineStr">
        <is>
          <t>rcvr:</t>
        </is>
      </c>
      <c r="E158" t="inlineStr">
        <is>
          <t>R4,</t>
        </is>
      </c>
      <c r="F158" t="inlineStr">
        <is>
          <t>bar:</t>
        </is>
      </c>
      <c r="G158" t="inlineStr">
        <is>
          <t>bar12,</t>
        </is>
      </c>
      <c r="H158" t="inlineStr">
        <is>
          <t>barrier</t>
        </is>
      </c>
      <c r="I158" t="inlineStr">
        <is>
          <t>IL:</t>
        </is>
      </c>
      <c r="J158" t="n">
        <v>10</v>
      </c>
      <c r="M158">
        <f>C157</f>
        <v/>
      </c>
      <c r="N158">
        <f>E157</f>
        <v/>
      </c>
      <c r="O158">
        <f>G157</f>
        <v/>
      </c>
      <c r="P158">
        <f>J157</f>
        <v/>
      </c>
    </row>
    <row r="159">
      <c r="B159" t="inlineStr">
        <is>
          <t>eqmt:</t>
        </is>
      </c>
      <c r="C159" t="inlineStr">
        <is>
          <t>BEF-R13-,</t>
        </is>
      </c>
      <c r="D159" t="inlineStr">
        <is>
          <t>rcvr:</t>
        </is>
      </c>
      <c r="E159" t="inlineStr">
        <is>
          <t>R4,</t>
        </is>
      </c>
      <c r="F159" t="inlineStr">
        <is>
          <t>bar:</t>
        </is>
      </c>
      <c r="G159" t="inlineStr">
        <is>
          <t>bar12,</t>
        </is>
      </c>
      <c r="H159" t="inlineStr">
        <is>
          <t>barrier</t>
        </is>
      </c>
      <c r="I159" t="inlineStr">
        <is>
          <t>IL:</t>
        </is>
      </c>
      <c r="J159" t="n">
        <v>11</v>
      </c>
      <c r="M159">
        <f>C158</f>
        <v/>
      </c>
      <c r="N159">
        <f>E158</f>
        <v/>
      </c>
      <c r="O159">
        <f>G158</f>
        <v/>
      </c>
      <c r="P159">
        <f>J158</f>
        <v/>
      </c>
    </row>
    <row r="160">
      <c r="B160" t="inlineStr">
        <is>
          <t>eqmt:</t>
        </is>
      </c>
      <c r="C160" t="inlineStr">
        <is>
          <t>BEF-R14-,</t>
        </is>
      </c>
      <c r="D160" t="inlineStr">
        <is>
          <t>rcvr:</t>
        </is>
      </c>
      <c r="E160" t="inlineStr">
        <is>
          <t>R4,</t>
        </is>
      </c>
      <c r="F160" t="inlineStr">
        <is>
          <t>bar:</t>
        </is>
      </c>
      <c r="G160" t="inlineStr">
        <is>
          <t>bar12,</t>
        </is>
      </c>
      <c r="H160" t="inlineStr">
        <is>
          <t>barrier</t>
        </is>
      </c>
      <c r="I160" t="inlineStr">
        <is>
          <t>IL:</t>
        </is>
      </c>
      <c r="J160" t="n">
        <v>12</v>
      </c>
      <c r="M160">
        <f>C159</f>
        <v/>
      </c>
      <c r="N160">
        <f>E159</f>
        <v/>
      </c>
      <c r="O160">
        <f>G159</f>
        <v/>
      </c>
      <c r="P160">
        <f>J159</f>
        <v/>
      </c>
    </row>
    <row r="161">
      <c r="B161" t="inlineStr">
        <is>
          <t>eqmt:</t>
        </is>
      </c>
      <c r="C161" t="inlineStr">
        <is>
          <t>BEF-R15-,</t>
        </is>
      </c>
      <c r="D161" t="inlineStr">
        <is>
          <t>rcvr:</t>
        </is>
      </c>
      <c r="E161" t="inlineStr">
        <is>
          <t>R4,</t>
        </is>
      </c>
      <c r="F161" t="inlineStr">
        <is>
          <t>bar:</t>
        </is>
      </c>
      <c r="G161" t="inlineStr">
        <is>
          <t>bar12,</t>
        </is>
      </c>
      <c r="H161" t="inlineStr">
        <is>
          <t>barrier</t>
        </is>
      </c>
      <c r="I161" t="inlineStr">
        <is>
          <t>IL:</t>
        </is>
      </c>
      <c r="J161" t="n">
        <v>12</v>
      </c>
      <c r="M161">
        <f>C160</f>
        <v/>
      </c>
      <c r="N161">
        <f>E160</f>
        <v/>
      </c>
      <c r="O161">
        <f>G160</f>
        <v/>
      </c>
      <c r="P161">
        <f>J160</f>
        <v/>
      </c>
    </row>
    <row r="162">
      <c r="B162" t="inlineStr">
        <is>
          <t>eqmt:</t>
        </is>
      </c>
      <c r="C162" t="inlineStr">
        <is>
          <t>BEF-R16-,</t>
        </is>
      </c>
      <c r="D162" t="inlineStr">
        <is>
          <t>rcvr:</t>
        </is>
      </c>
      <c r="E162" t="inlineStr">
        <is>
          <t>R4,</t>
        </is>
      </c>
      <c r="F162" t="inlineStr">
        <is>
          <t>bar:</t>
        </is>
      </c>
      <c r="G162" t="inlineStr">
        <is>
          <t>bar12,</t>
        </is>
      </c>
      <c r="H162" t="inlineStr">
        <is>
          <t>barrier</t>
        </is>
      </c>
      <c r="I162" t="inlineStr">
        <is>
          <t>IL:</t>
        </is>
      </c>
      <c r="J162" t="n">
        <v>9</v>
      </c>
      <c r="M162">
        <f>C161</f>
        <v/>
      </c>
      <c r="N162">
        <f>E161</f>
        <v/>
      </c>
      <c r="O162">
        <f>G161</f>
        <v/>
      </c>
      <c r="P162">
        <f>J161</f>
        <v/>
      </c>
    </row>
    <row r="163">
      <c r="B163" t="inlineStr">
        <is>
          <t>r_name:</t>
        </is>
      </c>
      <c r="C163" t="inlineStr">
        <is>
          <t>R5</t>
        </is>
      </c>
      <c r="D163" t="inlineStr">
        <is>
          <t>x:</t>
        </is>
      </c>
      <c r="E163" t="inlineStr">
        <is>
          <t>14.23,</t>
        </is>
      </c>
      <c r="F163" t="inlineStr">
        <is>
          <t>y:</t>
        </is>
      </c>
      <c r="G163" t="inlineStr">
        <is>
          <t>213.83,</t>
        </is>
      </c>
      <c r="H163" t="inlineStr">
        <is>
          <t>z:</t>
        </is>
      </c>
      <c r="I163" t="n">
        <v>45</v>
      </c>
      <c r="M163">
        <f>C162</f>
        <v/>
      </c>
      <c r="N163">
        <f>E162</f>
        <v/>
      </c>
      <c r="O163">
        <f>G162</f>
        <v/>
      </c>
      <c r="P163">
        <f>J162</f>
        <v/>
      </c>
    </row>
    <row r="164">
      <c r="B164" t="inlineStr">
        <is>
          <t>eqmt:</t>
        </is>
      </c>
      <c r="C164" t="inlineStr">
        <is>
          <t>MAU-R1,</t>
        </is>
      </c>
      <c r="D164" t="inlineStr">
        <is>
          <t>rcvr:</t>
        </is>
      </c>
      <c r="E164" t="inlineStr">
        <is>
          <t>R5,</t>
        </is>
      </c>
      <c r="F164" t="inlineStr">
        <is>
          <t>bar:</t>
        </is>
      </c>
      <c r="G164" t="inlineStr">
        <is>
          <t>bar17,</t>
        </is>
      </c>
      <c r="H164" t="inlineStr">
        <is>
          <t>barrier</t>
        </is>
      </c>
      <c r="I164" t="inlineStr">
        <is>
          <t>IL:</t>
        </is>
      </c>
      <c r="J164" t="n">
        <v>8</v>
      </c>
      <c r="M164" s="77">
        <f>C163</f>
        <v/>
      </c>
      <c r="N164">
        <f>E163</f>
        <v/>
      </c>
      <c r="O164">
        <f>G163</f>
        <v/>
      </c>
      <c r="P164">
        <f>J163</f>
        <v/>
      </c>
    </row>
    <row r="165">
      <c r="B165" t="inlineStr">
        <is>
          <t>eqmt:</t>
        </is>
      </c>
      <c r="C165" t="inlineStr">
        <is>
          <t>ERV-R.1,</t>
        </is>
      </c>
      <c r="D165" t="inlineStr">
        <is>
          <t>rcvr:</t>
        </is>
      </c>
      <c r="E165" t="inlineStr">
        <is>
          <t>R5,</t>
        </is>
      </c>
      <c r="F165" t="inlineStr">
        <is>
          <t>bar:</t>
        </is>
      </c>
      <c r="G165" t="inlineStr">
        <is>
          <t>bar17,</t>
        </is>
      </c>
      <c r="H165" t="inlineStr">
        <is>
          <t>barrier</t>
        </is>
      </c>
      <c r="I165" t="inlineStr">
        <is>
          <t>IL:</t>
        </is>
      </c>
      <c r="J165" t="n">
        <v>8</v>
      </c>
      <c r="M165">
        <f>C164</f>
        <v/>
      </c>
      <c r="N165">
        <f>E164</f>
        <v/>
      </c>
      <c r="O165">
        <f>G164</f>
        <v/>
      </c>
      <c r="P165">
        <f>J164</f>
        <v/>
      </c>
    </row>
    <row r="166">
      <c r="B166" t="inlineStr">
        <is>
          <t>eqmt:</t>
        </is>
      </c>
      <c r="C166" t="inlineStr">
        <is>
          <t>GEF-R1-,</t>
        </is>
      </c>
      <c r="D166" t="inlineStr">
        <is>
          <t>rcvr:</t>
        </is>
      </c>
      <c r="E166" t="inlineStr">
        <is>
          <t>R5,</t>
        </is>
      </c>
      <c r="F166" t="inlineStr">
        <is>
          <t>bar:</t>
        </is>
      </c>
      <c r="G166" t="inlineStr">
        <is>
          <t>bar17,</t>
        </is>
      </c>
      <c r="H166" t="inlineStr">
        <is>
          <t>barrier</t>
        </is>
      </c>
      <c r="I166" t="inlineStr">
        <is>
          <t>IL:</t>
        </is>
      </c>
      <c r="J166" t="n">
        <v>10</v>
      </c>
      <c r="M166">
        <f>C165</f>
        <v/>
      </c>
      <c r="N166">
        <f>E165</f>
        <v/>
      </c>
      <c r="O166">
        <f>G165</f>
        <v/>
      </c>
      <c r="P166">
        <f>J165</f>
        <v/>
      </c>
    </row>
    <row r="167">
      <c r="B167" t="inlineStr">
        <is>
          <t>eqmt:</t>
        </is>
      </c>
      <c r="C167" t="inlineStr">
        <is>
          <t>DEF-R1,-R2,</t>
        </is>
      </c>
      <c r="D167" t="inlineStr">
        <is>
          <t>rcvr:</t>
        </is>
      </c>
      <c r="E167" t="inlineStr">
        <is>
          <t>R5,</t>
        </is>
      </c>
      <c r="F167" t="inlineStr">
        <is>
          <t>bar:</t>
        </is>
      </c>
      <c r="G167" t="inlineStr">
        <is>
          <t>bar17,</t>
        </is>
      </c>
      <c r="H167" t="inlineStr">
        <is>
          <t>barrier</t>
        </is>
      </c>
      <c r="I167" t="inlineStr">
        <is>
          <t>IL:</t>
        </is>
      </c>
      <c r="J167" t="n">
        <v>8</v>
      </c>
      <c r="M167">
        <f>C166</f>
        <v/>
      </c>
      <c r="N167">
        <f>E166</f>
        <v/>
      </c>
      <c r="O167">
        <f>G166</f>
        <v/>
      </c>
      <c r="P167">
        <f>J166</f>
        <v/>
      </c>
    </row>
    <row r="168">
      <c r="B168" t="inlineStr">
        <is>
          <t>eqmt:</t>
        </is>
      </c>
      <c r="C168" t="inlineStr">
        <is>
          <t>KEF-R1-,</t>
        </is>
      </c>
      <c r="D168" t="inlineStr">
        <is>
          <t>rcvr:</t>
        </is>
      </c>
      <c r="E168" t="inlineStr">
        <is>
          <t>R5,</t>
        </is>
      </c>
      <c r="F168" t="inlineStr">
        <is>
          <t>bar:</t>
        </is>
      </c>
      <c r="G168" t="inlineStr">
        <is>
          <t>bar20,</t>
        </is>
      </c>
      <c r="H168" t="inlineStr">
        <is>
          <t>barrier</t>
        </is>
      </c>
      <c r="I168" t="inlineStr">
        <is>
          <t>IL:</t>
        </is>
      </c>
      <c r="J168" t="n">
        <v>3</v>
      </c>
      <c r="M168">
        <f>C167</f>
        <v/>
      </c>
      <c r="N168">
        <f>E167</f>
        <v/>
      </c>
      <c r="O168">
        <f>G167</f>
        <v/>
      </c>
      <c r="P168">
        <f>J167</f>
        <v/>
      </c>
    </row>
    <row r="169">
      <c r="B169" t="inlineStr">
        <is>
          <t>eqmt:</t>
        </is>
      </c>
      <c r="C169" t="inlineStr">
        <is>
          <t>DWEF-R1,</t>
        </is>
      </c>
      <c r="D169" t="inlineStr">
        <is>
          <t>rcvr:</t>
        </is>
      </c>
      <c r="E169" t="inlineStr">
        <is>
          <t>R5,</t>
        </is>
      </c>
      <c r="F169" t="inlineStr">
        <is>
          <t>bar:</t>
        </is>
      </c>
      <c r="G169" t="inlineStr">
        <is>
          <t>bar17,</t>
        </is>
      </c>
      <c r="H169" t="inlineStr">
        <is>
          <t>barrier</t>
        </is>
      </c>
      <c r="I169" t="inlineStr">
        <is>
          <t>IL:</t>
        </is>
      </c>
      <c r="J169" t="n">
        <v>8</v>
      </c>
      <c r="M169">
        <f>C168</f>
        <v/>
      </c>
      <c r="N169">
        <f>E168</f>
        <v/>
      </c>
      <c r="O169">
        <f>G168</f>
        <v/>
      </c>
      <c r="P169">
        <f>J168</f>
        <v/>
      </c>
    </row>
    <row r="170">
      <c r="B170" t="inlineStr">
        <is>
          <t>eqmt:</t>
        </is>
      </c>
      <c r="C170" t="inlineStr">
        <is>
          <t>CU-R1,</t>
        </is>
      </c>
      <c r="D170" t="inlineStr">
        <is>
          <t>rcvr:</t>
        </is>
      </c>
      <c r="E170" t="inlineStr">
        <is>
          <t>R5,</t>
        </is>
      </c>
      <c r="F170" t="inlineStr">
        <is>
          <t>bar:</t>
        </is>
      </c>
      <c r="G170" t="inlineStr">
        <is>
          <t>bar17,</t>
        </is>
      </c>
      <c r="H170" t="inlineStr">
        <is>
          <t>barrier</t>
        </is>
      </c>
      <c r="I170" t="inlineStr">
        <is>
          <t>IL:</t>
        </is>
      </c>
      <c r="J170" t="n">
        <v>5</v>
      </c>
      <c r="M170">
        <f>C169</f>
        <v/>
      </c>
      <c r="N170">
        <f>E169</f>
        <v/>
      </c>
      <c r="O170">
        <f>G169</f>
        <v/>
      </c>
      <c r="P170">
        <f>J169</f>
        <v/>
      </c>
    </row>
    <row r="171">
      <c r="B171" t="inlineStr">
        <is>
          <t>eqmt:</t>
        </is>
      </c>
      <c r="C171" t="inlineStr">
        <is>
          <t>CU-R2,</t>
        </is>
      </c>
      <c r="D171" t="inlineStr">
        <is>
          <t>rcvr:</t>
        </is>
      </c>
      <c r="E171" t="inlineStr">
        <is>
          <t>R5,</t>
        </is>
      </c>
      <c r="F171" t="inlineStr">
        <is>
          <t>bar:</t>
        </is>
      </c>
      <c r="G171" t="inlineStr">
        <is>
          <t>bar17,</t>
        </is>
      </c>
      <c r="H171" t="inlineStr">
        <is>
          <t>barrier</t>
        </is>
      </c>
      <c r="I171" t="inlineStr">
        <is>
          <t>IL:</t>
        </is>
      </c>
      <c r="J171" t="n">
        <v>5</v>
      </c>
      <c r="M171">
        <f>C170</f>
        <v/>
      </c>
      <c r="N171">
        <f>E170</f>
        <v/>
      </c>
      <c r="O171">
        <f>G170</f>
        <v/>
      </c>
      <c r="P171">
        <f>J170</f>
        <v/>
      </c>
    </row>
    <row r="172">
      <c r="B172" t="inlineStr">
        <is>
          <t>eqmt:</t>
        </is>
      </c>
      <c r="C172" t="inlineStr">
        <is>
          <t>CU-R4,</t>
        </is>
      </c>
      <c r="D172" t="inlineStr">
        <is>
          <t>rcvr:</t>
        </is>
      </c>
      <c r="E172" t="inlineStr">
        <is>
          <t>R5,</t>
        </is>
      </c>
      <c r="F172" t="inlineStr">
        <is>
          <t>bar:</t>
        </is>
      </c>
      <c r="G172" t="inlineStr">
        <is>
          <t>bar17,</t>
        </is>
      </c>
      <c r="H172" t="inlineStr">
        <is>
          <t>barrier</t>
        </is>
      </c>
      <c r="I172" t="inlineStr">
        <is>
          <t>IL:</t>
        </is>
      </c>
      <c r="J172" t="n">
        <v>5</v>
      </c>
      <c r="M172">
        <f>C171</f>
        <v/>
      </c>
      <c r="N172">
        <f>E171</f>
        <v/>
      </c>
      <c r="O172">
        <f>G171</f>
        <v/>
      </c>
      <c r="P172">
        <f>J171</f>
        <v/>
      </c>
    </row>
    <row r="173">
      <c r="B173" t="inlineStr">
        <is>
          <t>eqmt:</t>
        </is>
      </c>
      <c r="C173" t="inlineStr">
        <is>
          <t>CU-R5,</t>
        </is>
      </c>
      <c r="D173" t="inlineStr">
        <is>
          <t>rcvr:</t>
        </is>
      </c>
      <c r="E173" t="inlineStr">
        <is>
          <t>R5,</t>
        </is>
      </c>
      <c r="F173" t="inlineStr">
        <is>
          <t>bar:</t>
        </is>
      </c>
      <c r="G173" t="inlineStr">
        <is>
          <t>bar17,</t>
        </is>
      </c>
      <c r="H173" t="inlineStr">
        <is>
          <t>barrier</t>
        </is>
      </c>
      <c r="I173" t="inlineStr">
        <is>
          <t>IL:</t>
        </is>
      </c>
      <c r="J173" t="n">
        <v>7</v>
      </c>
      <c r="M173">
        <f>C172</f>
        <v/>
      </c>
      <c r="N173">
        <f>E172</f>
        <v/>
      </c>
      <c r="O173">
        <f>G172</f>
        <v/>
      </c>
      <c r="P173">
        <f>J172</f>
        <v/>
      </c>
    </row>
    <row r="174">
      <c r="B174" t="inlineStr">
        <is>
          <t>eqmt:</t>
        </is>
      </c>
      <c r="C174" t="inlineStr">
        <is>
          <t>RCU-R(4p)1,</t>
        </is>
      </c>
      <c r="D174" t="inlineStr">
        <is>
          <t>rcvr:</t>
        </is>
      </c>
      <c r="E174" t="inlineStr">
        <is>
          <t>R5,</t>
        </is>
      </c>
      <c r="F174" t="inlineStr">
        <is>
          <t>bar:</t>
        </is>
      </c>
      <c r="G174" t="inlineStr">
        <is>
          <t>bar17,</t>
        </is>
      </c>
      <c r="H174" t="inlineStr">
        <is>
          <t>barrier</t>
        </is>
      </c>
      <c r="I174" t="inlineStr">
        <is>
          <t>IL:</t>
        </is>
      </c>
      <c r="J174" t="n">
        <v>10</v>
      </c>
      <c r="M174">
        <f>C173</f>
        <v/>
      </c>
      <c r="N174">
        <f>E173</f>
        <v/>
      </c>
      <c r="O174">
        <f>G173</f>
        <v/>
      </c>
      <c r="P174">
        <f>J173</f>
        <v/>
      </c>
    </row>
    <row r="175">
      <c r="B175" t="inlineStr">
        <is>
          <t>eqmt:</t>
        </is>
      </c>
      <c r="C175" t="inlineStr">
        <is>
          <t>RCU-R(4p)2,</t>
        </is>
      </c>
      <c r="D175" t="inlineStr">
        <is>
          <t>rcvr:</t>
        </is>
      </c>
      <c r="E175" t="inlineStr">
        <is>
          <t>R5,</t>
        </is>
      </c>
      <c r="F175" t="inlineStr">
        <is>
          <t>bar:</t>
        </is>
      </c>
      <c r="G175" t="inlineStr">
        <is>
          <t>bar17,</t>
        </is>
      </c>
      <c r="H175" t="inlineStr">
        <is>
          <t>barrier</t>
        </is>
      </c>
      <c r="I175" t="inlineStr">
        <is>
          <t>IL:</t>
        </is>
      </c>
      <c r="J175" t="n">
        <v>4</v>
      </c>
      <c r="M175">
        <f>C174</f>
        <v/>
      </c>
      <c r="N175">
        <f>E174</f>
        <v/>
      </c>
      <c r="O175">
        <f>G174</f>
        <v/>
      </c>
      <c r="P175">
        <f>J174</f>
        <v/>
      </c>
    </row>
    <row r="176">
      <c r="B176" t="inlineStr">
        <is>
          <t>eqmt:</t>
        </is>
      </c>
      <c r="C176" t="inlineStr">
        <is>
          <t>RCU-R(4p)3,</t>
        </is>
      </c>
      <c r="D176" t="inlineStr">
        <is>
          <t>rcvr:</t>
        </is>
      </c>
      <c r="E176" t="inlineStr">
        <is>
          <t>R5,</t>
        </is>
      </c>
      <c r="F176" t="inlineStr">
        <is>
          <t>bar:</t>
        </is>
      </c>
      <c r="G176" t="inlineStr">
        <is>
          <t>bar17,</t>
        </is>
      </c>
      <c r="H176" t="inlineStr">
        <is>
          <t>barrier</t>
        </is>
      </c>
      <c r="I176" t="inlineStr">
        <is>
          <t>IL:</t>
        </is>
      </c>
      <c r="J176" t="n">
        <v>8</v>
      </c>
      <c r="M176">
        <f>C175</f>
        <v/>
      </c>
      <c r="N176">
        <f>E175</f>
        <v/>
      </c>
      <c r="O176">
        <f>G175</f>
        <v/>
      </c>
      <c r="P176">
        <f>J175</f>
        <v/>
      </c>
    </row>
    <row r="177">
      <c r="B177" t="inlineStr">
        <is>
          <t>eqmt:</t>
        </is>
      </c>
      <c r="C177" t="inlineStr">
        <is>
          <t>RCU-R(2p),</t>
        </is>
      </c>
      <c r="D177" t="inlineStr">
        <is>
          <t>rcvr:</t>
        </is>
      </c>
      <c r="E177" t="inlineStr">
        <is>
          <t>R5,</t>
        </is>
      </c>
      <c r="F177" t="inlineStr">
        <is>
          <t>bar:</t>
        </is>
      </c>
      <c r="G177" t="inlineStr">
        <is>
          <t>bar17,</t>
        </is>
      </c>
      <c r="H177" t="inlineStr">
        <is>
          <t>barrier</t>
        </is>
      </c>
      <c r="I177" t="inlineStr">
        <is>
          <t>IL:</t>
        </is>
      </c>
      <c r="J177" t="n">
        <v>8</v>
      </c>
      <c r="M177">
        <f>C176</f>
        <v/>
      </c>
      <c r="N177">
        <f>E176</f>
        <v/>
      </c>
      <c r="O177">
        <f>G176</f>
        <v/>
      </c>
      <c r="P177">
        <f>J176</f>
        <v/>
      </c>
    </row>
    <row r="178">
      <c r="B178" t="inlineStr">
        <is>
          <t>eqmt:</t>
        </is>
      </c>
      <c r="C178" t="inlineStr">
        <is>
          <t>RCU-R(2p)1,</t>
        </is>
      </c>
      <c r="D178" t="inlineStr">
        <is>
          <t>rcvr:</t>
        </is>
      </c>
      <c r="E178" t="inlineStr">
        <is>
          <t>R5,</t>
        </is>
      </c>
      <c r="F178" t="inlineStr">
        <is>
          <t>bar:</t>
        </is>
      </c>
      <c r="G178" t="inlineStr">
        <is>
          <t>bar17,</t>
        </is>
      </c>
      <c r="H178" t="inlineStr">
        <is>
          <t>barrier</t>
        </is>
      </c>
      <c r="I178" t="inlineStr">
        <is>
          <t>IL:</t>
        </is>
      </c>
      <c r="J178" t="n">
        <v>8</v>
      </c>
      <c r="M178">
        <f>C177</f>
        <v/>
      </c>
      <c r="N178">
        <f>E177</f>
        <v/>
      </c>
      <c r="O178">
        <f>G177</f>
        <v/>
      </c>
      <c r="P178">
        <f>J177</f>
        <v/>
      </c>
    </row>
    <row r="179">
      <c r="B179" t="inlineStr">
        <is>
          <t>eqmt:</t>
        </is>
      </c>
      <c r="C179" t="inlineStr">
        <is>
          <t>RCU-R(4p)4,</t>
        </is>
      </c>
      <c r="D179" t="inlineStr">
        <is>
          <t>rcvr:</t>
        </is>
      </c>
      <c r="E179" t="inlineStr">
        <is>
          <t>R5,</t>
        </is>
      </c>
      <c r="F179" t="inlineStr">
        <is>
          <t>bar:</t>
        </is>
      </c>
      <c r="G179" t="inlineStr">
        <is>
          <t>bar18,</t>
        </is>
      </c>
      <c r="H179" t="inlineStr">
        <is>
          <t>barrier</t>
        </is>
      </c>
      <c r="I179" t="inlineStr">
        <is>
          <t>IL:</t>
        </is>
      </c>
      <c r="J179" t="n">
        <v>8</v>
      </c>
      <c r="M179">
        <f>C178</f>
        <v/>
      </c>
      <c r="N179">
        <f>E178</f>
        <v/>
      </c>
      <c r="O179">
        <f>G178</f>
        <v/>
      </c>
      <c r="P179">
        <f>J178</f>
        <v/>
      </c>
    </row>
    <row r="180">
      <c r="B180" t="inlineStr">
        <is>
          <t>eqmt:</t>
        </is>
      </c>
      <c r="C180" t="inlineStr">
        <is>
          <t>RCU-R(2p)2,</t>
        </is>
      </c>
      <c r="D180" t="inlineStr">
        <is>
          <t>rcvr:</t>
        </is>
      </c>
      <c r="E180" t="inlineStr">
        <is>
          <t>R5,</t>
        </is>
      </c>
      <c r="F180" t="inlineStr">
        <is>
          <t>bar:</t>
        </is>
      </c>
      <c r="G180" t="inlineStr">
        <is>
          <t>bar18,</t>
        </is>
      </c>
      <c r="H180" t="inlineStr">
        <is>
          <t>barrier</t>
        </is>
      </c>
      <c r="I180" t="inlineStr">
        <is>
          <t>IL:</t>
        </is>
      </c>
      <c r="J180" t="n">
        <v>5</v>
      </c>
      <c r="M180">
        <f>C179</f>
        <v/>
      </c>
      <c r="N180">
        <f>E179</f>
        <v/>
      </c>
      <c r="O180">
        <f>G179</f>
        <v/>
      </c>
      <c r="P180">
        <f>J179</f>
        <v/>
      </c>
    </row>
    <row r="181">
      <c r="B181" t="inlineStr">
        <is>
          <t>eqmt:</t>
        </is>
      </c>
      <c r="C181" t="inlineStr">
        <is>
          <t>RCU-R(2p)3,</t>
        </is>
      </c>
      <c r="D181" t="inlineStr">
        <is>
          <t>rcvr:</t>
        </is>
      </c>
      <c r="E181" t="inlineStr">
        <is>
          <t>R5,</t>
        </is>
      </c>
      <c r="F181" t="inlineStr">
        <is>
          <t>bar:</t>
        </is>
      </c>
      <c r="G181" t="inlineStr">
        <is>
          <t>bar17,</t>
        </is>
      </c>
      <c r="H181" t="inlineStr">
        <is>
          <t>barrier</t>
        </is>
      </c>
      <c r="I181" t="inlineStr">
        <is>
          <t>IL:</t>
        </is>
      </c>
      <c r="J181" t="n">
        <v>6</v>
      </c>
      <c r="M181">
        <f>C180</f>
        <v/>
      </c>
      <c r="N181">
        <f>E180</f>
        <v/>
      </c>
      <c r="O181">
        <f>G180</f>
        <v/>
      </c>
      <c r="P181">
        <f>J180</f>
        <v/>
      </c>
    </row>
    <row r="182">
      <c r="B182" t="inlineStr">
        <is>
          <t>eqmt:</t>
        </is>
      </c>
      <c r="C182" t="inlineStr">
        <is>
          <t>RCU-R(2p)4,</t>
        </is>
      </c>
      <c r="D182" t="inlineStr">
        <is>
          <t>rcvr:</t>
        </is>
      </c>
      <c r="E182" t="inlineStr">
        <is>
          <t>R5,</t>
        </is>
      </c>
      <c r="F182" t="inlineStr">
        <is>
          <t>bar:</t>
        </is>
      </c>
      <c r="G182" t="inlineStr">
        <is>
          <t>bar17,</t>
        </is>
      </c>
      <c r="H182" t="inlineStr">
        <is>
          <t>barrier</t>
        </is>
      </c>
      <c r="I182" t="inlineStr">
        <is>
          <t>IL:</t>
        </is>
      </c>
      <c r="J182" t="n">
        <v>6</v>
      </c>
      <c r="M182">
        <f>C181</f>
        <v/>
      </c>
      <c r="N182">
        <f>E181</f>
        <v/>
      </c>
      <c r="O182">
        <f>G181</f>
        <v/>
      </c>
      <c r="P182">
        <f>J181</f>
        <v/>
      </c>
    </row>
    <row r="183">
      <c r="B183" t="inlineStr">
        <is>
          <t>eqmt:</t>
        </is>
      </c>
      <c r="C183" t="inlineStr">
        <is>
          <t>RCU-R(2p)5,</t>
        </is>
      </c>
      <c r="D183" t="inlineStr">
        <is>
          <t>rcvr:</t>
        </is>
      </c>
      <c r="E183" t="inlineStr">
        <is>
          <t>R5,</t>
        </is>
      </c>
      <c r="F183" t="inlineStr">
        <is>
          <t>bar:</t>
        </is>
      </c>
      <c r="G183" t="inlineStr">
        <is>
          <t>bar17,</t>
        </is>
      </c>
      <c r="H183" t="inlineStr">
        <is>
          <t>barrier</t>
        </is>
      </c>
      <c r="I183" t="inlineStr">
        <is>
          <t>IL:</t>
        </is>
      </c>
      <c r="J183" t="n">
        <v>5</v>
      </c>
      <c r="M183">
        <f>C182</f>
        <v/>
      </c>
      <c r="N183">
        <f>E182</f>
        <v/>
      </c>
      <c r="O183">
        <f>G182</f>
        <v/>
      </c>
      <c r="P183">
        <f>J182</f>
        <v/>
      </c>
    </row>
    <row r="184">
      <c r="B184" t="inlineStr">
        <is>
          <t>eqmt:</t>
        </is>
      </c>
      <c r="C184" t="inlineStr">
        <is>
          <t>RCU-R(2p)6,</t>
        </is>
      </c>
      <c r="D184" t="inlineStr">
        <is>
          <t>rcvr:</t>
        </is>
      </c>
      <c r="E184" t="inlineStr">
        <is>
          <t>R5,</t>
        </is>
      </c>
      <c r="F184" t="inlineStr">
        <is>
          <t>bar:</t>
        </is>
      </c>
      <c r="G184" t="inlineStr">
        <is>
          <t>bar17,</t>
        </is>
      </c>
      <c r="H184" t="inlineStr">
        <is>
          <t>barrier</t>
        </is>
      </c>
      <c r="I184" t="inlineStr">
        <is>
          <t>IL:</t>
        </is>
      </c>
      <c r="J184" t="n">
        <v>5</v>
      </c>
      <c r="M184">
        <f>C183</f>
        <v/>
      </c>
      <c r="N184">
        <f>E183</f>
        <v/>
      </c>
      <c r="O184">
        <f>G183</f>
        <v/>
      </c>
      <c r="P184">
        <f>J183</f>
        <v/>
      </c>
    </row>
    <row r="185">
      <c r="B185" t="inlineStr">
        <is>
          <t>eqmt:</t>
        </is>
      </c>
      <c r="C185" t="inlineStr">
        <is>
          <t>BEF-R01-,</t>
        </is>
      </c>
      <c r="D185" t="inlineStr">
        <is>
          <t>rcvr:</t>
        </is>
      </c>
      <c r="E185" t="inlineStr">
        <is>
          <t>R5,</t>
        </is>
      </c>
      <c r="F185" t="inlineStr">
        <is>
          <t>bar:</t>
        </is>
      </c>
      <c r="G185" t="inlineStr">
        <is>
          <t>None,</t>
        </is>
      </c>
      <c r="H185" t="inlineStr">
        <is>
          <t>barrier</t>
        </is>
      </c>
      <c r="I185" t="inlineStr">
        <is>
          <t>IL:</t>
        </is>
      </c>
      <c r="J185" t="n">
        <v>0</v>
      </c>
      <c r="M185">
        <f>C184</f>
        <v/>
      </c>
      <c r="N185">
        <f>E184</f>
        <v/>
      </c>
      <c r="O185">
        <f>G184</f>
        <v/>
      </c>
      <c r="P185">
        <f>J184</f>
        <v/>
      </c>
    </row>
    <row r="186">
      <c r="B186" t="inlineStr">
        <is>
          <t>eqmt:</t>
        </is>
      </c>
      <c r="C186" t="inlineStr">
        <is>
          <t>BEF-R02-,</t>
        </is>
      </c>
      <c r="D186" t="inlineStr">
        <is>
          <t>rcvr:</t>
        </is>
      </c>
      <c r="E186" t="inlineStr">
        <is>
          <t>R5,</t>
        </is>
      </c>
      <c r="F186" t="inlineStr">
        <is>
          <t>bar:</t>
        </is>
      </c>
      <c r="G186" t="inlineStr">
        <is>
          <t>bar20,</t>
        </is>
      </c>
      <c r="H186" t="inlineStr">
        <is>
          <t>barrier</t>
        </is>
      </c>
      <c r="I186" t="inlineStr">
        <is>
          <t>IL:</t>
        </is>
      </c>
      <c r="J186" t="n">
        <v>5</v>
      </c>
      <c r="M186">
        <f>C185</f>
        <v/>
      </c>
      <c r="N186">
        <f>E185</f>
        <v/>
      </c>
      <c r="O186">
        <f>G185</f>
        <v/>
      </c>
      <c r="P186">
        <f>J185</f>
        <v/>
      </c>
    </row>
    <row r="187">
      <c r="B187" t="inlineStr">
        <is>
          <t>eqmt:</t>
        </is>
      </c>
      <c r="C187" t="inlineStr">
        <is>
          <t>BEF-R03-,</t>
        </is>
      </c>
      <c r="D187" t="inlineStr">
        <is>
          <t>rcvr:</t>
        </is>
      </c>
      <c r="E187" t="inlineStr">
        <is>
          <t>R5,</t>
        </is>
      </c>
      <c r="F187" t="inlineStr">
        <is>
          <t>bar:</t>
        </is>
      </c>
      <c r="G187" t="inlineStr">
        <is>
          <t>bar17,</t>
        </is>
      </c>
      <c r="H187" t="inlineStr">
        <is>
          <t>barrier</t>
        </is>
      </c>
      <c r="I187" t="inlineStr">
        <is>
          <t>IL:</t>
        </is>
      </c>
      <c r="J187" t="n">
        <v>8</v>
      </c>
      <c r="M187">
        <f>C186</f>
        <v/>
      </c>
      <c r="N187">
        <f>E186</f>
        <v/>
      </c>
      <c r="O187">
        <f>G186</f>
        <v/>
      </c>
      <c r="P187">
        <f>J186</f>
        <v/>
      </c>
    </row>
    <row r="188">
      <c r="B188" t="inlineStr">
        <is>
          <t>eqmt:</t>
        </is>
      </c>
      <c r="C188" t="inlineStr">
        <is>
          <t>BEF-R04-,</t>
        </is>
      </c>
      <c r="D188" t="inlineStr">
        <is>
          <t>rcvr:</t>
        </is>
      </c>
      <c r="E188" t="inlineStr">
        <is>
          <t>R5,</t>
        </is>
      </c>
      <c r="F188" t="inlineStr">
        <is>
          <t>bar:</t>
        </is>
      </c>
      <c r="G188" t="inlineStr">
        <is>
          <t>bar17,</t>
        </is>
      </c>
      <c r="H188" t="inlineStr">
        <is>
          <t>barrier</t>
        </is>
      </c>
      <c r="I188" t="inlineStr">
        <is>
          <t>IL:</t>
        </is>
      </c>
      <c r="J188" t="n">
        <v>8</v>
      </c>
      <c r="M188">
        <f>C187</f>
        <v/>
      </c>
      <c r="N188">
        <f>E187</f>
        <v/>
      </c>
      <c r="O188">
        <f>G187</f>
        <v/>
      </c>
      <c r="P188">
        <f>J187</f>
        <v/>
      </c>
    </row>
    <row r="189">
      <c r="B189" t="inlineStr">
        <is>
          <t>eqmt:</t>
        </is>
      </c>
      <c r="C189" t="inlineStr">
        <is>
          <t>BEF-R05-,</t>
        </is>
      </c>
      <c r="D189" t="inlineStr">
        <is>
          <t>rcvr:</t>
        </is>
      </c>
      <c r="E189" t="inlineStr">
        <is>
          <t>R5,</t>
        </is>
      </c>
      <c r="F189" t="inlineStr">
        <is>
          <t>bar:</t>
        </is>
      </c>
      <c r="G189" t="inlineStr">
        <is>
          <t>bar17,</t>
        </is>
      </c>
      <c r="H189" t="inlineStr">
        <is>
          <t>barrier</t>
        </is>
      </c>
      <c r="I189" t="inlineStr">
        <is>
          <t>IL:</t>
        </is>
      </c>
      <c r="J189" t="n">
        <v>9</v>
      </c>
      <c r="M189">
        <f>C188</f>
        <v/>
      </c>
      <c r="N189">
        <f>E188</f>
        <v/>
      </c>
      <c r="O189">
        <f>G188</f>
        <v/>
      </c>
      <c r="P189">
        <f>J188</f>
        <v/>
      </c>
    </row>
    <row r="190">
      <c r="B190" t="inlineStr">
        <is>
          <t>eqmt:</t>
        </is>
      </c>
      <c r="C190" t="inlineStr">
        <is>
          <t>BEF-R06-,</t>
        </is>
      </c>
      <c r="D190" t="inlineStr">
        <is>
          <t>rcvr:</t>
        </is>
      </c>
      <c r="E190" t="inlineStr">
        <is>
          <t>R5,</t>
        </is>
      </c>
      <c r="F190" t="inlineStr">
        <is>
          <t>bar:</t>
        </is>
      </c>
      <c r="G190" t="inlineStr">
        <is>
          <t>bar17,</t>
        </is>
      </c>
      <c r="H190" t="inlineStr">
        <is>
          <t>barrier</t>
        </is>
      </c>
      <c r="I190" t="inlineStr">
        <is>
          <t>IL:</t>
        </is>
      </c>
      <c r="J190" t="n">
        <v>10</v>
      </c>
      <c r="M190">
        <f>C189</f>
        <v/>
      </c>
      <c r="N190">
        <f>E189</f>
        <v/>
      </c>
      <c r="O190">
        <f>G189</f>
        <v/>
      </c>
      <c r="P190">
        <f>J189</f>
        <v/>
      </c>
    </row>
    <row r="191">
      <c r="B191" t="inlineStr">
        <is>
          <t>eqmt:</t>
        </is>
      </c>
      <c r="C191" t="inlineStr">
        <is>
          <t>BEF-R07-,</t>
        </is>
      </c>
      <c r="D191" t="inlineStr">
        <is>
          <t>rcvr:</t>
        </is>
      </c>
      <c r="E191" t="inlineStr">
        <is>
          <t>R5,</t>
        </is>
      </c>
      <c r="F191" t="inlineStr">
        <is>
          <t>bar:</t>
        </is>
      </c>
      <c r="G191" t="inlineStr">
        <is>
          <t>bar17,</t>
        </is>
      </c>
      <c r="H191" t="inlineStr">
        <is>
          <t>barrier</t>
        </is>
      </c>
      <c r="I191" t="inlineStr">
        <is>
          <t>IL:</t>
        </is>
      </c>
      <c r="J191" t="n">
        <v>11</v>
      </c>
      <c r="M191">
        <f>C190</f>
        <v/>
      </c>
      <c r="N191">
        <f>E190</f>
        <v/>
      </c>
      <c r="O191">
        <f>G190</f>
        <v/>
      </c>
      <c r="P191">
        <f>J190</f>
        <v/>
      </c>
    </row>
    <row r="192">
      <c r="B192" t="inlineStr">
        <is>
          <t>eqmt:</t>
        </is>
      </c>
      <c r="C192" t="inlineStr">
        <is>
          <t>BEF-R08-,</t>
        </is>
      </c>
      <c r="D192" t="inlineStr">
        <is>
          <t>rcvr:</t>
        </is>
      </c>
      <c r="E192" t="inlineStr">
        <is>
          <t>R5,</t>
        </is>
      </c>
      <c r="F192" t="inlineStr">
        <is>
          <t>bar:</t>
        </is>
      </c>
      <c r="G192" t="inlineStr">
        <is>
          <t>bar17,</t>
        </is>
      </c>
      <c r="H192" t="inlineStr">
        <is>
          <t>barrier</t>
        </is>
      </c>
      <c r="I192" t="inlineStr">
        <is>
          <t>IL:</t>
        </is>
      </c>
      <c r="J192" t="n">
        <v>10</v>
      </c>
      <c r="M192">
        <f>C191</f>
        <v/>
      </c>
      <c r="N192">
        <f>E191</f>
        <v/>
      </c>
      <c r="O192">
        <f>G191</f>
        <v/>
      </c>
      <c r="P192">
        <f>J191</f>
        <v/>
      </c>
    </row>
    <row r="193">
      <c r="B193" t="inlineStr">
        <is>
          <t>eqmt:</t>
        </is>
      </c>
      <c r="C193" t="inlineStr">
        <is>
          <t>BEF-R09-,</t>
        </is>
      </c>
      <c r="D193" t="inlineStr">
        <is>
          <t>rcvr:</t>
        </is>
      </c>
      <c r="E193" t="inlineStr">
        <is>
          <t>R5,</t>
        </is>
      </c>
      <c r="F193" t="inlineStr">
        <is>
          <t>bar:</t>
        </is>
      </c>
      <c r="G193" t="inlineStr">
        <is>
          <t>bar17,</t>
        </is>
      </c>
      <c r="H193" t="inlineStr">
        <is>
          <t>barrier</t>
        </is>
      </c>
      <c r="I193" t="inlineStr">
        <is>
          <t>IL:</t>
        </is>
      </c>
      <c r="J193" t="n">
        <v>9</v>
      </c>
      <c r="M193">
        <f>C192</f>
        <v/>
      </c>
      <c r="N193">
        <f>E192</f>
        <v/>
      </c>
      <c r="O193">
        <f>G192</f>
        <v/>
      </c>
      <c r="P193">
        <f>J192</f>
        <v/>
      </c>
    </row>
    <row r="194">
      <c r="B194" t="inlineStr">
        <is>
          <t>eqmt:</t>
        </is>
      </c>
      <c r="C194" t="inlineStr">
        <is>
          <t>BEF-R10-,</t>
        </is>
      </c>
      <c r="D194" t="inlineStr">
        <is>
          <t>rcvr:</t>
        </is>
      </c>
      <c r="E194" t="inlineStr">
        <is>
          <t>R5,</t>
        </is>
      </c>
      <c r="F194" t="inlineStr">
        <is>
          <t>bar:</t>
        </is>
      </c>
      <c r="G194" t="inlineStr">
        <is>
          <t>bar17,</t>
        </is>
      </c>
      <c r="H194" t="inlineStr">
        <is>
          <t>barrier</t>
        </is>
      </c>
      <c r="I194" t="inlineStr">
        <is>
          <t>IL:</t>
        </is>
      </c>
      <c r="J194" t="n">
        <v>8</v>
      </c>
      <c r="M194">
        <f>C193</f>
        <v/>
      </c>
      <c r="N194">
        <f>E193</f>
        <v/>
      </c>
      <c r="O194">
        <f>G193</f>
        <v/>
      </c>
      <c r="P194">
        <f>J193</f>
        <v/>
      </c>
    </row>
    <row r="195">
      <c r="B195" t="inlineStr">
        <is>
          <t>eqmt:</t>
        </is>
      </c>
      <c r="C195" t="inlineStr">
        <is>
          <t>BEF-R11-,</t>
        </is>
      </c>
      <c r="D195" t="inlineStr">
        <is>
          <t>rcvr:</t>
        </is>
      </c>
      <c r="E195" t="inlineStr">
        <is>
          <t>R5,</t>
        </is>
      </c>
      <c r="F195" t="inlineStr">
        <is>
          <t>bar:</t>
        </is>
      </c>
      <c r="G195" t="inlineStr">
        <is>
          <t>bar17,</t>
        </is>
      </c>
      <c r="H195" t="inlineStr">
        <is>
          <t>barrier</t>
        </is>
      </c>
      <c r="I195" t="inlineStr">
        <is>
          <t>IL:</t>
        </is>
      </c>
      <c r="J195" t="n">
        <v>6</v>
      </c>
      <c r="M195">
        <f>C194</f>
        <v/>
      </c>
      <c r="N195">
        <f>E194</f>
        <v/>
      </c>
      <c r="O195">
        <f>G194</f>
        <v/>
      </c>
      <c r="P195">
        <f>J194</f>
        <v/>
      </c>
    </row>
    <row r="196">
      <c r="B196" t="inlineStr">
        <is>
          <t>eqmt:</t>
        </is>
      </c>
      <c r="C196" t="inlineStr">
        <is>
          <t>BEF-R12-,</t>
        </is>
      </c>
      <c r="D196" t="inlineStr">
        <is>
          <t>rcvr:</t>
        </is>
      </c>
      <c r="E196" t="inlineStr">
        <is>
          <t>R5,</t>
        </is>
      </c>
      <c r="F196" t="inlineStr">
        <is>
          <t>bar:</t>
        </is>
      </c>
      <c r="G196" t="inlineStr">
        <is>
          <t>bar17,</t>
        </is>
      </c>
      <c r="H196" t="inlineStr">
        <is>
          <t>barrier</t>
        </is>
      </c>
      <c r="I196" t="inlineStr">
        <is>
          <t>IL:</t>
        </is>
      </c>
      <c r="J196" t="n">
        <v>2</v>
      </c>
      <c r="M196">
        <f>C195</f>
        <v/>
      </c>
      <c r="N196">
        <f>E195</f>
        <v/>
      </c>
      <c r="O196">
        <f>G195</f>
        <v/>
      </c>
      <c r="P196">
        <f>J195</f>
        <v/>
      </c>
    </row>
    <row r="197">
      <c r="B197" t="inlineStr">
        <is>
          <t>eqmt:</t>
        </is>
      </c>
      <c r="C197" t="inlineStr">
        <is>
          <t>BEF-R13-,</t>
        </is>
      </c>
      <c r="D197" t="inlineStr">
        <is>
          <t>rcvr:</t>
        </is>
      </c>
      <c r="E197" t="inlineStr">
        <is>
          <t>R5,</t>
        </is>
      </c>
      <c r="F197" t="inlineStr">
        <is>
          <t>bar:</t>
        </is>
      </c>
      <c r="G197" t="inlineStr">
        <is>
          <t>bar17,</t>
        </is>
      </c>
      <c r="H197" t="inlineStr">
        <is>
          <t>barrier</t>
        </is>
      </c>
      <c r="I197" t="inlineStr">
        <is>
          <t>IL:</t>
        </is>
      </c>
      <c r="J197" t="n">
        <v>3</v>
      </c>
      <c r="M197">
        <f>C196</f>
        <v/>
      </c>
      <c r="N197">
        <f>E196</f>
        <v/>
      </c>
      <c r="O197">
        <f>G196</f>
        <v/>
      </c>
      <c r="P197">
        <f>J196</f>
        <v/>
      </c>
    </row>
    <row r="198">
      <c r="B198" t="inlineStr">
        <is>
          <t>eqmt:</t>
        </is>
      </c>
      <c r="C198" t="inlineStr">
        <is>
          <t>BEF-R14-,</t>
        </is>
      </c>
      <c r="D198" t="inlineStr">
        <is>
          <t>rcvr:</t>
        </is>
      </c>
      <c r="E198" t="inlineStr">
        <is>
          <t>R5,</t>
        </is>
      </c>
      <c r="F198" t="inlineStr">
        <is>
          <t>bar:</t>
        </is>
      </c>
      <c r="G198" t="inlineStr">
        <is>
          <t>bar18,</t>
        </is>
      </c>
      <c r="H198" t="inlineStr">
        <is>
          <t>barrier</t>
        </is>
      </c>
      <c r="I198" t="inlineStr">
        <is>
          <t>IL:</t>
        </is>
      </c>
      <c r="J198" t="n">
        <v>2</v>
      </c>
      <c r="M198">
        <f>C197</f>
        <v/>
      </c>
      <c r="N198">
        <f>E197</f>
        <v/>
      </c>
      <c r="O198">
        <f>G197</f>
        <v/>
      </c>
      <c r="P198">
        <f>J197</f>
        <v/>
      </c>
    </row>
    <row r="199">
      <c r="B199" t="inlineStr">
        <is>
          <t>eqmt:</t>
        </is>
      </c>
      <c r="C199" t="inlineStr">
        <is>
          <t>BEF-R15-,</t>
        </is>
      </c>
      <c r="D199" t="inlineStr">
        <is>
          <t>rcvr:</t>
        </is>
      </c>
      <c r="E199" t="inlineStr">
        <is>
          <t>R5,</t>
        </is>
      </c>
      <c r="F199" t="inlineStr">
        <is>
          <t>bar:</t>
        </is>
      </c>
      <c r="G199" t="inlineStr">
        <is>
          <t>None,</t>
        </is>
      </c>
      <c r="H199" t="inlineStr">
        <is>
          <t>barrier</t>
        </is>
      </c>
      <c r="I199" t="inlineStr">
        <is>
          <t>IL:</t>
        </is>
      </c>
      <c r="J199" t="n">
        <v>0</v>
      </c>
      <c r="M199">
        <f>C198</f>
        <v/>
      </c>
      <c r="N199">
        <f>E198</f>
        <v/>
      </c>
      <c r="O199">
        <f>G198</f>
        <v/>
      </c>
      <c r="P199">
        <f>J198</f>
        <v/>
      </c>
    </row>
    <row r="200">
      <c r="B200" t="inlineStr">
        <is>
          <t>eqmt:</t>
        </is>
      </c>
      <c r="C200" t="inlineStr">
        <is>
          <t>BEF-R16-,</t>
        </is>
      </c>
      <c r="D200" t="inlineStr">
        <is>
          <t>rcvr:</t>
        </is>
      </c>
      <c r="E200" t="inlineStr">
        <is>
          <t>R5,</t>
        </is>
      </c>
      <c r="F200" t="inlineStr">
        <is>
          <t>bar:</t>
        </is>
      </c>
      <c r="G200" t="inlineStr">
        <is>
          <t>bar17,</t>
        </is>
      </c>
      <c r="H200" t="inlineStr">
        <is>
          <t>barrier</t>
        </is>
      </c>
      <c r="I200" t="inlineStr">
        <is>
          <t>IL:</t>
        </is>
      </c>
      <c r="J200" t="n">
        <v>2</v>
      </c>
      <c r="M200">
        <f>C199</f>
        <v/>
      </c>
      <c r="N200">
        <f>E199</f>
        <v/>
      </c>
      <c r="O200">
        <f>G199</f>
        <v/>
      </c>
      <c r="P200">
        <f>J199</f>
        <v/>
      </c>
    </row>
    <row r="201">
      <c r="M201">
        <f>C200</f>
        <v/>
      </c>
      <c r="N201">
        <f>E200</f>
        <v/>
      </c>
      <c r="O201">
        <f>G200</f>
        <v/>
      </c>
      <c r="P201">
        <f>J200</f>
        <v/>
      </c>
    </row>
    <row r="202">
      <c r="M202">
        <f>C201</f>
        <v/>
      </c>
      <c r="N202">
        <f>E201</f>
        <v/>
      </c>
      <c r="O202">
        <f>G201</f>
        <v/>
      </c>
      <c r="P202">
        <f>J201</f>
        <v/>
      </c>
    </row>
    <row r="203">
      <c r="M203">
        <f>C202</f>
        <v/>
      </c>
      <c r="N203">
        <f>E202</f>
        <v/>
      </c>
      <c r="O203">
        <f>G202</f>
        <v/>
      </c>
      <c r="P203">
        <f>J202</f>
        <v/>
      </c>
    </row>
    <row r="204">
      <c r="M204">
        <f>C203</f>
        <v/>
      </c>
      <c r="N204">
        <f>E203</f>
        <v/>
      </c>
      <c r="O204">
        <f>G203</f>
        <v/>
      </c>
      <c r="P204">
        <f>J203</f>
        <v/>
      </c>
    </row>
    <row r="205">
      <c r="M205">
        <f>C204</f>
        <v/>
      </c>
      <c r="N205">
        <f>E204</f>
        <v/>
      </c>
      <c r="O205">
        <f>G204</f>
        <v/>
      </c>
      <c r="P205">
        <f>J204</f>
        <v/>
      </c>
    </row>
    <row r="206">
      <c r="M206">
        <f>C205</f>
        <v/>
      </c>
      <c r="N206">
        <f>E205</f>
        <v/>
      </c>
      <c r="O206">
        <f>G205</f>
        <v/>
      </c>
      <c r="P206">
        <f>J205</f>
        <v/>
      </c>
    </row>
    <row r="207">
      <c r="M207">
        <f>C206</f>
        <v/>
      </c>
      <c r="N207">
        <f>E206</f>
        <v/>
      </c>
      <c r="O207">
        <f>G206</f>
        <v/>
      </c>
      <c r="P207">
        <f>J206</f>
        <v/>
      </c>
    </row>
    <row r="208">
      <c r="M208">
        <f>C207</f>
        <v/>
      </c>
      <c r="N208">
        <f>E207</f>
        <v/>
      </c>
      <c r="O208">
        <f>G207</f>
        <v/>
      </c>
      <c r="P208">
        <f>J207</f>
        <v/>
      </c>
    </row>
    <row r="209">
      <c r="M209">
        <f>C208</f>
        <v/>
      </c>
      <c r="N209">
        <f>E208</f>
        <v/>
      </c>
      <c r="O209">
        <f>G208</f>
        <v/>
      </c>
      <c r="P209">
        <f>J208</f>
        <v/>
      </c>
    </row>
    <row r="210">
      <c r="M210">
        <f>C209</f>
        <v/>
      </c>
      <c r="N210">
        <f>E209</f>
        <v/>
      </c>
      <c r="O210">
        <f>G209</f>
        <v/>
      </c>
      <c r="P210">
        <f>J209</f>
        <v/>
      </c>
    </row>
    <row r="211">
      <c r="M211">
        <f>C210</f>
        <v/>
      </c>
      <c r="N211">
        <f>E210</f>
        <v/>
      </c>
      <c r="O211">
        <f>G210</f>
        <v/>
      </c>
      <c r="P211">
        <f>J210</f>
        <v/>
      </c>
    </row>
    <row r="212">
      <c r="M212">
        <f>C211</f>
        <v/>
      </c>
      <c r="N212">
        <f>E211</f>
        <v/>
      </c>
      <c r="O212">
        <f>G211</f>
        <v/>
      </c>
      <c r="P212">
        <f>J211</f>
        <v/>
      </c>
    </row>
    <row r="213">
      <c r="M213">
        <f>C212</f>
        <v/>
      </c>
      <c r="N213">
        <f>E212</f>
        <v/>
      </c>
      <c r="O213">
        <f>G212</f>
        <v/>
      </c>
      <c r="P213">
        <f>J212</f>
        <v/>
      </c>
    </row>
    <row r="214">
      <c r="M214">
        <f>C213</f>
        <v/>
      </c>
      <c r="N214">
        <f>E213</f>
        <v/>
      </c>
      <c r="O214">
        <f>G213</f>
        <v/>
      </c>
      <c r="P214">
        <f>J213</f>
        <v/>
      </c>
    </row>
    <row r="215">
      <c r="M215">
        <f>C214</f>
        <v/>
      </c>
      <c r="N215">
        <f>E214</f>
        <v/>
      </c>
      <c r="O215">
        <f>G214</f>
        <v/>
      </c>
      <c r="P215">
        <f>J214</f>
        <v/>
      </c>
    </row>
    <row r="216">
      <c r="M216">
        <f>C215</f>
        <v/>
      </c>
      <c r="N216">
        <f>E215</f>
        <v/>
      </c>
      <c r="O216">
        <f>G215</f>
        <v/>
      </c>
      <c r="P216">
        <f>J215</f>
        <v/>
      </c>
    </row>
    <row r="217">
      <c r="M217">
        <f>C216</f>
        <v/>
      </c>
      <c r="N217">
        <f>E216</f>
        <v/>
      </c>
      <c r="O217">
        <f>G216</f>
        <v/>
      </c>
      <c r="P217">
        <f>J216</f>
        <v/>
      </c>
    </row>
    <row r="218">
      <c r="M218">
        <f>C217</f>
        <v/>
      </c>
      <c r="N218">
        <f>E217</f>
        <v/>
      </c>
      <c r="O218">
        <f>G217</f>
        <v/>
      </c>
      <c r="P218">
        <f>J217</f>
        <v/>
      </c>
    </row>
    <row r="219">
      <c r="M219">
        <f>C218</f>
        <v/>
      </c>
      <c r="N219">
        <f>E218</f>
        <v/>
      </c>
      <c r="O219">
        <f>G218</f>
        <v/>
      </c>
      <c r="P219">
        <f>J218</f>
        <v/>
      </c>
    </row>
    <row r="220">
      <c r="M220">
        <f>C219</f>
        <v/>
      </c>
      <c r="N220">
        <f>E219</f>
        <v/>
      </c>
      <c r="O220">
        <f>G219</f>
        <v/>
      </c>
      <c r="P220">
        <f>J219</f>
        <v/>
      </c>
    </row>
    <row r="221">
      <c r="M221">
        <f>C220</f>
        <v/>
      </c>
      <c r="N221">
        <f>E220</f>
        <v/>
      </c>
      <c r="O221">
        <f>G220</f>
        <v/>
      </c>
      <c r="P221">
        <f>J220</f>
        <v/>
      </c>
    </row>
    <row r="222">
      <c r="M222">
        <f>C221</f>
        <v/>
      </c>
      <c r="N222">
        <f>E221</f>
        <v/>
      </c>
      <c r="O222">
        <f>G221</f>
        <v/>
      </c>
      <c r="P222">
        <f>J221</f>
        <v/>
      </c>
    </row>
    <row r="223">
      <c r="M223">
        <f>C222</f>
        <v/>
      </c>
      <c r="N223">
        <f>E222</f>
        <v/>
      </c>
      <c r="O223">
        <f>G222</f>
        <v/>
      </c>
      <c r="P223">
        <f>J222</f>
        <v/>
      </c>
    </row>
    <row r="224">
      <c r="M224">
        <f>C223</f>
        <v/>
      </c>
      <c r="N224">
        <f>E223</f>
        <v/>
      </c>
      <c r="O224">
        <f>G223</f>
        <v/>
      </c>
      <c r="P224">
        <f>J223</f>
        <v/>
      </c>
    </row>
    <row r="225">
      <c r="M225">
        <f>C224</f>
        <v/>
      </c>
      <c r="N225">
        <f>E224</f>
        <v/>
      </c>
      <c r="O225">
        <f>G224</f>
        <v/>
      </c>
      <c r="P225">
        <f>J224</f>
        <v/>
      </c>
    </row>
    <row r="226">
      <c r="M226">
        <f>C225</f>
        <v/>
      </c>
      <c r="N226">
        <f>E225</f>
        <v/>
      </c>
      <c r="O226">
        <f>G225</f>
        <v/>
      </c>
      <c r="P226">
        <f>J225</f>
        <v/>
      </c>
    </row>
    <row r="227">
      <c r="M227">
        <f>C226</f>
        <v/>
      </c>
      <c r="N227">
        <f>E226</f>
        <v/>
      </c>
      <c r="O227">
        <f>G226</f>
        <v/>
      </c>
      <c r="P227">
        <f>J226</f>
        <v/>
      </c>
    </row>
    <row r="228">
      <c r="M228">
        <f>C227</f>
        <v/>
      </c>
      <c r="N228">
        <f>E227</f>
        <v/>
      </c>
      <c r="O228">
        <f>G227</f>
        <v/>
      </c>
      <c r="P228">
        <f>J227</f>
        <v/>
      </c>
    </row>
    <row r="229">
      <c r="M229">
        <f>C228</f>
        <v/>
      </c>
      <c r="N229">
        <f>E228</f>
        <v/>
      </c>
      <c r="O229">
        <f>G228</f>
        <v/>
      </c>
      <c r="P229">
        <f>J228</f>
        <v/>
      </c>
    </row>
    <row r="230">
      <c r="M230">
        <f>C229</f>
        <v/>
      </c>
      <c r="N230">
        <f>E229</f>
        <v/>
      </c>
      <c r="O230">
        <f>G229</f>
        <v/>
      </c>
      <c r="P230">
        <f>J229</f>
        <v/>
      </c>
    </row>
    <row r="231">
      <c r="M231">
        <f>C230</f>
        <v/>
      </c>
      <c r="N231">
        <f>E230</f>
        <v/>
      </c>
      <c r="O231">
        <f>G230</f>
        <v/>
      </c>
      <c r="P231">
        <f>J230</f>
        <v/>
      </c>
    </row>
    <row r="232">
      <c r="M232">
        <f>C231</f>
        <v/>
      </c>
      <c r="N232">
        <f>E231</f>
        <v/>
      </c>
      <c r="O232">
        <f>G231</f>
        <v/>
      </c>
      <c r="P232">
        <f>J231</f>
        <v/>
      </c>
    </row>
    <row r="233">
      <c r="M233">
        <f>C232</f>
        <v/>
      </c>
      <c r="N233">
        <f>E232</f>
        <v/>
      </c>
      <c r="O233">
        <f>G232</f>
        <v/>
      </c>
      <c r="P233">
        <f>J232</f>
        <v/>
      </c>
    </row>
    <row r="234">
      <c r="M234">
        <f>C233</f>
        <v/>
      </c>
      <c r="N234">
        <f>E233</f>
        <v/>
      </c>
      <c r="O234">
        <f>G233</f>
        <v/>
      </c>
      <c r="P234">
        <f>J233</f>
        <v/>
      </c>
    </row>
    <row r="235">
      <c r="M235">
        <f>C234</f>
        <v/>
      </c>
      <c r="N235">
        <f>E234</f>
        <v/>
      </c>
      <c r="O235">
        <f>G234</f>
        <v/>
      </c>
      <c r="P235">
        <f>J234</f>
        <v/>
      </c>
    </row>
    <row r="236">
      <c r="M236">
        <f>C235</f>
        <v/>
      </c>
      <c r="N236">
        <f>E235</f>
        <v/>
      </c>
      <c r="O236">
        <f>G235</f>
        <v/>
      </c>
      <c r="P236">
        <f>J235</f>
        <v/>
      </c>
    </row>
    <row r="237">
      <c r="M237">
        <f>C236</f>
        <v/>
      </c>
      <c r="N237">
        <f>E236</f>
        <v/>
      </c>
      <c r="O237">
        <f>G236</f>
        <v/>
      </c>
      <c r="P237">
        <f>J236</f>
        <v/>
      </c>
    </row>
    <row r="238">
      <c r="M238">
        <f>C237</f>
        <v/>
      </c>
      <c r="N238">
        <f>E237</f>
        <v/>
      </c>
      <c r="O238">
        <f>G237</f>
        <v/>
      </c>
      <c r="P238">
        <f>J237</f>
        <v/>
      </c>
    </row>
    <row r="239">
      <c r="M239">
        <f>C238</f>
        <v/>
      </c>
      <c r="N239">
        <f>E238</f>
        <v/>
      </c>
      <c r="O239">
        <f>G238</f>
        <v/>
      </c>
      <c r="P239">
        <f>J238</f>
        <v/>
      </c>
    </row>
    <row r="240">
      <c r="M240">
        <f>C239</f>
        <v/>
      </c>
      <c r="N240">
        <f>E239</f>
        <v/>
      </c>
      <c r="O240">
        <f>G239</f>
        <v/>
      </c>
      <c r="P240">
        <f>J239</f>
        <v/>
      </c>
    </row>
    <row r="241">
      <c r="M241">
        <f>C240</f>
        <v/>
      </c>
      <c r="N241">
        <f>E240</f>
        <v/>
      </c>
      <c r="O241">
        <f>G240</f>
        <v/>
      </c>
      <c r="P241">
        <f>J240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B2:S60"/>
  <sheetViews>
    <sheetView zoomScaleNormal="100" workbookViewId="0">
      <selection activeCell="E7" sqref="E7"/>
    </sheetView>
  </sheetViews>
  <sheetFormatPr baseColWidth="8" defaultRowHeight="14.4"/>
  <cols>
    <col width="9.109375" customWidth="1" min="1" max="1"/>
    <col width="9.109375" customWidth="1" style="67" min="2" max="2"/>
    <col width="23.109375" bestFit="1" customWidth="1" min="3" max="3"/>
    <col width="6.6640625" customWidth="1" min="4" max="4"/>
    <col width="15.6640625" bestFit="1" customWidth="1" min="5" max="5"/>
    <col width="9.109375" bestFit="1" customWidth="1" min="6" max="6"/>
    <col width="18" bestFit="1" customWidth="1" min="7" max="7"/>
    <col width="8.33203125" customWidth="1" min="8" max="8"/>
    <col width="8.6640625" customWidth="1" min="14" max="14"/>
    <col width="9.109375" customWidth="1" style="67" min="15" max="15"/>
    <col width="23.109375" bestFit="1" customWidth="1" min="16" max="16"/>
    <col width="6.6640625" customWidth="1" min="17" max="17"/>
    <col width="15.6640625" bestFit="1" customWidth="1" min="18" max="18"/>
    <col width="8.33203125" customWidth="1" min="19" max="19"/>
  </cols>
  <sheetData>
    <row r="1" ht="15.75" customHeight="1" thickBot="1"/>
    <row r="2" ht="33.75" customHeight="1" thickBot="1">
      <c r="B2" s="93" t="inlineStr">
        <is>
          <t>Count</t>
        </is>
      </c>
      <c r="C2" s="94" t="inlineStr">
        <is>
          <t>Source - Path</t>
        </is>
      </c>
      <c r="D2" s="95" t="inlineStr">
        <is>
          <t>LwA</t>
        </is>
      </c>
      <c r="E2" s="95" t="inlineStr">
        <is>
          <t>Loss/Distance(ft)</t>
        </is>
      </c>
      <c r="F2" s="96" t="inlineStr">
        <is>
          <t>Barrier IL</t>
        </is>
      </c>
      <c r="G2" s="97" t="inlineStr">
        <is>
          <t>IL
 (duct, silencer, etc)</t>
        </is>
      </c>
      <c r="H2" s="98" t="inlineStr">
        <is>
          <t>dB(A)</t>
        </is>
      </c>
      <c r="J2" s="69" t="inlineStr">
        <is>
          <t>R2</t>
        </is>
      </c>
      <c r="O2" s="93" t="inlineStr">
        <is>
          <t>Count</t>
        </is>
      </c>
      <c r="P2" s="94" t="inlineStr">
        <is>
          <t>Source - Path</t>
        </is>
      </c>
      <c r="Q2" s="95" t="inlineStr">
        <is>
          <t>LwA</t>
        </is>
      </c>
      <c r="R2" s="95" t="inlineStr">
        <is>
          <t>Loss/Distance(ft)</t>
        </is>
      </c>
      <c r="S2" s="98" t="inlineStr">
        <is>
          <t>dB(A)</t>
        </is>
      </c>
    </row>
    <row r="3" ht="16.5" customHeight="1">
      <c r="B3" s="191">
        <f>IF('Input LwA_XYZ'!A2 = 0, "", 'Input LwA_XYZ'!A2)</f>
        <v/>
      </c>
      <c r="C3" s="192">
        <f>IF($B3="","",_xlfn.TEXTJOIN(" - ",TRUE,'Input LwA_XYZ'!B2:C2))</f>
        <v/>
      </c>
      <c r="D3" s="90">
        <f>IF($B3="","",'Input LwA_XYZ'!Q2)</f>
        <v/>
      </c>
      <c r="E3" s="91">
        <f>IF($B3="","",-1*ROUND(_xlfn.XLOOKUP($J$2,'Input LwA_XYZ'!$AY$1:$BM$1,'Input LwA_XYZ'!AY2:BM2),0) &amp; " / " &amp; ROUND(_xlfn.XLOOKUP($J$2,'Input LwA_XYZ'!$AH$1:$AV$1,'Input LwA_XYZ'!AH2:AV2),0) &amp; " ft")</f>
        <v/>
      </c>
      <c r="F3" s="91">
        <f>IF($B3="","",IF(_xlfn.XLOOKUP($J$2,'Input LwA_XYZ'!$BV$1:$CJ$1,'Input LwA_XYZ'!BV2:CJ2)="","-",_xlfn.XLOOKUP($J$2,'Input LwA_XYZ'!$BV$1:$CJ$1,'Input LwA_XYZ'!BV2:CJ2)))</f>
        <v/>
      </c>
      <c r="G3" s="91">
        <f>IF($B3="","",IF('Input LwA_XYZ'!S2="","-",'Input LwA_XYZ'!S2))</f>
        <v/>
      </c>
      <c r="H3" s="92">
        <f>IF($B3="","",_xlfn.XLOOKUP($J$2,'Input LwA_XYZ'!$CM$1:$DA$1,'Input LwA_XYZ'!CM2:DA2))</f>
        <v/>
      </c>
      <c r="I3" s="5">
        <f>IFERROR(10^(H3/10),0)</f>
        <v/>
      </c>
      <c r="J3" s="107">
        <f>H3</f>
        <v/>
      </c>
      <c r="O3" s="193" t="n">
        <v>1</v>
      </c>
      <c r="P3" s="194" t="inlineStr">
        <is>
          <t>DOAS-R-1 - Outlet</t>
        </is>
      </c>
      <c r="Q3" s="90" t="n">
        <v>83</v>
      </c>
      <c r="R3" s="91" t="inlineStr">
        <is>
          <t>40 / 124 ft</t>
        </is>
      </c>
      <c r="S3" s="92" t="n">
        <v>41.45861694851669</v>
      </c>
    </row>
    <row r="4" ht="16.5" customHeight="1">
      <c r="B4" s="195">
        <f>IF('Input LwA_XYZ'!A3 = 0, "", 'Input LwA_XYZ'!A3)</f>
        <v/>
      </c>
      <c r="C4" s="192">
        <f>IF($B4="","",_xlfn.TEXTJOIN(" - ",TRUE,'Input LwA_XYZ'!B3:C3))</f>
        <v/>
      </c>
      <c r="D4" s="64">
        <f>IF($B4="","",'Input LwA_XYZ'!Q3)</f>
        <v/>
      </c>
      <c r="E4" s="91">
        <f>IF($B4="","",-1*ROUND(_xlfn.XLOOKUP($J$2,'Input LwA_XYZ'!$AY$1:$BM$1,'Input LwA_XYZ'!AY3:BM3),0) &amp; " / " &amp; ROUND(_xlfn.XLOOKUP($J$2,'Input LwA_XYZ'!$AH$1:$AV$1,'Input LwA_XYZ'!AH3:AV3),0) &amp; " ft")</f>
        <v/>
      </c>
      <c r="F4" s="91">
        <f>IF($B4="","",IF(_xlfn.XLOOKUP($J$2,'Input LwA_XYZ'!$BV$1:$CJ$1,'Input LwA_XYZ'!BV3:CJ3)="","-",_xlfn.XLOOKUP($J$2,'Input LwA_XYZ'!$BV$1:$CJ$1,'Input LwA_XYZ'!BV3:CJ3)))</f>
        <v/>
      </c>
      <c r="G4" s="91">
        <f>IF($B4="","",IF('Input LwA_XYZ'!S3="","-",'Input LwA_XYZ'!S3))</f>
        <v/>
      </c>
      <c r="H4" s="65">
        <f>IF($B4="","",_xlfn.XLOOKUP($J$2,'Input LwA_XYZ'!$CM$1:$DA$1,'Input LwA_XYZ'!CM3:DA3))</f>
        <v/>
      </c>
      <c r="I4" s="5">
        <f>IFERROR(10^(H4/10),0)</f>
        <v/>
      </c>
      <c r="J4" s="107">
        <f>H4</f>
        <v/>
      </c>
      <c r="O4" s="196" t="n">
        <v>1</v>
      </c>
      <c r="P4" s="194" t="inlineStr">
        <is>
          <t>DOAS-3-1 - Outlet</t>
        </is>
      </c>
      <c r="Q4" s="64" t="n">
        <v>80</v>
      </c>
      <c r="R4" s="91" t="inlineStr">
        <is>
          <t>37 / 87 ft</t>
        </is>
      </c>
      <c r="S4" s="65" t="n">
        <v>37.49730226646051</v>
      </c>
    </row>
    <row r="5" ht="16.5" customHeight="1">
      <c r="B5" s="195">
        <f>IF('Input LwA_XYZ'!A4 = 0, "", 'Input LwA_XYZ'!A4)</f>
        <v/>
      </c>
      <c r="C5" s="192">
        <f>IF($B5="","",_xlfn.TEXTJOIN(" - ",TRUE,'Input LwA_XYZ'!B4:C4))</f>
        <v/>
      </c>
      <c r="D5" s="64">
        <f>IF($B5="","",'Input LwA_XYZ'!Q4)</f>
        <v/>
      </c>
      <c r="E5" s="91">
        <f>IF($B5="","",-1*ROUND(_xlfn.XLOOKUP($J$2,'Input LwA_XYZ'!$AY$1:$BM$1,'Input LwA_XYZ'!AY4:BM4),0) &amp; " / " &amp; ROUND(_xlfn.XLOOKUP($J$2,'Input LwA_XYZ'!$AH$1:$AV$1,'Input LwA_XYZ'!AH4:AV4),0) &amp; " ft")</f>
        <v/>
      </c>
      <c r="F5" s="91">
        <f>IF($B5="","",IF(_xlfn.XLOOKUP($J$2,'Input LwA_XYZ'!$BV$1:$CJ$1,'Input LwA_XYZ'!BV4:CJ4)="","-",_xlfn.XLOOKUP($J$2,'Input LwA_XYZ'!$BV$1:$CJ$1,'Input LwA_XYZ'!BV4:CJ4)))</f>
        <v/>
      </c>
      <c r="G5" s="91">
        <f>IF($B5="","",IF('Input LwA_XYZ'!S4="","-",'Input LwA_XYZ'!S4))</f>
        <v/>
      </c>
      <c r="H5" s="65">
        <f>IF($B5="","",_xlfn.XLOOKUP($J$2,'Input LwA_XYZ'!$CM$1:$DA$1,'Input LwA_XYZ'!CM4:DA4))</f>
        <v/>
      </c>
      <c r="I5" s="5">
        <f>IFERROR(10^(H5/10),0)</f>
        <v/>
      </c>
      <c r="J5" s="107">
        <f>H5</f>
        <v/>
      </c>
      <c r="O5" s="196" t="n">
        <v>1</v>
      </c>
      <c r="P5" s="194" t="inlineStr">
        <is>
          <t>CU-R-1 - Radiated</t>
        </is>
      </c>
      <c r="Q5" s="64" t="n">
        <v>69.99777612758484</v>
      </c>
      <c r="R5" s="91" t="inlineStr">
        <is>
          <t>41 / 147 ft</t>
        </is>
      </c>
      <c r="S5" s="65" t="n">
        <v>28.96480597260228</v>
      </c>
    </row>
    <row r="6" ht="16.5" customHeight="1">
      <c r="B6" s="195">
        <f>IF('Input LwA_XYZ'!A5 = 0, "", 'Input LwA_XYZ'!A5)</f>
        <v/>
      </c>
      <c r="C6" s="192">
        <f>IF($B6="","",_xlfn.TEXTJOIN(" - ",TRUE,'Input LwA_XYZ'!B5:C5))</f>
        <v/>
      </c>
      <c r="D6" s="64">
        <f>IF($B6="","",'Input LwA_XYZ'!Q5)</f>
        <v/>
      </c>
      <c r="E6" s="91">
        <f>IF($B6="","",-1*ROUND(_xlfn.XLOOKUP($J$2,'Input LwA_XYZ'!$AY$1:$BM$1,'Input LwA_XYZ'!AY5:BM5),0) &amp; " / " &amp; ROUND(_xlfn.XLOOKUP($J$2,'Input LwA_XYZ'!$AH$1:$AV$1,'Input LwA_XYZ'!AH5:AV5),0) &amp; " ft")</f>
        <v/>
      </c>
      <c r="F6" s="91">
        <f>IF($B6="","",IF(_xlfn.XLOOKUP($J$2,'Input LwA_XYZ'!$BV$1:$CJ$1,'Input LwA_XYZ'!BV5:CJ5)="","-",_xlfn.XLOOKUP($J$2,'Input LwA_XYZ'!$BV$1:$CJ$1,'Input LwA_XYZ'!BV5:CJ5)))</f>
        <v/>
      </c>
      <c r="G6" s="91">
        <f>IF($B6="","",IF('Input LwA_XYZ'!S5="","-",'Input LwA_XYZ'!S5))</f>
        <v/>
      </c>
      <c r="H6" s="65">
        <f>IF($B6="","",_xlfn.XLOOKUP($J$2,'Input LwA_XYZ'!$CM$1:$DA$1,'Input LwA_XYZ'!CM5:DA5))</f>
        <v/>
      </c>
      <c r="I6" s="5">
        <f>IFERROR(10^(H6/10),0)</f>
        <v/>
      </c>
      <c r="J6" s="107">
        <f>H6</f>
        <v/>
      </c>
      <c r="O6" s="196" t="n">
        <v>1</v>
      </c>
      <c r="P6" s="194" t="inlineStr">
        <is>
          <t>CU-R-3 - Radiated</t>
        </is>
      </c>
      <c r="Q6" s="64" t="n">
        <v>68.99777612758486</v>
      </c>
      <c r="R6" s="91" t="inlineStr">
        <is>
          <t>41 / 146 ft</t>
        </is>
      </c>
      <c r="S6" s="65" t="n">
        <v>28.0037121341698</v>
      </c>
    </row>
    <row r="7" ht="16.5" customHeight="1">
      <c r="B7" s="195">
        <f>IF('Input LwA_XYZ'!A6 = 0, "", 'Input LwA_XYZ'!A6)</f>
        <v/>
      </c>
      <c r="C7" s="192">
        <f>IF($B7="","",_xlfn.TEXTJOIN(" - ",TRUE,'Input LwA_XYZ'!B6:C6))</f>
        <v/>
      </c>
      <c r="D7" s="64">
        <f>IF($B7="","",'Input LwA_XYZ'!Q6)</f>
        <v/>
      </c>
      <c r="E7" s="91">
        <f>IF($B7="","",-1*ROUND(_xlfn.XLOOKUP($J$2,'Input LwA_XYZ'!$AY$1:$BM$1,'Input LwA_XYZ'!AY6:BM6),0) &amp; " / " &amp; ROUND(_xlfn.XLOOKUP($J$2,'Input LwA_XYZ'!$AH$1:$AV$1,'Input LwA_XYZ'!AH6:AV6),0) &amp; " ft")</f>
        <v/>
      </c>
      <c r="F7" s="91">
        <f>IF($B7="","",IF(_xlfn.XLOOKUP($J$2,'Input LwA_XYZ'!$BV$1:$CJ$1,'Input LwA_XYZ'!BV6:CJ6)="","-",_xlfn.XLOOKUP($J$2,'Input LwA_XYZ'!$BV$1:$CJ$1,'Input LwA_XYZ'!BV6:CJ6)))</f>
        <v/>
      </c>
      <c r="G7" s="91">
        <f>IF($B7="","",IF('Input LwA_XYZ'!S6="","-",'Input LwA_XYZ'!S6))</f>
        <v/>
      </c>
      <c r="H7" s="65">
        <f>IF($B7="","",_xlfn.XLOOKUP($J$2,'Input LwA_XYZ'!$CM$1:$DA$1,'Input LwA_XYZ'!CM6:DA6))</f>
        <v/>
      </c>
      <c r="I7" s="5">
        <f>IFERROR(10^(H7/10),0)</f>
        <v/>
      </c>
      <c r="J7" s="107">
        <f>H7</f>
        <v/>
      </c>
      <c r="O7" s="196" t="n">
        <v>1</v>
      </c>
      <c r="P7" s="194" t="inlineStr">
        <is>
          <t>CU-R-6 - Radiated</t>
        </is>
      </c>
      <c r="Q7" s="64" t="n">
        <v>69.99777612758484</v>
      </c>
      <c r="R7" s="91" t="inlineStr">
        <is>
          <t>41 / 143 ft</t>
        </is>
      </c>
      <c r="S7" s="65" t="n">
        <v>29.22213543755055</v>
      </c>
    </row>
    <row r="8" ht="16.5" customHeight="1">
      <c r="B8" s="195">
        <f>IF('Input LwA_XYZ'!A7 = 0, "", 'Input LwA_XYZ'!A7)</f>
        <v/>
      </c>
      <c r="C8" s="192">
        <f>IF($B8="","",_xlfn.TEXTJOIN(" - ",TRUE,'Input LwA_XYZ'!B7:C7))</f>
        <v/>
      </c>
      <c r="D8" s="64">
        <f>IF($B8="","",'Input LwA_XYZ'!Q7)</f>
        <v/>
      </c>
      <c r="E8" s="91">
        <f>IF($B8="","",-1*ROUND(_xlfn.XLOOKUP($J$2,'Input LwA_XYZ'!$AY$1:$BM$1,'Input LwA_XYZ'!AY7:BM7),0) &amp; " / " &amp; ROUND(_xlfn.XLOOKUP($J$2,'Input LwA_XYZ'!$AH$1:$AV$1,'Input LwA_XYZ'!AH7:AV7),0) &amp; " ft")</f>
        <v/>
      </c>
      <c r="F8" s="91">
        <f>IF($B8="","",IF(_xlfn.XLOOKUP($J$2,'Input LwA_XYZ'!$BV$1:$CJ$1,'Input LwA_XYZ'!BV7:CJ7)="","-",_xlfn.XLOOKUP($J$2,'Input LwA_XYZ'!$BV$1:$CJ$1,'Input LwA_XYZ'!BV7:CJ7)))</f>
        <v/>
      </c>
      <c r="G8" s="91">
        <f>IF($B8="","",IF('Input LwA_XYZ'!S7="","-",'Input LwA_XYZ'!S7))</f>
        <v/>
      </c>
      <c r="H8" s="65">
        <f>IF($B8="","",_xlfn.XLOOKUP($J$2,'Input LwA_XYZ'!$CM$1:$DA$1,'Input LwA_XYZ'!CM7:DA7))</f>
        <v/>
      </c>
      <c r="I8" s="5">
        <f>IFERROR(10^(H8/10),0)</f>
        <v/>
      </c>
      <c r="J8" s="107">
        <f>H8</f>
        <v/>
      </c>
      <c r="O8" s="196" t="n">
        <v>1</v>
      </c>
      <c r="P8" s="194" t="inlineStr">
        <is>
          <t>CU-R-7 - Radiated</t>
        </is>
      </c>
      <c r="Q8" s="64" t="n">
        <v>65.99777612758484</v>
      </c>
      <c r="R8" s="91" t="inlineStr">
        <is>
          <t>41 / 148 ft</t>
        </is>
      </c>
      <c r="S8" s="65" t="n">
        <v>24.91869316972111</v>
      </c>
    </row>
    <row r="9" ht="16.5" customHeight="1">
      <c r="B9" s="195">
        <f>IF('Input LwA_XYZ'!A8 = 0, "", 'Input LwA_XYZ'!A8)</f>
        <v/>
      </c>
      <c r="C9" s="192">
        <f>IF($B9="","",_xlfn.TEXTJOIN(" - ",TRUE,'Input LwA_XYZ'!B8:C8))</f>
        <v/>
      </c>
      <c r="D9" s="64">
        <f>IF($B9="","",'Input LwA_XYZ'!Q8)</f>
        <v/>
      </c>
      <c r="E9" s="91">
        <f>IF($B9="","",-1*ROUND(_xlfn.XLOOKUP($J$2,'Input LwA_XYZ'!$AY$1:$BM$1,'Input LwA_XYZ'!AY8:BM8),0) &amp; " / " &amp; ROUND(_xlfn.XLOOKUP($J$2,'Input LwA_XYZ'!$AH$1:$AV$1,'Input LwA_XYZ'!AH8:AV8),0) &amp; " ft")</f>
        <v/>
      </c>
      <c r="F9" s="91">
        <f>IF($B9="","",IF(_xlfn.XLOOKUP($J$2,'Input LwA_XYZ'!$BV$1:$CJ$1,'Input LwA_XYZ'!BV8:CJ8)="","-",_xlfn.XLOOKUP($J$2,'Input LwA_XYZ'!$BV$1:$CJ$1,'Input LwA_XYZ'!BV8:CJ8)))</f>
        <v/>
      </c>
      <c r="G9" s="91">
        <f>IF($B9="","",IF('Input LwA_XYZ'!S8="","-",'Input LwA_XYZ'!S8))</f>
        <v/>
      </c>
      <c r="H9" s="65">
        <f>IF($B9="","",_xlfn.XLOOKUP($J$2,'Input LwA_XYZ'!$CM$1:$DA$1,'Input LwA_XYZ'!CM8:DA8))</f>
        <v/>
      </c>
      <c r="I9" s="5">
        <f>IFERROR(10^(H9/10),0)</f>
        <v/>
      </c>
      <c r="J9" s="107">
        <f>H9</f>
        <v/>
      </c>
      <c r="O9" s="196" t="n">
        <v>1</v>
      </c>
      <c r="P9" s="194" t="inlineStr">
        <is>
          <t>CU-R-8 - Radiated</t>
        </is>
      </c>
      <c r="Q9" s="64" t="n">
        <v>71.99777612758484</v>
      </c>
      <c r="R9" s="91" t="inlineStr">
        <is>
          <t>41 / 153 ft</t>
        </is>
      </c>
      <c r="S9" s="65" t="n">
        <v>30.64848854824496</v>
      </c>
    </row>
    <row r="10" ht="16.5" customHeight="1">
      <c r="B10" s="195">
        <f>IF('Input LwA_XYZ'!A9 = 0, "", 'Input LwA_XYZ'!A9)</f>
        <v/>
      </c>
      <c r="C10" s="192">
        <f>IF($B10="","",_xlfn.TEXTJOIN(" - ",TRUE,'Input LwA_XYZ'!B9:C9))</f>
        <v/>
      </c>
      <c r="D10" s="64">
        <f>IF($B10="","",'Input LwA_XYZ'!Q9)</f>
        <v/>
      </c>
      <c r="E10" s="91">
        <f>IF($B10="","",-1*ROUND(_xlfn.XLOOKUP($J$2,'Input LwA_XYZ'!$AY$1:$BM$1,'Input LwA_XYZ'!AY9:BM9),0) &amp; " / " &amp; ROUND(_xlfn.XLOOKUP($J$2,'Input LwA_XYZ'!$AH$1:$AV$1,'Input LwA_XYZ'!AH9:AV9),0) &amp; " ft")</f>
        <v/>
      </c>
      <c r="F10" s="91">
        <f>IF($B10="","",IF(_xlfn.XLOOKUP($J$2,'Input LwA_XYZ'!$BV$1:$CJ$1,'Input LwA_XYZ'!BV9:CJ9)="","-",_xlfn.XLOOKUP($J$2,'Input LwA_XYZ'!$BV$1:$CJ$1,'Input LwA_XYZ'!BV9:CJ9)))</f>
        <v/>
      </c>
      <c r="G10" s="91">
        <f>IF($B10="","",IF('Input LwA_XYZ'!S9="","-",'Input LwA_XYZ'!S9))</f>
        <v/>
      </c>
      <c r="H10" s="65">
        <f>IF($B10="","",_xlfn.XLOOKUP($J$2,'Input LwA_XYZ'!$CM$1:$DA$1,'Input LwA_XYZ'!CM9:DA9))</f>
        <v/>
      </c>
      <c r="I10" s="5">
        <f>IFERROR(10^(H10/10),0)</f>
        <v/>
      </c>
      <c r="J10" s="107">
        <f>H10</f>
        <v/>
      </c>
      <c r="O10" s="196" t="n">
        <v>1</v>
      </c>
      <c r="P10" s="194" t="inlineStr">
        <is>
          <t>CU-R-10 - Radiated</t>
        </is>
      </c>
      <c r="Q10" s="64" t="n">
        <v>71.99777612758484</v>
      </c>
      <c r="R10" s="91" t="inlineStr">
        <is>
          <t>40 / 131 ft</t>
        </is>
      </c>
      <c r="S10" s="65" t="n">
        <v>31.96131128074482</v>
      </c>
    </row>
    <row r="11" ht="16.5" customHeight="1">
      <c r="B11" s="195">
        <f>IF('Input LwA_XYZ'!A10 = 0, "", 'Input LwA_XYZ'!A10)</f>
        <v/>
      </c>
      <c r="C11" s="192">
        <f>IF($B11="","",_xlfn.TEXTJOIN(" - ",TRUE,'Input LwA_XYZ'!B10:C10))</f>
        <v/>
      </c>
      <c r="D11" s="64">
        <f>IF($B11="","",'Input LwA_XYZ'!Q10)</f>
        <v/>
      </c>
      <c r="E11" s="91">
        <f>IF($B11="","",-1*ROUND(_xlfn.XLOOKUP($J$2,'Input LwA_XYZ'!$AY$1:$BM$1,'Input LwA_XYZ'!AY10:BM10),0) &amp; " / " &amp; ROUND(_xlfn.XLOOKUP($J$2,'Input LwA_XYZ'!$AH$1:$AV$1,'Input LwA_XYZ'!AH10:AV10),0) &amp; " ft")</f>
        <v/>
      </c>
      <c r="F11" s="91">
        <f>IF($B11="","",IF(_xlfn.XLOOKUP($J$2,'Input LwA_XYZ'!$BV$1:$CJ$1,'Input LwA_XYZ'!BV10:CJ10)="","-",_xlfn.XLOOKUP($J$2,'Input LwA_XYZ'!$BV$1:$CJ$1,'Input LwA_XYZ'!BV10:CJ10)))</f>
        <v/>
      </c>
      <c r="G11" s="91">
        <f>IF($B11="","",IF('Input LwA_XYZ'!S10="","-",'Input LwA_XYZ'!S10))</f>
        <v/>
      </c>
      <c r="H11" s="65">
        <f>IF($B11="","",_xlfn.XLOOKUP($J$2,'Input LwA_XYZ'!$CM$1:$DA$1,'Input LwA_XYZ'!CM10:DA10))</f>
        <v/>
      </c>
      <c r="I11" s="5">
        <f>IFERROR(10^(H11/10),0)</f>
        <v/>
      </c>
      <c r="J11" s="107">
        <f>H11</f>
        <v/>
      </c>
      <c r="O11" s="196" t="n">
        <v>1</v>
      </c>
      <c r="P11" s="194" t="inlineStr">
        <is>
          <t>CU-R-4 - Radiated</t>
        </is>
      </c>
      <c r="Q11" s="64" t="n">
        <v>60.65969934007163</v>
      </c>
      <c r="R11" s="91" t="inlineStr">
        <is>
          <t>45 / 229 ft</t>
        </is>
      </c>
      <c r="S11" s="65" t="n">
        <v>15.76867661953663</v>
      </c>
    </row>
    <row r="12" ht="16.5" customHeight="1">
      <c r="B12" s="195">
        <f>IF('Input LwA_XYZ'!A11 = 0, "", 'Input LwA_XYZ'!A11)</f>
        <v/>
      </c>
      <c r="C12" s="192">
        <f>IF($B12="","",_xlfn.TEXTJOIN(" - ",TRUE,'Input LwA_XYZ'!B11:C11))</f>
        <v/>
      </c>
      <c r="D12" s="64">
        <f>IF($B12="","",'Input LwA_XYZ'!Q11)</f>
        <v/>
      </c>
      <c r="E12" s="91">
        <f>IF($B12="","",-1*ROUND(_xlfn.XLOOKUP($J$2,'Input LwA_XYZ'!$AY$1:$BM$1,'Input LwA_XYZ'!AY11:BM11),0) &amp; " / " &amp; ROUND(_xlfn.XLOOKUP($J$2,'Input LwA_XYZ'!$AH$1:$AV$1,'Input LwA_XYZ'!AH11:AV11),0) &amp; " ft")</f>
        <v/>
      </c>
      <c r="F12" s="91">
        <f>IF($B12="","",IF(_xlfn.XLOOKUP($J$2,'Input LwA_XYZ'!$BV$1:$CJ$1,'Input LwA_XYZ'!BV11:CJ11)="","-",_xlfn.XLOOKUP($J$2,'Input LwA_XYZ'!$BV$1:$CJ$1,'Input LwA_XYZ'!BV11:CJ11)))</f>
        <v/>
      </c>
      <c r="G12" s="91">
        <f>IF($B12="","",IF('Input LwA_XYZ'!S11="","-",'Input LwA_XYZ'!S11))</f>
        <v/>
      </c>
      <c r="H12" s="65">
        <f>IF($B12="","",_xlfn.XLOOKUP($J$2,'Input LwA_XYZ'!$CM$1:$DA$1,'Input LwA_XYZ'!CM11:DA11))</f>
        <v/>
      </c>
      <c r="I12" s="5">
        <f>IFERROR(10^(H12/10),0)</f>
        <v/>
      </c>
      <c r="J12" s="107">
        <f>H12</f>
        <v/>
      </c>
      <c r="O12" s="196" t="n">
        <v>1</v>
      </c>
      <c r="P12" s="194" t="inlineStr">
        <is>
          <t>SS-R-1B - Radiated</t>
        </is>
      </c>
      <c r="Q12" s="64" t="n">
        <v>63.65969934007164</v>
      </c>
      <c r="R12" s="91" t="inlineStr">
        <is>
          <t>45 / 229 ft</t>
        </is>
      </c>
      <c r="S12" s="65" t="n">
        <v>18.80107382687743</v>
      </c>
    </row>
    <row r="13" ht="16.5" customHeight="1">
      <c r="B13" s="195">
        <f>IF('Input LwA_XYZ'!A12 = 0, "", 'Input LwA_XYZ'!A12)</f>
        <v/>
      </c>
      <c r="C13" s="192">
        <f>IF($B13="","",_xlfn.TEXTJOIN(" - ",TRUE,'Input LwA_XYZ'!B12:C12))</f>
        <v/>
      </c>
      <c r="D13" s="64">
        <f>IF($B13="","",'Input LwA_XYZ'!Q12)</f>
        <v/>
      </c>
      <c r="E13" s="91">
        <f>IF($B13="","",-1*ROUND(_xlfn.XLOOKUP($J$2,'Input LwA_XYZ'!$AY$1:$BM$1,'Input LwA_XYZ'!AY12:BM12),0) &amp; " / " &amp; ROUND(_xlfn.XLOOKUP($J$2,'Input LwA_XYZ'!$AH$1:$AV$1,'Input LwA_XYZ'!AH12:AV12),0) &amp; " ft")</f>
        <v/>
      </c>
      <c r="F13" s="91">
        <f>IF($B13="","",IF(_xlfn.XLOOKUP($J$2,'Input LwA_XYZ'!$BV$1:$CJ$1,'Input LwA_XYZ'!BV12:CJ12)="","-",_xlfn.XLOOKUP($J$2,'Input LwA_XYZ'!$BV$1:$CJ$1,'Input LwA_XYZ'!BV12:CJ12)))</f>
        <v/>
      </c>
      <c r="G13" s="91">
        <f>IF($B13="","",IF('Input LwA_XYZ'!S12="","-",'Input LwA_XYZ'!S12))</f>
        <v/>
      </c>
      <c r="H13" s="65">
        <f>IF($B13="","",_xlfn.XLOOKUP($J$2,'Input LwA_XYZ'!$CM$1:$DA$1,'Input LwA_XYZ'!CM12:DA12))</f>
        <v/>
      </c>
      <c r="I13" s="5">
        <f>IFERROR(10^(H13/10),0)</f>
        <v/>
      </c>
      <c r="J13" s="107">
        <f>H13</f>
        <v/>
      </c>
      <c r="O13" s="196" t="n">
        <v>1</v>
      </c>
      <c r="P13" s="194" t="inlineStr">
        <is>
          <t>SS-R-2B - Radiated</t>
        </is>
      </c>
      <c r="Q13" s="64" t="n">
        <v>61.65969934007165</v>
      </c>
      <c r="R13" s="91" t="inlineStr">
        <is>
          <t>45 / 235 ft</t>
        </is>
      </c>
      <c r="S13" s="65" t="n">
        <v>16.54567530918138</v>
      </c>
    </row>
    <row r="14" ht="16.5" customHeight="1">
      <c r="B14" s="195">
        <f>IF('Input LwA_XYZ'!A13 = 0, "", 'Input LwA_XYZ'!A13)</f>
        <v/>
      </c>
      <c r="C14" s="192">
        <f>IF($B14="","",_xlfn.TEXTJOIN(" - ",TRUE,'Input LwA_XYZ'!B13:C13))</f>
        <v/>
      </c>
      <c r="D14" s="64">
        <f>IF($B14="","",'Input LwA_XYZ'!Q13)</f>
        <v/>
      </c>
      <c r="E14" s="91">
        <f>IF($B14="","",-1*ROUND(_xlfn.XLOOKUP($J$2,'Input LwA_XYZ'!$AY$1:$BM$1,'Input LwA_XYZ'!AY13:BM13),0) &amp; " / " &amp; ROUND(_xlfn.XLOOKUP($J$2,'Input LwA_XYZ'!$AH$1:$AV$1,'Input LwA_XYZ'!AH13:AV13),0) &amp; " ft")</f>
        <v/>
      </c>
      <c r="F14" s="91">
        <f>IF($B14="","",IF(_xlfn.XLOOKUP($J$2,'Input LwA_XYZ'!$BV$1:$CJ$1,'Input LwA_XYZ'!BV13:CJ13)="","-",_xlfn.XLOOKUP($J$2,'Input LwA_XYZ'!$BV$1:$CJ$1,'Input LwA_XYZ'!BV13:CJ13)))</f>
        <v/>
      </c>
      <c r="G14" s="91">
        <f>IF($B14="","",IF('Input LwA_XYZ'!S13="","-",'Input LwA_XYZ'!S13))</f>
        <v/>
      </c>
      <c r="H14" s="65">
        <f>IF($B14="","",_xlfn.XLOOKUP($J$2,'Input LwA_XYZ'!$CM$1:$DA$1,'Input LwA_XYZ'!CM13:DA13))</f>
        <v/>
      </c>
      <c r="I14" s="5">
        <f>IFERROR(10^(H14/10),0)</f>
        <v/>
      </c>
      <c r="J14" s="107">
        <f>H14</f>
        <v/>
      </c>
      <c r="O14" s="196" t="n">
        <v>1</v>
      </c>
      <c r="P14" s="194" t="inlineStr">
        <is>
          <t>SS-R-3B - Radiated</t>
        </is>
      </c>
      <c r="Q14" s="64" t="n">
        <v>57.65969934007164</v>
      </c>
      <c r="R14" s="91" t="inlineStr">
        <is>
          <t>41 / 155 ft</t>
        </is>
      </c>
      <c r="S14" s="65" t="n">
        <v>16.1918809307753</v>
      </c>
    </row>
    <row r="15" ht="16.5" customHeight="1">
      <c r="B15" s="195">
        <f>IF('Input LwA_XYZ'!A14 = 0, "", 'Input LwA_XYZ'!A14)</f>
        <v/>
      </c>
      <c r="C15" s="192">
        <f>IF($B15="","",_xlfn.TEXTJOIN(" - ",TRUE,'Input LwA_XYZ'!B14:C14))</f>
        <v/>
      </c>
      <c r="D15" s="64">
        <f>IF($B15="","",'Input LwA_XYZ'!Q14)</f>
        <v/>
      </c>
      <c r="E15" s="91">
        <f>IF($B15="","",-1*ROUND(_xlfn.XLOOKUP($J$2,'Input LwA_XYZ'!$AY$1:$BM$1,'Input LwA_XYZ'!AY14:BM14),0) &amp; " / " &amp; ROUND(_xlfn.XLOOKUP($J$2,'Input LwA_XYZ'!$AH$1:$AV$1,'Input LwA_XYZ'!AH14:AV14),0) &amp; " ft")</f>
        <v/>
      </c>
      <c r="F15" s="91">
        <f>IF($B15="","",IF(_xlfn.XLOOKUP($J$2,'Input LwA_XYZ'!$BV$1:$CJ$1,'Input LwA_XYZ'!BV14:CJ14)="","-",_xlfn.XLOOKUP($J$2,'Input LwA_XYZ'!$BV$1:$CJ$1,'Input LwA_XYZ'!BV14:CJ14)))</f>
        <v/>
      </c>
      <c r="G15" s="91">
        <f>IF($B15="","",IF('Input LwA_XYZ'!S14="","-",'Input LwA_XYZ'!S14))</f>
        <v/>
      </c>
      <c r="H15" s="65">
        <f>IF($B15="","",_xlfn.XLOOKUP($J$2,'Input LwA_XYZ'!$CM$1:$DA$1,'Input LwA_XYZ'!CM14:DA14))</f>
        <v/>
      </c>
      <c r="I15" s="5">
        <f>IFERROR(10^(H15/10),0)</f>
        <v/>
      </c>
      <c r="J15" s="107">
        <f>H15</f>
        <v/>
      </c>
      <c r="O15" s="196" t="n">
        <v>1</v>
      </c>
      <c r="P15" s="194" t="inlineStr">
        <is>
          <t>SS-R-4B - Radiated</t>
        </is>
      </c>
      <c r="Q15" s="64" t="n">
        <v>57.65969934007164</v>
      </c>
      <c r="R15" s="91" t="inlineStr">
        <is>
          <t>41 / 154 ft</t>
        </is>
      </c>
      <c r="S15" s="65" t="n">
        <v>16.21810532395784</v>
      </c>
    </row>
    <row r="16" ht="17.25" customHeight="1" thickBot="1">
      <c r="B16" s="195">
        <f>IF('Input LwA_XYZ'!A15 = 0, "", 'Input LwA_XYZ'!A15)</f>
        <v/>
      </c>
      <c r="C16" s="192">
        <f>IF($B16="","",_xlfn.TEXTJOIN(" - ",TRUE,'Input LwA_XYZ'!B15:C15))</f>
        <v/>
      </c>
      <c r="D16" s="64">
        <f>IF($B16="","",'Input LwA_XYZ'!Q15)</f>
        <v/>
      </c>
      <c r="E16" s="91">
        <f>IF($B16="","",-1*ROUND(_xlfn.XLOOKUP($J$2,'Input LwA_XYZ'!$AY$1:$BM$1,'Input LwA_XYZ'!AY15:BM15),0) &amp; " / " &amp; ROUND(_xlfn.XLOOKUP($J$2,'Input LwA_XYZ'!$AH$1:$AV$1,'Input LwA_XYZ'!AH15:AV15),0) &amp; " ft")</f>
        <v/>
      </c>
      <c r="F16" s="91">
        <f>IF($B16="","",IF(_xlfn.XLOOKUP($J$2,'Input LwA_XYZ'!$BV$1:$CJ$1,'Input LwA_XYZ'!BV15:CJ15)="","-",_xlfn.XLOOKUP($J$2,'Input LwA_XYZ'!$BV$1:$CJ$1,'Input LwA_XYZ'!BV15:CJ15)))</f>
        <v/>
      </c>
      <c r="G16" s="91">
        <f>IF($B16="","",IF('Input LwA_XYZ'!S15="","-",'Input LwA_XYZ'!S15))</f>
        <v/>
      </c>
      <c r="H16" s="65">
        <f>IF($B16="","",_xlfn.XLOOKUP($J$2,'Input LwA_XYZ'!$CM$1:$DA$1,'Input LwA_XYZ'!CM15:DA15))</f>
        <v/>
      </c>
      <c r="I16" s="5">
        <f>IFERROR(10^(H16/10),0)</f>
        <v/>
      </c>
      <c r="J16" s="107">
        <f>H16</f>
        <v/>
      </c>
      <c r="O16" s="196" t="n">
        <v>1</v>
      </c>
      <c r="P16" s="194" t="inlineStr">
        <is>
          <t>SS-R-5B - Radiated</t>
        </is>
      </c>
      <c r="Q16" s="64" t="n">
        <v>57.65969934007164</v>
      </c>
      <c r="R16" s="91" t="inlineStr">
        <is>
          <t>41 / 146 ft</t>
        </is>
      </c>
      <c r="S16" s="65" t="n">
        <v>16.67719275439514</v>
      </c>
    </row>
    <row r="17" ht="17.25" customHeight="1" thickBot="1">
      <c r="B17" s="195">
        <f>IF('Input LwA_XYZ'!A16 = 0, "", 'Input LwA_XYZ'!A16)</f>
        <v/>
      </c>
      <c r="C17" s="192">
        <f>IF($B17="","",_xlfn.TEXTJOIN(" - ",TRUE,'Input LwA_XYZ'!B16:C16))</f>
        <v/>
      </c>
      <c r="D17" s="64">
        <f>IF($B17="","",'Input LwA_XYZ'!Q16)</f>
        <v/>
      </c>
      <c r="E17" s="91">
        <f>IF($B17="","",-1*ROUND(_xlfn.XLOOKUP($J$2,'Input LwA_XYZ'!$AY$1:$BM$1,'Input LwA_XYZ'!AY16:BM16),0) &amp; " / " &amp; ROUND(_xlfn.XLOOKUP($J$2,'Input LwA_XYZ'!$AH$1:$AV$1,'Input LwA_XYZ'!AH16:AV16),0) &amp; " ft")</f>
        <v/>
      </c>
      <c r="F17" s="91">
        <f>IF($B17="","",IF(_xlfn.XLOOKUP($J$2,'Input LwA_XYZ'!$BV$1:$CJ$1,'Input LwA_XYZ'!BV16:CJ16)="","-",_xlfn.XLOOKUP($J$2,'Input LwA_XYZ'!$BV$1:$CJ$1,'Input LwA_XYZ'!BV16:CJ16)))</f>
        <v/>
      </c>
      <c r="G17" s="91">
        <f>IF($B17="","",IF('Input LwA_XYZ'!S16="","-",'Input LwA_XYZ'!S16))</f>
        <v/>
      </c>
      <c r="H17" s="65">
        <f>IF($B17="","",_xlfn.XLOOKUP($J$2,'Input LwA_XYZ'!$CM$1:$DA$1,'Input LwA_XYZ'!CM16:DA16))</f>
        <v/>
      </c>
      <c r="I17" s="5">
        <f>IFERROR(10^(H17/10),0)</f>
        <v/>
      </c>
      <c r="J17" s="107">
        <f>H17</f>
        <v/>
      </c>
      <c r="O17" s="101" t="inlineStr">
        <is>
          <t>Combined LP at Property Line (dBA)</t>
        </is>
      </c>
      <c r="P17" s="102" t="n"/>
      <c r="Q17" s="102" t="n"/>
      <c r="R17" s="102" t="n"/>
      <c r="S17" s="108" t="n">
        <v>44</v>
      </c>
    </row>
    <row r="18" ht="16.5" customHeight="1">
      <c r="B18" s="195">
        <f>IF('Input LwA_XYZ'!A17 = 0, "", 'Input LwA_XYZ'!A17)</f>
        <v/>
      </c>
      <c r="C18" s="192">
        <f>IF($B18="","",_xlfn.TEXTJOIN(" - ",TRUE,'Input LwA_XYZ'!B17:C17))</f>
        <v/>
      </c>
      <c r="D18" s="64">
        <f>IF($B18="","",'Input LwA_XYZ'!Q17)</f>
        <v/>
      </c>
      <c r="E18" s="91">
        <f>IF($B18="","",-1*ROUND(_xlfn.XLOOKUP($J$2,'Input LwA_XYZ'!$AY$1:$BM$1,'Input LwA_XYZ'!AY17:BM17),0) &amp; " / " &amp; ROUND(_xlfn.XLOOKUP($J$2,'Input LwA_XYZ'!$AH$1:$AV$1,'Input LwA_XYZ'!AH17:AV17),0) &amp; " ft")</f>
        <v/>
      </c>
      <c r="F18" s="91">
        <f>IF($B18="","",IF(_xlfn.XLOOKUP($J$2,'Input LwA_XYZ'!$BV$1:$CJ$1,'Input LwA_XYZ'!BV17:CJ17)="","-",_xlfn.XLOOKUP($J$2,'Input LwA_XYZ'!$BV$1:$CJ$1,'Input LwA_XYZ'!BV17:CJ17)))</f>
        <v/>
      </c>
      <c r="G18" s="91">
        <f>IF($B18="","",IF('Input LwA_XYZ'!S17="","-",'Input LwA_XYZ'!S17))</f>
        <v/>
      </c>
      <c r="H18" s="65">
        <f>IF($B18="","",_xlfn.XLOOKUP($J$2,'Input LwA_XYZ'!$CM$1:$DA$1,'Input LwA_XYZ'!CM17:DA17))</f>
        <v/>
      </c>
      <c r="I18" s="5">
        <f>IFERROR(10^(H18/10),0)</f>
        <v/>
      </c>
      <c r="J18" s="107">
        <f>H18</f>
        <v/>
      </c>
    </row>
    <row r="19" ht="16.5" customHeight="1">
      <c r="B19" s="195">
        <f>IF('Input LwA_XYZ'!A18 = 0, "", 'Input LwA_XYZ'!A18)</f>
        <v/>
      </c>
      <c r="C19" s="192">
        <f>IF($B19="","",_xlfn.TEXTJOIN(" - ",TRUE,'Input LwA_XYZ'!B18:C18))</f>
        <v/>
      </c>
      <c r="D19" s="64">
        <f>IF($B19="","",'Input LwA_XYZ'!Q18)</f>
        <v/>
      </c>
      <c r="E19" s="91">
        <f>IF($B19="","",-1*ROUND(_xlfn.XLOOKUP($J$2,'Input LwA_XYZ'!$AY$1:$BM$1,'Input LwA_XYZ'!AY18:BM18),0) &amp; " / " &amp; ROUND(_xlfn.XLOOKUP($J$2,'Input LwA_XYZ'!$AH$1:$AV$1,'Input LwA_XYZ'!AH18:AV18),0) &amp; " ft")</f>
        <v/>
      </c>
      <c r="F19" s="91">
        <f>IF($B19="","",IF(_xlfn.XLOOKUP($J$2,'Input LwA_XYZ'!$BV$1:$CJ$1,'Input LwA_XYZ'!BV18:CJ18)="","-",_xlfn.XLOOKUP($J$2,'Input LwA_XYZ'!$BV$1:$CJ$1,'Input LwA_XYZ'!BV18:CJ18)))</f>
        <v/>
      </c>
      <c r="G19" s="91">
        <f>IF($B19="","",IF('Input LwA_XYZ'!S18="","-",'Input LwA_XYZ'!S18))</f>
        <v/>
      </c>
      <c r="H19" s="65">
        <f>IF($B19="","",_xlfn.XLOOKUP($J$2,'Input LwA_XYZ'!$CM$1:$DA$1,'Input LwA_XYZ'!CM18:DA18))</f>
        <v/>
      </c>
      <c r="I19" s="5">
        <f>IFERROR(10^(H19/10),0)</f>
        <v/>
      </c>
      <c r="J19" s="107">
        <f>H19</f>
        <v/>
      </c>
    </row>
    <row r="20" ht="16.5" customHeight="1">
      <c r="B20" s="195">
        <f>IF('Input LwA_XYZ'!A19 = 0, "", 'Input LwA_XYZ'!A19)</f>
        <v/>
      </c>
      <c r="C20" s="192">
        <f>IF($B20="","",_xlfn.TEXTJOIN(" - ",TRUE,'Input LwA_XYZ'!B19:C19))</f>
        <v/>
      </c>
      <c r="D20" s="64">
        <f>IF($B20="","",'Input LwA_XYZ'!Q19)</f>
        <v/>
      </c>
      <c r="E20" s="91">
        <f>IF($B20="","",-1*ROUND(_xlfn.XLOOKUP($J$2,'Input LwA_XYZ'!$AY$1:$BM$1,'Input LwA_XYZ'!AY19:BM19),0) &amp; " / " &amp; ROUND(_xlfn.XLOOKUP($J$2,'Input LwA_XYZ'!$AH$1:$AV$1,'Input LwA_XYZ'!AH19:AV19),0) &amp; " ft")</f>
        <v/>
      </c>
      <c r="F20" s="91">
        <f>IF($B20="","",IF(_xlfn.XLOOKUP($J$2,'Input LwA_XYZ'!$BV$1:$CJ$1,'Input LwA_XYZ'!BV19:CJ19)="","-",_xlfn.XLOOKUP($J$2,'Input LwA_XYZ'!$BV$1:$CJ$1,'Input LwA_XYZ'!BV19:CJ19)))</f>
        <v/>
      </c>
      <c r="G20" s="91">
        <f>IF($B20="","",IF('Input LwA_XYZ'!S19="","-",'Input LwA_XYZ'!S19))</f>
        <v/>
      </c>
      <c r="H20" s="65">
        <f>IF($B20="","",_xlfn.XLOOKUP($J$2,'Input LwA_XYZ'!$CM$1:$DA$1,'Input LwA_XYZ'!CM19:DA19))</f>
        <v/>
      </c>
      <c r="I20" s="5">
        <f>IFERROR(10^(H20/10),0)</f>
        <v/>
      </c>
      <c r="J20" s="107">
        <f>H20</f>
        <v/>
      </c>
    </row>
    <row r="21" ht="16.5" customHeight="1">
      <c r="B21" s="195">
        <f>IF('Input LwA_XYZ'!A20 = 0, "", 'Input LwA_XYZ'!A20)</f>
        <v/>
      </c>
      <c r="C21" s="192">
        <f>IF($B21="","",_xlfn.TEXTJOIN(" - ",TRUE,'Input LwA_XYZ'!B20:C20))</f>
        <v/>
      </c>
      <c r="D21" s="64">
        <f>IF($B21="","",'Input LwA_XYZ'!Q20)</f>
        <v/>
      </c>
      <c r="E21" s="91">
        <f>IF($B21="","",-1*ROUND(_xlfn.XLOOKUP($J$2,'Input LwA_XYZ'!$AY$1:$BM$1,'Input LwA_XYZ'!AY20:BM20),0) &amp; " / " &amp; ROUND(_xlfn.XLOOKUP($J$2,'Input LwA_XYZ'!$AH$1:$AV$1,'Input LwA_XYZ'!AH20:AV20),0) &amp; " ft")</f>
        <v/>
      </c>
      <c r="F21" s="91">
        <f>IF($B21="","",IF(_xlfn.XLOOKUP($J$2,'Input LwA_XYZ'!$BV$1:$CJ$1,'Input LwA_XYZ'!BV20:CJ20)="","-",_xlfn.XLOOKUP($J$2,'Input LwA_XYZ'!$BV$1:$CJ$1,'Input LwA_XYZ'!BV20:CJ20)))</f>
        <v/>
      </c>
      <c r="G21" s="91">
        <f>IF($B21="","",IF('Input LwA_XYZ'!S20="","-",'Input LwA_XYZ'!S20))</f>
        <v/>
      </c>
      <c r="H21" s="65">
        <f>IF($B21="","",_xlfn.XLOOKUP($J$2,'Input LwA_XYZ'!$CM$1:$DA$1,'Input LwA_XYZ'!CM20:DA20))</f>
        <v/>
      </c>
      <c r="I21" s="5">
        <f>IFERROR(10^(H21/10),0)</f>
        <v/>
      </c>
      <c r="J21" s="107">
        <f>H21</f>
        <v/>
      </c>
    </row>
    <row r="22" ht="16.5" customHeight="1">
      <c r="B22" s="195">
        <f>IF('Input LwA_XYZ'!A21 = 0, "", 'Input LwA_XYZ'!A21)</f>
        <v/>
      </c>
      <c r="C22" s="192">
        <f>IF($B22="","",_xlfn.TEXTJOIN(" - ",TRUE,'Input LwA_XYZ'!B21:C21))</f>
        <v/>
      </c>
      <c r="D22" s="64">
        <f>IF($B22="","",'Input LwA_XYZ'!Q21)</f>
        <v/>
      </c>
      <c r="E22" s="91">
        <f>IF($B22="","",-1*ROUND(_xlfn.XLOOKUP($J$2,'Input LwA_XYZ'!$AY$1:$BM$1,'Input LwA_XYZ'!AY21:BM21),0) &amp; " / " &amp; ROUND(_xlfn.XLOOKUP($J$2,'Input LwA_XYZ'!$AH$1:$AV$1,'Input LwA_XYZ'!AH21:AV21),0) &amp; " ft")</f>
        <v/>
      </c>
      <c r="F22" s="91">
        <f>IF($B22="","",IF(_xlfn.XLOOKUP($J$2,'Input LwA_XYZ'!$BV$1:$CJ$1,'Input LwA_XYZ'!BV21:CJ21)="","-",_xlfn.XLOOKUP($J$2,'Input LwA_XYZ'!$BV$1:$CJ$1,'Input LwA_XYZ'!BV21:CJ21)))</f>
        <v/>
      </c>
      <c r="G22" s="91">
        <f>IF($B22="","",IF('Input LwA_XYZ'!S21="","-",'Input LwA_XYZ'!S21))</f>
        <v/>
      </c>
      <c r="H22" s="65">
        <f>IF($B22="","",_xlfn.XLOOKUP($J$2,'Input LwA_XYZ'!$CM$1:$DA$1,'Input LwA_XYZ'!CM21:DA21))</f>
        <v/>
      </c>
      <c r="I22" s="5">
        <f>IFERROR(10^(H22/10),0)</f>
        <v/>
      </c>
      <c r="J22" s="107">
        <f>H22</f>
        <v/>
      </c>
    </row>
    <row r="23" ht="16.5" customHeight="1">
      <c r="B23" s="195">
        <f>IF('Input LwA_XYZ'!A22 = 0, "", 'Input LwA_XYZ'!A22)</f>
        <v/>
      </c>
      <c r="C23" s="192">
        <f>IF($B23="","",_xlfn.TEXTJOIN(" - ",TRUE,'Input LwA_XYZ'!B22:C22))</f>
        <v/>
      </c>
      <c r="D23" s="64">
        <f>IF($B23="","",'Input LwA_XYZ'!Q22)</f>
        <v/>
      </c>
      <c r="E23" s="91">
        <f>IF($B23="","",-1*ROUND(_xlfn.XLOOKUP($J$2,'Input LwA_XYZ'!$AY$1:$BM$1,'Input LwA_XYZ'!AY22:BM22),0) &amp; " / " &amp; ROUND(_xlfn.XLOOKUP($J$2,'Input LwA_XYZ'!$AH$1:$AV$1,'Input LwA_XYZ'!AH22:AV22),0) &amp; " ft")</f>
        <v/>
      </c>
      <c r="F23" s="91">
        <f>IF($B23="","",IF(_xlfn.XLOOKUP($J$2,'Input LwA_XYZ'!$BV$1:$CJ$1,'Input LwA_XYZ'!BV22:CJ22)="","-",_xlfn.XLOOKUP($J$2,'Input LwA_XYZ'!$BV$1:$CJ$1,'Input LwA_XYZ'!BV22:CJ22)))</f>
        <v/>
      </c>
      <c r="G23" s="91">
        <f>IF($B23="","",IF('Input LwA_XYZ'!S22="","-",'Input LwA_XYZ'!S22))</f>
        <v/>
      </c>
      <c r="H23" s="65">
        <f>IF($B23="","",_xlfn.XLOOKUP($J$2,'Input LwA_XYZ'!$CM$1:$DA$1,'Input LwA_XYZ'!CM22:DA22))</f>
        <v/>
      </c>
      <c r="I23" s="5">
        <f>IFERROR(10^(H23/10),0)</f>
        <v/>
      </c>
      <c r="J23" s="107">
        <f>H23</f>
        <v/>
      </c>
    </row>
    <row r="24" ht="16.5" customHeight="1">
      <c r="B24" s="195">
        <f>IF('Input LwA_XYZ'!A23 = 0, "", 'Input LwA_XYZ'!A23)</f>
        <v/>
      </c>
      <c r="C24" s="192">
        <f>IF($B24="","",_xlfn.TEXTJOIN(" - ",TRUE,'Input LwA_XYZ'!B23:C23))</f>
        <v/>
      </c>
      <c r="D24" s="64">
        <f>IF($B24="","",'Input LwA_XYZ'!Q23)</f>
        <v/>
      </c>
      <c r="E24" s="91">
        <f>IF($B24="","",-1*ROUND(_xlfn.XLOOKUP($J$2,'Input LwA_XYZ'!$AY$1:$BM$1,'Input LwA_XYZ'!AY23:BM23),0) &amp; " / " &amp; ROUND(_xlfn.XLOOKUP($J$2,'Input LwA_XYZ'!$AH$1:$AV$1,'Input LwA_XYZ'!AH23:AV23),0) &amp; " ft")</f>
        <v/>
      </c>
      <c r="F24" s="91">
        <f>IF($B24="","",IF(_xlfn.XLOOKUP($J$2,'Input LwA_XYZ'!$BV$1:$CJ$1,'Input LwA_XYZ'!BV23:CJ23)="","-",_xlfn.XLOOKUP($J$2,'Input LwA_XYZ'!$BV$1:$CJ$1,'Input LwA_XYZ'!BV23:CJ23)))</f>
        <v/>
      </c>
      <c r="G24" s="91">
        <f>IF($B24="","",IF('Input LwA_XYZ'!S23="","-",'Input LwA_XYZ'!S23))</f>
        <v/>
      </c>
      <c r="H24" s="65">
        <f>IF($B24="","",_xlfn.XLOOKUP($J$2,'Input LwA_XYZ'!$CM$1:$DA$1,'Input LwA_XYZ'!CM23:DA23))</f>
        <v/>
      </c>
      <c r="I24" s="5">
        <f>IFERROR(10^(H24/10),0)</f>
        <v/>
      </c>
      <c r="J24" s="107">
        <f>H24</f>
        <v/>
      </c>
    </row>
    <row r="25" ht="16.5" customHeight="1">
      <c r="B25" s="195">
        <f>IF('Input LwA_XYZ'!A24 = 0, "", 'Input LwA_XYZ'!A24)</f>
        <v/>
      </c>
      <c r="C25" s="192">
        <f>IF($B25="","",_xlfn.TEXTJOIN(" - ",TRUE,'Input LwA_XYZ'!B24:C24))</f>
        <v/>
      </c>
      <c r="D25" s="64">
        <f>IF($B25="","",'Input LwA_XYZ'!Q24)</f>
        <v/>
      </c>
      <c r="E25" s="91">
        <f>IF($B25="","",-1*ROUND(_xlfn.XLOOKUP($J$2,'Input LwA_XYZ'!$AY$1:$BM$1,'Input LwA_XYZ'!AY24:BM24),0) &amp; " / " &amp; ROUND(_xlfn.XLOOKUP($J$2,'Input LwA_XYZ'!$AH$1:$AV$1,'Input LwA_XYZ'!AH24:AV24),0) &amp; " ft")</f>
        <v/>
      </c>
      <c r="F25" s="91">
        <f>IF($B25="","",IF(_xlfn.XLOOKUP($J$2,'Input LwA_XYZ'!$BV$1:$CJ$1,'Input LwA_XYZ'!BV24:CJ24)="","-",_xlfn.XLOOKUP($J$2,'Input LwA_XYZ'!$BV$1:$CJ$1,'Input LwA_XYZ'!BV24:CJ24)))</f>
        <v/>
      </c>
      <c r="G25" s="91">
        <f>IF($B25="","",IF('Input LwA_XYZ'!S24="","-",'Input LwA_XYZ'!S24))</f>
        <v/>
      </c>
      <c r="H25" s="65">
        <f>IF($B25="","",_xlfn.XLOOKUP($J$2,'Input LwA_XYZ'!$CM$1:$DA$1,'Input LwA_XYZ'!CM24:DA24))</f>
        <v/>
      </c>
      <c r="I25" s="5">
        <f>IFERROR(10^(H25/10),0)</f>
        <v/>
      </c>
      <c r="J25" s="107">
        <f>H25</f>
        <v/>
      </c>
    </row>
    <row r="26" ht="16.5" customHeight="1">
      <c r="B26" s="195">
        <f>IF('Input LwA_XYZ'!A25 = 0, "", 'Input LwA_XYZ'!A25)</f>
        <v/>
      </c>
      <c r="C26" s="192">
        <f>IF($B26="","",_xlfn.TEXTJOIN(" - ",TRUE,'Input LwA_XYZ'!B25:C25))</f>
        <v/>
      </c>
      <c r="D26" s="64">
        <f>IF($B26="","",'Input LwA_XYZ'!Q25)</f>
        <v/>
      </c>
      <c r="E26" s="91">
        <f>IF($B26="","",-1*ROUND(_xlfn.XLOOKUP($J$2,'Input LwA_XYZ'!$AY$1:$BM$1,'Input LwA_XYZ'!AY25:BM25),0) &amp; " / " &amp; ROUND(_xlfn.XLOOKUP($J$2,'Input LwA_XYZ'!$AH$1:$AV$1,'Input LwA_XYZ'!AH25:AV25),0) &amp; " ft")</f>
        <v/>
      </c>
      <c r="F26" s="91">
        <f>IF($B26="","",IF(_xlfn.XLOOKUP($J$2,'Input LwA_XYZ'!$BV$1:$CJ$1,'Input LwA_XYZ'!BV25:CJ25)="","-",_xlfn.XLOOKUP($J$2,'Input LwA_XYZ'!$BV$1:$CJ$1,'Input LwA_XYZ'!BV25:CJ25)))</f>
        <v/>
      </c>
      <c r="G26" s="91">
        <f>IF($B26="","",IF('Input LwA_XYZ'!S25="","-",'Input LwA_XYZ'!S25))</f>
        <v/>
      </c>
      <c r="H26" s="65">
        <f>IF($B26="","",_xlfn.XLOOKUP($J$2,'Input LwA_XYZ'!$CM$1:$DA$1,'Input LwA_XYZ'!CM25:DA25))</f>
        <v/>
      </c>
      <c r="I26" s="5">
        <f>IFERROR(10^(H26/10),0)</f>
        <v/>
      </c>
      <c r="J26" s="107">
        <f>H26</f>
        <v/>
      </c>
    </row>
    <row r="27" ht="16.5" customHeight="1">
      <c r="B27" s="195">
        <f>IF('Input LwA_XYZ'!A26 = 0, "", 'Input LwA_XYZ'!A26)</f>
        <v/>
      </c>
      <c r="C27" s="192">
        <f>IF($B27="","",_xlfn.TEXTJOIN(" - ",TRUE,'Input LwA_XYZ'!B26:C26))</f>
        <v/>
      </c>
      <c r="D27" s="64">
        <f>IF($B27="","",'Input LwA_XYZ'!Q26)</f>
        <v/>
      </c>
      <c r="E27" s="91">
        <f>IF($B27="","",-1*ROUND(_xlfn.XLOOKUP($J$2,'Input LwA_XYZ'!$AY$1:$BM$1,'Input LwA_XYZ'!AY26:BM26),0) &amp; " / " &amp; ROUND(_xlfn.XLOOKUP($J$2,'Input LwA_XYZ'!$AH$1:$AV$1,'Input LwA_XYZ'!AH26:AV26),0) &amp; " ft")</f>
        <v/>
      </c>
      <c r="F27" s="91">
        <f>IF($B27="","",IF(_xlfn.XLOOKUP($J$2,'Input LwA_XYZ'!$BV$1:$CJ$1,'Input LwA_XYZ'!BV26:CJ26)="","-",_xlfn.XLOOKUP($J$2,'Input LwA_XYZ'!$BV$1:$CJ$1,'Input LwA_XYZ'!BV26:CJ26)))</f>
        <v/>
      </c>
      <c r="G27" s="91">
        <f>IF($B27="","",IF('Input LwA_XYZ'!S26="","-",'Input LwA_XYZ'!S26))</f>
        <v/>
      </c>
      <c r="H27" s="65">
        <f>IF($B27="","",_xlfn.XLOOKUP($J$2,'Input LwA_XYZ'!$CM$1:$DA$1,'Input LwA_XYZ'!CM26:DA26))</f>
        <v/>
      </c>
      <c r="I27" s="5">
        <f>IFERROR(10^(H27/10),0)</f>
        <v/>
      </c>
      <c r="J27" s="107">
        <f>H27</f>
        <v/>
      </c>
    </row>
    <row r="28" ht="16.5" customHeight="1">
      <c r="B28" s="195">
        <f>IF('Input LwA_XYZ'!A27 = 0, "", 'Input LwA_XYZ'!A27)</f>
        <v/>
      </c>
      <c r="C28" s="192">
        <f>IF($B28="","",_xlfn.TEXTJOIN(" - ",TRUE,'Input LwA_XYZ'!B27:C27))</f>
        <v/>
      </c>
      <c r="D28" s="64">
        <f>IF($B28="","",'Input LwA_XYZ'!Q27)</f>
        <v/>
      </c>
      <c r="E28" s="91">
        <f>IF($B28="","",-1*ROUND(_xlfn.XLOOKUP($J$2,'Input LwA_XYZ'!$AY$1:$BM$1,'Input LwA_XYZ'!AY27:BM27),0) &amp; " / " &amp; ROUND(_xlfn.XLOOKUP($J$2,'Input LwA_XYZ'!$AH$1:$AV$1,'Input LwA_XYZ'!AH27:AV27),0) &amp; " ft")</f>
        <v/>
      </c>
      <c r="F28" s="91">
        <f>IF($B28="","",IF(_xlfn.XLOOKUP($J$2,'Input LwA_XYZ'!$BV$1:$CJ$1,'Input LwA_XYZ'!BV27:CJ27)="","-",_xlfn.XLOOKUP($J$2,'Input LwA_XYZ'!$BV$1:$CJ$1,'Input LwA_XYZ'!BV27:CJ27)))</f>
        <v/>
      </c>
      <c r="G28" s="91">
        <f>IF($B28="","",IF('Input LwA_XYZ'!S27="","-",'Input LwA_XYZ'!S27))</f>
        <v/>
      </c>
      <c r="H28" s="65">
        <f>IF($B28="","",_xlfn.XLOOKUP($J$2,'Input LwA_XYZ'!$CM$1:$DA$1,'Input LwA_XYZ'!CM27:DA27))</f>
        <v/>
      </c>
      <c r="I28" s="5">
        <f>IFERROR(10^(H28/10),0)</f>
        <v/>
      </c>
      <c r="J28" s="107">
        <f>H28</f>
        <v/>
      </c>
    </row>
    <row r="29" ht="16.5" customHeight="1">
      <c r="B29" s="195">
        <f>IF('Input LwA_XYZ'!A28 = 0, "", 'Input LwA_XYZ'!A28)</f>
        <v/>
      </c>
      <c r="C29" s="192">
        <f>IF($B29="","",_xlfn.TEXTJOIN(" - ",TRUE,'Input LwA_XYZ'!B28:C28))</f>
        <v/>
      </c>
      <c r="D29" s="64">
        <f>IF($B29="","",'Input LwA_XYZ'!Q28)</f>
        <v/>
      </c>
      <c r="E29" s="91">
        <f>IF($B29="","",-1*ROUND(_xlfn.XLOOKUP($J$2,'Input LwA_XYZ'!$AY$1:$BM$1,'Input LwA_XYZ'!AY28:BM28),0) &amp; " / " &amp; ROUND(_xlfn.XLOOKUP($J$2,'Input LwA_XYZ'!$AH$1:$AV$1,'Input LwA_XYZ'!AH28:AV28),0) &amp; " ft")</f>
        <v/>
      </c>
      <c r="F29" s="91">
        <f>IF($B29="","",IF(_xlfn.XLOOKUP($J$2,'Input LwA_XYZ'!$BV$1:$CJ$1,'Input LwA_XYZ'!BV28:CJ28)="","-",_xlfn.XLOOKUP($J$2,'Input LwA_XYZ'!$BV$1:$CJ$1,'Input LwA_XYZ'!BV28:CJ28)))</f>
        <v/>
      </c>
      <c r="G29" s="91">
        <f>IF($B29="","",IF('Input LwA_XYZ'!S28="","-",'Input LwA_XYZ'!S28))</f>
        <v/>
      </c>
      <c r="H29" s="65">
        <f>IF($B29="","",_xlfn.XLOOKUP($J$2,'Input LwA_XYZ'!$CM$1:$DA$1,'Input LwA_XYZ'!CM28:DA28))</f>
        <v/>
      </c>
      <c r="I29" s="5">
        <f>IFERROR(10^(H29/10),0)</f>
        <v/>
      </c>
      <c r="J29" s="107">
        <f>H29</f>
        <v/>
      </c>
    </row>
    <row r="30" ht="16.5" customHeight="1">
      <c r="B30" s="195">
        <f>IF('Input LwA_XYZ'!A29 = 0, "", 'Input LwA_XYZ'!A29)</f>
        <v/>
      </c>
      <c r="C30" s="192">
        <f>IF($B30="","",_xlfn.TEXTJOIN(" - ",TRUE,'Input LwA_XYZ'!B29:C29))</f>
        <v/>
      </c>
      <c r="D30" s="64">
        <f>IF($B30="","",'Input LwA_XYZ'!Q29)</f>
        <v/>
      </c>
      <c r="E30" s="91">
        <f>IF($B30="","",-1*ROUND(_xlfn.XLOOKUP($J$2,'Input LwA_XYZ'!$AY$1:$BM$1,'Input LwA_XYZ'!AY29:BM29),0) &amp; " / " &amp; ROUND(_xlfn.XLOOKUP($J$2,'Input LwA_XYZ'!$AH$1:$AV$1,'Input LwA_XYZ'!AH29:AV29),0) &amp; " ft")</f>
        <v/>
      </c>
      <c r="F30" s="91">
        <f>IF($B30="","",IF(_xlfn.XLOOKUP($J$2,'Input LwA_XYZ'!$BV$1:$CJ$1,'Input LwA_XYZ'!BV29:CJ29)="","-",_xlfn.XLOOKUP($J$2,'Input LwA_XYZ'!$BV$1:$CJ$1,'Input LwA_XYZ'!BV29:CJ29)))</f>
        <v/>
      </c>
      <c r="G30" s="91">
        <f>IF($B30="","",IF('Input LwA_XYZ'!S29="","-",'Input LwA_XYZ'!S29))</f>
        <v/>
      </c>
      <c r="H30" s="65">
        <f>IF($B30="","",_xlfn.XLOOKUP($J$2,'Input LwA_XYZ'!$CM$1:$DA$1,'Input LwA_XYZ'!CM29:DA29))</f>
        <v/>
      </c>
      <c r="I30" s="5">
        <f>IFERROR(10^(H30/10),0)</f>
        <v/>
      </c>
      <c r="J30" s="107">
        <f>H30</f>
        <v/>
      </c>
    </row>
    <row r="31" ht="16.5" customHeight="1">
      <c r="B31" s="195">
        <f>IF('Input LwA_XYZ'!A30 = 0, "", 'Input LwA_XYZ'!A30)</f>
        <v/>
      </c>
      <c r="C31" s="192">
        <f>IF($B31="","",_xlfn.TEXTJOIN(" - ",TRUE,'Input LwA_XYZ'!B30:C30))</f>
        <v/>
      </c>
      <c r="D31" s="64">
        <f>IF($B31="","",'Input LwA_XYZ'!Q30)</f>
        <v/>
      </c>
      <c r="E31" s="91">
        <f>IF($B31="","",-1*ROUND(_xlfn.XLOOKUP($J$2,'Input LwA_XYZ'!$AY$1:$BM$1,'Input LwA_XYZ'!AY30:BM30),0) &amp; " / " &amp; ROUND(_xlfn.XLOOKUP($J$2,'Input LwA_XYZ'!$AH$1:$AV$1,'Input LwA_XYZ'!AH30:AV30),0) &amp; " ft")</f>
        <v/>
      </c>
      <c r="F31" s="91">
        <f>IF($B31="","",IF(_xlfn.XLOOKUP($J$2,'Input LwA_XYZ'!$BV$1:$CJ$1,'Input LwA_XYZ'!BV30:CJ30)="","-",_xlfn.XLOOKUP($J$2,'Input LwA_XYZ'!$BV$1:$CJ$1,'Input LwA_XYZ'!BV30:CJ30)))</f>
        <v/>
      </c>
      <c r="G31" s="91">
        <f>IF($B31="","",IF('Input LwA_XYZ'!S30="","-",'Input LwA_XYZ'!S30))</f>
        <v/>
      </c>
      <c r="H31" s="65">
        <f>IF($B31="","",_xlfn.XLOOKUP($J$2,'Input LwA_XYZ'!$CM$1:$DA$1,'Input LwA_XYZ'!CM30:DA30))</f>
        <v/>
      </c>
      <c r="I31" s="5">
        <f>IFERROR(10^(H31/10),0)</f>
        <v/>
      </c>
      <c r="J31" s="107">
        <f>H31</f>
        <v/>
      </c>
    </row>
    <row r="32" ht="16.5" customHeight="1">
      <c r="B32" s="195">
        <f>IF('Input LwA_XYZ'!A31 = 0, "", 'Input LwA_XYZ'!A31)</f>
        <v/>
      </c>
      <c r="C32" s="192">
        <f>IF($B32="","",_xlfn.TEXTJOIN(" - ",TRUE,'Input LwA_XYZ'!B31:C31))</f>
        <v/>
      </c>
      <c r="D32" s="64">
        <f>IF($B32="","",'Input LwA_XYZ'!Q31)</f>
        <v/>
      </c>
      <c r="E32" s="91">
        <f>IF($B32="","",-1*ROUND(_xlfn.XLOOKUP($J$2,'Input LwA_XYZ'!$AY$1:$BM$1,'Input LwA_XYZ'!AY31:BM31),0) &amp; " / " &amp; ROUND(_xlfn.XLOOKUP($J$2,'Input LwA_XYZ'!$AH$1:$AV$1,'Input LwA_XYZ'!AH31:AV31),0) &amp; " ft")</f>
        <v/>
      </c>
      <c r="F32" s="91">
        <f>IF($B32="","",IF(_xlfn.XLOOKUP($J$2,'Input LwA_XYZ'!$BV$1:$CJ$1,'Input LwA_XYZ'!BV31:CJ31)="","-",_xlfn.XLOOKUP($J$2,'Input LwA_XYZ'!$BV$1:$CJ$1,'Input LwA_XYZ'!BV31:CJ31)))</f>
        <v/>
      </c>
      <c r="G32" s="91">
        <f>IF($B32="","",IF('Input LwA_XYZ'!S31="","-",'Input LwA_XYZ'!S31))</f>
        <v/>
      </c>
      <c r="H32" s="65">
        <f>IF($B32="","",_xlfn.XLOOKUP($J$2,'Input LwA_XYZ'!$CM$1:$DA$1,'Input LwA_XYZ'!CM31:DA31))</f>
        <v/>
      </c>
      <c r="I32" s="5">
        <f>IFERROR(10^(H32/10),0)</f>
        <v/>
      </c>
      <c r="J32" s="107">
        <f>H32</f>
        <v/>
      </c>
    </row>
    <row r="33" ht="16.5" customHeight="1">
      <c r="B33" s="195">
        <f>IF('Input LwA_XYZ'!A32 = 0, "", 'Input LwA_XYZ'!A32)</f>
        <v/>
      </c>
      <c r="C33" s="192">
        <f>IF($B33="","",_xlfn.TEXTJOIN(" - ",TRUE,'Input LwA_XYZ'!B32:C32))</f>
        <v/>
      </c>
      <c r="D33" s="64">
        <f>IF($B33="","",'Input LwA_XYZ'!Q32)</f>
        <v/>
      </c>
      <c r="E33" s="91">
        <f>IF($B33="","",-1*ROUND(_xlfn.XLOOKUP($J$2,'Input LwA_XYZ'!$AY$1:$BM$1,'Input LwA_XYZ'!AY32:BM32),0) &amp; " / " &amp; ROUND(_xlfn.XLOOKUP($J$2,'Input LwA_XYZ'!$AH$1:$AV$1,'Input LwA_XYZ'!AH32:AV32),0) &amp; " ft")</f>
        <v/>
      </c>
      <c r="F33" s="91">
        <f>IF($B33="","",IF(_xlfn.XLOOKUP($J$2,'Input LwA_XYZ'!$BV$1:$CJ$1,'Input LwA_XYZ'!BV32:CJ32)="","-",_xlfn.XLOOKUP($J$2,'Input LwA_XYZ'!$BV$1:$CJ$1,'Input LwA_XYZ'!BV32:CJ32)))</f>
        <v/>
      </c>
      <c r="G33" s="91">
        <f>IF($B33="","",IF('Input LwA_XYZ'!S32="","-",'Input LwA_XYZ'!S32))</f>
        <v/>
      </c>
      <c r="H33" s="65">
        <f>IF($B33="","",_xlfn.XLOOKUP($J$2,'Input LwA_XYZ'!$CM$1:$DA$1,'Input LwA_XYZ'!CM32:DA32))</f>
        <v/>
      </c>
      <c r="I33" s="5">
        <f>IFERROR(10^(H33/10),0)</f>
        <v/>
      </c>
      <c r="J33" s="107">
        <f>H33</f>
        <v/>
      </c>
    </row>
    <row r="34" ht="16.5" customHeight="1">
      <c r="B34" s="195">
        <f>IF('Input LwA_XYZ'!A33 = 0, "", 'Input LwA_XYZ'!A33)</f>
        <v/>
      </c>
      <c r="C34" s="192">
        <f>IF($B34="","",_xlfn.TEXTJOIN(" - ",TRUE,'Input LwA_XYZ'!B33:C33))</f>
        <v/>
      </c>
      <c r="D34" s="64">
        <f>IF($B34="","",'Input LwA_XYZ'!Q33)</f>
        <v/>
      </c>
      <c r="E34" s="91">
        <f>IF($B34="","",-1*ROUND(_xlfn.XLOOKUP($J$2,'Input LwA_XYZ'!$AY$1:$BM$1,'Input LwA_XYZ'!AY33:BM33),0) &amp; " / " &amp; ROUND(_xlfn.XLOOKUP($J$2,'Input LwA_XYZ'!$AH$1:$AV$1,'Input LwA_XYZ'!AH33:AV33),0) &amp; " ft")</f>
        <v/>
      </c>
      <c r="F34" s="91">
        <f>IF($B34="","",IF(_xlfn.XLOOKUP($J$2,'Input LwA_XYZ'!$BV$1:$CJ$1,'Input LwA_XYZ'!BV33:CJ33)="","-",_xlfn.XLOOKUP($J$2,'Input LwA_XYZ'!$BV$1:$CJ$1,'Input LwA_XYZ'!BV33:CJ33)))</f>
        <v/>
      </c>
      <c r="G34" s="91">
        <f>IF($B34="","",IF('Input LwA_XYZ'!S33="","-",'Input LwA_XYZ'!S33))</f>
        <v/>
      </c>
      <c r="H34" s="65">
        <f>IF($B34="","",_xlfn.XLOOKUP($J$2,'Input LwA_XYZ'!$CM$1:$DA$1,'Input LwA_XYZ'!CM33:DA33))</f>
        <v/>
      </c>
      <c r="I34" s="5">
        <f>IFERROR(10^(H34/10),0)</f>
        <v/>
      </c>
      <c r="J34" s="107">
        <f>H34</f>
        <v/>
      </c>
    </row>
    <row r="35" ht="16.5" customHeight="1">
      <c r="B35" s="195">
        <f>IF('Input LwA_XYZ'!A34 = 0, "", 'Input LwA_XYZ'!A34)</f>
        <v/>
      </c>
      <c r="C35" s="192">
        <f>IF($B35="","",_xlfn.TEXTJOIN(" - ",TRUE,'Input LwA_XYZ'!B34:C34))</f>
        <v/>
      </c>
      <c r="D35" s="64">
        <f>IF($B35="","",'Input LwA_XYZ'!Q34)</f>
        <v/>
      </c>
      <c r="E35" s="91">
        <f>IF($B35="","",-1*ROUND(_xlfn.XLOOKUP($J$2,'Input LwA_XYZ'!$AY$1:$BM$1,'Input LwA_XYZ'!AY34:BM34),0) &amp; " / " &amp; ROUND(_xlfn.XLOOKUP($J$2,'Input LwA_XYZ'!$AH$1:$AV$1,'Input LwA_XYZ'!AH34:AV34),0) &amp; " ft")</f>
        <v/>
      </c>
      <c r="F35" s="91">
        <f>IF($B35="","",IF(_xlfn.XLOOKUP($J$2,'Input LwA_XYZ'!$BV$1:$CJ$1,'Input LwA_XYZ'!BV34:CJ34)="","-",_xlfn.XLOOKUP($J$2,'Input LwA_XYZ'!$BV$1:$CJ$1,'Input LwA_XYZ'!BV34:CJ34)))</f>
        <v/>
      </c>
      <c r="G35" s="91">
        <f>IF($B35="","",IF('Input LwA_XYZ'!S34="","-",'Input LwA_XYZ'!S34))</f>
        <v/>
      </c>
      <c r="H35" s="65">
        <f>IF($B35="","",_xlfn.XLOOKUP($J$2,'Input LwA_XYZ'!$CM$1:$DA$1,'Input LwA_XYZ'!CM34:DA34))</f>
        <v/>
      </c>
      <c r="I35" s="5">
        <f>IFERROR(10^(H35/10),0)</f>
        <v/>
      </c>
      <c r="J35" s="107">
        <f>H35</f>
        <v/>
      </c>
    </row>
    <row r="36" ht="16.5" customHeight="1">
      <c r="B36" s="195">
        <f>IF('Input LwA_XYZ'!A35 = 0, "", 'Input LwA_XYZ'!A35)</f>
        <v/>
      </c>
      <c r="C36" s="192">
        <f>IF($B36="","",_xlfn.TEXTJOIN(" - ",TRUE,'Input LwA_XYZ'!B35:C35))</f>
        <v/>
      </c>
      <c r="D36" s="64">
        <f>IF($B36="","",'Input LwA_XYZ'!Q35)</f>
        <v/>
      </c>
      <c r="E36" s="91">
        <f>IF($B36="","",-1*ROUND(_xlfn.XLOOKUP($J$2,'Input LwA_XYZ'!$AY$1:$BM$1,'Input LwA_XYZ'!AY35:BM35),0) &amp; " / " &amp; ROUND(_xlfn.XLOOKUP($J$2,'Input LwA_XYZ'!$AH$1:$AV$1,'Input LwA_XYZ'!AH35:AV35),0) &amp; " ft")</f>
        <v/>
      </c>
      <c r="F36" s="91">
        <f>IF($B36="","",IF(_xlfn.XLOOKUP($J$2,'Input LwA_XYZ'!$BV$1:$CJ$1,'Input LwA_XYZ'!BV35:CJ35)="","-",_xlfn.XLOOKUP($J$2,'Input LwA_XYZ'!$BV$1:$CJ$1,'Input LwA_XYZ'!BV35:CJ35)))</f>
        <v/>
      </c>
      <c r="G36" s="91">
        <f>IF($B36="","",IF('Input LwA_XYZ'!S35="","-",'Input LwA_XYZ'!S35))</f>
        <v/>
      </c>
      <c r="H36" s="65">
        <f>IF($B36="","",_xlfn.XLOOKUP($J$2,'Input LwA_XYZ'!$CM$1:$DA$1,'Input LwA_XYZ'!CM35:DA35))</f>
        <v/>
      </c>
      <c r="I36" s="5">
        <f>IFERROR(10^(H36/10),0)</f>
        <v/>
      </c>
      <c r="J36" s="107">
        <f>H36</f>
        <v/>
      </c>
    </row>
    <row r="37" ht="16.5" customHeight="1">
      <c r="B37" s="195">
        <f>IF('Input LwA_XYZ'!A36 = 0, "", 'Input LwA_XYZ'!A36)</f>
        <v/>
      </c>
      <c r="C37" s="192">
        <f>IF($B37="","",_xlfn.TEXTJOIN(" - ",TRUE,'Input LwA_XYZ'!B36:C36))</f>
        <v/>
      </c>
      <c r="D37" s="64">
        <f>IF($B37="","",'Input LwA_XYZ'!Q36)</f>
        <v/>
      </c>
      <c r="E37" s="91">
        <f>IF($B37="","",-1*ROUND(_xlfn.XLOOKUP($J$2,'Input LwA_XYZ'!$AY$1:$BM$1,'Input LwA_XYZ'!AY36:BM36),0) &amp; " / " &amp; ROUND(_xlfn.XLOOKUP($J$2,'Input LwA_XYZ'!$AH$1:$AV$1,'Input LwA_XYZ'!AH36:AV36),0) &amp; " ft")</f>
        <v/>
      </c>
      <c r="F37" s="91">
        <f>IF($B37="","",IF(_xlfn.XLOOKUP($J$2,'Input LwA_XYZ'!$BV$1:$CJ$1,'Input LwA_XYZ'!BV36:CJ36)="","-",_xlfn.XLOOKUP($J$2,'Input LwA_XYZ'!$BV$1:$CJ$1,'Input LwA_XYZ'!BV36:CJ36)))</f>
        <v/>
      </c>
      <c r="G37" s="91">
        <f>IF($B37="","",IF('Input LwA_XYZ'!S36="","-",'Input LwA_XYZ'!S36))</f>
        <v/>
      </c>
      <c r="H37" s="65">
        <f>IF($B37="","",_xlfn.XLOOKUP($J$2,'Input LwA_XYZ'!$CM$1:$DA$1,'Input LwA_XYZ'!CM36:DA36))</f>
        <v/>
      </c>
      <c r="I37" s="5">
        <f>IFERROR(10^(H37/10),0)</f>
        <v/>
      </c>
      <c r="J37" s="107">
        <f>H37</f>
        <v/>
      </c>
    </row>
    <row r="38" ht="16.5" customHeight="1">
      <c r="B38" s="195">
        <f>IF('Input LwA_XYZ'!A37 = 0, "", 'Input LwA_XYZ'!A37)</f>
        <v/>
      </c>
      <c r="C38" s="192">
        <f>IF($B38="","",_xlfn.TEXTJOIN(" - ",TRUE,'Input LwA_XYZ'!B37:C37))</f>
        <v/>
      </c>
      <c r="D38" s="64">
        <f>IF($B38="","",'Input LwA_XYZ'!Q37)</f>
        <v/>
      </c>
      <c r="E38" s="91">
        <f>IF($B38="","",-1*ROUND(_xlfn.XLOOKUP($J$2,'Input LwA_XYZ'!$AY$1:$BM$1,'Input LwA_XYZ'!AY37:BM37),0) &amp; " / " &amp; ROUND(_xlfn.XLOOKUP($J$2,'Input LwA_XYZ'!$AH$1:$AV$1,'Input LwA_XYZ'!AH37:AV37),0) &amp; " ft")</f>
        <v/>
      </c>
      <c r="F38" s="91">
        <f>IF($B38="","",IF(_xlfn.XLOOKUP($J$2,'Input LwA_XYZ'!$BV$1:$CJ$1,'Input LwA_XYZ'!BV37:CJ37)="","-",_xlfn.XLOOKUP($J$2,'Input LwA_XYZ'!$BV$1:$CJ$1,'Input LwA_XYZ'!BV37:CJ37)))</f>
        <v/>
      </c>
      <c r="G38" s="91">
        <f>IF($B38="","",IF('Input LwA_XYZ'!S37="","-",'Input LwA_XYZ'!S37))</f>
        <v/>
      </c>
      <c r="H38" s="65">
        <f>IF($B38="","",_xlfn.XLOOKUP($J$2,'Input LwA_XYZ'!$CM$1:$DA$1,'Input LwA_XYZ'!CM37:DA37))</f>
        <v/>
      </c>
      <c r="I38" s="5">
        <f>IFERROR(10^(H38/10),0)</f>
        <v/>
      </c>
      <c r="J38" s="107">
        <f>H38</f>
        <v/>
      </c>
    </row>
    <row r="39" ht="16.5" customHeight="1">
      <c r="B39" s="195">
        <f>IF('Input LwA_XYZ'!A38 = 0, "", 'Input LwA_XYZ'!A38)</f>
        <v/>
      </c>
      <c r="C39" s="192">
        <f>IF($B39="","",_xlfn.TEXTJOIN(" - ",TRUE,'Input LwA_XYZ'!B38:C38))</f>
        <v/>
      </c>
      <c r="D39" s="64">
        <f>IF($B39="","",'Input LwA_XYZ'!Q38)</f>
        <v/>
      </c>
      <c r="E39" s="91">
        <f>IF($B39="","",-1*ROUND(_xlfn.XLOOKUP($J$2,'Input LwA_XYZ'!$AY$1:$BM$1,'Input LwA_XYZ'!AY38:BM38),0) &amp; " / " &amp; ROUND(_xlfn.XLOOKUP($J$2,'Input LwA_XYZ'!$AH$1:$AV$1,'Input LwA_XYZ'!AH38:AV38),0) &amp; " ft")</f>
        <v/>
      </c>
      <c r="F39" s="91">
        <f>IF($B39="","",IF(_xlfn.XLOOKUP($J$2,'Input LwA_XYZ'!$BV$1:$CJ$1,'Input LwA_XYZ'!BV38:CJ38)="","-",_xlfn.XLOOKUP($J$2,'Input LwA_XYZ'!$BV$1:$CJ$1,'Input LwA_XYZ'!BV38:CJ38)))</f>
        <v/>
      </c>
      <c r="G39" s="91">
        <f>IF($B39="","",IF('Input LwA_XYZ'!S38="","-",'Input LwA_XYZ'!S38))</f>
        <v/>
      </c>
      <c r="H39" s="65">
        <f>IF($B39="","",_xlfn.XLOOKUP($J$2,'Input LwA_XYZ'!$CM$1:$DA$1,'Input LwA_XYZ'!CM38:DA38))</f>
        <v/>
      </c>
      <c r="I39" s="5">
        <f>IFERROR(10^(H39/10),0)</f>
        <v/>
      </c>
      <c r="J39" s="107">
        <f>H39</f>
        <v/>
      </c>
    </row>
    <row r="40" ht="16.5" customHeight="1">
      <c r="B40" s="195">
        <f>IF('Input LwA_XYZ'!A39 = 0, "", 'Input LwA_XYZ'!A39)</f>
        <v/>
      </c>
      <c r="C40" s="192">
        <f>IF($B40="","",_xlfn.TEXTJOIN(" - ",TRUE,'Input LwA_XYZ'!B39:C39))</f>
        <v/>
      </c>
      <c r="D40" s="64">
        <f>IF($B40="","",'Input LwA_XYZ'!Q39)</f>
        <v/>
      </c>
      <c r="E40" s="91">
        <f>IF($B40="","",-1*ROUND(_xlfn.XLOOKUP($J$2,'Input LwA_XYZ'!$AY$1:$BM$1,'Input LwA_XYZ'!AY39:BM39),0) &amp; " / " &amp; ROUND(_xlfn.XLOOKUP($J$2,'Input LwA_XYZ'!$AH$1:$AV$1,'Input LwA_XYZ'!AH39:AV39),0) &amp; " ft")</f>
        <v/>
      </c>
      <c r="F40" s="91">
        <f>IF($B40="","",IF(_xlfn.XLOOKUP($J$2,'Input LwA_XYZ'!$BV$1:$CJ$1,'Input LwA_XYZ'!BV39:CJ39)="","-",_xlfn.XLOOKUP($J$2,'Input LwA_XYZ'!$BV$1:$CJ$1,'Input LwA_XYZ'!BV39:CJ39)))</f>
        <v/>
      </c>
      <c r="G40" s="91">
        <f>IF($B40="","",IF('Input LwA_XYZ'!S39="","-",'Input LwA_XYZ'!S39))</f>
        <v/>
      </c>
      <c r="H40" s="65">
        <f>IF($B40="","",_xlfn.XLOOKUP($J$2,'Input LwA_XYZ'!$CM$1:$DA$1,'Input LwA_XYZ'!CM39:DA39))</f>
        <v/>
      </c>
      <c r="I40" s="5">
        <f>IFERROR(10^(H40/10),0)</f>
        <v/>
      </c>
      <c r="J40" s="107">
        <f>H40</f>
        <v/>
      </c>
    </row>
    <row r="41" ht="16.5" customHeight="1">
      <c r="B41" s="195">
        <f>IF('Input LwA_XYZ'!A40 = 0, "", 'Input LwA_XYZ'!A40)</f>
        <v/>
      </c>
      <c r="C41" s="192">
        <f>IF($B41="","",_xlfn.TEXTJOIN(" - ",TRUE,'Input LwA_XYZ'!B40:C40))</f>
        <v/>
      </c>
      <c r="D41" s="64">
        <f>IF($B41="","",'Input LwA_XYZ'!Q40)</f>
        <v/>
      </c>
      <c r="E41" s="91">
        <f>IF($B41="","",-1*ROUND(_xlfn.XLOOKUP($J$2,'Input LwA_XYZ'!$AY$1:$BM$1,'Input LwA_XYZ'!AY40:BM40),0) &amp; " / " &amp; ROUND(_xlfn.XLOOKUP($J$2,'Input LwA_XYZ'!$AH$1:$AV$1,'Input LwA_XYZ'!AH40:AV40),0) &amp; " ft")</f>
        <v/>
      </c>
      <c r="F41" s="91">
        <f>IF($B41="","",IF(_xlfn.XLOOKUP($J$2,'Input LwA_XYZ'!$BV$1:$CJ$1,'Input LwA_XYZ'!BV40:CJ40)="","-",_xlfn.XLOOKUP($J$2,'Input LwA_XYZ'!$BV$1:$CJ$1,'Input LwA_XYZ'!BV40:CJ40)))</f>
        <v/>
      </c>
      <c r="G41" s="91">
        <f>IF($B41="","",IF('Input LwA_XYZ'!S40="","-",'Input LwA_XYZ'!S40))</f>
        <v/>
      </c>
      <c r="H41" s="65">
        <f>IF($B41="","",_xlfn.XLOOKUP($J$2,'Input LwA_XYZ'!$CM$1:$DA$1,'Input LwA_XYZ'!CM40:DA40))</f>
        <v/>
      </c>
      <c r="I41" s="5">
        <f>IFERROR(10^(H41/10),0)</f>
        <v/>
      </c>
      <c r="J41" s="107">
        <f>H41</f>
        <v/>
      </c>
    </row>
    <row r="42" ht="16.5" customHeight="1">
      <c r="B42" s="195">
        <f>IF('Input LwA_XYZ'!A41 = 0, "", 'Input LwA_XYZ'!A41)</f>
        <v/>
      </c>
      <c r="C42" s="192">
        <f>IF($B42="","",_xlfn.TEXTJOIN(" - ",TRUE,'Input LwA_XYZ'!B41:C41))</f>
        <v/>
      </c>
      <c r="D42" s="64">
        <f>IF($B42="","",'Input LwA_XYZ'!Q41)</f>
        <v/>
      </c>
      <c r="E42" s="91">
        <f>IF($B42="","",-1*ROUND(_xlfn.XLOOKUP($J$2,'Input LwA_XYZ'!$AY$1:$BM$1,'Input LwA_XYZ'!AY41:BM41),0) &amp; " / " &amp; ROUND(_xlfn.XLOOKUP($J$2,'Input LwA_XYZ'!$AH$1:$AV$1,'Input LwA_XYZ'!AH41:AV41),0) &amp; " ft")</f>
        <v/>
      </c>
      <c r="F42" s="91">
        <f>IF($B42="","",IF(_xlfn.XLOOKUP($J$2,'Input LwA_XYZ'!$BV$1:$CJ$1,'Input LwA_XYZ'!BV41:CJ41)="","-",_xlfn.XLOOKUP($J$2,'Input LwA_XYZ'!$BV$1:$CJ$1,'Input LwA_XYZ'!BV41:CJ41)))</f>
        <v/>
      </c>
      <c r="G42" s="91">
        <f>IF($B42="","",IF('Input LwA_XYZ'!S41="","-",'Input LwA_XYZ'!S41))</f>
        <v/>
      </c>
      <c r="H42" s="65">
        <f>IF($B42="","",_xlfn.XLOOKUP($J$2,'Input LwA_XYZ'!$CM$1:$DA$1,'Input LwA_XYZ'!CM41:DA41))</f>
        <v/>
      </c>
      <c r="I42" s="5">
        <f>IFERROR(10^(H42/10),0)</f>
        <v/>
      </c>
      <c r="J42" s="107">
        <f>H42</f>
        <v/>
      </c>
    </row>
    <row r="43" ht="16.5" customHeight="1">
      <c r="B43" s="195">
        <f>IF('Input LwA_XYZ'!A42 = 0, "", 'Input LwA_XYZ'!A42)</f>
        <v/>
      </c>
      <c r="C43" s="192">
        <f>IF($B43="","",_xlfn.TEXTJOIN(" - ",TRUE,'Input LwA_XYZ'!B42:C42))</f>
        <v/>
      </c>
      <c r="D43" s="64">
        <f>IF($B43="","",'Input LwA_XYZ'!Q42)</f>
        <v/>
      </c>
      <c r="E43" s="91">
        <f>IF($B43="","",-1*ROUND(_xlfn.XLOOKUP($J$2,'Input LwA_XYZ'!$AY$1:$BM$1,'Input LwA_XYZ'!AY42:BM42),0) &amp; " / " &amp; ROUND(_xlfn.XLOOKUP($J$2,'Input LwA_XYZ'!$AH$1:$AV$1,'Input LwA_XYZ'!AH42:AV42),0) &amp; " ft")</f>
        <v/>
      </c>
      <c r="F43" s="91">
        <f>IF($B43="","",IF(_xlfn.XLOOKUP($J$2,'Input LwA_XYZ'!$BV$1:$CJ$1,'Input LwA_XYZ'!BV42:CJ42)="","-",_xlfn.XLOOKUP($J$2,'Input LwA_XYZ'!$BV$1:$CJ$1,'Input LwA_XYZ'!BV42:CJ42)))</f>
        <v/>
      </c>
      <c r="G43" s="91">
        <f>IF($B43="","",IF('Input LwA_XYZ'!S42="","-",'Input LwA_XYZ'!S42))</f>
        <v/>
      </c>
      <c r="H43" s="65">
        <f>IF($B43="","",_xlfn.XLOOKUP($J$2,'Input LwA_XYZ'!$CM$1:$DA$1,'Input LwA_XYZ'!CM42:DA42))</f>
        <v/>
      </c>
      <c r="I43" s="5">
        <f>IFERROR(10^(H43/10),0)</f>
        <v/>
      </c>
      <c r="J43" s="107">
        <f>H43</f>
        <v/>
      </c>
    </row>
    <row r="44" ht="16.5" customHeight="1">
      <c r="B44" s="195">
        <f>IF('Input LwA_XYZ'!A43 = 0, "", 'Input LwA_XYZ'!A43)</f>
        <v/>
      </c>
      <c r="C44" s="192">
        <f>IF($B44="","",_xlfn.TEXTJOIN(" - ",TRUE,'Input LwA_XYZ'!B43:C43))</f>
        <v/>
      </c>
      <c r="D44" s="64">
        <f>IF($B44="","",'Input LwA_XYZ'!Q43)</f>
        <v/>
      </c>
      <c r="E44" s="91">
        <f>IF($B44="","",-1*ROUND(_xlfn.XLOOKUP($J$2,'Input LwA_XYZ'!$AY$1:$BM$1,'Input LwA_XYZ'!AY43:BM43),0) &amp; " / " &amp; ROUND(_xlfn.XLOOKUP($J$2,'Input LwA_XYZ'!$AH$1:$AV$1,'Input LwA_XYZ'!AH43:AV43),0) &amp; " ft")</f>
        <v/>
      </c>
      <c r="F44" s="91">
        <f>IF($B44="","",IF(_xlfn.XLOOKUP($J$2,'Input LwA_XYZ'!$BV$1:$CJ$1,'Input LwA_XYZ'!BV43:CJ43)="","-",_xlfn.XLOOKUP($J$2,'Input LwA_XYZ'!$BV$1:$CJ$1,'Input LwA_XYZ'!BV43:CJ43)))</f>
        <v/>
      </c>
      <c r="G44" s="91">
        <f>IF($B44="","",IF('Input LwA_XYZ'!S43="","-",'Input LwA_XYZ'!S43))</f>
        <v/>
      </c>
      <c r="H44" s="65">
        <f>IF($B44="","",_xlfn.XLOOKUP($J$2,'Input LwA_XYZ'!$CM$1:$DA$1,'Input LwA_XYZ'!CM43:DA43))</f>
        <v/>
      </c>
      <c r="I44" s="5">
        <f>IFERROR(10^(H44/10),0)</f>
        <v/>
      </c>
      <c r="J44" s="107">
        <f>H44</f>
        <v/>
      </c>
    </row>
    <row r="45" ht="16.5" customHeight="1">
      <c r="B45" s="195">
        <f>IF('Input LwA_XYZ'!A44 = 0, "", 'Input LwA_XYZ'!A44)</f>
        <v/>
      </c>
      <c r="C45" s="192">
        <f>IF($B45="","",_xlfn.TEXTJOIN(" - ",TRUE,'Input LwA_XYZ'!B44:C44))</f>
        <v/>
      </c>
      <c r="D45" s="64">
        <f>IF($B45="","",'Input LwA_XYZ'!Q44)</f>
        <v/>
      </c>
      <c r="E45" s="91">
        <f>IF($B45="","",-1*ROUND(_xlfn.XLOOKUP($J$2,'Input LwA_XYZ'!$AY$1:$BM$1,'Input LwA_XYZ'!AY44:BM44),0) &amp; " / " &amp; ROUND(_xlfn.XLOOKUP($J$2,'Input LwA_XYZ'!$AH$1:$AV$1,'Input LwA_XYZ'!AH44:AV44),0) &amp; " ft")</f>
        <v/>
      </c>
      <c r="F45" s="91">
        <f>IF($B45="","",IF(_xlfn.XLOOKUP($J$2,'Input LwA_XYZ'!$BV$1:$CJ$1,'Input LwA_XYZ'!BV44:CJ44)="","-",_xlfn.XLOOKUP($J$2,'Input LwA_XYZ'!$BV$1:$CJ$1,'Input LwA_XYZ'!BV44:CJ44)))</f>
        <v/>
      </c>
      <c r="G45" s="91">
        <f>IF($B45="","",IF('Input LwA_XYZ'!S44="","-",'Input LwA_XYZ'!S44))</f>
        <v/>
      </c>
      <c r="H45" s="65">
        <f>IF($B45="","",_xlfn.XLOOKUP($J$2,'Input LwA_XYZ'!$CM$1:$DA$1,'Input LwA_XYZ'!CM44:DA44))</f>
        <v/>
      </c>
      <c r="I45" s="5">
        <f>IFERROR(10^(H45/10),0)</f>
        <v/>
      </c>
      <c r="J45" s="107">
        <f>H45</f>
        <v/>
      </c>
    </row>
    <row r="46" ht="16.5" customHeight="1">
      <c r="B46" s="195">
        <f>IF('Input LwA_XYZ'!A45 = 0, "", 'Input LwA_XYZ'!A45)</f>
        <v/>
      </c>
      <c r="C46" s="192">
        <f>IF($B46="","",_xlfn.TEXTJOIN(" - ",TRUE,'Input LwA_XYZ'!B45:C45))</f>
        <v/>
      </c>
      <c r="D46" s="64">
        <f>IF($B46="","",'Input LwA_XYZ'!Q45)</f>
        <v/>
      </c>
      <c r="E46" s="91">
        <f>IF($B46="","",-1*ROUND(_xlfn.XLOOKUP($J$2,'Input LwA_XYZ'!$AY$1:$BM$1,'Input LwA_XYZ'!AY45:BM45),0) &amp; " / " &amp; ROUND(_xlfn.XLOOKUP($J$2,'Input LwA_XYZ'!$AH$1:$AV$1,'Input LwA_XYZ'!AH45:AV45),0) &amp; " ft")</f>
        <v/>
      </c>
      <c r="F46" s="91">
        <f>IF($B46="","",IF(_xlfn.XLOOKUP($J$2,'Input LwA_XYZ'!$BV$1:$CJ$1,'Input LwA_XYZ'!BV45:CJ45)="","-",_xlfn.XLOOKUP($J$2,'Input LwA_XYZ'!$BV$1:$CJ$1,'Input LwA_XYZ'!BV45:CJ45)))</f>
        <v/>
      </c>
      <c r="G46" s="91">
        <f>IF($B46="","",IF('Input LwA_XYZ'!S45="","-",'Input LwA_XYZ'!S45))</f>
        <v/>
      </c>
      <c r="H46" s="65">
        <f>IF($B46="","",_xlfn.XLOOKUP($J$2,'Input LwA_XYZ'!$CM$1:$DA$1,'Input LwA_XYZ'!CM45:DA45))</f>
        <v/>
      </c>
      <c r="I46" s="5">
        <f>IFERROR(10^(H46/10),0)</f>
        <v/>
      </c>
      <c r="J46" s="107">
        <f>H46</f>
        <v/>
      </c>
    </row>
    <row r="47" ht="16.5" customHeight="1">
      <c r="B47" s="195">
        <f>IF('Input LwA_XYZ'!A46 = 0, "", 'Input LwA_XYZ'!A46)</f>
        <v/>
      </c>
      <c r="C47" s="192">
        <f>IF($B47="","",_xlfn.TEXTJOIN(" - ",TRUE,'Input LwA_XYZ'!B46:C46))</f>
        <v/>
      </c>
      <c r="D47" s="64">
        <f>IF($B47="","",'Input LwA_XYZ'!Q46)</f>
        <v/>
      </c>
      <c r="E47" s="91">
        <f>IF($B47="","",-1*ROUND(_xlfn.XLOOKUP($J$2,'Input LwA_XYZ'!$AY$1:$BM$1,'Input LwA_XYZ'!AY46:BM46),0) &amp; " / " &amp; ROUND(_xlfn.XLOOKUP($J$2,'Input LwA_XYZ'!$AH$1:$AV$1,'Input LwA_XYZ'!AH46:AV46),0) &amp; " ft")</f>
        <v/>
      </c>
      <c r="F47" s="91">
        <f>IF($B47="","",IF(_xlfn.XLOOKUP($J$2,'Input LwA_XYZ'!$BV$1:$CJ$1,'Input LwA_XYZ'!BV46:CJ46)="","-",_xlfn.XLOOKUP($J$2,'Input LwA_XYZ'!$BV$1:$CJ$1,'Input LwA_XYZ'!BV46:CJ46)))</f>
        <v/>
      </c>
      <c r="G47" s="91">
        <f>IF($B47="","",IF('Input LwA_XYZ'!S46="","-",'Input LwA_XYZ'!S46))</f>
        <v/>
      </c>
      <c r="H47" s="65">
        <f>IF($B47="","",_xlfn.XLOOKUP($J$2,'Input LwA_XYZ'!$CM$1:$DA$1,'Input LwA_XYZ'!CM46:DA46))</f>
        <v/>
      </c>
      <c r="I47" s="5">
        <f>IFERROR(10^(H47/10),0)</f>
        <v/>
      </c>
      <c r="J47" s="107">
        <f>H47</f>
        <v/>
      </c>
    </row>
    <row r="48" ht="16.5" customHeight="1">
      <c r="B48" s="195">
        <f>IF('Input LwA_XYZ'!A47 = 0, "", 'Input LwA_XYZ'!A47)</f>
        <v/>
      </c>
      <c r="C48" s="192">
        <f>IF($B48="","",_xlfn.TEXTJOIN(" - ",TRUE,'Input LwA_XYZ'!B47:C47))</f>
        <v/>
      </c>
      <c r="D48" s="64">
        <f>IF($B48="","",'Input LwA_XYZ'!Q47)</f>
        <v/>
      </c>
      <c r="E48" s="91">
        <f>IF($B48="","",-1*ROUND(_xlfn.XLOOKUP($J$2,'Input LwA_XYZ'!$AY$1:$BM$1,'Input LwA_XYZ'!AY47:BM47),0) &amp; " / " &amp; ROUND(_xlfn.XLOOKUP($J$2,'Input LwA_XYZ'!$AH$1:$AV$1,'Input LwA_XYZ'!AH47:AV47),0) &amp; " ft")</f>
        <v/>
      </c>
      <c r="F48" s="91">
        <f>IF($B48="","",IF(_xlfn.XLOOKUP($J$2,'Input LwA_XYZ'!$BV$1:$CJ$1,'Input LwA_XYZ'!BV47:CJ47)="","-",_xlfn.XLOOKUP($J$2,'Input LwA_XYZ'!$BV$1:$CJ$1,'Input LwA_XYZ'!BV47:CJ47)))</f>
        <v/>
      </c>
      <c r="G48" s="91">
        <f>IF($B48="","",IF('Input LwA_XYZ'!S47="","-",'Input LwA_XYZ'!S47))</f>
        <v/>
      </c>
      <c r="H48" s="65">
        <f>IF($B48="","",_xlfn.XLOOKUP($J$2,'Input LwA_XYZ'!$CM$1:$DA$1,'Input LwA_XYZ'!CM47:DA47))</f>
        <v/>
      </c>
      <c r="I48" s="5">
        <f>IFERROR(10^(H48/10),0)</f>
        <v/>
      </c>
      <c r="J48" s="107">
        <f>H48</f>
        <v/>
      </c>
    </row>
    <row r="49" ht="16.5" customHeight="1">
      <c r="B49" s="195">
        <f>IF('Input LwA_XYZ'!A48 = 0, "", 'Input LwA_XYZ'!A48)</f>
        <v/>
      </c>
      <c r="C49" s="192">
        <f>IF($B49="","",_xlfn.TEXTJOIN(" - ",TRUE,'Input LwA_XYZ'!B48:C48))</f>
        <v/>
      </c>
      <c r="D49" s="64">
        <f>IF($B49="","",'Input LwA_XYZ'!Q48)</f>
        <v/>
      </c>
      <c r="E49" s="91">
        <f>IF($B49="","",-1*ROUND(_xlfn.XLOOKUP($J$2,'Input LwA_XYZ'!$AY$1:$BM$1,'Input LwA_XYZ'!AY48:BM48),0) &amp; " / " &amp; ROUND(_xlfn.XLOOKUP($J$2,'Input LwA_XYZ'!$AH$1:$AV$1,'Input LwA_XYZ'!AH48:AV48),0) &amp; " ft")</f>
        <v/>
      </c>
      <c r="F49" s="91">
        <f>IF($B49="","",IF(_xlfn.XLOOKUP($J$2,'Input LwA_XYZ'!$BV$1:$CJ$1,'Input LwA_XYZ'!BV48:CJ48)="","-",_xlfn.XLOOKUP($J$2,'Input LwA_XYZ'!$BV$1:$CJ$1,'Input LwA_XYZ'!BV48:CJ48)))</f>
        <v/>
      </c>
      <c r="G49" s="91">
        <f>IF($B49="","",IF('Input LwA_XYZ'!S48="","-",'Input LwA_XYZ'!S48))</f>
        <v/>
      </c>
      <c r="H49" s="65">
        <f>IF($B49="","",_xlfn.XLOOKUP($J$2,'Input LwA_XYZ'!$CM$1:$DA$1,'Input LwA_XYZ'!CM48:DA48))</f>
        <v/>
      </c>
      <c r="I49" s="5">
        <f>IFERROR(10^(H49/10),0)</f>
        <v/>
      </c>
      <c r="J49" s="107">
        <f>H49</f>
        <v/>
      </c>
    </row>
    <row r="50" ht="16.5" customHeight="1">
      <c r="B50" s="195">
        <f>IF('Input LwA_XYZ'!A49 = 0, "", 'Input LwA_XYZ'!A49)</f>
        <v/>
      </c>
      <c r="C50" s="192">
        <f>IF($B50="","",_xlfn.TEXTJOIN(" - ",TRUE,'Input LwA_XYZ'!B49:C49))</f>
        <v/>
      </c>
      <c r="D50" s="64">
        <f>IF($B50="","",'Input LwA_XYZ'!Q49)</f>
        <v/>
      </c>
      <c r="E50" s="91">
        <f>IF($B50="","",-1*ROUND(_xlfn.XLOOKUP($J$2,'Input LwA_XYZ'!$AY$1:$BM$1,'Input LwA_XYZ'!AY49:BM49),0) &amp; " / " &amp; ROUND(_xlfn.XLOOKUP($J$2,'Input LwA_XYZ'!$AH$1:$AV$1,'Input LwA_XYZ'!AH49:AV49),0) &amp; " ft")</f>
        <v/>
      </c>
      <c r="F50" s="91">
        <f>IF($B50="","",IF(_xlfn.XLOOKUP($J$2,'Input LwA_XYZ'!$BV$1:$CJ$1,'Input LwA_XYZ'!BV49:CJ49)="","-",_xlfn.XLOOKUP($J$2,'Input LwA_XYZ'!$BV$1:$CJ$1,'Input LwA_XYZ'!BV49:CJ49)))</f>
        <v/>
      </c>
      <c r="G50" s="91">
        <f>IF($B50="","",IF('Input LwA_XYZ'!S49="","-",'Input LwA_XYZ'!S49))</f>
        <v/>
      </c>
      <c r="H50" s="65">
        <f>IF($B50="","",_xlfn.XLOOKUP($J$2,'Input LwA_XYZ'!$CM$1:$DA$1,'Input LwA_XYZ'!CM49:DA49))</f>
        <v/>
      </c>
      <c r="I50" s="5">
        <f>IFERROR(10^(H50/10),0)</f>
        <v/>
      </c>
      <c r="J50" s="107">
        <f>H50</f>
        <v/>
      </c>
    </row>
    <row r="51" ht="16.5" customHeight="1">
      <c r="B51" s="195">
        <f>IF('Input LwA_XYZ'!A50 = 0, "", 'Input LwA_XYZ'!A50)</f>
        <v/>
      </c>
      <c r="C51" s="192">
        <f>IF($B51="","",_xlfn.TEXTJOIN(" - ",TRUE,'Input LwA_XYZ'!B50:C50))</f>
        <v/>
      </c>
      <c r="D51" s="64">
        <f>IF($B51="","",'Input LwA_XYZ'!Q50)</f>
        <v/>
      </c>
      <c r="E51" s="91">
        <f>IF($B51="","",-1*ROUND(_xlfn.XLOOKUP($J$2,'Input LwA_XYZ'!$AY$1:$BM$1,'Input LwA_XYZ'!AY50:BM50),0) &amp; " / " &amp; ROUND(_xlfn.XLOOKUP($J$2,'Input LwA_XYZ'!$AH$1:$AV$1,'Input LwA_XYZ'!AH50:AV50),0) &amp; " ft")</f>
        <v/>
      </c>
      <c r="F51" s="91">
        <f>IF($B51="","",IF(_xlfn.XLOOKUP($J$2,'Input LwA_XYZ'!$BV$1:$CJ$1,'Input LwA_XYZ'!BV50:CJ50)="","-",_xlfn.XLOOKUP($J$2,'Input LwA_XYZ'!$BV$1:$CJ$1,'Input LwA_XYZ'!BV50:CJ50)))</f>
        <v/>
      </c>
      <c r="G51" s="91">
        <f>IF($B51="","",IF('Input LwA_XYZ'!S50="","-",'Input LwA_XYZ'!S50))</f>
        <v/>
      </c>
      <c r="H51" s="65">
        <f>IF($B51="","",_xlfn.XLOOKUP($J$2,'Input LwA_XYZ'!$CM$1:$DA$1,'Input LwA_XYZ'!CM50:DA50))</f>
        <v/>
      </c>
      <c r="I51" s="5">
        <f>IFERROR(10^(H51/10),0)</f>
        <v/>
      </c>
      <c r="J51" s="107">
        <f>H51</f>
        <v/>
      </c>
    </row>
    <row r="52" ht="16.5" customHeight="1">
      <c r="B52" s="195">
        <f>IF('Input LwA_XYZ'!A51 = 0, "", 'Input LwA_XYZ'!A51)</f>
        <v/>
      </c>
      <c r="C52" s="192">
        <f>IF($B52="","",_xlfn.TEXTJOIN(" - ",TRUE,'Input LwA_XYZ'!B51:C51))</f>
        <v/>
      </c>
      <c r="D52" s="64">
        <f>IF($B52="","",'Input LwA_XYZ'!Q51)</f>
        <v/>
      </c>
      <c r="E52" s="91">
        <f>IF($B52="","",-1*ROUND(_xlfn.XLOOKUP($J$2,'Input LwA_XYZ'!$AY$1:$BM$1,'Input LwA_XYZ'!AY51:BM51),0) &amp; " / " &amp; ROUND(_xlfn.XLOOKUP($J$2,'Input LwA_XYZ'!$AH$1:$AV$1,'Input LwA_XYZ'!AH51:AV51),0) &amp; " ft")</f>
        <v/>
      </c>
      <c r="F52" s="91">
        <f>IF($B52="","",IF(_xlfn.XLOOKUP($J$2,'Input LwA_XYZ'!$BV$1:$CJ$1,'Input LwA_XYZ'!BV51:CJ51)="","-",_xlfn.XLOOKUP($J$2,'Input LwA_XYZ'!$BV$1:$CJ$1,'Input LwA_XYZ'!BV51:CJ51)))</f>
        <v/>
      </c>
      <c r="G52" s="91">
        <f>IF($B52="","",IF('Input LwA_XYZ'!S51="","-",'Input LwA_XYZ'!S51))</f>
        <v/>
      </c>
      <c r="H52" s="65">
        <f>IF($B52="","",_xlfn.XLOOKUP($J$2,'Input LwA_XYZ'!$CM$1:$DA$1,'Input LwA_XYZ'!CM51:DA51))</f>
        <v/>
      </c>
      <c r="I52" s="5">
        <f>IFERROR(10^(H52/10),0)</f>
        <v/>
      </c>
      <c r="J52" s="107">
        <f>H52</f>
        <v/>
      </c>
    </row>
    <row r="53" ht="16.5" customHeight="1">
      <c r="B53" s="195">
        <f>IF('Input LwA_XYZ'!A52 = 0, "", 'Input LwA_XYZ'!A52)</f>
        <v/>
      </c>
      <c r="C53" s="192">
        <f>IF($B53="","",_xlfn.TEXTJOIN(" - ",TRUE,'Input LwA_XYZ'!B52:C52))</f>
        <v/>
      </c>
      <c r="D53" s="64">
        <f>IF($B53="","",'Input LwA_XYZ'!Q52)</f>
        <v/>
      </c>
      <c r="E53" s="91">
        <f>IF($B53="","",-1*ROUND(_xlfn.XLOOKUP($J$2,'Input LwA_XYZ'!$AY$1:$BM$1,'Input LwA_XYZ'!AY52:BM52),0) &amp; " / " &amp; ROUND(_xlfn.XLOOKUP($J$2,'Input LwA_XYZ'!$AH$1:$AV$1,'Input LwA_XYZ'!AH52:AV52),0) &amp; " ft")</f>
        <v/>
      </c>
      <c r="F53" s="91">
        <f>IF($B53="","",IF(_xlfn.XLOOKUP($J$2,'Input LwA_XYZ'!$BV$1:$CJ$1,'Input LwA_XYZ'!BV52:CJ52)="","-",_xlfn.XLOOKUP($J$2,'Input LwA_XYZ'!$BV$1:$CJ$1,'Input LwA_XYZ'!BV52:CJ52)))</f>
        <v/>
      </c>
      <c r="G53" s="91">
        <f>IF($B53="","",IF('Input LwA_XYZ'!S52="","-",'Input LwA_XYZ'!S52))</f>
        <v/>
      </c>
      <c r="H53" s="65">
        <f>IF($B53="","",_xlfn.XLOOKUP($J$2,'Input LwA_XYZ'!$CM$1:$DA$1,'Input LwA_XYZ'!CM52:DA52))</f>
        <v/>
      </c>
      <c r="I53" s="5">
        <f>IFERROR(10^(H53/10),0)</f>
        <v/>
      </c>
      <c r="J53" s="107">
        <f>H53</f>
        <v/>
      </c>
    </row>
    <row r="54" ht="16.5" customHeight="1">
      <c r="B54" s="195">
        <f>IF('Input LwA_XYZ'!A53 = 0, "", 'Input LwA_XYZ'!A53)</f>
        <v/>
      </c>
      <c r="C54" s="192">
        <f>IF($B54="","",_xlfn.TEXTJOIN(" - ",TRUE,'Input LwA_XYZ'!B53:C53))</f>
        <v/>
      </c>
      <c r="D54" s="64">
        <f>IF($B54="","",'Input LwA_XYZ'!Q53)</f>
        <v/>
      </c>
      <c r="E54" s="91">
        <f>IF($B54="","",-1*ROUND(_xlfn.XLOOKUP($J$2,'Input LwA_XYZ'!$AY$1:$BM$1,'Input LwA_XYZ'!AY53:BM53),0) &amp; " / " &amp; ROUND(_xlfn.XLOOKUP($J$2,'Input LwA_XYZ'!$AH$1:$AV$1,'Input LwA_XYZ'!AH53:AV53),0) &amp; " ft")</f>
        <v/>
      </c>
      <c r="F54" s="91">
        <f>IF($B54="","",IF(_xlfn.XLOOKUP($J$2,'Input LwA_XYZ'!$BV$1:$CJ$1,'Input LwA_XYZ'!BV53:CJ53)="","-",_xlfn.XLOOKUP($J$2,'Input LwA_XYZ'!$BV$1:$CJ$1,'Input LwA_XYZ'!BV53:CJ53)))</f>
        <v/>
      </c>
      <c r="G54" s="91">
        <f>IF($B54="","",IF('Input LwA_XYZ'!S53="","-",'Input LwA_XYZ'!S53))</f>
        <v/>
      </c>
      <c r="H54" s="65">
        <f>IF($B54="","",_xlfn.XLOOKUP($J$2,'Input LwA_XYZ'!$CM$1:$DA$1,'Input LwA_XYZ'!CM53:DA53))</f>
        <v/>
      </c>
      <c r="I54" s="5">
        <f>IFERROR(10^(H54/10),0)</f>
        <v/>
      </c>
      <c r="J54" s="107">
        <f>H54</f>
        <v/>
      </c>
    </row>
    <row r="55" ht="16.5" customHeight="1">
      <c r="B55" s="195">
        <f>IF('Input LwA_XYZ'!A54 = 0, "", 'Input LwA_XYZ'!A54)</f>
        <v/>
      </c>
      <c r="C55" s="192">
        <f>IF($B55="","",_xlfn.TEXTJOIN(" - ",TRUE,'Input LwA_XYZ'!B54:C54))</f>
        <v/>
      </c>
      <c r="D55" s="64">
        <f>IF($B55="","",'Input LwA_XYZ'!Q54)</f>
        <v/>
      </c>
      <c r="E55" s="91">
        <f>IF($B55="","",-1*ROUND(_xlfn.XLOOKUP($J$2,'Input LwA_XYZ'!$AY$1:$BM$1,'Input LwA_XYZ'!AY54:BM54),0) &amp; " / " &amp; ROUND(_xlfn.XLOOKUP($J$2,'Input LwA_XYZ'!$AH$1:$AV$1,'Input LwA_XYZ'!AH54:AV54),0) &amp; " ft")</f>
        <v/>
      </c>
      <c r="F55" s="91">
        <f>IF($B55="","",IF(_xlfn.XLOOKUP($J$2,'Input LwA_XYZ'!$BV$1:$CJ$1,'Input LwA_XYZ'!BV54:CJ54)="","-",_xlfn.XLOOKUP($J$2,'Input LwA_XYZ'!$BV$1:$CJ$1,'Input LwA_XYZ'!BV54:CJ54)))</f>
        <v/>
      </c>
      <c r="G55" s="91">
        <f>IF($B55="","",IF('Input LwA_XYZ'!S54="","-",'Input LwA_XYZ'!S54))</f>
        <v/>
      </c>
      <c r="H55" s="65">
        <f>IF($B55="","",_xlfn.XLOOKUP($J$2,'Input LwA_XYZ'!$CM$1:$DA$1,'Input LwA_XYZ'!CM54:DA54))</f>
        <v/>
      </c>
      <c r="I55" s="5">
        <f>IFERROR(10^(H55/10),0)</f>
        <v/>
      </c>
      <c r="J55" s="107">
        <f>H55</f>
        <v/>
      </c>
    </row>
    <row r="56" ht="16.5" customHeight="1">
      <c r="B56" s="195">
        <f>IF('Input LwA_XYZ'!A55 = 0, "", 'Input LwA_XYZ'!A55)</f>
        <v/>
      </c>
      <c r="C56" s="192">
        <f>IF($B56="","",_xlfn.TEXTJOIN(" - ",TRUE,'Input LwA_XYZ'!B55:C55))</f>
        <v/>
      </c>
      <c r="D56" s="64">
        <f>IF($B56="","",'Input LwA_XYZ'!Q55)</f>
        <v/>
      </c>
      <c r="E56" s="91">
        <f>IF($B56="","",-1*ROUND(_xlfn.XLOOKUP($J$2,'Input LwA_XYZ'!$AY$1:$BM$1,'Input LwA_XYZ'!AY55:BM55),0) &amp; " / " &amp; ROUND(_xlfn.XLOOKUP($J$2,'Input LwA_XYZ'!$AH$1:$AV$1,'Input LwA_XYZ'!AH55:AV55),0) &amp; " ft")</f>
        <v/>
      </c>
      <c r="F56" s="91">
        <f>IF($B56="","",IF(_xlfn.XLOOKUP($J$2,'Input LwA_XYZ'!$BV$1:$CJ$1,'Input LwA_XYZ'!BV55:CJ55)="","-",_xlfn.XLOOKUP($J$2,'Input LwA_XYZ'!$BV$1:$CJ$1,'Input LwA_XYZ'!BV55:CJ55)))</f>
        <v/>
      </c>
      <c r="G56" s="91">
        <f>IF($B56="","",IF('Input LwA_XYZ'!S55="","-",'Input LwA_XYZ'!S55))</f>
        <v/>
      </c>
      <c r="H56" s="65">
        <f>IF($B56="","",_xlfn.XLOOKUP($J$2,'Input LwA_XYZ'!$CM$1:$DA$1,'Input LwA_XYZ'!CM55:DA55))</f>
        <v/>
      </c>
      <c r="I56" s="5">
        <f>IFERROR(10^(H56/10),0)</f>
        <v/>
      </c>
      <c r="J56" s="107">
        <f>H56</f>
        <v/>
      </c>
    </row>
    <row r="57" ht="16.5" customHeight="1">
      <c r="B57" s="195">
        <f>IF('Input LwA_XYZ'!A56 = 0, "", 'Input LwA_XYZ'!A56)</f>
        <v/>
      </c>
      <c r="C57" s="192">
        <f>IF($B57="","",_xlfn.TEXTJOIN(" - ",TRUE,'Input LwA_XYZ'!B56:C56))</f>
        <v/>
      </c>
      <c r="D57" s="64">
        <f>IF($B57="","",'Input LwA_XYZ'!Q56)</f>
        <v/>
      </c>
      <c r="E57" s="91">
        <f>IF($B57="","",-1*ROUND(_xlfn.XLOOKUP($J$2,'Input LwA_XYZ'!$AY$1:$BM$1,'Input LwA_XYZ'!AY56:BM56),0) &amp; " / " &amp; ROUND(_xlfn.XLOOKUP($J$2,'Input LwA_XYZ'!$AH$1:$AV$1,'Input LwA_XYZ'!AH56:AV56),0) &amp; " ft")</f>
        <v/>
      </c>
      <c r="F57" s="91">
        <f>IF($B57="","",IF(_xlfn.XLOOKUP($J$2,'Input LwA_XYZ'!$BV$1:$CJ$1,'Input LwA_XYZ'!BV56:CJ56)="","-",_xlfn.XLOOKUP($J$2,'Input LwA_XYZ'!$BV$1:$CJ$1,'Input LwA_XYZ'!BV56:CJ56)))</f>
        <v/>
      </c>
      <c r="G57" s="91">
        <f>IF($B57="","",IF('Input LwA_XYZ'!S56="","-",'Input LwA_XYZ'!S56))</f>
        <v/>
      </c>
      <c r="H57" s="65">
        <f>IF($B57="","",_xlfn.XLOOKUP($J$2,'Input LwA_XYZ'!$CM$1:$DA$1,'Input LwA_XYZ'!CM56:DA56))</f>
        <v/>
      </c>
      <c r="I57" s="5">
        <f>IFERROR(10^(H57/10),0)</f>
        <v/>
      </c>
      <c r="J57" s="107">
        <f>H57</f>
        <v/>
      </c>
    </row>
    <row r="58" ht="16.5" customHeight="1">
      <c r="B58" s="195">
        <f>IF('Input LwA_XYZ'!A57 = 0, "", 'Input LwA_XYZ'!A57)</f>
        <v/>
      </c>
      <c r="C58" s="192">
        <f>IF($B58="","",_xlfn.TEXTJOIN(" - ",TRUE,'Input LwA_XYZ'!B57:C57))</f>
        <v/>
      </c>
      <c r="D58" s="64">
        <f>IF($B58="","",'Input LwA_XYZ'!Q57)</f>
        <v/>
      </c>
      <c r="E58" s="91">
        <f>IF($B58="","",-1*ROUND(_xlfn.XLOOKUP($J$2,'Input LwA_XYZ'!$AY$1:$BM$1,'Input LwA_XYZ'!AY57:BM57),0) &amp; " / " &amp; ROUND(_xlfn.XLOOKUP($J$2,'Input LwA_XYZ'!$AH$1:$AV$1,'Input LwA_XYZ'!AH57:AV57),0) &amp; " ft")</f>
        <v/>
      </c>
      <c r="F58" s="91">
        <f>IF($B58="","",IF(_xlfn.XLOOKUP($J$2,'Input LwA_XYZ'!$BV$1:$CJ$1,'Input LwA_XYZ'!BV57:CJ57)="","-",_xlfn.XLOOKUP($J$2,'Input LwA_XYZ'!$BV$1:$CJ$1,'Input LwA_XYZ'!BV57:CJ57)))</f>
        <v/>
      </c>
      <c r="G58" s="91">
        <f>IF($B58="","",IF('Input LwA_XYZ'!S57="","-",'Input LwA_XYZ'!S57))</f>
        <v/>
      </c>
      <c r="H58" s="65">
        <f>IF($B58="","",_xlfn.XLOOKUP($J$2,'Input LwA_XYZ'!$CM$1:$DA$1,'Input LwA_XYZ'!CM57:DA57))</f>
        <v/>
      </c>
      <c r="I58" s="5">
        <f>IFERROR(10^(H58/10),0)</f>
        <v/>
      </c>
      <c r="J58" s="107">
        <f>H58</f>
        <v/>
      </c>
    </row>
    <row r="59" ht="17.25" customHeight="1" thickBot="1">
      <c r="B59" s="197">
        <f>IF('Input LwA_XYZ'!A58 = 0, "", 'Input LwA_XYZ'!A58)</f>
        <v/>
      </c>
      <c r="C59" s="198">
        <f>IF($B59="","",_xlfn.TEXTJOIN(" - ",TRUE,'Input LwA_XYZ'!B58:C58))</f>
        <v/>
      </c>
      <c r="D59" s="99">
        <f>IF($B59="","",'Input LwA_XYZ'!Q58)</f>
        <v/>
      </c>
      <c r="E59" s="100">
        <f>IF($B59="","",-1*ROUND(_xlfn.XLOOKUP($J$2,'Input LwA_XYZ'!$AY$1:$BM$1,'Input LwA_XYZ'!AY58:BM58),0) &amp; " / " &amp; ROUND(_xlfn.XLOOKUP($J$2,'Input LwA_XYZ'!$AH$1:$AV$1,'Input LwA_XYZ'!AH58:AV58),0) &amp; " ft")</f>
        <v/>
      </c>
      <c r="F59" s="91">
        <f>IF($B59="","",IF(_xlfn.XLOOKUP($J$2,'Input LwA_XYZ'!$BV$1:$CJ$1,'Input LwA_XYZ'!BV58:CJ58)="","-",_xlfn.XLOOKUP($J$2,'Input LwA_XYZ'!$BV$1:$CJ$1,'Input LwA_XYZ'!BV58:CJ58)))</f>
        <v/>
      </c>
      <c r="G59" s="91">
        <f>IF($B59="","",IF('Input LwA_XYZ'!S58="","-",'Input LwA_XYZ'!S58))</f>
        <v/>
      </c>
      <c r="H59" s="66">
        <f>IF($B59="","",_xlfn.XLOOKUP($J$2,'Input LwA_XYZ'!$CM$1:$DA$1,'Input LwA_XYZ'!CM58:DA58))</f>
        <v/>
      </c>
      <c r="I59" s="5">
        <f>IFERROR(10^(H59/10),0)</f>
        <v/>
      </c>
      <c r="J59" s="107">
        <f>H59</f>
        <v/>
      </c>
    </row>
    <row r="60" ht="18.75" customHeight="1" thickBot="1">
      <c r="B60" s="101" t="inlineStr">
        <is>
          <t>Combined LP at Property Line (dBA)</t>
        </is>
      </c>
      <c r="C60" s="102" t="n"/>
      <c r="D60" s="102" t="n"/>
      <c r="E60" s="102" t="n"/>
      <c r="F60" s="102" t="n"/>
      <c r="G60" s="103" t="n"/>
      <c r="H60" s="80">
        <f>_xlfn.XLOOKUP($J$2,'Input LwA_XYZ'!$Z$2:$Z$16,'Input LwA_XYZ'!$AE$2:$AE$16)</f>
        <v/>
      </c>
      <c r="I60" s="199">
        <f>10*LOG10(SUM(I3:I59))</f>
        <v/>
      </c>
      <c r="J60" s="68">
        <f>_xlfn.XLOOKUP($J$2,'Input LwA_XYZ'!$Z$2:$Z$16,'Input LwA_XYZ'!$AD$2:$AD$16)</f>
        <v/>
      </c>
      <c r="K60" s="77" t="n"/>
    </row>
  </sheetData>
  <conditionalFormatting sqref="H60">
    <cfRule type="expression" priority="154" dxfId="1">
      <formula>H60=J60+1</formula>
    </cfRule>
    <cfRule type="expression" priority="155" dxfId="0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priority="1" dxfId="1">
      <formula>S17=U17+1</formula>
    </cfRule>
    <cfRule type="expression" priority="2" dxfId="0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 Roe</dc:creator>
  <dcterms:created xsi:type="dcterms:W3CDTF">2012-08-02T23:06:43Z</dcterms:created>
  <dcterms:modified xsi:type="dcterms:W3CDTF">2020-09-09T18:36:51Z</dcterms:modified>
  <cp:lastModifiedBy>Craig Harris</cp:lastModifiedBy>
</cp:coreProperties>
</file>