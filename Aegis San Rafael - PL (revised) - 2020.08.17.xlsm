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ropbox\02 - A3\01 - Local Project\Aegis - San Rafael (local)\"/>
    </mc:Choice>
  </mc:AlternateContent>
  <xr:revisionPtr revIDLastSave="0" documentId="13_ncr:1_{C6CA7A64-5BCB-4338-B669-3A84C4FF4D96}" xr6:coauthVersionLast="45" xr6:coauthVersionMax="45" xr10:uidLastSave="{00000000-0000-0000-0000-000000000000}"/>
  <bookViews>
    <workbookView xWindow="-7596" yWindow="-13416" windowWidth="13932" windowHeight="16224" tabRatio="847" xr2:uid="{00000000-000D-0000-FFFF-FFFF00000000}"/>
  </bookViews>
  <sheets>
    <sheet name="Input LwA_XYZ" sheetId="1" r:id="rId1"/>
    <sheet name="Sheet1" sheetId="3" r:id="rId2"/>
    <sheet name="Tables" sheetId="2" r:id="rId3"/>
  </sheets>
  <functionGroups builtInGroupCount="19">
    <functionGroup name="xlwing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3" l="1"/>
  <c r="N4" i="3"/>
  <c r="O4" i="3"/>
  <c r="P4" i="3"/>
  <c r="M5" i="3"/>
  <c r="N5" i="3"/>
  <c r="O5" i="3"/>
  <c r="P5" i="3"/>
  <c r="M6" i="3"/>
  <c r="N6" i="3"/>
  <c r="O6" i="3"/>
  <c r="P6" i="3"/>
  <c r="M7" i="3"/>
  <c r="N7" i="3"/>
  <c r="O7" i="3"/>
  <c r="P7" i="3"/>
  <c r="M8" i="3"/>
  <c r="N8" i="3"/>
  <c r="O8" i="3"/>
  <c r="P8" i="3"/>
  <c r="M9" i="3"/>
  <c r="N9" i="3"/>
  <c r="O9" i="3"/>
  <c r="P9" i="3"/>
  <c r="M10" i="3"/>
  <c r="N10" i="3"/>
  <c r="O10" i="3"/>
  <c r="P10" i="3"/>
  <c r="M11" i="3"/>
  <c r="N11" i="3"/>
  <c r="O11" i="3"/>
  <c r="P11" i="3"/>
  <c r="M12" i="3"/>
  <c r="N12" i="3"/>
  <c r="O12" i="3"/>
  <c r="P12" i="3"/>
  <c r="M13" i="3"/>
  <c r="N13" i="3"/>
  <c r="O13" i="3"/>
  <c r="P13" i="3"/>
  <c r="M14" i="3"/>
  <c r="N14" i="3"/>
  <c r="O14" i="3"/>
  <c r="P14" i="3"/>
  <c r="M15" i="3"/>
  <c r="N15" i="3"/>
  <c r="O15" i="3"/>
  <c r="P15" i="3"/>
  <c r="M16" i="3"/>
  <c r="N16" i="3"/>
  <c r="O16" i="3"/>
  <c r="P16" i="3"/>
  <c r="M17" i="3"/>
  <c r="N17" i="3"/>
  <c r="O17" i="3"/>
  <c r="P17" i="3"/>
  <c r="M18" i="3"/>
  <c r="N18" i="3"/>
  <c r="O18" i="3"/>
  <c r="P18" i="3"/>
  <c r="M19" i="3"/>
  <c r="N19" i="3"/>
  <c r="O19" i="3"/>
  <c r="P19" i="3"/>
  <c r="M20" i="3"/>
  <c r="N20" i="3"/>
  <c r="O20" i="3"/>
  <c r="P20" i="3"/>
  <c r="M21" i="3"/>
  <c r="N21" i="3"/>
  <c r="O21" i="3"/>
  <c r="P21" i="3"/>
  <c r="M22" i="3"/>
  <c r="N22" i="3"/>
  <c r="O22" i="3"/>
  <c r="P22" i="3"/>
  <c r="M23" i="3"/>
  <c r="N23" i="3"/>
  <c r="O23" i="3"/>
  <c r="P23" i="3"/>
  <c r="M24" i="3"/>
  <c r="N24" i="3"/>
  <c r="O24" i="3"/>
  <c r="P24" i="3"/>
  <c r="M25" i="3"/>
  <c r="N25" i="3"/>
  <c r="O25" i="3"/>
  <c r="P25" i="3"/>
  <c r="M26" i="3"/>
  <c r="N26" i="3"/>
  <c r="O26" i="3"/>
  <c r="P26" i="3"/>
  <c r="M27" i="3"/>
  <c r="N27" i="3"/>
  <c r="O27" i="3"/>
  <c r="P27" i="3"/>
  <c r="M28" i="3"/>
  <c r="N28" i="3"/>
  <c r="O28" i="3"/>
  <c r="P28" i="3"/>
  <c r="M29" i="3"/>
  <c r="N29" i="3"/>
  <c r="O29" i="3"/>
  <c r="P29" i="3"/>
  <c r="M30" i="3"/>
  <c r="N30" i="3"/>
  <c r="O30" i="3"/>
  <c r="P30" i="3"/>
  <c r="M31" i="3"/>
  <c r="N31" i="3"/>
  <c r="O31" i="3"/>
  <c r="P31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M39" i="3"/>
  <c r="N39" i="3"/>
  <c r="O39" i="3"/>
  <c r="P39" i="3"/>
  <c r="M40" i="3"/>
  <c r="N40" i="3"/>
  <c r="O40" i="3"/>
  <c r="P40" i="3"/>
  <c r="M41" i="3"/>
  <c r="N41" i="3"/>
  <c r="O41" i="3"/>
  <c r="P41" i="3"/>
  <c r="M42" i="3"/>
  <c r="N42" i="3"/>
  <c r="O42" i="3"/>
  <c r="P42" i="3"/>
  <c r="M43" i="3"/>
  <c r="N43" i="3"/>
  <c r="O43" i="3"/>
  <c r="P43" i="3"/>
  <c r="M44" i="3"/>
  <c r="N44" i="3"/>
  <c r="O44" i="3"/>
  <c r="P44" i="3"/>
  <c r="M45" i="3"/>
  <c r="N45" i="3"/>
  <c r="O45" i="3"/>
  <c r="P45" i="3"/>
  <c r="M46" i="3"/>
  <c r="N46" i="3"/>
  <c r="O46" i="3"/>
  <c r="P46" i="3"/>
  <c r="M47" i="3"/>
  <c r="N47" i="3"/>
  <c r="O47" i="3"/>
  <c r="P47" i="3"/>
  <c r="M48" i="3"/>
  <c r="N48" i="3"/>
  <c r="O48" i="3"/>
  <c r="P48" i="3"/>
  <c r="M49" i="3"/>
  <c r="N49" i="3"/>
  <c r="O49" i="3"/>
  <c r="P49" i="3"/>
  <c r="M50" i="3"/>
  <c r="N50" i="3"/>
  <c r="O50" i="3"/>
  <c r="P50" i="3"/>
  <c r="M51" i="3"/>
  <c r="N51" i="3"/>
  <c r="O51" i="3"/>
  <c r="P51" i="3"/>
  <c r="M52" i="3"/>
  <c r="N52" i="3"/>
  <c r="O52" i="3"/>
  <c r="P52" i="3"/>
  <c r="M53" i="3"/>
  <c r="N53" i="3"/>
  <c r="O53" i="3"/>
  <c r="P53" i="3"/>
  <c r="M54" i="3"/>
  <c r="N54" i="3"/>
  <c r="O54" i="3"/>
  <c r="P54" i="3"/>
  <c r="M55" i="3"/>
  <c r="N55" i="3"/>
  <c r="O55" i="3"/>
  <c r="P55" i="3"/>
  <c r="M56" i="3"/>
  <c r="N56" i="3"/>
  <c r="O56" i="3"/>
  <c r="P56" i="3"/>
  <c r="M57" i="3"/>
  <c r="N57" i="3"/>
  <c r="O57" i="3"/>
  <c r="P57" i="3"/>
  <c r="M58" i="3"/>
  <c r="N58" i="3"/>
  <c r="O58" i="3"/>
  <c r="P58" i="3"/>
  <c r="M59" i="3"/>
  <c r="N59" i="3"/>
  <c r="O59" i="3"/>
  <c r="P59" i="3"/>
  <c r="M60" i="3"/>
  <c r="N60" i="3"/>
  <c r="O60" i="3"/>
  <c r="P60" i="3"/>
  <c r="M61" i="3"/>
  <c r="N61" i="3"/>
  <c r="O61" i="3"/>
  <c r="P61" i="3"/>
  <c r="M62" i="3"/>
  <c r="N62" i="3"/>
  <c r="O62" i="3"/>
  <c r="P62" i="3"/>
  <c r="M63" i="3"/>
  <c r="N63" i="3"/>
  <c r="O63" i="3"/>
  <c r="P63" i="3"/>
  <c r="M64" i="3"/>
  <c r="N64" i="3"/>
  <c r="O64" i="3"/>
  <c r="P64" i="3"/>
  <c r="M65" i="3"/>
  <c r="N65" i="3"/>
  <c r="O65" i="3"/>
  <c r="P65" i="3"/>
  <c r="M66" i="3"/>
  <c r="N66" i="3"/>
  <c r="O66" i="3"/>
  <c r="P66" i="3"/>
  <c r="M67" i="3"/>
  <c r="N67" i="3"/>
  <c r="O67" i="3"/>
  <c r="P67" i="3"/>
  <c r="M68" i="3"/>
  <c r="N68" i="3"/>
  <c r="O68" i="3"/>
  <c r="P68" i="3"/>
  <c r="M69" i="3"/>
  <c r="N69" i="3"/>
  <c r="O69" i="3"/>
  <c r="P69" i="3"/>
  <c r="M70" i="3"/>
  <c r="N70" i="3"/>
  <c r="O70" i="3"/>
  <c r="P70" i="3"/>
  <c r="M71" i="3"/>
  <c r="N71" i="3"/>
  <c r="O71" i="3"/>
  <c r="P71" i="3"/>
  <c r="M72" i="3"/>
  <c r="N72" i="3"/>
  <c r="O72" i="3"/>
  <c r="P72" i="3"/>
  <c r="M73" i="3"/>
  <c r="N73" i="3"/>
  <c r="O73" i="3"/>
  <c r="P73" i="3"/>
  <c r="M74" i="3"/>
  <c r="N74" i="3"/>
  <c r="O74" i="3"/>
  <c r="P74" i="3"/>
  <c r="M75" i="3"/>
  <c r="N75" i="3"/>
  <c r="O75" i="3"/>
  <c r="P75" i="3"/>
  <c r="M76" i="3"/>
  <c r="N76" i="3"/>
  <c r="O76" i="3"/>
  <c r="P76" i="3"/>
  <c r="M77" i="3"/>
  <c r="N77" i="3"/>
  <c r="O77" i="3"/>
  <c r="P77" i="3"/>
  <c r="M78" i="3"/>
  <c r="N78" i="3"/>
  <c r="O78" i="3"/>
  <c r="P78" i="3"/>
  <c r="M79" i="3"/>
  <c r="N79" i="3"/>
  <c r="O79" i="3"/>
  <c r="P79" i="3"/>
  <c r="M80" i="3"/>
  <c r="N80" i="3"/>
  <c r="O80" i="3"/>
  <c r="P80" i="3"/>
  <c r="M81" i="3"/>
  <c r="N81" i="3"/>
  <c r="O81" i="3"/>
  <c r="P81" i="3"/>
  <c r="M82" i="3"/>
  <c r="N82" i="3"/>
  <c r="O82" i="3"/>
  <c r="P82" i="3"/>
  <c r="M83" i="3"/>
  <c r="N83" i="3"/>
  <c r="O83" i="3"/>
  <c r="P83" i="3"/>
  <c r="M84" i="3"/>
  <c r="N84" i="3"/>
  <c r="O84" i="3"/>
  <c r="P84" i="3"/>
  <c r="M85" i="3"/>
  <c r="N85" i="3"/>
  <c r="O85" i="3"/>
  <c r="P85" i="3"/>
  <c r="M86" i="3"/>
  <c r="N86" i="3"/>
  <c r="O86" i="3"/>
  <c r="P86" i="3"/>
  <c r="M87" i="3"/>
  <c r="N87" i="3"/>
  <c r="O87" i="3"/>
  <c r="P87" i="3"/>
  <c r="M88" i="3"/>
  <c r="N88" i="3"/>
  <c r="O88" i="3"/>
  <c r="P88" i="3"/>
  <c r="M89" i="3"/>
  <c r="N89" i="3"/>
  <c r="O89" i="3"/>
  <c r="P89" i="3"/>
  <c r="M90" i="3"/>
  <c r="N90" i="3"/>
  <c r="O90" i="3"/>
  <c r="P90" i="3"/>
  <c r="M91" i="3"/>
  <c r="N91" i="3"/>
  <c r="O91" i="3"/>
  <c r="P91" i="3"/>
  <c r="M92" i="3"/>
  <c r="N92" i="3"/>
  <c r="O92" i="3"/>
  <c r="P92" i="3"/>
  <c r="M93" i="3"/>
  <c r="N93" i="3"/>
  <c r="O93" i="3"/>
  <c r="P93" i="3"/>
  <c r="M94" i="3"/>
  <c r="N94" i="3"/>
  <c r="O94" i="3"/>
  <c r="P94" i="3"/>
  <c r="M95" i="3"/>
  <c r="N95" i="3"/>
  <c r="O95" i="3"/>
  <c r="P95" i="3"/>
  <c r="M96" i="3"/>
  <c r="N96" i="3"/>
  <c r="O96" i="3"/>
  <c r="P96" i="3"/>
  <c r="M97" i="3"/>
  <c r="N97" i="3"/>
  <c r="O97" i="3"/>
  <c r="P97" i="3"/>
  <c r="M98" i="3"/>
  <c r="N98" i="3"/>
  <c r="O98" i="3"/>
  <c r="P98" i="3"/>
  <c r="M99" i="3"/>
  <c r="N99" i="3"/>
  <c r="O99" i="3"/>
  <c r="P99" i="3"/>
  <c r="M100" i="3"/>
  <c r="N100" i="3"/>
  <c r="O100" i="3"/>
  <c r="P100" i="3"/>
  <c r="M101" i="3"/>
  <c r="N101" i="3"/>
  <c r="O101" i="3"/>
  <c r="P101" i="3"/>
  <c r="M102" i="3"/>
  <c r="N102" i="3"/>
  <c r="O102" i="3"/>
  <c r="P102" i="3"/>
  <c r="M103" i="3"/>
  <c r="N103" i="3"/>
  <c r="O103" i="3"/>
  <c r="P103" i="3"/>
  <c r="M104" i="3"/>
  <c r="N104" i="3"/>
  <c r="O104" i="3"/>
  <c r="P104" i="3"/>
  <c r="M105" i="3"/>
  <c r="N105" i="3"/>
  <c r="O105" i="3"/>
  <c r="P105" i="3"/>
  <c r="M106" i="3"/>
  <c r="N106" i="3"/>
  <c r="O106" i="3"/>
  <c r="P106" i="3"/>
  <c r="M107" i="3"/>
  <c r="N107" i="3"/>
  <c r="O107" i="3"/>
  <c r="P107" i="3"/>
  <c r="M108" i="3"/>
  <c r="N108" i="3"/>
  <c r="O108" i="3"/>
  <c r="P108" i="3"/>
  <c r="M109" i="3"/>
  <c r="N109" i="3"/>
  <c r="O109" i="3"/>
  <c r="P109" i="3"/>
  <c r="M110" i="3"/>
  <c r="N110" i="3"/>
  <c r="O110" i="3"/>
  <c r="P110" i="3"/>
  <c r="M111" i="3"/>
  <c r="N111" i="3"/>
  <c r="O111" i="3"/>
  <c r="P111" i="3"/>
  <c r="M112" i="3"/>
  <c r="N112" i="3"/>
  <c r="O112" i="3"/>
  <c r="P112" i="3"/>
  <c r="M113" i="3"/>
  <c r="N113" i="3"/>
  <c r="O113" i="3"/>
  <c r="P113" i="3"/>
  <c r="M114" i="3"/>
  <c r="N114" i="3"/>
  <c r="O114" i="3"/>
  <c r="P114" i="3"/>
  <c r="M115" i="3"/>
  <c r="N115" i="3"/>
  <c r="O115" i="3"/>
  <c r="P115" i="3"/>
  <c r="M116" i="3"/>
  <c r="N116" i="3"/>
  <c r="O116" i="3"/>
  <c r="P116" i="3"/>
  <c r="M117" i="3"/>
  <c r="N117" i="3"/>
  <c r="O117" i="3"/>
  <c r="P117" i="3"/>
  <c r="M118" i="3"/>
  <c r="N118" i="3"/>
  <c r="O118" i="3"/>
  <c r="P118" i="3"/>
  <c r="M119" i="3"/>
  <c r="N119" i="3"/>
  <c r="O119" i="3"/>
  <c r="P119" i="3"/>
  <c r="M120" i="3"/>
  <c r="N120" i="3"/>
  <c r="O120" i="3"/>
  <c r="P120" i="3"/>
  <c r="M121" i="3"/>
  <c r="N121" i="3"/>
  <c r="O121" i="3"/>
  <c r="P121" i="3"/>
  <c r="M122" i="3"/>
  <c r="N122" i="3"/>
  <c r="O122" i="3"/>
  <c r="P122" i="3"/>
  <c r="M123" i="3"/>
  <c r="N123" i="3"/>
  <c r="O123" i="3"/>
  <c r="P123" i="3"/>
  <c r="M124" i="3"/>
  <c r="N124" i="3"/>
  <c r="O124" i="3"/>
  <c r="P124" i="3"/>
  <c r="M125" i="3"/>
  <c r="N125" i="3"/>
  <c r="O125" i="3"/>
  <c r="P125" i="3"/>
  <c r="M126" i="3"/>
  <c r="N126" i="3"/>
  <c r="O126" i="3"/>
  <c r="P126" i="3"/>
  <c r="M127" i="3"/>
  <c r="N127" i="3"/>
  <c r="O127" i="3"/>
  <c r="P127" i="3"/>
  <c r="M128" i="3"/>
  <c r="N128" i="3"/>
  <c r="O128" i="3"/>
  <c r="P128" i="3"/>
  <c r="M129" i="3"/>
  <c r="N129" i="3"/>
  <c r="O129" i="3"/>
  <c r="P129" i="3"/>
  <c r="M130" i="3"/>
  <c r="N130" i="3"/>
  <c r="O130" i="3"/>
  <c r="P130" i="3"/>
  <c r="M131" i="3"/>
  <c r="N131" i="3"/>
  <c r="O131" i="3"/>
  <c r="P131" i="3"/>
  <c r="M132" i="3"/>
  <c r="N132" i="3"/>
  <c r="O132" i="3"/>
  <c r="P132" i="3"/>
  <c r="M133" i="3"/>
  <c r="N133" i="3"/>
  <c r="O133" i="3"/>
  <c r="P133" i="3"/>
  <c r="M134" i="3"/>
  <c r="N134" i="3"/>
  <c r="O134" i="3"/>
  <c r="P134" i="3"/>
  <c r="M135" i="3"/>
  <c r="N135" i="3"/>
  <c r="O135" i="3"/>
  <c r="P135" i="3"/>
  <c r="M136" i="3"/>
  <c r="N136" i="3"/>
  <c r="O136" i="3"/>
  <c r="P136" i="3"/>
  <c r="M137" i="3"/>
  <c r="N137" i="3"/>
  <c r="O137" i="3"/>
  <c r="P137" i="3"/>
  <c r="M138" i="3"/>
  <c r="N138" i="3"/>
  <c r="O138" i="3"/>
  <c r="P138" i="3"/>
  <c r="M139" i="3"/>
  <c r="N139" i="3"/>
  <c r="O139" i="3"/>
  <c r="P139" i="3"/>
  <c r="M140" i="3"/>
  <c r="N140" i="3"/>
  <c r="O140" i="3"/>
  <c r="P140" i="3"/>
  <c r="M141" i="3"/>
  <c r="N141" i="3"/>
  <c r="O141" i="3"/>
  <c r="P141" i="3"/>
  <c r="M142" i="3"/>
  <c r="N142" i="3"/>
  <c r="O142" i="3"/>
  <c r="P142" i="3"/>
  <c r="M143" i="3"/>
  <c r="N143" i="3"/>
  <c r="O143" i="3"/>
  <c r="P143" i="3"/>
  <c r="M144" i="3"/>
  <c r="N144" i="3"/>
  <c r="O144" i="3"/>
  <c r="P144" i="3"/>
  <c r="M145" i="3"/>
  <c r="N145" i="3"/>
  <c r="O145" i="3"/>
  <c r="P145" i="3"/>
  <c r="M146" i="3"/>
  <c r="N146" i="3"/>
  <c r="O146" i="3"/>
  <c r="P146" i="3"/>
  <c r="M147" i="3"/>
  <c r="N147" i="3"/>
  <c r="O147" i="3"/>
  <c r="P147" i="3"/>
  <c r="M148" i="3"/>
  <c r="N148" i="3"/>
  <c r="O148" i="3"/>
  <c r="P148" i="3"/>
  <c r="M149" i="3"/>
  <c r="N149" i="3"/>
  <c r="O149" i="3"/>
  <c r="P149" i="3"/>
  <c r="M150" i="3"/>
  <c r="N150" i="3"/>
  <c r="O150" i="3"/>
  <c r="P150" i="3"/>
  <c r="M151" i="3"/>
  <c r="N151" i="3"/>
  <c r="O151" i="3"/>
  <c r="P151" i="3"/>
  <c r="M152" i="3"/>
  <c r="N152" i="3"/>
  <c r="O152" i="3"/>
  <c r="P152" i="3"/>
  <c r="M153" i="3"/>
  <c r="N153" i="3"/>
  <c r="O153" i="3"/>
  <c r="P153" i="3"/>
  <c r="M154" i="3"/>
  <c r="N154" i="3"/>
  <c r="O154" i="3"/>
  <c r="P154" i="3"/>
  <c r="M155" i="3"/>
  <c r="N155" i="3"/>
  <c r="O155" i="3"/>
  <c r="P155" i="3"/>
  <c r="M156" i="3"/>
  <c r="N156" i="3"/>
  <c r="O156" i="3"/>
  <c r="P156" i="3"/>
  <c r="M157" i="3"/>
  <c r="N157" i="3"/>
  <c r="O157" i="3"/>
  <c r="P157" i="3"/>
  <c r="M158" i="3"/>
  <c r="N158" i="3"/>
  <c r="O158" i="3"/>
  <c r="P158" i="3"/>
  <c r="M159" i="3"/>
  <c r="N159" i="3"/>
  <c r="O159" i="3"/>
  <c r="P159" i="3"/>
  <c r="M160" i="3"/>
  <c r="N160" i="3"/>
  <c r="O160" i="3"/>
  <c r="P160" i="3"/>
  <c r="M161" i="3"/>
  <c r="N161" i="3"/>
  <c r="O161" i="3"/>
  <c r="P161" i="3"/>
  <c r="M162" i="3"/>
  <c r="N162" i="3"/>
  <c r="O162" i="3"/>
  <c r="P162" i="3"/>
  <c r="M163" i="3"/>
  <c r="N163" i="3"/>
  <c r="O163" i="3"/>
  <c r="P163" i="3"/>
  <c r="M164" i="3"/>
  <c r="N164" i="3"/>
  <c r="O164" i="3"/>
  <c r="P164" i="3"/>
  <c r="M165" i="3"/>
  <c r="N165" i="3"/>
  <c r="O165" i="3"/>
  <c r="P165" i="3"/>
  <c r="M166" i="3"/>
  <c r="N166" i="3"/>
  <c r="O166" i="3"/>
  <c r="P166" i="3"/>
  <c r="M167" i="3"/>
  <c r="N167" i="3"/>
  <c r="O167" i="3"/>
  <c r="P167" i="3"/>
  <c r="M168" i="3"/>
  <c r="N168" i="3"/>
  <c r="O168" i="3"/>
  <c r="P168" i="3"/>
  <c r="M169" i="3"/>
  <c r="N169" i="3"/>
  <c r="O169" i="3"/>
  <c r="P169" i="3"/>
  <c r="M170" i="3"/>
  <c r="N170" i="3"/>
  <c r="O170" i="3"/>
  <c r="P170" i="3"/>
  <c r="M171" i="3"/>
  <c r="N171" i="3"/>
  <c r="O171" i="3"/>
  <c r="P171" i="3"/>
  <c r="M172" i="3"/>
  <c r="N172" i="3"/>
  <c r="O172" i="3"/>
  <c r="P172" i="3"/>
  <c r="M173" i="3"/>
  <c r="N173" i="3"/>
  <c r="O173" i="3"/>
  <c r="P173" i="3"/>
  <c r="M174" i="3"/>
  <c r="N174" i="3"/>
  <c r="O174" i="3"/>
  <c r="P174" i="3"/>
  <c r="M175" i="3"/>
  <c r="N175" i="3"/>
  <c r="O175" i="3"/>
  <c r="P175" i="3"/>
  <c r="M176" i="3"/>
  <c r="N176" i="3"/>
  <c r="O176" i="3"/>
  <c r="P176" i="3"/>
  <c r="M177" i="3"/>
  <c r="N177" i="3"/>
  <c r="O177" i="3"/>
  <c r="P177" i="3"/>
  <c r="M178" i="3"/>
  <c r="N178" i="3"/>
  <c r="O178" i="3"/>
  <c r="P178" i="3"/>
  <c r="M179" i="3"/>
  <c r="N179" i="3"/>
  <c r="O179" i="3"/>
  <c r="P179" i="3"/>
  <c r="M180" i="3"/>
  <c r="N180" i="3"/>
  <c r="O180" i="3"/>
  <c r="P180" i="3"/>
  <c r="M181" i="3"/>
  <c r="N181" i="3"/>
  <c r="O181" i="3"/>
  <c r="P181" i="3"/>
  <c r="M182" i="3"/>
  <c r="N182" i="3"/>
  <c r="O182" i="3"/>
  <c r="P182" i="3"/>
  <c r="M183" i="3"/>
  <c r="N183" i="3"/>
  <c r="O183" i="3"/>
  <c r="P183" i="3"/>
  <c r="M184" i="3"/>
  <c r="N184" i="3"/>
  <c r="O184" i="3"/>
  <c r="P184" i="3"/>
  <c r="M185" i="3"/>
  <c r="N185" i="3"/>
  <c r="O185" i="3"/>
  <c r="P185" i="3"/>
  <c r="M186" i="3"/>
  <c r="N186" i="3"/>
  <c r="O186" i="3"/>
  <c r="P186" i="3"/>
  <c r="M187" i="3"/>
  <c r="N187" i="3"/>
  <c r="O187" i="3"/>
  <c r="P187" i="3"/>
  <c r="M188" i="3"/>
  <c r="N188" i="3"/>
  <c r="O188" i="3"/>
  <c r="P188" i="3"/>
  <c r="M189" i="3"/>
  <c r="N189" i="3"/>
  <c r="O189" i="3"/>
  <c r="P189" i="3"/>
  <c r="M190" i="3"/>
  <c r="N190" i="3"/>
  <c r="O190" i="3"/>
  <c r="P190" i="3"/>
  <c r="M191" i="3"/>
  <c r="N191" i="3"/>
  <c r="O191" i="3"/>
  <c r="P191" i="3"/>
  <c r="M192" i="3"/>
  <c r="N192" i="3"/>
  <c r="O192" i="3"/>
  <c r="P192" i="3"/>
  <c r="M193" i="3"/>
  <c r="N193" i="3"/>
  <c r="O193" i="3"/>
  <c r="P193" i="3"/>
  <c r="M194" i="3"/>
  <c r="N194" i="3"/>
  <c r="O194" i="3"/>
  <c r="P194" i="3"/>
  <c r="M195" i="3"/>
  <c r="N195" i="3"/>
  <c r="O195" i="3"/>
  <c r="P195" i="3"/>
  <c r="M196" i="3"/>
  <c r="N196" i="3"/>
  <c r="O196" i="3"/>
  <c r="P196" i="3"/>
  <c r="M197" i="3"/>
  <c r="N197" i="3"/>
  <c r="O197" i="3"/>
  <c r="P197" i="3"/>
  <c r="M198" i="3"/>
  <c r="N198" i="3"/>
  <c r="O198" i="3"/>
  <c r="P198" i="3"/>
  <c r="M199" i="3"/>
  <c r="N199" i="3"/>
  <c r="O199" i="3"/>
  <c r="P199" i="3"/>
  <c r="M200" i="3"/>
  <c r="N200" i="3"/>
  <c r="O200" i="3"/>
  <c r="P200" i="3"/>
  <c r="M201" i="3"/>
  <c r="N201" i="3"/>
  <c r="O201" i="3"/>
  <c r="P201" i="3"/>
  <c r="M202" i="3"/>
  <c r="N202" i="3"/>
  <c r="O202" i="3"/>
  <c r="P202" i="3"/>
  <c r="M203" i="3"/>
  <c r="N203" i="3"/>
  <c r="O203" i="3"/>
  <c r="P203" i="3"/>
  <c r="M204" i="3"/>
  <c r="N204" i="3"/>
  <c r="O204" i="3"/>
  <c r="P204" i="3"/>
  <c r="M205" i="3"/>
  <c r="N205" i="3"/>
  <c r="O205" i="3"/>
  <c r="P205" i="3"/>
  <c r="M206" i="3"/>
  <c r="N206" i="3"/>
  <c r="O206" i="3"/>
  <c r="P206" i="3"/>
  <c r="M207" i="3"/>
  <c r="N207" i="3"/>
  <c r="O207" i="3"/>
  <c r="P207" i="3"/>
  <c r="M208" i="3"/>
  <c r="N208" i="3"/>
  <c r="O208" i="3"/>
  <c r="P208" i="3"/>
  <c r="M209" i="3"/>
  <c r="N209" i="3"/>
  <c r="O209" i="3"/>
  <c r="P209" i="3"/>
  <c r="M210" i="3"/>
  <c r="N210" i="3"/>
  <c r="O210" i="3"/>
  <c r="P210" i="3"/>
  <c r="M211" i="3"/>
  <c r="N211" i="3"/>
  <c r="O211" i="3"/>
  <c r="P211" i="3"/>
  <c r="M212" i="3"/>
  <c r="N212" i="3"/>
  <c r="O212" i="3"/>
  <c r="P212" i="3"/>
  <c r="M213" i="3"/>
  <c r="N213" i="3"/>
  <c r="O213" i="3"/>
  <c r="P213" i="3"/>
  <c r="M214" i="3"/>
  <c r="N214" i="3"/>
  <c r="O214" i="3"/>
  <c r="P214" i="3"/>
  <c r="M215" i="3"/>
  <c r="N215" i="3"/>
  <c r="O215" i="3"/>
  <c r="P215" i="3"/>
  <c r="M216" i="3"/>
  <c r="N216" i="3"/>
  <c r="O216" i="3"/>
  <c r="P216" i="3"/>
  <c r="M217" i="3"/>
  <c r="N217" i="3"/>
  <c r="O217" i="3"/>
  <c r="P217" i="3"/>
  <c r="M218" i="3"/>
  <c r="N218" i="3"/>
  <c r="O218" i="3"/>
  <c r="P218" i="3"/>
  <c r="M219" i="3"/>
  <c r="N219" i="3"/>
  <c r="O219" i="3"/>
  <c r="P219" i="3"/>
  <c r="M220" i="3"/>
  <c r="N220" i="3"/>
  <c r="O220" i="3"/>
  <c r="P220" i="3"/>
  <c r="M221" i="3"/>
  <c r="N221" i="3"/>
  <c r="O221" i="3"/>
  <c r="P221" i="3"/>
  <c r="M222" i="3"/>
  <c r="N222" i="3"/>
  <c r="O222" i="3"/>
  <c r="P222" i="3"/>
  <c r="M223" i="3"/>
  <c r="N223" i="3"/>
  <c r="O223" i="3"/>
  <c r="P223" i="3"/>
  <c r="M224" i="3"/>
  <c r="N224" i="3"/>
  <c r="O224" i="3"/>
  <c r="P224" i="3"/>
  <c r="M225" i="3"/>
  <c r="N225" i="3"/>
  <c r="O225" i="3"/>
  <c r="P225" i="3"/>
  <c r="M226" i="3"/>
  <c r="N226" i="3"/>
  <c r="O226" i="3"/>
  <c r="P226" i="3"/>
  <c r="M227" i="3"/>
  <c r="N227" i="3"/>
  <c r="O227" i="3"/>
  <c r="P227" i="3"/>
  <c r="M228" i="3"/>
  <c r="N228" i="3"/>
  <c r="O228" i="3"/>
  <c r="P228" i="3"/>
  <c r="M229" i="3"/>
  <c r="N229" i="3"/>
  <c r="O229" i="3"/>
  <c r="P229" i="3"/>
  <c r="M230" i="3"/>
  <c r="N230" i="3"/>
  <c r="O230" i="3"/>
  <c r="P230" i="3"/>
  <c r="M231" i="3"/>
  <c r="N231" i="3"/>
  <c r="O231" i="3"/>
  <c r="P231" i="3"/>
  <c r="M232" i="3"/>
  <c r="N232" i="3"/>
  <c r="O232" i="3"/>
  <c r="P232" i="3"/>
  <c r="M233" i="3"/>
  <c r="N233" i="3"/>
  <c r="O233" i="3"/>
  <c r="P233" i="3"/>
  <c r="M234" i="3"/>
  <c r="N234" i="3"/>
  <c r="O234" i="3"/>
  <c r="P234" i="3"/>
  <c r="M235" i="3"/>
  <c r="N235" i="3"/>
  <c r="O235" i="3"/>
  <c r="P235" i="3"/>
  <c r="M236" i="3"/>
  <c r="N236" i="3"/>
  <c r="O236" i="3"/>
  <c r="P236" i="3"/>
  <c r="M237" i="3"/>
  <c r="N237" i="3"/>
  <c r="O237" i="3"/>
  <c r="P237" i="3"/>
  <c r="M238" i="3"/>
  <c r="N238" i="3"/>
  <c r="O238" i="3"/>
  <c r="P238" i="3"/>
  <c r="M239" i="3"/>
  <c r="N239" i="3"/>
  <c r="O239" i="3"/>
  <c r="P239" i="3"/>
  <c r="M240" i="3"/>
  <c r="N240" i="3"/>
  <c r="O240" i="3"/>
  <c r="P240" i="3"/>
  <c r="M241" i="3"/>
  <c r="N241" i="3"/>
  <c r="O241" i="3"/>
  <c r="P241" i="3"/>
  <c r="P3" i="3"/>
  <c r="O3" i="3"/>
  <c r="N3" i="3"/>
  <c r="M3" i="3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" i="1"/>
  <c r="J60" i="2" l="1"/>
  <c r="B59" i="2"/>
  <c r="D59" i="2" s="1"/>
  <c r="F58" i="2"/>
  <c r="D58" i="2"/>
  <c r="B58" i="2"/>
  <c r="E58" i="2" s="1"/>
  <c r="B57" i="2"/>
  <c r="F57" i="2" s="1"/>
  <c r="B56" i="2"/>
  <c r="G55" i="2"/>
  <c r="E55" i="2"/>
  <c r="C55" i="2"/>
  <c r="B55" i="2"/>
  <c r="H55" i="2" s="1"/>
  <c r="B54" i="2"/>
  <c r="H54" i="2" s="1"/>
  <c r="B53" i="2"/>
  <c r="H53" i="2" s="1"/>
  <c r="F52" i="2"/>
  <c r="D52" i="2"/>
  <c r="B52" i="2"/>
  <c r="C52" i="2" s="1"/>
  <c r="D51" i="2"/>
  <c r="C51" i="2"/>
  <c r="B51" i="2"/>
  <c r="H51" i="2" s="1"/>
  <c r="E50" i="2"/>
  <c r="D50" i="2"/>
  <c r="B50" i="2"/>
  <c r="C50" i="2" s="1"/>
  <c r="H49" i="2"/>
  <c r="J49" i="2" s="1"/>
  <c r="G49" i="2"/>
  <c r="F49" i="2"/>
  <c r="B49" i="2"/>
  <c r="D49" i="2" s="1"/>
  <c r="B48" i="2"/>
  <c r="H47" i="2"/>
  <c r="J47" i="2" s="1"/>
  <c r="G47" i="2"/>
  <c r="E47" i="2"/>
  <c r="C47" i="2"/>
  <c r="B47" i="2"/>
  <c r="F47" i="2" s="1"/>
  <c r="B46" i="2"/>
  <c r="H46" i="2" s="1"/>
  <c r="B45" i="2"/>
  <c r="H45" i="2" s="1"/>
  <c r="F44" i="2"/>
  <c r="D44" i="2"/>
  <c r="B44" i="2"/>
  <c r="C44" i="2" s="1"/>
  <c r="B43" i="2"/>
  <c r="H43" i="2" s="1"/>
  <c r="H42" i="2"/>
  <c r="D42" i="2"/>
  <c r="B42" i="2"/>
  <c r="C42" i="2" s="1"/>
  <c r="H41" i="2"/>
  <c r="J41" i="2" s="1"/>
  <c r="G41" i="2"/>
  <c r="F41" i="2"/>
  <c r="E41" i="2"/>
  <c r="C41" i="2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C29" i="2"/>
  <c r="B29" i="2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G18" i="2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M65" i="1" a="1"/>
  <c r="M65" i="1" s="1"/>
  <c r="CE60" i="1" a="1"/>
  <c r="CN60" i="1" s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BG33" i="1"/>
  <c r="BJ31" i="1" s="1"/>
  <c r="N33" i="1"/>
  <c r="D34" i="2"/>
  <c r="N32" i="1"/>
  <c r="BH31" i="1"/>
  <c r="N31" i="1"/>
  <c r="N30" i="1"/>
  <c r="N29" i="1"/>
  <c r="N28" i="1"/>
  <c r="N27" i="1"/>
  <c r="N26" i="1"/>
  <c r="N25" i="1"/>
  <c r="D26" i="2"/>
  <c r="N24" i="1"/>
  <c r="N23" i="1"/>
  <c r="N22" i="1"/>
  <c r="N21" i="1"/>
  <c r="N20" i="1"/>
  <c r="N19" i="1"/>
  <c r="N18" i="1"/>
  <c r="N17" i="1"/>
  <c r="D18" i="2"/>
  <c r="N16" i="1"/>
  <c r="N15" i="1"/>
  <c r="N14" i="1"/>
  <c r="N13" i="1"/>
  <c r="N12" i="1"/>
  <c r="N11" i="1"/>
  <c r="N10" i="1"/>
  <c r="N9" i="1"/>
  <c r="N8" i="1"/>
  <c r="D9" i="2"/>
  <c r="BK7" i="1"/>
  <c r="BJ7" i="1"/>
  <c r="BI7" i="1"/>
  <c r="N7" i="1"/>
  <c r="BK6" i="1"/>
  <c r="BJ6" i="1"/>
  <c r="BI6" i="1"/>
  <c r="N6" i="1"/>
  <c r="BK5" i="1"/>
  <c r="BJ5" i="1"/>
  <c r="BI5" i="1"/>
  <c r="N5" i="1"/>
  <c r="BK4" i="1"/>
  <c r="BJ4" i="1"/>
  <c r="BI4" i="1"/>
  <c r="N4" i="1"/>
  <c r="N3" i="1"/>
  <c r="D4" i="2"/>
  <c r="N2" i="1"/>
  <c r="D3" i="2"/>
  <c r="Z1" i="1" a="1"/>
  <c r="BI27" i="1" l="1"/>
  <c r="BI30" i="1" s="1"/>
  <c r="BJ28" i="1" s="1"/>
  <c r="BI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K11" i="1"/>
  <c r="CS60" i="1"/>
  <c r="CG60" i="1"/>
  <c r="CH60" i="1"/>
  <c r="CI60" i="1"/>
  <c r="CK60" i="1"/>
  <c r="CQ60" i="1"/>
  <c r="CO60" i="1"/>
  <c r="CP60" i="1"/>
  <c r="BH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I41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J8" i="1"/>
  <c r="BJ10" i="1" s="1"/>
  <c r="BJ9" i="1"/>
  <c r="BJ11" i="1" s="1"/>
  <c r="I47" i="2"/>
  <c r="I49" i="2"/>
  <c r="BH8" i="1"/>
  <c r="AN1" i="1"/>
  <c r="AF1" i="1"/>
  <c r="AM1" i="1"/>
  <c r="AE1" i="1"/>
  <c r="AK1" i="1"/>
  <c r="AC1" i="1"/>
  <c r="AJ1" i="1"/>
  <c r="AD1" i="1"/>
  <c r="AB1" i="1"/>
  <c r="AG1" i="1"/>
  <c r="AA1" i="1"/>
  <c r="AL1" i="1"/>
  <c r="AH1" i="1"/>
  <c r="Z1" i="1"/>
  <c r="AI1" i="1"/>
  <c r="BK10" i="1"/>
  <c r="BH16" i="1"/>
  <c r="BH18" i="1"/>
  <c r="BK8" i="1"/>
  <c r="BK9" i="1"/>
  <c r="G22" i="2"/>
  <c r="C22" i="2"/>
  <c r="G24" i="2"/>
  <c r="D24" i="2"/>
  <c r="C24" i="2"/>
  <c r="H56" i="2"/>
  <c r="G56" i="2"/>
  <c r="F56" i="2"/>
  <c r="E56" i="2"/>
  <c r="D56" i="2"/>
  <c r="C56" i="2"/>
  <c r="D22" i="2"/>
  <c r="J42" i="2"/>
  <c r="I4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J60" i="1"/>
  <c r="CR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E60" i="1"/>
  <c r="CL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M60" i="1"/>
  <c r="G5" i="2"/>
  <c r="G13" i="2"/>
  <c r="G21" i="2"/>
  <c r="C25" i="2"/>
  <c r="G29" i="2"/>
  <c r="G37" i="2"/>
  <c r="H44" i="2"/>
  <c r="G45" i="2"/>
  <c r="F46" i="2"/>
  <c r="H52" i="2"/>
  <c r="F54" i="2"/>
  <c r="CF60" i="1"/>
  <c r="G38" i="2"/>
  <c r="G46" i="2"/>
  <c r="G54" i="2"/>
  <c r="F55" i="2"/>
  <c r="D57" i="2"/>
  <c r="C58" i="2"/>
  <c r="BH29" i="1" l="1"/>
  <c r="BJ30" i="1" s="1"/>
  <c r="I50" i="2"/>
  <c r="I58" i="2"/>
  <c r="BH19" i="1"/>
  <c r="BH11" i="1"/>
  <c r="BK12" i="1"/>
  <c r="BK13" i="1" s="1"/>
  <c r="J44" i="2"/>
  <c r="I44" i="2"/>
  <c r="AL58" i="1" a="1"/>
  <c r="AL58" i="1" s="1"/>
  <c r="BC58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1" i="1" a="1"/>
  <c r="AL51" i="1" s="1"/>
  <c r="BC51" i="1" s="1"/>
  <c r="AL52" i="1" a="1"/>
  <c r="AL52" i="1" s="1"/>
  <c r="BC52" i="1" s="1"/>
  <c r="AL57" i="1" a="1"/>
  <c r="AL57" i="1" s="1"/>
  <c r="BC57" i="1" s="1"/>
  <c r="AL56" i="1" a="1"/>
  <c r="AL56" i="1" s="1"/>
  <c r="BC56" i="1" s="1"/>
  <c r="AL43" i="1" a="1"/>
  <c r="AL43" i="1" s="1"/>
  <c r="BC4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54" i="1" a="1"/>
  <c r="AL54" i="1" s="1"/>
  <c r="BC54" i="1" s="1"/>
  <c r="AL53" i="1" a="1"/>
  <c r="AL53" i="1" s="1"/>
  <c r="BC53" i="1" s="1"/>
  <c r="AL47" i="1" a="1"/>
  <c r="AL47" i="1" s="1"/>
  <c r="BC47" i="1" s="1"/>
  <c r="AL46" i="1" a="1"/>
  <c r="AL46" i="1" s="1"/>
  <c r="BC46" i="1" s="1"/>
  <c r="AL35" i="1" a="1"/>
  <c r="AL35" i="1" s="1"/>
  <c r="BC35" i="1" s="1"/>
  <c r="AL36" i="1" a="1"/>
  <c r="AL36" i="1" s="1"/>
  <c r="BC36" i="1" s="1"/>
  <c r="AL39" i="1" a="1"/>
  <c r="AL39" i="1" s="1"/>
  <c r="BC39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42" i="1" a="1"/>
  <c r="AL42" i="1" s="1"/>
  <c r="BC42" i="1" s="1"/>
  <c r="AL38" i="1" a="1"/>
  <c r="AL38" i="1" s="1"/>
  <c r="BC38" i="1" s="1"/>
  <c r="AL30" i="1" a="1"/>
  <c r="AL30" i="1" s="1"/>
  <c r="BC30" i="1" s="1"/>
  <c r="AL25" i="1" a="1"/>
  <c r="AL25" i="1" s="1"/>
  <c r="BC25" i="1" s="1"/>
  <c r="AL34" i="1" a="1"/>
  <c r="AL34" i="1" s="1"/>
  <c r="BC34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24" i="1" a="1"/>
  <c r="AL24" i="1" s="1"/>
  <c r="BC24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21" i="1" a="1"/>
  <c r="AL21" i="1" s="1"/>
  <c r="BC21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11" i="1" a="1"/>
  <c r="AL11" i="1" s="1"/>
  <c r="BC11" i="1" s="1"/>
  <c r="AL6" i="1" a="1"/>
  <c r="AL6" i="1" s="1"/>
  <c r="BC6" i="1" s="1"/>
  <c r="AL3" i="1" a="1"/>
  <c r="AL3" i="1" s="1"/>
  <c r="BC3" i="1" s="1"/>
  <c r="AL5" i="1" a="1"/>
  <c r="AL5" i="1" s="1"/>
  <c r="BC5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AL4" i="1" a="1"/>
  <c r="AL4" i="1" s="1"/>
  <c r="BC4" i="1" s="1"/>
  <c r="BC1" i="1"/>
  <c r="CQ1" i="1"/>
  <c r="BZ1" i="1"/>
  <c r="AK57" i="1" a="1"/>
  <c r="AK57" i="1" s="1"/>
  <c r="BB57" i="1" s="1"/>
  <c r="AK58" i="1" a="1"/>
  <c r="AK58" i="1" s="1"/>
  <c r="BB58" i="1" s="1"/>
  <c r="AK56" i="1" a="1"/>
  <c r="AK56" i="1" s="1"/>
  <c r="BB56" i="1" s="1"/>
  <c r="AK54" i="1" a="1"/>
  <c r="AK54" i="1" s="1"/>
  <c r="BB54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44" i="1" a="1"/>
  <c r="AK44" i="1" s="1"/>
  <c r="BB44" i="1" s="1"/>
  <c r="AK40" i="1" a="1"/>
  <c r="AK40" i="1" s="1"/>
  <c r="BB40" i="1" s="1"/>
  <c r="AK45" i="1" a="1"/>
  <c r="AK45" i="1" s="1"/>
  <c r="BB45" i="1" s="1"/>
  <c r="AK41" i="1" a="1"/>
  <c r="AK41" i="1" s="1"/>
  <c r="BB41" i="1" s="1"/>
  <c r="AK38" i="1" a="1"/>
  <c r="AK38" i="1" s="1"/>
  <c r="BB38" i="1" s="1"/>
  <c r="AK34" i="1" a="1"/>
  <c r="AK34" i="1" s="1"/>
  <c r="BB34" i="1" s="1"/>
  <c r="AK35" i="1" a="1"/>
  <c r="AK35" i="1" s="1"/>
  <c r="BB35" i="1" s="1"/>
  <c r="AK52" i="1" a="1"/>
  <c r="AK52" i="1" s="1"/>
  <c r="BB52" i="1" s="1"/>
  <c r="AK39" i="1" a="1"/>
  <c r="AK39" i="1" s="1"/>
  <c r="BB39" i="1" s="1"/>
  <c r="AK36" i="1" a="1"/>
  <c r="AK36" i="1" s="1"/>
  <c r="BB36" i="1" s="1"/>
  <c r="AK37" i="1" a="1"/>
  <c r="AK37" i="1" s="1"/>
  <c r="BB37" i="1" s="1"/>
  <c r="AK24" i="1" a="1"/>
  <c r="AK24" i="1" s="1"/>
  <c r="BB24" i="1" s="1"/>
  <c r="AK30" i="1" a="1"/>
  <c r="AK30" i="1" s="1"/>
  <c r="BB30" i="1" s="1"/>
  <c r="AK25" i="1" a="1"/>
  <c r="AK25" i="1" s="1"/>
  <c r="BB25" i="1" s="1"/>
  <c r="AK53" i="1" a="1"/>
  <c r="AK53" i="1" s="1"/>
  <c r="BB53" i="1" s="1"/>
  <c r="AK21" i="1" a="1"/>
  <c r="AK21" i="1" s="1"/>
  <c r="BB21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33" i="1" a="1"/>
  <c r="AK33" i="1" s="1"/>
  <c r="BB33" i="1" s="1"/>
  <c r="AK32" i="1" a="1"/>
  <c r="AK32" i="1" s="1"/>
  <c r="BB32" i="1" s="1"/>
  <c r="AK23" i="1" a="1"/>
  <c r="AK23" i="1" s="1"/>
  <c r="BB23" i="1" s="1"/>
  <c r="AK31" i="1" a="1"/>
  <c r="AK31" i="1" s="1"/>
  <c r="BB31" i="1" s="1"/>
  <c r="AK19" i="1" a="1"/>
  <c r="AK19" i="1" s="1"/>
  <c r="BB19" i="1" s="1"/>
  <c r="AK20" i="1" a="1"/>
  <c r="AK20" i="1" s="1"/>
  <c r="BB20" i="1" s="1"/>
  <c r="AK22" i="1" a="1"/>
  <c r="AK22" i="1" s="1"/>
  <c r="BB22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8" i="1" a="1"/>
  <c r="AK8" i="1" s="1"/>
  <c r="BB8" i="1" s="1"/>
  <c r="AK2" i="1" a="1"/>
  <c r="AK2" i="1" s="1"/>
  <c r="BB2" i="1" s="1"/>
  <c r="AK11" i="1" a="1"/>
  <c r="AK11" i="1" s="1"/>
  <c r="BB11" i="1" s="1"/>
  <c r="AK7" i="1" a="1"/>
  <c r="AK7" i="1" s="1"/>
  <c r="BB7" i="1" s="1"/>
  <c r="AK6" i="1" a="1"/>
  <c r="AK6" i="1" s="1"/>
  <c r="BB6" i="1" s="1"/>
  <c r="AK18" i="1" a="1"/>
  <c r="AK18" i="1" s="1"/>
  <c r="BB18" i="1" s="1"/>
  <c r="AK10" i="1" a="1"/>
  <c r="AK10" i="1" s="1"/>
  <c r="BB10" i="1" s="1"/>
  <c r="AK5" i="1" a="1"/>
  <c r="AK5" i="1" s="1"/>
  <c r="BB5" i="1" s="1"/>
  <c r="BY1" i="1"/>
  <c r="AK4" i="1" a="1"/>
  <c r="AK4" i="1" s="1"/>
  <c r="BB4" i="1" s="1"/>
  <c r="AK3" i="1" a="1"/>
  <c r="AK3" i="1" s="1"/>
  <c r="BB3" i="1" s="1"/>
  <c r="BB1" i="1"/>
  <c r="CP1" i="1"/>
  <c r="AA51" i="1" a="1"/>
  <c r="AA51" i="1" s="1"/>
  <c r="AR51" i="1" s="1"/>
  <c r="AA56" i="1" a="1"/>
  <c r="AA56" i="1" s="1"/>
  <c r="AR56" i="1" s="1"/>
  <c r="AA52" i="1" a="1"/>
  <c r="AA52" i="1" s="1"/>
  <c r="AR52" i="1" s="1"/>
  <c r="AA53" i="1" a="1"/>
  <c r="AA53" i="1" s="1"/>
  <c r="AR53" i="1" s="1"/>
  <c r="AA57" i="1" a="1"/>
  <c r="AA57" i="1" s="1"/>
  <c r="AR57" i="1" s="1"/>
  <c r="AA58" i="1" a="1"/>
  <c r="AA58" i="1" s="1"/>
  <c r="AR58" i="1" s="1"/>
  <c r="AA44" i="1" a="1"/>
  <c r="AA44" i="1" s="1"/>
  <c r="AR44" i="1" s="1"/>
  <c r="AA40" i="1" a="1"/>
  <c r="AA40" i="1" s="1"/>
  <c r="AR40" i="1" s="1"/>
  <c r="AA55" i="1" a="1"/>
  <c r="AA55" i="1" s="1"/>
  <c r="AR55" i="1" s="1"/>
  <c r="AA54" i="1" a="1"/>
  <c r="AA54" i="1" s="1"/>
  <c r="AR54" i="1" s="1"/>
  <c r="AA45" i="1" a="1"/>
  <c r="AA45" i="1" s="1"/>
  <c r="AR45" i="1" s="1"/>
  <c r="AA41" i="1" a="1"/>
  <c r="AA41" i="1" s="1"/>
  <c r="AR41" i="1" s="1"/>
  <c r="AA47" i="1" a="1"/>
  <c r="AA47" i="1" s="1"/>
  <c r="AR47" i="1" s="1"/>
  <c r="AA46" i="1" a="1"/>
  <c r="AA46" i="1" s="1"/>
  <c r="AR46" i="1" s="1"/>
  <c r="AA42" i="1" a="1"/>
  <c r="AA42" i="1" s="1"/>
  <c r="AR42" i="1" s="1"/>
  <c r="AA49" i="1" a="1"/>
  <c r="AA49" i="1" s="1"/>
  <c r="AR49" i="1" s="1"/>
  <c r="AA50" i="1" a="1"/>
  <c r="AA50" i="1" s="1"/>
  <c r="AR50" i="1" s="1"/>
  <c r="AA48" i="1" a="1"/>
  <c r="AA48" i="1" s="1"/>
  <c r="AR48" i="1" s="1"/>
  <c r="AA43" i="1" a="1"/>
  <c r="AA43" i="1" s="1"/>
  <c r="AR43" i="1" s="1"/>
  <c r="AA36" i="1" a="1"/>
  <c r="AA36" i="1" s="1"/>
  <c r="AR36" i="1" s="1"/>
  <c r="AA37" i="1" a="1"/>
  <c r="AA37" i="1" s="1"/>
  <c r="AR37" i="1" s="1"/>
  <c r="AA32" i="1" a="1"/>
  <c r="AA32" i="1" s="1"/>
  <c r="AR32" i="1" s="1"/>
  <c r="AA31" i="1" a="1"/>
  <c r="AA31" i="1" s="1"/>
  <c r="AR31" i="1" s="1"/>
  <c r="AA33" i="1" a="1"/>
  <c r="AA33" i="1" s="1"/>
  <c r="AR33" i="1" s="1"/>
  <c r="AA38" i="1" a="1"/>
  <c r="AA38" i="1" s="1"/>
  <c r="AR38" i="1" s="1"/>
  <c r="AA34" i="1" a="1"/>
  <c r="AA34" i="1" s="1"/>
  <c r="AR34" i="1" s="1"/>
  <c r="AA39" i="1" a="1"/>
  <c r="AA39" i="1" s="1"/>
  <c r="AR39" i="1" s="1"/>
  <c r="AA35" i="1" a="1"/>
  <c r="AA35" i="1" s="1"/>
  <c r="AR35" i="1" s="1"/>
  <c r="AA29" i="1" a="1"/>
  <c r="AA29" i="1" s="1"/>
  <c r="AR29" i="1" s="1"/>
  <c r="AA26" i="1" a="1"/>
  <c r="AA26" i="1" s="1"/>
  <c r="AR26" i="1" s="1"/>
  <c r="AA22" i="1" a="1"/>
  <c r="AA22" i="1" s="1"/>
  <c r="AR22" i="1" s="1"/>
  <c r="AA28" i="1" a="1"/>
  <c r="AA28" i="1" s="1"/>
  <c r="AR28" i="1" s="1"/>
  <c r="AA27" i="1" a="1"/>
  <c r="AA27" i="1" s="1"/>
  <c r="AR27" i="1" s="1"/>
  <c r="AA23" i="1" a="1"/>
  <c r="AA23" i="1" s="1"/>
  <c r="AR23" i="1" s="1"/>
  <c r="AA24" i="1" a="1"/>
  <c r="AA24" i="1" s="1"/>
  <c r="AR24" i="1" s="1"/>
  <c r="AA25" i="1" a="1"/>
  <c r="AA25" i="1" s="1"/>
  <c r="AR25" i="1" s="1"/>
  <c r="AA30" i="1" a="1"/>
  <c r="AA30" i="1" s="1"/>
  <c r="AR30" i="1" s="1"/>
  <c r="AA12" i="1" a="1"/>
  <c r="AA12" i="1" s="1"/>
  <c r="AR12" i="1" s="1"/>
  <c r="AA16" i="1" a="1"/>
  <c r="AA16" i="1" s="1"/>
  <c r="AR16" i="1" s="1"/>
  <c r="AA11" i="1" a="1"/>
  <c r="AA11" i="1" s="1"/>
  <c r="AR11" i="1" s="1"/>
  <c r="AA17" i="1" a="1"/>
  <c r="AA17" i="1" s="1"/>
  <c r="AR17" i="1" s="1"/>
  <c r="AA18" i="1" a="1"/>
  <c r="AA18" i="1" s="1"/>
  <c r="AR18" i="1" s="1"/>
  <c r="AA19" i="1" a="1"/>
  <c r="AA19" i="1" s="1"/>
  <c r="AR19" i="1" s="1"/>
  <c r="AA20" i="1" a="1"/>
  <c r="AA20" i="1" s="1"/>
  <c r="AR20" i="1" s="1"/>
  <c r="AA21" i="1" a="1"/>
  <c r="AA21" i="1" s="1"/>
  <c r="AR21" i="1" s="1"/>
  <c r="CF21" i="1" s="1"/>
  <c r="AA14" i="1" a="1"/>
  <c r="AA14" i="1" s="1"/>
  <c r="AR14" i="1" s="1"/>
  <c r="AA5" i="1" a="1"/>
  <c r="AA5" i="1" s="1"/>
  <c r="AR5" i="1" s="1"/>
  <c r="CF1" i="1"/>
  <c r="AA13" i="1" a="1"/>
  <c r="AA13" i="1" s="1"/>
  <c r="AR13" i="1" s="1"/>
  <c r="CF13" i="1" s="1"/>
  <c r="AA4" i="1" a="1"/>
  <c r="AA4" i="1" s="1"/>
  <c r="AR4" i="1" s="1"/>
  <c r="AA10" i="1" a="1"/>
  <c r="AA10" i="1" s="1"/>
  <c r="AR10" i="1" s="1"/>
  <c r="CF10" i="1" s="1"/>
  <c r="AA9" i="1" a="1"/>
  <c r="AA9" i="1" s="1"/>
  <c r="AR9" i="1" s="1"/>
  <c r="AA15" i="1" a="1"/>
  <c r="AA15" i="1" s="1"/>
  <c r="AR15" i="1" s="1"/>
  <c r="CF15" i="1" s="1"/>
  <c r="AA8" i="1" a="1"/>
  <c r="AA8" i="1" s="1"/>
  <c r="AR8" i="1" s="1"/>
  <c r="CF8" i="1" s="1"/>
  <c r="AA7" i="1" a="1"/>
  <c r="AA7" i="1" s="1"/>
  <c r="AR7" i="1" s="1"/>
  <c r="AA6" i="1" a="1"/>
  <c r="AA6" i="1" s="1"/>
  <c r="AR6" i="1" s="1"/>
  <c r="AA3" i="1" a="1"/>
  <c r="AA3" i="1" s="1"/>
  <c r="AR3" i="1" s="1"/>
  <c r="BO1" i="1"/>
  <c r="AA2" i="1" a="1"/>
  <c r="AA2" i="1" s="1"/>
  <c r="AR2" i="1" s="1"/>
  <c r="AR1" i="1"/>
  <c r="AG54" i="1" a="1"/>
  <c r="AG54" i="1" s="1"/>
  <c r="AX54" i="1" s="1"/>
  <c r="AG55" i="1" a="1"/>
  <c r="AG55" i="1" s="1"/>
  <c r="AX55" i="1" s="1"/>
  <c r="AG50" i="1" a="1"/>
  <c r="AG50" i="1" s="1"/>
  <c r="AX50" i="1" s="1"/>
  <c r="AG49" i="1" a="1"/>
  <c r="AG49" i="1" s="1"/>
  <c r="AX49" i="1" s="1"/>
  <c r="AG48" i="1" a="1"/>
  <c r="AG48" i="1" s="1"/>
  <c r="AX48" i="1" s="1"/>
  <c r="AG51" i="1" a="1"/>
  <c r="AG51" i="1" s="1"/>
  <c r="AX51" i="1" s="1"/>
  <c r="AG57" i="1" a="1"/>
  <c r="AG57" i="1" s="1"/>
  <c r="AX57" i="1" s="1"/>
  <c r="AG58" i="1" a="1"/>
  <c r="AG58" i="1" s="1"/>
  <c r="AX58" i="1" s="1"/>
  <c r="AG56" i="1" a="1"/>
  <c r="AG56" i="1" s="1"/>
  <c r="AX56" i="1" s="1"/>
  <c r="AG47" i="1" a="1"/>
  <c r="AG47" i="1" s="1"/>
  <c r="AX47" i="1" s="1"/>
  <c r="AG46" i="1" a="1"/>
  <c r="AG46" i="1" s="1"/>
  <c r="AX46" i="1" s="1"/>
  <c r="AG42" i="1" a="1"/>
  <c r="AG42" i="1" s="1"/>
  <c r="AX42" i="1" s="1"/>
  <c r="AG53" i="1" a="1"/>
  <c r="AG53" i="1" s="1"/>
  <c r="AX53" i="1" s="1"/>
  <c r="AG52" i="1" a="1"/>
  <c r="AG52" i="1" s="1"/>
  <c r="AX52" i="1" s="1"/>
  <c r="AG43" i="1" a="1"/>
  <c r="AG43" i="1" s="1"/>
  <c r="AX43" i="1" s="1"/>
  <c r="AG44" i="1" a="1"/>
  <c r="AG44" i="1" s="1"/>
  <c r="AX44" i="1" s="1"/>
  <c r="AG40" i="1" a="1"/>
  <c r="AG40" i="1" s="1"/>
  <c r="AX40" i="1" s="1"/>
  <c r="AG45" i="1" a="1"/>
  <c r="AG45" i="1" s="1"/>
  <c r="AX45" i="1" s="1"/>
  <c r="AG38" i="1" a="1"/>
  <c r="AG38" i="1" s="1"/>
  <c r="AX38" i="1" s="1"/>
  <c r="AG34" i="1" a="1"/>
  <c r="AG34" i="1" s="1"/>
  <c r="AX34" i="1" s="1"/>
  <c r="AG41" i="1" a="1"/>
  <c r="AG41" i="1" s="1"/>
  <c r="AX41" i="1" s="1"/>
  <c r="AG39" i="1" a="1"/>
  <c r="AG39" i="1" s="1"/>
  <c r="AX39" i="1" s="1"/>
  <c r="AG35" i="1" a="1"/>
  <c r="AG35" i="1" s="1"/>
  <c r="AX35" i="1" s="1"/>
  <c r="AG36" i="1" a="1"/>
  <c r="AG36" i="1" s="1"/>
  <c r="AX36" i="1" s="1"/>
  <c r="AG37" i="1" a="1"/>
  <c r="AG37" i="1" s="1"/>
  <c r="AX37" i="1" s="1"/>
  <c r="AG33" i="1" a="1"/>
  <c r="AG33" i="1" s="1"/>
  <c r="AX33" i="1" s="1"/>
  <c r="AG32" i="1" a="1"/>
  <c r="AG32" i="1" s="1"/>
  <c r="AX32" i="1" s="1"/>
  <c r="AG24" i="1" a="1"/>
  <c r="AG24" i="1" s="1"/>
  <c r="AX24" i="1" s="1"/>
  <c r="AG31" i="1" a="1"/>
  <c r="AG31" i="1" s="1"/>
  <c r="AX31" i="1" s="1"/>
  <c r="AG25" i="1" a="1"/>
  <c r="AG25" i="1" s="1"/>
  <c r="AX25" i="1" s="1"/>
  <c r="AG21" i="1" a="1"/>
  <c r="AG21" i="1" s="1"/>
  <c r="AX21" i="1" s="1"/>
  <c r="AG29" i="1" a="1"/>
  <c r="AG29" i="1" s="1"/>
  <c r="AX29" i="1" s="1"/>
  <c r="AG26" i="1" a="1"/>
  <c r="AG26" i="1" s="1"/>
  <c r="AX26" i="1" s="1"/>
  <c r="AG30" i="1" a="1"/>
  <c r="AG30" i="1" s="1"/>
  <c r="AX30" i="1" s="1"/>
  <c r="AG28" i="1" a="1"/>
  <c r="AG28" i="1" s="1"/>
  <c r="AX28" i="1" s="1"/>
  <c r="AG27" i="1" a="1"/>
  <c r="AG27" i="1" s="1"/>
  <c r="AX27" i="1" s="1"/>
  <c r="AG23" i="1" a="1"/>
  <c r="AG23" i="1" s="1"/>
  <c r="AX23" i="1" s="1"/>
  <c r="AG19" i="1" a="1"/>
  <c r="AG19" i="1" s="1"/>
  <c r="AX19" i="1" s="1"/>
  <c r="AG20" i="1" a="1"/>
  <c r="AG20" i="1" s="1"/>
  <c r="AX20" i="1" s="1"/>
  <c r="AG14" i="1" a="1"/>
  <c r="AG14" i="1" s="1"/>
  <c r="AX14" i="1" s="1"/>
  <c r="AG15" i="1" a="1"/>
  <c r="AG15" i="1" s="1"/>
  <c r="AX15" i="1" s="1"/>
  <c r="AG13" i="1" a="1"/>
  <c r="AG13" i="1" s="1"/>
  <c r="AX13" i="1" s="1"/>
  <c r="AG12" i="1" a="1"/>
  <c r="AG12" i="1" s="1"/>
  <c r="AX12" i="1" s="1"/>
  <c r="AG22" i="1" a="1"/>
  <c r="AG22" i="1" s="1"/>
  <c r="AX22" i="1" s="1"/>
  <c r="AG16" i="1" a="1"/>
  <c r="AG16" i="1" s="1"/>
  <c r="AX16" i="1" s="1"/>
  <c r="AG17" i="1" a="1"/>
  <c r="AG17" i="1" s="1"/>
  <c r="AX17" i="1" s="1"/>
  <c r="AG18" i="1" a="1"/>
  <c r="AG18" i="1" s="1"/>
  <c r="AX18" i="1" s="1"/>
  <c r="AG9" i="1" a="1"/>
  <c r="AG9" i="1" s="1"/>
  <c r="AX9" i="1" s="1"/>
  <c r="AX1" i="1"/>
  <c r="AG8" i="1" a="1"/>
  <c r="AG8" i="1" s="1"/>
  <c r="AX8" i="1" s="1"/>
  <c r="AG2" i="1" a="1"/>
  <c r="AG2" i="1" s="1"/>
  <c r="AX2" i="1" s="1"/>
  <c r="BU1" i="1"/>
  <c r="AG7" i="1" a="1"/>
  <c r="AG7" i="1" s="1"/>
  <c r="AX7" i="1" s="1"/>
  <c r="AG6" i="1" a="1"/>
  <c r="AG6" i="1" s="1"/>
  <c r="AX6" i="1" s="1"/>
  <c r="AG11" i="1" a="1"/>
  <c r="AG11" i="1" s="1"/>
  <c r="AX11" i="1" s="1"/>
  <c r="AG10" i="1" a="1"/>
  <c r="AG10" i="1" s="1"/>
  <c r="AX10" i="1" s="1"/>
  <c r="AG5" i="1" a="1"/>
  <c r="AG5" i="1" s="1"/>
  <c r="AX5" i="1" s="1"/>
  <c r="CL1" i="1"/>
  <c r="AG4" i="1" a="1"/>
  <c r="AG4" i="1" s="1"/>
  <c r="AX4" i="1" s="1"/>
  <c r="AG3" i="1" a="1"/>
  <c r="AG3" i="1" s="1"/>
  <c r="AX3" i="1" s="1"/>
  <c r="AB53" i="1" a="1"/>
  <c r="AB53" i="1" s="1"/>
  <c r="AS53" i="1" s="1"/>
  <c r="AB57" i="1" a="1"/>
  <c r="AB57" i="1" s="1"/>
  <c r="AS57" i="1" s="1"/>
  <c r="AB54" i="1" a="1"/>
  <c r="AB54" i="1" s="1"/>
  <c r="AS54" i="1" s="1"/>
  <c r="AB58" i="1" a="1"/>
  <c r="AB58" i="1" s="1"/>
  <c r="AS58" i="1" s="1"/>
  <c r="AB51" i="1" a="1"/>
  <c r="AB51" i="1" s="1"/>
  <c r="AS51" i="1" s="1"/>
  <c r="AB56" i="1" a="1"/>
  <c r="AB56" i="1" s="1"/>
  <c r="AS56" i="1" s="1"/>
  <c r="AB55" i="1" a="1"/>
  <c r="AB55" i="1" s="1"/>
  <c r="AS55" i="1" s="1"/>
  <c r="AB45" i="1" a="1"/>
  <c r="AB45" i="1" s="1"/>
  <c r="AS45" i="1" s="1"/>
  <c r="AB41" i="1" a="1"/>
  <c r="AB41" i="1" s="1"/>
  <c r="AS41" i="1" s="1"/>
  <c r="AB47" i="1" a="1"/>
  <c r="AB47" i="1" s="1"/>
  <c r="AS47" i="1" s="1"/>
  <c r="AB46" i="1" a="1"/>
  <c r="AB46" i="1" s="1"/>
  <c r="AS46" i="1" s="1"/>
  <c r="AB42" i="1" a="1"/>
  <c r="AB42" i="1" s="1"/>
  <c r="AS42" i="1" s="1"/>
  <c r="AB52" i="1" a="1"/>
  <c r="AB52" i="1" s="1"/>
  <c r="AS52" i="1" s="1"/>
  <c r="AB49" i="1" a="1"/>
  <c r="AB49" i="1" s="1"/>
  <c r="AS49" i="1" s="1"/>
  <c r="AB43" i="1" a="1"/>
  <c r="AB43" i="1" s="1"/>
  <c r="AS43" i="1" s="1"/>
  <c r="AB50" i="1" a="1"/>
  <c r="AB50" i="1" s="1"/>
  <c r="AS50" i="1" s="1"/>
  <c r="AB48" i="1" a="1"/>
  <c r="AB48" i="1" s="1"/>
  <c r="AS48" i="1" s="1"/>
  <c r="AB44" i="1" a="1"/>
  <c r="AB44" i="1" s="1"/>
  <c r="AS44" i="1" s="1"/>
  <c r="AB37" i="1" a="1"/>
  <c r="AB37" i="1" s="1"/>
  <c r="AS37" i="1" s="1"/>
  <c r="AB32" i="1" a="1"/>
  <c r="AB32" i="1" s="1"/>
  <c r="AS32" i="1" s="1"/>
  <c r="AB31" i="1" a="1"/>
  <c r="AB31" i="1" s="1"/>
  <c r="AS31" i="1" s="1"/>
  <c r="AB33" i="1" a="1"/>
  <c r="AB33" i="1" s="1"/>
  <c r="AS33" i="1" s="1"/>
  <c r="AB38" i="1" a="1"/>
  <c r="AB38" i="1" s="1"/>
  <c r="AS38" i="1" s="1"/>
  <c r="AB34" i="1" a="1"/>
  <c r="AB34" i="1" s="1"/>
  <c r="AS34" i="1" s="1"/>
  <c r="AB40" i="1" a="1"/>
  <c r="AB40" i="1" s="1"/>
  <c r="AS40" i="1" s="1"/>
  <c r="AB39" i="1" a="1"/>
  <c r="AB39" i="1" s="1"/>
  <c r="AS39" i="1" s="1"/>
  <c r="AB35" i="1" a="1"/>
  <c r="AB35" i="1" s="1"/>
  <c r="AS35" i="1" s="1"/>
  <c r="AB36" i="1" a="1"/>
  <c r="AB36" i="1" s="1"/>
  <c r="AS36" i="1" s="1"/>
  <c r="AB23" i="1" a="1"/>
  <c r="AB23" i="1" s="1"/>
  <c r="AS23" i="1" s="1"/>
  <c r="AB24" i="1" a="1"/>
  <c r="AB24" i="1" s="1"/>
  <c r="AS24" i="1" s="1"/>
  <c r="AB25" i="1" a="1"/>
  <c r="AB25" i="1" s="1"/>
  <c r="AS25" i="1" s="1"/>
  <c r="AB30" i="1" a="1"/>
  <c r="AB30" i="1" s="1"/>
  <c r="AS30" i="1" s="1"/>
  <c r="AB29" i="1" a="1"/>
  <c r="AB29" i="1" s="1"/>
  <c r="AS29" i="1" s="1"/>
  <c r="AB26" i="1" a="1"/>
  <c r="AB26" i="1" s="1"/>
  <c r="AS26" i="1" s="1"/>
  <c r="AB28" i="1" a="1"/>
  <c r="AB28" i="1" s="1"/>
  <c r="AS28" i="1" s="1"/>
  <c r="AB27" i="1" a="1"/>
  <c r="AB27" i="1" s="1"/>
  <c r="AS27" i="1" s="1"/>
  <c r="AB17" i="1" a="1"/>
  <c r="AB17" i="1" s="1"/>
  <c r="AS17" i="1" s="1"/>
  <c r="AB18" i="1" a="1"/>
  <c r="AB18" i="1" s="1"/>
  <c r="AS18" i="1" s="1"/>
  <c r="AB19" i="1" a="1"/>
  <c r="AB19" i="1" s="1"/>
  <c r="AS19" i="1" s="1"/>
  <c r="AB22" i="1" a="1"/>
  <c r="AB22" i="1" s="1"/>
  <c r="AS22" i="1" s="1"/>
  <c r="AB20" i="1" a="1"/>
  <c r="AB20" i="1" s="1"/>
  <c r="AS20" i="1" s="1"/>
  <c r="AB21" i="1" a="1"/>
  <c r="AB21" i="1" s="1"/>
  <c r="AS21" i="1" s="1"/>
  <c r="AB14" i="1" a="1"/>
  <c r="AB14" i="1" s="1"/>
  <c r="AS14" i="1" s="1"/>
  <c r="AB15" i="1" a="1"/>
  <c r="AB15" i="1" s="1"/>
  <c r="AS15" i="1" s="1"/>
  <c r="AB13" i="1" a="1"/>
  <c r="AB13" i="1" s="1"/>
  <c r="AS13" i="1" s="1"/>
  <c r="AB12" i="1" a="1"/>
  <c r="AB12" i="1" s="1"/>
  <c r="AS12" i="1" s="1"/>
  <c r="AB10" i="1" a="1"/>
  <c r="AB10" i="1" s="1"/>
  <c r="AS10" i="1" s="1"/>
  <c r="AB9" i="1" a="1"/>
  <c r="AB9" i="1" s="1"/>
  <c r="AS9" i="1" s="1"/>
  <c r="AB16" i="1" a="1"/>
  <c r="AB16" i="1" s="1"/>
  <c r="AS16" i="1" s="1"/>
  <c r="AB8" i="1" a="1"/>
  <c r="AB8" i="1" s="1"/>
  <c r="AS8" i="1" s="1"/>
  <c r="AB7" i="1" a="1"/>
  <c r="AB7" i="1" s="1"/>
  <c r="AS7" i="1" s="1"/>
  <c r="AB6" i="1" a="1"/>
  <c r="AB6" i="1" s="1"/>
  <c r="AS6" i="1" s="1"/>
  <c r="AB11" i="1" a="1"/>
  <c r="AB11" i="1" s="1"/>
  <c r="AS11" i="1" s="1"/>
  <c r="AB5" i="1" a="1"/>
  <c r="AB5" i="1" s="1"/>
  <c r="AS5" i="1" s="1"/>
  <c r="AB4" i="1" a="1"/>
  <c r="AB4" i="1" s="1"/>
  <c r="AS4" i="1" s="1"/>
  <c r="AB3" i="1" a="1"/>
  <c r="AB3" i="1" s="1"/>
  <c r="AS3" i="1" s="1"/>
  <c r="AB2" i="1" a="1"/>
  <c r="AB2" i="1" s="1"/>
  <c r="AS2" i="1" s="1"/>
  <c r="AS1" i="1"/>
  <c r="CG1" i="1"/>
  <c r="BP1" i="1"/>
  <c r="J57" i="2"/>
  <c r="I57" i="2"/>
  <c r="I48" i="2"/>
  <c r="J48" i="2"/>
  <c r="I40" i="2"/>
  <c r="J40" i="2"/>
  <c r="I56" i="2"/>
  <c r="J56" i="2"/>
  <c r="AD57" i="1" a="1"/>
  <c r="AD57" i="1" s="1"/>
  <c r="AU57" i="1" s="1"/>
  <c r="AD55" i="1" a="1"/>
  <c r="AD55" i="1" s="1"/>
  <c r="AU55" i="1" s="1"/>
  <c r="AD50" i="1" a="1"/>
  <c r="AD50" i="1" s="1"/>
  <c r="AU50" i="1" s="1"/>
  <c r="AD49" i="1" a="1"/>
  <c r="AD49" i="1" s="1"/>
  <c r="AU49" i="1" s="1"/>
  <c r="AD48" i="1" a="1"/>
  <c r="AD48" i="1" s="1"/>
  <c r="AU48" i="1" s="1"/>
  <c r="AD58" i="1" a="1"/>
  <c r="AD58" i="1" s="1"/>
  <c r="AU58" i="1" s="1"/>
  <c r="AD51" i="1" a="1"/>
  <c r="AD51" i="1" s="1"/>
  <c r="AU51" i="1" s="1"/>
  <c r="AD56" i="1" a="1"/>
  <c r="AD56" i="1" s="1"/>
  <c r="AU56" i="1" s="1"/>
  <c r="AD52" i="1" a="1"/>
  <c r="AD52" i="1" s="1"/>
  <c r="AU52" i="1" s="1"/>
  <c r="AD43" i="1" a="1"/>
  <c r="AD43" i="1" s="1"/>
  <c r="AU43" i="1" s="1"/>
  <c r="AD54" i="1" a="1"/>
  <c r="AD54" i="1" s="1"/>
  <c r="AU54" i="1" s="1"/>
  <c r="AD53" i="1" a="1"/>
  <c r="AD53" i="1" s="1"/>
  <c r="AU53" i="1" s="1"/>
  <c r="AD44" i="1" a="1"/>
  <c r="AD44" i="1" s="1"/>
  <c r="AU44" i="1" s="1"/>
  <c r="AD40" i="1" a="1"/>
  <c r="AD40" i="1" s="1"/>
  <c r="AU40" i="1" s="1"/>
  <c r="AD45" i="1" a="1"/>
  <c r="AD45" i="1" s="1"/>
  <c r="AU45" i="1" s="1"/>
  <c r="AD41" i="1" a="1"/>
  <c r="AD41" i="1" s="1"/>
  <c r="AU41" i="1" s="1"/>
  <c r="AD47" i="1" a="1"/>
  <c r="AD47" i="1" s="1"/>
  <c r="AU47" i="1" s="1"/>
  <c r="AD46" i="1" a="1"/>
  <c r="AD46" i="1" s="1"/>
  <c r="AU46" i="1" s="1"/>
  <c r="AD39" i="1" a="1"/>
  <c r="AD39" i="1" s="1"/>
  <c r="AU39" i="1" s="1"/>
  <c r="AD35" i="1" a="1"/>
  <c r="AD35" i="1" s="1"/>
  <c r="AU35" i="1" s="1"/>
  <c r="AD42" i="1" a="1"/>
  <c r="AD42" i="1" s="1"/>
  <c r="AU42" i="1" s="1"/>
  <c r="AD36" i="1" a="1"/>
  <c r="AD36" i="1" s="1"/>
  <c r="AU36" i="1" s="1"/>
  <c r="AD37" i="1" a="1"/>
  <c r="AD37" i="1" s="1"/>
  <c r="AU37" i="1" s="1"/>
  <c r="AD32" i="1" a="1"/>
  <c r="AD32" i="1" s="1"/>
  <c r="AU32" i="1" s="1"/>
  <c r="AD31" i="1" a="1"/>
  <c r="AD31" i="1" s="1"/>
  <c r="AU31" i="1" s="1"/>
  <c r="AD33" i="1" a="1"/>
  <c r="AD33" i="1" s="1"/>
  <c r="AU33" i="1" s="1"/>
  <c r="AD38" i="1" a="1"/>
  <c r="AD38" i="1" s="1"/>
  <c r="AU38" i="1" s="1"/>
  <c r="AD25" i="1" a="1"/>
  <c r="AD25" i="1" s="1"/>
  <c r="AU25" i="1" s="1"/>
  <c r="AD30" i="1" a="1"/>
  <c r="AD30" i="1" s="1"/>
  <c r="AU30" i="1" s="1"/>
  <c r="AD29" i="1" a="1"/>
  <c r="AD29" i="1" s="1"/>
  <c r="AU29" i="1" s="1"/>
  <c r="AD26" i="1" a="1"/>
  <c r="AD26" i="1" s="1"/>
  <c r="AU26" i="1" s="1"/>
  <c r="AD22" i="1" a="1"/>
  <c r="AD22" i="1" s="1"/>
  <c r="AU22" i="1" s="1"/>
  <c r="AD28" i="1" a="1"/>
  <c r="AD28" i="1" s="1"/>
  <c r="AU28" i="1" s="1"/>
  <c r="AD27" i="1" a="1"/>
  <c r="AD27" i="1" s="1"/>
  <c r="AU27" i="1" s="1"/>
  <c r="AD23" i="1" a="1"/>
  <c r="AD23" i="1" s="1"/>
  <c r="AU23" i="1" s="1"/>
  <c r="AD34" i="1" a="1"/>
  <c r="AD34" i="1" s="1"/>
  <c r="AU34" i="1" s="1"/>
  <c r="AD24" i="1" a="1"/>
  <c r="AD24" i="1" s="1"/>
  <c r="AU24" i="1" s="1"/>
  <c r="AD21" i="1" a="1"/>
  <c r="AD21" i="1" s="1"/>
  <c r="AU21" i="1" s="1"/>
  <c r="AD14" i="1" a="1"/>
  <c r="AD14" i="1" s="1"/>
  <c r="AU14" i="1" s="1"/>
  <c r="AD15" i="1" a="1"/>
  <c r="AD15" i="1" s="1"/>
  <c r="AU15" i="1" s="1"/>
  <c r="AD13" i="1" a="1"/>
  <c r="AD13" i="1" s="1"/>
  <c r="AU13" i="1" s="1"/>
  <c r="AD12" i="1" a="1"/>
  <c r="AD12" i="1" s="1"/>
  <c r="AU12" i="1" s="1"/>
  <c r="AD16" i="1" a="1"/>
  <c r="AD16" i="1" s="1"/>
  <c r="AU16" i="1" s="1"/>
  <c r="AD17" i="1" a="1"/>
  <c r="AD17" i="1" s="1"/>
  <c r="AU17" i="1" s="1"/>
  <c r="AD18" i="1" a="1"/>
  <c r="AD18" i="1" s="1"/>
  <c r="AU18" i="1" s="1"/>
  <c r="AD19" i="1" a="1"/>
  <c r="AD19" i="1" s="1"/>
  <c r="AU19" i="1" s="1"/>
  <c r="AD7" i="1" a="1"/>
  <c r="AD7" i="1" s="1"/>
  <c r="AU7" i="1" s="1"/>
  <c r="AD6" i="1" a="1"/>
  <c r="AD6" i="1" s="1"/>
  <c r="AU6" i="1" s="1"/>
  <c r="AD3" i="1" a="1"/>
  <c r="AD3" i="1" s="1"/>
  <c r="AU3" i="1" s="1"/>
  <c r="AD5" i="1" a="1"/>
  <c r="AD5" i="1" s="1"/>
  <c r="AU5" i="1" s="1"/>
  <c r="AD11" i="1" a="1"/>
  <c r="AD11" i="1" s="1"/>
  <c r="AU11" i="1" s="1"/>
  <c r="AD20" i="1" a="1"/>
  <c r="AD20" i="1" s="1"/>
  <c r="AU20" i="1" s="1"/>
  <c r="AD10" i="1" a="1"/>
  <c r="AD10" i="1" s="1"/>
  <c r="AU10" i="1" s="1"/>
  <c r="AD9" i="1" a="1"/>
  <c r="AD9" i="1" s="1"/>
  <c r="AU9" i="1" s="1"/>
  <c r="AD8" i="1" a="1"/>
  <c r="AD8" i="1" s="1"/>
  <c r="AU8" i="1" s="1"/>
  <c r="AD2" i="1" a="1"/>
  <c r="AD2" i="1" s="1"/>
  <c r="AU2" i="1" s="1"/>
  <c r="AU1" i="1"/>
  <c r="CI1" i="1"/>
  <c r="BR1" i="1"/>
  <c r="AD4" i="1" a="1"/>
  <c r="AD4" i="1" s="1"/>
  <c r="AU4" i="1" s="1"/>
  <c r="AE57" i="1" a="1"/>
  <c r="AE57" i="1" s="1"/>
  <c r="AV57" i="1" s="1"/>
  <c r="AE51" i="1" a="1"/>
  <c r="AE51" i="1" s="1"/>
  <c r="AV51" i="1" s="1"/>
  <c r="AE58" i="1" a="1"/>
  <c r="AE58" i="1" s="1"/>
  <c r="AV58" i="1" s="1"/>
  <c r="AE56" i="1" a="1"/>
  <c r="AE56" i="1" s="1"/>
  <c r="AV56" i="1" s="1"/>
  <c r="AE52" i="1" a="1"/>
  <c r="AE52" i="1" s="1"/>
  <c r="AV52" i="1" s="1"/>
  <c r="AE53" i="1" a="1"/>
  <c r="AE53" i="1" s="1"/>
  <c r="AV53" i="1" s="1"/>
  <c r="AE54" i="1" a="1"/>
  <c r="AE54" i="1" s="1"/>
  <c r="AV54" i="1" s="1"/>
  <c r="AE44" i="1" a="1"/>
  <c r="AE44" i="1" s="1"/>
  <c r="AV44" i="1" s="1"/>
  <c r="AE40" i="1" a="1"/>
  <c r="AE40" i="1" s="1"/>
  <c r="AV40" i="1" s="1"/>
  <c r="AE49" i="1" a="1"/>
  <c r="AE49" i="1" s="1"/>
  <c r="AV49" i="1" s="1"/>
  <c r="AE48" i="1" a="1"/>
  <c r="AE48" i="1" s="1"/>
  <c r="AV48" i="1" s="1"/>
  <c r="AE45" i="1" a="1"/>
  <c r="AE45" i="1" s="1"/>
  <c r="AV45" i="1" s="1"/>
  <c r="AE41" i="1" a="1"/>
  <c r="AE41" i="1" s="1"/>
  <c r="AV41" i="1" s="1"/>
  <c r="AE50" i="1" a="1"/>
  <c r="AE50" i="1" s="1"/>
  <c r="AV50" i="1" s="1"/>
  <c r="AE47" i="1" a="1"/>
  <c r="AE47" i="1" s="1"/>
  <c r="AV47" i="1" s="1"/>
  <c r="AE46" i="1" a="1"/>
  <c r="AE46" i="1" s="1"/>
  <c r="AV46" i="1" s="1"/>
  <c r="AE42" i="1" a="1"/>
  <c r="AE42" i="1" s="1"/>
  <c r="AV42" i="1" s="1"/>
  <c r="AE43" i="1" a="1"/>
  <c r="AE43" i="1" s="1"/>
  <c r="AV43" i="1" s="1"/>
  <c r="AE36" i="1" a="1"/>
  <c r="AE36" i="1" s="1"/>
  <c r="AV36" i="1" s="1"/>
  <c r="AE37" i="1" a="1"/>
  <c r="AE37" i="1" s="1"/>
  <c r="AV37" i="1" s="1"/>
  <c r="AE32" i="1" a="1"/>
  <c r="AE32" i="1" s="1"/>
  <c r="AV32" i="1" s="1"/>
  <c r="AE31" i="1" a="1"/>
  <c r="AE31" i="1" s="1"/>
  <c r="AV31" i="1" s="1"/>
  <c r="AE33" i="1" a="1"/>
  <c r="AE33" i="1" s="1"/>
  <c r="AV33" i="1" s="1"/>
  <c r="AE38" i="1" a="1"/>
  <c r="AE38" i="1" s="1"/>
  <c r="AV38" i="1" s="1"/>
  <c r="AE34" i="1" a="1"/>
  <c r="AE34" i="1" s="1"/>
  <c r="AV34" i="1" s="1"/>
  <c r="AE39" i="1" a="1"/>
  <c r="AE39" i="1" s="1"/>
  <c r="AV39" i="1" s="1"/>
  <c r="AE35" i="1" a="1"/>
  <c r="AE35" i="1" s="1"/>
  <c r="AV35" i="1" s="1"/>
  <c r="AE29" i="1" a="1"/>
  <c r="AE29" i="1" s="1"/>
  <c r="AV29" i="1" s="1"/>
  <c r="AE26" i="1" a="1"/>
  <c r="AE26" i="1" s="1"/>
  <c r="AV26" i="1" s="1"/>
  <c r="AE22" i="1" a="1"/>
  <c r="AE22" i="1" s="1"/>
  <c r="AV22" i="1" s="1"/>
  <c r="AE30" i="1" a="1"/>
  <c r="AE30" i="1" s="1"/>
  <c r="AV30" i="1" s="1"/>
  <c r="AE28" i="1" a="1"/>
  <c r="AE28" i="1" s="1"/>
  <c r="AV28" i="1" s="1"/>
  <c r="AE27" i="1" a="1"/>
  <c r="AE27" i="1" s="1"/>
  <c r="AV27" i="1" s="1"/>
  <c r="AE23" i="1" a="1"/>
  <c r="AE23" i="1" s="1"/>
  <c r="AV23" i="1" s="1"/>
  <c r="AE24" i="1" a="1"/>
  <c r="AE24" i="1" s="1"/>
  <c r="AV24" i="1" s="1"/>
  <c r="AE55" i="1" a="1"/>
  <c r="AE55" i="1" s="1"/>
  <c r="AV55" i="1" s="1"/>
  <c r="AE25" i="1" a="1"/>
  <c r="AE25" i="1" s="1"/>
  <c r="AV25" i="1" s="1"/>
  <c r="AE12" i="1" a="1"/>
  <c r="AE12" i="1" s="1"/>
  <c r="AV12" i="1" s="1"/>
  <c r="AE16" i="1" a="1"/>
  <c r="AE16" i="1" s="1"/>
  <c r="AV16" i="1" s="1"/>
  <c r="AE11" i="1" a="1"/>
  <c r="AE11" i="1" s="1"/>
  <c r="AV11" i="1" s="1"/>
  <c r="AE17" i="1" a="1"/>
  <c r="AE17" i="1" s="1"/>
  <c r="AV17" i="1" s="1"/>
  <c r="AE18" i="1" a="1"/>
  <c r="AE18" i="1" s="1"/>
  <c r="AV18" i="1" s="1"/>
  <c r="AE19" i="1" a="1"/>
  <c r="AE19" i="1" s="1"/>
  <c r="AV19" i="1" s="1"/>
  <c r="AE20" i="1" a="1"/>
  <c r="AE20" i="1" s="1"/>
  <c r="AV20" i="1" s="1"/>
  <c r="AE21" i="1" a="1"/>
  <c r="AE21" i="1" s="1"/>
  <c r="AV21" i="1" s="1"/>
  <c r="AE14" i="1" a="1"/>
  <c r="AE14" i="1" s="1"/>
  <c r="AV14" i="1" s="1"/>
  <c r="AE13" i="1" a="1"/>
  <c r="AE13" i="1" s="1"/>
  <c r="AV13" i="1" s="1"/>
  <c r="AE5" i="1" a="1"/>
  <c r="AE5" i="1" s="1"/>
  <c r="AV5" i="1" s="1"/>
  <c r="AE4" i="1" a="1"/>
  <c r="AE4" i="1" s="1"/>
  <c r="AV4" i="1" s="1"/>
  <c r="AE10" i="1" a="1"/>
  <c r="AE10" i="1" s="1"/>
  <c r="AV10" i="1" s="1"/>
  <c r="AE15" i="1" a="1"/>
  <c r="AE15" i="1" s="1"/>
  <c r="AV15" i="1" s="1"/>
  <c r="AE9" i="1" a="1"/>
  <c r="AE9" i="1" s="1"/>
  <c r="AV9" i="1" s="1"/>
  <c r="AE8" i="1" a="1"/>
  <c r="AE8" i="1" s="1"/>
  <c r="AV8" i="1" s="1"/>
  <c r="AE7" i="1" a="1"/>
  <c r="AE7" i="1" s="1"/>
  <c r="AV7" i="1" s="1"/>
  <c r="AE6" i="1" a="1"/>
  <c r="AE6" i="1" s="1"/>
  <c r="AV6" i="1" s="1"/>
  <c r="AE3" i="1" a="1"/>
  <c r="AE3" i="1" s="1"/>
  <c r="AV3" i="1" s="1"/>
  <c r="AE2" i="1" a="1"/>
  <c r="AE2" i="1" s="1"/>
  <c r="AV2" i="1" s="1"/>
  <c r="CJ1" i="1"/>
  <c r="BS1" i="1"/>
  <c r="AV1" i="1"/>
  <c r="J52" i="2"/>
  <c r="I52" i="2"/>
  <c r="BJ12" i="1"/>
  <c r="AI51" i="1" a="1"/>
  <c r="AI51" i="1" s="1"/>
  <c r="AZ51" i="1" s="1"/>
  <c r="AI52" i="1" a="1"/>
  <c r="AI52" i="1" s="1"/>
  <c r="AZ52" i="1" s="1"/>
  <c r="AI57" i="1" a="1"/>
  <c r="AI57" i="1" s="1"/>
  <c r="AZ57" i="1" s="1"/>
  <c r="AI56" i="1" a="1"/>
  <c r="AI56" i="1" s="1"/>
  <c r="AZ56" i="1" s="1"/>
  <c r="AI53" i="1" a="1"/>
  <c r="AI53" i="1" s="1"/>
  <c r="AZ53" i="1" s="1"/>
  <c r="AI58" i="1" a="1"/>
  <c r="AI58" i="1" s="1"/>
  <c r="AZ58" i="1" s="1"/>
  <c r="AI44" i="1" a="1"/>
  <c r="AI44" i="1" s="1"/>
  <c r="AZ44" i="1" s="1"/>
  <c r="AI40" i="1" a="1"/>
  <c r="AI40" i="1" s="1"/>
  <c r="AZ40" i="1" s="1"/>
  <c r="AI50" i="1" a="1"/>
  <c r="AI50" i="1" s="1"/>
  <c r="AZ50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55" i="1" a="1"/>
  <c r="AI55" i="1" s="1"/>
  <c r="AZ55" i="1" s="1"/>
  <c r="AI49" i="1" a="1"/>
  <c r="AI49" i="1" s="1"/>
  <c r="AZ49" i="1" s="1"/>
  <c r="AI54" i="1" a="1"/>
  <c r="AI54" i="1" s="1"/>
  <c r="AZ54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38" i="1" a="1"/>
  <c r="AI38" i="1" s="1"/>
  <c r="AZ38" i="1" s="1"/>
  <c r="AI34" i="1" a="1"/>
  <c r="AI34" i="1" s="1"/>
  <c r="AZ34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39" i="1" a="1"/>
  <c r="AI39" i="1" s="1"/>
  <c r="AZ39" i="1" s="1"/>
  <c r="AI24" i="1" a="1"/>
  <c r="AI24" i="1" s="1"/>
  <c r="AZ24" i="1" s="1"/>
  <c r="AI25" i="1" a="1"/>
  <c r="AI25" i="1" s="1"/>
  <c r="AZ25" i="1" s="1"/>
  <c r="AI21" i="1" a="1"/>
  <c r="AI21" i="1" s="1"/>
  <c r="AZ21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14" i="1" a="1"/>
  <c r="AI14" i="1" s="1"/>
  <c r="AZ14" i="1" s="1"/>
  <c r="AI5" i="1" a="1"/>
  <c r="AI5" i="1" s="1"/>
  <c r="AZ5" i="1" s="1"/>
  <c r="CN1" i="1"/>
  <c r="AI4" i="1" a="1"/>
  <c r="AI4" i="1" s="1"/>
  <c r="AZ4" i="1" s="1"/>
  <c r="AI15" i="1" a="1"/>
  <c r="AI15" i="1" s="1"/>
  <c r="AZ15" i="1" s="1"/>
  <c r="AI10" i="1" a="1"/>
  <c r="AI10" i="1" s="1"/>
  <c r="AZ10" i="1" s="1"/>
  <c r="AI9" i="1" a="1"/>
  <c r="AI9" i="1" s="1"/>
  <c r="AZ9" i="1" s="1"/>
  <c r="AI8" i="1" a="1"/>
  <c r="AI8" i="1" s="1"/>
  <c r="AZ8" i="1" s="1"/>
  <c r="AI7" i="1" a="1"/>
  <c r="AI7" i="1" s="1"/>
  <c r="AZ7" i="1" s="1"/>
  <c r="AI13" i="1" a="1"/>
  <c r="AI13" i="1" s="1"/>
  <c r="AZ13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J57" i="1" a="1"/>
  <c r="AJ57" i="1" s="1"/>
  <c r="BA57" i="1" s="1"/>
  <c r="AJ53" i="1" a="1"/>
  <c r="AJ53" i="1" s="1"/>
  <c r="BA53" i="1" s="1"/>
  <c r="AJ56" i="1" a="1"/>
  <c r="AJ56" i="1" s="1"/>
  <c r="BA56" i="1" s="1"/>
  <c r="AJ58" i="1" a="1"/>
  <c r="AJ58" i="1" s="1"/>
  <c r="BA58" i="1" s="1"/>
  <c r="AJ54" i="1" a="1"/>
  <c r="AJ54" i="1" s="1"/>
  <c r="BA54" i="1" s="1"/>
  <c r="AJ51" i="1" a="1"/>
  <c r="AJ51" i="1" s="1"/>
  <c r="BA51" i="1" s="1"/>
  <c r="AJ52" i="1" a="1"/>
  <c r="AJ52" i="1" s="1"/>
  <c r="BA52" i="1" s="1"/>
  <c r="AJ45" i="1" a="1"/>
  <c r="AJ45" i="1" s="1"/>
  <c r="BA45" i="1" s="1"/>
  <c r="AJ41" i="1" a="1"/>
  <c r="AJ41" i="1" s="1"/>
  <c r="BA41" i="1" s="1"/>
  <c r="AJ50" i="1" a="1"/>
  <c r="AJ50" i="1" s="1"/>
  <c r="BA50" i="1" s="1"/>
  <c r="AJ47" i="1" a="1"/>
  <c r="AJ47" i="1" s="1"/>
  <c r="BA47" i="1" s="1"/>
  <c r="AJ46" i="1" a="1"/>
  <c r="AJ46" i="1" s="1"/>
  <c r="BA46" i="1" s="1"/>
  <c r="AJ42" i="1" a="1"/>
  <c r="AJ42" i="1" s="1"/>
  <c r="BA42" i="1" s="1"/>
  <c r="AJ55" i="1" a="1"/>
  <c r="AJ55" i="1" s="1"/>
  <c r="BA55" i="1" s="1"/>
  <c r="AJ49" i="1" a="1"/>
  <c r="AJ49" i="1" s="1"/>
  <c r="BA49" i="1" s="1"/>
  <c r="AJ43" i="1" a="1"/>
  <c r="AJ43" i="1" s="1"/>
  <c r="BA43" i="1" s="1"/>
  <c r="AJ48" i="1" a="1"/>
  <c r="AJ48" i="1" s="1"/>
  <c r="BA48" i="1" s="1"/>
  <c r="AJ44" i="1" a="1"/>
  <c r="AJ44" i="1" s="1"/>
  <c r="BA44" i="1" s="1"/>
  <c r="AJ40" i="1" a="1"/>
  <c r="AJ40" i="1" s="1"/>
  <c r="BA40" i="1" s="1"/>
  <c r="AJ37" i="1" a="1"/>
  <c r="AJ37" i="1" s="1"/>
  <c r="BA37" i="1" s="1"/>
  <c r="AJ32" i="1" a="1"/>
  <c r="AJ32" i="1" s="1"/>
  <c r="BA32" i="1" s="1"/>
  <c r="AJ31" i="1" a="1"/>
  <c r="AJ31" i="1" s="1"/>
  <c r="BA31" i="1" s="1"/>
  <c r="AJ30" i="1" a="1"/>
  <c r="AJ30" i="1" s="1"/>
  <c r="BA30" i="1" s="1"/>
  <c r="AJ33" i="1" a="1"/>
  <c r="AJ33" i="1" s="1"/>
  <c r="BA33" i="1" s="1"/>
  <c r="AJ38" i="1" a="1"/>
  <c r="AJ38" i="1" s="1"/>
  <c r="BA38" i="1" s="1"/>
  <c r="AJ34" i="1" a="1"/>
  <c r="AJ34" i="1" s="1"/>
  <c r="BA34" i="1" s="1"/>
  <c r="AJ35" i="1" a="1"/>
  <c r="AJ35" i="1" s="1"/>
  <c r="BA35" i="1" s="1"/>
  <c r="AJ39" i="1" a="1"/>
  <c r="AJ39" i="1" s="1"/>
  <c r="BA39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0" i="1" a="1"/>
  <c r="AJ20" i="1" s="1"/>
  <c r="BA20" i="1" s="1"/>
  <c r="AJ22" i="1" a="1"/>
  <c r="AJ22" i="1" s="1"/>
  <c r="BA22" i="1" s="1"/>
  <c r="AJ14" i="1" a="1"/>
  <c r="AJ14" i="1" s="1"/>
  <c r="BA14" i="1" s="1"/>
  <c r="AJ15" i="1" a="1"/>
  <c r="AJ15" i="1" s="1"/>
  <c r="BA15" i="1" s="1"/>
  <c r="AJ13" i="1" a="1"/>
  <c r="AJ13" i="1" s="1"/>
  <c r="BA13" i="1" s="1"/>
  <c r="AJ21" i="1" a="1"/>
  <c r="AJ21" i="1" s="1"/>
  <c r="BA21" i="1" s="1"/>
  <c r="AJ16" i="1" a="1"/>
  <c r="AJ16" i="1" s="1"/>
  <c r="BA16" i="1" s="1"/>
  <c r="AJ10" i="1" a="1"/>
  <c r="AJ10" i="1" s="1"/>
  <c r="BA10" i="1" s="1"/>
  <c r="AJ9" i="1" a="1"/>
  <c r="AJ9" i="1" s="1"/>
  <c r="BA9" i="1" s="1"/>
  <c r="AJ8" i="1" a="1"/>
  <c r="AJ8" i="1" s="1"/>
  <c r="BA8" i="1" s="1"/>
  <c r="AJ11" i="1" a="1"/>
  <c r="AJ11" i="1" s="1"/>
  <c r="BA11" i="1" s="1"/>
  <c r="AJ7" i="1" a="1"/>
  <c r="AJ7" i="1" s="1"/>
  <c r="BA7" i="1" s="1"/>
  <c r="AJ12" i="1" a="1"/>
  <c r="AJ12" i="1" s="1"/>
  <c r="BA12" i="1" s="1"/>
  <c r="AJ6" i="1" a="1"/>
  <c r="AJ6" i="1" s="1"/>
  <c r="BA6" i="1" s="1"/>
  <c r="AJ5" i="1" a="1"/>
  <c r="AJ5" i="1" s="1"/>
  <c r="BA5" i="1" s="1"/>
  <c r="AJ4" i="1" a="1"/>
  <c r="AJ4" i="1" s="1"/>
  <c r="BA4" i="1" s="1"/>
  <c r="BX1" i="1"/>
  <c r="CO1" i="1"/>
  <c r="AJ2" i="1" a="1"/>
  <c r="AJ2" i="1" s="1"/>
  <c r="BA2" i="1" s="1"/>
  <c r="BA1" i="1"/>
  <c r="AJ3" i="1" a="1"/>
  <c r="AJ3" i="1" s="1"/>
  <c r="BA3" i="1" s="1"/>
  <c r="AM51" i="1" a="1"/>
  <c r="AM51" i="1" s="1"/>
  <c r="BD51" i="1" s="1"/>
  <c r="AM52" i="1" a="1"/>
  <c r="AM52" i="1" s="1"/>
  <c r="BD52" i="1" s="1"/>
  <c r="AM53" i="1" a="1"/>
  <c r="AM53" i="1" s="1"/>
  <c r="BD53" i="1" s="1"/>
  <c r="AM56" i="1" a="1"/>
  <c r="AM56" i="1" s="1"/>
  <c r="BD56" i="1" s="1"/>
  <c r="AM57" i="1" a="1"/>
  <c r="AM57" i="1" s="1"/>
  <c r="BD57" i="1" s="1"/>
  <c r="AM58" i="1" a="1"/>
  <c r="AM58" i="1" s="1"/>
  <c r="BD58" i="1" s="1"/>
  <c r="AM50" i="1" a="1"/>
  <c r="AM50" i="1" s="1"/>
  <c r="BD50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5" i="1" a="1"/>
  <c r="AM55" i="1" s="1"/>
  <c r="BD55" i="1" s="1"/>
  <c r="AM54" i="1" a="1"/>
  <c r="AM54" i="1" s="1"/>
  <c r="BD54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9" i="1" a="1"/>
  <c r="AM39" i="1" s="1"/>
  <c r="BD39" i="1" s="1"/>
  <c r="AM37" i="1" a="1"/>
  <c r="AM37" i="1" s="1"/>
  <c r="BD37" i="1" s="1"/>
  <c r="AM32" i="1" a="1"/>
  <c r="AM32" i="1" s="1"/>
  <c r="BD32" i="1" s="1"/>
  <c r="AM31" i="1" a="1"/>
  <c r="AM31" i="1" s="1"/>
  <c r="BD31" i="1" s="1"/>
  <c r="AM30" i="1" a="1"/>
  <c r="AM30" i="1" s="1"/>
  <c r="BD30" i="1" s="1"/>
  <c r="AM33" i="1" a="1"/>
  <c r="AM33" i="1" s="1"/>
  <c r="BD33" i="1" s="1"/>
  <c r="AM38" i="1" a="1"/>
  <c r="AM38" i="1" s="1"/>
  <c r="BD38" i="1" s="1"/>
  <c r="AM34" i="1" a="1"/>
  <c r="AM34" i="1" s="1"/>
  <c r="BD34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21" i="1" a="1"/>
  <c r="AM21" i="1" s="1"/>
  <c r="BD2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14" i="1" a="1"/>
  <c r="AM14" i="1" s="1"/>
  <c r="BD14" i="1" s="1"/>
  <c r="AM5" i="1" a="1"/>
  <c r="AM5" i="1" s="1"/>
  <c r="BD5" i="1" s="1"/>
  <c r="AM4" i="1" a="1"/>
  <c r="AM4" i="1" s="1"/>
  <c r="BD4" i="1" s="1"/>
  <c r="AM15" i="1" a="1"/>
  <c r="AM15" i="1" s="1"/>
  <c r="BD15" i="1" s="1"/>
  <c r="AM10" i="1" a="1"/>
  <c r="AM10" i="1" s="1"/>
  <c r="BD10" i="1" s="1"/>
  <c r="AM9" i="1" a="1"/>
  <c r="AM9" i="1" s="1"/>
  <c r="BD9" i="1" s="1"/>
  <c r="AM8" i="1" a="1"/>
  <c r="AM8" i="1" s="1"/>
  <c r="BD8" i="1" s="1"/>
  <c r="AM13" i="1" a="1"/>
  <c r="AM13" i="1" s="1"/>
  <c r="BD13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BD1" i="1"/>
  <c r="CR1" i="1"/>
  <c r="CA1" i="1"/>
  <c r="Z55" i="1" a="1"/>
  <c r="Z55" i="1" s="1"/>
  <c r="AQ55" i="1" s="1"/>
  <c r="Z50" i="1" a="1"/>
  <c r="Z50" i="1" s="1"/>
  <c r="AQ50" i="1" s="1"/>
  <c r="Z49" i="1" a="1"/>
  <c r="Z49" i="1" s="1"/>
  <c r="AQ49" i="1" s="1"/>
  <c r="Z48" i="1" a="1"/>
  <c r="Z48" i="1" s="1"/>
  <c r="AQ48" i="1" s="1"/>
  <c r="Z51" i="1" a="1"/>
  <c r="Z51" i="1" s="1"/>
  <c r="AQ51" i="1" s="1"/>
  <c r="Z56" i="1" a="1"/>
  <c r="Z56" i="1" s="1"/>
  <c r="AQ56" i="1" s="1"/>
  <c r="Z52" i="1" a="1"/>
  <c r="Z52" i="1" s="1"/>
  <c r="AQ52" i="1" s="1"/>
  <c r="Z57" i="1" a="1"/>
  <c r="Z57" i="1" s="1"/>
  <c r="AQ57" i="1" s="1"/>
  <c r="Z58" i="1" a="1"/>
  <c r="Z58" i="1" s="1"/>
  <c r="AQ58" i="1" s="1"/>
  <c r="Z43" i="1" a="1"/>
  <c r="Z43" i="1" s="1"/>
  <c r="AQ43" i="1" s="1"/>
  <c r="Z44" i="1" a="1"/>
  <c r="Z44" i="1" s="1"/>
  <c r="AQ44" i="1" s="1"/>
  <c r="Z40" i="1" a="1"/>
  <c r="Z40" i="1" s="1"/>
  <c r="AQ40" i="1" s="1"/>
  <c r="Z54" i="1" a="1"/>
  <c r="Z54" i="1" s="1"/>
  <c r="AQ54" i="1" s="1"/>
  <c r="Z53" i="1" a="1"/>
  <c r="Z53" i="1" s="1"/>
  <c r="AQ53" i="1" s="1"/>
  <c r="Z45" i="1" a="1"/>
  <c r="Z45" i="1" s="1"/>
  <c r="AQ45" i="1" s="1"/>
  <c r="Z41" i="1" a="1"/>
  <c r="Z41" i="1" s="1"/>
  <c r="AQ41" i="1" s="1"/>
  <c r="Z47" i="1" a="1"/>
  <c r="Z47" i="1" s="1"/>
  <c r="AQ47" i="1" s="1"/>
  <c r="Z46" i="1" a="1"/>
  <c r="Z46" i="1" s="1"/>
  <c r="AQ46" i="1" s="1"/>
  <c r="Z39" i="1" a="1"/>
  <c r="Z39" i="1" s="1"/>
  <c r="AQ39" i="1" s="1"/>
  <c r="Z35" i="1" a="1"/>
  <c r="Z35" i="1" s="1"/>
  <c r="AQ35" i="1" s="1"/>
  <c r="Z36" i="1" a="1"/>
  <c r="Z36" i="1" s="1"/>
  <c r="AQ36" i="1" s="1"/>
  <c r="Z42" i="1" a="1"/>
  <c r="Z42" i="1" s="1"/>
  <c r="AQ42" i="1" s="1"/>
  <c r="Z37" i="1" a="1"/>
  <c r="Z37" i="1" s="1"/>
  <c r="AQ37" i="1" s="1"/>
  <c r="Z32" i="1" a="1"/>
  <c r="Z32" i="1" s="1"/>
  <c r="AQ32" i="1" s="1"/>
  <c r="Z31" i="1" a="1"/>
  <c r="Z31" i="1" s="1"/>
  <c r="AQ31" i="1" s="1"/>
  <c r="Z33" i="1" a="1"/>
  <c r="Z33" i="1" s="1"/>
  <c r="AQ33" i="1" s="1"/>
  <c r="Z38" i="1" a="1"/>
  <c r="Z38" i="1" s="1"/>
  <c r="AQ38" i="1" s="1"/>
  <c r="Z34" i="1" a="1"/>
  <c r="Z34" i="1" s="1"/>
  <c r="AQ34" i="1" s="1"/>
  <c r="Z25" i="1" a="1"/>
  <c r="Z25" i="1" s="1"/>
  <c r="AQ25" i="1" s="1"/>
  <c r="Z30" i="1" a="1"/>
  <c r="Z30" i="1" s="1"/>
  <c r="AQ30" i="1" s="1"/>
  <c r="Z29" i="1" a="1"/>
  <c r="Z29" i="1" s="1"/>
  <c r="AQ29" i="1" s="1"/>
  <c r="Z26" i="1" a="1"/>
  <c r="Z26" i="1" s="1"/>
  <c r="AQ26" i="1" s="1"/>
  <c r="Z22" i="1" a="1"/>
  <c r="Z22" i="1" s="1"/>
  <c r="AQ22" i="1" s="1"/>
  <c r="Z28" i="1" a="1"/>
  <c r="Z28" i="1" s="1"/>
  <c r="AQ28" i="1" s="1"/>
  <c r="Z27" i="1" a="1"/>
  <c r="Z27" i="1" s="1"/>
  <c r="AQ27" i="1" s="1"/>
  <c r="Z23" i="1" a="1"/>
  <c r="Z23" i="1" s="1"/>
  <c r="AQ23" i="1" s="1"/>
  <c r="Z24" i="1" a="1"/>
  <c r="Z24" i="1" s="1"/>
  <c r="AQ24" i="1" s="1"/>
  <c r="Z21" i="1" a="1"/>
  <c r="Z21" i="1" s="1"/>
  <c r="AQ21" i="1" s="1"/>
  <c r="Z14" i="1" a="1"/>
  <c r="Z14" i="1" s="1"/>
  <c r="AQ14" i="1" s="1"/>
  <c r="Z15" i="1" a="1"/>
  <c r="Z15" i="1" s="1"/>
  <c r="AQ15" i="1" s="1"/>
  <c r="Z13" i="1" a="1"/>
  <c r="Z13" i="1" s="1"/>
  <c r="AQ13" i="1" s="1"/>
  <c r="Z12" i="1" a="1"/>
  <c r="Z12" i="1" s="1"/>
  <c r="AQ12" i="1" s="1"/>
  <c r="Z16" i="1" a="1"/>
  <c r="Z16" i="1" s="1"/>
  <c r="AQ16" i="1" s="1"/>
  <c r="Z17" i="1" a="1"/>
  <c r="Z17" i="1" s="1"/>
  <c r="AQ17" i="1" s="1"/>
  <c r="Z18" i="1" a="1"/>
  <c r="Z18" i="1" s="1"/>
  <c r="AQ18" i="1" s="1"/>
  <c r="Z19" i="1" a="1"/>
  <c r="Z19" i="1" s="1"/>
  <c r="AQ19" i="1" s="1"/>
  <c r="Z11" i="1" a="1"/>
  <c r="Z11" i="1" s="1"/>
  <c r="AQ11" i="1" s="1"/>
  <c r="Z7" i="1" a="1"/>
  <c r="Z7" i="1" s="1"/>
  <c r="AQ7" i="1" s="1"/>
  <c r="BN1" i="1"/>
  <c r="CE1" i="1"/>
  <c r="Z6" i="1" a="1"/>
  <c r="Z6" i="1" s="1"/>
  <c r="AQ6" i="1" s="1"/>
  <c r="Z3" i="1" a="1"/>
  <c r="Z3" i="1" s="1"/>
  <c r="AQ3" i="1" s="1"/>
  <c r="Z5" i="1" a="1"/>
  <c r="Z5" i="1" s="1"/>
  <c r="AQ5" i="1" s="1"/>
  <c r="Z10" i="1" a="1"/>
  <c r="Z10" i="1" s="1"/>
  <c r="AQ10" i="1" s="1"/>
  <c r="Z20" i="1" a="1"/>
  <c r="Z20" i="1" s="1"/>
  <c r="AQ20" i="1" s="1"/>
  <c r="Z9" i="1" a="1"/>
  <c r="Z9" i="1" s="1"/>
  <c r="AQ9" i="1" s="1"/>
  <c r="Z8" i="1" a="1"/>
  <c r="Z8" i="1" s="1"/>
  <c r="AQ8" i="1" s="1"/>
  <c r="Z2" i="1" a="1"/>
  <c r="Z2" i="1" s="1"/>
  <c r="AQ2" i="1" s="1"/>
  <c r="Z4" i="1" a="1"/>
  <c r="Z4" i="1" s="1"/>
  <c r="AQ4" i="1" s="1"/>
  <c r="AQ1" i="1"/>
  <c r="AF58" i="1" a="1"/>
  <c r="AF58" i="1" s="1"/>
  <c r="AW58" i="1" s="1"/>
  <c r="AF56" i="1" a="1"/>
  <c r="AF56" i="1" s="1"/>
  <c r="AW56" i="1" s="1"/>
  <c r="AF53" i="1" a="1"/>
  <c r="AF53" i="1" s="1"/>
  <c r="AW53" i="1" s="1"/>
  <c r="AF54" i="1" a="1"/>
  <c r="AF54" i="1" s="1"/>
  <c r="AW54" i="1" s="1"/>
  <c r="AF57" i="1" a="1"/>
  <c r="AF57" i="1" s="1"/>
  <c r="AW57" i="1" s="1"/>
  <c r="AF51" i="1" a="1"/>
  <c r="AF51" i="1" s="1"/>
  <c r="AW51" i="1" s="1"/>
  <c r="AF49" i="1" a="1"/>
  <c r="AF49" i="1" s="1"/>
  <c r="AW49" i="1" s="1"/>
  <c r="AF45" i="1" a="1"/>
  <c r="AF45" i="1" s="1"/>
  <c r="AW45" i="1" s="1"/>
  <c r="AF41" i="1" a="1"/>
  <c r="AF41" i="1" s="1"/>
  <c r="AW41" i="1" s="1"/>
  <c r="AF48" i="1" a="1"/>
  <c r="AF48" i="1" s="1"/>
  <c r="AW48" i="1" s="1"/>
  <c r="AF52" i="1" a="1"/>
  <c r="AF52" i="1" s="1"/>
  <c r="AW52" i="1" s="1"/>
  <c r="AF47" i="1" a="1"/>
  <c r="AF47" i="1" s="1"/>
  <c r="AW47" i="1" s="1"/>
  <c r="AF46" i="1" a="1"/>
  <c r="AF46" i="1" s="1"/>
  <c r="AW46" i="1" s="1"/>
  <c r="AF42" i="1" a="1"/>
  <c r="AF42" i="1" s="1"/>
  <c r="AW42" i="1" s="1"/>
  <c r="AF50" i="1" a="1"/>
  <c r="AF50" i="1" s="1"/>
  <c r="AW50" i="1" s="1"/>
  <c r="AF43" i="1" a="1"/>
  <c r="AF43" i="1" s="1"/>
  <c r="AW43" i="1" s="1"/>
  <c r="AF55" i="1" a="1"/>
  <c r="AF55" i="1" s="1"/>
  <c r="AW55" i="1" s="1"/>
  <c r="AF44" i="1" a="1"/>
  <c r="AF44" i="1" s="1"/>
  <c r="AW44" i="1" s="1"/>
  <c r="AF37" i="1" a="1"/>
  <c r="AF37" i="1" s="1"/>
  <c r="AW37" i="1" s="1"/>
  <c r="AF32" i="1" a="1"/>
  <c r="AF32" i="1" s="1"/>
  <c r="AW32" i="1" s="1"/>
  <c r="AF31" i="1" a="1"/>
  <c r="AF31" i="1" s="1"/>
  <c r="AW31" i="1" s="1"/>
  <c r="AF33" i="1" a="1"/>
  <c r="AF33" i="1" s="1"/>
  <c r="AW33" i="1" s="1"/>
  <c r="AF40" i="1" a="1"/>
  <c r="AF40" i="1" s="1"/>
  <c r="AW40" i="1" s="1"/>
  <c r="AF38" i="1" a="1"/>
  <c r="AF38" i="1" s="1"/>
  <c r="AW38" i="1" s="1"/>
  <c r="AF34" i="1" a="1"/>
  <c r="AF34" i="1" s="1"/>
  <c r="AW34" i="1" s="1"/>
  <c r="AF39" i="1" a="1"/>
  <c r="AF39" i="1" s="1"/>
  <c r="AW39" i="1" s="1"/>
  <c r="AF35" i="1" a="1"/>
  <c r="AF35" i="1" s="1"/>
  <c r="AW35" i="1" s="1"/>
  <c r="AF36" i="1" a="1"/>
  <c r="AF36" i="1" s="1"/>
  <c r="AW36" i="1" s="1"/>
  <c r="AF23" i="1" a="1"/>
  <c r="AF23" i="1" s="1"/>
  <c r="AW23" i="1" s="1"/>
  <c r="AF24" i="1" a="1"/>
  <c r="AF24" i="1" s="1"/>
  <c r="AW24" i="1" s="1"/>
  <c r="AF25" i="1" a="1"/>
  <c r="AF25" i="1" s="1"/>
  <c r="AW25" i="1" s="1"/>
  <c r="AF29" i="1" a="1"/>
  <c r="AF29" i="1" s="1"/>
  <c r="AW29" i="1" s="1"/>
  <c r="AF26" i="1" a="1"/>
  <c r="AF26" i="1" s="1"/>
  <c r="AW26" i="1" s="1"/>
  <c r="AF30" i="1" a="1"/>
  <c r="AF30" i="1" s="1"/>
  <c r="AW30" i="1" s="1"/>
  <c r="AF28" i="1" a="1"/>
  <c r="AF28" i="1" s="1"/>
  <c r="AW28" i="1" s="1"/>
  <c r="AF27" i="1" a="1"/>
  <c r="AF27" i="1" s="1"/>
  <c r="AW27" i="1" s="1"/>
  <c r="AF17" i="1" a="1"/>
  <c r="AF17" i="1" s="1"/>
  <c r="AW17" i="1" s="1"/>
  <c r="AF18" i="1" a="1"/>
  <c r="AF18" i="1" s="1"/>
  <c r="AW18" i="1" s="1"/>
  <c r="AF19" i="1" a="1"/>
  <c r="AF19" i="1" s="1"/>
  <c r="AW19" i="1" s="1"/>
  <c r="AF20" i="1" a="1"/>
  <c r="AF20" i="1" s="1"/>
  <c r="AW20" i="1" s="1"/>
  <c r="AF21" i="1" a="1"/>
  <c r="AF21" i="1" s="1"/>
  <c r="AW21" i="1" s="1"/>
  <c r="AF14" i="1" a="1"/>
  <c r="AF14" i="1" s="1"/>
  <c r="AW14" i="1" s="1"/>
  <c r="AF15" i="1" a="1"/>
  <c r="AF15" i="1" s="1"/>
  <c r="AW15" i="1" s="1"/>
  <c r="AF13" i="1" a="1"/>
  <c r="AF13" i="1" s="1"/>
  <c r="AW13" i="1" s="1"/>
  <c r="AF11" i="1" a="1"/>
  <c r="AF11" i="1" s="1"/>
  <c r="AW11" i="1" s="1"/>
  <c r="AF10" i="1" a="1"/>
  <c r="AF10" i="1" s="1"/>
  <c r="AW10" i="1" s="1"/>
  <c r="AW1" i="1"/>
  <c r="AF16" i="1" a="1"/>
  <c r="AF16" i="1" s="1"/>
  <c r="AW16" i="1" s="1"/>
  <c r="AF9" i="1" a="1"/>
  <c r="AF9" i="1" s="1"/>
  <c r="AW9" i="1" s="1"/>
  <c r="AF8" i="1" a="1"/>
  <c r="AF8" i="1" s="1"/>
  <c r="AW8" i="1" s="1"/>
  <c r="AF22" i="1" a="1"/>
  <c r="AF22" i="1" s="1"/>
  <c r="AW22" i="1" s="1"/>
  <c r="AF7" i="1" a="1"/>
  <c r="AF7" i="1" s="1"/>
  <c r="AW7" i="1" s="1"/>
  <c r="AF6" i="1" a="1"/>
  <c r="AF6" i="1" s="1"/>
  <c r="AW6" i="1" s="1"/>
  <c r="AF5" i="1" a="1"/>
  <c r="AF5" i="1" s="1"/>
  <c r="AW5" i="1" s="1"/>
  <c r="AF12" i="1" a="1"/>
  <c r="AF12" i="1" s="1"/>
  <c r="AW12" i="1" s="1"/>
  <c r="AF4" i="1" a="1"/>
  <c r="AF4" i="1" s="1"/>
  <c r="AW4" i="1" s="1"/>
  <c r="AF3" i="1" a="1"/>
  <c r="AF3" i="1" s="1"/>
  <c r="AW3" i="1" s="1"/>
  <c r="CK1" i="1"/>
  <c r="AF2" i="1" a="1"/>
  <c r="AF2" i="1" s="1"/>
  <c r="AW2" i="1" s="1"/>
  <c r="BT1" i="1"/>
  <c r="J59" i="2"/>
  <c r="I59" i="2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2" i="1" a="1"/>
  <c r="AH52" i="1" s="1"/>
  <c r="AY52" i="1" s="1"/>
  <c r="AH57" i="1" a="1"/>
  <c r="AH57" i="1" s="1"/>
  <c r="AY57" i="1" s="1"/>
  <c r="AH58" i="1" a="1"/>
  <c r="AH58" i="1" s="1"/>
  <c r="AY58" i="1" s="1"/>
  <c r="AH56" i="1" a="1"/>
  <c r="AH56" i="1" s="1"/>
  <c r="AY56" i="1" s="1"/>
  <c r="AH53" i="1" a="1"/>
  <c r="AH53" i="1" s="1"/>
  <c r="AY53" i="1" s="1"/>
  <c r="AH43" i="1" a="1"/>
  <c r="AH43" i="1" s="1"/>
  <c r="AY43" i="1" s="1"/>
  <c r="AH44" i="1" a="1"/>
  <c r="AH44" i="1" s="1"/>
  <c r="AY44" i="1" s="1"/>
  <c r="AH40" i="1" a="1"/>
  <c r="AH40" i="1" s="1"/>
  <c r="AY40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42" i="1" a="1"/>
  <c r="AH42" i="1" s="1"/>
  <c r="AY42" i="1" s="1"/>
  <c r="AH35" i="1" a="1"/>
  <c r="AH35" i="1" s="1"/>
  <c r="AY35" i="1" s="1"/>
  <c r="AH39" i="1" a="1"/>
  <c r="AH39" i="1" s="1"/>
  <c r="AY39" i="1" s="1"/>
  <c r="AH36" i="1" a="1"/>
  <c r="AH36" i="1" s="1"/>
  <c r="AY36" i="1" s="1"/>
  <c r="AH54" i="1" a="1"/>
  <c r="AH54" i="1" s="1"/>
  <c r="AY54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25" i="1" a="1"/>
  <c r="AH25" i="1" s="1"/>
  <c r="AY25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34" i="1" a="1"/>
  <c r="AH34" i="1" s="1"/>
  <c r="AY34" i="1" s="1"/>
  <c r="AH30" i="1" a="1"/>
  <c r="AH30" i="1" s="1"/>
  <c r="AY30" i="1" s="1"/>
  <c r="AH23" i="1" a="1"/>
  <c r="AH23" i="1" s="1"/>
  <c r="AY23" i="1" s="1"/>
  <c r="AH24" i="1" a="1"/>
  <c r="AH24" i="1" s="1"/>
  <c r="AY24" i="1" s="1"/>
  <c r="AH14" i="1" a="1"/>
  <c r="AH14" i="1" s="1"/>
  <c r="AY14" i="1" s="1"/>
  <c r="AH21" i="1" a="1"/>
  <c r="AH21" i="1" s="1"/>
  <c r="AY21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7" i="1" a="1"/>
  <c r="AH7" i="1" s="1"/>
  <c r="AY7" i="1" s="1"/>
  <c r="BV1" i="1"/>
  <c r="AH6" i="1" a="1"/>
  <c r="AH6" i="1" s="1"/>
  <c r="AY6" i="1" s="1"/>
  <c r="AH3" i="1" a="1"/>
  <c r="AH3" i="1" s="1"/>
  <c r="AY3" i="1" s="1"/>
  <c r="CM1" i="1"/>
  <c r="AH5" i="1" a="1"/>
  <c r="AH5" i="1" s="1"/>
  <c r="AY5" i="1" s="1"/>
  <c r="AH20" i="1" a="1"/>
  <c r="AH20" i="1" s="1"/>
  <c r="AY20" i="1" s="1"/>
  <c r="AH10" i="1" a="1"/>
  <c r="AH10" i="1" s="1"/>
  <c r="AY10" i="1" s="1"/>
  <c r="AH11" i="1" a="1"/>
  <c r="AH11" i="1" s="1"/>
  <c r="AY11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C54" i="1" a="1"/>
  <c r="AC54" i="1" s="1"/>
  <c r="AT54" i="1" s="1"/>
  <c r="AC57" i="1" a="1"/>
  <c r="AC57" i="1" s="1"/>
  <c r="AT57" i="1" s="1"/>
  <c r="AC58" i="1" a="1"/>
  <c r="AC58" i="1" s="1"/>
  <c r="AT58" i="1" s="1"/>
  <c r="AC55" i="1" a="1"/>
  <c r="AC55" i="1" s="1"/>
  <c r="AT55" i="1" s="1"/>
  <c r="AC50" i="1" a="1"/>
  <c r="AC50" i="1" s="1"/>
  <c r="AT50" i="1" s="1"/>
  <c r="AC49" i="1" a="1"/>
  <c r="AC49" i="1" s="1"/>
  <c r="AT49" i="1" s="1"/>
  <c r="AC48" i="1" a="1"/>
  <c r="AC48" i="1" s="1"/>
  <c r="AT48" i="1" s="1"/>
  <c r="AC51" i="1" a="1"/>
  <c r="AC51" i="1" s="1"/>
  <c r="AT51" i="1" s="1"/>
  <c r="AC56" i="1" a="1"/>
  <c r="AC56" i="1" s="1"/>
  <c r="AT56" i="1" s="1"/>
  <c r="AC47" i="1" a="1"/>
  <c r="AC47" i="1" s="1"/>
  <c r="AT47" i="1" s="1"/>
  <c r="AC46" i="1" a="1"/>
  <c r="AC46" i="1" s="1"/>
  <c r="AT46" i="1" s="1"/>
  <c r="AC42" i="1" a="1"/>
  <c r="AC42" i="1" s="1"/>
  <c r="AT42" i="1" s="1"/>
  <c r="AC43" i="1" a="1"/>
  <c r="AC43" i="1" s="1"/>
  <c r="AT43" i="1" s="1"/>
  <c r="AC53" i="1" a="1"/>
  <c r="AC53" i="1" s="1"/>
  <c r="AT53" i="1" s="1"/>
  <c r="AC52" i="1" a="1"/>
  <c r="AC52" i="1" s="1"/>
  <c r="AT52" i="1" s="1"/>
  <c r="AC44" i="1" a="1"/>
  <c r="AC44" i="1" s="1"/>
  <c r="AT44" i="1" s="1"/>
  <c r="AC40" i="1" a="1"/>
  <c r="AC40" i="1" s="1"/>
  <c r="AT40" i="1" s="1"/>
  <c r="AC45" i="1" a="1"/>
  <c r="AC45" i="1" s="1"/>
  <c r="AT45" i="1" s="1"/>
  <c r="AC38" i="1" a="1"/>
  <c r="AC38" i="1" s="1"/>
  <c r="AT38" i="1" s="1"/>
  <c r="AC34" i="1" a="1"/>
  <c r="AC34" i="1" s="1"/>
  <c r="AT34" i="1" s="1"/>
  <c r="AC39" i="1" a="1"/>
  <c r="AC39" i="1" s="1"/>
  <c r="AT39" i="1" s="1"/>
  <c r="AC35" i="1" a="1"/>
  <c r="AC35" i="1" s="1"/>
  <c r="AT35" i="1" s="1"/>
  <c r="AC41" i="1" a="1"/>
  <c r="AC41" i="1" s="1"/>
  <c r="AT41" i="1" s="1"/>
  <c r="AC36" i="1" a="1"/>
  <c r="AC36" i="1" s="1"/>
  <c r="AT36" i="1" s="1"/>
  <c r="AC37" i="1" a="1"/>
  <c r="AC37" i="1" s="1"/>
  <c r="AT37" i="1" s="1"/>
  <c r="AC24" i="1" a="1"/>
  <c r="AC24" i="1" s="1"/>
  <c r="AT24" i="1" s="1"/>
  <c r="AC33" i="1" a="1"/>
  <c r="AC33" i="1" s="1"/>
  <c r="AT33" i="1" s="1"/>
  <c r="AC32" i="1" a="1"/>
  <c r="AC32" i="1" s="1"/>
  <c r="AT32" i="1" s="1"/>
  <c r="AC25" i="1" a="1"/>
  <c r="AC25" i="1" s="1"/>
  <c r="AT25" i="1" s="1"/>
  <c r="AC31" i="1" a="1"/>
  <c r="AC31" i="1" s="1"/>
  <c r="AT31" i="1" s="1"/>
  <c r="AC30" i="1" a="1"/>
  <c r="AC30" i="1" s="1"/>
  <c r="AT30" i="1" s="1"/>
  <c r="AC29" i="1" a="1"/>
  <c r="AC29" i="1" s="1"/>
  <c r="AT29" i="1" s="1"/>
  <c r="AC26" i="1" a="1"/>
  <c r="AC26" i="1" s="1"/>
  <c r="AT26" i="1" s="1"/>
  <c r="AC28" i="1" a="1"/>
  <c r="AC28" i="1" s="1"/>
  <c r="AT28" i="1" s="1"/>
  <c r="AC27" i="1" a="1"/>
  <c r="AC27" i="1" s="1"/>
  <c r="AT27" i="1" s="1"/>
  <c r="AC23" i="1" a="1"/>
  <c r="AC23" i="1" s="1"/>
  <c r="AT23" i="1" s="1"/>
  <c r="AC19" i="1" a="1"/>
  <c r="AC19" i="1" s="1"/>
  <c r="AT19" i="1" s="1"/>
  <c r="AC22" i="1" a="1"/>
  <c r="AC22" i="1" s="1"/>
  <c r="AT22" i="1" s="1"/>
  <c r="AC20" i="1" a="1"/>
  <c r="AC20" i="1" s="1"/>
  <c r="AT20" i="1" s="1"/>
  <c r="AC21" i="1" a="1"/>
  <c r="AC21" i="1" s="1"/>
  <c r="AT21" i="1" s="1"/>
  <c r="AC14" i="1" a="1"/>
  <c r="AC14" i="1" s="1"/>
  <c r="AT14" i="1" s="1"/>
  <c r="AC15" i="1" a="1"/>
  <c r="AC15" i="1" s="1"/>
  <c r="AT15" i="1" s="1"/>
  <c r="AC13" i="1" a="1"/>
  <c r="AC13" i="1" s="1"/>
  <c r="AT13" i="1" s="1"/>
  <c r="AC12" i="1" a="1"/>
  <c r="AC12" i="1" s="1"/>
  <c r="AT12" i="1" s="1"/>
  <c r="AC16" i="1" a="1"/>
  <c r="AC16" i="1" s="1"/>
  <c r="AT16" i="1" s="1"/>
  <c r="AC17" i="1" a="1"/>
  <c r="AC17" i="1" s="1"/>
  <c r="AT17" i="1" s="1"/>
  <c r="AC9" i="1" a="1"/>
  <c r="AC9" i="1" s="1"/>
  <c r="AT9" i="1" s="1"/>
  <c r="AC2" i="1" a="1"/>
  <c r="AC2" i="1" s="1"/>
  <c r="AT2" i="1" s="1"/>
  <c r="AC18" i="1" a="1"/>
  <c r="AC18" i="1" s="1"/>
  <c r="AT18" i="1" s="1"/>
  <c r="AC8" i="1" a="1"/>
  <c r="AC8" i="1" s="1"/>
  <c r="AT8" i="1" s="1"/>
  <c r="AC7" i="1" a="1"/>
  <c r="AC7" i="1" s="1"/>
  <c r="AT7" i="1" s="1"/>
  <c r="AC6" i="1" a="1"/>
  <c r="AC6" i="1" s="1"/>
  <c r="AT6" i="1" s="1"/>
  <c r="AC11" i="1" a="1"/>
  <c r="AC11" i="1" s="1"/>
  <c r="AT11" i="1" s="1"/>
  <c r="AC10" i="1" a="1"/>
  <c r="AC10" i="1" s="1"/>
  <c r="AT10" i="1" s="1"/>
  <c r="AC4" i="1" a="1"/>
  <c r="AC4" i="1" s="1"/>
  <c r="AT4" i="1" s="1"/>
  <c r="AT1" i="1"/>
  <c r="AC5" i="1" a="1"/>
  <c r="AC5" i="1" s="1"/>
  <c r="AT5" i="1" s="1"/>
  <c r="AC3" i="1" a="1"/>
  <c r="AC3" i="1" s="1"/>
  <c r="AT3" i="1" s="1"/>
  <c r="CH1" i="1"/>
  <c r="BQ1" i="1"/>
  <c r="AN53" i="1" a="1"/>
  <c r="AN53" i="1" s="1"/>
  <c r="BE53" i="1" s="1"/>
  <c r="AN54" i="1" a="1"/>
  <c r="AN54" i="1" s="1"/>
  <c r="BE54" i="1" s="1"/>
  <c r="AN57" i="1" a="1"/>
  <c r="AN57" i="1" s="1"/>
  <c r="BE57" i="1" s="1"/>
  <c r="AN56" i="1" a="1"/>
  <c r="AN56" i="1" s="1"/>
  <c r="BE56" i="1" s="1"/>
  <c r="AN58" i="1" a="1"/>
  <c r="AN58" i="1" s="1"/>
  <c r="BE58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5" i="1" a="1"/>
  <c r="AN55" i="1" s="1"/>
  <c r="BE55" i="1" s="1"/>
  <c r="AN47" i="1" a="1"/>
  <c r="AN47" i="1" s="1"/>
  <c r="BE47" i="1" s="1"/>
  <c r="AN46" i="1" a="1"/>
  <c r="AN46" i="1" s="1"/>
  <c r="BE46" i="1" s="1"/>
  <c r="AN42" i="1" a="1"/>
  <c r="AN42" i="1" s="1"/>
  <c r="BE42" i="1" s="1"/>
  <c r="AN43" i="1" a="1"/>
  <c r="AN43" i="1" s="1"/>
  <c r="BE43" i="1" s="1"/>
  <c r="AN52" i="1" a="1"/>
  <c r="AN52" i="1" s="1"/>
  <c r="BE52" i="1" s="1"/>
  <c r="AN44" i="1" a="1"/>
  <c r="AN44" i="1" s="1"/>
  <c r="BE44" i="1" s="1"/>
  <c r="AN39" i="1" a="1"/>
  <c r="AN39" i="1" s="1"/>
  <c r="BE39" i="1" s="1"/>
  <c r="AN37" i="1" a="1"/>
  <c r="AN37" i="1" s="1"/>
  <c r="BE37" i="1" s="1"/>
  <c r="AN32" i="1" a="1"/>
  <c r="AN32" i="1" s="1"/>
  <c r="BE32" i="1" s="1"/>
  <c r="AN31" i="1" a="1"/>
  <c r="AN31" i="1" s="1"/>
  <c r="BE31" i="1" s="1"/>
  <c r="AN30" i="1" a="1"/>
  <c r="AN30" i="1" s="1"/>
  <c r="BE30" i="1" s="1"/>
  <c r="AN33" i="1" a="1"/>
  <c r="AN33" i="1" s="1"/>
  <c r="BE33" i="1" s="1"/>
  <c r="AN50" i="1" a="1"/>
  <c r="AN50" i="1" s="1"/>
  <c r="BE50" i="1" s="1"/>
  <c r="AN38" i="1" a="1"/>
  <c r="AN38" i="1" s="1"/>
  <c r="BE38" i="1" s="1"/>
  <c r="AN34" i="1" a="1"/>
  <c r="AN34" i="1" s="1"/>
  <c r="BE34" i="1" s="1"/>
  <c r="AN35" i="1" a="1"/>
  <c r="AN35" i="1" s="1"/>
  <c r="BE35" i="1" s="1"/>
  <c r="AN40" i="1" a="1"/>
  <c r="AN40" i="1" s="1"/>
  <c r="BE40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28" i="1" a="1"/>
  <c r="AN28" i="1" s="1"/>
  <c r="BE28" i="1" s="1"/>
  <c r="AN27" i="1" a="1"/>
  <c r="AN27" i="1" s="1"/>
  <c r="BE27" i="1" s="1"/>
  <c r="AN21" i="1" a="1"/>
  <c r="AN21" i="1" s="1"/>
  <c r="BE21" i="1" s="1"/>
  <c r="AN17" i="1" a="1"/>
  <c r="AN17" i="1" s="1"/>
  <c r="BE17" i="1" s="1"/>
  <c r="AN22" i="1" a="1"/>
  <c r="AN22" i="1" s="1"/>
  <c r="BE22" i="1" s="1"/>
  <c r="AN18" i="1" a="1"/>
  <c r="AN18" i="1" s="1"/>
  <c r="BE18" i="1" s="1"/>
  <c r="AN19" i="1" a="1"/>
  <c r="AN19" i="1" s="1"/>
  <c r="BE19" i="1" s="1"/>
  <c r="AN20" i="1" a="1"/>
  <c r="AN20" i="1" s="1"/>
  <c r="BE20" i="1" s="1"/>
  <c r="AN14" i="1" a="1"/>
  <c r="AN14" i="1" s="1"/>
  <c r="BE14" i="1" s="1"/>
  <c r="AN15" i="1" a="1"/>
  <c r="AN15" i="1" s="1"/>
  <c r="BE15" i="1" s="1"/>
  <c r="AN13" i="1" a="1"/>
  <c r="AN13" i="1" s="1"/>
  <c r="BE13" i="1" s="1"/>
  <c r="AN16" i="1" a="1"/>
  <c r="AN16" i="1" s="1"/>
  <c r="BE16" i="1" s="1"/>
  <c r="BE1" i="1"/>
  <c r="AN10" i="1" a="1"/>
  <c r="AN10" i="1" s="1"/>
  <c r="BE10" i="1" s="1"/>
  <c r="AN9" i="1" a="1"/>
  <c r="AN9" i="1" s="1"/>
  <c r="BE9" i="1" s="1"/>
  <c r="AN12" i="1" a="1"/>
  <c r="AN12" i="1" s="1"/>
  <c r="BE12" i="1" s="1"/>
  <c r="AN8" i="1" a="1"/>
  <c r="AN8" i="1" s="1"/>
  <c r="BE8" i="1" s="1"/>
  <c r="AN7" i="1" a="1"/>
  <c r="AN7" i="1" s="1"/>
  <c r="BE7" i="1" s="1"/>
  <c r="AN6" i="1" a="1"/>
  <c r="AN6" i="1" s="1"/>
  <c r="BE6" i="1" s="1"/>
  <c r="AN5" i="1" a="1"/>
  <c r="AN5" i="1" s="1"/>
  <c r="BE5" i="1" s="1"/>
  <c r="AN11" i="1" a="1"/>
  <c r="AN11" i="1" s="1"/>
  <c r="BE11" i="1" s="1"/>
  <c r="AN4" i="1" a="1"/>
  <c r="AN4" i="1" s="1"/>
  <c r="BE4" i="1" s="1"/>
  <c r="AN3" i="1" a="1"/>
  <c r="AN3" i="1" s="1"/>
  <c r="BE3" i="1" s="1"/>
  <c r="CB1" i="1"/>
  <c r="CS1" i="1"/>
  <c r="AN2" i="1" a="1"/>
  <c r="AN2" i="1" s="1"/>
  <c r="BE2" i="1" s="1"/>
  <c r="CF16" i="1" l="1"/>
  <c r="CF30" i="1"/>
  <c r="CJ8" i="1"/>
  <c r="CJ21" i="1"/>
  <c r="CJ25" i="1"/>
  <c r="CJ26" i="1"/>
  <c r="CJ32" i="1"/>
  <c r="CJ17" i="1"/>
  <c r="CF9" i="1"/>
  <c r="CF20" i="1"/>
  <c r="CF19" i="1"/>
  <c r="CH21" i="1"/>
  <c r="CF17" i="1"/>
  <c r="H18" i="2" s="1"/>
  <c r="CH11" i="1"/>
  <c r="CH16" i="1"/>
  <c r="CH19" i="1"/>
  <c r="CH25" i="1"/>
  <c r="CH39" i="1"/>
  <c r="CH43" i="1"/>
  <c r="CH50" i="1"/>
  <c r="CE16" i="1"/>
  <c r="CE27" i="1"/>
  <c r="CJ14" i="1"/>
  <c r="CJ12" i="1"/>
  <c r="CJ22" i="1"/>
  <c r="CJ31" i="1"/>
  <c r="CG12" i="1"/>
  <c r="CG18" i="1"/>
  <c r="CG24" i="1"/>
  <c r="CF14" i="1"/>
  <c r="CF12" i="1"/>
  <c r="H13" i="2" s="1"/>
  <c r="CF26" i="1"/>
  <c r="H27" i="2" s="1"/>
  <c r="CH12" i="1"/>
  <c r="CH23" i="1"/>
  <c r="CH32" i="1"/>
  <c r="CH34" i="1"/>
  <c r="CH42" i="1"/>
  <c r="CH55" i="1"/>
  <c r="CG11" i="1"/>
  <c r="CG13" i="1"/>
  <c r="CG17" i="1"/>
  <c r="CG23" i="1"/>
  <c r="CF29" i="1"/>
  <c r="CF25" i="1"/>
  <c r="CG8" i="1"/>
  <c r="CF18" i="1"/>
  <c r="CF23" i="1"/>
  <c r="H24" i="2" s="1"/>
  <c r="CG16" i="1"/>
  <c r="CG20" i="1"/>
  <c r="CF27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58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H9" i="1"/>
  <c r="CH20" i="1"/>
  <c r="CH30" i="1"/>
  <c r="CH41" i="1"/>
  <c r="CH52" i="1"/>
  <c r="CH48" i="1"/>
  <c r="CM45" i="1"/>
  <c r="CM53" i="1"/>
  <c r="CM10" i="1"/>
  <c r="CM18" i="1"/>
  <c r="CM26" i="1"/>
  <c r="CM34" i="1"/>
  <c r="CM31" i="1"/>
  <c r="CM46" i="1"/>
  <c r="CM54" i="1"/>
  <c r="CM11" i="1"/>
  <c r="CM19" i="1"/>
  <c r="CM27" i="1"/>
  <c r="CM35" i="1"/>
  <c r="CM39" i="1"/>
  <c r="CM47" i="1"/>
  <c r="CM55" i="1"/>
  <c r="CM12" i="1"/>
  <c r="CM20" i="1"/>
  <c r="CM28" i="1"/>
  <c r="CM36" i="1"/>
  <c r="CM40" i="1"/>
  <c r="CM48" i="1"/>
  <c r="CM56" i="1"/>
  <c r="CM13" i="1"/>
  <c r="CM21" i="1"/>
  <c r="CM29" i="1"/>
  <c r="CM37" i="1"/>
  <c r="CM41" i="1"/>
  <c r="CM49" i="1"/>
  <c r="CM57" i="1"/>
  <c r="CM14" i="1"/>
  <c r="CM22" i="1"/>
  <c r="CM30" i="1"/>
  <c r="CM38" i="1"/>
  <c r="CM42" i="1"/>
  <c r="CM50" i="1"/>
  <c r="CM58" i="1"/>
  <c r="CM15" i="1"/>
  <c r="CM23" i="1"/>
  <c r="CM43" i="1"/>
  <c r="CM51" i="1"/>
  <c r="CM8" i="1"/>
  <c r="CM16" i="1"/>
  <c r="CM24" i="1"/>
  <c r="CM32" i="1"/>
  <c r="CM44" i="1"/>
  <c r="CM52" i="1"/>
  <c r="CM9" i="1"/>
  <c r="CM17" i="1"/>
  <c r="CM25" i="1"/>
  <c r="CM33" i="1"/>
  <c r="CE18" i="1"/>
  <c r="CE24" i="1"/>
  <c r="CE25" i="1"/>
  <c r="CE36" i="1"/>
  <c r="CE54" i="1"/>
  <c r="CE51" i="1"/>
  <c r="CJ11" i="1"/>
  <c r="CJ28" i="1"/>
  <c r="CJ38" i="1"/>
  <c r="CJ46" i="1"/>
  <c r="CJ44" i="1"/>
  <c r="CI20" i="1"/>
  <c r="CI17" i="1"/>
  <c r="CI34" i="1"/>
  <c r="CI25" i="1"/>
  <c r="CI35" i="1"/>
  <c r="CI53" i="1"/>
  <c r="CI49" i="1"/>
  <c r="CG9" i="1"/>
  <c r="CG22" i="1"/>
  <c r="CG30" i="1"/>
  <c r="CG34" i="1"/>
  <c r="CG50" i="1"/>
  <c r="CG45" i="1"/>
  <c r="CF11" i="1"/>
  <c r="H12" i="2" s="1"/>
  <c r="CF28" i="1"/>
  <c r="H29" i="2" s="1"/>
  <c r="CF33" i="1"/>
  <c r="CF49" i="1"/>
  <c r="CF40" i="1"/>
  <c r="CP42" i="1"/>
  <c r="CP50" i="1"/>
  <c r="CP58" i="1"/>
  <c r="CP15" i="1"/>
  <c r="CP23" i="1"/>
  <c r="CP31" i="1"/>
  <c r="CP43" i="1"/>
  <c r="CP51" i="1"/>
  <c r="CP8" i="1"/>
  <c r="CP16" i="1"/>
  <c r="CP24" i="1"/>
  <c r="CP32" i="1"/>
  <c r="CP44" i="1"/>
  <c r="CP52" i="1"/>
  <c r="CP9" i="1"/>
  <c r="CP17" i="1"/>
  <c r="CP25" i="1"/>
  <c r="CP33" i="1"/>
  <c r="CP45" i="1"/>
  <c r="CP53" i="1"/>
  <c r="CP10" i="1"/>
  <c r="CP18" i="1"/>
  <c r="CP26" i="1"/>
  <c r="CP34" i="1"/>
  <c r="CP46" i="1"/>
  <c r="CP54" i="1"/>
  <c r="CP11" i="1"/>
  <c r="CP19" i="1"/>
  <c r="CP27" i="1"/>
  <c r="CP35" i="1"/>
  <c r="CP39" i="1"/>
  <c r="CP47" i="1"/>
  <c r="CP55" i="1"/>
  <c r="CP12" i="1"/>
  <c r="CP20" i="1"/>
  <c r="CP40" i="1"/>
  <c r="CP48" i="1"/>
  <c r="CP56" i="1"/>
  <c r="CP13" i="1"/>
  <c r="CP21" i="1"/>
  <c r="CP29" i="1"/>
  <c r="CP37" i="1"/>
  <c r="CP28" i="1"/>
  <c r="CP41" i="1"/>
  <c r="CP49" i="1"/>
  <c r="CP57" i="1"/>
  <c r="CP14" i="1"/>
  <c r="CP22" i="1"/>
  <c r="CP30" i="1"/>
  <c r="CP38" i="1"/>
  <c r="CP36" i="1"/>
  <c r="CH10" i="1"/>
  <c r="CH17" i="1"/>
  <c r="CH22" i="1"/>
  <c r="CH31" i="1"/>
  <c r="CH35" i="1"/>
  <c r="CH53" i="1"/>
  <c r="CH49" i="1"/>
  <c r="CE17" i="1"/>
  <c r="CE23" i="1"/>
  <c r="CE34" i="1"/>
  <c r="CE35" i="1"/>
  <c r="CE40" i="1"/>
  <c r="CE48" i="1"/>
  <c r="CN44" i="1"/>
  <c r="CN52" i="1"/>
  <c r="CN9" i="1"/>
  <c r="CN17" i="1"/>
  <c r="CN25" i="1"/>
  <c r="CN33" i="1"/>
  <c r="CN45" i="1"/>
  <c r="CN53" i="1"/>
  <c r="CN10" i="1"/>
  <c r="CN18" i="1"/>
  <c r="CN26" i="1"/>
  <c r="CN34" i="1"/>
  <c r="CN46" i="1"/>
  <c r="CN54" i="1"/>
  <c r="CN11" i="1"/>
  <c r="CN19" i="1"/>
  <c r="CN27" i="1"/>
  <c r="CN35" i="1"/>
  <c r="CN38" i="1"/>
  <c r="CN39" i="1"/>
  <c r="CN47" i="1"/>
  <c r="CN55" i="1"/>
  <c r="CN12" i="1"/>
  <c r="CN20" i="1"/>
  <c r="CN28" i="1"/>
  <c r="CN36" i="1"/>
  <c r="CN30" i="1"/>
  <c r="CN40" i="1"/>
  <c r="CN48" i="1"/>
  <c r="CN56" i="1"/>
  <c r="CN13" i="1"/>
  <c r="CN21" i="1"/>
  <c r="CN29" i="1"/>
  <c r="CN37" i="1"/>
  <c r="CN41" i="1"/>
  <c r="CN49" i="1"/>
  <c r="CN57" i="1"/>
  <c r="CN14" i="1"/>
  <c r="CN22" i="1"/>
  <c r="CN42" i="1"/>
  <c r="CN50" i="1"/>
  <c r="CN58" i="1"/>
  <c r="CN15" i="1"/>
  <c r="CN23" i="1"/>
  <c r="CN31" i="1"/>
  <c r="CN43" i="1"/>
  <c r="CN51" i="1"/>
  <c r="CN8" i="1"/>
  <c r="CN16" i="1"/>
  <c r="CN24" i="1"/>
  <c r="CN32" i="1"/>
  <c r="CJ13" i="1"/>
  <c r="CJ16" i="1"/>
  <c r="CJ30" i="1"/>
  <c r="CJ33" i="1"/>
  <c r="CJ47" i="1"/>
  <c r="CJ54" i="1"/>
  <c r="CI11" i="1"/>
  <c r="CI16" i="1"/>
  <c r="CI23" i="1"/>
  <c r="CI38" i="1"/>
  <c r="CI39" i="1"/>
  <c r="CI54" i="1"/>
  <c r="CI50" i="1"/>
  <c r="CG10" i="1"/>
  <c r="CG19" i="1"/>
  <c r="CG25" i="1"/>
  <c r="CG38" i="1"/>
  <c r="CG43" i="1"/>
  <c r="CG55" i="1"/>
  <c r="CF22" i="1"/>
  <c r="CF31" i="1"/>
  <c r="CF42" i="1"/>
  <c r="CF44" i="1"/>
  <c r="CE38" i="1"/>
  <c r="CE39" i="1"/>
  <c r="CE44" i="1"/>
  <c r="CE49" i="1"/>
  <c r="CJ50" i="1"/>
  <c r="CJ53" i="1"/>
  <c r="CI12" i="1"/>
  <c r="CI27" i="1"/>
  <c r="CI33" i="1"/>
  <c r="CI46" i="1"/>
  <c r="CI43" i="1"/>
  <c r="CI55" i="1"/>
  <c r="CG33" i="1"/>
  <c r="CG49" i="1"/>
  <c r="CG56" i="1"/>
  <c r="CL46" i="1"/>
  <c r="CL54" i="1"/>
  <c r="CL11" i="1"/>
  <c r="CL19" i="1"/>
  <c r="CL27" i="1"/>
  <c r="CL35" i="1"/>
  <c r="CL39" i="1"/>
  <c r="CL47" i="1"/>
  <c r="CL55" i="1"/>
  <c r="CL12" i="1"/>
  <c r="CL20" i="1"/>
  <c r="CL28" i="1"/>
  <c r="CL36" i="1"/>
  <c r="CL32" i="1"/>
  <c r="CL40" i="1"/>
  <c r="CL48" i="1"/>
  <c r="CL56" i="1"/>
  <c r="CL13" i="1"/>
  <c r="CL21" i="1"/>
  <c r="CL29" i="1"/>
  <c r="CL37" i="1"/>
  <c r="CL41" i="1"/>
  <c r="CL49" i="1"/>
  <c r="CL57" i="1"/>
  <c r="CL14" i="1"/>
  <c r="CL22" i="1"/>
  <c r="CL30" i="1"/>
  <c r="CL38" i="1"/>
  <c r="CL42" i="1"/>
  <c r="CL50" i="1"/>
  <c r="CL58" i="1"/>
  <c r="CL15" i="1"/>
  <c r="CL23" i="1"/>
  <c r="CL31" i="1"/>
  <c r="CL43" i="1"/>
  <c r="CL51" i="1"/>
  <c r="CL8" i="1"/>
  <c r="CL16" i="1"/>
  <c r="CL24" i="1"/>
  <c r="CL44" i="1"/>
  <c r="CL52" i="1"/>
  <c r="CL9" i="1"/>
  <c r="CL17" i="1"/>
  <c r="CL25" i="1"/>
  <c r="CL33" i="1"/>
  <c r="CL45" i="1"/>
  <c r="CL53" i="1"/>
  <c r="CL10" i="1"/>
  <c r="CL18" i="1"/>
  <c r="CL26" i="1"/>
  <c r="CL34" i="1"/>
  <c r="CF32" i="1"/>
  <c r="CF46" i="1"/>
  <c r="CF58" i="1"/>
  <c r="CE12" i="1"/>
  <c r="CE28" i="1"/>
  <c r="CE33" i="1"/>
  <c r="CE46" i="1"/>
  <c r="CE43" i="1"/>
  <c r="CE50" i="1"/>
  <c r="CJ41" i="1"/>
  <c r="CJ52" i="1"/>
  <c r="CI13" i="1"/>
  <c r="CI28" i="1"/>
  <c r="CI31" i="1"/>
  <c r="CI47" i="1"/>
  <c r="CI52" i="1"/>
  <c r="CI57" i="1"/>
  <c r="CG31" i="1"/>
  <c r="CG52" i="1"/>
  <c r="CG51" i="1"/>
  <c r="CF37" i="1"/>
  <c r="H38" i="2" s="1"/>
  <c r="CF47" i="1"/>
  <c r="CF57" i="1"/>
  <c r="CH13" i="1"/>
  <c r="CH27" i="1"/>
  <c r="CH33" i="1"/>
  <c r="CH38" i="1"/>
  <c r="CH46" i="1"/>
  <c r="CH58" i="1"/>
  <c r="CE8" i="1"/>
  <c r="CE13" i="1"/>
  <c r="CE22" i="1"/>
  <c r="CE31" i="1"/>
  <c r="CE47" i="1"/>
  <c r="CE58" i="1"/>
  <c r="CE55" i="1"/>
  <c r="CO43" i="1"/>
  <c r="CO51" i="1"/>
  <c r="CO8" i="1"/>
  <c r="CO16" i="1"/>
  <c r="CO24" i="1"/>
  <c r="CO32" i="1"/>
  <c r="CO44" i="1"/>
  <c r="CO52" i="1"/>
  <c r="CO9" i="1"/>
  <c r="CO17" i="1"/>
  <c r="CO25" i="1"/>
  <c r="CO33" i="1"/>
  <c r="CO37" i="1"/>
  <c r="CO45" i="1"/>
  <c r="CO53" i="1"/>
  <c r="CO10" i="1"/>
  <c r="CO18" i="1"/>
  <c r="CO26" i="1"/>
  <c r="CO34" i="1"/>
  <c r="CO46" i="1"/>
  <c r="CO54" i="1"/>
  <c r="CO11" i="1"/>
  <c r="CO19" i="1"/>
  <c r="CO27" i="1"/>
  <c r="CO35" i="1"/>
  <c r="CO39" i="1"/>
  <c r="CO47" i="1"/>
  <c r="CO55" i="1"/>
  <c r="CO12" i="1"/>
  <c r="CO20" i="1"/>
  <c r="CO28" i="1"/>
  <c r="CO36" i="1"/>
  <c r="CO29" i="1"/>
  <c r="CO40" i="1"/>
  <c r="CO48" i="1"/>
  <c r="CO56" i="1"/>
  <c r="CO13" i="1"/>
  <c r="CO21" i="1"/>
  <c r="CO41" i="1"/>
  <c r="CO49" i="1"/>
  <c r="CO57" i="1"/>
  <c r="CO14" i="1"/>
  <c r="CO22" i="1"/>
  <c r="CO30" i="1"/>
  <c r="CO38" i="1"/>
  <c r="CO42" i="1"/>
  <c r="CO50" i="1"/>
  <c r="CO58" i="1"/>
  <c r="CO15" i="1"/>
  <c r="CO23" i="1"/>
  <c r="CO31" i="1"/>
  <c r="CJ9" i="1"/>
  <c r="CJ20" i="1"/>
  <c r="CJ55" i="1"/>
  <c r="CJ29" i="1"/>
  <c r="CJ37" i="1"/>
  <c r="CJ45" i="1"/>
  <c r="CJ56" i="1"/>
  <c r="CI15" i="1"/>
  <c r="CI22" i="1"/>
  <c r="CI32" i="1"/>
  <c r="CI41" i="1"/>
  <c r="CI56" i="1"/>
  <c r="CG15" i="1"/>
  <c r="CG27" i="1"/>
  <c r="CG36" i="1"/>
  <c r="CG32" i="1"/>
  <c r="CG42" i="1"/>
  <c r="CG58" i="1"/>
  <c r="CF35" i="1"/>
  <c r="CF36" i="1"/>
  <c r="H37" i="2" s="1"/>
  <c r="CF41" i="1"/>
  <c r="CF53" i="1"/>
  <c r="CH8" i="1"/>
  <c r="CH15" i="1"/>
  <c r="CH28" i="1"/>
  <c r="CH24" i="1"/>
  <c r="CH45" i="1"/>
  <c r="CH47" i="1"/>
  <c r="CH57" i="1"/>
  <c r="CE9" i="1"/>
  <c r="CE15" i="1"/>
  <c r="CE26" i="1"/>
  <c r="CE32" i="1"/>
  <c r="CE41" i="1"/>
  <c r="CE57" i="1"/>
  <c r="CJ15" i="1"/>
  <c r="CJ19" i="1"/>
  <c r="CJ24" i="1"/>
  <c r="CJ35" i="1"/>
  <c r="CJ36" i="1"/>
  <c r="CJ48" i="1"/>
  <c r="CJ58" i="1"/>
  <c r="CI8" i="1"/>
  <c r="CI14" i="1"/>
  <c r="CI26" i="1"/>
  <c r="CI37" i="1"/>
  <c r="CI45" i="1"/>
  <c r="CI51" i="1"/>
  <c r="CG14" i="1"/>
  <c r="CG28" i="1"/>
  <c r="CG35" i="1"/>
  <c r="CG37" i="1"/>
  <c r="CG46" i="1"/>
  <c r="CG54" i="1"/>
  <c r="CF24" i="1"/>
  <c r="H25" i="2" s="1"/>
  <c r="CF39" i="1"/>
  <c r="CF43" i="1"/>
  <c r="CF45" i="1"/>
  <c r="CF52" i="1"/>
  <c r="CQ41" i="1"/>
  <c r="CQ49" i="1"/>
  <c r="CQ57" i="1"/>
  <c r="CQ14" i="1"/>
  <c r="CQ22" i="1"/>
  <c r="CQ30" i="1"/>
  <c r="CQ38" i="1"/>
  <c r="CQ35" i="1"/>
  <c r="CQ42" i="1"/>
  <c r="CQ50" i="1"/>
  <c r="CQ58" i="1"/>
  <c r="CQ15" i="1"/>
  <c r="CQ23" i="1"/>
  <c r="CQ31" i="1"/>
  <c r="CQ43" i="1"/>
  <c r="CQ51" i="1"/>
  <c r="CQ8" i="1"/>
  <c r="CQ16" i="1"/>
  <c r="CQ24" i="1"/>
  <c r="CQ32" i="1"/>
  <c r="CQ27" i="1"/>
  <c r="CQ44" i="1"/>
  <c r="CQ52" i="1"/>
  <c r="CQ9" i="1"/>
  <c r="CQ17" i="1"/>
  <c r="CQ25" i="1"/>
  <c r="CQ33" i="1"/>
  <c r="CQ45" i="1"/>
  <c r="CQ53" i="1"/>
  <c r="CQ10" i="1"/>
  <c r="CQ18" i="1"/>
  <c r="CQ26" i="1"/>
  <c r="CQ34" i="1"/>
  <c r="CQ46" i="1"/>
  <c r="CQ54" i="1"/>
  <c r="CQ11" i="1"/>
  <c r="CQ19" i="1"/>
  <c r="CQ39" i="1"/>
  <c r="CQ47" i="1"/>
  <c r="CQ55" i="1"/>
  <c r="CQ12" i="1"/>
  <c r="CQ20" i="1"/>
  <c r="CQ28" i="1"/>
  <c r="CQ36" i="1"/>
  <c r="CQ40" i="1"/>
  <c r="CQ48" i="1"/>
  <c r="CQ56" i="1"/>
  <c r="CQ13" i="1"/>
  <c r="CQ21" i="1"/>
  <c r="CQ29" i="1"/>
  <c r="CQ37" i="1"/>
  <c r="CH18" i="1"/>
  <c r="CH14" i="1"/>
  <c r="CH26" i="1"/>
  <c r="CH37" i="1"/>
  <c r="CH40" i="1"/>
  <c r="CH56" i="1"/>
  <c r="CH54" i="1"/>
  <c r="CE20" i="1"/>
  <c r="CE11" i="1"/>
  <c r="CE14" i="1"/>
  <c r="CE29" i="1"/>
  <c r="CE37" i="1"/>
  <c r="CE45" i="1"/>
  <c r="CE52" i="1"/>
  <c r="CR40" i="1"/>
  <c r="CR48" i="1"/>
  <c r="CR56" i="1"/>
  <c r="CR13" i="1"/>
  <c r="CR21" i="1"/>
  <c r="CR29" i="1"/>
  <c r="CR37" i="1"/>
  <c r="CR41" i="1"/>
  <c r="CR49" i="1"/>
  <c r="CR57" i="1"/>
  <c r="CR14" i="1"/>
  <c r="CR22" i="1"/>
  <c r="CR30" i="1"/>
  <c r="CR38" i="1"/>
  <c r="CR42" i="1"/>
  <c r="CR50" i="1"/>
  <c r="CR58" i="1"/>
  <c r="CR15" i="1"/>
  <c r="CR23" i="1"/>
  <c r="CR31" i="1"/>
  <c r="CR43" i="1"/>
  <c r="CR51" i="1"/>
  <c r="CR8" i="1"/>
  <c r="CR16" i="1"/>
  <c r="CR24" i="1"/>
  <c r="CR32" i="1"/>
  <c r="CR44" i="1"/>
  <c r="CR52" i="1"/>
  <c r="CR9" i="1"/>
  <c r="CR17" i="1"/>
  <c r="CR25" i="1"/>
  <c r="CR33" i="1"/>
  <c r="CR45" i="1"/>
  <c r="CR53" i="1"/>
  <c r="CR10" i="1"/>
  <c r="CR18" i="1"/>
  <c r="CR26" i="1"/>
  <c r="CR46" i="1"/>
  <c r="CR54" i="1"/>
  <c r="CR11" i="1"/>
  <c r="CR19" i="1"/>
  <c r="CR27" i="1"/>
  <c r="CR35" i="1"/>
  <c r="CR34" i="1"/>
  <c r="CR39" i="1"/>
  <c r="CR47" i="1"/>
  <c r="CR55" i="1"/>
  <c r="CR12" i="1"/>
  <c r="CR20" i="1"/>
  <c r="CR28" i="1"/>
  <c r="CR36" i="1"/>
  <c r="CJ10" i="1"/>
  <c r="CJ18" i="1"/>
  <c r="CJ23" i="1"/>
  <c r="CJ39" i="1"/>
  <c r="CJ43" i="1"/>
  <c r="CJ49" i="1"/>
  <c r="CJ51" i="1"/>
  <c r="CI9" i="1"/>
  <c r="CI19" i="1"/>
  <c r="CI21" i="1"/>
  <c r="CI29" i="1"/>
  <c r="CI36" i="1"/>
  <c r="CI40" i="1"/>
  <c r="CI58" i="1"/>
  <c r="CG21" i="1"/>
  <c r="CG26" i="1"/>
  <c r="CG39" i="1"/>
  <c r="CG44" i="1"/>
  <c r="CG47" i="1"/>
  <c r="CG57" i="1"/>
  <c r="CF34" i="1"/>
  <c r="H35" i="2" s="1"/>
  <c r="CF48" i="1"/>
  <c r="CF54" i="1"/>
  <c r="CF56" i="1"/>
  <c r="CH29" i="1"/>
  <c r="CH36" i="1"/>
  <c r="CH44" i="1"/>
  <c r="CH51" i="1"/>
  <c r="CK39" i="1"/>
  <c r="CK47" i="1"/>
  <c r="CK55" i="1"/>
  <c r="CK12" i="1"/>
  <c r="CK20" i="1"/>
  <c r="CK28" i="1"/>
  <c r="CK36" i="1"/>
  <c r="CK40" i="1"/>
  <c r="CK48" i="1"/>
  <c r="CK56" i="1"/>
  <c r="CK13" i="1"/>
  <c r="CK21" i="1"/>
  <c r="CK29" i="1"/>
  <c r="CK37" i="1"/>
  <c r="CK41" i="1"/>
  <c r="CK49" i="1"/>
  <c r="CK57" i="1"/>
  <c r="CK14" i="1"/>
  <c r="CK22" i="1"/>
  <c r="CK30" i="1"/>
  <c r="CK38" i="1"/>
  <c r="CK42" i="1"/>
  <c r="CK50" i="1"/>
  <c r="CK58" i="1"/>
  <c r="CK15" i="1"/>
  <c r="CK23" i="1"/>
  <c r="CK31" i="1"/>
  <c r="CK43" i="1"/>
  <c r="CK51" i="1"/>
  <c r="CK8" i="1"/>
  <c r="CK16" i="1"/>
  <c r="CK24" i="1"/>
  <c r="CK32" i="1"/>
  <c r="CK44" i="1"/>
  <c r="CK52" i="1"/>
  <c r="CK9" i="1"/>
  <c r="CK17" i="1"/>
  <c r="CK25" i="1"/>
  <c r="CK45" i="1"/>
  <c r="CK53" i="1"/>
  <c r="CK10" i="1"/>
  <c r="CK18" i="1"/>
  <c r="CK26" i="1"/>
  <c r="CK34" i="1"/>
  <c r="CK46" i="1"/>
  <c r="CK54" i="1"/>
  <c r="CK11" i="1"/>
  <c r="CK19" i="1"/>
  <c r="CK27" i="1"/>
  <c r="CK35" i="1"/>
  <c r="CK33" i="1"/>
  <c r="CE10" i="1"/>
  <c r="CE19" i="1"/>
  <c r="CE21" i="1"/>
  <c r="CE30" i="1"/>
  <c r="CE42" i="1"/>
  <c r="CE53" i="1"/>
  <c r="CE56" i="1"/>
  <c r="CJ27" i="1"/>
  <c r="CJ34" i="1"/>
  <c r="CJ42" i="1"/>
  <c r="CJ40" i="1"/>
  <c r="CJ57" i="1"/>
  <c r="CI10" i="1"/>
  <c r="CI18" i="1"/>
  <c r="CI24" i="1"/>
  <c r="CI30" i="1"/>
  <c r="CI42" i="1"/>
  <c r="CI44" i="1"/>
  <c r="CI48" i="1"/>
  <c r="CG29" i="1"/>
  <c r="CG40" i="1"/>
  <c r="CG48" i="1"/>
  <c r="CG41" i="1"/>
  <c r="CG53" i="1"/>
  <c r="CF38" i="1"/>
  <c r="H39" i="2" s="1"/>
  <c r="CF50" i="1"/>
  <c r="CF55" i="1"/>
  <c r="CF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F7" i="1"/>
  <c r="H8" i="2" s="1"/>
  <c r="CF6" i="1"/>
  <c r="H7" i="2" s="1"/>
  <c r="CF5" i="1"/>
  <c r="H6" i="2" s="1"/>
  <c r="CF2" i="1"/>
  <c r="CF4" i="1"/>
  <c r="H5" i="2" s="1"/>
  <c r="H19" i="2"/>
  <c r="H11" i="2"/>
  <c r="H10" i="2"/>
  <c r="H9" i="2"/>
  <c r="CF3" i="1"/>
  <c r="H4" i="2" s="1"/>
  <c r="CP5" i="1"/>
  <c r="CP2" i="1"/>
  <c r="CP59" i="1" s="1" a="1"/>
  <c r="CP59" i="1" s="1"/>
  <c r="CP4" i="1"/>
  <c r="CP3" i="1"/>
  <c r="CP7" i="1"/>
  <c r="CP6" i="1"/>
  <c r="E9" i="2"/>
  <c r="E5" i="2"/>
  <c r="E3" i="2"/>
  <c r="E8" i="2"/>
  <c r="E6" i="2"/>
  <c r="E7" i="2"/>
  <c r="E4" i="2"/>
  <c r="CN7" i="1"/>
  <c r="CN6" i="1"/>
  <c r="CN5" i="1"/>
  <c r="CN2" i="1"/>
  <c r="CN59" i="1" s="1" a="1"/>
  <c r="CN59" i="1" s="1"/>
  <c r="CN4" i="1"/>
  <c r="CN3" i="1"/>
  <c r="BJ13" i="1"/>
  <c r="BH20" i="1" s="1"/>
  <c r="BH21" i="1" s="1"/>
  <c r="CE7" i="1"/>
  <c r="CE6" i="1"/>
  <c r="CE5" i="1"/>
  <c r="CE3" i="1"/>
  <c r="CE4" i="1"/>
  <c r="CE2" i="1"/>
  <c r="CJ3" i="1"/>
  <c r="CJ7" i="1"/>
  <c r="CJ6" i="1"/>
  <c r="CJ5" i="1"/>
  <c r="CJ4" i="1"/>
  <c r="CJ2" i="1"/>
  <c r="CL7" i="1"/>
  <c r="CL6" i="1"/>
  <c r="CL5" i="1"/>
  <c r="CL4" i="1"/>
  <c r="CL3" i="1"/>
  <c r="CL2" i="1"/>
  <c r="CL59" i="1" s="1" a="1"/>
  <c r="CL59" i="1" s="1"/>
  <c r="CS7" i="1"/>
  <c r="CS6" i="1"/>
  <c r="CS5" i="1"/>
  <c r="CS4" i="1"/>
  <c r="CS3" i="1"/>
  <c r="CS2" i="1"/>
  <c r="CS59" i="1" s="1" a="1"/>
  <c r="CS59" i="1" s="1"/>
  <c r="CM7" i="1"/>
  <c r="CM6" i="1"/>
  <c r="CM5" i="1"/>
  <c r="CM2" i="1"/>
  <c r="CM59" i="1" s="1" a="1"/>
  <c r="CM59" i="1" s="1"/>
  <c r="CM4" i="1"/>
  <c r="CM3" i="1"/>
  <c r="F9" i="2"/>
  <c r="F7" i="2"/>
  <c r="F4" i="2"/>
  <c r="F6" i="2"/>
  <c r="F5" i="2"/>
  <c r="F3" i="2"/>
  <c r="F8" i="2"/>
  <c r="CH5" i="1"/>
  <c r="CH2" i="1"/>
  <c r="CH4" i="1"/>
  <c r="CH3" i="1"/>
  <c r="CH7" i="1"/>
  <c r="CH6" i="1"/>
  <c r="CO6" i="1"/>
  <c r="CO5" i="1"/>
  <c r="CO2" i="1"/>
  <c r="CO59" i="1" s="1" a="1"/>
  <c r="CO59" i="1" s="1"/>
  <c r="CO4" i="1"/>
  <c r="CO7" i="1"/>
  <c r="CO3" i="1"/>
  <c r="CG6" i="1"/>
  <c r="CG5" i="1"/>
  <c r="CG2" i="1"/>
  <c r="CG4" i="1"/>
  <c r="CG7" i="1"/>
  <c r="CG3" i="1"/>
  <c r="CQ4" i="1"/>
  <c r="CQ3" i="1"/>
  <c r="CQ7" i="1"/>
  <c r="CQ6" i="1"/>
  <c r="CQ5" i="1"/>
  <c r="CQ2" i="1"/>
  <c r="CQ59" i="1" s="1" a="1"/>
  <c r="CQ59" i="1" s="1"/>
  <c r="CK7" i="1"/>
  <c r="CK6" i="1"/>
  <c r="CK5" i="1"/>
  <c r="CK4" i="1"/>
  <c r="CK3" i="1"/>
  <c r="CK2" i="1"/>
  <c r="CK59" i="1" s="1" a="1"/>
  <c r="CK59" i="1" s="1"/>
  <c r="CR3" i="1"/>
  <c r="CR7" i="1"/>
  <c r="CR6" i="1"/>
  <c r="CR5" i="1"/>
  <c r="CR4" i="1"/>
  <c r="CR2" i="1"/>
  <c r="CR59" i="1" s="1" a="1"/>
  <c r="CR59" i="1" s="1"/>
  <c r="CI4" i="1"/>
  <c r="CI3" i="1"/>
  <c r="CI7" i="1"/>
  <c r="CI6" i="1"/>
  <c r="CI5" i="1"/>
  <c r="CI2" i="1"/>
  <c r="CG59" i="1" l="1" a="1"/>
  <c r="CG59" i="1" s="1"/>
  <c r="CF59" i="1" a="1"/>
  <c r="CF59" i="1" s="1"/>
  <c r="CI59" i="1" a="1"/>
  <c r="CI59" i="1" s="1"/>
  <c r="CJ59" i="1" a="1"/>
  <c r="CJ59" i="1" s="1"/>
  <c r="CE59" i="1" a="1"/>
  <c r="CE59" i="1" s="1"/>
  <c r="CH59" i="1" a="1"/>
  <c r="CH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I28" i="1"/>
  <c r="I6" i="2"/>
  <c r="J6" i="2"/>
  <c r="BH9" i="1"/>
  <c r="J4" i="2"/>
  <c r="I4" i="2"/>
  <c r="I8" i="2"/>
  <c r="J8" i="2"/>
  <c r="J5" i="2"/>
  <c r="I5" i="2"/>
  <c r="J9" i="2"/>
  <c r="I9" i="2"/>
  <c r="J7" i="2"/>
  <c r="I7" i="2"/>
  <c r="W2" i="1" l="1" a="1"/>
  <c r="I3" i="2"/>
  <c r="I60" i="2" s="1"/>
  <c r="BH28" i="1"/>
  <c r="BJ29" i="1" s="1"/>
  <c r="BH10" i="1"/>
  <c r="BH14" i="1" s="1"/>
  <c r="BH13" i="1"/>
  <c r="W2" i="1" l="1"/>
  <c r="W8" i="1"/>
  <c r="W5" i="1"/>
  <c r="W6" i="1"/>
  <c r="W13" i="1"/>
  <c r="W9" i="1"/>
  <c r="W12" i="1"/>
  <c r="W16" i="1"/>
  <c r="W4" i="1"/>
  <c r="W15" i="1"/>
  <c r="W11" i="1"/>
  <c r="W7" i="1"/>
  <c r="W3" i="1"/>
  <c r="W14" i="1"/>
  <c r="W10" i="1"/>
  <c r="H60" i="2"/>
  <c r="BJ27" i="1"/>
  <c r="BH12" i="1"/>
  <c r="BH47" i="1" l="1"/>
  <c r="BJ26" i="1"/>
  <c r="BH49" i="1" l="1"/>
  <c r="BH48" i="1"/>
  <c r="BI46" i="1" s="1"/>
  <c r="BH50" i="1" l="1"/>
  <c r="BH51" i="1" s="1"/>
  <c r="BI47" i="1"/>
  <c r="BI48" i="1" s="1"/>
  <c r="BI49" i="1" l="1"/>
  <c r="BH46" i="1" s="1"/>
  <c r="BJ32" i="1" s="1"/>
  <c r="AP22" i="1" s="1"/>
</calcChain>
</file>

<file path=xl/sharedStrings.xml><?xml version="1.0" encoding="utf-8"?>
<sst xmlns="http://schemas.openxmlformats.org/spreadsheetml/2006/main" count="1841" uniqueCount="283">
  <si>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</si>
  <si>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</si>
  <si>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</si>
  <si>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</si>
  <si>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</si>
  <si>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</si>
  <si>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</si>
  <si>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</si>
  <si>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</si>
  <si>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</si>
  <si>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</si>
  <si>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</si>
  <si>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</si>
  <si>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</si>
  <si>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</si>
  <si>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</si>
  <si>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</si>
  <si>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</si>
  <si>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</si>
  <si>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</si>
  <si>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</si>
  <si>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</si>
  <si>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</si>
  <si>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</si>
  <si>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</si>
  <si>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</si>
  <si>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</si>
  <si>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</si>
  <si>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</si>
  <si>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</si>
  <si>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</si>
  <si>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</si>
  <si>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</si>
  <si>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</si>
  <si>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</si>
  <si>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</si>
  <si>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</si>
  <si>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</si>
  <si>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</si>
  <si>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</si>
  <si>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</si>
  <si>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</si>
  <si>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</si>
  <si>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</si>
  <si>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</si>
  <si>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</si>
  <si>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</si>
  <si>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</si>
  <si>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</si>
  <si>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</si>
  <si>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</si>
  <si>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</si>
  <si>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</si>
  <si>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</si>
  <si>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</si>
  <si>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</si>
  <si>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</si>
  <si>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</si>
  <si>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</si>
  <si>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</si>
  <si>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</si>
  <si>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</si>
  <si>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</si>
  <si>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</si>
  <si>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</si>
  <si>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</si>
  <si>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</si>
  <si>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</si>
  <si>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</si>
  <si>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</si>
  <si>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</si>
  <si>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</si>
  <si>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</si>
  <si>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</si>
  <si>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</si>
  <si>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</si>
  <si>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</si>
  <si>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</si>
  <si>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</si>
  <si>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</si>
  <si>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</si>
  <si>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</si>
  <si>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</si>
  <si>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</si>
  <si>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</si>
  <si>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</si>
  <si>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</si>
  <si>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</si>
  <si>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</si>
  <si>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</si>
  <si>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</si>
  <si>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</si>
  <si>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</si>
  <si>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</si>
  <si>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</si>
  <si>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</si>
  <si>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</si>
  <si>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</si>
  <si>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</si>
  <si>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</si>
  <si>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</si>
  <si>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</si>
  <si>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</si>
  <si>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</si>
  <si>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</si>
  <si>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</si>
  <si>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</si>
  <si>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</si>
  <si>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</si>
  <si>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</si>
  <si>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</si>
  <si>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</si>
  <si>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</si>
  <si>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</si>
  <si>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</si>
  <si>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</si>
  <si>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</si>
  <si>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</si>
  <si>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</si>
  <si>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</si>
  <si>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</si>
  <si>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</si>
  <si>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</si>
  <si>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</si>
  <si>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</si>
  <si>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</si>
  <si>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</si>
  <si>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</si>
  <si>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</si>
  <si>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</si>
  <si>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</si>
  <si>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</si>
  <si>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</si>
  <si>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</si>
  <si>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</si>
  <si>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</si>
  <si>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</si>
  <si>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</si>
  <si>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</si>
  <si>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</si>
  <si>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</si>
  <si>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</si>
  <si>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</si>
  <si>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</si>
  <si>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</si>
  <si>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</si>
  <si>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</si>
  <si>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</si>
  <si>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</si>
  <si>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</si>
  <si>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</si>
  <si>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</si>
  <si>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</si>
  <si>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</si>
  <si>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</si>
  <si>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</si>
  <si>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</si>
  <si>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</si>
  <si>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</si>
  <si>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</si>
  <si>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</si>
  <si>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</si>
  <si>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</si>
  <si>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</si>
  <si>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</si>
  <si>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</si>
  <si>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</si>
  <si>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</si>
  <si>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</si>
  <si>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</si>
  <si>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</si>
  <si>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</si>
  <si>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</si>
  <si>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</si>
  <si>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</si>
  <si>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</si>
  <si>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</si>
  <si>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</si>
  <si>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</si>
  <si>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</si>
  <si>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</si>
  <si>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</si>
  <si>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</si>
  <si>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</si>
  <si>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</si>
  <si>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</si>
  <si>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</si>
  <si>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</si>
  <si>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</si>
  <si>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</si>
  <si>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</si>
  <si>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</si>
  <si>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</si>
  <si>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</si>
  <si>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</si>
  <si>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</si>
  <si>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</si>
  <si>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</si>
  <si>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</si>
  <si>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</si>
  <si>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</si>
  <si>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r_name:</t>
  </si>
  <si>
    <t>x:</t>
  </si>
  <si>
    <t>33.28,</t>
  </si>
  <si>
    <t>y:</t>
  </si>
  <si>
    <t>85.62,</t>
  </si>
  <si>
    <t>z:</t>
  </si>
  <si>
    <t>eqmt:</t>
  </si>
  <si>
    <t>MAU-R1,</t>
  </si>
  <si>
    <t>rcvr:</t>
  </si>
  <si>
    <t>R1,</t>
  </si>
  <si>
    <t>bar:</t>
  </si>
  <si>
    <t>bar22,</t>
  </si>
  <si>
    <t>barrier</t>
  </si>
  <si>
    <t>IL:</t>
  </si>
  <si>
    <t>ERV-R.1,</t>
  </si>
  <si>
    <t>bar21,</t>
  </si>
  <si>
    <t>GEF-R1-,</t>
  </si>
  <si>
    <t>bar2,</t>
  </si>
  <si>
    <t>DEF-R1,-R2,</t>
  </si>
  <si>
    <t>KEF-R1-,</t>
  </si>
  <si>
    <t>bar20,</t>
  </si>
  <si>
    <t>DWEF-R1,</t>
  </si>
  <si>
    <t>CU-R1,</t>
  </si>
  <si>
    <t>CU-R2,</t>
  </si>
  <si>
    <t>CU-R4,</t>
  </si>
  <si>
    <t>CU-R5,</t>
  </si>
  <si>
    <t>RCU-R(4p)1,</t>
  </si>
  <si>
    <t>RCU-R(4p)2,</t>
  </si>
  <si>
    <t>RCU-R(4p)3,</t>
  </si>
  <si>
    <t>RCU-R(2p),</t>
  </si>
  <si>
    <t>RCU-R(2p)1,</t>
  </si>
  <si>
    <t>RCU-R(4p)4,</t>
  </si>
  <si>
    <t>RCU-R(2p)2,</t>
  </si>
  <si>
    <t>RCU-R(2p)3,</t>
  </si>
  <si>
    <t>RCU-R(2p)4,</t>
  </si>
  <si>
    <t>RCU-R(2p)5,</t>
  </si>
  <si>
    <t>RCU-R(2p)6,</t>
  </si>
  <si>
    <t>BEF-R01-,</t>
  </si>
  <si>
    <t>None,</t>
  </si>
  <si>
    <t>BEF-R02-,</t>
  </si>
  <si>
    <t>BEF-R03-,</t>
  </si>
  <si>
    <t>BEF-R04-,</t>
  </si>
  <si>
    <t>BEF-R05-,</t>
  </si>
  <si>
    <t>BEF-R06-,</t>
  </si>
  <si>
    <t>BEF-R07-,</t>
  </si>
  <si>
    <t>BEF-R08-,</t>
  </si>
  <si>
    <t>BEF-R09-,</t>
  </si>
  <si>
    <t>BEF-R10-,</t>
  </si>
  <si>
    <t>BEF-R11-,</t>
  </si>
  <si>
    <t>BEF-R12-,</t>
  </si>
  <si>
    <t>BEF-R13-,</t>
  </si>
  <si>
    <t>BEF-R14-,</t>
  </si>
  <si>
    <t>bar18,</t>
  </si>
  <si>
    <t>BEF-R15-,</t>
  </si>
  <si>
    <t>BEF-R16-,</t>
  </si>
  <si>
    <t>104.62,</t>
  </si>
  <si>
    <t>52.77,</t>
  </si>
  <si>
    <t>R2,</t>
  </si>
  <si>
    <t>bar1,</t>
  </si>
  <si>
    <t>217.01,</t>
  </si>
  <si>
    <t>22.5,</t>
  </si>
  <si>
    <t>R3,</t>
  </si>
  <si>
    <t>bar3,</t>
  </si>
  <si>
    <t>bar4,</t>
  </si>
  <si>
    <t>bar5,</t>
  </si>
  <si>
    <t>316.86,</t>
  </si>
  <si>
    <t>86.55,</t>
  </si>
  <si>
    <t>R4,</t>
  </si>
  <si>
    <t>bar12,</t>
  </si>
  <si>
    <t>bar6,</t>
  </si>
  <si>
    <t>bar11,</t>
  </si>
  <si>
    <t>bar10,</t>
  </si>
  <si>
    <t>bar8,</t>
  </si>
  <si>
    <t>bar7,</t>
  </si>
  <si>
    <t>14.23,</t>
  </si>
  <si>
    <t>213.83,</t>
  </si>
  <si>
    <t>R5,</t>
  </si>
  <si>
    <t>bar17,</t>
  </si>
  <si>
    <t>eqmt</t>
  </si>
  <si>
    <t>rcvr</t>
  </si>
  <si>
    <t>bar</t>
  </si>
  <si>
    <t>barrier 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</si>
</sst>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64" fontId="17" fillId="6" borderId="18" xfId="1" applyNumberFormat="1" applyFont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3.4465093395748809</c:v>
                </c:pt>
                <c:pt idx="2">
                  <c:v>39.873783367019492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75.5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3.4465093395748809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39.873783367019492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70957</xdr:colOff>
      <xdr:row>51</xdr:row>
      <xdr:rowOff>153069</xdr:rowOff>
    </xdr:from>
    <xdr:to>
      <xdr:col>66</xdr:col>
      <xdr:colOff>108856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155541</xdr:colOff>
      <xdr:row>42</xdr:row>
      <xdr:rowOff>135652</xdr:rowOff>
    </xdr:from>
    <xdr:to>
      <xdr:col>56</xdr:col>
      <xdr:colOff>301286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="70" zoomScaleNormal="70" workbookViewId="0">
      <pane xSplit="2" topLeftCell="C1" activePane="topRight" state="frozen"/>
      <selection pane="topRight" activeCell="O11" sqref="O11"/>
    </sheetView>
  </sheetViews>
  <sheetFormatPr defaultRowHeight="14.4" x14ac:dyDescent="0.3"/>
  <cols>
    <col min="1" max="1" width="8.33203125" bestFit="1" customWidth="1"/>
    <col min="2" max="2" width="11.88671875" bestFit="1" customWidth="1"/>
    <col min="3" max="3" width="9.33203125" bestFit="1" customWidth="1"/>
    <col min="4" max="4" width="8.88671875" bestFit="1" customWidth="1"/>
    <col min="5" max="5" width="10.88671875" customWidth="1"/>
    <col min="6" max="6" width="6.33203125" bestFit="1" customWidth="1"/>
    <col min="7" max="11" width="10" customWidth="1"/>
    <col min="12" max="12" width="8.5546875" style="5" bestFit="1" customWidth="1"/>
    <col min="13" max="13" width="6.5546875" style="5" bestFit="1" customWidth="1"/>
    <col min="14" max="14" width="7" customWidth="1"/>
    <col min="15" max="15" width="8.44140625" customWidth="1"/>
    <col min="16" max="16" width="10.6640625" bestFit="1" customWidth="1"/>
    <col min="18" max="18" width="13.88671875" customWidth="1"/>
    <col min="19" max="21" width="7.109375" customWidth="1"/>
    <col min="22" max="24" width="8.44140625" customWidth="1"/>
    <col min="25" max="25" width="12.6640625" customWidth="1"/>
    <col min="26" max="40" width="5.88671875" customWidth="1"/>
    <col min="41" max="41" width="4.6640625" customWidth="1"/>
    <col min="42" max="42" width="16.44140625" customWidth="1"/>
    <col min="43" max="43" width="6.88671875" customWidth="1"/>
    <col min="44" max="56" width="3.6640625" customWidth="1"/>
    <col min="57" max="57" width="5" customWidth="1"/>
    <col min="58" max="58" width="9.109375" customWidth="1"/>
    <col min="59" max="59" width="31.44140625" customWidth="1"/>
    <col min="60" max="60" width="21.109375" customWidth="1"/>
    <col min="61" max="61" width="9" customWidth="1"/>
    <col min="62" max="62" width="8.88671875" customWidth="1"/>
    <col min="63" max="63" width="6.6640625" customWidth="1"/>
    <col min="66" max="66" width="3.33203125" bestFit="1" customWidth="1"/>
    <col min="67" max="73" width="3.33203125" customWidth="1"/>
    <col min="74" max="79" width="3.33203125" bestFit="1" customWidth="1"/>
    <col min="80" max="80" width="3.33203125" customWidth="1"/>
    <col min="83" max="83" width="6.5546875" bestFit="1" customWidth="1"/>
    <col min="84" max="90" width="4.5546875" customWidth="1"/>
    <col min="91" max="92" width="4.5546875" bestFit="1" customWidth="1"/>
    <col min="93" max="93" width="4.33203125" bestFit="1" customWidth="1"/>
    <col min="94" max="97" width="4.5546875" bestFit="1" customWidth="1"/>
  </cols>
  <sheetData>
    <row r="1" spans="1:113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3" t="s">
        <v>16</v>
      </c>
      <c r="S1" s="84" t="s">
        <v>11</v>
      </c>
      <c r="T1" s="84" t="s">
        <v>12</v>
      </c>
      <c r="U1" s="85" t="s">
        <v>13</v>
      </c>
      <c r="V1" s="1" t="s">
        <v>17</v>
      </c>
      <c r="W1" s="1" t="s">
        <v>18</v>
      </c>
      <c r="Y1" s="61" t="s">
        <v>16</v>
      </c>
      <c r="Z1" s="18" t="str">
        <f t="array" ref="Z1:AN1">TRANSPOSE(R2:R16)</f>
        <v>R1</v>
      </c>
      <c r="AA1" s="62" t="str">
        <v>R2</v>
      </c>
      <c r="AB1" s="62" t="str">
        <v>R3</v>
      </c>
      <c r="AC1" s="62" t="str">
        <v>R4</v>
      </c>
      <c r="AD1" s="62" t="str">
        <v>R5</v>
      </c>
      <c r="AE1" s="62">
        <v>0</v>
      </c>
      <c r="AF1" s="62">
        <v>0</v>
      </c>
      <c r="AG1" s="62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1" t="s">
        <v>16</v>
      </c>
      <c r="AQ1" s="18" t="str">
        <f t="shared" ref="AQ1:BE1" si="0">Z1</f>
        <v>R1</v>
      </c>
      <c r="AR1" s="62" t="str">
        <f t="shared" si="0"/>
        <v>R2</v>
      </c>
      <c r="AS1" s="62" t="str">
        <f t="shared" si="0"/>
        <v>R3</v>
      </c>
      <c r="AT1" s="62" t="str">
        <f t="shared" si="0"/>
        <v>R4</v>
      </c>
      <c r="AU1" s="62" t="str">
        <f t="shared" si="0"/>
        <v>R5</v>
      </c>
      <c r="AV1" s="62">
        <f t="shared" si="0"/>
        <v>0</v>
      </c>
      <c r="AW1" s="62">
        <f t="shared" si="0"/>
        <v>0</v>
      </c>
      <c r="AX1" s="62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</v>
      </c>
      <c r="BO1" s="62" t="str">
        <f t="shared" si="1"/>
        <v>R2</v>
      </c>
      <c r="BP1" s="62" t="str">
        <f t="shared" si="1"/>
        <v>R3</v>
      </c>
      <c r="BQ1" s="62" t="str">
        <f t="shared" si="1"/>
        <v>R4</v>
      </c>
      <c r="BR1" s="62" t="str">
        <f t="shared" si="1"/>
        <v>R5</v>
      </c>
      <c r="BS1" s="62">
        <f t="shared" si="1"/>
        <v>0</v>
      </c>
      <c r="BT1" s="62">
        <f t="shared" si="1"/>
        <v>0</v>
      </c>
      <c r="BU1" s="62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</v>
      </c>
      <c r="CF1" s="62" t="str">
        <f t="shared" si="2"/>
        <v>R2</v>
      </c>
      <c r="CG1" s="62" t="str">
        <f t="shared" si="2"/>
        <v>R3</v>
      </c>
      <c r="CH1" s="62" t="str">
        <f t="shared" si="2"/>
        <v>R4</v>
      </c>
      <c r="CI1" s="62" t="str">
        <f t="shared" si="2"/>
        <v>R5</v>
      </c>
      <c r="CJ1" s="62">
        <f t="shared" si="2"/>
        <v>0</v>
      </c>
      <c r="CK1" s="62">
        <f t="shared" si="2"/>
        <v>0</v>
      </c>
      <c r="CL1" s="62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127" t="s">
        <v>116</v>
      </c>
      <c r="F2" s="81">
        <v>86</v>
      </c>
      <c r="G2" s="81">
        <v>0</v>
      </c>
      <c r="H2" s="82">
        <v>1</v>
      </c>
      <c r="I2" s="128">
        <f>ROUND(IF(AND(A2&gt;0, G2&gt;0), F2+ABS(10*LOG10(H2/(4*PI()*CONVERT(G2,"ft", "m")^2))), F2),0)</f>
        <v>86</v>
      </c>
      <c r="J2" s="82">
        <v>2</v>
      </c>
      <c r="K2" s="82"/>
      <c r="L2" s="81">
        <v>104.01</v>
      </c>
      <c r="M2" s="81">
        <v>99.85</v>
      </c>
      <c r="N2" s="109">
        <f t="shared" ref="N2:N33" si="3">SUM(O2:P2)</f>
        <v>74.25</v>
      </c>
      <c r="O2" s="81">
        <v>70</v>
      </c>
      <c r="P2" s="129">
        <v>4.25</v>
      </c>
      <c r="R2" s="86" t="s">
        <v>171</v>
      </c>
      <c r="S2" s="81">
        <v>33.28</v>
      </c>
      <c r="T2" s="81">
        <v>85.62</v>
      </c>
      <c r="U2" s="87">
        <v>65</v>
      </c>
      <c r="V2" s="8">
        <v>40</v>
      </c>
      <c r="W2" s="2">
        <f t="array" ref="W2:W16">IFERROR(TRANSPOSE(ROUND(CE59:CS59,0)), "")</f>
        <v>57</v>
      </c>
      <c r="Y2" t="s">
        <v>19</v>
      </c>
      <c r="Z2" s="130">
        <f t="array" ref="Z2">IF(Z$1=0,"",SQRT((_xlfn.XLOOKUP(Z$1,$R$2:$R$18,$S$2:$S$18)-$L2)^2+(_xlfn.XLOOKUP(Z$1,$R$2:$R$18,$T$2:$T$18)-$M2)^2+(_xlfn.XLOOKUP(Z$1,$R$2:$R$18,$U$2:$U$18-$N2)^2)))</f>
        <v>72.737805163477404</v>
      </c>
      <c r="AA2" s="131">
        <f t="array" ref="AA2">IF(AA$1=0,"",SQRT((_xlfn.XLOOKUP(AA$1,$R$2:$R$18,$S$2:$S$18)-$L2)^2+(_xlfn.XLOOKUP(AA$1,$R$2:$R$18,$T$2:$T$18)-$M2)^2+(_xlfn.XLOOKUP(AA$1,$R$2:$R$18,$U$2:$U$18-$N2)^2)))</f>
        <v>58.223371595949331</v>
      </c>
      <c r="AB2" s="131">
        <f t="array" ref="AB2">IF(AB$1=0,"",SQRT((_xlfn.XLOOKUP(AB$1,$R$2:$R$18,$S$2:$S$18)-$L2)^2+(_xlfn.XLOOKUP(AB$1,$R$2:$R$18,$T$2:$T$18)-$M2)^2+(_xlfn.XLOOKUP(AB$1,$R$2:$R$18,$U$2:$U$18-$N2)^2)))</f>
        <v>137.67746729221886</v>
      </c>
      <c r="AC2" s="131">
        <f t="array" ref="AC2">IF(AC$1=0,"",SQRT((_xlfn.XLOOKUP(AC$1,$R$2:$R$18,$S$2:$S$18)-$L2)^2+(_xlfn.XLOOKUP(AC$1,$R$2:$R$18,$T$2:$T$18)-$M2)^2+(_xlfn.XLOOKUP(AC$1,$R$2:$R$18,$U$2:$U$18-$N2)^2)))</f>
        <v>215.99785878568338</v>
      </c>
      <c r="AD2" s="131">
        <f t="array" ref="AD2">IF(AD$1=0,"",SQRT((_xlfn.XLOOKUP(AD$1,$R$2:$R$18,$S$2:$S$18)-$L2)^2+(_xlfn.XLOOKUP(AD$1,$R$2:$R$18,$T$2:$T$18)-$M2)^2+(_xlfn.XLOOKUP(AD$1,$R$2:$R$18,$U$2:$U$18-$N2)^2)))</f>
        <v>148.01165933804</v>
      </c>
      <c r="AE2" s="131" t="str">
        <f t="array" ref="AE2">IF(AE$1=0,"",SQRT((_xlfn.XLOOKUP(AE$1,$R$2:$R$18,$S$2:$S$18)-$L2)^2+(_xlfn.XLOOKUP(AE$1,$R$2:$R$18,$T$2:$T$18)-$M2)^2+(_xlfn.XLOOKUP(AE$1,$R$2:$R$18,$U$2:$U$18-$N2)^2)))</f>
        <v/>
      </c>
      <c r="AF2" s="131" t="str">
        <f t="array" ref="AF2">IF(AF$1=0,"",SQRT((_xlfn.XLOOKUP(AF$1,$R$2:$R$18,$S$2:$S$18)-$L2)^2+(_xlfn.XLOOKUP(AF$1,$R$2:$R$18,$T$2:$T$18)-$M2)^2+(_xlfn.XLOOKUP(AF$1,$R$2:$R$18,$U$2:$U$18-$N2)^2)))</f>
        <v/>
      </c>
      <c r="AG2" s="131" t="str">
        <f t="array" ref="AG2">IF(AG$1=0,"",SQRT((_xlfn.XLOOKUP(AG$1,$R$2:$R$18,$S$2:$S$18)-$L2)^2+(_xlfn.XLOOKUP(AG$1,$R$2:$R$18,$T$2:$T$18)-$M2)^2+(_xlfn.XLOOKUP(AG$1,$R$2:$R$18,$U$2:$U$18-$N2)^2)))</f>
        <v/>
      </c>
      <c r="AH2" s="132" t="str">
        <f t="array" ref="AH2">IF(AH$1=0,"",SQRT((_xlfn.XLOOKUP(AH$1,$R$2:$R$18,$S$2:$S$18)-$L2)^2+(_xlfn.XLOOKUP(AH$1,$R$2:$R$18,$T$2:$T$18)-$M2)^2+(_xlfn.XLOOKUP(AH$1,$R$2:$R$18,$U$2:$U$18-$N2)^2)))</f>
        <v/>
      </c>
      <c r="AI2" s="132" t="str">
        <f t="array" ref="AI2">IF(AI$1=0,"",SQRT((_xlfn.XLOOKUP(AI$1,$R$2:$R$18,$S$2:$S$18)-$L2)^2+(_xlfn.XLOOKUP(AI$1,$R$2:$R$18,$T$2:$T$18)-$M2)^2+(_xlfn.XLOOKUP(AI$1,$R$2:$R$18,$U$2:$U$18-$N2)^2)))</f>
        <v/>
      </c>
      <c r="AJ2" s="132" t="str">
        <f t="array" ref="AJ2">IF(AJ$1=0,"",SQRT((_xlfn.XLOOKUP(AJ$1,$R$2:$R$18,$S$2:$S$18)-$L2)^2+(_xlfn.XLOOKUP(AJ$1,$R$2:$R$18,$T$2:$T$18)-$M2)^2+(_xlfn.XLOOKUP(AJ$1,$R$2:$R$18,$U$2:$U$18-$N2)^2)))</f>
        <v/>
      </c>
      <c r="AK2" s="132" t="str">
        <f t="array" ref="AK2">IF(AK$1=0,"",SQRT((_xlfn.XLOOKUP(AK$1,$R$2:$R$18,$S$2:$S$18)-$L2)^2+(_xlfn.XLOOKUP(AK$1,$R$2:$R$18,$T$2:$T$18)-$M2)^2+(_xlfn.XLOOKUP(AK$1,$R$2:$R$18,$U$2:$U$18-$N2)^2)))</f>
        <v/>
      </c>
      <c r="AL2" s="132" t="str">
        <f t="array" ref="AL2">IF(AL$1=0,"",SQRT((_xlfn.XLOOKUP(AL$1,$R$2:$R$18,$S$2:$S$18)-$L2)^2+(_xlfn.XLOOKUP(AL$1,$R$2:$R$18,$T$2:$T$18)-$M2)^2+(_xlfn.XLOOKUP(AL$1,$R$2:$R$18,$U$2:$U$18-$N2)^2)))</f>
        <v/>
      </c>
      <c r="AM2" s="132" t="str">
        <f t="array" ref="AM2">IF(AM$1=0,"",SQRT((_xlfn.XLOOKUP(AM$1,$R$2:$R$18,$S$2:$S$18)-$L2)^2+(_xlfn.XLOOKUP(AM$1,$R$2:$R$18,$T$2:$T$18)-$M2)^2+(_xlfn.XLOOKUP(AM$1,$R$2:$R$18,$U$2:$U$18-$N2)^2)))</f>
        <v/>
      </c>
      <c r="AN2" s="133" t="str">
        <f t="array" ref="AN2">IF(AN$1=0,"",SQRT((_xlfn.XLOOKUP(AN$1,$R$2:$R$18,$S$2:$S$18)-$L2)^2+(_xlfn.XLOOKUP(AN$1,$R$2:$R$18,$T$2:$T$18)-$M2)^2+(_xlfn.XLOOKUP(AN$1,$R$2:$R$18,$U$2:$U$18-$N2)^2)))</f>
        <v/>
      </c>
      <c r="AO2" s="134"/>
      <c r="AP2" s="134" t="s">
        <v>20</v>
      </c>
      <c r="AQ2" s="135">
        <f t="shared" ref="AQ2:AQ33" si="4">IFERROR(-ABS(10*LOG10(($J2/(4*PI()*CONVERT(Z2,"ft","m")^2)))),0)</f>
        <v>-34.897301781734754</v>
      </c>
      <c r="AR2" s="136">
        <f t="shared" ref="AR2:AR33" si="5">IFERROR(-ABS(10*LOG10(($J2/(4*PI()*CONVERT(AA2,"ft","m")^2)))),0)</f>
        <v>-32.964044955593842</v>
      </c>
      <c r="AS2" s="136">
        <f t="shared" ref="AS2:AS33" si="6">IFERROR(-ABS(10*LOG10(($J2/(4*PI()*CONVERT(AB2,"ft","m")^2)))),0)</f>
        <v>-40.439355299602148</v>
      </c>
      <c r="AT2" s="136">
        <f t="shared" ref="AT2:AT33" si="7">IFERROR(-ABS(10*LOG10(($J2/(4*PI()*CONVERT(AC2,"ft","m")^2)))),0)</f>
        <v>-44.351086856046258</v>
      </c>
      <c r="AU2" s="136">
        <f t="shared" ref="AU2:AU33" si="8">IFERROR(-ABS(10*LOG10(($J2/(4*PI()*CONVERT(AD2,"ft","m")^2)))),0)</f>
        <v>-41.068016486281692</v>
      </c>
      <c r="AV2" s="136">
        <f t="shared" ref="AV2:AV33" si="9">IFERROR(-ABS(10*LOG10(($J2/(4*PI()*CONVERT(AE2,"ft","m")^2)))),0)</f>
        <v>0</v>
      </c>
      <c r="AW2" s="136">
        <f t="shared" ref="AW2:AW33" si="10">IFERROR(-ABS(10*LOG10(($J2/(4*PI()*CONVERT(AF2,"ft","m")^2)))),0)</f>
        <v>0</v>
      </c>
      <c r="AX2" s="136">
        <f t="shared" ref="AX2:AX33" si="11">IFERROR(-ABS(10*LOG10(($J2/(4*PI()*CONVERT(AG2,"ft","m")^2)))),0)</f>
        <v>0</v>
      </c>
      <c r="AY2" s="137">
        <f t="shared" ref="AY2:AY33" si="12">IFERROR(-ABS(10*LOG10(($J2/(4*PI()*CONVERT(AH2,"ft","m")^2)))),0)</f>
        <v>0</v>
      </c>
      <c r="AZ2" s="137">
        <f t="shared" ref="AZ2:AZ33" si="13">IFERROR(-ABS(10*LOG10(($J2/(4*PI()*CONVERT(AI2,"ft","m")^2)))),0)</f>
        <v>0</v>
      </c>
      <c r="BA2" s="137">
        <f t="shared" ref="BA2:BA33" si="14">IFERROR(-ABS(10*LOG10(($J2/(4*PI()*CONVERT(AJ2,"ft","m")^2)))),0)</f>
        <v>0</v>
      </c>
      <c r="BB2" s="137">
        <f t="shared" ref="BB2:BB33" si="15">IFERROR(-ABS(10*LOG10(($J2/(4*PI()*CONVERT(AK2,"ft","m")^2)))),0)</f>
        <v>0</v>
      </c>
      <c r="BC2" s="137">
        <f t="shared" ref="BC2:BC33" si="16">IFERROR(-ABS(10*LOG10(($J2/(4*PI()*CONVERT(AL2,"ft","m")^2)))),0)</f>
        <v>0</v>
      </c>
      <c r="BD2" s="137">
        <f t="shared" ref="BD2:BD33" si="17">IFERROR(-ABS(10*LOG10(($J2/(4*PI()*CONVERT(AM2,"ft","m")^2)))),0)</f>
        <v>0</v>
      </c>
      <c r="BE2" s="138">
        <f t="shared" ref="BE2:BE33" si="18">IFERROR(-ABS(10*LOG10(($J2/(4*PI()*CONVERT(AN2,"ft","m")^2)))),0)</f>
        <v>0</v>
      </c>
      <c r="BF2" s="134"/>
      <c r="BG2" s="21"/>
      <c r="BH2" s="22" t="s">
        <v>21</v>
      </c>
      <c r="BI2" s="22" t="s">
        <v>22</v>
      </c>
      <c r="BJ2" s="22" t="s">
        <v>23</v>
      </c>
      <c r="BK2" s="22" t="s">
        <v>24</v>
      </c>
      <c r="BL2" s="134"/>
      <c r="BM2" s="139" t="s">
        <v>25</v>
      </c>
      <c r="BN2" s="203"/>
      <c r="BO2" s="203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34"/>
      <c r="CD2" s="134" t="s">
        <v>26</v>
      </c>
      <c r="CE2" s="141">
        <f t="shared" ref="CE2:CE7" si="19">IF( CE$1= 0,"",$I2-$K2+AQ2-BN2)</f>
        <v>51.102698218265246</v>
      </c>
      <c r="CF2" s="142">
        <f t="shared" ref="CF2:CF7" si="20">IF( CF$1= 0,"",$I2-$K2+AR2-BO2)</f>
        <v>53.035955044406158</v>
      </c>
      <c r="CG2" s="142">
        <f t="shared" ref="CG2:CG7" si="21">IF( CG$1= 0,"",$I2-$K2+AS2-BP2)</f>
        <v>45.560644700397852</v>
      </c>
      <c r="CH2" s="142">
        <f t="shared" ref="CH2:CH7" si="22">IF( CH$1= 0,"",$I2-$K2+AT2-BQ2)</f>
        <v>41.648913143953742</v>
      </c>
      <c r="CI2" s="142">
        <f t="shared" ref="CI2:CI7" si="23">IF( CI$1= 0,"",$I2-$K2+AU2-BR2)</f>
        <v>44.931983513718308</v>
      </c>
      <c r="CJ2" s="142" t="str">
        <f t="shared" ref="CJ2:CJ7" si="24">IF( CJ$1= 0,"",$I2-$K2+AV2-BS2)</f>
        <v/>
      </c>
      <c r="CK2" s="142" t="str">
        <f t="shared" ref="CK2:CK7" si="25">IF( CK$1= 0,"",$I2-$K2+AW2-BT2)</f>
        <v/>
      </c>
      <c r="CL2" s="142" t="str">
        <f t="shared" ref="CL2:CL7" si="26">IF( CL$1= 0,"",$I2-$K2+AX2-BU2)</f>
        <v/>
      </c>
      <c r="CM2" s="143" t="str">
        <f t="shared" ref="CM2:CM7" si="27">IF( CM$1= 0,"",$I2-$K2+AY2-BV2)</f>
        <v/>
      </c>
      <c r="CN2" s="143" t="str">
        <f t="shared" ref="CN2:CN7" si="28">IF( CN$1= 0,"",$I2-$K2+AZ2-BW2)</f>
        <v/>
      </c>
      <c r="CO2" s="143" t="str">
        <f t="shared" ref="CO2:CO7" si="29">IF( CO$1= 0,"",$I2-$K2+BA2-BX2)</f>
        <v/>
      </c>
      <c r="CP2" s="143" t="str">
        <f t="shared" ref="CP2:CP7" si="30">IF( CP$1= 0,"",$I2-$K2+BB2-BY2)</f>
        <v/>
      </c>
      <c r="CQ2" s="143" t="str">
        <f t="shared" ref="CQ2:CQ7" si="31">IF( CQ$1= 0,"",$I2-$K2+BC2-BZ2)</f>
        <v/>
      </c>
      <c r="CR2" s="143" t="str">
        <f t="shared" ref="CR2:CR7" si="32">IF( CR$1= 0,"",$I2-$K2+BD2-CA2)</f>
        <v/>
      </c>
      <c r="CS2" s="144" t="str">
        <f t="shared" ref="CS2:CS7" si="33">IF( CS$1= 0,"",$I2-$K2+BE2-CB2)</f>
        <v/>
      </c>
      <c r="DF2" t="s">
        <v>27</v>
      </c>
      <c r="DG2" t="s">
        <v>27</v>
      </c>
      <c r="DH2" t="s">
        <v>27</v>
      </c>
      <c r="DI2" t="s">
        <v>27</v>
      </c>
    </row>
    <row r="3" spans="1:113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147" t="s">
        <v>119</v>
      </c>
      <c r="F3" s="4">
        <v>91</v>
      </c>
      <c r="G3" s="4">
        <v>0</v>
      </c>
      <c r="H3" s="3">
        <v>1</v>
      </c>
      <c r="I3" s="128">
        <f t="shared" ref="I3:I58" si="34">ROUND(IF(AND(A3&gt;0, G3&gt;0), F3+ABS(10*LOG10(H3/(4*PI()*CONVERT(G3,"ft", "m")^2))), F3),0)</f>
        <v>91</v>
      </c>
      <c r="J3" s="3">
        <v>2</v>
      </c>
      <c r="K3" s="3"/>
      <c r="L3" s="4">
        <v>154.11000000000001</v>
      </c>
      <c r="M3" s="4">
        <v>121.92</v>
      </c>
      <c r="N3" s="109">
        <f t="shared" si="3"/>
        <v>72.5</v>
      </c>
      <c r="O3" s="81">
        <v>70</v>
      </c>
      <c r="P3" s="148">
        <v>2.5</v>
      </c>
      <c r="R3" s="9" t="s">
        <v>28</v>
      </c>
      <c r="S3" s="4">
        <v>104.62</v>
      </c>
      <c r="T3" s="4">
        <v>52.77</v>
      </c>
      <c r="U3" s="87">
        <v>40</v>
      </c>
      <c r="V3" s="8">
        <v>40</v>
      </c>
      <c r="W3" s="2">
        <v>59</v>
      </c>
      <c r="Y3" s="61"/>
      <c r="Z3" s="149">
        <f t="array" ref="Z3">IF(Z$1=0,"",SQRT((_xlfn.XLOOKUP(Z$1,$R$2:$R$18,$S$2:$S$18)-$L3)^2+(_xlfn.XLOOKUP(Z$1,$R$2:$R$18,$T$2:$T$18)-$M3)^2+(_xlfn.XLOOKUP(Z$1,$R$2:$R$18,$U$2:$U$18-$N3)^2)))</f>
        <v>126.38761371273691</v>
      </c>
      <c r="AA3" s="150">
        <f t="array" ref="AA3">IF(AA$1=0,"",SQRT((_xlfn.XLOOKUP(AA$1,$R$2:$R$18,$S$2:$S$18)-$L3)^2+(_xlfn.XLOOKUP(AA$1,$R$2:$R$18,$T$2:$T$18)-$M3)^2+(_xlfn.XLOOKUP(AA$1,$R$2:$R$18,$U$2:$U$18-$N3)^2)))</f>
        <v>91.034238613831448</v>
      </c>
      <c r="AB3" s="150">
        <f t="array" ref="AB3">IF(AB$1=0,"",SQRT((_xlfn.XLOOKUP(AB$1,$R$2:$R$18,$S$2:$S$18)-$L3)^2+(_xlfn.XLOOKUP(AB$1,$R$2:$R$18,$T$2:$T$18)-$M3)^2+(_xlfn.XLOOKUP(AB$1,$R$2:$R$18,$U$2:$U$18-$N3)^2)))</f>
        <v>118.30890245454903</v>
      </c>
      <c r="AC3" s="150">
        <f t="array" ref="AC3">IF(AC$1=0,"",SQRT((_xlfn.XLOOKUP(AC$1,$R$2:$R$18,$S$2:$S$18)-$L3)^2+(_xlfn.XLOOKUP(AC$1,$R$2:$R$18,$T$2:$T$18)-$M3)^2+(_xlfn.XLOOKUP(AC$1,$R$2:$R$18,$U$2:$U$18-$N3)^2)))</f>
        <v>169.69045170545101</v>
      </c>
      <c r="AD3" s="150">
        <f t="array" ref="AD3">IF(AD$1=0,"",SQRT((_xlfn.XLOOKUP(AD$1,$R$2:$R$18,$S$2:$S$18)-$L3)^2+(_xlfn.XLOOKUP(AD$1,$R$2:$R$18,$T$2:$T$18)-$M3)^2+(_xlfn.XLOOKUP(AD$1,$R$2:$R$18,$U$2:$U$18-$N3)^2)))</f>
        <v>169.61754773607595</v>
      </c>
      <c r="AE3" s="150" t="str">
        <f t="array" ref="AE3">IF(AE$1=0,"",SQRT((_xlfn.XLOOKUP(AE$1,$R$2:$R$18,$S$2:$S$18)-$L3)^2+(_xlfn.XLOOKUP(AE$1,$R$2:$R$18,$T$2:$T$18)-$M3)^2+(_xlfn.XLOOKUP(AE$1,$R$2:$R$18,$U$2:$U$18-$N3)^2)))</f>
        <v/>
      </c>
      <c r="AF3" s="150" t="str">
        <f t="array" ref="AF3">IF(AF$1=0,"",SQRT((_xlfn.XLOOKUP(AF$1,$R$2:$R$18,$S$2:$S$18)-$L3)^2+(_xlfn.XLOOKUP(AF$1,$R$2:$R$18,$T$2:$T$18)-$M3)^2+(_xlfn.XLOOKUP(AF$1,$R$2:$R$18,$U$2:$U$18-$N3)^2)))</f>
        <v/>
      </c>
      <c r="AG3" s="150" t="str">
        <f t="array" ref="AG3">IF(AG$1=0,"",SQRT((_xlfn.XLOOKUP(AG$1,$R$2:$R$18,$S$2:$S$18)-$L3)^2+(_xlfn.XLOOKUP(AG$1,$R$2:$R$18,$T$2:$T$18)-$M3)^2+(_xlfn.XLOOKUP(AG$1,$R$2:$R$18,$U$2:$U$18-$N3)^2)))</f>
        <v/>
      </c>
      <c r="AH3" s="151" t="str">
        <f t="array" ref="AH3">IF(AH$1=0,"",SQRT((_xlfn.XLOOKUP(AH$1,$R$2:$R$18,$S$2:$S$18)-$L3)^2+(_xlfn.XLOOKUP(AH$1,$R$2:$R$18,$T$2:$T$18)-$M3)^2+(_xlfn.XLOOKUP(AH$1,$R$2:$R$18,$U$2:$U$18-$N3)^2)))</f>
        <v/>
      </c>
      <c r="AI3" s="151" t="str">
        <f t="array" ref="AI3">IF(AI$1=0,"",SQRT((_xlfn.XLOOKUP(AI$1,$R$2:$R$18,$S$2:$S$18)-$L3)^2+(_xlfn.XLOOKUP(AI$1,$R$2:$R$18,$T$2:$T$18)-$M3)^2+(_xlfn.XLOOKUP(AI$1,$R$2:$R$18,$U$2:$U$18-$N3)^2)))</f>
        <v/>
      </c>
      <c r="AJ3" s="151" t="str">
        <f t="array" ref="AJ3">IF(AJ$1=0,"",SQRT((_xlfn.XLOOKUP(AJ$1,$R$2:$R$18,$S$2:$S$18)-$L3)^2+(_xlfn.XLOOKUP(AJ$1,$R$2:$R$18,$T$2:$T$18)-$M3)^2+(_xlfn.XLOOKUP(AJ$1,$R$2:$R$18,$U$2:$U$18-$N3)^2)))</f>
        <v/>
      </c>
      <c r="AK3" s="151" t="str">
        <f t="array" ref="AK3">IF(AK$1=0,"",SQRT((_xlfn.XLOOKUP(AK$1,$R$2:$R$18,$S$2:$S$18)-$L3)^2+(_xlfn.XLOOKUP(AK$1,$R$2:$R$18,$T$2:$T$18)-$M3)^2+(_xlfn.XLOOKUP(AK$1,$R$2:$R$18,$U$2:$U$18-$N3)^2)))</f>
        <v/>
      </c>
      <c r="AL3" s="151" t="str">
        <f t="array" ref="AL3">IF(AL$1=0,"",SQRT((_xlfn.XLOOKUP(AL$1,$R$2:$R$18,$S$2:$S$18)-$L3)^2+(_xlfn.XLOOKUP(AL$1,$R$2:$R$18,$T$2:$T$18)-$M3)^2+(_xlfn.XLOOKUP(AL$1,$R$2:$R$18,$U$2:$U$18-$N3)^2)))</f>
        <v/>
      </c>
      <c r="AM3" s="151" t="str">
        <f t="array" ref="AM3">IF(AM$1=0,"",SQRT((_xlfn.XLOOKUP(AM$1,$R$2:$R$18,$S$2:$S$18)-$L3)^2+(_xlfn.XLOOKUP(AM$1,$R$2:$R$18,$T$2:$T$18)-$M3)^2+(_xlfn.XLOOKUP(AM$1,$R$2:$R$18,$U$2:$U$18-$N3)^2)))</f>
        <v/>
      </c>
      <c r="AN3" s="152" t="str">
        <f t="array" ref="AN3">IF(AN$1=0,"",SQRT((_xlfn.XLOOKUP(AN$1,$R$2:$R$18,$S$2:$S$18)-$L3)^2+(_xlfn.XLOOKUP(AN$1,$R$2:$R$18,$T$2:$T$18)-$M3)^2+(_xlfn.XLOOKUP(AN$1,$R$2:$R$18,$U$2:$U$18-$N3)^2)))</f>
        <v/>
      </c>
      <c r="AO3" s="134"/>
      <c r="AP3" s="61"/>
      <c r="AQ3" s="135">
        <f t="shared" si="4"/>
        <v>-39.696188219689965</v>
      </c>
      <c r="AR3" s="153">
        <f t="shared" si="5"/>
        <v>-36.846193221687557</v>
      </c>
      <c r="AS3" s="153">
        <f t="shared" si="6"/>
        <v>-39.122446445960684</v>
      </c>
      <c r="AT3" s="153">
        <f t="shared" si="7"/>
        <v>-42.255246051606584</v>
      </c>
      <c r="AU3" s="153">
        <f t="shared" si="8"/>
        <v>-42.251513538120584</v>
      </c>
      <c r="AV3" s="153">
        <f t="shared" si="9"/>
        <v>0</v>
      </c>
      <c r="AW3" s="153">
        <f t="shared" si="10"/>
        <v>0</v>
      </c>
      <c r="AX3" s="153">
        <f t="shared" si="11"/>
        <v>0</v>
      </c>
      <c r="AY3" s="154">
        <f t="shared" si="12"/>
        <v>0</v>
      </c>
      <c r="AZ3" s="154">
        <f t="shared" si="13"/>
        <v>0</v>
      </c>
      <c r="BA3" s="154">
        <f t="shared" si="14"/>
        <v>0</v>
      </c>
      <c r="BB3" s="154">
        <f t="shared" si="15"/>
        <v>0</v>
      </c>
      <c r="BC3" s="154">
        <f t="shared" si="16"/>
        <v>0</v>
      </c>
      <c r="BD3" s="154">
        <f t="shared" si="17"/>
        <v>0</v>
      </c>
      <c r="BE3" s="155">
        <f t="shared" si="18"/>
        <v>0</v>
      </c>
      <c r="BF3" s="134"/>
      <c r="BG3" s="23"/>
      <c r="BH3" s="24" t="s">
        <v>29</v>
      </c>
      <c r="BI3" s="25" t="s">
        <v>11</v>
      </c>
      <c r="BJ3" s="26" t="s">
        <v>12</v>
      </c>
      <c r="BK3" s="27" t="s">
        <v>13</v>
      </c>
      <c r="BL3" s="134"/>
      <c r="BM3" s="134"/>
      <c r="BN3" s="203"/>
      <c r="BO3" s="203"/>
      <c r="BP3" s="140"/>
      <c r="BQ3" s="140"/>
      <c r="BR3" s="203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34"/>
      <c r="CD3" s="134"/>
      <c r="CE3" s="156">
        <f t="shared" si="19"/>
        <v>51.303811780310035</v>
      </c>
      <c r="CF3" s="157">
        <f t="shared" si="20"/>
        <v>54.153806778312443</v>
      </c>
      <c r="CG3" s="157">
        <f t="shared" si="21"/>
        <v>51.877553554039316</v>
      </c>
      <c r="CH3" s="157">
        <f t="shared" si="22"/>
        <v>48.744753948393416</v>
      </c>
      <c r="CI3" s="157">
        <f t="shared" si="23"/>
        <v>48.748486461879416</v>
      </c>
      <c r="CJ3" s="157" t="str">
        <f t="shared" si="24"/>
        <v/>
      </c>
      <c r="CK3" s="157" t="str">
        <f t="shared" si="25"/>
        <v/>
      </c>
      <c r="CL3" s="157" t="str">
        <f t="shared" si="26"/>
        <v/>
      </c>
      <c r="CM3" s="158" t="str">
        <f t="shared" si="27"/>
        <v/>
      </c>
      <c r="CN3" s="158" t="str">
        <f t="shared" si="28"/>
        <v/>
      </c>
      <c r="CO3" s="158" t="str">
        <f t="shared" si="29"/>
        <v/>
      </c>
      <c r="CP3" s="158" t="str">
        <f t="shared" si="30"/>
        <v/>
      </c>
      <c r="CQ3" s="143" t="str">
        <f t="shared" si="31"/>
        <v/>
      </c>
      <c r="CR3" s="143" t="str">
        <f t="shared" si="32"/>
        <v/>
      </c>
      <c r="CS3" s="144" t="str">
        <f t="shared" si="33"/>
        <v/>
      </c>
    </row>
    <row r="4" spans="1:113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147" t="s">
        <v>123</v>
      </c>
      <c r="F4" s="4">
        <v>82</v>
      </c>
      <c r="G4" s="4">
        <v>0</v>
      </c>
      <c r="H4" s="3">
        <v>1</v>
      </c>
      <c r="I4" s="128">
        <f t="shared" si="34"/>
        <v>82</v>
      </c>
      <c r="J4" s="3">
        <v>2</v>
      </c>
      <c r="K4" s="3">
        <v>13</v>
      </c>
      <c r="L4" s="4">
        <v>211.2</v>
      </c>
      <c r="M4" s="4">
        <v>37.28</v>
      </c>
      <c r="N4" s="109">
        <f t="shared" si="3"/>
        <v>75</v>
      </c>
      <c r="O4" s="81">
        <v>70</v>
      </c>
      <c r="P4" s="148">
        <v>5</v>
      </c>
      <c r="R4" s="9" t="s">
        <v>172</v>
      </c>
      <c r="S4" s="4">
        <v>217.01</v>
      </c>
      <c r="T4" s="4">
        <v>22.5</v>
      </c>
      <c r="U4" s="87">
        <v>60</v>
      </c>
      <c r="V4" s="8">
        <v>40</v>
      </c>
      <c r="W4" s="2">
        <v>55</v>
      </c>
      <c r="Y4" s="61"/>
      <c r="Z4" s="149">
        <f t="array" ref="Z4">IF(Z$1=0,"",SQRT((_xlfn.XLOOKUP(Z$1,$R$2:$R$18,$S$2:$S$18)-$L4)^2+(_xlfn.XLOOKUP(Z$1,$R$2:$R$18,$T$2:$T$18)-$M4)^2+(_xlfn.XLOOKUP(Z$1,$R$2:$R$18,$U$2:$U$18-$N4)^2)))</f>
        <v>184.640954286962</v>
      </c>
      <c r="AA4" s="150">
        <f t="array" ref="AA4">IF(AA$1=0,"",SQRT((_xlfn.XLOOKUP(AA$1,$R$2:$R$18,$S$2:$S$18)-$L4)^2+(_xlfn.XLOOKUP(AA$1,$R$2:$R$18,$T$2:$T$18)-$M4)^2+(_xlfn.XLOOKUP(AA$1,$R$2:$R$18,$U$2:$U$18-$N4)^2)))</f>
        <v>113.24414554404125</v>
      </c>
      <c r="AB4" s="150">
        <f t="array" ref="AB4">IF(AB$1=0,"",SQRT((_xlfn.XLOOKUP(AB$1,$R$2:$R$18,$S$2:$S$18)-$L4)^2+(_xlfn.XLOOKUP(AB$1,$R$2:$R$18,$T$2:$T$18)-$M4)^2+(_xlfn.XLOOKUP(AB$1,$R$2:$R$18,$U$2:$U$18-$N4)^2)))</f>
        <v>21.845010872050398</v>
      </c>
      <c r="AC4" s="150">
        <f t="array" ref="AC4">IF(AC$1=0,"",SQRT((_xlfn.XLOOKUP(AC$1,$R$2:$R$18,$S$2:$S$18)-$L4)^2+(_xlfn.XLOOKUP(AC$1,$R$2:$R$18,$T$2:$T$18)-$M4)^2+(_xlfn.XLOOKUP(AC$1,$R$2:$R$18,$U$2:$U$18-$N4)^2)))</f>
        <v>121.72332767386868</v>
      </c>
      <c r="AD4" s="150">
        <f t="array" ref="AD4">IF(AD$1=0,"",SQRT((_xlfn.XLOOKUP(AD$1,$R$2:$R$18,$S$2:$S$18)-$L4)^2+(_xlfn.XLOOKUP(AD$1,$R$2:$R$18,$T$2:$T$18)-$M4)^2+(_xlfn.XLOOKUP(AD$1,$R$2:$R$18,$U$2:$U$18-$N4)^2)))</f>
        <v>266.20872149499536</v>
      </c>
      <c r="AE4" s="150" t="str">
        <f t="array" ref="AE4">IF(AE$1=0,"",SQRT((_xlfn.XLOOKUP(AE$1,$R$2:$R$18,$S$2:$S$18)-$L4)^2+(_xlfn.XLOOKUP(AE$1,$R$2:$R$18,$T$2:$T$18)-$M4)^2+(_xlfn.XLOOKUP(AE$1,$R$2:$R$18,$U$2:$U$18-$N4)^2)))</f>
        <v/>
      </c>
      <c r="AF4" s="150" t="str">
        <f t="array" ref="AF4">IF(AF$1=0,"",SQRT((_xlfn.XLOOKUP(AF$1,$R$2:$R$18,$S$2:$S$18)-$L4)^2+(_xlfn.XLOOKUP(AF$1,$R$2:$R$18,$T$2:$T$18)-$M4)^2+(_xlfn.XLOOKUP(AF$1,$R$2:$R$18,$U$2:$U$18-$N4)^2)))</f>
        <v/>
      </c>
      <c r="AG4" s="150" t="str">
        <f t="array" ref="AG4">IF(AG$1=0,"",SQRT((_xlfn.XLOOKUP(AG$1,$R$2:$R$18,$S$2:$S$18)-$L4)^2+(_xlfn.XLOOKUP(AG$1,$R$2:$R$18,$T$2:$T$18)-$M4)^2+(_xlfn.XLOOKUP(AG$1,$R$2:$R$18,$U$2:$U$18-$N4)^2)))</f>
        <v/>
      </c>
      <c r="AH4" s="151" t="str">
        <f t="array" ref="AH4">IF(AH$1=0,"",SQRT((_xlfn.XLOOKUP(AH$1,$R$2:$R$18,$S$2:$S$18)-$L4)^2+(_xlfn.XLOOKUP(AH$1,$R$2:$R$18,$T$2:$T$18)-$M4)^2+(_xlfn.XLOOKUP(AH$1,$R$2:$R$18,$U$2:$U$18-$N4)^2)))</f>
        <v/>
      </c>
      <c r="AI4" s="151" t="str">
        <f t="array" ref="AI4">IF(AI$1=0,"",SQRT((_xlfn.XLOOKUP(AI$1,$R$2:$R$18,$S$2:$S$18)-$L4)^2+(_xlfn.XLOOKUP(AI$1,$R$2:$R$18,$T$2:$T$18)-$M4)^2+(_xlfn.XLOOKUP(AI$1,$R$2:$R$18,$U$2:$U$18-$N4)^2)))</f>
        <v/>
      </c>
      <c r="AJ4" s="151" t="str">
        <f t="array" ref="AJ4">IF(AJ$1=0,"",SQRT((_xlfn.XLOOKUP(AJ$1,$R$2:$R$18,$S$2:$S$18)-$L4)^2+(_xlfn.XLOOKUP(AJ$1,$R$2:$R$18,$T$2:$T$18)-$M4)^2+(_xlfn.XLOOKUP(AJ$1,$R$2:$R$18,$U$2:$U$18-$N4)^2)))</f>
        <v/>
      </c>
      <c r="AK4" s="151" t="str">
        <f t="array" ref="AK4">IF(AK$1=0,"",SQRT((_xlfn.XLOOKUP(AK$1,$R$2:$R$18,$S$2:$S$18)-$L4)^2+(_xlfn.XLOOKUP(AK$1,$R$2:$R$18,$T$2:$T$18)-$M4)^2+(_xlfn.XLOOKUP(AK$1,$R$2:$R$18,$U$2:$U$18-$N4)^2)))</f>
        <v/>
      </c>
      <c r="AL4" s="151" t="str">
        <f t="array" ref="AL4">IF(AL$1=0,"",SQRT((_xlfn.XLOOKUP(AL$1,$R$2:$R$18,$S$2:$S$18)-$L4)^2+(_xlfn.XLOOKUP(AL$1,$R$2:$R$18,$T$2:$T$18)-$M4)^2+(_xlfn.XLOOKUP(AL$1,$R$2:$R$18,$U$2:$U$18-$N4)^2)))</f>
        <v/>
      </c>
      <c r="AM4" s="151" t="str">
        <f t="array" ref="AM4">IF(AM$1=0,"",SQRT((_xlfn.XLOOKUP(AM$1,$R$2:$R$18,$S$2:$S$18)-$L4)^2+(_xlfn.XLOOKUP(AM$1,$R$2:$R$18,$T$2:$T$18)-$M4)^2+(_xlfn.XLOOKUP(AM$1,$R$2:$R$18,$U$2:$U$18-$N4)^2)))</f>
        <v/>
      </c>
      <c r="AN4" s="152" t="str">
        <f t="array" ref="AN4">IF(AN$1=0,"",SQRT((_xlfn.XLOOKUP(AN$1,$R$2:$R$18,$S$2:$S$18)-$L4)^2+(_xlfn.XLOOKUP(AN$1,$R$2:$R$18,$T$2:$T$18)-$M4)^2+(_xlfn.XLOOKUP(AN$1,$R$2:$R$18,$U$2:$U$18-$N4)^2)))</f>
        <v/>
      </c>
      <c r="AO4" s="134"/>
      <c r="AP4" s="159"/>
      <c r="AQ4" s="135">
        <f t="shared" si="4"/>
        <v>-42.988658658179418</v>
      </c>
      <c r="AR4" s="153">
        <f t="shared" si="5"/>
        <v>-38.742413122172678</v>
      </c>
      <c r="AS4" s="153">
        <f t="shared" si="6"/>
        <v>-24.4491432407284</v>
      </c>
      <c r="AT4" s="153">
        <f t="shared" si="7"/>
        <v>-39.369574268861413</v>
      </c>
      <c r="AU4" s="153">
        <f t="shared" si="8"/>
        <v>-46.166543530336916</v>
      </c>
      <c r="AV4" s="153">
        <f t="shared" si="9"/>
        <v>0</v>
      </c>
      <c r="AW4" s="153">
        <f t="shared" si="10"/>
        <v>0</v>
      </c>
      <c r="AX4" s="153">
        <f t="shared" si="11"/>
        <v>0</v>
      </c>
      <c r="AY4" s="154">
        <f t="shared" si="12"/>
        <v>0</v>
      </c>
      <c r="AZ4" s="154">
        <f t="shared" si="13"/>
        <v>0</v>
      </c>
      <c r="BA4" s="154">
        <f t="shared" si="14"/>
        <v>0</v>
      </c>
      <c r="BB4" s="154">
        <f t="shared" si="15"/>
        <v>0</v>
      </c>
      <c r="BC4" s="154">
        <f t="shared" si="16"/>
        <v>0</v>
      </c>
      <c r="BD4" s="154">
        <f t="shared" si="17"/>
        <v>0</v>
      </c>
      <c r="BE4" s="155">
        <f t="shared" si="18"/>
        <v>0</v>
      </c>
      <c r="BF4" s="134"/>
      <c r="BG4" s="28" t="s">
        <v>21</v>
      </c>
      <c r="BH4" s="29" t="s">
        <v>127</v>
      </c>
      <c r="BI4" s="30">
        <f>_xlfn.XLOOKUP($BH$4,$B$2:$B$58,L2:L58,"not found",0,1)</f>
        <v>70.73</v>
      </c>
      <c r="BJ4" s="31">
        <f>_xlfn.XLOOKUP($BH$4,$B$2:$B$58,M2:M58,"not found",0,1)</f>
        <v>99.31</v>
      </c>
      <c r="BK4" s="32">
        <f>_xlfn.XLOOKUP($BH$4,$B$2:$B$58,N2:N58,"not found",0,1)</f>
        <v>75.5</v>
      </c>
      <c r="BL4" s="134"/>
      <c r="BM4" s="134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34"/>
      <c r="CD4" s="134"/>
      <c r="CE4" s="141">
        <f t="shared" si="19"/>
        <v>26.011341341820582</v>
      </c>
      <c r="CF4" s="142">
        <f t="shared" si="20"/>
        <v>30.257586877827322</v>
      </c>
      <c r="CG4" s="142">
        <f t="shared" si="21"/>
        <v>44.550856759271596</v>
      </c>
      <c r="CH4" s="142">
        <f t="shared" si="22"/>
        <v>29.630425731138587</v>
      </c>
      <c r="CI4" s="142">
        <f t="shared" si="23"/>
        <v>22.833456469663084</v>
      </c>
      <c r="CJ4" s="142" t="str">
        <f t="shared" si="24"/>
        <v/>
      </c>
      <c r="CK4" s="142" t="str">
        <f t="shared" si="25"/>
        <v/>
      </c>
      <c r="CL4" s="142" t="str">
        <f t="shared" si="26"/>
        <v/>
      </c>
      <c r="CM4" s="143" t="str">
        <f t="shared" si="27"/>
        <v/>
      </c>
      <c r="CN4" s="143" t="str">
        <f t="shared" si="28"/>
        <v/>
      </c>
      <c r="CO4" s="143" t="str">
        <f t="shared" si="29"/>
        <v/>
      </c>
      <c r="CP4" s="143" t="str">
        <f t="shared" si="30"/>
        <v/>
      </c>
      <c r="CQ4" s="143" t="str">
        <f t="shared" si="31"/>
        <v/>
      </c>
      <c r="CR4" s="143" t="str">
        <f t="shared" si="32"/>
        <v/>
      </c>
      <c r="CS4" s="144" t="str">
        <f t="shared" si="33"/>
        <v/>
      </c>
    </row>
    <row r="5" spans="1:113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147" t="s">
        <v>126</v>
      </c>
      <c r="F5" s="4">
        <v>70</v>
      </c>
      <c r="G5" s="4">
        <v>0</v>
      </c>
      <c r="H5" s="3">
        <v>1</v>
      </c>
      <c r="I5" s="128">
        <f t="shared" si="34"/>
        <v>70</v>
      </c>
      <c r="J5" s="3">
        <v>2</v>
      </c>
      <c r="K5" s="3"/>
      <c r="L5" s="4">
        <v>169.87</v>
      </c>
      <c r="M5" s="4">
        <v>122.08</v>
      </c>
      <c r="N5" s="109">
        <f t="shared" si="3"/>
        <v>72</v>
      </c>
      <c r="O5" s="81">
        <v>70</v>
      </c>
      <c r="P5" s="148">
        <v>2</v>
      </c>
      <c r="R5" s="9" t="s">
        <v>173</v>
      </c>
      <c r="S5" s="4">
        <v>316.86</v>
      </c>
      <c r="T5" s="4">
        <v>86.55</v>
      </c>
      <c r="U5" s="87">
        <v>40</v>
      </c>
      <c r="V5" s="8">
        <v>40</v>
      </c>
      <c r="W5" s="2">
        <v>51</v>
      </c>
      <c r="Z5" s="149">
        <f t="array" ref="Z5">IF(Z$1=0,"",SQRT((_xlfn.XLOOKUP(Z$1,$R$2:$R$18,$S$2:$S$18)-$L5)^2+(_xlfn.XLOOKUP(Z$1,$R$2:$R$18,$T$2:$T$18)-$M5)^2+(_xlfn.XLOOKUP(Z$1,$R$2:$R$18,$U$2:$U$18-$N5)^2)))</f>
        <v>141.54560996371453</v>
      </c>
      <c r="AA5" s="150">
        <f t="array" ref="AA5">IF(AA$1=0,"",SQRT((_xlfn.XLOOKUP(AA$1,$R$2:$R$18,$S$2:$S$18)-$L5)^2+(_xlfn.XLOOKUP(AA$1,$R$2:$R$18,$T$2:$T$18)-$M5)^2+(_xlfn.XLOOKUP(AA$1,$R$2:$R$18,$U$2:$U$18-$N5)^2)))</f>
        <v>100.42628440801741</v>
      </c>
      <c r="AB5" s="150">
        <f t="array" ref="AB5">IF(AB$1=0,"",SQRT((_xlfn.XLOOKUP(AB$1,$R$2:$R$18,$S$2:$S$18)-$L5)^2+(_xlfn.XLOOKUP(AB$1,$R$2:$R$18,$T$2:$T$18)-$M5)^2+(_xlfn.XLOOKUP(AB$1,$R$2:$R$18,$U$2:$U$18-$N5)^2)))</f>
        <v>110.82579122207972</v>
      </c>
      <c r="AC5" s="150">
        <f t="array" ref="AC5">IF(AC$1=0,"",SQRT((_xlfn.XLOOKUP(AC$1,$R$2:$R$18,$S$2:$S$18)-$L5)^2+(_xlfn.XLOOKUP(AC$1,$R$2:$R$18,$T$2:$T$18)-$M5)^2+(_xlfn.XLOOKUP(AC$1,$R$2:$R$18,$U$2:$U$18-$N5)^2)))</f>
        <v>154.57179885089002</v>
      </c>
      <c r="AD5" s="150">
        <f t="array" ref="AD5">IF(AD$1=0,"",SQRT((_xlfn.XLOOKUP(AD$1,$R$2:$R$18,$S$2:$S$18)-$L5)^2+(_xlfn.XLOOKUP(AD$1,$R$2:$R$18,$T$2:$T$18)-$M5)^2+(_xlfn.XLOOKUP(AD$1,$R$2:$R$18,$U$2:$U$18-$N5)^2)))</f>
        <v>182.67696105420632</v>
      </c>
      <c r="AE5" s="150" t="str">
        <f t="array" ref="AE5">IF(AE$1=0,"",SQRT((_xlfn.XLOOKUP(AE$1,$R$2:$R$18,$S$2:$S$18)-$L5)^2+(_xlfn.XLOOKUP(AE$1,$R$2:$R$18,$T$2:$T$18)-$M5)^2+(_xlfn.XLOOKUP(AE$1,$R$2:$R$18,$U$2:$U$18-$N5)^2)))</f>
        <v/>
      </c>
      <c r="AF5" s="150" t="str">
        <f t="array" ref="AF5">IF(AF$1=0,"",SQRT((_xlfn.XLOOKUP(AF$1,$R$2:$R$18,$S$2:$S$18)-$L5)^2+(_xlfn.XLOOKUP(AF$1,$R$2:$R$18,$T$2:$T$18)-$M5)^2+(_xlfn.XLOOKUP(AF$1,$R$2:$R$18,$U$2:$U$18-$N5)^2)))</f>
        <v/>
      </c>
      <c r="AG5" s="150" t="str">
        <f t="array" ref="AG5">IF(AG$1=0,"",SQRT((_xlfn.XLOOKUP(AG$1,$R$2:$R$18,$S$2:$S$18)-$L5)^2+(_xlfn.XLOOKUP(AG$1,$R$2:$R$18,$T$2:$T$18)-$M5)^2+(_xlfn.XLOOKUP(AG$1,$R$2:$R$18,$U$2:$U$18-$N5)^2)))</f>
        <v/>
      </c>
      <c r="AH5" s="151" t="str">
        <f t="array" ref="AH5">IF(AH$1=0,"",SQRT((_xlfn.XLOOKUP(AH$1,$R$2:$R$18,$S$2:$S$18)-$L5)^2+(_xlfn.XLOOKUP(AH$1,$R$2:$R$18,$T$2:$T$18)-$M5)^2+(_xlfn.XLOOKUP(AH$1,$R$2:$R$18,$U$2:$U$18-$N5)^2)))</f>
        <v/>
      </c>
      <c r="AI5" s="151" t="str">
        <f t="array" ref="AI5">IF(AI$1=0,"",SQRT((_xlfn.XLOOKUP(AI$1,$R$2:$R$18,$S$2:$S$18)-$L5)^2+(_xlfn.XLOOKUP(AI$1,$R$2:$R$18,$T$2:$T$18)-$M5)^2+(_xlfn.XLOOKUP(AI$1,$R$2:$R$18,$U$2:$U$18-$N5)^2)))</f>
        <v/>
      </c>
      <c r="AJ5" s="151" t="str">
        <f t="array" ref="AJ5">IF(AJ$1=0,"",SQRT((_xlfn.XLOOKUP(AJ$1,$R$2:$R$18,$S$2:$S$18)-$L5)^2+(_xlfn.XLOOKUP(AJ$1,$R$2:$R$18,$T$2:$T$18)-$M5)^2+(_xlfn.XLOOKUP(AJ$1,$R$2:$R$18,$U$2:$U$18-$N5)^2)))</f>
        <v/>
      </c>
      <c r="AK5" s="151" t="str">
        <f t="array" ref="AK5">IF(AK$1=0,"",SQRT((_xlfn.XLOOKUP(AK$1,$R$2:$R$18,$S$2:$S$18)-$L5)^2+(_xlfn.XLOOKUP(AK$1,$R$2:$R$18,$T$2:$T$18)-$M5)^2+(_xlfn.XLOOKUP(AK$1,$R$2:$R$18,$U$2:$U$18-$N5)^2)))</f>
        <v/>
      </c>
      <c r="AL5" s="151" t="str">
        <f t="array" ref="AL5">IF(AL$1=0,"",SQRT((_xlfn.XLOOKUP(AL$1,$R$2:$R$18,$S$2:$S$18)-$L5)^2+(_xlfn.XLOOKUP(AL$1,$R$2:$R$18,$T$2:$T$18)-$M5)^2+(_xlfn.XLOOKUP(AL$1,$R$2:$R$18,$U$2:$U$18-$N5)^2)))</f>
        <v/>
      </c>
      <c r="AM5" s="151" t="str">
        <f t="array" ref="AM5">IF(AM$1=0,"",SQRT((_xlfn.XLOOKUP(AM$1,$R$2:$R$18,$S$2:$S$18)-$L5)^2+(_xlfn.XLOOKUP(AM$1,$R$2:$R$18,$T$2:$T$18)-$M5)^2+(_xlfn.XLOOKUP(AM$1,$R$2:$R$18,$U$2:$U$18-$N5)^2)))</f>
        <v/>
      </c>
      <c r="AN5" s="152" t="str">
        <f t="array" ref="AN5">IF(AN$1=0,"",SQRT((_xlfn.XLOOKUP(AN$1,$R$2:$R$18,$S$2:$S$18)-$L5)^2+(_xlfn.XLOOKUP(AN$1,$R$2:$R$18,$T$2:$T$18)-$M5)^2+(_xlfn.XLOOKUP(AN$1,$R$2:$R$18,$U$2:$U$18-$N5)^2)))</f>
        <v/>
      </c>
      <c r="AO5" s="134"/>
      <c r="AP5" s="134"/>
      <c r="AQ5" s="135">
        <f t="shared" si="4"/>
        <v>-40.680026022314799</v>
      </c>
      <c r="AR5" s="153">
        <f t="shared" si="5"/>
        <v>-37.69904583442603</v>
      </c>
      <c r="AS5" s="153">
        <f t="shared" si="6"/>
        <v>-38.554914748028075</v>
      </c>
      <c r="AT5" s="153">
        <f t="shared" si="7"/>
        <v>-41.444703159284522</v>
      </c>
      <c r="AU5" s="153">
        <f t="shared" si="8"/>
        <v>-42.895773501612965</v>
      </c>
      <c r="AV5" s="153">
        <f t="shared" si="9"/>
        <v>0</v>
      </c>
      <c r="AW5" s="153">
        <f t="shared" si="10"/>
        <v>0</v>
      </c>
      <c r="AX5" s="153">
        <f t="shared" si="11"/>
        <v>0</v>
      </c>
      <c r="AY5" s="154">
        <f t="shared" si="12"/>
        <v>0</v>
      </c>
      <c r="AZ5" s="154">
        <f t="shared" si="13"/>
        <v>0</v>
      </c>
      <c r="BA5" s="154">
        <f t="shared" si="14"/>
        <v>0</v>
      </c>
      <c r="BB5" s="154">
        <f t="shared" si="15"/>
        <v>0</v>
      </c>
      <c r="BC5" s="154">
        <f t="shared" si="16"/>
        <v>0</v>
      </c>
      <c r="BD5" s="154">
        <f t="shared" si="17"/>
        <v>0</v>
      </c>
      <c r="BE5" s="155">
        <f t="shared" si="18"/>
        <v>0</v>
      </c>
      <c r="BF5" s="134"/>
      <c r="BG5" s="28" t="s">
        <v>22</v>
      </c>
      <c r="BH5" s="33" t="s">
        <v>171</v>
      </c>
      <c r="BI5" s="34">
        <f>_xlfn.XLOOKUP($BH$5,$R$2:$R$18,S2:S18,"not found",0,1)</f>
        <v>33.28</v>
      </c>
      <c r="BJ5" s="34">
        <f>_xlfn.XLOOKUP($BH$5,$R$2:$R$18,T2:T18,"not found",0,1)</f>
        <v>85.62</v>
      </c>
      <c r="BK5" s="34">
        <f>_xlfn.XLOOKUP($BH$5,$R$2:$R$18,U2:U18,"not found",0,1)</f>
        <v>65</v>
      </c>
      <c r="BL5" s="134"/>
      <c r="BM5" s="134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34"/>
      <c r="CD5" s="134"/>
      <c r="CE5" s="156">
        <f t="shared" si="19"/>
        <v>29.319973977685201</v>
      </c>
      <c r="CF5" s="157">
        <f t="shared" si="20"/>
        <v>32.30095416557397</v>
      </c>
      <c r="CG5" s="157">
        <f t="shared" si="21"/>
        <v>31.445085251971925</v>
      </c>
      <c r="CH5" s="157">
        <f t="shared" si="22"/>
        <v>28.555296840715478</v>
      </c>
      <c r="CI5" s="157">
        <f t="shared" si="23"/>
        <v>27.104226498387035</v>
      </c>
      <c r="CJ5" s="157" t="str">
        <f t="shared" si="24"/>
        <v/>
      </c>
      <c r="CK5" s="157" t="str">
        <f t="shared" si="25"/>
        <v/>
      </c>
      <c r="CL5" s="157" t="str">
        <f t="shared" si="26"/>
        <v/>
      </c>
      <c r="CM5" s="158" t="str">
        <f t="shared" si="27"/>
        <v/>
      </c>
      <c r="CN5" s="158" t="str">
        <f t="shared" si="28"/>
        <v/>
      </c>
      <c r="CO5" s="158" t="str">
        <f t="shared" si="29"/>
        <v/>
      </c>
      <c r="CP5" s="158" t="str">
        <f t="shared" si="30"/>
        <v/>
      </c>
      <c r="CQ5" s="143" t="str">
        <f t="shared" si="31"/>
        <v/>
      </c>
      <c r="CR5" s="143" t="str">
        <f t="shared" si="32"/>
        <v/>
      </c>
      <c r="CS5" s="144" t="str">
        <f t="shared" si="33"/>
        <v/>
      </c>
    </row>
    <row r="6" spans="1:113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147" t="s">
        <v>128</v>
      </c>
      <c r="F6" s="4">
        <v>80</v>
      </c>
      <c r="G6" s="4">
        <v>0</v>
      </c>
      <c r="H6" s="3">
        <v>1</v>
      </c>
      <c r="I6" s="128">
        <f t="shared" si="34"/>
        <v>80</v>
      </c>
      <c r="J6" s="3">
        <v>2</v>
      </c>
      <c r="K6" s="3"/>
      <c r="L6" s="4">
        <v>70.73</v>
      </c>
      <c r="M6" s="4">
        <v>99.31</v>
      </c>
      <c r="N6" s="109">
        <f t="shared" si="3"/>
        <v>75.5</v>
      </c>
      <c r="O6" s="81">
        <v>70</v>
      </c>
      <c r="P6" s="148">
        <v>5.5</v>
      </c>
      <c r="R6" s="9" t="s">
        <v>174</v>
      </c>
      <c r="S6" s="4">
        <v>14.23</v>
      </c>
      <c r="T6" s="4">
        <v>213.83</v>
      </c>
      <c r="U6" s="87">
        <v>45</v>
      </c>
      <c r="V6" s="8">
        <v>40</v>
      </c>
      <c r="W6" s="2">
        <v>52</v>
      </c>
      <c r="Z6" s="149">
        <f t="array" ref="Z6">IF(Z$1=0,"",SQRT((_xlfn.XLOOKUP(Z$1,$R$2:$R$18,$S$2:$S$18)-$L6)^2+(_xlfn.XLOOKUP(Z$1,$R$2:$R$18,$T$2:$T$18)-$M6)^2+(_xlfn.XLOOKUP(Z$1,$R$2:$R$18,$U$2:$U$18-$N6)^2)))</f>
        <v>41.23310078080474</v>
      </c>
      <c r="AA6" s="150">
        <f t="array" ref="AA6">IF(AA$1=0,"",SQRT((_xlfn.XLOOKUP(AA$1,$R$2:$R$18,$S$2:$S$18)-$L6)^2+(_xlfn.XLOOKUP(AA$1,$R$2:$R$18,$T$2:$T$18)-$M6)^2+(_xlfn.XLOOKUP(AA$1,$R$2:$R$18,$U$2:$U$18-$N6)^2)))</f>
        <v>67.636925565847534</v>
      </c>
      <c r="AB6" s="150">
        <f t="array" ref="AB6">IF(AB$1=0,"",SQRT((_xlfn.XLOOKUP(AB$1,$R$2:$R$18,$S$2:$S$18)-$L6)^2+(_xlfn.XLOOKUP(AB$1,$R$2:$R$18,$T$2:$T$18)-$M6)^2+(_xlfn.XLOOKUP(AB$1,$R$2:$R$18,$U$2:$U$18-$N6)^2)))</f>
        <v>165.94536600941888</v>
      </c>
      <c r="AC6" s="150">
        <f t="array" ref="AC6">IF(AC$1=0,"",SQRT((_xlfn.XLOOKUP(AC$1,$R$2:$R$18,$S$2:$S$18)-$L6)^2+(_xlfn.XLOOKUP(AC$1,$R$2:$R$18,$T$2:$T$18)-$M6)^2+(_xlfn.XLOOKUP(AC$1,$R$2:$R$18,$U$2:$U$18-$N6)^2)))</f>
        <v>249.00410538784294</v>
      </c>
      <c r="AD6" s="150">
        <f t="array" ref="AD6">IF(AD$1=0,"",SQRT((_xlfn.XLOOKUP(AD$1,$R$2:$R$18,$S$2:$S$18)-$L6)^2+(_xlfn.XLOOKUP(AD$1,$R$2:$R$18,$T$2:$T$18)-$M6)^2+(_xlfn.XLOOKUP(AD$1,$R$2:$R$18,$U$2:$U$18-$N6)^2)))</f>
        <v>131.29101416319398</v>
      </c>
      <c r="AE6" s="150" t="str">
        <f t="array" ref="AE6">IF(AE$1=0,"",SQRT((_xlfn.XLOOKUP(AE$1,$R$2:$R$18,$S$2:$S$18)-$L6)^2+(_xlfn.XLOOKUP(AE$1,$R$2:$R$18,$T$2:$T$18)-$M6)^2+(_xlfn.XLOOKUP(AE$1,$R$2:$R$18,$U$2:$U$18-$N6)^2)))</f>
        <v/>
      </c>
      <c r="AF6" s="150" t="str">
        <f t="array" ref="AF6">IF(AF$1=0,"",SQRT((_xlfn.XLOOKUP(AF$1,$R$2:$R$18,$S$2:$S$18)-$L6)^2+(_xlfn.XLOOKUP(AF$1,$R$2:$R$18,$T$2:$T$18)-$M6)^2+(_xlfn.XLOOKUP(AF$1,$R$2:$R$18,$U$2:$U$18-$N6)^2)))</f>
        <v/>
      </c>
      <c r="AG6" s="150" t="str">
        <f t="array" ref="AG6">IF(AG$1=0,"",SQRT((_xlfn.XLOOKUP(AG$1,$R$2:$R$18,$S$2:$S$18)-$L6)^2+(_xlfn.XLOOKUP(AG$1,$R$2:$R$18,$T$2:$T$18)-$M6)^2+(_xlfn.XLOOKUP(AG$1,$R$2:$R$18,$U$2:$U$18-$N6)^2)))</f>
        <v/>
      </c>
      <c r="AH6" s="151" t="str">
        <f t="array" ref="AH6">IF(AH$1=0,"",SQRT((_xlfn.XLOOKUP(AH$1,$R$2:$R$18,$S$2:$S$18)-$L6)^2+(_xlfn.XLOOKUP(AH$1,$R$2:$R$18,$T$2:$T$18)-$M6)^2+(_xlfn.XLOOKUP(AH$1,$R$2:$R$18,$U$2:$U$18-$N6)^2)))</f>
        <v/>
      </c>
      <c r="AI6" s="151" t="str">
        <f t="array" ref="AI6">IF(AI$1=0,"",SQRT((_xlfn.XLOOKUP(AI$1,$R$2:$R$18,$S$2:$S$18)-$L6)^2+(_xlfn.XLOOKUP(AI$1,$R$2:$R$18,$T$2:$T$18)-$M6)^2+(_xlfn.XLOOKUP(AI$1,$R$2:$R$18,$U$2:$U$18-$N6)^2)))</f>
        <v/>
      </c>
      <c r="AJ6" s="151" t="str">
        <f t="array" ref="AJ6">IF(AJ$1=0,"",SQRT((_xlfn.XLOOKUP(AJ$1,$R$2:$R$18,$S$2:$S$18)-$L6)^2+(_xlfn.XLOOKUP(AJ$1,$R$2:$R$18,$T$2:$T$18)-$M6)^2+(_xlfn.XLOOKUP(AJ$1,$R$2:$R$18,$U$2:$U$18-$N6)^2)))</f>
        <v/>
      </c>
      <c r="AK6" s="151" t="str">
        <f t="array" ref="AK6">IF(AK$1=0,"",SQRT((_xlfn.XLOOKUP(AK$1,$R$2:$R$18,$S$2:$S$18)-$L6)^2+(_xlfn.XLOOKUP(AK$1,$R$2:$R$18,$T$2:$T$18)-$M6)^2+(_xlfn.XLOOKUP(AK$1,$R$2:$R$18,$U$2:$U$18-$N6)^2)))</f>
        <v/>
      </c>
      <c r="AL6" s="151" t="str">
        <f t="array" ref="AL6">IF(AL$1=0,"",SQRT((_xlfn.XLOOKUP(AL$1,$R$2:$R$18,$S$2:$S$18)-$L6)^2+(_xlfn.XLOOKUP(AL$1,$R$2:$R$18,$T$2:$T$18)-$M6)^2+(_xlfn.XLOOKUP(AL$1,$R$2:$R$18,$U$2:$U$18-$N6)^2)))</f>
        <v/>
      </c>
      <c r="AM6" s="151" t="str">
        <f t="array" ref="AM6">IF(AM$1=0,"",SQRT((_xlfn.XLOOKUP(AM$1,$R$2:$R$18,$S$2:$S$18)-$L6)^2+(_xlfn.XLOOKUP(AM$1,$R$2:$R$18,$T$2:$T$18)-$M6)^2+(_xlfn.XLOOKUP(AM$1,$R$2:$R$18,$U$2:$U$18-$N6)^2)))</f>
        <v/>
      </c>
      <c r="AN6" s="152" t="str">
        <f t="array" ref="AN6">IF(AN$1=0,"",SQRT((_xlfn.XLOOKUP(AN$1,$R$2:$R$18,$S$2:$S$18)-$L6)^2+(_xlfn.XLOOKUP(AN$1,$R$2:$R$18,$T$2:$T$18)-$M6)^2+(_xlfn.XLOOKUP(AN$1,$R$2:$R$18,$U$2:$U$18-$N6)^2)))</f>
        <v/>
      </c>
      <c r="AO6" s="134"/>
      <c r="AP6" s="134"/>
      <c r="AQ6" s="135">
        <f t="shared" si="4"/>
        <v>-29.967017847297129</v>
      </c>
      <c r="AR6" s="153">
        <f t="shared" si="5"/>
        <v>-34.265775107601165</v>
      </c>
      <c r="AS6" s="153">
        <f t="shared" si="6"/>
        <v>-42.061400523510564</v>
      </c>
      <c r="AT6" s="153">
        <f t="shared" si="7"/>
        <v>-45.586228086283938</v>
      </c>
      <c r="AU6" s="153">
        <f t="shared" si="8"/>
        <v>-40.026797998267341</v>
      </c>
      <c r="AV6" s="153">
        <f t="shared" si="9"/>
        <v>0</v>
      </c>
      <c r="AW6" s="153">
        <f t="shared" si="10"/>
        <v>0</v>
      </c>
      <c r="AX6" s="153">
        <f t="shared" si="11"/>
        <v>0</v>
      </c>
      <c r="AY6" s="154">
        <f t="shared" si="12"/>
        <v>0</v>
      </c>
      <c r="AZ6" s="154">
        <f t="shared" si="13"/>
        <v>0</v>
      </c>
      <c r="BA6" s="154">
        <f t="shared" si="14"/>
        <v>0</v>
      </c>
      <c r="BB6" s="154">
        <f t="shared" si="15"/>
        <v>0</v>
      </c>
      <c r="BC6" s="154">
        <f t="shared" si="16"/>
        <v>0</v>
      </c>
      <c r="BD6" s="154">
        <f t="shared" si="17"/>
        <v>0</v>
      </c>
      <c r="BE6" s="155">
        <f t="shared" si="18"/>
        <v>0</v>
      </c>
      <c r="BF6" s="134"/>
      <c r="BG6" s="28" t="s">
        <v>30</v>
      </c>
      <c r="BH6" s="33" t="s">
        <v>194</v>
      </c>
      <c r="BI6" s="34">
        <f>_xlfn.XLOOKUP($BH$6,$R$24:$R$50,S24:S50,"error",0,1)</f>
        <v>64.239999999999995</v>
      </c>
      <c r="BJ6" s="35">
        <f>_xlfn.XLOOKUP($BH$6,$R$24:$R$50,T24:T50,"error",0,1)</f>
        <v>114.29</v>
      </c>
      <c r="BK6" s="36">
        <f>_xlfn.XLOOKUP($BH$6,$R$24:$R$50,U24:U50,"error",0,1)</f>
        <v>75.400000000000006</v>
      </c>
      <c r="BL6" s="134"/>
      <c r="BM6" s="134"/>
      <c r="BN6" s="203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34"/>
      <c r="CD6" s="134"/>
      <c r="CE6" s="141">
        <f t="shared" si="19"/>
        <v>50.032982152702871</v>
      </c>
      <c r="CF6" s="142">
        <f t="shared" si="20"/>
        <v>45.734224892398835</v>
      </c>
      <c r="CG6" s="142">
        <f t="shared" si="21"/>
        <v>37.938599476489436</v>
      </c>
      <c r="CH6" s="142">
        <f t="shared" si="22"/>
        <v>34.413771913716062</v>
      </c>
      <c r="CI6" s="142">
        <f t="shared" si="23"/>
        <v>39.973202001732659</v>
      </c>
      <c r="CJ6" s="142" t="str">
        <f t="shared" si="24"/>
        <v/>
      </c>
      <c r="CK6" s="142" t="str">
        <f t="shared" si="25"/>
        <v/>
      </c>
      <c r="CL6" s="142" t="str">
        <f t="shared" si="26"/>
        <v/>
      </c>
      <c r="CM6" s="143" t="str">
        <f t="shared" si="27"/>
        <v/>
      </c>
      <c r="CN6" s="143" t="str">
        <f t="shared" si="28"/>
        <v/>
      </c>
      <c r="CO6" s="143" t="str">
        <f t="shared" si="29"/>
        <v/>
      </c>
      <c r="CP6" s="143" t="str">
        <f t="shared" si="30"/>
        <v/>
      </c>
      <c r="CQ6" s="143" t="str">
        <f t="shared" si="31"/>
        <v/>
      </c>
      <c r="CR6" s="143" t="str">
        <f t="shared" si="32"/>
        <v/>
      </c>
      <c r="CS6" s="144" t="str">
        <f t="shared" si="33"/>
        <v/>
      </c>
    </row>
    <row r="7" spans="1:113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147" t="s">
        <v>130</v>
      </c>
      <c r="F7" s="4">
        <v>71</v>
      </c>
      <c r="G7" s="4">
        <v>0</v>
      </c>
      <c r="H7" s="3">
        <v>1</v>
      </c>
      <c r="I7" s="128">
        <f t="shared" si="34"/>
        <v>71</v>
      </c>
      <c r="J7" s="3">
        <v>2</v>
      </c>
      <c r="K7" s="3"/>
      <c r="L7" s="4">
        <v>88.03</v>
      </c>
      <c r="M7" s="4">
        <v>101.44</v>
      </c>
      <c r="N7" s="109">
        <f t="shared" si="3"/>
        <v>74</v>
      </c>
      <c r="O7" s="81">
        <v>70</v>
      </c>
      <c r="P7" s="148">
        <v>4</v>
      </c>
      <c r="R7" s="9"/>
      <c r="S7" s="4"/>
      <c r="T7" s="4"/>
      <c r="U7" s="87"/>
      <c r="V7" s="8"/>
      <c r="W7" s="2" t="str">
        <v/>
      </c>
      <c r="Z7" s="149">
        <f t="array" ref="Z7">IF(Z$1=0,"",SQRT((_xlfn.XLOOKUP(Z$1,$R$2:$R$18,$S$2:$S$18)-$L7)^2+(_xlfn.XLOOKUP(Z$1,$R$2:$R$18,$T$2:$T$18)-$M7)^2+(_xlfn.XLOOKUP(Z$1,$R$2:$R$18,$U$2:$U$18-$N7)^2)))</f>
        <v>57.696056191043077</v>
      </c>
      <c r="AA7" s="150">
        <f t="array" ref="AA7">IF(AA$1=0,"",SQRT((_xlfn.XLOOKUP(AA$1,$R$2:$R$18,$S$2:$S$18)-$L7)^2+(_xlfn.XLOOKUP(AA$1,$R$2:$R$18,$T$2:$T$18)-$M7)^2+(_xlfn.XLOOKUP(AA$1,$R$2:$R$18,$U$2:$U$18-$N7)^2)))</f>
        <v>61.644115696471793</v>
      </c>
      <c r="AB7" s="150">
        <f t="array" ref="AB7">IF(AB$1=0,"",SQRT((_xlfn.XLOOKUP(AB$1,$R$2:$R$18,$S$2:$S$18)-$L7)^2+(_xlfn.XLOOKUP(AB$1,$R$2:$R$18,$T$2:$T$18)-$M7)^2+(_xlfn.XLOOKUP(AB$1,$R$2:$R$18,$U$2:$U$18-$N7)^2)))</f>
        <v>151.86627011947056</v>
      </c>
      <c r="AC7" s="150">
        <f t="array" ref="AC7">IF(AC$1=0,"",SQRT((_xlfn.XLOOKUP(AC$1,$R$2:$R$18,$S$2:$S$18)-$L7)^2+(_xlfn.XLOOKUP(AC$1,$R$2:$R$18,$T$2:$T$18)-$M7)^2+(_xlfn.XLOOKUP(AC$1,$R$2:$R$18,$U$2:$U$18-$N7)^2)))</f>
        <v>231.82079501200923</v>
      </c>
      <c r="AD7" s="150">
        <f t="array" ref="AD7">IF(AD$1=0,"",SQRT((_xlfn.XLOOKUP(AD$1,$R$2:$R$18,$S$2:$S$18)-$L7)^2+(_xlfn.XLOOKUP(AD$1,$R$2:$R$18,$T$2:$T$18)-$M7)^2+(_xlfn.XLOOKUP(AD$1,$R$2:$R$18,$U$2:$U$18-$N7)^2)))</f>
        <v>137.54618169909335</v>
      </c>
      <c r="AE7" s="150" t="str">
        <f t="array" ref="AE7">IF(AE$1=0,"",SQRT((_xlfn.XLOOKUP(AE$1,$R$2:$R$18,$S$2:$S$18)-$L7)^2+(_xlfn.XLOOKUP(AE$1,$R$2:$R$18,$T$2:$T$18)-$M7)^2+(_xlfn.XLOOKUP(AE$1,$R$2:$R$18,$U$2:$U$18-$N7)^2)))</f>
        <v/>
      </c>
      <c r="AF7" s="150" t="str">
        <f t="array" ref="AF7">IF(AF$1=0,"",SQRT((_xlfn.XLOOKUP(AF$1,$R$2:$R$18,$S$2:$S$18)-$L7)^2+(_xlfn.XLOOKUP(AF$1,$R$2:$R$18,$T$2:$T$18)-$M7)^2+(_xlfn.XLOOKUP(AF$1,$R$2:$R$18,$U$2:$U$18-$N7)^2)))</f>
        <v/>
      </c>
      <c r="AG7" s="150" t="str">
        <f t="array" ref="AG7">IF(AG$1=0,"",SQRT((_xlfn.XLOOKUP(AG$1,$R$2:$R$18,$S$2:$S$18)-$L7)^2+(_xlfn.XLOOKUP(AG$1,$R$2:$R$18,$T$2:$T$18)-$M7)^2+(_xlfn.XLOOKUP(AG$1,$R$2:$R$18,$U$2:$U$18-$N7)^2)))</f>
        <v/>
      </c>
      <c r="AH7" s="151" t="str">
        <f t="array" ref="AH7">IF(AH$1=0,"",SQRT((_xlfn.XLOOKUP(AH$1,$R$2:$R$18,$S$2:$S$18)-$L7)^2+(_xlfn.XLOOKUP(AH$1,$R$2:$R$18,$T$2:$T$18)-$M7)^2+(_xlfn.XLOOKUP(AH$1,$R$2:$R$18,$U$2:$U$18-$N7)^2)))</f>
        <v/>
      </c>
      <c r="AI7" s="151" t="str">
        <f t="array" ref="AI7">IF(AI$1=0,"",SQRT((_xlfn.XLOOKUP(AI$1,$R$2:$R$18,$S$2:$S$18)-$L7)^2+(_xlfn.XLOOKUP(AI$1,$R$2:$R$18,$T$2:$T$18)-$M7)^2+(_xlfn.XLOOKUP(AI$1,$R$2:$R$18,$U$2:$U$18-$N7)^2)))</f>
        <v/>
      </c>
      <c r="AJ7" s="151" t="str">
        <f t="array" ref="AJ7">IF(AJ$1=0,"",SQRT((_xlfn.XLOOKUP(AJ$1,$R$2:$R$18,$S$2:$S$18)-$L7)^2+(_xlfn.XLOOKUP(AJ$1,$R$2:$R$18,$T$2:$T$18)-$M7)^2+(_xlfn.XLOOKUP(AJ$1,$R$2:$R$18,$U$2:$U$18-$N7)^2)))</f>
        <v/>
      </c>
      <c r="AK7" s="151" t="str">
        <f t="array" ref="AK7">IF(AK$1=0,"",SQRT((_xlfn.XLOOKUP(AK$1,$R$2:$R$18,$S$2:$S$18)-$L7)^2+(_xlfn.XLOOKUP(AK$1,$R$2:$R$18,$T$2:$T$18)-$M7)^2+(_xlfn.XLOOKUP(AK$1,$R$2:$R$18,$U$2:$U$18-$N7)^2)))</f>
        <v/>
      </c>
      <c r="AL7" s="151" t="str">
        <f t="array" ref="AL7">IF(AL$1=0,"",SQRT((_xlfn.XLOOKUP(AL$1,$R$2:$R$18,$S$2:$S$18)-$L7)^2+(_xlfn.XLOOKUP(AL$1,$R$2:$R$18,$T$2:$T$18)-$M7)^2+(_xlfn.XLOOKUP(AL$1,$R$2:$R$18,$U$2:$U$18-$N7)^2)))</f>
        <v/>
      </c>
      <c r="AM7" s="151" t="str">
        <f t="array" ref="AM7">IF(AM$1=0,"",SQRT((_xlfn.XLOOKUP(AM$1,$R$2:$R$18,$S$2:$S$18)-$L7)^2+(_xlfn.XLOOKUP(AM$1,$R$2:$R$18,$T$2:$T$18)-$M7)^2+(_xlfn.XLOOKUP(AM$1,$R$2:$R$18,$U$2:$U$18-$N7)^2)))</f>
        <v/>
      </c>
      <c r="AN7" s="152" t="str">
        <f t="array" ref="AN7">IF(AN$1=0,"",SQRT((_xlfn.XLOOKUP(AN$1,$R$2:$R$18,$S$2:$S$18)-$L7)^2+(_xlfn.XLOOKUP(AN$1,$R$2:$R$18,$T$2:$T$18)-$M7)^2+(_xlfn.XLOOKUP(AN$1,$R$2:$R$18,$U$2:$U$18-$N7)^2)))</f>
        <v/>
      </c>
      <c r="AO7" s="134"/>
      <c r="AP7" s="134"/>
      <c r="AQ7" s="135">
        <f t="shared" si="4"/>
        <v>-32.885020497099163</v>
      </c>
      <c r="AR7" s="153">
        <f t="shared" si="5"/>
        <v>-33.45993047445851</v>
      </c>
      <c r="AS7" s="153">
        <f t="shared" si="6"/>
        <v>-41.291324470458648</v>
      </c>
      <c r="AT7" s="153">
        <f t="shared" si="7"/>
        <v>-44.965145754461844</v>
      </c>
      <c r="AU7" s="153">
        <f t="shared" si="8"/>
        <v>-40.431068713303148</v>
      </c>
      <c r="AV7" s="153">
        <f t="shared" si="9"/>
        <v>0</v>
      </c>
      <c r="AW7" s="153">
        <f t="shared" si="10"/>
        <v>0</v>
      </c>
      <c r="AX7" s="153">
        <f t="shared" si="11"/>
        <v>0</v>
      </c>
      <c r="AY7" s="154">
        <f t="shared" si="12"/>
        <v>0</v>
      </c>
      <c r="AZ7" s="154">
        <f t="shared" si="13"/>
        <v>0</v>
      </c>
      <c r="BA7" s="154">
        <f t="shared" si="14"/>
        <v>0</v>
      </c>
      <c r="BB7" s="154">
        <f t="shared" si="15"/>
        <v>0</v>
      </c>
      <c r="BC7" s="154">
        <f t="shared" si="16"/>
        <v>0</v>
      </c>
      <c r="BD7" s="154">
        <f t="shared" si="17"/>
        <v>0</v>
      </c>
      <c r="BE7" s="155">
        <f t="shared" si="18"/>
        <v>0</v>
      </c>
      <c r="BF7" s="134"/>
      <c r="BG7" s="38" t="s">
        <v>31</v>
      </c>
      <c r="BH7" s="118"/>
      <c r="BI7" s="39">
        <f>_xlfn.XLOOKUP($BH$6,$R$24:$R$50,V24:V50,"error",0,1)</f>
        <v>67.760000000000005</v>
      </c>
      <c r="BJ7" s="39">
        <f>_xlfn.XLOOKUP($BH$6,$R$24:$R$50,W24:W50,"error",0,1)</f>
        <v>96.8</v>
      </c>
      <c r="BK7" s="39">
        <f>_xlfn.XLOOKUP($BH$6,$R$24:$R$50,X24:X50,"error",0,1)</f>
        <v>75.400000000000006</v>
      </c>
      <c r="BL7" s="134"/>
      <c r="BM7" s="134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34"/>
      <c r="CD7" s="134"/>
      <c r="CE7" s="156">
        <f t="shared" si="19"/>
        <v>38.114979502900837</v>
      </c>
      <c r="CF7" s="157">
        <f t="shared" si="20"/>
        <v>37.54006952554149</v>
      </c>
      <c r="CG7" s="157">
        <f t="shared" si="21"/>
        <v>29.708675529541352</v>
      </c>
      <c r="CH7" s="157">
        <f t="shared" si="22"/>
        <v>26.034854245538156</v>
      </c>
      <c r="CI7" s="157">
        <f t="shared" si="23"/>
        <v>30.568931286696852</v>
      </c>
      <c r="CJ7" s="157" t="str">
        <f t="shared" si="24"/>
        <v/>
      </c>
      <c r="CK7" s="157" t="str">
        <f t="shared" si="25"/>
        <v/>
      </c>
      <c r="CL7" s="157" t="str">
        <f t="shared" si="26"/>
        <v/>
      </c>
      <c r="CM7" s="158" t="str">
        <f t="shared" si="27"/>
        <v/>
      </c>
      <c r="CN7" s="158" t="str">
        <f t="shared" si="28"/>
        <v/>
      </c>
      <c r="CO7" s="158" t="str">
        <f t="shared" si="29"/>
        <v/>
      </c>
      <c r="CP7" s="158" t="str">
        <f t="shared" si="30"/>
        <v/>
      </c>
      <c r="CQ7" s="143" t="str">
        <f t="shared" si="31"/>
        <v/>
      </c>
      <c r="CR7" s="143" t="str">
        <f t="shared" si="32"/>
        <v/>
      </c>
      <c r="CS7" s="144" t="str">
        <f t="shared" si="33"/>
        <v/>
      </c>
    </row>
    <row r="8" spans="1:113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147" t="s">
        <v>133</v>
      </c>
      <c r="F8" s="4">
        <v>69.5</v>
      </c>
      <c r="G8" s="4">
        <v>5</v>
      </c>
      <c r="H8" s="3">
        <v>1</v>
      </c>
      <c r="I8" s="128">
        <f t="shared" si="34"/>
        <v>84</v>
      </c>
      <c r="J8" s="3">
        <v>2</v>
      </c>
      <c r="K8" s="3"/>
      <c r="L8" s="4">
        <v>142.94</v>
      </c>
      <c r="M8" s="4">
        <v>109.76</v>
      </c>
      <c r="N8" s="109">
        <f t="shared" si="3"/>
        <v>76.5</v>
      </c>
      <c r="O8" s="81">
        <v>70</v>
      </c>
      <c r="P8" s="148">
        <v>6.5</v>
      </c>
      <c r="R8" s="9"/>
      <c r="S8" s="4"/>
      <c r="T8" s="4"/>
      <c r="U8" s="87"/>
      <c r="V8" s="8"/>
      <c r="W8" s="2" t="str">
        <v/>
      </c>
      <c r="Z8" s="149">
        <f t="array" ref="Z8">IF(Z$1=0,"",SQRT((_xlfn.XLOOKUP(Z$1,$R$2:$R$18,$S$2:$S$18)-$L8)^2+(_xlfn.XLOOKUP(Z$1,$R$2:$R$18,$T$2:$T$18)-$M8)^2+(_xlfn.XLOOKUP(Z$1,$R$2:$R$18,$U$2:$U$18-$N8)^2)))</f>
        <v>112.8729604466898</v>
      </c>
      <c r="AA8" s="150">
        <f t="array" ref="AA8">IF(AA$1=0,"",SQRT((_xlfn.XLOOKUP(AA$1,$R$2:$R$18,$S$2:$S$18)-$L8)^2+(_xlfn.XLOOKUP(AA$1,$R$2:$R$18,$T$2:$T$18)-$M8)^2+(_xlfn.XLOOKUP(AA$1,$R$2:$R$18,$U$2:$U$18-$N8)^2)))</f>
        <v>77.772311911116532</v>
      </c>
      <c r="AB8" s="150">
        <f t="array" ref="AB8">IF(AB$1=0,"",SQRT((_xlfn.XLOOKUP(AB$1,$R$2:$R$18,$S$2:$S$18)-$L8)^2+(_xlfn.XLOOKUP(AB$1,$R$2:$R$18,$T$2:$T$18)-$M8)^2+(_xlfn.XLOOKUP(AB$1,$R$2:$R$18,$U$2:$U$18-$N8)^2)))</f>
        <v>115.64135289765508</v>
      </c>
      <c r="AC8" s="150">
        <f t="array" ref="AC8">IF(AC$1=0,"",SQRT((_xlfn.XLOOKUP(AC$1,$R$2:$R$18,$S$2:$S$18)-$L8)^2+(_xlfn.XLOOKUP(AC$1,$R$2:$R$18,$T$2:$T$18)-$M8)^2+(_xlfn.XLOOKUP(AC$1,$R$2:$R$18,$U$2:$U$18-$N8)^2)))</f>
        <v>179.21808084007597</v>
      </c>
      <c r="AD8" s="150">
        <f t="array" ref="AD8">IF(AD$1=0,"",SQRT((_xlfn.XLOOKUP(AD$1,$R$2:$R$18,$S$2:$S$18)-$L8)^2+(_xlfn.XLOOKUP(AD$1,$R$2:$R$18,$T$2:$T$18)-$M8)^2+(_xlfn.XLOOKUP(AD$1,$R$2:$R$18,$U$2:$U$18-$N8)^2)))</f>
        <v>168.49059024171055</v>
      </c>
      <c r="AE8" s="150" t="str">
        <f t="array" ref="AE8">IF(AE$1=0,"",SQRT((_xlfn.XLOOKUP(AE$1,$R$2:$R$18,$S$2:$S$18)-$L8)^2+(_xlfn.XLOOKUP(AE$1,$R$2:$R$18,$T$2:$T$18)-$M8)^2+(_xlfn.XLOOKUP(AE$1,$R$2:$R$18,$U$2:$U$18-$N8)^2)))</f>
        <v/>
      </c>
      <c r="AF8" s="150" t="str">
        <f t="array" ref="AF8">IF(AF$1=0,"",SQRT((_xlfn.XLOOKUP(AF$1,$R$2:$R$18,$S$2:$S$18)-$L8)^2+(_xlfn.XLOOKUP(AF$1,$R$2:$R$18,$T$2:$T$18)-$M8)^2+(_xlfn.XLOOKUP(AF$1,$R$2:$R$18,$U$2:$U$18-$N8)^2)))</f>
        <v/>
      </c>
      <c r="AG8" s="150" t="str">
        <f t="array" ref="AG8">IF(AG$1=0,"",SQRT((_xlfn.XLOOKUP(AG$1,$R$2:$R$18,$S$2:$S$18)-$L8)^2+(_xlfn.XLOOKUP(AG$1,$R$2:$R$18,$T$2:$T$18)-$M8)^2+(_xlfn.XLOOKUP(AG$1,$R$2:$R$18,$U$2:$U$18-$N8)^2)))</f>
        <v/>
      </c>
      <c r="AH8" s="151" t="str">
        <f t="array" ref="AH8">IF(AH$1=0,"",SQRT((_xlfn.XLOOKUP(AH$1,$R$2:$R$18,$S$2:$S$18)-$L8)^2+(_xlfn.XLOOKUP(AH$1,$R$2:$R$18,$T$2:$T$18)-$M8)^2+(_xlfn.XLOOKUP(AH$1,$R$2:$R$18,$U$2:$U$18-$N8)^2)))</f>
        <v/>
      </c>
      <c r="AI8" s="151" t="str">
        <f t="array" ref="AI8">IF(AI$1=0,"",SQRT((_xlfn.XLOOKUP(AI$1,$R$2:$R$18,$S$2:$S$18)-$L8)^2+(_xlfn.XLOOKUP(AI$1,$R$2:$R$18,$T$2:$T$18)-$M8)^2+(_xlfn.XLOOKUP(AI$1,$R$2:$R$18,$U$2:$U$18-$N8)^2)))</f>
        <v/>
      </c>
      <c r="AJ8" s="151" t="str">
        <f t="array" ref="AJ8">IF(AJ$1=0,"",SQRT((_xlfn.XLOOKUP(AJ$1,$R$2:$R$18,$S$2:$S$18)-$L8)^2+(_xlfn.XLOOKUP(AJ$1,$R$2:$R$18,$T$2:$T$18)-$M8)^2+(_xlfn.XLOOKUP(AJ$1,$R$2:$R$18,$U$2:$U$18-$N8)^2)))</f>
        <v/>
      </c>
      <c r="AK8" s="151" t="str">
        <f t="array" ref="AK8">IF(AK$1=0,"",SQRT((_xlfn.XLOOKUP(AK$1,$R$2:$R$18,$S$2:$S$18)-$L8)^2+(_xlfn.XLOOKUP(AK$1,$R$2:$R$18,$T$2:$T$18)-$M8)^2+(_xlfn.XLOOKUP(AK$1,$R$2:$R$18,$U$2:$U$18-$N8)^2)))</f>
        <v/>
      </c>
      <c r="AL8" s="151" t="str">
        <f t="array" ref="AL8">IF(AL$1=0,"",SQRT((_xlfn.XLOOKUP(AL$1,$R$2:$R$18,$S$2:$S$18)-$L8)^2+(_xlfn.XLOOKUP(AL$1,$R$2:$R$18,$T$2:$T$18)-$M8)^2+(_xlfn.XLOOKUP(AL$1,$R$2:$R$18,$U$2:$U$18-$N8)^2)))</f>
        <v/>
      </c>
      <c r="AM8" s="151" t="str">
        <f t="array" ref="AM8">IF(AM$1=0,"",SQRT((_xlfn.XLOOKUP(AM$1,$R$2:$R$18,$S$2:$S$18)-$L8)^2+(_xlfn.XLOOKUP(AM$1,$R$2:$R$18,$T$2:$T$18)-$M8)^2+(_xlfn.XLOOKUP(AM$1,$R$2:$R$18,$U$2:$U$18-$N8)^2)))</f>
        <v/>
      </c>
      <c r="AN8" s="152" t="str">
        <f t="array" ref="AN8">IF(AN$1=0,"",SQRT((_xlfn.XLOOKUP(AN$1,$R$2:$R$18,$S$2:$S$18)-$L8)^2+(_xlfn.XLOOKUP(AN$1,$R$2:$R$18,$T$2:$T$18)-$M8)^2+(_xlfn.XLOOKUP(AN$1,$R$2:$R$18,$U$2:$U$18-$N8)^2)))</f>
        <v/>
      </c>
      <c r="AO8" s="134"/>
      <c r="AP8" s="134"/>
      <c r="AQ8" s="135">
        <f t="shared" si="4"/>
        <v>-38.71389625545654</v>
      </c>
      <c r="AR8" s="153">
        <f t="shared" si="5"/>
        <v>-35.47859812236559</v>
      </c>
      <c r="AS8" s="153">
        <f t="shared" si="6"/>
        <v>-38.924361214433219</v>
      </c>
      <c r="AT8" s="153">
        <f t="shared" si="7"/>
        <v>-42.729734384186166</v>
      </c>
      <c r="AU8" s="153">
        <f t="shared" si="8"/>
        <v>-42.19361097043123</v>
      </c>
      <c r="AV8" s="153">
        <f t="shared" si="9"/>
        <v>0</v>
      </c>
      <c r="AW8" s="153">
        <f t="shared" si="10"/>
        <v>0</v>
      </c>
      <c r="AX8" s="153">
        <f t="shared" si="11"/>
        <v>0</v>
      </c>
      <c r="AY8" s="154">
        <f t="shared" si="12"/>
        <v>0</v>
      </c>
      <c r="AZ8" s="154">
        <f t="shared" si="13"/>
        <v>0</v>
      </c>
      <c r="BA8" s="154">
        <f t="shared" si="14"/>
        <v>0</v>
      </c>
      <c r="BB8" s="154">
        <f t="shared" si="15"/>
        <v>0</v>
      </c>
      <c r="BC8" s="154">
        <f t="shared" si="16"/>
        <v>0</v>
      </c>
      <c r="BD8" s="154">
        <f t="shared" si="17"/>
        <v>0</v>
      </c>
      <c r="BE8" s="155">
        <f t="shared" si="18"/>
        <v>0</v>
      </c>
      <c r="BF8" s="134"/>
      <c r="BG8" s="41" t="s">
        <v>33</v>
      </c>
      <c r="BH8" s="160">
        <f>SQRT((BI5-BI4)^2+(BJ5-BJ4)^2)</f>
        <v>39.873783367019492</v>
      </c>
      <c r="BI8" s="42" t="s">
        <v>34</v>
      </c>
      <c r="BJ8" s="119">
        <f>(BJ5-BJ4)/(BI5-BI4)</f>
        <v>0.36555407209612806</v>
      </c>
      <c r="BK8" s="161">
        <f>SLOPE(BJ4:BJ5,BI4:BI5)</f>
        <v>0.36555407209612806</v>
      </c>
      <c r="BL8" s="134"/>
      <c r="BM8" s="134"/>
      <c r="BN8" s="140"/>
      <c r="BO8" s="140"/>
      <c r="BP8" s="140"/>
      <c r="BQ8" s="140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34"/>
      <c r="CD8" s="134"/>
      <c r="CE8" s="156">
        <f t="shared" ref="CE8:CE38" si="35">IF( CE$1= 0,"",$I8-$K8+AQ8-BN8)</f>
        <v>45.28610374454346</v>
      </c>
      <c r="CF8" s="157">
        <f t="shared" ref="CF8:CF38" si="36">IF( CF$1= 0,"",$I8-$K8+AR8-BO8)</f>
        <v>48.52140187763441</v>
      </c>
      <c r="CG8" s="157">
        <f t="shared" ref="CG8:CG38" si="37">IF( CG$1= 0,"",$I8-$K8+AS8-BP8)</f>
        <v>45.075638785566781</v>
      </c>
      <c r="CH8" s="157">
        <f t="shared" ref="CH8:CH38" si="38">IF( CH$1= 0,"",$I8-$K8+AT8-BQ8)</f>
        <v>41.270265615813834</v>
      </c>
      <c r="CI8" s="157">
        <f t="shared" ref="CI8:CI38" si="39">IF( CI$1= 0,"",$I8-$K8+AU8-BR8)</f>
        <v>41.80638902956877</v>
      </c>
      <c r="CJ8" s="157" t="str">
        <f t="shared" ref="CJ8:CJ38" si="40">IF( CJ$1= 0,"",$I8-$K8+AV8-BS8)</f>
        <v/>
      </c>
      <c r="CK8" s="157" t="str">
        <f t="shared" ref="CK8:CK38" si="41">IF( CK$1= 0,"",$I8-$K8+AW8-BT8)</f>
        <v/>
      </c>
      <c r="CL8" s="157" t="str">
        <f t="shared" ref="CL8:CL38" si="42">IF( CL$1= 0,"",$I8-$K8+AX8-BU8)</f>
        <v/>
      </c>
      <c r="CM8" s="158" t="str">
        <f t="shared" ref="CM8:CM38" si="43">IF( CM$1= 0,"",$I8-$K8+AY8-BV8)</f>
        <v/>
      </c>
      <c r="CN8" s="158" t="str">
        <f t="shared" ref="CN8:CN38" si="44">IF( CN$1= 0,"",$I8-$K8+AZ8-BW8)</f>
        <v/>
      </c>
      <c r="CO8" s="158" t="str">
        <f t="shared" ref="CO8:CO38" si="45">IF( CO$1= 0,"",$I8-$K8+BA8-BX8)</f>
        <v/>
      </c>
      <c r="CP8" s="158" t="str">
        <f t="shared" ref="CP8:CP38" si="46">IF( CP$1= 0,"",$I8-$K8+BB8-BY8)</f>
        <v/>
      </c>
      <c r="CQ8" s="143" t="str">
        <f t="shared" ref="CQ8:CQ38" si="47">IF( CQ$1= 0,"",$I8-$K8+BC8-BZ8)</f>
        <v/>
      </c>
      <c r="CR8" s="143" t="str">
        <f t="shared" ref="CR8:CR38" si="48">IF( CR$1= 0,"",$I8-$K8+BD8-CA8)</f>
        <v/>
      </c>
      <c r="CS8" s="144" t="str">
        <f t="shared" ref="CS8:CS38" si="49">IF( CS$1= 0,"",$I8-$K8+BE8-CB8)</f>
        <v/>
      </c>
    </row>
    <row r="9" spans="1:113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147" t="s">
        <v>135</v>
      </c>
      <c r="F9" s="4">
        <v>66.5</v>
      </c>
      <c r="G9" s="4">
        <v>5</v>
      </c>
      <c r="H9" s="3">
        <v>1</v>
      </c>
      <c r="I9" s="128">
        <f t="shared" si="34"/>
        <v>81</v>
      </c>
      <c r="J9" s="3">
        <v>2</v>
      </c>
      <c r="K9" s="3"/>
      <c r="L9" s="4">
        <v>135.82</v>
      </c>
      <c r="M9" s="4">
        <v>110.75</v>
      </c>
      <c r="N9" s="109">
        <f t="shared" si="3"/>
        <v>76.5</v>
      </c>
      <c r="O9" s="81">
        <v>70</v>
      </c>
      <c r="P9" s="148">
        <v>6.5</v>
      </c>
      <c r="R9" s="9"/>
      <c r="S9" s="4"/>
      <c r="T9" s="4"/>
      <c r="U9" s="87"/>
      <c r="V9" s="8"/>
      <c r="W9" s="2" t="str">
        <v/>
      </c>
      <c r="Z9" s="149">
        <f t="array" ref="Z9">IF(Z$1=0,"",SQRT((_xlfn.XLOOKUP(Z$1,$R$2:$R$18,$S$2:$S$18)-$L9)^2+(_xlfn.XLOOKUP(Z$1,$R$2:$R$18,$T$2:$T$18)-$M9)^2+(_xlfn.XLOOKUP(Z$1,$R$2:$R$18,$U$2:$U$18-$N9)^2)))</f>
        <v>106.19895715118864</v>
      </c>
      <c r="AA9" s="150">
        <f t="array" ref="AA9">IF(AA$1=0,"",SQRT((_xlfn.XLOOKUP(AA$1,$R$2:$R$18,$S$2:$S$18)-$L9)^2+(_xlfn.XLOOKUP(AA$1,$R$2:$R$18,$T$2:$T$18)-$M9)^2+(_xlfn.XLOOKUP(AA$1,$R$2:$R$18,$U$2:$U$18-$N9)^2)))</f>
        <v>75.281939401160486</v>
      </c>
      <c r="AB9" s="150">
        <f t="array" ref="AB9">IF(AB$1=0,"",SQRT((_xlfn.XLOOKUP(AB$1,$R$2:$R$18,$S$2:$S$18)-$L9)^2+(_xlfn.XLOOKUP(AB$1,$R$2:$R$18,$T$2:$T$18)-$M9)^2+(_xlfn.XLOOKUP(AB$1,$R$2:$R$18,$U$2:$U$18-$N9)^2)))</f>
        <v>121.04597721527139</v>
      </c>
      <c r="AC9" s="150">
        <f t="array" ref="AC9">IF(AC$1=0,"",SQRT((_xlfn.XLOOKUP(AC$1,$R$2:$R$18,$S$2:$S$18)-$L9)^2+(_xlfn.XLOOKUP(AC$1,$R$2:$R$18,$T$2:$T$18)-$M9)^2+(_xlfn.XLOOKUP(AC$1,$R$2:$R$18,$U$2:$U$18-$N9)^2)))</f>
        <v>186.26156769446564</v>
      </c>
      <c r="AD9" s="150">
        <f t="array" ref="AD9">IF(AD$1=0,"",SQRT((_xlfn.XLOOKUP(AD$1,$R$2:$R$18,$S$2:$S$18)-$L9)^2+(_xlfn.XLOOKUP(AD$1,$R$2:$R$18,$T$2:$T$18)-$M9)^2+(_xlfn.XLOOKUP(AD$1,$R$2:$R$18,$U$2:$U$18-$N9)^2)))</f>
        <v>162.48650559354152</v>
      </c>
      <c r="AE9" s="150" t="str">
        <f t="array" ref="AE9">IF(AE$1=0,"",SQRT((_xlfn.XLOOKUP(AE$1,$R$2:$R$18,$S$2:$S$18)-$L9)^2+(_xlfn.XLOOKUP(AE$1,$R$2:$R$18,$T$2:$T$18)-$M9)^2+(_xlfn.XLOOKUP(AE$1,$R$2:$R$18,$U$2:$U$18-$N9)^2)))</f>
        <v/>
      </c>
      <c r="AF9" s="150" t="str">
        <f t="array" ref="AF9">IF(AF$1=0,"",SQRT((_xlfn.XLOOKUP(AF$1,$R$2:$R$18,$S$2:$S$18)-$L9)^2+(_xlfn.XLOOKUP(AF$1,$R$2:$R$18,$T$2:$T$18)-$M9)^2+(_xlfn.XLOOKUP(AF$1,$R$2:$R$18,$U$2:$U$18-$N9)^2)))</f>
        <v/>
      </c>
      <c r="AG9" s="150" t="str">
        <f t="array" ref="AG9">IF(AG$1=0,"",SQRT((_xlfn.XLOOKUP(AG$1,$R$2:$R$18,$S$2:$S$18)-$L9)^2+(_xlfn.XLOOKUP(AG$1,$R$2:$R$18,$T$2:$T$18)-$M9)^2+(_xlfn.XLOOKUP(AG$1,$R$2:$R$18,$U$2:$U$18-$N9)^2)))</f>
        <v/>
      </c>
      <c r="AH9" s="151" t="str">
        <f t="array" ref="AH9">IF(AH$1=0,"",SQRT((_xlfn.XLOOKUP(AH$1,$R$2:$R$18,$S$2:$S$18)-$L9)^2+(_xlfn.XLOOKUP(AH$1,$R$2:$R$18,$T$2:$T$18)-$M9)^2+(_xlfn.XLOOKUP(AH$1,$R$2:$R$18,$U$2:$U$18-$N9)^2)))</f>
        <v/>
      </c>
      <c r="AI9" s="151" t="str">
        <f t="array" ref="AI9">IF(AI$1=0,"",SQRT((_xlfn.XLOOKUP(AI$1,$R$2:$R$18,$S$2:$S$18)-$L9)^2+(_xlfn.XLOOKUP(AI$1,$R$2:$R$18,$T$2:$T$18)-$M9)^2+(_xlfn.XLOOKUP(AI$1,$R$2:$R$18,$U$2:$U$18-$N9)^2)))</f>
        <v/>
      </c>
      <c r="AJ9" s="151" t="str">
        <f t="array" ref="AJ9">IF(AJ$1=0,"",SQRT((_xlfn.XLOOKUP(AJ$1,$R$2:$R$18,$S$2:$S$18)-$L9)^2+(_xlfn.XLOOKUP(AJ$1,$R$2:$R$18,$T$2:$T$18)-$M9)^2+(_xlfn.XLOOKUP(AJ$1,$R$2:$R$18,$U$2:$U$18-$N9)^2)))</f>
        <v/>
      </c>
      <c r="AK9" s="151" t="str">
        <f t="array" ref="AK9">IF(AK$1=0,"",SQRT((_xlfn.XLOOKUP(AK$1,$R$2:$R$18,$S$2:$S$18)-$L9)^2+(_xlfn.XLOOKUP(AK$1,$R$2:$R$18,$T$2:$T$18)-$M9)^2+(_xlfn.XLOOKUP(AK$1,$R$2:$R$18,$U$2:$U$18-$N9)^2)))</f>
        <v/>
      </c>
      <c r="AL9" s="151" t="str">
        <f t="array" ref="AL9">IF(AL$1=0,"",SQRT((_xlfn.XLOOKUP(AL$1,$R$2:$R$18,$S$2:$S$18)-$L9)^2+(_xlfn.XLOOKUP(AL$1,$R$2:$R$18,$T$2:$T$18)-$M9)^2+(_xlfn.XLOOKUP(AL$1,$R$2:$R$18,$U$2:$U$18-$N9)^2)))</f>
        <v/>
      </c>
      <c r="AM9" s="151" t="str">
        <f t="array" ref="AM9">IF(AM$1=0,"",SQRT((_xlfn.XLOOKUP(AM$1,$R$2:$R$18,$S$2:$S$18)-$L9)^2+(_xlfn.XLOOKUP(AM$1,$R$2:$R$18,$T$2:$T$18)-$M9)^2+(_xlfn.XLOOKUP(AM$1,$R$2:$R$18,$U$2:$U$18-$N9)^2)))</f>
        <v/>
      </c>
      <c r="AN9" s="152" t="str">
        <f t="array" ref="AN9">IF(AN$1=0,"",SQRT((_xlfn.XLOOKUP(AN$1,$R$2:$R$18,$S$2:$S$18)-$L9)^2+(_xlfn.XLOOKUP(AN$1,$R$2:$R$18,$T$2:$T$18)-$M9)^2+(_xlfn.XLOOKUP(AN$1,$R$2:$R$18,$U$2:$U$18-$N9)^2)))</f>
        <v/>
      </c>
      <c r="AO9" s="134"/>
      <c r="AP9" s="134"/>
      <c r="AQ9" s="135">
        <f t="shared" si="4"/>
        <v>-38.184502978864401</v>
      </c>
      <c r="AR9" s="153">
        <f t="shared" si="5"/>
        <v>-35.19591391268434</v>
      </c>
      <c r="AS9" s="153">
        <f t="shared" si="6"/>
        <v>-39.321105154537854</v>
      </c>
      <c r="AT9" s="153">
        <f t="shared" si="7"/>
        <v>-43.064563015526566</v>
      </c>
      <c r="AU9" s="153">
        <f t="shared" si="8"/>
        <v>-41.878443915278005</v>
      </c>
      <c r="AV9" s="153">
        <f t="shared" si="9"/>
        <v>0</v>
      </c>
      <c r="AW9" s="153">
        <f t="shared" si="10"/>
        <v>0</v>
      </c>
      <c r="AX9" s="153">
        <f t="shared" si="11"/>
        <v>0</v>
      </c>
      <c r="AY9" s="154">
        <f t="shared" si="12"/>
        <v>0</v>
      </c>
      <c r="AZ9" s="154">
        <f t="shared" si="13"/>
        <v>0</v>
      </c>
      <c r="BA9" s="154">
        <f t="shared" si="14"/>
        <v>0</v>
      </c>
      <c r="BB9" s="154">
        <f t="shared" si="15"/>
        <v>0</v>
      </c>
      <c r="BC9" s="154">
        <f t="shared" si="16"/>
        <v>0</v>
      </c>
      <c r="BD9" s="154">
        <f t="shared" si="17"/>
        <v>0</v>
      </c>
      <c r="BE9" s="155">
        <f t="shared" si="18"/>
        <v>0</v>
      </c>
      <c r="BF9" s="134"/>
      <c r="BG9" s="41" t="s">
        <v>35</v>
      </c>
      <c r="BH9" s="162">
        <f>SQRT((BJ12-BI4)^2+(BJ13-BJ4)^2)</f>
        <v>3.4465093395748809</v>
      </c>
      <c r="BI9" s="44" t="s">
        <v>36</v>
      </c>
      <c r="BJ9" s="120">
        <f>(BJ7-BJ6)/(BI7-BI6)</f>
        <v>-4.9687499999999885</v>
      </c>
      <c r="BK9" s="163">
        <f>SLOPE(BJ6:BJ7,BI6:BI7)</f>
        <v>-4.9687499999999876</v>
      </c>
      <c r="BL9" s="134"/>
      <c r="BM9" s="134"/>
      <c r="BN9" s="140"/>
      <c r="BO9" s="140"/>
      <c r="BP9" s="140"/>
      <c r="BQ9" s="140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34"/>
      <c r="CD9" s="134"/>
      <c r="CE9" s="156">
        <f t="shared" si="35"/>
        <v>42.815497021135599</v>
      </c>
      <c r="CF9" s="157">
        <f t="shared" si="36"/>
        <v>45.80408608731566</v>
      </c>
      <c r="CG9" s="157">
        <f t="shared" si="37"/>
        <v>41.678894845462146</v>
      </c>
      <c r="CH9" s="157">
        <f t="shared" si="38"/>
        <v>37.935436984473434</v>
      </c>
      <c r="CI9" s="157">
        <f t="shared" si="39"/>
        <v>39.121556084721995</v>
      </c>
      <c r="CJ9" s="157" t="str">
        <f t="shared" si="40"/>
        <v/>
      </c>
      <c r="CK9" s="157" t="str">
        <f t="shared" si="41"/>
        <v/>
      </c>
      <c r="CL9" s="157" t="str">
        <f t="shared" si="42"/>
        <v/>
      </c>
      <c r="CM9" s="158" t="str">
        <f t="shared" si="43"/>
        <v/>
      </c>
      <c r="CN9" s="158" t="str">
        <f t="shared" si="44"/>
        <v/>
      </c>
      <c r="CO9" s="158" t="str">
        <f t="shared" si="45"/>
        <v/>
      </c>
      <c r="CP9" s="158" t="str">
        <f t="shared" si="46"/>
        <v/>
      </c>
      <c r="CQ9" s="143" t="str">
        <f t="shared" si="47"/>
        <v/>
      </c>
      <c r="CR9" s="143" t="str">
        <f t="shared" si="48"/>
        <v/>
      </c>
      <c r="CS9" s="144" t="str">
        <f t="shared" si="49"/>
        <v/>
      </c>
    </row>
    <row r="10" spans="1:113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147" t="s">
        <v>137</v>
      </c>
      <c r="F10" s="4">
        <v>58</v>
      </c>
      <c r="G10" s="4">
        <v>5</v>
      </c>
      <c r="H10" s="3">
        <v>1</v>
      </c>
      <c r="I10" s="128">
        <f t="shared" si="34"/>
        <v>73</v>
      </c>
      <c r="J10" s="3">
        <v>2</v>
      </c>
      <c r="K10" s="3"/>
      <c r="L10" s="4">
        <v>149.12</v>
      </c>
      <c r="M10" s="4">
        <v>114.25</v>
      </c>
      <c r="N10" s="109">
        <f t="shared" si="3"/>
        <v>76</v>
      </c>
      <c r="O10" s="81">
        <v>70</v>
      </c>
      <c r="P10" s="148">
        <v>6</v>
      </c>
      <c r="R10" s="9"/>
      <c r="S10" s="4"/>
      <c r="T10" s="4"/>
      <c r="U10" s="87"/>
      <c r="V10" s="8"/>
      <c r="W10" s="2" t="str">
        <v/>
      </c>
      <c r="Z10" s="149">
        <f t="array" ref="Z10">IF(Z$1=0,"",SQRT((_xlfn.XLOOKUP(Z$1,$R$2:$R$18,$S$2:$S$18)-$L10)^2+(_xlfn.XLOOKUP(Z$1,$R$2:$R$18,$T$2:$T$18)-$M10)^2+(_xlfn.XLOOKUP(Z$1,$R$2:$R$18,$U$2:$U$18-$N10)^2)))</f>
        <v>119.83147541443358</v>
      </c>
      <c r="AA10" s="150">
        <f t="array" ref="AA10">IF(AA$1=0,"",SQRT((_xlfn.XLOOKUP(AA$1,$R$2:$R$18,$S$2:$S$18)-$L10)^2+(_xlfn.XLOOKUP(AA$1,$R$2:$R$18,$T$2:$T$18)-$M10)^2+(_xlfn.XLOOKUP(AA$1,$R$2:$R$18,$U$2:$U$18-$N10)^2)))</f>
        <v>84.000240475846255</v>
      </c>
      <c r="AB10" s="150">
        <f t="array" ref="AB10">IF(AB$1=0,"",SQRT((_xlfn.XLOOKUP(AB$1,$R$2:$R$18,$S$2:$S$18)-$L10)^2+(_xlfn.XLOOKUP(AB$1,$R$2:$R$18,$T$2:$T$18)-$M10)^2+(_xlfn.XLOOKUP(AB$1,$R$2:$R$18,$U$2:$U$18-$N10)^2)))</f>
        <v>115.25239520287636</v>
      </c>
      <c r="AC10" s="150">
        <f t="array" ref="AC10">IF(AC$1=0,"",SQRT((_xlfn.XLOOKUP(AC$1,$R$2:$R$18,$S$2:$S$18)-$L10)^2+(_xlfn.XLOOKUP(AC$1,$R$2:$R$18,$T$2:$T$18)-$M10)^2+(_xlfn.XLOOKUP(AC$1,$R$2:$R$18,$U$2:$U$18-$N10)^2)))</f>
        <v>173.78146506460348</v>
      </c>
      <c r="AD10" s="150">
        <f t="array" ref="AD10">IF(AD$1=0,"",SQRT((_xlfn.XLOOKUP(AD$1,$R$2:$R$18,$S$2:$S$18)-$L10)^2+(_xlfn.XLOOKUP(AD$1,$R$2:$R$18,$T$2:$T$18)-$M10)^2+(_xlfn.XLOOKUP(AD$1,$R$2:$R$18,$U$2:$U$18-$N10)^2)))</f>
        <v>170.50656438976185</v>
      </c>
      <c r="AE10" s="150" t="str">
        <f t="array" ref="AE10">IF(AE$1=0,"",SQRT((_xlfn.XLOOKUP(AE$1,$R$2:$R$18,$S$2:$S$18)-$L10)^2+(_xlfn.XLOOKUP(AE$1,$R$2:$R$18,$T$2:$T$18)-$M10)^2+(_xlfn.XLOOKUP(AE$1,$R$2:$R$18,$U$2:$U$18-$N10)^2)))</f>
        <v/>
      </c>
      <c r="AF10" s="150" t="str">
        <f t="array" ref="AF10">IF(AF$1=0,"",SQRT((_xlfn.XLOOKUP(AF$1,$R$2:$R$18,$S$2:$S$18)-$L10)^2+(_xlfn.XLOOKUP(AF$1,$R$2:$R$18,$T$2:$T$18)-$M10)^2+(_xlfn.XLOOKUP(AF$1,$R$2:$R$18,$U$2:$U$18-$N10)^2)))</f>
        <v/>
      </c>
      <c r="AG10" s="150" t="str">
        <f t="array" ref="AG10">IF(AG$1=0,"",SQRT((_xlfn.XLOOKUP(AG$1,$R$2:$R$18,$S$2:$S$18)-$L10)^2+(_xlfn.XLOOKUP(AG$1,$R$2:$R$18,$T$2:$T$18)-$M10)^2+(_xlfn.XLOOKUP(AG$1,$R$2:$R$18,$U$2:$U$18-$N10)^2)))</f>
        <v/>
      </c>
      <c r="AH10" s="151" t="str">
        <f t="array" ref="AH10">IF(AH$1=0,"",SQRT((_xlfn.XLOOKUP(AH$1,$R$2:$R$18,$S$2:$S$18)-$L10)^2+(_xlfn.XLOOKUP(AH$1,$R$2:$R$18,$T$2:$T$18)-$M10)^2+(_xlfn.XLOOKUP(AH$1,$R$2:$R$18,$U$2:$U$18-$N10)^2)))</f>
        <v/>
      </c>
      <c r="AI10" s="151" t="str">
        <f t="array" ref="AI10">IF(AI$1=0,"",SQRT((_xlfn.XLOOKUP(AI$1,$R$2:$R$18,$S$2:$S$18)-$L10)^2+(_xlfn.XLOOKUP(AI$1,$R$2:$R$18,$T$2:$T$18)-$M10)^2+(_xlfn.XLOOKUP(AI$1,$R$2:$R$18,$U$2:$U$18-$N10)^2)))</f>
        <v/>
      </c>
      <c r="AJ10" s="151" t="str">
        <f t="array" ref="AJ10">IF(AJ$1=0,"",SQRT((_xlfn.XLOOKUP(AJ$1,$R$2:$R$18,$S$2:$S$18)-$L10)^2+(_xlfn.XLOOKUP(AJ$1,$R$2:$R$18,$T$2:$T$18)-$M10)^2+(_xlfn.XLOOKUP(AJ$1,$R$2:$R$18,$U$2:$U$18-$N10)^2)))</f>
        <v/>
      </c>
      <c r="AK10" s="151" t="str">
        <f t="array" ref="AK10">IF(AK$1=0,"",SQRT((_xlfn.XLOOKUP(AK$1,$R$2:$R$18,$S$2:$S$18)-$L10)^2+(_xlfn.XLOOKUP(AK$1,$R$2:$R$18,$T$2:$T$18)-$M10)^2+(_xlfn.XLOOKUP(AK$1,$R$2:$R$18,$U$2:$U$18-$N10)^2)))</f>
        <v/>
      </c>
      <c r="AL10" s="151" t="str">
        <f t="array" ref="AL10">IF(AL$1=0,"",SQRT((_xlfn.XLOOKUP(AL$1,$R$2:$R$18,$S$2:$S$18)-$L10)^2+(_xlfn.XLOOKUP(AL$1,$R$2:$R$18,$T$2:$T$18)-$M10)^2+(_xlfn.XLOOKUP(AL$1,$R$2:$R$18,$U$2:$U$18-$N10)^2)))</f>
        <v/>
      </c>
      <c r="AM10" s="151" t="str">
        <f t="array" ref="AM10">IF(AM$1=0,"",SQRT((_xlfn.XLOOKUP(AM$1,$R$2:$R$18,$S$2:$S$18)-$L10)^2+(_xlfn.XLOOKUP(AM$1,$R$2:$R$18,$T$2:$T$18)-$M10)^2+(_xlfn.XLOOKUP(AM$1,$R$2:$R$18,$U$2:$U$18-$N10)^2)))</f>
        <v/>
      </c>
      <c r="AN10" s="152" t="str">
        <f t="array" ref="AN10">IF(AN$1=0,"",SQRT((_xlfn.XLOOKUP(AN$1,$R$2:$R$18,$S$2:$S$18)-$L10)^2+(_xlfn.XLOOKUP(AN$1,$R$2:$R$18,$T$2:$T$18)-$M10)^2+(_xlfn.XLOOKUP(AN$1,$R$2:$R$18,$U$2:$U$18-$N10)^2)))</f>
        <v/>
      </c>
      <c r="AO10" s="134"/>
      <c r="AP10" s="134"/>
      <c r="AQ10" s="135">
        <f t="shared" si="4"/>
        <v>-39.233516068180428</v>
      </c>
      <c r="AR10" s="153">
        <f t="shared" si="5"/>
        <v>-36.147708524166127</v>
      </c>
      <c r="AS10" s="153">
        <f t="shared" si="6"/>
        <v>-38.89509713228032</v>
      </c>
      <c r="AT10" s="153">
        <f t="shared" si="7"/>
        <v>-42.462167021369211</v>
      </c>
      <c r="AU10" s="153">
        <f t="shared" si="8"/>
        <v>-42.296920010936347</v>
      </c>
      <c r="AV10" s="153">
        <f t="shared" si="9"/>
        <v>0</v>
      </c>
      <c r="AW10" s="153">
        <f t="shared" si="10"/>
        <v>0</v>
      </c>
      <c r="AX10" s="153">
        <f t="shared" si="11"/>
        <v>0</v>
      </c>
      <c r="AY10" s="154">
        <f t="shared" si="12"/>
        <v>0</v>
      </c>
      <c r="AZ10" s="154">
        <f t="shared" si="13"/>
        <v>0</v>
      </c>
      <c r="BA10" s="154">
        <f t="shared" si="14"/>
        <v>0</v>
      </c>
      <c r="BB10" s="154">
        <f t="shared" si="15"/>
        <v>0</v>
      </c>
      <c r="BC10" s="154">
        <f t="shared" si="16"/>
        <v>0</v>
      </c>
      <c r="BD10" s="154">
        <f t="shared" si="17"/>
        <v>0</v>
      </c>
      <c r="BE10" s="155">
        <f t="shared" si="18"/>
        <v>0</v>
      </c>
      <c r="BF10" s="134"/>
      <c r="BG10" s="41" t="s">
        <v>37</v>
      </c>
      <c r="BH10" s="164">
        <f>BH8-BH9</f>
        <v>36.427274027444611</v>
      </c>
      <c r="BI10" s="44" t="s">
        <v>38</v>
      </c>
      <c r="BJ10" s="120">
        <f>BJ4-(BJ8*BI4)</f>
        <v>73.454360480640858</v>
      </c>
      <c r="BK10" s="163">
        <f>INTERCEPT(BJ4:BJ5,BI4:BI5)</f>
        <v>73.454360480640858</v>
      </c>
      <c r="BL10" s="134"/>
      <c r="BM10" s="134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34"/>
      <c r="CD10" s="134"/>
      <c r="CE10" s="156">
        <f t="shared" si="35"/>
        <v>33.766483931819572</v>
      </c>
      <c r="CF10" s="157">
        <f t="shared" si="36"/>
        <v>36.852291475833873</v>
      </c>
      <c r="CG10" s="157">
        <f t="shared" si="37"/>
        <v>34.10490286771968</v>
      </c>
      <c r="CH10" s="157">
        <f t="shared" si="38"/>
        <v>30.537832978630789</v>
      </c>
      <c r="CI10" s="157">
        <f t="shared" si="39"/>
        <v>30.703079989063653</v>
      </c>
      <c r="CJ10" s="157" t="str">
        <f t="shared" si="40"/>
        <v/>
      </c>
      <c r="CK10" s="157" t="str">
        <f t="shared" si="41"/>
        <v/>
      </c>
      <c r="CL10" s="157" t="str">
        <f t="shared" si="42"/>
        <v/>
      </c>
      <c r="CM10" s="158" t="str">
        <f t="shared" si="43"/>
        <v/>
      </c>
      <c r="CN10" s="158" t="str">
        <f t="shared" si="44"/>
        <v/>
      </c>
      <c r="CO10" s="158" t="str">
        <f t="shared" si="45"/>
        <v/>
      </c>
      <c r="CP10" s="158" t="str">
        <f t="shared" si="46"/>
        <v/>
      </c>
      <c r="CQ10" s="143" t="str">
        <f t="shared" si="47"/>
        <v/>
      </c>
      <c r="CR10" s="143" t="str">
        <f t="shared" si="48"/>
        <v/>
      </c>
      <c r="CS10" s="144" t="str">
        <f t="shared" si="49"/>
        <v/>
      </c>
    </row>
    <row r="11" spans="1:113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147" t="s">
        <v>139</v>
      </c>
      <c r="F11" s="4">
        <v>60</v>
      </c>
      <c r="G11" s="4">
        <v>5</v>
      </c>
      <c r="H11" s="3">
        <v>1</v>
      </c>
      <c r="I11" s="128">
        <f t="shared" si="34"/>
        <v>75</v>
      </c>
      <c r="J11" s="3">
        <v>2</v>
      </c>
      <c r="K11" s="3"/>
      <c r="L11" s="4">
        <v>114.64</v>
      </c>
      <c r="M11" s="4">
        <v>101.82</v>
      </c>
      <c r="N11" s="109">
        <f t="shared" si="3"/>
        <v>76</v>
      </c>
      <c r="O11" s="81">
        <v>70</v>
      </c>
      <c r="P11" s="148">
        <v>6</v>
      </c>
      <c r="R11" s="9"/>
      <c r="S11" s="4"/>
      <c r="T11" s="4"/>
      <c r="U11" s="87"/>
      <c r="V11" s="8"/>
      <c r="W11" s="2" t="str">
        <v/>
      </c>
      <c r="Z11" s="149">
        <f t="array" ref="Z11">IF(Z$1=0,"",SQRT((_xlfn.XLOOKUP(Z$1,$R$2:$R$18,$S$2:$S$18)-$L11)^2+(_xlfn.XLOOKUP(Z$1,$R$2:$R$18,$T$2:$T$18)-$M11)^2+(_xlfn.XLOOKUP(Z$1,$R$2:$R$18,$U$2:$U$18-$N11)^2)))</f>
        <v>83.683269534596931</v>
      </c>
      <c r="AA11" s="150">
        <f t="array" ref="AA11">IF(AA$1=0,"",SQRT((_xlfn.XLOOKUP(AA$1,$R$2:$R$18,$S$2:$S$18)-$L11)^2+(_xlfn.XLOOKUP(AA$1,$R$2:$R$18,$T$2:$T$18)-$M11)^2+(_xlfn.XLOOKUP(AA$1,$R$2:$R$18,$U$2:$U$18-$N11)^2)))</f>
        <v>61.662816186093863</v>
      </c>
      <c r="AB11" s="150">
        <f t="array" ref="AB11">IF(AB$1=0,"",SQRT((_xlfn.XLOOKUP(AB$1,$R$2:$R$18,$S$2:$S$18)-$L11)^2+(_xlfn.XLOOKUP(AB$1,$R$2:$R$18,$T$2:$T$18)-$M11)^2+(_xlfn.XLOOKUP(AB$1,$R$2:$R$18,$U$2:$U$18-$N11)^2)))</f>
        <v>130.48861751126032</v>
      </c>
      <c r="AC11" s="150">
        <f t="array" ref="AC11">IF(AC$1=0,"",SQRT((_xlfn.XLOOKUP(AC$1,$R$2:$R$18,$S$2:$S$18)-$L11)^2+(_xlfn.XLOOKUP(AC$1,$R$2:$R$18,$T$2:$T$18)-$M11)^2+(_xlfn.XLOOKUP(AC$1,$R$2:$R$18,$U$2:$U$18-$N11)^2)))</f>
        <v>205.9662625285996</v>
      </c>
      <c r="AD11" s="150">
        <f t="array" ref="AD11">IF(AD$1=0,"",SQRT((_xlfn.XLOOKUP(AD$1,$R$2:$R$18,$S$2:$S$18)-$L11)^2+(_xlfn.XLOOKUP(AD$1,$R$2:$R$18,$T$2:$T$18)-$M11)^2+(_xlfn.XLOOKUP(AD$1,$R$2:$R$18,$U$2:$U$18-$N11)^2)))</f>
        <v>153.58843771586456</v>
      </c>
      <c r="AE11" s="150" t="str">
        <f t="array" ref="AE11">IF(AE$1=0,"",SQRT((_xlfn.XLOOKUP(AE$1,$R$2:$R$18,$S$2:$S$18)-$L11)^2+(_xlfn.XLOOKUP(AE$1,$R$2:$R$18,$T$2:$T$18)-$M11)^2+(_xlfn.XLOOKUP(AE$1,$R$2:$R$18,$U$2:$U$18-$N11)^2)))</f>
        <v/>
      </c>
      <c r="AF11" s="150" t="str">
        <f t="array" ref="AF11">IF(AF$1=0,"",SQRT((_xlfn.XLOOKUP(AF$1,$R$2:$R$18,$S$2:$S$18)-$L11)^2+(_xlfn.XLOOKUP(AF$1,$R$2:$R$18,$T$2:$T$18)-$M11)^2+(_xlfn.XLOOKUP(AF$1,$R$2:$R$18,$U$2:$U$18-$N11)^2)))</f>
        <v/>
      </c>
      <c r="AG11" s="150" t="str">
        <f t="array" ref="AG11">IF(AG$1=0,"",SQRT((_xlfn.XLOOKUP(AG$1,$R$2:$R$18,$S$2:$S$18)-$L11)^2+(_xlfn.XLOOKUP(AG$1,$R$2:$R$18,$T$2:$T$18)-$M11)^2+(_xlfn.XLOOKUP(AG$1,$R$2:$R$18,$U$2:$U$18-$N11)^2)))</f>
        <v/>
      </c>
      <c r="AH11" s="151" t="str">
        <f t="array" ref="AH11">IF(AH$1=0,"",SQRT((_xlfn.XLOOKUP(AH$1,$R$2:$R$18,$S$2:$S$18)-$L11)^2+(_xlfn.XLOOKUP(AH$1,$R$2:$R$18,$T$2:$T$18)-$M11)^2+(_xlfn.XLOOKUP(AH$1,$R$2:$R$18,$U$2:$U$18-$N11)^2)))</f>
        <v/>
      </c>
      <c r="AI11" s="151" t="str">
        <f t="array" ref="AI11">IF(AI$1=0,"",SQRT((_xlfn.XLOOKUP(AI$1,$R$2:$R$18,$S$2:$S$18)-$L11)^2+(_xlfn.XLOOKUP(AI$1,$R$2:$R$18,$T$2:$T$18)-$M11)^2+(_xlfn.XLOOKUP(AI$1,$R$2:$R$18,$U$2:$U$18-$N11)^2)))</f>
        <v/>
      </c>
      <c r="AJ11" s="151" t="str">
        <f t="array" ref="AJ11">IF(AJ$1=0,"",SQRT((_xlfn.XLOOKUP(AJ$1,$R$2:$R$18,$S$2:$S$18)-$L11)^2+(_xlfn.XLOOKUP(AJ$1,$R$2:$R$18,$T$2:$T$18)-$M11)^2+(_xlfn.XLOOKUP(AJ$1,$R$2:$R$18,$U$2:$U$18-$N11)^2)))</f>
        <v/>
      </c>
      <c r="AK11" s="151" t="str">
        <f t="array" ref="AK11">IF(AK$1=0,"",SQRT((_xlfn.XLOOKUP(AK$1,$R$2:$R$18,$S$2:$S$18)-$L11)^2+(_xlfn.XLOOKUP(AK$1,$R$2:$R$18,$T$2:$T$18)-$M11)^2+(_xlfn.XLOOKUP(AK$1,$R$2:$R$18,$U$2:$U$18-$N11)^2)))</f>
        <v/>
      </c>
      <c r="AL11" s="151" t="str">
        <f t="array" ref="AL11">IF(AL$1=0,"",SQRT((_xlfn.XLOOKUP(AL$1,$R$2:$R$18,$S$2:$S$18)-$L11)^2+(_xlfn.XLOOKUP(AL$1,$R$2:$R$18,$T$2:$T$18)-$M11)^2+(_xlfn.XLOOKUP(AL$1,$R$2:$R$18,$U$2:$U$18-$N11)^2)))</f>
        <v/>
      </c>
      <c r="AM11" s="151" t="str">
        <f t="array" ref="AM11">IF(AM$1=0,"",SQRT((_xlfn.XLOOKUP(AM$1,$R$2:$R$18,$S$2:$S$18)-$L11)^2+(_xlfn.XLOOKUP(AM$1,$R$2:$R$18,$T$2:$T$18)-$M11)^2+(_xlfn.XLOOKUP(AM$1,$R$2:$R$18,$U$2:$U$18-$N11)^2)))</f>
        <v/>
      </c>
      <c r="AN11" s="152" t="str">
        <f t="array" ref="AN11">IF(AN$1=0,"",SQRT((_xlfn.XLOOKUP(AN$1,$R$2:$R$18,$S$2:$S$18)-$L11)^2+(_xlfn.XLOOKUP(AN$1,$R$2:$R$18,$T$2:$T$18)-$M11)^2+(_xlfn.XLOOKUP(AN$1,$R$2:$R$18,$U$2:$U$18-$N11)^2)))</f>
        <v/>
      </c>
      <c r="AO11" s="134"/>
      <c r="AP11" s="134"/>
      <c r="AQ11" s="135">
        <f t="shared" si="4"/>
        <v>-36.114870734770832</v>
      </c>
      <c r="AR11" s="153">
        <f t="shared" si="5"/>
        <v>-33.462565044758826</v>
      </c>
      <c r="AS11" s="153">
        <f t="shared" si="6"/>
        <v>-39.973550535529917</v>
      </c>
      <c r="AT11" s="153">
        <f t="shared" si="7"/>
        <v>-43.938019703771531</v>
      </c>
      <c r="AU11" s="153">
        <f t="shared" si="8"/>
        <v>-41.389268393394005</v>
      </c>
      <c r="AV11" s="153">
        <f t="shared" si="9"/>
        <v>0</v>
      </c>
      <c r="AW11" s="153">
        <f t="shared" si="10"/>
        <v>0</v>
      </c>
      <c r="AX11" s="153">
        <f t="shared" si="11"/>
        <v>0</v>
      </c>
      <c r="AY11" s="154">
        <f t="shared" si="12"/>
        <v>0</v>
      </c>
      <c r="AZ11" s="154">
        <f t="shared" si="13"/>
        <v>0</v>
      </c>
      <c r="BA11" s="154">
        <f t="shared" si="14"/>
        <v>0</v>
      </c>
      <c r="BB11" s="154">
        <f t="shared" si="15"/>
        <v>0</v>
      </c>
      <c r="BC11" s="154">
        <f t="shared" si="16"/>
        <v>0</v>
      </c>
      <c r="BD11" s="154">
        <f t="shared" si="17"/>
        <v>0</v>
      </c>
      <c r="BE11" s="155">
        <f t="shared" si="18"/>
        <v>0</v>
      </c>
      <c r="BF11" s="134"/>
      <c r="BG11" s="41" t="s">
        <v>39</v>
      </c>
      <c r="BH11" s="165">
        <f>SQRT(BH8^2+(BK5-BK4)^2)</f>
        <v>41.23310078080474</v>
      </c>
      <c r="BI11" s="44" t="s">
        <v>40</v>
      </c>
      <c r="BJ11" s="120">
        <f>BJ6-(BJ9*BI6)</f>
        <v>433.48249999999928</v>
      </c>
      <c r="BK11" s="163">
        <f>INTERCEPT(BJ6:BJ7,BI6:BI7)</f>
        <v>433.48249999999922</v>
      </c>
      <c r="BL11" s="134"/>
      <c r="BM11" s="134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34"/>
      <c r="CD11" s="134"/>
      <c r="CE11" s="156">
        <f t="shared" si="35"/>
        <v>38.885129265229168</v>
      </c>
      <c r="CF11" s="157">
        <f t="shared" si="36"/>
        <v>41.537434955241174</v>
      </c>
      <c r="CG11" s="157">
        <f t="shared" si="37"/>
        <v>35.026449464470083</v>
      </c>
      <c r="CH11" s="157">
        <f t="shared" si="38"/>
        <v>31.061980296228469</v>
      </c>
      <c r="CI11" s="157">
        <f t="shared" si="39"/>
        <v>33.610731606605995</v>
      </c>
      <c r="CJ11" s="157" t="str">
        <f t="shared" si="40"/>
        <v/>
      </c>
      <c r="CK11" s="157" t="str">
        <f t="shared" si="41"/>
        <v/>
      </c>
      <c r="CL11" s="157" t="str">
        <f t="shared" si="42"/>
        <v/>
      </c>
      <c r="CM11" s="158" t="str">
        <f t="shared" si="43"/>
        <v/>
      </c>
      <c r="CN11" s="158" t="str">
        <f t="shared" si="44"/>
        <v/>
      </c>
      <c r="CO11" s="158" t="str">
        <f t="shared" si="45"/>
        <v/>
      </c>
      <c r="CP11" s="158" t="str">
        <f t="shared" si="46"/>
        <v/>
      </c>
      <c r="CQ11" s="143" t="str">
        <f t="shared" si="47"/>
        <v/>
      </c>
      <c r="CR11" s="143" t="str">
        <f t="shared" si="48"/>
        <v/>
      </c>
      <c r="CS11" s="144" t="str">
        <f t="shared" si="49"/>
        <v/>
      </c>
    </row>
    <row r="12" spans="1:113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147" t="s">
        <v>140</v>
      </c>
      <c r="F12" s="4">
        <v>58</v>
      </c>
      <c r="G12" s="4">
        <v>5</v>
      </c>
      <c r="H12" s="3">
        <v>1</v>
      </c>
      <c r="I12" s="128">
        <f t="shared" si="34"/>
        <v>73</v>
      </c>
      <c r="J12" s="3">
        <v>2</v>
      </c>
      <c r="K12" s="3"/>
      <c r="L12" s="4">
        <v>230.36</v>
      </c>
      <c r="M12" s="4">
        <v>44.95</v>
      </c>
      <c r="N12" s="109">
        <f t="shared" si="3"/>
        <v>74</v>
      </c>
      <c r="O12" s="81">
        <v>70</v>
      </c>
      <c r="P12" s="148">
        <v>4</v>
      </c>
      <c r="R12" s="9"/>
      <c r="S12" s="4"/>
      <c r="T12" s="4"/>
      <c r="U12" s="87"/>
      <c r="V12" s="8"/>
      <c r="W12" s="2" t="str">
        <v/>
      </c>
      <c r="Z12" s="149">
        <f t="array" ref="Z12">IF(Z$1=0,"",SQRT((_xlfn.XLOOKUP(Z$1,$R$2:$R$18,$S$2:$S$18)-$L12)^2+(_xlfn.XLOOKUP(Z$1,$R$2:$R$18,$T$2:$T$18)-$M12)^2+(_xlfn.XLOOKUP(Z$1,$R$2:$R$18,$U$2:$U$18-$N12)^2)))</f>
        <v>201.433798802485</v>
      </c>
      <c r="AA12" s="150">
        <f t="array" ref="AA12">IF(AA$1=0,"",SQRT((_xlfn.XLOOKUP(AA$1,$R$2:$R$18,$S$2:$S$18)-$L12)^2+(_xlfn.XLOOKUP(AA$1,$R$2:$R$18,$T$2:$T$18)-$M12)^2+(_xlfn.XLOOKUP(AA$1,$R$2:$R$18,$U$2:$U$18-$N12)^2)))</f>
        <v>130.49022951930158</v>
      </c>
      <c r="AB12" s="150">
        <f t="array" ref="AB12">IF(AB$1=0,"",SQRT((_xlfn.XLOOKUP(AB$1,$R$2:$R$18,$S$2:$S$18)-$L12)^2+(_xlfn.XLOOKUP(AB$1,$R$2:$R$18,$T$2:$T$18)-$M12)^2+(_xlfn.XLOOKUP(AB$1,$R$2:$R$18,$U$2:$U$18-$N12)^2)))</f>
        <v>29.634861227952474</v>
      </c>
      <c r="AC12" s="150">
        <f t="array" ref="AC12">IF(AC$1=0,"",SQRT((_xlfn.XLOOKUP(AC$1,$R$2:$R$18,$S$2:$S$18)-$L12)^2+(_xlfn.XLOOKUP(AC$1,$R$2:$R$18,$T$2:$T$18)-$M12)^2+(_xlfn.XLOOKUP(AC$1,$R$2:$R$18,$U$2:$U$18-$N12)^2)))</f>
        <v>101.82735388882497</v>
      </c>
      <c r="AD12" s="150">
        <f t="array" ref="AD12">IF(AD$1=0,"",SQRT((_xlfn.XLOOKUP(AD$1,$R$2:$R$18,$S$2:$S$18)-$L12)^2+(_xlfn.XLOOKUP(AD$1,$R$2:$R$18,$T$2:$T$18)-$M12)^2+(_xlfn.XLOOKUP(AD$1,$R$2:$R$18,$U$2:$U$18-$N12)^2)))</f>
        <v>275.81448711044897</v>
      </c>
      <c r="AE12" s="150" t="str">
        <f t="array" ref="AE12">IF(AE$1=0,"",SQRT((_xlfn.XLOOKUP(AE$1,$R$2:$R$18,$S$2:$S$18)-$L12)^2+(_xlfn.XLOOKUP(AE$1,$R$2:$R$18,$T$2:$T$18)-$M12)^2+(_xlfn.XLOOKUP(AE$1,$R$2:$R$18,$U$2:$U$18-$N12)^2)))</f>
        <v/>
      </c>
      <c r="AF12" s="150" t="str">
        <f t="array" ref="AF12">IF(AF$1=0,"",SQRT((_xlfn.XLOOKUP(AF$1,$R$2:$R$18,$S$2:$S$18)-$L12)^2+(_xlfn.XLOOKUP(AF$1,$R$2:$R$18,$T$2:$T$18)-$M12)^2+(_xlfn.XLOOKUP(AF$1,$R$2:$R$18,$U$2:$U$18-$N12)^2)))</f>
        <v/>
      </c>
      <c r="AG12" s="150" t="str">
        <f t="array" ref="AG12">IF(AG$1=0,"",SQRT((_xlfn.XLOOKUP(AG$1,$R$2:$R$18,$S$2:$S$18)-$L12)^2+(_xlfn.XLOOKUP(AG$1,$R$2:$R$18,$T$2:$T$18)-$M12)^2+(_xlfn.XLOOKUP(AG$1,$R$2:$R$18,$U$2:$U$18-$N12)^2)))</f>
        <v/>
      </c>
      <c r="AH12" s="151" t="str">
        <f t="array" ref="AH12">IF(AH$1=0,"",SQRT((_xlfn.XLOOKUP(AH$1,$R$2:$R$18,$S$2:$S$18)-$L12)^2+(_xlfn.XLOOKUP(AH$1,$R$2:$R$18,$T$2:$T$18)-$M12)^2+(_xlfn.XLOOKUP(AH$1,$R$2:$R$18,$U$2:$U$18-$N12)^2)))</f>
        <v/>
      </c>
      <c r="AI12" s="151" t="str">
        <f t="array" ref="AI12">IF(AI$1=0,"",SQRT((_xlfn.XLOOKUP(AI$1,$R$2:$R$18,$S$2:$S$18)-$L12)^2+(_xlfn.XLOOKUP(AI$1,$R$2:$R$18,$T$2:$T$18)-$M12)^2+(_xlfn.XLOOKUP(AI$1,$R$2:$R$18,$U$2:$U$18-$N12)^2)))</f>
        <v/>
      </c>
      <c r="AJ12" s="151" t="str">
        <f t="array" ref="AJ12">IF(AJ$1=0,"",SQRT((_xlfn.XLOOKUP(AJ$1,$R$2:$R$18,$S$2:$S$18)-$L12)^2+(_xlfn.XLOOKUP(AJ$1,$R$2:$R$18,$T$2:$T$18)-$M12)^2+(_xlfn.XLOOKUP(AJ$1,$R$2:$R$18,$U$2:$U$18-$N12)^2)))</f>
        <v/>
      </c>
      <c r="AK12" s="151" t="str">
        <f t="array" ref="AK12">IF(AK$1=0,"",SQRT((_xlfn.XLOOKUP(AK$1,$R$2:$R$18,$S$2:$S$18)-$L12)^2+(_xlfn.XLOOKUP(AK$1,$R$2:$R$18,$T$2:$T$18)-$M12)^2+(_xlfn.XLOOKUP(AK$1,$R$2:$R$18,$U$2:$U$18-$N12)^2)))</f>
        <v/>
      </c>
      <c r="AL12" s="151" t="str">
        <f t="array" ref="AL12">IF(AL$1=0,"",SQRT((_xlfn.XLOOKUP(AL$1,$R$2:$R$18,$S$2:$S$18)-$L12)^2+(_xlfn.XLOOKUP(AL$1,$R$2:$R$18,$T$2:$T$18)-$M12)^2+(_xlfn.XLOOKUP(AL$1,$R$2:$R$18,$U$2:$U$18-$N12)^2)))</f>
        <v/>
      </c>
      <c r="AM12" s="151" t="str">
        <f t="array" ref="AM12">IF(AM$1=0,"",SQRT((_xlfn.XLOOKUP(AM$1,$R$2:$R$18,$S$2:$S$18)-$L12)^2+(_xlfn.XLOOKUP(AM$1,$R$2:$R$18,$T$2:$T$18)-$M12)^2+(_xlfn.XLOOKUP(AM$1,$R$2:$R$18,$U$2:$U$18-$N12)^2)))</f>
        <v/>
      </c>
      <c r="AN12" s="152" t="str">
        <f t="array" ref="AN12">IF(AN$1=0,"",SQRT((_xlfn.XLOOKUP(AN$1,$R$2:$R$18,$S$2:$S$18)-$L12)^2+(_xlfn.XLOOKUP(AN$1,$R$2:$R$18,$T$2:$T$18)-$M12)^2+(_xlfn.XLOOKUP(AN$1,$R$2:$R$18,$U$2:$U$18-$N12)^2)))</f>
        <v/>
      </c>
      <c r="AO12" s="134"/>
      <c r="AP12" s="134"/>
      <c r="AQ12" s="135">
        <f t="shared" si="4"/>
        <v>-43.744744798709725</v>
      </c>
      <c r="AR12" s="153">
        <f t="shared" si="5"/>
        <v>-39.973657837130041</v>
      </c>
      <c r="AS12" s="153">
        <f t="shared" si="6"/>
        <v>-27.098155894854209</v>
      </c>
      <c r="AT12" s="153">
        <f t="shared" si="7"/>
        <v>-37.819387101508653</v>
      </c>
      <c r="AU12" s="153">
        <f t="shared" si="8"/>
        <v>-46.474439410631803</v>
      </c>
      <c r="AV12" s="153">
        <f t="shared" si="9"/>
        <v>0</v>
      </c>
      <c r="AW12" s="153">
        <f t="shared" si="10"/>
        <v>0</v>
      </c>
      <c r="AX12" s="153">
        <f t="shared" si="11"/>
        <v>0</v>
      </c>
      <c r="AY12" s="154">
        <f t="shared" si="12"/>
        <v>0</v>
      </c>
      <c r="AZ12" s="154">
        <f t="shared" si="13"/>
        <v>0</v>
      </c>
      <c r="BA12" s="154">
        <f t="shared" si="14"/>
        <v>0</v>
      </c>
      <c r="BB12" s="154">
        <f t="shared" si="15"/>
        <v>0</v>
      </c>
      <c r="BC12" s="154">
        <f t="shared" si="16"/>
        <v>0</v>
      </c>
      <c r="BD12" s="154">
        <f t="shared" si="17"/>
        <v>0</v>
      </c>
      <c r="BE12" s="155">
        <f t="shared" si="18"/>
        <v>0</v>
      </c>
      <c r="BF12" s="134"/>
      <c r="BG12" s="41" t="s">
        <v>41</v>
      </c>
      <c r="BH12" s="164">
        <f>BH13+BH14-BH11</f>
        <v>9.7655792552913567E-2</v>
      </c>
      <c r="BI12" s="44" t="s">
        <v>42</v>
      </c>
      <c r="BJ12" s="120">
        <f>(BJ11-BJ10)/(BJ8-BJ9)</f>
        <v>67.492991523050776</v>
      </c>
      <c r="BK12" s="163">
        <f>(BK11-BK10)/(BK8-BK9)</f>
        <v>67.492991523050776</v>
      </c>
      <c r="BL12" s="134"/>
      <c r="BM12" s="134"/>
      <c r="BN12" s="140"/>
      <c r="BO12" s="140"/>
      <c r="BP12" s="140"/>
      <c r="BQ12" s="140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34"/>
      <c r="CD12" s="134"/>
      <c r="CE12" s="156">
        <f t="shared" si="35"/>
        <v>29.255255201290275</v>
      </c>
      <c r="CF12" s="157">
        <f t="shared" si="36"/>
        <v>33.026342162869959</v>
      </c>
      <c r="CG12" s="157">
        <f t="shared" si="37"/>
        <v>45.901844105145791</v>
      </c>
      <c r="CH12" s="157">
        <f t="shared" si="38"/>
        <v>35.180612898491347</v>
      </c>
      <c r="CI12" s="157">
        <f t="shared" si="39"/>
        <v>26.525560589368197</v>
      </c>
      <c r="CJ12" s="157" t="str">
        <f t="shared" si="40"/>
        <v/>
      </c>
      <c r="CK12" s="157" t="str">
        <f t="shared" si="41"/>
        <v/>
      </c>
      <c r="CL12" s="157" t="str">
        <f t="shared" si="42"/>
        <v/>
      </c>
      <c r="CM12" s="158" t="str">
        <f t="shared" si="43"/>
        <v/>
      </c>
      <c r="CN12" s="158" t="str">
        <f t="shared" si="44"/>
        <v/>
      </c>
      <c r="CO12" s="158" t="str">
        <f t="shared" si="45"/>
        <v/>
      </c>
      <c r="CP12" s="158" t="str">
        <f t="shared" si="46"/>
        <v/>
      </c>
      <c r="CQ12" s="143" t="str">
        <f t="shared" si="47"/>
        <v/>
      </c>
      <c r="CR12" s="143" t="str">
        <f t="shared" si="48"/>
        <v/>
      </c>
      <c r="CS12" s="144" t="str">
        <f t="shared" si="49"/>
        <v/>
      </c>
    </row>
    <row r="13" spans="1:113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147" t="s">
        <v>140</v>
      </c>
      <c r="F13" s="4">
        <v>58</v>
      </c>
      <c r="G13" s="4">
        <v>5</v>
      </c>
      <c r="H13" s="3">
        <v>1</v>
      </c>
      <c r="I13" s="128">
        <f t="shared" si="34"/>
        <v>73</v>
      </c>
      <c r="J13" s="3">
        <v>2</v>
      </c>
      <c r="K13" s="3"/>
      <c r="L13" s="4">
        <v>169.49</v>
      </c>
      <c r="M13" s="4">
        <v>137.19</v>
      </c>
      <c r="N13" s="109">
        <f t="shared" si="3"/>
        <v>74</v>
      </c>
      <c r="O13" s="81">
        <v>70</v>
      </c>
      <c r="P13" s="148">
        <v>4</v>
      </c>
      <c r="R13" s="9"/>
      <c r="S13" s="4"/>
      <c r="T13" s="4"/>
      <c r="U13" s="87"/>
      <c r="V13" s="8"/>
      <c r="W13" s="2" t="str">
        <v/>
      </c>
      <c r="Z13" s="149">
        <f t="array" ref="Z13">IF(Z$1=0,"",SQRT((_xlfn.XLOOKUP(Z$1,$R$2:$R$18,$S$2:$S$18)-$L13)^2+(_xlfn.XLOOKUP(Z$1,$R$2:$R$18,$T$2:$T$18)-$M13)^2+(_xlfn.XLOOKUP(Z$1,$R$2:$R$18,$U$2:$U$18-$N13)^2)))</f>
        <v>145.92336687453454</v>
      </c>
      <c r="AA13" s="150">
        <f t="array" ref="AA13">IF(AA$1=0,"",SQRT((_xlfn.XLOOKUP(AA$1,$R$2:$R$18,$S$2:$S$18)-$L13)^2+(_xlfn.XLOOKUP(AA$1,$R$2:$R$18,$T$2:$T$18)-$M13)^2+(_xlfn.XLOOKUP(AA$1,$R$2:$R$18,$U$2:$U$18-$N13)^2)))</f>
        <v>111.76248610334328</v>
      </c>
      <c r="AB13" s="150">
        <f t="array" ref="AB13">IF(AB$1=0,"",SQRT((_xlfn.XLOOKUP(AB$1,$R$2:$R$18,$S$2:$S$18)-$L13)^2+(_xlfn.XLOOKUP(AB$1,$R$2:$R$18,$T$2:$T$18)-$M13)^2+(_xlfn.XLOOKUP(AB$1,$R$2:$R$18,$U$2:$U$18-$N13)^2)))</f>
        <v>124.93176737723675</v>
      </c>
      <c r="AC13" s="150">
        <f t="array" ref="AC13">IF(AC$1=0,"",SQRT((_xlfn.XLOOKUP(AC$1,$R$2:$R$18,$S$2:$S$18)-$L13)^2+(_xlfn.XLOOKUP(AC$1,$R$2:$R$18,$T$2:$T$18)-$M13)^2+(_xlfn.XLOOKUP(AC$1,$R$2:$R$18,$U$2:$U$18-$N13)^2)))</f>
        <v>159.4939701054557</v>
      </c>
      <c r="AD13" s="150">
        <f t="array" ref="AD13">IF(AD$1=0,"",SQRT((_xlfn.XLOOKUP(AD$1,$R$2:$R$18,$S$2:$S$18)-$L13)^2+(_xlfn.XLOOKUP(AD$1,$R$2:$R$18,$T$2:$T$18)-$M13)^2+(_xlfn.XLOOKUP(AD$1,$R$2:$R$18,$U$2:$U$18-$N13)^2)))</f>
        <v>175.55727612377677</v>
      </c>
      <c r="AE13" s="150" t="str">
        <f t="array" ref="AE13">IF(AE$1=0,"",SQRT((_xlfn.XLOOKUP(AE$1,$R$2:$R$18,$S$2:$S$18)-$L13)^2+(_xlfn.XLOOKUP(AE$1,$R$2:$R$18,$T$2:$T$18)-$M13)^2+(_xlfn.XLOOKUP(AE$1,$R$2:$R$18,$U$2:$U$18-$N13)^2)))</f>
        <v/>
      </c>
      <c r="AF13" s="150" t="str">
        <f t="array" ref="AF13">IF(AF$1=0,"",SQRT((_xlfn.XLOOKUP(AF$1,$R$2:$R$18,$S$2:$S$18)-$L13)^2+(_xlfn.XLOOKUP(AF$1,$R$2:$R$18,$T$2:$T$18)-$M13)^2+(_xlfn.XLOOKUP(AF$1,$R$2:$R$18,$U$2:$U$18-$N13)^2)))</f>
        <v/>
      </c>
      <c r="AG13" s="150" t="str">
        <f t="array" ref="AG13">IF(AG$1=0,"",SQRT((_xlfn.XLOOKUP(AG$1,$R$2:$R$18,$S$2:$S$18)-$L13)^2+(_xlfn.XLOOKUP(AG$1,$R$2:$R$18,$T$2:$T$18)-$M13)^2+(_xlfn.XLOOKUP(AG$1,$R$2:$R$18,$U$2:$U$18-$N13)^2)))</f>
        <v/>
      </c>
      <c r="AH13" s="151" t="str">
        <f t="array" ref="AH13">IF(AH$1=0,"",SQRT((_xlfn.XLOOKUP(AH$1,$R$2:$R$18,$S$2:$S$18)-$L13)^2+(_xlfn.XLOOKUP(AH$1,$R$2:$R$18,$T$2:$T$18)-$M13)^2+(_xlfn.XLOOKUP(AH$1,$R$2:$R$18,$U$2:$U$18-$N13)^2)))</f>
        <v/>
      </c>
      <c r="AI13" s="151" t="str">
        <f t="array" ref="AI13">IF(AI$1=0,"",SQRT((_xlfn.XLOOKUP(AI$1,$R$2:$R$18,$S$2:$S$18)-$L13)^2+(_xlfn.XLOOKUP(AI$1,$R$2:$R$18,$T$2:$T$18)-$M13)^2+(_xlfn.XLOOKUP(AI$1,$R$2:$R$18,$U$2:$U$18-$N13)^2)))</f>
        <v/>
      </c>
      <c r="AJ13" s="151" t="str">
        <f t="array" ref="AJ13">IF(AJ$1=0,"",SQRT((_xlfn.XLOOKUP(AJ$1,$R$2:$R$18,$S$2:$S$18)-$L13)^2+(_xlfn.XLOOKUP(AJ$1,$R$2:$R$18,$T$2:$T$18)-$M13)^2+(_xlfn.XLOOKUP(AJ$1,$R$2:$R$18,$U$2:$U$18-$N13)^2)))</f>
        <v/>
      </c>
      <c r="AK13" s="151" t="str">
        <f t="array" ref="AK13">IF(AK$1=0,"",SQRT((_xlfn.XLOOKUP(AK$1,$R$2:$R$18,$S$2:$S$18)-$L13)^2+(_xlfn.XLOOKUP(AK$1,$R$2:$R$18,$T$2:$T$18)-$M13)^2+(_xlfn.XLOOKUP(AK$1,$R$2:$R$18,$U$2:$U$18-$N13)^2)))</f>
        <v/>
      </c>
      <c r="AL13" s="151" t="str">
        <f t="array" ref="AL13">IF(AL$1=0,"",SQRT((_xlfn.XLOOKUP(AL$1,$R$2:$R$18,$S$2:$S$18)-$L13)^2+(_xlfn.XLOOKUP(AL$1,$R$2:$R$18,$T$2:$T$18)-$M13)^2+(_xlfn.XLOOKUP(AL$1,$R$2:$R$18,$U$2:$U$18-$N13)^2)))</f>
        <v/>
      </c>
      <c r="AM13" s="151" t="str">
        <f t="array" ref="AM13">IF(AM$1=0,"",SQRT((_xlfn.XLOOKUP(AM$1,$R$2:$R$18,$S$2:$S$18)-$L13)^2+(_xlfn.XLOOKUP(AM$1,$R$2:$R$18,$T$2:$T$18)-$M13)^2+(_xlfn.XLOOKUP(AM$1,$R$2:$R$18,$U$2:$U$18-$N13)^2)))</f>
        <v/>
      </c>
      <c r="AN13" s="152" t="str">
        <f t="array" ref="AN13">IF(AN$1=0,"",SQRT((_xlfn.XLOOKUP(AN$1,$R$2:$R$18,$S$2:$S$18)-$L13)^2+(_xlfn.XLOOKUP(AN$1,$R$2:$R$18,$T$2:$T$18)-$M13)^2+(_xlfn.XLOOKUP(AN$1,$R$2:$R$18,$U$2:$U$18-$N13)^2)))</f>
        <v/>
      </c>
      <c r="AO13" s="134"/>
      <c r="AP13" s="134"/>
      <c r="AQ13" s="135">
        <f t="shared" si="4"/>
        <v>-40.944594767551621</v>
      </c>
      <c r="AR13" s="153">
        <f t="shared" si="5"/>
        <v>-38.628019014687453</v>
      </c>
      <c r="AS13" s="153">
        <f t="shared" si="6"/>
        <v>-39.595555614332</v>
      </c>
      <c r="AT13" s="153">
        <f t="shared" si="7"/>
        <v>-41.716983308692434</v>
      </c>
      <c r="AU13" s="153">
        <f t="shared" si="8"/>
        <v>-42.550474614659713</v>
      </c>
      <c r="AV13" s="153">
        <f t="shared" si="9"/>
        <v>0</v>
      </c>
      <c r="AW13" s="153">
        <f t="shared" si="10"/>
        <v>0</v>
      </c>
      <c r="AX13" s="153">
        <f t="shared" si="11"/>
        <v>0</v>
      </c>
      <c r="AY13" s="154">
        <f t="shared" si="12"/>
        <v>0</v>
      </c>
      <c r="AZ13" s="154">
        <f t="shared" si="13"/>
        <v>0</v>
      </c>
      <c r="BA13" s="154">
        <f t="shared" si="14"/>
        <v>0</v>
      </c>
      <c r="BB13" s="154">
        <f t="shared" si="15"/>
        <v>0</v>
      </c>
      <c r="BC13" s="154">
        <f t="shared" si="16"/>
        <v>0</v>
      </c>
      <c r="BD13" s="154">
        <f t="shared" si="17"/>
        <v>0</v>
      </c>
      <c r="BE13" s="155">
        <f t="shared" si="18"/>
        <v>0</v>
      </c>
      <c r="BF13" s="134"/>
      <c r="BG13" s="41" t="s">
        <v>43</v>
      </c>
      <c r="BH13" s="166">
        <f>SQRT((BH21-BK4)^2+(BH9)^2)</f>
        <v>3.4479597775752664</v>
      </c>
      <c r="BI13" s="46" t="s">
        <v>44</v>
      </c>
      <c r="BJ13" s="121">
        <f>(BJ8*BJ12)+BJ10</f>
        <v>98.12669836984152</v>
      </c>
      <c r="BK13" s="167">
        <f>(BK8*BK12)+BK10</f>
        <v>98.12669836984152</v>
      </c>
      <c r="BL13" s="134"/>
      <c r="BM13" s="134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0"/>
      <c r="CC13" s="134"/>
      <c r="CD13" s="134"/>
      <c r="CE13" s="156">
        <f t="shared" si="35"/>
        <v>32.055405232448379</v>
      </c>
      <c r="CF13" s="157">
        <f t="shared" si="36"/>
        <v>34.371980985312547</v>
      </c>
      <c r="CG13" s="157">
        <f t="shared" si="37"/>
        <v>33.404444385668</v>
      </c>
      <c r="CH13" s="157">
        <f t="shared" si="38"/>
        <v>31.283016691307566</v>
      </c>
      <c r="CI13" s="157">
        <f t="shared" si="39"/>
        <v>30.449525385340287</v>
      </c>
      <c r="CJ13" s="157" t="str">
        <f t="shared" si="40"/>
        <v/>
      </c>
      <c r="CK13" s="157" t="str">
        <f t="shared" si="41"/>
        <v/>
      </c>
      <c r="CL13" s="157" t="str">
        <f t="shared" si="42"/>
        <v/>
      </c>
      <c r="CM13" s="158" t="str">
        <f t="shared" si="43"/>
        <v/>
      </c>
      <c r="CN13" s="158" t="str">
        <f t="shared" si="44"/>
        <v/>
      </c>
      <c r="CO13" s="158" t="str">
        <f t="shared" si="45"/>
        <v/>
      </c>
      <c r="CP13" s="158" t="str">
        <f t="shared" si="46"/>
        <v/>
      </c>
      <c r="CQ13" s="143" t="str">
        <f t="shared" si="47"/>
        <v/>
      </c>
      <c r="CR13" s="143" t="str">
        <f t="shared" si="48"/>
        <v/>
      </c>
      <c r="CS13" s="144" t="str">
        <f t="shared" si="49"/>
        <v/>
      </c>
    </row>
    <row r="14" spans="1:113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147" t="s">
        <v>140</v>
      </c>
      <c r="F14" s="4">
        <v>58</v>
      </c>
      <c r="G14" s="4">
        <v>5</v>
      </c>
      <c r="H14" s="3">
        <v>1</v>
      </c>
      <c r="I14" s="128">
        <f t="shared" si="34"/>
        <v>73</v>
      </c>
      <c r="J14" s="3">
        <v>2</v>
      </c>
      <c r="K14" s="3"/>
      <c r="L14" s="4">
        <v>156.19</v>
      </c>
      <c r="M14" s="4">
        <v>104.51</v>
      </c>
      <c r="N14" s="109">
        <f t="shared" si="3"/>
        <v>74</v>
      </c>
      <c r="O14" s="81">
        <v>70</v>
      </c>
      <c r="P14" s="148">
        <v>4</v>
      </c>
      <c r="R14" s="9"/>
      <c r="S14" s="4"/>
      <c r="T14" s="4"/>
      <c r="U14" s="87"/>
      <c r="V14" s="8"/>
      <c r="W14" s="2" t="str">
        <v/>
      </c>
      <c r="Z14" s="149">
        <f t="array" ref="Z14">IF(Z$1=0,"",SQRT((_xlfn.XLOOKUP(Z$1,$R$2:$R$18,$S$2:$S$18)-$L14)^2+(_xlfn.XLOOKUP(Z$1,$R$2:$R$18,$T$2:$T$18)-$M14)^2+(_xlfn.XLOOKUP(Z$1,$R$2:$R$18,$U$2:$U$18-$N14)^2)))</f>
        <v>124.67838706046849</v>
      </c>
      <c r="AA14" s="150">
        <f t="array" ref="AA14">IF(AA$1=0,"",SQRT((_xlfn.XLOOKUP(AA$1,$R$2:$R$18,$S$2:$S$18)-$L14)^2+(_xlfn.XLOOKUP(AA$1,$R$2:$R$18,$T$2:$T$18)-$M14)^2+(_xlfn.XLOOKUP(AA$1,$R$2:$R$18,$U$2:$U$18-$N14)^2)))</f>
        <v>80.576004492652771</v>
      </c>
      <c r="AB14" s="150">
        <f t="array" ref="AB14">IF(AB$1=0,"",SQRT((_xlfn.XLOOKUP(AB$1,$R$2:$R$18,$S$2:$S$18)-$L14)^2+(_xlfn.XLOOKUP(AB$1,$R$2:$R$18,$T$2:$T$18)-$M14)^2+(_xlfn.XLOOKUP(AB$1,$R$2:$R$18,$U$2:$U$18-$N14)^2)))</f>
        <v>103.05684111207756</v>
      </c>
      <c r="AC14" s="150">
        <f t="array" ref="AC14">IF(AC$1=0,"",SQRT((_xlfn.XLOOKUP(AC$1,$R$2:$R$18,$S$2:$S$18)-$L14)^2+(_xlfn.XLOOKUP(AC$1,$R$2:$R$18,$T$2:$T$18)-$M14)^2+(_xlfn.XLOOKUP(AC$1,$R$2:$R$18,$U$2:$U$18-$N14)^2)))</f>
        <v>165.2071744810134</v>
      </c>
      <c r="AD14" s="150">
        <f t="array" ref="AD14">IF(AD$1=0,"",SQRT((_xlfn.XLOOKUP(AD$1,$R$2:$R$18,$S$2:$S$18)-$L14)^2+(_xlfn.XLOOKUP(AD$1,$R$2:$R$18,$T$2:$T$18)-$M14)^2+(_xlfn.XLOOKUP(AD$1,$R$2:$R$18,$U$2:$U$18-$N14)^2)))</f>
        <v>181.5062092601793</v>
      </c>
      <c r="AE14" s="150" t="str">
        <f t="array" ref="AE14">IF(AE$1=0,"",SQRT((_xlfn.XLOOKUP(AE$1,$R$2:$R$18,$S$2:$S$18)-$L14)^2+(_xlfn.XLOOKUP(AE$1,$R$2:$R$18,$T$2:$T$18)-$M14)^2+(_xlfn.XLOOKUP(AE$1,$R$2:$R$18,$U$2:$U$18-$N14)^2)))</f>
        <v/>
      </c>
      <c r="AF14" s="150" t="str">
        <f t="array" ref="AF14">IF(AF$1=0,"",SQRT((_xlfn.XLOOKUP(AF$1,$R$2:$R$18,$S$2:$S$18)-$L14)^2+(_xlfn.XLOOKUP(AF$1,$R$2:$R$18,$T$2:$T$18)-$M14)^2+(_xlfn.XLOOKUP(AF$1,$R$2:$R$18,$U$2:$U$18-$N14)^2)))</f>
        <v/>
      </c>
      <c r="AG14" s="150" t="str">
        <f t="array" ref="AG14">IF(AG$1=0,"",SQRT((_xlfn.XLOOKUP(AG$1,$R$2:$R$18,$S$2:$S$18)-$L14)^2+(_xlfn.XLOOKUP(AG$1,$R$2:$R$18,$T$2:$T$18)-$M14)^2+(_xlfn.XLOOKUP(AG$1,$R$2:$R$18,$U$2:$U$18-$N14)^2)))</f>
        <v/>
      </c>
      <c r="AH14" s="151" t="str">
        <f t="array" ref="AH14">IF(AH$1=0,"",SQRT((_xlfn.XLOOKUP(AH$1,$R$2:$R$18,$S$2:$S$18)-$L14)^2+(_xlfn.XLOOKUP(AH$1,$R$2:$R$18,$T$2:$T$18)-$M14)^2+(_xlfn.XLOOKUP(AH$1,$R$2:$R$18,$U$2:$U$18-$N14)^2)))</f>
        <v/>
      </c>
      <c r="AI14" s="151" t="str">
        <f t="array" ref="AI14">IF(AI$1=0,"",SQRT((_xlfn.XLOOKUP(AI$1,$R$2:$R$18,$S$2:$S$18)-$L14)^2+(_xlfn.XLOOKUP(AI$1,$R$2:$R$18,$T$2:$T$18)-$M14)^2+(_xlfn.XLOOKUP(AI$1,$R$2:$R$18,$U$2:$U$18-$N14)^2)))</f>
        <v/>
      </c>
      <c r="AJ14" s="151" t="str">
        <f t="array" ref="AJ14">IF(AJ$1=0,"",SQRT((_xlfn.XLOOKUP(AJ$1,$R$2:$R$18,$S$2:$S$18)-$L14)^2+(_xlfn.XLOOKUP(AJ$1,$R$2:$R$18,$T$2:$T$18)-$M14)^2+(_xlfn.XLOOKUP(AJ$1,$R$2:$R$18,$U$2:$U$18-$N14)^2)))</f>
        <v/>
      </c>
      <c r="AK14" s="151" t="str">
        <f t="array" ref="AK14">IF(AK$1=0,"",SQRT((_xlfn.XLOOKUP(AK$1,$R$2:$R$18,$S$2:$S$18)-$L14)^2+(_xlfn.XLOOKUP(AK$1,$R$2:$R$18,$T$2:$T$18)-$M14)^2+(_xlfn.XLOOKUP(AK$1,$R$2:$R$18,$U$2:$U$18-$N14)^2)))</f>
        <v/>
      </c>
      <c r="AL14" s="151" t="str">
        <f t="array" ref="AL14">IF(AL$1=0,"",SQRT((_xlfn.XLOOKUP(AL$1,$R$2:$R$18,$S$2:$S$18)-$L14)^2+(_xlfn.XLOOKUP(AL$1,$R$2:$R$18,$T$2:$T$18)-$M14)^2+(_xlfn.XLOOKUP(AL$1,$R$2:$R$18,$U$2:$U$18-$N14)^2)))</f>
        <v/>
      </c>
      <c r="AM14" s="151" t="str">
        <f t="array" ref="AM14">IF(AM$1=0,"",SQRT((_xlfn.XLOOKUP(AM$1,$R$2:$R$18,$S$2:$S$18)-$L14)^2+(_xlfn.XLOOKUP(AM$1,$R$2:$R$18,$T$2:$T$18)-$M14)^2+(_xlfn.XLOOKUP(AM$1,$R$2:$R$18,$U$2:$U$18-$N14)^2)))</f>
        <v/>
      </c>
      <c r="AN14" s="152" t="str">
        <f t="array" ref="AN14">IF(AN$1=0,"",SQRT((_xlfn.XLOOKUP(AN$1,$R$2:$R$18,$S$2:$S$18)-$L14)^2+(_xlfn.XLOOKUP(AN$1,$R$2:$R$18,$T$2:$T$18)-$M14)^2+(_xlfn.XLOOKUP(AN$1,$R$2:$R$18,$U$2:$U$18-$N14)^2)))</f>
        <v/>
      </c>
      <c r="AO14" s="134"/>
      <c r="AP14" s="134"/>
      <c r="AQ14" s="135">
        <f t="shared" si="4"/>
        <v>-39.577921442126105</v>
      </c>
      <c r="AR14" s="153">
        <f t="shared" si="5"/>
        <v>-35.786212503064036</v>
      </c>
      <c r="AS14" s="153">
        <f t="shared" si="6"/>
        <v>-37.923634464498747</v>
      </c>
      <c r="AT14" s="153">
        <f t="shared" si="7"/>
        <v>-42.022676008466853</v>
      </c>
      <c r="AU14" s="153">
        <f t="shared" si="8"/>
        <v>-42.839927670524496</v>
      </c>
      <c r="AV14" s="153">
        <f t="shared" si="9"/>
        <v>0</v>
      </c>
      <c r="AW14" s="153">
        <f t="shared" si="10"/>
        <v>0</v>
      </c>
      <c r="AX14" s="153">
        <f t="shared" si="11"/>
        <v>0</v>
      </c>
      <c r="AY14" s="154">
        <f t="shared" si="12"/>
        <v>0</v>
      </c>
      <c r="AZ14" s="154">
        <f t="shared" si="13"/>
        <v>0</v>
      </c>
      <c r="BA14" s="154">
        <f t="shared" si="14"/>
        <v>0</v>
      </c>
      <c r="BB14" s="154">
        <f t="shared" si="15"/>
        <v>0</v>
      </c>
      <c r="BC14" s="154">
        <f t="shared" si="16"/>
        <v>0</v>
      </c>
      <c r="BD14" s="154">
        <f t="shared" si="17"/>
        <v>0</v>
      </c>
      <c r="BE14" s="155">
        <f t="shared" si="18"/>
        <v>0</v>
      </c>
      <c r="BF14" s="134"/>
      <c r="BG14" s="49" t="s">
        <v>45</v>
      </c>
      <c r="BH14" s="165">
        <f>SQRT((BH21-BK5)^2+(BH10)^2)</f>
        <v>37.88279679578239</v>
      </c>
      <c r="BI14" s="21"/>
      <c r="BJ14" s="21" t="s">
        <v>46</v>
      </c>
      <c r="BK14" s="21" t="s">
        <v>47</v>
      </c>
      <c r="BL14" s="134"/>
      <c r="BM14" s="134"/>
      <c r="BN14" s="140"/>
      <c r="BO14" s="140"/>
      <c r="BP14" s="140"/>
      <c r="BQ14" s="140"/>
      <c r="BR14" s="140"/>
      <c r="BS14" s="140"/>
      <c r="BT14" s="140"/>
      <c r="BU14" s="140"/>
      <c r="BV14" s="140"/>
      <c r="BW14" s="140"/>
      <c r="BX14" s="140"/>
      <c r="BY14" s="140"/>
      <c r="BZ14" s="140"/>
      <c r="CA14" s="140"/>
      <c r="CB14" s="140"/>
      <c r="CC14" s="134"/>
      <c r="CD14" s="134"/>
      <c r="CE14" s="156">
        <f t="shared" si="35"/>
        <v>33.422078557873895</v>
      </c>
      <c r="CF14" s="157">
        <f t="shared" si="36"/>
        <v>37.213787496935964</v>
      </c>
      <c r="CG14" s="157">
        <f t="shared" si="37"/>
        <v>35.076365535501253</v>
      </c>
      <c r="CH14" s="157">
        <f t="shared" si="38"/>
        <v>30.977323991533147</v>
      </c>
      <c r="CI14" s="157">
        <f t="shared" si="39"/>
        <v>30.160072329475504</v>
      </c>
      <c r="CJ14" s="157" t="str">
        <f t="shared" si="40"/>
        <v/>
      </c>
      <c r="CK14" s="157" t="str">
        <f t="shared" si="41"/>
        <v/>
      </c>
      <c r="CL14" s="157" t="str">
        <f t="shared" si="42"/>
        <v/>
      </c>
      <c r="CM14" s="158" t="str">
        <f t="shared" si="43"/>
        <v/>
      </c>
      <c r="CN14" s="158" t="str">
        <f t="shared" si="44"/>
        <v/>
      </c>
      <c r="CO14" s="158" t="str">
        <f t="shared" si="45"/>
        <v/>
      </c>
      <c r="CP14" s="158" t="str">
        <f t="shared" si="46"/>
        <v/>
      </c>
      <c r="CQ14" s="143" t="str">
        <f t="shared" si="47"/>
        <v/>
      </c>
      <c r="CR14" s="143" t="str">
        <f t="shared" si="48"/>
        <v/>
      </c>
      <c r="CS14" s="144" t="str">
        <f t="shared" si="49"/>
        <v/>
      </c>
    </row>
    <row r="15" spans="1:113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147" t="s">
        <v>140</v>
      </c>
      <c r="F15" s="4">
        <v>58</v>
      </c>
      <c r="G15" s="4">
        <v>5</v>
      </c>
      <c r="H15" s="3">
        <v>1</v>
      </c>
      <c r="I15" s="128">
        <f t="shared" si="34"/>
        <v>73</v>
      </c>
      <c r="J15" s="3">
        <v>2</v>
      </c>
      <c r="K15" s="3"/>
      <c r="L15" s="4">
        <v>143.32</v>
      </c>
      <c r="M15" s="4">
        <v>101.28</v>
      </c>
      <c r="N15" s="109">
        <f t="shared" si="3"/>
        <v>74</v>
      </c>
      <c r="O15" s="81">
        <v>70</v>
      </c>
      <c r="P15" s="148">
        <v>4</v>
      </c>
      <c r="R15" s="9"/>
      <c r="S15" s="4"/>
      <c r="T15" s="4"/>
      <c r="U15" s="87"/>
      <c r="V15" s="8"/>
      <c r="W15" s="2" t="str">
        <v/>
      </c>
      <c r="Z15" s="149">
        <f t="array" ref="Z15">IF(Z$1=0,"",SQRT((_xlfn.XLOOKUP(Z$1,$R$2:$R$18,$S$2:$S$18)-$L15)^2+(_xlfn.XLOOKUP(Z$1,$R$2:$R$18,$T$2:$T$18)-$M15)^2+(_xlfn.XLOOKUP(Z$1,$R$2:$R$18,$U$2:$U$18-$N15)^2)))</f>
        <v>111.5124979542652</v>
      </c>
      <c r="AA15" s="150">
        <f t="array" ref="AA15">IF(AA$1=0,"",SQRT((_xlfn.XLOOKUP(AA$1,$R$2:$R$18,$S$2:$S$18)-$L15)^2+(_xlfn.XLOOKUP(AA$1,$R$2:$R$18,$T$2:$T$18)-$M15)^2+(_xlfn.XLOOKUP(AA$1,$R$2:$R$18,$U$2:$U$18-$N15)^2)))</f>
        <v>70.759523034005809</v>
      </c>
      <c r="AB15" s="150">
        <f t="array" ref="AB15">IF(AB$1=0,"",SQRT((_xlfn.XLOOKUP(AB$1,$R$2:$R$18,$S$2:$S$18)-$L15)^2+(_xlfn.XLOOKUP(AB$1,$R$2:$R$18,$T$2:$T$18)-$M15)^2+(_xlfn.XLOOKUP(AB$1,$R$2:$R$18,$U$2:$U$18-$N15)^2)))</f>
        <v>108.77731610956394</v>
      </c>
      <c r="AC15" s="150">
        <f t="array" ref="AC15">IF(AC$1=0,"",SQRT((_xlfn.XLOOKUP(AC$1,$R$2:$R$18,$S$2:$S$18)-$L15)^2+(_xlfn.XLOOKUP(AC$1,$R$2:$R$18,$T$2:$T$18)-$M15)^2+(_xlfn.XLOOKUP(AC$1,$R$2:$R$18,$U$2:$U$18-$N15)^2)))</f>
        <v>177.45169624435832</v>
      </c>
      <c r="AD15" s="150">
        <f t="array" ref="AD15">IF(AD$1=0,"",SQRT((_xlfn.XLOOKUP(AD$1,$R$2:$R$18,$S$2:$S$18)-$L15)^2+(_xlfn.XLOOKUP(AD$1,$R$2:$R$18,$T$2:$T$18)-$M15)^2+(_xlfn.XLOOKUP(AD$1,$R$2:$R$18,$U$2:$U$18-$N15)^2)))</f>
        <v>173.70299536853128</v>
      </c>
      <c r="AE15" s="150" t="str">
        <f t="array" ref="AE15">IF(AE$1=0,"",SQRT((_xlfn.XLOOKUP(AE$1,$R$2:$R$18,$S$2:$S$18)-$L15)^2+(_xlfn.XLOOKUP(AE$1,$R$2:$R$18,$T$2:$T$18)-$M15)^2+(_xlfn.XLOOKUP(AE$1,$R$2:$R$18,$U$2:$U$18-$N15)^2)))</f>
        <v/>
      </c>
      <c r="AF15" s="150" t="str">
        <f t="array" ref="AF15">IF(AF$1=0,"",SQRT((_xlfn.XLOOKUP(AF$1,$R$2:$R$18,$S$2:$S$18)-$L15)^2+(_xlfn.XLOOKUP(AF$1,$R$2:$R$18,$T$2:$T$18)-$M15)^2+(_xlfn.XLOOKUP(AF$1,$R$2:$R$18,$U$2:$U$18-$N15)^2)))</f>
        <v/>
      </c>
      <c r="AG15" s="150" t="str">
        <f t="array" ref="AG15">IF(AG$1=0,"",SQRT((_xlfn.XLOOKUP(AG$1,$R$2:$R$18,$S$2:$S$18)-$L15)^2+(_xlfn.XLOOKUP(AG$1,$R$2:$R$18,$T$2:$T$18)-$M15)^2+(_xlfn.XLOOKUP(AG$1,$R$2:$R$18,$U$2:$U$18-$N15)^2)))</f>
        <v/>
      </c>
      <c r="AH15" s="151" t="str">
        <f t="array" ref="AH15">IF(AH$1=0,"",SQRT((_xlfn.XLOOKUP(AH$1,$R$2:$R$18,$S$2:$S$18)-$L15)^2+(_xlfn.XLOOKUP(AH$1,$R$2:$R$18,$T$2:$T$18)-$M15)^2+(_xlfn.XLOOKUP(AH$1,$R$2:$R$18,$U$2:$U$18-$N15)^2)))</f>
        <v/>
      </c>
      <c r="AI15" s="151" t="str">
        <f t="array" ref="AI15">IF(AI$1=0,"",SQRT((_xlfn.XLOOKUP(AI$1,$R$2:$R$18,$S$2:$S$18)-$L15)^2+(_xlfn.XLOOKUP(AI$1,$R$2:$R$18,$T$2:$T$18)-$M15)^2+(_xlfn.XLOOKUP(AI$1,$R$2:$R$18,$U$2:$U$18-$N15)^2)))</f>
        <v/>
      </c>
      <c r="AJ15" s="151" t="str">
        <f t="array" ref="AJ15">IF(AJ$1=0,"",SQRT((_xlfn.XLOOKUP(AJ$1,$R$2:$R$18,$S$2:$S$18)-$L15)^2+(_xlfn.XLOOKUP(AJ$1,$R$2:$R$18,$T$2:$T$18)-$M15)^2+(_xlfn.XLOOKUP(AJ$1,$R$2:$R$18,$U$2:$U$18-$N15)^2)))</f>
        <v/>
      </c>
      <c r="AK15" s="151" t="str">
        <f t="array" ref="AK15">IF(AK$1=0,"",SQRT((_xlfn.XLOOKUP(AK$1,$R$2:$R$18,$S$2:$S$18)-$L15)^2+(_xlfn.XLOOKUP(AK$1,$R$2:$R$18,$T$2:$T$18)-$M15)^2+(_xlfn.XLOOKUP(AK$1,$R$2:$R$18,$U$2:$U$18-$N15)^2)))</f>
        <v/>
      </c>
      <c r="AL15" s="151" t="str">
        <f t="array" ref="AL15">IF(AL$1=0,"",SQRT((_xlfn.XLOOKUP(AL$1,$R$2:$R$18,$S$2:$S$18)-$L15)^2+(_xlfn.XLOOKUP(AL$1,$R$2:$R$18,$T$2:$T$18)-$M15)^2+(_xlfn.XLOOKUP(AL$1,$R$2:$R$18,$U$2:$U$18-$N15)^2)))</f>
        <v/>
      </c>
      <c r="AM15" s="151" t="str">
        <f t="array" ref="AM15">IF(AM$1=0,"",SQRT((_xlfn.XLOOKUP(AM$1,$R$2:$R$18,$S$2:$S$18)-$L15)^2+(_xlfn.XLOOKUP(AM$1,$R$2:$R$18,$T$2:$T$18)-$M15)^2+(_xlfn.XLOOKUP(AM$1,$R$2:$R$18,$U$2:$U$18-$N15)^2)))</f>
        <v/>
      </c>
      <c r="AN15" s="152" t="str">
        <f t="array" ref="AN15">IF(AN$1=0,"",SQRT((_xlfn.XLOOKUP(AN$1,$R$2:$R$18,$S$2:$S$18)-$L15)^2+(_xlfn.XLOOKUP(AN$1,$R$2:$R$18,$T$2:$T$18)-$M15)^2+(_xlfn.XLOOKUP(AN$1,$R$2:$R$18,$U$2:$U$18-$N15)^2)))</f>
        <v/>
      </c>
      <c r="AO15" s="134"/>
      <c r="AP15" s="134"/>
      <c r="AQ15" s="135">
        <f t="shared" si="4"/>
        <v>-38.608568825135549</v>
      </c>
      <c r="AR15" s="153">
        <f t="shared" si="5"/>
        <v>-34.657795873241383</v>
      </c>
      <c r="AS15" s="153">
        <f t="shared" si="6"/>
        <v>-38.392864719991117</v>
      </c>
      <c r="AT15" s="153">
        <f t="shared" si="7"/>
        <v>-42.643701038617472</v>
      </c>
      <c r="AU15" s="153">
        <f t="shared" si="8"/>
        <v>-42.458244088350845</v>
      </c>
      <c r="AV15" s="153">
        <f t="shared" si="9"/>
        <v>0</v>
      </c>
      <c r="AW15" s="153">
        <f t="shared" si="10"/>
        <v>0</v>
      </c>
      <c r="AX15" s="153">
        <f t="shared" si="11"/>
        <v>0</v>
      </c>
      <c r="AY15" s="154">
        <f t="shared" si="12"/>
        <v>0</v>
      </c>
      <c r="AZ15" s="154">
        <f t="shared" si="13"/>
        <v>0</v>
      </c>
      <c r="BA15" s="154">
        <f t="shared" si="14"/>
        <v>0</v>
      </c>
      <c r="BB15" s="154">
        <f t="shared" si="15"/>
        <v>0</v>
      </c>
      <c r="BC15" s="154">
        <f t="shared" si="16"/>
        <v>0</v>
      </c>
      <c r="BD15" s="154">
        <f t="shared" si="17"/>
        <v>0</v>
      </c>
      <c r="BE15" s="155">
        <f t="shared" si="18"/>
        <v>0</v>
      </c>
      <c r="BF15" s="134"/>
      <c r="BG15" s="134"/>
      <c r="BH15" s="134"/>
      <c r="BI15" s="134"/>
      <c r="BJ15" s="134"/>
      <c r="BK15" s="134"/>
      <c r="BL15" s="134"/>
      <c r="BM15" s="134"/>
      <c r="BN15" s="140"/>
      <c r="BO15" s="140"/>
      <c r="BP15" s="140"/>
      <c r="BQ15" s="140"/>
      <c r="BR15" s="140"/>
      <c r="BS15" s="140"/>
      <c r="BT15" s="140"/>
      <c r="BU15" s="140"/>
      <c r="BV15" s="140"/>
      <c r="BW15" s="140"/>
      <c r="BX15" s="140"/>
      <c r="BY15" s="140"/>
      <c r="BZ15" s="140"/>
      <c r="CA15" s="140"/>
      <c r="CB15" s="140"/>
      <c r="CC15" s="134"/>
      <c r="CD15" s="134"/>
      <c r="CE15" s="156">
        <f t="shared" si="35"/>
        <v>34.391431174864451</v>
      </c>
      <c r="CF15" s="157">
        <f t="shared" si="36"/>
        <v>38.342204126758617</v>
      </c>
      <c r="CG15" s="157">
        <f t="shared" si="37"/>
        <v>34.607135280008883</v>
      </c>
      <c r="CH15" s="157">
        <f t="shared" si="38"/>
        <v>30.356298961382528</v>
      </c>
      <c r="CI15" s="157">
        <f t="shared" si="39"/>
        <v>30.541755911649155</v>
      </c>
      <c r="CJ15" s="157" t="str">
        <f t="shared" si="40"/>
        <v/>
      </c>
      <c r="CK15" s="157" t="str">
        <f t="shared" si="41"/>
        <v/>
      </c>
      <c r="CL15" s="157" t="str">
        <f t="shared" si="42"/>
        <v/>
      </c>
      <c r="CM15" s="158" t="str">
        <f t="shared" si="43"/>
        <v/>
      </c>
      <c r="CN15" s="158" t="str">
        <f t="shared" si="44"/>
        <v/>
      </c>
      <c r="CO15" s="158" t="str">
        <f t="shared" si="45"/>
        <v/>
      </c>
      <c r="CP15" s="158" t="str">
        <f t="shared" si="46"/>
        <v/>
      </c>
      <c r="CQ15" s="143" t="str">
        <f t="shared" si="47"/>
        <v/>
      </c>
      <c r="CR15" s="143" t="str">
        <f t="shared" si="48"/>
        <v/>
      </c>
      <c r="CS15" s="144" t="str">
        <f t="shared" si="49"/>
        <v/>
      </c>
    </row>
    <row r="16" spans="1:113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147" t="s">
        <v>140</v>
      </c>
      <c r="F16" s="4">
        <v>58</v>
      </c>
      <c r="G16" s="4">
        <v>5</v>
      </c>
      <c r="H16" s="3">
        <v>1</v>
      </c>
      <c r="I16" s="128">
        <f t="shared" si="34"/>
        <v>73</v>
      </c>
      <c r="J16" s="3">
        <v>2</v>
      </c>
      <c r="K16" s="3"/>
      <c r="L16" s="4">
        <v>116.44</v>
      </c>
      <c r="M16" s="4">
        <v>96.13</v>
      </c>
      <c r="N16" s="109">
        <f t="shared" si="3"/>
        <v>74</v>
      </c>
      <c r="O16" s="81">
        <v>70</v>
      </c>
      <c r="P16" s="148">
        <v>4</v>
      </c>
      <c r="R16" s="10"/>
      <c r="S16" s="6"/>
      <c r="T16" s="6"/>
      <c r="U16" s="104"/>
      <c r="V16" s="8"/>
      <c r="W16" s="2" t="str">
        <v/>
      </c>
      <c r="Z16" s="168">
        <f t="array" ref="Z16">IF(Z$1=0,"",SQRT((_xlfn.XLOOKUP(Z$1,$R$2:$R$18,$S$2:$S$18)-$L16)^2+(_xlfn.XLOOKUP(Z$1,$R$2:$R$18,$T$2:$T$18)-$M16)^2+(_xlfn.XLOOKUP(Z$1,$R$2:$R$18,$U$2:$U$18-$N16)^2)))</f>
        <v>84.303295902354847</v>
      </c>
      <c r="AA16" s="150">
        <f t="array" ref="AA16">IF(AA$1=0,"",SQRT((_xlfn.XLOOKUP(AA$1,$R$2:$R$18,$S$2:$S$18)-$L16)^2+(_xlfn.XLOOKUP(AA$1,$R$2:$R$18,$T$2:$T$18)-$M16)^2+(_xlfn.XLOOKUP(AA$1,$R$2:$R$18,$U$2:$U$18-$N16)^2)))</f>
        <v>56.354254497775045</v>
      </c>
      <c r="AB16" s="150">
        <f t="array" ref="AB16">IF(AB$1=0,"",SQRT((_xlfn.XLOOKUP(AB$1,$R$2:$R$18,$S$2:$S$18)-$L16)^2+(_xlfn.XLOOKUP(AB$1,$R$2:$R$18,$T$2:$T$18)-$M16)^2+(_xlfn.XLOOKUP(AB$1,$R$2:$R$18,$U$2:$U$18-$N16)^2)))</f>
        <v>125.42608101985806</v>
      </c>
      <c r="AC16" s="150">
        <f t="array" ref="AC16">IF(AC$1=0,"",SQRT((_xlfn.XLOOKUP(AC$1,$R$2:$R$18,$S$2:$S$18)-$L16)^2+(_xlfn.XLOOKUP(AC$1,$R$2:$R$18,$T$2:$T$18)-$M16)^2+(_xlfn.XLOOKUP(AC$1,$R$2:$R$18,$U$2:$U$18-$N16)^2)))</f>
        <v>203.50909758534141</v>
      </c>
      <c r="AD16" s="150">
        <f t="array" ref="AD16">IF(AD$1=0,"",SQRT((_xlfn.XLOOKUP(AD$1,$R$2:$R$18,$S$2:$S$18)-$L16)^2+(_xlfn.XLOOKUP(AD$1,$R$2:$R$18,$T$2:$T$18)-$M16)^2+(_xlfn.XLOOKUP(AD$1,$R$2:$R$18,$U$2:$U$18-$N16)^2)))</f>
        <v>158.55968623833741</v>
      </c>
      <c r="AE16" s="150" t="str">
        <f t="array" ref="AE16">IF(AE$1=0,"",SQRT((_xlfn.XLOOKUP(AE$1,$R$2:$R$18,$S$2:$S$18)-$L16)^2+(_xlfn.XLOOKUP(AE$1,$R$2:$R$18,$T$2:$T$18)-$M16)^2+(_xlfn.XLOOKUP(AE$1,$R$2:$R$18,$U$2:$U$18-$N16)^2)))</f>
        <v/>
      </c>
      <c r="AF16" s="150" t="str">
        <f t="array" ref="AF16">IF(AF$1=0,"",SQRT((_xlfn.XLOOKUP(AF$1,$R$2:$R$18,$S$2:$S$18)-$L16)^2+(_xlfn.XLOOKUP(AF$1,$R$2:$R$18,$T$2:$T$18)-$M16)^2+(_xlfn.XLOOKUP(AF$1,$R$2:$R$18,$U$2:$U$18-$N16)^2)))</f>
        <v/>
      </c>
      <c r="AG16" s="150" t="str">
        <f t="array" ref="AG16">IF(AG$1=0,"",SQRT((_xlfn.XLOOKUP(AG$1,$R$2:$R$18,$S$2:$S$18)-$L16)^2+(_xlfn.XLOOKUP(AG$1,$R$2:$R$18,$T$2:$T$18)-$M16)^2+(_xlfn.XLOOKUP(AG$1,$R$2:$R$18,$U$2:$U$18-$N16)^2)))</f>
        <v/>
      </c>
      <c r="AH16" s="151" t="str">
        <f t="array" ref="AH16">IF(AH$1=0,"",SQRT((_xlfn.XLOOKUP(AH$1,$R$2:$R$18,$S$2:$S$18)-$L16)^2+(_xlfn.XLOOKUP(AH$1,$R$2:$R$18,$T$2:$T$18)-$M16)^2+(_xlfn.XLOOKUP(AH$1,$R$2:$R$18,$U$2:$U$18-$N16)^2)))</f>
        <v/>
      </c>
      <c r="AI16" s="151" t="str">
        <f t="array" ref="AI16">IF(AI$1=0,"",SQRT((_xlfn.XLOOKUP(AI$1,$R$2:$R$18,$S$2:$S$18)-$L16)^2+(_xlfn.XLOOKUP(AI$1,$R$2:$R$18,$T$2:$T$18)-$M16)^2+(_xlfn.XLOOKUP(AI$1,$R$2:$R$18,$U$2:$U$18-$N16)^2)))</f>
        <v/>
      </c>
      <c r="AJ16" s="151" t="str">
        <f t="array" ref="AJ16">IF(AJ$1=0,"",SQRT((_xlfn.XLOOKUP(AJ$1,$R$2:$R$18,$S$2:$S$18)-$L16)^2+(_xlfn.XLOOKUP(AJ$1,$R$2:$R$18,$T$2:$T$18)-$M16)^2+(_xlfn.XLOOKUP(AJ$1,$R$2:$R$18,$U$2:$U$18-$N16)^2)))</f>
        <v/>
      </c>
      <c r="AK16" s="151" t="str">
        <f t="array" ref="AK16">IF(AK$1=0,"",SQRT((_xlfn.XLOOKUP(AK$1,$R$2:$R$18,$S$2:$S$18)-$L16)^2+(_xlfn.XLOOKUP(AK$1,$R$2:$R$18,$T$2:$T$18)-$M16)^2+(_xlfn.XLOOKUP(AK$1,$R$2:$R$18,$U$2:$U$18-$N16)^2)))</f>
        <v/>
      </c>
      <c r="AL16" s="151" t="str">
        <f t="array" ref="AL16">IF(AL$1=0,"",SQRT((_xlfn.XLOOKUP(AL$1,$R$2:$R$18,$S$2:$S$18)-$L16)^2+(_xlfn.XLOOKUP(AL$1,$R$2:$R$18,$T$2:$T$18)-$M16)^2+(_xlfn.XLOOKUP(AL$1,$R$2:$R$18,$U$2:$U$18-$N16)^2)))</f>
        <v/>
      </c>
      <c r="AM16" s="151" t="str">
        <f t="array" ref="AM16">IF(AM$1=0,"",SQRT((_xlfn.XLOOKUP(AM$1,$R$2:$R$18,$S$2:$S$18)-$L16)^2+(_xlfn.XLOOKUP(AM$1,$R$2:$R$18,$T$2:$T$18)-$M16)^2+(_xlfn.XLOOKUP(AM$1,$R$2:$R$18,$U$2:$U$18-$N16)^2)))</f>
        <v/>
      </c>
      <c r="AN16" s="152" t="str">
        <f t="array" ref="AN16">IF(AN$1=0,"",SQRT((_xlfn.XLOOKUP(AN$1,$R$2:$R$18,$S$2:$S$18)-$L16)^2+(_xlfn.XLOOKUP(AN$1,$R$2:$R$18,$T$2:$T$18)-$M16)^2+(_xlfn.XLOOKUP(AN$1,$R$2:$R$18,$U$2:$U$18-$N16)^2)))</f>
        <v/>
      </c>
      <c r="AO16" s="134"/>
      <c r="AP16" s="134"/>
      <c r="AQ16" s="135">
        <f t="shared" si="4"/>
        <v>-36.178989017618129</v>
      </c>
      <c r="AR16" s="153">
        <f t="shared" si="5"/>
        <v>-32.680632115704789</v>
      </c>
      <c r="AS16" s="153">
        <f t="shared" si="6"/>
        <v>-39.629854993026818</v>
      </c>
      <c r="AT16" s="153">
        <f t="shared" si="7"/>
        <v>-43.833774507203714</v>
      </c>
      <c r="AU16" s="153">
        <f t="shared" si="8"/>
        <v>-41.66595349192928</v>
      </c>
      <c r="AV16" s="153">
        <f t="shared" si="9"/>
        <v>0</v>
      </c>
      <c r="AW16" s="153">
        <f t="shared" si="10"/>
        <v>0</v>
      </c>
      <c r="AX16" s="153">
        <f t="shared" si="11"/>
        <v>0</v>
      </c>
      <c r="AY16" s="154">
        <f t="shared" si="12"/>
        <v>0</v>
      </c>
      <c r="AZ16" s="154">
        <f t="shared" si="13"/>
        <v>0</v>
      </c>
      <c r="BA16" s="154">
        <f t="shared" si="14"/>
        <v>0</v>
      </c>
      <c r="BB16" s="154">
        <f t="shared" si="15"/>
        <v>0</v>
      </c>
      <c r="BC16" s="154">
        <f t="shared" si="16"/>
        <v>0</v>
      </c>
      <c r="BD16" s="154">
        <f t="shared" si="17"/>
        <v>0</v>
      </c>
      <c r="BE16" s="155">
        <f t="shared" si="18"/>
        <v>0</v>
      </c>
      <c r="BF16" s="134"/>
      <c r="BG16" s="42" t="s">
        <v>48</v>
      </c>
      <c r="BH16" s="119">
        <f>MIN(BK6:BK7)</f>
        <v>75.400000000000006</v>
      </c>
      <c r="BI16" s="134"/>
      <c r="BJ16" s="134"/>
      <c r="BK16" s="134"/>
      <c r="BL16" s="134"/>
      <c r="BM16" s="134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0"/>
      <c r="CC16" s="134"/>
      <c r="CD16" s="134"/>
      <c r="CE16" s="156">
        <f t="shared" si="35"/>
        <v>36.821010982381871</v>
      </c>
      <c r="CF16" s="157">
        <f t="shared" si="36"/>
        <v>40.319367884295211</v>
      </c>
      <c r="CG16" s="157">
        <f t="shared" si="37"/>
        <v>33.370145006973182</v>
      </c>
      <c r="CH16" s="157">
        <f t="shared" si="38"/>
        <v>29.166225492796286</v>
      </c>
      <c r="CI16" s="157">
        <f t="shared" si="39"/>
        <v>31.33404650807072</v>
      </c>
      <c r="CJ16" s="157" t="str">
        <f t="shared" si="40"/>
        <v/>
      </c>
      <c r="CK16" s="157" t="str">
        <f t="shared" si="41"/>
        <v/>
      </c>
      <c r="CL16" s="157" t="str">
        <f t="shared" si="42"/>
        <v/>
      </c>
      <c r="CM16" s="158" t="str">
        <f t="shared" si="43"/>
        <v/>
      </c>
      <c r="CN16" s="158" t="str">
        <f t="shared" si="44"/>
        <v/>
      </c>
      <c r="CO16" s="158" t="str">
        <f t="shared" si="45"/>
        <v/>
      </c>
      <c r="CP16" s="158" t="str">
        <f t="shared" si="46"/>
        <v/>
      </c>
      <c r="CQ16" s="143" t="str">
        <f t="shared" si="47"/>
        <v/>
      </c>
      <c r="CR16" s="143" t="str">
        <f t="shared" si="48"/>
        <v/>
      </c>
      <c r="CS16" s="144" t="str">
        <f t="shared" si="49"/>
        <v/>
      </c>
    </row>
    <row r="17" spans="1:97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147" t="s">
        <v>140</v>
      </c>
      <c r="F17" s="4">
        <v>58</v>
      </c>
      <c r="G17" s="4">
        <v>5</v>
      </c>
      <c r="H17" s="3">
        <v>1</v>
      </c>
      <c r="I17" s="128">
        <f t="shared" si="34"/>
        <v>73</v>
      </c>
      <c r="J17" s="3">
        <v>2</v>
      </c>
      <c r="K17" s="3"/>
      <c r="L17" s="4">
        <v>88.52</v>
      </c>
      <c r="M17" s="4">
        <v>90.33</v>
      </c>
      <c r="N17" s="109">
        <f t="shared" si="3"/>
        <v>74</v>
      </c>
      <c r="O17" s="81">
        <v>70</v>
      </c>
      <c r="P17" s="148">
        <v>4</v>
      </c>
      <c r="Z17" s="168">
        <f t="array" ref="Z17">IF(Z$1=0,"",SQRT((_xlfn.XLOOKUP(Z$1,$R$2:$R$18,$S$2:$S$18)-$L17)^2+(_xlfn.XLOOKUP(Z$1,$R$2:$R$18,$T$2:$T$18)-$M17)^2+(_xlfn.XLOOKUP(Z$1,$R$2:$R$18,$U$2:$U$18-$N17)^2)))</f>
        <v>56.166197129590316</v>
      </c>
      <c r="AA17" s="150">
        <f t="array" ref="AA17">IF(AA$1=0,"",SQRT((_xlfn.XLOOKUP(AA$1,$R$2:$R$18,$S$2:$S$18)-$L17)^2+(_xlfn.XLOOKUP(AA$1,$R$2:$R$18,$T$2:$T$18)-$M17)^2+(_xlfn.XLOOKUP(AA$1,$R$2:$R$18,$U$2:$U$18-$N17)^2)))</f>
        <v>53.15979307709916</v>
      </c>
      <c r="AB17" s="150">
        <f t="array" ref="AB17">IF(AB$1=0,"",SQRT((_xlfn.XLOOKUP(AB$1,$R$2:$R$18,$S$2:$S$18)-$L17)^2+(_xlfn.XLOOKUP(AB$1,$R$2:$R$18,$T$2:$T$18)-$M17)^2+(_xlfn.XLOOKUP(AB$1,$R$2:$R$18,$U$2:$U$18-$N17)^2)))</f>
        <v>145.96776698983922</v>
      </c>
      <c r="AC17" s="150">
        <f t="array" ref="AC17">IF(AC$1=0,"",SQRT((_xlfn.XLOOKUP(AC$1,$R$2:$R$18,$S$2:$S$18)-$L17)^2+(_xlfn.XLOOKUP(AC$1,$R$2:$R$18,$T$2:$T$18)-$M17)^2+(_xlfn.XLOOKUP(AC$1,$R$2:$R$18,$U$2:$U$18-$N17)^2)))</f>
        <v>230.88837995880175</v>
      </c>
      <c r="AD17" s="150">
        <f t="array" ref="AD17">IF(AD$1=0,"",SQRT((_xlfn.XLOOKUP(AD$1,$R$2:$R$18,$S$2:$S$18)-$L17)^2+(_xlfn.XLOOKUP(AD$1,$R$2:$R$18,$T$2:$T$18)-$M17)^2+(_xlfn.XLOOKUP(AD$1,$R$2:$R$18,$U$2:$U$18-$N17)^2)))</f>
        <v>147.01106795068188</v>
      </c>
      <c r="AE17" s="150" t="str">
        <f t="array" ref="AE17">IF(AE$1=0,"",SQRT((_xlfn.XLOOKUP(AE$1,$R$2:$R$18,$S$2:$S$18)-$L17)^2+(_xlfn.XLOOKUP(AE$1,$R$2:$R$18,$T$2:$T$18)-$M17)^2+(_xlfn.XLOOKUP(AE$1,$R$2:$R$18,$U$2:$U$18-$N17)^2)))</f>
        <v/>
      </c>
      <c r="AF17" s="150" t="str">
        <f t="array" ref="AF17">IF(AF$1=0,"",SQRT((_xlfn.XLOOKUP(AF$1,$R$2:$R$18,$S$2:$S$18)-$L17)^2+(_xlfn.XLOOKUP(AF$1,$R$2:$R$18,$T$2:$T$18)-$M17)^2+(_xlfn.XLOOKUP(AF$1,$R$2:$R$18,$U$2:$U$18-$N17)^2)))</f>
        <v/>
      </c>
      <c r="AG17" s="150" t="str">
        <f t="array" ref="AG17">IF(AG$1=0,"",SQRT((_xlfn.XLOOKUP(AG$1,$R$2:$R$18,$S$2:$S$18)-$L17)^2+(_xlfn.XLOOKUP(AG$1,$R$2:$R$18,$T$2:$T$18)-$M17)^2+(_xlfn.XLOOKUP(AG$1,$R$2:$R$18,$U$2:$U$18-$N17)^2)))</f>
        <v/>
      </c>
      <c r="AH17" s="151" t="str">
        <f t="array" ref="AH17">IF(AH$1=0,"",SQRT((_xlfn.XLOOKUP(AH$1,$R$2:$R$18,$S$2:$S$18)-$L17)^2+(_xlfn.XLOOKUP(AH$1,$R$2:$R$18,$T$2:$T$18)-$M17)^2+(_xlfn.XLOOKUP(AH$1,$R$2:$R$18,$U$2:$U$18-$N17)^2)))</f>
        <v/>
      </c>
      <c r="AI17" s="151" t="str">
        <f t="array" ref="AI17">IF(AI$1=0,"",SQRT((_xlfn.XLOOKUP(AI$1,$R$2:$R$18,$S$2:$S$18)-$L17)^2+(_xlfn.XLOOKUP(AI$1,$R$2:$R$18,$T$2:$T$18)-$M17)^2+(_xlfn.XLOOKUP(AI$1,$R$2:$R$18,$U$2:$U$18-$N17)^2)))</f>
        <v/>
      </c>
      <c r="AJ17" s="151" t="str">
        <f t="array" ref="AJ17">IF(AJ$1=0,"",SQRT((_xlfn.XLOOKUP(AJ$1,$R$2:$R$18,$S$2:$S$18)-$L17)^2+(_xlfn.XLOOKUP(AJ$1,$R$2:$R$18,$T$2:$T$18)-$M17)^2+(_xlfn.XLOOKUP(AJ$1,$R$2:$R$18,$U$2:$U$18-$N17)^2)))</f>
        <v/>
      </c>
      <c r="AK17" s="151" t="str">
        <f t="array" ref="AK17">IF(AK$1=0,"",SQRT((_xlfn.XLOOKUP(AK$1,$R$2:$R$18,$S$2:$S$18)-$L17)^2+(_xlfn.XLOOKUP(AK$1,$R$2:$R$18,$T$2:$T$18)-$M17)^2+(_xlfn.XLOOKUP(AK$1,$R$2:$R$18,$U$2:$U$18-$N17)^2)))</f>
        <v/>
      </c>
      <c r="AL17" s="151" t="str">
        <f t="array" ref="AL17">IF(AL$1=0,"",SQRT((_xlfn.XLOOKUP(AL$1,$R$2:$R$18,$S$2:$S$18)-$L17)^2+(_xlfn.XLOOKUP(AL$1,$R$2:$R$18,$T$2:$T$18)-$M17)^2+(_xlfn.XLOOKUP(AL$1,$R$2:$R$18,$U$2:$U$18-$N17)^2)))</f>
        <v/>
      </c>
      <c r="AM17" s="151" t="str">
        <f t="array" ref="AM17">IF(AM$1=0,"",SQRT((_xlfn.XLOOKUP(AM$1,$R$2:$R$18,$S$2:$S$18)-$L17)^2+(_xlfn.XLOOKUP(AM$1,$R$2:$R$18,$T$2:$T$18)-$M17)^2+(_xlfn.XLOOKUP(AM$1,$R$2:$R$18,$U$2:$U$18-$N17)^2)))</f>
        <v/>
      </c>
      <c r="AN17" s="152" t="str">
        <f t="array" ref="AN17">IF(AN$1=0,"",SQRT((_xlfn.XLOOKUP(AN$1,$R$2:$R$18,$S$2:$S$18)-$L17)^2+(_xlfn.XLOOKUP(AN$1,$R$2:$R$18,$T$2:$T$18)-$M17)^2+(_xlfn.XLOOKUP(AN$1,$R$2:$R$18,$U$2:$U$18-$N17)^2)))</f>
        <v/>
      </c>
      <c r="AO17" s="134"/>
      <c r="AP17" s="134"/>
      <c r="AQ17" s="135">
        <f t="shared" si="4"/>
        <v>-32.651598334859486</v>
      </c>
      <c r="AR17" s="153">
        <f t="shared" si="5"/>
        <v>-32.173763572847079</v>
      </c>
      <c r="AS17" s="153">
        <f t="shared" si="6"/>
        <v>-40.94723722194427</v>
      </c>
      <c r="AT17" s="153">
        <f t="shared" si="7"/>
        <v>-44.930139466929539</v>
      </c>
      <c r="AU17" s="153">
        <f t="shared" si="8"/>
        <v>-41.009098586856595</v>
      </c>
      <c r="AV17" s="153">
        <f t="shared" si="9"/>
        <v>0</v>
      </c>
      <c r="AW17" s="153">
        <f t="shared" si="10"/>
        <v>0</v>
      </c>
      <c r="AX17" s="153">
        <f t="shared" si="11"/>
        <v>0</v>
      </c>
      <c r="AY17" s="154">
        <f t="shared" si="12"/>
        <v>0</v>
      </c>
      <c r="AZ17" s="154">
        <f t="shared" si="13"/>
        <v>0</v>
      </c>
      <c r="BA17" s="154">
        <f t="shared" si="14"/>
        <v>0</v>
      </c>
      <c r="BB17" s="154">
        <f t="shared" si="15"/>
        <v>0</v>
      </c>
      <c r="BC17" s="154">
        <f t="shared" si="16"/>
        <v>0</v>
      </c>
      <c r="BD17" s="154">
        <f t="shared" si="17"/>
        <v>0</v>
      </c>
      <c r="BE17" s="155">
        <f t="shared" si="18"/>
        <v>0</v>
      </c>
      <c r="BF17" s="134"/>
      <c r="BG17" s="44" t="s">
        <v>49</v>
      </c>
      <c r="BH17" s="120">
        <f>ABS(BK6-BK7)</f>
        <v>0</v>
      </c>
      <c r="BI17" s="134"/>
      <c r="BJ17" s="134"/>
      <c r="BK17" s="134"/>
      <c r="BL17" s="134"/>
      <c r="BM17" s="134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0"/>
      <c r="CC17" s="134"/>
      <c r="CD17" s="134"/>
      <c r="CE17" s="156">
        <f t="shared" si="35"/>
        <v>40.348401665140514</v>
      </c>
      <c r="CF17" s="157">
        <f t="shared" si="36"/>
        <v>40.826236427152921</v>
      </c>
      <c r="CG17" s="157">
        <f t="shared" si="37"/>
        <v>32.05276277805573</v>
      </c>
      <c r="CH17" s="157">
        <f t="shared" si="38"/>
        <v>28.069860533070461</v>
      </c>
      <c r="CI17" s="157">
        <f t="shared" si="39"/>
        <v>31.990901413143405</v>
      </c>
      <c r="CJ17" s="157" t="str">
        <f t="shared" si="40"/>
        <v/>
      </c>
      <c r="CK17" s="157" t="str">
        <f t="shared" si="41"/>
        <v/>
      </c>
      <c r="CL17" s="157" t="str">
        <f t="shared" si="42"/>
        <v/>
      </c>
      <c r="CM17" s="158" t="str">
        <f t="shared" si="43"/>
        <v/>
      </c>
      <c r="CN17" s="158" t="str">
        <f t="shared" si="44"/>
        <v/>
      </c>
      <c r="CO17" s="158" t="str">
        <f t="shared" si="45"/>
        <v/>
      </c>
      <c r="CP17" s="158" t="str">
        <f t="shared" si="46"/>
        <v/>
      </c>
      <c r="CQ17" s="143" t="str">
        <f t="shared" si="47"/>
        <v/>
      </c>
      <c r="CR17" s="143" t="str">
        <f t="shared" si="48"/>
        <v/>
      </c>
      <c r="CS17" s="144" t="str">
        <f t="shared" si="49"/>
        <v/>
      </c>
    </row>
    <row r="18" spans="1:97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147" t="s">
        <v>140</v>
      </c>
      <c r="F18" s="4">
        <v>58</v>
      </c>
      <c r="G18" s="4">
        <v>5</v>
      </c>
      <c r="H18" s="3">
        <v>1</v>
      </c>
      <c r="I18" s="128">
        <f t="shared" si="34"/>
        <v>73</v>
      </c>
      <c r="J18" s="3">
        <v>2</v>
      </c>
      <c r="K18" s="3"/>
      <c r="L18" s="4">
        <v>73.849999999999994</v>
      </c>
      <c r="M18" s="4">
        <v>112.39</v>
      </c>
      <c r="N18" s="109">
        <f t="shared" si="3"/>
        <v>74</v>
      </c>
      <c r="O18" s="81">
        <v>70</v>
      </c>
      <c r="P18" s="148">
        <v>4</v>
      </c>
      <c r="W18" s="24" t="s">
        <v>50</v>
      </c>
      <c r="Z18" s="168">
        <f t="array" ref="Z18">IF(Z$1=0,"",SQRT((_xlfn.XLOOKUP(Z$1,$R$2:$R$18,$S$2:$S$18)-$L18)^2+(_xlfn.XLOOKUP(Z$1,$R$2:$R$18,$T$2:$T$18)-$M18)^2+(_xlfn.XLOOKUP(Z$1,$R$2:$R$18,$U$2:$U$18-$N18)^2)))</f>
        <v>49.432355800629203</v>
      </c>
      <c r="AA18" s="150">
        <f t="array" ref="AA18">IF(AA$1=0,"",SQRT((_xlfn.XLOOKUP(AA$1,$R$2:$R$18,$S$2:$S$18)-$L18)^2+(_xlfn.XLOOKUP(AA$1,$R$2:$R$18,$T$2:$T$18)-$M18)^2+(_xlfn.XLOOKUP(AA$1,$R$2:$R$18,$U$2:$U$18-$N18)^2)))</f>
        <v>75.215273050092691</v>
      </c>
      <c r="AB18" s="150">
        <f t="array" ref="AB18">IF(AB$1=0,"",SQRT((_xlfn.XLOOKUP(AB$1,$R$2:$R$18,$S$2:$S$18)-$L18)^2+(_xlfn.XLOOKUP(AB$1,$R$2:$R$18,$T$2:$T$18)-$M18)^2+(_xlfn.XLOOKUP(AB$1,$R$2:$R$18,$U$2:$U$18-$N18)^2)))</f>
        <v>169.62015711583336</v>
      </c>
      <c r="AC18" s="150">
        <f t="array" ref="AC18">IF(AC$1=0,"",SQRT((_xlfn.XLOOKUP(AC$1,$R$2:$R$18,$S$2:$S$18)-$L18)^2+(_xlfn.XLOOKUP(AC$1,$R$2:$R$18,$T$2:$T$18)-$M18)^2+(_xlfn.XLOOKUP(AC$1,$R$2:$R$18,$U$2:$U$18-$N18)^2)))</f>
        <v>246.7337952125732</v>
      </c>
      <c r="AD18" s="150">
        <f t="array" ref="AD18">IF(AD$1=0,"",SQRT((_xlfn.XLOOKUP(AD$1,$R$2:$R$18,$S$2:$S$18)-$L18)^2+(_xlfn.XLOOKUP(AD$1,$R$2:$R$18,$T$2:$T$18)-$M18)^2+(_xlfn.XLOOKUP(AD$1,$R$2:$R$18,$U$2:$U$18-$N18)^2)))</f>
        <v>121.18423164752087</v>
      </c>
      <c r="AE18" s="150" t="str">
        <f t="array" ref="AE18">IF(AE$1=0,"",SQRT((_xlfn.XLOOKUP(AE$1,$R$2:$R$18,$S$2:$S$18)-$L18)^2+(_xlfn.XLOOKUP(AE$1,$R$2:$R$18,$T$2:$T$18)-$M18)^2+(_xlfn.XLOOKUP(AE$1,$R$2:$R$18,$U$2:$U$18-$N18)^2)))</f>
        <v/>
      </c>
      <c r="AF18" s="150" t="str">
        <f t="array" ref="AF18">IF(AF$1=0,"",SQRT((_xlfn.XLOOKUP(AF$1,$R$2:$R$18,$S$2:$S$18)-$L18)^2+(_xlfn.XLOOKUP(AF$1,$R$2:$R$18,$T$2:$T$18)-$M18)^2+(_xlfn.XLOOKUP(AF$1,$R$2:$R$18,$U$2:$U$18-$N18)^2)))</f>
        <v/>
      </c>
      <c r="AG18" s="150" t="str">
        <f t="array" ref="AG18">IF(AG$1=0,"",SQRT((_xlfn.XLOOKUP(AG$1,$R$2:$R$18,$S$2:$S$18)-$L18)^2+(_xlfn.XLOOKUP(AG$1,$R$2:$R$18,$T$2:$T$18)-$M18)^2+(_xlfn.XLOOKUP(AG$1,$R$2:$R$18,$U$2:$U$18-$N18)^2)))</f>
        <v/>
      </c>
      <c r="AH18" s="151" t="str">
        <f t="array" ref="AH18">IF(AH$1=0,"",SQRT((_xlfn.XLOOKUP(AH$1,$R$2:$R$18,$S$2:$S$18)-$L18)^2+(_xlfn.XLOOKUP(AH$1,$R$2:$R$18,$T$2:$T$18)-$M18)^2+(_xlfn.XLOOKUP(AH$1,$R$2:$R$18,$U$2:$U$18-$N18)^2)))</f>
        <v/>
      </c>
      <c r="AI18" s="151" t="str">
        <f t="array" ref="AI18">IF(AI$1=0,"",SQRT((_xlfn.XLOOKUP(AI$1,$R$2:$R$18,$S$2:$S$18)-$L18)^2+(_xlfn.XLOOKUP(AI$1,$R$2:$R$18,$T$2:$T$18)-$M18)^2+(_xlfn.XLOOKUP(AI$1,$R$2:$R$18,$U$2:$U$18-$N18)^2)))</f>
        <v/>
      </c>
      <c r="AJ18" s="151" t="str">
        <f t="array" ref="AJ18">IF(AJ$1=0,"",SQRT((_xlfn.XLOOKUP(AJ$1,$R$2:$R$18,$S$2:$S$18)-$L18)^2+(_xlfn.XLOOKUP(AJ$1,$R$2:$R$18,$T$2:$T$18)-$M18)^2+(_xlfn.XLOOKUP(AJ$1,$R$2:$R$18,$U$2:$U$18-$N18)^2)))</f>
        <v/>
      </c>
      <c r="AK18" s="151" t="str">
        <f t="array" ref="AK18">IF(AK$1=0,"",SQRT((_xlfn.XLOOKUP(AK$1,$R$2:$R$18,$S$2:$S$18)-$L18)^2+(_xlfn.XLOOKUP(AK$1,$R$2:$R$18,$T$2:$T$18)-$M18)^2+(_xlfn.XLOOKUP(AK$1,$R$2:$R$18,$U$2:$U$18-$N18)^2)))</f>
        <v/>
      </c>
      <c r="AL18" s="151" t="str">
        <f t="array" ref="AL18">IF(AL$1=0,"",SQRT((_xlfn.XLOOKUP(AL$1,$R$2:$R$18,$S$2:$S$18)-$L18)^2+(_xlfn.XLOOKUP(AL$1,$R$2:$R$18,$T$2:$T$18)-$M18)^2+(_xlfn.XLOOKUP(AL$1,$R$2:$R$18,$U$2:$U$18-$N18)^2)))</f>
        <v/>
      </c>
      <c r="AM18" s="151" t="str">
        <f t="array" ref="AM18">IF(AM$1=0,"",SQRT((_xlfn.XLOOKUP(AM$1,$R$2:$R$18,$S$2:$S$18)-$L18)^2+(_xlfn.XLOOKUP(AM$1,$R$2:$R$18,$T$2:$T$18)-$M18)^2+(_xlfn.XLOOKUP(AM$1,$R$2:$R$18,$U$2:$U$18-$N18)^2)))</f>
        <v/>
      </c>
      <c r="AN18" s="152" t="str">
        <f t="array" ref="AN18">IF(AN$1=0,"",SQRT((_xlfn.XLOOKUP(AN$1,$R$2:$R$18,$S$2:$S$18)-$L18)^2+(_xlfn.XLOOKUP(AN$1,$R$2:$R$18,$T$2:$T$18)-$M18)^2+(_xlfn.XLOOKUP(AN$1,$R$2:$R$18,$U$2:$U$18-$N18)^2)))</f>
        <v/>
      </c>
      <c r="AO18" s="134"/>
      <c r="AP18" s="134"/>
      <c r="AQ18" s="135">
        <f t="shared" si="4"/>
        <v>-31.542324099954989</v>
      </c>
      <c r="AR18" s="153">
        <f t="shared" si="5"/>
        <v>-35.18821866575729</v>
      </c>
      <c r="AS18" s="153">
        <f t="shared" si="6"/>
        <v>-42.251647159969053</v>
      </c>
      <c r="AT18" s="153">
        <f t="shared" si="7"/>
        <v>-45.506670717495467</v>
      </c>
      <c r="AU18" s="153">
        <f t="shared" si="8"/>
        <v>-39.331020209117781</v>
      </c>
      <c r="AV18" s="153">
        <f t="shared" si="9"/>
        <v>0</v>
      </c>
      <c r="AW18" s="153">
        <f t="shared" si="10"/>
        <v>0</v>
      </c>
      <c r="AX18" s="153">
        <f t="shared" si="11"/>
        <v>0</v>
      </c>
      <c r="AY18" s="154">
        <f t="shared" si="12"/>
        <v>0</v>
      </c>
      <c r="AZ18" s="154">
        <f t="shared" si="13"/>
        <v>0</v>
      </c>
      <c r="BA18" s="154">
        <f t="shared" si="14"/>
        <v>0</v>
      </c>
      <c r="BB18" s="154">
        <f t="shared" si="15"/>
        <v>0</v>
      </c>
      <c r="BC18" s="154">
        <f t="shared" si="16"/>
        <v>0</v>
      </c>
      <c r="BD18" s="154">
        <f t="shared" si="17"/>
        <v>0</v>
      </c>
      <c r="BE18" s="155">
        <f t="shared" si="18"/>
        <v>0</v>
      </c>
      <c r="BF18" s="134"/>
      <c r="BG18" s="44" t="s">
        <v>51</v>
      </c>
      <c r="BH18" s="120">
        <f>SQRT((BI7-BI6)^2+(BJ7-BJ6)^2)</f>
        <v>17.840697856305969</v>
      </c>
      <c r="BI18" s="134"/>
      <c r="BJ18" s="134"/>
      <c r="BK18" s="134"/>
      <c r="BL18" s="134"/>
      <c r="BM18" s="134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34"/>
      <c r="CD18" s="134"/>
      <c r="CE18" s="156">
        <f t="shared" si="35"/>
        <v>41.457675900045011</v>
      </c>
      <c r="CF18" s="157">
        <f t="shared" si="36"/>
        <v>37.81178133424271</v>
      </c>
      <c r="CG18" s="157">
        <f t="shared" si="37"/>
        <v>30.748352840030947</v>
      </c>
      <c r="CH18" s="157">
        <f t="shared" si="38"/>
        <v>27.493329282504533</v>
      </c>
      <c r="CI18" s="157">
        <f t="shared" si="39"/>
        <v>33.668979790882219</v>
      </c>
      <c r="CJ18" s="157" t="str">
        <f t="shared" si="40"/>
        <v/>
      </c>
      <c r="CK18" s="157" t="str">
        <f t="shared" si="41"/>
        <v/>
      </c>
      <c r="CL18" s="157" t="str">
        <f t="shared" si="42"/>
        <v/>
      </c>
      <c r="CM18" s="158" t="str">
        <f t="shared" si="43"/>
        <v/>
      </c>
      <c r="CN18" s="158" t="str">
        <f t="shared" si="44"/>
        <v/>
      </c>
      <c r="CO18" s="158" t="str">
        <f t="shared" si="45"/>
        <v/>
      </c>
      <c r="CP18" s="158" t="str">
        <f t="shared" si="46"/>
        <v/>
      </c>
      <c r="CQ18" s="143" t="str">
        <f t="shared" si="47"/>
        <v/>
      </c>
      <c r="CR18" s="143" t="str">
        <f t="shared" si="48"/>
        <v/>
      </c>
      <c r="CS18" s="144" t="str">
        <f t="shared" si="49"/>
        <v/>
      </c>
    </row>
    <row r="19" spans="1:97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147" t="s">
        <v>140</v>
      </c>
      <c r="F19" s="4">
        <v>58</v>
      </c>
      <c r="G19" s="4">
        <v>5</v>
      </c>
      <c r="H19" s="3">
        <v>1</v>
      </c>
      <c r="I19" s="128">
        <f t="shared" si="34"/>
        <v>73</v>
      </c>
      <c r="J19" s="3">
        <v>2</v>
      </c>
      <c r="K19" s="3"/>
      <c r="L19" s="4">
        <v>89.73</v>
      </c>
      <c r="M19" s="4">
        <v>129.58000000000001</v>
      </c>
      <c r="N19" s="109">
        <f t="shared" si="3"/>
        <v>74</v>
      </c>
      <c r="O19" s="81">
        <v>70</v>
      </c>
      <c r="P19" s="148">
        <v>4</v>
      </c>
      <c r="W19" s="24" t="s">
        <v>52</v>
      </c>
      <c r="X19" s="24" t="s">
        <v>53</v>
      </c>
      <c r="Z19" s="168">
        <f t="array" ref="Z19">IF(Z$1=0,"",SQRT((_xlfn.XLOOKUP(Z$1,$R$2:$R$18,$S$2:$S$18)-$L19)^2+(_xlfn.XLOOKUP(Z$1,$R$2:$R$18,$T$2:$T$18)-$M19)^2+(_xlfn.XLOOKUP(Z$1,$R$2:$R$18,$U$2:$U$18-$N19)^2)))</f>
        <v>72.111608635503345</v>
      </c>
      <c r="AA19" s="150">
        <f t="array" ref="AA19">IF(AA$1=0,"",SQRT((_xlfn.XLOOKUP(AA$1,$R$2:$R$18,$S$2:$S$18)-$L19)^2+(_xlfn.XLOOKUP(AA$1,$R$2:$R$18,$T$2:$T$18)-$M19)^2+(_xlfn.XLOOKUP(AA$1,$R$2:$R$18,$U$2:$U$18-$N19)^2)))</f>
        <v>85.308195385906501</v>
      </c>
      <c r="AB19" s="150">
        <f t="array" ref="AB19">IF(AB$1=0,"",SQRT((_xlfn.XLOOKUP(AB$1,$R$2:$R$18,$S$2:$S$18)-$L19)^2+(_xlfn.XLOOKUP(AB$1,$R$2:$R$18,$T$2:$T$18)-$M19)^2+(_xlfn.XLOOKUP(AB$1,$R$2:$R$18,$U$2:$U$18-$N19)^2)))</f>
        <v>166.92011502512213</v>
      </c>
      <c r="AC19" s="150">
        <f t="array" ref="AC19">IF(AC$1=0,"",SQRT((_xlfn.XLOOKUP(AC$1,$R$2:$R$18,$S$2:$S$18)-$L19)^2+(_xlfn.XLOOKUP(AC$1,$R$2:$R$18,$T$2:$T$18)-$M19)^2+(_xlfn.XLOOKUP(AC$1,$R$2:$R$18,$U$2:$U$18-$N19)^2)))</f>
        <v>233.65705168044897</v>
      </c>
      <c r="AD19" s="150">
        <f t="array" ref="AD19">IF(AD$1=0,"",SQRT((_xlfn.XLOOKUP(AD$1,$R$2:$R$18,$S$2:$S$18)-$L19)^2+(_xlfn.XLOOKUP(AD$1,$R$2:$R$18,$T$2:$T$18)-$M19)^2+(_xlfn.XLOOKUP(AD$1,$R$2:$R$18,$U$2:$U$18-$N19)^2)))</f>
        <v>116.78746722144462</v>
      </c>
      <c r="AE19" s="150" t="str">
        <f t="array" ref="AE19">IF(AE$1=0,"",SQRT((_xlfn.XLOOKUP(AE$1,$R$2:$R$18,$S$2:$S$18)-$L19)^2+(_xlfn.XLOOKUP(AE$1,$R$2:$R$18,$T$2:$T$18)-$M19)^2+(_xlfn.XLOOKUP(AE$1,$R$2:$R$18,$U$2:$U$18-$N19)^2)))</f>
        <v/>
      </c>
      <c r="AF19" s="150" t="str">
        <f t="array" ref="AF19">IF(AF$1=0,"",SQRT((_xlfn.XLOOKUP(AF$1,$R$2:$R$18,$S$2:$S$18)-$L19)^2+(_xlfn.XLOOKUP(AF$1,$R$2:$R$18,$T$2:$T$18)-$M19)^2+(_xlfn.XLOOKUP(AF$1,$R$2:$R$18,$U$2:$U$18-$N19)^2)))</f>
        <v/>
      </c>
      <c r="AG19" s="150" t="str">
        <f t="array" ref="AG19">IF(AG$1=0,"",SQRT((_xlfn.XLOOKUP(AG$1,$R$2:$R$18,$S$2:$S$18)-$L19)^2+(_xlfn.XLOOKUP(AG$1,$R$2:$R$18,$T$2:$T$18)-$M19)^2+(_xlfn.XLOOKUP(AG$1,$R$2:$R$18,$U$2:$U$18-$N19)^2)))</f>
        <v/>
      </c>
      <c r="AH19" s="151" t="str">
        <f t="array" ref="AH19">IF(AH$1=0,"",SQRT((_xlfn.XLOOKUP(AH$1,$R$2:$R$18,$S$2:$S$18)-$L19)^2+(_xlfn.XLOOKUP(AH$1,$R$2:$R$18,$T$2:$T$18)-$M19)^2+(_xlfn.XLOOKUP(AH$1,$R$2:$R$18,$U$2:$U$18-$N19)^2)))</f>
        <v/>
      </c>
      <c r="AI19" s="151" t="str">
        <f t="array" ref="AI19">IF(AI$1=0,"",SQRT((_xlfn.XLOOKUP(AI$1,$R$2:$R$18,$S$2:$S$18)-$L19)^2+(_xlfn.XLOOKUP(AI$1,$R$2:$R$18,$T$2:$T$18)-$M19)^2+(_xlfn.XLOOKUP(AI$1,$R$2:$R$18,$U$2:$U$18-$N19)^2)))</f>
        <v/>
      </c>
      <c r="AJ19" s="151" t="str">
        <f t="array" ref="AJ19">IF(AJ$1=0,"",SQRT((_xlfn.XLOOKUP(AJ$1,$R$2:$R$18,$S$2:$S$18)-$L19)^2+(_xlfn.XLOOKUP(AJ$1,$R$2:$R$18,$T$2:$T$18)-$M19)^2+(_xlfn.XLOOKUP(AJ$1,$R$2:$R$18,$U$2:$U$18-$N19)^2)))</f>
        <v/>
      </c>
      <c r="AK19" s="151" t="str">
        <f t="array" ref="AK19">IF(AK$1=0,"",SQRT((_xlfn.XLOOKUP(AK$1,$R$2:$R$18,$S$2:$S$18)-$L19)^2+(_xlfn.XLOOKUP(AK$1,$R$2:$R$18,$T$2:$T$18)-$M19)^2+(_xlfn.XLOOKUP(AK$1,$R$2:$R$18,$U$2:$U$18-$N19)^2)))</f>
        <v/>
      </c>
      <c r="AL19" s="151" t="str">
        <f t="array" ref="AL19">IF(AL$1=0,"",SQRT((_xlfn.XLOOKUP(AL$1,$R$2:$R$18,$S$2:$S$18)-$L19)^2+(_xlfn.XLOOKUP(AL$1,$R$2:$R$18,$T$2:$T$18)-$M19)^2+(_xlfn.XLOOKUP(AL$1,$R$2:$R$18,$U$2:$U$18-$N19)^2)))</f>
        <v/>
      </c>
      <c r="AM19" s="151" t="str">
        <f t="array" ref="AM19">IF(AM$1=0,"",SQRT((_xlfn.XLOOKUP(AM$1,$R$2:$R$18,$S$2:$S$18)-$L19)^2+(_xlfn.XLOOKUP(AM$1,$R$2:$R$18,$T$2:$T$18)-$M19)^2+(_xlfn.XLOOKUP(AM$1,$R$2:$R$18,$U$2:$U$18-$N19)^2)))</f>
        <v/>
      </c>
      <c r="AN19" s="152" t="str">
        <f t="array" ref="AN19">IF(AN$1=0,"",SQRT((_xlfn.XLOOKUP(AN$1,$R$2:$R$18,$S$2:$S$18)-$L19)^2+(_xlfn.XLOOKUP(AN$1,$R$2:$R$18,$T$2:$T$18)-$M19)^2+(_xlfn.XLOOKUP(AN$1,$R$2:$R$18,$U$2:$U$18-$N19)^2)))</f>
        <v/>
      </c>
      <c r="AO19" s="134"/>
      <c r="AP19" s="134"/>
      <c r="AQ19" s="135">
        <f t="shared" si="4"/>
        <v>-34.82220161149305</v>
      </c>
      <c r="AR19" s="153">
        <f t="shared" si="5"/>
        <v>-36.281913036228403</v>
      </c>
      <c r="AS19" s="153">
        <f t="shared" si="6"/>
        <v>-42.112271443198949</v>
      </c>
      <c r="AT19" s="153">
        <f t="shared" si="7"/>
        <v>-45.033675784921769</v>
      </c>
      <c r="AU19" s="153">
        <f t="shared" si="8"/>
        <v>-39.01002273619185</v>
      </c>
      <c r="AV19" s="153">
        <f t="shared" si="9"/>
        <v>0</v>
      </c>
      <c r="AW19" s="153">
        <f t="shared" si="10"/>
        <v>0</v>
      </c>
      <c r="AX19" s="153">
        <f t="shared" si="11"/>
        <v>0</v>
      </c>
      <c r="AY19" s="154">
        <f t="shared" si="12"/>
        <v>0</v>
      </c>
      <c r="AZ19" s="154">
        <f t="shared" si="13"/>
        <v>0</v>
      </c>
      <c r="BA19" s="154">
        <f t="shared" si="14"/>
        <v>0</v>
      </c>
      <c r="BB19" s="154">
        <f t="shared" si="15"/>
        <v>0</v>
      </c>
      <c r="BC19" s="154">
        <f t="shared" si="16"/>
        <v>0</v>
      </c>
      <c r="BD19" s="154">
        <f t="shared" si="17"/>
        <v>0</v>
      </c>
      <c r="BE19" s="155">
        <f t="shared" si="18"/>
        <v>0</v>
      </c>
      <c r="BF19" s="134"/>
      <c r="BG19" s="44" t="s">
        <v>54</v>
      </c>
      <c r="BH19" s="120">
        <f>BH17/BH18</f>
        <v>0</v>
      </c>
      <c r="BI19" s="134"/>
      <c r="BJ19" s="134"/>
      <c r="BK19" s="134"/>
      <c r="BL19" s="134"/>
      <c r="BM19" s="134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34"/>
      <c r="CD19" s="134"/>
      <c r="CE19" s="156">
        <f t="shared" si="35"/>
        <v>38.17779838850695</v>
      </c>
      <c r="CF19" s="157">
        <f t="shared" si="36"/>
        <v>36.718086963771597</v>
      </c>
      <c r="CG19" s="157">
        <f t="shared" si="37"/>
        <v>30.887728556801051</v>
      </c>
      <c r="CH19" s="157">
        <f t="shared" si="38"/>
        <v>27.966324215078231</v>
      </c>
      <c r="CI19" s="157">
        <f t="shared" si="39"/>
        <v>33.98997726380815</v>
      </c>
      <c r="CJ19" s="157" t="str">
        <f t="shared" si="40"/>
        <v/>
      </c>
      <c r="CK19" s="157" t="str">
        <f t="shared" si="41"/>
        <v/>
      </c>
      <c r="CL19" s="157" t="str">
        <f t="shared" si="42"/>
        <v/>
      </c>
      <c r="CM19" s="158" t="str">
        <f t="shared" si="43"/>
        <v/>
      </c>
      <c r="CN19" s="158" t="str">
        <f t="shared" si="44"/>
        <v/>
      </c>
      <c r="CO19" s="158" t="str">
        <f t="shared" si="45"/>
        <v/>
      </c>
      <c r="CP19" s="158" t="str">
        <f t="shared" si="46"/>
        <v/>
      </c>
      <c r="CQ19" s="143" t="str">
        <f t="shared" si="47"/>
        <v/>
      </c>
      <c r="CR19" s="143" t="str">
        <f t="shared" si="48"/>
        <v/>
      </c>
      <c r="CS19" s="144" t="str">
        <f t="shared" si="49"/>
        <v/>
      </c>
    </row>
    <row r="20" spans="1:97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147" t="s">
        <v>140</v>
      </c>
      <c r="F20" s="4">
        <v>58</v>
      </c>
      <c r="G20" s="4">
        <v>5</v>
      </c>
      <c r="H20" s="3">
        <v>1</v>
      </c>
      <c r="I20" s="128">
        <f t="shared" si="34"/>
        <v>73</v>
      </c>
      <c r="J20" s="3">
        <v>2</v>
      </c>
      <c r="K20" s="3"/>
      <c r="L20" s="4">
        <v>109.54</v>
      </c>
      <c r="M20" s="4">
        <v>133.58000000000001</v>
      </c>
      <c r="N20" s="109">
        <f t="shared" si="3"/>
        <v>74</v>
      </c>
      <c r="O20" s="81">
        <v>70</v>
      </c>
      <c r="P20" s="148">
        <v>4</v>
      </c>
      <c r="W20" s="110">
        <v>150</v>
      </c>
      <c r="X20" s="111">
        <v>1370</v>
      </c>
      <c r="Z20" s="168">
        <f t="array" ref="Z20">IF(Z$1=0,"",SQRT((_xlfn.XLOOKUP(Z$1,$R$2:$R$18,$S$2:$S$18)-$L20)^2+(_xlfn.XLOOKUP(Z$1,$R$2:$R$18,$T$2:$T$18)-$M20)^2+(_xlfn.XLOOKUP(Z$1,$R$2:$R$18,$U$2:$U$18-$N20)^2)))</f>
        <v>90.535900061798699</v>
      </c>
      <c r="AA20" s="150">
        <f t="array" ref="AA20">IF(AA$1=0,"",SQRT((_xlfn.XLOOKUP(AA$1,$R$2:$R$18,$S$2:$S$18)-$L20)^2+(_xlfn.XLOOKUP(AA$1,$R$2:$R$18,$T$2:$T$18)-$M20)^2+(_xlfn.XLOOKUP(AA$1,$R$2:$R$18,$U$2:$U$18-$N20)^2)))</f>
        <v>87.809239263303041</v>
      </c>
      <c r="AB20" s="150">
        <f t="array" ref="AB20">IF(AB$1=0,"",SQRT((_xlfn.XLOOKUP(AB$1,$R$2:$R$18,$S$2:$S$18)-$L20)^2+(_xlfn.XLOOKUP(AB$1,$R$2:$R$18,$T$2:$T$18)-$M20)^2+(_xlfn.XLOOKUP(AB$1,$R$2:$R$18,$U$2:$U$18-$N20)^2)))</f>
        <v>155.19203362286351</v>
      </c>
      <c r="AC20" s="150">
        <f t="array" ref="AC20">IF(AC$1=0,"",SQRT((_xlfn.XLOOKUP(AC$1,$R$2:$R$18,$S$2:$S$18)-$L20)^2+(_xlfn.XLOOKUP(AC$1,$R$2:$R$18,$T$2:$T$18)-$M20)^2+(_xlfn.XLOOKUP(AC$1,$R$2:$R$18,$U$2:$U$18-$N20)^2)))</f>
        <v>215.28911560968427</v>
      </c>
      <c r="AD20" s="150">
        <f t="array" ref="AD20">IF(AD$1=0,"",SQRT((_xlfn.XLOOKUP(AD$1,$R$2:$R$18,$S$2:$S$18)-$L20)^2+(_xlfn.XLOOKUP(AD$1,$R$2:$R$18,$T$2:$T$18)-$M20)^2+(_xlfn.XLOOKUP(AD$1,$R$2:$R$18,$U$2:$U$18-$N20)^2)))</f>
        <v>127.92598875912587</v>
      </c>
      <c r="AE20" s="150" t="str">
        <f t="array" ref="AE20">IF(AE$1=0,"",SQRT((_xlfn.XLOOKUP(AE$1,$R$2:$R$18,$S$2:$S$18)-$L20)^2+(_xlfn.XLOOKUP(AE$1,$R$2:$R$18,$T$2:$T$18)-$M20)^2+(_xlfn.XLOOKUP(AE$1,$R$2:$R$18,$U$2:$U$18-$N20)^2)))</f>
        <v/>
      </c>
      <c r="AF20" s="150" t="str">
        <f t="array" ref="AF20">IF(AF$1=0,"",SQRT((_xlfn.XLOOKUP(AF$1,$R$2:$R$18,$S$2:$S$18)-$L20)^2+(_xlfn.XLOOKUP(AF$1,$R$2:$R$18,$T$2:$T$18)-$M20)^2+(_xlfn.XLOOKUP(AF$1,$R$2:$R$18,$U$2:$U$18-$N20)^2)))</f>
        <v/>
      </c>
      <c r="AG20" s="150" t="str">
        <f t="array" ref="AG20">IF(AG$1=0,"",SQRT((_xlfn.XLOOKUP(AG$1,$R$2:$R$18,$S$2:$S$18)-$L20)^2+(_xlfn.XLOOKUP(AG$1,$R$2:$R$18,$T$2:$T$18)-$M20)^2+(_xlfn.XLOOKUP(AG$1,$R$2:$R$18,$U$2:$U$18-$N20)^2)))</f>
        <v/>
      </c>
      <c r="AH20" s="151" t="str">
        <f t="array" ref="AH20">IF(AH$1=0,"",SQRT((_xlfn.XLOOKUP(AH$1,$R$2:$R$18,$S$2:$S$18)-$L20)^2+(_xlfn.XLOOKUP(AH$1,$R$2:$R$18,$T$2:$T$18)-$M20)^2+(_xlfn.XLOOKUP(AH$1,$R$2:$R$18,$U$2:$U$18-$N20)^2)))</f>
        <v/>
      </c>
      <c r="AI20" s="151" t="str">
        <f t="array" ref="AI20">IF(AI$1=0,"",SQRT((_xlfn.XLOOKUP(AI$1,$R$2:$R$18,$S$2:$S$18)-$L20)^2+(_xlfn.XLOOKUP(AI$1,$R$2:$R$18,$T$2:$T$18)-$M20)^2+(_xlfn.XLOOKUP(AI$1,$R$2:$R$18,$U$2:$U$18-$N20)^2)))</f>
        <v/>
      </c>
      <c r="AJ20" s="151" t="str">
        <f t="array" ref="AJ20">IF(AJ$1=0,"",SQRT((_xlfn.XLOOKUP(AJ$1,$R$2:$R$18,$S$2:$S$18)-$L20)^2+(_xlfn.XLOOKUP(AJ$1,$R$2:$R$18,$T$2:$T$18)-$M20)^2+(_xlfn.XLOOKUP(AJ$1,$R$2:$R$18,$U$2:$U$18-$N20)^2)))</f>
        <v/>
      </c>
      <c r="AK20" s="151" t="str">
        <f t="array" ref="AK20">IF(AK$1=0,"",SQRT((_xlfn.XLOOKUP(AK$1,$R$2:$R$18,$S$2:$S$18)-$L20)^2+(_xlfn.XLOOKUP(AK$1,$R$2:$R$18,$T$2:$T$18)-$M20)^2+(_xlfn.XLOOKUP(AK$1,$R$2:$R$18,$U$2:$U$18-$N20)^2)))</f>
        <v/>
      </c>
      <c r="AL20" s="151" t="str">
        <f t="array" ref="AL20">IF(AL$1=0,"",SQRT((_xlfn.XLOOKUP(AL$1,$R$2:$R$18,$S$2:$S$18)-$L20)^2+(_xlfn.XLOOKUP(AL$1,$R$2:$R$18,$T$2:$T$18)-$M20)^2+(_xlfn.XLOOKUP(AL$1,$R$2:$R$18,$U$2:$U$18-$N20)^2)))</f>
        <v/>
      </c>
      <c r="AM20" s="151" t="str">
        <f t="array" ref="AM20">IF(AM$1=0,"",SQRT((_xlfn.XLOOKUP(AM$1,$R$2:$R$18,$S$2:$S$18)-$L20)^2+(_xlfn.XLOOKUP(AM$1,$R$2:$R$18,$T$2:$T$18)-$M20)^2+(_xlfn.XLOOKUP(AM$1,$R$2:$R$18,$U$2:$U$18-$N20)^2)))</f>
        <v/>
      </c>
      <c r="AN20" s="152" t="str">
        <f t="array" ref="AN20">IF(AN$1=0,"",SQRT((_xlfn.XLOOKUP(AN$1,$R$2:$R$18,$S$2:$S$18)-$L20)^2+(_xlfn.XLOOKUP(AN$1,$R$2:$R$18,$T$2:$T$18)-$M20)^2+(_xlfn.XLOOKUP(AN$1,$R$2:$R$18,$U$2:$U$18-$N20)^2)))</f>
        <v/>
      </c>
      <c r="AO20" s="134"/>
      <c r="AP20" s="134"/>
      <c r="AQ20" s="135">
        <f t="shared" si="4"/>
        <v>-36.798514406595245</v>
      </c>
      <c r="AR20" s="153">
        <f t="shared" si="5"/>
        <v>-36.532902229988785</v>
      </c>
      <c r="AS20" s="153">
        <f t="shared" si="6"/>
        <v>-41.479486419392771</v>
      </c>
      <c r="AT20" s="153">
        <f t="shared" si="7"/>
        <v>-44.322539411233699</v>
      </c>
      <c r="AU20" s="153">
        <f t="shared" si="8"/>
        <v>-39.801273584616801</v>
      </c>
      <c r="AV20" s="153">
        <f t="shared" si="9"/>
        <v>0</v>
      </c>
      <c r="AW20" s="153">
        <f t="shared" si="10"/>
        <v>0</v>
      </c>
      <c r="AX20" s="153">
        <f t="shared" si="11"/>
        <v>0</v>
      </c>
      <c r="AY20" s="154">
        <f t="shared" si="12"/>
        <v>0</v>
      </c>
      <c r="AZ20" s="154">
        <f t="shared" si="13"/>
        <v>0</v>
      </c>
      <c r="BA20" s="154">
        <f t="shared" si="14"/>
        <v>0</v>
      </c>
      <c r="BB20" s="154">
        <f t="shared" si="15"/>
        <v>0</v>
      </c>
      <c r="BC20" s="154">
        <f t="shared" si="16"/>
        <v>0</v>
      </c>
      <c r="BD20" s="154">
        <f t="shared" si="17"/>
        <v>0</v>
      </c>
      <c r="BE20" s="155">
        <f t="shared" si="18"/>
        <v>0</v>
      </c>
      <c r="BF20" s="134"/>
      <c r="BG20" s="44" t="s">
        <v>55</v>
      </c>
      <c r="BH20" s="45">
        <f>SQRT((BJ12-_xlfn.XLOOKUP(MIN(BK6:BK7),BK6:BK7,BI6:BI7))^2+(BJ13-_xlfn.XLOOKUP(MIN(BK6:BK7),BK6:BK7,BJ6:BJ7))^2)</f>
        <v>16.487397412463988</v>
      </c>
      <c r="BI20" s="134"/>
      <c r="BJ20" s="134"/>
      <c r="BK20" s="134"/>
      <c r="BL20" s="134"/>
      <c r="BM20" s="134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34"/>
      <c r="CD20" s="134"/>
      <c r="CE20" s="156">
        <f t="shared" si="35"/>
        <v>36.201485593404755</v>
      </c>
      <c r="CF20" s="157">
        <f t="shared" si="36"/>
        <v>36.467097770011215</v>
      </c>
      <c r="CG20" s="157">
        <f t="shared" si="37"/>
        <v>31.520513580607229</v>
      </c>
      <c r="CH20" s="157">
        <f t="shared" si="38"/>
        <v>28.677460588766301</v>
      </c>
      <c r="CI20" s="157">
        <f t="shared" si="39"/>
        <v>33.198726415383199</v>
      </c>
      <c r="CJ20" s="157" t="str">
        <f t="shared" si="40"/>
        <v/>
      </c>
      <c r="CK20" s="157" t="str">
        <f t="shared" si="41"/>
        <v/>
      </c>
      <c r="CL20" s="157" t="str">
        <f t="shared" si="42"/>
        <v/>
      </c>
      <c r="CM20" s="158" t="str">
        <f t="shared" si="43"/>
        <v/>
      </c>
      <c r="CN20" s="158" t="str">
        <f t="shared" si="44"/>
        <v/>
      </c>
      <c r="CO20" s="158" t="str">
        <f t="shared" si="45"/>
        <v/>
      </c>
      <c r="CP20" s="158" t="str">
        <f t="shared" si="46"/>
        <v/>
      </c>
      <c r="CQ20" s="143" t="str">
        <f t="shared" si="47"/>
        <v/>
      </c>
      <c r="CR20" s="143" t="str">
        <f t="shared" si="48"/>
        <v/>
      </c>
      <c r="CS20" s="144" t="str">
        <f t="shared" si="49"/>
        <v/>
      </c>
    </row>
    <row r="21" spans="1:97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147" t="s">
        <v>140</v>
      </c>
      <c r="F21" s="4">
        <v>58</v>
      </c>
      <c r="G21" s="4">
        <v>5</v>
      </c>
      <c r="H21" s="3">
        <v>1</v>
      </c>
      <c r="I21" s="128">
        <f t="shared" si="34"/>
        <v>73</v>
      </c>
      <c r="J21" s="3">
        <v>2</v>
      </c>
      <c r="K21" s="3"/>
      <c r="L21" s="4">
        <v>129.19999999999999</v>
      </c>
      <c r="M21" s="4">
        <v>137.57</v>
      </c>
      <c r="N21" s="109">
        <f t="shared" si="3"/>
        <v>74</v>
      </c>
      <c r="O21" s="81">
        <v>70</v>
      </c>
      <c r="P21" s="148">
        <v>4</v>
      </c>
      <c r="Z21" s="168">
        <f t="array" ref="Z21">IF(Z$1=0,"",SQRT((_xlfn.XLOOKUP(Z$1,$R$2:$R$18,$S$2:$S$18)-$L21)^2+(_xlfn.XLOOKUP(Z$1,$R$2:$R$18,$T$2:$T$18)-$M21)^2+(_xlfn.XLOOKUP(Z$1,$R$2:$R$18,$U$2:$U$18-$N21)^2)))</f>
        <v>109.45523696927432</v>
      </c>
      <c r="AA21" s="150">
        <f t="array" ref="AA21">IF(AA$1=0,"",SQRT((_xlfn.XLOOKUP(AA$1,$R$2:$R$18,$S$2:$S$18)-$L21)^2+(_xlfn.XLOOKUP(AA$1,$R$2:$R$18,$T$2:$T$18)-$M21)^2+(_xlfn.XLOOKUP(AA$1,$R$2:$R$18,$U$2:$U$18-$N21)^2)))</f>
        <v>94.610868297463568</v>
      </c>
      <c r="AB21" s="150">
        <f t="array" ref="AB21">IF(AB$1=0,"",SQRT((_xlfn.XLOOKUP(AB$1,$R$2:$R$18,$S$2:$S$18)-$L21)^2+(_xlfn.XLOOKUP(AB$1,$R$2:$R$18,$T$2:$T$18)-$M21)^2+(_xlfn.XLOOKUP(AB$1,$R$2:$R$18,$U$2:$U$18-$N21)^2)))</f>
        <v>145.42249138286692</v>
      </c>
      <c r="AC21" s="150">
        <f t="array" ref="AC21">IF(AC$1=0,"",SQRT((_xlfn.XLOOKUP(AC$1,$R$2:$R$18,$S$2:$S$18)-$L21)^2+(_xlfn.XLOOKUP(AC$1,$R$2:$R$18,$T$2:$T$18)-$M21)^2+(_xlfn.XLOOKUP(AC$1,$R$2:$R$18,$U$2:$U$18-$N21)^2)))</f>
        <v>197.42167054302828</v>
      </c>
      <c r="AD21" s="150">
        <f t="array" ref="AD21">IF(AD$1=0,"",SQRT((_xlfn.XLOOKUP(AD$1,$R$2:$R$18,$S$2:$S$18)-$L21)^2+(_xlfn.XLOOKUP(AD$1,$R$2:$R$18,$T$2:$T$18)-$M21)^2+(_xlfn.XLOOKUP(AD$1,$R$2:$R$18,$U$2:$U$18-$N21)^2)))</f>
        <v>140.97761701773794</v>
      </c>
      <c r="AE21" s="150" t="str">
        <f t="array" ref="AE21">IF(AE$1=0,"",SQRT((_xlfn.XLOOKUP(AE$1,$R$2:$R$18,$S$2:$S$18)-$L21)^2+(_xlfn.XLOOKUP(AE$1,$R$2:$R$18,$T$2:$T$18)-$M21)^2+(_xlfn.XLOOKUP(AE$1,$R$2:$R$18,$U$2:$U$18-$N21)^2)))</f>
        <v/>
      </c>
      <c r="AF21" s="150" t="str">
        <f t="array" ref="AF21">IF(AF$1=0,"",SQRT((_xlfn.XLOOKUP(AF$1,$R$2:$R$18,$S$2:$S$18)-$L21)^2+(_xlfn.XLOOKUP(AF$1,$R$2:$R$18,$T$2:$T$18)-$M21)^2+(_xlfn.XLOOKUP(AF$1,$R$2:$R$18,$U$2:$U$18-$N21)^2)))</f>
        <v/>
      </c>
      <c r="AG21" s="150" t="str">
        <f t="array" ref="AG21">IF(AG$1=0,"",SQRT((_xlfn.XLOOKUP(AG$1,$R$2:$R$18,$S$2:$S$18)-$L21)^2+(_xlfn.XLOOKUP(AG$1,$R$2:$R$18,$T$2:$T$18)-$M21)^2+(_xlfn.XLOOKUP(AG$1,$R$2:$R$18,$U$2:$U$18-$N21)^2)))</f>
        <v/>
      </c>
      <c r="AH21" s="151" t="str">
        <f t="array" ref="AH21">IF(AH$1=0,"",SQRT((_xlfn.XLOOKUP(AH$1,$R$2:$R$18,$S$2:$S$18)-$L21)^2+(_xlfn.XLOOKUP(AH$1,$R$2:$R$18,$T$2:$T$18)-$M21)^2+(_xlfn.XLOOKUP(AH$1,$R$2:$R$18,$U$2:$U$18-$N21)^2)))</f>
        <v/>
      </c>
      <c r="AI21" s="151" t="str">
        <f t="array" ref="AI21">IF(AI$1=0,"",SQRT((_xlfn.XLOOKUP(AI$1,$R$2:$R$18,$S$2:$S$18)-$L21)^2+(_xlfn.XLOOKUP(AI$1,$R$2:$R$18,$T$2:$T$18)-$M21)^2+(_xlfn.XLOOKUP(AI$1,$R$2:$R$18,$U$2:$U$18-$N21)^2)))</f>
        <v/>
      </c>
      <c r="AJ21" s="151" t="str">
        <f t="array" ref="AJ21">IF(AJ$1=0,"",SQRT((_xlfn.XLOOKUP(AJ$1,$R$2:$R$18,$S$2:$S$18)-$L21)^2+(_xlfn.XLOOKUP(AJ$1,$R$2:$R$18,$T$2:$T$18)-$M21)^2+(_xlfn.XLOOKUP(AJ$1,$R$2:$R$18,$U$2:$U$18-$N21)^2)))</f>
        <v/>
      </c>
      <c r="AK21" s="151" t="str">
        <f t="array" ref="AK21">IF(AK$1=0,"",SQRT((_xlfn.XLOOKUP(AK$1,$R$2:$R$18,$S$2:$S$18)-$L21)^2+(_xlfn.XLOOKUP(AK$1,$R$2:$R$18,$T$2:$T$18)-$M21)^2+(_xlfn.XLOOKUP(AK$1,$R$2:$R$18,$U$2:$U$18-$N21)^2)))</f>
        <v/>
      </c>
      <c r="AL21" s="151" t="str">
        <f t="array" ref="AL21">IF(AL$1=0,"",SQRT((_xlfn.XLOOKUP(AL$1,$R$2:$R$18,$S$2:$S$18)-$L21)^2+(_xlfn.XLOOKUP(AL$1,$R$2:$R$18,$T$2:$T$18)-$M21)^2+(_xlfn.XLOOKUP(AL$1,$R$2:$R$18,$U$2:$U$18-$N21)^2)))</f>
        <v/>
      </c>
      <c r="AM21" s="151" t="str">
        <f t="array" ref="AM21">IF(AM$1=0,"",SQRT((_xlfn.XLOOKUP(AM$1,$R$2:$R$18,$S$2:$S$18)-$L21)^2+(_xlfn.XLOOKUP(AM$1,$R$2:$R$18,$T$2:$T$18)-$M21)^2+(_xlfn.XLOOKUP(AM$1,$R$2:$R$18,$U$2:$U$18-$N21)^2)))</f>
        <v/>
      </c>
      <c r="AN21" s="152" t="str">
        <f t="array" ref="AN21">IF(AN$1=0,"",SQRT((_xlfn.XLOOKUP(AN$1,$R$2:$R$18,$S$2:$S$18)-$L21)^2+(_xlfn.XLOOKUP(AN$1,$R$2:$R$18,$T$2:$T$18)-$M21)^2+(_xlfn.XLOOKUP(AN$1,$R$2:$R$18,$U$2:$U$18-$N21)^2)))</f>
        <v/>
      </c>
      <c r="AO21" s="134"/>
      <c r="AP21" s="134"/>
      <c r="AQ21" s="135">
        <f t="shared" si="4"/>
        <v>-38.446828847966557</v>
      </c>
      <c r="AR21" s="153">
        <f t="shared" si="5"/>
        <v>-37.180918502283589</v>
      </c>
      <c r="AS21" s="153">
        <f t="shared" si="6"/>
        <v>-40.914729551308696</v>
      </c>
      <c r="AT21" s="153">
        <f t="shared" si="7"/>
        <v>-43.569994386958761</v>
      </c>
      <c r="AU21" s="153">
        <f t="shared" si="8"/>
        <v>-40.645101242901127</v>
      </c>
      <c r="AV21" s="153">
        <f t="shared" si="9"/>
        <v>0</v>
      </c>
      <c r="AW21" s="153">
        <f t="shared" si="10"/>
        <v>0</v>
      </c>
      <c r="AX21" s="153">
        <f t="shared" si="11"/>
        <v>0</v>
      </c>
      <c r="AY21" s="154">
        <f t="shared" si="12"/>
        <v>0</v>
      </c>
      <c r="AZ21" s="154">
        <f t="shared" si="13"/>
        <v>0</v>
      </c>
      <c r="BA21" s="154">
        <f t="shared" si="14"/>
        <v>0</v>
      </c>
      <c r="BB21" s="154">
        <f t="shared" si="15"/>
        <v>0</v>
      </c>
      <c r="BC21" s="154">
        <f t="shared" si="16"/>
        <v>0</v>
      </c>
      <c r="BD21" s="154">
        <f t="shared" si="17"/>
        <v>0</v>
      </c>
      <c r="BE21" s="155">
        <f t="shared" si="18"/>
        <v>0</v>
      </c>
      <c r="BF21" s="134"/>
      <c r="BG21" s="46" t="s">
        <v>56</v>
      </c>
      <c r="BH21" s="47">
        <f>BH19*BH20+BH16</f>
        <v>75.400000000000006</v>
      </c>
      <c r="BI21" s="134"/>
      <c r="BJ21" s="134"/>
      <c r="BK21" s="134"/>
      <c r="BL21" s="134"/>
      <c r="BM21" s="134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34"/>
      <c r="CD21" s="134"/>
      <c r="CE21" s="156">
        <f t="shared" si="35"/>
        <v>34.553171152033443</v>
      </c>
      <c r="CF21" s="157">
        <f t="shared" si="36"/>
        <v>35.819081497716411</v>
      </c>
      <c r="CG21" s="157">
        <f t="shared" si="37"/>
        <v>32.085270448691304</v>
      </c>
      <c r="CH21" s="157">
        <f t="shared" si="38"/>
        <v>29.430005613041239</v>
      </c>
      <c r="CI21" s="157">
        <f t="shared" si="39"/>
        <v>32.354898757098873</v>
      </c>
      <c r="CJ21" s="157" t="str">
        <f t="shared" si="40"/>
        <v/>
      </c>
      <c r="CK21" s="157" t="str">
        <f t="shared" si="41"/>
        <v/>
      </c>
      <c r="CL21" s="157" t="str">
        <f t="shared" si="42"/>
        <v/>
      </c>
      <c r="CM21" s="158" t="str">
        <f t="shared" si="43"/>
        <v/>
      </c>
      <c r="CN21" s="158" t="str">
        <f t="shared" si="44"/>
        <v/>
      </c>
      <c r="CO21" s="158" t="str">
        <f t="shared" si="45"/>
        <v/>
      </c>
      <c r="CP21" s="158" t="str">
        <f t="shared" si="46"/>
        <v/>
      </c>
      <c r="CQ21" s="143" t="str">
        <f t="shared" si="47"/>
        <v/>
      </c>
      <c r="CR21" s="143" t="str">
        <f t="shared" si="48"/>
        <v/>
      </c>
      <c r="CS21" s="144" t="str">
        <f t="shared" si="49"/>
        <v/>
      </c>
    </row>
    <row r="22" spans="1:97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147" t="s">
        <v>140</v>
      </c>
      <c r="F22" s="4">
        <v>58</v>
      </c>
      <c r="G22" s="4">
        <v>5</v>
      </c>
      <c r="H22" s="3">
        <v>1</v>
      </c>
      <c r="I22" s="128">
        <f t="shared" si="34"/>
        <v>73</v>
      </c>
      <c r="J22" s="3">
        <v>2</v>
      </c>
      <c r="K22" s="3"/>
      <c r="L22" s="4">
        <v>148.85</v>
      </c>
      <c r="M22" s="4">
        <v>141.30000000000001</v>
      </c>
      <c r="N22" s="109">
        <f t="shared" si="3"/>
        <v>74</v>
      </c>
      <c r="O22" s="81">
        <v>70</v>
      </c>
      <c r="P22" s="148">
        <v>4</v>
      </c>
      <c r="R22" s="24" t="s">
        <v>57</v>
      </c>
      <c r="S22" s="21"/>
      <c r="T22" s="21"/>
      <c r="U22" s="21"/>
      <c r="Z22" s="168">
        <f t="array" ref="Z22">IF(Z$1=0,"",SQRT((_xlfn.XLOOKUP(Z$1,$R$2:$R$18,$S$2:$S$18)-$L22)^2+(_xlfn.XLOOKUP(Z$1,$R$2:$R$18,$T$2:$T$18)-$M22)^2+(_xlfn.XLOOKUP(Z$1,$R$2:$R$18,$U$2:$U$18-$N22)^2)))</f>
        <v>128.59893973124349</v>
      </c>
      <c r="AA22" s="150">
        <f t="array" ref="AA22">IF(AA$1=0,"",SQRT((_xlfn.XLOOKUP(AA$1,$R$2:$R$18,$S$2:$S$18)-$L22)^2+(_xlfn.XLOOKUP(AA$1,$R$2:$R$18,$T$2:$T$18)-$M22)^2+(_xlfn.XLOOKUP(AA$1,$R$2:$R$18,$U$2:$U$18-$N22)^2)))</f>
        <v>104.64154910932845</v>
      </c>
      <c r="AB22" s="150">
        <f t="array" ref="AB22">IF(AB$1=0,"",SQRT((_xlfn.XLOOKUP(AB$1,$R$2:$R$18,$S$2:$S$18)-$L22)^2+(_xlfn.XLOOKUP(AB$1,$R$2:$R$18,$T$2:$T$18)-$M22)^2+(_xlfn.XLOOKUP(AB$1,$R$2:$R$18,$U$2:$U$18-$N22)^2)))</f>
        <v>137.67797790496491</v>
      </c>
      <c r="AC22" s="150">
        <f t="array" ref="AC22">IF(AC$1=0,"",SQRT((_xlfn.XLOOKUP(AC$1,$R$2:$R$18,$S$2:$S$18)-$L22)^2+(_xlfn.XLOOKUP(AC$1,$R$2:$R$18,$T$2:$T$18)-$M22)^2+(_xlfn.XLOOKUP(AC$1,$R$2:$R$18,$U$2:$U$18-$N22)^2)))</f>
        <v>179.94699941927345</v>
      </c>
      <c r="AD22" s="150">
        <f t="array" ref="AD22">IF(AD$1=0,"",SQRT((_xlfn.XLOOKUP(AD$1,$R$2:$R$18,$S$2:$S$18)-$L22)^2+(_xlfn.XLOOKUP(AD$1,$R$2:$R$18,$T$2:$T$18)-$M22)^2+(_xlfn.XLOOKUP(AD$1,$R$2:$R$18,$U$2:$U$18-$N22)^2)))</f>
        <v>155.64107844653353</v>
      </c>
      <c r="AE22" s="150" t="str">
        <f t="array" ref="AE22">IF(AE$1=0,"",SQRT((_xlfn.XLOOKUP(AE$1,$R$2:$R$18,$S$2:$S$18)-$L22)^2+(_xlfn.XLOOKUP(AE$1,$R$2:$R$18,$T$2:$T$18)-$M22)^2+(_xlfn.XLOOKUP(AE$1,$R$2:$R$18,$U$2:$U$18-$N22)^2)))</f>
        <v/>
      </c>
      <c r="AF22" s="150" t="str">
        <f t="array" ref="AF22">IF(AF$1=0,"",SQRT((_xlfn.XLOOKUP(AF$1,$R$2:$R$18,$S$2:$S$18)-$L22)^2+(_xlfn.XLOOKUP(AF$1,$R$2:$R$18,$T$2:$T$18)-$M22)^2+(_xlfn.XLOOKUP(AF$1,$R$2:$R$18,$U$2:$U$18-$N22)^2)))</f>
        <v/>
      </c>
      <c r="AG22" s="150" t="str">
        <f t="array" ref="AG22">IF(AG$1=0,"",SQRT((_xlfn.XLOOKUP(AG$1,$R$2:$R$18,$S$2:$S$18)-$L22)^2+(_xlfn.XLOOKUP(AG$1,$R$2:$R$18,$T$2:$T$18)-$M22)^2+(_xlfn.XLOOKUP(AG$1,$R$2:$R$18,$U$2:$U$18-$N22)^2)))</f>
        <v/>
      </c>
      <c r="AH22" s="151" t="str">
        <f t="array" ref="AH22">IF(AH$1=0,"",SQRT((_xlfn.XLOOKUP(AH$1,$R$2:$R$18,$S$2:$S$18)-$L22)^2+(_xlfn.XLOOKUP(AH$1,$R$2:$R$18,$T$2:$T$18)-$M22)^2+(_xlfn.XLOOKUP(AH$1,$R$2:$R$18,$U$2:$U$18-$N22)^2)))</f>
        <v/>
      </c>
      <c r="AI22" s="151" t="str">
        <f t="array" ref="AI22">IF(AI$1=0,"",SQRT((_xlfn.XLOOKUP(AI$1,$R$2:$R$18,$S$2:$S$18)-$L22)^2+(_xlfn.XLOOKUP(AI$1,$R$2:$R$18,$T$2:$T$18)-$M22)^2+(_xlfn.XLOOKUP(AI$1,$R$2:$R$18,$U$2:$U$18-$N22)^2)))</f>
        <v/>
      </c>
      <c r="AJ22" s="151" t="str">
        <f t="array" ref="AJ22">IF(AJ$1=0,"",SQRT((_xlfn.XLOOKUP(AJ$1,$R$2:$R$18,$S$2:$S$18)-$L22)^2+(_xlfn.XLOOKUP(AJ$1,$R$2:$R$18,$T$2:$T$18)-$M22)^2+(_xlfn.XLOOKUP(AJ$1,$R$2:$R$18,$U$2:$U$18-$N22)^2)))</f>
        <v/>
      </c>
      <c r="AK22" s="151" t="str">
        <f t="array" ref="AK22">IF(AK$1=0,"",SQRT((_xlfn.XLOOKUP(AK$1,$R$2:$R$18,$S$2:$S$18)-$L22)^2+(_xlfn.XLOOKUP(AK$1,$R$2:$R$18,$T$2:$T$18)-$M22)^2+(_xlfn.XLOOKUP(AK$1,$R$2:$R$18,$U$2:$U$18-$N22)^2)))</f>
        <v/>
      </c>
      <c r="AL22" s="151" t="str">
        <f t="array" ref="AL22">IF(AL$1=0,"",SQRT((_xlfn.XLOOKUP(AL$1,$R$2:$R$18,$S$2:$S$18)-$L22)^2+(_xlfn.XLOOKUP(AL$1,$R$2:$R$18,$T$2:$T$18)-$M22)^2+(_xlfn.XLOOKUP(AL$1,$R$2:$R$18,$U$2:$U$18-$N22)^2)))</f>
        <v/>
      </c>
      <c r="AM22" s="151" t="str">
        <f t="array" ref="AM22">IF(AM$1=0,"",SQRT((_xlfn.XLOOKUP(AM$1,$R$2:$R$18,$S$2:$S$18)-$L22)^2+(_xlfn.XLOOKUP(AM$1,$R$2:$R$18,$T$2:$T$18)-$M22)^2+(_xlfn.XLOOKUP(AM$1,$R$2:$R$18,$U$2:$U$18-$N22)^2)))</f>
        <v/>
      </c>
      <c r="AN22" s="152" t="str">
        <f t="array" ref="AN22">IF(AN$1=0,"",SQRT((_xlfn.XLOOKUP(AN$1,$R$2:$R$18,$S$2:$S$18)-$L22)^2+(_xlfn.XLOOKUP(AN$1,$R$2:$R$18,$T$2:$T$18)-$M22)^2+(_xlfn.XLOOKUP(AN$1,$R$2:$R$18,$U$2:$U$18-$N22)^2)))</f>
        <v/>
      </c>
      <c r="AO22" s="134"/>
      <c r="AP22" s="200" t="str">
        <f>BJ32</f>
        <v>Barrier Reduction per ARI: 1 dB</v>
      </c>
      <c r="AQ22" s="135">
        <f t="shared" si="4"/>
        <v>-39.846845695824229</v>
      </c>
      <c r="AR22" s="153">
        <f t="shared" si="5"/>
        <v>-38.056181143052562</v>
      </c>
      <c r="AS22" s="153">
        <f t="shared" si="6"/>
        <v>-40.439387513426404</v>
      </c>
      <c r="AT22" s="153">
        <f t="shared" si="7"/>
        <v>-42.764990122421842</v>
      </c>
      <c r="AU22" s="153">
        <f t="shared" si="8"/>
        <v>-41.504582564834543</v>
      </c>
      <c r="AV22" s="153">
        <f t="shared" si="9"/>
        <v>0</v>
      </c>
      <c r="AW22" s="153">
        <f t="shared" si="10"/>
        <v>0</v>
      </c>
      <c r="AX22" s="153">
        <f t="shared" si="11"/>
        <v>0</v>
      </c>
      <c r="AY22" s="154">
        <f t="shared" si="12"/>
        <v>0</v>
      </c>
      <c r="AZ22" s="154">
        <f t="shared" si="13"/>
        <v>0</v>
      </c>
      <c r="BA22" s="154">
        <f t="shared" si="14"/>
        <v>0</v>
      </c>
      <c r="BB22" s="154">
        <f t="shared" si="15"/>
        <v>0</v>
      </c>
      <c r="BC22" s="154">
        <f t="shared" si="16"/>
        <v>0</v>
      </c>
      <c r="BD22" s="154">
        <f t="shared" si="17"/>
        <v>0</v>
      </c>
      <c r="BE22" s="155">
        <f t="shared" si="18"/>
        <v>0</v>
      </c>
      <c r="BF22" s="134"/>
      <c r="BG22" s="21" t="s">
        <v>58</v>
      </c>
      <c r="BH22" s="21"/>
      <c r="BI22" s="134"/>
      <c r="BJ22" s="134"/>
      <c r="BK22" s="134"/>
      <c r="BL22" s="134"/>
      <c r="BM22" s="134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34"/>
      <c r="CD22" s="134"/>
      <c r="CE22" s="156">
        <f t="shared" si="35"/>
        <v>33.153154304175771</v>
      </c>
      <c r="CF22" s="157">
        <f t="shared" si="36"/>
        <v>34.943818856947438</v>
      </c>
      <c r="CG22" s="157">
        <f t="shared" si="37"/>
        <v>32.560612486573596</v>
      </c>
      <c r="CH22" s="157">
        <f t="shared" si="38"/>
        <v>30.235009877578158</v>
      </c>
      <c r="CI22" s="157">
        <f t="shared" si="39"/>
        <v>31.495417435165457</v>
      </c>
      <c r="CJ22" s="157" t="str">
        <f t="shared" si="40"/>
        <v/>
      </c>
      <c r="CK22" s="157" t="str">
        <f t="shared" si="41"/>
        <v/>
      </c>
      <c r="CL22" s="157" t="str">
        <f t="shared" si="42"/>
        <v/>
      </c>
      <c r="CM22" s="158" t="str">
        <f t="shared" si="43"/>
        <v/>
      </c>
      <c r="CN22" s="158" t="str">
        <f t="shared" si="44"/>
        <v/>
      </c>
      <c r="CO22" s="158" t="str">
        <f t="shared" si="45"/>
        <v/>
      </c>
      <c r="CP22" s="158" t="str">
        <f t="shared" si="46"/>
        <v/>
      </c>
      <c r="CQ22" s="143" t="str">
        <f t="shared" si="47"/>
        <v/>
      </c>
      <c r="CR22" s="143" t="str">
        <f t="shared" si="48"/>
        <v/>
      </c>
      <c r="CS22" s="144" t="str">
        <f t="shared" si="49"/>
        <v/>
      </c>
    </row>
    <row r="23" spans="1:97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147" t="s">
        <v>141</v>
      </c>
      <c r="F23" s="4">
        <v>57.392737795737183</v>
      </c>
      <c r="G23" s="4">
        <v>0</v>
      </c>
      <c r="H23" s="3">
        <v>1</v>
      </c>
      <c r="I23" s="128">
        <f t="shared" si="34"/>
        <v>57</v>
      </c>
      <c r="J23" s="3">
        <v>2</v>
      </c>
      <c r="K23" s="3"/>
      <c r="L23" s="4">
        <v>52.01</v>
      </c>
      <c r="M23" s="4">
        <v>82.77</v>
      </c>
      <c r="N23" s="109">
        <f t="shared" si="3"/>
        <v>75</v>
      </c>
      <c r="O23" s="81">
        <v>73</v>
      </c>
      <c r="P23" s="148">
        <v>2</v>
      </c>
      <c r="R23" s="24"/>
      <c r="S23" s="50" t="s">
        <v>59</v>
      </c>
      <c r="T23" s="50" t="s">
        <v>60</v>
      </c>
      <c r="U23" s="51" t="s">
        <v>61</v>
      </c>
      <c r="V23" s="50" t="s">
        <v>62</v>
      </c>
      <c r="W23" s="50" t="s">
        <v>63</v>
      </c>
      <c r="X23" s="51" t="s">
        <v>64</v>
      </c>
      <c r="Z23" s="168">
        <f t="array" ref="Z23">IF(Z$1=0,"",SQRT((_xlfn.XLOOKUP(Z$1,$R$2:$R$18,$S$2:$S$18)-$L23)^2+(_xlfn.XLOOKUP(Z$1,$R$2:$R$18,$T$2:$T$18)-$M23)^2+(_xlfn.XLOOKUP(Z$1,$R$2:$R$18,$U$2:$U$18-$N23)^2)))</f>
        <v>21.422777597687933</v>
      </c>
      <c r="AA23" s="150">
        <f t="array" ref="AA23">IF(AA$1=0,"",SQRT((_xlfn.XLOOKUP(AA$1,$R$2:$R$18,$S$2:$S$18)-$L23)^2+(_xlfn.XLOOKUP(AA$1,$R$2:$R$18,$T$2:$T$18)-$M23)^2+(_xlfn.XLOOKUP(AA$1,$R$2:$R$18,$U$2:$U$18-$N23)^2)))</f>
        <v>69.948639014637024</v>
      </c>
      <c r="AB23" s="150">
        <f t="array" ref="AB23">IF(AB$1=0,"",SQRT((_xlfn.XLOOKUP(AB$1,$R$2:$R$18,$S$2:$S$18)-$L23)^2+(_xlfn.XLOOKUP(AB$1,$R$2:$R$18,$T$2:$T$18)-$M23)^2+(_xlfn.XLOOKUP(AB$1,$R$2:$R$18,$U$2:$U$18-$N23)^2)))</f>
        <v>176.30222034903588</v>
      </c>
      <c r="AC23" s="150">
        <f t="array" ref="AC23">IF(AC$1=0,"",SQRT((_xlfn.XLOOKUP(AC$1,$R$2:$R$18,$S$2:$S$18)-$L23)^2+(_xlfn.XLOOKUP(AC$1,$R$2:$R$18,$T$2:$T$18)-$M23)^2+(_xlfn.XLOOKUP(AC$1,$R$2:$R$18,$U$2:$U$18-$N23)^2)))</f>
        <v>267.17936091696907</v>
      </c>
      <c r="AD23" s="150">
        <f t="array" ref="AD23">IF(AD$1=0,"",SQRT((_xlfn.XLOOKUP(AD$1,$R$2:$R$18,$S$2:$S$18)-$L23)^2+(_xlfn.XLOOKUP(AD$1,$R$2:$R$18,$T$2:$T$18)-$M23)^2+(_xlfn.XLOOKUP(AD$1,$R$2:$R$18,$U$2:$U$18-$N23)^2)))</f>
        <v>139.65690817141842</v>
      </c>
      <c r="AE23" s="150" t="str">
        <f t="array" ref="AE23">IF(AE$1=0,"",SQRT((_xlfn.XLOOKUP(AE$1,$R$2:$R$18,$S$2:$S$18)-$L23)^2+(_xlfn.XLOOKUP(AE$1,$R$2:$R$18,$T$2:$T$18)-$M23)^2+(_xlfn.XLOOKUP(AE$1,$R$2:$R$18,$U$2:$U$18-$N23)^2)))</f>
        <v/>
      </c>
      <c r="AF23" s="150" t="str">
        <f t="array" ref="AF23">IF(AF$1=0,"",SQRT((_xlfn.XLOOKUP(AF$1,$R$2:$R$18,$S$2:$S$18)-$L23)^2+(_xlfn.XLOOKUP(AF$1,$R$2:$R$18,$T$2:$T$18)-$M23)^2+(_xlfn.XLOOKUP(AF$1,$R$2:$R$18,$U$2:$U$18-$N23)^2)))</f>
        <v/>
      </c>
      <c r="AG23" s="150" t="str">
        <f t="array" ref="AG23">IF(AG$1=0,"",SQRT((_xlfn.XLOOKUP(AG$1,$R$2:$R$18,$S$2:$S$18)-$L23)^2+(_xlfn.XLOOKUP(AG$1,$R$2:$R$18,$T$2:$T$18)-$M23)^2+(_xlfn.XLOOKUP(AG$1,$R$2:$R$18,$U$2:$U$18-$N23)^2)))</f>
        <v/>
      </c>
      <c r="AH23" s="151" t="str">
        <f t="array" ref="AH23">IF(AH$1=0,"",SQRT((_xlfn.XLOOKUP(AH$1,$R$2:$R$18,$S$2:$S$18)-$L23)^2+(_xlfn.XLOOKUP(AH$1,$R$2:$R$18,$T$2:$T$18)-$M23)^2+(_xlfn.XLOOKUP(AH$1,$R$2:$R$18,$U$2:$U$18-$N23)^2)))</f>
        <v/>
      </c>
      <c r="AI23" s="151" t="str">
        <f t="array" ref="AI23">IF(AI$1=0,"",SQRT((_xlfn.XLOOKUP(AI$1,$R$2:$R$18,$S$2:$S$18)-$L23)^2+(_xlfn.XLOOKUP(AI$1,$R$2:$R$18,$T$2:$T$18)-$M23)^2+(_xlfn.XLOOKUP(AI$1,$R$2:$R$18,$U$2:$U$18-$N23)^2)))</f>
        <v/>
      </c>
      <c r="AJ23" s="151" t="str">
        <f t="array" ref="AJ23">IF(AJ$1=0,"",SQRT((_xlfn.XLOOKUP(AJ$1,$R$2:$R$18,$S$2:$S$18)-$L23)^2+(_xlfn.XLOOKUP(AJ$1,$R$2:$R$18,$T$2:$T$18)-$M23)^2+(_xlfn.XLOOKUP(AJ$1,$R$2:$R$18,$U$2:$U$18-$N23)^2)))</f>
        <v/>
      </c>
      <c r="AK23" s="151" t="str">
        <f t="array" ref="AK23">IF(AK$1=0,"",SQRT((_xlfn.XLOOKUP(AK$1,$R$2:$R$18,$S$2:$S$18)-$L23)^2+(_xlfn.XLOOKUP(AK$1,$R$2:$R$18,$T$2:$T$18)-$M23)^2+(_xlfn.XLOOKUP(AK$1,$R$2:$R$18,$U$2:$U$18-$N23)^2)))</f>
        <v/>
      </c>
      <c r="AL23" s="151" t="str">
        <f t="array" ref="AL23">IF(AL$1=0,"",SQRT((_xlfn.XLOOKUP(AL$1,$R$2:$R$18,$S$2:$S$18)-$L23)^2+(_xlfn.XLOOKUP(AL$1,$R$2:$R$18,$T$2:$T$18)-$M23)^2+(_xlfn.XLOOKUP(AL$1,$R$2:$R$18,$U$2:$U$18-$N23)^2)))</f>
        <v/>
      </c>
      <c r="AM23" s="151" t="str">
        <f t="array" ref="AM23">IF(AM$1=0,"",SQRT((_xlfn.XLOOKUP(AM$1,$R$2:$R$18,$S$2:$S$18)-$L23)^2+(_xlfn.XLOOKUP(AM$1,$R$2:$R$18,$T$2:$T$18)-$M23)^2+(_xlfn.XLOOKUP(AM$1,$R$2:$R$18,$U$2:$U$18-$N23)^2)))</f>
        <v/>
      </c>
      <c r="AN23" s="152" t="str">
        <f t="array" ref="AN23">IF(AN$1=0,"",SQRT((_xlfn.XLOOKUP(AN$1,$R$2:$R$18,$S$2:$S$18)-$L23)^2+(_xlfn.XLOOKUP(AN$1,$R$2:$R$18,$T$2:$T$18)-$M23)^2+(_xlfn.XLOOKUP(AN$1,$R$2:$R$18,$U$2:$U$18-$N23)^2)))</f>
        <v/>
      </c>
      <c r="AO23" s="134"/>
      <c r="AP23" s="134"/>
      <c r="AQ23" s="135">
        <f t="shared" si="4"/>
        <v>-24.27961352001773</v>
      </c>
      <c r="AR23" s="153">
        <f t="shared" si="5"/>
        <v>-34.557683314437661</v>
      </c>
      <c r="AS23" s="153">
        <f t="shared" si="6"/>
        <v>-42.587253573646251</v>
      </c>
      <c r="AT23" s="153">
        <f t="shared" si="7"/>
        <v>-46.198156070931674</v>
      </c>
      <c r="AU23" s="153">
        <f t="shared" si="8"/>
        <v>-40.563346398471083</v>
      </c>
      <c r="AV23" s="153">
        <f t="shared" si="9"/>
        <v>0</v>
      </c>
      <c r="AW23" s="153">
        <f t="shared" si="10"/>
        <v>0</v>
      </c>
      <c r="AX23" s="153">
        <f t="shared" si="11"/>
        <v>0</v>
      </c>
      <c r="AY23" s="154">
        <f t="shared" si="12"/>
        <v>0</v>
      </c>
      <c r="AZ23" s="154">
        <f t="shared" si="13"/>
        <v>0</v>
      </c>
      <c r="BA23" s="154">
        <f t="shared" si="14"/>
        <v>0</v>
      </c>
      <c r="BB23" s="154">
        <f t="shared" si="15"/>
        <v>0</v>
      </c>
      <c r="BC23" s="154">
        <f t="shared" si="16"/>
        <v>0</v>
      </c>
      <c r="BD23" s="154">
        <f t="shared" si="17"/>
        <v>0</v>
      </c>
      <c r="BE23" s="155">
        <f t="shared" si="18"/>
        <v>0</v>
      </c>
      <c r="BF23" s="134"/>
      <c r="BG23" s="134"/>
      <c r="BH23" s="134"/>
      <c r="BI23" s="134"/>
      <c r="BJ23" s="134"/>
      <c r="BK23" s="134"/>
      <c r="BL23" s="134"/>
      <c r="BM23" s="134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34"/>
      <c r="CD23" s="134"/>
      <c r="CE23" s="156">
        <f t="shared" si="35"/>
        <v>32.720386479982267</v>
      </c>
      <c r="CF23" s="157">
        <f t="shared" si="36"/>
        <v>22.442316685562339</v>
      </c>
      <c r="CG23" s="157">
        <f t="shared" si="37"/>
        <v>14.412746426353749</v>
      </c>
      <c r="CH23" s="157">
        <f t="shared" si="38"/>
        <v>10.801843929068326</v>
      </c>
      <c r="CI23" s="157">
        <f t="shared" si="39"/>
        <v>16.436653601528917</v>
      </c>
      <c r="CJ23" s="157" t="str">
        <f t="shared" si="40"/>
        <v/>
      </c>
      <c r="CK23" s="157" t="str">
        <f t="shared" si="41"/>
        <v/>
      </c>
      <c r="CL23" s="157" t="str">
        <f t="shared" si="42"/>
        <v/>
      </c>
      <c r="CM23" s="158" t="str">
        <f t="shared" si="43"/>
        <v/>
      </c>
      <c r="CN23" s="158" t="str">
        <f t="shared" si="44"/>
        <v/>
      </c>
      <c r="CO23" s="158" t="str">
        <f t="shared" si="45"/>
        <v/>
      </c>
      <c r="CP23" s="158" t="str">
        <f t="shared" si="46"/>
        <v/>
      </c>
      <c r="CQ23" s="143" t="str">
        <f t="shared" si="47"/>
        <v/>
      </c>
      <c r="CR23" s="143" t="str">
        <f t="shared" si="48"/>
        <v/>
      </c>
      <c r="CS23" s="144" t="str">
        <f t="shared" si="49"/>
        <v/>
      </c>
    </row>
    <row r="24" spans="1:97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147" t="s">
        <v>142</v>
      </c>
      <c r="F24" s="4">
        <v>65.873120921161103</v>
      </c>
      <c r="G24" s="4">
        <v>0</v>
      </c>
      <c r="H24" s="3">
        <v>1</v>
      </c>
      <c r="I24" s="128">
        <f t="shared" si="34"/>
        <v>66</v>
      </c>
      <c r="J24" s="3">
        <v>2</v>
      </c>
      <c r="K24" s="3"/>
      <c r="L24" s="4">
        <v>75.16</v>
      </c>
      <c r="M24" s="4">
        <v>87.7</v>
      </c>
      <c r="N24" s="109">
        <f t="shared" si="3"/>
        <v>75</v>
      </c>
      <c r="O24" s="81">
        <v>73</v>
      </c>
      <c r="P24" s="148">
        <v>2</v>
      </c>
      <c r="R24" s="115" t="s">
        <v>161</v>
      </c>
      <c r="S24" s="112">
        <v>77.77</v>
      </c>
      <c r="T24" s="105">
        <v>86.9</v>
      </c>
      <c r="U24" s="106">
        <v>75.400000000000006</v>
      </c>
      <c r="V24" s="105">
        <v>163.68</v>
      </c>
      <c r="W24" s="105">
        <v>103.73</v>
      </c>
      <c r="X24" s="106">
        <v>75.400000000000006</v>
      </c>
      <c r="Z24" s="168">
        <f t="array" ref="Z24">IF(Z$1=0,"",SQRT((_xlfn.XLOOKUP(Z$1,$R$2:$R$18,$S$2:$S$18)-$L24)^2+(_xlfn.XLOOKUP(Z$1,$R$2:$R$18,$T$2:$T$18)-$M24)^2+(_xlfn.XLOOKUP(Z$1,$R$2:$R$18,$U$2:$U$18-$N24)^2)))</f>
        <v>43.107549222844945</v>
      </c>
      <c r="AA24" s="150">
        <f t="array" ref="AA24">IF(AA$1=0,"",SQRT((_xlfn.XLOOKUP(AA$1,$R$2:$R$18,$S$2:$S$18)-$L24)^2+(_xlfn.XLOOKUP(AA$1,$R$2:$R$18,$T$2:$T$18)-$M24)^2+(_xlfn.XLOOKUP(AA$1,$R$2:$R$18,$U$2:$U$18-$N24)^2)))</f>
        <v>57.558635320862159</v>
      </c>
      <c r="AB24" s="150">
        <f t="array" ref="AB24">IF(AB$1=0,"",SQRT((_xlfn.XLOOKUP(AB$1,$R$2:$R$18,$S$2:$S$18)-$L24)^2+(_xlfn.XLOOKUP(AB$1,$R$2:$R$18,$T$2:$T$18)-$M24)^2+(_xlfn.XLOOKUP(AB$1,$R$2:$R$18,$U$2:$U$18-$N24)^2)))</f>
        <v>156.83578195042099</v>
      </c>
      <c r="AC24" s="150">
        <f t="array" ref="AC24">IF(AC$1=0,"",SQRT((_xlfn.XLOOKUP(AC$1,$R$2:$R$18,$S$2:$S$18)-$L24)^2+(_xlfn.XLOOKUP(AC$1,$R$2:$R$18,$T$2:$T$18)-$M24)^2+(_xlfn.XLOOKUP(AC$1,$R$2:$R$18,$U$2:$U$18-$N24)^2)))</f>
        <v>244.22369356800746</v>
      </c>
      <c r="AD24" s="150">
        <f t="array" ref="AD24">IF(AD$1=0,"",SQRT((_xlfn.XLOOKUP(AD$1,$R$2:$R$18,$S$2:$S$18)-$L24)^2+(_xlfn.XLOOKUP(AD$1,$R$2:$R$18,$T$2:$T$18)-$M24)^2+(_xlfn.XLOOKUP(AD$1,$R$2:$R$18,$U$2:$U$18-$N24)^2)))</f>
        <v>143.25237101004646</v>
      </c>
      <c r="AE24" s="150" t="str">
        <f t="array" ref="AE24">IF(AE$1=0,"",SQRT((_xlfn.XLOOKUP(AE$1,$R$2:$R$18,$S$2:$S$18)-$L24)^2+(_xlfn.XLOOKUP(AE$1,$R$2:$R$18,$T$2:$T$18)-$M24)^2+(_xlfn.XLOOKUP(AE$1,$R$2:$R$18,$U$2:$U$18-$N24)^2)))</f>
        <v/>
      </c>
      <c r="AF24" s="150" t="str">
        <f t="array" ref="AF24">IF(AF$1=0,"",SQRT((_xlfn.XLOOKUP(AF$1,$R$2:$R$18,$S$2:$S$18)-$L24)^2+(_xlfn.XLOOKUP(AF$1,$R$2:$R$18,$T$2:$T$18)-$M24)^2+(_xlfn.XLOOKUP(AF$1,$R$2:$R$18,$U$2:$U$18-$N24)^2)))</f>
        <v/>
      </c>
      <c r="AG24" s="150" t="str">
        <f t="array" ref="AG24">IF(AG$1=0,"",SQRT((_xlfn.XLOOKUP(AG$1,$R$2:$R$18,$S$2:$S$18)-$L24)^2+(_xlfn.XLOOKUP(AG$1,$R$2:$R$18,$T$2:$T$18)-$M24)^2+(_xlfn.XLOOKUP(AG$1,$R$2:$R$18,$U$2:$U$18-$N24)^2)))</f>
        <v/>
      </c>
      <c r="AH24" s="151" t="str">
        <f t="array" ref="AH24">IF(AH$1=0,"",SQRT((_xlfn.XLOOKUP(AH$1,$R$2:$R$18,$S$2:$S$18)-$L24)^2+(_xlfn.XLOOKUP(AH$1,$R$2:$R$18,$T$2:$T$18)-$M24)^2+(_xlfn.XLOOKUP(AH$1,$R$2:$R$18,$U$2:$U$18-$N24)^2)))</f>
        <v/>
      </c>
      <c r="AI24" s="151" t="str">
        <f t="array" ref="AI24">IF(AI$1=0,"",SQRT((_xlfn.XLOOKUP(AI$1,$R$2:$R$18,$S$2:$S$18)-$L24)^2+(_xlfn.XLOOKUP(AI$1,$R$2:$R$18,$T$2:$T$18)-$M24)^2+(_xlfn.XLOOKUP(AI$1,$R$2:$R$18,$U$2:$U$18-$N24)^2)))</f>
        <v/>
      </c>
      <c r="AJ24" s="151" t="str">
        <f t="array" ref="AJ24">IF(AJ$1=0,"",SQRT((_xlfn.XLOOKUP(AJ$1,$R$2:$R$18,$S$2:$S$18)-$L24)^2+(_xlfn.XLOOKUP(AJ$1,$R$2:$R$18,$T$2:$T$18)-$M24)^2+(_xlfn.XLOOKUP(AJ$1,$R$2:$R$18,$U$2:$U$18-$N24)^2)))</f>
        <v/>
      </c>
      <c r="AK24" s="151" t="str">
        <f t="array" ref="AK24">IF(AK$1=0,"",SQRT((_xlfn.XLOOKUP(AK$1,$R$2:$R$18,$S$2:$S$18)-$L24)^2+(_xlfn.XLOOKUP(AK$1,$R$2:$R$18,$T$2:$T$18)-$M24)^2+(_xlfn.XLOOKUP(AK$1,$R$2:$R$18,$U$2:$U$18-$N24)^2)))</f>
        <v/>
      </c>
      <c r="AL24" s="151" t="str">
        <f t="array" ref="AL24">IF(AL$1=0,"",SQRT((_xlfn.XLOOKUP(AL$1,$R$2:$R$18,$S$2:$S$18)-$L24)^2+(_xlfn.XLOOKUP(AL$1,$R$2:$R$18,$T$2:$T$18)-$M24)^2+(_xlfn.XLOOKUP(AL$1,$R$2:$R$18,$U$2:$U$18-$N24)^2)))</f>
        <v/>
      </c>
      <c r="AM24" s="151" t="str">
        <f t="array" ref="AM24">IF(AM$1=0,"",SQRT((_xlfn.XLOOKUP(AM$1,$R$2:$R$18,$S$2:$S$18)-$L24)^2+(_xlfn.XLOOKUP(AM$1,$R$2:$R$18,$T$2:$T$18)-$M24)^2+(_xlfn.XLOOKUP(AM$1,$R$2:$R$18,$U$2:$U$18-$N24)^2)))</f>
        <v/>
      </c>
      <c r="AN24" s="152" t="str">
        <f t="array" ref="AN24">IF(AN$1=0,"",SQRT((_xlfn.XLOOKUP(AN$1,$R$2:$R$18,$S$2:$S$18)-$L24)^2+(_xlfn.XLOOKUP(AN$1,$R$2:$R$18,$T$2:$T$18)-$M24)^2+(_xlfn.XLOOKUP(AN$1,$R$2:$R$18,$U$2:$U$18-$N24)^2)))</f>
        <v/>
      </c>
      <c r="AO24" s="134"/>
      <c r="AP24" s="134"/>
      <c r="AQ24" s="135">
        <f t="shared" si="4"/>
        <v>-30.35316459245599</v>
      </c>
      <c r="AR24" s="153">
        <f t="shared" si="5"/>
        <v>-32.864307707670243</v>
      </c>
      <c r="AS24" s="153">
        <f t="shared" si="6"/>
        <v>-41.571001008336623</v>
      </c>
      <c r="AT24" s="153">
        <f t="shared" si="7"/>
        <v>-45.417853838911512</v>
      </c>
      <c r="AU24" s="153">
        <f t="shared" si="8"/>
        <v>-40.784134313498711</v>
      </c>
      <c r="AV24" s="153">
        <f t="shared" si="9"/>
        <v>0</v>
      </c>
      <c r="AW24" s="153">
        <f t="shared" si="10"/>
        <v>0</v>
      </c>
      <c r="AX24" s="153">
        <f t="shared" si="11"/>
        <v>0</v>
      </c>
      <c r="AY24" s="154">
        <f t="shared" si="12"/>
        <v>0</v>
      </c>
      <c r="AZ24" s="154">
        <f t="shared" si="13"/>
        <v>0</v>
      </c>
      <c r="BA24" s="154">
        <f t="shared" si="14"/>
        <v>0</v>
      </c>
      <c r="BB24" s="154">
        <f t="shared" si="15"/>
        <v>0</v>
      </c>
      <c r="BC24" s="154">
        <f t="shared" si="16"/>
        <v>0</v>
      </c>
      <c r="BD24" s="154">
        <f t="shared" si="17"/>
        <v>0</v>
      </c>
      <c r="BE24" s="155">
        <f t="shared" si="18"/>
        <v>0</v>
      </c>
      <c r="BF24" s="134"/>
      <c r="BG24" s="134"/>
      <c r="BH24" s="134"/>
      <c r="BI24" s="134"/>
      <c r="BJ24" s="134"/>
      <c r="BK24" s="134"/>
      <c r="BL24" s="134"/>
      <c r="BM24" s="134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34"/>
      <c r="CD24" s="134"/>
      <c r="CE24" s="156">
        <f t="shared" si="35"/>
        <v>35.64683540754401</v>
      </c>
      <c r="CF24" s="157">
        <f t="shared" si="36"/>
        <v>33.135692292329757</v>
      </c>
      <c r="CG24" s="157">
        <f t="shared" si="37"/>
        <v>24.428998991663377</v>
      </c>
      <c r="CH24" s="157">
        <f t="shared" si="38"/>
        <v>20.582146161088488</v>
      </c>
      <c r="CI24" s="157">
        <f t="shared" si="39"/>
        <v>25.215865686501289</v>
      </c>
      <c r="CJ24" s="157" t="str">
        <f t="shared" si="40"/>
        <v/>
      </c>
      <c r="CK24" s="157" t="str">
        <f t="shared" si="41"/>
        <v/>
      </c>
      <c r="CL24" s="157" t="str">
        <f t="shared" si="42"/>
        <v/>
      </c>
      <c r="CM24" s="158" t="str">
        <f t="shared" si="43"/>
        <v/>
      </c>
      <c r="CN24" s="158" t="str">
        <f t="shared" si="44"/>
        <v/>
      </c>
      <c r="CO24" s="158" t="str">
        <f t="shared" si="45"/>
        <v/>
      </c>
      <c r="CP24" s="158" t="str">
        <f t="shared" si="46"/>
        <v/>
      </c>
      <c r="CQ24" s="143" t="str">
        <f t="shared" si="47"/>
        <v/>
      </c>
      <c r="CR24" s="143" t="str">
        <f t="shared" si="48"/>
        <v/>
      </c>
      <c r="CS24" s="144" t="str">
        <f t="shared" si="49"/>
        <v/>
      </c>
    </row>
    <row r="25" spans="1:97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147" t="s">
        <v>142</v>
      </c>
      <c r="F25" s="4">
        <v>65.873120921161103</v>
      </c>
      <c r="G25" s="4">
        <v>0</v>
      </c>
      <c r="H25" s="3">
        <v>1</v>
      </c>
      <c r="I25" s="128">
        <f t="shared" si="34"/>
        <v>66</v>
      </c>
      <c r="J25" s="3">
        <v>2</v>
      </c>
      <c r="K25" s="3"/>
      <c r="L25" s="4">
        <v>104.4</v>
      </c>
      <c r="M25" s="4">
        <v>93.12</v>
      </c>
      <c r="N25" s="109">
        <f t="shared" si="3"/>
        <v>75</v>
      </c>
      <c r="O25" s="81">
        <v>73</v>
      </c>
      <c r="P25" s="148">
        <v>2</v>
      </c>
      <c r="R25" s="115" t="s">
        <v>162</v>
      </c>
      <c r="S25" s="113">
        <v>163.68</v>
      </c>
      <c r="T25" s="52">
        <v>103.84</v>
      </c>
      <c r="U25" s="106">
        <v>75.400000000000006</v>
      </c>
      <c r="V25" s="52">
        <v>176.44</v>
      </c>
      <c r="W25" s="52">
        <v>39.71</v>
      </c>
      <c r="X25" s="53">
        <v>75.400000000000006</v>
      </c>
      <c r="Z25" s="168">
        <f t="array" ref="Z25">IF(Z$1=0,"",SQRT((_xlfn.XLOOKUP(Z$1,$R$2:$R$18,$S$2:$S$18)-$L25)^2+(_xlfn.XLOOKUP(Z$1,$R$2:$R$18,$T$2:$T$18)-$M25)^2+(_xlfn.XLOOKUP(Z$1,$R$2:$R$18,$U$2:$U$18-$N25)^2)))</f>
        <v>72.210140562112201</v>
      </c>
      <c r="AA25" s="150">
        <f t="array" ref="AA25">IF(AA$1=0,"",SQRT((_xlfn.XLOOKUP(AA$1,$R$2:$R$18,$S$2:$S$18)-$L25)^2+(_xlfn.XLOOKUP(AA$1,$R$2:$R$18,$T$2:$T$18)-$M25)^2+(_xlfn.XLOOKUP(AA$1,$R$2:$R$18,$U$2:$U$18-$N25)^2)))</f>
        <v>53.415081203719986</v>
      </c>
      <c r="AB25" s="150">
        <f t="array" ref="AB25">IF(AB$1=0,"",SQRT((_xlfn.XLOOKUP(AB$1,$R$2:$R$18,$S$2:$S$18)-$L25)^2+(_xlfn.XLOOKUP(AB$1,$R$2:$R$18,$T$2:$T$18)-$M25)^2+(_xlfn.XLOOKUP(AB$1,$R$2:$R$18,$U$2:$U$18-$N25)^2)))</f>
        <v>133.76545331287895</v>
      </c>
      <c r="AC25" s="150">
        <f t="array" ref="AC25">IF(AC$1=0,"",SQRT((_xlfn.XLOOKUP(AC$1,$R$2:$R$18,$S$2:$S$18)-$L25)^2+(_xlfn.XLOOKUP(AC$1,$R$2:$R$18,$T$2:$T$18)-$M25)^2+(_xlfn.XLOOKUP(AC$1,$R$2:$R$18,$U$2:$U$18-$N25)^2)))</f>
        <v>215.42380671597095</v>
      </c>
      <c r="AD25" s="150">
        <f t="array" ref="AD25">IF(AD$1=0,"",SQRT((_xlfn.XLOOKUP(AD$1,$R$2:$R$18,$S$2:$S$18)-$L25)^2+(_xlfn.XLOOKUP(AD$1,$R$2:$R$18,$T$2:$T$18)-$M25)^2+(_xlfn.XLOOKUP(AD$1,$R$2:$R$18,$U$2:$U$18-$N25)^2)))</f>
        <v>153.62790436636178</v>
      </c>
      <c r="AE25" s="150" t="str">
        <f t="array" ref="AE25">IF(AE$1=0,"",SQRT((_xlfn.XLOOKUP(AE$1,$R$2:$R$18,$S$2:$S$18)-$L25)^2+(_xlfn.XLOOKUP(AE$1,$R$2:$R$18,$T$2:$T$18)-$M25)^2+(_xlfn.XLOOKUP(AE$1,$R$2:$R$18,$U$2:$U$18-$N25)^2)))</f>
        <v/>
      </c>
      <c r="AF25" s="150" t="str">
        <f t="array" ref="AF25">IF(AF$1=0,"",SQRT((_xlfn.XLOOKUP(AF$1,$R$2:$R$18,$S$2:$S$18)-$L25)^2+(_xlfn.XLOOKUP(AF$1,$R$2:$R$18,$T$2:$T$18)-$M25)^2+(_xlfn.XLOOKUP(AF$1,$R$2:$R$18,$U$2:$U$18-$N25)^2)))</f>
        <v/>
      </c>
      <c r="AG25" s="150" t="str">
        <f t="array" ref="AG25">IF(AG$1=0,"",SQRT((_xlfn.XLOOKUP(AG$1,$R$2:$R$18,$S$2:$S$18)-$L25)^2+(_xlfn.XLOOKUP(AG$1,$R$2:$R$18,$T$2:$T$18)-$M25)^2+(_xlfn.XLOOKUP(AG$1,$R$2:$R$18,$U$2:$U$18-$N25)^2)))</f>
        <v/>
      </c>
      <c r="AH25" s="151" t="str">
        <f t="array" ref="AH25">IF(AH$1=0,"",SQRT((_xlfn.XLOOKUP(AH$1,$R$2:$R$18,$S$2:$S$18)-$L25)^2+(_xlfn.XLOOKUP(AH$1,$R$2:$R$18,$T$2:$T$18)-$M25)^2+(_xlfn.XLOOKUP(AH$1,$R$2:$R$18,$U$2:$U$18-$N25)^2)))</f>
        <v/>
      </c>
      <c r="AI25" s="151" t="str">
        <f t="array" ref="AI25">IF(AI$1=0,"",SQRT((_xlfn.XLOOKUP(AI$1,$R$2:$R$18,$S$2:$S$18)-$L25)^2+(_xlfn.XLOOKUP(AI$1,$R$2:$R$18,$T$2:$T$18)-$M25)^2+(_xlfn.XLOOKUP(AI$1,$R$2:$R$18,$U$2:$U$18-$N25)^2)))</f>
        <v/>
      </c>
      <c r="AJ25" s="151" t="str">
        <f t="array" ref="AJ25">IF(AJ$1=0,"",SQRT((_xlfn.XLOOKUP(AJ$1,$R$2:$R$18,$S$2:$S$18)-$L25)^2+(_xlfn.XLOOKUP(AJ$1,$R$2:$R$18,$T$2:$T$18)-$M25)^2+(_xlfn.XLOOKUP(AJ$1,$R$2:$R$18,$U$2:$U$18-$N25)^2)))</f>
        <v/>
      </c>
      <c r="AK25" s="151" t="str">
        <f t="array" ref="AK25">IF(AK$1=0,"",SQRT((_xlfn.XLOOKUP(AK$1,$R$2:$R$18,$S$2:$S$18)-$L25)^2+(_xlfn.XLOOKUP(AK$1,$R$2:$R$18,$T$2:$T$18)-$M25)^2+(_xlfn.XLOOKUP(AK$1,$R$2:$R$18,$U$2:$U$18-$N25)^2)))</f>
        <v/>
      </c>
      <c r="AL25" s="151" t="str">
        <f t="array" ref="AL25">IF(AL$1=0,"",SQRT((_xlfn.XLOOKUP(AL$1,$R$2:$R$18,$S$2:$S$18)-$L25)^2+(_xlfn.XLOOKUP(AL$1,$R$2:$R$18,$T$2:$T$18)-$M25)^2+(_xlfn.XLOOKUP(AL$1,$R$2:$R$18,$U$2:$U$18-$N25)^2)))</f>
        <v/>
      </c>
      <c r="AM25" s="151" t="str">
        <f t="array" ref="AM25">IF(AM$1=0,"",SQRT((_xlfn.XLOOKUP(AM$1,$R$2:$R$18,$S$2:$S$18)-$L25)^2+(_xlfn.XLOOKUP(AM$1,$R$2:$R$18,$T$2:$T$18)-$M25)^2+(_xlfn.XLOOKUP(AM$1,$R$2:$R$18,$U$2:$U$18-$N25)^2)))</f>
        <v/>
      </c>
      <c r="AN25" s="152" t="str">
        <f t="array" ref="AN25">IF(AN$1=0,"",SQRT((_xlfn.XLOOKUP(AN$1,$R$2:$R$18,$S$2:$S$18)-$L25)^2+(_xlfn.XLOOKUP(AN$1,$R$2:$R$18,$T$2:$T$18)-$M25)^2+(_xlfn.XLOOKUP(AN$1,$R$2:$R$18,$U$2:$U$18-$N25)^2)))</f>
        <v/>
      </c>
      <c r="AO25" s="134"/>
      <c r="AP25" s="134"/>
      <c r="AQ25" s="135">
        <f t="shared" si="4"/>
        <v>-34.834061744537181</v>
      </c>
      <c r="AR25" s="153">
        <f t="shared" si="5"/>
        <v>-32.215375796174257</v>
      </c>
      <c r="AS25" s="153">
        <f t="shared" si="6"/>
        <v>-40.188977249987744</v>
      </c>
      <c r="AT25" s="153">
        <f t="shared" si="7"/>
        <v>-44.327971856196129</v>
      </c>
      <c r="AU25" s="153">
        <f t="shared" si="8"/>
        <v>-41.391500064861511</v>
      </c>
      <c r="AV25" s="153">
        <f t="shared" si="9"/>
        <v>0</v>
      </c>
      <c r="AW25" s="153">
        <f t="shared" si="10"/>
        <v>0</v>
      </c>
      <c r="AX25" s="153">
        <f t="shared" si="11"/>
        <v>0</v>
      </c>
      <c r="AY25" s="154">
        <f t="shared" si="12"/>
        <v>0</v>
      </c>
      <c r="AZ25" s="154">
        <f t="shared" si="13"/>
        <v>0</v>
      </c>
      <c r="BA25" s="154">
        <f t="shared" si="14"/>
        <v>0</v>
      </c>
      <c r="BB25" s="154">
        <f t="shared" si="15"/>
        <v>0</v>
      </c>
      <c r="BC25" s="154">
        <f t="shared" si="16"/>
        <v>0</v>
      </c>
      <c r="BD25" s="154">
        <f t="shared" si="17"/>
        <v>0</v>
      </c>
      <c r="BE25" s="155">
        <f t="shared" si="18"/>
        <v>0</v>
      </c>
      <c r="BF25" s="134"/>
      <c r="BG25" s="134"/>
      <c r="BH25" s="134"/>
      <c r="BI25" s="134"/>
      <c r="BJ25" s="134"/>
      <c r="BK25" s="134"/>
      <c r="BL25" s="134"/>
      <c r="BM25" s="134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34"/>
      <c r="CD25" s="134"/>
      <c r="CE25" s="156">
        <f t="shared" si="35"/>
        <v>31.165938255462819</v>
      </c>
      <c r="CF25" s="157">
        <f t="shared" si="36"/>
        <v>33.784624203825743</v>
      </c>
      <c r="CG25" s="157">
        <f t="shared" si="37"/>
        <v>25.811022750012256</v>
      </c>
      <c r="CH25" s="157">
        <f t="shared" si="38"/>
        <v>21.672028143803871</v>
      </c>
      <c r="CI25" s="157">
        <f t="shared" si="39"/>
        <v>24.608499935138489</v>
      </c>
      <c r="CJ25" s="157" t="str">
        <f t="shared" si="40"/>
        <v/>
      </c>
      <c r="CK25" s="157" t="str">
        <f t="shared" si="41"/>
        <v/>
      </c>
      <c r="CL25" s="157" t="str">
        <f t="shared" si="42"/>
        <v/>
      </c>
      <c r="CM25" s="158" t="str">
        <f t="shared" si="43"/>
        <v/>
      </c>
      <c r="CN25" s="158" t="str">
        <f t="shared" si="44"/>
        <v/>
      </c>
      <c r="CO25" s="158" t="str">
        <f t="shared" si="45"/>
        <v/>
      </c>
      <c r="CP25" s="158" t="str">
        <f t="shared" si="46"/>
        <v/>
      </c>
      <c r="CQ25" s="143" t="str">
        <f t="shared" si="47"/>
        <v/>
      </c>
      <c r="CR25" s="143" t="str">
        <f t="shared" si="48"/>
        <v/>
      </c>
      <c r="CS25" s="144" t="str">
        <f t="shared" si="49"/>
        <v/>
      </c>
    </row>
    <row r="26" spans="1:97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147" t="s">
        <v>142</v>
      </c>
      <c r="F26" s="4">
        <v>65.873120921161103</v>
      </c>
      <c r="G26" s="4">
        <v>0</v>
      </c>
      <c r="H26" s="3">
        <v>1</v>
      </c>
      <c r="I26" s="128">
        <f t="shared" si="34"/>
        <v>66</v>
      </c>
      <c r="J26" s="3">
        <v>2</v>
      </c>
      <c r="K26" s="3"/>
      <c r="L26" s="4">
        <v>130.88999999999999</v>
      </c>
      <c r="M26" s="4">
        <v>100.62</v>
      </c>
      <c r="N26" s="109">
        <f t="shared" si="3"/>
        <v>75</v>
      </c>
      <c r="O26" s="81">
        <v>73</v>
      </c>
      <c r="P26" s="148">
        <v>2</v>
      </c>
      <c r="R26" s="115" t="s">
        <v>163</v>
      </c>
      <c r="S26" s="113">
        <v>176.56</v>
      </c>
      <c r="T26" s="52">
        <v>40.15</v>
      </c>
      <c r="U26" s="106">
        <v>75.400000000000006</v>
      </c>
      <c r="V26" s="52">
        <v>208.02</v>
      </c>
      <c r="W26" s="52">
        <v>46.53</v>
      </c>
      <c r="X26" s="53">
        <v>75.400000000000006</v>
      </c>
      <c r="Z26" s="168">
        <f t="array" ref="Z26">IF(Z$1=0,"",SQRT((_xlfn.XLOOKUP(Z$1,$R$2:$R$18,$S$2:$S$18)-$L26)^2+(_xlfn.XLOOKUP(Z$1,$R$2:$R$18,$T$2:$T$18)-$M26)^2+(_xlfn.XLOOKUP(Z$1,$R$2:$R$18,$U$2:$U$18-$N26)^2)))</f>
        <v>99.260828628417144</v>
      </c>
      <c r="AA26" s="150">
        <f t="array" ref="AA26">IF(AA$1=0,"",SQRT((_xlfn.XLOOKUP(AA$1,$R$2:$R$18,$S$2:$S$18)-$L26)^2+(_xlfn.XLOOKUP(AA$1,$R$2:$R$18,$T$2:$T$18)-$M26)^2+(_xlfn.XLOOKUP(AA$1,$R$2:$R$18,$U$2:$U$18-$N26)^2)))</f>
        <v>64.84393109613265</v>
      </c>
      <c r="AB26" s="150">
        <f t="array" ref="AB26">IF(AB$1=0,"",SQRT((_xlfn.XLOOKUP(AB$1,$R$2:$R$18,$S$2:$S$18)-$L26)^2+(_xlfn.XLOOKUP(AB$1,$R$2:$R$18,$T$2:$T$18)-$M26)^2+(_xlfn.XLOOKUP(AB$1,$R$2:$R$18,$U$2:$U$18-$N26)^2)))</f>
        <v>117.23646531689702</v>
      </c>
      <c r="AC26" s="150">
        <f t="array" ref="AC26">IF(AC$1=0,"",SQRT((_xlfn.XLOOKUP(AC$1,$R$2:$R$18,$S$2:$S$18)-$L26)^2+(_xlfn.XLOOKUP(AC$1,$R$2:$R$18,$T$2:$T$18)-$M26)^2+(_xlfn.XLOOKUP(AC$1,$R$2:$R$18,$U$2:$U$18-$N26)^2)))</f>
        <v>189.7572285843151</v>
      </c>
      <c r="AD26" s="150">
        <f t="array" ref="AD26">IF(AD$1=0,"",SQRT((_xlfn.XLOOKUP(AD$1,$R$2:$R$18,$S$2:$S$18)-$L26)^2+(_xlfn.XLOOKUP(AD$1,$R$2:$R$18,$T$2:$T$18)-$M26)^2+(_xlfn.XLOOKUP(AD$1,$R$2:$R$18,$U$2:$U$18-$N26)^2)))</f>
        <v>165.30595784786462</v>
      </c>
      <c r="AE26" s="150" t="str">
        <f t="array" ref="AE26">IF(AE$1=0,"",SQRT((_xlfn.XLOOKUP(AE$1,$R$2:$R$18,$S$2:$S$18)-$L26)^2+(_xlfn.XLOOKUP(AE$1,$R$2:$R$18,$T$2:$T$18)-$M26)^2+(_xlfn.XLOOKUP(AE$1,$R$2:$R$18,$U$2:$U$18-$N26)^2)))</f>
        <v/>
      </c>
      <c r="AF26" s="150" t="str">
        <f t="array" ref="AF26">IF(AF$1=0,"",SQRT((_xlfn.XLOOKUP(AF$1,$R$2:$R$18,$S$2:$S$18)-$L26)^2+(_xlfn.XLOOKUP(AF$1,$R$2:$R$18,$T$2:$T$18)-$M26)^2+(_xlfn.XLOOKUP(AF$1,$R$2:$R$18,$U$2:$U$18-$N26)^2)))</f>
        <v/>
      </c>
      <c r="AG26" s="150" t="str">
        <f t="array" ref="AG26">IF(AG$1=0,"",SQRT((_xlfn.XLOOKUP(AG$1,$R$2:$R$18,$S$2:$S$18)-$L26)^2+(_xlfn.XLOOKUP(AG$1,$R$2:$R$18,$T$2:$T$18)-$M26)^2+(_xlfn.XLOOKUP(AG$1,$R$2:$R$18,$U$2:$U$18-$N26)^2)))</f>
        <v/>
      </c>
      <c r="AH26" s="151" t="str">
        <f t="array" ref="AH26">IF(AH$1=0,"",SQRT((_xlfn.XLOOKUP(AH$1,$R$2:$R$18,$S$2:$S$18)-$L26)^2+(_xlfn.XLOOKUP(AH$1,$R$2:$R$18,$T$2:$T$18)-$M26)^2+(_xlfn.XLOOKUP(AH$1,$R$2:$R$18,$U$2:$U$18-$N26)^2)))</f>
        <v/>
      </c>
      <c r="AI26" s="151" t="str">
        <f t="array" ref="AI26">IF(AI$1=0,"",SQRT((_xlfn.XLOOKUP(AI$1,$R$2:$R$18,$S$2:$S$18)-$L26)^2+(_xlfn.XLOOKUP(AI$1,$R$2:$R$18,$T$2:$T$18)-$M26)^2+(_xlfn.XLOOKUP(AI$1,$R$2:$R$18,$U$2:$U$18-$N26)^2)))</f>
        <v/>
      </c>
      <c r="AJ26" s="151" t="str">
        <f t="array" ref="AJ26">IF(AJ$1=0,"",SQRT((_xlfn.XLOOKUP(AJ$1,$R$2:$R$18,$S$2:$S$18)-$L26)^2+(_xlfn.XLOOKUP(AJ$1,$R$2:$R$18,$T$2:$T$18)-$M26)^2+(_xlfn.XLOOKUP(AJ$1,$R$2:$R$18,$U$2:$U$18-$N26)^2)))</f>
        <v/>
      </c>
      <c r="AK26" s="151" t="str">
        <f t="array" ref="AK26">IF(AK$1=0,"",SQRT((_xlfn.XLOOKUP(AK$1,$R$2:$R$18,$S$2:$S$18)-$L26)^2+(_xlfn.XLOOKUP(AK$1,$R$2:$R$18,$T$2:$T$18)-$M26)^2+(_xlfn.XLOOKUP(AK$1,$R$2:$R$18,$U$2:$U$18-$N26)^2)))</f>
        <v/>
      </c>
      <c r="AL26" s="151" t="str">
        <f t="array" ref="AL26">IF(AL$1=0,"",SQRT((_xlfn.XLOOKUP(AL$1,$R$2:$R$18,$S$2:$S$18)-$L26)^2+(_xlfn.XLOOKUP(AL$1,$R$2:$R$18,$T$2:$T$18)-$M26)^2+(_xlfn.XLOOKUP(AL$1,$R$2:$R$18,$U$2:$U$18-$N26)^2)))</f>
        <v/>
      </c>
      <c r="AM26" s="151" t="str">
        <f t="array" ref="AM26">IF(AM$1=0,"",SQRT((_xlfn.XLOOKUP(AM$1,$R$2:$R$18,$S$2:$S$18)-$L26)^2+(_xlfn.XLOOKUP(AM$1,$R$2:$R$18,$T$2:$T$18)-$M26)^2+(_xlfn.XLOOKUP(AM$1,$R$2:$R$18,$U$2:$U$18-$N26)^2)))</f>
        <v/>
      </c>
      <c r="AN26" s="152" t="str">
        <f t="array" ref="AN26">IF(AN$1=0,"",SQRT((_xlfn.XLOOKUP(AN$1,$R$2:$R$18,$S$2:$S$18)-$L26)^2+(_xlfn.XLOOKUP(AN$1,$R$2:$R$18,$T$2:$T$18)-$M26)^2+(_xlfn.XLOOKUP(AN$1,$R$2:$R$18,$U$2:$U$18-$N26)^2)))</f>
        <v/>
      </c>
      <c r="AO26" s="134"/>
      <c r="AP26" s="134"/>
      <c r="AQ26" s="135">
        <f t="shared" si="4"/>
        <v>-37.59765586418208</v>
      </c>
      <c r="AR26" s="153">
        <f t="shared" si="5"/>
        <v>-33.899484649483227</v>
      </c>
      <c r="AS26" s="153">
        <f t="shared" si="6"/>
        <v>-39.043352256363363</v>
      </c>
      <c r="AT26" s="153">
        <f t="shared" si="7"/>
        <v>-43.226064513603937</v>
      </c>
      <c r="AU26" s="153">
        <f t="shared" si="8"/>
        <v>-42.027868065085286</v>
      </c>
      <c r="AV26" s="153">
        <f t="shared" si="9"/>
        <v>0</v>
      </c>
      <c r="AW26" s="153">
        <f t="shared" si="10"/>
        <v>0</v>
      </c>
      <c r="AX26" s="153">
        <f t="shared" si="11"/>
        <v>0</v>
      </c>
      <c r="AY26" s="154">
        <f t="shared" si="12"/>
        <v>0</v>
      </c>
      <c r="AZ26" s="154">
        <f t="shared" si="13"/>
        <v>0</v>
      </c>
      <c r="BA26" s="154">
        <f t="shared" si="14"/>
        <v>0</v>
      </c>
      <c r="BB26" s="154">
        <f t="shared" si="15"/>
        <v>0</v>
      </c>
      <c r="BC26" s="154">
        <f t="shared" si="16"/>
        <v>0</v>
      </c>
      <c r="BD26" s="154">
        <f t="shared" si="17"/>
        <v>0</v>
      </c>
      <c r="BE26" s="155">
        <f t="shared" si="18"/>
        <v>0</v>
      </c>
      <c r="BF26" s="134"/>
      <c r="BG26" s="21"/>
      <c r="BH26" s="37" t="s">
        <v>32</v>
      </c>
      <c r="BI26" s="37" t="s">
        <v>65</v>
      </c>
      <c r="BJ26" s="21" t="str">
        <f>"Path-Length Difference (L) = " &amp;ROUND('Input LwA_XYZ'!BH12,1) &amp;" ft"</f>
        <v>Path-Length Difference (L) = 0.1 ft</v>
      </c>
      <c r="BL26" s="134"/>
      <c r="BM26" s="134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34"/>
      <c r="CD26" s="134"/>
      <c r="CE26" s="156">
        <f t="shared" si="35"/>
        <v>28.40234413581792</v>
      </c>
      <c r="CF26" s="157">
        <f t="shared" si="36"/>
        <v>32.100515350516773</v>
      </c>
      <c r="CG26" s="157">
        <f t="shared" si="37"/>
        <v>26.956647743636637</v>
      </c>
      <c r="CH26" s="157">
        <f t="shared" si="38"/>
        <v>22.773935486396063</v>
      </c>
      <c r="CI26" s="157">
        <f t="shared" si="39"/>
        <v>23.972131934914714</v>
      </c>
      <c r="CJ26" s="157" t="str">
        <f t="shared" si="40"/>
        <v/>
      </c>
      <c r="CK26" s="157" t="str">
        <f t="shared" si="41"/>
        <v/>
      </c>
      <c r="CL26" s="157" t="str">
        <f t="shared" si="42"/>
        <v/>
      </c>
      <c r="CM26" s="158" t="str">
        <f t="shared" si="43"/>
        <v/>
      </c>
      <c r="CN26" s="158" t="str">
        <f t="shared" si="44"/>
        <v/>
      </c>
      <c r="CO26" s="158" t="str">
        <f t="shared" si="45"/>
        <v/>
      </c>
      <c r="CP26" s="158" t="str">
        <f t="shared" si="46"/>
        <v/>
      </c>
      <c r="CQ26" s="143" t="str">
        <f t="shared" si="47"/>
        <v/>
      </c>
      <c r="CR26" s="143" t="str">
        <f t="shared" si="48"/>
        <v/>
      </c>
      <c r="CS26" s="144" t="str">
        <f t="shared" si="49"/>
        <v/>
      </c>
    </row>
    <row r="27" spans="1:97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147" t="s">
        <v>142</v>
      </c>
      <c r="F27" s="4">
        <v>65.873120921161103</v>
      </c>
      <c r="G27" s="4">
        <v>0</v>
      </c>
      <c r="H27" s="3">
        <v>1</v>
      </c>
      <c r="I27" s="128">
        <f t="shared" si="34"/>
        <v>66</v>
      </c>
      <c r="J27" s="3">
        <v>2</v>
      </c>
      <c r="K27" s="3"/>
      <c r="L27" s="4">
        <v>165.93</v>
      </c>
      <c r="M27" s="4">
        <v>79.650000000000006</v>
      </c>
      <c r="N27" s="109">
        <f t="shared" si="3"/>
        <v>75</v>
      </c>
      <c r="O27" s="81">
        <v>73</v>
      </c>
      <c r="P27" s="148">
        <v>2</v>
      </c>
      <c r="R27" s="115" t="s">
        <v>164</v>
      </c>
      <c r="S27" s="112">
        <v>207.91</v>
      </c>
      <c r="T27" s="105">
        <v>46.31</v>
      </c>
      <c r="U27" s="106">
        <v>75.400000000000006</v>
      </c>
      <c r="V27" s="105">
        <v>210.77</v>
      </c>
      <c r="W27" s="105">
        <v>31.57</v>
      </c>
      <c r="X27" s="106">
        <v>75.400000000000006</v>
      </c>
      <c r="Z27" s="168">
        <f t="array" ref="Z27">IF(Z$1=0,"",SQRT((_xlfn.XLOOKUP(Z$1,$R$2:$R$18,$S$2:$S$18)-$L27)^2+(_xlfn.XLOOKUP(Z$1,$R$2:$R$18,$T$2:$T$18)-$M27)^2+(_xlfn.XLOOKUP(Z$1,$R$2:$R$18,$U$2:$U$18-$N27)^2)))</f>
        <v>133.16029212944827</v>
      </c>
      <c r="AA27" s="150">
        <f t="array" ref="AA27">IF(AA$1=0,"",SQRT((_xlfn.XLOOKUP(AA$1,$R$2:$R$18,$S$2:$S$18)-$L27)^2+(_xlfn.XLOOKUP(AA$1,$R$2:$R$18,$T$2:$T$18)-$M27)^2+(_xlfn.XLOOKUP(AA$1,$R$2:$R$18,$U$2:$U$18-$N27)^2)))</f>
        <v>75.541051753334756</v>
      </c>
      <c r="AB27" s="150">
        <f t="array" ref="AB27">IF(AB$1=0,"",SQRT((_xlfn.XLOOKUP(AB$1,$R$2:$R$18,$S$2:$S$18)-$L27)^2+(_xlfn.XLOOKUP(AB$1,$R$2:$R$18,$T$2:$T$18)-$M27)^2+(_xlfn.XLOOKUP(AB$1,$R$2:$R$18,$U$2:$U$18-$N27)^2)))</f>
        <v>78.104346229899392</v>
      </c>
      <c r="AC27" s="150">
        <f t="array" ref="AC27">IF(AC$1=0,"",SQRT((_xlfn.XLOOKUP(AC$1,$R$2:$R$18,$S$2:$S$18)-$L27)^2+(_xlfn.XLOOKUP(AC$1,$R$2:$R$18,$T$2:$T$18)-$M27)^2+(_xlfn.XLOOKUP(AC$1,$R$2:$R$18,$U$2:$U$18-$N27)^2)))</f>
        <v>155.0886033852907</v>
      </c>
      <c r="AD27" s="150">
        <f t="array" ref="AD27">IF(AD$1=0,"",SQRT((_xlfn.XLOOKUP(AD$1,$R$2:$R$18,$S$2:$S$18)-$L27)^2+(_xlfn.XLOOKUP(AD$1,$R$2:$R$18,$T$2:$T$18)-$M27)^2+(_xlfn.XLOOKUP(AD$1,$R$2:$R$18,$U$2:$U$18-$N27)^2)))</f>
        <v>204.7368125179251</v>
      </c>
      <c r="AE27" s="150" t="str">
        <f t="array" ref="AE27">IF(AE$1=0,"",SQRT((_xlfn.XLOOKUP(AE$1,$R$2:$R$18,$S$2:$S$18)-$L27)^2+(_xlfn.XLOOKUP(AE$1,$R$2:$R$18,$T$2:$T$18)-$M27)^2+(_xlfn.XLOOKUP(AE$1,$R$2:$R$18,$U$2:$U$18-$N27)^2)))</f>
        <v/>
      </c>
      <c r="AF27" s="150" t="str">
        <f t="array" ref="AF27">IF(AF$1=0,"",SQRT((_xlfn.XLOOKUP(AF$1,$R$2:$R$18,$S$2:$S$18)-$L27)^2+(_xlfn.XLOOKUP(AF$1,$R$2:$R$18,$T$2:$T$18)-$M27)^2+(_xlfn.XLOOKUP(AF$1,$R$2:$R$18,$U$2:$U$18-$N27)^2)))</f>
        <v/>
      </c>
      <c r="AG27" s="150" t="str">
        <f t="array" ref="AG27">IF(AG$1=0,"",SQRT((_xlfn.XLOOKUP(AG$1,$R$2:$R$18,$S$2:$S$18)-$L27)^2+(_xlfn.XLOOKUP(AG$1,$R$2:$R$18,$T$2:$T$18)-$M27)^2+(_xlfn.XLOOKUP(AG$1,$R$2:$R$18,$U$2:$U$18-$N27)^2)))</f>
        <v/>
      </c>
      <c r="AH27" s="151" t="str">
        <f t="array" ref="AH27">IF(AH$1=0,"",SQRT((_xlfn.XLOOKUP(AH$1,$R$2:$R$18,$S$2:$S$18)-$L27)^2+(_xlfn.XLOOKUP(AH$1,$R$2:$R$18,$T$2:$T$18)-$M27)^2+(_xlfn.XLOOKUP(AH$1,$R$2:$R$18,$U$2:$U$18-$N27)^2)))</f>
        <v/>
      </c>
      <c r="AI27" s="151" t="str">
        <f t="array" ref="AI27">IF(AI$1=0,"",SQRT((_xlfn.XLOOKUP(AI$1,$R$2:$R$18,$S$2:$S$18)-$L27)^2+(_xlfn.XLOOKUP(AI$1,$R$2:$R$18,$T$2:$T$18)-$M27)^2+(_xlfn.XLOOKUP(AI$1,$R$2:$R$18,$U$2:$U$18-$N27)^2)))</f>
        <v/>
      </c>
      <c r="AJ27" s="151" t="str">
        <f t="array" ref="AJ27">IF(AJ$1=0,"",SQRT((_xlfn.XLOOKUP(AJ$1,$R$2:$R$18,$S$2:$S$18)-$L27)^2+(_xlfn.XLOOKUP(AJ$1,$R$2:$R$18,$T$2:$T$18)-$M27)^2+(_xlfn.XLOOKUP(AJ$1,$R$2:$R$18,$U$2:$U$18-$N27)^2)))</f>
        <v/>
      </c>
      <c r="AK27" s="151" t="str">
        <f t="array" ref="AK27">IF(AK$1=0,"",SQRT((_xlfn.XLOOKUP(AK$1,$R$2:$R$18,$S$2:$S$18)-$L27)^2+(_xlfn.XLOOKUP(AK$1,$R$2:$R$18,$T$2:$T$18)-$M27)^2+(_xlfn.XLOOKUP(AK$1,$R$2:$R$18,$U$2:$U$18-$N27)^2)))</f>
        <v/>
      </c>
      <c r="AL27" s="151" t="str">
        <f t="array" ref="AL27">IF(AL$1=0,"",SQRT((_xlfn.XLOOKUP(AL$1,$R$2:$R$18,$S$2:$S$18)-$L27)^2+(_xlfn.XLOOKUP(AL$1,$R$2:$R$18,$T$2:$T$18)-$M27)^2+(_xlfn.XLOOKUP(AL$1,$R$2:$R$18,$U$2:$U$18-$N27)^2)))</f>
        <v/>
      </c>
      <c r="AM27" s="151" t="str">
        <f t="array" ref="AM27">IF(AM$1=0,"",SQRT((_xlfn.XLOOKUP(AM$1,$R$2:$R$18,$S$2:$S$18)-$L27)^2+(_xlfn.XLOOKUP(AM$1,$R$2:$R$18,$T$2:$T$18)-$M27)^2+(_xlfn.XLOOKUP(AM$1,$R$2:$R$18,$U$2:$U$18-$N27)^2)))</f>
        <v/>
      </c>
      <c r="AN27" s="152" t="str">
        <f t="array" ref="AN27">IF(AN$1=0,"",SQRT((_xlfn.XLOOKUP(AN$1,$R$2:$R$18,$S$2:$S$18)-$L27)^2+(_xlfn.XLOOKUP(AN$1,$R$2:$R$18,$T$2:$T$18)-$M27)^2+(_xlfn.XLOOKUP(AN$1,$R$2:$R$18,$U$2:$U$18-$N27)^2)))</f>
        <v/>
      </c>
      <c r="AO27" s="134"/>
      <c r="AP27" s="134"/>
      <c r="AQ27" s="135">
        <f t="shared" si="4"/>
        <v>-40.149592721907098</v>
      </c>
      <c r="AR27" s="153">
        <f t="shared" si="5"/>
        <v>-35.225758480702112</v>
      </c>
      <c r="AS27" s="153">
        <f t="shared" si="6"/>
        <v>-35.515601966884013</v>
      </c>
      <c r="AT27" s="153">
        <f t="shared" si="7"/>
        <v>-41.473695638048923</v>
      </c>
      <c r="AU27" s="153">
        <f t="shared" si="8"/>
        <v>-43.886016689157323</v>
      </c>
      <c r="AV27" s="153">
        <f t="shared" si="9"/>
        <v>0</v>
      </c>
      <c r="AW27" s="153">
        <f t="shared" si="10"/>
        <v>0</v>
      </c>
      <c r="AX27" s="153">
        <f t="shared" si="11"/>
        <v>0</v>
      </c>
      <c r="AY27" s="154">
        <f t="shared" si="12"/>
        <v>0</v>
      </c>
      <c r="AZ27" s="154">
        <f t="shared" si="13"/>
        <v>0</v>
      </c>
      <c r="BA27" s="154">
        <f t="shared" si="14"/>
        <v>0</v>
      </c>
      <c r="BB27" s="154">
        <f t="shared" si="15"/>
        <v>0</v>
      </c>
      <c r="BC27" s="154">
        <f t="shared" si="16"/>
        <v>0</v>
      </c>
      <c r="BD27" s="154">
        <f t="shared" si="17"/>
        <v>0</v>
      </c>
      <c r="BE27" s="155">
        <f t="shared" si="18"/>
        <v>0</v>
      </c>
      <c r="BF27" s="134"/>
      <c r="BG27" s="40" t="s">
        <v>2</v>
      </c>
      <c r="BH27" s="21">
        <v>0</v>
      </c>
      <c r="BI27" s="21">
        <f>'Input LwA_XYZ'!BK4</f>
        <v>75.5</v>
      </c>
      <c r="BJ27" s="21" t="str">
        <f>"A = " &amp; ROUND('Input LwA_XYZ'!BH13,1) &amp; ", B = " &amp;ROUND('Input LwA_XYZ'!BH14,1) &amp;", D = " &amp;ROUND('Input LwA_XYZ'!BH11,1)</f>
        <v>A = 3.4, B = 37.9, D = 41.2</v>
      </c>
      <c r="BL27" s="134"/>
      <c r="BM27" s="134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34"/>
      <c r="CD27" s="134"/>
      <c r="CE27" s="156">
        <f t="shared" si="35"/>
        <v>25.850407278092902</v>
      </c>
      <c r="CF27" s="157">
        <f t="shared" si="36"/>
        <v>30.774241519297888</v>
      </c>
      <c r="CG27" s="157">
        <f t="shared" si="37"/>
        <v>30.484398033115987</v>
      </c>
      <c r="CH27" s="157">
        <f t="shared" si="38"/>
        <v>24.526304361951077</v>
      </c>
      <c r="CI27" s="157">
        <f t="shared" si="39"/>
        <v>22.113983310842677</v>
      </c>
      <c r="CJ27" s="157" t="str">
        <f t="shared" si="40"/>
        <v/>
      </c>
      <c r="CK27" s="157" t="str">
        <f t="shared" si="41"/>
        <v/>
      </c>
      <c r="CL27" s="157" t="str">
        <f t="shared" si="42"/>
        <v/>
      </c>
      <c r="CM27" s="158" t="str">
        <f t="shared" si="43"/>
        <v/>
      </c>
      <c r="CN27" s="158" t="str">
        <f t="shared" si="44"/>
        <v/>
      </c>
      <c r="CO27" s="158" t="str">
        <f t="shared" si="45"/>
        <v/>
      </c>
      <c r="CP27" s="158" t="str">
        <f t="shared" si="46"/>
        <v/>
      </c>
      <c r="CQ27" s="143" t="str">
        <f t="shared" si="47"/>
        <v/>
      </c>
      <c r="CR27" s="143" t="str">
        <f t="shared" si="48"/>
        <v/>
      </c>
      <c r="CS27" s="144" t="str">
        <f t="shared" si="49"/>
        <v/>
      </c>
    </row>
    <row r="28" spans="1:97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147" t="s">
        <v>142</v>
      </c>
      <c r="F28" s="4">
        <v>65.873120921161103</v>
      </c>
      <c r="G28" s="4">
        <v>0</v>
      </c>
      <c r="H28" s="3">
        <v>1</v>
      </c>
      <c r="I28" s="128">
        <f t="shared" si="34"/>
        <v>66</v>
      </c>
      <c r="J28" s="3">
        <v>2</v>
      </c>
      <c r="K28" s="3"/>
      <c r="L28" s="4">
        <v>171.41</v>
      </c>
      <c r="M28" s="4">
        <v>52.12</v>
      </c>
      <c r="N28" s="109">
        <f t="shared" si="3"/>
        <v>75</v>
      </c>
      <c r="O28" s="81">
        <v>73</v>
      </c>
      <c r="P28" s="148">
        <v>2</v>
      </c>
      <c r="R28" s="115" t="s">
        <v>165</v>
      </c>
      <c r="S28" s="113">
        <v>211.31</v>
      </c>
      <c r="T28" s="52">
        <v>31.68</v>
      </c>
      <c r="U28" s="106">
        <v>75.400000000000006</v>
      </c>
      <c r="V28" s="52">
        <v>236.06</v>
      </c>
      <c r="W28" s="52">
        <v>36.96</v>
      </c>
      <c r="X28" s="53">
        <v>75.400000000000006</v>
      </c>
      <c r="Z28" s="168">
        <f t="array" ref="Z28">IF(Z$1=0,"",SQRT((_xlfn.XLOOKUP(Z$1,$R$2:$R$18,$S$2:$S$18)-$L28)^2+(_xlfn.XLOOKUP(Z$1,$R$2:$R$18,$T$2:$T$18)-$M28)^2+(_xlfn.XLOOKUP(Z$1,$R$2:$R$18,$U$2:$U$18-$N28)^2)))</f>
        <v>142.48560243056139</v>
      </c>
      <c r="AA28" s="150">
        <f t="array" ref="AA28">IF(AA$1=0,"",SQRT((_xlfn.XLOOKUP(AA$1,$R$2:$R$18,$S$2:$S$18)-$L28)^2+(_xlfn.XLOOKUP(AA$1,$R$2:$R$18,$T$2:$T$18)-$M28)^2+(_xlfn.XLOOKUP(AA$1,$R$2:$R$18,$U$2:$U$18-$N28)^2)))</f>
        <v>75.407735677448898</v>
      </c>
      <c r="AB28" s="150">
        <f t="array" ref="AB28">IF(AB$1=0,"",SQRT((_xlfn.XLOOKUP(AB$1,$R$2:$R$18,$S$2:$S$18)-$L28)^2+(_xlfn.XLOOKUP(AB$1,$R$2:$R$18,$T$2:$T$18)-$M28)^2+(_xlfn.XLOOKUP(AB$1,$R$2:$R$18,$U$2:$U$18-$N28)^2)))</f>
        <v>56.406598904738082</v>
      </c>
      <c r="AC28" s="150">
        <f t="array" ref="AC28">IF(AC$1=0,"",SQRT((_xlfn.XLOOKUP(AC$1,$R$2:$R$18,$S$2:$S$18)-$L28)^2+(_xlfn.XLOOKUP(AC$1,$R$2:$R$18,$T$2:$T$18)-$M28)^2+(_xlfn.XLOOKUP(AC$1,$R$2:$R$18,$U$2:$U$18-$N28)^2)))</f>
        <v>153.51262944787314</v>
      </c>
      <c r="AD28" s="150">
        <f t="array" ref="AD28">IF(AD$1=0,"",SQRT((_xlfn.XLOOKUP(AD$1,$R$2:$R$18,$S$2:$S$18)-$L28)^2+(_xlfn.XLOOKUP(AD$1,$R$2:$R$18,$T$2:$T$18)-$M28)^2+(_xlfn.XLOOKUP(AD$1,$R$2:$R$18,$U$2:$U$18-$N28)^2)))</f>
        <v>227.49873955694787</v>
      </c>
      <c r="AE28" s="150" t="str">
        <f t="array" ref="AE28">IF(AE$1=0,"",SQRT((_xlfn.XLOOKUP(AE$1,$R$2:$R$18,$S$2:$S$18)-$L28)^2+(_xlfn.XLOOKUP(AE$1,$R$2:$R$18,$T$2:$T$18)-$M28)^2+(_xlfn.XLOOKUP(AE$1,$R$2:$R$18,$U$2:$U$18-$N28)^2)))</f>
        <v/>
      </c>
      <c r="AF28" s="150" t="str">
        <f t="array" ref="AF28">IF(AF$1=0,"",SQRT((_xlfn.XLOOKUP(AF$1,$R$2:$R$18,$S$2:$S$18)-$L28)^2+(_xlfn.XLOOKUP(AF$1,$R$2:$R$18,$T$2:$T$18)-$M28)^2+(_xlfn.XLOOKUP(AF$1,$R$2:$R$18,$U$2:$U$18-$N28)^2)))</f>
        <v/>
      </c>
      <c r="AG28" s="150" t="str">
        <f t="array" ref="AG28">IF(AG$1=0,"",SQRT((_xlfn.XLOOKUP(AG$1,$R$2:$R$18,$S$2:$S$18)-$L28)^2+(_xlfn.XLOOKUP(AG$1,$R$2:$R$18,$T$2:$T$18)-$M28)^2+(_xlfn.XLOOKUP(AG$1,$R$2:$R$18,$U$2:$U$18-$N28)^2)))</f>
        <v/>
      </c>
      <c r="AH28" s="151" t="str">
        <f t="array" ref="AH28">IF(AH$1=0,"",SQRT((_xlfn.XLOOKUP(AH$1,$R$2:$R$18,$S$2:$S$18)-$L28)^2+(_xlfn.XLOOKUP(AH$1,$R$2:$R$18,$T$2:$T$18)-$M28)^2+(_xlfn.XLOOKUP(AH$1,$R$2:$R$18,$U$2:$U$18-$N28)^2)))</f>
        <v/>
      </c>
      <c r="AI28" s="151" t="str">
        <f t="array" ref="AI28">IF(AI$1=0,"",SQRT((_xlfn.XLOOKUP(AI$1,$R$2:$R$18,$S$2:$S$18)-$L28)^2+(_xlfn.XLOOKUP(AI$1,$R$2:$R$18,$T$2:$T$18)-$M28)^2+(_xlfn.XLOOKUP(AI$1,$R$2:$R$18,$U$2:$U$18-$N28)^2)))</f>
        <v/>
      </c>
      <c r="AJ28" s="151" t="str">
        <f t="array" ref="AJ28">IF(AJ$1=0,"",SQRT((_xlfn.XLOOKUP(AJ$1,$R$2:$R$18,$S$2:$S$18)-$L28)^2+(_xlfn.XLOOKUP(AJ$1,$R$2:$R$18,$T$2:$T$18)-$M28)^2+(_xlfn.XLOOKUP(AJ$1,$R$2:$R$18,$U$2:$U$18-$N28)^2)))</f>
        <v/>
      </c>
      <c r="AK28" s="151" t="str">
        <f t="array" ref="AK28">IF(AK$1=0,"",SQRT((_xlfn.XLOOKUP(AK$1,$R$2:$R$18,$S$2:$S$18)-$L28)^2+(_xlfn.XLOOKUP(AK$1,$R$2:$R$18,$T$2:$T$18)-$M28)^2+(_xlfn.XLOOKUP(AK$1,$R$2:$R$18,$U$2:$U$18-$N28)^2)))</f>
        <v/>
      </c>
      <c r="AL28" s="151" t="str">
        <f t="array" ref="AL28">IF(AL$1=0,"",SQRT((_xlfn.XLOOKUP(AL$1,$R$2:$R$18,$S$2:$S$18)-$L28)^2+(_xlfn.XLOOKUP(AL$1,$R$2:$R$18,$T$2:$T$18)-$M28)^2+(_xlfn.XLOOKUP(AL$1,$R$2:$R$18,$U$2:$U$18-$N28)^2)))</f>
        <v/>
      </c>
      <c r="AM28" s="151" t="str">
        <f t="array" ref="AM28">IF(AM$1=0,"",SQRT((_xlfn.XLOOKUP(AM$1,$R$2:$R$18,$S$2:$S$18)-$L28)^2+(_xlfn.XLOOKUP(AM$1,$R$2:$R$18,$T$2:$T$18)-$M28)^2+(_xlfn.XLOOKUP(AM$1,$R$2:$R$18,$U$2:$U$18-$N28)^2)))</f>
        <v/>
      </c>
      <c r="AN28" s="152" t="str">
        <f t="array" ref="AN28">IF(AN$1=0,"",SQRT((_xlfn.XLOOKUP(AN$1,$R$2:$R$18,$S$2:$S$18)-$L28)^2+(_xlfn.XLOOKUP(AN$1,$R$2:$R$18,$T$2:$T$18)-$M28)^2+(_xlfn.XLOOKUP(AN$1,$R$2:$R$18,$U$2:$U$18-$N28)^2)))</f>
        <v/>
      </c>
      <c r="AO28" s="134"/>
      <c r="AP28" s="134"/>
      <c r="AQ28" s="135">
        <f t="shared" si="4"/>
        <v>-40.737517595632369</v>
      </c>
      <c r="AR28" s="153">
        <f t="shared" si="5"/>
        <v>-35.210415939130058</v>
      </c>
      <c r="AS28" s="153">
        <f t="shared" si="6"/>
        <v>-32.688696222369288</v>
      </c>
      <c r="AT28" s="153">
        <f t="shared" si="7"/>
        <v>-41.384980148687582</v>
      </c>
      <c r="AU28" s="153">
        <f t="shared" si="8"/>
        <v>-44.801677833280422</v>
      </c>
      <c r="AV28" s="153">
        <f t="shared" si="9"/>
        <v>0</v>
      </c>
      <c r="AW28" s="153">
        <f t="shared" si="10"/>
        <v>0</v>
      </c>
      <c r="AX28" s="153">
        <f t="shared" si="11"/>
        <v>0</v>
      </c>
      <c r="AY28" s="154">
        <f t="shared" si="12"/>
        <v>0</v>
      </c>
      <c r="AZ28" s="154">
        <f t="shared" si="13"/>
        <v>0</v>
      </c>
      <c r="BA28" s="154">
        <f t="shared" si="14"/>
        <v>0</v>
      </c>
      <c r="BB28" s="154">
        <f t="shared" si="15"/>
        <v>0</v>
      </c>
      <c r="BC28" s="154">
        <f t="shared" si="16"/>
        <v>0</v>
      </c>
      <c r="BD28" s="154">
        <f t="shared" si="17"/>
        <v>0</v>
      </c>
      <c r="BE28" s="155">
        <f t="shared" si="18"/>
        <v>0</v>
      </c>
      <c r="BF28" s="134"/>
      <c r="BG28" s="40" t="s">
        <v>66</v>
      </c>
      <c r="BH28" s="21">
        <f>'Input LwA_XYZ'!BH9</f>
        <v>3.4465093395748809</v>
      </c>
      <c r="BI28" s="43">
        <f>'Input LwA_XYZ'!BH21</f>
        <v>75.400000000000006</v>
      </c>
      <c r="BJ28" s="21" t="str">
        <f>"Source Height: " &amp; ROUND(BI30,1) &amp; " ft"</f>
        <v>Source Height: 75.5 ft</v>
      </c>
      <c r="BL28" s="134"/>
      <c r="BM28" s="134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34"/>
      <c r="CD28" s="134"/>
      <c r="CE28" s="156">
        <f t="shared" si="35"/>
        <v>25.262482404367631</v>
      </c>
      <c r="CF28" s="157">
        <f t="shared" si="36"/>
        <v>30.789584060869942</v>
      </c>
      <c r="CG28" s="157">
        <f t="shared" si="37"/>
        <v>33.311303777630712</v>
      </c>
      <c r="CH28" s="157">
        <f t="shared" si="38"/>
        <v>24.615019851312418</v>
      </c>
      <c r="CI28" s="157">
        <f t="shared" si="39"/>
        <v>21.198322166719578</v>
      </c>
      <c r="CJ28" s="157" t="str">
        <f t="shared" si="40"/>
        <v/>
      </c>
      <c r="CK28" s="157" t="str">
        <f t="shared" si="41"/>
        <v/>
      </c>
      <c r="CL28" s="157" t="str">
        <f t="shared" si="42"/>
        <v/>
      </c>
      <c r="CM28" s="158" t="str">
        <f t="shared" si="43"/>
        <v/>
      </c>
      <c r="CN28" s="158" t="str">
        <f t="shared" si="44"/>
        <v/>
      </c>
      <c r="CO28" s="158" t="str">
        <f t="shared" si="45"/>
        <v/>
      </c>
      <c r="CP28" s="158" t="str">
        <f t="shared" si="46"/>
        <v/>
      </c>
      <c r="CQ28" s="143" t="str">
        <f t="shared" si="47"/>
        <v/>
      </c>
      <c r="CR28" s="143" t="str">
        <f t="shared" si="48"/>
        <v/>
      </c>
      <c r="CS28" s="144" t="str">
        <f t="shared" si="49"/>
        <v/>
      </c>
    </row>
    <row r="29" spans="1:97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147" t="s">
        <v>141</v>
      </c>
      <c r="F29" s="4">
        <v>57.392737795737183</v>
      </c>
      <c r="G29" s="4">
        <v>0</v>
      </c>
      <c r="H29" s="3">
        <v>1</v>
      </c>
      <c r="I29" s="128">
        <f t="shared" si="34"/>
        <v>57</v>
      </c>
      <c r="J29" s="3">
        <v>2</v>
      </c>
      <c r="K29" s="3"/>
      <c r="L29" s="4">
        <v>177.48</v>
      </c>
      <c r="M29" s="4">
        <v>27.21</v>
      </c>
      <c r="N29" s="109">
        <f t="shared" si="3"/>
        <v>75</v>
      </c>
      <c r="O29" s="81">
        <v>73</v>
      </c>
      <c r="P29" s="148">
        <v>2</v>
      </c>
      <c r="R29" s="115" t="s">
        <v>166</v>
      </c>
      <c r="S29" s="113">
        <v>236.29</v>
      </c>
      <c r="T29" s="52">
        <v>37.729999999999997</v>
      </c>
      <c r="U29" s="106">
        <v>75.400000000000006</v>
      </c>
      <c r="V29" s="52">
        <v>233.65</v>
      </c>
      <c r="W29" s="52">
        <v>50.6</v>
      </c>
      <c r="X29" s="53">
        <v>75.400000000000006</v>
      </c>
      <c r="Z29" s="168">
        <f t="array" ref="Z29">IF(Z$1=0,"",SQRT((_xlfn.XLOOKUP(Z$1,$R$2:$R$18,$S$2:$S$18)-$L29)^2+(_xlfn.XLOOKUP(Z$1,$R$2:$R$18,$T$2:$T$18)-$M29)^2+(_xlfn.XLOOKUP(Z$1,$R$2:$R$18,$U$2:$U$18-$N29)^2)))</f>
        <v>155.90178991916673</v>
      </c>
      <c r="AA29" s="150">
        <f t="array" ref="AA29">IF(AA$1=0,"",SQRT((_xlfn.XLOOKUP(AA$1,$R$2:$R$18,$S$2:$S$18)-$L29)^2+(_xlfn.XLOOKUP(AA$1,$R$2:$R$18,$T$2:$T$18)-$M29)^2+(_xlfn.XLOOKUP(AA$1,$R$2:$R$18,$U$2:$U$18-$N29)^2)))</f>
        <v>84.775546002370277</v>
      </c>
      <c r="AB29" s="150">
        <f t="array" ref="AB29">IF(AB$1=0,"",SQRT((_xlfn.XLOOKUP(AB$1,$R$2:$R$18,$S$2:$S$18)-$L29)^2+(_xlfn.XLOOKUP(AB$1,$R$2:$R$18,$T$2:$T$18)-$M29)^2+(_xlfn.XLOOKUP(AB$1,$R$2:$R$18,$U$2:$U$18-$N29)^2)))</f>
        <v>42.541802970725158</v>
      </c>
      <c r="AC29" s="150">
        <f t="array" ref="AC29">IF(AC$1=0,"",SQRT((_xlfn.XLOOKUP(AC$1,$R$2:$R$18,$S$2:$S$18)-$L29)^2+(_xlfn.XLOOKUP(AC$1,$R$2:$R$18,$T$2:$T$18)-$M29)^2+(_xlfn.XLOOKUP(AC$1,$R$2:$R$18,$U$2:$U$18-$N29)^2)))</f>
        <v>155.47675067353322</v>
      </c>
      <c r="AD29" s="150">
        <f t="array" ref="AD29">IF(AD$1=0,"",SQRT((_xlfn.XLOOKUP(AD$1,$R$2:$R$18,$S$2:$S$18)-$L29)^2+(_xlfn.XLOOKUP(AD$1,$R$2:$R$18,$T$2:$T$18)-$M29)^2+(_xlfn.XLOOKUP(AD$1,$R$2:$R$18,$U$2:$U$18-$N29)^2)))</f>
        <v>249.75505380272088</v>
      </c>
      <c r="AE29" s="150" t="str">
        <f t="array" ref="AE29">IF(AE$1=0,"",SQRT((_xlfn.XLOOKUP(AE$1,$R$2:$R$18,$S$2:$S$18)-$L29)^2+(_xlfn.XLOOKUP(AE$1,$R$2:$R$18,$T$2:$T$18)-$M29)^2+(_xlfn.XLOOKUP(AE$1,$R$2:$R$18,$U$2:$U$18-$N29)^2)))</f>
        <v/>
      </c>
      <c r="AF29" s="150" t="str">
        <f t="array" ref="AF29">IF(AF$1=0,"",SQRT((_xlfn.XLOOKUP(AF$1,$R$2:$R$18,$S$2:$S$18)-$L29)^2+(_xlfn.XLOOKUP(AF$1,$R$2:$R$18,$T$2:$T$18)-$M29)^2+(_xlfn.XLOOKUP(AF$1,$R$2:$R$18,$U$2:$U$18-$N29)^2)))</f>
        <v/>
      </c>
      <c r="AG29" s="150" t="str">
        <f t="array" ref="AG29">IF(AG$1=0,"",SQRT((_xlfn.XLOOKUP(AG$1,$R$2:$R$18,$S$2:$S$18)-$L29)^2+(_xlfn.XLOOKUP(AG$1,$R$2:$R$18,$T$2:$T$18)-$M29)^2+(_xlfn.XLOOKUP(AG$1,$R$2:$R$18,$U$2:$U$18-$N29)^2)))</f>
        <v/>
      </c>
      <c r="AH29" s="151" t="str">
        <f t="array" ref="AH29">IF(AH$1=0,"",SQRT((_xlfn.XLOOKUP(AH$1,$R$2:$R$18,$S$2:$S$18)-$L29)^2+(_xlfn.XLOOKUP(AH$1,$R$2:$R$18,$T$2:$T$18)-$M29)^2+(_xlfn.XLOOKUP(AH$1,$R$2:$R$18,$U$2:$U$18-$N29)^2)))</f>
        <v/>
      </c>
      <c r="AI29" s="151" t="str">
        <f t="array" ref="AI29">IF(AI$1=0,"",SQRT((_xlfn.XLOOKUP(AI$1,$R$2:$R$18,$S$2:$S$18)-$L29)^2+(_xlfn.XLOOKUP(AI$1,$R$2:$R$18,$T$2:$T$18)-$M29)^2+(_xlfn.XLOOKUP(AI$1,$R$2:$R$18,$U$2:$U$18-$N29)^2)))</f>
        <v/>
      </c>
      <c r="AJ29" s="151" t="str">
        <f t="array" ref="AJ29">IF(AJ$1=0,"",SQRT((_xlfn.XLOOKUP(AJ$1,$R$2:$R$18,$S$2:$S$18)-$L29)^2+(_xlfn.XLOOKUP(AJ$1,$R$2:$R$18,$T$2:$T$18)-$M29)^2+(_xlfn.XLOOKUP(AJ$1,$R$2:$R$18,$U$2:$U$18-$N29)^2)))</f>
        <v/>
      </c>
      <c r="AK29" s="151" t="str">
        <f t="array" ref="AK29">IF(AK$1=0,"",SQRT((_xlfn.XLOOKUP(AK$1,$R$2:$R$18,$S$2:$S$18)-$L29)^2+(_xlfn.XLOOKUP(AK$1,$R$2:$R$18,$T$2:$T$18)-$M29)^2+(_xlfn.XLOOKUP(AK$1,$R$2:$R$18,$U$2:$U$18-$N29)^2)))</f>
        <v/>
      </c>
      <c r="AL29" s="151" t="str">
        <f t="array" ref="AL29">IF(AL$1=0,"",SQRT((_xlfn.XLOOKUP(AL$1,$R$2:$R$18,$S$2:$S$18)-$L29)^2+(_xlfn.XLOOKUP(AL$1,$R$2:$R$18,$T$2:$T$18)-$M29)^2+(_xlfn.XLOOKUP(AL$1,$R$2:$R$18,$U$2:$U$18-$N29)^2)))</f>
        <v/>
      </c>
      <c r="AM29" s="151" t="str">
        <f t="array" ref="AM29">IF(AM$1=0,"",SQRT((_xlfn.XLOOKUP(AM$1,$R$2:$R$18,$S$2:$S$18)-$L29)^2+(_xlfn.XLOOKUP(AM$1,$R$2:$R$18,$T$2:$T$18)-$M29)^2+(_xlfn.XLOOKUP(AM$1,$R$2:$R$18,$U$2:$U$18-$N29)^2)))</f>
        <v/>
      </c>
      <c r="AN29" s="152" t="str">
        <f t="array" ref="AN29">IF(AN$1=0,"",SQRT((_xlfn.XLOOKUP(AN$1,$R$2:$R$18,$S$2:$S$18)-$L29)^2+(_xlfn.XLOOKUP(AN$1,$R$2:$R$18,$T$2:$T$18)-$M29)^2+(_xlfn.XLOOKUP(AN$1,$R$2:$R$18,$U$2:$U$18-$N29)^2)))</f>
        <v/>
      </c>
      <c r="AO29" s="134"/>
      <c r="AP29" s="134"/>
      <c r="AQ29" s="135">
        <f t="shared" si="4"/>
        <v>-41.519119964577712</v>
      </c>
      <c r="AR29" s="153">
        <f t="shared" si="5"/>
        <v>-36.227509848147307</v>
      </c>
      <c r="AS29" s="153">
        <f t="shared" si="6"/>
        <v>-30.238415774098335</v>
      </c>
      <c r="AT29" s="153">
        <f t="shared" si="7"/>
        <v>-41.495407050608833</v>
      </c>
      <c r="AU29" s="153">
        <f t="shared" si="8"/>
        <v>-45.612383635968108</v>
      </c>
      <c r="AV29" s="153">
        <f t="shared" si="9"/>
        <v>0</v>
      </c>
      <c r="AW29" s="153">
        <f t="shared" si="10"/>
        <v>0</v>
      </c>
      <c r="AX29" s="153">
        <f t="shared" si="11"/>
        <v>0</v>
      </c>
      <c r="AY29" s="154">
        <f t="shared" si="12"/>
        <v>0</v>
      </c>
      <c r="AZ29" s="154">
        <f t="shared" si="13"/>
        <v>0</v>
      </c>
      <c r="BA29" s="154">
        <f t="shared" si="14"/>
        <v>0</v>
      </c>
      <c r="BB29" s="154">
        <f t="shared" si="15"/>
        <v>0</v>
      </c>
      <c r="BC29" s="154">
        <f t="shared" si="16"/>
        <v>0</v>
      </c>
      <c r="BD29" s="154">
        <f t="shared" si="17"/>
        <v>0</v>
      </c>
      <c r="BE29" s="155">
        <f t="shared" si="18"/>
        <v>0</v>
      </c>
      <c r="BF29" s="134"/>
      <c r="BG29" s="40" t="s">
        <v>22</v>
      </c>
      <c r="BH29" s="21">
        <f>'Input LwA_XYZ'!BH8</f>
        <v>39.873783367019492</v>
      </c>
      <c r="BI29" s="21">
        <f>'Input LwA_XYZ'!BK5</f>
        <v>65</v>
      </c>
      <c r="BJ29" s="21" t="str">
        <f>"Barrier Location: X = " &amp; ROUND(BH28,1) &amp; " ft, Y = " &amp; ROUND(BI28,1) &amp; " ft"</f>
        <v>Barrier Location: X = 3.4 ft, Y = 75.4 ft</v>
      </c>
      <c r="BL29" s="134"/>
      <c r="BM29" s="134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34"/>
      <c r="CD29" s="134"/>
      <c r="CE29" s="156">
        <f t="shared" si="35"/>
        <v>15.480880035422288</v>
      </c>
      <c r="CF29" s="157">
        <f t="shared" si="36"/>
        <v>20.772490151852693</v>
      </c>
      <c r="CG29" s="157">
        <f t="shared" si="37"/>
        <v>26.761584225901665</v>
      </c>
      <c r="CH29" s="157">
        <f t="shared" si="38"/>
        <v>15.504592949391167</v>
      </c>
      <c r="CI29" s="157">
        <f t="shared" si="39"/>
        <v>11.387616364031892</v>
      </c>
      <c r="CJ29" s="157" t="str">
        <f t="shared" si="40"/>
        <v/>
      </c>
      <c r="CK29" s="157" t="str">
        <f t="shared" si="41"/>
        <v/>
      </c>
      <c r="CL29" s="157" t="str">
        <f t="shared" si="42"/>
        <v/>
      </c>
      <c r="CM29" s="158" t="str">
        <f t="shared" si="43"/>
        <v/>
      </c>
      <c r="CN29" s="158" t="str">
        <f t="shared" si="44"/>
        <v/>
      </c>
      <c r="CO29" s="158" t="str">
        <f t="shared" si="45"/>
        <v/>
      </c>
      <c r="CP29" s="158" t="str">
        <f t="shared" si="46"/>
        <v/>
      </c>
      <c r="CQ29" s="143" t="str">
        <f t="shared" si="47"/>
        <v/>
      </c>
      <c r="CR29" s="143" t="str">
        <f t="shared" si="48"/>
        <v/>
      </c>
      <c r="CS29" s="144" t="str">
        <f t="shared" si="49"/>
        <v/>
      </c>
    </row>
    <row r="30" spans="1:97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147" t="s">
        <v>141</v>
      </c>
      <c r="F30" s="4">
        <v>57.392737795737183</v>
      </c>
      <c r="G30" s="4">
        <v>0</v>
      </c>
      <c r="H30" s="3">
        <v>1</v>
      </c>
      <c r="I30" s="128">
        <f t="shared" si="34"/>
        <v>57</v>
      </c>
      <c r="J30" s="3">
        <v>2</v>
      </c>
      <c r="K30" s="3"/>
      <c r="L30" s="4">
        <v>219.58</v>
      </c>
      <c r="M30" s="4">
        <v>35.75</v>
      </c>
      <c r="N30" s="109">
        <f t="shared" si="3"/>
        <v>75</v>
      </c>
      <c r="O30" s="81">
        <v>73</v>
      </c>
      <c r="P30" s="148">
        <v>2</v>
      </c>
      <c r="R30" s="115" t="s">
        <v>167</v>
      </c>
      <c r="S30" s="113">
        <v>219.02</v>
      </c>
      <c r="T30" s="52">
        <v>47.74</v>
      </c>
      <c r="U30" s="106">
        <v>75.400000000000006</v>
      </c>
      <c r="V30" s="52">
        <v>233.1</v>
      </c>
      <c r="W30" s="52">
        <v>50.6</v>
      </c>
      <c r="X30" s="53">
        <v>75.400000000000006</v>
      </c>
      <c r="Z30" s="168">
        <f t="array" ref="Z30">IF(Z$1=0,"",SQRT((_xlfn.XLOOKUP(Z$1,$R$2:$R$18,$S$2:$S$18)-$L30)^2+(_xlfn.XLOOKUP(Z$1,$R$2:$R$18,$T$2:$T$18)-$M30)^2+(_xlfn.XLOOKUP(Z$1,$R$2:$R$18,$U$2:$U$18-$N30)^2)))</f>
        <v>193.11837535563518</v>
      </c>
      <c r="AA30" s="150">
        <f t="array" ref="AA30">IF(AA$1=0,"",SQRT((_xlfn.XLOOKUP(AA$1,$R$2:$R$18,$S$2:$S$18)-$L30)^2+(_xlfn.XLOOKUP(AA$1,$R$2:$R$18,$T$2:$T$18)-$M30)^2+(_xlfn.XLOOKUP(AA$1,$R$2:$R$18,$U$2:$U$18-$N30)^2)))</f>
        <v>121.36919708064316</v>
      </c>
      <c r="AB30" s="150">
        <f t="array" ref="AB30">IF(AB$1=0,"",SQRT((_xlfn.XLOOKUP(AB$1,$R$2:$R$18,$S$2:$S$18)-$L30)^2+(_xlfn.XLOOKUP(AB$1,$R$2:$R$18,$T$2:$T$18)-$M30)^2+(_xlfn.XLOOKUP(AB$1,$R$2:$R$18,$U$2:$U$18-$N30)^2)))</f>
        <v>20.178389430279118</v>
      </c>
      <c r="AC30" s="150">
        <f t="array" ref="AC30">IF(AC$1=0,"",SQRT((_xlfn.XLOOKUP(AC$1,$R$2:$R$18,$S$2:$S$18)-$L30)^2+(_xlfn.XLOOKUP(AC$1,$R$2:$R$18,$T$2:$T$18)-$M30)^2+(_xlfn.XLOOKUP(AC$1,$R$2:$R$18,$U$2:$U$18-$N30)^2)))</f>
        <v>115.191312172403</v>
      </c>
      <c r="AD30" s="150">
        <f t="array" ref="AD30">IF(AD$1=0,"",SQRT((_xlfn.XLOOKUP(AD$1,$R$2:$R$18,$S$2:$S$18)-$L30)^2+(_xlfn.XLOOKUP(AD$1,$R$2:$R$18,$T$2:$T$18)-$M30)^2+(_xlfn.XLOOKUP(AD$1,$R$2:$R$18,$U$2:$U$18-$N30)^2)))</f>
        <v>273.46134809146253</v>
      </c>
      <c r="AE30" s="150" t="str">
        <f t="array" ref="AE30">IF(AE$1=0,"",SQRT((_xlfn.XLOOKUP(AE$1,$R$2:$R$18,$S$2:$S$18)-$L30)^2+(_xlfn.XLOOKUP(AE$1,$R$2:$R$18,$T$2:$T$18)-$M30)^2+(_xlfn.XLOOKUP(AE$1,$R$2:$R$18,$U$2:$U$18-$N30)^2)))</f>
        <v/>
      </c>
      <c r="AF30" s="150" t="str">
        <f t="array" ref="AF30">IF(AF$1=0,"",SQRT((_xlfn.XLOOKUP(AF$1,$R$2:$R$18,$S$2:$S$18)-$L30)^2+(_xlfn.XLOOKUP(AF$1,$R$2:$R$18,$T$2:$T$18)-$M30)^2+(_xlfn.XLOOKUP(AF$1,$R$2:$R$18,$U$2:$U$18-$N30)^2)))</f>
        <v/>
      </c>
      <c r="AG30" s="150" t="str">
        <f t="array" ref="AG30">IF(AG$1=0,"",SQRT((_xlfn.XLOOKUP(AG$1,$R$2:$R$18,$S$2:$S$18)-$L30)^2+(_xlfn.XLOOKUP(AG$1,$R$2:$R$18,$T$2:$T$18)-$M30)^2+(_xlfn.XLOOKUP(AG$1,$R$2:$R$18,$U$2:$U$18-$N30)^2)))</f>
        <v/>
      </c>
      <c r="AH30" s="151" t="str">
        <f t="array" ref="AH30">IF(AH$1=0,"",SQRT((_xlfn.XLOOKUP(AH$1,$R$2:$R$18,$S$2:$S$18)-$L30)^2+(_xlfn.XLOOKUP(AH$1,$R$2:$R$18,$T$2:$T$18)-$M30)^2+(_xlfn.XLOOKUP(AH$1,$R$2:$R$18,$U$2:$U$18-$N30)^2)))</f>
        <v/>
      </c>
      <c r="AI30" s="151" t="str">
        <f t="array" ref="AI30">IF(AI$1=0,"",SQRT((_xlfn.XLOOKUP(AI$1,$R$2:$R$18,$S$2:$S$18)-$L30)^2+(_xlfn.XLOOKUP(AI$1,$R$2:$R$18,$T$2:$T$18)-$M30)^2+(_xlfn.XLOOKUP(AI$1,$R$2:$R$18,$U$2:$U$18-$N30)^2)))</f>
        <v/>
      </c>
      <c r="AJ30" s="151" t="str">
        <f t="array" ref="AJ30">IF(AJ$1=0,"",SQRT((_xlfn.XLOOKUP(AJ$1,$R$2:$R$18,$S$2:$S$18)-$L30)^2+(_xlfn.XLOOKUP(AJ$1,$R$2:$R$18,$T$2:$T$18)-$M30)^2+(_xlfn.XLOOKUP(AJ$1,$R$2:$R$18,$U$2:$U$18-$N30)^2)))</f>
        <v/>
      </c>
      <c r="AK30" s="151" t="str">
        <f t="array" ref="AK30">IF(AK$1=0,"",SQRT((_xlfn.XLOOKUP(AK$1,$R$2:$R$18,$S$2:$S$18)-$L30)^2+(_xlfn.XLOOKUP(AK$1,$R$2:$R$18,$T$2:$T$18)-$M30)^2+(_xlfn.XLOOKUP(AK$1,$R$2:$R$18,$U$2:$U$18-$N30)^2)))</f>
        <v/>
      </c>
      <c r="AL30" s="151" t="str">
        <f t="array" ref="AL30">IF(AL$1=0,"",SQRT((_xlfn.XLOOKUP(AL$1,$R$2:$R$18,$S$2:$S$18)-$L30)^2+(_xlfn.XLOOKUP(AL$1,$R$2:$R$18,$T$2:$T$18)-$M30)^2+(_xlfn.XLOOKUP(AL$1,$R$2:$R$18,$U$2:$U$18-$N30)^2)))</f>
        <v/>
      </c>
      <c r="AM30" s="151" t="str">
        <f t="array" ref="AM30">IF(AM$1=0,"",SQRT((_xlfn.XLOOKUP(AM$1,$R$2:$R$18,$S$2:$S$18)-$L30)^2+(_xlfn.XLOOKUP(AM$1,$R$2:$R$18,$T$2:$T$18)-$M30)^2+(_xlfn.XLOOKUP(AM$1,$R$2:$R$18,$U$2:$U$18-$N30)^2)))</f>
        <v/>
      </c>
      <c r="AN30" s="152" t="str">
        <f t="array" ref="AN30">IF(AN$1=0,"",SQRT((_xlfn.XLOOKUP(AN$1,$R$2:$R$18,$S$2:$S$18)-$L30)^2+(_xlfn.XLOOKUP(AN$1,$R$2:$R$18,$T$2:$T$18)-$M30)^2+(_xlfn.XLOOKUP(AN$1,$R$2:$R$18,$U$2:$U$18-$N30)^2)))</f>
        <v/>
      </c>
      <c r="AO30" s="134"/>
      <c r="AP30" s="134"/>
      <c r="AQ30" s="135">
        <f t="shared" si="4"/>
        <v>-43.37856992063805</v>
      </c>
      <c r="AR30" s="153">
        <f t="shared" si="5"/>
        <v>-39.344267514330525</v>
      </c>
      <c r="AS30" s="153">
        <f t="shared" si="6"/>
        <v>-23.759827924746016</v>
      </c>
      <c r="AT30" s="153">
        <f t="shared" si="7"/>
        <v>-38.890492446130118</v>
      </c>
      <c r="AU30" s="153">
        <f t="shared" si="8"/>
        <v>-46.400016945432725</v>
      </c>
      <c r="AV30" s="153">
        <f t="shared" si="9"/>
        <v>0</v>
      </c>
      <c r="AW30" s="153">
        <f t="shared" si="10"/>
        <v>0</v>
      </c>
      <c r="AX30" s="153">
        <f t="shared" si="11"/>
        <v>0</v>
      </c>
      <c r="AY30" s="154">
        <f t="shared" si="12"/>
        <v>0</v>
      </c>
      <c r="AZ30" s="154">
        <f t="shared" si="13"/>
        <v>0</v>
      </c>
      <c r="BA30" s="154">
        <f t="shared" si="14"/>
        <v>0</v>
      </c>
      <c r="BB30" s="154">
        <f t="shared" si="15"/>
        <v>0</v>
      </c>
      <c r="BC30" s="154">
        <f t="shared" si="16"/>
        <v>0</v>
      </c>
      <c r="BD30" s="154">
        <f t="shared" si="17"/>
        <v>0</v>
      </c>
      <c r="BE30" s="155">
        <f t="shared" si="18"/>
        <v>0</v>
      </c>
      <c r="BF30" s="134"/>
      <c r="BG30" s="40" t="s">
        <v>21</v>
      </c>
      <c r="BH30" s="21">
        <v>0</v>
      </c>
      <c r="BI30" s="21">
        <f>BI27</f>
        <v>75.5</v>
      </c>
      <c r="BJ30" s="21" t="str">
        <f>"Receiver Location: X = " &amp; ROUND(BH29,1) &amp; " ft, Y = " &amp; ROUND(BI29,1) &amp; " ft"</f>
        <v>Receiver Location: X = 39.9 ft, Y = 65 ft</v>
      </c>
      <c r="BL30" s="134"/>
      <c r="BM30" s="134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34"/>
      <c r="CD30" s="134"/>
      <c r="CE30" s="156">
        <f t="shared" si="35"/>
        <v>13.62143007936195</v>
      </c>
      <c r="CF30" s="157">
        <f t="shared" si="36"/>
        <v>17.655732485669475</v>
      </c>
      <c r="CG30" s="157">
        <f t="shared" si="37"/>
        <v>33.24017207525398</v>
      </c>
      <c r="CH30" s="157">
        <f t="shared" si="38"/>
        <v>18.109507553869882</v>
      </c>
      <c r="CI30" s="157">
        <f t="shared" si="39"/>
        <v>10.599983054567275</v>
      </c>
      <c r="CJ30" s="157" t="str">
        <f t="shared" si="40"/>
        <v/>
      </c>
      <c r="CK30" s="157" t="str">
        <f t="shared" si="41"/>
        <v/>
      </c>
      <c r="CL30" s="157" t="str">
        <f t="shared" si="42"/>
        <v/>
      </c>
      <c r="CM30" s="158" t="str">
        <f t="shared" si="43"/>
        <v/>
      </c>
      <c r="CN30" s="158" t="str">
        <f t="shared" si="44"/>
        <v/>
      </c>
      <c r="CO30" s="158" t="str">
        <f t="shared" si="45"/>
        <v/>
      </c>
      <c r="CP30" s="158" t="str">
        <f t="shared" si="46"/>
        <v/>
      </c>
      <c r="CQ30" s="143" t="str">
        <f t="shared" si="47"/>
        <v/>
      </c>
      <c r="CR30" s="143" t="str">
        <f t="shared" si="48"/>
        <v/>
      </c>
      <c r="CS30" s="144" t="str">
        <f t="shared" si="49"/>
        <v/>
      </c>
    </row>
    <row r="31" spans="1:97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147" t="s">
        <v>142</v>
      </c>
      <c r="F31" s="4">
        <v>65.873120921161103</v>
      </c>
      <c r="G31" s="4">
        <v>0</v>
      </c>
      <c r="H31" s="3">
        <v>1</v>
      </c>
      <c r="I31" s="128">
        <f t="shared" si="34"/>
        <v>66</v>
      </c>
      <c r="J31" s="3">
        <v>2</v>
      </c>
      <c r="K31" s="3"/>
      <c r="L31" s="4">
        <v>217.55</v>
      </c>
      <c r="M31" s="4">
        <v>62.52</v>
      </c>
      <c r="N31" s="109">
        <f t="shared" si="3"/>
        <v>75</v>
      </c>
      <c r="O31" s="81">
        <v>73</v>
      </c>
      <c r="P31" s="148">
        <v>2</v>
      </c>
      <c r="R31" s="115" t="s">
        <v>168</v>
      </c>
      <c r="S31" s="113">
        <v>219.34</v>
      </c>
      <c r="T31" s="52">
        <v>48.62</v>
      </c>
      <c r="U31" s="106">
        <v>75.400000000000006</v>
      </c>
      <c r="V31" s="52">
        <v>214.39</v>
      </c>
      <c r="W31" s="52">
        <v>74.8</v>
      </c>
      <c r="X31" s="53">
        <v>75.400000000000006</v>
      </c>
      <c r="Z31" s="168">
        <f t="array" ref="Z31">IF(Z$1=0,"",SQRT((_xlfn.XLOOKUP(Z$1,$R$2:$R$18,$S$2:$S$18)-$L31)^2+(_xlfn.XLOOKUP(Z$1,$R$2:$R$18,$T$2:$T$18)-$M31)^2+(_xlfn.XLOOKUP(Z$1,$R$2:$R$18,$U$2:$U$18-$N31)^2)))</f>
        <v>185.98129717796897</v>
      </c>
      <c r="AA31" s="150">
        <f t="array" ref="AA31">IF(AA$1=0,"",SQRT((_xlfn.XLOOKUP(AA$1,$R$2:$R$18,$S$2:$S$18)-$L31)^2+(_xlfn.XLOOKUP(AA$1,$R$2:$R$18,$T$2:$T$18)-$M31)^2+(_xlfn.XLOOKUP(AA$1,$R$2:$R$18,$U$2:$U$18-$N31)^2)))</f>
        <v>118.63071861874563</v>
      </c>
      <c r="AB31" s="150">
        <f t="array" ref="AB31">IF(AB$1=0,"",SQRT((_xlfn.XLOOKUP(AB$1,$R$2:$R$18,$S$2:$S$18)-$L31)^2+(_xlfn.XLOOKUP(AB$1,$R$2:$R$18,$T$2:$T$18)-$M31)^2+(_xlfn.XLOOKUP(AB$1,$R$2:$R$18,$U$2:$U$18-$N31)^2)))</f>
        <v>42.742157175322824</v>
      </c>
      <c r="AC31" s="150">
        <f t="array" ref="AC31">IF(AC$1=0,"",SQRT((_xlfn.XLOOKUP(AC$1,$R$2:$R$18,$S$2:$S$18)-$L31)^2+(_xlfn.XLOOKUP(AC$1,$R$2:$R$18,$T$2:$T$18)-$M31)^2+(_xlfn.XLOOKUP(AC$1,$R$2:$R$18,$U$2:$U$18-$N31)^2)))</f>
        <v>108.00424528693304</v>
      </c>
      <c r="AD31" s="150">
        <f t="array" ref="AD31">IF(AD$1=0,"",SQRT((_xlfn.XLOOKUP(AD$1,$R$2:$R$18,$S$2:$S$18)-$L31)^2+(_xlfn.XLOOKUP(AD$1,$R$2:$R$18,$T$2:$T$18)-$M31)^2+(_xlfn.XLOOKUP(AD$1,$R$2:$R$18,$U$2:$U$18-$N31)^2)))</f>
        <v>255.21312368293289</v>
      </c>
      <c r="AE31" s="150" t="str">
        <f t="array" ref="AE31">IF(AE$1=0,"",SQRT((_xlfn.XLOOKUP(AE$1,$R$2:$R$18,$S$2:$S$18)-$L31)^2+(_xlfn.XLOOKUP(AE$1,$R$2:$R$18,$T$2:$T$18)-$M31)^2+(_xlfn.XLOOKUP(AE$1,$R$2:$R$18,$U$2:$U$18-$N31)^2)))</f>
        <v/>
      </c>
      <c r="AF31" s="150" t="str">
        <f t="array" ref="AF31">IF(AF$1=0,"",SQRT((_xlfn.XLOOKUP(AF$1,$R$2:$R$18,$S$2:$S$18)-$L31)^2+(_xlfn.XLOOKUP(AF$1,$R$2:$R$18,$T$2:$T$18)-$M31)^2+(_xlfn.XLOOKUP(AF$1,$R$2:$R$18,$U$2:$U$18-$N31)^2)))</f>
        <v/>
      </c>
      <c r="AG31" s="150" t="str">
        <f t="array" ref="AG31">IF(AG$1=0,"",SQRT((_xlfn.XLOOKUP(AG$1,$R$2:$R$18,$S$2:$S$18)-$L31)^2+(_xlfn.XLOOKUP(AG$1,$R$2:$R$18,$T$2:$T$18)-$M31)^2+(_xlfn.XLOOKUP(AG$1,$R$2:$R$18,$U$2:$U$18-$N31)^2)))</f>
        <v/>
      </c>
      <c r="AH31" s="151" t="str">
        <f t="array" ref="AH31">IF(AH$1=0,"",SQRT((_xlfn.XLOOKUP(AH$1,$R$2:$R$18,$S$2:$S$18)-$L31)^2+(_xlfn.XLOOKUP(AH$1,$R$2:$R$18,$T$2:$T$18)-$M31)^2+(_xlfn.XLOOKUP(AH$1,$R$2:$R$18,$U$2:$U$18-$N31)^2)))</f>
        <v/>
      </c>
      <c r="AI31" s="151" t="str">
        <f t="array" ref="AI31">IF(AI$1=0,"",SQRT((_xlfn.XLOOKUP(AI$1,$R$2:$R$18,$S$2:$S$18)-$L31)^2+(_xlfn.XLOOKUP(AI$1,$R$2:$R$18,$T$2:$T$18)-$M31)^2+(_xlfn.XLOOKUP(AI$1,$R$2:$R$18,$U$2:$U$18-$N31)^2)))</f>
        <v/>
      </c>
      <c r="AJ31" s="151" t="str">
        <f t="array" ref="AJ31">IF(AJ$1=0,"",SQRT((_xlfn.XLOOKUP(AJ$1,$R$2:$R$18,$S$2:$S$18)-$L31)^2+(_xlfn.XLOOKUP(AJ$1,$R$2:$R$18,$T$2:$T$18)-$M31)^2+(_xlfn.XLOOKUP(AJ$1,$R$2:$R$18,$U$2:$U$18-$N31)^2)))</f>
        <v/>
      </c>
      <c r="AK31" s="151" t="str">
        <f t="array" ref="AK31">IF(AK$1=0,"",SQRT((_xlfn.XLOOKUP(AK$1,$R$2:$R$18,$S$2:$S$18)-$L31)^2+(_xlfn.XLOOKUP(AK$1,$R$2:$R$18,$T$2:$T$18)-$M31)^2+(_xlfn.XLOOKUP(AK$1,$R$2:$R$18,$U$2:$U$18-$N31)^2)))</f>
        <v/>
      </c>
      <c r="AL31" s="151" t="str">
        <f t="array" ref="AL31">IF(AL$1=0,"",SQRT((_xlfn.XLOOKUP(AL$1,$R$2:$R$18,$S$2:$S$18)-$L31)^2+(_xlfn.XLOOKUP(AL$1,$R$2:$R$18,$T$2:$T$18)-$M31)^2+(_xlfn.XLOOKUP(AL$1,$R$2:$R$18,$U$2:$U$18-$N31)^2)))</f>
        <v/>
      </c>
      <c r="AM31" s="151" t="str">
        <f t="array" ref="AM31">IF(AM$1=0,"",SQRT((_xlfn.XLOOKUP(AM$1,$R$2:$R$18,$S$2:$S$18)-$L31)^2+(_xlfn.XLOOKUP(AM$1,$R$2:$R$18,$T$2:$T$18)-$M31)^2+(_xlfn.XLOOKUP(AM$1,$R$2:$R$18,$U$2:$U$18-$N31)^2)))</f>
        <v/>
      </c>
      <c r="AN31" s="152" t="str">
        <f t="array" ref="AN31">IF(AN$1=0,"",SQRT((_xlfn.XLOOKUP(AN$1,$R$2:$R$18,$S$2:$S$18)-$L31)^2+(_xlfn.XLOOKUP(AN$1,$R$2:$R$18,$T$2:$T$18)-$M31)^2+(_xlfn.XLOOKUP(AN$1,$R$2:$R$18,$U$2:$U$18-$N31)^2)))</f>
        <v/>
      </c>
      <c r="AO31" s="134"/>
      <c r="AP31" s="134"/>
      <c r="AQ31" s="135">
        <f t="shared" si="4"/>
        <v>-43.051483386795766</v>
      </c>
      <c r="AR31" s="153">
        <f t="shared" si="5"/>
        <v>-39.146041160868727</v>
      </c>
      <c r="AS31" s="153">
        <f t="shared" si="6"/>
        <v>-30.27922667706742</v>
      </c>
      <c r="AT31" s="153">
        <f t="shared" si="7"/>
        <v>-38.330914466755416</v>
      </c>
      <c r="AU31" s="153">
        <f t="shared" si="8"/>
        <v>-45.800157999085378</v>
      </c>
      <c r="AV31" s="153">
        <f t="shared" si="9"/>
        <v>0</v>
      </c>
      <c r="AW31" s="153">
        <f t="shared" si="10"/>
        <v>0</v>
      </c>
      <c r="AX31" s="153">
        <f t="shared" si="11"/>
        <v>0</v>
      </c>
      <c r="AY31" s="154">
        <f t="shared" si="12"/>
        <v>0</v>
      </c>
      <c r="AZ31" s="154">
        <f t="shared" si="13"/>
        <v>0</v>
      </c>
      <c r="BA31" s="154">
        <f t="shared" si="14"/>
        <v>0</v>
      </c>
      <c r="BB31" s="154">
        <f t="shared" si="15"/>
        <v>0</v>
      </c>
      <c r="BC31" s="154">
        <f t="shared" si="16"/>
        <v>0</v>
      </c>
      <c r="BD31" s="154">
        <f t="shared" si="17"/>
        <v>0</v>
      </c>
      <c r="BE31" s="155">
        <f t="shared" si="18"/>
        <v>0</v>
      </c>
      <c r="BF31" s="134"/>
      <c r="BG31" s="40" t="s">
        <v>67</v>
      </c>
      <c r="BH31" s="21" t="e">
        <f>#REF!</f>
        <v>#REF!</v>
      </c>
      <c r="BI31" s="21">
        <v>3.28</v>
      </c>
      <c r="BJ31" s="21" t="str">
        <f>BG33</f>
        <v>KEF-R1  to R1</v>
      </c>
      <c r="BL31" s="134"/>
      <c r="BM31" s="134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34"/>
      <c r="CD31" s="134"/>
      <c r="CE31" s="156">
        <f t="shared" si="35"/>
        <v>22.948516613204234</v>
      </c>
      <c r="CF31" s="157">
        <f t="shared" si="36"/>
        <v>26.853958839131273</v>
      </c>
      <c r="CG31" s="157">
        <f t="shared" si="37"/>
        <v>35.72077332293258</v>
      </c>
      <c r="CH31" s="157">
        <f t="shared" si="38"/>
        <v>27.669085533244584</v>
      </c>
      <c r="CI31" s="157">
        <f t="shared" si="39"/>
        <v>20.199842000914622</v>
      </c>
      <c r="CJ31" s="157" t="str">
        <f t="shared" si="40"/>
        <v/>
      </c>
      <c r="CK31" s="157" t="str">
        <f t="shared" si="41"/>
        <v/>
      </c>
      <c r="CL31" s="157" t="str">
        <f t="shared" si="42"/>
        <v/>
      </c>
      <c r="CM31" s="158" t="str">
        <f t="shared" si="43"/>
        <v/>
      </c>
      <c r="CN31" s="158" t="str">
        <f t="shared" si="44"/>
        <v/>
      </c>
      <c r="CO31" s="158" t="str">
        <f t="shared" si="45"/>
        <v/>
      </c>
      <c r="CP31" s="158" t="str">
        <f t="shared" si="46"/>
        <v/>
      </c>
      <c r="CQ31" s="143" t="str">
        <f t="shared" si="47"/>
        <v/>
      </c>
      <c r="CR31" s="143" t="str">
        <f t="shared" si="48"/>
        <v/>
      </c>
      <c r="CS31" s="144" t="str">
        <f t="shared" si="49"/>
        <v/>
      </c>
    </row>
    <row r="32" spans="1:97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147" t="s">
        <v>142</v>
      </c>
      <c r="F32" s="4">
        <v>65.873120921161103</v>
      </c>
      <c r="G32" s="4">
        <v>0</v>
      </c>
      <c r="H32" s="3">
        <v>1</v>
      </c>
      <c r="I32" s="128">
        <f t="shared" si="34"/>
        <v>66</v>
      </c>
      <c r="J32" s="3">
        <v>2</v>
      </c>
      <c r="K32" s="3"/>
      <c r="L32" s="4">
        <v>214.65</v>
      </c>
      <c r="M32" s="4">
        <v>91.59</v>
      </c>
      <c r="N32" s="109">
        <f t="shared" si="3"/>
        <v>75</v>
      </c>
      <c r="O32" s="81">
        <v>73</v>
      </c>
      <c r="P32" s="148">
        <v>2</v>
      </c>
      <c r="R32" s="115" t="s">
        <v>169</v>
      </c>
      <c r="S32" s="113">
        <v>213.85</v>
      </c>
      <c r="T32" s="52">
        <v>75.13</v>
      </c>
      <c r="U32" s="106">
        <v>75.400000000000006</v>
      </c>
      <c r="V32" s="52">
        <v>227.71</v>
      </c>
      <c r="W32" s="52">
        <v>77.77</v>
      </c>
      <c r="X32" s="53">
        <v>75.400000000000006</v>
      </c>
      <c r="Z32" s="168">
        <f t="array" ref="Z32">IF(Z$1=0,"",SQRT((_xlfn.XLOOKUP(Z$1,$R$2:$R$18,$S$2:$S$18)-$L32)^2+(_xlfn.XLOOKUP(Z$1,$R$2:$R$18,$T$2:$T$18)-$M32)^2+(_xlfn.XLOOKUP(Z$1,$R$2:$R$18,$U$2:$U$18-$N32)^2)))</f>
        <v>181.74354954165497</v>
      </c>
      <c r="AA32" s="150">
        <f t="array" ref="AA32">IF(AA$1=0,"",SQRT((_xlfn.XLOOKUP(AA$1,$R$2:$R$18,$S$2:$S$18)-$L32)^2+(_xlfn.XLOOKUP(AA$1,$R$2:$R$18,$T$2:$T$18)-$M32)^2+(_xlfn.XLOOKUP(AA$1,$R$2:$R$18,$U$2:$U$18-$N32)^2)))</f>
        <v>121.81376482155045</v>
      </c>
      <c r="AB32" s="150">
        <f t="array" ref="AB32">IF(AB$1=0,"",SQRT((_xlfn.XLOOKUP(AB$1,$R$2:$R$18,$S$2:$S$18)-$L32)^2+(_xlfn.XLOOKUP(AB$1,$R$2:$R$18,$T$2:$T$18)-$M32)^2+(_xlfn.XLOOKUP(AB$1,$R$2:$R$18,$U$2:$U$18-$N32)^2)))</f>
        <v>70.738940478353229</v>
      </c>
      <c r="AC32" s="150">
        <f t="array" ref="AC32">IF(AC$1=0,"",SQRT((_xlfn.XLOOKUP(AC$1,$R$2:$R$18,$S$2:$S$18)-$L32)^2+(_xlfn.XLOOKUP(AC$1,$R$2:$R$18,$T$2:$T$18)-$M32)^2+(_xlfn.XLOOKUP(AC$1,$R$2:$R$18,$U$2:$U$18-$N32)^2)))</f>
        <v>108.15399067995595</v>
      </c>
      <c r="AD32" s="150">
        <f t="array" ref="AD32">IF(AD$1=0,"",SQRT((_xlfn.XLOOKUP(AD$1,$R$2:$R$18,$S$2:$S$18)-$L32)^2+(_xlfn.XLOOKUP(AD$1,$R$2:$R$18,$T$2:$T$18)-$M32)^2+(_xlfn.XLOOKUP(AD$1,$R$2:$R$18,$U$2:$U$18-$N32)^2)))</f>
        <v>236.66599671266678</v>
      </c>
      <c r="AE32" s="150" t="str">
        <f t="array" ref="AE32">IF(AE$1=0,"",SQRT((_xlfn.XLOOKUP(AE$1,$R$2:$R$18,$S$2:$S$18)-$L32)^2+(_xlfn.XLOOKUP(AE$1,$R$2:$R$18,$T$2:$T$18)-$M32)^2+(_xlfn.XLOOKUP(AE$1,$R$2:$R$18,$U$2:$U$18-$N32)^2)))</f>
        <v/>
      </c>
      <c r="AF32" s="150" t="str">
        <f t="array" ref="AF32">IF(AF$1=0,"",SQRT((_xlfn.XLOOKUP(AF$1,$R$2:$R$18,$S$2:$S$18)-$L32)^2+(_xlfn.XLOOKUP(AF$1,$R$2:$R$18,$T$2:$T$18)-$M32)^2+(_xlfn.XLOOKUP(AF$1,$R$2:$R$18,$U$2:$U$18-$N32)^2)))</f>
        <v/>
      </c>
      <c r="AG32" s="150" t="str">
        <f t="array" ref="AG32">IF(AG$1=0,"",SQRT((_xlfn.XLOOKUP(AG$1,$R$2:$R$18,$S$2:$S$18)-$L32)^2+(_xlfn.XLOOKUP(AG$1,$R$2:$R$18,$T$2:$T$18)-$M32)^2+(_xlfn.XLOOKUP(AG$1,$R$2:$R$18,$U$2:$U$18-$N32)^2)))</f>
        <v/>
      </c>
      <c r="AH32" s="151" t="str">
        <f t="array" ref="AH32">IF(AH$1=0,"",SQRT((_xlfn.XLOOKUP(AH$1,$R$2:$R$18,$S$2:$S$18)-$L32)^2+(_xlfn.XLOOKUP(AH$1,$R$2:$R$18,$T$2:$T$18)-$M32)^2+(_xlfn.XLOOKUP(AH$1,$R$2:$R$18,$U$2:$U$18-$N32)^2)))</f>
        <v/>
      </c>
      <c r="AI32" s="151" t="str">
        <f t="array" ref="AI32">IF(AI$1=0,"",SQRT((_xlfn.XLOOKUP(AI$1,$R$2:$R$18,$S$2:$S$18)-$L32)^2+(_xlfn.XLOOKUP(AI$1,$R$2:$R$18,$T$2:$T$18)-$M32)^2+(_xlfn.XLOOKUP(AI$1,$R$2:$R$18,$U$2:$U$18-$N32)^2)))</f>
        <v/>
      </c>
      <c r="AJ32" s="151" t="str">
        <f t="array" ref="AJ32">IF(AJ$1=0,"",SQRT((_xlfn.XLOOKUP(AJ$1,$R$2:$R$18,$S$2:$S$18)-$L32)^2+(_xlfn.XLOOKUP(AJ$1,$R$2:$R$18,$T$2:$T$18)-$M32)^2+(_xlfn.XLOOKUP(AJ$1,$R$2:$R$18,$U$2:$U$18-$N32)^2)))</f>
        <v/>
      </c>
      <c r="AK32" s="151" t="str">
        <f t="array" ref="AK32">IF(AK$1=0,"",SQRT((_xlfn.XLOOKUP(AK$1,$R$2:$R$18,$S$2:$S$18)-$L32)^2+(_xlfn.XLOOKUP(AK$1,$R$2:$R$18,$T$2:$T$18)-$M32)^2+(_xlfn.XLOOKUP(AK$1,$R$2:$R$18,$U$2:$U$18-$N32)^2)))</f>
        <v/>
      </c>
      <c r="AL32" s="151" t="str">
        <f t="array" ref="AL32">IF(AL$1=0,"",SQRT((_xlfn.XLOOKUP(AL$1,$R$2:$R$18,$S$2:$S$18)-$L32)^2+(_xlfn.XLOOKUP(AL$1,$R$2:$R$18,$T$2:$T$18)-$M32)^2+(_xlfn.XLOOKUP(AL$1,$R$2:$R$18,$U$2:$U$18-$N32)^2)))</f>
        <v/>
      </c>
      <c r="AM32" s="151" t="str">
        <f t="array" ref="AM32">IF(AM$1=0,"",SQRT((_xlfn.XLOOKUP(AM$1,$R$2:$R$18,$S$2:$S$18)-$L32)^2+(_xlfn.XLOOKUP(AM$1,$R$2:$R$18,$T$2:$T$18)-$M32)^2+(_xlfn.XLOOKUP(AM$1,$R$2:$R$18,$U$2:$U$18-$N32)^2)))</f>
        <v/>
      </c>
      <c r="AN32" s="152" t="str">
        <f t="array" ref="AN32">IF(AN$1=0,"",SQRT((_xlfn.XLOOKUP(AN$1,$R$2:$R$18,$S$2:$S$18)-$L32)^2+(_xlfn.XLOOKUP(AN$1,$R$2:$R$18,$T$2:$T$18)-$M32)^2+(_xlfn.XLOOKUP(AN$1,$R$2:$R$18,$U$2:$U$18-$N32)^2)))</f>
        <v/>
      </c>
      <c r="AO32" s="134"/>
      <c r="AP32" s="134"/>
      <c r="AQ32" s="135">
        <f t="shared" si="4"/>
        <v>-42.851278052651232</v>
      </c>
      <c r="AR32" s="153">
        <f t="shared" si="5"/>
        <v>-39.376025254310932</v>
      </c>
      <c r="AS32" s="153">
        <f t="shared" si="6"/>
        <v>-34.655268950988081</v>
      </c>
      <c r="AT32" s="153">
        <f t="shared" si="7"/>
        <v>-38.342948911428401</v>
      </c>
      <c r="AU32" s="153">
        <f t="shared" si="8"/>
        <v>-45.144815228942875</v>
      </c>
      <c r="AV32" s="153">
        <f t="shared" si="9"/>
        <v>0</v>
      </c>
      <c r="AW32" s="153">
        <f t="shared" si="10"/>
        <v>0</v>
      </c>
      <c r="AX32" s="153">
        <f t="shared" si="11"/>
        <v>0</v>
      </c>
      <c r="AY32" s="154">
        <f t="shared" si="12"/>
        <v>0</v>
      </c>
      <c r="AZ32" s="154">
        <f t="shared" si="13"/>
        <v>0</v>
      </c>
      <c r="BA32" s="154">
        <f t="shared" si="14"/>
        <v>0</v>
      </c>
      <c r="BB32" s="154">
        <f t="shared" si="15"/>
        <v>0</v>
      </c>
      <c r="BC32" s="154">
        <f t="shared" si="16"/>
        <v>0</v>
      </c>
      <c r="BD32" s="154">
        <f t="shared" si="17"/>
        <v>0</v>
      </c>
      <c r="BE32" s="155">
        <f t="shared" si="18"/>
        <v>0</v>
      </c>
      <c r="BF32" s="134"/>
      <c r="BG32" s="21"/>
      <c r="BH32" s="21"/>
      <c r="BI32" s="21"/>
      <c r="BJ32" s="21" t="str">
        <f>"Barrier Reduction per ARI: " &amp; 'Input LwA_XYZ'!BH46 &amp; " dB"</f>
        <v>Barrier Reduction per ARI: 1 dB</v>
      </c>
      <c r="BL32" s="134"/>
      <c r="BM32" s="134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34"/>
      <c r="CD32" s="134"/>
      <c r="CE32" s="156">
        <f t="shared" si="35"/>
        <v>23.148721947348768</v>
      </c>
      <c r="CF32" s="157">
        <f t="shared" si="36"/>
        <v>26.623974745689068</v>
      </c>
      <c r="CG32" s="157">
        <f t="shared" si="37"/>
        <v>31.344731049011919</v>
      </c>
      <c r="CH32" s="157">
        <f t="shared" si="38"/>
        <v>27.657051088571599</v>
      </c>
      <c r="CI32" s="157">
        <f t="shared" si="39"/>
        <v>20.855184771057125</v>
      </c>
      <c r="CJ32" s="157" t="str">
        <f t="shared" si="40"/>
        <v/>
      </c>
      <c r="CK32" s="157" t="str">
        <f t="shared" si="41"/>
        <v/>
      </c>
      <c r="CL32" s="157" t="str">
        <f t="shared" si="42"/>
        <v/>
      </c>
      <c r="CM32" s="158" t="str">
        <f t="shared" si="43"/>
        <v/>
      </c>
      <c r="CN32" s="158" t="str">
        <f t="shared" si="44"/>
        <v/>
      </c>
      <c r="CO32" s="158" t="str">
        <f t="shared" si="45"/>
        <v/>
      </c>
      <c r="CP32" s="158" t="str">
        <f t="shared" si="46"/>
        <v/>
      </c>
      <c r="CQ32" s="143" t="str">
        <f t="shared" si="47"/>
        <v/>
      </c>
      <c r="CR32" s="143" t="str">
        <f t="shared" si="48"/>
        <v/>
      </c>
      <c r="CS32" s="144" t="str">
        <f t="shared" si="49"/>
        <v/>
      </c>
    </row>
    <row r="33" spans="1:97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147" t="s">
        <v>142</v>
      </c>
      <c r="F33" s="4">
        <v>65.873120921161103</v>
      </c>
      <c r="G33" s="4">
        <v>0</v>
      </c>
      <c r="H33" s="3">
        <v>1</v>
      </c>
      <c r="I33" s="128">
        <f t="shared" si="34"/>
        <v>66</v>
      </c>
      <c r="J33" s="3">
        <v>2</v>
      </c>
      <c r="K33" s="3"/>
      <c r="L33" s="4">
        <v>207.15</v>
      </c>
      <c r="M33" s="4">
        <v>116.06</v>
      </c>
      <c r="N33" s="109">
        <f t="shared" si="3"/>
        <v>75</v>
      </c>
      <c r="O33" s="81">
        <v>73</v>
      </c>
      <c r="P33" s="148">
        <v>2</v>
      </c>
      <c r="R33" s="115" t="s">
        <v>170</v>
      </c>
      <c r="S33" s="113">
        <v>225.28</v>
      </c>
      <c r="T33" s="52">
        <v>90.65</v>
      </c>
      <c r="U33" s="106">
        <v>75.400000000000006</v>
      </c>
      <c r="V33" s="52">
        <v>227.92</v>
      </c>
      <c r="W33" s="52">
        <v>77.78</v>
      </c>
      <c r="X33" s="53">
        <v>75.400000000000006</v>
      </c>
      <c r="Z33" s="168">
        <f t="array" ref="Z33">IF(Z$1=0,"",SQRT((_xlfn.XLOOKUP(Z$1,$R$2:$R$18,$S$2:$S$18)-$L33)^2+(_xlfn.XLOOKUP(Z$1,$R$2:$R$18,$T$2:$T$18)-$M33)^2+(_xlfn.XLOOKUP(Z$1,$R$2:$R$18,$U$2:$U$18-$N33)^2)))</f>
        <v>176.79754098968684</v>
      </c>
      <c r="AA33" s="150">
        <f t="array" ref="AA33">IF(AA$1=0,"",SQRT((_xlfn.XLOOKUP(AA$1,$R$2:$R$18,$S$2:$S$18)-$L33)^2+(_xlfn.XLOOKUP(AA$1,$R$2:$R$18,$T$2:$T$18)-$M33)^2+(_xlfn.XLOOKUP(AA$1,$R$2:$R$18,$U$2:$U$18-$N33)^2)))</f>
        <v>125.47121183761637</v>
      </c>
      <c r="AB33" s="150">
        <f t="array" ref="AB33">IF(AB$1=0,"",SQRT((_xlfn.XLOOKUP(AB$1,$R$2:$R$18,$S$2:$S$18)-$L33)^2+(_xlfn.XLOOKUP(AB$1,$R$2:$R$18,$T$2:$T$18)-$M33)^2+(_xlfn.XLOOKUP(AB$1,$R$2:$R$18,$U$2:$U$18-$N33)^2)))</f>
        <v>95.266432703234997</v>
      </c>
      <c r="AC33" s="150">
        <f t="array" ref="AC33">IF(AC$1=0,"",SQRT((_xlfn.XLOOKUP(AC$1,$R$2:$R$18,$S$2:$S$18)-$L33)^2+(_xlfn.XLOOKUP(AC$1,$R$2:$R$18,$T$2:$T$18)-$M33)^2+(_xlfn.XLOOKUP(AC$1,$R$2:$R$18,$U$2:$U$18-$N33)^2)))</f>
        <v>118.87861119646378</v>
      </c>
      <c r="AD33" s="150">
        <f t="array" ref="AD33">IF(AD$1=0,"",SQRT((_xlfn.XLOOKUP(AD$1,$R$2:$R$18,$S$2:$S$18)-$L33)^2+(_xlfn.XLOOKUP(AD$1,$R$2:$R$18,$T$2:$T$18)-$M33)^2+(_xlfn.XLOOKUP(AD$1,$R$2:$R$18,$U$2:$U$18-$N33)^2)))</f>
        <v>218.35086283319333</v>
      </c>
      <c r="AE33" s="150" t="str">
        <f t="array" ref="AE33">IF(AE$1=0,"",SQRT((_xlfn.XLOOKUP(AE$1,$R$2:$R$18,$S$2:$S$18)-$L33)^2+(_xlfn.XLOOKUP(AE$1,$R$2:$R$18,$T$2:$T$18)-$M33)^2+(_xlfn.XLOOKUP(AE$1,$R$2:$R$18,$U$2:$U$18-$N33)^2)))</f>
        <v/>
      </c>
      <c r="AF33" s="150" t="str">
        <f t="array" ref="AF33">IF(AF$1=0,"",SQRT((_xlfn.XLOOKUP(AF$1,$R$2:$R$18,$S$2:$S$18)-$L33)^2+(_xlfn.XLOOKUP(AF$1,$R$2:$R$18,$T$2:$T$18)-$M33)^2+(_xlfn.XLOOKUP(AF$1,$R$2:$R$18,$U$2:$U$18-$N33)^2)))</f>
        <v/>
      </c>
      <c r="AG33" s="150" t="str">
        <f t="array" ref="AG33">IF(AG$1=0,"",SQRT((_xlfn.XLOOKUP(AG$1,$R$2:$R$18,$S$2:$S$18)-$L33)^2+(_xlfn.XLOOKUP(AG$1,$R$2:$R$18,$T$2:$T$18)-$M33)^2+(_xlfn.XLOOKUP(AG$1,$R$2:$R$18,$U$2:$U$18-$N33)^2)))</f>
        <v/>
      </c>
      <c r="AH33" s="151" t="str">
        <f t="array" ref="AH33">IF(AH$1=0,"",SQRT((_xlfn.XLOOKUP(AH$1,$R$2:$R$18,$S$2:$S$18)-$L33)^2+(_xlfn.XLOOKUP(AH$1,$R$2:$R$18,$T$2:$T$18)-$M33)^2+(_xlfn.XLOOKUP(AH$1,$R$2:$R$18,$U$2:$U$18-$N33)^2)))</f>
        <v/>
      </c>
      <c r="AI33" s="151" t="str">
        <f t="array" ref="AI33">IF(AI$1=0,"",SQRT((_xlfn.XLOOKUP(AI$1,$R$2:$R$18,$S$2:$S$18)-$L33)^2+(_xlfn.XLOOKUP(AI$1,$R$2:$R$18,$T$2:$T$18)-$M33)^2+(_xlfn.XLOOKUP(AI$1,$R$2:$R$18,$U$2:$U$18-$N33)^2)))</f>
        <v/>
      </c>
      <c r="AJ33" s="151" t="str">
        <f t="array" ref="AJ33">IF(AJ$1=0,"",SQRT((_xlfn.XLOOKUP(AJ$1,$R$2:$R$18,$S$2:$S$18)-$L33)^2+(_xlfn.XLOOKUP(AJ$1,$R$2:$R$18,$T$2:$T$18)-$M33)^2+(_xlfn.XLOOKUP(AJ$1,$R$2:$R$18,$U$2:$U$18-$N33)^2)))</f>
        <v/>
      </c>
      <c r="AK33" s="151" t="str">
        <f t="array" ref="AK33">IF(AK$1=0,"",SQRT((_xlfn.XLOOKUP(AK$1,$R$2:$R$18,$S$2:$S$18)-$L33)^2+(_xlfn.XLOOKUP(AK$1,$R$2:$R$18,$T$2:$T$18)-$M33)^2+(_xlfn.XLOOKUP(AK$1,$R$2:$R$18,$U$2:$U$18-$N33)^2)))</f>
        <v/>
      </c>
      <c r="AL33" s="151" t="str">
        <f t="array" ref="AL33">IF(AL$1=0,"",SQRT((_xlfn.XLOOKUP(AL$1,$R$2:$R$18,$S$2:$S$18)-$L33)^2+(_xlfn.XLOOKUP(AL$1,$R$2:$R$18,$T$2:$T$18)-$M33)^2+(_xlfn.XLOOKUP(AL$1,$R$2:$R$18,$U$2:$U$18-$N33)^2)))</f>
        <v/>
      </c>
      <c r="AM33" s="151" t="str">
        <f t="array" ref="AM33">IF(AM$1=0,"",SQRT((_xlfn.XLOOKUP(AM$1,$R$2:$R$18,$S$2:$S$18)-$L33)^2+(_xlfn.XLOOKUP(AM$1,$R$2:$R$18,$T$2:$T$18)-$M33)^2+(_xlfn.XLOOKUP(AM$1,$R$2:$R$18,$U$2:$U$18-$N33)^2)))</f>
        <v/>
      </c>
      <c r="AN33" s="152" t="str">
        <f t="array" ref="AN33">IF(AN$1=0,"",SQRT((_xlfn.XLOOKUP(AN$1,$R$2:$R$18,$S$2:$S$18)-$L33)^2+(_xlfn.XLOOKUP(AN$1,$R$2:$R$18,$T$2:$T$18)-$M33)^2+(_xlfn.XLOOKUP(AN$1,$R$2:$R$18,$U$2:$U$18-$N33)^2)))</f>
        <v/>
      </c>
      <c r="AO33" s="134"/>
      <c r="AP33" s="134"/>
      <c r="AQ33" s="135">
        <f t="shared" si="4"/>
        <v>-42.611622342550788</v>
      </c>
      <c r="AR33" s="153">
        <f t="shared" si="5"/>
        <v>-39.6329797880542</v>
      </c>
      <c r="AS33" s="153">
        <f t="shared" si="6"/>
        <v>-37.240896000115697</v>
      </c>
      <c r="AT33" s="153">
        <f t="shared" si="7"/>
        <v>-39.164172392645419</v>
      </c>
      <c r="AU33" s="153">
        <f t="shared" si="8"/>
        <v>-44.445196185226301</v>
      </c>
      <c r="AV33" s="153">
        <f t="shared" si="9"/>
        <v>0</v>
      </c>
      <c r="AW33" s="153">
        <f t="shared" si="10"/>
        <v>0</v>
      </c>
      <c r="AX33" s="153">
        <f t="shared" si="11"/>
        <v>0</v>
      </c>
      <c r="AY33" s="154">
        <f t="shared" si="12"/>
        <v>0</v>
      </c>
      <c r="AZ33" s="154">
        <f t="shared" si="13"/>
        <v>0</v>
      </c>
      <c r="BA33" s="154">
        <f t="shared" si="14"/>
        <v>0</v>
      </c>
      <c r="BB33" s="154">
        <f t="shared" si="15"/>
        <v>0</v>
      </c>
      <c r="BC33" s="154">
        <f t="shared" si="16"/>
        <v>0</v>
      </c>
      <c r="BD33" s="154">
        <f t="shared" si="17"/>
        <v>0</v>
      </c>
      <c r="BE33" s="155">
        <f t="shared" si="18"/>
        <v>0</v>
      </c>
      <c r="BF33" s="134"/>
      <c r="BG33" s="48" t="str">
        <f>_xlfn.TEXTJOIN(" to ",TRUE,'Input LwA_XYZ'!BH4:BH5)</f>
        <v>KEF-R1  to R1</v>
      </c>
      <c r="BH33" s="21"/>
      <c r="BI33" s="21"/>
      <c r="BJ33" s="21"/>
      <c r="BK33" s="21"/>
      <c r="BL33" s="134"/>
      <c r="BM33" s="134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34"/>
      <c r="CD33" s="134"/>
      <c r="CE33" s="156">
        <f t="shared" si="35"/>
        <v>23.388377657449212</v>
      </c>
      <c r="CF33" s="157">
        <f t="shared" si="36"/>
        <v>26.3670202119458</v>
      </c>
      <c r="CG33" s="157">
        <f t="shared" si="37"/>
        <v>28.759103999884303</v>
      </c>
      <c r="CH33" s="157">
        <f t="shared" si="38"/>
        <v>26.835827607354581</v>
      </c>
      <c r="CI33" s="157">
        <f t="shared" si="39"/>
        <v>21.554803814773699</v>
      </c>
      <c r="CJ33" s="157" t="str">
        <f t="shared" si="40"/>
        <v/>
      </c>
      <c r="CK33" s="157" t="str">
        <f t="shared" si="41"/>
        <v/>
      </c>
      <c r="CL33" s="157" t="str">
        <f t="shared" si="42"/>
        <v/>
      </c>
      <c r="CM33" s="158" t="str">
        <f t="shared" si="43"/>
        <v/>
      </c>
      <c r="CN33" s="158" t="str">
        <f t="shared" si="44"/>
        <v/>
      </c>
      <c r="CO33" s="158" t="str">
        <f t="shared" si="45"/>
        <v/>
      </c>
      <c r="CP33" s="158" t="str">
        <f t="shared" si="46"/>
        <v/>
      </c>
      <c r="CQ33" s="143" t="str">
        <f t="shared" si="47"/>
        <v/>
      </c>
      <c r="CR33" s="143" t="str">
        <f t="shared" si="48"/>
        <v/>
      </c>
      <c r="CS33" s="144" t="str">
        <f t="shared" si="49"/>
        <v/>
      </c>
    </row>
    <row r="34" spans="1:97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147" t="s">
        <v>142</v>
      </c>
      <c r="F34" s="4">
        <v>65.873120921161103</v>
      </c>
      <c r="G34" s="4">
        <v>0</v>
      </c>
      <c r="H34" s="3">
        <v>1</v>
      </c>
      <c r="I34" s="128">
        <f t="shared" si="34"/>
        <v>66</v>
      </c>
      <c r="J34" s="3">
        <v>2</v>
      </c>
      <c r="K34" s="3"/>
      <c r="L34" s="4">
        <v>137.30000000000001</v>
      </c>
      <c r="M34" s="4">
        <v>136.91999999999999</v>
      </c>
      <c r="N34" s="109">
        <f t="shared" ref="N34:N58" si="50">SUM(O34:P34)</f>
        <v>75</v>
      </c>
      <c r="O34" s="81">
        <v>73</v>
      </c>
      <c r="P34" s="148">
        <v>2</v>
      </c>
      <c r="R34" s="115" t="s">
        <v>185</v>
      </c>
      <c r="S34" s="113">
        <v>209.12</v>
      </c>
      <c r="T34" s="52">
        <v>88.44</v>
      </c>
      <c r="U34" s="106">
        <v>75.400000000000006</v>
      </c>
      <c r="V34" s="52">
        <v>224.19</v>
      </c>
      <c r="W34" s="52">
        <v>91.3</v>
      </c>
      <c r="X34" s="53">
        <v>75.400000000000006</v>
      </c>
      <c r="Z34" s="168">
        <f t="array" ref="Z34">IF(Z$1=0,"",SQRT((_xlfn.XLOOKUP(Z$1,$R$2:$R$18,$S$2:$S$18)-$L34)^2+(_xlfn.XLOOKUP(Z$1,$R$2:$R$18,$T$2:$T$18)-$M34)^2+(_xlfn.XLOOKUP(Z$1,$R$2:$R$18,$U$2:$U$18-$N34)^2)))</f>
        <v>116.41241514546462</v>
      </c>
      <c r="AA34" s="150">
        <f t="array" ref="AA34">IF(AA$1=0,"",SQRT((_xlfn.XLOOKUP(AA$1,$R$2:$R$18,$S$2:$S$18)-$L34)^2+(_xlfn.XLOOKUP(AA$1,$R$2:$R$18,$T$2:$T$18)-$M34)^2+(_xlfn.XLOOKUP(AA$1,$R$2:$R$18,$U$2:$U$18-$N34)^2)))</f>
        <v>96.820477689381377</v>
      </c>
      <c r="AB34" s="150">
        <f t="array" ref="AB34">IF(AB$1=0,"",SQRT((_xlfn.XLOOKUP(AB$1,$R$2:$R$18,$S$2:$S$18)-$L34)^2+(_xlfn.XLOOKUP(AB$1,$R$2:$R$18,$T$2:$T$18)-$M34)^2+(_xlfn.XLOOKUP(AB$1,$R$2:$R$18,$U$2:$U$18-$N34)^2)))</f>
        <v>140.25198929070487</v>
      </c>
      <c r="AC34" s="150">
        <f t="array" ref="AC34">IF(AC$1=0,"",SQRT((_xlfn.XLOOKUP(AC$1,$R$2:$R$18,$S$2:$S$18)-$L34)^2+(_xlfn.XLOOKUP(AC$1,$R$2:$R$18,$T$2:$T$18)-$M34)^2+(_xlfn.XLOOKUP(AC$1,$R$2:$R$18,$U$2:$U$18-$N34)^2)))</f>
        <v>189.74701710435397</v>
      </c>
      <c r="AD34" s="150">
        <f t="array" ref="AD34">IF(AD$1=0,"",SQRT((_xlfn.XLOOKUP(AD$1,$R$2:$R$18,$S$2:$S$18)-$L34)^2+(_xlfn.XLOOKUP(AD$1,$R$2:$R$18,$T$2:$T$18)-$M34)^2+(_xlfn.XLOOKUP(AD$1,$R$2:$R$18,$U$2:$U$18-$N34)^2)))</f>
        <v>148.19370094575547</v>
      </c>
      <c r="AE34" s="150" t="str">
        <f t="array" ref="AE34">IF(AE$1=0,"",SQRT((_xlfn.XLOOKUP(AE$1,$R$2:$R$18,$S$2:$S$18)-$L34)^2+(_xlfn.XLOOKUP(AE$1,$R$2:$R$18,$T$2:$T$18)-$M34)^2+(_xlfn.XLOOKUP(AE$1,$R$2:$R$18,$U$2:$U$18-$N34)^2)))</f>
        <v/>
      </c>
      <c r="AF34" s="150" t="str">
        <f t="array" ref="AF34">IF(AF$1=0,"",SQRT((_xlfn.XLOOKUP(AF$1,$R$2:$R$18,$S$2:$S$18)-$L34)^2+(_xlfn.XLOOKUP(AF$1,$R$2:$R$18,$T$2:$T$18)-$M34)^2+(_xlfn.XLOOKUP(AF$1,$R$2:$R$18,$U$2:$U$18-$N34)^2)))</f>
        <v/>
      </c>
      <c r="AG34" s="150" t="str">
        <f t="array" ref="AG34">IF(AG$1=0,"",SQRT((_xlfn.XLOOKUP(AG$1,$R$2:$R$18,$S$2:$S$18)-$L34)^2+(_xlfn.XLOOKUP(AG$1,$R$2:$R$18,$T$2:$T$18)-$M34)^2+(_xlfn.XLOOKUP(AG$1,$R$2:$R$18,$U$2:$U$18-$N34)^2)))</f>
        <v/>
      </c>
      <c r="AH34" s="151" t="str">
        <f t="array" ref="AH34">IF(AH$1=0,"",SQRT((_xlfn.XLOOKUP(AH$1,$R$2:$R$18,$S$2:$S$18)-$L34)^2+(_xlfn.XLOOKUP(AH$1,$R$2:$R$18,$T$2:$T$18)-$M34)^2+(_xlfn.XLOOKUP(AH$1,$R$2:$R$18,$U$2:$U$18-$N34)^2)))</f>
        <v/>
      </c>
      <c r="AI34" s="151" t="str">
        <f t="array" ref="AI34">IF(AI$1=0,"",SQRT((_xlfn.XLOOKUP(AI$1,$R$2:$R$18,$S$2:$S$18)-$L34)^2+(_xlfn.XLOOKUP(AI$1,$R$2:$R$18,$T$2:$T$18)-$M34)^2+(_xlfn.XLOOKUP(AI$1,$R$2:$R$18,$U$2:$U$18-$N34)^2)))</f>
        <v/>
      </c>
      <c r="AJ34" s="151" t="str">
        <f t="array" ref="AJ34">IF(AJ$1=0,"",SQRT((_xlfn.XLOOKUP(AJ$1,$R$2:$R$18,$S$2:$S$18)-$L34)^2+(_xlfn.XLOOKUP(AJ$1,$R$2:$R$18,$T$2:$T$18)-$M34)^2+(_xlfn.XLOOKUP(AJ$1,$R$2:$R$18,$U$2:$U$18-$N34)^2)))</f>
        <v/>
      </c>
      <c r="AK34" s="151" t="str">
        <f t="array" ref="AK34">IF(AK$1=0,"",SQRT((_xlfn.XLOOKUP(AK$1,$R$2:$R$18,$S$2:$S$18)-$L34)^2+(_xlfn.XLOOKUP(AK$1,$R$2:$R$18,$T$2:$T$18)-$M34)^2+(_xlfn.XLOOKUP(AK$1,$R$2:$R$18,$U$2:$U$18-$N34)^2)))</f>
        <v/>
      </c>
      <c r="AL34" s="151" t="str">
        <f t="array" ref="AL34">IF(AL$1=0,"",SQRT((_xlfn.XLOOKUP(AL$1,$R$2:$R$18,$S$2:$S$18)-$L34)^2+(_xlfn.XLOOKUP(AL$1,$R$2:$R$18,$T$2:$T$18)-$M34)^2+(_xlfn.XLOOKUP(AL$1,$R$2:$R$18,$U$2:$U$18-$N34)^2)))</f>
        <v/>
      </c>
      <c r="AM34" s="151" t="str">
        <f t="array" ref="AM34">IF(AM$1=0,"",SQRT((_xlfn.XLOOKUP(AM$1,$R$2:$R$18,$S$2:$S$18)-$L34)^2+(_xlfn.XLOOKUP(AM$1,$R$2:$R$18,$T$2:$T$18)-$M34)^2+(_xlfn.XLOOKUP(AM$1,$R$2:$R$18,$U$2:$U$18-$N34)^2)))</f>
        <v/>
      </c>
      <c r="AN34" s="152" t="str">
        <f t="array" ref="AN34">IF(AN$1=0,"",SQRT((_xlfn.XLOOKUP(AN$1,$R$2:$R$18,$S$2:$S$18)-$L34)^2+(_xlfn.XLOOKUP(AN$1,$R$2:$R$18,$T$2:$T$18)-$M34)^2+(_xlfn.XLOOKUP(AN$1,$R$2:$R$18,$U$2:$U$18-$N34)^2)))</f>
        <v/>
      </c>
      <c r="AO34" s="134"/>
      <c r="AP34" s="134"/>
      <c r="AQ34" s="135">
        <f t="shared" ref="AQ34:AQ58" si="51">IFERROR(-ABS(10*LOG10(($J34/(4*PI()*CONVERT(Z34,"ft","m")^2)))),0)</f>
        <v>-38.982083924935459</v>
      </c>
      <c r="AR34" s="153">
        <f t="shared" ref="AR34:AR58" si="52">IFERROR(-ABS(10*LOG10(($J34/(4*PI()*CONVERT(AA34,"ft","m")^2)))),0)</f>
        <v>-37.381442357264618</v>
      </c>
      <c r="AS34" s="153">
        <f t="shared" ref="AS34:AS58" si="53">IFERROR(-ABS(10*LOG10(($J34/(4*PI()*CONVERT(AB34,"ft","m")^2)))),0)</f>
        <v>-40.600278534334045</v>
      </c>
      <c r="AT34" s="153">
        <f t="shared" ref="AT34:AT58" si="54">IFERROR(-ABS(10*LOG10(($J34/(4*PI()*CONVERT(AC34,"ft","m")^2)))),0)</f>
        <v>-43.225597083850445</v>
      </c>
      <c r="AU34" s="153">
        <f t="shared" ref="AU34:AU58" si="55">IFERROR(-ABS(10*LOG10(($J34/(4*PI()*CONVERT(AD34,"ft","m")^2)))),0)</f>
        <v>-41.078692819159073</v>
      </c>
      <c r="AV34" s="153">
        <f t="shared" ref="AV34:AV58" si="56">IFERROR(-ABS(10*LOG10(($J34/(4*PI()*CONVERT(AE34,"ft","m")^2)))),0)</f>
        <v>0</v>
      </c>
      <c r="AW34" s="153">
        <f t="shared" ref="AW34:AW58" si="57">IFERROR(-ABS(10*LOG10(($J34/(4*PI()*CONVERT(AF34,"ft","m")^2)))),0)</f>
        <v>0</v>
      </c>
      <c r="AX34" s="153">
        <f t="shared" ref="AX34:AX58" si="58">IFERROR(-ABS(10*LOG10(($J34/(4*PI()*CONVERT(AG34,"ft","m")^2)))),0)</f>
        <v>0</v>
      </c>
      <c r="AY34" s="154">
        <f t="shared" ref="AY34:AY58" si="59">IFERROR(-ABS(10*LOG10(($J34/(4*PI()*CONVERT(AH34,"ft","m")^2)))),0)</f>
        <v>0</v>
      </c>
      <c r="AZ34" s="154">
        <f t="shared" ref="AZ34:AZ58" si="60">IFERROR(-ABS(10*LOG10(($J34/(4*PI()*CONVERT(AI34,"ft","m")^2)))),0)</f>
        <v>0</v>
      </c>
      <c r="BA34" s="154">
        <f t="shared" ref="BA34:BA58" si="61">IFERROR(-ABS(10*LOG10(($J34/(4*PI()*CONVERT(AJ34,"ft","m")^2)))),0)</f>
        <v>0</v>
      </c>
      <c r="BB34" s="154">
        <f t="shared" ref="BB34:BB58" si="62">IFERROR(-ABS(10*LOG10(($J34/(4*PI()*CONVERT(AK34,"ft","m")^2)))),0)</f>
        <v>0</v>
      </c>
      <c r="BC34" s="154">
        <f t="shared" ref="BC34:BC58" si="63">IFERROR(-ABS(10*LOG10(($J34/(4*PI()*CONVERT(AL34,"ft","m")^2)))),0)</f>
        <v>0</v>
      </c>
      <c r="BD34" s="154">
        <f t="shared" ref="BD34:BD58" si="64">IFERROR(-ABS(10*LOG10(($J34/(4*PI()*CONVERT(AM34,"ft","m")^2)))),0)</f>
        <v>0</v>
      </c>
      <c r="BE34" s="155">
        <f t="shared" ref="BE34:BE58" si="65">IFERROR(-ABS(10*LOG10(($J34/(4*PI()*CONVERT(AN34,"ft","m")^2)))),0)</f>
        <v>0</v>
      </c>
      <c r="BF34" s="134"/>
      <c r="BG34" s="134"/>
      <c r="BH34" s="134"/>
      <c r="BI34" s="134"/>
      <c r="BJ34" s="134"/>
      <c r="BK34" s="134"/>
      <c r="BL34" s="134"/>
      <c r="BM34" s="134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34"/>
      <c r="CD34" s="134"/>
      <c r="CE34" s="156">
        <f t="shared" si="35"/>
        <v>27.017916075064541</v>
      </c>
      <c r="CF34" s="157">
        <f t="shared" si="36"/>
        <v>28.618557642735382</v>
      </c>
      <c r="CG34" s="157">
        <f t="shared" si="37"/>
        <v>25.399721465665955</v>
      </c>
      <c r="CH34" s="157">
        <f t="shared" si="38"/>
        <v>22.774402916149555</v>
      </c>
      <c r="CI34" s="157">
        <f t="shared" si="39"/>
        <v>24.921307180840927</v>
      </c>
      <c r="CJ34" s="157" t="str">
        <f t="shared" si="40"/>
        <v/>
      </c>
      <c r="CK34" s="157" t="str">
        <f t="shared" si="41"/>
        <v/>
      </c>
      <c r="CL34" s="157" t="str">
        <f t="shared" si="42"/>
        <v/>
      </c>
      <c r="CM34" s="158" t="str">
        <f t="shared" si="43"/>
        <v/>
      </c>
      <c r="CN34" s="158" t="str">
        <f t="shared" si="44"/>
        <v/>
      </c>
      <c r="CO34" s="158" t="str">
        <f t="shared" si="45"/>
        <v/>
      </c>
      <c r="CP34" s="158" t="str">
        <f t="shared" si="46"/>
        <v/>
      </c>
      <c r="CQ34" s="143" t="str">
        <f t="shared" si="47"/>
        <v/>
      </c>
      <c r="CR34" s="143" t="str">
        <f t="shared" si="48"/>
        <v/>
      </c>
      <c r="CS34" s="144" t="str">
        <f t="shared" si="49"/>
        <v/>
      </c>
    </row>
    <row r="35" spans="1:97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147" t="s">
        <v>142</v>
      </c>
      <c r="F35" s="4">
        <v>65.873120921161103</v>
      </c>
      <c r="G35" s="4">
        <v>0</v>
      </c>
      <c r="H35" s="3">
        <v>1</v>
      </c>
      <c r="I35" s="128">
        <f t="shared" si="34"/>
        <v>66</v>
      </c>
      <c r="J35" s="3">
        <v>2</v>
      </c>
      <c r="K35" s="3"/>
      <c r="L35" s="4">
        <v>97.17</v>
      </c>
      <c r="M35" s="4">
        <v>127.06</v>
      </c>
      <c r="N35" s="109">
        <f t="shared" si="50"/>
        <v>75</v>
      </c>
      <c r="O35" s="81">
        <v>73</v>
      </c>
      <c r="P35" s="148">
        <v>2</v>
      </c>
      <c r="R35" s="115" t="s">
        <v>186</v>
      </c>
      <c r="S35" s="113">
        <v>209.22</v>
      </c>
      <c r="T35" s="52">
        <v>88.44</v>
      </c>
      <c r="U35" s="106">
        <v>75.400000000000006</v>
      </c>
      <c r="V35" s="52">
        <v>200.97</v>
      </c>
      <c r="W35" s="52">
        <v>131.56</v>
      </c>
      <c r="X35" s="53">
        <v>75.400000000000006</v>
      </c>
      <c r="Z35" s="168">
        <f t="array" ref="Z35">IF(Z$1=0,"",SQRT((_xlfn.XLOOKUP(Z$1,$R$2:$R$18,$S$2:$S$18)-$L35)^2+(_xlfn.XLOOKUP(Z$1,$R$2:$R$18,$T$2:$T$18)-$M35)^2+(_xlfn.XLOOKUP(Z$1,$R$2:$R$18,$U$2:$U$18-$N35)^2)))</f>
        <v>76.806286852053972</v>
      </c>
      <c r="AA35" s="150">
        <f t="array" ref="AA35">IF(AA$1=0,"",SQRT((_xlfn.XLOOKUP(AA$1,$R$2:$R$18,$S$2:$S$18)-$L35)^2+(_xlfn.XLOOKUP(AA$1,$R$2:$R$18,$T$2:$T$18)-$M35)^2+(_xlfn.XLOOKUP(AA$1,$R$2:$R$18,$U$2:$U$18-$N35)^2)))</f>
        <v>82.459120781148272</v>
      </c>
      <c r="AB35" s="150">
        <f t="array" ref="AB35">IF(AB$1=0,"",SQRT((_xlfn.XLOOKUP(AB$1,$R$2:$R$18,$S$2:$S$18)-$L35)^2+(_xlfn.XLOOKUP(AB$1,$R$2:$R$18,$T$2:$T$18)-$M35)^2+(_xlfn.XLOOKUP(AB$1,$R$2:$R$18,$U$2:$U$18-$N35)^2)))</f>
        <v>159.74798652878226</v>
      </c>
      <c r="AC35" s="150">
        <f t="array" ref="AC35">IF(AC$1=0,"",SQRT((_xlfn.XLOOKUP(AC$1,$R$2:$R$18,$S$2:$S$18)-$L35)^2+(_xlfn.XLOOKUP(AC$1,$R$2:$R$18,$T$2:$T$18)-$M35)^2+(_xlfn.XLOOKUP(AC$1,$R$2:$R$18,$U$2:$U$18-$N35)^2)))</f>
        <v>226.11889836986205</v>
      </c>
      <c r="AD35" s="150">
        <f t="array" ref="AD35">IF(AD$1=0,"",SQRT((_xlfn.XLOOKUP(AD$1,$R$2:$R$18,$S$2:$S$18)-$L35)^2+(_xlfn.XLOOKUP(AD$1,$R$2:$R$18,$T$2:$T$18)-$M35)^2+(_xlfn.XLOOKUP(AD$1,$R$2:$R$18,$U$2:$U$18-$N35)^2)))</f>
        <v>123.72581177749453</v>
      </c>
      <c r="AE35" s="150" t="str">
        <f t="array" ref="AE35">IF(AE$1=0,"",SQRT((_xlfn.XLOOKUP(AE$1,$R$2:$R$18,$S$2:$S$18)-$L35)^2+(_xlfn.XLOOKUP(AE$1,$R$2:$R$18,$T$2:$T$18)-$M35)^2+(_xlfn.XLOOKUP(AE$1,$R$2:$R$18,$U$2:$U$18-$N35)^2)))</f>
        <v/>
      </c>
      <c r="AF35" s="150" t="str">
        <f t="array" ref="AF35">IF(AF$1=0,"",SQRT((_xlfn.XLOOKUP(AF$1,$R$2:$R$18,$S$2:$S$18)-$L35)^2+(_xlfn.XLOOKUP(AF$1,$R$2:$R$18,$T$2:$T$18)-$M35)^2+(_xlfn.XLOOKUP(AF$1,$R$2:$R$18,$U$2:$U$18-$N35)^2)))</f>
        <v/>
      </c>
      <c r="AG35" s="150" t="str">
        <f t="array" ref="AG35">IF(AG$1=0,"",SQRT((_xlfn.XLOOKUP(AG$1,$R$2:$R$18,$S$2:$S$18)-$L35)^2+(_xlfn.XLOOKUP(AG$1,$R$2:$R$18,$T$2:$T$18)-$M35)^2+(_xlfn.XLOOKUP(AG$1,$R$2:$R$18,$U$2:$U$18-$N35)^2)))</f>
        <v/>
      </c>
      <c r="AH35" s="151" t="str">
        <f t="array" ref="AH35">IF(AH$1=0,"",SQRT((_xlfn.XLOOKUP(AH$1,$R$2:$R$18,$S$2:$S$18)-$L35)^2+(_xlfn.XLOOKUP(AH$1,$R$2:$R$18,$T$2:$T$18)-$M35)^2+(_xlfn.XLOOKUP(AH$1,$R$2:$R$18,$U$2:$U$18-$N35)^2)))</f>
        <v/>
      </c>
      <c r="AI35" s="151" t="str">
        <f t="array" ref="AI35">IF(AI$1=0,"",SQRT((_xlfn.XLOOKUP(AI$1,$R$2:$R$18,$S$2:$S$18)-$L35)^2+(_xlfn.XLOOKUP(AI$1,$R$2:$R$18,$T$2:$T$18)-$M35)^2+(_xlfn.XLOOKUP(AI$1,$R$2:$R$18,$U$2:$U$18-$N35)^2)))</f>
        <v/>
      </c>
      <c r="AJ35" s="151" t="str">
        <f t="array" ref="AJ35">IF(AJ$1=0,"",SQRT((_xlfn.XLOOKUP(AJ$1,$R$2:$R$18,$S$2:$S$18)-$L35)^2+(_xlfn.XLOOKUP(AJ$1,$R$2:$R$18,$T$2:$T$18)-$M35)^2+(_xlfn.XLOOKUP(AJ$1,$R$2:$R$18,$U$2:$U$18-$N35)^2)))</f>
        <v/>
      </c>
      <c r="AK35" s="151" t="str">
        <f t="array" ref="AK35">IF(AK$1=0,"",SQRT((_xlfn.XLOOKUP(AK$1,$R$2:$R$18,$S$2:$S$18)-$L35)^2+(_xlfn.XLOOKUP(AK$1,$R$2:$R$18,$T$2:$T$18)-$M35)^2+(_xlfn.XLOOKUP(AK$1,$R$2:$R$18,$U$2:$U$18-$N35)^2)))</f>
        <v/>
      </c>
      <c r="AL35" s="151" t="str">
        <f t="array" ref="AL35">IF(AL$1=0,"",SQRT((_xlfn.XLOOKUP(AL$1,$R$2:$R$18,$S$2:$S$18)-$L35)^2+(_xlfn.XLOOKUP(AL$1,$R$2:$R$18,$T$2:$T$18)-$M35)^2+(_xlfn.XLOOKUP(AL$1,$R$2:$R$18,$U$2:$U$18-$N35)^2)))</f>
        <v/>
      </c>
      <c r="AM35" s="151" t="str">
        <f t="array" ref="AM35">IF(AM$1=0,"",SQRT((_xlfn.XLOOKUP(AM$1,$R$2:$R$18,$S$2:$S$18)-$L35)^2+(_xlfn.XLOOKUP(AM$1,$R$2:$R$18,$T$2:$T$18)-$M35)^2+(_xlfn.XLOOKUP(AM$1,$R$2:$R$18,$U$2:$U$18-$N35)^2)))</f>
        <v/>
      </c>
      <c r="AN35" s="152" t="str">
        <f t="array" ref="AN35">IF(AN$1=0,"",SQRT((_xlfn.XLOOKUP(AN$1,$R$2:$R$18,$S$2:$S$18)-$L35)^2+(_xlfn.XLOOKUP(AN$1,$R$2:$R$18,$T$2:$T$18)-$M35)^2+(_xlfn.XLOOKUP(AN$1,$R$2:$R$18,$U$2:$U$18-$N35)^2)))</f>
        <v/>
      </c>
      <c r="AO35" s="134"/>
      <c r="AP35" s="134"/>
      <c r="AQ35" s="135">
        <f t="shared" si="51"/>
        <v>-35.370033335846131</v>
      </c>
      <c r="AR35" s="153">
        <f t="shared" si="52"/>
        <v>-35.986871933595161</v>
      </c>
      <c r="AS35" s="153">
        <f t="shared" si="53"/>
        <v>-41.730805796865099</v>
      </c>
      <c r="AT35" s="153">
        <f t="shared" si="54"/>
        <v>-44.748835155954644</v>
      </c>
      <c r="AU35" s="153">
        <f t="shared" si="55"/>
        <v>-39.511304175778726</v>
      </c>
      <c r="AV35" s="153">
        <f t="shared" si="56"/>
        <v>0</v>
      </c>
      <c r="AW35" s="153">
        <f t="shared" si="57"/>
        <v>0</v>
      </c>
      <c r="AX35" s="153">
        <f t="shared" si="58"/>
        <v>0</v>
      </c>
      <c r="AY35" s="154">
        <f t="shared" si="59"/>
        <v>0</v>
      </c>
      <c r="AZ35" s="154">
        <f t="shared" si="60"/>
        <v>0</v>
      </c>
      <c r="BA35" s="154">
        <f t="shared" si="61"/>
        <v>0</v>
      </c>
      <c r="BB35" s="154">
        <f t="shared" si="62"/>
        <v>0</v>
      </c>
      <c r="BC35" s="154">
        <f t="shared" si="63"/>
        <v>0</v>
      </c>
      <c r="BD35" s="154">
        <f t="shared" si="64"/>
        <v>0</v>
      </c>
      <c r="BE35" s="155">
        <f t="shared" si="65"/>
        <v>0</v>
      </c>
      <c r="BF35" s="134"/>
      <c r="BG35" s="134"/>
      <c r="BH35" s="134"/>
      <c r="BI35" s="134"/>
      <c r="BJ35" s="134"/>
      <c r="BK35" s="134"/>
      <c r="BL35" s="134"/>
      <c r="BM35" s="134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34"/>
      <c r="CD35" s="134"/>
      <c r="CE35" s="156">
        <f t="shared" si="35"/>
        <v>30.629966664153869</v>
      </c>
      <c r="CF35" s="157">
        <f t="shared" si="36"/>
        <v>30.013128066404839</v>
      </c>
      <c r="CG35" s="157">
        <f t="shared" si="37"/>
        <v>24.269194203134901</v>
      </c>
      <c r="CH35" s="157">
        <f t="shared" si="38"/>
        <v>21.251164844045356</v>
      </c>
      <c r="CI35" s="157">
        <f t="shared" si="39"/>
        <v>26.488695824221274</v>
      </c>
      <c r="CJ35" s="157" t="str">
        <f t="shared" si="40"/>
        <v/>
      </c>
      <c r="CK35" s="157" t="str">
        <f t="shared" si="41"/>
        <v/>
      </c>
      <c r="CL35" s="157" t="str">
        <f t="shared" si="42"/>
        <v/>
      </c>
      <c r="CM35" s="158" t="str">
        <f t="shared" si="43"/>
        <v/>
      </c>
      <c r="CN35" s="158" t="str">
        <f t="shared" si="44"/>
        <v/>
      </c>
      <c r="CO35" s="158" t="str">
        <f t="shared" si="45"/>
        <v/>
      </c>
      <c r="CP35" s="158" t="str">
        <f t="shared" si="46"/>
        <v/>
      </c>
      <c r="CQ35" s="143" t="str">
        <f t="shared" si="47"/>
        <v/>
      </c>
      <c r="CR35" s="143" t="str">
        <f t="shared" si="48"/>
        <v/>
      </c>
      <c r="CS35" s="144" t="str">
        <f t="shared" si="49"/>
        <v/>
      </c>
    </row>
    <row r="36" spans="1:97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147" t="s">
        <v>142</v>
      </c>
      <c r="F36" s="4">
        <v>65.873120921161103</v>
      </c>
      <c r="G36" s="4">
        <v>0</v>
      </c>
      <c r="H36" s="3">
        <v>1</v>
      </c>
      <c r="I36" s="128">
        <f t="shared" si="34"/>
        <v>66</v>
      </c>
      <c r="J36" s="3">
        <v>2</v>
      </c>
      <c r="K36" s="3"/>
      <c r="L36" s="4">
        <v>71.17</v>
      </c>
      <c r="M36" s="4">
        <v>121.81</v>
      </c>
      <c r="N36" s="109">
        <f t="shared" si="50"/>
        <v>75</v>
      </c>
      <c r="O36" s="81">
        <v>73</v>
      </c>
      <c r="P36" s="148">
        <v>2</v>
      </c>
      <c r="R36" s="115" t="s">
        <v>187</v>
      </c>
      <c r="S36" s="113">
        <v>176.66</v>
      </c>
      <c r="T36" s="52">
        <v>127.16</v>
      </c>
      <c r="U36" s="106">
        <v>75.400000000000006</v>
      </c>
      <c r="V36" s="52">
        <v>200.64</v>
      </c>
      <c r="W36" s="52">
        <v>132</v>
      </c>
      <c r="X36" s="53">
        <v>75.400000000000006</v>
      </c>
      <c r="Z36" s="168">
        <f t="array" ref="Z36">IF(Z$1=0,"",SQRT((_xlfn.XLOOKUP(Z$1,$R$2:$R$18,$S$2:$S$18)-$L36)^2+(_xlfn.XLOOKUP(Z$1,$R$2:$R$18,$T$2:$T$18)-$M36)^2+(_xlfn.XLOOKUP(Z$1,$R$2:$R$18,$U$2:$U$18-$N36)^2)))</f>
        <v>53.341992838663238</v>
      </c>
      <c r="AA36" s="150">
        <f t="array" ref="AA36">IF(AA$1=0,"",SQRT((_xlfn.XLOOKUP(AA$1,$R$2:$R$18,$S$2:$S$18)-$L36)^2+(_xlfn.XLOOKUP(AA$1,$R$2:$R$18,$T$2:$T$18)-$M36)^2+(_xlfn.XLOOKUP(AA$1,$R$2:$R$18,$U$2:$U$18-$N36)^2)))</f>
        <v>84.323330697974683</v>
      </c>
      <c r="AB36" s="150">
        <f t="array" ref="AB36">IF(AB$1=0,"",SQRT((_xlfn.XLOOKUP(AB$1,$R$2:$R$18,$S$2:$S$18)-$L36)^2+(_xlfn.XLOOKUP(AB$1,$R$2:$R$18,$T$2:$T$18)-$M36)^2+(_xlfn.XLOOKUP(AB$1,$R$2:$R$18,$U$2:$U$18-$N36)^2)))</f>
        <v>177.07846198789957</v>
      </c>
      <c r="AC36" s="150">
        <f t="array" ref="AC36">IF(AC$1=0,"",SQRT((_xlfn.XLOOKUP(AC$1,$R$2:$R$18,$S$2:$S$18)-$L36)^2+(_xlfn.XLOOKUP(AC$1,$R$2:$R$18,$T$2:$T$18)-$M36)^2+(_xlfn.XLOOKUP(AC$1,$R$2:$R$18,$U$2:$U$18-$N36)^2)))</f>
        <v>250.66280876907129</v>
      </c>
      <c r="AD36" s="150">
        <f t="array" ref="AD36">IF(AD$1=0,"",SQRT((_xlfn.XLOOKUP(AD$1,$R$2:$R$18,$S$2:$S$18)-$L36)^2+(_xlfn.XLOOKUP(AD$1,$R$2:$R$18,$T$2:$T$18)-$M36)^2+(_xlfn.XLOOKUP(AD$1,$R$2:$R$18,$U$2:$U$18-$N36)^2)))</f>
        <v>112.29356170324282</v>
      </c>
      <c r="AE36" s="150" t="str">
        <f t="array" ref="AE36">IF(AE$1=0,"",SQRT((_xlfn.XLOOKUP(AE$1,$R$2:$R$18,$S$2:$S$18)-$L36)^2+(_xlfn.XLOOKUP(AE$1,$R$2:$R$18,$T$2:$T$18)-$M36)^2+(_xlfn.XLOOKUP(AE$1,$R$2:$R$18,$U$2:$U$18-$N36)^2)))</f>
        <v/>
      </c>
      <c r="AF36" s="150" t="str">
        <f t="array" ref="AF36">IF(AF$1=0,"",SQRT((_xlfn.XLOOKUP(AF$1,$R$2:$R$18,$S$2:$S$18)-$L36)^2+(_xlfn.XLOOKUP(AF$1,$R$2:$R$18,$T$2:$T$18)-$M36)^2+(_xlfn.XLOOKUP(AF$1,$R$2:$R$18,$U$2:$U$18-$N36)^2)))</f>
        <v/>
      </c>
      <c r="AG36" s="150" t="str">
        <f t="array" ref="AG36">IF(AG$1=0,"",SQRT((_xlfn.XLOOKUP(AG$1,$R$2:$R$18,$S$2:$S$18)-$L36)^2+(_xlfn.XLOOKUP(AG$1,$R$2:$R$18,$T$2:$T$18)-$M36)^2+(_xlfn.XLOOKUP(AG$1,$R$2:$R$18,$U$2:$U$18-$N36)^2)))</f>
        <v/>
      </c>
      <c r="AH36" s="151" t="str">
        <f t="array" ref="AH36">IF(AH$1=0,"",SQRT((_xlfn.XLOOKUP(AH$1,$R$2:$R$18,$S$2:$S$18)-$L36)^2+(_xlfn.XLOOKUP(AH$1,$R$2:$R$18,$T$2:$T$18)-$M36)^2+(_xlfn.XLOOKUP(AH$1,$R$2:$R$18,$U$2:$U$18-$N36)^2)))</f>
        <v/>
      </c>
      <c r="AI36" s="151" t="str">
        <f t="array" ref="AI36">IF(AI$1=0,"",SQRT((_xlfn.XLOOKUP(AI$1,$R$2:$R$18,$S$2:$S$18)-$L36)^2+(_xlfn.XLOOKUP(AI$1,$R$2:$R$18,$T$2:$T$18)-$M36)^2+(_xlfn.XLOOKUP(AI$1,$R$2:$R$18,$U$2:$U$18-$N36)^2)))</f>
        <v/>
      </c>
      <c r="AJ36" s="151" t="str">
        <f t="array" ref="AJ36">IF(AJ$1=0,"",SQRT((_xlfn.XLOOKUP(AJ$1,$R$2:$R$18,$S$2:$S$18)-$L36)^2+(_xlfn.XLOOKUP(AJ$1,$R$2:$R$18,$T$2:$T$18)-$M36)^2+(_xlfn.XLOOKUP(AJ$1,$R$2:$R$18,$U$2:$U$18-$N36)^2)))</f>
        <v/>
      </c>
      <c r="AK36" s="151" t="str">
        <f t="array" ref="AK36">IF(AK$1=0,"",SQRT((_xlfn.XLOOKUP(AK$1,$R$2:$R$18,$S$2:$S$18)-$L36)^2+(_xlfn.XLOOKUP(AK$1,$R$2:$R$18,$T$2:$T$18)-$M36)^2+(_xlfn.XLOOKUP(AK$1,$R$2:$R$18,$U$2:$U$18-$N36)^2)))</f>
        <v/>
      </c>
      <c r="AL36" s="151" t="str">
        <f t="array" ref="AL36">IF(AL$1=0,"",SQRT((_xlfn.XLOOKUP(AL$1,$R$2:$R$18,$S$2:$S$18)-$L36)^2+(_xlfn.XLOOKUP(AL$1,$R$2:$R$18,$T$2:$T$18)-$M36)^2+(_xlfn.XLOOKUP(AL$1,$R$2:$R$18,$U$2:$U$18-$N36)^2)))</f>
        <v/>
      </c>
      <c r="AM36" s="151" t="str">
        <f t="array" ref="AM36">IF(AM$1=0,"",SQRT((_xlfn.XLOOKUP(AM$1,$R$2:$R$18,$S$2:$S$18)-$L36)^2+(_xlfn.XLOOKUP(AM$1,$R$2:$R$18,$T$2:$T$18)-$M36)^2+(_xlfn.XLOOKUP(AM$1,$R$2:$R$18,$U$2:$U$18-$N36)^2)))</f>
        <v/>
      </c>
      <c r="AN36" s="152" t="str">
        <f t="array" ref="AN36">IF(AN$1=0,"",SQRT((_xlfn.XLOOKUP(AN$1,$R$2:$R$18,$S$2:$S$18)-$L36)^2+(_xlfn.XLOOKUP(AN$1,$R$2:$R$18,$T$2:$T$18)-$M36)^2+(_xlfn.XLOOKUP(AN$1,$R$2:$R$18,$U$2:$U$18-$N36)^2)))</f>
        <v/>
      </c>
      <c r="AO36" s="134"/>
      <c r="AP36" s="134"/>
      <c r="AQ36" s="135">
        <f t="shared" si="51"/>
        <v>-32.203482671946404</v>
      </c>
      <c r="AR36" s="153">
        <f t="shared" si="52"/>
        <v>-36.181052986138432</v>
      </c>
      <c r="AS36" s="153">
        <f t="shared" si="53"/>
        <v>-42.625412762243108</v>
      </c>
      <c r="AT36" s="153">
        <f t="shared" si="54"/>
        <v>-45.643895972733915</v>
      </c>
      <c r="AU36" s="153">
        <f t="shared" si="55"/>
        <v>-38.669195075178486</v>
      </c>
      <c r="AV36" s="153">
        <f t="shared" si="56"/>
        <v>0</v>
      </c>
      <c r="AW36" s="153">
        <f t="shared" si="57"/>
        <v>0</v>
      </c>
      <c r="AX36" s="153">
        <f t="shared" si="58"/>
        <v>0</v>
      </c>
      <c r="AY36" s="154">
        <f t="shared" si="59"/>
        <v>0</v>
      </c>
      <c r="AZ36" s="154">
        <f t="shared" si="60"/>
        <v>0</v>
      </c>
      <c r="BA36" s="154">
        <f t="shared" si="61"/>
        <v>0</v>
      </c>
      <c r="BB36" s="154">
        <f t="shared" si="62"/>
        <v>0</v>
      </c>
      <c r="BC36" s="154">
        <f t="shared" si="63"/>
        <v>0</v>
      </c>
      <c r="BD36" s="154">
        <f t="shared" si="64"/>
        <v>0</v>
      </c>
      <c r="BE36" s="155">
        <f t="shared" si="65"/>
        <v>0</v>
      </c>
      <c r="BF36" s="134"/>
      <c r="BG36" s="134"/>
      <c r="BH36" s="134"/>
      <c r="BI36" s="134"/>
      <c r="BJ36" s="134"/>
      <c r="BK36" s="134"/>
      <c r="BL36" s="134"/>
      <c r="BM36" s="134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34"/>
      <c r="CD36" s="134"/>
      <c r="CE36" s="156">
        <f t="shared" si="35"/>
        <v>33.796517328053596</v>
      </c>
      <c r="CF36" s="157">
        <f t="shared" si="36"/>
        <v>29.818947013861568</v>
      </c>
      <c r="CG36" s="157">
        <f t="shared" si="37"/>
        <v>23.374587237756892</v>
      </c>
      <c r="CH36" s="157">
        <f t="shared" si="38"/>
        <v>20.356104027266085</v>
      </c>
      <c r="CI36" s="157">
        <f t="shared" si="39"/>
        <v>27.330804924821514</v>
      </c>
      <c r="CJ36" s="157" t="str">
        <f t="shared" si="40"/>
        <v/>
      </c>
      <c r="CK36" s="157" t="str">
        <f t="shared" si="41"/>
        <v/>
      </c>
      <c r="CL36" s="157" t="str">
        <f t="shared" si="42"/>
        <v/>
      </c>
      <c r="CM36" s="158" t="str">
        <f t="shared" si="43"/>
        <v/>
      </c>
      <c r="CN36" s="158" t="str">
        <f t="shared" si="44"/>
        <v/>
      </c>
      <c r="CO36" s="158" t="str">
        <f t="shared" si="45"/>
        <v/>
      </c>
      <c r="CP36" s="158" t="str">
        <f t="shared" si="46"/>
        <v/>
      </c>
      <c r="CQ36" s="143" t="str">
        <f t="shared" si="47"/>
        <v/>
      </c>
      <c r="CR36" s="143" t="str">
        <f t="shared" si="48"/>
        <v/>
      </c>
      <c r="CS36" s="144" t="str">
        <f t="shared" si="49"/>
        <v/>
      </c>
    </row>
    <row r="37" spans="1:97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147" t="s">
        <v>141</v>
      </c>
      <c r="F37" s="4">
        <v>57.392737795737183</v>
      </c>
      <c r="G37" s="4">
        <v>0</v>
      </c>
      <c r="H37" s="3">
        <v>1</v>
      </c>
      <c r="I37" s="128">
        <f t="shared" si="34"/>
        <v>57</v>
      </c>
      <c r="J37" s="3">
        <v>2</v>
      </c>
      <c r="K37" s="3"/>
      <c r="L37" s="4">
        <v>46.64</v>
      </c>
      <c r="M37" s="4">
        <v>122.14</v>
      </c>
      <c r="N37" s="109">
        <f t="shared" si="50"/>
        <v>75</v>
      </c>
      <c r="O37" s="81">
        <v>73</v>
      </c>
      <c r="P37" s="148">
        <v>2</v>
      </c>
      <c r="R37" s="115" t="s">
        <v>188</v>
      </c>
      <c r="S37" s="113">
        <v>176.77</v>
      </c>
      <c r="T37" s="52">
        <v>127.38</v>
      </c>
      <c r="U37" s="106">
        <v>75.400000000000006</v>
      </c>
      <c r="V37" s="52">
        <v>173.91</v>
      </c>
      <c r="W37" s="52">
        <v>142.34</v>
      </c>
      <c r="X37" s="53">
        <v>75.400000000000006</v>
      </c>
      <c r="Z37" s="168">
        <f t="array" ref="Z37">IF(Z$1=0,"",SQRT((_xlfn.XLOOKUP(Z$1,$R$2:$R$18,$S$2:$S$18)-$L37)^2+(_xlfn.XLOOKUP(Z$1,$R$2:$R$18,$T$2:$T$18)-$M37)^2+(_xlfn.XLOOKUP(Z$1,$R$2:$R$18,$U$2:$U$18-$N37)^2)))</f>
        <v>40.152210399926922</v>
      </c>
      <c r="AA37" s="150">
        <f t="array" ref="AA37">IF(AA$1=0,"",SQRT((_xlfn.XLOOKUP(AA$1,$R$2:$R$18,$S$2:$S$18)-$L37)^2+(_xlfn.XLOOKUP(AA$1,$R$2:$R$18,$T$2:$T$18)-$M37)^2+(_xlfn.XLOOKUP(AA$1,$R$2:$R$18,$U$2:$U$18-$N37)^2)))</f>
        <v>96.947807092270025</v>
      </c>
      <c r="AB37" s="150">
        <f t="array" ref="AB37">IF(AB$1=0,"",SQRT((_xlfn.XLOOKUP(AB$1,$R$2:$R$18,$S$2:$S$18)-$L37)^2+(_xlfn.XLOOKUP(AB$1,$R$2:$R$18,$T$2:$T$18)-$M37)^2+(_xlfn.XLOOKUP(AB$1,$R$2:$R$18,$U$2:$U$18-$N37)^2)))</f>
        <v>197.9370266018968</v>
      </c>
      <c r="AC37" s="150">
        <f t="array" ref="AC37">IF(AC$1=0,"",SQRT((_xlfn.XLOOKUP(AC$1,$R$2:$R$18,$S$2:$S$18)-$L37)^2+(_xlfn.XLOOKUP(AC$1,$R$2:$R$18,$T$2:$T$18)-$M37)^2+(_xlfn.XLOOKUP(AC$1,$R$2:$R$18,$U$2:$U$18-$N37)^2)))</f>
        <v>274.79173295425034</v>
      </c>
      <c r="AD37" s="150">
        <f t="array" ref="AD37">IF(AD$1=0,"",SQRT((_xlfn.XLOOKUP(AD$1,$R$2:$R$18,$S$2:$S$18)-$L37)^2+(_xlfn.XLOOKUP(AD$1,$R$2:$R$18,$T$2:$T$18)-$M37)^2+(_xlfn.XLOOKUP(AD$1,$R$2:$R$18,$U$2:$U$18-$N37)^2)))</f>
        <v>101.7716276768727</v>
      </c>
      <c r="AE37" s="150" t="str">
        <f t="array" ref="AE37">IF(AE$1=0,"",SQRT((_xlfn.XLOOKUP(AE$1,$R$2:$R$18,$S$2:$S$18)-$L37)^2+(_xlfn.XLOOKUP(AE$1,$R$2:$R$18,$T$2:$T$18)-$M37)^2+(_xlfn.XLOOKUP(AE$1,$R$2:$R$18,$U$2:$U$18-$N37)^2)))</f>
        <v/>
      </c>
      <c r="AF37" s="150" t="str">
        <f t="array" ref="AF37">IF(AF$1=0,"",SQRT((_xlfn.XLOOKUP(AF$1,$R$2:$R$18,$S$2:$S$18)-$L37)^2+(_xlfn.XLOOKUP(AF$1,$R$2:$R$18,$T$2:$T$18)-$M37)^2+(_xlfn.XLOOKUP(AF$1,$R$2:$R$18,$U$2:$U$18-$N37)^2)))</f>
        <v/>
      </c>
      <c r="AG37" s="150" t="str">
        <f t="array" ref="AG37">IF(AG$1=0,"",SQRT((_xlfn.XLOOKUP(AG$1,$R$2:$R$18,$S$2:$S$18)-$L37)^2+(_xlfn.XLOOKUP(AG$1,$R$2:$R$18,$T$2:$T$18)-$M37)^2+(_xlfn.XLOOKUP(AG$1,$R$2:$R$18,$U$2:$U$18-$N37)^2)))</f>
        <v/>
      </c>
      <c r="AH37" s="151" t="str">
        <f t="array" ref="AH37">IF(AH$1=0,"",SQRT((_xlfn.XLOOKUP(AH$1,$R$2:$R$18,$S$2:$S$18)-$L37)^2+(_xlfn.XLOOKUP(AH$1,$R$2:$R$18,$T$2:$T$18)-$M37)^2+(_xlfn.XLOOKUP(AH$1,$R$2:$R$18,$U$2:$U$18-$N37)^2)))</f>
        <v/>
      </c>
      <c r="AI37" s="151" t="str">
        <f t="array" ref="AI37">IF(AI$1=0,"",SQRT((_xlfn.XLOOKUP(AI$1,$R$2:$R$18,$S$2:$S$18)-$L37)^2+(_xlfn.XLOOKUP(AI$1,$R$2:$R$18,$T$2:$T$18)-$M37)^2+(_xlfn.XLOOKUP(AI$1,$R$2:$R$18,$U$2:$U$18-$N37)^2)))</f>
        <v/>
      </c>
      <c r="AJ37" s="151" t="str">
        <f t="array" ref="AJ37">IF(AJ$1=0,"",SQRT((_xlfn.XLOOKUP(AJ$1,$R$2:$R$18,$S$2:$S$18)-$L37)^2+(_xlfn.XLOOKUP(AJ$1,$R$2:$R$18,$T$2:$T$18)-$M37)^2+(_xlfn.XLOOKUP(AJ$1,$R$2:$R$18,$U$2:$U$18-$N37)^2)))</f>
        <v/>
      </c>
      <c r="AK37" s="151" t="str">
        <f t="array" ref="AK37">IF(AK$1=0,"",SQRT((_xlfn.XLOOKUP(AK$1,$R$2:$R$18,$S$2:$S$18)-$L37)^2+(_xlfn.XLOOKUP(AK$1,$R$2:$R$18,$T$2:$T$18)-$M37)^2+(_xlfn.XLOOKUP(AK$1,$R$2:$R$18,$U$2:$U$18-$N37)^2)))</f>
        <v/>
      </c>
      <c r="AL37" s="151" t="str">
        <f t="array" ref="AL37">IF(AL$1=0,"",SQRT((_xlfn.XLOOKUP(AL$1,$R$2:$R$18,$S$2:$S$18)-$L37)^2+(_xlfn.XLOOKUP(AL$1,$R$2:$R$18,$T$2:$T$18)-$M37)^2+(_xlfn.XLOOKUP(AL$1,$R$2:$R$18,$U$2:$U$18-$N37)^2)))</f>
        <v/>
      </c>
      <c r="AM37" s="151" t="str">
        <f t="array" ref="AM37">IF(AM$1=0,"",SQRT((_xlfn.XLOOKUP(AM$1,$R$2:$R$18,$S$2:$S$18)-$L37)^2+(_xlfn.XLOOKUP(AM$1,$R$2:$R$18,$T$2:$T$18)-$M37)^2+(_xlfn.XLOOKUP(AM$1,$R$2:$R$18,$U$2:$U$18-$N37)^2)))</f>
        <v/>
      </c>
      <c r="AN37" s="152" t="str">
        <f t="array" ref="AN37">IF(AN$1=0,"",SQRT((_xlfn.XLOOKUP(AN$1,$R$2:$R$18,$S$2:$S$18)-$L37)^2+(_xlfn.XLOOKUP(AN$1,$R$2:$R$18,$T$2:$T$18)-$M37)^2+(_xlfn.XLOOKUP(AN$1,$R$2:$R$18,$U$2:$U$18-$N37)^2)))</f>
        <v/>
      </c>
      <c r="AO37" s="134"/>
      <c r="AP37" s="134"/>
      <c r="AQ37" s="135">
        <f t="shared" si="51"/>
        <v>-29.736287105100526</v>
      </c>
      <c r="AR37" s="153">
        <f t="shared" si="52"/>
        <v>-37.392857737254246</v>
      </c>
      <c r="AS37" s="153">
        <f t="shared" si="53"/>
        <v>-43.592638777580682</v>
      </c>
      <c r="AT37" s="153">
        <f t="shared" si="54"/>
        <v>-46.442171195631914</v>
      </c>
      <c r="AU37" s="153">
        <f t="shared" si="55"/>
        <v>-37.814632345513999</v>
      </c>
      <c r="AV37" s="153">
        <f t="shared" si="56"/>
        <v>0</v>
      </c>
      <c r="AW37" s="153">
        <f t="shared" si="57"/>
        <v>0</v>
      </c>
      <c r="AX37" s="153">
        <f t="shared" si="58"/>
        <v>0</v>
      </c>
      <c r="AY37" s="154">
        <f t="shared" si="59"/>
        <v>0</v>
      </c>
      <c r="AZ37" s="154">
        <f t="shared" si="60"/>
        <v>0</v>
      </c>
      <c r="BA37" s="154">
        <f t="shared" si="61"/>
        <v>0</v>
      </c>
      <c r="BB37" s="154">
        <f t="shared" si="62"/>
        <v>0</v>
      </c>
      <c r="BC37" s="154">
        <f t="shared" si="63"/>
        <v>0</v>
      </c>
      <c r="BD37" s="154">
        <f t="shared" si="64"/>
        <v>0</v>
      </c>
      <c r="BE37" s="155">
        <f t="shared" si="65"/>
        <v>0</v>
      </c>
      <c r="BF37" s="134"/>
      <c r="BG37" s="201" t="s">
        <v>68</v>
      </c>
      <c r="BH37" s="202"/>
      <c r="BI37" s="21"/>
      <c r="BJ37" s="134"/>
      <c r="BK37" s="134"/>
      <c r="BL37" s="134"/>
      <c r="BM37" s="134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34"/>
      <c r="CD37" s="134"/>
      <c r="CE37" s="156">
        <f t="shared" si="35"/>
        <v>27.263712894899474</v>
      </c>
      <c r="CF37" s="157">
        <f t="shared" si="36"/>
        <v>19.607142262745754</v>
      </c>
      <c r="CG37" s="157">
        <f t="shared" si="37"/>
        <v>13.407361222419318</v>
      </c>
      <c r="CH37" s="157">
        <f t="shared" si="38"/>
        <v>10.557828804368086</v>
      </c>
      <c r="CI37" s="157">
        <f t="shared" si="39"/>
        <v>19.185367654486001</v>
      </c>
      <c r="CJ37" s="157" t="str">
        <f t="shared" si="40"/>
        <v/>
      </c>
      <c r="CK37" s="157" t="str">
        <f t="shared" si="41"/>
        <v/>
      </c>
      <c r="CL37" s="157" t="str">
        <f t="shared" si="42"/>
        <v/>
      </c>
      <c r="CM37" s="158" t="str">
        <f t="shared" si="43"/>
        <v/>
      </c>
      <c r="CN37" s="158" t="str">
        <f t="shared" si="44"/>
        <v/>
      </c>
      <c r="CO37" s="158" t="str">
        <f t="shared" si="45"/>
        <v/>
      </c>
      <c r="CP37" s="158" t="str">
        <f t="shared" si="46"/>
        <v/>
      </c>
      <c r="CQ37" s="143" t="str">
        <f t="shared" si="47"/>
        <v/>
      </c>
      <c r="CR37" s="143" t="str">
        <f t="shared" si="48"/>
        <v/>
      </c>
      <c r="CS37" s="144" t="str">
        <f t="shared" si="49"/>
        <v/>
      </c>
    </row>
    <row r="38" spans="1:97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147" t="s">
        <v>141</v>
      </c>
      <c r="F38" s="4">
        <v>57.392737795737183</v>
      </c>
      <c r="G38" s="4">
        <v>0</v>
      </c>
      <c r="H38" s="3">
        <v>1</v>
      </c>
      <c r="I38" s="128">
        <f t="shared" si="34"/>
        <v>57</v>
      </c>
      <c r="J38" s="3">
        <v>2</v>
      </c>
      <c r="K38" s="3"/>
      <c r="L38" s="4">
        <v>149.29</v>
      </c>
      <c r="M38" s="4">
        <v>139.38</v>
      </c>
      <c r="N38" s="109">
        <f t="shared" si="50"/>
        <v>75</v>
      </c>
      <c r="O38" s="81">
        <v>73</v>
      </c>
      <c r="P38" s="148">
        <v>2</v>
      </c>
      <c r="R38" s="115" t="s">
        <v>189</v>
      </c>
      <c r="S38" s="113">
        <v>162.91</v>
      </c>
      <c r="T38" s="52">
        <v>140.80000000000001</v>
      </c>
      <c r="U38" s="106">
        <v>75.400000000000006</v>
      </c>
      <c r="V38" s="52">
        <v>173.14</v>
      </c>
      <c r="W38" s="52">
        <v>143</v>
      </c>
      <c r="X38" s="53">
        <v>75.400000000000006</v>
      </c>
      <c r="Z38" s="168">
        <f t="array" ref="Z38">IF(Z$1=0,"",SQRT((_xlfn.XLOOKUP(Z$1,$R$2:$R$18,$S$2:$S$18)-$L38)^2+(_xlfn.XLOOKUP(Z$1,$R$2:$R$18,$T$2:$T$18)-$M38)^2+(_xlfn.XLOOKUP(Z$1,$R$2:$R$18,$U$2:$U$18-$N38)^2)))</f>
        <v>128.25154073148593</v>
      </c>
      <c r="AA38" s="150">
        <f t="array" ref="AA38">IF(AA$1=0,"",SQRT((_xlfn.XLOOKUP(AA$1,$R$2:$R$18,$S$2:$S$18)-$L38)^2+(_xlfn.XLOOKUP(AA$1,$R$2:$R$18,$T$2:$T$18)-$M38)^2+(_xlfn.XLOOKUP(AA$1,$R$2:$R$18,$U$2:$U$18-$N38)^2)))</f>
        <v>103.54564693892253</v>
      </c>
      <c r="AB38" s="150">
        <f t="array" ref="AB38">IF(AB$1=0,"",SQRT((_xlfn.XLOOKUP(AB$1,$R$2:$R$18,$S$2:$S$18)-$L38)^2+(_xlfn.XLOOKUP(AB$1,$R$2:$R$18,$T$2:$T$18)-$M38)^2+(_xlfn.XLOOKUP(AB$1,$R$2:$R$18,$U$2:$U$18-$N38)^2)))</f>
        <v>135.91148884476249</v>
      </c>
      <c r="AC38" s="150">
        <f t="array" ref="AC38">IF(AC$1=0,"",SQRT((_xlfn.XLOOKUP(AC$1,$R$2:$R$18,$S$2:$S$18)-$L38)^2+(_xlfn.XLOOKUP(AC$1,$R$2:$R$18,$T$2:$T$18)-$M38)^2+(_xlfn.XLOOKUP(AC$1,$R$2:$R$18,$U$2:$U$18-$N38)^2)))</f>
        <v>179.15276665460684</v>
      </c>
      <c r="AD38" s="150">
        <f t="array" ref="AD38">IF(AD$1=0,"",SQRT((_xlfn.XLOOKUP(AD$1,$R$2:$R$18,$S$2:$S$18)-$L38)^2+(_xlfn.XLOOKUP(AD$1,$R$2:$R$18,$T$2:$T$18)-$M38)^2+(_xlfn.XLOOKUP(AD$1,$R$2:$R$18,$U$2:$U$18-$N38)^2)))</f>
        <v>157.1114448409154</v>
      </c>
      <c r="AE38" s="150" t="str">
        <f t="array" ref="AE38">IF(AE$1=0,"",SQRT((_xlfn.XLOOKUP(AE$1,$R$2:$R$18,$S$2:$S$18)-$L38)^2+(_xlfn.XLOOKUP(AE$1,$R$2:$R$18,$T$2:$T$18)-$M38)^2+(_xlfn.XLOOKUP(AE$1,$R$2:$R$18,$U$2:$U$18-$N38)^2)))</f>
        <v/>
      </c>
      <c r="AF38" s="150" t="str">
        <f t="array" ref="AF38">IF(AF$1=0,"",SQRT((_xlfn.XLOOKUP(AF$1,$R$2:$R$18,$S$2:$S$18)-$L38)^2+(_xlfn.XLOOKUP(AF$1,$R$2:$R$18,$T$2:$T$18)-$M38)^2+(_xlfn.XLOOKUP(AF$1,$R$2:$R$18,$U$2:$U$18-$N38)^2)))</f>
        <v/>
      </c>
      <c r="AG38" s="150" t="str">
        <f t="array" ref="AG38">IF(AG$1=0,"",SQRT((_xlfn.XLOOKUP(AG$1,$R$2:$R$18,$S$2:$S$18)-$L38)^2+(_xlfn.XLOOKUP(AG$1,$R$2:$R$18,$T$2:$T$18)-$M38)^2+(_xlfn.XLOOKUP(AG$1,$R$2:$R$18,$U$2:$U$18-$N38)^2)))</f>
        <v/>
      </c>
      <c r="AH38" s="151" t="str">
        <f t="array" ref="AH38">IF(AH$1=0,"",SQRT((_xlfn.XLOOKUP(AH$1,$R$2:$R$18,$S$2:$S$18)-$L38)^2+(_xlfn.XLOOKUP(AH$1,$R$2:$R$18,$T$2:$T$18)-$M38)^2+(_xlfn.XLOOKUP(AH$1,$R$2:$R$18,$U$2:$U$18-$N38)^2)))</f>
        <v/>
      </c>
      <c r="AI38" s="151" t="str">
        <f t="array" ref="AI38">IF(AI$1=0,"",SQRT((_xlfn.XLOOKUP(AI$1,$R$2:$R$18,$S$2:$S$18)-$L38)^2+(_xlfn.XLOOKUP(AI$1,$R$2:$R$18,$T$2:$T$18)-$M38)^2+(_xlfn.XLOOKUP(AI$1,$R$2:$R$18,$U$2:$U$18-$N38)^2)))</f>
        <v/>
      </c>
      <c r="AJ38" s="151" t="str">
        <f t="array" ref="AJ38">IF(AJ$1=0,"",SQRT((_xlfn.XLOOKUP(AJ$1,$R$2:$R$18,$S$2:$S$18)-$L38)^2+(_xlfn.XLOOKUP(AJ$1,$R$2:$R$18,$T$2:$T$18)-$M38)^2+(_xlfn.XLOOKUP(AJ$1,$R$2:$R$18,$U$2:$U$18-$N38)^2)))</f>
        <v/>
      </c>
      <c r="AK38" s="151" t="str">
        <f t="array" ref="AK38">IF(AK$1=0,"",SQRT((_xlfn.XLOOKUP(AK$1,$R$2:$R$18,$S$2:$S$18)-$L38)^2+(_xlfn.XLOOKUP(AK$1,$R$2:$R$18,$T$2:$T$18)-$M38)^2+(_xlfn.XLOOKUP(AK$1,$R$2:$R$18,$U$2:$U$18-$N38)^2)))</f>
        <v/>
      </c>
      <c r="AL38" s="151" t="str">
        <f t="array" ref="AL38">IF(AL$1=0,"",SQRT((_xlfn.XLOOKUP(AL$1,$R$2:$R$18,$S$2:$S$18)-$L38)^2+(_xlfn.XLOOKUP(AL$1,$R$2:$R$18,$T$2:$T$18)-$M38)^2+(_xlfn.XLOOKUP(AL$1,$R$2:$R$18,$U$2:$U$18-$N38)^2)))</f>
        <v/>
      </c>
      <c r="AM38" s="151" t="str">
        <f t="array" ref="AM38">IF(AM$1=0,"",SQRT((_xlfn.XLOOKUP(AM$1,$R$2:$R$18,$S$2:$S$18)-$L38)^2+(_xlfn.XLOOKUP(AM$1,$R$2:$R$18,$T$2:$T$18)-$M38)^2+(_xlfn.XLOOKUP(AM$1,$R$2:$R$18,$U$2:$U$18-$N38)^2)))</f>
        <v/>
      </c>
      <c r="AN38" s="152" t="str">
        <f t="array" ref="AN38">IF(AN$1=0,"",SQRT((_xlfn.XLOOKUP(AN$1,$R$2:$R$18,$S$2:$S$18)-$L38)^2+(_xlfn.XLOOKUP(AN$1,$R$2:$R$18,$T$2:$T$18)-$M38)^2+(_xlfn.XLOOKUP(AN$1,$R$2:$R$18,$U$2:$U$18-$N38)^2)))</f>
        <v/>
      </c>
      <c r="AO38" s="134"/>
      <c r="AP38" s="134"/>
      <c r="AQ38" s="135">
        <f t="shared" si="51"/>
        <v>-39.823349759925378</v>
      </c>
      <c r="AR38" s="153">
        <f t="shared" si="52"/>
        <v>-37.964734854222307</v>
      </c>
      <c r="AS38" s="153">
        <f t="shared" si="53"/>
        <v>-40.327221336628696</v>
      </c>
      <c r="AT38" s="153">
        <f t="shared" si="54"/>
        <v>-42.726568324128365</v>
      </c>
      <c r="AU38" s="153">
        <f t="shared" si="55"/>
        <v>-41.586254387600114</v>
      </c>
      <c r="AV38" s="153">
        <f t="shared" si="56"/>
        <v>0</v>
      </c>
      <c r="AW38" s="153">
        <f t="shared" si="57"/>
        <v>0</v>
      </c>
      <c r="AX38" s="153">
        <f t="shared" si="58"/>
        <v>0</v>
      </c>
      <c r="AY38" s="154">
        <f t="shared" si="59"/>
        <v>0</v>
      </c>
      <c r="AZ38" s="154">
        <f t="shared" si="60"/>
        <v>0</v>
      </c>
      <c r="BA38" s="154">
        <f t="shared" si="61"/>
        <v>0</v>
      </c>
      <c r="BB38" s="154">
        <f t="shared" si="62"/>
        <v>0</v>
      </c>
      <c r="BC38" s="154">
        <f t="shared" si="63"/>
        <v>0</v>
      </c>
      <c r="BD38" s="154">
        <f t="shared" si="64"/>
        <v>0</v>
      </c>
      <c r="BE38" s="155">
        <f t="shared" si="65"/>
        <v>0</v>
      </c>
      <c r="BF38" s="134"/>
      <c r="BG38" s="57" t="s">
        <v>69</v>
      </c>
      <c r="BH38" s="57" t="s">
        <v>70</v>
      </c>
      <c r="BI38" s="21"/>
      <c r="BJ38" s="134"/>
      <c r="BK38" s="134"/>
      <c r="BL38" s="134"/>
      <c r="BM38" s="134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34"/>
      <c r="CD38" s="134"/>
      <c r="CE38" s="156">
        <f t="shared" si="35"/>
        <v>17.176650240074622</v>
      </c>
      <c r="CF38" s="157">
        <f t="shared" si="36"/>
        <v>19.035265145777693</v>
      </c>
      <c r="CG38" s="157">
        <f t="shared" si="37"/>
        <v>16.672778663371304</v>
      </c>
      <c r="CH38" s="157">
        <f t="shared" si="38"/>
        <v>14.273431675871635</v>
      </c>
      <c r="CI38" s="157">
        <f t="shared" si="39"/>
        <v>15.413745612399886</v>
      </c>
      <c r="CJ38" s="157" t="str">
        <f t="shared" si="40"/>
        <v/>
      </c>
      <c r="CK38" s="157" t="str">
        <f t="shared" si="41"/>
        <v/>
      </c>
      <c r="CL38" s="157" t="str">
        <f t="shared" si="42"/>
        <v/>
      </c>
      <c r="CM38" s="158" t="str">
        <f t="shared" si="43"/>
        <v/>
      </c>
      <c r="CN38" s="158" t="str">
        <f t="shared" si="44"/>
        <v/>
      </c>
      <c r="CO38" s="158" t="str">
        <f t="shared" si="45"/>
        <v/>
      </c>
      <c r="CP38" s="158" t="str">
        <f t="shared" si="46"/>
        <v/>
      </c>
      <c r="CQ38" s="143" t="str">
        <f t="shared" si="47"/>
        <v/>
      </c>
      <c r="CR38" s="143" t="str">
        <f t="shared" si="48"/>
        <v/>
      </c>
      <c r="CS38" s="144" t="str">
        <f t="shared" si="49"/>
        <v/>
      </c>
    </row>
    <row r="39" spans="1:97" ht="16.5" customHeight="1" x14ac:dyDescent="0.3">
      <c r="A39" s="145"/>
      <c r="B39" s="146"/>
      <c r="C39" s="146"/>
      <c r="D39" s="147"/>
      <c r="E39" s="147"/>
      <c r="F39" s="4"/>
      <c r="G39" s="4"/>
      <c r="H39" s="3"/>
      <c r="I39" s="128">
        <f t="shared" si="34"/>
        <v>0</v>
      </c>
      <c r="J39" s="3"/>
      <c r="K39" s="3"/>
      <c r="L39" s="4"/>
      <c r="M39" s="4"/>
      <c r="N39" s="109">
        <f t="shared" si="50"/>
        <v>0</v>
      </c>
      <c r="O39" s="171"/>
      <c r="P39" s="148"/>
      <c r="R39" s="115" t="s">
        <v>190</v>
      </c>
      <c r="S39" s="113">
        <v>162.13999999999999</v>
      </c>
      <c r="T39" s="52">
        <v>146.19</v>
      </c>
      <c r="U39" s="106">
        <v>75.400000000000006</v>
      </c>
      <c r="V39" s="52">
        <v>163.24</v>
      </c>
      <c r="W39" s="52">
        <v>141.24</v>
      </c>
      <c r="X39" s="53">
        <v>75.400000000000006</v>
      </c>
      <c r="Z39" s="168">
        <f t="array" ref="Z39">IF(Z$1=0,"",SQRT((_xlfn.XLOOKUP(Z$1,$R$2:$R$18,$S$2:$S$18)-$L39)^2+(_xlfn.XLOOKUP(Z$1,$R$2:$R$18,$T$2:$T$18)-$M39)^2+(_xlfn.XLOOKUP(Z$1,$R$2:$R$18,$U$2:$U$18-$N39)^2)))</f>
        <v>112.53151914019467</v>
      </c>
      <c r="AA39" s="150">
        <f t="array" ref="AA39">IF(AA$1=0,"",SQRT((_xlfn.XLOOKUP(AA$1,$R$2:$R$18,$S$2:$S$18)-$L39)^2+(_xlfn.XLOOKUP(AA$1,$R$2:$R$18,$T$2:$T$18)-$M39)^2+(_xlfn.XLOOKUP(AA$1,$R$2:$R$18,$U$2:$U$18-$N39)^2)))</f>
        <v>123.81444705687622</v>
      </c>
      <c r="AB39" s="150">
        <f t="array" ref="AB39">IF(AB$1=0,"",SQRT((_xlfn.XLOOKUP(AB$1,$R$2:$R$18,$S$2:$S$18)-$L39)^2+(_xlfn.XLOOKUP(AB$1,$R$2:$R$18,$T$2:$T$18)-$M39)^2+(_xlfn.XLOOKUP(AB$1,$R$2:$R$18,$U$2:$U$18-$N39)^2)))</f>
        <v>226.27326421828982</v>
      </c>
      <c r="AC39" s="150">
        <f t="array" ref="AC39">IF(AC$1=0,"",SQRT((_xlfn.XLOOKUP(AC$1,$R$2:$R$18,$S$2:$S$18)-$L39)^2+(_xlfn.XLOOKUP(AC$1,$R$2:$R$18,$T$2:$T$18)-$M39)^2+(_xlfn.XLOOKUP(AC$1,$R$2:$R$18,$U$2:$U$18-$N39)^2)))</f>
        <v>330.89448786584524</v>
      </c>
      <c r="AD39" s="150">
        <f t="array" ref="AD39">IF(AD$1=0,"",SQRT((_xlfn.XLOOKUP(AD$1,$R$2:$R$18,$S$2:$S$18)-$L39)^2+(_xlfn.XLOOKUP(AD$1,$R$2:$R$18,$T$2:$T$18)-$M39)^2+(_xlfn.XLOOKUP(AD$1,$R$2:$R$18,$U$2:$U$18-$N39)^2)))</f>
        <v>218.97662386656708</v>
      </c>
      <c r="AE39" s="150" t="str">
        <f t="array" ref="AE39">IF(AE$1=0,"",SQRT((_xlfn.XLOOKUP(AE$1,$R$2:$R$18,$S$2:$S$18)-$L39)^2+(_xlfn.XLOOKUP(AE$1,$R$2:$R$18,$T$2:$T$18)-$M39)^2+(_xlfn.XLOOKUP(AE$1,$R$2:$R$18,$U$2:$U$18-$N39)^2)))</f>
        <v/>
      </c>
      <c r="AF39" s="150" t="str">
        <f t="array" ref="AF39">IF(AF$1=0,"",SQRT((_xlfn.XLOOKUP(AF$1,$R$2:$R$18,$S$2:$S$18)-$L39)^2+(_xlfn.XLOOKUP(AF$1,$R$2:$R$18,$T$2:$T$18)-$M39)^2+(_xlfn.XLOOKUP(AF$1,$R$2:$R$18,$U$2:$U$18-$N39)^2)))</f>
        <v/>
      </c>
      <c r="AG39" s="150" t="str">
        <f t="array" ref="AG39">IF(AG$1=0,"",SQRT((_xlfn.XLOOKUP(AG$1,$R$2:$R$18,$S$2:$S$18)-$L39)^2+(_xlfn.XLOOKUP(AG$1,$R$2:$R$18,$T$2:$T$18)-$M39)^2+(_xlfn.XLOOKUP(AG$1,$R$2:$R$18,$U$2:$U$18-$N39)^2)))</f>
        <v/>
      </c>
      <c r="AH39" s="151" t="str">
        <f t="array" ref="AH39">IF(AH$1=0,"",SQRT((_xlfn.XLOOKUP(AH$1,$R$2:$R$18,$S$2:$S$18)-$L39)^2+(_xlfn.XLOOKUP(AH$1,$R$2:$R$18,$T$2:$T$18)-$M39)^2+(_xlfn.XLOOKUP(AH$1,$R$2:$R$18,$U$2:$U$18-$N39)^2)))</f>
        <v/>
      </c>
      <c r="AI39" s="151" t="str">
        <f t="array" ref="AI39">IF(AI$1=0,"",SQRT((_xlfn.XLOOKUP(AI$1,$R$2:$R$18,$S$2:$S$18)-$L39)^2+(_xlfn.XLOOKUP(AI$1,$R$2:$R$18,$T$2:$T$18)-$M39)^2+(_xlfn.XLOOKUP(AI$1,$R$2:$R$18,$U$2:$U$18-$N39)^2)))</f>
        <v/>
      </c>
      <c r="AJ39" s="151" t="str">
        <f t="array" ref="AJ39">IF(AJ$1=0,"",SQRT((_xlfn.XLOOKUP(AJ$1,$R$2:$R$18,$S$2:$S$18)-$L39)^2+(_xlfn.XLOOKUP(AJ$1,$R$2:$R$18,$T$2:$T$18)-$M39)^2+(_xlfn.XLOOKUP(AJ$1,$R$2:$R$18,$U$2:$U$18-$N39)^2)))</f>
        <v/>
      </c>
      <c r="AK39" s="151" t="str">
        <f t="array" ref="AK39">IF(AK$1=0,"",SQRT((_xlfn.XLOOKUP(AK$1,$R$2:$R$18,$S$2:$S$18)-$L39)^2+(_xlfn.XLOOKUP(AK$1,$R$2:$R$18,$T$2:$T$18)-$M39)^2+(_xlfn.XLOOKUP(AK$1,$R$2:$R$18,$U$2:$U$18-$N39)^2)))</f>
        <v/>
      </c>
      <c r="AL39" s="151" t="str">
        <f t="array" ref="AL39">IF(AL$1=0,"",SQRT((_xlfn.XLOOKUP(AL$1,$R$2:$R$18,$S$2:$S$18)-$L39)^2+(_xlfn.XLOOKUP(AL$1,$R$2:$R$18,$T$2:$T$18)-$M39)^2+(_xlfn.XLOOKUP(AL$1,$R$2:$R$18,$U$2:$U$18-$N39)^2)))</f>
        <v/>
      </c>
      <c r="AM39" s="151" t="str">
        <f t="array" ref="AM39">IF(AM$1=0,"",SQRT((_xlfn.XLOOKUP(AM$1,$R$2:$R$18,$S$2:$S$18)-$L39)^2+(_xlfn.XLOOKUP(AM$1,$R$2:$R$18,$T$2:$T$18)-$M39)^2+(_xlfn.XLOOKUP(AM$1,$R$2:$R$18,$U$2:$U$18-$N39)^2)))</f>
        <v/>
      </c>
      <c r="AN39" s="152" t="str">
        <f t="array" ref="AN39">IF(AN$1=0,"",SQRT((_xlfn.XLOOKUP(AN$1,$R$2:$R$18,$S$2:$S$18)-$L39)^2+(_xlfn.XLOOKUP(AN$1,$R$2:$R$18,$T$2:$T$18)-$M39)^2+(_xlfn.XLOOKUP(AN$1,$R$2:$R$18,$U$2:$U$18-$N39)^2)))</f>
        <v/>
      </c>
      <c r="AO39" s="134"/>
      <c r="AP39" s="134"/>
      <c r="AQ39" s="135">
        <f t="shared" si="51"/>
        <v>0</v>
      </c>
      <c r="AR39" s="153">
        <f t="shared" si="52"/>
        <v>0</v>
      </c>
      <c r="AS39" s="153">
        <f t="shared" si="53"/>
        <v>0</v>
      </c>
      <c r="AT39" s="153">
        <f t="shared" si="54"/>
        <v>0</v>
      </c>
      <c r="AU39" s="153">
        <f t="shared" si="55"/>
        <v>0</v>
      </c>
      <c r="AV39" s="153">
        <f t="shared" si="56"/>
        <v>0</v>
      </c>
      <c r="AW39" s="153">
        <f t="shared" si="57"/>
        <v>0</v>
      </c>
      <c r="AX39" s="153">
        <f t="shared" si="58"/>
        <v>0</v>
      </c>
      <c r="AY39" s="154">
        <f t="shared" si="59"/>
        <v>0</v>
      </c>
      <c r="AZ39" s="154">
        <f t="shared" si="60"/>
        <v>0</v>
      </c>
      <c r="BA39" s="154">
        <f t="shared" si="61"/>
        <v>0</v>
      </c>
      <c r="BB39" s="154">
        <f t="shared" si="62"/>
        <v>0</v>
      </c>
      <c r="BC39" s="154">
        <f t="shared" si="63"/>
        <v>0</v>
      </c>
      <c r="BD39" s="154">
        <f t="shared" si="64"/>
        <v>0</v>
      </c>
      <c r="BE39" s="155">
        <f t="shared" si="65"/>
        <v>0</v>
      </c>
      <c r="BF39" s="134"/>
      <c r="BG39" s="56">
        <v>0</v>
      </c>
      <c r="BH39" s="56">
        <v>0</v>
      </c>
      <c r="BI39" s="21"/>
      <c r="BJ39" s="134"/>
      <c r="BK39" s="134"/>
      <c r="BL39" s="134"/>
      <c r="BM39" s="134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34"/>
      <c r="CD39" s="134"/>
      <c r="CE39" s="169">
        <f t="shared" ref="CE39:CE58" si="66">IF( CE$1= 0,"",$I39-$K39+AQ39-BN39)</f>
        <v>0</v>
      </c>
      <c r="CF39" s="170">
        <f t="shared" ref="CF39:CF58" si="67">IF( CF$1= 0,"",$I39-$K39+AR39-BO39)</f>
        <v>0</v>
      </c>
      <c r="CG39" s="170">
        <f t="shared" ref="CG39:CG58" si="68">IF( CG$1= 0,"",$I39-$K39+AS39-BP39)</f>
        <v>0</v>
      </c>
      <c r="CH39" s="170">
        <f t="shared" ref="CH39:CH58" si="69">IF( CH$1= 0,"",$I39-$K39+AT39-BQ39)</f>
        <v>0</v>
      </c>
      <c r="CI39" s="170">
        <f t="shared" ref="CI39:CI58" si="70">IF( CI$1= 0,"",$I39-$K39+AU39-BR39)</f>
        <v>0</v>
      </c>
      <c r="CJ39" s="170" t="str">
        <f t="shared" ref="CJ39:CJ58" si="71">IF( CJ$1= 0,"",$I39-$K39+AV39-BS39)</f>
        <v/>
      </c>
      <c r="CK39" s="170" t="str">
        <f t="shared" ref="CK39:CK58" si="72">IF( CK$1= 0,"",$I39-$K39+AW39-BT39)</f>
        <v/>
      </c>
      <c r="CL39" s="170" t="str">
        <f t="shared" ref="CL39:CL58" si="73">IF( CL$1= 0,"",$I39-$K39+AX39-BU39)</f>
        <v/>
      </c>
      <c r="CM39" s="172" t="str">
        <f t="shared" ref="CM39:CM58" si="74">IF( CM$1= 0,"",$I39-$K39+AY39-BV39)</f>
        <v/>
      </c>
      <c r="CN39" s="172" t="str">
        <f t="shared" ref="CN39:CN58" si="75">IF( CN$1= 0,"",$I39-$K39+AZ39-BW39)</f>
        <v/>
      </c>
      <c r="CO39" s="172" t="str">
        <f t="shared" ref="CO39:CO58" si="76">IF( CO$1= 0,"",$I39-$K39+BA39-BX39)</f>
        <v/>
      </c>
      <c r="CP39" s="172" t="str">
        <f t="shared" ref="CP39:CP58" si="77">IF( CP$1= 0,"",$I39-$K39+BB39-BY39)</f>
        <v/>
      </c>
      <c r="CQ39" s="172" t="str">
        <f t="shared" ref="CQ39:CQ58" si="78">IF( CQ$1= 0,"",$I39-$K39+BC39-BZ39)</f>
        <v/>
      </c>
      <c r="CR39" s="172" t="str">
        <f t="shared" ref="CR39:CR58" si="79">IF( CR$1= 0,"",$I39-$K39+BD39-CA39)</f>
        <v/>
      </c>
      <c r="CS39" s="173" t="str">
        <f t="shared" ref="CS39:CS58" si="80">IF( CS$1= 0,"",$I39-$K39+BE39-CB39)</f>
        <v/>
      </c>
    </row>
    <row r="40" spans="1:97" ht="16.5" customHeight="1" x14ac:dyDescent="0.3">
      <c r="A40" s="145"/>
      <c r="B40" s="146"/>
      <c r="C40" s="146"/>
      <c r="D40" s="147"/>
      <c r="E40" s="147"/>
      <c r="F40" s="4"/>
      <c r="G40" s="4"/>
      <c r="H40" s="3"/>
      <c r="I40" s="128">
        <f t="shared" si="34"/>
        <v>0</v>
      </c>
      <c r="J40" s="3"/>
      <c r="K40" s="3"/>
      <c r="L40" s="4"/>
      <c r="M40" s="4"/>
      <c r="N40" s="109">
        <f t="shared" si="50"/>
        <v>0</v>
      </c>
      <c r="O40" s="171"/>
      <c r="P40" s="148"/>
      <c r="R40" s="115" t="s">
        <v>191</v>
      </c>
      <c r="S40" s="113">
        <v>162.36000000000001</v>
      </c>
      <c r="T40" s="52">
        <v>146.08000000000001</v>
      </c>
      <c r="U40" s="106">
        <v>75.400000000000006</v>
      </c>
      <c r="V40" s="52">
        <v>69.52</v>
      </c>
      <c r="W40" s="52">
        <v>127.6</v>
      </c>
      <c r="X40" s="53">
        <v>75.400000000000006</v>
      </c>
      <c r="Z40" s="168">
        <f t="array" ref="Z40">IF(Z$1=0,"",SQRT((_xlfn.XLOOKUP(Z$1,$R$2:$R$18,$S$2:$S$18)-$L40)^2+(_xlfn.XLOOKUP(Z$1,$R$2:$R$18,$T$2:$T$18)-$M40)^2+(_xlfn.XLOOKUP(Z$1,$R$2:$R$18,$U$2:$U$18-$N40)^2)))</f>
        <v>112.53151914019467</v>
      </c>
      <c r="AA40" s="150">
        <f t="array" ref="AA40">IF(AA$1=0,"",SQRT((_xlfn.XLOOKUP(AA$1,$R$2:$R$18,$S$2:$S$18)-$L40)^2+(_xlfn.XLOOKUP(AA$1,$R$2:$R$18,$T$2:$T$18)-$M40)^2+(_xlfn.XLOOKUP(AA$1,$R$2:$R$18,$U$2:$U$18-$N40)^2)))</f>
        <v>123.81444705687622</v>
      </c>
      <c r="AB40" s="150">
        <f t="array" ref="AB40">IF(AB$1=0,"",SQRT((_xlfn.XLOOKUP(AB$1,$R$2:$R$18,$S$2:$S$18)-$L40)^2+(_xlfn.XLOOKUP(AB$1,$R$2:$R$18,$T$2:$T$18)-$M40)^2+(_xlfn.XLOOKUP(AB$1,$R$2:$R$18,$U$2:$U$18-$N40)^2)))</f>
        <v>226.27326421828982</v>
      </c>
      <c r="AC40" s="150">
        <f t="array" ref="AC40">IF(AC$1=0,"",SQRT((_xlfn.XLOOKUP(AC$1,$R$2:$R$18,$S$2:$S$18)-$L40)^2+(_xlfn.XLOOKUP(AC$1,$R$2:$R$18,$T$2:$T$18)-$M40)^2+(_xlfn.XLOOKUP(AC$1,$R$2:$R$18,$U$2:$U$18-$N40)^2)))</f>
        <v>330.89448786584524</v>
      </c>
      <c r="AD40" s="150">
        <f t="array" ref="AD40">IF(AD$1=0,"",SQRT((_xlfn.XLOOKUP(AD$1,$R$2:$R$18,$S$2:$S$18)-$L40)^2+(_xlfn.XLOOKUP(AD$1,$R$2:$R$18,$T$2:$T$18)-$M40)^2+(_xlfn.XLOOKUP(AD$1,$R$2:$R$18,$U$2:$U$18-$N40)^2)))</f>
        <v>218.97662386656708</v>
      </c>
      <c r="AE40" s="150" t="str">
        <f t="array" ref="AE40">IF(AE$1=0,"",SQRT((_xlfn.XLOOKUP(AE$1,$R$2:$R$18,$S$2:$S$18)-$L40)^2+(_xlfn.XLOOKUP(AE$1,$R$2:$R$18,$T$2:$T$18)-$M40)^2+(_xlfn.XLOOKUP(AE$1,$R$2:$R$18,$U$2:$U$18-$N40)^2)))</f>
        <v/>
      </c>
      <c r="AF40" s="150" t="str">
        <f t="array" ref="AF40">IF(AF$1=0,"",SQRT((_xlfn.XLOOKUP(AF$1,$R$2:$R$18,$S$2:$S$18)-$L40)^2+(_xlfn.XLOOKUP(AF$1,$R$2:$R$18,$T$2:$T$18)-$M40)^2+(_xlfn.XLOOKUP(AF$1,$R$2:$R$18,$U$2:$U$18-$N40)^2)))</f>
        <v/>
      </c>
      <c r="AG40" s="150" t="str">
        <f t="array" ref="AG40">IF(AG$1=0,"",SQRT((_xlfn.XLOOKUP(AG$1,$R$2:$R$18,$S$2:$S$18)-$L40)^2+(_xlfn.XLOOKUP(AG$1,$R$2:$R$18,$T$2:$T$18)-$M40)^2+(_xlfn.XLOOKUP(AG$1,$R$2:$R$18,$U$2:$U$18-$N40)^2)))</f>
        <v/>
      </c>
      <c r="AH40" s="151" t="str">
        <f t="array" ref="AH40">IF(AH$1=0,"",SQRT((_xlfn.XLOOKUP(AH$1,$R$2:$R$18,$S$2:$S$18)-$L40)^2+(_xlfn.XLOOKUP(AH$1,$R$2:$R$18,$T$2:$T$18)-$M40)^2+(_xlfn.XLOOKUP(AH$1,$R$2:$R$18,$U$2:$U$18-$N40)^2)))</f>
        <v/>
      </c>
      <c r="AI40" s="151" t="str">
        <f t="array" ref="AI40">IF(AI$1=0,"",SQRT((_xlfn.XLOOKUP(AI$1,$R$2:$R$18,$S$2:$S$18)-$L40)^2+(_xlfn.XLOOKUP(AI$1,$R$2:$R$18,$T$2:$T$18)-$M40)^2+(_xlfn.XLOOKUP(AI$1,$R$2:$R$18,$U$2:$U$18-$N40)^2)))</f>
        <v/>
      </c>
      <c r="AJ40" s="151" t="str">
        <f t="array" ref="AJ40">IF(AJ$1=0,"",SQRT((_xlfn.XLOOKUP(AJ$1,$R$2:$R$18,$S$2:$S$18)-$L40)^2+(_xlfn.XLOOKUP(AJ$1,$R$2:$R$18,$T$2:$T$18)-$M40)^2+(_xlfn.XLOOKUP(AJ$1,$R$2:$R$18,$U$2:$U$18-$N40)^2)))</f>
        <v/>
      </c>
      <c r="AK40" s="151" t="str">
        <f t="array" ref="AK40">IF(AK$1=0,"",SQRT((_xlfn.XLOOKUP(AK$1,$R$2:$R$18,$S$2:$S$18)-$L40)^2+(_xlfn.XLOOKUP(AK$1,$R$2:$R$18,$T$2:$T$18)-$M40)^2+(_xlfn.XLOOKUP(AK$1,$R$2:$R$18,$U$2:$U$18-$N40)^2)))</f>
        <v/>
      </c>
      <c r="AL40" s="151" t="str">
        <f t="array" ref="AL40">IF(AL$1=0,"",SQRT((_xlfn.XLOOKUP(AL$1,$R$2:$R$18,$S$2:$S$18)-$L40)^2+(_xlfn.XLOOKUP(AL$1,$R$2:$R$18,$T$2:$T$18)-$M40)^2+(_xlfn.XLOOKUP(AL$1,$R$2:$R$18,$U$2:$U$18-$N40)^2)))</f>
        <v/>
      </c>
      <c r="AM40" s="151" t="str">
        <f t="array" ref="AM40">IF(AM$1=0,"",SQRT((_xlfn.XLOOKUP(AM$1,$R$2:$R$18,$S$2:$S$18)-$L40)^2+(_xlfn.XLOOKUP(AM$1,$R$2:$R$18,$T$2:$T$18)-$M40)^2+(_xlfn.XLOOKUP(AM$1,$R$2:$R$18,$U$2:$U$18-$N40)^2)))</f>
        <v/>
      </c>
      <c r="AN40" s="152" t="str">
        <f t="array" ref="AN40">IF(AN$1=0,"",SQRT((_xlfn.XLOOKUP(AN$1,$R$2:$R$18,$S$2:$S$18)-$L40)^2+(_xlfn.XLOOKUP(AN$1,$R$2:$R$18,$T$2:$T$18)-$M40)^2+(_xlfn.XLOOKUP(AN$1,$R$2:$R$18,$U$2:$U$18-$N40)^2)))</f>
        <v/>
      </c>
      <c r="AO40" s="134"/>
      <c r="AP40" s="134"/>
      <c r="AQ40" s="135">
        <f t="shared" si="51"/>
        <v>0</v>
      </c>
      <c r="AR40" s="153">
        <f t="shared" si="52"/>
        <v>0</v>
      </c>
      <c r="AS40" s="153">
        <f t="shared" si="53"/>
        <v>0</v>
      </c>
      <c r="AT40" s="153">
        <f t="shared" si="54"/>
        <v>0</v>
      </c>
      <c r="AU40" s="153">
        <f t="shared" si="55"/>
        <v>0</v>
      </c>
      <c r="AV40" s="153">
        <f t="shared" si="56"/>
        <v>0</v>
      </c>
      <c r="AW40" s="153">
        <f t="shared" si="57"/>
        <v>0</v>
      </c>
      <c r="AX40" s="153">
        <f t="shared" si="58"/>
        <v>0</v>
      </c>
      <c r="AY40" s="154">
        <f t="shared" si="59"/>
        <v>0</v>
      </c>
      <c r="AZ40" s="154">
        <f t="shared" si="60"/>
        <v>0</v>
      </c>
      <c r="BA40" s="154">
        <f t="shared" si="61"/>
        <v>0</v>
      </c>
      <c r="BB40" s="154">
        <f t="shared" si="62"/>
        <v>0</v>
      </c>
      <c r="BC40" s="154">
        <f t="shared" si="63"/>
        <v>0</v>
      </c>
      <c r="BD40" s="154">
        <f t="shared" si="64"/>
        <v>0</v>
      </c>
      <c r="BE40" s="155">
        <f t="shared" si="65"/>
        <v>0</v>
      </c>
      <c r="BF40" s="134"/>
      <c r="BG40" s="56">
        <v>0.5</v>
      </c>
      <c r="BH40" s="56">
        <v>4</v>
      </c>
      <c r="BI40" s="21"/>
      <c r="BJ40" s="134"/>
      <c r="BK40" s="134"/>
      <c r="BL40" s="134"/>
      <c r="BM40" s="134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34"/>
      <c r="CD40" s="134"/>
      <c r="CE40" s="169">
        <f t="shared" si="66"/>
        <v>0</v>
      </c>
      <c r="CF40" s="170">
        <f t="shared" si="67"/>
        <v>0</v>
      </c>
      <c r="CG40" s="170">
        <f t="shared" si="68"/>
        <v>0</v>
      </c>
      <c r="CH40" s="170">
        <f t="shared" si="69"/>
        <v>0</v>
      </c>
      <c r="CI40" s="170">
        <f t="shared" si="70"/>
        <v>0</v>
      </c>
      <c r="CJ40" s="170" t="str">
        <f t="shared" si="71"/>
        <v/>
      </c>
      <c r="CK40" s="170" t="str">
        <f t="shared" si="72"/>
        <v/>
      </c>
      <c r="CL40" s="170" t="str">
        <f t="shared" si="73"/>
        <v/>
      </c>
      <c r="CM40" s="172" t="str">
        <f t="shared" si="74"/>
        <v/>
      </c>
      <c r="CN40" s="172" t="str">
        <f t="shared" si="75"/>
        <v/>
      </c>
      <c r="CO40" s="172" t="str">
        <f t="shared" si="76"/>
        <v/>
      </c>
      <c r="CP40" s="172" t="str">
        <f t="shared" si="77"/>
        <v/>
      </c>
      <c r="CQ40" s="172" t="str">
        <f t="shared" si="78"/>
        <v/>
      </c>
      <c r="CR40" s="172" t="str">
        <f t="shared" si="79"/>
        <v/>
      </c>
      <c r="CS40" s="173" t="str">
        <f t="shared" si="80"/>
        <v/>
      </c>
    </row>
    <row r="41" spans="1:97" ht="16.5" customHeight="1" x14ac:dyDescent="0.3">
      <c r="A41" s="145"/>
      <c r="B41" s="146"/>
      <c r="C41" s="146"/>
      <c r="D41" s="147"/>
      <c r="E41" s="147"/>
      <c r="F41" s="4"/>
      <c r="G41" s="4"/>
      <c r="H41" s="3"/>
      <c r="I41" s="128">
        <f t="shared" si="34"/>
        <v>0</v>
      </c>
      <c r="J41" s="3"/>
      <c r="K41" s="3"/>
      <c r="L41" s="4"/>
      <c r="M41" s="4"/>
      <c r="N41" s="109">
        <f t="shared" si="50"/>
        <v>0</v>
      </c>
      <c r="O41" s="171"/>
      <c r="P41" s="148"/>
      <c r="R41" s="115" t="s">
        <v>192</v>
      </c>
      <c r="S41" s="113">
        <v>71.94</v>
      </c>
      <c r="T41" s="52">
        <v>115.39</v>
      </c>
      <c r="U41" s="106">
        <v>75.400000000000006</v>
      </c>
      <c r="V41" s="52">
        <v>69.52</v>
      </c>
      <c r="W41" s="52">
        <v>127.16</v>
      </c>
      <c r="X41" s="53">
        <v>75.400000000000006</v>
      </c>
      <c r="Z41" s="168">
        <f t="array" ref="Z41">IF(Z$1=0,"",SQRT((_xlfn.XLOOKUP(Z$1,$R$2:$R$18,$S$2:$S$18)-$L41)^2+(_xlfn.XLOOKUP(Z$1,$R$2:$R$18,$T$2:$T$18)-$M41)^2+(_xlfn.XLOOKUP(Z$1,$R$2:$R$18,$U$2:$U$18-$N41)^2)))</f>
        <v>112.53151914019467</v>
      </c>
      <c r="AA41" s="150">
        <f t="array" ref="AA41">IF(AA$1=0,"",SQRT((_xlfn.XLOOKUP(AA$1,$R$2:$R$18,$S$2:$S$18)-$L41)^2+(_xlfn.XLOOKUP(AA$1,$R$2:$R$18,$T$2:$T$18)-$M41)^2+(_xlfn.XLOOKUP(AA$1,$R$2:$R$18,$U$2:$U$18-$N41)^2)))</f>
        <v>123.81444705687622</v>
      </c>
      <c r="AB41" s="150">
        <f t="array" ref="AB41">IF(AB$1=0,"",SQRT((_xlfn.XLOOKUP(AB$1,$R$2:$R$18,$S$2:$S$18)-$L41)^2+(_xlfn.XLOOKUP(AB$1,$R$2:$R$18,$T$2:$T$18)-$M41)^2+(_xlfn.XLOOKUP(AB$1,$R$2:$R$18,$U$2:$U$18-$N41)^2)))</f>
        <v>226.27326421828982</v>
      </c>
      <c r="AC41" s="150">
        <f t="array" ref="AC41">IF(AC$1=0,"",SQRT((_xlfn.XLOOKUP(AC$1,$R$2:$R$18,$S$2:$S$18)-$L41)^2+(_xlfn.XLOOKUP(AC$1,$R$2:$R$18,$T$2:$T$18)-$M41)^2+(_xlfn.XLOOKUP(AC$1,$R$2:$R$18,$U$2:$U$18-$N41)^2)))</f>
        <v>330.89448786584524</v>
      </c>
      <c r="AD41" s="150">
        <f t="array" ref="AD41">IF(AD$1=0,"",SQRT((_xlfn.XLOOKUP(AD$1,$R$2:$R$18,$S$2:$S$18)-$L41)^2+(_xlfn.XLOOKUP(AD$1,$R$2:$R$18,$T$2:$T$18)-$M41)^2+(_xlfn.XLOOKUP(AD$1,$R$2:$R$18,$U$2:$U$18-$N41)^2)))</f>
        <v>218.97662386656708</v>
      </c>
      <c r="AE41" s="150" t="str">
        <f t="array" ref="AE41">IF(AE$1=0,"",SQRT((_xlfn.XLOOKUP(AE$1,$R$2:$R$18,$S$2:$S$18)-$L41)^2+(_xlfn.XLOOKUP(AE$1,$R$2:$R$18,$T$2:$T$18)-$M41)^2+(_xlfn.XLOOKUP(AE$1,$R$2:$R$18,$U$2:$U$18-$N41)^2)))</f>
        <v/>
      </c>
      <c r="AF41" s="150" t="str">
        <f t="array" ref="AF41">IF(AF$1=0,"",SQRT((_xlfn.XLOOKUP(AF$1,$R$2:$R$18,$S$2:$S$18)-$L41)^2+(_xlfn.XLOOKUP(AF$1,$R$2:$R$18,$T$2:$T$18)-$M41)^2+(_xlfn.XLOOKUP(AF$1,$R$2:$R$18,$U$2:$U$18-$N41)^2)))</f>
        <v/>
      </c>
      <c r="AG41" s="150" t="str">
        <f t="array" ref="AG41">IF(AG$1=0,"",SQRT((_xlfn.XLOOKUP(AG$1,$R$2:$R$18,$S$2:$S$18)-$L41)^2+(_xlfn.XLOOKUP(AG$1,$R$2:$R$18,$T$2:$T$18)-$M41)^2+(_xlfn.XLOOKUP(AG$1,$R$2:$R$18,$U$2:$U$18-$N41)^2)))</f>
        <v/>
      </c>
      <c r="AH41" s="151" t="str">
        <f t="array" ref="AH41">IF(AH$1=0,"",SQRT((_xlfn.XLOOKUP(AH$1,$R$2:$R$18,$S$2:$S$18)-$L41)^2+(_xlfn.XLOOKUP(AH$1,$R$2:$R$18,$T$2:$T$18)-$M41)^2+(_xlfn.XLOOKUP(AH$1,$R$2:$R$18,$U$2:$U$18-$N41)^2)))</f>
        <v/>
      </c>
      <c r="AI41" s="151" t="str">
        <f t="array" ref="AI41">IF(AI$1=0,"",SQRT((_xlfn.XLOOKUP(AI$1,$R$2:$R$18,$S$2:$S$18)-$L41)^2+(_xlfn.XLOOKUP(AI$1,$R$2:$R$18,$T$2:$T$18)-$M41)^2+(_xlfn.XLOOKUP(AI$1,$R$2:$R$18,$U$2:$U$18-$N41)^2)))</f>
        <v/>
      </c>
      <c r="AJ41" s="151" t="str">
        <f t="array" ref="AJ41">IF(AJ$1=0,"",SQRT((_xlfn.XLOOKUP(AJ$1,$R$2:$R$18,$S$2:$S$18)-$L41)^2+(_xlfn.XLOOKUP(AJ$1,$R$2:$R$18,$T$2:$T$18)-$M41)^2+(_xlfn.XLOOKUP(AJ$1,$R$2:$R$18,$U$2:$U$18-$N41)^2)))</f>
        <v/>
      </c>
      <c r="AK41" s="151" t="str">
        <f t="array" ref="AK41">IF(AK$1=0,"",SQRT((_xlfn.XLOOKUP(AK$1,$R$2:$R$18,$S$2:$S$18)-$L41)^2+(_xlfn.XLOOKUP(AK$1,$R$2:$R$18,$T$2:$T$18)-$M41)^2+(_xlfn.XLOOKUP(AK$1,$R$2:$R$18,$U$2:$U$18-$N41)^2)))</f>
        <v/>
      </c>
      <c r="AL41" s="151" t="str">
        <f t="array" ref="AL41">IF(AL$1=0,"",SQRT((_xlfn.XLOOKUP(AL$1,$R$2:$R$18,$S$2:$S$18)-$L41)^2+(_xlfn.XLOOKUP(AL$1,$R$2:$R$18,$T$2:$T$18)-$M41)^2+(_xlfn.XLOOKUP(AL$1,$R$2:$R$18,$U$2:$U$18-$N41)^2)))</f>
        <v/>
      </c>
      <c r="AM41" s="151" t="str">
        <f t="array" ref="AM41">IF(AM$1=0,"",SQRT((_xlfn.XLOOKUP(AM$1,$R$2:$R$18,$S$2:$S$18)-$L41)^2+(_xlfn.XLOOKUP(AM$1,$R$2:$R$18,$T$2:$T$18)-$M41)^2+(_xlfn.XLOOKUP(AM$1,$R$2:$R$18,$U$2:$U$18-$N41)^2)))</f>
        <v/>
      </c>
      <c r="AN41" s="152" t="str">
        <f t="array" ref="AN41">IF(AN$1=0,"",SQRT((_xlfn.XLOOKUP(AN$1,$R$2:$R$18,$S$2:$S$18)-$L41)^2+(_xlfn.XLOOKUP(AN$1,$R$2:$R$18,$T$2:$T$18)-$M41)^2+(_xlfn.XLOOKUP(AN$1,$R$2:$R$18,$U$2:$U$18-$N41)^2)))</f>
        <v/>
      </c>
      <c r="AO41" s="134"/>
      <c r="AP41" s="134"/>
      <c r="AQ41" s="135">
        <f t="shared" si="51"/>
        <v>0</v>
      </c>
      <c r="AR41" s="153">
        <f t="shared" si="52"/>
        <v>0</v>
      </c>
      <c r="AS41" s="153">
        <f t="shared" si="53"/>
        <v>0</v>
      </c>
      <c r="AT41" s="153">
        <f t="shared" si="54"/>
        <v>0</v>
      </c>
      <c r="AU41" s="153">
        <f t="shared" si="55"/>
        <v>0</v>
      </c>
      <c r="AV41" s="153">
        <f t="shared" si="56"/>
        <v>0</v>
      </c>
      <c r="AW41" s="153">
        <f t="shared" si="57"/>
        <v>0</v>
      </c>
      <c r="AX41" s="153">
        <f t="shared" si="58"/>
        <v>0</v>
      </c>
      <c r="AY41" s="154">
        <f t="shared" si="59"/>
        <v>0</v>
      </c>
      <c r="AZ41" s="154">
        <f t="shared" si="60"/>
        <v>0</v>
      </c>
      <c r="BA41" s="154">
        <f t="shared" si="61"/>
        <v>0</v>
      </c>
      <c r="BB41" s="154">
        <f t="shared" si="62"/>
        <v>0</v>
      </c>
      <c r="BC41" s="154">
        <f t="shared" si="63"/>
        <v>0</v>
      </c>
      <c r="BD41" s="154">
        <f t="shared" si="64"/>
        <v>0</v>
      </c>
      <c r="BE41" s="155">
        <f t="shared" si="65"/>
        <v>0</v>
      </c>
      <c r="BF41" s="134"/>
      <c r="BG41" s="56">
        <v>1</v>
      </c>
      <c r="BH41" s="56">
        <v>7</v>
      </c>
      <c r="BI41" s="21"/>
      <c r="BJ41" s="134"/>
      <c r="BK41" s="134"/>
      <c r="BL41" s="134"/>
      <c r="BM41" s="134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34"/>
      <c r="CD41" s="134"/>
      <c r="CE41" s="169">
        <f t="shared" si="66"/>
        <v>0</v>
      </c>
      <c r="CF41" s="170">
        <f t="shared" si="67"/>
        <v>0</v>
      </c>
      <c r="CG41" s="170">
        <f t="shared" si="68"/>
        <v>0</v>
      </c>
      <c r="CH41" s="170">
        <f t="shared" si="69"/>
        <v>0</v>
      </c>
      <c r="CI41" s="170">
        <f t="shared" si="70"/>
        <v>0</v>
      </c>
      <c r="CJ41" s="170" t="str">
        <f t="shared" si="71"/>
        <v/>
      </c>
      <c r="CK41" s="170" t="str">
        <f t="shared" si="72"/>
        <v/>
      </c>
      <c r="CL41" s="170" t="str">
        <f t="shared" si="73"/>
        <v/>
      </c>
      <c r="CM41" s="172" t="str">
        <f t="shared" si="74"/>
        <v/>
      </c>
      <c r="CN41" s="172" t="str">
        <f t="shared" si="75"/>
        <v/>
      </c>
      <c r="CO41" s="172" t="str">
        <f t="shared" si="76"/>
        <v/>
      </c>
      <c r="CP41" s="172" t="str">
        <f t="shared" si="77"/>
        <v/>
      </c>
      <c r="CQ41" s="172" t="str">
        <f t="shared" si="78"/>
        <v/>
      </c>
      <c r="CR41" s="172" t="str">
        <f t="shared" si="79"/>
        <v/>
      </c>
      <c r="CS41" s="173" t="str">
        <f t="shared" si="80"/>
        <v/>
      </c>
    </row>
    <row r="42" spans="1:97" ht="16.5" customHeight="1" x14ac:dyDescent="0.3">
      <c r="A42" s="145"/>
      <c r="B42" s="146"/>
      <c r="C42" s="146"/>
      <c r="D42" s="147"/>
      <c r="E42" s="147"/>
      <c r="F42" s="4"/>
      <c r="G42" s="4"/>
      <c r="H42" s="3"/>
      <c r="I42" s="128">
        <f t="shared" si="34"/>
        <v>0</v>
      </c>
      <c r="J42" s="3"/>
      <c r="K42" s="3"/>
      <c r="L42" s="4"/>
      <c r="M42" s="4"/>
      <c r="N42" s="109">
        <f t="shared" si="50"/>
        <v>0</v>
      </c>
      <c r="O42" s="171"/>
      <c r="P42" s="148"/>
      <c r="R42" s="115" t="s">
        <v>193</v>
      </c>
      <c r="S42" s="113">
        <v>64.459999999999994</v>
      </c>
      <c r="T42" s="52">
        <v>114.18</v>
      </c>
      <c r="U42" s="106">
        <v>75.400000000000006</v>
      </c>
      <c r="V42" s="52">
        <v>71.83</v>
      </c>
      <c r="W42" s="52">
        <v>115.72</v>
      </c>
      <c r="X42" s="53">
        <v>75.400000000000006</v>
      </c>
      <c r="Z42" s="168">
        <f t="array" ref="Z42">IF(Z$1=0,"",SQRT((_xlfn.XLOOKUP(Z$1,$R$2:$R$18,$S$2:$S$18)-$L42)^2+(_xlfn.XLOOKUP(Z$1,$R$2:$R$18,$T$2:$T$18)-$M42)^2+(_xlfn.XLOOKUP(Z$1,$R$2:$R$18,$U$2:$U$18-$N42)^2)))</f>
        <v>112.53151914019467</v>
      </c>
      <c r="AA42" s="150">
        <f t="array" ref="AA42">IF(AA$1=0,"",SQRT((_xlfn.XLOOKUP(AA$1,$R$2:$R$18,$S$2:$S$18)-$L42)^2+(_xlfn.XLOOKUP(AA$1,$R$2:$R$18,$T$2:$T$18)-$M42)^2+(_xlfn.XLOOKUP(AA$1,$R$2:$R$18,$U$2:$U$18-$N42)^2)))</f>
        <v>123.81444705687622</v>
      </c>
      <c r="AB42" s="150">
        <f t="array" ref="AB42">IF(AB$1=0,"",SQRT((_xlfn.XLOOKUP(AB$1,$R$2:$R$18,$S$2:$S$18)-$L42)^2+(_xlfn.XLOOKUP(AB$1,$R$2:$R$18,$T$2:$T$18)-$M42)^2+(_xlfn.XLOOKUP(AB$1,$R$2:$R$18,$U$2:$U$18-$N42)^2)))</f>
        <v>226.27326421828982</v>
      </c>
      <c r="AC42" s="150">
        <f t="array" ref="AC42">IF(AC$1=0,"",SQRT((_xlfn.XLOOKUP(AC$1,$R$2:$R$18,$S$2:$S$18)-$L42)^2+(_xlfn.XLOOKUP(AC$1,$R$2:$R$18,$T$2:$T$18)-$M42)^2+(_xlfn.XLOOKUP(AC$1,$R$2:$R$18,$U$2:$U$18-$N42)^2)))</f>
        <v>330.89448786584524</v>
      </c>
      <c r="AD42" s="150">
        <f t="array" ref="AD42">IF(AD$1=0,"",SQRT((_xlfn.XLOOKUP(AD$1,$R$2:$R$18,$S$2:$S$18)-$L42)^2+(_xlfn.XLOOKUP(AD$1,$R$2:$R$18,$T$2:$T$18)-$M42)^2+(_xlfn.XLOOKUP(AD$1,$R$2:$R$18,$U$2:$U$18-$N42)^2)))</f>
        <v>218.97662386656708</v>
      </c>
      <c r="AE42" s="150" t="str">
        <f t="array" ref="AE42">IF(AE$1=0,"",SQRT((_xlfn.XLOOKUP(AE$1,$R$2:$R$18,$S$2:$S$18)-$L42)^2+(_xlfn.XLOOKUP(AE$1,$R$2:$R$18,$T$2:$T$18)-$M42)^2+(_xlfn.XLOOKUP(AE$1,$R$2:$R$18,$U$2:$U$18-$N42)^2)))</f>
        <v/>
      </c>
      <c r="AF42" s="150" t="str">
        <f t="array" ref="AF42">IF(AF$1=0,"",SQRT((_xlfn.XLOOKUP(AF$1,$R$2:$R$18,$S$2:$S$18)-$L42)^2+(_xlfn.XLOOKUP(AF$1,$R$2:$R$18,$T$2:$T$18)-$M42)^2+(_xlfn.XLOOKUP(AF$1,$R$2:$R$18,$U$2:$U$18-$N42)^2)))</f>
        <v/>
      </c>
      <c r="AG42" s="150" t="str">
        <f t="array" ref="AG42">IF(AG$1=0,"",SQRT((_xlfn.XLOOKUP(AG$1,$R$2:$R$18,$S$2:$S$18)-$L42)^2+(_xlfn.XLOOKUP(AG$1,$R$2:$R$18,$T$2:$T$18)-$M42)^2+(_xlfn.XLOOKUP(AG$1,$R$2:$R$18,$U$2:$U$18-$N42)^2)))</f>
        <v/>
      </c>
      <c r="AH42" s="151" t="str">
        <f t="array" ref="AH42">IF(AH$1=0,"",SQRT((_xlfn.XLOOKUP(AH$1,$R$2:$R$18,$S$2:$S$18)-$L42)^2+(_xlfn.XLOOKUP(AH$1,$R$2:$R$18,$T$2:$T$18)-$M42)^2+(_xlfn.XLOOKUP(AH$1,$R$2:$R$18,$U$2:$U$18-$N42)^2)))</f>
        <v/>
      </c>
      <c r="AI42" s="151" t="str">
        <f t="array" ref="AI42">IF(AI$1=0,"",SQRT((_xlfn.XLOOKUP(AI$1,$R$2:$R$18,$S$2:$S$18)-$L42)^2+(_xlfn.XLOOKUP(AI$1,$R$2:$R$18,$T$2:$T$18)-$M42)^2+(_xlfn.XLOOKUP(AI$1,$R$2:$R$18,$U$2:$U$18-$N42)^2)))</f>
        <v/>
      </c>
      <c r="AJ42" s="151" t="str">
        <f t="array" ref="AJ42">IF(AJ$1=0,"",SQRT((_xlfn.XLOOKUP(AJ$1,$R$2:$R$18,$S$2:$S$18)-$L42)^2+(_xlfn.XLOOKUP(AJ$1,$R$2:$R$18,$T$2:$T$18)-$M42)^2+(_xlfn.XLOOKUP(AJ$1,$R$2:$R$18,$U$2:$U$18-$N42)^2)))</f>
        <v/>
      </c>
      <c r="AK42" s="151" t="str">
        <f t="array" ref="AK42">IF(AK$1=0,"",SQRT((_xlfn.XLOOKUP(AK$1,$R$2:$R$18,$S$2:$S$18)-$L42)^2+(_xlfn.XLOOKUP(AK$1,$R$2:$R$18,$T$2:$T$18)-$M42)^2+(_xlfn.XLOOKUP(AK$1,$R$2:$R$18,$U$2:$U$18-$N42)^2)))</f>
        <v/>
      </c>
      <c r="AL42" s="151" t="str">
        <f t="array" ref="AL42">IF(AL$1=0,"",SQRT((_xlfn.XLOOKUP(AL$1,$R$2:$R$18,$S$2:$S$18)-$L42)^2+(_xlfn.XLOOKUP(AL$1,$R$2:$R$18,$T$2:$T$18)-$M42)^2+(_xlfn.XLOOKUP(AL$1,$R$2:$R$18,$U$2:$U$18-$N42)^2)))</f>
        <v/>
      </c>
      <c r="AM42" s="151" t="str">
        <f t="array" ref="AM42">IF(AM$1=0,"",SQRT((_xlfn.XLOOKUP(AM$1,$R$2:$R$18,$S$2:$S$18)-$L42)^2+(_xlfn.XLOOKUP(AM$1,$R$2:$R$18,$T$2:$T$18)-$M42)^2+(_xlfn.XLOOKUP(AM$1,$R$2:$R$18,$U$2:$U$18-$N42)^2)))</f>
        <v/>
      </c>
      <c r="AN42" s="152" t="str">
        <f t="array" ref="AN42">IF(AN$1=0,"",SQRT((_xlfn.XLOOKUP(AN$1,$R$2:$R$18,$S$2:$S$18)-$L42)^2+(_xlfn.XLOOKUP(AN$1,$R$2:$R$18,$T$2:$T$18)-$M42)^2+(_xlfn.XLOOKUP(AN$1,$R$2:$R$18,$U$2:$U$18-$N42)^2)))</f>
        <v/>
      </c>
      <c r="AO42" s="134"/>
      <c r="AP42" s="134"/>
      <c r="AQ42" s="135">
        <f t="shared" si="51"/>
        <v>0</v>
      </c>
      <c r="AR42" s="153">
        <f t="shared" si="52"/>
        <v>0</v>
      </c>
      <c r="AS42" s="153">
        <f t="shared" si="53"/>
        <v>0</v>
      </c>
      <c r="AT42" s="153">
        <f t="shared" si="54"/>
        <v>0</v>
      </c>
      <c r="AU42" s="153">
        <f t="shared" si="55"/>
        <v>0</v>
      </c>
      <c r="AV42" s="153">
        <f t="shared" si="56"/>
        <v>0</v>
      </c>
      <c r="AW42" s="153">
        <f t="shared" si="57"/>
        <v>0</v>
      </c>
      <c r="AX42" s="153">
        <f t="shared" si="58"/>
        <v>0</v>
      </c>
      <c r="AY42" s="154">
        <f t="shared" si="59"/>
        <v>0</v>
      </c>
      <c r="AZ42" s="154">
        <f t="shared" si="60"/>
        <v>0</v>
      </c>
      <c r="BA42" s="154">
        <f t="shared" si="61"/>
        <v>0</v>
      </c>
      <c r="BB42" s="154">
        <f t="shared" si="62"/>
        <v>0</v>
      </c>
      <c r="BC42" s="154">
        <f t="shared" si="63"/>
        <v>0</v>
      </c>
      <c r="BD42" s="154">
        <f t="shared" si="64"/>
        <v>0</v>
      </c>
      <c r="BE42" s="155">
        <f t="shared" si="65"/>
        <v>0</v>
      </c>
      <c r="BF42" s="134"/>
      <c r="BG42" s="56">
        <v>2</v>
      </c>
      <c r="BH42" s="56">
        <v>10</v>
      </c>
      <c r="BI42" s="21"/>
      <c r="BJ42" s="134"/>
      <c r="BK42" s="134"/>
      <c r="BL42" s="134"/>
      <c r="BM42" s="134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34"/>
      <c r="CD42" s="134"/>
      <c r="CE42" s="169">
        <f t="shared" si="66"/>
        <v>0</v>
      </c>
      <c r="CF42" s="170">
        <f t="shared" si="67"/>
        <v>0</v>
      </c>
      <c r="CG42" s="170">
        <f t="shared" si="68"/>
        <v>0</v>
      </c>
      <c r="CH42" s="170">
        <f t="shared" si="69"/>
        <v>0</v>
      </c>
      <c r="CI42" s="170">
        <f t="shared" si="70"/>
        <v>0</v>
      </c>
      <c r="CJ42" s="170" t="str">
        <f t="shared" si="71"/>
        <v/>
      </c>
      <c r="CK42" s="170" t="str">
        <f t="shared" si="72"/>
        <v/>
      </c>
      <c r="CL42" s="170" t="str">
        <f t="shared" si="73"/>
        <v/>
      </c>
      <c r="CM42" s="172" t="str">
        <f t="shared" si="74"/>
        <v/>
      </c>
      <c r="CN42" s="172" t="str">
        <f t="shared" si="75"/>
        <v/>
      </c>
      <c r="CO42" s="172" t="str">
        <f t="shared" si="76"/>
        <v/>
      </c>
      <c r="CP42" s="172" t="str">
        <f t="shared" si="77"/>
        <v/>
      </c>
      <c r="CQ42" s="172" t="str">
        <f t="shared" si="78"/>
        <v/>
      </c>
      <c r="CR42" s="172" t="str">
        <f t="shared" si="79"/>
        <v/>
      </c>
      <c r="CS42" s="173" t="str">
        <f t="shared" si="80"/>
        <v/>
      </c>
    </row>
    <row r="43" spans="1:97" ht="16.5" customHeight="1" x14ac:dyDescent="0.3">
      <c r="A43" s="145"/>
      <c r="B43" s="146"/>
      <c r="C43" s="146"/>
      <c r="D43" s="147"/>
      <c r="E43" s="147"/>
      <c r="F43" s="4"/>
      <c r="G43" s="4"/>
      <c r="H43" s="3"/>
      <c r="I43" s="128">
        <f t="shared" si="34"/>
        <v>0</v>
      </c>
      <c r="J43" s="3"/>
      <c r="K43" s="3"/>
      <c r="L43" s="4"/>
      <c r="M43" s="4"/>
      <c r="N43" s="109">
        <f t="shared" si="50"/>
        <v>0</v>
      </c>
      <c r="O43" s="171"/>
      <c r="P43" s="148"/>
      <c r="R43" s="115" t="s">
        <v>194</v>
      </c>
      <c r="S43" s="113">
        <v>64.239999999999995</v>
      </c>
      <c r="T43" s="52">
        <v>114.29</v>
      </c>
      <c r="U43" s="106">
        <v>75.400000000000006</v>
      </c>
      <c r="V43" s="52">
        <v>67.760000000000005</v>
      </c>
      <c r="W43" s="52">
        <v>96.8</v>
      </c>
      <c r="X43" s="53">
        <v>75.400000000000006</v>
      </c>
      <c r="Z43" s="168">
        <f t="array" ref="Z43">IF(Z$1=0,"",SQRT((_xlfn.XLOOKUP(Z$1,$R$2:$R$18,$S$2:$S$18)-$L43)^2+(_xlfn.XLOOKUP(Z$1,$R$2:$R$18,$T$2:$T$18)-$M43)^2+(_xlfn.XLOOKUP(Z$1,$R$2:$R$18,$U$2:$U$18-$N43)^2)))</f>
        <v>112.53151914019467</v>
      </c>
      <c r="AA43" s="150">
        <f t="array" ref="AA43">IF(AA$1=0,"",SQRT((_xlfn.XLOOKUP(AA$1,$R$2:$R$18,$S$2:$S$18)-$L43)^2+(_xlfn.XLOOKUP(AA$1,$R$2:$R$18,$T$2:$T$18)-$M43)^2+(_xlfn.XLOOKUP(AA$1,$R$2:$R$18,$U$2:$U$18-$N43)^2)))</f>
        <v>123.81444705687622</v>
      </c>
      <c r="AB43" s="150">
        <f t="array" ref="AB43">IF(AB$1=0,"",SQRT((_xlfn.XLOOKUP(AB$1,$R$2:$R$18,$S$2:$S$18)-$L43)^2+(_xlfn.XLOOKUP(AB$1,$R$2:$R$18,$T$2:$T$18)-$M43)^2+(_xlfn.XLOOKUP(AB$1,$R$2:$R$18,$U$2:$U$18-$N43)^2)))</f>
        <v>226.27326421828982</v>
      </c>
      <c r="AC43" s="150">
        <f t="array" ref="AC43">IF(AC$1=0,"",SQRT((_xlfn.XLOOKUP(AC$1,$R$2:$R$18,$S$2:$S$18)-$L43)^2+(_xlfn.XLOOKUP(AC$1,$R$2:$R$18,$T$2:$T$18)-$M43)^2+(_xlfn.XLOOKUP(AC$1,$R$2:$R$18,$U$2:$U$18-$N43)^2)))</f>
        <v>330.89448786584524</v>
      </c>
      <c r="AD43" s="150">
        <f t="array" ref="AD43">IF(AD$1=0,"",SQRT((_xlfn.XLOOKUP(AD$1,$R$2:$R$18,$S$2:$S$18)-$L43)^2+(_xlfn.XLOOKUP(AD$1,$R$2:$R$18,$T$2:$T$18)-$M43)^2+(_xlfn.XLOOKUP(AD$1,$R$2:$R$18,$U$2:$U$18-$N43)^2)))</f>
        <v>218.97662386656708</v>
      </c>
      <c r="AE43" s="150" t="str">
        <f t="array" ref="AE43">IF(AE$1=0,"",SQRT((_xlfn.XLOOKUP(AE$1,$R$2:$R$18,$S$2:$S$18)-$L43)^2+(_xlfn.XLOOKUP(AE$1,$R$2:$R$18,$T$2:$T$18)-$M43)^2+(_xlfn.XLOOKUP(AE$1,$R$2:$R$18,$U$2:$U$18-$N43)^2)))</f>
        <v/>
      </c>
      <c r="AF43" s="150" t="str">
        <f t="array" ref="AF43">IF(AF$1=0,"",SQRT((_xlfn.XLOOKUP(AF$1,$R$2:$R$18,$S$2:$S$18)-$L43)^2+(_xlfn.XLOOKUP(AF$1,$R$2:$R$18,$T$2:$T$18)-$M43)^2+(_xlfn.XLOOKUP(AF$1,$R$2:$R$18,$U$2:$U$18-$N43)^2)))</f>
        <v/>
      </c>
      <c r="AG43" s="150" t="str">
        <f t="array" ref="AG43">IF(AG$1=0,"",SQRT((_xlfn.XLOOKUP(AG$1,$R$2:$R$18,$S$2:$S$18)-$L43)^2+(_xlfn.XLOOKUP(AG$1,$R$2:$R$18,$T$2:$T$18)-$M43)^2+(_xlfn.XLOOKUP(AG$1,$R$2:$R$18,$U$2:$U$18-$N43)^2)))</f>
        <v/>
      </c>
      <c r="AH43" s="151" t="str">
        <f t="array" ref="AH43">IF(AH$1=0,"",SQRT((_xlfn.XLOOKUP(AH$1,$R$2:$R$18,$S$2:$S$18)-$L43)^2+(_xlfn.XLOOKUP(AH$1,$R$2:$R$18,$T$2:$T$18)-$M43)^2+(_xlfn.XLOOKUP(AH$1,$R$2:$R$18,$U$2:$U$18-$N43)^2)))</f>
        <v/>
      </c>
      <c r="AI43" s="151" t="str">
        <f t="array" ref="AI43">IF(AI$1=0,"",SQRT((_xlfn.XLOOKUP(AI$1,$R$2:$R$18,$S$2:$S$18)-$L43)^2+(_xlfn.XLOOKUP(AI$1,$R$2:$R$18,$T$2:$T$18)-$M43)^2+(_xlfn.XLOOKUP(AI$1,$R$2:$R$18,$U$2:$U$18-$N43)^2)))</f>
        <v/>
      </c>
      <c r="AJ43" s="151" t="str">
        <f t="array" ref="AJ43">IF(AJ$1=0,"",SQRT((_xlfn.XLOOKUP(AJ$1,$R$2:$R$18,$S$2:$S$18)-$L43)^2+(_xlfn.XLOOKUP(AJ$1,$R$2:$R$18,$T$2:$T$18)-$M43)^2+(_xlfn.XLOOKUP(AJ$1,$R$2:$R$18,$U$2:$U$18-$N43)^2)))</f>
        <v/>
      </c>
      <c r="AK43" s="151" t="str">
        <f t="array" ref="AK43">IF(AK$1=0,"",SQRT((_xlfn.XLOOKUP(AK$1,$R$2:$R$18,$S$2:$S$18)-$L43)^2+(_xlfn.XLOOKUP(AK$1,$R$2:$R$18,$T$2:$T$18)-$M43)^2+(_xlfn.XLOOKUP(AK$1,$R$2:$R$18,$U$2:$U$18-$N43)^2)))</f>
        <v/>
      </c>
      <c r="AL43" s="151" t="str">
        <f t="array" ref="AL43">IF(AL$1=0,"",SQRT((_xlfn.XLOOKUP(AL$1,$R$2:$R$18,$S$2:$S$18)-$L43)^2+(_xlfn.XLOOKUP(AL$1,$R$2:$R$18,$T$2:$T$18)-$M43)^2+(_xlfn.XLOOKUP(AL$1,$R$2:$R$18,$U$2:$U$18-$N43)^2)))</f>
        <v/>
      </c>
      <c r="AM43" s="151" t="str">
        <f t="array" ref="AM43">IF(AM$1=0,"",SQRT((_xlfn.XLOOKUP(AM$1,$R$2:$R$18,$S$2:$S$18)-$L43)^2+(_xlfn.XLOOKUP(AM$1,$R$2:$R$18,$T$2:$T$18)-$M43)^2+(_xlfn.XLOOKUP(AM$1,$R$2:$R$18,$U$2:$U$18-$N43)^2)))</f>
        <v/>
      </c>
      <c r="AN43" s="152" t="str">
        <f t="array" ref="AN43">IF(AN$1=0,"",SQRT((_xlfn.XLOOKUP(AN$1,$R$2:$R$18,$S$2:$S$18)-$L43)^2+(_xlfn.XLOOKUP(AN$1,$R$2:$R$18,$T$2:$T$18)-$M43)^2+(_xlfn.XLOOKUP(AN$1,$R$2:$R$18,$U$2:$U$18-$N43)^2)))</f>
        <v/>
      </c>
      <c r="AO43" s="134"/>
      <c r="AP43" s="134"/>
      <c r="AQ43" s="135">
        <f t="shared" si="51"/>
        <v>0</v>
      </c>
      <c r="AR43" s="153">
        <f t="shared" si="52"/>
        <v>0</v>
      </c>
      <c r="AS43" s="153">
        <f t="shared" si="53"/>
        <v>0</v>
      </c>
      <c r="AT43" s="153">
        <f t="shared" si="54"/>
        <v>0</v>
      </c>
      <c r="AU43" s="153">
        <f t="shared" si="55"/>
        <v>0</v>
      </c>
      <c r="AV43" s="153">
        <f t="shared" si="56"/>
        <v>0</v>
      </c>
      <c r="AW43" s="153">
        <f t="shared" si="57"/>
        <v>0</v>
      </c>
      <c r="AX43" s="153">
        <f t="shared" si="58"/>
        <v>0</v>
      </c>
      <c r="AY43" s="154">
        <f t="shared" si="59"/>
        <v>0</v>
      </c>
      <c r="AZ43" s="154">
        <f t="shared" si="60"/>
        <v>0</v>
      </c>
      <c r="BA43" s="154">
        <f t="shared" si="61"/>
        <v>0</v>
      </c>
      <c r="BB43" s="154">
        <f t="shared" si="62"/>
        <v>0</v>
      </c>
      <c r="BC43" s="154">
        <f t="shared" si="63"/>
        <v>0</v>
      </c>
      <c r="BD43" s="154">
        <f t="shared" si="64"/>
        <v>0</v>
      </c>
      <c r="BE43" s="155">
        <f t="shared" si="65"/>
        <v>0</v>
      </c>
      <c r="BF43" s="134"/>
      <c r="BG43" s="56">
        <v>3</v>
      </c>
      <c r="BH43" s="56">
        <v>12</v>
      </c>
      <c r="BI43" s="21"/>
      <c r="BJ43" s="134"/>
      <c r="BK43" s="134"/>
      <c r="BL43" s="134"/>
      <c r="BM43" s="134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34"/>
      <c r="CD43" s="134"/>
      <c r="CE43" s="169">
        <f t="shared" si="66"/>
        <v>0</v>
      </c>
      <c r="CF43" s="170">
        <f t="shared" si="67"/>
        <v>0</v>
      </c>
      <c r="CG43" s="170">
        <f t="shared" si="68"/>
        <v>0</v>
      </c>
      <c r="CH43" s="170">
        <f t="shared" si="69"/>
        <v>0</v>
      </c>
      <c r="CI43" s="170">
        <f t="shared" si="70"/>
        <v>0</v>
      </c>
      <c r="CJ43" s="170" t="str">
        <f t="shared" si="71"/>
        <v/>
      </c>
      <c r="CK43" s="170" t="str">
        <f t="shared" si="72"/>
        <v/>
      </c>
      <c r="CL43" s="170" t="str">
        <f t="shared" si="73"/>
        <v/>
      </c>
      <c r="CM43" s="172" t="str">
        <f t="shared" si="74"/>
        <v/>
      </c>
      <c r="CN43" s="172" t="str">
        <f t="shared" si="75"/>
        <v/>
      </c>
      <c r="CO43" s="172" t="str">
        <f t="shared" si="76"/>
        <v/>
      </c>
      <c r="CP43" s="172" t="str">
        <f t="shared" si="77"/>
        <v/>
      </c>
      <c r="CQ43" s="172" t="str">
        <f t="shared" si="78"/>
        <v/>
      </c>
      <c r="CR43" s="172" t="str">
        <f t="shared" si="79"/>
        <v/>
      </c>
      <c r="CS43" s="173" t="str">
        <f t="shared" si="80"/>
        <v/>
      </c>
    </row>
    <row r="44" spans="1:97" ht="16.5" customHeight="1" x14ac:dyDescent="0.3">
      <c r="A44" s="145"/>
      <c r="B44" s="146"/>
      <c r="C44" s="146"/>
      <c r="D44" s="147"/>
      <c r="E44" s="147"/>
      <c r="F44" s="4"/>
      <c r="G44" s="4"/>
      <c r="H44" s="3"/>
      <c r="I44" s="128">
        <f t="shared" si="34"/>
        <v>0</v>
      </c>
      <c r="J44" s="3"/>
      <c r="K44" s="3"/>
      <c r="L44" s="4"/>
      <c r="M44" s="4"/>
      <c r="N44" s="109">
        <f t="shared" si="50"/>
        <v>0</v>
      </c>
      <c r="O44" s="171"/>
      <c r="P44" s="148"/>
      <c r="R44" s="115" t="s">
        <v>195</v>
      </c>
      <c r="S44" s="113">
        <v>67.760000000000005</v>
      </c>
      <c r="T44" s="52">
        <v>96.47</v>
      </c>
      <c r="U44" s="106">
        <v>75.400000000000006</v>
      </c>
      <c r="V44" s="52">
        <v>75.349999999999994</v>
      </c>
      <c r="W44" s="52">
        <v>97.79</v>
      </c>
      <c r="X44" s="53">
        <v>75.400000000000006</v>
      </c>
      <c r="Z44" s="168">
        <f t="array" ref="Z44">IF(Z$1=0,"",SQRT((_xlfn.XLOOKUP(Z$1,$R$2:$R$18,$S$2:$S$18)-$L44)^2+(_xlfn.XLOOKUP(Z$1,$R$2:$R$18,$T$2:$T$18)-$M44)^2+(_xlfn.XLOOKUP(Z$1,$R$2:$R$18,$U$2:$U$18-$N44)^2)))</f>
        <v>112.53151914019467</v>
      </c>
      <c r="AA44" s="150">
        <f t="array" ref="AA44">IF(AA$1=0,"",SQRT((_xlfn.XLOOKUP(AA$1,$R$2:$R$18,$S$2:$S$18)-$L44)^2+(_xlfn.XLOOKUP(AA$1,$R$2:$R$18,$T$2:$T$18)-$M44)^2+(_xlfn.XLOOKUP(AA$1,$R$2:$R$18,$U$2:$U$18-$N44)^2)))</f>
        <v>123.81444705687622</v>
      </c>
      <c r="AB44" s="150">
        <f t="array" ref="AB44">IF(AB$1=0,"",SQRT((_xlfn.XLOOKUP(AB$1,$R$2:$R$18,$S$2:$S$18)-$L44)^2+(_xlfn.XLOOKUP(AB$1,$R$2:$R$18,$T$2:$T$18)-$M44)^2+(_xlfn.XLOOKUP(AB$1,$R$2:$R$18,$U$2:$U$18-$N44)^2)))</f>
        <v>226.27326421828982</v>
      </c>
      <c r="AC44" s="150">
        <f t="array" ref="AC44">IF(AC$1=0,"",SQRT((_xlfn.XLOOKUP(AC$1,$R$2:$R$18,$S$2:$S$18)-$L44)^2+(_xlfn.XLOOKUP(AC$1,$R$2:$R$18,$T$2:$T$18)-$M44)^2+(_xlfn.XLOOKUP(AC$1,$R$2:$R$18,$U$2:$U$18-$N44)^2)))</f>
        <v>330.89448786584524</v>
      </c>
      <c r="AD44" s="150">
        <f t="array" ref="AD44">IF(AD$1=0,"",SQRT((_xlfn.XLOOKUP(AD$1,$R$2:$R$18,$S$2:$S$18)-$L44)^2+(_xlfn.XLOOKUP(AD$1,$R$2:$R$18,$T$2:$T$18)-$M44)^2+(_xlfn.XLOOKUP(AD$1,$R$2:$R$18,$U$2:$U$18-$N44)^2)))</f>
        <v>218.97662386656708</v>
      </c>
      <c r="AE44" s="150" t="str">
        <f t="array" ref="AE44">IF(AE$1=0,"",SQRT((_xlfn.XLOOKUP(AE$1,$R$2:$R$18,$S$2:$S$18)-$L44)^2+(_xlfn.XLOOKUP(AE$1,$R$2:$R$18,$T$2:$T$18)-$M44)^2+(_xlfn.XLOOKUP(AE$1,$R$2:$R$18,$U$2:$U$18-$N44)^2)))</f>
        <v/>
      </c>
      <c r="AF44" s="150" t="str">
        <f t="array" ref="AF44">IF(AF$1=0,"",SQRT((_xlfn.XLOOKUP(AF$1,$R$2:$R$18,$S$2:$S$18)-$L44)^2+(_xlfn.XLOOKUP(AF$1,$R$2:$R$18,$T$2:$T$18)-$M44)^2+(_xlfn.XLOOKUP(AF$1,$R$2:$R$18,$U$2:$U$18-$N44)^2)))</f>
        <v/>
      </c>
      <c r="AG44" s="150" t="str">
        <f t="array" ref="AG44">IF(AG$1=0,"",SQRT((_xlfn.XLOOKUP(AG$1,$R$2:$R$18,$S$2:$S$18)-$L44)^2+(_xlfn.XLOOKUP(AG$1,$R$2:$R$18,$T$2:$T$18)-$M44)^2+(_xlfn.XLOOKUP(AG$1,$R$2:$R$18,$U$2:$U$18-$N44)^2)))</f>
        <v/>
      </c>
      <c r="AH44" s="151" t="str">
        <f t="array" ref="AH44">IF(AH$1=0,"",SQRT((_xlfn.XLOOKUP(AH$1,$R$2:$R$18,$S$2:$S$18)-$L44)^2+(_xlfn.XLOOKUP(AH$1,$R$2:$R$18,$T$2:$T$18)-$M44)^2+(_xlfn.XLOOKUP(AH$1,$R$2:$R$18,$U$2:$U$18-$N44)^2)))</f>
        <v/>
      </c>
      <c r="AI44" s="151" t="str">
        <f t="array" ref="AI44">IF(AI$1=0,"",SQRT((_xlfn.XLOOKUP(AI$1,$R$2:$R$18,$S$2:$S$18)-$L44)^2+(_xlfn.XLOOKUP(AI$1,$R$2:$R$18,$T$2:$T$18)-$M44)^2+(_xlfn.XLOOKUP(AI$1,$R$2:$R$18,$U$2:$U$18-$N44)^2)))</f>
        <v/>
      </c>
      <c r="AJ44" s="151" t="str">
        <f t="array" ref="AJ44">IF(AJ$1=0,"",SQRT((_xlfn.XLOOKUP(AJ$1,$R$2:$R$18,$S$2:$S$18)-$L44)^2+(_xlfn.XLOOKUP(AJ$1,$R$2:$R$18,$T$2:$T$18)-$M44)^2+(_xlfn.XLOOKUP(AJ$1,$R$2:$R$18,$U$2:$U$18-$N44)^2)))</f>
        <v/>
      </c>
      <c r="AK44" s="151" t="str">
        <f t="array" ref="AK44">IF(AK$1=0,"",SQRT((_xlfn.XLOOKUP(AK$1,$R$2:$R$18,$S$2:$S$18)-$L44)^2+(_xlfn.XLOOKUP(AK$1,$R$2:$R$18,$T$2:$T$18)-$M44)^2+(_xlfn.XLOOKUP(AK$1,$R$2:$R$18,$U$2:$U$18-$N44)^2)))</f>
        <v/>
      </c>
      <c r="AL44" s="151" t="str">
        <f t="array" ref="AL44">IF(AL$1=0,"",SQRT((_xlfn.XLOOKUP(AL$1,$R$2:$R$18,$S$2:$S$18)-$L44)^2+(_xlfn.XLOOKUP(AL$1,$R$2:$R$18,$T$2:$T$18)-$M44)^2+(_xlfn.XLOOKUP(AL$1,$R$2:$R$18,$U$2:$U$18-$N44)^2)))</f>
        <v/>
      </c>
      <c r="AM44" s="151" t="str">
        <f t="array" ref="AM44">IF(AM$1=0,"",SQRT((_xlfn.XLOOKUP(AM$1,$R$2:$R$18,$S$2:$S$18)-$L44)^2+(_xlfn.XLOOKUP(AM$1,$R$2:$R$18,$T$2:$T$18)-$M44)^2+(_xlfn.XLOOKUP(AM$1,$R$2:$R$18,$U$2:$U$18-$N44)^2)))</f>
        <v/>
      </c>
      <c r="AN44" s="152" t="str">
        <f t="array" ref="AN44">IF(AN$1=0,"",SQRT((_xlfn.XLOOKUP(AN$1,$R$2:$R$18,$S$2:$S$18)-$L44)^2+(_xlfn.XLOOKUP(AN$1,$R$2:$R$18,$T$2:$T$18)-$M44)^2+(_xlfn.XLOOKUP(AN$1,$R$2:$R$18,$U$2:$U$18-$N44)^2)))</f>
        <v/>
      </c>
      <c r="AO44" s="134"/>
      <c r="AP44" s="134"/>
      <c r="AQ44" s="135">
        <f t="shared" si="51"/>
        <v>0</v>
      </c>
      <c r="AR44" s="153">
        <f t="shared" si="52"/>
        <v>0</v>
      </c>
      <c r="AS44" s="153">
        <f t="shared" si="53"/>
        <v>0</v>
      </c>
      <c r="AT44" s="153">
        <f t="shared" si="54"/>
        <v>0</v>
      </c>
      <c r="AU44" s="153">
        <f t="shared" si="55"/>
        <v>0</v>
      </c>
      <c r="AV44" s="153">
        <f t="shared" si="56"/>
        <v>0</v>
      </c>
      <c r="AW44" s="153">
        <f t="shared" si="57"/>
        <v>0</v>
      </c>
      <c r="AX44" s="153">
        <f t="shared" si="58"/>
        <v>0</v>
      </c>
      <c r="AY44" s="154">
        <f t="shared" si="59"/>
        <v>0</v>
      </c>
      <c r="AZ44" s="154">
        <f t="shared" si="60"/>
        <v>0</v>
      </c>
      <c r="BA44" s="154">
        <f t="shared" si="61"/>
        <v>0</v>
      </c>
      <c r="BB44" s="154">
        <f t="shared" si="62"/>
        <v>0</v>
      </c>
      <c r="BC44" s="154">
        <f t="shared" si="63"/>
        <v>0</v>
      </c>
      <c r="BD44" s="154">
        <f t="shared" si="64"/>
        <v>0</v>
      </c>
      <c r="BE44" s="155">
        <f t="shared" si="65"/>
        <v>0</v>
      </c>
      <c r="BF44" s="134"/>
      <c r="BG44" s="56">
        <v>6</v>
      </c>
      <c r="BH44" s="56">
        <v>15</v>
      </c>
      <c r="BI44" s="21"/>
      <c r="BJ44" s="134"/>
      <c r="BK44" s="134"/>
      <c r="BL44" s="134"/>
      <c r="BM44" s="134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34"/>
      <c r="CD44" s="134"/>
      <c r="CE44" s="169">
        <f t="shared" si="66"/>
        <v>0</v>
      </c>
      <c r="CF44" s="170">
        <f t="shared" si="67"/>
        <v>0</v>
      </c>
      <c r="CG44" s="170">
        <f t="shared" si="68"/>
        <v>0</v>
      </c>
      <c r="CH44" s="170">
        <f t="shared" si="69"/>
        <v>0</v>
      </c>
      <c r="CI44" s="170">
        <f t="shared" si="70"/>
        <v>0</v>
      </c>
      <c r="CJ44" s="170" t="str">
        <f t="shared" si="71"/>
        <v/>
      </c>
      <c r="CK44" s="170" t="str">
        <f t="shared" si="72"/>
        <v/>
      </c>
      <c r="CL44" s="170" t="str">
        <f t="shared" si="73"/>
        <v/>
      </c>
      <c r="CM44" s="172" t="str">
        <f t="shared" si="74"/>
        <v/>
      </c>
      <c r="CN44" s="172" t="str">
        <f t="shared" si="75"/>
        <v/>
      </c>
      <c r="CO44" s="172" t="str">
        <f t="shared" si="76"/>
        <v/>
      </c>
      <c r="CP44" s="172" t="str">
        <f t="shared" si="77"/>
        <v/>
      </c>
      <c r="CQ44" s="172" t="str">
        <f t="shared" si="78"/>
        <v/>
      </c>
      <c r="CR44" s="172" t="str">
        <f t="shared" si="79"/>
        <v/>
      </c>
      <c r="CS44" s="173" t="str">
        <f t="shared" si="80"/>
        <v/>
      </c>
    </row>
    <row r="45" spans="1:97" ht="16.5" customHeight="1" x14ac:dyDescent="0.3">
      <c r="A45" s="145"/>
      <c r="B45" s="146"/>
      <c r="C45" s="146"/>
      <c r="D45" s="147"/>
      <c r="E45" s="147"/>
      <c r="F45" s="4"/>
      <c r="G45" s="4"/>
      <c r="H45" s="3"/>
      <c r="I45" s="128">
        <f t="shared" si="34"/>
        <v>0</v>
      </c>
      <c r="J45" s="3"/>
      <c r="K45" s="3"/>
      <c r="L45" s="4"/>
      <c r="M45" s="4"/>
      <c r="N45" s="109">
        <f t="shared" si="50"/>
        <v>0</v>
      </c>
      <c r="O45" s="171"/>
      <c r="P45" s="148"/>
      <c r="R45" s="115" t="s">
        <v>196</v>
      </c>
      <c r="S45" s="113">
        <v>75.569999999999993</v>
      </c>
      <c r="T45" s="52">
        <v>98.34</v>
      </c>
      <c r="U45" s="106">
        <v>75.400000000000006</v>
      </c>
      <c r="V45" s="52">
        <v>77.77</v>
      </c>
      <c r="W45" s="52">
        <v>86.79</v>
      </c>
      <c r="X45" s="53">
        <v>75.400000000000006</v>
      </c>
      <c r="Z45" s="168">
        <f t="array" ref="Z45">IF(Z$1=0,"",SQRT((_xlfn.XLOOKUP(Z$1,$R$2:$R$18,$S$2:$S$18)-$L45)^2+(_xlfn.XLOOKUP(Z$1,$R$2:$R$18,$T$2:$T$18)-$M45)^2+(_xlfn.XLOOKUP(Z$1,$R$2:$R$18,$U$2:$U$18-$N45)^2)))</f>
        <v>112.53151914019467</v>
      </c>
      <c r="AA45" s="150">
        <f t="array" ref="AA45">IF(AA$1=0,"",SQRT((_xlfn.XLOOKUP(AA$1,$R$2:$R$18,$S$2:$S$18)-$L45)^2+(_xlfn.XLOOKUP(AA$1,$R$2:$R$18,$T$2:$T$18)-$M45)^2+(_xlfn.XLOOKUP(AA$1,$R$2:$R$18,$U$2:$U$18-$N45)^2)))</f>
        <v>123.81444705687622</v>
      </c>
      <c r="AB45" s="150">
        <f t="array" ref="AB45">IF(AB$1=0,"",SQRT((_xlfn.XLOOKUP(AB$1,$R$2:$R$18,$S$2:$S$18)-$L45)^2+(_xlfn.XLOOKUP(AB$1,$R$2:$R$18,$T$2:$T$18)-$M45)^2+(_xlfn.XLOOKUP(AB$1,$R$2:$R$18,$U$2:$U$18-$N45)^2)))</f>
        <v>226.27326421828982</v>
      </c>
      <c r="AC45" s="150">
        <f t="array" ref="AC45">IF(AC$1=0,"",SQRT((_xlfn.XLOOKUP(AC$1,$R$2:$R$18,$S$2:$S$18)-$L45)^2+(_xlfn.XLOOKUP(AC$1,$R$2:$R$18,$T$2:$T$18)-$M45)^2+(_xlfn.XLOOKUP(AC$1,$R$2:$R$18,$U$2:$U$18-$N45)^2)))</f>
        <v>330.89448786584524</v>
      </c>
      <c r="AD45" s="150">
        <f t="array" ref="AD45">IF(AD$1=0,"",SQRT((_xlfn.XLOOKUP(AD$1,$R$2:$R$18,$S$2:$S$18)-$L45)^2+(_xlfn.XLOOKUP(AD$1,$R$2:$R$18,$T$2:$T$18)-$M45)^2+(_xlfn.XLOOKUP(AD$1,$R$2:$R$18,$U$2:$U$18-$N45)^2)))</f>
        <v>218.97662386656708</v>
      </c>
      <c r="AE45" s="150" t="str">
        <f t="array" ref="AE45">IF(AE$1=0,"",SQRT((_xlfn.XLOOKUP(AE$1,$R$2:$R$18,$S$2:$S$18)-$L45)^2+(_xlfn.XLOOKUP(AE$1,$R$2:$R$18,$T$2:$T$18)-$M45)^2+(_xlfn.XLOOKUP(AE$1,$R$2:$R$18,$U$2:$U$18-$N45)^2)))</f>
        <v/>
      </c>
      <c r="AF45" s="150" t="str">
        <f t="array" ref="AF45">IF(AF$1=0,"",SQRT((_xlfn.XLOOKUP(AF$1,$R$2:$R$18,$S$2:$S$18)-$L45)^2+(_xlfn.XLOOKUP(AF$1,$R$2:$R$18,$T$2:$T$18)-$M45)^2+(_xlfn.XLOOKUP(AF$1,$R$2:$R$18,$U$2:$U$18-$N45)^2)))</f>
        <v/>
      </c>
      <c r="AG45" s="150" t="str">
        <f t="array" ref="AG45">IF(AG$1=0,"",SQRT((_xlfn.XLOOKUP(AG$1,$R$2:$R$18,$S$2:$S$18)-$L45)^2+(_xlfn.XLOOKUP(AG$1,$R$2:$R$18,$T$2:$T$18)-$M45)^2+(_xlfn.XLOOKUP(AG$1,$R$2:$R$18,$U$2:$U$18-$N45)^2)))</f>
        <v/>
      </c>
      <c r="AH45" s="151" t="str">
        <f t="array" ref="AH45">IF(AH$1=0,"",SQRT((_xlfn.XLOOKUP(AH$1,$R$2:$R$18,$S$2:$S$18)-$L45)^2+(_xlfn.XLOOKUP(AH$1,$R$2:$R$18,$T$2:$T$18)-$M45)^2+(_xlfn.XLOOKUP(AH$1,$R$2:$R$18,$U$2:$U$18-$N45)^2)))</f>
        <v/>
      </c>
      <c r="AI45" s="151" t="str">
        <f t="array" ref="AI45">IF(AI$1=0,"",SQRT((_xlfn.XLOOKUP(AI$1,$R$2:$R$18,$S$2:$S$18)-$L45)^2+(_xlfn.XLOOKUP(AI$1,$R$2:$R$18,$T$2:$T$18)-$M45)^2+(_xlfn.XLOOKUP(AI$1,$R$2:$R$18,$U$2:$U$18-$N45)^2)))</f>
        <v/>
      </c>
      <c r="AJ45" s="151" t="str">
        <f t="array" ref="AJ45">IF(AJ$1=0,"",SQRT((_xlfn.XLOOKUP(AJ$1,$R$2:$R$18,$S$2:$S$18)-$L45)^2+(_xlfn.XLOOKUP(AJ$1,$R$2:$R$18,$T$2:$T$18)-$M45)^2+(_xlfn.XLOOKUP(AJ$1,$R$2:$R$18,$U$2:$U$18-$N45)^2)))</f>
        <v/>
      </c>
      <c r="AK45" s="151" t="str">
        <f t="array" ref="AK45">IF(AK$1=0,"",SQRT((_xlfn.XLOOKUP(AK$1,$R$2:$R$18,$S$2:$S$18)-$L45)^2+(_xlfn.XLOOKUP(AK$1,$R$2:$R$18,$T$2:$T$18)-$M45)^2+(_xlfn.XLOOKUP(AK$1,$R$2:$R$18,$U$2:$U$18-$N45)^2)))</f>
        <v/>
      </c>
      <c r="AL45" s="151" t="str">
        <f t="array" ref="AL45">IF(AL$1=0,"",SQRT((_xlfn.XLOOKUP(AL$1,$R$2:$R$18,$S$2:$S$18)-$L45)^2+(_xlfn.XLOOKUP(AL$1,$R$2:$R$18,$T$2:$T$18)-$M45)^2+(_xlfn.XLOOKUP(AL$1,$R$2:$R$18,$U$2:$U$18-$N45)^2)))</f>
        <v/>
      </c>
      <c r="AM45" s="151" t="str">
        <f t="array" ref="AM45">IF(AM$1=0,"",SQRT((_xlfn.XLOOKUP(AM$1,$R$2:$R$18,$S$2:$S$18)-$L45)^2+(_xlfn.XLOOKUP(AM$1,$R$2:$R$18,$T$2:$T$18)-$M45)^2+(_xlfn.XLOOKUP(AM$1,$R$2:$R$18,$U$2:$U$18-$N45)^2)))</f>
        <v/>
      </c>
      <c r="AN45" s="152" t="str">
        <f t="array" ref="AN45">IF(AN$1=0,"",SQRT((_xlfn.XLOOKUP(AN$1,$R$2:$R$18,$S$2:$S$18)-$L45)^2+(_xlfn.XLOOKUP(AN$1,$R$2:$R$18,$T$2:$T$18)-$M45)^2+(_xlfn.XLOOKUP(AN$1,$R$2:$R$18,$U$2:$U$18-$N45)^2)))</f>
        <v/>
      </c>
      <c r="AO45" s="134"/>
      <c r="AP45" s="134"/>
      <c r="AQ45" s="135">
        <f t="shared" si="51"/>
        <v>0</v>
      </c>
      <c r="AR45" s="153">
        <f t="shared" si="52"/>
        <v>0</v>
      </c>
      <c r="AS45" s="153">
        <f t="shared" si="53"/>
        <v>0</v>
      </c>
      <c r="AT45" s="153">
        <f t="shared" si="54"/>
        <v>0</v>
      </c>
      <c r="AU45" s="153">
        <f t="shared" si="55"/>
        <v>0</v>
      </c>
      <c r="AV45" s="153">
        <f t="shared" si="56"/>
        <v>0</v>
      </c>
      <c r="AW45" s="153">
        <f t="shared" si="57"/>
        <v>0</v>
      </c>
      <c r="AX45" s="153">
        <f t="shared" si="58"/>
        <v>0</v>
      </c>
      <c r="AY45" s="154">
        <f t="shared" si="59"/>
        <v>0</v>
      </c>
      <c r="AZ45" s="154">
        <f t="shared" si="60"/>
        <v>0</v>
      </c>
      <c r="BA45" s="154">
        <f t="shared" si="61"/>
        <v>0</v>
      </c>
      <c r="BB45" s="154">
        <f t="shared" si="62"/>
        <v>0</v>
      </c>
      <c r="BC45" s="154">
        <f t="shared" si="63"/>
        <v>0</v>
      </c>
      <c r="BD45" s="154">
        <f t="shared" si="64"/>
        <v>0</v>
      </c>
      <c r="BE45" s="155">
        <f t="shared" si="65"/>
        <v>0</v>
      </c>
      <c r="BF45" s="134"/>
      <c r="BG45" s="56">
        <v>12</v>
      </c>
      <c r="BH45" s="56">
        <v>17</v>
      </c>
      <c r="BI45" s="21"/>
      <c r="BJ45" s="134"/>
      <c r="BK45" s="134"/>
      <c r="BL45" s="134"/>
      <c r="BM45" s="134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34"/>
      <c r="CD45" s="134"/>
      <c r="CE45" s="169">
        <f t="shared" si="66"/>
        <v>0</v>
      </c>
      <c r="CF45" s="170">
        <f t="shared" si="67"/>
        <v>0</v>
      </c>
      <c r="CG45" s="170">
        <f t="shared" si="68"/>
        <v>0</v>
      </c>
      <c r="CH45" s="170">
        <f t="shared" si="69"/>
        <v>0</v>
      </c>
      <c r="CI45" s="170">
        <f t="shared" si="70"/>
        <v>0</v>
      </c>
      <c r="CJ45" s="170" t="str">
        <f t="shared" si="71"/>
        <v/>
      </c>
      <c r="CK45" s="170" t="str">
        <f t="shared" si="72"/>
        <v/>
      </c>
      <c r="CL45" s="170" t="str">
        <f t="shared" si="73"/>
        <v/>
      </c>
      <c r="CM45" s="172" t="str">
        <f t="shared" si="74"/>
        <v/>
      </c>
      <c r="CN45" s="172" t="str">
        <f t="shared" si="75"/>
        <v/>
      </c>
      <c r="CO45" s="172" t="str">
        <f t="shared" si="76"/>
        <v/>
      </c>
      <c r="CP45" s="172" t="str">
        <f t="shared" si="77"/>
        <v/>
      </c>
      <c r="CQ45" s="172" t="str">
        <f t="shared" si="78"/>
        <v/>
      </c>
      <c r="CR45" s="172" t="str">
        <f t="shared" si="79"/>
        <v/>
      </c>
      <c r="CS45" s="173" t="str">
        <f t="shared" si="80"/>
        <v/>
      </c>
    </row>
    <row r="46" spans="1:97" ht="16.5" customHeight="1" x14ac:dyDescent="0.3">
      <c r="A46" s="145"/>
      <c r="B46" s="146"/>
      <c r="C46" s="146"/>
      <c r="D46" s="147"/>
      <c r="E46" s="147"/>
      <c r="F46" s="4"/>
      <c r="G46" s="4"/>
      <c r="H46" s="3"/>
      <c r="I46" s="128">
        <f t="shared" si="34"/>
        <v>0</v>
      </c>
      <c r="J46" s="3"/>
      <c r="K46" s="3"/>
      <c r="L46" s="4"/>
      <c r="M46" s="4"/>
      <c r="N46" s="109">
        <f t="shared" si="50"/>
        <v>0</v>
      </c>
      <c r="O46" s="171"/>
      <c r="P46" s="148"/>
      <c r="R46" s="115" t="s">
        <v>197</v>
      </c>
      <c r="S46" s="113">
        <v>0</v>
      </c>
      <c r="T46" s="52">
        <v>0</v>
      </c>
      <c r="U46" s="106">
        <v>75.400000000000006</v>
      </c>
      <c r="V46" s="52">
        <v>0</v>
      </c>
      <c r="W46" s="52">
        <v>0</v>
      </c>
      <c r="X46" s="53">
        <v>75.400000000000006</v>
      </c>
      <c r="Z46" s="168">
        <f t="array" ref="Z46">IF(Z$1=0,"",SQRT((_xlfn.XLOOKUP(Z$1,$R$2:$R$18,$S$2:$S$18)-$L46)^2+(_xlfn.XLOOKUP(Z$1,$R$2:$R$18,$T$2:$T$18)-$M46)^2+(_xlfn.XLOOKUP(Z$1,$R$2:$R$18,$U$2:$U$18-$N46)^2)))</f>
        <v>112.53151914019467</v>
      </c>
      <c r="AA46" s="150">
        <f t="array" ref="AA46">IF(AA$1=0,"",SQRT((_xlfn.XLOOKUP(AA$1,$R$2:$R$18,$S$2:$S$18)-$L46)^2+(_xlfn.XLOOKUP(AA$1,$R$2:$R$18,$T$2:$T$18)-$M46)^2+(_xlfn.XLOOKUP(AA$1,$R$2:$R$18,$U$2:$U$18-$N46)^2)))</f>
        <v>123.81444705687622</v>
      </c>
      <c r="AB46" s="150">
        <f t="array" ref="AB46">IF(AB$1=0,"",SQRT((_xlfn.XLOOKUP(AB$1,$R$2:$R$18,$S$2:$S$18)-$L46)^2+(_xlfn.XLOOKUP(AB$1,$R$2:$R$18,$T$2:$T$18)-$M46)^2+(_xlfn.XLOOKUP(AB$1,$R$2:$R$18,$U$2:$U$18-$N46)^2)))</f>
        <v>226.27326421828982</v>
      </c>
      <c r="AC46" s="150">
        <f t="array" ref="AC46">IF(AC$1=0,"",SQRT((_xlfn.XLOOKUP(AC$1,$R$2:$R$18,$S$2:$S$18)-$L46)^2+(_xlfn.XLOOKUP(AC$1,$R$2:$R$18,$T$2:$T$18)-$M46)^2+(_xlfn.XLOOKUP(AC$1,$R$2:$R$18,$U$2:$U$18-$N46)^2)))</f>
        <v>330.89448786584524</v>
      </c>
      <c r="AD46" s="150">
        <f t="array" ref="AD46">IF(AD$1=0,"",SQRT((_xlfn.XLOOKUP(AD$1,$R$2:$R$18,$S$2:$S$18)-$L46)^2+(_xlfn.XLOOKUP(AD$1,$R$2:$R$18,$T$2:$T$18)-$M46)^2+(_xlfn.XLOOKUP(AD$1,$R$2:$R$18,$U$2:$U$18-$N46)^2)))</f>
        <v>218.97662386656708</v>
      </c>
      <c r="AE46" s="150" t="str">
        <f t="array" ref="AE46">IF(AE$1=0,"",SQRT((_xlfn.XLOOKUP(AE$1,$R$2:$R$18,$S$2:$S$18)-$L46)^2+(_xlfn.XLOOKUP(AE$1,$R$2:$R$18,$T$2:$T$18)-$M46)^2+(_xlfn.XLOOKUP(AE$1,$R$2:$R$18,$U$2:$U$18-$N46)^2)))</f>
        <v/>
      </c>
      <c r="AF46" s="150" t="str">
        <f t="array" ref="AF46">IF(AF$1=0,"",SQRT((_xlfn.XLOOKUP(AF$1,$R$2:$R$18,$S$2:$S$18)-$L46)^2+(_xlfn.XLOOKUP(AF$1,$R$2:$R$18,$T$2:$T$18)-$M46)^2+(_xlfn.XLOOKUP(AF$1,$R$2:$R$18,$U$2:$U$18-$N46)^2)))</f>
        <v/>
      </c>
      <c r="AG46" s="150" t="str">
        <f t="array" ref="AG46">IF(AG$1=0,"",SQRT((_xlfn.XLOOKUP(AG$1,$R$2:$R$18,$S$2:$S$18)-$L46)^2+(_xlfn.XLOOKUP(AG$1,$R$2:$R$18,$T$2:$T$18)-$M46)^2+(_xlfn.XLOOKUP(AG$1,$R$2:$R$18,$U$2:$U$18-$N46)^2)))</f>
        <v/>
      </c>
      <c r="AH46" s="151" t="str">
        <f t="array" ref="AH46">IF(AH$1=0,"",SQRT((_xlfn.XLOOKUP(AH$1,$R$2:$R$18,$S$2:$S$18)-$L46)^2+(_xlfn.XLOOKUP(AH$1,$R$2:$R$18,$T$2:$T$18)-$M46)^2+(_xlfn.XLOOKUP(AH$1,$R$2:$R$18,$U$2:$U$18-$N46)^2)))</f>
        <v/>
      </c>
      <c r="AI46" s="151" t="str">
        <f t="array" ref="AI46">IF(AI$1=0,"",SQRT((_xlfn.XLOOKUP(AI$1,$R$2:$R$18,$S$2:$S$18)-$L46)^2+(_xlfn.XLOOKUP(AI$1,$R$2:$R$18,$T$2:$T$18)-$M46)^2+(_xlfn.XLOOKUP(AI$1,$R$2:$R$18,$U$2:$U$18-$N46)^2)))</f>
        <v/>
      </c>
      <c r="AJ46" s="151" t="str">
        <f t="array" ref="AJ46">IF(AJ$1=0,"",SQRT((_xlfn.XLOOKUP(AJ$1,$R$2:$R$18,$S$2:$S$18)-$L46)^2+(_xlfn.XLOOKUP(AJ$1,$R$2:$R$18,$T$2:$T$18)-$M46)^2+(_xlfn.XLOOKUP(AJ$1,$R$2:$R$18,$U$2:$U$18-$N46)^2)))</f>
        <v/>
      </c>
      <c r="AK46" s="151" t="str">
        <f t="array" ref="AK46">IF(AK$1=0,"",SQRT((_xlfn.XLOOKUP(AK$1,$R$2:$R$18,$S$2:$S$18)-$L46)^2+(_xlfn.XLOOKUP(AK$1,$R$2:$R$18,$T$2:$T$18)-$M46)^2+(_xlfn.XLOOKUP(AK$1,$R$2:$R$18,$U$2:$U$18-$N46)^2)))</f>
        <v/>
      </c>
      <c r="AL46" s="151" t="str">
        <f t="array" ref="AL46">IF(AL$1=0,"",SQRT((_xlfn.XLOOKUP(AL$1,$R$2:$R$18,$S$2:$S$18)-$L46)^2+(_xlfn.XLOOKUP(AL$1,$R$2:$R$18,$T$2:$T$18)-$M46)^2+(_xlfn.XLOOKUP(AL$1,$R$2:$R$18,$U$2:$U$18-$N46)^2)))</f>
        <v/>
      </c>
      <c r="AM46" s="151" t="str">
        <f t="array" ref="AM46">IF(AM$1=0,"",SQRT((_xlfn.XLOOKUP(AM$1,$R$2:$R$18,$S$2:$S$18)-$L46)^2+(_xlfn.XLOOKUP(AM$1,$R$2:$R$18,$T$2:$T$18)-$M46)^2+(_xlfn.XLOOKUP(AM$1,$R$2:$R$18,$U$2:$U$18-$N46)^2)))</f>
        <v/>
      </c>
      <c r="AN46" s="152" t="str">
        <f t="array" ref="AN46">IF(AN$1=0,"",SQRT((_xlfn.XLOOKUP(AN$1,$R$2:$R$18,$S$2:$S$18)-$L46)^2+(_xlfn.XLOOKUP(AN$1,$R$2:$R$18,$T$2:$T$18)-$M46)^2+(_xlfn.XLOOKUP(AN$1,$R$2:$R$18,$U$2:$U$18-$N46)^2)))</f>
        <v/>
      </c>
      <c r="AO46" s="134"/>
      <c r="AP46" s="134"/>
      <c r="AQ46" s="135">
        <f t="shared" si="51"/>
        <v>0</v>
      </c>
      <c r="AR46" s="153">
        <f t="shared" si="52"/>
        <v>0</v>
      </c>
      <c r="AS46" s="153">
        <f t="shared" si="53"/>
        <v>0</v>
      </c>
      <c r="AT46" s="153">
        <f t="shared" si="54"/>
        <v>0</v>
      </c>
      <c r="AU46" s="153">
        <f t="shared" si="55"/>
        <v>0</v>
      </c>
      <c r="AV46" s="153">
        <f t="shared" si="56"/>
        <v>0</v>
      </c>
      <c r="AW46" s="153">
        <f t="shared" si="57"/>
        <v>0</v>
      </c>
      <c r="AX46" s="153">
        <f t="shared" si="58"/>
        <v>0</v>
      </c>
      <c r="AY46" s="154">
        <f t="shared" si="59"/>
        <v>0</v>
      </c>
      <c r="AZ46" s="154">
        <f t="shared" si="60"/>
        <v>0</v>
      </c>
      <c r="BA46" s="154">
        <f t="shared" si="61"/>
        <v>0</v>
      </c>
      <c r="BB46" s="154">
        <f t="shared" si="62"/>
        <v>0</v>
      </c>
      <c r="BC46" s="154">
        <f t="shared" si="63"/>
        <v>0</v>
      </c>
      <c r="BD46" s="154">
        <f t="shared" si="64"/>
        <v>0</v>
      </c>
      <c r="BE46" s="155">
        <f t="shared" si="65"/>
        <v>0</v>
      </c>
      <c r="BF46" s="134"/>
      <c r="BG46" s="21" t="s">
        <v>71</v>
      </c>
      <c r="BH46" s="21">
        <f>ROUND(BI49,0)</f>
        <v>1</v>
      </c>
      <c r="BI46" s="21">
        <f>_xlfn.XLOOKUP(BH48,BG39:BG45,BH39:BH45,"error",0,1)</f>
        <v>0</v>
      </c>
      <c r="BJ46" s="134"/>
      <c r="BK46" s="134"/>
      <c r="BL46" s="134"/>
      <c r="BM46" s="134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34"/>
      <c r="CD46" s="134"/>
      <c r="CE46" s="169">
        <f t="shared" si="66"/>
        <v>0</v>
      </c>
      <c r="CF46" s="170">
        <f t="shared" si="67"/>
        <v>0</v>
      </c>
      <c r="CG46" s="170">
        <f t="shared" si="68"/>
        <v>0</v>
      </c>
      <c r="CH46" s="170">
        <f t="shared" si="69"/>
        <v>0</v>
      </c>
      <c r="CI46" s="170">
        <f t="shared" si="70"/>
        <v>0</v>
      </c>
      <c r="CJ46" s="170" t="str">
        <f t="shared" si="71"/>
        <v/>
      </c>
      <c r="CK46" s="170" t="str">
        <f t="shared" si="72"/>
        <v/>
      </c>
      <c r="CL46" s="170" t="str">
        <f t="shared" si="73"/>
        <v/>
      </c>
      <c r="CM46" s="172" t="str">
        <f t="shared" si="74"/>
        <v/>
      </c>
      <c r="CN46" s="172" t="str">
        <f t="shared" si="75"/>
        <v/>
      </c>
      <c r="CO46" s="172" t="str">
        <f t="shared" si="76"/>
        <v/>
      </c>
      <c r="CP46" s="172" t="str">
        <f t="shared" si="77"/>
        <v/>
      </c>
      <c r="CQ46" s="172" t="str">
        <f t="shared" si="78"/>
        <v/>
      </c>
      <c r="CR46" s="172" t="str">
        <f t="shared" si="79"/>
        <v/>
      </c>
      <c r="CS46" s="173" t="str">
        <f t="shared" si="80"/>
        <v/>
      </c>
    </row>
    <row r="47" spans="1:97" ht="16.5" customHeight="1" x14ac:dyDescent="0.3">
      <c r="A47" s="145"/>
      <c r="B47" s="146"/>
      <c r="C47" s="146"/>
      <c r="D47" s="147"/>
      <c r="E47" s="147"/>
      <c r="F47" s="4"/>
      <c r="G47" s="4"/>
      <c r="H47" s="3"/>
      <c r="I47" s="128">
        <f t="shared" si="34"/>
        <v>0</v>
      </c>
      <c r="J47" s="3"/>
      <c r="K47" s="3"/>
      <c r="L47" s="4"/>
      <c r="M47" s="4"/>
      <c r="N47" s="109">
        <f t="shared" si="50"/>
        <v>0</v>
      </c>
      <c r="O47" s="171"/>
      <c r="P47" s="148"/>
      <c r="R47" s="115" t="s">
        <v>198</v>
      </c>
      <c r="S47" s="113">
        <v>0</v>
      </c>
      <c r="T47" s="52">
        <v>0</v>
      </c>
      <c r="U47" s="106">
        <v>75.400000000000006</v>
      </c>
      <c r="V47" s="52">
        <v>0</v>
      </c>
      <c r="W47" s="52">
        <v>0</v>
      </c>
      <c r="X47" s="53">
        <v>75.400000000000006</v>
      </c>
      <c r="Z47" s="168">
        <f t="array" ref="Z47">IF(Z$1=0,"",SQRT((_xlfn.XLOOKUP(Z$1,$R$2:$R$18,$S$2:$S$18)-$L47)^2+(_xlfn.XLOOKUP(Z$1,$R$2:$R$18,$T$2:$T$18)-$M47)^2+(_xlfn.XLOOKUP(Z$1,$R$2:$R$18,$U$2:$U$18-$N47)^2)))</f>
        <v>112.53151914019467</v>
      </c>
      <c r="AA47" s="150">
        <f t="array" ref="AA47">IF(AA$1=0,"",SQRT((_xlfn.XLOOKUP(AA$1,$R$2:$R$18,$S$2:$S$18)-$L47)^2+(_xlfn.XLOOKUP(AA$1,$R$2:$R$18,$T$2:$T$18)-$M47)^2+(_xlfn.XLOOKUP(AA$1,$R$2:$R$18,$U$2:$U$18-$N47)^2)))</f>
        <v>123.81444705687622</v>
      </c>
      <c r="AB47" s="150">
        <f t="array" ref="AB47">IF(AB$1=0,"",SQRT((_xlfn.XLOOKUP(AB$1,$R$2:$R$18,$S$2:$S$18)-$L47)^2+(_xlfn.XLOOKUP(AB$1,$R$2:$R$18,$T$2:$T$18)-$M47)^2+(_xlfn.XLOOKUP(AB$1,$R$2:$R$18,$U$2:$U$18-$N47)^2)))</f>
        <v>226.27326421828982</v>
      </c>
      <c r="AC47" s="150">
        <f t="array" ref="AC47">IF(AC$1=0,"",SQRT((_xlfn.XLOOKUP(AC$1,$R$2:$R$18,$S$2:$S$18)-$L47)^2+(_xlfn.XLOOKUP(AC$1,$R$2:$R$18,$T$2:$T$18)-$M47)^2+(_xlfn.XLOOKUP(AC$1,$R$2:$R$18,$U$2:$U$18-$N47)^2)))</f>
        <v>330.89448786584524</v>
      </c>
      <c r="AD47" s="150">
        <f t="array" ref="AD47">IF(AD$1=0,"",SQRT((_xlfn.XLOOKUP(AD$1,$R$2:$R$18,$S$2:$S$18)-$L47)^2+(_xlfn.XLOOKUP(AD$1,$R$2:$R$18,$T$2:$T$18)-$M47)^2+(_xlfn.XLOOKUP(AD$1,$R$2:$R$18,$U$2:$U$18-$N47)^2)))</f>
        <v>218.97662386656708</v>
      </c>
      <c r="AE47" s="150" t="str">
        <f t="array" ref="AE47">IF(AE$1=0,"",SQRT((_xlfn.XLOOKUP(AE$1,$R$2:$R$18,$S$2:$S$18)-$L47)^2+(_xlfn.XLOOKUP(AE$1,$R$2:$R$18,$T$2:$T$18)-$M47)^2+(_xlfn.XLOOKUP(AE$1,$R$2:$R$18,$U$2:$U$18-$N47)^2)))</f>
        <v/>
      </c>
      <c r="AF47" s="150" t="str">
        <f t="array" ref="AF47">IF(AF$1=0,"",SQRT((_xlfn.XLOOKUP(AF$1,$R$2:$R$18,$S$2:$S$18)-$L47)^2+(_xlfn.XLOOKUP(AF$1,$R$2:$R$18,$T$2:$T$18)-$M47)^2+(_xlfn.XLOOKUP(AF$1,$R$2:$R$18,$U$2:$U$18-$N47)^2)))</f>
        <v/>
      </c>
      <c r="AG47" s="150" t="str">
        <f t="array" ref="AG47">IF(AG$1=0,"",SQRT((_xlfn.XLOOKUP(AG$1,$R$2:$R$18,$S$2:$S$18)-$L47)^2+(_xlfn.XLOOKUP(AG$1,$R$2:$R$18,$T$2:$T$18)-$M47)^2+(_xlfn.XLOOKUP(AG$1,$R$2:$R$18,$U$2:$U$18-$N47)^2)))</f>
        <v/>
      </c>
      <c r="AH47" s="151" t="str">
        <f t="array" ref="AH47">IF(AH$1=0,"",SQRT((_xlfn.XLOOKUP(AH$1,$R$2:$R$18,$S$2:$S$18)-$L47)^2+(_xlfn.XLOOKUP(AH$1,$R$2:$R$18,$T$2:$T$18)-$M47)^2+(_xlfn.XLOOKUP(AH$1,$R$2:$R$18,$U$2:$U$18-$N47)^2)))</f>
        <v/>
      </c>
      <c r="AI47" s="151" t="str">
        <f t="array" ref="AI47">IF(AI$1=0,"",SQRT((_xlfn.XLOOKUP(AI$1,$R$2:$R$18,$S$2:$S$18)-$L47)^2+(_xlfn.XLOOKUP(AI$1,$R$2:$R$18,$T$2:$T$18)-$M47)^2+(_xlfn.XLOOKUP(AI$1,$R$2:$R$18,$U$2:$U$18-$N47)^2)))</f>
        <v/>
      </c>
      <c r="AJ47" s="151" t="str">
        <f t="array" ref="AJ47">IF(AJ$1=0,"",SQRT((_xlfn.XLOOKUP(AJ$1,$R$2:$R$18,$S$2:$S$18)-$L47)^2+(_xlfn.XLOOKUP(AJ$1,$R$2:$R$18,$T$2:$T$18)-$M47)^2+(_xlfn.XLOOKUP(AJ$1,$R$2:$R$18,$U$2:$U$18-$N47)^2)))</f>
        <v/>
      </c>
      <c r="AK47" s="151" t="str">
        <f t="array" ref="AK47">IF(AK$1=0,"",SQRT((_xlfn.XLOOKUP(AK$1,$R$2:$R$18,$S$2:$S$18)-$L47)^2+(_xlfn.XLOOKUP(AK$1,$R$2:$R$18,$T$2:$T$18)-$M47)^2+(_xlfn.XLOOKUP(AK$1,$R$2:$R$18,$U$2:$U$18-$N47)^2)))</f>
        <v/>
      </c>
      <c r="AL47" s="151" t="str">
        <f t="array" ref="AL47">IF(AL$1=0,"",SQRT((_xlfn.XLOOKUP(AL$1,$R$2:$R$18,$S$2:$S$18)-$L47)^2+(_xlfn.XLOOKUP(AL$1,$R$2:$R$18,$T$2:$T$18)-$M47)^2+(_xlfn.XLOOKUP(AL$1,$R$2:$R$18,$U$2:$U$18-$N47)^2)))</f>
        <v/>
      </c>
      <c r="AM47" s="151" t="str">
        <f t="array" ref="AM47">IF(AM$1=0,"",SQRT((_xlfn.XLOOKUP(AM$1,$R$2:$R$18,$S$2:$S$18)-$L47)^2+(_xlfn.XLOOKUP(AM$1,$R$2:$R$18,$T$2:$T$18)-$M47)^2+(_xlfn.XLOOKUP(AM$1,$R$2:$R$18,$U$2:$U$18-$N47)^2)))</f>
        <v/>
      </c>
      <c r="AN47" s="152" t="str">
        <f t="array" ref="AN47">IF(AN$1=0,"",SQRT((_xlfn.XLOOKUP(AN$1,$R$2:$R$18,$S$2:$S$18)-$L47)^2+(_xlfn.XLOOKUP(AN$1,$R$2:$R$18,$T$2:$T$18)-$M47)^2+(_xlfn.XLOOKUP(AN$1,$R$2:$R$18,$U$2:$U$18-$N47)^2)))</f>
        <v/>
      </c>
      <c r="AO47" s="134"/>
      <c r="AP47" s="134"/>
      <c r="AQ47" s="135">
        <f t="shared" si="51"/>
        <v>0</v>
      </c>
      <c r="AR47" s="153">
        <f t="shared" si="52"/>
        <v>0</v>
      </c>
      <c r="AS47" s="153">
        <f t="shared" si="53"/>
        <v>0</v>
      </c>
      <c r="AT47" s="153">
        <f t="shared" si="54"/>
        <v>0</v>
      </c>
      <c r="AU47" s="153">
        <f t="shared" si="55"/>
        <v>0</v>
      </c>
      <c r="AV47" s="153">
        <f t="shared" si="56"/>
        <v>0</v>
      </c>
      <c r="AW47" s="153">
        <f t="shared" si="57"/>
        <v>0</v>
      </c>
      <c r="AX47" s="153">
        <f t="shared" si="58"/>
        <v>0</v>
      </c>
      <c r="AY47" s="154">
        <f t="shared" si="59"/>
        <v>0</v>
      </c>
      <c r="AZ47" s="154">
        <f t="shared" si="60"/>
        <v>0</v>
      </c>
      <c r="BA47" s="154">
        <f t="shared" si="61"/>
        <v>0</v>
      </c>
      <c r="BB47" s="154">
        <f t="shared" si="62"/>
        <v>0</v>
      </c>
      <c r="BC47" s="154">
        <f t="shared" si="63"/>
        <v>0</v>
      </c>
      <c r="BD47" s="154">
        <f t="shared" si="64"/>
        <v>0</v>
      </c>
      <c r="BE47" s="155">
        <f t="shared" si="65"/>
        <v>0</v>
      </c>
      <c r="BF47" s="134"/>
      <c r="BG47" s="21" t="s">
        <v>72</v>
      </c>
      <c r="BH47" s="43">
        <f>'Input LwA_XYZ'!BH12</f>
        <v>9.7655792552913567E-2</v>
      </c>
      <c r="BI47" s="21">
        <f>_xlfn.XLOOKUP(BH49,BG39:BG45,BH39:BH45,"error",0,1)</f>
        <v>4</v>
      </c>
      <c r="BJ47" s="134"/>
      <c r="BK47" s="134"/>
      <c r="BL47" s="134"/>
      <c r="BM47" s="134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34"/>
      <c r="CD47" s="134"/>
      <c r="CE47" s="169">
        <f t="shared" si="66"/>
        <v>0</v>
      </c>
      <c r="CF47" s="170">
        <f t="shared" si="67"/>
        <v>0</v>
      </c>
      <c r="CG47" s="170">
        <f t="shared" si="68"/>
        <v>0</v>
      </c>
      <c r="CH47" s="170">
        <f t="shared" si="69"/>
        <v>0</v>
      </c>
      <c r="CI47" s="170">
        <f t="shared" si="70"/>
        <v>0</v>
      </c>
      <c r="CJ47" s="170" t="str">
        <f t="shared" si="71"/>
        <v/>
      </c>
      <c r="CK47" s="170" t="str">
        <f t="shared" si="72"/>
        <v/>
      </c>
      <c r="CL47" s="170" t="str">
        <f t="shared" si="73"/>
        <v/>
      </c>
      <c r="CM47" s="172" t="str">
        <f t="shared" si="74"/>
        <v/>
      </c>
      <c r="CN47" s="172" t="str">
        <f t="shared" si="75"/>
        <v/>
      </c>
      <c r="CO47" s="172" t="str">
        <f t="shared" si="76"/>
        <v/>
      </c>
      <c r="CP47" s="172" t="str">
        <f t="shared" si="77"/>
        <v/>
      </c>
      <c r="CQ47" s="172" t="str">
        <f t="shared" si="78"/>
        <v/>
      </c>
      <c r="CR47" s="172" t="str">
        <f t="shared" si="79"/>
        <v/>
      </c>
      <c r="CS47" s="173" t="str">
        <f t="shared" si="80"/>
        <v/>
      </c>
    </row>
    <row r="48" spans="1:97" ht="16.5" customHeight="1" x14ac:dyDescent="0.3">
      <c r="A48" s="145"/>
      <c r="B48" s="146"/>
      <c r="C48" s="146"/>
      <c r="D48" s="147"/>
      <c r="E48" s="147"/>
      <c r="F48" s="4"/>
      <c r="G48" s="4"/>
      <c r="H48" s="3"/>
      <c r="I48" s="128">
        <f t="shared" si="34"/>
        <v>0</v>
      </c>
      <c r="J48" s="3"/>
      <c r="K48" s="3"/>
      <c r="L48" s="4"/>
      <c r="M48" s="4"/>
      <c r="N48" s="109">
        <f t="shared" si="50"/>
        <v>0</v>
      </c>
      <c r="O48" s="171"/>
      <c r="P48" s="148"/>
      <c r="R48" s="116"/>
      <c r="S48" s="113"/>
      <c r="T48" s="52"/>
      <c r="U48" s="53"/>
      <c r="V48" s="52"/>
      <c r="W48" s="52"/>
      <c r="X48" s="53"/>
      <c r="Z48" s="168">
        <f t="array" ref="Z48">IF(Z$1=0,"",SQRT((_xlfn.XLOOKUP(Z$1,$R$2:$R$18,$S$2:$S$18)-$L48)^2+(_xlfn.XLOOKUP(Z$1,$R$2:$R$18,$T$2:$T$18)-$M48)^2+(_xlfn.XLOOKUP(Z$1,$R$2:$R$18,$U$2:$U$18-$N48)^2)))</f>
        <v>112.53151914019467</v>
      </c>
      <c r="AA48" s="150">
        <f t="array" ref="AA48">IF(AA$1=0,"",SQRT((_xlfn.XLOOKUP(AA$1,$R$2:$R$18,$S$2:$S$18)-$L48)^2+(_xlfn.XLOOKUP(AA$1,$R$2:$R$18,$T$2:$T$18)-$M48)^2+(_xlfn.XLOOKUP(AA$1,$R$2:$R$18,$U$2:$U$18-$N48)^2)))</f>
        <v>123.81444705687622</v>
      </c>
      <c r="AB48" s="150">
        <f t="array" ref="AB48">IF(AB$1=0,"",SQRT((_xlfn.XLOOKUP(AB$1,$R$2:$R$18,$S$2:$S$18)-$L48)^2+(_xlfn.XLOOKUP(AB$1,$R$2:$R$18,$T$2:$T$18)-$M48)^2+(_xlfn.XLOOKUP(AB$1,$R$2:$R$18,$U$2:$U$18-$N48)^2)))</f>
        <v>226.27326421828982</v>
      </c>
      <c r="AC48" s="150">
        <f t="array" ref="AC48">IF(AC$1=0,"",SQRT((_xlfn.XLOOKUP(AC$1,$R$2:$R$18,$S$2:$S$18)-$L48)^2+(_xlfn.XLOOKUP(AC$1,$R$2:$R$18,$T$2:$T$18)-$M48)^2+(_xlfn.XLOOKUP(AC$1,$R$2:$R$18,$U$2:$U$18-$N48)^2)))</f>
        <v>330.89448786584524</v>
      </c>
      <c r="AD48" s="150">
        <f t="array" ref="AD48">IF(AD$1=0,"",SQRT((_xlfn.XLOOKUP(AD$1,$R$2:$R$18,$S$2:$S$18)-$L48)^2+(_xlfn.XLOOKUP(AD$1,$R$2:$R$18,$T$2:$T$18)-$M48)^2+(_xlfn.XLOOKUP(AD$1,$R$2:$R$18,$U$2:$U$18-$N48)^2)))</f>
        <v>218.97662386656708</v>
      </c>
      <c r="AE48" s="150" t="str">
        <f t="array" ref="AE48">IF(AE$1=0,"",SQRT((_xlfn.XLOOKUP(AE$1,$R$2:$R$18,$S$2:$S$18)-$L48)^2+(_xlfn.XLOOKUP(AE$1,$R$2:$R$18,$T$2:$T$18)-$M48)^2+(_xlfn.XLOOKUP(AE$1,$R$2:$R$18,$U$2:$U$18-$N48)^2)))</f>
        <v/>
      </c>
      <c r="AF48" s="150" t="str">
        <f t="array" ref="AF48">IF(AF$1=0,"",SQRT((_xlfn.XLOOKUP(AF$1,$R$2:$R$18,$S$2:$S$18)-$L48)^2+(_xlfn.XLOOKUP(AF$1,$R$2:$R$18,$T$2:$T$18)-$M48)^2+(_xlfn.XLOOKUP(AF$1,$R$2:$R$18,$U$2:$U$18-$N48)^2)))</f>
        <v/>
      </c>
      <c r="AG48" s="150" t="str">
        <f t="array" ref="AG48">IF(AG$1=0,"",SQRT((_xlfn.XLOOKUP(AG$1,$R$2:$R$18,$S$2:$S$18)-$L48)^2+(_xlfn.XLOOKUP(AG$1,$R$2:$R$18,$T$2:$T$18)-$M48)^2+(_xlfn.XLOOKUP(AG$1,$R$2:$R$18,$U$2:$U$18-$N48)^2)))</f>
        <v/>
      </c>
      <c r="AH48" s="151" t="str">
        <f t="array" ref="AH48">IF(AH$1=0,"",SQRT((_xlfn.XLOOKUP(AH$1,$R$2:$R$18,$S$2:$S$18)-$L48)^2+(_xlfn.XLOOKUP(AH$1,$R$2:$R$18,$T$2:$T$18)-$M48)^2+(_xlfn.XLOOKUP(AH$1,$R$2:$R$18,$U$2:$U$18-$N48)^2)))</f>
        <v/>
      </c>
      <c r="AI48" s="151" t="str">
        <f t="array" ref="AI48">IF(AI$1=0,"",SQRT((_xlfn.XLOOKUP(AI$1,$R$2:$R$18,$S$2:$S$18)-$L48)^2+(_xlfn.XLOOKUP(AI$1,$R$2:$R$18,$T$2:$T$18)-$M48)^2+(_xlfn.XLOOKUP(AI$1,$R$2:$R$18,$U$2:$U$18-$N48)^2)))</f>
        <v/>
      </c>
      <c r="AJ48" s="151" t="str">
        <f t="array" ref="AJ48">IF(AJ$1=0,"",SQRT((_xlfn.XLOOKUP(AJ$1,$R$2:$R$18,$S$2:$S$18)-$L48)^2+(_xlfn.XLOOKUP(AJ$1,$R$2:$R$18,$T$2:$T$18)-$M48)^2+(_xlfn.XLOOKUP(AJ$1,$R$2:$R$18,$U$2:$U$18-$N48)^2)))</f>
        <v/>
      </c>
      <c r="AK48" s="151" t="str">
        <f t="array" ref="AK48">IF(AK$1=0,"",SQRT((_xlfn.XLOOKUP(AK$1,$R$2:$R$18,$S$2:$S$18)-$L48)^2+(_xlfn.XLOOKUP(AK$1,$R$2:$R$18,$T$2:$T$18)-$M48)^2+(_xlfn.XLOOKUP(AK$1,$R$2:$R$18,$U$2:$U$18-$N48)^2)))</f>
        <v/>
      </c>
      <c r="AL48" s="151" t="str">
        <f t="array" ref="AL48">IF(AL$1=0,"",SQRT((_xlfn.XLOOKUP(AL$1,$R$2:$R$18,$S$2:$S$18)-$L48)^2+(_xlfn.XLOOKUP(AL$1,$R$2:$R$18,$T$2:$T$18)-$M48)^2+(_xlfn.XLOOKUP(AL$1,$R$2:$R$18,$U$2:$U$18-$N48)^2)))</f>
        <v/>
      </c>
      <c r="AM48" s="151" t="str">
        <f t="array" ref="AM48">IF(AM$1=0,"",SQRT((_xlfn.XLOOKUP(AM$1,$R$2:$R$18,$S$2:$S$18)-$L48)^2+(_xlfn.XLOOKUP(AM$1,$R$2:$R$18,$T$2:$T$18)-$M48)^2+(_xlfn.XLOOKUP(AM$1,$R$2:$R$18,$U$2:$U$18-$N48)^2)))</f>
        <v/>
      </c>
      <c r="AN48" s="152" t="str">
        <f t="array" ref="AN48">IF(AN$1=0,"",SQRT((_xlfn.XLOOKUP(AN$1,$R$2:$R$18,$S$2:$S$18)-$L48)^2+(_xlfn.XLOOKUP(AN$1,$R$2:$R$18,$T$2:$T$18)-$M48)^2+(_xlfn.XLOOKUP(AN$1,$R$2:$R$18,$U$2:$U$18-$N48)^2)))</f>
        <v/>
      </c>
      <c r="AO48" s="134"/>
      <c r="AP48" s="134"/>
      <c r="AQ48" s="135">
        <f t="shared" si="51"/>
        <v>0</v>
      </c>
      <c r="AR48" s="153">
        <f t="shared" si="52"/>
        <v>0</v>
      </c>
      <c r="AS48" s="153">
        <f t="shared" si="53"/>
        <v>0</v>
      </c>
      <c r="AT48" s="153">
        <f t="shared" si="54"/>
        <v>0</v>
      </c>
      <c r="AU48" s="153">
        <f t="shared" si="55"/>
        <v>0</v>
      </c>
      <c r="AV48" s="153">
        <f t="shared" si="56"/>
        <v>0</v>
      </c>
      <c r="AW48" s="153">
        <f t="shared" si="57"/>
        <v>0</v>
      </c>
      <c r="AX48" s="153">
        <f t="shared" si="58"/>
        <v>0</v>
      </c>
      <c r="AY48" s="154">
        <f t="shared" si="59"/>
        <v>0</v>
      </c>
      <c r="AZ48" s="154">
        <f t="shared" si="60"/>
        <v>0</v>
      </c>
      <c r="BA48" s="154">
        <f t="shared" si="61"/>
        <v>0</v>
      </c>
      <c r="BB48" s="154">
        <f t="shared" si="62"/>
        <v>0</v>
      </c>
      <c r="BC48" s="154">
        <f t="shared" si="63"/>
        <v>0</v>
      </c>
      <c r="BD48" s="154">
        <f t="shared" si="64"/>
        <v>0</v>
      </c>
      <c r="BE48" s="155">
        <f t="shared" si="65"/>
        <v>0</v>
      </c>
      <c r="BF48" s="134"/>
      <c r="BG48" s="21" t="s">
        <v>73</v>
      </c>
      <c r="BH48" s="21">
        <f>_xlfn.XLOOKUP(BH47,BG39:BG45,BG39:BG45,"error",-1,1)</f>
        <v>0</v>
      </c>
      <c r="BI48" s="21">
        <f>BI47-BI46</f>
        <v>4</v>
      </c>
      <c r="BJ48" s="134"/>
      <c r="BK48" s="134"/>
      <c r="BL48" s="134"/>
      <c r="BM48" s="134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34"/>
      <c r="CD48" s="134"/>
      <c r="CE48" s="169">
        <f t="shared" si="66"/>
        <v>0</v>
      </c>
      <c r="CF48" s="170">
        <f t="shared" si="67"/>
        <v>0</v>
      </c>
      <c r="CG48" s="170">
        <f t="shared" si="68"/>
        <v>0</v>
      </c>
      <c r="CH48" s="170">
        <f t="shared" si="69"/>
        <v>0</v>
      </c>
      <c r="CI48" s="170">
        <f t="shared" si="70"/>
        <v>0</v>
      </c>
      <c r="CJ48" s="170" t="str">
        <f t="shared" si="71"/>
        <v/>
      </c>
      <c r="CK48" s="170" t="str">
        <f t="shared" si="72"/>
        <v/>
      </c>
      <c r="CL48" s="170" t="str">
        <f t="shared" si="73"/>
        <v/>
      </c>
      <c r="CM48" s="172" t="str">
        <f t="shared" si="74"/>
        <v/>
      </c>
      <c r="CN48" s="172" t="str">
        <f t="shared" si="75"/>
        <v/>
      </c>
      <c r="CO48" s="172" t="str">
        <f t="shared" si="76"/>
        <v/>
      </c>
      <c r="CP48" s="172" t="str">
        <f t="shared" si="77"/>
        <v/>
      </c>
      <c r="CQ48" s="172" t="str">
        <f t="shared" si="78"/>
        <v/>
      </c>
      <c r="CR48" s="172" t="str">
        <f t="shared" si="79"/>
        <v/>
      </c>
      <c r="CS48" s="173" t="str">
        <f t="shared" si="80"/>
        <v/>
      </c>
    </row>
    <row r="49" spans="1:97" ht="16.5" customHeight="1" x14ac:dyDescent="0.3">
      <c r="A49" s="145"/>
      <c r="B49" s="146"/>
      <c r="C49" s="146"/>
      <c r="D49" s="147"/>
      <c r="E49" s="147"/>
      <c r="F49" s="4"/>
      <c r="G49" s="4"/>
      <c r="H49" s="3"/>
      <c r="I49" s="128">
        <f t="shared" si="34"/>
        <v>0</v>
      </c>
      <c r="J49" s="3"/>
      <c r="K49" s="3"/>
      <c r="L49" s="4"/>
      <c r="M49" s="4"/>
      <c r="N49" s="109">
        <f t="shared" si="50"/>
        <v>0</v>
      </c>
      <c r="O49" s="171"/>
      <c r="P49" s="148"/>
      <c r="R49" s="116"/>
      <c r="S49" s="113"/>
      <c r="T49" s="52"/>
      <c r="U49" s="53"/>
      <c r="V49" s="52"/>
      <c r="W49" s="52"/>
      <c r="X49" s="53"/>
      <c r="Z49" s="168">
        <f t="array" ref="Z49">IF(Z$1=0,"",SQRT((_xlfn.XLOOKUP(Z$1,$R$2:$R$18,$S$2:$S$18)-$L49)^2+(_xlfn.XLOOKUP(Z$1,$R$2:$R$18,$T$2:$T$18)-$M49)^2+(_xlfn.XLOOKUP(Z$1,$R$2:$R$18,$U$2:$U$18-$N49)^2)))</f>
        <v>112.53151914019467</v>
      </c>
      <c r="AA49" s="150">
        <f t="array" ref="AA49">IF(AA$1=0,"",SQRT((_xlfn.XLOOKUP(AA$1,$R$2:$R$18,$S$2:$S$18)-$L49)^2+(_xlfn.XLOOKUP(AA$1,$R$2:$R$18,$T$2:$T$18)-$M49)^2+(_xlfn.XLOOKUP(AA$1,$R$2:$R$18,$U$2:$U$18-$N49)^2)))</f>
        <v>123.81444705687622</v>
      </c>
      <c r="AB49" s="150">
        <f t="array" ref="AB49">IF(AB$1=0,"",SQRT((_xlfn.XLOOKUP(AB$1,$R$2:$R$18,$S$2:$S$18)-$L49)^2+(_xlfn.XLOOKUP(AB$1,$R$2:$R$18,$T$2:$T$18)-$M49)^2+(_xlfn.XLOOKUP(AB$1,$R$2:$R$18,$U$2:$U$18-$N49)^2)))</f>
        <v>226.27326421828982</v>
      </c>
      <c r="AC49" s="150">
        <f t="array" ref="AC49">IF(AC$1=0,"",SQRT((_xlfn.XLOOKUP(AC$1,$R$2:$R$18,$S$2:$S$18)-$L49)^2+(_xlfn.XLOOKUP(AC$1,$R$2:$R$18,$T$2:$T$18)-$M49)^2+(_xlfn.XLOOKUP(AC$1,$R$2:$R$18,$U$2:$U$18-$N49)^2)))</f>
        <v>330.89448786584524</v>
      </c>
      <c r="AD49" s="150">
        <f t="array" ref="AD49">IF(AD$1=0,"",SQRT((_xlfn.XLOOKUP(AD$1,$R$2:$R$18,$S$2:$S$18)-$L49)^2+(_xlfn.XLOOKUP(AD$1,$R$2:$R$18,$T$2:$T$18)-$M49)^2+(_xlfn.XLOOKUP(AD$1,$R$2:$R$18,$U$2:$U$18-$N49)^2)))</f>
        <v>218.97662386656708</v>
      </c>
      <c r="AE49" s="150" t="str">
        <f t="array" ref="AE49">IF(AE$1=0,"",SQRT((_xlfn.XLOOKUP(AE$1,$R$2:$R$18,$S$2:$S$18)-$L49)^2+(_xlfn.XLOOKUP(AE$1,$R$2:$R$18,$T$2:$T$18)-$M49)^2+(_xlfn.XLOOKUP(AE$1,$R$2:$R$18,$U$2:$U$18-$N49)^2)))</f>
        <v/>
      </c>
      <c r="AF49" s="150" t="str">
        <f t="array" ref="AF49">IF(AF$1=0,"",SQRT((_xlfn.XLOOKUP(AF$1,$R$2:$R$18,$S$2:$S$18)-$L49)^2+(_xlfn.XLOOKUP(AF$1,$R$2:$R$18,$T$2:$T$18)-$M49)^2+(_xlfn.XLOOKUP(AF$1,$R$2:$R$18,$U$2:$U$18-$N49)^2)))</f>
        <v/>
      </c>
      <c r="AG49" s="150" t="str">
        <f t="array" ref="AG49">IF(AG$1=0,"",SQRT((_xlfn.XLOOKUP(AG$1,$R$2:$R$18,$S$2:$S$18)-$L49)^2+(_xlfn.XLOOKUP(AG$1,$R$2:$R$18,$T$2:$T$18)-$M49)^2+(_xlfn.XLOOKUP(AG$1,$R$2:$R$18,$U$2:$U$18-$N49)^2)))</f>
        <v/>
      </c>
      <c r="AH49" s="151" t="str">
        <f t="array" ref="AH49">IF(AH$1=0,"",SQRT((_xlfn.XLOOKUP(AH$1,$R$2:$R$18,$S$2:$S$18)-$L49)^2+(_xlfn.XLOOKUP(AH$1,$R$2:$R$18,$T$2:$T$18)-$M49)^2+(_xlfn.XLOOKUP(AH$1,$R$2:$R$18,$U$2:$U$18-$N49)^2)))</f>
        <v/>
      </c>
      <c r="AI49" s="151" t="str">
        <f t="array" ref="AI49">IF(AI$1=0,"",SQRT((_xlfn.XLOOKUP(AI$1,$R$2:$R$18,$S$2:$S$18)-$L49)^2+(_xlfn.XLOOKUP(AI$1,$R$2:$R$18,$T$2:$T$18)-$M49)^2+(_xlfn.XLOOKUP(AI$1,$R$2:$R$18,$U$2:$U$18-$N49)^2)))</f>
        <v/>
      </c>
      <c r="AJ49" s="151" t="str">
        <f t="array" ref="AJ49">IF(AJ$1=0,"",SQRT((_xlfn.XLOOKUP(AJ$1,$R$2:$R$18,$S$2:$S$18)-$L49)^2+(_xlfn.XLOOKUP(AJ$1,$R$2:$R$18,$T$2:$T$18)-$M49)^2+(_xlfn.XLOOKUP(AJ$1,$R$2:$R$18,$U$2:$U$18-$N49)^2)))</f>
        <v/>
      </c>
      <c r="AK49" s="151" t="str">
        <f t="array" ref="AK49">IF(AK$1=0,"",SQRT((_xlfn.XLOOKUP(AK$1,$R$2:$R$18,$S$2:$S$18)-$L49)^2+(_xlfn.XLOOKUP(AK$1,$R$2:$R$18,$T$2:$T$18)-$M49)^2+(_xlfn.XLOOKUP(AK$1,$R$2:$R$18,$U$2:$U$18-$N49)^2)))</f>
        <v/>
      </c>
      <c r="AL49" s="151" t="str">
        <f t="array" ref="AL49">IF(AL$1=0,"",SQRT((_xlfn.XLOOKUP(AL$1,$R$2:$R$18,$S$2:$S$18)-$L49)^2+(_xlfn.XLOOKUP(AL$1,$R$2:$R$18,$T$2:$T$18)-$M49)^2+(_xlfn.XLOOKUP(AL$1,$R$2:$R$18,$U$2:$U$18-$N49)^2)))</f>
        <v/>
      </c>
      <c r="AM49" s="151" t="str">
        <f t="array" ref="AM49">IF(AM$1=0,"",SQRT((_xlfn.XLOOKUP(AM$1,$R$2:$R$18,$S$2:$S$18)-$L49)^2+(_xlfn.XLOOKUP(AM$1,$R$2:$R$18,$T$2:$T$18)-$M49)^2+(_xlfn.XLOOKUP(AM$1,$R$2:$R$18,$U$2:$U$18-$N49)^2)))</f>
        <v/>
      </c>
      <c r="AN49" s="152" t="str">
        <f t="array" ref="AN49">IF(AN$1=0,"",SQRT((_xlfn.XLOOKUP(AN$1,$R$2:$R$18,$S$2:$S$18)-$L49)^2+(_xlfn.XLOOKUP(AN$1,$R$2:$R$18,$T$2:$T$18)-$M49)^2+(_xlfn.XLOOKUP(AN$1,$R$2:$R$18,$U$2:$U$18-$N49)^2)))</f>
        <v/>
      </c>
      <c r="AO49" s="134"/>
      <c r="AP49" s="134"/>
      <c r="AQ49" s="135">
        <f t="shared" si="51"/>
        <v>0</v>
      </c>
      <c r="AR49" s="153">
        <f t="shared" si="52"/>
        <v>0</v>
      </c>
      <c r="AS49" s="153">
        <f t="shared" si="53"/>
        <v>0</v>
      </c>
      <c r="AT49" s="153">
        <f t="shared" si="54"/>
        <v>0</v>
      </c>
      <c r="AU49" s="153">
        <f t="shared" si="55"/>
        <v>0</v>
      </c>
      <c r="AV49" s="153">
        <f t="shared" si="56"/>
        <v>0</v>
      </c>
      <c r="AW49" s="153">
        <f t="shared" si="57"/>
        <v>0</v>
      </c>
      <c r="AX49" s="153">
        <f t="shared" si="58"/>
        <v>0</v>
      </c>
      <c r="AY49" s="154">
        <f t="shared" si="59"/>
        <v>0</v>
      </c>
      <c r="AZ49" s="154">
        <f t="shared" si="60"/>
        <v>0</v>
      </c>
      <c r="BA49" s="154">
        <f t="shared" si="61"/>
        <v>0</v>
      </c>
      <c r="BB49" s="154">
        <f t="shared" si="62"/>
        <v>0</v>
      </c>
      <c r="BC49" s="154">
        <f t="shared" si="63"/>
        <v>0</v>
      </c>
      <c r="BD49" s="154">
        <f t="shared" si="64"/>
        <v>0</v>
      </c>
      <c r="BE49" s="155">
        <f t="shared" si="65"/>
        <v>0</v>
      </c>
      <c r="BF49" s="134"/>
      <c r="BG49" s="21" t="s">
        <v>74</v>
      </c>
      <c r="BH49" s="21">
        <f>_xlfn.XLOOKUP(BH47,BG39:BG45,BG39:BG45,12,1,1)</f>
        <v>0.5</v>
      </c>
      <c r="BI49" s="21">
        <f>BI46+(BI48*BH51)</f>
        <v>0.78124634042330854</v>
      </c>
      <c r="BJ49" s="134"/>
      <c r="BK49" s="134"/>
      <c r="BL49" s="134"/>
      <c r="BM49" s="134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34"/>
      <c r="CD49" s="134"/>
      <c r="CE49" s="169">
        <f t="shared" si="66"/>
        <v>0</v>
      </c>
      <c r="CF49" s="170">
        <f t="shared" si="67"/>
        <v>0</v>
      </c>
      <c r="CG49" s="170">
        <f t="shared" si="68"/>
        <v>0</v>
      </c>
      <c r="CH49" s="170">
        <f t="shared" si="69"/>
        <v>0</v>
      </c>
      <c r="CI49" s="170">
        <f t="shared" si="70"/>
        <v>0</v>
      </c>
      <c r="CJ49" s="170" t="str">
        <f t="shared" si="71"/>
        <v/>
      </c>
      <c r="CK49" s="170" t="str">
        <f t="shared" si="72"/>
        <v/>
      </c>
      <c r="CL49" s="170" t="str">
        <f t="shared" si="73"/>
        <v/>
      </c>
      <c r="CM49" s="172" t="str">
        <f t="shared" si="74"/>
        <v/>
      </c>
      <c r="CN49" s="172" t="str">
        <f t="shared" si="75"/>
        <v/>
      </c>
      <c r="CO49" s="172" t="str">
        <f t="shared" si="76"/>
        <v/>
      </c>
      <c r="CP49" s="172" t="str">
        <f t="shared" si="77"/>
        <v/>
      </c>
      <c r="CQ49" s="172" t="str">
        <f t="shared" si="78"/>
        <v/>
      </c>
      <c r="CR49" s="172" t="str">
        <f t="shared" si="79"/>
        <v/>
      </c>
      <c r="CS49" s="173" t="str">
        <f t="shared" si="80"/>
        <v/>
      </c>
    </row>
    <row r="50" spans="1:97" ht="17.25" customHeight="1" thickBot="1" x14ac:dyDescent="0.35">
      <c r="A50" s="145"/>
      <c r="B50" s="146"/>
      <c r="C50" s="146"/>
      <c r="D50" s="147"/>
      <c r="E50" s="147"/>
      <c r="F50" s="4"/>
      <c r="G50" s="4"/>
      <c r="H50" s="3"/>
      <c r="I50" s="128">
        <f t="shared" si="34"/>
        <v>0</v>
      </c>
      <c r="J50" s="3"/>
      <c r="K50" s="3"/>
      <c r="L50" s="4"/>
      <c r="M50" s="4"/>
      <c r="N50" s="109">
        <f t="shared" si="50"/>
        <v>0</v>
      </c>
      <c r="O50" s="171"/>
      <c r="P50" s="148"/>
      <c r="R50" s="117"/>
      <c r="S50" s="114"/>
      <c r="T50" s="54"/>
      <c r="U50" s="55"/>
      <c r="V50" s="54"/>
      <c r="W50" s="54"/>
      <c r="X50" s="55"/>
      <c r="Z50" s="168">
        <f t="array" ref="Z50">IF(Z$1=0,"",SQRT((_xlfn.XLOOKUP(Z$1,$R$2:$R$18,$S$2:$S$18)-$L50)^2+(_xlfn.XLOOKUP(Z$1,$R$2:$R$18,$T$2:$T$18)-$M50)^2+(_xlfn.XLOOKUP(Z$1,$R$2:$R$18,$U$2:$U$18-$N50)^2)))</f>
        <v>112.53151914019467</v>
      </c>
      <c r="AA50" s="150">
        <f t="array" ref="AA50">IF(AA$1=0,"",SQRT((_xlfn.XLOOKUP(AA$1,$R$2:$R$18,$S$2:$S$18)-$L50)^2+(_xlfn.XLOOKUP(AA$1,$R$2:$R$18,$T$2:$T$18)-$M50)^2+(_xlfn.XLOOKUP(AA$1,$R$2:$R$18,$U$2:$U$18-$N50)^2)))</f>
        <v>123.81444705687622</v>
      </c>
      <c r="AB50" s="150">
        <f t="array" ref="AB50">IF(AB$1=0,"",SQRT((_xlfn.XLOOKUP(AB$1,$R$2:$R$18,$S$2:$S$18)-$L50)^2+(_xlfn.XLOOKUP(AB$1,$R$2:$R$18,$T$2:$T$18)-$M50)^2+(_xlfn.XLOOKUP(AB$1,$R$2:$R$18,$U$2:$U$18-$N50)^2)))</f>
        <v>226.27326421828982</v>
      </c>
      <c r="AC50" s="150">
        <f t="array" ref="AC50">IF(AC$1=0,"",SQRT((_xlfn.XLOOKUP(AC$1,$R$2:$R$18,$S$2:$S$18)-$L50)^2+(_xlfn.XLOOKUP(AC$1,$R$2:$R$18,$T$2:$T$18)-$M50)^2+(_xlfn.XLOOKUP(AC$1,$R$2:$R$18,$U$2:$U$18-$N50)^2)))</f>
        <v>330.89448786584524</v>
      </c>
      <c r="AD50" s="150">
        <f t="array" ref="AD50">IF(AD$1=0,"",SQRT((_xlfn.XLOOKUP(AD$1,$R$2:$R$18,$S$2:$S$18)-$L50)^2+(_xlfn.XLOOKUP(AD$1,$R$2:$R$18,$T$2:$T$18)-$M50)^2+(_xlfn.XLOOKUP(AD$1,$R$2:$R$18,$U$2:$U$18-$N50)^2)))</f>
        <v>218.97662386656708</v>
      </c>
      <c r="AE50" s="150" t="str">
        <f t="array" ref="AE50">IF(AE$1=0,"",SQRT((_xlfn.XLOOKUP(AE$1,$R$2:$R$18,$S$2:$S$18)-$L50)^2+(_xlfn.XLOOKUP(AE$1,$R$2:$R$18,$T$2:$T$18)-$M50)^2+(_xlfn.XLOOKUP(AE$1,$R$2:$R$18,$U$2:$U$18-$N50)^2)))</f>
        <v/>
      </c>
      <c r="AF50" s="150" t="str">
        <f t="array" ref="AF50">IF(AF$1=0,"",SQRT((_xlfn.XLOOKUP(AF$1,$R$2:$R$18,$S$2:$S$18)-$L50)^2+(_xlfn.XLOOKUP(AF$1,$R$2:$R$18,$T$2:$T$18)-$M50)^2+(_xlfn.XLOOKUP(AF$1,$R$2:$R$18,$U$2:$U$18-$N50)^2)))</f>
        <v/>
      </c>
      <c r="AG50" s="150" t="str">
        <f t="array" ref="AG50">IF(AG$1=0,"",SQRT((_xlfn.XLOOKUP(AG$1,$R$2:$R$18,$S$2:$S$18)-$L50)^2+(_xlfn.XLOOKUP(AG$1,$R$2:$R$18,$T$2:$T$18)-$M50)^2+(_xlfn.XLOOKUP(AG$1,$R$2:$R$18,$U$2:$U$18-$N50)^2)))</f>
        <v/>
      </c>
      <c r="AH50" s="151" t="str">
        <f t="array" ref="AH50">IF(AH$1=0,"",SQRT((_xlfn.XLOOKUP(AH$1,$R$2:$R$18,$S$2:$S$18)-$L50)^2+(_xlfn.XLOOKUP(AH$1,$R$2:$R$18,$T$2:$T$18)-$M50)^2+(_xlfn.XLOOKUP(AH$1,$R$2:$R$18,$U$2:$U$18-$N50)^2)))</f>
        <v/>
      </c>
      <c r="AI50" s="151" t="str">
        <f t="array" ref="AI50">IF(AI$1=0,"",SQRT((_xlfn.XLOOKUP(AI$1,$R$2:$R$18,$S$2:$S$18)-$L50)^2+(_xlfn.XLOOKUP(AI$1,$R$2:$R$18,$T$2:$T$18)-$M50)^2+(_xlfn.XLOOKUP(AI$1,$R$2:$R$18,$U$2:$U$18-$N50)^2)))</f>
        <v/>
      </c>
      <c r="AJ50" s="151" t="str">
        <f t="array" ref="AJ50">IF(AJ$1=0,"",SQRT((_xlfn.XLOOKUP(AJ$1,$R$2:$R$18,$S$2:$S$18)-$L50)^2+(_xlfn.XLOOKUP(AJ$1,$R$2:$R$18,$T$2:$T$18)-$M50)^2+(_xlfn.XLOOKUP(AJ$1,$R$2:$R$18,$U$2:$U$18-$N50)^2)))</f>
        <v/>
      </c>
      <c r="AK50" s="151" t="str">
        <f t="array" ref="AK50">IF(AK$1=0,"",SQRT((_xlfn.XLOOKUP(AK$1,$R$2:$R$18,$S$2:$S$18)-$L50)^2+(_xlfn.XLOOKUP(AK$1,$R$2:$R$18,$T$2:$T$18)-$M50)^2+(_xlfn.XLOOKUP(AK$1,$R$2:$R$18,$U$2:$U$18-$N50)^2)))</f>
        <v/>
      </c>
      <c r="AL50" s="151" t="str">
        <f t="array" ref="AL50">IF(AL$1=0,"",SQRT((_xlfn.XLOOKUP(AL$1,$R$2:$R$18,$S$2:$S$18)-$L50)^2+(_xlfn.XLOOKUP(AL$1,$R$2:$R$18,$T$2:$T$18)-$M50)^2+(_xlfn.XLOOKUP(AL$1,$R$2:$R$18,$U$2:$U$18-$N50)^2)))</f>
        <v/>
      </c>
      <c r="AM50" s="151" t="str">
        <f t="array" ref="AM50">IF(AM$1=0,"",SQRT((_xlfn.XLOOKUP(AM$1,$R$2:$R$18,$S$2:$S$18)-$L50)^2+(_xlfn.XLOOKUP(AM$1,$R$2:$R$18,$T$2:$T$18)-$M50)^2+(_xlfn.XLOOKUP(AM$1,$R$2:$R$18,$U$2:$U$18-$N50)^2)))</f>
        <v/>
      </c>
      <c r="AN50" s="152" t="str">
        <f t="array" ref="AN50">IF(AN$1=0,"",SQRT((_xlfn.XLOOKUP(AN$1,$R$2:$R$18,$S$2:$S$18)-$L50)^2+(_xlfn.XLOOKUP(AN$1,$R$2:$R$18,$T$2:$T$18)-$M50)^2+(_xlfn.XLOOKUP(AN$1,$R$2:$R$18,$U$2:$U$18-$N50)^2)))</f>
        <v/>
      </c>
      <c r="AO50" s="134"/>
      <c r="AP50" s="134"/>
      <c r="AQ50" s="135">
        <f t="shared" si="51"/>
        <v>0</v>
      </c>
      <c r="AR50" s="153">
        <f t="shared" si="52"/>
        <v>0</v>
      </c>
      <c r="AS50" s="153">
        <f t="shared" si="53"/>
        <v>0</v>
      </c>
      <c r="AT50" s="153">
        <f t="shared" si="54"/>
        <v>0</v>
      </c>
      <c r="AU50" s="153">
        <f t="shared" si="55"/>
        <v>0</v>
      </c>
      <c r="AV50" s="153">
        <f t="shared" si="56"/>
        <v>0</v>
      </c>
      <c r="AW50" s="153">
        <f t="shared" si="57"/>
        <v>0</v>
      </c>
      <c r="AX50" s="153">
        <f t="shared" si="58"/>
        <v>0</v>
      </c>
      <c r="AY50" s="154">
        <f t="shared" si="59"/>
        <v>0</v>
      </c>
      <c r="AZ50" s="154">
        <f t="shared" si="60"/>
        <v>0</v>
      </c>
      <c r="BA50" s="154">
        <f t="shared" si="61"/>
        <v>0</v>
      </c>
      <c r="BB50" s="154">
        <f t="shared" si="62"/>
        <v>0</v>
      </c>
      <c r="BC50" s="154">
        <f t="shared" si="63"/>
        <v>0</v>
      </c>
      <c r="BD50" s="154">
        <f t="shared" si="64"/>
        <v>0</v>
      </c>
      <c r="BE50" s="155">
        <f t="shared" si="65"/>
        <v>0</v>
      </c>
      <c r="BF50" s="134"/>
      <c r="BG50" s="21" t="s">
        <v>75</v>
      </c>
      <c r="BH50" s="21">
        <f>BH49-BH48</f>
        <v>0.5</v>
      </c>
      <c r="BI50" s="21"/>
      <c r="BJ50" s="134"/>
      <c r="BK50" s="134"/>
      <c r="BL50" s="134"/>
      <c r="BM50" s="134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34"/>
      <c r="CD50" s="134"/>
      <c r="CE50" s="169">
        <f t="shared" si="66"/>
        <v>0</v>
      </c>
      <c r="CF50" s="170">
        <f t="shared" si="67"/>
        <v>0</v>
      </c>
      <c r="CG50" s="170">
        <f t="shared" si="68"/>
        <v>0</v>
      </c>
      <c r="CH50" s="170">
        <f t="shared" si="69"/>
        <v>0</v>
      </c>
      <c r="CI50" s="170">
        <f t="shared" si="70"/>
        <v>0</v>
      </c>
      <c r="CJ50" s="170" t="str">
        <f t="shared" si="71"/>
        <v/>
      </c>
      <c r="CK50" s="170" t="str">
        <f t="shared" si="72"/>
        <v/>
      </c>
      <c r="CL50" s="170" t="str">
        <f t="shared" si="73"/>
        <v/>
      </c>
      <c r="CM50" s="172" t="str">
        <f t="shared" si="74"/>
        <v/>
      </c>
      <c r="CN50" s="172" t="str">
        <f t="shared" si="75"/>
        <v/>
      </c>
      <c r="CO50" s="172" t="str">
        <f t="shared" si="76"/>
        <v/>
      </c>
      <c r="CP50" s="172" t="str">
        <f t="shared" si="77"/>
        <v/>
      </c>
      <c r="CQ50" s="172" t="str">
        <f t="shared" si="78"/>
        <v/>
      </c>
      <c r="CR50" s="172" t="str">
        <f t="shared" si="79"/>
        <v/>
      </c>
      <c r="CS50" s="173" t="str">
        <f t="shared" si="80"/>
        <v/>
      </c>
    </row>
    <row r="51" spans="1:97" ht="16.5" customHeight="1" x14ac:dyDescent="0.3">
      <c r="A51" s="145"/>
      <c r="B51" s="146"/>
      <c r="C51" s="146"/>
      <c r="D51" s="147"/>
      <c r="E51" s="147"/>
      <c r="F51" s="4"/>
      <c r="G51" s="4"/>
      <c r="H51" s="3"/>
      <c r="I51" s="128">
        <f t="shared" si="34"/>
        <v>0</v>
      </c>
      <c r="J51" s="3"/>
      <c r="K51" s="3"/>
      <c r="L51" s="4"/>
      <c r="M51" s="4"/>
      <c r="N51" s="109">
        <f t="shared" si="50"/>
        <v>0</v>
      </c>
      <c r="O51" s="171"/>
      <c r="P51" s="148"/>
      <c r="Z51" s="168">
        <f t="array" ref="Z51">IF(Z$1=0,"",SQRT((_xlfn.XLOOKUP(Z$1,$R$2:$R$18,$S$2:$S$18)-$L51)^2+(_xlfn.XLOOKUP(Z$1,$R$2:$R$18,$T$2:$T$18)-$M51)^2+(_xlfn.XLOOKUP(Z$1,$R$2:$R$18,$U$2:$U$18-$N51)^2)))</f>
        <v>112.53151914019467</v>
      </c>
      <c r="AA51" s="150">
        <f t="array" ref="AA51">IF(AA$1=0,"",SQRT((_xlfn.XLOOKUP(AA$1,$R$2:$R$18,$S$2:$S$18)-$L51)^2+(_xlfn.XLOOKUP(AA$1,$R$2:$R$18,$T$2:$T$18)-$M51)^2+(_xlfn.XLOOKUP(AA$1,$R$2:$R$18,$U$2:$U$18-$N51)^2)))</f>
        <v>123.81444705687622</v>
      </c>
      <c r="AB51" s="150">
        <f t="array" ref="AB51">IF(AB$1=0,"",SQRT((_xlfn.XLOOKUP(AB$1,$R$2:$R$18,$S$2:$S$18)-$L51)^2+(_xlfn.XLOOKUP(AB$1,$R$2:$R$18,$T$2:$T$18)-$M51)^2+(_xlfn.XLOOKUP(AB$1,$R$2:$R$18,$U$2:$U$18-$N51)^2)))</f>
        <v>226.27326421828982</v>
      </c>
      <c r="AC51" s="150">
        <f t="array" ref="AC51">IF(AC$1=0,"",SQRT((_xlfn.XLOOKUP(AC$1,$R$2:$R$18,$S$2:$S$18)-$L51)^2+(_xlfn.XLOOKUP(AC$1,$R$2:$R$18,$T$2:$T$18)-$M51)^2+(_xlfn.XLOOKUP(AC$1,$R$2:$R$18,$U$2:$U$18-$N51)^2)))</f>
        <v>330.89448786584524</v>
      </c>
      <c r="AD51" s="150">
        <f t="array" ref="AD51">IF(AD$1=0,"",SQRT((_xlfn.XLOOKUP(AD$1,$R$2:$R$18,$S$2:$S$18)-$L51)^2+(_xlfn.XLOOKUP(AD$1,$R$2:$R$18,$T$2:$T$18)-$M51)^2+(_xlfn.XLOOKUP(AD$1,$R$2:$R$18,$U$2:$U$18-$N51)^2)))</f>
        <v>218.97662386656708</v>
      </c>
      <c r="AE51" s="150" t="str">
        <f t="array" ref="AE51">IF(AE$1=0,"",SQRT((_xlfn.XLOOKUP(AE$1,$R$2:$R$18,$S$2:$S$18)-$L51)^2+(_xlfn.XLOOKUP(AE$1,$R$2:$R$18,$T$2:$T$18)-$M51)^2+(_xlfn.XLOOKUP(AE$1,$R$2:$R$18,$U$2:$U$18-$N51)^2)))</f>
        <v/>
      </c>
      <c r="AF51" s="150" t="str">
        <f t="array" ref="AF51">IF(AF$1=0,"",SQRT((_xlfn.XLOOKUP(AF$1,$R$2:$R$18,$S$2:$S$18)-$L51)^2+(_xlfn.XLOOKUP(AF$1,$R$2:$R$18,$T$2:$T$18)-$M51)^2+(_xlfn.XLOOKUP(AF$1,$R$2:$R$18,$U$2:$U$18-$N51)^2)))</f>
        <v/>
      </c>
      <c r="AG51" s="150" t="str">
        <f t="array" ref="AG51">IF(AG$1=0,"",SQRT((_xlfn.XLOOKUP(AG$1,$R$2:$R$18,$S$2:$S$18)-$L51)^2+(_xlfn.XLOOKUP(AG$1,$R$2:$R$18,$T$2:$T$18)-$M51)^2+(_xlfn.XLOOKUP(AG$1,$R$2:$R$18,$U$2:$U$18-$N51)^2)))</f>
        <v/>
      </c>
      <c r="AH51" s="151" t="str">
        <f t="array" ref="AH51">IF(AH$1=0,"",SQRT((_xlfn.XLOOKUP(AH$1,$R$2:$R$18,$S$2:$S$18)-$L51)^2+(_xlfn.XLOOKUP(AH$1,$R$2:$R$18,$T$2:$T$18)-$M51)^2+(_xlfn.XLOOKUP(AH$1,$R$2:$R$18,$U$2:$U$18-$N51)^2)))</f>
        <v/>
      </c>
      <c r="AI51" s="151" t="str">
        <f t="array" ref="AI51">IF(AI$1=0,"",SQRT((_xlfn.XLOOKUP(AI$1,$R$2:$R$18,$S$2:$S$18)-$L51)^2+(_xlfn.XLOOKUP(AI$1,$R$2:$R$18,$T$2:$T$18)-$M51)^2+(_xlfn.XLOOKUP(AI$1,$R$2:$R$18,$U$2:$U$18-$N51)^2)))</f>
        <v/>
      </c>
      <c r="AJ51" s="151" t="str">
        <f t="array" ref="AJ51">IF(AJ$1=0,"",SQRT((_xlfn.XLOOKUP(AJ$1,$R$2:$R$18,$S$2:$S$18)-$L51)^2+(_xlfn.XLOOKUP(AJ$1,$R$2:$R$18,$T$2:$T$18)-$M51)^2+(_xlfn.XLOOKUP(AJ$1,$R$2:$R$18,$U$2:$U$18-$N51)^2)))</f>
        <v/>
      </c>
      <c r="AK51" s="151" t="str">
        <f t="array" ref="AK51">IF(AK$1=0,"",SQRT((_xlfn.XLOOKUP(AK$1,$R$2:$R$18,$S$2:$S$18)-$L51)^2+(_xlfn.XLOOKUP(AK$1,$R$2:$R$18,$T$2:$T$18)-$M51)^2+(_xlfn.XLOOKUP(AK$1,$R$2:$R$18,$U$2:$U$18-$N51)^2)))</f>
        <v/>
      </c>
      <c r="AL51" s="151" t="str">
        <f t="array" ref="AL51">IF(AL$1=0,"",SQRT((_xlfn.XLOOKUP(AL$1,$R$2:$R$18,$S$2:$S$18)-$L51)^2+(_xlfn.XLOOKUP(AL$1,$R$2:$R$18,$T$2:$T$18)-$M51)^2+(_xlfn.XLOOKUP(AL$1,$R$2:$R$18,$U$2:$U$18-$N51)^2)))</f>
        <v/>
      </c>
      <c r="AM51" s="151" t="str">
        <f t="array" ref="AM51">IF(AM$1=0,"",SQRT((_xlfn.XLOOKUP(AM$1,$R$2:$R$18,$S$2:$S$18)-$L51)^2+(_xlfn.XLOOKUP(AM$1,$R$2:$R$18,$T$2:$T$18)-$M51)^2+(_xlfn.XLOOKUP(AM$1,$R$2:$R$18,$U$2:$U$18-$N51)^2)))</f>
        <v/>
      </c>
      <c r="AN51" s="152" t="str">
        <f t="array" ref="AN51">IF(AN$1=0,"",SQRT((_xlfn.XLOOKUP(AN$1,$R$2:$R$18,$S$2:$S$18)-$L51)^2+(_xlfn.XLOOKUP(AN$1,$R$2:$R$18,$T$2:$T$18)-$M51)^2+(_xlfn.XLOOKUP(AN$1,$R$2:$R$18,$U$2:$U$18-$N51)^2)))</f>
        <v/>
      </c>
      <c r="AO51" s="134"/>
      <c r="AP51" s="134"/>
      <c r="AQ51" s="135">
        <f t="shared" si="51"/>
        <v>0</v>
      </c>
      <c r="AR51" s="153">
        <f t="shared" si="52"/>
        <v>0</v>
      </c>
      <c r="AS51" s="153">
        <f t="shared" si="53"/>
        <v>0</v>
      </c>
      <c r="AT51" s="153">
        <f t="shared" si="54"/>
        <v>0</v>
      </c>
      <c r="AU51" s="153">
        <f t="shared" si="55"/>
        <v>0</v>
      </c>
      <c r="AV51" s="153">
        <f t="shared" si="56"/>
        <v>0</v>
      </c>
      <c r="AW51" s="153">
        <f t="shared" si="57"/>
        <v>0</v>
      </c>
      <c r="AX51" s="153">
        <f t="shared" si="58"/>
        <v>0</v>
      </c>
      <c r="AY51" s="154">
        <f t="shared" si="59"/>
        <v>0</v>
      </c>
      <c r="AZ51" s="154">
        <f t="shared" si="60"/>
        <v>0</v>
      </c>
      <c r="BA51" s="154">
        <f t="shared" si="61"/>
        <v>0</v>
      </c>
      <c r="BB51" s="154">
        <f t="shared" si="62"/>
        <v>0</v>
      </c>
      <c r="BC51" s="154">
        <f t="shared" si="63"/>
        <v>0</v>
      </c>
      <c r="BD51" s="154">
        <f t="shared" si="64"/>
        <v>0</v>
      </c>
      <c r="BE51" s="155">
        <f t="shared" si="65"/>
        <v>0</v>
      </c>
      <c r="BF51" s="134"/>
      <c r="BG51" s="21" t="s">
        <v>76</v>
      </c>
      <c r="BH51" s="21">
        <f>IFERROR((BH47-BH48)/BH50,0)</f>
        <v>0.19531158510582713</v>
      </c>
      <c r="BI51" s="21"/>
      <c r="BJ51" s="134"/>
      <c r="BK51" s="134"/>
      <c r="BL51" s="134"/>
      <c r="BM51" s="134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34"/>
      <c r="CD51" s="134"/>
      <c r="CE51" s="169">
        <f t="shared" si="66"/>
        <v>0</v>
      </c>
      <c r="CF51" s="170">
        <f t="shared" si="67"/>
        <v>0</v>
      </c>
      <c r="CG51" s="170">
        <f t="shared" si="68"/>
        <v>0</v>
      </c>
      <c r="CH51" s="170">
        <f t="shared" si="69"/>
        <v>0</v>
      </c>
      <c r="CI51" s="170">
        <f t="shared" si="70"/>
        <v>0</v>
      </c>
      <c r="CJ51" s="170" t="str">
        <f t="shared" si="71"/>
        <v/>
      </c>
      <c r="CK51" s="170" t="str">
        <f t="shared" si="72"/>
        <v/>
      </c>
      <c r="CL51" s="170" t="str">
        <f t="shared" si="73"/>
        <v/>
      </c>
      <c r="CM51" s="172" t="str">
        <f t="shared" si="74"/>
        <v/>
      </c>
      <c r="CN51" s="172" t="str">
        <f t="shared" si="75"/>
        <v/>
      </c>
      <c r="CO51" s="172" t="str">
        <f t="shared" si="76"/>
        <v/>
      </c>
      <c r="CP51" s="172" t="str">
        <f t="shared" si="77"/>
        <v/>
      </c>
      <c r="CQ51" s="172" t="str">
        <f t="shared" si="78"/>
        <v/>
      </c>
      <c r="CR51" s="172" t="str">
        <f t="shared" si="79"/>
        <v/>
      </c>
      <c r="CS51" s="173" t="str">
        <f t="shared" si="80"/>
        <v/>
      </c>
    </row>
    <row r="52" spans="1:97" ht="16.5" customHeight="1" x14ac:dyDescent="0.3">
      <c r="A52" s="145"/>
      <c r="B52" s="146"/>
      <c r="C52" s="146"/>
      <c r="D52" s="147"/>
      <c r="E52" s="147"/>
      <c r="F52" s="4"/>
      <c r="G52" s="4"/>
      <c r="H52" s="3"/>
      <c r="I52" s="128">
        <f t="shared" si="34"/>
        <v>0</v>
      </c>
      <c r="J52" s="3"/>
      <c r="K52" s="3"/>
      <c r="L52" s="4"/>
      <c r="M52" s="4"/>
      <c r="N52" s="109">
        <f t="shared" si="50"/>
        <v>0</v>
      </c>
      <c r="O52" s="171"/>
      <c r="P52" s="148"/>
      <c r="Z52" s="168">
        <f t="array" ref="Z52">IF(Z$1=0,"",SQRT((_xlfn.XLOOKUP(Z$1,$R$2:$R$18,$S$2:$S$18)-$L52)^2+(_xlfn.XLOOKUP(Z$1,$R$2:$R$18,$T$2:$T$18)-$M52)^2+(_xlfn.XLOOKUP(Z$1,$R$2:$R$18,$U$2:$U$18-$N52)^2)))</f>
        <v>112.53151914019467</v>
      </c>
      <c r="AA52" s="150">
        <f t="array" ref="AA52">IF(AA$1=0,"",SQRT((_xlfn.XLOOKUP(AA$1,$R$2:$R$18,$S$2:$S$18)-$L52)^2+(_xlfn.XLOOKUP(AA$1,$R$2:$R$18,$T$2:$T$18)-$M52)^2+(_xlfn.XLOOKUP(AA$1,$R$2:$R$18,$U$2:$U$18-$N52)^2)))</f>
        <v>123.81444705687622</v>
      </c>
      <c r="AB52" s="150">
        <f t="array" ref="AB52">IF(AB$1=0,"",SQRT((_xlfn.XLOOKUP(AB$1,$R$2:$R$18,$S$2:$S$18)-$L52)^2+(_xlfn.XLOOKUP(AB$1,$R$2:$R$18,$T$2:$T$18)-$M52)^2+(_xlfn.XLOOKUP(AB$1,$R$2:$R$18,$U$2:$U$18-$N52)^2)))</f>
        <v>226.27326421828982</v>
      </c>
      <c r="AC52" s="150">
        <f t="array" ref="AC52">IF(AC$1=0,"",SQRT((_xlfn.XLOOKUP(AC$1,$R$2:$R$18,$S$2:$S$18)-$L52)^2+(_xlfn.XLOOKUP(AC$1,$R$2:$R$18,$T$2:$T$18)-$M52)^2+(_xlfn.XLOOKUP(AC$1,$R$2:$R$18,$U$2:$U$18-$N52)^2)))</f>
        <v>330.89448786584524</v>
      </c>
      <c r="AD52" s="150">
        <f t="array" ref="AD52">IF(AD$1=0,"",SQRT((_xlfn.XLOOKUP(AD$1,$R$2:$R$18,$S$2:$S$18)-$L52)^2+(_xlfn.XLOOKUP(AD$1,$R$2:$R$18,$T$2:$T$18)-$M52)^2+(_xlfn.XLOOKUP(AD$1,$R$2:$R$18,$U$2:$U$18-$N52)^2)))</f>
        <v>218.97662386656708</v>
      </c>
      <c r="AE52" s="150" t="str">
        <f t="array" ref="AE52">IF(AE$1=0,"",SQRT((_xlfn.XLOOKUP(AE$1,$R$2:$R$18,$S$2:$S$18)-$L52)^2+(_xlfn.XLOOKUP(AE$1,$R$2:$R$18,$T$2:$T$18)-$M52)^2+(_xlfn.XLOOKUP(AE$1,$R$2:$R$18,$U$2:$U$18-$N52)^2)))</f>
        <v/>
      </c>
      <c r="AF52" s="150" t="str">
        <f t="array" ref="AF52">IF(AF$1=0,"",SQRT((_xlfn.XLOOKUP(AF$1,$R$2:$R$18,$S$2:$S$18)-$L52)^2+(_xlfn.XLOOKUP(AF$1,$R$2:$R$18,$T$2:$T$18)-$M52)^2+(_xlfn.XLOOKUP(AF$1,$R$2:$R$18,$U$2:$U$18-$N52)^2)))</f>
        <v/>
      </c>
      <c r="AG52" s="150" t="str">
        <f t="array" ref="AG52">IF(AG$1=0,"",SQRT((_xlfn.XLOOKUP(AG$1,$R$2:$R$18,$S$2:$S$18)-$L52)^2+(_xlfn.XLOOKUP(AG$1,$R$2:$R$18,$T$2:$T$18)-$M52)^2+(_xlfn.XLOOKUP(AG$1,$R$2:$R$18,$U$2:$U$18-$N52)^2)))</f>
        <v/>
      </c>
      <c r="AH52" s="151" t="str">
        <f t="array" ref="AH52">IF(AH$1=0,"",SQRT((_xlfn.XLOOKUP(AH$1,$R$2:$R$18,$S$2:$S$18)-$L52)^2+(_xlfn.XLOOKUP(AH$1,$R$2:$R$18,$T$2:$T$18)-$M52)^2+(_xlfn.XLOOKUP(AH$1,$R$2:$R$18,$U$2:$U$18-$N52)^2)))</f>
        <v/>
      </c>
      <c r="AI52" s="151" t="str">
        <f t="array" ref="AI52">IF(AI$1=0,"",SQRT((_xlfn.XLOOKUP(AI$1,$R$2:$R$18,$S$2:$S$18)-$L52)^2+(_xlfn.XLOOKUP(AI$1,$R$2:$R$18,$T$2:$T$18)-$M52)^2+(_xlfn.XLOOKUP(AI$1,$R$2:$R$18,$U$2:$U$18-$N52)^2)))</f>
        <v/>
      </c>
      <c r="AJ52" s="151" t="str">
        <f t="array" ref="AJ52">IF(AJ$1=0,"",SQRT((_xlfn.XLOOKUP(AJ$1,$R$2:$R$18,$S$2:$S$18)-$L52)^2+(_xlfn.XLOOKUP(AJ$1,$R$2:$R$18,$T$2:$T$18)-$M52)^2+(_xlfn.XLOOKUP(AJ$1,$R$2:$R$18,$U$2:$U$18-$N52)^2)))</f>
        <v/>
      </c>
      <c r="AK52" s="151" t="str">
        <f t="array" ref="AK52">IF(AK$1=0,"",SQRT((_xlfn.XLOOKUP(AK$1,$R$2:$R$18,$S$2:$S$18)-$L52)^2+(_xlfn.XLOOKUP(AK$1,$R$2:$R$18,$T$2:$T$18)-$M52)^2+(_xlfn.XLOOKUP(AK$1,$R$2:$R$18,$U$2:$U$18-$N52)^2)))</f>
        <v/>
      </c>
      <c r="AL52" s="151" t="str">
        <f t="array" ref="AL52">IF(AL$1=0,"",SQRT((_xlfn.XLOOKUP(AL$1,$R$2:$R$18,$S$2:$S$18)-$L52)^2+(_xlfn.XLOOKUP(AL$1,$R$2:$R$18,$T$2:$T$18)-$M52)^2+(_xlfn.XLOOKUP(AL$1,$R$2:$R$18,$U$2:$U$18-$N52)^2)))</f>
        <v/>
      </c>
      <c r="AM52" s="151" t="str">
        <f t="array" ref="AM52">IF(AM$1=0,"",SQRT((_xlfn.XLOOKUP(AM$1,$R$2:$R$18,$S$2:$S$18)-$L52)^2+(_xlfn.XLOOKUP(AM$1,$R$2:$R$18,$T$2:$T$18)-$M52)^2+(_xlfn.XLOOKUP(AM$1,$R$2:$R$18,$U$2:$U$18-$N52)^2)))</f>
        <v/>
      </c>
      <c r="AN52" s="152" t="str">
        <f t="array" ref="AN52">IF(AN$1=0,"",SQRT((_xlfn.XLOOKUP(AN$1,$R$2:$R$18,$S$2:$S$18)-$L52)^2+(_xlfn.XLOOKUP(AN$1,$R$2:$R$18,$T$2:$T$18)-$M52)^2+(_xlfn.XLOOKUP(AN$1,$R$2:$R$18,$U$2:$U$18-$N52)^2)))</f>
        <v/>
      </c>
      <c r="AO52" s="134"/>
      <c r="AP52" s="134"/>
      <c r="AQ52" s="135">
        <f t="shared" si="51"/>
        <v>0</v>
      </c>
      <c r="AR52" s="153">
        <f t="shared" si="52"/>
        <v>0</v>
      </c>
      <c r="AS52" s="153">
        <f t="shared" si="53"/>
        <v>0</v>
      </c>
      <c r="AT52" s="153">
        <f t="shared" si="54"/>
        <v>0</v>
      </c>
      <c r="AU52" s="153">
        <f t="shared" si="55"/>
        <v>0</v>
      </c>
      <c r="AV52" s="153">
        <f t="shared" si="56"/>
        <v>0</v>
      </c>
      <c r="AW52" s="153">
        <f t="shared" si="57"/>
        <v>0</v>
      </c>
      <c r="AX52" s="153">
        <f t="shared" si="58"/>
        <v>0</v>
      </c>
      <c r="AY52" s="154">
        <f t="shared" si="59"/>
        <v>0</v>
      </c>
      <c r="AZ52" s="154">
        <f t="shared" si="60"/>
        <v>0</v>
      </c>
      <c r="BA52" s="154">
        <f t="shared" si="61"/>
        <v>0</v>
      </c>
      <c r="BB52" s="154">
        <f t="shared" si="62"/>
        <v>0</v>
      </c>
      <c r="BC52" s="154">
        <f t="shared" si="63"/>
        <v>0</v>
      </c>
      <c r="BD52" s="154">
        <f t="shared" si="64"/>
        <v>0</v>
      </c>
      <c r="BE52" s="155">
        <f t="shared" si="65"/>
        <v>0</v>
      </c>
      <c r="BF52" s="134"/>
      <c r="BG52" s="134"/>
      <c r="BH52" s="134"/>
      <c r="BI52" s="134"/>
      <c r="BJ52" s="134"/>
      <c r="BK52" s="134"/>
      <c r="BL52" s="134"/>
      <c r="BM52" s="134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34"/>
      <c r="CD52" s="134"/>
      <c r="CE52" s="169">
        <f t="shared" si="66"/>
        <v>0</v>
      </c>
      <c r="CF52" s="170">
        <f t="shared" si="67"/>
        <v>0</v>
      </c>
      <c r="CG52" s="170">
        <f t="shared" si="68"/>
        <v>0</v>
      </c>
      <c r="CH52" s="170">
        <f t="shared" si="69"/>
        <v>0</v>
      </c>
      <c r="CI52" s="170">
        <f t="shared" si="70"/>
        <v>0</v>
      </c>
      <c r="CJ52" s="170" t="str">
        <f t="shared" si="71"/>
        <v/>
      </c>
      <c r="CK52" s="170" t="str">
        <f t="shared" si="72"/>
        <v/>
      </c>
      <c r="CL52" s="170" t="str">
        <f t="shared" si="73"/>
        <v/>
      </c>
      <c r="CM52" s="172" t="str">
        <f t="shared" si="74"/>
        <v/>
      </c>
      <c r="CN52" s="172" t="str">
        <f t="shared" si="75"/>
        <v/>
      </c>
      <c r="CO52" s="172" t="str">
        <f t="shared" si="76"/>
        <v/>
      </c>
      <c r="CP52" s="172" t="str">
        <f t="shared" si="77"/>
        <v/>
      </c>
      <c r="CQ52" s="172" t="str">
        <f t="shared" si="78"/>
        <v/>
      </c>
      <c r="CR52" s="172" t="str">
        <f t="shared" si="79"/>
        <v/>
      </c>
      <c r="CS52" s="173" t="str">
        <f t="shared" si="80"/>
        <v/>
      </c>
    </row>
    <row r="53" spans="1:97" ht="16.5" customHeight="1" x14ac:dyDescent="0.3">
      <c r="A53" s="145"/>
      <c r="B53" s="146"/>
      <c r="C53" s="146"/>
      <c r="D53" s="147"/>
      <c r="E53" s="147"/>
      <c r="F53" s="4"/>
      <c r="G53" s="4"/>
      <c r="H53" s="3"/>
      <c r="I53" s="128">
        <f t="shared" si="34"/>
        <v>0</v>
      </c>
      <c r="J53" s="3"/>
      <c r="K53" s="3"/>
      <c r="L53" s="4"/>
      <c r="M53" s="4"/>
      <c r="N53" s="109">
        <f t="shared" si="50"/>
        <v>0</v>
      </c>
      <c r="O53" s="171"/>
      <c r="P53" s="148"/>
      <c r="Z53" s="168">
        <f t="array" ref="Z53">IF(Z$1=0,"",SQRT((_xlfn.XLOOKUP(Z$1,$R$2:$R$18,$S$2:$S$18)-$L53)^2+(_xlfn.XLOOKUP(Z$1,$R$2:$R$18,$T$2:$T$18)-$M53)^2+(_xlfn.XLOOKUP(Z$1,$R$2:$R$18,$U$2:$U$18-$N53)^2)))</f>
        <v>112.53151914019467</v>
      </c>
      <c r="AA53" s="150">
        <f t="array" ref="AA53">IF(AA$1=0,"",SQRT((_xlfn.XLOOKUP(AA$1,$R$2:$R$18,$S$2:$S$18)-$L53)^2+(_xlfn.XLOOKUP(AA$1,$R$2:$R$18,$T$2:$T$18)-$M53)^2+(_xlfn.XLOOKUP(AA$1,$R$2:$R$18,$U$2:$U$18-$N53)^2)))</f>
        <v>123.81444705687622</v>
      </c>
      <c r="AB53" s="150">
        <f t="array" ref="AB53">IF(AB$1=0,"",SQRT((_xlfn.XLOOKUP(AB$1,$R$2:$R$18,$S$2:$S$18)-$L53)^2+(_xlfn.XLOOKUP(AB$1,$R$2:$R$18,$T$2:$T$18)-$M53)^2+(_xlfn.XLOOKUP(AB$1,$R$2:$R$18,$U$2:$U$18-$N53)^2)))</f>
        <v>226.27326421828982</v>
      </c>
      <c r="AC53" s="150">
        <f t="array" ref="AC53">IF(AC$1=0,"",SQRT((_xlfn.XLOOKUP(AC$1,$R$2:$R$18,$S$2:$S$18)-$L53)^2+(_xlfn.XLOOKUP(AC$1,$R$2:$R$18,$T$2:$T$18)-$M53)^2+(_xlfn.XLOOKUP(AC$1,$R$2:$R$18,$U$2:$U$18-$N53)^2)))</f>
        <v>330.89448786584524</v>
      </c>
      <c r="AD53" s="150">
        <f t="array" ref="AD53">IF(AD$1=0,"",SQRT((_xlfn.XLOOKUP(AD$1,$R$2:$R$18,$S$2:$S$18)-$L53)^2+(_xlfn.XLOOKUP(AD$1,$R$2:$R$18,$T$2:$T$18)-$M53)^2+(_xlfn.XLOOKUP(AD$1,$R$2:$R$18,$U$2:$U$18-$N53)^2)))</f>
        <v>218.97662386656708</v>
      </c>
      <c r="AE53" s="150" t="str">
        <f t="array" ref="AE53">IF(AE$1=0,"",SQRT((_xlfn.XLOOKUP(AE$1,$R$2:$R$18,$S$2:$S$18)-$L53)^2+(_xlfn.XLOOKUP(AE$1,$R$2:$R$18,$T$2:$T$18)-$M53)^2+(_xlfn.XLOOKUP(AE$1,$R$2:$R$18,$U$2:$U$18-$N53)^2)))</f>
        <v/>
      </c>
      <c r="AF53" s="150" t="str">
        <f t="array" ref="AF53">IF(AF$1=0,"",SQRT((_xlfn.XLOOKUP(AF$1,$R$2:$R$18,$S$2:$S$18)-$L53)^2+(_xlfn.XLOOKUP(AF$1,$R$2:$R$18,$T$2:$T$18)-$M53)^2+(_xlfn.XLOOKUP(AF$1,$R$2:$R$18,$U$2:$U$18-$N53)^2)))</f>
        <v/>
      </c>
      <c r="AG53" s="150" t="str">
        <f t="array" ref="AG53">IF(AG$1=0,"",SQRT((_xlfn.XLOOKUP(AG$1,$R$2:$R$18,$S$2:$S$18)-$L53)^2+(_xlfn.XLOOKUP(AG$1,$R$2:$R$18,$T$2:$T$18)-$M53)^2+(_xlfn.XLOOKUP(AG$1,$R$2:$R$18,$U$2:$U$18-$N53)^2)))</f>
        <v/>
      </c>
      <c r="AH53" s="151" t="str">
        <f t="array" ref="AH53">IF(AH$1=0,"",SQRT((_xlfn.XLOOKUP(AH$1,$R$2:$R$18,$S$2:$S$18)-$L53)^2+(_xlfn.XLOOKUP(AH$1,$R$2:$R$18,$T$2:$T$18)-$M53)^2+(_xlfn.XLOOKUP(AH$1,$R$2:$R$18,$U$2:$U$18-$N53)^2)))</f>
        <v/>
      </c>
      <c r="AI53" s="151" t="str">
        <f t="array" ref="AI53">IF(AI$1=0,"",SQRT((_xlfn.XLOOKUP(AI$1,$R$2:$R$18,$S$2:$S$18)-$L53)^2+(_xlfn.XLOOKUP(AI$1,$R$2:$R$18,$T$2:$T$18)-$M53)^2+(_xlfn.XLOOKUP(AI$1,$R$2:$R$18,$U$2:$U$18-$N53)^2)))</f>
        <v/>
      </c>
      <c r="AJ53" s="151" t="str">
        <f t="array" ref="AJ53">IF(AJ$1=0,"",SQRT((_xlfn.XLOOKUP(AJ$1,$R$2:$R$18,$S$2:$S$18)-$L53)^2+(_xlfn.XLOOKUP(AJ$1,$R$2:$R$18,$T$2:$T$18)-$M53)^2+(_xlfn.XLOOKUP(AJ$1,$R$2:$R$18,$U$2:$U$18-$N53)^2)))</f>
        <v/>
      </c>
      <c r="AK53" s="151" t="str">
        <f t="array" ref="AK53">IF(AK$1=0,"",SQRT((_xlfn.XLOOKUP(AK$1,$R$2:$R$18,$S$2:$S$18)-$L53)^2+(_xlfn.XLOOKUP(AK$1,$R$2:$R$18,$T$2:$T$18)-$M53)^2+(_xlfn.XLOOKUP(AK$1,$R$2:$R$18,$U$2:$U$18-$N53)^2)))</f>
        <v/>
      </c>
      <c r="AL53" s="151" t="str">
        <f t="array" ref="AL53">IF(AL$1=0,"",SQRT((_xlfn.XLOOKUP(AL$1,$R$2:$R$18,$S$2:$S$18)-$L53)^2+(_xlfn.XLOOKUP(AL$1,$R$2:$R$18,$T$2:$T$18)-$M53)^2+(_xlfn.XLOOKUP(AL$1,$R$2:$R$18,$U$2:$U$18-$N53)^2)))</f>
        <v/>
      </c>
      <c r="AM53" s="151" t="str">
        <f t="array" ref="AM53">IF(AM$1=0,"",SQRT((_xlfn.XLOOKUP(AM$1,$R$2:$R$18,$S$2:$S$18)-$L53)^2+(_xlfn.XLOOKUP(AM$1,$R$2:$R$18,$T$2:$T$18)-$M53)^2+(_xlfn.XLOOKUP(AM$1,$R$2:$R$18,$U$2:$U$18-$N53)^2)))</f>
        <v/>
      </c>
      <c r="AN53" s="152" t="str">
        <f t="array" ref="AN53">IF(AN$1=0,"",SQRT((_xlfn.XLOOKUP(AN$1,$R$2:$R$18,$S$2:$S$18)-$L53)^2+(_xlfn.XLOOKUP(AN$1,$R$2:$R$18,$T$2:$T$18)-$M53)^2+(_xlfn.XLOOKUP(AN$1,$R$2:$R$18,$U$2:$U$18-$N53)^2)))</f>
        <v/>
      </c>
      <c r="AO53" s="134"/>
      <c r="AP53" s="134"/>
      <c r="AQ53" s="135">
        <f t="shared" si="51"/>
        <v>0</v>
      </c>
      <c r="AR53" s="153">
        <f t="shared" si="52"/>
        <v>0</v>
      </c>
      <c r="AS53" s="153">
        <f t="shared" si="53"/>
        <v>0</v>
      </c>
      <c r="AT53" s="153">
        <f t="shared" si="54"/>
        <v>0</v>
      </c>
      <c r="AU53" s="153">
        <f t="shared" si="55"/>
        <v>0</v>
      </c>
      <c r="AV53" s="153">
        <f t="shared" si="56"/>
        <v>0</v>
      </c>
      <c r="AW53" s="153">
        <f t="shared" si="57"/>
        <v>0</v>
      </c>
      <c r="AX53" s="153">
        <f t="shared" si="58"/>
        <v>0</v>
      </c>
      <c r="AY53" s="154">
        <f t="shared" si="59"/>
        <v>0</v>
      </c>
      <c r="AZ53" s="154">
        <f t="shared" si="60"/>
        <v>0</v>
      </c>
      <c r="BA53" s="154">
        <f t="shared" si="61"/>
        <v>0</v>
      </c>
      <c r="BB53" s="154">
        <f t="shared" si="62"/>
        <v>0</v>
      </c>
      <c r="BC53" s="154">
        <f t="shared" si="63"/>
        <v>0</v>
      </c>
      <c r="BD53" s="154">
        <f t="shared" si="64"/>
        <v>0</v>
      </c>
      <c r="BE53" s="155">
        <f t="shared" si="65"/>
        <v>0</v>
      </c>
      <c r="BF53" s="134"/>
      <c r="BG53" s="134"/>
      <c r="BH53" s="134"/>
      <c r="BI53" s="134"/>
      <c r="BJ53" s="134"/>
      <c r="BK53" s="134"/>
      <c r="BL53" s="134"/>
      <c r="BM53" s="134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34"/>
      <c r="CD53" s="134"/>
      <c r="CE53" s="169">
        <f t="shared" si="66"/>
        <v>0</v>
      </c>
      <c r="CF53" s="170">
        <f t="shared" si="67"/>
        <v>0</v>
      </c>
      <c r="CG53" s="170">
        <f t="shared" si="68"/>
        <v>0</v>
      </c>
      <c r="CH53" s="170">
        <f t="shared" si="69"/>
        <v>0</v>
      </c>
      <c r="CI53" s="170">
        <f t="shared" si="70"/>
        <v>0</v>
      </c>
      <c r="CJ53" s="170" t="str">
        <f t="shared" si="71"/>
        <v/>
      </c>
      <c r="CK53" s="170" t="str">
        <f t="shared" si="72"/>
        <v/>
      </c>
      <c r="CL53" s="170" t="str">
        <f t="shared" si="73"/>
        <v/>
      </c>
      <c r="CM53" s="172" t="str">
        <f t="shared" si="74"/>
        <v/>
      </c>
      <c r="CN53" s="172" t="str">
        <f t="shared" si="75"/>
        <v/>
      </c>
      <c r="CO53" s="172" t="str">
        <f t="shared" si="76"/>
        <v/>
      </c>
      <c r="CP53" s="172" t="str">
        <f t="shared" si="77"/>
        <v/>
      </c>
      <c r="CQ53" s="172" t="str">
        <f t="shared" si="78"/>
        <v/>
      </c>
      <c r="CR53" s="172" t="str">
        <f t="shared" si="79"/>
        <v/>
      </c>
      <c r="CS53" s="173" t="str">
        <f t="shared" si="80"/>
        <v/>
      </c>
    </row>
    <row r="54" spans="1:97" ht="16.5" customHeight="1" x14ac:dyDescent="0.3">
      <c r="A54" s="145"/>
      <c r="B54" s="146"/>
      <c r="C54" s="146"/>
      <c r="D54" s="147"/>
      <c r="E54" s="147"/>
      <c r="F54" s="4"/>
      <c r="G54" s="4"/>
      <c r="H54" s="3"/>
      <c r="I54" s="128">
        <f t="shared" si="34"/>
        <v>0</v>
      </c>
      <c r="J54" s="3"/>
      <c r="K54" s="3"/>
      <c r="L54" s="4"/>
      <c r="M54" s="4"/>
      <c r="N54" s="109">
        <f t="shared" si="50"/>
        <v>0</v>
      </c>
      <c r="O54" s="171"/>
      <c r="P54" s="148"/>
      <c r="Z54" s="168">
        <f t="array" ref="Z54">IF(Z$1=0,"",SQRT((_xlfn.XLOOKUP(Z$1,$R$2:$R$18,$S$2:$S$18)-$L54)^2+(_xlfn.XLOOKUP(Z$1,$R$2:$R$18,$T$2:$T$18)-$M54)^2+(_xlfn.XLOOKUP(Z$1,$R$2:$R$18,$U$2:$U$18-$N54)^2)))</f>
        <v>112.53151914019467</v>
      </c>
      <c r="AA54" s="150">
        <f t="array" ref="AA54">IF(AA$1=0,"",SQRT((_xlfn.XLOOKUP(AA$1,$R$2:$R$18,$S$2:$S$18)-$L54)^2+(_xlfn.XLOOKUP(AA$1,$R$2:$R$18,$T$2:$T$18)-$M54)^2+(_xlfn.XLOOKUP(AA$1,$R$2:$R$18,$U$2:$U$18-$N54)^2)))</f>
        <v>123.81444705687622</v>
      </c>
      <c r="AB54" s="150">
        <f t="array" ref="AB54">IF(AB$1=0,"",SQRT((_xlfn.XLOOKUP(AB$1,$R$2:$R$18,$S$2:$S$18)-$L54)^2+(_xlfn.XLOOKUP(AB$1,$R$2:$R$18,$T$2:$T$18)-$M54)^2+(_xlfn.XLOOKUP(AB$1,$R$2:$R$18,$U$2:$U$18-$N54)^2)))</f>
        <v>226.27326421828982</v>
      </c>
      <c r="AC54" s="150">
        <f t="array" ref="AC54">IF(AC$1=0,"",SQRT((_xlfn.XLOOKUP(AC$1,$R$2:$R$18,$S$2:$S$18)-$L54)^2+(_xlfn.XLOOKUP(AC$1,$R$2:$R$18,$T$2:$T$18)-$M54)^2+(_xlfn.XLOOKUP(AC$1,$R$2:$R$18,$U$2:$U$18-$N54)^2)))</f>
        <v>330.89448786584524</v>
      </c>
      <c r="AD54" s="150">
        <f t="array" ref="AD54">IF(AD$1=0,"",SQRT((_xlfn.XLOOKUP(AD$1,$R$2:$R$18,$S$2:$S$18)-$L54)^2+(_xlfn.XLOOKUP(AD$1,$R$2:$R$18,$T$2:$T$18)-$M54)^2+(_xlfn.XLOOKUP(AD$1,$R$2:$R$18,$U$2:$U$18-$N54)^2)))</f>
        <v>218.97662386656708</v>
      </c>
      <c r="AE54" s="150" t="str">
        <f t="array" ref="AE54">IF(AE$1=0,"",SQRT((_xlfn.XLOOKUP(AE$1,$R$2:$R$18,$S$2:$S$18)-$L54)^2+(_xlfn.XLOOKUP(AE$1,$R$2:$R$18,$T$2:$T$18)-$M54)^2+(_xlfn.XLOOKUP(AE$1,$R$2:$R$18,$U$2:$U$18-$N54)^2)))</f>
        <v/>
      </c>
      <c r="AF54" s="150" t="str">
        <f t="array" ref="AF54">IF(AF$1=0,"",SQRT((_xlfn.XLOOKUP(AF$1,$R$2:$R$18,$S$2:$S$18)-$L54)^2+(_xlfn.XLOOKUP(AF$1,$R$2:$R$18,$T$2:$T$18)-$M54)^2+(_xlfn.XLOOKUP(AF$1,$R$2:$R$18,$U$2:$U$18-$N54)^2)))</f>
        <v/>
      </c>
      <c r="AG54" s="150" t="str">
        <f t="array" ref="AG54">IF(AG$1=0,"",SQRT((_xlfn.XLOOKUP(AG$1,$R$2:$R$18,$S$2:$S$18)-$L54)^2+(_xlfn.XLOOKUP(AG$1,$R$2:$R$18,$T$2:$T$18)-$M54)^2+(_xlfn.XLOOKUP(AG$1,$R$2:$R$18,$U$2:$U$18-$N54)^2)))</f>
        <v/>
      </c>
      <c r="AH54" s="151" t="str">
        <f t="array" ref="AH54">IF(AH$1=0,"",SQRT((_xlfn.XLOOKUP(AH$1,$R$2:$R$18,$S$2:$S$18)-$L54)^2+(_xlfn.XLOOKUP(AH$1,$R$2:$R$18,$T$2:$T$18)-$M54)^2+(_xlfn.XLOOKUP(AH$1,$R$2:$R$18,$U$2:$U$18-$N54)^2)))</f>
        <v/>
      </c>
      <c r="AI54" s="151" t="str">
        <f t="array" ref="AI54">IF(AI$1=0,"",SQRT((_xlfn.XLOOKUP(AI$1,$R$2:$R$18,$S$2:$S$18)-$L54)^2+(_xlfn.XLOOKUP(AI$1,$R$2:$R$18,$T$2:$T$18)-$M54)^2+(_xlfn.XLOOKUP(AI$1,$R$2:$R$18,$U$2:$U$18-$N54)^2)))</f>
        <v/>
      </c>
      <c r="AJ54" s="151" t="str">
        <f t="array" ref="AJ54">IF(AJ$1=0,"",SQRT((_xlfn.XLOOKUP(AJ$1,$R$2:$R$18,$S$2:$S$18)-$L54)^2+(_xlfn.XLOOKUP(AJ$1,$R$2:$R$18,$T$2:$T$18)-$M54)^2+(_xlfn.XLOOKUP(AJ$1,$R$2:$R$18,$U$2:$U$18-$N54)^2)))</f>
        <v/>
      </c>
      <c r="AK54" s="151" t="str">
        <f t="array" ref="AK54">IF(AK$1=0,"",SQRT((_xlfn.XLOOKUP(AK$1,$R$2:$R$18,$S$2:$S$18)-$L54)^2+(_xlfn.XLOOKUP(AK$1,$R$2:$R$18,$T$2:$T$18)-$M54)^2+(_xlfn.XLOOKUP(AK$1,$R$2:$R$18,$U$2:$U$18-$N54)^2)))</f>
        <v/>
      </c>
      <c r="AL54" s="151" t="str">
        <f t="array" ref="AL54">IF(AL$1=0,"",SQRT((_xlfn.XLOOKUP(AL$1,$R$2:$R$18,$S$2:$S$18)-$L54)^2+(_xlfn.XLOOKUP(AL$1,$R$2:$R$18,$T$2:$T$18)-$M54)^2+(_xlfn.XLOOKUP(AL$1,$R$2:$R$18,$U$2:$U$18-$N54)^2)))</f>
        <v/>
      </c>
      <c r="AM54" s="151" t="str">
        <f t="array" ref="AM54">IF(AM$1=0,"",SQRT((_xlfn.XLOOKUP(AM$1,$R$2:$R$18,$S$2:$S$18)-$L54)^2+(_xlfn.XLOOKUP(AM$1,$R$2:$R$18,$T$2:$T$18)-$M54)^2+(_xlfn.XLOOKUP(AM$1,$R$2:$R$18,$U$2:$U$18-$N54)^2)))</f>
        <v/>
      </c>
      <c r="AN54" s="152" t="str">
        <f t="array" ref="AN54">IF(AN$1=0,"",SQRT((_xlfn.XLOOKUP(AN$1,$R$2:$R$18,$S$2:$S$18)-$L54)^2+(_xlfn.XLOOKUP(AN$1,$R$2:$R$18,$T$2:$T$18)-$M54)^2+(_xlfn.XLOOKUP(AN$1,$R$2:$R$18,$U$2:$U$18-$N54)^2)))</f>
        <v/>
      </c>
      <c r="AO54" s="134"/>
      <c r="AP54" s="134"/>
      <c r="AQ54" s="135">
        <f t="shared" si="51"/>
        <v>0</v>
      </c>
      <c r="AR54" s="153">
        <f t="shared" si="52"/>
        <v>0</v>
      </c>
      <c r="AS54" s="153">
        <f t="shared" si="53"/>
        <v>0</v>
      </c>
      <c r="AT54" s="153">
        <f t="shared" si="54"/>
        <v>0</v>
      </c>
      <c r="AU54" s="153">
        <f t="shared" si="55"/>
        <v>0</v>
      </c>
      <c r="AV54" s="153">
        <f t="shared" si="56"/>
        <v>0</v>
      </c>
      <c r="AW54" s="153">
        <f t="shared" si="57"/>
        <v>0</v>
      </c>
      <c r="AX54" s="153">
        <f t="shared" si="58"/>
        <v>0</v>
      </c>
      <c r="AY54" s="154">
        <f t="shared" si="59"/>
        <v>0</v>
      </c>
      <c r="AZ54" s="154">
        <f t="shared" si="60"/>
        <v>0</v>
      </c>
      <c r="BA54" s="154">
        <f t="shared" si="61"/>
        <v>0</v>
      </c>
      <c r="BB54" s="154">
        <f t="shared" si="62"/>
        <v>0</v>
      </c>
      <c r="BC54" s="154">
        <f t="shared" si="63"/>
        <v>0</v>
      </c>
      <c r="BD54" s="154">
        <f t="shared" si="64"/>
        <v>0</v>
      </c>
      <c r="BE54" s="155">
        <f t="shared" si="65"/>
        <v>0</v>
      </c>
      <c r="BF54" s="134"/>
      <c r="BG54" s="134"/>
      <c r="BH54" s="134"/>
      <c r="BI54" s="134"/>
      <c r="BJ54" s="134"/>
      <c r="BK54" s="134"/>
      <c r="BL54" s="134"/>
      <c r="BM54" s="134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34"/>
      <c r="CD54" s="134"/>
      <c r="CE54" s="169">
        <f t="shared" si="66"/>
        <v>0</v>
      </c>
      <c r="CF54" s="170">
        <f t="shared" si="67"/>
        <v>0</v>
      </c>
      <c r="CG54" s="170">
        <f t="shared" si="68"/>
        <v>0</v>
      </c>
      <c r="CH54" s="170">
        <f t="shared" si="69"/>
        <v>0</v>
      </c>
      <c r="CI54" s="170">
        <f t="shared" si="70"/>
        <v>0</v>
      </c>
      <c r="CJ54" s="170" t="str">
        <f t="shared" si="71"/>
        <v/>
      </c>
      <c r="CK54" s="170" t="str">
        <f t="shared" si="72"/>
        <v/>
      </c>
      <c r="CL54" s="170" t="str">
        <f t="shared" si="73"/>
        <v/>
      </c>
      <c r="CM54" s="172" t="str">
        <f t="shared" si="74"/>
        <v/>
      </c>
      <c r="CN54" s="172" t="str">
        <f t="shared" si="75"/>
        <v/>
      </c>
      <c r="CO54" s="172" t="str">
        <f t="shared" si="76"/>
        <v/>
      </c>
      <c r="CP54" s="172" t="str">
        <f t="shared" si="77"/>
        <v/>
      </c>
      <c r="CQ54" s="172" t="str">
        <f t="shared" si="78"/>
        <v/>
      </c>
      <c r="CR54" s="172" t="str">
        <f t="shared" si="79"/>
        <v/>
      </c>
      <c r="CS54" s="173" t="str">
        <f t="shared" si="80"/>
        <v/>
      </c>
    </row>
    <row r="55" spans="1:97" ht="16.5" customHeight="1" x14ac:dyDescent="0.3">
      <c r="A55" s="145"/>
      <c r="B55" s="146"/>
      <c r="C55" s="146"/>
      <c r="D55" s="147"/>
      <c r="E55" s="147"/>
      <c r="F55" s="4"/>
      <c r="G55" s="4"/>
      <c r="H55" s="3"/>
      <c r="I55" s="128">
        <f t="shared" si="34"/>
        <v>0</v>
      </c>
      <c r="J55" s="3"/>
      <c r="K55" s="3"/>
      <c r="L55" s="4"/>
      <c r="M55" s="4"/>
      <c r="N55" s="109">
        <f t="shared" si="50"/>
        <v>0</v>
      </c>
      <c r="O55" s="171"/>
      <c r="P55" s="148"/>
      <c r="Z55" s="168">
        <f t="array" ref="Z55">IF(Z$1=0,"",SQRT((_xlfn.XLOOKUP(Z$1,$R$2:$R$18,$S$2:$S$18)-$L55)^2+(_xlfn.XLOOKUP(Z$1,$R$2:$R$18,$T$2:$T$18)-$M55)^2+(_xlfn.XLOOKUP(Z$1,$R$2:$R$18,$U$2:$U$18-$N55)^2)))</f>
        <v>112.53151914019467</v>
      </c>
      <c r="AA55" s="150">
        <f t="array" ref="AA55">IF(AA$1=0,"",SQRT((_xlfn.XLOOKUP(AA$1,$R$2:$R$18,$S$2:$S$18)-$L55)^2+(_xlfn.XLOOKUP(AA$1,$R$2:$R$18,$T$2:$T$18)-$M55)^2+(_xlfn.XLOOKUP(AA$1,$R$2:$R$18,$U$2:$U$18-$N55)^2)))</f>
        <v>123.81444705687622</v>
      </c>
      <c r="AB55" s="150">
        <f t="array" ref="AB55">IF(AB$1=0,"",SQRT((_xlfn.XLOOKUP(AB$1,$R$2:$R$18,$S$2:$S$18)-$L55)^2+(_xlfn.XLOOKUP(AB$1,$R$2:$R$18,$T$2:$T$18)-$M55)^2+(_xlfn.XLOOKUP(AB$1,$R$2:$R$18,$U$2:$U$18-$N55)^2)))</f>
        <v>226.27326421828982</v>
      </c>
      <c r="AC55" s="150">
        <f t="array" ref="AC55">IF(AC$1=0,"",SQRT((_xlfn.XLOOKUP(AC$1,$R$2:$R$18,$S$2:$S$18)-$L55)^2+(_xlfn.XLOOKUP(AC$1,$R$2:$R$18,$T$2:$T$18)-$M55)^2+(_xlfn.XLOOKUP(AC$1,$R$2:$R$18,$U$2:$U$18-$N55)^2)))</f>
        <v>330.89448786584524</v>
      </c>
      <c r="AD55" s="150">
        <f t="array" ref="AD55">IF(AD$1=0,"",SQRT((_xlfn.XLOOKUP(AD$1,$R$2:$R$18,$S$2:$S$18)-$L55)^2+(_xlfn.XLOOKUP(AD$1,$R$2:$R$18,$T$2:$T$18)-$M55)^2+(_xlfn.XLOOKUP(AD$1,$R$2:$R$18,$U$2:$U$18-$N55)^2)))</f>
        <v>218.97662386656708</v>
      </c>
      <c r="AE55" s="150" t="str">
        <f t="array" ref="AE55">IF(AE$1=0,"",SQRT((_xlfn.XLOOKUP(AE$1,$R$2:$R$18,$S$2:$S$18)-$L55)^2+(_xlfn.XLOOKUP(AE$1,$R$2:$R$18,$T$2:$T$18)-$M55)^2+(_xlfn.XLOOKUP(AE$1,$R$2:$R$18,$U$2:$U$18-$N55)^2)))</f>
        <v/>
      </c>
      <c r="AF55" s="150" t="str">
        <f t="array" ref="AF55">IF(AF$1=0,"",SQRT((_xlfn.XLOOKUP(AF$1,$R$2:$R$18,$S$2:$S$18)-$L55)^2+(_xlfn.XLOOKUP(AF$1,$R$2:$R$18,$T$2:$T$18)-$M55)^2+(_xlfn.XLOOKUP(AF$1,$R$2:$R$18,$U$2:$U$18-$N55)^2)))</f>
        <v/>
      </c>
      <c r="AG55" s="150" t="str">
        <f t="array" ref="AG55">IF(AG$1=0,"",SQRT((_xlfn.XLOOKUP(AG$1,$R$2:$R$18,$S$2:$S$18)-$L55)^2+(_xlfn.XLOOKUP(AG$1,$R$2:$R$18,$T$2:$T$18)-$M55)^2+(_xlfn.XLOOKUP(AG$1,$R$2:$R$18,$U$2:$U$18-$N55)^2)))</f>
        <v/>
      </c>
      <c r="AH55" s="151" t="str">
        <f t="array" ref="AH55">IF(AH$1=0,"",SQRT((_xlfn.XLOOKUP(AH$1,$R$2:$R$18,$S$2:$S$18)-$L55)^2+(_xlfn.XLOOKUP(AH$1,$R$2:$R$18,$T$2:$T$18)-$M55)^2+(_xlfn.XLOOKUP(AH$1,$R$2:$R$18,$U$2:$U$18-$N55)^2)))</f>
        <v/>
      </c>
      <c r="AI55" s="151" t="str">
        <f t="array" ref="AI55">IF(AI$1=0,"",SQRT((_xlfn.XLOOKUP(AI$1,$R$2:$R$18,$S$2:$S$18)-$L55)^2+(_xlfn.XLOOKUP(AI$1,$R$2:$R$18,$T$2:$T$18)-$M55)^2+(_xlfn.XLOOKUP(AI$1,$R$2:$R$18,$U$2:$U$18-$N55)^2)))</f>
        <v/>
      </c>
      <c r="AJ55" s="151" t="str">
        <f t="array" ref="AJ55">IF(AJ$1=0,"",SQRT((_xlfn.XLOOKUP(AJ$1,$R$2:$R$18,$S$2:$S$18)-$L55)^2+(_xlfn.XLOOKUP(AJ$1,$R$2:$R$18,$T$2:$T$18)-$M55)^2+(_xlfn.XLOOKUP(AJ$1,$R$2:$R$18,$U$2:$U$18-$N55)^2)))</f>
        <v/>
      </c>
      <c r="AK55" s="151" t="str">
        <f t="array" ref="AK55">IF(AK$1=0,"",SQRT((_xlfn.XLOOKUP(AK$1,$R$2:$R$18,$S$2:$S$18)-$L55)^2+(_xlfn.XLOOKUP(AK$1,$R$2:$R$18,$T$2:$T$18)-$M55)^2+(_xlfn.XLOOKUP(AK$1,$R$2:$R$18,$U$2:$U$18-$N55)^2)))</f>
        <v/>
      </c>
      <c r="AL55" s="151" t="str">
        <f t="array" ref="AL55">IF(AL$1=0,"",SQRT((_xlfn.XLOOKUP(AL$1,$R$2:$R$18,$S$2:$S$18)-$L55)^2+(_xlfn.XLOOKUP(AL$1,$R$2:$R$18,$T$2:$T$18)-$M55)^2+(_xlfn.XLOOKUP(AL$1,$R$2:$R$18,$U$2:$U$18-$N55)^2)))</f>
        <v/>
      </c>
      <c r="AM55" s="151" t="str">
        <f t="array" ref="AM55">IF(AM$1=0,"",SQRT((_xlfn.XLOOKUP(AM$1,$R$2:$R$18,$S$2:$S$18)-$L55)^2+(_xlfn.XLOOKUP(AM$1,$R$2:$R$18,$T$2:$T$18)-$M55)^2+(_xlfn.XLOOKUP(AM$1,$R$2:$R$18,$U$2:$U$18-$N55)^2)))</f>
        <v/>
      </c>
      <c r="AN55" s="152" t="str">
        <f t="array" ref="AN55">IF(AN$1=0,"",SQRT((_xlfn.XLOOKUP(AN$1,$R$2:$R$18,$S$2:$S$18)-$L55)^2+(_xlfn.XLOOKUP(AN$1,$R$2:$R$18,$T$2:$T$18)-$M55)^2+(_xlfn.XLOOKUP(AN$1,$R$2:$R$18,$U$2:$U$18-$N55)^2)))</f>
        <v/>
      </c>
      <c r="AO55" s="134"/>
      <c r="AP55" s="134"/>
      <c r="AQ55" s="135">
        <f t="shared" si="51"/>
        <v>0</v>
      </c>
      <c r="AR55" s="153">
        <f t="shared" si="52"/>
        <v>0</v>
      </c>
      <c r="AS55" s="153">
        <f t="shared" si="53"/>
        <v>0</v>
      </c>
      <c r="AT55" s="153">
        <f t="shared" si="54"/>
        <v>0</v>
      </c>
      <c r="AU55" s="153">
        <f t="shared" si="55"/>
        <v>0</v>
      </c>
      <c r="AV55" s="153">
        <f t="shared" si="56"/>
        <v>0</v>
      </c>
      <c r="AW55" s="153">
        <f t="shared" si="57"/>
        <v>0</v>
      </c>
      <c r="AX55" s="153">
        <f t="shared" si="58"/>
        <v>0</v>
      </c>
      <c r="AY55" s="154">
        <f t="shared" si="59"/>
        <v>0</v>
      </c>
      <c r="AZ55" s="154">
        <f t="shared" si="60"/>
        <v>0</v>
      </c>
      <c r="BA55" s="154">
        <f t="shared" si="61"/>
        <v>0</v>
      </c>
      <c r="BB55" s="154">
        <f t="shared" si="62"/>
        <v>0</v>
      </c>
      <c r="BC55" s="154">
        <f t="shared" si="63"/>
        <v>0</v>
      </c>
      <c r="BD55" s="154">
        <f t="shared" si="64"/>
        <v>0</v>
      </c>
      <c r="BE55" s="155">
        <f t="shared" si="65"/>
        <v>0</v>
      </c>
      <c r="BF55" s="134"/>
      <c r="BG55" s="134"/>
      <c r="BH55" s="134"/>
      <c r="BI55" s="134"/>
      <c r="BJ55" s="134"/>
      <c r="BK55" s="134"/>
      <c r="BL55" s="134"/>
      <c r="BM55" s="134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34"/>
      <c r="CD55" s="134"/>
      <c r="CE55" s="169">
        <f t="shared" si="66"/>
        <v>0</v>
      </c>
      <c r="CF55" s="170">
        <f t="shared" si="67"/>
        <v>0</v>
      </c>
      <c r="CG55" s="170">
        <f t="shared" si="68"/>
        <v>0</v>
      </c>
      <c r="CH55" s="170">
        <f t="shared" si="69"/>
        <v>0</v>
      </c>
      <c r="CI55" s="170">
        <f t="shared" si="70"/>
        <v>0</v>
      </c>
      <c r="CJ55" s="170" t="str">
        <f t="shared" si="71"/>
        <v/>
      </c>
      <c r="CK55" s="170" t="str">
        <f t="shared" si="72"/>
        <v/>
      </c>
      <c r="CL55" s="170" t="str">
        <f t="shared" si="73"/>
        <v/>
      </c>
      <c r="CM55" s="172" t="str">
        <f t="shared" si="74"/>
        <v/>
      </c>
      <c r="CN55" s="172" t="str">
        <f t="shared" si="75"/>
        <v/>
      </c>
      <c r="CO55" s="172" t="str">
        <f t="shared" si="76"/>
        <v/>
      </c>
      <c r="CP55" s="172" t="str">
        <f t="shared" si="77"/>
        <v/>
      </c>
      <c r="CQ55" s="172" t="str">
        <f t="shared" si="78"/>
        <v/>
      </c>
      <c r="CR55" s="172" t="str">
        <f t="shared" si="79"/>
        <v/>
      </c>
      <c r="CS55" s="173" t="str">
        <f t="shared" si="80"/>
        <v/>
      </c>
    </row>
    <row r="56" spans="1:97" ht="16.5" customHeight="1" x14ac:dyDescent="0.3">
      <c r="A56" s="145"/>
      <c r="B56" s="146"/>
      <c r="C56" s="146"/>
      <c r="D56" s="147"/>
      <c r="E56" s="147"/>
      <c r="F56" s="4"/>
      <c r="G56" s="4"/>
      <c r="H56" s="3"/>
      <c r="I56" s="128">
        <f t="shared" si="34"/>
        <v>0</v>
      </c>
      <c r="J56" s="3"/>
      <c r="K56" s="3"/>
      <c r="L56" s="4"/>
      <c r="M56" s="4"/>
      <c r="N56" s="109">
        <f t="shared" si="50"/>
        <v>0</v>
      </c>
      <c r="O56" s="171"/>
      <c r="P56" s="148"/>
      <c r="Z56" s="168">
        <f t="array" ref="Z56">IF(Z$1=0,"",SQRT((_xlfn.XLOOKUP(Z$1,$R$2:$R$18,$S$2:$S$18)-$L56)^2+(_xlfn.XLOOKUP(Z$1,$R$2:$R$18,$T$2:$T$18)-$M56)^2+(_xlfn.XLOOKUP(Z$1,$R$2:$R$18,$U$2:$U$18-$N56)^2)))</f>
        <v>112.53151914019467</v>
      </c>
      <c r="AA56" s="150">
        <f t="array" ref="AA56">IF(AA$1=0,"",SQRT((_xlfn.XLOOKUP(AA$1,$R$2:$R$18,$S$2:$S$18)-$L56)^2+(_xlfn.XLOOKUP(AA$1,$R$2:$R$18,$T$2:$T$18)-$M56)^2+(_xlfn.XLOOKUP(AA$1,$R$2:$R$18,$U$2:$U$18-$N56)^2)))</f>
        <v>123.81444705687622</v>
      </c>
      <c r="AB56" s="150">
        <f t="array" ref="AB56">IF(AB$1=0,"",SQRT((_xlfn.XLOOKUP(AB$1,$R$2:$R$18,$S$2:$S$18)-$L56)^2+(_xlfn.XLOOKUP(AB$1,$R$2:$R$18,$T$2:$T$18)-$M56)^2+(_xlfn.XLOOKUP(AB$1,$R$2:$R$18,$U$2:$U$18-$N56)^2)))</f>
        <v>226.27326421828982</v>
      </c>
      <c r="AC56" s="150">
        <f t="array" ref="AC56">IF(AC$1=0,"",SQRT((_xlfn.XLOOKUP(AC$1,$R$2:$R$18,$S$2:$S$18)-$L56)^2+(_xlfn.XLOOKUP(AC$1,$R$2:$R$18,$T$2:$T$18)-$M56)^2+(_xlfn.XLOOKUP(AC$1,$R$2:$R$18,$U$2:$U$18-$N56)^2)))</f>
        <v>330.89448786584524</v>
      </c>
      <c r="AD56" s="150">
        <f t="array" ref="AD56">IF(AD$1=0,"",SQRT((_xlfn.XLOOKUP(AD$1,$R$2:$R$18,$S$2:$S$18)-$L56)^2+(_xlfn.XLOOKUP(AD$1,$R$2:$R$18,$T$2:$T$18)-$M56)^2+(_xlfn.XLOOKUP(AD$1,$R$2:$R$18,$U$2:$U$18-$N56)^2)))</f>
        <v>218.97662386656708</v>
      </c>
      <c r="AE56" s="150" t="str">
        <f t="array" ref="AE56">IF(AE$1=0,"",SQRT((_xlfn.XLOOKUP(AE$1,$R$2:$R$18,$S$2:$S$18)-$L56)^2+(_xlfn.XLOOKUP(AE$1,$R$2:$R$18,$T$2:$T$18)-$M56)^2+(_xlfn.XLOOKUP(AE$1,$R$2:$R$18,$U$2:$U$18-$N56)^2)))</f>
        <v/>
      </c>
      <c r="AF56" s="150" t="str">
        <f t="array" ref="AF56">IF(AF$1=0,"",SQRT((_xlfn.XLOOKUP(AF$1,$R$2:$R$18,$S$2:$S$18)-$L56)^2+(_xlfn.XLOOKUP(AF$1,$R$2:$R$18,$T$2:$T$18)-$M56)^2+(_xlfn.XLOOKUP(AF$1,$R$2:$R$18,$U$2:$U$18-$N56)^2)))</f>
        <v/>
      </c>
      <c r="AG56" s="150" t="str">
        <f t="array" ref="AG56">IF(AG$1=0,"",SQRT((_xlfn.XLOOKUP(AG$1,$R$2:$R$18,$S$2:$S$18)-$L56)^2+(_xlfn.XLOOKUP(AG$1,$R$2:$R$18,$T$2:$T$18)-$M56)^2+(_xlfn.XLOOKUP(AG$1,$R$2:$R$18,$U$2:$U$18-$N56)^2)))</f>
        <v/>
      </c>
      <c r="AH56" s="151" t="str">
        <f t="array" ref="AH56">IF(AH$1=0,"",SQRT((_xlfn.XLOOKUP(AH$1,$R$2:$R$18,$S$2:$S$18)-$L56)^2+(_xlfn.XLOOKUP(AH$1,$R$2:$R$18,$T$2:$T$18)-$M56)^2+(_xlfn.XLOOKUP(AH$1,$R$2:$R$18,$U$2:$U$18-$N56)^2)))</f>
        <v/>
      </c>
      <c r="AI56" s="151" t="str">
        <f t="array" ref="AI56">IF(AI$1=0,"",SQRT((_xlfn.XLOOKUP(AI$1,$R$2:$R$18,$S$2:$S$18)-$L56)^2+(_xlfn.XLOOKUP(AI$1,$R$2:$R$18,$T$2:$T$18)-$M56)^2+(_xlfn.XLOOKUP(AI$1,$R$2:$R$18,$U$2:$U$18-$N56)^2)))</f>
        <v/>
      </c>
      <c r="AJ56" s="151" t="str">
        <f t="array" ref="AJ56">IF(AJ$1=0,"",SQRT((_xlfn.XLOOKUP(AJ$1,$R$2:$R$18,$S$2:$S$18)-$L56)^2+(_xlfn.XLOOKUP(AJ$1,$R$2:$R$18,$T$2:$T$18)-$M56)^2+(_xlfn.XLOOKUP(AJ$1,$R$2:$R$18,$U$2:$U$18-$N56)^2)))</f>
        <v/>
      </c>
      <c r="AK56" s="151" t="str">
        <f t="array" ref="AK56">IF(AK$1=0,"",SQRT((_xlfn.XLOOKUP(AK$1,$R$2:$R$18,$S$2:$S$18)-$L56)^2+(_xlfn.XLOOKUP(AK$1,$R$2:$R$18,$T$2:$T$18)-$M56)^2+(_xlfn.XLOOKUP(AK$1,$R$2:$R$18,$U$2:$U$18-$N56)^2)))</f>
        <v/>
      </c>
      <c r="AL56" s="151" t="str">
        <f t="array" ref="AL56">IF(AL$1=0,"",SQRT((_xlfn.XLOOKUP(AL$1,$R$2:$R$18,$S$2:$S$18)-$L56)^2+(_xlfn.XLOOKUP(AL$1,$R$2:$R$18,$T$2:$T$18)-$M56)^2+(_xlfn.XLOOKUP(AL$1,$R$2:$R$18,$U$2:$U$18-$N56)^2)))</f>
        <v/>
      </c>
      <c r="AM56" s="151" t="str">
        <f t="array" ref="AM56">IF(AM$1=0,"",SQRT((_xlfn.XLOOKUP(AM$1,$R$2:$R$18,$S$2:$S$18)-$L56)^2+(_xlfn.XLOOKUP(AM$1,$R$2:$R$18,$T$2:$T$18)-$M56)^2+(_xlfn.XLOOKUP(AM$1,$R$2:$R$18,$U$2:$U$18-$N56)^2)))</f>
        <v/>
      </c>
      <c r="AN56" s="152" t="str">
        <f t="array" ref="AN56">IF(AN$1=0,"",SQRT((_xlfn.XLOOKUP(AN$1,$R$2:$R$18,$S$2:$S$18)-$L56)^2+(_xlfn.XLOOKUP(AN$1,$R$2:$R$18,$T$2:$T$18)-$M56)^2+(_xlfn.XLOOKUP(AN$1,$R$2:$R$18,$U$2:$U$18-$N56)^2)))</f>
        <v/>
      </c>
      <c r="AO56" s="134"/>
      <c r="AP56" s="134"/>
      <c r="AQ56" s="135">
        <f t="shared" si="51"/>
        <v>0</v>
      </c>
      <c r="AR56" s="153">
        <f t="shared" si="52"/>
        <v>0</v>
      </c>
      <c r="AS56" s="153">
        <f t="shared" si="53"/>
        <v>0</v>
      </c>
      <c r="AT56" s="153">
        <f t="shared" si="54"/>
        <v>0</v>
      </c>
      <c r="AU56" s="153">
        <f t="shared" si="55"/>
        <v>0</v>
      </c>
      <c r="AV56" s="153">
        <f t="shared" si="56"/>
        <v>0</v>
      </c>
      <c r="AW56" s="153">
        <f t="shared" si="57"/>
        <v>0</v>
      </c>
      <c r="AX56" s="153">
        <f t="shared" si="58"/>
        <v>0</v>
      </c>
      <c r="AY56" s="154">
        <f t="shared" si="59"/>
        <v>0</v>
      </c>
      <c r="AZ56" s="154">
        <f t="shared" si="60"/>
        <v>0</v>
      </c>
      <c r="BA56" s="154">
        <f t="shared" si="61"/>
        <v>0</v>
      </c>
      <c r="BB56" s="154">
        <f t="shared" si="62"/>
        <v>0</v>
      </c>
      <c r="BC56" s="154">
        <f t="shared" si="63"/>
        <v>0</v>
      </c>
      <c r="BD56" s="154">
        <f t="shared" si="64"/>
        <v>0</v>
      </c>
      <c r="BE56" s="155">
        <f t="shared" si="65"/>
        <v>0</v>
      </c>
      <c r="BF56" s="134"/>
      <c r="BG56" s="134"/>
      <c r="BH56" s="134"/>
      <c r="BI56" s="134"/>
      <c r="BJ56" s="134"/>
      <c r="BK56" s="134"/>
      <c r="BL56" s="134"/>
      <c r="BM56" s="134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34"/>
      <c r="CD56" s="134"/>
      <c r="CE56" s="169">
        <f t="shared" si="66"/>
        <v>0</v>
      </c>
      <c r="CF56" s="170">
        <f t="shared" si="67"/>
        <v>0</v>
      </c>
      <c r="CG56" s="170">
        <f t="shared" si="68"/>
        <v>0</v>
      </c>
      <c r="CH56" s="170">
        <f t="shared" si="69"/>
        <v>0</v>
      </c>
      <c r="CI56" s="170">
        <f t="shared" si="70"/>
        <v>0</v>
      </c>
      <c r="CJ56" s="170" t="str">
        <f t="shared" si="71"/>
        <v/>
      </c>
      <c r="CK56" s="170" t="str">
        <f t="shared" si="72"/>
        <v/>
      </c>
      <c r="CL56" s="170" t="str">
        <f t="shared" si="73"/>
        <v/>
      </c>
      <c r="CM56" s="172" t="str">
        <f t="shared" si="74"/>
        <v/>
      </c>
      <c r="CN56" s="172" t="str">
        <f t="shared" si="75"/>
        <v/>
      </c>
      <c r="CO56" s="172" t="str">
        <f t="shared" si="76"/>
        <v/>
      </c>
      <c r="CP56" s="172" t="str">
        <f t="shared" si="77"/>
        <v/>
      </c>
      <c r="CQ56" s="172" t="str">
        <f t="shared" si="78"/>
        <v/>
      </c>
      <c r="CR56" s="172" t="str">
        <f t="shared" si="79"/>
        <v/>
      </c>
      <c r="CS56" s="173" t="str">
        <f t="shared" si="80"/>
        <v/>
      </c>
    </row>
    <row r="57" spans="1:97" ht="16.5" customHeight="1" x14ac:dyDescent="0.3">
      <c r="A57" s="145"/>
      <c r="B57" s="146"/>
      <c r="C57" s="146"/>
      <c r="D57" s="147"/>
      <c r="E57" s="147"/>
      <c r="F57" s="4"/>
      <c r="G57" s="4"/>
      <c r="H57" s="3"/>
      <c r="I57" s="128">
        <f t="shared" si="34"/>
        <v>0</v>
      </c>
      <c r="J57" s="3"/>
      <c r="K57" s="3"/>
      <c r="L57" s="4"/>
      <c r="M57" s="4"/>
      <c r="N57" s="109">
        <f t="shared" si="50"/>
        <v>0</v>
      </c>
      <c r="O57" s="171"/>
      <c r="P57" s="148"/>
      <c r="Z57" s="168">
        <f t="array" ref="Z57">IF(Z$1=0,"",SQRT((_xlfn.XLOOKUP(Z$1,$R$2:$R$18,$S$2:$S$18)-$L57)^2+(_xlfn.XLOOKUP(Z$1,$R$2:$R$18,$T$2:$T$18)-$M57)^2+(_xlfn.XLOOKUP(Z$1,$R$2:$R$18,$U$2:$U$18-$N57)^2)))</f>
        <v>112.53151914019467</v>
      </c>
      <c r="AA57" s="150">
        <f t="array" ref="AA57">IF(AA$1=0,"",SQRT((_xlfn.XLOOKUP(AA$1,$R$2:$R$18,$S$2:$S$18)-$L57)^2+(_xlfn.XLOOKUP(AA$1,$R$2:$R$18,$T$2:$T$18)-$M57)^2+(_xlfn.XLOOKUP(AA$1,$R$2:$R$18,$U$2:$U$18-$N57)^2)))</f>
        <v>123.81444705687622</v>
      </c>
      <c r="AB57" s="150">
        <f t="array" ref="AB57">IF(AB$1=0,"",SQRT((_xlfn.XLOOKUP(AB$1,$R$2:$R$18,$S$2:$S$18)-$L57)^2+(_xlfn.XLOOKUP(AB$1,$R$2:$R$18,$T$2:$T$18)-$M57)^2+(_xlfn.XLOOKUP(AB$1,$R$2:$R$18,$U$2:$U$18-$N57)^2)))</f>
        <v>226.27326421828982</v>
      </c>
      <c r="AC57" s="150">
        <f t="array" ref="AC57">IF(AC$1=0,"",SQRT((_xlfn.XLOOKUP(AC$1,$R$2:$R$18,$S$2:$S$18)-$L57)^2+(_xlfn.XLOOKUP(AC$1,$R$2:$R$18,$T$2:$T$18)-$M57)^2+(_xlfn.XLOOKUP(AC$1,$R$2:$R$18,$U$2:$U$18-$N57)^2)))</f>
        <v>330.89448786584524</v>
      </c>
      <c r="AD57" s="150">
        <f t="array" ref="AD57">IF(AD$1=0,"",SQRT((_xlfn.XLOOKUP(AD$1,$R$2:$R$18,$S$2:$S$18)-$L57)^2+(_xlfn.XLOOKUP(AD$1,$R$2:$R$18,$T$2:$T$18)-$M57)^2+(_xlfn.XLOOKUP(AD$1,$R$2:$R$18,$U$2:$U$18-$N57)^2)))</f>
        <v>218.97662386656708</v>
      </c>
      <c r="AE57" s="150" t="str">
        <f t="array" ref="AE57">IF(AE$1=0,"",SQRT((_xlfn.XLOOKUP(AE$1,$R$2:$R$18,$S$2:$S$18)-$L57)^2+(_xlfn.XLOOKUP(AE$1,$R$2:$R$18,$T$2:$T$18)-$M57)^2+(_xlfn.XLOOKUP(AE$1,$R$2:$R$18,$U$2:$U$18-$N57)^2)))</f>
        <v/>
      </c>
      <c r="AF57" s="150" t="str">
        <f t="array" ref="AF57">IF(AF$1=0,"",SQRT((_xlfn.XLOOKUP(AF$1,$R$2:$R$18,$S$2:$S$18)-$L57)^2+(_xlfn.XLOOKUP(AF$1,$R$2:$R$18,$T$2:$T$18)-$M57)^2+(_xlfn.XLOOKUP(AF$1,$R$2:$R$18,$U$2:$U$18-$N57)^2)))</f>
        <v/>
      </c>
      <c r="AG57" s="150" t="str">
        <f t="array" ref="AG57">IF(AG$1=0,"",SQRT((_xlfn.XLOOKUP(AG$1,$R$2:$R$18,$S$2:$S$18)-$L57)^2+(_xlfn.XLOOKUP(AG$1,$R$2:$R$18,$T$2:$T$18)-$M57)^2+(_xlfn.XLOOKUP(AG$1,$R$2:$R$18,$U$2:$U$18-$N57)^2)))</f>
        <v/>
      </c>
      <c r="AH57" s="151" t="str">
        <f t="array" ref="AH57">IF(AH$1=0,"",SQRT((_xlfn.XLOOKUP(AH$1,$R$2:$R$18,$S$2:$S$18)-$L57)^2+(_xlfn.XLOOKUP(AH$1,$R$2:$R$18,$T$2:$T$18)-$M57)^2+(_xlfn.XLOOKUP(AH$1,$R$2:$R$18,$U$2:$U$18-$N57)^2)))</f>
        <v/>
      </c>
      <c r="AI57" s="151" t="str">
        <f t="array" ref="AI57">IF(AI$1=0,"",SQRT((_xlfn.XLOOKUP(AI$1,$R$2:$R$18,$S$2:$S$18)-$L57)^2+(_xlfn.XLOOKUP(AI$1,$R$2:$R$18,$T$2:$T$18)-$M57)^2+(_xlfn.XLOOKUP(AI$1,$R$2:$R$18,$U$2:$U$18-$N57)^2)))</f>
        <v/>
      </c>
      <c r="AJ57" s="151" t="str">
        <f t="array" ref="AJ57">IF(AJ$1=0,"",SQRT((_xlfn.XLOOKUP(AJ$1,$R$2:$R$18,$S$2:$S$18)-$L57)^2+(_xlfn.XLOOKUP(AJ$1,$R$2:$R$18,$T$2:$T$18)-$M57)^2+(_xlfn.XLOOKUP(AJ$1,$R$2:$R$18,$U$2:$U$18-$N57)^2)))</f>
        <v/>
      </c>
      <c r="AK57" s="151" t="str">
        <f t="array" ref="AK57">IF(AK$1=0,"",SQRT((_xlfn.XLOOKUP(AK$1,$R$2:$R$18,$S$2:$S$18)-$L57)^2+(_xlfn.XLOOKUP(AK$1,$R$2:$R$18,$T$2:$T$18)-$M57)^2+(_xlfn.XLOOKUP(AK$1,$R$2:$R$18,$U$2:$U$18-$N57)^2)))</f>
        <v/>
      </c>
      <c r="AL57" s="151" t="str">
        <f t="array" ref="AL57">IF(AL$1=0,"",SQRT((_xlfn.XLOOKUP(AL$1,$R$2:$R$18,$S$2:$S$18)-$L57)^2+(_xlfn.XLOOKUP(AL$1,$R$2:$R$18,$T$2:$T$18)-$M57)^2+(_xlfn.XLOOKUP(AL$1,$R$2:$R$18,$U$2:$U$18-$N57)^2)))</f>
        <v/>
      </c>
      <c r="AM57" s="151" t="str">
        <f t="array" ref="AM57">IF(AM$1=0,"",SQRT((_xlfn.XLOOKUP(AM$1,$R$2:$R$18,$S$2:$S$18)-$L57)^2+(_xlfn.XLOOKUP(AM$1,$R$2:$R$18,$T$2:$T$18)-$M57)^2+(_xlfn.XLOOKUP(AM$1,$R$2:$R$18,$U$2:$U$18-$N57)^2)))</f>
        <v/>
      </c>
      <c r="AN57" s="152" t="str">
        <f t="array" ref="AN57">IF(AN$1=0,"",SQRT((_xlfn.XLOOKUP(AN$1,$R$2:$R$18,$S$2:$S$18)-$L57)^2+(_xlfn.XLOOKUP(AN$1,$R$2:$R$18,$T$2:$T$18)-$M57)^2+(_xlfn.XLOOKUP(AN$1,$R$2:$R$18,$U$2:$U$18-$N57)^2)))</f>
        <v/>
      </c>
      <c r="AO57" s="134"/>
      <c r="AP57" s="134"/>
      <c r="AQ57" s="135">
        <f t="shared" si="51"/>
        <v>0</v>
      </c>
      <c r="AR57" s="153">
        <f t="shared" si="52"/>
        <v>0</v>
      </c>
      <c r="AS57" s="153">
        <f t="shared" si="53"/>
        <v>0</v>
      </c>
      <c r="AT57" s="153">
        <f t="shared" si="54"/>
        <v>0</v>
      </c>
      <c r="AU57" s="153">
        <f t="shared" si="55"/>
        <v>0</v>
      </c>
      <c r="AV57" s="153">
        <f t="shared" si="56"/>
        <v>0</v>
      </c>
      <c r="AW57" s="153">
        <f t="shared" si="57"/>
        <v>0</v>
      </c>
      <c r="AX57" s="153">
        <f t="shared" si="58"/>
        <v>0</v>
      </c>
      <c r="AY57" s="154">
        <f t="shared" si="59"/>
        <v>0</v>
      </c>
      <c r="AZ57" s="154">
        <f t="shared" si="60"/>
        <v>0</v>
      </c>
      <c r="BA57" s="154">
        <f t="shared" si="61"/>
        <v>0</v>
      </c>
      <c r="BB57" s="154">
        <f t="shared" si="62"/>
        <v>0</v>
      </c>
      <c r="BC57" s="154">
        <f t="shared" si="63"/>
        <v>0</v>
      </c>
      <c r="BD57" s="154">
        <f t="shared" si="64"/>
        <v>0</v>
      </c>
      <c r="BE57" s="155">
        <f t="shared" si="65"/>
        <v>0</v>
      </c>
      <c r="BF57" s="134"/>
      <c r="BG57" s="134"/>
      <c r="BH57" s="134"/>
      <c r="BI57" s="134"/>
      <c r="BJ57" s="134"/>
      <c r="BK57" s="134"/>
      <c r="BL57" s="134"/>
      <c r="BM57" s="134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34"/>
      <c r="CD57" s="134"/>
      <c r="CE57" s="169">
        <f t="shared" si="66"/>
        <v>0</v>
      </c>
      <c r="CF57" s="170">
        <f t="shared" si="67"/>
        <v>0</v>
      </c>
      <c r="CG57" s="170">
        <f t="shared" si="68"/>
        <v>0</v>
      </c>
      <c r="CH57" s="170">
        <f t="shared" si="69"/>
        <v>0</v>
      </c>
      <c r="CI57" s="170">
        <f t="shared" si="70"/>
        <v>0</v>
      </c>
      <c r="CJ57" s="170" t="str">
        <f t="shared" si="71"/>
        <v/>
      </c>
      <c r="CK57" s="170" t="str">
        <f t="shared" si="72"/>
        <v/>
      </c>
      <c r="CL57" s="170" t="str">
        <f t="shared" si="73"/>
        <v/>
      </c>
      <c r="CM57" s="172" t="str">
        <f t="shared" si="74"/>
        <v/>
      </c>
      <c r="CN57" s="172" t="str">
        <f t="shared" si="75"/>
        <v/>
      </c>
      <c r="CO57" s="172" t="str">
        <f t="shared" si="76"/>
        <v/>
      </c>
      <c r="CP57" s="172" t="str">
        <f t="shared" si="77"/>
        <v/>
      </c>
      <c r="CQ57" s="172" t="str">
        <f t="shared" si="78"/>
        <v/>
      </c>
      <c r="CR57" s="172" t="str">
        <f t="shared" si="79"/>
        <v/>
      </c>
      <c r="CS57" s="173" t="str">
        <f t="shared" si="80"/>
        <v/>
      </c>
    </row>
    <row r="58" spans="1:97" ht="17.25" customHeight="1" thickBot="1" x14ac:dyDescent="0.35">
      <c r="A58" s="174"/>
      <c r="B58" s="175"/>
      <c r="C58" s="175"/>
      <c r="D58" s="176"/>
      <c r="E58" s="176"/>
      <c r="F58" s="6"/>
      <c r="G58" s="6"/>
      <c r="H58" s="7"/>
      <c r="I58" s="128">
        <f t="shared" si="34"/>
        <v>0</v>
      </c>
      <c r="J58" s="7"/>
      <c r="K58" s="7"/>
      <c r="L58" s="6"/>
      <c r="M58" s="6"/>
      <c r="N58" s="109">
        <f t="shared" si="50"/>
        <v>0</v>
      </c>
      <c r="O58" s="177"/>
      <c r="P58" s="178"/>
      <c r="Z58" s="179">
        <f t="array" ref="Z58">IF(Z$1=0,"",SQRT((_xlfn.XLOOKUP(Z$1,$R$2:$R$18,$S$2:$S$18)-$L58)^2+(_xlfn.XLOOKUP(Z$1,$R$2:$R$18,$T$2:$T$18)-$M58)^2+(_xlfn.XLOOKUP(Z$1,$R$2:$R$18,$U$2:$U$18-$N58)^2)))</f>
        <v>112.53151914019467</v>
      </c>
      <c r="AA58" s="180">
        <f t="array" ref="AA58">IF(AA$1=0,"",SQRT((_xlfn.XLOOKUP(AA$1,$R$2:$R$18,$S$2:$S$18)-$L58)^2+(_xlfn.XLOOKUP(AA$1,$R$2:$R$18,$T$2:$T$18)-$M58)^2+(_xlfn.XLOOKUP(AA$1,$R$2:$R$18,$U$2:$U$18-$N58)^2)))</f>
        <v>123.81444705687622</v>
      </c>
      <c r="AB58" s="180">
        <f t="array" ref="AB58">IF(AB$1=0,"",SQRT((_xlfn.XLOOKUP(AB$1,$R$2:$R$18,$S$2:$S$18)-$L58)^2+(_xlfn.XLOOKUP(AB$1,$R$2:$R$18,$T$2:$T$18)-$M58)^2+(_xlfn.XLOOKUP(AB$1,$R$2:$R$18,$U$2:$U$18-$N58)^2)))</f>
        <v>226.27326421828982</v>
      </c>
      <c r="AC58" s="180">
        <f t="array" ref="AC58">IF(AC$1=0,"",SQRT((_xlfn.XLOOKUP(AC$1,$R$2:$R$18,$S$2:$S$18)-$L58)^2+(_xlfn.XLOOKUP(AC$1,$R$2:$R$18,$T$2:$T$18)-$M58)^2+(_xlfn.XLOOKUP(AC$1,$R$2:$R$18,$U$2:$U$18-$N58)^2)))</f>
        <v>330.89448786584524</v>
      </c>
      <c r="AD58" s="180">
        <f t="array" ref="AD58">IF(AD$1=0,"",SQRT((_xlfn.XLOOKUP(AD$1,$R$2:$R$18,$S$2:$S$18)-$L58)^2+(_xlfn.XLOOKUP(AD$1,$R$2:$R$18,$T$2:$T$18)-$M58)^2+(_xlfn.XLOOKUP(AD$1,$R$2:$R$18,$U$2:$U$18-$N58)^2)))</f>
        <v>218.97662386656708</v>
      </c>
      <c r="AE58" s="180" t="str">
        <f t="array" ref="AE58">IF(AE$1=0,"",SQRT((_xlfn.XLOOKUP(AE$1,$R$2:$R$18,$S$2:$S$18)-$L58)^2+(_xlfn.XLOOKUP(AE$1,$R$2:$R$18,$T$2:$T$18)-$M58)^2+(_xlfn.XLOOKUP(AE$1,$R$2:$R$18,$U$2:$U$18-$N58)^2)))</f>
        <v/>
      </c>
      <c r="AF58" s="180" t="str">
        <f t="array" ref="AF58">IF(AF$1=0,"",SQRT((_xlfn.XLOOKUP(AF$1,$R$2:$R$18,$S$2:$S$18)-$L58)^2+(_xlfn.XLOOKUP(AF$1,$R$2:$R$18,$T$2:$T$18)-$M58)^2+(_xlfn.XLOOKUP(AF$1,$R$2:$R$18,$U$2:$U$18-$N58)^2)))</f>
        <v/>
      </c>
      <c r="AG58" s="180" t="str">
        <f t="array" ref="AG58">IF(AG$1=0,"",SQRT((_xlfn.XLOOKUP(AG$1,$R$2:$R$18,$S$2:$S$18)-$L58)^2+(_xlfn.XLOOKUP(AG$1,$R$2:$R$18,$T$2:$T$18)-$M58)^2+(_xlfn.XLOOKUP(AG$1,$R$2:$R$18,$U$2:$U$18-$N58)^2)))</f>
        <v/>
      </c>
      <c r="AH58" s="181" t="str">
        <f t="array" ref="AH58">IF(AH$1=0,"",SQRT((_xlfn.XLOOKUP(AH$1,$R$2:$R$18,$S$2:$S$18)-$L58)^2+(_xlfn.XLOOKUP(AH$1,$R$2:$R$18,$T$2:$T$18)-$M58)^2+(_xlfn.XLOOKUP(AH$1,$R$2:$R$18,$U$2:$U$18-$N58)^2)))</f>
        <v/>
      </c>
      <c r="AI58" s="181" t="str">
        <f t="array" ref="AI58">IF(AI$1=0,"",SQRT((_xlfn.XLOOKUP(AI$1,$R$2:$R$18,$S$2:$S$18)-$L58)^2+(_xlfn.XLOOKUP(AI$1,$R$2:$R$18,$T$2:$T$18)-$M58)^2+(_xlfn.XLOOKUP(AI$1,$R$2:$R$18,$U$2:$U$18-$N58)^2)))</f>
        <v/>
      </c>
      <c r="AJ58" s="181" t="str">
        <f t="array" ref="AJ58">IF(AJ$1=0,"",SQRT((_xlfn.XLOOKUP(AJ$1,$R$2:$R$18,$S$2:$S$18)-$L58)^2+(_xlfn.XLOOKUP(AJ$1,$R$2:$R$18,$T$2:$T$18)-$M58)^2+(_xlfn.XLOOKUP(AJ$1,$R$2:$R$18,$U$2:$U$18-$N58)^2)))</f>
        <v/>
      </c>
      <c r="AK58" s="181" t="str">
        <f t="array" ref="AK58">IF(AK$1=0,"",SQRT((_xlfn.XLOOKUP(AK$1,$R$2:$R$18,$S$2:$S$18)-$L58)^2+(_xlfn.XLOOKUP(AK$1,$R$2:$R$18,$T$2:$T$18)-$M58)^2+(_xlfn.XLOOKUP(AK$1,$R$2:$R$18,$U$2:$U$18-$N58)^2)))</f>
        <v/>
      </c>
      <c r="AL58" s="181" t="str">
        <f t="array" ref="AL58">IF(AL$1=0,"",SQRT((_xlfn.XLOOKUP(AL$1,$R$2:$R$18,$S$2:$S$18)-$L58)^2+(_xlfn.XLOOKUP(AL$1,$R$2:$R$18,$T$2:$T$18)-$M58)^2+(_xlfn.XLOOKUP(AL$1,$R$2:$R$18,$U$2:$U$18-$N58)^2)))</f>
        <v/>
      </c>
      <c r="AM58" s="181" t="str">
        <f t="array" ref="AM58">IF(AM$1=0,"",SQRT((_xlfn.XLOOKUP(AM$1,$R$2:$R$18,$S$2:$S$18)-$L58)^2+(_xlfn.XLOOKUP(AM$1,$R$2:$R$18,$T$2:$T$18)-$M58)^2+(_xlfn.XLOOKUP(AM$1,$R$2:$R$18,$U$2:$U$18-$N58)^2)))</f>
        <v/>
      </c>
      <c r="AN58" s="182" t="str">
        <f t="array" ref="AN58">IF(AN$1=0,"",SQRT((_xlfn.XLOOKUP(AN$1,$R$2:$R$18,$S$2:$S$18)-$L58)^2+(_xlfn.XLOOKUP(AN$1,$R$2:$R$18,$T$2:$T$18)-$M58)^2+(_xlfn.XLOOKUP(AN$1,$R$2:$R$18,$U$2:$U$18-$N58)^2)))</f>
        <v/>
      </c>
      <c r="AO58" s="134"/>
      <c r="AP58" s="134"/>
      <c r="AQ58" s="135">
        <f t="shared" si="51"/>
        <v>0</v>
      </c>
      <c r="AR58" s="183">
        <f t="shared" si="52"/>
        <v>0</v>
      </c>
      <c r="AS58" s="183">
        <f t="shared" si="53"/>
        <v>0</v>
      </c>
      <c r="AT58" s="183">
        <f t="shared" si="54"/>
        <v>0</v>
      </c>
      <c r="AU58" s="183">
        <f t="shared" si="55"/>
        <v>0</v>
      </c>
      <c r="AV58" s="183">
        <f t="shared" si="56"/>
        <v>0</v>
      </c>
      <c r="AW58" s="183">
        <f t="shared" si="57"/>
        <v>0</v>
      </c>
      <c r="AX58" s="183">
        <f t="shared" si="58"/>
        <v>0</v>
      </c>
      <c r="AY58" s="184">
        <f t="shared" si="59"/>
        <v>0</v>
      </c>
      <c r="AZ58" s="184">
        <f t="shared" si="60"/>
        <v>0</v>
      </c>
      <c r="BA58" s="184">
        <f t="shared" si="61"/>
        <v>0</v>
      </c>
      <c r="BB58" s="184">
        <f t="shared" si="62"/>
        <v>0</v>
      </c>
      <c r="BC58" s="184">
        <f t="shared" si="63"/>
        <v>0</v>
      </c>
      <c r="BD58" s="184">
        <f t="shared" si="64"/>
        <v>0</v>
      </c>
      <c r="BE58" s="185">
        <f t="shared" si="65"/>
        <v>0</v>
      </c>
      <c r="BF58" s="134"/>
      <c r="BG58" s="134"/>
      <c r="BH58" s="134"/>
      <c r="BI58" s="134"/>
      <c r="BJ58" s="134"/>
      <c r="BK58" s="134"/>
      <c r="BL58" s="134"/>
      <c r="BM58" s="134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34"/>
      <c r="CD58" s="134"/>
      <c r="CE58" s="186">
        <f t="shared" si="66"/>
        <v>0</v>
      </c>
      <c r="CF58" s="187">
        <f t="shared" si="67"/>
        <v>0</v>
      </c>
      <c r="CG58" s="187">
        <f t="shared" si="68"/>
        <v>0</v>
      </c>
      <c r="CH58" s="187">
        <f t="shared" si="69"/>
        <v>0</v>
      </c>
      <c r="CI58" s="187">
        <f t="shared" si="70"/>
        <v>0</v>
      </c>
      <c r="CJ58" s="187" t="str">
        <f t="shared" si="71"/>
        <v/>
      </c>
      <c r="CK58" s="187" t="str">
        <f t="shared" si="72"/>
        <v/>
      </c>
      <c r="CL58" s="187" t="str">
        <f t="shared" si="73"/>
        <v/>
      </c>
      <c r="CM58" s="188" t="str">
        <f t="shared" si="74"/>
        <v/>
      </c>
      <c r="CN58" s="188" t="str">
        <f t="shared" si="75"/>
        <v/>
      </c>
      <c r="CO58" s="188" t="str">
        <f t="shared" si="76"/>
        <v/>
      </c>
      <c r="CP58" s="188" t="str">
        <f t="shared" si="77"/>
        <v/>
      </c>
      <c r="CQ58" s="188" t="str">
        <f t="shared" si="78"/>
        <v/>
      </c>
      <c r="CR58" s="188" t="str">
        <f t="shared" si="79"/>
        <v/>
      </c>
      <c r="CS58" s="189" t="str">
        <f t="shared" si="80"/>
        <v/>
      </c>
    </row>
    <row r="59" spans="1:97" ht="15.75" customHeight="1" thickBot="1" x14ac:dyDescent="0.35">
      <c r="CD59" s="77" t="s">
        <v>26</v>
      </c>
      <c r="CE59" s="58">
        <f t="array" ref="CE59">IF(ISBLANK(_xlfn.XLOOKUP(CE$1,$R$2:$R$16,$S$2:$S$16)),"", 10*LOG10(SUM(10^(CE2:CE58/10))))</f>
        <v>57.004659174868422</v>
      </c>
      <c r="CF59" s="63">
        <f t="array" ref="CF59">IF(ISBLANK(_xlfn.XLOOKUP(CF$1,$R$2:$R$16,$S$2:$S$16)),"", 10*LOG10(SUM(10^(CF2:CF58/10))))</f>
        <v>58.515557110370722</v>
      </c>
      <c r="CG59" s="63">
        <f t="array" ref="CG59">IF(ISBLANK(_xlfn.XLOOKUP(CG$1,$R$2:$R$16,$S$2:$S$16)),"", 10*LOG10(SUM(10^(CG2:CG58/10))))</f>
        <v>55.463280175435365</v>
      </c>
      <c r="CH59" s="63">
        <f t="array" ref="CH59">IF(ISBLANK(_xlfn.XLOOKUP(CH$1,$R$2:$R$16,$S$2:$S$16)),"", 10*LOG10(SUM(10^(CH2:CH58/10))))</f>
        <v>51.203028640531976</v>
      </c>
      <c r="CI59" s="63">
        <f t="array" ref="CI59">IF(ISBLANK(_xlfn.XLOOKUP(CI$1,$R$2:$R$16,$S$2:$S$16)),"", 10*LOG10(SUM(10^(CI2:CI58/10))))</f>
        <v>52.16005715109327</v>
      </c>
      <c r="CJ59" s="63" t="e">
        <f t="array" ref="CJ59">IF(ISBLANK(_xlfn.XLOOKUP(CJ$1,$R$2:$R$16,$S$2:$S$16)),"", 10*LOG10(SUM(10^(CJ2:CJ58/10))))</f>
        <v>#VALUE!</v>
      </c>
      <c r="CK59" s="63" t="e">
        <f t="array" ref="CK59">IF(ISBLANK(_xlfn.XLOOKUP(CK$1,$R$2:$R$16,$S$2:$S$16)),"", 10*LOG10(SUM(10^(CK2:CK58/10))))</f>
        <v>#VALUE!</v>
      </c>
      <c r="CL59" s="63" t="e">
        <f t="array" ref="CL59">IF(ISBLANK(_xlfn.XLOOKUP(CL$1,$R$2:$R$16,$S$2:$S$16)),"", 10*LOG10(SUM(10^(CL2:CL58/10))))</f>
        <v>#VALUE!</v>
      </c>
      <c r="CM59" s="59" t="e">
        <f t="array" ref="CM59">IF(ISBLANK(_xlfn.XLOOKUP(CM$1,$R$2:$R$16,$S$2:$S$16)),"", 10*LOG10(SUM(10^(CM2:CM58/10))))</f>
        <v>#VALUE!</v>
      </c>
      <c r="CN59" s="59" t="e">
        <f t="array" ref="CN59">IF(ISBLANK(_xlfn.XLOOKUP(CN$1,$R$2:$R$16,$S$2:$S$16)),"", 10*LOG10(SUM(10^(CN2:CN58/10))))</f>
        <v>#VALUE!</v>
      </c>
      <c r="CO59" s="59" t="e">
        <f t="array" ref="CO59">IF(ISBLANK(_xlfn.XLOOKUP(CO$1,$R$2:$R$16,$S$2:$S$16)),"", 10*LOG10(SUM(10^(CO2:CO58/10))))</f>
        <v>#VALUE!</v>
      </c>
      <c r="CP59" s="59" t="e">
        <f t="array" ref="CP59">IF(ISBLANK(_xlfn.XLOOKUP(CP$1,$R$2:$R$16,$S$2:$S$16)),"", 10*LOG10(SUM(10^(CP2:CP58/10))))</f>
        <v>#VALUE!</v>
      </c>
      <c r="CQ59" s="59" t="e">
        <f t="array" ref="CQ59">IF(ISBLANK(_xlfn.XLOOKUP(CQ$1,$R$2:$R$16,$S$2:$S$16)),"", 10*LOG10(SUM(10^(CQ2:CQ58/10))))</f>
        <v>#VALUE!</v>
      </c>
      <c r="CR59" s="59" t="e">
        <f t="array" ref="CR59">IF(ISBLANK(_xlfn.XLOOKUP(CR$1,$R$2:$R$16,$S$2:$S$16)),"", 10*LOG10(SUM(10^(CR2:CR58/10))))</f>
        <v>#VALUE!</v>
      </c>
      <c r="CS59" s="60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77</v>
      </c>
      <c r="CE60" s="190">
        <f t="array" ref="CE60:CS60">TRANSPOSE(V2:V16)</f>
        <v>40</v>
      </c>
      <c r="CF60" s="88">
        <v>40</v>
      </c>
      <c r="CG60" s="88">
        <v>40</v>
      </c>
      <c r="CH60" s="88">
        <v>40</v>
      </c>
      <c r="CI60" s="88">
        <v>40</v>
      </c>
      <c r="CJ60" s="88">
        <v>0</v>
      </c>
      <c r="CK60" s="88">
        <v>0</v>
      </c>
      <c r="CL60" s="88">
        <v>0</v>
      </c>
      <c r="CM60" s="88">
        <v>0</v>
      </c>
      <c r="CN60" s="88">
        <v>0</v>
      </c>
      <c r="CO60" s="88">
        <v>0</v>
      </c>
      <c r="CP60" s="88">
        <v>0</v>
      </c>
      <c r="CQ60" s="88">
        <v>0</v>
      </c>
      <c r="CR60" s="88">
        <v>0</v>
      </c>
      <c r="CS60" s="89">
        <v>0</v>
      </c>
    </row>
    <row r="62" spans="1:97" ht="15.75" customHeight="1" thickBot="1" x14ac:dyDescent="0.35"/>
    <row r="63" spans="1:97" x14ac:dyDescent="0.3">
      <c r="C63" s="72">
        <v>-26.2</v>
      </c>
      <c r="D63" s="73">
        <v>-16.100000000000001</v>
      </c>
      <c r="E63" s="73">
        <v>-8.6</v>
      </c>
      <c r="F63" s="73">
        <v>-3.2</v>
      </c>
      <c r="G63" s="74">
        <v>0</v>
      </c>
      <c r="H63" s="73"/>
      <c r="I63" s="73">
        <v>1.2</v>
      </c>
      <c r="J63" s="73"/>
      <c r="K63" s="73">
        <v>1</v>
      </c>
      <c r="L63" s="73">
        <v>-1.1000000000000001</v>
      </c>
      <c r="M63" s="75"/>
    </row>
    <row r="64" spans="1:97" x14ac:dyDescent="0.3">
      <c r="C64" s="76">
        <v>63</v>
      </c>
      <c r="D64" s="77">
        <v>125</v>
      </c>
      <c r="E64" s="77">
        <v>250</v>
      </c>
      <c r="F64" s="77">
        <v>500</v>
      </c>
      <c r="G64" s="78">
        <v>1000</v>
      </c>
      <c r="H64" s="77"/>
      <c r="I64" s="77">
        <v>2000</v>
      </c>
      <c r="J64" s="77"/>
      <c r="K64" s="77">
        <v>4000</v>
      </c>
      <c r="L64" s="77">
        <v>8000</v>
      </c>
      <c r="M64" s="79" t="s">
        <v>78</v>
      </c>
    </row>
    <row r="65" spans="3:13" ht="15.75" customHeight="1" thickBot="1" x14ac:dyDescent="0.35">
      <c r="C65" s="71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0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phoneticPr fontId="23" type="noConversion"/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3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dimension ref="B2:P241"/>
  <sheetViews>
    <sheetView workbookViewId="0">
      <selection activeCell="M17" sqref="M17:O17"/>
    </sheetView>
  </sheetViews>
  <sheetFormatPr defaultRowHeight="14.4" x14ac:dyDescent="0.3"/>
  <sheetData>
    <row r="2" spans="2:16" x14ac:dyDescent="0.3">
      <c r="B2">
        <v>75</v>
      </c>
      <c r="M2" t="s">
        <v>279</v>
      </c>
      <c r="N2" t="s">
        <v>280</v>
      </c>
      <c r="O2" t="s">
        <v>281</v>
      </c>
      <c r="P2" t="s">
        <v>282</v>
      </c>
    </row>
    <row r="3" spans="2:16" x14ac:dyDescent="0.3">
      <c r="B3">
        <v>75</v>
      </c>
      <c r="M3">
        <f>C2</f>
        <v>0</v>
      </c>
      <c r="N3">
        <f>E2</f>
        <v>0</v>
      </c>
      <c r="O3">
        <f>G2</f>
        <v>0</v>
      </c>
      <c r="P3">
        <f>J2</f>
        <v>0</v>
      </c>
    </row>
    <row r="4" spans="2:16" x14ac:dyDescent="0.3">
      <c r="B4">
        <v>75</v>
      </c>
      <c r="M4">
        <f t="shared" ref="M4:M67" si="0">C3</f>
        <v>0</v>
      </c>
      <c r="N4">
        <f t="shared" ref="N4:N67" si="1">E3</f>
        <v>0</v>
      </c>
      <c r="O4">
        <f t="shared" ref="O4:O67" si="2">G3</f>
        <v>0</v>
      </c>
      <c r="P4">
        <f t="shared" ref="P4:P67" si="3">J3</f>
        <v>0</v>
      </c>
    </row>
    <row r="5" spans="2:16" x14ac:dyDescent="0.3">
      <c r="B5">
        <v>75</v>
      </c>
      <c r="M5">
        <f t="shared" si="0"/>
        <v>0</v>
      </c>
      <c r="N5">
        <f t="shared" si="1"/>
        <v>0</v>
      </c>
      <c r="O5">
        <f t="shared" si="2"/>
        <v>0</v>
      </c>
      <c r="P5">
        <f t="shared" si="3"/>
        <v>0</v>
      </c>
    </row>
    <row r="6" spans="2:16" x14ac:dyDescent="0.3">
      <c r="B6">
        <v>75</v>
      </c>
      <c r="M6">
        <f t="shared" si="0"/>
        <v>0</v>
      </c>
      <c r="N6">
        <f t="shared" si="1"/>
        <v>0</v>
      </c>
      <c r="O6">
        <f t="shared" si="2"/>
        <v>0</v>
      </c>
      <c r="P6">
        <f t="shared" si="3"/>
        <v>0</v>
      </c>
    </row>
    <row r="7" spans="2:16" x14ac:dyDescent="0.3">
      <c r="B7">
        <v>75</v>
      </c>
      <c r="M7">
        <f t="shared" si="0"/>
        <v>0</v>
      </c>
      <c r="N7">
        <f t="shared" si="1"/>
        <v>0</v>
      </c>
      <c r="O7">
        <f t="shared" si="2"/>
        <v>0</v>
      </c>
      <c r="P7">
        <f t="shared" si="3"/>
        <v>0</v>
      </c>
    </row>
    <row r="8" spans="2:16" x14ac:dyDescent="0.3">
      <c r="B8">
        <v>75</v>
      </c>
      <c r="M8">
        <f t="shared" si="0"/>
        <v>0</v>
      </c>
      <c r="N8">
        <f t="shared" si="1"/>
        <v>0</v>
      </c>
      <c r="O8">
        <f t="shared" si="2"/>
        <v>0</v>
      </c>
      <c r="P8">
        <f t="shared" si="3"/>
        <v>0</v>
      </c>
    </row>
    <row r="9" spans="2:16" x14ac:dyDescent="0.3">
      <c r="B9">
        <v>75</v>
      </c>
      <c r="M9">
        <f t="shared" si="0"/>
        <v>0</v>
      </c>
      <c r="N9">
        <f t="shared" si="1"/>
        <v>0</v>
      </c>
      <c r="O9">
        <f t="shared" si="2"/>
        <v>0</v>
      </c>
      <c r="P9">
        <f t="shared" si="3"/>
        <v>0</v>
      </c>
    </row>
    <row r="10" spans="2:16" x14ac:dyDescent="0.3">
      <c r="B10" t="s">
        <v>199</v>
      </c>
      <c r="C10" t="s">
        <v>200</v>
      </c>
      <c r="M10">
        <f t="shared" si="0"/>
        <v>0</v>
      </c>
      <c r="N10">
        <f t="shared" si="1"/>
        <v>0</v>
      </c>
      <c r="O10">
        <f t="shared" si="2"/>
        <v>0</v>
      </c>
      <c r="P10">
        <f t="shared" si="3"/>
        <v>0</v>
      </c>
    </row>
    <row r="11" spans="2:16" x14ac:dyDescent="0.3">
      <c r="B11" t="s">
        <v>201</v>
      </c>
      <c r="C11" t="s">
        <v>171</v>
      </c>
      <c r="D11" t="s">
        <v>202</v>
      </c>
      <c r="E11" t="s">
        <v>203</v>
      </c>
      <c r="F11" t="s">
        <v>204</v>
      </c>
      <c r="G11" t="s">
        <v>205</v>
      </c>
      <c r="H11" t="s">
        <v>206</v>
      </c>
      <c r="I11">
        <v>65</v>
      </c>
      <c r="M11" t="str">
        <f t="shared" si="0"/>
        <v>1314)</v>
      </c>
      <c r="N11">
        <f t="shared" si="1"/>
        <v>0</v>
      </c>
      <c r="O11">
        <f t="shared" si="2"/>
        <v>0</v>
      </c>
      <c r="P11">
        <f t="shared" si="3"/>
        <v>0</v>
      </c>
    </row>
    <row r="12" spans="2:16" x14ac:dyDescent="0.3">
      <c r="B12" t="s">
        <v>207</v>
      </c>
      <c r="C12" t="s">
        <v>208</v>
      </c>
      <c r="D12" t="s">
        <v>209</v>
      </c>
      <c r="E12" t="s">
        <v>210</v>
      </c>
      <c r="F12" t="s">
        <v>211</v>
      </c>
      <c r="G12" t="s">
        <v>212</v>
      </c>
      <c r="H12" t="s">
        <v>213</v>
      </c>
      <c r="I12" t="s">
        <v>214</v>
      </c>
      <c r="J12">
        <v>5</v>
      </c>
      <c r="M12" s="77" t="str">
        <f t="shared" si="0"/>
        <v>R1</v>
      </c>
      <c r="N12" t="str">
        <f t="shared" si="1"/>
        <v>33.28,</v>
      </c>
      <c r="O12" t="str">
        <f t="shared" si="2"/>
        <v>85.62,</v>
      </c>
      <c r="P12">
        <f t="shared" si="3"/>
        <v>0</v>
      </c>
    </row>
    <row r="13" spans="2:16" x14ac:dyDescent="0.3">
      <c r="B13" t="s">
        <v>207</v>
      </c>
      <c r="C13" t="s">
        <v>215</v>
      </c>
      <c r="D13" t="s">
        <v>209</v>
      </c>
      <c r="E13" t="s">
        <v>210</v>
      </c>
      <c r="F13" t="s">
        <v>211</v>
      </c>
      <c r="G13" t="s">
        <v>216</v>
      </c>
      <c r="H13" t="s">
        <v>213</v>
      </c>
      <c r="I13" t="s">
        <v>214</v>
      </c>
      <c r="J13">
        <v>7</v>
      </c>
      <c r="M13" t="str">
        <f t="shared" si="0"/>
        <v>MAU-R1,</v>
      </c>
      <c r="N13" t="str">
        <f t="shared" si="1"/>
        <v>R1,</v>
      </c>
      <c r="O13" t="str">
        <f t="shared" si="2"/>
        <v>bar22,</v>
      </c>
      <c r="P13">
        <f t="shared" si="3"/>
        <v>5</v>
      </c>
    </row>
    <row r="14" spans="2:16" x14ac:dyDescent="0.3">
      <c r="B14" t="s">
        <v>207</v>
      </c>
      <c r="C14" t="s">
        <v>217</v>
      </c>
      <c r="D14" t="s">
        <v>209</v>
      </c>
      <c r="E14" t="s">
        <v>210</v>
      </c>
      <c r="F14" t="s">
        <v>211</v>
      </c>
      <c r="G14" t="s">
        <v>218</v>
      </c>
      <c r="H14" t="s">
        <v>213</v>
      </c>
      <c r="I14" t="s">
        <v>214</v>
      </c>
      <c r="J14">
        <v>1</v>
      </c>
      <c r="M14" t="str">
        <f t="shared" si="0"/>
        <v>ERV-R.1,</v>
      </c>
      <c r="N14" t="str">
        <f t="shared" si="1"/>
        <v>R1,</v>
      </c>
      <c r="O14" t="str">
        <f t="shared" si="2"/>
        <v>bar21,</v>
      </c>
      <c r="P14">
        <f t="shared" si="3"/>
        <v>7</v>
      </c>
    </row>
    <row r="15" spans="2:16" x14ac:dyDescent="0.3">
      <c r="B15" t="s">
        <v>207</v>
      </c>
      <c r="C15" t="s">
        <v>219</v>
      </c>
      <c r="D15" t="s">
        <v>209</v>
      </c>
      <c r="E15" t="s">
        <v>210</v>
      </c>
      <c r="F15" t="s">
        <v>211</v>
      </c>
      <c r="G15" t="s">
        <v>212</v>
      </c>
      <c r="H15" t="s">
        <v>213</v>
      </c>
      <c r="I15" t="s">
        <v>214</v>
      </c>
      <c r="J15">
        <v>7</v>
      </c>
      <c r="M15" t="str">
        <f t="shared" si="0"/>
        <v>GEF-R1-,</v>
      </c>
      <c r="N15" t="str">
        <f t="shared" si="1"/>
        <v>R1,</v>
      </c>
      <c r="O15" t="str">
        <f t="shared" si="2"/>
        <v>bar2,</v>
      </c>
      <c r="P15">
        <f t="shared" si="3"/>
        <v>1</v>
      </c>
    </row>
    <row r="16" spans="2:16" x14ac:dyDescent="0.3">
      <c r="B16" t="s">
        <v>207</v>
      </c>
      <c r="C16" t="s">
        <v>220</v>
      </c>
      <c r="D16" t="s">
        <v>209</v>
      </c>
      <c r="E16" t="s">
        <v>210</v>
      </c>
      <c r="F16" t="s">
        <v>211</v>
      </c>
      <c r="G16" t="s">
        <v>221</v>
      </c>
      <c r="H16" t="s">
        <v>213</v>
      </c>
      <c r="I16" t="s">
        <v>214</v>
      </c>
      <c r="J16">
        <v>1</v>
      </c>
      <c r="M16" t="str">
        <f t="shared" si="0"/>
        <v>DEF-R1,-R2,</v>
      </c>
      <c r="N16" t="str">
        <f t="shared" si="1"/>
        <v>R1,</v>
      </c>
      <c r="O16" t="str">
        <f t="shared" si="2"/>
        <v>bar22,</v>
      </c>
      <c r="P16">
        <f t="shared" si="3"/>
        <v>7</v>
      </c>
    </row>
    <row r="17" spans="2:16" x14ac:dyDescent="0.3">
      <c r="B17" t="s">
        <v>207</v>
      </c>
      <c r="C17" t="s">
        <v>222</v>
      </c>
      <c r="D17" t="s">
        <v>209</v>
      </c>
      <c r="E17" t="s">
        <v>210</v>
      </c>
      <c r="F17" t="s">
        <v>211</v>
      </c>
      <c r="G17" t="s">
        <v>212</v>
      </c>
      <c r="H17" t="s">
        <v>213</v>
      </c>
      <c r="I17" t="s">
        <v>214</v>
      </c>
      <c r="J17">
        <v>4</v>
      </c>
      <c r="M17" t="str">
        <f t="shared" si="0"/>
        <v>KEF-R1-,</v>
      </c>
      <c r="N17" t="str">
        <f t="shared" si="1"/>
        <v>R1,</v>
      </c>
      <c r="O17" t="str">
        <f t="shared" si="2"/>
        <v>bar20,</v>
      </c>
      <c r="P17">
        <f t="shared" si="3"/>
        <v>1</v>
      </c>
    </row>
    <row r="18" spans="2:16" x14ac:dyDescent="0.3">
      <c r="B18" t="s">
        <v>207</v>
      </c>
      <c r="C18" t="s">
        <v>223</v>
      </c>
      <c r="D18" t="s">
        <v>209</v>
      </c>
      <c r="E18" t="s">
        <v>210</v>
      </c>
      <c r="F18" t="s">
        <v>211</v>
      </c>
      <c r="G18" t="s">
        <v>212</v>
      </c>
      <c r="H18" t="s">
        <v>213</v>
      </c>
      <c r="I18" t="s">
        <v>214</v>
      </c>
      <c r="J18">
        <v>5</v>
      </c>
      <c r="M18" t="str">
        <f t="shared" si="0"/>
        <v>DWEF-R1,</v>
      </c>
      <c r="N18" t="str">
        <f t="shared" si="1"/>
        <v>R1,</v>
      </c>
      <c r="O18" t="str">
        <f t="shared" si="2"/>
        <v>bar22,</v>
      </c>
      <c r="P18">
        <f t="shared" si="3"/>
        <v>4</v>
      </c>
    </row>
    <row r="19" spans="2:16" x14ac:dyDescent="0.3">
      <c r="B19" t="s">
        <v>207</v>
      </c>
      <c r="C19" t="s">
        <v>224</v>
      </c>
      <c r="D19" t="s">
        <v>209</v>
      </c>
      <c r="E19" t="s">
        <v>210</v>
      </c>
      <c r="F19" t="s">
        <v>211</v>
      </c>
      <c r="G19" t="s">
        <v>212</v>
      </c>
      <c r="H19" t="s">
        <v>213</v>
      </c>
      <c r="I19" t="s">
        <v>214</v>
      </c>
      <c r="J19">
        <v>5</v>
      </c>
      <c r="M19" t="str">
        <f t="shared" si="0"/>
        <v>CU-R1,</v>
      </c>
      <c r="N19" t="str">
        <f t="shared" si="1"/>
        <v>R1,</v>
      </c>
      <c r="O19" t="str">
        <f t="shared" si="2"/>
        <v>bar22,</v>
      </c>
      <c r="P19">
        <f t="shared" si="3"/>
        <v>5</v>
      </c>
    </row>
    <row r="20" spans="2:16" x14ac:dyDescent="0.3">
      <c r="B20" t="s">
        <v>207</v>
      </c>
      <c r="C20" t="s">
        <v>225</v>
      </c>
      <c r="D20" t="s">
        <v>209</v>
      </c>
      <c r="E20" t="s">
        <v>210</v>
      </c>
      <c r="F20" t="s">
        <v>211</v>
      </c>
      <c r="G20" t="s">
        <v>212</v>
      </c>
      <c r="H20" t="s">
        <v>213</v>
      </c>
      <c r="I20" t="s">
        <v>214</v>
      </c>
      <c r="J20">
        <v>5</v>
      </c>
      <c r="M20" t="str">
        <f t="shared" si="0"/>
        <v>CU-R2,</v>
      </c>
      <c r="N20" t="str">
        <f t="shared" si="1"/>
        <v>R1,</v>
      </c>
      <c r="O20" t="str">
        <f t="shared" si="2"/>
        <v>bar22,</v>
      </c>
      <c r="P20">
        <f t="shared" si="3"/>
        <v>5</v>
      </c>
    </row>
    <row r="21" spans="2:16" x14ac:dyDescent="0.3">
      <c r="B21" t="s">
        <v>207</v>
      </c>
      <c r="C21" t="s">
        <v>226</v>
      </c>
      <c r="D21" t="s">
        <v>209</v>
      </c>
      <c r="E21" t="s">
        <v>210</v>
      </c>
      <c r="F21" t="s">
        <v>211</v>
      </c>
      <c r="G21" t="s">
        <v>212</v>
      </c>
      <c r="H21" t="s">
        <v>213</v>
      </c>
      <c r="I21" t="s">
        <v>214</v>
      </c>
      <c r="J21">
        <v>4</v>
      </c>
      <c r="M21" t="str">
        <f t="shared" si="0"/>
        <v>CU-R4,</v>
      </c>
      <c r="N21" t="str">
        <f t="shared" si="1"/>
        <v>R1,</v>
      </c>
      <c r="O21" t="str">
        <f t="shared" si="2"/>
        <v>bar22,</v>
      </c>
      <c r="P21">
        <f t="shared" si="3"/>
        <v>5</v>
      </c>
    </row>
    <row r="22" spans="2:16" x14ac:dyDescent="0.3">
      <c r="B22" t="s">
        <v>207</v>
      </c>
      <c r="C22" t="s">
        <v>227</v>
      </c>
      <c r="D22" t="s">
        <v>209</v>
      </c>
      <c r="E22" t="s">
        <v>210</v>
      </c>
      <c r="F22" t="s">
        <v>211</v>
      </c>
      <c r="G22" t="s">
        <v>218</v>
      </c>
      <c r="H22" t="s">
        <v>213</v>
      </c>
      <c r="I22" t="s">
        <v>214</v>
      </c>
      <c r="J22">
        <v>2</v>
      </c>
      <c r="M22" t="str">
        <f t="shared" si="0"/>
        <v>CU-R5,</v>
      </c>
      <c r="N22" t="str">
        <f t="shared" si="1"/>
        <v>R1,</v>
      </c>
      <c r="O22" t="str">
        <f t="shared" si="2"/>
        <v>bar22,</v>
      </c>
      <c r="P22">
        <f t="shared" si="3"/>
        <v>4</v>
      </c>
    </row>
    <row r="23" spans="2:16" x14ac:dyDescent="0.3">
      <c r="B23" t="s">
        <v>207</v>
      </c>
      <c r="C23" t="s">
        <v>228</v>
      </c>
      <c r="D23" t="s">
        <v>209</v>
      </c>
      <c r="E23" t="s">
        <v>210</v>
      </c>
      <c r="F23" t="s">
        <v>211</v>
      </c>
      <c r="G23" t="s">
        <v>221</v>
      </c>
      <c r="H23" t="s">
        <v>213</v>
      </c>
      <c r="I23" t="s">
        <v>214</v>
      </c>
      <c r="J23">
        <v>8</v>
      </c>
      <c r="M23" t="str">
        <f t="shared" si="0"/>
        <v>RCU-R(4p)1,</v>
      </c>
      <c r="N23" t="str">
        <f t="shared" si="1"/>
        <v>R1,</v>
      </c>
      <c r="O23" t="str">
        <f t="shared" si="2"/>
        <v>bar2,</v>
      </c>
      <c r="P23">
        <f t="shared" si="3"/>
        <v>2</v>
      </c>
    </row>
    <row r="24" spans="2:16" x14ac:dyDescent="0.3">
      <c r="B24" t="s">
        <v>207</v>
      </c>
      <c r="C24" t="s">
        <v>229</v>
      </c>
      <c r="D24" t="s">
        <v>209</v>
      </c>
      <c r="E24" t="s">
        <v>210</v>
      </c>
      <c r="F24" t="s">
        <v>211</v>
      </c>
      <c r="G24" t="s">
        <v>212</v>
      </c>
      <c r="H24" t="s">
        <v>213</v>
      </c>
      <c r="I24" t="s">
        <v>214</v>
      </c>
      <c r="J24">
        <v>6</v>
      </c>
      <c r="M24" t="str">
        <f t="shared" si="0"/>
        <v>RCU-R(4p)2,</v>
      </c>
      <c r="N24" t="str">
        <f t="shared" si="1"/>
        <v>R1,</v>
      </c>
      <c r="O24" t="str">
        <f t="shared" si="2"/>
        <v>bar20,</v>
      </c>
      <c r="P24">
        <f t="shared" si="3"/>
        <v>8</v>
      </c>
    </row>
    <row r="25" spans="2:16" x14ac:dyDescent="0.3">
      <c r="B25" t="s">
        <v>207</v>
      </c>
      <c r="C25" t="s">
        <v>230</v>
      </c>
      <c r="D25" t="s">
        <v>209</v>
      </c>
      <c r="E25" t="s">
        <v>210</v>
      </c>
      <c r="F25" t="s">
        <v>211</v>
      </c>
      <c r="G25" t="s">
        <v>212</v>
      </c>
      <c r="H25" t="s">
        <v>213</v>
      </c>
      <c r="I25" t="s">
        <v>214</v>
      </c>
      <c r="J25">
        <v>6</v>
      </c>
      <c r="M25" t="str">
        <f t="shared" si="0"/>
        <v>RCU-R(4p)3,</v>
      </c>
      <c r="N25" t="str">
        <f t="shared" si="1"/>
        <v>R1,</v>
      </c>
      <c r="O25" t="str">
        <f t="shared" si="2"/>
        <v>bar22,</v>
      </c>
      <c r="P25">
        <f t="shared" si="3"/>
        <v>6</v>
      </c>
    </row>
    <row r="26" spans="2:16" x14ac:dyDescent="0.3">
      <c r="B26" t="s">
        <v>207</v>
      </c>
      <c r="C26" t="s">
        <v>231</v>
      </c>
      <c r="D26" t="s">
        <v>209</v>
      </c>
      <c r="E26" t="s">
        <v>210</v>
      </c>
      <c r="F26" t="s">
        <v>211</v>
      </c>
      <c r="G26" t="s">
        <v>212</v>
      </c>
      <c r="H26" t="s">
        <v>213</v>
      </c>
      <c r="I26" t="s">
        <v>214</v>
      </c>
      <c r="J26">
        <v>6</v>
      </c>
      <c r="M26" t="str">
        <f t="shared" si="0"/>
        <v>RCU-R(2p),</v>
      </c>
      <c r="N26" t="str">
        <f t="shared" si="1"/>
        <v>R1,</v>
      </c>
      <c r="O26" t="str">
        <f t="shared" si="2"/>
        <v>bar22,</v>
      </c>
      <c r="P26">
        <f t="shared" si="3"/>
        <v>6</v>
      </c>
    </row>
    <row r="27" spans="2:16" x14ac:dyDescent="0.3">
      <c r="B27" t="s">
        <v>207</v>
      </c>
      <c r="C27" t="s">
        <v>232</v>
      </c>
      <c r="D27" t="s">
        <v>209</v>
      </c>
      <c r="E27" t="s">
        <v>210</v>
      </c>
      <c r="F27" t="s">
        <v>211</v>
      </c>
      <c r="G27" t="s">
        <v>212</v>
      </c>
      <c r="H27" t="s">
        <v>213</v>
      </c>
      <c r="I27" t="s">
        <v>214</v>
      </c>
      <c r="J27">
        <v>4</v>
      </c>
      <c r="M27" t="str">
        <f t="shared" si="0"/>
        <v>RCU-R(2p)1,</v>
      </c>
      <c r="N27" t="str">
        <f t="shared" si="1"/>
        <v>R1,</v>
      </c>
      <c r="O27" t="str">
        <f t="shared" si="2"/>
        <v>bar22,</v>
      </c>
      <c r="P27">
        <f t="shared" si="3"/>
        <v>6</v>
      </c>
    </row>
    <row r="28" spans="2:16" x14ac:dyDescent="0.3">
      <c r="B28" t="s">
        <v>207</v>
      </c>
      <c r="C28" t="s">
        <v>233</v>
      </c>
      <c r="D28" t="s">
        <v>209</v>
      </c>
      <c r="E28" t="s">
        <v>210</v>
      </c>
      <c r="F28" t="s">
        <v>211</v>
      </c>
      <c r="G28" t="s">
        <v>221</v>
      </c>
      <c r="H28" t="s">
        <v>213</v>
      </c>
      <c r="I28" t="s">
        <v>214</v>
      </c>
      <c r="J28">
        <v>5</v>
      </c>
      <c r="M28" t="str">
        <f t="shared" si="0"/>
        <v>RCU-R(4p)4,</v>
      </c>
      <c r="N28" t="str">
        <f t="shared" si="1"/>
        <v>R1,</v>
      </c>
      <c r="O28" t="str">
        <f t="shared" si="2"/>
        <v>bar22,</v>
      </c>
      <c r="P28">
        <f t="shared" si="3"/>
        <v>4</v>
      </c>
    </row>
    <row r="29" spans="2:16" x14ac:dyDescent="0.3">
      <c r="B29" t="s">
        <v>207</v>
      </c>
      <c r="C29" t="s">
        <v>234</v>
      </c>
      <c r="D29" t="s">
        <v>209</v>
      </c>
      <c r="E29" t="s">
        <v>210</v>
      </c>
      <c r="F29" t="s">
        <v>211</v>
      </c>
      <c r="G29" t="s">
        <v>221</v>
      </c>
      <c r="H29" t="s">
        <v>213</v>
      </c>
      <c r="I29" t="s">
        <v>214</v>
      </c>
      <c r="J29">
        <v>6</v>
      </c>
      <c r="M29" t="str">
        <f t="shared" si="0"/>
        <v>RCU-R(2p)2,</v>
      </c>
      <c r="N29" t="str">
        <f t="shared" si="1"/>
        <v>R1,</v>
      </c>
      <c r="O29" t="str">
        <f t="shared" si="2"/>
        <v>bar20,</v>
      </c>
      <c r="P29">
        <f t="shared" si="3"/>
        <v>5</v>
      </c>
    </row>
    <row r="30" spans="2:16" x14ac:dyDescent="0.3">
      <c r="B30" t="s">
        <v>207</v>
      </c>
      <c r="C30" t="s">
        <v>235</v>
      </c>
      <c r="D30" t="s">
        <v>209</v>
      </c>
      <c r="E30" t="s">
        <v>210</v>
      </c>
      <c r="F30" t="s">
        <v>211</v>
      </c>
      <c r="G30" t="s">
        <v>221</v>
      </c>
      <c r="H30" t="s">
        <v>213</v>
      </c>
      <c r="I30" t="s">
        <v>214</v>
      </c>
      <c r="J30">
        <v>7</v>
      </c>
      <c r="M30" t="str">
        <f t="shared" si="0"/>
        <v>RCU-R(2p)3,</v>
      </c>
      <c r="N30" t="str">
        <f t="shared" si="1"/>
        <v>R1,</v>
      </c>
      <c r="O30" t="str">
        <f t="shared" si="2"/>
        <v>bar20,</v>
      </c>
      <c r="P30">
        <f t="shared" si="3"/>
        <v>6</v>
      </c>
    </row>
    <row r="31" spans="2:16" x14ac:dyDescent="0.3">
      <c r="B31" t="s">
        <v>207</v>
      </c>
      <c r="C31" t="s">
        <v>236</v>
      </c>
      <c r="D31" t="s">
        <v>209</v>
      </c>
      <c r="E31" t="s">
        <v>210</v>
      </c>
      <c r="F31" t="s">
        <v>211</v>
      </c>
      <c r="G31" t="s">
        <v>221</v>
      </c>
      <c r="H31" t="s">
        <v>213</v>
      </c>
      <c r="I31" t="s">
        <v>214</v>
      </c>
      <c r="J31">
        <v>7</v>
      </c>
      <c r="M31" t="str">
        <f t="shared" si="0"/>
        <v>RCU-R(2p)4,</v>
      </c>
      <c r="N31" t="str">
        <f t="shared" si="1"/>
        <v>R1,</v>
      </c>
      <c r="O31" t="str">
        <f t="shared" si="2"/>
        <v>bar20,</v>
      </c>
      <c r="P31">
        <f t="shared" si="3"/>
        <v>7</v>
      </c>
    </row>
    <row r="32" spans="2:16" x14ac:dyDescent="0.3">
      <c r="B32" t="s">
        <v>207</v>
      </c>
      <c r="C32" t="s">
        <v>237</v>
      </c>
      <c r="D32" t="s">
        <v>209</v>
      </c>
      <c r="E32" t="s">
        <v>210</v>
      </c>
      <c r="F32" t="s">
        <v>211</v>
      </c>
      <c r="G32" t="s">
        <v>221</v>
      </c>
      <c r="H32" t="s">
        <v>213</v>
      </c>
      <c r="I32" t="s">
        <v>214</v>
      </c>
      <c r="J32">
        <v>7</v>
      </c>
      <c r="M32" t="str">
        <f t="shared" si="0"/>
        <v>RCU-R(2p)5,</v>
      </c>
      <c r="N32" t="str">
        <f t="shared" si="1"/>
        <v>R1,</v>
      </c>
      <c r="O32" t="str">
        <f t="shared" si="2"/>
        <v>bar20,</v>
      </c>
      <c r="P32">
        <f t="shared" si="3"/>
        <v>7</v>
      </c>
    </row>
    <row r="33" spans="2:16" x14ac:dyDescent="0.3">
      <c r="B33" t="s">
        <v>207</v>
      </c>
      <c r="C33" t="s">
        <v>238</v>
      </c>
      <c r="D33" t="s">
        <v>209</v>
      </c>
      <c r="E33" t="s">
        <v>210</v>
      </c>
      <c r="F33" t="s">
        <v>211</v>
      </c>
      <c r="G33" t="s">
        <v>239</v>
      </c>
      <c r="H33" t="s">
        <v>213</v>
      </c>
      <c r="I33" t="s">
        <v>214</v>
      </c>
      <c r="J33">
        <v>0</v>
      </c>
      <c r="M33" t="str">
        <f t="shared" si="0"/>
        <v>RCU-R(2p)6,</v>
      </c>
      <c r="N33" t="str">
        <f t="shared" si="1"/>
        <v>R1,</v>
      </c>
      <c r="O33" t="str">
        <f t="shared" si="2"/>
        <v>bar20,</v>
      </c>
      <c r="P33">
        <f t="shared" si="3"/>
        <v>7</v>
      </c>
    </row>
    <row r="34" spans="2:16" x14ac:dyDescent="0.3">
      <c r="B34" t="s">
        <v>207</v>
      </c>
      <c r="C34" t="s">
        <v>240</v>
      </c>
      <c r="D34" t="s">
        <v>209</v>
      </c>
      <c r="E34" t="s">
        <v>210</v>
      </c>
      <c r="F34" t="s">
        <v>211</v>
      </c>
      <c r="G34" t="s">
        <v>239</v>
      </c>
      <c r="H34" t="s">
        <v>213</v>
      </c>
      <c r="I34" t="s">
        <v>214</v>
      </c>
      <c r="J34">
        <v>0</v>
      </c>
      <c r="M34" t="str">
        <f t="shared" si="0"/>
        <v>BEF-R01-,</v>
      </c>
      <c r="N34" t="str">
        <f t="shared" si="1"/>
        <v>R1,</v>
      </c>
      <c r="O34" t="str">
        <f t="shared" si="2"/>
        <v>None,</v>
      </c>
      <c r="P34">
        <f t="shared" si="3"/>
        <v>0</v>
      </c>
    </row>
    <row r="35" spans="2:16" x14ac:dyDescent="0.3">
      <c r="B35" t="s">
        <v>207</v>
      </c>
      <c r="C35" t="s">
        <v>241</v>
      </c>
      <c r="D35" t="s">
        <v>209</v>
      </c>
      <c r="E35" t="s">
        <v>210</v>
      </c>
      <c r="F35" t="s">
        <v>211</v>
      </c>
      <c r="G35" t="s">
        <v>212</v>
      </c>
      <c r="H35" t="s">
        <v>213</v>
      </c>
      <c r="I35" t="s">
        <v>214</v>
      </c>
      <c r="J35">
        <v>4</v>
      </c>
      <c r="M35" t="str">
        <f t="shared" si="0"/>
        <v>BEF-R02-,</v>
      </c>
      <c r="N35" t="str">
        <f t="shared" si="1"/>
        <v>R1,</v>
      </c>
      <c r="O35" t="str">
        <f t="shared" si="2"/>
        <v>None,</v>
      </c>
      <c r="P35">
        <f t="shared" si="3"/>
        <v>0</v>
      </c>
    </row>
    <row r="36" spans="2:16" x14ac:dyDescent="0.3">
      <c r="B36" t="s">
        <v>207</v>
      </c>
      <c r="C36" t="s">
        <v>242</v>
      </c>
      <c r="D36" t="s">
        <v>209</v>
      </c>
      <c r="E36" t="s">
        <v>210</v>
      </c>
      <c r="F36" t="s">
        <v>211</v>
      </c>
      <c r="G36" t="s">
        <v>212</v>
      </c>
      <c r="H36" t="s">
        <v>213</v>
      </c>
      <c r="I36" t="s">
        <v>214</v>
      </c>
      <c r="J36">
        <v>5</v>
      </c>
      <c r="M36" t="str">
        <f t="shared" si="0"/>
        <v>BEF-R03-,</v>
      </c>
      <c r="N36" t="str">
        <f t="shared" si="1"/>
        <v>R1,</v>
      </c>
      <c r="O36" t="str">
        <f t="shared" si="2"/>
        <v>bar22,</v>
      </c>
      <c r="P36">
        <f t="shared" si="3"/>
        <v>4</v>
      </c>
    </row>
    <row r="37" spans="2:16" x14ac:dyDescent="0.3">
      <c r="B37" t="s">
        <v>207</v>
      </c>
      <c r="C37" t="s">
        <v>243</v>
      </c>
      <c r="D37" t="s">
        <v>209</v>
      </c>
      <c r="E37" t="s">
        <v>210</v>
      </c>
      <c r="F37" t="s">
        <v>211</v>
      </c>
      <c r="G37" t="s">
        <v>239</v>
      </c>
      <c r="H37" t="s">
        <v>213</v>
      </c>
      <c r="I37" t="s">
        <v>214</v>
      </c>
      <c r="J37">
        <v>0</v>
      </c>
      <c r="M37" t="str">
        <f t="shared" si="0"/>
        <v>BEF-R04-,</v>
      </c>
      <c r="N37" t="str">
        <f t="shared" si="1"/>
        <v>R1,</v>
      </c>
      <c r="O37" t="str">
        <f t="shared" si="2"/>
        <v>bar22,</v>
      </c>
      <c r="P37">
        <f t="shared" si="3"/>
        <v>5</v>
      </c>
    </row>
    <row r="38" spans="2:16" x14ac:dyDescent="0.3">
      <c r="B38" t="s">
        <v>207</v>
      </c>
      <c r="C38" t="s">
        <v>244</v>
      </c>
      <c r="D38" t="s">
        <v>209</v>
      </c>
      <c r="E38" t="s">
        <v>210</v>
      </c>
      <c r="F38" t="s">
        <v>211</v>
      </c>
      <c r="G38" t="s">
        <v>239</v>
      </c>
      <c r="H38" t="s">
        <v>213</v>
      </c>
      <c r="I38" t="s">
        <v>214</v>
      </c>
      <c r="J38">
        <v>0</v>
      </c>
      <c r="M38" t="str">
        <f t="shared" si="0"/>
        <v>BEF-R05-,</v>
      </c>
      <c r="N38" t="str">
        <f t="shared" si="1"/>
        <v>R1,</v>
      </c>
      <c r="O38" t="str">
        <f t="shared" si="2"/>
        <v>None,</v>
      </c>
      <c r="P38">
        <f t="shared" si="3"/>
        <v>0</v>
      </c>
    </row>
    <row r="39" spans="2:16" x14ac:dyDescent="0.3">
      <c r="B39" t="s">
        <v>207</v>
      </c>
      <c r="C39" t="s">
        <v>245</v>
      </c>
      <c r="D39" t="s">
        <v>209</v>
      </c>
      <c r="E39" t="s">
        <v>210</v>
      </c>
      <c r="F39" t="s">
        <v>211</v>
      </c>
      <c r="G39" t="s">
        <v>239</v>
      </c>
      <c r="H39" t="s">
        <v>213</v>
      </c>
      <c r="I39" t="s">
        <v>214</v>
      </c>
      <c r="J39">
        <v>0</v>
      </c>
      <c r="M39" t="str">
        <f t="shared" si="0"/>
        <v>BEF-R06-,</v>
      </c>
      <c r="N39" t="str">
        <f t="shared" si="1"/>
        <v>R1,</v>
      </c>
      <c r="O39" t="str">
        <f t="shared" si="2"/>
        <v>None,</v>
      </c>
      <c r="P39">
        <f t="shared" si="3"/>
        <v>0</v>
      </c>
    </row>
    <row r="40" spans="2:16" x14ac:dyDescent="0.3">
      <c r="B40" t="s">
        <v>207</v>
      </c>
      <c r="C40" t="s">
        <v>246</v>
      </c>
      <c r="D40" t="s">
        <v>209</v>
      </c>
      <c r="E40" t="s">
        <v>210</v>
      </c>
      <c r="F40" t="s">
        <v>211</v>
      </c>
      <c r="G40" t="s">
        <v>218</v>
      </c>
      <c r="H40" t="s">
        <v>213</v>
      </c>
      <c r="I40" t="s">
        <v>214</v>
      </c>
      <c r="J40">
        <v>1</v>
      </c>
      <c r="M40" t="str">
        <f t="shared" si="0"/>
        <v>BEF-R07-,</v>
      </c>
      <c r="N40" t="str">
        <f t="shared" si="1"/>
        <v>R1,</v>
      </c>
      <c r="O40" t="str">
        <f t="shared" si="2"/>
        <v>None,</v>
      </c>
      <c r="P40">
        <f t="shared" si="3"/>
        <v>0</v>
      </c>
    </row>
    <row r="41" spans="2:16" x14ac:dyDescent="0.3">
      <c r="B41" t="s">
        <v>207</v>
      </c>
      <c r="C41" t="s">
        <v>247</v>
      </c>
      <c r="D41" t="s">
        <v>209</v>
      </c>
      <c r="E41" t="s">
        <v>210</v>
      </c>
      <c r="F41" t="s">
        <v>211</v>
      </c>
      <c r="G41" t="s">
        <v>218</v>
      </c>
      <c r="H41" t="s">
        <v>213</v>
      </c>
      <c r="I41" t="s">
        <v>214</v>
      </c>
      <c r="J41">
        <v>1</v>
      </c>
      <c r="M41" t="str">
        <f t="shared" si="0"/>
        <v>BEF-R08-,</v>
      </c>
      <c r="N41" t="str">
        <f t="shared" si="1"/>
        <v>R1,</v>
      </c>
      <c r="O41" t="str">
        <f t="shared" si="2"/>
        <v>bar2,</v>
      </c>
      <c r="P41">
        <f t="shared" si="3"/>
        <v>1</v>
      </c>
    </row>
    <row r="42" spans="2:16" x14ac:dyDescent="0.3">
      <c r="B42" t="s">
        <v>207</v>
      </c>
      <c r="C42" t="s">
        <v>248</v>
      </c>
      <c r="D42" t="s">
        <v>209</v>
      </c>
      <c r="E42" t="s">
        <v>210</v>
      </c>
      <c r="F42" t="s">
        <v>211</v>
      </c>
      <c r="G42" t="s">
        <v>212</v>
      </c>
      <c r="H42" t="s">
        <v>213</v>
      </c>
      <c r="I42" t="s">
        <v>214</v>
      </c>
      <c r="J42">
        <v>7</v>
      </c>
      <c r="M42" t="str">
        <f t="shared" si="0"/>
        <v>BEF-R09-,</v>
      </c>
      <c r="N42" t="str">
        <f t="shared" si="1"/>
        <v>R1,</v>
      </c>
      <c r="O42" t="str">
        <f t="shared" si="2"/>
        <v>bar2,</v>
      </c>
      <c r="P42">
        <f t="shared" si="3"/>
        <v>1</v>
      </c>
    </row>
    <row r="43" spans="2:16" x14ac:dyDescent="0.3">
      <c r="B43" t="s">
        <v>207</v>
      </c>
      <c r="C43" t="s">
        <v>249</v>
      </c>
      <c r="D43" t="s">
        <v>209</v>
      </c>
      <c r="E43" t="s">
        <v>210</v>
      </c>
      <c r="F43" t="s">
        <v>211</v>
      </c>
      <c r="G43" t="s">
        <v>212</v>
      </c>
      <c r="H43" t="s">
        <v>213</v>
      </c>
      <c r="I43" t="s">
        <v>214</v>
      </c>
      <c r="J43">
        <v>7</v>
      </c>
      <c r="M43" t="str">
        <f t="shared" si="0"/>
        <v>BEF-R10-,</v>
      </c>
      <c r="N43" t="str">
        <f t="shared" si="1"/>
        <v>R1,</v>
      </c>
      <c r="O43" t="str">
        <f t="shared" si="2"/>
        <v>bar22,</v>
      </c>
      <c r="P43">
        <f t="shared" si="3"/>
        <v>7</v>
      </c>
    </row>
    <row r="44" spans="2:16" x14ac:dyDescent="0.3">
      <c r="B44" t="s">
        <v>207</v>
      </c>
      <c r="C44" t="s">
        <v>250</v>
      </c>
      <c r="D44" t="s">
        <v>209</v>
      </c>
      <c r="E44" t="s">
        <v>210</v>
      </c>
      <c r="F44" t="s">
        <v>211</v>
      </c>
      <c r="G44" t="s">
        <v>221</v>
      </c>
      <c r="H44" t="s">
        <v>213</v>
      </c>
      <c r="I44" t="s">
        <v>214</v>
      </c>
      <c r="J44">
        <v>7</v>
      </c>
      <c r="M44" t="str">
        <f t="shared" si="0"/>
        <v>BEF-R11-,</v>
      </c>
      <c r="N44" t="str">
        <f t="shared" si="1"/>
        <v>R1,</v>
      </c>
      <c r="O44" t="str">
        <f t="shared" si="2"/>
        <v>bar22,</v>
      </c>
      <c r="P44">
        <f t="shared" si="3"/>
        <v>7</v>
      </c>
    </row>
    <row r="45" spans="2:16" x14ac:dyDescent="0.3">
      <c r="B45" t="s">
        <v>207</v>
      </c>
      <c r="C45" t="s">
        <v>251</v>
      </c>
      <c r="D45" t="s">
        <v>209</v>
      </c>
      <c r="E45" t="s">
        <v>210</v>
      </c>
      <c r="F45" t="s">
        <v>211</v>
      </c>
      <c r="G45" t="s">
        <v>221</v>
      </c>
      <c r="H45" t="s">
        <v>213</v>
      </c>
      <c r="I45" t="s">
        <v>214</v>
      </c>
      <c r="J45">
        <v>5</v>
      </c>
      <c r="M45" t="str">
        <f t="shared" si="0"/>
        <v>BEF-R12-,</v>
      </c>
      <c r="N45" t="str">
        <f t="shared" si="1"/>
        <v>R1,</v>
      </c>
      <c r="O45" t="str">
        <f t="shared" si="2"/>
        <v>bar20,</v>
      </c>
      <c r="P45">
        <f t="shared" si="3"/>
        <v>7</v>
      </c>
    </row>
    <row r="46" spans="2:16" x14ac:dyDescent="0.3">
      <c r="B46" t="s">
        <v>207</v>
      </c>
      <c r="C46" t="s">
        <v>252</v>
      </c>
      <c r="D46" t="s">
        <v>209</v>
      </c>
      <c r="E46" t="s">
        <v>210</v>
      </c>
      <c r="F46" t="s">
        <v>211</v>
      </c>
      <c r="G46" t="s">
        <v>253</v>
      </c>
      <c r="H46" t="s">
        <v>213</v>
      </c>
      <c r="I46" t="s">
        <v>214</v>
      </c>
      <c r="J46">
        <v>2</v>
      </c>
      <c r="M46" t="str">
        <f t="shared" si="0"/>
        <v>BEF-R13-,</v>
      </c>
      <c r="N46" t="str">
        <f t="shared" si="1"/>
        <v>R1,</v>
      </c>
      <c r="O46" t="str">
        <f t="shared" si="2"/>
        <v>bar20,</v>
      </c>
      <c r="P46">
        <f t="shared" si="3"/>
        <v>5</v>
      </c>
    </row>
    <row r="47" spans="2:16" x14ac:dyDescent="0.3">
      <c r="B47" t="s">
        <v>207</v>
      </c>
      <c r="C47" t="s">
        <v>254</v>
      </c>
      <c r="D47" t="s">
        <v>209</v>
      </c>
      <c r="E47" t="s">
        <v>210</v>
      </c>
      <c r="F47" t="s">
        <v>211</v>
      </c>
      <c r="G47" t="s">
        <v>239</v>
      </c>
      <c r="H47" t="s">
        <v>213</v>
      </c>
      <c r="I47" t="s">
        <v>214</v>
      </c>
      <c r="J47">
        <v>0</v>
      </c>
      <c r="M47" t="str">
        <f t="shared" si="0"/>
        <v>BEF-R14-,</v>
      </c>
      <c r="N47" t="str">
        <f t="shared" si="1"/>
        <v>R1,</v>
      </c>
      <c r="O47" t="str">
        <f t="shared" si="2"/>
        <v>bar18,</v>
      </c>
      <c r="P47">
        <f t="shared" si="3"/>
        <v>2</v>
      </c>
    </row>
    <row r="48" spans="2:16" x14ac:dyDescent="0.3">
      <c r="B48" t="s">
        <v>207</v>
      </c>
      <c r="C48" t="s">
        <v>255</v>
      </c>
      <c r="D48" t="s">
        <v>209</v>
      </c>
      <c r="E48" t="s">
        <v>210</v>
      </c>
      <c r="F48" t="s">
        <v>211</v>
      </c>
      <c r="G48" t="s">
        <v>221</v>
      </c>
      <c r="H48" t="s">
        <v>213</v>
      </c>
      <c r="I48" t="s">
        <v>214</v>
      </c>
      <c r="J48">
        <v>7</v>
      </c>
      <c r="M48" t="str">
        <f t="shared" si="0"/>
        <v>BEF-R15-,</v>
      </c>
      <c r="N48" t="str">
        <f t="shared" si="1"/>
        <v>R1,</v>
      </c>
      <c r="O48" t="str">
        <f t="shared" si="2"/>
        <v>None,</v>
      </c>
      <c r="P48">
        <f t="shared" si="3"/>
        <v>0</v>
      </c>
    </row>
    <row r="49" spans="2:16" x14ac:dyDescent="0.3">
      <c r="B49" t="s">
        <v>201</v>
      </c>
      <c r="C49" t="s">
        <v>28</v>
      </c>
      <c r="D49" t="s">
        <v>202</v>
      </c>
      <c r="E49" t="s">
        <v>256</v>
      </c>
      <c r="F49" t="s">
        <v>204</v>
      </c>
      <c r="G49" t="s">
        <v>257</v>
      </c>
      <c r="H49" t="s">
        <v>206</v>
      </c>
      <c r="I49">
        <v>40</v>
      </c>
      <c r="M49" t="str">
        <f t="shared" si="0"/>
        <v>BEF-R16-,</v>
      </c>
      <c r="N49" t="str">
        <f t="shared" si="1"/>
        <v>R1,</v>
      </c>
      <c r="O49" t="str">
        <f t="shared" si="2"/>
        <v>bar20,</v>
      </c>
      <c r="P49">
        <f t="shared" si="3"/>
        <v>7</v>
      </c>
    </row>
    <row r="50" spans="2:16" x14ac:dyDescent="0.3">
      <c r="B50" t="s">
        <v>207</v>
      </c>
      <c r="C50" t="s">
        <v>208</v>
      </c>
      <c r="D50" t="s">
        <v>209</v>
      </c>
      <c r="E50" t="s">
        <v>258</v>
      </c>
      <c r="F50" t="s">
        <v>211</v>
      </c>
      <c r="G50" t="s">
        <v>259</v>
      </c>
      <c r="H50" t="s">
        <v>213</v>
      </c>
      <c r="I50" t="s">
        <v>214</v>
      </c>
      <c r="J50">
        <v>11</v>
      </c>
      <c r="M50" s="77" t="str">
        <f t="shared" si="0"/>
        <v>R2</v>
      </c>
      <c r="N50" t="str">
        <f t="shared" si="1"/>
        <v>104.62,</v>
      </c>
      <c r="O50" t="str">
        <f t="shared" si="2"/>
        <v>52.77,</v>
      </c>
      <c r="P50">
        <f t="shared" si="3"/>
        <v>0</v>
      </c>
    </row>
    <row r="51" spans="2:16" x14ac:dyDescent="0.3">
      <c r="B51" t="s">
        <v>207</v>
      </c>
      <c r="C51" t="s">
        <v>215</v>
      </c>
      <c r="D51" t="s">
        <v>209</v>
      </c>
      <c r="E51" t="s">
        <v>258</v>
      </c>
      <c r="F51" t="s">
        <v>211</v>
      </c>
      <c r="G51" t="s">
        <v>259</v>
      </c>
      <c r="H51" t="s">
        <v>213</v>
      </c>
      <c r="I51" t="s">
        <v>214</v>
      </c>
      <c r="J51">
        <v>13</v>
      </c>
      <c r="M51" t="str">
        <f t="shared" si="0"/>
        <v>MAU-R1,</v>
      </c>
      <c r="N51" t="str">
        <f t="shared" si="1"/>
        <v>R2,</v>
      </c>
      <c r="O51" t="str">
        <f t="shared" si="2"/>
        <v>bar1,</v>
      </c>
      <c r="P51">
        <f t="shared" si="3"/>
        <v>11</v>
      </c>
    </row>
    <row r="52" spans="2:16" x14ac:dyDescent="0.3">
      <c r="B52" t="s">
        <v>207</v>
      </c>
      <c r="C52" t="s">
        <v>217</v>
      </c>
      <c r="D52" t="s">
        <v>209</v>
      </c>
      <c r="E52" t="s">
        <v>258</v>
      </c>
      <c r="F52" t="s">
        <v>211</v>
      </c>
      <c r="G52" t="s">
        <v>218</v>
      </c>
      <c r="H52" t="s">
        <v>213</v>
      </c>
      <c r="I52" t="s">
        <v>214</v>
      </c>
      <c r="J52">
        <v>11</v>
      </c>
      <c r="M52" t="str">
        <f t="shared" si="0"/>
        <v>ERV-R.1,</v>
      </c>
      <c r="N52" t="str">
        <f t="shared" si="1"/>
        <v>R2,</v>
      </c>
      <c r="O52" t="str">
        <f t="shared" si="2"/>
        <v>bar1,</v>
      </c>
      <c r="P52">
        <f t="shared" si="3"/>
        <v>13</v>
      </c>
    </row>
    <row r="53" spans="2:16" x14ac:dyDescent="0.3">
      <c r="B53" t="s">
        <v>207</v>
      </c>
      <c r="C53" t="s">
        <v>219</v>
      </c>
      <c r="D53" t="s">
        <v>209</v>
      </c>
      <c r="E53" t="s">
        <v>258</v>
      </c>
      <c r="F53" t="s">
        <v>211</v>
      </c>
      <c r="G53" t="s">
        <v>259</v>
      </c>
      <c r="H53" t="s">
        <v>213</v>
      </c>
      <c r="I53" t="s">
        <v>214</v>
      </c>
      <c r="J53">
        <v>13</v>
      </c>
      <c r="M53" t="str">
        <f t="shared" si="0"/>
        <v>GEF-R1-,</v>
      </c>
      <c r="N53" t="str">
        <f t="shared" si="1"/>
        <v>R2,</v>
      </c>
      <c r="O53" t="str">
        <f t="shared" si="2"/>
        <v>bar2,</v>
      </c>
      <c r="P53">
        <f t="shared" si="3"/>
        <v>11</v>
      </c>
    </row>
    <row r="54" spans="2:16" x14ac:dyDescent="0.3">
      <c r="B54" t="s">
        <v>207</v>
      </c>
      <c r="C54" t="s">
        <v>220</v>
      </c>
      <c r="D54" t="s">
        <v>209</v>
      </c>
      <c r="E54" t="s">
        <v>258</v>
      </c>
      <c r="F54" t="s">
        <v>211</v>
      </c>
      <c r="G54" t="s">
        <v>259</v>
      </c>
      <c r="H54" t="s">
        <v>213</v>
      </c>
      <c r="I54" t="s">
        <v>214</v>
      </c>
      <c r="J54">
        <v>11</v>
      </c>
      <c r="M54" t="str">
        <f t="shared" si="0"/>
        <v>DEF-R1,-R2,</v>
      </c>
      <c r="N54" t="str">
        <f t="shared" si="1"/>
        <v>R2,</v>
      </c>
      <c r="O54" t="str">
        <f t="shared" si="2"/>
        <v>bar1,</v>
      </c>
      <c r="P54">
        <f t="shared" si="3"/>
        <v>13</v>
      </c>
    </row>
    <row r="55" spans="2:16" x14ac:dyDescent="0.3">
      <c r="B55" t="s">
        <v>207</v>
      </c>
      <c r="C55" t="s">
        <v>222</v>
      </c>
      <c r="D55" t="s">
        <v>209</v>
      </c>
      <c r="E55" t="s">
        <v>258</v>
      </c>
      <c r="F55" t="s">
        <v>211</v>
      </c>
      <c r="G55" t="s">
        <v>259</v>
      </c>
      <c r="H55" t="s">
        <v>213</v>
      </c>
      <c r="I55" t="s">
        <v>214</v>
      </c>
      <c r="J55">
        <v>13</v>
      </c>
      <c r="M55" t="str">
        <f t="shared" si="0"/>
        <v>KEF-R1-,</v>
      </c>
      <c r="N55" t="str">
        <f t="shared" si="1"/>
        <v>R2,</v>
      </c>
      <c r="O55" t="str">
        <f t="shared" si="2"/>
        <v>bar1,</v>
      </c>
      <c r="P55">
        <f t="shared" si="3"/>
        <v>11</v>
      </c>
    </row>
    <row r="56" spans="2:16" x14ac:dyDescent="0.3">
      <c r="B56" t="s">
        <v>207</v>
      </c>
      <c r="C56" t="s">
        <v>223</v>
      </c>
      <c r="D56" t="s">
        <v>209</v>
      </c>
      <c r="E56" t="s">
        <v>258</v>
      </c>
      <c r="F56" t="s">
        <v>211</v>
      </c>
      <c r="G56" t="s">
        <v>259</v>
      </c>
      <c r="H56" t="s">
        <v>213</v>
      </c>
      <c r="I56" t="s">
        <v>214</v>
      </c>
      <c r="J56">
        <v>8</v>
      </c>
      <c r="M56" t="str">
        <f t="shared" si="0"/>
        <v>DWEF-R1,</v>
      </c>
      <c r="N56" t="str">
        <f t="shared" si="1"/>
        <v>R2,</v>
      </c>
      <c r="O56" t="str">
        <f t="shared" si="2"/>
        <v>bar1,</v>
      </c>
      <c r="P56">
        <f t="shared" si="3"/>
        <v>13</v>
      </c>
    </row>
    <row r="57" spans="2:16" x14ac:dyDescent="0.3">
      <c r="B57" t="s">
        <v>207</v>
      </c>
      <c r="C57" t="s">
        <v>224</v>
      </c>
      <c r="D57" t="s">
        <v>209</v>
      </c>
      <c r="E57" t="s">
        <v>258</v>
      </c>
      <c r="F57" t="s">
        <v>211</v>
      </c>
      <c r="G57" t="s">
        <v>259</v>
      </c>
      <c r="H57" t="s">
        <v>213</v>
      </c>
      <c r="I57" t="s">
        <v>214</v>
      </c>
      <c r="J57">
        <v>10</v>
      </c>
      <c r="M57" t="str">
        <f t="shared" si="0"/>
        <v>CU-R1,</v>
      </c>
      <c r="N57" t="str">
        <f t="shared" si="1"/>
        <v>R2,</v>
      </c>
      <c r="O57" t="str">
        <f t="shared" si="2"/>
        <v>bar1,</v>
      </c>
      <c r="P57">
        <f t="shared" si="3"/>
        <v>8</v>
      </c>
    </row>
    <row r="58" spans="2:16" x14ac:dyDescent="0.3">
      <c r="B58" t="s">
        <v>207</v>
      </c>
      <c r="C58" t="s">
        <v>225</v>
      </c>
      <c r="D58" t="s">
        <v>209</v>
      </c>
      <c r="E58" t="s">
        <v>258</v>
      </c>
      <c r="F58" t="s">
        <v>211</v>
      </c>
      <c r="G58" t="s">
        <v>259</v>
      </c>
      <c r="H58" t="s">
        <v>213</v>
      </c>
      <c r="I58" t="s">
        <v>214</v>
      </c>
      <c r="J58">
        <v>10</v>
      </c>
      <c r="M58" t="str">
        <f t="shared" si="0"/>
        <v>CU-R2,</v>
      </c>
      <c r="N58" t="str">
        <f t="shared" si="1"/>
        <v>R2,</v>
      </c>
      <c r="O58" t="str">
        <f t="shared" si="2"/>
        <v>bar1,</v>
      </c>
      <c r="P58">
        <f t="shared" si="3"/>
        <v>10</v>
      </c>
    </row>
    <row r="59" spans="2:16" x14ac:dyDescent="0.3">
      <c r="B59" t="s">
        <v>207</v>
      </c>
      <c r="C59" t="s">
        <v>226</v>
      </c>
      <c r="D59" t="s">
        <v>209</v>
      </c>
      <c r="E59" t="s">
        <v>258</v>
      </c>
      <c r="F59" t="s">
        <v>211</v>
      </c>
      <c r="G59" t="s">
        <v>259</v>
      </c>
      <c r="H59" t="s">
        <v>213</v>
      </c>
      <c r="I59" t="s">
        <v>214</v>
      </c>
      <c r="J59">
        <v>8</v>
      </c>
      <c r="M59" t="str">
        <f t="shared" si="0"/>
        <v>CU-R4,</v>
      </c>
      <c r="N59" t="str">
        <f t="shared" si="1"/>
        <v>R2,</v>
      </c>
      <c r="O59" t="str">
        <f t="shared" si="2"/>
        <v>bar1,</v>
      </c>
      <c r="P59">
        <f t="shared" si="3"/>
        <v>10</v>
      </c>
    </row>
    <row r="60" spans="2:16" x14ac:dyDescent="0.3">
      <c r="B60" t="s">
        <v>207</v>
      </c>
      <c r="C60" t="s">
        <v>227</v>
      </c>
      <c r="D60" t="s">
        <v>209</v>
      </c>
      <c r="E60" t="s">
        <v>258</v>
      </c>
      <c r="F60" t="s">
        <v>211</v>
      </c>
      <c r="G60" t="s">
        <v>218</v>
      </c>
      <c r="H60" t="s">
        <v>213</v>
      </c>
      <c r="I60" t="s">
        <v>214</v>
      </c>
      <c r="J60">
        <v>13</v>
      </c>
      <c r="M60" t="str">
        <f t="shared" si="0"/>
        <v>CU-R5,</v>
      </c>
      <c r="N60" t="str">
        <f t="shared" si="1"/>
        <v>R2,</v>
      </c>
      <c r="O60" t="str">
        <f t="shared" si="2"/>
        <v>bar1,</v>
      </c>
      <c r="P60">
        <f t="shared" si="3"/>
        <v>8</v>
      </c>
    </row>
    <row r="61" spans="2:16" x14ac:dyDescent="0.3">
      <c r="B61" t="s">
        <v>207</v>
      </c>
      <c r="C61" t="s">
        <v>228</v>
      </c>
      <c r="D61" t="s">
        <v>209</v>
      </c>
      <c r="E61" t="s">
        <v>258</v>
      </c>
      <c r="F61" t="s">
        <v>211</v>
      </c>
      <c r="G61" t="s">
        <v>259</v>
      </c>
      <c r="H61" t="s">
        <v>213</v>
      </c>
      <c r="I61" t="s">
        <v>214</v>
      </c>
      <c r="J61">
        <v>14</v>
      </c>
      <c r="M61" t="str">
        <f t="shared" si="0"/>
        <v>RCU-R(4p)1,</v>
      </c>
      <c r="N61" t="str">
        <f t="shared" si="1"/>
        <v>R2,</v>
      </c>
      <c r="O61" t="str">
        <f t="shared" si="2"/>
        <v>bar2,</v>
      </c>
      <c r="P61">
        <f t="shared" si="3"/>
        <v>13</v>
      </c>
    </row>
    <row r="62" spans="2:16" x14ac:dyDescent="0.3">
      <c r="B62" t="s">
        <v>207</v>
      </c>
      <c r="C62" t="s">
        <v>229</v>
      </c>
      <c r="D62" t="s">
        <v>209</v>
      </c>
      <c r="E62" t="s">
        <v>258</v>
      </c>
      <c r="F62" t="s">
        <v>211</v>
      </c>
      <c r="G62" t="s">
        <v>259</v>
      </c>
      <c r="H62" t="s">
        <v>213</v>
      </c>
      <c r="I62" t="s">
        <v>214</v>
      </c>
      <c r="J62">
        <v>8</v>
      </c>
      <c r="M62" t="str">
        <f t="shared" si="0"/>
        <v>RCU-R(4p)2,</v>
      </c>
      <c r="N62" t="str">
        <f t="shared" si="1"/>
        <v>R2,</v>
      </c>
      <c r="O62" t="str">
        <f t="shared" si="2"/>
        <v>bar1,</v>
      </c>
      <c r="P62">
        <f t="shared" si="3"/>
        <v>14</v>
      </c>
    </row>
    <row r="63" spans="2:16" x14ac:dyDescent="0.3">
      <c r="B63" t="s">
        <v>207</v>
      </c>
      <c r="C63" t="s">
        <v>230</v>
      </c>
      <c r="D63" t="s">
        <v>209</v>
      </c>
      <c r="E63" t="s">
        <v>258</v>
      </c>
      <c r="F63" t="s">
        <v>211</v>
      </c>
      <c r="G63" t="s">
        <v>259</v>
      </c>
      <c r="H63" t="s">
        <v>213</v>
      </c>
      <c r="I63" t="s">
        <v>214</v>
      </c>
      <c r="J63">
        <v>8</v>
      </c>
      <c r="M63" t="str">
        <f t="shared" si="0"/>
        <v>RCU-R(4p)3,</v>
      </c>
      <c r="N63" t="str">
        <f t="shared" si="1"/>
        <v>R2,</v>
      </c>
      <c r="O63" t="str">
        <f t="shared" si="2"/>
        <v>bar1,</v>
      </c>
      <c r="P63">
        <f t="shared" si="3"/>
        <v>8</v>
      </c>
    </row>
    <row r="64" spans="2:16" x14ac:dyDescent="0.3">
      <c r="B64" t="s">
        <v>207</v>
      </c>
      <c r="C64" t="s">
        <v>231</v>
      </c>
      <c r="D64" t="s">
        <v>209</v>
      </c>
      <c r="E64" t="s">
        <v>258</v>
      </c>
      <c r="F64" t="s">
        <v>211</v>
      </c>
      <c r="G64" t="s">
        <v>259</v>
      </c>
      <c r="H64" t="s">
        <v>213</v>
      </c>
      <c r="I64" t="s">
        <v>214</v>
      </c>
      <c r="J64">
        <v>9</v>
      </c>
      <c r="M64" t="str">
        <f t="shared" si="0"/>
        <v>RCU-R(2p),</v>
      </c>
      <c r="N64" t="str">
        <f t="shared" si="1"/>
        <v>R2,</v>
      </c>
      <c r="O64" t="str">
        <f t="shared" si="2"/>
        <v>bar1,</v>
      </c>
      <c r="P64">
        <f t="shared" si="3"/>
        <v>8</v>
      </c>
    </row>
    <row r="65" spans="2:16" x14ac:dyDescent="0.3">
      <c r="B65" t="s">
        <v>207</v>
      </c>
      <c r="C65" t="s">
        <v>232</v>
      </c>
      <c r="D65" t="s">
        <v>209</v>
      </c>
      <c r="E65" t="s">
        <v>258</v>
      </c>
      <c r="F65" t="s">
        <v>211</v>
      </c>
      <c r="G65" t="s">
        <v>259</v>
      </c>
      <c r="H65" t="s">
        <v>213</v>
      </c>
      <c r="I65" t="s">
        <v>214</v>
      </c>
      <c r="J65">
        <v>10</v>
      </c>
      <c r="M65" t="str">
        <f t="shared" si="0"/>
        <v>RCU-R(2p)1,</v>
      </c>
      <c r="N65" t="str">
        <f t="shared" si="1"/>
        <v>R2,</v>
      </c>
      <c r="O65" t="str">
        <f t="shared" si="2"/>
        <v>bar1,</v>
      </c>
      <c r="P65">
        <f t="shared" si="3"/>
        <v>9</v>
      </c>
    </row>
    <row r="66" spans="2:16" x14ac:dyDescent="0.3">
      <c r="B66" t="s">
        <v>207</v>
      </c>
      <c r="C66" t="s">
        <v>233</v>
      </c>
      <c r="D66" t="s">
        <v>209</v>
      </c>
      <c r="E66" t="s">
        <v>258</v>
      </c>
      <c r="F66" t="s">
        <v>211</v>
      </c>
      <c r="G66" t="s">
        <v>259</v>
      </c>
      <c r="H66" t="s">
        <v>213</v>
      </c>
      <c r="I66" t="s">
        <v>214</v>
      </c>
      <c r="J66">
        <v>14</v>
      </c>
      <c r="M66" t="str">
        <f t="shared" si="0"/>
        <v>RCU-R(4p)4,</v>
      </c>
      <c r="N66" t="str">
        <f t="shared" si="1"/>
        <v>R2,</v>
      </c>
      <c r="O66" t="str">
        <f t="shared" si="2"/>
        <v>bar1,</v>
      </c>
      <c r="P66">
        <f t="shared" si="3"/>
        <v>10</v>
      </c>
    </row>
    <row r="67" spans="2:16" x14ac:dyDescent="0.3">
      <c r="B67" t="s">
        <v>207</v>
      </c>
      <c r="C67" t="s">
        <v>234</v>
      </c>
      <c r="D67" t="s">
        <v>209</v>
      </c>
      <c r="E67" t="s">
        <v>258</v>
      </c>
      <c r="F67" t="s">
        <v>211</v>
      </c>
      <c r="G67" t="s">
        <v>259</v>
      </c>
      <c r="H67" t="s">
        <v>213</v>
      </c>
      <c r="I67" t="s">
        <v>214</v>
      </c>
      <c r="J67">
        <v>15</v>
      </c>
      <c r="M67" t="str">
        <f t="shared" si="0"/>
        <v>RCU-R(2p)2,</v>
      </c>
      <c r="N67" t="str">
        <f t="shared" si="1"/>
        <v>R2,</v>
      </c>
      <c r="O67" t="str">
        <f t="shared" si="2"/>
        <v>bar1,</v>
      </c>
      <c r="P67">
        <f t="shared" si="3"/>
        <v>14</v>
      </c>
    </row>
    <row r="68" spans="2:16" x14ac:dyDescent="0.3">
      <c r="B68" t="s">
        <v>207</v>
      </c>
      <c r="C68" t="s">
        <v>235</v>
      </c>
      <c r="D68" t="s">
        <v>209</v>
      </c>
      <c r="E68" t="s">
        <v>258</v>
      </c>
      <c r="F68" t="s">
        <v>211</v>
      </c>
      <c r="G68" t="s">
        <v>259</v>
      </c>
      <c r="H68" t="s">
        <v>213</v>
      </c>
      <c r="I68" t="s">
        <v>214</v>
      </c>
      <c r="J68">
        <v>15</v>
      </c>
      <c r="M68" t="str">
        <f t="shared" ref="M68:M131" si="4">C67</f>
        <v>RCU-R(2p)3,</v>
      </c>
      <c r="N68" t="str">
        <f t="shared" ref="N68:N131" si="5">E67</f>
        <v>R2,</v>
      </c>
      <c r="O68" t="str">
        <f t="shared" ref="O68:O131" si="6">G67</f>
        <v>bar1,</v>
      </c>
      <c r="P68">
        <f t="shared" ref="P68:P131" si="7">J67</f>
        <v>15</v>
      </c>
    </row>
    <row r="69" spans="2:16" x14ac:dyDescent="0.3">
      <c r="B69" t="s">
        <v>207</v>
      </c>
      <c r="C69" t="s">
        <v>236</v>
      </c>
      <c r="D69" t="s">
        <v>209</v>
      </c>
      <c r="E69" t="s">
        <v>258</v>
      </c>
      <c r="F69" t="s">
        <v>211</v>
      </c>
      <c r="G69" t="s">
        <v>259</v>
      </c>
      <c r="H69" t="s">
        <v>213</v>
      </c>
      <c r="I69" t="s">
        <v>214</v>
      </c>
      <c r="J69">
        <v>15</v>
      </c>
      <c r="M69" t="str">
        <f t="shared" si="4"/>
        <v>RCU-R(2p)4,</v>
      </c>
      <c r="N69" t="str">
        <f t="shared" si="5"/>
        <v>R2,</v>
      </c>
      <c r="O69" t="str">
        <f t="shared" si="6"/>
        <v>bar1,</v>
      </c>
      <c r="P69">
        <f t="shared" si="7"/>
        <v>15</v>
      </c>
    </row>
    <row r="70" spans="2:16" x14ac:dyDescent="0.3">
      <c r="B70" t="s">
        <v>207</v>
      </c>
      <c r="C70" t="s">
        <v>237</v>
      </c>
      <c r="D70" t="s">
        <v>209</v>
      </c>
      <c r="E70" t="s">
        <v>258</v>
      </c>
      <c r="F70" t="s">
        <v>211</v>
      </c>
      <c r="G70" t="s">
        <v>259</v>
      </c>
      <c r="H70" t="s">
        <v>213</v>
      </c>
      <c r="I70" t="s">
        <v>214</v>
      </c>
      <c r="J70">
        <v>15</v>
      </c>
      <c r="M70" t="str">
        <f t="shared" si="4"/>
        <v>RCU-R(2p)5,</v>
      </c>
      <c r="N70" t="str">
        <f t="shared" si="5"/>
        <v>R2,</v>
      </c>
      <c r="O70" t="str">
        <f t="shared" si="6"/>
        <v>bar1,</v>
      </c>
      <c r="P70">
        <f t="shared" si="7"/>
        <v>15</v>
      </c>
    </row>
    <row r="71" spans="2:16" x14ac:dyDescent="0.3">
      <c r="B71" t="s">
        <v>207</v>
      </c>
      <c r="C71" t="s">
        <v>238</v>
      </c>
      <c r="D71" t="s">
        <v>209</v>
      </c>
      <c r="E71" t="s">
        <v>258</v>
      </c>
      <c r="F71" t="s">
        <v>211</v>
      </c>
      <c r="G71" t="s">
        <v>239</v>
      </c>
      <c r="H71" t="s">
        <v>213</v>
      </c>
      <c r="I71" t="s">
        <v>214</v>
      </c>
      <c r="J71">
        <v>0</v>
      </c>
      <c r="M71" t="str">
        <f t="shared" si="4"/>
        <v>RCU-R(2p)6,</v>
      </c>
      <c r="N71" t="str">
        <f t="shared" si="5"/>
        <v>R2,</v>
      </c>
      <c r="O71" t="str">
        <f t="shared" si="6"/>
        <v>bar1,</v>
      </c>
      <c r="P71">
        <f t="shared" si="7"/>
        <v>15</v>
      </c>
    </row>
    <row r="72" spans="2:16" x14ac:dyDescent="0.3">
      <c r="B72" t="s">
        <v>207</v>
      </c>
      <c r="C72" t="s">
        <v>240</v>
      </c>
      <c r="D72" t="s">
        <v>209</v>
      </c>
      <c r="E72" t="s">
        <v>258</v>
      </c>
      <c r="F72" t="s">
        <v>211</v>
      </c>
      <c r="G72" t="s">
        <v>239</v>
      </c>
      <c r="H72" t="s">
        <v>213</v>
      </c>
      <c r="I72" t="s">
        <v>214</v>
      </c>
      <c r="J72">
        <v>0</v>
      </c>
      <c r="M72" t="str">
        <f t="shared" si="4"/>
        <v>BEF-R01-,</v>
      </c>
      <c r="N72" t="str">
        <f t="shared" si="5"/>
        <v>R2,</v>
      </c>
      <c r="O72" t="str">
        <f t="shared" si="6"/>
        <v>None,</v>
      </c>
      <c r="P72">
        <f t="shared" si="7"/>
        <v>0</v>
      </c>
    </row>
    <row r="73" spans="2:16" x14ac:dyDescent="0.3">
      <c r="B73" t="s">
        <v>207</v>
      </c>
      <c r="C73" t="s">
        <v>241</v>
      </c>
      <c r="D73" t="s">
        <v>209</v>
      </c>
      <c r="E73" t="s">
        <v>258</v>
      </c>
      <c r="F73" t="s">
        <v>211</v>
      </c>
      <c r="G73" t="s">
        <v>259</v>
      </c>
      <c r="H73" t="s">
        <v>213</v>
      </c>
      <c r="I73" t="s">
        <v>214</v>
      </c>
      <c r="J73">
        <v>5</v>
      </c>
      <c r="M73" t="str">
        <f t="shared" si="4"/>
        <v>BEF-R02-,</v>
      </c>
      <c r="N73" t="str">
        <f t="shared" si="5"/>
        <v>R2,</v>
      </c>
      <c r="O73" t="str">
        <f t="shared" si="6"/>
        <v>None,</v>
      </c>
      <c r="P73">
        <f t="shared" si="7"/>
        <v>0</v>
      </c>
    </row>
    <row r="74" spans="2:16" x14ac:dyDescent="0.3">
      <c r="B74" t="s">
        <v>207</v>
      </c>
      <c r="C74" t="s">
        <v>242</v>
      </c>
      <c r="D74" t="s">
        <v>209</v>
      </c>
      <c r="E74" t="s">
        <v>258</v>
      </c>
      <c r="F74" t="s">
        <v>211</v>
      </c>
      <c r="G74" t="s">
        <v>259</v>
      </c>
      <c r="H74" t="s">
        <v>213</v>
      </c>
      <c r="I74" t="s">
        <v>214</v>
      </c>
      <c r="J74">
        <v>7</v>
      </c>
      <c r="M74" t="str">
        <f t="shared" si="4"/>
        <v>BEF-R03-,</v>
      </c>
      <c r="N74" t="str">
        <f t="shared" si="5"/>
        <v>R2,</v>
      </c>
      <c r="O74" t="str">
        <f t="shared" si="6"/>
        <v>bar1,</v>
      </c>
      <c r="P74">
        <f t="shared" si="7"/>
        <v>5</v>
      </c>
    </row>
    <row r="75" spans="2:16" x14ac:dyDescent="0.3">
      <c r="B75" t="s">
        <v>207</v>
      </c>
      <c r="C75" t="s">
        <v>243</v>
      </c>
      <c r="D75" t="s">
        <v>209</v>
      </c>
      <c r="E75" t="s">
        <v>258</v>
      </c>
      <c r="F75" t="s">
        <v>211</v>
      </c>
      <c r="G75" t="s">
        <v>239</v>
      </c>
      <c r="H75" t="s">
        <v>213</v>
      </c>
      <c r="I75" t="s">
        <v>214</v>
      </c>
      <c r="J75">
        <v>0</v>
      </c>
      <c r="M75" t="str">
        <f t="shared" si="4"/>
        <v>BEF-R04-,</v>
      </c>
      <c r="N75" t="str">
        <f t="shared" si="5"/>
        <v>R2,</v>
      </c>
      <c r="O75" t="str">
        <f t="shared" si="6"/>
        <v>bar1,</v>
      </c>
      <c r="P75">
        <f t="shared" si="7"/>
        <v>7</v>
      </c>
    </row>
    <row r="76" spans="2:16" x14ac:dyDescent="0.3">
      <c r="B76" t="s">
        <v>207</v>
      </c>
      <c r="C76" t="s">
        <v>244</v>
      </c>
      <c r="D76" t="s">
        <v>209</v>
      </c>
      <c r="E76" t="s">
        <v>258</v>
      </c>
      <c r="F76" t="s">
        <v>211</v>
      </c>
      <c r="G76" t="s">
        <v>239</v>
      </c>
      <c r="H76" t="s">
        <v>213</v>
      </c>
      <c r="I76" t="s">
        <v>214</v>
      </c>
      <c r="J76">
        <v>0</v>
      </c>
      <c r="M76" t="str">
        <f t="shared" si="4"/>
        <v>BEF-R05-,</v>
      </c>
      <c r="N76" t="str">
        <f t="shared" si="5"/>
        <v>R2,</v>
      </c>
      <c r="O76" t="str">
        <f t="shared" si="6"/>
        <v>None,</v>
      </c>
      <c r="P76">
        <f t="shared" si="7"/>
        <v>0</v>
      </c>
    </row>
    <row r="77" spans="2:16" x14ac:dyDescent="0.3">
      <c r="B77" t="s">
        <v>207</v>
      </c>
      <c r="C77" t="s">
        <v>245</v>
      </c>
      <c r="D77" t="s">
        <v>209</v>
      </c>
      <c r="E77" t="s">
        <v>258</v>
      </c>
      <c r="F77" t="s">
        <v>211</v>
      </c>
      <c r="G77" t="s">
        <v>239</v>
      </c>
      <c r="H77" t="s">
        <v>213</v>
      </c>
      <c r="I77" t="s">
        <v>214</v>
      </c>
      <c r="J77">
        <v>0</v>
      </c>
      <c r="M77" t="str">
        <f t="shared" si="4"/>
        <v>BEF-R06-,</v>
      </c>
      <c r="N77" t="str">
        <f t="shared" si="5"/>
        <v>R2,</v>
      </c>
      <c r="O77" t="str">
        <f t="shared" si="6"/>
        <v>None,</v>
      </c>
      <c r="P77">
        <f t="shared" si="7"/>
        <v>0</v>
      </c>
    </row>
    <row r="78" spans="2:16" x14ac:dyDescent="0.3">
      <c r="B78" t="s">
        <v>207</v>
      </c>
      <c r="C78" t="s">
        <v>246</v>
      </c>
      <c r="D78" t="s">
        <v>209</v>
      </c>
      <c r="E78" t="s">
        <v>258</v>
      </c>
      <c r="F78" t="s">
        <v>211</v>
      </c>
      <c r="G78" t="s">
        <v>218</v>
      </c>
      <c r="H78" t="s">
        <v>213</v>
      </c>
      <c r="I78" t="s">
        <v>214</v>
      </c>
      <c r="J78">
        <v>12</v>
      </c>
      <c r="M78" t="str">
        <f t="shared" si="4"/>
        <v>BEF-R07-,</v>
      </c>
      <c r="N78" t="str">
        <f t="shared" si="5"/>
        <v>R2,</v>
      </c>
      <c r="O78" t="str">
        <f t="shared" si="6"/>
        <v>None,</v>
      </c>
      <c r="P78">
        <f t="shared" si="7"/>
        <v>0</v>
      </c>
    </row>
    <row r="79" spans="2:16" x14ac:dyDescent="0.3">
      <c r="B79" t="s">
        <v>207</v>
      </c>
      <c r="C79" t="s">
        <v>247</v>
      </c>
      <c r="D79" t="s">
        <v>209</v>
      </c>
      <c r="E79" t="s">
        <v>258</v>
      </c>
      <c r="F79" t="s">
        <v>211</v>
      </c>
      <c r="G79" t="s">
        <v>218</v>
      </c>
      <c r="H79" t="s">
        <v>213</v>
      </c>
      <c r="I79" t="s">
        <v>214</v>
      </c>
      <c r="J79">
        <v>12</v>
      </c>
      <c r="M79" t="str">
        <f t="shared" si="4"/>
        <v>BEF-R08-,</v>
      </c>
      <c r="N79" t="str">
        <f t="shared" si="5"/>
        <v>R2,</v>
      </c>
      <c r="O79" t="str">
        <f t="shared" si="6"/>
        <v>bar2,</v>
      </c>
      <c r="P79">
        <f t="shared" si="7"/>
        <v>12</v>
      </c>
    </row>
    <row r="80" spans="2:16" x14ac:dyDescent="0.3">
      <c r="B80" t="s">
        <v>207</v>
      </c>
      <c r="C80" t="s">
        <v>248</v>
      </c>
      <c r="D80" t="s">
        <v>209</v>
      </c>
      <c r="E80" t="s">
        <v>258</v>
      </c>
      <c r="F80" t="s">
        <v>211</v>
      </c>
      <c r="G80" t="s">
        <v>218</v>
      </c>
      <c r="H80" t="s">
        <v>213</v>
      </c>
      <c r="I80" t="s">
        <v>214</v>
      </c>
      <c r="J80">
        <v>12</v>
      </c>
      <c r="M80" t="str">
        <f t="shared" si="4"/>
        <v>BEF-R09-,</v>
      </c>
      <c r="N80" t="str">
        <f t="shared" si="5"/>
        <v>R2,</v>
      </c>
      <c r="O80" t="str">
        <f t="shared" si="6"/>
        <v>bar2,</v>
      </c>
      <c r="P80">
        <f t="shared" si="7"/>
        <v>12</v>
      </c>
    </row>
    <row r="81" spans="2:16" x14ac:dyDescent="0.3">
      <c r="B81" t="s">
        <v>207</v>
      </c>
      <c r="C81" t="s">
        <v>249</v>
      </c>
      <c r="D81" t="s">
        <v>209</v>
      </c>
      <c r="E81" t="s">
        <v>258</v>
      </c>
      <c r="F81" t="s">
        <v>211</v>
      </c>
      <c r="G81" t="s">
        <v>218</v>
      </c>
      <c r="H81" t="s">
        <v>213</v>
      </c>
      <c r="I81" t="s">
        <v>214</v>
      </c>
      <c r="J81">
        <v>12</v>
      </c>
      <c r="M81" t="str">
        <f t="shared" si="4"/>
        <v>BEF-R10-,</v>
      </c>
      <c r="N81" t="str">
        <f t="shared" si="5"/>
        <v>R2,</v>
      </c>
      <c r="O81" t="str">
        <f t="shared" si="6"/>
        <v>bar2,</v>
      </c>
      <c r="P81">
        <f t="shared" si="7"/>
        <v>12</v>
      </c>
    </row>
    <row r="82" spans="2:16" x14ac:dyDescent="0.3">
      <c r="B82" t="s">
        <v>207</v>
      </c>
      <c r="C82" t="s">
        <v>250</v>
      </c>
      <c r="D82" t="s">
        <v>209</v>
      </c>
      <c r="E82" t="s">
        <v>258</v>
      </c>
      <c r="F82" t="s">
        <v>211</v>
      </c>
      <c r="G82" t="s">
        <v>259</v>
      </c>
      <c r="H82" t="s">
        <v>213</v>
      </c>
      <c r="I82" t="s">
        <v>214</v>
      </c>
      <c r="J82">
        <v>15</v>
      </c>
      <c r="M82" t="str">
        <f t="shared" si="4"/>
        <v>BEF-R11-,</v>
      </c>
      <c r="N82" t="str">
        <f t="shared" si="5"/>
        <v>R2,</v>
      </c>
      <c r="O82" t="str">
        <f t="shared" si="6"/>
        <v>bar2,</v>
      </c>
      <c r="P82">
        <f t="shared" si="7"/>
        <v>12</v>
      </c>
    </row>
    <row r="83" spans="2:16" x14ac:dyDescent="0.3">
      <c r="B83" t="s">
        <v>207</v>
      </c>
      <c r="C83" t="s">
        <v>251</v>
      </c>
      <c r="D83" t="s">
        <v>209</v>
      </c>
      <c r="E83" t="s">
        <v>258</v>
      </c>
      <c r="F83" t="s">
        <v>211</v>
      </c>
      <c r="G83" t="s">
        <v>259</v>
      </c>
      <c r="H83" t="s">
        <v>213</v>
      </c>
      <c r="I83" t="s">
        <v>214</v>
      </c>
      <c r="J83">
        <v>15</v>
      </c>
      <c r="M83" t="str">
        <f t="shared" si="4"/>
        <v>BEF-R12-,</v>
      </c>
      <c r="N83" t="str">
        <f t="shared" si="5"/>
        <v>R2,</v>
      </c>
      <c r="O83" t="str">
        <f t="shared" si="6"/>
        <v>bar1,</v>
      </c>
      <c r="P83">
        <f t="shared" si="7"/>
        <v>15</v>
      </c>
    </row>
    <row r="84" spans="2:16" x14ac:dyDescent="0.3">
      <c r="B84" t="s">
        <v>207</v>
      </c>
      <c r="C84" t="s">
        <v>252</v>
      </c>
      <c r="D84" t="s">
        <v>209</v>
      </c>
      <c r="E84" t="s">
        <v>258</v>
      </c>
      <c r="F84" t="s">
        <v>211</v>
      </c>
      <c r="G84" t="s">
        <v>259</v>
      </c>
      <c r="H84" t="s">
        <v>213</v>
      </c>
      <c r="I84" t="s">
        <v>214</v>
      </c>
      <c r="J84">
        <v>15</v>
      </c>
      <c r="M84" t="str">
        <f t="shared" si="4"/>
        <v>BEF-R13-,</v>
      </c>
      <c r="N84" t="str">
        <f t="shared" si="5"/>
        <v>R2,</v>
      </c>
      <c r="O84" t="str">
        <f t="shared" si="6"/>
        <v>bar1,</v>
      </c>
      <c r="P84">
        <f t="shared" si="7"/>
        <v>15</v>
      </c>
    </row>
    <row r="85" spans="2:16" x14ac:dyDescent="0.3">
      <c r="B85" t="s">
        <v>207</v>
      </c>
      <c r="C85" t="s">
        <v>254</v>
      </c>
      <c r="D85" t="s">
        <v>209</v>
      </c>
      <c r="E85" t="s">
        <v>258</v>
      </c>
      <c r="F85" t="s">
        <v>211</v>
      </c>
      <c r="G85" t="s">
        <v>216</v>
      </c>
      <c r="H85" t="s">
        <v>213</v>
      </c>
      <c r="I85" t="s">
        <v>214</v>
      </c>
      <c r="J85">
        <v>13</v>
      </c>
      <c r="M85" t="str">
        <f t="shared" si="4"/>
        <v>BEF-R14-,</v>
      </c>
      <c r="N85" t="str">
        <f t="shared" si="5"/>
        <v>R2,</v>
      </c>
      <c r="O85" t="str">
        <f t="shared" si="6"/>
        <v>bar1,</v>
      </c>
      <c r="P85">
        <f t="shared" si="7"/>
        <v>15</v>
      </c>
    </row>
    <row r="86" spans="2:16" x14ac:dyDescent="0.3">
      <c r="B86" t="s">
        <v>207</v>
      </c>
      <c r="C86" t="s">
        <v>255</v>
      </c>
      <c r="D86" t="s">
        <v>209</v>
      </c>
      <c r="E86" t="s">
        <v>258</v>
      </c>
      <c r="F86" t="s">
        <v>211</v>
      </c>
      <c r="G86" t="s">
        <v>259</v>
      </c>
      <c r="H86" t="s">
        <v>213</v>
      </c>
      <c r="I86" t="s">
        <v>214</v>
      </c>
      <c r="J86">
        <v>14</v>
      </c>
      <c r="M86" t="str">
        <f t="shared" si="4"/>
        <v>BEF-R15-,</v>
      </c>
      <c r="N86" t="str">
        <f t="shared" si="5"/>
        <v>R2,</v>
      </c>
      <c r="O86" t="str">
        <f t="shared" si="6"/>
        <v>bar21,</v>
      </c>
      <c r="P86">
        <f t="shared" si="7"/>
        <v>13</v>
      </c>
    </row>
    <row r="87" spans="2:16" x14ac:dyDescent="0.3">
      <c r="B87" t="s">
        <v>201</v>
      </c>
      <c r="C87" t="s">
        <v>172</v>
      </c>
      <c r="D87" t="s">
        <v>202</v>
      </c>
      <c r="E87" t="s">
        <v>260</v>
      </c>
      <c r="F87" t="s">
        <v>204</v>
      </c>
      <c r="G87" t="s">
        <v>261</v>
      </c>
      <c r="H87" t="s">
        <v>206</v>
      </c>
      <c r="I87">
        <v>60</v>
      </c>
      <c r="M87" t="str">
        <f t="shared" si="4"/>
        <v>BEF-R16-,</v>
      </c>
      <c r="N87" t="str">
        <f t="shared" si="5"/>
        <v>R2,</v>
      </c>
      <c r="O87" t="str">
        <f t="shared" si="6"/>
        <v>bar1,</v>
      </c>
      <c r="P87">
        <f t="shared" si="7"/>
        <v>14</v>
      </c>
    </row>
    <row r="88" spans="2:16" x14ac:dyDescent="0.3">
      <c r="B88" t="s">
        <v>207</v>
      </c>
      <c r="C88" t="s">
        <v>208</v>
      </c>
      <c r="D88" t="s">
        <v>209</v>
      </c>
      <c r="E88" t="s">
        <v>262</v>
      </c>
      <c r="F88" t="s">
        <v>211</v>
      </c>
      <c r="G88" t="s">
        <v>263</v>
      </c>
      <c r="H88" t="s">
        <v>213</v>
      </c>
      <c r="I88" t="s">
        <v>214</v>
      </c>
      <c r="J88">
        <v>11</v>
      </c>
      <c r="M88" s="77" t="str">
        <f t="shared" si="4"/>
        <v>R3</v>
      </c>
      <c r="N88" t="str">
        <f t="shared" si="5"/>
        <v>217.01,</v>
      </c>
      <c r="O88" t="str">
        <f t="shared" si="6"/>
        <v>22.5,</v>
      </c>
      <c r="P88">
        <f t="shared" si="7"/>
        <v>0</v>
      </c>
    </row>
    <row r="89" spans="2:16" x14ac:dyDescent="0.3">
      <c r="B89" t="s">
        <v>207</v>
      </c>
      <c r="C89" t="s">
        <v>215</v>
      </c>
      <c r="D89" t="s">
        <v>209</v>
      </c>
      <c r="E89" t="s">
        <v>262</v>
      </c>
      <c r="F89" t="s">
        <v>211</v>
      </c>
      <c r="G89" t="s">
        <v>264</v>
      </c>
      <c r="H89" t="s">
        <v>213</v>
      </c>
      <c r="I89" t="s">
        <v>214</v>
      </c>
      <c r="J89">
        <v>15</v>
      </c>
      <c r="M89" t="str">
        <f t="shared" si="4"/>
        <v>MAU-R1,</v>
      </c>
      <c r="N89" t="str">
        <f t="shared" si="5"/>
        <v>R3,</v>
      </c>
      <c r="O89" t="str">
        <f t="shared" si="6"/>
        <v>bar3,</v>
      </c>
      <c r="P89">
        <f t="shared" si="7"/>
        <v>11</v>
      </c>
    </row>
    <row r="90" spans="2:16" x14ac:dyDescent="0.3">
      <c r="B90" t="s">
        <v>207</v>
      </c>
      <c r="C90" t="s">
        <v>217</v>
      </c>
      <c r="D90" t="s">
        <v>209</v>
      </c>
      <c r="E90" t="s">
        <v>262</v>
      </c>
      <c r="F90" t="s">
        <v>211</v>
      </c>
      <c r="G90" t="s">
        <v>265</v>
      </c>
      <c r="H90" t="s">
        <v>213</v>
      </c>
      <c r="I90" t="s">
        <v>214</v>
      </c>
      <c r="J90">
        <v>11</v>
      </c>
      <c r="M90" t="str">
        <f t="shared" si="4"/>
        <v>ERV-R.1,</v>
      </c>
      <c r="N90" t="str">
        <f t="shared" si="5"/>
        <v>R3,</v>
      </c>
      <c r="O90" t="str">
        <f t="shared" si="6"/>
        <v>bar4,</v>
      </c>
      <c r="P90">
        <f t="shared" si="7"/>
        <v>15</v>
      </c>
    </row>
    <row r="91" spans="2:16" x14ac:dyDescent="0.3">
      <c r="B91" t="s">
        <v>207</v>
      </c>
      <c r="C91" t="s">
        <v>219</v>
      </c>
      <c r="D91" t="s">
        <v>209</v>
      </c>
      <c r="E91" t="s">
        <v>262</v>
      </c>
      <c r="F91" t="s">
        <v>211</v>
      </c>
      <c r="G91" t="s">
        <v>265</v>
      </c>
      <c r="H91" t="s">
        <v>213</v>
      </c>
      <c r="I91" t="s">
        <v>214</v>
      </c>
      <c r="J91">
        <v>16</v>
      </c>
      <c r="M91" t="str">
        <f t="shared" si="4"/>
        <v>GEF-R1-,</v>
      </c>
      <c r="N91" t="str">
        <f t="shared" si="5"/>
        <v>R3,</v>
      </c>
      <c r="O91" t="str">
        <f t="shared" si="6"/>
        <v>bar5,</v>
      </c>
      <c r="P91">
        <f t="shared" si="7"/>
        <v>11</v>
      </c>
    </row>
    <row r="92" spans="2:16" x14ac:dyDescent="0.3">
      <c r="B92" t="s">
        <v>207</v>
      </c>
      <c r="C92" t="s">
        <v>220</v>
      </c>
      <c r="D92" t="s">
        <v>209</v>
      </c>
      <c r="E92" t="s">
        <v>262</v>
      </c>
      <c r="F92" t="s">
        <v>211</v>
      </c>
      <c r="G92" t="s">
        <v>263</v>
      </c>
      <c r="H92" t="s">
        <v>213</v>
      </c>
      <c r="I92" t="s">
        <v>214</v>
      </c>
      <c r="J92">
        <v>10</v>
      </c>
      <c r="M92" t="str">
        <f t="shared" si="4"/>
        <v>DEF-R1,-R2,</v>
      </c>
      <c r="N92" t="str">
        <f t="shared" si="5"/>
        <v>R3,</v>
      </c>
      <c r="O92" t="str">
        <f t="shared" si="6"/>
        <v>bar5,</v>
      </c>
      <c r="P92">
        <f t="shared" si="7"/>
        <v>16</v>
      </c>
    </row>
    <row r="93" spans="2:16" x14ac:dyDescent="0.3">
      <c r="B93" t="s">
        <v>207</v>
      </c>
      <c r="C93" t="s">
        <v>222</v>
      </c>
      <c r="D93" t="s">
        <v>209</v>
      </c>
      <c r="E93" t="s">
        <v>262</v>
      </c>
      <c r="F93" t="s">
        <v>211</v>
      </c>
      <c r="G93" t="s">
        <v>263</v>
      </c>
      <c r="H93" t="s">
        <v>213</v>
      </c>
      <c r="I93" t="s">
        <v>214</v>
      </c>
      <c r="J93">
        <v>11</v>
      </c>
      <c r="M93" t="str">
        <f t="shared" si="4"/>
        <v>KEF-R1-,</v>
      </c>
      <c r="N93" t="str">
        <f t="shared" si="5"/>
        <v>R3,</v>
      </c>
      <c r="O93" t="str">
        <f t="shared" si="6"/>
        <v>bar3,</v>
      </c>
      <c r="P93">
        <f t="shared" si="7"/>
        <v>10</v>
      </c>
    </row>
    <row r="94" spans="2:16" x14ac:dyDescent="0.3">
      <c r="B94" t="s">
        <v>207</v>
      </c>
      <c r="C94" t="s">
        <v>223</v>
      </c>
      <c r="D94" t="s">
        <v>209</v>
      </c>
      <c r="E94" t="s">
        <v>262</v>
      </c>
      <c r="F94" t="s">
        <v>211</v>
      </c>
      <c r="G94" t="s">
        <v>263</v>
      </c>
      <c r="H94" t="s">
        <v>213</v>
      </c>
      <c r="I94" t="s">
        <v>214</v>
      </c>
      <c r="J94">
        <v>11</v>
      </c>
      <c r="M94" t="str">
        <f t="shared" si="4"/>
        <v>DWEF-R1,</v>
      </c>
      <c r="N94" t="str">
        <f t="shared" si="5"/>
        <v>R3,</v>
      </c>
      <c r="O94" t="str">
        <f t="shared" si="6"/>
        <v>bar3,</v>
      </c>
      <c r="P94">
        <f t="shared" si="7"/>
        <v>11</v>
      </c>
    </row>
    <row r="95" spans="2:16" x14ac:dyDescent="0.3">
      <c r="B95" t="s">
        <v>207</v>
      </c>
      <c r="C95" t="s">
        <v>224</v>
      </c>
      <c r="D95" t="s">
        <v>209</v>
      </c>
      <c r="E95" t="s">
        <v>262</v>
      </c>
      <c r="F95" t="s">
        <v>211</v>
      </c>
      <c r="G95" t="s">
        <v>263</v>
      </c>
      <c r="H95" t="s">
        <v>213</v>
      </c>
      <c r="I95" t="s">
        <v>214</v>
      </c>
      <c r="J95">
        <v>11</v>
      </c>
      <c r="M95" t="str">
        <f t="shared" si="4"/>
        <v>CU-R1,</v>
      </c>
      <c r="N95" t="str">
        <f t="shared" si="5"/>
        <v>R3,</v>
      </c>
      <c r="O95" t="str">
        <f t="shared" si="6"/>
        <v>bar3,</v>
      </c>
      <c r="P95">
        <f t="shared" si="7"/>
        <v>11</v>
      </c>
    </row>
    <row r="96" spans="2:16" x14ac:dyDescent="0.3">
      <c r="B96" t="s">
        <v>207</v>
      </c>
      <c r="C96" t="s">
        <v>225</v>
      </c>
      <c r="D96" t="s">
        <v>209</v>
      </c>
      <c r="E96" t="s">
        <v>262</v>
      </c>
      <c r="F96" t="s">
        <v>211</v>
      </c>
      <c r="G96" t="s">
        <v>263</v>
      </c>
      <c r="H96" t="s">
        <v>213</v>
      </c>
      <c r="I96" t="s">
        <v>214</v>
      </c>
      <c r="J96">
        <v>12</v>
      </c>
      <c r="M96" t="str">
        <f t="shared" si="4"/>
        <v>CU-R2,</v>
      </c>
      <c r="N96" t="str">
        <f t="shared" si="5"/>
        <v>R3,</v>
      </c>
      <c r="O96" t="str">
        <f t="shared" si="6"/>
        <v>bar3,</v>
      </c>
      <c r="P96">
        <f t="shared" si="7"/>
        <v>11</v>
      </c>
    </row>
    <row r="97" spans="2:16" x14ac:dyDescent="0.3">
      <c r="B97" t="s">
        <v>207</v>
      </c>
      <c r="C97" t="s">
        <v>226</v>
      </c>
      <c r="D97" t="s">
        <v>209</v>
      </c>
      <c r="E97" t="s">
        <v>262</v>
      </c>
      <c r="F97" t="s">
        <v>211</v>
      </c>
      <c r="G97" t="s">
        <v>263</v>
      </c>
      <c r="H97" t="s">
        <v>213</v>
      </c>
      <c r="I97" t="s">
        <v>214</v>
      </c>
      <c r="J97">
        <v>11</v>
      </c>
      <c r="M97" t="str">
        <f t="shared" si="4"/>
        <v>CU-R4,</v>
      </c>
      <c r="N97" t="str">
        <f t="shared" si="5"/>
        <v>R3,</v>
      </c>
      <c r="O97" t="str">
        <f t="shared" si="6"/>
        <v>bar3,</v>
      </c>
      <c r="P97">
        <f t="shared" si="7"/>
        <v>12</v>
      </c>
    </row>
    <row r="98" spans="2:16" x14ac:dyDescent="0.3">
      <c r="B98" t="s">
        <v>207</v>
      </c>
      <c r="C98" t="s">
        <v>227</v>
      </c>
      <c r="D98" t="s">
        <v>209</v>
      </c>
      <c r="E98" t="s">
        <v>262</v>
      </c>
      <c r="F98" t="s">
        <v>211</v>
      </c>
      <c r="G98" t="s">
        <v>265</v>
      </c>
      <c r="H98" t="s">
        <v>213</v>
      </c>
      <c r="I98" t="s">
        <v>214</v>
      </c>
      <c r="J98">
        <v>12</v>
      </c>
      <c r="M98" t="str">
        <f t="shared" si="4"/>
        <v>CU-R5,</v>
      </c>
      <c r="N98" t="str">
        <f t="shared" si="5"/>
        <v>R3,</v>
      </c>
      <c r="O98" t="str">
        <f t="shared" si="6"/>
        <v>bar3,</v>
      </c>
      <c r="P98">
        <f t="shared" si="7"/>
        <v>11</v>
      </c>
    </row>
    <row r="99" spans="2:16" x14ac:dyDescent="0.3">
      <c r="B99" t="s">
        <v>207</v>
      </c>
      <c r="C99" t="s">
        <v>228</v>
      </c>
      <c r="D99" t="s">
        <v>209</v>
      </c>
      <c r="E99" t="s">
        <v>262</v>
      </c>
      <c r="F99" t="s">
        <v>211</v>
      </c>
      <c r="G99" t="s">
        <v>265</v>
      </c>
      <c r="H99" t="s">
        <v>213</v>
      </c>
      <c r="I99" t="s">
        <v>214</v>
      </c>
      <c r="J99">
        <v>15</v>
      </c>
      <c r="M99" t="str">
        <f t="shared" si="4"/>
        <v>RCU-R(4p)1,</v>
      </c>
      <c r="N99" t="str">
        <f t="shared" si="5"/>
        <v>R3,</v>
      </c>
      <c r="O99" t="str">
        <f t="shared" si="6"/>
        <v>bar5,</v>
      </c>
      <c r="P99">
        <f t="shared" si="7"/>
        <v>12</v>
      </c>
    </row>
    <row r="100" spans="2:16" x14ac:dyDescent="0.3">
      <c r="B100" t="s">
        <v>207</v>
      </c>
      <c r="C100" t="s">
        <v>229</v>
      </c>
      <c r="D100" t="s">
        <v>209</v>
      </c>
      <c r="E100" t="s">
        <v>262</v>
      </c>
      <c r="F100" t="s">
        <v>211</v>
      </c>
      <c r="G100" t="s">
        <v>263</v>
      </c>
      <c r="H100" t="s">
        <v>213</v>
      </c>
      <c r="I100" t="s">
        <v>214</v>
      </c>
      <c r="J100">
        <v>12</v>
      </c>
      <c r="M100" t="str">
        <f t="shared" si="4"/>
        <v>RCU-R(4p)2,</v>
      </c>
      <c r="N100" t="str">
        <f t="shared" si="5"/>
        <v>R3,</v>
      </c>
      <c r="O100" t="str">
        <f t="shared" si="6"/>
        <v>bar5,</v>
      </c>
      <c r="P100">
        <f t="shared" si="7"/>
        <v>15</v>
      </c>
    </row>
    <row r="101" spans="2:16" x14ac:dyDescent="0.3">
      <c r="B101" t="s">
        <v>207</v>
      </c>
      <c r="C101" t="s">
        <v>230</v>
      </c>
      <c r="D101" t="s">
        <v>209</v>
      </c>
      <c r="E101" t="s">
        <v>262</v>
      </c>
      <c r="F101" t="s">
        <v>211</v>
      </c>
      <c r="G101" t="s">
        <v>263</v>
      </c>
      <c r="H101" t="s">
        <v>213</v>
      </c>
      <c r="I101" t="s">
        <v>214</v>
      </c>
      <c r="J101">
        <v>12</v>
      </c>
      <c r="M101" t="str">
        <f t="shared" si="4"/>
        <v>RCU-R(4p)3,</v>
      </c>
      <c r="N101" t="str">
        <f t="shared" si="5"/>
        <v>R3,</v>
      </c>
      <c r="O101" t="str">
        <f t="shared" si="6"/>
        <v>bar3,</v>
      </c>
      <c r="P101">
        <f t="shared" si="7"/>
        <v>12</v>
      </c>
    </row>
    <row r="102" spans="2:16" x14ac:dyDescent="0.3">
      <c r="B102" t="s">
        <v>207</v>
      </c>
      <c r="C102" t="s">
        <v>231</v>
      </c>
      <c r="D102" t="s">
        <v>209</v>
      </c>
      <c r="E102" t="s">
        <v>262</v>
      </c>
      <c r="F102" t="s">
        <v>211</v>
      </c>
      <c r="G102" t="s">
        <v>263</v>
      </c>
      <c r="H102" t="s">
        <v>213</v>
      </c>
      <c r="I102" t="s">
        <v>214</v>
      </c>
      <c r="J102">
        <v>11</v>
      </c>
      <c r="M102" t="str">
        <f t="shared" si="4"/>
        <v>RCU-R(2p),</v>
      </c>
      <c r="N102" t="str">
        <f t="shared" si="5"/>
        <v>R3,</v>
      </c>
      <c r="O102" t="str">
        <f t="shared" si="6"/>
        <v>bar3,</v>
      </c>
      <c r="P102">
        <f t="shared" si="7"/>
        <v>12</v>
      </c>
    </row>
    <row r="103" spans="2:16" x14ac:dyDescent="0.3">
      <c r="B103" t="s">
        <v>207</v>
      </c>
      <c r="C103" t="s">
        <v>232</v>
      </c>
      <c r="D103" t="s">
        <v>209</v>
      </c>
      <c r="E103" t="s">
        <v>262</v>
      </c>
      <c r="F103" t="s">
        <v>211</v>
      </c>
      <c r="G103" t="s">
        <v>263</v>
      </c>
      <c r="H103" t="s">
        <v>213</v>
      </c>
      <c r="I103" t="s">
        <v>214</v>
      </c>
      <c r="J103">
        <v>10</v>
      </c>
      <c r="M103" t="str">
        <f t="shared" si="4"/>
        <v>RCU-R(2p)1,</v>
      </c>
      <c r="N103" t="str">
        <f t="shared" si="5"/>
        <v>R3,</v>
      </c>
      <c r="O103" t="str">
        <f t="shared" si="6"/>
        <v>bar3,</v>
      </c>
      <c r="P103">
        <f t="shared" si="7"/>
        <v>11</v>
      </c>
    </row>
    <row r="104" spans="2:16" x14ac:dyDescent="0.3">
      <c r="B104" t="s">
        <v>207</v>
      </c>
      <c r="C104" t="s">
        <v>233</v>
      </c>
      <c r="D104" t="s">
        <v>209</v>
      </c>
      <c r="E104" t="s">
        <v>262</v>
      </c>
      <c r="F104" t="s">
        <v>211</v>
      </c>
      <c r="G104" t="s">
        <v>263</v>
      </c>
      <c r="H104" t="s">
        <v>213</v>
      </c>
      <c r="I104" t="s">
        <v>214</v>
      </c>
      <c r="J104">
        <v>11</v>
      </c>
      <c r="M104" t="str">
        <f t="shared" si="4"/>
        <v>RCU-R(4p)4,</v>
      </c>
      <c r="N104" t="str">
        <f t="shared" si="5"/>
        <v>R3,</v>
      </c>
      <c r="O104" t="str">
        <f t="shared" si="6"/>
        <v>bar3,</v>
      </c>
      <c r="P104">
        <f t="shared" si="7"/>
        <v>10</v>
      </c>
    </row>
    <row r="105" spans="2:16" x14ac:dyDescent="0.3">
      <c r="B105" t="s">
        <v>207</v>
      </c>
      <c r="C105" t="s">
        <v>234</v>
      </c>
      <c r="D105" t="s">
        <v>209</v>
      </c>
      <c r="E105" t="s">
        <v>262</v>
      </c>
      <c r="F105" t="s">
        <v>211</v>
      </c>
      <c r="G105" t="s">
        <v>263</v>
      </c>
      <c r="H105" t="s">
        <v>213</v>
      </c>
      <c r="I105" t="s">
        <v>214</v>
      </c>
      <c r="J105">
        <v>12</v>
      </c>
      <c r="M105" t="str">
        <f t="shared" si="4"/>
        <v>RCU-R(2p)2,</v>
      </c>
      <c r="N105" t="str">
        <f t="shared" si="5"/>
        <v>R3,</v>
      </c>
      <c r="O105" t="str">
        <f t="shared" si="6"/>
        <v>bar3,</v>
      </c>
      <c r="P105">
        <f t="shared" si="7"/>
        <v>11</v>
      </c>
    </row>
    <row r="106" spans="2:16" x14ac:dyDescent="0.3">
      <c r="B106" t="s">
        <v>207</v>
      </c>
      <c r="C106" t="s">
        <v>235</v>
      </c>
      <c r="D106" t="s">
        <v>209</v>
      </c>
      <c r="E106" t="s">
        <v>262</v>
      </c>
      <c r="F106" t="s">
        <v>211</v>
      </c>
      <c r="G106" t="s">
        <v>263</v>
      </c>
      <c r="H106" t="s">
        <v>213</v>
      </c>
      <c r="I106" t="s">
        <v>214</v>
      </c>
      <c r="J106">
        <v>12</v>
      </c>
      <c r="M106" t="str">
        <f t="shared" si="4"/>
        <v>RCU-R(2p)3,</v>
      </c>
      <c r="N106" t="str">
        <f t="shared" si="5"/>
        <v>R3,</v>
      </c>
      <c r="O106" t="str">
        <f t="shared" si="6"/>
        <v>bar3,</v>
      </c>
      <c r="P106">
        <f t="shared" si="7"/>
        <v>12</v>
      </c>
    </row>
    <row r="107" spans="2:16" x14ac:dyDescent="0.3">
      <c r="B107" t="s">
        <v>207</v>
      </c>
      <c r="C107" t="s">
        <v>236</v>
      </c>
      <c r="D107" t="s">
        <v>209</v>
      </c>
      <c r="E107" t="s">
        <v>262</v>
      </c>
      <c r="F107" t="s">
        <v>211</v>
      </c>
      <c r="G107" t="s">
        <v>263</v>
      </c>
      <c r="H107" t="s">
        <v>213</v>
      </c>
      <c r="I107" t="s">
        <v>214</v>
      </c>
      <c r="J107">
        <v>12</v>
      </c>
      <c r="M107" t="str">
        <f t="shared" si="4"/>
        <v>RCU-R(2p)4,</v>
      </c>
      <c r="N107" t="str">
        <f t="shared" si="5"/>
        <v>R3,</v>
      </c>
      <c r="O107" t="str">
        <f t="shared" si="6"/>
        <v>bar3,</v>
      </c>
      <c r="P107">
        <f t="shared" si="7"/>
        <v>12</v>
      </c>
    </row>
    <row r="108" spans="2:16" x14ac:dyDescent="0.3">
      <c r="B108" t="s">
        <v>207</v>
      </c>
      <c r="C108" t="s">
        <v>237</v>
      </c>
      <c r="D108" t="s">
        <v>209</v>
      </c>
      <c r="E108" t="s">
        <v>262</v>
      </c>
      <c r="F108" t="s">
        <v>211</v>
      </c>
      <c r="G108" t="s">
        <v>264</v>
      </c>
      <c r="H108" t="s">
        <v>213</v>
      </c>
      <c r="I108" t="s">
        <v>214</v>
      </c>
      <c r="J108">
        <v>15</v>
      </c>
      <c r="M108" t="str">
        <f t="shared" si="4"/>
        <v>RCU-R(2p)5,</v>
      </c>
      <c r="N108" t="str">
        <f t="shared" si="5"/>
        <v>R3,</v>
      </c>
      <c r="O108" t="str">
        <f t="shared" si="6"/>
        <v>bar3,</v>
      </c>
      <c r="P108">
        <f t="shared" si="7"/>
        <v>12</v>
      </c>
    </row>
    <row r="109" spans="2:16" x14ac:dyDescent="0.3">
      <c r="B109" t="s">
        <v>207</v>
      </c>
      <c r="C109" t="s">
        <v>238</v>
      </c>
      <c r="D109" t="s">
        <v>209</v>
      </c>
      <c r="E109" t="s">
        <v>262</v>
      </c>
      <c r="F109" t="s">
        <v>211</v>
      </c>
      <c r="G109" t="s">
        <v>239</v>
      </c>
      <c r="H109" t="s">
        <v>213</v>
      </c>
      <c r="I109" t="s">
        <v>214</v>
      </c>
      <c r="J109">
        <v>0</v>
      </c>
      <c r="M109" t="str">
        <f t="shared" si="4"/>
        <v>RCU-R(2p)6,</v>
      </c>
      <c r="N109" t="str">
        <f t="shared" si="5"/>
        <v>R3,</v>
      </c>
      <c r="O109" t="str">
        <f t="shared" si="6"/>
        <v>bar4,</v>
      </c>
      <c r="P109">
        <f t="shared" si="7"/>
        <v>15</v>
      </c>
    </row>
    <row r="110" spans="2:16" x14ac:dyDescent="0.3">
      <c r="B110" t="s">
        <v>207</v>
      </c>
      <c r="C110" t="s">
        <v>240</v>
      </c>
      <c r="D110" t="s">
        <v>209</v>
      </c>
      <c r="E110" t="s">
        <v>262</v>
      </c>
      <c r="F110" t="s">
        <v>211</v>
      </c>
      <c r="G110" t="s">
        <v>218</v>
      </c>
      <c r="H110" t="s">
        <v>213</v>
      </c>
      <c r="I110" t="s">
        <v>214</v>
      </c>
      <c r="J110">
        <v>10</v>
      </c>
      <c r="M110" t="str">
        <f t="shared" si="4"/>
        <v>BEF-R01-,</v>
      </c>
      <c r="N110" t="str">
        <f t="shared" si="5"/>
        <v>R3,</v>
      </c>
      <c r="O110" t="str">
        <f t="shared" si="6"/>
        <v>None,</v>
      </c>
      <c r="P110">
        <f t="shared" si="7"/>
        <v>0</v>
      </c>
    </row>
    <row r="111" spans="2:16" x14ac:dyDescent="0.3">
      <c r="B111" t="s">
        <v>207</v>
      </c>
      <c r="C111" t="s">
        <v>241</v>
      </c>
      <c r="D111" t="s">
        <v>209</v>
      </c>
      <c r="E111" t="s">
        <v>262</v>
      </c>
      <c r="F111" t="s">
        <v>211</v>
      </c>
      <c r="G111" t="s">
        <v>263</v>
      </c>
      <c r="H111" t="s">
        <v>213</v>
      </c>
      <c r="I111" t="s">
        <v>214</v>
      </c>
      <c r="J111">
        <v>11</v>
      </c>
      <c r="M111" t="str">
        <f t="shared" si="4"/>
        <v>BEF-R02-,</v>
      </c>
      <c r="N111" t="str">
        <f t="shared" si="5"/>
        <v>R3,</v>
      </c>
      <c r="O111" t="str">
        <f t="shared" si="6"/>
        <v>bar2,</v>
      </c>
      <c r="P111">
        <f t="shared" si="7"/>
        <v>10</v>
      </c>
    </row>
    <row r="112" spans="2:16" x14ac:dyDescent="0.3">
      <c r="B112" t="s">
        <v>207</v>
      </c>
      <c r="C112" t="s">
        <v>242</v>
      </c>
      <c r="D112" t="s">
        <v>209</v>
      </c>
      <c r="E112" t="s">
        <v>262</v>
      </c>
      <c r="F112" t="s">
        <v>211</v>
      </c>
      <c r="G112" t="s">
        <v>263</v>
      </c>
      <c r="H112" t="s">
        <v>213</v>
      </c>
      <c r="I112" t="s">
        <v>214</v>
      </c>
      <c r="J112">
        <v>11</v>
      </c>
      <c r="M112" t="str">
        <f t="shared" si="4"/>
        <v>BEF-R03-,</v>
      </c>
      <c r="N112" t="str">
        <f t="shared" si="5"/>
        <v>R3,</v>
      </c>
      <c r="O112" t="str">
        <f t="shared" si="6"/>
        <v>bar3,</v>
      </c>
      <c r="P112">
        <f t="shared" si="7"/>
        <v>11</v>
      </c>
    </row>
    <row r="113" spans="2:16" x14ac:dyDescent="0.3">
      <c r="B113" t="s">
        <v>207</v>
      </c>
      <c r="C113" t="s">
        <v>243</v>
      </c>
      <c r="D113" t="s">
        <v>209</v>
      </c>
      <c r="E113" t="s">
        <v>262</v>
      </c>
      <c r="F113" t="s">
        <v>211</v>
      </c>
      <c r="G113" t="s">
        <v>263</v>
      </c>
      <c r="H113" t="s">
        <v>213</v>
      </c>
      <c r="I113" t="s">
        <v>214</v>
      </c>
      <c r="J113">
        <v>11</v>
      </c>
      <c r="M113" t="str">
        <f t="shared" si="4"/>
        <v>BEF-R04-,</v>
      </c>
      <c r="N113" t="str">
        <f t="shared" si="5"/>
        <v>R3,</v>
      </c>
      <c r="O113" t="str">
        <f t="shared" si="6"/>
        <v>bar3,</v>
      </c>
      <c r="P113">
        <f t="shared" si="7"/>
        <v>11</v>
      </c>
    </row>
    <row r="114" spans="2:16" x14ac:dyDescent="0.3">
      <c r="B114" t="s">
        <v>207</v>
      </c>
      <c r="C114" t="s">
        <v>244</v>
      </c>
      <c r="D114" t="s">
        <v>209</v>
      </c>
      <c r="E114" t="s">
        <v>262</v>
      </c>
      <c r="F114" t="s">
        <v>211</v>
      </c>
      <c r="G114" t="s">
        <v>263</v>
      </c>
      <c r="H114" t="s">
        <v>213</v>
      </c>
      <c r="I114" t="s">
        <v>214</v>
      </c>
      <c r="J114">
        <v>7</v>
      </c>
      <c r="M114" t="str">
        <f t="shared" si="4"/>
        <v>BEF-R05-,</v>
      </c>
      <c r="N114" t="str">
        <f t="shared" si="5"/>
        <v>R3,</v>
      </c>
      <c r="O114" t="str">
        <f t="shared" si="6"/>
        <v>bar3,</v>
      </c>
      <c r="P114">
        <f t="shared" si="7"/>
        <v>11</v>
      </c>
    </row>
    <row r="115" spans="2:16" x14ac:dyDescent="0.3">
      <c r="B115" t="s">
        <v>207</v>
      </c>
      <c r="C115" t="s">
        <v>245</v>
      </c>
      <c r="D115" t="s">
        <v>209</v>
      </c>
      <c r="E115" t="s">
        <v>262</v>
      </c>
      <c r="F115" t="s">
        <v>211</v>
      </c>
      <c r="G115" t="s">
        <v>239</v>
      </c>
      <c r="H115" t="s">
        <v>213</v>
      </c>
      <c r="I115" t="s">
        <v>214</v>
      </c>
      <c r="J115">
        <v>0</v>
      </c>
      <c r="M115" t="str">
        <f t="shared" si="4"/>
        <v>BEF-R06-,</v>
      </c>
      <c r="N115" t="str">
        <f t="shared" si="5"/>
        <v>R3,</v>
      </c>
      <c r="O115" t="str">
        <f t="shared" si="6"/>
        <v>bar3,</v>
      </c>
      <c r="P115">
        <f t="shared" si="7"/>
        <v>7</v>
      </c>
    </row>
    <row r="116" spans="2:16" x14ac:dyDescent="0.3">
      <c r="B116" t="s">
        <v>207</v>
      </c>
      <c r="C116" t="s">
        <v>246</v>
      </c>
      <c r="D116" t="s">
        <v>209</v>
      </c>
      <c r="E116" t="s">
        <v>262</v>
      </c>
      <c r="F116" t="s">
        <v>211</v>
      </c>
      <c r="G116" t="s">
        <v>265</v>
      </c>
      <c r="H116" t="s">
        <v>213</v>
      </c>
      <c r="I116" t="s">
        <v>214</v>
      </c>
      <c r="J116">
        <v>8</v>
      </c>
      <c r="M116" t="str">
        <f t="shared" si="4"/>
        <v>BEF-R07-,</v>
      </c>
      <c r="N116" t="str">
        <f t="shared" si="5"/>
        <v>R3,</v>
      </c>
      <c r="O116" t="str">
        <f t="shared" si="6"/>
        <v>None,</v>
      </c>
      <c r="P116">
        <f t="shared" si="7"/>
        <v>0</v>
      </c>
    </row>
    <row r="117" spans="2:16" x14ac:dyDescent="0.3">
      <c r="B117" t="s">
        <v>207</v>
      </c>
      <c r="C117" t="s">
        <v>247</v>
      </c>
      <c r="D117" t="s">
        <v>209</v>
      </c>
      <c r="E117" t="s">
        <v>262</v>
      </c>
      <c r="F117" t="s">
        <v>211</v>
      </c>
      <c r="G117" t="s">
        <v>265</v>
      </c>
      <c r="H117" t="s">
        <v>213</v>
      </c>
      <c r="I117" t="s">
        <v>214</v>
      </c>
      <c r="J117">
        <v>14</v>
      </c>
      <c r="M117" t="str">
        <f t="shared" si="4"/>
        <v>BEF-R08-,</v>
      </c>
      <c r="N117" t="str">
        <f t="shared" si="5"/>
        <v>R3,</v>
      </c>
      <c r="O117" t="str">
        <f t="shared" si="6"/>
        <v>bar5,</v>
      </c>
      <c r="P117">
        <f t="shared" si="7"/>
        <v>8</v>
      </c>
    </row>
    <row r="118" spans="2:16" x14ac:dyDescent="0.3">
      <c r="B118" t="s">
        <v>207</v>
      </c>
      <c r="C118" t="s">
        <v>248</v>
      </c>
      <c r="D118" t="s">
        <v>209</v>
      </c>
      <c r="E118" t="s">
        <v>262</v>
      </c>
      <c r="F118" t="s">
        <v>211</v>
      </c>
      <c r="G118" t="s">
        <v>265</v>
      </c>
      <c r="H118" t="s">
        <v>213</v>
      </c>
      <c r="I118" t="s">
        <v>214</v>
      </c>
      <c r="J118">
        <v>15</v>
      </c>
      <c r="M118" t="str">
        <f t="shared" si="4"/>
        <v>BEF-R09-,</v>
      </c>
      <c r="N118" t="str">
        <f t="shared" si="5"/>
        <v>R3,</v>
      </c>
      <c r="O118" t="str">
        <f t="shared" si="6"/>
        <v>bar5,</v>
      </c>
      <c r="P118">
        <f t="shared" si="7"/>
        <v>14</v>
      </c>
    </row>
    <row r="119" spans="2:16" x14ac:dyDescent="0.3">
      <c r="B119" t="s">
        <v>207</v>
      </c>
      <c r="C119" t="s">
        <v>249</v>
      </c>
      <c r="D119" t="s">
        <v>209</v>
      </c>
      <c r="E119" t="s">
        <v>262</v>
      </c>
      <c r="F119" t="s">
        <v>211</v>
      </c>
      <c r="G119" t="s">
        <v>265</v>
      </c>
      <c r="H119" t="s">
        <v>213</v>
      </c>
      <c r="I119" t="s">
        <v>214</v>
      </c>
      <c r="J119">
        <v>15</v>
      </c>
      <c r="M119" t="str">
        <f t="shared" si="4"/>
        <v>BEF-R10-,</v>
      </c>
      <c r="N119" t="str">
        <f t="shared" si="5"/>
        <v>R3,</v>
      </c>
      <c r="O119" t="str">
        <f t="shared" si="6"/>
        <v>bar5,</v>
      </c>
      <c r="P119">
        <f t="shared" si="7"/>
        <v>15</v>
      </c>
    </row>
    <row r="120" spans="2:16" x14ac:dyDescent="0.3">
      <c r="B120" t="s">
        <v>207</v>
      </c>
      <c r="C120" t="s">
        <v>250</v>
      </c>
      <c r="D120" t="s">
        <v>209</v>
      </c>
      <c r="E120" t="s">
        <v>262</v>
      </c>
      <c r="F120" t="s">
        <v>211</v>
      </c>
      <c r="G120" t="s">
        <v>263</v>
      </c>
      <c r="H120" t="s">
        <v>213</v>
      </c>
      <c r="I120" t="s">
        <v>214</v>
      </c>
      <c r="J120">
        <v>12</v>
      </c>
      <c r="M120" t="str">
        <f t="shared" si="4"/>
        <v>BEF-R11-,</v>
      </c>
      <c r="N120" t="str">
        <f t="shared" si="5"/>
        <v>R3,</v>
      </c>
      <c r="O120" t="str">
        <f t="shared" si="6"/>
        <v>bar5,</v>
      </c>
      <c r="P120">
        <f t="shared" si="7"/>
        <v>15</v>
      </c>
    </row>
    <row r="121" spans="2:16" x14ac:dyDescent="0.3">
      <c r="B121" t="s">
        <v>207</v>
      </c>
      <c r="C121" t="s">
        <v>251</v>
      </c>
      <c r="D121" t="s">
        <v>209</v>
      </c>
      <c r="E121" t="s">
        <v>262</v>
      </c>
      <c r="F121" t="s">
        <v>211</v>
      </c>
      <c r="G121" t="s">
        <v>263</v>
      </c>
      <c r="H121" t="s">
        <v>213</v>
      </c>
      <c r="I121" t="s">
        <v>214</v>
      </c>
      <c r="J121">
        <v>12</v>
      </c>
      <c r="M121" t="str">
        <f t="shared" si="4"/>
        <v>BEF-R12-,</v>
      </c>
      <c r="N121" t="str">
        <f t="shared" si="5"/>
        <v>R3,</v>
      </c>
      <c r="O121" t="str">
        <f t="shared" si="6"/>
        <v>bar3,</v>
      </c>
      <c r="P121">
        <f t="shared" si="7"/>
        <v>12</v>
      </c>
    </row>
    <row r="122" spans="2:16" x14ac:dyDescent="0.3">
      <c r="B122" t="s">
        <v>207</v>
      </c>
      <c r="C122" t="s">
        <v>252</v>
      </c>
      <c r="D122" t="s">
        <v>209</v>
      </c>
      <c r="E122" t="s">
        <v>262</v>
      </c>
      <c r="F122" t="s">
        <v>211</v>
      </c>
      <c r="G122" t="s">
        <v>263</v>
      </c>
      <c r="H122" t="s">
        <v>213</v>
      </c>
      <c r="I122" t="s">
        <v>214</v>
      </c>
      <c r="J122">
        <v>11</v>
      </c>
      <c r="M122" t="str">
        <f t="shared" si="4"/>
        <v>BEF-R13-,</v>
      </c>
      <c r="N122" t="str">
        <f t="shared" si="5"/>
        <v>R3,</v>
      </c>
      <c r="O122" t="str">
        <f t="shared" si="6"/>
        <v>bar3,</v>
      </c>
      <c r="P122">
        <f t="shared" si="7"/>
        <v>12</v>
      </c>
    </row>
    <row r="123" spans="2:16" x14ac:dyDescent="0.3">
      <c r="B123" t="s">
        <v>207</v>
      </c>
      <c r="C123" t="s">
        <v>254</v>
      </c>
      <c r="D123" t="s">
        <v>209</v>
      </c>
      <c r="E123" t="s">
        <v>262</v>
      </c>
      <c r="F123" t="s">
        <v>211</v>
      </c>
      <c r="G123" t="s">
        <v>263</v>
      </c>
      <c r="H123" t="s">
        <v>213</v>
      </c>
      <c r="I123" t="s">
        <v>214</v>
      </c>
      <c r="J123">
        <v>11</v>
      </c>
      <c r="M123" t="str">
        <f t="shared" si="4"/>
        <v>BEF-R14-,</v>
      </c>
      <c r="N123" t="str">
        <f t="shared" si="5"/>
        <v>R3,</v>
      </c>
      <c r="O123" t="str">
        <f t="shared" si="6"/>
        <v>bar3,</v>
      </c>
      <c r="P123">
        <f t="shared" si="7"/>
        <v>11</v>
      </c>
    </row>
    <row r="124" spans="2:16" x14ac:dyDescent="0.3">
      <c r="B124" t="s">
        <v>207</v>
      </c>
      <c r="C124" t="s">
        <v>255</v>
      </c>
      <c r="D124" t="s">
        <v>209</v>
      </c>
      <c r="E124" t="s">
        <v>262</v>
      </c>
      <c r="F124" t="s">
        <v>211</v>
      </c>
      <c r="G124" t="s">
        <v>264</v>
      </c>
      <c r="H124" t="s">
        <v>213</v>
      </c>
      <c r="I124" t="s">
        <v>214</v>
      </c>
      <c r="J124">
        <v>15</v>
      </c>
      <c r="M124" t="str">
        <f t="shared" si="4"/>
        <v>BEF-R15-,</v>
      </c>
      <c r="N124" t="str">
        <f t="shared" si="5"/>
        <v>R3,</v>
      </c>
      <c r="O124" t="str">
        <f t="shared" si="6"/>
        <v>bar3,</v>
      </c>
      <c r="P124">
        <f t="shared" si="7"/>
        <v>11</v>
      </c>
    </row>
    <row r="125" spans="2:16" x14ac:dyDescent="0.3">
      <c r="B125" t="s">
        <v>201</v>
      </c>
      <c r="C125" t="s">
        <v>173</v>
      </c>
      <c r="D125" t="s">
        <v>202</v>
      </c>
      <c r="E125" t="s">
        <v>266</v>
      </c>
      <c r="F125" t="s">
        <v>204</v>
      </c>
      <c r="G125" t="s">
        <v>267</v>
      </c>
      <c r="H125" t="s">
        <v>206</v>
      </c>
      <c r="I125">
        <v>40</v>
      </c>
      <c r="M125" t="str">
        <f t="shared" si="4"/>
        <v>BEF-R16-,</v>
      </c>
      <c r="N125" t="str">
        <f t="shared" si="5"/>
        <v>R3,</v>
      </c>
      <c r="O125" t="str">
        <f t="shared" si="6"/>
        <v>bar4,</v>
      </c>
      <c r="P125">
        <f t="shared" si="7"/>
        <v>15</v>
      </c>
    </row>
    <row r="126" spans="2:16" x14ac:dyDescent="0.3">
      <c r="B126" t="s">
        <v>207</v>
      </c>
      <c r="C126" t="s">
        <v>208</v>
      </c>
      <c r="D126" t="s">
        <v>209</v>
      </c>
      <c r="E126" t="s">
        <v>268</v>
      </c>
      <c r="F126" t="s">
        <v>211</v>
      </c>
      <c r="G126" t="s">
        <v>269</v>
      </c>
      <c r="H126" t="s">
        <v>213</v>
      </c>
      <c r="I126" t="s">
        <v>214</v>
      </c>
      <c r="J126">
        <v>12</v>
      </c>
      <c r="M126" s="77" t="str">
        <f t="shared" si="4"/>
        <v>R4</v>
      </c>
      <c r="N126" t="str">
        <f t="shared" si="5"/>
        <v>316.86,</v>
      </c>
      <c r="O126" t="str">
        <f t="shared" si="6"/>
        <v>86.55,</v>
      </c>
      <c r="P126">
        <f t="shared" si="7"/>
        <v>0</v>
      </c>
    </row>
    <row r="127" spans="2:16" x14ac:dyDescent="0.3">
      <c r="B127" t="s">
        <v>207</v>
      </c>
      <c r="C127" t="s">
        <v>215</v>
      </c>
      <c r="D127" t="s">
        <v>209</v>
      </c>
      <c r="E127" t="s">
        <v>268</v>
      </c>
      <c r="F127" t="s">
        <v>211</v>
      </c>
      <c r="G127" t="s">
        <v>269</v>
      </c>
      <c r="H127" t="s">
        <v>213</v>
      </c>
      <c r="I127" t="s">
        <v>214</v>
      </c>
      <c r="J127">
        <v>11</v>
      </c>
      <c r="M127" t="str">
        <f t="shared" si="4"/>
        <v>MAU-R1,</v>
      </c>
      <c r="N127" t="str">
        <f t="shared" si="5"/>
        <v>R4,</v>
      </c>
      <c r="O127" t="str">
        <f t="shared" si="6"/>
        <v>bar12,</v>
      </c>
      <c r="P127">
        <f t="shared" si="7"/>
        <v>12</v>
      </c>
    </row>
    <row r="128" spans="2:16" x14ac:dyDescent="0.3">
      <c r="B128" t="s">
        <v>207</v>
      </c>
      <c r="C128" t="s">
        <v>217</v>
      </c>
      <c r="D128" t="s">
        <v>209</v>
      </c>
      <c r="E128" t="s">
        <v>268</v>
      </c>
      <c r="F128" t="s">
        <v>211</v>
      </c>
      <c r="G128" t="s">
        <v>270</v>
      </c>
      <c r="H128" t="s">
        <v>213</v>
      </c>
      <c r="I128" t="s">
        <v>214</v>
      </c>
      <c r="J128">
        <v>8</v>
      </c>
      <c r="M128" t="str">
        <f t="shared" si="4"/>
        <v>ERV-R.1,</v>
      </c>
      <c r="N128" t="str">
        <f t="shared" si="5"/>
        <v>R4,</v>
      </c>
      <c r="O128" t="str">
        <f t="shared" si="6"/>
        <v>bar12,</v>
      </c>
      <c r="P128">
        <f t="shared" si="7"/>
        <v>11</v>
      </c>
    </row>
    <row r="129" spans="2:16" x14ac:dyDescent="0.3">
      <c r="B129" t="s">
        <v>207</v>
      </c>
      <c r="C129" t="s">
        <v>219</v>
      </c>
      <c r="D129" t="s">
        <v>209</v>
      </c>
      <c r="E129" t="s">
        <v>268</v>
      </c>
      <c r="F129" t="s">
        <v>211</v>
      </c>
      <c r="G129" t="s">
        <v>269</v>
      </c>
      <c r="H129" t="s">
        <v>213</v>
      </c>
      <c r="I129" t="s">
        <v>214</v>
      </c>
      <c r="J129">
        <v>10</v>
      </c>
      <c r="M129" t="str">
        <f t="shared" si="4"/>
        <v>GEF-R1-,</v>
      </c>
      <c r="N129" t="str">
        <f t="shared" si="5"/>
        <v>R4,</v>
      </c>
      <c r="O129" t="str">
        <f t="shared" si="6"/>
        <v>bar6,</v>
      </c>
      <c r="P129">
        <f t="shared" si="7"/>
        <v>8</v>
      </c>
    </row>
    <row r="130" spans="2:16" x14ac:dyDescent="0.3">
      <c r="B130" t="s">
        <v>207</v>
      </c>
      <c r="C130" t="s">
        <v>220</v>
      </c>
      <c r="D130" t="s">
        <v>209</v>
      </c>
      <c r="E130" t="s">
        <v>268</v>
      </c>
      <c r="F130" t="s">
        <v>211</v>
      </c>
      <c r="G130" t="s">
        <v>269</v>
      </c>
      <c r="H130" t="s">
        <v>213</v>
      </c>
      <c r="I130" t="s">
        <v>214</v>
      </c>
      <c r="J130">
        <v>12</v>
      </c>
      <c r="M130" t="str">
        <f t="shared" si="4"/>
        <v>DEF-R1,-R2,</v>
      </c>
      <c r="N130" t="str">
        <f t="shared" si="5"/>
        <v>R4,</v>
      </c>
      <c r="O130" t="str">
        <f t="shared" si="6"/>
        <v>bar12,</v>
      </c>
      <c r="P130">
        <f t="shared" si="7"/>
        <v>10</v>
      </c>
    </row>
    <row r="131" spans="2:16" x14ac:dyDescent="0.3">
      <c r="B131" t="s">
        <v>207</v>
      </c>
      <c r="C131" t="s">
        <v>222</v>
      </c>
      <c r="D131" t="s">
        <v>209</v>
      </c>
      <c r="E131" t="s">
        <v>268</v>
      </c>
      <c r="F131" t="s">
        <v>211</v>
      </c>
      <c r="G131" t="s">
        <v>269</v>
      </c>
      <c r="H131" t="s">
        <v>213</v>
      </c>
      <c r="I131" t="s">
        <v>214</v>
      </c>
      <c r="J131">
        <v>12</v>
      </c>
      <c r="M131" t="str">
        <f t="shared" si="4"/>
        <v>KEF-R1-,</v>
      </c>
      <c r="N131" t="str">
        <f t="shared" si="5"/>
        <v>R4,</v>
      </c>
      <c r="O131" t="str">
        <f t="shared" si="6"/>
        <v>bar12,</v>
      </c>
      <c r="P131">
        <f t="shared" si="7"/>
        <v>12</v>
      </c>
    </row>
    <row r="132" spans="2:16" x14ac:dyDescent="0.3">
      <c r="B132" t="s">
        <v>207</v>
      </c>
      <c r="C132" t="s">
        <v>223</v>
      </c>
      <c r="D132" t="s">
        <v>209</v>
      </c>
      <c r="E132" t="s">
        <v>268</v>
      </c>
      <c r="F132" t="s">
        <v>211</v>
      </c>
      <c r="G132" t="s">
        <v>269</v>
      </c>
      <c r="H132" t="s">
        <v>213</v>
      </c>
      <c r="I132" t="s">
        <v>214</v>
      </c>
      <c r="J132">
        <v>9</v>
      </c>
      <c r="M132" t="str">
        <f t="shared" ref="M132:M195" si="8">C131</f>
        <v>DWEF-R1,</v>
      </c>
      <c r="N132" t="str">
        <f t="shared" ref="N132:N195" si="9">E131</f>
        <v>R4,</v>
      </c>
      <c r="O132" t="str">
        <f t="shared" ref="O132:O195" si="10">G131</f>
        <v>bar12,</v>
      </c>
      <c r="P132">
        <f t="shared" ref="P132:P195" si="11">J131</f>
        <v>12</v>
      </c>
    </row>
    <row r="133" spans="2:16" x14ac:dyDescent="0.3">
      <c r="B133" t="s">
        <v>207</v>
      </c>
      <c r="C133" t="s">
        <v>224</v>
      </c>
      <c r="D133" t="s">
        <v>209</v>
      </c>
      <c r="E133" t="s">
        <v>268</v>
      </c>
      <c r="F133" t="s">
        <v>211</v>
      </c>
      <c r="G133" t="s">
        <v>269</v>
      </c>
      <c r="H133" t="s">
        <v>213</v>
      </c>
      <c r="I133" t="s">
        <v>214</v>
      </c>
      <c r="J133">
        <v>10</v>
      </c>
      <c r="M133" t="str">
        <f t="shared" si="8"/>
        <v>CU-R1,</v>
      </c>
      <c r="N133" t="str">
        <f t="shared" si="9"/>
        <v>R4,</v>
      </c>
      <c r="O133" t="str">
        <f t="shared" si="10"/>
        <v>bar12,</v>
      </c>
      <c r="P133">
        <f t="shared" si="11"/>
        <v>9</v>
      </c>
    </row>
    <row r="134" spans="2:16" x14ac:dyDescent="0.3">
      <c r="B134" t="s">
        <v>207</v>
      </c>
      <c r="C134" t="s">
        <v>225</v>
      </c>
      <c r="D134" t="s">
        <v>209</v>
      </c>
      <c r="E134" t="s">
        <v>268</v>
      </c>
      <c r="F134" t="s">
        <v>211</v>
      </c>
      <c r="G134" t="s">
        <v>269</v>
      </c>
      <c r="H134" t="s">
        <v>213</v>
      </c>
      <c r="I134" t="s">
        <v>214</v>
      </c>
      <c r="J134">
        <v>9</v>
      </c>
      <c r="M134" t="str">
        <f t="shared" si="8"/>
        <v>CU-R2,</v>
      </c>
      <c r="N134" t="str">
        <f t="shared" si="9"/>
        <v>R4,</v>
      </c>
      <c r="O134" t="str">
        <f t="shared" si="10"/>
        <v>bar12,</v>
      </c>
      <c r="P134">
        <f t="shared" si="11"/>
        <v>10</v>
      </c>
    </row>
    <row r="135" spans="2:16" x14ac:dyDescent="0.3">
      <c r="B135" t="s">
        <v>207</v>
      </c>
      <c r="C135" t="s">
        <v>226</v>
      </c>
      <c r="D135" t="s">
        <v>209</v>
      </c>
      <c r="E135" t="s">
        <v>268</v>
      </c>
      <c r="F135" t="s">
        <v>211</v>
      </c>
      <c r="G135" t="s">
        <v>269</v>
      </c>
      <c r="H135" t="s">
        <v>213</v>
      </c>
      <c r="I135" t="s">
        <v>214</v>
      </c>
      <c r="J135">
        <v>11</v>
      </c>
      <c r="M135" t="str">
        <f t="shared" si="8"/>
        <v>CU-R4,</v>
      </c>
      <c r="N135" t="str">
        <f t="shared" si="9"/>
        <v>R4,</v>
      </c>
      <c r="O135" t="str">
        <f t="shared" si="10"/>
        <v>bar12,</v>
      </c>
      <c r="P135">
        <f t="shared" si="11"/>
        <v>9</v>
      </c>
    </row>
    <row r="136" spans="2:16" x14ac:dyDescent="0.3">
      <c r="B136" t="s">
        <v>207</v>
      </c>
      <c r="C136" t="s">
        <v>227</v>
      </c>
      <c r="D136" t="s">
        <v>209</v>
      </c>
      <c r="E136" t="s">
        <v>268</v>
      </c>
      <c r="F136" t="s">
        <v>211</v>
      </c>
      <c r="G136" t="s">
        <v>270</v>
      </c>
      <c r="H136" t="s">
        <v>213</v>
      </c>
      <c r="I136" t="s">
        <v>214</v>
      </c>
      <c r="J136">
        <v>7</v>
      </c>
      <c r="M136" t="str">
        <f t="shared" si="8"/>
        <v>CU-R5,</v>
      </c>
      <c r="N136" t="str">
        <f t="shared" si="9"/>
        <v>R4,</v>
      </c>
      <c r="O136" t="str">
        <f t="shared" si="10"/>
        <v>bar12,</v>
      </c>
      <c r="P136">
        <f t="shared" si="11"/>
        <v>11</v>
      </c>
    </row>
    <row r="137" spans="2:16" x14ac:dyDescent="0.3">
      <c r="B137" t="s">
        <v>207</v>
      </c>
      <c r="C137" t="s">
        <v>228</v>
      </c>
      <c r="D137" t="s">
        <v>209</v>
      </c>
      <c r="E137" t="s">
        <v>268</v>
      </c>
      <c r="F137" t="s">
        <v>211</v>
      </c>
      <c r="G137" t="s">
        <v>269</v>
      </c>
      <c r="H137" t="s">
        <v>213</v>
      </c>
      <c r="I137" t="s">
        <v>214</v>
      </c>
      <c r="J137">
        <v>8</v>
      </c>
      <c r="M137" t="str">
        <f t="shared" si="8"/>
        <v>RCU-R(4p)1,</v>
      </c>
      <c r="N137" t="str">
        <f t="shared" si="9"/>
        <v>R4,</v>
      </c>
      <c r="O137" t="str">
        <f t="shared" si="10"/>
        <v>bar6,</v>
      </c>
      <c r="P137">
        <f t="shared" si="11"/>
        <v>7</v>
      </c>
    </row>
    <row r="138" spans="2:16" x14ac:dyDescent="0.3">
      <c r="B138" t="s">
        <v>207</v>
      </c>
      <c r="C138" t="s">
        <v>229</v>
      </c>
      <c r="D138" t="s">
        <v>209</v>
      </c>
      <c r="E138" t="s">
        <v>268</v>
      </c>
      <c r="F138" t="s">
        <v>211</v>
      </c>
      <c r="G138" t="s">
        <v>269</v>
      </c>
      <c r="H138" t="s">
        <v>213</v>
      </c>
      <c r="I138" t="s">
        <v>214</v>
      </c>
      <c r="J138">
        <v>10</v>
      </c>
      <c r="M138" t="str">
        <f t="shared" si="8"/>
        <v>RCU-R(4p)2,</v>
      </c>
      <c r="N138" t="str">
        <f t="shared" si="9"/>
        <v>R4,</v>
      </c>
      <c r="O138" t="str">
        <f t="shared" si="10"/>
        <v>bar12,</v>
      </c>
      <c r="P138">
        <f t="shared" si="11"/>
        <v>8</v>
      </c>
    </row>
    <row r="139" spans="2:16" x14ac:dyDescent="0.3">
      <c r="B139" t="s">
        <v>207</v>
      </c>
      <c r="C139" t="s">
        <v>230</v>
      </c>
      <c r="D139" t="s">
        <v>209</v>
      </c>
      <c r="E139" t="s">
        <v>268</v>
      </c>
      <c r="F139" t="s">
        <v>211</v>
      </c>
      <c r="G139" t="s">
        <v>269</v>
      </c>
      <c r="H139" t="s">
        <v>213</v>
      </c>
      <c r="I139" t="s">
        <v>214</v>
      </c>
      <c r="J139">
        <v>11</v>
      </c>
      <c r="M139" t="str">
        <f t="shared" si="8"/>
        <v>RCU-R(4p)3,</v>
      </c>
      <c r="N139" t="str">
        <f t="shared" si="9"/>
        <v>R4,</v>
      </c>
      <c r="O139" t="str">
        <f t="shared" si="10"/>
        <v>bar12,</v>
      </c>
      <c r="P139">
        <f t="shared" si="11"/>
        <v>10</v>
      </c>
    </row>
    <row r="140" spans="2:16" x14ac:dyDescent="0.3">
      <c r="B140" t="s">
        <v>207</v>
      </c>
      <c r="C140" t="s">
        <v>231</v>
      </c>
      <c r="D140" t="s">
        <v>209</v>
      </c>
      <c r="E140" t="s">
        <v>268</v>
      </c>
      <c r="F140" t="s">
        <v>211</v>
      </c>
      <c r="G140" t="s">
        <v>271</v>
      </c>
      <c r="H140" t="s">
        <v>213</v>
      </c>
      <c r="I140" t="s">
        <v>214</v>
      </c>
      <c r="J140">
        <v>13</v>
      </c>
      <c r="M140" t="str">
        <f t="shared" si="8"/>
        <v>RCU-R(2p),</v>
      </c>
      <c r="N140" t="str">
        <f t="shared" si="9"/>
        <v>R4,</v>
      </c>
      <c r="O140" t="str">
        <f t="shared" si="10"/>
        <v>bar12,</v>
      </c>
      <c r="P140">
        <f t="shared" si="11"/>
        <v>11</v>
      </c>
    </row>
    <row r="141" spans="2:16" x14ac:dyDescent="0.3">
      <c r="B141" t="s">
        <v>207</v>
      </c>
      <c r="C141" t="s">
        <v>232</v>
      </c>
      <c r="D141" t="s">
        <v>209</v>
      </c>
      <c r="E141" t="s">
        <v>268</v>
      </c>
      <c r="F141" t="s">
        <v>211</v>
      </c>
      <c r="G141" t="s">
        <v>272</v>
      </c>
      <c r="H141" t="s">
        <v>213</v>
      </c>
      <c r="I141" t="s">
        <v>214</v>
      </c>
      <c r="J141">
        <v>13</v>
      </c>
      <c r="M141" t="str">
        <f t="shared" si="8"/>
        <v>RCU-R(2p)1,</v>
      </c>
      <c r="N141" t="str">
        <f t="shared" si="9"/>
        <v>R4,</v>
      </c>
      <c r="O141" t="str">
        <f t="shared" si="10"/>
        <v>bar11,</v>
      </c>
      <c r="P141">
        <f t="shared" si="11"/>
        <v>13</v>
      </c>
    </row>
    <row r="142" spans="2:16" x14ac:dyDescent="0.3">
      <c r="B142" t="s">
        <v>207</v>
      </c>
      <c r="C142" t="s">
        <v>233</v>
      </c>
      <c r="D142" t="s">
        <v>209</v>
      </c>
      <c r="E142" t="s">
        <v>268</v>
      </c>
      <c r="F142" t="s">
        <v>211</v>
      </c>
      <c r="G142" t="s">
        <v>269</v>
      </c>
      <c r="H142" t="s">
        <v>213</v>
      </c>
      <c r="I142" t="s">
        <v>214</v>
      </c>
      <c r="J142">
        <v>12</v>
      </c>
      <c r="M142" t="str">
        <f t="shared" si="8"/>
        <v>RCU-R(4p)4,</v>
      </c>
      <c r="N142" t="str">
        <f t="shared" si="9"/>
        <v>R4,</v>
      </c>
      <c r="O142" t="str">
        <f t="shared" si="10"/>
        <v>bar10,</v>
      </c>
      <c r="P142">
        <f t="shared" si="11"/>
        <v>13</v>
      </c>
    </row>
    <row r="143" spans="2:16" x14ac:dyDescent="0.3">
      <c r="B143" t="s">
        <v>207</v>
      </c>
      <c r="C143" t="s">
        <v>234</v>
      </c>
      <c r="D143" t="s">
        <v>209</v>
      </c>
      <c r="E143" t="s">
        <v>268</v>
      </c>
      <c r="F143" t="s">
        <v>211</v>
      </c>
      <c r="G143" t="s">
        <v>269</v>
      </c>
      <c r="H143" t="s">
        <v>213</v>
      </c>
      <c r="I143" t="s">
        <v>214</v>
      </c>
      <c r="J143">
        <v>12</v>
      </c>
      <c r="M143" t="str">
        <f t="shared" si="8"/>
        <v>RCU-R(2p)2,</v>
      </c>
      <c r="N143" t="str">
        <f t="shared" si="9"/>
        <v>R4,</v>
      </c>
      <c r="O143" t="str">
        <f t="shared" si="10"/>
        <v>bar12,</v>
      </c>
      <c r="P143">
        <f t="shared" si="11"/>
        <v>12</v>
      </c>
    </row>
    <row r="144" spans="2:16" x14ac:dyDescent="0.3">
      <c r="B144" t="s">
        <v>207</v>
      </c>
      <c r="C144" t="s">
        <v>235</v>
      </c>
      <c r="D144" t="s">
        <v>209</v>
      </c>
      <c r="E144" t="s">
        <v>268</v>
      </c>
      <c r="F144" t="s">
        <v>211</v>
      </c>
      <c r="G144" t="s">
        <v>269</v>
      </c>
      <c r="H144" t="s">
        <v>213</v>
      </c>
      <c r="I144" t="s">
        <v>214</v>
      </c>
      <c r="J144">
        <v>11</v>
      </c>
      <c r="M144" t="str">
        <f t="shared" si="8"/>
        <v>RCU-R(2p)3,</v>
      </c>
      <c r="N144" t="str">
        <f t="shared" si="9"/>
        <v>R4,</v>
      </c>
      <c r="O144" t="str">
        <f t="shared" si="10"/>
        <v>bar12,</v>
      </c>
      <c r="P144">
        <f t="shared" si="11"/>
        <v>12</v>
      </c>
    </row>
    <row r="145" spans="2:16" x14ac:dyDescent="0.3">
      <c r="B145" t="s">
        <v>207</v>
      </c>
      <c r="C145" t="s">
        <v>236</v>
      </c>
      <c r="D145" t="s">
        <v>209</v>
      </c>
      <c r="E145" t="s">
        <v>268</v>
      </c>
      <c r="F145" t="s">
        <v>211</v>
      </c>
      <c r="G145" t="s">
        <v>269</v>
      </c>
      <c r="H145" t="s">
        <v>213</v>
      </c>
      <c r="I145" t="s">
        <v>214</v>
      </c>
      <c r="J145">
        <v>11</v>
      </c>
      <c r="M145" t="str">
        <f t="shared" si="8"/>
        <v>RCU-R(2p)4,</v>
      </c>
      <c r="N145" t="str">
        <f t="shared" si="9"/>
        <v>R4,</v>
      </c>
      <c r="O145" t="str">
        <f t="shared" si="10"/>
        <v>bar12,</v>
      </c>
      <c r="P145">
        <f t="shared" si="11"/>
        <v>11</v>
      </c>
    </row>
    <row r="146" spans="2:16" x14ac:dyDescent="0.3">
      <c r="B146" t="s">
        <v>207</v>
      </c>
      <c r="C146" t="s">
        <v>237</v>
      </c>
      <c r="D146" t="s">
        <v>209</v>
      </c>
      <c r="E146" t="s">
        <v>268</v>
      </c>
      <c r="F146" t="s">
        <v>211</v>
      </c>
      <c r="G146" t="s">
        <v>269</v>
      </c>
      <c r="H146" t="s">
        <v>213</v>
      </c>
      <c r="I146" t="s">
        <v>214</v>
      </c>
      <c r="J146">
        <v>10</v>
      </c>
      <c r="M146" t="str">
        <f t="shared" si="8"/>
        <v>RCU-R(2p)5,</v>
      </c>
      <c r="N146" t="str">
        <f t="shared" si="9"/>
        <v>R4,</v>
      </c>
      <c r="O146" t="str">
        <f t="shared" si="10"/>
        <v>bar12,</v>
      </c>
      <c r="P146">
        <f t="shared" si="11"/>
        <v>11</v>
      </c>
    </row>
    <row r="147" spans="2:16" x14ac:dyDescent="0.3">
      <c r="B147" t="s">
        <v>207</v>
      </c>
      <c r="C147" t="s">
        <v>238</v>
      </c>
      <c r="D147" t="s">
        <v>209</v>
      </c>
      <c r="E147" t="s">
        <v>268</v>
      </c>
      <c r="F147" t="s">
        <v>211</v>
      </c>
      <c r="G147" t="s">
        <v>272</v>
      </c>
      <c r="H147" t="s">
        <v>213</v>
      </c>
      <c r="I147" t="s">
        <v>214</v>
      </c>
      <c r="J147">
        <v>13</v>
      </c>
      <c r="M147" t="str">
        <f t="shared" si="8"/>
        <v>RCU-R(2p)6,</v>
      </c>
      <c r="N147" t="str">
        <f t="shared" si="9"/>
        <v>R4,</v>
      </c>
      <c r="O147" t="str">
        <f t="shared" si="10"/>
        <v>bar12,</v>
      </c>
      <c r="P147">
        <f t="shared" si="11"/>
        <v>10</v>
      </c>
    </row>
    <row r="148" spans="2:16" x14ac:dyDescent="0.3">
      <c r="B148" t="s">
        <v>207</v>
      </c>
      <c r="C148" t="s">
        <v>240</v>
      </c>
      <c r="D148" t="s">
        <v>209</v>
      </c>
      <c r="E148" t="s">
        <v>268</v>
      </c>
      <c r="F148" t="s">
        <v>211</v>
      </c>
      <c r="G148" t="s">
        <v>272</v>
      </c>
      <c r="H148" t="s">
        <v>213</v>
      </c>
      <c r="I148" t="s">
        <v>214</v>
      </c>
      <c r="J148">
        <v>13</v>
      </c>
      <c r="M148" t="str">
        <f t="shared" si="8"/>
        <v>BEF-R01-,</v>
      </c>
      <c r="N148" t="str">
        <f t="shared" si="9"/>
        <v>R4,</v>
      </c>
      <c r="O148" t="str">
        <f t="shared" si="10"/>
        <v>bar10,</v>
      </c>
      <c r="P148">
        <f t="shared" si="11"/>
        <v>13</v>
      </c>
    </row>
    <row r="149" spans="2:16" x14ac:dyDescent="0.3">
      <c r="B149" t="s">
        <v>207</v>
      </c>
      <c r="C149" t="s">
        <v>241</v>
      </c>
      <c r="D149" t="s">
        <v>209</v>
      </c>
      <c r="E149" t="s">
        <v>268</v>
      </c>
      <c r="F149" t="s">
        <v>211</v>
      </c>
      <c r="G149" t="s">
        <v>272</v>
      </c>
      <c r="H149" t="s">
        <v>213</v>
      </c>
      <c r="I149" t="s">
        <v>214</v>
      </c>
      <c r="J149">
        <v>13</v>
      </c>
      <c r="M149" t="str">
        <f t="shared" si="8"/>
        <v>BEF-R02-,</v>
      </c>
      <c r="N149" t="str">
        <f t="shared" si="9"/>
        <v>R4,</v>
      </c>
      <c r="O149" t="str">
        <f t="shared" si="10"/>
        <v>bar10,</v>
      </c>
      <c r="P149">
        <f t="shared" si="11"/>
        <v>13</v>
      </c>
    </row>
    <row r="150" spans="2:16" x14ac:dyDescent="0.3">
      <c r="B150" t="s">
        <v>207</v>
      </c>
      <c r="C150" t="s">
        <v>242</v>
      </c>
      <c r="D150" t="s">
        <v>209</v>
      </c>
      <c r="E150" t="s">
        <v>268</v>
      </c>
      <c r="F150" t="s">
        <v>211</v>
      </c>
      <c r="G150" t="s">
        <v>269</v>
      </c>
      <c r="H150" t="s">
        <v>213</v>
      </c>
      <c r="I150" t="s">
        <v>214</v>
      </c>
      <c r="J150">
        <v>11</v>
      </c>
      <c r="M150" t="str">
        <f t="shared" si="8"/>
        <v>BEF-R03-,</v>
      </c>
      <c r="N150" t="str">
        <f t="shared" si="9"/>
        <v>R4,</v>
      </c>
      <c r="O150" t="str">
        <f t="shared" si="10"/>
        <v>bar10,</v>
      </c>
      <c r="P150">
        <f t="shared" si="11"/>
        <v>13</v>
      </c>
    </row>
    <row r="151" spans="2:16" x14ac:dyDescent="0.3">
      <c r="B151" t="s">
        <v>207</v>
      </c>
      <c r="C151" t="s">
        <v>243</v>
      </c>
      <c r="D151" t="s">
        <v>209</v>
      </c>
      <c r="E151" t="s">
        <v>268</v>
      </c>
      <c r="F151" t="s">
        <v>211</v>
      </c>
      <c r="G151" t="s">
        <v>272</v>
      </c>
      <c r="H151" t="s">
        <v>213</v>
      </c>
      <c r="I151" t="s">
        <v>214</v>
      </c>
      <c r="J151">
        <v>11</v>
      </c>
      <c r="M151" t="str">
        <f t="shared" si="8"/>
        <v>BEF-R04-,</v>
      </c>
      <c r="N151" t="str">
        <f t="shared" si="9"/>
        <v>R4,</v>
      </c>
      <c r="O151" t="str">
        <f t="shared" si="10"/>
        <v>bar12,</v>
      </c>
      <c r="P151">
        <f t="shared" si="11"/>
        <v>11</v>
      </c>
    </row>
    <row r="152" spans="2:16" x14ac:dyDescent="0.3">
      <c r="B152" t="s">
        <v>207</v>
      </c>
      <c r="C152" t="s">
        <v>244</v>
      </c>
      <c r="D152" t="s">
        <v>209</v>
      </c>
      <c r="E152" t="s">
        <v>268</v>
      </c>
      <c r="F152" t="s">
        <v>211</v>
      </c>
      <c r="G152" t="s">
        <v>273</v>
      </c>
      <c r="H152" t="s">
        <v>213</v>
      </c>
      <c r="I152" t="s">
        <v>214</v>
      </c>
      <c r="J152">
        <v>10</v>
      </c>
      <c r="M152" t="str">
        <f t="shared" si="8"/>
        <v>BEF-R05-,</v>
      </c>
      <c r="N152" t="str">
        <f t="shared" si="9"/>
        <v>R4,</v>
      </c>
      <c r="O152" t="str">
        <f t="shared" si="10"/>
        <v>bar10,</v>
      </c>
      <c r="P152">
        <f t="shared" si="11"/>
        <v>11</v>
      </c>
    </row>
    <row r="153" spans="2:16" x14ac:dyDescent="0.3">
      <c r="B153" t="s">
        <v>207</v>
      </c>
      <c r="C153" t="s">
        <v>245</v>
      </c>
      <c r="D153" t="s">
        <v>209</v>
      </c>
      <c r="E153" t="s">
        <v>268</v>
      </c>
      <c r="F153" t="s">
        <v>211</v>
      </c>
      <c r="G153" t="s">
        <v>274</v>
      </c>
      <c r="H153" t="s">
        <v>213</v>
      </c>
      <c r="I153" t="s">
        <v>214</v>
      </c>
      <c r="J153">
        <v>11</v>
      </c>
      <c r="M153" t="str">
        <f t="shared" si="8"/>
        <v>BEF-R06-,</v>
      </c>
      <c r="N153" t="str">
        <f t="shared" si="9"/>
        <v>R4,</v>
      </c>
      <c r="O153" t="str">
        <f t="shared" si="10"/>
        <v>bar8,</v>
      </c>
      <c r="P153">
        <f t="shared" si="11"/>
        <v>10</v>
      </c>
    </row>
    <row r="154" spans="2:16" x14ac:dyDescent="0.3">
      <c r="B154" t="s">
        <v>207</v>
      </c>
      <c r="C154" t="s">
        <v>246</v>
      </c>
      <c r="D154" t="s">
        <v>209</v>
      </c>
      <c r="E154" t="s">
        <v>268</v>
      </c>
      <c r="F154" t="s">
        <v>211</v>
      </c>
      <c r="G154" t="s">
        <v>270</v>
      </c>
      <c r="H154" t="s">
        <v>213</v>
      </c>
      <c r="I154" t="s">
        <v>214</v>
      </c>
      <c r="J154">
        <v>7</v>
      </c>
      <c r="M154" t="str">
        <f t="shared" si="8"/>
        <v>BEF-R07-,</v>
      </c>
      <c r="N154" t="str">
        <f t="shared" si="9"/>
        <v>R4,</v>
      </c>
      <c r="O154" t="str">
        <f t="shared" si="10"/>
        <v>bar7,</v>
      </c>
      <c r="P154">
        <f t="shared" si="11"/>
        <v>11</v>
      </c>
    </row>
    <row r="155" spans="2:16" x14ac:dyDescent="0.3">
      <c r="B155" t="s">
        <v>207</v>
      </c>
      <c r="C155" t="s">
        <v>247</v>
      </c>
      <c r="D155" t="s">
        <v>209</v>
      </c>
      <c r="E155" t="s">
        <v>268</v>
      </c>
      <c r="F155" t="s">
        <v>211</v>
      </c>
      <c r="G155" t="s">
        <v>239</v>
      </c>
      <c r="H155" t="s">
        <v>213</v>
      </c>
      <c r="I155" t="s">
        <v>214</v>
      </c>
      <c r="J155">
        <v>0</v>
      </c>
      <c r="M155" t="str">
        <f t="shared" si="8"/>
        <v>BEF-R08-,</v>
      </c>
      <c r="N155" t="str">
        <f t="shared" si="9"/>
        <v>R4,</v>
      </c>
      <c r="O155" t="str">
        <f t="shared" si="10"/>
        <v>bar6,</v>
      </c>
      <c r="P155">
        <f t="shared" si="11"/>
        <v>7</v>
      </c>
    </row>
    <row r="156" spans="2:16" x14ac:dyDescent="0.3">
      <c r="B156" t="s">
        <v>207</v>
      </c>
      <c r="C156" t="s">
        <v>248</v>
      </c>
      <c r="D156" t="s">
        <v>209</v>
      </c>
      <c r="E156" t="s">
        <v>268</v>
      </c>
      <c r="F156" t="s">
        <v>211</v>
      </c>
      <c r="G156" t="s">
        <v>271</v>
      </c>
      <c r="H156" t="s">
        <v>213</v>
      </c>
      <c r="I156" t="s">
        <v>214</v>
      </c>
      <c r="J156">
        <v>5</v>
      </c>
      <c r="M156" t="str">
        <f t="shared" si="8"/>
        <v>BEF-R09-,</v>
      </c>
      <c r="N156" t="str">
        <f t="shared" si="9"/>
        <v>R4,</v>
      </c>
      <c r="O156" t="str">
        <f t="shared" si="10"/>
        <v>None,</v>
      </c>
      <c r="P156">
        <f t="shared" si="11"/>
        <v>0</v>
      </c>
    </row>
    <row r="157" spans="2:16" x14ac:dyDescent="0.3">
      <c r="B157" t="s">
        <v>207</v>
      </c>
      <c r="C157" t="s">
        <v>249</v>
      </c>
      <c r="D157" t="s">
        <v>209</v>
      </c>
      <c r="E157" t="s">
        <v>268</v>
      </c>
      <c r="F157" t="s">
        <v>211</v>
      </c>
      <c r="G157" t="s">
        <v>239</v>
      </c>
      <c r="H157" t="s">
        <v>213</v>
      </c>
      <c r="I157" t="s">
        <v>214</v>
      </c>
      <c r="J157">
        <v>0</v>
      </c>
      <c r="M157" t="str">
        <f t="shared" si="8"/>
        <v>BEF-R10-,</v>
      </c>
      <c r="N157" t="str">
        <f t="shared" si="9"/>
        <v>R4,</v>
      </c>
      <c r="O157" t="str">
        <f t="shared" si="10"/>
        <v>bar11,</v>
      </c>
      <c r="P157">
        <f t="shared" si="11"/>
        <v>5</v>
      </c>
    </row>
    <row r="158" spans="2:16" x14ac:dyDescent="0.3">
      <c r="B158" t="s">
        <v>207</v>
      </c>
      <c r="C158" t="s">
        <v>250</v>
      </c>
      <c r="D158" t="s">
        <v>209</v>
      </c>
      <c r="E158" t="s">
        <v>268</v>
      </c>
      <c r="F158" t="s">
        <v>211</v>
      </c>
      <c r="G158" t="s">
        <v>269</v>
      </c>
      <c r="H158" t="s">
        <v>213</v>
      </c>
      <c r="I158" t="s">
        <v>214</v>
      </c>
      <c r="J158">
        <v>10</v>
      </c>
      <c r="M158" t="str">
        <f t="shared" si="8"/>
        <v>BEF-R11-,</v>
      </c>
      <c r="N158" t="str">
        <f t="shared" si="9"/>
        <v>R4,</v>
      </c>
      <c r="O158" t="str">
        <f t="shared" si="10"/>
        <v>None,</v>
      </c>
      <c r="P158">
        <f t="shared" si="11"/>
        <v>0</v>
      </c>
    </row>
    <row r="159" spans="2:16" x14ac:dyDescent="0.3">
      <c r="B159" t="s">
        <v>207</v>
      </c>
      <c r="C159" t="s">
        <v>251</v>
      </c>
      <c r="D159" t="s">
        <v>209</v>
      </c>
      <c r="E159" t="s">
        <v>268</v>
      </c>
      <c r="F159" t="s">
        <v>211</v>
      </c>
      <c r="G159" t="s">
        <v>269</v>
      </c>
      <c r="H159" t="s">
        <v>213</v>
      </c>
      <c r="I159" t="s">
        <v>214</v>
      </c>
      <c r="J159">
        <v>11</v>
      </c>
      <c r="M159" t="str">
        <f t="shared" si="8"/>
        <v>BEF-R12-,</v>
      </c>
      <c r="N159" t="str">
        <f t="shared" si="9"/>
        <v>R4,</v>
      </c>
      <c r="O159" t="str">
        <f t="shared" si="10"/>
        <v>bar12,</v>
      </c>
      <c r="P159">
        <f t="shared" si="11"/>
        <v>10</v>
      </c>
    </row>
    <row r="160" spans="2:16" x14ac:dyDescent="0.3">
      <c r="B160" t="s">
        <v>207</v>
      </c>
      <c r="C160" t="s">
        <v>252</v>
      </c>
      <c r="D160" t="s">
        <v>209</v>
      </c>
      <c r="E160" t="s">
        <v>268</v>
      </c>
      <c r="F160" t="s">
        <v>211</v>
      </c>
      <c r="G160" t="s">
        <v>269</v>
      </c>
      <c r="H160" t="s">
        <v>213</v>
      </c>
      <c r="I160" t="s">
        <v>214</v>
      </c>
      <c r="J160">
        <v>12</v>
      </c>
      <c r="M160" t="str">
        <f t="shared" si="8"/>
        <v>BEF-R13-,</v>
      </c>
      <c r="N160" t="str">
        <f t="shared" si="9"/>
        <v>R4,</v>
      </c>
      <c r="O160" t="str">
        <f t="shared" si="10"/>
        <v>bar12,</v>
      </c>
      <c r="P160">
        <f t="shared" si="11"/>
        <v>11</v>
      </c>
    </row>
    <row r="161" spans="2:16" x14ac:dyDescent="0.3">
      <c r="B161" t="s">
        <v>207</v>
      </c>
      <c r="C161" t="s">
        <v>254</v>
      </c>
      <c r="D161" t="s">
        <v>209</v>
      </c>
      <c r="E161" t="s">
        <v>268</v>
      </c>
      <c r="F161" t="s">
        <v>211</v>
      </c>
      <c r="G161" t="s">
        <v>269</v>
      </c>
      <c r="H161" t="s">
        <v>213</v>
      </c>
      <c r="I161" t="s">
        <v>214</v>
      </c>
      <c r="J161">
        <v>12</v>
      </c>
      <c r="M161" t="str">
        <f t="shared" si="8"/>
        <v>BEF-R14-,</v>
      </c>
      <c r="N161" t="str">
        <f t="shared" si="9"/>
        <v>R4,</v>
      </c>
      <c r="O161" t="str">
        <f t="shared" si="10"/>
        <v>bar12,</v>
      </c>
      <c r="P161">
        <f t="shared" si="11"/>
        <v>12</v>
      </c>
    </row>
    <row r="162" spans="2:16" x14ac:dyDescent="0.3">
      <c r="B162" t="s">
        <v>207</v>
      </c>
      <c r="C162" t="s">
        <v>255</v>
      </c>
      <c r="D162" t="s">
        <v>209</v>
      </c>
      <c r="E162" t="s">
        <v>268</v>
      </c>
      <c r="F162" t="s">
        <v>211</v>
      </c>
      <c r="G162" t="s">
        <v>269</v>
      </c>
      <c r="H162" t="s">
        <v>213</v>
      </c>
      <c r="I162" t="s">
        <v>214</v>
      </c>
      <c r="J162">
        <v>9</v>
      </c>
      <c r="M162" t="str">
        <f t="shared" si="8"/>
        <v>BEF-R15-,</v>
      </c>
      <c r="N162" t="str">
        <f t="shared" si="9"/>
        <v>R4,</v>
      </c>
      <c r="O162" t="str">
        <f t="shared" si="10"/>
        <v>bar12,</v>
      </c>
      <c r="P162">
        <f t="shared" si="11"/>
        <v>12</v>
      </c>
    </row>
    <row r="163" spans="2:16" x14ac:dyDescent="0.3">
      <c r="B163" t="s">
        <v>201</v>
      </c>
      <c r="C163" t="s">
        <v>174</v>
      </c>
      <c r="D163" t="s">
        <v>202</v>
      </c>
      <c r="E163" t="s">
        <v>275</v>
      </c>
      <c r="F163" t="s">
        <v>204</v>
      </c>
      <c r="G163" t="s">
        <v>276</v>
      </c>
      <c r="H163" t="s">
        <v>206</v>
      </c>
      <c r="I163">
        <v>45</v>
      </c>
      <c r="M163" t="str">
        <f t="shared" si="8"/>
        <v>BEF-R16-,</v>
      </c>
      <c r="N163" t="str">
        <f t="shared" si="9"/>
        <v>R4,</v>
      </c>
      <c r="O163" t="str">
        <f t="shared" si="10"/>
        <v>bar12,</v>
      </c>
      <c r="P163">
        <f t="shared" si="11"/>
        <v>9</v>
      </c>
    </row>
    <row r="164" spans="2:16" x14ac:dyDescent="0.3">
      <c r="B164" t="s">
        <v>207</v>
      </c>
      <c r="C164" t="s">
        <v>208</v>
      </c>
      <c r="D164" t="s">
        <v>209</v>
      </c>
      <c r="E164" t="s">
        <v>277</v>
      </c>
      <c r="F164" t="s">
        <v>211</v>
      </c>
      <c r="G164" t="s">
        <v>278</v>
      </c>
      <c r="H164" t="s">
        <v>213</v>
      </c>
      <c r="I164" t="s">
        <v>214</v>
      </c>
      <c r="J164">
        <v>8</v>
      </c>
      <c r="M164" s="77" t="str">
        <f t="shared" si="8"/>
        <v>R5</v>
      </c>
      <c r="N164" t="str">
        <f t="shared" si="9"/>
        <v>14.23,</v>
      </c>
      <c r="O164" t="str">
        <f t="shared" si="10"/>
        <v>213.83,</v>
      </c>
      <c r="P164">
        <f t="shared" si="11"/>
        <v>0</v>
      </c>
    </row>
    <row r="165" spans="2:16" x14ac:dyDescent="0.3">
      <c r="B165" t="s">
        <v>207</v>
      </c>
      <c r="C165" t="s">
        <v>215</v>
      </c>
      <c r="D165" t="s">
        <v>209</v>
      </c>
      <c r="E165" t="s">
        <v>277</v>
      </c>
      <c r="F165" t="s">
        <v>211</v>
      </c>
      <c r="G165" t="s">
        <v>278</v>
      </c>
      <c r="H165" t="s">
        <v>213</v>
      </c>
      <c r="I165" t="s">
        <v>214</v>
      </c>
      <c r="J165">
        <v>8</v>
      </c>
      <c r="M165" t="str">
        <f t="shared" si="8"/>
        <v>MAU-R1,</v>
      </c>
      <c r="N165" t="str">
        <f t="shared" si="9"/>
        <v>R5,</v>
      </c>
      <c r="O165" t="str">
        <f t="shared" si="10"/>
        <v>bar17,</v>
      </c>
      <c r="P165">
        <f t="shared" si="11"/>
        <v>8</v>
      </c>
    </row>
    <row r="166" spans="2:16" x14ac:dyDescent="0.3">
      <c r="B166" t="s">
        <v>207</v>
      </c>
      <c r="C166" t="s">
        <v>217</v>
      </c>
      <c r="D166" t="s">
        <v>209</v>
      </c>
      <c r="E166" t="s">
        <v>277</v>
      </c>
      <c r="F166" t="s">
        <v>211</v>
      </c>
      <c r="G166" t="s">
        <v>278</v>
      </c>
      <c r="H166" t="s">
        <v>213</v>
      </c>
      <c r="I166" t="s">
        <v>214</v>
      </c>
      <c r="J166">
        <v>10</v>
      </c>
      <c r="M166" t="str">
        <f t="shared" si="8"/>
        <v>ERV-R.1,</v>
      </c>
      <c r="N166" t="str">
        <f t="shared" si="9"/>
        <v>R5,</v>
      </c>
      <c r="O166" t="str">
        <f t="shared" si="10"/>
        <v>bar17,</v>
      </c>
      <c r="P166">
        <f t="shared" si="11"/>
        <v>8</v>
      </c>
    </row>
    <row r="167" spans="2:16" x14ac:dyDescent="0.3">
      <c r="B167" t="s">
        <v>207</v>
      </c>
      <c r="C167" t="s">
        <v>219</v>
      </c>
      <c r="D167" t="s">
        <v>209</v>
      </c>
      <c r="E167" t="s">
        <v>277</v>
      </c>
      <c r="F167" t="s">
        <v>211</v>
      </c>
      <c r="G167" t="s">
        <v>278</v>
      </c>
      <c r="H167" t="s">
        <v>213</v>
      </c>
      <c r="I167" t="s">
        <v>214</v>
      </c>
      <c r="J167">
        <v>8</v>
      </c>
      <c r="M167" t="str">
        <f t="shared" si="8"/>
        <v>GEF-R1-,</v>
      </c>
      <c r="N167" t="str">
        <f t="shared" si="9"/>
        <v>R5,</v>
      </c>
      <c r="O167" t="str">
        <f t="shared" si="10"/>
        <v>bar17,</v>
      </c>
      <c r="P167">
        <f t="shared" si="11"/>
        <v>10</v>
      </c>
    </row>
    <row r="168" spans="2:16" x14ac:dyDescent="0.3">
      <c r="B168" t="s">
        <v>207</v>
      </c>
      <c r="C168" t="s">
        <v>220</v>
      </c>
      <c r="D168" t="s">
        <v>209</v>
      </c>
      <c r="E168" t="s">
        <v>277</v>
      </c>
      <c r="F168" t="s">
        <v>211</v>
      </c>
      <c r="G168" t="s">
        <v>221</v>
      </c>
      <c r="H168" t="s">
        <v>213</v>
      </c>
      <c r="I168" t="s">
        <v>214</v>
      </c>
      <c r="J168">
        <v>3</v>
      </c>
      <c r="M168" t="str">
        <f t="shared" si="8"/>
        <v>DEF-R1,-R2,</v>
      </c>
      <c r="N168" t="str">
        <f t="shared" si="9"/>
        <v>R5,</v>
      </c>
      <c r="O168" t="str">
        <f t="shared" si="10"/>
        <v>bar17,</v>
      </c>
      <c r="P168">
        <f t="shared" si="11"/>
        <v>8</v>
      </c>
    </row>
    <row r="169" spans="2:16" x14ac:dyDescent="0.3">
      <c r="B169" t="s">
        <v>207</v>
      </c>
      <c r="C169" t="s">
        <v>222</v>
      </c>
      <c r="D169" t="s">
        <v>209</v>
      </c>
      <c r="E169" t="s">
        <v>277</v>
      </c>
      <c r="F169" t="s">
        <v>211</v>
      </c>
      <c r="G169" t="s">
        <v>278</v>
      </c>
      <c r="H169" t="s">
        <v>213</v>
      </c>
      <c r="I169" t="s">
        <v>214</v>
      </c>
      <c r="J169">
        <v>8</v>
      </c>
      <c r="M169" t="str">
        <f t="shared" si="8"/>
        <v>KEF-R1-,</v>
      </c>
      <c r="N169" t="str">
        <f t="shared" si="9"/>
        <v>R5,</v>
      </c>
      <c r="O169" t="str">
        <f t="shared" si="10"/>
        <v>bar20,</v>
      </c>
      <c r="P169">
        <f t="shared" si="11"/>
        <v>3</v>
      </c>
    </row>
    <row r="170" spans="2:16" x14ac:dyDescent="0.3">
      <c r="B170" t="s">
        <v>207</v>
      </c>
      <c r="C170" t="s">
        <v>223</v>
      </c>
      <c r="D170" t="s">
        <v>209</v>
      </c>
      <c r="E170" t="s">
        <v>277</v>
      </c>
      <c r="F170" t="s">
        <v>211</v>
      </c>
      <c r="G170" t="s">
        <v>278</v>
      </c>
      <c r="H170" t="s">
        <v>213</v>
      </c>
      <c r="I170" t="s">
        <v>214</v>
      </c>
      <c r="J170">
        <v>5</v>
      </c>
      <c r="M170" t="str">
        <f t="shared" si="8"/>
        <v>DWEF-R1,</v>
      </c>
      <c r="N170" t="str">
        <f t="shared" si="9"/>
        <v>R5,</v>
      </c>
      <c r="O170" t="str">
        <f t="shared" si="10"/>
        <v>bar17,</v>
      </c>
      <c r="P170">
        <f t="shared" si="11"/>
        <v>8</v>
      </c>
    </row>
    <row r="171" spans="2:16" x14ac:dyDescent="0.3">
      <c r="B171" t="s">
        <v>207</v>
      </c>
      <c r="C171" t="s">
        <v>224</v>
      </c>
      <c r="D171" t="s">
        <v>209</v>
      </c>
      <c r="E171" t="s">
        <v>277</v>
      </c>
      <c r="F171" t="s">
        <v>211</v>
      </c>
      <c r="G171" t="s">
        <v>278</v>
      </c>
      <c r="H171" t="s">
        <v>213</v>
      </c>
      <c r="I171" t="s">
        <v>214</v>
      </c>
      <c r="J171">
        <v>5</v>
      </c>
      <c r="M171" t="str">
        <f t="shared" si="8"/>
        <v>CU-R1,</v>
      </c>
      <c r="N171" t="str">
        <f t="shared" si="9"/>
        <v>R5,</v>
      </c>
      <c r="O171" t="str">
        <f t="shared" si="10"/>
        <v>bar17,</v>
      </c>
      <c r="P171">
        <f t="shared" si="11"/>
        <v>5</v>
      </c>
    </row>
    <row r="172" spans="2:16" x14ac:dyDescent="0.3">
      <c r="B172" t="s">
        <v>207</v>
      </c>
      <c r="C172" t="s">
        <v>225</v>
      </c>
      <c r="D172" t="s">
        <v>209</v>
      </c>
      <c r="E172" t="s">
        <v>277</v>
      </c>
      <c r="F172" t="s">
        <v>211</v>
      </c>
      <c r="G172" t="s">
        <v>278</v>
      </c>
      <c r="H172" t="s">
        <v>213</v>
      </c>
      <c r="I172" t="s">
        <v>214</v>
      </c>
      <c r="J172">
        <v>5</v>
      </c>
      <c r="M172" t="str">
        <f t="shared" si="8"/>
        <v>CU-R2,</v>
      </c>
      <c r="N172" t="str">
        <f t="shared" si="9"/>
        <v>R5,</v>
      </c>
      <c r="O172" t="str">
        <f t="shared" si="10"/>
        <v>bar17,</v>
      </c>
      <c r="P172">
        <f t="shared" si="11"/>
        <v>5</v>
      </c>
    </row>
    <row r="173" spans="2:16" x14ac:dyDescent="0.3">
      <c r="B173" t="s">
        <v>207</v>
      </c>
      <c r="C173" t="s">
        <v>226</v>
      </c>
      <c r="D173" t="s">
        <v>209</v>
      </c>
      <c r="E173" t="s">
        <v>277</v>
      </c>
      <c r="F173" t="s">
        <v>211</v>
      </c>
      <c r="G173" t="s">
        <v>278</v>
      </c>
      <c r="H173" t="s">
        <v>213</v>
      </c>
      <c r="I173" t="s">
        <v>214</v>
      </c>
      <c r="J173">
        <v>7</v>
      </c>
      <c r="M173" t="str">
        <f t="shared" si="8"/>
        <v>CU-R4,</v>
      </c>
      <c r="N173" t="str">
        <f t="shared" si="9"/>
        <v>R5,</v>
      </c>
      <c r="O173" t="str">
        <f t="shared" si="10"/>
        <v>bar17,</v>
      </c>
      <c r="P173">
        <f t="shared" si="11"/>
        <v>5</v>
      </c>
    </row>
    <row r="174" spans="2:16" x14ac:dyDescent="0.3">
      <c r="B174" t="s">
        <v>207</v>
      </c>
      <c r="C174" t="s">
        <v>227</v>
      </c>
      <c r="D174" t="s">
        <v>209</v>
      </c>
      <c r="E174" t="s">
        <v>277</v>
      </c>
      <c r="F174" t="s">
        <v>211</v>
      </c>
      <c r="G174" t="s">
        <v>278</v>
      </c>
      <c r="H174" t="s">
        <v>213</v>
      </c>
      <c r="I174" t="s">
        <v>214</v>
      </c>
      <c r="J174">
        <v>10</v>
      </c>
      <c r="M174" t="str">
        <f t="shared" si="8"/>
        <v>CU-R5,</v>
      </c>
      <c r="N174" t="str">
        <f t="shared" si="9"/>
        <v>R5,</v>
      </c>
      <c r="O174" t="str">
        <f t="shared" si="10"/>
        <v>bar17,</v>
      </c>
      <c r="P174">
        <f t="shared" si="11"/>
        <v>7</v>
      </c>
    </row>
    <row r="175" spans="2:16" x14ac:dyDescent="0.3">
      <c r="B175" t="s">
        <v>207</v>
      </c>
      <c r="C175" t="s">
        <v>228</v>
      </c>
      <c r="D175" t="s">
        <v>209</v>
      </c>
      <c r="E175" t="s">
        <v>277</v>
      </c>
      <c r="F175" t="s">
        <v>211</v>
      </c>
      <c r="G175" t="s">
        <v>278</v>
      </c>
      <c r="H175" t="s">
        <v>213</v>
      </c>
      <c r="I175" t="s">
        <v>214</v>
      </c>
      <c r="J175">
        <v>4</v>
      </c>
      <c r="M175" t="str">
        <f t="shared" si="8"/>
        <v>RCU-R(4p)1,</v>
      </c>
      <c r="N175" t="str">
        <f t="shared" si="9"/>
        <v>R5,</v>
      </c>
      <c r="O175" t="str">
        <f t="shared" si="10"/>
        <v>bar17,</v>
      </c>
      <c r="P175">
        <f t="shared" si="11"/>
        <v>10</v>
      </c>
    </row>
    <row r="176" spans="2:16" x14ac:dyDescent="0.3">
      <c r="B176" t="s">
        <v>207</v>
      </c>
      <c r="C176" t="s">
        <v>229</v>
      </c>
      <c r="D176" t="s">
        <v>209</v>
      </c>
      <c r="E176" t="s">
        <v>277</v>
      </c>
      <c r="F176" t="s">
        <v>211</v>
      </c>
      <c r="G176" t="s">
        <v>278</v>
      </c>
      <c r="H176" t="s">
        <v>213</v>
      </c>
      <c r="I176" t="s">
        <v>214</v>
      </c>
      <c r="J176">
        <v>8</v>
      </c>
      <c r="M176" t="str">
        <f t="shared" si="8"/>
        <v>RCU-R(4p)2,</v>
      </c>
      <c r="N176" t="str">
        <f t="shared" si="9"/>
        <v>R5,</v>
      </c>
      <c r="O176" t="str">
        <f t="shared" si="10"/>
        <v>bar17,</v>
      </c>
      <c r="P176">
        <f t="shared" si="11"/>
        <v>4</v>
      </c>
    </row>
    <row r="177" spans="2:16" x14ac:dyDescent="0.3">
      <c r="B177" t="s">
        <v>207</v>
      </c>
      <c r="C177" t="s">
        <v>230</v>
      </c>
      <c r="D177" t="s">
        <v>209</v>
      </c>
      <c r="E177" t="s">
        <v>277</v>
      </c>
      <c r="F177" t="s">
        <v>211</v>
      </c>
      <c r="G177" t="s">
        <v>278</v>
      </c>
      <c r="H177" t="s">
        <v>213</v>
      </c>
      <c r="I177" t="s">
        <v>214</v>
      </c>
      <c r="J177">
        <v>8</v>
      </c>
      <c r="M177" t="str">
        <f t="shared" si="8"/>
        <v>RCU-R(4p)3,</v>
      </c>
      <c r="N177" t="str">
        <f t="shared" si="9"/>
        <v>R5,</v>
      </c>
      <c r="O177" t="str">
        <f t="shared" si="10"/>
        <v>bar17,</v>
      </c>
      <c r="P177">
        <f t="shared" si="11"/>
        <v>8</v>
      </c>
    </row>
    <row r="178" spans="2:16" x14ac:dyDescent="0.3">
      <c r="B178" t="s">
        <v>207</v>
      </c>
      <c r="C178" t="s">
        <v>231</v>
      </c>
      <c r="D178" t="s">
        <v>209</v>
      </c>
      <c r="E178" t="s">
        <v>277</v>
      </c>
      <c r="F178" t="s">
        <v>211</v>
      </c>
      <c r="G178" t="s">
        <v>278</v>
      </c>
      <c r="H178" t="s">
        <v>213</v>
      </c>
      <c r="I178" t="s">
        <v>214</v>
      </c>
      <c r="J178">
        <v>8</v>
      </c>
      <c r="M178" t="str">
        <f t="shared" si="8"/>
        <v>RCU-R(2p),</v>
      </c>
      <c r="N178" t="str">
        <f t="shared" si="9"/>
        <v>R5,</v>
      </c>
      <c r="O178" t="str">
        <f t="shared" si="10"/>
        <v>bar17,</v>
      </c>
      <c r="P178">
        <f t="shared" si="11"/>
        <v>8</v>
      </c>
    </row>
    <row r="179" spans="2:16" x14ac:dyDescent="0.3">
      <c r="B179" t="s">
        <v>207</v>
      </c>
      <c r="C179" t="s">
        <v>232</v>
      </c>
      <c r="D179" t="s">
        <v>209</v>
      </c>
      <c r="E179" t="s">
        <v>277</v>
      </c>
      <c r="F179" t="s">
        <v>211</v>
      </c>
      <c r="G179" t="s">
        <v>253</v>
      </c>
      <c r="H179" t="s">
        <v>213</v>
      </c>
      <c r="I179" t="s">
        <v>214</v>
      </c>
      <c r="J179">
        <v>8</v>
      </c>
      <c r="M179" t="str">
        <f t="shared" si="8"/>
        <v>RCU-R(2p)1,</v>
      </c>
      <c r="N179" t="str">
        <f t="shared" si="9"/>
        <v>R5,</v>
      </c>
      <c r="O179" t="str">
        <f t="shared" si="10"/>
        <v>bar17,</v>
      </c>
      <c r="P179">
        <f t="shared" si="11"/>
        <v>8</v>
      </c>
    </row>
    <row r="180" spans="2:16" x14ac:dyDescent="0.3">
      <c r="B180" t="s">
        <v>207</v>
      </c>
      <c r="C180" t="s">
        <v>233</v>
      </c>
      <c r="D180" t="s">
        <v>209</v>
      </c>
      <c r="E180" t="s">
        <v>277</v>
      </c>
      <c r="F180" t="s">
        <v>211</v>
      </c>
      <c r="G180" t="s">
        <v>253</v>
      </c>
      <c r="H180" t="s">
        <v>213</v>
      </c>
      <c r="I180" t="s">
        <v>214</v>
      </c>
      <c r="J180">
        <v>5</v>
      </c>
      <c r="M180" t="str">
        <f t="shared" si="8"/>
        <v>RCU-R(4p)4,</v>
      </c>
      <c r="N180" t="str">
        <f t="shared" si="9"/>
        <v>R5,</v>
      </c>
      <c r="O180" t="str">
        <f t="shared" si="10"/>
        <v>bar18,</v>
      </c>
      <c r="P180">
        <f t="shared" si="11"/>
        <v>8</v>
      </c>
    </row>
    <row r="181" spans="2:16" x14ac:dyDescent="0.3">
      <c r="B181" t="s">
        <v>207</v>
      </c>
      <c r="C181" t="s">
        <v>234</v>
      </c>
      <c r="D181" t="s">
        <v>209</v>
      </c>
      <c r="E181" t="s">
        <v>277</v>
      </c>
      <c r="F181" t="s">
        <v>211</v>
      </c>
      <c r="G181" t="s">
        <v>278</v>
      </c>
      <c r="H181" t="s">
        <v>213</v>
      </c>
      <c r="I181" t="s">
        <v>214</v>
      </c>
      <c r="J181">
        <v>6</v>
      </c>
      <c r="M181" t="str">
        <f t="shared" si="8"/>
        <v>RCU-R(2p)2,</v>
      </c>
      <c r="N181" t="str">
        <f t="shared" si="9"/>
        <v>R5,</v>
      </c>
      <c r="O181" t="str">
        <f t="shared" si="10"/>
        <v>bar18,</v>
      </c>
      <c r="P181">
        <f t="shared" si="11"/>
        <v>5</v>
      </c>
    </row>
    <row r="182" spans="2:16" x14ac:dyDescent="0.3">
      <c r="B182" t="s">
        <v>207</v>
      </c>
      <c r="C182" t="s">
        <v>235</v>
      </c>
      <c r="D182" t="s">
        <v>209</v>
      </c>
      <c r="E182" t="s">
        <v>277</v>
      </c>
      <c r="F182" t="s">
        <v>211</v>
      </c>
      <c r="G182" t="s">
        <v>278</v>
      </c>
      <c r="H182" t="s">
        <v>213</v>
      </c>
      <c r="I182" t="s">
        <v>214</v>
      </c>
      <c r="J182">
        <v>6</v>
      </c>
      <c r="M182" t="str">
        <f t="shared" si="8"/>
        <v>RCU-R(2p)3,</v>
      </c>
      <c r="N182" t="str">
        <f t="shared" si="9"/>
        <v>R5,</v>
      </c>
      <c r="O182" t="str">
        <f t="shared" si="10"/>
        <v>bar17,</v>
      </c>
      <c r="P182">
        <f t="shared" si="11"/>
        <v>6</v>
      </c>
    </row>
    <row r="183" spans="2:16" x14ac:dyDescent="0.3">
      <c r="B183" t="s">
        <v>207</v>
      </c>
      <c r="C183" t="s">
        <v>236</v>
      </c>
      <c r="D183" t="s">
        <v>209</v>
      </c>
      <c r="E183" t="s">
        <v>277</v>
      </c>
      <c r="F183" t="s">
        <v>211</v>
      </c>
      <c r="G183" t="s">
        <v>278</v>
      </c>
      <c r="H183" t="s">
        <v>213</v>
      </c>
      <c r="I183" t="s">
        <v>214</v>
      </c>
      <c r="J183">
        <v>5</v>
      </c>
      <c r="M183" t="str">
        <f t="shared" si="8"/>
        <v>RCU-R(2p)4,</v>
      </c>
      <c r="N183" t="str">
        <f t="shared" si="9"/>
        <v>R5,</v>
      </c>
      <c r="O183" t="str">
        <f t="shared" si="10"/>
        <v>bar17,</v>
      </c>
      <c r="P183">
        <f t="shared" si="11"/>
        <v>6</v>
      </c>
    </row>
    <row r="184" spans="2:16" x14ac:dyDescent="0.3">
      <c r="B184" t="s">
        <v>207</v>
      </c>
      <c r="C184" t="s">
        <v>237</v>
      </c>
      <c r="D184" t="s">
        <v>209</v>
      </c>
      <c r="E184" t="s">
        <v>277</v>
      </c>
      <c r="F184" t="s">
        <v>211</v>
      </c>
      <c r="G184" t="s">
        <v>278</v>
      </c>
      <c r="H184" t="s">
        <v>213</v>
      </c>
      <c r="I184" t="s">
        <v>214</v>
      </c>
      <c r="J184">
        <v>5</v>
      </c>
      <c r="M184" t="str">
        <f t="shared" si="8"/>
        <v>RCU-R(2p)5,</v>
      </c>
      <c r="N184" t="str">
        <f t="shared" si="9"/>
        <v>R5,</v>
      </c>
      <c r="O184" t="str">
        <f t="shared" si="10"/>
        <v>bar17,</v>
      </c>
      <c r="P184">
        <f t="shared" si="11"/>
        <v>5</v>
      </c>
    </row>
    <row r="185" spans="2:16" x14ac:dyDescent="0.3">
      <c r="B185" t="s">
        <v>207</v>
      </c>
      <c r="C185" t="s">
        <v>238</v>
      </c>
      <c r="D185" t="s">
        <v>209</v>
      </c>
      <c r="E185" t="s">
        <v>277</v>
      </c>
      <c r="F185" t="s">
        <v>211</v>
      </c>
      <c r="G185" t="s">
        <v>239</v>
      </c>
      <c r="H185" t="s">
        <v>213</v>
      </c>
      <c r="I185" t="s">
        <v>214</v>
      </c>
      <c r="J185">
        <v>0</v>
      </c>
      <c r="M185" t="str">
        <f t="shared" si="8"/>
        <v>RCU-R(2p)6,</v>
      </c>
      <c r="N185" t="str">
        <f t="shared" si="9"/>
        <v>R5,</v>
      </c>
      <c r="O185" t="str">
        <f t="shared" si="10"/>
        <v>bar17,</v>
      </c>
      <c r="P185">
        <f t="shared" si="11"/>
        <v>5</v>
      </c>
    </row>
    <row r="186" spans="2:16" x14ac:dyDescent="0.3">
      <c r="B186" t="s">
        <v>207</v>
      </c>
      <c r="C186" t="s">
        <v>240</v>
      </c>
      <c r="D186" t="s">
        <v>209</v>
      </c>
      <c r="E186" t="s">
        <v>277</v>
      </c>
      <c r="F186" t="s">
        <v>211</v>
      </c>
      <c r="G186" t="s">
        <v>221</v>
      </c>
      <c r="H186" t="s">
        <v>213</v>
      </c>
      <c r="I186" t="s">
        <v>214</v>
      </c>
      <c r="J186">
        <v>5</v>
      </c>
      <c r="M186" t="str">
        <f t="shared" si="8"/>
        <v>BEF-R01-,</v>
      </c>
      <c r="N186" t="str">
        <f t="shared" si="9"/>
        <v>R5,</v>
      </c>
      <c r="O186" t="str">
        <f t="shared" si="10"/>
        <v>None,</v>
      </c>
      <c r="P186">
        <f t="shared" si="11"/>
        <v>0</v>
      </c>
    </row>
    <row r="187" spans="2:16" x14ac:dyDescent="0.3">
      <c r="B187" t="s">
        <v>207</v>
      </c>
      <c r="C187" t="s">
        <v>241</v>
      </c>
      <c r="D187" t="s">
        <v>209</v>
      </c>
      <c r="E187" t="s">
        <v>277</v>
      </c>
      <c r="F187" t="s">
        <v>211</v>
      </c>
      <c r="G187" t="s">
        <v>278</v>
      </c>
      <c r="H187" t="s">
        <v>213</v>
      </c>
      <c r="I187" t="s">
        <v>214</v>
      </c>
      <c r="J187">
        <v>8</v>
      </c>
      <c r="M187" t="str">
        <f t="shared" si="8"/>
        <v>BEF-R02-,</v>
      </c>
      <c r="N187" t="str">
        <f t="shared" si="9"/>
        <v>R5,</v>
      </c>
      <c r="O187" t="str">
        <f t="shared" si="10"/>
        <v>bar20,</v>
      </c>
      <c r="P187">
        <f t="shared" si="11"/>
        <v>5</v>
      </c>
    </row>
    <row r="188" spans="2:16" x14ac:dyDescent="0.3">
      <c r="B188" t="s">
        <v>207</v>
      </c>
      <c r="C188" t="s">
        <v>242</v>
      </c>
      <c r="D188" t="s">
        <v>209</v>
      </c>
      <c r="E188" t="s">
        <v>277</v>
      </c>
      <c r="F188" t="s">
        <v>211</v>
      </c>
      <c r="G188" t="s">
        <v>278</v>
      </c>
      <c r="H188" t="s">
        <v>213</v>
      </c>
      <c r="I188" t="s">
        <v>214</v>
      </c>
      <c r="J188">
        <v>8</v>
      </c>
      <c r="M188" t="str">
        <f t="shared" si="8"/>
        <v>BEF-R03-,</v>
      </c>
      <c r="N188" t="str">
        <f t="shared" si="9"/>
        <v>R5,</v>
      </c>
      <c r="O188" t="str">
        <f t="shared" si="10"/>
        <v>bar17,</v>
      </c>
      <c r="P188">
        <f t="shared" si="11"/>
        <v>8</v>
      </c>
    </row>
    <row r="189" spans="2:16" x14ac:dyDescent="0.3">
      <c r="B189" t="s">
        <v>207</v>
      </c>
      <c r="C189" t="s">
        <v>243</v>
      </c>
      <c r="D189" t="s">
        <v>209</v>
      </c>
      <c r="E189" t="s">
        <v>277</v>
      </c>
      <c r="F189" t="s">
        <v>211</v>
      </c>
      <c r="G189" t="s">
        <v>278</v>
      </c>
      <c r="H189" t="s">
        <v>213</v>
      </c>
      <c r="I189" t="s">
        <v>214</v>
      </c>
      <c r="J189">
        <v>9</v>
      </c>
      <c r="M189" t="str">
        <f t="shared" si="8"/>
        <v>BEF-R04-,</v>
      </c>
      <c r="N189" t="str">
        <f t="shared" si="9"/>
        <v>R5,</v>
      </c>
      <c r="O189" t="str">
        <f t="shared" si="10"/>
        <v>bar17,</v>
      </c>
      <c r="P189">
        <f t="shared" si="11"/>
        <v>8</v>
      </c>
    </row>
    <row r="190" spans="2:16" x14ac:dyDescent="0.3">
      <c r="B190" t="s">
        <v>207</v>
      </c>
      <c r="C190" t="s">
        <v>244</v>
      </c>
      <c r="D190" t="s">
        <v>209</v>
      </c>
      <c r="E190" t="s">
        <v>277</v>
      </c>
      <c r="F190" t="s">
        <v>211</v>
      </c>
      <c r="G190" t="s">
        <v>278</v>
      </c>
      <c r="H190" t="s">
        <v>213</v>
      </c>
      <c r="I190" t="s">
        <v>214</v>
      </c>
      <c r="J190">
        <v>10</v>
      </c>
      <c r="M190" t="str">
        <f t="shared" si="8"/>
        <v>BEF-R05-,</v>
      </c>
      <c r="N190" t="str">
        <f t="shared" si="9"/>
        <v>R5,</v>
      </c>
      <c r="O190" t="str">
        <f t="shared" si="10"/>
        <v>bar17,</v>
      </c>
      <c r="P190">
        <f t="shared" si="11"/>
        <v>9</v>
      </c>
    </row>
    <row r="191" spans="2:16" x14ac:dyDescent="0.3">
      <c r="B191" t="s">
        <v>207</v>
      </c>
      <c r="C191" t="s">
        <v>245</v>
      </c>
      <c r="D191" t="s">
        <v>209</v>
      </c>
      <c r="E191" t="s">
        <v>277</v>
      </c>
      <c r="F191" t="s">
        <v>211</v>
      </c>
      <c r="G191" t="s">
        <v>278</v>
      </c>
      <c r="H191" t="s">
        <v>213</v>
      </c>
      <c r="I191" t="s">
        <v>214</v>
      </c>
      <c r="J191">
        <v>11</v>
      </c>
      <c r="M191" t="str">
        <f t="shared" si="8"/>
        <v>BEF-R06-,</v>
      </c>
      <c r="N191" t="str">
        <f t="shared" si="9"/>
        <v>R5,</v>
      </c>
      <c r="O191" t="str">
        <f t="shared" si="10"/>
        <v>bar17,</v>
      </c>
      <c r="P191">
        <f t="shared" si="11"/>
        <v>10</v>
      </c>
    </row>
    <row r="192" spans="2:16" x14ac:dyDescent="0.3">
      <c r="B192" t="s">
        <v>207</v>
      </c>
      <c r="C192" t="s">
        <v>246</v>
      </c>
      <c r="D192" t="s">
        <v>209</v>
      </c>
      <c r="E192" t="s">
        <v>277</v>
      </c>
      <c r="F192" t="s">
        <v>211</v>
      </c>
      <c r="G192" t="s">
        <v>278</v>
      </c>
      <c r="H192" t="s">
        <v>213</v>
      </c>
      <c r="I192" t="s">
        <v>214</v>
      </c>
      <c r="J192">
        <v>10</v>
      </c>
      <c r="M192" t="str">
        <f t="shared" si="8"/>
        <v>BEF-R07-,</v>
      </c>
      <c r="N192" t="str">
        <f t="shared" si="9"/>
        <v>R5,</v>
      </c>
      <c r="O192" t="str">
        <f t="shared" si="10"/>
        <v>bar17,</v>
      </c>
      <c r="P192">
        <f t="shared" si="11"/>
        <v>11</v>
      </c>
    </row>
    <row r="193" spans="2:16" x14ac:dyDescent="0.3">
      <c r="B193" t="s">
        <v>207</v>
      </c>
      <c r="C193" t="s">
        <v>247</v>
      </c>
      <c r="D193" t="s">
        <v>209</v>
      </c>
      <c r="E193" t="s">
        <v>277</v>
      </c>
      <c r="F193" t="s">
        <v>211</v>
      </c>
      <c r="G193" t="s">
        <v>278</v>
      </c>
      <c r="H193" t="s">
        <v>213</v>
      </c>
      <c r="I193" t="s">
        <v>214</v>
      </c>
      <c r="J193">
        <v>9</v>
      </c>
      <c r="M193" t="str">
        <f t="shared" si="8"/>
        <v>BEF-R08-,</v>
      </c>
      <c r="N193" t="str">
        <f t="shared" si="9"/>
        <v>R5,</v>
      </c>
      <c r="O193" t="str">
        <f t="shared" si="10"/>
        <v>bar17,</v>
      </c>
      <c r="P193">
        <f t="shared" si="11"/>
        <v>10</v>
      </c>
    </row>
    <row r="194" spans="2:16" x14ac:dyDescent="0.3">
      <c r="B194" t="s">
        <v>207</v>
      </c>
      <c r="C194" t="s">
        <v>248</v>
      </c>
      <c r="D194" t="s">
        <v>209</v>
      </c>
      <c r="E194" t="s">
        <v>277</v>
      </c>
      <c r="F194" t="s">
        <v>211</v>
      </c>
      <c r="G194" t="s">
        <v>278</v>
      </c>
      <c r="H194" t="s">
        <v>213</v>
      </c>
      <c r="I194" t="s">
        <v>214</v>
      </c>
      <c r="J194">
        <v>8</v>
      </c>
      <c r="M194" t="str">
        <f t="shared" si="8"/>
        <v>BEF-R09-,</v>
      </c>
      <c r="N194" t="str">
        <f t="shared" si="9"/>
        <v>R5,</v>
      </c>
      <c r="O194" t="str">
        <f t="shared" si="10"/>
        <v>bar17,</v>
      </c>
      <c r="P194">
        <f t="shared" si="11"/>
        <v>9</v>
      </c>
    </row>
    <row r="195" spans="2:16" x14ac:dyDescent="0.3">
      <c r="B195" t="s">
        <v>207</v>
      </c>
      <c r="C195" t="s">
        <v>249</v>
      </c>
      <c r="D195" t="s">
        <v>209</v>
      </c>
      <c r="E195" t="s">
        <v>277</v>
      </c>
      <c r="F195" t="s">
        <v>211</v>
      </c>
      <c r="G195" t="s">
        <v>278</v>
      </c>
      <c r="H195" t="s">
        <v>213</v>
      </c>
      <c r="I195" t="s">
        <v>214</v>
      </c>
      <c r="J195">
        <v>6</v>
      </c>
      <c r="M195" t="str">
        <f t="shared" si="8"/>
        <v>BEF-R10-,</v>
      </c>
      <c r="N195" t="str">
        <f t="shared" si="9"/>
        <v>R5,</v>
      </c>
      <c r="O195" t="str">
        <f t="shared" si="10"/>
        <v>bar17,</v>
      </c>
      <c r="P195">
        <f t="shared" si="11"/>
        <v>8</v>
      </c>
    </row>
    <row r="196" spans="2:16" x14ac:dyDescent="0.3">
      <c r="B196" t="s">
        <v>207</v>
      </c>
      <c r="C196" t="s">
        <v>250</v>
      </c>
      <c r="D196" t="s">
        <v>209</v>
      </c>
      <c r="E196" t="s">
        <v>277</v>
      </c>
      <c r="F196" t="s">
        <v>211</v>
      </c>
      <c r="G196" t="s">
        <v>278</v>
      </c>
      <c r="H196" t="s">
        <v>213</v>
      </c>
      <c r="I196" t="s">
        <v>214</v>
      </c>
      <c r="J196">
        <v>2</v>
      </c>
      <c r="M196" t="str">
        <f t="shared" ref="M196:M241" si="12">C195</f>
        <v>BEF-R11-,</v>
      </c>
      <c r="N196" t="str">
        <f t="shared" ref="N196:N241" si="13">E195</f>
        <v>R5,</v>
      </c>
      <c r="O196" t="str">
        <f t="shared" ref="O196:O241" si="14">G195</f>
        <v>bar17,</v>
      </c>
      <c r="P196">
        <f t="shared" ref="P196:P241" si="15">J195</f>
        <v>6</v>
      </c>
    </row>
    <row r="197" spans="2:16" x14ac:dyDescent="0.3">
      <c r="B197" t="s">
        <v>207</v>
      </c>
      <c r="C197" t="s">
        <v>251</v>
      </c>
      <c r="D197" t="s">
        <v>209</v>
      </c>
      <c r="E197" t="s">
        <v>277</v>
      </c>
      <c r="F197" t="s">
        <v>211</v>
      </c>
      <c r="G197" t="s">
        <v>278</v>
      </c>
      <c r="H197" t="s">
        <v>213</v>
      </c>
      <c r="I197" t="s">
        <v>214</v>
      </c>
      <c r="J197">
        <v>3</v>
      </c>
      <c r="M197" t="str">
        <f t="shared" si="12"/>
        <v>BEF-R12-,</v>
      </c>
      <c r="N197" t="str">
        <f t="shared" si="13"/>
        <v>R5,</v>
      </c>
      <c r="O197" t="str">
        <f t="shared" si="14"/>
        <v>bar17,</v>
      </c>
      <c r="P197">
        <f t="shared" si="15"/>
        <v>2</v>
      </c>
    </row>
    <row r="198" spans="2:16" x14ac:dyDescent="0.3">
      <c r="B198" t="s">
        <v>207</v>
      </c>
      <c r="C198" t="s">
        <v>252</v>
      </c>
      <c r="D198" t="s">
        <v>209</v>
      </c>
      <c r="E198" t="s">
        <v>277</v>
      </c>
      <c r="F198" t="s">
        <v>211</v>
      </c>
      <c r="G198" t="s">
        <v>253</v>
      </c>
      <c r="H198" t="s">
        <v>213</v>
      </c>
      <c r="I198" t="s">
        <v>214</v>
      </c>
      <c r="J198">
        <v>2</v>
      </c>
      <c r="M198" t="str">
        <f t="shared" si="12"/>
        <v>BEF-R13-,</v>
      </c>
      <c r="N198" t="str">
        <f t="shared" si="13"/>
        <v>R5,</v>
      </c>
      <c r="O198" t="str">
        <f t="shared" si="14"/>
        <v>bar17,</v>
      </c>
      <c r="P198">
        <f t="shared" si="15"/>
        <v>3</v>
      </c>
    </row>
    <row r="199" spans="2:16" x14ac:dyDescent="0.3">
      <c r="B199" t="s">
        <v>207</v>
      </c>
      <c r="C199" t="s">
        <v>254</v>
      </c>
      <c r="D199" t="s">
        <v>209</v>
      </c>
      <c r="E199" t="s">
        <v>277</v>
      </c>
      <c r="F199" t="s">
        <v>211</v>
      </c>
      <c r="G199" t="s">
        <v>239</v>
      </c>
      <c r="H199" t="s">
        <v>213</v>
      </c>
      <c r="I199" t="s">
        <v>214</v>
      </c>
      <c r="J199">
        <v>0</v>
      </c>
      <c r="M199" t="str">
        <f t="shared" si="12"/>
        <v>BEF-R14-,</v>
      </c>
      <c r="N199" t="str">
        <f t="shared" si="13"/>
        <v>R5,</v>
      </c>
      <c r="O199" t="str">
        <f t="shared" si="14"/>
        <v>bar18,</v>
      </c>
      <c r="P199">
        <f t="shared" si="15"/>
        <v>2</v>
      </c>
    </row>
    <row r="200" spans="2:16" x14ac:dyDescent="0.3">
      <c r="B200" t="s">
        <v>207</v>
      </c>
      <c r="C200" t="s">
        <v>255</v>
      </c>
      <c r="D200" t="s">
        <v>209</v>
      </c>
      <c r="E200" t="s">
        <v>277</v>
      </c>
      <c r="F200" t="s">
        <v>211</v>
      </c>
      <c r="G200" t="s">
        <v>278</v>
      </c>
      <c r="H200" t="s">
        <v>213</v>
      </c>
      <c r="I200" t="s">
        <v>214</v>
      </c>
      <c r="J200">
        <v>2</v>
      </c>
      <c r="M200" t="str">
        <f t="shared" si="12"/>
        <v>BEF-R15-,</v>
      </c>
      <c r="N200" t="str">
        <f t="shared" si="13"/>
        <v>R5,</v>
      </c>
      <c r="O200" t="str">
        <f t="shared" si="14"/>
        <v>None,</v>
      </c>
      <c r="P200">
        <f t="shared" si="15"/>
        <v>0</v>
      </c>
    </row>
    <row r="201" spans="2:16" x14ac:dyDescent="0.3">
      <c r="M201" t="str">
        <f t="shared" si="12"/>
        <v>BEF-R16-,</v>
      </c>
      <c r="N201" t="str">
        <f t="shared" si="13"/>
        <v>R5,</v>
      </c>
      <c r="O201" t="str">
        <f t="shared" si="14"/>
        <v>bar17,</v>
      </c>
      <c r="P201">
        <f t="shared" si="15"/>
        <v>2</v>
      </c>
    </row>
    <row r="202" spans="2:16" x14ac:dyDescent="0.3">
      <c r="M202">
        <f t="shared" si="12"/>
        <v>0</v>
      </c>
      <c r="N202">
        <f t="shared" si="13"/>
        <v>0</v>
      </c>
      <c r="O202">
        <f t="shared" si="14"/>
        <v>0</v>
      </c>
      <c r="P202">
        <f t="shared" si="15"/>
        <v>0</v>
      </c>
    </row>
    <row r="203" spans="2:16" x14ac:dyDescent="0.3">
      <c r="M203">
        <f t="shared" si="12"/>
        <v>0</v>
      </c>
      <c r="N203">
        <f t="shared" si="13"/>
        <v>0</v>
      </c>
      <c r="O203">
        <f t="shared" si="14"/>
        <v>0</v>
      </c>
      <c r="P203">
        <f t="shared" si="15"/>
        <v>0</v>
      </c>
    </row>
    <row r="204" spans="2:16" x14ac:dyDescent="0.3">
      <c r="M204">
        <f t="shared" si="12"/>
        <v>0</v>
      </c>
      <c r="N204">
        <f t="shared" si="13"/>
        <v>0</v>
      </c>
      <c r="O204">
        <f t="shared" si="14"/>
        <v>0</v>
      </c>
      <c r="P204">
        <f t="shared" si="15"/>
        <v>0</v>
      </c>
    </row>
    <row r="205" spans="2:16" x14ac:dyDescent="0.3">
      <c r="M205">
        <f t="shared" si="12"/>
        <v>0</v>
      </c>
      <c r="N205">
        <f t="shared" si="13"/>
        <v>0</v>
      </c>
      <c r="O205">
        <f t="shared" si="14"/>
        <v>0</v>
      </c>
      <c r="P205">
        <f t="shared" si="15"/>
        <v>0</v>
      </c>
    </row>
    <row r="206" spans="2:16" x14ac:dyDescent="0.3">
      <c r="M206">
        <f t="shared" si="12"/>
        <v>0</v>
      </c>
      <c r="N206">
        <f t="shared" si="13"/>
        <v>0</v>
      </c>
      <c r="O206">
        <f t="shared" si="14"/>
        <v>0</v>
      </c>
      <c r="P206">
        <f t="shared" si="15"/>
        <v>0</v>
      </c>
    </row>
    <row r="207" spans="2:16" x14ac:dyDescent="0.3">
      <c r="M207">
        <f t="shared" si="12"/>
        <v>0</v>
      </c>
      <c r="N207">
        <f t="shared" si="13"/>
        <v>0</v>
      </c>
      <c r="O207">
        <f t="shared" si="14"/>
        <v>0</v>
      </c>
      <c r="P207">
        <f t="shared" si="15"/>
        <v>0</v>
      </c>
    </row>
    <row r="208" spans="2:16" x14ac:dyDescent="0.3">
      <c r="M208">
        <f t="shared" si="12"/>
        <v>0</v>
      </c>
      <c r="N208">
        <f t="shared" si="13"/>
        <v>0</v>
      </c>
      <c r="O208">
        <f t="shared" si="14"/>
        <v>0</v>
      </c>
      <c r="P208">
        <f t="shared" si="15"/>
        <v>0</v>
      </c>
    </row>
    <row r="209" spans="13:16" x14ac:dyDescent="0.3">
      <c r="M209">
        <f t="shared" si="12"/>
        <v>0</v>
      </c>
      <c r="N209">
        <f t="shared" si="13"/>
        <v>0</v>
      </c>
      <c r="O209">
        <f t="shared" si="14"/>
        <v>0</v>
      </c>
      <c r="P209">
        <f t="shared" si="15"/>
        <v>0</v>
      </c>
    </row>
    <row r="210" spans="13:16" x14ac:dyDescent="0.3">
      <c r="M210">
        <f t="shared" si="12"/>
        <v>0</v>
      </c>
      <c r="N210">
        <f t="shared" si="13"/>
        <v>0</v>
      </c>
      <c r="O210">
        <f t="shared" si="14"/>
        <v>0</v>
      </c>
      <c r="P210">
        <f t="shared" si="15"/>
        <v>0</v>
      </c>
    </row>
    <row r="211" spans="13:16" x14ac:dyDescent="0.3">
      <c r="M211">
        <f t="shared" si="12"/>
        <v>0</v>
      </c>
      <c r="N211">
        <f t="shared" si="13"/>
        <v>0</v>
      </c>
      <c r="O211">
        <f t="shared" si="14"/>
        <v>0</v>
      </c>
      <c r="P211">
        <f t="shared" si="15"/>
        <v>0</v>
      </c>
    </row>
    <row r="212" spans="13:16" x14ac:dyDescent="0.3">
      <c r="M212">
        <f t="shared" si="12"/>
        <v>0</v>
      </c>
      <c r="N212">
        <f t="shared" si="13"/>
        <v>0</v>
      </c>
      <c r="O212">
        <f t="shared" si="14"/>
        <v>0</v>
      </c>
      <c r="P212">
        <f t="shared" si="15"/>
        <v>0</v>
      </c>
    </row>
    <row r="213" spans="13:16" x14ac:dyDescent="0.3">
      <c r="M213">
        <f t="shared" si="12"/>
        <v>0</v>
      </c>
      <c r="N213">
        <f t="shared" si="13"/>
        <v>0</v>
      </c>
      <c r="O213">
        <f t="shared" si="14"/>
        <v>0</v>
      </c>
      <c r="P213">
        <f t="shared" si="15"/>
        <v>0</v>
      </c>
    </row>
    <row r="214" spans="13:16" x14ac:dyDescent="0.3">
      <c r="M214">
        <f t="shared" si="12"/>
        <v>0</v>
      </c>
      <c r="N214">
        <f t="shared" si="13"/>
        <v>0</v>
      </c>
      <c r="O214">
        <f t="shared" si="14"/>
        <v>0</v>
      </c>
      <c r="P214">
        <f t="shared" si="15"/>
        <v>0</v>
      </c>
    </row>
    <row r="215" spans="13:16" x14ac:dyDescent="0.3">
      <c r="M215">
        <f t="shared" si="12"/>
        <v>0</v>
      </c>
      <c r="N215">
        <f t="shared" si="13"/>
        <v>0</v>
      </c>
      <c r="O215">
        <f t="shared" si="14"/>
        <v>0</v>
      </c>
      <c r="P215">
        <f t="shared" si="15"/>
        <v>0</v>
      </c>
    </row>
    <row r="216" spans="13:16" x14ac:dyDescent="0.3">
      <c r="M216">
        <f t="shared" si="12"/>
        <v>0</v>
      </c>
      <c r="N216">
        <f t="shared" si="13"/>
        <v>0</v>
      </c>
      <c r="O216">
        <f t="shared" si="14"/>
        <v>0</v>
      </c>
      <c r="P216">
        <f t="shared" si="15"/>
        <v>0</v>
      </c>
    </row>
    <row r="217" spans="13:16" x14ac:dyDescent="0.3">
      <c r="M217">
        <f t="shared" si="12"/>
        <v>0</v>
      </c>
      <c r="N217">
        <f t="shared" si="13"/>
        <v>0</v>
      </c>
      <c r="O217">
        <f t="shared" si="14"/>
        <v>0</v>
      </c>
      <c r="P217">
        <f t="shared" si="15"/>
        <v>0</v>
      </c>
    </row>
    <row r="218" spans="13:16" x14ac:dyDescent="0.3">
      <c r="M218">
        <f t="shared" si="12"/>
        <v>0</v>
      </c>
      <c r="N218">
        <f t="shared" si="13"/>
        <v>0</v>
      </c>
      <c r="O218">
        <f t="shared" si="14"/>
        <v>0</v>
      </c>
      <c r="P218">
        <f t="shared" si="15"/>
        <v>0</v>
      </c>
    </row>
    <row r="219" spans="13:16" x14ac:dyDescent="0.3">
      <c r="M219">
        <f t="shared" si="12"/>
        <v>0</v>
      </c>
      <c r="N219">
        <f t="shared" si="13"/>
        <v>0</v>
      </c>
      <c r="O219">
        <f t="shared" si="14"/>
        <v>0</v>
      </c>
      <c r="P219">
        <f t="shared" si="15"/>
        <v>0</v>
      </c>
    </row>
    <row r="220" spans="13:16" x14ac:dyDescent="0.3">
      <c r="M220">
        <f t="shared" si="12"/>
        <v>0</v>
      </c>
      <c r="N220">
        <f t="shared" si="13"/>
        <v>0</v>
      </c>
      <c r="O220">
        <f t="shared" si="14"/>
        <v>0</v>
      </c>
      <c r="P220">
        <f t="shared" si="15"/>
        <v>0</v>
      </c>
    </row>
    <row r="221" spans="13:16" x14ac:dyDescent="0.3">
      <c r="M221">
        <f t="shared" si="12"/>
        <v>0</v>
      </c>
      <c r="N221">
        <f t="shared" si="13"/>
        <v>0</v>
      </c>
      <c r="O221">
        <f t="shared" si="14"/>
        <v>0</v>
      </c>
      <c r="P221">
        <f t="shared" si="15"/>
        <v>0</v>
      </c>
    </row>
    <row r="222" spans="13:16" x14ac:dyDescent="0.3">
      <c r="M222">
        <f t="shared" si="12"/>
        <v>0</v>
      </c>
      <c r="N222">
        <f t="shared" si="13"/>
        <v>0</v>
      </c>
      <c r="O222">
        <f t="shared" si="14"/>
        <v>0</v>
      </c>
      <c r="P222">
        <f t="shared" si="15"/>
        <v>0</v>
      </c>
    </row>
    <row r="223" spans="13:16" x14ac:dyDescent="0.3">
      <c r="M223">
        <f t="shared" si="12"/>
        <v>0</v>
      </c>
      <c r="N223">
        <f t="shared" si="13"/>
        <v>0</v>
      </c>
      <c r="O223">
        <f t="shared" si="14"/>
        <v>0</v>
      </c>
      <c r="P223">
        <f t="shared" si="15"/>
        <v>0</v>
      </c>
    </row>
    <row r="224" spans="13:16" x14ac:dyDescent="0.3">
      <c r="M224">
        <f t="shared" si="12"/>
        <v>0</v>
      </c>
      <c r="N224">
        <f t="shared" si="13"/>
        <v>0</v>
      </c>
      <c r="O224">
        <f t="shared" si="14"/>
        <v>0</v>
      </c>
      <c r="P224">
        <f t="shared" si="15"/>
        <v>0</v>
      </c>
    </row>
    <row r="225" spans="13:16" x14ac:dyDescent="0.3">
      <c r="M225">
        <f t="shared" si="12"/>
        <v>0</v>
      </c>
      <c r="N225">
        <f t="shared" si="13"/>
        <v>0</v>
      </c>
      <c r="O225">
        <f t="shared" si="14"/>
        <v>0</v>
      </c>
      <c r="P225">
        <f t="shared" si="15"/>
        <v>0</v>
      </c>
    </row>
    <row r="226" spans="13:16" x14ac:dyDescent="0.3">
      <c r="M226">
        <f t="shared" si="12"/>
        <v>0</v>
      </c>
      <c r="N226">
        <f t="shared" si="13"/>
        <v>0</v>
      </c>
      <c r="O226">
        <f t="shared" si="14"/>
        <v>0</v>
      </c>
      <c r="P226">
        <f t="shared" si="15"/>
        <v>0</v>
      </c>
    </row>
    <row r="227" spans="13:16" x14ac:dyDescent="0.3">
      <c r="M227">
        <f t="shared" si="12"/>
        <v>0</v>
      </c>
      <c r="N227">
        <f t="shared" si="13"/>
        <v>0</v>
      </c>
      <c r="O227">
        <f t="shared" si="14"/>
        <v>0</v>
      </c>
      <c r="P227">
        <f t="shared" si="15"/>
        <v>0</v>
      </c>
    </row>
    <row r="228" spans="13:16" x14ac:dyDescent="0.3">
      <c r="M228">
        <f t="shared" si="12"/>
        <v>0</v>
      </c>
      <c r="N228">
        <f t="shared" si="13"/>
        <v>0</v>
      </c>
      <c r="O228">
        <f t="shared" si="14"/>
        <v>0</v>
      </c>
      <c r="P228">
        <f t="shared" si="15"/>
        <v>0</v>
      </c>
    </row>
    <row r="229" spans="13:16" x14ac:dyDescent="0.3">
      <c r="M229">
        <f t="shared" si="12"/>
        <v>0</v>
      </c>
      <c r="N229">
        <f t="shared" si="13"/>
        <v>0</v>
      </c>
      <c r="O229">
        <f t="shared" si="14"/>
        <v>0</v>
      </c>
      <c r="P229">
        <f t="shared" si="15"/>
        <v>0</v>
      </c>
    </row>
    <row r="230" spans="13:16" x14ac:dyDescent="0.3">
      <c r="M230">
        <f t="shared" si="12"/>
        <v>0</v>
      </c>
      <c r="N230">
        <f t="shared" si="13"/>
        <v>0</v>
      </c>
      <c r="O230">
        <f t="shared" si="14"/>
        <v>0</v>
      </c>
      <c r="P230">
        <f t="shared" si="15"/>
        <v>0</v>
      </c>
    </row>
    <row r="231" spans="13:16" x14ac:dyDescent="0.3">
      <c r="M231">
        <f t="shared" si="12"/>
        <v>0</v>
      </c>
      <c r="N231">
        <f t="shared" si="13"/>
        <v>0</v>
      </c>
      <c r="O231">
        <f t="shared" si="14"/>
        <v>0</v>
      </c>
      <c r="P231">
        <f t="shared" si="15"/>
        <v>0</v>
      </c>
    </row>
    <row r="232" spans="13:16" x14ac:dyDescent="0.3">
      <c r="M232">
        <f t="shared" si="12"/>
        <v>0</v>
      </c>
      <c r="N232">
        <f t="shared" si="13"/>
        <v>0</v>
      </c>
      <c r="O232">
        <f t="shared" si="14"/>
        <v>0</v>
      </c>
      <c r="P232">
        <f t="shared" si="15"/>
        <v>0</v>
      </c>
    </row>
    <row r="233" spans="13:16" x14ac:dyDescent="0.3">
      <c r="M233">
        <f t="shared" si="12"/>
        <v>0</v>
      </c>
      <c r="N233">
        <f t="shared" si="13"/>
        <v>0</v>
      </c>
      <c r="O233">
        <f t="shared" si="14"/>
        <v>0</v>
      </c>
      <c r="P233">
        <f t="shared" si="15"/>
        <v>0</v>
      </c>
    </row>
    <row r="234" spans="13:16" x14ac:dyDescent="0.3">
      <c r="M234">
        <f t="shared" si="12"/>
        <v>0</v>
      </c>
      <c r="N234">
        <f t="shared" si="13"/>
        <v>0</v>
      </c>
      <c r="O234">
        <f t="shared" si="14"/>
        <v>0</v>
      </c>
      <c r="P234">
        <f t="shared" si="15"/>
        <v>0</v>
      </c>
    </row>
    <row r="235" spans="13:16" x14ac:dyDescent="0.3">
      <c r="M235">
        <f t="shared" si="12"/>
        <v>0</v>
      </c>
      <c r="N235">
        <f t="shared" si="13"/>
        <v>0</v>
      </c>
      <c r="O235">
        <f t="shared" si="14"/>
        <v>0</v>
      </c>
      <c r="P235">
        <f t="shared" si="15"/>
        <v>0</v>
      </c>
    </row>
    <row r="236" spans="13:16" x14ac:dyDescent="0.3">
      <c r="M236">
        <f t="shared" si="12"/>
        <v>0</v>
      </c>
      <c r="N236">
        <f t="shared" si="13"/>
        <v>0</v>
      </c>
      <c r="O236">
        <f t="shared" si="14"/>
        <v>0</v>
      </c>
      <c r="P236">
        <f t="shared" si="15"/>
        <v>0</v>
      </c>
    </row>
    <row r="237" spans="13:16" x14ac:dyDescent="0.3">
      <c r="M237">
        <f t="shared" si="12"/>
        <v>0</v>
      </c>
      <c r="N237">
        <f t="shared" si="13"/>
        <v>0</v>
      </c>
      <c r="O237">
        <f t="shared" si="14"/>
        <v>0</v>
      </c>
      <c r="P237">
        <f t="shared" si="15"/>
        <v>0</v>
      </c>
    </row>
    <row r="238" spans="13:16" x14ac:dyDescent="0.3">
      <c r="M238">
        <f t="shared" si="12"/>
        <v>0</v>
      </c>
      <c r="N238">
        <f t="shared" si="13"/>
        <v>0</v>
      </c>
      <c r="O238">
        <f t="shared" si="14"/>
        <v>0</v>
      </c>
      <c r="P238">
        <f t="shared" si="15"/>
        <v>0</v>
      </c>
    </row>
    <row r="239" spans="13:16" x14ac:dyDescent="0.3">
      <c r="M239">
        <f t="shared" si="12"/>
        <v>0</v>
      </c>
      <c r="N239">
        <f t="shared" si="13"/>
        <v>0</v>
      </c>
      <c r="O239">
        <f t="shared" si="14"/>
        <v>0</v>
      </c>
      <c r="P239">
        <f t="shared" si="15"/>
        <v>0</v>
      </c>
    </row>
    <row r="240" spans="13:16" x14ac:dyDescent="0.3">
      <c r="M240">
        <f t="shared" si="12"/>
        <v>0</v>
      </c>
      <c r="N240">
        <f t="shared" si="13"/>
        <v>0</v>
      </c>
      <c r="O240">
        <f t="shared" si="14"/>
        <v>0</v>
      </c>
      <c r="P240">
        <f t="shared" si="15"/>
        <v>0</v>
      </c>
    </row>
    <row r="241" spans="13:16" x14ac:dyDescent="0.3">
      <c r="M241">
        <f t="shared" si="12"/>
        <v>0</v>
      </c>
      <c r="N241">
        <f t="shared" si="13"/>
        <v>0</v>
      </c>
      <c r="O241">
        <f t="shared" si="14"/>
        <v>0</v>
      </c>
      <c r="P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4.4" x14ac:dyDescent="0.3"/>
  <cols>
    <col min="1" max="1" width="9.109375" customWidth="1"/>
    <col min="2" max="2" width="9.109375" style="67" customWidth="1"/>
    <col min="3" max="3" width="23.109375" bestFit="1" customWidth="1"/>
    <col min="4" max="4" width="6.6640625" customWidth="1"/>
    <col min="5" max="5" width="15.6640625" bestFit="1" customWidth="1"/>
    <col min="6" max="6" width="9.109375" bestFit="1" customWidth="1"/>
    <col min="7" max="7" width="18" bestFit="1" customWidth="1"/>
    <col min="8" max="8" width="8.33203125" customWidth="1"/>
    <col min="14" max="14" width="8.6640625" customWidth="1"/>
    <col min="15" max="15" width="9.109375" style="67" customWidth="1"/>
    <col min="16" max="16" width="23.109375" bestFit="1" customWidth="1"/>
    <col min="17" max="17" width="6.6640625" customWidth="1"/>
    <col min="18" max="18" width="15.6640625" bestFit="1" customWidth="1"/>
    <col min="19" max="19" width="8.33203125" customWidth="1"/>
  </cols>
  <sheetData>
    <row r="1" spans="2:19" ht="15.75" customHeight="1" thickBot="1" x14ac:dyDescent="0.35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LwA_XYZ'!I2)</f>
        <v>86</v>
      </c>
      <c r="E3" s="91" t="str">
        <f>IF($B3="","",-1*ROUND(_xlfn.XLOOKUP($J$2,'Input LwA_XYZ'!$AQ$1:$BE$1,'Input LwA_XYZ'!AQ2:BE2),0) &amp; " / " &amp; ROUND(_xlfn.XLOOKUP($J$2,'Input LwA_XYZ'!$Z$1:$AN$1,'Input LwA_XYZ'!Z2:AN2),0) &amp; " ft")</f>
        <v>33 / 58 ft</v>
      </c>
      <c r="F3" s="91" t="str">
        <f>IF($B3="","",IF(_xlfn.XLOOKUP($J$2,'Input LwA_XYZ'!$BN$1:$CB$1,'Input LwA_XYZ'!BN2:CB2)="","-",_xlfn.XLOOKUP($J$2,'Input LwA_XYZ'!$BN$1:$CB$1,'Input LwA_XYZ'!BN2:CB2)))</f>
        <v>-</v>
      </c>
      <c r="G3" s="91" t="str">
        <f>IF($B3="","",IF('Input LwA_XYZ'!K2="","-",'Input LwA_XYZ'!K2))</f>
        <v>-</v>
      </c>
      <c r="H3" s="92">
        <f>IF($B3="","",_xlfn.XLOOKUP($J$2,'Input LwA_XYZ'!$CE$1:$CS$1,'Input LwA_XYZ'!CE2:CS2))</f>
        <v>53.035955044406158</v>
      </c>
      <c r="I3" s="5">
        <f t="shared" ref="I3:I34" si="0">IFERROR(10^(H3/10),0)</f>
        <v>201184.9569565875</v>
      </c>
      <c r="J3" s="107">
        <f t="shared" ref="J3:J34" si="1">H3</f>
        <v>53.035955044406158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LwA_XYZ'!I3)</f>
        <v>91</v>
      </c>
      <c r="E4" s="91" t="str">
        <f>IF($B4="","",-1*ROUND(_xlfn.XLOOKUP($J$2,'Input LwA_XYZ'!$AQ$1:$BE$1,'Input LwA_XYZ'!AQ3:BE3),0) &amp; " / " &amp; ROUND(_xlfn.XLOOKUP($J$2,'Input LwA_XYZ'!$Z$1:$AN$1,'Input LwA_XYZ'!Z3:AN3),0) &amp; " ft")</f>
        <v>37 / 91 ft</v>
      </c>
      <c r="F4" s="91" t="str">
        <f>IF($B4="","",IF(_xlfn.XLOOKUP($J$2,'Input LwA_XYZ'!$BN$1:$CB$1,'Input LwA_XYZ'!BN3:CB3)="","-",_xlfn.XLOOKUP($J$2,'Input LwA_XYZ'!$BN$1:$CB$1,'Input LwA_XYZ'!BN3:CB3)))</f>
        <v>-</v>
      </c>
      <c r="G4" s="91" t="str">
        <f>IF($B4="","",IF('Input LwA_XYZ'!K3="","-",'Input LwA_XYZ'!K3))</f>
        <v>-</v>
      </c>
      <c r="H4" s="65">
        <f>IF($B4="","",_xlfn.XLOOKUP($J$2,'Input LwA_XYZ'!$CE$1:$CS$1,'Input LwA_XYZ'!CE3:CS3))</f>
        <v>54.153806778312443</v>
      </c>
      <c r="I4" s="5">
        <f t="shared" si="0"/>
        <v>260243.97142672204</v>
      </c>
      <c r="J4" s="107">
        <f t="shared" si="1"/>
        <v>54.153806778312443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LwA_XYZ'!I4)</f>
        <v>82</v>
      </c>
      <c r="E5" s="91" t="str">
        <f>IF($B5="","",-1*ROUND(_xlfn.XLOOKUP($J$2,'Input LwA_XYZ'!$AQ$1:$BE$1,'Input LwA_XYZ'!AQ4:BE4),0) &amp; " / " &amp; ROUND(_xlfn.XLOOKUP($J$2,'Input LwA_XYZ'!$Z$1:$AN$1,'Input LwA_XYZ'!Z4:AN4),0) &amp; " ft")</f>
        <v>39 / 113 ft</v>
      </c>
      <c r="F5" s="91" t="str">
        <f>IF($B5="","",IF(_xlfn.XLOOKUP($J$2,'Input LwA_XYZ'!$BN$1:$CB$1,'Input LwA_XYZ'!BN4:CB4)="","-",_xlfn.XLOOKUP($J$2,'Input LwA_XYZ'!$BN$1:$CB$1,'Input LwA_XYZ'!BN4:CB4)))</f>
        <v>-</v>
      </c>
      <c r="G5" s="91">
        <f>IF($B5="","",IF('Input LwA_XYZ'!K4="","-",'Input LwA_XYZ'!K4))</f>
        <v>13</v>
      </c>
      <c r="H5" s="65">
        <f>IF($B5="","",_xlfn.XLOOKUP($J$2,'Input LwA_XYZ'!$CE$1:$CS$1,'Input LwA_XYZ'!CE4:CS4))</f>
        <v>30.257586877827322</v>
      </c>
      <c r="I5" s="5">
        <f t="shared" si="0"/>
        <v>1061.1057985094824</v>
      </c>
      <c r="J5" s="107">
        <f t="shared" si="1"/>
        <v>30.257586877827322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LwA_XYZ'!I5)</f>
        <v>70</v>
      </c>
      <c r="E6" s="91" t="str">
        <f>IF($B6="","",-1*ROUND(_xlfn.XLOOKUP($J$2,'Input LwA_XYZ'!$AQ$1:$BE$1,'Input LwA_XYZ'!AQ5:BE5),0) &amp; " / " &amp; ROUND(_xlfn.XLOOKUP($J$2,'Input LwA_XYZ'!$Z$1:$AN$1,'Input LwA_XYZ'!Z5:AN5),0) &amp; " ft")</f>
        <v>38 / 100 ft</v>
      </c>
      <c r="F6" s="91" t="str">
        <f>IF($B6="","",IF(_xlfn.XLOOKUP($J$2,'Input LwA_XYZ'!$BN$1:$CB$1,'Input LwA_XYZ'!BN5:CB5)="","-",_xlfn.XLOOKUP($J$2,'Input LwA_XYZ'!$BN$1:$CB$1,'Input LwA_XYZ'!BN5:CB5)))</f>
        <v>-</v>
      </c>
      <c r="G6" s="91" t="str">
        <f>IF($B6="","",IF('Input LwA_XYZ'!K5="","-",'Input LwA_XYZ'!K5))</f>
        <v>-</v>
      </c>
      <c r="H6" s="65">
        <f>IF($B6="","",_xlfn.XLOOKUP($J$2,'Input LwA_XYZ'!$CE$1:$CS$1,'Input LwA_XYZ'!CE5:CS5))</f>
        <v>32.30095416557397</v>
      </c>
      <c r="I6" s="5">
        <f t="shared" si="0"/>
        <v>1698.6168056366901</v>
      </c>
      <c r="J6" s="107">
        <f t="shared" si="1"/>
        <v>32.30095416557397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LwA_XYZ'!I6)</f>
        <v>80</v>
      </c>
      <c r="E7" s="91" t="str">
        <f>IF($B7="","",-1*ROUND(_xlfn.XLOOKUP($J$2,'Input LwA_XYZ'!$AQ$1:$BE$1,'Input LwA_XYZ'!AQ6:BE6),0) &amp; " / " &amp; ROUND(_xlfn.XLOOKUP($J$2,'Input LwA_XYZ'!$Z$1:$AN$1,'Input LwA_XYZ'!Z6:AN6),0) &amp; " ft")</f>
        <v>34 / 68 ft</v>
      </c>
      <c r="F7" s="91" t="str">
        <f>IF($B7="","",IF(_xlfn.XLOOKUP($J$2,'Input LwA_XYZ'!$BN$1:$CB$1,'Input LwA_XYZ'!BN6:CB6)="","-",_xlfn.XLOOKUP($J$2,'Input LwA_XYZ'!$BN$1:$CB$1,'Input LwA_XYZ'!BN6:CB6)))</f>
        <v>-</v>
      </c>
      <c r="G7" s="91" t="str">
        <f>IF($B7="","",IF('Input LwA_XYZ'!K6="","-",'Input LwA_XYZ'!K6))</f>
        <v>-</v>
      </c>
      <c r="H7" s="65">
        <f>IF($B7="","",_xlfn.XLOOKUP($J$2,'Input LwA_XYZ'!$CE$1:$CS$1,'Input LwA_XYZ'!CE6:CS6))</f>
        <v>45.734224892398835</v>
      </c>
      <c r="I7" s="5">
        <f t="shared" si="0"/>
        <v>37447.470665310255</v>
      </c>
      <c r="J7" s="107">
        <f t="shared" si="1"/>
        <v>45.734224892398835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LwA_XYZ'!I7)</f>
        <v>71</v>
      </c>
      <c r="E8" s="91" t="str">
        <f>IF($B8="","",-1*ROUND(_xlfn.XLOOKUP($J$2,'Input LwA_XYZ'!$AQ$1:$BE$1,'Input LwA_XYZ'!AQ7:BE7),0) &amp; " / " &amp; ROUND(_xlfn.XLOOKUP($J$2,'Input LwA_XYZ'!$Z$1:$AN$1,'Input LwA_XYZ'!Z7:AN7),0) &amp; " ft")</f>
        <v>33 / 62 ft</v>
      </c>
      <c r="F8" s="91" t="str">
        <f>IF($B8="","",IF(_xlfn.XLOOKUP($J$2,'Input LwA_XYZ'!$BN$1:$CB$1,'Input LwA_XYZ'!BN7:CB7)="","-",_xlfn.XLOOKUP($J$2,'Input LwA_XYZ'!$BN$1:$CB$1,'Input LwA_XYZ'!BN7:CB7)))</f>
        <v>-</v>
      </c>
      <c r="G8" s="91" t="str">
        <f>IF($B8="","",IF('Input LwA_XYZ'!K7="","-",'Input LwA_XYZ'!K7))</f>
        <v>-</v>
      </c>
      <c r="H8" s="65">
        <f>IF($B8="","",_xlfn.XLOOKUP($J$2,'Input LwA_XYZ'!$CE$1:$CS$1,'Input LwA_XYZ'!CE7:CS7))</f>
        <v>37.54006952554149</v>
      </c>
      <c r="I8" s="5">
        <f t="shared" si="0"/>
        <v>5675.5369121633521</v>
      </c>
      <c r="J8" s="107">
        <f t="shared" si="1"/>
        <v>37.54006952554149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LwA_XYZ'!I8)</f>
        <v>84</v>
      </c>
      <c r="E9" s="91" t="str">
        <f>IF($B9="","",-1*ROUND(_xlfn.XLOOKUP($J$2,'Input LwA_XYZ'!$AQ$1:$BE$1,'Input LwA_XYZ'!AQ8:BE8),0) &amp; " / " &amp; ROUND(_xlfn.XLOOKUP($J$2,'Input LwA_XYZ'!$Z$1:$AN$1,'Input LwA_XYZ'!Z8:AN8),0) &amp; " ft")</f>
        <v>35 / 78 ft</v>
      </c>
      <c r="F9" s="91" t="str">
        <f>IF($B9="","",IF(_xlfn.XLOOKUP($J$2,'Input LwA_XYZ'!$BN$1:$CB$1,'Input LwA_XYZ'!BN8:CB8)="","-",_xlfn.XLOOKUP($J$2,'Input LwA_XYZ'!$BN$1:$CB$1,'Input LwA_XYZ'!BN8:CB8)))</f>
        <v>-</v>
      </c>
      <c r="G9" s="91" t="str">
        <f>IF($B9="","",IF('Input LwA_XYZ'!K8="","-",'Input LwA_XYZ'!K8))</f>
        <v>-</v>
      </c>
      <c r="H9" s="65">
        <f>IF($B9="","",_xlfn.XLOOKUP($J$2,'Input LwA_XYZ'!$CE$1:$CS$1,'Input LwA_XYZ'!CE8:CS8))</f>
        <v>48.52140187763441</v>
      </c>
      <c r="I9" s="5">
        <f t="shared" si="0"/>
        <v>71144.312634596572</v>
      </c>
      <c r="J9" s="107">
        <f t="shared" si="1"/>
        <v>48.52140187763441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LwA_XYZ'!I9)</f>
        <v>81</v>
      </c>
      <c r="E10" s="91" t="str">
        <f>IF($B10="","",-1*ROUND(_xlfn.XLOOKUP($J$2,'Input LwA_XYZ'!$AQ$1:$BE$1,'Input LwA_XYZ'!AQ9:BE9),0) &amp; " / " &amp; ROUND(_xlfn.XLOOKUP($J$2,'Input LwA_XYZ'!$Z$1:$AN$1,'Input LwA_XYZ'!Z9:AN9),0) &amp; " ft")</f>
        <v>35 / 75 ft</v>
      </c>
      <c r="F10" s="91" t="str">
        <f>IF($B10="","",IF(_xlfn.XLOOKUP($J$2,'Input LwA_XYZ'!$BN$1:$CB$1,'Input LwA_XYZ'!BN9:CB9)="","-",_xlfn.XLOOKUP($J$2,'Input LwA_XYZ'!$BN$1:$CB$1,'Input LwA_XYZ'!BN9:CB9)))</f>
        <v>-</v>
      </c>
      <c r="G10" s="91" t="str">
        <f>IF($B10="","",IF('Input LwA_XYZ'!K9="","-",'Input LwA_XYZ'!K9))</f>
        <v>-</v>
      </c>
      <c r="H10" s="65">
        <f>IF($B10="","",_xlfn.XLOOKUP($J$2,'Input LwA_XYZ'!$CE$1:$CS$1,'Input LwA_XYZ'!CE9:CS9))</f>
        <v>45.80408608731566</v>
      </c>
      <c r="I10" s="5">
        <f t="shared" si="0"/>
        <v>38054.726826413236</v>
      </c>
      <c r="J10" s="107">
        <f t="shared" si="1"/>
        <v>45.80408608731566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LwA_XYZ'!I10)</f>
        <v>73</v>
      </c>
      <c r="E11" s="91" t="str">
        <f>IF($B11="","",-1*ROUND(_xlfn.XLOOKUP($J$2,'Input LwA_XYZ'!$AQ$1:$BE$1,'Input LwA_XYZ'!AQ10:BE10),0) &amp; " / " &amp; ROUND(_xlfn.XLOOKUP($J$2,'Input LwA_XYZ'!$Z$1:$AN$1,'Input LwA_XYZ'!Z10:AN10),0) &amp; " ft")</f>
        <v>36 / 84 ft</v>
      </c>
      <c r="F11" s="91" t="str">
        <f>IF($B11="","",IF(_xlfn.XLOOKUP($J$2,'Input LwA_XYZ'!$BN$1:$CB$1,'Input LwA_XYZ'!BN10:CB10)="","-",_xlfn.XLOOKUP($J$2,'Input LwA_XYZ'!$BN$1:$CB$1,'Input LwA_XYZ'!BN10:CB10)))</f>
        <v>-</v>
      </c>
      <c r="G11" s="91" t="str">
        <f>IF($B11="","",IF('Input LwA_XYZ'!K10="","-",'Input LwA_XYZ'!K10))</f>
        <v>-</v>
      </c>
      <c r="H11" s="65">
        <f>IF($B11="","",_xlfn.XLOOKUP($J$2,'Input LwA_XYZ'!$CE$1:$CS$1,'Input LwA_XYZ'!CE10:CS10))</f>
        <v>36.852291475833873</v>
      </c>
      <c r="I11" s="5">
        <f t="shared" si="0"/>
        <v>4844.2789973408508</v>
      </c>
      <c r="J11" s="107">
        <f t="shared" si="1"/>
        <v>36.852291475833873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LwA_XYZ'!I11)</f>
        <v>75</v>
      </c>
      <c r="E12" s="91" t="str">
        <f>IF($B12="","",-1*ROUND(_xlfn.XLOOKUP($J$2,'Input LwA_XYZ'!$AQ$1:$BE$1,'Input LwA_XYZ'!AQ11:BE11),0) &amp; " / " &amp; ROUND(_xlfn.XLOOKUP($J$2,'Input LwA_XYZ'!$Z$1:$AN$1,'Input LwA_XYZ'!Z11:AN11),0) &amp; " ft")</f>
        <v>33 / 62 ft</v>
      </c>
      <c r="F12" s="91" t="str">
        <f>IF($B12="","",IF(_xlfn.XLOOKUP($J$2,'Input LwA_XYZ'!$BN$1:$CB$1,'Input LwA_XYZ'!BN11:CB11)="","-",_xlfn.XLOOKUP($J$2,'Input LwA_XYZ'!$BN$1:$CB$1,'Input LwA_XYZ'!BN11:CB11)))</f>
        <v>-</v>
      </c>
      <c r="G12" s="91" t="str">
        <f>IF($B12="","",IF('Input LwA_XYZ'!K11="","-",'Input LwA_XYZ'!K11))</f>
        <v>-</v>
      </c>
      <c r="H12" s="65">
        <f>IF($B12="","",_xlfn.XLOOKUP($J$2,'Input LwA_XYZ'!$CE$1:$CS$1,'Input LwA_XYZ'!CE11:CS11))</f>
        <v>41.537434955241174</v>
      </c>
      <c r="I12" s="5">
        <f t="shared" si="0"/>
        <v>14247.658450258685</v>
      </c>
      <c r="J12" s="107">
        <f t="shared" si="1"/>
        <v>41.537434955241174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LwA_XYZ'!I12)</f>
        <v>73</v>
      </c>
      <c r="E13" s="91" t="str">
        <f>IF($B13="","",-1*ROUND(_xlfn.XLOOKUP($J$2,'Input LwA_XYZ'!$AQ$1:$BE$1,'Input LwA_XYZ'!AQ12:BE12),0) &amp; " / " &amp; ROUND(_xlfn.XLOOKUP($J$2,'Input LwA_XYZ'!$Z$1:$AN$1,'Input LwA_XYZ'!Z12:AN12),0) &amp; " ft")</f>
        <v>40 / 130 ft</v>
      </c>
      <c r="F13" s="91" t="str">
        <f>IF($B13="","",IF(_xlfn.XLOOKUP($J$2,'Input LwA_XYZ'!$BN$1:$CB$1,'Input LwA_XYZ'!BN12:CB12)="","-",_xlfn.XLOOKUP($J$2,'Input LwA_XYZ'!$BN$1:$CB$1,'Input LwA_XYZ'!BN12:CB12)))</f>
        <v>-</v>
      </c>
      <c r="G13" s="91" t="str">
        <f>IF($B13="","",IF('Input LwA_XYZ'!K12="","-",'Input LwA_XYZ'!K12))</f>
        <v>-</v>
      </c>
      <c r="H13" s="65">
        <f>IF($B13="","",_xlfn.XLOOKUP($J$2,'Input LwA_XYZ'!$CE$1:$CS$1,'Input LwA_XYZ'!CE12:CS12))</f>
        <v>33.026342162869959</v>
      </c>
      <c r="I13" s="5">
        <f t="shared" si="0"/>
        <v>2007.4013703617341</v>
      </c>
      <c r="J13" s="107">
        <f t="shared" si="1"/>
        <v>33.026342162869959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LwA_XYZ'!I13)</f>
        <v>73</v>
      </c>
      <c r="E14" s="91" t="str">
        <f>IF($B14="","",-1*ROUND(_xlfn.XLOOKUP($J$2,'Input LwA_XYZ'!$AQ$1:$BE$1,'Input LwA_XYZ'!AQ13:BE13),0) &amp; " / " &amp; ROUND(_xlfn.XLOOKUP($J$2,'Input LwA_XYZ'!$Z$1:$AN$1,'Input LwA_XYZ'!Z13:AN13),0) &amp; " ft")</f>
        <v>39 / 112 ft</v>
      </c>
      <c r="F14" s="91" t="str">
        <f>IF($B14="","",IF(_xlfn.XLOOKUP($J$2,'Input LwA_XYZ'!$BN$1:$CB$1,'Input LwA_XYZ'!BN13:CB13)="","-",_xlfn.XLOOKUP($J$2,'Input LwA_XYZ'!$BN$1:$CB$1,'Input LwA_XYZ'!BN13:CB13)))</f>
        <v>-</v>
      </c>
      <c r="G14" s="91" t="str">
        <f>IF($B14="","",IF('Input LwA_XYZ'!K13="","-",'Input LwA_XYZ'!K13))</f>
        <v>-</v>
      </c>
      <c r="H14" s="65">
        <f>IF($B14="","",_xlfn.XLOOKUP($J$2,'Input LwA_XYZ'!$CE$1:$CS$1,'Input LwA_XYZ'!CE13:CS13))</f>
        <v>34.371980985312547</v>
      </c>
      <c r="I14" s="5">
        <f t="shared" si="0"/>
        <v>2736.516672892838</v>
      </c>
      <c r="J14" s="107">
        <f t="shared" si="1"/>
        <v>34.371980985312547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LwA_XYZ'!I14)</f>
        <v>73</v>
      </c>
      <c r="E15" s="91" t="str">
        <f>IF($B15="","",-1*ROUND(_xlfn.XLOOKUP($J$2,'Input LwA_XYZ'!$AQ$1:$BE$1,'Input LwA_XYZ'!AQ14:BE14),0) &amp; " / " &amp; ROUND(_xlfn.XLOOKUP($J$2,'Input LwA_XYZ'!$Z$1:$AN$1,'Input LwA_XYZ'!Z14:AN14),0) &amp; " ft")</f>
        <v>36 / 81 ft</v>
      </c>
      <c r="F15" s="91" t="str">
        <f>IF($B15="","",IF(_xlfn.XLOOKUP($J$2,'Input LwA_XYZ'!$BN$1:$CB$1,'Input LwA_XYZ'!BN14:CB14)="","-",_xlfn.XLOOKUP($J$2,'Input LwA_XYZ'!$BN$1:$CB$1,'Input LwA_XYZ'!BN14:CB14)))</f>
        <v>-</v>
      </c>
      <c r="G15" s="91" t="str">
        <f>IF($B15="","",IF('Input LwA_XYZ'!K14="","-",'Input LwA_XYZ'!K14))</f>
        <v>-</v>
      </c>
      <c r="H15" s="65">
        <f>IF($B15="","",_xlfn.XLOOKUP($J$2,'Input LwA_XYZ'!$CE$1:$CS$1,'Input LwA_XYZ'!CE14:CS14))</f>
        <v>37.213787496935964</v>
      </c>
      <c r="I15" s="5">
        <f t="shared" si="0"/>
        <v>5264.7620792952021</v>
      </c>
      <c r="J15" s="107">
        <f t="shared" si="1"/>
        <v>37.213787496935964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LwA_XYZ'!I15)</f>
        <v>73</v>
      </c>
      <c r="E16" s="91" t="str">
        <f>IF($B16="","",-1*ROUND(_xlfn.XLOOKUP($J$2,'Input LwA_XYZ'!$AQ$1:$BE$1,'Input LwA_XYZ'!AQ15:BE15),0) &amp; " / " &amp; ROUND(_xlfn.XLOOKUP($J$2,'Input LwA_XYZ'!$Z$1:$AN$1,'Input LwA_XYZ'!Z15:AN15),0) &amp; " ft")</f>
        <v>35 / 71 ft</v>
      </c>
      <c r="F16" s="91" t="str">
        <f>IF($B16="","",IF(_xlfn.XLOOKUP($J$2,'Input LwA_XYZ'!$BN$1:$CB$1,'Input LwA_XYZ'!BN15:CB15)="","-",_xlfn.XLOOKUP($J$2,'Input LwA_XYZ'!$BN$1:$CB$1,'Input LwA_XYZ'!BN15:CB15)))</f>
        <v>-</v>
      </c>
      <c r="G16" s="91" t="str">
        <f>IF($B16="","",IF('Input LwA_XYZ'!K15="","-",'Input LwA_XYZ'!K15))</f>
        <v>-</v>
      </c>
      <c r="H16" s="65">
        <f>IF($B16="","",_xlfn.XLOOKUP($J$2,'Input LwA_XYZ'!$CE$1:$CS$1,'Input LwA_XYZ'!CE15:CS15))</f>
        <v>38.342204126758617</v>
      </c>
      <c r="I16" s="5">
        <f t="shared" si="0"/>
        <v>6826.8508184535885</v>
      </c>
      <c r="J16" s="107">
        <f t="shared" si="1"/>
        <v>38.342204126758617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LwA_XYZ'!I16)</f>
        <v>73</v>
      </c>
      <c r="E17" s="91" t="str">
        <f>IF($B17="","",-1*ROUND(_xlfn.XLOOKUP($J$2,'Input LwA_XYZ'!$AQ$1:$BE$1,'Input LwA_XYZ'!AQ16:BE16),0) &amp; " / " &amp; ROUND(_xlfn.XLOOKUP($J$2,'Input LwA_XYZ'!$Z$1:$AN$1,'Input LwA_XYZ'!Z16:AN16),0) &amp; " ft")</f>
        <v>33 / 56 ft</v>
      </c>
      <c r="F17" s="91" t="str">
        <f>IF($B17="","",IF(_xlfn.XLOOKUP($J$2,'Input LwA_XYZ'!$BN$1:$CB$1,'Input LwA_XYZ'!BN16:CB16)="","-",_xlfn.XLOOKUP($J$2,'Input LwA_XYZ'!$BN$1:$CB$1,'Input LwA_XYZ'!BN16:CB16)))</f>
        <v>-</v>
      </c>
      <c r="G17" s="91" t="str">
        <f>IF($B17="","",IF('Input LwA_XYZ'!K16="","-",'Input LwA_XYZ'!K16))</f>
        <v>-</v>
      </c>
      <c r="H17" s="65">
        <f>IF($B17="","",_xlfn.XLOOKUP($J$2,'Input LwA_XYZ'!$CE$1:$CS$1,'Input LwA_XYZ'!CE16:CS16))</f>
        <v>40.319367884295211</v>
      </c>
      <c r="I17" s="5">
        <f t="shared" si="0"/>
        <v>10763.085454983828</v>
      </c>
      <c r="J17" s="107">
        <f t="shared" si="1"/>
        <v>40.319367884295211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LwA_XYZ'!I17)</f>
        <v>73</v>
      </c>
      <c r="E18" s="91" t="str">
        <f>IF($B18="","",-1*ROUND(_xlfn.XLOOKUP($J$2,'Input LwA_XYZ'!$AQ$1:$BE$1,'Input LwA_XYZ'!AQ17:BE17),0) &amp; " / " &amp; ROUND(_xlfn.XLOOKUP($J$2,'Input LwA_XYZ'!$Z$1:$AN$1,'Input LwA_XYZ'!Z17:AN17),0) &amp; " ft")</f>
        <v>32 / 53 ft</v>
      </c>
      <c r="F18" s="91" t="str">
        <f>IF($B18="","",IF(_xlfn.XLOOKUP($J$2,'Input LwA_XYZ'!$BN$1:$CB$1,'Input LwA_XYZ'!BN17:CB17)="","-",_xlfn.XLOOKUP($J$2,'Input LwA_XYZ'!$BN$1:$CB$1,'Input LwA_XYZ'!BN17:CB17)))</f>
        <v>-</v>
      </c>
      <c r="G18" s="91" t="str">
        <f>IF($B18="","",IF('Input LwA_XYZ'!K17="","-",'Input LwA_XYZ'!K17))</f>
        <v>-</v>
      </c>
      <c r="H18" s="65">
        <f>IF($B18="","",_xlfn.XLOOKUP($J$2,'Input LwA_XYZ'!$CE$1:$CS$1,'Input LwA_XYZ'!CE17:CS17))</f>
        <v>40.826236427152921</v>
      </c>
      <c r="I18" s="5">
        <f t="shared" si="0"/>
        <v>12095.494900963531</v>
      </c>
      <c r="J18" s="107">
        <f t="shared" si="1"/>
        <v>40.826236427152921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LwA_XYZ'!I18)</f>
        <v>73</v>
      </c>
      <c r="E19" s="91" t="str">
        <f>IF($B19="","",-1*ROUND(_xlfn.XLOOKUP($J$2,'Input LwA_XYZ'!$AQ$1:$BE$1,'Input LwA_XYZ'!AQ18:BE18),0) &amp; " / " &amp; ROUND(_xlfn.XLOOKUP($J$2,'Input LwA_XYZ'!$Z$1:$AN$1,'Input LwA_XYZ'!Z18:AN18),0) &amp; " ft")</f>
        <v>35 / 75 ft</v>
      </c>
      <c r="F19" s="91" t="str">
        <f>IF($B19="","",IF(_xlfn.XLOOKUP($J$2,'Input LwA_XYZ'!$BN$1:$CB$1,'Input LwA_XYZ'!BN18:CB18)="","-",_xlfn.XLOOKUP($J$2,'Input LwA_XYZ'!$BN$1:$CB$1,'Input LwA_XYZ'!BN18:CB18)))</f>
        <v>-</v>
      </c>
      <c r="G19" s="91" t="str">
        <f>IF($B19="","",IF('Input LwA_XYZ'!K18="","-",'Input LwA_XYZ'!K18))</f>
        <v>-</v>
      </c>
      <c r="H19" s="65">
        <f>IF($B19="","",_xlfn.XLOOKUP($J$2,'Input LwA_XYZ'!$CE$1:$CS$1,'Input LwA_XYZ'!CE18:CS18))</f>
        <v>37.81178133424271</v>
      </c>
      <c r="I19" s="5">
        <f t="shared" si="0"/>
        <v>6041.9640020595052</v>
      </c>
      <c r="J19" s="107">
        <f t="shared" si="1"/>
        <v>37.81178133424271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LwA_XYZ'!I19)</f>
        <v>73</v>
      </c>
      <c r="E20" s="91" t="str">
        <f>IF($B20="","",-1*ROUND(_xlfn.XLOOKUP($J$2,'Input LwA_XYZ'!$AQ$1:$BE$1,'Input LwA_XYZ'!AQ19:BE19),0) &amp; " / " &amp; ROUND(_xlfn.XLOOKUP($J$2,'Input LwA_XYZ'!$Z$1:$AN$1,'Input LwA_XYZ'!Z19:AN19),0) &amp; " ft")</f>
        <v>36 / 85 ft</v>
      </c>
      <c r="F20" s="91" t="str">
        <f>IF($B20="","",IF(_xlfn.XLOOKUP($J$2,'Input LwA_XYZ'!$BN$1:$CB$1,'Input LwA_XYZ'!BN19:CB19)="","-",_xlfn.XLOOKUP($J$2,'Input LwA_XYZ'!$BN$1:$CB$1,'Input LwA_XYZ'!BN19:CB19)))</f>
        <v>-</v>
      </c>
      <c r="G20" s="91" t="str">
        <f>IF($B20="","",IF('Input LwA_XYZ'!K19="","-",'Input LwA_XYZ'!K19))</f>
        <v>-</v>
      </c>
      <c r="H20" s="65">
        <f>IF($B20="","",_xlfn.XLOOKUP($J$2,'Input LwA_XYZ'!$CE$1:$CS$1,'Input LwA_XYZ'!CE19:CS19))</f>
        <v>36.718086963771597</v>
      </c>
      <c r="I20" s="5">
        <f t="shared" si="0"/>
        <v>4696.8716918164855</v>
      </c>
      <c r="J20" s="107">
        <f t="shared" si="1"/>
        <v>36.718086963771597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LwA_XYZ'!I20)</f>
        <v>73</v>
      </c>
      <c r="E21" s="91" t="str">
        <f>IF($B21="","",-1*ROUND(_xlfn.XLOOKUP($J$2,'Input LwA_XYZ'!$AQ$1:$BE$1,'Input LwA_XYZ'!AQ20:BE20),0) &amp; " / " &amp; ROUND(_xlfn.XLOOKUP($J$2,'Input LwA_XYZ'!$Z$1:$AN$1,'Input LwA_XYZ'!Z20:AN20),0) &amp; " ft")</f>
        <v>37 / 88 ft</v>
      </c>
      <c r="F21" s="91" t="str">
        <f>IF($B21="","",IF(_xlfn.XLOOKUP($J$2,'Input LwA_XYZ'!$BN$1:$CB$1,'Input LwA_XYZ'!BN20:CB20)="","-",_xlfn.XLOOKUP($J$2,'Input LwA_XYZ'!$BN$1:$CB$1,'Input LwA_XYZ'!BN20:CB20)))</f>
        <v>-</v>
      </c>
      <c r="G21" s="91" t="str">
        <f>IF($B21="","",IF('Input LwA_XYZ'!K20="","-",'Input LwA_XYZ'!K20))</f>
        <v>-</v>
      </c>
      <c r="H21" s="65">
        <f>IF($B21="","",_xlfn.XLOOKUP($J$2,'Input LwA_XYZ'!$CE$1:$CS$1,'Input LwA_XYZ'!CE20:CS20))</f>
        <v>36.467097770011215</v>
      </c>
      <c r="I21" s="5">
        <f t="shared" si="0"/>
        <v>4433.122956516363</v>
      </c>
      <c r="J21" s="107">
        <f t="shared" si="1"/>
        <v>36.467097770011215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LwA_XYZ'!I21)</f>
        <v>73</v>
      </c>
      <c r="E22" s="91" t="str">
        <f>IF($B22="","",-1*ROUND(_xlfn.XLOOKUP($J$2,'Input LwA_XYZ'!$AQ$1:$BE$1,'Input LwA_XYZ'!AQ21:BE21),0) &amp; " / " &amp; ROUND(_xlfn.XLOOKUP($J$2,'Input LwA_XYZ'!$Z$1:$AN$1,'Input LwA_XYZ'!Z21:AN21),0) &amp; " ft")</f>
        <v>37 / 95 ft</v>
      </c>
      <c r="F22" s="91" t="str">
        <f>IF($B22="","",IF(_xlfn.XLOOKUP($J$2,'Input LwA_XYZ'!$BN$1:$CB$1,'Input LwA_XYZ'!BN21:CB21)="","-",_xlfn.XLOOKUP($J$2,'Input LwA_XYZ'!$BN$1:$CB$1,'Input LwA_XYZ'!BN21:CB21)))</f>
        <v>-</v>
      </c>
      <c r="G22" s="91" t="str">
        <f>IF($B22="","",IF('Input LwA_XYZ'!K21="","-",'Input LwA_XYZ'!K21))</f>
        <v>-</v>
      </c>
      <c r="H22" s="65">
        <f>IF($B22="","",_xlfn.XLOOKUP($J$2,'Input LwA_XYZ'!$CE$1:$CS$1,'Input LwA_XYZ'!CE21:CS21))</f>
        <v>35.819081497716411</v>
      </c>
      <c r="I22" s="5">
        <f t="shared" si="0"/>
        <v>3818.6350085457098</v>
      </c>
      <c r="J22" s="107">
        <f t="shared" si="1"/>
        <v>35.819081497716411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LwA_XYZ'!I22)</f>
        <v>73</v>
      </c>
      <c r="E23" s="91" t="str">
        <f>IF($B23="","",-1*ROUND(_xlfn.XLOOKUP($J$2,'Input LwA_XYZ'!$AQ$1:$BE$1,'Input LwA_XYZ'!AQ22:BE22),0) &amp; " / " &amp; ROUND(_xlfn.XLOOKUP($J$2,'Input LwA_XYZ'!$Z$1:$AN$1,'Input LwA_XYZ'!Z22:AN22),0) &amp; " ft")</f>
        <v>38 / 105 ft</v>
      </c>
      <c r="F23" s="91" t="str">
        <f>IF($B23="","",IF(_xlfn.XLOOKUP($J$2,'Input LwA_XYZ'!$BN$1:$CB$1,'Input LwA_XYZ'!BN22:CB22)="","-",_xlfn.XLOOKUP($J$2,'Input LwA_XYZ'!$BN$1:$CB$1,'Input LwA_XYZ'!BN22:CB22)))</f>
        <v>-</v>
      </c>
      <c r="G23" s="91" t="str">
        <f>IF($B23="","",IF('Input LwA_XYZ'!K22="","-",'Input LwA_XYZ'!K22))</f>
        <v>-</v>
      </c>
      <c r="H23" s="65">
        <f>IF($B23="","",_xlfn.XLOOKUP($J$2,'Input LwA_XYZ'!$CE$1:$CS$1,'Input LwA_XYZ'!CE22:CS22))</f>
        <v>34.943818856947438</v>
      </c>
      <c r="I23" s="5">
        <f t="shared" si="0"/>
        <v>3121.6333056527733</v>
      </c>
      <c r="J23" s="107">
        <f t="shared" si="1"/>
        <v>34.943818856947438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LwA_XYZ'!I23)</f>
        <v>57</v>
      </c>
      <c r="E24" s="91" t="str">
        <f>IF($B24="","",-1*ROUND(_xlfn.XLOOKUP($J$2,'Input LwA_XYZ'!$AQ$1:$BE$1,'Input LwA_XYZ'!AQ23:BE23),0) &amp; " / " &amp; ROUND(_xlfn.XLOOKUP($J$2,'Input LwA_XYZ'!$Z$1:$AN$1,'Input LwA_XYZ'!Z23:AN23),0) &amp; " ft")</f>
        <v>35 / 70 ft</v>
      </c>
      <c r="F24" s="91" t="str">
        <f>IF($B24="","",IF(_xlfn.XLOOKUP($J$2,'Input LwA_XYZ'!$BN$1:$CB$1,'Input LwA_XYZ'!BN23:CB23)="","-",_xlfn.XLOOKUP($J$2,'Input LwA_XYZ'!$BN$1:$CB$1,'Input LwA_XYZ'!BN23:CB23)))</f>
        <v>-</v>
      </c>
      <c r="G24" s="91" t="str">
        <f>IF($B24="","",IF('Input LwA_XYZ'!K23="","-",'Input LwA_XYZ'!K23))</f>
        <v>-</v>
      </c>
      <c r="H24" s="65">
        <f>IF($B24="","",_xlfn.XLOOKUP($J$2,'Input LwA_XYZ'!$CE$1:$CS$1,'Input LwA_XYZ'!CE23:CS23))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LwA_XYZ'!I24)</f>
        <v>66</v>
      </c>
      <c r="E25" s="91" t="str">
        <f>IF($B25="","",-1*ROUND(_xlfn.XLOOKUP($J$2,'Input LwA_XYZ'!$AQ$1:$BE$1,'Input LwA_XYZ'!AQ24:BE24),0) &amp; " / " &amp; ROUND(_xlfn.XLOOKUP($J$2,'Input LwA_XYZ'!$Z$1:$AN$1,'Input LwA_XYZ'!Z24:AN24),0) &amp; " ft")</f>
        <v>33 / 58 ft</v>
      </c>
      <c r="F25" s="91" t="str">
        <f>IF($B25="","",IF(_xlfn.XLOOKUP($J$2,'Input LwA_XYZ'!$BN$1:$CB$1,'Input LwA_XYZ'!BN24:CB24)="","-",_xlfn.XLOOKUP($J$2,'Input LwA_XYZ'!$BN$1:$CB$1,'Input LwA_XYZ'!BN24:CB24)))</f>
        <v>-</v>
      </c>
      <c r="G25" s="91" t="str">
        <f>IF($B25="","",IF('Input LwA_XYZ'!K24="","-",'Input LwA_XYZ'!K24))</f>
        <v>-</v>
      </c>
      <c r="H25" s="65">
        <f>IF($B25="","",_xlfn.XLOOKUP($J$2,'Input LwA_XYZ'!$CE$1:$CS$1,'Input LwA_XYZ'!CE24:CS24))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LwA_XYZ'!I25)</f>
        <v>66</v>
      </c>
      <c r="E26" s="91" t="str">
        <f>IF($B26="","",-1*ROUND(_xlfn.XLOOKUP($J$2,'Input LwA_XYZ'!$AQ$1:$BE$1,'Input LwA_XYZ'!AQ25:BE25),0) &amp; " / " &amp; ROUND(_xlfn.XLOOKUP($J$2,'Input LwA_XYZ'!$Z$1:$AN$1,'Input LwA_XYZ'!Z25:AN25),0) &amp; " ft")</f>
        <v>32 / 53 ft</v>
      </c>
      <c r="F26" s="91" t="str">
        <f>IF($B26="","",IF(_xlfn.XLOOKUP($J$2,'Input LwA_XYZ'!$BN$1:$CB$1,'Input LwA_XYZ'!BN25:CB25)="","-",_xlfn.XLOOKUP($J$2,'Input LwA_XYZ'!$BN$1:$CB$1,'Input LwA_XYZ'!BN25:CB25)))</f>
        <v>-</v>
      </c>
      <c r="G26" s="91" t="str">
        <f>IF($B26="","",IF('Input LwA_XYZ'!K25="","-",'Input LwA_XYZ'!K25))</f>
        <v>-</v>
      </c>
      <c r="H26" s="65">
        <f>IF($B26="","",_xlfn.XLOOKUP($J$2,'Input LwA_XYZ'!$CE$1:$CS$1,'Input LwA_XYZ'!CE25:CS25))</f>
        <v>33.784624203825743</v>
      </c>
      <c r="I26" s="5">
        <f t="shared" si="0"/>
        <v>2390.3550883317566</v>
      </c>
      <c r="J26" s="107">
        <f t="shared" si="1"/>
        <v>33.784624203825743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LwA_XYZ'!I26)</f>
        <v>66</v>
      </c>
      <c r="E27" s="91" t="str">
        <f>IF($B27="","",-1*ROUND(_xlfn.XLOOKUP($J$2,'Input LwA_XYZ'!$AQ$1:$BE$1,'Input LwA_XYZ'!AQ26:BE26),0) &amp; " / " &amp; ROUND(_xlfn.XLOOKUP($J$2,'Input LwA_XYZ'!$Z$1:$AN$1,'Input LwA_XYZ'!Z26:AN26),0) &amp; " ft")</f>
        <v>34 / 65 ft</v>
      </c>
      <c r="F27" s="91" t="str">
        <f>IF($B27="","",IF(_xlfn.XLOOKUP($J$2,'Input LwA_XYZ'!$BN$1:$CB$1,'Input LwA_XYZ'!BN26:CB26)="","-",_xlfn.XLOOKUP($J$2,'Input LwA_XYZ'!$BN$1:$CB$1,'Input LwA_XYZ'!BN26:CB26)))</f>
        <v>-</v>
      </c>
      <c r="G27" s="91" t="str">
        <f>IF($B27="","",IF('Input LwA_XYZ'!K26="","-",'Input LwA_XYZ'!K26))</f>
        <v>-</v>
      </c>
      <c r="H27" s="65">
        <f>IF($B27="","",_xlfn.XLOOKUP($J$2,'Input LwA_XYZ'!$CE$1:$CS$1,'Input LwA_XYZ'!CE26:CS26))</f>
        <v>32.100515350516773</v>
      </c>
      <c r="I27" s="5">
        <f t="shared" si="0"/>
        <v>1622.0025589945794</v>
      </c>
      <c r="J27" s="107">
        <f t="shared" si="1"/>
        <v>32.100515350516773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LwA_XYZ'!I27)</f>
        <v>66</v>
      </c>
      <c r="E28" s="91" t="str">
        <f>IF($B28="","",-1*ROUND(_xlfn.XLOOKUP($J$2,'Input LwA_XYZ'!$AQ$1:$BE$1,'Input LwA_XYZ'!AQ27:BE27),0) &amp; " / " &amp; ROUND(_xlfn.XLOOKUP($J$2,'Input LwA_XYZ'!$Z$1:$AN$1,'Input LwA_XYZ'!Z27:AN27),0) &amp; " ft")</f>
        <v>35 / 76 ft</v>
      </c>
      <c r="F28" s="91" t="str">
        <f>IF($B28="","",IF(_xlfn.XLOOKUP($J$2,'Input LwA_XYZ'!$BN$1:$CB$1,'Input LwA_XYZ'!BN27:CB27)="","-",_xlfn.XLOOKUP($J$2,'Input LwA_XYZ'!$BN$1:$CB$1,'Input LwA_XYZ'!BN27:CB27)))</f>
        <v>-</v>
      </c>
      <c r="G28" s="91" t="str">
        <f>IF($B28="","",IF('Input LwA_XYZ'!K27="","-",'Input LwA_XYZ'!K27))</f>
        <v>-</v>
      </c>
      <c r="H28" s="65">
        <f>IF($B28="","",_xlfn.XLOOKUP($J$2,'Input LwA_XYZ'!$CE$1:$CS$1,'Input LwA_XYZ'!CE27:CS27))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LwA_XYZ'!I28)</f>
        <v>66</v>
      </c>
      <c r="E29" s="91" t="str">
        <f>IF($B29="","",-1*ROUND(_xlfn.XLOOKUP($J$2,'Input LwA_XYZ'!$AQ$1:$BE$1,'Input LwA_XYZ'!AQ28:BE28),0) &amp; " / " &amp; ROUND(_xlfn.XLOOKUP($J$2,'Input LwA_XYZ'!$Z$1:$AN$1,'Input LwA_XYZ'!Z28:AN28),0) &amp; " ft")</f>
        <v>35 / 75 ft</v>
      </c>
      <c r="F29" s="91" t="str">
        <f>IF($B29="","",IF(_xlfn.XLOOKUP($J$2,'Input LwA_XYZ'!$BN$1:$CB$1,'Input LwA_XYZ'!BN28:CB28)="","-",_xlfn.XLOOKUP($J$2,'Input LwA_XYZ'!$BN$1:$CB$1,'Input LwA_XYZ'!BN28:CB28)))</f>
        <v>-</v>
      </c>
      <c r="G29" s="91" t="str">
        <f>IF($B29="","",IF('Input LwA_XYZ'!K28="","-",'Input LwA_XYZ'!K28))</f>
        <v>-</v>
      </c>
      <c r="H29" s="65">
        <f>IF($B29="","",_xlfn.XLOOKUP($J$2,'Input LwA_XYZ'!$CE$1:$CS$1,'Input LwA_XYZ'!CE28:CS28))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LwA_XYZ'!I29)</f>
        <v>57</v>
      </c>
      <c r="E30" s="91" t="str">
        <f>IF($B30="","",-1*ROUND(_xlfn.XLOOKUP($J$2,'Input LwA_XYZ'!$AQ$1:$BE$1,'Input LwA_XYZ'!AQ29:BE29),0) &amp; " / " &amp; ROUND(_xlfn.XLOOKUP($J$2,'Input LwA_XYZ'!$Z$1:$AN$1,'Input LwA_XYZ'!Z29:AN29),0) &amp; " ft")</f>
        <v>36 / 85 ft</v>
      </c>
      <c r="F30" s="91" t="str">
        <f>IF($B30="","",IF(_xlfn.XLOOKUP($J$2,'Input LwA_XYZ'!$BN$1:$CB$1,'Input LwA_XYZ'!BN29:CB29)="","-",_xlfn.XLOOKUP($J$2,'Input LwA_XYZ'!$BN$1:$CB$1,'Input LwA_XYZ'!BN29:CB29)))</f>
        <v>-</v>
      </c>
      <c r="G30" s="91" t="str">
        <f>IF($B30="","",IF('Input LwA_XYZ'!K29="","-",'Input LwA_XYZ'!K29))</f>
        <v>-</v>
      </c>
      <c r="H30" s="65">
        <f>IF($B30="","",_xlfn.XLOOKUP($J$2,'Input LwA_XYZ'!$CE$1:$CS$1,'Input LwA_XYZ'!CE29:CS29))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LwA_XYZ'!I30)</f>
        <v>57</v>
      </c>
      <c r="E31" s="91" t="str">
        <f>IF($B31="","",-1*ROUND(_xlfn.XLOOKUP($J$2,'Input LwA_XYZ'!$AQ$1:$BE$1,'Input LwA_XYZ'!AQ30:BE30),0) &amp; " / " &amp; ROUND(_xlfn.XLOOKUP($J$2,'Input LwA_XYZ'!$Z$1:$AN$1,'Input LwA_XYZ'!Z30:AN30),0) &amp; " ft")</f>
        <v>39 / 121 ft</v>
      </c>
      <c r="F31" s="91" t="str">
        <f>IF($B31="","",IF(_xlfn.XLOOKUP($J$2,'Input LwA_XYZ'!$BN$1:$CB$1,'Input LwA_XYZ'!BN30:CB30)="","-",_xlfn.XLOOKUP($J$2,'Input LwA_XYZ'!$BN$1:$CB$1,'Input LwA_XYZ'!BN30:CB30)))</f>
        <v>-</v>
      </c>
      <c r="G31" s="91" t="str">
        <f>IF($B31="","",IF('Input LwA_XYZ'!K30="","-",'Input LwA_XYZ'!K30))</f>
        <v>-</v>
      </c>
      <c r="H31" s="65">
        <f>IF($B31="","",_xlfn.XLOOKUP($J$2,'Input LwA_XYZ'!$CE$1:$CS$1,'Input LwA_XYZ'!CE30:CS30))</f>
        <v>17.655732485669475</v>
      </c>
      <c r="I31" s="5">
        <f t="shared" si="0"/>
        <v>58.287207432741504</v>
      </c>
      <c r="J31" s="107">
        <f t="shared" si="1"/>
        <v>17.655732485669475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LwA_XYZ'!I31)</f>
        <v>66</v>
      </c>
      <c r="E32" s="91" t="str">
        <f>IF($B32="","",-1*ROUND(_xlfn.XLOOKUP($J$2,'Input LwA_XYZ'!$AQ$1:$BE$1,'Input LwA_XYZ'!AQ31:BE31),0) &amp; " / " &amp; ROUND(_xlfn.XLOOKUP($J$2,'Input LwA_XYZ'!$Z$1:$AN$1,'Input LwA_XYZ'!Z31:AN31),0) &amp; " ft")</f>
        <v>39 / 119 ft</v>
      </c>
      <c r="F32" s="91" t="str">
        <f>IF($B32="","",IF(_xlfn.XLOOKUP($J$2,'Input LwA_XYZ'!$BN$1:$CB$1,'Input LwA_XYZ'!BN31:CB31)="","-",_xlfn.XLOOKUP($J$2,'Input LwA_XYZ'!$BN$1:$CB$1,'Input LwA_XYZ'!BN31:CB31)))</f>
        <v>-</v>
      </c>
      <c r="G32" s="91" t="str">
        <f>IF($B32="","",IF('Input LwA_XYZ'!K31="","-",'Input LwA_XYZ'!K31))</f>
        <v>-</v>
      </c>
      <c r="H32" s="65">
        <f>IF($B32="","",_xlfn.XLOOKUP($J$2,'Input LwA_XYZ'!$CE$1:$CS$1,'Input LwA_XYZ'!CE31:CS31))</f>
        <v>26.853958839131273</v>
      </c>
      <c r="I32" s="5">
        <f t="shared" si="0"/>
        <v>484.61391922201926</v>
      </c>
      <c r="J32" s="107">
        <f t="shared" si="1"/>
        <v>26.853958839131273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LwA_XYZ'!I32)</f>
        <v>66</v>
      </c>
      <c r="E33" s="91" t="str">
        <f>IF($B33="","",-1*ROUND(_xlfn.XLOOKUP($J$2,'Input LwA_XYZ'!$AQ$1:$BE$1,'Input LwA_XYZ'!AQ32:BE32),0) &amp; " / " &amp; ROUND(_xlfn.XLOOKUP($J$2,'Input LwA_XYZ'!$Z$1:$AN$1,'Input LwA_XYZ'!Z32:AN32),0) &amp; " ft")</f>
        <v>39 / 122 ft</v>
      </c>
      <c r="F33" s="91" t="str">
        <f>IF($B33="","",IF(_xlfn.XLOOKUP($J$2,'Input LwA_XYZ'!$BN$1:$CB$1,'Input LwA_XYZ'!BN32:CB32)="","-",_xlfn.XLOOKUP($J$2,'Input LwA_XYZ'!$BN$1:$CB$1,'Input LwA_XYZ'!BN32:CB32)))</f>
        <v>-</v>
      </c>
      <c r="G33" s="91" t="str">
        <f>IF($B33="","",IF('Input LwA_XYZ'!K32="","-",'Input LwA_XYZ'!K32))</f>
        <v>-</v>
      </c>
      <c r="H33" s="65">
        <f>IF($B33="","",_xlfn.XLOOKUP($J$2,'Input LwA_XYZ'!$CE$1:$CS$1,'Input LwA_XYZ'!CE32:CS32))</f>
        <v>26.623974745689068</v>
      </c>
      <c r="I33" s="5">
        <f t="shared" si="0"/>
        <v>459.61847196762903</v>
      </c>
      <c r="J33" s="107">
        <f t="shared" si="1"/>
        <v>26.623974745689068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LwA_XYZ'!I33)</f>
        <v>66</v>
      </c>
      <c r="E34" s="91" t="str">
        <f>IF($B34="","",-1*ROUND(_xlfn.XLOOKUP($J$2,'Input LwA_XYZ'!$AQ$1:$BE$1,'Input LwA_XYZ'!AQ33:BE33),0) &amp; " / " &amp; ROUND(_xlfn.XLOOKUP($J$2,'Input LwA_XYZ'!$Z$1:$AN$1,'Input LwA_XYZ'!Z33:AN33),0) &amp; " ft")</f>
        <v>40 / 125 ft</v>
      </c>
      <c r="F34" s="91" t="str">
        <f>IF($B34="","",IF(_xlfn.XLOOKUP($J$2,'Input LwA_XYZ'!$BN$1:$CB$1,'Input LwA_XYZ'!BN33:CB33)="","-",_xlfn.XLOOKUP($J$2,'Input LwA_XYZ'!$BN$1:$CB$1,'Input LwA_XYZ'!BN33:CB33)))</f>
        <v>-</v>
      </c>
      <c r="G34" s="91" t="str">
        <f>IF($B34="","",IF('Input LwA_XYZ'!K33="","-",'Input LwA_XYZ'!K33))</f>
        <v>-</v>
      </c>
      <c r="H34" s="65">
        <f>IF($B34="","",_xlfn.XLOOKUP($J$2,'Input LwA_XYZ'!$CE$1:$CS$1,'Input LwA_XYZ'!CE33:CS33))</f>
        <v>26.3670202119458</v>
      </c>
      <c r="I34" s="5">
        <f t="shared" si="0"/>
        <v>433.21353924643375</v>
      </c>
      <c r="J34" s="107">
        <f t="shared" si="1"/>
        <v>26.3670202119458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LwA_XYZ'!I34)</f>
        <v>66</v>
      </c>
      <c r="E35" s="91" t="str">
        <f>IF($B35="","",-1*ROUND(_xlfn.XLOOKUP($J$2,'Input LwA_XYZ'!$AQ$1:$BE$1,'Input LwA_XYZ'!AQ34:BE34),0) &amp; " / " &amp; ROUND(_xlfn.XLOOKUP($J$2,'Input LwA_XYZ'!$Z$1:$AN$1,'Input LwA_XYZ'!Z34:AN34),0) &amp; " ft")</f>
        <v>37 / 97 ft</v>
      </c>
      <c r="F35" s="91" t="str">
        <f>IF($B35="","",IF(_xlfn.XLOOKUP($J$2,'Input LwA_XYZ'!$BN$1:$CB$1,'Input LwA_XYZ'!BN34:CB34)="","-",_xlfn.XLOOKUP($J$2,'Input LwA_XYZ'!$BN$1:$CB$1,'Input LwA_XYZ'!BN34:CB34)))</f>
        <v>-</v>
      </c>
      <c r="G35" s="91" t="str">
        <f>IF($B35="","",IF('Input LwA_XYZ'!K34="","-",'Input LwA_XYZ'!K34))</f>
        <v>-</v>
      </c>
      <c r="H35" s="65">
        <f>IF($B35="","",_xlfn.XLOOKUP($J$2,'Input LwA_XYZ'!$CE$1:$CS$1,'Input LwA_XYZ'!CE34:CS34))</f>
        <v>28.618557642735382</v>
      </c>
      <c r="I35" s="5">
        <f t="shared" ref="I35:I59" si="2">IFERROR(10^(H35/10),0)</f>
        <v>727.53813805532411</v>
      </c>
      <c r="J35" s="107">
        <f t="shared" ref="J35:J59" si="3">H35</f>
        <v>28.618557642735382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LwA_XYZ'!I35)</f>
        <v>66</v>
      </c>
      <c r="E36" s="91" t="str">
        <f>IF($B36="","",-1*ROUND(_xlfn.XLOOKUP($J$2,'Input LwA_XYZ'!$AQ$1:$BE$1,'Input LwA_XYZ'!AQ35:BE35),0) &amp; " / " &amp; ROUND(_xlfn.XLOOKUP($J$2,'Input LwA_XYZ'!$Z$1:$AN$1,'Input LwA_XYZ'!Z35:AN35),0) &amp; " ft")</f>
        <v>36 / 82 ft</v>
      </c>
      <c r="F36" s="91" t="str">
        <f>IF($B36="","",IF(_xlfn.XLOOKUP($J$2,'Input LwA_XYZ'!$BN$1:$CB$1,'Input LwA_XYZ'!BN35:CB35)="","-",_xlfn.XLOOKUP($J$2,'Input LwA_XYZ'!$BN$1:$CB$1,'Input LwA_XYZ'!BN35:CB35)))</f>
        <v>-</v>
      </c>
      <c r="G36" s="91" t="str">
        <f>IF($B36="","",IF('Input LwA_XYZ'!K35="","-",'Input LwA_XYZ'!K35))</f>
        <v>-</v>
      </c>
      <c r="H36" s="65">
        <f>IF($B36="","",_xlfn.XLOOKUP($J$2,'Input LwA_XYZ'!$CE$1:$CS$1,'Input LwA_XYZ'!CE35:CS35))</f>
        <v>30.013128066404839</v>
      </c>
      <c r="I36" s="5">
        <f t="shared" si="2"/>
        <v>1003.0274224154881</v>
      </c>
      <c r="J36" s="107">
        <f t="shared" si="3"/>
        <v>30.013128066404839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LwA_XYZ'!I36)</f>
        <v>66</v>
      </c>
      <c r="E37" s="91" t="str">
        <f>IF($B37="","",-1*ROUND(_xlfn.XLOOKUP($J$2,'Input LwA_XYZ'!$AQ$1:$BE$1,'Input LwA_XYZ'!AQ36:BE36),0) &amp; " / " &amp; ROUND(_xlfn.XLOOKUP($J$2,'Input LwA_XYZ'!$Z$1:$AN$1,'Input LwA_XYZ'!Z36:AN36),0) &amp; " ft")</f>
        <v>36 / 84 ft</v>
      </c>
      <c r="F37" s="91" t="str">
        <f>IF($B37="","",IF(_xlfn.XLOOKUP($J$2,'Input LwA_XYZ'!$BN$1:$CB$1,'Input LwA_XYZ'!BN36:CB36)="","-",_xlfn.XLOOKUP($J$2,'Input LwA_XYZ'!$BN$1:$CB$1,'Input LwA_XYZ'!BN36:CB36)))</f>
        <v>-</v>
      </c>
      <c r="G37" s="91" t="str">
        <f>IF($B37="","",IF('Input LwA_XYZ'!K36="","-",'Input LwA_XYZ'!K36))</f>
        <v>-</v>
      </c>
      <c r="H37" s="65">
        <f>IF($B37="","",_xlfn.XLOOKUP($J$2,'Input LwA_XYZ'!$CE$1:$CS$1,'Input LwA_XYZ'!CE36:CS36))</f>
        <v>29.818947013861568</v>
      </c>
      <c r="I37" s="5">
        <f t="shared" si="2"/>
        <v>959.16804437798532</v>
      </c>
      <c r="J37" s="107">
        <f t="shared" si="3"/>
        <v>29.818947013861568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LwA_XYZ'!I37)</f>
        <v>57</v>
      </c>
      <c r="E38" s="91" t="str">
        <f>IF($B38="","",-1*ROUND(_xlfn.XLOOKUP($J$2,'Input LwA_XYZ'!$AQ$1:$BE$1,'Input LwA_XYZ'!AQ37:BE37),0) &amp; " / " &amp; ROUND(_xlfn.XLOOKUP($J$2,'Input LwA_XYZ'!$Z$1:$AN$1,'Input LwA_XYZ'!Z37:AN37),0) &amp; " ft")</f>
        <v>37 / 97 ft</v>
      </c>
      <c r="F38" s="91" t="str">
        <f>IF($B38="","",IF(_xlfn.XLOOKUP($J$2,'Input LwA_XYZ'!$BN$1:$CB$1,'Input LwA_XYZ'!BN37:CB37)="","-",_xlfn.XLOOKUP($J$2,'Input LwA_XYZ'!$BN$1:$CB$1,'Input LwA_XYZ'!BN37:CB37)))</f>
        <v>-</v>
      </c>
      <c r="G38" s="91" t="str">
        <f>IF($B38="","",IF('Input LwA_XYZ'!K37="","-",'Input LwA_XYZ'!K37))</f>
        <v>-</v>
      </c>
      <c r="H38" s="65">
        <f>IF($B38="","",_xlfn.XLOOKUP($J$2,'Input LwA_XYZ'!$CE$1:$CS$1,'Input LwA_XYZ'!CE37:CS37))</f>
        <v>19.607142262745754</v>
      </c>
      <c r="I38" s="5">
        <f t="shared" si="2"/>
        <v>91.35119360673697</v>
      </c>
      <c r="J38" s="107">
        <f t="shared" si="3"/>
        <v>19.607142262745754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LwA_XYZ'!I38)</f>
        <v>57</v>
      </c>
      <c r="E39" s="91" t="str">
        <f>IF($B39="","",-1*ROUND(_xlfn.XLOOKUP($J$2,'Input LwA_XYZ'!$AQ$1:$BE$1,'Input LwA_XYZ'!AQ38:BE38),0) &amp; " / " &amp; ROUND(_xlfn.XLOOKUP($J$2,'Input LwA_XYZ'!$Z$1:$AN$1,'Input LwA_XYZ'!Z38:AN38),0) &amp; " ft")</f>
        <v>38 / 104 ft</v>
      </c>
      <c r="F39" s="91" t="str">
        <f>IF($B39="","",IF(_xlfn.XLOOKUP($J$2,'Input LwA_XYZ'!$BN$1:$CB$1,'Input LwA_XYZ'!BN38:CB38)="","-",_xlfn.XLOOKUP($J$2,'Input LwA_XYZ'!$BN$1:$CB$1,'Input LwA_XYZ'!BN38:CB38)))</f>
        <v>-</v>
      </c>
      <c r="G39" s="91" t="str">
        <f>IF($B39="","",IF('Input LwA_XYZ'!K38="","-",'Input LwA_XYZ'!K38))</f>
        <v>-</v>
      </c>
      <c r="H39" s="65">
        <f>IF($B39="","",_xlfn.XLOOKUP($J$2,'Input LwA_XYZ'!$CE$1:$CS$1,'Input LwA_XYZ'!CE38:CS38))</f>
        <v>19.035265145777693</v>
      </c>
      <c r="I39" s="5">
        <f t="shared" si="2"/>
        <v>80.080451778898293</v>
      </c>
      <c r="J39" s="107">
        <f t="shared" si="3"/>
        <v>19.035265145777693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LwA_XYZ'!I39)</f>
        <v/>
      </c>
      <c r="E40" s="91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1" t="str">
        <f>IF($B40="","",IF(_xlfn.XLOOKUP($J$2,'Input LwA_XYZ'!$BN$1:$CB$1,'Input LwA_XYZ'!BN39:CB39)="","-",_xlfn.XLOOKUP($J$2,'Input LwA_XYZ'!$BN$1:$CB$1,'Input LwA_XYZ'!BN39:CB39)))</f>
        <v/>
      </c>
      <c r="G40" s="91" t="str">
        <f>IF($B40="","",IF('Input LwA_XYZ'!K39="","-",'Input LwA_XYZ'!K39))</f>
        <v/>
      </c>
      <c r="H40" s="65" t="str">
        <f>IF($B40="","",_xlfn.XLOOKUP($J$2,'Input LwA_XYZ'!$CE$1:$CS$1,'Input LwA_XYZ'!CE39:CS39))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LwA_XYZ'!I40)</f>
        <v/>
      </c>
      <c r="E41" s="91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1" t="str">
        <f>IF($B41="","",IF(_xlfn.XLOOKUP($J$2,'Input LwA_XYZ'!$BN$1:$CB$1,'Input LwA_XYZ'!BN40:CB40)="","-",_xlfn.XLOOKUP($J$2,'Input LwA_XYZ'!$BN$1:$CB$1,'Input LwA_XYZ'!BN40:CB40)))</f>
        <v/>
      </c>
      <c r="G41" s="91" t="str">
        <f>IF($B41="","",IF('Input LwA_XYZ'!K40="","-",'Input LwA_XYZ'!K40))</f>
        <v/>
      </c>
      <c r="H41" s="65" t="str">
        <f>IF($B41="","",_xlfn.XLOOKUP($J$2,'Input LwA_XYZ'!$CE$1:$CS$1,'Input LwA_XYZ'!CE40:CS40))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LwA_XYZ'!I41)</f>
        <v/>
      </c>
      <c r="E42" s="91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1" t="str">
        <f>IF($B42="","",IF(_xlfn.XLOOKUP($J$2,'Input LwA_XYZ'!$BN$1:$CB$1,'Input LwA_XYZ'!BN41:CB41)="","-",_xlfn.XLOOKUP($J$2,'Input LwA_XYZ'!$BN$1:$CB$1,'Input LwA_XYZ'!BN41:CB41)))</f>
        <v/>
      </c>
      <c r="G42" s="91" t="str">
        <f>IF($B42="","",IF('Input LwA_XYZ'!K41="","-",'Input LwA_XYZ'!K41))</f>
        <v/>
      </c>
      <c r="H42" s="65" t="str">
        <f>IF($B42="","",_xlfn.XLOOKUP($J$2,'Input LwA_XYZ'!$CE$1:$CS$1,'Input LwA_XYZ'!CE41:CS41))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LwA_XYZ'!I42)</f>
        <v/>
      </c>
      <c r="E43" s="91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1" t="str">
        <f>IF($B43="","",IF(_xlfn.XLOOKUP($J$2,'Input LwA_XYZ'!$BN$1:$CB$1,'Input LwA_XYZ'!BN42:CB42)="","-",_xlfn.XLOOKUP($J$2,'Input LwA_XYZ'!$BN$1:$CB$1,'Input LwA_XYZ'!BN42:CB42)))</f>
        <v/>
      </c>
      <c r="G43" s="91" t="str">
        <f>IF($B43="","",IF('Input LwA_XYZ'!K42="","-",'Input LwA_XYZ'!K42))</f>
        <v/>
      </c>
      <c r="H43" s="65" t="str">
        <f>IF($B43="","",_xlfn.XLOOKUP($J$2,'Input LwA_XYZ'!$CE$1:$CS$1,'Input LwA_XYZ'!CE42:CS42))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LwA_XYZ'!I43)</f>
        <v/>
      </c>
      <c r="E44" s="91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1" t="str">
        <f>IF($B44="","",IF(_xlfn.XLOOKUP($J$2,'Input LwA_XYZ'!$BN$1:$CB$1,'Input LwA_XYZ'!BN43:CB43)="","-",_xlfn.XLOOKUP($J$2,'Input LwA_XYZ'!$BN$1:$CB$1,'Input LwA_XYZ'!BN43:CB43)))</f>
        <v/>
      </c>
      <c r="G44" s="91" t="str">
        <f>IF($B44="","",IF('Input LwA_XYZ'!K43="","-",'Input LwA_XYZ'!K43))</f>
        <v/>
      </c>
      <c r="H44" s="65" t="str">
        <f>IF($B44="","",_xlfn.XLOOKUP($J$2,'Input LwA_XYZ'!$CE$1:$CS$1,'Input LwA_XYZ'!CE43:CS43))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LwA_XYZ'!I44)</f>
        <v/>
      </c>
      <c r="E45" s="91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1" t="str">
        <f>IF($B45="","",IF(_xlfn.XLOOKUP($J$2,'Input LwA_XYZ'!$BN$1:$CB$1,'Input LwA_XYZ'!BN44:CB44)="","-",_xlfn.XLOOKUP($J$2,'Input LwA_XYZ'!$BN$1:$CB$1,'Input LwA_XYZ'!BN44:CB44)))</f>
        <v/>
      </c>
      <c r="G45" s="91" t="str">
        <f>IF($B45="","",IF('Input LwA_XYZ'!K44="","-",'Input LwA_XYZ'!K44))</f>
        <v/>
      </c>
      <c r="H45" s="65" t="str">
        <f>IF($B45="","",_xlfn.XLOOKUP($J$2,'Input LwA_XYZ'!$CE$1:$CS$1,'Input LwA_XYZ'!CE44:CS44))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LwA_XYZ'!I45)</f>
        <v/>
      </c>
      <c r="E46" s="91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1" t="str">
        <f>IF($B46="","",IF(_xlfn.XLOOKUP($J$2,'Input LwA_XYZ'!$BN$1:$CB$1,'Input LwA_XYZ'!BN45:CB45)="","-",_xlfn.XLOOKUP($J$2,'Input LwA_XYZ'!$BN$1:$CB$1,'Input LwA_XYZ'!BN45:CB45)))</f>
        <v/>
      </c>
      <c r="G46" s="91" t="str">
        <f>IF($B46="","",IF('Input LwA_XYZ'!K45="","-",'Input LwA_XYZ'!K45))</f>
        <v/>
      </c>
      <c r="H46" s="65" t="str">
        <f>IF($B46="","",_xlfn.XLOOKUP($J$2,'Input LwA_XYZ'!$CE$1:$CS$1,'Input LwA_XYZ'!CE45:CS45))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LwA_XYZ'!I46)</f>
        <v/>
      </c>
      <c r="E47" s="91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1" t="str">
        <f>IF($B47="","",IF(_xlfn.XLOOKUP($J$2,'Input LwA_XYZ'!$BN$1:$CB$1,'Input LwA_XYZ'!BN46:CB46)="","-",_xlfn.XLOOKUP($J$2,'Input LwA_XYZ'!$BN$1:$CB$1,'Input LwA_XYZ'!BN46:CB46)))</f>
        <v/>
      </c>
      <c r="G47" s="91" t="str">
        <f>IF($B47="","",IF('Input LwA_XYZ'!K46="","-",'Input LwA_XYZ'!K46))</f>
        <v/>
      </c>
      <c r="H47" s="65" t="str">
        <f>IF($B47="","",_xlfn.XLOOKUP($J$2,'Input LwA_XYZ'!$CE$1:$CS$1,'Input LwA_XYZ'!CE46:CS46))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LwA_XYZ'!I47)</f>
        <v/>
      </c>
      <c r="E48" s="91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1" t="str">
        <f>IF($B48="","",IF(_xlfn.XLOOKUP($J$2,'Input LwA_XYZ'!$BN$1:$CB$1,'Input LwA_XYZ'!BN47:CB47)="","-",_xlfn.XLOOKUP($J$2,'Input LwA_XYZ'!$BN$1:$CB$1,'Input LwA_XYZ'!BN47:CB47)))</f>
        <v/>
      </c>
      <c r="G48" s="91" t="str">
        <f>IF($B48="","",IF('Input LwA_XYZ'!K47="","-",'Input LwA_XYZ'!K47))</f>
        <v/>
      </c>
      <c r="H48" s="65" t="str">
        <f>IF($B48="","",_xlfn.XLOOKUP($J$2,'Input LwA_XYZ'!$CE$1:$CS$1,'Input LwA_XYZ'!CE47:CS47))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LwA_XYZ'!I48)</f>
        <v/>
      </c>
      <c r="E49" s="91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1" t="str">
        <f>IF($B49="","",IF(_xlfn.XLOOKUP($J$2,'Input LwA_XYZ'!$BN$1:$CB$1,'Input LwA_XYZ'!BN48:CB48)="","-",_xlfn.XLOOKUP($J$2,'Input LwA_XYZ'!$BN$1:$CB$1,'Input LwA_XYZ'!BN48:CB48)))</f>
        <v/>
      </c>
      <c r="G49" s="91" t="str">
        <f>IF($B49="","",IF('Input LwA_XYZ'!K48="","-",'Input LwA_XYZ'!K48))</f>
        <v/>
      </c>
      <c r="H49" s="65" t="str">
        <f>IF($B49="","",_xlfn.XLOOKUP($J$2,'Input LwA_XYZ'!$CE$1:$CS$1,'Input LwA_XYZ'!CE48:CS48))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LwA_XYZ'!I49)</f>
        <v/>
      </c>
      <c r="E50" s="91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1" t="str">
        <f>IF($B50="","",IF(_xlfn.XLOOKUP($J$2,'Input LwA_XYZ'!$BN$1:$CB$1,'Input LwA_XYZ'!BN49:CB49)="","-",_xlfn.XLOOKUP($J$2,'Input LwA_XYZ'!$BN$1:$CB$1,'Input LwA_XYZ'!BN49:CB49)))</f>
        <v/>
      </c>
      <c r="G50" s="91" t="str">
        <f>IF($B50="","",IF('Input LwA_XYZ'!K49="","-",'Input LwA_XYZ'!K49))</f>
        <v/>
      </c>
      <c r="H50" s="65" t="str">
        <f>IF($B50="","",_xlfn.XLOOKUP($J$2,'Input LwA_XYZ'!$CE$1:$CS$1,'Input LwA_XYZ'!CE49:CS49))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LwA_XYZ'!I50)</f>
        <v/>
      </c>
      <c r="E51" s="91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1" t="str">
        <f>IF($B51="","",IF(_xlfn.XLOOKUP($J$2,'Input LwA_XYZ'!$BN$1:$CB$1,'Input LwA_XYZ'!BN50:CB50)="","-",_xlfn.XLOOKUP($J$2,'Input LwA_XYZ'!$BN$1:$CB$1,'Input LwA_XYZ'!BN50:CB50)))</f>
        <v/>
      </c>
      <c r="G51" s="91" t="str">
        <f>IF($B51="","",IF('Input LwA_XYZ'!K50="","-",'Input LwA_XYZ'!K50))</f>
        <v/>
      </c>
      <c r="H51" s="65" t="str">
        <f>IF($B51="","",_xlfn.XLOOKUP($J$2,'Input LwA_XYZ'!$CE$1:$CS$1,'Input LwA_XYZ'!CE50:CS50))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LwA_XYZ'!I51)</f>
        <v/>
      </c>
      <c r="E52" s="91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1" t="str">
        <f>IF($B52="","",IF(_xlfn.XLOOKUP($J$2,'Input LwA_XYZ'!$BN$1:$CB$1,'Input LwA_XYZ'!BN51:CB51)="","-",_xlfn.XLOOKUP($J$2,'Input LwA_XYZ'!$BN$1:$CB$1,'Input LwA_XYZ'!BN51:CB51)))</f>
        <v/>
      </c>
      <c r="G52" s="91" t="str">
        <f>IF($B52="","",IF('Input LwA_XYZ'!K51="","-",'Input LwA_XYZ'!K51))</f>
        <v/>
      </c>
      <c r="H52" s="65" t="str">
        <f>IF($B52="","",_xlfn.XLOOKUP($J$2,'Input LwA_XYZ'!$CE$1:$CS$1,'Input LwA_XYZ'!CE51:CS51))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LwA_XYZ'!I52)</f>
        <v/>
      </c>
      <c r="E53" s="91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1" t="str">
        <f>IF($B53="","",IF(_xlfn.XLOOKUP($J$2,'Input LwA_XYZ'!$BN$1:$CB$1,'Input LwA_XYZ'!BN52:CB52)="","-",_xlfn.XLOOKUP($J$2,'Input LwA_XYZ'!$BN$1:$CB$1,'Input LwA_XYZ'!BN52:CB52)))</f>
        <v/>
      </c>
      <c r="G53" s="91" t="str">
        <f>IF($B53="","",IF('Input LwA_XYZ'!K52="","-",'Input LwA_XYZ'!K52))</f>
        <v/>
      </c>
      <c r="H53" s="65" t="str">
        <f>IF($B53="","",_xlfn.XLOOKUP($J$2,'Input LwA_XYZ'!$CE$1:$CS$1,'Input LwA_XYZ'!CE52:CS52))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LwA_XYZ'!I53)</f>
        <v/>
      </c>
      <c r="E54" s="91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1" t="str">
        <f>IF($B54="","",IF(_xlfn.XLOOKUP($J$2,'Input LwA_XYZ'!$BN$1:$CB$1,'Input LwA_XYZ'!BN53:CB53)="","-",_xlfn.XLOOKUP($J$2,'Input LwA_XYZ'!$BN$1:$CB$1,'Input LwA_XYZ'!BN53:CB53)))</f>
        <v/>
      </c>
      <c r="G54" s="91" t="str">
        <f>IF($B54="","",IF('Input LwA_XYZ'!K53="","-",'Input LwA_XYZ'!K53))</f>
        <v/>
      </c>
      <c r="H54" s="65" t="str">
        <f>IF($B54="","",_xlfn.XLOOKUP($J$2,'Input LwA_XYZ'!$CE$1:$CS$1,'Input LwA_XYZ'!CE53:CS53))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LwA_XYZ'!I54)</f>
        <v/>
      </c>
      <c r="E55" s="91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1" t="str">
        <f>IF($B55="","",IF(_xlfn.XLOOKUP($J$2,'Input LwA_XYZ'!$BN$1:$CB$1,'Input LwA_XYZ'!BN54:CB54)="","-",_xlfn.XLOOKUP($J$2,'Input LwA_XYZ'!$BN$1:$CB$1,'Input LwA_XYZ'!BN54:CB54)))</f>
        <v/>
      </c>
      <c r="G55" s="91" t="str">
        <f>IF($B55="","",IF('Input LwA_XYZ'!K54="","-",'Input LwA_XYZ'!K54))</f>
        <v/>
      </c>
      <c r="H55" s="65" t="str">
        <f>IF($B55="","",_xlfn.XLOOKUP($J$2,'Input LwA_XYZ'!$CE$1:$CS$1,'Input LwA_XYZ'!CE54:CS54))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LwA_XYZ'!I55)</f>
        <v/>
      </c>
      <c r="E56" s="91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1" t="str">
        <f>IF($B56="","",IF(_xlfn.XLOOKUP($J$2,'Input LwA_XYZ'!$BN$1:$CB$1,'Input LwA_XYZ'!BN55:CB55)="","-",_xlfn.XLOOKUP($J$2,'Input LwA_XYZ'!$BN$1:$CB$1,'Input LwA_XYZ'!BN55:CB55)))</f>
        <v/>
      </c>
      <c r="G56" s="91" t="str">
        <f>IF($B56="","",IF('Input LwA_XYZ'!K55="","-",'Input LwA_XYZ'!K55))</f>
        <v/>
      </c>
      <c r="H56" s="65" t="str">
        <f>IF($B56="","",_xlfn.XLOOKUP($J$2,'Input LwA_XYZ'!$CE$1:$CS$1,'Input LwA_XYZ'!CE55:CS55))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LwA_XYZ'!I56)</f>
        <v/>
      </c>
      <c r="E57" s="91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1" t="str">
        <f>IF($B57="","",IF(_xlfn.XLOOKUP($J$2,'Input LwA_XYZ'!$BN$1:$CB$1,'Input LwA_XYZ'!BN56:CB56)="","-",_xlfn.XLOOKUP($J$2,'Input LwA_XYZ'!$BN$1:$CB$1,'Input LwA_XYZ'!BN56:CB56)))</f>
        <v/>
      </c>
      <c r="G57" s="91" t="str">
        <f>IF($B57="","",IF('Input LwA_XYZ'!K56="","-",'Input LwA_XYZ'!K56))</f>
        <v/>
      </c>
      <c r="H57" s="65" t="str">
        <f>IF($B57="","",_xlfn.XLOOKUP($J$2,'Input LwA_XYZ'!$CE$1:$CS$1,'Input LwA_XYZ'!CE56:CS56))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LwA_XYZ'!I57)</f>
        <v/>
      </c>
      <c r="E58" s="91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1" t="str">
        <f>IF($B58="","",IF(_xlfn.XLOOKUP($J$2,'Input LwA_XYZ'!$BN$1:$CB$1,'Input LwA_XYZ'!BN57:CB57)="","-",_xlfn.XLOOKUP($J$2,'Input LwA_XYZ'!$BN$1:$CB$1,'Input LwA_XYZ'!BN57:CB57)))</f>
        <v/>
      </c>
      <c r="G58" s="91" t="str">
        <f>IF($B58="","",IF('Input LwA_XYZ'!K57="","-",'Input LwA_XYZ'!K57))</f>
        <v/>
      </c>
      <c r="H58" s="65" t="str">
        <f>IF($B58="","",_xlfn.XLOOKUP($J$2,'Input LwA_XYZ'!$CE$1:$CS$1,'Input LwA_XYZ'!CE57:CS57))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LwA_XYZ'!I58)</f>
        <v/>
      </c>
      <c r="E59" s="100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1" t="str">
        <f>IF($B59="","",IF(_xlfn.XLOOKUP($J$2,'Input LwA_XYZ'!$BN$1:$CB$1,'Input LwA_XYZ'!BN58:CB58)="","-",_xlfn.XLOOKUP($J$2,'Input LwA_XYZ'!$BN$1:$CB$1,'Input LwA_XYZ'!BN58:CB58)))</f>
        <v/>
      </c>
      <c r="G59" s="91" t="str">
        <f>IF($B59="","",IF('Input LwA_XYZ'!K58="","-",'Input LwA_XYZ'!K58))</f>
        <v/>
      </c>
      <c r="H59" s="66" t="str">
        <f>IF($B59="","",_xlfn.XLOOKUP($J$2,'Input LwA_XYZ'!$CE$1:$CS$1,'Input LwA_XYZ'!CE58:CS58))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LwA_XYZ'!$R$2:$R$16,'Input LwA_XYZ'!$W$2:$W$16)</f>
        <v>59</v>
      </c>
      <c r="I60" s="199">
        <f>10*LOG10(SUM(I3:I59))</f>
        <v>58.515434855911586</v>
      </c>
      <c r="J60" s="68">
        <f>_xlfn.XLOOKUP($J$2,'Input LwA_XYZ'!$R$2:$R$16,'Input LwA_XYZ'!$V$2:$V$16)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2020-09-09T17:45:59Z</dcterms:modified>
</cp:coreProperties>
</file>