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BA27284A-8346-43B6-8A82-FA25EE989E76}" xr6:coauthVersionLast="47" xr6:coauthVersionMax="47" xr10:uidLastSave="{00000000-0000-0000-0000-000000000000}"/>
  <bookViews>
    <workbookView xWindow="10110" yWindow="180" windowWidth="44430" windowHeight="23400" tabRatio="847" activeTab="2" xr2:uid="{00000000-000D-0000-FFFF-FFFF00000000}"/>
  </bookViews>
  <sheets>
    <sheet name="Input LwA_XYZ" sheetId="1" r:id="rId1"/>
    <sheet name="Sheet1" sheetId="3" r:id="rId2"/>
    <sheet name="Tables" sheetId="2" r:id="rId3"/>
  </sheets>
  <functionGroups builtInGroupCount="19">
    <functionGroup name="xlwing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83" i="2" l="1"/>
  <c r="O483" i="2" s="1"/>
  <c r="S483" i="2"/>
  <c r="N484" i="2"/>
  <c r="O484" i="2" s="1"/>
  <c r="S484" i="2"/>
  <c r="N485" i="2"/>
  <c r="N486" i="2"/>
  <c r="O486" i="2"/>
  <c r="N487" i="2"/>
  <c r="O487" i="2"/>
  <c r="P487" i="2"/>
  <c r="N488" i="2"/>
  <c r="S488" i="2" s="1"/>
  <c r="N489" i="2"/>
  <c r="O489" i="2"/>
  <c r="P489" i="2"/>
  <c r="S489" i="2"/>
  <c r="N490" i="2"/>
  <c r="O490" i="2"/>
  <c r="P490" i="2"/>
  <c r="S490" i="2"/>
  <c r="N491" i="2"/>
  <c r="O491" i="2" s="1"/>
  <c r="S491" i="2"/>
  <c r="N492" i="2"/>
  <c r="O492" i="2" s="1"/>
  <c r="S492" i="2"/>
  <c r="N493" i="2"/>
  <c r="N494" i="2"/>
  <c r="O494" i="2"/>
  <c r="N495" i="2"/>
  <c r="O495" i="2"/>
  <c r="P495" i="2"/>
  <c r="N496" i="2"/>
  <c r="S496" i="2" s="1"/>
  <c r="N497" i="2"/>
  <c r="O497" i="2"/>
  <c r="P497" i="2"/>
  <c r="S497" i="2"/>
  <c r="N498" i="2"/>
  <c r="O498" i="2"/>
  <c r="P498" i="2"/>
  <c r="S498" i="2"/>
  <c r="N499" i="2"/>
  <c r="O499" i="2" s="1"/>
  <c r="S499" i="2"/>
  <c r="N500" i="2"/>
  <c r="O500" i="2" s="1"/>
  <c r="S500" i="2"/>
  <c r="N501" i="2"/>
  <c r="S501" i="2" s="1"/>
  <c r="N502" i="2"/>
  <c r="O502" i="2"/>
  <c r="N503" i="2"/>
  <c r="O503" i="2"/>
  <c r="P503" i="2"/>
  <c r="N504" i="2"/>
  <c r="P504" i="2" s="1"/>
  <c r="N505" i="2"/>
  <c r="O505" i="2"/>
  <c r="P505" i="2"/>
  <c r="S505" i="2"/>
  <c r="N506" i="2"/>
  <c r="O506" i="2"/>
  <c r="P506" i="2"/>
  <c r="S506" i="2"/>
  <c r="N507" i="2"/>
  <c r="O507" i="2" s="1"/>
  <c r="S507" i="2"/>
  <c r="N508" i="2"/>
  <c r="O508" i="2" s="1"/>
  <c r="S508" i="2"/>
  <c r="N509" i="2"/>
  <c r="S509" i="2" s="1"/>
  <c r="N510" i="2"/>
  <c r="N511" i="2"/>
  <c r="P511" i="2" s="1"/>
  <c r="O511" i="2"/>
  <c r="N512" i="2"/>
  <c r="O512" i="2"/>
  <c r="P512" i="2"/>
  <c r="N513" i="2"/>
  <c r="O513" i="2"/>
  <c r="P513" i="2"/>
  <c r="S513" i="2"/>
  <c r="N514" i="2"/>
  <c r="O514" i="2"/>
  <c r="P514" i="2"/>
  <c r="S514" i="2"/>
  <c r="N515" i="2"/>
  <c r="O515" i="2" s="1"/>
  <c r="S515" i="2"/>
  <c r="N516" i="2"/>
  <c r="O516" i="2" s="1"/>
  <c r="S516" i="2"/>
  <c r="N517" i="2"/>
  <c r="N518" i="2"/>
  <c r="O518" i="2" s="1"/>
  <c r="N519" i="2"/>
  <c r="O519" i="2"/>
  <c r="P519" i="2"/>
  <c r="N520" i="2"/>
  <c r="O520" i="2"/>
  <c r="P520" i="2"/>
  <c r="Q520" i="2"/>
  <c r="N521" i="2"/>
  <c r="O521" i="2"/>
  <c r="P521" i="2"/>
  <c r="Q521" i="2"/>
  <c r="R521" i="2"/>
  <c r="S521" i="2"/>
  <c r="T521" i="2"/>
  <c r="N522" i="2"/>
  <c r="O522" i="2"/>
  <c r="P522" i="2"/>
  <c r="Q522" i="2"/>
  <c r="R522" i="2"/>
  <c r="S522" i="2"/>
  <c r="T522" i="2"/>
  <c r="N523" i="2"/>
  <c r="O523" i="2" s="1"/>
  <c r="Q523" i="2"/>
  <c r="R523" i="2"/>
  <c r="S523" i="2"/>
  <c r="T523" i="2"/>
  <c r="N524" i="2"/>
  <c r="O524" i="2" s="1"/>
  <c r="R524" i="2"/>
  <c r="S524" i="2"/>
  <c r="T524" i="2"/>
  <c r="N525" i="2"/>
  <c r="S525" i="2" s="1"/>
  <c r="N526" i="2"/>
  <c r="N527" i="2"/>
  <c r="O527" i="2"/>
  <c r="P527" i="2"/>
  <c r="N528" i="2"/>
  <c r="O528" i="2"/>
  <c r="P528" i="2"/>
  <c r="Q528" i="2"/>
  <c r="N529" i="2"/>
  <c r="O529" i="2"/>
  <c r="P529" i="2"/>
  <c r="Q529" i="2"/>
  <c r="R529" i="2"/>
  <c r="S529" i="2"/>
  <c r="T529" i="2"/>
  <c r="N530" i="2"/>
  <c r="O530" i="2"/>
  <c r="P530" i="2"/>
  <c r="Q530" i="2"/>
  <c r="R530" i="2"/>
  <c r="S530" i="2"/>
  <c r="T530" i="2"/>
  <c r="N531" i="2"/>
  <c r="O531" i="2" s="1"/>
  <c r="Q531" i="2"/>
  <c r="R531" i="2"/>
  <c r="S531" i="2"/>
  <c r="T531" i="2"/>
  <c r="N532" i="2"/>
  <c r="O532" i="2" s="1"/>
  <c r="R532" i="2"/>
  <c r="S532" i="2"/>
  <c r="T532" i="2"/>
  <c r="N533" i="2"/>
  <c r="N534" i="2"/>
  <c r="O534" i="2" s="1"/>
  <c r="N535" i="2"/>
  <c r="O535" i="2"/>
  <c r="P535" i="2"/>
  <c r="N536" i="2"/>
  <c r="O536" i="2"/>
  <c r="P536" i="2"/>
  <c r="Q536" i="2"/>
  <c r="R536" i="2"/>
  <c r="N537" i="2"/>
  <c r="O537" i="2"/>
  <c r="P537" i="2"/>
  <c r="Q537" i="2"/>
  <c r="R537" i="2"/>
  <c r="S537" i="2"/>
  <c r="T537" i="2"/>
  <c r="N538" i="2"/>
  <c r="O538" i="2"/>
  <c r="P538" i="2"/>
  <c r="Q538" i="2"/>
  <c r="R538" i="2"/>
  <c r="S538" i="2"/>
  <c r="T538" i="2"/>
  <c r="N539" i="2"/>
  <c r="O539" i="2" s="1"/>
  <c r="Q539" i="2"/>
  <c r="R539" i="2"/>
  <c r="S539" i="2"/>
  <c r="T539" i="2"/>
  <c r="N543" i="2"/>
  <c r="O543" i="2" s="1"/>
  <c r="S543" i="2"/>
  <c r="N544" i="2"/>
  <c r="N545" i="2"/>
  <c r="O545" i="2" s="1"/>
  <c r="N546" i="2"/>
  <c r="N547" i="2"/>
  <c r="O547" i="2" s="1"/>
  <c r="N548" i="2"/>
  <c r="N549" i="2"/>
  <c r="O549" i="2"/>
  <c r="P549" i="2"/>
  <c r="S549" i="2"/>
  <c r="N550" i="2"/>
  <c r="O550" i="2"/>
  <c r="P550" i="2"/>
  <c r="S550" i="2"/>
  <c r="N551" i="2"/>
  <c r="O551" i="2" s="1"/>
  <c r="S551" i="2"/>
  <c r="N552" i="2"/>
  <c r="N553" i="2"/>
  <c r="O553" i="2" s="1"/>
  <c r="P553" i="2"/>
  <c r="S553" i="2"/>
  <c r="N554" i="2"/>
  <c r="O554" i="2"/>
  <c r="P554" i="2"/>
  <c r="N555" i="2"/>
  <c r="O555" i="2"/>
  <c r="P555" i="2"/>
  <c r="N556" i="2"/>
  <c r="N557" i="2"/>
  <c r="O557" i="2"/>
  <c r="P557" i="2"/>
  <c r="S557" i="2"/>
  <c r="N558" i="2"/>
  <c r="O558" i="2"/>
  <c r="P558" i="2"/>
  <c r="S558" i="2"/>
  <c r="N559" i="2"/>
  <c r="N560" i="2"/>
  <c r="O560" i="2" s="1"/>
  <c r="S560" i="2"/>
  <c r="N561" i="2"/>
  <c r="O561" i="2"/>
  <c r="P561" i="2"/>
  <c r="S561" i="2"/>
  <c r="N562" i="2"/>
  <c r="O562" i="2"/>
  <c r="P562" i="2"/>
  <c r="N563" i="2"/>
  <c r="O563" i="2" s="1"/>
  <c r="N564" i="2"/>
  <c r="N565" i="2"/>
  <c r="O565" i="2"/>
  <c r="P565" i="2"/>
  <c r="S565" i="2"/>
  <c r="N566" i="2"/>
  <c r="O566" i="2"/>
  <c r="P566" i="2"/>
  <c r="S566" i="2"/>
  <c r="N567" i="2"/>
  <c r="S567" i="2"/>
  <c r="N568" i="2"/>
  <c r="O568" i="2" s="1"/>
  <c r="S568" i="2"/>
  <c r="N569" i="2"/>
  <c r="O569" i="2"/>
  <c r="P569" i="2"/>
  <c r="S569" i="2"/>
  <c r="N570" i="2"/>
  <c r="O570" i="2" s="1"/>
  <c r="N571" i="2"/>
  <c r="N572" i="2"/>
  <c r="P572" i="2"/>
  <c r="S572" i="2"/>
  <c r="N573" i="2"/>
  <c r="O573" i="2"/>
  <c r="P573" i="2"/>
  <c r="S573" i="2"/>
  <c r="N574" i="2"/>
  <c r="O574" i="2"/>
  <c r="P574" i="2"/>
  <c r="S574" i="2"/>
  <c r="N575" i="2"/>
  <c r="O575" i="2" s="1"/>
  <c r="S575" i="2"/>
  <c r="N576" i="2"/>
  <c r="S576" i="2"/>
  <c r="N577" i="2"/>
  <c r="O577" i="2"/>
  <c r="P577" i="2"/>
  <c r="N578" i="2"/>
  <c r="S578" i="2" s="1"/>
  <c r="N579" i="2"/>
  <c r="S579" i="2" s="1"/>
  <c r="P579" i="2"/>
  <c r="N580" i="2"/>
  <c r="R580" i="2"/>
  <c r="N581" i="2"/>
  <c r="R581" i="2" s="1"/>
  <c r="P581" i="2"/>
  <c r="Q581" i="2"/>
  <c r="T581" i="2"/>
  <c r="N582" i="2"/>
  <c r="O582" i="2"/>
  <c r="P582" i="2"/>
  <c r="Q582" i="2"/>
  <c r="R582" i="2"/>
  <c r="S582" i="2"/>
  <c r="T582" i="2"/>
  <c r="N583" i="2"/>
  <c r="S583" i="2"/>
  <c r="N584" i="2"/>
  <c r="P584" i="2" s="1"/>
  <c r="Q584" i="2"/>
  <c r="R584" i="2"/>
  <c r="S584" i="2"/>
  <c r="T584" i="2"/>
  <c r="N585" i="2"/>
  <c r="N586" i="2"/>
  <c r="R586" i="2" s="1"/>
  <c r="P586" i="2"/>
  <c r="Q586" i="2"/>
  <c r="N587" i="2"/>
  <c r="R587" i="2" s="1"/>
  <c r="N588" i="2"/>
  <c r="T588" i="2" s="1"/>
  <c r="P588" i="2"/>
  <c r="Q588" i="2"/>
  <c r="R588" i="2"/>
  <c r="S588" i="2"/>
  <c r="N589" i="2"/>
  <c r="R589" i="2"/>
  <c r="N590" i="2"/>
  <c r="O590" i="2"/>
  <c r="P590" i="2"/>
  <c r="Q590" i="2"/>
  <c r="R590" i="2"/>
  <c r="S590" i="2"/>
  <c r="T590" i="2"/>
  <c r="N591" i="2"/>
  <c r="O591" i="2" s="1"/>
  <c r="Q591" i="2"/>
  <c r="N592" i="2"/>
  <c r="S592" i="2" s="1"/>
  <c r="N593" i="2"/>
  <c r="Q593" i="2" s="1"/>
  <c r="P593" i="2"/>
  <c r="R593" i="2"/>
  <c r="S593" i="2"/>
  <c r="N594" i="2"/>
  <c r="S594" i="2" s="1"/>
  <c r="N595" i="2"/>
  <c r="S595" i="2" s="1"/>
  <c r="P595" i="2"/>
  <c r="N596" i="2"/>
  <c r="R596" i="2"/>
  <c r="N597" i="2"/>
  <c r="O597" i="2" s="1"/>
  <c r="P597" i="2"/>
  <c r="Q597" i="2"/>
  <c r="R597" i="2"/>
  <c r="T597" i="2"/>
  <c r="N598" i="2"/>
  <c r="O598" i="2" s="1"/>
  <c r="Q598" i="2"/>
  <c r="R598" i="2"/>
  <c r="S598" i="2"/>
  <c r="N599" i="2"/>
  <c r="R599" i="2"/>
  <c r="N603" i="2"/>
  <c r="N604" i="2"/>
  <c r="O604" i="2"/>
  <c r="P604" i="2"/>
  <c r="S604" i="2"/>
  <c r="N605" i="2"/>
  <c r="P605" i="2"/>
  <c r="N606" i="2"/>
  <c r="S606" i="2" s="1"/>
  <c r="N607" i="2"/>
  <c r="N608" i="2"/>
  <c r="O608" i="2"/>
  <c r="P608" i="2"/>
  <c r="S608" i="2"/>
  <c r="N609" i="2"/>
  <c r="O609" i="2" s="1"/>
  <c r="P609" i="2"/>
  <c r="S609" i="2"/>
  <c r="N610" i="2"/>
  <c r="O610" i="2" s="1"/>
  <c r="S610" i="2"/>
  <c r="N611" i="2"/>
  <c r="S611" i="2"/>
  <c r="N612" i="2"/>
  <c r="O612" i="2"/>
  <c r="P612" i="2"/>
  <c r="S612" i="2"/>
  <c r="N613" i="2"/>
  <c r="P613" i="2"/>
  <c r="N614" i="2"/>
  <c r="N615" i="2"/>
  <c r="O615" i="2" s="1"/>
  <c r="N616" i="2"/>
  <c r="O616" i="2"/>
  <c r="P616" i="2"/>
  <c r="S616" i="2"/>
  <c r="N617" i="2"/>
  <c r="O617" i="2" s="1"/>
  <c r="P617" i="2"/>
  <c r="S617" i="2"/>
  <c r="N618" i="2"/>
  <c r="O618" i="2" s="1"/>
  <c r="S618" i="2"/>
  <c r="N619" i="2"/>
  <c r="N620" i="2"/>
  <c r="O620" i="2"/>
  <c r="P620" i="2"/>
  <c r="S620" i="2"/>
  <c r="N621" i="2"/>
  <c r="N622" i="2"/>
  <c r="O622" i="2" s="1"/>
  <c r="N623" i="2"/>
  <c r="O623" i="2"/>
  <c r="P623" i="2"/>
  <c r="N624" i="2"/>
  <c r="O624" i="2"/>
  <c r="P624" i="2"/>
  <c r="S624" i="2"/>
  <c r="N625" i="2"/>
  <c r="O625" i="2" s="1"/>
  <c r="P625" i="2"/>
  <c r="S625" i="2"/>
  <c r="N626" i="2"/>
  <c r="O626" i="2" s="1"/>
  <c r="S626" i="2"/>
  <c r="N627" i="2"/>
  <c r="N628" i="2"/>
  <c r="O628" i="2"/>
  <c r="P628" i="2"/>
  <c r="S628" i="2"/>
  <c r="N629" i="2"/>
  <c r="P629" i="2"/>
  <c r="N630" i="2"/>
  <c r="O630" i="2"/>
  <c r="N631" i="2"/>
  <c r="O631" i="2" s="1"/>
  <c r="N632" i="2"/>
  <c r="O632" i="2"/>
  <c r="P632" i="2"/>
  <c r="S632" i="2"/>
  <c r="N633" i="2"/>
  <c r="O633" i="2" s="1"/>
  <c r="P633" i="2"/>
  <c r="S633" i="2"/>
  <c r="N634" i="2"/>
  <c r="O634" i="2" s="1"/>
  <c r="S634" i="2"/>
  <c r="N635" i="2"/>
  <c r="N636" i="2"/>
  <c r="O636" i="2"/>
  <c r="S636" i="2"/>
  <c r="N637" i="2"/>
  <c r="N638" i="2"/>
  <c r="O638" i="2" s="1"/>
  <c r="N639" i="2"/>
  <c r="O639" i="2"/>
  <c r="P639" i="2"/>
  <c r="N640" i="2"/>
  <c r="O640" i="2"/>
  <c r="P640" i="2"/>
  <c r="Q640" i="2"/>
  <c r="R640" i="2"/>
  <c r="S640" i="2"/>
  <c r="T640" i="2"/>
  <c r="N641" i="2"/>
  <c r="O641" i="2" s="1"/>
  <c r="P641" i="2"/>
  <c r="Q641" i="2"/>
  <c r="R641" i="2"/>
  <c r="S641" i="2"/>
  <c r="T641" i="2"/>
  <c r="N642" i="2"/>
  <c r="O642" i="2" s="1"/>
  <c r="Q642" i="2"/>
  <c r="R642" i="2"/>
  <c r="S642" i="2"/>
  <c r="T642" i="2"/>
  <c r="N643" i="2"/>
  <c r="S643" i="2" s="1"/>
  <c r="R643" i="2"/>
  <c r="T643" i="2"/>
  <c r="N644" i="2"/>
  <c r="N645" i="2"/>
  <c r="O645" i="2" s="1"/>
  <c r="P645" i="2"/>
  <c r="Q645" i="2"/>
  <c r="N646" i="2"/>
  <c r="O646" i="2" s="1"/>
  <c r="N647" i="2"/>
  <c r="N648" i="2"/>
  <c r="O648" i="2"/>
  <c r="P648" i="2"/>
  <c r="Q648" i="2"/>
  <c r="R648" i="2"/>
  <c r="S648" i="2"/>
  <c r="T648" i="2"/>
  <c r="N649" i="2"/>
  <c r="O649" i="2" s="1"/>
  <c r="P649" i="2"/>
  <c r="Q649" i="2"/>
  <c r="R649" i="2"/>
  <c r="S649" i="2"/>
  <c r="T649" i="2"/>
  <c r="N650" i="2"/>
  <c r="N651" i="2"/>
  <c r="N652" i="2"/>
  <c r="P652" i="2" s="1"/>
  <c r="O652" i="2"/>
  <c r="S652" i="2"/>
  <c r="T652" i="2"/>
  <c r="N653" i="2"/>
  <c r="O653" i="2"/>
  <c r="P653" i="2"/>
  <c r="N654" i="2"/>
  <c r="O654" i="2"/>
  <c r="P654" i="2"/>
  <c r="Q654" i="2"/>
  <c r="R654" i="2"/>
  <c r="N655" i="2"/>
  <c r="T655" i="2" s="1"/>
  <c r="R655" i="2"/>
  <c r="S655" i="2"/>
  <c r="N656" i="2"/>
  <c r="O656" i="2"/>
  <c r="P656" i="2"/>
  <c r="Q656" i="2"/>
  <c r="R656" i="2"/>
  <c r="S656" i="2"/>
  <c r="T656" i="2"/>
  <c r="N657" i="2"/>
  <c r="O657" i="2" s="1"/>
  <c r="P657" i="2"/>
  <c r="Q657" i="2"/>
  <c r="R657" i="2"/>
  <c r="S657" i="2"/>
  <c r="T657" i="2"/>
  <c r="N658" i="2"/>
  <c r="Q658" i="2"/>
  <c r="R658" i="2"/>
  <c r="S658" i="2"/>
  <c r="T658" i="2"/>
  <c r="N659" i="2"/>
  <c r="O659" i="2" s="1"/>
  <c r="T659" i="2"/>
  <c r="N663" i="2"/>
  <c r="O663" i="2"/>
  <c r="N664" i="2"/>
  <c r="O664" i="2"/>
  <c r="P664" i="2"/>
  <c r="S664" i="2"/>
  <c r="N665" i="2"/>
  <c r="O665" i="2" s="1"/>
  <c r="N666" i="2"/>
  <c r="P666" i="2"/>
  <c r="N667" i="2"/>
  <c r="P667" i="2"/>
  <c r="S667" i="2"/>
  <c r="N668" i="2"/>
  <c r="O668" i="2"/>
  <c r="P668" i="2"/>
  <c r="S668" i="2"/>
  <c r="N669" i="2"/>
  <c r="O669" i="2" s="1"/>
  <c r="P669" i="2"/>
  <c r="S669" i="2"/>
  <c r="N670" i="2"/>
  <c r="N671" i="2"/>
  <c r="O671" i="2" s="1"/>
  <c r="S671" i="2"/>
  <c r="N672" i="2"/>
  <c r="N673" i="2"/>
  <c r="O673" i="2" s="1"/>
  <c r="N674" i="2"/>
  <c r="O674" i="2" s="1"/>
  <c r="N675" i="2"/>
  <c r="O675" i="2"/>
  <c r="P675" i="2"/>
  <c r="N676" i="2"/>
  <c r="O676" i="2"/>
  <c r="P676" i="2"/>
  <c r="S676" i="2"/>
  <c r="N677" i="2"/>
  <c r="O677" i="2" s="1"/>
  <c r="P677" i="2"/>
  <c r="S677" i="2"/>
  <c r="N678" i="2"/>
  <c r="S678" i="2"/>
  <c r="N679" i="2"/>
  <c r="O679" i="2"/>
  <c r="S679" i="2"/>
  <c r="N680" i="2"/>
  <c r="O680" i="2"/>
  <c r="P680" i="2"/>
  <c r="S680" i="2"/>
  <c r="N681" i="2"/>
  <c r="N682" i="2"/>
  <c r="P682" i="2"/>
  <c r="N683" i="2"/>
  <c r="O683" i="2"/>
  <c r="P683" i="2"/>
  <c r="S683" i="2"/>
  <c r="N684" i="2"/>
  <c r="O684" i="2"/>
  <c r="P684" i="2"/>
  <c r="S684" i="2"/>
  <c r="N685" i="2"/>
  <c r="O685" i="2" s="1"/>
  <c r="S685" i="2"/>
  <c r="N686" i="2"/>
  <c r="O686" i="2"/>
  <c r="N687" i="2"/>
  <c r="P687" i="2"/>
  <c r="N688" i="2"/>
  <c r="O688" i="2"/>
  <c r="P688" i="2"/>
  <c r="S688" i="2"/>
  <c r="N689" i="2"/>
  <c r="S689" i="2" s="1"/>
  <c r="N690" i="2"/>
  <c r="O690" i="2"/>
  <c r="S690" i="2"/>
  <c r="N691" i="2"/>
  <c r="P691" i="2"/>
  <c r="N692" i="2"/>
  <c r="O692" i="2"/>
  <c r="P692" i="2"/>
  <c r="S692" i="2"/>
  <c r="N693" i="2"/>
  <c r="O693" i="2" s="1"/>
  <c r="P693" i="2"/>
  <c r="S693" i="2"/>
  <c r="N694" i="2"/>
  <c r="P694" i="2" s="1"/>
  <c r="S694" i="2"/>
  <c r="N695" i="2"/>
  <c r="N696" i="2"/>
  <c r="N697" i="2"/>
  <c r="S697" i="2" s="1"/>
  <c r="O697" i="2"/>
  <c r="P697" i="2"/>
  <c r="N698" i="2"/>
  <c r="S698" i="2"/>
  <c r="N699" i="2"/>
  <c r="O699" i="2"/>
  <c r="S699" i="2"/>
  <c r="N700" i="2"/>
  <c r="O700" i="2"/>
  <c r="P700" i="2"/>
  <c r="Q700" i="2"/>
  <c r="R700" i="2"/>
  <c r="S700" i="2"/>
  <c r="T700" i="2"/>
  <c r="N701" i="2"/>
  <c r="R701" i="2" s="1"/>
  <c r="P701" i="2"/>
  <c r="Q701" i="2"/>
  <c r="S701" i="2"/>
  <c r="N702" i="2"/>
  <c r="P702" i="2" s="1"/>
  <c r="O702" i="2"/>
  <c r="Q702" i="2"/>
  <c r="R702" i="2"/>
  <c r="S702" i="2"/>
  <c r="T702" i="2"/>
  <c r="N703" i="2"/>
  <c r="R703" i="2"/>
  <c r="S703" i="2"/>
  <c r="T703" i="2"/>
  <c r="N704" i="2"/>
  <c r="N705" i="2"/>
  <c r="O705" i="2"/>
  <c r="P705" i="2"/>
  <c r="Q705" i="2"/>
  <c r="R705" i="2"/>
  <c r="N706" i="2"/>
  <c r="T706" i="2" s="1"/>
  <c r="O706" i="2"/>
  <c r="P706" i="2"/>
  <c r="Q706" i="2"/>
  <c r="R706" i="2"/>
  <c r="S706" i="2"/>
  <c r="N707" i="2"/>
  <c r="N708" i="2"/>
  <c r="O708" i="2"/>
  <c r="P708" i="2"/>
  <c r="Q708" i="2"/>
  <c r="R708" i="2"/>
  <c r="S708" i="2"/>
  <c r="T708" i="2"/>
  <c r="N709" i="2"/>
  <c r="P709" i="2" s="1"/>
  <c r="Q709" i="2"/>
  <c r="N710" i="2"/>
  <c r="O710" i="2"/>
  <c r="N711" i="2"/>
  <c r="Q711" i="2" s="1"/>
  <c r="O711" i="2"/>
  <c r="P711" i="2"/>
  <c r="R711" i="2"/>
  <c r="S711" i="2"/>
  <c r="T711" i="2"/>
  <c r="N712" i="2"/>
  <c r="S712" i="2" s="1"/>
  <c r="Q712" i="2"/>
  <c r="T712" i="2"/>
  <c r="N713" i="2"/>
  <c r="O713" i="2"/>
  <c r="P713" i="2"/>
  <c r="N714" i="2"/>
  <c r="P714" i="2" s="1"/>
  <c r="O714" i="2"/>
  <c r="Q714" i="2"/>
  <c r="R714" i="2"/>
  <c r="N715" i="2"/>
  <c r="O715" i="2"/>
  <c r="P715" i="2"/>
  <c r="Q715" i="2"/>
  <c r="R715" i="2"/>
  <c r="S715" i="2"/>
  <c r="T715" i="2"/>
  <c r="N716" i="2"/>
  <c r="O716" i="2"/>
  <c r="P716" i="2"/>
  <c r="Q716" i="2"/>
  <c r="R716" i="2"/>
  <c r="S716" i="2"/>
  <c r="T716" i="2"/>
  <c r="N717" i="2"/>
  <c r="S717" i="2" s="1"/>
  <c r="R717" i="2"/>
  <c r="N718" i="2"/>
  <c r="R718" i="2" s="1"/>
  <c r="O718" i="2"/>
  <c r="S718" i="2"/>
  <c r="T718" i="2"/>
  <c r="N719" i="2"/>
  <c r="O719" i="2" s="1"/>
  <c r="N723" i="2"/>
  <c r="P723" i="2"/>
  <c r="S723" i="2"/>
  <c r="N724" i="2"/>
  <c r="P724" i="2" s="1"/>
  <c r="O724" i="2"/>
  <c r="N725" i="2"/>
  <c r="O725" i="2" s="1"/>
  <c r="N726" i="2"/>
  <c r="O726" i="2"/>
  <c r="P726" i="2"/>
  <c r="S726" i="2"/>
  <c r="N727" i="2"/>
  <c r="O727" i="2"/>
  <c r="P727" i="2"/>
  <c r="S727" i="2"/>
  <c r="N728" i="2"/>
  <c r="O728" i="2" s="1"/>
  <c r="P728" i="2"/>
  <c r="S728" i="2"/>
  <c r="N729" i="2"/>
  <c r="N730" i="2"/>
  <c r="O730" i="2"/>
  <c r="S730" i="2"/>
  <c r="N731" i="2"/>
  <c r="S731" i="2" s="1"/>
  <c r="O731" i="2"/>
  <c r="P731" i="2"/>
  <c r="N732" i="2"/>
  <c r="O732" i="2"/>
  <c r="P732" i="2"/>
  <c r="N733" i="2"/>
  <c r="O733" i="2" s="1"/>
  <c r="P733" i="2"/>
  <c r="N734" i="2"/>
  <c r="S734" i="2" s="1"/>
  <c r="N735" i="2"/>
  <c r="O735" i="2"/>
  <c r="P735" i="2"/>
  <c r="S735" i="2"/>
  <c r="N736" i="2"/>
  <c r="O736" i="2" s="1"/>
  <c r="P736" i="2"/>
  <c r="S736" i="2"/>
  <c r="N737" i="2"/>
  <c r="N738" i="2"/>
  <c r="S738" i="2"/>
  <c r="N739" i="2"/>
  <c r="N740" i="2"/>
  <c r="P740" i="2" s="1"/>
  <c r="O740" i="2"/>
  <c r="N741" i="2"/>
  <c r="N742" i="2"/>
  <c r="O742" i="2"/>
  <c r="P742" i="2"/>
  <c r="S742" i="2"/>
  <c r="N743" i="2"/>
  <c r="O743" i="2"/>
  <c r="P743" i="2"/>
  <c r="S743" i="2"/>
  <c r="N744" i="2"/>
  <c r="O744" i="2" s="1"/>
  <c r="P744" i="2"/>
  <c r="S744" i="2"/>
  <c r="N745" i="2"/>
  <c r="N746" i="2"/>
  <c r="O746" i="2"/>
  <c r="S746" i="2"/>
  <c r="N747" i="2"/>
  <c r="S747" i="2" s="1"/>
  <c r="O747" i="2"/>
  <c r="P747" i="2"/>
  <c r="N748" i="2"/>
  <c r="O748" i="2" s="1"/>
  <c r="N749" i="2"/>
  <c r="P749" i="2"/>
  <c r="N750" i="2"/>
  <c r="N751" i="2"/>
  <c r="O751" i="2"/>
  <c r="P751" i="2"/>
  <c r="S751" i="2"/>
  <c r="N752" i="2"/>
  <c r="O752" i="2" s="1"/>
  <c r="P752" i="2"/>
  <c r="S752" i="2"/>
  <c r="N753" i="2"/>
  <c r="N754" i="2"/>
  <c r="N755" i="2"/>
  <c r="N756" i="2"/>
  <c r="S756" i="2" s="1"/>
  <c r="O756" i="2"/>
  <c r="P756" i="2"/>
  <c r="N757" i="2"/>
  <c r="O757" i="2"/>
  <c r="S757" i="2"/>
  <c r="N758" i="2"/>
  <c r="P758" i="2"/>
  <c r="N759" i="2"/>
  <c r="O759" i="2"/>
  <c r="P759" i="2"/>
  <c r="S759" i="2"/>
  <c r="N760" i="2"/>
  <c r="P760" i="2"/>
  <c r="Q760" i="2"/>
  <c r="S760" i="2"/>
  <c r="T760" i="2"/>
  <c r="N761" i="2"/>
  <c r="P761" i="2" s="1"/>
  <c r="O761" i="2"/>
  <c r="Q761" i="2"/>
  <c r="R761" i="2"/>
  <c r="S761" i="2"/>
  <c r="T761" i="2"/>
  <c r="N762" i="2"/>
  <c r="O762" i="2"/>
  <c r="R762" i="2"/>
  <c r="S762" i="2"/>
  <c r="T762" i="2"/>
  <c r="N763" i="2"/>
  <c r="P763" i="2"/>
  <c r="Q763" i="2"/>
  <c r="T763" i="2"/>
  <c r="N764" i="2"/>
  <c r="O764" i="2" s="1"/>
  <c r="N765" i="2"/>
  <c r="T765" i="2" s="1"/>
  <c r="O765" i="2"/>
  <c r="P765" i="2"/>
  <c r="Q765" i="2"/>
  <c r="R765" i="2"/>
  <c r="S765" i="2"/>
  <c r="N766" i="2"/>
  <c r="P766" i="2" s="1"/>
  <c r="T766" i="2"/>
  <c r="N767" i="2"/>
  <c r="O767" i="2"/>
  <c r="P767" i="2"/>
  <c r="Q767" i="2"/>
  <c r="R767" i="2"/>
  <c r="S767" i="2"/>
  <c r="T767" i="2"/>
  <c r="N768" i="2"/>
  <c r="Q768" i="2" s="1"/>
  <c r="N769" i="2"/>
  <c r="O769" i="2"/>
  <c r="Q769" i="2"/>
  <c r="S769" i="2"/>
  <c r="T769" i="2"/>
  <c r="N770" i="2"/>
  <c r="Q770" i="2" s="1"/>
  <c r="O770" i="2"/>
  <c r="P770" i="2"/>
  <c r="R770" i="2"/>
  <c r="S770" i="2"/>
  <c r="T770" i="2"/>
  <c r="N771" i="2"/>
  <c r="O771" i="2"/>
  <c r="Q771" i="2"/>
  <c r="S771" i="2"/>
  <c r="T771" i="2"/>
  <c r="N772" i="2"/>
  <c r="P772" i="2"/>
  <c r="Q772" i="2"/>
  <c r="T772" i="2"/>
  <c r="N773" i="2"/>
  <c r="O773" i="2"/>
  <c r="N774" i="2"/>
  <c r="O774" i="2"/>
  <c r="P774" i="2"/>
  <c r="Q774" i="2"/>
  <c r="R774" i="2"/>
  <c r="S774" i="2"/>
  <c r="T774" i="2"/>
  <c r="N775" i="2"/>
  <c r="O775" i="2"/>
  <c r="P775" i="2"/>
  <c r="Q775" i="2"/>
  <c r="R775" i="2"/>
  <c r="S775" i="2"/>
  <c r="T775" i="2"/>
  <c r="N776" i="2"/>
  <c r="P776" i="2" s="1"/>
  <c r="N777" i="2"/>
  <c r="Q777" i="2" s="1"/>
  <c r="N778" i="2"/>
  <c r="O778" i="2"/>
  <c r="P778" i="2"/>
  <c r="S778" i="2"/>
  <c r="T778" i="2"/>
  <c r="N779" i="2"/>
  <c r="R779" i="2" s="1"/>
  <c r="O779" i="2"/>
  <c r="P779" i="2"/>
  <c r="Q779" i="2"/>
  <c r="S779" i="2"/>
  <c r="T779" i="2"/>
  <c r="N783" i="2"/>
  <c r="N784" i="2"/>
  <c r="S784" i="2" s="1"/>
  <c r="O784" i="2"/>
  <c r="P784" i="2"/>
  <c r="N785" i="2"/>
  <c r="O785" i="2" s="1"/>
  <c r="N786" i="2"/>
  <c r="O786" i="2"/>
  <c r="P786" i="2"/>
  <c r="S786" i="2"/>
  <c r="N787" i="2"/>
  <c r="O787" i="2"/>
  <c r="P787" i="2"/>
  <c r="S787" i="2"/>
  <c r="N788" i="2"/>
  <c r="O788" i="2" s="1"/>
  <c r="S788" i="2"/>
  <c r="N789" i="2"/>
  <c r="N790" i="2"/>
  <c r="O790" i="2"/>
  <c r="P790" i="2"/>
  <c r="N791" i="2"/>
  <c r="O791" i="2"/>
  <c r="P791" i="2"/>
  <c r="S791" i="2"/>
  <c r="N792" i="2"/>
  <c r="S792" i="2" s="1"/>
  <c r="N793" i="2"/>
  <c r="N794" i="2"/>
  <c r="O794" i="2"/>
  <c r="P794" i="2"/>
  <c r="N795" i="2"/>
  <c r="O795" i="2"/>
  <c r="P795" i="2"/>
  <c r="S795" i="2"/>
  <c r="N796" i="2"/>
  <c r="O796" i="2" s="1"/>
  <c r="P796" i="2"/>
  <c r="S796" i="2"/>
  <c r="N797" i="2"/>
  <c r="P797" i="2" s="1"/>
  <c r="S797" i="2"/>
  <c r="N798" i="2"/>
  <c r="N799" i="2"/>
  <c r="O799" i="2"/>
  <c r="P799" i="2"/>
  <c r="N800" i="2"/>
  <c r="S800" i="2" s="1"/>
  <c r="O800" i="2"/>
  <c r="P800" i="2"/>
  <c r="N801" i="2"/>
  <c r="S801" i="2"/>
  <c r="N802" i="2"/>
  <c r="N803" i="2"/>
  <c r="O803" i="2"/>
  <c r="P803" i="2"/>
  <c r="S803" i="2"/>
  <c r="N804" i="2"/>
  <c r="O804" i="2" s="1"/>
  <c r="P804" i="2"/>
  <c r="N805" i="2"/>
  <c r="P805" i="2" s="1"/>
  <c r="O805" i="2"/>
  <c r="S805" i="2"/>
  <c r="N806" i="2"/>
  <c r="S806" i="2"/>
  <c r="N807" i="2"/>
  <c r="N808" i="2"/>
  <c r="S808" i="2" s="1"/>
  <c r="O808" i="2"/>
  <c r="P808" i="2"/>
  <c r="N809" i="2"/>
  <c r="O809" i="2"/>
  <c r="P809" i="2"/>
  <c r="S809" i="2"/>
  <c r="N810" i="2"/>
  <c r="O810" i="2" s="1"/>
  <c r="S810" i="2"/>
  <c r="N811" i="2"/>
  <c r="O811" i="2"/>
  <c r="P811" i="2"/>
  <c r="S811" i="2"/>
  <c r="N812" i="2"/>
  <c r="N813" i="2"/>
  <c r="N814" i="2"/>
  <c r="O814" i="2"/>
  <c r="P814" i="2"/>
  <c r="S814" i="2"/>
  <c r="N815" i="2"/>
  <c r="S815" i="2"/>
  <c r="N816" i="2"/>
  <c r="N817" i="2"/>
  <c r="O817" i="2"/>
  <c r="P817" i="2"/>
  <c r="N818" i="2"/>
  <c r="O818" i="2" s="1"/>
  <c r="P818" i="2"/>
  <c r="S818" i="2"/>
  <c r="N819" i="2"/>
  <c r="O819" i="2"/>
  <c r="P819" i="2"/>
  <c r="S819" i="2"/>
  <c r="N820" i="2"/>
  <c r="O820" i="2" s="1"/>
  <c r="S820" i="2"/>
  <c r="T820" i="2"/>
  <c r="N821" i="2"/>
  <c r="N822" i="2"/>
  <c r="O822" i="2"/>
  <c r="P822" i="2"/>
  <c r="N823" i="2"/>
  <c r="R823" i="2" s="1"/>
  <c r="P823" i="2"/>
  <c r="Q823" i="2"/>
  <c r="S823" i="2"/>
  <c r="T823" i="2"/>
  <c r="N824" i="2"/>
  <c r="S824" i="2" s="1"/>
  <c r="R824" i="2"/>
  <c r="T824" i="2"/>
  <c r="N825" i="2"/>
  <c r="N826" i="2"/>
  <c r="O826" i="2"/>
  <c r="P826" i="2"/>
  <c r="N827" i="2"/>
  <c r="O827" i="2"/>
  <c r="P827" i="2"/>
  <c r="Q827" i="2"/>
  <c r="R827" i="2"/>
  <c r="S827" i="2"/>
  <c r="T827" i="2"/>
  <c r="N828" i="2"/>
  <c r="O828" i="2" s="1"/>
  <c r="Q828" i="2"/>
  <c r="R828" i="2"/>
  <c r="S828" i="2"/>
  <c r="T828" i="2"/>
  <c r="N829" i="2"/>
  <c r="P829" i="2" s="1"/>
  <c r="S829" i="2"/>
  <c r="T829" i="2"/>
  <c r="N830" i="2"/>
  <c r="N831" i="2"/>
  <c r="P831" i="2"/>
  <c r="N832" i="2"/>
  <c r="S832" i="2" s="1"/>
  <c r="P832" i="2"/>
  <c r="Q832" i="2"/>
  <c r="R832" i="2"/>
  <c r="T832" i="2"/>
  <c r="N833" i="2"/>
  <c r="T833" i="2" s="1"/>
  <c r="R833" i="2"/>
  <c r="S833" i="2"/>
  <c r="N834" i="2"/>
  <c r="T834" i="2" s="1"/>
  <c r="N835" i="2"/>
  <c r="O835" i="2"/>
  <c r="P835" i="2"/>
  <c r="Q835" i="2"/>
  <c r="R835" i="2"/>
  <c r="S835" i="2"/>
  <c r="T835" i="2"/>
  <c r="N836" i="2"/>
  <c r="P836" i="2"/>
  <c r="Q836" i="2"/>
  <c r="N837" i="2"/>
  <c r="P837" i="2" s="1"/>
  <c r="Q837" i="2"/>
  <c r="R837" i="2"/>
  <c r="S837" i="2"/>
  <c r="T837" i="2"/>
  <c r="N838" i="2"/>
  <c r="Q838" i="2" s="1"/>
  <c r="S838" i="2"/>
  <c r="T838" i="2"/>
  <c r="N839" i="2"/>
  <c r="N843" i="2"/>
  <c r="O843" i="2" s="1"/>
  <c r="N844" i="2"/>
  <c r="S844" i="2" s="1"/>
  <c r="O844" i="2"/>
  <c r="P844" i="2"/>
  <c r="N845" i="2"/>
  <c r="O845" i="2"/>
  <c r="P845" i="2"/>
  <c r="S845" i="2"/>
  <c r="N846" i="2"/>
  <c r="P846" i="2" s="1"/>
  <c r="O846" i="2"/>
  <c r="S846" i="2"/>
  <c r="N847" i="2"/>
  <c r="O847" i="2"/>
  <c r="P847" i="2"/>
  <c r="S847" i="2"/>
  <c r="N848" i="2"/>
  <c r="P848" i="2"/>
  <c r="N849" i="2"/>
  <c r="P849" i="2" s="1"/>
  <c r="O849" i="2"/>
  <c r="S849" i="2"/>
  <c r="N850" i="2"/>
  <c r="O850" i="2"/>
  <c r="P850" i="2"/>
  <c r="S850" i="2"/>
  <c r="N851" i="2"/>
  <c r="O851" i="2"/>
  <c r="N852" i="2"/>
  <c r="P852" i="2" s="1"/>
  <c r="O852" i="2"/>
  <c r="N853" i="2"/>
  <c r="O853" i="2"/>
  <c r="P853" i="2"/>
  <c r="S853" i="2"/>
  <c r="N854" i="2"/>
  <c r="O854" i="2"/>
  <c r="P854" i="2"/>
  <c r="S854" i="2"/>
  <c r="N855" i="2"/>
  <c r="O855" i="2"/>
  <c r="P855" i="2"/>
  <c r="S855" i="2"/>
  <c r="N856" i="2"/>
  <c r="P856" i="2"/>
  <c r="N857" i="2"/>
  <c r="O857" i="2"/>
  <c r="N858" i="2"/>
  <c r="O858" i="2"/>
  <c r="P858" i="2"/>
  <c r="S858" i="2"/>
  <c r="N859" i="2"/>
  <c r="O859" i="2"/>
  <c r="P859" i="2"/>
  <c r="S859" i="2"/>
  <c r="N860" i="2"/>
  <c r="N861" i="2"/>
  <c r="S861" i="2" s="1"/>
  <c r="O861" i="2"/>
  <c r="N862" i="2"/>
  <c r="O862" i="2" s="1"/>
  <c r="N863" i="2"/>
  <c r="N864" i="2"/>
  <c r="S864" i="2" s="1"/>
  <c r="O864" i="2"/>
  <c r="P864" i="2"/>
  <c r="N865" i="2"/>
  <c r="N866" i="2"/>
  <c r="O866" i="2"/>
  <c r="P866" i="2"/>
  <c r="S866" i="2"/>
  <c r="N867" i="2"/>
  <c r="O867" i="2"/>
  <c r="P867" i="2"/>
  <c r="S867" i="2"/>
  <c r="N868" i="2"/>
  <c r="N869" i="2"/>
  <c r="P869" i="2" s="1"/>
  <c r="O869" i="2"/>
  <c r="N870" i="2"/>
  <c r="S870" i="2"/>
  <c r="N871" i="2"/>
  <c r="O871" i="2"/>
  <c r="P871" i="2"/>
  <c r="S871" i="2"/>
  <c r="N872" i="2"/>
  <c r="N873" i="2"/>
  <c r="O873" i="2"/>
  <c r="P873" i="2"/>
  <c r="S873" i="2"/>
  <c r="N874" i="2"/>
  <c r="N875" i="2"/>
  <c r="O875" i="2"/>
  <c r="P875" i="2"/>
  <c r="S875" i="2"/>
  <c r="N876" i="2"/>
  <c r="O876" i="2" s="1"/>
  <c r="P876" i="2"/>
  <c r="S876" i="2"/>
  <c r="N877" i="2"/>
  <c r="N878" i="2"/>
  <c r="O878" i="2"/>
  <c r="P878" i="2"/>
  <c r="N879" i="2"/>
  <c r="S879" i="2"/>
  <c r="N880" i="2"/>
  <c r="S880" i="2" s="1"/>
  <c r="O880" i="2"/>
  <c r="P880" i="2"/>
  <c r="R880" i="2"/>
  <c r="T880" i="2"/>
  <c r="N881" i="2"/>
  <c r="N882" i="2"/>
  <c r="R882" i="2" s="1"/>
  <c r="O882" i="2"/>
  <c r="P882" i="2"/>
  <c r="Q882" i="2"/>
  <c r="S882" i="2"/>
  <c r="T882" i="2"/>
  <c r="N883" i="2"/>
  <c r="O883" i="2"/>
  <c r="P883" i="2"/>
  <c r="Q883" i="2"/>
  <c r="R883" i="2"/>
  <c r="S883" i="2"/>
  <c r="T883" i="2"/>
  <c r="N884" i="2"/>
  <c r="O884" i="2" s="1"/>
  <c r="R884" i="2"/>
  <c r="S884" i="2"/>
  <c r="N885" i="2"/>
  <c r="P885" i="2" s="1"/>
  <c r="O885" i="2"/>
  <c r="Q885" i="2"/>
  <c r="S885" i="2"/>
  <c r="T885" i="2"/>
  <c r="N886" i="2"/>
  <c r="N887" i="2"/>
  <c r="R887" i="2" s="1"/>
  <c r="O887" i="2"/>
  <c r="P887" i="2"/>
  <c r="Q887" i="2"/>
  <c r="T887" i="2"/>
  <c r="N888" i="2"/>
  <c r="S888" i="2" s="1"/>
  <c r="Q888" i="2"/>
  <c r="R888" i="2"/>
  <c r="N889" i="2"/>
  <c r="T889" i="2" s="1"/>
  <c r="O889" i="2"/>
  <c r="P889" i="2"/>
  <c r="R889" i="2"/>
  <c r="S889" i="2"/>
  <c r="N890" i="2"/>
  <c r="N891" i="2"/>
  <c r="O891" i="2"/>
  <c r="P891" i="2"/>
  <c r="Q891" i="2"/>
  <c r="R891" i="2"/>
  <c r="S891" i="2"/>
  <c r="T891" i="2"/>
  <c r="N892" i="2"/>
  <c r="O892" i="2" s="1"/>
  <c r="P892" i="2"/>
  <c r="Q892" i="2"/>
  <c r="T892" i="2"/>
  <c r="N893" i="2"/>
  <c r="P893" i="2" s="1"/>
  <c r="R893" i="2"/>
  <c r="S893" i="2"/>
  <c r="N894" i="2"/>
  <c r="Q894" i="2" s="1"/>
  <c r="O894" i="2"/>
  <c r="P894" i="2"/>
  <c r="R894" i="2"/>
  <c r="S894" i="2"/>
  <c r="T894" i="2"/>
  <c r="N895" i="2"/>
  <c r="O895" i="2" s="1"/>
  <c r="P895" i="2"/>
  <c r="Q895" i="2"/>
  <c r="S895" i="2"/>
  <c r="T895" i="2"/>
  <c r="N896" i="2"/>
  <c r="N897" i="2"/>
  <c r="Q897" i="2" s="1"/>
  <c r="O897" i="2"/>
  <c r="N898" i="2"/>
  <c r="R898" i="2" s="1"/>
  <c r="O898" i="2"/>
  <c r="P898" i="2"/>
  <c r="S898" i="2"/>
  <c r="T898" i="2"/>
  <c r="N899" i="2"/>
  <c r="O899" i="2"/>
  <c r="P899" i="2"/>
  <c r="Q899" i="2"/>
  <c r="R899" i="2"/>
  <c r="S899" i="2"/>
  <c r="T899" i="2"/>
  <c r="N243" i="2"/>
  <c r="O243" i="2" s="1"/>
  <c r="S243" i="2"/>
  <c r="N244" i="2"/>
  <c r="O244" i="2" s="1"/>
  <c r="N245" i="2"/>
  <c r="N246" i="2"/>
  <c r="O246" i="2" s="1"/>
  <c r="N247" i="2"/>
  <c r="O247" i="2"/>
  <c r="P247" i="2"/>
  <c r="N248" i="2"/>
  <c r="S248" i="2" s="1"/>
  <c r="P248" i="2"/>
  <c r="N249" i="2"/>
  <c r="O249" i="2"/>
  <c r="P249" i="2"/>
  <c r="S249" i="2"/>
  <c r="N250" i="2"/>
  <c r="O250" i="2"/>
  <c r="P250" i="2"/>
  <c r="S250" i="2"/>
  <c r="N251" i="2"/>
  <c r="S251" i="2"/>
  <c r="N252" i="2"/>
  <c r="N253" i="2"/>
  <c r="O253" i="2" s="1"/>
  <c r="N254" i="2"/>
  <c r="O254" i="2"/>
  <c r="P254" i="2"/>
  <c r="N255" i="2"/>
  <c r="N256" i="2"/>
  <c r="P256" i="2"/>
  <c r="N257" i="2"/>
  <c r="P257" i="2"/>
  <c r="S257" i="2"/>
  <c r="N258" i="2"/>
  <c r="O258" i="2"/>
  <c r="S258" i="2"/>
  <c r="N259" i="2"/>
  <c r="P259" i="2" s="1"/>
  <c r="N260" i="2"/>
  <c r="S260" i="2" s="1"/>
  <c r="N261" i="2"/>
  <c r="O261" i="2"/>
  <c r="N262" i="2"/>
  <c r="N263" i="2"/>
  <c r="O263" i="2" s="1"/>
  <c r="P263" i="2"/>
  <c r="N264" i="2"/>
  <c r="S264" i="2" s="1"/>
  <c r="O264" i="2"/>
  <c r="P264" i="2"/>
  <c r="N265" i="2"/>
  <c r="O265" i="2"/>
  <c r="P265" i="2"/>
  <c r="S265" i="2"/>
  <c r="N266" i="2"/>
  <c r="N267" i="2"/>
  <c r="P267" i="2"/>
  <c r="N268" i="2"/>
  <c r="S268" i="2" s="1"/>
  <c r="N269" i="2"/>
  <c r="O269" i="2" s="1"/>
  <c r="N270" i="2"/>
  <c r="P270" i="2" s="1"/>
  <c r="N271" i="2"/>
  <c r="N272" i="2"/>
  <c r="N273" i="2"/>
  <c r="N274" i="2"/>
  <c r="O274" i="2"/>
  <c r="N275" i="2"/>
  <c r="O275" i="2" s="1"/>
  <c r="P275" i="2"/>
  <c r="S275" i="2"/>
  <c r="N276" i="2"/>
  <c r="S276" i="2" s="1"/>
  <c r="N277" i="2"/>
  <c r="N278" i="2"/>
  <c r="P278" i="2" s="1"/>
  <c r="N279" i="2"/>
  <c r="N280" i="2"/>
  <c r="N281" i="2"/>
  <c r="R281" i="2" s="1"/>
  <c r="O281" i="2"/>
  <c r="N282" i="2"/>
  <c r="O282" i="2"/>
  <c r="P282" i="2"/>
  <c r="Q282" i="2"/>
  <c r="R282" i="2"/>
  <c r="S282" i="2"/>
  <c r="T282" i="2"/>
  <c r="N283" i="2"/>
  <c r="Q283" i="2"/>
  <c r="R283" i="2"/>
  <c r="S283" i="2"/>
  <c r="T283" i="2"/>
  <c r="N284" i="2"/>
  <c r="R284" i="2" s="1"/>
  <c r="S284" i="2"/>
  <c r="T284" i="2"/>
  <c r="N285" i="2"/>
  <c r="N286" i="2"/>
  <c r="P286" i="2"/>
  <c r="N287" i="2"/>
  <c r="N288" i="2"/>
  <c r="Q288" i="2" s="1"/>
  <c r="O288" i="2"/>
  <c r="P288" i="2"/>
  <c r="R288" i="2"/>
  <c r="N289" i="2"/>
  <c r="R289" i="2" s="1"/>
  <c r="N290" i="2"/>
  <c r="Q290" i="2" s="1"/>
  <c r="O290" i="2"/>
  <c r="P290" i="2"/>
  <c r="R290" i="2"/>
  <c r="S290" i="2"/>
  <c r="T290" i="2"/>
  <c r="N291" i="2"/>
  <c r="N292" i="2"/>
  <c r="S292" i="2" s="1"/>
  <c r="T292" i="2"/>
  <c r="N293" i="2"/>
  <c r="N294" i="2"/>
  <c r="O294" i="2"/>
  <c r="N295" i="2"/>
  <c r="T295" i="2" s="1"/>
  <c r="P295" i="2"/>
  <c r="N296" i="2"/>
  <c r="O296" i="2" s="1"/>
  <c r="N297" i="2"/>
  <c r="T297" i="2" s="1"/>
  <c r="O297" i="2"/>
  <c r="P297" i="2"/>
  <c r="N298" i="2"/>
  <c r="O298" i="2" s="1"/>
  <c r="N299" i="2"/>
  <c r="N303" i="2"/>
  <c r="P303" i="2" s="1"/>
  <c r="N304" i="2"/>
  <c r="N305" i="2"/>
  <c r="O305" i="2"/>
  <c r="S305" i="2"/>
  <c r="N306" i="2"/>
  <c r="O306" i="2" s="1"/>
  <c r="N307" i="2"/>
  <c r="O307" i="2" s="1"/>
  <c r="N308" i="2"/>
  <c r="O308" i="2" s="1"/>
  <c r="P308" i="2"/>
  <c r="N309" i="2"/>
  <c r="S309" i="2"/>
  <c r="N310" i="2"/>
  <c r="P310" i="2"/>
  <c r="S310" i="2"/>
  <c r="N311" i="2"/>
  <c r="P311" i="2"/>
  <c r="S311" i="2"/>
  <c r="N312" i="2"/>
  <c r="S312" i="2"/>
  <c r="N313" i="2"/>
  <c r="O313" i="2" s="1"/>
  <c r="N314" i="2"/>
  <c r="P314" i="2" s="1"/>
  <c r="N315" i="2"/>
  <c r="P315" i="2" s="1"/>
  <c r="N316" i="2"/>
  <c r="N317" i="2"/>
  <c r="O317" i="2"/>
  <c r="P317" i="2"/>
  <c r="S317" i="2"/>
  <c r="N318" i="2"/>
  <c r="O318" i="2"/>
  <c r="P318" i="2"/>
  <c r="S318" i="2"/>
  <c r="N319" i="2"/>
  <c r="N320" i="2"/>
  <c r="N321" i="2"/>
  <c r="N322" i="2"/>
  <c r="O322" i="2" s="1"/>
  <c r="N323" i="2"/>
  <c r="O323" i="2"/>
  <c r="N324" i="2"/>
  <c r="N325" i="2"/>
  <c r="S325" i="2"/>
  <c r="N326" i="2"/>
  <c r="O326" i="2"/>
  <c r="P326" i="2"/>
  <c r="S326" i="2"/>
  <c r="N327" i="2"/>
  <c r="N328" i="2"/>
  <c r="N329" i="2"/>
  <c r="O329" i="2" s="1"/>
  <c r="N330" i="2"/>
  <c r="O330" i="2" s="1"/>
  <c r="P330" i="2"/>
  <c r="N331" i="2"/>
  <c r="P331" i="2"/>
  <c r="N332" i="2"/>
  <c r="N333" i="2"/>
  <c r="O333" i="2"/>
  <c r="P333" i="2"/>
  <c r="S333" i="2"/>
  <c r="N334" i="2"/>
  <c r="N335" i="2"/>
  <c r="O335" i="2" s="1"/>
  <c r="P335" i="2"/>
  <c r="S335" i="2"/>
  <c r="N336" i="2"/>
  <c r="N337" i="2"/>
  <c r="S337" i="2"/>
  <c r="N338" i="2"/>
  <c r="N339" i="2"/>
  <c r="P339" i="2" s="1"/>
  <c r="N340" i="2"/>
  <c r="P340" i="2" s="1"/>
  <c r="N341" i="2"/>
  <c r="S341" i="2" s="1"/>
  <c r="N342" i="2"/>
  <c r="N343" i="2"/>
  <c r="P343" i="2" s="1"/>
  <c r="Q343" i="2"/>
  <c r="S343" i="2"/>
  <c r="N344" i="2"/>
  <c r="Q344" i="2" s="1"/>
  <c r="R344" i="2"/>
  <c r="S344" i="2"/>
  <c r="T344" i="2"/>
  <c r="N345" i="2"/>
  <c r="O345" i="2" s="1"/>
  <c r="N346" i="2"/>
  <c r="O346" i="2"/>
  <c r="N347" i="2"/>
  <c r="P347" i="2" s="1"/>
  <c r="O347" i="2"/>
  <c r="N348" i="2"/>
  <c r="P348" i="2" s="1"/>
  <c r="O348" i="2"/>
  <c r="N349" i="2"/>
  <c r="O349" i="2"/>
  <c r="P349" i="2"/>
  <c r="R349" i="2"/>
  <c r="S349" i="2"/>
  <c r="N350" i="2"/>
  <c r="S350" i="2" s="1"/>
  <c r="O350" i="2"/>
  <c r="P350" i="2"/>
  <c r="Q350" i="2"/>
  <c r="R350" i="2"/>
  <c r="T350" i="2"/>
  <c r="N351" i="2"/>
  <c r="Q351" i="2" s="1"/>
  <c r="S351" i="2"/>
  <c r="T351" i="2"/>
  <c r="N352" i="2"/>
  <c r="Q352" i="2"/>
  <c r="R352" i="2"/>
  <c r="N353" i="2"/>
  <c r="O353" i="2"/>
  <c r="R353" i="2"/>
  <c r="S353" i="2"/>
  <c r="T353" i="2"/>
  <c r="N354" i="2"/>
  <c r="S354" i="2"/>
  <c r="T354" i="2"/>
  <c r="N355" i="2"/>
  <c r="O355" i="2" s="1"/>
  <c r="N356" i="2"/>
  <c r="O356" i="2" s="1"/>
  <c r="N357" i="2"/>
  <c r="P357" i="2"/>
  <c r="Q357" i="2"/>
  <c r="T357" i="2"/>
  <c r="N358" i="2"/>
  <c r="S358" i="2" s="1"/>
  <c r="O358" i="2"/>
  <c r="P358" i="2"/>
  <c r="Q358" i="2"/>
  <c r="R358" i="2"/>
  <c r="T358" i="2"/>
  <c r="N359" i="2"/>
  <c r="P359" i="2" s="1"/>
  <c r="R359" i="2"/>
  <c r="S359" i="2"/>
  <c r="T359" i="2"/>
  <c r="N363" i="2"/>
  <c r="N364" i="2"/>
  <c r="N365" i="2"/>
  <c r="O365" i="2"/>
  <c r="P365" i="2"/>
  <c r="N366" i="2"/>
  <c r="O366" i="2"/>
  <c r="P366" i="2"/>
  <c r="S366" i="2"/>
  <c r="N367" i="2"/>
  <c r="S367" i="2" s="1"/>
  <c r="O367" i="2"/>
  <c r="N368" i="2"/>
  <c r="O368" i="2"/>
  <c r="P368" i="2"/>
  <c r="S368" i="2"/>
  <c r="N369" i="2"/>
  <c r="P369" i="2"/>
  <c r="N370" i="2"/>
  <c r="O370" i="2"/>
  <c r="P370" i="2"/>
  <c r="S370" i="2"/>
  <c r="N371" i="2"/>
  <c r="N372" i="2"/>
  <c r="S372" i="2"/>
  <c r="N373" i="2"/>
  <c r="P373" i="2" s="1"/>
  <c r="O373" i="2"/>
  <c r="N374" i="2"/>
  <c r="S374" i="2" s="1"/>
  <c r="N375" i="2"/>
  <c r="N376" i="2"/>
  <c r="O376" i="2"/>
  <c r="N377" i="2"/>
  <c r="O377" i="2" s="1"/>
  <c r="N378" i="2"/>
  <c r="P378" i="2"/>
  <c r="S378" i="2"/>
  <c r="N379" i="2"/>
  <c r="S379" i="2" s="1"/>
  <c r="P379" i="2"/>
  <c r="N380" i="2"/>
  <c r="O380" i="2" s="1"/>
  <c r="N381" i="2"/>
  <c r="O381" i="2"/>
  <c r="N382" i="2"/>
  <c r="N383" i="2"/>
  <c r="P383" i="2" s="1"/>
  <c r="N384" i="2"/>
  <c r="O384" i="2"/>
  <c r="P384" i="2"/>
  <c r="S384" i="2"/>
  <c r="N385" i="2"/>
  <c r="N386" i="2"/>
  <c r="S386" i="2" s="1"/>
  <c r="O386" i="2"/>
  <c r="N387" i="2"/>
  <c r="P387" i="2"/>
  <c r="N388" i="2"/>
  <c r="O388" i="2" s="1"/>
  <c r="N389" i="2"/>
  <c r="N390" i="2"/>
  <c r="P390" i="2"/>
  <c r="N391" i="2"/>
  <c r="O391" i="2" s="1"/>
  <c r="N392" i="2"/>
  <c r="P392" i="2"/>
  <c r="N393" i="2"/>
  <c r="O393" i="2" s="1"/>
  <c r="P393" i="2"/>
  <c r="S393" i="2"/>
  <c r="N394" i="2"/>
  <c r="S394" i="2"/>
  <c r="N395" i="2"/>
  <c r="N396" i="2"/>
  <c r="S396" i="2" s="1"/>
  <c r="N397" i="2"/>
  <c r="O397" i="2" s="1"/>
  <c r="N398" i="2"/>
  <c r="P398" i="2"/>
  <c r="N399" i="2"/>
  <c r="N400" i="2"/>
  <c r="T400" i="2" s="1"/>
  <c r="O400" i="2"/>
  <c r="P400" i="2"/>
  <c r="Q400" i="2"/>
  <c r="R400" i="2"/>
  <c r="S400" i="2"/>
  <c r="N401" i="2"/>
  <c r="N402" i="2"/>
  <c r="O402" i="2"/>
  <c r="P402" i="2"/>
  <c r="Q402" i="2"/>
  <c r="R402" i="2"/>
  <c r="S402" i="2"/>
  <c r="T402" i="2"/>
  <c r="N403" i="2"/>
  <c r="Q403" i="2" s="1"/>
  <c r="N404" i="2"/>
  <c r="P404" i="2" s="1"/>
  <c r="O404" i="2"/>
  <c r="Q404" i="2"/>
  <c r="S404" i="2"/>
  <c r="T404" i="2"/>
  <c r="N405" i="2"/>
  <c r="R405" i="2" s="1"/>
  <c r="N406" i="2"/>
  <c r="N407" i="2"/>
  <c r="P407" i="2" s="1"/>
  <c r="Q407" i="2"/>
  <c r="R407" i="2"/>
  <c r="N408" i="2"/>
  <c r="O408" i="2"/>
  <c r="R408" i="2"/>
  <c r="S408" i="2"/>
  <c r="N409" i="2"/>
  <c r="Q409" i="2" s="1"/>
  <c r="N410" i="2"/>
  <c r="N411" i="2"/>
  <c r="N412" i="2"/>
  <c r="Q412" i="2"/>
  <c r="R412" i="2"/>
  <c r="S412" i="2"/>
  <c r="N413" i="2"/>
  <c r="N414" i="2"/>
  <c r="Q414" i="2" s="1"/>
  <c r="N415" i="2"/>
  <c r="N416" i="2"/>
  <c r="P416" i="2"/>
  <c r="Q416" i="2"/>
  <c r="R416" i="2"/>
  <c r="N417" i="2"/>
  <c r="Q417" i="2" s="1"/>
  <c r="P417" i="2"/>
  <c r="R417" i="2"/>
  <c r="T417" i="2"/>
  <c r="N418" i="2"/>
  <c r="T418" i="2" s="1"/>
  <c r="R418" i="2"/>
  <c r="S418" i="2"/>
  <c r="N419" i="2"/>
  <c r="R419" i="2" s="1"/>
  <c r="N423" i="2"/>
  <c r="N424" i="2"/>
  <c r="P424" i="2" s="1"/>
  <c r="N425" i="2"/>
  <c r="N426" i="2"/>
  <c r="O426" i="2"/>
  <c r="N427" i="2"/>
  <c r="O427" i="2" s="1"/>
  <c r="N428" i="2"/>
  <c r="O428" i="2"/>
  <c r="N429" i="2"/>
  <c r="N430" i="2"/>
  <c r="O430" i="2"/>
  <c r="N431" i="2"/>
  <c r="S431" i="2"/>
  <c r="N432" i="2"/>
  <c r="S432" i="2"/>
  <c r="N433" i="2"/>
  <c r="N434" i="2"/>
  <c r="N435" i="2"/>
  <c r="O435" i="2" s="1"/>
  <c r="N436" i="2"/>
  <c r="O436" i="2"/>
  <c r="P436" i="2"/>
  <c r="S436" i="2"/>
  <c r="N437" i="2"/>
  <c r="N438" i="2"/>
  <c r="S438" i="2" s="1"/>
  <c r="N439" i="2"/>
  <c r="N440" i="2"/>
  <c r="P440" i="2"/>
  <c r="N441" i="2"/>
  <c r="N442" i="2"/>
  <c r="N443" i="2"/>
  <c r="S443" i="2" s="1"/>
  <c r="P443" i="2"/>
  <c r="N444" i="2"/>
  <c r="P444" i="2"/>
  <c r="N445" i="2"/>
  <c r="N446" i="2"/>
  <c r="N447" i="2"/>
  <c r="S447" i="2"/>
  <c r="N448" i="2"/>
  <c r="S448" i="2" s="1"/>
  <c r="O448" i="2"/>
  <c r="P448" i="2"/>
  <c r="N449" i="2"/>
  <c r="N450" i="2"/>
  <c r="O450" i="2" s="1"/>
  <c r="N451" i="2"/>
  <c r="S451" i="2"/>
  <c r="N452" i="2"/>
  <c r="O452" i="2"/>
  <c r="P452" i="2"/>
  <c r="S452" i="2"/>
  <c r="N453" i="2"/>
  <c r="P453" i="2"/>
  <c r="N454" i="2"/>
  <c r="N455" i="2"/>
  <c r="N456" i="2"/>
  <c r="P456" i="2" s="1"/>
  <c r="N457" i="2"/>
  <c r="P457" i="2" s="1"/>
  <c r="N458" i="2"/>
  <c r="O458" i="2"/>
  <c r="S458" i="2"/>
  <c r="N459" i="2"/>
  <c r="O459" i="2"/>
  <c r="N460" i="2"/>
  <c r="P460" i="2"/>
  <c r="N461" i="2"/>
  <c r="P461" i="2"/>
  <c r="Q461" i="2"/>
  <c r="R461" i="2"/>
  <c r="T461" i="2"/>
  <c r="N462" i="2"/>
  <c r="N463" i="2"/>
  <c r="Q463" i="2" s="1"/>
  <c r="N464" i="2"/>
  <c r="O464" i="2"/>
  <c r="P464" i="2"/>
  <c r="Q464" i="2"/>
  <c r="R464" i="2"/>
  <c r="S464" i="2"/>
  <c r="T464" i="2"/>
  <c r="N465" i="2"/>
  <c r="T465" i="2" s="1"/>
  <c r="Q465" i="2"/>
  <c r="R465" i="2"/>
  <c r="N466" i="2"/>
  <c r="N467" i="2"/>
  <c r="Q467" i="2" s="1"/>
  <c r="R467" i="2"/>
  <c r="S467" i="2"/>
  <c r="N468" i="2"/>
  <c r="R468" i="2" s="1"/>
  <c r="O468" i="2"/>
  <c r="P468" i="2"/>
  <c r="Q468" i="2"/>
  <c r="S468" i="2"/>
  <c r="N469" i="2"/>
  <c r="N470" i="2"/>
  <c r="N471" i="2"/>
  <c r="O471" i="2"/>
  <c r="S471" i="2"/>
  <c r="T471" i="2"/>
  <c r="N472" i="2"/>
  <c r="S472" i="2" s="1"/>
  <c r="O472" i="2"/>
  <c r="P472" i="2"/>
  <c r="Q472" i="2"/>
  <c r="R472" i="2"/>
  <c r="T472" i="2"/>
  <c r="N473" i="2"/>
  <c r="S473" i="2"/>
  <c r="T473" i="2"/>
  <c r="N474" i="2"/>
  <c r="P474" i="2" s="1"/>
  <c r="N475" i="2"/>
  <c r="Q475" i="2" s="1"/>
  <c r="R475" i="2"/>
  <c r="N476" i="2"/>
  <c r="P476" i="2"/>
  <c r="Q476" i="2"/>
  <c r="N477" i="2"/>
  <c r="S477" i="2" s="1"/>
  <c r="Q477" i="2"/>
  <c r="R477" i="2"/>
  <c r="T477" i="2"/>
  <c r="N478" i="2"/>
  <c r="T478" i="2" s="1"/>
  <c r="N479" i="2"/>
  <c r="S479" i="2" s="1"/>
  <c r="N123" i="2"/>
  <c r="N124" i="2"/>
  <c r="S124" i="2" s="1"/>
  <c r="N125" i="2"/>
  <c r="P125" i="2" s="1"/>
  <c r="O125" i="2"/>
  <c r="N126" i="2"/>
  <c r="N127" i="2"/>
  <c r="N128" i="2"/>
  <c r="N129" i="2"/>
  <c r="O129" i="2"/>
  <c r="P129" i="2"/>
  <c r="S129" i="2"/>
  <c r="N130" i="2"/>
  <c r="O130" i="2" s="1"/>
  <c r="N131" i="2"/>
  <c r="S131" i="2" s="1"/>
  <c r="N132" i="2"/>
  <c r="S132" i="2" s="1"/>
  <c r="N133" i="2"/>
  <c r="N134" i="2"/>
  <c r="N135" i="2"/>
  <c r="N136" i="2"/>
  <c r="S136" i="2" s="1"/>
  <c r="O136" i="2"/>
  <c r="N137" i="2"/>
  <c r="N138" i="2"/>
  <c r="P138" i="2"/>
  <c r="S138" i="2"/>
  <c r="N139" i="2"/>
  <c r="N140" i="2"/>
  <c r="S140" i="2" s="1"/>
  <c r="N141" i="2"/>
  <c r="N142" i="2"/>
  <c r="N143" i="2"/>
  <c r="N144" i="2"/>
  <c r="O144" i="2"/>
  <c r="N145" i="2"/>
  <c r="O145" i="2" s="1"/>
  <c r="N146" i="2"/>
  <c r="N147" i="2"/>
  <c r="P147" i="2"/>
  <c r="S147" i="2"/>
  <c r="N148" i="2"/>
  <c r="N149" i="2"/>
  <c r="P149" i="2" s="1"/>
  <c r="S149" i="2"/>
  <c r="N150" i="2"/>
  <c r="P150" i="2" s="1"/>
  <c r="N151" i="2"/>
  <c r="O151" i="2" s="1"/>
  <c r="N152" i="2"/>
  <c r="N153" i="2"/>
  <c r="O153" i="2" s="1"/>
  <c r="N154" i="2"/>
  <c r="O154" i="2"/>
  <c r="N155" i="2"/>
  <c r="O155" i="2"/>
  <c r="N156" i="2"/>
  <c r="N157" i="2"/>
  <c r="O157" i="2"/>
  <c r="N158" i="2"/>
  <c r="O158" i="2" s="1"/>
  <c r="N159" i="2"/>
  <c r="N160" i="2"/>
  <c r="O160" i="2" s="1"/>
  <c r="N161" i="2"/>
  <c r="S161" i="2"/>
  <c r="N162" i="2"/>
  <c r="O162" i="2" s="1"/>
  <c r="P162" i="2"/>
  <c r="N163" i="2"/>
  <c r="O163" i="2" s="1"/>
  <c r="P163" i="2"/>
  <c r="Q163" i="2"/>
  <c r="N164" i="2"/>
  <c r="N165" i="2"/>
  <c r="T165" i="2" s="1"/>
  <c r="S165" i="2"/>
  <c r="N166" i="2"/>
  <c r="N167" i="2"/>
  <c r="O167" i="2" s="1"/>
  <c r="Q167" i="2"/>
  <c r="N168" i="2"/>
  <c r="N169" i="2"/>
  <c r="O169" i="2" s="1"/>
  <c r="N170" i="2"/>
  <c r="Q170" i="2" s="1"/>
  <c r="N171" i="2"/>
  <c r="Q171" i="2" s="1"/>
  <c r="O171" i="2"/>
  <c r="R171" i="2"/>
  <c r="T171" i="2"/>
  <c r="N172" i="2"/>
  <c r="N173" i="2"/>
  <c r="T173" i="2" s="1"/>
  <c r="O173" i="2"/>
  <c r="S173" i="2"/>
  <c r="N174" i="2"/>
  <c r="N175" i="2"/>
  <c r="O175" i="2"/>
  <c r="N176" i="2"/>
  <c r="N177" i="2"/>
  <c r="P177" i="2" s="1"/>
  <c r="O177" i="2"/>
  <c r="N178" i="2"/>
  <c r="N179" i="2"/>
  <c r="P179" i="2"/>
  <c r="Q179" i="2"/>
  <c r="R179" i="2"/>
  <c r="N183" i="2"/>
  <c r="P183" i="2"/>
  <c r="S183" i="2"/>
  <c r="N184" i="2"/>
  <c r="N185" i="2"/>
  <c r="N186" i="2"/>
  <c r="O186" i="2" s="1"/>
  <c r="P186" i="2"/>
  <c r="N187" i="2"/>
  <c r="O187" i="2" s="1"/>
  <c r="P187" i="2"/>
  <c r="N188" i="2"/>
  <c r="N189" i="2"/>
  <c r="N190" i="2"/>
  <c r="N191" i="2"/>
  <c r="O191" i="2"/>
  <c r="N192" i="2"/>
  <c r="S192" i="2"/>
  <c r="N193" i="2"/>
  <c r="O193" i="2"/>
  <c r="N194" i="2"/>
  <c r="P194" i="2"/>
  <c r="N195" i="2"/>
  <c r="O195" i="2" s="1"/>
  <c r="N196" i="2"/>
  <c r="O196" i="2"/>
  <c r="P196" i="2"/>
  <c r="N197" i="2"/>
  <c r="O197" i="2"/>
  <c r="S197" i="2"/>
  <c r="N198" i="2"/>
  <c r="S198" i="2" s="1"/>
  <c r="O198" i="2"/>
  <c r="N199" i="2"/>
  <c r="O199" i="2" s="1"/>
  <c r="N200" i="2"/>
  <c r="P200" i="2" s="1"/>
  <c r="N201" i="2"/>
  <c r="S201" i="2"/>
  <c r="N202" i="2"/>
  <c r="O202" i="2" s="1"/>
  <c r="N203" i="2"/>
  <c r="O203" i="2"/>
  <c r="N204" i="2"/>
  <c r="P204" i="2"/>
  <c r="N205" i="2"/>
  <c r="P205" i="2"/>
  <c r="N206" i="2"/>
  <c r="O206" i="2" s="1"/>
  <c r="N207" i="2"/>
  <c r="N208" i="2"/>
  <c r="O208" i="2" s="1"/>
  <c r="P208" i="2"/>
  <c r="N209" i="2"/>
  <c r="O209" i="2"/>
  <c r="N210" i="2"/>
  <c r="S210" i="2"/>
  <c r="N211" i="2"/>
  <c r="O211" i="2" s="1"/>
  <c r="N212" i="2"/>
  <c r="P212" i="2" s="1"/>
  <c r="N213" i="2"/>
  <c r="N214" i="2"/>
  <c r="N215" i="2"/>
  <c r="S215" i="2" s="1"/>
  <c r="N216" i="2"/>
  <c r="P216" i="2" s="1"/>
  <c r="N217" i="2"/>
  <c r="N218" i="2"/>
  <c r="O218" i="2" s="1"/>
  <c r="N219" i="2"/>
  <c r="P219" i="2"/>
  <c r="N220" i="2"/>
  <c r="O220" i="2"/>
  <c r="N221" i="2"/>
  <c r="T221" i="2" s="1"/>
  <c r="O221" i="2"/>
  <c r="N222" i="2"/>
  <c r="O222" i="2"/>
  <c r="N223" i="2"/>
  <c r="S223" i="2" s="1"/>
  <c r="O223" i="2"/>
  <c r="P223" i="2"/>
  <c r="Q223" i="2"/>
  <c r="N224" i="2"/>
  <c r="O224" i="2" s="1"/>
  <c r="N225" i="2"/>
  <c r="O225" i="2"/>
  <c r="N226" i="2"/>
  <c r="Q226" i="2" s="1"/>
  <c r="O226" i="2"/>
  <c r="P226" i="2"/>
  <c r="R226" i="2"/>
  <c r="N227" i="2"/>
  <c r="Q227" i="2" s="1"/>
  <c r="O227" i="2"/>
  <c r="N228" i="2"/>
  <c r="Q228" i="2" s="1"/>
  <c r="P228" i="2"/>
  <c r="N229" i="2"/>
  <c r="O229" i="2" s="1"/>
  <c r="N230" i="2"/>
  <c r="R230" i="2" s="1"/>
  <c r="N231" i="2"/>
  <c r="T231" i="2" s="1"/>
  <c r="N232" i="2"/>
  <c r="P232" i="2"/>
  <c r="R232" i="2"/>
  <c r="T232" i="2"/>
  <c r="N233" i="2"/>
  <c r="Q233" i="2" s="1"/>
  <c r="N234" i="2"/>
  <c r="O234" i="2" s="1"/>
  <c r="N235" i="2"/>
  <c r="R235" i="2" s="1"/>
  <c r="O235" i="2"/>
  <c r="P235" i="2"/>
  <c r="N236" i="2"/>
  <c r="P236" i="2" s="1"/>
  <c r="N237" i="2"/>
  <c r="T237" i="2" s="1"/>
  <c r="P237" i="2"/>
  <c r="Q237" i="2"/>
  <c r="N238" i="2"/>
  <c r="O238" i="2"/>
  <c r="N239" i="2"/>
  <c r="T239" i="2" s="1"/>
  <c r="N63" i="2"/>
  <c r="S63" i="2" s="1"/>
  <c r="N64" i="2"/>
  <c r="O64" i="2" s="1"/>
  <c r="N65" i="2"/>
  <c r="P65" i="2" s="1"/>
  <c r="N66" i="2"/>
  <c r="N67" i="2"/>
  <c r="O67" i="2" s="1"/>
  <c r="N68" i="2"/>
  <c r="N69" i="2"/>
  <c r="O69" i="2" s="1"/>
  <c r="N70" i="2"/>
  <c r="P70" i="2" s="1"/>
  <c r="O70" i="2"/>
  <c r="N71" i="2"/>
  <c r="S71" i="2" s="1"/>
  <c r="O71" i="2"/>
  <c r="N72" i="2"/>
  <c r="O72" i="2" s="1"/>
  <c r="N73" i="2"/>
  <c r="P73" i="2" s="1"/>
  <c r="N74" i="2"/>
  <c r="O74" i="2"/>
  <c r="N75" i="2"/>
  <c r="N76" i="2"/>
  <c r="S76" i="2" s="1"/>
  <c r="N77" i="2"/>
  <c r="S77" i="2" s="1"/>
  <c r="N78" i="2"/>
  <c r="N79" i="2"/>
  <c r="O79" i="2"/>
  <c r="P79" i="2"/>
  <c r="N80" i="2"/>
  <c r="O80" i="2" s="1"/>
  <c r="N81" i="2"/>
  <c r="P81" i="2" s="1"/>
  <c r="N82" i="2"/>
  <c r="N83" i="2"/>
  <c r="N84" i="2"/>
  <c r="S84" i="2" s="1"/>
  <c r="P84" i="2"/>
  <c r="N85" i="2"/>
  <c r="N86" i="2"/>
  <c r="O86" i="2" s="1"/>
  <c r="N87" i="2"/>
  <c r="N88" i="2"/>
  <c r="O88" i="2" s="1"/>
  <c r="N89" i="2"/>
  <c r="P89" i="2" s="1"/>
  <c r="N90" i="2"/>
  <c r="N91" i="2"/>
  <c r="O91" i="2"/>
  <c r="P91" i="2"/>
  <c r="N92" i="2"/>
  <c r="P92" i="2" s="1"/>
  <c r="N93" i="2"/>
  <c r="N94" i="2"/>
  <c r="N95" i="2"/>
  <c r="O95" i="2" s="1"/>
  <c r="S95" i="2"/>
  <c r="N96" i="2"/>
  <c r="O96" i="2" s="1"/>
  <c r="N97" i="2"/>
  <c r="P97" i="2" s="1"/>
  <c r="N98" i="2"/>
  <c r="N99" i="2"/>
  <c r="P99" i="2"/>
  <c r="N100" i="2"/>
  <c r="P100" i="2" s="1"/>
  <c r="N101" i="2"/>
  <c r="T101" i="2" s="1"/>
  <c r="S101" i="2"/>
  <c r="N102" i="2"/>
  <c r="N103" i="2"/>
  <c r="O103" i="2" s="1"/>
  <c r="R103" i="2"/>
  <c r="N104" i="2"/>
  <c r="O104" i="2" s="1"/>
  <c r="T104" i="2"/>
  <c r="N105" i="2"/>
  <c r="P105" i="2" s="1"/>
  <c r="N106" i="2"/>
  <c r="Q106" i="2" s="1"/>
  <c r="O106" i="2"/>
  <c r="N107" i="2"/>
  <c r="R107" i="2" s="1"/>
  <c r="O107" i="2"/>
  <c r="N108" i="2"/>
  <c r="P108" i="2" s="1"/>
  <c r="N109" i="2"/>
  <c r="T109" i="2" s="1"/>
  <c r="O109" i="2"/>
  <c r="N110" i="2"/>
  <c r="T110" i="2" s="1"/>
  <c r="P110" i="2"/>
  <c r="N111" i="2"/>
  <c r="Q111" i="2" s="1"/>
  <c r="R111" i="2"/>
  <c r="S111" i="2"/>
  <c r="N112" i="2"/>
  <c r="O112" i="2" s="1"/>
  <c r="N113" i="2"/>
  <c r="P113" i="2" s="1"/>
  <c r="N114" i="2"/>
  <c r="Q114" i="2" s="1"/>
  <c r="N115" i="2"/>
  <c r="R115" i="2" s="1"/>
  <c r="N116" i="2"/>
  <c r="N117" i="2"/>
  <c r="O117" i="2" s="1"/>
  <c r="N118" i="2"/>
  <c r="R118" i="2" s="1"/>
  <c r="T118" i="2"/>
  <c r="N119" i="2"/>
  <c r="S119" i="2" s="1"/>
  <c r="P119" i="2"/>
  <c r="N3" i="2"/>
  <c r="O3" i="2" s="1"/>
  <c r="N4" i="2"/>
  <c r="N5" i="2"/>
  <c r="P5" i="2" s="1"/>
  <c r="N6" i="2"/>
  <c r="N7" i="2"/>
  <c r="N8" i="2"/>
  <c r="S8" i="2" s="1"/>
  <c r="N9" i="2"/>
  <c r="N10" i="2"/>
  <c r="O10" i="2" s="1"/>
  <c r="N11" i="2"/>
  <c r="N12" i="2"/>
  <c r="O12" i="2" s="1"/>
  <c r="N13" i="2"/>
  <c r="P13" i="2" s="1"/>
  <c r="N14" i="2"/>
  <c r="N15" i="2"/>
  <c r="N16" i="2"/>
  <c r="S16" i="2" s="1"/>
  <c r="N17" i="2"/>
  <c r="N18" i="2"/>
  <c r="O18" i="2" s="1"/>
  <c r="N19" i="2"/>
  <c r="P19" i="2" s="1"/>
  <c r="N20" i="2"/>
  <c r="O20" i="2" s="1"/>
  <c r="N21" i="2"/>
  <c r="P21" i="2" s="1"/>
  <c r="N22" i="2"/>
  <c r="N23" i="2"/>
  <c r="P23" i="2" s="1"/>
  <c r="N24" i="2"/>
  <c r="S24" i="2" s="1"/>
  <c r="N25" i="2"/>
  <c r="N26" i="2"/>
  <c r="O26" i="2" s="1"/>
  <c r="N27" i="2"/>
  <c r="N28" i="2"/>
  <c r="O28" i="2" s="1"/>
  <c r="N29" i="2"/>
  <c r="P29" i="2" s="1"/>
  <c r="N30" i="2"/>
  <c r="N31" i="2"/>
  <c r="N32" i="2"/>
  <c r="S32" i="2" s="1"/>
  <c r="O32" i="2"/>
  <c r="N33" i="2"/>
  <c r="N34" i="2"/>
  <c r="O34" i="2" s="1"/>
  <c r="N35" i="2"/>
  <c r="P35" i="2" s="1"/>
  <c r="N36" i="2"/>
  <c r="O36" i="2" s="1"/>
  <c r="N37" i="2"/>
  <c r="P37" i="2" s="1"/>
  <c r="N38" i="2"/>
  <c r="N39" i="2"/>
  <c r="N40" i="2"/>
  <c r="S40" i="2" s="1"/>
  <c r="N41" i="2"/>
  <c r="T41" i="2" s="1"/>
  <c r="O41" i="2"/>
  <c r="P41" i="2"/>
  <c r="Q41" i="2"/>
  <c r="R41" i="2"/>
  <c r="N42" i="2"/>
  <c r="O42" i="2" s="1"/>
  <c r="R42" i="2"/>
  <c r="N43" i="2"/>
  <c r="P43" i="2" s="1"/>
  <c r="N44" i="2"/>
  <c r="O44" i="2" s="1"/>
  <c r="N45" i="2"/>
  <c r="P45" i="2" s="1"/>
  <c r="N46" i="2"/>
  <c r="Q46" i="2" s="1"/>
  <c r="N47" i="2"/>
  <c r="R47" i="2" s="1"/>
  <c r="N48" i="2"/>
  <c r="S48" i="2" s="1"/>
  <c r="N49" i="2"/>
  <c r="T49" i="2" s="1"/>
  <c r="R49" i="2"/>
  <c r="N50" i="2"/>
  <c r="O50" i="2" s="1"/>
  <c r="T50" i="2"/>
  <c r="N51" i="2"/>
  <c r="P51" i="2" s="1"/>
  <c r="N52" i="2"/>
  <c r="O52" i="2" s="1"/>
  <c r="S52" i="2"/>
  <c r="N53" i="2"/>
  <c r="P53" i="2" s="1"/>
  <c r="N54" i="2"/>
  <c r="Q54" i="2" s="1"/>
  <c r="O54" i="2"/>
  <c r="N55" i="2"/>
  <c r="R55" i="2" s="1"/>
  <c r="O55" i="2"/>
  <c r="N56" i="2"/>
  <c r="S56" i="2" s="1"/>
  <c r="N57" i="2"/>
  <c r="T57" i="2" s="1"/>
  <c r="P57" i="2"/>
  <c r="N58" i="2"/>
  <c r="O58" i="2" s="1"/>
  <c r="N59" i="2"/>
  <c r="P59" i="2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S28" i="2" l="1"/>
  <c r="Q115" i="2"/>
  <c r="S86" i="2"/>
  <c r="O115" i="2"/>
  <c r="P76" i="2"/>
  <c r="P71" i="2"/>
  <c r="T58" i="2"/>
  <c r="Q42" i="2"/>
  <c r="P118" i="2"/>
  <c r="O110" i="2"/>
  <c r="R101" i="2"/>
  <c r="P93" i="2"/>
  <c r="O31" i="2"/>
  <c r="P27" i="2"/>
  <c r="O118" i="2"/>
  <c r="Q101" i="2"/>
  <c r="P87" i="2"/>
  <c r="T111" i="2"/>
  <c r="O87" i="2"/>
  <c r="O126" i="2"/>
  <c r="T647" i="2"/>
  <c r="Q647" i="2"/>
  <c r="R647" i="2"/>
  <c r="S647" i="2"/>
  <c r="P647" i="2"/>
  <c r="O647" i="2"/>
  <c r="S637" i="2"/>
  <c r="O637" i="2"/>
  <c r="P637" i="2"/>
  <c r="P191" i="2"/>
  <c r="S155" i="2"/>
  <c r="P155" i="2"/>
  <c r="O473" i="2"/>
  <c r="R473" i="2"/>
  <c r="R460" i="2"/>
  <c r="O460" i="2"/>
  <c r="Q460" i="2"/>
  <c r="S460" i="2"/>
  <c r="T460" i="2"/>
  <c r="O440" i="2"/>
  <c r="S440" i="2"/>
  <c r="P376" i="2"/>
  <c r="S376" i="2"/>
  <c r="P342" i="2"/>
  <c r="S342" i="2"/>
  <c r="O342" i="2"/>
  <c r="Q342" i="2"/>
  <c r="R342" i="2"/>
  <c r="T342" i="2"/>
  <c r="O324" i="2"/>
  <c r="P324" i="2"/>
  <c r="O293" i="2"/>
  <c r="T293" i="2"/>
  <c r="O185" i="2"/>
  <c r="S185" i="2"/>
  <c r="O159" i="2"/>
  <c r="S144" i="2"/>
  <c r="O444" i="2"/>
  <c r="S444" i="2"/>
  <c r="S430" i="2"/>
  <c r="P426" i="2"/>
  <c r="S426" i="2"/>
  <c r="O390" i="2"/>
  <c r="S390" i="2"/>
  <c r="P274" i="2"/>
  <c r="S274" i="2"/>
  <c r="O267" i="2"/>
  <c r="S267" i="2"/>
  <c r="Q410" i="2"/>
  <c r="P410" i="2"/>
  <c r="S410" i="2"/>
  <c r="T410" i="2"/>
  <c r="O385" i="2"/>
  <c r="O364" i="2"/>
  <c r="O194" i="2"/>
  <c r="O398" i="2"/>
  <c r="Q49" i="2"/>
  <c r="S34" i="2"/>
  <c r="R117" i="2"/>
  <c r="P101" i="2"/>
  <c r="T227" i="2"/>
  <c r="S219" i="2"/>
  <c r="O214" i="2"/>
  <c r="S214" i="2"/>
  <c r="O207" i="2"/>
  <c r="P207" i="2"/>
  <c r="O204" i="2"/>
  <c r="P201" i="2"/>
  <c r="S190" i="2"/>
  <c r="O179" i="2"/>
  <c r="S179" i="2"/>
  <c r="T179" i="2"/>
  <c r="S157" i="2"/>
  <c r="O478" i="2"/>
  <c r="R476" i="2"/>
  <c r="O476" i="2"/>
  <c r="S476" i="2"/>
  <c r="T476" i="2"/>
  <c r="P471" i="2"/>
  <c r="Q471" i="2"/>
  <c r="R471" i="2"/>
  <c r="O439" i="2"/>
  <c r="P439" i="2"/>
  <c r="S439" i="2"/>
  <c r="O425" i="2"/>
  <c r="S425" i="2"/>
  <c r="O286" i="2"/>
  <c r="T286" i="2"/>
  <c r="S178" i="2"/>
  <c r="Q178" i="2"/>
  <c r="R178" i="2"/>
  <c r="Q413" i="2"/>
  <c r="O413" i="2"/>
  <c r="P413" i="2"/>
  <c r="S413" i="2"/>
  <c r="T413" i="2"/>
  <c r="T401" i="2"/>
  <c r="S401" i="2"/>
  <c r="P334" i="2"/>
  <c r="O334" i="2"/>
  <c r="S334" i="2"/>
  <c r="S205" i="2"/>
  <c r="P346" i="2"/>
  <c r="S346" i="2"/>
  <c r="T346" i="2"/>
  <c r="P49" i="2"/>
  <c r="O40" i="2"/>
  <c r="Q119" i="2"/>
  <c r="Q117" i="2"/>
  <c r="S110" i="2"/>
  <c r="S103" i="2"/>
  <c r="O101" i="2"/>
  <c r="Q239" i="2"/>
  <c r="S233" i="2"/>
  <c r="P210" i="2"/>
  <c r="T178" i="2"/>
  <c r="P175" i="2"/>
  <c r="Q175" i="2"/>
  <c r="S139" i="2"/>
  <c r="O139" i="2"/>
  <c r="P139" i="2"/>
  <c r="T470" i="2"/>
  <c r="Q470" i="2"/>
  <c r="O456" i="2"/>
  <c r="S456" i="2"/>
  <c r="O432" i="2"/>
  <c r="P432" i="2"/>
  <c r="O291" i="2"/>
  <c r="P291" i="2"/>
  <c r="S291" i="2"/>
  <c r="Q291" i="2"/>
  <c r="R291" i="2"/>
  <c r="T291" i="2"/>
  <c r="T289" i="2"/>
  <c r="S289" i="2"/>
  <c r="S272" i="2"/>
  <c r="P272" i="2"/>
  <c r="O272" i="2"/>
  <c r="P215" i="2"/>
  <c r="O215" i="2"/>
  <c r="S146" i="2"/>
  <c r="P146" i="2"/>
  <c r="O299" i="2"/>
  <c r="R299" i="2"/>
  <c r="Q299" i="2"/>
  <c r="S299" i="2"/>
  <c r="T299" i="2"/>
  <c r="P255" i="2"/>
  <c r="O255" i="2"/>
  <c r="O868" i="2"/>
  <c r="S868" i="2"/>
  <c r="P868" i="2"/>
  <c r="P117" i="2"/>
  <c r="R110" i="2"/>
  <c r="S85" i="2"/>
  <c r="P239" i="2"/>
  <c r="T236" i="2"/>
  <c r="R233" i="2"/>
  <c r="Q230" i="2"/>
  <c r="Q221" i="2"/>
  <c r="O213" i="2"/>
  <c r="P213" i="2"/>
  <c r="P189" i="2"/>
  <c r="P178" i="2"/>
  <c r="O442" i="2"/>
  <c r="S442" i="2"/>
  <c r="R410" i="2"/>
  <c r="O338" i="2"/>
  <c r="O321" i="2"/>
  <c r="S321" i="2"/>
  <c r="P141" i="2"/>
  <c r="O141" i="2"/>
  <c r="S141" i="2"/>
  <c r="P34" i="2"/>
  <c r="S12" i="2"/>
  <c r="T112" i="2"/>
  <c r="Q110" i="2"/>
  <c r="O239" i="2"/>
  <c r="R236" i="2"/>
  <c r="P230" i="2"/>
  <c r="P221" i="2"/>
  <c r="S191" i="2"/>
  <c r="O189" i="2"/>
  <c r="O183" i="2"/>
  <c r="O178" i="2"/>
  <c r="S171" i="2"/>
  <c r="P171" i="2"/>
  <c r="O152" i="2"/>
  <c r="P152" i="2"/>
  <c r="O146" i="2"/>
  <c r="P126" i="2"/>
  <c r="Q466" i="2"/>
  <c r="O466" i="2"/>
  <c r="O454" i="2"/>
  <c r="S454" i="2"/>
  <c r="O446" i="2"/>
  <c r="P428" i="2"/>
  <c r="S428" i="2"/>
  <c r="O410" i="2"/>
  <c r="O392" i="2"/>
  <c r="S392" i="2"/>
  <c r="P385" i="2"/>
  <c r="S364" i="2"/>
  <c r="S328" i="2"/>
  <c r="O314" i="2"/>
  <c r="P299" i="2"/>
  <c r="O280" i="2"/>
  <c r="Q280" i="2"/>
  <c r="P280" i="2"/>
  <c r="R280" i="2"/>
  <c r="T881" i="2"/>
  <c r="P881" i="2"/>
  <c r="Q881" i="2"/>
  <c r="R881" i="2"/>
  <c r="S881" i="2"/>
  <c r="O881" i="2"/>
  <c r="R839" i="2"/>
  <c r="O839" i="2"/>
  <c r="Q839" i="2"/>
  <c r="S839" i="2"/>
  <c r="T839" i="2"/>
  <c r="P839" i="2"/>
  <c r="O165" i="2"/>
  <c r="O149" i="2"/>
  <c r="O147" i="2"/>
  <c r="O138" i="2"/>
  <c r="P134" i="2"/>
  <c r="S130" i="2"/>
  <c r="T468" i="2"/>
  <c r="P467" i="2"/>
  <c r="P465" i="2"/>
  <c r="O443" i="2"/>
  <c r="O438" i="2"/>
  <c r="P431" i="2"/>
  <c r="P429" i="2"/>
  <c r="O424" i="2"/>
  <c r="Q418" i="2"/>
  <c r="O417" i="2"/>
  <c r="T409" i="2"/>
  <c r="O378" i="2"/>
  <c r="O372" i="2"/>
  <c r="O357" i="2"/>
  <c r="R357" i="2"/>
  <c r="R351" i="2"/>
  <c r="T347" i="2"/>
  <c r="R340" i="2"/>
  <c r="O331" i="2"/>
  <c r="O311" i="2"/>
  <c r="T298" i="2"/>
  <c r="R292" i="2"/>
  <c r="O283" i="2"/>
  <c r="P283" i="2"/>
  <c r="S281" i="2"/>
  <c r="O270" i="2"/>
  <c r="O251" i="2"/>
  <c r="P251" i="2"/>
  <c r="P896" i="2"/>
  <c r="Q896" i="2"/>
  <c r="R896" i="2"/>
  <c r="S896" i="2"/>
  <c r="T896" i="2"/>
  <c r="O896" i="2"/>
  <c r="Q886" i="2"/>
  <c r="P886" i="2"/>
  <c r="R886" i="2"/>
  <c r="S886" i="2"/>
  <c r="T886" i="2"/>
  <c r="O886" i="2"/>
  <c r="O134" i="2"/>
  <c r="Q479" i="2"/>
  <c r="O474" i="2"/>
  <c r="O467" i="2"/>
  <c r="R463" i="2"/>
  <c r="P451" i="2"/>
  <c r="P447" i="2"/>
  <c r="S435" i="2"/>
  <c r="O431" i="2"/>
  <c r="P418" i="2"/>
  <c r="S403" i="2"/>
  <c r="P397" i="2"/>
  <c r="P394" i="2"/>
  <c r="S391" i="2"/>
  <c r="P391" i="2"/>
  <c r="P386" i="2"/>
  <c r="S377" i="2"/>
  <c r="Q347" i="2"/>
  <c r="O343" i="2"/>
  <c r="R343" i="2"/>
  <c r="O337" i="2"/>
  <c r="S319" i="2"/>
  <c r="O303" i="2"/>
  <c r="S303" i="2"/>
  <c r="R298" i="2"/>
  <c r="Q292" i="2"/>
  <c r="O278" i="2"/>
  <c r="O259" i="2"/>
  <c r="S259" i="2"/>
  <c r="S872" i="2"/>
  <c r="P872" i="2"/>
  <c r="O872" i="2"/>
  <c r="O451" i="2"/>
  <c r="O447" i="2"/>
  <c r="O418" i="2"/>
  <c r="R403" i="2"/>
  <c r="O394" i="2"/>
  <c r="S383" i="2"/>
  <c r="O383" i="2"/>
  <c r="P374" i="2"/>
  <c r="O374" i="2"/>
  <c r="P371" i="2"/>
  <c r="S371" i="2"/>
  <c r="O351" i="2"/>
  <c r="P351" i="2"/>
  <c r="O340" i="2"/>
  <c r="Q340" i="2"/>
  <c r="Q298" i="2"/>
  <c r="P273" i="2"/>
  <c r="S273" i="2"/>
  <c r="O273" i="2"/>
  <c r="P890" i="2"/>
  <c r="Q890" i="2"/>
  <c r="R890" i="2"/>
  <c r="S890" i="2"/>
  <c r="T890" i="2"/>
  <c r="O890" i="2"/>
  <c r="O339" i="2"/>
  <c r="O327" i="2"/>
  <c r="P327" i="2"/>
  <c r="S327" i="2"/>
  <c r="O295" i="2"/>
  <c r="Q295" i="2"/>
  <c r="T281" i="2"/>
  <c r="Q281" i="2"/>
  <c r="P281" i="2"/>
  <c r="P266" i="2"/>
  <c r="S266" i="2"/>
  <c r="O266" i="2"/>
  <c r="O812" i="2"/>
  <c r="P812" i="2"/>
  <c r="S812" i="2"/>
  <c r="O319" i="2"/>
  <c r="P319" i="2"/>
  <c r="O315" i="2"/>
  <c r="P298" i="2"/>
  <c r="S298" i="2"/>
  <c r="P877" i="2"/>
  <c r="S877" i="2"/>
  <c r="O877" i="2"/>
  <c r="Q830" i="2"/>
  <c r="O830" i="2"/>
  <c r="P830" i="2"/>
  <c r="R830" i="2"/>
  <c r="S830" i="2"/>
  <c r="T830" i="2"/>
  <c r="S417" i="2"/>
  <c r="T408" i="2"/>
  <c r="P408" i="2"/>
  <c r="P381" i="2"/>
  <c r="S357" i="2"/>
  <c r="T349" i="2"/>
  <c r="Q349" i="2"/>
  <c r="T343" i="2"/>
  <c r="O310" i="2"/>
  <c r="P258" i="2"/>
  <c r="S256" i="2"/>
  <c r="O256" i="2"/>
  <c r="P863" i="2"/>
  <c r="S863" i="2"/>
  <c r="O863" i="2"/>
  <c r="Q898" i="2"/>
  <c r="P897" i="2"/>
  <c r="T893" i="2"/>
  <c r="R892" i="2"/>
  <c r="T888" i="2"/>
  <c r="T884" i="2"/>
  <c r="S874" i="2"/>
  <c r="S865" i="2"/>
  <c r="R831" i="2"/>
  <c r="Q831" i="2"/>
  <c r="S831" i="2"/>
  <c r="T831" i="2"/>
  <c r="P821" i="2"/>
  <c r="O821" i="2"/>
  <c r="Q821" i="2"/>
  <c r="R821" i="2"/>
  <c r="S821" i="2"/>
  <c r="T821" i="2"/>
  <c r="P813" i="2"/>
  <c r="S813" i="2"/>
  <c r="P789" i="2"/>
  <c r="O789" i="2"/>
  <c r="S789" i="2"/>
  <c r="O783" i="2"/>
  <c r="S783" i="2"/>
  <c r="P861" i="2"/>
  <c r="O856" i="2"/>
  <c r="S856" i="2"/>
  <c r="S852" i="2"/>
  <c r="O802" i="2"/>
  <c r="P802" i="2"/>
  <c r="S802" i="2"/>
  <c r="P695" i="2"/>
  <c r="S695" i="2"/>
  <c r="O695" i="2"/>
  <c r="Q893" i="2"/>
  <c r="P888" i="2"/>
  <c r="Q884" i="2"/>
  <c r="P879" i="2"/>
  <c r="P874" i="2"/>
  <c r="P870" i="2"/>
  <c r="P865" i="2"/>
  <c r="Q826" i="2"/>
  <c r="R826" i="2"/>
  <c r="S826" i="2"/>
  <c r="T826" i="2"/>
  <c r="S817" i="2"/>
  <c r="O793" i="2"/>
  <c r="P793" i="2"/>
  <c r="S793" i="2"/>
  <c r="O758" i="2"/>
  <c r="S758" i="2"/>
  <c r="T897" i="2"/>
  <c r="R895" i="2"/>
  <c r="O893" i="2"/>
  <c r="Q889" i="2"/>
  <c r="O888" i="2"/>
  <c r="R885" i="2"/>
  <c r="P884" i="2"/>
  <c r="Q880" i="2"/>
  <c r="O879" i="2"/>
  <c r="O874" i="2"/>
  <c r="O870" i="2"/>
  <c r="O865" i="2"/>
  <c r="P862" i="2"/>
  <c r="S860" i="2"/>
  <c r="O848" i="2"/>
  <c r="S848" i="2"/>
  <c r="O836" i="2"/>
  <c r="R836" i="2"/>
  <c r="S836" i="2"/>
  <c r="T836" i="2"/>
  <c r="T825" i="2"/>
  <c r="O825" i="2"/>
  <c r="P825" i="2"/>
  <c r="Q825" i="2"/>
  <c r="R825" i="2"/>
  <c r="S825" i="2"/>
  <c r="S816" i="2"/>
  <c r="O816" i="2"/>
  <c r="P816" i="2"/>
  <c r="S897" i="2"/>
  <c r="O834" i="2"/>
  <c r="P834" i="2"/>
  <c r="Q834" i="2"/>
  <c r="R834" i="2"/>
  <c r="S834" i="2"/>
  <c r="O768" i="2"/>
  <c r="P768" i="2"/>
  <c r="S768" i="2"/>
  <c r="R768" i="2"/>
  <c r="T768" i="2"/>
  <c r="R897" i="2"/>
  <c r="S862" i="2"/>
  <c r="O860" i="2"/>
  <c r="P860" i="2"/>
  <c r="P843" i="2"/>
  <c r="S843" i="2"/>
  <c r="O807" i="2"/>
  <c r="P807" i="2"/>
  <c r="S807" i="2"/>
  <c r="P777" i="2"/>
  <c r="O777" i="2"/>
  <c r="S777" i="2"/>
  <c r="R777" i="2"/>
  <c r="T777" i="2"/>
  <c r="S764" i="2"/>
  <c r="Q764" i="2"/>
  <c r="P764" i="2"/>
  <c r="R764" i="2"/>
  <c r="T764" i="2"/>
  <c r="O257" i="2"/>
  <c r="S892" i="2"/>
  <c r="S887" i="2"/>
  <c r="S878" i="2"/>
  <c r="S869" i="2"/>
  <c r="P857" i="2"/>
  <c r="S857" i="2"/>
  <c r="O831" i="2"/>
  <c r="Q822" i="2"/>
  <c r="R822" i="2"/>
  <c r="S822" i="2"/>
  <c r="T822" i="2"/>
  <c r="O813" i="2"/>
  <c r="O798" i="2"/>
  <c r="P798" i="2"/>
  <c r="S798" i="2"/>
  <c r="P783" i="2"/>
  <c r="T773" i="2"/>
  <c r="Q773" i="2"/>
  <c r="P773" i="2"/>
  <c r="R773" i="2"/>
  <c r="S773" i="2"/>
  <c r="S755" i="2"/>
  <c r="S741" i="2"/>
  <c r="P741" i="2"/>
  <c r="O707" i="2"/>
  <c r="P707" i="2"/>
  <c r="R707" i="2"/>
  <c r="S707" i="2"/>
  <c r="T707" i="2"/>
  <c r="T776" i="2"/>
  <c r="R771" i="2"/>
  <c r="P771" i="2"/>
  <c r="S766" i="2"/>
  <c r="Q762" i="2"/>
  <c r="P762" i="2"/>
  <c r="O745" i="2"/>
  <c r="P745" i="2"/>
  <c r="S745" i="2"/>
  <c r="P738" i="2"/>
  <c r="O738" i="2"/>
  <c r="P651" i="2"/>
  <c r="Q651" i="2"/>
  <c r="T651" i="2"/>
  <c r="R651" i="2"/>
  <c r="O651" i="2"/>
  <c r="S651" i="2"/>
  <c r="S851" i="2"/>
  <c r="R838" i="2"/>
  <c r="O837" i="2"/>
  <c r="Q833" i="2"/>
  <c r="O832" i="2"/>
  <c r="R829" i="2"/>
  <c r="P828" i="2"/>
  <c r="Q824" i="2"/>
  <c r="O823" i="2"/>
  <c r="R820" i="2"/>
  <c r="S776" i="2"/>
  <c r="R766" i="2"/>
  <c r="O754" i="2"/>
  <c r="P754" i="2"/>
  <c r="S754" i="2"/>
  <c r="S749" i="2"/>
  <c r="O749" i="2"/>
  <c r="O723" i="2"/>
  <c r="P838" i="2"/>
  <c r="P833" i="2"/>
  <c r="Q829" i="2"/>
  <c r="P824" i="2"/>
  <c r="Q820" i="2"/>
  <c r="P815" i="2"/>
  <c r="P810" i="2"/>
  <c r="P806" i="2"/>
  <c r="P801" i="2"/>
  <c r="P792" i="2"/>
  <c r="R776" i="2"/>
  <c r="Q766" i="2"/>
  <c r="P748" i="2"/>
  <c r="S737" i="2"/>
  <c r="S725" i="2"/>
  <c r="P725" i="2"/>
  <c r="R704" i="2"/>
  <c r="Q704" i="2"/>
  <c r="S704" i="2"/>
  <c r="O704" i="2"/>
  <c r="P704" i="2"/>
  <c r="T704" i="2"/>
  <c r="P851" i="2"/>
  <c r="O838" i="2"/>
  <c r="O833" i="2"/>
  <c r="O829" i="2"/>
  <c r="O824" i="2"/>
  <c r="P820" i="2"/>
  <c r="O815" i="2"/>
  <c r="O806" i="2"/>
  <c r="O801" i="2"/>
  <c r="O797" i="2"/>
  <c r="S794" i="2"/>
  <c r="O792" i="2"/>
  <c r="P788" i="2"/>
  <c r="Q778" i="2"/>
  <c r="R778" i="2"/>
  <c r="S772" i="2"/>
  <c r="O772" i="2"/>
  <c r="R772" i="2"/>
  <c r="P769" i="2"/>
  <c r="R769" i="2"/>
  <c r="O766" i="2"/>
  <c r="R763" i="2"/>
  <c r="O763" i="2"/>
  <c r="S763" i="2"/>
  <c r="O760" i="2"/>
  <c r="R760" i="2"/>
  <c r="S753" i="2"/>
  <c r="S750" i="2"/>
  <c r="S739" i="2"/>
  <c r="O734" i="2"/>
  <c r="P734" i="2"/>
  <c r="O717" i="2"/>
  <c r="P717" i="2"/>
  <c r="T717" i="2"/>
  <c r="Q717" i="2"/>
  <c r="P710" i="2"/>
  <c r="T710" i="2"/>
  <c r="Q710" i="2"/>
  <c r="R710" i="2"/>
  <c r="S710" i="2"/>
  <c r="S804" i="2"/>
  <c r="S799" i="2"/>
  <c r="S790" i="2"/>
  <c r="O776" i="2"/>
  <c r="Q776" i="2"/>
  <c r="P755" i="2"/>
  <c r="S748" i="2"/>
  <c r="P739" i="2"/>
  <c r="O737" i="2"/>
  <c r="P737" i="2"/>
  <c r="Q719" i="2"/>
  <c r="R719" i="2"/>
  <c r="P719" i="2"/>
  <c r="S719" i="2"/>
  <c r="T719" i="2"/>
  <c r="P785" i="2"/>
  <c r="S785" i="2"/>
  <c r="O755" i="2"/>
  <c r="O753" i="2"/>
  <c r="P753" i="2"/>
  <c r="O750" i="2"/>
  <c r="P750" i="2"/>
  <c r="O741" i="2"/>
  <c r="O739" i="2"/>
  <c r="O729" i="2"/>
  <c r="P729" i="2"/>
  <c r="S729" i="2"/>
  <c r="Q707" i="2"/>
  <c r="S696" i="2"/>
  <c r="O696" i="2"/>
  <c r="P696" i="2"/>
  <c r="S681" i="2"/>
  <c r="O681" i="2"/>
  <c r="P681" i="2"/>
  <c r="O670" i="2"/>
  <c r="P670" i="2"/>
  <c r="S670" i="2"/>
  <c r="O650" i="2"/>
  <c r="P650" i="2"/>
  <c r="Q650" i="2"/>
  <c r="R650" i="2"/>
  <c r="S650" i="2"/>
  <c r="T650" i="2"/>
  <c r="P619" i="2"/>
  <c r="O619" i="2"/>
  <c r="S619" i="2"/>
  <c r="S732" i="2"/>
  <c r="S713" i="2"/>
  <c r="Q713" i="2"/>
  <c r="R713" i="2"/>
  <c r="T709" i="2"/>
  <c r="P699" i="2"/>
  <c r="P690" i="2"/>
  <c r="P686" i="2"/>
  <c r="S686" i="2"/>
  <c r="S630" i="2"/>
  <c r="P630" i="2"/>
  <c r="S621" i="2"/>
  <c r="O621" i="2"/>
  <c r="P621" i="2"/>
  <c r="Q585" i="2"/>
  <c r="P585" i="2"/>
  <c r="R585" i="2"/>
  <c r="T585" i="2"/>
  <c r="O585" i="2"/>
  <c r="S585" i="2"/>
  <c r="P576" i="2"/>
  <c r="O576" i="2"/>
  <c r="S546" i="2"/>
  <c r="P546" i="2"/>
  <c r="O546" i="2"/>
  <c r="P757" i="2"/>
  <c r="P746" i="2"/>
  <c r="P730" i="2"/>
  <c r="S705" i="2"/>
  <c r="T705" i="2"/>
  <c r="Q703" i="2"/>
  <c r="O703" i="2"/>
  <c r="P703" i="2"/>
  <c r="S733" i="2"/>
  <c r="O709" i="2"/>
  <c r="R709" i="2"/>
  <c r="S709" i="2"/>
  <c r="S673" i="2"/>
  <c r="P673" i="2"/>
  <c r="Q644" i="2"/>
  <c r="R644" i="2"/>
  <c r="P644" i="2"/>
  <c r="S644" i="2"/>
  <c r="T644" i="2"/>
  <c r="O644" i="2"/>
  <c r="P635" i="2"/>
  <c r="O635" i="2"/>
  <c r="S635" i="2"/>
  <c r="P592" i="2"/>
  <c r="O592" i="2"/>
  <c r="Q592" i="2"/>
  <c r="R592" i="2"/>
  <c r="T592" i="2"/>
  <c r="S740" i="2"/>
  <c r="S724" i="2"/>
  <c r="P718" i="2"/>
  <c r="Q718" i="2"/>
  <c r="T714" i="2"/>
  <c r="S714" i="2"/>
  <c r="R712" i="2"/>
  <c r="O712" i="2"/>
  <c r="P712" i="2"/>
  <c r="O672" i="2"/>
  <c r="P672" i="2"/>
  <c r="S672" i="2"/>
  <c r="P603" i="2"/>
  <c r="S603" i="2"/>
  <c r="O603" i="2"/>
  <c r="T713" i="2"/>
  <c r="O701" i="2"/>
  <c r="T701" i="2"/>
  <c r="S691" i="2"/>
  <c r="O691" i="2"/>
  <c r="S687" i="2"/>
  <c r="O687" i="2"/>
  <c r="S682" i="2"/>
  <c r="O682" i="2"/>
  <c r="S666" i="2"/>
  <c r="O666" i="2"/>
  <c r="P679" i="2"/>
  <c r="P663" i="2"/>
  <c r="R653" i="2"/>
  <c r="S653" i="2"/>
  <c r="T645" i="2"/>
  <c r="S614" i="2"/>
  <c r="O614" i="2"/>
  <c r="P614" i="2"/>
  <c r="T596" i="2"/>
  <c r="O596" i="2"/>
  <c r="P596" i="2"/>
  <c r="Q596" i="2"/>
  <c r="S596" i="2"/>
  <c r="O583" i="2"/>
  <c r="P583" i="2"/>
  <c r="Q583" i="2"/>
  <c r="R583" i="2"/>
  <c r="T583" i="2"/>
  <c r="S548" i="2"/>
  <c r="P548" i="2"/>
  <c r="O548" i="2"/>
  <c r="P698" i="2"/>
  <c r="P689" i="2"/>
  <c r="S675" i="2"/>
  <c r="P674" i="2"/>
  <c r="O667" i="2"/>
  <c r="S659" i="2"/>
  <c r="O658" i="2"/>
  <c r="P658" i="2"/>
  <c r="Q655" i="2"/>
  <c r="S654" i="2"/>
  <c r="T654" i="2"/>
  <c r="R646" i="2"/>
  <c r="S639" i="2"/>
  <c r="S623" i="2"/>
  <c r="P611" i="2"/>
  <c r="O611" i="2"/>
  <c r="O698" i="2"/>
  <c r="O694" i="2"/>
  <c r="O689" i="2"/>
  <c r="P685" i="2"/>
  <c r="P671" i="2"/>
  <c r="P665" i="2"/>
  <c r="R659" i="2"/>
  <c r="P655" i="2"/>
  <c r="T653" i="2"/>
  <c r="Q646" i="2"/>
  <c r="R645" i="2"/>
  <c r="S645" i="2"/>
  <c r="S627" i="2"/>
  <c r="R594" i="2"/>
  <c r="P594" i="2"/>
  <c r="Q594" i="2"/>
  <c r="T594" i="2"/>
  <c r="O594" i="2"/>
  <c r="S587" i="2"/>
  <c r="O587" i="2"/>
  <c r="P587" i="2"/>
  <c r="Q587" i="2"/>
  <c r="T587" i="2"/>
  <c r="O578" i="2"/>
  <c r="P578" i="2"/>
  <c r="P552" i="2"/>
  <c r="S552" i="2"/>
  <c r="O552" i="2"/>
  <c r="O544" i="2"/>
  <c r="P544" i="2"/>
  <c r="S544" i="2"/>
  <c r="O678" i="2"/>
  <c r="P678" i="2"/>
  <c r="S674" i="2"/>
  <c r="S663" i="2"/>
  <c r="O655" i="2"/>
  <c r="Q653" i="2"/>
  <c r="Q652" i="2"/>
  <c r="R652" i="2"/>
  <c r="P646" i="2"/>
  <c r="P643" i="2"/>
  <c r="Q643" i="2"/>
  <c r="O643" i="2"/>
  <c r="P631" i="2"/>
  <c r="S629" i="2"/>
  <c r="O629" i="2"/>
  <c r="P599" i="2"/>
  <c r="Q599" i="2"/>
  <c r="S599" i="2"/>
  <c r="T599" i="2"/>
  <c r="O599" i="2"/>
  <c r="P589" i="2"/>
  <c r="Q589" i="2"/>
  <c r="S589" i="2"/>
  <c r="T589" i="2"/>
  <c r="O589" i="2"/>
  <c r="T580" i="2"/>
  <c r="P580" i="2"/>
  <c r="Q580" i="2"/>
  <c r="S580" i="2"/>
  <c r="O580" i="2"/>
  <c r="S510" i="2"/>
  <c r="P510" i="2"/>
  <c r="O510" i="2"/>
  <c r="S665" i="2"/>
  <c r="P659" i="2"/>
  <c r="Q659" i="2"/>
  <c r="S638" i="2"/>
  <c r="P638" i="2"/>
  <c r="P627" i="2"/>
  <c r="O627" i="2"/>
  <c r="S622" i="2"/>
  <c r="P622" i="2"/>
  <c r="P615" i="2"/>
  <c r="S615" i="2"/>
  <c r="O607" i="2"/>
  <c r="P607" i="2"/>
  <c r="S607" i="2"/>
  <c r="Q526" i="2"/>
  <c r="R526" i="2"/>
  <c r="S526" i="2"/>
  <c r="P526" i="2"/>
  <c r="T526" i="2"/>
  <c r="O526" i="2"/>
  <c r="S646" i="2"/>
  <c r="T646" i="2"/>
  <c r="S631" i="2"/>
  <c r="O559" i="2"/>
  <c r="P559" i="2"/>
  <c r="S559" i="2"/>
  <c r="P636" i="2"/>
  <c r="Q595" i="2"/>
  <c r="R591" i="2"/>
  <c r="S571" i="2"/>
  <c r="S556" i="2"/>
  <c r="P533" i="2"/>
  <c r="Q533" i="2"/>
  <c r="R533" i="2"/>
  <c r="O533" i="2"/>
  <c r="P517" i="2"/>
  <c r="O517" i="2"/>
  <c r="O613" i="2"/>
  <c r="P606" i="2"/>
  <c r="O605" i="2"/>
  <c r="T598" i="2"/>
  <c r="S597" i="2"/>
  <c r="O595" i="2"/>
  <c r="T593" i="2"/>
  <c r="P591" i="2"/>
  <c r="O586" i="2"/>
  <c r="O581" i="2"/>
  <c r="O572" i="2"/>
  <c r="S562" i="2"/>
  <c r="S555" i="2"/>
  <c r="R535" i="2"/>
  <c r="S535" i="2"/>
  <c r="T535" i="2"/>
  <c r="Q535" i="2"/>
  <c r="T525" i="2"/>
  <c r="S519" i="2"/>
  <c r="O606" i="2"/>
  <c r="P570" i="2"/>
  <c r="S564" i="2"/>
  <c r="P563" i="2"/>
  <c r="P556" i="2"/>
  <c r="P547" i="2"/>
  <c r="S545" i="2"/>
  <c r="T534" i="2"/>
  <c r="S528" i="2"/>
  <c r="T528" i="2"/>
  <c r="R528" i="2"/>
  <c r="S512" i="2"/>
  <c r="O567" i="2"/>
  <c r="P567" i="2"/>
  <c r="P560" i="2"/>
  <c r="O556" i="2"/>
  <c r="P525" i="2"/>
  <c r="Q525" i="2"/>
  <c r="R525" i="2"/>
  <c r="O525" i="2"/>
  <c r="P509" i="2"/>
  <c r="O509" i="2"/>
  <c r="S502" i="2"/>
  <c r="P502" i="2"/>
  <c r="S570" i="2"/>
  <c r="S563" i="2"/>
  <c r="S547" i="2"/>
  <c r="P545" i="2"/>
  <c r="Q534" i="2"/>
  <c r="R534" i="2"/>
  <c r="S534" i="2"/>
  <c r="P534" i="2"/>
  <c r="S518" i="2"/>
  <c r="P518" i="2"/>
  <c r="P642" i="2"/>
  <c r="P634" i="2"/>
  <c r="P626" i="2"/>
  <c r="P618" i="2"/>
  <c r="S613" i="2"/>
  <c r="P610" i="2"/>
  <c r="S605" i="2"/>
  <c r="P598" i="2"/>
  <c r="T595" i="2"/>
  <c r="O593" i="2"/>
  <c r="T591" i="2"/>
  <c r="O588" i="2"/>
  <c r="T586" i="2"/>
  <c r="O584" i="2"/>
  <c r="S581" i="2"/>
  <c r="O579" i="2"/>
  <c r="P575" i="2"/>
  <c r="P571" i="2"/>
  <c r="P564" i="2"/>
  <c r="T533" i="2"/>
  <c r="R527" i="2"/>
  <c r="S527" i="2"/>
  <c r="T527" i="2"/>
  <c r="Q527" i="2"/>
  <c r="S511" i="2"/>
  <c r="S504" i="2"/>
  <c r="O504" i="2"/>
  <c r="P501" i="2"/>
  <c r="O501" i="2"/>
  <c r="P493" i="2"/>
  <c r="S493" i="2"/>
  <c r="O493" i="2"/>
  <c r="P485" i="2"/>
  <c r="S485" i="2"/>
  <c r="O485" i="2"/>
  <c r="R595" i="2"/>
  <c r="S591" i="2"/>
  <c r="S586" i="2"/>
  <c r="S577" i="2"/>
  <c r="O571" i="2"/>
  <c r="P568" i="2"/>
  <c r="O564" i="2"/>
  <c r="S554" i="2"/>
  <c r="S536" i="2"/>
  <c r="T536" i="2"/>
  <c r="S533" i="2"/>
  <c r="S520" i="2"/>
  <c r="T520" i="2"/>
  <c r="R520" i="2"/>
  <c r="S517" i="2"/>
  <c r="P494" i="2"/>
  <c r="P486" i="2"/>
  <c r="P496" i="2"/>
  <c r="P488" i="2"/>
  <c r="O496" i="2"/>
  <c r="O488" i="2"/>
  <c r="P551" i="2"/>
  <c r="P543" i="2"/>
  <c r="P539" i="2"/>
  <c r="Q532" i="2"/>
  <c r="P531" i="2"/>
  <c r="Q524" i="2"/>
  <c r="P523" i="2"/>
  <c r="P515" i="2"/>
  <c r="P507" i="2"/>
  <c r="P499" i="2"/>
  <c r="S494" i="2"/>
  <c r="P491" i="2"/>
  <c r="S486" i="2"/>
  <c r="P483" i="2"/>
  <c r="P532" i="2"/>
  <c r="P524" i="2"/>
  <c r="P516" i="2"/>
  <c r="P508" i="2"/>
  <c r="S503" i="2"/>
  <c r="P500" i="2"/>
  <c r="S495" i="2"/>
  <c r="P492" i="2"/>
  <c r="S487" i="2"/>
  <c r="P484" i="2"/>
  <c r="T222" i="2"/>
  <c r="R222" i="2"/>
  <c r="P222" i="2"/>
  <c r="P209" i="2"/>
  <c r="S209" i="2"/>
  <c r="S154" i="2"/>
  <c r="O48" i="2"/>
  <c r="S42" i="2"/>
  <c r="O33" i="2"/>
  <c r="S25" i="2"/>
  <c r="O15" i="2"/>
  <c r="O11" i="2"/>
  <c r="R119" i="2"/>
  <c r="Q118" i="2"/>
  <c r="P109" i="2"/>
  <c r="O82" i="2"/>
  <c r="R239" i="2"/>
  <c r="R237" i="2"/>
  <c r="Q235" i="2"/>
  <c r="P233" i="2"/>
  <c r="T233" i="2"/>
  <c r="P231" i="2"/>
  <c r="Q224" i="2"/>
  <c r="Q222" i="2"/>
  <c r="O170" i="2"/>
  <c r="S163" i="2"/>
  <c r="T163" i="2"/>
  <c r="R163" i="2"/>
  <c r="P154" i="2"/>
  <c r="P142" i="2"/>
  <c r="P462" i="2"/>
  <c r="T462" i="2"/>
  <c r="Q462" i="2"/>
  <c r="R462" i="2"/>
  <c r="S462" i="2"/>
  <c r="O462" i="2"/>
  <c r="S228" i="2"/>
  <c r="T228" i="2"/>
  <c r="O188" i="2"/>
  <c r="P188" i="2"/>
  <c r="P131" i="2"/>
  <c r="O131" i="2"/>
  <c r="O363" i="2"/>
  <c r="S363" i="2"/>
  <c r="P363" i="2"/>
  <c r="S68" i="2"/>
  <c r="P68" i="2"/>
  <c r="S9" i="2"/>
  <c r="O119" i="2"/>
  <c r="P115" i="2"/>
  <c r="O99" i="2"/>
  <c r="O93" i="2"/>
  <c r="O190" i="2"/>
  <c r="P190" i="2"/>
  <c r="T169" i="2"/>
  <c r="Q169" i="2"/>
  <c r="R169" i="2"/>
  <c r="S169" i="2"/>
  <c r="P169" i="2"/>
  <c r="R162" i="2"/>
  <c r="S162" i="2"/>
  <c r="T162" i="2"/>
  <c r="Q162" i="2"/>
  <c r="S449" i="2"/>
  <c r="O449" i="2"/>
  <c r="P449" i="2"/>
  <c r="S415" i="2"/>
  <c r="Q415" i="2"/>
  <c r="R415" i="2"/>
  <c r="P415" i="2"/>
  <c r="T415" i="2"/>
  <c r="O415" i="2"/>
  <c r="R406" i="2"/>
  <c r="Q406" i="2"/>
  <c r="S406" i="2"/>
  <c r="P406" i="2"/>
  <c r="T406" i="2"/>
  <c r="O406" i="2"/>
  <c r="O232" i="2"/>
  <c r="S232" i="2"/>
  <c r="Q232" i="2"/>
  <c r="O230" i="2"/>
  <c r="P217" i="2"/>
  <c r="O217" i="2"/>
  <c r="S213" i="2"/>
  <c r="O200" i="2"/>
  <c r="S200" i="2"/>
  <c r="S153" i="2"/>
  <c r="P153" i="2"/>
  <c r="O469" i="2"/>
  <c r="S469" i="2"/>
  <c r="Q469" i="2"/>
  <c r="R469" i="2"/>
  <c r="T469" i="2"/>
  <c r="P469" i="2"/>
  <c r="P455" i="2"/>
  <c r="S455" i="2"/>
  <c r="O455" i="2"/>
  <c r="S199" i="2"/>
  <c r="T224" i="2"/>
  <c r="T177" i="2"/>
  <c r="R177" i="2"/>
  <c r="S177" i="2"/>
  <c r="Q177" i="2"/>
  <c r="T161" i="2"/>
  <c r="P161" i="2"/>
  <c r="Q161" i="2"/>
  <c r="R161" i="2"/>
  <c r="O161" i="2"/>
  <c r="S128" i="2"/>
  <c r="O128" i="2"/>
  <c r="Q231" i="2"/>
  <c r="O231" i="2"/>
  <c r="S145" i="2"/>
  <c r="T119" i="2"/>
  <c r="S118" i="2"/>
  <c r="O114" i="2"/>
  <c r="S231" i="2"/>
  <c r="R227" i="2"/>
  <c r="S227" i="2"/>
  <c r="P227" i="2"/>
  <c r="S224" i="2"/>
  <c r="T223" i="2"/>
  <c r="R223" i="2"/>
  <c r="S218" i="2"/>
  <c r="S204" i="2"/>
  <c r="P198" i="2"/>
  <c r="S137" i="2"/>
  <c r="O137" i="2"/>
  <c r="P137" i="2"/>
  <c r="O123" i="2"/>
  <c r="S123" i="2"/>
  <c r="O411" i="2"/>
  <c r="R411" i="2"/>
  <c r="S411" i="2"/>
  <c r="Q411" i="2"/>
  <c r="T411" i="2"/>
  <c r="P411" i="2"/>
  <c r="S170" i="2"/>
  <c r="T170" i="2"/>
  <c r="R170" i="2"/>
  <c r="T42" i="2"/>
  <c r="S36" i="2"/>
  <c r="P15" i="2"/>
  <c r="P11" i="2"/>
  <c r="Q109" i="2"/>
  <c r="S93" i="2"/>
  <c r="S239" i="2"/>
  <c r="S237" i="2"/>
  <c r="S236" i="2"/>
  <c r="Q236" i="2"/>
  <c r="O236" i="2"/>
  <c r="R231" i="2"/>
  <c r="R228" i="2"/>
  <c r="R224" i="2"/>
  <c r="S222" i="2"/>
  <c r="P218" i="2"/>
  <c r="S212" i="2"/>
  <c r="O212" i="2"/>
  <c r="S207" i="2"/>
  <c r="P199" i="2"/>
  <c r="P170" i="2"/>
  <c r="P145" i="2"/>
  <c r="P133" i="2"/>
  <c r="S133" i="2"/>
  <c r="O133" i="2"/>
  <c r="O437" i="2"/>
  <c r="S437" i="2"/>
  <c r="P437" i="2"/>
  <c r="S189" i="2"/>
  <c r="S125" i="2"/>
  <c r="R479" i="2"/>
  <c r="P478" i="2"/>
  <c r="S475" i="2"/>
  <c r="Q474" i="2"/>
  <c r="R470" i="2"/>
  <c r="T467" i="2"/>
  <c r="S463" i="2"/>
  <c r="P459" i="2"/>
  <c r="S450" i="2"/>
  <c r="O445" i="2"/>
  <c r="S445" i="2"/>
  <c r="P434" i="2"/>
  <c r="O423" i="2"/>
  <c r="S399" i="2"/>
  <c r="P399" i="2"/>
  <c r="S389" i="2"/>
  <c r="O389" i="2"/>
  <c r="P389" i="2"/>
  <c r="P245" i="2"/>
  <c r="S245" i="2"/>
  <c r="O245" i="2"/>
  <c r="P479" i="2"/>
  <c r="P475" i="2"/>
  <c r="P470" i="2"/>
  <c r="T466" i="2"/>
  <c r="P466" i="2"/>
  <c r="P463" i="2"/>
  <c r="P435" i="2"/>
  <c r="O429" i="2"/>
  <c r="S429" i="2"/>
  <c r="S419" i="2"/>
  <c r="S414" i="2"/>
  <c r="R409" i="2"/>
  <c r="S405" i="2"/>
  <c r="P396" i="2"/>
  <c r="O396" i="2"/>
  <c r="O369" i="2"/>
  <c r="S369" i="2"/>
  <c r="S323" i="2"/>
  <c r="P323" i="2"/>
  <c r="O320" i="2"/>
  <c r="P320" i="2"/>
  <c r="S320" i="2"/>
  <c r="S279" i="2"/>
  <c r="O279" i="2"/>
  <c r="P279" i="2"/>
  <c r="S271" i="2"/>
  <c r="O271" i="2"/>
  <c r="P271" i="2"/>
  <c r="O479" i="2"/>
  <c r="O475" i="2"/>
  <c r="O470" i="2"/>
  <c r="O463" i="2"/>
  <c r="O453" i="2"/>
  <c r="S453" i="2"/>
  <c r="P446" i="2"/>
  <c r="S441" i="2"/>
  <c r="O441" i="2"/>
  <c r="P441" i="2"/>
  <c r="S375" i="2"/>
  <c r="O375" i="2"/>
  <c r="P375" i="2"/>
  <c r="P345" i="2"/>
  <c r="Q345" i="2"/>
  <c r="R345" i="2"/>
  <c r="S345" i="2"/>
  <c r="T345" i="2"/>
  <c r="S457" i="2"/>
  <c r="O457" i="2"/>
  <c r="P450" i="2"/>
  <c r="S433" i="2"/>
  <c r="O433" i="2"/>
  <c r="P433" i="2"/>
  <c r="S427" i="2"/>
  <c r="P427" i="2"/>
  <c r="O419" i="2"/>
  <c r="T419" i="2"/>
  <c r="P419" i="2"/>
  <c r="Q419" i="2"/>
  <c r="R414" i="2"/>
  <c r="T414" i="2"/>
  <c r="O414" i="2"/>
  <c r="P414" i="2"/>
  <c r="S409" i="2"/>
  <c r="O409" i="2"/>
  <c r="P409" i="2"/>
  <c r="Q405" i="2"/>
  <c r="T405" i="2"/>
  <c r="O405" i="2"/>
  <c r="P405" i="2"/>
  <c r="O395" i="2"/>
  <c r="P395" i="2"/>
  <c r="S395" i="2"/>
  <c r="P167" i="2"/>
  <c r="P159" i="2"/>
  <c r="S478" i="2"/>
  <c r="T474" i="2"/>
  <c r="P438" i="2"/>
  <c r="S434" i="2"/>
  <c r="T416" i="2"/>
  <c r="O416" i="2"/>
  <c r="S416" i="2"/>
  <c r="P412" i="2"/>
  <c r="O412" i="2"/>
  <c r="T412" i="2"/>
  <c r="S407" i="2"/>
  <c r="O407" i="2"/>
  <c r="T407" i="2"/>
  <c r="O403" i="2"/>
  <c r="P403" i="2"/>
  <c r="T403" i="2"/>
  <c r="P203" i="2"/>
  <c r="P197" i="2"/>
  <c r="S184" i="2"/>
  <c r="P130" i="2"/>
  <c r="T479" i="2"/>
  <c r="R478" i="2"/>
  <c r="P477" i="2"/>
  <c r="S474" i="2"/>
  <c r="Q473" i="2"/>
  <c r="S466" i="2"/>
  <c r="O461" i="2"/>
  <c r="S461" i="2"/>
  <c r="S459" i="2"/>
  <c r="P454" i="2"/>
  <c r="P430" i="2"/>
  <c r="S423" i="2"/>
  <c r="T356" i="2"/>
  <c r="S356" i="2"/>
  <c r="P356" i="2"/>
  <c r="Q356" i="2"/>
  <c r="R356" i="2"/>
  <c r="Q478" i="2"/>
  <c r="O477" i="2"/>
  <c r="T475" i="2"/>
  <c r="R474" i="2"/>
  <c r="P473" i="2"/>
  <c r="S470" i="2"/>
  <c r="R466" i="2"/>
  <c r="S465" i="2"/>
  <c r="O465" i="2"/>
  <c r="T463" i="2"/>
  <c r="P458" i="2"/>
  <c r="S446" i="2"/>
  <c r="P445" i="2"/>
  <c r="P442" i="2"/>
  <c r="O434" i="2"/>
  <c r="P425" i="2"/>
  <c r="P423" i="2"/>
  <c r="O401" i="2"/>
  <c r="P401" i="2"/>
  <c r="Q401" i="2"/>
  <c r="R401" i="2"/>
  <c r="O399" i="2"/>
  <c r="O382" i="2"/>
  <c r="P382" i="2"/>
  <c r="S382" i="2"/>
  <c r="S398" i="2"/>
  <c r="S388" i="2"/>
  <c r="O387" i="2"/>
  <c r="P380" i="2"/>
  <c r="S373" i="2"/>
  <c r="P355" i="2"/>
  <c r="R287" i="2"/>
  <c r="S287" i="2"/>
  <c r="O287" i="2"/>
  <c r="P287" i="2"/>
  <c r="Q287" i="2"/>
  <c r="T287" i="2"/>
  <c r="O252" i="2"/>
  <c r="P252" i="2"/>
  <c r="S252" i="2"/>
  <c r="S424" i="2"/>
  <c r="S397" i="2"/>
  <c r="S385" i="2"/>
  <c r="P377" i="2"/>
  <c r="P367" i="2"/>
  <c r="S339" i="2"/>
  <c r="O336" i="2"/>
  <c r="P336" i="2"/>
  <c r="S336" i="2"/>
  <c r="O371" i="2"/>
  <c r="P364" i="2"/>
  <c r="S355" i="2"/>
  <c r="Q355" i="2"/>
  <c r="R355" i="2"/>
  <c r="T355" i="2"/>
  <c r="T341" i="2"/>
  <c r="O341" i="2"/>
  <c r="P341" i="2"/>
  <c r="Q341" i="2"/>
  <c r="R341" i="2"/>
  <c r="S262" i="2"/>
  <c r="O262" i="2"/>
  <c r="P262" i="2"/>
  <c r="P388" i="2"/>
  <c r="S381" i="2"/>
  <c r="S348" i="2"/>
  <c r="T348" i="2"/>
  <c r="Q348" i="2"/>
  <c r="R348" i="2"/>
  <c r="S316" i="2"/>
  <c r="O316" i="2"/>
  <c r="P316" i="2"/>
  <c r="Q294" i="2"/>
  <c r="R294" i="2"/>
  <c r="P294" i="2"/>
  <c r="S294" i="2"/>
  <c r="T294" i="2"/>
  <c r="P277" i="2"/>
  <c r="O277" i="2"/>
  <c r="S277" i="2"/>
  <c r="P285" i="2"/>
  <c r="Q285" i="2"/>
  <c r="R285" i="2"/>
  <c r="O285" i="2"/>
  <c r="S285" i="2"/>
  <c r="T285" i="2"/>
  <c r="R413" i="2"/>
  <c r="Q408" i="2"/>
  <c r="R404" i="2"/>
  <c r="S387" i="2"/>
  <c r="S380" i="2"/>
  <c r="O379" i="2"/>
  <c r="P372" i="2"/>
  <c r="S365" i="2"/>
  <c r="O359" i="2"/>
  <c r="Q359" i="2"/>
  <c r="R354" i="2"/>
  <c r="O354" i="2"/>
  <c r="P354" i="2"/>
  <c r="Q354" i="2"/>
  <c r="O352" i="2"/>
  <c r="P352" i="2"/>
  <c r="S352" i="2"/>
  <c r="T352" i="2"/>
  <c r="Q346" i="2"/>
  <c r="R346" i="2"/>
  <c r="S332" i="2"/>
  <c r="O332" i="2"/>
  <c r="P332" i="2"/>
  <c r="S330" i="2"/>
  <c r="S307" i="2"/>
  <c r="P307" i="2"/>
  <c r="O304" i="2"/>
  <c r="P304" i="2"/>
  <c r="S304" i="2"/>
  <c r="O268" i="2"/>
  <c r="P268" i="2"/>
  <c r="P353" i="2"/>
  <c r="Q353" i="2"/>
  <c r="S338" i="2"/>
  <c r="P337" i="2"/>
  <c r="S322" i="2"/>
  <c r="P321" i="2"/>
  <c r="S306" i="2"/>
  <c r="P305" i="2"/>
  <c r="R296" i="2"/>
  <c r="S293" i="2"/>
  <c r="O292" i="2"/>
  <c r="P292" i="2"/>
  <c r="Q289" i="2"/>
  <c r="S288" i="2"/>
  <c r="T288" i="2"/>
  <c r="S270" i="2"/>
  <c r="P261" i="2"/>
  <c r="S261" i="2"/>
  <c r="O344" i="2"/>
  <c r="P344" i="2"/>
  <c r="S340" i="2"/>
  <c r="T340" i="2"/>
  <c r="P338" i="2"/>
  <c r="S329" i="2"/>
  <c r="O328" i="2"/>
  <c r="P328" i="2"/>
  <c r="S324" i="2"/>
  <c r="P322" i="2"/>
  <c r="S313" i="2"/>
  <c r="O312" i="2"/>
  <c r="P312" i="2"/>
  <c r="S308" i="2"/>
  <c r="P306" i="2"/>
  <c r="Q296" i="2"/>
  <c r="R295" i="2"/>
  <c r="S295" i="2"/>
  <c r="R293" i="2"/>
  <c r="P289" i="2"/>
  <c r="Q286" i="2"/>
  <c r="R286" i="2"/>
  <c r="S286" i="2"/>
  <c r="O284" i="2"/>
  <c r="P284" i="2"/>
  <c r="Q284" i="2"/>
  <c r="S280" i="2"/>
  <c r="T280" i="2"/>
  <c r="S278" i="2"/>
  <c r="O276" i="2"/>
  <c r="P276" i="2"/>
  <c r="R347" i="2"/>
  <c r="S347" i="2"/>
  <c r="S331" i="2"/>
  <c r="P325" i="2"/>
  <c r="S315" i="2"/>
  <c r="P309" i="2"/>
  <c r="S297" i="2"/>
  <c r="P296" i="2"/>
  <c r="O289" i="2"/>
  <c r="S263" i="2"/>
  <c r="S254" i="2"/>
  <c r="O325" i="2"/>
  <c r="O309" i="2"/>
  <c r="R297" i="2"/>
  <c r="P293" i="2"/>
  <c r="Q293" i="2"/>
  <c r="P269" i="2"/>
  <c r="S269" i="2"/>
  <c r="O260" i="2"/>
  <c r="P260" i="2"/>
  <c r="P329" i="2"/>
  <c r="S314" i="2"/>
  <c r="P313" i="2"/>
  <c r="Q297" i="2"/>
  <c r="S296" i="2"/>
  <c r="T296" i="2"/>
  <c r="P253" i="2"/>
  <c r="S253" i="2"/>
  <c r="S246" i="2"/>
  <c r="P246" i="2"/>
  <c r="O248" i="2"/>
  <c r="S244" i="2"/>
  <c r="P243" i="2"/>
  <c r="S255" i="2"/>
  <c r="S247" i="2"/>
  <c r="P244" i="2"/>
  <c r="S116" i="2"/>
  <c r="P116" i="2"/>
  <c r="Q116" i="2"/>
  <c r="S78" i="2"/>
  <c r="O124" i="2"/>
  <c r="P124" i="2"/>
  <c r="S100" i="2"/>
  <c r="R100" i="2"/>
  <c r="P238" i="2"/>
  <c r="Q238" i="2"/>
  <c r="R238" i="2"/>
  <c r="S238" i="2"/>
  <c r="T238" i="2"/>
  <c r="O4" i="2"/>
  <c r="P225" i="2"/>
  <c r="Q225" i="2"/>
  <c r="R225" i="2"/>
  <c r="S225" i="2"/>
  <c r="T225" i="2"/>
  <c r="S220" i="2"/>
  <c r="P220" i="2"/>
  <c r="Q220" i="2"/>
  <c r="R220" i="2"/>
  <c r="T220" i="2"/>
  <c r="S195" i="2"/>
  <c r="P195" i="2"/>
  <c r="O156" i="2"/>
  <c r="P156" i="2"/>
  <c r="S156" i="2"/>
  <c r="O102" i="2"/>
  <c r="P102" i="2"/>
  <c r="O94" i="2"/>
  <c r="P94" i="2"/>
  <c r="O19" i="2"/>
  <c r="T102" i="2"/>
  <c r="O216" i="2"/>
  <c r="S216" i="2"/>
  <c r="P211" i="2"/>
  <c r="S211" i="2"/>
  <c r="P206" i="2"/>
  <c r="S206" i="2"/>
  <c r="Q166" i="2"/>
  <c r="R166" i="2"/>
  <c r="S166" i="2"/>
  <c r="P166" i="2"/>
  <c r="T166" i="2"/>
  <c r="O166" i="2"/>
  <c r="T229" i="2"/>
  <c r="P229" i="2"/>
  <c r="Q229" i="2"/>
  <c r="R229" i="2"/>
  <c r="S229" i="2"/>
  <c r="P103" i="2"/>
  <c r="Q103" i="2"/>
  <c r="T44" i="2"/>
  <c r="O23" i="2"/>
  <c r="S3" i="2"/>
  <c r="S108" i="2"/>
  <c r="Q108" i="2"/>
  <c r="R108" i="2"/>
  <c r="S102" i="2"/>
  <c r="P95" i="2"/>
  <c r="S79" i="2"/>
  <c r="S70" i="2"/>
  <c r="P67" i="2"/>
  <c r="P202" i="2"/>
  <c r="S202" i="2"/>
  <c r="S158" i="2"/>
  <c r="P158" i="2"/>
  <c r="O148" i="2"/>
  <c r="P148" i="2"/>
  <c r="S148" i="2"/>
  <c r="P193" i="2"/>
  <c r="S193" i="2"/>
  <c r="O164" i="2"/>
  <c r="P164" i="2"/>
  <c r="Q164" i="2"/>
  <c r="S164" i="2"/>
  <c r="T164" i="2"/>
  <c r="R164" i="2"/>
  <c r="P86" i="2"/>
  <c r="R52" i="2"/>
  <c r="O49" i="2"/>
  <c r="S44" i="2"/>
  <c r="P42" i="2"/>
  <c r="O27" i="2"/>
  <c r="T117" i="2"/>
  <c r="S117" i="2"/>
  <c r="O111" i="2"/>
  <c r="P111" i="2"/>
  <c r="S109" i="2"/>
  <c r="Q107" i="2"/>
  <c r="R102" i="2"/>
  <c r="S87" i="2"/>
  <c r="P78" i="2"/>
  <c r="O66" i="2"/>
  <c r="O63" i="2"/>
  <c r="S92" i="2"/>
  <c r="O77" i="2"/>
  <c r="P77" i="2"/>
  <c r="Q234" i="2"/>
  <c r="P234" i="2"/>
  <c r="R234" i="2"/>
  <c r="S234" i="2"/>
  <c r="T234" i="2"/>
  <c r="P55" i="2"/>
  <c r="R44" i="2"/>
  <c r="P33" i="2"/>
  <c r="P7" i="2"/>
  <c r="R116" i="2"/>
  <c r="R109" i="2"/>
  <c r="P107" i="2"/>
  <c r="T103" i="2"/>
  <c r="Q102" i="2"/>
  <c r="Q100" i="2"/>
  <c r="S94" i="2"/>
  <c r="O90" i="2"/>
  <c r="O78" i="2"/>
  <c r="O75" i="2"/>
  <c r="P75" i="2"/>
  <c r="P69" i="2"/>
  <c r="S69" i="2"/>
  <c r="S168" i="2"/>
  <c r="T168" i="2"/>
  <c r="P168" i="2"/>
  <c r="Q168" i="2"/>
  <c r="R168" i="2"/>
  <c r="O168" i="2"/>
  <c r="S160" i="2"/>
  <c r="T160" i="2"/>
  <c r="Q160" i="2"/>
  <c r="R160" i="2"/>
  <c r="P160" i="2"/>
  <c r="S150" i="2"/>
  <c r="O150" i="2"/>
  <c r="S176" i="2"/>
  <c r="T176" i="2"/>
  <c r="Q174" i="2"/>
  <c r="R174" i="2"/>
  <c r="S174" i="2"/>
  <c r="O172" i="2"/>
  <c r="P172" i="2"/>
  <c r="Q172" i="2"/>
  <c r="S127" i="2"/>
  <c r="O127" i="2"/>
  <c r="P127" i="2"/>
  <c r="S187" i="2"/>
  <c r="P185" i="2"/>
  <c r="S152" i="2"/>
  <c r="S143" i="2"/>
  <c r="O143" i="2"/>
  <c r="P143" i="2"/>
  <c r="R176" i="2"/>
  <c r="R175" i="2"/>
  <c r="S175" i="2"/>
  <c r="T175" i="2"/>
  <c r="P173" i="2"/>
  <c r="Q173" i="2"/>
  <c r="R173" i="2"/>
  <c r="O140" i="2"/>
  <c r="P140" i="2"/>
  <c r="P85" i="2"/>
  <c r="P83" i="2"/>
  <c r="T230" i="2"/>
  <c r="P214" i="2"/>
  <c r="Q176" i="2"/>
  <c r="T174" i="2"/>
  <c r="T172" i="2"/>
  <c r="R167" i="2"/>
  <c r="S167" i="2"/>
  <c r="T167" i="2"/>
  <c r="P165" i="2"/>
  <c r="Q165" i="2"/>
  <c r="R165" i="2"/>
  <c r="P151" i="2"/>
  <c r="S135" i="2"/>
  <c r="O135" i="2"/>
  <c r="P135" i="2"/>
  <c r="O98" i="2"/>
  <c r="O85" i="2"/>
  <c r="O83" i="2"/>
  <c r="O237" i="2"/>
  <c r="T235" i="2"/>
  <c r="O233" i="2"/>
  <c r="S230" i="2"/>
  <c r="O228" i="2"/>
  <c r="T226" i="2"/>
  <c r="P224" i="2"/>
  <c r="S221" i="2"/>
  <c r="O219" i="2"/>
  <c r="O210" i="2"/>
  <c r="O205" i="2"/>
  <c r="O201" i="2"/>
  <c r="S196" i="2"/>
  <c r="S194" i="2"/>
  <c r="O192" i="2"/>
  <c r="P192" i="2"/>
  <c r="P176" i="2"/>
  <c r="P174" i="2"/>
  <c r="S172" i="2"/>
  <c r="S159" i="2"/>
  <c r="P157" i="2"/>
  <c r="S235" i="2"/>
  <c r="S226" i="2"/>
  <c r="R221" i="2"/>
  <c r="S217" i="2"/>
  <c r="S208" i="2"/>
  <c r="S203" i="2"/>
  <c r="S188" i="2"/>
  <c r="S186" i="2"/>
  <c r="O184" i="2"/>
  <c r="P184" i="2"/>
  <c r="O176" i="2"/>
  <c r="O174" i="2"/>
  <c r="R172" i="2"/>
  <c r="S151" i="2"/>
  <c r="O132" i="2"/>
  <c r="P132" i="2"/>
  <c r="O142" i="2"/>
  <c r="P144" i="2"/>
  <c r="P136" i="2"/>
  <c r="P128" i="2"/>
  <c r="S142" i="2"/>
  <c r="S134" i="2"/>
  <c r="S126" i="2"/>
  <c r="P123" i="2"/>
  <c r="P114" i="2"/>
  <c r="O113" i="2"/>
  <c r="P106" i="2"/>
  <c r="O105" i="2"/>
  <c r="P98" i="2"/>
  <c r="O97" i="2"/>
  <c r="P90" i="2"/>
  <c r="O89" i="2"/>
  <c r="P82" i="2"/>
  <c r="O81" i="2"/>
  <c r="P74" i="2"/>
  <c r="O73" i="2"/>
  <c r="P66" i="2"/>
  <c r="O65" i="2"/>
  <c r="O116" i="2"/>
  <c r="T113" i="2"/>
  <c r="S112" i="2"/>
  <c r="O108" i="2"/>
  <c r="T105" i="2"/>
  <c r="S104" i="2"/>
  <c r="O100" i="2"/>
  <c r="S96" i="2"/>
  <c r="O92" i="2"/>
  <c r="S88" i="2"/>
  <c r="O84" i="2"/>
  <c r="S80" i="2"/>
  <c r="O76" i="2"/>
  <c r="S72" i="2"/>
  <c r="O68" i="2"/>
  <c r="S64" i="2"/>
  <c r="T114" i="2"/>
  <c r="S113" i="2"/>
  <c r="R112" i="2"/>
  <c r="T106" i="2"/>
  <c r="S105" i="2"/>
  <c r="R104" i="2"/>
  <c r="S97" i="2"/>
  <c r="S89" i="2"/>
  <c r="S81" i="2"/>
  <c r="S73" i="2"/>
  <c r="S65" i="2"/>
  <c r="R57" i="2"/>
  <c r="T115" i="2"/>
  <c r="S114" i="2"/>
  <c r="R113" i="2"/>
  <c r="Q112" i="2"/>
  <c r="T107" i="2"/>
  <c r="S106" i="2"/>
  <c r="R105" i="2"/>
  <c r="Q104" i="2"/>
  <c r="S98" i="2"/>
  <c r="S90" i="2"/>
  <c r="S82" i="2"/>
  <c r="S74" i="2"/>
  <c r="S66" i="2"/>
  <c r="P63" i="2"/>
  <c r="Q57" i="2"/>
  <c r="S49" i="2"/>
  <c r="P47" i="2"/>
  <c r="O43" i="2"/>
  <c r="S41" i="2"/>
  <c r="P39" i="2"/>
  <c r="O35" i="2"/>
  <c r="S33" i="2"/>
  <c r="P31" i="2"/>
  <c r="P24" i="2"/>
  <c r="S20" i="2"/>
  <c r="S17" i="2"/>
  <c r="S4" i="2"/>
  <c r="T116" i="2"/>
  <c r="S115" i="2"/>
  <c r="R114" i="2"/>
  <c r="Q113" i="2"/>
  <c r="P112" i="2"/>
  <c r="T108" i="2"/>
  <c r="S107" i="2"/>
  <c r="R106" i="2"/>
  <c r="Q105" i="2"/>
  <c r="P104" i="2"/>
  <c r="T100" i="2"/>
  <c r="S99" i="2"/>
  <c r="P96" i="2"/>
  <c r="S91" i="2"/>
  <c r="P88" i="2"/>
  <c r="S83" i="2"/>
  <c r="P80" i="2"/>
  <c r="S75" i="2"/>
  <c r="P72" i="2"/>
  <c r="S67" i="2"/>
  <c r="P64" i="2"/>
  <c r="S50" i="2"/>
  <c r="T59" i="2"/>
  <c r="R58" i="2"/>
  <c r="O57" i="2"/>
  <c r="T51" i="2"/>
  <c r="R50" i="2"/>
  <c r="O47" i="2"/>
  <c r="O39" i="2"/>
  <c r="S59" i="2"/>
  <c r="Q58" i="2"/>
  <c r="S51" i="2"/>
  <c r="T43" i="2"/>
  <c r="S26" i="2"/>
  <c r="P25" i="2"/>
  <c r="S18" i="2"/>
  <c r="P17" i="2"/>
  <c r="S10" i="2"/>
  <c r="P9" i="2"/>
  <c r="P6" i="2"/>
  <c r="S58" i="2"/>
  <c r="Q50" i="2"/>
  <c r="R59" i="2"/>
  <c r="P58" i="2"/>
  <c r="Q56" i="2"/>
  <c r="R51" i="2"/>
  <c r="P50" i="2"/>
  <c r="O46" i="2"/>
  <c r="S43" i="2"/>
  <c r="O38" i="2"/>
  <c r="S35" i="2"/>
  <c r="O30" i="2"/>
  <c r="S27" i="2"/>
  <c r="O25" i="2"/>
  <c r="O22" i="2"/>
  <c r="S19" i="2"/>
  <c r="O17" i="2"/>
  <c r="O14" i="2"/>
  <c r="S11" i="2"/>
  <c r="O9" i="2"/>
  <c r="O6" i="2"/>
  <c r="Q59" i="2"/>
  <c r="P56" i="2"/>
  <c r="Q51" i="2"/>
  <c r="Q48" i="2"/>
  <c r="R43" i="2"/>
  <c r="Q40" i="2"/>
  <c r="O59" i="2"/>
  <c r="S57" i="2"/>
  <c r="O56" i="2"/>
  <c r="T52" i="2"/>
  <c r="O51" i="2"/>
  <c r="P48" i="2"/>
  <c r="Q43" i="2"/>
  <c r="P40" i="2"/>
  <c r="P32" i="2"/>
  <c r="P26" i="2"/>
  <c r="P18" i="2"/>
  <c r="P10" i="2"/>
  <c r="T45" i="2"/>
  <c r="T54" i="2"/>
  <c r="T46" i="2"/>
  <c r="S45" i="2"/>
  <c r="R56" i="2"/>
  <c r="Q55" i="2"/>
  <c r="P54" i="2"/>
  <c r="O53" i="2"/>
  <c r="R48" i="2"/>
  <c r="Q47" i="2"/>
  <c r="P46" i="2"/>
  <c r="O45" i="2"/>
  <c r="R40" i="2"/>
  <c r="P38" i="2"/>
  <c r="O37" i="2"/>
  <c r="P30" i="2"/>
  <c r="O29" i="2"/>
  <c r="P22" i="2"/>
  <c r="O21" i="2"/>
  <c r="P14" i="2"/>
  <c r="O13" i="2"/>
  <c r="O5" i="2"/>
  <c r="P16" i="2"/>
  <c r="P8" i="2"/>
  <c r="O7" i="2"/>
  <c r="O24" i="2"/>
  <c r="O16" i="2"/>
  <c r="O8" i="2"/>
  <c r="S21" i="2"/>
  <c r="S5" i="2"/>
  <c r="S13" i="2"/>
  <c r="T55" i="2"/>
  <c r="S54" i="2"/>
  <c r="R53" i="2"/>
  <c r="Q52" i="2"/>
  <c r="T47" i="2"/>
  <c r="S46" i="2"/>
  <c r="R45" i="2"/>
  <c r="Q44" i="2"/>
  <c r="S38" i="2"/>
  <c r="S30" i="2"/>
  <c r="S22" i="2"/>
  <c r="S14" i="2"/>
  <c r="S6" i="2"/>
  <c r="P3" i="2"/>
  <c r="T53" i="2"/>
  <c r="T56" i="2"/>
  <c r="S55" i="2"/>
  <c r="Q53" i="2"/>
  <c r="P52" i="2"/>
  <c r="T48" i="2"/>
  <c r="S47" i="2"/>
  <c r="R46" i="2"/>
  <c r="Q45" i="2"/>
  <c r="P44" i="2"/>
  <c r="T40" i="2"/>
  <c r="S39" i="2"/>
  <c r="P36" i="2"/>
  <c r="S31" i="2"/>
  <c r="P28" i="2"/>
  <c r="S23" i="2"/>
  <c r="P20" i="2"/>
  <c r="S15" i="2"/>
  <c r="P12" i="2"/>
  <c r="S7" i="2"/>
  <c r="P4" i="2"/>
  <c r="S53" i="2"/>
  <c r="S37" i="2"/>
  <c r="S29" i="2"/>
  <c r="R54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R543" i="2" l="1"/>
  <c r="R551" i="2"/>
  <c r="R572" i="2"/>
  <c r="R616" i="2"/>
  <c r="R683" i="2"/>
  <c r="R692" i="2"/>
  <c r="R735" i="2"/>
  <c r="R784" i="2"/>
  <c r="R795" i="2"/>
  <c r="R810" i="2"/>
  <c r="R814" i="2"/>
  <c r="R859" i="2"/>
  <c r="R865" i="2"/>
  <c r="R311" i="2"/>
  <c r="R367" i="2"/>
  <c r="R431" i="2"/>
  <c r="R448" i="2"/>
  <c r="R507" i="2"/>
  <c r="R515" i="2"/>
  <c r="R556" i="2"/>
  <c r="R568" i="2"/>
  <c r="R603" i="2"/>
  <c r="R608" i="2"/>
  <c r="R623" i="2"/>
  <c r="R626" i="2"/>
  <c r="R633" i="2"/>
  <c r="R667" i="2"/>
  <c r="R674" i="2"/>
  <c r="R677" i="2"/>
  <c r="R679" i="2"/>
  <c r="R727" i="2"/>
  <c r="R752" i="2"/>
  <c r="R853" i="2"/>
  <c r="R858" i="2"/>
  <c r="R875" i="2"/>
  <c r="R251" i="2"/>
  <c r="R265" i="2"/>
  <c r="R326" i="2"/>
  <c r="R335" i="2"/>
  <c r="R365" i="2"/>
  <c r="R136" i="2"/>
  <c r="R483" i="2"/>
  <c r="R491" i="2"/>
  <c r="R499" i="2"/>
  <c r="R575" i="2"/>
  <c r="R577" i="2"/>
  <c r="R671" i="2"/>
  <c r="R694" i="2"/>
  <c r="R733" i="2"/>
  <c r="R744" i="2"/>
  <c r="R746" i="2"/>
  <c r="R757" i="2"/>
  <c r="R759" i="2"/>
  <c r="R869" i="2"/>
  <c r="R275" i="2"/>
  <c r="R318" i="2"/>
  <c r="R384" i="2"/>
  <c r="R438" i="2"/>
  <c r="R139" i="2"/>
  <c r="R550" i="2"/>
  <c r="R566" i="2"/>
  <c r="R618" i="2"/>
  <c r="R632" i="2"/>
  <c r="R639" i="2"/>
  <c r="R676" i="2"/>
  <c r="R685" i="2"/>
  <c r="R687" i="2"/>
  <c r="R697" i="2"/>
  <c r="R726" i="2"/>
  <c r="R751" i="2"/>
  <c r="R848" i="2"/>
  <c r="R867" i="2"/>
  <c r="R303" i="2"/>
  <c r="R333" i="2"/>
  <c r="R387" i="2"/>
  <c r="R424" i="2"/>
  <c r="R457" i="2"/>
  <c r="R506" i="2"/>
  <c r="R514" i="2"/>
  <c r="R549" i="2"/>
  <c r="R563" i="2"/>
  <c r="R565" i="2"/>
  <c r="R571" i="2"/>
  <c r="R610" i="2"/>
  <c r="R625" i="2"/>
  <c r="R663" i="2"/>
  <c r="R689" i="2"/>
  <c r="R743" i="2"/>
  <c r="R800" i="2"/>
  <c r="R819" i="2"/>
  <c r="R845" i="2"/>
  <c r="R866" i="2"/>
  <c r="R874" i="2"/>
  <c r="R258" i="2"/>
  <c r="R310" i="2"/>
  <c r="R317" i="2"/>
  <c r="R383" i="2"/>
  <c r="R490" i="2"/>
  <c r="R498" i="2"/>
  <c r="R505" i="2"/>
  <c r="R508" i="2"/>
  <c r="R513" i="2"/>
  <c r="R516" i="2"/>
  <c r="R558" i="2"/>
  <c r="R574" i="2"/>
  <c r="R669" i="2"/>
  <c r="R730" i="2"/>
  <c r="R749" i="2"/>
  <c r="R756" i="2"/>
  <c r="R787" i="2"/>
  <c r="R809" i="2"/>
  <c r="R818" i="2"/>
  <c r="R850" i="2"/>
  <c r="R870" i="2"/>
  <c r="R878" i="2"/>
  <c r="R250" i="2"/>
  <c r="R256" i="2"/>
  <c r="R264" i="2"/>
  <c r="R484" i="2"/>
  <c r="R489" i="2"/>
  <c r="R492" i="2"/>
  <c r="R497" i="2"/>
  <c r="R500" i="2"/>
  <c r="R557" i="2"/>
  <c r="R573" i="2"/>
  <c r="R617" i="2"/>
  <c r="R619" i="2"/>
  <c r="R624" i="2"/>
  <c r="R634" i="2"/>
  <c r="R675" i="2"/>
  <c r="R693" i="2"/>
  <c r="R736" i="2"/>
  <c r="R742" i="2"/>
  <c r="R754" i="2"/>
  <c r="R792" i="2"/>
  <c r="R796" i="2"/>
  <c r="R803" i="2"/>
  <c r="R844" i="2"/>
  <c r="R847" i="2"/>
  <c r="R855" i="2"/>
  <c r="R368" i="2"/>
  <c r="R370" i="2"/>
  <c r="R430" i="2"/>
  <c r="R564" i="2"/>
  <c r="R854" i="2"/>
  <c r="R129" i="2"/>
  <c r="R156" i="2"/>
  <c r="R801" i="2"/>
  <c r="R328" i="2"/>
  <c r="R684" i="2"/>
  <c r="R208" i="2"/>
  <c r="R609" i="2"/>
  <c r="R805" i="2"/>
  <c r="R190" i="2"/>
  <c r="R196" i="2"/>
  <c r="R377" i="2"/>
  <c r="R579" i="2"/>
  <c r="R728" i="2"/>
  <c r="R811" i="2"/>
  <c r="R386" i="2"/>
  <c r="R450" i="2"/>
  <c r="R458" i="2"/>
  <c r="R217" i="2"/>
  <c r="R698" i="2"/>
  <c r="R305" i="2"/>
  <c r="R183" i="2"/>
  <c r="R200" i="2"/>
  <c r="R243" i="2"/>
  <c r="R210" i="2"/>
  <c r="R668" i="2"/>
  <c r="R849" i="2"/>
  <c r="R155" i="2"/>
  <c r="R197" i="2"/>
  <c r="R214" i="2"/>
  <c r="R611" i="2"/>
  <c r="R7" i="2"/>
  <c r="R31" i="2"/>
  <c r="R871" i="2"/>
  <c r="R94" i="2"/>
  <c r="R503" i="2"/>
  <c r="R376" i="2"/>
  <c r="R425" i="2"/>
  <c r="R71" i="2"/>
  <c r="R428" i="2"/>
  <c r="R392" i="2"/>
  <c r="R394" i="2"/>
  <c r="R248" i="2"/>
  <c r="R738" i="2"/>
  <c r="R804" i="2"/>
  <c r="R621" i="2"/>
  <c r="R548" i="2"/>
  <c r="R678" i="2"/>
  <c r="R560" i="2"/>
  <c r="R502" i="2"/>
  <c r="R39" i="2"/>
  <c r="R791" i="2"/>
  <c r="R495" i="2"/>
  <c r="R607" i="2"/>
  <c r="R860" i="2"/>
  <c r="R436" i="2"/>
  <c r="R440" i="2"/>
  <c r="R274" i="2"/>
  <c r="R201" i="2"/>
  <c r="R456" i="2"/>
  <c r="R453" i="2"/>
  <c r="R19" i="2"/>
  <c r="R789" i="2"/>
  <c r="R852" i="2"/>
  <c r="R862" i="2"/>
  <c r="R817" i="2"/>
  <c r="R846" i="2"/>
  <c r="R788" i="2"/>
  <c r="R725" i="2"/>
  <c r="R808" i="2"/>
  <c r="R748" i="2"/>
  <c r="R686" i="2"/>
  <c r="R672" i="2"/>
  <c r="R614" i="2"/>
  <c r="R631" i="2"/>
  <c r="R99" i="2"/>
  <c r="R879" i="2"/>
  <c r="R613" i="2"/>
  <c r="R487" i="2"/>
  <c r="R138" i="2"/>
  <c r="R857" i="2"/>
  <c r="R324" i="2"/>
  <c r="R144" i="2"/>
  <c r="R426" i="2"/>
  <c r="R334" i="2"/>
  <c r="R34" i="2"/>
  <c r="R321" i="2"/>
  <c r="R273" i="2"/>
  <c r="R872" i="2"/>
  <c r="R812" i="2"/>
  <c r="R758" i="2"/>
  <c r="R843" i="2"/>
  <c r="R873" i="2"/>
  <c r="R790" i="2"/>
  <c r="R729" i="2"/>
  <c r="R732" i="2"/>
  <c r="R699" i="2"/>
  <c r="R546" i="2"/>
  <c r="R510" i="2"/>
  <c r="R606" i="2"/>
  <c r="R518" i="2"/>
  <c r="R620" i="2"/>
  <c r="R91" i="2"/>
  <c r="R83" i="2"/>
  <c r="R327" i="2"/>
  <c r="R815" i="2"/>
  <c r="R737" i="2"/>
  <c r="R444" i="2"/>
  <c r="R385" i="2"/>
  <c r="R215" i="2"/>
  <c r="R454" i="2"/>
  <c r="R130" i="2"/>
  <c r="R276" i="2"/>
  <c r="R813" i="2"/>
  <c r="R861" i="2"/>
  <c r="R695" i="2"/>
  <c r="R798" i="2"/>
  <c r="R745" i="2"/>
  <c r="R666" i="2"/>
  <c r="R569" i="2"/>
  <c r="R184" i="2"/>
  <c r="R213" i="2"/>
  <c r="R605" i="2"/>
  <c r="R247" i="2"/>
  <c r="R337" i="2"/>
  <c r="R799" i="2"/>
  <c r="R786" i="2"/>
  <c r="R191" i="2"/>
  <c r="R441" i="2"/>
  <c r="R272" i="2"/>
  <c r="R442" i="2"/>
  <c r="R451" i="2"/>
  <c r="R308" i="2"/>
  <c r="R259" i="2"/>
  <c r="R319" i="2"/>
  <c r="R863" i="2"/>
  <c r="R783" i="2"/>
  <c r="R864" i="2"/>
  <c r="R755" i="2"/>
  <c r="R739" i="2"/>
  <c r="R794" i="2"/>
  <c r="R681" i="2"/>
  <c r="R740" i="2"/>
  <c r="R747" i="2"/>
  <c r="R691" i="2"/>
  <c r="R615" i="2"/>
  <c r="R559" i="2"/>
  <c r="R567" i="2"/>
  <c r="R203" i="2"/>
  <c r="R753" i="2"/>
  <c r="R627" i="2"/>
  <c r="R452" i="2"/>
  <c r="R27" i="2"/>
  <c r="R20" i="2"/>
  <c r="R637" i="2"/>
  <c r="R439" i="2"/>
  <c r="R868" i="2"/>
  <c r="R76" i="2"/>
  <c r="R446" i="2"/>
  <c r="R447" i="2"/>
  <c r="R378" i="2"/>
  <c r="R312" i="2"/>
  <c r="R877" i="2"/>
  <c r="R876" i="2"/>
  <c r="R806" i="2"/>
  <c r="R723" i="2"/>
  <c r="R741" i="2"/>
  <c r="R147" i="2"/>
  <c r="R146" i="2"/>
  <c r="R249" i="2"/>
  <c r="R688" i="2"/>
  <c r="R266" i="2"/>
  <c r="R148" i="2"/>
  <c r="R189" i="2"/>
  <c r="R255" i="2"/>
  <c r="R205" i="2"/>
  <c r="R85" i="2"/>
  <c r="R219" i="2"/>
  <c r="R856" i="2"/>
  <c r="R802" i="2"/>
  <c r="R807" i="2"/>
  <c r="R696" i="2"/>
  <c r="R670" i="2"/>
  <c r="R690" i="2"/>
  <c r="R630" i="2"/>
  <c r="R576" i="2"/>
  <c r="R635" i="2"/>
  <c r="R664" i="2"/>
  <c r="R552" i="2"/>
  <c r="R629" i="2"/>
  <c r="R15" i="2"/>
  <c r="R267" i="2"/>
  <c r="R379" i="2"/>
  <c r="R519" i="2"/>
  <c r="R553" i="2"/>
  <c r="R555" i="2"/>
  <c r="R363" i="2"/>
  <c r="R153" i="2"/>
  <c r="R11" i="2"/>
  <c r="R68" i="2"/>
  <c r="R245" i="2"/>
  <c r="R323" i="2"/>
  <c r="R320" i="2"/>
  <c r="R443" i="2"/>
  <c r="R375" i="2"/>
  <c r="R374" i="2"/>
  <c r="R373" i="2"/>
  <c r="R329" i="2"/>
  <c r="R306" i="2"/>
  <c r="R244" i="2"/>
  <c r="R78" i="2"/>
  <c r="R4" i="2"/>
  <c r="R216" i="2"/>
  <c r="R70" i="2"/>
  <c r="R202" i="2"/>
  <c r="R77" i="2"/>
  <c r="R75" i="2"/>
  <c r="R132" i="2"/>
  <c r="R125" i="2"/>
  <c r="R96" i="2"/>
  <c r="R82" i="2"/>
  <c r="R18" i="2"/>
  <c r="R851" i="2"/>
  <c r="R816" i="2"/>
  <c r="R797" i="2"/>
  <c r="R673" i="2"/>
  <c r="R578" i="2"/>
  <c r="R622" i="2"/>
  <c r="R547" i="2"/>
  <c r="R628" i="2"/>
  <c r="R604" i="2"/>
  <c r="R501" i="2"/>
  <c r="R488" i="2"/>
  <c r="R427" i="2"/>
  <c r="R271" i="2"/>
  <c r="R434" i="2"/>
  <c r="R429" i="2"/>
  <c r="R391" i="2"/>
  <c r="R390" i="2"/>
  <c r="R330" i="2"/>
  <c r="R309" i="2"/>
  <c r="R263" i="2"/>
  <c r="R338" i="2"/>
  <c r="R127" i="2"/>
  <c r="R194" i="2"/>
  <c r="R159" i="2"/>
  <c r="R186" i="2"/>
  <c r="R152" i="2"/>
  <c r="R72" i="2"/>
  <c r="R97" i="2"/>
  <c r="R81" i="2"/>
  <c r="R65" i="2"/>
  <c r="R561" i="2"/>
  <c r="R486" i="2"/>
  <c r="R63" i="2"/>
  <c r="R204" i="2"/>
  <c r="R137" i="2"/>
  <c r="R382" i="2"/>
  <c r="R393" i="2"/>
  <c r="R372" i="2"/>
  <c r="R268" i="2"/>
  <c r="R261" i="2"/>
  <c r="R315" i="2"/>
  <c r="R246" i="2"/>
  <c r="R206" i="2"/>
  <c r="R86" i="2"/>
  <c r="R3" i="2"/>
  <c r="R151" i="2"/>
  <c r="R149" i="2"/>
  <c r="R126" i="2"/>
  <c r="R66" i="2"/>
  <c r="R257" i="2"/>
  <c r="R734" i="2"/>
  <c r="R544" i="2"/>
  <c r="R512" i="2"/>
  <c r="R154" i="2"/>
  <c r="R131" i="2"/>
  <c r="R455" i="2"/>
  <c r="R218" i="2"/>
  <c r="R199" i="2"/>
  <c r="R423" i="2"/>
  <c r="R279" i="2"/>
  <c r="R252" i="2"/>
  <c r="R316" i="2"/>
  <c r="R277" i="2"/>
  <c r="R260" i="2"/>
  <c r="R195" i="2"/>
  <c r="R211" i="2"/>
  <c r="R23" i="2"/>
  <c r="R67" i="2"/>
  <c r="R33" i="2"/>
  <c r="R92" i="2"/>
  <c r="R185" i="2"/>
  <c r="R212" i="2"/>
  <c r="R88" i="2"/>
  <c r="R90" i="2"/>
  <c r="R432" i="2"/>
  <c r="R785" i="2"/>
  <c r="R750" i="2"/>
  <c r="R724" i="2"/>
  <c r="R638" i="2"/>
  <c r="R485" i="2"/>
  <c r="R554" i="2"/>
  <c r="R207" i="2"/>
  <c r="R449" i="2"/>
  <c r="R198" i="2"/>
  <c r="R123" i="2"/>
  <c r="R389" i="2"/>
  <c r="R435" i="2"/>
  <c r="R371" i="2"/>
  <c r="R364" i="2"/>
  <c r="R307" i="2"/>
  <c r="R304" i="2"/>
  <c r="R325" i="2"/>
  <c r="R313" i="2"/>
  <c r="R322" i="2"/>
  <c r="R95" i="2"/>
  <c r="R158" i="2"/>
  <c r="R87" i="2"/>
  <c r="R141" i="2"/>
  <c r="R28" i="2"/>
  <c r="R517" i="2"/>
  <c r="R562" i="2"/>
  <c r="R570" i="2"/>
  <c r="R612" i="2"/>
  <c r="R128" i="2"/>
  <c r="R145" i="2"/>
  <c r="R209" i="2"/>
  <c r="R437" i="2"/>
  <c r="R433" i="2"/>
  <c r="R369" i="2"/>
  <c r="R395" i="2"/>
  <c r="R399" i="2"/>
  <c r="R381" i="2"/>
  <c r="R388" i="2"/>
  <c r="R314" i="2"/>
  <c r="R270" i="2"/>
  <c r="R278" i="2"/>
  <c r="R254" i="2"/>
  <c r="R79" i="2"/>
  <c r="R150" i="2"/>
  <c r="R140" i="2"/>
  <c r="R135" i="2"/>
  <c r="R89" i="2"/>
  <c r="R73" i="2"/>
  <c r="R74" i="2"/>
  <c r="R25" i="2"/>
  <c r="R793" i="2"/>
  <c r="R509" i="2"/>
  <c r="R636" i="2"/>
  <c r="R511" i="2"/>
  <c r="R93" i="2"/>
  <c r="R192" i="2"/>
  <c r="R188" i="2"/>
  <c r="R396" i="2"/>
  <c r="R380" i="2"/>
  <c r="R339" i="2"/>
  <c r="R262" i="2"/>
  <c r="R398" i="2"/>
  <c r="R332" i="2"/>
  <c r="R193" i="2"/>
  <c r="R69" i="2"/>
  <c r="R134" i="2"/>
  <c r="R9" i="2"/>
  <c r="R545" i="2"/>
  <c r="R253" i="2"/>
  <c r="R143" i="2"/>
  <c r="R366" i="2"/>
  <c r="R124" i="2"/>
  <c r="R10" i="2"/>
  <c r="R6" i="2"/>
  <c r="R493" i="2"/>
  <c r="R80" i="2"/>
  <c r="R731" i="2"/>
  <c r="R682" i="2"/>
  <c r="R142" i="2"/>
  <c r="R64" i="2"/>
  <c r="R26" i="2"/>
  <c r="R24" i="2"/>
  <c r="R8" i="2"/>
  <c r="R29" i="2"/>
  <c r="R13" i="2"/>
  <c r="R30" i="2"/>
  <c r="R665" i="2"/>
  <c r="R36" i="2"/>
  <c r="R504" i="2"/>
  <c r="R494" i="2"/>
  <c r="R459" i="2"/>
  <c r="R17" i="2"/>
  <c r="R133" i="2"/>
  <c r="R22" i="2"/>
  <c r="R397" i="2"/>
  <c r="R187" i="2"/>
  <c r="R12" i="2"/>
  <c r="R14" i="2"/>
  <c r="R445" i="2"/>
  <c r="R336" i="2"/>
  <c r="R331" i="2"/>
  <c r="R269" i="2"/>
  <c r="R84" i="2"/>
  <c r="R35" i="2"/>
  <c r="R38" i="2"/>
  <c r="R680" i="2"/>
  <c r="R496" i="2"/>
  <c r="R98" i="2"/>
  <c r="R32" i="2"/>
  <c r="R16" i="2"/>
  <c r="R37" i="2"/>
  <c r="R21" i="2"/>
  <c r="R5" i="2"/>
  <c r="R157" i="2"/>
  <c r="CM1" i="1"/>
  <c r="Q507" i="2"/>
  <c r="Q512" i="2"/>
  <c r="Q515" i="2"/>
  <c r="Q608" i="2"/>
  <c r="Q626" i="2"/>
  <c r="Q633" i="2"/>
  <c r="Q667" i="2"/>
  <c r="Q674" i="2"/>
  <c r="Q677" i="2"/>
  <c r="Q727" i="2"/>
  <c r="Q752" i="2"/>
  <c r="Q853" i="2"/>
  <c r="Q873" i="2"/>
  <c r="Q875" i="2"/>
  <c r="Q879" i="2"/>
  <c r="Q257" i="2"/>
  <c r="Q263" i="2"/>
  <c r="Q335" i="2"/>
  <c r="Q378" i="2"/>
  <c r="Q446" i="2"/>
  <c r="Q483" i="2"/>
  <c r="Q488" i="2"/>
  <c r="Q491" i="2"/>
  <c r="Q496" i="2"/>
  <c r="Q499" i="2"/>
  <c r="Q575" i="2"/>
  <c r="Q733" i="2"/>
  <c r="Q744" i="2"/>
  <c r="Q757" i="2"/>
  <c r="Q759" i="2"/>
  <c r="Q869" i="2"/>
  <c r="Q275" i="2"/>
  <c r="Q318" i="2"/>
  <c r="Q384" i="2"/>
  <c r="Q438" i="2"/>
  <c r="Q139" i="2"/>
  <c r="Q550" i="2"/>
  <c r="Q566" i="2"/>
  <c r="Q614" i="2"/>
  <c r="Q618" i="2"/>
  <c r="Q632" i="2"/>
  <c r="Q676" i="2"/>
  <c r="Q697" i="2"/>
  <c r="Q726" i="2"/>
  <c r="Q751" i="2"/>
  <c r="Q791" i="2"/>
  <c r="Q867" i="2"/>
  <c r="Q303" i="2"/>
  <c r="Q333" i="2"/>
  <c r="Q424" i="2"/>
  <c r="Q152" i="2"/>
  <c r="Q506" i="2"/>
  <c r="Q514" i="2"/>
  <c r="Q549" i="2"/>
  <c r="Q554" i="2"/>
  <c r="Q565" i="2"/>
  <c r="Q571" i="2"/>
  <c r="Q606" i="2"/>
  <c r="Q610" i="2"/>
  <c r="Q625" i="2"/>
  <c r="Q682" i="2"/>
  <c r="Q689" i="2"/>
  <c r="Q691" i="2"/>
  <c r="Q743" i="2"/>
  <c r="Q800" i="2"/>
  <c r="Q804" i="2"/>
  <c r="Q819" i="2"/>
  <c r="Q845" i="2"/>
  <c r="Q874" i="2"/>
  <c r="Q248" i="2"/>
  <c r="Q310" i="2"/>
  <c r="Q372" i="2"/>
  <c r="Q452" i="2"/>
  <c r="Q490" i="2"/>
  <c r="Q498" i="2"/>
  <c r="Q505" i="2"/>
  <c r="Q513" i="2"/>
  <c r="Q558" i="2"/>
  <c r="Q574" i="2"/>
  <c r="Q669" i="2"/>
  <c r="Q724" i="2"/>
  <c r="Q749" i="2"/>
  <c r="Q756" i="2"/>
  <c r="Q787" i="2"/>
  <c r="Q809" i="2"/>
  <c r="Q813" i="2"/>
  <c r="Q818" i="2"/>
  <c r="Q864" i="2"/>
  <c r="Q250" i="2"/>
  <c r="Q256" i="2"/>
  <c r="Q264" i="2"/>
  <c r="Q266" i="2"/>
  <c r="Q489" i="2"/>
  <c r="Q497" i="2"/>
  <c r="Q557" i="2"/>
  <c r="Q573" i="2"/>
  <c r="Q617" i="2"/>
  <c r="Q624" i="2"/>
  <c r="Q634" i="2"/>
  <c r="Q675" i="2"/>
  <c r="Q693" i="2"/>
  <c r="Q736" i="2"/>
  <c r="Q742" i="2"/>
  <c r="Q796" i="2"/>
  <c r="Q803" i="2"/>
  <c r="Q844" i="2"/>
  <c r="Q847" i="2"/>
  <c r="Q855" i="2"/>
  <c r="Q857" i="2"/>
  <c r="Q327" i="2"/>
  <c r="Q564" i="2"/>
  <c r="Q579" i="2"/>
  <c r="Q609" i="2"/>
  <c r="Q668" i="2"/>
  <c r="Q673" i="2"/>
  <c r="Q684" i="2"/>
  <c r="Q698" i="2"/>
  <c r="Q728" i="2"/>
  <c r="Q745" i="2"/>
  <c r="Q786" i="2"/>
  <c r="Q805" i="2"/>
  <c r="Q811" i="2"/>
  <c r="Q849" i="2"/>
  <c r="Q854" i="2"/>
  <c r="Q876" i="2"/>
  <c r="Q243" i="2"/>
  <c r="Q380" i="2"/>
  <c r="Q458" i="2"/>
  <c r="Q795" i="2"/>
  <c r="Q448" i="2"/>
  <c r="Q99" i="2"/>
  <c r="Q138" i="2"/>
  <c r="Q740" i="2"/>
  <c r="Q859" i="2"/>
  <c r="Q259" i="2"/>
  <c r="Q196" i="2"/>
  <c r="Q201" i="2"/>
  <c r="Q204" i="2"/>
  <c r="Q370" i="2"/>
  <c r="Q426" i="2"/>
  <c r="Q198" i="2"/>
  <c r="Q212" i="2"/>
  <c r="Q188" i="2"/>
  <c r="Q368" i="2"/>
  <c r="Q436" i="2"/>
  <c r="Q692" i="2"/>
  <c r="Q151" i="2"/>
  <c r="Q543" i="2"/>
  <c r="Q551" i="2"/>
  <c r="Q616" i="2"/>
  <c r="Q683" i="2"/>
  <c r="Q688" i="2"/>
  <c r="Q865" i="2"/>
  <c r="Q187" i="2"/>
  <c r="Q191" i="2"/>
  <c r="Q197" i="2"/>
  <c r="Q214" i="2"/>
  <c r="Q572" i="2"/>
  <c r="Q735" i="2"/>
  <c r="Q147" i="2"/>
  <c r="Q200" i="2"/>
  <c r="Q207" i="2"/>
  <c r="Q92" i="2"/>
  <c r="Q393" i="2"/>
  <c r="Q143" i="2"/>
  <c r="Q620" i="2"/>
  <c r="Q750" i="2"/>
  <c r="Q628" i="2"/>
  <c r="Q447" i="2"/>
  <c r="Q637" i="2"/>
  <c r="Q440" i="2"/>
  <c r="Q159" i="2"/>
  <c r="Q430" i="2"/>
  <c r="Q267" i="2"/>
  <c r="Q398" i="2"/>
  <c r="Q93" i="2"/>
  <c r="Q456" i="2"/>
  <c r="Q215" i="2"/>
  <c r="Q789" i="2"/>
  <c r="Q817" i="2"/>
  <c r="Q843" i="2"/>
  <c r="Q798" i="2"/>
  <c r="Q792" i="2"/>
  <c r="Q851" i="2"/>
  <c r="Q725" i="2"/>
  <c r="Q681" i="2"/>
  <c r="Q686" i="2"/>
  <c r="Q672" i="2"/>
  <c r="Q687" i="2"/>
  <c r="Q638" i="2"/>
  <c r="Q627" i="2"/>
  <c r="Q615" i="2"/>
  <c r="Q631" i="2"/>
  <c r="Q517" i="2"/>
  <c r="Q98" i="2"/>
  <c r="Q30" i="2"/>
  <c r="Q27" i="2"/>
  <c r="Q82" i="2"/>
  <c r="Q326" i="2"/>
  <c r="Q394" i="2"/>
  <c r="Q729" i="2"/>
  <c r="Q324" i="2"/>
  <c r="Q334" i="2"/>
  <c r="Q34" i="2"/>
  <c r="Q146" i="2"/>
  <c r="Q63" i="2"/>
  <c r="Q205" i="2"/>
  <c r="Q317" i="2"/>
  <c r="Q872" i="2"/>
  <c r="Q812" i="2"/>
  <c r="Q695" i="2"/>
  <c r="Q860" i="2"/>
  <c r="Q807" i="2"/>
  <c r="Q852" i="2"/>
  <c r="Q846" i="2"/>
  <c r="Q785" i="2"/>
  <c r="Q737" i="2"/>
  <c r="Q799" i="2"/>
  <c r="Q753" i="2"/>
  <c r="Q699" i="2"/>
  <c r="Q546" i="2"/>
  <c r="Q663" i="2"/>
  <c r="Q629" i="2"/>
  <c r="Q510" i="2"/>
  <c r="Q74" i="2"/>
  <c r="Q22" i="2"/>
  <c r="Q79" i="2"/>
  <c r="Q38" i="2"/>
  <c r="Q11" i="2"/>
  <c r="Q428" i="2"/>
  <c r="Q794" i="2"/>
  <c r="Q85" i="2"/>
  <c r="Q274" i="2"/>
  <c r="Q385" i="2"/>
  <c r="Q439" i="2"/>
  <c r="Q453" i="2"/>
  <c r="Q454" i="2"/>
  <c r="Q386" i="2"/>
  <c r="Q249" i="2"/>
  <c r="Q861" i="2"/>
  <c r="Q741" i="2"/>
  <c r="Q746" i="2"/>
  <c r="Q635" i="2"/>
  <c r="Q666" i="2"/>
  <c r="Q578" i="2"/>
  <c r="Q569" i="2"/>
  <c r="Q560" i="2"/>
  <c r="Q68" i="2"/>
  <c r="Q14" i="2"/>
  <c r="Q66" i="2"/>
  <c r="Q567" i="2"/>
  <c r="Q814" i="2"/>
  <c r="Q870" i="2"/>
  <c r="Q429" i="2"/>
  <c r="Q636" i="2"/>
  <c r="Q190" i="2"/>
  <c r="Q210" i="2"/>
  <c r="Q272" i="2"/>
  <c r="Q383" i="2"/>
  <c r="Q311" i="2"/>
  <c r="Q308" i="2"/>
  <c r="Q247" i="2"/>
  <c r="Q758" i="2"/>
  <c r="Q739" i="2"/>
  <c r="Q815" i="2"/>
  <c r="Q797" i="2"/>
  <c r="Q748" i="2"/>
  <c r="Q696" i="2"/>
  <c r="Q621" i="2"/>
  <c r="Q747" i="2"/>
  <c r="Q694" i="2"/>
  <c r="Q623" i="2"/>
  <c r="Q622" i="2"/>
  <c r="Q605" i="2"/>
  <c r="Q219" i="2"/>
  <c r="Q6" i="2"/>
  <c r="Q217" i="2"/>
  <c r="Q431" i="2"/>
  <c r="Q790" i="2"/>
  <c r="Q331" i="2"/>
  <c r="Q878" i="2"/>
  <c r="Q604" i="2"/>
  <c r="Q612" i="2"/>
  <c r="Q189" i="2"/>
  <c r="Q868" i="2"/>
  <c r="Q328" i="2"/>
  <c r="Q312" i="2"/>
  <c r="Q877" i="2"/>
  <c r="Q810" i="2"/>
  <c r="Q754" i="2"/>
  <c r="Q723" i="2"/>
  <c r="Q730" i="2"/>
  <c r="Q665" i="2"/>
  <c r="Q544" i="2"/>
  <c r="Q547" i="2"/>
  <c r="Q553" i="2"/>
  <c r="Q183" i="2"/>
  <c r="Q142" i="2"/>
  <c r="Q319" i="2"/>
  <c r="Q273" i="2"/>
  <c r="Q494" i="2"/>
  <c r="Q126" i="2"/>
  <c r="Q444" i="2"/>
  <c r="Q203" i="2"/>
  <c r="Q255" i="2"/>
  <c r="Q315" i="2"/>
  <c r="Q856" i="2"/>
  <c r="Q802" i="2"/>
  <c r="Q848" i="2"/>
  <c r="Q862" i="2"/>
  <c r="Q755" i="2"/>
  <c r="Q433" i="2"/>
  <c r="Q135" i="2"/>
  <c r="Q858" i="2"/>
  <c r="Q850" i="2"/>
  <c r="Q486" i="2"/>
  <c r="Q71" i="2"/>
  <c r="Q70" i="2"/>
  <c r="Q432" i="2"/>
  <c r="Q258" i="2"/>
  <c r="Q863" i="2"/>
  <c r="Q783" i="2"/>
  <c r="Q793" i="2"/>
  <c r="Q265" i="2"/>
  <c r="Q816" i="2"/>
  <c r="Q738" i="2"/>
  <c r="Q801" i="2"/>
  <c r="Q788" i="2"/>
  <c r="Q734" i="2"/>
  <c r="Q619" i="2"/>
  <c r="Q731" i="2"/>
  <c r="Q679" i="2"/>
  <c r="Q680" i="2"/>
  <c r="Q611" i="2"/>
  <c r="Q866" i="2"/>
  <c r="Q501" i="2"/>
  <c r="Q562" i="2"/>
  <c r="Q492" i="2"/>
  <c r="Q91" i="2"/>
  <c r="Q199" i="2"/>
  <c r="Q434" i="2"/>
  <c r="Q389" i="2"/>
  <c r="Q279" i="2"/>
  <c r="Q445" i="2"/>
  <c r="Q377" i="2"/>
  <c r="Q364" i="2"/>
  <c r="Q391" i="2"/>
  <c r="Q330" i="2"/>
  <c r="Q338" i="2"/>
  <c r="Q313" i="2"/>
  <c r="Q33" i="2"/>
  <c r="Q194" i="2"/>
  <c r="Q186" i="2"/>
  <c r="Q133" i="2"/>
  <c r="Q577" i="2"/>
  <c r="Q155" i="2"/>
  <c r="Q76" i="2"/>
  <c r="Q251" i="2"/>
  <c r="Q129" i="2"/>
  <c r="Q548" i="2"/>
  <c r="Q613" i="2"/>
  <c r="Q504" i="2"/>
  <c r="Q561" i="2"/>
  <c r="Q508" i="2"/>
  <c r="Q455" i="2"/>
  <c r="Q218" i="2"/>
  <c r="Q396" i="2"/>
  <c r="Q374" i="2"/>
  <c r="Q339" i="2"/>
  <c r="Q268" i="2"/>
  <c r="Q261" i="2"/>
  <c r="Q276" i="2"/>
  <c r="Q246" i="2"/>
  <c r="Q94" i="2"/>
  <c r="Q206" i="2"/>
  <c r="Q86" i="2"/>
  <c r="Q81" i="2"/>
  <c r="Q25" i="2"/>
  <c r="Q32" i="2"/>
  <c r="Q18" i="2"/>
  <c r="Q451" i="2"/>
  <c r="Q630" i="2"/>
  <c r="Q603" i="2"/>
  <c r="Q664" i="2"/>
  <c r="Q639" i="2"/>
  <c r="Q502" i="2"/>
  <c r="Q511" i="2"/>
  <c r="Q487" i="2"/>
  <c r="Q131" i="2"/>
  <c r="Q154" i="2"/>
  <c r="Q423" i="2"/>
  <c r="Q457" i="2"/>
  <c r="Q427" i="2"/>
  <c r="Q130" i="2"/>
  <c r="Q425" i="2"/>
  <c r="Q373" i="2"/>
  <c r="Q252" i="2"/>
  <c r="Q371" i="2"/>
  <c r="Q316" i="2"/>
  <c r="Q277" i="2"/>
  <c r="Q337" i="2"/>
  <c r="Q260" i="2"/>
  <c r="Q156" i="2"/>
  <c r="Q19" i="2"/>
  <c r="Q148" i="2"/>
  <c r="Q185" i="2"/>
  <c r="Q127" i="2"/>
  <c r="Q149" i="2"/>
  <c r="Q96" i="2"/>
  <c r="Q80" i="2"/>
  <c r="Q64" i="2"/>
  <c r="Q678" i="2"/>
  <c r="Q390" i="2"/>
  <c r="Q392" i="2"/>
  <c r="Q570" i="2"/>
  <c r="Q519" i="2"/>
  <c r="Q518" i="2"/>
  <c r="Q485" i="2"/>
  <c r="Q555" i="2"/>
  <c r="Q209" i="2"/>
  <c r="Q84" i="2"/>
  <c r="Q449" i="2"/>
  <c r="Q213" i="2"/>
  <c r="Q450" i="2"/>
  <c r="Q323" i="2"/>
  <c r="Q435" i="2"/>
  <c r="Q395" i="2"/>
  <c r="Q388" i="2"/>
  <c r="Q366" i="2"/>
  <c r="Q304" i="2"/>
  <c r="Q309" i="2"/>
  <c r="Q322" i="2"/>
  <c r="Q244" i="2"/>
  <c r="Q95" i="2"/>
  <c r="Q158" i="2"/>
  <c r="Q87" i="2"/>
  <c r="Q3" i="2"/>
  <c r="Q90" i="2"/>
  <c r="Q75" i="2"/>
  <c r="Q144" i="2"/>
  <c r="Q125" i="2"/>
  <c r="Q65" i="2"/>
  <c r="Q17" i="2"/>
  <c r="Q134" i="2"/>
  <c r="Q871" i="2"/>
  <c r="Q808" i="2"/>
  <c r="Q670" i="2"/>
  <c r="Q784" i="2"/>
  <c r="Q563" i="2"/>
  <c r="Q500" i="2"/>
  <c r="Q484" i="2"/>
  <c r="Q437" i="2"/>
  <c r="Q369" i="2"/>
  <c r="Q387" i="2"/>
  <c r="Q365" i="2"/>
  <c r="Q314" i="2"/>
  <c r="Q305" i="2"/>
  <c r="Q270" i="2"/>
  <c r="Q325" i="2"/>
  <c r="Q278" i="2"/>
  <c r="Q254" i="2"/>
  <c r="Q150" i="2"/>
  <c r="Q140" i="2"/>
  <c r="Q137" i="2"/>
  <c r="Q376" i="2"/>
  <c r="Q690" i="2"/>
  <c r="Q576" i="2"/>
  <c r="Q732" i="2"/>
  <c r="Q685" i="2"/>
  <c r="Q552" i="2"/>
  <c r="Q545" i="2"/>
  <c r="Q493" i="2"/>
  <c r="Q503" i="2"/>
  <c r="Q83" i="2"/>
  <c r="Q367" i="2"/>
  <c r="Q336" i="2"/>
  <c r="Q269" i="2"/>
  <c r="Q329" i="2"/>
  <c r="Q253" i="2"/>
  <c r="Q124" i="2"/>
  <c r="Q211" i="2"/>
  <c r="Q67" i="2"/>
  <c r="Q192" i="2"/>
  <c r="Q157" i="2"/>
  <c r="Q184" i="2"/>
  <c r="Q136" i="2"/>
  <c r="Q141" i="2"/>
  <c r="Q9" i="2"/>
  <c r="Q24" i="2"/>
  <c r="Q459" i="2"/>
  <c r="Q607" i="2"/>
  <c r="Q559" i="2"/>
  <c r="Q556" i="2"/>
  <c r="Q495" i="2"/>
  <c r="Q516" i="2"/>
  <c r="Q363" i="2"/>
  <c r="Q153" i="2"/>
  <c r="Q145" i="2"/>
  <c r="Q123" i="2"/>
  <c r="Q245" i="2"/>
  <c r="Q320" i="2"/>
  <c r="Q443" i="2"/>
  <c r="Q375" i="2"/>
  <c r="Q208" i="2"/>
  <c r="Q442" i="2"/>
  <c r="Q307" i="2"/>
  <c r="Q321" i="2"/>
  <c r="Q306" i="2"/>
  <c r="Q78" i="2"/>
  <c r="Q216" i="2"/>
  <c r="Q77" i="2"/>
  <c r="Q132" i="2"/>
  <c r="Q97" i="2"/>
  <c r="Q509" i="2"/>
  <c r="Q399" i="2"/>
  <c r="Q193" i="2"/>
  <c r="Q21" i="2"/>
  <c r="Q88" i="2"/>
  <c r="Q20" i="2"/>
  <c r="Q806" i="2"/>
  <c r="Q128" i="2"/>
  <c r="Q89" i="2"/>
  <c r="Q16" i="2"/>
  <c r="Q31" i="2"/>
  <c r="Q382" i="2"/>
  <c r="Q262" i="2"/>
  <c r="Q69" i="2"/>
  <c r="Q72" i="2"/>
  <c r="Q5" i="2"/>
  <c r="Q381" i="2"/>
  <c r="Q10" i="2"/>
  <c r="Q36" i="2"/>
  <c r="Q671" i="2"/>
  <c r="Q271" i="2"/>
  <c r="Q8" i="2"/>
  <c r="Q39" i="2"/>
  <c r="Q23" i="2"/>
  <c r="Q7" i="2"/>
  <c r="Q28" i="2"/>
  <c r="Q12" i="2"/>
  <c r="Q29" i="2"/>
  <c r="Q568" i="2"/>
  <c r="Q332" i="2"/>
  <c r="Q397" i="2"/>
  <c r="Q379" i="2"/>
  <c r="Q195" i="2"/>
  <c r="Q35" i="2"/>
  <c r="Q13" i="2"/>
  <c r="Q73" i="2"/>
  <c r="Q441" i="2"/>
  <c r="Q202" i="2"/>
  <c r="Q26" i="2"/>
  <c r="Q37" i="2"/>
  <c r="Q15" i="2"/>
  <c r="Q4" i="2"/>
  <c r="DF4" i="1" a="1"/>
  <c r="DF4" i="1" s="1"/>
  <c r="T785" i="2" s="1"/>
  <c r="DF12" i="1" a="1"/>
  <c r="DF12" i="1" s="1"/>
  <c r="T73" i="2" s="1"/>
  <c r="DF20" i="1" a="1"/>
  <c r="DF20" i="1" s="1"/>
  <c r="T501" i="2" s="1"/>
  <c r="DF31" i="1" a="1"/>
  <c r="DF31" i="1" s="1"/>
  <c r="T332" i="2" s="1"/>
  <c r="DF35" i="1" a="1"/>
  <c r="DF35" i="1" s="1"/>
  <c r="DF39" i="1" a="1"/>
  <c r="DF39" i="1" s="1"/>
  <c r="DF3" i="1" a="1"/>
  <c r="DF3" i="1" s="1"/>
  <c r="DF11" i="1" a="1"/>
  <c r="DF11" i="1" s="1"/>
  <c r="T72" i="2" s="1"/>
  <c r="DF19" i="1" a="1"/>
  <c r="DF19" i="1" s="1"/>
  <c r="T500" i="2" s="1"/>
  <c r="DF10" i="1" a="1"/>
  <c r="DF10" i="1" s="1"/>
  <c r="T851" i="2" s="1"/>
  <c r="DF18" i="1" a="1"/>
  <c r="DF18" i="1" s="1"/>
  <c r="T439" i="2" s="1"/>
  <c r="DF29" i="1" a="1"/>
  <c r="DF29" i="1" s="1"/>
  <c r="T570" i="2" s="1"/>
  <c r="DF32" i="1" a="1"/>
  <c r="DF32" i="1" s="1"/>
  <c r="T873" i="2" s="1"/>
  <c r="DF36" i="1" a="1"/>
  <c r="DF36" i="1" s="1"/>
  <c r="T337" i="2" s="1"/>
  <c r="DF43" i="1" a="1"/>
  <c r="DF43" i="1" s="1"/>
  <c r="DF6" i="1" a="1"/>
  <c r="DF6" i="1" s="1"/>
  <c r="T427" i="2" s="1"/>
  <c r="DF23" i="1" a="1"/>
  <c r="DF23" i="1" s="1"/>
  <c r="T684" i="2" s="1"/>
  <c r="DF44" i="1" a="1"/>
  <c r="DF44" i="1" s="1"/>
  <c r="H45" i="2" s="1"/>
  <c r="DF47" i="1" a="1"/>
  <c r="DF47" i="1" s="1"/>
  <c r="DF24" i="1" a="1"/>
  <c r="DF24" i="1" s="1"/>
  <c r="T505" i="2" s="1"/>
  <c r="DF28" i="1" a="1"/>
  <c r="DF28" i="1" s="1"/>
  <c r="T389" i="2" s="1"/>
  <c r="DF30" i="1" a="1"/>
  <c r="DF30" i="1" s="1"/>
  <c r="T811" i="2" s="1"/>
  <c r="DF25" i="1" a="1"/>
  <c r="DF25" i="1" s="1"/>
  <c r="T506" i="2" s="1"/>
  <c r="DF42" i="1" a="1"/>
  <c r="DF42" i="1" s="1"/>
  <c r="DF7" i="1" a="1"/>
  <c r="DF7" i="1" s="1"/>
  <c r="H8" i="2" s="1"/>
  <c r="DF8" i="1" a="1"/>
  <c r="DF8" i="1" s="1"/>
  <c r="T849" i="2" s="1"/>
  <c r="DF13" i="1" a="1"/>
  <c r="DF13" i="1" s="1"/>
  <c r="T614" i="2" s="1"/>
  <c r="DF38" i="1" a="1"/>
  <c r="DF38" i="1" s="1"/>
  <c r="T699" i="2" s="1"/>
  <c r="DF45" i="1" a="1"/>
  <c r="DF45" i="1" s="1"/>
  <c r="DF16" i="1" a="1"/>
  <c r="DF16" i="1" s="1"/>
  <c r="T677" i="2" s="1"/>
  <c r="DF21" i="1" a="1"/>
  <c r="DF21" i="1" s="1"/>
  <c r="H22" i="2" s="1"/>
  <c r="DF40" i="1" a="1"/>
  <c r="DF40" i="1" s="1"/>
  <c r="DF15" i="1" a="1"/>
  <c r="DF15" i="1" s="1"/>
  <c r="T796" i="2" s="1"/>
  <c r="DF26" i="1" a="1"/>
  <c r="DF26" i="1" s="1"/>
  <c r="T387" i="2" s="1"/>
  <c r="DF51" i="1" a="1"/>
  <c r="DF51" i="1" s="1"/>
  <c r="DF55" i="1" a="1"/>
  <c r="DF55" i="1" s="1"/>
  <c r="DF49" i="1" a="1"/>
  <c r="DF49" i="1" s="1"/>
  <c r="DF22" i="1" a="1"/>
  <c r="DF22" i="1" s="1"/>
  <c r="T443" i="2" s="1"/>
  <c r="DF58" i="1" a="1"/>
  <c r="DF58" i="1" s="1"/>
  <c r="DF2" i="1" a="1"/>
  <c r="DF2" i="1" s="1"/>
  <c r="T363" i="2" s="1"/>
  <c r="DF33" i="1" a="1"/>
  <c r="DF33" i="1" s="1"/>
  <c r="T394" i="2" s="1"/>
  <c r="DF5" i="1" a="1"/>
  <c r="DF5" i="1" s="1"/>
  <c r="T486" i="2" s="1"/>
  <c r="DF9" i="1" a="1"/>
  <c r="DF9" i="1" s="1"/>
  <c r="T310" i="2" s="1"/>
  <c r="DF41" i="1" a="1"/>
  <c r="DF41" i="1" s="1"/>
  <c r="DF50" i="1" a="1"/>
  <c r="DF50" i="1" s="1"/>
  <c r="DF54" i="1" a="1"/>
  <c r="DF54" i="1" s="1"/>
  <c r="DF34" i="1" a="1"/>
  <c r="DF34" i="1" s="1"/>
  <c r="T875" i="2" s="1"/>
  <c r="DF46" i="1" a="1"/>
  <c r="DF46" i="1" s="1"/>
  <c r="DF14" i="1" a="1"/>
  <c r="DF14" i="1" s="1"/>
  <c r="T495" i="2" s="1"/>
  <c r="DF53" i="1" a="1"/>
  <c r="DF53" i="1" s="1"/>
  <c r="DF27" i="1" a="1"/>
  <c r="DF27" i="1" s="1"/>
  <c r="T868" i="2" s="1"/>
  <c r="DF57" i="1" a="1"/>
  <c r="DF57" i="1" s="1"/>
  <c r="DF37" i="1" a="1"/>
  <c r="DF37" i="1" s="1"/>
  <c r="T458" i="2" s="1"/>
  <c r="DF56" i="1" a="1"/>
  <c r="DF56" i="1" s="1"/>
  <c r="DF48" i="1" a="1"/>
  <c r="DF48" i="1" s="1"/>
  <c r="DF52" i="1" a="1"/>
  <c r="DF52" i="1" s="1"/>
  <c r="DF17" i="1" a="1"/>
  <c r="DF17" i="1" s="1"/>
  <c r="H18" i="2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T4" i="2" s="1"/>
  <c r="DE11" i="1" a="1"/>
  <c r="DE11" i="1" s="1"/>
  <c r="T12" i="2" s="1"/>
  <c r="DE19" i="1" a="1"/>
  <c r="DE19" i="1" s="1"/>
  <c r="T20" i="2" s="1"/>
  <c r="DE10" i="1" a="1"/>
  <c r="DE10" i="1" s="1"/>
  <c r="T11" i="2" s="1"/>
  <c r="DE18" i="1" a="1"/>
  <c r="DE18" i="1" s="1"/>
  <c r="T19" i="2" s="1"/>
  <c r="DE29" i="1" a="1"/>
  <c r="DE29" i="1" s="1"/>
  <c r="T30" i="2" s="1"/>
  <c r="DE9" i="1" a="1"/>
  <c r="DE9" i="1" s="1"/>
  <c r="T10" i="2" s="1"/>
  <c r="DE17" i="1" a="1"/>
  <c r="DE17" i="1" s="1"/>
  <c r="T18" i="2" s="1"/>
  <c r="DE25" i="1" a="1"/>
  <c r="DE25" i="1" s="1"/>
  <c r="T26" i="2" s="1"/>
  <c r="DE5" i="1" a="1"/>
  <c r="DE5" i="1" s="1"/>
  <c r="T6" i="2" s="1"/>
  <c r="DE24" i="1" a="1"/>
  <c r="DE24" i="1" s="1"/>
  <c r="T25" i="2" s="1"/>
  <c r="DE28" i="1" a="1"/>
  <c r="DE28" i="1" s="1"/>
  <c r="T29" i="2" s="1"/>
  <c r="DE30" i="1" a="1"/>
  <c r="DE30" i="1" s="1"/>
  <c r="T31" i="2" s="1"/>
  <c r="DE39" i="1" a="1"/>
  <c r="DE39" i="1" s="1"/>
  <c r="DE12" i="1" a="1"/>
  <c r="DE12" i="1" s="1"/>
  <c r="T13" i="2" s="1"/>
  <c r="DE7" i="1" a="1"/>
  <c r="DE7" i="1" s="1"/>
  <c r="T8" i="2" s="1"/>
  <c r="DE8" i="1" a="1"/>
  <c r="DE8" i="1" s="1"/>
  <c r="T9" i="2" s="1"/>
  <c r="DE13" i="1" a="1"/>
  <c r="DE13" i="1" s="1"/>
  <c r="T14" i="2" s="1"/>
  <c r="DE35" i="1" a="1"/>
  <c r="DE35" i="1" s="1"/>
  <c r="T36" i="2" s="1"/>
  <c r="DE38" i="1" a="1"/>
  <c r="DE38" i="1" s="1"/>
  <c r="T39" i="2" s="1"/>
  <c r="DE41" i="1" a="1"/>
  <c r="DE41" i="1" s="1"/>
  <c r="DE48" i="1" a="1"/>
  <c r="DE48" i="1" s="1"/>
  <c r="DE6" i="1" a="1"/>
  <c r="DE6" i="1" s="1"/>
  <c r="T7" i="2" s="1"/>
  <c r="DE14" i="1" a="1"/>
  <c r="DE14" i="1" s="1"/>
  <c r="T15" i="2" s="1"/>
  <c r="DE22" i="1" a="1"/>
  <c r="DE22" i="1" s="1"/>
  <c r="T23" i="2" s="1"/>
  <c r="DE26" i="1" a="1"/>
  <c r="DE26" i="1" s="1"/>
  <c r="T27" i="2" s="1"/>
  <c r="DE33" i="1" a="1"/>
  <c r="DE33" i="1" s="1"/>
  <c r="T34" i="2" s="1"/>
  <c r="DE55" i="1" a="1"/>
  <c r="DE55" i="1" s="1"/>
  <c r="DE4" i="1" a="1"/>
  <c r="DE4" i="1" s="1"/>
  <c r="T5" i="2" s="1"/>
  <c r="DE36" i="1" a="1"/>
  <c r="DE36" i="1" s="1"/>
  <c r="T37" i="2" s="1"/>
  <c r="DE43" i="1" a="1"/>
  <c r="DE43" i="1" s="1"/>
  <c r="DE44" i="1" a="1"/>
  <c r="DE44" i="1" s="1"/>
  <c r="DE58" i="1" a="1"/>
  <c r="DE58" i="1" s="1"/>
  <c r="DE20" i="1" a="1"/>
  <c r="DE20" i="1" s="1"/>
  <c r="T21" i="2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T3" i="2" s="1"/>
  <c r="DE23" i="1" a="1"/>
  <c r="DE23" i="1" s="1"/>
  <c r="T24" i="2" s="1"/>
  <c r="DE34" i="1" a="1"/>
  <c r="DE34" i="1" s="1"/>
  <c r="T35" i="2" s="1"/>
  <c r="DE46" i="1" a="1"/>
  <c r="DE46" i="1" s="1"/>
  <c r="DE27" i="1" a="1"/>
  <c r="DE27" i="1" s="1"/>
  <c r="T28" i="2" s="1"/>
  <c r="DE47" i="1" a="1"/>
  <c r="DE47" i="1" s="1"/>
  <c r="DE57" i="1" a="1"/>
  <c r="DE57" i="1" s="1"/>
  <c r="DE16" i="1" a="1"/>
  <c r="DE16" i="1" s="1"/>
  <c r="T17" i="2" s="1"/>
  <c r="DE40" i="1" a="1"/>
  <c r="DE40" i="1" s="1"/>
  <c r="DE49" i="1" a="1"/>
  <c r="DE49" i="1" s="1"/>
  <c r="DE53" i="1" a="1"/>
  <c r="DE53" i="1" s="1"/>
  <c r="DE21" i="1" a="1"/>
  <c r="DE21" i="1" s="1"/>
  <c r="T22" i="2" s="1"/>
  <c r="DE32" i="1" a="1"/>
  <c r="DE32" i="1" s="1"/>
  <c r="T33" i="2" s="1"/>
  <c r="DE52" i="1" a="1"/>
  <c r="DE52" i="1" s="1"/>
  <c r="DE31" i="1" a="1"/>
  <c r="DE31" i="1" s="1"/>
  <c r="T32" i="2" s="1"/>
  <c r="DE37" i="1" a="1"/>
  <c r="DE37" i="1" s="1"/>
  <c r="T38" i="2" s="1"/>
  <c r="DE56" i="1" a="1"/>
  <c r="DE56" i="1" s="1"/>
  <c r="DE15" i="1" a="1"/>
  <c r="DE15" i="1" s="1"/>
  <c r="T16" i="2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59" i="1" s="1" a="1"/>
  <c r="DR59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9" i="1" s="1" a="1"/>
  <c r="DM59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T126" i="2" s="1"/>
  <c r="DG13" i="1" a="1"/>
  <c r="DG13" i="1" s="1"/>
  <c r="T134" i="2" s="1"/>
  <c r="DG21" i="1" a="1"/>
  <c r="DG21" i="1" s="1"/>
  <c r="T142" i="2" s="1"/>
  <c r="DG26" i="1" a="1"/>
  <c r="DG26" i="1" s="1"/>
  <c r="T147" i="2" s="1"/>
  <c r="DG28" i="1" a="1"/>
  <c r="DG28" i="1" s="1"/>
  <c r="T149" i="2" s="1"/>
  <c r="DG4" i="1" a="1"/>
  <c r="DG4" i="1" s="1"/>
  <c r="T125" i="2" s="1"/>
  <c r="DG12" i="1" a="1"/>
  <c r="DG12" i="1" s="1"/>
  <c r="T133" i="2" s="1"/>
  <c r="DG20" i="1" a="1"/>
  <c r="DG20" i="1" s="1"/>
  <c r="T141" i="2" s="1"/>
  <c r="DG3" i="1" a="1"/>
  <c r="DG3" i="1" s="1"/>
  <c r="T124" i="2" s="1"/>
  <c r="DG11" i="1" a="1"/>
  <c r="DG11" i="1" s="1"/>
  <c r="T132" i="2" s="1"/>
  <c r="DG19" i="1" a="1"/>
  <c r="DG19" i="1" s="1"/>
  <c r="T140" i="2" s="1"/>
  <c r="DG7" i="1" a="1"/>
  <c r="DG7" i="1" s="1"/>
  <c r="T128" i="2" s="1"/>
  <c r="DG17" i="1" a="1"/>
  <c r="DG17" i="1" s="1"/>
  <c r="T138" i="2" s="1"/>
  <c r="DG22" i="1" a="1"/>
  <c r="DG22" i="1" s="1"/>
  <c r="T143" i="2" s="1"/>
  <c r="DG33" i="1" a="1"/>
  <c r="DG33" i="1" s="1"/>
  <c r="T154" i="2" s="1"/>
  <c r="DG36" i="1" a="1"/>
  <c r="DG36" i="1" s="1"/>
  <c r="T157" i="2" s="1"/>
  <c r="DG43" i="1" a="1"/>
  <c r="DG43" i="1" s="1"/>
  <c r="DG18" i="1" a="1"/>
  <c r="DG18" i="1" s="1"/>
  <c r="T139" i="2" s="1"/>
  <c r="DG23" i="1" a="1"/>
  <c r="DG23" i="1" s="1"/>
  <c r="T144" i="2" s="1"/>
  <c r="DG24" i="1" a="1"/>
  <c r="DG24" i="1" s="1"/>
  <c r="T145" i="2" s="1"/>
  <c r="DG30" i="1" a="1"/>
  <c r="DG30" i="1" s="1"/>
  <c r="T151" i="2" s="1"/>
  <c r="DG32" i="1" a="1"/>
  <c r="DG32" i="1" s="1"/>
  <c r="T153" i="2" s="1"/>
  <c r="DG49" i="1" a="1"/>
  <c r="DG49" i="1" s="1"/>
  <c r="DG25" i="1" a="1"/>
  <c r="DG25" i="1" s="1"/>
  <c r="T146" i="2" s="1"/>
  <c r="DG35" i="1" a="1"/>
  <c r="DG35" i="1" s="1"/>
  <c r="T156" i="2" s="1"/>
  <c r="DG42" i="1" a="1"/>
  <c r="DG42" i="1" s="1"/>
  <c r="DG10" i="1" a="1"/>
  <c r="DG10" i="1" s="1"/>
  <c r="T131" i="2" s="1"/>
  <c r="DG15" i="1" a="1"/>
  <c r="DG15" i="1" s="1"/>
  <c r="T136" i="2" s="1"/>
  <c r="DG27" i="1" a="1"/>
  <c r="DG27" i="1" s="1"/>
  <c r="T148" i="2" s="1"/>
  <c r="DG34" i="1" a="1"/>
  <c r="DG34" i="1" s="1"/>
  <c r="T155" i="2" s="1"/>
  <c r="DG37" i="1" a="1"/>
  <c r="DG37" i="1" s="1"/>
  <c r="T158" i="2" s="1"/>
  <c r="DG41" i="1" a="1"/>
  <c r="DG41" i="1" s="1"/>
  <c r="DG8" i="1" a="1"/>
  <c r="DG8" i="1" s="1"/>
  <c r="T129" i="2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T127" i="2" s="1"/>
  <c r="DG16" i="1" a="1"/>
  <c r="DG16" i="1" s="1"/>
  <c r="T137" i="2" s="1"/>
  <c r="DG40" i="1" a="1"/>
  <c r="DG40" i="1" s="1"/>
  <c r="DG9" i="1" a="1"/>
  <c r="DG9" i="1" s="1"/>
  <c r="T130" i="2" s="1"/>
  <c r="DG50" i="1" a="1"/>
  <c r="DG50" i="1" s="1"/>
  <c r="DG54" i="1" a="1"/>
  <c r="DG54" i="1" s="1"/>
  <c r="DG46" i="1" a="1"/>
  <c r="DG46" i="1" s="1"/>
  <c r="DG2" i="1" a="1"/>
  <c r="DG2" i="1" s="1"/>
  <c r="T123" i="2" s="1"/>
  <c r="DG14" i="1" a="1"/>
  <c r="DG14" i="1" s="1"/>
  <c r="T135" i="2" s="1"/>
  <c r="DG29" i="1" a="1"/>
  <c r="DG29" i="1" s="1"/>
  <c r="T150" i="2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T159" i="2" s="1"/>
  <c r="DG31" i="1" a="1"/>
  <c r="DG31" i="1" s="1"/>
  <c r="T152" i="2" s="1"/>
  <c r="DH6" i="1" a="1"/>
  <c r="DH6" i="1" s="1"/>
  <c r="T187" i="2" s="1"/>
  <c r="DH14" i="1" a="1"/>
  <c r="DH14" i="1" s="1"/>
  <c r="T195" i="2" s="1"/>
  <c r="DH22" i="1" a="1"/>
  <c r="DH22" i="1" s="1"/>
  <c r="T203" i="2" s="1"/>
  <c r="DH30" i="1" a="1"/>
  <c r="DH30" i="1" s="1"/>
  <c r="T211" i="2" s="1"/>
  <c r="DH34" i="1" a="1"/>
  <c r="DH34" i="1" s="1"/>
  <c r="T215" i="2" s="1"/>
  <c r="DH38" i="1" a="1"/>
  <c r="DH38" i="1" s="1"/>
  <c r="T219" i="2" s="1"/>
  <c r="DH41" i="1" a="1"/>
  <c r="DH41" i="1" s="1"/>
  <c r="DH5" i="1" a="1"/>
  <c r="DH5" i="1" s="1"/>
  <c r="T186" i="2" s="1"/>
  <c r="DH13" i="1" a="1"/>
  <c r="DH13" i="1" s="1"/>
  <c r="T194" i="2" s="1"/>
  <c r="DH21" i="1" a="1"/>
  <c r="DH21" i="1" s="1"/>
  <c r="T202" i="2" s="1"/>
  <c r="DH26" i="1" a="1"/>
  <c r="DH26" i="1" s="1"/>
  <c r="T207" i="2" s="1"/>
  <c r="DH28" i="1" a="1"/>
  <c r="DH28" i="1" s="1"/>
  <c r="T209" i="2" s="1"/>
  <c r="DH4" i="1" a="1"/>
  <c r="DH4" i="1" s="1"/>
  <c r="T185" i="2" s="1"/>
  <c r="DH12" i="1" a="1"/>
  <c r="DH12" i="1" s="1"/>
  <c r="T193" i="2" s="1"/>
  <c r="DH20" i="1" a="1"/>
  <c r="DH20" i="1" s="1"/>
  <c r="T201" i="2" s="1"/>
  <c r="DH31" i="1" a="1"/>
  <c r="DH31" i="1" s="1"/>
  <c r="T212" i="2" s="1"/>
  <c r="DH35" i="1" a="1"/>
  <c r="DH35" i="1" s="1"/>
  <c r="T216" i="2" s="1"/>
  <c r="DH39" i="1" a="1"/>
  <c r="DH39" i="1" s="1"/>
  <c r="DH3" i="1" a="1"/>
  <c r="DH3" i="1" s="1"/>
  <c r="T184" i="2" s="1"/>
  <c r="DH11" i="1" a="1"/>
  <c r="DH11" i="1" s="1"/>
  <c r="T192" i="2" s="1"/>
  <c r="DH16" i="1" a="1"/>
  <c r="DH16" i="1" s="1"/>
  <c r="T197" i="2" s="1"/>
  <c r="DH40" i="1" a="1"/>
  <c r="DH40" i="1" s="1"/>
  <c r="DH46" i="1" a="1"/>
  <c r="DH46" i="1" s="1"/>
  <c r="DH17" i="1" a="1"/>
  <c r="DH17" i="1" s="1"/>
  <c r="T198" i="2" s="1"/>
  <c r="DH18" i="1" a="1"/>
  <c r="DH18" i="1" s="1"/>
  <c r="T199" i="2" s="1"/>
  <c r="DH23" i="1" a="1"/>
  <c r="DH23" i="1" s="1"/>
  <c r="T204" i="2" s="1"/>
  <c r="DH43" i="1" a="1"/>
  <c r="DH43" i="1" s="1"/>
  <c r="DH44" i="1" a="1"/>
  <c r="DH44" i="1" s="1"/>
  <c r="DH50" i="1" a="1"/>
  <c r="DH50" i="1" s="1"/>
  <c r="DH19" i="1" a="1"/>
  <c r="DH19" i="1" s="1"/>
  <c r="T200" i="2" s="1"/>
  <c r="DH24" i="1" a="1"/>
  <c r="DH24" i="1" s="1"/>
  <c r="T205" i="2" s="1"/>
  <c r="DH32" i="1" a="1"/>
  <c r="DH32" i="1" s="1"/>
  <c r="T213" i="2" s="1"/>
  <c r="DH47" i="1" a="1"/>
  <c r="DH47" i="1" s="1"/>
  <c r="DH8" i="1" a="1"/>
  <c r="DH8" i="1" s="1"/>
  <c r="T189" i="2" s="1"/>
  <c r="DH9" i="1" a="1"/>
  <c r="DH9" i="1" s="1"/>
  <c r="T190" i="2" s="1"/>
  <c r="DH37" i="1" a="1"/>
  <c r="DH37" i="1" s="1"/>
  <c r="T218" i="2" s="1"/>
  <c r="DH48" i="1" a="1"/>
  <c r="DH48" i="1" s="1"/>
  <c r="DH52" i="1" a="1"/>
  <c r="DH52" i="1" s="1"/>
  <c r="DH57" i="1" a="1"/>
  <c r="DH57" i="1" s="1"/>
  <c r="DH15" i="1" a="1"/>
  <c r="DH15" i="1" s="1"/>
  <c r="T196" i="2" s="1"/>
  <c r="DH36" i="1" a="1"/>
  <c r="DH36" i="1" s="1"/>
  <c r="T217" i="2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T206" i="2" s="1"/>
  <c r="DH45" i="1" a="1"/>
  <c r="DH45" i="1" s="1"/>
  <c r="DH33" i="1" a="1"/>
  <c r="DH33" i="1" s="1"/>
  <c r="T214" i="2" s="1"/>
  <c r="DH49" i="1" a="1"/>
  <c r="DH49" i="1" s="1"/>
  <c r="DH2" i="1" a="1"/>
  <c r="DH2" i="1" s="1"/>
  <c r="T183" i="2" s="1"/>
  <c r="DH7" i="1" a="1"/>
  <c r="DH7" i="1" s="1"/>
  <c r="T188" i="2" s="1"/>
  <c r="DH27" i="1" a="1"/>
  <c r="DH27" i="1" s="1"/>
  <c r="T208" i="2" s="1"/>
  <c r="DH29" i="1" a="1"/>
  <c r="DH29" i="1" s="1"/>
  <c r="T210" i="2" s="1"/>
  <c r="DH53" i="1" a="1"/>
  <c r="DH53" i="1" s="1"/>
  <c r="DH10" i="1" a="1"/>
  <c r="DH10" i="1" s="1"/>
  <c r="T191" i="2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T248" i="2" s="1"/>
  <c r="DI15" i="1" a="1"/>
  <c r="DI15" i="1" s="1"/>
  <c r="T256" i="2" s="1"/>
  <c r="DI23" i="1" a="1"/>
  <c r="DI23" i="1" s="1"/>
  <c r="T264" i="2" s="1"/>
  <c r="DI27" i="1" a="1"/>
  <c r="DI27" i="1" s="1"/>
  <c r="T268" i="2" s="1"/>
  <c r="DI6" i="1" a="1"/>
  <c r="DI6" i="1" s="1"/>
  <c r="T247" i="2" s="1"/>
  <c r="DI14" i="1" a="1"/>
  <c r="DI14" i="1" s="1"/>
  <c r="T255" i="2" s="1"/>
  <c r="DI22" i="1" a="1"/>
  <c r="DI22" i="1" s="1"/>
  <c r="T263" i="2" s="1"/>
  <c r="DI30" i="1" a="1"/>
  <c r="DI30" i="1" s="1"/>
  <c r="T271" i="2" s="1"/>
  <c r="DI5" i="1" a="1"/>
  <c r="DI5" i="1" s="1"/>
  <c r="T246" i="2" s="1"/>
  <c r="DI13" i="1" a="1"/>
  <c r="DI13" i="1" s="1"/>
  <c r="T254" i="2" s="1"/>
  <c r="DI21" i="1" a="1"/>
  <c r="DI21" i="1" s="1"/>
  <c r="T262" i="2" s="1"/>
  <c r="DI26" i="1" a="1"/>
  <c r="DI26" i="1" s="1"/>
  <c r="T267" i="2" s="1"/>
  <c r="DI28" i="1" a="1"/>
  <c r="DI28" i="1" s="1"/>
  <c r="T269" i="2" s="1"/>
  <c r="DI3" i="1" a="1"/>
  <c r="DI3" i="1" s="1"/>
  <c r="T244" i="2" s="1"/>
  <c r="DI10" i="1" a="1"/>
  <c r="DI10" i="1" s="1"/>
  <c r="T251" i="2" s="1"/>
  <c r="DI37" i="1" a="1"/>
  <c r="DI37" i="1" s="1"/>
  <c r="T278" i="2" s="1"/>
  <c r="DI11" i="1" a="1"/>
  <c r="DI11" i="1" s="1"/>
  <c r="T252" i="2" s="1"/>
  <c r="DI16" i="1" a="1"/>
  <c r="DI16" i="1" s="1"/>
  <c r="T257" i="2" s="1"/>
  <c r="DI12" i="1" a="1"/>
  <c r="DI12" i="1" s="1"/>
  <c r="T253" i="2" s="1"/>
  <c r="DI17" i="1" a="1"/>
  <c r="DI17" i="1" s="1"/>
  <c r="T258" i="2" s="1"/>
  <c r="DI33" i="1" a="1"/>
  <c r="DI33" i="1" s="1"/>
  <c r="T274" i="2" s="1"/>
  <c r="DI36" i="1" a="1"/>
  <c r="DI36" i="1" s="1"/>
  <c r="T277" i="2" s="1"/>
  <c r="DI51" i="1" a="1"/>
  <c r="DI51" i="1" s="1"/>
  <c r="DI18" i="1" a="1"/>
  <c r="DI18" i="1" s="1"/>
  <c r="T259" i="2" s="1"/>
  <c r="DI39" i="1" a="1"/>
  <c r="DI39" i="1" s="1"/>
  <c r="DI4" i="1" a="1"/>
  <c r="DI4" i="1" s="1"/>
  <c r="T245" i="2" s="1"/>
  <c r="DI8" i="1" a="1"/>
  <c r="DI8" i="1" s="1"/>
  <c r="T249" i="2" s="1"/>
  <c r="DI29" i="1" a="1"/>
  <c r="DI29" i="1" s="1"/>
  <c r="T270" i="2" s="1"/>
  <c r="DI31" i="1" a="1"/>
  <c r="DI31" i="1" s="1"/>
  <c r="T272" i="2" s="1"/>
  <c r="DI45" i="1" a="1"/>
  <c r="DI45" i="1" s="1"/>
  <c r="DI24" i="1" a="1"/>
  <c r="DI24" i="1" s="1"/>
  <c r="T265" i="2" s="1"/>
  <c r="DI57" i="1" a="1"/>
  <c r="DI57" i="1" s="1"/>
  <c r="DI48" i="1" a="1"/>
  <c r="DI48" i="1" s="1"/>
  <c r="DI52" i="1" a="1"/>
  <c r="DI52" i="1" s="1"/>
  <c r="DI9" i="1" a="1"/>
  <c r="DI9" i="1" s="1"/>
  <c r="T250" i="2" s="1"/>
  <c r="DI20" i="1" a="1"/>
  <c r="DI20" i="1" s="1"/>
  <c r="T261" i="2" s="1"/>
  <c r="DI35" i="1" a="1"/>
  <c r="DI35" i="1" s="1"/>
  <c r="T276" i="2" s="1"/>
  <c r="DI43" i="1" a="1"/>
  <c r="DI43" i="1" s="1"/>
  <c r="DI44" i="1" a="1"/>
  <c r="DI44" i="1" s="1"/>
  <c r="DI25" i="1" a="1"/>
  <c r="DI25" i="1" s="1"/>
  <c r="T266" i="2" s="1"/>
  <c r="DI34" i="1" a="1"/>
  <c r="DI34" i="1" s="1"/>
  <c r="T275" i="2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T260" i="2" s="1"/>
  <c r="DI32" i="1" a="1"/>
  <c r="DI32" i="1" s="1"/>
  <c r="T273" i="2" s="1"/>
  <c r="DI47" i="1" a="1"/>
  <c r="DI47" i="1" s="1"/>
  <c r="DI2" i="1" a="1"/>
  <c r="DI2" i="1" s="1"/>
  <c r="T243" i="2" s="1"/>
  <c r="DI38" i="1" a="1"/>
  <c r="DI38" i="1" s="1"/>
  <c r="T279" i="2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H27" i="2"/>
  <c r="H24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28" i="2"/>
  <c r="H15" i="2"/>
  <c r="H16" i="2"/>
  <c r="H11" i="2"/>
  <c r="H9" i="2"/>
  <c r="DO59" i="1" a="1"/>
  <c r="DO59" i="1" s="1"/>
  <c r="E9" i="2"/>
  <c r="E5" i="2"/>
  <c r="E3" i="2"/>
  <c r="E8" i="2"/>
  <c r="E6" i="2"/>
  <c r="E7" i="2"/>
  <c r="E4" i="2"/>
  <c r="BR13" i="1"/>
  <c r="BP20" i="1" s="1"/>
  <c r="BP21" i="1" s="1"/>
  <c r="DK59" i="1" a="1"/>
  <c r="DK59" i="1" s="1"/>
  <c r="F9" i="2"/>
  <c r="F7" i="2"/>
  <c r="F4" i="2"/>
  <c r="F6" i="2"/>
  <c r="F5" i="2"/>
  <c r="F3" i="2"/>
  <c r="F8" i="2"/>
  <c r="DP59" i="1" a="1"/>
  <c r="DP59" i="1" s="1"/>
  <c r="DJ59" i="1" a="1"/>
  <c r="DJ59" i="1" s="1"/>
  <c r="H17" i="2" l="1"/>
  <c r="H39" i="2"/>
  <c r="H37" i="2"/>
  <c r="H25" i="2"/>
  <c r="H30" i="2"/>
  <c r="H32" i="2"/>
  <c r="T392" i="2"/>
  <c r="H6" i="2"/>
  <c r="H13" i="2"/>
  <c r="H10" i="2"/>
  <c r="H21" i="2"/>
  <c r="J21" i="2" s="1"/>
  <c r="H19" i="2"/>
  <c r="T742" i="2"/>
  <c r="T503" i="2"/>
  <c r="H14" i="2"/>
  <c r="I14" i="2" s="1"/>
  <c r="H5" i="2"/>
  <c r="J5" i="2" s="1"/>
  <c r="H20" i="2"/>
  <c r="I20" i="2" s="1"/>
  <c r="T859" i="2"/>
  <c r="T696" i="2"/>
  <c r="H34" i="2"/>
  <c r="T872" i="2"/>
  <c r="T615" i="2"/>
  <c r="T613" i="2"/>
  <c r="T633" i="2"/>
  <c r="T627" i="2"/>
  <c r="T844" i="2"/>
  <c r="T692" i="2"/>
  <c r="T328" i="2"/>
  <c r="T554" i="2"/>
  <c r="T756" i="2"/>
  <c r="T867" i="2"/>
  <c r="T744" i="2"/>
  <c r="T637" i="2"/>
  <c r="T750" i="2"/>
  <c r="T621" i="2"/>
  <c r="T784" i="2"/>
  <c r="T749" i="2"/>
  <c r="T88" i="2"/>
  <c r="T433" i="2"/>
  <c r="T89" i="2"/>
  <c r="T674" i="2"/>
  <c r="T877" i="2"/>
  <c r="T398" i="2"/>
  <c r="T376" i="2"/>
  <c r="T87" i="2"/>
  <c r="T377" i="2"/>
  <c r="T818" i="2"/>
  <c r="T611" i="2"/>
  <c r="T504" i="2"/>
  <c r="T817" i="2"/>
  <c r="T544" i="2"/>
  <c r="T629" i="2"/>
  <c r="T456" i="2"/>
  <c r="T384" i="2"/>
  <c r="T856" i="2"/>
  <c r="T64" i="2"/>
  <c r="T74" i="2"/>
  <c r="T454" i="2"/>
  <c r="T326" i="2"/>
  <c r="T793" i="2"/>
  <c r="T576" i="2"/>
  <c r="T755" i="2"/>
  <c r="T517" i="2"/>
  <c r="T333" i="2"/>
  <c r="T609" i="2"/>
  <c r="T507" i="2"/>
  <c r="T688" i="2"/>
  <c r="T385" i="2"/>
  <c r="T738" i="2"/>
  <c r="T798" i="2"/>
  <c r="T334" i="2"/>
  <c r="T94" i="2"/>
  <c r="T736" i="2"/>
  <c r="T616" i="2"/>
  <c r="T316" i="2"/>
  <c r="T728" i="2"/>
  <c r="T620" i="2"/>
  <c r="T560" i="2"/>
  <c r="T751" i="2"/>
  <c r="T874" i="2"/>
  <c r="T330" i="2"/>
  <c r="T305" i="2"/>
  <c r="T383" i="2"/>
  <c r="T804" i="2"/>
  <c r="T748" i="2"/>
  <c r="T97" i="2"/>
  <c r="T442" i="2"/>
  <c r="T434" i="2"/>
  <c r="T447" i="2"/>
  <c r="T436" i="2"/>
  <c r="T552" i="2"/>
  <c r="T737" i="2"/>
  <c r="T519" i="2"/>
  <c r="T323" i="2"/>
  <c r="T628" i="2"/>
  <c r="T96" i="2"/>
  <c r="T371" i="2"/>
  <c r="T813" i="2"/>
  <c r="T375" i="2"/>
  <c r="T91" i="2"/>
  <c r="T795" i="2"/>
  <c r="T676" i="2"/>
  <c r="T498" i="2"/>
  <c r="T556" i="2"/>
  <c r="T726" i="2"/>
  <c r="T430" i="2"/>
  <c r="T548" i="2"/>
  <c r="T324" i="2"/>
  <c r="T854" i="2"/>
  <c r="T862" i="2"/>
  <c r="T493" i="2"/>
  <c r="T70" i="2"/>
  <c r="T435" i="2"/>
  <c r="T98" i="2"/>
  <c r="T397" i="2"/>
  <c r="T491" i="2"/>
  <c r="T792" i="2"/>
  <c r="T690" i="2"/>
  <c r="T870" i="2"/>
  <c r="T547" i="2"/>
  <c r="T607" i="2"/>
  <c r="T543" i="2"/>
  <c r="H35" i="2"/>
  <c r="I35" i="2" s="1"/>
  <c r="T635" i="2"/>
  <c r="T695" i="2"/>
  <c r="H26" i="2"/>
  <c r="J26" i="2" s="1"/>
  <c r="T746" i="2"/>
  <c r="T724" i="2"/>
  <c r="T604" i="2"/>
  <c r="T740" i="2"/>
  <c r="T858" i="2"/>
  <c r="T625" i="2"/>
  <c r="T315" i="2"/>
  <c r="T739" i="2"/>
  <c r="T671" i="2"/>
  <c r="T489" i="2"/>
  <c r="T311" i="2"/>
  <c r="T800" i="2"/>
  <c r="T380" i="2"/>
  <c r="T852" i="2"/>
  <c r="T426" i="2"/>
  <c r="T68" i="2"/>
  <c r="T399" i="2"/>
  <c r="T806" i="2"/>
  <c r="T553" i="2"/>
  <c r="T812" i="2"/>
  <c r="T610" i="2"/>
  <c r="T445" i="2"/>
  <c r="T567" i="2"/>
  <c r="T799" i="2"/>
  <c r="T379" i="2"/>
  <c r="T512" i="2"/>
  <c r="T634" i="2"/>
  <c r="T727" i="2"/>
  <c r="T514" i="2"/>
  <c r="T95" i="2"/>
  <c r="T758" i="2"/>
  <c r="T450" i="2"/>
  <c r="T75" i="2"/>
  <c r="T304" i="2"/>
  <c r="T810" i="2"/>
  <c r="T685" i="2"/>
  <c r="T516" i="2"/>
  <c r="T865" i="2"/>
  <c r="T606" i="2"/>
  <c r="T490" i="2"/>
  <c r="T488" i="2"/>
  <c r="T312" i="2"/>
  <c r="T732" i="2"/>
  <c r="T783" i="2"/>
  <c r="H23" i="2"/>
  <c r="T797" i="2"/>
  <c r="T77" i="2"/>
  <c r="H31" i="2"/>
  <c r="J31" i="2" s="1"/>
  <c r="T511" i="2"/>
  <c r="T372" i="2"/>
  <c r="T617" i="2"/>
  <c r="T757" i="2"/>
  <c r="T367" i="2"/>
  <c r="T673" i="2"/>
  <c r="T729" i="2"/>
  <c r="T429" i="2"/>
  <c r="T66" i="2"/>
  <c r="T308" i="2"/>
  <c r="T446" i="2"/>
  <c r="T664" i="2"/>
  <c r="T575" i="2"/>
  <c r="T622" i="2"/>
  <c r="T691" i="2"/>
  <c r="T396" i="2"/>
  <c r="T803" i="2"/>
  <c r="T819" i="2"/>
  <c r="T802" i="2"/>
  <c r="T572" i="2"/>
  <c r="T496" i="2"/>
  <c r="T99" i="2"/>
  <c r="T557" i="2"/>
  <c r="T515" i="2"/>
  <c r="T365" i="2"/>
  <c r="T687" i="2"/>
  <c r="T321" i="2"/>
  <c r="T631" i="2"/>
  <c r="T551" i="2"/>
  <c r="T432" i="2"/>
  <c r="T663" i="2"/>
  <c r="T682" i="2"/>
  <c r="T307" i="2"/>
  <c r="T848" i="2"/>
  <c r="T86" i="2"/>
  <c r="T612" i="2"/>
  <c r="H38" i="2"/>
  <c r="J38" i="2" s="1"/>
  <c r="T638" i="2"/>
  <c r="H29" i="2"/>
  <c r="J29" i="2" s="1"/>
  <c r="T509" i="2"/>
  <c r="H33" i="2"/>
  <c r="T513" i="2"/>
  <c r="H36" i="2"/>
  <c r="J36" i="2" s="1"/>
  <c r="T876" i="2"/>
  <c r="T499" i="2"/>
  <c r="T809" i="2"/>
  <c r="T723" i="2"/>
  <c r="T69" i="2"/>
  <c r="T747" i="2"/>
  <c r="T869" i="2"/>
  <c r="T678" i="2"/>
  <c r="T431" i="2"/>
  <c r="T428" i="2"/>
  <c r="T93" i="2"/>
  <c r="T679" i="2"/>
  <c r="T735" i="2"/>
  <c r="T632" i="2"/>
  <c r="T850" i="2"/>
  <c r="T368" i="2"/>
  <c r="T85" i="2"/>
  <c r="T437" i="2"/>
  <c r="T801" i="2"/>
  <c r="T568" i="2"/>
  <c r="T846" i="2"/>
  <c r="T558" i="2"/>
  <c r="T424" i="2"/>
  <c r="T518" i="2"/>
  <c r="T78" i="2"/>
  <c r="T449" i="2"/>
  <c r="T370" i="2"/>
  <c r="T483" i="2"/>
  <c r="T508" i="2"/>
  <c r="T734" i="2"/>
  <c r="T381" i="2"/>
  <c r="T686" i="2"/>
  <c r="T731" i="2"/>
  <c r="T549" i="2"/>
  <c r="T317" i="2"/>
  <c r="T843" i="2"/>
  <c r="T453" i="2"/>
  <c r="T76" i="2"/>
  <c r="T814" i="2"/>
  <c r="T689" i="2"/>
  <c r="T680" i="2"/>
  <c r="T425" i="2"/>
  <c r="T698" i="2"/>
  <c r="T382" i="2"/>
  <c r="T562" i="2"/>
  <c r="T579" i="2"/>
  <c r="T879" i="2"/>
  <c r="T390" i="2"/>
  <c r="T759" i="2"/>
  <c r="T322" i="2"/>
  <c r="T808" i="2"/>
  <c r="T339" i="2"/>
  <c r="T571" i="2"/>
  <c r="T335" i="2"/>
  <c r="T619" i="2"/>
  <c r="T807" i="2"/>
  <c r="T327" i="2"/>
  <c r="T545" i="2"/>
  <c r="T492" i="2"/>
  <c r="T378" i="2"/>
  <c r="T815" i="2"/>
  <c r="T451" i="2"/>
  <c r="T860" i="2"/>
  <c r="T329" i="2"/>
  <c r="T369" i="2"/>
  <c r="T393" i="2"/>
  <c r="T318" i="2"/>
  <c r="T603" i="2"/>
  <c r="T670" i="2"/>
  <c r="T438" i="2"/>
  <c r="T395" i="2"/>
  <c r="T314" i="2"/>
  <c r="T668" i="2"/>
  <c r="T694" i="2"/>
  <c r="T569" i="2"/>
  <c r="T626" i="2"/>
  <c r="T320" i="2"/>
  <c r="T847" i="2"/>
  <c r="T866" i="2"/>
  <c r="T816" i="2"/>
  <c r="T90" i="2"/>
  <c r="T83" i="2"/>
  <c r="T573" i="2"/>
  <c r="T608" i="2"/>
  <c r="T623" i="2"/>
  <c r="T555" i="2"/>
  <c r="T366" i="2"/>
  <c r="H7" i="2"/>
  <c r="H12" i="2"/>
  <c r="J12" i="2" s="1"/>
  <c r="T388" i="2"/>
  <c r="T550" i="2"/>
  <c r="T790" i="2"/>
  <c r="T494" i="2"/>
  <c r="T374" i="2"/>
  <c r="T81" i="2"/>
  <c r="T441" i="2"/>
  <c r="T741" i="2"/>
  <c r="T754" i="2"/>
  <c r="T794" i="2"/>
  <c r="T459" i="2"/>
  <c r="T444" i="2"/>
  <c r="T605" i="2"/>
  <c r="T502" i="2"/>
  <c r="T681" i="2"/>
  <c r="T578" i="2"/>
  <c r="T725" i="2"/>
  <c r="T624" i="2"/>
  <c r="T665" i="2"/>
  <c r="T331" i="2"/>
  <c r="T845" i="2"/>
  <c r="T303" i="2"/>
  <c r="T457" i="2"/>
  <c r="T788" i="2"/>
  <c r="T636" i="2"/>
  <c r="T675" i="2"/>
  <c r="T319" i="2"/>
  <c r="T485" i="2"/>
  <c r="T561" i="2"/>
  <c r="T563" i="2"/>
  <c r="T455" i="2"/>
  <c r="T65" i="2"/>
  <c r="T386" i="2"/>
  <c r="T574" i="2"/>
  <c r="T667" i="2"/>
  <c r="T487" i="2"/>
  <c r="T693" i="2"/>
  <c r="T752" i="2"/>
  <c r="T565" i="2"/>
  <c r="T440" i="2"/>
  <c r="T861" i="2"/>
  <c r="T79" i="2"/>
  <c r="T306" i="2"/>
  <c r="T546" i="2"/>
  <c r="T789" i="2"/>
  <c r="T669" i="2"/>
  <c r="T373" i="2"/>
  <c r="T313" i="2"/>
  <c r="T733" i="2"/>
  <c r="T683" i="2"/>
  <c r="T566" i="2"/>
  <c r="T787" i="2"/>
  <c r="T853" i="2"/>
  <c r="T618" i="2"/>
  <c r="T577" i="2"/>
  <c r="T71" i="2"/>
  <c r="T805" i="2"/>
  <c r="T791" i="2"/>
  <c r="T745" i="2"/>
  <c r="T672" i="2"/>
  <c r="T559" i="2"/>
  <c r="T786" i="2"/>
  <c r="T871" i="2"/>
  <c r="T743" i="2"/>
  <c r="T863" i="2"/>
  <c r="T452" i="2"/>
  <c r="T309" i="2"/>
  <c r="T63" i="2"/>
  <c r="T510" i="2"/>
  <c r="T497" i="2"/>
  <c r="T391" i="2"/>
  <c r="T864" i="2"/>
  <c r="T753" i="2"/>
  <c r="T364" i="2"/>
  <c r="T564" i="2"/>
  <c r="T82" i="2"/>
  <c r="T448" i="2"/>
  <c r="T666" i="2"/>
  <c r="T630" i="2"/>
  <c r="T336" i="2"/>
  <c r="T84" i="2"/>
  <c r="T697" i="2"/>
  <c r="T730" i="2"/>
  <c r="T338" i="2"/>
  <c r="T325" i="2"/>
  <c r="T639" i="2"/>
  <c r="T423" i="2"/>
  <c r="T855" i="2"/>
  <c r="T878" i="2"/>
  <c r="T857" i="2"/>
  <c r="T92" i="2"/>
  <c r="T80" i="2"/>
  <c r="T67" i="2"/>
  <c r="T484" i="2"/>
  <c r="J45" i="2"/>
  <c r="I45" i="2"/>
  <c r="DF59" i="1" a="1"/>
  <c r="DF59" i="1" s="1"/>
  <c r="H4" i="2"/>
  <c r="J4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I27" i="2"/>
  <c r="J27" i="2"/>
  <c r="J10" i="2"/>
  <c r="I10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I38" i="2"/>
  <c r="J33" i="2"/>
  <c r="I33" i="2"/>
  <c r="I16" i="2"/>
  <c r="J16" i="2"/>
  <c r="I22" i="2"/>
  <c r="J22" i="2"/>
  <c r="J28" i="2"/>
  <c r="I28" i="2"/>
  <c r="I30" i="2"/>
  <c r="J30" i="2"/>
  <c r="J34" i="2"/>
  <c r="I34" i="2"/>
  <c r="BQ28" i="1"/>
  <c r="I6" i="2"/>
  <c r="J6" i="2"/>
  <c r="BP9" i="1"/>
  <c r="I8" i="2"/>
  <c r="J8" i="2"/>
  <c r="J9" i="2"/>
  <c r="I9" i="2"/>
  <c r="J7" i="2"/>
  <c r="I7" i="2"/>
  <c r="J14" i="2" l="1"/>
  <c r="I21" i="2"/>
  <c r="I5" i="2"/>
  <c r="I31" i="2"/>
  <c r="J20" i="2"/>
  <c r="J35" i="2"/>
  <c r="I12" i="2"/>
  <c r="I36" i="2"/>
  <c r="I26" i="2"/>
  <c r="I4" i="2"/>
  <c r="AE2" i="1" a="1"/>
  <c r="I3" i="2"/>
  <c r="BP28" i="1"/>
  <c r="BR29" i="1" s="1"/>
  <c r="BP10" i="1"/>
  <c r="BP14" i="1" s="1"/>
  <c r="BP13" i="1"/>
  <c r="I60" i="2" l="1"/>
  <c r="AE2" i="1"/>
  <c r="AE8" i="1"/>
  <c r="AE5" i="1"/>
  <c r="T180" i="2" s="1"/>
  <c r="AE6" i="1"/>
  <c r="T240" i="2" s="1"/>
  <c r="AE13" i="1"/>
  <c r="AE9" i="1"/>
  <c r="AE12" i="1"/>
  <c r="AE16" i="1"/>
  <c r="AE4" i="1"/>
  <c r="H60" i="2" s="1"/>
  <c r="AE15" i="1"/>
  <c r="AE11" i="1"/>
  <c r="AE7" i="1"/>
  <c r="T300" i="2" s="1"/>
  <c r="AE3" i="1"/>
  <c r="T60" i="2" s="1"/>
  <c r="AE14" i="1"/>
  <c r="AE10" i="1"/>
  <c r="BR27" i="1"/>
  <c r="BP12" i="1"/>
  <c r="T840" i="2" l="1"/>
  <c r="T660" i="2"/>
  <c r="T480" i="2"/>
  <c r="T780" i="2"/>
  <c r="T360" i="2"/>
  <c r="T900" i="2"/>
  <c r="T540" i="2"/>
  <c r="T720" i="2"/>
  <c r="T120" i="2"/>
  <c r="T600" i="2"/>
  <c r="T420" i="2"/>
  <c r="BP47" i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<sst xmlns="http://schemas.openxmlformats.org/spreadsheetml/2006/main" count="1986" uniqueCount="254">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</sst>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18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4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zoomScale="85" zoomScaleNormal="85" workbookViewId="0">
      <pane xSplit="2" topLeftCell="C1" activePane="topRight" state="frozen"/>
      <selection pane="topRight" activeCell="Z17" sqref="Z1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1" t="s">
        <v>5</v>
      </c>
      <c r="O1" s="212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 t="str">
        <v>R6</v>
      </c>
      <c r="AO1" s="62" t="str">
        <v>R7</v>
      </c>
      <c r="AP1" s="19" t="str">
        <v>R8</v>
      </c>
      <c r="AQ1" s="19" t="str">
        <v>R9</v>
      </c>
      <c r="AR1" s="19" t="str">
        <v>R10</v>
      </c>
      <c r="AS1" s="19" t="str">
        <v>R11</v>
      </c>
      <c r="AT1" s="19" t="str">
        <v>R12</v>
      </c>
      <c r="AU1" s="19" t="str">
        <v>R13</v>
      </c>
      <c r="AV1" s="20" t="str">
        <v>R14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 t="str">
        <f t="shared" si="0"/>
        <v>R6</v>
      </c>
      <c r="BF1" s="62" t="str">
        <f t="shared" si="0"/>
        <v>R7</v>
      </c>
      <c r="BG1" s="19" t="str">
        <f t="shared" si="0"/>
        <v>R8</v>
      </c>
      <c r="BH1" s="19" t="str">
        <f t="shared" si="0"/>
        <v>R9</v>
      </c>
      <c r="BI1" s="19" t="str">
        <f t="shared" si="0"/>
        <v>R10</v>
      </c>
      <c r="BJ1" s="19" t="str">
        <f t="shared" si="0"/>
        <v>R11</v>
      </c>
      <c r="BK1" s="19" t="str">
        <f t="shared" si="0"/>
        <v>R12</v>
      </c>
      <c r="BL1" s="19" t="str">
        <f t="shared" si="0"/>
        <v>R13</v>
      </c>
      <c r="BM1" s="20" t="str">
        <f t="shared" si="0"/>
        <v>R14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 t="str">
        <f t="shared" si="1"/>
        <v>R6</v>
      </c>
      <c r="CC1" s="62" t="str">
        <f t="shared" si="1"/>
        <v>R7</v>
      </c>
      <c r="CD1" s="19" t="str">
        <f t="shared" si="1"/>
        <v>R8</v>
      </c>
      <c r="CE1" s="19" t="str">
        <f t="shared" si="1"/>
        <v>R9</v>
      </c>
      <c r="CF1" s="19" t="str">
        <f t="shared" si="1"/>
        <v>R10</v>
      </c>
      <c r="CG1" s="19" t="str">
        <f t="shared" si="1"/>
        <v>R11</v>
      </c>
      <c r="CH1" s="19" t="str">
        <f t="shared" si="1"/>
        <v>R12</v>
      </c>
      <c r="CI1" s="19" t="str">
        <f t="shared" si="1"/>
        <v>R13</v>
      </c>
      <c r="CJ1" s="20" t="str">
        <f t="shared" si="1"/>
        <v>R14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 t="str">
        <f t="shared" ref="CS1" si="8">BE1</f>
        <v>R6</v>
      </c>
      <c r="CT1" s="62" t="str">
        <f t="shared" ref="CT1" si="9">BF1</f>
        <v>R7</v>
      </c>
      <c r="CU1" s="19" t="str">
        <f t="shared" ref="CU1" si="10">BG1</f>
        <v>R8</v>
      </c>
      <c r="CV1" s="19" t="str">
        <f t="shared" ref="CV1" si="11">BH1</f>
        <v>R9</v>
      </c>
      <c r="CW1" s="19" t="str">
        <f t="shared" ref="CW1" si="12">BI1</f>
        <v>R10</v>
      </c>
      <c r="CX1" s="19" t="str">
        <f t="shared" ref="CX1" si="13">BJ1</f>
        <v>R11</v>
      </c>
      <c r="CY1" s="19" t="str">
        <f t="shared" ref="CY1" si="14">BK1</f>
        <v>R12</v>
      </c>
      <c r="CZ1" s="19" t="str">
        <f t="shared" ref="CZ1" si="15">BL1</f>
        <v>R13</v>
      </c>
      <c r="DA1" s="20" t="str">
        <f t="shared" ref="DA1" si="16">BM1</f>
        <v>R14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 t="str">
        <f t="shared" si="17"/>
        <v>R6</v>
      </c>
      <c r="DK1" s="62" t="str">
        <f t="shared" si="17"/>
        <v>R7</v>
      </c>
      <c r="DL1" s="19" t="str">
        <f t="shared" si="17"/>
        <v>R8</v>
      </c>
      <c r="DM1" s="19" t="str">
        <f t="shared" si="17"/>
        <v>R9</v>
      </c>
      <c r="DN1" s="19" t="str">
        <f t="shared" si="17"/>
        <v>R10</v>
      </c>
      <c r="DO1" s="19" t="str">
        <f t="shared" si="17"/>
        <v>R11</v>
      </c>
      <c r="DP1" s="19" t="str">
        <f t="shared" si="17"/>
        <v>R12</v>
      </c>
      <c r="DQ1" s="19" t="str">
        <f t="shared" si="17"/>
        <v>R13</v>
      </c>
      <c r="DR1" s="20" t="str">
        <f t="shared" si="17"/>
        <v>R14</v>
      </c>
    </row>
    <row r="2" spans="1:138" ht="17.25" customHeight="1" thickBot="1" x14ac:dyDescent="0.35">
      <c r="A2" s="213">
        <v>1</v>
      </c>
      <c r="B2" s="125" t="s">
        <v>86</v>
      </c>
      <c r="C2" s="125" t="s">
        <v>87</v>
      </c>
      <c r="D2" s="126" t="s">
        <v>88</v>
      </c>
      <c r="E2" s="195" t="s">
        <v>89</v>
      </c>
      <c r="F2" s="201">
        <v>80</v>
      </c>
      <c r="G2" s="202">
        <v>77</v>
      </c>
      <c r="H2" s="202">
        <v>84</v>
      </c>
      <c r="I2" s="202">
        <v>87</v>
      </c>
      <c r="J2" s="202">
        <v>80</v>
      </c>
      <c r="K2" s="202">
        <v>72</v>
      </c>
      <c r="L2" s="202">
        <v>69</v>
      </c>
      <c r="M2" s="208">
        <v>61</v>
      </c>
      <c r="N2" s="201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3">
        <v>0</v>
      </c>
      <c r="P2" s="198">
        <v>1</v>
      </c>
      <c r="Q2" s="127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8">
        <v>4.25</v>
      </c>
      <c r="Z2" s="86" t="s">
        <v>244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29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30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30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30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30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30">
        <f t="array" ref="AM2">IF(AM$1=0,"",SQRT((_xlfn.XLOOKUP(AM$1,$Z$2:$Z$18,$AA$2:$AA$18)-$T2)^2+(_xlfn.XLOOKUP(AM$1,$Z$2:$Z$18,$AB$2:$AB$18)-$U2)^2+(_xlfn.XLOOKUP(AM$1,$Z$2:$Z$18,$AC$2:$AC$18-$V2)^2)))</f>
        <v>148.01165933804</v>
      </c>
      <c r="AN2" s="130">
        <f t="array" ref="AN2">IF(AN$1=0,"",SQRT((_xlfn.XLOOKUP(AN$1,$Z$2:$Z$18,$AA$2:$AA$18)-$T2)^2+(_xlfn.XLOOKUP(AN$1,$Z$2:$Z$18,$AB$2:$AB$18)-$U2)^2+(_xlfn.XLOOKUP(AN$1,$Z$2:$Z$18,$AC$2:$AC$18-$V2)^2)))</f>
        <v>162.17633951967221</v>
      </c>
      <c r="AO2" s="130">
        <f t="array" ref="AO2">IF(AO$1=0,"",SQRT((_xlfn.XLOOKUP(AO$1,$Z$2:$Z$18,$AA$2:$AA$18)-$T2)^2+(_xlfn.XLOOKUP(AO$1,$Z$2:$Z$18,$AB$2:$AB$18)-$U2)^2+(_xlfn.XLOOKUP(AO$1,$Z$2:$Z$18,$AC$2:$AC$18-$V2)^2)))</f>
        <v>162.17633951967221</v>
      </c>
      <c r="AP2" s="131">
        <f t="array" ref="AP2">IF(AP$1=0,"",SQRT((_xlfn.XLOOKUP(AP$1,$Z$2:$Z$18,$AA$2:$AA$18)-$T2)^2+(_xlfn.XLOOKUP(AP$1,$Z$2:$Z$18,$AB$2:$AB$18)-$U2)^2+(_xlfn.XLOOKUP(AP$1,$Z$2:$Z$18,$AC$2:$AC$18-$V2)^2)))</f>
        <v>162.17633951967221</v>
      </c>
      <c r="AQ2" s="131">
        <f t="array" ref="AQ2">IF(AQ$1=0,"",SQRT((_xlfn.XLOOKUP(AQ$1,$Z$2:$Z$18,$AA$2:$AA$18)-$T2)^2+(_xlfn.XLOOKUP(AQ$1,$Z$2:$Z$18,$AB$2:$AB$18)-$U2)^2+(_xlfn.XLOOKUP(AQ$1,$Z$2:$Z$18,$AC$2:$AC$18-$V2)^2)))</f>
        <v>162.17633951967221</v>
      </c>
      <c r="AR2" s="131">
        <f t="array" ref="AR2">IF(AR$1=0,"",SQRT((_xlfn.XLOOKUP(AR$1,$Z$2:$Z$18,$AA$2:$AA$18)-$T2)^2+(_xlfn.XLOOKUP(AR$1,$Z$2:$Z$18,$AB$2:$AB$18)-$U2)^2+(_xlfn.XLOOKUP(AR$1,$Z$2:$Z$18,$AC$2:$AC$18-$V2)^2)))</f>
        <v>162.17633951967221</v>
      </c>
      <c r="AS2" s="131">
        <f t="array" ref="AS2">IF(AS$1=0,"",SQRT((_xlfn.XLOOKUP(AS$1,$Z$2:$Z$18,$AA$2:$AA$18)-$T2)^2+(_xlfn.XLOOKUP(AS$1,$Z$2:$Z$18,$AB$2:$AB$18)-$U2)^2+(_xlfn.XLOOKUP(AS$1,$Z$2:$Z$18,$AC$2:$AC$18-$V2)^2)))</f>
        <v>162.17633951967221</v>
      </c>
      <c r="AT2" s="131">
        <f t="array" ref="AT2">IF(AT$1=0,"",SQRT((_xlfn.XLOOKUP(AT$1,$Z$2:$Z$18,$AA$2:$AA$18)-$T2)^2+(_xlfn.XLOOKUP(AT$1,$Z$2:$Z$18,$AB$2:$AB$18)-$U2)^2+(_xlfn.XLOOKUP(AT$1,$Z$2:$Z$18,$AC$2:$AC$18-$V2)^2)))</f>
        <v>162.17633951967221</v>
      </c>
      <c r="AU2" s="131">
        <f t="array" ref="AU2">IF(AU$1=0,"",SQRT((_xlfn.XLOOKUP(AU$1,$Z$2:$Z$18,$AA$2:$AA$18)-$T2)^2+(_xlfn.XLOOKUP(AU$1,$Z$2:$Z$18,$AB$2:$AB$18)-$U2)^2+(_xlfn.XLOOKUP(AU$1,$Z$2:$Z$18,$AC$2:$AC$18-$V2)^2)))</f>
        <v>162.17633951967221</v>
      </c>
      <c r="AV2" s="132">
        <f t="array" ref="AV2">IF(AV$1=0,"",SQRT((_xlfn.XLOOKUP(AV$1,$Z$2:$Z$18,$AA$2:$AA$18)-$T2)^2+(_xlfn.XLOOKUP(AV$1,$Z$2:$Z$18,$AB$2:$AB$18)-$U2)^2+(_xlfn.XLOOKUP(AV$1,$Z$2:$Z$18,$AC$2:$AC$18-$V2)^2)))</f>
        <v>162.17633951967221</v>
      </c>
      <c r="AW2" s="133"/>
      <c r="AX2" s="133" t="s">
        <v>20</v>
      </c>
      <c r="AY2" s="134">
        <f t="shared" ref="AY2:AY33" si="19">IFERROR(-ABS(10*LOG10(($R2/(4*PI()*CONVERT(AH2,"ft","m")^2)))),0)</f>
        <v>-41.861847811675339</v>
      </c>
      <c r="AZ2" s="135">
        <f t="shared" ref="AZ2:AZ33" si="20">IFERROR(-ABS(10*LOG10(($R2/(4*PI()*CONVERT(AI2,"ft","m")^2)))),0)</f>
        <v>-34.897301781734754</v>
      </c>
      <c r="BA2" s="135">
        <f t="shared" ref="BA2:BA33" si="21">IFERROR(-ABS(10*LOG10(($R2/(4*PI()*CONVERT(AJ2,"ft","m")^2)))),0)</f>
        <v>-32.964044955593842</v>
      </c>
      <c r="BB2" s="135">
        <f t="shared" ref="BB2:BB33" si="22">IFERROR(-ABS(10*LOG10(($R2/(4*PI()*CONVERT(AK2,"ft","m")^2)))),0)</f>
        <v>-40.439355299602148</v>
      </c>
      <c r="BC2" s="135">
        <f t="shared" ref="BC2:BC33" si="23">IFERROR(-ABS(10*LOG10(($R2/(4*PI()*CONVERT(AL2,"ft","m")^2)))),0)</f>
        <v>-44.351086856046258</v>
      </c>
      <c r="BD2" s="135">
        <f t="shared" ref="BD2:BD33" si="24">IFERROR(-ABS(10*LOG10(($R2/(4*PI()*CONVERT(AM2,"ft","m")^2)))),0)</f>
        <v>-41.068016486281692</v>
      </c>
      <c r="BE2" s="135">
        <f t="shared" ref="BE2:BE33" si="25">IFERROR(-ABS(10*LOG10(($R2/(4*PI()*CONVERT(AN2,"ft","m")^2)))),0)</f>
        <v>-41.861847811675339</v>
      </c>
      <c r="BF2" s="135">
        <f t="shared" ref="BF2:BF33" si="26">IFERROR(-ABS(10*LOG10(($R2/(4*PI()*CONVERT(AO2,"ft","m")^2)))),0)</f>
        <v>-41.861847811675339</v>
      </c>
      <c r="BG2" s="136">
        <f t="shared" ref="BG2:BG33" si="27">IFERROR(-ABS(10*LOG10(($R2/(4*PI()*CONVERT(AP2,"ft","m")^2)))),0)</f>
        <v>-41.861847811675339</v>
      </c>
      <c r="BH2" s="136">
        <f t="shared" ref="BH2:BH33" si="28">IFERROR(-ABS(10*LOG10(($R2/(4*PI()*CONVERT(AQ2,"ft","m")^2)))),0)</f>
        <v>-41.861847811675339</v>
      </c>
      <c r="BI2" s="136">
        <f t="shared" ref="BI2:BI33" si="29">IFERROR(-ABS(10*LOG10(($R2/(4*PI()*CONVERT(AR2,"ft","m")^2)))),0)</f>
        <v>-41.861847811675339</v>
      </c>
      <c r="BJ2" s="136">
        <f t="shared" ref="BJ2:BJ33" si="30">IFERROR(-ABS(10*LOG10(($R2/(4*PI()*CONVERT(AS2,"ft","m")^2)))),0)</f>
        <v>-41.861847811675339</v>
      </c>
      <c r="BK2" s="136">
        <f t="shared" ref="BK2:BK33" si="31">IFERROR(-ABS(10*LOG10(($R2/(4*PI()*CONVERT(AT2,"ft","m")^2)))),0)</f>
        <v>-41.861847811675339</v>
      </c>
      <c r="BL2" s="136">
        <f t="shared" ref="BL2:BL33" si="32">IFERROR(-ABS(10*LOG10(($R2/(4*PI()*CONVERT(AU2,"ft","m")^2)))),0)</f>
        <v>-41.861847811675339</v>
      </c>
      <c r="BM2" s="137">
        <f t="shared" ref="BM2:BM33" si="33">IFERROR(-ABS(10*LOG10(($R2/(4*PI()*CONVERT(AV2,"ft","m")^2)))),0)</f>
        <v>-41.861847811675339</v>
      </c>
      <c r="BN2" s="133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3"/>
      <c r="BU2" s="138" t="s">
        <v>25</v>
      </c>
      <c r="BV2" s="139"/>
      <c r="BW2" s="139">
        <v>11.5</v>
      </c>
      <c r="BX2" s="139">
        <v>16.899999999999999</v>
      </c>
      <c r="BY2" s="139">
        <v>16.8</v>
      </c>
      <c r="BZ2" s="139">
        <v>17.399999999999999</v>
      </c>
      <c r="CA2" s="139">
        <v>14.3</v>
      </c>
      <c r="CB2" s="139"/>
      <c r="CC2" s="139"/>
      <c r="CD2" s="139"/>
      <c r="CE2" s="139"/>
      <c r="CF2" s="139"/>
      <c r="CG2" s="139"/>
      <c r="CH2" s="139"/>
      <c r="CI2" s="139"/>
      <c r="CJ2" s="139"/>
      <c r="CL2" s="138" t="s">
        <v>243</v>
      </c>
      <c r="CM2" s="139" t="s">
        <v>32</v>
      </c>
      <c r="CN2" s="139" t="s">
        <v>32</v>
      </c>
      <c r="CO2" s="139" t="s">
        <v>32</v>
      </c>
      <c r="CP2" s="139" t="s">
        <v>32</v>
      </c>
      <c r="CQ2" s="139" t="s">
        <v>32</v>
      </c>
      <c r="CR2" s="139" t="s">
        <v>32</v>
      </c>
      <c r="CS2" s="139"/>
      <c r="CT2" s="139"/>
      <c r="CU2" s="139"/>
      <c r="CV2" s="139"/>
      <c r="CW2" s="139"/>
      <c r="CX2" s="139"/>
      <c r="CY2" s="139"/>
      <c r="CZ2" s="139"/>
      <c r="DA2" s="139"/>
      <c r="DB2" s="133"/>
      <c r="DC2" s="133" t="s">
        <v>26</v>
      </c>
      <c r="DD2" s="140" cm="1">
        <f t="array" ref="DD2">_xlfn.IFS(DD$1= 0,"", NOT(ISBLANK(CM2)), 0, ISBLANK(CM2), $Q2-$S2+AY2-BV2)</f>
        <v>0</v>
      </c>
      <c r="DE2" s="141" cm="1">
        <f t="array" ref="DE2">_xlfn.IFS(DE$1= 0,"", NOT(ISBLANK(CN2)), 0, ISBLANK(CN2), $Q2-$S2+AZ2-BW2)</f>
        <v>0</v>
      </c>
      <c r="DF2" s="141" cm="1">
        <f t="array" ref="DF2">_xlfn.IFS(DF$1= 0,"", NOT(ISBLANK(CO2)), 0, ISBLANK(CO2), $Q2-$S2+BA2-BX2)</f>
        <v>0</v>
      </c>
      <c r="DG2" s="141" cm="1">
        <f t="array" ref="DG2">_xlfn.IFS(DG$1= 0,"", NOT(ISBLANK(CP2)), 0, ISBLANK(CP2), $Q2-$S2+BB2-BY2)</f>
        <v>0</v>
      </c>
      <c r="DH2" s="141" cm="1">
        <f t="array" ref="DH2">_xlfn.IFS(DH$1= 0,"", NOT(ISBLANK(CQ2)), 0, ISBLANK(CQ2), $Q2-$S2+BC2-BZ2)</f>
        <v>0</v>
      </c>
      <c r="DI2" s="141" cm="1">
        <f t="array" ref="DI2">_xlfn.IFS(DI$1= 0,"", NOT(ISBLANK(CR2)), 0, ISBLANK(CR2), $Q2-$S2+BD2-CA2)</f>
        <v>0</v>
      </c>
      <c r="DJ2" s="141" cm="1">
        <f t="array" ref="DJ2">_xlfn.IFS(DJ$1= 0,"", NOT(ISBLANK(CS2)), 0, ISBLANK(CS2), $Q2-$S2+BE2-CB2)</f>
        <v>44.138152188324661</v>
      </c>
      <c r="DK2" s="141" cm="1">
        <f t="array" ref="DK2">_xlfn.IFS(DK$1= 0,"", NOT(ISBLANK(CT2)), 0, ISBLANK(CT2), $Q2-$S2+BF2-CC2)</f>
        <v>44.138152188324661</v>
      </c>
      <c r="DL2" s="142" cm="1">
        <f t="array" ref="DL2">_xlfn.IFS(DL$1= 0,"", NOT(ISBLANK(CU2)), 0, ISBLANK(CU2), $Q2-$S2+BG2-CD2)</f>
        <v>44.138152188324661</v>
      </c>
      <c r="DM2" s="142" cm="1">
        <f t="array" ref="DM2">_xlfn.IFS(DM$1= 0,"", NOT(ISBLANK(CV2)), 0, ISBLANK(CV2), $Q2-$S2+BH2-CE2)</f>
        <v>44.138152188324661</v>
      </c>
      <c r="DN2" s="142" cm="1">
        <f t="array" ref="DN2">_xlfn.IFS(DN$1= 0,"", NOT(ISBLANK(CW2)), 0, ISBLANK(CW2), $Q2-$S2+BI2-CF2)</f>
        <v>44.138152188324661</v>
      </c>
      <c r="DO2" s="142" cm="1">
        <f t="array" ref="DO2">_xlfn.IFS(DO$1= 0,"", NOT(ISBLANK(CX2)), 0, ISBLANK(CX2), $Q2-$S2+BJ2-CG2)</f>
        <v>44.138152188324661</v>
      </c>
      <c r="DP2" s="142" cm="1">
        <f t="array" ref="DP2">_xlfn.IFS(DP$1= 0,"", NOT(ISBLANK(CY2)), 0, ISBLANK(CY2), $Q2-$S2+BK2-CH2)</f>
        <v>44.138152188324661</v>
      </c>
      <c r="DQ2" s="142" cm="1">
        <f t="array" ref="DQ2">_xlfn.IFS(DQ$1= 0,"", NOT(ISBLANK(CZ2)), 0, ISBLANK(CZ2), $Q2-$S2+BL2-CI2)</f>
        <v>44.138152188324661</v>
      </c>
      <c r="DR2" s="143" cm="1">
        <f t="array" ref="DR2">_xlfn.IFS(DR$1= 0,"", NOT(ISBLANK(DA2)), 0, ISBLANK(DA2), $Q2-$S2+BM2-CJ2)</f>
        <v>44.138152188324661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4">
        <v>1</v>
      </c>
      <c r="B3" s="125" t="s">
        <v>90</v>
      </c>
      <c r="C3" s="144" t="s">
        <v>91</v>
      </c>
      <c r="D3" s="126" t="s">
        <v>88</v>
      </c>
      <c r="E3" s="196" t="s">
        <v>92</v>
      </c>
      <c r="F3" s="204">
        <v>91</v>
      </c>
      <c r="G3" s="205">
        <v>92</v>
      </c>
      <c r="H3" s="205">
        <v>95</v>
      </c>
      <c r="I3" s="205">
        <v>89</v>
      </c>
      <c r="J3" s="205">
        <v>86</v>
      </c>
      <c r="K3" s="205">
        <v>76</v>
      </c>
      <c r="L3" s="205">
        <v>72</v>
      </c>
      <c r="M3" s="209">
        <v>67</v>
      </c>
      <c r="N3" s="20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6">
        <v>0</v>
      </c>
      <c r="P3" s="199">
        <v>1</v>
      </c>
      <c r="Q3" s="127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6">
        <v>2.5</v>
      </c>
      <c r="Z3" s="9" t="s">
        <v>144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7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8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8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8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8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8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8">
        <f t="array" ref="AN3">IF(AN$1=0,"",SQRT((_xlfn.XLOOKUP(AN$1,$Z$2:$Z$18,$AA$2:$AA$18)-$T3)^2+(_xlfn.XLOOKUP(AN$1,$Z$2:$Z$18,$AB$2:$AB$18)-$U3)^2+(_xlfn.XLOOKUP(AN$1,$Z$2:$Z$18,$AC$2:$AC$18-$V3)^2)))</f>
        <v>209.45316540935829</v>
      </c>
      <c r="AO3" s="148">
        <f t="array" ref="AO3">IF(AO$1=0,"",SQRT((_xlfn.XLOOKUP(AO$1,$Z$2:$Z$18,$AA$2:$AA$18)-$T3)^2+(_xlfn.XLOOKUP(AO$1,$Z$2:$Z$18,$AB$2:$AB$18)-$U3)^2+(_xlfn.XLOOKUP(AO$1,$Z$2:$Z$18,$AC$2:$AC$18-$V3)^2)))</f>
        <v>209.45316540935829</v>
      </c>
      <c r="AP3" s="149">
        <f t="array" ref="AP3">IF(AP$1=0,"",SQRT((_xlfn.XLOOKUP(AP$1,$Z$2:$Z$18,$AA$2:$AA$18)-$T3)^2+(_xlfn.XLOOKUP(AP$1,$Z$2:$Z$18,$AB$2:$AB$18)-$U3)^2+(_xlfn.XLOOKUP(AP$1,$Z$2:$Z$18,$AC$2:$AC$18-$V3)^2)))</f>
        <v>209.45316540935829</v>
      </c>
      <c r="AQ3" s="149">
        <f t="array" ref="AQ3">IF(AQ$1=0,"",SQRT((_xlfn.XLOOKUP(AQ$1,$Z$2:$Z$18,$AA$2:$AA$18)-$T3)^2+(_xlfn.XLOOKUP(AQ$1,$Z$2:$Z$18,$AB$2:$AB$18)-$U3)^2+(_xlfn.XLOOKUP(AQ$1,$Z$2:$Z$18,$AC$2:$AC$18-$V3)^2)))</f>
        <v>209.45316540935829</v>
      </c>
      <c r="AR3" s="149">
        <f t="array" ref="AR3">IF(AR$1=0,"",SQRT((_xlfn.XLOOKUP(AR$1,$Z$2:$Z$18,$AA$2:$AA$18)-$T3)^2+(_xlfn.XLOOKUP(AR$1,$Z$2:$Z$18,$AB$2:$AB$18)-$U3)^2+(_xlfn.XLOOKUP(AR$1,$Z$2:$Z$18,$AC$2:$AC$18-$V3)^2)))</f>
        <v>209.45316540935829</v>
      </c>
      <c r="AS3" s="149">
        <f t="array" ref="AS3">IF(AS$1=0,"",SQRT((_xlfn.XLOOKUP(AS$1,$Z$2:$Z$18,$AA$2:$AA$18)-$T3)^2+(_xlfn.XLOOKUP(AS$1,$Z$2:$Z$18,$AB$2:$AB$18)-$U3)^2+(_xlfn.XLOOKUP(AS$1,$Z$2:$Z$18,$AC$2:$AC$18-$V3)^2)))</f>
        <v>209.45316540935829</v>
      </c>
      <c r="AT3" s="149">
        <f t="array" ref="AT3">IF(AT$1=0,"",SQRT((_xlfn.XLOOKUP(AT$1,$Z$2:$Z$18,$AA$2:$AA$18)-$T3)^2+(_xlfn.XLOOKUP(AT$1,$Z$2:$Z$18,$AB$2:$AB$18)-$U3)^2+(_xlfn.XLOOKUP(AT$1,$Z$2:$Z$18,$AC$2:$AC$18-$V3)^2)))</f>
        <v>209.45316540935829</v>
      </c>
      <c r="AU3" s="149">
        <f t="array" ref="AU3">IF(AU$1=0,"",SQRT((_xlfn.XLOOKUP(AU$1,$Z$2:$Z$18,$AA$2:$AA$18)-$T3)^2+(_xlfn.XLOOKUP(AU$1,$Z$2:$Z$18,$AB$2:$AB$18)-$U3)^2+(_xlfn.XLOOKUP(AU$1,$Z$2:$Z$18,$AC$2:$AC$18-$V3)^2)))</f>
        <v>209.45316540935829</v>
      </c>
      <c r="AV3" s="150">
        <f t="array" ref="AV3">IF(AV$1=0,"",SQRT((_xlfn.XLOOKUP(AV$1,$Z$2:$Z$18,$AA$2:$AA$18)-$T3)^2+(_xlfn.XLOOKUP(AV$1,$Z$2:$Z$18,$AB$2:$AB$18)-$U3)^2+(_xlfn.XLOOKUP(AV$1,$Z$2:$Z$18,$AC$2:$AC$18-$V3)^2)))</f>
        <v>209.45316540935829</v>
      </c>
      <c r="AW3" s="133"/>
      <c r="AX3" s="61"/>
      <c r="AY3" s="134">
        <f t="shared" si="19"/>
        <v>-44.083836499383196</v>
      </c>
      <c r="AZ3" s="151">
        <f t="shared" si="20"/>
        <v>-39.696188219689965</v>
      </c>
      <c r="BA3" s="151">
        <f t="shared" si="21"/>
        <v>-36.846193221687557</v>
      </c>
      <c r="BB3" s="151">
        <f t="shared" si="22"/>
        <v>-39.122446445960684</v>
      </c>
      <c r="BC3" s="151">
        <f t="shared" si="23"/>
        <v>-42.255246051606584</v>
      </c>
      <c r="BD3" s="151">
        <f t="shared" si="24"/>
        <v>-42.251513538120584</v>
      </c>
      <c r="BE3" s="151">
        <f t="shared" si="25"/>
        <v>-44.083836499383196</v>
      </c>
      <c r="BF3" s="151">
        <f t="shared" si="26"/>
        <v>-44.083836499383196</v>
      </c>
      <c r="BG3" s="152">
        <f t="shared" si="27"/>
        <v>-44.083836499383196</v>
      </c>
      <c r="BH3" s="152">
        <f t="shared" si="28"/>
        <v>-44.083836499383196</v>
      </c>
      <c r="BI3" s="152">
        <f t="shared" si="29"/>
        <v>-44.083836499383196</v>
      </c>
      <c r="BJ3" s="152">
        <f t="shared" si="30"/>
        <v>-44.083836499383196</v>
      </c>
      <c r="BK3" s="152">
        <f t="shared" si="31"/>
        <v>-44.083836499383196</v>
      </c>
      <c r="BL3" s="152">
        <f t="shared" si="32"/>
        <v>-44.083836499383196</v>
      </c>
      <c r="BM3" s="153">
        <f t="shared" si="33"/>
        <v>-44.083836499383196</v>
      </c>
      <c r="BN3" s="133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3"/>
      <c r="BU3" s="133"/>
      <c r="BV3" s="139"/>
      <c r="BW3" s="139">
        <v>12.6</v>
      </c>
      <c r="BX3" s="139">
        <v>17.600000000000001</v>
      </c>
      <c r="BY3" s="139">
        <v>18.899999999999999</v>
      </c>
      <c r="BZ3" s="139">
        <v>15.3</v>
      </c>
      <c r="CA3" s="139">
        <v>12.9</v>
      </c>
      <c r="CB3" s="139"/>
      <c r="CC3" s="139"/>
      <c r="CD3" s="139"/>
      <c r="CE3" s="139"/>
      <c r="CF3" s="139"/>
      <c r="CG3" s="139"/>
      <c r="CH3" s="139"/>
      <c r="CI3" s="139"/>
      <c r="CJ3" s="139"/>
      <c r="CL3" s="133"/>
      <c r="CM3" s="139" t="s">
        <v>32</v>
      </c>
      <c r="CN3" s="139" t="s">
        <v>32</v>
      </c>
      <c r="CO3" s="139" t="s">
        <v>32</v>
      </c>
      <c r="CP3" s="139" t="s">
        <v>32</v>
      </c>
      <c r="CQ3" s="139" t="s">
        <v>32</v>
      </c>
      <c r="CR3" s="139" t="s">
        <v>32</v>
      </c>
      <c r="CS3" s="139"/>
      <c r="CT3" s="139"/>
      <c r="CU3" s="139"/>
      <c r="CV3" s="139"/>
      <c r="CW3" s="139"/>
      <c r="CX3" s="139"/>
      <c r="CY3" s="139"/>
      <c r="CZ3" s="139"/>
      <c r="DA3" s="139"/>
      <c r="DB3" s="133"/>
      <c r="DC3" s="133"/>
      <c r="DD3" s="154" cm="1">
        <f t="array" ref="DD3">_xlfn.IFS(DD$1= 0,"", NOT(ISBLANK(CM3)), 0, ISBLANK(CM3), $Q3-$S3+AY3-BV3)</f>
        <v>0</v>
      </c>
      <c r="DE3" s="155" cm="1">
        <f t="array" ref="DE3">_xlfn.IFS(DE$1= 0,"", NOT(ISBLANK(CN3)), 0, ISBLANK(CN3), $Q3-$S3+AZ3-BW3)</f>
        <v>0</v>
      </c>
      <c r="DF3" s="155" cm="1">
        <f t="array" ref="DF3">_xlfn.IFS(DF$1= 0,"", NOT(ISBLANK(CO3)), 0, ISBLANK(CO3), $Q3-$S3+BA3-BX3)</f>
        <v>0</v>
      </c>
      <c r="DG3" s="155" cm="1">
        <f t="array" ref="DG3">_xlfn.IFS(DG$1= 0,"", NOT(ISBLANK(CP3)), 0, ISBLANK(CP3), $Q3-$S3+BB3-BY3)</f>
        <v>0</v>
      </c>
      <c r="DH3" s="155" cm="1">
        <f t="array" ref="DH3">_xlfn.IFS(DH$1= 0,"", NOT(ISBLANK(CQ3)), 0, ISBLANK(CQ3), $Q3-$S3+BC3-BZ3)</f>
        <v>0</v>
      </c>
      <c r="DI3" s="155" cm="1">
        <f t="array" ref="DI3">_xlfn.IFS(DI$1= 0,"", NOT(ISBLANK(CR3)), 0, ISBLANK(CR3), $Q3-$S3+BD3-CA3)</f>
        <v>0</v>
      </c>
      <c r="DJ3" s="155" cm="1">
        <f t="array" ref="DJ3">_xlfn.IFS(DJ$1= 0,"", NOT(ISBLANK(CS3)), 0, ISBLANK(CS3), $Q3-$S3+BE3-CB3)</f>
        <v>46.916163500616804</v>
      </c>
      <c r="DK3" s="155" cm="1">
        <f t="array" ref="DK3">_xlfn.IFS(DK$1= 0,"", NOT(ISBLANK(CT3)), 0, ISBLANK(CT3), $Q3-$S3+BF3-CC3)</f>
        <v>46.916163500616804</v>
      </c>
      <c r="DL3" s="156" cm="1">
        <f t="array" ref="DL3">_xlfn.IFS(DL$1= 0,"", NOT(ISBLANK(CU3)), 0, ISBLANK(CU3), $Q3-$S3+BG3-CD3)</f>
        <v>46.916163500616804</v>
      </c>
      <c r="DM3" s="156" cm="1">
        <f t="array" ref="DM3">_xlfn.IFS(DM$1= 0,"", NOT(ISBLANK(CV3)), 0, ISBLANK(CV3), $Q3-$S3+BH3-CE3)</f>
        <v>46.916163500616804</v>
      </c>
      <c r="DN3" s="156" cm="1">
        <f t="array" ref="DN3">_xlfn.IFS(DN$1= 0,"", NOT(ISBLANK(CW3)), 0, ISBLANK(CW3), $Q3-$S3+BI3-CF3)</f>
        <v>46.916163500616804</v>
      </c>
      <c r="DO3" s="156" cm="1">
        <f t="array" ref="DO3">_xlfn.IFS(DO$1= 0,"", NOT(ISBLANK(CX3)), 0, ISBLANK(CX3), $Q3-$S3+BJ3-CG3)</f>
        <v>46.916163500616804</v>
      </c>
      <c r="DP3" s="142" cm="1">
        <f t="array" ref="DP3">_xlfn.IFS(DP$1= 0,"", NOT(ISBLANK(CY3)), 0, ISBLANK(CY3), $Q3-$S3+BK3-CH3)</f>
        <v>46.916163500616804</v>
      </c>
      <c r="DQ3" s="142" cm="1">
        <f t="array" ref="DQ3">_xlfn.IFS(DQ$1= 0,"", NOT(ISBLANK(CZ3)), 0, ISBLANK(CZ3), $Q3-$S3+BL3-CI3)</f>
        <v>46.916163500616804</v>
      </c>
      <c r="DR3" s="143" cm="1">
        <f t="array" ref="DR3">_xlfn.IFS(DR$1= 0,"", NOT(ISBLANK(DA3)), 0, ISBLANK(DA3), $Q3-$S3+BM3-CJ3)</f>
        <v>46.916163500616804</v>
      </c>
    </row>
    <row r="4" spans="1:138" ht="17.25" customHeight="1" thickBot="1" x14ac:dyDescent="0.35">
      <c r="A4" s="214">
        <v>1</v>
      </c>
      <c r="B4" s="125" t="s">
        <v>93</v>
      </c>
      <c r="C4" s="144" t="s">
        <v>94</v>
      </c>
      <c r="D4" s="145" t="s">
        <v>95</v>
      </c>
      <c r="E4" s="196" t="s">
        <v>96</v>
      </c>
      <c r="F4" s="204">
        <v>88</v>
      </c>
      <c r="G4" s="205">
        <v>88</v>
      </c>
      <c r="H4" s="205">
        <v>83</v>
      </c>
      <c r="I4" s="205">
        <v>78</v>
      </c>
      <c r="J4" s="205">
        <v>77</v>
      </c>
      <c r="K4" s="205">
        <v>73</v>
      </c>
      <c r="L4" s="205">
        <v>65</v>
      </c>
      <c r="M4" s="209">
        <v>58</v>
      </c>
      <c r="N4" s="20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6">
        <v>0</v>
      </c>
      <c r="P4" s="199">
        <v>1</v>
      </c>
      <c r="Q4" s="12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6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7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8">
        <f t="array" ref="AI4">IF(AI$1=0,"",SQRT((_xlfn.XLOOKUP(AI$1,$Z$2:$Z$18,$AA$2:$AA$18)-$T4)^2+(_xlfn.XLOOKUP(AI$1,$Z$2:$Z$18,$AB$2:$AB$18)-$U4)^2+(_xlfn.XLOOKUP(AI$1,$Z$2:$Z$18,$AC$2:$AC$18-$V4)^2)))</f>
        <v>184.640954286962</v>
      </c>
      <c r="AJ4" s="148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8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8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8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8">
        <f t="array" ref="AN4">IF(AN$1=0,"",SQRT((_xlfn.XLOOKUP(AN$1,$Z$2:$Z$18,$AA$2:$AA$18)-$T4)^2+(_xlfn.XLOOKUP(AN$1,$Z$2:$Z$18,$AB$2:$AB$18)-$U4)^2+(_xlfn.XLOOKUP(AN$1,$Z$2:$Z$18,$AC$2:$AC$18-$V4)^2)))</f>
        <v>227.20087675887169</v>
      </c>
      <c r="AO4" s="148">
        <f t="array" ref="AO4">IF(AO$1=0,"",SQRT((_xlfn.XLOOKUP(AO$1,$Z$2:$Z$18,$AA$2:$AA$18)-$T4)^2+(_xlfn.XLOOKUP(AO$1,$Z$2:$Z$18,$AB$2:$AB$18)-$U4)^2+(_xlfn.XLOOKUP(AO$1,$Z$2:$Z$18,$AC$2:$AC$18-$V4)^2)))</f>
        <v>227.20087675887169</v>
      </c>
      <c r="AP4" s="149">
        <f t="array" ref="AP4">IF(AP$1=0,"",SQRT((_xlfn.XLOOKUP(AP$1,$Z$2:$Z$18,$AA$2:$AA$18)-$T4)^2+(_xlfn.XLOOKUP(AP$1,$Z$2:$Z$18,$AB$2:$AB$18)-$U4)^2+(_xlfn.XLOOKUP(AP$1,$Z$2:$Z$18,$AC$2:$AC$18-$V4)^2)))</f>
        <v>227.20087675887169</v>
      </c>
      <c r="AQ4" s="149">
        <f t="array" ref="AQ4">IF(AQ$1=0,"",SQRT((_xlfn.XLOOKUP(AQ$1,$Z$2:$Z$18,$AA$2:$AA$18)-$T4)^2+(_xlfn.XLOOKUP(AQ$1,$Z$2:$Z$18,$AB$2:$AB$18)-$U4)^2+(_xlfn.XLOOKUP(AQ$1,$Z$2:$Z$18,$AC$2:$AC$18-$V4)^2)))</f>
        <v>227.20087675887169</v>
      </c>
      <c r="AR4" s="149">
        <f t="array" ref="AR4">IF(AR$1=0,"",SQRT((_xlfn.XLOOKUP(AR$1,$Z$2:$Z$18,$AA$2:$AA$18)-$T4)^2+(_xlfn.XLOOKUP(AR$1,$Z$2:$Z$18,$AB$2:$AB$18)-$U4)^2+(_xlfn.XLOOKUP(AR$1,$Z$2:$Z$18,$AC$2:$AC$18-$V4)^2)))</f>
        <v>227.20087675887169</v>
      </c>
      <c r="AS4" s="149">
        <f t="array" ref="AS4">IF(AS$1=0,"",SQRT((_xlfn.XLOOKUP(AS$1,$Z$2:$Z$18,$AA$2:$AA$18)-$T4)^2+(_xlfn.XLOOKUP(AS$1,$Z$2:$Z$18,$AB$2:$AB$18)-$U4)^2+(_xlfn.XLOOKUP(AS$1,$Z$2:$Z$18,$AC$2:$AC$18-$V4)^2)))</f>
        <v>227.20087675887169</v>
      </c>
      <c r="AT4" s="149">
        <f t="array" ref="AT4">IF(AT$1=0,"",SQRT((_xlfn.XLOOKUP(AT$1,$Z$2:$Z$18,$AA$2:$AA$18)-$T4)^2+(_xlfn.XLOOKUP(AT$1,$Z$2:$Z$18,$AB$2:$AB$18)-$U4)^2+(_xlfn.XLOOKUP(AT$1,$Z$2:$Z$18,$AC$2:$AC$18-$V4)^2)))</f>
        <v>227.20087675887169</v>
      </c>
      <c r="AU4" s="149">
        <f t="array" ref="AU4">IF(AU$1=0,"",SQRT((_xlfn.XLOOKUP(AU$1,$Z$2:$Z$18,$AA$2:$AA$18)-$T4)^2+(_xlfn.XLOOKUP(AU$1,$Z$2:$Z$18,$AB$2:$AB$18)-$U4)^2+(_xlfn.XLOOKUP(AU$1,$Z$2:$Z$18,$AC$2:$AC$18-$V4)^2)))</f>
        <v>227.20087675887169</v>
      </c>
      <c r="AV4" s="150">
        <f t="array" ref="AV4">IF(AV$1=0,"",SQRT((_xlfn.XLOOKUP(AV$1,$Z$2:$Z$18,$AA$2:$AA$18)-$T4)^2+(_xlfn.XLOOKUP(AV$1,$Z$2:$Z$18,$AB$2:$AB$18)-$U4)^2+(_xlfn.XLOOKUP(AV$1,$Z$2:$Z$18,$AC$2:$AC$18-$V4)^2)))</f>
        <v>227.20087675887169</v>
      </c>
      <c r="AW4" s="133"/>
      <c r="AX4" s="157"/>
      <c r="AY4" s="134">
        <f t="shared" si="19"/>
        <v>-44.790297996268833</v>
      </c>
      <c r="AZ4" s="151">
        <f t="shared" si="20"/>
        <v>-42.988658658179418</v>
      </c>
      <c r="BA4" s="151">
        <f t="shared" si="21"/>
        <v>-38.742413122172678</v>
      </c>
      <c r="BB4" s="151">
        <f t="shared" si="22"/>
        <v>-24.4491432407284</v>
      </c>
      <c r="BC4" s="151">
        <f t="shared" si="23"/>
        <v>-39.369574268861413</v>
      </c>
      <c r="BD4" s="151">
        <f t="shared" si="24"/>
        <v>-46.166543530336916</v>
      </c>
      <c r="BE4" s="151">
        <f t="shared" si="25"/>
        <v>-44.790297996268833</v>
      </c>
      <c r="BF4" s="151">
        <f t="shared" si="26"/>
        <v>-44.790297996268833</v>
      </c>
      <c r="BG4" s="152">
        <f t="shared" si="27"/>
        <v>-44.790297996268833</v>
      </c>
      <c r="BH4" s="152">
        <f t="shared" si="28"/>
        <v>-44.790297996268833</v>
      </c>
      <c r="BI4" s="152">
        <f t="shared" si="29"/>
        <v>-44.790297996268833</v>
      </c>
      <c r="BJ4" s="152">
        <f t="shared" si="30"/>
        <v>-44.790297996268833</v>
      </c>
      <c r="BK4" s="152">
        <f t="shared" si="31"/>
        <v>-44.790297996268833</v>
      </c>
      <c r="BL4" s="152">
        <f t="shared" si="32"/>
        <v>-44.790297996268833</v>
      </c>
      <c r="BM4" s="153">
        <f t="shared" si="33"/>
        <v>-44.790297996268833</v>
      </c>
      <c r="BN4" s="133"/>
      <c r="BO4" s="28" t="s">
        <v>21</v>
      </c>
      <c r="BP4" s="29" t="s">
        <v>86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3"/>
      <c r="BU4" s="133"/>
      <c r="BV4" s="139"/>
      <c r="BW4" s="139">
        <v>7</v>
      </c>
      <c r="BX4" s="139">
        <v>15.9</v>
      </c>
      <c r="BY4" s="139">
        <v>15.3</v>
      </c>
      <c r="BZ4" s="139">
        <v>13.8</v>
      </c>
      <c r="CA4" s="139">
        <v>15</v>
      </c>
      <c r="CB4" s="139"/>
      <c r="CC4" s="139"/>
      <c r="CD4" s="139"/>
      <c r="CE4" s="139"/>
      <c r="CF4" s="139"/>
      <c r="CG4" s="139"/>
      <c r="CH4" s="139"/>
      <c r="CI4" s="139"/>
      <c r="CJ4" s="139"/>
      <c r="CL4" s="133"/>
      <c r="CM4" s="139" t="s">
        <v>32</v>
      </c>
      <c r="CN4" s="139" t="s">
        <v>32</v>
      </c>
      <c r="CO4" s="139" t="s">
        <v>32</v>
      </c>
      <c r="CP4" s="139" t="s">
        <v>32</v>
      </c>
      <c r="CQ4" s="139" t="s">
        <v>32</v>
      </c>
      <c r="CR4" s="139" t="s">
        <v>32</v>
      </c>
      <c r="CS4" s="139"/>
      <c r="CT4" s="139"/>
      <c r="CU4" s="139"/>
      <c r="CV4" s="139"/>
      <c r="CW4" s="139"/>
      <c r="CX4" s="139"/>
      <c r="CY4" s="139"/>
      <c r="CZ4" s="139"/>
      <c r="DA4" s="139"/>
      <c r="DB4" s="133"/>
      <c r="DC4" s="133"/>
      <c r="DD4" s="140" cm="1">
        <f t="array" ref="DD4">_xlfn.IFS(DD$1= 0,"", NOT(ISBLANK(CM4)), 0, ISBLANK(CM4), $Q4-$S4+AY4-BV4)</f>
        <v>0</v>
      </c>
      <c r="DE4" s="141" cm="1">
        <f t="array" ref="DE4">_xlfn.IFS(DE$1= 0,"", NOT(ISBLANK(CN4)), 0, ISBLANK(CN4), $Q4-$S4+AZ4-BW4)</f>
        <v>0</v>
      </c>
      <c r="DF4" s="141" cm="1">
        <f t="array" ref="DF4">_xlfn.IFS(DF$1= 0,"", NOT(ISBLANK(CO4)), 0, ISBLANK(CO4), $Q4-$S4+BA4-BX4)</f>
        <v>0</v>
      </c>
      <c r="DG4" s="141" cm="1">
        <f t="array" ref="DG4">_xlfn.IFS(DG$1= 0,"", NOT(ISBLANK(CP4)), 0, ISBLANK(CP4), $Q4-$S4+BB4-BY4)</f>
        <v>0</v>
      </c>
      <c r="DH4" s="141" cm="1">
        <f t="array" ref="DH4">_xlfn.IFS(DH$1= 0,"", NOT(ISBLANK(CQ4)), 0, ISBLANK(CQ4), $Q4-$S4+BC4-BZ4)</f>
        <v>0</v>
      </c>
      <c r="DI4" s="141" cm="1">
        <f t="array" ref="DI4">_xlfn.IFS(DI$1= 0,"", NOT(ISBLANK(CR4)), 0, ISBLANK(CR4), $Q4-$S4+BD4-CA4)</f>
        <v>0</v>
      </c>
      <c r="DJ4" s="141" cm="1">
        <f t="array" ref="DJ4">_xlfn.IFS(DJ$1= 0,"", NOT(ISBLANK(CS4)), 0, ISBLANK(CS4), $Q4-$S4+BE4-CB4)</f>
        <v>24.209702003731167</v>
      </c>
      <c r="DK4" s="141" cm="1">
        <f t="array" ref="DK4">_xlfn.IFS(DK$1= 0,"", NOT(ISBLANK(CT4)), 0, ISBLANK(CT4), $Q4-$S4+BF4-CC4)</f>
        <v>24.209702003731167</v>
      </c>
      <c r="DL4" s="142" cm="1">
        <f t="array" ref="DL4">_xlfn.IFS(DL$1= 0,"", NOT(ISBLANK(CU4)), 0, ISBLANK(CU4), $Q4-$S4+BG4-CD4)</f>
        <v>24.209702003731167</v>
      </c>
      <c r="DM4" s="142" cm="1">
        <f t="array" ref="DM4">_xlfn.IFS(DM$1= 0,"", NOT(ISBLANK(CV4)), 0, ISBLANK(CV4), $Q4-$S4+BH4-CE4)</f>
        <v>24.209702003731167</v>
      </c>
      <c r="DN4" s="142" cm="1">
        <f t="array" ref="DN4">_xlfn.IFS(DN$1= 0,"", NOT(ISBLANK(CW4)), 0, ISBLANK(CW4), $Q4-$S4+BI4-CF4)</f>
        <v>24.209702003731167</v>
      </c>
      <c r="DO4" s="142" cm="1">
        <f t="array" ref="DO4">_xlfn.IFS(DO$1= 0,"", NOT(ISBLANK(CX4)), 0, ISBLANK(CX4), $Q4-$S4+BJ4-CG4)</f>
        <v>24.209702003731167</v>
      </c>
      <c r="DP4" s="142" cm="1">
        <f t="array" ref="DP4">_xlfn.IFS(DP$1= 0,"", NOT(ISBLANK(CY4)), 0, ISBLANK(CY4), $Q4-$S4+BK4-CH4)</f>
        <v>24.209702003731167</v>
      </c>
      <c r="DQ4" s="142" cm="1">
        <f t="array" ref="DQ4">_xlfn.IFS(DQ$1= 0,"", NOT(ISBLANK(CZ4)), 0, ISBLANK(CZ4), $Q4-$S4+BL4-CI4)</f>
        <v>24.209702003731167</v>
      </c>
      <c r="DR4" s="143" cm="1">
        <f t="array" ref="DR4">_xlfn.IFS(DR$1= 0,"", NOT(ISBLANK(DA4)), 0, ISBLANK(DA4), $Q4-$S4+BM4-CJ4)</f>
        <v>24.209702003731167</v>
      </c>
    </row>
    <row r="5" spans="1:138" ht="17.25" customHeight="1" thickBot="1" x14ac:dyDescent="0.35">
      <c r="A5" s="214">
        <v>1</v>
      </c>
      <c r="B5" s="125" t="s">
        <v>97</v>
      </c>
      <c r="C5" s="144" t="s">
        <v>98</v>
      </c>
      <c r="D5" s="145" t="s">
        <v>95</v>
      </c>
      <c r="E5" s="196" t="s">
        <v>99</v>
      </c>
      <c r="F5" s="204">
        <v>81</v>
      </c>
      <c r="G5" s="205">
        <v>79</v>
      </c>
      <c r="H5" s="205">
        <v>73</v>
      </c>
      <c r="I5" s="205">
        <v>66</v>
      </c>
      <c r="J5" s="205">
        <v>61</v>
      </c>
      <c r="K5" s="205">
        <v>59</v>
      </c>
      <c r="L5" s="205">
        <v>50</v>
      </c>
      <c r="M5" s="209">
        <v>43</v>
      </c>
      <c r="N5" s="20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6">
        <v>0</v>
      </c>
      <c r="P5" s="199">
        <v>1</v>
      </c>
      <c r="Q5" s="127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6">
        <v>2</v>
      </c>
      <c r="Z5" s="9" t="s">
        <v>145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7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8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8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8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8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8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8">
        <f t="array" ref="AN5">IF(AN$1=0,"",SQRT((_xlfn.XLOOKUP(AN$1,$Z$2:$Z$18,$AA$2:$AA$18)-$T5)^2+(_xlfn.XLOOKUP(AN$1,$Z$2:$Z$18,$AB$2:$AB$18)-$U5)^2+(_xlfn.XLOOKUP(AN$1,$Z$2:$Z$18,$AC$2:$AC$18-$V5)^2)))</f>
        <v>221.23142475697253</v>
      </c>
      <c r="AO5" s="148">
        <f t="array" ref="AO5">IF(AO$1=0,"",SQRT((_xlfn.XLOOKUP(AO$1,$Z$2:$Z$18,$AA$2:$AA$18)-$T5)^2+(_xlfn.XLOOKUP(AO$1,$Z$2:$Z$18,$AB$2:$AB$18)-$U5)^2+(_xlfn.XLOOKUP(AO$1,$Z$2:$Z$18,$AC$2:$AC$18-$V5)^2)))</f>
        <v>221.23142475697253</v>
      </c>
      <c r="AP5" s="149">
        <f t="array" ref="AP5">IF(AP$1=0,"",SQRT((_xlfn.XLOOKUP(AP$1,$Z$2:$Z$18,$AA$2:$AA$18)-$T5)^2+(_xlfn.XLOOKUP(AP$1,$Z$2:$Z$18,$AB$2:$AB$18)-$U5)^2+(_xlfn.XLOOKUP(AP$1,$Z$2:$Z$18,$AC$2:$AC$18-$V5)^2)))</f>
        <v>221.23142475697253</v>
      </c>
      <c r="AQ5" s="149">
        <f t="array" ref="AQ5">IF(AQ$1=0,"",SQRT((_xlfn.XLOOKUP(AQ$1,$Z$2:$Z$18,$AA$2:$AA$18)-$T5)^2+(_xlfn.XLOOKUP(AQ$1,$Z$2:$Z$18,$AB$2:$AB$18)-$U5)^2+(_xlfn.XLOOKUP(AQ$1,$Z$2:$Z$18,$AC$2:$AC$18-$V5)^2)))</f>
        <v>221.23142475697253</v>
      </c>
      <c r="AR5" s="149">
        <f t="array" ref="AR5">IF(AR$1=0,"",SQRT((_xlfn.XLOOKUP(AR$1,$Z$2:$Z$18,$AA$2:$AA$18)-$T5)^2+(_xlfn.XLOOKUP(AR$1,$Z$2:$Z$18,$AB$2:$AB$18)-$U5)^2+(_xlfn.XLOOKUP(AR$1,$Z$2:$Z$18,$AC$2:$AC$18-$V5)^2)))</f>
        <v>221.23142475697253</v>
      </c>
      <c r="AS5" s="149">
        <f t="array" ref="AS5">IF(AS$1=0,"",SQRT((_xlfn.XLOOKUP(AS$1,$Z$2:$Z$18,$AA$2:$AA$18)-$T5)^2+(_xlfn.XLOOKUP(AS$1,$Z$2:$Z$18,$AB$2:$AB$18)-$U5)^2+(_xlfn.XLOOKUP(AS$1,$Z$2:$Z$18,$AC$2:$AC$18-$V5)^2)))</f>
        <v>221.23142475697253</v>
      </c>
      <c r="AT5" s="149">
        <f t="array" ref="AT5">IF(AT$1=0,"",SQRT((_xlfn.XLOOKUP(AT$1,$Z$2:$Z$18,$AA$2:$AA$18)-$T5)^2+(_xlfn.XLOOKUP(AT$1,$Z$2:$Z$18,$AB$2:$AB$18)-$U5)^2+(_xlfn.XLOOKUP(AT$1,$Z$2:$Z$18,$AC$2:$AC$18-$V5)^2)))</f>
        <v>221.23142475697253</v>
      </c>
      <c r="AU5" s="149">
        <f t="array" ref="AU5">IF(AU$1=0,"",SQRT((_xlfn.XLOOKUP(AU$1,$Z$2:$Z$18,$AA$2:$AA$18)-$T5)^2+(_xlfn.XLOOKUP(AU$1,$Z$2:$Z$18,$AB$2:$AB$18)-$U5)^2+(_xlfn.XLOOKUP(AU$1,$Z$2:$Z$18,$AC$2:$AC$18-$V5)^2)))</f>
        <v>221.23142475697253</v>
      </c>
      <c r="AV5" s="150">
        <f t="array" ref="AV5">IF(AV$1=0,"",SQRT((_xlfn.XLOOKUP(AV$1,$Z$2:$Z$18,$AA$2:$AA$18)-$T5)^2+(_xlfn.XLOOKUP(AV$1,$Z$2:$Z$18,$AB$2:$AB$18)-$U5)^2+(_xlfn.XLOOKUP(AV$1,$Z$2:$Z$18,$AC$2:$AC$18-$V5)^2)))</f>
        <v>221.23142475697253</v>
      </c>
      <c r="AW5" s="133"/>
      <c r="AX5" s="133"/>
      <c r="AY5" s="134">
        <f t="shared" si="19"/>
        <v>-44.559034262028455</v>
      </c>
      <c r="AZ5" s="151">
        <f t="shared" si="20"/>
        <v>-40.680026022314799</v>
      </c>
      <c r="BA5" s="151">
        <f t="shared" si="21"/>
        <v>-37.69904583442603</v>
      </c>
      <c r="BB5" s="151">
        <f t="shared" si="22"/>
        <v>-38.554914748028075</v>
      </c>
      <c r="BC5" s="151">
        <f t="shared" si="23"/>
        <v>-41.444703159284522</v>
      </c>
      <c r="BD5" s="151">
        <f t="shared" si="24"/>
        <v>-42.895773501612965</v>
      </c>
      <c r="BE5" s="151">
        <f t="shared" si="25"/>
        <v>-44.559034262028455</v>
      </c>
      <c r="BF5" s="151">
        <f t="shared" si="26"/>
        <v>-44.559034262028455</v>
      </c>
      <c r="BG5" s="152">
        <f t="shared" si="27"/>
        <v>-44.559034262028455</v>
      </c>
      <c r="BH5" s="152">
        <f t="shared" si="28"/>
        <v>-44.559034262028455</v>
      </c>
      <c r="BI5" s="152">
        <f t="shared" si="29"/>
        <v>-44.559034262028455</v>
      </c>
      <c r="BJ5" s="152">
        <f t="shared" si="30"/>
        <v>-44.559034262028455</v>
      </c>
      <c r="BK5" s="152">
        <f t="shared" si="31"/>
        <v>-44.559034262028455</v>
      </c>
      <c r="BL5" s="152">
        <f t="shared" si="32"/>
        <v>-44.559034262028455</v>
      </c>
      <c r="BM5" s="153">
        <f t="shared" si="33"/>
        <v>-44.559034262028455</v>
      </c>
      <c r="BN5" s="133"/>
      <c r="BO5" s="28" t="s">
        <v>22</v>
      </c>
      <c r="BP5" s="33" t="s">
        <v>144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3"/>
      <c r="BU5" s="133"/>
      <c r="BV5" s="139"/>
      <c r="BW5" s="139">
        <v>11</v>
      </c>
      <c r="BX5" s="139">
        <v>15.3</v>
      </c>
      <c r="BY5" s="139">
        <v>17.7</v>
      </c>
      <c r="BZ5" s="139">
        <v>13.1</v>
      </c>
      <c r="CA5" s="139">
        <v>11.6</v>
      </c>
      <c r="CB5" s="139"/>
      <c r="CC5" s="139"/>
      <c r="CD5" s="139"/>
      <c r="CE5" s="139"/>
      <c r="CF5" s="139"/>
      <c r="CG5" s="139"/>
      <c r="CH5" s="139"/>
      <c r="CI5" s="139"/>
      <c r="CJ5" s="139"/>
      <c r="CL5" s="133"/>
      <c r="CM5" s="139" t="s">
        <v>32</v>
      </c>
      <c r="CN5" s="139" t="s">
        <v>32</v>
      </c>
      <c r="CO5" s="139" t="s">
        <v>32</v>
      </c>
      <c r="CP5" s="139" t="s">
        <v>32</v>
      </c>
      <c r="CQ5" s="139" t="s">
        <v>32</v>
      </c>
      <c r="CR5" s="139" t="s">
        <v>32</v>
      </c>
      <c r="CS5" s="139"/>
      <c r="CT5" s="139"/>
      <c r="CU5" s="139"/>
      <c r="CV5" s="139"/>
      <c r="CW5" s="139"/>
      <c r="CX5" s="139"/>
      <c r="CY5" s="139"/>
      <c r="CZ5" s="139"/>
      <c r="DA5" s="139"/>
      <c r="DB5" s="133"/>
      <c r="DC5" s="133"/>
      <c r="DD5" s="154" cm="1">
        <f t="array" ref="DD5">_xlfn.IFS(DD$1= 0,"", NOT(ISBLANK(CM5)), 0, ISBLANK(CM5), $Q5-$S5+AY5-BV5)</f>
        <v>0</v>
      </c>
      <c r="DE5" s="155" cm="1">
        <f t="array" ref="DE5">_xlfn.IFS(DE$1= 0,"", NOT(ISBLANK(CN5)), 0, ISBLANK(CN5), $Q5-$S5+AZ5-BW5)</f>
        <v>0</v>
      </c>
      <c r="DF5" s="155" cm="1">
        <f t="array" ref="DF5">_xlfn.IFS(DF$1= 0,"", NOT(ISBLANK(CO5)), 0, ISBLANK(CO5), $Q5-$S5+BA5-BX5)</f>
        <v>0</v>
      </c>
      <c r="DG5" s="155" cm="1">
        <f t="array" ref="DG5">_xlfn.IFS(DG$1= 0,"", NOT(ISBLANK(CP5)), 0, ISBLANK(CP5), $Q5-$S5+BB5-BY5)</f>
        <v>0</v>
      </c>
      <c r="DH5" s="155" cm="1">
        <f t="array" ref="DH5">_xlfn.IFS(DH$1= 0,"", NOT(ISBLANK(CQ5)), 0, ISBLANK(CQ5), $Q5-$S5+BC5-BZ5)</f>
        <v>0</v>
      </c>
      <c r="DI5" s="155" cm="1">
        <f t="array" ref="DI5">_xlfn.IFS(DI$1= 0,"", NOT(ISBLANK(CR5)), 0, ISBLANK(CR5), $Q5-$S5+BD5-CA5)</f>
        <v>0</v>
      </c>
      <c r="DJ5" s="155" cm="1">
        <f t="array" ref="DJ5">_xlfn.IFS(DJ$1= 0,"", NOT(ISBLANK(CS5)), 0, ISBLANK(CS5), $Q5-$S5+BE5-CB5)</f>
        <v>25.440965737971545</v>
      </c>
      <c r="DK5" s="155" cm="1">
        <f t="array" ref="DK5">_xlfn.IFS(DK$1= 0,"", NOT(ISBLANK(CT5)), 0, ISBLANK(CT5), $Q5-$S5+BF5-CC5)</f>
        <v>25.440965737971545</v>
      </c>
      <c r="DL5" s="156" cm="1">
        <f t="array" ref="DL5">_xlfn.IFS(DL$1= 0,"", NOT(ISBLANK(CU5)), 0, ISBLANK(CU5), $Q5-$S5+BG5-CD5)</f>
        <v>25.440965737971545</v>
      </c>
      <c r="DM5" s="156" cm="1">
        <f t="array" ref="DM5">_xlfn.IFS(DM$1= 0,"", NOT(ISBLANK(CV5)), 0, ISBLANK(CV5), $Q5-$S5+BH5-CE5)</f>
        <v>25.440965737971545</v>
      </c>
      <c r="DN5" s="156" cm="1">
        <f t="array" ref="DN5">_xlfn.IFS(DN$1= 0,"", NOT(ISBLANK(CW5)), 0, ISBLANK(CW5), $Q5-$S5+BI5-CF5)</f>
        <v>25.440965737971545</v>
      </c>
      <c r="DO5" s="156" cm="1">
        <f t="array" ref="DO5">_xlfn.IFS(DO$1= 0,"", NOT(ISBLANK(CX5)), 0, ISBLANK(CX5), $Q5-$S5+BJ5-CG5)</f>
        <v>25.440965737971545</v>
      </c>
      <c r="DP5" s="142" cm="1">
        <f t="array" ref="DP5">_xlfn.IFS(DP$1= 0,"", NOT(ISBLANK(CY5)), 0, ISBLANK(CY5), $Q5-$S5+BK5-CH5)</f>
        <v>25.440965737971545</v>
      </c>
      <c r="DQ5" s="142" cm="1">
        <f t="array" ref="DQ5">_xlfn.IFS(DQ$1= 0,"", NOT(ISBLANK(CZ5)), 0, ISBLANK(CZ5), $Q5-$S5+BL5-CI5)</f>
        <v>25.440965737971545</v>
      </c>
      <c r="DR5" s="143" cm="1">
        <f t="array" ref="DR5">_xlfn.IFS(DR$1= 0,"", NOT(ISBLANK(DA5)), 0, ISBLANK(DA5), $Q5-$S5+BM5-CJ5)</f>
        <v>25.440965737971545</v>
      </c>
    </row>
    <row r="6" spans="1:138" ht="17.25" customHeight="1" thickBot="1" x14ac:dyDescent="0.35">
      <c r="A6" s="214">
        <v>1</v>
      </c>
      <c r="B6" s="125" t="s">
        <v>100</v>
      </c>
      <c r="C6" s="144" t="s">
        <v>98</v>
      </c>
      <c r="D6" s="145" t="s">
        <v>95</v>
      </c>
      <c r="E6" s="196" t="s">
        <v>101</v>
      </c>
      <c r="F6" s="204">
        <v>84</v>
      </c>
      <c r="G6" s="205">
        <v>87</v>
      </c>
      <c r="H6" s="205">
        <v>83</v>
      </c>
      <c r="I6" s="205">
        <v>78</v>
      </c>
      <c r="J6" s="205">
        <v>74</v>
      </c>
      <c r="K6" s="205">
        <v>69</v>
      </c>
      <c r="L6" s="205">
        <v>64</v>
      </c>
      <c r="M6" s="209">
        <v>60</v>
      </c>
      <c r="N6" s="20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6">
        <v>0</v>
      </c>
      <c r="P6" s="199">
        <v>1</v>
      </c>
      <c r="Q6" s="127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6">
        <v>5.5</v>
      </c>
      <c r="Z6" s="9" t="s">
        <v>146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7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8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8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8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8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8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8">
        <f t="array" ref="AN6">IF(AN$1=0,"",SQRT((_xlfn.XLOOKUP(AN$1,$Z$2:$Z$18,$AA$2:$AA$18)-$T6)^2+(_xlfn.XLOOKUP(AN$1,$Z$2:$Z$18,$AB$2:$AB$18)-$U6)^2+(_xlfn.XLOOKUP(AN$1,$Z$2:$Z$18,$AC$2:$AC$18-$V6)^2)))</f>
        <v>143.40662118605263</v>
      </c>
      <c r="AO6" s="148">
        <f t="array" ref="AO6">IF(AO$1=0,"",SQRT((_xlfn.XLOOKUP(AO$1,$Z$2:$Z$18,$AA$2:$AA$18)-$T6)^2+(_xlfn.XLOOKUP(AO$1,$Z$2:$Z$18,$AB$2:$AB$18)-$U6)^2+(_xlfn.XLOOKUP(AO$1,$Z$2:$Z$18,$AC$2:$AC$18-$V6)^2)))</f>
        <v>143.40662118605263</v>
      </c>
      <c r="AP6" s="149">
        <f t="array" ref="AP6">IF(AP$1=0,"",SQRT((_xlfn.XLOOKUP(AP$1,$Z$2:$Z$18,$AA$2:$AA$18)-$T6)^2+(_xlfn.XLOOKUP(AP$1,$Z$2:$Z$18,$AB$2:$AB$18)-$U6)^2+(_xlfn.XLOOKUP(AP$1,$Z$2:$Z$18,$AC$2:$AC$18-$V6)^2)))</f>
        <v>143.40662118605263</v>
      </c>
      <c r="AQ6" s="149">
        <f t="array" ref="AQ6">IF(AQ$1=0,"",SQRT((_xlfn.XLOOKUP(AQ$1,$Z$2:$Z$18,$AA$2:$AA$18)-$T6)^2+(_xlfn.XLOOKUP(AQ$1,$Z$2:$Z$18,$AB$2:$AB$18)-$U6)^2+(_xlfn.XLOOKUP(AQ$1,$Z$2:$Z$18,$AC$2:$AC$18-$V6)^2)))</f>
        <v>143.40662118605263</v>
      </c>
      <c r="AR6" s="149">
        <f t="array" ref="AR6">IF(AR$1=0,"",SQRT((_xlfn.XLOOKUP(AR$1,$Z$2:$Z$18,$AA$2:$AA$18)-$T6)^2+(_xlfn.XLOOKUP(AR$1,$Z$2:$Z$18,$AB$2:$AB$18)-$U6)^2+(_xlfn.XLOOKUP(AR$1,$Z$2:$Z$18,$AC$2:$AC$18-$V6)^2)))</f>
        <v>143.40662118605263</v>
      </c>
      <c r="AS6" s="149">
        <f t="array" ref="AS6">IF(AS$1=0,"",SQRT((_xlfn.XLOOKUP(AS$1,$Z$2:$Z$18,$AA$2:$AA$18)-$T6)^2+(_xlfn.XLOOKUP(AS$1,$Z$2:$Z$18,$AB$2:$AB$18)-$U6)^2+(_xlfn.XLOOKUP(AS$1,$Z$2:$Z$18,$AC$2:$AC$18-$V6)^2)))</f>
        <v>143.40662118605263</v>
      </c>
      <c r="AT6" s="149">
        <f t="array" ref="AT6">IF(AT$1=0,"",SQRT((_xlfn.XLOOKUP(AT$1,$Z$2:$Z$18,$AA$2:$AA$18)-$T6)^2+(_xlfn.XLOOKUP(AT$1,$Z$2:$Z$18,$AB$2:$AB$18)-$U6)^2+(_xlfn.XLOOKUP(AT$1,$Z$2:$Z$18,$AC$2:$AC$18-$V6)^2)))</f>
        <v>143.40662118605263</v>
      </c>
      <c r="AU6" s="149">
        <f t="array" ref="AU6">IF(AU$1=0,"",SQRT((_xlfn.XLOOKUP(AU$1,$Z$2:$Z$18,$AA$2:$AA$18)-$T6)^2+(_xlfn.XLOOKUP(AU$1,$Z$2:$Z$18,$AB$2:$AB$18)-$U6)^2+(_xlfn.XLOOKUP(AU$1,$Z$2:$Z$18,$AC$2:$AC$18-$V6)^2)))</f>
        <v>143.40662118605263</v>
      </c>
      <c r="AV6" s="150">
        <f t="array" ref="AV6">IF(AV$1=0,"",SQRT((_xlfn.XLOOKUP(AV$1,$Z$2:$Z$18,$AA$2:$AA$18)-$T6)^2+(_xlfn.XLOOKUP(AV$1,$Z$2:$Z$18,$AB$2:$AB$18)-$U6)^2+(_xlfn.XLOOKUP(AV$1,$Z$2:$Z$18,$AC$2:$AC$18-$V6)^2)))</f>
        <v>143.40662118605263</v>
      </c>
      <c r="AW6" s="133"/>
      <c r="AX6" s="133"/>
      <c r="AY6" s="134">
        <f t="shared" si="19"/>
        <v>-40.793482006550228</v>
      </c>
      <c r="AZ6" s="151">
        <f t="shared" si="20"/>
        <v>-29.967017847297129</v>
      </c>
      <c r="BA6" s="151">
        <f t="shared" si="21"/>
        <v>-34.265775107601165</v>
      </c>
      <c r="BB6" s="151">
        <f t="shared" si="22"/>
        <v>-42.061400523510564</v>
      </c>
      <c r="BC6" s="151">
        <f t="shared" si="23"/>
        <v>-45.586228086283938</v>
      </c>
      <c r="BD6" s="151">
        <f t="shared" si="24"/>
        <v>-40.026797998267341</v>
      </c>
      <c r="BE6" s="151">
        <f t="shared" si="25"/>
        <v>-40.793482006550228</v>
      </c>
      <c r="BF6" s="151">
        <f t="shared" si="26"/>
        <v>-40.793482006550228</v>
      </c>
      <c r="BG6" s="152">
        <f t="shared" si="27"/>
        <v>-40.793482006550228</v>
      </c>
      <c r="BH6" s="152">
        <f t="shared" si="28"/>
        <v>-40.793482006550228</v>
      </c>
      <c r="BI6" s="152">
        <f t="shared" si="29"/>
        <v>-40.793482006550228</v>
      </c>
      <c r="BJ6" s="152">
        <f t="shared" si="30"/>
        <v>-40.793482006550228</v>
      </c>
      <c r="BK6" s="152">
        <f t="shared" si="31"/>
        <v>-40.793482006550228</v>
      </c>
      <c r="BL6" s="152">
        <f t="shared" si="32"/>
        <v>-40.793482006550228</v>
      </c>
      <c r="BM6" s="153">
        <f t="shared" si="33"/>
        <v>-40.793482006550228</v>
      </c>
      <c r="BN6" s="133"/>
      <c r="BO6" s="28" t="s">
        <v>30</v>
      </c>
      <c r="BP6" s="33" t="s">
        <v>169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3"/>
      <c r="BU6" s="133"/>
      <c r="BV6" s="139"/>
      <c r="BW6" s="139">
        <v>6.6</v>
      </c>
      <c r="BX6" s="139">
        <v>15.4</v>
      </c>
      <c r="BY6" s="139">
        <v>14.5</v>
      </c>
      <c r="BZ6" s="139">
        <v>15.8</v>
      </c>
      <c r="CA6" s="139">
        <v>9</v>
      </c>
      <c r="CB6" s="139"/>
      <c r="CC6" s="139"/>
      <c r="CD6" s="139"/>
      <c r="CE6" s="139"/>
      <c r="CF6" s="139"/>
      <c r="CG6" s="139"/>
      <c r="CH6" s="139"/>
      <c r="CI6" s="139"/>
      <c r="CJ6" s="139"/>
      <c r="CL6" s="133"/>
      <c r="CM6" s="139" t="s">
        <v>32</v>
      </c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3"/>
      <c r="DC6" s="133"/>
      <c r="DD6" s="140" cm="1">
        <f t="array" ref="DD6">_xlfn.IFS(DD$1= 0,"", NOT(ISBLANK(CM6)), 0, ISBLANK(CM6), $Q6-$S6+AY6-BV6)</f>
        <v>0</v>
      </c>
      <c r="DE6" s="141" cm="1">
        <f t="array" ref="DE6">_xlfn.IFS(DE$1= 0,"", NOT(ISBLANK(CN6)), 0, ISBLANK(CN6), $Q6-$S6+AZ6-BW6)</f>
        <v>43.43298215270287</v>
      </c>
      <c r="DF6" s="141" cm="1">
        <f t="array" ref="DF6">_xlfn.IFS(DF$1= 0,"", NOT(ISBLANK(CO6)), 0, ISBLANK(CO6), $Q6-$S6+BA6-BX6)</f>
        <v>30.334224892398836</v>
      </c>
      <c r="DG6" s="141" cm="1">
        <f t="array" ref="DG6">_xlfn.IFS(DG$1= 0,"", NOT(ISBLANK(CP6)), 0, ISBLANK(CP6), $Q6-$S6+BB6-BY6)</f>
        <v>23.438599476489436</v>
      </c>
      <c r="DH6" s="141" cm="1">
        <f t="array" ref="DH6">_xlfn.IFS(DH$1= 0,"", NOT(ISBLANK(CQ6)), 0, ISBLANK(CQ6), $Q6-$S6+BC6-BZ6)</f>
        <v>18.613771913716061</v>
      </c>
      <c r="DI6" s="141" cm="1">
        <f t="array" ref="DI6">_xlfn.IFS(DI$1= 0,"", NOT(ISBLANK(CR6)), 0, ISBLANK(CR6), $Q6-$S6+BD6-CA6)</f>
        <v>30.973202001732659</v>
      </c>
      <c r="DJ6" s="141" cm="1">
        <f t="array" ref="DJ6">_xlfn.IFS(DJ$1= 0,"", NOT(ISBLANK(CS6)), 0, ISBLANK(CS6), $Q6-$S6+BE6-CB6)</f>
        <v>39.206517993449772</v>
      </c>
      <c r="DK6" s="141" cm="1">
        <f t="array" ref="DK6">_xlfn.IFS(DK$1= 0,"", NOT(ISBLANK(CT6)), 0, ISBLANK(CT6), $Q6-$S6+BF6-CC6)</f>
        <v>39.206517993449772</v>
      </c>
      <c r="DL6" s="142" cm="1">
        <f t="array" ref="DL6">_xlfn.IFS(DL$1= 0,"", NOT(ISBLANK(CU6)), 0, ISBLANK(CU6), $Q6-$S6+BG6-CD6)</f>
        <v>39.206517993449772</v>
      </c>
      <c r="DM6" s="142" cm="1">
        <f t="array" ref="DM6">_xlfn.IFS(DM$1= 0,"", NOT(ISBLANK(CV6)), 0, ISBLANK(CV6), $Q6-$S6+BH6-CE6)</f>
        <v>39.206517993449772</v>
      </c>
      <c r="DN6" s="142" cm="1">
        <f t="array" ref="DN6">_xlfn.IFS(DN$1= 0,"", NOT(ISBLANK(CW6)), 0, ISBLANK(CW6), $Q6-$S6+BI6-CF6)</f>
        <v>39.206517993449772</v>
      </c>
      <c r="DO6" s="142" cm="1">
        <f t="array" ref="DO6">_xlfn.IFS(DO$1= 0,"", NOT(ISBLANK(CX6)), 0, ISBLANK(CX6), $Q6-$S6+BJ6-CG6)</f>
        <v>39.206517993449772</v>
      </c>
      <c r="DP6" s="142" cm="1">
        <f t="array" ref="DP6">_xlfn.IFS(DP$1= 0,"", NOT(ISBLANK(CY6)), 0, ISBLANK(CY6), $Q6-$S6+BK6-CH6)</f>
        <v>39.206517993449772</v>
      </c>
      <c r="DQ6" s="142" cm="1">
        <f t="array" ref="DQ6">_xlfn.IFS(DQ$1= 0,"", NOT(ISBLANK(CZ6)), 0, ISBLANK(CZ6), $Q6-$S6+BL6-CI6)</f>
        <v>39.206517993449772</v>
      </c>
      <c r="DR6" s="143" cm="1">
        <f t="array" ref="DR6">_xlfn.IFS(DR$1= 0,"", NOT(ISBLANK(DA6)), 0, ISBLANK(DA6), $Q6-$S6+BM6-CJ6)</f>
        <v>39.206517993449772</v>
      </c>
    </row>
    <row r="7" spans="1:138" ht="17.25" customHeight="1" thickBot="1" x14ac:dyDescent="0.35">
      <c r="A7" s="214">
        <v>1</v>
      </c>
      <c r="B7" s="125" t="s">
        <v>102</v>
      </c>
      <c r="C7" s="144" t="s">
        <v>98</v>
      </c>
      <c r="D7" s="145" t="s">
        <v>95</v>
      </c>
      <c r="E7" s="196" t="s">
        <v>103</v>
      </c>
      <c r="F7" s="204">
        <v>73</v>
      </c>
      <c r="G7" s="205">
        <v>76</v>
      </c>
      <c r="H7" s="205">
        <v>75</v>
      </c>
      <c r="I7" s="205">
        <v>67</v>
      </c>
      <c r="J7" s="205">
        <v>61</v>
      </c>
      <c r="K7" s="205">
        <v>61</v>
      </c>
      <c r="L7" s="205">
        <v>56</v>
      </c>
      <c r="M7" s="209">
        <v>51</v>
      </c>
      <c r="N7" s="20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6">
        <v>0</v>
      </c>
      <c r="P7" s="199">
        <v>1</v>
      </c>
      <c r="Q7" s="127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6">
        <v>4</v>
      </c>
      <c r="Z7" s="9" t="s">
        <v>147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7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8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8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8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8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8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8">
        <f t="array" ref="AN7">IF(AN$1=0,"",SQRT((_xlfn.XLOOKUP(AN$1,$Z$2:$Z$18,$AA$2:$AA$18)-$T7)^2+(_xlfn.XLOOKUP(AN$1,$Z$2:$Z$18,$AB$2:$AB$18)-$U7)^2+(_xlfn.XLOOKUP(AN$1,$Z$2:$Z$18,$AC$2:$AC$18-$V7)^2)))</f>
        <v>153.34716984672394</v>
      </c>
      <c r="AO7" s="148">
        <f t="array" ref="AO7">IF(AO$1=0,"",SQRT((_xlfn.XLOOKUP(AO$1,$Z$2:$Z$18,$AA$2:$AA$18)-$T7)^2+(_xlfn.XLOOKUP(AO$1,$Z$2:$Z$18,$AB$2:$AB$18)-$U7)^2+(_xlfn.XLOOKUP(AO$1,$Z$2:$Z$18,$AC$2:$AC$18-$V7)^2)))</f>
        <v>153.34716984672394</v>
      </c>
      <c r="AP7" s="149">
        <f t="array" ref="AP7">IF(AP$1=0,"",SQRT((_xlfn.XLOOKUP(AP$1,$Z$2:$Z$18,$AA$2:$AA$18)-$T7)^2+(_xlfn.XLOOKUP(AP$1,$Z$2:$Z$18,$AB$2:$AB$18)-$U7)^2+(_xlfn.XLOOKUP(AP$1,$Z$2:$Z$18,$AC$2:$AC$18-$V7)^2)))</f>
        <v>153.34716984672394</v>
      </c>
      <c r="AQ7" s="149">
        <f t="array" ref="AQ7">IF(AQ$1=0,"",SQRT((_xlfn.XLOOKUP(AQ$1,$Z$2:$Z$18,$AA$2:$AA$18)-$T7)^2+(_xlfn.XLOOKUP(AQ$1,$Z$2:$Z$18,$AB$2:$AB$18)-$U7)^2+(_xlfn.XLOOKUP(AQ$1,$Z$2:$Z$18,$AC$2:$AC$18-$V7)^2)))</f>
        <v>153.34716984672394</v>
      </c>
      <c r="AR7" s="149">
        <f t="array" ref="AR7">IF(AR$1=0,"",SQRT((_xlfn.XLOOKUP(AR$1,$Z$2:$Z$18,$AA$2:$AA$18)-$T7)^2+(_xlfn.XLOOKUP(AR$1,$Z$2:$Z$18,$AB$2:$AB$18)-$U7)^2+(_xlfn.XLOOKUP(AR$1,$Z$2:$Z$18,$AC$2:$AC$18-$V7)^2)))</f>
        <v>153.34716984672394</v>
      </c>
      <c r="AS7" s="149">
        <f t="array" ref="AS7">IF(AS$1=0,"",SQRT((_xlfn.XLOOKUP(AS$1,$Z$2:$Z$18,$AA$2:$AA$18)-$T7)^2+(_xlfn.XLOOKUP(AS$1,$Z$2:$Z$18,$AB$2:$AB$18)-$U7)^2+(_xlfn.XLOOKUP(AS$1,$Z$2:$Z$18,$AC$2:$AC$18-$V7)^2)))</f>
        <v>153.34716984672394</v>
      </c>
      <c r="AT7" s="149">
        <f t="array" ref="AT7">IF(AT$1=0,"",SQRT((_xlfn.XLOOKUP(AT$1,$Z$2:$Z$18,$AA$2:$AA$18)-$T7)^2+(_xlfn.XLOOKUP(AT$1,$Z$2:$Z$18,$AB$2:$AB$18)-$U7)^2+(_xlfn.XLOOKUP(AT$1,$Z$2:$Z$18,$AC$2:$AC$18-$V7)^2)))</f>
        <v>153.34716984672394</v>
      </c>
      <c r="AU7" s="149">
        <f t="array" ref="AU7">IF(AU$1=0,"",SQRT((_xlfn.XLOOKUP(AU$1,$Z$2:$Z$18,$AA$2:$AA$18)-$T7)^2+(_xlfn.XLOOKUP(AU$1,$Z$2:$Z$18,$AB$2:$AB$18)-$U7)^2+(_xlfn.XLOOKUP(AU$1,$Z$2:$Z$18,$AC$2:$AC$18-$V7)^2)))</f>
        <v>153.34716984672394</v>
      </c>
      <c r="AV7" s="150">
        <f t="array" ref="AV7">IF(AV$1=0,"",SQRT((_xlfn.XLOOKUP(AV$1,$Z$2:$Z$18,$AA$2:$AA$18)-$T7)^2+(_xlfn.XLOOKUP(AV$1,$Z$2:$Z$18,$AB$2:$AB$18)-$U7)^2+(_xlfn.XLOOKUP(AV$1,$Z$2:$Z$18,$AC$2:$AC$18-$V7)^2)))</f>
        <v>153.34716984672394</v>
      </c>
      <c r="AW7" s="133"/>
      <c r="AX7" s="133"/>
      <c r="AY7" s="134">
        <f t="shared" si="19"/>
        <v>-41.375613239253859</v>
      </c>
      <c r="AZ7" s="151">
        <f t="shared" si="20"/>
        <v>-32.885020497099163</v>
      </c>
      <c r="BA7" s="151">
        <f t="shared" si="21"/>
        <v>-33.45993047445851</v>
      </c>
      <c r="BB7" s="151">
        <f t="shared" si="22"/>
        <v>-41.291324470458648</v>
      </c>
      <c r="BC7" s="151">
        <f t="shared" si="23"/>
        <v>-44.965145754461844</v>
      </c>
      <c r="BD7" s="151">
        <f t="shared" si="24"/>
        <v>-40.431068713303148</v>
      </c>
      <c r="BE7" s="151">
        <f t="shared" si="25"/>
        <v>-41.375613239253859</v>
      </c>
      <c r="BF7" s="151">
        <f t="shared" si="26"/>
        <v>-41.375613239253859</v>
      </c>
      <c r="BG7" s="152">
        <f t="shared" si="27"/>
        <v>-41.375613239253859</v>
      </c>
      <c r="BH7" s="152">
        <f t="shared" si="28"/>
        <v>-41.375613239253859</v>
      </c>
      <c r="BI7" s="152">
        <f t="shared" si="29"/>
        <v>-41.375613239253859</v>
      </c>
      <c r="BJ7" s="152">
        <f t="shared" si="30"/>
        <v>-41.375613239253859</v>
      </c>
      <c r="BK7" s="152">
        <f t="shared" si="31"/>
        <v>-41.375613239253859</v>
      </c>
      <c r="BL7" s="152">
        <f t="shared" si="32"/>
        <v>-41.375613239253859</v>
      </c>
      <c r="BM7" s="153">
        <f t="shared" si="33"/>
        <v>-41.375613239253859</v>
      </c>
      <c r="BN7" s="133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3"/>
      <c r="BU7" s="133"/>
      <c r="BV7" s="139"/>
      <c r="BW7" s="139">
        <v>9.9</v>
      </c>
      <c r="BX7" s="139">
        <v>16.100000000000001</v>
      </c>
      <c r="BY7" s="139">
        <v>14.7</v>
      </c>
      <c r="BZ7" s="139">
        <v>15.6</v>
      </c>
      <c r="CA7" s="139">
        <v>12.6</v>
      </c>
      <c r="CB7" s="139"/>
      <c r="CC7" s="139"/>
      <c r="CD7" s="139"/>
      <c r="CE7" s="139"/>
      <c r="CF7" s="139"/>
      <c r="CG7" s="139"/>
      <c r="CH7" s="139"/>
      <c r="CI7" s="139"/>
      <c r="CJ7" s="139"/>
      <c r="CL7" s="133"/>
      <c r="CM7" s="139" t="s">
        <v>32</v>
      </c>
      <c r="CN7" s="139" t="s">
        <v>32</v>
      </c>
      <c r="CO7" s="139" t="s">
        <v>32</v>
      </c>
      <c r="CP7" s="139" t="s">
        <v>32</v>
      </c>
      <c r="CQ7" s="139" t="s">
        <v>32</v>
      </c>
      <c r="CR7" s="139" t="s">
        <v>32</v>
      </c>
      <c r="CS7" s="139"/>
      <c r="CT7" s="139"/>
      <c r="CU7" s="139"/>
      <c r="CV7" s="139"/>
      <c r="CW7" s="139"/>
      <c r="CX7" s="139"/>
      <c r="CY7" s="139"/>
      <c r="CZ7" s="139"/>
      <c r="DA7" s="139"/>
      <c r="DB7" s="133"/>
      <c r="DC7" s="133"/>
      <c r="DD7" s="154" cm="1">
        <f t="array" ref="DD7">_xlfn.IFS(DD$1= 0,"", NOT(ISBLANK(CM7)), 0, ISBLANK(CM7), $Q7-$S7+AY7-BV7)</f>
        <v>0</v>
      </c>
      <c r="DE7" s="155" cm="1">
        <f t="array" ref="DE7">_xlfn.IFS(DE$1= 0,"", NOT(ISBLANK(CN7)), 0, ISBLANK(CN7), $Q7-$S7+AZ7-BW7)</f>
        <v>0</v>
      </c>
      <c r="DF7" s="155" cm="1">
        <f t="array" ref="DF7">_xlfn.IFS(DF$1= 0,"", NOT(ISBLANK(CO7)), 0, ISBLANK(CO7), $Q7-$S7+BA7-BX7)</f>
        <v>0</v>
      </c>
      <c r="DG7" s="155" cm="1">
        <f t="array" ref="DG7">_xlfn.IFS(DG$1= 0,"", NOT(ISBLANK(CP7)), 0, ISBLANK(CP7), $Q7-$S7+BB7-BY7)</f>
        <v>0</v>
      </c>
      <c r="DH7" s="155" cm="1">
        <f t="array" ref="DH7">_xlfn.IFS(DH$1= 0,"", NOT(ISBLANK(CQ7)), 0, ISBLANK(CQ7), $Q7-$S7+BC7-BZ7)</f>
        <v>0</v>
      </c>
      <c r="DI7" s="155" cm="1">
        <f t="array" ref="DI7">_xlfn.IFS(DI$1= 0,"", NOT(ISBLANK(CR7)), 0, ISBLANK(CR7), $Q7-$S7+BD7-CA7)</f>
        <v>0</v>
      </c>
      <c r="DJ7" s="155" cm="1">
        <f t="array" ref="DJ7">_xlfn.IFS(DJ$1= 0,"", NOT(ISBLANK(CS7)), 0, ISBLANK(CS7), $Q7-$S7+BE7-CB7)</f>
        <v>29.624386760746141</v>
      </c>
      <c r="DK7" s="155" cm="1">
        <f t="array" ref="DK7">_xlfn.IFS(DK$1= 0,"", NOT(ISBLANK(CT7)), 0, ISBLANK(CT7), $Q7-$S7+BF7-CC7)</f>
        <v>29.624386760746141</v>
      </c>
      <c r="DL7" s="156" cm="1">
        <f t="array" ref="DL7">_xlfn.IFS(DL$1= 0,"", NOT(ISBLANK(CU7)), 0, ISBLANK(CU7), $Q7-$S7+BG7-CD7)</f>
        <v>29.624386760746141</v>
      </c>
      <c r="DM7" s="156" cm="1">
        <f t="array" ref="DM7">_xlfn.IFS(DM$1= 0,"", NOT(ISBLANK(CV7)), 0, ISBLANK(CV7), $Q7-$S7+BH7-CE7)</f>
        <v>29.624386760746141</v>
      </c>
      <c r="DN7" s="156" cm="1">
        <f t="array" ref="DN7">_xlfn.IFS(DN$1= 0,"", NOT(ISBLANK(CW7)), 0, ISBLANK(CW7), $Q7-$S7+BI7-CF7)</f>
        <v>29.624386760746141</v>
      </c>
      <c r="DO7" s="156" cm="1">
        <f t="array" ref="DO7">_xlfn.IFS(DO$1= 0,"", NOT(ISBLANK(CX7)), 0, ISBLANK(CX7), $Q7-$S7+BJ7-CG7)</f>
        <v>29.624386760746141</v>
      </c>
      <c r="DP7" s="142" cm="1">
        <f t="array" ref="DP7">_xlfn.IFS(DP$1= 0,"", NOT(ISBLANK(CY7)), 0, ISBLANK(CY7), $Q7-$S7+BK7-CH7)</f>
        <v>29.624386760746141</v>
      </c>
      <c r="DQ7" s="142" cm="1">
        <f t="array" ref="DQ7">_xlfn.IFS(DQ$1= 0,"", NOT(ISBLANK(CZ7)), 0, ISBLANK(CZ7), $Q7-$S7+BL7-CI7)</f>
        <v>29.624386760746141</v>
      </c>
      <c r="DR7" s="143" cm="1">
        <f t="array" ref="DR7">_xlfn.IFS(DR$1= 0,"", NOT(ISBLANK(DA7)), 0, ISBLANK(DA7), $Q7-$S7+BM7-CJ7)</f>
        <v>29.624386760746141</v>
      </c>
    </row>
    <row r="8" spans="1:138" ht="17.25" customHeight="1" thickBot="1" x14ac:dyDescent="0.35">
      <c r="A8" s="214">
        <v>1</v>
      </c>
      <c r="B8" s="144" t="s">
        <v>104</v>
      </c>
      <c r="C8" s="144" t="s">
        <v>116</v>
      </c>
      <c r="D8" s="145" t="s">
        <v>105</v>
      </c>
      <c r="E8" s="196" t="s">
        <v>106</v>
      </c>
      <c r="F8" s="204"/>
      <c r="G8" s="205"/>
      <c r="H8" s="205"/>
      <c r="I8" s="205"/>
      <c r="J8" s="205"/>
      <c r="K8" s="205"/>
      <c r="L8" s="205"/>
      <c r="M8" s="209"/>
      <c r="N8" s="204">
        <v>69.5</v>
      </c>
      <c r="O8" s="206">
        <v>5</v>
      </c>
      <c r="P8" s="199">
        <v>1</v>
      </c>
      <c r="Q8" s="127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6">
        <v>6.5</v>
      </c>
      <c r="Z8" s="9" t="s">
        <v>245</v>
      </c>
      <c r="AA8" s="4"/>
      <c r="AB8" s="4"/>
      <c r="AC8" s="87"/>
      <c r="AD8" s="8"/>
      <c r="AE8" s="2" t="str">
        <v/>
      </c>
      <c r="AH8" s="147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8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8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8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8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8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8">
        <f t="array" ref="AN8">IF(AN$1=0,"",SQRT((_xlfn.XLOOKUP(AN$1,$Z$2:$Z$18,$AA$2:$AA$18)-$T8)^2+(_xlfn.XLOOKUP(AN$1,$Z$2:$Z$18,$AB$2:$AB$18)-$U8)^2+(_xlfn.XLOOKUP(AN$1,$Z$2:$Z$18,$AC$2:$AC$18-$V8)^2)))</f>
        <v>195.78394009724087</v>
      </c>
      <c r="AO8" s="148">
        <f t="array" ref="AO8">IF(AO$1=0,"",SQRT((_xlfn.XLOOKUP(AO$1,$Z$2:$Z$18,$AA$2:$AA$18)-$T8)^2+(_xlfn.XLOOKUP(AO$1,$Z$2:$Z$18,$AB$2:$AB$18)-$U8)^2+(_xlfn.XLOOKUP(AO$1,$Z$2:$Z$18,$AC$2:$AC$18-$V8)^2)))</f>
        <v>195.78394009724087</v>
      </c>
      <c r="AP8" s="149">
        <f t="array" ref="AP8">IF(AP$1=0,"",SQRT((_xlfn.XLOOKUP(AP$1,$Z$2:$Z$18,$AA$2:$AA$18)-$T8)^2+(_xlfn.XLOOKUP(AP$1,$Z$2:$Z$18,$AB$2:$AB$18)-$U8)^2+(_xlfn.XLOOKUP(AP$1,$Z$2:$Z$18,$AC$2:$AC$18-$V8)^2)))</f>
        <v>195.78394009724087</v>
      </c>
      <c r="AQ8" s="149">
        <f t="array" ref="AQ8">IF(AQ$1=0,"",SQRT((_xlfn.XLOOKUP(AQ$1,$Z$2:$Z$18,$AA$2:$AA$18)-$T8)^2+(_xlfn.XLOOKUP(AQ$1,$Z$2:$Z$18,$AB$2:$AB$18)-$U8)^2+(_xlfn.XLOOKUP(AQ$1,$Z$2:$Z$18,$AC$2:$AC$18-$V8)^2)))</f>
        <v>195.78394009724087</v>
      </c>
      <c r="AR8" s="149">
        <f t="array" ref="AR8">IF(AR$1=0,"",SQRT((_xlfn.XLOOKUP(AR$1,$Z$2:$Z$18,$AA$2:$AA$18)-$T8)^2+(_xlfn.XLOOKUP(AR$1,$Z$2:$Z$18,$AB$2:$AB$18)-$U8)^2+(_xlfn.XLOOKUP(AR$1,$Z$2:$Z$18,$AC$2:$AC$18-$V8)^2)))</f>
        <v>195.78394009724087</v>
      </c>
      <c r="AS8" s="149">
        <f t="array" ref="AS8">IF(AS$1=0,"",SQRT((_xlfn.XLOOKUP(AS$1,$Z$2:$Z$18,$AA$2:$AA$18)-$T8)^2+(_xlfn.XLOOKUP(AS$1,$Z$2:$Z$18,$AB$2:$AB$18)-$U8)^2+(_xlfn.XLOOKUP(AS$1,$Z$2:$Z$18,$AC$2:$AC$18-$V8)^2)))</f>
        <v>195.78394009724087</v>
      </c>
      <c r="AT8" s="149">
        <f t="array" ref="AT8">IF(AT$1=0,"",SQRT((_xlfn.XLOOKUP(AT$1,$Z$2:$Z$18,$AA$2:$AA$18)-$T8)^2+(_xlfn.XLOOKUP(AT$1,$Z$2:$Z$18,$AB$2:$AB$18)-$U8)^2+(_xlfn.XLOOKUP(AT$1,$Z$2:$Z$18,$AC$2:$AC$18-$V8)^2)))</f>
        <v>195.78394009724087</v>
      </c>
      <c r="AU8" s="149">
        <f t="array" ref="AU8">IF(AU$1=0,"",SQRT((_xlfn.XLOOKUP(AU$1,$Z$2:$Z$18,$AA$2:$AA$18)-$T8)^2+(_xlfn.XLOOKUP(AU$1,$Z$2:$Z$18,$AB$2:$AB$18)-$U8)^2+(_xlfn.XLOOKUP(AU$1,$Z$2:$Z$18,$AC$2:$AC$18-$V8)^2)))</f>
        <v>195.78394009724087</v>
      </c>
      <c r="AV8" s="150">
        <f t="array" ref="AV8">IF(AV$1=0,"",SQRT((_xlfn.XLOOKUP(AV$1,$Z$2:$Z$18,$AA$2:$AA$18)-$T8)^2+(_xlfn.XLOOKUP(AV$1,$Z$2:$Z$18,$AB$2:$AB$18)-$U8)^2+(_xlfn.XLOOKUP(AV$1,$Z$2:$Z$18,$AC$2:$AC$18-$V8)^2)))</f>
        <v>195.78394009724087</v>
      </c>
      <c r="AW8" s="133"/>
      <c r="AX8" s="133"/>
      <c r="AY8" s="134">
        <f t="shared" si="19"/>
        <v>-43.497639223230429</v>
      </c>
      <c r="AZ8" s="151">
        <f t="shared" si="20"/>
        <v>-38.71389625545654</v>
      </c>
      <c r="BA8" s="151">
        <f t="shared" si="21"/>
        <v>-35.47859812236559</v>
      </c>
      <c r="BB8" s="151">
        <f t="shared" si="22"/>
        <v>-38.924361214433219</v>
      </c>
      <c r="BC8" s="151">
        <f t="shared" si="23"/>
        <v>-42.729734384186166</v>
      </c>
      <c r="BD8" s="151">
        <f t="shared" si="24"/>
        <v>-42.19361097043123</v>
      </c>
      <c r="BE8" s="151">
        <f t="shared" si="25"/>
        <v>-43.497639223230429</v>
      </c>
      <c r="BF8" s="151">
        <f t="shared" si="26"/>
        <v>-43.497639223230429</v>
      </c>
      <c r="BG8" s="152">
        <f t="shared" si="27"/>
        <v>-43.497639223230429</v>
      </c>
      <c r="BH8" s="152">
        <f t="shared" si="28"/>
        <v>-43.497639223230429</v>
      </c>
      <c r="BI8" s="152">
        <f t="shared" si="29"/>
        <v>-43.497639223230429</v>
      </c>
      <c r="BJ8" s="152">
        <f t="shared" si="30"/>
        <v>-43.497639223230429</v>
      </c>
      <c r="BK8" s="152">
        <f t="shared" si="31"/>
        <v>-43.497639223230429</v>
      </c>
      <c r="BL8" s="152">
        <f t="shared" si="32"/>
        <v>-43.497639223230429</v>
      </c>
      <c r="BM8" s="153">
        <f t="shared" si="33"/>
        <v>-43.497639223230429</v>
      </c>
      <c r="BN8" s="133"/>
      <c r="BO8" s="41" t="s">
        <v>33</v>
      </c>
      <c r="BP8" s="158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59">
        <f>SLOPE(BR4:BR5,BQ4:BQ5)</f>
        <v>0.20118761487346232</v>
      </c>
      <c r="BT8" s="133"/>
      <c r="BU8" s="133"/>
      <c r="BV8" s="139"/>
      <c r="BW8" s="139">
        <v>5</v>
      </c>
      <c r="BX8" s="139">
        <v>8</v>
      </c>
      <c r="BY8" s="139">
        <v>11</v>
      </c>
      <c r="BZ8" s="139">
        <v>9</v>
      </c>
      <c r="CA8" s="139">
        <v>5</v>
      </c>
      <c r="CB8" s="139"/>
      <c r="CC8" s="139"/>
      <c r="CD8" s="139"/>
      <c r="CE8" s="139"/>
      <c r="CF8" s="139"/>
      <c r="CG8" s="139"/>
      <c r="CH8" s="139"/>
      <c r="CI8" s="139"/>
      <c r="CJ8" s="139"/>
      <c r="CL8" s="133"/>
      <c r="CM8" s="139" t="s">
        <v>32</v>
      </c>
      <c r="CN8" s="139" t="s">
        <v>32</v>
      </c>
      <c r="CO8" s="139" t="s">
        <v>32</v>
      </c>
      <c r="CP8" s="139" t="s">
        <v>32</v>
      </c>
      <c r="CQ8" s="139" t="s">
        <v>32</v>
      </c>
      <c r="CR8" s="139" t="s">
        <v>32</v>
      </c>
      <c r="CS8" s="139"/>
      <c r="CT8" s="139"/>
      <c r="CU8" s="139"/>
      <c r="CV8" s="139"/>
      <c r="CW8" s="139"/>
      <c r="CX8" s="139"/>
      <c r="CY8" s="139"/>
      <c r="CZ8" s="139"/>
      <c r="DA8" s="139"/>
      <c r="DB8" s="133"/>
      <c r="DC8" s="133"/>
      <c r="DD8" s="154" cm="1">
        <f t="array" ref="DD8">_xlfn.IFS(DD$1= 0,"", NOT(ISBLANK(CM8)), 0, ISBLANK(CM8), $Q8-$S8+AY8-BV8)</f>
        <v>0</v>
      </c>
      <c r="DE8" s="155" cm="1">
        <f t="array" ref="DE8">_xlfn.IFS(DE$1= 0,"", NOT(ISBLANK(CN8)), 0, ISBLANK(CN8), $Q8-$S8+AZ8-BW8)</f>
        <v>0</v>
      </c>
      <c r="DF8" s="155" cm="1">
        <f t="array" ref="DF8">_xlfn.IFS(DF$1= 0,"", NOT(ISBLANK(CO8)), 0, ISBLANK(CO8), $Q8-$S8+BA8-BX8)</f>
        <v>0</v>
      </c>
      <c r="DG8" s="155" cm="1">
        <f t="array" ref="DG8">_xlfn.IFS(DG$1= 0,"", NOT(ISBLANK(CP8)), 0, ISBLANK(CP8), $Q8-$S8+BB8-BY8)</f>
        <v>0</v>
      </c>
      <c r="DH8" s="155" cm="1">
        <f t="array" ref="DH8">_xlfn.IFS(DH$1= 0,"", NOT(ISBLANK(CQ8)), 0, ISBLANK(CQ8), $Q8-$S8+BC8-BZ8)</f>
        <v>0</v>
      </c>
      <c r="DI8" s="155" cm="1">
        <f t="array" ref="DI8">_xlfn.IFS(DI$1= 0,"", NOT(ISBLANK(CR8)), 0, ISBLANK(CR8), $Q8-$S8+BD8-CA8)</f>
        <v>0</v>
      </c>
      <c r="DJ8" s="155" cm="1">
        <f t="array" ref="DJ8">_xlfn.IFS(DJ$1= 0,"", NOT(ISBLANK(CS8)), 0, ISBLANK(CS8), $Q8-$S8+BE8-CB8)</f>
        <v>40.502360776769571</v>
      </c>
      <c r="DK8" s="155" cm="1">
        <f t="array" ref="DK8">_xlfn.IFS(DK$1= 0,"", NOT(ISBLANK(CT8)), 0, ISBLANK(CT8), $Q8-$S8+BF8-CC8)</f>
        <v>40.502360776769571</v>
      </c>
      <c r="DL8" s="156" cm="1">
        <f t="array" ref="DL8">_xlfn.IFS(DL$1= 0,"", NOT(ISBLANK(CU8)), 0, ISBLANK(CU8), $Q8-$S8+BG8-CD8)</f>
        <v>40.502360776769571</v>
      </c>
      <c r="DM8" s="156" cm="1">
        <f t="array" ref="DM8">_xlfn.IFS(DM$1= 0,"", NOT(ISBLANK(CV8)), 0, ISBLANK(CV8), $Q8-$S8+BH8-CE8)</f>
        <v>40.502360776769571</v>
      </c>
      <c r="DN8" s="156" cm="1">
        <f t="array" ref="DN8">_xlfn.IFS(DN$1= 0,"", NOT(ISBLANK(CW8)), 0, ISBLANK(CW8), $Q8-$S8+BI8-CF8)</f>
        <v>40.502360776769571</v>
      </c>
      <c r="DO8" s="156" cm="1">
        <f t="array" ref="DO8">_xlfn.IFS(DO$1= 0,"", NOT(ISBLANK(CX8)), 0, ISBLANK(CX8), $Q8-$S8+BJ8-CG8)</f>
        <v>40.502360776769571</v>
      </c>
      <c r="DP8" s="142" cm="1">
        <f t="array" ref="DP8">_xlfn.IFS(DP$1= 0,"", NOT(ISBLANK(CY8)), 0, ISBLANK(CY8), $Q8-$S8+BK8-CH8)</f>
        <v>40.502360776769571</v>
      </c>
      <c r="DQ8" s="142" cm="1">
        <f t="array" ref="DQ8">_xlfn.IFS(DQ$1= 0,"", NOT(ISBLANK(CZ8)), 0, ISBLANK(CZ8), $Q8-$S8+BL8-CI8)</f>
        <v>40.502360776769571</v>
      </c>
      <c r="DR8" s="143" cm="1">
        <f t="array" ref="DR8">_xlfn.IFS(DR$1= 0,"", NOT(ISBLANK(DA8)), 0, ISBLANK(DA8), $Q8-$S8+BM8-CJ8)</f>
        <v>40.502360776769571</v>
      </c>
    </row>
    <row r="9" spans="1:138" ht="17.25" customHeight="1" thickBot="1" x14ac:dyDescent="0.35">
      <c r="A9" s="214">
        <v>1</v>
      </c>
      <c r="B9" s="144" t="s">
        <v>107</v>
      </c>
      <c r="C9" s="144" t="s">
        <v>116</v>
      </c>
      <c r="D9" s="145" t="s">
        <v>105</v>
      </c>
      <c r="E9" s="196" t="s">
        <v>108</v>
      </c>
      <c r="F9" s="204"/>
      <c r="G9" s="205"/>
      <c r="H9" s="205"/>
      <c r="I9" s="205"/>
      <c r="J9" s="205"/>
      <c r="K9" s="205"/>
      <c r="L9" s="205"/>
      <c r="M9" s="209"/>
      <c r="N9" s="204">
        <v>66.5</v>
      </c>
      <c r="O9" s="206">
        <v>5</v>
      </c>
      <c r="P9" s="199">
        <v>1</v>
      </c>
      <c r="Q9" s="127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6">
        <v>6.5</v>
      </c>
      <c r="Z9" s="9" t="s">
        <v>246</v>
      </c>
      <c r="AA9" s="4"/>
      <c r="AB9" s="4"/>
      <c r="AC9" s="87"/>
      <c r="AD9" s="8"/>
      <c r="AE9" s="2" t="str">
        <v/>
      </c>
      <c r="AH9" s="147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8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8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8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8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8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8">
        <f t="array" ref="AN9">IF(AN$1=0,"",SQRT((_xlfn.XLOOKUP(AN$1,$Z$2:$Z$18,$AA$2:$AA$18)-$T9)^2+(_xlfn.XLOOKUP(AN$1,$Z$2:$Z$18,$AB$2:$AB$18)-$U9)^2+(_xlfn.XLOOKUP(AN$1,$Z$2:$Z$18,$AC$2:$AC$18-$V9)^2)))</f>
        <v>191.21946788964766</v>
      </c>
      <c r="AO9" s="148">
        <f t="array" ref="AO9">IF(AO$1=0,"",SQRT((_xlfn.XLOOKUP(AO$1,$Z$2:$Z$18,$AA$2:$AA$18)-$T9)^2+(_xlfn.XLOOKUP(AO$1,$Z$2:$Z$18,$AB$2:$AB$18)-$U9)^2+(_xlfn.XLOOKUP(AO$1,$Z$2:$Z$18,$AC$2:$AC$18-$V9)^2)))</f>
        <v>191.21946788964766</v>
      </c>
      <c r="AP9" s="149">
        <f t="array" ref="AP9">IF(AP$1=0,"",SQRT((_xlfn.XLOOKUP(AP$1,$Z$2:$Z$18,$AA$2:$AA$18)-$T9)^2+(_xlfn.XLOOKUP(AP$1,$Z$2:$Z$18,$AB$2:$AB$18)-$U9)^2+(_xlfn.XLOOKUP(AP$1,$Z$2:$Z$18,$AC$2:$AC$18-$V9)^2)))</f>
        <v>191.21946788964766</v>
      </c>
      <c r="AQ9" s="149">
        <f t="array" ref="AQ9">IF(AQ$1=0,"",SQRT((_xlfn.XLOOKUP(AQ$1,$Z$2:$Z$18,$AA$2:$AA$18)-$T9)^2+(_xlfn.XLOOKUP(AQ$1,$Z$2:$Z$18,$AB$2:$AB$18)-$U9)^2+(_xlfn.XLOOKUP(AQ$1,$Z$2:$Z$18,$AC$2:$AC$18-$V9)^2)))</f>
        <v>191.21946788964766</v>
      </c>
      <c r="AR9" s="149">
        <f t="array" ref="AR9">IF(AR$1=0,"",SQRT((_xlfn.XLOOKUP(AR$1,$Z$2:$Z$18,$AA$2:$AA$18)-$T9)^2+(_xlfn.XLOOKUP(AR$1,$Z$2:$Z$18,$AB$2:$AB$18)-$U9)^2+(_xlfn.XLOOKUP(AR$1,$Z$2:$Z$18,$AC$2:$AC$18-$V9)^2)))</f>
        <v>191.21946788964766</v>
      </c>
      <c r="AS9" s="149">
        <f t="array" ref="AS9">IF(AS$1=0,"",SQRT((_xlfn.XLOOKUP(AS$1,$Z$2:$Z$18,$AA$2:$AA$18)-$T9)^2+(_xlfn.XLOOKUP(AS$1,$Z$2:$Z$18,$AB$2:$AB$18)-$U9)^2+(_xlfn.XLOOKUP(AS$1,$Z$2:$Z$18,$AC$2:$AC$18-$V9)^2)))</f>
        <v>191.21946788964766</v>
      </c>
      <c r="AT9" s="149">
        <f t="array" ref="AT9">IF(AT$1=0,"",SQRT((_xlfn.XLOOKUP(AT$1,$Z$2:$Z$18,$AA$2:$AA$18)-$T9)^2+(_xlfn.XLOOKUP(AT$1,$Z$2:$Z$18,$AB$2:$AB$18)-$U9)^2+(_xlfn.XLOOKUP(AT$1,$Z$2:$Z$18,$AC$2:$AC$18-$V9)^2)))</f>
        <v>191.21946788964766</v>
      </c>
      <c r="AU9" s="149">
        <f t="array" ref="AU9">IF(AU$1=0,"",SQRT((_xlfn.XLOOKUP(AU$1,$Z$2:$Z$18,$AA$2:$AA$18)-$T9)^2+(_xlfn.XLOOKUP(AU$1,$Z$2:$Z$18,$AB$2:$AB$18)-$U9)^2+(_xlfn.XLOOKUP(AU$1,$Z$2:$Z$18,$AC$2:$AC$18-$V9)^2)))</f>
        <v>191.21946788964766</v>
      </c>
      <c r="AV9" s="150">
        <f t="array" ref="AV9">IF(AV$1=0,"",SQRT((_xlfn.XLOOKUP(AV$1,$Z$2:$Z$18,$AA$2:$AA$18)-$T9)^2+(_xlfn.XLOOKUP(AV$1,$Z$2:$Z$18,$AB$2:$AB$18)-$U9)^2+(_xlfn.XLOOKUP(AV$1,$Z$2:$Z$18,$AC$2:$AC$18-$V9)^2)))</f>
        <v>191.21946788964766</v>
      </c>
      <c r="AW9" s="133"/>
      <c r="AX9" s="133"/>
      <c r="AY9" s="134">
        <f t="shared" si="19"/>
        <v>-43.292740043709543</v>
      </c>
      <c r="AZ9" s="151">
        <f t="shared" si="20"/>
        <v>-38.184502978864401</v>
      </c>
      <c r="BA9" s="151">
        <f t="shared" si="21"/>
        <v>-35.19591391268434</v>
      </c>
      <c r="BB9" s="151">
        <f t="shared" si="22"/>
        <v>-39.321105154537854</v>
      </c>
      <c r="BC9" s="151">
        <f t="shared" si="23"/>
        <v>-43.064563015526566</v>
      </c>
      <c r="BD9" s="151">
        <f t="shared" si="24"/>
        <v>-41.878443915278005</v>
      </c>
      <c r="BE9" s="151">
        <f t="shared" si="25"/>
        <v>-43.292740043709543</v>
      </c>
      <c r="BF9" s="151">
        <f t="shared" si="26"/>
        <v>-43.292740043709543</v>
      </c>
      <c r="BG9" s="152">
        <f t="shared" si="27"/>
        <v>-43.292740043709543</v>
      </c>
      <c r="BH9" s="152">
        <f t="shared" si="28"/>
        <v>-43.292740043709543</v>
      </c>
      <c r="BI9" s="152">
        <f t="shared" si="29"/>
        <v>-43.292740043709543</v>
      </c>
      <c r="BJ9" s="152">
        <f t="shared" si="30"/>
        <v>-43.292740043709543</v>
      </c>
      <c r="BK9" s="152">
        <f t="shared" si="31"/>
        <v>-43.292740043709543</v>
      </c>
      <c r="BL9" s="152">
        <f t="shared" si="32"/>
        <v>-43.292740043709543</v>
      </c>
      <c r="BM9" s="153">
        <f t="shared" si="33"/>
        <v>-43.292740043709543</v>
      </c>
      <c r="BN9" s="133"/>
      <c r="BO9" s="41" t="s">
        <v>35</v>
      </c>
      <c r="BP9" s="160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1">
        <f>SLOPE(BR6:BR7,BQ6:BQ7)</f>
        <v>-5.249999999999992</v>
      </c>
      <c r="BT9" s="133"/>
      <c r="BU9" s="133"/>
      <c r="BV9" s="139"/>
      <c r="BW9" s="139">
        <v>5</v>
      </c>
      <c r="BX9" s="139">
        <v>10</v>
      </c>
      <c r="BY9" s="139">
        <v>11</v>
      </c>
      <c r="BZ9" s="139">
        <v>10</v>
      </c>
      <c r="CA9" s="139">
        <v>5</v>
      </c>
      <c r="CB9" s="139"/>
      <c r="CC9" s="139"/>
      <c r="CD9" s="139"/>
      <c r="CE9" s="139"/>
      <c r="CF9" s="139"/>
      <c r="CG9" s="139"/>
      <c r="CH9" s="139"/>
      <c r="CI9" s="139"/>
      <c r="CJ9" s="139"/>
      <c r="CL9" s="133"/>
      <c r="CM9" s="139" t="s">
        <v>32</v>
      </c>
      <c r="CN9" s="139" t="s">
        <v>32</v>
      </c>
      <c r="CO9" s="139" t="s">
        <v>32</v>
      </c>
      <c r="CP9" s="139" t="s">
        <v>32</v>
      </c>
      <c r="CQ9" s="139" t="s">
        <v>32</v>
      </c>
      <c r="CR9" s="139" t="s">
        <v>32</v>
      </c>
      <c r="CS9" s="139"/>
      <c r="CT9" s="139"/>
      <c r="CU9" s="139"/>
      <c r="CV9" s="139"/>
      <c r="CW9" s="139"/>
      <c r="CX9" s="139"/>
      <c r="CY9" s="139"/>
      <c r="CZ9" s="139"/>
      <c r="DA9" s="139"/>
      <c r="DB9" s="133"/>
      <c r="DC9" s="133"/>
      <c r="DD9" s="154" cm="1">
        <f t="array" ref="DD9">_xlfn.IFS(DD$1= 0,"", NOT(ISBLANK(CM9)), 0, ISBLANK(CM9), $Q9-$S9+AY9-BV9)</f>
        <v>0</v>
      </c>
      <c r="DE9" s="155" cm="1">
        <f t="array" ref="DE9">_xlfn.IFS(DE$1= 0,"", NOT(ISBLANK(CN9)), 0, ISBLANK(CN9), $Q9-$S9+AZ9-BW9)</f>
        <v>0</v>
      </c>
      <c r="DF9" s="155" cm="1">
        <f t="array" ref="DF9">_xlfn.IFS(DF$1= 0,"", NOT(ISBLANK(CO9)), 0, ISBLANK(CO9), $Q9-$S9+BA9-BX9)</f>
        <v>0</v>
      </c>
      <c r="DG9" s="155" cm="1">
        <f t="array" ref="DG9">_xlfn.IFS(DG$1= 0,"", NOT(ISBLANK(CP9)), 0, ISBLANK(CP9), $Q9-$S9+BB9-BY9)</f>
        <v>0</v>
      </c>
      <c r="DH9" s="155" cm="1">
        <f t="array" ref="DH9">_xlfn.IFS(DH$1= 0,"", NOT(ISBLANK(CQ9)), 0, ISBLANK(CQ9), $Q9-$S9+BC9-BZ9)</f>
        <v>0</v>
      </c>
      <c r="DI9" s="155" cm="1">
        <f t="array" ref="DI9">_xlfn.IFS(DI$1= 0,"", NOT(ISBLANK(CR9)), 0, ISBLANK(CR9), $Q9-$S9+BD9-CA9)</f>
        <v>0</v>
      </c>
      <c r="DJ9" s="155" cm="1">
        <f t="array" ref="DJ9">_xlfn.IFS(DJ$1= 0,"", NOT(ISBLANK(CS9)), 0, ISBLANK(CS9), $Q9-$S9+BE9-CB9)</f>
        <v>37.707259956290457</v>
      </c>
      <c r="DK9" s="155" cm="1">
        <f t="array" ref="DK9">_xlfn.IFS(DK$1= 0,"", NOT(ISBLANK(CT9)), 0, ISBLANK(CT9), $Q9-$S9+BF9-CC9)</f>
        <v>37.707259956290457</v>
      </c>
      <c r="DL9" s="156" cm="1">
        <f t="array" ref="DL9">_xlfn.IFS(DL$1= 0,"", NOT(ISBLANK(CU9)), 0, ISBLANK(CU9), $Q9-$S9+BG9-CD9)</f>
        <v>37.707259956290457</v>
      </c>
      <c r="DM9" s="156" cm="1">
        <f t="array" ref="DM9">_xlfn.IFS(DM$1= 0,"", NOT(ISBLANK(CV9)), 0, ISBLANK(CV9), $Q9-$S9+BH9-CE9)</f>
        <v>37.707259956290457</v>
      </c>
      <c r="DN9" s="156" cm="1">
        <f t="array" ref="DN9">_xlfn.IFS(DN$1= 0,"", NOT(ISBLANK(CW9)), 0, ISBLANK(CW9), $Q9-$S9+BI9-CF9)</f>
        <v>37.707259956290457</v>
      </c>
      <c r="DO9" s="156" cm="1">
        <f t="array" ref="DO9">_xlfn.IFS(DO$1= 0,"", NOT(ISBLANK(CX9)), 0, ISBLANK(CX9), $Q9-$S9+BJ9-CG9)</f>
        <v>37.707259956290457</v>
      </c>
      <c r="DP9" s="142" cm="1">
        <f t="array" ref="DP9">_xlfn.IFS(DP$1= 0,"", NOT(ISBLANK(CY9)), 0, ISBLANK(CY9), $Q9-$S9+BK9-CH9)</f>
        <v>37.707259956290457</v>
      </c>
      <c r="DQ9" s="142" cm="1">
        <f t="array" ref="DQ9">_xlfn.IFS(DQ$1= 0,"", NOT(ISBLANK(CZ9)), 0, ISBLANK(CZ9), $Q9-$S9+BL9-CI9)</f>
        <v>37.707259956290457</v>
      </c>
      <c r="DR9" s="143" cm="1">
        <f t="array" ref="DR9">_xlfn.IFS(DR$1= 0,"", NOT(ISBLANK(DA9)), 0, ISBLANK(DA9), $Q9-$S9+BM9-CJ9)</f>
        <v>37.707259956290457</v>
      </c>
    </row>
    <row r="10" spans="1:138" ht="17.25" customHeight="1" thickBot="1" x14ac:dyDescent="0.35">
      <c r="A10" s="214">
        <v>1</v>
      </c>
      <c r="B10" s="125" t="s">
        <v>109</v>
      </c>
      <c r="C10" s="144" t="s">
        <v>116</v>
      </c>
      <c r="D10" s="145" t="s">
        <v>105</v>
      </c>
      <c r="E10" s="196" t="s">
        <v>110</v>
      </c>
      <c r="F10" s="204"/>
      <c r="G10" s="205"/>
      <c r="H10" s="205"/>
      <c r="I10" s="205"/>
      <c r="J10" s="205"/>
      <c r="K10" s="205"/>
      <c r="L10" s="205"/>
      <c r="M10" s="209"/>
      <c r="N10" s="204">
        <v>58</v>
      </c>
      <c r="O10" s="206">
        <v>5</v>
      </c>
      <c r="P10" s="199">
        <v>1</v>
      </c>
      <c r="Q10" s="127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6">
        <v>6</v>
      </c>
      <c r="Z10" s="9" t="s">
        <v>247</v>
      </c>
      <c r="AA10" s="4"/>
      <c r="AB10" s="4"/>
      <c r="AC10" s="87"/>
      <c r="AD10" s="8"/>
      <c r="AE10" s="2" t="str">
        <v/>
      </c>
      <c r="AH10" s="147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8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8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8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8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8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8">
        <f t="array" ref="AN10">IF(AN$1=0,"",SQRT((_xlfn.XLOOKUP(AN$1,$Z$2:$Z$18,$AA$2:$AA$18)-$T10)^2+(_xlfn.XLOOKUP(AN$1,$Z$2:$Z$18,$AB$2:$AB$18)-$U10)^2+(_xlfn.XLOOKUP(AN$1,$Z$2:$Z$18,$AC$2:$AC$18-$V10)^2)))</f>
        <v>202.64707473832431</v>
      </c>
      <c r="AO10" s="148">
        <f t="array" ref="AO10">IF(AO$1=0,"",SQRT((_xlfn.XLOOKUP(AO$1,$Z$2:$Z$18,$AA$2:$AA$18)-$T10)^2+(_xlfn.XLOOKUP(AO$1,$Z$2:$Z$18,$AB$2:$AB$18)-$U10)^2+(_xlfn.XLOOKUP(AO$1,$Z$2:$Z$18,$AC$2:$AC$18-$V10)^2)))</f>
        <v>202.64707473832431</v>
      </c>
      <c r="AP10" s="149">
        <f t="array" ref="AP10">IF(AP$1=0,"",SQRT((_xlfn.XLOOKUP(AP$1,$Z$2:$Z$18,$AA$2:$AA$18)-$T10)^2+(_xlfn.XLOOKUP(AP$1,$Z$2:$Z$18,$AB$2:$AB$18)-$U10)^2+(_xlfn.XLOOKUP(AP$1,$Z$2:$Z$18,$AC$2:$AC$18-$V10)^2)))</f>
        <v>202.64707473832431</v>
      </c>
      <c r="AQ10" s="149">
        <f t="array" ref="AQ10">IF(AQ$1=0,"",SQRT((_xlfn.XLOOKUP(AQ$1,$Z$2:$Z$18,$AA$2:$AA$18)-$T10)^2+(_xlfn.XLOOKUP(AQ$1,$Z$2:$Z$18,$AB$2:$AB$18)-$U10)^2+(_xlfn.XLOOKUP(AQ$1,$Z$2:$Z$18,$AC$2:$AC$18-$V10)^2)))</f>
        <v>202.64707473832431</v>
      </c>
      <c r="AR10" s="149">
        <f t="array" ref="AR10">IF(AR$1=0,"",SQRT((_xlfn.XLOOKUP(AR$1,$Z$2:$Z$18,$AA$2:$AA$18)-$T10)^2+(_xlfn.XLOOKUP(AR$1,$Z$2:$Z$18,$AB$2:$AB$18)-$U10)^2+(_xlfn.XLOOKUP(AR$1,$Z$2:$Z$18,$AC$2:$AC$18-$V10)^2)))</f>
        <v>202.64707473832431</v>
      </c>
      <c r="AS10" s="149">
        <f t="array" ref="AS10">IF(AS$1=0,"",SQRT((_xlfn.XLOOKUP(AS$1,$Z$2:$Z$18,$AA$2:$AA$18)-$T10)^2+(_xlfn.XLOOKUP(AS$1,$Z$2:$Z$18,$AB$2:$AB$18)-$U10)^2+(_xlfn.XLOOKUP(AS$1,$Z$2:$Z$18,$AC$2:$AC$18-$V10)^2)))</f>
        <v>202.64707473832431</v>
      </c>
      <c r="AT10" s="149">
        <f t="array" ref="AT10">IF(AT$1=0,"",SQRT((_xlfn.XLOOKUP(AT$1,$Z$2:$Z$18,$AA$2:$AA$18)-$T10)^2+(_xlfn.XLOOKUP(AT$1,$Z$2:$Z$18,$AB$2:$AB$18)-$U10)^2+(_xlfn.XLOOKUP(AT$1,$Z$2:$Z$18,$AC$2:$AC$18-$V10)^2)))</f>
        <v>202.64707473832431</v>
      </c>
      <c r="AU10" s="149">
        <f t="array" ref="AU10">IF(AU$1=0,"",SQRT((_xlfn.XLOOKUP(AU$1,$Z$2:$Z$18,$AA$2:$AA$18)-$T10)^2+(_xlfn.XLOOKUP(AU$1,$Z$2:$Z$18,$AB$2:$AB$18)-$U10)^2+(_xlfn.XLOOKUP(AU$1,$Z$2:$Z$18,$AC$2:$AC$18-$V10)^2)))</f>
        <v>202.64707473832431</v>
      </c>
      <c r="AV10" s="150">
        <f t="array" ref="AV10">IF(AV$1=0,"",SQRT((_xlfn.XLOOKUP(AV$1,$Z$2:$Z$18,$AA$2:$AA$18)-$T10)^2+(_xlfn.XLOOKUP(AV$1,$Z$2:$Z$18,$AB$2:$AB$18)-$U10)^2+(_xlfn.XLOOKUP(AV$1,$Z$2:$Z$18,$AC$2:$AC$18-$V10)^2)))</f>
        <v>202.64707473832431</v>
      </c>
      <c r="AW10" s="133"/>
      <c r="AX10" s="133"/>
      <c r="AY10" s="134">
        <f t="shared" si="19"/>
        <v>-43.796904716382201</v>
      </c>
      <c r="AZ10" s="151">
        <f t="shared" si="20"/>
        <v>-39.233516068180428</v>
      </c>
      <c r="BA10" s="151">
        <f t="shared" si="21"/>
        <v>-36.147708524166127</v>
      </c>
      <c r="BB10" s="151">
        <f t="shared" si="22"/>
        <v>-38.89509713228032</v>
      </c>
      <c r="BC10" s="151">
        <f t="shared" si="23"/>
        <v>-42.462167021369211</v>
      </c>
      <c r="BD10" s="151">
        <f t="shared" si="24"/>
        <v>-42.296920010936347</v>
      </c>
      <c r="BE10" s="151">
        <f t="shared" si="25"/>
        <v>-43.796904716382201</v>
      </c>
      <c r="BF10" s="151">
        <f t="shared" si="26"/>
        <v>-43.796904716382201</v>
      </c>
      <c r="BG10" s="152">
        <f t="shared" si="27"/>
        <v>-43.796904716382201</v>
      </c>
      <c r="BH10" s="152">
        <f t="shared" si="28"/>
        <v>-43.796904716382201</v>
      </c>
      <c r="BI10" s="152">
        <f t="shared" si="29"/>
        <v>-43.796904716382201</v>
      </c>
      <c r="BJ10" s="152">
        <f t="shared" si="30"/>
        <v>-43.796904716382201</v>
      </c>
      <c r="BK10" s="152">
        <f t="shared" si="31"/>
        <v>-43.796904716382201</v>
      </c>
      <c r="BL10" s="152">
        <f t="shared" si="32"/>
        <v>-43.796904716382201</v>
      </c>
      <c r="BM10" s="153">
        <f t="shared" si="33"/>
        <v>-43.796904716382201</v>
      </c>
      <c r="BN10" s="133"/>
      <c r="BO10" s="41" t="s">
        <v>37</v>
      </c>
      <c r="BP10" s="162">
        <f>BP8-BP9</f>
        <v>43.925501116357921</v>
      </c>
      <c r="BQ10" s="44" t="s">
        <v>38</v>
      </c>
      <c r="BR10" s="120">
        <f>BR4-(BR8*BQ4)</f>
        <v>78.924476177011172</v>
      </c>
      <c r="BS10" s="161">
        <f>INTERCEPT(BR4:BR5,BQ4:BQ5)</f>
        <v>78.924476177011172</v>
      </c>
      <c r="BT10" s="133"/>
      <c r="BU10" s="133"/>
      <c r="BV10" s="139"/>
      <c r="BW10" s="139">
        <v>5</v>
      </c>
      <c r="BX10" s="139">
        <v>10</v>
      </c>
      <c r="BY10" s="139">
        <v>12</v>
      </c>
      <c r="BZ10" s="139">
        <v>9</v>
      </c>
      <c r="CA10" s="139">
        <v>5</v>
      </c>
      <c r="CB10" s="139"/>
      <c r="CC10" s="139"/>
      <c r="CD10" s="139"/>
      <c r="CE10" s="139"/>
      <c r="CF10" s="139"/>
      <c r="CG10" s="139"/>
      <c r="CH10" s="139"/>
      <c r="CI10" s="139"/>
      <c r="CJ10" s="139"/>
      <c r="CL10" s="133"/>
      <c r="CM10" s="139" t="s">
        <v>32</v>
      </c>
      <c r="CN10" s="139" t="s">
        <v>32</v>
      </c>
      <c r="CO10" s="139" t="s">
        <v>32</v>
      </c>
      <c r="CP10" s="139" t="s">
        <v>32</v>
      </c>
      <c r="CQ10" s="139" t="s">
        <v>32</v>
      </c>
      <c r="CR10" s="139" t="s">
        <v>32</v>
      </c>
      <c r="CS10" s="139"/>
      <c r="CT10" s="139"/>
      <c r="CU10" s="139"/>
      <c r="CV10" s="139"/>
      <c r="CW10" s="139"/>
      <c r="CX10" s="139"/>
      <c r="CY10" s="139"/>
      <c r="CZ10" s="139"/>
      <c r="DA10" s="139"/>
      <c r="DB10" s="133"/>
      <c r="DC10" s="133"/>
      <c r="DD10" s="154" cm="1">
        <f t="array" ref="DD10">_xlfn.IFS(DD$1= 0,"", NOT(ISBLANK(CM10)), 0, ISBLANK(CM10), $Q10-$S10+AY10-BV10)</f>
        <v>0</v>
      </c>
      <c r="DE10" s="155" cm="1">
        <f t="array" ref="DE10">_xlfn.IFS(DE$1= 0,"", NOT(ISBLANK(CN10)), 0, ISBLANK(CN10), $Q10-$S10+AZ10-BW10)</f>
        <v>0</v>
      </c>
      <c r="DF10" s="155" cm="1">
        <f t="array" ref="DF10">_xlfn.IFS(DF$1= 0,"", NOT(ISBLANK(CO10)), 0, ISBLANK(CO10), $Q10-$S10+BA10-BX10)</f>
        <v>0</v>
      </c>
      <c r="DG10" s="155" cm="1">
        <f t="array" ref="DG10">_xlfn.IFS(DG$1= 0,"", NOT(ISBLANK(CP10)), 0, ISBLANK(CP10), $Q10-$S10+BB10-BY10)</f>
        <v>0</v>
      </c>
      <c r="DH10" s="155" cm="1">
        <f t="array" ref="DH10">_xlfn.IFS(DH$1= 0,"", NOT(ISBLANK(CQ10)), 0, ISBLANK(CQ10), $Q10-$S10+BC10-BZ10)</f>
        <v>0</v>
      </c>
      <c r="DI10" s="155" cm="1">
        <f t="array" ref="DI10">_xlfn.IFS(DI$1= 0,"", NOT(ISBLANK(CR10)), 0, ISBLANK(CR10), $Q10-$S10+BD10-CA10)</f>
        <v>0</v>
      </c>
      <c r="DJ10" s="155" cm="1">
        <f t="array" ref="DJ10">_xlfn.IFS(DJ$1= 0,"", NOT(ISBLANK(CS10)), 0, ISBLANK(CS10), $Q10-$S10+BE10-CB10)</f>
        <v>29.203095283617799</v>
      </c>
      <c r="DK10" s="155" cm="1">
        <f t="array" ref="DK10">_xlfn.IFS(DK$1= 0,"", NOT(ISBLANK(CT10)), 0, ISBLANK(CT10), $Q10-$S10+BF10-CC10)</f>
        <v>29.203095283617799</v>
      </c>
      <c r="DL10" s="156" cm="1">
        <f t="array" ref="DL10">_xlfn.IFS(DL$1= 0,"", NOT(ISBLANK(CU10)), 0, ISBLANK(CU10), $Q10-$S10+BG10-CD10)</f>
        <v>29.203095283617799</v>
      </c>
      <c r="DM10" s="156" cm="1">
        <f t="array" ref="DM10">_xlfn.IFS(DM$1= 0,"", NOT(ISBLANK(CV10)), 0, ISBLANK(CV10), $Q10-$S10+BH10-CE10)</f>
        <v>29.203095283617799</v>
      </c>
      <c r="DN10" s="156" cm="1">
        <f t="array" ref="DN10">_xlfn.IFS(DN$1= 0,"", NOT(ISBLANK(CW10)), 0, ISBLANK(CW10), $Q10-$S10+BI10-CF10)</f>
        <v>29.203095283617799</v>
      </c>
      <c r="DO10" s="156" cm="1">
        <f t="array" ref="DO10">_xlfn.IFS(DO$1= 0,"", NOT(ISBLANK(CX10)), 0, ISBLANK(CX10), $Q10-$S10+BJ10-CG10)</f>
        <v>29.203095283617799</v>
      </c>
      <c r="DP10" s="142" cm="1">
        <f t="array" ref="DP10">_xlfn.IFS(DP$1= 0,"", NOT(ISBLANK(CY10)), 0, ISBLANK(CY10), $Q10-$S10+BK10-CH10)</f>
        <v>29.203095283617799</v>
      </c>
      <c r="DQ10" s="142" cm="1">
        <f t="array" ref="DQ10">_xlfn.IFS(DQ$1= 0,"", NOT(ISBLANK(CZ10)), 0, ISBLANK(CZ10), $Q10-$S10+BL10-CI10)</f>
        <v>29.203095283617799</v>
      </c>
      <c r="DR10" s="143" cm="1">
        <f t="array" ref="DR10">_xlfn.IFS(DR$1= 0,"", NOT(ISBLANK(DA10)), 0, ISBLANK(DA10), $Q10-$S10+BM10-CJ10)</f>
        <v>29.203095283617799</v>
      </c>
    </row>
    <row r="11" spans="1:138" ht="17.25" customHeight="1" thickBot="1" x14ac:dyDescent="0.35">
      <c r="A11" s="214">
        <v>1</v>
      </c>
      <c r="B11" s="144" t="s">
        <v>111</v>
      </c>
      <c r="C11" s="144" t="s">
        <v>116</v>
      </c>
      <c r="D11" s="145" t="s">
        <v>105</v>
      </c>
      <c r="E11" s="196" t="s">
        <v>112</v>
      </c>
      <c r="F11" s="204"/>
      <c r="G11" s="205"/>
      <c r="H11" s="205"/>
      <c r="I11" s="205"/>
      <c r="J11" s="205"/>
      <c r="K11" s="205"/>
      <c r="L11" s="205"/>
      <c r="M11" s="209"/>
      <c r="N11" s="204">
        <v>60</v>
      </c>
      <c r="O11" s="206">
        <v>5</v>
      </c>
      <c r="P11" s="199">
        <v>1</v>
      </c>
      <c r="Q11" s="127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6">
        <v>6</v>
      </c>
      <c r="Z11" s="9" t="s">
        <v>248</v>
      </c>
      <c r="AA11" s="4"/>
      <c r="AB11" s="4"/>
      <c r="AC11" s="87"/>
      <c r="AD11" s="8"/>
      <c r="AE11" s="2" t="str">
        <v/>
      </c>
      <c r="AH11" s="147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8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8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8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8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8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8">
        <f t="array" ref="AN11">IF(AN$1=0,"",SQRT((_xlfn.XLOOKUP(AN$1,$Z$2:$Z$18,$AA$2:$AA$18)-$T11)^2+(_xlfn.XLOOKUP(AN$1,$Z$2:$Z$18,$AB$2:$AB$18)-$U11)^2+(_xlfn.XLOOKUP(AN$1,$Z$2:$Z$18,$AC$2:$AC$18-$V11)^2)))</f>
        <v>171.13048238113512</v>
      </c>
      <c r="AO11" s="148">
        <f t="array" ref="AO11">IF(AO$1=0,"",SQRT((_xlfn.XLOOKUP(AO$1,$Z$2:$Z$18,$AA$2:$AA$18)-$T11)^2+(_xlfn.XLOOKUP(AO$1,$Z$2:$Z$18,$AB$2:$AB$18)-$U11)^2+(_xlfn.XLOOKUP(AO$1,$Z$2:$Z$18,$AC$2:$AC$18-$V11)^2)))</f>
        <v>171.13048238113512</v>
      </c>
      <c r="AP11" s="149">
        <f t="array" ref="AP11">IF(AP$1=0,"",SQRT((_xlfn.XLOOKUP(AP$1,$Z$2:$Z$18,$AA$2:$AA$18)-$T11)^2+(_xlfn.XLOOKUP(AP$1,$Z$2:$Z$18,$AB$2:$AB$18)-$U11)^2+(_xlfn.XLOOKUP(AP$1,$Z$2:$Z$18,$AC$2:$AC$18-$V11)^2)))</f>
        <v>171.13048238113512</v>
      </c>
      <c r="AQ11" s="149">
        <f t="array" ref="AQ11">IF(AQ$1=0,"",SQRT((_xlfn.XLOOKUP(AQ$1,$Z$2:$Z$18,$AA$2:$AA$18)-$T11)^2+(_xlfn.XLOOKUP(AQ$1,$Z$2:$Z$18,$AB$2:$AB$18)-$U11)^2+(_xlfn.XLOOKUP(AQ$1,$Z$2:$Z$18,$AC$2:$AC$18-$V11)^2)))</f>
        <v>171.13048238113512</v>
      </c>
      <c r="AR11" s="149">
        <f t="array" ref="AR11">IF(AR$1=0,"",SQRT((_xlfn.XLOOKUP(AR$1,$Z$2:$Z$18,$AA$2:$AA$18)-$T11)^2+(_xlfn.XLOOKUP(AR$1,$Z$2:$Z$18,$AB$2:$AB$18)-$U11)^2+(_xlfn.XLOOKUP(AR$1,$Z$2:$Z$18,$AC$2:$AC$18-$V11)^2)))</f>
        <v>171.13048238113512</v>
      </c>
      <c r="AS11" s="149">
        <f t="array" ref="AS11">IF(AS$1=0,"",SQRT((_xlfn.XLOOKUP(AS$1,$Z$2:$Z$18,$AA$2:$AA$18)-$T11)^2+(_xlfn.XLOOKUP(AS$1,$Z$2:$Z$18,$AB$2:$AB$18)-$U11)^2+(_xlfn.XLOOKUP(AS$1,$Z$2:$Z$18,$AC$2:$AC$18-$V11)^2)))</f>
        <v>171.13048238113512</v>
      </c>
      <c r="AT11" s="149">
        <f t="array" ref="AT11">IF(AT$1=0,"",SQRT((_xlfn.XLOOKUP(AT$1,$Z$2:$Z$18,$AA$2:$AA$18)-$T11)^2+(_xlfn.XLOOKUP(AT$1,$Z$2:$Z$18,$AB$2:$AB$18)-$U11)^2+(_xlfn.XLOOKUP(AT$1,$Z$2:$Z$18,$AC$2:$AC$18-$V11)^2)))</f>
        <v>171.13048238113512</v>
      </c>
      <c r="AU11" s="149">
        <f t="array" ref="AU11">IF(AU$1=0,"",SQRT((_xlfn.XLOOKUP(AU$1,$Z$2:$Z$18,$AA$2:$AA$18)-$T11)^2+(_xlfn.XLOOKUP(AU$1,$Z$2:$Z$18,$AB$2:$AB$18)-$U11)^2+(_xlfn.XLOOKUP(AU$1,$Z$2:$Z$18,$AC$2:$AC$18-$V11)^2)))</f>
        <v>171.13048238113512</v>
      </c>
      <c r="AV11" s="150">
        <f t="array" ref="AV11">IF(AV$1=0,"",SQRT((_xlfn.XLOOKUP(AV$1,$Z$2:$Z$18,$AA$2:$AA$18)-$T11)^2+(_xlfn.XLOOKUP(AV$1,$Z$2:$Z$18,$AB$2:$AB$18)-$U11)^2+(_xlfn.XLOOKUP(AV$1,$Z$2:$Z$18,$AC$2:$AC$18-$V11)^2)))</f>
        <v>171.13048238113512</v>
      </c>
      <c r="AW11" s="133"/>
      <c r="AX11" s="133"/>
      <c r="AY11" s="134">
        <f t="shared" si="19"/>
        <v>-42.328645427675234</v>
      </c>
      <c r="AZ11" s="151">
        <f t="shared" si="20"/>
        <v>-36.114870734770832</v>
      </c>
      <c r="BA11" s="151">
        <f t="shared" si="21"/>
        <v>-33.462565044758826</v>
      </c>
      <c r="BB11" s="151">
        <f t="shared" si="22"/>
        <v>-39.973550535529917</v>
      </c>
      <c r="BC11" s="151">
        <f t="shared" si="23"/>
        <v>-43.938019703771531</v>
      </c>
      <c r="BD11" s="151">
        <f t="shared" si="24"/>
        <v>-41.389268393394005</v>
      </c>
      <c r="BE11" s="151">
        <f t="shared" si="25"/>
        <v>-42.328645427675234</v>
      </c>
      <c r="BF11" s="151">
        <f t="shared" si="26"/>
        <v>-42.328645427675234</v>
      </c>
      <c r="BG11" s="152">
        <f t="shared" si="27"/>
        <v>-42.328645427675234</v>
      </c>
      <c r="BH11" s="152">
        <f t="shared" si="28"/>
        <v>-42.328645427675234</v>
      </c>
      <c r="BI11" s="152">
        <f t="shared" si="29"/>
        <v>-42.328645427675234</v>
      </c>
      <c r="BJ11" s="152">
        <f t="shared" si="30"/>
        <v>-42.328645427675234</v>
      </c>
      <c r="BK11" s="152">
        <f t="shared" si="31"/>
        <v>-42.328645427675234</v>
      </c>
      <c r="BL11" s="152">
        <f t="shared" si="32"/>
        <v>-42.328645427675234</v>
      </c>
      <c r="BM11" s="153">
        <f t="shared" si="33"/>
        <v>-42.328645427675234</v>
      </c>
      <c r="BN11" s="133"/>
      <c r="BO11" s="41" t="s">
        <v>39</v>
      </c>
      <c r="BP11" s="163">
        <f>SQRT(BP8^2+(BS5-BS4)^2)</f>
        <v>72.737805163477404</v>
      </c>
      <c r="BQ11" s="44" t="s">
        <v>40</v>
      </c>
      <c r="BR11" s="120">
        <f>BR6-(BR9*BQ6)</f>
        <v>495.08249999999941</v>
      </c>
      <c r="BS11" s="161">
        <f>INTERCEPT(BR6:BR7,BQ6:BQ7)</f>
        <v>495.0824999999993</v>
      </c>
      <c r="BT11" s="133"/>
      <c r="BU11" s="133"/>
      <c r="BV11" s="139"/>
      <c r="BW11" s="139">
        <v>4</v>
      </c>
      <c r="BX11" s="139">
        <v>8</v>
      </c>
      <c r="BY11" s="139">
        <v>11</v>
      </c>
      <c r="BZ11" s="139">
        <v>11</v>
      </c>
      <c r="CA11" s="139">
        <v>7</v>
      </c>
      <c r="CB11" s="139"/>
      <c r="CC11" s="139"/>
      <c r="CD11" s="139"/>
      <c r="CE11" s="139"/>
      <c r="CF11" s="139"/>
      <c r="CG11" s="139"/>
      <c r="CH11" s="139"/>
      <c r="CI11" s="139"/>
      <c r="CJ11" s="139"/>
      <c r="CL11" s="133"/>
      <c r="CM11" s="139" t="s">
        <v>32</v>
      </c>
      <c r="CN11" s="139" t="s">
        <v>32</v>
      </c>
      <c r="CO11" s="139" t="s">
        <v>32</v>
      </c>
      <c r="CP11" s="139" t="s">
        <v>32</v>
      </c>
      <c r="CQ11" s="139" t="s">
        <v>32</v>
      </c>
      <c r="CR11" s="139" t="s">
        <v>32</v>
      </c>
      <c r="CS11" s="139"/>
      <c r="CT11" s="139"/>
      <c r="CU11" s="139"/>
      <c r="CV11" s="139"/>
      <c r="CW11" s="139"/>
      <c r="CX11" s="139"/>
      <c r="CY11" s="139"/>
      <c r="CZ11" s="139"/>
      <c r="DA11" s="139"/>
      <c r="DB11" s="133"/>
      <c r="DC11" s="133"/>
      <c r="DD11" s="154" cm="1">
        <f t="array" ref="DD11">_xlfn.IFS(DD$1= 0,"", NOT(ISBLANK(CM11)), 0, ISBLANK(CM11), $Q11-$S11+AY11-BV11)</f>
        <v>0</v>
      </c>
      <c r="DE11" s="155" cm="1">
        <f t="array" ref="DE11">_xlfn.IFS(DE$1= 0,"", NOT(ISBLANK(CN11)), 0, ISBLANK(CN11), $Q11-$S11+AZ11-BW11)</f>
        <v>0</v>
      </c>
      <c r="DF11" s="155" cm="1">
        <f t="array" ref="DF11">_xlfn.IFS(DF$1= 0,"", NOT(ISBLANK(CO11)), 0, ISBLANK(CO11), $Q11-$S11+BA11-BX11)</f>
        <v>0</v>
      </c>
      <c r="DG11" s="155" cm="1">
        <f t="array" ref="DG11">_xlfn.IFS(DG$1= 0,"", NOT(ISBLANK(CP11)), 0, ISBLANK(CP11), $Q11-$S11+BB11-BY11)</f>
        <v>0</v>
      </c>
      <c r="DH11" s="155" cm="1">
        <f t="array" ref="DH11">_xlfn.IFS(DH$1= 0,"", NOT(ISBLANK(CQ11)), 0, ISBLANK(CQ11), $Q11-$S11+BC11-BZ11)</f>
        <v>0</v>
      </c>
      <c r="DI11" s="155" cm="1">
        <f t="array" ref="DI11">_xlfn.IFS(DI$1= 0,"", NOT(ISBLANK(CR11)), 0, ISBLANK(CR11), $Q11-$S11+BD11-CA11)</f>
        <v>0</v>
      </c>
      <c r="DJ11" s="155" cm="1">
        <f t="array" ref="DJ11">_xlfn.IFS(DJ$1= 0,"", NOT(ISBLANK(CS11)), 0, ISBLANK(CS11), $Q11-$S11+BE11-CB11)</f>
        <v>32.671354572324766</v>
      </c>
      <c r="DK11" s="155" cm="1">
        <f t="array" ref="DK11">_xlfn.IFS(DK$1= 0,"", NOT(ISBLANK(CT11)), 0, ISBLANK(CT11), $Q11-$S11+BF11-CC11)</f>
        <v>32.671354572324766</v>
      </c>
      <c r="DL11" s="156" cm="1">
        <f t="array" ref="DL11">_xlfn.IFS(DL$1= 0,"", NOT(ISBLANK(CU11)), 0, ISBLANK(CU11), $Q11-$S11+BG11-CD11)</f>
        <v>32.671354572324766</v>
      </c>
      <c r="DM11" s="156" cm="1">
        <f t="array" ref="DM11">_xlfn.IFS(DM$1= 0,"", NOT(ISBLANK(CV11)), 0, ISBLANK(CV11), $Q11-$S11+BH11-CE11)</f>
        <v>32.671354572324766</v>
      </c>
      <c r="DN11" s="156" cm="1">
        <f t="array" ref="DN11">_xlfn.IFS(DN$1= 0,"", NOT(ISBLANK(CW11)), 0, ISBLANK(CW11), $Q11-$S11+BI11-CF11)</f>
        <v>32.671354572324766</v>
      </c>
      <c r="DO11" s="156" cm="1">
        <f t="array" ref="DO11">_xlfn.IFS(DO$1= 0,"", NOT(ISBLANK(CX11)), 0, ISBLANK(CX11), $Q11-$S11+BJ11-CG11)</f>
        <v>32.671354572324766</v>
      </c>
      <c r="DP11" s="142" cm="1">
        <f t="array" ref="DP11">_xlfn.IFS(DP$1= 0,"", NOT(ISBLANK(CY11)), 0, ISBLANK(CY11), $Q11-$S11+BK11-CH11)</f>
        <v>32.671354572324766</v>
      </c>
      <c r="DQ11" s="142" cm="1">
        <f t="array" ref="DQ11">_xlfn.IFS(DQ$1= 0,"", NOT(ISBLANK(CZ11)), 0, ISBLANK(CZ11), $Q11-$S11+BL11-CI11)</f>
        <v>32.671354572324766</v>
      </c>
      <c r="DR11" s="143" cm="1">
        <f t="array" ref="DR11">_xlfn.IFS(DR$1= 0,"", NOT(ISBLANK(DA11)), 0, ISBLANK(DA11), $Q11-$S11+BM11-CJ11)</f>
        <v>32.671354572324766</v>
      </c>
    </row>
    <row r="12" spans="1:138" ht="17.25" customHeight="1" thickBot="1" x14ac:dyDescent="0.35">
      <c r="A12" s="214">
        <v>4</v>
      </c>
      <c r="B12" s="144" t="s">
        <v>148</v>
      </c>
      <c r="C12" s="144" t="s">
        <v>116</v>
      </c>
      <c r="D12" s="145" t="s">
        <v>95</v>
      </c>
      <c r="E12" s="196" t="s">
        <v>113</v>
      </c>
      <c r="F12" s="204"/>
      <c r="G12" s="205"/>
      <c r="H12" s="205"/>
      <c r="I12" s="205"/>
      <c r="J12" s="205"/>
      <c r="K12" s="205"/>
      <c r="L12" s="205"/>
      <c r="M12" s="209"/>
      <c r="N12" s="204">
        <v>58</v>
      </c>
      <c r="O12" s="206">
        <v>5</v>
      </c>
      <c r="P12" s="199">
        <v>1</v>
      </c>
      <c r="Q12" s="12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6">
        <v>4</v>
      </c>
      <c r="Z12" s="9" t="s">
        <v>249</v>
      </c>
      <c r="AA12" s="4"/>
      <c r="AB12" s="4"/>
      <c r="AC12" s="87"/>
      <c r="AD12" s="8"/>
      <c r="AE12" s="2" t="str">
        <v/>
      </c>
      <c r="AH12" s="147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8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8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8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8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8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8">
        <f t="array" ref="AN12">IF(AN$1=0,"",SQRT((_xlfn.XLOOKUP(AN$1,$Z$2:$Z$18,$AA$2:$AA$18)-$T12)^2+(_xlfn.XLOOKUP(AN$1,$Z$2:$Z$18,$AB$2:$AB$18)-$U12)^2+(_xlfn.XLOOKUP(AN$1,$Z$2:$Z$18,$AC$2:$AC$18-$V12)^2)))</f>
        <v>246.09394974277609</v>
      </c>
      <c r="AO12" s="148">
        <f t="array" ref="AO12">IF(AO$1=0,"",SQRT((_xlfn.XLOOKUP(AO$1,$Z$2:$Z$18,$AA$2:$AA$18)-$T12)^2+(_xlfn.XLOOKUP(AO$1,$Z$2:$Z$18,$AB$2:$AB$18)-$U12)^2+(_xlfn.XLOOKUP(AO$1,$Z$2:$Z$18,$AC$2:$AC$18-$V12)^2)))</f>
        <v>246.09394974277609</v>
      </c>
      <c r="AP12" s="149">
        <f t="array" ref="AP12">IF(AP$1=0,"",SQRT((_xlfn.XLOOKUP(AP$1,$Z$2:$Z$18,$AA$2:$AA$18)-$T12)^2+(_xlfn.XLOOKUP(AP$1,$Z$2:$Z$18,$AB$2:$AB$18)-$U12)^2+(_xlfn.XLOOKUP(AP$1,$Z$2:$Z$18,$AC$2:$AC$18-$V12)^2)))</f>
        <v>246.09394974277609</v>
      </c>
      <c r="AQ12" s="149">
        <f t="array" ref="AQ12">IF(AQ$1=0,"",SQRT((_xlfn.XLOOKUP(AQ$1,$Z$2:$Z$18,$AA$2:$AA$18)-$T12)^2+(_xlfn.XLOOKUP(AQ$1,$Z$2:$Z$18,$AB$2:$AB$18)-$U12)^2+(_xlfn.XLOOKUP(AQ$1,$Z$2:$Z$18,$AC$2:$AC$18-$V12)^2)))</f>
        <v>246.09394974277609</v>
      </c>
      <c r="AR12" s="149">
        <f t="array" ref="AR12">IF(AR$1=0,"",SQRT((_xlfn.XLOOKUP(AR$1,$Z$2:$Z$18,$AA$2:$AA$18)-$T12)^2+(_xlfn.XLOOKUP(AR$1,$Z$2:$Z$18,$AB$2:$AB$18)-$U12)^2+(_xlfn.XLOOKUP(AR$1,$Z$2:$Z$18,$AC$2:$AC$18-$V12)^2)))</f>
        <v>246.09394974277609</v>
      </c>
      <c r="AS12" s="149">
        <f t="array" ref="AS12">IF(AS$1=0,"",SQRT((_xlfn.XLOOKUP(AS$1,$Z$2:$Z$18,$AA$2:$AA$18)-$T12)^2+(_xlfn.XLOOKUP(AS$1,$Z$2:$Z$18,$AB$2:$AB$18)-$U12)^2+(_xlfn.XLOOKUP(AS$1,$Z$2:$Z$18,$AC$2:$AC$18-$V12)^2)))</f>
        <v>246.09394974277609</v>
      </c>
      <c r="AT12" s="149">
        <f t="array" ref="AT12">IF(AT$1=0,"",SQRT((_xlfn.XLOOKUP(AT$1,$Z$2:$Z$18,$AA$2:$AA$18)-$T12)^2+(_xlfn.XLOOKUP(AT$1,$Z$2:$Z$18,$AB$2:$AB$18)-$U12)^2+(_xlfn.XLOOKUP(AT$1,$Z$2:$Z$18,$AC$2:$AC$18-$V12)^2)))</f>
        <v>246.09394974277609</v>
      </c>
      <c r="AU12" s="149">
        <f t="array" ref="AU12">IF(AU$1=0,"",SQRT((_xlfn.XLOOKUP(AU$1,$Z$2:$Z$18,$AA$2:$AA$18)-$T12)^2+(_xlfn.XLOOKUP(AU$1,$Z$2:$Z$18,$AB$2:$AB$18)-$U12)^2+(_xlfn.XLOOKUP(AU$1,$Z$2:$Z$18,$AC$2:$AC$18-$V12)^2)))</f>
        <v>246.09394974277609</v>
      </c>
      <c r="AV12" s="150">
        <f t="array" ref="AV12">IF(AV$1=0,"",SQRT((_xlfn.XLOOKUP(AV$1,$Z$2:$Z$18,$AA$2:$AA$18)-$T12)^2+(_xlfn.XLOOKUP(AV$1,$Z$2:$Z$18,$AB$2:$AB$18)-$U12)^2+(_xlfn.XLOOKUP(AV$1,$Z$2:$Z$18,$AC$2:$AC$18-$V12)^2)))</f>
        <v>246.09394974277609</v>
      </c>
      <c r="AW12" s="133"/>
      <c r="AX12" s="133"/>
      <c r="AY12" s="134">
        <f t="shared" si="19"/>
        <v>-45.484116669694181</v>
      </c>
      <c r="AZ12" s="151">
        <f t="shared" si="20"/>
        <v>-43.744744798709725</v>
      </c>
      <c r="BA12" s="151">
        <f t="shared" si="21"/>
        <v>-39.973657837130041</v>
      </c>
      <c r="BB12" s="151">
        <f t="shared" si="22"/>
        <v>-27.098155894854209</v>
      </c>
      <c r="BC12" s="151">
        <f t="shared" si="23"/>
        <v>-37.819387101508653</v>
      </c>
      <c r="BD12" s="151">
        <f t="shared" si="24"/>
        <v>-46.474439410631803</v>
      </c>
      <c r="BE12" s="151">
        <f t="shared" si="25"/>
        <v>-45.484116669694181</v>
      </c>
      <c r="BF12" s="151">
        <f t="shared" si="26"/>
        <v>-45.484116669694181</v>
      </c>
      <c r="BG12" s="152">
        <f t="shared" si="27"/>
        <v>-45.484116669694181</v>
      </c>
      <c r="BH12" s="152">
        <f t="shared" si="28"/>
        <v>-45.484116669694181</v>
      </c>
      <c r="BI12" s="152">
        <f t="shared" si="29"/>
        <v>-45.484116669694181</v>
      </c>
      <c r="BJ12" s="152">
        <f t="shared" si="30"/>
        <v>-45.484116669694181</v>
      </c>
      <c r="BK12" s="152">
        <f t="shared" si="31"/>
        <v>-45.484116669694181</v>
      </c>
      <c r="BL12" s="152">
        <f t="shared" si="32"/>
        <v>-45.484116669694181</v>
      </c>
      <c r="BM12" s="153">
        <f t="shared" si="33"/>
        <v>-45.484116669694181</v>
      </c>
      <c r="BN12" s="133"/>
      <c r="BO12" s="41" t="s">
        <v>41</v>
      </c>
      <c r="BP12" s="162">
        <f>BP13+BP14-BP11</f>
        <v>0.6472550947896849</v>
      </c>
      <c r="BQ12" s="44" t="s">
        <v>42</v>
      </c>
      <c r="BR12" s="120">
        <f>(BR11-BR10)/(BR8-BR9)</f>
        <v>76.342634527476093</v>
      </c>
      <c r="BS12" s="161">
        <f>(BS11-BS10)/(BS8-BS9)</f>
        <v>76.342634527476079</v>
      </c>
      <c r="BT12" s="133"/>
      <c r="BU12" s="133"/>
      <c r="BV12" s="139"/>
      <c r="BW12" s="139">
        <v>2</v>
      </c>
      <c r="BX12" s="139">
        <v>13</v>
      </c>
      <c r="BY12" s="139">
        <v>12</v>
      </c>
      <c r="BZ12" s="139">
        <v>7</v>
      </c>
      <c r="CA12" s="139">
        <v>10</v>
      </c>
      <c r="CB12" s="139"/>
      <c r="CC12" s="139"/>
      <c r="CD12" s="139"/>
      <c r="CE12" s="139"/>
      <c r="CF12" s="139"/>
      <c r="CG12" s="139"/>
      <c r="CH12" s="139"/>
      <c r="CI12" s="139"/>
      <c r="CJ12" s="139"/>
      <c r="CL12" s="133"/>
      <c r="CM12" s="139" t="s">
        <v>32</v>
      </c>
      <c r="CN12" s="139" t="s">
        <v>32</v>
      </c>
      <c r="CO12" s="139" t="s">
        <v>32</v>
      </c>
      <c r="CP12" s="139" t="s">
        <v>32</v>
      </c>
      <c r="CQ12" s="139" t="s">
        <v>32</v>
      </c>
      <c r="CR12" s="139" t="s">
        <v>32</v>
      </c>
      <c r="CS12" s="139"/>
      <c r="CT12" s="139"/>
      <c r="CU12" s="139"/>
      <c r="CV12" s="139"/>
      <c r="CW12" s="139"/>
      <c r="CX12" s="139"/>
      <c r="CY12" s="139"/>
      <c r="CZ12" s="139"/>
      <c r="DA12" s="139"/>
      <c r="DB12" s="133"/>
      <c r="DC12" s="133"/>
      <c r="DD12" s="154" cm="1">
        <f t="array" ref="DD12">_xlfn.IFS(DD$1= 0,"", NOT(ISBLANK(CM12)), 0, ISBLANK(CM12), $Q12-$S12+AY12-BV12)</f>
        <v>0</v>
      </c>
      <c r="DE12" s="155" cm="1">
        <f t="array" ref="DE12">_xlfn.IFS(DE$1= 0,"", NOT(ISBLANK(CN12)), 0, ISBLANK(CN12), $Q12-$S12+AZ12-BW12)</f>
        <v>0</v>
      </c>
      <c r="DF12" s="155" cm="1">
        <f t="array" ref="DF12">_xlfn.IFS(DF$1= 0,"", NOT(ISBLANK(CO12)), 0, ISBLANK(CO12), $Q12-$S12+BA12-BX12)</f>
        <v>0</v>
      </c>
      <c r="DG12" s="155" cm="1">
        <f t="array" ref="DG12">_xlfn.IFS(DG$1= 0,"", NOT(ISBLANK(CP12)), 0, ISBLANK(CP12), $Q12-$S12+BB12-BY12)</f>
        <v>0</v>
      </c>
      <c r="DH12" s="155" cm="1">
        <f t="array" ref="DH12">_xlfn.IFS(DH$1= 0,"", NOT(ISBLANK(CQ12)), 0, ISBLANK(CQ12), $Q12-$S12+BC12-BZ12)</f>
        <v>0</v>
      </c>
      <c r="DI12" s="155" cm="1">
        <f t="array" ref="DI12">_xlfn.IFS(DI$1= 0,"", NOT(ISBLANK(CR12)), 0, ISBLANK(CR12), $Q12-$S12+BD12-CA12)</f>
        <v>0</v>
      </c>
      <c r="DJ12" s="155" cm="1">
        <f t="array" ref="DJ12">_xlfn.IFS(DJ$1= 0,"", NOT(ISBLANK(CS12)), 0, ISBLANK(CS12), $Q12-$S12+BE12-CB12)</f>
        <v>33.536483243585444</v>
      </c>
      <c r="DK12" s="155" cm="1">
        <f t="array" ref="DK12">_xlfn.IFS(DK$1= 0,"", NOT(ISBLANK(CT12)), 0, ISBLANK(CT12), $Q12-$S12+BF12-CC12)</f>
        <v>33.536483243585444</v>
      </c>
      <c r="DL12" s="156" cm="1">
        <f t="array" ref="DL12">_xlfn.IFS(DL$1= 0,"", NOT(ISBLANK(CU12)), 0, ISBLANK(CU12), $Q12-$S12+BG12-CD12)</f>
        <v>33.536483243585444</v>
      </c>
      <c r="DM12" s="156" cm="1">
        <f t="array" ref="DM12">_xlfn.IFS(DM$1= 0,"", NOT(ISBLANK(CV12)), 0, ISBLANK(CV12), $Q12-$S12+BH12-CE12)</f>
        <v>33.536483243585444</v>
      </c>
      <c r="DN12" s="156" cm="1">
        <f t="array" ref="DN12">_xlfn.IFS(DN$1= 0,"", NOT(ISBLANK(CW12)), 0, ISBLANK(CW12), $Q12-$S12+BI12-CF12)</f>
        <v>33.536483243585444</v>
      </c>
      <c r="DO12" s="156" cm="1">
        <f t="array" ref="DO12">_xlfn.IFS(DO$1= 0,"", NOT(ISBLANK(CX12)), 0, ISBLANK(CX12), $Q12-$S12+BJ12-CG12)</f>
        <v>33.536483243585444</v>
      </c>
      <c r="DP12" s="142" cm="1">
        <f t="array" ref="DP12">_xlfn.IFS(DP$1= 0,"", NOT(ISBLANK(CY12)), 0, ISBLANK(CY12), $Q12-$S12+BK12-CH12)</f>
        <v>33.536483243585444</v>
      </c>
      <c r="DQ12" s="142" cm="1">
        <f t="array" ref="DQ12">_xlfn.IFS(DQ$1= 0,"", NOT(ISBLANK(CZ12)), 0, ISBLANK(CZ12), $Q12-$S12+BL12-CI12)</f>
        <v>33.536483243585444</v>
      </c>
      <c r="DR12" s="143" cm="1">
        <f t="array" ref="DR12">_xlfn.IFS(DR$1= 0,"", NOT(ISBLANK(DA12)), 0, ISBLANK(DA12), $Q12-$S12+BM12-CJ12)</f>
        <v>33.536483243585444</v>
      </c>
    </row>
    <row r="13" spans="1:138" ht="17.25" customHeight="1" thickBot="1" x14ac:dyDescent="0.35">
      <c r="A13" s="214">
        <v>4</v>
      </c>
      <c r="B13" s="144" t="s">
        <v>149</v>
      </c>
      <c r="C13" s="144" t="s">
        <v>116</v>
      </c>
      <c r="D13" s="145" t="s">
        <v>95</v>
      </c>
      <c r="E13" s="196" t="s">
        <v>113</v>
      </c>
      <c r="F13" s="204"/>
      <c r="G13" s="205"/>
      <c r="H13" s="205"/>
      <c r="I13" s="205"/>
      <c r="J13" s="205"/>
      <c r="K13" s="205"/>
      <c r="L13" s="205"/>
      <c r="M13" s="209"/>
      <c r="N13" s="204">
        <v>58</v>
      </c>
      <c r="O13" s="206">
        <v>5</v>
      </c>
      <c r="P13" s="199">
        <v>1</v>
      </c>
      <c r="Q13" s="12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6">
        <v>4</v>
      </c>
      <c r="Z13" s="9" t="s">
        <v>250</v>
      </c>
      <c r="AA13" s="4"/>
      <c r="AB13" s="4"/>
      <c r="AC13" s="87"/>
      <c r="AD13" s="8"/>
      <c r="AE13" s="2" t="str">
        <v/>
      </c>
      <c r="AH13" s="147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8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8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8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8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8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8">
        <f t="array" ref="AN13">IF(AN$1=0,"",SQRT((_xlfn.XLOOKUP(AN$1,$Z$2:$Z$18,$AA$2:$AA$18)-$T13)^2+(_xlfn.XLOOKUP(AN$1,$Z$2:$Z$18,$AB$2:$AB$18)-$U13)^2+(_xlfn.XLOOKUP(AN$1,$Z$2:$Z$18,$AC$2:$AC$18-$V13)^2)))</f>
        <v>230.26931232797827</v>
      </c>
      <c r="AO13" s="148">
        <f t="array" ref="AO13">IF(AO$1=0,"",SQRT((_xlfn.XLOOKUP(AO$1,$Z$2:$Z$18,$AA$2:$AA$18)-$T13)^2+(_xlfn.XLOOKUP(AO$1,$Z$2:$Z$18,$AB$2:$AB$18)-$U13)^2+(_xlfn.XLOOKUP(AO$1,$Z$2:$Z$18,$AC$2:$AC$18-$V13)^2)))</f>
        <v>230.26931232797827</v>
      </c>
      <c r="AP13" s="149">
        <f t="array" ref="AP13">IF(AP$1=0,"",SQRT((_xlfn.XLOOKUP(AP$1,$Z$2:$Z$18,$AA$2:$AA$18)-$T13)^2+(_xlfn.XLOOKUP(AP$1,$Z$2:$Z$18,$AB$2:$AB$18)-$U13)^2+(_xlfn.XLOOKUP(AP$1,$Z$2:$Z$18,$AC$2:$AC$18-$V13)^2)))</f>
        <v>230.26931232797827</v>
      </c>
      <c r="AQ13" s="149">
        <f t="array" ref="AQ13">IF(AQ$1=0,"",SQRT((_xlfn.XLOOKUP(AQ$1,$Z$2:$Z$18,$AA$2:$AA$18)-$T13)^2+(_xlfn.XLOOKUP(AQ$1,$Z$2:$Z$18,$AB$2:$AB$18)-$U13)^2+(_xlfn.XLOOKUP(AQ$1,$Z$2:$Z$18,$AC$2:$AC$18-$V13)^2)))</f>
        <v>230.26931232797827</v>
      </c>
      <c r="AR13" s="149">
        <f t="array" ref="AR13">IF(AR$1=0,"",SQRT((_xlfn.XLOOKUP(AR$1,$Z$2:$Z$18,$AA$2:$AA$18)-$T13)^2+(_xlfn.XLOOKUP(AR$1,$Z$2:$Z$18,$AB$2:$AB$18)-$U13)^2+(_xlfn.XLOOKUP(AR$1,$Z$2:$Z$18,$AC$2:$AC$18-$V13)^2)))</f>
        <v>230.26931232797827</v>
      </c>
      <c r="AS13" s="149">
        <f t="array" ref="AS13">IF(AS$1=0,"",SQRT((_xlfn.XLOOKUP(AS$1,$Z$2:$Z$18,$AA$2:$AA$18)-$T13)^2+(_xlfn.XLOOKUP(AS$1,$Z$2:$Z$18,$AB$2:$AB$18)-$U13)^2+(_xlfn.XLOOKUP(AS$1,$Z$2:$Z$18,$AC$2:$AC$18-$V13)^2)))</f>
        <v>230.26931232797827</v>
      </c>
      <c r="AT13" s="149">
        <f t="array" ref="AT13">IF(AT$1=0,"",SQRT((_xlfn.XLOOKUP(AT$1,$Z$2:$Z$18,$AA$2:$AA$18)-$T13)^2+(_xlfn.XLOOKUP(AT$1,$Z$2:$Z$18,$AB$2:$AB$18)-$U13)^2+(_xlfn.XLOOKUP(AT$1,$Z$2:$Z$18,$AC$2:$AC$18-$V13)^2)))</f>
        <v>230.26931232797827</v>
      </c>
      <c r="AU13" s="149">
        <f t="array" ref="AU13">IF(AU$1=0,"",SQRT((_xlfn.XLOOKUP(AU$1,$Z$2:$Z$18,$AA$2:$AA$18)-$T13)^2+(_xlfn.XLOOKUP(AU$1,$Z$2:$Z$18,$AB$2:$AB$18)-$U13)^2+(_xlfn.XLOOKUP(AU$1,$Z$2:$Z$18,$AC$2:$AC$18-$V13)^2)))</f>
        <v>230.26931232797827</v>
      </c>
      <c r="AV13" s="150">
        <f t="array" ref="AV13">IF(AV$1=0,"",SQRT((_xlfn.XLOOKUP(AV$1,$Z$2:$Z$18,$AA$2:$AA$18)-$T13)^2+(_xlfn.XLOOKUP(AV$1,$Z$2:$Z$18,$AB$2:$AB$18)-$U13)^2+(_xlfn.XLOOKUP(AV$1,$Z$2:$Z$18,$AC$2:$AC$18-$V13)^2)))</f>
        <v>230.26931232797827</v>
      </c>
      <c r="AW13" s="133"/>
      <c r="AX13" s="133"/>
      <c r="AY13" s="134">
        <f t="shared" si="19"/>
        <v>-44.906819216872705</v>
      </c>
      <c r="AZ13" s="151">
        <f t="shared" si="20"/>
        <v>-40.944594767551621</v>
      </c>
      <c r="BA13" s="151">
        <f t="shared" si="21"/>
        <v>-38.628019014687453</v>
      </c>
      <c r="BB13" s="151">
        <f t="shared" si="22"/>
        <v>-39.595555614332</v>
      </c>
      <c r="BC13" s="151">
        <f t="shared" si="23"/>
        <v>-41.716983308692434</v>
      </c>
      <c r="BD13" s="151">
        <f t="shared" si="24"/>
        <v>-42.550474614659713</v>
      </c>
      <c r="BE13" s="151">
        <f t="shared" si="25"/>
        <v>-44.906819216872705</v>
      </c>
      <c r="BF13" s="151">
        <f t="shared" si="26"/>
        <v>-44.906819216872705</v>
      </c>
      <c r="BG13" s="152">
        <f t="shared" si="27"/>
        <v>-44.906819216872705</v>
      </c>
      <c r="BH13" s="152">
        <f t="shared" si="28"/>
        <v>-44.906819216872705</v>
      </c>
      <c r="BI13" s="152">
        <f t="shared" si="29"/>
        <v>-44.906819216872705</v>
      </c>
      <c r="BJ13" s="152">
        <f t="shared" si="30"/>
        <v>-44.906819216872705</v>
      </c>
      <c r="BK13" s="152">
        <f t="shared" si="31"/>
        <v>-44.906819216872705</v>
      </c>
      <c r="BL13" s="152">
        <f t="shared" si="32"/>
        <v>-44.906819216872705</v>
      </c>
      <c r="BM13" s="153">
        <f t="shared" si="33"/>
        <v>-44.906819216872705</v>
      </c>
      <c r="BN13" s="133"/>
      <c r="BO13" s="41" t="s">
        <v>43</v>
      </c>
      <c r="BP13" s="164">
        <f>SQRT((BP21-BS4)^2+(BP9)^2)</f>
        <v>28.245170489647123</v>
      </c>
      <c r="BQ13" s="46" t="s">
        <v>44</v>
      </c>
      <c r="BR13" s="121">
        <f>(BR8*BR12)+BR10</f>
        <v>94.28366873075052</v>
      </c>
      <c r="BS13" s="165">
        <f>(BS8*BS12)+BS10</f>
        <v>94.28366873075052</v>
      </c>
      <c r="BT13" s="133"/>
      <c r="BU13" s="133"/>
      <c r="BV13" s="139"/>
      <c r="BW13" s="139">
        <v>8</v>
      </c>
      <c r="BX13" s="139">
        <v>14</v>
      </c>
      <c r="BY13" s="139">
        <v>15</v>
      </c>
      <c r="BZ13" s="139">
        <v>8</v>
      </c>
      <c r="CA13" s="139">
        <v>4</v>
      </c>
      <c r="CB13" s="139"/>
      <c r="CC13" s="139"/>
      <c r="CD13" s="139"/>
      <c r="CE13" s="139"/>
      <c r="CF13" s="139"/>
      <c r="CG13" s="139"/>
      <c r="CH13" s="139"/>
      <c r="CI13" s="139"/>
      <c r="CJ13" s="139"/>
      <c r="CL13" s="133"/>
      <c r="CM13" s="139" t="s">
        <v>32</v>
      </c>
      <c r="CN13" s="139" t="s">
        <v>32</v>
      </c>
      <c r="CO13" s="139" t="s">
        <v>32</v>
      </c>
      <c r="CP13" s="139" t="s">
        <v>32</v>
      </c>
      <c r="CQ13" s="139" t="s">
        <v>32</v>
      </c>
      <c r="CR13" s="139" t="s">
        <v>32</v>
      </c>
      <c r="CS13" s="139"/>
      <c r="CT13" s="139"/>
      <c r="CU13" s="139"/>
      <c r="CV13" s="139"/>
      <c r="CW13" s="139"/>
      <c r="CX13" s="139"/>
      <c r="CY13" s="139"/>
      <c r="CZ13" s="139"/>
      <c r="DA13" s="139"/>
      <c r="DB13" s="133"/>
      <c r="DC13" s="133"/>
      <c r="DD13" s="154" cm="1">
        <f t="array" ref="DD13">_xlfn.IFS(DD$1= 0,"", NOT(ISBLANK(CM13)), 0, ISBLANK(CM13), $Q13-$S13+AY13-BV13)</f>
        <v>0</v>
      </c>
      <c r="DE13" s="155" cm="1">
        <f t="array" ref="DE13">_xlfn.IFS(DE$1= 0,"", NOT(ISBLANK(CN13)), 0, ISBLANK(CN13), $Q13-$S13+AZ13-BW13)</f>
        <v>0</v>
      </c>
      <c r="DF13" s="155" cm="1">
        <f t="array" ref="DF13">_xlfn.IFS(DF$1= 0,"", NOT(ISBLANK(CO13)), 0, ISBLANK(CO13), $Q13-$S13+BA13-BX13)</f>
        <v>0</v>
      </c>
      <c r="DG13" s="155" cm="1">
        <f t="array" ref="DG13">_xlfn.IFS(DG$1= 0,"", NOT(ISBLANK(CP13)), 0, ISBLANK(CP13), $Q13-$S13+BB13-BY13)</f>
        <v>0</v>
      </c>
      <c r="DH13" s="155" cm="1">
        <f t="array" ref="DH13">_xlfn.IFS(DH$1= 0,"", NOT(ISBLANK(CQ13)), 0, ISBLANK(CQ13), $Q13-$S13+BC13-BZ13)</f>
        <v>0</v>
      </c>
      <c r="DI13" s="155" cm="1">
        <f t="array" ref="DI13">_xlfn.IFS(DI$1= 0,"", NOT(ISBLANK(CR13)), 0, ISBLANK(CR13), $Q13-$S13+BD13-CA13)</f>
        <v>0</v>
      </c>
      <c r="DJ13" s="155" cm="1">
        <f t="array" ref="DJ13">_xlfn.IFS(DJ$1= 0,"", NOT(ISBLANK(CS13)), 0, ISBLANK(CS13), $Q13-$S13+BE13-CB13)</f>
        <v>34.11378069640692</v>
      </c>
      <c r="DK13" s="155" cm="1">
        <f t="array" ref="DK13">_xlfn.IFS(DK$1= 0,"", NOT(ISBLANK(CT13)), 0, ISBLANK(CT13), $Q13-$S13+BF13-CC13)</f>
        <v>34.11378069640692</v>
      </c>
      <c r="DL13" s="156" cm="1">
        <f t="array" ref="DL13">_xlfn.IFS(DL$1= 0,"", NOT(ISBLANK(CU13)), 0, ISBLANK(CU13), $Q13-$S13+BG13-CD13)</f>
        <v>34.11378069640692</v>
      </c>
      <c r="DM13" s="156" cm="1">
        <f t="array" ref="DM13">_xlfn.IFS(DM$1= 0,"", NOT(ISBLANK(CV13)), 0, ISBLANK(CV13), $Q13-$S13+BH13-CE13)</f>
        <v>34.11378069640692</v>
      </c>
      <c r="DN13" s="156" cm="1">
        <f t="array" ref="DN13">_xlfn.IFS(DN$1= 0,"", NOT(ISBLANK(CW13)), 0, ISBLANK(CW13), $Q13-$S13+BI13-CF13)</f>
        <v>34.11378069640692</v>
      </c>
      <c r="DO13" s="156" cm="1">
        <f t="array" ref="DO13">_xlfn.IFS(DO$1= 0,"", NOT(ISBLANK(CX13)), 0, ISBLANK(CX13), $Q13-$S13+BJ13-CG13)</f>
        <v>34.11378069640692</v>
      </c>
      <c r="DP13" s="142" cm="1">
        <f t="array" ref="DP13">_xlfn.IFS(DP$1= 0,"", NOT(ISBLANK(CY13)), 0, ISBLANK(CY13), $Q13-$S13+BK13-CH13)</f>
        <v>34.11378069640692</v>
      </c>
      <c r="DQ13" s="142" cm="1">
        <f t="array" ref="DQ13">_xlfn.IFS(DQ$1= 0,"", NOT(ISBLANK(CZ13)), 0, ISBLANK(CZ13), $Q13-$S13+BL13-CI13)</f>
        <v>34.11378069640692</v>
      </c>
      <c r="DR13" s="143" cm="1">
        <f t="array" ref="DR13">_xlfn.IFS(DR$1= 0,"", NOT(ISBLANK(DA13)), 0, ISBLANK(DA13), $Q13-$S13+BM13-CJ13)</f>
        <v>34.11378069640692</v>
      </c>
    </row>
    <row r="14" spans="1:138" ht="17.25" customHeight="1" thickBot="1" x14ac:dyDescent="0.35">
      <c r="A14" s="214">
        <v>4</v>
      </c>
      <c r="B14" s="144" t="s">
        <v>150</v>
      </c>
      <c r="C14" s="144" t="s">
        <v>116</v>
      </c>
      <c r="D14" s="145" t="s">
        <v>95</v>
      </c>
      <c r="E14" s="196" t="s">
        <v>113</v>
      </c>
      <c r="F14" s="204"/>
      <c r="G14" s="205"/>
      <c r="H14" s="205"/>
      <c r="I14" s="205"/>
      <c r="J14" s="205"/>
      <c r="K14" s="205"/>
      <c r="L14" s="205"/>
      <c r="M14" s="209"/>
      <c r="N14" s="204">
        <v>58</v>
      </c>
      <c r="O14" s="206">
        <v>5</v>
      </c>
      <c r="P14" s="199">
        <v>1</v>
      </c>
      <c r="Q14" s="12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6">
        <v>4</v>
      </c>
      <c r="Z14" s="9" t="s">
        <v>251</v>
      </c>
      <c r="AA14" s="4"/>
      <c r="AB14" s="4"/>
      <c r="AC14" s="87"/>
      <c r="AD14" s="8"/>
      <c r="AE14" s="2" t="str">
        <v/>
      </c>
      <c r="AH14" s="147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8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8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8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8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8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8">
        <f t="array" ref="AN14">IF(AN$1=0,"",SQRT((_xlfn.XLOOKUP(AN$1,$Z$2:$Z$18,$AA$2:$AA$18)-$T14)^2+(_xlfn.XLOOKUP(AN$1,$Z$2:$Z$18,$AB$2:$AB$18)-$U14)^2+(_xlfn.XLOOKUP(AN$1,$Z$2:$Z$18,$AC$2:$AC$18-$V14)^2)))</f>
        <v>201.97439491183033</v>
      </c>
      <c r="AO14" s="148">
        <f t="array" ref="AO14">IF(AO$1=0,"",SQRT((_xlfn.XLOOKUP(AO$1,$Z$2:$Z$18,$AA$2:$AA$18)-$T14)^2+(_xlfn.XLOOKUP(AO$1,$Z$2:$Z$18,$AB$2:$AB$18)-$U14)^2+(_xlfn.XLOOKUP(AO$1,$Z$2:$Z$18,$AC$2:$AC$18-$V14)^2)))</f>
        <v>201.97439491183033</v>
      </c>
      <c r="AP14" s="149">
        <f t="array" ref="AP14">IF(AP$1=0,"",SQRT((_xlfn.XLOOKUP(AP$1,$Z$2:$Z$18,$AA$2:$AA$18)-$T14)^2+(_xlfn.XLOOKUP(AP$1,$Z$2:$Z$18,$AB$2:$AB$18)-$U14)^2+(_xlfn.XLOOKUP(AP$1,$Z$2:$Z$18,$AC$2:$AC$18-$V14)^2)))</f>
        <v>201.97439491183033</v>
      </c>
      <c r="AQ14" s="149">
        <f t="array" ref="AQ14">IF(AQ$1=0,"",SQRT((_xlfn.XLOOKUP(AQ$1,$Z$2:$Z$18,$AA$2:$AA$18)-$T14)^2+(_xlfn.XLOOKUP(AQ$1,$Z$2:$Z$18,$AB$2:$AB$18)-$U14)^2+(_xlfn.XLOOKUP(AQ$1,$Z$2:$Z$18,$AC$2:$AC$18-$V14)^2)))</f>
        <v>201.97439491183033</v>
      </c>
      <c r="AR14" s="149">
        <f t="array" ref="AR14">IF(AR$1=0,"",SQRT((_xlfn.XLOOKUP(AR$1,$Z$2:$Z$18,$AA$2:$AA$18)-$T14)^2+(_xlfn.XLOOKUP(AR$1,$Z$2:$Z$18,$AB$2:$AB$18)-$U14)^2+(_xlfn.XLOOKUP(AR$1,$Z$2:$Z$18,$AC$2:$AC$18-$V14)^2)))</f>
        <v>201.97439491183033</v>
      </c>
      <c r="AS14" s="149">
        <f t="array" ref="AS14">IF(AS$1=0,"",SQRT((_xlfn.XLOOKUP(AS$1,$Z$2:$Z$18,$AA$2:$AA$18)-$T14)^2+(_xlfn.XLOOKUP(AS$1,$Z$2:$Z$18,$AB$2:$AB$18)-$U14)^2+(_xlfn.XLOOKUP(AS$1,$Z$2:$Z$18,$AC$2:$AC$18-$V14)^2)))</f>
        <v>201.97439491183033</v>
      </c>
      <c r="AT14" s="149">
        <f t="array" ref="AT14">IF(AT$1=0,"",SQRT((_xlfn.XLOOKUP(AT$1,$Z$2:$Z$18,$AA$2:$AA$18)-$T14)^2+(_xlfn.XLOOKUP(AT$1,$Z$2:$Z$18,$AB$2:$AB$18)-$U14)^2+(_xlfn.XLOOKUP(AT$1,$Z$2:$Z$18,$AC$2:$AC$18-$V14)^2)))</f>
        <v>201.97439491183033</v>
      </c>
      <c r="AU14" s="149">
        <f t="array" ref="AU14">IF(AU$1=0,"",SQRT((_xlfn.XLOOKUP(AU$1,$Z$2:$Z$18,$AA$2:$AA$18)-$T14)^2+(_xlfn.XLOOKUP(AU$1,$Z$2:$Z$18,$AB$2:$AB$18)-$U14)^2+(_xlfn.XLOOKUP(AU$1,$Z$2:$Z$18,$AC$2:$AC$18-$V14)^2)))</f>
        <v>201.97439491183033</v>
      </c>
      <c r="AV14" s="150">
        <f t="array" ref="AV14">IF(AV$1=0,"",SQRT((_xlfn.XLOOKUP(AV$1,$Z$2:$Z$18,$AA$2:$AA$18)-$T14)^2+(_xlfn.XLOOKUP(AV$1,$Z$2:$Z$18,$AB$2:$AB$18)-$U14)^2+(_xlfn.XLOOKUP(AV$1,$Z$2:$Z$18,$AC$2:$AC$18-$V14)^2)))</f>
        <v>201.97439491183033</v>
      </c>
      <c r="AW14" s="133"/>
      <c r="AX14" s="133"/>
      <c r="AY14" s="134">
        <f t="shared" si="19"/>
        <v>-43.768024251276422</v>
      </c>
      <c r="AZ14" s="151">
        <f t="shared" si="20"/>
        <v>-39.577921442126105</v>
      </c>
      <c r="BA14" s="151">
        <f t="shared" si="21"/>
        <v>-35.786212503064036</v>
      </c>
      <c r="BB14" s="151">
        <f t="shared" si="22"/>
        <v>-37.923634464498747</v>
      </c>
      <c r="BC14" s="151">
        <f t="shared" si="23"/>
        <v>-42.022676008466853</v>
      </c>
      <c r="BD14" s="151">
        <f t="shared" si="24"/>
        <v>-42.839927670524496</v>
      </c>
      <c r="BE14" s="151">
        <f t="shared" si="25"/>
        <v>-43.768024251276422</v>
      </c>
      <c r="BF14" s="151">
        <f t="shared" si="26"/>
        <v>-43.768024251276422</v>
      </c>
      <c r="BG14" s="152">
        <f t="shared" si="27"/>
        <v>-43.768024251276422</v>
      </c>
      <c r="BH14" s="152">
        <f t="shared" si="28"/>
        <v>-43.768024251276422</v>
      </c>
      <c r="BI14" s="152">
        <f t="shared" si="29"/>
        <v>-43.768024251276422</v>
      </c>
      <c r="BJ14" s="152">
        <f t="shared" si="30"/>
        <v>-43.768024251276422</v>
      </c>
      <c r="BK14" s="152">
        <f t="shared" si="31"/>
        <v>-43.768024251276422</v>
      </c>
      <c r="BL14" s="152">
        <f t="shared" si="32"/>
        <v>-43.768024251276422</v>
      </c>
      <c r="BM14" s="153">
        <f t="shared" si="33"/>
        <v>-43.768024251276422</v>
      </c>
      <c r="BN14" s="133"/>
      <c r="BO14" s="49" t="s">
        <v>45</v>
      </c>
      <c r="BP14" s="163">
        <f>SQRT((BP21-BS5)^2+(BP10)^2)</f>
        <v>45.139889768619959</v>
      </c>
      <c r="BQ14" s="21"/>
      <c r="BR14" s="21" t="s">
        <v>46</v>
      </c>
      <c r="BS14" s="21" t="s">
        <v>47</v>
      </c>
      <c r="BT14" s="133"/>
      <c r="BU14" s="133"/>
      <c r="BV14" s="139"/>
      <c r="BW14" s="139">
        <v>6</v>
      </c>
      <c r="BX14" s="139">
        <v>8</v>
      </c>
      <c r="BY14" s="139">
        <v>12</v>
      </c>
      <c r="BZ14" s="139">
        <v>10</v>
      </c>
      <c r="CA14" s="139">
        <v>8</v>
      </c>
      <c r="CB14" s="139"/>
      <c r="CC14" s="139"/>
      <c r="CD14" s="139"/>
      <c r="CE14" s="139"/>
      <c r="CF14" s="139"/>
      <c r="CG14" s="139"/>
      <c r="CH14" s="139"/>
      <c r="CI14" s="139"/>
      <c r="CJ14" s="139"/>
      <c r="CL14" s="133"/>
      <c r="CM14" s="139" t="s">
        <v>32</v>
      </c>
      <c r="CN14" s="139" t="s">
        <v>32</v>
      </c>
      <c r="CO14" s="139" t="s">
        <v>32</v>
      </c>
      <c r="CP14" s="139" t="s">
        <v>32</v>
      </c>
      <c r="CQ14" s="139" t="s">
        <v>32</v>
      </c>
      <c r="CR14" s="139" t="s">
        <v>32</v>
      </c>
      <c r="CS14" s="139"/>
      <c r="CT14" s="139"/>
      <c r="CU14" s="139"/>
      <c r="CV14" s="139"/>
      <c r="CW14" s="139"/>
      <c r="CX14" s="139"/>
      <c r="CY14" s="139"/>
      <c r="CZ14" s="139"/>
      <c r="DA14" s="139"/>
      <c r="DB14" s="133"/>
      <c r="DC14" s="133"/>
      <c r="DD14" s="154" cm="1">
        <f t="array" ref="DD14">_xlfn.IFS(DD$1= 0,"", NOT(ISBLANK(CM14)), 0, ISBLANK(CM14), $Q14-$S14+AY14-BV14)</f>
        <v>0</v>
      </c>
      <c r="DE14" s="155" cm="1">
        <f t="array" ref="DE14">_xlfn.IFS(DE$1= 0,"", NOT(ISBLANK(CN14)), 0, ISBLANK(CN14), $Q14-$S14+AZ14-BW14)</f>
        <v>0</v>
      </c>
      <c r="DF14" s="155" cm="1">
        <f t="array" ref="DF14">_xlfn.IFS(DF$1= 0,"", NOT(ISBLANK(CO14)), 0, ISBLANK(CO14), $Q14-$S14+BA14-BX14)</f>
        <v>0</v>
      </c>
      <c r="DG14" s="155" cm="1">
        <f t="array" ref="DG14">_xlfn.IFS(DG$1= 0,"", NOT(ISBLANK(CP14)), 0, ISBLANK(CP14), $Q14-$S14+BB14-BY14)</f>
        <v>0</v>
      </c>
      <c r="DH14" s="155" cm="1">
        <f t="array" ref="DH14">_xlfn.IFS(DH$1= 0,"", NOT(ISBLANK(CQ14)), 0, ISBLANK(CQ14), $Q14-$S14+BC14-BZ14)</f>
        <v>0</v>
      </c>
      <c r="DI14" s="155" cm="1">
        <f t="array" ref="DI14">_xlfn.IFS(DI$1= 0,"", NOT(ISBLANK(CR14)), 0, ISBLANK(CR14), $Q14-$S14+BD14-CA14)</f>
        <v>0</v>
      </c>
      <c r="DJ14" s="155" cm="1">
        <f t="array" ref="DJ14">_xlfn.IFS(DJ$1= 0,"", NOT(ISBLANK(CS14)), 0, ISBLANK(CS14), $Q14-$S14+BE14-CB14)</f>
        <v>35.252575662003203</v>
      </c>
      <c r="DK14" s="155" cm="1">
        <f t="array" ref="DK14">_xlfn.IFS(DK$1= 0,"", NOT(ISBLANK(CT14)), 0, ISBLANK(CT14), $Q14-$S14+BF14-CC14)</f>
        <v>35.252575662003203</v>
      </c>
      <c r="DL14" s="156" cm="1">
        <f t="array" ref="DL14">_xlfn.IFS(DL$1= 0,"", NOT(ISBLANK(CU14)), 0, ISBLANK(CU14), $Q14-$S14+BG14-CD14)</f>
        <v>35.252575662003203</v>
      </c>
      <c r="DM14" s="156" cm="1">
        <f t="array" ref="DM14">_xlfn.IFS(DM$1= 0,"", NOT(ISBLANK(CV14)), 0, ISBLANK(CV14), $Q14-$S14+BH14-CE14)</f>
        <v>35.252575662003203</v>
      </c>
      <c r="DN14" s="156" cm="1">
        <f t="array" ref="DN14">_xlfn.IFS(DN$1= 0,"", NOT(ISBLANK(CW14)), 0, ISBLANK(CW14), $Q14-$S14+BI14-CF14)</f>
        <v>35.252575662003203</v>
      </c>
      <c r="DO14" s="156" cm="1">
        <f t="array" ref="DO14">_xlfn.IFS(DO$1= 0,"", NOT(ISBLANK(CX14)), 0, ISBLANK(CX14), $Q14-$S14+BJ14-CG14)</f>
        <v>35.252575662003203</v>
      </c>
      <c r="DP14" s="142" cm="1">
        <f t="array" ref="DP14">_xlfn.IFS(DP$1= 0,"", NOT(ISBLANK(CY14)), 0, ISBLANK(CY14), $Q14-$S14+BK14-CH14)</f>
        <v>35.252575662003203</v>
      </c>
      <c r="DQ14" s="142" cm="1">
        <f t="array" ref="DQ14">_xlfn.IFS(DQ$1= 0,"", NOT(ISBLANK(CZ14)), 0, ISBLANK(CZ14), $Q14-$S14+BL14-CI14)</f>
        <v>35.252575662003203</v>
      </c>
      <c r="DR14" s="143" cm="1">
        <f t="array" ref="DR14">_xlfn.IFS(DR$1= 0,"", NOT(ISBLANK(DA14)), 0, ISBLANK(DA14), $Q14-$S14+BM14-CJ14)</f>
        <v>35.252575662003203</v>
      </c>
    </row>
    <row r="15" spans="1:138" ht="17.25" customHeight="1" thickBot="1" x14ac:dyDescent="0.35">
      <c r="A15" s="214">
        <v>2</v>
      </c>
      <c r="B15" s="144" t="s">
        <v>117</v>
      </c>
      <c r="C15" s="144" t="s">
        <v>116</v>
      </c>
      <c r="D15" s="145" t="s">
        <v>95</v>
      </c>
      <c r="E15" s="196" t="s">
        <v>113</v>
      </c>
      <c r="F15" s="204"/>
      <c r="G15" s="205"/>
      <c r="H15" s="205"/>
      <c r="I15" s="205"/>
      <c r="J15" s="205"/>
      <c r="K15" s="205"/>
      <c r="L15" s="205"/>
      <c r="M15" s="209"/>
      <c r="N15" s="204">
        <v>58</v>
      </c>
      <c r="O15" s="206">
        <v>5</v>
      </c>
      <c r="P15" s="199">
        <v>1</v>
      </c>
      <c r="Q15" s="12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6">
        <v>4</v>
      </c>
      <c r="Z15" s="9" t="s">
        <v>252</v>
      </c>
      <c r="AA15" s="4"/>
      <c r="AB15" s="4"/>
      <c r="AC15" s="87"/>
      <c r="AD15" s="8"/>
      <c r="AE15" s="2" t="str">
        <v/>
      </c>
      <c r="AH15" s="147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8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8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8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8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8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8">
        <f t="array" ref="AN15">IF(AN$1=0,"",SQRT((_xlfn.XLOOKUP(AN$1,$Z$2:$Z$18,$AA$2:$AA$18)-$T15)^2+(_xlfn.XLOOKUP(AN$1,$Z$2:$Z$18,$AB$2:$AB$18)-$U15)^2+(_xlfn.XLOOKUP(AN$1,$Z$2:$Z$18,$AC$2:$AC$18-$V15)^2)))</f>
        <v>190.45802897226463</v>
      </c>
      <c r="AO15" s="148">
        <f t="array" ref="AO15">IF(AO$1=0,"",SQRT((_xlfn.XLOOKUP(AO$1,$Z$2:$Z$18,$AA$2:$AA$18)-$T15)^2+(_xlfn.XLOOKUP(AO$1,$Z$2:$Z$18,$AB$2:$AB$18)-$U15)^2+(_xlfn.XLOOKUP(AO$1,$Z$2:$Z$18,$AC$2:$AC$18-$V15)^2)))</f>
        <v>190.45802897226463</v>
      </c>
      <c r="AP15" s="149">
        <f t="array" ref="AP15">IF(AP$1=0,"",SQRT((_xlfn.XLOOKUP(AP$1,$Z$2:$Z$18,$AA$2:$AA$18)-$T15)^2+(_xlfn.XLOOKUP(AP$1,$Z$2:$Z$18,$AB$2:$AB$18)-$U15)^2+(_xlfn.XLOOKUP(AP$1,$Z$2:$Z$18,$AC$2:$AC$18-$V15)^2)))</f>
        <v>190.45802897226463</v>
      </c>
      <c r="AQ15" s="149">
        <f t="array" ref="AQ15">IF(AQ$1=0,"",SQRT((_xlfn.XLOOKUP(AQ$1,$Z$2:$Z$18,$AA$2:$AA$18)-$T15)^2+(_xlfn.XLOOKUP(AQ$1,$Z$2:$Z$18,$AB$2:$AB$18)-$U15)^2+(_xlfn.XLOOKUP(AQ$1,$Z$2:$Z$18,$AC$2:$AC$18-$V15)^2)))</f>
        <v>190.45802897226463</v>
      </c>
      <c r="AR15" s="149">
        <f t="array" ref="AR15">IF(AR$1=0,"",SQRT((_xlfn.XLOOKUP(AR$1,$Z$2:$Z$18,$AA$2:$AA$18)-$T15)^2+(_xlfn.XLOOKUP(AR$1,$Z$2:$Z$18,$AB$2:$AB$18)-$U15)^2+(_xlfn.XLOOKUP(AR$1,$Z$2:$Z$18,$AC$2:$AC$18-$V15)^2)))</f>
        <v>190.45802897226463</v>
      </c>
      <c r="AS15" s="149">
        <f t="array" ref="AS15">IF(AS$1=0,"",SQRT((_xlfn.XLOOKUP(AS$1,$Z$2:$Z$18,$AA$2:$AA$18)-$T15)^2+(_xlfn.XLOOKUP(AS$1,$Z$2:$Z$18,$AB$2:$AB$18)-$U15)^2+(_xlfn.XLOOKUP(AS$1,$Z$2:$Z$18,$AC$2:$AC$18-$V15)^2)))</f>
        <v>190.45802897226463</v>
      </c>
      <c r="AT15" s="149">
        <f t="array" ref="AT15">IF(AT$1=0,"",SQRT((_xlfn.XLOOKUP(AT$1,$Z$2:$Z$18,$AA$2:$AA$18)-$T15)^2+(_xlfn.XLOOKUP(AT$1,$Z$2:$Z$18,$AB$2:$AB$18)-$U15)^2+(_xlfn.XLOOKUP(AT$1,$Z$2:$Z$18,$AC$2:$AC$18-$V15)^2)))</f>
        <v>190.45802897226463</v>
      </c>
      <c r="AU15" s="149">
        <f t="array" ref="AU15">IF(AU$1=0,"",SQRT((_xlfn.XLOOKUP(AU$1,$Z$2:$Z$18,$AA$2:$AA$18)-$T15)^2+(_xlfn.XLOOKUP(AU$1,$Z$2:$Z$18,$AB$2:$AB$18)-$U15)^2+(_xlfn.XLOOKUP(AU$1,$Z$2:$Z$18,$AC$2:$AC$18-$V15)^2)))</f>
        <v>190.45802897226463</v>
      </c>
      <c r="AV15" s="150">
        <f t="array" ref="AV15">IF(AV$1=0,"",SQRT((_xlfn.XLOOKUP(AV$1,$Z$2:$Z$18,$AA$2:$AA$18)-$T15)^2+(_xlfn.XLOOKUP(AV$1,$Z$2:$Z$18,$AB$2:$AB$18)-$U15)^2+(_xlfn.XLOOKUP(AV$1,$Z$2:$Z$18,$AC$2:$AC$18-$V15)^2)))</f>
        <v>190.45802897226463</v>
      </c>
      <c r="AW15" s="133"/>
      <c r="AX15" s="133"/>
      <c r="AY15" s="134">
        <f t="shared" si="19"/>
        <v>-43.258083648029597</v>
      </c>
      <c r="AZ15" s="151">
        <f t="shared" si="20"/>
        <v>-38.608568825135549</v>
      </c>
      <c r="BA15" s="151">
        <f t="shared" si="21"/>
        <v>-34.657795873241383</v>
      </c>
      <c r="BB15" s="151">
        <f t="shared" si="22"/>
        <v>-38.392864719991117</v>
      </c>
      <c r="BC15" s="151">
        <f t="shared" si="23"/>
        <v>-42.643701038617472</v>
      </c>
      <c r="BD15" s="151">
        <f t="shared" si="24"/>
        <v>-42.458244088350845</v>
      </c>
      <c r="BE15" s="151">
        <f t="shared" si="25"/>
        <v>-43.258083648029597</v>
      </c>
      <c r="BF15" s="151">
        <f t="shared" si="26"/>
        <v>-43.258083648029597</v>
      </c>
      <c r="BG15" s="152">
        <f t="shared" si="27"/>
        <v>-43.258083648029597</v>
      </c>
      <c r="BH15" s="152">
        <f t="shared" si="28"/>
        <v>-43.258083648029597</v>
      </c>
      <c r="BI15" s="152">
        <f t="shared" si="29"/>
        <v>-43.258083648029597</v>
      </c>
      <c r="BJ15" s="152">
        <f t="shared" si="30"/>
        <v>-43.258083648029597</v>
      </c>
      <c r="BK15" s="152">
        <f t="shared" si="31"/>
        <v>-43.258083648029597</v>
      </c>
      <c r="BL15" s="152">
        <f t="shared" si="32"/>
        <v>-43.258083648029597</v>
      </c>
      <c r="BM15" s="153">
        <f t="shared" si="33"/>
        <v>-43.258083648029597</v>
      </c>
      <c r="BN15" s="133"/>
      <c r="BO15" s="133"/>
      <c r="BP15" s="133"/>
      <c r="BQ15" s="133"/>
      <c r="BR15" s="133"/>
      <c r="BS15" s="133"/>
      <c r="BT15" s="133"/>
      <c r="BU15" s="133"/>
      <c r="BV15" s="139"/>
      <c r="BW15" s="139">
        <v>6</v>
      </c>
      <c r="BX15" s="139">
        <v>8</v>
      </c>
      <c r="BY15" s="139">
        <v>12</v>
      </c>
      <c r="BZ15" s="139">
        <v>11</v>
      </c>
      <c r="CA15" s="139">
        <v>8</v>
      </c>
      <c r="CB15" s="139"/>
      <c r="CC15" s="139"/>
      <c r="CD15" s="139"/>
      <c r="CE15" s="139"/>
      <c r="CF15" s="139"/>
      <c r="CG15" s="139"/>
      <c r="CH15" s="139"/>
      <c r="CI15" s="139"/>
      <c r="CJ15" s="139"/>
      <c r="CL15" s="133"/>
      <c r="CM15" s="139" t="s">
        <v>32</v>
      </c>
      <c r="CN15" s="139" t="s">
        <v>32</v>
      </c>
      <c r="CO15" s="139" t="s">
        <v>32</v>
      </c>
      <c r="CP15" s="139" t="s">
        <v>32</v>
      </c>
      <c r="CQ15" s="139" t="s">
        <v>32</v>
      </c>
      <c r="CR15" s="139" t="s">
        <v>32</v>
      </c>
      <c r="CS15" s="139"/>
      <c r="CT15" s="139"/>
      <c r="CU15" s="139"/>
      <c r="CV15" s="139"/>
      <c r="CW15" s="139"/>
      <c r="CX15" s="139"/>
      <c r="CY15" s="139"/>
      <c r="CZ15" s="139"/>
      <c r="DA15" s="139"/>
      <c r="DB15" s="133"/>
      <c r="DC15" s="133"/>
      <c r="DD15" s="154" cm="1">
        <f t="array" ref="DD15">_xlfn.IFS(DD$1= 0,"", NOT(ISBLANK(CM15)), 0, ISBLANK(CM15), $Q15-$S15+AY15-BV15)</f>
        <v>0</v>
      </c>
      <c r="DE15" s="155" cm="1">
        <f t="array" ref="DE15">_xlfn.IFS(DE$1= 0,"", NOT(ISBLANK(CN15)), 0, ISBLANK(CN15), $Q15-$S15+AZ15-BW15)</f>
        <v>0</v>
      </c>
      <c r="DF15" s="155" cm="1">
        <f t="array" ref="DF15">_xlfn.IFS(DF$1= 0,"", NOT(ISBLANK(CO15)), 0, ISBLANK(CO15), $Q15-$S15+BA15-BX15)</f>
        <v>0</v>
      </c>
      <c r="DG15" s="155" cm="1">
        <f t="array" ref="DG15">_xlfn.IFS(DG$1= 0,"", NOT(ISBLANK(CP15)), 0, ISBLANK(CP15), $Q15-$S15+BB15-BY15)</f>
        <v>0</v>
      </c>
      <c r="DH15" s="155" cm="1">
        <f t="array" ref="DH15">_xlfn.IFS(DH$1= 0,"", NOT(ISBLANK(CQ15)), 0, ISBLANK(CQ15), $Q15-$S15+BC15-BZ15)</f>
        <v>0</v>
      </c>
      <c r="DI15" s="155" cm="1">
        <f t="array" ref="DI15">_xlfn.IFS(DI$1= 0,"", NOT(ISBLANK(CR15)), 0, ISBLANK(CR15), $Q15-$S15+BD15-CA15)</f>
        <v>0</v>
      </c>
      <c r="DJ15" s="155" cm="1">
        <f t="array" ref="DJ15">_xlfn.IFS(DJ$1= 0,"", NOT(ISBLANK(CS15)), 0, ISBLANK(CS15), $Q15-$S15+BE15-CB15)</f>
        <v>32.752216308610215</v>
      </c>
      <c r="DK15" s="155" cm="1">
        <f t="array" ref="DK15">_xlfn.IFS(DK$1= 0,"", NOT(ISBLANK(CT15)), 0, ISBLANK(CT15), $Q15-$S15+BF15-CC15)</f>
        <v>32.752216308610215</v>
      </c>
      <c r="DL15" s="156" cm="1">
        <f t="array" ref="DL15">_xlfn.IFS(DL$1= 0,"", NOT(ISBLANK(CU15)), 0, ISBLANK(CU15), $Q15-$S15+BG15-CD15)</f>
        <v>32.752216308610215</v>
      </c>
      <c r="DM15" s="156" cm="1">
        <f t="array" ref="DM15">_xlfn.IFS(DM$1= 0,"", NOT(ISBLANK(CV15)), 0, ISBLANK(CV15), $Q15-$S15+BH15-CE15)</f>
        <v>32.752216308610215</v>
      </c>
      <c r="DN15" s="156" cm="1">
        <f t="array" ref="DN15">_xlfn.IFS(DN$1= 0,"", NOT(ISBLANK(CW15)), 0, ISBLANK(CW15), $Q15-$S15+BI15-CF15)</f>
        <v>32.752216308610215</v>
      </c>
      <c r="DO15" s="156" cm="1">
        <f t="array" ref="DO15">_xlfn.IFS(DO$1= 0,"", NOT(ISBLANK(CX15)), 0, ISBLANK(CX15), $Q15-$S15+BJ15-CG15)</f>
        <v>32.752216308610215</v>
      </c>
      <c r="DP15" s="142" cm="1">
        <f t="array" ref="DP15">_xlfn.IFS(DP$1= 0,"", NOT(ISBLANK(CY15)), 0, ISBLANK(CY15), $Q15-$S15+BK15-CH15)</f>
        <v>32.752216308610215</v>
      </c>
      <c r="DQ15" s="142" cm="1">
        <f t="array" ref="DQ15">_xlfn.IFS(DQ$1= 0,"", NOT(ISBLANK(CZ15)), 0, ISBLANK(CZ15), $Q15-$S15+BL15-CI15)</f>
        <v>32.752216308610215</v>
      </c>
      <c r="DR15" s="143" cm="1">
        <f t="array" ref="DR15">_xlfn.IFS(DR$1= 0,"", NOT(ISBLANK(DA15)), 0, ISBLANK(DA15), $Q15-$S15+BM15-CJ15)</f>
        <v>32.752216308610215</v>
      </c>
    </row>
    <row r="16" spans="1:138" ht="17.25" customHeight="1" thickBot="1" x14ac:dyDescent="0.35">
      <c r="A16" s="214">
        <v>2</v>
      </c>
      <c r="B16" s="144" t="s">
        <v>152</v>
      </c>
      <c r="C16" s="144" t="s">
        <v>116</v>
      </c>
      <c r="D16" s="145" t="s">
        <v>95</v>
      </c>
      <c r="E16" s="196" t="s">
        <v>113</v>
      </c>
      <c r="F16" s="204"/>
      <c r="G16" s="205"/>
      <c r="H16" s="205"/>
      <c r="I16" s="205"/>
      <c r="J16" s="205"/>
      <c r="K16" s="205"/>
      <c r="L16" s="205"/>
      <c r="M16" s="209"/>
      <c r="N16" s="204">
        <v>58</v>
      </c>
      <c r="O16" s="206">
        <v>5</v>
      </c>
      <c r="P16" s="199">
        <v>1</v>
      </c>
      <c r="Q16" s="12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6">
        <v>4</v>
      </c>
      <c r="Z16" s="10" t="s">
        <v>253</v>
      </c>
      <c r="AA16" s="6"/>
      <c r="AB16" s="6"/>
      <c r="AC16" s="104"/>
      <c r="AD16" s="8"/>
      <c r="AE16" s="2" t="str">
        <v/>
      </c>
      <c r="AH16" s="166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8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8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8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8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8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8">
        <f t="array" ref="AN16">IF(AN$1=0,"",SQRT((_xlfn.XLOOKUP(AN$1,$Z$2:$Z$18,$AA$2:$AA$18)-$T16)^2+(_xlfn.XLOOKUP(AN$1,$Z$2:$Z$18,$AB$2:$AB$18)-$U16)^2+(_xlfn.XLOOKUP(AN$1,$Z$2:$Z$18,$AC$2:$AC$18-$V16)^2)))</f>
        <v>168.15246206939702</v>
      </c>
      <c r="AO16" s="148">
        <f t="array" ref="AO16">IF(AO$1=0,"",SQRT((_xlfn.XLOOKUP(AO$1,$Z$2:$Z$18,$AA$2:$AA$18)-$T16)^2+(_xlfn.XLOOKUP(AO$1,$Z$2:$Z$18,$AB$2:$AB$18)-$U16)^2+(_xlfn.XLOOKUP(AO$1,$Z$2:$Z$18,$AC$2:$AC$18-$V16)^2)))</f>
        <v>168.15246206939702</v>
      </c>
      <c r="AP16" s="149">
        <f t="array" ref="AP16">IF(AP$1=0,"",SQRT((_xlfn.XLOOKUP(AP$1,$Z$2:$Z$18,$AA$2:$AA$18)-$T16)^2+(_xlfn.XLOOKUP(AP$1,$Z$2:$Z$18,$AB$2:$AB$18)-$U16)^2+(_xlfn.XLOOKUP(AP$1,$Z$2:$Z$18,$AC$2:$AC$18-$V16)^2)))</f>
        <v>168.15246206939702</v>
      </c>
      <c r="AQ16" s="149">
        <f t="array" ref="AQ16">IF(AQ$1=0,"",SQRT((_xlfn.XLOOKUP(AQ$1,$Z$2:$Z$18,$AA$2:$AA$18)-$T16)^2+(_xlfn.XLOOKUP(AQ$1,$Z$2:$Z$18,$AB$2:$AB$18)-$U16)^2+(_xlfn.XLOOKUP(AQ$1,$Z$2:$Z$18,$AC$2:$AC$18-$V16)^2)))</f>
        <v>168.15246206939702</v>
      </c>
      <c r="AR16" s="149">
        <f t="array" ref="AR16">IF(AR$1=0,"",SQRT((_xlfn.XLOOKUP(AR$1,$Z$2:$Z$18,$AA$2:$AA$18)-$T16)^2+(_xlfn.XLOOKUP(AR$1,$Z$2:$Z$18,$AB$2:$AB$18)-$U16)^2+(_xlfn.XLOOKUP(AR$1,$Z$2:$Z$18,$AC$2:$AC$18-$V16)^2)))</f>
        <v>168.15246206939702</v>
      </c>
      <c r="AS16" s="149">
        <f t="array" ref="AS16">IF(AS$1=0,"",SQRT((_xlfn.XLOOKUP(AS$1,$Z$2:$Z$18,$AA$2:$AA$18)-$T16)^2+(_xlfn.XLOOKUP(AS$1,$Z$2:$Z$18,$AB$2:$AB$18)-$U16)^2+(_xlfn.XLOOKUP(AS$1,$Z$2:$Z$18,$AC$2:$AC$18-$V16)^2)))</f>
        <v>168.15246206939702</v>
      </c>
      <c r="AT16" s="149">
        <f t="array" ref="AT16">IF(AT$1=0,"",SQRT((_xlfn.XLOOKUP(AT$1,$Z$2:$Z$18,$AA$2:$AA$18)-$T16)^2+(_xlfn.XLOOKUP(AT$1,$Z$2:$Z$18,$AB$2:$AB$18)-$U16)^2+(_xlfn.XLOOKUP(AT$1,$Z$2:$Z$18,$AC$2:$AC$18-$V16)^2)))</f>
        <v>168.15246206939702</v>
      </c>
      <c r="AU16" s="149">
        <f t="array" ref="AU16">IF(AU$1=0,"",SQRT((_xlfn.XLOOKUP(AU$1,$Z$2:$Z$18,$AA$2:$AA$18)-$T16)^2+(_xlfn.XLOOKUP(AU$1,$Z$2:$Z$18,$AB$2:$AB$18)-$U16)^2+(_xlfn.XLOOKUP(AU$1,$Z$2:$Z$18,$AC$2:$AC$18-$V16)^2)))</f>
        <v>168.15246206939702</v>
      </c>
      <c r="AV16" s="150">
        <f t="array" ref="AV16">IF(AV$1=0,"",SQRT((_xlfn.XLOOKUP(AV$1,$Z$2:$Z$18,$AA$2:$AA$18)-$T16)^2+(_xlfn.XLOOKUP(AV$1,$Z$2:$Z$18,$AB$2:$AB$18)-$U16)^2+(_xlfn.XLOOKUP(AV$1,$Z$2:$Z$18,$AC$2:$AC$18-$V16)^2)))</f>
        <v>168.15246206939702</v>
      </c>
      <c r="AW16" s="133"/>
      <c r="AX16" s="133"/>
      <c r="AY16" s="134">
        <f t="shared" si="19"/>
        <v>-42.176162548693654</v>
      </c>
      <c r="AZ16" s="151">
        <f t="shared" si="20"/>
        <v>-36.178989017618129</v>
      </c>
      <c r="BA16" s="151">
        <f t="shared" si="21"/>
        <v>-32.680632115704789</v>
      </c>
      <c r="BB16" s="151">
        <f t="shared" si="22"/>
        <v>-39.629854993026818</v>
      </c>
      <c r="BC16" s="151">
        <f t="shared" si="23"/>
        <v>-43.833774507203714</v>
      </c>
      <c r="BD16" s="151">
        <f t="shared" si="24"/>
        <v>-41.66595349192928</v>
      </c>
      <c r="BE16" s="151">
        <f t="shared" si="25"/>
        <v>-42.176162548693654</v>
      </c>
      <c r="BF16" s="151">
        <f t="shared" si="26"/>
        <v>-42.176162548693654</v>
      </c>
      <c r="BG16" s="152">
        <f t="shared" si="27"/>
        <v>-42.176162548693654</v>
      </c>
      <c r="BH16" s="152">
        <f t="shared" si="28"/>
        <v>-42.176162548693654</v>
      </c>
      <c r="BI16" s="152">
        <f t="shared" si="29"/>
        <v>-42.176162548693654</v>
      </c>
      <c r="BJ16" s="152">
        <f t="shared" si="30"/>
        <v>-42.176162548693654</v>
      </c>
      <c r="BK16" s="152">
        <f t="shared" si="31"/>
        <v>-42.176162548693654</v>
      </c>
      <c r="BL16" s="152">
        <f t="shared" si="32"/>
        <v>-42.176162548693654</v>
      </c>
      <c r="BM16" s="153">
        <f t="shared" si="33"/>
        <v>-42.176162548693654</v>
      </c>
      <c r="BN16" s="133"/>
      <c r="BO16" s="42" t="s">
        <v>48</v>
      </c>
      <c r="BP16" s="119">
        <f>MIN(BS6:BS7)</f>
        <v>75.400000000000006</v>
      </c>
      <c r="BQ16" s="133"/>
      <c r="BR16" s="133"/>
      <c r="BS16" s="133"/>
      <c r="BT16" s="133"/>
      <c r="BU16" s="133"/>
      <c r="BV16" s="139"/>
      <c r="BW16" s="139">
        <v>6</v>
      </c>
      <c r="BX16" s="139">
        <v>9</v>
      </c>
      <c r="BY16" s="139">
        <v>11</v>
      </c>
      <c r="BZ16" s="139">
        <v>13</v>
      </c>
      <c r="CA16" s="139">
        <v>8</v>
      </c>
      <c r="CB16" s="139"/>
      <c r="CC16" s="139"/>
      <c r="CD16" s="139"/>
      <c r="CE16" s="139"/>
      <c r="CF16" s="139"/>
      <c r="CG16" s="139"/>
      <c r="CH16" s="139"/>
      <c r="CI16" s="139"/>
      <c r="CJ16" s="139"/>
      <c r="CL16" s="133"/>
      <c r="CM16" s="139" t="s">
        <v>32</v>
      </c>
      <c r="CN16" s="139" t="s">
        <v>32</v>
      </c>
      <c r="CO16" s="139" t="s">
        <v>32</v>
      </c>
      <c r="CP16" s="139" t="s">
        <v>32</v>
      </c>
      <c r="CQ16" s="139" t="s">
        <v>32</v>
      </c>
      <c r="CR16" s="139" t="s">
        <v>32</v>
      </c>
      <c r="CS16" s="139"/>
      <c r="CT16" s="139"/>
      <c r="CU16" s="139"/>
      <c r="CV16" s="139"/>
      <c r="CW16" s="139"/>
      <c r="CX16" s="139"/>
      <c r="CY16" s="139"/>
      <c r="CZ16" s="139"/>
      <c r="DA16" s="139"/>
      <c r="DB16" s="133"/>
      <c r="DC16" s="133"/>
      <c r="DD16" s="154" cm="1">
        <f t="array" ref="DD16">_xlfn.IFS(DD$1= 0,"", NOT(ISBLANK(CM16)), 0, ISBLANK(CM16), $Q16-$S16+AY16-BV16)</f>
        <v>0</v>
      </c>
      <c r="DE16" s="155" cm="1">
        <f t="array" ref="DE16">_xlfn.IFS(DE$1= 0,"", NOT(ISBLANK(CN16)), 0, ISBLANK(CN16), $Q16-$S16+AZ16-BW16)</f>
        <v>0</v>
      </c>
      <c r="DF16" s="155" cm="1">
        <f t="array" ref="DF16">_xlfn.IFS(DF$1= 0,"", NOT(ISBLANK(CO16)), 0, ISBLANK(CO16), $Q16-$S16+BA16-BX16)</f>
        <v>0</v>
      </c>
      <c r="DG16" s="155" cm="1">
        <f t="array" ref="DG16">_xlfn.IFS(DG$1= 0,"", NOT(ISBLANK(CP16)), 0, ISBLANK(CP16), $Q16-$S16+BB16-BY16)</f>
        <v>0</v>
      </c>
      <c r="DH16" s="155" cm="1">
        <f t="array" ref="DH16">_xlfn.IFS(DH$1= 0,"", NOT(ISBLANK(CQ16)), 0, ISBLANK(CQ16), $Q16-$S16+BC16-BZ16)</f>
        <v>0</v>
      </c>
      <c r="DI16" s="155" cm="1">
        <f t="array" ref="DI16">_xlfn.IFS(DI$1= 0,"", NOT(ISBLANK(CR16)), 0, ISBLANK(CR16), $Q16-$S16+BD16-CA16)</f>
        <v>0</v>
      </c>
      <c r="DJ16" s="155" cm="1">
        <f t="array" ref="DJ16">_xlfn.IFS(DJ$1= 0,"", NOT(ISBLANK(CS16)), 0, ISBLANK(CS16), $Q16-$S16+BE16-CB16)</f>
        <v>33.834137407946159</v>
      </c>
      <c r="DK16" s="155" cm="1">
        <f t="array" ref="DK16">_xlfn.IFS(DK$1= 0,"", NOT(ISBLANK(CT16)), 0, ISBLANK(CT16), $Q16-$S16+BF16-CC16)</f>
        <v>33.834137407946159</v>
      </c>
      <c r="DL16" s="156" cm="1">
        <f t="array" ref="DL16">_xlfn.IFS(DL$1= 0,"", NOT(ISBLANK(CU16)), 0, ISBLANK(CU16), $Q16-$S16+BG16-CD16)</f>
        <v>33.834137407946159</v>
      </c>
      <c r="DM16" s="156" cm="1">
        <f t="array" ref="DM16">_xlfn.IFS(DM$1= 0,"", NOT(ISBLANK(CV16)), 0, ISBLANK(CV16), $Q16-$S16+BH16-CE16)</f>
        <v>33.834137407946159</v>
      </c>
      <c r="DN16" s="156" cm="1">
        <f t="array" ref="DN16">_xlfn.IFS(DN$1= 0,"", NOT(ISBLANK(CW16)), 0, ISBLANK(CW16), $Q16-$S16+BI16-CF16)</f>
        <v>33.834137407946159</v>
      </c>
      <c r="DO16" s="156" cm="1">
        <f t="array" ref="DO16">_xlfn.IFS(DO$1= 0,"", NOT(ISBLANK(CX16)), 0, ISBLANK(CX16), $Q16-$S16+BJ16-CG16)</f>
        <v>33.834137407946159</v>
      </c>
      <c r="DP16" s="142" cm="1">
        <f t="array" ref="DP16">_xlfn.IFS(DP$1= 0,"", NOT(ISBLANK(CY16)), 0, ISBLANK(CY16), $Q16-$S16+BK16-CH16)</f>
        <v>33.834137407946159</v>
      </c>
      <c r="DQ16" s="142" cm="1">
        <f t="array" ref="DQ16">_xlfn.IFS(DQ$1= 0,"", NOT(ISBLANK(CZ16)), 0, ISBLANK(CZ16), $Q16-$S16+BL16-CI16)</f>
        <v>33.834137407946159</v>
      </c>
      <c r="DR16" s="143" cm="1">
        <f t="array" ref="DR16">_xlfn.IFS(DR$1= 0,"", NOT(ISBLANK(DA16)), 0, ISBLANK(DA16), $Q16-$S16+BM16-CJ16)</f>
        <v>33.834137407946159</v>
      </c>
    </row>
    <row r="17" spans="1:122" ht="17.25" customHeight="1" thickBot="1" x14ac:dyDescent="0.35">
      <c r="A17" s="214">
        <v>4</v>
      </c>
      <c r="B17" s="144" t="s">
        <v>151</v>
      </c>
      <c r="C17" s="144" t="s">
        <v>116</v>
      </c>
      <c r="D17" s="145" t="s">
        <v>95</v>
      </c>
      <c r="E17" s="196" t="s">
        <v>113</v>
      </c>
      <c r="F17" s="204"/>
      <c r="G17" s="205"/>
      <c r="H17" s="205"/>
      <c r="I17" s="205"/>
      <c r="J17" s="205"/>
      <c r="K17" s="205"/>
      <c r="L17" s="205"/>
      <c r="M17" s="209"/>
      <c r="N17" s="204">
        <v>58</v>
      </c>
      <c r="O17" s="206">
        <v>5</v>
      </c>
      <c r="P17" s="199">
        <v>1</v>
      </c>
      <c r="Q17" s="12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6">
        <v>4</v>
      </c>
      <c r="AH17" s="166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8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8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8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8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8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8">
        <f t="array" ref="AN17">IF(AN$1=0,"",SQRT((_xlfn.XLOOKUP(AN$1,$Z$2:$Z$18,$AA$2:$AA$18)-$T17)^2+(_xlfn.XLOOKUP(AN$1,$Z$2:$Z$18,$AB$2:$AB$18)-$U17)^2+(_xlfn.XLOOKUP(AN$1,$Z$2:$Z$18,$AC$2:$AC$18-$V17)^2)))</f>
        <v>146.53088172805076</v>
      </c>
      <c r="AO17" s="148">
        <f t="array" ref="AO17">IF(AO$1=0,"",SQRT((_xlfn.XLOOKUP(AO$1,$Z$2:$Z$18,$AA$2:$AA$18)-$T17)^2+(_xlfn.XLOOKUP(AO$1,$Z$2:$Z$18,$AB$2:$AB$18)-$U17)^2+(_xlfn.XLOOKUP(AO$1,$Z$2:$Z$18,$AC$2:$AC$18-$V17)^2)))</f>
        <v>146.53088172805076</v>
      </c>
      <c r="AP17" s="149">
        <f t="array" ref="AP17">IF(AP$1=0,"",SQRT((_xlfn.XLOOKUP(AP$1,$Z$2:$Z$18,$AA$2:$AA$18)-$T17)^2+(_xlfn.XLOOKUP(AP$1,$Z$2:$Z$18,$AB$2:$AB$18)-$U17)^2+(_xlfn.XLOOKUP(AP$1,$Z$2:$Z$18,$AC$2:$AC$18-$V17)^2)))</f>
        <v>146.53088172805076</v>
      </c>
      <c r="AQ17" s="149">
        <f t="array" ref="AQ17">IF(AQ$1=0,"",SQRT((_xlfn.XLOOKUP(AQ$1,$Z$2:$Z$18,$AA$2:$AA$18)-$T17)^2+(_xlfn.XLOOKUP(AQ$1,$Z$2:$Z$18,$AB$2:$AB$18)-$U17)^2+(_xlfn.XLOOKUP(AQ$1,$Z$2:$Z$18,$AC$2:$AC$18-$V17)^2)))</f>
        <v>146.53088172805076</v>
      </c>
      <c r="AR17" s="149">
        <f t="array" ref="AR17">IF(AR$1=0,"",SQRT((_xlfn.XLOOKUP(AR$1,$Z$2:$Z$18,$AA$2:$AA$18)-$T17)^2+(_xlfn.XLOOKUP(AR$1,$Z$2:$Z$18,$AB$2:$AB$18)-$U17)^2+(_xlfn.XLOOKUP(AR$1,$Z$2:$Z$18,$AC$2:$AC$18-$V17)^2)))</f>
        <v>146.53088172805076</v>
      </c>
      <c r="AS17" s="149">
        <f t="array" ref="AS17">IF(AS$1=0,"",SQRT((_xlfn.XLOOKUP(AS$1,$Z$2:$Z$18,$AA$2:$AA$18)-$T17)^2+(_xlfn.XLOOKUP(AS$1,$Z$2:$Z$18,$AB$2:$AB$18)-$U17)^2+(_xlfn.XLOOKUP(AS$1,$Z$2:$Z$18,$AC$2:$AC$18-$V17)^2)))</f>
        <v>146.53088172805076</v>
      </c>
      <c r="AT17" s="149">
        <f t="array" ref="AT17">IF(AT$1=0,"",SQRT((_xlfn.XLOOKUP(AT$1,$Z$2:$Z$18,$AA$2:$AA$18)-$T17)^2+(_xlfn.XLOOKUP(AT$1,$Z$2:$Z$18,$AB$2:$AB$18)-$U17)^2+(_xlfn.XLOOKUP(AT$1,$Z$2:$Z$18,$AC$2:$AC$18-$V17)^2)))</f>
        <v>146.53088172805076</v>
      </c>
      <c r="AU17" s="149">
        <f t="array" ref="AU17">IF(AU$1=0,"",SQRT((_xlfn.XLOOKUP(AU$1,$Z$2:$Z$18,$AA$2:$AA$18)-$T17)^2+(_xlfn.XLOOKUP(AU$1,$Z$2:$Z$18,$AB$2:$AB$18)-$U17)^2+(_xlfn.XLOOKUP(AU$1,$Z$2:$Z$18,$AC$2:$AC$18-$V17)^2)))</f>
        <v>146.53088172805076</v>
      </c>
      <c r="AV17" s="150">
        <f t="array" ref="AV17">IF(AV$1=0,"",SQRT((_xlfn.XLOOKUP(AV$1,$Z$2:$Z$18,$AA$2:$AA$18)-$T17)^2+(_xlfn.XLOOKUP(AV$1,$Z$2:$Z$18,$AB$2:$AB$18)-$U17)^2+(_xlfn.XLOOKUP(AV$1,$Z$2:$Z$18,$AC$2:$AC$18-$V17)^2)))</f>
        <v>146.53088172805076</v>
      </c>
      <c r="AW17" s="133"/>
      <c r="AX17" s="133"/>
      <c r="AY17" s="134">
        <f t="shared" si="19"/>
        <v>-40.980681195336253</v>
      </c>
      <c r="AZ17" s="151">
        <f t="shared" si="20"/>
        <v>-32.651598334859486</v>
      </c>
      <c r="BA17" s="151">
        <f t="shared" si="21"/>
        <v>-32.173763572847079</v>
      </c>
      <c r="BB17" s="151">
        <f t="shared" si="22"/>
        <v>-40.94723722194427</v>
      </c>
      <c r="BC17" s="151">
        <f t="shared" si="23"/>
        <v>-44.930139466929539</v>
      </c>
      <c r="BD17" s="151">
        <f t="shared" si="24"/>
        <v>-41.009098586856595</v>
      </c>
      <c r="BE17" s="151">
        <f t="shared" si="25"/>
        <v>-40.980681195336253</v>
      </c>
      <c r="BF17" s="151">
        <f t="shared" si="26"/>
        <v>-40.980681195336253</v>
      </c>
      <c r="BG17" s="152">
        <f t="shared" si="27"/>
        <v>-40.980681195336253</v>
      </c>
      <c r="BH17" s="152">
        <f t="shared" si="28"/>
        <v>-40.980681195336253</v>
      </c>
      <c r="BI17" s="152">
        <f t="shared" si="29"/>
        <v>-40.980681195336253</v>
      </c>
      <c r="BJ17" s="152">
        <f t="shared" si="30"/>
        <v>-40.980681195336253</v>
      </c>
      <c r="BK17" s="152">
        <f t="shared" si="31"/>
        <v>-40.980681195336253</v>
      </c>
      <c r="BL17" s="152">
        <f t="shared" si="32"/>
        <v>-40.980681195336253</v>
      </c>
      <c r="BM17" s="153">
        <f t="shared" si="33"/>
        <v>-40.980681195336253</v>
      </c>
      <c r="BN17" s="133"/>
      <c r="BO17" s="44" t="s">
        <v>49</v>
      </c>
      <c r="BP17" s="120">
        <f>ABS(BS6-BS7)</f>
        <v>0</v>
      </c>
      <c r="BQ17" s="133"/>
      <c r="BR17" s="133"/>
      <c r="BS17" s="133"/>
      <c r="BT17" s="133"/>
      <c r="BU17" s="133"/>
      <c r="BV17" s="139"/>
      <c r="BW17" s="139">
        <v>4</v>
      </c>
      <c r="BX17" s="139">
        <v>10</v>
      </c>
      <c r="BY17" s="139">
        <v>10</v>
      </c>
      <c r="BZ17" s="139">
        <v>13</v>
      </c>
      <c r="CA17" s="139">
        <v>8</v>
      </c>
      <c r="CB17" s="139"/>
      <c r="CC17" s="139"/>
      <c r="CD17" s="139"/>
      <c r="CE17" s="139"/>
      <c r="CF17" s="139"/>
      <c r="CG17" s="139"/>
      <c r="CH17" s="139"/>
      <c r="CI17" s="139"/>
      <c r="CJ17" s="139"/>
      <c r="CL17" s="133"/>
      <c r="CM17" s="139" t="s">
        <v>32</v>
      </c>
      <c r="CN17" s="139" t="s">
        <v>32</v>
      </c>
      <c r="CO17" s="139" t="s">
        <v>32</v>
      </c>
      <c r="CP17" s="139" t="s">
        <v>32</v>
      </c>
      <c r="CQ17" s="139" t="s">
        <v>32</v>
      </c>
      <c r="CR17" s="139" t="s">
        <v>32</v>
      </c>
      <c r="CS17" s="139"/>
      <c r="CT17" s="139"/>
      <c r="CU17" s="139"/>
      <c r="CV17" s="139"/>
      <c r="CW17" s="139"/>
      <c r="CX17" s="139"/>
      <c r="CY17" s="139"/>
      <c r="CZ17" s="139"/>
      <c r="DA17" s="139"/>
      <c r="DB17" s="133"/>
      <c r="DC17" s="133"/>
      <c r="DD17" s="154" cm="1">
        <f t="array" ref="DD17">_xlfn.IFS(DD$1= 0,"", NOT(ISBLANK(CM17)), 0, ISBLANK(CM17), $Q17-$S17+AY17-BV17)</f>
        <v>0</v>
      </c>
      <c r="DE17" s="155" cm="1">
        <f t="array" ref="DE17">_xlfn.IFS(DE$1= 0,"", NOT(ISBLANK(CN17)), 0, ISBLANK(CN17), $Q17-$S17+AZ17-BW17)</f>
        <v>0</v>
      </c>
      <c r="DF17" s="155" cm="1">
        <f t="array" ref="DF17">_xlfn.IFS(DF$1= 0,"", NOT(ISBLANK(CO17)), 0, ISBLANK(CO17), $Q17-$S17+BA17-BX17)</f>
        <v>0</v>
      </c>
      <c r="DG17" s="155" cm="1">
        <f t="array" ref="DG17">_xlfn.IFS(DG$1= 0,"", NOT(ISBLANK(CP17)), 0, ISBLANK(CP17), $Q17-$S17+BB17-BY17)</f>
        <v>0</v>
      </c>
      <c r="DH17" s="155" cm="1">
        <f t="array" ref="DH17">_xlfn.IFS(DH$1= 0,"", NOT(ISBLANK(CQ17)), 0, ISBLANK(CQ17), $Q17-$S17+BC17-BZ17)</f>
        <v>0</v>
      </c>
      <c r="DI17" s="155" cm="1">
        <f t="array" ref="DI17">_xlfn.IFS(DI$1= 0,"", NOT(ISBLANK(CR17)), 0, ISBLANK(CR17), $Q17-$S17+BD17-CA17)</f>
        <v>0</v>
      </c>
      <c r="DJ17" s="155" cm="1">
        <f t="array" ref="DJ17">_xlfn.IFS(DJ$1= 0,"", NOT(ISBLANK(CS17)), 0, ISBLANK(CS17), $Q17-$S17+BE17-CB17)</f>
        <v>38.039918717943372</v>
      </c>
      <c r="DK17" s="155" cm="1">
        <f t="array" ref="DK17">_xlfn.IFS(DK$1= 0,"", NOT(ISBLANK(CT17)), 0, ISBLANK(CT17), $Q17-$S17+BF17-CC17)</f>
        <v>38.039918717943372</v>
      </c>
      <c r="DL17" s="156" cm="1">
        <f t="array" ref="DL17">_xlfn.IFS(DL$1= 0,"", NOT(ISBLANK(CU17)), 0, ISBLANK(CU17), $Q17-$S17+BG17-CD17)</f>
        <v>38.039918717943372</v>
      </c>
      <c r="DM17" s="156" cm="1">
        <f t="array" ref="DM17">_xlfn.IFS(DM$1= 0,"", NOT(ISBLANK(CV17)), 0, ISBLANK(CV17), $Q17-$S17+BH17-CE17)</f>
        <v>38.039918717943372</v>
      </c>
      <c r="DN17" s="156" cm="1">
        <f t="array" ref="DN17">_xlfn.IFS(DN$1= 0,"", NOT(ISBLANK(CW17)), 0, ISBLANK(CW17), $Q17-$S17+BI17-CF17)</f>
        <v>38.039918717943372</v>
      </c>
      <c r="DO17" s="156" cm="1">
        <f t="array" ref="DO17">_xlfn.IFS(DO$1= 0,"", NOT(ISBLANK(CX17)), 0, ISBLANK(CX17), $Q17-$S17+BJ17-CG17)</f>
        <v>38.039918717943372</v>
      </c>
      <c r="DP17" s="142" cm="1">
        <f t="array" ref="DP17">_xlfn.IFS(DP$1= 0,"", NOT(ISBLANK(CY17)), 0, ISBLANK(CY17), $Q17-$S17+BK17-CH17)</f>
        <v>38.039918717943372</v>
      </c>
      <c r="DQ17" s="142" cm="1">
        <f t="array" ref="DQ17">_xlfn.IFS(DQ$1= 0,"", NOT(ISBLANK(CZ17)), 0, ISBLANK(CZ17), $Q17-$S17+BL17-CI17)</f>
        <v>38.039918717943372</v>
      </c>
      <c r="DR17" s="143" cm="1">
        <f t="array" ref="DR17">_xlfn.IFS(DR$1= 0,"", NOT(ISBLANK(DA17)), 0, ISBLANK(DA17), $Q17-$S17+BM17-CJ17)</f>
        <v>38.039918717943372</v>
      </c>
    </row>
    <row r="18" spans="1:122" ht="17.25" customHeight="1" thickBot="1" x14ac:dyDescent="0.35">
      <c r="A18" s="214">
        <v>2</v>
      </c>
      <c r="B18" s="144" t="s">
        <v>153</v>
      </c>
      <c r="C18" s="144" t="s">
        <v>116</v>
      </c>
      <c r="D18" s="145" t="s">
        <v>95</v>
      </c>
      <c r="E18" s="196" t="s">
        <v>113</v>
      </c>
      <c r="F18" s="204"/>
      <c r="G18" s="205"/>
      <c r="H18" s="205"/>
      <c r="I18" s="205"/>
      <c r="J18" s="205"/>
      <c r="K18" s="205"/>
      <c r="L18" s="205"/>
      <c r="M18" s="209"/>
      <c r="N18" s="204">
        <v>58</v>
      </c>
      <c r="O18" s="206">
        <v>5</v>
      </c>
      <c r="P18" s="199">
        <v>1</v>
      </c>
      <c r="Q18" s="12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6">
        <v>4</v>
      </c>
      <c r="AE18" s="24" t="s">
        <v>50</v>
      </c>
      <c r="AH18" s="166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8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8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8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8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8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8">
        <f t="array" ref="AN18">IF(AN$1=0,"",SQRT((_xlfn.XLOOKUP(AN$1,$Z$2:$Z$18,$AA$2:$AA$18)-$T18)^2+(_xlfn.XLOOKUP(AN$1,$Z$2:$Z$18,$AB$2:$AB$18)-$U18)^2+(_xlfn.XLOOKUP(AN$1,$Z$2:$Z$18,$AC$2:$AC$18-$V18)^2)))</f>
        <v>153.49701821208123</v>
      </c>
      <c r="AO18" s="148">
        <f t="array" ref="AO18">IF(AO$1=0,"",SQRT((_xlfn.XLOOKUP(AO$1,$Z$2:$Z$18,$AA$2:$AA$18)-$T18)^2+(_xlfn.XLOOKUP(AO$1,$Z$2:$Z$18,$AB$2:$AB$18)-$U18)^2+(_xlfn.XLOOKUP(AO$1,$Z$2:$Z$18,$AC$2:$AC$18-$V18)^2)))</f>
        <v>153.49701821208123</v>
      </c>
      <c r="AP18" s="149">
        <f t="array" ref="AP18">IF(AP$1=0,"",SQRT((_xlfn.XLOOKUP(AP$1,$Z$2:$Z$18,$AA$2:$AA$18)-$T18)^2+(_xlfn.XLOOKUP(AP$1,$Z$2:$Z$18,$AB$2:$AB$18)-$U18)^2+(_xlfn.XLOOKUP(AP$1,$Z$2:$Z$18,$AC$2:$AC$18-$V18)^2)))</f>
        <v>153.49701821208123</v>
      </c>
      <c r="AQ18" s="149">
        <f t="array" ref="AQ18">IF(AQ$1=0,"",SQRT((_xlfn.XLOOKUP(AQ$1,$Z$2:$Z$18,$AA$2:$AA$18)-$T18)^2+(_xlfn.XLOOKUP(AQ$1,$Z$2:$Z$18,$AB$2:$AB$18)-$U18)^2+(_xlfn.XLOOKUP(AQ$1,$Z$2:$Z$18,$AC$2:$AC$18-$V18)^2)))</f>
        <v>153.49701821208123</v>
      </c>
      <c r="AR18" s="149">
        <f t="array" ref="AR18">IF(AR$1=0,"",SQRT((_xlfn.XLOOKUP(AR$1,$Z$2:$Z$18,$AA$2:$AA$18)-$T18)^2+(_xlfn.XLOOKUP(AR$1,$Z$2:$Z$18,$AB$2:$AB$18)-$U18)^2+(_xlfn.XLOOKUP(AR$1,$Z$2:$Z$18,$AC$2:$AC$18-$V18)^2)))</f>
        <v>153.49701821208123</v>
      </c>
      <c r="AS18" s="149">
        <f t="array" ref="AS18">IF(AS$1=0,"",SQRT((_xlfn.XLOOKUP(AS$1,$Z$2:$Z$18,$AA$2:$AA$18)-$T18)^2+(_xlfn.XLOOKUP(AS$1,$Z$2:$Z$18,$AB$2:$AB$18)-$U18)^2+(_xlfn.XLOOKUP(AS$1,$Z$2:$Z$18,$AC$2:$AC$18-$V18)^2)))</f>
        <v>153.49701821208123</v>
      </c>
      <c r="AT18" s="149">
        <f t="array" ref="AT18">IF(AT$1=0,"",SQRT((_xlfn.XLOOKUP(AT$1,$Z$2:$Z$18,$AA$2:$AA$18)-$T18)^2+(_xlfn.XLOOKUP(AT$1,$Z$2:$Z$18,$AB$2:$AB$18)-$U18)^2+(_xlfn.XLOOKUP(AT$1,$Z$2:$Z$18,$AC$2:$AC$18-$V18)^2)))</f>
        <v>153.49701821208123</v>
      </c>
      <c r="AU18" s="149">
        <f t="array" ref="AU18">IF(AU$1=0,"",SQRT((_xlfn.XLOOKUP(AU$1,$Z$2:$Z$18,$AA$2:$AA$18)-$T18)^2+(_xlfn.XLOOKUP(AU$1,$Z$2:$Z$18,$AB$2:$AB$18)-$U18)^2+(_xlfn.XLOOKUP(AU$1,$Z$2:$Z$18,$AC$2:$AC$18-$V18)^2)))</f>
        <v>153.49701821208123</v>
      </c>
      <c r="AV18" s="150">
        <f t="array" ref="AV18">IF(AV$1=0,"",SQRT((_xlfn.XLOOKUP(AV$1,$Z$2:$Z$18,$AA$2:$AA$18)-$T18)^2+(_xlfn.XLOOKUP(AV$1,$Z$2:$Z$18,$AB$2:$AB$18)-$U18)^2+(_xlfn.XLOOKUP(AV$1,$Z$2:$Z$18,$AC$2:$AC$18-$V18)^2)))</f>
        <v>153.49701821208123</v>
      </c>
      <c r="AW18" s="133"/>
      <c r="AX18" s="133"/>
      <c r="AY18" s="134">
        <f t="shared" si="19"/>
        <v>-41.384096805298512</v>
      </c>
      <c r="AZ18" s="151">
        <f t="shared" si="20"/>
        <v>-31.542324099954989</v>
      </c>
      <c r="BA18" s="151">
        <f t="shared" si="21"/>
        <v>-35.18821866575729</v>
      </c>
      <c r="BB18" s="151">
        <f t="shared" si="22"/>
        <v>-42.251647159969053</v>
      </c>
      <c r="BC18" s="151">
        <f t="shared" si="23"/>
        <v>-45.506670717495467</v>
      </c>
      <c r="BD18" s="151">
        <f t="shared" si="24"/>
        <v>-39.331020209117781</v>
      </c>
      <c r="BE18" s="151">
        <f t="shared" si="25"/>
        <v>-41.384096805298512</v>
      </c>
      <c r="BF18" s="151">
        <f t="shared" si="26"/>
        <v>-41.384096805298512</v>
      </c>
      <c r="BG18" s="152">
        <f t="shared" si="27"/>
        <v>-41.384096805298512</v>
      </c>
      <c r="BH18" s="152">
        <f t="shared" si="28"/>
        <v>-41.384096805298512</v>
      </c>
      <c r="BI18" s="152">
        <f t="shared" si="29"/>
        <v>-41.384096805298512</v>
      </c>
      <c r="BJ18" s="152">
        <f t="shared" si="30"/>
        <v>-41.384096805298512</v>
      </c>
      <c r="BK18" s="152">
        <f t="shared" si="31"/>
        <v>-41.384096805298512</v>
      </c>
      <c r="BL18" s="152">
        <f t="shared" si="32"/>
        <v>-41.384096805298512</v>
      </c>
      <c r="BM18" s="153">
        <f t="shared" si="33"/>
        <v>-41.384096805298512</v>
      </c>
      <c r="BN18" s="133"/>
      <c r="BO18" s="44" t="s">
        <v>51</v>
      </c>
      <c r="BP18" s="120">
        <f>SQRT((BQ7-BQ6)^2+(BR7-BR6)^2)</f>
        <v>11.757657079537571</v>
      </c>
      <c r="BQ18" s="133"/>
      <c r="BR18" s="133"/>
      <c r="BS18" s="133"/>
      <c r="BT18" s="133"/>
      <c r="BU18" s="133"/>
      <c r="BV18" s="139"/>
      <c r="BW18" s="139">
        <v>5</v>
      </c>
      <c r="BX18" s="139">
        <v>14</v>
      </c>
      <c r="BY18" s="139">
        <v>11</v>
      </c>
      <c r="BZ18" s="139">
        <v>12</v>
      </c>
      <c r="CA18" s="139">
        <v>5</v>
      </c>
      <c r="CB18" s="139"/>
      <c r="CC18" s="139"/>
      <c r="CD18" s="139"/>
      <c r="CE18" s="139"/>
      <c r="CF18" s="139"/>
      <c r="CG18" s="139"/>
      <c r="CH18" s="139"/>
      <c r="CI18" s="139"/>
      <c r="CJ18" s="139"/>
      <c r="CL18" s="133"/>
      <c r="CM18" s="139" t="s">
        <v>32</v>
      </c>
      <c r="CN18" s="139" t="s">
        <v>32</v>
      </c>
      <c r="CO18" s="139" t="s">
        <v>32</v>
      </c>
      <c r="CP18" s="139" t="s">
        <v>32</v>
      </c>
      <c r="CQ18" s="139" t="s">
        <v>32</v>
      </c>
      <c r="CR18" s="139" t="s">
        <v>32</v>
      </c>
      <c r="CS18" s="139"/>
      <c r="CT18" s="139"/>
      <c r="CU18" s="139"/>
      <c r="CV18" s="139"/>
      <c r="CW18" s="139"/>
      <c r="CX18" s="139"/>
      <c r="CY18" s="139"/>
      <c r="CZ18" s="139"/>
      <c r="DA18" s="139"/>
      <c r="DB18" s="133"/>
      <c r="DC18" s="133"/>
      <c r="DD18" s="154" cm="1">
        <f t="array" ref="DD18">_xlfn.IFS(DD$1= 0,"", NOT(ISBLANK(CM18)), 0, ISBLANK(CM18), $Q18-$S18+AY18-BV18)</f>
        <v>0</v>
      </c>
      <c r="DE18" s="155" cm="1">
        <f t="array" ref="DE18">_xlfn.IFS(DE$1= 0,"", NOT(ISBLANK(CN18)), 0, ISBLANK(CN18), $Q18-$S18+AZ18-BW18)</f>
        <v>0</v>
      </c>
      <c r="DF18" s="155" cm="1">
        <f t="array" ref="DF18">_xlfn.IFS(DF$1= 0,"", NOT(ISBLANK(CO18)), 0, ISBLANK(CO18), $Q18-$S18+BA18-BX18)</f>
        <v>0</v>
      </c>
      <c r="DG18" s="155" cm="1">
        <f t="array" ref="DG18">_xlfn.IFS(DG$1= 0,"", NOT(ISBLANK(CP18)), 0, ISBLANK(CP18), $Q18-$S18+BB18-BY18)</f>
        <v>0</v>
      </c>
      <c r="DH18" s="155" cm="1">
        <f t="array" ref="DH18">_xlfn.IFS(DH$1= 0,"", NOT(ISBLANK(CQ18)), 0, ISBLANK(CQ18), $Q18-$S18+BC18-BZ18)</f>
        <v>0</v>
      </c>
      <c r="DI18" s="155" cm="1">
        <f t="array" ref="DI18">_xlfn.IFS(DI$1= 0,"", NOT(ISBLANK(CR18)), 0, ISBLANK(CR18), $Q18-$S18+BD18-CA18)</f>
        <v>0</v>
      </c>
      <c r="DJ18" s="155" cm="1">
        <f t="array" ref="DJ18">_xlfn.IFS(DJ$1= 0,"", NOT(ISBLANK(CS18)), 0, ISBLANK(CS18), $Q18-$S18+BE18-CB18)</f>
        <v>34.626203151341301</v>
      </c>
      <c r="DK18" s="155" cm="1">
        <f t="array" ref="DK18">_xlfn.IFS(DK$1= 0,"", NOT(ISBLANK(CT18)), 0, ISBLANK(CT18), $Q18-$S18+BF18-CC18)</f>
        <v>34.626203151341301</v>
      </c>
      <c r="DL18" s="156" cm="1">
        <f t="array" ref="DL18">_xlfn.IFS(DL$1= 0,"", NOT(ISBLANK(CU18)), 0, ISBLANK(CU18), $Q18-$S18+BG18-CD18)</f>
        <v>34.626203151341301</v>
      </c>
      <c r="DM18" s="156" cm="1">
        <f t="array" ref="DM18">_xlfn.IFS(DM$1= 0,"", NOT(ISBLANK(CV18)), 0, ISBLANK(CV18), $Q18-$S18+BH18-CE18)</f>
        <v>34.626203151341301</v>
      </c>
      <c r="DN18" s="156" cm="1">
        <f t="array" ref="DN18">_xlfn.IFS(DN$1= 0,"", NOT(ISBLANK(CW18)), 0, ISBLANK(CW18), $Q18-$S18+BI18-CF18)</f>
        <v>34.626203151341301</v>
      </c>
      <c r="DO18" s="156" cm="1">
        <f t="array" ref="DO18">_xlfn.IFS(DO$1= 0,"", NOT(ISBLANK(CX18)), 0, ISBLANK(CX18), $Q18-$S18+BJ18-CG18)</f>
        <v>34.626203151341301</v>
      </c>
      <c r="DP18" s="142" cm="1">
        <f t="array" ref="DP18">_xlfn.IFS(DP$1= 0,"", NOT(ISBLANK(CY18)), 0, ISBLANK(CY18), $Q18-$S18+BK18-CH18)</f>
        <v>34.626203151341301</v>
      </c>
      <c r="DQ18" s="142" cm="1">
        <f t="array" ref="DQ18">_xlfn.IFS(DQ$1= 0,"", NOT(ISBLANK(CZ18)), 0, ISBLANK(CZ18), $Q18-$S18+BL18-CI18)</f>
        <v>34.626203151341301</v>
      </c>
      <c r="DR18" s="143" cm="1">
        <f t="array" ref="DR18">_xlfn.IFS(DR$1= 0,"", NOT(ISBLANK(DA18)), 0, ISBLANK(DA18), $Q18-$S18+BM18-CJ18)</f>
        <v>34.626203151341301</v>
      </c>
    </row>
    <row r="19" spans="1:122" ht="17.25" customHeight="1" thickBot="1" x14ac:dyDescent="0.35">
      <c r="A19" s="214">
        <v>2</v>
      </c>
      <c r="B19" s="144" t="s">
        <v>154</v>
      </c>
      <c r="C19" s="144" t="s">
        <v>116</v>
      </c>
      <c r="D19" s="145" t="s">
        <v>95</v>
      </c>
      <c r="E19" s="196" t="s">
        <v>113</v>
      </c>
      <c r="F19" s="204"/>
      <c r="G19" s="205"/>
      <c r="H19" s="205"/>
      <c r="I19" s="205"/>
      <c r="J19" s="205"/>
      <c r="K19" s="205"/>
      <c r="L19" s="205"/>
      <c r="M19" s="209"/>
      <c r="N19" s="204">
        <v>58</v>
      </c>
      <c r="O19" s="206">
        <v>5</v>
      </c>
      <c r="P19" s="199">
        <v>1</v>
      </c>
      <c r="Q19" s="12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6">
        <v>4</v>
      </c>
      <c r="AE19" s="24" t="s">
        <v>52</v>
      </c>
      <c r="AF19" s="24" t="s">
        <v>53</v>
      </c>
      <c r="AH19" s="166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8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8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8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8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8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8">
        <f t="array" ref="AN19">IF(AN$1=0,"",SQRT((_xlfn.XLOOKUP(AN$1,$Z$2:$Z$18,$AA$2:$AA$18)-$T19)^2+(_xlfn.XLOOKUP(AN$1,$Z$2:$Z$18,$AB$2:$AB$18)-$U19)^2+(_xlfn.XLOOKUP(AN$1,$Z$2:$Z$18,$AC$2:$AC$18-$V19)^2)))</f>
        <v>174.12193802045738</v>
      </c>
      <c r="AO19" s="148">
        <f t="array" ref="AO19">IF(AO$1=0,"",SQRT((_xlfn.XLOOKUP(AO$1,$Z$2:$Z$18,$AA$2:$AA$18)-$T19)^2+(_xlfn.XLOOKUP(AO$1,$Z$2:$Z$18,$AB$2:$AB$18)-$U19)^2+(_xlfn.XLOOKUP(AO$1,$Z$2:$Z$18,$AC$2:$AC$18-$V19)^2)))</f>
        <v>174.12193802045738</v>
      </c>
      <c r="AP19" s="149">
        <f t="array" ref="AP19">IF(AP$1=0,"",SQRT((_xlfn.XLOOKUP(AP$1,$Z$2:$Z$18,$AA$2:$AA$18)-$T19)^2+(_xlfn.XLOOKUP(AP$1,$Z$2:$Z$18,$AB$2:$AB$18)-$U19)^2+(_xlfn.XLOOKUP(AP$1,$Z$2:$Z$18,$AC$2:$AC$18-$V19)^2)))</f>
        <v>174.12193802045738</v>
      </c>
      <c r="AQ19" s="149">
        <f t="array" ref="AQ19">IF(AQ$1=0,"",SQRT((_xlfn.XLOOKUP(AQ$1,$Z$2:$Z$18,$AA$2:$AA$18)-$T19)^2+(_xlfn.XLOOKUP(AQ$1,$Z$2:$Z$18,$AB$2:$AB$18)-$U19)^2+(_xlfn.XLOOKUP(AQ$1,$Z$2:$Z$18,$AC$2:$AC$18-$V19)^2)))</f>
        <v>174.12193802045738</v>
      </c>
      <c r="AR19" s="149">
        <f t="array" ref="AR19">IF(AR$1=0,"",SQRT((_xlfn.XLOOKUP(AR$1,$Z$2:$Z$18,$AA$2:$AA$18)-$T19)^2+(_xlfn.XLOOKUP(AR$1,$Z$2:$Z$18,$AB$2:$AB$18)-$U19)^2+(_xlfn.XLOOKUP(AR$1,$Z$2:$Z$18,$AC$2:$AC$18-$V19)^2)))</f>
        <v>174.12193802045738</v>
      </c>
      <c r="AS19" s="149">
        <f t="array" ref="AS19">IF(AS$1=0,"",SQRT((_xlfn.XLOOKUP(AS$1,$Z$2:$Z$18,$AA$2:$AA$18)-$T19)^2+(_xlfn.XLOOKUP(AS$1,$Z$2:$Z$18,$AB$2:$AB$18)-$U19)^2+(_xlfn.XLOOKUP(AS$1,$Z$2:$Z$18,$AC$2:$AC$18-$V19)^2)))</f>
        <v>174.12193802045738</v>
      </c>
      <c r="AT19" s="149">
        <f t="array" ref="AT19">IF(AT$1=0,"",SQRT((_xlfn.XLOOKUP(AT$1,$Z$2:$Z$18,$AA$2:$AA$18)-$T19)^2+(_xlfn.XLOOKUP(AT$1,$Z$2:$Z$18,$AB$2:$AB$18)-$U19)^2+(_xlfn.XLOOKUP(AT$1,$Z$2:$Z$18,$AC$2:$AC$18-$V19)^2)))</f>
        <v>174.12193802045738</v>
      </c>
      <c r="AU19" s="149">
        <f t="array" ref="AU19">IF(AU$1=0,"",SQRT((_xlfn.XLOOKUP(AU$1,$Z$2:$Z$18,$AA$2:$AA$18)-$T19)^2+(_xlfn.XLOOKUP(AU$1,$Z$2:$Z$18,$AB$2:$AB$18)-$U19)^2+(_xlfn.XLOOKUP(AU$1,$Z$2:$Z$18,$AC$2:$AC$18-$V19)^2)))</f>
        <v>174.12193802045738</v>
      </c>
      <c r="AV19" s="150">
        <f t="array" ref="AV19">IF(AV$1=0,"",SQRT((_xlfn.XLOOKUP(AV$1,$Z$2:$Z$18,$AA$2:$AA$18)-$T19)^2+(_xlfn.XLOOKUP(AV$1,$Z$2:$Z$18,$AB$2:$AB$18)-$U19)^2+(_xlfn.XLOOKUP(AV$1,$Z$2:$Z$18,$AC$2:$AC$18-$V19)^2)))</f>
        <v>174.12193802045738</v>
      </c>
      <c r="AW19" s="133"/>
      <c r="AX19" s="133"/>
      <c r="AY19" s="134">
        <f t="shared" si="19"/>
        <v>-42.479167783288645</v>
      </c>
      <c r="AZ19" s="151">
        <f t="shared" si="20"/>
        <v>-34.82220161149305</v>
      </c>
      <c r="BA19" s="151">
        <f t="shared" si="21"/>
        <v>-36.281913036228403</v>
      </c>
      <c r="BB19" s="151">
        <f t="shared" si="22"/>
        <v>-42.112271443198949</v>
      </c>
      <c r="BC19" s="151">
        <f t="shared" si="23"/>
        <v>-45.033675784921769</v>
      </c>
      <c r="BD19" s="151">
        <f t="shared" si="24"/>
        <v>-39.01002273619185</v>
      </c>
      <c r="BE19" s="151">
        <f t="shared" si="25"/>
        <v>-42.479167783288645</v>
      </c>
      <c r="BF19" s="151">
        <f t="shared" si="26"/>
        <v>-42.479167783288645</v>
      </c>
      <c r="BG19" s="152">
        <f t="shared" si="27"/>
        <v>-42.479167783288645</v>
      </c>
      <c r="BH19" s="152">
        <f t="shared" si="28"/>
        <v>-42.479167783288645</v>
      </c>
      <c r="BI19" s="152">
        <f t="shared" si="29"/>
        <v>-42.479167783288645</v>
      </c>
      <c r="BJ19" s="152">
        <f t="shared" si="30"/>
        <v>-42.479167783288645</v>
      </c>
      <c r="BK19" s="152">
        <f t="shared" si="31"/>
        <v>-42.479167783288645</v>
      </c>
      <c r="BL19" s="152">
        <f t="shared" si="32"/>
        <v>-42.479167783288645</v>
      </c>
      <c r="BM19" s="153">
        <f t="shared" si="33"/>
        <v>-42.479167783288645</v>
      </c>
      <c r="BN19" s="133"/>
      <c r="BO19" s="44" t="s">
        <v>54</v>
      </c>
      <c r="BP19" s="120">
        <f>BP17/BP18</f>
        <v>0</v>
      </c>
      <c r="BQ19" s="133"/>
      <c r="BR19" s="133"/>
      <c r="BS19" s="133"/>
      <c r="BT19" s="133"/>
      <c r="BU19" s="133"/>
      <c r="BV19" s="139"/>
      <c r="BW19" s="139">
        <v>6</v>
      </c>
      <c r="BX19" s="139">
        <v>15</v>
      </c>
      <c r="BY19" s="139">
        <v>12</v>
      </c>
      <c r="BZ19" s="139">
        <v>12</v>
      </c>
      <c r="CA19" s="139">
        <v>6</v>
      </c>
      <c r="CB19" s="139"/>
      <c r="CC19" s="139"/>
      <c r="CD19" s="139"/>
      <c r="CE19" s="139"/>
      <c r="CF19" s="139"/>
      <c r="CG19" s="139"/>
      <c r="CH19" s="139"/>
      <c r="CI19" s="139"/>
      <c r="CJ19" s="139"/>
      <c r="CL19" s="133"/>
      <c r="CM19" s="139" t="s">
        <v>32</v>
      </c>
      <c r="CN19" s="139" t="s">
        <v>32</v>
      </c>
      <c r="CO19" s="139" t="s">
        <v>32</v>
      </c>
      <c r="CP19" s="139" t="s">
        <v>32</v>
      </c>
      <c r="CQ19" s="139" t="s">
        <v>32</v>
      </c>
      <c r="CR19" s="139" t="s">
        <v>32</v>
      </c>
      <c r="CS19" s="139"/>
      <c r="CT19" s="139"/>
      <c r="CU19" s="139"/>
      <c r="CV19" s="139"/>
      <c r="CW19" s="139"/>
      <c r="CX19" s="139"/>
      <c r="CY19" s="139"/>
      <c r="CZ19" s="139"/>
      <c r="DA19" s="139"/>
      <c r="DB19" s="133"/>
      <c r="DC19" s="133"/>
      <c r="DD19" s="154" cm="1">
        <f t="array" ref="DD19">_xlfn.IFS(DD$1= 0,"", NOT(ISBLANK(CM19)), 0, ISBLANK(CM19), $Q19-$S19+AY19-BV19)</f>
        <v>0</v>
      </c>
      <c r="DE19" s="155" cm="1">
        <f t="array" ref="DE19">_xlfn.IFS(DE$1= 0,"", NOT(ISBLANK(CN19)), 0, ISBLANK(CN19), $Q19-$S19+AZ19-BW19)</f>
        <v>0</v>
      </c>
      <c r="DF19" s="155" cm="1">
        <f t="array" ref="DF19">_xlfn.IFS(DF$1= 0,"", NOT(ISBLANK(CO19)), 0, ISBLANK(CO19), $Q19-$S19+BA19-BX19)</f>
        <v>0</v>
      </c>
      <c r="DG19" s="155" cm="1">
        <f t="array" ref="DG19">_xlfn.IFS(DG$1= 0,"", NOT(ISBLANK(CP19)), 0, ISBLANK(CP19), $Q19-$S19+BB19-BY19)</f>
        <v>0</v>
      </c>
      <c r="DH19" s="155" cm="1">
        <f t="array" ref="DH19">_xlfn.IFS(DH$1= 0,"", NOT(ISBLANK(CQ19)), 0, ISBLANK(CQ19), $Q19-$S19+BC19-BZ19)</f>
        <v>0</v>
      </c>
      <c r="DI19" s="155" cm="1">
        <f t="array" ref="DI19">_xlfn.IFS(DI$1= 0,"", NOT(ISBLANK(CR19)), 0, ISBLANK(CR19), $Q19-$S19+BD19-CA19)</f>
        <v>0</v>
      </c>
      <c r="DJ19" s="155" cm="1">
        <f t="array" ref="DJ19">_xlfn.IFS(DJ$1= 0,"", NOT(ISBLANK(CS19)), 0, ISBLANK(CS19), $Q19-$S19+BE19-CB19)</f>
        <v>33.531132173351168</v>
      </c>
      <c r="DK19" s="155" cm="1">
        <f t="array" ref="DK19">_xlfn.IFS(DK$1= 0,"", NOT(ISBLANK(CT19)), 0, ISBLANK(CT19), $Q19-$S19+BF19-CC19)</f>
        <v>33.531132173351168</v>
      </c>
      <c r="DL19" s="156" cm="1">
        <f t="array" ref="DL19">_xlfn.IFS(DL$1= 0,"", NOT(ISBLANK(CU19)), 0, ISBLANK(CU19), $Q19-$S19+BG19-CD19)</f>
        <v>33.531132173351168</v>
      </c>
      <c r="DM19" s="156" cm="1">
        <f t="array" ref="DM19">_xlfn.IFS(DM$1= 0,"", NOT(ISBLANK(CV19)), 0, ISBLANK(CV19), $Q19-$S19+BH19-CE19)</f>
        <v>33.531132173351168</v>
      </c>
      <c r="DN19" s="156" cm="1">
        <f t="array" ref="DN19">_xlfn.IFS(DN$1= 0,"", NOT(ISBLANK(CW19)), 0, ISBLANK(CW19), $Q19-$S19+BI19-CF19)</f>
        <v>33.531132173351168</v>
      </c>
      <c r="DO19" s="156" cm="1">
        <f t="array" ref="DO19">_xlfn.IFS(DO$1= 0,"", NOT(ISBLANK(CX19)), 0, ISBLANK(CX19), $Q19-$S19+BJ19-CG19)</f>
        <v>33.531132173351168</v>
      </c>
      <c r="DP19" s="142" cm="1">
        <f t="array" ref="DP19">_xlfn.IFS(DP$1= 0,"", NOT(ISBLANK(CY19)), 0, ISBLANK(CY19), $Q19-$S19+BK19-CH19)</f>
        <v>33.531132173351168</v>
      </c>
      <c r="DQ19" s="142" cm="1">
        <f t="array" ref="DQ19">_xlfn.IFS(DQ$1= 0,"", NOT(ISBLANK(CZ19)), 0, ISBLANK(CZ19), $Q19-$S19+BL19-CI19)</f>
        <v>33.531132173351168</v>
      </c>
      <c r="DR19" s="143" cm="1">
        <f t="array" ref="DR19">_xlfn.IFS(DR$1= 0,"", NOT(ISBLANK(DA19)), 0, ISBLANK(DA19), $Q19-$S19+BM19-CJ19)</f>
        <v>33.531132173351168</v>
      </c>
    </row>
    <row r="20" spans="1:122" ht="17.25" customHeight="1" thickBot="1" x14ac:dyDescent="0.35">
      <c r="A20" s="214">
        <v>2</v>
      </c>
      <c r="B20" s="144" t="s">
        <v>155</v>
      </c>
      <c r="C20" s="144" t="s">
        <v>116</v>
      </c>
      <c r="D20" s="145" t="s">
        <v>95</v>
      </c>
      <c r="E20" s="196" t="s">
        <v>113</v>
      </c>
      <c r="F20" s="204"/>
      <c r="G20" s="205"/>
      <c r="H20" s="205"/>
      <c r="I20" s="205"/>
      <c r="J20" s="205"/>
      <c r="K20" s="205"/>
      <c r="L20" s="205"/>
      <c r="M20" s="209"/>
      <c r="N20" s="204">
        <v>58</v>
      </c>
      <c r="O20" s="206">
        <v>5</v>
      </c>
      <c r="P20" s="199">
        <v>1</v>
      </c>
      <c r="Q20" s="12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6">
        <v>4</v>
      </c>
      <c r="AE20" s="110">
        <v>150</v>
      </c>
      <c r="AF20" s="111">
        <v>1370</v>
      </c>
      <c r="AH20" s="166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8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8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8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8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8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8">
        <f t="array" ref="AN20">IF(AN$1=0,"",SQRT((_xlfn.XLOOKUP(AN$1,$Z$2:$Z$18,$AA$2:$AA$18)-$T20)^2+(_xlfn.XLOOKUP(AN$1,$Z$2:$Z$18,$AB$2:$AB$18)-$U20)^2+(_xlfn.XLOOKUP(AN$1,$Z$2:$Z$18,$AC$2:$AC$18-$V20)^2)))</f>
        <v>187.93250916219898</v>
      </c>
      <c r="AO20" s="148">
        <f t="array" ref="AO20">IF(AO$1=0,"",SQRT((_xlfn.XLOOKUP(AO$1,$Z$2:$Z$18,$AA$2:$AA$18)-$T20)^2+(_xlfn.XLOOKUP(AO$1,$Z$2:$Z$18,$AB$2:$AB$18)-$U20)^2+(_xlfn.XLOOKUP(AO$1,$Z$2:$Z$18,$AC$2:$AC$18-$V20)^2)))</f>
        <v>187.93250916219898</v>
      </c>
      <c r="AP20" s="149">
        <f t="array" ref="AP20">IF(AP$1=0,"",SQRT((_xlfn.XLOOKUP(AP$1,$Z$2:$Z$18,$AA$2:$AA$18)-$T20)^2+(_xlfn.XLOOKUP(AP$1,$Z$2:$Z$18,$AB$2:$AB$18)-$U20)^2+(_xlfn.XLOOKUP(AP$1,$Z$2:$Z$18,$AC$2:$AC$18-$V20)^2)))</f>
        <v>187.93250916219898</v>
      </c>
      <c r="AQ20" s="149">
        <f t="array" ref="AQ20">IF(AQ$1=0,"",SQRT((_xlfn.XLOOKUP(AQ$1,$Z$2:$Z$18,$AA$2:$AA$18)-$T20)^2+(_xlfn.XLOOKUP(AQ$1,$Z$2:$Z$18,$AB$2:$AB$18)-$U20)^2+(_xlfn.XLOOKUP(AQ$1,$Z$2:$Z$18,$AC$2:$AC$18-$V20)^2)))</f>
        <v>187.93250916219898</v>
      </c>
      <c r="AR20" s="149">
        <f t="array" ref="AR20">IF(AR$1=0,"",SQRT((_xlfn.XLOOKUP(AR$1,$Z$2:$Z$18,$AA$2:$AA$18)-$T20)^2+(_xlfn.XLOOKUP(AR$1,$Z$2:$Z$18,$AB$2:$AB$18)-$U20)^2+(_xlfn.XLOOKUP(AR$1,$Z$2:$Z$18,$AC$2:$AC$18-$V20)^2)))</f>
        <v>187.93250916219898</v>
      </c>
      <c r="AS20" s="149">
        <f t="array" ref="AS20">IF(AS$1=0,"",SQRT((_xlfn.XLOOKUP(AS$1,$Z$2:$Z$18,$AA$2:$AA$18)-$T20)^2+(_xlfn.XLOOKUP(AS$1,$Z$2:$Z$18,$AB$2:$AB$18)-$U20)^2+(_xlfn.XLOOKUP(AS$1,$Z$2:$Z$18,$AC$2:$AC$18-$V20)^2)))</f>
        <v>187.93250916219898</v>
      </c>
      <c r="AT20" s="149">
        <f t="array" ref="AT20">IF(AT$1=0,"",SQRT((_xlfn.XLOOKUP(AT$1,$Z$2:$Z$18,$AA$2:$AA$18)-$T20)^2+(_xlfn.XLOOKUP(AT$1,$Z$2:$Z$18,$AB$2:$AB$18)-$U20)^2+(_xlfn.XLOOKUP(AT$1,$Z$2:$Z$18,$AC$2:$AC$18-$V20)^2)))</f>
        <v>187.93250916219898</v>
      </c>
      <c r="AU20" s="149">
        <f t="array" ref="AU20">IF(AU$1=0,"",SQRT((_xlfn.XLOOKUP(AU$1,$Z$2:$Z$18,$AA$2:$AA$18)-$T20)^2+(_xlfn.XLOOKUP(AU$1,$Z$2:$Z$18,$AB$2:$AB$18)-$U20)^2+(_xlfn.XLOOKUP(AU$1,$Z$2:$Z$18,$AC$2:$AC$18-$V20)^2)))</f>
        <v>187.93250916219898</v>
      </c>
      <c r="AV20" s="150">
        <f t="array" ref="AV20">IF(AV$1=0,"",SQRT((_xlfn.XLOOKUP(AV$1,$Z$2:$Z$18,$AA$2:$AA$18)-$T20)^2+(_xlfn.XLOOKUP(AV$1,$Z$2:$Z$18,$AB$2:$AB$18)-$U20)^2+(_xlfn.XLOOKUP(AV$1,$Z$2:$Z$18,$AC$2:$AC$18-$V20)^2)))</f>
        <v>187.93250916219898</v>
      </c>
      <c r="AW20" s="133"/>
      <c r="AX20" s="133"/>
      <c r="AY20" s="134">
        <f t="shared" si="19"/>
        <v>-43.142136181683533</v>
      </c>
      <c r="AZ20" s="151">
        <f t="shared" si="20"/>
        <v>-36.798514406595245</v>
      </c>
      <c r="BA20" s="151">
        <f t="shared" si="21"/>
        <v>-36.532902229988785</v>
      </c>
      <c r="BB20" s="151">
        <f t="shared" si="22"/>
        <v>-41.479486419392771</v>
      </c>
      <c r="BC20" s="151">
        <f t="shared" si="23"/>
        <v>-44.322539411233699</v>
      </c>
      <c r="BD20" s="151">
        <f t="shared" si="24"/>
        <v>-39.801273584616801</v>
      </c>
      <c r="BE20" s="151">
        <f t="shared" si="25"/>
        <v>-43.142136181683533</v>
      </c>
      <c r="BF20" s="151">
        <f t="shared" si="26"/>
        <v>-43.142136181683533</v>
      </c>
      <c r="BG20" s="152">
        <f t="shared" si="27"/>
        <v>-43.142136181683533</v>
      </c>
      <c r="BH20" s="152">
        <f t="shared" si="28"/>
        <v>-43.142136181683533</v>
      </c>
      <c r="BI20" s="152">
        <f t="shared" si="29"/>
        <v>-43.142136181683533</v>
      </c>
      <c r="BJ20" s="152">
        <f t="shared" si="30"/>
        <v>-43.142136181683533</v>
      </c>
      <c r="BK20" s="152">
        <f t="shared" si="31"/>
        <v>-43.142136181683533</v>
      </c>
      <c r="BL20" s="152">
        <f t="shared" si="32"/>
        <v>-43.142136181683533</v>
      </c>
      <c r="BM20" s="153">
        <f t="shared" si="33"/>
        <v>-43.142136181683533</v>
      </c>
      <c r="BN20" s="133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3"/>
      <c r="BR20" s="133"/>
      <c r="BS20" s="133"/>
      <c r="BT20" s="133"/>
      <c r="BU20" s="133"/>
      <c r="BV20" s="139"/>
      <c r="BW20" s="139">
        <v>7</v>
      </c>
      <c r="BX20" s="139">
        <v>15</v>
      </c>
      <c r="BY20" s="139">
        <v>12</v>
      </c>
      <c r="BZ20" s="139">
        <v>11</v>
      </c>
      <c r="CA20" s="139">
        <v>6</v>
      </c>
      <c r="CB20" s="139"/>
      <c r="CC20" s="139"/>
      <c r="CD20" s="139"/>
      <c r="CE20" s="139"/>
      <c r="CF20" s="139"/>
      <c r="CG20" s="139"/>
      <c r="CH20" s="139"/>
      <c r="CI20" s="139"/>
      <c r="CJ20" s="139"/>
      <c r="CL20" s="133"/>
      <c r="CM20" s="139" t="s">
        <v>32</v>
      </c>
      <c r="CN20" s="139" t="s">
        <v>32</v>
      </c>
      <c r="CO20" s="139" t="s">
        <v>32</v>
      </c>
      <c r="CP20" s="139" t="s">
        <v>32</v>
      </c>
      <c r="CQ20" s="139" t="s">
        <v>32</v>
      </c>
      <c r="CR20" s="139" t="s">
        <v>32</v>
      </c>
      <c r="CS20" s="139"/>
      <c r="CT20" s="139"/>
      <c r="CU20" s="139"/>
      <c r="CV20" s="139"/>
      <c r="CW20" s="139"/>
      <c r="CX20" s="139"/>
      <c r="CY20" s="139"/>
      <c r="CZ20" s="139"/>
      <c r="DA20" s="139"/>
      <c r="DB20" s="133"/>
      <c r="DC20" s="133"/>
      <c r="DD20" s="154" cm="1">
        <f t="array" ref="DD20">_xlfn.IFS(DD$1= 0,"", NOT(ISBLANK(CM20)), 0, ISBLANK(CM20), $Q20-$S20+AY20-BV20)</f>
        <v>0</v>
      </c>
      <c r="DE20" s="155" cm="1">
        <f t="array" ref="DE20">_xlfn.IFS(DE$1= 0,"", NOT(ISBLANK(CN20)), 0, ISBLANK(CN20), $Q20-$S20+AZ20-BW20)</f>
        <v>0</v>
      </c>
      <c r="DF20" s="155" cm="1">
        <f t="array" ref="DF20">_xlfn.IFS(DF$1= 0,"", NOT(ISBLANK(CO20)), 0, ISBLANK(CO20), $Q20-$S20+BA20-BX20)</f>
        <v>0</v>
      </c>
      <c r="DG20" s="155" cm="1">
        <f t="array" ref="DG20">_xlfn.IFS(DG$1= 0,"", NOT(ISBLANK(CP20)), 0, ISBLANK(CP20), $Q20-$S20+BB20-BY20)</f>
        <v>0</v>
      </c>
      <c r="DH20" s="155" cm="1">
        <f t="array" ref="DH20">_xlfn.IFS(DH$1= 0,"", NOT(ISBLANK(CQ20)), 0, ISBLANK(CQ20), $Q20-$S20+BC20-BZ20)</f>
        <v>0</v>
      </c>
      <c r="DI20" s="155" cm="1">
        <f t="array" ref="DI20">_xlfn.IFS(DI$1= 0,"", NOT(ISBLANK(CR20)), 0, ISBLANK(CR20), $Q20-$S20+BD20-CA20)</f>
        <v>0</v>
      </c>
      <c r="DJ20" s="155" cm="1">
        <f t="array" ref="DJ20">_xlfn.IFS(DJ$1= 0,"", NOT(ISBLANK(CS20)), 0, ISBLANK(CS20), $Q20-$S20+BE20-CB20)</f>
        <v>32.86816377495628</v>
      </c>
      <c r="DK20" s="155" cm="1">
        <f t="array" ref="DK20">_xlfn.IFS(DK$1= 0,"", NOT(ISBLANK(CT20)), 0, ISBLANK(CT20), $Q20-$S20+BF20-CC20)</f>
        <v>32.86816377495628</v>
      </c>
      <c r="DL20" s="156" cm="1">
        <f t="array" ref="DL20">_xlfn.IFS(DL$1= 0,"", NOT(ISBLANK(CU20)), 0, ISBLANK(CU20), $Q20-$S20+BG20-CD20)</f>
        <v>32.86816377495628</v>
      </c>
      <c r="DM20" s="156" cm="1">
        <f t="array" ref="DM20">_xlfn.IFS(DM$1= 0,"", NOT(ISBLANK(CV20)), 0, ISBLANK(CV20), $Q20-$S20+BH20-CE20)</f>
        <v>32.86816377495628</v>
      </c>
      <c r="DN20" s="156" cm="1">
        <f t="array" ref="DN20">_xlfn.IFS(DN$1= 0,"", NOT(ISBLANK(CW20)), 0, ISBLANK(CW20), $Q20-$S20+BI20-CF20)</f>
        <v>32.86816377495628</v>
      </c>
      <c r="DO20" s="156" cm="1">
        <f t="array" ref="DO20">_xlfn.IFS(DO$1= 0,"", NOT(ISBLANK(CX20)), 0, ISBLANK(CX20), $Q20-$S20+BJ20-CG20)</f>
        <v>32.86816377495628</v>
      </c>
      <c r="DP20" s="142" cm="1">
        <f t="array" ref="DP20">_xlfn.IFS(DP$1= 0,"", NOT(ISBLANK(CY20)), 0, ISBLANK(CY20), $Q20-$S20+BK20-CH20)</f>
        <v>32.86816377495628</v>
      </c>
      <c r="DQ20" s="142" cm="1">
        <f t="array" ref="DQ20">_xlfn.IFS(DQ$1= 0,"", NOT(ISBLANK(CZ20)), 0, ISBLANK(CZ20), $Q20-$S20+BL20-CI20)</f>
        <v>32.86816377495628</v>
      </c>
      <c r="DR20" s="143" cm="1">
        <f t="array" ref="DR20">_xlfn.IFS(DR$1= 0,"", NOT(ISBLANK(DA20)), 0, ISBLANK(DA20), $Q20-$S20+BM20-CJ20)</f>
        <v>32.86816377495628</v>
      </c>
    </row>
    <row r="21" spans="1:122" ht="17.25" customHeight="1" thickBot="1" x14ac:dyDescent="0.35">
      <c r="A21" s="214">
        <v>2</v>
      </c>
      <c r="B21" s="144" t="s">
        <v>156</v>
      </c>
      <c r="C21" s="144" t="s">
        <v>116</v>
      </c>
      <c r="D21" s="145" t="s">
        <v>95</v>
      </c>
      <c r="E21" s="196" t="s">
        <v>113</v>
      </c>
      <c r="F21" s="204"/>
      <c r="G21" s="205"/>
      <c r="H21" s="205"/>
      <c r="I21" s="205"/>
      <c r="J21" s="205"/>
      <c r="K21" s="205"/>
      <c r="L21" s="205"/>
      <c r="M21" s="209"/>
      <c r="N21" s="204">
        <v>58</v>
      </c>
      <c r="O21" s="206">
        <v>5</v>
      </c>
      <c r="P21" s="199">
        <v>1</v>
      </c>
      <c r="Q21" s="12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6">
        <v>4</v>
      </c>
      <c r="AH21" s="166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8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8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8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8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8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8">
        <f t="array" ref="AN21">IF(AN$1=0,"",SQRT((_xlfn.XLOOKUP(AN$1,$Z$2:$Z$18,$AA$2:$AA$18)-$T21)^2+(_xlfn.XLOOKUP(AN$1,$Z$2:$Z$18,$AB$2:$AB$18)-$U21)^2+(_xlfn.XLOOKUP(AN$1,$Z$2:$Z$18,$AC$2:$AC$18-$V21)^2)))</f>
        <v>202.71690827358233</v>
      </c>
      <c r="AO21" s="148">
        <f t="array" ref="AO21">IF(AO$1=0,"",SQRT((_xlfn.XLOOKUP(AO$1,$Z$2:$Z$18,$AA$2:$AA$18)-$T21)^2+(_xlfn.XLOOKUP(AO$1,$Z$2:$Z$18,$AB$2:$AB$18)-$U21)^2+(_xlfn.XLOOKUP(AO$1,$Z$2:$Z$18,$AC$2:$AC$18-$V21)^2)))</f>
        <v>202.71690827358233</v>
      </c>
      <c r="AP21" s="149">
        <f t="array" ref="AP21">IF(AP$1=0,"",SQRT((_xlfn.XLOOKUP(AP$1,$Z$2:$Z$18,$AA$2:$AA$18)-$T21)^2+(_xlfn.XLOOKUP(AP$1,$Z$2:$Z$18,$AB$2:$AB$18)-$U21)^2+(_xlfn.XLOOKUP(AP$1,$Z$2:$Z$18,$AC$2:$AC$18-$V21)^2)))</f>
        <v>202.71690827358233</v>
      </c>
      <c r="AQ21" s="149">
        <f t="array" ref="AQ21">IF(AQ$1=0,"",SQRT((_xlfn.XLOOKUP(AQ$1,$Z$2:$Z$18,$AA$2:$AA$18)-$T21)^2+(_xlfn.XLOOKUP(AQ$1,$Z$2:$Z$18,$AB$2:$AB$18)-$U21)^2+(_xlfn.XLOOKUP(AQ$1,$Z$2:$Z$18,$AC$2:$AC$18-$V21)^2)))</f>
        <v>202.71690827358233</v>
      </c>
      <c r="AR21" s="149">
        <f t="array" ref="AR21">IF(AR$1=0,"",SQRT((_xlfn.XLOOKUP(AR$1,$Z$2:$Z$18,$AA$2:$AA$18)-$T21)^2+(_xlfn.XLOOKUP(AR$1,$Z$2:$Z$18,$AB$2:$AB$18)-$U21)^2+(_xlfn.XLOOKUP(AR$1,$Z$2:$Z$18,$AC$2:$AC$18-$V21)^2)))</f>
        <v>202.71690827358233</v>
      </c>
      <c r="AS21" s="149">
        <f t="array" ref="AS21">IF(AS$1=0,"",SQRT((_xlfn.XLOOKUP(AS$1,$Z$2:$Z$18,$AA$2:$AA$18)-$T21)^2+(_xlfn.XLOOKUP(AS$1,$Z$2:$Z$18,$AB$2:$AB$18)-$U21)^2+(_xlfn.XLOOKUP(AS$1,$Z$2:$Z$18,$AC$2:$AC$18-$V21)^2)))</f>
        <v>202.71690827358233</v>
      </c>
      <c r="AT21" s="149">
        <f t="array" ref="AT21">IF(AT$1=0,"",SQRT((_xlfn.XLOOKUP(AT$1,$Z$2:$Z$18,$AA$2:$AA$18)-$T21)^2+(_xlfn.XLOOKUP(AT$1,$Z$2:$Z$18,$AB$2:$AB$18)-$U21)^2+(_xlfn.XLOOKUP(AT$1,$Z$2:$Z$18,$AC$2:$AC$18-$V21)^2)))</f>
        <v>202.71690827358233</v>
      </c>
      <c r="AU21" s="149">
        <f t="array" ref="AU21">IF(AU$1=0,"",SQRT((_xlfn.XLOOKUP(AU$1,$Z$2:$Z$18,$AA$2:$AA$18)-$T21)^2+(_xlfn.XLOOKUP(AU$1,$Z$2:$Z$18,$AB$2:$AB$18)-$U21)^2+(_xlfn.XLOOKUP(AU$1,$Z$2:$Z$18,$AC$2:$AC$18-$V21)^2)))</f>
        <v>202.71690827358233</v>
      </c>
      <c r="AV21" s="150">
        <f t="array" ref="AV21">IF(AV$1=0,"",SQRT((_xlfn.XLOOKUP(AV$1,$Z$2:$Z$18,$AA$2:$AA$18)-$T21)^2+(_xlfn.XLOOKUP(AV$1,$Z$2:$Z$18,$AB$2:$AB$18)-$U21)^2+(_xlfn.XLOOKUP(AV$1,$Z$2:$Z$18,$AC$2:$AC$18-$V21)^2)))</f>
        <v>202.71690827358233</v>
      </c>
      <c r="AW21" s="133"/>
      <c r="AX21" s="133"/>
      <c r="AY21" s="134">
        <f t="shared" si="19"/>
        <v>-43.799897416334382</v>
      </c>
      <c r="AZ21" s="151">
        <f t="shared" si="20"/>
        <v>-38.446828847966557</v>
      </c>
      <c r="BA21" s="151">
        <f t="shared" si="21"/>
        <v>-37.180918502283589</v>
      </c>
      <c r="BB21" s="151">
        <f t="shared" si="22"/>
        <v>-40.914729551308696</v>
      </c>
      <c r="BC21" s="151">
        <f t="shared" si="23"/>
        <v>-43.569994386958761</v>
      </c>
      <c r="BD21" s="151">
        <f t="shared" si="24"/>
        <v>-40.645101242901127</v>
      </c>
      <c r="BE21" s="151">
        <f t="shared" si="25"/>
        <v>-43.799897416334382</v>
      </c>
      <c r="BF21" s="151">
        <f t="shared" si="26"/>
        <v>-43.799897416334382</v>
      </c>
      <c r="BG21" s="152">
        <f t="shared" si="27"/>
        <v>-43.799897416334382</v>
      </c>
      <c r="BH21" s="152">
        <f t="shared" si="28"/>
        <v>-43.799897416334382</v>
      </c>
      <c r="BI21" s="152">
        <f t="shared" si="29"/>
        <v>-43.799897416334382</v>
      </c>
      <c r="BJ21" s="152">
        <f t="shared" si="30"/>
        <v>-43.799897416334382</v>
      </c>
      <c r="BK21" s="152">
        <f t="shared" si="31"/>
        <v>-43.799897416334382</v>
      </c>
      <c r="BL21" s="152">
        <f t="shared" si="32"/>
        <v>-43.799897416334382</v>
      </c>
      <c r="BM21" s="153">
        <f t="shared" si="33"/>
        <v>-43.799897416334382</v>
      </c>
      <c r="BN21" s="133"/>
      <c r="BO21" s="46" t="s">
        <v>56</v>
      </c>
      <c r="BP21" s="47">
        <f>BP19*BP20+BP16</f>
        <v>75.400000000000006</v>
      </c>
      <c r="BQ21" s="133"/>
      <c r="BR21" s="133"/>
      <c r="BS21" s="133"/>
      <c r="BT21" s="133"/>
      <c r="BU21" s="133"/>
      <c r="BV21" s="139"/>
      <c r="BW21" s="139">
        <v>7</v>
      </c>
      <c r="BX21" s="139">
        <v>15</v>
      </c>
      <c r="BY21" s="139">
        <v>12</v>
      </c>
      <c r="BZ21" s="139">
        <v>11</v>
      </c>
      <c r="CA21" s="139">
        <v>5</v>
      </c>
      <c r="CB21" s="139"/>
      <c r="CC21" s="139"/>
      <c r="CD21" s="139"/>
      <c r="CE21" s="139"/>
      <c r="CF21" s="139"/>
      <c r="CG21" s="139"/>
      <c r="CH21" s="139"/>
      <c r="CI21" s="139"/>
      <c r="CJ21" s="139"/>
      <c r="CL21" s="133"/>
      <c r="CM21" s="139" t="s">
        <v>32</v>
      </c>
      <c r="CN21" s="139" t="s">
        <v>32</v>
      </c>
      <c r="CO21" s="139" t="s">
        <v>32</v>
      </c>
      <c r="CP21" s="139" t="s">
        <v>32</v>
      </c>
      <c r="CQ21" s="139" t="s">
        <v>32</v>
      </c>
      <c r="CR21" s="139" t="s">
        <v>32</v>
      </c>
      <c r="CS21" s="139"/>
      <c r="CT21" s="139"/>
      <c r="CU21" s="139"/>
      <c r="CV21" s="139"/>
      <c r="CW21" s="139"/>
      <c r="CX21" s="139"/>
      <c r="CY21" s="139"/>
      <c r="CZ21" s="139"/>
      <c r="DA21" s="139"/>
      <c r="DB21" s="133"/>
      <c r="DC21" s="133"/>
      <c r="DD21" s="154" cm="1">
        <f t="array" ref="DD21">_xlfn.IFS(DD$1= 0,"", NOT(ISBLANK(CM21)), 0, ISBLANK(CM21), $Q21-$S21+AY21-BV21)</f>
        <v>0</v>
      </c>
      <c r="DE21" s="155" cm="1">
        <f t="array" ref="DE21">_xlfn.IFS(DE$1= 0,"", NOT(ISBLANK(CN21)), 0, ISBLANK(CN21), $Q21-$S21+AZ21-BW21)</f>
        <v>0</v>
      </c>
      <c r="DF21" s="155" cm="1">
        <f t="array" ref="DF21">_xlfn.IFS(DF$1= 0,"", NOT(ISBLANK(CO21)), 0, ISBLANK(CO21), $Q21-$S21+BA21-BX21)</f>
        <v>0</v>
      </c>
      <c r="DG21" s="155" cm="1">
        <f t="array" ref="DG21">_xlfn.IFS(DG$1= 0,"", NOT(ISBLANK(CP21)), 0, ISBLANK(CP21), $Q21-$S21+BB21-BY21)</f>
        <v>0</v>
      </c>
      <c r="DH21" s="155" cm="1">
        <f t="array" ref="DH21">_xlfn.IFS(DH$1= 0,"", NOT(ISBLANK(CQ21)), 0, ISBLANK(CQ21), $Q21-$S21+BC21-BZ21)</f>
        <v>0</v>
      </c>
      <c r="DI21" s="155" cm="1">
        <f t="array" ref="DI21">_xlfn.IFS(DI$1= 0,"", NOT(ISBLANK(CR21)), 0, ISBLANK(CR21), $Q21-$S21+BD21-CA21)</f>
        <v>0</v>
      </c>
      <c r="DJ21" s="155" cm="1">
        <f t="array" ref="DJ21">_xlfn.IFS(DJ$1= 0,"", NOT(ISBLANK(CS21)), 0, ISBLANK(CS21), $Q21-$S21+BE21-CB21)</f>
        <v>32.210402540305431</v>
      </c>
      <c r="DK21" s="155" cm="1">
        <f t="array" ref="DK21">_xlfn.IFS(DK$1= 0,"", NOT(ISBLANK(CT21)), 0, ISBLANK(CT21), $Q21-$S21+BF21-CC21)</f>
        <v>32.210402540305431</v>
      </c>
      <c r="DL21" s="156" cm="1">
        <f t="array" ref="DL21">_xlfn.IFS(DL$1= 0,"", NOT(ISBLANK(CU21)), 0, ISBLANK(CU21), $Q21-$S21+BG21-CD21)</f>
        <v>32.210402540305431</v>
      </c>
      <c r="DM21" s="156" cm="1">
        <f t="array" ref="DM21">_xlfn.IFS(DM$1= 0,"", NOT(ISBLANK(CV21)), 0, ISBLANK(CV21), $Q21-$S21+BH21-CE21)</f>
        <v>32.210402540305431</v>
      </c>
      <c r="DN21" s="156" cm="1">
        <f t="array" ref="DN21">_xlfn.IFS(DN$1= 0,"", NOT(ISBLANK(CW21)), 0, ISBLANK(CW21), $Q21-$S21+BI21-CF21)</f>
        <v>32.210402540305431</v>
      </c>
      <c r="DO21" s="156" cm="1">
        <f t="array" ref="DO21">_xlfn.IFS(DO$1= 0,"", NOT(ISBLANK(CX21)), 0, ISBLANK(CX21), $Q21-$S21+BJ21-CG21)</f>
        <v>32.210402540305431</v>
      </c>
      <c r="DP21" s="142" cm="1">
        <f t="array" ref="DP21">_xlfn.IFS(DP$1= 0,"", NOT(ISBLANK(CY21)), 0, ISBLANK(CY21), $Q21-$S21+BK21-CH21)</f>
        <v>32.210402540305431</v>
      </c>
      <c r="DQ21" s="142" cm="1">
        <f t="array" ref="DQ21">_xlfn.IFS(DQ$1= 0,"", NOT(ISBLANK(CZ21)), 0, ISBLANK(CZ21), $Q21-$S21+BL21-CI21)</f>
        <v>32.210402540305431</v>
      </c>
      <c r="DR21" s="143" cm="1">
        <f t="array" ref="DR21">_xlfn.IFS(DR$1= 0,"", NOT(ISBLANK(DA21)), 0, ISBLANK(DA21), $Q21-$S21+BM21-CJ21)</f>
        <v>32.210402540305431</v>
      </c>
    </row>
    <row r="22" spans="1:122" ht="17.25" customHeight="1" thickBot="1" x14ac:dyDescent="0.35">
      <c r="A22" s="214">
        <v>2</v>
      </c>
      <c r="B22" s="144" t="s">
        <v>157</v>
      </c>
      <c r="C22" s="144" t="s">
        <v>116</v>
      </c>
      <c r="D22" s="145" t="s">
        <v>95</v>
      </c>
      <c r="E22" s="196" t="s">
        <v>113</v>
      </c>
      <c r="F22" s="204"/>
      <c r="G22" s="205"/>
      <c r="H22" s="205"/>
      <c r="I22" s="205"/>
      <c r="J22" s="205"/>
      <c r="K22" s="205"/>
      <c r="L22" s="205"/>
      <c r="M22" s="209"/>
      <c r="N22" s="204">
        <v>58</v>
      </c>
      <c r="O22" s="206">
        <v>5</v>
      </c>
      <c r="P22" s="199">
        <v>1</v>
      </c>
      <c r="Q22" s="12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6">
        <v>4</v>
      </c>
      <c r="Z22" s="24" t="s">
        <v>57</v>
      </c>
      <c r="AA22" s="21"/>
      <c r="AB22" s="21"/>
      <c r="AC22" s="21"/>
      <c r="AH22" s="166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8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8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8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8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8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8">
        <f t="array" ref="AN22">IF(AN$1=0,"",SQRT((_xlfn.XLOOKUP(AN$1,$Z$2:$Z$18,$AA$2:$AA$18)-$T22)^2+(_xlfn.XLOOKUP(AN$1,$Z$2:$Z$18,$AB$2:$AB$18)-$U22)^2+(_xlfn.XLOOKUP(AN$1,$Z$2:$Z$18,$AC$2:$AC$18-$V22)^2)))</f>
        <v>218.1696873995102</v>
      </c>
      <c r="AO22" s="148">
        <f t="array" ref="AO22">IF(AO$1=0,"",SQRT((_xlfn.XLOOKUP(AO$1,$Z$2:$Z$18,$AA$2:$AA$18)-$T22)^2+(_xlfn.XLOOKUP(AO$1,$Z$2:$Z$18,$AB$2:$AB$18)-$U22)^2+(_xlfn.XLOOKUP(AO$1,$Z$2:$Z$18,$AC$2:$AC$18-$V22)^2)))</f>
        <v>218.1696873995102</v>
      </c>
      <c r="AP22" s="149">
        <f t="array" ref="AP22">IF(AP$1=0,"",SQRT((_xlfn.XLOOKUP(AP$1,$Z$2:$Z$18,$AA$2:$AA$18)-$T22)^2+(_xlfn.XLOOKUP(AP$1,$Z$2:$Z$18,$AB$2:$AB$18)-$U22)^2+(_xlfn.XLOOKUP(AP$1,$Z$2:$Z$18,$AC$2:$AC$18-$V22)^2)))</f>
        <v>218.1696873995102</v>
      </c>
      <c r="AQ22" s="149">
        <f t="array" ref="AQ22">IF(AQ$1=0,"",SQRT((_xlfn.XLOOKUP(AQ$1,$Z$2:$Z$18,$AA$2:$AA$18)-$T22)^2+(_xlfn.XLOOKUP(AQ$1,$Z$2:$Z$18,$AB$2:$AB$18)-$U22)^2+(_xlfn.XLOOKUP(AQ$1,$Z$2:$Z$18,$AC$2:$AC$18-$V22)^2)))</f>
        <v>218.1696873995102</v>
      </c>
      <c r="AR22" s="149">
        <f t="array" ref="AR22">IF(AR$1=0,"",SQRT((_xlfn.XLOOKUP(AR$1,$Z$2:$Z$18,$AA$2:$AA$18)-$T22)^2+(_xlfn.XLOOKUP(AR$1,$Z$2:$Z$18,$AB$2:$AB$18)-$U22)^2+(_xlfn.XLOOKUP(AR$1,$Z$2:$Z$18,$AC$2:$AC$18-$V22)^2)))</f>
        <v>218.1696873995102</v>
      </c>
      <c r="AS22" s="149">
        <f t="array" ref="AS22">IF(AS$1=0,"",SQRT((_xlfn.XLOOKUP(AS$1,$Z$2:$Z$18,$AA$2:$AA$18)-$T22)^2+(_xlfn.XLOOKUP(AS$1,$Z$2:$Z$18,$AB$2:$AB$18)-$U22)^2+(_xlfn.XLOOKUP(AS$1,$Z$2:$Z$18,$AC$2:$AC$18-$V22)^2)))</f>
        <v>218.1696873995102</v>
      </c>
      <c r="AT22" s="149">
        <f t="array" ref="AT22">IF(AT$1=0,"",SQRT((_xlfn.XLOOKUP(AT$1,$Z$2:$Z$18,$AA$2:$AA$18)-$T22)^2+(_xlfn.XLOOKUP(AT$1,$Z$2:$Z$18,$AB$2:$AB$18)-$U22)^2+(_xlfn.XLOOKUP(AT$1,$Z$2:$Z$18,$AC$2:$AC$18-$V22)^2)))</f>
        <v>218.1696873995102</v>
      </c>
      <c r="AU22" s="149">
        <f t="array" ref="AU22">IF(AU$1=0,"",SQRT((_xlfn.XLOOKUP(AU$1,$Z$2:$Z$18,$AA$2:$AA$18)-$T22)^2+(_xlfn.XLOOKUP(AU$1,$Z$2:$Z$18,$AB$2:$AB$18)-$U22)^2+(_xlfn.XLOOKUP(AU$1,$Z$2:$Z$18,$AC$2:$AC$18-$V22)^2)))</f>
        <v>218.1696873995102</v>
      </c>
      <c r="AV22" s="150">
        <f t="array" ref="AV22">IF(AV$1=0,"",SQRT((_xlfn.XLOOKUP(AV$1,$Z$2:$Z$18,$AA$2:$AA$18)-$T22)^2+(_xlfn.XLOOKUP(AV$1,$Z$2:$Z$18,$AB$2:$AB$18)-$U22)^2+(_xlfn.XLOOKUP(AV$1,$Z$2:$Z$18,$AC$2:$AC$18-$V22)^2)))</f>
        <v>218.1696873995102</v>
      </c>
      <c r="AW22" s="133"/>
      <c r="AX22" s="194" t="str">
        <f>BR32</f>
        <v>Barrier Reduction per ARI: 5 dB</v>
      </c>
      <c r="AY22" s="134">
        <f t="shared" si="19"/>
        <v>-44.437986124157604</v>
      </c>
      <c r="AZ22" s="151">
        <f t="shared" si="20"/>
        <v>-39.846845695824229</v>
      </c>
      <c r="BA22" s="151">
        <f t="shared" si="21"/>
        <v>-38.056181143052562</v>
      </c>
      <c r="BB22" s="151">
        <f t="shared" si="22"/>
        <v>-40.439387513426404</v>
      </c>
      <c r="BC22" s="151">
        <f t="shared" si="23"/>
        <v>-42.764990122421842</v>
      </c>
      <c r="BD22" s="151">
        <f t="shared" si="24"/>
        <v>-41.504582564834543</v>
      </c>
      <c r="BE22" s="151">
        <f t="shared" si="25"/>
        <v>-44.437986124157604</v>
      </c>
      <c r="BF22" s="151">
        <f t="shared" si="26"/>
        <v>-44.437986124157604</v>
      </c>
      <c r="BG22" s="152">
        <f t="shared" si="27"/>
        <v>-44.437986124157604</v>
      </c>
      <c r="BH22" s="152">
        <f t="shared" si="28"/>
        <v>-44.437986124157604</v>
      </c>
      <c r="BI22" s="152">
        <f t="shared" si="29"/>
        <v>-44.437986124157604</v>
      </c>
      <c r="BJ22" s="152">
        <f t="shared" si="30"/>
        <v>-44.437986124157604</v>
      </c>
      <c r="BK22" s="152">
        <f t="shared" si="31"/>
        <v>-44.437986124157604</v>
      </c>
      <c r="BL22" s="152">
        <f t="shared" si="32"/>
        <v>-44.437986124157604</v>
      </c>
      <c r="BM22" s="153">
        <f t="shared" si="33"/>
        <v>-44.437986124157604</v>
      </c>
      <c r="BN22" s="133"/>
      <c r="BO22" s="21" t="s">
        <v>58</v>
      </c>
      <c r="BP22" s="21"/>
      <c r="BQ22" s="133"/>
      <c r="BR22" s="133"/>
      <c r="BS22" s="133"/>
      <c r="BT22" s="133"/>
      <c r="BU22" s="133"/>
      <c r="BV22" s="139"/>
      <c r="BW22" s="139">
        <v>7</v>
      </c>
      <c r="BX22" s="139">
        <v>15</v>
      </c>
      <c r="BY22" s="139">
        <v>15</v>
      </c>
      <c r="BZ22" s="139">
        <v>10</v>
      </c>
      <c r="CA22" s="139">
        <v>5</v>
      </c>
      <c r="CB22" s="139"/>
      <c r="CC22" s="139"/>
      <c r="CD22" s="139"/>
      <c r="CE22" s="139"/>
      <c r="CF22" s="139"/>
      <c r="CG22" s="139"/>
      <c r="CH22" s="139"/>
      <c r="CI22" s="139"/>
      <c r="CJ22" s="139"/>
      <c r="CL22" s="133"/>
      <c r="CM22" s="139" t="s">
        <v>32</v>
      </c>
      <c r="CN22" s="139" t="s">
        <v>32</v>
      </c>
      <c r="CO22" s="139" t="s">
        <v>32</v>
      </c>
      <c r="CP22" s="139" t="s">
        <v>32</v>
      </c>
      <c r="CQ22" s="139" t="s">
        <v>32</v>
      </c>
      <c r="CR22" s="139" t="s">
        <v>32</v>
      </c>
      <c r="CS22" s="139"/>
      <c r="CT22" s="139"/>
      <c r="CU22" s="139"/>
      <c r="CV22" s="139"/>
      <c r="CW22" s="139"/>
      <c r="CX22" s="139"/>
      <c r="CY22" s="139"/>
      <c r="CZ22" s="139"/>
      <c r="DA22" s="139"/>
      <c r="DB22" s="133"/>
      <c r="DC22" s="133"/>
      <c r="DD22" s="154" cm="1">
        <f t="array" ref="DD22">_xlfn.IFS(DD$1= 0,"", NOT(ISBLANK(CM22)), 0, ISBLANK(CM22), $Q22-$S22+AY22-BV22)</f>
        <v>0</v>
      </c>
      <c r="DE22" s="155" cm="1">
        <f t="array" ref="DE22">_xlfn.IFS(DE$1= 0,"", NOT(ISBLANK(CN22)), 0, ISBLANK(CN22), $Q22-$S22+AZ22-BW22)</f>
        <v>0</v>
      </c>
      <c r="DF22" s="155" cm="1">
        <f t="array" ref="DF22">_xlfn.IFS(DF$1= 0,"", NOT(ISBLANK(CO22)), 0, ISBLANK(CO22), $Q22-$S22+BA22-BX22)</f>
        <v>0</v>
      </c>
      <c r="DG22" s="155" cm="1">
        <f t="array" ref="DG22">_xlfn.IFS(DG$1= 0,"", NOT(ISBLANK(CP22)), 0, ISBLANK(CP22), $Q22-$S22+BB22-BY22)</f>
        <v>0</v>
      </c>
      <c r="DH22" s="155" cm="1">
        <f t="array" ref="DH22">_xlfn.IFS(DH$1= 0,"", NOT(ISBLANK(CQ22)), 0, ISBLANK(CQ22), $Q22-$S22+BC22-BZ22)</f>
        <v>0</v>
      </c>
      <c r="DI22" s="155" cm="1">
        <f t="array" ref="DI22">_xlfn.IFS(DI$1= 0,"", NOT(ISBLANK(CR22)), 0, ISBLANK(CR22), $Q22-$S22+BD22-CA22)</f>
        <v>0</v>
      </c>
      <c r="DJ22" s="155" cm="1">
        <f t="array" ref="DJ22">_xlfn.IFS(DJ$1= 0,"", NOT(ISBLANK(CS22)), 0, ISBLANK(CS22), $Q22-$S22+BE22-CB22)</f>
        <v>31.572313832482209</v>
      </c>
      <c r="DK22" s="155" cm="1">
        <f t="array" ref="DK22">_xlfn.IFS(DK$1= 0,"", NOT(ISBLANK(CT22)), 0, ISBLANK(CT22), $Q22-$S22+BF22-CC22)</f>
        <v>31.572313832482209</v>
      </c>
      <c r="DL22" s="156" cm="1">
        <f t="array" ref="DL22">_xlfn.IFS(DL$1= 0,"", NOT(ISBLANK(CU22)), 0, ISBLANK(CU22), $Q22-$S22+BG22-CD22)</f>
        <v>31.572313832482209</v>
      </c>
      <c r="DM22" s="156" cm="1">
        <f t="array" ref="DM22">_xlfn.IFS(DM$1= 0,"", NOT(ISBLANK(CV22)), 0, ISBLANK(CV22), $Q22-$S22+BH22-CE22)</f>
        <v>31.572313832482209</v>
      </c>
      <c r="DN22" s="156" cm="1">
        <f t="array" ref="DN22">_xlfn.IFS(DN$1= 0,"", NOT(ISBLANK(CW22)), 0, ISBLANK(CW22), $Q22-$S22+BI22-CF22)</f>
        <v>31.572313832482209</v>
      </c>
      <c r="DO22" s="156" cm="1">
        <f t="array" ref="DO22">_xlfn.IFS(DO$1= 0,"", NOT(ISBLANK(CX22)), 0, ISBLANK(CX22), $Q22-$S22+BJ22-CG22)</f>
        <v>31.572313832482209</v>
      </c>
      <c r="DP22" s="142" cm="1">
        <f t="array" ref="DP22">_xlfn.IFS(DP$1= 0,"", NOT(ISBLANK(CY22)), 0, ISBLANK(CY22), $Q22-$S22+BK22-CH22)</f>
        <v>31.572313832482209</v>
      </c>
      <c r="DQ22" s="142" cm="1">
        <f t="array" ref="DQ22">_xlfn.IFS(DQ$1= 0,"", NOT(ISBLANK(CZ22)), 0, ISBLANK(CZ22), $Q22-$S22+BL22-CI22)</f>
        <v>31.572313832482209</v>
      </c>
      <c r="DR22" s="143" cm="1">
        <f t="array" ref="DR22">_xlfn.IFS(DR$1= 0,"", NOT(ISBLANK(DA22)), 0, ISBLANK(DA22), $Q22-$S22+BM22-CJ22)</f>
        <v>31.572313832482209</v>
      </c>
    </row>
    <row r="23" spans="1:122" ht="17.25" customHeight="1" thickBot="1" x14ac:dyDescent="0.35">
      <c r="A23" s="214">
        <v>1</v>
      </c>
      <c r="B23" s="144" t="s">
        <v>121</v>
      </c>
      <c r="C23" s="144" t="s">
        <v>98</v>
      </c>
      <c r="D23" s="145" t="s">
        <v>95</v>
      </c>
      <c r="E23" s="196" t="s">
        <v>114</v>
      </c>
      <c r="F23" s="204"/>
      <c r="G23" s="205"/>
      <c r="H23" s="205"/>
      <c r="I23" s="205"/>
      <c r="J23" s="205"/>
      <c r="K23" s="205"/>
      <c r="L23" s="205"/>
      <c r="M23" s="209"/>
      <c r="N23" s="204">
        <v>57.392737795737183</v>
      </c>
      <c r="O23" s="206">
        <v>0</v>
      </c>
      <c r="P23" s="199">
        <v>1</v>
      </c>
      <c r="Q23" s="127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6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6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8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8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8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8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8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8">
        <f t="array" ref="AN23">IF(AN$1=0,"",SQRT((_xlfn.XLOOKUP(AN$1,$Z$2:$Z$18,$AA$2:$AA$18)-$T23)^2+(_xlfn.XLOOKUP(AN$1,$Z$2:$Z$18,$AB$2:$AB$18)-$U23)^2+(_xlfn.XLOOKUP(AN$1,$Z$2:$Z$18,$AC$2:$AC$18-$V23)^2)))</f>
        <v>123.21084773671512</v>
      </c>
      <c r="AO23" s="148">
        <f t="array" ref="AO23">IF(AO$1=0,"",SQRT((_xlfn.XLOOKUP(AO$1,$Z$2:$Z$18,$AA$2:$AA$18)-$T23)^2+(_xlfn.XLOOKUP(AO$1,$Z$2:$Z$18,$AB$2:$AB$18)-$U23)^2+(_xlfn.XLOOKUP(AO$1,$Z$2:$Z$18,$AC$2:$AC$18-$V23)^2)))</f>
        <v>123.21084773671512</v>
      </c>
      <c r="AP23" s="149">
        <f t="array" ref="AP23">IF(AP$1=0,"",SQRT((_xlfn.XLOOKUP(AP$1,$Z$2:$Z$18,$AA$2:$AA$18)-$T23)^2+(_xlfn.XLOOKUP(AP$1,$Z$2:$Z$18,$AB$2:$AB$18)-$U23)^2+(_xlfn.XLOOKUP(AP$1,$Z$2:$Z$18,$AC$2:$AC$18-$V23)^2)))</f>
        <v>123.21084773671512</v>
      </c>
      <c r="AQ23" s="149">
        <f t="array" ref="AQ23">IF(AQ$1=0,"",SQRT((_xlfn.XLOOKUP(AQ$1,$Z$2:$Z$18,$AA$2:$AA$18)-$T23)^2+(_xlfn.XLOOKUP(AQ$1,$Z$2:$Z$18,$AB$2:$AB$18)-$U23)^2+(_xlfn.XLOOKUP(AQ$1,$Z$2:$Z$18,$AC$2:$AC$18-$V23)^2)))</f>
        <v>123.21084773671512</v>
      </c>
      <c r="AR23" s="149">
        <f t="array" ref="AR23">IF(AR$1=0,"",SQRT((_xlfn.XLOOKUP(AR$1,$Z$2:$Z$18,$AA$2:$AA$18)-$T23)^2+(_xlfn.XLOOKUP(AR$1,$Z$2:$Z$18,$AB$2:$AB$18)-$U23)^2+(_xlfn.XLOOKUP(AR$1,$Z$2:$Z$18,$AC$2:$AC$18-$V23)^2)))</f>
        <v>123.21084773671512</v>
      </c>
      <c r="AS23" s="149">
        <f t="array" ref="AS23">IF(AS$1=0,"",SQRT((_xlfn.XLOOKUP(AS$1,$Z$2:$Z$18,$AA$2:$AA$18)-$T23)^2+(_xlfn.XLOOKUP(AS$1,$Z$2:$Z$18,$AB$2:$AB$18)-$U23)^2+(_xlfn.XLOOKUP(AS$1,$Z$2:$Z$18,$AC$2:$AC$18-$V23)^2)))</f>
        <v>123.21084773671512</v>
      </c>
      <c r="AT23" s="149">
        <f t="array" ref="AT23">IF(AT$1=0,"",SQRT((_xlfn.XLOOKUP(AT$1,$Z$2:$Z$18,$AA$2:$AA$18)-$T23)^2+(_xlfn.XLOOKUP(AT$1,$Z$2:$Z$18,$AB$2:$AB$18)-$U23)^2+(_xlfn.XLOOKUP(AT$1,$Z$2:$Z$18,$AC$2:$AC$18-$V23)^2)))</f>
        <v>123.21084773671512</v>
      </c>
      <c r="AU23" s="149">
        <f t="array" ref="AU23">IF(AU$1=0,"",SQRT((_xlfn.XLOOKUP(AU$1,$Z$2:$Z$18,$AA$2:$AA$18)-$T23)^2+(_xlfn.XLOOKUP(AU$1,$Z$2:$Z$18,$AB$2:$AB$18)-$U23)^2+(_xlfn.XLOOKUP(AU$1,$Z$2:$Z$18,$AC$2:$AC$18-$V23)^2)))</f>
        <v>123.21084773671512</v>
      </c>
      <c r="AV23" s="150">
        <f t="array" ref="AV23">IF(AV$1=0,"",SQRT((_xlfn.XLOOKUP(AV$1,$Z$2:$Z$18,$AA$2:$AA$18)-$T23)^2+(_xlfn.XLOOKUP(AV$1,$Z$2:$Z$18,$AB$2:$AB$18)-$U23)^2+(_xlfn.XLOOKUP(AV$1,$Z$2:$Z$18,$AC$2:$AC$18-$V23)^2)))</f>
        <v>123.21084773671512</v>
      </c>
      <c r="AW23" s="133"/>
      <c r="AX23" s="133"/>
      <c r="AY23" s="134">
        <f t="shared" si="19"/>
        <v>-39.475076850773661</v>
      </c>
      <c r="AZ23" s="151">
        <f t="shared" si="20"/>
        <v>-24.27961352001773</v>
      </c>
      <c r="BA23" s="151">
        <f t="shared" si="21"/>
        <v>-34.557683314437661</v>
      </c>
      <c r="BB23" s="151">
        <f t="shared" si="22"/>
        <v>-42.587253573646251</v>
      </c>
      <c r="BC23" s="151">
        <f t="shared" si="23"/>
        <v>-46.198156070931674</v>
      </c>
      <c r="BD23" s="151">
        <f t="shared" si="24"/>
        <v>-40.563346398471083</v>
      </c>
      <c r="BE23" s="151">
        <f t="shared" si="25"/>
        <v>-39.475076850773661</v>
      </c>
      <c r="BF23" s="151">
        <f t="shared" si="26"/>
        <v>-39.475076850773661</v>
      </c>
      <c r="BG23" s="152">
        <f t="shared" si="27"/>
        <v>-39.475076850773661</v>
      </c>
      <c r="BH23" s="152">
        <f t="shared" si="28"/>
        <v>-39.475076850773661</v>
      </c>
      <c r="BI23" s="152">
        <f t="shared" si="29"/>
        <v>-39.475076850773661</v>
      </c>
      <c r="BJ23" s="152">
        <f t="shared" si="30"/>
        <v>-39.475076850773661</v>
      </c>
      <c r="BK23" s="152">
        <f t="shared" si="31"/>
        <v>-39.475076850773661</v>
      </c>
      <c r="BL23" s="152">
        <f t="shared" si="32"/>
        <v>-39.475076850773661</v>
      </c>
      <c r="BM23" s="153">
        <f t="shared" si="33"/>
        <v>-39.475076850773661</v>
      </c>
      <c r="BN23" s="133"/>
      <c r="BO23" s="133"/>
      <c r="BP23" s="133"/>
      <c r="BQ23" s="133"/>
      <c r="BR23" s="133"/>
      <c r="BS23" s="133"/>
      <c r="BT23" s="133"/>
      <c r="BU23" s="133"/>
      <c r="BV23" s="139"/>
      <c r="BW23" s="139">
        <v>0</v>
      </c>
      <c r="BX23" s="139">
        <v>0</v>
      </c>
      <c r="BY23" s="139">
        <v>0</v>
      </c>
      <c r="BZ23" s="139">
        <v>13</v>
      </c>
      <c r="CA23" s="139">
        <v>0</v>
      </c>
      <c r="CB23" s="139"/>
      <c r="CC23" s="139"/>
      <c r="CD23" s="139"/>
      <c r="CE23" s="139"/>
      <c r="CF23" s="139"/>
      <c r="CG23" s="139"/>
      <c r="CH23" s="139"/>
      <c r="CI23" s="139"/>
      <c r="CJ23" s="139"/>
      <c r="CL23" s="133"/>
      <c r="CM23" s="139" t="s">
        <v>32</v>
      </c>
      <c r="CN23" s="139" t="s">
        <v>32</v>
      </c>
      <c r="CO23" s="139" t="s">
        <v>32</v>
      </c>
      <c r="CP23" s="139" t="s">
        <v>32</v>
      </c>
      <c r="CQ23" s="139" t="s">
        <v>32</v>
      </c>
      <c r="CR23" s="139" t="s">
        <v>32</v>
      </c>
      <c r="CS23" s="139"/>
      <c r="CT23" s="139"/>
      <c r="CU23" s="139"/>
      <c r="CV23" s="139"/>
      <c r="CW23" s="139"/>
      <c r="CX23" s="139"/>
      <c r="CY23" s="139"/>
      <c r="CZ23" s="139"/>
      <c r="DA23" s="139"/>
      <c r="DB23" s="133"/>
      <c r="DC23" s="133"/>
      <c r="DD23" s="154" cm="1">
        <f t="array" ref="DD23">_xlfn.IFS(DD$1= 0,"", NOT(ISBLANK(CM23)), 0, ISBLANK(CM23), $Q23-$S23+AY23-BV23)</f>
        <v>0</v>
      </c>
      <c r="DE23" s="155" cm="1">
        <f t="array" ref="DE23">_xlfn.IFS(DE$1= 0,"", NOT(ISBLANK(CN23)), 0, ISBLANK(CN23), $Q23-$S23+AZ23-BW23)</f>
        <v>0</v>
      </c>
      <c r="DF23" s="155" cm="1">
        <f t="array" ref="DF23">_xlfn.IFS(DF$1= 0,"", NOT(ISBLANK(CO23)), 0, ISBLANK(CO23), $Q23-$S23+BA23-BX23)</f>
        <v>0</v>
      </c>
      <c r="DG23" s="155" cm="1">
        <f t="array" ref="DG23">_xlfn.IFS(DG$1= 0,"", NOT(ISBLANK(CP23)), 0, ISBLANK(CP23), $Q23-$S23+BB23-BY23)</f>
        <v>0</v>
      </c>
      <c r="DH23" s="155" cm="1">
        <f t="array" ref="DH23">_xlfn.IFS(DH$1= 0,"", NOT(ISBLANK(CQ23)), 0, ISBLANK(CQ23), $Q23-$S23+BC23-BZ23)</f>
        <v>0</v>
      </c>
      <c r="DI23" s="155" cm="1">
        <f t="array" ref="DI23">_xlfn.IFS(DI$1= 0,"", NOT(ISBLANK(CR23)), 0, ISBLANK(CR23), $Q23-$S23+BD23-CA23)</f>
        <v>0</v>
      </c>
      <c r="DJ23" s="155" cm="1">
        <f t="array" ref="DJ23">_xlfn.IFS(DJ$1= 0,"", NOT(ISBLANK(CS23)), 0, ISBLANK(CS23), $Q23-$S23+BE23-CB23)</f>
        <v>17.524923149226339</v>
      </c>
      <c r="DK23" s="155" cm="1">
        <f t="array" ref="DK23">_xlfn.IFS(DK$1= 0,"", NOT(ISBLANK(CT23)), 0, ISBLANK(CT23), $Q23-$S23+BF23-CC23)</f>
        <v>17.524923149226339</v>
      </c>
      <c r="DL23" s="156" cm="1">
        <f t="array" ref="DL23">_xlfn.IFS(DL$1= 0,"", NOT(ISBLANK(CU23)), 0, ISBLANK(CU23), $Q23-$S23+BG23-CD23)</f>
        <v>17.524923149226339</v>
      </c>
      <c r="DM23" s="156" cm="1">
        <f t="array" ref="DM23">_xlfn.IFS(DM$1= 0,"", NOT(ISBLANK(CV23)), 0, ISBLANK(CV23), $Q23-$S23+BH23-CE23)</f>
        <v>17.524923149226339</v>
      </c>
      <c r="DN23" s="156" cm="1">
        <f t="array" ref="DN23">_xlfn.IFS(DN$1= 0,"", NOT(ISBLANK(CW23)), 0, ISBLANK(CW23), $Q23-$S23+BI23-CF23)</f>
        <v>17.524923149226339</v>
      </c>
      <c r="DO23" s="156" cm="1">
        <f t="array" ref="DO23">_xlfn.IFS(DO$1= 0,"", NOT(ISBLANK(CX23)), 0, ISBLANK(CX23), $Q23-$S23+BJ23-CG23)</f>
        <v>17.524923149226339</v>
      </c>
      <c r="DP23" s="142" cm="1">
        <f t="array" ref="DP23">_xlfn.IFS(DP$1= 0,"", NOT(ISBLANK(CY23)), 0, ISBLANK(CY23), $Q23-$S23+BK23-CH23)</f>
        <v>17.524923149226339</v>
      </c>
      <c r="DQ23" s="142" cm="1">
        <f t="array" ref="DQ23">_xlfn.IFS(DQ$1= 0,"", NOT(ISBLANK(CZ23)), 0, ISBLANK(CZ23), $Q23-$S23+BL23-CI23)</f>
        <v>17.524923149226339</v>
      </c>
      <c r="DR23" s="143" cm="1">
        <f t="array" ref="DR23">_xlfn.IFS(DR$1= 0,"", NOT(ISBLANK(DA23)), 0, ISBLANK(DA23), $Q23-$S23+BM23-CJ23)</f>
        <v>17.524923149226339</v>
      </c>
    </row>
    <row r="24" spans="1:122" ht="16.5" customHeight="1" x14ac:dyDescent="0.3">
      <c r="A24" s="214">
        <v>1</v>
      </c>
      <c r="B24" s="144" t="s">
        <v>122</v>
      </c>
      <c r="C24" s="144" t="s">
        <v>98</v>
      </c>
      <c r="D24" s="145" t="s">
        <v>95</v>
      </c>
      <c r="E24" s="196" t="s">
        <v>115</v>
      </c>
      <c r="F24" s="204"/>
      <c r="G24" s="205"/>
      <c r="H24" s="205"/>
      <c r="I24" s="205"/>
      <c r="J24" s="205"/>
      <c r="K24" s="205"/>
      <c r="L24" s="205"/>
      <c r="M24" s="209"/>
      <c r="N24" s="204">
        <v>65.873120921161103</v>
      </c>
      <c r="O24" s="206">
        <v>0</v>
      </c>
      <c r="P24" s="199">
        <v>1</v>
      </c>
      <c r="Q24" s="127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6">
        <v>2</v>
      </c>
      <c r="Z24" s="115" t="s">
        <v>134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6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8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8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8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8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8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8">
        <f t="array" ref="AN24">IF(AN$1=0,"",SQRT((_xlfn.XLOOKUP(AN$1,$Z$2:$Z$18,$AA$2:$AA$18)-$T24)^2+(_xlfn.XLOOKUP(AN$1,$Z$2:$Z$18,$AB$2:$AB$18)-$U24)^2+(_xlfn.XLOOKUP(AN$1,$Z$2:$Z$18,$AC$2:$AC$18-$V24)^2)))</f>
        <v>137.71461650819785</v>
      </c>
      <c r="AO24" s="148">
        <f t="array" ref="AO24">IF(AO$1=0,"",SQRT((_xlfn.XLOOKUP(AO$1,$Z$2:$Z$18,$AA$2:$AA$18)-$T24)^2+(_xlfn.XLOOKUP(AO$1,$Z$2:$Z$18,$AB$2:$AB$18)-$U24)^2+(_xlfn.XLOOKUP(AO$1,$Z$2:$Z$18,$AC$2:$AC$18-$V24)^2)))</f>
        <v>137.71461650819785</v>
      </c>
      <c r="AP24" s="149">
        <f t="array" ref="AP24">IF(AP$1=0,"",SQRT((_xlfn.XLOOKUP(AP$1,$Z$2:$Z$18,$AA$2:$AA$18)-$T24)^2+(_xlfn.XLOOKUP(AP$1,$Z$2:$Z$18,$AB$2:$AB$18)-$U24)^2+(_xlfn.XLOOKUP(AP$1,$Z$2:$Z$18,$AC$2:$AC$18-$V24)^2)))</f>
        <v>137.71461650819785</v>
      </c>
      <c r="AQ24" s="149">
        <f t="array" ref="AQ24">IF(AQ$1=0,"",SQRT((_xlfn.XLOOKUP(AQ$1,$Z$2:$Z$18,$AA$2:$AA$18)-$T24)^2+(_xlfn.XLOOKUP(AQ$1,$Z$2:$Z$18,$AB$2:$AB$18)-$U24)^2+(_xlfn.XLOOKUP(AQ$1,$Z$2:$Z$18,$AC$2:$AC$18-$V24)^2)))</f>
        <v>137.71461650819785</v>
      </c>
      <c r="AR24" s="149">
        <f t="array" ref="AR24">IF(AR$1=0,"",SQRT((_xlfn.XLOOKUP(AR$1,$Z$2:$Z$18,$AA$2:$AA$18)-$T24)^2+(_xlfn.XLOOKUP(AR$1,$Z$2:$Z$18,$AB$2:$AB$18)-$U24)^2+(_xlfn.XLOOKUP(AR$1,$Z$2:$Z$18,$AC$2:$AC$18-$V24)^2)))</f>
        <v>137.71461650819785</v>
      </c>
      <c r="AS24" s="149">
        <f t="array" ref="AS24">IF(AS$1=0,"",SQRT((_xlfn.XLOOKUP(AS$1,$Z$2:$Z$18,$AA$2:$AA$18)-$T24)^2+(_xlfn.XLOOKUP(AS$1,$Z$2:$Z$18,$AB$2:$AB$18)-$U24)^2+(_xlfn.XLOOKUP(AS$1,$Z$2:$Z$18,$AC$2:$AC$18-$V24)^2)))</f>
        <v>137.71461650819785</v>
      </c>
      <c r="AT24" s="149">
        <f t="array" ref="AT24">IF(AT$1=0,"",SQRT((_xlfn.XLOOKUP(AT$1,$Z$2:$Z$18,$AA$2:$AA$18)-$T24)^2+(_xlfn.XLOOKUP(AT$1,$Z$2:$Z$18,$AB$2:$AB$18)-$U24)^2+(_xlfn.XLOOKUP(AT$1,$Z$2:$Z$18,$AC$2:$AC$18-$V24)^2)))</f>
        <v>137.71461650819785</v>
      </c>
      <c r="AU24" s="149">
        <f t="array" ref="AU24">IF(AU$1=0,"",SQRT((_xlfn.XLOOKUP(AU$1,$Z$2:$Z$18,$AA$2:$AA$18)-$T24)^2+(_xlfn.XLOOKUP(AU$1,$Z$2:$Z$18,$AB$2:$AB$18)-$U24)^2+(_xlfn.XLOOKUP(AU$1,$Z$2:$Z$18,$AC$2:$AC$18-$V24)^2)))</f>
        <v>137.71461650819785</v>
      </c>
      <c r="AV24" s="150">
        <f t="array" ref="AV24">IF(AV$1=0,"",SQRT((_xlfn.XLOOKUP(AV$1,$Z$2:$Z$18,$AA$2:$AA$18)-$T24)^2+(_xlfn.XLOOKUP(AV$1,$Z$2:$Z$18,$AB$2:$AB$18)-$U24)^2+(_xlfn.XLOOKUP(AV$1,$Z$2:$Z$18,$AC$2:$AC$18-$V24)^2)))</f>
        <v>137.71461650819785</v>
      </c>
      <c r="AW24" s="133"/>
      <c r="AX24" s="133"/>
      <c r="AY24" s="134">
        <f t="shared" si="19"/>
        <v>-40.441698678450507</v>
      </c>
      <c r="AZ24" s="151">
        <f t="shared" si="20"/>
        <v>-30.35316459245599</v>
      </c>
      <c r="BA24" s="151">
        <f t="shared" si="21"/>
        <v>-32.864307707670243</v>
      </c>
      <c r="BB24" s="151">
        <f t="shared" si="22"/>
        <v>-41.571001008336623</v>
      </c>
      <c r="BC24" s="151">
        <f t="shared" si="23"/>
        <v>-45.417853838911512</v>
      </c>
      <c r="BD24" s="151">
        <f t="shared" si="24"/>
        <v>-40.784134313498711</v>
      </c>
      <c r="BE24" s="151">
        <f t="shared" si="25"/>
        <v>-40.441698678450507</v>
      </c>
      <c r="BF24" s="151">
        <f t="shared" si="26"/>
        <v>-40.441698678450507</v>
      </c>
      <c r="BG24" s="152">
        <f t="shared" si="27"/>
        <v>-40.441698678450507</v>
      </c>
      <c r="BH24" s="152">
        <f t="shared" si="28"/>
        <v>-40.441698678450507</v>
      </c>
      <c r="BI24" s="152">
        <f t="shared" si="29"/>
        <v>-40.441698678450507</v>
      </c>
      <c r="BJ24" s="152">
        <f t="shared" si="30"/>
        <v>-40.441698678450507</v>
      </c>
      <c r="BK24" s="152">
        <f t="shared" si="31"/>
        <v>-40.441698678450507</v>
      </c>
      <c r="BL24" s="152">
        <f t="shared" si="32"/>
        <v>-40.441698678450507</v>
      </c>
      <c r="BM24" s="153">
        <f t="shared" si="33"/>
        <v>-40.441698678450507</v>
      </c>
      <c r="BN24" s="133"/>
      <c r="BO24" s="133"/>
      <c r="BP24" s="133"/>
      <c r="BQ24" s="133"/>
      <c r="BR24" s="133"/>
      <c r="BS24" s="133"/>
      <c r="BT24" s="133"/>
      <c r="BU24" s="133"/>
      <c r="BV24" s="139"/>
      <c r="BW24" s="139">
        <v>0</v>
      </c>
      <c r="BX24" s="139">
        <v>0</v>
      </c>
      <c r="BY24" s="139">
        <v>10</v>
      </c>
      <c r="BZ24" s="139">
        <v>13</v>
      </c>
      <c r="CA24" s="139">
        <v>5</v>
      </c>
      <c r="CB24" s="139"/>
      <c r="CC24" s="139"/>
      <c r="CD24" s="139"/>
      <c r="CE24" s="139"/>
      <c r="CF24" s="139"/>
      <c r="CG24" s="139"/>
      <c r="CH24" s="139"/>
      <c r="CI24" s="139"/>
      <c r="CJ24" s="139"/>
      <c r="CL24" s="133"/>
      <c r="CM24" s="139" t="s">
        <v>32</v>
      </c>
      <c r="CN24" s="139" t="s">
        <v>32</v>
      </c>
      <c r="CO24" s="139" t="s">
        <v>32</v>
      </c>
      <c r="CP24" s="139" t="s">
        <v>32</v>
      </c>
      <c r="CQ24" s="139" t="s">
        <v>32</v>
      </c>
      <c r="CR24" s="139" t="s">
        <v>32</v>
      </c>
      <c r="CS24" s="139"/>
      <c r="CT24" s="139"/>
      <c r="CU24" s="139"/>
      <c r="CV24" s="139"/>
      <c r="CW24" s="139"/>
      <c r="CX24" s="139"/>
      <c r="CY24" s="139"/>
      <c r="CZ24" s="139"/>
      <c r="DA24" s="139"/>
      <c r="DB24" s="133"/>
      <c r="DC24" s="133"/>
      <c r="DD24" s="154" cm="1">
        <f t="array" ref="DD24">_xlfn.IFS(DD$1= 0,"", NOT(ISBLANK(CM24)), 0, ISBLANK(CM24), $Q24-$S24+AY24-BV24)</f>
        <v>0</v>
      </c>
      <c r="DE24" s="155" cm="1">
        <f t="array" ref="DE24">_xlfn.IFS(DE$1= 0,"", NOT(ISBLANK(CN24)), 0, ISBLANK(CN24), $Q24-$S24+AZ24-BW24)</f>
        <v>0</v>
      </c>
      <c r="DF24" s="155" cm="1">
        <f t="array" ref="DF24">_xlfn.IFS(DF$1= 0,"", NOT(ISBLANK(CO24)), 0, ISBLANK(CO24), $Q24-$S24+BA24-BX24)</f>
        <v>0</v>
      </c>
      <c r="DG24" s="155" cm="1">
        <f t="array" ref="DG24">_xlfn.IFS(DG$1= 0,"", NOT(ISBLANK(CP24)), 0, ISBLANK(CP24), $Q24-$S24+BB24-BY24)</f>
        <v>0</v>
      </c>
      <c r="DH24" s="155" cm="1">
        <f t="array" ref="DH24">_xlfn.IFS(DH$1= 0,"", NOT(ISBLANK(CQ24)), 0, ISBLANK(CQ24), $Q24-$S24+BC24-BZ24)</f>
        <v>0</v>
      </c>
      <c r="DI24" s="155" cm="1">
        <f t="array" ref="DI24">_xlfn.IFS(DI$1= 0,"", NOT(ISBLANK(CR24)), 0, ISBLANK(CR24), $Q24-$S24+BD24-CA24)</f>
        <v>0</v>
      </c>
      <c r="DJ24" s="155" cm="1">
        <f t="array" ref="DJ24">_xlfn.IFS(DJ$1= 0,"", NOT(ISBLANK(CS24)), 0, ISBLANK(CS24), $Q24-$S24+BE24-CB24)</f>
        <v>25.558301321549493</v>
      </c>
      <c r="DK24" s="155" cm="1">
        <f t="array" ref="DK24">_xlfn.IFS(DK$1= 0,"", NOT(ISBLANK(CT24)), 0, ISBLANK(CT24), $Q24-$S24+BF24-CC24)</f>
        <v>25.558301321549493</v>
      </c>
      <c r="DL24" s="156" cm="1">
        <f t="array" ref="DL24">_xlfn.IFS(DL$1= 0,"", NOT(ISBLANK(CU24)), 0, ISBLANK(CU24), $Q24-$S24+BG24-CD24)</f>
        <v>25.558301321549493</v>
      </c>
      <c r="DM24" s="156" cm="1">
        <f t="array" ref="DM24">_xlfn.IFS(DM$1= 0,"", NOT(ISBLANK(CV24)), 0, ISBLANK(CV24), $Q24-$S24+BH24-CE24)</f>
        <v>25.558301321549493</v>
      </c>
      <c r="DN24" s="156" cm="1">
        <f t="array" ref="DN24">_xlfn.IFS(DN$1= 0,"", NOT(ISBLANK(CW24)), 0, ISBLANK(CW24), $Q24-$S24+BI24-CF24)</f>
        <v>25.558301321549493</v>
      </c>
      <c r="DO24" s="156" cm="1">
        <f t="array" ref="DO24">_xlfn.IFS(DO$1= 0,"", NOT(ISBLANK(CX24)), 0, ISBLANK(CX24), $Q24-$S24+BJ24-CG24)</f>
        <v>25.558301321549493</v>
      </c>
      <c r="DP24" s="142" cm="1">
        <f t="array" ref="DP24">_xlfn.IFS(DP$1= 0,"", NOT(ISBLANK(CY24)), 0, ISBLANK(CY24), $Q24-$S24+BK24-CH24)</f>
        <v>25.558301321549493</v>
      </c>
      <c r="DQ24" s="142" cm="1">
        <f t="array" ref="DQ24">_xlfn.IFS(DQ$1= 0,"", NOT(ISBLANK(CZ24)), 0, ISBLANK(CZ24), $Q24-$S24+BL24-CI24)</f>
        <v>25.558301321549493</v>
      </c>
      <c r="DR24" s="143" cm="1">
        <f t="array" ref="DR24">_xlfn.IFS(DR$1= 0,"", NOT(ISBLANK(DA24)), 0, ISBLANK(DA24), $Q24-$S24+BM24-CJ24)</f>
        <v>25.558301321549493</v>
      </c>
    </row>
    <row r="25" spans="1:122" ht="16.5" customHeight="1" x14ac:dyDescent="0.3">
      <c r="A25" s="214">
        <v>1</v>
      </c>
      <c r="B25" s="144" t="s">
        <v>123</v>
      </c>
      <c r="C25" s="144" t="s">
        <v>98</v>
      </c>
      <c r="D25" s="145" t="s">
        <v>95</v>
      </c>
      <c r="E25" s="196" t="s">
        <v>115</v>
      </c>
      <c r="F25" s="204"/>
      <c r="G25" s="205"/>
      <c r="H25" s="205"/>
      <c r="I25" s="205"/>
      <c r="J25" s="205"/>
      <c r="K25" s="205"/>
      <c r="L25" s="205"/>
      <c r="M25" s="209"/>
      <c r="N25" s="204">
        <v>65.873120921161103</v>
      </c>
      <c r="O25" s="206">
        <v>0</v>
      </c>
      <c r="P25" s="199">
        <v>1</v>
      </c>
      <c r="Q25" s="127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6">
        <v>2</v>
      </c>
      <c r="Z25" s="115" t="s">
        <v>135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6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8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8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8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8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8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8">
        <f t="array" ref="AN25">IF(AN$1=0,"",SQRT((_xlfn.XLOOKUP(AN$1,$Z$2:$Z$18,$AA$2:$AA$18)-$T25)^2+(_xlfn.XLOOKUP(AN$1,$Z$2:$Z$18,$AB$2:$AB$18)-$U25)^2+(_xlfn.XLOOKUP(AN$1,$Z$2:$Z$18,$AC$2:$AC$18-$V25)^2)))</f>
        <v>158.73151671927033</v>
      </c>
      <c r="AO25" s="148">
        <f t="array" ref="AO25">IF(AO$1=0,"",SQRT((_xlfn.XLOOKUP(AO$1,$Z$2:$Z$18,$AA$2:$AA$18)-$T25)^2+(_xlfn.XLOOKUP(AO$1,$Z$2:$Z$18,$AB$2:$AB$18)-$U25)^2+(_xlfn.XLOOKUP(AO$1,$Z$2:$Z$18,$AC$2:$AC$18-$V25)^2)))</f>
        <v>158.73151671927033</v>
      </c>
      <c r="AP25" s="149">
        <f t="array" ref="AP25">IF(AP$1=0,"",SQRT((_xlfn.XLOOKUP(AP$1,$Z$2:$Z$18,$AA$2:$AA$18)-$T25)^2+(_xlfn.XLOOKUP(AP$1,$Z$2:$Z$18,$AB$2:$AB$18)-$U25)^2+(_xlfn.XLOOKUP(AP$1,$Z$2:$Z$18,$AC$2:$AC$18-$V25)^2)))</f>
        <v>158.73151671927033</v>
      </c>
      <c r="AQ25" s="149">
        <f t="array" ref="AQ25">IF(AQ$1=0,"",SQRT((_xlfn.XLOOKUP(AQ$1,$Z$2:$Z$18,$AA$2:$AA$18)-$T25)^2+(_xlfn.XLOOKUP(AQ$1,$Z$2:$Z$18,$AB$2:$AB$18)-$U25)^2+(_xlfn.XLOOKUP(AQ$1,$Z$2:$Z$18,$AC$2:$AC$18-$V25)^2)))</f>
        <v>158.73151671927033</v>
      </c>
      <c r="AR25" s="149">
        <f t="array" ref="AR25">IF(AR$1=0,"",SQRT((_xlfn.XLOOKUP(AR$1,$Z$2:$Z$18,$AA$2:$AA$18)-$T25)^2+(_xlfn.XLOOKUP(AR$1,$Z$2:$Z$18,$AB$2:$AB$18)-$U25)^2+(_xlfn.XLOOKUP(AR$1,$Z$2:$Z$18,$AC$2:$AC$18-$V25)^2)))</f>
        <v>158.73151671927033</v>
      </c>
      <c r="AS25" s="149">
        <f t="array" ref="AS25">IF(AS$1=0,"",SQRT((_xlfn.XLOOKUP(AS$1,$Z$2:$Z$18,$AA$2:$AA$18)-$T25)^2+(_xlfn.XLOOKUP(AS$1,$Z$2:$Z$18,$AB$2:$AB$18)-$U25)^2+(_xlfn.XLOOKUP(AS$1,$Z$2:$Z$18,$AC$2:$AC$18-$V25)^2)))</f>
        <v>158.73151671927033</v>
      </c>
      <c r="AT25" s="149">
        <f t="array" ref="AT25">IF(AT$1=0,"",SQRT((_xlfn.XLOOKUP(AT$1,$Z$2:$Z$18,$AA$2:$AA$18)-$T25)^2+(_xlfn.XLOOKUP(AT$1,$Z$2:$Z$18,$AB$2:$AB$18)-$U25)^2+(_xlfn.XLOOKUP(AT$1,$Z$2:$Z$18,$AC$2:$AC$18-$V25)^2)))</f>
        <v>158.73151671927033</v>
      </c>
      <c r="AU25" s="149">
        <f t="array" ref="AU25">IF(AU$1=0,"",SQRT((_xlfn.XLOOKUP(AU$1,$Z$2:$Z$18,$AA$2:$AA$18)-$T25)^2+(_xlfn.XLOOKUP(AU$1,$Z$2:$Z$18,$AB$2:$AB$18)-$U25)^2+(_xlfn.XLOOKUP(AU$1,$Z$2:$Z$18,$AC$2:$AC$18-$V25)^2)))</f>
        <v>158.73151671927033</v>
      </c>
      <c r="AV25" s="150">
        <f t="array" ref="AV25">IF(AV$1=0,"",SQRT((_xlfn.XLOOKUP(AV$1,$Z$2:$Z$18,$AA$2:$AA$18)-$T25)^2+(_xlfn.XLOOKUP(AV$1,$Z$2:$Z$18,$AB$2:$AB$18)-$U25)^2+(_xlfn.XLOOKUP(AV$1,$Z$2:$Z$18,$AC$2:$AC$18-$V25)^2)))</f>
        <v>158.73151671927033</v>
      </c>
      <c r="AW25" s="133"/>
      <c r="AX25" s="133"/>
      <c r="AY25" s="134">
        <f t="shared" si="19"/>
        <v>-41.675361258207282</v>
      </c>
      <c r="AZ25" s="151">
        <f t="shared" si="20"/>
        <v>-34.834061744537181</v>
      </c>
      <c r="BA25" s="151">
        <f t="shared" si="21"/>
        <v>-32.215375796174257</v>
      </c>
      <c r="BB25" s="151">
        <f t="shared" si="22"/>
        <v>-40.188977249987744</v>
      </c>
      <c r="BC25" s="151">
        <f t="shared" si="23"/>
        <v>-44.327971856196129</v>
      </c>
      <c r="BD25" s="151">
        <f t="shared" si="24"/>
        <v>-41.391500064861511</v>
      </c>
      <c r="BE25" s="151">
        <f t="shared" si="25"/>
        <v>-41.675361258207282</v>
      </c>
      <c r="BF25" s="151">
        <f t="shared" si="26"/>
        <v>-41.675361258207282</v>
      </c>
      <c r="BG25" s="152">
        <f t="shared" si="27"/>
        <v>-41.675361258207282</v>
      </c>
      <c r="BH25" s="152">
        <f t="shared" si="28"/>
        <v>-41.675361258207282</v>
      </c>
      <c r="BI25" s="152">
        <f t="shared" si="29"/>
        <v>-41.675361258207282</v>
      </c>
      <c r="BJ25" s="152">
        <f t="shared" si="30"/>
        <v>-41.675361258207282</v>
      </c>
      <c r="BK25" s="152">
        <f t="shared" si="31"/>
        <v>-41.675361258207282</v>
      </c>
      <c r="BL25" s="152">
        <f t="shared" si="32"/>
        <v>-41.675361258207282</v>
      </c>
      <c r="BM25" s="153">
        <f t="shared" si="33"/>
        <v>-41.675361258207282</v>
      </c>
      <c r="BN25" s="133"/>
      <c r="BO25" s="133"/>
      <c r="BP25" s="133"/>
      <c r="BQ25" s="133"/>
      <c r="BR25" s="133"/>
      <c r="BS25" s="133"/>
      <c r="BT25" s="133"/>
      <c r="BU25" s="133"/>
      <c r="BV25" s="139"/>
      <c r="BW25" s="139">
        <v>4</v>
      </c>
      <c r="BX25" s="139">
        <v>5</v>
      </c>
      <c r="BY25" s="139">
        <v>11</v>
      </c>
      <c r="BZ25" s="139">
        <v>13</v>
      </c>
      <c r="CA25" s="139">
        <v>8</v>
      </c>
      <c r="CB25" s="139"/>
      <c r="CC25" s="139"/>
      <c r="CD25" s="139"/>
      <c r="CE25" s="139"/>
      <c r="CF25" s="139"/>
      <c r="CG25" s="139"/>
      <c r="CH25" s="139"/>
      <c r="CI25" s="139"/>
      <c r="CJ25" s="139"/>
      <c r="CL25" s="133"/>
      <c r="CM25" s="139" t="s">
        <v>32</v>
      </c>
      <c r="CN25" s="139" t="s">
        <v>32</v>
      </c>
      <c r="CO25" s="139" t="s">
        <v>32</v>
      </c>
      <c r="CP25" s="139" t="s">
        <v>32</v>
      </c>
      <c r="CQ25" s="139" t="s">
        <v>32</v>
      </c>
      <c r="CR25" s="139" t="s">
        <v>32</v>
      </c>
      <c r="CS25" s="139"/>
      <c r="CT25" s="139"/>
      <c r="CU25" s="139"/>
      <c r="CV25" s="139"/>
      <c r="CW25" s="139"/>
      <c r="CX25" s="139"/>
      <c r="CY25" s="139"/>
      <c r="CZ25" s="139"/>
      <c r="DA25" s="139"/>
      <c r="DB25" s="133"/>
      <c r="DC25" s="133"/>
      <c r="DD25" s="154" cm="1">
        <f t="array" ref="DD25">_xlfn.IFS(DD$1= 0,"", NOT(ISBLANK(CM25)), 0, ISBLANK(CM25), $Q25-$S25+AY25-BV25)</f>
        <v>0</v>
      </c>
      <c r="DE25" s="155" cm="1">
        <f t="array" ref="DE25">_xlfn.IFS(DE$1= 0,"", NOT(ISBLANK(CN25)), 0, ISBLANK(CN25), $Q25-$S25+AZ25-BW25)</f>
        <v>0</v>
      </c>
      <c r="DF25" s="155" cm="1">
        <f t="array" ref="DF25">_xlfn.IFS(DF$1= 0,"", NOT(ISBLANK(CO25)), 0, ISBLANK(CO25), $Q25-$S25+BA25-BX25)</f>
        <v>0</v>
      </c>
      <c r="DG25" s="155" cm="1">
        <f t="array" ref="DG25">_xlfn.IFS(DG$1= 0,"", NOT(ISBLANK(CP25)), 0, ISBLANK(CP25), $Q25-$S25+BB25-BY25)</f>
        <v>0</v>
      </c>
      <c r="DH25" s="155" cm="1">
        <f t="array" ref="DH25">_xlfn.IFS(DH$1= 0,"", NOT(ISBLANK(CQ25)), 0, ISBLANK(CQ25), $Q25-$S25+BC25-BZ25)</f>
        <v>0</v>
      </c>
      <c r="DI25" s="155" cm="1">
        <f t="array" ref="DI25">_xlfn.IFS(DI$1= 0,"", NOT(ISBLANK(CR25)), 0, ISBLANK(CR25), $Q25-$S25+BD25-CA25)</f>
        <v>0</v>
      </c>
      <c r="DJ25" s="155" cm="1">
        <f t="array" ref="DJ25">_xlfn.IFS(DJ$1= 0,"", NOT(ISBLANK(CS25)), 0, ISBLANK(CS25), $Q25-$S25+BE25-CB25)</f>
        <v>24.324638741792718</v>
      </c>
      <c r="DK25" s="155" cm="1">
        <f t="array" ref="DK25">_xlfn.IFS(DK$1= 0,"", NOT(ISBLANK(CT25)), 0, ISBLANK(CT25), $Q25-$S25+BF25-CC25)</f>
        <v>24.324638741792718</v>
      </c>
      <c r="DL25" s="156" cm="1">
        <f t="array" ref="DL25">_xlfn.IFS(DL$1= 0,"", NOT(ISBLANK(CU25)), 0, ISBLANK(CU25), $Q25-$S25+BG25-CD25)</f>
        <v>24.324638741792718</v>
      </c>
      <c r="DM25" s="156" cm="1">
        <f t="array" ref="DM25">_xlfn.IFS(DM$1= 0,"", NOT(ISBLANK(CV25)), 0, ISBLANK(CV25), $Q25-$S25+BH25-CE25)</f>
        <v>24.324638741792718</v>
      </c>
      <c r="DN25" s="156" cm="1">
        <f t="array" ref="DN25">_xlfn.IFS(DN$1= 0,"", NOT(ISBLANK(CW25)), 0, ISBLANK(CW25), $Q25-$S25+BI25-CF25)</f>
        <v>24.324638741792718</v>
      </c>
      <c r="DO25" s="156" cm="1">
        <f t="array" ref="DO25">_xlfn.IFS(DO$1= 0,"", NOT(ISBLANK(CX25)), 0, ISBLANK(CX25), $Q25-$S25+BJ25-CG25)</f>
        <v>24.324638741792718</v>
      </c>
      <c r="DP25" s="142" cm="1">
        <f t="array" ref="DP25">_xlfn.IFS(DP$1= 0,"", NOT(ISBLANK(CY25)), 0, ISBLANK(CY25), $Q25-$S25+BK25-CH25)</f>
        <v>24.324638741792718</v>
      </c>
      <c r="DQ25" s="142" cm="1">
        <f t="array" ref="DQ25">_xlfn.IFS(DQ$1= 0,"", NOT(ISBLANK(CZ25)), 0, ISBLANK(CZ25), $Q25-$S25+BL25-CI25)</f>
        <v>24.324638741792718</v>
      </c>
      <c r="DR25" s="143" cm="1">
        <f t="array" ref="DR25">_xlfn.IFS(DR$1= 0,"", NOT(ISBLANK(DA25)), 0, ISBLANK(DA25), $Q25-$S25+BM25-CJ25)</f>
        <v>24.324638741792718</v>
      </c>
    </row>
    <row r="26" spans="1:122" ht="16.5" customHeight="1" x14ac:dyDescent="0.3">
      <c r="A26" s="214">
        <v>1</v>
      </c>
      <c r="B26" s="144" t="s">
        <v>124</v>
      </c>
      <c r="C26" s="144" t="s">
        <v>98</v>
      </c>
      <c r="D26" s="145" t="s">
        <v>95</v>
      </c>
      <c r="E26" s="196" t="s">
        <v>115</v>
      </c>
      <c r="F26" s="204"/>
      <c r="G26" s="205"/>
      <c r="H26" s="205"/>
      <c r="I26" s="205"/>
      <c r="J26" s="205"/>
      <c r="K26" s="205"/>
      <c r="L26" s="205"/>
      <c r="M26" s="209"/>
      <c r="N26" s="204">
        <v>65.873120921161103</v>
      </c>
      <c r="O26" s="206">
        <v>0</v>
      </c>
      <c r="P26" s="199">
        <v>1</v>
      </c>
      <c r="Q26" s="12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6">
        <v>2</v>
      </c>
      <c r="Z26" s="115" t="s">
        <v>136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6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8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8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8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8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8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8">
        <f t="array" ref="AN26">IF(AN$1=0,"",SQRT((_xlfn.XLOOKUP(AN$1,$Z$2:$Z$18,$AA$2:$AA$18)-$T26)^2+(_xlfn.XLOOKUP(AN$1,$Z$2:$Z$18,$AB$2:$AB$18)-$U26)^2+(_xlfn.XLOOKUP(AN$1,$Z$2:$Z$18,$AC$2:$AC$18-$V26)^2)))</f>
        <v>181.33277833861146</v>
      </c>
      <c r="AO26" s="148">
        <f t="array" ref="AO26">IF(AO$1=0,"",SQRT((_xlfn.XLOOKUP(AO$1,$Z$2:$Z$18,$AA$2:$AA$18)-$T26)^2+(_xlfn.XLOOKUP(AO$1,$Z$2:$Z$18,$AB$2:$AB$18)-$U26)^2+(_xlfn.XLOOKUP(AO$1,$Z$2:$Z$18,$AC$2:$AC$18-$V26)^2)))</f>
        <v>181.33277833861146</v>
      </c>
      <c r="AP26" s="149">
        <f t="array" ref="AP26">IF(AP$1=0,"",SQRT((_xlfn.XLOOKUP(AP$1,$Z$2:$Z$18,$AA$2:$AA$18)-$T26)^2+(_xlfn.XLOOKUP(AP$1,$Z$2:$Z$18,$AB$2:$AB$18)-$U26)^2+(_xlfn.XLOOKUP(AP$1,$Z$2:$Z$18,$AC$2:$AC$18-$V26)^2)))</f>
        <v>181.33277833861146</v>
      </c>
      <c r="AQ26" s="149">
        <f t="array" ref="AQ26">IF(AQ$1=0,"",SQRT((_xlfn.XLOOKUP(AQ$1,$Z$2:$Z$18,$AA$2:$AA$18)-$T26)^2+(_xlfn.XLOOKUP(AQ$1,$Z$2:$Z$18,$AB$2:$AB$18)-$U26)^2+(_xlfn.XLOOKUP(AQ$1,$Z$2:$Z$18,$AC$2:$AC$18-$V26)^2)))</f>
        <v>181.33277833861146</v>
      </c>
      <c r="AR26" s="149">
        <f t="array" ref="AR26">IF(AR$1=0,"",SQRT((_xlfn.XLOOKUP(AR$1,$Z$2:$Z$18,$AA$2:$AA$18)-$T26)^2+(_xlfn.XLOOKUP(AR$1,$Z$2:$Z$18,$AB$2:$AB$18)-$U26)^2+(_xlfn.XLOOKUP(AR$1,$Z$2:$Z$18,$AC$2:$AC$18-$V26)^2)))</f>
        <v>181.33277833861146</v>
      </c>
      <c r="AS26" s="149">
        <f t="array" ref="AS26">IF(AS$1=0,"",SQRT((_xlfn.XLOOKUP(AS$1,$Z$2:$Z$18,$AA$2:$AA$18)-$T26)^2+(_xlfn.XLOOKUP(AS$1,$Z$2:$Z$18,$AB$2:$AB$18)-$U26)^2+(_xlfn.XLOOKUP(AS$1,$Z$2:$Z$18,$AC$2:$AC$18-$V26)^2)))</f>
        <v>181.33277833861146</v>
      </c>
      <c r="AT26" s="149">
        <f t="array" ref="AT26">IF(AT$1=0,"",SQRT((_xlfn.XLOOKUP(AT$1,$Z$2:$Z$18,$AA$2:$AA$18)-$T26)^2+(_xlfn.XLOOKUP(AT$1,$Z$2:$Z$18,$AB$2:$AB$18)-$U26)^2+(_xlfn.XLOOKUP(AT$1,$Z$2:$Z$18,$AC$2:$AC$18-$V26)^2)))</f>
        <v>181.33277833861146</v>
      </c>
      <c r="AU26" s="149">
        <f t="array" ref="AU26">IF(AU$1=0,"",SQRT((_xlfn.XLOOKUP(AU$1,$Z$2:$Z$18,$AA$2:$AA$18)-$T26)^2+(_xlfn.XLOOKUP(AU$1,$Z$2:$Z$18,$AB$2:$AB$18)-$U26)^2+(_xlfn.XLOOKUP(AU$1,$Z$2:$Z$18,$AC$2:$AC$18-$V26)^2)))</f>
        <v>181.33277833861146</v>
      </c>
      <c r="AV26" s="150">
        <f t="array" ref="AV26">IF(AV$1=0,"",SQRT((_xlfn.XLOOKUP(AV$1,$Z$2:$Z$18,$AA$2:$AA$18)-$T26)^2+(_xlfn.XLOOKUP(AV$1,$Z$2:$Z$18,$AB$2:$AB$18)-$U26)^2+(_xlfn.XLOOKUP(AV$1,$Z$2:$Z$18,$AC$2:$AC$18-$V26)^2)))</f>
        <v>181.33277833861146</v>
      </c>
      <c r="AW26" s="133"/>
      <c r="AX26" s="133"/>
      <c r="AY26" s="134">
        <f t="shared" si="19"/>
        <v>-42.831624252144593</v>
      </c>
      <c r="AZ26" s="151">
        <f t="shared" si="20"/>
        <v>-37.59765586418208</v>
      </c>
      <c r="BA26" s="151">
        <f t="shared" si="21"/>
        <v>-33.899484649483227</v>
      </c>
      <c r="BB26" s="151">
        <f t="shared" si="22"/>
        <v>-39.043352256363363</v>
      </c>
      <c r="BC26" s="151">
        <f t="shared" si="23"/>
        <v>-43.226064513603937</v>
      </c>
      <c r="BD26" s="151">
        <f t="shared" si="24"/>
        <v>-42.027868065085286</v>
      </c>
      <c r="BE26" s="151">
        <f t="shared" si="25"/>
        <v>-42.831624252144593</v>
      </c>
      <c r="BF26" s="151">
        <f t="shared" si="26"/>
        <v>-42.831624252144593</v>
      </c>
      <c r="BG26" s="152">
        <f t="shared" si="27"/>
        <v>-42.831624252144593</v>
      </c>
      <c r="BH26" s="152">
        <f t="shared" si="28"/>
        <v>-42.831624252144593</v>
      </c>
      <c r="BI26" s="152">
        <f t="shared" si="29"/>
        <v>-42.831624252144593</v>
      </c>
      <c r="BJ26" s="152">
        <f t="shared" si="30"/>
        <v>-42.831624252144593</v>
      </c>
      <c r="BK26" s="152">
        <f t="shared" si="31"/>
        <v>-42.831624252144593</v>
      </c>
      <c r="BL26" s="152">
        <f t="shared" si="32"/>
        <v>-42.831624252144593</v>
      </c>
      <c r="BM26" s="153">
        <f t="shared" si="33"/>
        <v>-42.831624252144593</v>
      </c>
      <c r="BN26" s="133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3"/>
      <c r="BU26" s="133"/>
      <c r="BV26" s="139"/>
      <c r="BW26" s="139">
        <v>5</v>
      </c>
      <c r="BX26" s="139">
        <v>7</v>
      </c>
      <c r="BY26" s="139">
        <v>11</v>
      </c>
      <c r="BZ26" s="139">
        <v>11</v>
      </c>
      <c r="CA26" s="139">
        <v>8</v>
      </c>
      <c r="CB26" s="139"/>
      <c r="CC26" s="139"/>
      <c r="CD26" s="139"/>
      <c r="CE26" s="139"/>
      <c r="CF26" s="139"/>
      <c r="CG26" s="139"/>
      <c r="CH26" s="139"/>
      <c r="CI26" s="139"/>
      <c r="CJ26" s="139"/>
      <c r="CL26" s="133"/>
      <c r="CM26" s="139" t="s">
        <v>32</v>
      </c>
      <c r="CN26" s="139" t="s">
        <v>32</v>
      </c>
      <c r="CO26" s="139" t="s">
        <v>32</v>
      </c>
      <c r="CP26" s="139" t="s">
        <v>32</v>
      </c>
      <c r="CQ26" s="139" t="s">
        <v>32</v>
      </c>
      <c r="CR26" s="139" t="s">
        <v>32</v>
      </c>
      <c r="CS26" s="139"/>
      <c r="CT26" s="139"/>
      <c r="CU26" s="139"/>
      <c r="CV26" s="139"/>
      <c r="CW26" s="139"/>
      <c r="CX26" s="139"/>
      <c r="CY26" s="139"/>
      <c r="CZ26" s="139"/>
      <c r="DA26" s="139"/>
      <c r="DB26" s="133"/>
      <c r="DC26" s="133"/>
      <c r="DD26" s="154" cm="1">
        <f t="array" ref="DD26">_xlfn.IFS(DD$1= 0,"", NOT(ISBLANK(CM26)), 0, ISBLANK(CM26), $Q26-$S26+AY26-BV26)</f>
        <v>0</v>
      </c>
      <c r="DE26" s="155" cm="1">
        <f t="array" ref="DE26">_xlfn.IFS(DE$1= 0,"", NOT(ISBLANK(CN26)), 0, ISBLANK(CN26), $Q26-$S26+AZ26-BW26)</f>
        <v>0</v>
      </c>
      <c r="DF26" s="155" cm="1">
        <f t="array" ref="DF26">_xlfn.IFS(DF$1= 0,"", NOT(ISBLANK(CO26)), 0, ISBLANK(CO26), $Q26-$S26+BA26-BX26)</f>
        <v>0</v>
      </c>
      <c r="DG26" s="155" cm="1">
        <f t="array" ref="DG26">_xlfn.IFS(DG$1= 0,"", NOT(ISBLANK(CP26)), 0, ISBLANK(CP26), $Q26-$S26+BB26-BY26)</f>
        <v>0</v>
      </c>
      <c r="DH26" s="155" cm="1">
        <f t="array" ref="DH26">_xlfn.IFS(DH$1= 0,"", NOT(ISBLANK(CQ26)), 0, ISBLANK(CQ26), $Q26-$S26+BC26-BZ26)</f>
        <v>0</v>
      </c>
      <c r="DI26" s="155" cm="1">
        <f t="array" ref="DI26">_xlfn.IFS(DI$1= 0,"", NOT(ISBLANK(CR26)), 0, ISBLANK(CR26), $Q26-$S26+BD26-CA26)</f>
        <v>0</v>
      </c>
      <c r="DJ26" s="155" cm="1">
        <f t="array" ref="DJ26">_xlfn.IFS(DJ$1= 0,"", NOT(ISBLANK(CS26)), 0, ISBLANK(CS26), $Q26-$S26+BE26-CB26)</f>
        <v>23.168375747855407</v>
      </c>
      <c r="DK26" s="155" cm="1">
        <f t="array" ref="DK26">_xlfn.IFS(DK$1= 0,"", NOT(ISBLANK(CT26)), 0, ISBLANK(CT26), $Q26-$S26+BF26-CC26)</f>
        <v>23.168375747855407</v>
      </c>
      <c r="DL26" s="156" cm="1">
        <f t="array" ref="DL26">_xlfn.IFS(DL$1= 0,"", NOT(ISBLANK(CU26)), 0, ISBLANK(CU26), $Q26-$S26+BG26-CD26)</f>
        <v>23.168375747855407</v>
      </c>
      <c r="DM26" s="156" cm="1">
        <f t="array" ref="DM26">_xlfn.IFS(DM$1= 0,"", NOT(ISBLANK(CV26)), 0, ISBLANK(CV26), $Q26-$S26+BH26-CE26)</f>
        <v>23.168375747855407</v>
      </c>
      <c r="DN26" s="156" cm="1">
        <f t="array" ref="DN26">_xlfn.IFS(DN$1= 0,"", NOT(ISBLANK(CW26)), 0, ISBLANK(CW26), $Q26-$S26+BI26-CF26)</f>
        <v>23.168375747855407</v>
      </c>
      <c r="DO26" s="156" cm="1">
        <f t="array" ref="DO26">_xlfn.IFS(DO$1= 0,"", NOT(ISBLANK(CX26)), 0, ISBLANK(CX26), $Q26-$S26+BJ26-CG26)</f>
        <v>23.168375747855407</v>
      </c>
      <c r="DP26" s="142" cm="1">
        <f t="array" ref="DP26">_xlfn.IFS(DP$1= 0,"", NOT(ISBLANK(CY26)), 0, ISBLANK(CY26), $Q26-$S26+BK26-CH26)</f>
        <v>23.168375747855407</v>
      </c>
      <c r="DQ26" s="142" cm="1">
        <f t="array" ref="DQ26">_xlfn.IFS(DQ$1= 0,"", NOT(ISBLANK(CZ26)), 0, ISBLANK(CZ26), $Q26-$S26+BL26-CI26)</f>
        <v>23.168375747855407</v>
      </c>
      <c r="DR26" s="143" cm="1">
        <f t="array" ref="DR26">_xlfn.IFS(DR$1= 0,"", NOT(ISBLANK(DA26)), 0, ISBLANK(DA26), $Q26-$S26+BM26-CJ26)</f>
        <v>23.168375747855407</v>
      </c>
    </row>
    <row r="27" spans="1:122" ht="16.5" customHeight="1" x14ac:dyDescent="0.3">
      <c r="A27" s="214">
        <v>1</v>
      </c>
      <c r="B27" s="144" t="s">
        <v>125</v>
      </c>
      <c r="C27" s="144" t="s">
        <v>98</v>
      </c>
      <c r="D27" s="145" t="s">
        <v>95</v>
      </c>
      <c r="E27" s="196" t="s">
        <v>115</v>
      </c>
      <c r="F27" s="204"/>
      <c r="G27" s="205"/>
      <c r="H27" s="205"/>
      <c r="I27" s="205"/>
      <c r="J27" s="205"/>
      <c r="K27" s="205"/>
      <c r="L27" s="205"/>
      <c r="M27" s="209"/>
      <c r="N27" s="204">
        <v>65.873120921161103</v>
      </c>
      <c r="O27" s="206">
        <v>0</v>
      </c>
      <c r="P27" s="199">
        <v>1</v>
      </c>
      <c r="Q27" s="12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6">
        <v>2</v>
      </c>
      <c r="Z27" s="115" t="s">
        <v>137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6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8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8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8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8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8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8">
        <f t="array" ref="AN27">IF(AN$1=0,"",SQRT((_xlfn.XLOOKUP(AN$1,$Z$2:$Z$18,$AA$2:$AA$18)-$T27)^2+(_xlfn.XLOOKUP(AN$1,$Z$2:$Z$18,$AB$2:$AB$18)-$U27)^2+(_xlfn.XLOOKUP(AN$1,$Z$2:$Z$18,$AC$2:$AC$18-$V27)^2)))</f>
        <v>198.7508173568099</v>
      </c>
      <c r="AO27" s="148">
        <f t="array" ref="AO27">IF(AO$1=0,"",SQRT((_xlfn.XLOOKUP(AO$1,$Z$2:$Z$18,$AA$2:$AA$18)-$T27)^2+(_xlfn.XLOOKUP(AO$1,$Z$2:$Z$18,$AB$2:$AB$18)-$U27)^2+(_xlfn.XLOOKUP(AO$1,$Z$2:$Z$18,$AC$2:$AC$18-$V27)^2)))</f>
        <v>198.7508173568099</v>
      </c>
      <c r="AP27" s="149">
        <f t="array" ref="AP27">IF(AP$1=0,"",SQRT((_xlfn.XLOOKUP(AP$1,$Z$2:$Z$18,$AA$2:$AA$18)-$T27)^2+(_xlfn.XLOOKUP(AP$1,$Z$2:$Z$18,$AB$2:$AB$18)-$U27)^2+(_xlfn.XLOOKUP(AP$1,$Z$2:$Z$18,$AC$2:$AC$18-$V27)^2)))</f>
        <v>198.7508173568099</v>
      </c>
      <c r="AQ27" s="149">
        <f t="array" ref="AQ27">IF(AQ$1=0,"",SQRT((_xlfn.XLOOKUP(AQ$1,$Z$2:$Z$18,$AA$2:$AA$18)-$T27)^2+(_xlfn.XLOOKUP(AQ$1,$Z$2:$Z$18,$AB$2:$AB$18)-$U27)^2+(_xlfn.XLOOKUP(AQ$1,$Z$2:$Z$18,$AC$2:$AC$18-$V27)^2)))</f>
        <v>198.7508173568099</v>
      </c>
      <c r="AR27" s="149">
        <f t="array" ref="AR27">IF(AR$1=0,"",SQRT((_xlfn.XLOOKUP(AR$1,$Z$2:$Z$18,$AA$2:$AA$18)-$T27)^2+(_xlfn.XLOOKUP(AR$1,$Z$2:$Z$18,$AB$2:$AB$18)-$U27)^2+(_xlfn.XLOOKUP(AR$1,$Z$2:$Z$18,$AC$2:$AC$18-$V27)^2)))</f>
        <v>198.7508173568099</v>
      </c>
      <c r="AS27" s="149">
        <f t="array" ref="AS27">IF(AS$1=0,"",SQRT((_xlfn.XLOOKUP(AS$1,$Z$2:$Z$18,$AA$2:$AA$18)-$T27)^2+(_xlfn.XLOOKUP(AS$1,$Z$2:$Z$18,$AB$2:$AB$18)-$U27)^2+(_xlfn.XLOOKUP(AS$1,$Z$2:$Z$18,$AC$2:$AC$18-$V27)^2)))</f>
        <v>198.7508173568099</v>
      </c>
      <c r="AT27" s="149">
        <f t="array" ref="AT27">IF(AT$1=0,"",SQRT((_xlfn.XLOOKUP(AT$1,$Z$2:$Z$18,$AA$2:$AA$18)-$T27)^2+(_xlfn.XLOOKUP(AT$1,$Z$2:$Z$18,$AB$2:$AB$18)-$U27)^2+(_xlfn.XLOOKUP(AT$1,$Z$2:$Z$18,$AC$2:$AC$18-$V27)^2)))</f>
        <v>198.7508173568099</v>
      </c>
      <c r="AU27" s="149">
        <f t="array" ref="AU27">IF(AU$1=0,"",SQRT((_xlfn.XLOOKUP(AU$1,$Z$2:$Z$18,$AA$2:$AA$18)-$T27)^2+(_xlfn.XLOOKUP(AU$1,$Z$2:$Z$18,$AB$2:$AB$18)-$U27)^2+(_xlfn.XLOOKUP(AU$1,$Z$2:$Z$18,$AC$2:$AC$18-$V27)^2)))</f>
        <v>198.7508173568099</v>
      </c>
      <c r="AV27" s="150">
        <f t="array" ref="AV27">IF(AV$1=0,"",SQRT((_xlfn.XLOOKUP(AV$1,$Z$2:$Z$18,$AA$2:$AA$18)-$T27)^2+(_xlfn.XLOOKUP(AV$1,$Z$2:$Z$18,$AB$2:$AB$18)-$U27)^2+(_xlfn.XLOOKUP(AV$1,$Z$2:$Z$18,$AC$2:$AC$18-$V27)^2)))</f>
        <v>198.7508173568099</v>
      </c>
      <c r="AW27" s="133"/>
      <c r="AX27" s="133"/>
      <c r="AY27" s="134">
        <f t="shared" si="19"/>
        <v>-43.628276404038154</v>
      </c>
      <c r="AZ27" s="151">
        <f t="shared" si="20"/>
        <v>-40.149592721907098</v>
      </c>
      <c r="BA27" s="151">
        <f t="shared" si="21"/>
        <v>-35.225758480702112</v>
      </c>
      <c r="BB27" s="151">
        <f t="shared" si="22"/>
        <v>-35.515601966884013</v>
      </c>
      <c r="BC27" s="151">
        <f t="shared" si="23"/>
        <v>-41.473695638048923</v>
      </c>
      <c r="BD27" s="151">
        <f t="shared" si="24"/>
        <v>-43.886016689157323</v>
      </c>
      <c r="BE27" s="151">
        <f t="shared" si="25"/>
        <v>-43.628276404038154</v>
      </c>
      <c r="BF27" s="151">
        <f t="shared" si="26"/>
        <v>-43.628276404038154</v>
      </c>
      <c r="BG27" s="152">
        <f t="shared" si="27"/>
        <v>-43.628276404038154</v>
      </c>
      <c r="BH27" s="152">
        <f t="shared" si="28"/>
        <v>-43.628276404038154</v>
      </c>
      <c r="BI27" s="152">
        <f t="shared" si="29"/>
        <v>-43.628276404038154</v>
      </c>
      <c r="BJ27" s="152">
        <f t="shared" si="30"/>
        <v>-43.628276404038154</v>
      </c>
      <c r="BK27" s="152">
        <f t="shared" si="31"/>
        <v>-43.628276404038154</v>
      </c>
      <c r="BL27" s="152">
        <f t="shared" si="32"/>
        <v>-43.628276404038154</v>
      </c>
      <c r="BM27" s="153">
        <f t="shared" si="33"/>
        <v>-43.628276404038154</v>
      </c>
      <c r="BN27" s="133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3"/>
      <c r="BU27" s="133"/>
      <c r="BV27" s="139"/>
      <c r="BW27" s="139">
        <v>0</v>
      </c>
      <c r="BX27" s="139">
        <v>0</v>
      </c>
      <c r="BY27" s="139">
        <v>11</v>
      </c>
      <c r="BZ27" s="139">
        <v>11</v>
      </c>
      <c r="CA27" s="139">
        <v>9</v>
      </c>
      <c r="CB27" s="139"/>
      <c r="CC27" s="139"/>
      <c r="CD27" s="139"/>
      <c r="CE27" s="139"/>
      <c r="CF27" s="139"/>
      <c r="CG27" s="139"/>
      <c r="CH27" s="139"/>
      <c r="CI27" s="139"/>
      <c r="CJ27" s="139"/>
      <c r="CL27" s="133"/>
      <c r="CM27" s="139" t="s">
        <v>32</v>
      </c>
      <c r="CN27" s="139" t="s">
        <v>32</v>
      </c>
      <c r="CO27" s="139" t="s">
        <v>32</v>
      </c>
      <c r="CP27" s="139" t="s">
        <v>32</v>
      </c>
      <c r="CQ27" s="139" t="s">
        <v>32</v>
      </c>
      <c r="CR27" s="139" t="s">
        <v>32</v>
      </c>
      <c r="CS27" s="139"/>
      <c r="CT27" s="139"/>
      <c r="CU27" s="139"/>
      <c r="CV27" s="139"/>
      <c r="CW27" s="139"/>
      <c r="CX27" s="139"/>
      <c r="CY27" s="139"/>
      <c r="CZ27" s="139"/>
      <c r="DA27" s="139"/>
      <c r="DB27" s="133"/>
      <c r="DC27" s="133"/>
      <c r="DD27" s="154" cm="1">
        <f t="array" ref="DD27">_xlfn.IFS(DD$1= 0,"", NOT(ISBLANK(CM27)), 0, ISBLANK(CM27), $Q27-$S27+AY27-BV27)</f>
        <v>0</v>
      </c>
      <c r="DE27" s="155" cm="1">
        <f t="array" ref="DE27">_xlfn.IFS(DE$1= 0,"", NOT(ISBLANK(CN27)), 0, ISBLANK(CN27), $Q27-$S27+AZ27-BW27)</f>
        <v>0</v>
      </c>
      <c r="DF27" s="155" cm="1">
        <f t="array" ref="DF27">_xlfn.IFS(DF$1= 0,"", NOT(ISBLANK(CO27)), 0, ISBLANK(CO27), $Q27-$S27+BA27-BX27)</f>
        <v>0</v>
      </c>
      <c r="DG27" s="155" cm="1">
        <f t="array" ref="DG27">_xlfn.IFS(DG$1= 0,"", NOT(ISBLANK(CP27)), 0, ISBLANK(CP27), $Q27-$S27+BB27-BY27)</f>
        <v>0</v>
      </c>
      <c r="DH27" s="155" cm="1">
        <f t="array" ref="DH27">_xlfn.IFS(DH$1= 0,"", NOT(ISBLANK(CQ27)), 0, ISBLANK(CQ27), $Q27-$S27+BC27-BZ27)</f>
        <v>0</v>
      </c>
      <c r="DI27" s="155" cm="1">
        <f t="array" ref="DI27">_xlfn.IFS(DI$1= 0,"", NOT(ISBLANK(CR27)), 0, ISBLANK(CR27), $Q27-$S27+BD27-CA27)</f>
        <v>0</v>
      </c>
      <c r="DJ27" s="155" cm="1">
        <f t="array" ref="DJ27">_xlfn.IFS(DJ$1= 0,"", NOT(ISBLANK(CS27)), 0, ISBLANK(CS27), $Q27-$S27+BE27-CB27)</f>
        <v>22.371723595961846</v>
      </c>
      <c r="DK27" s="155" cm="1">
        <f t="array" ref="DK27">_xlfn.IFS(DK$1= 0,"", NOT(ISBLANK(CT27)), 0, ISBLANK(CT27), $Q27-$S27+BF27-CC27)</f>
        <v>22.371723595961846</v>
      </c>
      <c r="DL27" s="156" cm="1">
        <f t="array" ref="DL27">_xlfn.IFS(DL$1= 0,"", NOT(ISBLANK(CU27)), 0, ISBLANK(CU27), $Q27-$S27+BG27-CD27)</f>
        <v>22.371723595961846</v>
      </c>
      <c r="DM27" s="156" cm="1">
        <f t="array" ref="DM27">_xlfn.IFS(DM$1= 0,"", NOT(ISBLANK(CV27)), 0, ISBLANK(CV27), $Q27-$S27+BH27-CE27)</f>
        <v>22.371723595961846</v>
      </c>
      <c r="DN27" s="156" cm="1">
        <f t="array" ref="DN27">_xlfn.IFS(DN$1= 0,"", NOT(ISBLANK(CW27)), 0, ISBLANK(CW27), $Q27-$S27+BI27-CF27)</f>
        <v>22.371723595961846</v>
      </c>
      <c r="DO27" s="156" cm="1">
        <f t="array" ref="DO27">_xlfn.IFS(DO$1= 0,"", NOT(ISBLANK(CX27)), 0, ISBLANK(CX27), $Q27-$S27+BJ27-CG27)</f>
        <v>22.371723595961846</v>
      </c>
      <c r="DP27" s="142" cm="1">
        <f t="array" ref="DP27">_xlfn.IFS(DP$1= 0,"", NOT(ISBLANK(CY27)), 0, ISBLANK(CY27), $Q27-$S27+BK27-CH27)</f>
        <v>22.371723595961846</v>
      </c>
      <c r="DQ27" s="142" cm="1">
        <f t="array" ref="DQ27">_xlfn.IFS(DQ$1= 0,"", NOT(ISBLANK(CZ27)), 0, ISBLANK(CZ27), $Q27-$S27+BL27-CI27)</f>
        <v>22.371723595961846</v>
      </c>
      <c r="DR27" s="143" cm="1">
        <f t="array" ref="DR27">_xlfn.IFS(DR$1= 0,"", NOT(ISBLANK(DA27)), 0, ISBLANK(DA27), $Q27-$S27+BM27-CJ27)</f>
        <v>22.371723595961846</v>
      </c>
    </row>
    <row r="28" spans="1:122" ht="16.5" customHeight="1" x14ac:dyDescent="0.3">
      <c r="A28" s="214">
        <v>1</v>
      </c>
      <c r="B28" s="144" t="s">
        <v>126</v>
      </c>
      <c r="C28" s="144" t="s">
        <v>98</v>
      </c>
      <c r="D28" s="145" t="s">
        <v>95</v>
      </c>
      <c r="E28" s="196" t="s">
        <v>115</v>
      </c>
      <c r="F28" s="204"/>
      <c r="G28" s="205"/>
      <c r="H28" s="205"/>
      <c r="I28" s="205"/>
      <c r="J28" s="205"/>
      <c r="K28" s="205"/>
      <c r="L28" s="205"/>
      <c r="M28" s="209"/>
      <c r="N28" s="204">
        <v>65.873120921161103</v>
      </c>
      <c r="O28" s="206">
        <v>0</v>
      </c>
      <c r="P28" s="199">
        <v>1</v>
      </c>
      <c r="Q28" s="127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6">
        <v>2</v>
      </c>
      <c r="Z28" s="115" t="s">
        <v>138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6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8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8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8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8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8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8">
        <f t="array" ref="AN28">IF(AN$1=0,"",SQRT((_xlfn.XLOOKUP(AN$1,$Z$2:$Z$18,$AA$2:$AA$18)-$T28)^2+(_xlfn.XLOOKUP(AN$1,$Z$2:$Z$18,$AB$2:$AB$18)-$U28)^2+(_xlfn.XLOOKUP(AN$1,$Z$2:$Z$18,$AC$2:$AC$18-$V28)^2)))</f>
        <v>194.22379488620851</v>
      </c>
      <c r="AO28" s="148">
        <f t="array" ref="AO28">IF(AO$1=0,"",SQRT((_xlfn.XLOOKUP(AO$1,$Z$2:$Z$18,$AA$2:$AA$18)-$T28)^2+(_xlfn.XLOOKUP(AO$1,$Z$2:$Z$18,$AB$2:$AB$18)-$U28)^2+(_xlfn.XLOOKUP(AO$1,$Z$2:$Z$18,$AC$2:$AC$18-$V28)^2)))</f>
        <v>194.22379488620851</v>
      </c>
      <c r="AP28" s="149">
        <f t="array" ref="AP28">IF(AP$1=0,"",SQRT((_xlfn.XLOOKUP(AP$1,$Z$2:$Z$18,$AA$2:$AA$18)-$T28)^2+(_xlfn.XLOOKUP(AP$1,$Z$2:$Z$18,$AB$2:$AB$18)-$U28)^2+(_xlfn.XLOOKUP(AP$1,$Z$2:$Z$18,$AC$2:$AC$18-$V28)^2)))</f>
        <v>194.22379488620851</v>
      </c>
      <c r="AQ28" s="149">
        <f t="array" ref="AQ28">IF(AQ$1=0,"",SQRT((_xlfn.XLOOKUP(AQ$1,$Z$2:$Z$18,$AA$2:$AA$18)-$T28)^2+(_xlfn.XLOOKUP(AQ$1,$Z$2:$Z$18,$AB$2:$AB$18)-$U28)^2+(_xlfn.XLOOKUP(AQ$1,$Z$2:$Z$18,$AC$2:$AC$18-$V28)^2)))</f>
        <v>194.22379488620851</v>
      </c>
      <c r="AR28" s="149">
        <f t="array" ref="AR28">IF(AR$1=0,"",SQRT((_xlfn.XLOOKUP(AR$1,$Z$2:$Z$18,$AA$2:$AA$18)-$T28)^2+(_xlfn.XLOOKUP(AR$1,$Z$2:$Z$18,$AB$2:$AB$18)-$U28)^2+(_xlfn.XLOOKUP(AR$1,$Z$2:$Z$18,$AC$2:$AC$18-$V28)^2)))</f>
        <v>194.22379488620851</v>
      </c>
      <c r="AS28" s="149">
        <f t="array" ref="AS28">IF(AS$1=0,"",SQRT((_xlfn.XLOOKUP(AS$1,$Z$2:$Z$18,$AA$2:$AA$18)-$T28)^2+(_xlfn.XLOOKUP(AS$1,$Z$2:$Z$18,$AB$2:$AB$18)-$U28)^2+(_xlfn.XLOOKUP(AS$1,$Z$2:$Z$18,$AC$2:$AC$18-$V28)^2)))</f>
        <v>194.22379488620851</v>
      </c>
      <c r="AT28" s="149">
        <f t="array" ref="AT28">IF(AT$1=0,"",SQRT((_xlfn.XLOOKUP(AT$1,$Z$2:$Z$18,$AA$2:$AA$18)-$T28)^2+(_xlfn.XLOOKUP(AT$1,$Z$2:$Z$18,$AB$2:$AB$18)-$U28)^2+(_xlfn.XLOOKUP(AT$1,$Z$2:$Z$18,$AC$2:$AC$18-$V28)^2)))</f>
        <v>194.22379488620851</v>
      </c>
      <c r="AU28" s="149">
        <f t="array" ref="AU28">IF(AU$1=0,"",SQRT((_xlfn.XLOOKUP(AU$1,$Z$2:$Z$18,$AA$2:$AA$18)-$T28)^2+(_xlfn.XLOOKUP(AU$1,$Z$2:$Z$18,$AB$2:$AB$18)-$U28)^2+(_xlfn.XLOOKUP(AU$1,$Z$2:$Z$18,$AC$2:$AC$18-$V28)^2)))</f>
        <v>194.22379488620851</v>
      </c>
      <c r="AV28" s="150">
        <f t="array" ref="AV28">IF(AV$1=0,"",SQRT((_xlfn.XLOOKUP(AV$1,$Z$2:$Z$18,$AA$2:$AA$18)-$T28)^2+(_xlfn.XLOOKUP(AV$1,$Z$2:$Z$18,$AB$2:$AB$18)-$U28)^2+(_xlfn.XLOOKUP(AV$1,$Z$2:$Z$18,$AC$2:$AC$18-$V28)^2)))</f>
        <v>194.22379488620851</v>
      </c>
      <c r="AW28" s="133"/>
      <c r="AX28" s="133"/>
      <c r="AY28" s="134">
        <f t="shared" si="19"/>
        <v>-43.428146645563636</v>
      </c>
      <c r="AZ28" s="151">
        <f t="shared" si="20"/>
        <v>-40.737517595632369</v>
      </c>
      <c r="BA28" s="151">
        <f t="shared" si="21"/>
        <v>-35.210415939130058</v>
      </c>
      <c r="BB28" s="151">
        <f t="shared" si="22"/>
        <v>-32.688696222369288</v>
      </c>
      <c r="BC28" s="151">
        <f t="shared" si="23"/>
        <v>-41.384980148687582</v>
      </c>
      <c r="BD28" s="151">
        <f t="shared" si="24"/>
        <v>-44.801677833280422</v>
      </c>
      <c r="BE28" s="151">
        <f t="shared" si="25"/>
        <v>-43.428146645563636</v>
      </c>
      <c r="BF28" s="151">
        <f t="shared" si="26"/>
        <v>-43.428146645563636</v>
      </c>
      <c r="BG28" s="152">
        <f t="shared" si="27"/>
        <v>-43.428146645563636</v>
      </c>
      <c r="BH28" s="152">
        <f t="shared" si="28"/>
        <v>-43.428146645563636</v>
      </c>
      <c r="BI28" s="152">
        <f t="shared" si="29"/>
        <v>-43.428146645563636</v>
      </c>
      <c r="BJ28" s="152">
        <f t="shared" si="30"/>
        <v>-43.428146645563636</v>
      </c>
      <c r="BK28" s="152">
        <f t="shared" si="31"/>
        <v>-43.428146645563636</v>
      </c>
      <c r="BL28" s="152">
        <f t="shared" si="32"/>
        <v>-43.428146645563636</v>
      </c>
      <c r="BM28" s="153">
        <f t="shared" si="33"/>
        <v>-43.428146645563636</v>
      </c>
      <c r="BN28" s="133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3"/>
      <c r="BU28" s="133"/>
      <c r="BV28" s="139"/>
      <c r="BW28" s="139">
        <v>0</v>
      </c>
      <c r="BX28" s="139">
        <v>0</v>
      </c>
      <c r="BY28" s="139">
        <v>7</v>
      </c>
      <c r="BZ28" s="139">
        <v>10</v>
      </c>
      <c r="CA28" s="139">
        <v>10</v>
      </c>
      <c r="CB28" s="139"/>
      <c r="CC28" s="139"/>
      <c r="CD28" s="139"/>
      <c r="CE28" s="139"/>
      <c r="CF28" s="139"/>
      <c r="CG28" s="139"/>
      <c r="CH28" s="139"/>
      <c r="CI28" s="139"/>
      <c r="CJ28" s="139"/>
      <c r="CL28" s="133"/>
      <c r="CM28" s="139" t="s">
        <v>32</v>
      </c>
      <c r="CN28" s="139" t="s">
        <v>32</v>
      </c>
      <c r="CO28" s="139" t="s">
        <v>32</v>
      </c>
      <c r="CP28" s="139" t="s">
        <v>32</v>
      </c>
      <c r="CQ28" s="139" t="s">
        <v>32</v>
      </c>
      <c r="CR28" s="139" t="s">
        <v>32</v>
      </c>
      <c r="CS28" s="139"/>
      <c r="CT28" s="139"/>
      <c r="CU28" s="139"/>
      <c r="CV28" s="139"/>
      <c r="CW28" s="139"/>
      <c r="CX28" s="139"/>
      <c r="CY28" s="139"/>
      <c r="CZ28" s="139"/>
      <c r="DA28" s="139"/>
      <c r="DB28" s="133"/>
      <c r="DC28" s="133"/>
      <c r="DD28" s="154" cm="1">
        <f t="array" ref="DD28">_xlfn.IFS(DD$1= 0,"", NOT(ISBLANK(CM28)), 0, ISBLANK(CM28), $Q28-$S28+AY28-BV28)</f>
        <v>0</v>
      </c>
      <c r="DE28" s="155" cm="1">
        <f t="array" ref="DE28">_xlfn.IFS(DE$1= 0,"", NOT(ISBLANK(CN28)), 0, ISBLANK(CN28), $Q28-$S28+AZ28-BW28)</f>
        <v>0</v>
      </c>
      <c r="DF28" s="155" cm="1">
        <f t="array" ref="DF28">_xlfn.IFS(DF$1= 0,"", NOT(ISBLANK(CO28)), 0, ISBLANK(CO28), $Q28-$S28+BA28-BX28)</f>
        <v>0</v>
      </c>
      <c r="DG28" s="155" cm="1">
        <f t="array" ref="DG28">_xlfn.IFS(DG$1= 0,"", NOT(ISBLANK(CP28)), 0, ISBLANK(CP28), $Q28-$S28+BB28-BY28)</f>
        <v>0</v>
      </c>
      <c r="DH28" s="155" cm="1">
        <f t="array" ref="DH28">_xlfn.IFS(DH$1= 0,"", NOT(ISBLANK(CQ28)), 0, ISBLANK(CQ28), $Q28-$S28+BC28-BZ28)</f>
        <v>0</v>
      </c>
      <c r="DI28" s="155" cm="1">
        <f t="array" ref="DI28">_xlfn.IFS(DI$1= 0,"", NOT(ISBLANK(CR28)), 0, ISBLANK(CR28), $Q28-$S28+BD28-CA28)</f>
        <v>0</v>
      </c>
      <c r="DJ28" s="155" cm="1">
        <f t="array" ref="DJ28">_xlfn.IFS(DJ$1= 0,"", NOT(ISBLANK(CS28)), 0, ISBLANK(CS28), $Q28-$S28+BE28-CB28)</f>
        <v>22.571853354436364</v>
      </c>
      <c r="DK28" s="155" cm="1">
        <f t="array" ref="DK28">_xlfn.IFS(DK$1= 0,"", NOT(ISBLANK(CT28)), 0, ISBLANK(CT28), $Q28-$S28+BF28-CC28)</f>
        <v>22.571853354436364</v>
      </c>
      <c r="DL28" s="156" cm="1">
        <f t="array" ref="DL28">_xlfn.IFS(DL$1= 0,"", NOT(ISBLANK(CU28)), 0, ISBLANK(CU28), $Q28-$S28+BG28-CD28)</f>
        <v>22.571853354436364</v>
      </c>
      <c r="DM28" s="156" cm="1">
        <f t="array" ref="DM28">_xlfn.IFS(DM$1= 0,"", NOT(ISBLANK(CV28)), 0, ISBLANK(CV28), $Q28-$S28+BH28-CE28)</f>
        <v>22.571853354436364</v>
      </c>
      <c r="DN28" s="156" cm="1">
        <f t="array" ref="DN28">_xlfn.IFS(DN$1= 0,"", NOT(ISBLANK(CW28)), 0, ISBLANK(CW28), $Q28-$S28+BI28-CF28)</f>
        <v>22.571853354436364</v>
      </c>
      <c r="DO28" s="156" cm="1">
        <f t="array" ref="DO28">_xlfn.IFS(DO$1= 0,"", NOT(ISBLANK(CX28)), 0, ISBLANK(CX28), $Q28-$S28+BJ28-CG28)</f>
        <v>22.571853354436364</v>
      </c>
      <c r="DP28" s="142" cm="1">
        <f t="array" ref="DP28">_xlfn.IFS(DP$1= 0,"", NOT(ISBLANK(CY28)), 0, ISBLANK(CY28), $Q28-$S28+BK28-CH28)</f>
        <v>22.571853354436364</v>
      </c>
      <c r="DQ28" s="142" cm="1">
        <f t="array" ref="DQ28">_xlfn.IFS(DQ$1= 0,"", NOT(ISBLANK(CZ28)), 0, ISBLANK(CZ28), $Q28-$S28+BL28-CI28)</f>
        <v>22.571853354436364</v>
      </c>
      <c r="DR28" s="143" cm="1">
        <f t="array" ref="DR28">_xlfn.IFS(DR$1= 0,"", NOT(ISBLANK(DA28)), 0, ISBLANK(DA28), $Q28-$S28+BM28-CJ28)</f>
        <v>22.571853354436364</v>
      </c>
    </row>
    <row r="29" spans="1:122" ht="16.5" customHeight="1" x14ac:dyDescent="0.3">
      <c r="A29" s="214">
        <v>1</v>
      </c>
      <c r="B29" s="144" t="s">
        <v>127</v>
      </c>
      <c r="C29" s="144" t="s">
        <v>98</v>
      </c>
      <c r="D29" s="145" t="s">
        <v>95</v>
      </c>
      <c r="E29" s="196" t="s">
        <v>114</v>
      </c>
      <c r="F29" s="204"/>
      <c r="G29" s="205"/>
      <c r="H29" s="205"/>
      <c r="I29" s="205"/>
      <c r="J29" s="205"/>
      <c r="K29" s="205"/>
      <c r="L29" s="205"/>
      <c r="M29" s="209"/>
      <c r="N29" s="204">
        <v>57.392737795737183</v>
      </c>
      <c r="O29" s="206">
        <v>0</v>
      </c>
      <c r="P29" s="199">
        <v>1</v>
      </c>
      <c r="Q29" s="127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6">
        <v>2</v>
      </c>
      <c r="Z29" s="115" t="s">
        <v>139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6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8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8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8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8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8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8">
        <f t="array" ref="AN29">IF(AN$1=0,"",SQRT((_xlfn.XLOOKUP(AN$1,$Z$2:$Z$18,$AA$2:$AA$18)-$T29)^2+(_xlfn.XLOOKUP(AN$1,$Z$2:$Z$18,$AB$2:$AB$18)-$U29)^2+(_xlfn.XLOOKUP(AN$1,$Z$2:$Z$18,$AC$2:$AC$18-$V29)^2)))</f>
        <v>194.58811500191885</v>
      </c>
      <c r="AO29" s="148">
        <f t="array" ref="AO29">IF(AO$1=0,"",SQRT((_xlfn.XLOOKUP(AO$1,$Z$2:$Z$18,$AA$2:$AA$18)-$T29)^2+(_xlfn.XLOOKUP(AO$1,$Z$2:$Z$18,$AB$2:$AB$18)-$U29)^2+(_xlfn.XLOOKUP(AO$1,$Z$2:$Z$18,$AC$2:$AC$18-$V29)^2)))</f>
        <v>194.58811500191885</v>
      </c>
      <c r="AP29" s="149">
        <f t="array" ref="AP29">IF(AP$1=0,"",SQRT((_xlfn.XLOOKUP(AP$1,$Z$2:$Z$18,$AA$2:$AA$18)-$T29)^2+(_xlfn.XLOOKUP(AP$1,$Z$2:$Z$18,$AB$2:$AB$18)-$U29)^2+(_xlfn.XLOOKUP(AP$1,$Z$2:$Z$18,$AC$2:$AC$18-$V29)^2)))</f>
        <v>194.58811500191885</v>
      </c>
      <c r="AQ29" s="149">
        <f t="array" ref="AQ29">IF(AQ$1=0,"",SQRT((_xlfn.XLOOKUP(AQ$1,$Z$2:$Z$18,$AA$2:$AA$18)-$T29)^2+(_xlfn.XLOOKUP(AQ$1,$Z$2:$Z$18,$AB$2:$AB$18)-$U29)^2+(_xlfn.XLOOKUP(AQ$1,$Z$2:$Z$18,$AC$2:$AC$18-$V29)^2)))</f>
        <v>194.58811500191885</v>
      </c>
      <c r="AR29" s="149">
        <f t="array" ref="AR29">IF(AR$1=0,"",SQRT((_xlfn.XLOOKUP(AR$1,$Z$2:$Z$18,$AA$2:$AA$18)-$T29)^2+(_xlfn.XLOOKUP(AR$1,$Z$2:$Z$18,$AB$2:$AB$18)-$U29)^2+(_xlfn.XLOOKUP(AR$1,$Z$2:$Z$18,$AC$2:$AC$18-$V29)^2)))</f>
        <v>194.58811500191885</v>
      </c>
      <c r="AS29" s="149">
        <f t="array" ref="AS29">IF(AS$1=0,"",SQRT((_xlfn.XLOOKUP(AS$1,$Z$2:$Z$18,$AA$2:$AA$18)-$T29)^2+(_xlfn.XLOOKUP(AS$1,$Z$2:$Z$18,$AB$2:$AB$18)-$U29)^2+(_xlfn.XLOOKUP(AS$1,$Z$2:$Z$18,$AC$2:$AC$18-$V29)^2)))</f>
        <v>194.58811500191885</v>
      </c>
      <c r="AT29" s="149">
        <f t="array" ref="AT29">IF(AT$1=0,"",SQRT((_xlfn.XLOOKUP(AT$1,$Z$2:$Z$18,$AA$2:$AA$18)-$T29)^2+(_xlfn.XLOOKUP(AT$1,$Z$2:$Z$18,$AB$2:$AB$18)-$U29)^2+(_xlfn.XLOOKUP(AT$1,$Z$2:$Z$18,$AC$2:$AC$18-$V29)^2)))</f>
        <v>194.58811500191885</v>
      </c>
      <c r="AU29" s="149">
        <f t="array" ref="AU29">IF(AU$1=0,"",SQRT((_xlfn.XLOOKUP(AU$1,$Z$2:$Z$18,$AA$2:$AA$18)-$T29)^2+(_xlfn.XLOOKUP(AU$1,$Z$2:$Z$18,$AB$2:$AB$18)-$U29)^2+(_xlfn.XLOOKUP(AU$1,$Z$2:$Z$18,$AC$2:$AC$18-$V29)^2)))</f>
        <v>194.58811500191885</v>
      </c>
      <c r="AV29" s="150">
        <f t="array" ref="AV29">IF(AV$1=0,"",SQRT((_xlfn.XLOOKUP(AV$1,$Z$2:$Z$18,$AA$2:$AA$18)-$T29)^2+(_xlfn.XLOOKUP(AV$1,$Z$2:$Z$18,$AB$2:$AB$18)-$U29)^2+(_xlfn.XLOOKUP(AV$1,$Z$2:$Z$18,$AC$2:$AC$18-$V29)^2)))</f>
        <v>194.58811500191885</v>
      </c>
      <c r="AW29" s="133"/>
      <c r="AX29" s="133"/>
      <c r="AY29" s="134">
        <f t="shared" si="19"/>
        <v>-43.444424157458826</v>
      </c>
      <c r="AZ29" s="151">
        <f t="shared" si="20"/>
        <v>-41.519119964577712</v>
      </c>
      <c r="BA29" s="151">
        <f t="shared" si="21"/>
        <v>-36.227509848147307</v>
      </c>
      <c r="BB29" s="151">
        <f t="shared" si="22"/>
        <v>-30.238415774098335</v>
      </c>
      <c r="BC29" s="151">
        <f t="shared" si="23"/>
        <v>-41.495407050608833</v>
      </c>
      <c r="BD29" s="151">
        <f t="shared" si="24"/>
        <v>-45.612383635968108</v>
      </c>
      <c r="BE29" s="151">
        <f t="shared" si="25"/>
        <v>-43.444424157458826</v>
      </c>
      <c r="BF29" s="151">
        <f t="shared" si="26"/>
        <v>-43.444424157458826</v>
      </c>
      <c r="BG29" s="152">
        <f t="shared" si="27"/>
        <v>-43.444424157458826</v>
      </c>
      <c r="BH29" s="152">
        <f t="shared" si="28"/>
        <v>-43.444424157458826</v>
      </c>
      <c r="BI29" s="152">
        <f t="shared" si="29"/>
        <v>-43.444424157458826</v>
      </c>
      <c r="BJ29" s="152">
        <f t="shared" si="30"/>
        <v>-43.444424157458826</v>
      </c>
      <c r="BK29" s="152">
        <f t="shared" si="31"/>
        <v>-43.444424157458826</v>
      </c>
      <c r="BL29" s="152">
        <f t="shared" si="32"/>
        <v>-43.444424157458826</v>
      </c>
      <c r="BM29" s="153">
        <f t="shared" si="33"/>
        <v>-43.444424157458826</v>
      </c>
      <c r="BN29" s="133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3"/>
      <c r="BU29" s="133"/>
      <c r="BV29" s="139"/>
      <c r="BW29" s="139">
        <v>0</v>
      </c>
      <c r="BX29" s="139">
        <v>0</v>
      </c>
      <c r="BY29" s="139">
        <v>0</v>
      </c>
      <c r="BZ29" s="139">
        <v>11</v>
      </c>
      <c r="CA29" s="139">
        <v>11</v>
      </c>
      <c r="CB29" s="139"/>
      <c r="CC29" s="139"/>
      <c r="CD29" s="139"/>
      <c r="CE29" s="139"/>
      <c r="CF29" s="139"/>
      <c r="CG29" s="139"/>
      <c r="CH29" s="139"/>
      <c r="CI29" s="139"/>
      <c r="CJ29" s="139"/>
      <c r="CL29" s="133"/>
      <c r="CM29" s="139" t="s">
        <v>32</v>
      </c>
      <c r="CN29" s="139" t="s">
        <v>32</v>
      </c>
      <c r="CO29" s="139" t="s">
        <v>32</v>
      </c>
      <c r="CP29" s="139" t="s">
        <v>32</v>
      </c>
      <c r="CQ29" s="139" t="s">
        <v>32</v>
      </c>
      <c r="CR29" s="139" t="s">
        <v>32</v>
      </c>
      <c r="CS29" s="139"/>
      <c r="CT29" s="139"/>
      <c r="CU29" s="139"/>
      <c r="CV29" s="139"/>
      <c r="CW29" s="139"/>
      <c r="CX29" s="139"/>
      <c r="CY29" s="139"/>
      <c r="CZ29" s="139"/>
      <c r="DA29" s="139"/>
      <c r="DB29" s="133"/>
      <c r="DC29" s="133"/>
      <c r="DD29" s="154" cm="1">
        <f t="array" ref="DD29">_xlfn.IFS(DD$1= 0,"", NOT(ISBLANK(CM29)), 0, ISBLANK(CM29), $Q29-$S29+AY29-BV29)</f>
        <v>0</v>
      </c>
      <c r="DE29" s="155" cm="1">
        <f t="array" ref="DE29">_xlfn.IFS(DE$1= 0,"", NOT(ISBLANK(CN29)), 0, ISBLANK(CN29), $Q29-$S29+AZ29-BW29)</f>
        <v>0</v>
      </c>
      <c r="DF29" s="155" cm="1">
        <f t="array" ref="DF29">_xlfn.IFS(DF$1= 0,"", NOT(ISBLANK(CO29)), 0, ISBLANK(CO29), $Q29-$S29+BA29-BX29)</f>
        <v>0</v>
      </c>
      <c r="DG29" s="155" cm="1">
        <f t="array" ref="DG29">_xlfn.IFS(DG$1= 0,"", NOT(ISBLANK(CP29)), 0, ISBLANK(CP29), $Q29-$S29+BB29-BY29)</f>
        <v>0</v>
      </c>
      <c r="DH29" s="155" cm="1">
        <f t="array" ref="DH29">_xlfn.IFS(DH$1= 0,"", NOT(ISBLANK(CQ29)), 0, ISBLANK(CQ29), $Q29-$S29+BC29-BZ29)</f>
        <v>0</v>
      </c>
      <c r="DI29" s="155" cm="1">
        <f t="array" ref="DI29">_xlfn.IFS(DI$1= 0,"", NOT(ISBLANK(CR29)), 0, ISBLANK(CR29), $Q29-$S29+BD29-CA29)</f>
        <v>0</v>
      </c>
      <c r="DJ29" s="155" cm="1">
        <f t="array" ref="DJ29">_xlfn.IFS(DJ$1= 0,"", NOT(ISBLANK(CS29)), 0, ISBLANK(CS29), $Q29-$S29+BE29-CB29)</f>
        <v>13.555575842541174</v>
      </c>
      <c r="DK29" s="155" cm="1">
        <f t="array" ref="DK29">_xlfn.IFS(DK$1= 0,"", NOT(ISBLANK(CT29)), 0, ISBLANK(CT29), $Q29-$S29+BF29-CC29)</f>
        <v>13.555575842541174</v>
      </c>
      <c r="DL29" s="156" cm="1">
        <f t="array" ref="DL29">_xlfn.IFS(DL$1= 0,"", NOT(ISBLANK(CU29)), 0, ISBLANK(CU29), $Q29-$S29+BG29-CD29)</f>
        <v>13.555575842541174</v>
      </c>
      <c r="DM29" s="156" cm="1">
        <f t="array" ref="DM29">_xlfn.IFS(DM$1= 0,"", NOT(ISBLANK(CV29)), 0, ISBLANK(CV29), $Q29-$S29+BH29-CE29)</f>
        <v>13.555575842541174</v>
      </c>
      <c r="DN29" s="156" cm="1">
        <f t="array" ref="DN29">_xlfn.IFS(DN$1= 0,"", NOT(ISBLANK(CW29)), 0, ISBLANK(CW29), $Q29-$S29+BI29-CF29)</f>
        <v>13.555575842541174</v>
      </c>
      <c r="DO29" s="156" cm="1">
        <f t="array" ref="DO29">_xlfn.IFS(DO$1= 0,"", NOT(ISBLANK(CX29)), 0, ISBLANK(CX29), $Q29-$S29+BJ29-CG29)</f>
        <v>13.555575842541174</v>
      </c>
      <c r="DP29" s="142" cm="1">
        <f t="array" ref="DP29">_xlfn.IFS(DP$1= 0,"", NOT(ISBLANK(CY29)), 0, ISBLANK(CY29), $Q29-$S29+BK29-CH29)</f>
        <v>13.555575842541174</v>
      </c>
      <c r="DQ29" s="142" cm="1">
        <f t="array" ref="DQ29">_xlfn.IFS(DQ$1= 0,"", NOT(ISBLANK(CZ29)), 0, ISBLANK(CZ29), $Q29-$S29+BL29-CI29)</f>
        <v>13.555575842541174</v>
      </c>
      <c r="DR29" s="143" cm="1">
        <f t="array" ref="DR29">_xlfn.IFS(DR$1= 0,"", NOT(ISBLANK(DA29)), 0, ISBLANK(DA29), $Q29-$S29+BM29-CJ29)</f>
        <v>13.555575842541174</v>
      </c>
    </row>
    <row r="30" spans="1:122" ht="16.5" customHeight="1" x14ac:dyDescent="0.3">
      <c r="A30" s="214">
        <v>1</v>
      </c>
      <c r="B30" s="144" t="s">
        <v>128</v>
      </c>
      <c r="C30" s="144" t="s">
        <v>98</v>
      </c>
      <c r="D30" s="145" t="s">
        <v>95</v>
      </c>
      <c r="E30" s="196" t="s">
        <v>114</v>
      </c>
      <c r="F30" s="204"/>
      <c r="G30" s="205"/>
      <c r="H30" s="205"/>
      <c r="I30" s="205"/>
      <c r="J30" s="205"/>
      <c r="K30" s="205"/>
      <c r="L30" s="205"/>
      <c r="M30" s="209"/>
      <c r="N30" s="204">
        <v>57.392737795737183</v>
      </c>
      <c r="O30" s="206">
        <v>0</v>
      </c>
      <c r="P30" s="199">
        <v>1</v>
      </c>
      <c r="Q30" s="127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6">
        <v>2</v>
      </c>
      <c r="Z30" s="115" t="s">
        <v>140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6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8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8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8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8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8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8">
        <f t="array" ref="AN30">IF(AN$1=0,"",SQRT((_xlfn.XLOOKUP(AN$1,$Z$2:$Z$18,$AA$2:$AA$18)-$T30)^2+(_xlfn.XLOOKUP(AN$1,$Z$2:$Z$18,$AB$2:$AB$18)-$U30)^2+(_xlfn.XLOOKUP(AN$1,$Z$2:$Z$18,$AC$2:$AC$18-$V30)^2)))</f>
        <v>234.77316477825997</v>
      </c>
      <c r="AO30" s="148">
        <f t="array" ref="AO30">IF(AO$1=0,"",SQRT((_xlfn.XLOOKUP(AO$1,$Z$2:$Z$18,$AA$2:$AA$18)-$T30)^2+(_xlfn.XLOOKUP(AO$1,$Z$2:$Z$18,$AB$2:$AB$18)-$U30)^2+(_xlfn.XLOOKUP(AO$1,$Z$2:$Z$18,$AC$2:$AC$18-$V30)^2)))</f>
        <v>234.77316477825997</v>
      </c>
      <c r="AP30" s="149">
        <f t="array" ref="AP30">IF(AP$1=0,"",SQRT((_xlfn.XLOOKUP(AP$1,$Z$2:$Z$18,$AA$2:$AA$18)-$T30)^2+(_xlfn.XLOOKUP(AP$1,$Z$2:$Z$18,$AB$2:$AB$18)-$U30)^2+(_xlfn.XLOOKUP(AP$1,$Z$2:$Z$18,$AC$2:$AC$18-$V30)^2)))</f>
        <v>234.77316477825997</v>
      </c>
      <c r="AQ30" s="149">
        <f t="array" ref="AQ30">IF(AQ$1=0,"",SQRT((_xlfn.XLOOKUP(AQ$1,$Z$2:$Z$18,$AA$2:$AA$18)-$T30)^2+(_xlfn.XLOOKUP(AQ$1,$Z$2:$Z$18,$AB$2:$AB$18)-$U30)^2+(_xlfn.XLOOKUP(AQ$1,$Z$2:$Z$18,$AC$2:$AC$18-$V30)^2)))</f>
        <v>234.77316477825997</v>
      </c>
      <c r="AR30" s="149">
        <f t="array" ref="AR30">IF(AR$1=0,"",SQRT((_xlfn.XLOOKUP(AR$1,$Z$2:$Z$18,$AA$2:$AA$18)-$T30)^2+(_xlfn.XLOOKUP(AR$1,$Z$2:$Z$18,$AB$2:$AB$18)-$U30)^2+(_xlfn.XLOOKUP(AR$1,$Z$2:$Z$18,$AC$2:$AC$18-$V30)^2)))</f>
        <v>234.77316477825997</v>
      </c>
      <c r="AS30" s="149">
        <f t="array" ref="AS30">IF(AS$1=0,"",SQRT((_xlfn.XLOOKUP(AS$1,$Z$2:$Z$18,$AA$2:$AA$18)-$T30)^2+(_xlfn.XLOOKUP(AS$1,$Z$2:$Z$18,$AB$2:$AB$18)-$U30)^2+(_xlfn.XLOOKUP(AS$1,$Z$2:$Z$18,$AC$2:$AC$18-$V30)^2)))</f>
        <v>234.77316477825997</v>
      </c>
      <c r="AT30" s="149">
        <f t="array" ref="AT30">IF(AT$1=0,"",SQRT((_xlfn.XLOOKUP(AT$1,$Z$2:$Z$18,$AA$2:$AA$18)-$T30)^2+(_xlfn.XLOOKUP(AT$1,$Z$2:$Z$18,$AB$2:$AB$18)-$U30)^2+(_xlfn.XLOOKUP(AT$1,$Z$2:$Z$18,$AC$2:$AC$18-$V30)^2)))</f>
        <v>234.77316477825997</v>
      </c>
      <c r="AU30" s="149">
        <f t="array" ref="AU30">IF(AU$1=0,"",SQRT((_xlfn.XLOOKUP(AU$1,$Z$2:$Z$18,$AA$2:$AA$18)-$T30)^2+(_xlfn.XLOOKUP(AU$1,$Z$2:$Z$18,$AB$2:$AB$18)-$U30)^2+(_xlfn.XLOOKUP(AU$1,$Z$2:$Z$18,$AC$2:$AC$18-$V30)^2)))</f>
        <v>234.77316477825997</v>
      </c>
      <c r="AV30" s="150">
        <f t="array" ref="AV30">IF(AV$1=0,"",SQRT((_xlfn.XLOOKUP(AV$1,$Z$2:$Z$18,$AA$2:$AA$18)-$T30)^2+(_xlfn.XLOOKUP(AV$1,$Z$2:$Z$18,$AB$2:$AB$18)-$U30)^2+(_xlfn.XLOOKUP(AV$1,$Z$2:$Z$18,$AC$2:$AC$18-$V30)^2)))</f>
        <v>234.77316477825997</v>
      </c>
      <c r="AW30" s="133"/>
      <c r="AX30" s="133"/>
      <c r="AY30" s="134">
        <f t="shared" si="19"/>
        <v>-45.075067023983863</v>
      </c>
      <c r="AZ30" s="151">
        <f t="shared" si="20"/>
        <v>-43.37856992063805</v>
      </c>
      <c r="BA30" s="151">
        <f t="shared" si="21"/>
        <v>-39.344267514330525</v>
      </c>
      <c r="BB30" s="151">
        <f t="shared" si="22"/>
        <v>-23.759827924746016</v>
      </c>
      <c r="BC30" s="151">
        <f t="shared" si="23"/>
        <v>-38.890492446130118</v>
      </c>
      <c r="BD30" s="151">
        <f t="shared" si="24"/>
        <v>-46.400016945432725</v>
      </c>
      <c r="BE30" s="151">
        <f t="shared" si="25"/>
        <v>-45.075067023983863</v>
      </c>
      <c r="BF30" s="151">
        <f t="shared" si="26"/>
        <v>-45.075067023983863</v>
      </c>
      <c r="BG30" s="152">
        <f t="shared" si="27"/>
        <v>-45.075067023983863</v>
      </c>
      <c r="BH30" s="152">
        <f t="shared" si="28"/>
        <v>-45.075067023983863</v>
      </c>
      <c r="BI30" s="152">
        <f t="shared" si="29"/>
        <v>-45.075067023983863</v>
      </c>
      <c r="BJ30" s="152">
        <f t="shared" si="30"/>
        <v>-45.075067023983863</v>
      </c>
      <c r="BK30" s="152">
        <f t="shared" si="31"/>
        <v>-45.075067023983863</v>
      </c>
      <c r="BL30" s="152">
        <f t="shared" si="32"/>
        <v>-45.075067023983863</v>
      </c>
      <c r="BM30" s="153">
        <f t="shared" si="33"/>
        <v>-45.075067023983863</v>
      </c>
      <c r="BN30" s="133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3"/>
      <c r="BU30" s="133"/>
      <c r="BV30" s="139"/>
      <c r="BW30" s="139">
        <v>1</v>
      </c>
      <c r="BX30" s="139">
        <v>12</v>
      </c>
      <c r="BY30" s="139">
        <v>8</v>
      </c>
      <c r="BZ30" s="139">
        <v>7</v>
      </c>
      <c r="CA30" s="139">
        <v>10</v>
      </c>
      <c r="CB30" s="139"/>
      <c r="CC30" s="139"/>
      <c r="CD30" s="139"/>
      <c r="CE30" s="139"/>
      <c r="CF30" s="139"/>
      <c r="CG30" s="139"/>
      <c r="CH30" s="139"/>
      <c r="CI30" s="139"/>
      <c r="CJ30" s="139"/>
      <c r="CL30" s="133"/>
      <c r="CM30" s="139" t="s">
        <v>32</v>
      </c>
      <c r="CN30" s="139" t="s">
        <v>32</v>
      </c>
      <c r="CO30" s="139" t="s">
        <v>32</v>
      </c>
      <c r="CP30" s="139" t="s">
        <v>32</v>
      </c>
      <c r="CQ30" s="139" t="s">
        <v>32</v>
      </c>
      <c r="CR30" s="139" t="s">
        <v>32</v>
      </c>
      <c r="CS30" s="139"/>
      <c r="CT30" s="139"/>
      <c r="CU30" s="139"/>
      <c r="CV30" s="139"/>
      <c r="CW30" s="139"/>
      <c r="CX30" s="139"/>
      <c r="CY30" s="139"/>
      <c r="CZ30" s="139"/>
      <c r="DA30" s="139"/>
      <c r="DB30" s="133"/>
      <c r="DC30" s="133"/>
      <c r="DD30" s="154" cm="1">
        <f t="array" ref="DD30">_xlfn.IFS(DD$1= 0,"", NOT(ISBLANK(CM30)), 0, ISBLANK(CM30), $Q30-$S30+AY30-BV30)</f>
        <v>0</v>
      </c>
      <c r="DE30" s="155" cm="1">
        <f t="array" ref="DE30">_xlfn.IFS(DE$1= 0,"", NOT(ISBLANK(CN30)), 0, ISBLANK(CN30), $Q30-$S30+AZ30-BW30)</f>
        <v>0</v>
      </c>
      <c r="DF30" s="155" cm="1">
        <f t="array" ref="DF30">_xlfn.IFS(DF$1= 0,"", NOT(ISBLANK(CO30)), 0, ISBLANK(CO30), $Q30-$S30+BA30-BX30)</f>
        <v>0</v>
      </c>
      <c r="DG30" s="155" cm="1">
        <f t="array" ref="DG30">_xlfn.IFS(DG$1= 0,"", NOT(ISBLANK(CP30)), 0, ISBLANK(CP30), $Q30-$S30+BB30-BY30)</f>
        <v>0</v>
      </c>
      <c r="DH30" s="155" cm="1">
        <f t="array" ref="DH30">_xlfn.IFS(DH$1= 0,"", NOT(ISBLANK(CQ30)), 0, ISBLANK(CQ30), $Q30-$S30+BC30-BZ30)</f>
        <v>0</v>
      </c>
      <c r="DI30" s="155" cm="1">
        <f t="array" ref="DI30">_xlfn.IFS(DI$1= 0,"", NOT(ISBLANK(CR30)), 0, ISBLANK(CR30), $Q30-$S30+BD30-CA30)</f>
        <v>0</v>
      </c>
      <c r="DJ30" s="155" cm="1">
        <f t="array" ref="DJ30">_xlfn.IFS(DJ$1= 0,"", NOT(ISBLANK(CS30)), 0, ISBLANK(CS30), $Q30-$S30+BE30-CB30)</f>
        <v>11.924932976016137</v>
      </c>
      <c r="DK30" s="155" cm="1">
        <f t="array" ref="DK30">_xlfn.IFS(DK$1= 0,"", NOT(ISBLANK(CT30)), 0, ISBLANK(CT30), $Q30-$S30+BF30-CC30)</f>
        <v>11.924932976016137</v>
      </c>
      <c r="DL30" s="156" cm="1">
        <f t="array" ref="DL30">_xlfn.IFS(DL$1= 0,"", NOT(ISBLANK(CU30)), 0, ISBLANK(CU30), $Q30-$S30+BG30-CD30)</f>
        <v>11.924932976016137</v>
      </c>
      <c r="DM30" s="156" cm="1">
        <f t="array" ref="DM30">_xlfn.IFS(DM$1= 0,"", NOT(ISBLANK(CV30)), 0, ISBLANK(CV30), $Q30-$S30+BH30-CE30)</f>
        <v>11.924932976016137</v>
      </c>
      <c r="DN30" s="156" cm="1">
        <f t="array" ref="DN30">_xlfn.IFS(DN$1= 0,"", NOT(ISBLANK(CW30)), 0, ISBLANK(CW30), $Q30-$S30+BI30-CF30)</f>
        <v>11.924932976016137</v>
      </c>
      <c r="DO30" s="156" cm="1">
        <f t="array" ref="DO30">_xlfn.IFS(DO$1= 0,"", NOT(ISBLANK(CX30)), 0, ISBLANK(CX30), $Q30-$S30+BJ30-CG30)</f>
        <v>11.924932976016137</v>
      </c>
      <c r="DP30" s="142" cm="1">
        <f t="array" ref="DP30">_xlfn.IFS(DP$1= 0,"", NOT(ISBLANK(CY30)), 0, ISBLANK(CY30), $Q30-$S30+BK30-CH30)</f>
        <v>11.924932976016137</v>
      </c>
      <c r="DQ30" s="142" cm="1">
        <f t="array" ref="DQ30">_xlfn.IFS(DQ$1= 0,"", NOT(ISBLANK(CZ30)), 0, ISBLANK(CZ30), $Q30-$S30+BL30-CI30)</f>
        <v>11.924932976016137</v>
      </c>
      <c r="DR30" s="143" cm="1">
        <f t="array" ref="DR30">_xlfn.IFS(DR$1= 0,"", NOT(ISBLANK(DA30)), 0, ISBLANK(DA30), $Q30-$S30+BM30-CJ30)</f>
        <v>11.924932976016137</v>
      </c>
    </row>
    <row r="31" spans="1:122" ht="16.5" customHeight="1" x14ac:dyDescent="0.3">
      <c r="A31" s="214">
        <v>1</v>
      </c>
      <c r="B31" s="144" t="s">
        <v>129</v>
      </c>
      <c r="C31" s="144" t="s">
        <v>98</v>
      </c>
      <c r="D31" s="145" t="s">
        <v>95</v>
      </c>
      <c r="E31" s="196" t="s">
        <v>115</v>
      </c>
      <c r="F31" s="204"/>
      <c r="G31" s="205"/>
      <c r="H31" s="205"/>
      <c r="I31" s="205"/>
      <c r="J31" s="205"/>
      <c r="K31" s="205"/>
      <c r="L31" s="205"/>
      <c r="M31" s="209"/>
      <c r="N31" s="204">
        <v>65.873120921161103</v>
      </c>
      <c r="O31" s="206">
        <v>0</v>
      </c>
      <c r="P31" s="199">
        <v>1</v>
      </c>
      <c r="Q31" s="127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6">
        <v>2</v>
      </c>
      <c r="Z31" s="115" t="s">
        <v>141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6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8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8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8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8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8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8">
        <f t="array" ref="AN31">IF(AN$1=0,"",SQRT((_xlfn.XLOOKUP(AN$1,$Z$2:$Z$18,$AA$2:$AA$18)-$T31)^2+(_xlfn.XLOOKUP(AN$1,$Z$2:$Z$18,$AB$2:$AB$18)-$U31)^2+(_xlfn.XLOOKUP(AN$1,$Z$2:$Z$18,$AC$2:$AC$18-$V31)^2)))</f>
        <v>238.45702526870539</v>
      </c>
      <c r="AO31" s="148">
        <f t="array" ref="AO31">IF(AO$1=0,"",SQRT((_xlfn.XLOOKUP(AO$1,$Z$2:$Z$18,$AA$2:$AA$18)-$T31)^2+(_xlfn.XLOOKUP(AO$1,$Z$2:$Z$18,$AB$2:$AB$18)-$U31)^2+(_xlfn.XLOOKUP(AO$1,$Z$2:$Z$18,$AC$2:$AC$18-$V31)^2)))</f>
        <v>238.45702526870539</v>
      </c>
      <c r="AP31" s="149">
        <f t="array" ref="AP31">IF(AP$1=0,"",SQRT((_xlfn.XLOOKUP(AP$1,$Z$2:$Z$18,$AA$2:$AA$18)-$T31)^2+(_xlfn.XLOOKUP(AP$1,$Z$2:$Z$18,$AB$2:$AB$18)-$U31)^2+(_xlfn.XLOOKUP(AP$1,$Z$2:$Z$18,$AC$2:$AC$18-$V31)^2)))</f>
        <v>238.45702526870539</v>
      </c>
      <c r="AQ31" s="149">
        <f t="array" ref="AQ31">IF(AQ$1=0,"",SQRT((_xlfn.XLOOKUP(AQ$1,$Z$2:$Z$18,$AA$2:$AA$18)-$T31)^2+(_xlfn.XLOOKUP(AQ$1,$Z$2:$Z$18,$AB$2:$AB$18)-$U31)^2+(_xlfn.XLOOKUP(AQ$1,$Z$2:$Z$18,$AC$2:$AC$18-$V31)^2)))</f>
        <v>238.45702526870539</v>
      </c>
      <c r="AR31" s="149">
        <f t="array" ref="AR31">IF(AR$1=0,"",SQRT((_xlfn.XLOOKUP(AR$1,$Z$2:$Z$18,$AA$2:$AA$18)-$T31)^2+(_xlfn.XLOOKUP(AR$1,$Z$2:$Z$18,$AB$2:$AB$18)-$U31)^2+(_xlfn.XLOOKUP(AR$1,$Z$2:$Z$18,$AC$2:$AC$18-$V31)^2)))</f>
        <v>238.45702526870539</v>
      </c>
      <c r="AS31" s="149">
        <f t="array" ref="AS31">IF(AS$1=0,"",SQRT((_xlfn.XLOOKUP(AS$1,$Z$2:$Z$18,$AA$2:$AA$18)-$T31)^2+(_xlfn.XLOOKUP(AS$1,$Z$2:$Z$18,$AB$2:$AB$18)-$U31)^2+(_xlfn.XLOOKUP(AS$1,$Z$2:$Z$18,$AC$2:$AC$18-$V31)^2)))</f>
        <v>238.45702526870539</v>
      </c>
      <c r="AT31" s="149">
        <f t="array" ref="AT31">IF(AT$1=0,"",SQRT((_xlfn.XLOOKUP(AT$1,$Z$2:$Z$18,$AA$2:$AA$18)-$T31)^2+(_xlfn.XLOOKUP(AT$1,$Z$2:$Z$18,$AB$2:$AB$18)-$U31)^2+(_xlfn.XLOOKUP(AT$1,$Z$2:$Z$18,$AC$2:$AC$18-$V31)^2)))</f>
        <v>238.45702526870539</v>
      </c>
      <c r="AU31" s="149">
        <f t="array" ref="AU31">IF(AU$1=0,"",SQRT((_xlfn.XLOOKUP(AU$1,$Z$2:$Z$18,$AA$2:$AA$18)-$T31)^2+(_xlfn.XLOOKUP(AU$1,$Z$2:$Z$18,$AB$2:$AB$18)-$U31)^2+(_xlfn.XLOOKUP(AU$1,$Z$2:$Z$18,$AC$2:$AC$18-$V31)^2)))</f>
        <v>238.45702526870539</v>
      </c>
      <c r="AV31" s="150">
        <f t="array" ref="AV31">IF(AV$1=0,"",SQRT((_xlfn.XLOOKUP(AV$1,$Z$2:$Z$18,$AA$2:$AA$18)-$T31)^2+(_xlfn.XLOOKUP(AV$1,$Z$2:$Z$18,$AB$2:$AB$18)-$U31)^2+(_xlfn.XLOOKUP(AV$1,$Z$2:$Z$18,$AC$2:$AC$18-$V31)^2)))</f>
        <v>238.45702526870539</v>
      </c>
      <c r="AW31" s="133"/>
      <c r="AX31" s="133"/>
      <c r="AY31" s="134">
        <f t="shared" si="19"/>
        <v>-45.210300374237306</v>
      </c>
      <c r="AZ31" s="151">
        <f t="shared" si="20"/>
        <v>-43.051483386795766</v>
      </c>
      <c r="BA31" s="151">
        <f t="shared" si="21"/>
        <v>-39.146041160868727</v>
      </c>
      <c r="BB31" s="151">
        <f t="shared" si="22"/>
        <v>-30.27922667706742</v>
      </c>
      <c r="BC31" s="151">
        <f t="shared" si="23"/>
        <v>-38.330914466755416</v>
      </c>
      <c r="BD31" s="151">
        <f t="shared" si="24"/>
        <v>-45.800157999085378</v>
      </c>
      <c r="BE31" s="151">
        <f t="shared" si="25"/>
        <v>-45.210300374237306</v>
      </c>
      <c r="BF31" s="151">
        <f t="shared" si="26"/>
        <v>-45.210300374237306</v>
      </c>
      <c r="BG31" s="152">
        <f t="shared" si="27"/>
        <v>-45.210300374237306</v>
      </c>
      <c r="BH31" s="152">
        <f t="shared" si="28"/>
        <v>-45.210300374237306</v>
      </c>
      <c r="BI31" s="152">
        <f t="shared" si="29"/>
        <v>-45.210300374237306</v>
      </c>
      <c r="BJ31" s="152">
        <f t="shared" si="30"/>
        <v>-45.210300374237306</v>
      </c>
      <c r="BK31" s="152">
        <f t="shared" si="31"/>
        <v>-45.210300374237306</v>
      </c>
      <c r="BL31" s="152">
        <f t="shared" si="32"/>
        <v>-45.210300374237306</v>
      </c>
      <c r="BM31" s="153">
        <f t="shared" si="33"/>
        <v>-45.210300374237306</v>
      </c>
      <c r="BN31" s="133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3"/>
      <c r="BU31" s="133"/>
      <c r="BV31" s="139"/>
      <c r="BW31" s="139">
        <v>1</v>
      </c>
      <c r="BX31" s="139">
        <v>12</v>
      </c>
      <c r="BY31" s="139">
        <v>14</v>
      </c>
      <c r="BZ31" s="139">
        <v>0</v>
      </c>
      <c r="CA31" s="139">
        <v>9</v>
      </c>
      <c r="CB31" s="139"/>
      <c r="CC31" s="139"/>
      <c r="CD31" s="139"/>
      <c r="CE31" s="139"/>
      <c r="CF31" s="139"/>
      <c r="CG31" s="139"/>
      <c r="CH31" s="139"/>
      <c r="CI31" s="139"/>
      <c r="CJ31" s="139"/>
      <c r="CL31" s="133"/>
      <c r="CM31" s="139" t="s">
        <v>32</v>
      </c>
      <c r="CN31" s="139" t="s">
        <v>32</v>
      </c>
      <c r="CO31" s="139" t="s">
        <v>32</v>
      </c>
      <c r="CP31" s="139" t="s">
        <v>32</v>
      </c>
      <c r="CQ31" s="139" t="s">
        <v>32</v>
      </c>
      <c r="CR31" s="139" t="s">
        <v>32</v>
      </c>
      <c r="CS31" s="139"/>
      <c r="CT31" s="139"/>
      <c r="CU31" s="139"/>
      <c r="CV31" s="139"/>
      <c r="CW31" s="139"/>
      <c r="CX31" s="139"/>
      <c r="CY31" s="139"/>
      <c r="CZ31" s="139"/>
      <c r="DA31" s="139"/>
      <c r="DB31" s="133"/>
      <c r="DC31" s="133"/>
      <c r="DD31" s="154" cm="1">
        <f t="array" ref="DD31">_xlfn.IFS(DD$1= 0,"", NOT(ISBLANK(CM31)), 0, ISBLANK(CM31), $Q31-$S31+AY31-BV31)</f>
        <v>0</v>
      </c>
      <c r="DE31" s="155" cm="1">
        <f t="array" ref="DE31">_xlfn.IFS(DE$1= 0,"", NOT(ISBLANK(CN31)), 0, ISBLANK(CN31), $Q31-$S31+AZ31-BW31)</f>
        <v>0</v>
      </c>
      <c r="DF31" s="155" cm="1">
        <f t="array" ref="DF31">_xlfn.IFS(DF$1= 0,"", NOT(ISBLANK(CO31)), 0, ISBLANK(CO31), $Q31-$S31+BA31-BX31)</f>
        <v>0</v>
      </c>
      <c r="DG31" s="155" cm="1">
        <f t="array" ref="DG31">_xlfn.IFS(DG$1= 0,"", NOT(ISBLANK(CP31)), 0, ISBLANK(CP31), $Q31-$S31+BB31-BY31)</f>
        <v>0</v>
      </c>
      <c r="DH31" s="155" cm="1">
        <f t="array" ref="DH31">_xlfn.IFS(DH$1= 0,"", NOT(ISBLANK(CQ31)), 0, ISBLANK(CQ31), $Q31-$S31+BC31-BZ31)</f>
        <v>0</v>
      </c>
      <c r="DI31" s="155" cm="1">
        <f t="array" ref="DI31">_xlfn.IFS(DI$1= 0,"", NOT(ISBLANK(CR31)), 0, ISBLANK(CR31), $Q31-$S31+BD31-CA31)</f>
        <v>0</v>
      </c>
      <c r="DJ31" s="155" cm="1">
        <f t="array" ref="DJ31">_xlfn.IFS(DJ$1= 0,"", NOT(ISBLANK(CS31)), 0, ISBLANK(CS31), $Q31-$S31+BE31-CB31)</f>
        <v>20.789699625762694</v>
      </c>
      <c r="DK31" s="155" cm="1">
        <f t="array" ref="DK31">_xlfn.IFS(DK$1= 0,"", NOT(ISBLANK(CT31)), 0, ISBLANK(CT31), $Q31-$S31+BF31-CC31)</f>
        <v>20.789699625762694</v>
      </c>
      <c r="DL31" s="156" cm="1">
        <f t="array" ref="DL31">_xlfn.IFS(DL$1= 0,"", NOT(ISBLANK(CU31)), 0, ISBLANK(CU31), $Q31-$S31+BG31-CD31)</f>
        <v>20.789699625762694</v>
      </c>
      <c r="DM31" s="156" cm="1">
        <f t="array" ref="DM31">_xlfn.IFS(DM$1= 0,"", NOT(ISBLANK(CV31)), 0, ISBLANK(CV31), $Q31-$S31+BH31-CE31)</f>
        <v>20.789699625762694</v>
      </c>
      <c r="DN31" s="156" cm="1">
        <f t="array" ref="DN31">_xlfn.IFS(DN$1= 0,"", NOT(ISBLANK(CW31)), 0, ISBLANK(CW31), $Q31-$S31+BI31-CF31)</f>
        <v>20.789699625762694</v>
      </c>
      <c r="DO31" s="156" cm="1">
        <f t="array" ref="DO31">_xlfn.IFS(DO$1= 0,"", NOT(ISBLANK(CX31)), 0, ISBLANK(CX31), $Q31-$S31+BJ31-CG31)</f>
        <v>20.789699625762694</v>
      </c>
      <c r="DP31" s="142" cm="1">
        <f t="array" ref="DP31">_xlfn.IFS(DP$1= 0,"", NOT(ISBLANK(CY31)), 0, ISBLANK(CY31), $Q31-$S31+BK31-CH31)</f>
        <v>20.789699625762694</v>
      </c>
      <c r="DQ31" s="142" cm="1">
        <f t="array" ref="DQ31">_xlfn.IFS(DQ$1= 0,"", NOT(ISBLANK(CZ31)), 0, ISBLANK(CZ31), $Q31-$S31+BL31-CI31)</f>
        <v>20.789699625762694</v>
      </c>
      <c r="DR31" s="143" cm="1">
        <f t="array" ref="DR31">_xlfn.IFS(DR$1= 0,"", NOT(ISBLANK(DA31)), 0, ISBLANK(DA31), $Q31-$S31+BM31-CJ31)</f>
        <v>20.789699625762694</v>
      </c>
    </row>
    <row r="32" spans="1:122" ht="16.5" customHeight="1" x14ac:dyDescent="0.3">
      <c r="A32" s="214">
        <v>1</v>
      </c>
      <c r="B32" s="144" t="s">
        <v>130</v>
      </c>
      <c r="C32" s="144" t="s">
        <v>98</v>
      </c>
      <c r="D32" s="145" t="s">
        <v>95</v>
      </c>
      <c r="E32" s="196" t="s">
        <v>115</v>
      </c>
      <c r="F32" s="204"/>
      <c r="G32" s="205"/>
      <c r="H32" s="205"/>
      <c r="I32" s="205"/>
      <c r="J32" s="205"/>
      <c r="K32" s="205"/>
      <c r="L32" s="205"/>
      <c r="M32" s="209"/>
      <c r="N32" s="204">
        <v>65.873120921161103</v>
      </c>
      <c r="O32" s="206">
        <v>0</v>
      </c>
      <c r="P32" s="199">
        <v>1</v>
      </c>
      <c r="Q32" s="127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6">
        <v>2</v>
      </c>
      <c r="Z32" s="115" t="s">
        <v>142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6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8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8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8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8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8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8">
        <f t="array" ref="AN32">IF(AN$1=0,"",SQRT((_xlfn.XLOOKUP(AN$1,$Z$2:$Z$18,$AA$2:$AA$18)-$T32)^2+(_xlfn.XLOOKUP(AN$1,$Z$2:$Z$18,$AB$2:$AB$18)-$U32)^2+(_xlfn.XLOOKUP(AN$1,$Z$2:$Z$18,$AC$2:$AC$18-$V32)^2)))</f>
        <v>245.12925284429031</v>
      </c>
      <c r="AO32" s="148">
        <f t="array" ref="AO32">IF(AO$1=0,"",SQRT((_xlfn.XLOOKUP(AO$1,$Z$2:$Z$18,$AA$2:$AA$18)-$T32)^2+(_xlfn.XLOOKUP(AO$1,$Z$2:$Z$18,$AB$2:$AB$18)-$U32)^2+(_xlfn.XLOOKUP(AO$1,$Z$2:$Z$18,$AC$2:$AC$18-$V32)^2)))</f>
        <v>245.12925284429031</v>
      </c>
      <c r="AP32" s="149">
        <f t="array" ref="AP32">IF(AP$1=0,"",SQRT((_xlfn.XLOOKUP(AP$1,$Z$2:$Z$18,$AA$2:$AA$18)-$T32)^2+(_xlfn.XLOOKUP(AP$1,$Z$2:$Z$18,$AB$2:$AB$18)-$U32)^2+(_xlfn.XLOOKUP(AP$1,$Z$2:$Z$18,$AC$2:$AC$18-$V32)^2)))</f>
        <v>245.12925284429031</v>
      </c>
      <c r="AQ32" s="149">
        <f t="array" ref="AQ32">IF(AQ$1=0,"",SQRT((_xlfn.XLOOKUP(AQ$1,$Z$2:$Z$18,$AA$2:$AA$18)-$T32)^2+(_xlfn.XLOOKUP(AQ$1,$Z$2:$Z$18,$AB$2:$AB$18)-$U32)^2+(_xlfn.XLOOKUP(AQ$1,$Z$2:$Z$18,$AC$2:$AC$18-$V32)^2)))</f>
        <v>245.12925284429031</v>
      </c>
      <c r="AR32" s="149">
        <f t="array" ref="AR32">IF(AR$1=0,"",SQRT((_xlfn.XLOOKUP(AR$1,$Z$2:$Z$18,$AA$2:$AA$18)-$T32)^2+(_xlfn.XLOOKUP(AR$1,$Z$2:$Z$18,$AB$2:$AB$18)-$U32)^2+(_xlfn.XLOOKUP(AR$1,$Z$2:$Z$18,$AC$2:$AC$18-$V32)^2)))</f>
        <v>245.12925284429031</v>
      </c>
      <c r="AS32" s="149">
        <f t="array" ref="AS32">IF(AS$1=0,"",SQRT((_xlfn.XLOOKUP(AS$1,$Z$2:$Z$18,$AA$2:$AA$18)-$T32)^2+(_xlfn.XLOOKUP(AS$1,$Z$2:$Z$18,$AB$2:$AB$18)-$U32)^2+(_xlfn.XLOOKUP(AS$1,$Z$2:$Z$18,$AC$2:$AC$18-$V32)^2)))</f>
        <v>245.12925284429031</v>
      </c>
      <c r="AT32" s="149">
        <f t="array" ref="AT32">IF(AT$1=0,"",SQRT((_xlfn.XLOOKUP(AT$1,$Z$2:$Z$18,$AA$2:$AA$18)-$T32)^2+(_xlfn.XLOOKUP(AT$1,$Z$2:$Z$18,$AB$2:$AB$18)-$U32)^2+(_xlfn.XLOOKUP(AT$1,$Z$2:$Z$18,$AC$2:$AC$18-$V32)^2)))</f>
        <v>245.12925284429031</v>
      </c>
      <c r="AU32" s="149">
        <f t="array" ref="AU32">IF(AU$1=0,"",SQRT((_xlfn.XLOOKUP(AU$1,$Z$2:$Z$18,$AA$2:$AA$18)-$T32)^2+(_xlfn.XLOOKUP(AU$1,$Z$2:$Z$18,$AB$2:$AB$18)-$U32)^2+(_xlfn.XLOOKUP(AU$1,$Z$2:$Z$18,$AC$2:$AC$18-$V32)^2)))</f>
        <v>245.12925284429031</v>
      </c>
      <c r="AV32" s="150">
        <f t="array" ref="AV32">IF(AV$1=0,"",SQRT((_xlfn.XLOOKUP(AV$1,$Z$2:$Z$18,$AA$2:$AA$18)-$T32)^2+(_xlfn.XLOOKUP(AV$1,$Z$2:$Z$18,$AB$2:$AB$18)-$U32)^2+(_xlfn.XLOOKUP(AV$1,$Z$2:$Z$18,$AC$2:$AC$18-$V32)^2)))</f>
        <v>245.12925284429031</v>
      </c>
      <c r="AW32" s="133"/>
      <c r="AX32" s="133"/>
      <c r="AY32" s="134">
        <f t="shared" si="19"/>
        <v>-45.450000766688731</v>
      </c>
      <c r="AZ32" s="151">
        <f t="shared" si="20"/>
        <v>-42.851278052651232</v>
      </c>
      <c r="BA32" s="151">
        <f t="shared" si="21"/>
        <v>-39.376025254310932</v>
      </c>
      <c r="BB32" s="151">
        <f t="shared" si="22"/>
        <v>-34.655268950988081</v>
      </c>
      <c r="BC32" s="151">
        <f t="shared" si="23"/>
        <v>-38.342948911428401</v>
      </c>
      <c r="BD32" s="151">
        <f t="shared" si="24"/>
        <v>-45.144815228942875</v>
      </c>
      <c r="BE32" s="151">
        <f t="shared" si="25"/>
        <v>-45.450000766688731</v>
      </c>
      <c r="BF32" s="151">
        <f t="shared" si="26"/>
        <v>-45.450000766688731</v>
      </c>
      <c r="BG32" s="152">
        <f t="shared" si="27"/>
        <v>-45.450000766688731</v>
      </c>
      <c r="BH32" s="152">
        <f t="shared" si="28"/>
        <v>-45.450000766688731</v>
      </c>
      <c r="BI32" s="152">
        <f t="shared" si="29"/>
        <v>-45.450000766688731</v>
      </c>
      <c r="BJ32" s="152">
        <f t="shared" si="30"/>
        <v>-45.450000766688731</v>
      </c>
      <c r="BK32" s="152">
        <f t="shared" si="31"/>
        <v>-45.450000766688731</v>
      </c>
      <c r="BL32" s="152">
        <f t="shared" si="32"/>
        <v>-45.450000766688731</v>
      </c>
      <c r="BM32" s="153">
        <f t="shared" si="33"/>
        <v>-45.450000766688731</v>
      </c>
      <c r="BN32" s="133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3"/>
      <c r="BU32" s="133"/>
      <c r="BV32" s="139"/>
      <c r="BW32" s="139">
        <v>7</v>
      </c>
      <c r="BX32" s="139">
        <v>12</v>
      </c>
      <c r="BY32" s="139">
        <v>15</v>
      </c>
      <c r="BZ32" s="139">
        <v>5</v>
      </c>
      <c r="CA32" s="139">
        <v>8</v>
      </c>
      <c r="CB32" s="139"/>
      <c r="CC32" s="139"/>
      <c r="CD32" s="139"/>
      <c r="CE32" s="139"/>
      <c r="CF32" s="139"/>
      <c r="CG32" s="139"/>
      <c r="CH32" s="139"/>
      <c r="CI32" s="139"/>
      <c r="CJ32" s="139"/>
      <c r="CL32" s="133"/>
      <c r="CM32" s="139" t="s">
        <v>32</v>
      </c>
      <c r="CN32" s="139" t="s">
        <v>32</v>
      </c>
      <c r="CO32" s="139" t="s">
        <v>32</v>
      </c>
      <c r="CP32" s="139" t="s">
        <v>32</v>
      </c>
      <c r="CQ32" s="139" t="s">
        <v>32</v>
      </c>
      <c r="CR32" s="139" t="s">
        <v>32</v>
      </c>
      <c r="CS32" s="139"/>
      <c r="CT32" s="139"/>
      <c r="CU32" s="139"/>
      <c r="CV32" s="139"/>
      <c r="CW32" s="139"/>
      <c r="CX32" s="139"/>
      <c r="CY32" s="139"/>
      <c r="CZ32" s="139"/>
      <c r="DA32" s="139"/>
      <c r="DB32" s="133"/>
      <c r="DC32" s="133"/>
      <c r="DD32" s="154" cm="1">
        <f t="array" ref="DD32">_xlfn.IFS(DD$1= 0,"", NOT(ISBLANK(CM32)), 0, ISBLANK(CM32), $Q32-$S32+AY32-BV32)</f>
        <v>0</v>
      </c>
      <c r="DE32" s="155" cm="1">
        <f t="array" ref="DE32">_xlfn.IFS(DE$1= 0,"", NOT(ISBLANK(CN32)), 0, ISBLANK(CN32), $Q32-$S32+AZ32-BW32)</f>
        <v>0</v>
      </c>
      <c r="DF32" s="155" cm="1">
        <f t="array" ref="DF32">_xlfn.IFS(DF$1= 0,"", NOT(ISBLANK(CO32)), 0, ISBLANK(CO32), $Q32-$S32+BA32-BX32)</f>
        <v>0</v>
      </c>
      <c r="DG32" s="155" cm="1">
        <f t="array" ref="DG32">_xlfn.IFS(DG$1= 0,"", NOT(ISBLANK(CP32)), 0, ISBLANK(CP32), $Q32-$S32+BB32-BY32)</f>
        <v>0</v>
      </c>
      <c r="DH32" s="155" cm="1">
        <f t="array" ref="DH32">_xlfn.IFS(DH$1= 0,"", NOT(ISBLANK(CQ32)), 0, ISBLANK(CQ32), $Q32-$S32+BC32-BZ32)</f>
        <v>0</v>
      </c>
      <c r="DI32" s="155" cm="1">
        <f t="array" ref="DI32">_xlfn.IFS(DI$1= 0,"", NOT(ISBLANK(CR32)), 0, ISBLANK(CR32), $Q32-$S32+BD32-CA32)</f>
        <v>0</v>
      </c>
      <c r="DJ32" s="155" cm="1">
        <f t="array" ref="DJ32">_xlfn.IFS(DJ$1= 0,"", NOT(ISBLANK(CS32)), 0, ISBLANK(CS32), $Q32-$S32+BE32-CB32)</f>
        <v>20.549999233311269</v>
      </c>
      <c r="DK32" s="155" cm="1">
        <f t="array" ref="DK32">_xlfn.IFS(DK$1= 0,"", NOT(ISBLANK(CT32)), 0, ISBLANK(CT32), $Q32-$S32+BF32-CC32)</f>
        <v>20.549999233311269</v>
      </c>
      <c r="DL32" s="156" cm="1">
        <f t="array" ref="DL32">_xlfn.IFS(DL$1= 0,"", NOT(ISBLANK(CU32)), 0, ISBLANK(CU32), $Q32-$S32+BG32-CD32)</f>
        <v>20.549999233311269</v>
      </c>
      <c r="DM32" s="156" cm="1">
        <f t="array" ref="DM32">_xlfn.IFS(DM$1= 0,"", NOT(ISBLANK(CV32)), 0, ISBLANK(CV32), $Q32-$S32+BH32-CE32)</f>
        <v>20.549999233311269</v>
      </c>
      <c r="DN32" s="156" cm="1">
        <f t="array" ref="DN32">_xlfn.IFS(DN$1= 0,"", NOT(ISBLANK(CW32)), 0, ISBLANK(CW32), $Q32-$S32+BI32-CF32)</f>
        <v>20.549999233311269</v>
      </c>
      <c r="DO32" s="156" cm="1">
        <f t="array" ref="DO32">_xlfn.IFS(DO$1= 0,"", NOT(ISBLANK(CX32)), 0, ISBLANK(CX32), $Q32-$S32+BJ32-CG32)</f>
        <v>20.549999233311269</v>
      </c>
      <c r="DP32" s="142" cm="1">
        <f t="array" ref="DP32">_xlfn.IFS(DP$1= 0,"", NOT(ISBLANK(CY32)), 0, ISBLANK(CY32), $Q32-$S32+BK32-CH32)</f>
        <v>20.549999233311269</v>
      </c>
      <c r="DQ32" s="142" cm="1">
        <f t="array" ref="DQ32">_xlfn.IFS(DQ$1= 0,"", NOT(ISBLANK(CZ32)), 0, ISBLANK(CZ32), $Q32-$S32+BL32-CI32)</f>
        <v>20.549999233311269</v>
      </c>
      <c r="DR32" s="143" cm="1">
        <f t="array" ref="DR32">_xlfn.IFS(DR$1= 0,"", NOT(ISBLANK(DA32)), 0, ISBLANK(DA32), $Q32-$S32+BM32-CJ32)</f>
        <v>20.549999233311269</v>
      </c>
    </row>
    <row r="33" spans="1:122" ht="16.5" customHeight="1" x14ac:dyDescent="0.3">
      <c r="A33" s="214">
        <v>1</v>
      </c>
      <c r="B33" s="144" t="s">
        <v>131</v>
      </c>
      <c r="C33" s="144" t="s">
        <v>98</v>
      </c>
      <c r="D33" s="145" t="s">
        <v>95</v>
      </c>
      <c r="E33" s="196" t="s">
        <v>115</v>
      </c>
      <c r="F33" s="204"/>
      <c r="G33" s="205"/>
      <c r="H33" s="205"/>
      <c r="I33" s="205"/>
      <c r="J33" s="205"/>
      <c r="K33" s="205"/>
      <c r="L33" s="205"/>
      <c r="M33" s="209"/>
      <c r="N33" s="204">
        <v>65.873120921161103</v>
      </c>
      <c r="O33" s="206">
        <v>0</v>
      </c>
      <c r="P33" s="199">
        <v>1</v>
      </c>
      <c r="Q33" s="127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6">
        <v>2</v>
      </c>
      <c r="Z33" s="115" t="s">
        <v>143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6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8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8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8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8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8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8">
        <f t="array" ref="AN33">IF(AN$1=0,"",SQRT((_xlfn.XLOOKUP(AN$1,$Z$2:$Z$18,$AA$2:$AA$18)-$T33)^2+(_xlfn.XLOOKUP(AN$1,$Z$2:$Z$18,$AB$2:$AB$18)-$U33)^2+(_xlfn.XLOOKUP(AN$1,$Z$2:$Z$18,$AC$2:$AC$18-$V33)^2)))</f>
        <v>249.01013252476295</v>
      </c>
      <c r="AO33" s="148">
        <f t="array" ref="AO33">IF(AO$1=0,"",SQRT((_xlfn.XLOOKUP(AO$1,$Z$2:$Z$18,$AA$2:$AA$18)-$T33)^2+(_xlfn.XLOOKUP(AO$1,$Z$2:$Z$18,$AB$2:$AB$18)-$U33)^2+(_xlfn.XLOOKUP(AO$1,$Z$2:$Z$18,$AC$2:$AC$18-$V33)^2)))</f>
        <v>249.01013252476295</v>
      </c>
      <c r="AP33" s="149">
        <f t="array" ref="AP33">IF(AP$1=0,"",SQRT((_xlfn.XLOOKUP(AP$1,$Z$2:$Z$18,$AA$2:$AA$18)-$T33)^2+(_xlfn.XLOOKUP(AP$1,$Z$2:$Z$18,$AB$2:$AB$18)-$U33)^2+(_xlfn.XLOOKUP(AP$1,$Z$2:$Z$18,$AC$2:$AC$18-$V33)^2)))</f>
        <v>249.01013252476295</v>
      </c>
      <c r="AQ33" s="149">
        <f t="array" ref="AQ33">IF(AQ$1=0,"",SQRT((_xlfn.XLOOKUP(AQ$1,$Z$2:$Z$18,$AA$2:$AA$18)-$T33)^2+(_xlfn.XLOOKUP(AQ$1,$Z$2:$Z$18,$AB$2:$AB$18)-$U33)^2+(_xlfn.XLOOKUP(AQ$1,$Z$2:$Z$18,$AC$2:$AC$18-$V33)^2)))</f>
        <v>249.01013252476295</v>
      </c>
      <c r="AR33" s="149">
        <f t="array" ref="AR33">IF(AR$1=0,"",SQRT((_xlfn.XLOOKUP(AR$1,$Z$2:$Z$18,$AA$2:$AA$18)-$T33)^2+(_xlfn.XLOOKUP(AR$1,$Z$2:$Z$18,$AB$2:$AB$18)-$U33)^2+(_xlfn.XLOOKUP(AR$1,$Z$2:$Z$18,$AC$2:$AC$18-$V33)^2)))</f>
        <v>249.01013252476295</v>
      </c>
      <c r="AS33" s="149">
        <f t="array" ref="AS33">IF(AS$1=0,"",SQRT((_xlfn.XLOOKUP(AS$1,$Z$2:$Z$18,$AA$2:$AA$18)-$T33)^2+(_xlfn.XLOOKUP(AS$1,$Z$2:$Z$18,$AB$2:$AB$18)-$U33)^2+(_xlfn.XLOOKUP(AS$1,$Z$2:$Z$18,$AC$2:$AC$18-$V33)^2)))</f>
        <v>249.01013252476295</v>
      </c>
      <c r="AT33" s="149">
        <f t="array" ref="AT33">IF(AT$1=0,"",SQRT((_xlfn.XLOOKUP(AT$1,$Z$2:$Z$18,$AA$2:$AA$18)-$T33)^2+(_xlfn.XLOOKUP(AT$1,$Z$2:$Z$18,$AB$2:$AB$18)-$U33)^2+(_xlfn.XLOOKUP(AT$1,$Z$2:$Z$18,$AC$2:$AC$18-$V33)^2)))</f>
        <v>249.01013252476295</v>
      </c>
      <c r="AU33" s="149">
        <f t="array" ref="AU33">IF(AU$1=0,"",SQRT((_xlfn.XLOOKUP(AU$1,$Z$2:$Z$18,$AA$2:$AA$18)-$T33)^2+(_xlfn.XLOOKUP(AU$1,$Z$2:$Z$18,$AB$2:$AB$18)-$U33)^2+(_xlfn.XLOOKUP(AU$1,$Z$2:$Z$18,$AC$2:$AC$18-$V33)^2)))</f>
        <v>249.01013252476295</v>
      </c>
      <c r="AV33" s="150">
        <f t="array" ref="AV33">IF(AV$1=0,"",SQRT((_xlfn.XLOOKUP(AV$1,$Z$2:$Z$18,$AA$2:$AA$18)-$T33)^2+(_xlfn.XLOOKUP(AV$1,$Z$2:$Z$18,$AB$2:$AB$18)-$U33)^2+(_xlfn.XLOOKUP(AV$1,$Z$2:$Z$18,$AC$2:$AC$18-$V33)^2)))</f>
        <v>249.01013252476295</v>
      </c>
      <c r="AW33" s="133"/>
      <c r="AX33" s="133"/>
      <c r="AY33" s="134">
        <f t="shared" si="19"/>
        <v>-45.586438325438323</v>
      </c>
      <c r="AZ33" s="151">
        <f t="shared" si="20"/>
        <v>-42.611622342550788</v>
      </c>
      <c r="BA33" s="151">
        <f t="shared" si="21"/>
        <v>-39.6329797880542</v>
      </c>
      <c r="BB33" s="151">
        <f t="shared" si="22"/>
        <v>-37.240896000115697</v>
      </c>
      <c r="BC33" s="151">
        <f t="shared" si="23"/>
        <v>-39.164172392645419</v>
      </c>
      <c r="BD33" s="151">
        <f t="shared" si="24"/>
        <v>-44.445196185226301</v>
      </c>
      <c r="BE33" s="151">
        <f t="shared" si="25"/>
        <v>-45.586438325438323</v>
      </c>
      <c r="BF33" s="151">
        <f t="shared" si="26"/>
        <v>-45.586438325438323</v>
      </c>
      <c r="BG33" s="152">
        <f t="shared" si="27"/>
        <v>-45.586438325438323</v>
      </c>
      <c r="BH33" s="152">
        <f t="shared" si="28"/>
        <v>-45.586438325438323</v>
      </c>
      <c r="BI33" s="152">
        <f t="shared" si="29"/>
        <v>-45.586438325438323</v>
      </c>
      <c r="BJ33" s="152">
        <f t="shared" si="30"/>
        <v>-45.586438325438323</v>
      </c>
      <c r="BK33" s="152">
        <f t="shared" si="31"/>
        <v>-45.586438325438323</v>
      </c>
      <c r="BL33" s="152">
        <f t="shared" si="32"/>
        <v>-45.586438325438323</v>
      </c>
      <c r="BM33" s="153">
        <f t="shared" si="33"/>
        <v>-45.586438325438323</v>
      </c>
      <c r="BN33" s="133"/>
      <c r="BO33" s="48" t="str">
        <f>_xlfn.TEXTJOIN(" to ",TRUE,'Input LwA_XYZ'!BP4:BP5)</f>
        <v>MAU-R1 to R1</v>
      </c>
      <c r="BP33" s="21"/>
      <c r="BQ33" s="21"/>
      <c r="BR33" s="21"/>
      <c r="BS33" s="21"/>
      <c r="BT33" s="133"/>
      <c r="BU33" s="133"/>
      <c r="BV33" s="139"/>
      <c r="BW33" s="139">
        <v>7</v>
      </c>
      <c r="BX33" s="139">
        <v>12</v>
      </c>
      <c r="BY33" s="139">
        <v>15</v>
      </c>
      <c r="BZ33" s="139">
        <v>0</v>
      </c>
      <c r="CA33" s="139">
        <v>6</v>
      </c>
      <c r="CB33" s="139"/>
      <c r="CC33" s="139"/>
      <c r="CD33" s="139"/>
      <c r="CE33" s="139"/>
      <c r="CF33" s="139"/>
      <c r="CG33" s="139"/>
      <c r="CH33" s="139"/>
      <c r="CI33" s="139"/>
      <c r="CJ33" s="139"/>
      <c r="CL33" s="133"/>
      <c r="CM33" s="139" t="s">
        <v>32</v>
      </c>
      <c r="CN33" s="139" t="s">
        <v>32</v>
      </c>
      <c r="CO33" s="139" t="s">
        <v>32</v>
      </c>
      <c r="CP33" s="139" t="s">
        <v>32</v>
      </c>
      <c r="CQ33" s="139" t="s">
        <v>32</v>
      </c>
      <c r="CR33" s="139" t="s">
        <v>32</v>
      </c>
      <c r="CS33" s="139"/>
      <c r="CT33" s="139"/>
      <c r="CU33" s="139"/>
      <c r="CV33" s="139"/>
      <c r="CW33" s="139"/>
      <c r="CX33" s="139"/>
      <c r="CY33" s="139"/>
      <c r="CZ33" s="139"/>
      <c r="DA33" s="139"/>
      <c r="DB33" s="133"/>
      <c r="DC33" s="133"/>
      <c r="DD33" s="154" cm="1">
        <f t="array" ref="DD33">_xlfn.IFS(DD$1= 0,"", NOT(ISBLANK(CM33)), 0, ISBLANK(CM33), $Q33-$S33+AY33-BV33)</f>
        <v>0</v>
      </c>
      <c r="DE33" s="155" cm="1">
        <f t="array" ref="DE33">_xlfn.IFS(DE$1= 0,"", NOT(ISBLANK(CN33)), 0, ISBLANK(CN33), $Q33-$S33+AZ33-BW33)</f>
        <v>0</v>
      </c>
      <c r="DF33" s="155" cm="1">
        <f t="array" ref="DF33">_xlfn.IFS(DF$1= 0,"", NOT(ISBLANK(CO33)), 0, ISBLANK(CO33), $Q33-$S33+BA33-BX33)</f>
        <v>0</v>
      </c>
      <c r="DG33" s="155" cm="1">
        <f t="array" ref="DG33">_xlfn.IFS(DG$1= 0,"", NOT(ISBLANK(CP33)), 0, ISBLANK(CP33), $Q33-$S33+BB33-BY33)</f>
        <v>0</v>
      </c>
      <c r="DH33" s="155" cm="1">
        <f t="array" ref="DH33">_xlfn.IFS(DH$1= 0,"", NOT(ISBLANK(CQ33)), 0, ISBLANK(CQ33), $Q33-$S33+BC33-BZ33)</f>
        <v>0</v>
      </c>
      <c r="DI33" s="155" cm="1">
        <f t="array" ref="DI33">_xlfn.IFS(DI$1= 0,"", NOT(ISBLANK(CR33)), 0, ISBLANK(CR33), $Q33-$S33+BD33-CA33)</f>
        <v>0</v>
      </c>
      <c r="DJ33" s="155" cm="1">
        <f t="array" ref="DJ33">_xlfn.IFS(DJ$1= 0,"", NOT(ISBLANK(CS33)), 0, ISBLANK(CS33), $Q33-$S33+BE33-CB33)</f>
        <v>20.413561674561677</v>
      </c>
      <c r="DK33" s="155" cm="1">
        <f t="array" ref="DK33">_xlfn.IFS(DK$1= 0,"", NOT(ISBLANK(CT33)), 0, ISBLANK(CT33), $Q33-$S33+BF33-CC33)</f>
        <v>20.413561674561677</v>
      </c>
      <c r="DL33" s="156" cm="1">
        <f t="array" ref="DL33">_xlfn.IFS(DL$1= 0,"", NOT(ISBLANK(CU33)), 0, ISBLANK(CU33), $Q33-$S33+BG33-CD33)</f>
        <v>20.413561674561677</v>
      </c>
      <c r="DM33" s="156" cm="1">
        <f t="array" ref="DM33">_xlfn.IFS(DM$1= 0,"", NOT(ISBLANK(CV33)), 0, ISBLANK(CV33), $Q33-$S33+BH33-CE33)</f>
        <v>20.413561674561677</v>
      </c>
      <c r="DN33" s="156" cm="1">
        <f t="array" ref="DN33">_xlfn.IFS(DN$1= 0,"", NOT(ISBLANK(CW33)), 0, ISBLANK(CW33), $Q33-$S33+BI33-CF33)</f>
        <v>20.413561674561677</v>
      </c>
      <c r="DO33" s="156" cm="1">
        <f t="array" ref="DO33">_xlfn.IFS(DO$1= 0,"", NOT(ISBLANK(CX33)), 0, ISBLANK(CX33), $Q33-$S33+BJ33-CG33)</f>
        <v>20.413561674561677</v>
      </c>
      <c r="DP33" s="142" cm="1">
        <f t="array" ref="DP33">_xlfn.IFS(DP$1= 0,"", NOT(ISBLANK(CY33)), 0, ISBLANK(CY33), $Q33-$S33+BK33-CH33)</f>
        <v>20.413561674561677</v>
      </c>
      <c r="DQ33" s="142" cm="1">
        <f t="array" ref="DQ33">_xlfn.IFS(DQ$1= 0,"", NOT(ISBLANK(CZ33)), 0, ISBLANK(CZ33), $Q33-$S33+BL33-CI33)</f>
        <v>20.413561674561677</v>
      </c>
      <c r="DR33" s="143" cm="1">
        <f t="array" ref="DR33">_xlfn.IFS(DR$1= 0,"", NOT(ISBLANK(DA33)), 0, ISBLANK(DA33), $Q33-$S33+BM33-CJ33)</f>
        <v>20.413561674561677</v>
      </c>
    </row>
    <row r="34" spans="1:122" ht="16.5" customHeight="1" x14ac:dyDescent="0.3">
      <c r="A34" s="214">
        <v>1</v>
      </c>
      <c r="B34" s="144" t="s">
        <v>132</v>
      </c>
      <c r="C34" s="144" t="s">
        <v>98</v>
      </c>
      <c r="D34" s="145" t="s">
        <v>95</v>
      </c>
      <c r="E34" s="196" t="s">
        <v>115</v>
      </c>
      <c r="F34" s="204"/>
      <c r="G34" s="205"/>
      <c r="H34" s="205"/>
      <c r="I34" s="205"/>
      <c r="J34" s="205"/>
      <c r="K34" s="205"/>
      <c r="L34" s="205"/>
      <c r="M34" s="209"/>
      <c r="N34" s="204">
        <v>65.873120921161103</v>
      </c>
      <c r="O34" s="206">
        <v>0</v>
      </c>
      <c r="P34" s="199">
        <v>1</v>
      </c>
      <c r="Q34" s="12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6">
        <v>2</v>
      </c>
      <c r="Z34" s="115" t="s">
        <v>158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6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8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8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8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8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8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8">
        <f t="array" ref="AN34">IF(AN$1=0,"",SQRT((_xlfn.XLOOKUP(AN$1,$Z$2:$Z$18,$AA$2:$AA$18)-$T34)^2+(_xlfn.XLOOKUP(AN$1,$Z$2:$Z$18,$AB$2:$AB$18)-$U34)^2+(_xlfn.XLOOKUP(AN$1,$Z$2:$Z$18,$AC$2:$AC$18-$V34)^2)))</f>
        <v>207.9023241813328</v>
      </c>
      <c r="AO34" s="148">
        <f t="array" ref="AO34">IF(AO$1=0,"",SQRT((_xlfn.XLOOKUP(AO$1,$Z$2:$Z$18,$AA$2:$AA$18)-$T34)^2+(_xlfn.XLOOKUP(AO$1,$Z$2:$Z$18,$AB$2:$AB$18)-$U34)^2+(_xlfn.XLOOKUP(AO$1,$Z$2:$Z$18,$AC$2:$AC$18-$V34)^2)))</f>
        <v>207.9023241813328</v>
      </c>
      <c r="AP34" s="149">
        <f t="array" ref="AP34">IF(AP$1=0,"",SQRT((_xlfn.XLOOKUP(AP$1,$Z$2:$Z$18,$AA$2:$AA$18)-$T34)^2+(_xlfn.XLOOKUP(AP$1,$Z$2:$Z$18,$AB$2:$AB$18)-$U34)^2+(_xlfn.XLOOKUP(AP$1,$Z$2:$Z$18,$AC$2:$AC$18-$V34)^2)))</f>
        <v>207.9023241813328</v>
      </c>
      <c r="AQ34" s="149">
        <f t="array" ref="AQ34">IF(AQ$1=0,"",SQRT((_xlfn.XLOOKUP(AQ$1,$Z$2:$Z$18,$AA$2:$AA$18)-$T34)^2+(_xlfn.XLOOKUP(AQ$1,$Z$2:$Z$18,$AB$2:$AB$18)-$U34)^2+(_xlfn.XLOOKUP(AQ$1,$Z$2:$Z$18,$AC$2:$AC$18-$V34)^2)))</f>
        <v>207.9023241813328</v>
      </c>
      <c r="AR34" s="149">
        <f t="array" ref="AR34">IF(AR$1=0,"",SQRT((_xlfn.XLOOKUP(AR$1,$Z$2:$Z$18,$AA$2:$AA$18)-$T34)^2+(_xlfn.XLOOKUP(AR$1,$Z$2:$Z$18,$AB$2:$AB$18)-$U34)^2+(_xlfn.XLOOKUP(AR$1,$Z$2:$Z$18,$AC$2:$AC$18-$V34)^2)))</f>
        <v>207.9023241813328</v>
      </c>
      <c r="AS34" s="149">
        <f t="array" ref="AS34">IF(AS$1=0,"",SQRT((_xlfn.XLOOKUP(AS$1,$Z$2:$Z$18,$AA$2:$AA$18)-$T34)^2+(_xlfn.XLOOKUP(AS$1,$Z$2:$Z$18,$AB$2:$AB$18)-$U34)^2+(_xlfn.XLOOKUP(AS$1,$Z$2:$Z$18,$AC$2:$AC$18-$V34)^2)))</f>
        <v>207.9023241813328</v>
      </c>
      <c r="AT34" s="149">
        <f t="array" ref="AT34">IF(AT$1=0,"",SQRT((_xlfn.XLOOKUP(AT$1,$Z$2:$Z$18,$AA$2:$AA$18)-$T34)^2+(_xlfn.XLOOKUP(AT$1,$Z$2:$Z$18,$AB$2:$AB$18)-$U34)^2+(_xlfn.XLOOKUP(AT$1,$Z$2:$Z$18,$AC$2:$AC$18-$V34)^2)))</f>
        <v>207.9023241813328</v>
      </c>
      <c r="AU34" s="149">
        <f t="array" ref="AU34">IF(AU$1=0,"",SQRT((_xlfn.XLOOKUP(AU$1,$Z$2:$Z$18,$AA$2:$AA$18)-$T34)^2+(_xlfn.XLOOKUP(AU$1,$Z$2:$Z$18,$AB$2:$AB$18)-$U34)^2+(_xlfn.XLOOKUP(AU$1,$Z$2:$Z$18,$AC$2:$AC$18-$V34)^2)))</f>
        <v>207.9023241813328</v>
      </c>
      <c r="AV34" s="150">
        <f t="array" ref="AV34">IF(AV$1=0,"",SQRT((_xlfn.XLOOKUP(AV$1,$Z$2:$Z$18,$AA$2:$AA$18)-$T34)^2+(_xlfn.XLOOKUP(AV$1,$Z$2:$Z$18,$AB$2:$AB$18)-$U34)^2+(_xlfn.XLOOKUP(AV$1,$Z$2:$Z$18,$AC$2:$AC$18-$V34)^2)))</f>
        <v>207.9023241813328</v>
      </c>
      <c r="AW34" s="133"/>
      <c r="AX34" s="133"/>
      <c r="AY34" s="134">
        <f t="shared" ref="AY34:AY58" si="36">IFERROR(-ABS(10*LOG10(($R34/(4*PI()*CONVERT(AH34,"ft","m")^2)))),0)</f>
        <v>-44.019284825388219</v>
      </c>
      <c r="AZ34" s="151">
        <f t="shared" ref="AZ34:AZ58" si="37">IFERROR(-ABS(10*LOG10(($R34/(4*PI()*CONVERT(AI34,"ft","m")^2)))),0)</f>
        <v>-38.982083924935459</v>
      </c>
      <c r="BA34" s="151">
        <f t="shared" ref="BA34:BA58" si="38">IFERROR(-ABS(10*LOG10(($R34/(4*PI()*CONVERT(AJ34,"ft","m")^2)))),0)</f>
        <v>-37.381442357264618</v>
      </c>
      <c r="BB34" s="151">
        <f t="shared" ref="BB34:BB58" si="39">IFERROR(-ABS(10*LOG10(($R34/(4*PI()*CONVERT(AK34,"ft","m")^2)))),0)</f>
        <v>-40.600278534334045</v>
      </c>
      <c r="BC34" s="151">
        <f t="shared" ref="BC34:BC58" si="40">IFERROR(-ABS(10*LOG10(($R34/(4*PI()*CONVERT(AL34,"ft","m")^2)))),0)</f>
        <v>-43.225597083850445</v>
      </c>
      <c r="BD34" s="151">
        <f t="shared" ref="BD34:BD58" si="41">IFERROR(-ABS(10*LOG10(($R34/(4*PI()*CONVERT(AM34,"ft","m")^2)))),0)</f>
        <v>-41.078692819159073</v>
      </c>
      <c r="BE34" s="151">
        <f t="shared" ref="BE34:BE58" si="42">IFERROR(-ABS(10*LOG10(($R34/(4*PI()*CONVERT(AN34,"ft","m")^2)))),0)</f>
        <v>-44.019284825388219</v>
      </c>
      <c r="BF34" s="151">
        <f t="shared" ref="BF34:BF58" si="43">IFERROR(-ABS(10*LOG10(($R34/(4*PI()*CONVERT(AO34,"ft","m")^2)))),0)</f>
        <v>-44.019284825388219</v>
      </c>
      <c r="BG34" s="152">
        <f t="shared" ref="BG34:BG58" si="44">IFERROR(-ABS(10*LOG10(($R34/(4*PI()*CONVERT(AP34,"ft","m")^2)))),0)</f>
        <v>-44.019284825388219</v>
      </c>
      <c r="BH34" s="152">
        <f t="shared" ref="BH34:BH58" si="45">IFERROR(-ABS(10*LOG10(($R34/(4*PI()*CONVERT(AQ34,"ft","m")^2)))),0)</f>
        <v>-44.019284825388219</v>
      </c>
      <c r="BI34" s="152">
        <f t="shared" ref="BI34:BI58" si="46">IFERROR(-ABS(10*LOG10(($R34/(4*PI()*CONVERT(AR34,"ft","m")^2)))),0)</f>
        <v>-44.019284825388219</v>
      </c>
      <c r="BJ34" s="152">
        <f t="shared" ref="BJ34:BJ58" si="47">IFERROR(-ABS(10*LOG10(($R34/(4*PI()*CONVERT(AS34,"ft","m")^2)))),0)</f>
        <v>-44.019284825388219</v>
      </c>
      <c r="BK34" s="152">
        <f t="shared" ref="BK34:BK58" si="48">IFERROR(-ABS(10*LOG10(($R34/(4*PI()*CONVERT(AT34,"ft","m")^2)))),0)</f>
        <v>-44.019284825388219</v>
      </c>
      <c r="BL34" s="152">
        <f t="shared" ref="BL34:BL58" si="49">IFERROR(-ABS(10*LOG10(($R34/(4*PI()*CONVERT(AU34,"ft","m")^2)))),0)</f>
        <v>-44.019284825388219</v>
      </c>
      <c r="BM34" s="153">
        <f t="shared" ref="BM34:BM58" si="50">IFERROR(-ABS(10*LOG10(($R34/(4*PI()*CONVERT(AV34,"ft","m")^2)))),0)</f>
        <v>-44.019284825388219</v>
      </c>
      <c r="BN34" s="133"/>
      <c r="BO34" s="133"/>
      <c r="BP34" s="133"/>
      <c r="BQ34" s="133"/>
      <c r="BR34" s="133"/>
      <c r="BS34" s="133"/>
      <c r="BT34" s="133"/>
      <c r="BU34" s="133"/>
      <c r="BV34" s="139"/>
      <c r="BW34" s="139">
        <v>7</v>
      </c>
      <c r="BX34" s="139">
        <v>15</v>
      </c>
      <c r="BY34" s="139">
        <v>12</v>
      </c>
      <c r="BZ34" s="139">
        <v>10</v>
      </c>
      <c r="CA34" s="139">
        <v>2</v>
      </c>
      <c r="CB34" s="139"/>
      <c r="CC34" s="139"/>
      <c r="CD34" s="139"/>
      <c r="CE34" s="139"/>
      <c r="CF34" s="139"/>
      <c r="CG34" s="139"/>
      <c r="CH34" s="139"/>
      <c r="CI34" s="139"/>
      <c r="CJ34" s="139"/>
      <c r="CL34" s="133"/>
      <c r="CM34" s="139" t="s">
        <v>32</v>
      </c>
      <c r="CN34" s="139" t="s">
        <v>32</v>
      </c>
      <c r="CO34" s="139" t="s">
        <v>32</v>
      </c>
      <c r="CP34" s="139" t="s">
        <v>32</v>
      </c>
      <c r="CQ34" s="139" t="s">
        <v>32</v>
      </c>
      <c r="CR34" s="139" t="s">
        <v>32</v>
      </c>
      <c r="CS34" s="139"/>
      <c r="CT34" s="139"/>
      <c r="CU34" s="139"/>
      <c r="CV34" s="139"/>
      <c r="CW34" s="139"/>
      <c r="CX34" s="139"/>
      <c r="CY34" s="139"/>
      <c r="CZ34" s="139"/>
      <c r="DA34" s="139"/>
      <c r="DB34" s="133"/>
      <c r="DC34" s="133"/>
      <c r="DD34" s="154" cm="1">
        <f t="array" ref="DD34">_xlfn.IFS(DD$1= 0,"", NOT(ISBLANK(CM34)), 0, ISBLANK(CM34), $Q34-$S34+AY34-BV34)</f>
        <v>0</v>
      </c>
      <c r="DE34" s="155" cm="1">
        <f t="array" ref="DE34">_xlfn.IFS(DE$1= 0,"", NOT(ISBLANK(CN34)), 0, ISBLANK(CN34), $Q34-$S34+AZ34-BW34)</f>
        <v>0</v>
      </c>
      <c r="DF34" s="155" cm="1">
        <f t="array" ref="DF34">_xlfn.IFS(DF$1= 0,"", NOT(ISBLANK(CO34)), 0, ISBLANK(CO34), $Q34-$S34+BA34-BX34)</f>
        <v>0</v>
      </c>
      <c r="DG34" s="155" cm="1">
        <f t="array" ref="DG34">_xlfn.IFS(DG$1= 0,"", NOT(ISBLANK(CP34)), 0, ISBLANK(CP34), $Q34-$S34+BB34-BY34)</f>
        <v>0</v>
      </c>
      <c r="DH34" s="155" cm="1">
        <f t="array" ref="DH34">_xlfn.IFS(DH$1= 0,"", NOT(ISBLANK(CQ34)), 0, ISBLANK(CQ34), $Q34-$S34+BC34-BZ34)</f>
        <v>0</v>
      </c>
      <c r="DI34" s="155" cm="1">
        <f t="array" ref="DI34">_xlfn.IFS(DI$1= 0,"", NOT(ISBLANK(CR34)), 0, ISBLANK(CR34), $Q34-$S34+BD34-CA34)</f>
        <v>0</v>
      </c>
      <c r="DJ34" s="155" cm="1">
        <f t="array" ref="DJ34">_xlfn.IFS(DJ$1= 0,"", NOT(ISBLANK(CS34)), 0, ISBLANK(CS34), $Q34-$S34+BE34-CB34)</f>
        <v>21.980715174611781</v>
      </c>
      <c r="DK34" s="155" cm="1">
        <f t="array" ref="DK34">_xlfn.IFS(DK$1= 0,"", NOT(ISBLANK(CT34)), 0, ISBLANK(CT34), $Q34-$S34+BF34-CC34)</f>
        <v>21.980715174611781</v>
      </c>
      <c r="DL34" s="156" cm="1">
        <f t="array" ref="DL34">_xlfn.IFS(DL$1= 0,"", NOT(ISBLANK(CU34)), 0, ISBLANK(CU34), $Q34-$S34+BG34-CD34)</f>
        <v>21.980715174611781</v>
      </c>
      <c r="DM34" s="156" cm="1">
        <f t="array" ref="DM34">_xlfn.IFS(DM$1= 0,"", NOT(ISBLANK(CV34)), 0, ISBLANK(CV34), $Q34-$S34+BH34-CE34)</f>
        <v>21.980715174611781</v>
      </c>
      <c r="DN34" s="156" cm="1">
        <f t="array" ref="DN34">_xlfn.IFS(DN$1= 0,"", NOT(ISBLANK(CW34)), 0, ISBLANK(CW34), $Q34-$S34+BI34-CF34)</f>
        <v>21.980715174611781</v>
      </c>
      <c r="DO34" s="156" cm="1">
        <f t="array" ref="DO34">_xlfn.IFS(DO$1= 0,"", NOT(ISBLANK(CX34)), 0, ISBLANK(CX34), $Q34-$S34+BJ34-CG34)</f>
        <v>21.980715174611781</v>
      </c>
      <c r="DP34" s="142" cm="1">
        <f t="array" ref="DP34">_xlfn.IFS(DP$1= 0,"", NOT(ISBLANK(CY34)), 0, ISBLANK(CY34), $Q34-$S34+BK34-CH34)</f>
        <v>21.980715174611781</v>
      </c>
      <c r="DQ34" s="142" cm="1">
        <f t="array" ref="DQ34">_xlfn.IFS(DQ$1= 0,"", NOT(ISBLANK(CZ34)), 0, ISBLANK(CZ34), $Q34-$S34+BL34-CI34)</f>
        <v>21.980715174611781</v>
      </c>
      <c r="DR34" s="143" cm="1">
        <f t="array" ref="DR34">_xlfn.IFS(DR$1= 0,"", NOT(ISBLANK(DA34)), 0, ISBLANK(DA34), $Q34-$S34+BM34-CJ34)</f>
        <v>21.980715174611781</v>
      </c>
    </row>
    <row r="35" spans="1:122" ht="16.5" customHeight="1" x14ac:dyDescent="0.3">
      <c r="A35" s="214">
        <v>1</v>
      </c>
      <c r="B35" s="144" t="s">
        <v>133</v>
      </c>
      <c r="C35" s="144" t="s">
        <v>98</v>
      </c>
      <c r="D35" s="145" t="s">
        <v>95</v>
      </c>
      <c r="E35" s="196" t="s">
        <v>115</v>
      </c>
      <c r="F35" s="204"/>
      <c r="G35" s="205"/>
      <c r="H35" s="205"/>
      <c r="I35" s="205"/>
      <c r="J35" s="205"/>
      <c r="K35" s="205"/>
      <c r="L35" s="205"/>
      <c r="M35" s="209"/>
      <c r="N35" s="204">
        <v>65.873120921161103</v>
      </c>
      <c r="O35" s="206">
        <v>0</v>
      </c>
      <c r="P35" s="199">
        <v>1</v>
      </c>
      <c r="Q35" s="127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6">
        <v>2</v>
      </c>
      <c r="Z35" s="115" t="s">
        <v>159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6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8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8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8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8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8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8">
        <f t="array" ref="AN35">IF(AN$1=0,"",SQRT((_xlfn.XLOOKUP(AN$1,$Z$2:$Z$18,$AA$2:$AA$18)-$T35)^2+(_xlfn.XLOOKUP(AN$1,$Z$2:$Z$18,$AB$2:$AB$18)-$U35)^2+(_xlfn.XLOOKUP(AN$1,$Z$2:$Z$18,$AC$2:$AC$18-$V35)^2)))</f>
        <v>176.66706682344619</v>
      </c>
      <c r="AO35" s="148">
        <f t="array" ref="AO35">IF(AO$1=0,"",SQRT((_xlfn.XLOOKUP(AO$1,$Z$2:$Z$18,$AA$2:$AA$18)-$T35)^2+(_xlfn.XLOOKUP(AO$1,$Z$2:$Z$18,$AB$2:$AB$18)-$U35)^2+(_xlfn.XLOOKUP(AO$1,$Z$2:$Z$18,$AC$2:$AC$18-$V35)^2)))</f>
        <v>176.66706682344619</v>
      </c>
      <c r="AP35" s="149">
        <f t="array" ref="AP35">IF(AP$1=0,"",SQRT((_xlfn.XLOOKUP(AP$1,$Z$2:$Z$18,$AA$2:$AA$18)-$T35)^2+(_xlfn.XLOOKUP(AP$1,$Z$2:$Z$18,$AB$2:$AB$18)-$U35)^2+(_xlfn.XLOOKUP(AP$1,$Z$2:$Z$18,$AC$2:$AC$18-$V35)^2)))</f>
        <v>176.66706682344619</v>
      </c>
      <c r="AQ35" s="149">
        <f t="array" ref="AQ35">IF(AQ$1=0,"",SQRT((_xlfn.XLOOKUP(AQ$1,$Z$2:$Z$18,$AA$2:$AA$18)-$T35)^2+(_xlfn.XLOOKUP(AQ$1,$Z$2:$Z$18,$AB$2:$AB$18)-$U35)^2+(_xlfn.XLOOKUP(AQ$1,$Z$2:$Z$18,$AC$2:$AC$18-$V35)^2)))</f>
        <v>176.66706682344619</v>
      </c>
      <c r="AR35" s="149">
        <f t="array" ref="AR35">IF(AR$1=0,"",SQRT((_xlfn.XLOOKUP(AR$1,$Z$2:$Z$18,$AA$2:$AA$18)-$T35)^2+(_xlfn.XLOOKUP(AR$1,$Z$2:$Z$18,$AB$2:$AB$18)-$U35)^2+(_xlfn.XLOOKUP(AR$1,$Z$2:$Z$18,$AC$2:$AC$18-$V35)^2)))</f>
        <v>176.66706682344619</v>
      </c>
      <c r="AS35" s="149">
        <f t="array" ref="AS35">IF(AS$1=0,"",SQRT((_xlfn.XLOOKUP(AS$1,$Z$2:$Z$18,$AA$2:$AA$18)-$T35)^2+(_xlfn.XLOOKUP(AS$1,$Z$2:$Z$18,$AB$2:$AB$18)-$U35)^2+(_xlfn.XLOOKUP(AS$1,$Z$2:$Z$18,$AC$2:$AC$18-$V35)^2)))</f>
        <v>176.66706682344619</v>
      </c>
      <c r="AT35" s="149">
        <f t="array" ref="AT35">IF(AT$1=0,"",SQRT((_xlfn.XLOOKUP(AT$1,$Z$2:$Z$18,$AA$2:$AA$18)-$T35)^2+(_xlfn.XLOOKUP(AT$1,$Z$2:$Z$18,$AB$2:$AB$18)-$U35)^2+(_xlfn.XLOOKUP(AT$1,$Z$2:$Z$18,$AC$2:$AC$18-$V35)^2)))</f>
        <v>176.66706682344619</v>
      </c>
      <c r="AU35" s="149">
        <f t="array" ref="AU35">IF(AU$1=0,"",SQRT((_xlfn.XLOOKUP(AU$1,$Z$2:$Z$18,$AA$2:$AA$18)-$T35)^2+(_xlfn.XLOOKUP(AU$1,$Z$2:$Z$18,$AB$2:$AB$18)-$U35)^2+(_xlfn.XLOOKUP(AU$1,$Z$2:$Z$18,$AC$2:$AC$18-$V35)^2)))</f>
        <v>176.66706682344619</v>
      </c>
      <c r="AV35" s="150">
        <f t="array" ref="AV35">IF(AV$1=0,"",SQRT((_xlfn.XLOOKUP(AV$1,$Z$2:$Z$18,$AA$2:$AA$18)-$T35)^2+(_xlfn.XLOOKUP(AV$1,$Z$2:$Z$18,$AB$2:$AB$18)-$U35)^2+(_xlfn.XLOOKUP(AV$1,$Z$2:$Z$18,$AC$2:$AC$18-$V35)^2)))</f>
        <v>176.66706682344619</v>
      </c>
      <c r="AW35" s="133"/>
      <c r="AX35" s="133"/>
      <c r="AY35" s="134">
        <f t="shared" si="36"/>
        <v>-42.60520990840601</v>
      </c>
      <c r="AZ35" s="151">
        <f t="shared" si="37"/>
        <v>-35.370033335846131</v>
      </c>
      <c r="BA35" s="151">
        <f t="shared" si="38"/>
        <v>-35.986871933595161</v>
      </c>
      <c r="BB35" s="151">
        <f t="shared" si="39"/>
        <v>-41.730805796865099</v>
      </c>
      <c r="BC35" s="151">
        <f t="shared" si="40"/>
        <v>-44.748835155954644</v>
      </c>
      <c r="BD35" s="151">
        <f t="shared" si="41"/>
        <v>-39.511304175778726</v>
      </c>
      <c r="BE35" s="151">
        <f t="shared" si="42"/>
        <v>-42.60520990840601</v>
      </c>
      <c r="BF35" s="151">
        <f t="shared" si="43"/>
        <v>-42.60520990840601</v>
      </c>
      <c r="BG35" s="152">
        <f t="shared" si="44"/>
        <v>-42.60520990840601</v>
      </c>
      <c r="BH35" s="152">
        <f t="shared" si="45"/>
        <v>-42.60520990840601</v>
      </c>
      <c r="BI35" s="152">
        <f t="shared" si="46"/>
        <v>-42.60520990840601</v>
      </c>
      <c r="BJ35" s="152">
        <f t="shared" si="47"/>
        <v>-42.60520990840601</v>
      </c>
      <c r="BK35" s="152">
        <f t="shared" si="48"/>
        <v>-42.60520990840601</v>
      </c>
      <c r="BL35" s="152">
        <f t="shared" si="49"/>
        <v>-42.60520990840601</v>
      </c>
      <c r="BM35" s="153">
        <f t="shared" si="50"/>
        <v>-42.60520990840601</v>
      </c>
      <c r="BN35" s="133"/>
      <c r="BO35" s="133"/>
      <c r="BP35" s="133"/>
      <c r="BQ35" s="133"/>
      <c r="BR35" s="133"/>
      <c r="BS35" s="133"/>
      <c r="BT35" s="133"/>
      <c r="BU35" s="133"/>
      <c r="BV35" s="139"/>
      <c r="BW35" s="139">
        <v>5</v>
      </c>
      <c r="BX35" s="139">
        <v>15</v>
      </c>
      <c r="BY35" s="139">
        <v>12</v>
      </c>
      <c r="BZ35" s="139">
        <v>11</v>
      </c>
      <c r="CA35" s="139">
        <v>3</v>
      </c>
      <c r="CB35" s="139"/>
      <c r="CC35" s="139"/>
      <c r="CD35" s="139"/>
      <c r="CE35" s="139"/>
      <c r="CF35" s="139"/>
      <c r="CG35" s="139"/>
      <c r="CH35" s="139"/>
      <c r="CI35" s="139"/>
      <c r="CJ35" s="139"/>
      <c r="CL35" s="133"/>
      <c r="CM35" s="139" t="s">
        <v>32</v>
      </c>
      <c r="CN35" s="139" t="s">
        <v>32</v>
      </c>
      <c r="CO35" s="139" t="s">
        <v>32</v>
      </c>
      <c r="CP35" s="139" t="s">
        <v>32</v>
      </c>
      <c r="CQ35" s="139" t="s">
        <v>32</v>
      </c>
      <c r="CR35" s="139" t="s">
        <v>32</v>
      </c>
      <c r="CS35" s="139"/>
      <c r="CT35" s="139"/>
      <c r="CU35" s="139"/>
      <c r="CV35" s="139"/>
      <c r="CW35" s="139"/>
      <c r="CX35" s="139"/>
      <c r="CY35" s="139"/>
      <c r="CZ35" s="139"/>
      <c r="DA35" s="139"/>
      <c r="DB35" s="133"/>
      <c r="DC35" s="133"/>
      <c r="DD35" s="154" cm="1">
        <f t="array" ref="DD35">_xlfn.IFS(DD$1= 0,"", NOT(ISBLANK(CM35)), 0, ISBLANK(CM35), $Q35-$S35+AY35-BV35)</f>
        <v>0</v>
      </c>
      <c r="DE35" s="155" cm="1">
        <f t="array" ref="DE35">_xlfn.IFS(DE$1= 0,"", NOT(ISBLANK(CN35)), 0, ISBLANK(CN35), $Q35-$S35+AZ35-BW35)</f>
        <v>0</v>
      </c>
      <c r="DF35" s="155" cm="1">
        <f t="array" ref="DF35">_xlfn.IFS(DF$1= 0,"", NOT(ISBLANK(CO35)), 0, ISBLANK(CO35), $Q35-$S35+BA35-BX35)</f>
        <v>0</v>
      </c>
      <c r="DG35" s="155" cm="1">
        <f t="array" ref="DG35">_xlfn.IFS(DG$1= 0,"", NOT(ISBLANK(CP35)), 0, ISBLANK(CP35), $Q35-$S35+BB35-BY35)</f>
        <v>0</v>
      </c>
      <c r="DH35" s="155" cm="1">
        <f t="array" ref="DH35">_xlfn.IFS(DH$1= 0,"", NOT(ISBLANK(CQ35)), 0, ISBLANK(CQ35), $Q35-$S35+BC35-BZ35)</f>
        <v>0</v>
      </c>
      <c r="DI35" s="155" cm="1">
        <f t="array" ref="DI35">_xlfn.IFS(DI$1= 0,"", NOT(ISBLANK(CR35)), 0, ISBLANK(CR35), $Q35-$S35+BD35-CA35)</f>
        <v>0</v>
      </c>
      <c r="DJ35" s="155" cm="1">
        <f t="array" ref="DJ35">_xlfn.IFS(DJ$1= 0,"", NOT(ISBLANK(CS35)), 0, ISBLANK(CS35), $Q35-$S35+BE35-CB35)</f>
        <v>23.39479009159399</v>
      </c>
      <c r="DK35" s="155" cm="1">
        <f t="array" ref="DK35">_xlfn.IFS(DK$1= 0,"", NOT(ISBLANK(CT35)), 0, ISBLANK(CT35), $Q35-$S35+BF35-CC35)</f>
        <v>23.39479009159399</v>
      </c>
      <c r="DL35" s="156" cm="1">
        <f t="array" ref="DL35">_xlfn.IFS(DL$1= 0,"", NOT(ISBLANK(CU35)), 0, ISBLANK(CU35), $Q35-$S35+BG35-CD35)</f>
        <v>23.39479009159399</v>
      </c>
      <c r="DM35" s="156" cm="1">
        <f t="array" ref="DM35">_xlfn.IFS(DM$1= 0,"", NOT(ISBLANK(CV35)), 0, ISBLANK(CV35), $Q35-$S35+BH35-CE35)</f>
        <v>23.39479009159399</v>
      </c>
      <c r="DN35" s="156" cm="1">
        <f t="array" ref="DN35">_xlfn.IFS(DN$1= 0,"", NOT(ISBLANK(CW35)), 0, ISBLANK(CW35), $Q35-$S35+BI35-CF35)</f>
        <v>23.39479009159399</v>
      </c>
      <c r="DO35" s="156" cm="1">
        <f t="array" ref="DO35">_xlfn.IFS(DO$1= 0,"", NOT(ISBLANK(CX35)), 0, ISBLANK(CX35), $Q35-$S35+BJ35-CG35)</f>
        <v>23.39479009159399</v>
      </c>
      <c r="DP35" s="142" cm="1">
        <f t="array" ref="DP35">_xlfn.IFS(DP$1= 0,"", NOT(ISBLANK(CY35)), 0, ISBLANK(CY35), $Q35-$S35+BK35-CH35)</f>
        <v>23.39479009159399</v>
      </c>
      <c r="DQ35" s="142" cm="1">
        <f t="array" ref="DQ35">_xlfn.IFS(DQ$1= 0,"", NOT(ISBLANK(CZ35)), 0, ISBLANK(CZ35), $Q35-$S35+BL35-CI35)</f>
        <v>23.39479009159399</v>
      </c>
      <c r="DR35" s="143" cm="1">
        <f t="array" ref="DR35">_xlfn.IFS(DR$1= 0,"", NOT(ISBLANK(DA35)), 0, ISBLANK(DA35), $Q35-$S35+BM35-CJ35)</f>
        <v>23.39479009159399</v>
      </c>
    </row>
    <row r="36" spans="1:122" ht="16.5" customHeight="1" x14ac:dyDescent="0.3">
      <c r="A36" s="214">
        <v>1</v>
      </c>
      <c r="B36" s="144" t="s">
        <v>118</v>
      </c>
      <c r="C36" s="144" t="s">
        <v>98</v>
      </c>
      <c r="D36" s="145" t="s">
        <v>95</v>
      </c>
      <c r="E36" s="196" t="s">
        <v>115</v>
      </c>
      <c r="F36" s="204"/>
      <c r="G36" s="205"/>
      <c r="H36" s="205"/>
      <c r="I36" s="205"/>
      <c r="J36" s="205"/>
      <c r="K36" s="205"/>
      <c r="L36" s="205"/>
      <c r="M36" s="209"/>
      <c r="N36" s="204">
        <v>65.873120921161103</v>
      </c>
      <c r="O36" s="206">
        <v>0</v>
      </c>
      <c r="P36" s="199">
        <v>1</v>
      </c>
      <c r="Q36" s="127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6">
        <v>2</v>
      </c>
      <c r="Z36" s="115" t="s">
        <v>160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6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8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8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8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8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8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8">
        <f t="array" ref="AN36">IF(AN$1=0,"",SQRT((_xlfn.XLOOKUP(AN$1,$Z$2:$Z$18,$AA$2:$AA$18)-$T36)^2+(_xlfn.XLOOKUP(AN$1,$Z$2:$Z$18,$AB$2:$AB$18)-$U36)^2+(_xlfn.XLOOKUP(AN$1,$Z$2:$Z$18,$AC$2:$AC$18-$V36)^2)))</f>
        <v>159.77435651568121</v>
      </c>
      <c r="AO36" s="148">
        <f t="array" ref="AO36">IF(AO$1=0,"",SQRT((_xlfn.XLOOKUP(AO$1,$Z$2:$Z$18,$AA$2:$AA$18)-$T36)^2+(_xlfn.XLOOKUP(AO$1,$Z$2:$Z$18,$AB$2:$AB$18)-$U36)^2+(_xlfn.XLOOKUP(AO$1,$Z$2:$Z$18,$AC$2:$AC$18-$V36)^2)))</f>
        <v>159.77435651568121</v>
      </c>
      <c r="AP36" s="149">
        <f t="array" ref="AP36">IF(AP$1=0,"",SQRT((_xlfn.XLOOKUP(AP$1,$Z$2:$Z$18,$AA$2:$AA$18)-$T36)^2+(_xlfn.XLOOKUP(AP$1,$Z$2:$Z$18,$AB$2:$AB$18)-$U36)^2+(_xlfn.XLOOKUP(AP$1,$Z$2:$Z$18,$AC$2:$AC$18-$V36)^2)))</f>
        <v>159.77435651568121</v>
      </c>
      <c r="AQ36" s="149">
        <f t="array" ref="AQ36">IF(AQ$1=0,"",SQRT((_xlfn.XLOOKUP(AQ$1,$Z$2:$Z$18,$AA$2:$AA$18)-$T36)^2+(_xlfn.XLOOKUP(AQ$1,$Z$2:$Z$18,$AB$2:$AB$18)-$U36)^2+(_xlfn.XLOOKUP(AQ$1,$Z$2:$Z$18,$AC$2:$AC$18-$V36)^2)))</f>
        <v>159.77435651568121</v>
      </c>
      <c r="AR36" s="149">
        <f t="array" ref="AR36">IF(AR$1=0,"",SQRT((_xlfn.XLOOKUP(AR$1,$Z$2:$Z$18,$AA$2:$AA$18)-$T36)^2+(_xlfn.XLOOKUP(AR$1,$Z$2:$Z$18,$AB$2:$AB$18)-$U36)^2+(_xlfn.XLOOKUP(AR$1,$Z$2:$Z$18,$AC$2:$AC$18-$V36)^2)))</f>
        <v>159.77435651568121</v>
      </c>
      <c r="AS36" s="149">
        <f t="array" ref="AS36">IF(AS$1=0,"",SQRT((_xlfn.XLOOKUP(AS$1,$Z$2:$Z$18,$AA$2:$AA$18)-$T36)^2+(_xlfn.XLOOKUP(AS$1,$Z$2:$Z$18,$AB$2:$AB$18)-$U36)^2+(_xlfn.XLOOKUP(AS$1,$Z$2:$Z$18,$AC$2:$AC$18-$V36)^2)))</f>
        <v>159.77435651568121</v>
      </c>
      <c r="AT36" s="149">
        <f t="array" ref="AT36">IF(AT$1=0,"",SQRT((_xlfn.XLOOKUP(AT$1,$Z$2:$Z$18,$AA$2:$AA$18)-$T36)^2+(_xlfn.XLOOKUP(AT$1,$Z$2:$Z$18,$AB$2:$AB$18)-$U36)^2+(_xlfn.XLOOKUP(AT$1,$Z$2:$Z$18,$AC$2:$AC$18-$V36)^2)))</f>
        <v>159.77435651568121</v>
      </c>
      <c r="AU36" s="149">
        <f t="array" ref="AU36">IF(AU$1=0,"",SQRT((_xlfn.XLOOKUP(AU$1,$Z$2:$Z$18,$AA$2:$AA$18)-$T36)^2+(_xlfn.XLOOKUP(AU$1,$Z$2:$Z$18,$AB$2:$AB$18)-$U36)^2+(_xlfn.XLOOKUP(AU$1,$Z$2:$Z$18,$AC$2:$AC$18-$V36)^2)))</f>
        <v>159.77435651568121</v>
      </c>
      <c r="AV36" s="150">
        <f t="array" ref="AV36">IF(AV$1=0,"",SQRT((_xlfn.XLOOKUP(AV$1,$Z$2:$Z$18,$AA$2:$AA$18)-$T36)^2+(_xlfn.XLOOKUP(AV$1,$Z$2:$Z$18,$AB$2:$AB$18)-$U36)^2+(_xlfn.XLOOKUP(AV$1,$Z$2:$Z$18,$AC$2:$AC$18-$V36)^2)))</f>
        <v>159.77435651568121</v>
      </c>
      <c r="AW36" s="133"/>
      <c r="AX36" s="133"/>
      <c r="AY36" s="134">
        <f t="shared" si="36"/>
        <v>-41.732239479369426</v>
      </c>
      <c r="AZ36" s="151">
        <f t="shared" si="37"/>
        <v>-32.203482671946404</v>
      </c>
      <c r="BA36" s="151">
        <f t="shared" si="38"/>
        <v>-36.181052986138432</v>
      </c>
      <c r="BB36" s="151">
        <f t="shared" si="39"/>
        <v>-42.625412762243108</v>
      </c>
      <c r="BC36" s="151">
        <f t="shared" si="40"/>
        <v>-45.643895972733915</v>
      </c>
      <c r="BD36" s="151">
        <f t="shared" si="41"/>
        <v>-38.669195075178486</v>
      </c>
      <c r="BE36" s="151">
        <f t="shared" si="42"/>
        <v>-41.732239479369426</v>
      </c>
      <c r="BF36" s="151">
        <f t="shared" si="43"/>
        <v>-41.732239479369426</v>
      </c>
      <c r="BG36" s="152">
        <f t="shared" si="44"/>
        <v>-41.732239479369426</v>
      </c>
      <c r="BH36" s="152">
        <f t="shared" si="45"/>
        <v>-41.732239479369426</v>
      </c>
      <c r="BI36" s="152">
        <f t="shared" si="46"/>
        <v>-41.732239479369426</v>
      </c>
      <c r="BJ36" s="152">
        <f t="shared" si="47"/>
        <v>-41.732239479369426</v>
      </c>
      <c r="BK36" s="152">
        <f t="shared" si="48"/>
        <v>-41.732239479369426</v>
      </c>
      <c r="BL36" s="152">
        <f t="shared" si="49"/>
        <v>-41.732239479369426</v>
      </c>
      <c r="BM36" s="153">
        <f t="shared" si="50"/>
        <v>-41.732239479369426</v>
      </c>
      <c r="BN36" s="133"/>
      <c r="BO36" s="133"/>
      <c r="BP36" s="133"/>
      <c r="BQ36" s="133"/>
      <c r="BR36" s="133"/>
      <c r="BS36" s="133"/>
      <c r="BT36" s="133"/>
      <c r="BU36" s="133"/>
      <c r="BV36" s="139"/>
      <c r="BW36" s="139">
        <v>2</v>
      </c>
      <c r="BX36" s="139">
        <v>15</v>
      </c>
      <c r="BY36" s="139">
        <v>11</v>
      </c>
      <c r="BZ36" s="139">
        <v>12</v>
      </c>
      <c r="CA36" s="139">
        <v>2</v>
      </c>
      <c r="CB36" s="139"/>
      <c r="CC36" s="139"/>
      <c r="CD36" s="139"/>
      <c r="CE36" s="139"/>
      <c r="CF36" s="139"/>
      <c r="CG36" s="139"/>
      <c r="CH36" s="139"/>
      <c r="CI36" s="139"/>
      <c r="CJ36" s="139"/>
      <c r="CL36" s="133"/>
      <c r="CM36" s="139" t="s">
        <v>32</v>
      </c>
      <c r="CN36" s="139" t="s">
        <v>32</v>
      </c>
      <c r="CO36" s="139" t="s">
        <v>32</v>
      </c>
      <c r="CP36" s="139" t="s">
        <v>32</v>
      </c>
      <c r="CQ36" s="139" t="s">
        <v>32</v>
      </c>
      <c r="CR36" s="139" t="s">
        <v>32</v>
      </c>
      <c r="CS36" s="139"/>
      <c r="CT36" s="139"/>
      <c r="CU36" s="139"/>
      <c r="CV36" s="139"/>
      <c r="CW36" s="139"/>
      <c r="CX36" s="139"/>
      <c r="CY36" s="139"/>
      <c r="CZ36" s="139"/>
      <c r="DA36" s="139"/>
      <c r="DB36" s="133"/>
      <c r="DC36" s="133"/>
      <c r="DD36" s="154" cm="1">
        <f t="array" ref="DD36">_xlfn.IFS(DD$1= 0,"", NOT(ISBLANK(CM36)), 0, ISBLANK(CM36), $Q36-$S36+AY36-BV36)</f>
        <v>0</v>
      </c>
      <c r="DE36" s="155" cm="1">
        <f t="array" ref="DE36">_xlfn.IFS(DE$1= 0,"", NOT(ISBLANK(CN36)), 0, ISBLANK(CN36), $Q36-$S36+AZ36-BW36)</f>
        <v>0</v>
      </c>
      <c r="DF36" s="155" cm="1">
        <f t="array" ref="DF36">_xlfn.IFS(DF$1= 0,"", NOT(ISBLANK(CO36)), 0, ISBLANK(CO36), $Q36-$S36+BA36-BX36)</f>
        <v>0</v>
      </c>
      <c r="DG36" s="155" cm="1">
        <f t="array" ref="DG36">_xlfn.IFS(DG$1= 0,"", NOT(ISBLANK(CP36)), 0, ISBLANK(CP36), $Q36-$S36+BB36-BY36)</f>
        <v>0</v>
      </c>
      <c r="DH36" s="155" cm="1">
        <f t="array" ref="DH36">_xlfn.IFS(DH$1= 0,"", NOT(ISBLANK(CQ36)), 0, ISBLANK(CQ36), $Q36-$S36+BC36-BZ36)</f>
        <v>0</v>
      </c>
      <c r="DI36" s="155" cm="1">
        <f t="array" ref="DI36">_xlfn.IFS(DI$1= 0,"", NOT(ISBLANK(CR36)), 0, ISBLANK(CR36), $Q36-$S36+BD36-CA36)</f>
        <v>0</v>
      </c>
      <c r="DJ36" s="155" cm="1">
        <f t="array" ref="DJ36">_xlfn.IFS(DJ$1= 0,"", NOT(ISBLANK(CS36)), 0, ISBLANK(CS36), $Q36-$S36+BE36-CB36)</f>
        <v>24.267760520630574</v>
      </c>
      <c r="DK36" s="155" cm="1">
        <f t="array" ref="DK36">_xlfn.IFS(DK$1= 0,"", NOT(ISBLANK(CT36)), 0, ISBLANK(CT36), $Q36-$S36+BF36-CC36)</f>
        <v>24.267760520630574</v>
      </c>
      <c r="DL36" s="156" cm="1">
        <f t="array" ref="DL36">_xlfn.IFS(DL$1= 0,"", NOT(ISBLANK(CU36)), 0, ISBLANK(CU36), $Q36-$S36+BG36-CD36)</f>
        <v>24.267760520630574</v>
      </c>
      <c r="DM36" s="156" cm="1">
        <f t="array" ref="DM36">_xlfn.IFS(DM$1= 0,"", NOT(ISBLANK(CV36)), 0, ISBLANK(CV36), $Q36-$S36+BH36-CE36)</f>
        <v>24.267760520630574</v>
      </c>
      <c r="DN36" s="156" cm="1">
        <f t="array" ref="DN36">_xlfn.IFS(DN$1= 0,"", NOT(ISBLANK(CW36)), 0, ISBLANK(CW36), $Q36-$S36+BI36-CF36)</f>
        <v>24.267760520630574</v>
      </c>
      <c r="DO36" s="156" cm="1">
        <f t="array" ref="DO36">_xlfn.IFS(DO$1= 0,"", NOT(ISBLANK(CX36)), 0, ISBLANK(CX36), $Q36-$S36+BJ36-CG36)</f>
        <v>24.267760520630574</v>
      </c>
      <c r="DP36" s="142" cm="1">
        <f t="array" ref="DP36">_xlfn.IFS(DP$1= 0,"", NOT(ISBLANK(CY36)), 0, ISBLANK(CY36), $Q36-$S36+BK36-CH36)</f>
        <v>24.267760520630574</v>
      </c>
      <c r="DQ36" s="142" cm="1">
        <f t="array" ref="DQ36">_xlfn.IFS(DQ$1= 0,"", NOT(ISBLANK(CZ36)), 0, ISBLANK(CZ36), $Q36-$S36+BL36-CI36)</f>
        <v>24.267760520630574</v>
      </c>
      <c r="DR36" s="143" cm="1">
        <f t="array" ref="DR36">_xlfn.IFS(DR$1= 0,"", NOT(ISBLANK(DA36)), 0, ISBLANK(DA36), $Q36-$S36+BM36-CJ36)</f>
        <v>24.267760520630574</v>
      </c>
    </row>
    <row r="37" spans="1:122" ht="16.5" customHeight="1" x14ac:dyDescent="0.3">
      <c r="A37" s="214">
        <v>1</v>
      </c>
      <c r="B37" s="144" t="s">
        <v>119</v>
      </c>
      <c r="C37" s="144" t="s">
        <v>98</v>
      </c>
      <c r="D37" s="145" t="s">
        <v>95</v>
      </c>
      <c r="E37" s="196" t="s">
        <v>114</v>
      </c>
      <c r="F37" s="204"/>
      <c r="G37" s="205"/>
      <c r="H37" s="205"/>
      <c r="I37" s="205"/>
      <c r="J37" s="205"/>
      <c r="K37" s="205"/>
      <c r="L37" s="205"/>
      <c r="M37" s="209"/>
      <c r="N37" s="204">
        <v>57.392737795737183</v>
      </c>
      <c r="O37" s="206">
        <v>0</v>
      </c>
      <c r="P37" s="199">
        <v>1</v>
      </c>
      <c r="Q37" s="127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6">
        <v>2</v>
      </c>
      <c r="Z37" s="115" t="s">
        <v>161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6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8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8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8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8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8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8">
        <f t="array" ref="AN37">IF(AN$1=0,"",SQRT((_xlfn.XLOOKUP(AN$1,$Z$2:$Z$18,$AA$2:$AA$18)-$T37)^2+(_xlfn.XLOOKUP(AN$1,$Z$2:$Z$18,$AB$2:$AB$18)-$U37)^2+(_xlfn.XLOOKUP(AN$1,$Z$2:$Z$18,$AC$2:$AC$18-$V37)^2)))</f>
        <v>150.72647146403978</v>
      </c>
      <c r="AO37" s="148">
        <f t="array" ref="AO37">IF(AO$1=0,"",SQRT((_xlfn.XLOOKUP(AO$1,$Z$2:$Z$18,$AA$2:$AA$18)-$T37)^2+(_xlfn.XLOOKUP(AO$1,$Z$2:$Z$18,$AB$2:$AB$18)-$U37)^2+(_xlfn.XLOOKUP(AO$1,$Z$2:$Z$18,$AC$2:$AC$18-$V37)^2)))</f>
        <v>150.72647146403978</v>
      </c>
      <c r="AP37" s="149">
        <f t="array" ref="AP37">IF(AP$1=0,"",SQRT((_xlfn.XLOOKUP(AP$1,$Z$2:$Z$18,$AA$2:$AA$18)-$T37)^2+(_xlfn.XLOOKUP(AP$1,$Z$2:$Z$18,$AB$2:$AB$18)-$U37)^2+(_xlfn.XLOOKUP(AP$1,$Z$2:$Z$18,$AC$2:$AC$18-$V37)^2)))</f>
        <v>150.72647146403978</v>
      </c>
      <c r="AQ37" s="149">
        <f t="array" ref="AQ37">IF(AQ$1=0,"",SQRT((_xlfn.XLOOKUP(AQ$1,$Z$2:$Z$18,$AA$2:$AA$18)-$T37)^2+(_xlfn.XLOOKUP(AQ$1,$Z$2:$Z$18,$AB$2:$AB$18)-$U37)^2+(_xlfn.XLOOKUP(AQ$1,$Z$2:$Z$18,$AC$2:$AC$18-$V37)^2)))</f>
        <v>150.72647146403978</v>
      </c>
      <c r="AR37" s="149">
        <f t="array" ref="AR37">IF(AR$1=0,"",SQRT((_xlfn.XLOOKUP(AR$1,$Z$2:$Z$18,$AA$2:$AA$18)-$T37)^2+(_xlfn.XLOOKUP(AR$1,$Z$2:$Z$18,$AB$2:$AB$18)-$U37)^2+(_xlfn.XLOOKUP(AR$1,$Z$2:$Z$18,$AC$2:$AC$18-$V37)^2)))</f>
        <v>150.72647146403978</v>
      </c>
      <c r="AS37" s="149">
        <f t="array" ref="AS37">IF(AS$1=0,"",SQRT((_xlfn.XLOOKUP(AS$1,$Z$2:$Z$18,$AA$2:$AA$18)-$T37)^2+(_xlfn.XLOOKUP(AS$1,$Z$2:$Z$18,$AB$2:$AB$18)-$U37)^2+(_xlfn.XLOOKUP(AS$1,$Z$2:$Z$18,$AC$2:$AC$18-$V37)^2)))</f>
        <v>150.72647146403978</v>
      </c>
      <c r="AT37" s="149">
        <f t="array" ref="AT37">IF(AT$1=0,"",SQRT((_xlfn.XLOOKUP(AT$1,$Z$2:$Z$18,$AA$2:$AA$18)-$T37)^2+(_xlfn.XLOOKUP(AT$1,$Z$2:$Z$18,$AB$2:$AB$18)-$U37)^2+(_xlfn.XLOOKUP(AT$1,$Z$2:$Z$18,$AC$2:$AC$18-$V37)^2)))</f>
        <v>150.72647146403978</v>
      </c>
      <c r="AU37" s="149">
        <f t="array" ref="AU37">IF(AU$1=0,"",SQRT((_xlfn.XLOOKUP(AU$1,$Z$2:$Z$18,$AA$2:$AA$18)-$T37)^2+(_xlfn.XLOOKUP(AU$1,$Z$2:$Z$18,$AB$2:$AB$18)-$U37)^2+(_xlfn.XLOOKUP(AU$1,$Z$2:$Z$18,$AC$2:$AC$18-$V37)^2)))</f>
        <v>150.72647146403978</v>
      </c>
      <c r="AV37" s="150">
        <f t="array" ref="AV37">IF(AV$1=0,"",SQRT((_xlfn.XLOOKUP(AV$1,$Z$2:$Z$18,$AA$2:$AA$18)-$T37)^2+(_xlfn.XLOOKUP(AV$1,$Z$2:$Z$18,$AB$2:$AB$18)-$U37)^2+(_xlfn.XLOOKUP(AV$1,$Z$2:$Z$18,$AC$2:$AC$18-$V37)^2)))</f>
        <v>150.72647146403978</v>
      </c>
      <c r="AW37" s="133"/>
      <c r="AX37" s="133"/>
      <c r="AY37" s="134">
        <f t="shared" si="36"/>
        <v>-41.225888583910894</v>
      </c>
      <c r="AZ37" s="151">
        <f t="shared" si="37"/>
        <v>-29.736287105100526</v>
      </c>
      <c r="BA37" s="151">
        <f t="shared" si="38"/>
        <v>-37.392857737254246</v>
      </c>
      <c r="BB37" s="151">
        <f t="shared" si="39"/>
        <v>-43.592638777580682</v>
      </c>
      <c r="BC37" s="151">
        <f t="shared" si="40"/>
        <v>-46.442171195631914</v>
      </c>
      <c r="BD37" s="151">
        <f t="shared" si="41"/>
        <v>-37.814632345513999</v>
      </c>
      <c r="BE37" s="151">
        <f t="shared" si="42"/>
        <v>-41.225888583910894</v>
      </c>
      <c r="BF37" s="151">
        <f t="shared" si="43"/>
        <v>-41.225888583910894</v>
      </c>
      <c r="BG37" s="152">
        <f t="shared" si="44"/>
        <v>-41.225888583910894</v>
      </c>
      <c r="BH37" s="152">
        <f t="shared" si="45"/>
        <v>-41.225888583910894</v>
      </c>
      <c r="BI37" s="152">
        <f t="shared" si="46"/>
        <v>-41.225888583910894</v>
      </c>
      <c r="BJ37" s="152">
        <f t="shared" si="47"/>
        <v>-41.225888583910894</v>
      </c>
      <c r="BK37" s="152">
        <f t="shared" si="48"/>
        <v>-41.225888583910894</v>
      </c>
      <c r="BL37" s="152">
        <f t="shared" si="49"/>
        <v>-41.225888583910894</v>
      </c>
      <c r="BM37" s="153">
        <f t="shared" si="50"/>
        <v>-41.225888583910894</v>
      </c>
      <c r="BN37" s="133"/>
      <c r="BO37" s="216" t="s">
        <v>68</v>
      </c>
      <c r="BP37" s="217"/>
      <c r="BQ37" s="21"/>
      <c r="BR37" s="133"/>
      <c r="BS37" s="133"/>
      <c r="BT37" s="133"/>
      <c r="BU37" s="133"/>
      <c r="BV37" s="139"/>
      <c r="BW37" s="139">
        <v>0</v>
      </c>
      <c r="BX37" s="139">
        <v>13</v>
      </c>
      <c r="BY37" s="139">
        <v>11</v>
      </c>
      <c r="BZ37" s="139">
        <v>12</v>
      </c>
      <c r="CA37" s="139">
        <v>0</v>
      </c>
      <c r="CB37" s="139"/>
      <c r="CC37" s="139"/>
      <c r="CD37" s="139"/>
      <c r="CE37" s="139"/>
      <c r="CF37" s="139"/>
      <c r="CG37" s="139"/>
      <c r="CH37" s="139"/>
      <c r="CI37" s="139"/>
      <c r="CJ37" s="139"/>
      <c r="CL37" s="133"/>
      <c r="CM37" s="139" t="s">
        <v>32</v>
      </c>
      <c r="CN37" s="139" t="s">
        <v>32</v>
      </c>
      <c r="CO37" s="139" t="s">
        <v>32</v>
      </c>
      <c r="CP37" s="139" t="s">
        <v>32</v>
      </c>
      <c r="CQ37" s="139" t="s">
        <v>32</v>
      </c>
      <c r="CR37" s="139" t="s">
        <v>32</v>
      </c>
      <c r="CS37" s="139"/>
      <c r="CT37" s="139"/>
      <c r="CU37" s="139"/>
      <c r="CV37" s="139"/>
      <c r="CW37" s="139"/>
      <c r="CX37" s="139"/>
      <c r="CY37" s="139"/>
      <c r="CZ37" s="139"/>
      <c r="DA37" s="139"/>
      <c r="DB37" s="133"/>
      <c r="DC37" s="133"/>
      <c r="DD37" s="154" cm="1">
        <f t="array" ref="DD37">_xlfn.IFS(DD$1= 0,"", NOT(ISBLANK(CM37)), 0, ISBLANK(CM37), $Q37-$S37+AY37-BV37)</f>
        <v>0</v>
      </c>
      <c r="DE37" s="155" cm="1">
        <f t="array" ref="DE37">_xlfn.IFS(DE$1= 0,"", NOT(ISBLANK(CN37)), 0, ISBLANK(CN37), $Q37-$S37+AZ37-BW37)</f>
        <v>0</v>
      </c>
      <c r="DF37" s="155" cm="1">
        <f t="array" ref="DF37">_xlfn.IFS(DF$1= 0,"", NOT(ISBLANK(CO37)), 0, ISBLANK(CO37), $Q37-$S37+BA37-BX37)</f>
        <v>0</v>
      </c>
      <c r="DG37" s="155" cm="1">
        <f t="array" ref="DG37">_xlfn.IFS(DG$1= 0,"", NOT(ISBLANK(CP37)), 0, ISBLANK(CP37), $Q37-$S37+BB37-BY37)</f>
        <v>0</v>
      </c>
      <c r="DH37" s="155" cm="1">
        <f t="array" ref="DH37">_xlfn.IFS(DH$1= 0,"", NOT(ISBLANK(CQ37)), 0, ISBLANK(CQ37), $Q37-$S37+BC37-BZ37)</f>
        <v>0</v>
      </c>
      <c r="DI37" s="155" cm="1">
        <f t="array" ref="DI37">_xlfn.IFS(DI$1= 0,"", NOT(ISBLANK(CR37)), 0, ISBLANK(CR37), $Q37-$S37+BD37-CA37)</f>
        <v>0</v>
      </c>
      <c r="DJ37" s="155" cm="1">
        <f t="array" ref="DJ37">_xlfn.IFS(DJ$1= 0,"", NOT(ISBLANK(CS37)), 0, ISBLANK(CS37), $Q37-$S37+BE37-CB37)</f>
        <v>15.774111416089106</v>
      </c>
      <c r="DK37" s="155" cm="1">
        <f t="array" ref="DK37">_xlfn.IFS(DK$1= 0,"", NOT(ISBLANK(CT37)), 0, ISBLANK(CT37), $Q37-$S37+BF37-CC37)</f>
        <v>15.774111416089106</v>
      </c>
      <c r="DL37" s="156" cm="1">
        <f t="array" ref="DL37">_xlfn.IFS(DL$1= 0,"", NOT(ISBLANK(CU37)), 0, ISBLANK(CU37), $Q37-$S37+BG37-CD37)</f>
        <v>15.774111416089106</v>
      </c>
      <c r="DM37" s="156" cm="1">
        <f t="array" ref="DM37">_xlfn.IFS(DM$1= 0,"", NOT(ISBLANK(CV37)), 0, ISBLANK(CV37), $Q37-$S37+BH37-CE37)</f>
        <v>15.774111416089106</v>
      </c>
      <c r="DN37" s="156" cm="1">
        <f t="array" ref="DN37">_xlfn.IFS(DN$1= 0,"", NOT(ISBLANK(CW37)), 0, ISBLANK(CW37), $Q37-$S37+BI37-CF37)</f>
        <v>15.774111416089106</v>
      </c>
      <c r="DO37" s="156" cm="1">
        <f t="array" ref="DO37">_xlfn.IFS(DO$1= 0,"", NOT(ISBLANK(CX37)), 0, ISBLANK(CX37), $Q37-$S37+BJ37-CG37)</f>
        <v>15.774111416089106</v>
      </c>
      <c r="DP37" s="142" cm="1">
        <f t="array" ref="DP37">_xlfn.IFS(DP$1= 0,"", NOT(ISBLANK(CY37)), 0, ISBLANK(CY37), $Q37-$S37+BK37-CH37)</f>
        <v>15.774111416089106</v>
      </c>
      <c r="DQ37" s="142" cm="1">
        <f t="array" ref="DQ37">_xlfn.IFS(DQ$1= 0,"", NOT(ISBLANK(CZ37)), 0, ISBLANK(CZ37), $Q37-$S37+BL37-CI37)</f>
        <v>15.774111416089106</v>
      </c>
      <c r="DR37" s="143" cm="1">
        <f t="array" ref="DR37">_xlfn.IFS(DR$1= 0,"", NOT(ISBLANK(DA37)), 0, ISBLANK(DA37), $Q37-$S37+BM37-CJ37)</f>
        <v>15.774111416089106</v>
      </c>
    </row>
    <row r="38" spans="1:122" ht="16.5" customHeight="1" x14ac:dyDescent="0.3">
      <c r="A38" s="214">
        <v>1</v>
      </c>
      <c r="B38" s="144" t="s">
        <v>120</v>
      </c>
      <c r="C38" s="144" t="s">
        <v>98</v>
      </c>
      <c r="D38" s="145" t="s">
        <v>95</v>
      </c>
      <c r="E38" s="196" t="s">
        <v>114</v>
      </c>
      <c r="F38" s="204"/>
      <c r="G38" s="205"/>
      <c r="H38" s="205"/>
      <c r="I38" s="205"/>
      <c r="J38" s="205"/>
      <c r="K38" s="205"/>
      <c r="L38" s="205"/>
      <c r="M38" s="209"/>
      <c r="N38" s="204">
        <v>57.392737795737183</v>
      </c>
      <c r="O38" s="206">
        <v>0</v>
      </c>
      <c r="P38" s="199">
        <v>1</v>
      </c>
      <c r="Q38" s="127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6">
        <v>2</v>
      </c>
      <c r="Z38" s="115" t="s">
        <v>162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6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8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8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8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8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8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8">
        <f t="array" ref="AN38">IF(AN$1=0,"",SQRT((_xlfn.XLOOKUP(AN$1,$Z$2:$Z$18,$AA$2:$AA$18)-$T38)^2+(_xlfn.XLOOKUP(AN$1,$Z$2:$Z$18,$AB$2:$AB$18)-$U38)^2+(_xlfn.XLOOKUP(AN$1,$Z$2:$Z$18,$AC$2:$AC$18-$V38)^2)))</f>
        <v>217.5759373184452</v>
      </c>
      <c r="AO38" s="148">
        <f t="array" ref="AO38">IF(AO$1=0,"",SQRT((_xlfn.XLOOKUP(AO$1,$Z$2:$Z$18,$AA$2:$AA$18)-$T38)^2+(_xlfn.XLOOKUP(AO$1,$Z$2:$Z$18,$AB$2:$AB$18)-$U38)^2+(_xlfn.XLOOKUP(AO$1,$Z$2:$Z$18,$AC$2:$AC$18-$V38)^2)))</f>
        <v>217.5759373184452</v>
      </c>
      <c r="AP38" s="149">
        <f t="array" ref="AP38">IF(AP$1=0,"",SQRT((_xlfn.XLOOKUP(AP$1,$Z$2:$Z$18,$AA$2:$AA$18)-$T38)^2+(_xlfn.XLOOKUP(AP$1,$Z$2:$Z$18,$AB$2:$AB$18)-$U38)^2+(_xlfn.XLOOKUP(AP$1,$Z$2:$Z$18,$AC$2:$AC$18-$V38)^2)))</f>
        <v>217.5759373184452</v>
      </c>
      <c r="AQ38" s="149">
        <f t="array" ref="AQ38">IF(AQ$1=0,"",SQRT((_xlfn.XLOOKUP(AQ$1,$Z$2:$Z$18,$AA$2:$AA$18)-$T38)^2+(_xlfn.XLOOKUP(AQ$1,$Z$2:$Z$18,$AB$2:$AB$18)-$U38)^2+(_xlfn.XLOOKUP(AQ$1,$Z$2:$Z$18,$AC$2:$AC$18-$V38)^2)))</f>
        <v>217.5759373184452</v>
      </c>
      <c r="AR38" s="149">
        <f t="array" ref="AR38">IF(AR$1=0,"",SQRT((_xlfn.XLOOKUP(AR$1,$Z$2:$Z$18,$AA$2:$AA$18)-$T38)^2+(_xlfn.XLOOKUP(AR$1,$Z$2:$Z$18,$AB$2:$AB$18)-$U38)^2+(_xlfn.XLOOKUP(AR$1,$Z$2:$Z$18,$AC$2:$AC$18-$V38)^2)))</f>
        <v>217.5759373184452</v>
      </c>
      <c r="AS38" s="149">
        <f t="array" ref="AS38">IF(AS$1=0,"",SQRT((_xlfn.XLOOKUP(AS$1,$Z$2:$Z$18,$AA$2:$AA$18)-$T38)^2+(_xlfn.XLOOKUP(AS$1,$Z$2:$Z$18,$AB$2:$AB$18)-$U38)^2+(_xlfn.XLOOKUP(AS$1,$Z$2:$Z$18,$AC$2:$AC$18-$V38)^2)))</f>
        <v>217.5759373184452</v>
      </c>
      <c r="AT38" s="149">
        <f t="array" ref="AT38">IF(AT$1=0,"",SQRT((_xlfn.XLOOKUP(AT$1,$Z$2:$Z$18,$AA$2:$AA$18)-$T38)^2+(_xlfn.XLOOKUP(AT$1,$Z$2:$Z$18,$AB$2:$AB$18)-$U38)^2+(_xlfn.XLOOKUP(AT$1,$Z$2:$Z$18,$AC$2:$AC$18-$V38)^2)))</f>
        <v>217.5759373184452</v>
      </c>
      <c r="AU38" s="149">
        <f t="array" ref="AU38">IF(AU$1=0,"",SQRT((_xlfn.XLOOKUP(AU$1,$Z$2:$Z$18,$AA$2:$AA$18)-$T38)^2+(_xlfn.XLOOKUP(AU$1,$Z$2:$Z$18,$AB$2:$AB$18)-$U38)^2+(_xlfn.XLOOKUP(AU$1,$Z$2:$Z$18,$AC$2:$AC$18-$V38)^2)))</f>
        <v>217.5759373184452</v>
      </c>
      <c r="AV38" s="150">
        <f t="array" ref="AV38">IF(AV$1=0,"",SQRT((_xlfn.XLOOKUP(AV$1,$Z$2:$Z$18,$AA$2:$AA$18)-$T38)^2+(_xlfn.XLOOKUP(AV$1,$Z$2:$Z$18,$AB$2:$AB$18)-$U38)^2+(_xlfn.XLOOKUP(AV$1,$Z$2:$Z$18,$AC$2:$AC$18-$V38)^2)))</f>
        <v>217.5759373184452</v>
      </c>
      <c r="AW38" s="133"/>
      <c r="AX38" s="133"/>
      <c r="AY38" s="134">
        <f t="shared" si="36"/>
        <v>-44.414315199765042</v>
      </c>
      <c r="AZ38" s="151">
        <f t="shared" si="37"/>
        <v>-39.823349759925378</v>
      </c>
      <c r="BA38" s="151">
        <f t="shared" si="38"/>
        <v>-37.964734854222307</v>
      </c>
      <c r="BB38" s="151">
        <f t="shared" si="39"/>
        <v>-40.327221336628696</v>
      </c>
      <c r="BC38" s="151">
        <f t="shared" si="40"/>
        <v>-42.726568324128365</v>
      </c>
      <c r="BD38" s="151">
        <f t="shared" si="41"/>
        <v>-41.586254387600114</v>
      </c>
      <c r="BE38" s="151">
        <f t="shared" si="42"/>
        <v>-44.414315199765042</v>
      </c>
      <c r="BF38" s="151">
        <f t="shared" si="43"/>
        <v>-44.414315199765042</v>
      </c>
      <c r="BG38" s="152">
        <f t="shared" si="44"/>
        <v>-44.414315199765042</v>
      </c>
      <c r="BH38" s="152">
        <f t="shared" si="45"/>
        <v>-44.414315199765042</v>
      </c>
      <c r="BI38" s="152">
        <f t="shared" si="46"/>
        <v>-44.414315199765042</v>
      </c>
      <c r="BJ38" s="152">
        <f t="shared" si="47"/>
        <v>-44.414315199765042</v>
      </c>
      <c r="BK38" s="152">
        <f t="shared" si="48"/>
        <v>-44.414315199765042</v>
      </c>
      <c r="BL38" s="152">
        <f t="shared" si="49"/>
        <v>-44.414315199765042</v>
      </c>
      <c r="BM38" s="153">
        <f t="shared" si="50"/>
        <v>-44.414315199765042</v>
      </c>
      <c r="BN38" s="133"/>
      <c r="BO38" s="57" t="s">
        <v>69</v>
      </c>
      <c r="BP38" s="57" t="s">
        <v>70</v>
      </c>
      <c r="BQ38" s="21"/>
      <c r="BR38" s="133"/>
      <c r="BS38" s="133"/>
      <c r="BT38" s="133"/>
      <c r="BU38" s="133"/>
      <c r="BV38" s="139"/>
      <c r="BW38" s="139">
        <v>7</v>
      </c>
      <c r="BX38" s="139">
        <v>14</v>
      </c>
      <c r="BY38" s="139">
        <v>15</v>
      </c>
      <c r="BZ38" s="139">
        <v>9</v>
      </c>
      <c r="CA38" s="139">
        <v>2</v>
      </c>
      <c r="CB38" s="139"/>
      <c r="CC38" s="139"/>
      <c r="CD38" s="139"/>
      <c r="CE38" s="139"/>
      <c r="CF38" s="139"/>
      <c r="CG38" s="139"/>
      <c r="CH38" s="139"/>
      <c r="CI38" s="139"/>
      <c r="CJ38" s="139"/>
      <c r="CL38" s="133"/>
      <c r="CM38" s="139" t="s">
        <v>32</v>
      </c>
      <c r="CN38" s="139" t="s">
        <v>32</v>
      </c>
      <c r="CO38" s="139" t="s">
        <v>32</v>
      </c>
      <c r="CP38" s="139" t="s">
        <v>32</v>
      </c>
      <c r="CQ38" s="139" t="s">
        <v>32</v>
      </c>
      <c r="CR38" s="139" t="s">
        <v>32</v>
      </c>
      <c r="CS38" s="139"/>
      <c r="CT38" s="139"/>
      <c r="CU38" s="139"/>
      <c r="CV38" s="139"/>
      <c r="CW38" s="139"/>
      <c r="CX38" s="139"/>
      <c r="CY38" s="139"/>
      <c r="CZ38" s="139"/>
      <c r="DA38" s="139"/>
      <c r="DB38" s="133"/>
      <c r="DC38" s="133"/>
      <c r="DD38" s="154" cm="1">
        <f t="array" ref="DD38">_xlfn.IFS(DD$1= 0,"", NOT(ISBLANK(CM38)), 0, ISBLANK(CM38), $Q38-$S38+AY38-BV38)</f>
        <v>0</v>
      </c>
      <c r="DE38" s="155" cm="1">
        <f t="array" ref="DE38">_xlfn.IFS(DE$1= 0,"", NOT(ISBLANK(CN38)), 0, ISBLANK(CN38), $Q38-$S38+AZ38-BW38)</f>
        <v>0</v>
      </c>
      <c r="DF38" s="155" cm="1">
        <f t="array" ref="DF38">_xlfn.IFS(DF$1= 0,"", NOT(ISBLANK(CO38)), 0, ISBLANK(CO38), $Q38-$S38+BA38-BX38)</f>
        <v>0</v>
      </c>
      <c r="DG38" s="155" cm="1">
        <f t="array" ref="DG38">_xlfn.IFS(DG$1= 0,"", NOT(ISBLANK(CP38)), 0, ISBLANK(CP38), $Q38-$S38+BB38-BY38)</f>
        <v>0</v>
      </c>
      <c r="DH38" s="155" cm="1">
        <f t="array" ref="DH38">_xlfn.IFS(DH$1= 0,"", NOT(ISBLANK(CQ38)), 0, ISBLANK(CQ38), $Q38-$S38+BC38-BZ38)</f>
        <v>0</v>
      </c>
      <c r="DI38" s="155" cm="1">
        <f t="array" ref="DI38">_xlfn.IFS(DI$1= 0,"", NOT(ISBLANK(CR38)), 0, ISBLANK(CR38), $Q38-$S38+BD38-CA38)</f>
        <v>0</v>
      </c>
      <c r="DJ38" s="155" cm="1">
        <f t="array" ref="DJ38">_xlfn.IFS(DJ$1= 0,"", NOT(ISBLANK(CS38)), 0, ISBLANK(CS38), $Q38-$S38+BE38-CB38)</f>
        <v>12.585684800234958</v>
      </c>
      <c r="DK38" s="155" cm="1">
        <f t="array" ref="DK38">_xlfn.IFS(DK$1= 0,"", NOT(ISBLANK(CT38)), 0, ISBLANK(CT38), $Q38-$S38+BF38-CC38)</f>
        <v>12.585684800234958</v>
      </c>
      <c r="DL38" s="156" cm="1">
        <f t="array" ref="DL38">_xlfn.IFS(DL$1= 0,"", NOT(ISBLANK(CU38)), 0, ISBLANK(CU38), $Q38-$S38+BG38-CD38)</f>
        <v>12.585684800234958</v>
      </c>
      <c r="DM38" s="156" cm="1">
        <f t="array" ref="DM38">_xlfn.IFS(DM$1= 0,"", NOT(ISBLANK(CV38)), 0, ISBLANK(CV38), $Q38-$S38+BH38-CE38)</f>
        <v>12.585684800234958</v>
      </c>
      <c r="DN38" s="156" cm="1">
        <f t="array" ref="DN38">_xlfn.IFS(DN$1= 0,"", NOT(ISBLANK(CW38)), 0, ISBLANK(CW38), $Q38-$S38+BI38-CF38)</f>
        <v>12.585684800234958</v>
      </c>
      <c r="DO38" s="156" cm="1">
        <f t="array" ref="DO38">_xlfn.IFS(DO$1= 0,"", NOT(ISBLANK(CX38)), 0, ISBLANK(CX38), $Q38-$S38+BJ38-CG38)</f>
        <v>12.585684800234958</v>
      </c>
      <c r="DP38" s="142" cm="1">
        <f t="array" ref="DP38">_xlfn.IFS(DP$1= 0,"", NOT(ISBLANK(CY38)), 0, ISBLANK(CY38), $Q38-$S38+BK38-CH38)</f>
        <v>12.585684800234958</v>
      </c>
      <c r="DQ38" s="142" cm="1">
        <f t="array" ref="DQ38">_xlfn.IFS(DQ$1= 0,"", NOT(ISBLANK(CZ38)), 0, ISBLANK(CZ38), $Q38-$S38+BL38-CI38)</f>
        <v>12.585684800234958</v>
      </c>
      <c r="DR38" s="143" cm="1">
        <f t="array" ref="DR38">_xlfn.IFS(DR$1= 0,"", NOT(ISBLANK(DA38)), 0, ISBLANK(DA38), $Q38-$S38+BM38-CJ38)</f>
        <v>12.585684800234958</v>
      </c>
    </row>
    <row r="39" spans="1:122" ht="16.5" customHeight="1" x14ac:dyDescent="0.3">
      <c r="A39" s="214"/>
      <c r="B39" s="144"/>
      <c r="C39" s="144"/>
      <c r="D39" s="145"/>
      <c r="E39" s="196"/>
      <c r="F39" s="204"/>
      <c r="G39" s="205"/>
      <c r="H39" s="205"/>
      <c r="I39" s="205"/>
      <c r="J39" s="205"/>
      <c r="K39" s="205"/>
      <c r="L39" s="205"/>
      <c r="M39" s="209"/>
      <c r="N39" s="204"/>
      <c r="O39" s="206"/>
      <c r="P39" s="199"/>
      <c r="Q39" s="127">
        <f t="shared" si="34"/>
        <v>0</v>
      </c>
      <c r="R39" s="3"/>
      <c r="S39" s="3"/>
      <c r="T39" s="4"/>
      <c r="U39" s="4"/>
      <c r="V39" s="109">
        <f t="shared" si="35"/>
        <v>0</v>
      </c>
      <c r="W39" s="169"/>
      <c r="X39" s="146"/>
      <c r="Z39" s="115" t="s">
        <v>163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6">
        <f t="array" ref="AH39">IF(AH$1=0,"",SQRT((_xlfn.XLOOKUP(AH$1,$Z$2:$Z$18,$AA$2:$AA$18)-$T39)^2+(_xlfn.XLOOKUP(AH$1,$Z$2:$Z$18,$AB$2:$AB$18)-$U39)^2+(_xlfn.XLOOKUP(AH$1,$Z$2:$Z$18,$AC$2:$AC$18-$V39)^2)))</f>
        <v>0</v>
      </c>
      <c r="AI39" s="148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8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8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8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8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8">
        <f t="array" ref="AN39">IF(AN$1=0,"",SQRT((_xlfn.XLOOKUP(AN$1,$Z$2:$Z$18,$AA$2:$AA$18)-$T39)^2+(_xlfn.XLOOKUP(AN$1,$Z$2:$Z$18,$AB$2:$AB$18)-$U39)^2+(_xlfn.XLOOKUP(AN$1,$Z$2:$Z$18,$AC$2:$AC$18-$V39)^2)))</f>
        <v>0</v>
      </c>
      <c r="AO39" s="148">
        <f t="array" ref="AO39">IF(AO$1=0,"",SQRT((_xlfn.XLOOKUP(AO$1,$Z$2:$Z$18,$AA$2:$AA$18)-$T39)^2+(_xlfn.XLOOKUP(AO$1,$Z$2:$Z$18,$AB$2:$AB$18)-$U39)^2+(_xlfn.XLOOKUP(AO$1,$Z$2:$Z$18,$AC$2:$AC$18-$V39)^2)))</f>
        <v>0</v>
      </c>
      <c r="AP39" s="149">
        <f t="array" ref="AP39">IF(AP$1=0,"",SQRT((_xlfn.XLOOKUP(AP$1,$Z$2:$Z$18,$AA$2:$AA$18)-$T39)^2+(_xlfn.XLOOKUP(AP$1,$Z$2:$Z$18,$AB$2:$AB$18)-$U39)^2+(_xlfn.XLOOKUP(AP$1,$Z$2:$Z$18,$AC$2:$AC$18-$V39)^2)))</f>
        <v>0</v>
      </c>
      <c r="AQ39" s="149">
        <f t="array" ref="AQ39">IF(AQ$1=0,"",SQRT((_xlfn.XLOOKUP(AQ$1,$Z$2:$Z$18,$AA$2:$AA$18)-$T39)^2+(_xlfn.XLOOKUP(AQ$1,$Z$2:$Z$18,$AB$2:$AB$18)-$U39)^2+(_xlfn.XLOOKUP(AQ$1,$Z$2:$Z$18,$AC$2:$AC$18-$V39)^2)))</f>
        <v>0</v>
      </c>
      <c r="AR39" s="149">
        <f t="array" ref="AR39">IF(AR$1=0,"",SQRT((_xlfn.XLOOKUP(AR$1,$Z$2:$Z$18,$AA$2:$AA$18)-$T39)^2+(_xlfn.XLOOKUP(AR$1,$Z$2:$Z$18,$AB$2:$AB$18)-$U39)^2+(_xlfn.XLOOKUP(AR$1,$Z$2:$Z$18,$AC$2:$AC$18-$V39)^2)))</f>
        <v>0</v>
      </c>
      <c r="AS39" s="149">
        <f t="array" ref="AS39">IF(AS$1=0,"",SQRT((_xlfn.XLOOKUP(AS$1,$Z$2:$Z$18,$AA$2:$AA$18)-$T39)^2+(_xlfn.XLOOKUP(AS$1,$Z$2:$Z$18,$AB$2:$AB$18)-$U39)^2+(_xlfn.XLOOKUP(AS$1,$Z$2:$Z$18,$AC$2:$AC$18-$V39)^2)))</f>
        <v>0</v>
      </c>
      <c r="AT39" s="149">
        <f t="array" ref="AT39">IF(AT$1=0,"",SQRT((_xlfn.XLOOKUP(AT$1,$Z$2:$Z$18,$AA$2:$AA$18)-$T39)^2+(_xlfn.XLOOKUP(AT$1,$Z$2:$Z$18,$AB$2:$AB$18)-$U39)^2+(_xlfn.XLOOKUP(AT$1,$Z$2:$Z$18,$AC$2:$AC$18-$V39)^2)))</f>
        <v>0</v>
      </c>
      <c r="AU39" s="149">
        <f t="array" ref="AU39">IF(AU$1=0,"",SQRT((_xlfn.XLOOKUP(AU$1,$Z$2:$Z$18,$AA$2:$AA$18)-$T39)^2+(_xlfn.XLOOKUP(AU$1,$Z$2:$Z$18,$AB$2:$AB$18)-$U39)^2+(_xlfn.XLOOKUP(AU$1,$Z$2:$Z$18,$AC$2:$AC$18-$V39)^2)))</f>
        <v>0</v>
      </c>
      <c r="AV39" s="150">
        <f t="array" ref="AV39">IF(AV$1=0,"",SQRT((_xlfn.XLOOKUP(AV$1,$Z$2:$Z$18,$AA$2:$AA$18)-$T39)^2+(_xlfn.XLOOKUP(AV$1,$Z$2:$Z$18,$AB$2:$AB$18)-$U39)^2+(_xlfn.XLOOKUP(AV$1,$Z$2:$Z$18,$AC$2:$AC$18-$V39)^2)))</f>
        <v>0</v>
      </c>
      <c r="AW39" s="133"/>
      <c r="AX39" s="133"/>
      <c r="AY39" s="134">
        <f t="shared" si="36"/>
        <v>0</v>
      </c>
      <c r="AZ39" s="151">
        <f t="shared" si="37"/>
        <v>0</v>
      </c>
      <c r="BA39" s="151">
        <f t="shared" si="38"/>
        <v>0</v>
      </c>
      <c r="BB39" s="151">
        <f t="shared" si="39"/>
        <v>0</v>
      </c>
      <c r="BC39" s="151">
        <f t="shared" si="40"/>
        <v>0</v>
      </c>
      <c r="BD39" s="151">
        <f t="shared" si="41"/>
        <v>0</v>
      </c>
      <c r="BE39" s="151">
        <f t="shared" si="42"/>
        <v>0</v>
      </c>
      <c r="BF39" s="151">
        <f t="shared" si="43"/>
        <v>0</v>
      </c>
      <c r="BG39" s="152">
        <f t="shared" si="44"/>
        <v>0</v>
      </c>
      <c r="BH39" s="152">
        <f t="shared" si="45"/>
        <v>0</v>
      </c>
      <c r="BI39" s="152">
        <f t="shared" si="46"/>
        <v>0</v>
      </c>
      <c r="BJ39" s="152">
        <f t="shared" si="47"/>
        <v>0</v>
      </c>
      <c r="BK39" s="152">
        <f t="shared" si="48"/>
        <v>0</v>
      </c>
      <c r="BL39" s="152">
        <f t="shared" si="49"/>
        <v>0</v>
      </c>
      <c r="BM39" s="153">
        <f t="shared" si="50"/>
        <v>0</v>
      </c>
      <c r="BN39" s="133"/>
      <c r="BO39" s="56">
        <v>0</v>
      </c>
      <c r="BP39" s="56">
        <v>0</v>
      </c>
      <c r="BQ39" s="21"/>
      <c r="BR39" s="133"/>
      <c r="BS39" s="133"/>
      <c r="BT39" s="133"/>
      <c r="BU39" s="133"/>
      <c r="BV39" s="139"/>
      <c r="BW39" s="139"/>
      <c r="BX39" s="139"/>
      <c r="BY39" s="139"/>
      <c r="BZ39" s="139"/>
      <c r="CA39" s="139"/>
      <c r="CB39" s="139"/>
      <c r="CC39" s="139"/>
      <c r="CD39" s="139"/>
      <c r="CE39" s="139"/>
      <c r="CF39" s="139"/>
      <c r="CG39" s="139"/>
      <c r="CH39" s="139"/>
      <c r="CI39" s="139"/>
      <c r="CJ39" s="139"/>
      <c r="CL39" s="133"/>
      <c r="CM39" s="139" t="s">
        <v>32</v>
      </c>
      <c r="CN39" s="139"/>
      <c r="CO39" s="139"/>
      <c r="CP39" s="139"/>
      <c r="CQ39" s="139"/>
      <c r="CR39" s="139"/>
      <c r="CS39" s="139"/>
      <c r="CT39" s="139"/>
      <c r="CU39" s="139"/>
      <c r="CV39" s="139"/>
      <c r="CW39" s="139"/>
      <c r="CX39" s="139"/>
      <c r="CY39" s="139"/>
      <c r="CZ39" s="139"/>
      <c r="DA39" s="139"/>
      <c r="DB39" s="133"/>
      <c r="DC39" s="133"/>
      <c r="DD39" s="167" cm="1">
        <f t="array" ref="DD39">_xlfn.IFS(DD$1= 0,"", NOT(ISBLANK(CM39)), 0, ISBLANK(CM39), $Q39-$S39+AY39-BV39)</f>
        <v>0</v>
      </c>
      <c r="DE39" s="168" cm="1">
        <f t="array" ref="DE39">_xlfn.IFS(DE$1= 0,"", NOT(ISBLANK(CN39)), 0, ISBLANK(CN39), $Q39-$S39+AZ39-BW39)</f>
        <v>0</v>
      </c>
      <c r="DF39" s="168" cm="1">
        <f t="array" ref="DF39">_xlfn.IFS(DF$1= 0,"", NOT(ISBLANK(CO39)), 0, ISBLANK(CO39), $Q39-$S39+BA39-BX39)</f>
        <v>0</v>
      </c>
      <c r="DG39" s="168" cm="1">
        <f t="array" ref="DG39">_xlfn.IFS(DG$1= 0,"", NOT(ISBLANK(CP39)), 0, ISBLANK(CP39), $Q39-$S39+BB39-BY39)</f>
        <v>0</v>
      </c>
      <c r="DH39" s="168" cm="1">
        <f t="array" ref="DH39">_xlfn.IFS(DH$1= 0,"", NOT(ISBLANK(CQ39)), 0, ISBLANK(CQ39), $Q39-$S39+BC39-BZ39)</f>
        <v>0</v>
      </c>
      <c r="DI39" s="168" cm="1">
        <f t="array" ref="DI39">_xlfn.IFS(DI$1= 0,"", NOT(ISBLANK(CR39)), 0, ISBLANK(CR39), $Q39-$S39+BD39-CA39)</f>
        <v>0</v>
      </c>
      <c r="DJ39" s="168" cm="1">
        <f t="array" ref="DJ39">_xlfn.IFS(DJ$1= 0,"", NOT(ISBLANK(CS39)), 0, ISBLANK(CS39), $Q39-$S39+BE39-CB39)</f>
        <v>0</v>
      </c>
      <c r="DK39" s="168" cm="1">
        <f t="array" ref="DK39">_xlfn.IFS(DK$1= 0,"", NOT(ISBLANK(CT39)), 0, ISBLANK(CT39), $Q39-$S39+BF39-CC39)</f>
        <v>0</v>
      </c>
      <c r="DL39" s="170" cm="1">
        <f t="array" ref="DL39">_xlfn.IFS(DL$1= 0,"", NOT(ISBLANK(CU39)), 0, ISBLANK(CU39), $Q39-$S39+BG39-CD39)</f>
        <v>0</v>
      </c>
      <c r="DM39" s="170" cm="1">
        <f t="array" ref="DM39">_xlfn.IFS(DM$1= 0,"", NOT(ISBLANK(CV39)), 0, ISBLANK(CV39), $Q39-$S39+BH39-CE39)</f>
        <v>0</v>
      </c>
      <c r="DN39" s="170" cm="1">
        <f t="array" ref="DN39">_xlfn.IFS(DN$1= 0,"", NOT(ISBLANK(CW39)), 0, ISBLANK(CW39), $Q39-$S39+BI39-CF39)</f>
        <v>0</v>
      </c>
      <c r="DO39" s="170" cm="1">
        <f t="array" ref="DO39">_xlfn.IFS(DO$1= 0,"", NOT(ISBLANK(CX39)), 0, ISBLANK(CX39), $Q39-$S39+BJ39-CG39)</f>
        <v>0</v>
      </c>
      <c r="DP39" s="170" cm="1">
        <f t="array" ref="DP39">_xlfn.IFS(DP$1= 0,"", NOT(ISBLANK(CY39)), 0, ISBLANK(CY39), $Q39-$S39+BK39-CH39)</f>
        <v>0</v>
      </c>
      <c r="DQ39" s="170" cm="1">
        <f t="array" ref="DQ39">_xlfn.IFS(DQ$1= 0,"", NOT(ISBLANK(CZ39)), 0, ISBLANK(CZ39), $Q39-$S39+BL39-CI39)</f>
        <v>0</v>
      </c>
      <c r="DR39" s="171" cm="1">
        <f t="array" ref="DR39">_xlfn.IFS(DR$1= 0,"", NOT(ISBLANK(DA39)), 0, ISBLANK(DA39), $Q39-$S39+BM39-CJ39)</f>
        <v>0</v>
      </c>
    </row>
    <row r="40" spans="1:122" ht="16.5" customHeight="1" x14ac:dyDescent="0.3">
      <c r="A40" s="214"/>
      <c r="B40" s="144"/>
      <c r="C40" s="144"/>
      <c r="D40" s="145"/>
      <c r="E40" s="196"/>
      <c r="F40" s="204"/>
      <c r="G40" s="205"/>
      <c r="H40" s="205"/>
      <c r="I40" s="205"/>
      <c r="J40" s="205"/>
      <c r="K40" s="205"/>
      <c r="L40" s="205"/>
      <c r="M40" s="209"/>
      <c r="N40" s="204"/>
      <c r="O40" s="206"/>
      <c r="P40" s="199"/>
      <c r="Q40" s="127">
        <f t="shared" si="34"/>
        <v>0</v>
      </c>
      <c r="R40" s="3"/>
      <c r="S40" s="3"/>
      <c r="T40" s="4"/>
      <c r="U40" s="4"/>
      <c r="V40" s="109">
        <f t="shared" si="35"/>
        <v>0</v>
      </c>
      <c r="W40" s="169"/>
      <c r="X40" s="146"/>
      <c r="Z40" s="115" t="s">
        <v>164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6">
        <f t="array" ref="AH40">IF(AH$1=0,"",SQRT((_xlfn.XLOOKUP(AH$1,$Z$2:$Z$18,$AA$2:$AA$18)-$T40)^2+(_xlfn.XLOOKUP(AH$1,$Z$2:$Z$18,$AB$2:$AB$18)-$U40)^2+(_xlfn.XLOOKUP(AH$1,$Z$2:$Z$18,$AC$2:$AC$18-$V40)^2)))</f>
        <v>0</v>
      </c>
      <c r="AI40" s="148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8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8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8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8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8">
        <f t="array" ref="AN40">IF(AN$1=0,"",SQRT((_xlfn.XLOOKUP(AN$1,$Z$2:$Z$18,$AA$2:$AA$18)-$T40)^2+(_xlfn.XLOOKUP(AN$1,$Z$2:$Z$18,$AB$2:$AB$18)-$U40)^2+(_xlfn.XLOOKUP(AN$1,$Z$2:$Z$18,$AC$2:$AC$18-$V40)^2)))</f>
        <v>0</v>
      </c>
      <c r="AO40" s="148">
        <f t="array" ref="AO40">IF(AO$1=0,"",SQRT((_xlfn.XLOOKUP(AO$1,$Z$2:$Z$18,$AA$2:$AA$18)-$T40)^2+(_xlfn.XLOOKUP(AO$1,$Z$2:$Z$18,$AB$2:$AB$18)-$U40)^2+(_xlfn.XLOOKUP(AO$1,$Z$2:$Z$18,$AC$2:$AC$18-$V40)^2)))</f>
        <v>0</v>
      </c>
      <c r="AP40" s="149">
        <f t="array" ref="AP40">IF(AP$1=0,"",SQRT((_xlfn.XLOOKUP(AP$1,$Z$2:$Z$18,$AA$2:$AA$18)-$T40)^2+(_xlfn.XLOOKUP(AP$1,$Z$2:$Z$18,$AB$2:$AB$18)-$U40)^2+(_xlfn.XLOOKUP(AP$1,$Z$2:$Z$18,$AC$2:$AC$18-$V40)^2)))</f>
        <v>0</v>
      </c>
      <c r="AQ40" s="149">
        <f t="array" ref="AQ40">IF(AQ$1=0,"",SQRT((_xlfn.XLOOKUP(AQ$1,$Z$2:$Z$18,$AA$2:$AA$18)-$T40)^2+(_xlfn.XLOOKUP(AQ$1,$Z$2:$Z$18,$AB$2:$AB$18)-$U40)^2+(_xlfn.XLOOKUP(AQ$1,$Z$2:$Z$18,$AC$2:$AC$18-$V40)^2)))</f>
        <v>0</v>
      </c>
      <c r="AR40" s="149">
        <f t="array" ref="AR40">IF(AR$1=0,"",SQRT((_xlfn.XLOOKUP(AR$1,$Z$2:$Z$18,$AA$2:$AA$18)-$T40)^2+(_xlfn.XLOOKUP(AR$1,$Z$2:$Z$18,$AB$2:$AB$18)-$U40)^2+(_xlfn.XLOOKUP(AR$1,$Z$2:$Z$18,$AC$2:$AC$18-$V40)^2)))</f>
        <v>0</v>
      </c>
      <c r="AS40" s="149">
        <f t="array" ref="AS40">IF(AS$1=0,"",SQRT((_xlfn.XLOOKUP(AS$1,$Z$2:$Z$18,$AA$2:$AA$18)-$T40)^2+(_xlfn.XLOOKUP(AS$1,$Z$2:$Z$18,$AB$2:$AB$18)-$U40)^2+(_xlfn.XLOOKUP(AS$1,$Z$2:$Z$18,$AC$2:$AC$18-$V40)^2)))</f>
        <v>0</v>
      </c>
      <c r="AT40" s="149">
        <f t="array" ref="AT40">IF(AT$1=0,"",SQRT((_xlfn.XLOOKUP(AT$1,$Z$2:$Z$18,$AA$2:$AA$18)-$T40)^2+(_xlfn.XLOOKUP(AT$1,$Z$2:$Z$18,$AB$2:$AB$18)-$U40)^2+(_xlfn.XLOOKUP(AT$1,$Z$2:$Z$18,$AC$2:$AC$18-$V40)^2)))</f>
        <v>0</v>
      </c>
      <c r="AU40" s="149">
        <f t="array" ref="AU40">IF(AU$1=0,"",SQRT((_xlfn.XLOOKUP(AU$1,$Z$2:$Z$18,$AA$2:$AA$18)-$T40)^2+(_xlfn.XLOOKUP(AU$1,$Z$2:$Z$18,$AB$2:$AB$18)-$U40)^2+(_xlfn.XLOOKUP(AU$1,$Z$2:$Z$18,$AC$2:$AC$18-$V40)^2)))</f>
        <v>0</v>
      </c>
      <c r="AV40" s="150">
        <f t="array" ref="AV40">IF(AV$1=0,"",SQRT((_xlfn.XLOOKUP(AV$1,$Z$2:$Z$18,$AA$2:$AA$18)-$T40)^2+(_xlfn.XLOOKUP(AV$1,$Z$2:$Z$18,$AB$2:$AB$18)-$U40)^2+(_xlfn.XLOOKUP(AV$1,$Z$2:$Z$18,$AC$2:$AC$18-$V40)^2)))</f>
        <v>0</v>
      </c>
      <c r="AW40" s="133"/>
      <c r="AX40" s="133"/>
      <c r="AY40" s="134">
        <f t="shared" si="36"/>
        <v>0</v>
      </c>
      <c r="AZ40" s="151">
        <f t="shared" si="37"/>
        <v>0</v>
      </c>
      <c r="BA40" s="151">
        <f t="shared" si="38"/>
        <v>0</v>
      </c>
      <c r="BB40" s="151">
        <f t="shared" si="39"/>
        <v>0</v>
      </c>
      <c r="BC40" s="151">
        <f t="shared" si="40"/>
        <v>0</v>
      </c>
      <c r="BD40" s="151">
        <f t="shared" si="41"/>
        <v>0</v>
      </c>
      <c r="BE40" s="151">
        <f t="shared" si="42"/>
        <v>0</v>
      </c>
      <c r="BF40" s="151">
        <f t="shared" si="43"/>
        <v>0</v>
      </c>
      <c r="BG40" s="152">
        <f t="shared" si="44"/>
        <v>0</v>
      </c>
      <c r="BH40" s="152">
        <f t="shared" si="45"/>
        <v>0</v>
      </c>
      <c r="BI40" s="152">
        <f t="shared" si="46"/>
        <v>0</v>
      </c>
      <c r="BJ40" s="152">
        <f t="shared" si="47"/>
        <v>0</v>
      </c>
      <c r="BK40" s="152">
        <f t="shared" si="48"/>
        <v>0</v>
      </c>
      <c r="BL40" s="152">
        <f t="shared" si="49"/>
        <v>0</v>
      </c>
      <c r="BM40" s="153">
        <f t="shared" si="50"/>
        <v>0</v>
      </c>
      <c r="BN40" s="133"/>
      <c r="BO40" s="56">
        <v>0.5</v>
      </c>
      <c r="BP40" s="56">
        <v>4</v>
      </c>
      <c r="BQ40" s="21"/>
      <c r="BR40" s="133"/>
      <c r="BS40" s="133"/>
      <c r="BT40" s="133"/>
      <c r="BU40" s="133"/>
      <c r="BV40" s="139"/>
      <c r="BW40" s="139"/>
      <c r="BX40" s="139"/>
      <c r="BY40" s="139"/>
      <c r="BZ40" s="139"/>
      <c r="CA40" s="139"/>
      <c r="CB40" s="139"/>
      <c r="CC40" s="139"/>
      <c r="CD40" s="139"/>
      <c r="CE40" s="139"/>
      <c r="CF40" s="139"/>
      <c r="CG40" s="139"/>
      <c r="CH40" s="139"/>
      <c r="CI40" s="139"/>
      <c r="CJ40" s="139"/>
      <c r="CL40" s="133"/>
      <c r="CM40" s="139" t="s">
        <v>32</v>
      </c>
      <c r="CN40" s="139"/>
      <c r="CO40" s="139"/>
      <c r="CP40" s="139"/>
      <c r="CQ40" s="139"/>
      <c r="CR40" s="139"/>
      <c r="CS40" s="139"/>
      <c r="CT40" s="139"/>
      <c r="CU40" s="139"/>
      <c r="CV40" s="139"/>
      <c r="CW40" s="139"/>
      <c r="CX40" s="139"/>
      <c r="CY40" s="139"/>
      <c r="CZ40" s="139"/>
      <c r="DA40" s="139"/>
      <c r="DB40" s="133"/>
      <c r="DC40" s="133"/>
      <c r="DD40" s="167" cm="1">
        <f t="array" ref="DD40">_xlfn.IFS(DD$1= 0,"", NOT(ISBLANK(CM40)), 0, ISBLANK(CM40), $Q40-$S40+AY40-BV40)</f>
        <v>0</v>
      </c>
      <c r="DE40" s="168" cm="1">
        <f t="array" ref="DE40">_xlfn.IFS(DE$1= 0,"", NOT(ISBLANK(CN40)), 0, ISBLANK(CN40), $Q40-$S40+AZ40-BW40)</f>
        <v>0</v>
      </c>
      <c r="DF40" s="168" cm="1">
        <f t="array" ref="DF40">_xlfn.IFS(DF$1= 0,"", NOT(ISBLANK(CO40)), 0, ISBLANK(CO40), $Q40-$S40+BA40-BX40)</f>
        <v>0</v>
      </c>
      <c r="DG40" s="168" cm="1">
        <f t="array" ref="DG40">_xlfn.IFS(DG$1= 0,"", NOT(ISBLANK(CP40)), 0, ISBLANK(CP40), $Q40-$S40+BB40-BY40)</f>
        <v>0</v>
      </c>
      <c r="DH40" s="168" cm="1">
        <f t="array" ref="DH40">_xlfn.IFS(DH$1= 0,"", NOT(ISBLANK(CQ40)), 0, ISBLANK(CQ40), $Q40-$S40+BC40-BZ40)</f>
        <v>0</v>
      </c>
      <c r="DI40" s="168" cm="1">
        <f t="array" ref="DI40">_xlfn.IFS(DI$1= 0,"", NOT(ISBLANK(CR40)), 0, ISBLANK(CR40), $Q40-$S40+BD40-CA40)</f>
        <v>0</v>
      </c>
      <c r="DJ40" s="168" cm="1">
        <f t="array" ref="DJ40">_xlfn.IFS(DJ$1= 0,"", NOT(ISBLANK(CS40)), 0, ISBLANK(CS40), $Q40-$S40+BE40-CB40)</f>
        <v>0</v>
      </c>
      <c r="DK40" s="168" cm="1">
        <f t="array" ref="DK40">_xlfn.IFS(DK$1= 0,"", NOT(ISBLANK(CT40)), 0, ISBLANK(CT40), $Q40-$S40+BF40-CC40)</f>
        <v>0</v>
      </c>
      <c r="DL40" s="170" cm="1">
        <f t="array" ref="DL40">_xlfn.IFS(DL$1= 0,"", NOT(ISBLANK(CU40)), 0, ISBLANK(CU40), $Q40-$S40+BG40-CD40)</f>
        <v>0</v>
      </c>
      <c r="DM40" s="170" cm="1">
        <f t="array" ref="DM40">_xlfn.IFS(DM$1= 0,"", NOT(ISBLANK(CV40)), 0, ISBLANK(CV40), $Q40-$S40+BH40-CE40)</f>
        <v>0</v>
      </c>
      <c r="DN40" s="170" cm="1">
        <f t="array" ref="DN40">_xlfn.IFS(DN$1= 0,"", NOT(ISBLANK(CW40)), 0, ISBLANK(CW40), $Q40-$S40+BI40-CF40)</f>
        <v>0</v>
      </c>
      <c r="DO40" s="170" cm="1">
        <f t="array" ref="DO40">_xlfn.IFS(DO$1= 0,"", NOT(ISBLANK(CX40)), 0, ISBLANK(CX40), $Q40-$S40+BJ40-CG40)</f>
        <v>0</v>
      </c>
      <c r="DP40" s="170" cm="1">
        <f t="array" ref="DP40">_xlfn.IFS(DP$1= 0,"", NOT(ISBLANK(CY40)), 0, ISBLANK(CY40), $Q40-$S40+BK40-CH40)</f>
        <v>0</v>
      </c>
      <c r="DQ40" s="170" cm="1">
        <f t="array" ref="DQ40">_xlfn.IFS(DQ$1= 0,"", NOT(ISBLANK(CZ40)), 0, ISBLANK(CZ40), $Q40-$S40+BL40-CI40)</f>
        <v>0</v>
      </c>
      <c r="DR40" s="171" cm="1">
        <f t="array" ref="DR40">_xlfn.IFS(DR$1= 0,"", NOT(ISBLANK(DA40)), 0, ISBLANK(DA40), $Q40-$S40+BM40-CJ40)</f>
        <v>0</v>
      </c>
    </row>
    <row r="41" spans="1:122" ht="16.5" customHeight="1" x14ac:dyDescent="0.3">
      <c r="A41" s="214"/>
      <c r="B41" s="144"/>
      <c r="C41" s="144"/>
      <c r="D41" s="145"/>
      <c r="E41" s="196"/>
      <c r="F41" s="204"/>
      <c r="G41" s="205"/>
      <c r="H41" s="205"/>
      <c r="I41" s="205"/>
      <c r="J41" s="205"/>
      <c r="K41" s="205"/>
      <c r="L41" s="205"/>
      <c r="M41" s="209"/>
      <c r="N41" s="204"/>
      <c r="O41" s="206"/>
      <c r="P41" s="199"/>
      <c r="Q41" s="127">
        <f t="shared" si="34"/>
        <v>0</v>
      </c>
      <c r="R41" s="3"/>
      <c r="S41" s="3"/>
      <c r="T41" s="4"/>
      <c r="U41" s="4"/>
      <c r="V41" s="109">
        <f t="shared" si="35"/>
        <v>0</v>
      </c>
      <c r="W41" s="169"/>
      <c r="X41" s="146"/>
      <c r="Z41" s="115" t="s">
        <v>165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6">
        <f t="array" ref="AH41">IF(AH$1=0,"",SQRT((_xlfn.XLOOKUP(AH$1,$Z$2:$Z$18,$AA$2:$AA$18)-$T41)^2+(_xlfn.XLOOKUP(AH$1,$Z$2:$Z$18,$AB$2:$AB$18)-$U41)^2+(_xlfn.XLOOKUP(AH$1,$Z$2:$Z$18,$AC$2:$AC$18-$V41)^2)))</f>
        <v>0</v>
      </c>
      <c r="AI41" s="148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8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8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8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8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8">
        <f t="array" ref="AN41">IF(AN$1=0,"",SQRT((_xlfn.XLOOKUP(AN$1,$Z$2:$Z$18,$AA$2:$AA$18)-$T41)^2+(_xlfn.XLOOKUP(AN$1,$Z$2:$Z$18,$AB$2:$AB$18)-$U41)^2+(_xlfn.XLOOKUP(AN$1,$Z$2:$Z$18,$AC$2:$AC$18-$V41)^2)))</f>
        <v>0</v>
      </c>
      <c r="AO41" s="148">
        <f t="array" ref="AO41">IF(AO$1=0,"",SQRT((_xlfn.XLOOKUP(AO$1,$Z$2:$Z$18,$AA$2:$AA$18)-$T41)^2+(_xlfn.XLOOKUP(AO$1,$Z$2:$Z$18,$AB$2:$AB$18)-$U41)^2+(_xlfn.XLOOKUP(AO$1,$Z$2:$Z$18,$AC$2:$AC$18-$V41)^2)))</f>
        <v>0</v>
      </c>
      <c r="AP41" s="149">
        <f t="array" ref="AP41">IF(AP$1=0,"",SQRT((_xlfn.XLOOKUP(AP$1,$Z$2:$Z$18,$AA$2:$AA$18)-$T41)^2+(_xlfn.XLOOKUP(AP$1,$Z$2:$Z$18,$AB$2:$AB$18)-$U41)^2+(_xlfn.XLOOKUP(AP$1,$Z$2:$Z$18,$AC$2:$AC$18-$V41)^2)))</f>
        <v>0</v>
      </c>
      <c r="AQ41" s="149">
        <f t="array" ref="AQ41">IF(AQ$1=0,"",SQRT((_xlfn.XLOOKUP(AQ$1,$Z$2:$Z$18,$AA$2:$AA$18)-$T41)^2+(_xlfn.XLOOKUP(AQ$1,$Z$2:$Z$18,$AB$2:$AB$18)-$U41)^2+(_xlfn.XLOOKUP(AQ$1,$Z$2:$Z$18,$AC$2:$AC$18-$V41)^2)))</f>
        <v>0</v>
      </c>
      <c r="AR41" s="149">
        <f t="array" ref="AR41">IF(AR$1=0,"",SQRT((_xlfn.XLOOKUP(AR$1,$Z$2:$Z$18,$AA$2:$AA$18)-$T41)^2+(_xlfn.XLOOKUP(AR$1,$Z$2:$Z$18,$AB$2:$AB$18)-$U41)^2+(_xlfn.XLOOKUP(AR$1,$Z$2:$Z$18,$AC$2:$AC$18-$V41)^2)))</f>
        <v>0</v>
      </c>
      <c r="AS41" s="149">
        <f t="array" ref="AS41">IF(AS$1=0,"",SQRT((_xlfn.XLOOKUP(AS$1,$Z$2:$Z$18,$AA$2:$AA$18)-$T41)^2+(_xlfn.XLOOKUP(AS$1,$Z$2:$Z$18,$AB$2:$AB$18)-$U41)^2+(_xlfn.XLOOKUP(AS$1,$Z$2:$Z$18,$AC$2:$AC$18-$V41)^2)))</f>
        <v>0</v>
      </c>
      <c r="AT41" s="149">
        <f t="array" ref="AT41">IF(AT$1=0,"",SQRT((_xlfn.XLOOKUP(AT$1,$Z$2:$Z$18,$AA$2:$AA$18)-$T41)^2+(_xlfn.XLOOKUP(AT$1,$Z$2:$Z$18,$AB$2:$AB$18)-$U41)^2+(_xlfn.XLOOKUP(AT$1,$Z$2:$Z$18,$AC$2:$AC$18-$V41)^2)))</f>
        <v>0</v>
      </c>
      <c r="AU41" s="149">
        <f t="array" ref="AU41">IF(AU$1=0,"",SQRT((_xlfn.XLOOKUP(AU$1,$Z$2:$Z$18,$AA$2:$AA$18)-$T41)^2+(_xlfn.XLOOKUP(AU$1,$Z$2:$Z$18,$AB$2:$AB$18)-$U41)^2+(_xlfn.XLOOKUP(AU$1,$Z$2:$Z$18,$AC$2:$AC$18-$V41)^2)))</f>
        <v>0</v>
      </c>
      <c r="AV41" s="150">
        <f t="array" ref="AV41">IF(AV$1=0,"",SQRT((_xlfn.XLOOKUP(AV$1,$Z$2:$Z$18,$AA$2:$AA$18)-$T41)^2+(_xlfn.XLOOKUP(AV$1,$Z$2:$Z$18,$AB$2:$AB$18)-$U41)^2+(_xlfn.XLOOKUP(AV$1,$Z$2:$Z$18,$AC$2:$AC$18-$V41)^2)))</f>
        <v>0</v>
      </c>
      <c r="AW41" s="133"/>
      <c r="AX41" s="133"/>
      <c r="AY41" s="134">
        <f t="shared" si="36"/>
        <v>0</v>
      </c>
      <c r="AZ41" s="151">
        <f t="shared" si="37"/>
        <v>0</v>
      </c>
      <c r="BA41" s="151">
        <f t="shared" si="38"/>
        <v>0</v>
      </c>
      <c r="BB41" s="151">
        <f t="shared" si="39"/>
        <v>0</v>
      </c>
      <c r="BC41" s="151">
        <f t="shared" si="40"/>
        <v>0</v>
      </c>
      <c r="BD41" s="151">
        <f t="shared" si="41"/>
        <v>0</v>
      </c>
      <c r="BE41" s="151">
        <f t="shared" si="42"/>
        <v>0</v>
      </c>
      <c r="BF41" s="151">
        <f t="shared" si="43"/>
        <v>0</v>
      </c>
      <c r="BG41" s="152">
        <f t="shared" si="44"/>
        <v>0</v>
      </c>
      <c r="BH41" s="152">
        <f t="shared" si="45"/>
        <v>0</v>
      </c>
      <c r="BI41" s="152">
        <f t="shared" si="46"/>
        <v>0</v>
      </c>
      <c r="BJ41" s="152">
        <f t="shared" si="47"/>
        <v>0</v>
      </c>
      <c r="BK41" s="152">
        <f t="shared" si="48"/>
        <v>0</v>
      </c>
      <c r="BL41" s="152">
        <f t="shared" si="49"/>
        <v>0</v>
      </c>
      <c r="BM41" s="153">
        <f t="shared" si="50"/>
        <v>0</v>
      </c>
      <c r="BN41" s="133"/>
      <c r="BO41" s="56">
        <v>1</v>
      </c>
      <c r="BP41" s="56">
        <v>7</v>
      </c>
      <c r="BQ41" s="21"/>
      <c r="BR41" s="133"/>
      <c r="BS41" s="133"/>
      <c r="BT41" s="133"/>
      <c r="BU41" s="133"/>
      <c r="BV41" s="139"/>
      <c r="BW41" s="139"/>
      <c r="BX41" s="139"/>
      <c r="BY41" s="139"/>
      <c r="BZ41" s="139"/>
      <c r="CA41" s="139"/>
      <c r="CB41" s="139"/>
      <c r="CC41" s="139"/>
      <c r="CD41" s="139"/>
      <c r="CE41" s="139"/>
      <c r="CF41" s="139"/>
      <c r="CG41" s="139"/>
      <c r="CH41" s="139"/>
      <c r="CI41" s="139"/>
      <c r="CJ41" s="139"/>
      <c r="CL41" s="133"/>
      <c r="CM41" s="139" t="s">
        <v>32</v>
      </c>
      <c r="CN41" s="139"/>
      <c r="CO41" s="139"/>
      <c r="CP41" s="139"/>
      <c r="CQ41" s="139"/>
      <c r="CR41" s="139"/>
      <c r="CS41" s="139"/>
      <c r="CT41" s="139"/>
      <c r="CU41" s="139"/>
      <c r="CV41" s="139"/>
      <c r="CW41" s="139"/>
      <c r="CX41" s="139"/>
      <c r="CY41" s="139"/>
      <c r="CZ41" s="139"/>
      <c r="DA41" s="139"/>
      <c r="DB41" s="133"/>
      <c r="DC41" s="133"/>
      <c r="DD41" s="167" cm="1">
        <f t="array" ref="DD41">_xlfn.IFS(DD$1= 0,"", NOT(ISBLANK(CM41)), 0, ISBLANK(CM41), $Q41-$S41+AY41-BV41)</f>
        <v>0</v>
      </c>
      <c r="DE41" s="168" cm="1">
        <f t="array" ref="DE41">_xlfn.IFS(DE$1= 0,"", NOT(ISBLANK(CN41)), 0, ISBLANK(CN41), $Q41-$S41+AZ41-BW41)</f>
        <v>0</v>
      </c>
      <c r="DF41" s="168" cm="1">
        <f t="array" ref="DF41">_xlfn.IFS(DF$1= 0,"", NOT(ISBLANK(CO41)), 0, ISBLANK(CO41), $Q41-$S41+BA41-BX41)</f>
        <v>0</v>
      </c>
      <c r="DG41" s="168" cm="1">
        <f t="array" ref="DG41">_xlfn.IFS(DG$1= 0,"", NOT(ISBLANK(CP41)), 0, ISBLANK(CP41), $Q41-$S41+BB41-BY41)</f>
        <v>0</v>
      </c>
      <c r="DH41" s="168" cm="1">
        <f t="array" ref="DH41">_xlfn.IFS(DH$1= 0,"", NOT(ISBLANK(CQ41)), 0, ISBLANK(CQ41), $Q41-$S41+BC41-BZ41)</f>
        <v>0</v>
      </c>
      <c r="DI41" s="168" cm="1">
        <f t="array" ref="DI41">_xlfn.IFS(DI$1= 0,"", NOT(ISBLANK(CR41)), 0, ISBLANK(CR41), $Q41-$S41+BD41-CA41)</f>
        <v>0</v>
      </c>
      <c r="DJ41" s="168" cm="1">
        <f t="array" ref="DJ41">_xlfn.IFS(DJ$1= 0,"", NOT(ISBLANK(CS41)), 0, ISBLANK(CS41), $Q41-$S41+BE41-CB41)</f>
        <v>0</v>
      </c>
      <c r="DK41" s="168" cm="1">
        <f t="array" ref="DK41">_xlfn.IFS(DK$1= 0,"", NOT(ISBLANK(CT41)), 0, ISBLANK(CT41), $Q41-$S41+BF41-CC41)</f>
        <v>0</v>
      </c>
      <c r="DL41" s="170" cm="1">
        <f t="array" ref="DL41">_xlfn.IFS(DL$1= 0,"", NOT(ISBLANK(CU41)), 0, ISBLANK(CU41), $Q41-$S41+BG41-CD41)</f>
        <v>0</v>
      </c>
      <c r="DM41" s="170" cm="1">
        <f t="array" ref="DM41">_xlfn.IFS(DM$1= 0,"", NOT(ISBLANK(CV41)), 0, ISBLANK(CV41), $Q41-$S41+BH41-CE41)</f>
        <v>0</v>
      </c>
      <c r="DN41" s="170" cm="1">
        <f t="array" ref="DN41">_xlfn.IFS(DN$1= 0,"", NOT(ISBLANK(CW41)), 0, ISBLANK(CW41), $Q41-$S41+BI41-CF41)</f>
        <v>0</v>
      </c>
      <c r="DO41" s="170" cm="1">
        <f t="array" ref="DO41">_xlfn.IFS(DO$1= 0,"", NOT(ISBLANK(CX41)), 0, ISBLANK(CX41), $Q41-$S41+BJ41-CG41)</f>
        <v>0</v>
      </c>
      <c r="DP41" s="170" cm="1">
        <f t="array" ref="DP41">_xlfn.IFS(DP$1= 0,"", NOT(ISBLANK(CY41)), 0, ISBLANK(CY41), $Q41-$S41+BK41-CH41)</f>
        <v>0</v>
      </c>
      <c r="DQ41" s="170" cm="1">
        <f t="array" ref="DQ41">_xlfn.IFS(DQ$1= 0,"", NOT(ISBLANK(CZ41)), 0, ISBLANK(CZ41), $Q41-$S41+BL41-CI41)</f>
        <v>0</v>
      </c>
      <c r="DR41" s="171" cm="1">
        <f t="array" ref="DR41">_xlfn.IFS(DR$1= 0,"", NOT(ISBLANK(DA41)), 0, ISBLANK(DA41), $Q41-$S41+BM41-CJ41)</f>
        <v>0</v>
      </c>
    </row>
    <row r="42" spans="1:122" ht="16.5" customHeight="1" x14ac:dyDescent="0.3">
      <c r="A42" s="214"/>
      <c r="B42" s="144"/>
      <c r="C42" s="144"/>
      <c r="D42" s="145"/>
      <c r="E42" s="196"/>
      <c r="F42" s="204"/>
      <c r="G42" s="205"/>
      <c r="H42" s="205"/>
      <c r="I42" s="205"/>
      <c r="J42" s="205"/>
      <c r="K42" s="205"/>
      <c r="L42" s="205"/>
      <c r="M42" s="209"/>
      <c r="N42" s="204"/>
      <c r="O42" s="206"/>
      <c r="P42" s="199"/>
      <c r="Q42" s="127">
        <f t="shared" si="34"/>
        <v>0</v>
      </c>
      <c r="R42" s="3"/>
      <c r="S42" s="3"/>
      <c r="T42" s="4"/>
      <c r="U42" s="4"/>
      <c r="V42" s="109">
        <f t="shared" si="35"/>
        <v>0</v>
      </c>
      <c r="W42" s="169"/>
      <c r="X42" s="146"/>
      <c r="Z42" s="115" t="s">
        <v>166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6">
        <f t="array" ref="AH42">IF(AH$1=0,"",SQRT((_xlfn.XLOOKUP(AH$1,$Z$2:$Z$18,$AA$2:$AA$18)-$T42)^2+(_xlfn.XLOOKUP(AH$1,$Z$2:$Z$18,$AB$2:$AB$18)-$U42)^2+(_xlfn.XLOOKUP(AH$1,$Z$2:$Z$18,$AC$2:$AC$18-$V42)^2)))</f>
        <v>0</v>
      </c>
      <c r="AI42" s="148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8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8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8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8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8">
        <f t="array" ref="AN42">IF(AN$1=0,"",SQRT((_xlfn.XLOOKUP(AN$1,$Z$2:$Z$18,$AA$2:$AA$18)-$T42)^2+(_xlfn.XLOOKUP(AN$1,$Z$2:$Z$18,$AB$2:$AB$18)-$U42)^2+(_xlfn.XLOOKUP(AN$1,$Z$2:$Z$18,$AC$2:$AC$18-$V42)^2)))</f>
        <v>0</v>
      </c>
      <c r="AO42" s="148">
        <f t="array" ref="AO42">IF(AO$1=0,"",SQRT((_xlfn.XLOOKUP(AO$1,$Z$2:$Z$18,$AA$2:$AA$18)-$T42)^2+(_xlfn.XLOOKUP(AO$1,$Z$2:$Z$18,$AB$2:$AB$18)-$U42)^2+(_xlfn.XLOOKUP(AO$1,$Z$2:$Z$18,$AC$2:$AC$18-$V42)^2)))</f>
        <v>0</v>
      </c>
      <c r="AP42" s="149">
        <f t="array" ref="AP42">IF(AP$1=0,"",SQRT((_xlfn.XLOOKUP(AP$1,$Z$2:$Z$18,$AA$2:$AA$18)-$T42)^2+(_xlfn.XLOOKUP(AP$1,$Z$2:$Z$18,$AB$2:$AB$18)-$U42)^2+(_xlfn.XLOOKUP(AP$1,$Z$2:$Z$18,$AC$2:$AC$18-$V42)^2)))</f>
        <v>0</v>
      </c>
      <c r="AQ42" s="149">
        <f t="array" ref="AQ42">IF(AQ$1=0,"",SQRT((_xlfn.XLOOKUP(AQ$1,$Z$2:$Z$18,$AA$2:$AA$18)-$T42)^2+(_xlfn.XLOOKUP(AQ$1,$Z$2:$Z$18,$AB$2:$AB$18)-$U42)^2+(_xlfn.XLOOKUP(AQ$1,$Z$2:$Z$18,$AC$2:$AC$18-$V42)^2)))</f>
        <v>0</v>
      </c>
      <c r="AR42" s="149">
        <f t="array" ref="AR42">IF(AR$1=0,"",SQRT((_xlfn.XLOOKUP(AR$1,$Z$2:$Z$18,$AA$2:$AA$18)-$T42)^2+(_xlfn.XLOOKUP(AR$1,$Z$2:$Z$18,$AB$2:$AB$18)-$U42)^2+(_xlfn.XLOOKUP(AR$1,$Z$2:$Z$18,$AC$2:$AC$18-$V42)^2)))</f>
        <v>0</v>
      </c>
      <c r="AS42" s="149">
        <f t="array" ref="AS42">IF(AS$1=0,"",SQRT((_xlfn.XLOOKUP(AS$1,$Z$2:$Z$18,$AA$2:$AA$18)-$T42)^2+(_xlfn.XLOOKUP(AS$1,$Z$2:$Z$18,$AB$2:$AB$18)-$U42)^2+(_xlfn.XLOOKUP(AS$1,$Z$2:$Z$18,$AC$2:$AC$18-$V42)^2)))</f>
        <v>0</v>
      </c>
      <c r="AT42" s="149">
        <f t="array" ref="AT42">IF(AT$1=0,"",SQRT((_xlfn.XLOOKUP(AT$1,$Z$2:$Z$18,$AA$2:$AA$18)-$T42)^2+(_xlfn.XLOOKUP(AT$1,$Z$2:$Z$18,$AB$2:$AB$18)-$U42)^2+(_xlfn.XLOOKUP(AT$1,$Z$2:$Z$18,$AC$2:$AC$18-$V42)^2)))</f>
        <v>0</v>
      </c>
      <c r="AU42" s="149">
        <f t="array" ref="AU42">IF(AU$1=0,"",SQRT((_xlfn.XLOOKUP(AU$1,$Z$2:$Z$18,$AA$2:$AA$18)-$T42)^2+(_xlfn.XLOOKUP(AU$1,$Z$2:$Z$18,$AB$2:$AB$18)-$U42)^2+(_xlfn.XLOOKUP(AU$1,$Z$2:$Z$18,$AC$2:$AC$18-$V42)^2)))</f>
        <v>0</v>
      </c>
      <c r="AV42" s="150">
        <f t="array" ref="AV42">IF(AV$1=0,"",SQRT((_xlfn.XLOOKUP(AV$1,$Z$2:$Z$18,$AA$2:$AA$18)-$T42)^2+(_xlfn.XLOOKUP(AV$1,$Z$2:$Z$18,$AB$2:$AB$18)-$U42)^2+(_xlfn.XLOOKUP(AV$1,$Z$2:$Z$18,$AC$2:$AC$18-$V42)^2)))</f>
        <v>0</v>
      </c>
      <c r="AW42" s="133"/>
      <c r="AX42" s="133"/>
      <c r="AY42" s="134">
        <f t="shared" si="36"/>
        <v>0</v>
      </c>
      <c r="AZ42" s="151">
        <f t="shared" si="37"/>
        <v>0</v>
      </c>
      <c r="BA42" s="151">
        <f t="shared" si="38"/>
        <v>0</v>
      </c>
      <c r="BB42" s="151">
        <f t="shared" si="39"/>
        <v>0</v>
      </c>
      <c r="BC42" s="151">
        <f t="shared" si="40"/>
        <v>0</v>
      </c>
      <c r="BD42" s="151">
        <f t="shared" si="41"/>
        <v>0</v>
      </c>
      <c r="BE42" s="151">
        <f t="shared" si="42"/>
        <v>0</v>
      </c>
      <c r="BF42" s="151">
        <f t="shared" si="43"/>
        <v>0</v>
      </c>
      <c r="BG42" s="152">
        <f t="shared" si="44"/>
        <v>0</v>
      </c>
      <c r="BH42" s="152">
        <f t="shared" si="45"/>
        <v>0</v>
      </c>
      <c r="BI42" s="152">
        <f t="shared" si="46"/>
        <v>0</v>
      </c>
      <c r="BJ42" s="152">
        <f t="shared" si="47"/>
        <v>0</v>
      </c>
      <c r="BK42" s="152">
        <f t="shared" si="48"/>
        <v>0</v>
      </c>
      <c r="BL42" s="152">
        <f t="shared" si="49"/>
        <v>0</v>
      </c>
      <c r="BM42" s="153">
        <f t="shared" si="50"/>
        <v>0</v>
      </c>
      <c r="BN42" s="133"/>
      <c r="BO42" s="56">
        <v>2</v>
      </c>
      <c r="BP42" s="56">
        <v>10</v>
      </c>
      <c r="BQ42" s="21"/>
      <c r="BR42" s="133"/>
      <c r="BS42" s="133"/>
      <c r="BT42" s="133"/>
      <c r="BU42" s="133"/>
      <c r="BV42" s="139"/>
      <c r="BW42" s="139"/>
      <c r="BX42" s="139"/>
      <c r="BY42" s="139"/>
      <c r="BZ42" s="139"/>
      <c r="CA42" s="139"/>
      <c r="CB42" s="139"/>
      <c r="CC42" s="139"/>
      <c r="CD42" s="139"/>
      <c r="CE42" s="139"/>
      <c r="CF42" s="139"/>
      <c r="CG42" s="139"/>
      <c r="CH42" s="139"/>
      <c r="CI42" s="139"/>
      <c r="CJ42" s="139"/>
      <c r="CL42" s="133"/>
      <c r="CM42" s="139" t="s">
        <v>32</v>
      </c>
      <c r="CN42" s="139"/>
      <c r="CO42" s="139"/>
      <c r="CP42" s="139"/>
      <c r="CQ42" s="139"/>
      <c r="CR42" s="139"/>
      <c r="CS42" s="139"/>
      <c r="CT42" s="139"/>
      <c r="CU42" s="139"/>
      <c r="CV42" s="139"/>
      <c r="CW42" s="139"/>
      <c r="CX42" s="139"/>
      <c r="CY42" s="139"/>
      <c r="CZ42" s="139"/>
      <c r="DA42" s="139"/>
      <c r="DB42" s="133"/>
      <c r="DC42" s="133"/>
      <c r="DD42" s="167" cm="1">
        <f t="array" ref="DD42">_xlfn.IFS(DD$1= 0,"", NOT(ISBLANK(CM42)), 0, ISBLANK(CM42), $Q42-$S42+AY42-BV42)</f>
        <v>0</v>
      </c>
      <c r="DE42" s="168" cm="1">
        <f t="array" ref="DE42">_xlfn.IFS(DE$1= 0,"", NOT(ISBLANK(CN42)), 0, ISBLANK(CN42), $Q42-$S42+AZ42-BW42)</f>
        <v>0</v>
      </c>
      <c r="DF42" s="168" cm="1">
        <f t="array" ref="DF42">_xlfn.IFS(DF$1= 0,"", NOT(ISBLANK(CO42)), 0, ISBLANK(CO42), $Q42-$S42+BA42-BX42)</f>
        <v>0</v>
      </c>
      <c r="DG42" s="168" cm="1">
        <f t="array" ref="DG42">_xlfn.IFS(DG$1= 0,"", NOT(ISBLANK(CP42)), 0, ISBLANK(CP42), $Q42-$S42+BB42-BY42)</f>
        <v>0</v>
      </c>
      <c r="DH42" s="168" cm="1">
        <f t="array" ref="DH42">_xlfn.IFS(DH$1= 0,"", NOT(ISBLANK(CQ42)), 0, ISBLANK(CQ42), $Q42-$S42+BC42-BZ42)</f>
        <v>0</v>
      </c>
      <c r="DI42" s="168" cm="1">
        <f t="array" ref="DI42">_xlfn.IFS(DI$1= 0,"", NOT(ISBLANK(CR42)), 0, ISBLANK(CR42), $Q42-$S42+BD42-CA42)</f>
        <v>0</v>
      </c>
      <c r="DJ42" s="168" cm="1">
        <f t="array" ref="DJ42">_xlfn.IFS(DJ$1= 0,"", NOT(ISBLANK(CS42)), 0, ISBLANK(CS42), $Q42-$S42+BE42-CB42)</f>
        <v>0</v>
      </c>
      <c r="DK42" s="168" cm="1">
        <f t="array" ref="DK42">_xlfn.IFS(DK$1= 0,"", NOT(ISBLANK(CT42)), 0, ISBLANK(CT42), $Q42-$S42+BF42-CC42)</f>
        <v>0</v>
      </c>
      <c r="DL42" s="170" cm="1">
        <f t="array" ref="DL42">_xlfn.IFS(DL$1= 0,"", NOT(ISBLANK(CU42)), 0, ISBLANK(CU42), $Q42-$S42+BG42-CD42)</f>
        <v>0</v>
      </c>
      <c r="DM42" s="170" cm="1">
        <f t="array" ref="DM42">_xlfn.IFS(DM$1= 0,"", NOT(ISBLANK(CV42)), 0, ISBLANK(CV42), $Q42-$S42+BH42-CE42)</f>
        <v>0</v>
      </c>
      <c r="DN42" s="170" cm="1">
        <f t="array" ref="DN42">_xlfn.IFS(DN$1= 0,"", NOT(ISBLANK(CW42)), 0, ISBLANK(CW42), $Q42-$S42+BI42-CF42)</f>
        <v>0</v>
      </c>
      <c r="DO42" s="170" cm="1">
        <f t="array" ref="DO42">_xlfn.IFS(DO$1= 0,"", NOT(ISBLANK(CX42)), 0, ISBLANK(CX42), $Q42-$S42+BJ42-CG42)</f>
        <v>0</v>
      </c>
      <c r="DP42" s="170" cm="1">
        <f t="array" ref="DP42">_xlfn.IFS(DP$1= 0,"", NOT(ISBLANK(CY42)), 0, ISBLANK(CY42), $Q42-$S42+BK42-CH42)</f>
        <v>0</v>
      </c>
      <c r="DQ42" s="170" cm="1">
        <f t="array" ref="DQ42">_xlfn.IFS(DQ$1= 0,"", NOT(ISBLANK(CZ42)), 0, ISBLANK(CZ42), $Q42-$S42+BL42-CI42)</f>
        <v>0</v>
      </c>
      <c r="DR42" s="171" cm="1">
        <f t="array" ref="DR42">_xlfn.IFS(DR$1= 0,"", NOT(ISBLANK(DA42)), 0, ISBLANK(DA42), $Q42-$S42+BM42-CJ42)</f>
        <v>0</v>
      </c>
    </row>
    <row r="43" spans="1:122" ht="16.5" customHeight="1" x14ac:dyDescent="0.3">
      <c r="A43" s="214"/>
      <c r="B43" s="144"/>
      <c r="C43" s="144"/>
      <c r="D43" s="145"/>
      <c r="E43" s="196"/>
      <c r="F43" s="204"/>
      <c r="G43" s="205"/>
      <c r="H43" s="205"/>
      <c r="I43" s="205"/>
      <c r="J43" s="205"/>
      <c r="K43" s="205"/>
      <c r="L43" s="205"/>
      <c r="M43" s="209"/>
      <c r="N43" s="204"/>
      <c r="O43" s="206"/>
      <c r="P43" s="199"/>
      <c r="Q43" s="127">
        <f t="shared" si="34"/>
        <v>0</v>
      </c>
      <c r="R43" s="3"/>
      <c r="S43" s="3"/>
      <c r="T43" s="4"/>
      <c r="U43" s="4"/>
      <c r="V43" s="109">
        <f t="shared" si="35"/>
        <v>0</v>
      </c>
      <c r="W43" s="169"/>
      <c r="X43" s="146"/>
      <c r="Z43" s="115" t="s">
        <v>167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6">
        <f t="array" ref="AH43">IF(AH$1=0,"",SQRT((_xlfn.XLOOKUP(AH$1,$Z$2:$Z$18,$AA$2:$AA$18)-$T43)^2+(_xlfn.XLOOKUP(AH$1,$Z$2:$Z$18,$AB$2:$AB$18)-$U43)^2+(_xlfn.XLOOKUP(AH$1,$Z$2:$Z$18,$AC$2:$AC$18-$V43)^2)))</f>
        <v>0</v>
      </c>
      <c r="AI43" s="148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8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8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8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8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8">
        <f t="array" ref="AN43">IF(AN$1=0,"",SQRT((_xlfn.XLOOKUP(AN$1,$Z$2:$Z$18,$AA$2:$AA$18)-$T43)^2+(_xlfn.XLOOKUP(AN$1,$Z$2:$Z$18,$AB$2:$AB$18)-$U43)^2+(_xlfn.XLOOKUP(AN$1,$Z$2:$Z$18,$AC$2:$AC$18-$V43)^2)))</f>
        <v>0</v>
      </c>
      <c r="AO43" s="148">
        <f t="array" ref="AO43">IF(AO$1=0,"",SQRT((_xlfn.XLOOKUP(AO$1,$Z$2:$Z$18,$AA$2:$AA$18)-$T43)^2+(_xlfn.XLOOKUP(AO$1,$Z$2:$Z$18,$AB$2:$AB$18)-$U43)^2+(_xlfn.XLOOKUP(AO$1,$Z$2:$Z$18,$AC$2:$AC$18-$V43)^2)))</f>
        <v>0</v>
      </c>
      <c r="AP43" s="149">
        <f t="array" ref="AP43">IF(AP$1=0,"",SQRT((_xlfn.XLOOKUP(AP$1,$Z$2:$Z$18,$AA$2:$AA$18)-$T43)^2+(_xlfn.XLOOKUP(AP$1,$Z$2:$Z$18,$AB$2:$AB$18)-$U43)^2+(_xlfn.XLOOKUP(AP$1,$Z$2:$Z$18,$AC$2:$AC$18-$V43)^2)))</f>
        <v>0</v>
      </c>
      <c r="AQ43" s="149">
        <f t="array" ref="AQ43">IF(AQ$1=0,"",SQRT((_xlfn.XLOOKUP(AQ$1,$Z$2:$Z$18,$AA$2:$AA$18)-$T43)^2+(_xlfn.XLOOKUP(AQ$1,$Z$2:$Z$18,$AB$2:$AB$18)-$U43)^2+(_xlfn.XLOOKUP(AQ$1,$Z$2:$Z$18,$AC$2:$AC$18-$V43)^2)))</f>
        <v>0</v>
      </c>
      <c r="AR43" s="149">
        <f t="array" ref="AR43">IF(AR$1=0,"",SQRT((_xlfn.XLOOKUP(AR$1,$Z$2:$Z$18,$AA$2:$AA$18)-$T43)^2+(_xlfn.XLOOKUP(AR$1,$Z$2:$Z$18,$AB$2:$AB$18)-$U43)^2+(_xlfn.XLOOKUP(AR$1,$Z$2:$Z$18,$AC$2:$AC$18-$V43)^2)))</f>
        <v>0</v>
      </c>
      <c r="AS43" s="149">
        <f t="array" ref="AS43">IF(AS$1=0,"",SQRT((_xlfn.XLOOKUP(AS$1,$Z$2:$Z$18,$AA$2:$AA$18)-$T43)^2+(_xlfn.XLOOKUP(AS$1,$Z$2:$Z$18,$AB$2:$AB$18)-$U43)^2+(_xlfn.XLOOKUP(AS$1,$Z$2:$Z$18,$AC$2:$AC$18-$V43)^2)))</f>
        <v>0</v>
      </c>
      <c r="AT43" s="149">
        <f t="array" ref="AT43">IF(AT$1=0,"",SQRT((_xlfn.XLOOKUP(AT$1,$Z$2:$Z$18,$AA$2:$AA$18)-$T43)^2+(_xlfn.XLOOKUP(AT$1,$Z$2:$Z$18,$AB$2:$AB$18)-$U43)^2+(_xlfn.XLOOKUP(AT$1,$Z$2:$Z$18,$AC$2:$AC$18-$V43)^2)))</f>
        <v>0</v>
      </c>
      <c r="AU43" s="149">
        <f t="array" ref="AU43">IF(AU$1=0,"",SQRT((_xlfn.XLOOKUP(AU$1,$Z$2:$Z$18,$AA$2:$AA$18)-$T43)^2+(_xlfn.XLOOKUP(AU$1,$Z$2:$Z$18,$AB$2:$AB$18)-$U43)^2+(_xlfn.XLOOKUP(AU$1,$Z$2:$Z$18,$AC$2:$AC$18-$V43)^2)))</f>
        <v>0</v>
      </c>
      <c r="AV43" s="150">
        <f t="array" ref="AV43">IF(AV$1=0,"",SQRT((_xlfn.XLOOKUP(AV$1,$Z$2:$Z$18,$AA$2:$AA$18)-$T43)^2+(_xlfn.XLOOKUP(AV$1,$Z$2:$Z$18,$AB$2:$AB$18)-$U43)^2+(_xlfn.XLOOKUP(AV$1,$Z$2:$Z$18,$AC$2:$AC$18-$V43)^2)))</f>
        <v>0</v>
      </c>
      <c r="AW43" s="133"/>
      <c r="AX43" s="133"/>
      <c r="AY43" s="134">
        <f t="shared" si="36"/>
        <v>0</v>
      </c>
      <c r="AZ43" s="151">
        <f t="shared" si="37"/>
        <v>0</v>
      </c>
      <c r="BA43" s="151">
        <f t="shared" si="38"/>
        <v>0</v>
      </c>
      <c r="BB43" s="151">
        <f t="shared" si="39"/>
        <v>0</v>
      </c>
      <c r="BC43" s="151">
        <f t="shared" si="40"/>
        <v>0</v>
      </c>
      <c r="BD43" s="151">
        <f t="shared" si="41"/>
        <v>0</v>
      </c>
      <c r="BE43" s="151">
        <f t="shared" si="42"/>
        <v>0</v>
      </c>
      <c r="BF43" s="151">
        <f t="shared" si="43"/>
        <v>0</v>
      </c>
      <c r="BG43" s="152">
        <f t="shared" si="44"/>
        <v>0</v>
      </c>
      <c r="BH43" s="152">
        <f t="shared" si="45"/>
        <v>0</v>
      </c>
      <c r="BI43" s="152">
        <f t="shared" si="46"/>
        <v>0</v>
      </c>
      <c r="BJ43" s="152">
        <f t="shared" si="47"/>
        <v>0</v>
      </c>
      <c r="BK43" s="152">
        <f t="shared" si="48"/>
        <v>0</v>
      </c>
      <c r="BL43" s="152">
        <f t="shared" si="49"/>
        <v>0</v>
      </c>
      <c r="BM43" s="153">
        <f t="shared" si="50"/>
        <v>0</v>
      </c>
      <c r="BN43" s="133"/>
      <c r="BO43" s="56">
        <v>3</v>
      </c>
      <c r="BP43" s="56">
        <v>12</v>
      </c>
      <c r="BQ43" s="21"/>
      <c r="BR43" s="133"/>
      <c r="BS43" s="133"/>
      <c r="BT43" s="133"/>
      <c r="BU43" s="133"/>
      <c r="BV43" s="139"/>
      <c r="BW43" s="139"/>
      <c r="BX43" s="139"/>
      <c r="BY43" s="139"/>
      <c r="BZ43" s="139"/>
      <c r="CA43" s="139"/>
      <c r="CB43" s="139"/>
      <c r="CC43" s="139"/>
      <c r="CD43" s="139"/>
      <c r="CE43" s="139"/>
      <c r="CF43" s="139"/>
      <c r="CG43" s="139"/>
      <c r="CH43" s="139"/>
      <c r="CI43" s="139"/>
      <c r="CJ43" s="139"/>
      <c r="CL43" s="133"/>
      <c r="CM43" s="139" t="s">
        <v>32</v>
      </c>
      <c r="CN43" s="139"/>
      <c r="CO43" s="139"/>
      <c r="CP43" s="139"/>
      <c r="CQ43" s="139"/>
      <c r="CR43" s="139"/>
      <c r="CS43" s="139"/>
      <c r="CT43" s="139"/>
      <c r="CU43" s="139"/>
      <c r="CV43" s="139"/>
      <c r="CW43" s="139"/>
      <c r="CX43" s="139"/>
      <c r="CY43" s="139"/>
      <c r="CZ43" s="139"/>
      <c r="DA43" s="139"/>
      <c r="DB43" s="133"/>
      <c r="DC43" s="133"/>
      <c r="DD43" s="167" cm="1">
        <f t="array" ref="DD43">_xlfn.IFS(DD$1= 0,"", NOT(ISBLANK(CM43)), 0, ISBLANK(CM43), $Q43-$S43+AY43-BV43)</f>
        <v>0</v>
      </c>
      <c r="DE43" s="168" cm="1">
        <f t="array" ref="DE43">_xlfn.IFS(DE$1= 0,"", NOT(ISBLANK(CN43)), 0, ISBLANK(CN43), $Q43-$S43+AZ43-BW43)</f>
        <v>0</v>
      </c>
      <c r="DF43" s="168" cm="1">
        <f t="array" ref="DF43">_xlfn.IFS(DF$1= 0,"", NOT(ISBLANK(CO43)), 0, ISBLANK(CO43), $Q43-$S43+BA43-BX43)</f>
        <v>0</v>
      </c>
      <c r="DG43" s="168" cm="1">
        <f t="array" ref="DG43">_xlfn.IFS(DG$1= 0,"", NOT(ISBLANK(CP43)), 0, ISBLANK(CP43), $Q43-$S43+BB43-BY43)</f>
        <v>0</v>
      </c>
      <c r="DH43" s="168" cm="1">
        <f t="array" ref="DH43">_xlfn.IFS(DH$1= 0,"", NOT(ISBLANK(CQ43)), 0, ISBLANK(CQ43), $Q43-$S43+BC43-BZ43)</f>
        <v>0</v>
      </c>
      <c r="DI43" s="168" cm="1">
        <f t="array" ref="DI43">_xlfn.IFS(DI$1= 0,"", NOT(ISBLANK(CR43)), 0, ISBLANK(CR43), $Q43-$S43+BD43-CA43)</f>
        <v>0</v>
      </c>
      <c r="DJ43" s="168" cm="1">
        <f t="array" ref="DJ43">_xlfn.IFS(DJ$1= 0,"", NOT(ISBLANK(CS43)), 0, ISBLANK(CS43), $Q43-$S43+BE43-CB43)</f>
        <v>0</v>
      </c>
      <c r="DK43" s="168" cm="1">
        <f t="array" ref="DK43">_xlfn.IFS(DK$1= 0,"", NOT(ISBLANK(CT43)), 0, ISBLANK(CT43), $Q43-$S43+BF43-CC43)</f>
        <v>0</v>
      </c>
      <c r="DL43" s="170" cm="1">
        <f t="array" ref="DL43">_xlfn.IFS(DL$1= 0,"", NOT(ISBLANK(CU43)), 0, ISBLANK(CU43), $Q43-$S43+BG43-CD43)</f>
        <v>0</v>
      </c>
      <c r="DM43" s="170" cm="1">
        <f t="array" ref="DM43">_xlfn.IFS(DM$1= 0,"", NOT(ISBLANK(CV43)), 0, ISBLANK(CV43), $Q43-$S43+BH43-CE43)</f>
        <v>0</v>
      </c>
      <c r="DN43" s="170" cm="1">
        <f t="array" ref="DN43">_xlfn.IFS(DN$1= 0,"", NOT(ISBLANK(CW43)), 0, ISBLANK(CW43), $Q43-$S43+BI43-CF43)</f>
        <v>0</v>
      </c>
      <c r="DO43" s="170" cm="1">
        <f t="array" ref="DO43">_xlfn.IFS(DO$1= 0,"", NOT(ISBLANK(CX43)), 0, ISBLANK(CX43), $Q43-$S43+BJ43-CG43)</f>
        <v>0</v>
      </c>
      <c r="DP43" s="170" cm="1">
        <f t="array" ref="DP43">_xlfn.IFS(DP$1= 0,"", NOT(ISBLANK(CY43)), 0, ISBLANK(CY43), $Q43-$S43+BK43-CH43)</f>
        <v>0</v>
      </c>
      <c r="DQ43" s="170" cm="1">
        <f t="array" ref="DQ43">_xlfn.IFS(DQ$1= 0,"", NOT(ISBLANK(CZ43)), 0, ISBLANK(CZ43), $Q43-$S43+BL43-CI43)</f>
        <v>0</v>
      </c>
      <c r="DR43" s="171" cm="1">
        <f t="array" ref="DR43">_xlfn.IFS(DR$1= 0,"", NOT(ISBLANK(DA43)), 0, ISBLANK(DA43), $Q43-$S43+BM43-CJ43)</f>
        <v>0</v>
      </c>
    </row>
    <row r="44" spans="1:122" ht="16.5" customHeight="1" x14ac:dyDescent="0.3">
      <c r="A44" s="214"/>
      <c r="B44" s="144"/>
      <c r="C44" s="144"/>
      <c r="D44" s="145"/>
      <c r="E44" s="196"/>
      <c r="F44" s="204"/>
      <c r="G44" s="205"/>
      <c r="H44" s="205"/>
      <c r="I44" s="205"/>
      <c r="J44" s="205"/>
      <c r="K44" s="205"/>
      <c r="L44" s="205"/>
      <c r="M44" s="209"/>
      <c r="N44" s="204"/>
      <c r="O44" s="206"/>
      <c r="P44" s="199"/>
      <c r="Q44" s="127">
        <f t="shared" si="34"/>
        <v>0</v>
      </c>
      <c r="R44" s="3"/>
      <c r="S44" s="3"/>
      <c r="T44" s="4"/>
      <c r="U44" s="4"/>
      <c r="V44" s="109">
        <f t="shared" si="35"/>
        <v>0</v>
      </c>
      <c r="W44" s="169"/>
      <c r="X44" s="146"/>
      <c r="Z44" s="115" t="s">
        <v>168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6">
        <f t="array" ref="AH44">IF(AH$1=0,"",SQRT((_xlfn.XLOOKUP(AH$1,$Z$2:$Z$18,$AA$2:$AA$18)-$T44)^2+(_xlfn.XLOOKUP(AH$1,$Z$2:$Z$18,$AB$2:$AB$18)-$U44)^2+(_xlfn.XLOOKUP(AH$1,$Z$2:$Z$18,$AC$2:$AC$18-$V44)^2)))</f>
        <v>0</v>
      </c>
      <c r="AI44" s="148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8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8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8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8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8">
        <f t="array" ref="AN44">IF(AN$1=0,"",SQRT((_xlfn.XLOOKUP(AN$1,$Z$2:$Z$18,$AA$2:$AA$18)-$T44)^2+(_xlfn.XLOOKUP(AN$1,$Z$2:$Z$18,$AB$2:$AB$18)-$U44)^2+(_xlfn.XLOOKUP(AN$1,$Z$2:$Z$18,$AC$2:$AC$18-$V44)^2)))</f>
        <v>0</v>
      </c>
      <c r="AO44" s="148">
        <f t="array" ref="AO44">IF(AO$1=0,"",SQRT((_xlfn.XLOOKUP(AO$1,$Z$2:$Z$18,$AA$2:$AA$18)-$T44)^2+(_xlfn.XLOOKUP(AO$1,$Z$2:$Z$18,$AB$2:$AB$18)-$U44)^2+(_xlfn.XLOOKUP(AO$1,$Z$2:$Z$18,$AC$2:$AC$18-$V44)^2)))</f>
        <v>0</v>
      </c>
      <c r="AP44" s="149">
        <f t="array" ref="AP44">IF(AP$1=0,"",SQRT((_xlfn.XLOOKUP(AP$1,$Z$2:$Z$18,$AA$2:$AA$18)-$T44)^2+(_xlfn.XLOOKUP(AP$1,$Z$2:$Z$18,$AB$2:$AB$18)-$U44)^2+(_xlfn.XLOOKUP(AP$1,$Z$2:$Z$18,$AC$2:$AC$18-$V44)^2)))</f>
        <v>0</v>
      </c>
      <c r="AQ44" s="149">
        <f t="array" ref="AQ44">IF(AQ$1=0,"",SQRT((_xlfn.XLOOKUP(AQ$1,$Z$2:$Z$18,$AA$2:$AA$18)-$T44)^2+(_xlfn.XLOOKUP(AQ$1,$Z$2:$Z$18,$AB$2:$AB$18)-$U44)^2+(_xlfn.XLOOKUP(AQ$1,$Z$2:$Z$18,$AC$2:$AC$18-$V44)^2)))</f>
        <v>0</v>
      </c>
      <c r="AR44" s="149">
        <f t="array" ref="AR44">IF(AR$1=0,"",SQRT((_xlfn.XLOOKUP(AR$1,$Z$2:$Z$18,$AA$2:$AA$18)-$T44)^2+(_xlfn.XLOOKUP(AR$1,$Z$2:$Z$18,$AB$2:$AB$18)-$U44)^2+(_xlfn.XLOOKUP(AR$1,$Z$2:$Z$18,$AC$2:$AC$18-$V44)^2)))</f>
        <v>0</v>
      </c>
      <c r="AS44" s="149">
        <f t="array" ref="AS44">IF(AS$1=0,"",SQRT((_xlfn.XLOOKUP(AS$1,$Z$2:$Z$18,$AA$2:$AA$18)-$T44)^2+(_xlfn.XLOOKUP(AS$1,$Z$2:$Z$18,$AB$2:$AB$18)-$U44)^2+(_xlfn.XLOOKUP(AS$1,$Z$2:$Z$18,$AC$2:$AC$18-$V44)^2)))</f>
        <v>0</v>
      </c>
      <c r="AT44" s="149">
        <f t="array" ref="AT44">IF(AT$1=0,"",SQRT((_xlfn.XLOOKUP(AT$1,$Z$2:$Z$18,$AA$2:$AA$18)-$T44)^2+(_xlfn.XLOOKUP(AT$1,$Z$2:$Z$18,$AB$2:$AB$18)-$U44)^2+(_xlfn.XLOOKUP(AT$1,$Z$2:$Z$18,$AC$2:$AC$18-$V44)^2)))</f>
        <v>0</v>
      </c>
      <c r="AU44" s="149">
        <f t="array" ref="AU44">IF(AU$1=0,"",SQRT((_xlfn.XLOOKUP(AU$1,$Z$2:$Z$18,$AA$2:$AA$18)-$T44)^2+(_xlfn.XLOOKUP(AU$1,$Z$2:$Z$18,$AB$2:$AB$18)-$U44)^2+(_xlfn.XLOOKUP(AU$1,$Z$2:$Z$18,$AC$2:$AC$18-$V44)^2)))</f>
        <v>0</v>
      </c>
      <c r="AV44" s="150">
        <f t="array" ref="AV44">IF(AV$1=0,"",SQRT((_xlfn.XLOOKUP(AV$1,$Z$2:$Z$18,$AA$2:$AA$18)-$T44)^2+(_xlfn.XLOOKUP(AV$1,$Z$2:$Z$18,$AB$2:$AB$18)-$U44)^2+(_xlfn.XLOOKUP(AV$1,$Z$2:$Z$18,$AC$2:$AC$18-$V44)^2)))</f>
        <v>0</v>
      </c>
      <c r="AW44" s="133"/>
      <c r="AX44" s="133"/>
      <c r="AY44" s="134">
        <f t="shared" si="36"/>
        <v>0</v>
      </c>
      <c r="AZ44" s="151">
        <f t="shared" si="37"/>
        <v>0</v>
      </c>
      <c r="BA44" s="151">
        <f t="shared" si="38"/>
        <v>0</v>
      </c>
      <c r="BB44" s="151">
        <f t="shared" si="39"/>
        <v>0</v>
      </c>
      <c r="BC44" s="151">
        <f t="shared" si="40"/>
        <v>0</v>
      </c>
      <c r="BD44" s="151">
        <f t="shared" si="41"/>
        <v>0</v>
      </c>
      <c r="BE44" s="151">
        <f t="shared" si="42"/>
        <v>0</v>
      </c>
      <c r="BF44" s="151">
        <f t="shared" si="43"/>
        <v>0</v>
      </c>
      <c r="BG44" s="152">
        <f t="shared" si="44"/>
        <v>0</v>
      </c>
      <c r="BH44" s="152">
        <f t="shared" si="45"/>
        <v>0</v>
      </c>
      <c r="BI44" s="152">
        <f t="shared" si="46"/>
        <v>0</v>
      </c>
      <c r="BJ44" s="152">
        <f t="shared" si="47"/>
        <v>0</v>
      </c>
      <c r="BK44" s="152">
        <f t="shared" si="48"/>
        <v>0</v>
      </c>
      <c r="BL44" s="152">
        <f t="shared" si="49"/>
        <v>0</v>
      </c>
      <c r="BM44" s="153">
        <f t="shared" si="50"/>
        <v>0</v>
      </c>
      <c r="BN44" s="133"/>
      <c r="BO44" s="56">
        <v>6</v>
      </c>
      <c r="BP44" s="56">
        <v>15</v>
      </c>
      <c r="BQ44" s="21"/>
      <c r="BR44" s="133"/>
      <c r="BS44" s="133"/>
      <c r="BT44" s="133"/>
      <c r="BU44" s="133"/>
      <c r="BV44" s="139"/>
      <c r="BW44" s="139"/>
      <c r="BX44" s="139"/>
      <c r="BY44" s="139"/>
      <c r="BZ44" s="139"/>
      <c r="CA44" s="139"/>
      <c r="CB44" s="139"/>
      <c r="CC44" s="139"/>
      <c r="CD44" s="139"/>
      <c r="CE44" s="139"/>
      <c r="CF44" s="139"/>
      <c r="CG44" s="139"/>
      <c r="CH44" s="139"/>
      <c r="CI44" s="139"/>
      <c r="CJ44" s="139"/>
      <c r="CL44" s="133"/>
      <c r="CM44" s="139" t="s">
        <v>32</v>
      </c>
      <c r="CN44" s="139"/>
      <c r="CO44" s="139"/>
      <c r="CP44" s="139"/>
      <c r="CQ44" s="139"/>
      <c r="CR44" s="139"/>
      <c r="CS44" s="139"/>
      <c r="CT44" s="139"/>
      <c r="CU44" s="139"/>
      <c r="CV44" s="139"/>
      <c r="CW44" s="139"/>
      <c r="CX44" s="139"/>
      <c r="CY44" s="139"/>
      <c r="CZ44" s="139"/>
      <c r="DA44" s="139"/>
      <c r="DB44" s="133"/>
      <c r="DC44" s="133"/>
      <c r="DD44" s="167" cm="1">
        <f t="array" ref="DD44">_xlfn.IFS(DD$1= 0,"", NOT(ISBLANK(CM44)), 0, ISBLANK(CM44), $Q44-$S44+AY44-BV44)</f>
        <v>0</v>
      </c>
      <c r="DE44" s="168" cm="1">
        <f t="array" ref="DE44">_xlfn.IFS(DE$1= 0,"", NOT(ISBLANK(CN44)), 0, ISBLANK(CN44), $Q44-$S44+AZ44-BW44)</f>
        <v>0</v>
      </c>
      <c r="DF44" s="168" cm="1">
        <f t="array" ref="DF44">_xlfn.IFS(DF$1= 0,"", NOT(ISBLANK(CO44)), 0, ISBLANK(CO44), $Q44-$S44+BA44-BX44)</f>
        <v>0</v>
      </c>
      <c r="DG44" s="168" cm="1">
        <f t="array" ref="DG44">_xlfn.IFS(DG$1= 0,"", NOT(ISBLANK(CP44)), 0, ISBLANK(CP44), $Q44-$S44+BB44-BY44)</f>
        <v>0</v>
      </c>
      <c r="DH44" s="168" cm="1">
        <f t="array" ref="DH44">_xlfn.IFS(DH$1= 0,"", NOT(ISBLANK(CQ44)), 0, ISBLANK(CQ44), $Q44-$S44+BC44-BZ44)</f>
        <v>0</v>
      </c>
      <c r="DI44" s="168" cm="1">
        <f t="array" ref="DI44">_xlfn.IFS(DI$1= 0,"", NOT(ISBLANK(CR44)), 0, ISBLANK(CR44), $Q44-$S44+BD44-CA44)</f>
        <v>0</v>
      </c>
      <c r="DJ44" s="168" cm="1">
        <f t="array" ref="DJ44">_xlfn.IFS(DJ$1= 0,"", NOT(ISBLANK(CS44)), 0, ISBLANK(CS44), $Q44-$S44+BE44-CB44)</f>
        <v>0</v>
      </c>
      <c r="DK44" s="168" cm="1">
        <f t="array" ref="DK44">_xlfn.IFS(DK$1= 0,"", NOT(ISBLANK(CT44)), 0, ISBLANK(CT44), $Q44-$S44+BF44-CC44)</f>
        <v>0</v>
      </c>
      <c r="DL44" s="170" cm="1">
        <f t="array" ref="DL44">_xlfn.IFS(DL$1= 0,"", NOT(ISBLANK(CU44)), 0, ISBLANK(CU44), $Q44-$S44+BG44-CD44)</f>
        <v>0</v>
      </c>
      <c r="DM44" s="170" cm="1">
        <f t="array" ref="DM44">_xlfn.IFS(DM$1= 0,"", NOT(ISBLANK(CV44)), 0, ISBLANK(CV44), $Q44-$S44+BH44-CE44)</f>
        <v>0</v>
      </c>
      <c r="DN44" s="170" cm="1">
        <f t="array" ref="DN44">_xlfn.IFS(DN$1= 0,"", NOT(ISBLANK(CW44)), 0, ISBLANK(CW44), $Q44-$S44+BI44-CF44)</f>
        <v>0</v>
      </c>
      <c r="DO44" s="170" cm="1">
        <f t="array" ref="DO44">_xlfn.IFS(DO$1= 0,"", NOT(ISBLANK(CX44)), 0, ISBLANK(CX44), $Q44-$S44+BJ44-CG44)</f>
        <v>0</v>
      </c>
      <c r="DP44" s="170" cm="1">
        <f t="array" ref="DP44">_xlfn.IFS(DP$1= 0,"", NOT(ISBLANK(CY44)), 0, ISBLANK(CY44), $Q44-$S44+BK44-CH44)</f>
        <v>0</v>
      </c>
      <c r="DQ44" s="170" cm="1">
        <f t="array" ref="DQ44">_xlfn.IFS(DQ$1= 0,"", NOT(ISBLANK(CZ44)), 0, ISBLANK(CZ44), $Q44-$S44+BL44-CI44)</f>
        <v>0</v>
      </c>
      <c r="DR44" s="171" cm="1">
        <f t="array" ref="DR44">_xlfn.IFS(DR$1= 0,"", NOT(ISBLANK(DA44)), 0, ISBLANK(DA44), $Q44-$S44+BM44-CJ44)</f>
        <v>0</v>
      </c>
    </row>
    <row r="45" spans="1:122" ht="16.5" customHeight="1" x14ac:dyDescent="0.3">
      <c r="A45" s="214"/>
      <c r="B45" s="144"/>
      <c r="C45" s="144"/>
      <c r="D45" s="145"/>
      <c r="E45" s="196"/>
      <c r="F45" s="204"/>
      <c r="G45" s="205"/>
      <c r="H45" s="205"/>
      <c r="I45" s="205"/>
      <c r="J45" s="205"/>
      <c r="K45" s="205"/>
      <c r="L45" s="205"/>
      <c r="M45" s="209"/>
      <c r="N45" s="204"/>
      <c r="O45" s="206"/>
      <c r="P45" s="199"/>
      <c r="Q45" s="127">
        <f t="shared" si="34"/>
        <v>0</v>
      </c>
      <c r="R45" s="3"/>
      <c r="S45" s="3"/>
      <c r="T45" s="4"/>
      <c r="U45" s="4"/>
      <c r="V45" s="109">
        <f t="shared" si="35"/>
        <v>0</v>
      </c>
      <c r="W45" s="169"/>
      <c r="X45" s="146"/>
      <c r="Z45" s="115" t="s">
        <v>169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6">
        <f t="array" ref="AH45">IF(AH$1=0,"",SQRT((_xlfn.XLOOKUP(AH$1,$Z$2:$Z$18,$AA$2:$AA$18)-$T45)^2+(_xlfn.XLOOKUP(AH$1,$Z$2:$Z$18,$AB$2:$AB$18)-$U45)^2+(_xlfn.XLOOKUP(AH$1,$Z$2:$Z$18,$AC$2:$AC$18-$V45)^2)))</f>
        <v>0</v>
      </c>
      <c r="AI45" s="148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8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8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8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8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8">
        <f t="array" ref="AN45">IF(AN$1=0,"",SQRT((_xlfn.XLOOKUP(AN$1,$Z$2:$Z$18,$AA$2:$AA$18)-$T45)^2+(_xlfn.XLOOKUP(AN$1,$Z$2:$Z$18,$AB$2:$AB$18)-$U45)^2+(_xlfn.XLOOKUP(AN$1,$Z$2:$Z$18,$AC$2:$AC$18-$V45)^2)))</f>
        <v>0</v>
      </c>
      <c r="AO45" s="148">
        <f t="array" ref="AO45">IF(AO$1=0,"",SQRT((_xlfn.XLOOKUP(AO$1,$Z$2:$Z$18,$AA$2:$AA$18)-$T45)^2+(_xlfn.XLOOKUP(AO$1,$Z$2:$Z$18,$AB$2:$AB$18)-$U45)^2+(_xlfn.XLOOKUP(AO$1,$Z$2:$Z$18,$AC$2:$AC$18-$V45)^2)))</f>
        <v>0</v>
      </c>
      <c r="AP45" s="149">
        <f t="array" ref="AP45">IF(AP$1=0,"",SQRT((_xlfn.XLOOKUP(AP$1,$Z$2:$Z$18,$AA$2:$AA$18)-$T45)^2+(_xlfn.XLOOKUP(AP$1,$Z$2:$Z$18,$AB$2:$AB$18)-$U45)^2+(_xlfn.XLOOKUP(AP$1,$Z$2:$Z$18,$AC$2:$AC$18-$V45)^2)))</f>
        <v>0</v>
      </c>
      <c r="AQ45" s="149">
        <f t="array" ref="AQ45">IF(AQ$1=0,"",SQRT((_xlfn.XLOOKUP(AQ$1,$Z$2:$Z$18,$AA$2:$AA$18)-$T45)^2+(_xlfn.XLOOKUP(AQ$1,$Z$2:$Z$18,$AB$2:$AB$18)-$U45)^2+(_xlfn.XLOOKUP(AQ$1,$Z$2:$Z$18,$AC$2:$AC$18-$V45)^2)))</f>
        <v>0</v>
      </c>
      <c r="AR45" s="149">
        <f t="array" ref="AR45">IF(AR$1=0,"",SQRT((_xlfn.XLOOKUP(AR$1,$Z$2:$Z$18,$AA$2:$AA$18)-$T45)^2+(_xlfn.XLOOKUP(AR$1,$Z$2:$Z$18,$AB$2:$AB$18)-$U45)^2+(_xlfn.XLOOKUP(AR$1,$Z$2:$Z$18,$AC$2:$AC$18-$V45)^2)))</f>
        <v>0</v>
      </c>
      <c r="AS45" s="149">
        <f t="array" ref="AS45">IF(AS$1=0,"",SQRT((_xlfn.XLOOKUP(AS$1,$Z$2:$Z$18,$AA$2:$AA$18)-$T45)^2+(_xlfn.XLOOKUP(AS$1,$Z$2:$Z$18,$AB$2:$AB$18)-$U45)^2+(_xlfn.XLOOKUP(AS$1,$Z$2:$Z$18,$AC$2:$AC$18-$V45)^2)))</f>
        <v>0</v>
      </c>
      <c r="AT45" s="149">
        <f t="array" ref="AT45">IF(AT$1=0,"",SQRT((_xlfn.XLOOKUP(AT$1,$Z$2:$Z$18,$AA$2:$AA$18)-$T45)^2+(_xlfn.XLOOKUP(AT$1,$Z$2:$Z$18,$AB$2:$AB$18)-$U45)^2+(_xlfn.XLOOKUP(AT$1,$Z$2:$Z$18,$AC$2:$AC$18-$V45)^2)))</f>
        <v>0</v>
      </c>
      <c r="AU45" s="149">
        <f t="array" ref="AU45">IF(AU$1=0,"",SQRT((_xlfn.XLOOKUP(AU$1,$Z$2:$Z$18,$AA$2:$AA$18)-$T45)^2+(_xlfn.XLOOKUP(AU$1,$Z$2:$Z$18,$AB$2:$AB$18)-$U45)^2+(_xlfn.XLOOKUP(AU$1,$Z$2:$Z$18,$AC$2:$AC$18-$V45)^2)))</f>
        <v>0</v>
      </c>
      <c r="AV45" s="150">
        <f t="array" ref="AV45">IF(AV$1=0,"",SQRT((_xlfn.XLOOKUP(AV$1,$Z$2:$Z$18,$AA$2:$AA$18)-$T45)^2+(_xlfn.XLOOKUP(AV$1,$Z$2:$Z$18,$AB$2:$AB$18)-$U45)^2+(_xlfn.XLOOKUP(AV$1,$Z$2:$Z$18,$AC$2:$AC$18-$V45)^2)))</f>
        <v>0</v>
      </c>
      <c r="AW45" s="133"/>
      <c r="AX45" s="133"/>
      <c r="AY45" s="134">
        <f t="shared" si="36"/>
        <v>0</v>
      </c>
      <c r="AZ45" s="151">
        <f t="shared" si="37"/>
        <v>0</v>
      </c>
      <c r="BA45" s="151">
        <f t="shared" si="38"/>
        <v>0</v>
      </c>
      <c r="BB45" s="151">
        <f t="shared" si="39"/>
        <v>0</v>
      </c>
      <c r="BC45" s="151">
        <f t="shared" si="40"/>
        <v>0</v>
      </c>
      <c r="BD45" s="151">
        <f t="shared" si="41"/>
        <v>0</v>
      </c>
      <c r="BE45" s="151">
        <f t="shared" si="42"/>
        <v>0</v>
      </c>
      <c r="BF45" s="151">
        <f t="shared" si="43"/>
        <v>0</v>
      </c>
      <c r="BG45" s="152">
        <f t="shared" si="44"/>
        <v>0</v>
      </c>
      <c r="BH45" s="152">
        <f t="shared" si="45"/>
        <v>0</v>
      </c>
      <c r="BI45" s="152">
        <f t="shared" si="46"/>
        <v>0</v>
      </c>
      <c r="BJ45" s="152">
        <f t="shared" si="47"/>
        <v>0</v>
      </c>
      <c r="BK45" s="152">
        <f t="shared" si="48"/>
        <v>0</v>
      </c>
      <c r="BL45" s="152">
        <f t="shared" si="49"/>
        <v>0</v>
      </c>
      <c r="BM45" s="153">
        <f t="shared" si="50"/>
        <v>0</v>
      </c>
      <c r="BN45" s="133"/>
      <c r="BO45" s="56">
        <v>12</v>
      </c>
      <c r="BP45" s="56">
        <v>17</v>
      </c>
      <c r="BQ45" s="21"/>
      <c r="BR45" s="133"/>
      <c r="BS45" s="133"/>
      <c r="BT45" s="133"/>
      <c r="BU45" s="133"/>
      <c r="BV45" s="139"/>
      <c r="BW45" s="139"/>
      <c r="BX45" s="139"/>
      <c r="BY45" s="139"/>
      <c r="BZ45" s="139"/>
      <c r="CA45" s="139"/>
      <c r="CB45" s="139"/>
      <c r="CC45" s="139"/>
      <c r="CD45" s="139"/>
      <c r="CE45" s="139"/>
      <c r="CF45" s="139"/>
      <c r="CG45" s="139"/>
      <c r="CH45" s="139"/>
      <c r="CI45" s="139"/>
      <c r="CJ45" s="139"/>
      <c r="CL45" s="133"/>
      <c r="CM45" s="139" t="s">
        <v>32</v>
      </c>
      <c r="CN45" s="139"/>
      <c r="CO45" s="139"/>
      <c r="CP45" s="139"/>
      <c r="CQ45" s="139"/>
      <c r="CR45" s="139"/>
      <c r="CS45" s="139"/>
      <c r="CT45" s="139"/>
      <c r="CU45" s="139"/>
      <c r="CV45" s="139"/>
      <c r="CW45" s="139"/>
      <c r="CX45" s="139"/>
      <c r="CY45" s="139"/>
      <c r="CZ45" s="139"/>
      <c r="DA45" s="139"/>
      <c r="DB45" s="133"/>
      <c r="DC45" s="133"/>
      <c r="DD45" s="167" cm="1">
        <f t="array" ref="DD45">_xlfn.IFS(DD$1= 0,"", NOT(ISBLANK(CM45)), 0, ISBLANK(CM45), $Q45-$S45+AY45-BV45)</f>
        <v>0</v>
      </c>
      <c r="DE45" s="168" cm="1">
        <f t="array" ref="DE45">_xlfn.IFS(DE$1= 0,"", NOT(ISBLANK(CN45)), 0, ISBLANK(CN45), $Q45-$S45+AZ45-BW45)</f>
        <v>0</v>
      </c>
      <c r="DF45" s="168" cm="1">
        <f t="array" ref="DF45">_xlfn.IFS(DF$1= 0,"", NOT(ISBLANK(CO45)), 0, ISBLANK(CO45), $Q45-$S45+BA45-BX45)</f>
        <v>0</v>
      </c>
      <c r="DG45" s="168" cm="1">
        <f t="array" ref="DG45">_xlfn.IFS(DG$1= 0,"", NOT(ISBLANK(CP45)), 0, ISBLANK(CP45), $Q45-$S45+BB45-BY45)</f>
        <v>0</v>
      </c>
      <c r="DH45" s="168" cm="1">
        <f t="array" ref="DH45">_xlfn.IFS(DH$1= 0,"", NOT(ISBLANK(CQ45)), 0, ISBLANK(CQ45), $Q45-$S45+BC45-BZ45)</f>
        <v>0</v>
      </c>
      <c r="DI45" s="168" cm="1">
        <f t="array" ref="DI45">_xlfn.IFS(DI$1= 0,"", NOT(ISBLANK(CR45)), 0, ISBLANK(CR45), $Q45-$S45+BD45-CA45)</f>
        <v>0</v>
      </c>
      <c r="DJ45" s="168" cm="1">
        <f t="array" ref="DJ45">_xlfn.IFS(DJ$1= 0,"", NOT(ISBLANK(CS45)), 0, ISBLANK(CS45), $Q45-$S45+BE45-CB45)</f>
        <v>0</v>
      </c>
      <c r="DK45" s="168" cm="1">
        <f t="array" ref="DK45">_xlfn.IFS(DK$1= 0,"", NOT(ISBLANK(CT45)), 0, ISBLANK(CT45), $Q45-$S45+BF45-CC45)</f>
        <v>0</v>
      </c>
      <c r="DL45" s="170" cm="1">
        <f t="array" ref="DL45">_xlfn.IFS(DL$1= 0,"", NOT(ISBLANK(CU45)), 0, ISBLANK(CU45), $Q45-$S45+BG45-CD45)</f>
        <v>0</v>
      </c>
      <c r="DM45" s="170" cm="1">
        <f t="array" ref="DM45">_xlfn.IFS(DM$1= 0,"", NOT(ISBLANK(CV45)), 0, ISBLANK(CV45), $Q45-$S45+BH45-CE45)</f>
        <v>0</v>
      </c>
      <c r="DN45" s="170" cm="1">
        <f t="array" ref="DN45">_xlfn.IFS(DN$1= 0,"", NOT(ISBLANK(CW45)), 0, ISBLANK(CW45), $Q45-$S45+BI45-CF45)</f>
        <v>0</v>
      </c>
      <c r="DO45" s="170" cm="1">
        <f t="array" ref="DO45">_xlfn.IFS(DO$1= 0,"", NOT(ISBLANK(CX45)), 0, ISBLANK(CX45), $Q45-$S45+BJ45-CG45)</f>
        <v>0</v>
      </c>
      <c r="DP45" s="170" cm="1">
        <f t="array" ref="DP45">_xlfn.IFS(DP$1= 0,"", NOT(ISBLANK(CY45)), 0, ISBLANK(CY45), $Q45-$S45+BK45-CH45)</f>
        <v>0</v>
      </c>
      <c r="DQ45" s="170" cm="1">
        <f t="array" ref="DQ45">_xlfn.IFS(DQ$1= 0,"", NOT(ISBLANK(CZ45)), 0, ISBLANK(CZ45), $Q45-$S45+BL45-CI45)</f>
        <v>0</v>
      </c>
      <c r="DR45" s="171" cm="1">
        <f t="array" ref="DR45">_xlfn.IFS(DR$1= 0,"", NOT(ISBLANK(DA45)), 0, ISBLANK(DA45), $Q45-$S45+BM45-CJ45)</f>
        <v>0</v>
      </c>
    </row>
    <row r="46" spans="1:122" ht="16.5" customHeight="1" x14ac:dyDescent="0.3">
      <c r="A46" s="214"/>
      <c r="B46" s="144"/>
      <c r="C46" s="144"/>
      <c r="D46" s="145"/>
      <c r="E46" s="196"/>
      <c r="F46" s="204"/>
      <c r="G46" s="205"/>
      <c r="H46" s="205"/>
      <c r="I46" s="205"/>
      <c r="J46" s="205"/>
      <c r="K46" s="205"/>
      <c r="L46" s="205"/>
      <c r="M46" s="209"/>
      <c r="N46" s="204"/>
      <c r="O46" s="206"/>
      <c r="P46" s="199"/>
      <c r="Q46" s="127">
        <f t="shared" si="34"/>
        <v>0</v>
      </c>
      <c r="R46" s="3"/>
      <c r="S46" s="3"/>
      <c r="T46" s="4"/>
      <c r="U46" s="4"/>
      <c r="V46" s="109">
        <f t="shared" si="35"/>
        <v>0</v>
      </c>
      <c r="W46" s="169"/>
      <c r="X46" s="146"/>
      <c r="Z46" s="115" t="s">
        <v>170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6">
        <f t="array" ref="AH46">IF(AH$1=0,"",SQRT((_xlfn.XLOOKUP(AH$1,$Z$2:$Z$18,$AA$2:$AA$18)-$T46)^2+(_xlfn.XLOOKUP(AH$1,$Z$2:$Z$18,$AB$2:$AB$18)-$U46)^2+(_xlfn.XLOOKUP(AH$1,$Z$2:$Z$18,$AC$2:$AC$18-$V46)^2)))</f>
        <v>0</v>
      </c>
      <c r="AI46" s="148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8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8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8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8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8">
        <f t="array" ref="AN46">IF(AN$1=0,"",SQRT((_xlfn.XLOOKUP(AN$1,$Z$2:$Z$18,$AA$2:$AA$18)-$T46)^2+(_xlfn.XLOOKUP(AN$1,$Z$2:$Z$18,$AB$2:$AB$18)-$U46)^2+(_xlfn.XLOOKUP(AN$1,$Z$2:$Z$18,$AC$2:$AC$18-$V46)^2)))</f>
        <v>0</v>
      </c>
      <c r="AO46" s="148">
        <f t="array" ref="AO46">IF(AO$1=0,"",SQRT((_xlfn.XLOOKUP(AO$1,$Z$2:$Z$18,$AA$2:$AA$18)-$T46)^2+(_xlfn.XLOOKUP(AO$1,$Z$2:$Z$18,$AB$2:$AB$18)-$U46)^2+(_xlfn.XLOOKUP(AO$1,$Z$2:$Z$18,$AC$2:$AC$18-$V46)^2)))</f>
        <v>0</v>
      </c>
      <c r="AP46" s="149">
        <f t="array" ref="AP46">IF(AP$1=0,"",SQRT((_xlfn.XLOOKUP(AP$1,$Z$2:$Z$18,$AA$2:$AA$18)-$T46)^2+(_xlfn.XLOOKUP(AP$1,$Z$2:$Z$18,$AB$2:$AB$18)-$U46)^2+(_xlfn.XLOOKUP(AP$1,$Z$2:$Z$18,$AC$2:$AC$18-$V46)^2)))</f>
        <v>0</v>
      </c>
      <c r="AQ46" s="149">
        <f t="array" ref="AQ46">IF(AQ$1=0,"",SQRT((_xlfn.XLOOKUP(AQ$1,$Z$2:$Z$18,$AA$2:$AA$18)-$T46)^2+(_xlfn.XLOOKUP(AQ$1,$Z$2:$Z$18,$AB$2:$AB$18)-$U46)^2+(_xlfn.XLOOKUP(AQ$1,$Z$2:$Z$18,$AC$2:$AC$18-$V46)^2)))</f>
        <v>0</v>
      </c>
      <c r="AR46" s="149">
        <f t="array" ref="AR46">IF(AR$1=0,"",SQRT((_xlfn.XLOOKUP(AR$1,$Z$2:$Z$18,$AA$2:$AA$18)-$T46)^2+(_xlfn.XLOOKUP(AR$1,$Z$2:$Z$18,$AB$2:$AB$18)-$U46)^2+(_xlfn.XLOOKUP(AR$1,$Z$2:$Z$18,$AC$2:$AC$18-$V46)^2)))</f>
        <v>0</v>
      </c>
      <c r="AS46" s="149">
        <f t="array" ref="AS46">IF(AS$1=0,"",SQRT((_xlfn.XLOOKUP(AS$1,$Z$2:$Z$18,$AA$2:$AA$18)-$T46)^2+(_xlfn.XLOOKUP(AS$1,$Z$2:$Z$18,$AB$2:$AB$18)-$U46)^2+(_xlfn.XLOOKUP(AS$1,$Z$2:$Z$18,$AC$2:$AC$18-$V46)^2)))</f>
        <v>0</v>
      </c>
      <c r="AT46" s="149">
        <f t="array" ref="AT46">IF(AT$1=0,"",SQRT((_xlfn.XLOOKUP(AT$1,$Z$2:$Z$18,$AA$2:$AA$18)-$T46)^2+(_xlfn.XLOOKUP(AT$1,$Z$2:$Z$18,$AB$2:$AB$18)-$U46)^2+(_xlfn.XLOOKUP(AT$1,$Z$2:$Z$18,$AC$2:$AC$18-$V46)^2)))</f>
        <v>0</v>
      </c>
      <c r="AU46" s="149">
        <f t="array" ref="AU46">IF(AU$1=0,"",SQRT((_xlfn.XLOOKUP(AU$1,$Z$2:$Z$18,$AA$2:$AA$18)-$T46)^2+(_xlfn.XLOOKUP(AU$1,$Z$2:$Z$18,$AB$2:$AB$18)-$U46)^2+(_xlfn.XLOOKUP(AU$1,$Z$2:$Z$18,$AC$2:$AC$18-$V46)^2)))</f>
        <v>0</v>
      </c>
      <c r="AV46" s="150">
        <f t="array" ref="AV46">IF(AV$1=0,"",SQRT((_xlfn.XLOOKUP(AV$1,$Z$2:$Z$18,$AA$2:$AA$18)-$T46)^2+(_xlfn.XLOOKUP(AV$1,$Z$2:$Z$18,$AB$2:$AB$18)-$U46)^2+(_xlfn.XLOOKUP(AV$1,$Z$2:$Z$18,$AC$2:$AC$18-$V46)^2)))</f>
        <v>0</v>
      </c>
      <c r="AW46" s="133"/>
      <c r="AX46" s="133"/>
      <c r="AY46" s="134">
        <f t="shared" si="36"/>
        <v>0</v>
      </c>
      <c r="AZ46" s="151">
        <f t="shared" si="37"/>
        <v>0</v>
      </c>
      <c r="BA46" s="151">
        <f t="shared" si="38"/>
        <v>0</v>
      </c>
      <c r="BB46" s="151">
        <f t="shared" si="39"/>
        <v>0</v>
      </c>
      <c r="BC46" s="151">
        <f t="shared" si="40"/>
        <v>0</v>
      </c>
      <c r="BD46" s="151">
        <f t="shared" si="41"/>
        <v>0</v>
      </c>
      <c r="BE46" s="151">
        <f t="shared" si="42"/>
        <v>0</v>
      </c>
      <c r="BF46" s="151">
        <f t="shared" si="43"/>
        <v>0</v>
      </c>
      <c r="BG46" s="152">
        <f t="shared" si="44"/>
        <v>0</v>
      </c>
      <c r="BH46" s="152">
        <f t="shared" si="45"/>
        <v>0</v>
      </c>
      <c r="BI46" s="152">
        <f t="shared" si="46"/>
        <v>0</v>
      </c>
      <c r="BJ46" s="152">
        <f t="shared" si="47"/>
        <v>0</v>
      </c>
      <c r="BK46" s="152">
        <f t="shared" si="48"/>
        <v>0</v>
      </c>
      <c r="BL46" s="152">
        <f t="shared" si="49"/>
        <v>0</v>
      </c>
      <c r="BM46" s="153">
        <f t="shared" si="50"/>
        <v>0</v>
      </c>
      <c r="BN46" s="133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3"/>
      <c r="BS46" s="133"/>
      <c r="BT46" s="133"/>
      <c r="BU46" s="133"/>
      <c r="BV46" s="139"/>
      <c r="BW46" s="139"/>
      <c r="BX46" s="139"/>
      <c r="BY46" s="139"/>
      <c r="BZ46" s="139"/>
      <c r="CA46" s="139"/>
      <c r="CB46" s="139"/>
      <c r="CC46" s="139"/>
      <c r="CD46" s="139"/>
      <c r="CE46" s="139"/>
      <c r="CF46" s="139"/>
      <c r="CG46" s="139"/>
      <c r="CH46" s="139"/>
      <c r="CI46" s="139"/>
      <c r="CJ46" s="139"/>
      <c r="CL46" s="133"/>
      <c r="CM46" s="139" t="s">
        <v>32</v>
      </c>
      <c r="CN46" s="139"/>
      <c r="CO46" s="139"/>
      <c r="CP46" s="139"/>
      <c r="CQ46" s="139"/>
      <c r="CR46" s="139"/>
      <c r="CS46" s="139"/>
      <c r="CT46" s="139"/>
      <c r="CU46" s="139"/>
      <c r="CV46" s="139"/>
      <c r="CW46" s="139"/>
      <c r="CX46" s="139"/>
      <c r="CY46" s="139"/>
      <c r="CZ46" s="139"/>
      <c r="DA46" s="139"/>
      <c r="DB46" s="133"/>
      <c r="DC46" s="133"/>
      <c r="DD46" s="167" cm="1">
        <f t="array" ref="DD46">_xlfn.IFS(DD$1= 0,"", NOT(ISBLANK(CM46)), 0, ISBLANK(CM46), $Q46-$S46+AY46-BV46)</f>
        <v>0</v>
      </c>
      <c r="DE46" s="168" cm="1">
        <f t="array" ref="DE46">_xlfn.IFS(DE$1= 0,"", NOT(ISBLANK(CN46)), 0, ISBLANK(CN46), $Q46-$S46+AZ46-BW46)</f>
        <v>0</v>
      </c>
      <c r="DF46" s="168" cm="1">
        <f t="array" ref="DF46">_xlfn.IFS(DF$1= 0,"", NOT(ISBLANK(CO46)), 0, ISBLANK(CO46), $Q46-$S46+BA46-BX46)</f>
        <v>0</v>
      </c>
      <c r="DG46" s="168" cm="1">
        <f t="array" ref="DG46">_xlfn.IFS(DG$1= 0,"", NOT(ISBLANK(CP46)), 0, ISBLANK(CP46), $Q46-$S46+BB46-BY46)</f>
        <v>0</v>
      </c>
      <c r="DH46" s="168" cm="1">
        <f t="array" ref="DH46">_xlfn.IFS(DH$1= 0,"", NOT(ISBLANK(CQ46)), 0, ISBLANK(CQ46), $Q46-$S46+BC46-BZ46)</f>
        <v>0</v>
      </c>
      <c r="DI46" s="168" cm="1">
        <f t="array" ref="DI46">_xlfn.IFS(DI$1= 0,"", NOT(ISBLANK(CR46)), 0, ISBLANK(CR46), $Q46-$S46+BD46-CA46)</f>
        <v>0</v>
      </c>
      <c r="DJ46" s="168" cm="1">
        <f t="array" ref="DJ46">_xlfn.IFS(DJ$1= 0,"", NOT(ISBLANK(CS46)), 0, ISBLANK(CS46), $Q46-$S46+BE46-CB46)</f>
        <v>0</v>
      </c>
      <c r="DK46" s="168" cm="1">
        <f t="array" ref="DK46">_xlfn.IFS(DK$1= 0,"", NOT(ISBLANK(CT46)), 0, ISBLANK(CT46), $Q46-$S46+BF46-CC46)</f>
        <v>0</v>
      </c>
      <c r="DL46" s="170" cm="1">
        <f t="array" ref="DL46">_xlfn.IFS(DL$1= 0,"", NOT(ISBLANK(CU46)), 0, ISBLANK(CU46), $Q46-$S46+BG46-CD46)</f>
        <v>0</v>
      </c>
      <c r="DM46" s="170" cm="1">
        <f t="array" ref="DM46">_xlfn.IFS(DM$1= 0,"", NOT(ISBLANK(CV46)), 0, ISBLANK(CV46), $Q46-$S46+BH46-CE46)</f>
        <v>0</v>
      </c>
      <c r="DN46" s="170" cm="1">
        <f t="array" ref="DN46">_xlfn.IFS(DN$1= 0,"", NOT(ISBLANK(CW46)), 0, ISBLANK(CW46), $Q46-$S46+BI46-CF46)</f>
        <v>0</v>
      </c>
      <c r="DO46" s="170" cm="1">
        <f t="array" ref="DO46">_xlfn.IFS(DO$1= 0,"", NOT(ISBLANK(CX46)), 0, ISBLANK(CX46), $Q46-$S46+BJ46-CG46)</f>
        <v>0</v>
      </c>
      <c r="DP46" s="170" cm="1">
        <f t="array" ref="DP46">_xlfn.IFS(DP$1= 0,"", NOT(ISBLANK(CY46)), 0, ISBLANK(CY46), $Q46-$S46+BK46-CH46)</f>
        <v>0</v>
      </c>
      <c r="DQ46" s="170" cm="1">
        <f t="array" ref="DQ46">_xlfn.IFS(DQ$1= 0,"", NOT(ISBLANK(CZ46)), 0, ISBLANK(CZ46), $Q46-$S46+BL46-CI46)</f>
        <v>0</v>
      </c>
      <c r="DR46" s="171" cm="1">
        <f t="array" ref="DR46">_xlfn.IFS(DR$1= 0,"", NOT(ISBLANK(DA46)), 0, ISBLANK(DA46), $Q46-$S46+BM46-CJ46)</f>
        <v>0</v>
      </c>
    </row>
    <row r="47" spans="1:122" ht="16.5" customHeight="1" x14ac:dyDescent="0.3">
      <c r="A47" s="214"/>
      <c r="B47" s="144"/>
      <c r="C47" s="144"/>
      <c r="D47" s="145"/>
      <c r="E47" s="196"/>
      <c r="F47" s="204"/>
      <c r="G47" s="205"/>
      <c r="H47" s="205"/>
      <c r="I47" s="205"/>
      <c r="J47" s="205"/>
      <c r="K47" s="205"/>
      <c r="L47" s="205"/>
      <c r="M47" s="209"/>
      <c r="N47" s="204"/>
      <c r="O47" s="206"/>
      <c r="P47" s="199"/>
      <c r="Q47" s="127">
        <f t="shared" si="34"/>
        <v>0</v>
      </c>
      <c r="R47" s="3"/>
      <c r="S47" s="3"/>
      <c r="T47" s="4"/>
      <c r="U47" s="4"/>
      <c r="V47" s="109">
        <f t="shared" si="35"/>
        <v>0</v>
      </c>
      <c r="W47" s="169"/>
      <c r="X47" s="146"/>
      <c r="Z47" s="115" t="s">
        <v>171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6">
        <f t="array" ref="AH47">IF(AH$1=0,"",SQRT((_xlfn.XLOOKUP(AH$1,$Z$2:$Z$18,$AA$2:$AA$18)-$T47)^2+(_xlfn.XLOOKUP(AH$1,$Z$2:$Z$18,$AB$2:$AB$18)-$U47)^2+(_xlfn.XLOOKUP(AH$1,$Z$2:$Z$18,$AC$2:$AC$18-$V47)^2)))</f>
        <v>0</v>
      </c>
      <c r="AI47" s="148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8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8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8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8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8">
        <f t="array" ref="AN47">IF(AN$1=0,"",SQRT((_xlfn.XLOOKUP(AN$1,$Z$2:$Z$18,$AA$2:$AA$18)-$T47)^2+(_xlfn.XLOOKUP(AN$1,$Z$2:$Z$18,$AB$2:$AB$18)-$U47)^2+(_xlfn.XLOOKUP(AN$1,$Z$2:$Z$18,$AC$2:$AC$18-$V47)^2)))</f>
        <v>0</v>
      </c>
      <c r="AO47" s="148">
        <f t="array" ref="AO47">IF(AO$1=0,"",SQRT((_xlfn.XLOOKUP(AO$1,$Z$2:$Z$18,$AA$2:$AA$18)-$T47)^2+(_xlfn.XLOOKUP(AO$1,$Z$2:$Z$18,$AB$2:$AB$18)-$U47)^2+(_xlfn.XLOOKUP(AO$1,$Z$2:$Z$18,$AC$2:$AC$18-$V47)^2)))</f>
        <v>0</v>
      </c>
      <c r="AP47" s="149">
        <f t="array" ref="AP47">IF(AP$1=0,"",SQRT((_xlfn.XLOOKUP(AP$1,$Z$2:$Z$18,$AA$2:$AA$18)-$T47)^2+(_xlfn.XLOOKUP(AP$1,$Z$2:$Z$18,$AB$2:$AB$18)-$U47)^2+(_xlfn.XLOOKUP(AP$1,$Z$2:$Z$18,$AC$2:$AC$18-$V47)^2)))</f>
        <v>0</v>
      </c>
      <c r="AQ47" s="149">
        <f t="array" ref="AQ47">IF(AQ$1=0,"",SQRT((_xlfn.XLOOKUP(AQ$1,$Z$2:$Z$18,$AA$2:$AA$18)-$T47)^2+(_xlfn.XLOOKUP(AQ$1,$Z$2:$Z$18,$AB$2:$AB$18)-$U47)^2+(_xlfn.XLOOKUP(AQ$1,$Z$2:$Z$18,$AC$2:$AC$18-$V47)^2)))</f>
        <v>0</v>
      </c>
      <c r="AR47" s="149">
        <f t="array" ref="AR47">IF(AR$1=0,"",SQRT((_xlfn.XLOOKUP(AR$1,$Z$2:$Z$18,$AA$2:$AA$18)-$T47)^2+(_xlfn.XLOOKUP(AR$1,$Z$2:$Z$18,$AB$2:$AB$18)-$U47)^2+(_xlfn.XLOOKUP(AR$1,$Z$2:$Z$18,$AC$2:$AC$18-$V47)^2)))</f>
        <v>0</v>
      </c>
      <c r="AS47" s="149">
        <f t="array" ref="AS47">IF(AS$1=0,"",SQRT((_xlfn.XLOOKUP(AS$1,$Z$2:$Z$18,$AA$2:$AA$18)-$T47)^2+(_xlfn.XLOOKUP(AS$1,$Z$2:$Z$18,$AB$2:$AB$18)-$U47)^2+(_xlfn.XLOOKUP(AS$1,$Z$2:$Z$18,$AC$2:$AC$18-$V47)^2)))</f>
        <v>0</v>
      </c>
      <c r="AT47" s="149">
        <f t="array" ref="AT47">IF(AT$1=0,"",SQRT((_xlfn.XLOOKUP(AT$1,$Z$2:$Z$18,$AA$2:$AA$18)-$T47)^2+(_xlfn.XLOOKUP(AT$1,$Z$2:$Z$18,$AB$2:$AB$18)-$U47)^2+(_xlfn.XLOOKUP(AT$1,$Z$2:$Z$18,$AC$2:$AC$18-$V47)^2)))</f>
        <v>0</v>
      </c>
      <c r="AU47" s="149">
        <f t="array" ref="AU47">IF(AU$1=0,"",SQRT((_xlfn.XLOOKUP(AU$1,$Z$2:$Z$18,$AA$2:$AA$18)-$T47)^2+(_xlfn.XLOOKUP(AU$1,$Z$2:$Z$18,$AB$2:$AB$18)-$U47)^2+(_xlfn.XLOOKUP(AU$1,$Z$2:$Z$18,$AC$2:$AC$18-$V47)^2)))</f>
        <v>0</v>
      </c>
      <c r="AV47" s="150">
        <f t="array" ref="AV47">IF(AV$1=0,"",SQRT((_xlfn.XLOOKUP(AV$1,$Z$2:$Z$18,$AA$2:$AA$18)-$T47)^2+(_xlfn.XLOOKUP(AV$1,$Z$2:$Z$18,$AB$2:$AB$18)-$U47)^2+(_xlfn.XLOOKUP(AV$1,$Z$2:$Z$18,$AC$2:$AC$18-$V47)^2)))</f>
        <v>0</v>
      </c>
      <c r="AW47" s="133"/>
      <c r="AX47" s="133"/>
      <c r="AY47" s="134">
        <f t="shared" si="36"/>
        <v>0</v>
      </c>
      <c r="AZ47" s="151">
        <f t="shared" si="37"/>
        <v>0</v>
      </c>
      <c r="BA47" s="151">
        <f t="shared" si="38"/>
        <v>0</v>
      </c>
      <c r="BB47" s="151">
        <f t="shared" si="39"/>
        <v>0</v>
      </c>
      <c r="BC47" s="151">
        <f t="shared" si="40"/>
        <v>0</v>
      </c>
      <c r="BD47" s="151">
        <f t="shared" si="41"/>
        <v>0</v>
      </c>
      <c r="BE47" s="151">
        <f t="shared" si="42"/>
        <v>0</v>
      </c>
      <c r="BF47" s="151">
        <f t="shared" si="43"/>
        <v>0</v>
      </c>
      <c r="BG47" s="152">
        <f t="shared" si="44"/>
        <v>0</v>
      </c>
      <c r="BH47" s="152">
        <f t="shared" si="45"/>
        <v>0</v>
      </c>
      <c r="BI47" s="152">
        <f t="shared" si="46"/>
        <v>0</v>
      </c>
      <c r="BJ47" s="152">
        <f t="shared" si="47"/>
        <v>0</v>
      </c>
      <c r="BK47" s="152">
        <f t="shared" si="48"/>
        <v>0</v>
      </c>
      <c r="BL47" s="152">
        <f t="shared" si="49"/>
        <v>0</v>
      </c>
      <c r="BM47" s="153">
        <f t="shared" si="50"/>
        <v>0</v>
      </c>
      <c r="BN47" s="133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3"/>
      <c r="BS47" s="133"/>
      <c r="BT47" s="133"/>
      <c r="BU47" s="133"/>
      <c r="BV47" s="139"/>
      <c r="BW47" s="139"/>
      <c r="BX47" s="139"/>
      <c r="BY47" s="139"/>
      <c r="BZ47" s="139"/>
      <c r="CA47" s="139"/>
      <c r="CB47" s="139"/>
      <c r="CC47" s="139"/>
      <c r="CD47" s="139"/>
      <c r="CE47" s="139"/>
      <c r="CF47" s="139"/>
      <c r="CG47" s="139"/>
      <c r="CH47" s="139"/>
      <c r="CI47" s="139"/>
      <c r="CJ47" s="139"/>
      <c r="CL47" s="133"/>
      <c r="CM47" s="139" t="s">
        <v>32</v>
      </c>
      <c r="CN47" s="139"/>
      <c r="CO47" s="139"/>
      <c r="CP47" s="139"/>
      <c r="CQ47" s="139"/>
      <c r="CR47" s="139"/>
      <c r="CS47" s="139"/>
      <c r="CT47" s="139"/>
      <c r="CU47" s="139"/>
      <c r="CV47" s="139"/>
      <c r="CW47" s="139"/>
      <c r="CX47" s="139"/>
      <c r="CY47" s="139"/>
      <c r="CZ47" s="139"/>
      <c r="DA47" s="139"/>
      <c r="DB47" s="133"/>
      <c r="DC47" s="133"/>
      <c r="DD47" s="167" cm="1">
        <f t="array" ref="DD47">_xlfn.IFS(DD$1= 0,"", NOT(ISBLANK(CM47)), 0, ISBLANK(CM47), $Q47-$S47+AY47-BV47)</f>
        <v>0</v>
      </c>
      <c r="DE47" s="168" cm="1">
        <f t="array" ref="DE47">_xlfn.IFS(DE$1= 0,"", NOT(ISBLANK(CN47)), 0, ISBLANK(CN47), $Q47-$S47+AZ47-BW47)</f>
        <v>0</v>
      </c>
      <c r="DF47" s="168" cm="1">
        <f t="array" ref="DF47">_xlfn.IFS(DF$1= 0,"", NOT(ISBLANK(CO47)), 0, ISBLANK(CO47), $Q47-$S47+BA47-BX47)</f>
        <v>0</v>
      </c>
      <c r="DG47" s="168" cm="1">
        <f t="array" ref="DG47">_xlfn.IFS(DG$1= 0,"", NOT(ISBLANK(CP47)), 0, ISBLANK(CP47), $Q47-$S47+BB47-BY47)</f>
        <v>0</v>
      </c>
      <c r="DH47" s="168" cm="1">
        <f t="array" ref="DH47">_xlfn.IFS(DH$1= 0,"", NOT(ISBLANK(CQ47)), 0, ISBLANK(CQ47), $Q47-$S47+BC47-BZ47)</f>
        <v>0</v>
      </c>
      <c r="DI47" s="168" cm="1">
        <f t="array" ref="DI47">_xlfn.IFS(DI$1= 0,"", NOT(ISBLANK(CR47)), 0, ISBLANK(CR47), $Q47-$S47+BD47-CA47)</f>
        <v>0</v>
      </c>
      <c r="DJ47" s="168" cm="1">
        <f t="array" ref="DJ47">_xlfn.IFS(DJ$1= 0,"", NOT(ISBLANK(CS47)), 0, ISBLANK(CS47), $Q47-$S47+BE47-CB47)</f>
        <v>0</v>
      </c>
      <c r="DK47" s="168" cm="1">
        <f t="array" ref="DK47">_xlfn.IFS(DK$1= 0,"", NOT(ISBLANK(CT47)), 0, ISBLANK(CT47), $Q47-$S47+BF47-CC47)</f>
        <v>0</v>
      </c>
      <c r="DL47" s="170" cm="1">
        <f t="array" ref="DL47">_xlfn.IFS(DL$1= 0,"", NOT(ISBLANK(CU47)), 0, ISBLANK(CU47), $Q47-$S47+BG47-CD47)</f>
        <v>0</v>
      </c>
      <c r="DM47" s="170" cm="1">
        <f t="array" ref="DM47">_xlfn.IFS(DM$1= 0,"", NOT(ISBLANK(CV47)), 0, ISBLANK(CV47), $Q47-$S47+BH47-CE47)</f>
        <v>0</v>
      </c>
      <c r="DN47" s="170" cm="1">
        <f t="array" ref="DN47">_xlfn.IFS(DN$1= 0,"", NOT(ISBLANK(CW47)), 0, ISBLANK(CW47), $Q47-$S47+BI47-CF47)</f>
        <v>0</v>
      </c>
      <c r="DO47" s="170" cm="1">
        <f t="array" ref="DO47">_xlfn.IFS(DO$1= 0,"", NOT(ISBLANK(CX47)), 0, ISBLANK(CX47), $Q47-$S47+BJ47-CG47)</f>
        <v>0</v>
      </c>
      <c r="DP47" s="170" cm="1">
        <f t="array" ref="DP47">_xlfn.IFS(DP$1= 0,"", NOT(ISBLANK(CY47)), 0, ISBLANK(CY47), $Q47-$S47+BK47-CH47)</f>
        <v>0</v>
      </c>
      <c r="DQ47" s="170" cm="1">
        <f t="array" ref="DQ47">_xlfn.IFS(DQ$1= 0,"", NOT(ISBLANK(CZ47)), 0, ISBLANK(CZ47), $Q47-$S47+BL47-CI47)</f>
        <v>0</v>
      </c>
      <c r="DR47" s="171" cm="1">
        <f t="array" ref="DR47">_xlfn.IFS(DR$1= 0,"", NOT(ISBLANK(DA47)), 0, ISBLANK(DA47), $Q47-$S47+BM47-CJ47)</f>
        <v>0</v>
      </c>
    </row>
    <row r="48" spans="1:122" ht="16.5" customHeight="1" x14ac:dyDescent="0.3">
      <c r="A48" s="214"/>
      <c r="B48" s="144"/>
      <c r="C48" s="144"/>
      <c r="D48" s="145"/>
      <c r="E48" s="196"/>
      <c r="F48" s="204"/>
      <c r="G48" s="205"/>
      <c r="H48" s="205"/>
      <c r="I48" s="205"/>
      <c r="J48" s="205"/>
      <c r="K48" s="205"/>
      <c r="L48" s="205"/>
      <c r="M48" s="209"/>
      <c r="N48" s="204"/>
      <c r="O48" s="206"/>
      <c r="P48" s="199"/>
      <c r="Q48" s="127">
        <f t="shared" si="34"/>
        <v>0</v>
      </c>
      <c r="R48" s="3"/>
      <c r="S48" s="3"/>
      <c r="T48" s="4"/>
      <c r="U48" s="4"/>
      <c r="V48" s="109">
        <f t="shared" si="35"/>
        <v>0</v>
      </c>
      <c r="W48" s="169"/>
      <c r="X48" s="146"/>
      <c r="Z48" s="116"/>
      <c r="AA48" s="113"/>
      <c r="AB48" s="52"/>
      <c r="AC48" s="53"/>
      <c r="AD48" s="52"/>
      <c r="AE48" s="52"/>
      <c r="AF48" s="53"/>
      <c r="AH48" s="166">
        <f t="array" ref="AH48">IF(AH$1=0,"",SQRT((_xlfn.XLOOKUP(AH$1,$Z$2:$Z$18,$AA$2:$AA$18)-$T48)^2+(_xlfn.XLOOKUP(AH$1,$Z$2:$Z$18,$AB$2:$AB$18)-$U48)^2+(_xlfn.XLOOKUP(AH$1,$Z$2:$Z$18,$AC$2:$AC$18-$V48)^2)))</f>
        <v>0</v>
      </c>
      <c r="AI48" s="148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8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8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8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8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8">
        <f t="array" ref="AN48">IF(AN$1=0,"",SQRT((_xlfn.XLOOKUP(AN$1,$Z$2:$Z$18,$AA$2:$AA$18)-$T48)^2+(_xlfn.XLOOKUP(AN$1,$Z$2:$Z$18,$AB$2:$AB$18)-$U48)^2+(_xlfn.XLOOKUP(AN$1,$Z$2:$Z$18,$AC$2:$AC$18-$V48)^2)))</f>
        <v>0</v>
      </c>
      <c r="AO48" s="148">
        <f t="array" ref="AO48">IF(AO$1=0,"",SQRT((_xlfn.XLOOKUP(AO$1,$Z$2:$Z$18,$AA$2:$AA$18)-$T48)^2+(_xlfn.XLOOKUP(AO$1,$Z$2:$Z$18,$AB$2:$AB$18)-$U48)^2+(_xlfn.XLOOKUP(AO$1,$Z$2:$Z$18,$AC$2:$AC$18-$V48)^2)))</f>
        <v>0</v>
      </c>
      <c r="AP48" s="149">
        <f t="array" ref="AP48">IF(AP$1=0,"",SQRT((_xlfn.XLOOKUP(AP$1,$Z$2:$Z$18,$AA$2:$AA$18)-$T48)^2+(_xlfn.XLOOKUP(AP$1,$Z$2:$Z$18,$AB$2:$AB$18)-$U48)^2+(_xlfn.XLOOKUP(AP$1,$Z$2:$Z$18,$AC$2:$AC$18-$V48)^2)))</f>
        <v>0</v>
      </c>
      <c r="AQ48" s="149">
        <f t="array" ref="AQ48">IF(AQ$1=0,"",SQRT((_xlfn.XLOOKUP(AQ$1,$Z$2:$Z$18,$AA$2:$AA$18)-$T48)^2+(_xlfn.XLOOKUP(AQ$1,$Z$2:$Z$18,$AB$2:$AB$18)-$U48)^2+(_xlfn.XLOOKUP(AQ$1,$Z$2:$Z$18,$AC$2:$AC$18-$V48)^2)))</f>
        <v>0</v>
      </c>
      <c r="AR48" s="149">
        <f t="array" ref="AR48">IF(AR$1=0,"",SQRT((_xlfn.XLOOKUP(AR$1,$Z$2:$Z$18,$AA$2:$AA$18)-$T48)^2+(_xlfn.XLOOKUP(AR$1,$Z$2:$Z$18,$AB$2:$AB$18)-$U48)^2+(_xlfn.XLOOKUP(AR$1,$Z$2:$Z$18,$AC$2:$AC$18-$V48)^2)))</f>
        <v>0</v>
      </c>
      <c r="AS48" s="149">
        <f t="array" ref="AS48">IF(AS$1=0,"",SQRT((_xlfn.XLOOKUP(AS$1,$Z$2:$Z$18,$AA$2:$AA$18)-$T48)^2+(_xlfn.XLOOKUP(AS$1,$Z$2:$Z$18,$AB$2:$AB$18)-$U48)^2+(_xlfn.XLOOKUP(AS$1,$Z$2:$Z$18,$AC$2:$AC$18-$V48)^2)))</f>
        <v>0</v>
      </c>
      <c r="AT48" s="149">
        <f t="array" ref="AT48">IF(AT$1=0,"",SQRT((_xlfn.XLOOKUP(AT$1,$Z$2:$Z$18,$AA$2:$AA$18)-$T48)^2+(_xlfn.XLOOKUP(AT$1,$Z$2:$Z$18,$AB$2:$AB$18)-$U48)^2+(_xlfn.XLOOKUP(AT$1,$Z$2:$Z$18,$AC$2:$AC$18-$V48)^2)))</f>
        <v>0</v>
      </c>
      <c r="AU48" s="149">
        <f t="array" ref="AU48">IF(AU$1=0,"",SQRT((_xlfn.XLOOKUP(AU$1,$Z$2:$Z$18,$AA$2:$AA$18)-$T48)^2+(_xlfn.XLOOKUP(AU$1,$Z$2:$Z$18,$AB$2:$AB$18)-$U48)^2+(_xlfn.XLOOKUP(AU$1,$Z$2:$Z$18,$AC$2:$AC$18-$V48)^2)))</f>
        <v>0</v>
      </c>
      <c r="AV48" s="150">
        <f t="array" ref="AV48">IF(AV$1=0,"",SQRT((_xlfn.XLOOKUP(AV$1,$Z$2:$Z$18,$AA$2:$AA$18)-$T48)^2+(_xlfn.XLOOKUP(AV$1,$Z$2:$Z$18,$AB$2:$AB$18)-$U48)^2+(_xlfn.XLOOKUP(AV$1,$Z$2:$Z$18,$AC$2:$AC$18-$V48)^2)))</f>
        <v>0</v>
      </c>
      <c r="AW48" s="133"/>
      <c r="AX48" s="133"/>
      <c r="AY48" s="134">
        <f t="shared" si="36"/>
        <v>0</v>
      </c>
      <c r="AZ48" s="151">
        <f t="shared" si="37"/>
        <v>0</v>
      </c>
      <c r="BA48" s="151">
        <f t="shared" si="38"/>
        <v>0</v>
      </c>
      <c r="BB48" s="151">
        <f t="shared" si="39"/>
        <v>0</v>
      </c>
      <c r="BC48" s="151">
        <f t="shared" si="40"/>
        <v>0</v>
      </c>
      <c r="BD48" s="151">
        <f t="shared" si="41"/>
        <v>0</v>
      </c>
      <c r="BE48" s="151">
        <f t="shared" si="42"/>
        <v>0</v>
      </c>
      <c r="BF48" s="151">
        <f t="shared" si="43"/>
        <v>0</v>
      </c>
      <c r="BG48" s="152">
        <f t="shared" si="44"/>
        <v>0</v>
      </c>
      <c r="BH48" s="152">
        <f t="shared" si="45"/>
        <v>0</v>
      </c>
      <c r="BI48" s="152">
        <f t="shared" si="46"/>
        <v>0</v>
      </c>
      <c r="BJ48" s="152">
        <f t="shared" si="47"/>
        <v>0</v>
      </c>
      <c r="BK48" s="152">
        <f t="shared" si="48"/>
        <v>0</v>
      </c>
      <c r="BL48" s="152">
        <f t="shared" si="49"/>
        <v>0</v>
      </c>
      <c r="BM48" s="153">
        <f t="shared" si="50"/>
        <v>0</v>
      </c>
      <c r="BN48" s="133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3"/>
      <c r="BS48" s="133"/>
      <c r="BT48" s="133"/>
      <c r="BU48" s="133"/>
      <c r="BV48" s="139"/>
      <c r="BW48" s="139"/>
      <c r="BX48" s="139"/>
      <c r="BY48" s="139"/>
      <c r="BZ48" s="139"/>
      <c r="CA48" s="139"/>
      <c r="CB48" s="139"/>
      <c r="CC48" s="139"/>
      <c r="CD48" s="139"/>
      <c r="CE48" s="139"/>
      <c r="CF48" s="139"/>
      <c r="CG48" s="139"/>
      <c r="CH48" s="139"/>
      <c r="CI48" s="139"/>
      <c r="CJ48" s="139"/>
      <c r="CL48" s="133"/>
      <c r="CM48" s="139" t="s">
        <v>32</v>
      </c>
      <c r="CN48" s="139"/>
      <c r="CO48" s="139"/>
      <c r="CP48" s="139"/>
      <c r="CQ48" s="139"/>
      <c r="CR48" s="139"/>
      <c r="CS48" s="139"/>
      <c r="CT48" s="139"/>
      <c r="CU48" s="139"/>
      <c r="CV48" s="139"/>
      <c r="CW48" s="139"/>
      <c r="CX48" s="139"/>
      <c r="CY48" s="139"/>
      <c r="CZ48" s="139"/>
      <c r="DA48" s="139"/>
      <c r="DB48" s="133"/>
      <c r="DC48" s="133"/>
      <c r="DD48" s="167" cm="1">
        <f t="array" ref="DD48">_xlfn.IFS(DD$1= 0,"", NOT(ISBLANK(CM48)), 0, ISBLANK(CM48), $Q48-$S48+AY48-BV48)</f>
        <v>0</v>
      </c>
      <c r="DE48" s="168" cm="1">
        <f t="array" ref="DE48">_xlfn.IFS(DE$1= 0,"", NOT(ISBLANK(CN48)), 0, ISBLANK(CN48), $Q48-$S48+AZ48-BW48)</f>
        <v>0</v>
      </c>
      <c r="DF48" s="168" cm="1">
        <f t="array" ref="DF48">_xlfn.IFS(DF$1= 0,"", NOT(ISBLANK(CO48)), 0, ISBLANK(CO48), $Q48-$S48+BA48-BX48)</f>
        <v>0</v>
      </c>
      <c r="DG48" s="168" cm="1">
        <f t="array" ref="DG48">_xlfn.IFS(DG$1= 0,"", NOT(ISBLANK(CP48)), 0, ISBLANK(CP48), $Q48-$S48+BB48-BY48)</f>
        <v>0</v>
      </c>
      <c r="DH48" s="168" cm="1">
        <f t="array" ref="DH48">_xlfn.IFS(DH$1= 0,"", NOT(ISBLANK(CQ48)), 0, ISBLANK(CQ48), $Q48-$S48+BC48-BZ48)</f>
        <v>0</v>
      </c>
      <c r="DI48" s="168" cm="1">
        <f t="array" ref="DI48">_xlfn.IFS(DI$1= 0,"", NOT(ISBLANK(CR48)), 0, ISBLANK(CR48), $Q48-$S48+BD48-CA48)</f>
        <v>0</v>
      </c>
      <c r="DJ48" s="168" cm="1">
        <f t="array" ref="DJ48">_xlfn.IFS(DJ$1= 0,"", NOT(ISBLANK(CS48)), 0, ISBLANK(CS48), $Q48-$S48+BE48-CB48)</f>
        <v>0</v>
      </c>
      <c r="DK48" s="168" cm="1">
        <f t="array" ref="DK48">_xlfn.IFS(DK$1= 0,"", NOT(ISBLANK(CT48)), 0, ISBLANK(CT48), $Q48-$S48+BF48-CC48)</f>
        <v>0</v>
      </c>
      <c r="DL48" s="170" cm="1">
        <f t="array" ref="DL48">_xlfn.IFS(DL$1= 0,"", NOT(ISBLANK(CU48)), 0, ISBLANK(CU48), $Q48-$S48+BG48-CD48)</f>
        <v>0</v>
      </c>
      <c r="DM48" s="170" cm="1">
        <f t="array" ref="DM48">_xlfn.IFS(DM$1= 0,"", NOT(ISBLANK(CV48)), 0, ISBLANK(CV48), $Q48-$S48+BH48-CE48)</f>
        <v>0</v>
      </c>
      <c r="DN48" s="170" cm="1">
        <f t="array" ref="DN48">_xlfn.IFS(DN$1= 0,"", NOT(ISBLANK(CW48)), 0, ISBLANK(CW48), $Q48-$S48+BI48-CF48)</f>
        <v>0</v>
      </c>
      <c r="DO48" s="170" cm="1">
        <f t="array" ref="DO48">_xlfn.IFS(DO$1= 0,"", NOT(ISBLANK(CX48)), 0, ISBLANK(CX48), $Q48-$S48+BJ48-CG48)</f>
        <v>0</v>
      </c>
      <c r="DP48" s="170" cm="1">
        <f t="array" ref="DP48">_xlfn.IFS(DP$1= 0,"", NOT(ISBLANK(CY48)), 0, ISBLANK(CY48), $Q48-$S48+BK48-CH48)</f>
        <v>0</v>
      </c>
      <c r="DQ48" s="170" cm="1">
        <f t="array" ref="DQ48">_xlfn.IFS(DQ$1= 0,"", NOT(ISBLANK(CZ48)), 0, ISBLANK(CZ48), $Q48-$S48+BL48-CI48)</f>
        <v>0</v>
      </c>
      <c r="DR48" s="171" cm="1">
        <f t="array" ref="DR48">_xlfn.IFS(DR$1= 0,"", NOT(ISBLANK(DA48)), 0, ISBLANK(DA48), $Q48-$S48+BM48-CJ48)</f>
        <v>0</v>
      </c>
    </row>
    <row r="49" spans="1:122" ht="16.5" customHeight="1" x14ac:dyDescent="0.3">
      <c r="A49" s="214"/>
      <c r="B49" s="144"/>
      <c r="C49" s="144"/>
      <c r="D49" s="145"/>
      <c r="E49" s="196"/>
      <c r="F49" s="204"/>
      <c r="G49" s="205"/>
      <c r="H49" s="205"/>
      <c r="I49" s="205"/>
      <c r="J49" s="205"/>
      <c r="K49" s="205"/>
      <c r="L49" s="205"/>
      <c r="M49" s="209"/>
      <c r="N49" s="204"/>
      <c r="O49" s="206"/>
      <c r="P49" s="199"/>
      <c r="Q49" s="127">
        <f t="shared" si="34"/>
        <v>0</v>
      </c>
      <c r="R49" s="3"/>
      <c r="S49" s="3"/>
      <c r="T49" s="4"/>
      <c r="U49" s="4"/>
      <c r="V49" s="109">
        <f t="shared" si="35"/>
        <v>0</v>
      </c>
      <c r="W49" s="169"/>
      <c r="X49" s="146"/>
      <c r="Z49" s="116"/>
      <c r="AA49" s="113"/>
      <c r="AB49" s="52"/>
      <c r="AC49" s="53"/>
      <c r="AD49" s="52"/>
      <c r="AE49" s="52"/>
      <c r="AF49" s="53"/>
      <c r="AH49" s="166">
        <f t="array" ref="AH49">IF(AH$1=0,"",SQRT((_xlfn.XLOOKUP(AH$1,$Z$2:$Z$18,$AA$2:$AA$18)-$T49)^2+(_xlfn.XLOOKUP(AH$1,$Z$2:$Z$18,$AB$2:$AB$18)-$U49)^2+(_xlfn.XLOOKUP(AH$1,$Z$2:$Z$18,$AC$2:$AC$18-$V49)^2)))</f>
        <v>0</v>
      </c>
      <c r="AI49" s="148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8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8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8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8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8">
        <f t="array" ref="AN49">IF(AN$1=0,"",SQRT((_xlfn.XLOOKUP(AN$1,$Z$2:$Z$18,$AA$2:$AA$18)-$T49)^2+(_xlfn.XLOOKUP(AN$1,$Z$2:$Z$18,$AB$2:$AB$18)-$U49)^2+(_xlfn.XLOOKUP(AN$1,$Z$2:$Z$18,$AC$2:$AC$18-$V49)^2)))</f>
        <v>0</v>
      </c>
      <c r="AO49" s="148">
        <f t="array" ref="AO49">IF(AO$1=0,"",SQRT((_xlfn.XLOOKUP(AO$1,$Z$2:$Z$18,$AA$2:$AA$18)-$T49)^2+(_xlfn.XLOOKUP(AO$1,$Z$2:$Z$18,$AB$2:$AB$18)-$U49)^2+(_xlfn.XLOOKUP(AO$1,$Z$2:$Z$18,$AC$2:$AC$18-$V49)^2)))</f>
        <v>0</v>
      </c>
      <c r="AP49" s="149">
        <f t="array" ref="AP49">IF(AP$1=0,"",SQRT((_xlfn.XLOOKUP(AP$1,$Z$2:$Z$18,$AA$2:$AA$18)-$T49)^2+(_xlfn.XLOOKUP(AP$1,$Z$2:$Z$18,$AB$2:$AB$18)-$U49)^2+(_xlfn.XLOOKUP(AP$1,$Z$2:$Z$18,$AC$2:$AC$18-$V49)^2)))</f>
        <v>0</v>
      </c>
      <c r="AQ49" s="149">
        <f t="array" ref="AQ49">IF(AQ$1=0,"",SQRT((_xlfn.XLOOKUP(AQ$1,$Z$2:$Z$18,$AA$2:$AA$18)-$T49)^2+(_xlfn.XLOOKUP(AQ$1,$Z$2:$Z$18,$AB$2:$AB$18)-$U49)^2+(_xlfn.XLOOKUP(AQ$1,$Z$2:$Z$18,$AC$2:$AC$18-$V49)^2)))</f>
        <v>0</v>
      </c>
      <c r="AR49" s="149">
        <f t="array" ref="AR49">IF(AR$1=0,"",SQRT((_xlfn.XLOOKUP(AR$1,$Z$2:$Z$18,$AA$2:$AA$18)-$T49)^2+(_xlfn.XLOOKUP(AR$1,$Z$2:$Z$18,$AB$2:$AB$18)-$U49)^2+(_xlfn.XLOOKUP(AR$1,$Z$2:$Z$18,$AC$2:$AC$18-$V49)^2)))</f>
        <v>0</v>
      </c>
      <c r="AS49" s="149">
        <f t="array" ref="AS49">IF(AS$1=0,"",SQRT((_xlfn.XLOOKUP(AS$1,$Z$2:$Z$18,$AA$2:$AA$18)-$T49)^2+(_xlfn.XLOOKUP(AS$1,$Z$2:$Z$18,$AB$2:$AB$18)-$U49)^2+(_xlfn.XLOOKUP(AS$1,$Z$2:$Z$18,$AC$2:$AC$18-$V49)^2)))</f>
        <v>0</v>
      </c>
      <c r="AT49" s="149">
        <f t="array" ref="AT49">IF(AT$1=0,"",SQRT((_xlfn.XLOOKUP(AT$1,$Z$2:$Z$18,$AA$2:$AA$18)-$T49)^2+(_xlfn.XLOOKUP(AT$1,$Z$2:$Z$18,$AB$2:$AB$18)-$U49)^2+(_xlfn.XLOOKUP(AT$1,$Z$2:$Z$18,$AC$2:$AC$18-$V49)^2)))</f>
        <v>0</v>
      </c>
      <c r="AU49" s="149">
        <f t="array" ref="AU49">IF(AU$1=0,"",SQRT((_xlfn.XLOOKUP(AU$1,$Z$2:$Z$18,$AA$2:$AA$18)-$T49)^2+(_xlfn.XLOOKUP(AU$1,$Z$2:$Z$18,$AB$2:$AB$18)-$U49)^2+(_xlfn.XLOOKUP(AU$1,$Z$2:$Z$18,$AC$2:$AC$18-$V49)^2)))</f>
        <v>0</v>
      </c>
      <c r="AV49" s="150">
        <f t="array" ref="AV49">IF(AV$1=0,"",SQRT((_xlfn.XLOOKUP(AV$1,$Z$2:$Z$18,$AA$2:$AA$18)-$T49)^2+(_xlfn.XLOOKUP(AV$1,$Z$2:$Z$18,$AB$2:$AB$18)-$U49)^2+(_xlfn.XLOOKUP(AV$1,$Z$2:$Z$18,$AC$2:$AC$18-$V49)^2)))</f>
        <v>0</v>
      </c>
      <c r="AW49" s="133"/>
      <c r="AX49" s="133"/>
      <c r="AY49" s="134">
        <f t="shared" si="36"/>
        <v>0</v>
      </c>
      <c r="AZ49" s="151">
        <f t="shared" si="37"/>
        <v>0</v>
      </c>
      <c r="BA49" s="151">
        <f t="shared" si="38"/>
        <v>0</v>
      </c>
      <c r="BB49" s="151">
        <f t="shared" si="39"/>
        <v>0</v>
      </c>
      <c r="BC49" s="151">
        <f t="shared" si="40"/>
        <v>0</v>
      </c>
      <c r="BD49" s="151">
        <f t="shared" si="41"/>
        <v>0</v>
      </c>
      <c r="BE49" s="151">
        <f t="shared" si="42"/>
        <v>0</v>
      </c>
      <c r="BF49" s="151">
        <f t="shared" si="43"/>
        <v>0</v>
      </c>
      <c r="BG49" s="152">
        <f t="shared" si="44"/>
        <v>0</v>
      </c>
      <c r="BH49" s="152">
        <f t="shared" si="45"/>
        <v>0</v>
      </c>
      <c r="BI49" s="152">
        <f t="shared" si="46"/>
        <v>0</v>
      </c>
      <c r="BJ49" s="152">
        <f t="shared" si="47"/>
        <v>0</v>
      </c>
      <c r="BK49" s="152">
        <f t="shared" si="48"/>
        <v>0</v>
      </c>
      <c r="BL49" s="152">
        <f t="shared" si="49"/>
        <v>0</v>
      </c>
      <c r="BM49" s="153">
        <f t="shared" si="50"/>
        <v>0</v>
      </c>
      <c r="BN49" s="133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3"/>
      <c r="BS49" s="133"/>
      <c r="BT49" s="133"/>
      <c r="BU49" s="133"/>
      <c r="BV49" s="139"/>
      <c r="BW49" s="139"/>
      <c r="BX49" s="139"/>
      <c r="BY49" s="139"/>
      <c r="BZ49" s="139"/>
      <c r="CA49" s="139"/>
      <c r="CB49" s="139"/>
      <c r="CC49" s="139"/>
      <c r="CD49" s="139"/>
      <c r="CE49" s="139"/>
      <c r="CF49" s="139"/>
      <c r="CG49" s="139"/>
      <c r="CH49" s="139"/>
      <c r="CI49" s="139"/>
      <c r="CJ49" s="139"/>
      <c r="CL49" s="133"/>
      <c r="CM49" s="139" t="s">
        <v>32</v>
      </c>
      <c r="CN49" s="139"/>
      <c r="CO49" s="139"/>
      <c r="CP49" s="139"/>
      <c r="CQ49" s="139"/>
      <c r="CR49" s="139"/>
      <c r="CS49" s="139"/>
      <c r="CT49" s="139"/>
      <c r="CU49" s="139"/>
      <c r="CV49" s="139"/>
      <c r="CW49" s="139"/>
      <c r="CX49" s="139"/>
      <c r="CY49" s="139"/>
      <c r="CZ49" s="139"/>
      <c r="DA49" s="139"/>
      <c r="DB49" s="133"/>
      <c r="DC49" s="133"/>
      <c r="DD49" s="167" cm="1">
        <f t="array" ref="DD49">_xlfn.IFS(DD$1= 0,"", NOT(ISBLANK(CM49)), 0, ISBLANK(CM49), $Q49-$S49+AY49-BV49)</f>
        <v>0</v>
      </c>
      <c r="DE49" s="168" cm="1">
        <f t="array" ref="DE49">_xlfn.IFS(DE$1= 0,"", NOT(ISBLANK(CN49)), 0, ISBLANK(CN49), $Q49-$S49+AZ49-BW49)</f>
        <v>0</v>
      </c>
      <c r="DF49" s="168" cm="1">
        <f t="array" ref="DF49">_xlfn.IFS(DF$1= 0,"", NOT(ISBLANK(CO49)), 0, ISBLANK(CO49), $Q49-$S49+BA49-BX49)</f>
        <v>0</v>
      </c>
      <c r="DG49" s="168" cm="1">
        <f t="array" ref="DG49">_xlfn.IFS(DG$1= 0,"", NOT(ISBLANK(CP49)), 0, ISBLANK(CP49), $Q49-$S49+BB49-BY49)</f>
        <v>0</v>
      </c>
      <c r="DH49" s="168" cm="1">
        <f t="array" ref="DH49">_xlfn.IFS(DH$1= 0,"", NOT(ISBLANK(CQ49)), 0, ISBLANK(CQ49), $Q49-$S49+BC49-BZ49)</f>
        <v>0</v>
      </c>
      <c r="DI49" s="168" cm="1">
        <f t="array" ref="DI49">_xlfn.IFS(DI$1= 0,"", NOT(ISBLANK(CR49)), 0, ISBLANK(CR49), $Q49-$S49+BD49-CA49)</f>
        <v>0</v>
      </c>
      <c r="DJ49" s="168" cm="1">
        <f t="array" ref="DJ49">_xlfn.IFS(DJ$1= 0,"", NOT(ISBLANK(CS49)), 0, ISBLANK(CS49), $Q49-$S49+BE49-CB49)</f>
        <v>0</v>
      </c>
      <c r="DK49" s="168" cm="1">
        <f t="array" ref="DK49">_xlfn.IFS(DK$1= 0,"", NOT(ISBLANK(CT49)), 0, ISBLANK(CT49), $Q49-$S49+BF49-CC49)</f>
        <v>0</v>
      </c>
      <c r="DL49" s="170" cm="1">
        <f t="array" ref="DL49">_xlfn.IFS(DL$1= 0,"", NOT(ISBLANK(CU49)), 0, ISBLANK(CU49), $Q49-$S49+BG49-CD49)</f>
        <v>0</v>
      </c>
      <c r="DM49" s="170" cm="1">
        <f t="array" ref="DM49">_xlfn.IFS(DM$1= 0,"", NOT(ISBLANK(CV49)), 0, ISBLANK(CV49), $Q49-$S49+BH49-CE49)</f>
        <v>0</v>
      </c>
      <c r="DN49" s="170" cm="1">
        <f t="array" ref="DN49">_xlfn.IFS(DN$1= 0,"", NOT(ISBLANK(CW49)), 0, ISBLANK(CW49), $Q49-$S49+BI49-CF49)</f>
        <v>0</v>
      </c>
      <c r="DO49" s="170" cm="1">
        <f t="array" ref="DO49">_xlfn.IFS(DO$1= 0,"", NOT(ISBLANK(CX49)), 0, ISBLANK(CX49), $Q49-$S49+BJ49-CG49)</f>
        <v>0</v>
      </c>
      <c r="DP49" s="170" cm="1">
        <f t="array" ref="DP49">_xlfn.IFS(DP$1= 0,"", NOT(ISBLANK(CY49)), 0, ISBLANK(CY49), $Q49-$S49+BK49-CH49)</f>
        <v>0</v>
      </c>
      <c r="DQ49" s="170" cm="1">
        <f t="array" ref="DQ49">_xlfn.IFS(DQ$1= 0,"", NOT(ISBLANK(CZ49)), 0, ISBLANK(CZ49), $Q49-$S49+BL49-CI49)</f>
        <v>0</v>
      </c>
      <c r="DR49" s="171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14"/>
      <c r="B50" s="144"/>
      <c r="C50" s="144"/>
      <c r="D50" s="145"/>
      <c r="E50" s="196"/>
      <c r="F50" s="204"/>
      <c r="G50" s="205"/>
      <c r="H50" s="205"/>
      <c r="I50" s="205"/>
      <c r="J50" s="205"/>
      <c r="K50" s="205"/>
      <c r="L50" s="205"/>
      <c r="M50" s="209"/>
      <c r="N50" s="204"/>
      <c r="O50" s="206"/>
      <c r="P50" s="199"/>
      <c r="Q50" s="127">
        <f t="shared" si="34"/>
        <v>0</v>
      </c>
      <c r="R50" s="3"/>
      <c r="S50" s="3"/>
      <c r="T50" s="4"/>
      <c r="U50" s="4"/>
      <c r="V50" s="109">
        <f t="shared" si="35"/>
        <v>0</v>
      </c>
      <c r="W50" s="169"/>
      <c r="X50" s="146"/>
      <c r="Z50" s="117"/>
      <c r="AA50" s="114"/>
      <c r="AB50" s="54"/>
      <c r="AC50" s="55"/>
      <c r="AD50" s="54"/>
      <c r="AE50" s="54"/>
      <c r="AF50" s="55"/>
      <c r="AH50" s="166">
        <f t="array" ref="AH50">IF(AH$1=0,"",SQRT((_xlfn.XLOOKUP(AH$1,$Z$2:$Z$18,$AA$2:$AA$18)-$T50)^2+(_xlfn.XLOOKUP(AH$1,$Z$2:$Z$18,$AB$2:$AB$18)-$U50)^2+(_xlfn.XLOOKUP(AH$1,$Z$2:$Z$18,$AC$2:$AC$18-$V50)^2)))</f>
        <v>0</v>
      </c>
      <c r="AI50" s="148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8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8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8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8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8">
        <f t="array" ref="AN50">IF(AN$1=0,"",SQRT((_xlfn.XLOOKUP(AN$1,$Z$2:$Z$18,$AA$2:$AA$18)-$T50)^2+(_xlfn.XLOOKUP(AN$1,$Z$2:$Z$18,$AB$2:$AB$18)-$U50)^2+(_xlfn.XLOOKUP(AN$1,$Z$2:$Z$18,$AC$2:$AC$18-$V50)^2)))</f>
        <v>0</v>
      </c>
      <c r="AO50" s="148">
        <f t="array" ref="AO50">IF(AO$1=0,"",SQRT((_xlfn.XLOOKUP(AO$1,$Z$2:$Z$18,$AA$2:$AA$18)-$T50)^2+(_xlfn.XLOOKUP(AO$1,$Z$2:$Z$18,$AB$2:$AB$18)-$U50)^2+(_xlfn.XLOOKUP(AO$1,$Z$2:$Z$18,$AC$2:$AC$18-$V50)^2)))</f>
        <v>0</v>
      </c>
      <c r="AP50" s="149">
        <f t="array" ref="AP50">IF(AP$1=0,"",SQRT((_xlfn.XLOOKUP(AP$1,$Z$2:$Z$18,$AA$2:$AA$18)-$T50)^2+(_xlfn.XLOOKUP(AP$1,$Z$2:$Z$18,$AB$2:$AB$18)-$U50)^2+(_xlfn.XLOOKUP(AP$1,$Z$2:$Z$18,$AC$2:$AC$18-$V50)^2)))</f>
        <v>0</v>
      </c>
      <c r="AQ50" s="149">
        <f t="array" ref="AQ50">IF(AQ$1=0,"",SQRT((_xlfn.XLOOKUP(AQ$1,$Z$2:$Z$18,$AA$2:$AA$18)-$T50)^2+(_xlfn.XLOOKUP(AQ$1,$Z$2:$Z$18,$AB$2:$AB$18)-$U50)^2+(_xlfn.XLOOKUP(AQ$1,$Z$2:$Z$18,$AC$2:$AC$18-$V50)^2)))</f>
        <v>0</v>
      </c>
      <c r="AR50" s="149">
        <f t="array" ref="AR50">IF(AR$1=0,"",SQRT((_xlfn.XLOOKUP(AR$1,$Z$2:$Z$18,$AA$2:$AA$18)-$T50)^2+(_xlfn.XLOOKUP(AR$1,$Z$2:$Z$18,$AB$2:$AB$18)-$U50)^2+(_xlfn.XLOOKUP(AR$1,$Z$2:$Z$18,$AC$2:$AC$18-$V50)^2)))</f>
        <v>0</v>
      </c>
      <c r="AS50" s="149">
        <f t="array" ref="AS50">IF(AS$1=0,"",SQRT((_xlfn.XLOOKUP(AS$1,$Z$2:$Z$18,$AA$2:$AA$18)-$T50)^2+(_xlfn.XLOOKUP(AS$1,$Z$2:$Z$18,$AB$2:$AB$18)-$U50)^2+(_xlfn.XLOOKUP(AS$1,$Z$2:$Z$18,$AC$2:$AC$18-$V50)^2)))</f>
        <v>0</v>
      </c>
      <c r="AT50" s="149">
        <f t="array" ref="AT50">IF(AT$1=0,"",SQRT((_xlfn.XLOOKUP(AT$1,$Z$2:$Z$18,$AA$2:$AA$18)-$T50)^2+(_xlfn.XLOOKUP(AT$1,$Z$2:$Z$18,$AB$2:$AB$18)-$U50)^2+(_xlfn.XLOOKUP(AT$1,$Z$2:$Z$18,$AC$2:$AC$18-$V50)^2)))</f>
        <v>0</v>
      </c>
      <c r="AU50" s="149">
        <f t="array" ref="AU50">IF(AU$1=0,"",SQRT((_xlfn.XLOOKUP(AU$1,$Z$2:$Z$18,$AA$2:$AA$18)-$T50)^2+(_xlfn.XLOOKUP(AU$1,$Z$2:$Z$18,$AB$2:$AB$18)-$U50)^2+(_xlfn.XLOOKUP(AU$1,$Z$2:$Z$18,$AC$2:$AC$18-$V50)^2)))</f>
        <v>0</v>
      </c>
      <c r="AV50" s="150">
        <f t="array" ref="AV50">IF(AV$1=0,"",SQRT((_xlfn.XLOOKUP(AV$1,$Z$2:$Z$18,$AA$2:$AA$18)-$T50)^2+(_xlfn.XLOOKUP(AV$1,$Z$2:$Z$18,$AB$2:$AB$18)-$U50)^2+(_xlfn.XLOOKUP(AV$1,$Z$2:$Z$18,$AC$2:$AC$18-$V50)^2)))</f>
        <v>0</v>
      </c>
      <c r="AW50" s="133"/>
      <c r="AX50" s="133"/>
      <c r="AY50" s="134">
        <f t="shared" si="36"/>
        <v>0</v>
      </c>
      <c r="AZ50" s="151">
        <f t="shared" si="37"/>
        <v>0</v>
      </c>
      <c r="BA50" s="151">
        <f t="shared" si="38"/>
        <v>0</v>
      </c>
      <c r="BB50" s="151">
        <f t="shared" si="39"/>
        <v>0</v>
      </c>
      <c r="BC50" s="151">
        <f t="shared" si="40"/>
        <v>0</v>
      </c>
      <c r="BD50" s="151">
        <f t="shared" si="41"/>
        <v>0</v>
      </c>
      <c r="BE50" s="151">
        <f t="shared" si="42"/>
        <v>0</v>
      </c>
      <c r="BF50" s="151">
        <f t="shared" si="43"/>
        <v>0</v>
      </c>
      <c r="BG50" s="152">
        <f t="shared" si="44"/>
        <v>0</v>
      </c>
      <c r="BH50" s="152">
        <f t="shared" si="45"/>
        <v>0</v>
      </c>
      <c r="BI50" s="152">
        <f t="shared" si="46"/>
        <v>0</v>
      </c>
      <c r="BJ50" s="152">
        <f t="shared" si="47"/>
        <v>0</v>
      </c>
      <c r="BK50" s="152">
        <f t="shared" si="48"/>
        <v>0</v>
      </c>
      <c r="BL50" s="152">
        <f t="shared" si="49"/>
        <v>0</v>
      </c>
      <c r="BM50" s="153">
        <f t="shared" si="50"/>
        <v>0</v>
      </c>
      <c r="BN50" s="133"/>
      <c r="BO50" s="21" t="s">
        <v>75</v>
      </c>
      <c r="BP50" s="21">
        <f>BP49-BP48</f>
        <v>0.5</v>
      </c>
      <c r="BQ50" s="21"/>
      <c r="BR50" s="133"/>
      <c r="BS50" s="133"/>
      <c r="BT50" s="133"/>
      <c r="BU50" s="133"/>
      <c r="BV50" s="139"/>
      <c r="BW50" s="139"/>
      <c r="BX50" s="139"/>
      <c r="BY50" s="139"/>
      <c r="BZ50" s="139"/>
      <c r="CA50" s="139"/>
      <c r="CB50" s="139"/>
      <c r="CC50" s="139"/>
      <c r="CD50" s="139"/>
      <c r="CE50" s="139"/>
      <c r="CF50" s="139"/>
      <c r="CG50" s="139"/>
      <c r="CH50" s="139"/>
      <c r="CI50" s="139"/>
      <c r="CJ50" s="139"/>
      <c r="CL50" s="133"/>
      <c r="CM50" s="139" t="s">
        <v>32</v>
      </c>
      <c r="CN50" s="139"/>
      <c r="CO50" s="139"/>
      <c r="CP50" s="139"/>
      <c r="CQ50" s="139"/>
      <c r="CR50" s="139"/>
      <c r="CS50" s="139"/>
      <c r="CT50" s="139"/>
      <c r="CU50" s="139"/>
      <c r="CV50" s="139"/>
      <c r="CW50" s="139"/>
      <c r="CX50" s="139"/>
      <c r="CY50" s="139"/>
      <c r="CZ50" s="139"/>
      <c r="DA50" s="139"/>
      <c r="DB50" s="133"/>
      <c r="DC50" s="133"/>
      <c r="DD50" s="167" cm="1">
        <f t="array" ref="DD50">_xlfn.IFS(DD$1= 0,"", NOT(ISBLANK(CM50)), 0, ISBLANK(CM50), $Q50-$S50+AY50-BV50)</f>
        <v>0</v>
      </c>
      <c r="DE50" s="168" cm="1">
        <f t="array" ref="DE50">_xlfn.IFS(DE$1= 0,"", NOT(ISBLANK(CN50)), 0, ISBLANK(CN50), $Q50-$S50+AZ50-BW50)</f>
        <v>0</v>
      </c>
      <c r="DF50" s="168" cm="1">
        <f t="array" ref="DF50">_xlfn.IFS(DF$1= 0,"", NOT(ISBLANK(CO50)), 0, ISBLANK(CO50), $Q50-$S50+BA50-BX50)</f>
        <v>0</v>
      </c>
      <c r="DG50" s="168" cm="1">
        <f t="array" ref="DG50">_xlfn.IFS(DG$1= 0,"", NOT(ISBLANK(CP50)), 0, ISBLANK(CP50), $Q50-$S50+BB50-BY50)</f>
        <v>0</v>
      </c>
      <c r="DH50" s="168" cm="1">
        <f t="array" ref="DH50">_xlfn.IFS(DH$1= 0,"", NOT(ISBLANK(CQ50)), 0, ISBLANK(CQ50), $Q50-$S50+BC50-BZ50)</f>
        <v>0</v>
      </c>
      <c r="DI50" s="168" cm="1">
        <f t="array" ref="DI50">_xlfn.IFS(DI$1= 0,"", NOT(ISBLANK(CR50)), 0, ISBLANK(CR50), $Q50-$S50+BD50-CA50)</f>
        <v>0</v>
      </c>
      <c r="DJ50" s="168" cm="1">
        <f t="array" ref="DJ50">_xlfn.IFS(DJ$1= 0,"", NOT(ISBLANK(CS50)), 0, ISBLANK(CS50), $Q50-$S50+BE50-CB50)</f>
        <v>0</v>
      </c>
      <c r="DK50" s="168" cm="1">
        <f t="array" ref="DK50">_xlfn.IFS(DK$1= 0,"", NOT(ISBLANK(CT50)), 0, ISBLANK(CT50), $Q50-$S50+BF50-CC50)</f>
        <v>0</v>
      </c>
      <c r="DL50" s="170" cm="1">
        <f t="array" ref="DL50">_xlfn.IFS(DL$1= 0,"", NOT(ISBLANK(CU50)), 0, ISBLANK(CU50), $Q50-$S50+BG50-CD50)</f>
        <v>0</v>
      </c>
      <c r="DM50" s="170" cm="1">
        <f t="array" ref="DM50">_xlfn.IFS(DM$1= 0,"", NOT(ISBLANK(CV50)), 0, ISBLANK(CV50), $Q50-$S50+BH50-CE50)</f>
        <v>0</v>
      </c>
      <c r="DN50" s="170" cm="1">
        <f t="array" ref="DN50">_xlfn.IFS(DN$1= 0,"", NOT(ISBLANK(CW50)), 0, ISBLANK(CW50), $Q50-$S50+BI50-CF50)</f>
        <v>0</v>
      </c>
      <c r="DO50" s="170" cm="1">
        <f t="array" ref="DO50">_xlfn.IFS(DO$1= 0,"", NOT(ISBLANK(CX50)), 0, ISBLANK(CX50), $Q50-$S50+BJ50-CG50)</f>
        <v>0</v>
      </c>
      <c r="DP50" s="170" cm="1">
        <f t="array" ref="DP50">_xlfn.IFS(DP$1= 0,"", NOT(ISBLANK(CY50)), 0, ISBLANK(CY50), $Q50-$S50+BK50-CH50)</f>
        <v>0</v>
      </c>
      <c r="DQ50" s="170" cm="1">
        <f t="array" ref="DQ50">_xlfn.IFS(DQ$1= 0,"", NOT(ISBLANK(CZ50)), 0, ISBLANK(CZ50), $Q50-$S50+BL50-CI50)</f>
        <v>0</v>
      </c>
      <c r="DR50" s="171" cm="1">
        <f t="array" ref="DR50">_xlfn.IFS(DR$1= 0,"", NOT(ISBLANK(DA50)), 0, ISBLANK(DA50), $Q50-$S50+BM50-CJ50)</f>
        <v>0</v>
      </c>
    </row>
    <row r="51" spans="1:122" ht="16.5" customHeight="1" x14ac:dyDescent="0.3">
      <c r="A51" s="214"/>
      <c r="B51" s="144"/>
      <c r="C51" s="144"/>
      <c r="D51" s="145"/>
      <c r="E51" s="196"/>
      <c r="F51" s="204"/>
      <c r="G51" s="205"/>
      <c r="H51" s="205"/>
      <c r="I51" s="205"/>
      <c r="J51" s="205"/>
      <c r="K51" s="205"/>
      <c r="L51" s="205"/>
      <c r="M51" s="209"/>
      <c r="N51" s="204"/>
      <c r="O51" s="206"/>
      <c r="P51" s="199"/>
      <c r="Q51" s="127">
        <f t="shared" si="34"/>
        <v>0</v>
      </c>
      <c r="R51" s="3"/>
      <c r="S51" s="3"/>
      <c r="T51" s="4"/>
      <c r="U51" s="4"/>
      <c r="V51" s="109">
        <f t="shared" si="35"/>
        <v>0</v>
      </c>
      <c r="W51" s="169"/>
      <c r="X51" s="146"/>
      <c r="AH51" s="166">
        <f t="array" ref="AH51">IF(AH$1=0,"",SQRT((_xlfn.XLOOKUP(AH$1,$Z$2:$Z$18,$AA$2:$AA$18)-$T51)^2+(_xlfn.XLOOKUP(AH$1,$Z$2:$Z$18,$AB$2:$AB$18)-$U51)^2+(_xlfn.XLOOKUP(AH$1,$Z$2:$Z$18,$AC$2:$AC$18-$V51)^2)))</f>
        <v>0</v>
      </c>
      <c r="AI51" s="148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8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8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8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8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8">
        <f t="array" ref="AN51">IF(AN$1=0,"",SQRT((_xlfn.XLOOKUP(AN$1,$Z$2:$Z$18,$AA$2:$AA$18)-$T51)^2+(_xlfn.XLOOKUP(AN$1,$Z$2:$Z$18,$AB$2:$AB$18)-$U51)^2+(_xlfn.XLOOKUP(AN$1,$Z$2:$Z$18,$AC$2:$AC$18-$V51)^2)))</f>
        <v>0</v>
      </c>
      <c r="AO51" s="148">
        <f t="array" ref="AO51">IF(AO$1=0,"",SQRT((_xlfn.XLOOKUP(AO$1,$Z$2:$Z$18,$AA$2:$AA$18)-$T51)^2+(_xlfn.XLOOKUP(AO$1,$Z$2:$Z$18,$AB$2:$AB$18)-$U51)^2+(_xlfn.XLOOKUP(AO$1,$Z$2:$Z$18,$AC$2:$AC$18-$V51)^2)))</f>
        <v>0</v>
      </c>
      <c r="AP51" s="149">
        <f t="array" ref="AP51">IF(AP$1=0,"",SQRT((_xlfn.XLOOKUP(AP$1,$Z$2:$Z$18,$AA$2:$AA$18)-$T51)^2+(_xlfn.XLOOKUP(AP$1,$Z$2:$Z$18,$AB$2:$AB$18)-$U51)^2+(_xlfn.XLOOKUP(AP$1,$Z$2:$Z$18,$AC$2:$AC$18-$V51)^2)))</f>
        <v>0</v>
      </c>
      <c r="AQ51" s="149">
        <f t="array" ref="AQ51">IF(AQ$1=0,"",SQRT((_xlfn.XLOOKUP(AQ$1,$Z$2:$Z$18,$AA$2:$AA$18)-$T51)^2+(_xlfn.XLOOKUP(AQ$1,$Z$2:$Z$18,$AB$2:$AB$18)-$U51)^2+(_xlfn.XLOOKUP(AQ$1,$Z$2:$Z$18,$AC$2:$AC$18-$V51)^2)))</f>
        <v>0</v>
      </c>
      <c r="AR51" s="149">
        <f t="array" ref="AR51">IF(AR$1=0,"",SQRT((_xlfn.XLOOKUP(AR$1,$Z$2:$Z$18,$AA$2:$AA$18)-$T51)^2+(_xlfn.XLOOKUP(AR$1,$Z$2:$Z$18,$AB$2:$AB$18)-$U51)^2+(_xlfn.XLOOKUP(AR$1,$Z$2:$Z$18,$AC$2:$AC$18-$V51)^2)))</f>
        <v>0</v>
      </c>
      <c r="AS51" s="149">
        <f t="array" ref="AS51">IF(AS$1=0,"",SQRT((_xlfn.XLOOKUP(AS$1,$Z$2:$Z$18,$AA$2:$AA$18)-$T51)^2+(_xlfn.XLOOKUP(AS$1,$Z$2:$Z$18,$AB$2:$AB$18)-$U51)^2+(_xlfn.XLOOKUP(AS$1,$Z$2:$Z$18,$AC$2:$AC$18-$V51)^2)))</f>
        <v>0</v>
      </c>
      <c r="AT51" s="149">
        <f t="array" ref="AT51">IF(AT$1=0,"",SQRT((_xlfn.XLOOKUP(AT$1,$Z$2:$Z$18,$AA$2:$AA$18)-$T51)^2+(_xlfn.XLOOKUP(AT$1,$Z$2:$Z$18,$AB$2:$AB$18)-$U51)^2+(_xlfn.XLOOKUP(AT$1,$Z$2:$Z$18,$AC$2:$AC$18-$V51)^2)))</f>
        <v>0</v>
      </c>
      <c r="AU51" s="149">
        <f t="array" ref="AU51">IF(AU$1=0,"",SQRT((_xlfn.XLOOKUP(AU$1,$Z$2:$Z$18,$AA$2:$AA$18)-$T51)^2+(_xlfn.XLOOKUP(AU$1,$Z$2:$Z$18,$AB$2:$AB$18)-$U51)^2+(_xlfn.XLOOKUP(AU$1,$Z$2:$Z$18,$AC$2:$AC$18-$V51)^2)))</f>
        <v>0</v>
      </c>
      <c r="AV51" s="150">
        <f t="array" ref="AV51">IF(AV$1=0,"",SQRT((_xlfn.XLOOKUP(AV$1,$Z$2:$Z$18,$AA$2:$AA$18)-$T51)^2+(_xlfn.XLOOKUP(AV$1,$Z$2:$Z$18,$AB$2:$AB$18)-$U51)^2+(_xlfn.XLOOKUP(AV$1,$Z$2:$Z$18,$AC$2:$AC$18-$V51)^2)))</f>
        <v>0</v>
      </c>
      <c r="AW51" s="133"/>
      <c r="AX51" s="133"/>
      <c r="AY51" s="134">
        <f t="shared" si="36"/>
        <v>0</v>
      </c>
      <c r="AZ51" s="151">
        <f t="shared" si="37"/>
        <v>0</v>
      </c>
      <c r="BA51" s="151">
        <f t="shared" si="38"/>
        <v>0</v>
      </c>
      <c r="BB51" s="151">
        <f t="shared" si="39"/>
        <v>0</v>
      </c>
      <c r="BC51" s="151">
        <f t="shared" si="40"/>
        <v>0</v>
      </c>
      <c r="BD51" s="151">
        <f t="shared" si="41"/>
        <v>0</v>
      </c>
      <c r="BE51" s="151">
        <f t="shared" si="42"/>
        <v>0</v>
      </c>
      <c r="BF51" s="151">
        <f t="shared" si="43"/>
        <v>0</v>
      </c>
      <c r="BG51" s="152">
        <f t="shared" si="44"/>
        <v>0</v>
      </c>
      <c r="BH51" s="152">
        <f t="shared" si="45"/>
        <v>0</v>
      </c>
      <c r="BI51" s="152">
        <f t="shared" si="46"/>
        <v>0</v>
      </c>
      <c r="BJ51" s="152">
        <f t="shared" si="47"/>
        <v>0</v>
      </c>
      <c r="BK51" s="152">
        <f t="shared" si="48"/>
        <v>0</v>
      </c>
      <c r="BL51" s="152">
        <f t="shared" si="49"/>
        <v>0</v>
      </c>
      <c r="BM51" s="153">
        <f t="shared" si="50"/>
        <v>0</v>
      </c>
      <c r="BN51" s="133"/>
      <c r="BO51" s="21" t="s">
        <v>76</v>
      </c>
      <c r="BP51" s="21">
        <f>IFERROR((BP47-BP48)/BP50,0)</f>
        <v>0.29451018957936981</v>
      </c>
      <c r="BQ51" s="21"/>
      <c r="BR51" s="133"/>
      <c r="BS51" s="133"/>
      <c r="BT51" s="133"/>
      <c r="BU51" s="133"/>
      <c r="BV51" s="139"/>
      <c r="BW51" s="139"/>
      <c r="BX51" s="139"/>
      <c r="BY51" s="139"/>
      <c r="BZ51" s="139"/>
      <c r="CA51" s="139"/>
      <c r="CB51" s="139"/>
      <c r="CC51" s="139"/>
      <c r="CD51" s="139"/>
      <c r="CE51" s="139"/>
      <c r="CF51" s="139"/>
      <c r="CG51" s="139"/>
      <c r="CH51" s="139"/>
      <c r="CI51" s="139"/>
      <c r="CJ51" s="139"/>
      <c r="CL51" s="133"/>
      <c r="CM51" s="139" t="s">
        <v>32</v>
      </c>
      <c r="CN51" s="139"/>
      <c r="CO51" s="139"/>
      <c r="CP51" s="139"/>
      <c r="CQ51" s="139"/>
      <c r="CR51" s="139"/>
      <c r="CS51" s="139"/>
      <c r="CT51" s="139"/>
      <c r="CU51" s="139"/>
      <c r="CV51" s="139"/>
      <c r="CW51" s="139"/>
      <c r="CX51" s="139"/>
      <c r="CY51" s="139"/>
      <c r="CZ51" s="139"/>
      <c r="DA51" s="139"/>
      <c r="DB51" s="133"/>
      <c r="DC51" s="133"/>
      <c r="DD51" s="167" cm="1">
        <f t="array" ref="DD51">_xlfn.IFS(DD$1= 0,"", NOT(ISBLANK(CM51)), 0, ISBLANK(CM51), $Q51-$S51+AY51-BV51)</f>
        <v>0</v>
      </c>
      <c r="DE51" s="168" cm="1">
        <f t="array" ref="DE51">_xlfn.IFS(DE$1= 0,"", NOT(ISBLANK(CN51)), 0, ISBLANK(CN51), $Q51-$S51+AZ51-BW51)</f>
        <v>0</v>
      </c>
      <c r="DF51" s="168" cm="1">
        <f t="array" ref="DF51">_xlfn.IFS(DF$1= 0,"", NOT(ISBLANK(CO51)), 0, ISBLANK(CO51), $Q51-$S51+BA51-BX51)</f>
        <v>0</v>
      </c>
      <c r="DG51" s="168" cm="1">
        <f t="array" ref="DG51">_xlfn.IFS(DG$1= 0,"", NOT(ISBLANK(CP51)), 0, ISBLANK(CP51), $Q51-$S51+BB51-BY51)</f>
        <v>0</v>
      </c>
      <c r="DH51" s="168" cm="1">
        <f t="array" ref="DH51">_xlfn.IFS(DH$1= 0,"", NOT(ISBLANK(CQ51)), 0, ISBLANK(CQ51), $Q51-$S51+BC51-BZ51)</f>
        <v>0</v>
      </c>
      <c r="DI51" s="168" cm="1">
        <f t="array" ref="DI51">_xlfn.IFS(DI$1= 0,"", NOT(ISBLANK(CR51)), 0, ISBLANK(CR51), $Q51-$S51+BD51-CA51)</f>
        <v>0</v>
      </c>
      <c r="DJ51" s="168" cm="1">
        <f t="array" ref="DJ51">_xlfn.IFS(DJ$1= 0,"", NOT(ISBLANK(CS51)), 0, ISBLANK(CS51), $Q51-$S51+BE51-CB51)</f>
        <v>0</v>
      </c>
      <c r="DK51" s="168" cm="1">
        <f t="array" ref="DK51">_xlfn.IFS(DK$1= 0,"", NOT(ISBLANK(CT51)), 0, ISBLANK(CT51), $Q51-$S51+BF51-CC51)</f>
        <v>0</v>
      </c>
      <c r="DL51" s="170" cm="1">
        <f t="array" ref="DL51">_xlfn.IFS(DL$1= 0,"", NOT(ISBLANK(CU51)), 0, ISBLANK(CU51), $Q51-$S51+BG51-CD51)</f>
        <v>0</v>
      </c>
      <c r="DM51" s="170" cm="1">
        <f t="array" ref="DM51">_xlfn.IFS(DM$1= 0,"", NOT(ISBLANK(CV51)), 0, ISBLANK(CV51), $Q51-$S51+BH51-CE51)</f>
        <v>0</v>
      </c>
      <c r="DN51" s="170" cm="1">
        <f t="array" ref="DN51">_xlfn.IFS(DN$1= 0,"", NOT(ISBLANK(CW51)), 0, ISBLANK(CW51), $Q51-$S51+BI51-CF51)</f>
        <v>0</v>
      </c>
      <c r="DO51" s="170" cm="1">
        <f t="array" ref="DO51">_xlfn.IFS(DO$1= 0,"", NOT(ISBLANK(CX51)), 0, ISBLANK(CX51), $Q51-$S51+BJ51-CG51)</f>
        <v>0</v>
      </c>
      <c r="DP51" s="170" cm="1">
        <f t="array" ref="DP51">_xlfn.IFS(DP$1= 0,"", NOT(ISBLANK(CY51)), 0, ISBLANK(CY51), $Q51-$S51+BK51-CH51)</f>
        <v>0</v>
      </c>
      <c r="DQ51" s="170" cm="1">
        <f t="array" ref="DQ51">_xlfn.IFS(DQ$1= 0,"", NOT(ISBLANK(CZ51)), 0, ISBLANK(CZ51), $Q51-$S51+BL51-CI51)</f>
        <v>0</v>
      </c>
      <c r="DR51" s="171" cm="1">
        <f t="array" ref="DR51">_xlfn.IFS(DR$1= 0,"", NOT(ISBLANK(DA51)), 0, ISBLANK(DA51), $Q51-$S51+BM51-CJ51)</f>
        <v>0</v>
      </c>
    </row>
    <row r="52" spans="1:122" ht="16.5" customHeight="1" x14ac:dyDescent="0.3">
      <c r="A52" s="214"/>
      <c r="B52" s="144"/>
      <c r="C52" s="144"/>
      <c r="D52" s="145"/>
      <c r="E52" s="196"/>
      <c r="F52" s="204"/>
      <c r="G52" s="205"/>
      <c r="H52" s="205"/>
      <c r="I52" s="205"/>
      <c r="J52" s="205"/>
      <c r="K52" s="205"/>
      <c r="L52" s="205"/>
      <c r="M52" s="209"/>
      <c r="N52" s="204"/>
      <c r="O52" s="206"/>
      <c r="P52" s="199"/>
      <c r="Q52" s="127">
        <f t="shared" si="34"/>
        <v>0</v>
      </c>
      <c r="R52" s="3"/>
      <c r="S52" s="3"/>
      <c r="T52" s="4"/>
      <c r="U52" s="4"/>
      <c r="V52" s="109">
        <f t="shared" si="35"/>
        <v>0</v>
      </c>
      <c r="W52" s="169"/>
      <c r="X52" s="146"/>
      <c r="AH52" s="166">
        <f t="array" ref="AH52">IF(AH$1=0,"",SQRT((_xlfn.XLOOKUP(AH$1,$Z$2:$Z$18,$AA$2:$AA$18)-$T52)^2+(_xlfn.XLOOKUP(AH$1,$Z$2:$Z$18,$AB$2:$AB$18)-$U52)^2+(_xlfn.XLOOKUP(AH$1,$Z$2:$Z$18,$AC$2:$AC$18-$V52)^2)))</f>
        <v>0</v>
      </c>
      <c r="AI52" s="148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8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8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8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8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8">
        <f t="array" ref="AN52">IF(AN$1=0,"",SQRT((_xlfn.XLOOKUP(AN$1,$Z$2:$Z$18,$AA$2:$AA$18)-$T52)^2+(_xlfn.XLOOKUP(AN$1,$Z$2:$Z$18,$AB$2:$AB$18)-$U52)^2+(_xlfn.XLOOKUP(AN$1,$Z$2:$Z$18,$AC$2:$AC$18-$V52)^2)))</f>
        <v>0</v>
      </c>
      <c r="AO52" s="148">
        <f t="array" ref="AO52">IF(AO$1=0,"",SQRT((_xlfn.XLOOKUP(AO$1,$Z$2:$Z$18,$AA$2:$AA$18)-$T52)^2+(_xlfn.XLOOKUP(AO$1,$Z$2:$Z$18,$AB$2:$AB$18)-$U52)^2+(_xlfn.XLOOKUP(AO$1,$Z$2:$Z$18,$AC$2:$AC$18-$V52)^2)))</f>
        <v>0</v>
      </c>
      <c r="AP52" s="149">
        <f t="array" ref="AP52">IF(AP$1=0,"",SQRT((_xlfn.XLOOKUP(AP$1,$Z$2:$Z$18,$AA$2:$AA$18)-$T52)^2+(_xlfn.XLOOKUP(AP$1,$Z$2:$Z$18,$AB$2:$AB$18)-$U52)^2+(_xlfn.XLOOKUP(AP$1,$Z$2:$Z$18,$AC$2:$AC$18-$V52)^2)))</f>
        <v>0</v>
      </c>
      <c r="AQ52" s="149">
        <f t="array" ref="AQ52">IF(AQ$1=0,"",SQRT((_xlfn.XLOOKUP(AQ$1,$Z$2:$Z$18,$AA$2:$AA$18)-$T52)^2+(_xlfn.XLOOKUP(AQ$1,$Z$2:$Z$18,$AB$2:$AB$18)-$U52)^2+(_xlfn.XLOOKUP(AQ$1,$Z$2:$Z$18,$AC$2:$AC$18-$V52)^2)))</f>
        <v>0</v>
      </c>
      <c r="AR52" s="149">
        <f t="array" ref="AR52">IF(AR$1=0,"",SQRT((_xlfn.XLOOKUP(AR$1,$Z$2:$Z$18,$AA$2:$AA$18)-$T52)^2+(_xlfn.XLOOKUP(AR$1,$Z$2:$Z$18,$AB$2:$AB$18)-$U52)^2+(_xlfn.XLOOKUP(AR$1,$Z$2:$Z$18,$AC$2:$AC$18-$V52)^2)))</f>
        <v>0</v>
      </c>
      <c r="AS52" s="149">
        <f t="array" ref="AS52">IF(AS$1=0,"",SQRT((_xlfn.XLOOKUP(AS$1,$Z$2:$Z$18,$AA$2:$AA$18)-$T52)^2+(_xlfn.XLOOKUP(AS$1,$Z$2:$Z$18,$AB$2:$AB$18)-$U52)^2+(_xlfn.XLOOKUP(AS$1,$Z$2:$Z$18,$AC$2:$AC$18-$V52)^2)))</f>
        <v>0</v>
      </c>
      <c r="AT52" s="149">
        <f t="array" ref="AT52">IF(AT$1=0,"",SQRT((_xlfn.XLOOKUP(AT$1,$Z$2:$Z$18,$AA$2:$AA$18)-$T52)^2+(_xlfn.XLOOKUP(AT$1,$Z$2:$Z$18,$AB$2:$AB$18)-$U52)^2+(_xlfn.XLOOKUP(AT$1,$Z$2:$Z$18,$AC$2:$AC$18-$V52)^2)))</f>
        <v>0</v>
      </c>
      <c r="AU52" s="149">
        <f t="array" ref="AU52">IF(AU$1=0,"",SQRT((_xlfn.XLOOKUP(AU$1,$Z$2:$Z$18,$AA$2:$AA$18)-$T52)^2+(_xlfn.XLOOKUP(AU$1,$Z$2:$Z$18,$AB$2:$AB$18)-$U52)^2+(_xlfn.XLOOKUP(AU$1,$Z$2:$Z$18,$AC$2:$AC$18-$V52)^2)))</f>
        <v>0</v>
      </c>
      <c r="AV52" s="150">
        <f t="array" ref="AV52">IF(AV$1=0,"",SQRT((_xlfn.XLOOKUP(AV$1,$Z$2:$Z$18,$AA$2:$AA$18)-$T52)^2+(_xlfn.XLOOKUP(AV$1,$Z$2:$Z$18,$AB$2:$AB$18)-$U52)^2+(_xlfn.XLOOKUP(AV$1,$Z$2:$Z$18,$AC$2:$AC$18-$V52)^2)))</f>
        <v>0</v>
      </c>
      <c r="AW52" s="133"/>
      <c r="AX52" s="133"/>
      <c r="AY52" s="134">
        <f t="shared" si="36"/>
        <v>0</v>
      </c>
      <c r="AZ52" s="151">
        <f t="shared" si="37"/>
        <v>0</v>
      </c>
      <c r="BA52" s="151">
        <f t="shared" si="38"/>
        <v>0</v>
      </c>
      <c r="BB52" s="151">
        <f t="shared" si="39"/>
        <v>0</v>
      </c>
      <c r="BC52" s="151">
        <f t="shared" si="40"/>
        <v>0</v>
      </c>
      <c r="BD52" s="151">
        <f t="shared" si="41"/>
        <v>0</v>
      </c>
      <c r="BE52" s="151">
        <f t="shared" si="42"/>
        <v>0</v>
      </c>
      <c r="BF52" s="151">
        <f t="shared" si="43"/>
        <v>0</v>
      </c>
      <c r="BG52" s="152">
        <f t="shared" si="44"/>
        <v>0</v>
      </c>
      <c r="BH52" s="152">
        <f t="shared" si="45"/>
        <v>0</v>
      </c>
      <c r="BI52" s="152">
        <f t="shared" si="46"/>
        <v>0</v>
      </c>
      <c r="BJ52" s="152">
        <f t="shared" si="47"/>
        <v>0</v>
      </c>
      <c r="BK52" s="152">
        <f t="shared" si="48"/>
        <v>0</v>
      </c>
      <c r="BL52" s="152">
        <f t="shared" si="49"/>
        <v>0</v>
      </c>
      <c r="BM52" s="153">
        <f t="shared" si="50"/>
        <v>0</v>
      </c>
      <c r="BN52" s="133"/>
      <c r="BO52" s="133"/>
      <c r="BP52" s="133"/>
      <c r="BQ52" s="133"/>
      <c r="BR52" s="133"/>
      <c r="BS52" s="133"/>
      <c r="BT52" s="133"/>
      <c r="BU52" s="133"/>
      <c r="BV52" s="139"/>
      <c r="BW52" s="139"/>
      <c r="BX52" s="139"/>
      <c r="BY52" s="139"/>
      <c r="BZ52" s="139"/>
      <c r="CA52" s="139"/>
      <c r="CB52" s="139"/>
      <c r="CC52" s="139"/>
      <c r="CD52" s="139"/>
      <c r="CE52" s="139"/>
      <c r="CF52" s="139"/>
      <c r="CG52" s="139"/>
      <c r="CH52" s="139"/>
      <c r="CI52" s="139"/>
      <c r="CJ52" s="139"/>
      <c r="CL52" s="133"/>
      <c r="CM52" s="139" t="s">
        <v>32</v>
      </c>
      <c r="CN52" s="139"/>
      <c r="CO52" s="139"/>
      <c r="CP52" s="139"/>
      <c r="CQ52" s="139"/>
      <c r="CR52" s="139"/>
      <c r="CS52" s="139"/>
      <c r="CT52" s="139"/>
      <c r="CU52" s="139"/>
      <c r="CV52" s="139"/>
      <c r="CW52" s="139"/>
      <c r="CX52" s="139"/>
      <c r="CY52" s="139"/>
      <c r="CZ52" s="139"/>
      <c r="DA52" s="139"/>
      <c r="DB52" s="133"/>
      <c r="DC52" s="133"/>
      <c r="DD52" s="167" cm="1">
        <f t="array" ref="DD52">_xlfn.IFS(DD$1= 0,"", NOT(ISBLANK(CM52)), 0, ISBLANK(CM52), $Q52-$S52+AY52-BV52)</f>
        <v>0</v>
      </c>
      <c r="DE52" s="168" cm="1">
        <f t="array" ref="DE52">_xlfn.IFS(DE$1= 0,"", NOT(ISBLANK(CN52)), 0, ISBLANK(CN52), $Q52-$S52+AZ52-BW52)</f>
        <v>0</v>
      </c>
      <c r="DF52" s="168" cm="1">
        <f t="array" ref="DF52">_xlfn.IFS(DF$1= 0,"", NOT(ISBLANK(CO52)), 0, ISBLANK(CO52), $Q52-$S52+BA52-BX52)</f>
        <v>0</v>
      </c>
      <c r="DG52" s="168" cm="1">
        <f t="array" ref="DG52">_xlfn.IFS(DG$1= 0,"", NOT(ISBLANK(CP52)), 0, ISBLANK(CP52), $Q52-$S52+BB52-BY52)</f>
        <v>0</v>
      </c>
      <c r="DH52" s="168" cm="1">
        <f t="array" ref="DH52">_xlfn.IFS(DH$1= 0,"", NOT(ISBLANK(CQ52)), 0, ISBLANK(CQ52), $Q52-$S52+BC52-BZ52)</f>
        <v>0</v>
      </c>
      <c r="DI52" s="168" cm="1">
        <f t="array" ref="DI52">_xlfn.IFS(DI$1= 0,"", NOT(ISBLANK(CR52)), 0, ISBLANK(CR52), $Q52-$S52+BD52-CA52)</f>
        <v>0</v>
      </c>
      <c r="DJ52" s="168" cm="1">
        <f t="array" ref="DJ52">_xlfn.IFS(DJ$1= 0,"", NOT(ISBLANK(CS52)), 0, ISBLANK(CS52), $Q52-$S52+BE52-CB52)</f>
        <v>0</v>
      </c>
      <c r="DK52" s="168" cm="1">
        <f t="array" ref="DK52">_xlfn.IFS(DK$1= 0,"", NOT(ISBLANK(CT52)), 0, ISBLANK(CT52), $Q52-$S52+BF52-CC52)</f>
        <v>0</v>
      </c>
      <c r="DL52" s="170" cm="1">
        <f t="array" ref="DL52">_xlfn.IFS(DL$1= 0,"", NOT(ISBLANK(CU52)), 0, ISBLANK(CU52), $Q52-$S52+BG52-CD52)</f>
        <v>0</v>
      </c>
      <c r="DM52" s="170" cm="1">
        <f t="array" ref="DM52">_xlfn.IFS(DM$1= 0,"", NOT(ISBLANK(CV52)), 0, ISBLANK(CV52), $Q52-$S52+BH52-CE52)</f>
        <v>0</v>
      </c>
      <c r="DN52" s="170" cm="1">
        <f t="array" ref="DN52">_xlfn.IFS(DN$1= 0,"", NOT(ISBLANK(CW52)), 0, ISBLANK(CW52), $Q52-$S52+BI52-CF52)</f>
        <v>0</v>
      </c>
      <c r="DO52" s="170" cm="1">
        <f t="array" ref="DO52">_xlfn.IFS(DO$1= 0,"", NOT(ISBLANK(CX52)), 0, ISBLANK(CX52), $Q52-$S52+BJ52-CG52)</f>
        <v>0</v>
      </c>
      <c r="DP52" s="170" cm="1">
        <f t="array" ref="DP52">_xlfn.IFS(DP$1= 0,"", NOT(ISBLANK(CY52)), 0, ISBLANK(CY52), $Q52-$S52+BK52-CH52)</f>
        <v>0</v>
      </c>
      <c r="DQ52" s="170" cm="1">
        <f t="array" ref="DQ52">_xlfn.IFS(DQ$1= 0,"", NOT(ISBLANK(CZ52)), 0, ISBLANK(CZ52), $Q52-$S52+BL52-CI52)</f>
        <v>0</v>
      </c>
      <c r="DR52" s="171" cm="1">
        <f t="array" ref="DR52">_xlfn.IFS(DR$1= 0,"", NOT(ISBLANK(DA52)), 0, ISBLANK(DA52), $Q52-$S52+BM52-CJ52)</f>
        <v>0</v>
      </c>
    </row>
    <row r="53" spans="1:122" ht="16.5" customHeight="1" x14ac:dyDescent="0.3">
      <c r="A53" s="214"/>
      <c r="B53" s="144"/>
      <c r="C53" s="144"/>
      <c r="D53" s="145"/>
      <c r="E53" s="196"/>
      <c r="F53" s="204"/>
      <c r="G53" s="205"/>
      <c r="H53" s="205"/>
      <c r="I53" s="205"/>
      <c r="J53" s="205"/>
      <c r="K53" s="205"/>
      <c r="L53" s="205"/>
      <c r="M53" s="209"/>
      <c r="N53" s="204"/>
      <c r="O53" s="206"/>
      <c r="P53" s="199"/>
      <c r="Q53" s="127">
        <f t="shared" si="34"/>
        <v>0</v>
      </c>
      <c r="R53" s="3"/>
      <c r="S53" s="3"/>
      <c r="T53" s="4"/>
      <c r="U53" s="4"/>
      <c r="V53" s="109">
        <f t="shared" si="35"/>
        <v>0</v>
      </c>
      <c r="W53" s="169"/>
      <c r="X53" s="146"/>
      <c r="AH53" s="166">
        <f t="array" ref="AH53">IF(AH$1=0,"",SQRT((_xlfn.XLOOKUP(AH$1,$Z$2:$Z$18,$AA$2:$AA$18)-$T53)^2+(_xlfn.XLOOKUP(AH$1,$Z$2:$Z$18,$AB$2:$AB$18)-$U53)^2+(_xlfn.XLOOKUP(AH$1,$Z$2:$Z$18,$AC$2:$AC$18-$V53)^2)))</f>
        <v>0</v>
      </c>
      <c r="AI53" s="148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8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8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8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8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8">
        <f t="array" ref="AN53">IF(AN$1=0,"",SQRT((_xlfn.XLOOKUP(AN$1,$Z$2:$Z$18,$AA$2:$AA$18)-$T53)^2+(_xlfn.XLOOKUP(AN$1,$Z$2:$Z$18,$AB$2:$AB$18)-$U53)^2+(_xlfn.XLOOKUP(AN$1,$Z$2:$Z$18,$AC$2:$AC$18-$V53)^2)))</f>
        <v>0</v>
      </c>
      <c r="AO53" s="148">
        <f t="array" ref="AO53">IF(AO$1=0,"",SQRT((_xlfn.XLOOKUP(AO$1,$Z$2:$Z$18,$AA$2:$AA$18)-$T53)^2+(_xlfn.XLOOKUP(AO$1,$Z$2:$Z$18,$AB$2:$AB$18)-$U53)^2+(_xlfn.XLOOKUP(AO$1,$Z$2:$Z$18,$AC$2:$AC$18-$V53)^2)))</f>
        <v>0</v>
      </c>
      <c r="AP53" s="149">
        <f t="array" ref="AP53">IF(AP$1=0,"",SQRT((_xlfn.XLOOKUP(AP$1,$Z$2:$Z$18,$AA$2:$AA$18)-$T53)^2+(_xlfn.XLOOKUP(AP$1,$Z$2:$Z$18,$AB$2:$AB$18)-$U53)^2+(_xlfn.XLOOKUP(AP$1,$Z$2:$Z$18,$AC$2:$AC$18-$V53)^2)))</f>
        <v>0</v>
      </c>
      <c r="AQ53" s="149">
        <f t="array" ref="AQ53">IF(AQ$1=0,"",SQRT((_xlfn.XLOOKUP(AQ$1,$Z$2:$Z$18,$AA$2:$AA$18)-$T53)^2+(_xlfn.XLOOKUP(AQ$1,$Z$2:$Z$18,$AB$2:$AB$18)-$U53)^2+(_xlfn.XLOOKUP(AQ$1,$Z$2:$Z$18,$AC$2:$AC$18-$V53)^2)))</f>
        <v>0</v>
      </c>
      <c r="AR53" s="149">
        <f t="array" ref="AR53">IF(AR$1=0,"",SQRT((_xlfn.XLOOKUP(AR$1,$Z$2:$Z$18,$AA$2:$AA$18)-$T53)^2+(_xlfn.XLOOKUP(AR$1,$Z$2:$Z$18,$AB$2:$AB$18)-$U53)^2+(_xlfn.XLOOKUP(AR$1,$Z$2:$Z$18,$AC$2:$AC$18-$V53)^2)))</f>
        <v>0</v>
      </c>
      <c r="AS53" s="149">
        <f t="array" ref="AS53">IF(AS$1=0,"",SQRT((_xlfn.XLOOKUP(AS$1,$Z$2:$Z$18,$AA$2:$AA$18)-$T53)^2+(_xlfn.XLOOKUP(AS$1,$Z$2:$Z$18,$AB$2:$AB$18)-$U53)^2+(_xlfn.XLOOKUP(AS$1,$Z$2:$Z$18,$AC$2:$AC$18-$V53)^2)))</f>
        <v>0</v>
      </c>
      <c r="AT53" s="149">
        <f t="array" ref="AT53">IF(AT$1=0,"",SQRT((_xlfn.XLOOKUP(AT$1,$Z$2:$Z$18,$AA$2:$AA$18)-$T53)^2+(_xlfn.XLOOKUP(AT$1,$Z$2:$Z$18,$AB$2:$AB$18)-$U53)^2+(_xlfn.XLOOKUP(AT$1,$Z$2:$Z$18,$AC$2:$AC$18-$V53)^2)))</f>
        <v>0</v>
      </c>
      <c r="AU53" s="149">
        <f t="array" ref="AU53">IF(AU$1=0,"",SQRT((_xlfn.XLOOKUP(AU$1,$Z$2:$Z$18,$AA$2:$AA$18)-$T53)^2+(_xlfn.XLOOKUP(AU$1,$Z$2:$Z$18,$AB$2:$AB$18)-$U53)^2+(_xlfn.XLOOKUP(AU$1,$Z$2:$Z$18,$AC$2:$AC$18-$V53)^2)))</f>
        <v>0</v>
      </c>
      <c r="AV53" s="150">
        <f t="array" ref="AV53">IF(AV$1=0,"",SQRT((_xlfn.XLOOKUP(AV$1,$Z$2:$Z$18,$AA$2:$AA$18)-$T53)^2+(_xlfn.XLOOKUP(AV$1,$Z$2:$Z$18,$AB$2:$AB$18)-$U53)^2+(_xlfn.XLOOKUP(AV$1,$Z$2:$Z$18,$AC$2:$AC$18-$V53)^2)))</f>
        <v>0</v>
      </c>
      <c r="AW53" s="133"/>
      <c r="AX53" s="133"/>
      <c r="AY53" s="134">
        <f t="shared" si="36"/>
        <v>0</v>
      </c>
      <c r="AZ53" s="151">
        <f t="shared" si="37"/>
        <v>0</v>
      </c>
      <c r="BA53" s="151">
        <f t="shared" si="38"/>
        <v>0</v>
      </c>
      <c r="BB53" s="151">
        <f t="shared" si="39"/>
        <v>0</v>
      </c>
      <c r="BC53" s="151">
        <f t="shared" si="40"/>
        <v>0</v>
      </c>
      <c r="BD53" s="151">
        <f t="shared" si="41"/>
        <v>0</v>
      </c>
      <c r="BE53" s="151">
        <f t="shared" si="42"/>
        <v>0</v>
      </c>
      <c r="BF53" s="151">
        <f t="shared" si="43"/>
        <v>0</v>
      </c>
      <c r="BG53" s="152">
        <f t="shared" si="44"/>
        <v>0</v>
      </c>
      <c r="BH53" s="152">
        <f t="shared" si="45"/>
        <v>0</v>
      </c>
      <c r="BI53" s="152">
        <f t="shared" si="46"/>
        <v>0</v>
      </c>
      <c r="BJ53" s="152">
        <f t="shared" si="47"/>
        <v>0</v>
      </c>
      <c r="BK53" s="152">
        <f t="shared" si="48"/>
        <v>0</v>
      </c>
      <c r="BL53" s="152">
        <f t="shared" si="49"/>
        <v>0</v>
      </c>
      <c r="BM53" s="153">
        <f t="shared" si="50"/>
        <v>0</v>
      </c>
      <c r="BN53" s="133"/>
      <c r="BO53" s="133"/>
      <c r="BP53" s="133"/>
      <c r="BQ53" s="133"/>
      <c r="BR53" s="133"/>
      <c r="BS53" s="133"/>
      <c r="BT53" s="133"/>
      <c r="BU53" s="133"/>
      <c r="BV53" s="139"/>
      <c r="BW53" s="139"/>
      <c r="BX53" s="139"/>
      <c r="BY53" s="139"/>
      <c r="BZ53" s="139"/>
      <c r="CA53" s="139"/>
      <c r="CB53" s="139"/>
      <c r="CC53" s="139"/>
      <c r="CD53" s="139"/>
      <c r="CE53" s="139"/>
      <c r="CF53" s="139"/>
      <c r="CG53" s="139"/>
      <c r="CH53" s="139"/>
      <c r="CI53" s="139"/>
      <c r="CJ53" s="139"/>
      <c r="CL53" s="133"/>
      <c r="CM53" s="139" t="s">
        <v>32</v>
      </c>
      <c r="CN53" s="139"/>
      <c r="CO53" s="139"/>
      <c r="CP53" s="139"/>
      <c r="CQ53" s="139"/>
      <c r="CR53" s="139"/>
      <c r="CS53" s="139"/>
      <c r="CT53" s="139"/>
      <c r="CU53" s="139"/>
      <c r="CV53" s="139"/>
      <c r="CW53" s="139"/>
      <c r="CX53" s="139"/>
      <c r="CY53" s="139"/>
      <c r="CZ53" s="139"/>
      <c r="DA53" s="139"/>
      <c r="DB53" s="133"/>
      <c r="DC53" s="133"/>
      <c r="DD53" s="167" cm="1">
        <f t="array" ref="DD53">_xlfn.IFS(DD$1= 0,"", NOT(ISBLANK(CM53)), 0, ISBLANK(CM53), $Q53-$S53+AY53-BV53)</f>
        <v>0</v>
      </c>
      <c r="DE53" s="168" cm="1">
        <f t="array" ref="DE53">_xlfn.IFS(DE$1= 0,"", NOT(ISBLANK(CN53)), 0, ISBLANK(CN53), $Q53-$S53+AZ53-BW53)</f>
        <v>0</v>
      </c>
      <c r="DF53" s="168" cm="1">
        <f t="array" ref="DF53">_xlfn.IFS(DF$1= 0,"", NOT(ISBLANK(CO53)), 0, ISBLANK(CO53), $Q53-$S53+BA53-BX53)</f>
        <v>0</v>
      </c>
      <c r="DG53" s="168" cm="1">
        <f t="array" ref="DG53">_xlfn.IFS(DG$1= 0,"", NOT(ISBLANK(CP53)), 0, ISBLANK(CP53), $Q53-$S53+BB53-BY53)</f>
        <v>0</v>
      </c>
      <c r="DH53" s="168" cm="1">
        <f t="array" ref="DH53">_xlfn.IFS(DH$1= 0,"", NOT(ISBLANK(CQ53)), 0, ISBLANK(CQ53), $Q53-$S53+BC53-BZ53)</f>
        <v>0</v>
      </c>
      <c r="DI53" s="168" cm="1">
        <f t="array" ref="DI53">_xlfn.IFS(DI$1= 0,"", NOT(ISBLANK(CR53)), 0, ISBLANK(CR53), $Q53-$S53+BD53-CA53)</f>
        <v>0</v>
      </c>
      <c r="DJ53" s="168" cm="1">
        <f t="array" ref="DJ53">_xlfn.IFS(DJ$1= 0,"", NOT(ISBLANK(CS53)), 0, ISBLANK(CS53), $Q53-$S53+BE53-CB53)</f>
        <v>0</v>
      </c>
      <c r="DK53" s="168" cm="1">
        <f t="array" ref="DK53">_xlfn.IFS(DK$1= 0,"", NOT(ISBLANK(CT53)), 0, ISBLANK(CT53), $Q53-$S53+BF53-CC53)</f>
        <v>0</v>
      </c>
      <c r="DL53" s="170" cm="1">
        <f t="array" ref="DL53">_xlfn.IFS(DL$1= 0,"", NOT(ISBLANK(CU53)), 0, ISBLANK(CU53), $Q53-$S53+BG53-CD53)</f>
        <v>0</v>
      </c>
      <c r="DM53" s="170" cm="1">
        <f t="array" ref="DM53">_xlfn.IFS(DM$1= 0,"", NOT(ISBLANK(CV53)), 0, ISBLANK(CV53), $Q53-$S53+BH53-CE53)</f>
        <v>0</v>
      </c>
      <c r="DN53" s="170" cm="1">
        <f t="array" ref="DN53">_xlfn.IFS(DN$1= 0,"", NOT(ISBLANK(CW53)), 0, ISBLANK(CW53), $Q53-$S53+BI53-CF53)</f>
        <v>0</v>
      </c>
      <c r="DO53" s="170" cm="1">
        <f t="array" ref="DO53">_xlfn.IFS(DO$1= 0,"", NOT(ISBLANK(CX53)), 0, ISBLANK(CX53), $Q53-$S53+BJ53-CG53)</f>
        <v>0</v>
      </c>
      <c r="DP53" s="170" cm="1">
        <f t="array" ref="DP53">_xlfn.IFS(DP$1= 0,"", NOT(ISBLANK(CY53)), 0, ISBLANK(CY53), $Q53-$S53+BK53-CH53)</f>
        <v>0</v>
      </c>
      <c r="DQ53" s="170" cm="1">
        <f t="array" ref="DQ53">_xlfn.IFS(DQ$1= 0,"", NOT(ISBLANK(CZ53)), 0, ISBLANK(CZ53), $Q53-$S53+BL53-CI53)</f>
        <v>0</v>
      </c>
      <c r="DR53" s="171" cm="1">
        <f t="array" ref="DR53">_xlfn.IFS(DR$1= 0,"", NOT(ISBLANK(DA53)), 0, ISBLANK(DA53), $Q53-$S53+BM53-CJ53)</f>
        <v>0</v>
      </c>
    </row>
    <row r="54" spans="1:122" ht="16.5" customHeight="1" x14ac:dyDescent="0.3">
      <c r="A54" s="214"/>
      <c r="B54" s="144"/>
      <c r="C54" s="144"/>
      <c r="D54" s="145"/>
      <c r="E54" s="196"/>
      <c r="F54" s="204"/>
      <c r="G54" s="205"/>
      <c r="H54" s="205"/>
      <c r="I54" s="205"/>
      <c r="J54" s="205"/>
      <c r="K54" s="205"/>
      <c r="L54" s="205"/>
      <c r="M54" s="209"/>
      <c r="N54" s="204"/>
      <c r="O54" s="206"/>
      <c r="P54" s="199"/>
      <c r="Q54" s="127">
        <f t="shared" si="34"/>
        <v>0</v>
      </c>
      <c r="R54" s="3"/>
      <c r="S54" s="3"/>
      <c r="T54" s="4"/>
      <c r="U54" s="4"/>
      <c r="V54" s="109">
        <f t="shared" si="35"/>
        <v>0</v>
      </c>
      <c r="W54" s="169"/>
      <c r="X54" s="146"/>
      <c r="AH54" s="166">
        <f t="array" ref="AH54">IF(AH$1=0,"",SQRT((_xlfn.XLOOKUP(AH$1,$Z$2:$Z$18,$AA$2:$AA$18)-$T54)^2+(_xlfn.XLOOKUP(AH$1,$Z$2:$Z$18,$AB$2:$AB$18)-$U54)^2+(_xlfn.XLOOKUP(AH$1,$Z$2:$Z$18,$AC$2:$AC$18-$V54)^2)))</f>
        <v>0</v>
      </c>
      <c r="AI54" s="148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8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8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8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8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8">
        <f t="array" ref="AN54">IF(AN$1=0,"",SQRT((_xlfn.XLOOKUP(AN$1,$Z$2:$Z$18,$AA$2:$AA$18)-$T54)^2+(_xlfn.XLOOKUP(AN$1,$Z$2:$Z$18,$AB$2:$AB$18)-$U54)^2+(_xlfn.XLOOKUP(AN$1,$Z$2:$Z$18,$AC$2:$AC$18-$V54)^2)))</f>
        <v>0</v>
      </c>
      <c r="AO54" s="148">
        <f t="array" ref="AO54">IF(AO$1=0,"",SQRT((_xlfn.XLOOKUP(AO$1,$Z$2:$Z$18,$AA$2:$AA$18)-$T54)^2+(_xlfn.XLOOKUP(AO$1,$Z$2:$Z$18,$AB$2:$AB$18)-$U54)^2+(_xlfn.XLOOKUP(AO$1,$Z$2:$Z$18,$AC$2:$AC$18-$V54)^2)))</f>
        <v>0</v>
      </c>
      <c r="AP54" s="149">
        <f t="array" ref="AP54">IF(AP$1=0,"",SQRT((_xlfn.XLOOKUP(AP$1,$Z$2:$Z$18,$AA$2:$AA$18)-$T54)^2+(_xlfn.XLOOKUP(AP$1,$Z$2:$Z$18,$AB$2:$AB$18)-$U54)^2+(_xlfn.XLOOKUP(AP$1,$Z$2:$Z$18,$AC$2:$AC$18-$V54)^2)))</f>
        <v>0</v>
      </c>
      <c r="AQ54" s="149">
        <f t="array" ref="AQ54">IF(AQ$1=0,"",SQRT((_xlfn.XLOOKUP(AQ$1,$Z$2:$Z$18,$AA$2:$AA$18)-$T54)^2+(_xlfn.XLOOKUP(AQ$1,$Z$2:$Z$18,$AB$2:$AB$18)-$U54)^2+(_xlfn.XLOOKUP(AQ$1,$Z$2:$Z$18,$AC$2:$AC$18-$V54)^2)))</f>
        <v>0</v>
      </c>
      <c r="AR54" s="149">
        <f t="array" ref="AR54">IF(AR$1=0,"",SQRT((_xlfn.XLOOKUP(AR$1,$Z$2:$Z$18,$AA$2:$AA$18)-$T54)^2+(_xlfn.XLOOKUP(AR$1,$Z$2:$Z$18,$AB$2:$AB$18)-$U54)^2+(_xlfn.XLOOKUP(AR$1,$Z$2:$Z$18,$AC$2:$AC$18-$V54)^2)))</f>
        <v>0</v>
      </c>
      <c r="AS54" s="149">
        <f t="array" ref="AS54">IF(AS$1=0,"",SQRT((_xlfn.XLOOKUP(AS$1,$Z$2:$Z$18,$AA$2:$AA$18)-$T54)^2+(_xlfn.XLOOKUP(AS$1,$Z$2:$Z$18,$AB$2:$AB$18)-$U54)^2+(_xlfn.XLOOKUP(AS$1,$Z$2:$Z$18,$AC$2:$AC$18-$V54)^2)))</f>
        <v>0</v>
      </c>
      <c r="AT54" s="149">
        <f t="array" ref="AT54">IF(AT$1=0,"",SQRT((_xlfn.XLOOKUP(AT$1,$Z$2:$Z$18,$AA$2:$AA$18)-$T54)^2+(_xlfn.XLOOKUP(AT$1,$Z$2:$Z$18,$AB$2:$AB$18)-$U54)^2+(_xlfn.XLOOKUP(AT$1,$Z$2:$Z$18,$AC$2:$AC$18-$V54)^2)))</f>
        <v>0</v>
      </c>
      <c r="AU54" s="149">
        <f t="array" ref="AU54">IF(AU$1=0,"",SQRT((_xlfn.XLOOKUP(AU$1,$Z$2:$Z$18,$AA$2:$AA$18)-$T54)^2+(_xlfn.XLOOKUP(AU$1,$Z$2:$Z$18,$AB$2:$AB$18)-$U54)^2+(_xlfn.XLOOKUP(AU$1,$Z$2:$Z$18,$AC$2:$AC$18-$V54)^2)))</f>
        <v>0</v>
      </c>
      <c r="AV54" s="150">
        <f t="array" ref="AV54">IF(AV$1=0,"",SQRT((_xlfn.XLOOKUP(AV$1,$Z$2:$Z$18,$AA$2:$AA$18)-$T54)^2+(_xlfn.XLOOKUP(AV$1,$Z$2:$Z$18,$AB$2:$AB$18)-$U54)^2+(_xlfn.XLOOKUP(AV$1,$Z$2:$Z$18,$AC$2:$AC$18-$V54)^2)))</f>
        <v>0</v>
      </c>
      <c r="AW54" s="133"/>
      <c r="AX54" s="133"/>
      <c r="AY54" s="134">
        <f t="shared" si="36"/>
        <v>0</v>
      </c>
      <c r="AZ54" s="151">
        <f t="shared" si="37"/>
        <v>0</v>
      </c>
      <c r="BA54" s="151">
        <f t="shared" si="38"/>
        <v>0</v>
      </c>
      <c r="BB54" s="151">
        <f t="shared" si="39"/>
        <v>0</v>
      </c>
      <c r="BC54" s="151">
        <f t="shared" si="40"/>
        <v>0</v>
      </c>
      <c r="BD54" s="151">
        <f t="shared" si="41"/>
        <v>0</v>
      </c>
      <c r="BE54" s="151">
        <f t="shared" si="42"/>
        <v>0</v>
      </c>
      <c r="BF54" s="151">
        <f t="shared" si="43"/>
        <v>0</v>
      </c>
      <c r="BG54" s="152">
        <f t="shared" si="44"/>
        <v>0</v>
      </c>
      <c r="BH54" s="152">
        <f t="shared" si="45"/>
        <v>0</v>
      </c>
      <c r="BI54" s="152">
        <f t="shared" si="46"/>
        <v>0</v>
      </c>
      <c r="BJ54" s="152">
        <f t="shared" si="47"/>
        <v>0</v>
      </c>
      <c r="BK54" s="152">
        <f t="shared" si="48"/>
        <v>0</v>
      </c>
      <c r="BL54" s="152">
        <f t="shared" si="49"/>
        <v>0</v>
      </c>
      <c r="BM54" s="153">
        <f t="shared" si="50"/>
        <v>0</v>
      </c>
      <c r="BN54" s="133"/>
      <c r="BO54" s="133"/>
      <c r="BP54" s="133"/>
      <c r="BQ54" s="133"/>
      <c r="BR54" s="133"/>
      <c r="BS54" s="133"/>
      <c r="BT54" s="133"/>
      <c r="BU54" s="133"/>
      <c r="BV54" s="139"/>
      <c r="BW54" s="139"/>
      <c r="BX54" s="139"/>
      <c r="BY54" s="139"/>
      <c r="BZ54" s="139"/>
      <c r="CA54" s="139"/>
      <c r="CB54" s="139"/>
      <c r="CC54" s="139"/>
      <c r="CD54" s="139"/>
      <c r="CE54" s="139"/>
      <c r="CF54" s="139"/>
      <c r="CG54" s="139"/>
      <c r="CH54" s="139"/>
      <c r="CI54" s="139"/>
      <c r="CJ54" s="139"/>
      <c r="CL54" s="133"/>
      <c r="CM54" s="139" t="s">
        <v>32</v>
      </c>
      <c r="CN54" s="139"/>
      <c r="CO54" s="139"/>
      <c r="CP54" s="139"/>
      <c r="CQ54" s="139"/>
      <c r="CR54" s="139"/>
      <c r="CS54" s="139"/>
      <c r="CT54" s="139"/>
      <c r="CU54" s="139"/>
      <c r="CV54" s="139"/>
      <c r="CW54" s="139"/>
      <c r="CX54" s="139"/>
      <c r="CY54" s="139"/>
      <c r="CZ54" s="139"/>
      <c r="DA54" s="139"/>
      <c r="DB54" s="133"/>
      <c r="DC54" s="133"/>
      <c r="DD54" s="167" cm="1">
        <f t="array" ref="DD54">_xlfn.IFS(DD$1= 0,"", NOT(ISBLANK(CM54)), 0, ISBLANK(CM54), $Q54-$S54+AY54-BV54)</f>
        <v>0</v>
      </c>
      <c r="DE54" s="168" cm="1">
        <f t="array" ref="DE54">_xlfn.IFS(DE$1= 0,"", NOT(ISBLANK(CN54)), 0, ISBLANK(CN54), $Q54-$S54+AZ54-BW54)</f>
        <v>0</v>
      </c>
      <c r="DF54" s="168" cm="1">
        <f t="array" ref="DF54">_xlfn.IFS(DF$1= 0,"", NOT(ISBLANK(CO54)), 0, ISBLANK(CO54), $Q54-$S54+BA54-BX54)</f>
        <v>0</v>
      </c>
      <c r="DG54" s="168" cm="1">
        <f t="array" ref="DG54">_xlfn.IFS(DG$1= 0,"", NOT(ISBLANK(CP54)), 0, ISBLANK(CP54), $Q54-$S54+BB54-BY54)</f>
        <v>0</v>
      </c>
      <c r="DH54" s="168" cm="1">
        <f t="array" ref="DH54">_xlfn.IFS(DH$1= 0,"", NOT(ISBLANK(CQ54)), 0, ISBLANK(CQ54), $Q54-$S54+BC54-BZ54)</f>
        <v>0</v>
      </c>
      <c r="DI54" s="168" cm="1">
        <f t="array" ref="DI54">_xlfn.IFS(DI$1= 0,"", NOT(ISBLANK(CR54)), 0, ISBLANK(CR54), $Q54-$S54+BD54-CA54)</f>
        <v>0</v>
      </c>
      <c r="DJ54" s="168" cm="1">
        <f t="array" ref="DJ54">_xlfn.IFS(DJ$1= 0,"", NOT(ISBLANK(CS54)), 0, ISBLANK(CS54), $Q54-$S54+BE54-CB54)</f>
        <v>0</v>
      </c>
      <c r="DK54" s="168" cm="1">
        <f t="array" ref="DK54">_xlfn.IFS(DK$1= 0,"", NOT(ISBLANK(CT54)), 0, ISBLANK(CT54), $Q54-$S54+BF54-CC54)</f>
        <v>0</v>
      </c>
      <c r="DL54" s="170" cm="1">
        <f t="array" ref="DL54">_xlfn.IFS(DL$1= 0,"", NOT(ISBLANK(CU54)), 0, ISBLANK(CU54), $Q54-$S54+BG54-CD54)</f>
        <v>0</v>
      </c>
      <c r="DM54" s="170" cm="1">
        <f t="array" ref="DM54">_xlfn.IFS(DM$1= 0,"", NOT(ISBLANK(CV54)), 0, ISBLANK(CV54), $Q54-$S54+BH54-CE54)</f>
        <v>0</v>
      </c>
      <c r="DN54" s="170" cm="1">
        <f t="array" ref="DN54">_xlfn.IFS(DN$1= 0,"", NOT(ISBLANK(CW54)), 0, ISBLANK(CW54), $Q54-$S54+BI54-CF54)</f>
        <v>0</v>
      </c>
      <c r="DO54" s="170" cm="1">
        <f t="array" ref="DO54">_xlfn.IFS(DO$1= 0,"", NOT(ISBLANK(CX54)), 0, ISBLANK(CX54), $Q54-$S54+BJ54-CG54)</f>
        <v>0</v>
      </c>
      <c r="DP54" s="170" cm="1">
        <f t="array" ref="DP54">_xlfn.IFS(DP$1= 0,"", NOT(ISBLANK(CY54)), 0, ISBLANK(CY54), $Q54-$S54+BK54-CH54)</f>
        <v>0</v>
      </c>
      <c r="DQ54" s="170" cm="1">
        <f t="array" ref="DQ54">_xlfn.IFS(DQ$1= 0,"", NOT(ISBLANK(CZ54)), 0, ISBLANK(CZ54), $Q54-$S54+BL54-CI54)</f>
        <v>0</v>
      </c>
      <c r="DR54" s="171" cm="1">
        <f t="array" ref="DR54">_xlfn.IFS(DR$1= 0,"", NOT(ISBLANK(DA54)), 0, ISBLANK(DA54), $Q54-$S54+BM54-CJ54)</f>
        <v>0</v>
      </c>
    </row>
    <row r="55" spans="1:122" ht="16.5" customHeight="1" x14ac:dyDescent="0.3">
      <c r="A55" s="214"/>
      <c r="B55" s="144"/>
      <c r="C55" s="144"/>
      <c r="D55" s="145"/>
      <c r="E55" s="196"/>
      <c r="F55" s="204"/>
      <c r="G55" s="205"/>
      <c r="H55" s="205"/>
      <c r="I55" s="205"/>
      <c r="J55" s="205"/>
      <c r="K55" s="205"/>
      <c r="L55" s="205"/>
      <c r="M55" s="209"/>
      <c r="N55" s="204"/>
      <c r="O55" s="206"/>
      <c r="P55" s="199"/>
      <c r="Q55" s="127">
        <f t="shared" si="34"/>
        <v>0</v>
      </c>
      <c r="R55" s="3"/>
      <c r="S55" s="3"/>
      <c r="T55" s="4"/>
      <c r="U55" s="4"/>
      <c r="V55" s="109">
        <f t="shared" si="35"/>
        <v>0</v>
      </c>
      <c r="W55" s="169"/>
      <c r="X55" s="146"/>
      <c r="AH55" s="166">
        <f t="array" ref="AH55">IF(AH$1=0,"",SQRT((_xlfn.XLOOKUP(AH$1,$Z$2:$Z$18,$AA$2:$AA$18)-$T55)^2+(_xlfn.XLOOKUP(AH$1,$Z$2:$Z$18,$AB$2:$AB$18)-$U55)^2+(_xlfn.XLOOKUP(AH$1,$Z$2:$Z$18,$AC$2:$AC$18-$V55)^2)))</f>
        <v>0</v>
      </c>
      <c r="AI55" s="148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8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8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8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8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8">
        <f t="array" ref="AN55">IF(AN$1=0,"",SQRT((_xlfn.XLOOKUP(AN$1,$Z$2:$Z$18,$AA$2:$AA$18)-$T55)^2+(_xlfn.XLOOKUP(AN$1,$Z$2:$Z$18,$AB$2:$AB$18)-$U55)^2+(_xlfn.XLOOKUP(AN$1,$Z$2:$Z$18,$AC$2:$AC$18-$V55)^2)))</f>
        <v>0</v>
      </c>
      <c r="AO55" s="148">
        <f t="array" ref="AO55">IF(AO$1=0,"",SQRT((_xlfn.XLOOKUP(AO$1,$Z$2:$Z$18,$AA$2:$AA$18)-$T55)^2+(_xlfn.XLOOKUP(AO$1,$Z$2:$Z$18,$AB$2:$AB$18)-$U55)^2+(_xlfn.XLOOKUP(AO$1,$Z$2:$Z$18,$AC$2:$AC$18-$V55)^2)))</f>
        <v>0</v>
      </c>
      <c r="AP55" s="149">
        <f t="array" ref="AP55">IF(AP$1=0,"",SQRT((_xlfn.XLOOKUP(AP$1,$Z$2:$Z$18,$AA$2:$AA$18)-$T55)^2+(_xlfn.XLOOKUP(AP$1,$Z$2:$Z$18,$AB$2:$AB$18)-$U55)^2+(_xlfn.XLOOKUP(AP$1,$Z$2:$Z$18,$AC$2:$AC$18-$V55)^2)))</f>
        <v>0</v>
      </c>
      <c r="AQ55" s="149">
        <f t="array" ref="AQ55">IF(AQ$1=0,"",SQRT((_xlfn.XLOOKUP(AQ$1,$Z$2:$Z$18,$AA$2:$AA$18)-$T55)^2+(_xlfn.XLOOKUP(AQ$1,$Z$2:$Z$18,$AB$2:$AB$18)-$U55)^2+(_xlfn.XLOOKUP(AQ$1,$Z$2:$Z$18,$AC$2:$AC$18-$V55)^2)))</f>
        <v>0</v>
      </c>
      <c r="AR55" s="149">
        <f t="array" ref="AR55">IF(AR$1=0,"",SQRT((_xlfn.XLOOKUP(AR$1,$Z$2:$Z$18,$AA$2:$AA$18)-$T55)^2+(_xlfn.XLOOKUP(AR$1,$Z$2:$Z$18,$AB$2:$AB$18)-$U55)^2+(_xlfn.XLOOKUP(AR$1,$Z$2:$Z$18,$AC$2:$AC$18-$V55)^2)))</f>
        <v>0</v>
      </c>
      <c r="AS55" s="149">
        <f t="array" ref="AS55">IF(AS$1=0,"",SQRT((_xlfn.XLOOKUP(AS$1,$Z$2:$Z$18,$AA$2:$AA$18)-$T55)^2+(_xlfn.XLOOKUP(AS$1,$Z$2:$Z$18,$AB$2:$AB$18)-$U55)^2+(_xlfn.XLOOKUP(AS$1,$Z$2:$Z$18,$AC$2:$AC$18-$V55)^2)))</f>
        <v>0</v>
      </c>
      <c r="AT55" s="149">
        <f t="array" ref="AT55">IF(AT$1=0,"",SQRT((_xlfn.XLOOKUP(AT$1,$Z$2:$Z$18,$AA$2:$AA$18)-$T55)^2+(_xlfn.XLOOKUP(AT$1,$Z$2:$Z$18,$AB$2:$AB$18)-$U55)^2+(_xlfn.XLOOKUP(AT$1,$Z$2:$Z$18,$AC$2:$AC$18-$V55)^2)))</f>
        <v>0</v>
      </c>
      <c r="AU55" s="149">
        <f t="array" ref="AU55">IF(AU$1=0,"",SQRT((_xlfn.XLOOKUP(AU$1,$Z$2:$Z$18,$AA$2:$AA$18)-$T55)^2+(_xlfn.XLOOKUP(AU$1,$Z$2:$Z$18,$AB$2:$AB$18)-$U55)^2+(_xlfn.XLOOKUP(AU$1,$Z$2:$Z$18,$AC$2:$AC$18-$V55)^2)))</f>
        <v>0</v>
      </c>
      <c r="AV55" s="150">
        <f t="array" ref="AV55">IF(AV$1=0,"",SQRT((_xlfn.XLOOKUP(AV$1,$Z$2:$Z$18,$AA$2:$AA$18)-$T55)^2+(_xlfn.XLOOKUP(AV$1,$Z$2:$Z$18,$AB$2:$AB$18)-$U55)^2+(_xlfn.XLOOKUP(AV$1,$Z$2:$Z$18,$AC$2:$AC$18-$V55)^2)))</f>
        <v>0</v>
      </c>
      <c r="AW55" s="133"/>
      <c r="AX55" s="133"/>
      <c r="AY55" s="134">
        <f t="shared" si="36"/>
        <v>0</v>
      </c>
      <c r="AZ55" s="151">
        <f t="shared" si="37"/>
        <v>0</v>
      </c>
      <c r="BA55" s="151">
        <f t="shared" si="38"/>
        <v>0</v>
      </c>
      <c r="BB55" s="151">
        <f t="shared" si="39"/>
        <v>0</v>
      </c>
      <c r="BC55" s="151">
        <f t="shared" si="40"/>
        <v>0</v>
      </c>
      <c r="BD55" s="151">
        <f t="shared" si="41"/>
        <v>0</v>
      </c>
      <c r="BE55" s="151">
        <f t="shared" si="42"/>
        <v>0</v>
      </c>
      <c r="BF55" s="151">
        <f t="shared" si="43"/>
        <v>0</v>
      </c>
      <c r="BG55" s="152">
        <f t="shared" si="44"/>
        <v>0</v>
      </c>
      <c r="BH55" s="152">
        <f t="shared" si="45"/>
        <v>0</v>
      </c>
      <c r="BI55" s="152">
        <f t="shared" si="46"/>
        <v>0</v>
      </c>
      <c r="BJ55" s="152">
        <f t="shared" si="47"/>
        <v>0</v>
      </c>
      <c r="BK55" s="152">
        <f t="shared" si="48"/>
        <v>0</v>
      </c>
      <c r="BL55" s="152">
        <f t="shared" si="49"/>
        <v>0</v>
      </c>
      <c r="BM55" s="153">
        <f t="shared" si="50"/>
        <v>0</v>
      </c>
      <c r="BN55" s="133"/>
      <c r="BO55" s="133"/>
      <c r="BP55" s="133"/>
      <c r="BQ55" s="133"/>
      <c r="BR55" s="133"/>
      <c r="BS55" s="133"/>
      <c r="BT55" s="133"/>
      <c r="BU55" s="133"/>
      <c r="BV55" s="139"/>
      <c r="BW55" s="139"/>
      <c r="BX55" s="139"/>
      <c r="BY55" s="139"/>
      <c r="BZ55" s="139"/>
      <c r="CA55" s="139"/>
      <c r="CB55" s="139"/>
      <c r="CC55" s="139"/>
      <c r="CD55" s="139"/>
      <c r="CE55" s="139"/>
      <c r="CF55" s="139"/>
      <c r="CG55" s="139"/>
      <c r="CH55" s="139"/>
      <c r="CI55" s="139"/>
      <c r="CJ55" s="139"/>
      <c r="CL55" s="133"/>
      <c r="CM55" s="139" t="s">
        <v>32</v>
      </c>
      <c r="CN55" s="139"/>
      <c r="CO55" s="139"/>
      <c r="CP55" s="139"/>
      <c r="CQ55" s="139"/>
      <c r="CR55" s="139"/>
      <c r="CS55" s="139"/>
      <c r="CT55" s="139"/>
      <c r="CU55" s="139"/>
      <c r="CV55" s="139"/>
      <c r="CW55" s="139"/>
      <c r="CX55" s="139"/>
      <c r="CY55" s="139"/>
      <c r="CZ55" s="139"/>
      <c r="DA55" s="139"/>
      <c r="DB55" s="133"/>
      <c r="DC55" s="133"/>
      <c r="DD55" s="167" cm="1">
        <f t="array" ref="DD55">_xlfn.IFS(DD$1= 0,"", NOT(ISBLANK(CM55)), 0, ISBLANK(CM55), $Q55-$S55+AY55-BV55)</f>
        <v>0</v>
      </c>
      <c r="DE55" s="168" cm="1">
        <f t="array" ref="DE55">_xlfn.IFS(DE$1= 0,"", NOT(ISBLANK(CN55)), 0, ISBLANK(CN55), $Q55-$S55+AZ55-BW55)</f>
        <v>0</v>
      </c>
      <c r="DF55" s="168" cm="1">
        <f t="array" ref="DF55">_xlfn.IFS(DF$1= 0,"", NOT(ISBLANK(CO55)), 0, ISBLANK(CO55), $Q55-$S55+BA55-BX55)</f>
        <v>0</v>
      </c>
      <c r="DG55" s="168" cm="1">
        <f t="array" ref="DG55">_xlfn.IFS(DG$1= 0,"", NOT(ISBLANK(CP55)), 0, ISBLANK(CP55), $Q55-$S55+BB55-BY55)</f>
        <v>0</v>
      </c>
      <c r="DH55" s="168" cm="1">
        <f t="array" ref="DH55">_xlfn.IFS(DH$1= 0,"", NOT(ISBLANK(CQ55)), 0, ISBLANK(CQ55), $Q55-$S55+BC55-BZ55)</f>
        <v>0</v>
      </c>
      <c r="DI55" s="168" cm="1">
        <f t="array" ref="DI55">_xlfn.IFS(DI$1= 0,"", NOT(ISBLANK(CR55)), 0, ISBLANK(CR55), $Q55-$S55+BD55-CA55)</f>
        <v>0</v>
      </c>
      <c r="DJ55" s="168" cm="1">
        <f t="array" ref="DJ55">_xlfn.IFS(DJ$1= 0,"", NOT(ISBLANK(CS55)), 0, ISBLANK(CS55), $Q55-$S55+BE55-CB55)</f>
        <v>0</v>
      </c>
      <c r="DK55" s="168" cm="1">
        <f t="array" ref="DK55">_xlfn.IFS(DK$1= 0,"", NOT(ISBLANK(CT55)), 0, ISBLANK(CT55), $Q55-$S55+BF55-CC55)</f>
        <v>0</v>
      </c>
      <c r="DL55" s="170" cm="1">
        <f t="array" ref="DL55">_xlfn.IFS(DL$1= 0,"", NOT(ISBLANK(CU55)), 0, ISBLANK(CU55), $Q55-$S55+BG55-CD55)</f>
        <v>0</v>
      </c>
      <c r="DM55" s="170" cm="1">
        <f t="array" ref="DM55">_xlfn.IFS(DM$1= 0,"", NOT(ISBLANK(CV55)), 0, ISBLANK(CV55), $Q55-$S55+BH55-CE55)</f>
        <v>0</v>
      </c>
      <c r="DN55" s="170" cm="1">
        <f t="array" ref="DN55">_xlfn.IFS(DN$1= 0,"", NOT(ISBLANK(CW55)), 0, ISBLANK(CW55), $Q55-$S55+BI55-CF55)</f>
        <v>0</v>
      </c>
      <c r="DO55" s="170" cm="1">
        <f t="array" ref="DO55">_xlfn.IFS(DO$1= 0,"", NOT(ISBLANK(CX55)), 0, ISBLANK(CX55), $Q55-$S55+BJ55-CG55)</f>
        <v>0</v>
      </c>
      <c r="DP55" s="170" cm="1">
        <f t="array" ref="DP55">_xlfn.IFS(DP$1= 0,"", NOT(ISBLANK(CY55)), 0, ISBLANK(CY55), $Q55-$S55+BK55-CH55)</f>
        <v>0</v>
      </c>
      <c r="DQ55" s="170" cm="1">
        <f t="array" ref="DQ55">_xlfn.IFS(DQ$1= 0,"", NOT(ISBLANK(CZ55)), 0, ISBLANK(CZ55), $Q55-$S55+BL55-CI55)</f>
        <v>0</v>
      </c>
      <c r="DR55" s="171" cm="1">
        <f t="array" ref="DR55">_xlfn.IFS(DR$1= 0,"", NOT(ISBLANK(DA55)), 0, ISBLANK(DA55), $Q55-$S55+BM55-CJ55)</f>
        <v>0</v>
      </c>
    </row>
    <row r="56" spans="1:122" ht="16.5" customHeight="1" x14ac:dyDescent="0.3">
      <c r="A56" s="214"/>
      <c r="B56" s="144"/>
      <c r="C56" s="144"/>
      <c r="D56" s="145"/>
      <c r="E56" s="196"/>
      <c r="F56" s="204"/>
      <c r="G56" s="205"/>
      <c r="H56" s="205"/>
      <c r="I56" s="205"/>
      <c r="J56" s="205"/>
      <c r="K56" s="205"/>
      <c r="L56" s="205"/>
      <c r="M56" s="209"/>
      <c r="N56" s="204"/>
      <c r="O56" s="206"/>
      <c r="P56" s="199"/>
      <c r="Q56" s="127">
        <f t="shared" si="34"/>
        <v>0</v>
      </c>
      <c r="R56" s="3"/>
      <c r="S56" s="3"/>
      <c r="T56" s="4"/>
      <c r="U56" s="4"/>
      <c r="V56" s="109">
        <f t="shared" si="35"/>
        <v>0</v>
      </c>
      <c r="W56" s="169"/>
      <c r="X56" s="146"/>
      <c r="AH56" s="166">
        <f t="array" ref="AH56">IF(AH$1=0,"",SQRT((_xlfn.XLOOKUP(AH$1,$Z$2:$Z$18,$AA$2:$AA$18)-$T56)^2+(_xlfn.XLOOKUP(AH$1,$Z$2:$Z$18,$AB$2:$AB$18)-$U56)^2+(_xlfn.XLOOKUP(AH$1,$Z$2:$Z$18,$AC$2:$AC$18-$V56)^2)))</f>
        <v>0</v>
      </c>
      <c r="AI56" s="148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8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8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8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8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8">
        <f t="array" ref="AN56">IF(AN$1=0,"",SQRT((_xlfn.XLOOKUP(AN$1,$Z$2:$Z$18,$AA$2:$AA$18)-$T56)^2+(_xlfn.XLOOKUP(AN$1,$Z$2:$Z$18,$AB$2:$AB$18)-$U56)^2+(_xlfn.XLOOKUP(AN$1,$Z$2:$Z$18,$AC$2:$AC$18-$V56)^2)))</f>
        <v>0</v>
      </c>
      <c r="AO56" s="148">
        <f t="array" ref="AO56">IF(AO$1=0,"",SQRT((_xlfn.XLOOKUP(AO$1,$Z$2:$Z$18,$AA$2:$AA$18)-$T56)^2+(_xlfn.XLOOKUP(AO$1,$Z$2:$Z$18,$AB$2:$AB$18)-$U56)^2+(_xlfn.XLOOKUP(AO$1,$Z$2:$Z$18,$AC$2:$AC$18-$V56)^2)))</f>
        <v>0</v>
      </c>
      <c r="AP56" s="149">
        <f t="array" ref="AP56">IF(AP$1=0,"",SQRT((_xlfn.XLOOKUP(AP$1,$Z$2:$Z$18,$AA$2:$AA$18)-$T56)^2+(_xlfn.XLOOKUP(AP$1,$Z$2:$Z$18,$AB$2:$AB$18)-$U56)^2+(_xlfn.XLOOKUP(AP$1,$Z$2:$Z$18,$AC$2:$AC$18-$V56)^2)))</f>
        <v>0</v>
      </c>
      <c r="AQ56" s="149">
        <f t="array" ref="AQ56">IF(AQ$1=0,"",SQRT((_xlfn.XLOOKUP(AQ$1,$Z$2:$Z$18,$AA$2:$AA$18)-$T56)^2+(_xlfn.XLOOKUP(AQ$1,$Z$2:$Z$18,$AB$2:$AB$18)-$U56)^2+(_xlfn.XLOOKUP(AQ$1,$Z$2:$Z$18,$AC$2:$AC$18-$V56)^2)))</f>
        <v>0</v>
      </c>
      <c r="AR56" s="149">
        <f t="array" ref="AR56">IF(AR$1=0,"",SQRT((_xlfn.XLOOKUP(AR$1,$Z$2:$Z$18,$AA$2:$AA$18)-$T56)^2+(_xlfn.XLOOKUP(AR$1,$Z$2:$Z$18,$AB$2:$AB$18)-$U56)^2+(_xlfn.XLOOKUP(AR$1,$Z$2:$Z$18,$AC$2:$AC$18-$V56)^2)))</f>
        <v>0</v>
      </c>
      <c r="AS56" s="149">
        <f t="array" ref="AS56">IF(AS$1=0,"",SQRT((_xlfn.XLOOKUP(AS$1,$Z$2:$Z$18,$AA$2:$AA$18)-$T56)^2+(_xlfn.XLOOKUP(AS$1,$Z$2:$Z$18,$AB$2:$AB$18)-$U56)^2+(_xlfn.XLOOKUP(AS$1,$Z$2:$Z$18,$AC$2:$AC$18-$V56)^2)))</f>
        <v>0</v>
      </c>
      <c r="AT56" s="149">
        <f t="array" ref="AT56">IF(AT$1=0,"",SQRT((_xlfn.XLOOKUP(AT$1,$Z$2:$Z$18,$AA$2:$AA$18)-$T56)^2+(_xlfn.XLOOKUP(AT$1,$Z$2:$Z$18,$AB$2:$AB$18)-$U56)^2+(_xlfn.XLOOKUP(AT$1,$Z$2:$Z$18,$AC$2:$AC$18-$V56)^2)))</f>
        <v>0</v>
      </c>
      <c r="AU56" s="149">
        <f t="array" ref="AU56">IF(AU$1=0,"",SQRT((_xlfn.XLOOKUP(AU$1,$Z$2:$Z$18,$AA$2:$AA$18)-$T56)^2+(_xlfn.XLOOKUP(AU$1,$Z$2:$Z$18,$AB$2:$AB$18)-$U56)^2+(_xlfn.XLOOKUP(AU$1,$Z$2:$Z$18,$AC$2:$AC$18-$V56)^2)))</f>
        <v>0</v>
      </c>
      <c r="AV56" s="150">
        <f t="array" ref="AV56">IF(AV$1=0,"",SQRT((_xlfn.XLOOKUP(AV$1,$Z$2:$Z$18,$AA$2:$AA$18)-$T56)^2+(_xlfn.XLOOKUP(AV$1,$Z$2:$Z$18,$AB$2:$AB$18)-$U56)^2+(_xlfn.XLOOKUP(AV$1,$Z$2:$Z$18,$AC$2:$AC$18-$V56)^2)))</f>
        <v>0</v>
      </c>
      <c r="AW56" s="133"/>
      <c r="AX56" s="133"/>
      <c r="AY56" s="134">
        <f t="shared" si="36"/>
        <v>0</v>
      </c>
      <c r="AZ56" s="151">
        <f t="shared" si="37"/>
        <v>0</v>
      </c>
      <c r="BA56" s="151">
        <f t="shared" si="38"/>
        <v>0</v>
      </c>
      <c r="BB56" s="151">
        <f t="shared" si="39"/>
        <v>0</v>
      </c>
      <c r="BC56" s="151">
        <f t="shared" si="40"/>
        <v>0</v>
      </c>
      <c r="BD56" s="151">
        <f t="shared" si="41"/>
        <v>0</v>
      </c>
      <c r="BE56" s="151">
        <f t="shared" si="42"/>
        <v>0</v>
      </c>
      <c r="BF56" s="151">
        <f t="shared" si="43"/>
        <v>0</v>
      </c>
      <c r="BG56" s="152">
        <f t="shared" si="44"/>
        <v>0</v>
      </c>
      <c r="BH56" s="152">
        <f t="shared" si="45"/>
        <v>0</v>
      </c>
      <c r="BI56" s="152">
        <f t="shared" si="46"/>
        <v>0</v>
      </c>
      <c r="BJ56" s="152">
        <f t="shared" si="47"/>
        <v>0</v>
      </c>
      <c r="BK56" s="152">
        <f t="shared" si="48"/>
        <v>0</v>
      </c>
      <c r="BL56" s="152">
        <f t="shared" si="49"/>
        <v>0</v>
      </c>
      <c r="BM56" s="153">
        <f t="shared" si="50"/>
        <v>0</v>
      </c>
      <c r="BN56" s="133"/>
      <c r="BO56" s="133"/>
      <c r="BP56" s="133"/>
      <c r="BQ56" s="133"/>
      <c r="BR56" s="133"/>
      <c r="BS56" s="133"/>
      <c r="BT56" s="133"/>
      <c r="BU56" s="133"/>
      <c r="BV56" s="139"/>
      <c r="BW56" s="139"/>
      <c r="BX56" s="139"/>
      <c r="BY56" s="139"/>
      <c r="BZ56" s="139"/>
      <c r="CA56" s="139"/>
      <c r="CB56" s="139"/>
      <c r="CC56" s="139"/>
      <c r="CD56" s="139"/>
      <c r="CE56" s="139"/>
      <c r="CF56" s="139"/>
      <c r="CG56" s="139"/>
      <c r="CH56" s="139"/>
      <c r="CI56" s="139"/>
      <c r="CJ56" s="139"/>
      <c r="CL56" s="133"/>
      <c r="CM56" s="139" t="s">
        <v>32</v>
      </c>
      <c r="CN56" s="139"/>
      <c r="CO56" s="139"/>
      <c r="CP56" s="139"/>
      <c r="CQ56" s="139"/>
      <c r="CR56" s="139"/>
      <c r="CS56" s="139"/>
      <c r="CT56" s="139"/>
      <c r="CU56" s="139"/>
      <c r="CV56" s="139"/>
      <c r="CW56" s="139"/>
      <c r="CX56" s="139"/>
      <c r="CY56" s="139"/>
      <c r="CZ56" s="139"/>
      <c r="DA56" s="139"/>
      <c r="DB56" s="133"/>
      <c r="DC56" s="133"/>
      <c r="DD56" s="167" cm="1">
        <f t="array" ref="DD56">_xlfn.IFS(DD$1= 0,"", NOT(ISBLANK(CM56)), 0, ISBLANK(CM56), $Q56-$S56+AY56-BV56)</f>
        <v>0</v>
      </c>
      <c r="DE56" s="168" cm="1">
        <f t="array" ref="DE56">_xlfn.IFS(DE$1= 0,"", NOT(ISBLANK(CN56)), 0, ISBLANK(CN56), $Q56-$S56+AZ56-BW56)</f>
        <v>0</v>
      </c>
      <c r="DF56" s="168" cm="1">
        <f t="array" ref="DF56">_xlfn.IFS(DF$1= 0,"", NOT(ISBLANK(CO56)), 0, ISBLANK(CO56), $Q56-$S56+BA56-BX56)</f>
        <v>0</v>
      </c>
      <c r="DG56" s="168" cm="1">
        <f t="array" ref="DG56">_xlfn.IFS(DG$1= 0,"", NOT(ISBLANK(CP56)), 0, ISBLANK(CP56), $Q56-$S56+BB56-BY56)</f>
        <v>0</v>
      </c>
      <c r="DH56" s="168" cm="1">
        <f t="array" ref="DH56">_xlfn.IFS(DH$1= 0,"", NOT(ISBLANK(CQ56)), 0, ISBLANK(CQ56), $Q56-$S56+BC56-BZ56)</f>
        <v>0</v>
      </c>
      <c r="DI56" s="168" cm="1">
        <f t="array" ref="DI56">_xlfn.IFS(DI$1= 0,"", NOT(ISBLANK(CR56)), 0, ISBLANK(CR56), $Q56-$S56+BD56-CA56)</f>
        <v>0</v>
      </c>
      <c r="DJ56" s="168" cm="1">
        <f t="array" ref="DJ56">_xlfn.IFS(DJ$1= 0,"", NOT(ISBLANK(CS56)), 0, ISBLANK(CS56), $Q56-$S56+BE56-CB56)</f>
        <v>0</v>
      </c>
      <c r="DK56" s="168" cm="1">
        <f t="array" ref="DK56">_xlfn.IFS(DK$1= 0,"", NOT(ISBLANK(CT56)), 0, ISBLANK(CT56), $Q56-$S56+BF56-CC56)</f>
        <v>0</v>
      </c>
      <c r="DL56" s="170" cm="1">
        <f t="array" ref="DL56">_xlfn.IFS(DL$1= 0,"", NOT(ISBLANK(CU56)), 0, ISBLANK(CU56), $Q56-$S56+BG56-CD56)</f>
        <v>0</v>
      </c>
      <c r="DM56" s="170" cm="1">
        <f t="array" ref="DM56">_xlfn.IFS(DM$1= 0,"", NOT(ISBLANK(CV56)), 0, ISBLANK(CV56), $Q56-$S56+BH56-CE56)</f>
        <v>0</v>
      </c>
      <c r="DN56" s="170" cm="1">
        <f t="array" ref="DN56">_xlfn.IFS(DN$1= 0,"", NOT(ISBLANK(CW56)), 0, ISBLANK(CW56), $Q56-$S56+BI56-CF56)</f>
        <v>0</v>
      </c>
      <c r="DO56" s="170" cm="1">
        <f t="array" ref="DO56">_xlfn.IFS(DO$1= 0,"", NOT(ISBLANK(CX56)), 0, ISBLANK(CX56), $Q56-$S56+BJ56-CG56)</f>
        <v>0</v>
      </c>
      <c r="DP56" s="170" cm="1">
        <f t="array" ref="DP56">_xlfn.IFS(DP$1= 0,"", NOT(ISBLANK(CY56)), 0, ISBLANK(CY56), $Q56-$S56+BK56-CH56)</f>
        <v>0</v>
      </c>
      <c r="DQ56" s="170" cm="1">
        <f t="array" ref="DQ56">_xlfn.IFS(DQ$1= 0,"", NOT(ISBLANK(CZ56)), 0, ISBLANK(CZ56), $Q56-$S56+BL56-CI56)</f>
        <v>0</v>
      </c>
      <c r="DR56" s="171" cm="1">
        <f t="array" ref="DR56">_xlfn.IFS(DR$1= 0,"", NOT(ISBLANK(DA56)), 0, ISBLANK(DA56), $Q56-$S56+BM56-CJ56)</f>
        <v>0</v>
      </c>
    </row>
    <row r="57" spans="1:122" ht="16.5" customHeight="1" x14ac:dyDescent="0.3">
      <c r="A57" s="214"/>
      <c r="B57" s="144"/>
      <c r="C57" s="144"/>
      <c r="D57" s="145"/>
      <c r="E57" s="196"/>
      <c r="F57" s="204"/>
      <c r="G57" s="205"/>
      <c r="H57" s="205"/>
      <c r="I57" s="205"/>
      <c r="J57" s="205"/>
      <c r="K57" s="205"/>
      <c r="L57" s="205"/>
      <c r="M57" s="209"/>
      <c r="N57" s="204"/>
      <c r="O57" s="206"/>
      <c r="P57" s="199"/>
      <c r="Q57" s="127">
        <f t="shared" si="34"/>
        <v>0</v>
      </c>
      <c r="R57" s="3"/>
      <c r="S57" s="3"/>
      <c r="T57" s="4"/>
      <c r="U57" s="4"/>
      <c r="V57" s="109">
        <f t="shared" si="35"/>
        <v>0</v>
      </c>
      <c r="W57" s="169"/>
      <c r="X57" s="146"/>
      <c r="AH57" s="166">
        <f t="array" ref="AH57">IF(AH$1=0,"",SQRT((_xlfn.XLOOKUP(AH$1,$Z$2:$Z$18,$AA$2:$AA$18)-$T57)^2+(_xlfn.XLOOKUP(AH$1,$Z$2:$Z$18,$AB$2:$AB$18)-$U57)^2+(_xlfn.XLOOKUP(AH$1,$Z$2:$Z$18,$AC$2:$AC$18-$V57)^2)))</f>
        <v>0</v>
      </c>
      <c r="AI57" s="148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8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8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8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8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8">
        <f t="array" ref="AN57">IF(AN$1=0,"",SQRT((_xlfn.XLOOKUP(AN$1,$Z$2:$Z$18,$AA$2:$AA$18)-$T57)^2+(_xlfn.XLOOKUP(AN$1,$Z$2:$Z$18,$AB$2:$AB$18)-$U57)^2+(_xlfn.XLOOKUP(AN$1,$Z$2:$Z$18,$AC$2:$AC$18-$V57)^2)))</f>
        <v>0</v>
      </c>
      <c r="AO57" s="148">
        <f t="array" ref="AO57">IF(AO$1=0,"",SQRT((_xlfn.XLOOKUP(AO$1,$Z$2:$Z$18,$AA$2:$AA$18)-$T57)^2+(_xlfn.XLOOKUP(AO$1,$Z$2:$Z$18,$AB$2:$AB$18)-$U57)^2+(_xlfn.XLOOKUP(AO$1,$Z$2:$Z$18,$AC$2:$AC$18-$V57)^2)))</f>
        <v>0</v>
      </c>
      <c r="AP57" s="149">
        <f t="array" ref="AP57">IF(AP$1=0,"",SQRT((_xlfn.XLOOKUP(AP$1,$Z$2:$Z$18,$AA$2:$AA$18)-$T57)^2+(_xlfn.XLOOKUP(AP$1,$Z$2:$Z$18,$AB$2:$AB$18)-$U57)^2+(_xlfn.XLOOKUP(AP$1,$Z$2:$Z$18,$AC$2:$AC$18-$V57)^2)))</f>
        <v>0</v>
      </c>
      <c r="AQ57" s="149">
        <f t="array" ref="AQ57">IF(AQ$1=0,"",SQRT((_xlfn.XLOOKUP(AQ$1,$Z$2:$Z$18,$AA$2:$AA$18)-$T57)^2+(_xlfn.XLOOKUP(AQ$1,$Z$2:$Z$18,$AB$2:$AB$18)-$U57)^2+(_xlfn.XLOOKUP(AQ$1,$Z$2:$Z$18,$AC$2:$AC$18-$V57)^2)))</f>
        <v>0</v>
      </c>
      <c r="AR57" s="149">
        <f t="array" ref="AR57">IF(AR$1=0,"",SQRT((_xlfn.XLOOKUP(AR$1,$Z$2:$Z$18,$AA$2:$AA$18)-$T57)^2+(_xlfn.XLOOKUP(AR$1,$Z$2:$Z$18,$AB$2:$AB$18)-$U57)^2+(_xlfn.XLOOKUP(AR$1,$Z$2:$Z$18,$AC$2:$AC$18-$V57)^2)))</f>
        <v>0</v>
      </c>
      <c r="AS57" s="149">
        <f t="array" ref="AS57">IF(AS$1=0,"",SQRT((_xlfn.XLOOKUP(AS$1,$Z$2:$Z$18,$AA$2:$AA$18)-$T57)^2+(_xlfn.XLOOKUP(AS$1,$Z$2:$Z$18,$AB$2:$AB$18)-$U57)^2+(_xlfn.XLOOKUP(AS$1,$Z$2:$Z$18,$AC$2:$AC$18-$V57)^2)))</f>
        <v>0</v>
      </c>
      <c r="AT57" s="149">
        <f t="array" ref="AT57">IF(AT$1=0,"",SQRT((_xlfn.XLOOKUP(AT$1,$Z$2:$Z$18,$AA$2:$AA$18)-$T57)^2+(_xlfn.XLOOKUP(AT$1,$Z$2:$Z$18,$AB$2:$AB$18)-$U57)^2+(_xlfn.XLOOKUP(AT$1,$Z$2:$Z$18,$AC$2:$AC$18-$V57)^2)))</f>
        <v>0</v>
      </c>
      <c r="AU57" s="149">
        <f t="array" ref="AU57">IF(AU$1=0,"",SQRT((_xlfn.XLOOKUP(AU$1,$Z$2:$Z$18,$AA$2:$AA$18)-$T57)^2+(_xlfn.XLOOKUP(AU$1,$Z$2:$Z$18,$AB$2:$AB$18)-$U57)^2+(_xlfn.XLOOKUP(AU$1,$Z$2:$Z$18,$AC$2:$AC$18-$V57)^2)))</f>
        <v>0</v>
      </c>
      <c r="AV57" s="150">
        <f t="array" ref="AV57">IF(AV$1=0,"",SQRT((_xlfn.XLOOKUP(AV$1,$Z$2:$Z$18,$AA$2:$AA$18)-$T57)^2+(_xlfn.XLOOKUP(AV$1,$Z$2:$Z$18,$AB$2:$AB$18)-$U57)^2+(_xlfn.XLOOKUP(AV$1,$Z$2:$Z$18,$AC$2:$AC$18-$V57)^2)))</f>
        <v>0</v>
      </c>
      <c r="AW57" s="133"/>
      <c r="AX57" s="133"/>
      <c r="AY57" s="134">
        <f t="shared" si="36"/>
        <v>0</v>
      </c>
      <c r="AZ57" s="151">
        <f t="shared" si="37"/>
        <v>0</v>
      </c>
      <c r="BA57" s="151">
        <f t="shared" si="38"/>
        <v>0</v>
      </c>
      <c r="BB57" s="151">
        <f t="shared" si="39"/>
        <v>0</v>
      </c>
      <c r="BC57" s="151">
        <f t="shared" si="40"/>
        <v>0</v>
      </c>
      <c r="BD57" s="151">
        <f t="shared" si="41"/>
        <v>0</v>
      </c>
      <c r="BE57" s="151">
        <f t="shared" si="42"/>
        <v>0</v>
      </c>
      <c r="BF57" s="151">
        <f t="shared" si="43"/>
        <v>0</v>
      </c>
      <c r="BG57" s="152">
        <f t="shared" si="44"/>
        <v>0</v>
      </c>
      <c r="BH57" s="152">
        <f t="shared" si="45"/>
        <v>0</v>
      </c>
      <c r="BI57" s="152">
        <f t="shared" si="46"/>
        <v>0</v>
      </c>
      <c r="BJ57" s="152">
        <f t="shared" si="47"/>
        <v>0</v>
      </c>
      <c r="BK57" s="152">
        <f t="shared" si="48"/>
        <v>0</v>
      </c>
      <c r="BL57" s="152">
        <f t="shared" si="49"/>
        <v>0</v>
      </c>
      <c r="BM57" s="153">
        <f t="shared" si="50"/>
        <v>0</v>
      </c>
      <c r="BN57" s="133"/>
      <c r="BO57" s="133"/>
      <c r="BP57" s="133"/>
      <c r="BQ57" s="133"/>
      <c r="BR57" s="133"/>
      <c r="BS57" s="133"/>
      <c r="BT57" s="133"/>
      <c r="BU57" s="133"/>
      <c r="BV57" s="139"/>
      <c r="BW57" s="139"/>
      <c r="BX57" s="139"/>
      <c r="BY57" s="139"/>
      <c r="BZ57" s="139"/>
      <c r="CA57" s="139"/>
      <c r="CB57" s="139"/>
      <c r="CC57" s="139"/>
      <c r="CD57" s="139"/>
      <c r="CE57" s="139"/>
      <c r="CF57" s="139"/>
      <c r="CG57" s="139"/>
      <c r="CH57" s="139"/>
      <c r="CI57" s="139"/>
      <c r="CJ57" s="139"/>
      <c r="CL57" s="133"/>
      <c r="CM57" s="139" t="s">
        <v>32</v>
      </c>
      <c r="CN57" s="139"/>
      <c r="CO57" s="139"/>
      <c r="CP57" s="139"/>
      <c r="CQ57" s="139"/>
      <c r="CR57" s="139"/>
      <c r="CS57" s="139"/>
      <c r="CT57" s="139"/>
      <c r="CU57" s="139"/>
      <c r="CV57" s="139"/>
      <c r="CW57" s="139"/>
      <c r="CX57" s="139"/>
      <c r="CY57" s="139"/>
      <c r="CZ57" s="139"/>
      <c r="DA57" s="139"/>
      <c r="DB57" s="133"/>
      <c r="DC57" s="133"/>
      <c r="DD57" s="167" cm="1">
        <f t="array" ref="DD57">_xlfn.IFS(DD$1= 0,"", NOT(ISBLANK(CM57)), 0, ISBLANK(CM57), $Q57-$S57+AY57-BV57)</f>
        <v>0</v>
      </c>
      <c r="DE57" s="168" cm="1">
        <f t="array" ref="DE57">_xlfn.IFS(DE$1= 0,"", NOT(ISBLANK(CN57)), 0, ISBLANK(CN57), $Q57-$S57+AZ57-BW57)</f>
        <v>0</v>
      </c>
      <c r="DF57" s="168" cm="1">
        <f t="array" ref="DF57">_xlfn.IFS(DF$1= 0,"", NOT(ISBLANK(CO57)), 0, ISBLANK(CO57), $Q57-$S57+BA57-BX57)</f>
        <v>0</v>
      </c>
      <c r="DG57" s="168" cm="1">
        <f t="array" ref="DG57">_xlfn.IFS(DG$1= 0,"", NOT(ISBLANK(CP57)), 0, ISBLANK(CP57), $Q57-$S57+BB57-BY57)</f>
        <v>0</v>
      </c>
      <c r="DH57" s="168" cm="1">
        <f t="array" ref="DH57">_xlfn.IFS(DH$1= 0,"", NOT(ISBLANK(CQ57)), 0, ISBLANK(CQ57), $Q57-$S57+BC57-BZ57)</f>
        <v>0</v>
      </c>
      <c r="DI57" s="168" cm="1">
        <f t="array" ref="DI57">_xlfn.IFS(DI$1= 0,"", NOT(ISBLANK(CR57)), 0, ISBLANK(CR57), $Q57-$S57+BD57-CA57)</f>
        <v>0</v>
      </c>
      <c r="DJ57" s="168" cm="1">
        <f t="array" ref="DJ57">_xlfn.IFS(DJ$1= 0,"", NOT(ISBLANK(CS57)), 0, ISBLANK(CS57), $Q57-$S57+BE57-CB57)</f>
        <v>0</v>
      </c>
      <c r="DK57" s="168" cm="1">
        <f t="array" ref="DK57">_xlfn.IFS(DK$1= 0,"", NOT(ISBLANK(CT57)), 0, ISBLANK(CT57), $Q57-$S57+BF57-CC57)</f>
        <v>0</v>
      </c>
      <c r="DL57" s="170" cm="1">
        <f t="array" ref="DL57">_xlfn.IFS(DL$1= 0,"", NOT(ISBLANK(CU57)), 0, ISBLANK(CU57), $Q57-$S57+BG57-CD57)</f>
        <v>0</v>
      </c>
      <c r="DM57" s="170" cm="1">
        <f t="array" ref="DM57">_xlfn.IFS(DM$1= 0,"", NOT(ISBLANK(CV57)), 0, ISBLANK(CV57), $Q57-$S57+BH57-CE57)</f>
        <v>0</v>
      </c>
      <c r="DN57" s="170" cm="1">
        <f t="array" ref="DN57">_xlfn.IFS(DN$1= 0,"", NOT(ISBLANK(CW57)), 0, ISBLANK(CW57), $Q57-$S57+BI57-CF57)</f>
        <v>0</v>
      </c>
      <c r="DO57" s="170" cm="1">
        <f t="array" ref="DO57">_xlfn.IFS(DO$1= 0,"", NOT(ISBLANK(CX57)), 0, ISBLANK(CX57), $Q57-$S57+BJ57-CG57)</f>
        <v>0</v>
      </c>
      <c r="DP57" s="170" cm="1">
        <f t="array" ref="DP57">_xlfn.IFS(DP$1= 0,"", NOT(ISBLANK(CY57)), 0, ISBLANK(CY57), $Q57-$S57+BK57-CH57)</f>
        <v>0</v>
      </c>
      <c r="DQ57" s="170" cm="1">
        <f t="array" ref="DQ57">_xlfn.IFS(DQ$1= 0,"", NOT(ISBLANK(CZ57)), 0, ISBLANK(CZ57), $Q57-$S57+BL57-CI57)</f>
        <v>0</v>
      </c>
      <c r="DR57" s="171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15"/>
      <c r="B58" s="172"/>
      <c r="C58" s="172"/>
      <c r="D58" s="173"/>
      <c r="E58" s="197"/>
      <c r="F58" s="71"/>
      <c r="G58" s="6"/>
      <c r="H58" s="6"/>
      <c r="I58" s="6"/>
      <c r="J58" s="6"/>
      <c r="K58" s="6"/>
      <c r="L58" s="6"/>
      <c r="M58" s="210"/>
      <c r="N58" s="71"/>
      <c r="O58" s="207"/>
      <c r="P58" s="200"/>
      <c r="Q58" s="127">
        <f t="shared" si="34"/>
        <v>0</v>
      </c>
      <c r="R58" s="7"/>
      <c r="S58" s="7"/>
      <c r="T58" s="6"/>
      <c r="U58" s="6"/>
      <c r="V58" s="109">
        <f t="shared" si="35"/>
        <v>0</v>
      </c>
      <c r="W58" s="174"/>
      <c r="X58" s="175"/>
      <c r="AH58" s="176">
        <f t="array" ref="AH58">IF(AH$1=0,"",SQRT((_xlfn.XLOOKUP(AH$1,$Z$2:$Z$18,$AA$2:$AA$18)-$T58)^2+(_xlfn.XLOOKUP(AH$1,$Z$2:$Z$18,$AB$2:$AB$18)-$U58)^2+(_xlfn.XLOOKUP(AH$1,$Z$2:$Z$18,$AC$2:$AC$18-$V58)^2)))</f>
        <v>0</v>
      </c>
      <c r="AI58" s="177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7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7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7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7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7">
        <f t="array" ref="AN58">IF(AN$1=0,"",SQRT((_xlfn.XLOOKUP(AN$1,$Z$2:$Z$18,$AA$2:$AA$18)-$T58)^2+(_xlfn.XLOOKUP(AN$1,$Z$2:$Z$18,$AB$2:$AB$18)-$U58)^2+(_xlfn.XLOOKUP(AN$1,$Z$2:$Z$18,$AC$2:$AC$18-$V58)^2)))</f>
        <v>0</v>
      </c>
      <c r="AO58" s="177">
        <f t="array" ref="AO58">IF(AO$1=0,"",SQRT((_xlfn.XLOOKUP(AO$1,$Z$2:$Z$18,$AA$2:$AA$18)-$T58)^2+(_xlfn.XLOOKUP(AO$1,$Z$2:$Z$18,$AB$2:$AB$18)-$U58)^2+(_xlfn.XLOOKUP(AO$1,$Z$2:$Z$18,$AC$2:$AC$18-$V58)^2)))</f>
        <v>0</v>
      </c>
      <c r="AP58" s="178">
        <f t="array" ref="AP58">IF(AP$1=0,"",SQRT((_xlfn.XLOOKUP(AP$1,$Z$2:$Z$18,$AA$2:$AA$18)-$T58)^2+(_xlfn.XLOOKUP(AP$1,$Z$2:$Z$18,$AB$2:$AB$18)-$U58)^2+(_xlfn.XLOOKUP(AP$1,$Z$2:$Z$18,$AC$2:$AC$18-$V58)^2)))</f>
        <v>0</v>
      </c>
      <c r="AQ58" s="178">
        <f t="array" ref="AQ58">IF(AQ$1=0,"",SQRT((_xlfn.XLOOKUP(AQ$1,$Z$2:$Z$18,$AA$2:$AA$18)-$T58)^2+(_xlfn.XLOOKUP(AQ$1,$Z$2:$Z$18,$AB$2:$AB$18)-$U58)^2+(_xlfn.XLOOKUP(AQ$1,$Z$2:$Z$18,$AC$2:$AC$18-$V58)^2)))</f>
        <v>0</v>
      </c>
      <c r="AR58" s="178">
        <f t="array" ref="AR58">IF(AR$1=0,"",SQRT((_xlfn.XLOOKUP(AR$1,$Z$2:$Z$18,$AA$2:$AA$18)-$T58)^2+(_xlfn.XLOOKUP(AR$1,$Z$2:$Z$18,$AB$2:$AB$18)-$U58)^2+(_xlfn.XLOOKUP(AR$1,$Z$2:$Z$18,$AC$2:$AC$18-$V58)^2)))</f>
        <v>0</v>
      </c>
      <c r="AS58" s="178">
        <f t="array" ref="AS58">IF(AS$1=0,"",SQRT((_xlfn.XLOOKUP(AS$1,$Z$2:$Z$18,$AA$2:$AA$18)-$T58)^2+(_xlfn.XLOOKUP(AS$1,$Z$2:$Z$18,$AB$2:$AB$18)-$U58)^2+(_xlfn.XLOOKUP(AS$1,$Z$2:$Z$18,$AC$2:$AC$18-$V58)^2)))</f>
        <v>0</v>
      </c>
      <c r="AT58" s="178">
        <f t="array" ref="AT58">IF(AT$1=0,"",SQRT((_xlfn.XLOOKUP(AT$1,$Z$2:$Z$18,$AA$2:$AA$18)-$T58)^2+(_xlfn.XLOOKUP(AT$1,$Z$2:$Z$18,$AB$2:$AB$18)-$U58)^2+(_xlfn.XLOOKUP(AT$1,$Z$2:$Z$18,$AC$2:$AC$18-$V58)^2)))</f>
        <v>0</v>
      </c>
      <c r="AU58" s="178">
        <f t="array" ref="AU58">IF(AU$1=0,"",SQRT((_xlfn.XLOOKUP(AU$1,$Z$2:$Z$18,$AA$2:$AA$18)-$T58)^2+(_xlfn.XLOOKUP(AU$1,$Z$2:$Z$18,$AB$2:$AB$18)-$U58)^2+(_xlfn.XLOOKUP(AU$1,$Z$2:$Z$18,$AC$2:$AC$18-$V58)^2)))</f>
        <v>0</v>
      </c>
      <c r="AV58" s="179">
        <f t="array" ref="AV58">IF(AV$1=0,"",SQRT((_xlfn.XLOOKUP(AV$1,$Z$2:$Z$18,$AA$2:$AA$18)-$T58)^2+(_xlfn.XLOOKUP(AV$1,$Z$2:$Z$18,$AB$2:$AB$18)-$U58)^2+(_xlfn.XLOOKUP(AV$1,$Z$2:$Z$18,$AC$2:$AC$18-$V58)^2)))</f>
        <v>0</v>
      </c>
      <c r="AW58" s="133"/>
      <c r="AX58" s="133"/>
      <c r="AY58" s="134">
        <f t="shared" si="36"/>
        <v>0</v>
      </c>
      <c r="AZ58" s="180">
        <f t="shared" si="37"/>
        <v>0</v>
      </c>
      <c r="BA58" s="180">
        <f t="shared" si="38"/>
        <v>0</v>
      </c>
      <c r="BB58" s="180">
        <f t="shared" si="39"/>
        <v>0</v>
      </c>
      <c r="BC58" s="180">
        <f t="shared" si="40"/>
        <v>0</v>
      </c>
      <c r="BD58" s="180">
        <f t="shared" si="41"/>
        <v>0</v>
      </c>
      <c r="BE58" s="180">
        <f t="shared" si="42"/>
        <v>0</v>
      </c>
      <c r="BF58" s="180">
        <f t="shared" si="43"/>
        <v>0</v>
      </c>
      <c r="BG58" s="181">
        <f t="shared" si="44"/>
        <v>0</v>
      </c>
      <c r="BH58" s="181">
        <f t="shared" si="45"/>
        <v>0</v>
      </c>
      <c r="BI58" s="181">
        <f t="shared" si="46"/>
        <v>0</v>
      </c>
      <c r="BJ58" s="181">
        <f t="shared" si="47"/>
        <v>0</v>
      </c>
      <c r="BK58" s="181">
        <f t="shared" si="48"/>
        <v>0</v>
      </c>
      <c r="BL58" s="181">
        <f t="shared" si="49"/>
        <v>0</v>
      </c>
      <c r="BM58" s="182">
        <f t="shared" si="50"/>
        <v>0</v>
      </c>
      <c r="BN58" s="133"/>
      <c r="BO58" s="133"/>
      <c r="BP58" s="133"/>
      <c r="BQ58" s="133"/>
      <c r="BR58" s="133"/>
      <c r="BS58" s="133"/>
      <c r="BT58" s="133"/>
      <c r="BU58" s="133"/>
      <c r="BV58" s="139"/>
      <c r="BW58" s="139"/>
      <c r="BX58" s="139"/>
      <c r="BY58" s="139"/>
      <c r="BZ58" s="139"/>
      <c r="CA58" s="139"/>
      <c r="CB58" s="139"/>
      <c r="CC58" s="139"/>
      <c r="CD58" s="139"/>
      <c r="CE58" s="139"/>
      <c r="CF58" s="139"/>
      <c r="CG58" s="139"/>
      <c r="CH58" s="139"/>
      <c r="CI58" s="139"/>
      <c r="CJ58" s="139"/>
      <c r="CL58" s="133"/>
      <c r="CM58" s="139" t="s">
        <v>32</v>
      </c>
      <c r="CN58" s="139"/>
      <c r="CO58" s="139"/>
      <c r="CP58" s="139"/>
      <c r="CQ58" s="139"/>
      <c r="CR58" s="139"/>
      <c r="CS58" s="139"/>
      <c r="CT58" s="139"/>
      <c r="CU58" s="139"/>
      <c r="CV58" s="139"/>
      <c r="CW58" s="139"/>
      <c r="CX58" s="139"/>
      <c r="CY58" s="139"/>
      <c r="CZ58" s="139"/>
      <c r="DA58" s="139"/>
      <c r="DB58" s="133"/>
      <c r="DC58" s="133"/>
      <c r="DD58" s="183" cm="1">
        <f t="array" ref="DD58">_xlfn.IFS(DD$1= 0,"", NOT(ISBLANK(CM58)), 0, ISBLANK(CM58), $Q58-$S58+AY58-BV58)</f>
        <v>0</v>
      </c>
      <c r="DE58" s="184" cm="1">
        <f t="array" ref="DE58">_xlfn.IFS(DE$1= 0,"", NOT(ISBLANK(CN58)), 0, ISBLANK(CN58), $Q58-$S58+AZ58-BW58)</f>
        <v>0</v>
      </c>
      <c r="DF58" s="184" cm="1">
        <f t="array" ref="DF58">_xlfn.IFS(DF$1= 0,"", NOT(ISBLANK(CO58)), 0, ISBLANK(CO58), $Q58-$S58+BA58-BX58)</f>
        <v>0</v>
      </c>
      <c r="DG58" s="184" cm="1">
        <f t="array" ref="DG58">_xlfn.IFS(DG$1= 0,"", NOT(ISBLANK(CP58)), 0, ISBLANK(CP58), $Q58-$S58+BB58-BY58)</f>
        <v>0</v>
      </c>
      <c r="DH58" s="184" cm="1">
        <f t="array" ref="DH58">_xlfn.IFS(DH$1= 0,"", NOT(ISBLANK(CQ58)), 0, ISBLANK(CQ58), $Q58-$S58+BC58-BZ58)</f>
        <v>0</v>
      </c>
      <c r="DI58" s="184" cm="1">
        <f t="array" ref="DI58">_xlfn.IFS(DI$1= 0,"", NOT(ISBLANK(CR58)), 0, ISBLANK(CR58), $Q58-$S58+BD58-CA58)</f>
        <v>0</v>
      </c>
      <c r="DJ58" s="184" cm="1">
        <f t="array" ref="DJ58">_xlfn.IFS(DJ$1= 0,"", NOT(ISBLANK(CS58)), 0, ISBLANK(CS58), $Q58-$S58+BE58-CB58)</f>
        <v>0</v>
      </c>
      <c r="DK58" s="184" cm="1">
        <f t="array" ref="DK58">_xlfn.IFS(DK$1= 0,"", NOT(ISBLANK(CT58)), 0, ISBLANK(CT58), $Q58-$S58+BF58-CC58)</f>
        <v>0</v>
      </c>
      <c r="DL58" s="185" cm="1">
        <f t="array" ref="DL58">_xlfn.IFS(DL$1= 0,"", NOT(ISBLANK(CU58)), 0, ISBLANK(CU58), $Q58-$S58+BG58-CD58)</f>
        <v>0</v>
      </c>
      <c r="DM58" s="185" cm="1">
        <f t="array" ref="DM58">_xlfn.IFS(DM$1= 0,"", NOT(ISBLANK(CV58)), 0, ISBLANK(CV58), $Q58-$S58+BH58-CE58)</f>
        <v>0</v>
      </c>
      <c r="DN58" s="185" cm="1">
        <f t="array" ref="DN58">_xlfn.IFS(DN$1= 0,"", NOT(ISBLANK(CW58)), 0, ISBLANK(CW58), $Q58-$S58+BI58-CF58)</f>
        <v>0</v>
      </c>
      <c r="DO58" s="185" cm="1">
        <f t="array" ref="DO58">_xlfn.IFS(DO$1= 0,"", NOT(ISBLANK(CX58)), 0, ISBLANK(CX58), $Q58-$S58+BJ58-CG58)</f>
        <v>0</v>
      </c>
      <c r="DP58" s="185" cm="1">
        <f t="array" ref="DP58">_xlfn.IFS(DP$1= 0,"", NOT(ISBLANK(CY58)), 0, ISBLANK(CY58), $Q58-$S58+BK58-CH58)</f>
        <v>0</v>
      </c>
      <c r="DQ58" s="185" cm="1">
        <f t="array" ref="DQ58">_xlfn.IFS(DQ$1= 0,"", NOT(ISBLANK(CZ58)), 0, ISBLANK(CZ58), $Q58-$S58+BL58-CI58)</f>
        <v>0</v>
      </c>
      <c r="DR58" s="186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str">
        <f t="array" ref="DJ59">IF(ISBLANK(_xlfn.XLOOKUP(DJ$1,$Z$2:$Z$16,$AA$2:$AA$16)),"", 10*LOG10(SUM(10^(DJ2:DJ58/10))))</f>
        <v/>
      </c>
      <c r="DK59" s="63" t="str">
        <f t="array" ref="DK59">IF(ISBLANK(_xlfn.XLOOKUP(DK$1,$Z$2:$Z$16,$AA$2:$AA$16)),"", 10*LOG10(SUM(10^(DK2:DK58/10))))</f>
        <v/>
      </c>
      <c r="DL59" s="59" t="str">
        <f t="array" ref="DL59">IF(ISBLANK(_xlfn.XLOOKUP(DL$1,$Z$2:$Z$16,$AA$2:$AA$16)),"", 10*LOG10(SUM(10^(DL2:DL58/10))))</f>
        <v/>
      </c>
      <c r="DM59" s="59" t="str">
        <f t="array" ref="DM59">IF(ISBLANK(_xlfn.XLOOKUP(DM$1,$Z$2:$Z$16,$AA$2:$AA$16)),"", 10*LOG10(SUM(10^(DM2:DM58/10))))</f>
        <v/>
      </c>
      <c r="DN59" s="59" t="str">
        <f t="array" ref="DN59">IF(ISBLANK(_xlfn.XLOOKUP(DN$1,$Z$2:$Z$16,$AA$2:$AA$16)),"", 10*LOG10(SUM(10^(DN2:DN58/10))))</f>
        <v/>
      </c>
      <c r="DO59" s="59" t="str">
        <f t="array" ref="DO59">IF(ISBLANK(_xlfn.XLOOKUP(DO$1,$Z$2:$Z$16,$AA$2:$AA$16)),"", 10*LOG10(SUM(10^(DO2:DO58/10))))</f>
        <v/>
      </c>
      <c r="DP59" s="59" t="str">
        <f t="array" ref="DP59">IF(ISBLANK(_xlfn.XLOOKUP(DP$1,$Z$2:$Z$16,$AA$2:$AA$16)),"", 10*LOG10(SUM(10^(DP2:DP58/10))))</f>
        <v/>
      </c>
      <c r="DQ59" s="59" t="str">
        <f t="array" ref="DQ59">IF(ISBLANK(_xlfn.XLOOKUP(DQ$1,$Z$2:$Z$16,$AA$2:$AA$16)),"", 10*LOG10(SUM(10^(DQ2:DQ58/10))))</f>
        <v/>
      </c>
      <c r="DR59" s="60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87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40" priority="24">
      <formula>"Rounddown($F$3)=J35"</formula>
    </cfRule>
  </conditionalFormatting>
  <conditionalFormatting sqref="BO39">
    <cfRule type="expression" dxfId="39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38" priority="8">
      <formula>AE16=AD16+1</formula>
    </cfRule>
    <cfRule type="expression" dxfId="37" priority="9">
      <formula>AE16&lt;=AD16</formula>
    </cfRule>
  </conditionalFormatting>
  <conditionalFormatting sqref="AE2:AE16">
    <cfRule type="expression" dxfId="36" priority="47">
      <formula>AE2=AD2+1</formula>
    </cfRule>
    <cfRule type="expression" dxfId="35" priority="104">
      <formula>AE2&lt;=AD2</formula>
    </cfRule>
  </conditionalFormatting>
  <conditionalFormatting sqref="N2:N58">
    <cfRule type="expression" dxfId="34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174</v>
      </c>
      <c r="O2" t="s">
        <v>175</v>
      </c>
      <c r="P2" t="s">
        <v>176</v>
      </c>
      <c r="Q2" t="s">
        <v>177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172</v>
      </c>
      <c r="C10" t="s">
        <v>173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178</v>
      </c>
      <c r="C11" t="s">
        <v>179</v>
      </c>
      <c r="D11" t="s">
        <v>180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192</v>
      </c>
      <c r="C12" t="s">
        <v>86</v>
      </c>
      <c r="D12" t="s">
        <v>193</v>
      </c>
      <c r="E12" t="s">
        <v>144</v>
      </c>
      <c r="F12" t="s">
        <v>194</v>
      </c>
      <c r="G12" t="s">
        <v>195</v>
      </c>
      <c r="H12" t="s">
        <v>196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192</v>
      </c>
      <c r="C13" t="s">
        <v>90</v>
      </c>
      <c r="D13" t="s">
        <v>193</v>
      </c>
      <c r="E13" t="s">
        <v>144</v>
      </c>
      <c r="F13" t="s">
        <v>194</v>
      </c>
      <c r="G13" t="s">
        <v>197</v>
      </c>
      <c r="H13" t="s">
        <v>196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192</v>
      </c>
      <c r="C14" t="s">
        <v>198</v>
      </c>
      <c r="D14" t="s">
        <v>193</v>
      </c>
      <c r="E14" t="s">
        <v>144</v>
      </c>
      <c r="F14" t="s">
        <v>194</v>
      </c>
      <c r="G14" t="s">
        <v>199</v>
      </c>
      <c r="H14" t="s">
        <v>196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192</v>
      </c>
      <c r="C15" t="s">
        <v>200</v>
      </c>
      <c r="D15" t="s">
        <v>193</v>
      </c>
      <c r="E15" t="s">
        <v>144</v>
      </c>
      <c r="F15" t="s">
        <v>194</v>
      </c>
      <c r="G15" t="s">
        <v>195</v>
      </c>
      <c r="H15" t="s">
        <v>196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192</v>
      </c>
      <c r="C16" t="s">
        <v>201</v>
      </c>
      <c r="D16" t="s">
        <v>193</v>
      </c>
      <c r="E16" t="s">
        <v>144</v>
      </c>
      <c r="F16" t="s">
        <v>194</v>
      </c>
      <c r="G16" t="s">
        <v>202</v>
      </c>
      <c r="H16" t="s">
        <v>196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192</v>
      </c>
      <c r="C17" t="s">
        <v>102</v>
      </c>
      <c r="D17" t="s">
        <v>193</v>
      </c>
      <c r="E17" t="s">
        <v>144</v>
      </c>
      <c r="F17" t="s">
        <v>194</v>
      </c>
      <c r="G17" t="s">
        <v>195</v>
      </c>
      <c r="H17" t="s">
        <v>196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192</v>
      </c>
      <c r="C18" t="s">
        <v>104</v>
      </c>
      <c r="D18" t="s">
        <v>193</v>
      </c>
      <c r="E18" t="s">
        <v>144</v>
      </c>
      <c r="F18" t="s">
        <v>194</v>
      </c>
      <c r="G18" t="s">
        <v>203</v>
      </c>
      <c r="H18" t="s">
        <v>196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192</v>
      </c>
      <c r="C19" t="s">
        <v>107</v>
      </c>
      <c r="D19" t="s">
        <v>193</v>
      </c>
      <c r="E19" t="s">
        <v>144</v>
      </c>
      <c r="F19" t="s">
        <v>194</v>
      </c>
      <c r="G19" t="s">
        <v>203</v>
      </c>
      <c r="H19" t="s">
        <v>196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192</v>
      </c>
      <c r="C20" t="s">
        <v>109</v>
      </c>
      <c r="D20" t="s">
        <v>193</v>
      </c>
      <c r="E20" t="s">
        <v>144</v>
      </c>
      <c r="F20" t="s">
        <v>194</v>
      </c>
      <c r="G20" t="s">
        <v>203</v>
      </c>
      <c r="H20" t="s">
        <v>196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192</v>
      </c>
      <c r="C21" t="s">
        <v>111</v>
      </c>
      <c r="D21" t="s">
        <v>193</v>
      </c>
      <c r="E21" t="s">
        <v>144</v>
      </c>
      <c r="F21" t="s">
        <v>194</v>
      </c>
      <c r="G21" t="s">
        <v>203</v>
      </c>
      <c r="H21" t="s">
        <v>196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192</v>
      </c>
      <c r="C22" t="s">
        <v>148</v>
      </c>
      <c r="D22" t="s">
        <v>193</v>
      </c>
      <c r="E22" t="s">
        <v>144</v>
      </c>
      <c r="F22" t="s">
        <v>194</v>
      </c>
      <c r="G22" t="s">
        <v>204</v>
      </c>
      <c r="H22" t="s">
        <v>196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192</v>
      </c>
      <c r="C23" t="s">
        <v>149</v>
      </c>
      <c r="D23" t="s">
        <v>193</v>
      </c>
      <c r="E23" t="s">
        <v>144</v>
      </c>
      <c r="F23" t="s">
        <v>194</v>
      </c>
      <c r="G23" t="s">
        <v>205</v>
      </c>
      <c r="H23" t="s">
        <v>196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192</v>
      </c>
      <c r="C24" t="s">
        <v>150</v>
      </c>
      <c r="D24" t="s">
        <v>193</v>
      </c>
      <c r="E24" t="s">
        <v>144</v>
      </c>
      <c r="F24" t="s">
        <v>194</v>
      </c>
      <c r="G24" t="s">
        <v>203</v>
      </c>
      <c r="H24" t="s">
        <v>196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192</v>
      </c>
      <c r="C25" t="s">
        <v>117</v>
      </c>
      <c r="D25" t="s">
        <v>193</v>
      </c>
      <c r="E25" t="s">
        <v>144</v>
      </c>
      <c r="F25" t="s">
        <v>194</v>
      </c>
      <c r="G25" t="s">
        <v>203</v>
      </c>
      <c r="H25" t="s">
        <v>196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192</v>
      </c>
      <c r="C26" t="s">
        <v>152</v>
      </c>
      <c r="D26" t="s">
        <v>193</v>
      </c>
      <c r="E26" t="s">
        <v>144</v>
      </c>
      <c r="F26" t="s">
        <v>194</v>
      </c>
      <c r="G26" t="s">
        <v>203</v>
      </c>
      <c r="H26" t="s">
        <v>196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192</v>
      </c>
      <c r="C27" t="s">
        <v>151</v>
      </c>
      <c r="D27" t="s">
        <v>193</v>
      </c>
      <c r="E27" t="s">
        <v>144</v>
      </c>
      <c r="F27" t="s">
        <v>194</v>
      </c>
      <c r="G27" t="s">
        <v>203</v>
      </c>
      <c r="H27" t="s">
        <v>196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192</v>
      </c>
      <c r="C28" t="s">
        <v>153</v>
      </c>
      <c r="D28" t="s">
        <v>193</v>
      </c>
      <c r="E28" t="s">
        <v>144</v>
      </c>
      <c r="F28" t="s">
        <v>194</v>
      </c>
      <c r="G28" t="s">
        <v>205</v>
      </c>
      <c r="H28" t="s">
        <v>196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192</v>
      </c>
      <c r="C29" t="s">
        <v>154</v>
      </c>
      <c r="D29" t="s">
        <v>193</v>
      </c>
      <c r="E29" t="s">
        <v>144</v>
      </c>
      <c r="F29" t="s">
        <v>194</v>
      </c>
      <c r="G29" t="s">
        <v>205</v>
      </c>
      <c r="H29" t="s">
        <v>196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192</v>
      </c>
      <c r="C30" t="s">
        <v>155</v>
      </c>
      <c r="D30" t="s">
        <v>193</v>
      </c>
      <c r="E30" t="s">
        <v>144</v>
      </c>
      <c r="F30" t="s">
        <v>194</v>
      </c>
      <c r="G30" t="s">
        <v>205</v>
      </c>
      <c r="H30" t="s">
        <v>196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192</v>
      </c>
      <c r="C31" t="s">
        <v>156</v>
      </c>
      <c r="D31" t="s">
        <v>193</v>
      </c>
      <c r="E31" t="s">
        <v>144</v>
      </c>
      <c r="F31" t="s">
        <v>194</v>
      </c>
      <c r="G31" t="s">
        <v>205</v>
      </c>
      <c r="H31" t="s">
        <v>196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192</v>
      </c>
      <c r="C32" t="s">
        <v>157</v>
      </c>
      <c r="D32" t="s">
        <v>193</v>
      </c>
      <c r="E32" t="s">
        <v>144</v>
      </c>
      <c r="F32" t="s">
        <v>194</v>
      </c>
      <c r="G32" t="s">
        <v>205</v>
      </c>
      <c r="H32" t="s">
        <v>196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192</v>
      </c>
      <c r="C33" t="s">
        <v>206</v>
      </c>
      <c r="D33" t="s">
        <v>193</v>
      </c>
      <c r="E33" t="s">
        <v>144</v>
      </c>
      <c r="F33" t="s">
        <v>194</v>
      </c>
      <c r="G33" t="s">
        <v>207</v>
      </c>
      <c r="H33" t="s">
        <v>196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192</v>
      </c>
      <c r="C34" t="s">
        <v>208</v>
      </c>
      <c r="D34" t="s">
        <v>193</v>
      </c>
      <c r="E34" t="s">
        <v>144</v>
      </c>
      <c r="F34" t="s">
        <v>194</v>
      </c>
      <c r="G34" t="s">
        <v>207</v>
      </c>
      <c r="H34" t="s">
        <v>196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192</v>
      </c>
      <c r="C35" t="s">
        <v>209</v>
      </c>
      <c r="D35" t="s">
        <v>193</v>
      </c>
      <c r="E35" t="s">
        <v>144</v>
      </c>
      <c r="F35" t="s">
        <v>194</v>
      </c>
      <c r="G35" t="s">
        <v>203</v>
      </c>
      <c r="H35" t="s">
        <v>196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192</v>
      </c>
      <c r="C36" t="s">
        <v>210</v>
      </c>
      <c r="D36" t="s">
        <v>193</v>
      </c>
      <c r="E36" t="s">
        <v>144</v>
      </c>
      <c r="F36" t="s">
        <v>194</v>
      </c>
      <c r="G36" t="s">
        <v>203</v>
      </c>
      <c r="H36" t="s">
        <v>196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192</v>
      </c>
      <c r="C37" t="s">
        <v>211</v>
      </c>
      <c r="D37" t="s">
        <v>193</v>
      </c>
      <c r="E37" t="s">
        <v>144</v>
      </c>
      <c r="F37" t="s">
        <v>194</v>
      </c>
      <c r="G37" t="s">
        <v>207</v>
      </c>
      <c r="H37" t="s">
        <v>196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192</v>
      </c>
      <c r="C38" t="s">
        <v>212</v>
      </c>
      <c r="D38" t="s">
        <v>193</v>
      </c>
      <c r="E38" t="s">
        <v>144</v>
      </c>
      <c r="F38" t="s">
        <v>194</v>
      </c>
      <c r="G38" t="s">
        <v>207</v>
      </c>
      <c r="H38" t="s">
        <v>196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192</v>
      </c>
      <c r="C39" t="s">
        <v>213</v>
      </c>
      <c r="D39" t="s">
        <v>193</v>
      </c>
      <c r="E39" t="s">
        <v>144</v>
      </c>
      <c r="F39" t="s">
        <v>194</v>
      </c>
      <c r="G39" t="s">
        <v>207</v>
      </c>
      <c r="H39" t="s">
        <v>196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192</v>
      </c>
      <c r="C40" t="s">
        <v>214</v>
      </c>
      <c r="D40" t="s">
        <v>193</v>
      </c>
      <c r="E40" t="s">
        <v>144</v>
      </c>
      <c r="F40" t="s">
        <v>194</v>
      </c>
      <c r="G40" t="s">
        <v>204</v>
      </c>
      <c r="H40" t="s">
        <v>196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192</v>
      </c>
      <c r="C41" t="s">
        <v>215</v>
      </c>
      <c r="D41" t="s">
        <v>193</v>
      </c>
      <c r="E41" t="s">
        <v>144</v>
      </c>
      <c r="F41" t="s">
        <v>194</v>
      </c>
      <c r="G41" t="s">
        <v>204</v>
      </c>
      <c r="H41" t="s">
        <v>196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192</v>
      </c>
      <c r="C42" t="s">
        <v>216</v>
      </c>
      <c r="D42" t="s">
        <v>193</v>
      </c>
      <c r="E42" t="s">
        <v>144</v>
      </c>
      <c r="F42" t="s">
        <v>194</v>
      </c>
      <c r="G42" t="s">
        <v>203</v>
      </c>
      <c r="H42" t="s">
        <v>196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192</v>
      </c>
      <c r="C43" t="s">
        <v>217</v>
      </c>
      <c r="D43" t="s">
        <v>193</v>
      </c>
      <c r="E43" t="s">
        <v>144</v>
      </c>
      <c r="F43" t="s">
        <v>194</v>
      </c>
      <c r="G43" t="s">
        <v>203</v>
      </c>
      <c r="H43" t="s">
        <v>196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192</v>
      </c>
      <c r="C44" t="s">
        <v>218</v>
      </c>
      <c r="D44" t="s">
        <v>193</v>
      </c>
      <c r="E44" t="s">
        <v>144</v>
      </c>
      <c r="F44" t="s">
        <v>194</v>
      </c>
      <c r="G44" t="s">
        <v>205</v>
      </c>
      <c r="H44" t="s">
        <v>196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192</v>
      </c>
      <c r="C45" t="s">
        <v>219</v>
      </c>
      <c r="D45" t="s">
        <v>193</v>
      </c>
      <c r="E45" t="s">
        <v>144</v>
      </c>
      <c r="F45" t="s">
        <v>194</v>
      </c>
      <c r="G45" t="s">
        <v>205</v>
      </c>
      <c r="H45" t="s">
        <v>196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192</v>
      </c>
      <c r="C46" t="s">
        <v>220</v>
      </c>
      <c r="D46" t="s">
        <v>193</v>
      </c>
      <c r="E46" t="s">
        <v>144</v>
      </c>
      <c r="F46" t="s">
        <v>194</v>
      </c>
      <c r="G46" t="s">
        <v>221</v>
      </c>
      <c r="H46" t="s">
        <v>196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192</v>
      </c>
      <c r="C47" t="s">
        <v>222</v>
      </c>
      <c r="D47" t="s">
        <v>193</v>
      </c>
      <c r="E47" t="s">
        <v>144</v>
      </c>
      <c r="F47" t="s">
        <v>194</v>
      </c>
      <c r="G47" t="s">
        <v>207</v>
      </c>
      <c r="H47" t="s">
        <v>196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192</v>
      </c>
      <c r="C48" t="s">
        <v>223</v>
      </c>
      <c r="D48" t="s">
        <v>193</v>
      </c>
      <c r="E48" t="s">
        <v>144</v>
      </c>
      <c r="F48" t="s">
        <v>194</v>
      </c>
      <c r="G48" t="s">
        <v>205</v>
      </c>
      <c r="H48" t="s">
        <v>196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181</v>
      </c>
      <c r="C49" t="s">
        <v>182</v>
      </c>
      <c r="D49" t="s">
        <v>183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192</v>
      </c>
      <c r="C50" t="s">
        <v>86</v>
      </c>
      <c r="D50" t="s">
        <v>193</v>
      </c>
      <c r="E50" t="s">
        <v>28</v>
      </c>
      <c r="F50" t="s">
        <v>194</v>
      </c>
      <c r="G50" t="s">
        <v>224</v>
      </c>
      <c r="H50" t="s">
        <v>196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192</v>
      </c>
      <c r="C51" t="s">
        <v>90</v>
      </c>
      <c r="D51" t="s">
        <v>193</v>
      </c>
      <c r="E51" t="s">
        <v>28</v>
      </c>
      <c r="F51" t="s">
        <v>194</v>
      </c>
      <c r="G51" t="s">
        <v>224</v>
      </c>
      <c r="H51" t="s">
        <v>196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192</v>
      </c>
      <c r="C52" t="s">
        <v>198</v>
      </c>
      <c r="D52" t="s">
        <v>193</v>
      </c>
      <c r="E52" t="s">
        <v>28</v>
      </c>
      <c r="F52" t="s">
        <v>194</v>
      </c>
      <c r="G52" t="s">
        <v>199</v>
      </c>
      <c r="H52" t="s">
        <v>196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192</v>
      </c>
      <c r="C53" t="s">
        <v>200</v>
      </c>
      <c r="D53" t="s">
        <v>193</v>
      </c>
      <c r="E53" t="s">
        <v>28</v>
      </c>
      <c r="F53" t="s">
        <v>194</v>
      </c>
      <c r="G53" t="s">
        <v>224</v>
      </c>
      <c r="H53" t="s">
        <v>196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192</v>
      </c>
      <c r="C54" t="s">
        <v>201</v>
      </c>
      <c r="D54" t="s">
        <v>193</v>
      </c>
      <c r="E54" t="s">
        <v>28</v>
      </c>
      <c r="F54" t="s">
        <v>194</v>
      </c>
      <c r="G54" t="s">
        <v>224</v>
      </c>
      <c r="H54" t="s">
        <v>196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192</v>
      </c>
      <c r="C55" t="s">
        <v>102</v>
      </c>
      <c r="D55" t="s">
        <v>193</v>
      </c>
      <c r="E55" t="s">
        <v>28</v>
      </c>
      <c r="F55" t="s">
        <v>194</v>
      </c>
      <c r="G55" t="s">
        <v>224</v>
      </c>
      <c r="H55" t="s">
        <v>196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192</v>
      </c>
      <c r="C56" t="s">
        <v>104</v>
      </c>
      <c r="D56" t="s">
        <v>193</v>
      </c>
      <c r="E56" t="s">
        <v>28</v>
      </c>
      <c r="F56" t="s">
        <v>194</v>
      </c>
      <c r="G56" t="s">
        <v>225</v>
      </c>
      <c r="H56" t="s">
        <v>196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192</v>
      </c>
      <c r="C57" t="s">
        <v>107</v>
      </c>
      <c r="D57" t="s">
        <v>193</v>
      </c>
      <c r="E57" t="s">
        <v>28</v>
      </c>
      <c r="F57" t="s">
        <v>194</v>
      </c>
      <c r="G57" t="s">
        <v>225</v>
      </c>
      <c r="H57" t="s">
        <v>196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192</v>
      </c>
      <c r="C58" t="s">
        <v>109</v>
      </c>
      <c r="D58" t="s">
        <v>193</v>
      </c>
      <c r="E58" t="s">
        <v>28</v>
      </c>
      <c r="F58" t="s">
        <v>194</v>
      </c>
      <c r="G58" t="s">
        <v>225</v>
      </c>
      <c r="H58" t="s">
        <v>196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192</v>
      </c>
      <c r="C59" t="s">
        <v>111</v>
      </c>
      <c r="D59" t="s">
        <v>193</v>
      </c>
      <c r="E59" t="s">
        <v>28</v>
      </c>
      <c r="F59" t="s">
        <v>194</v>
      </c>
      <c r="G59" t="s">
        <v>225</v>
      </c>
      <c r="H59" t="s">
        <v>196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192</v>
      </c>
      <c r="C60" t="s">
        <v>148</v>
      </c>
      <c r="D60" t="s">
        <v>193</v>
      </c>
      <c r="E60" t="s">
        <v>28</v>
      </c>
      <c r="F60" t="s">
        <v>194</v>
      </c>
      <c r="G60" t="s">
        <v>204</v>
      </c>
      <c r="H60" t="s">
        <v>196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192</v>
      </c>
      <c r="C61" t="s">
        <v>149</v>
      </c>
      <c r="D61" t="s">
        <v>193</v>
      </c>
      <c r="E61" t="s">
        <v>28</v>
      </c>
      <c r="F61" t="s">
        <v>194</v>
      </c>
      <c r="G61" t="s">
        <v>225</v>
      </c>
      <c r="H61" t="s">
        <v>196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192</v>
      </c>
      <c r="C62" t="s">
        <v>150</v>
      </c>
      <c r="D62" t="s">
        <v>193</v>
      </c>
      <c r="E62" t="s">
        <v>28</v>
      </c>
      <c r="F62" t="s">
        <v>194</v>
      </c>
      <c r="G62" t="s">
        <v>225</v>
      </c>
      <c r="H62" t="s">
        <v>196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192</v>
      </c>
      <c r="C63" t="s">
        <v>117</v>
      </c>
      <c r="D63" t="s">
        <v>193</v>
      </c>
      <c r="E63" t="s">
        <v>28</v>
      </c>
      <c r="F63" t="s">
        <v>194</v>
      </c>
      <c r="G63" t="s">
        <v>225</v>
      </c>
      <c r="H63" t="s">
        <v>196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192</v>
      </c>
      <c r="C64" t="s">
        <v>152</v>
      </c>
      <c r="D64" t="s">
        <v>193</v>
      </c>
      <c r="E64" t="s">
        <v>28</v>
      </c>
      <c r="F64" t="s">
        <v>194</v>
      </c>
      <c r="G64" t="s">
        <v>225</v>
      </c>
      <c r="H64" t="s">
        <v>196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192</v>
      </c>
      <c r="C65" t="s">
        <v>151</v>
      </c>
      <c r="D65" t="s">
        <v>193</v>
      </c>
      <c r="E65" t="s">
        <v>28</v>
      </c>
      <c r="F65" t="s">
        <v>194</v>
      </c>
      <c r="G65" t="s">
        <v>225</v>
      </c>
      <c r="H65" t="s">
        <v>196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192</v>
      </c>
      <c r="C66" t="s">
        <v>153</v>
      </c>
      <c r="D66" t="s">
        <v>193</v>
      </c>
      <c r="E66" t="s">
        <v>28</v>
      </c>
      <c r="F66" t="s">
        <v>194</v>
      </c>
      <c r="G66" t="s">
        <v>225</v>
      </c>
      <c r="H66" t="s">
        <v>196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192</v>
      </c>
      <c r="C67" t="s">
        <v>154</v>
      </c>
      <c r="D67" t="s">
        <v>193</v>
      </c>
      <c r="E67" t="s">
        <v>28</v>
      </c>
      <c r="F67" t="s">
        <v>194</v>
      </c>
      <c r="G67" t="s">
        <v>225</v>
      </c>
      <c r="H67" t="s">
        <v>196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192</v>
      </c>
      <c r="C68" t="s">
        <v>155</v>
      </c>
      <c r="D68" t="s">
        <v>193</v>
      </c>
      <c r="E68" t="s">
        <v>28</v>
      </c>
      <c r="F68" t="s">
        <v>194</v>
      </c>
      <c r="G68" t="s">
        <v>225</v>
      </c>
      <c r="H68" t="s">
        <v>196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192</v>
      </c>
      <c r="C69" t="s">
        <v>156</v>
      </c>
      <c r="D69" t="s">
        <v>193</v>
      </c>
      <c r="E69" t="s">
        <v>28</v>
      </c>
      <c r="F69" t="s">
        <v>194</v>
      </c>
      <c r="G69" t="s">
        <v>225</v>
      </c>
      <c r="H69" t="s">
        <v>196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192</v>
      </c>
      <c r="C70" t="s">
        <v>157</v>
      </c>
      <c r="D70" t="s">
        <v>193</v>
      </c>
      <c r="E70" t="s">
        <v>28</v>
      </c>
      <c r="F70" t="s">
        <v>194</v>
      </c>
      <c r="G70" t="s">
        <v>225</v>
      </c>
      <c r="H70" t="s">
        <v>196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192</v>
      </c>
      <c r="C71" t="s">
        <v>206</v>
      </c>
      <c r="D71" t="s">
        <v>193</v>
      </c>
      <c r="E71" t="s">
        <v>28</v>
      </c>
      <c r="F71" t="s">
        <v>194</v>
      </c>
      <c r="G71" t="s">
        <v>207</v>
      </c>
      <c r="H71" t="s">
        <v>196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192</v>
      </c>
      <c r="C72" t="s">
        <v>208</v>
      </c>
      <c r="D72" t="s">
        <v>193</v>
      </c>
      <c r="E72" t="s">
        <v>28</v>
      </c>
      <c r="F72" t="s">
        <v>194</v>
      </c>
      <c r="G72" t="s">
        <v>207</v>
      </c>
      <c r="H72" t="s">
        <v>196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192</v>
      </c>
      <c r="C73" t="s">
        <v>209</v>
      </c>
      <c r="D73" t="s">
        <v>193</v>
      </c>
      <c r="E73" t="s">
        <v>28</v>
      </c>
      <c r="F73" t="s">
        <v>194</v>
      </c>
      <c r="G73" t="s">
        <v>225</v>
      </c>
      <c r="H73" t="s">
        <v>196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192</v>
      </c>
      <c r="C74" t="s">
        <v>210</v>
      </c>
      <c r="D74" t="s">
        <v>193</v>
      </c>
      <c r="E74" t="s">
        <v>28</v>
      </c>
      <c r="F74" t="s">
        <v>194</v>
      </c>
      <c r="G74" t="s">
        <v>225</v>
      </c>
      <c r="H74" t="s">
        <v>196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192</v>
      </c>
      <c r="C75" t="s">
        <v>211</v>
      </c>
      <c r="D75" t="s">
        <v>193</v>
      </c>
      <c r="E75" t="s">
        <v>28</v>
      </c>
      <c r="F75" t="s">
        <v>194</v>
      </c>
      <c r="G75" t="s">
        <v>207</v>
      </c>
      <c r="H75" t="s">
        <v>196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192</v>
      </c>
      <c r="C76" t="s">
        <v>212</v>
      </c>
      <c r="D76" t="s">
        <v>193</v>
      </c>
      <c r="E76" t="s">
        <v>28</v>
      </c>
      <c r="F76" t="s">
        <v>194</v>
      </c>
      <c r="G76" t="s">
        <v>207</v>
      </c>
      <c r="H76" t="s">
        <v>196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192</v>
      </c>
      <c r="C77" t="s">
        <v>213</v>
      </c>
      <c r="D77" t="s">
        <v>193</v>
      </c>
      <c r="E77" t="s">
        <v>28</v>
      </c>
      <c r="F77" t="s">
        <v>194</v>
      </c>
      <c r="G77" t="s">
        <v>207</v>
      </c>
      <c r="H77" t="s">
        <v>196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192</v>
      </c>
      <c r="C78" t="s">
        <v>214</v>
      </c>
      <c r="D78" t="s">
        <v>193</v>
      </c>
      <c r="E78" t="s">
        <v>28</v>
      </c>
      <c r="F78" t="s">
        <v>194</v>
      </c>
      <c r="G78" t="s">
        <v>204</v>
      </c>
      <c r="H78" t="s">
        <v>196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192</v>
      </c>
      <c r="C79" t="s">
        <v>215</v>
      </c>
      <c r="D79" t="s">
        <v>193</v>
      </c>
      <c r="E79" t="s">
        <v>28</v>
      </c>
      <c r="F79" t="s">
        <v>194</v>
      </c>
      <c r="G79" t="s">
        <v>204</v>
      </c>
      <c r="H79" t="s">
        <v>196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192</v>
      </c>
      <c r="C80" t="s">
        <v>216</v>
      </c>
      <c r="D80" t="s">
        <v>193</v>
      </c>
      <c r="E80" t="s">
        <v>28</v>
      </c>
      <c r="F80" t="s">
        <v>194</v>
      </c>
      <c r="G80" t="s">
        <v>204</v>
      </c>
      <c r="H80" t="s">
        <v>196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192</v>
      </c>
      <c r="C81" t="s">
        <v>217</v>
      </c>
      <c r="D81" t="s">
        <v>193</v>
      </c>
      <c r="E81" t="s">
        <v>28</v>
      </c>
      <c r="F81" t="s">
        <v>194</v>
      </c>
      <c r="G81" t="s">
        <v>204</v>
      </c>
      <c r="H81" t="s">
        <v>196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192</v>
      </c>
      <c r="C82" t="s">
        <v>218</v>
      </c>
      <c r="D82" t="s">
        <v>193</v>
      </c>
      <c r="E82" t="s">
        <v>28</v>
      </c>
      <c r="F82" t="s">
        <v>194</v>
      </c>
      <c r="G82" t="s">
        <v>225</v>
      </c>
      <c r="H82" t="s">
        <v>196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192</v>
      </c>
      <c r="C83" t="s">
        <v>219</v>
      </c>
      <c r="D83" t="s">
        <v>193</v>
      </c>
      <c r="E83" t="s">
        <v>28</v>
      </c>
      <c r="F83" t="s">
        <v>194</v>
      </c>
      <c r="G83" t="s">
        <v>225</v>
      </c>
      <c r="H83" t="s">
        <v>196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192</v>
      </c>
      <c r="C84" t="s">
        <v>220</v>
      </c>
      <c r="D84" t="s">
        <v>193</v>
      </c>
      <c r="E84" t="s">
        <v>28</v>
      </c>
      <c r="F84" t="s">
        <v>194</v>
      </c>
      <c r="G84" t="s">
        <v>225</v>
      </c>
      <c r="H84" t="s">
        <v>196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192</v>
      </c>
      <c r="C85" t="s">
        <v>222</v>
      </c>
      <c r="D85" t="s">
        <v>193</v>
      </c>
      <c r="E85" t="s">
        <v>28</v>
      </c>
      <c r="F85" t="s">
        <v>194</v>
      </c>
      <c r="G85" t="s">
        <v>226</v>
      </c>
      <c r="H85" t="s">
        <v>196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192</v>
      </c>
      <c r="C86" t="s">
        <v>223</v>
      </c>
      <c r="D86" t="s">
        <v>193</v>
      </c>
      <c r="E86" t="s">
        <v>28</v>
      </c>
      <c r="F86" t="s">
        <v>194</v>
      </c>
      <c r="G86" t="s">
        <v>225</v>
      </c>
      <c r="H86" t="s">
        <v>196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184</v>
      </c>
      <c r="C87" t="s">
        <v>185</v>
      </c>
      <c r="D87" t="s">
        <v>186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192</v>
      </c>
      <c r="C88" t="s">
        <v>86</v>
      </c>
      <c r="D88" t="s">
        <v>193</v>
      </c>
      <c r="E88" t="s">
        <v>145</v>
      </c>
      <c r="F88" t="s">
        <v>194</v>
      </c>
      <c r="G88" t="s">
        <v>227</v>
      </c>
      <c r="H88" t="s">
        <v>196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192</v>
      </c>
      <c r="C89" t="s">
        <v>90</v>
      </c>
      <c r="D89" t="s">
        <v>193</v>
      </c>
      <c r="E89" t="s">
        <v>145</v>
      </c>
      <c r="F89" t="s">
        <v>194</v>
      </c>
      <c r="G89" t="s">
        <v>228</v>
      </c>
      <c r="H89" t="s">
        <v>196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192</v>
      </c>
      <c r="C90" t="s">
        <v>198</v>
      </c>
      <c r="D90" t="s">
        <v>193</v>
      </c>
      <c r="E90" t="s">
        <v>145</v>
      </c>
      <c r="F90" t="s">
        <v>194</v>
      </c>
      <c r="G90" t="s">
        <v>229</v>
      </c>
      <c r="H90" t="s">
        <v>196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192</v>
      </c>
      <c r="C91" t="s">
        <v>200</v>
      </c>
      <c r="D91" t="s">
        <v>193</v>
      </c>
      <c r="E91" t="s">
        <v>145</v>
      </c>
      <c r="F91" t="s">
        <v>194</v>
      </c>
      <c r="G91" t="s">
        <v>229</v>
      </c>
      <c r="H91" t="s">
        <v>196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192</v>
      </c>
      <c r="C92" t="s">
        <v>201</v>
      </c>
      <c r="D92" t="s">
        <v>193</v>
      </c>
      <c r="E92" t="s">
        <v>145</v>
      </c>
      <c r="F92" t="s">
        <v>194</v>
      </c>
      <c r="G92" t="s">
        <v>227</v>
      </c>
      <c r="H92" t="s">
        <v>196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192</v>
      </c>
      <c r="C93" t="s">
        <v>102</v>
      </c>
      <c r="D93" t="s">
        <v>193</v>
      </c>
      <c r="E93" t="s">
        <v>145</v>
      </c>
      <c r="F93" t="s">
        <v>194</v>
      </c>
      <c r="G93" t="s">
        <v>227</v>
      </c>
      <c r="H93" t="s">
        <v>196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192</v>
      </c>
      <c r="C94" t="s">
        <v>104</v>
      </c>
      <c r="D94" t="s">
        <v>193</v>
      </c>
      <c r="E94" t="s">
        <v>145</v>
      </c>
      <c r="F94" t="s">
        <v>194</v>
      </c>
      <c r="G94" t="s">
        <v>230</v>
      </c>
      <c r="H94" t="s">
        <v>196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192</v>
      </c>
      <c r="C95" t="s">
        <v>107</v>
      </c>
      <c r="D95" t="s">
        <v>193</v>
      </c>
      <c r="E95" t="s">
        <v>145</v>
      </c>
      <c r="F95" t="s">
        <v>194</v>
      </c>
      <c r="G95" t="s">
        <v>230</v>
      </c>
      <c r="H95" t="s">
        <v>196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192</v>
      </c>
      <c r="C96" t="s">
        <v>109</v>
      </c>
      <c r="D96" t="s">
        <v>193</v>
      </c>
      <c r="E96" t="s">
        <v>145</v>
      </c>
      <c r="F96" t="s">
        <v>194</v>
      </c>
      <c r="G96" t="s">
        <v>230</v>
      </c>
      <c r="H96" t="s">
        <v>196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192</v>
      </c>
      <c r="C97" t="s">
        <v>111</v>
      </c>
      <c r="D97" t="s">
        <v>193</v>
      </c>
      <c r="E97" t="s">
        <v>145</v>
      </c>
      <c r="F97" t="s">
        <v>194</v>
      </c>
      <c r="G97" t="s">
        <v>230</v>
      </c>
      <c r="H97" t="s">
        <v>196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192</v>
      </c>
      <c r="C98" t="s">
        <v>148</v>
      </c>
      <c r="D98" t="s">
        <v>193</v>
      </c>
      <c r="E98" t="s">
        <v>145</v>
      </c>
      <c r="F98" t="s">
        <v>194</v>
      </c>
      <c r="G98" t="s">
        <v>231</v>
      </c>
      <c r="H98" t="s">
        <v>196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192</v>
      </c>
      <c r="C99" t="s">
        <v>149</v>
      </c>
      <c r="D99" t="s">
        <v>193</v>
      </c>
      <c r="E99" t="s">
        <v>145</v>
      </c>
      <c r="F99" t="s">
        <v>194</v>
      </c>
      <c r="G99" t="s">
        <v>231</v>
      </c>
      <c r="H99" t="s">
        <v>196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192</v>
      </c>
      <c r="C100" t="s">
        <v>150</v>
      </c>
      <c r="D100" t="s">
        <v>193</v>
      </c>
      <c r="E100" t="s">
        <v>145</v>
      </c>
      <c r="F100" t="s">
        <v>194</v>
      </c>
      <c r="G100" t="s">
        <v>230</v>
      </c>
      <c r="H100" t="s">
        <v>196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192</v>
      </c>
      <c r="C101" t="s">
        <v>117</v>
      </c>
      <c r="D101" t="s">
        <v>193</v>
      </c>
      <c r="E101" t="s">
        <v>145</v>
      </c>
      <c r="F101" t="s">
        <v>194</v>
      </c>
      <c r="G101" t="s">
        <v>230</v>
      </c>
      <c r="H101" t="s">
        <v>196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192</v>
      </c>
      <c r="C102" t="s">
        <v>152</v>
      </c>
      <c r="D102" t="s">
        <v>193</v>
      </c>
      <c r="E102" t="s">
        <v>145</v>
      </c>
      <c r="F102" t="s">
        <v>194</v>
      </c>
      <c r="G102" t="s">
        <v>230</v>
      </c>
      <c r="H102" t="s">
        <v>196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192</v>
      </c>
      <c r="C103" t="s">
        <v>151</v>
      </c>
      <c r="D103" t="s">
        <v>193</v>
      </c>
      <c r="E103" t="s">
        <v>145</v>
      </c>
      <c r="F103" t="s">
        <v>194</v>
      </c>
      <c r="G103" t="s">
        <v>230</v>
      </c>
      <c r="H103" t="s">
        <v>196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192</v>
      </c>
      <c r="C104" t="s">
        <v>153</v>
      </c>
      <c r="D104" t="s">
        <v>193</v>
      </c>
      <c r="E104" t="s">
        <v>145</v>
      </c>
      <c r="F104" t="s">
        <v>194</v>
      </c>
      <c r="G104" t="s">
        <v>230</v>
      </c>
      <c r="H104" t="s">
        <v>196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192</v>
      </c>
      <c r="C105" t="s">
        <v>154</v>
      </c>
      <c r="D105" t="s">
        <v>193</v>
      </c>
      <c r="E105" t="s">
        <v>145</v>
      </c>
      <c r="F105" t="s">
        <v>194</v>
      </c>
      <c r="G105" t="s">
        <v>230</v>
      </c>
      <c r="H105" t="s">
        <v>196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192</v>
      </c>
      <c r="C106" t="s">
        <v>155</v>
      </c>
      <c r="D106" t="s">
        <v>193</v>
      </c>
      <c r="E106" t="s">
        <v>145</v>
      </c>
      <c r="F106" t="s">
        <v>194</v>
      </c>
      <c r="G106" t="s">
        <v>230</v>
      </c>
      <c r="H106" t="s">
        <v>196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192</v>
      </c>
      <c r="C107" t="s">
        <v>156</v>
      </c>
      <c r="D107" t="s">
        <v>193</v>
      </c>
      <c r="E107" t="s">
        <v>145</v>
      </c>
      <c r="F107" t="s">
        <v>194</v>
      </c>
      <c r="G107" t="s">
        <v>230</v>
      </c>
      <c r="H107" t="s">
        <v>196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192</v>
      </c>
      <c r="C108" t="s">
        <v>157</v>
      </c>
      <c r="D108" t="s">
        <v>193</v>
      </c>
      <c r="E108" t="s">
        <v>145</v>
      </c>
      <c r="F108" t="s">
        <v>194</v>
      </c>
      <c r="G108" t="s">
        <v>232</v>
      </c>
      <c r="H108" t="s">
        <v>196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192</v>
      </c>
      <c r="C109" t="s">
        <v>206</v>
      </c>
      <c r="D109" t="s">
        <v>193</v>
      </c>
      <c r="E109" t="s">
        <v>145</v>
      </c>
      <c r="F109" t="s">
        <v>194</v>
      </c>
      <c r="G109" t="s">
        <v>207</v>
      </c>
      <c r="H109" t="s">
        <v>196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192</v>
      </c>
      <c r="C110" t="s">
        <v>208</v>
      </c>
      <c r="D110" t="s">
        <v>193</v>
      </c>
      <c r="E110" t="s">
        <v>145</v>
      </c>
      <c r="F110" t="s">
        <v>194</v>
      </c>
      <c r="G110" t="s">
        <v>204</v>
      </c>
      <c r="H110" t="s">
        <v>196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192</v>
      </c>
      <c r="C111" t="s">
        <v>209</v>
      </c>
      <c r="D111" t="s">
        <v>193</v>
      </c>
      <c r="E111" t="s">
        <v>145</v>
      </c>
      <c r="F111" t="s">
        <v>194</v>
      </c>
      <c r="G111" t="s">
        <v>230</v>
      </c>
      <c r="H111" t="s">
        <v>196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192</v>
      </c>
      <c r="C112" t="s">
        <v>210</v>
      </c>
      <c r="D112" t="s">
        <v>193</v>
      </c>
      <c r="E112" t="s">
        <v>145</v>
      </c>
      <c r="F112" t="s">
        <v>194</v>
      </c>
      <c r="G112" t="s">
        <v>230</v>
      </c>
      <c r="H112" t="s">
        <v>196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192</v>
      </c>
      <c r="C113" t="s">
        <v>211</v>
      </c>
      <c r="D113" t="s">
        <v>193</v>
      </c>
      <c r="E113" t="s">
        <v>145</v>
      </c>
      <c r="F113" t="s">
        <v>194</v>
      </c>
      <c r="G113" t="s">
        <v>230</v>
      </c>
      <c r="H113" t="s">
        <v>196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192</v>
      </c>
      <c r="C114" t="s">
        <v>212</v>
      </c>
      <c r="D114" t="s">
        <v>193</v>
      </c>
      <c r="E114" t="s">
        <v>145</v>
      </c>
      <c r="F114" t="s">
        <v>194</v>
      </c>
      <c r="G114" t="s">
        <v>230</v>
      </c>
      <c r="H114" t="s">
        <v>196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192</v>
      </c>
      <c r="C115" t="s">
        <v>213</v>
      </c>
      <c r="D115" t="s">
        <v>193</v>
      </c>
      <c r="E115" t="s">
        <v>145</v>
      </c>
      <c r="F115" t="s">
        <v>194</v>
      </c>
      <c r="G115" t="s">
        <v>207</v>
      </c>
      <c r="H115" t="s">
        <v>196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192</v>
      </c>
      <c r="C116" t="s">
        <v>214</v>
      </c>
      <c r="D116" t="s">
        <v>193</v>
      </c>
      <c r="E116" t="s">
        <v>145</v>
      </c>
      <c r="F116" t="s">
        <v>194</v>
      </c>
      <c r="G116" t="s">
        <v>231</v>
      </c>
      <c r="H116" t="s">
        <v>196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192</v>
      </c>
      <c r="C117" t="s">
        <v>215</v>
      </c>
      <c r="D117" t="s">
        <v>193</v>
      </c>
      <c r="E117" t="s">
        <v>145</v>
      </c>
      <c r="F117" t="s">
        <v>194</v>
      </c>
      <c r="G117" t="s">
        <v>231</v>
      </c>
      <c r="H117" t="s">
        <v>196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192</v>
      </c>
      <c r="C118" t="s">
        <v>216</v>
      </c>
      <c r="D118" t="s">
        <v>193</v>
      </c>
      <c r="E118" t="s">
        <v>145</v>
      </c>
      <c r="F118" t="s">
        <v>194</v>
      </c>
      <c r="G118" t="s">
        <v>231</v>
      </c>
      <c r="H118" t="s">
        <v>196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192</v>
      </c>
      <c r="C119" t="s">
        <v>217</v>
      </c>
      <c r="D119" t="s">
        <v>193</v>
      </c>
      <c r="E119" t="s">
        <v>145</v>
      </c>
      <c r="F119" t="s">
        <v>194</v>
      </c>
      <c r="G119" t="s">
        <v>231</v>
      </c>
      <c r="H119" t="s">
        <v>196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192</v>
      </c>
      <c r="C120" t="s">
        <v>218</v>
      </c>
      <c r="D120" t="s">
        <v>193</v>
      </c>
      <c r="E120" t="s">
        <v>145</v>
      </c>
      <c r="F120" t="s">
        <v>194</v>
      </c>
      <c r="G120" t="s">
        <v>230</v>
      </c>
      <c r="H120" t="s">
        <v>196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192</v>
      </c>
      <c r="C121" t="s">
        <v>219</v>
      </c>
      <c r="D121" t="s">
        <v>193</v>
      </c>
      <c r="E121" t="s">
        <v>145</v>
      </c>
      <c r="F121" t="s">
        <v>194</v>
      </c>
      <c r="G121" t="s">
        <v>230</v>
      </c>
      <c r="H121" t="s">
        <v>196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192</v>
      </c>
      <c r="C122" t="s">
        <v>220</v>
      </c>
      <c r="D122" t="s">
        <v>193</v>
      </c>
      <c r="E122" t="s">
        <v>145</v>
      </c>
      <c r="F122" t="s">
        <v>194</v>
      </c>
      <c r="G122" t="s">
        <v>230</v>
      </c>
      <c r="H122" t="s">
        <v>196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192</v>
      </c>
      <c r="C123" t="s">
        <v>222</v>
      </c>
      <c r="D123" t="s">
        <v>193</v>
      </c>
      <c r="E123" t="s">
        <v>145</v>
      </c>
      <c r="F123" t="s">
        <v>194</v>
      </c>
      <c r="G123" t="s">
        <v>230</v>
      </c>
      <c r="H123" t="s">
        <v>196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192</v>
      </c>
      <c r="C124" t="s">
        <v>223</v>
      </c>
      <c r="D124" t="s">
        <v>193</v>
      </c>
      <c r="E124" t="s">
        <v>145</v>
      </c>
      <c r="F124" t="s">
        <v>194</v>
      </c>
      <c r="G124" t="s">
        <v>232</v>
      </c>
      <c r="H124" t="s">
        <v>196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187</v>
      </c>
      <c r="C125" t="s">
        <v>188</v>
      </c>
      <c r="D125" t="s">
        <v>183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192</v>
      </c>
      <c r="C126" t="s">
        <v>86</v>
      </c>
      <c r="D126" t="s">
        <v>193</v>
      </c>
      <c r="E126" t="s">
        <v>146</v>
      </c>
      <c r="F126" t="s">
        <v>194</v>
      </c>
      <c r="G126" t="s">
        <v>233</v>
      </c>
      <c r="H126" t="s">
        <v>196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192</v>
      </c>
      <c r="C127" t="s">
        <v>90</v>
      </c>
      <c r="D127" t="s">
        <v>193</v>
      </c>
      <c r="E127" t="s">
        <v>146</v>
      </c>
      <c r="F127" t="s">
        <v>194</v>
      </c>
      <c r="G127" t="s">
        <v>233</v>
      </c>
      <c r="H127" t="s">
        <v>196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192</v>
      </c>
      <c r="C128" t="s">
        <v>198</v>
      </c>
      <c r="D128" t="s">
        <v>193</v>
      </c>
      <c r="E128" t="s">
        <v>146</v>
      </c>
      <c r="F128" t="s">
        <v>194</v>
      </c>
      <c r="G128" t="s">
        <v>234</v>
      </c>
      <c r="H128" t="s">
        <v>196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192</v>
      </c>
      <c r="C129" t="s">
        <v>200</v>
      </c>
      <c r="D129" t="s">
        <v>193</v>
      </c>
      <c r="E129" t="s">
        <v>146</v>
      </c>
      <c r="F129" t="s">
        <v>194</v>
      </c>
      <c r="G129" t="s">
        <v>233</v>
      </c>
      <c r="H129" t="s">
        <v>196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192</v>
      </c>
      <c r="C130" t="s">
        <v>201</v>
      </c>
      <c r="D130" t="s">
        <v>193</v>
      </c>
      <c r="E130" t="s">
        <v>146</v>
      </c>
      <c r="F130" t="s">
        <v>194</v>
      </c>
      <c r="G130" t="s">
        <v>233</v>
      </c>
      <c r="H130" t="s">
        <v>196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192</v>
      </c>
      <c r="C131" t="s">
        <v>102</v>
      </c>
      <c r="D131" t="s">
        <v>193</v>
      </c>
      <c r="E131" t="s">
        <v>146</v>
      </c>
      <c r="F131" t="s">
        <v>194</v>
      </c>
      <c r="G131" t="s">
        <v>233</v>
      </c>
      <c r="H131" t="s">
        <v>196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192</v>
      </c>
      <c r="C132" t="s">
        <v>104</v>
      </c>
      <c r="D132" t="s">
        <v>193</v>
      </c>
      <c r="E132" t="s">
        <v>146</v>
      </c>
      <c r="F132" t="s">
        <v>194</v>
      </c>
      <c r="G132" t="s">
        <v>235</v>
      </c>
      <c r="H132" t="s">
        <v>196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192</v>
      </c>
      <c r="C133" t="s">
        <v>107</v>
      </c>
      <c r="D133" t="s">
        <v>193</v>
      </c>
      <c r="E133" t="s">
        <v>146</v>
      </c>
      <c r="F133" t="s">
        <v>194</v>
      </c>
      <c r="G133" t="s">
        <v>235</v>
      </c>
      <c r="H133" t="s">
        <v>196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192</v>
      </c>
      <c r="C134" t="s">
        <v>109</v>
      </c>
      <c r="D134" t="s">
        <v>193</v>
      </c>
      <c r="E134" t="s">
        <v>146</v>
      </c>
      <c r="F134" t="s">
        <v>194</v>
      </c>
      <c r="G134" t="s">
        <v>235</v>
      </c>
      <c r="H134" t="s">
        <v>196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192</v>
      </c>
      <c r="C135" t="s">
        <v>111</v>
      </c>
      <c r="D135" t="s">
        <v>193</v>
      </c>
      <c r="E135" t="s">
        <v>146</v>
      </c>
      <c r="F135" t="s">
        <v>194</v>
      </c>
      <c r="G135" t="s">
        <v>235</v>
      </c>
      <c r="H135" t="s">
        <v>196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192</v>
      </c>
      <c r="C136" t="s">
        <v>148</v>
      </c>
      <c r="D136" t="s">
        <v>193</v>
      </c>
      <c r="E136" t="s">
        <v>146</v>
      </c>
      <c r="F136" t="s">
        <v>194</v>
      </c>
      <c r="G136" t="s">
        <v>236</v>
      </c>
      <c r="H136" t="s">
        <v>196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192</v>
      </c>
      <c r="C137" t="s">
        <v>149</v>
      </c>
      <c r="D137" t="s">
        <v>193</v>
      </c>
      <c r="E137" t="s">
        <v>146</v>
      </c>
      <c r="F137" t="s">
        <v>194</v>
      </c>
      <c r="G137" t="s">
        <v>235</v>
      </c>
      <c r="H137" t="s">
        <v>196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192</v>
      </c>
      <c r="C138" t="s">
        <v>150</v>
      </c>
      <c r="D138" t="s">
        <v>193</v>
      </c>
      <c r="E138" t="s">
        <v>146</v>
      </c>
      <c r="F138" t="s">
        <v>194</v>
      </c>
      <c r="G138" t="s">
        <v>235</v>
      </c>
      <c r="H138" t="s">
        <v>196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192</v>
      </c>
      <c r="C139" t="s">
        <v>117</v>
      </c>
      <c r="D139" t="s">
        <v>193</v>
      </c>
      <c r="E139" t="s">
        <v>146</v>
      </c>
      <c r="F139" t="s">
        <v>194</v>
      </c>
      <c r="G139" t="s">
        <v>235</v>
      </c>
      <c r="H139" t="s">
        <v>196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192</v>
      </c>
      <c r="C140" t="s">
        <v>152</v>
      </c>
      <c r="D140" t="s">
        <v>193</v>
      </c>
      <c r="E140" t="s">
        <v>146</v>
      </c>
      <c r="F140" t="s">
        <v>194</v>
      </c>
      <c r="G140" t="s">
        <v>237</v>
      </c>
      <c r="H140" t="s">
        <v>196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192</v>
      </c>
      <c r="C141" t="s">
        <v>151</v>
      </c>
      <c r="D141" t="s">
        <v>193</v>
      </c>
      <c r="E141" t="s">
        <v>146</v>
      </c>
      <c r="F141" t="s">
        <v>194</v>
      </c>
      <c r="G141" t="s">
        <v>238</v>
      </c>
      <c r="H141" t="s">
        <v>196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192</v>
      </c>
      <c r="C142" t="s">
        <v>153</v>
      </c>
      <c r="D142" t="s">
        <v>193</v>
      </c>
      <c r="E142" t="s">
        <v>146</v>
      </c>
      <c r="F142" t="s">
        <v>194</v>
      </c>
      <c r="G142" t="s">
        <v>235</v>
      </c>
      <c r="H142" t="s">
        <v>196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192</v>
      </c>
      <c r="C143" t="s">
        <v>154</v>
      </c>
      <c r="D143" t="s">
        <v>193</v>
      </c>
      <c r="E143" t="s">
        <v>146</v>
      </c>
      <c r="F143" t="s">
        <v>194</v>
      </c>
      <c r="G143" t="s">
        <v>235</v>
      </c>
      <c r="H143" t="s">
        <v>196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192</v>
      </c>
      <c r="C144" t="s">
        <v>155</v>
      </c>
      <c r="D144" t="s">
        <v>193</v>
      </c>
      <c r="E144" t="s">
        <v>146</v>
      </c>
      <c r="F144" t="s">
        <v>194</v>
      </c>
      <c r="G144" t="s">
        <v>235</v>
      </c>
      <c r="H144" t="s">
        <v>196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192</v>
      </c>
      <c r="C145" t="s">
        <v>156</v>
      </c>
      <c r="D145" t="s">
        <v>193</v>
      </c>
      <c r="E145" t="s">
        <v>146</v>
      </c>
      <c r="F145" t="s">
        <v>194</v>
      </c>
      <c r="G145" t="s">
        <v>235</v>
      </c>
      <c r="H145" t="s">
        <v>196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192</v>
      </c>
      <c r="C146" t="s">
        <v>157</v>
      </c>
      <c r="D146" t="s">
        <v>193</v>
      </c>
      <c r="E146" t="s">
        <v>146</v>
      </c>
      <c r="F146" t="s">
        <v>194</v>
      </c>
      <c r="G146" t="s">
        <v>235</v>
      </c>
      <c r="H146" t="s">
        <v>196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192</v>
      </c>
      <c r="C147" t="s">
        <v>206</v>
      </c>
      <c r="D147" t="s">
        <v>193</v>
      </c>
      <c r="E147" t="s">
        <v>146</v>
      </c>
      <c r="F147" t="s">
        <v>194</v>
      </c>
      <c r="G147" t="s">
        <v>238</v>
      </c>
      <c r="H147" t="s">
        <v>196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192</v>
      </c>
      <c r="C148" t="s">
        <v>208</v>
      </c>
      <c r="D148" t="s">
        <v>193</v>
      </c>
      <c r="E148" t="s">
        <v>146</v>
      </c>
      <c r="F148" t="s">
        <v>194</v>
      </c>
      <c r="G148" t="s">
        <v>238</v>
      </c>
      <c r="H148" t="s">
        <v>196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192</v>
      </c>
      <c r="C149" t="s">
        <v>209</v>
      </c>
      <c r="D149" t="s">
        <v>193</v>
      </c>
      <c r="E149" t="s">
        <v>146</v>
      </c>
      <c r="F149" t="s">
        <v>194</v>
      </c>
      <c r="G149" t="s">
        <v>238</v>
      </c>
      <c r="H149" t="s">
        <v>196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192</v>
      </c>
      <c r="C150" t="s">
        <v>210</v>
      </c>
      <c r="D150" t="s">
        <v>193</v>
      </c>
      <c r="E150" t="s">
        <v>146</v>
      </c>
      <c r="F150" t="s">
        <v>194</v>
      </c>
      <c r="G150" t="s">
        <v>235</v>
      </c>
      <c r="H150" t="s">
        <v>196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192</v>
      </c>
      <c r="C151" t="s">
        <v>211</v>
      </c>
      <c r="D151" t="s">
        <v>193</v>
      </c>
      <c r="E151" t="s">
        <v>146</v>
      </c>
      <c r="F151" t="s">
        <v>194</v>
      </c>
      <c r="G151" t="s">
        <v>238</v>
      </c>
      <c r="H151" t="s">
        <v>196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192</v>
      </c>
      <c r="C152" t="s">
        <v>212</v>
      </c>
      <c r="D152" t="s">
        <v>193</v>
      </c>
      <c r="E152" t="s">
        <v>146</v>
      </c>
      <c r="F152" t="s">
        <v>194</v>
      </c>
      <c r="G152" t="s">
        <v>239</v>
      </c>
      <c r="H152" t="s">
        <v>196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192</v>
      </c>
      <c r="C153" t="s">
        <v>213</v>
      </c>
      <c r="D153" t="s">
        <v>193</v>
      </c>
      <c r="E153" t="s">
        <v>146</v>
      </c>
      <c r="F153" t="s">
        <v>194</v>
      </c>
      <c r="G153" t="s">
        <v>240</v>
      </c>
      <c r="H153" t="s">
        <v>196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192</v>
      </c>
      <c r="C154" t="s">
        <v>214</v>
      </c>
      <c r="D154" t="s">
        <v>193</v>
      </c>
      <c r="E154" t="s">
        <v>146</v>
      </c>
      <c r="F154" t="s">
        <v>194</v>
      </c>
      <c r="G154" t="s">
        <v>236</v>
      </c>
      <c r="H154" t="s">
        <v>196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192</v>
      </c>
      <c r="C155" t="s">
        <v>215</v>
      </c>
      <c r="D155" t="s">
        <v>193</v>
      </c>
      <c r="E155" t="s">
        <v>146</v>
      </c>
      <c r="F155" t="s">
        <v>194</v>
      </c>
      <c r="G155" t="s">
        <v>207</v>
      </c>
      <c r="H155" t="s">
        <v>196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192</v>
      </c>
      <c r="C156" t="s">
        <v>216</v>
      </c>
      <c r="D156" t="s">
        <v>193</v>
      </c>
      <c r="E156" t="s">
        <v>146</v>
      </c>
      <c r="F156" t="s">
        <v>194</v>
      </c>
      <c r="G156" t="s">
        <v>237</v>
      </c>
      <c r="H156" t="s">
        <v>196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192</v>
      </c>
      <c r="C157" t="s">
        <v>217</v>
      </c>
      <c r="D157" t="s">
        <v>193</v>
      </c>
      <c r="E157" t="s">
        <v>146</v>
      </c>
      <c r="F157" t="s">
        <v>194</v>
      </c>
      <c r="G157" t="s">
        <v>207</v>
      </c>
      <c r="H157" t="s">
        <v>196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192</v>
      </c>
      <c r="C158" t="s">
        <v>218</v>
      </c>
      <c r="D158" t="s">
        <v>193</v>
      </c>
      <c r="E158" t="s">
        <v>146</v>
      </c>
      <c r="F158" t="s">
        <v>194</v>
      </c>
      <c r="G158" t="s">
        <v>235</v>
      </c>
      <c r="H158" t="s">
        <v>196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192</v>
      </c>
      <c r="C159" t="s">
        <v>219</v>
      </c>
      <c r="D159" t="s">
        <v>193</v>
      </c>
      <c r="E159" t="s">
        <v>146</v>
      </c>
      <c r="F159" t="s">
        <v>194</v>
      </c>
      <c r="G159" t="s">
        <v>235</v>
      </c>
      <c r="H159" t="s">
        <v>196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192</v>
      </c>
      <c r="C160" t="s">
        <v>220</v>
      </c>
      <c r="D160" t="s">
        <v>193</v>
      </c>
      <c r="E160" t="s">
        <v>146</v>
      </c>
      <c r="F160" t="s">
        <v>194</v>
      </c>
      <c r="G160" t="s">
        <v>235</v>
      </c>
      <c r="H160" t="s">
        <v>196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192</v>
      </c>
      <c r="C161" t="s">
        <v>222</v>
      </c>
      <c r="D161" t="s">
        <v>193</v>
      </c>
      <c r="E161" t="s">
        <v>146</v>
      </c>
      <c r="F161" t="s">
        <v>194</v>
      </c>
      <c r="G161" t="s">
        <v>235</v>
      </c>
      <c r="H161" t="s">
        <v>196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192</v>
      </c>
      <c r="C162" t="s">
        <v>223</v>
      </c>
      <c r="D162" t="s">
        <v>193</v>
      </c>
      <c r="E162" t="s">
        <v>146</v>
      </c>
      <c r="F162" t="s">
        <v>194</v>
      </c>
      <c r="G162" t="s">
        <v>235</v>
      </c>
      <c r="H162" t="s">
        <v>196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189</v>
      </c>
      <c r="C163" t="s">
        <v>190</v>
      </c>
      <c r="D163" t="s">
        <v>191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192</v>
      </c>
      <c r="C164" t="s">
        <v>86</v>
      </c>
      <c r="D164" t="s">
        <v>193</v>
      </c>
      <c r="E164" t="s">
        <v>147</v>
      </c>
      <c r="F164" t="s">
        <v>194</v>
      </c>
      <c r="G164" t="s">
        <v>241</v>
      </c>
      <c r="H164" t="s">
        <v>196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192</v>
      </c>
      <c r="C165" t="s">
        <v>90</v>
      </c>
      <c r="D165" t="s">
        <v>193</v>
      </c>
      <c r="E165" t="s">
        <v>147</v>
      </c>
      <c r="F165" t="s">
        <v>194</v>
      </c>
      <c r="G165" t="s">
        <v>241</v>
      </c>
      <c r="H165" t="s">
        <v>196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192</v>
      </c>
      <c r="C166" t="s">
        <v>198</v>
      </c>
      <c r="D166" t="s">
        <v>193</v>
      </c>
      <c r="E166" t="s">
        <v>147</v>
      </c>
      <c r="F166" t="s">
        <v>194</v>
      </c>
      <c r="G166" t="s">
        <v>241</v>
      </c>
      <c r="H166" t="s">
        <v>196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192</v>
      </c>
      <c r="C167" t="s">
        <v>200</v>
      </c>
      <c r="D167" t="s">
        <v>193</v>
      </c>
      <c r="E167" t="s">
        <v>147</v>
      </c>
      <c r="F167" t="s">
        <v>194</v>
      </c>
      <c r="G167" t="s">
        <v>241</v>
      </c>
      <c r="H167" t="s">
        <v>196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192</v>
      </c>
      <c r="C168" t="s">
        <v>201</v>
      </c>
      <c r="D168" t="s">
        <v>193</v>
      </c>
      <c r="E168" t="s">
        <v>147</v>
      </c>
      <c r="F168" t="s">
        <v>194</v>
      </c>
      <c r="G168" t="s">
        <v>202</v>
      </c>
      <c r="H168" t="s">
        <v>196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192</v>
      </c>
      <c r="C169" t="s">
        <v>102</v>
      </c>
      <c r="D169" t="s">
        <v>193</v>
      </c>
      <c r="E169" t="s">
        <v>147</v>
      </c>
      <c r="F169" t="s">
        <v>194</v>
      </c>
      <c r="G169" t="s">
        <v>241</v>
      </c>
      <c r="H169" t="s">
        <v>196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192</v>
      </c>
      <c r="C170" t="s">
        <v>104</v>
      </c>
      <c r="D170" t="s">
        <v>193</v>
      </c>
      <c r="E170" t="s">
        <v>147</v>
      </c>
      <c r="F170" t="s">
        <v>194</v>
      </c>
      <c r="G170" t="s">
        <v>242</v>
      </c>
      <c r="H170" t="s">
        <v>196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192</v>
      </c>
      <c r="C171" t="s">
        <v>107</v>
      </c>
      <c r="D171" t="s">
        <v>193</v>
      </c>
      <c r="E171" t="s">
        <v>147</v>
      </c>
      <c r="F171" t="s">
        <v>194</v>
      </c>
      <c r="G171" t="s">
        <v>242</v>
      </c>
      <c r="H171" t="s">
        <v>196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192</v>
      </c>
      <c r="C172" t="s">
        <v>109</v>
      </c>
      <c r="D172" t="s">
        <v>193</v>
      </c>
      <c r="E172" t="s">
        <v>147</v>
      </c>
      <c r="F172" t="s">
        <v>194</v>
      </c>
      <c r="G172" t="s">
        <v>242</v>
      </c>
      <c r="H172" t="s">
        <v>196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192</v>
      </c>
      <c r="C173" t="s">
        <v>111</v>
      </c>
      <c r="D173" t="s">
        <v>193</v>
      </c>
      <c r="E173" t="s">
        <v>147</v>
      </c>
      <c r="F173" t="s">
        <v>194</v>
      </c>
      <c r="G173" t="s">
        <v>242</v>
      </c>
      <c r="H173" t="s">
        <v>196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192</v>
      </c>
      <c r="C174" t="s">
        <v>148</v>
      </c>
      <c r="D174" t="s">
        <v>193</v>
      </c>
      <c r="E174" t="s">
        <v>147</v>
      </c>
      <c r="F174" t="s">
        <v>194</v>
      </c>
      <c r="G174" t="s">
        <v>242</v>
      </c>
      <c r="H174" t="s">
        <v>196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192</v>
      </c>
      <c r="C175" t="s">
        <v>149</v>
      </c>
      <c r="D175" t="s">
        <v>193</v>
      </c>
      <c r="E175" t="s">
        <v>147</v>
      </c>
      <c r="F175" t="s">
        <v>194</v>
      </c>
      <c r="G175" t="s">
        <v>242</v>
      </c>
      <c r="H175" t="s">
        <v>196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192</v>
      </c>
      <c r="C176" t="s">
        <v>150</v>
      </c>
      <c r="D176" t="s">
        <v>193</v>
      </c>
      <c r="E176" t="s">
        <v>147</v>
      </c>
      <c r="F176" t="s">
        <v>194</v>
      </c>
      <c r="G176" t="s">
        <v>242</v>
      </c>
      <c r="H176" t="s">
        <v>196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192</v>
      </c>
      <c r="C177" t="s">
        <v>117</v>
      </c>
      <c r="D177" t="s">
        <v>193</v>
      </c>
      <c r="E177" t="s">
        <v>147</v>
      </c>
      <c r="F177" t="s">
        <v>194</v>
      </c>
      <c r="G177" t="s">
        <v>242</v>
      </c>
      <c r="H177" t="s">
        <v>196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192</v>
      </c>
      <c r="C178" t="s">
        <v>152</v>
      </c>
      <c r="D178" t="s">
        <v>193</v>
      </c>
      <c r="E178" t="s">
        <v>147</v>
      </c>
      <c r="F178" t="s">
        <v>194</v>
      </c>
      <c r="G178" t="s">
        <v>242</v>
      </c>
      <c r="H178" t="s">
        <v>196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192</v>
      </c>
      <c r="C179" t="s">
        <v>151</v>
      </c>
      <c r="D179" t="s">
        <v>193</v>
      </c>
      <c r="E179" t="s">
        <v>147</v>
      </c>
      <c r="F179" t="s">
        <v>194</v>
      </c>
      <c r="G179" t="s">
        <v>221</v>
      </c>
      <c r="H179" t="s">
        <v>196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192</v>
      </c>
      <c r="C180" t="s">
        <v>153</v>
      </c>
      <c r="D180" t="s">
        <v>193</v>
      </c>
      <c r="E180" t="s">
        <v>147</v>
      </c>
      <c r="F180" t="s">
        <v>194</v>
      </c>
      <c r="G180" t="s">
        <v>221</v>
      </c>
      <c r="H180" t="s">
        <v>196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192</v>
      </c>
      <c r="C181" t="s">
        <v>154</v>
      </c>
      <c r="D181" t="s">
        <v>193</v>
      </c>
      <c r="E181" t="s">
        <v>147</v>
      </c>
      <c r="F181" t="s">
        <v>194</v>
      </c>
      <c r="G181" t="s">
        <v>242</v>
      </c>
      <c r="H181" t="s">
        <v>196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192</v>
      </c>
      <c r="C182" t="s">
        <v>155</v>
      </c>
      <c r="D182" t="s">
        <v>193</v>
      </c>
      <c r="E182" t="s">
        <v>147</v>
      </c>
      <c r="F182" t="s">
        <v>194</v>
      </c>
      <c r="G182" t="s">
        <v>242</v>
      </c>
      <c r="H182" t="s">
        <v>196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192</v>
      </c>
      <c r="C183" t="s">
        <v>156</v>
      </c>
      <c r="D183" t="s">
        <v>193</v>
      </c>
      <c r="E183" t="s">
        <v>147</v>
      </c>
      <c r="F183" t="s">
        <v>194</v>
      </c>
      <c r="G183" t="s">
        <v>242</v>
      </c>
      <c r="H183" t="s">
        <v>196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192</v>
      </c>
      <c r="C184" t="s">
        <v>157</v>
      </c>
      <c r="D184" t="s">
        <v>193</v>
      </c>
      <c r="E184" t="s">
        <v>147</v>
      </c>
      <c r="F184" t="s">
        <v>194</v>
      </c>
      <c r="G184" t="s">
        <v>242</v>
      </c>
      <c r="H184" t="s">
        <v>196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192</v>
      </c>
      <c r="C185" t="s">
        <v>206</v>
      </c>
      <c r="D185" t="s">
        <v>193</v>
      </c>
      <c r="E185" t="s">
        <v>147</v>
      </c>
      <c r="F185" t="s">
        <v>194</v>
      </c>
      <c r="G185" t="s">
        <v>207</v>
      </c>
      <c r="H185" t="s">
        <v>196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192</v>
      </c>
      <c r="C186" t="s">
        <v>208</v>
      </c>
      <c r="D186" t="s">
        <v>193</v>
      </c>
      <c r="E186" t="s">
        <v>147</v>
      </c>
      <c r="F186" t="s">
        <v>194</v>
      </c>
      <c r="G186" t="s">
        <v>205</v>
      </c>
      <c r="H186" t="s">
        <v>196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192</v>
      </c>
      <c r="C187" t="s">
        <v>209</v>
      </c>
      <c r="D187" t="s">
        <v>193</v>
      </c>
      <c r="E187" t="s">
        <v>147</v>
      </c>
      <c r="F187" t="s">
        <v>194</v>
      </c>
      <c r="G187" t="s">
        <v>242</v>
      </c>
      <c r="H187" t="s">
        <v>196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192</v>
      </c>
      <c r="C188" t="s">
        <v>210</v>
      </c>
      <c r="D188" t="s">
        <v>193</v>
      </c>
      <c r="E188" t="s">
        <v>147</v>
      </c>
      <c r="F188" t="s">
        <v>194</v>
      </c>
      <c r="G188" t="s">
        <v>242</v>
      </c>
      <c r="H188" t="s">
        <v>196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192</v>
      </c>
      <c r="C189" t="s">
        <v>211</v>
      </c>
      <c r="D189" t="s">
        <v>193</v>
      </c>
      <c r="E189" t="s">
        <v>147</v>
      </c>
      <c r="F189" t="s">
        <v>194</v>
      </c>
      <c r="G189" t="s">
        <v>242</v>
      </c>
      <c r="H189" t="s">
        <v>196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192</v>
      </c>
      <c r="C190" t="s">
        <v>212</v>
      </c>
      <c r="D190" t="s">
        <v>193</v>
      </c>
      <c r="E190" t="s">
        <v>147</v>
      </c>
      <c r="F190" t="s">
        <v>194</v>
      </c>
      <c r="G190" t="s">
        <v>242</v>
      </c>
      <c r="H190" t="s">
        <v>196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192</v>
      </c>
      <c r="C191" t="s">
        <v>213</v>
      </c>
      <c r="D191" t="s">
        <v>193</v>
      </c>
      <c r="E191" t="s">
        <v>147</v>
      </c>
      <c r="F191" t="s">
        <v>194</v>
      </c>
      <c r="G191" t="s">
        <v>242</v>
      </c>
      <c r="H191" t="s">
        <v>196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192</v>
      </c>
      <c r="C192" t="s">
        <v>214</v>
      </c>
      <c r="D192" t="s">
        <v>193</v>
      </c>
      <c r="E192" t="s">
        <v>147</v>
      </c>
      <c r="F192" t="s">
        <v>194</v>
      </c>
      <c r="G192" t="s">
        <v>242</v>
      </c>
      <c r="H192" t="s">
        <v>196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192</v>
      </c>
      <c r="C193" t="s">
        <v>215</v>
      </c>
      <c r="D193" t="s">
        <v>193</v>
      </c>
      <c r="E193" t="s">
        <v>147</v>
      </c>
      <c r="F193" t="s">
        <v>194</v>
      </c>
      <c r="G193" t="s">
        <v>242</v>
      </c>
      <c r="H193" t="s">
        <v>196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192</v>
      </c>
      <c r="C194" t="s">
        <v>216</v>
      </c>
      <c r="D194" t="s">
        <v>193</v>
      </c>
      <c r="E194" t="s">
        <v>147</v>
      </c>
      <c r="F194" t="s">
        <v>194</v>
      </c>
      <c r="G194" t="s">
        <v>242</v>
      </c>
      <c r="H194" t="s">
        <v>196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192</v>
      </c>
      <c r="C195" t="s">
        <v>217</v>
      </c>
      <c r="D195" t="s">
        <v>193</v>
      </c>
      <c r="E195" t="s">
        <v>147</v>
      </c>
      <c r="F195" t="s">
        <v>194</v>
      </c>
      <c r="G195" t="s">
        <v>242</v>
      </c>
      <c r="H195" t="s">
        <v>196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192</v>
      </c>
      <c r="C196" t="s">
        <v>218</v>
      </c>
      <c r="D196" t="s">
        <v>193</v>
      </c>
      <c r="E196" t="s">
        <v>147</v>
      </c>
      <c r="F196" t="s">
        <v>194</v>
      </c>
      <c r="G196" t="s">
        <v>242</v>
      </c>
      <c r="H196" t="s">
        <v>196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192</v>
      </c>
      <c r="C197" t="s">
        <v>219</v>
      </c>
      <c r="D197" t="s">
        <v>193</v>
      </c>
      <c r="E197" t="s">
        <v>147</v>
      </c>
      <c r="F197" t="s">
        <v>194</v>
      </c>
      <c r="G197" t="s">
        <v>242</v>
      </c>
      <c r="H197" t="s">
        <v>196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192</v>
      </c>
      <c r="C198" t="s">
        <v>220</v>
      </c>
      <c r="D198" t="s">
        <v>193</v>
      </c>
      <c r="E198" t="s">
        <v>147</v>
      </c>
      <c r="F198" t="s">
        <v>194</v>
      </c>
      <c r="G198" t="s">
        <v>221</v>
      </c>
      <c r="H198" t="s">
        <v>196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192</v>
      </c>
      <c r="C199" t="s">
        <v>222</v>
      </c>
      <c r="D199" t="s">
        <v>193</v>
      </c>
      <c r="E199" t="s">
        <v>147</v>
      </c>
      <c r="F199" t="s">
        <v>194</v>
      </c>
      <c r="G199" t="s">
        <v>207</v>
      </c>
      <c r="H199" t="s">
        <v>196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192</v>
      </c>
      <c r="C200" t="s">
        <v>223</v>
      </c>
      <c r="D200" t="s">
        <v>193</v>
      </c>
      <c r="E200" t="s">
        <v>147</v>
      </c>
      <c r="F200" t="s">
        <v>194</v>
      </c>
      <c r="G200" t="s">
        <v>242</v>
      </c>
      <c r="H200" t="s">
        <v>196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00"/>
  <sheetViews>
    <sheetView tabSelected="1" zoomScaleNormal="100" workbookViewId="0">
      <selection activeCell="V17" sqref="V1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customWidth="1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0" width="8.28515625" customWidth="1"/>
    <col min="22" max="22" width="23.140625" bestFit="1" customWidth="1"/>
    <col min="23" max="23" width="6.7109375" customWidth="1"/>
    <col min="24" max="24" width="15.7109375" bestFit="1" customWidth="1"/>
    <col min="26" max="26" width="18" bestFit="1" customWidth="1"/>
    <col min="27" max="27" width="8.28515625" customWidth="1"/>
  </cols>
  <sheetData>
    <row r="1" spans="2:20" ht="15.75" customHeight="1" thickBot="1" x14ac:dyDescent="0.3"/>
    <row r="2" spans="2:2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28</v>
      </c>
      <c r="L2" s="69" t="s">
        <v>144</v>
      </c>
      <c r="N2" s="93" t="s">
        <v>79</v>
      </c>
      <c r="O2" s="94" t="s">
        <v>80</v>
      </c>
      <c r="P2" s="95" t="s">
        <v>81</v>
      </c>
      <c r="Q2" s="95" t="s">
        <v>82</v>
      </c>
      <c r="R2" s="96" t="s">
        <v>83</v>
      </c>
      <c r="S2" s="97" t="s">
        <v>84</v>
      </c>
      <c r="T2" s="98" t="s">
        <v>78</v>
      </c>
    </row>
    <row r="3" spans="2:20" ht="16.5" customHeight="1" x14ac:dyDescent="0.3">
      <c r="B3" s="188">
        <f>IF('Input LwA_XYZ'!A2 = 0, "", 'Input LwA_XYZ'!A2)</f>
        <v>1</v>
      </c>
      <c r="C3" s="189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N3" s="188">
        <f>IF('Input LwA_XYZ'!A2 = 0, "", 'Input LwA_XYZ'!A2)</f>
        <v>1</v>
      </c>
      <c r="O3" s="189" t="str">
        <f>IF($N3="","",_xlfn.TEXTJOIN(" - ",TRUE,'Input LwA_XYZ'!B2:C2))</f>
        <v>MAU-R1 - Ducted Inlet</v>
      </c>
      <c r="P3" s="90">
        <f>IF($N3="","",'Input LwA_XYZ'!Q2)</f>
        <v>86</v>
      </c>
      <c r="Q3" s="91" t="str">
        <f>IF($N3="","",-1*ROUND(_xlfn.XLOOKUP(Tables!$L$2,'Input LwA_XYZ'!$AY$1:$BM$1,'Input LwA_XYZ'!AY2:BM2),0) &amp; " / " &amp; ROUND(_xlfn.XLOOKUP(Tables!$L$2,'Input LwA_XYZ'!$AH$1:$AV$1,'Input LwA_XYZ'!AH2:AV2),0) &amp; " ft")</f>
        <v>35 / 73 ft</v>
      </c>
      <c r="R3" s="91">
        <f>IF($N3="","",IF(_xlfn.XLOOKUP(Tables!$L$2,'Input LwA_XYZ'!$BV$1:$CJ$1,'Input LwA_XYZ'!BV2:CJ2)="","-",_xlfn.XLOOKUP(Tables!$L$2,'Input LwA_XYZ'!$BV$1:$CJ$1,'Input LwA_XYZ'!BV2:CJ2)))</f>
        <v>11.5</v>
      </c>
      <c r="S3" s="91" t="str">
        <f>IF($N3="","",IF('Input LwA_XYZ'!S2="","-",'Input LwA_XYZ'!S2))</f>
        <v>-</v>
      </c>
      <c r="T3" s="92">
        <f>IF($N3="","",_xlfn.XLOOKUP(Tables!$L$2,'Input LwA_XYZ'!$DD$1:$DR$1,'Input LwA_XYZ'!DD2:DR2))</f>
        <v>0</v>
      </c>
    </row>
    <row r="4" spans="2:20" ht="16.5" customHeight="1" x14ac:dyDescent="0.3">
      <c r="B4" s="190">
        <f>IF('Input LwA_XYZ'!A3 = 0, "", 'Input LwA_XYZ'!A3)</f>
        <v>1</v>
      </c>
      <c r="C4" s="189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N4" s="190">
        <f>IF('Input LwA_XYZ'!A3 = 0, "", 'Input LwA_XYZ'!A3)</f>
        <v>1</v>
      </c>
      <c r="O4" s="189" t="str">
        <f>IF($N4="","",_xlfn.TEXTJOIN(" - ",TRUE,'Input LwA_XYZ'!B3:C3))</f>
        <v>ERV-R.1 - Outdoor+Casing+Exhaust</v>
      </c>
      <c r="P4" s="64">
        <f>IF($N4="","",'Input LwA_XYZ'!Q3)</f>
        <v>91</v>
      </c>
      <c r="Q4" s="91" t="str">
        <f>IF($N4="","",-1*ROUND(_xlfn.XLOOKUP(Tables!$L$2,'Input LwA_XYZ'!$AY$1:$BM$1,'Input LwA_XYZ'!AY3:BM3),0) &amp; " / " &amp; ROUND(_xlfn.XLOOKUP(Tables!$L$2,'Input LwA_XYZ'!$AH$1:$AV$1,'Input LwA_XYZ'!AH3:AV3),0) &amp; " ft")</f>
        <v>40 / 126 ft</v>
      </c>
      <c r="R4" s="91">
        <f>IF($N4="","",IF(_xlfn.XLOOKUP(Tables!$L$2,'Input LwA_XYZ'!$BV$1:$CJ$1,'Input LwA_XYZ'!BV3:CJ3)="","-",_xlfn.XLOOKUP(Tables!$L$2,'Input LwA_XYZ'!$BV$1:$CJ$1,'Input LwA_XYZ'!BV3:CJ3)))</f>
        <v>12.6</v>
      </c>
      <c r="S4" s="91" t="str">
        <f>IF($N4="","",IF('Input LwA_XYZ'!S3="","-",'Input LwA_XYZ'!S3))</f>
        <v>-</v>
      </c>
      <c r="T4" s="65">
        <f>IF($N4="","",_xlfn.XLOOKUP(Tables!$L$2,'Input LwA_XYZ'!$DD$1:$DR$1,'Input LwA_XYZ'!DD3:DR3))</f>
        <v>0</v>
      </c>
    </row>
    <row r="5" spans="2:20" ht="16.5" customHeight="1" x14ac:dyDescent="0.3">
      <c r="B5" s="190">
        <f>IF('Input LwA_XYZ'!A4 = 0, "", 'Input LwA_XYZ'!A4)</f>
        <v>1</v>
      </c>
      <c r="C5" s="189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N5" s="190">
        <f>IF('Input LwA_XYZ'!A4 = 0, "", 'Input LwA_XYZ'!A4)</f>
        <v>1</v>
      </c>
      <c r="O5" s="189" t="str">
        <f>IF($N5="","",_xlfn.TEXTJOIN(" - ",TRUE,'Input LwA_XYZ'!B4:C4))</f>
        <v>GEF-R1  - Inlet (plus ductwork lined)</v>
      </c>
      <c r="P5" s="64">
        <f>IF($N5="","",'Input LwA_XYZ'!Q4)</f>
        <v>82</v>
      </c>
      <c r="Q5" s="91" t="str">
        <f>IF($N5="","",-1*ROUND(_xlfn.XLOOKUP(Tables!$L$2,'Input LwA_XYZ'!$AY$1:$BM$1,'Input LwA_XYZ'!AY4:BM4),0) &amp; " / " &amp; ROUND(_xlfn.XLOOKUP(Tables!$L$2,'Input LwA_XYZ'!$AH$1:$AV$1,'Input LwA_XYZ'!AH4:AV4),0) &amp; " ft")</f>
        <v>43 / 185 ft</v>
      </c>
      <c r="R5" s="91">
        <f>IF($N5="","",IF(_xlfn.XLOOKUP(Tables!$L$2,'Input LwA_XYZ'!$BV$1:$CJ$1,'Input LwA_XYZ'!BV4:CJ4)="","-",_xlfn.XLOOKUP(Tables!$L$2,'Input LwA_XYZ'!$BV$1:$CJ$1,'Input LwA_XYZ'!BV4:CJ4)))</f>
        <v>7</v>
      </c>
      <c r="S5" s="91">
        <f>IF($N5="","",IF('Input LwA_XYZ'!S4="","-",'Input LwA_XYZ'!S4))</f>
        <v>13</v>
      </c>
      <c r="T5" s="65">
        <f>IF($N5="","",_xlfn.XLOOKUP(Tables!$L$2,'Input LwA_XYZ'!$DD$1:$DR$1,'Input LwA_XYZ'!DD4:DR4))</f>
        <v>0</v>
      </c>
    </row>
    <row r="6" spans="2:20" ht="16.5" customHeight="1" x14ac:dyDescent="0.3">
      <c r="B6" s="190">
        <f>IF('Input LwA_XYZ'!A5 = 0, "", 'Input LwA_XYZ'!A5)</f>
        <v>1</v>
      </c>
      <c r="C6" s="189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N6" s="190">
        <f>IF('Input LwA_XYZ'!A5 = 0, "", 'Input LwA_XYZ'!A5)</f>
        <v>1</v>
      </c>
      <c r="O6" s="189" t="str">
        <f>IF($N6="","",_xlfn.TEXTJOIN(" - ",TRUE,'Input LwA_XYZ'!B5:C5))</f>
        <v>DEF-R1, R2 - Inlet</v>
      </c>
      <c r="P6" s="64">
        <f>IF($N6="","",'Input LwA_XYZ'!Q5)</f>
        <v>70</v>
      </c>
      <c r="Q6" s="91" t="str">
        <f>IF($N6="","",-1*ROUND(_xlfn.XLOOKUP(Tables!$L$2,'Input LwA_XYZ'!$AY$1:$BM$1,'Input LwA_XYZ'!AY5:BM5),0) &amp; " / " &amp; ROUND(_xlfn.XLOOKUP(Tables!$L$2,'Input LwA_XYZ'!$AH$1:$AV$1,'Input LwA_XYZ'!AH5:AV5),0) &amp; " ft")</f>
        <v>41 / 142 ft</v>
      </c>
      <c r="R6" s="91">
        <f>IF($N6="","",IF(_xlfn.XLOOKUP(Tables!$L$2,'Input LwA_XYZ'!$BV$1:$CJ$1,'Input LwA_XYZ'!BV5:CJ5)="","-",_xlfn.XLOOKUP(Tables!$L$2,'Input LwA_XYZ'!$BV$1:$CJ$1,'Input LwA_XYZ'!BV5:CJ5)))</f>
        <v>11</v>
      </c>
      <c r="S6" s="91" t="str">
        <f>IF($N6="","",IF('Input LwA_XYZ'!S5="","-",'Input LwA_XYZ'!S5))</f>
        <v>-</v>
      </c>
      <c r="T6" s="65">
        <f>IF($N6="","",_xlfn.XLOOKUP(Tables!$L$2,'Input LwA_XYZ'!$DD$1:$DR$1,'Input LwA_XYZ'!DD5:DR5))</f>
        <v>0</v>
      </c>
    </row>
    <row r="7" spans="2:20" ht="16.5" customHeight="1" x14ac:dyDescent="0.3">
      <c r="B7" s="190">
        <f>IF('Input LwA_XYZ'!A6 = 0, "", 'Input LwA_XYZ'!A6)</f>
        <v>1</v>
      </c>
      <c r="C7" s="189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N7" s="190">
        <f>IF('Input LwA_XYZ'!A6 = 0, "", 'Input LwA_XYZ'!A6)</f>
        <v>1</v>
      </c>
      <c r="O7" s="189" t="str">
        <f>IF($N7="","",_xlfn.TEXTJOIN(" - ",TRUE,'Input LwA_XYZ'!B6:C6))</f>
        <v>KEF-R1  - Inlet</v>
      </c>
      <c r="P7" s="64">
        <f>IF($N7="","",'Input LwA_XYZ'!Q6)</f>
        <v>80</v>
      </c>
      <c r="Q7" s="91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91">
        <f>IF($N7="","",IF(_xlfn.XLOOKUP(Tables!$L$2,'Input LwA_XYZ'!$BV$1:$CJ$1,'Input LwA_XYZ'!BV6:CJ6)="","-",_xlfn.XLOOKUP(Tables!$L$2,'Input LwA_XYZ'!$BV$1:$CJ$1,'Input LwA_XYZ'!BV6:CJ6)))</f>
        <v>6.6</v>
      </c>
      <c r="S7" s="91" t="str">
        <f>IF($N7="","",IF('Input LwA_XYZ'!S6="","-",'Input LwA_XYZ'!S6))</f>
        <v>-</v>
      </c>
      <c r="T7" s="65">
        <f>IF($N7="","",_xlfn.XLOOKUP(Tables!$L$2,'Input LwA_XYZ'!$DD$1:$DR$1,'Input LwA_XYZ'!DD6:DR6))</f>
        <v>43.43298215270287</v>
      </c>
    </row>
    <row r="8" spans="2:20" ht="16.5" customHeight="1" x14ac:dyDescent="0.3">
      <c r="B8" s="190">
        <f>IF('Input LwA_XYZ'!A7 = 0, "", 'Input LwA_XYZ'!A7)</f>
        <v>1</v>
      </c>
      <c r="C8" s="189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N8" s="190">
        <f>IF('Input LwA_XYZ'!A7 = 0, "", 'Input LwA_XYZ'!A7)</f>
        <v>1</v>
      </c>
      <c r="O8" s="189" t="str">
        <f>IF($N8="","",_xlfn.TEXTJOIN(" - ",TRUE,'Input LwA_XYZ'!B7:C7))</f>
        <v>DWEF-R1 - Inlet</v>
      </c>
      <c r="P8" s="64">
        <f>IF($N8="","",'Input LwA_XYZ'!Q7)</f>
        <v>71</v>
      </c>
      <c r="Q8" s="91" t="str">
        <f>IF($N8="","",-1*ROUND(_xlfn.XLOOKUP(Tables!$L$2,'Input LwA_XYZ'!$AY$1:$BM$1,'Input LwA_XYZ'!AY7:BM7),0) &amp; " / " &amp; ROUND(_xlfn.XLOOKUP(Tables!$L$2,'Input LwA_XYZ'!$AH$1:$AV$1,'Input LwA_XYZ'!AH7:AV7),0) &amp; " ft")</f>
        <v>33 / 58 ft</v>
      </c>
      <c r="R8" s="91">
        <f>IF($N8="","",IF(_xlfn.XLOOKUP(Tables!$L$2,'Input LwA_XYZ'!$BV$1:$CJ$1,'Input LwA_XYZ'!BV7:CJ7)="","-",_xlfn.XLOOKUP(Tables!$L$2,'Input LwA_XYZ'!$BV$1:$CJ$1,'Input LwA_XYZ'!BV7:CJ7)))</f>
        <v>9.9</v>
      </c>
      <c r="S8" s="91" t="str">
        <f>IF($N8="","",IF('Input LwA_XYZ'!S7="","-",'Input LwA_XYZ'!S7))</f>
        <v>-</v>
      </c>
      <c r="T8" s="65">
        <f>IF($N8="","",_xlfn.XLOOKUP(Tables!$L$2,'Input LwA_XYZ'!$DD$1:$DR$1,'Input LwA_XYZ'!DD7:DR7))</f>
        <v>0</v>
      </c>
    </row>
    <row r="9" spans="2:20" ht="16.5" customHeight="1" x14ac:dyDescent="0.3">
      <c r="B9" s="190">
        <f>IF('Input LwA_XYZ'!A8 = 0, "", 'Input LwA_XYZ'!A8)</f>
        <v>1</v>
      </c>
      <c r="C9" s="189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N9" s="190">
        <f>IF('Input LwA_XYZ'!A8 = 0, "", 'Input LwA_XYZ'!A8)</f>
        <v>1</v>
      </c>
      <c r="O9" s="189" t="str">
        <f>IF($N9="","",_xlfn.TEXTJOIN(" - ",TRUE,'Input LwA_XYZ'!B8:C8))</f>
        <v>CU-R1 - Radiated</v>
      </c>
      <c r="P9" s="64">
        <f>IF($N9="","",'Input LwA_XYZ'!Q8)</f>
        <v>84</v>
      </c>
      <c r="Q9" s="91" t="str">
        <f>IF($N9="","",-1*ROUND(_xlfn.XLOOKUP(Tables!$L$2,'Input LwA_XYZ'!$AY$1:$BM$1,'Input LwA_XYZ'!AY8:BM8),0) &amp; " / " &amp; ROUND(_xlfn.XLOOKUP(Tables!$L$2,'Input LwA_XYZ'!$AH$1:$AV$1,'Input LwA_XYZ'!AH8:AV8),0) &amp; " ft")</f>
        <v>39 / 113 ft</v>
      </c>
      <c r="R9" s="91">
        <f>IF($N9="","",IF(_xlfn.XLOOKUP(Tables!$L$2,'Input LwA_XYZ'!$BV$1:$CJ$1,'Input LwA_XYZ'!BV8:CJ8)="","-",_xlfn.XLOOKUP(Tables!$L$2,'Input LwA_XYZ'!$BV$1:$CJ$1,'Input LwA_XYZ'!BV8:CJ8)))</f>
        <v>5</v>
      </c>
      <c r="S9" s="91" t="str">
        <f>IF($N9="","",IF('Input LwA_XYZ'!S8="","-",'Input LwA_XYZ'!S8))</f>
        <v>-</v>
      </c>
      <c r="T9" s="65">
        <f>IF($N9="","",_xlfn.XLOOKUP(Tables!$L$2,'Input LwA_XYZ'!$DD$1:$DR$1,'Input LwA_XYZ'!DD8:DR8))</f>
        <v>0</v>
      </c>
    </row>
    <row r="10" spans="2:20" ht="16.5" customHeight="1" x14ac:dyDescent="0.3">
      <c r="B10" s="190">
        <f>IF('Input LwA_XYZ'!A9 = 0, "", 'Input LwA_XYZ'!A9)</f>
        <v>1</v>
      </c>
      <c r="C10" s="189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N10" s="190">
        <f>IF('Input LwA_XYZ'!A9 = 0, "", 'Input LwA_XYZ'!A9)</f>
        <v>1</v>
      </c>
      <c r="O10" s="189" t="str">
        <f>IF($N10="","",_xlfn.TEXTJOIN(" - ",TRUE,'Input LwA_XYZ'!B9:C9))</f>
        <v>CU-R2 - Radiated</v>
      </c>
      <c r="P10" s="64">
        <f>IF($N10="","",'Input LwA_XYZ'!Q9)</f>
        <v>81</v>
      </c>
      <c r="Q10" s="91" t="str">
        <f>IF($N10="","",-1*ROUND(_xlfn.XLOOKUP(Tables!$L$2,'Input LwA_XYZ'!$AY$1:$BM$1,'Input LwA_XYZ'!AY9:BM9),0) &amp; " / " &amp; ROUND(_xlfn.XLOOKUP(Tables!$L$2,'Input LwA_XYZ'!$AH$1:$AV$1,'Input LwA_XYZ'!AH9:AV9),0) &amp; " ft")</f>
        <v>38 / 106 ft</v>
      </c>
      <c r="R10" s="91">
        <f>IF($N10="","",IF(_xlfn.XLOOKUP(Tables!$L$2,'Input LwA_XYZ'!$BV$1:$CJ$1,'Input LwA_XYZ'!BV9:CJ9)="","-",_xlfn.XLOOKUP(Tables!$L$2,'Input LwA_XYZ'!$BV$1:$CJ$1,'Input LwA_XYZ'!BV9:CJ9)))</f>
        <v>5</v>
      </c>
      <c r="S10" s="91" t="str">
        <f>IF($N10="","",IF('Input LwA_XYZ'!S9="","-",'Input LwA_XYZ'!S9))</f>
        <v>-</v>
      </c>
      <c r="T10" s="65">
        <f>IF($N10="","",_xlfn.XLOOKUP(Tables!$L$2,'Input LwA_XYZ'!$DD$1:$DR$1,'Input LwA_XYZ'!DD9:DR9))</f>
        <v>0</v>
      </c>
    </row>
    <row r="11" spans="2:20" ht="16.5" customHeight="1" x14ac:dyDescent="0.3">
      <c r="B11" s="190">
        <f>IF('Input LwA_XYZ'!A10 = 0, "", 'Input LwA_XYZ'!A10)</f>
        <v>1</v>
      </c>
      <c r="C11" s="189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N11" s="190">
        <f>IF('Input LwA_XYZ'!A10 = 0, "", 'Input LwA_XYZ'!A10)</f>
        <v>1</v>
      </c>
      <c r="O11" s="189" t="str">
        <f>IF($N11="","",_xlfn.TEXTJOIN(" - ",TRUE,'Input LwA_XYZ'!B10:C10))</f>
        <v>CU-R4 - Radiated</v>
      </c>
      <c r="P11" s="64">
        <f>IF($N11="","",'Input LwA_XYZ'!Q10)</f>
        <v>73</v>
      </c>
      <c r="Q11" s="91" t="str">
        <f>IF($N11="","",-1*ROUND(_xlfn.XLOOKUP(Tables!$L$2,'Input LwA_XYZ'!$AY$1:$BM$1,'Input LwA_XYZ'!AY10:BM10),0) &amp; " / " &amp; ROUND(_xlfn.XLOOKUP(Tables!$L$2,'Input LwA_XYZ'!$AH$1:$AV$1,'Input LwA_XYZ'!AH10:AV10),0) &amp; " ft")</f>
        <v>39 / 120 ft</v>
      </c>
      <c r="R11" s="91">
        <f>IF($N11="","",IF(_xlfn.XLOOKUP(Tables!$L$2,'Input LwA_XYZ'!$BV$1:$CJ$1,'Input LwA_XYZ'!BV10:CJ10)="","-",_xlfn.XLOOKUP(Tables!$L$2,'Input LwA_XYZ'!$BV$1:$CJ$1,'Input LwA_XYZ'!BV10:CJ10)))</f>
        <v>5</v>
      </c>
      <c r="S11" s="91" t="str">
        <f>IF($N11="","",IF('Input LwA_XYZ'!S10="","-",'Input LwA_XYZ'!S10))</f>
        <v>-</v>
      </c>
      <c r="T11" s="65">
        <f>IF($N11="","",_xlfn.XLOOKUP(Tables!$L$2,'Input LwA_XYZ'!$DD$1:$DR$1,'Input LwA_XYZ'!DD10:DR10))</f>
        <v>0</v>
      </c>
    </row>
    <row r="12" spans="2:20" ht="16.5" customHeight="1" x14ac:dyDescent="0.3">
      <c r="B12" s="190">
        <f>IF('Input LwA_XYZ'!A11 = 0, "", 'Input LwA_XYZ'!A11)</f>
        <v>1</v>
      </c>
      <c r="C12" s="189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N12" s="190">
        <f>IF('Input LwA_XYZ'!A11 = 0, "", 'Input LwA_XYZ'!A11)</f>
        <v>1</v>
      </c>
      <c r="O12" s="189" t="str">
        <f>IF($N12="","",_xlfn.TEXTJOIN(" - ",TRUE,'Input LwA_XYZ'!B11:C11))</f>
        <v>CU-R5 - Radiated</v>
      </c>
      <c r="P12" s="64">
        <f>IF($N12="","",'Input LwA_XYZ'!Q11)</f>
        <v>75</v>
      </c>
      <c r="Q12" s="91" t="str">
        <f>IF($N12="","",-1*ROUND(_xlfn.XLOOKUP(Tables!$L$2,'Input LwA_XYZ'!$AY$1:$BM$1,'Input LwA_XYZ'!AY11:BM11),0) &amp; " / " &amp; ROUND(_xlfn.XLOOKUP(Tables!$L$2,'Input LwA_XYZ'!$AH$1:$AV$1,'Input LwA_XYZ'!AH11:AV11),0) &amp; " ft")</f>
        <v>36 / 84 ft</v>
      </c>
      <c r="R12" s="91">
        <f>IF($N12="","",IF(_xlfn.XLOOKUP(Tables!$L$2,'Input LwA_XYZ'!$BV$1:$CJ$1,'Input LwA_XYZ'!BV11:CJ11)="","-",_xlfn.XLOOKUP(Tables!$L$2,'Input LwA_XYZ'!$BV$1:$CJ$1,'Input LwA_XYZ'!BV11:CJ11)))</f>
        <v>4</v>
      </c>
      <c r="S12" s="91" t="str">
        <f>IF($N12="","",IF('Input LwA_XYZ'!S11="","-",'Input LwA_XYZ'!S11))</f>
        <v>-</v>
      </c>
      <c r="T12" s="65">
        <f>IF($N12="","",_xlfn.XLOOKUP(Tables!$L$2,'Input LwA_XYZ'!$DD$1:$DR$1,'Input LwA_XYZ'!DD11:DR11))</f>
        <v>0</v>
      </c>
    </row>
    <row r="13" spans="2:20" ht="16.5" customHeight="1" x14ac:dyDescent="0.3">
      <c r="B13" s="190">
        <f>IF('Input LwA_XYZ'!A12 = 0, "", 'Input LwA_XYZ'!A12)</f>
        <v>4</v>
      </c>
      <c r="C13" s="189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N13" s="190">
        <f>IF('Input LwA_XYZ'!A12 = 0, "", 'Input LwA_XYZ'!A12)</f>
        <v>4</v>
      </c>
      <c r="O13" s="189" t="str">
        <f>IF($N13="","",_xlfn.TEXTJOIN(" - ",TRUE,'Input LwA_XYZ'!B12:C12))</f>
        <v>RCU-R(4p)1 - Radiated</v>
      </c>
      <c r="P13" s="64">
        <f>IF($N13="","",'Input LwA_XYZ'!Q12)</f>
        <v>79.020599913279625</v>
      </c>
      <c r="Q13" s="91" t="str">
        <f>IF($N13="","",-1*ROUND(_xlfn.XLOOKUP(Tables!$L$2,'Input LwA_XYZ'!$AY$1:$BM$1,'Input LwA_XYZ'!AY12:BM12),0) &amp; " / " &amp; ROUND(_xlfn.XLOOKUP(Tables!$L$2,'Input LwA_XYZ'!$AH$1:$AV$1,'Input LwA_XYZ'!AH12:AV12),0) &amp; " ft")</f>
        <v>44 / 201 ft</v>
      </c>
      <c r="R13" s="91">
        <f>IF($N13="","",IF(_xlfn.XLOOKUP(Tables!$L$2,'Input LwA_XYZ'!$BV$1:$CJ$1,'Input LwA_XYZ'!BV12:CJ12)="","-",_xlfn.XLOOKUP(Tables!$L$2,'Input LwA_XYZ'!$BV$1:$CJ$1,'Input LwA_XYZ'!BV12:CJ12)))</f>
        <v>2</v>
      </c>
      <c r="S13" s="91" t="str">
        <f>IF($N13="","",IF('Input LwA_XYZ'!S12="","-",'Input LwA_XYZ'!S12))</f>
        <v>-</v>
      </c>
      <c r="T13" s="65">
        <f>IF($N13="","",_xlfn.XLOOKUP(Tables!$L$2,'Input LwA_XYZ'!$DD$1:$DR$1,'Input LwA_XYZ'!DD12:DR12))</f>
        <v>0</v>
      </c>
    </row>
    <row r="14" spans="2:20" ht="16.5" customHeight="1" x14ac:dyDescent="0.3">
      <c r="B14" s="190">
        <f>IF('Input LwA_XYZ'!A13 = 0, "", 'Input LwA_XYZ'!A13)</f>
        <v>4</v>
      </c>
      <c r="C14" s="189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N14" s="190">
        <f>IF('Input LwA_XYZ'!A13 = 0, "", 'Input LwA_XYZ'!A13)</f>
        <v>4</v>
      </c>
      <c r="O14" s="189" t="str">
        <f>IF($N14="","",_xlfn.TEXTJOIN(" - ",TRUE,'Input LwA_XYZ'!B13:C13))</f>
        <v>RCU-R(4p)2 - Radiated</v>
      </c>
      <c r="P14" s="64">
        <f>IF($N14="","",'Input LwA_XYZ'!Q13)</f>
        <v>79.020599913279625</v>
      </c>
      <c r="Q14" s="91" t="str">
        <f>IF($N14="","",-1*ROUND(_xlfn.XLOOKUP(Tables!$L$2,'Input LwA_XYZ'!$AY$1:$BM$1,'Input LwA_XYZ'!AY13:BM13),0) &amp; " / " &amp; ROUND(_xlfn.XLOOKUP(Tables!$L$2,'Input LwA_XYZ'!$AH$1:$AV$1,'Input LwA_XYZ'!AH13:AV13),0) &amp; " ft")</f>
        <v>41 / 146 ft</v>
      </c>
      <c r="R14" s="91">
        <f>IF($N14="","",IF(_xlfn.XLOOKUP(Tables!$L$2,'Input LwA_XYZ'!$BV$1:$CJ$1,'Input LwA_XYZ'!BV13:CJ13)="","-",_xlfn.XLOOKUP(Tables!$L$2,'Input LwA_XYZ'!$BV$1:$CJ$1,'Input LwA_XYZ'!BV13:CJ13)))</f>
        <v>8</v>
      </c>
      <c r="S14" s="91" t="str">
        <f>IF($N14="","",IF('Input LwA_XYZ'!S13="","-",'Input LwA_XYZ'!S13))</f>
        <v>-</v>
      </c>
      <c r="T14" s="65">
        <f>IF($N14="","",_xlfn.XLOOKUP(Tables!$L$2,'Input LwA_XYZ'!$DD$1:$DR$1,'Input LwA_XYZ'!DD13:DR13))</f>
        <v>0</v>
      </c>
    </row>
    <row r="15" spans="2:20" ht="16.5" customHeight="1" x14ac:dyDescent="0.3">
      <c r="B15" s="190">
        <f>IF('Input LwA_XYZ'!A14 = 0, "", 'Input LwA_XYZ'!A14)</f>
        <v>4</v>
      </c>
      <c r="C15" s="189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N15" s="190">
        <f>IF('Input LwA_XYZ'!A14 = 0, "", 'Input LwA_XYZ'!A14)</f>
        <v>4</v>
      </c>
      <c r="O15" s="189" t="str">
        <f>IF($N15="","",_xlfn.TEXTJOIN(" - ",TRUE,'Input LwA_XYZ'!B14:C14))</f>
        <v>RCU-R(4p)3 - Radiated</v>
      </c>
      <c r="P15" s="64">
        <f>IF($N15="","",'Input LwA_XYZ'!Q14)</f>
        <v>79.020599913279625</v>
      </c>
      <c r="Q15" s="91" t="str">
        <f>IF($N15="","",-1*ROUND(_xlfn.XLOOKUP(Tables!$L$2,'Input LwA_XYZ'!$AY$1:$BM$1,'Input LwA_XYZ'!AY14:BM14),0) &amp; " / " &amp; ROUND(_xlfn.XLOOKUP(Tables!$L$2,'Input LwA_XYZ'!$AH$1:$AV$1,'Input LwA_XYZ'!AH14:AV14),0) &amp; " ft")</f>
        <v>40 / 125 ft</v>
      </c>
      <c r="R15" s="91">
        <f>IF($N15="","",IF(_xlfn.XLOOKUP(Tables!$L$2,'Input LwA_XYZ'!$BV$1:$CJ$1,'Input LwA_XYZ'!BV14:CJ14)="","-",_xlfn.XLOOKUP(Tables!$L$2,'Input LwA_XYZ'!$BV$1:$CJ$1,'Input LwA_XYZ'!BV14:CJ14)))</f>
        <v>6</v>
      </c>
      <c r="S15" s="91" t="str">
        <f>IF($N15="","",IF('Input LwA_XYZ'!S14="","-",'Input LwA_XYZ'!S14))</f>
        <v>-</v>
      </c>
      <c r="T15" s="65">
        <f>IF($N15="","",_xlfn.XLOOKUP(Tables!$L$2,'Input LwA_XYZ'!$DD$1:$DR$1,'Input LwA_XYZ'!DD14:DR14))</f>
        <v>0</v>
      </c>
    </row>
    <row r="16" spans="2:20" ht="17.25" customHeight="1" x14ac:dyDescent="0.3">
      <c r="B16" s="190">
        <f>IF('Input LwA_XYZ'!A15 = 0, "", 'Input LwA_XYZ'!A15)</f>
        <v>2</v>
      </c>
      <c r="C16" s="189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N16" s="190">
        <f>IF('Input LwA_XYZ'!A15 = 0, "", 'Input LwA_XYZ'!A15)</f>
        <v>2</v>
      </c>
      <c r="O16" s="189" t="str">
        <f>IF($N16="","",_xlfn.TEXTJOIN(" - ",TRUE,'Input LwA_XYZ'!B15:C15))</f>
        <v>RCU-R(2p) - Radiated</v>
      </c>
      <c r="P16" s="64">
        <f>IF($N16="","",'Input LwA_XYZ'!Q15)</f>
        <v>76.010299956639813</v>
      </c>
      <c r="Q16" s="91" t="str">
        <f>IF($N16="","",-1*ROUND(_xlfn.XLOOKUP(Tables!$L$2,'Input LwA_XYZ'!$AY$1:$BM$1,'Input LwA_XYZ'!AY15:BM15),0) &amp; " / " &amp; ROUND(_xlfn.XLOOKUP(Tables!$L$2,'Input LwA_XYZ'!$AH$1:$AV$1,'Input LwA_XYZ'!AH15:AV15),0) &amp; " ft")</f>
        <v>39 / 112 ft</v>
      </c>
      <c r="R16" s="91">
        <f>IF($N16="","",IF(_xlfn.XLOOKUP(Tables!$L$2,'Input LwA_XYZ'!$BV$1:$CJ$1,'Input LwA_XYZ'!BV15:CJ15)="","-",_xlfn.XLOOKUP(Tables!$L$2,'Input LwA_XYZ'!$BV$1:$CJ$1,'Input LwA_XYZ'!BV15:CJ15)))</f>
        <v>6</v>
      </c>
      <c r="S16" s="91" t="str">
        <f>IF($N16="","",IF('Input LwA_XYZ'!S15="","-",'Input LwA_XYZ'!S15))</f>
        <v>-</v>
      </c>
      <c r="T16" s="65">
        <f>IF($N16="","",_xlfn.XLOOKUP(Tables!$L$2,'Input LwA_XYZ'!$DD$1:$DR$1,'Input LwA_XYZ'!DD15:DR15))</f>
        <v>0</v>
      </c>
    </row>
    <row r="17" spans="2:20" ht="17.25" customHeight="1" x14ac:dyDescent="0.3">
      <c r="B17" s="190">
        <f>IF('Input LwA_XYZ'!A16 = 0, "", 'Input LwA_XYZ'!A16)</f>
        <v>2</v>
      </c>
      <c r="C17" s="189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N17" s="190">
        <f>IF('Input LwA_XYZ'!A16 = 0, "", 'Input LwA_XYZ'!A16)</f>
        <v>2</v>
      </c>
      <c r="O17" s="189" t="str">
        <f>IF($N17="","",_xlfn.TEXTJOIN(" - ",TRUE,'Input LwA_XYZ'!B16:C16))</f>
        <v>RCU-R(2p)1 - Radiated</v>
      </c>
      <c r="P17" s="64">
        <f>IF($N17="","",'Input LwA_XYZ'!Q16)</f>
        <v>76.010299956639813</v>
      </c>
      <c r="Q17" s="91" t="str">
        <f>IF($N17="","",-1*ROUND(_xlfn.XLOOKUP(Tables!$L$2,'Input LwA_XYZ'!$AY$1:$BM$1,'Input LwA_XYZ'!AY16:BM16),0) &amp; " / " &amp; ROUND(_xlfn.XLOOKUP(Tables!$L$2,'Input LwA_XYZ'!$AH$1:$AV$1,'Input LwA_XYZ'!AH16:AV16),0) &amp; " ft")</f>
        <v>36 / 84 ft</v>
      </c>
      <c r="R17" s="91">
        <f>IF($N17="","",IF(_xlfn.XLOOKUP(Tables!$L$2,'Input LwA_XYZ'!$BV$1:$CJ$1,'Input LwA_XYZ'!BV16:CJ16)="","-",_xlfn.XLOOKUP(Tables!$L$2,'Input LwA_XYZ'!$BV$1:$CJ$1,'Input LwA_XYZ'!BV16:CJ16)))</f>
        <v>6</v>
      </c>
      <c r="S17" s="91" t="str">
        <f>IF($N17="","",IF('Input LwA_XYZ'!S16="","-",'Input LwA_XYZ'!S16))</f>
        <v>-</v>
      </c>
      <c r="T17" s="65">
        <f>IF($N17="","",_xlfn.XLOOKUP(Tables!$L$2,'Input LwA_XYZ'!$DD$1:$DR$1,'Input LwA_XYZ'!DD16:DR16))</f>
        <v>0</v>
      </c>
    </row>
    <row r="18" spans="2:20" ht="16.5" customHeight="1" x14ac:dyDescent="0.3">
      <c r="B18" s="190">
        <f>IF('Input LwA_XYZ'!A17 = 0, "", 'Input LwA_XYZ'!A17)</f>
        <v>4</v>
      </c>
      <c r="C18" s="189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  <c r="N18" s="190">
        <f>IF('Input LwA_XYZ'!A17 = 0, "", 'Input LwA_XYZ'!A17)</f>
        <v>4</v>
      </c>
      <c r="O18" s="189" t="str">
        <f>IF($N18="","",_xlfn.TEXTJOIN(" - ",TRUE,'Input LwA_XYZ'!B17:C17))</f>
        <v>RCU-R(4p)4 - Radiated</v>
      </c>
      <c r="P18" s="64">
        <f>IF($N18="","",'Input LwA_XYZ'!Q17)</f>
        <v>79.020599913279625</v>
      </c>
      <c r="Q18" s="91" t="str">
        <f>IF($N18="","",-1*ROUND(_xlfn.XLOOKUP(Tables!$L$2,'Input LwA_XYZ'!$AY$1:$BM$1,'Input LwA_XYZ'!AY17:BM17),0) &amp; " / " &amp; ROUND(_xlfn.XLOOKUP(Tables!$L$2,'Input LwA_XYZ'!$AH$1:$AV$1,'Input LwA_XYZ'!AH17:AV17),0) &amp; " ft")</f>
        <v>33 / 56 ft</v>
      </c>
      <c r="R18" s="91">
        <f>IF($N18="","",IF(_xlfn.XLOOKUP(Tables!$L$2,'Input LwA_XYZ'!$BV$1:$CJ$1,'Input LwA_XYZ'!BV17:CJ17)="","-",_xlfn.XLOOKUP(Tables!$L$2,'Input LwA_XYZ'!$BV$1:$CJ$1,'Input LwA_XYZ'!BV17:CJ17)))</f>
        <v>4</v>
      </c>
      <c r="S18" s="91" t="str">
        <f>IF($N18="","",IF('Input LwA_XYZ'!S17="","-",'Input LwA_XYZ'!S17))</f>
        <v>-</v>
      </c>
      <c r="T18" s="65">
        <f>IF($N18="","",_xlfn.XLOOKUP(Tables!$L$2,'Input LwA_XYZ'!$DD$1:$DR$1,'Input LwA_XYZ'!DD17:DR17))</f>
        <v>0</v>
      </c>
    </row>
    <row r="19" spans="2:20" ht="16.5" customHeight="1" x14ac:dyDescent="0.3">
      <c r="B19" s="190">
        <f>IF('Input LwA_XYZ'!A18 = 0, "", 'Input LwA_XYZ'!A18)</f>
        <v>2</v>
      </c>
      <c r="C19" s="189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  <c r="N19" s="190">
        <f>IF('Input LwA_XYZ'!A18 = 0, "", 'Input LwA_XYZ'!A18)</f>
        <v>2</v>
      </c>
      <c r="O19" s="189" t="str">
        <f>IF($N19="","",_xlfn.TEXTJOIN(" - ",TRUE,'Input LwA_XYZ'!B18:C18))</f>
        <v>RCU-R(2p)2 - Radiated</v>
      </c>
      <c r="P19" s="64">
        <f>IF($N19="","",'Input LwA_XYZ'!Q18)</f>
        <v>76.010299956639813</v>
      </c>
      <c r="Q19" s="91" t="str">
        <f>IF($N19="","",-1*ROUND(_xlfn.XLOOKUP(Tables!$L$2,'Input LwA_XYZ'!$AY$1:$BM$1,'Input LwA_XYZ'!AY18:BM18),0) &amp; " / " &amp; ROUND(_xlfn.XLOOKUP(Tables!$L$2,'Input LwA_XYZ'!$AH$1:$AV$1,'Input LwA_XYZ'!AH18:AV18),0) &amp; " ft")</f>
        <v>32 / 49 ft</v>
      </c>
      <c r="R19" s="91">
        <f>IF($N19="","",IF(_xlfn.XLOOKUP(Tables!$L$2,'Input LwA_XYZ'!$BV$1:$CJ$1,'Input LwA_XYZ'!BV18:CJ18)="","-",_xlfn.XLOOKUP(Tables!$L$2,'Input LwA_XYZ'!$BV$1:$CJ$1,'Input LwA_XYZ'!BV18:CJ18)))</f>
        <v>5</v>
      </c>
      <c r="S19" s="91" t="str">
        <f>IF($N19="","",IF('Input LwA_XYZ'!S18="","-",'Input LwA_XYZ'!S18))</f>
        <v>-</v>
      </c>
      <c r="T19" s="65">
        <f>IF($N19="","",_xlfn.XLOOKUP(Tables!$L$2,'Input LwA_XYZ'!$DD$1:$DR$1,'Input LwA_XYZ'!DD18:DR18))</f>
        <v>0</v>
      </c>
    </row>
    <row r="20" spans="2:20" ht="16.5" customHeight="1" x14ac:dyDescent="0.3">
      <c r="B20" s="190">
        <f>IF('Input LwA_XYZ'!A19 = 0, "", 'Input LwA_XYZ'!A19)</f>
        <v>2</v>
      </c>
      <c r="C20" s="189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  <c r="N20" s="190">
        <f>IF('Input LwA_XYZ'!A19 = 0, "", 'Input LwA_XYZ'!A19)</f>
        <v>2</v>
      </c>
      <c r="O20" s="189" t="str">
        <f>IF($N20="","",_xlfn.TEXTJOIN(" - ",TRUE,'Input LwA_XYZ'!B19:C19))</f>
        <v>RCU-R(2p)3 - Radiated</v>
      </c>
      <c r="P20" s="64">
        <f>IF($N20="","",'Input LwA_XYZ'!Q19)</f>
        <v>76.010299956639813</v>
      </c>
      <c r="Q20" s="91" t="str">
        <f>IF($N20="","",-1*ROUND(_xlfn.XLOOKUP(Tables!$L$2,'Input LwA_XYZ'!$AY$1:$BM$1,'Input LwA_XYZ'!AY19:BM19),0) &amp; " / " &amp; ROUND(_xlfn.XLOOKUP(Tables!$L$2,'Input LwA_XYZ'!$AH$1:$AV$1,'Input LwA_XYZ'!AH19:AV19),0) &amp; " ft")</f>
        <v>35 / 72 ft</v>
      </c>
      <c r="R20" s="91">
        <f>IF($N20="","",IF(_xlfn.XLOOKUP(Tables!$L$2,'Input LwA_XYZ'!$BV$1:$CJ$1,'Input LwA_XYZ'!BV19:CJ19)="","-",_xlfn.XLOOKUP(Tables!$L$2,'Input LwA_XYZ'!$BV$1:$CJ$1,'Input LwA_XYZ'!BV19:CJ19)))</f>
        <v>6</v>
      </c>
      <c r="S20" s="91" t="str">
        <f>IF($N20="","",IF('Input LwA_XYZ'!S19="","-",'Input LwA_XYZ'!S19))</f>
        <v>-</v>
      </c>
      <c r="T20" s="65">
        <f>IF($N20="","",_xlfn.XLOOKUP(Tables!$L$2,'Input LwA_XYZ'!$DD$1:$DR$1,'Input LwA_XYZ'!DD19:DR19))</f>
        <v>0</v>
      </c>
    </row>
    <row r="21" spans="2:20" ht="16.5" customHeight="1" x14ac:dyDescent="0.3">
      <c r="B21" s="190">
        <f>IF('Input LwA_XYZ'!A20 = 0, "", 'Input LwA_XYZ'!A20)</f>
        <v>2</v>
      </c>
      <c r="C21" s="189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  <c r="N21" s="190">
        <f>IF('Input LwA_XYZ'!A20 = 0, "", 'Input LwA_XYZ'!A20)</f>
        <v>2</v>
      </c>
      <c r="O21" s="189" t="str">
        <f>IF($N21="","",_xlfn.TEXTJOIN(" - ",TRUE,'Input LwA_XYZ'!B20:C20))</f>
        <v>RCU-R(2p)4 - Radiated</v>
      </c>
      <c r="P21" s="64">
        <f>IF($N21="","",'Input LwA_XYZ'!Q20)</f>
        <v>76.010299956639813</v>
      </c>
      <c r="Q21" s="91" t="str">
        <f>IF($N21="","",-1*ROUND(_xlfn.XLOOKUP(Tables!$L$2,'Input LwA_XYZ'!$AY$1:$BM$1,'Input LwA_XYZ'!AY20:BM20),0) &amp; " / " &amp; ROUND(_xlfn.XLOOKUP(Tables!$L$2,'Input LwA_XYZ'!$AH$1:$AV$1,'Input LwA_XYZ'!AH20:AV20),0) &amp; " ft")</f>
        <v>37 / 91 ft</v>
      </c>
      <c r="R21" s="91">
        <f>IF($N21="","",IF(_xlfn.XLOOKUP(Tables!$L$2,'Input LwA_XYZ'!$BV$1:$CJ$1,'Input LwA_XYZ'!BV20:CJ20)="","-",_xlfn.XLOOKUP(Tables!$L$2,'Input LwA_XYZ'!$BV$1:$CJ$1,'Input LwA_XYZ'!BV20:CJ20)))</f>
        <v>7</v>
      </c>
      <c r="S21" s="91" t="str">
        <f>IF($N21="","",IF('Input LwA_XYZ'!S20="","-",'Input LwA_XYZ'!S20))</f>
        <v>-</v>
      </c>
      <c r="T21" s="65">
        <f>IF($N21="","",_xlfn.XLOOKUP(Tables!$L$2,'Input LwA_XYZ'!$DD$1:$DR$1,'Input LwA_XYZ'!DD20:DR20))</f>
        <v>0</v>
      </c>
    </row>
    <row r="22" spans="2:20" ht="16.5" customHeight="1" x14ac:dyDescent="0.3">
      <c r="B22" s="190">
        <f>IF('Input LwA_XYZ'!A21 = 0, "", 'Input LwA_XYZ'!A21)</f>
        <v>2</v>
      </c>
      <c r="C22" s="189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  <c r="N22" s="190">
        <f>IF('Input LwA_XYZ'!A21 = 0, "", 'Input LwA_XYZ'!A21)</f>
        <v>2</v>
      </c>
      <c r="O22" s="189" t="str">
        <f>IF($N22="","",_xlfn.TEXTJOIN(" - ",TRUE,'Input LwA_XYZ'!B21:C21))</f>
        <v>RCU-R(2p)5 - Radiated</v>
      </c>
      <c r="P22" s="64">
        <f>IF($N22="","",'Input LwA_XYZ'!Q21)</f>
        <v>76.010299956639813</v>
      </c>
      <c r="Q22" s="91" t="str">
        <f>IF($N22="","",-1*ROUND(_xlfn.XLOOKUP(Tables!$L$2,'Input LwA_XYZ'!$AY$1:$BM$1,'Input LwA_XYZ'!AY21:BM21),0) &amp; " / " &amp; ROUND(_xlfn.XLOOKUP(Tables!$L$2,'Input LwA_XYZ'!$AH$1:$AV$1,'Input LwA_XYZ'!AH21:AV21),0) &amp; " ft")</f>
        <v>38 / 109 ft</v>
      </c>
      <c r="R22" s="91">
        <f>IF($N22="","",IF(_xlfn.XLOOKUP(Tables!$L$2,'Input LwA_XYZ'!$BV$1:$CJ$1,'Input LwA_XYZ'!BV21:CJ21)="","-",_xlfn.XLOOKUP(Tables!$L$2,'Input LwA_XYZ'!$BV$1:$CJ$1,'Input LwA_XYZ'!BV21:CJ21)))</f>
        <v>7</v>
      </c>
      <c r="S22" s="91" t="str">
        <f>IF($N22="","",IF('Input LwA_XYZ'!S21="","-",'Input LwA_XYZ'!S21))</f>
        <v>-</v>
      </c>
      <c r="T22" s="65">
        <f>IF($N22="","",_xlfn.XLOOKUP(Tables!$L$2,'Input LwA_XYZ'!$DD$1:$DR$1,'Input LwA_XYZ'!DD21:DR21))</f>
        <v>0</v>
      </c>
    </row>
    <row r="23" spans="2:20" ht="16.5" customHeight="1" x14ac:dyDescent="0.3">
      <c r="B23" s="190">
        <f>IF('Input LwA_XYZ'!A22 = 0, "", 'Input LwA_XYZ'!A22)</f>
        <v>2</v>
      </c>
      <c r="C23" s="189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  <c r="N23" s="190">
        <f>IF('Input LwA_XYZ'!A22 = 0, "", 'Input LwA_XYZ'!A22)</f>
        <v>2</v>
      </c>
      <c r="O23" s="189" t="str">
        <f>IF($N23="","",_xlfn.TEXTJOIN(" - ",TRUE,'Input LwA_XYZ'!B22:C22))</f>
        <v>RCU-R(2p)6 - Radiated</v>
      </c>
      <c r="P23" s="64">
        <f>IF($N23="","",'Input LwA_XYZ'!Q22)</f>
        <v>76.010299956639813</v>
      </c>
      <c r="Q23" s="91" t="str">
        <f>IF($N23="","",-1*ROUND(_xlfn.XLOOKUP(Tables!$L$2,'Input LwA_XYZ'!$AY$1:$BM$1,'Input LwA_XYZ'!AY22:BM22),0) &amp; " / " &amp; ROUND(_xlfn.XLOOKUP(Tables!$L$2,'Input LwA_XYZ'!$AH$1:$AV$1,'Input LwA_XYZ'!AH22:AV22),0) &amp; " ft")</f>
        <v>40 / 129 ft</v>
      </c>
      <c r="R23" s="91">
        <f>IF($N23="","",IF(_xlfn.XLOOKUP(Tables!$L$2,'Input LwA_XYZ'!$BV$1:$CJ$1,'Input LwA_XYZ'!BV22:CJ22)="","-",_xlfn.XLOOKUP(Tables!$L$2,'Input LwA_XYZ'!$BV$1:$CJ$1,'Input LwA_XYZ'!BV22:CJ22)))</f>
        <v>7</v>
      </c>
      <c r="S23" s="91" t="str">
        <f>IF($N23="","",IF('Input LwA_XYZ'!S22="","-",'Input LwA_XYZ'!S22))</f>
        <v>-</v>
      </c>
      <c r="T23" s="65">
        <f>IF($N23="","",_xlfn.XLOOKUP(Tables!$L$2,'Input LwA_XYZ'!$DD$1:$DR$1,'Input LwA_XYZ'!DD22:DR22))</f>
        <v>0</v>
      </c>
    </row>
    <row r="24" spans="2:20" ht="16.5" customHeight="1" x14ac:dyDescent="0.3">
      <c r="B24" s="190">
        <f>IF('Input LwA_XYZ'!A23 = 0, "", 'Input LwA_XYZ'!A23)</f>
        <v>1</v>
      </c>
      <c r="C24" s="189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  <c r="N24" s="190">
        <f>IF('Input LwA_XYZ'!A23 = 0, "", 'Input LwA_XYZ'!A23)</f>
        <v>1</v>
      </c>
      <c r="O24" s="189" t="str">
        <f>IF($N24="","",_xlfn.TEXTJOIN(" - ",TRUE,'Input LwA_XYZ'!B23:C23))</f>
        <v>BEF-R01  - Inlet</v>
      </c>
      <c r="P24" s="64">
        <f>IF($N24="","",'Input LwA_XYZ'!Q23)</f>
        <v>57</v>
      </c>
      <c r="Q24" s="91" t="str">
        <f>IF($N24="","",-1*ROUND(_xlfn.XLOOKUP(Tables!$L$2,'Input LwA_XYZ'!$AY$1:$BM$1,'Input LwA_XYZ'!AY23:BM23),0) &amp; " / " &amp; ROUND(_xlfn.XLOOKUP(Tables!$L$2,'Input LwA_XYZ'!$AH$1:$AV$1,'Input LwA_XYZ'!AH23:AV23),0) &amp; " ft")</f>
        <v>24 / 21 ft</v>
      </c>
      <c r="R24" s="91">
        <f>IF($N24="","",IF(_xlfn.XLOOKUP(Tables!$L$2,'Input LwA_XYZ'!$BV$1:$CJ$1,'Input LwA_XYZ'!BV23:CJ23)="","-",_xlfn.XLOOKUP(Tables!$L$2,'Input LwA_XYZ'!$BV$1:$CJ$1,'Input LwA_XYZ'!BV23:CJ23)))</f>
        <v>0</v>
      </c>
      <c r="S24" s="91" t="str">
        <f>IF($N24="","",IF('Input LwA_XYZ'!S23="","-",'Input LwA_XYZ'!S23))</f>
        <v>-</v>
      </c>
      <c r="T24" s="65">
        <f>IF($N24="","",_xlfn.XLOOKUP(Tables!$L$2,'Input LwA_XYZ'!$DD$1:$DR$1,'Input LwA_XYZ'!DD23:DR23))</f>
        <v>0</v>
      </c>
    </row>
    <row r="25" spans="2:20" ht="16.5" customHeight="1" x14ac:dyDescent="0.3">
      <c r="B25" s="190">
        <f>IF('Input LwA_XYZ'!A24 = 0, "", 'Input LwA_XYZ'!A24)</f>
        <v>1</v>
      </c>
      <c r="C25" s="189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  <c r="N25" s="190">
        <f>IF('Input LwA_XYZ'!A24 = 0, "", 'Input LwA_XYZ'!A24)</f>
        <v>1</v>
      </c>
      <c r="O25" s="189" t="str">
        <f>IF($N25="","",_xlfn.TEXTJOIN(" - ",TRUE,'Input LwA_XYZ'!B24:C24))</f>
        <v>BEF-R02  - Inlet</v>
      </c>
      <c r="P25" s="64">
        <f>IF($N25="","",'Input LwA_XYZ'!Q24)</f>
        <v>66</v>
      </c>
      <c r="Q25" s="91" t="str">
        <f>IF($N25="","",-1*ROUND(_xlfn.XLOOKUP(Tables!$L$2,'Input LwA_XYZ'!$AY$1:$BM$1,'Input LwA_XYZ'!AY24:BM24),0) &amp; " / " &amp; ROUND(_xlfn.XLOOKUP(Tables!$L$2,'Input LwA_XYZ'!$AH$1:$AV$1,'Input LwA_XYZ'!AH24:AV24),0) &amp; " ft")</f>
        <v>30 / 43 ft</v>
      </c>
      <c r="R25" s="91">
        <f>IF($N25="","",IF(_xlfn.XLOOKUP(Tables!$L$2,'Input LwA_XYZ'!$BV$1:$CJ$1,'Input LwA_XYZ'!BV24:CJ24)="","-",_xlfn.XLOOKUP(Tables!$L$2,'Input LwA_XYZ'!$BV$1:$CJ$1,'Input LwA_XYZ'!BV24:CJ24)))</f>
        <v>0</v>
      </c>
      <c r="S25" s="91" t="str">
        <f>IF($N25="","",IF('Input LwA_XYZ'!S24="","-",'Input LwA_XYZ'!S24))</f>
        <v>-</v>
      </c>
      <c r="T25" s="65">
        <f>IF($N25="","",_xlfn.XLOOKUP(Tables!$L$2,'Input LwA_XYZ'!$DD$1:$DR$1,'Input LwA_XYZ'!DD24:DR24))</f>
        <v>0</v>
      </c>
    </row>
    <row r="26" spans="2:20" ht="16.5" customHeight="1" x14ac:dyDescent="0.3">
      <c r="B26" s="190">
        <f>IF('Input LwA_XYZ'!A25 = 0, "", 'Input LwA_XYZ'!A25)</f>
        <v>1</v>
      </c>
      <c r="C26" s="189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  <c r="N26" s="190">
        <f>IF('Input LwA_XYZ'!A25 = 0, "", 'Input LwA_XYZ'!A25)</f>
        <v>1</v>
      </c>
      <c r="O26" s="189" t="str">
        <f>IF($N26="","",_xlfn.TEXTJOIN(" - ",TRUE,'Input LwA_XYZ'!B25:C25))</f>
        <v>BEF-R03  - Inlet</v>
      </c>
      <c r="P26" s="64">
        <f>IF($N26="","",'Input LwA_XYZ'!Q25)</f>
        <v>66</v>
      </c>
      <c r="Q26" s="91" t="str">
        <f>IF($N26="","",-1*ROUND(_xlfn.XLOOKUP(Tables!$L$2,'Input LwA_XYZ'!$AY$1:$BM$1,'Input LwA_XYZ'!AY25:BM25),0) &amp; " / " &amp; ROUND(_xlfn.XLOOKUP(Tables!$L$2,'Input LwA_XYZ'!$AH$1:$AV$1,'Input LwA_XYZ'!AH25:AV25),0) &amp; " ft")</f>
        <v>35 / 72 ft</v>
      </c>
      <c r="R26" s="91">
        <f>IF($N26="","",IF(_xlfn.XLOOKUP(Tables!$L$2,'Input LwA_XYZ'!$BV$1:$CJ$1,'Input LwA_XYZ'!BV25:CJ25)="","-",_xlfn.XLOOKUP(Tables!$L$2,'Input LwA_XYZ'!$BV$1:$CJ$1,'Input LwA_XYZ'!BV25:CJ25)))</f>
        <v>4</v>
      </c>
      <c r="S26" s="91" t="str">
        <f>IF($N26="","",IF('Input LwA_XYZ'!S25="","-",'Input LwA_XYZ'!S25))</f>
        <v>-</v>
      </c>
      <c r="T26" s="65">
        <f>IF($N26="","",_xlfn.XLOOKUP(Tables!$L$2,'Input LwA_XYZ'!$DD$1:$DR$1,'Input LwA_XYZ'!DD25:DR25))</f>
        <v>0</v>
      </c>
    </row>
    <row r="27" spans="2:20" ht="16.5" customHeight="1" x14ac:dyDescent="0.3">
      <c r="B27" s="190">
        <f>IF('Input LwA_XYZ'!A26 = 0, "", 'Input LwA_XYZ'!A26)</f>
        <v>1</v>
      </c>
      <c r="C27" s="189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  <c r="N27" s="190">
        <f>IF('Input LwA_XYZ'!A26 = 0, "", 'Input LwA_XYZ'!A26)</f>
        <v>1</v>
      </c>
      <c r="O27" s="189" t="str">
        <f>IF($N27="","",_xlfn.TEXTJOIN(" - ",TRUE,'Input LwA_XYZ'!B26:C26))</f>
        <v>BEF-R04  - Inlet</v>
      </c>
      <c r="P27" s="64">
        <f>IF($N27="","",'Input LwA_XYZ'!Q26)</f>
        <v>66</v>
      </c>
      <c r="Q27" s="91" t="str">
        <f>IF($N27="","",-1*ROUND(_xlfn.XLOOKUP(Tables!$L$2,'Input LwA_XYZ'!$AY$1:$BM$1,'Input LwA_XYZ'!AY26:BM26),0) &amp; " / " &amp; ROUND(_xlfn.XLOOKUP(Tables!$L$2,'Input LwA_XYZ'!$AH$1:$AV$1,'Input LwA_XYZ'!AH26:AV26),0) &amp; " ft")</f>
        <v>38 / 99 ft</v>
      </c>
      <c r="R27" s="91">
        <f>IF($N27="","",IF(_xlfn.XLOOKUP(Tables!$L$2,'Input LwA_XYZ'!$BV$1:$CJ$1,'Input LwA_XYZ'!BV26:CJ26)="","-",_xlfn.XLOOKUP(Tables!$L$2,'Input LwA_XYZ'!$BV$1:$CJ$1,'Input LwA_XYZ'!BV26:CJ26)))</f>
        <v>5</v>
      </c>
      <c r="S27" s="91" t="str">
        <f>IF($N27="","",IF('Input LwA_XYZ'!S26="","-",'Input LwA_XYZ'!S26))</f>
        <v>-</v>
      </c>
      <c r="T27" s="65">
        <f>IF($N27="","",_xlfn.XLOOKUP(Tables!$L$2,'Input LwA_XYZ'!$DD$1:$DR$1,'Input LwA_XYZ'!DD26:DR26))</f>
        <v>0</v>
      </c>
    </row>
    <row r="28" spans="2:20" ht="16.5" customHeight="1" x14ac:dyDescent="0.3">
      <c r="B28" s="190">
        <f>IF('Input LwA_XYZ'!A27 = 0, "", 'Input LwA_XYZ'!A27)</f>
        <v>1</v>
      </c>
      <c r="C28" s="189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  <c r="N28" s="190">
        <f>IF('Input LwA_XYZ'!A27 = 0, "", 'Input LwA_XYZ'!A27)</f>
        <v>1</v>
      </c>
      <c r="O28" s="189" t="str">
        <f>IF($N28="","",_xlfn.TEXTJOIN(" - ",TRUE,'Input LwA_XYZ'!B27:C27))</f>
        <v>BEF-R05  - Inlet</v>
      </c>
      <c r="P28" s="64">
        <f>IF($N28="","",'Input LwA_XYZ'!Q27)</f>
        <v>66</v>
      </c>
      <c r="Q28" s="91" t="str">
        <f>IF($N28="","",-1*ROUND(_xlfn.XLOOKUP(Tables!$L$2,'Input LwA_XYZ'!$AY$1:$BM$1,'Input LwA_XYZ'!AY27:BM27),0) &amp; " / " &amp; ROUND(_xlfn.XLOOKUP(Tables!$L$2,'Input LwA_XYZ'!$AH$1:$AV$1,'Input LwA_XYZ'!AH27:AV27),0) &amp; " ft")</f>
        <v>40 / 133 ft</v>
      </c>
      <c r="R28" s="91">
        <f>IF($N28="","",IF(_xlfn.XLOOKUP(Tables!$L$2,'Input LwA_XYZ'!$BV$1:$CJ$1,'Input LwA_XYZ'!BV27:CJ27)="","-",_xlfn.XLOOKUP(Tables!$L$2,'Input LwA_XYZ'!$BV$1:$CJ$1,'Input LwA_XYZ'!BV27:CJ27)))</f>
        <v>0</v>
      </c>
      <c r="S28" s="91" t="str">
        <f>IF($N28="","",IF('Input LwA_XYZ'!S27="","-",'Input LwA_XYZ'!S27))</f>
        <v>-</v>
      </c>
      <c r="T28" s="65">
        <f>IF($N28="","",_xlfn.XLOOKUP(Tables!$L$2,'Input LwA_XYZ'!$DD$1:$DR$1,'Input LwA_XYZ'!DD27:DR27))</f>
        <v>0</v>
      </c>
    </row>
    <row r="29" spans="2:20" ht="16.5" customHeight="1" x14ac:dyDescent="0.3">
      <c r="B29" s="190">
        <f>IF('Input LwA_XYZ'!A28 = 0, "", 'Input LwA_XYZ'!A28)</f>
        <v>1</v>
      </c>
      <c r="C29" s="189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  <c r="N29" s="190">
        <f>IF('Input LwA_XYZ'!A28 = 0, "", 'Input LwA_XYZ'!A28)</f>
        <v>1</v>
      </c>
      <c r="O29" s="189" t="str">
        <f>IF($N29="","",_xlfn.TEXTJOIN(" - ",TRUE,'Input LwA_XYZ'!B28:C28))</f>
        <v>BEF-R06  - Inlet</v>
      </c>
      <c r="P29" s="64">
        <f>IF($N29="","",'Input LwA_XYZ'!Q28)</f>
        <v>66</v>
      </c>
      <c r="Q29" s="91" t="str">
        <f>IF($N29="","",-1*ROUND(_xlfn.XLOOKUP(Tables!$L$2,'Input LwA_XYZ'!$AY$1:$BM$1,'Input LwA_XYZ'!AY28:BM28),0) &amp; " / " &amp; ROUND(_xlfn.XLOOKUP(Tables!$L$2,'Input LwA_XYZ'!$AH$1:$AV$1,'Input LwA_XYZ'!AH28:AV28),0) &amp; " ft")</f>
        <v>41 / 142 ft</v>
      </c>
      <c r="R29" s="91">
        <f>IF($N29="","",IF(_xlfn.XLOOKUP(Tables!$L$2,'Input LwA_XYZ'!$BV$1:$CJ$1,'Input LwA_XYZ'!BV28:CJ28)="","-",_xlfn.XLOOKUP(Tables!$L$2,'Input LwA_XYZ'!$BV$1:$CJ$1,'Input LwA_XYZ'!BV28:CJ28)))</f>
        <v>0</v>
      </c>
      <c r="S29" s="91" t="str">
        <f>IF($N29="","",IF('Input LwA_XYZ'!S28="","-",'Input LwA_XYZ'!S28))</f>
        <v>-</v>
      </c>
      <c r="T29" s="65">
        <f>IF($N29="","",_xlfn.XLOOKUP(Tables!$L$2,'Input LwA_XYZ'!$DD$1:$DR$1,'Input LwA_XYZ'!DD28:DR28))</f>
        <v>0</v>
      </c>
    </row>
    <row r="30" spans="2:20" ht="16.5" customHeight="1" x14ac:dyDescent="0.3">
      <c r="B30" s="190">
        <f>IF('Input LwA_XYZ'!A29 = 0, "", 'Input LwA_XYZ'!A29)</f>
        <v>1</v>
      </c>
      <c r="C30" s="189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  <c r="N30" s="190">
        <f>IF('Input LwA_XYZ'!A29 = 0, "", 'Input LwA_XYZ'!A29)</f>
        <v>1</v>
      </c>
      <c r="O30" s="189" t="str">
        <f>IF($N30="","",_xlfn.TEXTJOIN(" - ",TRUE,'Input LwA_XYZ'!B29:C29))</f>
        <v>BEF-R07  - Inlet</v>
      </c>
      <c r="P30" s="64">
        <f>IF($N30="","",'Input LwA_XYZ'!Q29)</f>
        <v>57</v>
      </c>
      <c r="Q30" s="91" t="str">
        <f>IF($N30="","",-1*ROUND(_xlfn.XLOOKUP(Tables!$L$2,'Input LwA_XYZ'!$AY$1:$BM$1,'Input LwA_XYZ'!AY29:BM29),0) &amp; " / " &amp; ROUND(_xlfn.XLOOKUP(Tables!$L$2,'Input LwA_XYZ'!$AH$1:$AV$1,'Input LwA_XYZ'!AH29:AV29),0) &amp; " ft")</f>
        <v>42 / 156 ft</v>
      </c>
      <c r="R30" s="91">
        <f>IF($N30="","",IF(_xlfn.XLOOKUP(Tables!$L$2,'Input LwA_XYZ'!$BV$1:$CJ$1,'Input LwA_XYZ'!BV29:CJ29)="","-",_xlfn.XLOOKUP(Tables!$L$2,'Input LwA_XYZ'!$BV$1:$CJ$1,'Input LwA_XYZ'!BV29:CJ29)))</f>
        <v>0</v>
      </c>
      <c r="S30" s="91" t="str">
        <f>IF($N30="","",IF('Input LwA_XYZ'!S29="","-",'Input LwA_XYZ'!S29))</f>
        <v>-</v>
      </c>
      <c r="T30" s="65">
        <f>IF($N30="","",_xlfn.XLOOKUP(Tables!$L$2,'Input LwA_XYZ'!$DD$1:$DR$1,'Input LwA_XYZ'!DD29:DR29))</f>
        <v>0</v>
      </c>
    </row>
    <row r="31" spans="2:20" ht="16.5" customHeight="1" x14ac:dyDescent="0.3">
      <c r="B31" s="190">
        <f>IF('Input LwA_XYZ'!A30 = 0, "", 'Input LwA_XYZ'!A30)</f>
        <v>1</v>
      </c>
      <c r="C31" s="189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  <c r="N31" s="190">
        <f>IF('Input LwA_XYZ'!A30 = 0, "", 'Input LwA_XYZ'!A30)</f>
        <v>1</v>
      </c>
      <c r="O31" s="189" t="str">
        <f>IF($N31="","",_xlfn.TEXTJOIN(" - ",TRUE,'Input LwA_XYZ'!B30:C30))</f>
        <v>BEF-R08  - Inlet</v>
      </c>
      <c r="P31" s="64">
        <f>IF($N31="","",'Input LwA_XYZ'!Q30)</f>
        <v>57</v>
      </c>
      <c r="Q31" s="91" t="str">
        <f>IF($N31="","",-1*ROUND(_xlfn.XLOOKUP(Tables!$L$2,'Input LwA_XYZ'!$AY$1:$BM$1,'Input LwA_XYZ'!AY30:BM30),0) &amp; " / " &amp; ROUND(_xlfn.XLOOKUP(Tables!$L$2,'Input LwA_XYZ'!$AH$1:$AV$1,'Input LwA_XYZ'!AH30:AV30),0) &amp; " ft")</f>
        <v>43 / 193 ft</v>
      </c>
      <c r="R31" s="91">
        <f>IF($N31="","",IF(_xlfn.XLOOKUP(Tables!$L$2,'Input LwA_XYZ'!$BV$1:$CJ$1,'Input LwA_XYZ'!BV30:CJ30)="","-",_xlfn.XLOOKUP(Tables!$L$2,'Input LwA_XYZ'!$BV$1:$CJ$1,'Input LwA_XYZ'!BV30:CJ30)))</f>
        <v>1</v>
      </c>
      <c r="S31" s="91" t="str">
        <f>IF($N31="","",IF('Input LwA_XYZ'!S30="","-",'Input LwA_XYZ'!S30))</f>
        <v>-</v>
      </c>
      <c r="T31" s="65">
        <f>IF($N31="","",_xlfn.XLOOKUP(Tables!$L$2,'Input LwA_XYZ'!$DD$1:$DR$1,'Input LwA_XYZ'!DD30:DR30))</f>
        <v>0</v>
      </c>
    </row>
    <row r="32" spans="2:20" ht="16.5" customHeight="1" x14ac:dyDescent="0.3">
      <c r="B32" s="190">
        <f>IF('Input LwA_XYZ'!A31 = 0, "", 'Input LwA_XYZ'!A31)</f>
        <v>1</v>
      </c>
      <c r="C32" s="189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  <c r="N32" s="190">
        <f>IF('Input LwA_XYZ'!A31 = 0, "", 'Input LwA_XYZ'!A31)</f>
        <v>1</v>
      </c>
      <c r="O32" s="189" t="str">
        <f>IF($N32="","",_xlfn.TEXTJOIN(" - ",TRUE,'Input LwA_XYZ'!B31:C31))</f>
        <v>BEF-R09  - Inlet</v>
      </c>
      <c r="P32" s="64">
        <f>IF($N32="","",'Input LwA_XYZ'!Q31)</f>
        <v>66</v>
      </c>
      <c r="Q32" s="91" t="str">
        <f>IF($N32="","",-1*ROUND(_xlfn.XLOOKUP(Tables!$L$2,'Input LwA_XYZ'!$AY$1:$BM$1,'Input LwA_XYZ'!AY31:BM31),0) &amp; " / " &amp; ROUND(_xlfn.XLOOKUP(Tables!$L$2,'Input LwA_XYZ'!$AH$1:$AV$1,'Input LwA_XYZ'!AH31:AV31),0) &amp; " ft")</f>
        <v>43 / 186 ft</v>
      </c>
      <c r="R32" s="91">
        <f>IF($N32="","",IF(_xlfn.XLOOKUP(Tables!$L$2,'Input LwA_XYZ'!$BV$1:$CJ$1,'Input LwA_XYZ'!BV31:CJ31)="","-",_xlfn.XLOOKUP(Tables!$L$2,'Input LwA_XYZ'!$BV$1:$CJ$1,'Input LwA_XYZ'!BV31:CJ31)))</f>
        <v>1</v>
      </c>
      <c r="S32" s="91" t="str">
        <f>IF($N32="","",IF('Input LwA_XYZ'!S31="","-",'Input LwA_XYZ'!S31))</f>
        <v>-</v>
      </c>
      <c r="T32" s="65">
        <f>IF($N32="","",_xlfn.XLOOKUP(Tables!$L$2,'Input LwA_XYZ'!$DD$1:$DR$1,'Input LwA_XYZ'!DD31:DR31))</f>
        <v>0</v>
      </c>
    </row>
    <row r="33" spans="2:20" ht="16.5" customHeight="1" x14ac:dyDescent="0.3">
      <c r="B33" s="190">
        <f>IF('Input LwA_XYZ'!A32 = 0, "", 'Input LwA_XYZ'!A32)</f>
        <v>1</v>
      </c>
      <c r="C33" s="189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  <c r="N33" s="190">
        <f>IF('Input LwA_XYZ'!A32 = 0, "", 'Input LwA_XYZ'!A32)</f>
        <v>1</v>
      </c>
      <c r="O33" s="189" t="str">
        <f>IF($N33="","",_xlfn.TEXTJOIN(" - ",TRUE,'Input LwA_XYZ'!B32:C32))</f>
        <v>BEF-R10  - Inlet</v>
      </c>
      <c r="P33" s="64">
        <f>IF($N33="","",'Input LwA_XYZ'!Q32)</f>
        <v>66</v>
      </c>
      <c r="Q33" s="91" t="str">
        <f>IF($N33="","",-1*ROUND(_xlfn.XLOOKUP(Tables!$L$2,'Input LwA_XYZ'!$AY$1:$BM$1,'Input LwA_XYZ'!AY32:BM32),0) &amp; " / " &amp; ROUND(_xlfn.XLOOKUP(Tables!$L$2,'Input LwA_XYZ'!$AH$1:$AV$1,'Input LwA_XYZ'!AH32:AV32),0) &amp; " ft")</f>
        <v>43 / 182 ft</v>
      </c>
      <c r="R33" s="91">
        <f>IF($N33="","",IF(_xlfn.XLOOKUP(Tables!$L$2,'Input LwA_XYZ'!$BV$1:$CJ$1,'Input LwA_XYZ'!BV32:CJ32)="","-",_xlfn.XLOOKUP(Tables!$L$2,'Input LwA_XYZ'!$BV$1:$CJ$1,'Input LwA_XYZ'!BV32:CJ32)))</f>
        <v>7</v>
      </c>
      <c r="S33" s="91" t="str">
        <f>IF($N33="","",IF('Input LwA_XYZ'!S32="","-",'Input LwA_XYZ'!S32))</f>
        <v>-</v>
      </c>
      <c r="T33" s="65">
        <f>IF($N33="","",_xlfn.XLOOKUP(Tables!$L$2,'Input LwA_XYZ'!$DD$1:$DR$1,'Input LwA_XYZ'!DD32:DR32))</f>
        <v>0</v>
      </c>
    </row>
    <row r="34" spans="2:20" ht="16.5" customHeight="1" x14ac:dyDescent="0.3">
      <c r="B34" s="190">
        <f>IF('Input LwA_XYZ'!A33 = 0, "", 'Input LwA_XYZ'!A33)</f>
        <v>1</v>
      </c>
      <c r="C34" s="189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  <c r="N34" s="190">
        <f>IF('Input LwA_XYZ'!A33 = 0, "", 'Input LwA_XYZ'!A33)</f>
        <v>1</v>
      </c>
      <c r="O34" s="189" t="str">
        <f>IF($N34="","",_xlfn.TEXTJOIN(" - ",TRUE,'Input LwA_XYZ'!B33:C33))</f>
        <v>BEF-R11  - Inlet</v>
      </c>
      <c r="P34" s="64">
        <f>IF($N34="","",'Input LwA_XYZ'!Q33)</f>
        <v>66</v>
      </c>
      <c r="Q34" s="91" t="str">
        <f>IF($N34="","",-1*ROUND(_xlfn.XLOOKUP(Tables!$L$2,'Input LwA_XYZ'!$AY$1:$BM$1,'Input LwA_XYZ'!AY33:BM33),0) &amp; " / " &amp; ROUND(_xlfn.XLOOKUP(Tables!$L$2,'Input LwA_XYZ'!$AH$1:$AV$1,'Input LwA_XYZ'!AH33:AV33),0) &amp; " ft")</f>
        <v>43 / 177 ft</v>
      </c>
      <c r="R34" s="91">
        <f>IF($N34="","",IF(_xlfn.XLOOKUP(Tables!$L$2,'Input LwA_XYZ'!$BV$1:$CJ$1,'Input LwA_XYZ'!BV33:CJ33)="","-",_xlfn.XLOOKUP(Tables!$L$2,'Input LwA_XYZ'!$BV$1:$CJ$1,'Input LwA_XYZ'!BV33:CJ33)))</f>
        <v>7</v>
      </c>
      <c r="S34" s="91" t="str">
        <f>IF($N34="","",IF('Input LwA_XYZ'!S33="","-",'Input LwA_XYZ'!S33))</f>
        <v>-</v>
      </c>
      <c r="T34" s="65">
        <f>IF($N34="","",_xlfn.XLOOKUP(Tables!$L$2,'Input LwA_XYZ'!$DD$1:$DR$1,'Input LwA_XYZ'!DD33:DR33))</f>
        <v>0</v>
      </c>
    </row>
    <row r="35" spans="2:20" ht="16.5" customHeight="1" x14ac:dyDescent="0.3">
      <c r="B35" s="190">
        <f>IF('Input LwA_XYZ'!A34 = 0, "", 'Input LwA_XYZ'!A34)</f>
        <v>1</v>
      </c>
      <c r="C35" s="189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  <c r="N35" s="190">
        <f>IF('Input LwA_XYZ'!A34 = 0, "", 'Input LwA_XYZ'!A34)</f>
        <v>1</v>
      </c>
      <c r="O35" s="189" t="str">
        <f>IF($N35="","",_xlfn.TEXTJOIN(" - ",TRUE,'Input LwA_XYZ'!B34:C34))</f>
        <v>BEF-R12  - Inlet</v>
      </c>
      <c r="P35" s="64">
        <f>IF($N35="","",'Input LwA_XYZ'!Q34)</f>
        <v>66</v>
      </c>
      <c r="Q35" s="91" t="str">
        <f>IF($N35="","",-1*ROUND(_xlfn.XLOOKUP(Tables!$L$2,'Input LwA_XYZ'!$AY$1:$BM$1,'Input LwA_XYZ'!AY34:BM34),0) &amp; " / " &amp; ROUND(_xlfn.XLOOKUP(Tables!$L$2,'Input LwA_XYZ'!$AH$1:$AV$1,'Input LwA_XYZ'!AH34:AV34),0) &amp; " ft")</f>
        <v>39 / 116 ft</v>
      </c>
      <c r="R35" s="91">
        <f>IF($N35="","",IF(_xlfn.XLOOKUP(Tables!$L$2,'Input LwA_XYZ'!$BV$1:$CJ$1,'Input LwA_XYZ'!BV34:CJ34)="","-",_xlfn.XLOOKUP(Tables!$L$2,'Input LwA_XYZ'!$BV$1:$CJ$1,'Input LwA_XYZ'!BV34:CJ34)))</f>
        <v>7</v>
      </c>
      <c r="S35" s="91" t="str">
        <f>IF($N35="","",IF('Input LwA_XYZ'!S34="","-",'Input LwA_XYZ'!S34))</f>
        <v>-</v>
      </c>
      <c r="T35" s="65">
        <f>IF($N35="","",_xlfn.XLOOKUP(Tables!$L$2,'Input LwA_XYZ'!$DD$1:$DR$1,'Input LwA_XYZ'!DD34:DR34))</f>
        <v>0</v>
      </c>
    </row>
    <row r="36" spans="2:20" ht="16.5" customHeight="1" x14ac:dyDescent="0.3">
      <c r="B36" s="190">
        <f>IF('Input LwA_XYZ'!A35 = 0, "", 'Input LwA_XYZ'!A35)</f>
        <v>1</v>
      </c>
      <c r="C36" s="189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  <c r="N36" s="190">
        <f>IF('Input LwA_XYZ'!A35 = 0, "", 'Input LwA_XYZ'!A35)</f>
        <v>1</v>
      </c>
      <c r="O36" s="189" t="str">
        <f>IF($N36="","",_xlfn.TEXTJOIN(" - ",TRUE,'Input LwA_XYZ'!B35:C35))</f>
        <v>BEF-R13  - Inlet</v>
      </c>
      <c r="P36" s="64">
        <f>IF($N36="","",'Input LwA_XYZ'!Q35)</f>
        <v>66</v>
      </c>
      <c r="Q36" s="91" t="str">
        <f>IF($N36="","",-1*ROUND(_xlfn.XLOOKUP(Tables!$L$2,'Input LwA_XYZ'!$AY$1:$BM$1,'Input LwA_XYZ'!AY35:BM35),0) &amp; " / " &amp; ROUND(_xlfn.XLOOKUP(Tables!$L$2,'Input LwA_XYZ'!$AH$1:$AV$1,'Input LwA_XYZ'!AH35:AV35),0) &amp; " ft")</f>
        <v>35 / 77 ft</v>
      </c>
      <c r="R36" s="91">
        <f>IF($N36="","",IF(_xlfn.XLOOKUP(Tables!$L$2,'Input LwA_XYZ'!$BV$1:$CJ$1,'Input LwA_XYZ'!BV35:CJ35)="","-",_xlfn.XLOOKUP(Tables!$L$2,'Input LwA_XYZ'!$BV$1:$CJ$1,'Input LwA_XYZ'!BV35:CJ35)))</f>
        <v>5</v>
      </c>
      <c r="S36" s="91" t="str">
        <f>IF($N36="","",IF('Input LwA_XYZ'!S35="","-",'Input LwA_XYZ'!S35))</f>
        <v>-</v>
      </c>
      <c r="T36" s="65">
        <f>IF($N36="","",_xlfn.XLOOKUP(Tables!$L$2,'Input LwA_XYZ'!$DD$1:$DR$1,'Input LwA_XYZ'!DD35:DR35))</f>
        <v>0</v>
      </c>
    </row>
    <row r="37" spans="2:20" ht="16.5" customHeight="1" x14ac:dyDescent="0.3">
      <c r="B37" s="190">
        <f>IF('Input LwA_XYZ'!A36 = 0, "", 'Input LwA_XYZ'!A36)</f>
        <v>1</v>
      </c>
      <c r="C37" s="189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  <c r="N37" s="190">
        <f>IF('Input LwA_XYZ'!A36 = 0, "", 'Input LwA_XYZ'!A36)</f>
        <v>1</v>
      </c>
      <c r="O37" s="189" t="str">
        <f>IF($N37="","",_xlfn.TEXTJOIN(" - ",TRUE,'Input LwA_XYZ'!B36:C36))</f>
        <v>BEF-R14  - Inlet</v>
      </c>
      <c r="P37" s="64">
        <f>IF($N37="","",'Input LwA_XYZ'!Q36)</f>
        <v>66</v>
      </c>
      <c r="Q37" s="91" t="str">
        <f>IF($N37="","",-1*ROUND(_xlfn.XLOOKUP(Tables!$L$2,'Input LwA_XYZ'!$AY$1:$BM$1,'Input LwA_XYZ'!AY36:BM36),0) &amp; " / " &amp; ROUND(_xlfn.XLOOKUP(Tables!$L$2,'Input LwA_XYZ'!$AH$1:$AV$1,'Input LwA_XYZ'!AH36:AV36),0) &amp; " ft")</f>
        <v>32 / 53 ft</v>
      </c>
      <c r="R37" s="91">
        <f>IF($N37="","",IF(_xlfn.XLOOKUP(Tables!$L$2,'Input LwA_XYZ'!$BV$1:$CJ$1,'Input LwA_XYZ'!BV36:CJ36)="","-",_xlfn.XLOOKUP(Tables!$L$2,'Input LwA_XYZ'!$BV$1:$CJ$1,'Input LwA_XYZ'!BV36:CJ36)))</f>
        <v>2</v>
      </c>
      <c r="S37" s="91" t="str">
        <f>IF($N37="","",IF('Input LwA_XYZ'!S36="","-",'Input LwA_XYZ'!S36))</f>
        <v>-</v>
      </c>
      <c r="T37" s="65">
        <f>IF($N37="","",_xlfn.XLOOKUP(Tables!$L$2,'Input LwA_XYZ'!$DD$1:$DR$1,'Input LwA_XYZ'!DD36:DR36))</f>
        <v>0</v>
      </c>
    </row>
    <row r="38" spans="2:20" ht="16.5" customHeight="1" x14ac:dyDescent="0.3">
      <c r="B38" s="190">
        <f>IF('Input LwA_XYZ'!A37 = 0, "", 'Input LwA_XYZ'!A37)</f>
        <v>1</v>
      </c>
      <c r="C38" s="189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  <c r="N38" s="190">
        <f>IF('Input LwA_XYZ'!A37 = 0, "", 'Input LwA_XYZ'!A37)</f>
        <v>1</v>
      </c>
      <c r="O38" s="189" t="str">
        <f>IF($N38="","",_xlfn.TEXTJOIN(" - ",TRUE,'Input LwA_XYZ'!B37:C37))</f>
        <v>BEF-R15  - Inlet</v>
      </c>
      <c r="P38" s="64">
        <f>IF($N38="","",'Input LwA_XYZ'!Q37)</f>
        <v>57</v>
      </c>
      <c r="Q38" s="91" t="str">
        <f>IF($N38="","",-1*ROUND(_xlfn.XLOOKUP(Tables!$L$2,'Input LwA_XYZ'!$AY$1:$BM$1,'Input LwA_XYZ'!AY37:BM37),0) &amp; " / " &amp; ROUND(_xlfn.XLOOKUP(Tables!$L$2,'Input LwA_XYZ'!$AH$1:$AV$1,'Input LwA_XYZ'!AH37:AV37),0) &amp; " ft")</f>
        <v>30 / 40 ft</v>
      </c>
      <c r="R38" s="91">
        <f>IF($N38="","",IF(_xlfn.XLOOKUP(Tables!$L$2,'Input LwA_XYZ'!$BV$1:$CJ$1,'Input LwA_XYZ'!BV37:CJ37)="","-",_xlfn.XLOOKUP(Tables!$L$2,'Input LwA_XYZ'!$BV$1:$CJ$1,'Input LwA_XYZ'!BV37:CJ37)))</f>
        <v>0</v>
      </c>
      <c r="S38" s="91" t="str">
        <f>IF($N38="","",IF('Input LwA_XYZ'!S37="","-",'Input LwA_XYZ'!S37))</f>
        <v>-</v>
      </c>
      <c r="T38" s="65">
        <f>IF($N38="","",_xlfn.XLOOKUP(Tables!$L$2,'Input LwA_XYZ'!$DD$1:$DR$1,'Input LwA_XYZ'!DD37:DR37))</f>
        <v>0</v>
      </c>
    </row>
    <row r="39" spans="2:20" ht="16.5" customHeight="1" x14ac:dyDescent="0.3">
      <c r="B39" s="190">
        <f>IF('Input LwA_XYZ'!A38 = 0, "", 'Input LwA_XYZ'!A38)</f>
        <v>1</v>
      </c>
      <c r="C39" s="189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  <c r="N39" s="190">
        <f>IF('Input LwA_XYZ'!A38 = 0, "", 'Input LwA_XYZ'!A38)</f>
        <v>1</v>
      </c>
      <c r="O39" s="189" t="str">
        <f>IF($N39="","",_xlfn.TEXTJOIN(" - ",TRUE,'Input LwA_XYZ'!B38:C38))</f>
        <v>BEF-R16  - Inlet</v>
      </c>
      <c r="P39" s="64">
        <f>IF($N39="","",'Input LwA_XYZ'!Q38)</f>
        <v>57</v>
      </c>
      <c r="Q39" s="91" t="str">
        <f>IF($N39="","",-1*ROUND(_xlfn.XLOOKUP(Tables!$L$2,'Input LwA_XYZ'!$AY$1:$BM$1,'Input LwA_XYZ'!AY38:BM38),0) &amp; " / " &amp; ROUND(_xlfn.XLOOKUP(Tables!$L$2,'Input LwA_XYZ'!$AH$1:$AV$1,'Input LwA_XYZ'!AH38:AV38),0) &amp; " ft")</f>
        <v>40 / 128 ft</v>
      </c>
      <c r="R39" s="91">
        <f>IF($N39="","",IF(_xlfn.XLOOKUP(Tables!$L$2,'Input LwA_XYZ'!$BV$1:$CJ$1,'Input LwA_XYZ'!BV38:CJ38)="","-",_xlfn.XLOOKUP(Tables!$L$2,'Input LwA_XYZ'!$BV$1:$CJ$1,'Input LwA_XYZ'!BV38:CJ38)))</f>
        <v>7</v>
      </c>
      <c r="S39" s="91" t="str">
        <f>IF($N39="","",IF('Input LwA_XYZ'!S38="","-",'Input LwA_XYZ'!S38))</f>
        <v>-</v>
      </c>
      <c r="T39" s="65">
        <f>IF($N39="","",_xlfn.XLOOKUP(Tables!$L$2,'Input LwA_XYZ'!$DD$1:$DR$1,'Input LwA_XYZ'!DD38:DR38))</f>
        <v>0</v>
      </c>
    </row>
    <row r="40" spans="2:20" ht="16.5" customHeight="1" x14ac:dyDescent="0.3">
      <c r="B40" s="190" t="str">
        <f>IF('Input LwA_XYZ'!A39 = 0, "", 'Input LwA_XYZ'!A39)</f>
        <v/>
      </c>
      <c r="C40" s="189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  <c r="N40" s="190" t="str">
        <f>IF('Input LwA_XYZ'!A39 = 0, "", 'Input LwA_XYZ'!A39)</f>
        <v/>
      </c>
      <c r="O40" s="189" t="str">
        <f>IF($N40="","",_xlfn.TEXTJOIN(" - ",TRUE,'Input LwA_XYZ'!B39:C39))</f>
        <v/>
      </c>
      <c r="P40" s="64" t="str">
        <f>IF($N40="","",'Input LwA_XYZ'!Q39)</f>
        <v/>
      </c>
      <c r="Q40" s="91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91" t="str">
        <f>IF($N40="","",IF(_xlfn.XLOOKUP(Tables!$L$2,'Input LwA_XYZ'!$BV$1:$CJ$1,'Input LwA_XYZ'!BV39:CJ39)="","-",_xlfn.XLOOKUP(Tables!$L$2,'Input LwA_XYZ'!$BV$1:$CJ$1,'Input LwA_XYZ'!BV39:CJ39)))</f>
        <v/>
      </c>
      <c r="S40" s="91" t="str">
        <f>IF($N40="","",IF('Input LwA_XYZ'!S39="","-",'Input LwA_XYZ'!S39))</f>
        <v/>
      </c>
      <c r="T40" s="65" t="str">
        <f>IF($N40="","",_xlfn.XLOOKUP(Tables!$L$2,'Input LwA_XYZ'!$DD$1:$DR$1,'Input LwA_XYZ'!DD39:DR39))</f>
        <v/>
      </c>
    </row>
    <row r="41" spans="2:20" ht="16.5" customHeight="1" x14ac:dyDescent="0.3">
      <c r="B41" s="190" t="str">
        <f>IF('Input LwA_XYZ'!A40 = 0, "", 'Input LwA_XYZ'!A40)</f>
        <v/>
      </c>
      <c r="C41" s="189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  <c r="N41" s="190" t="str">
        <f>IF('Input LwA_XYZ'!A40 = 0, "", 'Input LwA_XYZ'!A40)</f>
        <v/>
      </c>
      <c r="O41" s="189" t="str">
        <f>IF($N41="","",_xlfn.TEXTJOIN(" - ",TRUE,'Input LwA_XYZ'!B40:C40))</f>
        <v/>
      </c>
      <c r="P41" s="64" t="str">
        <f>IF($N41="","",'Input LwA_XYZ'!Q40)</f>
        <v/>
      </c>
      <c r="Q41" s="91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91" t="str">
        <f>IF($N41="","",IF(_xlfn.XLOOKUP(Tables!$L$2,'Input LwA_XYZ'!$BV$1:$CJ$1,'Input LwA_XYZ'!BV40:CJ40)="","-",_xlfn.XLOOKUP(Tables!$L$2,'Input LwA_XYZ'!$BV$1:$CJ$1,'Input LwA_XYZ'!BV40:CJ40)))</f>
        <v/>
      </c>
      <c r="S41" s="91" t="str">
        <f>IF($N41="","",IF('Input LwA_XYZ'!S40="","-",'Input LwA_XYZ'!S40))</f>
        <v/>
      </c>
      <c r="T41" s="65" t="str">
        <f>IF($N41="","",_xlfn.XLOOKUP(Tables!$L$2,'Input LwA_XYZ'!$DD$1:$DR$1,'Input LwA_XYZ'!DD40:DR40))</f>
        <v/>
      </c>
    </row>
    <row r="42" spans="2:20" ht="16.5" customHeight="1" x14ac:dyDescent="0.3">
      <c r="B42" s="190" t="str">
        <f>IF('Input LwA_XYZ'!A41 = 0, "", 'Input LwA_XYZ'!A41)</f>
        <v/>
      </c>
      <c r="C42" s="189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  <c r="N42" s="190" t="str">
        <f>IF('Input LwA_XYZ'!A41 = 0, "", 'Input LwA_XYZ'!A41)</f>
        <v/>
      </c>
      <c r="O42" s="189" t="str">
        <f>IF($N42="","",_xlfn.TEXTJOIN(" - ",TRUE,'Input LwA_XYZ'!B41:C41))</f>
        <v/>
      </c>
      <c r="P42" s="64" t="str">
        <f>IF($N42="","",'Input LwA_XYZ'!Q41)</f>
        <v/>
      </c>
      <c r="Q42" s="91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91" t="str">
        <f>IF($N42="","",IF(_xlfn.XLOOKUP(Tables!$L$2,'Input LwA_XYZ'!$BV$1:$CJ$1,'Input LwA_XYZ'!BV41:CJ41)="","-",_xlfn.XLOOKUP(Tables!$L$2,'Input LwA_XYZ'!$BV$1:$CJ$1,'Input LwA_XYZ'!BV41:CJ41)))</f>
        <v/>
      </c>
      <c r="S42" s="91" t="str">
        <f>IF($N42="","",IF('Input LwA_XYZ'!S41="","-",'Input LwA_XYZ'!S41))</f>
        <v/>
      </c>
      <c r="T42" s="65" t="str">
        <f>IF($N42="","",_xlfn.XLOOKUP(Tables!$L$2,'Input LwA_XYZ'!$DD$1:$DR$1,'Input LwA_XYZ'!DD41:DR41))</f>
        <v/>
      </c>
    </row>
    <row r="43" spans="2:20" ht="16.5" customHeight="1" x14ac:dyDescent="0.3">
      <c r="B43" s="190" t="str">
        <f>IF('Input LwA_XYZ'!A42 = 0, "", 'Input LwA_XYZ'!A42)</f>
        <v/>
      </c>
      <c r="C43" s="189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  <c r="N43" s="190" t="str">
        <f>IF('Input LwA_XYZ'!A42 = 0, "", 'Input LwA_XYZ'!A42)</f>
        <v/>
      </c>
      <c r="O43" s="189" t="str">
        <f>IF($N43="","",_xlfn.TEXTJOIN(" - ",TRUE,'Input LwA_XYZ'!B42:C42))</f>
        <v/>
      </c>
      <c r="P43" s="64" t="str">
        <f>IF($N43="","",'Input LwA_XYZ'!Q42)</f>
        <v/>
      </c>
      <c r="Q43" s="91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91" t="str">
        <f>IF($N43="","",IF(_xlfn.XLOOKUP(Tables!$L$2,'Input LwA_XYZ'!$BV$1:$CJ$1,'Input LwA_XYZ'!BV42:CJ42)="","-",_xlfn.XLOOKUP(Tables!$L$2,'Input LwA_XYZ'!$BV$1:$CJ$1,'Input LwA_XYZ'!BV42:CJ42)))</f>
        <v/>
      </c>
      <c r="S43" s="91" t="str">
        <f>IF($N43="","",IF('Input LwA_XYZ'!S42="","-",'Input LwA_XYZ'!S42))</f>
        <v/>
      </c>
      <c r="T43" s="65" t="str">
        <f>IF($N43="","",_xlfn.XLOOKUP(Tables!$L$2,'Input LwA_XYZ'!$DD$1:$DR$1,'Input LwA_XYZ'!DD42:DR42))</f>
        <v/>
      </c>
    </row>
    <row r="44" spans="2:20" ht="16.5" customHeight="1" x14ac:dyDescent="0.3">
      <c r="B44" s="190" t="str">
        <f>IF('Input LwA_XYZ'!A43 = 0, "", 'Input LwA_XYZ'!A43)</f>
        <v/>
      </c>
      <c r="C44" s="189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  <c r="N44" s="190" t="str">
        <f>IF('Input LwA_XYZ'!A43 = 0, "", 'Input LwA_XYZ'!A43)</f>
        <v/>
      </c>
      <c r="O44" s="189" t="str">
        <f>IF($N44="","",_xlfn.TEXTJOIN(" - ",TRUE,'Input LwA_XYZ'!B43:C43))</f>
        <v/>
      </c>
      <c r="P44" s="64" t="str">
        <f>IF($N44="","",'Input LwA_XYZ'!Q43)</f>
        <v/>
      </c>
      <c r="Q44" s="91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91" t="str">
        <f>IF($N44="","",IF(_xlfn.XLOOKUP(Tables!$L$2,'Input LwA_XYZ'!$BV$1:$CJ$1,'Input LwA_XYZ'!BV43:CJ43)="","-",_xlfn.XLOOKUP(Tables!$L$2,'Input LwA_XYZ'!$BV$1:$CJ$1,'Input LwA_XYZ'!BV43:CJ43)))</f>
        <v/>
      </c>
      <c r="S44" s="91" t="str">
        <f>IF($N44="","",IF('Input LwA_XYZ'!S43="","-",'Input LwA_XYZ'!S43))</f>
        <v/>
      </c>
      <c r="T44" s="65" t="str">
        <f>IF($N44="","",_xlfn.XLOOKUP(Tables!$L$2,'Input LwA_XYZ'!$DD$1:$DR$1,'Input LwA_XYZ'!DD43:DR43))</f>
        <v/>
      </c>
    </row>
    <row r="45" spans="2:20" ht="16.5" customHeight="1" x14ac:dyDescent="0.3">
      <c r="B45" s="190" t="str">
        <f>IF('Input LwA_XYZ'!A44 = 0, "", 'Input LwA_XYZ'!A44)</f>
        <v/>
      </c>
      <c r="C45" s="189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  <c r="N45" s="190" t="str">
        <f>IF('Input LwA_XYZ'!A44 = 0, "", 'Input LwA_XYZ'!A44)</f>
        <v/>
      </c>
      <c r="O45" s="189" t="str">
        <f>IF($N45="","",_xlfn.TEXTJOIN(" - ",TRUE,'Input LwA_XYZ'!B44:C44))</f>
        <v/>
      </c>
      <c r="P45" s="64" t="str">
        <f>IF($N45="","",'Input LwA_XYZ'!Q44)</f>
        <v/>
      </c>
      <c r="Q45" s="91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91" t="str">
        <f>IF($N45="","",IF(_xlfn.XLOOKUP(Tables!$L$2,'Input LwA_XYZ'!$BV$1:$CJ$1,'Input LwA_XYZ'!BV44:CJ44)="","-",_xlfn.XLOOKUP(Tables!$L$2,'Input LwA_XYZ'!$BV$1:$CJ$1,'Input LwA_XYZ'!BV44:CJ44)))</f>
        <v/>
      </c>
      <c r="S45" s="91" t="str">
        <f>IF($N45="","",IF('Input LwA_XYZ'!S44="","-",'Input LwA_XYZ'!S44))</f>
        <v/>
      </c>
      <c r="T45" s="65" t="str">
        <f>IF($N45="","",_xlfn.XLOOKUP(Tables!$L$2,'Input LwA_XYZ'!$DD$1:$DR$1,'Input LwA_XYZ'!DD44:DR44))</f>
        <v/>
      </c>
    </row>
    <row r="46" spans="2:20" ht="16.5" customHeight="1" x14ac:dyDescent="0.3">
      <c r="B46" s="190" t="str">
        <f>IF('Input LwA_XYZ'!A45 = 0, "", 'Input LwA_XYZ'!A45)</f>
        <v/>
      </c>
      <c r="C46" s="189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  <c r="N46" s="190" t="str">
        <f>IF('Input LwA_XYZ'!A45 = 0, "", 'Input LwA_XYZ'!A45)</f>
        <v/>
      </c>
      <c r="O46" s="189" t="str">
        <f>IF($N46="","",_xlfn.TEXTJOIN(" - ",TRUE,'Input LwA_XYZ'!B45:C45))</f>
        <v/>
      </c>
      <c r="P46" s="64" t="str">
        <f>IF($N46="","",'Input LwA_XYZ'!Q45)</f>
        <v/>
      </c>
      <c r="Q46" s="91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91" t="str">
        <f>IF($N46="","",IF(_xlfn.XLOOKUP(Tables!$L$2,'Input LwA_XYZ'!$BV$1:$CJ$1,'Input LwA_XYZ'!BV45:CJ45)="","-",_xlfn.XLOOKUP(Tables!$L$2,'Input LwA_XYZ'!$BV$1:$CJ$1,'Input LwA_XYZ'!BV45:CJ45)))</f>
        <v/>
      </c>
      <c r="S46" s="91" t="str">
        <f>IF($N46="","",IF('Input LwA_XYZ'!S45="","-",'Input LwA_XYZ'!S45))</f>
        <v/>
      </c>
      <c r="T46" s="65" t="str">
        <f>IF($N46="","",_xlfn.XLOOKUP(Tables!$L$2,'Input LwA_XYZ'!$DD$1:$DR$1,'Input LwA_XYZ'!DD45:DR45))</f>
        <v/>
      </c>
    </row>
    <row r="47" spans="2:20" ht="16.5" customHeight="1" x14ac:dyDescent="0.3">
      <c r="B47" s="190" t="str">
        <f>IF('Input LwA_XYZ'!A46 = 0, "", 'Input LwA_XYZ'!A46)</f>
        <v/>
      </c>
      <c r="C47" s="189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  <c r="N47" s="190" t="str">
        <f>IF('Input LwA_XYZ'!A46 = 0, "", 'Input LwA_XYZ'!A46)</f>
        <v/>
      </c>
      <c r="O47" s="189" t="str">
        <f>IF($N47="","",_xlfn.TEXTJOIN(" - ",TRUE,'Input LwA_XYZ'!B46:C46))</f>
        <v/>
      </c>
      <c r="P47" s="64" t="str">
        <f>IF($N47="","",'Input LwA_XYZ'!Q46)</f>
        <v/>
      </c>
      <c r="Q47" s="91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91" t="str">
        <f>IF($N47="","",IF(_xlfn.XLOOKUP(Tables!$L$2,'Input LwA_XYZ'!$BV$1:$CJ$1,'Input LwA_XYZ'!BV46:CJ46)="","-",_xlfn.XLOOKUP(Tables!$L$2,'Input LwA_XYZ'!$BV$1:$CJ$1,'Input LwA_XYZ'!BV46:CJ46)))</f>
        <v/>
      </c>
      <c r="S47" s="91" t="str">
        <f>IF($N47="","",IF('Input LwA_XYZ'!S46="","-",'Input LwA_XYZ'!S46))</f>
        <v/>
      </c>
      <c r="T47" s="65" t="str">
        <f>IF($N47="","",_xlfn.XLOOKUP(Tables!$L$2,'Input LwA_XYZ'!$DD$1:$DR$1,'Input LwA_XYZ'!DD46:DR46))</f>
        <v/>
      </c>
    </row>
    <row r="48" spans="2:20" ht="16.5" customHeight="1" x14ac:dyDescent="0.3">
      <c r="B48" s="190" t="str">
        <f>IF('Input LwA_XYZ'!A47 = 0, "", 'Input LwA_XYZ'!A47)</f>
        <v/>
      </c>
      <c r="C48" s="189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  <c r="N48" s="190" t="str">
        <f>IF('Input LwA_XYZ'!A47 = 0, "", 'Input LwA_XYZ'!A47)</f>
        <v/>
      </c>
      <c r="O48" s="189" t="str">
        <f>IF($N48="","",_xlfn.TEXTJOIN(" - ",TRUE,'Input LwA_XYZ'!B47:C47))</f>
        <v/>
      </c>
      <c r="P48" s="64" t="str">
        <f>IF($N48="","",'Input LwA_XYZ'!Q47)</f>
        <v/>
      </c>
      <c r="Q48" s="91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91" t="str">
        <f>IF($N48="","",IF(_xlfn.XLOOKUP(Tables!$L$2,'Input LwA_XYZ'!$BV$1:$CJ$1,'Input LwA_XYZ'!BV47:CJ47)="","-",_xlfn.XLOOKUP(Tables!$L$2,'Input LwA_XYZ'!$BV$1:$CJ$1,'Input LwA_XYZ'!BV47:CJ47)))</f>
        <v/>
      </c>
      <c r="S48" s="91" t="str">
        <f>IF($N48="","",IF('Input LwA_XYZ'!S47="","-",'Input LwA_XYZ'!S47))</f>
        <v/>
      </c>
      <c r="T48" s="65" t="str">
        <f>IF($N48="","",_xlfn.XLOOKUP(Tables!$L$2,'Input LwA_XYZ'!$DD$1:$DR$1,'Input LwA_XYZ'!DD47:DR47))</f>
        <v/>
      </c>
    </row>
    <row r="49" spans="2:20" ht="16.5" customHeight="1" x14ac:dyDescent="0.3">
      <c r="B49" s="190" t="str">
        <f>IF('Input LwA_XYZ'!A48 = 0, "", 'Input LwA_XYZ'!A48)</f>
        <v/>
      </c>
      <c r="C49" s="189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  <c r="N49" s="190" t="str">
        <f>IF('Input LwA_XYZ'!A48 = 0, "", 'Input LwA_XYZ'!A48)</f>
        <v/>
      </c>
      <c r="O49" s="189" t="str">
        <f>IF($N49="","",_xlfn.TEXTJOIN(" - ",TRUE,'Input LwA_XYZ'!B48:C48))</f>
        <v/>
      </c>
      <c r="P49" s="64" t="str">
        <f>IF($N49="","",'Input LwA_XYZ'!Q48)</f>
        <v/>
      </c>
      <c r="Q49" s="91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91" t="str">
        <f>IF($N49="","",IF(_xlfn.XLOOKUP(Tables!$L$2,'Input LwA_XYZ'!$BV$1:$CJ$1,'Input LwA_XYZ'!BV48:CJ48)="","-",_xlfn.XLOOKUP(Tables!$L$2,'Input LwA_XYZ'!$BV$1:$CJ$1,'Input LwA_XYZ'!BV48:CJ48)))</f>
        <v/>
      </c>
      <c r="S49" s="91" t="str">
        <f>IF($N49="","",IF('Input LwA_XYZ'!S48="","-",'Input LwA_XYZ'!S48))</f>
        <v/>
      </c>
      <c r="T49" s="65" t="str">
        <f>IF($N49="","",_xlfn.XLOOKUP(Tables!$L$2,'Input LwA_XYZ'!$DD$1:$DR$1,'Input LwA_XYZ'!DD48:DR48))</f>
        <v/>
      </c>
    </row>
    <row r="50" spans="2:20" ht="16.5" customHeight="1" x14ac:dyDescent="0.3">
      <c r="B50" s="190" t="str">
        <f>IF('Input LwA_XYZ'!A49 = 0, "", 'Input LwA_XYZ'!A49)</f>
        <v/>
      </c>
      <c r="C50" s="189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  <c r="N50" s="190" t="str">
        <f>IF('Input LwA_XYZ'!A49 = 0, "", 'Input LwA_XYZ'!A49)</f>
        <v/>
      </c>
      <c r="O50" s="189" t="str">
        <f>IF($N50="","",_xlfn.TEXTJOIN(" - ",TRUE,'Input LwA_XYZ'!B49:C49))</f>
        <v/>
      </c>
      <c r="P50" s="64" t="str">
        <f>IF($N50="","",'Input LwA_XYZ'!Q49)</f>
        <v/>
      </c>
      <c r="Q50" s="91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91" t="str">
        <f>IF($N50="","",IF(_xlfn.XLOOKUP(Tables!$L$2,'Input LwA_XYZ'!$BV$1:$CJ$1,'Input LwA_XYZ'!BV49:CJ49)="","-",_xlfn.XLOOKUP(Tables!$L$2,'Input LwA_XYZ'!$BV$1:$CJ$1,'Input LwA_XYZ'!BV49:CJ49)))</f>
        <v/>
      </c>
      <c r="S50" s="91" t="str">
        <f>IF($N50="","",IF('Input LwA_XYZ'!S49="","-",'Input LwA_XYZ'!S49))</f>
        <v/>
      </c>
      <c r="T50" s="65" t="str">
        <f>IF($N50="","",_xlfn.XLOOKUP(Tables!$L$2,'Input LwA_XYZ'!$DD$1:$DR$1,'Input LwA_XYZ'!DD49:DR49))</f>
        <v/>
      </c>
    </row>
    <row r="51" spans="2:20" ht="16.5" customHeight="1" x14ac:dyDescent="0.3">
      <c r="B51" s="190" t="str">
        <f>IF('Input LwA_XYZ'!A50 = 0, "", 'Input LwA_XYZ'!A50)</f>
        <v/>
      </c>
      <c r="C51" s="189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  <c r="N51" s="190" t="str">
        <f>IF('Input LwA_XYZ'!A50 = 0, "", 'Input LwA_XYZ'!A50)</f>
        <v/>
      </c>
      <c r="O51" s="189" t="str">
        <f>IF($N51="","",_xlfn.TEXTJOIN(" - ",TRUE,'Input LwA_XYZ'!B50:C50))</f>
        <v/>
      </c>
      <c r="P51" s="64" t="str">
        <f>IF($N51="","",'Input LwA_XYZ'!Q50)</f>
        <v/>
      </c>
      <c r="Q51" s="91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91" t="str">
        <f>IF($N51="","",IF(_xlfn.XLOOKUP(Tables!$L$2,'Input LwA_XYZ'!$BV$1:$CJ$1,'Input LwA_XYZ'!BV50:CJ50)="","-",_xlfn.XLOOKUP(Tables!$L$2,'Input LwA_XYZ'!$BV$1:$CJ$1,'Input LwA_XYZ'!BV50:CJ50)))</f>
        <v/>
      </c>
      <c r="S51" s="91" t="str">
        <f>IF($N51="","",IF('Input LwA_XYZ'!S50="","-",'Input LwA_XYZ'!S50))</f>
        <v/>
      </c>
      <c r="T51" s="65" t="str">
        <f>IF($N51="","",_xlfn.XLOOKUP(Tables!$L$2,'Input LwA_XYZ'!$DD$1:$DR$1,'Input LwA_XYZ'!DD50:DR50))</f>
        <v/>
      </c>
    </row>
    <row r="52" spans="2:20" ht="16.5" customHeight="1" x14ac:dyDescent="0.3">
      <c r="B52" s="190" t="str">
        <f>IF('Input LwA_XYZ'!A51 = 0, "", 'Input LwA_XYZ'!A51)</f>
        <v/>
      </c>
      <c r="C52" s="189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  <c r="N52" s="190" t="str">
        <f>IF('Input LwA_XYZ'!A51 = 0, "", 'Input LwA_XYZ'!A51)</f>
        <v/>
      </c>
      <c r="O52" s="189" t="str">
        <f>IF($N52="","",_xlfn.TEXTJOIN(" - ",TRUE,'Input LwA_XYZ'!B51:C51))</f>
        <v/>
      </c>
      <c r="P52" s="64" t="str">
        <f>IF($N52="","",'Input LwA_XYZ'!Q51)</f>
        <v/>
      </c>
      <c r="Q52" s="91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91" t="str">
        <f>IF($N52="","",IF(_xlfn.XLOOKUP(Tables!$L$2,'Input LwA_XYZ'!$BV$1:$CJ$1,'Input LwA_XYZ'!BV51:CJ51)="","-",_xlfn.XLOOKUP(Tables!$L$2,'Input LwA_XYZ'!$BV$1:$CJ$1,'Input LwA_XYZ'!BV51:CJ51)))</f>
        <v/>
      </c>
      <c r="S52" s="91" t="str">
        <f>IF($N52="","",IF('Input LwA_XYZ'!S51="","-",'Input LwA_XYZ'!S51))</f>
        <v/>
      </c>
      <c r="T52" s="65" t="str">
        <f>IF($N52="","",_xlfn.XLOOKUP(Tables!$L$2,'Input LwA_XYZ'!$DD$1:$DR$1,'Input LwA_XYZ'!DD51:DR51))</f>
        <v/>
      </c>
    </row>
    <row r="53" spans="2:20" ht="16.5" customHeight="1" x14ac:dyDescent="0.3">
      <c r="B53" s="190" t="str">
        <f>IF('Input LwA_XYZ'!A52 = 0, "", 'Input LwA_XYZ'!A52)</f>
        <v/>
      </c>
      <c r="C53" s="189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  <c r="N53" s="190" t="str">
        <f>IF('Input LwA_XYZ'!A52 = 0, "", 'Input LwA_XYZ'!A52)</f>
        <v/>
      </c>
      <c r="O53" s="189" t="str">
        <f>IF($N53="","",_xlfn.TEXTJOIN(" - ",TRUE,'Input LwA_XYZ'!B52:C52))</f>
        <v/>
      </c>
      <c r="P53" s="64" t="str">
        <f>IF($N53="","",'Input LwA_XYZ'!Q52)</f>
        <v/>
      </c>
      <c r="Q53" s="91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91" t="str">
        <f>IF($N53="","",IF(_xlfn.XLOOKUP(Tables!$L$2,'Input LwA_XYZ'!$BV$1:$CJ$1,'Input LwA_XYZ'!BV52:CJ52)="","-",_xlfn.XLOOKUP(Tables!$L$2,'Input LwA_XYZ'!$BV$1:$CJ$1,'Input LwA_XYZ'!BV52:CJ52)))</f>
        <v/>
      </c>
      <c r="S53" s="91" t="str">
        <f>IF($N53="","",IF('Input LwA_XYZ'!S52="","-",'Input LwA_XYZ'!S52))</f>
        <v/>
      </c>
      <c r="T53" s="65" t="str">
        <f>IF($N53="","",_xlfn.XLOOKUP(Tables!$L$2,'Input LwA_XYZ'!$DD$1:$DR$1,'Input LwA_XYZ'!DD52:DR52))</f>
        <v/>
      </c>
    </row>
    <row r="54" spans="2:20" ht="16.5" customHeight="1" x14ac:dyDescent="0.3">
      <c r="B54" s="190" t="str">
        <f>IF('Input LwA_XYZ'!A53 = 0, "", 'Input LwA_XYZ'!A53)</f>
        <v/>
      </c>
      <c r="C54" s="189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  <c r="N54" s="190" t="str">
        <f>IF('Input LwA_XYZ'!A53 = 0, "", 'Input LwA_XYZ'!A53)</f>
        <v/>
      </c>
      <c r="O54" s="189" t="str">
        <f>IF($N54="","",_xlfn.TEXTJOIN(" - ",TRUE,'Input LwA_XYZ'!B53:C53))</f>
        <v/>
      </c>
      <c r="P54" s="64" t="str">
        <f>IF($N54="","",'Input LwA_XYZ'!Q53)</f>
        <v/>
      </c>
      <c r="Q54" s="91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91" t="str">
        <f>IF($N54="","",IF(_xlfn.XLOOKUP(Tables!$L$2,'Input LwA_XYZ'!$BV$1:$CJ$1,'Input LwA_XYZ'!BV53:CJ53)="","-",_xlfn.XLOOKUP(Tables!$L$2,'Input LwA_XYZ'!$BV$1:$CJ$1,'Input LwA_XYZ'!BV53:CJ53)))</f>
        <v/>
      </c>
      <c r="S54" s="91" t="str">
        <f>IF($N54="","",IF('Input LwA_XYZ'!S53="","-",'Input LwA_XYZ'!S53))</f>
        <v/>
      </c>
      <c r="T54" s="65" t="str">
        <f>IF($N54="","",_xlfn.XLOOKUP(Tables!$L$2,'Input LwA_XYZ'!$DD$1:$DR$1,'Input LwA_XYZ'!DD53:DR53))</f>
        <v/>
      </c>
    </row>
    <row r="55" spans="2:20" ht="16.5" customHeight="1" x14ac:dyDescent="0.3">
      <c r="B55" s="190" t="str">
        <f>IF('Input LwA_XYZ'!A54 = 0, "", 'Input LwA_XYZ'!A54)</f>
        <v/>
      </c>
      <c r="C55" s="189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  <c r="N55" s="190" t="str">
        <f>IF('Input LwA_XYZ'!A54 = 0, "", 'Input LwA_XYZ'!A54)</f>
        <v/>
      </c>
      <c r="O55" s="189" t="str">
        <f>IF($N55="","",_xlfn.TEXTJOIN(" - ",TRUE,'Input LwA_XYZ'!B54:C54))</f>
        <v/>
      </c>
      <c r="P55" s="64" t="str">
        <f>IF($N55="","",'Input LwA_XYZ'!Q54)</f>
        <v/>
      </c>
      <c r="Q55" s="91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91" t="str">
        <f>IF($N55="","",IF(_xlfn.XLOOKUP(Tables!$L$2,'Input LwA_XYZ'!$BV$1:$CJ$1,'Input LwA_XYZ'!BV54:CJ54)="","-",_xlfn.XLOOKUP(Tables!$L$2,'Input LwA_XYZ'!$BV$1:$CJ$1,'Input LwA_XYZ'!BV54:CJ54)))</f>
        <v/>
      </c>
      <c r="S55" s="91" t="str">
        <f>IF($N55="","",IF('Input LwA_XYZ'!S54="","-",'Input LwA_XYZ'!S54))</f>
        <v/>
      </c>
      <c r="T55" s="65" t="str">
        <f>IF($N55="","",_xlfn.XLOOKUP(Tables!$L$2,'Input LwA_XYZ'!$DD$1:$DR$1,'Input LwA_XYZ'!DD54:DR54))</f>
        <v/>
      </c>
    </row>
    <row r="56" spans="2:20" ht="16.5" customHeight="1" x14ac:dyDescent="0.3">
      <c r="B56" s="190" t="str">
        <f>IF('Input LwA_XYZ'!A55 = 0, "", 'Input LwA_XYZ'!A55)</f>
        <v/>
      </c>
      <c r="C56" s="189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  <c r="N56" s="190" t="str">
        <f>IF('Input LwA_XYZ'!A55 = 0, "", 'Input LwA_XYZ'!A55)</f>
        <v/>
      </c>
      <c r="O56" s="189" t="str">
        <f>IF($N56="","",_xlfn.TEXTJOIN(" - ",TRUE,'Input LwA_XYZ'!B55:C55))</f>
        <v/>
      </c>
      <c r="P56" s="64" t="str">
        <f>IF($N56="","",'Input LwA_XYZ'!Q55)</f>
        <v/>
      </c>
      <c r="Q56" s="91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91" t="str">
        <f>IF($N56="","",IF(_xlfn.XLOOKUP(Tables!$L$2,'Input LwA_XYZ'!$BV$1:$CJ$1,'Input LwA_XYZ'!BV55:CJ55)="","-",_xlfn.XLOOKUP(Tables!$L$2,'Input LwA_XYZ'!$BV$1:$CJ$1,'Input LwA_XYZ'!BV55:CJ55)))</f>
        <v/>
      </c>
      <c r="S56" s="91" t="str">
        <f>IF($N56="","",IF('Input LwA_XYZ'!S55="","-",'Input LwA_XYZ'!S55))</f>
        <v/>
      </c>
      <c r="T56" s="65" t="str">
        <f>IF($N56="","",_xlfn.XLOOKUP(Tables!$L$2,'Input LwA_XYZ'!$DD$1:$DR$1,'Input LwA_XYZ'!DD55:DR55))</f>
        <v/>
      </c>
    </row>
    <row r="57" spans="2:20" ht="16.5" customHeight="1" x14ac:dyDescent="0.3">
      <c r="B57" s="190" t="str">
        <f>IF('Input LwA_XYZ'!A56 = 0, "", 'Input LwA_XYZ'!A56)</f>
        <v/>
      </c>
      <c r="C57" s="189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  <c r="N57" s="190" t="str">
        <f>IF('Input LwA_XYZ'!A56 = 0, "", 'Input LwA_XYZ'!A56)</f>
        <v/>
      </c>
      <c r="O57" s="189" t="str">
        <f>IF($N57="","",_xlfn.TEXTJOIN(" - ",TRUE,'Input LwA_XYZ'!B56:C56))</f>
        <v/>
      </c>
      <c r="P57" s="64" t="str">
        <f>IF($N57="","",'Input LwA_XYZ'!Q56)</f>
        <v/>
      </c>
      <c r="Q57" s="91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91" t="str">
        <f>IF($N57="","",IF(_xlfn.XLOOKUP(Tables!$L$2,'Input LwA_XYZ'!$BV$1:$CJ$1,'Input LwA_XYZ'!BV56:CJ56)="","-",_xlfn.XLOOKUP(Tables!$L$2,'Input LwA_XYZ'!$BV$1:$CJ$1,'Input LwA_XYZ'!BV56:CJ56)))</f>
        <v/>
      </c>
      <c r="S57" s="91" t="str">
        <f>IF($N57="","",IF('Input LwA_XYZ'!S56="","-",'Input LwA_XYZ'!S56))</f>
        <v/>
      </c>
      <c r="T57" s="65" t="str">
        <f>IF($N57="","",_xlfn.XLOOKUP(Tables!$L$2,'Input LwA_XYZ'!$DD$1:$DR$1,'Input LwA_XYZ'!DD56:DR56))</f>
        <v/>
      </c>
    </row>
    <row r="58" spans="2:20" ht="16.5" customHeight="1" x14ac:dyDescent="0.3">
      <c r="B58" s="190" t="str">
        <f>IF('Input LwA_XYZ'!A57 = 0, "", 'Input LwA_XYZ'!A57)</f>
        <v/>
      </c>
      <c r="C58" s="189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  <c r="N58" s="190" t="str">
        <f>IF('Input LwA_XYZ'!A57 = 0, "", 'Input LwA_XYZ'!A57)</f>
        <v/>
      </c>
      <c r="O58" s="189" t="str">
        <f>IF($N58="","",_xlfn.TEXTJOIN(" - ",TRUE,'Input LwA_XYZ'!B57:C57))</f>
        <v/>
      </c>
      <c r="P58" s="64" t="str">
        <f>IF($N58="","",'Input LwA_XYZ'!Q57)</f>
        <v/>
      </c>
      <c r="Q58" s="91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91" t="str">
        <f>IF($N58="","",IF(_xlfn.XLOOKUP(Tables!$L$2,'Input LwA_XYZ'!$BV$1:$CJ$1,'Input LwA_XYZ'!BV57:CJ57)="","-",_xlfn.XLOOKUP(Tables!$L$2,'Input LwA_XYZ'!$BV$1:$CJ$1,'Input LwA_XYZ'!BV57:CJ57)))</f>
        <v/>
      </c>
      <c r="S58" s="91" t="str">
        <f>IF($N58="","",IF('Input LwA_XYZ'!S57="","-",'Input LwA_XYZ'!S57))</f>
        <v/>
      </c>
      <c r="T58" s="65" t="str">
        <f>IF($N58="","",_xlfn.XLOOKUP(Tables!$L$2,'Input LwA_XYZ'!$DD$1:$DR$1,'Input LwA_XYZ'!DD57:DR57))</f>
        <v/>
      </c>
    </row>
    <row r="59" spans="2:20" ht="17.25" customHeight="1" thickBot="1" x14ac:dyDescent="0.35">
      <c r="B59" s="191" t="str">
        <f>IF('Input LwA_XYZ'!A58 = 0, "", 'Input LwA_XYZ'!A58)</f>
        <v/>
      </c>
      <c r="C59" s="192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  <c r="N59" s="191" t="str">
        <f>IF('Input LwA_XYZ'!A58 = 0, "", 'Input LwA_XYZ'!A58)</f>
        <v/>
      </c>
      <c r="O59" s="192" t="str">
        <f>IF($N59="","",_xlfn.TEXTJOIN(" - ",TRUE,'Input LwA_XYZ'!B58:C58))</f>
        <v/>
      </c>
      <c r="P59" s="99" t="str">
        <f>IF($N59="","",'Input LwA_XYZ'!Q58)</f>
        <v/>
      </c>
      <c r="Q59" s="100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91" t="str">
        <f>IF($N59="","",IF(_xlfn.XLOOKUP(Tables!$L$2,'Input LwA_XYZ'!$BV$1:$CJ$1,'Input LwA_XYZ'!BV58:CJ58)="","-",_xlfn.XLOOKUP(Tables!$L$2,'Input LwA_XYZ'!$BV$1:$CJ$1,'Input LwA_XYZ'!BV58:CJ58)))</f>
        <v/>
      </c>
      <c r="S59" s="91" t="str">
        <f>IF($N59="","",IF('Input LwA_XYZ'!S58="","-",'Input LwA_XYZ'!S58))</f>
        <v/>
      </c>
      <c r="T59" s="66" t="str">
        <f>IF($N59="","",_xlfn.XLOOKUP(Tables!$L$2,'Input LwA_XYZ'!$DD$1:$DR$1,'Input LwA_XYZ'!DD58:DR58))</f>
        <v/>
      </c>
    </row>
    <row r="60" spans="2:20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3">
        <f>10*LOG10(SUM(I3:I59))</f>
        <v>30.476629692012317</v>
      </c>
      <c r="J60" s="68">
        <f>_xlfn.XLOOKUP($J$2,'Input LwA_XYZ'!$Z$2:$Z$16,'Input LwA_XYZ'!$AD$2:$AD$16)</f>
        <v>40</v>
      </c>
      <c r="K60" s="77"/>
      <c r="N60" s="101" t="s">
        <v>85</v>
      </c>
      <c r="O60" s="102"/>
      <c r="P60" s="102"/>
      <c r="Q60" s="102"/>
      <c r="R60" s="102"/>
      <c r="S60" s="103"/>
      <c r="T60" s="108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9" t="s">
        <v>28</v>
      </c>
      <c r="N62" s="93" t="s">
        <v>79</v>
      </c>
      <c r="O62" s="94" t="s">
        <v>80</v>
      </c>
      <c r="P62" s="95" t="s">
        <v>81</v>
      </c>
      <c r="Q62" s="95" t="s">
        <v>82</v>
      </c>
      <c r="R62" s="96" t="s">
        <v>83</v>
      </c>
      <c r="S62" s="97" t="s">
        <v>84</v>
      </c>
      <c r="T62" s="98" t="s">
        <v>78</v>
      </c>
    </row>
    <row r="63" spans="2:20" ht="16.5" x14ac:dyDescent="0.3">
      <c r="N63" s="188">
        <f>IF('Input LwA_XYZ'!A2 = 0, "", 'Input LwA_XYZ'!A2)</f>
        <v>1</v>
      </c>
      <c r="O63" s="189" t="str">
        <f>IF($N63="","",_xlfn.TEXTJOIN(" - ",TRUE,'Input LwA_XYZ'!B2:C2))</f>
        <v>MAU-R1 - Ducted Inlet</v>
      </c>
      <c r="P63" s="90">
        <f>IF($N63="","",'Input LwA_XYZ'!Q2)</f>
        <v>86</v>
      </c>
      <c r="Q63" s="91" t="str">
        <f>IF($N63="","",-1*ROUND(_xlfn.XLOOKUP(Tables!$L$62,'Input LwA_XYZ'!$AY$1:$BM$1,'Input LwA_XYZ'!AY2:BM2),0) &amp; " / " &amp; ROUND(_xlfn.XLOOKUP(Tables!$L$62,'Input LwA_XYZ'!$AH$1:$AV$1,'Input LwA_XYZ'!AH2:AV2),0) &amp; " ft")</f>
        <v>33 / 58 ft</v>
      </c>
      <c r="R63" s="91">
        <f>IF($N63="","",IF(_xlfn.XLOOKUP(Tables!$L$62,'Input LwA_XYZ'!$BV$1:$CJ$1,'Input LwA_XYZ'!BV2:CJ2)="","-",_xlfn.XLOOKUP(Tables!$L$62,'Input LwA_XYZ'!$BV$1:$CJ$1,'Input LwA_XYZ'!BV2:CJ2)))</f>
        <v>16.899999999999999</v>
      </c>
      <c r="S63" s="91" t="str">
        <f>IF($N63="","",IF('Input LwA_XYZ'!S2="","-",'Input LwA_XYZ'!S2))</f>
        <v>-</v>
      </c>
      <c r="T63" s="92">
        <f>IF($N63="","",_xlfn.XLOOKUP(Tables!$L$62,'Input LwA_XYZ'!$DD$1:$DR$1,'Input LwA_XYZ'!DD2:DR2))</f>
        <v>0</v>
      </c>
    </row>
    <row r="64" spans="2:20" ht="16.5" x14ac:dyDescent="0.3">
      <c r="N64" s="190">
        <f>IF('Input LwA_XYZ'!A3 = 0, "", 'Input LwA_XYZ'!A3)</f>
        <v>1</v>
      </c>
      <c r="O64" s="189" t="str">
        <f>IF($N64="","",_xlfn.TEXTJOIN(" - ",TRUE,'Input LwA_XYZ'!B3:C3))</f>
        <v>ERV-R.1 - Outdoor+Casing+Exhaust</v>
      </c>
      <c r="P64" s="64">
        <f>IF($N64="","",'Input LwA_XYZ'!Q3)</f>
        <v>91</v>
      </c>
      <c r="Q64" s="91" t="str">
        <f>IF($N64="","",-1*ROUND(_xlfn.XLOOKUP(Tables!$L$62,'Input LwA_XYZ'!$AY$1:$BM$1,'Input LwA_XYZ'!AY3:BM3),0) &amp; " / " &amp; ROUND(_xlfn.XLOOKUP(Tables!$L$62,'Input LwA_XYZ'!$AH$1:$AV$1,'Input LwA_XYZ'!AH3:AV3),0) &amp; " ft")</f>
        <v>37 / 91 ft</v>
      </c>
      <c r="R64" s="91">
        <f>IF($N64="","",IF(_xlfn.XLOOKUP(Tables!$L$62,'Input LwA_XYZ'!$BV$1:$CJ$1,'Input LwA_XYZ'!BV3:CJ3)="","-",_xlfn.XLOOKUP(Tables!$L$62,'Input LwA_XYZ'!$BV$1:$CJ$1,'Input LwA_XYZ'!BV3:CJ3)))</f>
        <v>17.600000000000001</v>
      </c>
      <c r="S64" s="91" t="str">
        <f>IF($N64="","",IF('Input LwA_XYZ'!S3="","-",'Input LwA_XYZ'!S3))</f>
        <v>-</v>
      </c>
      <c r="T64" s="65">
        <f>IF($N64="","",_xlfn.XLOOKUP(Tables!$L$62,'Input LwA_XYZ'!$DD$1:$DR$1,'Input LwA_XYZ'!DD3:DR3))</f>
        <v>0</v>
      </c>
    </row>
    <row r="65" spans="14:20" ht="16.5" x14ac:dyDescent="0.3">
      <c r="N65" s="190">
        <f>IF('Input LwA_XYZ'!A4 = 0, "", 'Input LwA_XYZ'!A4)</f>
        <v>1</v>
      </c>
      <c r="O65" s="189" t="str">
        <f>IF($N65="","",_xlfn.TEXTJOIN(" - ",TRUE,'Input LwA_XYZ'!B4:C4))</f>
        <v>GEF-R1  - Inlet (plus ductwork lined)</v>
      </c>
      <c r="P65" s="64">
        <f>IF($N65="","",'Input LwA_XYZ'!Q4)</f>
        <v>82</v>
      </c>
      <c r="Q65" s="91" t="str">
        <f>IF($N65="","",-1*ROUND(_xlfn.XLOOKUP(Tables!$L$62,'Input LwA_XYZ'!$AY$1:$BM$1,'Input LwA_XYZ'!AY4:BM4),0) &amp; " / " &amp; ROUND(_xlfn.XLOOKUP(Tables!$L$62,'Input LwA_XYZ'!$AH$1:$AV$1,'Input LwA_XYZ'!AH4:AV4),0) &amp; " ft")</f>
        <v>39 / 113 ft</v>
      </c>
      <c r="R65" s="91">
        <f>IF($N65="","",IF(_xlfn.XLOOKUP(Tables!$L$62,'Input LwA_XYZ'!$BV$1:$CJ$1,'Input LwA_XYZ'!BV4:CJ4)="","-",_xlfn.XLOOKUP(Tables!$L$62,'Input LwA_XYZ'!$BV$1:$CJ$1,'Input LwA_XYZ'!BV4:CJ4)))</f>
        <v>15.9</v>
      </c>
      <c r="S65" s="91">
        <f>IF($N65="","",IF('Input LwA_XYZ'!S4="","-",'Input LwA_XYZ'!S4))</f>
        <v>13</v>
      </c>
      <c r="T65" s="65">
        <f>IF($N65="","",_xlfn.XLOOKUP(Tables!$L$62,'Input LwA_XYZ'!$DD$1:$DR$1,'Input LwA_XYZ'!DD4:DR4))</f>
        <v>0</v>
      </c>
    </row>
    <row r="66" spans="14:20" ht="16.5" x14ac:dyDescent="0.3">
      <c r="N66" s="190">
        <f>IF('Input LwA_XYZ'!A5 = 0, "", 'Input LwA_XYZ'!A5)</f>
        <v>1</v>
      </c>
      <c r="O66" s="189" t="str">
        <f>IF($N66="","",_xlfn.TEXTJOIN(" - ",TRUE,'Input LwA_XYZ'!B5:C5))</f>
        <v>DEF-R1, R2 - Inlet</v>
      </c>
      <c r="P66" s="64">
        <f>IF($N66="","",'Input LwA_XYZ'!Q5)</f>
        <v>70</v>
      </c>
      <c r="Q66" s="91" t="str">
        <f>IF($N66="","",-1*ROUND(_xlfn.XLOOKUP(Tables!$L$62,'Input LwA_XYZ'!$AY$1:$BM$1,'Input LwA_XYZ'!AY5:BM5),0) &amp; " / " &amp; ROUND(_xlfn.XLOOKUP(Tables!$L$62,'Input LwA_XYZ'!$AH$1:$AV$1,'Input LwA_XYZ'!AH5:AV5),0) &amp; " ft")</f>
        <v>38 / 100 ft</v>
      </c>
      <c r="R66" s="91">
        <f>IF($N66="","",IF(_xlfn.XLOOKUP(Tables!$L$62,'Input LwA_XYZ'!$BV$1:$CJ$1,'Input LwA_XYZ'!BV5:CJ5)="","-",_xlfn.XLOOKUP(Tables!$L$62,'Input LwA_XYZ'!$BV$1:$CJ$1,'Input LwA_XYZ'!BV5:CJ5)))</f>
        <v>15.3</v>
      </c>
      <c r="S66" s="91" t="str">
        <f>IF($N66="","",IF('Input LwA_XYZ'!S5="","-",'Input LwA_XYZ'!S5))</f>
        <v>-</v>
      </c>
      <c r="T66" s="65">
        <f>IF($N66="","",_xlfn.XLOOKUP(Tables!$L$62,'Input LwA_XYZ'!$DD$1:$DR$1,'Input LwA_XYZ'!DD5:DR5))</f>
        <v>0</v>
      </c>
    </row>
    <row r="67" spans="14:20" ht="16.5" x14ac:dyDescent="0.3">
      <c r="N67" s="190">
        <f>IF('Input LwA_XYZ'!A6 = 0, "", 'Input LwA_XYZ'!A6)</f>
        <v>1</v>
      </c>
      <c r="O67" s="189" t="str">
        <f>IF($N67="","",_xlfn.TEXTJOIN(" - ",TRUE,'Input LwA_XYZ'!B6:C6))</f>
        <v>KEF-R1  - Inlet</v>
      </c>
      <c r="P67" s="64">
        <f>IF($N67="","",'Input LwA_XYZ'!Q6)</f>
        <v>80</v>
      </c>
      <c r="Q67" s="91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91">
        <f>IF($N67="","",IF(_xlfn.XLOOKUP(Tables!$L$62,'Input LwA_XYZ'!$BV$1:$CJ$1,'Input LwA_XYZ'!BV6:CJ6)="","-",_xlfn.XLOOKUP(Tables!$L$62,'Input LwA_XYZ'!$BV$1:$CJ$1,'Input LwA_XYZ'!BV6:CJ6)))</f>
        <v>15.4</v>
      </c>
      <c r="S67" s="91" t="str">
        <f>IF($N67="","",IF('Input LwA_XYZ'!S6="","-",'Input LwA_XYZ'!S6))</f>
        <v>-</v>
      </c>
      <c r="T67" s="65">
        <f>IF($N67="","",_xlfn.XLOOKUP(Tables!$L$62,'Input LwA_XYZ'!$DD$1:$DR$1,'Input LwA_XYZ'!DD6:DR6))</f>
        <v>30.334224892398836</v>
      </c>
    </row>
    <row r="68" spans="14:20" ht="16.5" x14ac:dyDescent="0.3">
      <c r="N68" s="190">
        <f>IF('Input LwA_XYZ'!A7 = 0, "", 'Input LwA_XYZ'!A7)</f>
        <v>1</v>
      </c>
      <c r="O68" s="189" t="str">
        <f>IF($N68="","",_xlfn.TEXTJOIN(" - ",TRUE,'Input LwA_XYZ'!B7:C7))</f>
        <v>DWEF-R1 - Inlet</v>
      </c>
      <c r="P68" s="64">
        <f>IF($N68="","",'Input LwA_XYZ'!Q7)</f>
        <v>71</v>
      </c>
      <c r="Q68" s="91" t="str">
        <f>IF($N68="","",-1*ROUND(_xlfn.XLOOKUP(Tables!$L$62,'Input LwA_XYZ'!$AY$1:$BM$1,'Input LwA_XYZ'!AY7:BM7),0) &amp; " / " &amp; ROUND(_xlfn.XLOOKUP(Tables!$L$62,'Input LwA_XYZ'!$AH$1:$AV$1,'Input LwA_XYZ'!AH7:AV7),0) &amp; " ft")</f>
        <v>33 / 62 ft</v>
      </c>
      <c r="R68" s="91">
        <f>IF($N68="","",IF(_xlfn.XLOOKUP(Tables!$L$62,'Input LwA_XYZ'!$BV$1:$CJ$1,'Input LwA_XYZ'!BV7:CJ7)="","-",_xlfn.XLOOKUP(Tables!$L$62,'Input LwA_XYZ'!$BV$1:$CJ$1,'Input LwA_XYZ'!BV7:CJ7)))</f>
        <v>16.100000000000001</v>
      </c>
      <c r="S68" s="91" t="str">
        <f>IF($N68="","",IF('Input LwA_XYZ'!S7="","-",'Input LwA_XYZ'!S7))</f>
        <v>-</v>
      </c>
      <c r="T68" s="65">
        <f>IF($N68="","",_xlfn.XLOOKUP(Tables!$L$62,'Input LwA_XYZ'!$DD$1:$DR$1,'Input LwA_XYZ'!DD7:DR7))</f>
        <v>0</v>
      </c>
    </row>
    <row r="69" spans="14:20" ht="16.5" x14ac:dyDescent="0.3">
      <c r="N69" s="190">
        <f>IF('Input LwA_XYZ'!A8 = 0, "", 'Input LwA_XYZ'!A8)</f>
        <v>1</v>
      </c>
      <c r="O69" s="189" t="str">
        <f>IF($N69="","",_xlfn.TEXTJOIN(" - ",TRUE,'Input LwA_XYZ'!B8:C8))</f>
        <v>CU-R1 - Radiated</v>
      </c>
      <c r="P69" s="64">
        <f>IF($N69="","",'Input LwA_XYZ'!Q8)</f>
        <v>84</v>
      </c>
      <c r="Q69" s="91" t="str">
        <f>IF($N69="","",-1*ROUND(_xlfn.XLOOKUP(Tables!$L$62,'Input LwA_XYZ'!$AY$1:$BM$1,'Input LwA_XYZ'!AY8:BM8),0) &amp; " / " &amp; ROUND(_xlfn.XLOOKUP(Tables!$L$62,'Input LwA_XYZ'!$AH$1:$AV$1,'Input LwA_XYZ'!AH8:AV8),0) &amp; " ft")</f>
        <v>35 / 78 ft</v>
      </c>
      <c r="R69" s="91">
        <f>IF($N69="","",IF(_xlfn.XLOOKUP(Tables!$L$62,'Input LwA_XYZ'!$BV$1:$CJ$1,'Input LwA_XYZ'!BV8:CJ8)="","-",_xlfn.XLOOKUP(Tables!$L$62,'Input LwA_XYZ'!$BV$1:$CJ$1,'Input LwA_XYZ'!BV8:CJ8)))</f>
        <v>8</v>
      </c>
      <c r="S69" s="91" t="str">
        <f>IF($N69="","",IF('Input LwA_XYZ'!S8="","-",'Input LwA_XYZ'!S8))</f>
        <v>-</v>
      </c>
      <c r="T69" s="65">
        <f>IF($N69="","",_xlfn.XLOOKUP(Tables!$L$62,'Input LwA_XYZ'!$DD$1:$DR$1,'Input LwA_XYZ'!DD8:DR8))</f>
        <v>0</v>
      </c>
    </row>
    <row r="70" spans="14:20" ht="16.5" x14ac:dyDescent="0.3">
      <c r="N70" s="190">
        <f>IF('Input LwA_XYZ'!A9 = 0, "", 'Input LwA_XYZ'!A9)</f>
        <v>1</v>
      </c>
      <c r="O70" s="189" t="str">
        <f>IF($N70="","",_xlfn.TEXTJOIN(" - ",TRUE,'Input LwA_XYZ'!B9:C9))</f>
        <v>CU-R2 - Radiated</v>
      </c>
      <c r="P70" s="64">
        <f>IF($N70="","",'Input LwA_XYZ'!Q9)</f>
        <v>81</v>
      </c>
      <c r="Q70" s="91" t="str">
        <f>IF($N70="","",-1*ROUND(_xlfn.XLOOKUP(Tables!$L$62,'Input LwA_XYZ'!$AY$1:$BM$1,'Input LwA_XYZ'!AY9:BM9),0) &amp; " / " &amp; ROUND(_xlfn.XLOOKUP(Tables!$L$62,'Input LwA_XYZ'!$AH$1:$AV$1,'Input LwA_XYZ'!AH9:AV9),0) &amp; " ft")</f>
        <v>35 / 75 ft</v>
      </c>
      <c r="R70" s="91">
        <f>IF($N70="","",IF(_xlfn.XLOOKUP(Tables!$L$62,'Input LwA_XYZ'!$BV$1:$CJ$1,'Input LwA_XYZ'!BV9:CJ9)="","-",_xlfn.XLOOKUP(Tables!$L$62,'Input LwA_XYZ'!$BV$1:$CJ$1,'Input LwA_XYZ'!BV9:CJ9)))</f>
        <v>10</v>
      </c>
      <c r="S70" s="91" t="str">
        <f>IF($N70="","",IF('Input LwA_XYZ'!S9="","-",'Input LwA_XYZ'!S9))</f>
        <v>-</v>
      </c>
      <c r="T70" s="65">
        <f>IF($N70="","",_xlfn.XLOOKUP(Tables!$L$62,'Input LwA_XYZ'!$DD$1:$DR$1,'Input LwA_XYZ'!DD9:DR9))</f>
        <v>0</v>
      </c>
    </row>
    <row r="71" spans="14:20" ht="16.5" x14ac:dyDescent="0.3">
      <c r="N71" s="190">
        <f>IF('Input LwA_XYZ'!A10 = 0, "", 'Input LwA_XYZ'!A10)</f>
        <v>1</v>
      </c>
      <c r="O71" s="189" t="str">
        <f>IF($N71="","",_xlfn.TEXTJOIN(" - ",TRUE,'Input LwA_XYZ'!B10:C10))</f>
        <v>CU-R4 - Radiated</v>
      </c>
      <c r="P71" s="64">
        <f>IF($N71="","",'Input LwA_XYZ'!Q10)</f>
        <v>73</v>
      </c>
      <c r="Q71" s="91" t="str">
        <f>IF($N71="","",-1*ROUND(_xlfn.XLOOKUP(Tables!$L$62,'Input LwA_XYZ'!$AY$1:$BM$1,'Input LwA_XYZ'!AY10:BM10),0) &amp; " / " &amp; ROUND(_xlfn.XLOOKUP(Tables!$L$62,'Input LwA_XYZ'!$AH$1:$AV$1,'Input LwA_XYZ'!AH10:AV10),0) &amp; " ft")</f>
        <v>36 / 84 ft</v>
      </c>
      <c r="R71" s="91">
        <f>IF($N71="","",IF(_xlfn.XLOOKUP(Tables!$L$62,'Input LwA_XYZ'!$BV$1:$CJ$1,'Input LwA_XYZ'!BV10:CJ10)="","-",_xlfn.XLOOKUP(Tables!$L$62,'Input LwA_XYZ'!$BV$1:$CJ$1,'Input LwA_XYZ'!BV10:CJ10)))</f>
        <v>10</v>
      </c>
      <c r="S71" s="91" t="str">
        <f>IF($N71="","",IF('Input LwA_XYZ'!S10="","-",'Input LwA_XYZ'!S10))</f>
        <v>-</v>
      </c>
      <c r="T71" s="65">
        <f>IF($N71="","",_xlfn.XLOOKUP(Tables!$L$62,'Input LwA_XYZ'!$DD$1:$DR$1,'Input LwA_XYZ'!DD10:DR10))</f>
        <v>0</v>
      </c>
    </row>
    <row r="72" spans="14:20" ht="16.5" x14ac:dyDescent="0.3">
      <c r="N72" s="190">
        <f>IF('Input LwA_XYZ'!A11 = 0, "", 'Input LwA_XYZ'!A11)</f>
        <v>1</v>
      </c>
      <c r="O72" s="189" t="str">
        <f>IF($N72="","",_xlfn.TEXTJOIN(" - ",TRUE,'Input LwA_XYZ'!B11:C11))</f>
        <v>CU-R5 - Radiated</v>
      </c>
      <c r="P72" s="64">
        <f>IF($N72="","",'Input LwA_XYZ'!Q11)</f>
        <v>75</v>
      </c>
      <c r="Q72" s="91" t="str">
        <f>IF($N72="","",-1*ROUND(_xlfn.XLOOKUP(Tables!$L$62,'Input LwA_XYZ'!$AY$1:$BM$1,'Input LwA_XYZ'!AY11:BM11),0) &amp; " / " &amp; ROUND(_xlfn.XLOOKUP(Tables!$L$62,'Input LwA_XYZ'!$AH$1:$AV$1,'Input LwA_XYZ'!AH11:AV11),0) &amp; " ft")</f>
        <v>33 / 62 ft</v>
      </c>
      <c r="R72" s="91">
        <f>IF($N72="","",IF(_xlfn.XLOOKUP(Tables!$L$62,'Input LwA_XYZ'!$BV$1:$CJ$1,'Input LwA_XYZ'!BV11:CJ11)="","-",_xlfn.XLOOKUP(Tables!$L$62,'Input LwA_XYZ'!$BV$1:$CJ$1,'Input LwA_XYZ'!BV11:CJ11)))</f>
        <v>8</v>
      </c>
      <c r="S72" s="91" t="str">
        <f>IF($N72="","",IF('Input LwA_XYZ'!S11="","-",'Input LwA_XYZ'!S11))</f>
        <v>-</v>
      </c>
      <c r="T72" s="65">
        <f>IF($N72="","",_xlfn.XLOOKUP(Tables!$L$62,'Input LwA_XYZ'!$DD$1:$DR$1,'Input LwA_XYZ'!DD11:DR11))</f>
        <v>0</v>
      </c>
    </row>
    <row r="73" spans="14:20" ht="16.5" x14ac:dyDescent="0.3">
      <c r="N73" s="190">
        <f>IF('Input LwA_XYZ'!A12 = 0, "", 'Input LwA_XYZ'!A12)</f>
        <v>4</v>
      </c>
      <c r="O73" s="189" t="str">
        <f>IF($N73="","",_xlfn.TEXTJOIN(" - ",TRUE,'Input LwA_XYZ'!B12:C12))</f>
        <v>RCU-R(4p)1 - Radiated</v>
      </c>
      <c r="P73" s="64">
        <f>IF($N73="","",'Input LwA_XYZ'!Q12)</f>
        <v>79.020599913279625</v>
      </c>
      <c r="Q73" s="91" t="str">
        <f>IF($N73="","",-1*ROUND(_xlfn.XLOOKUP(Tables!$L$62,'Input LwA_XYZ'!$AY$1:$BM$1,'Input LwA_XYZ'!AY12:BM12),0) &amp; " / " &amp; ROUND(_xlfn.XLOOKUP(Tables!$L$62,'Input LwA_XYZ'!$AH$1:$AV$1,'Input LwA_XYZ'!AH12:AV12),0) &amp; " ft")</f>
        <v>40 / 130 ft</v>
      </c>
      <c r="R73" s="91">
        <f>IF($N73="","",IF(_xlfn.XLOOKUP(Tables!$L$62,'Input LwA_XYZ'!$BV$1:$CJ$1,'Input LwA_XYZ'!BV12:CJ12)="","-",_xlfn.XLOOKUP(Tables!$L$62,'Input LwA_XYZ'!$BV$1:$CJ$1,'Input LwA_XYZ'!BV12:CJ12)))</f>
        <v>13</v>
      </c>
      <c r="S73" s="91" t="str">
        <f>IF($N73="","",IF('Input LwA_XYZ'!S12="","-",'Input LwA_XYZ'!S12))</f>
        <v>-</v>
      </c>
      <c r="T73" s="65">
        <f>IF($N73="","",_xlfn.XLOOKUP(Tables!$L$62,'Input LwA_XYZ'!$DD$1:$DR$1,'Input LwA_XYZ'!DD12:DR12))</f>
        <v>0</v>
      </c>
    </row>
    <row r="74" spans="14:20" ht="16.5" x14ac:dyDescent="0.3">
      <c r="N74" s="190">
        <f>IF('Input LwA_XYZ'!A13 = 0, "", 'Input LwA_XYZ'!A13)</f>
        <v>4</v>
      </c>
      <c r="O74" s="189" t="str">
        <f>IF($N74="","",_xlfn.TEXTJOIN(" - ",TRUE,'Input LwA_XYZ'!B13:C13))</f>
        <v>RCU-R(4p)2 - Radiated</v>
      </c>
      <c r="P74" s="64">
        <f>IF($N74="","",'Input LwA_XYZ'!Q13)</f>
        <v>79.020599913279625</v>
      </c>
      <c r="Q74" s="91" t="str">
        <f>IF($N74="","",-1*ROUND(_xlfn.XLOOKUP(Tables!$L$62,'Input LwA_XYZ'!$AY$1:$BM$1,'Input LwA_XYZ'!AY13:BM13),0) &amp; " / " &amp; ROUND(_xlfn.XLOOKUP(Tables!$L$62,'Input LwA_XYZ'!$AH$1:$AV$1,'Input LwA_XYZ'!AH13:AV13),0) &amp; " ft")</f>
        <v>39 / 112 ft</v>
      </c>
      <c r="R74" s="91">
        <f>IF($N74="","",IF(_xlfn.XLOOKUP(Tables!$L$62,'Input LwA_XYZ'!$BV$1:$CJ$1,'Input LwA_XYZ'!BV13:CJ13)="","-",_xlfn.XLOOKUP(Tables!$L$62,'Input LwA_XYZ'!$BV$1:$CJ$1,'Input LwA_XYZ'!BV13:CJ13)))</f>
        <v>14</v>
      </c>
      <c r="S74" s="91" t="str">
        <f>IF($N74="","",IF('Input LwA_XYZ'!S13="","-",'Input LwA_XYZ'!S13))</f>
        <v>-</v>
      </c>
      <c r="T74" s="65">
        <f>IF($N74="","",_xlfn.XLOOKUP(Tables!$L$62,'Input LwA_XYZ'!$DD$1:$DR$1,'Input LwA_XYZ'!DD13:DR13))</f>
        <v>0</v>
      </c>
    </row>
    <row r="75" spans="14:20" ht="16.5" x14ac:dyDescent="0.3">
      <c r="N75" s="190">
        <f>IF('Input LwA_XYZ'!A14 = 0, "", 'Input LwA_XYZ'!A14)</f>
        <v>4</v>
      </c>
      <c r="O75" s="189" t="str">
        <f>IF($N75="","",_xlfn.TEXTJOIN(" - ",TRUE,'Input LwA_XYZ'!B14:C14))</f>
        <v>RCU-R(4p)3 - Radiated</v>
      </c>
      <c r="P75" s="64">
        <f>IF($N75="","",'Input LwA_XYZ'!Q14)</f>
        <v>79.020599913279625</v>
      </c>
      <c r="Q75" s="91" t="str">
        <f>IF($N75="","",-1*ROUND(_xlfn.XLOOKUP(Tables!$L$62,'Input LwA_XYZ'!$AY$1:$BM$1,'Input LwA_XYZ'!AY14:BM14),0) &amp; " / " &amp; ROUND(_xlfn.XLOOKUP(Tables!$L$62,'Input LwA_XYZ'!$AH$1:$AV$1,'Input LwA_XYZ'!AH14:AV14),0) &amp; " ft")</f>
        <v>36 / 81 ft</v>
      </c>
      <c r="R75" s="91">
        <f>IF($N75="","",IF(_xlfn.XLOOKUP(Tables!$L$62,'Input LwA_XYZ'!$BV$1:$CJ$1,'Input LwA_XYZ'!BV14:CJ14)="","-",_xlfn.XLOOKUP(Tables!$L$62,'Input LwA_XYZ'!$BV$1:$CJ$1,'Input LwA_XYZ'!BV14:CJ14)))</f>
        <v>8</v>
      </c>
      <c r="S75" s="91" t="str">
        <f>IF($N75="","",IF('Input LwA_XYZ'!S14="","-",'Input LwA_XYZ'!S14))</f>
        <v>-</v>
      </c>
      <c r="T75" s="65">
        <f>IF($N75="","",_xlfn.XLOOKUP(Tables!$L$62,'Input LwA_XYZ'!$DD$1:$DR$1,'Input LwA_XYZ'!DD14:DR14))</f>
        <v>0</v>
      </c>
    </row>
    <row r="76" spans="14:20" ht="16.5" x14ac:dyDescent="0.3">
      <c r="N76" s="190">
        <f>IF('Input LwA_XYZ'!A15 = 0, "", 'Input LwA_XYZ'!A15)</f>
        <v>2</v>
      </c>
      <c r="O76" s="189" t="str">
        <f>IF($N76="","",_xlfn.TEXTJOIN(" - ",TRUE,'Input LwA_XYZ'!B15:C15))</f>
        <v>RCU-R(2p) - Radiated</v>
      </c>
      <c r="P76" s="64">
        <f>IF($N76="","",'Input LwA_XYZ'!Q15)</f>
        <v>76.010299956639813</v>
      </c>
      <c r="Q76" s="91" t="str">
        <f>IF($N76="","",-1*ROUND(_xlfn.XLOOKUP(Tables!$L$62,'Input LwA_XYZ'!$AY$1:$BM$1,'Input LwA_XYZ'!AY15:BM15),0) &amp; " / " &amp; ROUND(_xlfn.XLOOKUP(Tables!$L$62,'Input LwA_XYZ'!$AH$1:$AV$1,'Input LwA_XYZ'!AH15:AV15),0) &amp; " ft")</f>
        <v>35 / 71 ft</v>
      </c>
      <c r="R76" s="91">
        <f>IF($N76="","",IF(_xlfn.XLOOKUP(Tables!$L$62,'Input LwA_XYZ'!$BV$1:$CJ$1,'Input LwA_XYZ'!BV15:CJ15)="","-",_xlfn.XLOOKUP(Tables!$L$62,'Input LwA_XYZ'!$BV$1:$CJ$1,'Input LwA_XYZ'!BV15:CJ15)))</f>
        <v>8</v>
      </c>
      <c r="S76" s="91" t="str">
        <f>IF($N76="","",IF('Input LwA_XYZ'!S15="","-",'Input LwA_XYZ'!S15))</f>
        <v>-</v>
      </c>
      <c r="T76" s="65">
        <f>IF($N76="","",_xlfn.XLOOKUP(Tables!$L$62,'Input LwA_XYZ'!$DD$1:$DR$1,'Input LwA_XYZ'!DD15:DR15))</f>
        <v>0</v>
      </c>
    </row>
    <row r="77" spans="14:20" ht="16.5" x14ac:dyDescent="0.3">
      <c r="N77" s="190">
        <f>IF('Input LwA_XYZ'!A16 = 0, "", 'Input LwA_XYZ'!A16)</f>
        <v>2</v>
      </c>
      <c r="O77" s="189" t="str">
        <f>IF($N77="","",_xlfn.TEXTJOIN(" - ",TRUE,'Input LwA_XYZ'!B16:C16))</f>
        <v>RCU-R(2p)1 - Radiated</v>
      </c>
      <c r="P77" s="64">
        <f>IF($N77="","",'Input LwA_XYZ'!Q16)</f>
        <v>76.010299956639813</v>
      </c>
      <c r="Q77" s="91" t="str">
        <f>IF($N77="","",-1*ROUND(_xlfn.XLOOKUP(Tables!$L$62,'Input LwA_XYZ'!$AY$1:$BM$1,'Input LwA_XYZ'!AY16:BM16),0) &amp; " / " &amp; ROUND(_xlfn.XLOOKUP(Tables!$L$62,'Input LwA_XYZ'!$AH$1:$AV$1,'Input LwA_XYZ'!AH16:AV16),0) &amp; " ft")</f>
        <v>33 / 56 ft</v>
      </c>
      <c r="R77" s="91">
        <f>IF($N77="","",IF(_xlfn.XLOOKUP(Tables!$L$62,'Input LwA_XYZ'!$BV$1:$CJ$1,'Input LwA_XYZ'!BV16:CJ16)="","-",_xlfn.XLOOKUP(Tables!$L$62,'Input LwA_XYZ'!$BV$1:$CJ$1,'Input LwA_XYZ'!BV16:CJ16)))</f>
        <v>9</v>
      </c>
      <c r="S77" s="91" t="str">
        <f>IF($N77="","",IF('Input LwA_XYZ'!S16="","-",'Input LwA_XYZ'!S16))</f>
        <v>-</v>
      </c>
      <c r="T77" s="65">
        <f>IF($N77="","",_xlfn.XLOOKUP(Tables!$L$62,'Input LwA_XYZ'!$DD$1:$DR$1,'Input LwA_XYZ'!DD16:DR16))</f>
        <v>0</v>
      </c>
    </row>
    <row r="78" spans="14:20" ht="16.5" x14ac:dyDescent="0.3">
      <c r="N78" s="190">
        <f>IF('Input LwA_XYZ'!A17 = 0, "", 'Input LwA_XYZ'!A17)</f>
        <v>4</v>
      </c>
      <c r="O78" s="189" t="str">
        <f>IF($N78="","",_xlfn.TEXTJOIN(" - ",TRUE,'Input LwA_XYZ'!B17:C17))</f>
        <v>RCU-R(4p)4 - Radiated</v>
      </c>
      <c r="P78" s="64">
        <f>IF($N78="","",'Input LwA_XYZ'!Q17)</f>
        <v>79.020599913279625</v>
      </c>
      <c r="Q78" s="91" t="str">
        <f>IF($N78="","",-1*ROUND(_xlfn.XLOOKUP(Tables!$L$62,'Input LwA_XYZ'!$AY$1:$BM$1,'Input LwA_XYZ'!AY17:BM17),0) &amp; " / " &amp; ROUND(_xlfn.XLOOKUP(Tables!$L$62,'Input LwA_XYZ'!$AH$1:$AV$1,'Input LwA_XYZ'!AH17:AV17),0) &amp; " ft")</f>
        <v>32 / 53 ft</v>
      </c>
      <c r="R78" s="91">
        <f>IF($N78="","",IF(_xlfn.XLOOKUP(Tables!$L$62,'Input LwA_XYZ'!$BV$1:$CJ$1,'Input LwA_XYZ'!BV17:CJ17)="","-",_xlfn.XLOOKUP(Tables!$L$62,'Input LwA_XYZ'!$BV$1:$CJ$1,'Input LwA_XYZ'!BV17:CJ17)))</f>
        <v>10</v>
      </c>
      <c r="S78" s="91" t="str">
        <f>IF($N78="","",IF('Input LwA_XYZ'!S17="","-",'Input LwA_XYZ'!S17))</f>
        <v>-</v>
      </c>
      <c r="T78" s="65">
        <f>IF($N78="","",_xlfn.XLOOKUP(Tables!$L$62,'Input LwA_XYZ'!$DD$1:$DR$1,'Input LwA_XYZ'!DD17:DR17))</f>
        <v>0</v>
      </c>
    </row>
    <row r="79" spans="14:20" ht="16.5" x14ac:dyDescent="0.3">
      <c r="N79" s="190">
        <f>IF('Input LwA_XYZ'!A18 = 0, "", 'Input LwA_XYZ'!A18)</f>
        <v>2</v>
      </c>
      <c r="O79" s="189" t="str">
        <f>IF($N79="","",_xlfn.TEXTJOIN(" - ",TRUE,'Input LwA_XYZ'!B18:C18))</f>
        <v>RCU-R(2p)2 - Radiated</v>
      </c>
      <c r="P79" s="64">
        <f>IF($N79="","",'Input LwA_XYZ'!Q18)</f>
        <v>76.010299956639813</v>
      </c>
      <c r="Q79" s="91" t="str">
        <f>IF($N79="","",-1*ROUND(_xlfn.XLOOKUP(Tables!$L$62,'Input LwA_XYZ'!$AY$1:$BM$1,'Input LwA_XYZ'!AY18:BM18),0) &amp; " / " &amp; ROUND(_xlfn.XLOOKUP(Tables!$L$62,'Input LwA_XYZ'!$AH$1:$AV$1,'Input LwA_XYZ'!AH18:AV18),0) &amp; " ft")</f>
        <v>35 / 75 ft</v>
      </c>
      <c r="R79" s="91">
        <f>IF($N79="","",IF(_xlfn.XLOOKUP(Tables!$L$62,'Input LwA_XYZ'!$BV$1:$CJ$1,'Input LwA_XYZ'!BV18:CJ18)="","-",_xlfn.XLOOKUP(Tables!$L$62,'Input LwA_XYZ'!$BV$1:$CJ$1,'Input LwA_XYZ'!BV18:CJ18)))</f>
        <v>14</v>
      </c>
      <c r="S79" s="91" t="str">
        <f>IF($N79="","",IF('Input LwA_XYZ'!S18="","-",'Input LwA_XYZ'!S18))</f>
        <v>-</v>
      </c>
      <c r="T79" s="65">
        <f>IF($N79="","",_xlfn.XLOOKUP(Tables!$L$62,'Input LwA_XYZ'!$DD$1:$DR$1,'Input LwA_XYZ'!DD18:DR18))</f>
        <v>0</v>
      </c>
    </row>
    <row r="80" spans="14:20" ht="16.5" x14ac:dyDescent="0.3">
      <c r="N80" s="190">
        <f>IF('Input LwA_XYZ'!A19 = 0, "", 'Input LwA_XYZ'!A19)</f>
        <v>2</v>
      </c>
      <c r="O80" s="189" t="str">
        <f>IF($N80="","",_xlfn.TEXTJOIN(" - ",TRUE,'Input LwA_XYZ'!B19:C19))</f>
        <v>RCU-R(2p)3 - Radiated</v>
      </c>
      <c r="P80" s="64">
        <f>IF($N80="","",'Input LwA_XYZ'!Q19)</f>
        <v>76.010299956639813</v>
      </c>
      <c r="Q80" s="91" t="str">
        <f>IF($N80="","",-1*ROUND(_xlfn.XLOOKUP(Tables!$L$62,'Input LwA_XYZ'!$AY$1:$BM$1,'Input LwA_XYZ'!AY19:BM19),0) &amp; " / " &amp; ROUND(_xlfn.XLOOKUP(Tables!$L$62,'Input LwA_XYZ'!$AH$1:$AV$1,'Input LwA_XYZ'!AH19:AV19),0) &amp; " ft")</f>
        <v>36 / 85 ft</v>
      </c>
      <c r="R80" s="91">
        <f>IF($N80="","",IF(_xlfn.XLOOKUP(Tables!$L$62,'Input LwA_XYZ'!$BV$1:$CJ$1,'Input LwA_XYZ'!BV19:CJ19)="","-",_xlfn.XLOOKUP(Tables!$L$62,'Input LwA_XYZ'!$BV$1:$CJ$1,'Input LwA_XYZ'!BV19:CJ19)))</f>
        <v>15</v>
      </c>
      <c r="S80" s="91" t="str">
        <f>IF($N80="","",IF('Input LwA_XYZ'!S19="","-",'Input LwA_XYZ'!S19))</f>
        <v>-</v>
      </c>
      <c r="T80" s="65">
        <f>IF($N80="","",_xlfn.XLOOKUP(Tables!$L$62,'Input LwA_XYZ'!$DD$1:$DR$1,'Input LwA_XYZ'!DD19:DR19))</f>
        <v>0</v>
      </c>
    </row>
    <row r="81" spans="14:20" ht="16.5" x14ac:dyDescent="0.3">
      <c r="N81" s="190">
        <f>IF('Input LwA_XYZ'!A20 = 0, "", 'Input LwA_XYZ'!A20)</f>
        <v>2</v>
      </c>
      <c r="O81" s="189" t="str">
        <f>IF($N81="","",_xlfn.TEXTJOIN(" - ",TRUE,'Input LwA_XYZ'!B20:C20))</f>
        <v>RCU-R(2p)4 - Radiated</v>
      </c>
      <c r="P81" s="64">
        <f>IF($N81="","",'Input LwA_XYZ'!Q20)</f>
        <v>76.010299956639813</v>
      </c>
      <c r="Q81" s="91" t="str">
        <f>IF($N81="","",-1*ROUND(_xlfn.XLOOKUP(Tables!$L$62,'Input LwA_XYZ'!$AY$1:$BM$1,'Input LwA_XYZ'!AY20:BM20),0) &amp; " / " &amp; ROUND(_xlfn.XLOOKUP(Tables!$L$62,'Input LwA_XYZ'!$AH$1:$AV$1,'Input LwA_XYZ'!AH20:AV20),0) &amp; " ft")</f>
        <v>37 / 88 ft</v>
      </c>
      <c r="R81" s="91">
        <f>IF($N81="","",IF(_xlfn.XLOOKUP(Tables!$L$62,'Input LwA_XYZ'!$BV$1:$CJ$1,'Input LwA_XYZ'!BV20:CJ20)="","-",_xlfn.XLOOKUP(Tables!$L$62,'Input LwA_XYZ'!$BV$1:$CJ$1,'Input LwA_XYZ'!BV20:CJ20)))</f>
        <v>15</v>
      </c>
      <c r="S81" s="91" t="str">
        <f>IF($N81="","",IF('Input LwA_XYZ'!S20="","-",'Input LwA_XYZ'!S20))</f>
        <v>-</v>
      </c>
      <c r="T81" s="65">
        <f>IF($N81="","",_xlfn.XLOOKUP(Tables!$L$62,'Input LwA_XYZ'!$DD$1:$DR$1,'Input LwA_XYZ'!DD20:DR20))</f>
        <v>0</v>
      </c>
    </row>
    <row r="82" spans="14:20" ht="16.5" x14ac:dyDescent="0.3">
      <c r="N82" s="190">
        <f>IF('Input LwA_XYZ'!A21 = 0, "", 'Input LwA_XYZ'!A21)</f>
        <v>2</v>
      </c>
      <c r="O82" s="189" t="str">
        <f>IF($N82="","",_xlfn.TEXTJOIN(" - ",TRUE,'Input LwA_XYZ'!B21:C21))</f>
        <v>RCU-R(2p)5 - Radiated</v>
      </c>
      <c r="P82" s="64">
        <f>IF($N82="","",'Input LwA_XYZ'!Q21)</f>
        <v>76.010299956639813</v>
      </c>
      <c r="Q82" s="91" t="str">
        <f>IF($N82="","",-1*ROUND(_xlfn.XLOOKUP(Tables!$L$62,'Input LwA_XYZ'!$AY$1:$BM$1,'Input LwA_XYZ'!AY21:BM21),0) &amp; " / " &amp; ROUND(_xlfn.XLOOKUP(Tables!$L$62,'Input LwA_XYZ'!$AH$1:$AV$1,'Input LwA_XYZ'!AH21:AV21),0) &amp; " ft")</f>
        <v>37 / 95 ft</v>
      </c>
      <c r="R82" s="91">
        <f>IF($N82="","",IF(_xlfn.XLOOKUP(Tables!$L$62,'Input LwA_XYZ'!$BV$1:$CJ$1,'Input LwA_XYZ'!BV21:CJ21)="","-",_xlfn.XLOOKUP(Tables!$L$62,'Input LwA_XYZ'!$BV$1:$CJ$1,'Input LwA_XYZ'!BV21:CJ21)))</f>
        <v>15</v>
      </c>
      <c r="S82" s="91" t="str">
        <f>IF($N82="","",IF('Input LwA_XYZ'!S21="","-",'Input LwA_XYZ'!S21))</f>
        <v>-</v>
      </c>
      <c r="T82" s="65">
        <f>IF($N82="","",_xlfn.XLOOKUP(Tables!$L$62,'Input LwA_XYZ'!$DD$1:$DR$1,'Input LwA_XYZ'!DD21:DR21))</f>
        <v>0</v>
      </c>
    </row>
    <row r="83" spans="14:20" ht="16.5" x14ac:dyDescent="0.3">
      <c r="N83" s="190">
        <f>IF('Input LwA_XYZ'!A22 = 0, "", 'Input LwA_XYZ'!A22)</f>
        <v>2</v>
      </c>
      <c r="O83" s="189" t="str">
        <f>IF($N83="","",_xlfn.TEXTJOIN(" - ",TRUE,'Input LwA_XYZ'!B22:C22))</f>
        <v>RCU-R(2p)6 - Radiated</v>
      </c>
      <c r="P83" s="64">
        <f>IF($N83="","",'Input LwA_XYZ'!Q22)</f>
        <v>76.010299956639813</v>
      </c>
      <c r="Q83" s="91" t="str">
        <f>IF($N83="","",-1*ROUND(_xlfn.XLOOKUP(Tables!$L$62,'Input LwA_XYZ'!$AY$1:$BM$1,'Input LwA_XYZ'!AY22:BM22),0) &amp; " / " &amp; ROUND(_xlfn.XLOOKUP(Tables!$L$62,'Input LwA_XYZ'!$AH$1:$AV$1,'Input LwA_XYZ'!AH22:AV22),0) &amp; " ft")</f>
        <v>38 / 105 ft</v>
      </c>
      <c r="R83" s="91">
        <f>IF($N83="","",IF(_xlfn.XLOOKUP(Tables!$L$62,'Input LwA_XYZ'!$BV$1:$CJ$1,'Input LwA_XYZ'!BV22:CJ22)="","-",_xlfn.XLOOKUP(Tables!$L$62,'Input LwA_XYZ'!$BV$1:$CJ$1,'Input LwA_XYZ'!BV22:CJ22)))</f>
        <v>15</v>
      </c>
      <c r="S83" s="91" t="str">
        <f>IF($N83="","",IF('Input LwA_XYZ'!S22="","-",'Input LwA_XYZ'!S22))</f>
        <v>-</v>
      </c>
      <c r="T83" s="65">
        <f>IF($N83="","",_xlfn.XLOOKUP(Tables!$L$62,'Input LwA_XYZ'!$DD$1:$DR$1,'Input LwA_XYZ'!DD22:DR22))</f>
        <v>0</v>
      </c>
    </row>
    <row r="84" spans="14:20" ht="16.5" x14ac:dyDescent="0.3">
      <c r="N84" s="190">
        <f>IF('Input LwA_XYZ'!A23 = 0, "", 'Input LwA_XYZ'!A23)</f>
        <v>1</v>
      </c>
      <c r="O84" s="189" t="str">
        <f>IF($N84="","",_xlfn.TEXTJOIN(" - ",TRUE,'Input LwA_XYZ'!B23:C23))</f>
        <v>BEF-R01  - Inlet</v>
      </c>
      <c r="P84" s="64">
        <f>IF($N84="","",'Input LwA_XYZ'!Q23)</f>
        <v>57</v>
      </c>
      <c r="Q84" s="91" t="str">
        <f>IF($N84="","",-1*ROUND(_xlfn.XLOOKUP(Tables!$L$62,'Input LwA_XYZ'!$AY$1:$BM$1,'Input LwA_XYZ'!AY23:BM23),0) &amp; " / " &amp; ROUND(_xlfn.XLOOKUP(Tables!$L$62,'Input LwA_XYZ'!$AH$1:$AV$1,'Input LwA_XYZ'!AH23:AV23),0) &amp; " ft")</f>
        <v>35 / 70 ft</v>
      </c>
      <c r="R84" s="91">
        <f>IF($N84="","",IF(_xlfn.XLOOKUP(Tables!$L$62,'Input LwA_XYZ'!$BV$1:$CJ$1,'Input LwA_XYZ'!BV23:CJ23)="","-",_xlfn.XLOOKUP(Tables!$L$62,'Input LwA_XYZ'!$BV$1:$CJ$1,'Input LwA_XYZ'!BV23:CJ23)))</f>
        <v>0</v>
      </c>
      <c r="S84" s="91" t="str">
        <f>IF($N84="","",IF('Input LwA_XYZ'!S23="","-",'Input LwA_XYZ'!S23))</f>
        <v>-</v>
      </c>
      <c r="T84" s="65">
        <f>IF($N84="","",_xlfn.XLOOKUP(Tables!$L$62,'Input LwA_XYZ'!$DD$1:$DR$1,'Input LwA_XYZ'!DD23:DR23))</f>
        <v>0</v>
      </c>
    </row>
    <row r="85" spans="14:20" ht="16.5" x14ac:dyDescent="0.3">
      <c r="N85" s="190">
        <f>IF('Input LwA_XYZ'!A24 = 0, "", 'Input LwA_XYZ'!A24)</f>
        <v>1</v>
      </c>
      <c r="O85" s="189" t="str">
        <f>IF($N85="","",_xlfn.TEXTJOIN(" - ",TRUE,'Input LwA_XYZ'!B24:C24))</f>
        <v>BEF-R02  - Inlet</v>
      </c>
      <c r="P85" s="64">
        <f>IF($N85="","",'Input LwA_XYZ'!Q24)</f>
        <v>66</v>
      </c>
      <c r="Q85" s="91" t="str">
        <f>IF($N85="","",-1*ROUND(_xlfn.XLOOKUP(Tables!$L$62,'Input LwA_XYZ'!$AY$1:$BM$1,'Input LwA_XYZ'!AY24:BM24),0) &amp; " / " &amp; ROUND(_xlfn.XLOOKUP(Tables!$L$62,'Input LwA_XYZ'!$AH$1:$AV$1,'Input LwA_XYZ'!AH24:AV24),0) &amp; " ft")</f>
        <v>33 / 58 ft</v>
      </c>
      <c r="R85" s="91">
        <f>IF($N85="","",IF(_xlfn.XLOOKUP(Tables!$L$62,'Input LwA_XYZ'!$BV$1:$CJ$1,'Input LwA_XYZ'!BV24:CJ24)="","-",_xlfn.XLOOKUP(Tables!$L$62,'Input LwA_XYZ'!$BV$1:$CJ$1,'Input LwA_XYZ'!BV24:CJ24)))</f>
        <v>0</v>
      </c>
      <c r="S85" s="91" t="str">
        <f>IF($N85="","",IF('Input LwA_XYZ'!S24="","-",'Input LwA_XYZ'!S24))</f>
        <v>-</v>
      </c>
      <c r="T85" s="65">
        <f>IF($N85="","",_xlfn.XLOOKUP(Tables!$L$62,'Input LwA_XYZ'!$DD$1:$DR$1,'Input LwA_XYZ'!DD24:DR24))</f>
        <v>0</v>
      </c>
    </row>
    <row r="86" spans="14:20" ht="16.5" x14ac:dyDescent="0.3">
      <c r="N86" s="190">
        <f>IF('Input LwA_XYZ'!A25 = 0, "", 'Input LwA_XYZ'!A25)</f>
        <v>1</v>
      </c>
      <c r="O86" s="189" t="str">
        <f>IF($N86="","",_xlfn.TEXTJOIN(" - ",TRUE,'Input LwA_XYZ'!B25:C25))</f>
        <v>BEF-R03  - Inlet</v>
      </c>
      <c r="P86" s="64">
        <f>IF($N86="","",'Input LwA_XYZ'!Q25)</f>
        <v>66</v>
      </c>
      <c r="Q86" s="91" t="str">
        <f>IF($N86="","",-1*ROUND(_xlfn.XLOOKUP(Tables!$L$62,'Input LwA_XYZ'!$AY$1:$BM$1,'Input LwA_XYZ'!AY25:BM25),0) &amp; " / " &amp; ROUND(_xlfn.XLOOKUP(Tables!$L$62,'Input LwA_XYZ'!$AH$1:$AV$1,'Input LwA_XYZ'!AH25:AV25),0) &amp; " ft")</f>
        <v>32 / 53 ft</v>
      </c>
      <c r="R86" s="91">
        <f>IF($N86="","",IF(_xlfn.XLOOKUP(Tables!$L$62,'Input LwA_XYZ'!$BV$1:$CJ$1,'Input LwA_XYZ'!BV25:CJ25)="","-",_xlfn.XLOOKUP(Tables!$L$62,'Input LwA_XYZ'!$BV$1:$CJ$1,'Input LwA_XYZ'!BV25:CJ25)))</f>
        <v>5</v>
      </c>
      <c r="S86" s="91" t="str">
        <f>IF($N86="","",IF('Input LwA_XYZ'!S25="","-",'Input LwA_XYZ'!S25))</f>
        <v>-</v>
      </c>
      <c r="T86" s="65">
        <f>IF($N86="","",_xlfn.XLOOKUP(Tables!$L$62,'Input LwA_XYZ'!$DD$1:$DR$1,'Input LwA_XYZ'!DD25:DR25))</f>
        <v>0</v>
      </c>
    </row>
    <row r="87" spans="14:20" ht="16.5" x14ac:dyDescent="0.3">
      <c r="N87" s="190">
        <f>IF('Input LwA_XYZ'!A26 = 0, "", 'Input LwA_XYZ'!A26)</f>
        <v>1</v>
      </c>
      <c r="O87" s="189" t="str">
        <f>IF($N87="","",_xlfn.TEXTJOIN(" - ",TRUE,'Input LwA_XYZ'!B26:C26))</f>
        <v>BEF-R04  - Inlet</v>
      </c>
      <c r="P87" s="64">
        <f>IF($N87="","",'Input LwA_XYZ'!Q26)</f>
        <v>66</v>
      </c>
      <c r="Q87" s="91" t="str">
        <f>IF($N87="","",-1*ROUND(_xlfn.XLOOKUP(Tables!$L$62,'Input LwA_XYZ'!$AY$1:$BM$1,'Input LwA_XYZ'!AY26:BM26),0) &amp; " / " &amp; ROUND(_xlfn.XLOOKUP(Tables!$L$62,'Input LwA_XYZ'!$AH$1:$AV$1,'Input LwA_XYZ'!AH26:AV26),0) &amp; " ft")</f>
        <v>34 / 65 ft</v>
      </c>
      <c r="R87" s="91">
        <f>IF($N87="","",IF(_xlfn.XLOOKUP(Tables!$L$62,'Input LwA_XYZ'!$BV$1:$CJ$1,'Input LwA_XYZ'!BV26:CJ26)="","-",_xlfn.XLOOKUP(Tables!$L$62,'Input LwA_XYZ'!$BV$1:$CJ$1,'Input LwA_XYZ'!BV26:CJ26)))</f>
        <v>7</v>
      </c>
      <c r="S87" s="91" t="str">
        <f>IF($N87="","",IF('Input LwA_XYZ'!S26="","-",'Input LwA_XYZ'!S26))</f>
        <v>-</v>
      </c>
      <c r="T87" s="65">
        <f>IF($N87="","",_xlfn.XLOOKUP(Tables!$L$62,'Input LwA_XYZ'!$DD$1:$DR$1,'Input LwA_XYZ'!DD26:DR26))</f>
        <v>0</v>
      </c>
    </row>
    <row r="88" spans="14:20" ht="16.5" x14ac:dyDescent="0.3">
      <c r="N88" s="190">
        <f>IF('Input LwA_XYZ'!A27 = 0, "", 'Input LwA_XYZ'!A27)</f>
        <v>1</v>
      </c>
      <c r="O88" s="189" t="str">
        <f>IF($N88="","",_xlfn.TEXTJOIN(" - ",TRUE,'Input LwA_XYZ'!B27:C27))</f>
        <v>BEF-R05  - Inlet</v>
      </c>
      <c r="P88" s="64">
        <f>IF($N88="","",'Input LwA_XYZ'!Q27)</f>
        <v>66</v>
      </c>
      <c r="Q88" s="91" t="str">
        <f>IF($N88="","",-1*ROUND(_xlfn.XLOOKUP(Tables!$L$62,'Input LwA_XYZ'!$AY$1:$BM$1,'Input LwA_XYZ'!AY27:BM27),0) &amp; " / " &amp; ROUND(_xlfn.XLOOKUP(Tables!$L$62,'Input LwA_XYZ'!$AH$1:$AV$1,'Input LwA_XYZ'!AH27:AV27),0) &amp; " ft")</f>
        <v>35 / 76 ft</v>
      </c>
      <c r="R88" s="91">
        <f>IF($N88="","",IF(_xlfn.XLOOKUP(Tables!$L$62,'Input LwA_XYZ'!$BV$1:$CJ$1,'Input LwA_XYZ'!BV27:CJ27)="","-",_xlfn.XLOOKUP(Tables!$L$62,'Input LwA_XYZ'!$BV$1:$CJ$1,'Input LwA_XYZ'!BV27:CJ27)))</f>
        <v>0</v>
      </c>
      <c r="S88" s="91" t="str">
        <f>IF($N88="","",IF('Input LwA_XYZ'!S27="","-",'Input LwA_XYZ'!S27))</f>
        <v>-</v>
      </c>
      <c r="T88" s="65">
        <f>IF($N88="","",_xlfn.XLOOKUP(Tables!$L$62,'Input LwA_XYZ'!$DD$1:$DR$1,'Input LwA_XYZ'!DD27:DR27))</f>
        <v>0</v>
      </c>
    </row>
    <row r="89" spans="14:20" ht="16.5" x14ac:dyDescent="0.3">
      <c r="N89" s="190">
        <f>IF('Input LwA_XYZ'!A28 = 0, "", 'Input LwA_XYZ'!A28)</f>
        <v>1</v>
      </c>
      <c r="O89" s="189" t="str">
        <f>IF($N89="","",_xlfn.TEXTJOIN(" - ",TRUE,'Input LwA_XYZ'!B28:C28))</f>
        <v>BEF-R06  - Inlet</v>
      </c>
      <c r="P89" s="64">
        <f>IF($N89="","",'Input LwA_XYZ'!Q28)</f>
        <v>66</v>
      </c>
      <c r="Q89" s="91" t="str">
        <f>IF($N89="","",-1*ROUND(_xlfn.XLOOKUP(Tables!$L$62,'Input LwA_XYZ'!$AY$1:$BM$1,'Input LwA_XYZ'!AY28:BM28),0) &amp; " / " &amp; ROUND(_xlfn.XLOOKUP(Tables!$L$62,'Input LwA_XYZ'!$AH$1:$AV$1,'Input LwA_XYZ'!AH28:AV28),0) &amp; " ft")</f>
        <v>35 / 75 ft</v>
      </c>
      <c r="R89" s="91">
        <f>IF($N89="","",IF(_xlfn.XLOOKUP(Tables!$L$62,'Input LwA_XYZ'!$BV$1:$CJ$1,'Input LwA_XYZ'!BV28:CJ28)="","-",_xlfn.XLOOKUP(Tables!$L$62,'Input LwA_XYZ'!$BV$1:$CJ$1,'Input LwA_XYZ'!BV28:CJ28)))</f>
        <v>0</v>
      </c>
      <c r="S89" s="91" t="str">
        <f>IF($N89="","",IF('Input LwA_XYZ'!S28="","-",'Input LwA_XYZ'!S28))</f>
        <v>-</v>
      </c>
      <c r="T89" s="65">
        <f>IF($N89="","",_xlfn.XLOOKUP(Tables!$L$62,'Input LwA_XYZ'!$DD$1:$DR$1,'Input LwA_XYZ'!DD28:DR28))</f>
        <v>0</v>
      </c>
    </row>
    <row r="90" spans="14:20" ht="16.5" x14ac:dyDescent="0.3">
      <c r="N90" s="190">
        <f>IF('Input LwA_XYZ'!A29 = 0, "", 'Input LwA_XYZ'!A29)</f>
        <v>1</v>
      </c>
      <c r="O90" s="189" t="str">
        <f>IF($N90="","",_xlfn.TEXTJOIN(" - ",TRUE,'Input LwA_XYZ'!B29:C29))</f>
        <v>BEF-R07  - Inlet</v>
      </c>
      <c r="P90" s="64">
        <f>IF($N90="","",'Input LwA_XYZ'!Q29)</f>
        <v>57</v>
      </c>
      <c r="Q90" s="91" t="str">
        <f>IF($N90="","",-1*ROUND(_xlfn.XLOOKUP(Tables!$L$62,'Input LwA_XYZ'!$AY$1:$BM$1,'Input LwA_XYZ'!AY29:BM29),0) &amp; " / " &amp; ROUND(_xlfn.XLOOKUP(Tables!$L$62,'Input LwA_XYZ'!$AH$1:$AV$1,'Input LwA_XYZ'!AH29:AV29),0) &amp; " ft")</f>
        <v>36 / 85 ft</v>
      </c>
      <c r="R90" s="91">
        <f>IF($N90="","",IF(_xlfn.XLOOKUP(Tables!$L$62,'Input LwA_XYZ'!$BV$1:$CJ$1,'Input LwA_XYZ'!BV29:CJ29)="","-",_xlfn.XLOOKUP(Tables!$L$62,'Input LwA_XYZ'!$BV$1:$CJ$1,'Input LwA_XYZ'!BV29:CJ29)))</f>
        <v>0</v>
      </c>
      <c r="S90" s="91" t="str">
        <f>IF($N90="","",IF('Input LwA_XYZ'!S29="","-",'Input LwA_XYZ'!S29))</f>
        <v>-</v>
      </c>
      <c r="T90" s="65">
        <f>IF($N90="","",_xlfn.XLOOKUP(Tables!$L$62,'Input LwA_XYZ'!$DD$1:$DR$1,'Input LwA_XYZ'!DD29:DR29))</f>
        <v>0</v>
      </c>
    </row>
    <row r="91" spans="14:20" ht="16.5" x14ac:dyDescent="0.3">
      <c r="N91" s="190">
        <f>IF('Input LwA_XYZ'!A30 = 0, "", 'Input LwA_XYZ'!A30)</f>
        <v>1</v>
      </c>
      <c r="O91" s="189" t="str">
        <f>IF($N91="","",_xlfn.TEXTJOIN(" - ",TRUE,'Input LwA_XYZ'!B30:C30))</f>
        <v>BEF-R08  - Inlet</v>
      </c>
      <c r="P91" s="64">
        <f>IF($N91="","",'Input LwA_XYZ'!Q30)</f>
        <v>57</v>
      </c>
      <c r="Q91" s="91" t="str">
        <f>IF($N91="","",-1*ROUND(_xlfn.XLOOKUP(Tables!$L$62,'Input LwA_XYZ'!$AY$1:$BM$1,'Input LwA_XYZ'!AY30:BM30),0) &amp; " / " &amp; ROUND(_xlfn.XLOOKUP(Tables!$L$62,'Input LwA_XYZ'!$AH$1:$AV$1,'Input LwA_XYZ'!AH30:AV30),0) &amp; " ft")</f>
        <v>39 / 121 ft</v>
      </c>
      <c r="R91" s="91">
        <f>IF($N91="","",IF(_xlfn.XLOOKUP(Tables!$L$62,'Input LwA_XYZ'!$BV$1:$CJ$1,'Input LwA_XYZ'!BV30:CJ30)="","-",_xlfn.XLOOKUP(Tables!$L$62,'Input LwA_XYZ'!$BV$1:$CJ$1,'Input LwA_XYZ'!BV30:CJ30)))</f>
        <v>12</v>
      </c>
      <c r="S91" s="91" t="str">
        <f>IF($N91="","",IF('Input LwA_XYZ'!S30="","-",'Input LwA_XYZ'!S30))</f>
        <v>-</v>
      </c>
      <c r="T91" s="65">
        <f>IF($N91="","",_xlfn.XLOOKUP(Tables!$L$62,'Input LwA_XYZ'!$DD$1:$DR$1,'Input LwA_XYZ'!DD30:DR30))</f>
        <v>0</v>
      </c>
    </row>
    <row r="92" spans="14:20" ht="16.5" x14ac:dyDescent="0.3">
      <c r="N92" s="190">
        <f>IF('Input LwA_XYZ'!A31 = 0, "", 'Input LwA_XYZ'!A31)</f>
        <v>1</v>
      </c>
      <c r="O92" s="189" t="str">
        <f>IF($N92="","",_xlfn.TEXTJOIN(" - ",TRUE,'Input LwA_XYZ'!B31:C31))</f>
        <v>BEF-R09  - Inlet</v>
      </c>
      <c r="P92" s="64">
        <f>IF($N92="","",'Input LwA_XYZ'!Q31)</f>
        <v>66</v>
      </c>
      <c r="Q92" s="91" t="str">
        <f>IF($N92="","",-1*ROUND(_xlfn.XLOOKUP(Tables!$L$62,'Input LwA_XYZ'!$AY$1:$BM$1,'Input LwA_XYZ'!AY31:BM31),0) &amp; " / " &amp; ROUND(_xlfn.XLOOKUP(Tables!$L$62,'Input LwA_XYZ'!$AH$1:$AV$1,'Input LwA_XYZ'!AH31:AV31),0) &amp; " ft")</f>
        <v>39 / 119 ft</v>
      </c>
      <c r="R92" s="91">
        <f>IF($N92="","",IF(_xlfn.XLOOKUP(Tables!$L$62,'Input LwA_XYZ'!$BV$1:$CJ$1,'Input LwA_XYZ'!BV31:CJ31)="","-",_xlfn.XLOOKUP(Tables!$L$62,'Input LwA_XYZ'!$BV$1:$CJ$1,'Input LwA_XYZ'!BV31:CJ31)))</f>
        <v>12</v>
      </c>
      <c r="S92" s="91" t="str">
        <f>IF($N92="","",IF('Input LwA_XYZ'!S31="","-",'Input LwA_XYZ'!S31))</f>
        <v>-</v>
      </c>
      <c r="T92" s="65">
        <f>IF($N92="","",_xlfn.XLOOKUP(Tables!$L$62,'Input LwA_XYZ'!$DD$1:$DR$1,'Input LwA_XYZ'!DD31:DR31))</f>
        <v>0</v>
      </c>
    </row>
    <row r="93" spans="14:20" ht="16.5" x14ac:dyDescent="0.3">
      <c r="N93" s="190">
        <f>IF('Input LwA_XYZ'!A32 = 0, "", 'Input LwA_XYZ'!A32)</f>
        <v>1</v>
      </c>
      <c r="O93" s="189" t="str">
        <f>IF($N93="","",_xlfn.TEXTJOIN(" - ",TRUE,'Input LwA_XYZ'!B32:C32))</f>
        <v>BEF-R10  - Inlet</v>
      </c>
      <c r="P93" s="64">
        <f>IF($N93="","",'Input LwA_XYZ'!Q32)</f>
        <v>66</v>
      </c>
      <c r="Q93" s="91" t="str">
        <f>IF($N93="","",-1*ROUND(_xlfn.XLOOKUP(Tables!$L$62,'Input LwA_XYZ'!$AY$1:$BM$1,'Input LwA_XYZ'!AY32:BM32),0) &amp; " / " &amp; ROUND(_xlfn.XLOOKUP(Tables!$L$62,'Input LwA_XYZ'!$AH$1:$AV$1,'Input LwA_XYZ'!AH32:AV32),0) &amp; " ft")</f>
        <v>39 / 122 ft</v>
      </c>
      <c r="R93" s="91">
        <f>IF($N93="","",IF(_xlfn.XLOOKUP(Tables!$L$62,'Input LwA_XYZ'!$BV$1:$CJ$1,'Input LwA_XYZ'!BV32:CJ32)="","-",_xlfn.XLOOKUP(Tables!$L$62,'Input LwA_XYZ'!$BV$1:$CJ$1,'Input LwA_XYZ'!BV32:CJ32)))</f>
        <v>12</v>
      </c>
      <c r="S93" s="91" t="str">
        <f>IF($N93="","",IF('Input LwA_XYZ'!S32="","-",'Input LwA_XYZ'!S32))</f>
        <v>-</v>
      </c>
      <c r="T93" s="65">
        <f>IF($N93="","",_xlfn.XLOOKUP(Tables!$L$62,'Input LwA_XYZ'!$DD$1:$DR$1,'Input LwA_XYZ'!DD32:DR32))</f>
        <v>0</v>
      </c>
    </row>
    <row r="94" spans="14:20" ht="16.5" x14ac:dyDescent="0.3">
      <c r="N94" s="190">
        <f>IF('Input LwA_XYZ'!A33 = 0, "", 'Input LwA_XYZ'!A33)</f>
        <v>1</v>
      </c>
      <c r="O94" s="189" t="str">
        <f>IF($N94="","",_xlfn.TEXTJOIN(" - ",TRUE,'Input LwA_XYZ'!B33:C33))</f>
        <v>BEF-R11  - Inlet</v>
      </c>
      <c r="P94" s="64">
        <f>IF($N94="","",'Input LwA_XYZ'!Q33)</f>
        <v>66</v>
      </c>
      <c r="Q94" s="91" t="str">
        <f>IF($N94="","",-1*ROUND(_xlfn.XLOOKUP(Tables!$L$62,'Input LwA_XYZ'!$AY$1:$BM$1,'Input LwA_XYZ'!AY33:BM33),0) &amp; " / " &amp; ROUND(_xlfn.XLOOKUP(Tables!$L$62,'Input LwA_XYZ'!$AH$1:$AV$1,'Input LwA_XYZ'!AH33:AV33),0) &amp; " ft")</f>
        <v>40 / 125 ft</v>
      </c>
      <c r="R94" s="91">
        <f>IF($N94="","",IF(_xlfn.XLOOKUP(Tables!$L$62,'Input LwA_XYZ'!$BV$1:$CJ$1,'Input LwA_XYZ'!BV33:CJ33)="","-",_xlfn.XLOOKUP(Tables!$L$62,'Input LwA_XYZ'!$BV$1:$CJ$1,'Input LwA_XYZ'!BV33:CJ33)))</f>
        <v>12</v>
      </c>
      <c r="S94" s="91" t="str">
        <f>IF($N94="","",IF('Input LwA_XYZ'!S33="","-",'Input LwA_XYZ'!S33))</f>
        <v>-</v>
      </c>
      <c r="T94" s="65">
        <f>IF($N94="","",_xlfn.XLOOKUP(Tables!$L$62,'Input LwA_XYZ'!$DD$1:$DR$1,'Input LwA_XYZ'!DD33:DR33))</f>
        <v>0</v>
      </c>
    </row>
    <row r="95" spans="14:20" ht="16.5" x14ac:dyDescent="0.3">
      <c r="N95" s="190">
        <f>IF('Input LwA_XYZ'!A34 = 0, "", 'Input LwA_XYZ'!A34)</f>
        <v>1</v>
      </c>
      <c r="O95" s="189" t="str">
        <f>IF($N95="","",_xlfn.TEXTJOIN(" - ",TRUE,'Input LwA_XYZ'!B34:C34))</f>
        <v>BEF-R12  - Inlet</v>
      </c>
      <c r="P95" s="64">
        <f>IF($N95="","",'Input LwA_XYZ'!Q34)</f>
        <v>66</v>
      </c>
      <c r="Q95" s="91" t="str">
        <f>IF($N95="","",-1*ROUND(_xlfn.XLOOKUP(Tables!$L$62,'Input LwA_XYZ'!$AY$1:$BM$1,'Input LwA_XYZ'!AY34:BM34),0) &amp; " / " &amp; ROUND(_xlfn.XLOOKUP(Tables!$L$62,'Input LwA_XYZ'!$AH$1:$AV$1,'Input LwA_XYZ'!AH34:AV34),0) &amp; " ft")</f>
        <v>37 / 97 ft</v>
      </c>
      <c r="R95" s="91">
        <f>IF($N95="","",IF(_xlfn.XLOOKUP(Tables!$L$62,'Input LwA_XYZ'!$BV$1:$CJ$1,'Input LwA_XYZ'!BV34:CJ34)="","-",_xlfn.XLOOKUP(Tables!$L$62,'Input LwA_XYZ'!$BV$1:$CJ$1,'Input LwA_XYZ'!BV34:CJ34)))</f>
        <v>15</v>
      </c>
      <c r="S95" s="91" t="str">
        <f>IF($N95="","",IF('Input LwA_XYZ'!S34="","-",'Input LwA_XYZ'!S34))</f>
        <v>-</v>
      </c>
      <c r="T95" s="65">
        <f>IF($N95="","",_xlfn.XLOOKUP(Tables!$L$62,'Input LwA_XYZ'!$DD$1:$DR$1,'Input LwA_XYZ'!DD34:DR34))</f>
        <v>0</v>
      </c>
    </row>
    <row r="96" spans="14:20" ht="16.5" x14ac:dyDescent="0.3">
      <c r="N96" s="190">
        <f>IF('Input LwA_XYZ'!A35 = 0, "", 'Input LwA_XYZ'!A35)</f>
        <v>1</v>
      </c>
      <c r="O96" s="189" t="str">
        <f>IF($N96="","",_xlfn.TEXTJOIN(" - ",TRUE,'Input LwA_XYZ'!B35:C35))</f>
        <v>BEF-R13  - Inlet</v>
      </c>
      <c r="P96" s="64">
        <f>IF($N96="","",'Input LwA_XYZ'!Q35)</f>
        <v>66</v>
      </c>
      <c r="Q96" s="91" t="str">
        <f>IF($N96="","",-1*ROUND(_xlfn.XLOOKUP(Tables!$L$62,'Input LwA_XYZ'!$AY$1:$BM$1,'Input LwA_XYZ'!AY35:BM35),0) &amp; " / " &amp; ROUND(_xlfn.XLOOKUP(Tables!$L$62,'Input LwA_XYZ'!$AH$1:$AV$1,'Input LwA_XYZ'!AH35:AV35),0) &amp; " ft")</f>
        <v>36 / 82 ft</v>
      </c>
      <c r="R96" s="91">
        <f>IF($N96="","",IF(_xlfn.XLOOKUP(Tables!$L$62,'Input LwA_XYZ'!$BV$1:$CJ$1,'Input LwA_XYZ'!BV35:CJ35)="","-",_xlfn.XLOOKUP(Tables!$L$62,'Input LwA_XYZ'!$BV$1:$CJ$1,'Input LwA_XYZ'!BV35:CJ35)))</f>
        <v>15</v>
      </c>
      <c r="S96" s="91" t="str">
        <f>IF($N96="","",IF('Input LwA_XYZ'!S35="","-",'Input LwA_XYZ'!S35))</f>
        <v>-</v>
      </c>
      <c r="T96" s="65">
        <f>IF($N96="","",_xlfn.XLOOKUP(Tables!$L$62,'Input LwA_XYZ'!$DD$1:$DR$1,'Input LwA_XYZ'!DD35:DR35))</f>
        <v>0</v>
      </c>
    </row>
    <row r="97" spans="14:20" ht="16.5" x14ac:dyDescent="0.3">
      <c r="N97" s="190">
        <f>IF('Input LwA_XYZ'!A36 = 0, "", 'Input LwA_XYZ'!A36)</f>
        <v>1</v>
      </c>
      <c r="O97" s="189" t="str">
        <f>IF($N97="","",_xlfn.TEXTJOIN(" - ",TRUE,'Input LwA_XYZ'!B36:C36))</f>
        <v>BEF-R14  - Inlet</v>
      </c>
      <c r="P97" s="64">
        <f>IF($N97="","",'Input LwA_XYZ'!Q36)</f>
        <v>66</v>
      </c>
      <c r="Q97" s="91" t="str">
        <f>IF($N97="","",-1*ROUND(_xlfn.XLOOKUP(Tables!$L$62,'Input LwA_XYZ'!$AY$1:$BM$1,'Input LwA_XYZ'!AY36:BM36),0) &amp; " / " &amp; ROUND(_xlfn.XLOOKUP(Tables!$L$62,'Input LwA_XYZ'!$AH$1:$AV$1,'Input LwA_XYZ'!AH36:AV36),0) &amp; " ft")</f>
        <v>36 / 84 ft</v>
      </c>
      <c r="R97" s="91">
        <f>IF($N97="","",IF(_xlfn.XLOOKUP(Tables!$L$62,'Input LwA_XYZ'!$BV$1:$CJ$1,'Input LwA_XYZ'!BV36:CJ36)="","-",_xlfn.XLOOKUP(Tables!$L$62,'Input LwA_XYZ'!$BV$1:$CJ$1,'Input LwA_XYZ'!BV36:CJ36)))</f>
        <v>15</v>
      </c>
      <c r="S97" s="91" t="str">
        <f>IF($N97="","",IF('Input LwA_XYZ'!S36="","-",'Input LwA_XYZ'!S36))</f>
        <v>-</v>
      </c>
      <c r="T97" s="65">
        <f>IF($N97="","",_xlfn.XLOOKUP(Tables!$L$62,'Input LwA_XYZ'!$DD$1:$DR$1,'Input LwA_XYZ'!DD36:DR36))</f>
        <v>0</v>
      </c>
    </row>
    <row r="98" spans="14:20" ht="16.5" x14ac:dyDescent="0.3">
      <c r="N98" s="190">
        <f>IF('Input LwA_XYZ'!A37 = 0, "", 'Input LwA_XYZ'!A37)</f>
        <v>1</v>
      </c>
      <c r="O98" s="189" t="str">
        <f>IF($N98="","",_xlfn.TEXTJOIN(" - ",TRUE,'Input LwA_XYZ'!B37:C37))</f>
        <v>BEF-R15  - Inlet</v>
      </c>
      <c r="P98" s="64">
        <f>IF($N98="","",'Input LwA_XYZ'!Q37)</f>
        <v>57</v>
      </c>
      <c r="Q98" s="91" t="str">
        <f>IF($N98="","",-1*ROUND(_xlfn.XLOOKUP(Tables!$L$62,'Input LwA_XYZ'!$AY$1:$BM$1,'Input LwA_XYZ'!AY37:BM37),0) &amp; " / " &amp; ROUND(_xlfn.XLOOKUP(Tables!$L$62,'Input LwA_XYZ'!$AH$1:$AV$1,'Input LwA_XYZ'!AH37:AV37),0) &amp; " ft")</f>
        <v>37 / 97 ft</v>
      </c>
      <c r="R98" s="91">
        <f>IF($N98="","",IF(_xlfn.XLOOKUP(Tables!$L$62,'Input LwA_XYZ'!$BV$1:$CJ$1,'Input LwA_XYZ'!BV37:CJ37)="","-",_xlfn.XLOOKUP(Tables!$L$62,'Input LwA_XYZ'!$BV$1:$CJ$1,'Input LwA_XYZ'!BV37:CJ37)))</f>
        <v>13</v>
      </c>
      <c r="S98" s="91" t="str">
        <f>IF($N98="","",IF('Input LwA_XYZ'!S37="","-",'Input LwA_XYZ'!S37))</f>
        <v>-</v>
      </c>
      <c r="T98" s="65">
        <f>IF($N98="","",_xlfn.XLOOKUP(Tables!$L$62,'Input LwA_XYZ'!$DD$1:$DR$1,'Input LwA_XYZ'!DD37:DR37))</f>
        <v>0</v>
      </c>
    </row>
    <row r="99" spans="14:20" ht="16.5" x14ac:dyDescent="0.3">
      <c r="N99" s="190">
        <f>IF('Input LwA_XYZ'!A38 = 0, "", 'Input LwA_XYZ'!A38)</f>
        <v>1</v>
      </c>
      <c r="O99" s="189" t="str">
        <f>IF($N99="","",_xlfn.TEXTJOIN(" - ",TRUE,'Input LwA_XYZ'!B38:C38))</f>
        <v>BEF-R16  - Inlet</v>
      </c>
      <c r="P99" s="64">
        <f>IF($N99="","",'Input LwA_XYZ'!Q38)</f>
        <v>57</v>
      </c>
      <c r="Q99" s="91" t="str">
        <f>IF($N99="","",-1*ROUND(_xlfn.XLOOKUP(Tables!$L$62,'Input LwA_XYZ'!$AY$1:$BM$1,'Input LwA_XYZ'!AY38:BM38),0) &amp; " / " &amp; ROUND(_xlfn.XLOOKUP(Tables!$L$62,'Input LwA_XYZ'!$AH$1:$AV$1,'Input LwA_XYZ'!AH38:AV38),0) &amp; " ft")</f>
        <v>38 / 104 ft</v>
      </c>
      <c r="R99" s="91">
        <f>IF($N99="","",IF(_xlfn.XLOOKUP(Tables!$L$62,'Input LwA_XYZ'!$BV$1:$CJ$1,'Input LwA_XYZ'!BV38:CJ38)="","-",_xlfn.XLOOKUP(Tables!$L$62,'Input LwA_XYZ'!$BV$1:$CJ$1,'Input LwA_XYZ'!BV38:CJ38)))</f>
        <v>14</v>
      </c>
      <c r="S99" s="91" t="str">
        <f>IF($N99="","",IF('Input LwA_XYZ'!S38="","-",'Input LwA_XYZ'!S38))</f>
        <v>-</v>
      </c>
      <c r="T99" s="65">
        <f>IF($N99="","",_xlfn.XLOOKUP(Tables!$L$62,'Input LwA_XYZ'!$DD$1:$DR$1,'Input LwA_XYZ'!DD38:DR38))</f>
        <v>0</v>
      </c>
    </row>
    <row r="100" spans="14:20" ht="16.5" x14ac:dyDescent="0.3">
      <c r="N100" s="190" t="str">
        <f>IF('Input LwA_XYZ'!A39 = 0, "", 'Input LwA_XYZ'!A39)</f>
        <v/>
      </c>
      <c r="O100" s="189" t="str">
        <f>IF($N100="","",_xlfn.TEXTJOIN(" - ",TRUE,'Input LwA_XYZ'!B39:C39))</f>
        <v/>
      </c>
      <c r="P100" s="64" t="str">
        <f>IF($N100="","",'Input LwA_XYZ'!Q39)</f>
        <v/>
      </c>
      <c r="Q100" s="91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91" t="str">
        <f>IF($N100="","",IF(_xlfn.XLOOKUP(Tables!$L$62,'Input LwA_XYZ'!$BV$1:$CJ$1,'Input LwA_XYZ'!BV39:CJ39)="","-",_xlfn.XLOOKUP(Tables!$L$62,'Input LwA_XYZ'!$BV$1:$CJ$1,'Input LwA_XYZ'!BV39:CJ39)))</f>
        <v/>
      </c>
      <c r="S100" s="91" t="str">
        <f>IF($N100="","",IF('Input LwA_XYZ'!S39="","-",'Input LwA_XYZ'!S39))</f>
        <v/>
      </c>
      <c r="T100" s="65" t="str">
        <f>IF($N100="","",_xlfn.XLOOKUP(Tables!$L$62,'Input LwA_XYZ'!$DD$1:$DR$1,'Input LwA_XYZ'!DD39:DR39))</f>
        <v/>
      </c>
    </row>
    <row r="101" spans="14:20" ht="16.5" x14ac:dyDescent="0.3">
      <c r="N101" s="190" t="str">
        <f>IF('Input LwA_XYZ'!A40 = 0, "", 'Input LwA_XYZ'!A40)</f>
        <v/>
      </c>
      <c r="O101" s="189" t="str">
        <f>IF($N101="","",_xlfn.TEXTJOIN(" - ",TRUE,'Input LwA_XYZ'!B40:C40))</f>
        <v/>
      </c>
      <c r="P101" s="64" t="str">
        <f>IF($N101="","",'Input LwA_XYZ'!Q40)</f>
        <v/>
      </c>
      <c r="Q101" s="91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91" t="str">
        <f>IF($N101="","",IF(_xlfn.XLOOKUP(Tables!$L$62,'Input LwA_XYZ'!$BV$1:$CJ$1,'Input LwA_XYZ'!BV40:CJ40)="","-",_xlfn.XLOOKUP(Tables!$L$62,'Input LwA_XYZ'!$BV$1:$CJ$1,'Input LwA_XYZ'!BV40:CJ40)))</f>
        <v/>
      </c>
      <c r="S101" s="91" t="str">
        <f>IF($N101="","",IF('Input LwA_XYZ'!S40="","-",'Input LwA_XYZ'!S40))</f>
        <v/>
      </c>
      <c r="T101" s="65" t="str">
        <f>IF($N101="","",_xlfn.XLOOKUP(Tables!$L$62,'Input LwA_XYZ'!$DD$1:$DR$1,'Input LwA_XYZ'!DD40:DR40))</f>
        <v/>
      </c>
    </row>
    <row r="102" spans="14:20" ht="16.5" x14ac:dyDescent="0.3">
      <c r="N102" s="190" t="str">
        <f>IF('Input LwA_XYZ'!A41 = 0, "", 'Input LwA_XYZ'!A41)</f>
        <v/>
      </c>
      <c r="O102" s="189" t="str">
        <f>IF($N102="","",_xlfn.TEXTJOIN(" - ",TRUE,'Input LwA_XYZ'!B41:C41))</f>
        <v/>
      </c>
      <c r="P102" s="64" t="str">
        <f>IF($N102="","",'Input LwA_XYZ'!Q41)</f>
        <v/>
      </c>
      <c r="Q102" s="91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91" t="str">
        <f>IF($N102="","",IF(_xlfn.XLOOKUP(Tables!$L$62,'Input LwA_XYZ'!$BV$1:$CJ$1,'Input LwA_XYZ'!BV41:CJ41)="","-",_xlfn.XLOOKUP(Tables!$L$62,'Input LwA_XYZ'!$BV$1:$CJ$1,'Input LwA_XYZ'!BV41:CJ41)))</f>
        <v/>
      </c>
      <c r="S102" s="91" t="str">
        <f>IF($N102="","",IF('Input LwA_XYZ'!S41="","-",'Input LwA_XYZ'!S41))</f>
        <v/>
      </c>
      <c r="T102" s="65" t="str">
        <f>IF($N102="","",_xlfn.XLOOKUP(Tables!$L$62,'Input LwA_XYZ'!$DD$1:$DR$1,'Input LwA_XYZ'!DD41:DR41))</f>
        <v/>
      </c>
    </row>
    <row r="103" spans="14:20" ht="16.5" x14ac:dyDescent="0.3">
      <c r="N103" s="190" t="str">
        <f>IF('Input LwA_XYZ'!A42 = 0, "", 'Input LwA_XYZ'!A42)</f>
        <v/>
      </c>
      <c r="O103" s="189" t="str">
        <f>IF($N103="","",_xlfn.TEXTJOIN(" - ",TRUE,'Input LwA_XYZ'!B42:C42))</f>
        <v/>
      </c>
      <c r="P103" s="64" t="str">
        <f>IF($N103="","",'Input LwA_XYZ'!Q42)</f>
        <v/>
      </c>
      <c r="Q103" s="91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91" t="str">
        <f>IF($N103="","",IF(_xlfn.XLOOKUP(Tables!$L$62,'Input LwA_XYZ'!$BV$1:$CJ$1,'Input LwA_XYZ'!BV42:CJ42)="","-",_xlfn.XLOOKUP(Tables!$L$62,'Input LwA_XYZ'!$BV$1:$CJ$1,'Input LwA_XYZ'!BV42:CJ42)))</f>
        <v/>
      </c>
      <c r="S103" s="91" t="str">
        <f>IF($N103="","",IF('Input LwA_XYZ'!S42="","-",'Input LwA_XYZ'!S42))</f>
        <v/>
      </c>
      <c r="T103" s="65" t="str">
        <f>IF($N103="","",_xlfn.XLOOKUP(Tables!$L$62,'Input LwA_XYZ'!$DD$1:$DR$1,'Input LwA_XYZ'!DD42:DR42))</f>
        <v/>
      </c>
    </row>
    <row r="104" spans="14:20" ht="16.5" x14ac:dyDescent="0.3">
      <c r="N104" s="190" t="str">
        <f>IF('Input LwA_XYZ'!A43 = 0, "", 'Input LwA_XYZ'!A43)</f>
        <v/>
      </c>
      <c r="O104" s="189" t="str">
        <f>IF($N104="","",_xlfn.TEXTJOIN(" - ",TRUE,'Input LwA_XYZ'!B43:C43))</f>
        <v/>
      </c>
      <c r="P104" s="64" t="str">
        <f>IF($N104="","",'Input LwA_XYZ'!Q43)</f>
        <v/>
      </c>
      <c r="Q104" s="91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91" t="str">
        <f>IF($N104="","",IF(_xlfn.XLOOKUP(Tables!$L$62,'Input LwA_XYZ'!$BV$1:$CJ$1,'Input LwA_XYZ'!BV43:CJ43)="","-",_xlfn.XLOOKUP(Tables!$L$62,'Input LwA_XYZ'!$BV$1:$CJ$1,'Input LwA_XYZ'!BV43:CJ43)))</f>
        <v/>
      </c>
      <c r="S104" s="91" t="str">
        <f>IF($N104="","",IF('Input LwA_XYZ'!S43="","-",'Input LwA_XYZ'!S43))</f>
        <v/>
      </c>
      <c r="T104" s="65" t="str">
        <f>IF($N104="","",_xlfn.XLOOKUP(Tables!$L$62,'Input LwA_XYZ'!$DD$1:$DR$1,'Input LwA_XYZ'!DD43:DR43))</f>
        <v/>
      </c>
    </row>
    <row r="105" spans="14:20" ht="16.5" x14ac:dyDescent="0.3">
      <c r="N105" s="190" t="str">
        <f>IF('Input LwA_XYZ'!A44 = 0, "", 'Input LwA_XYZ'!A44)</f>
        <v/>
      </c>
      <c r="O105" s="189" t="str">
        <f>IF($N105="","",_xlfn.TEXTJOIN(" - ",TRUE,'Input LwA_XYZ'!B44:C44))</f>
        <v/>
      </c>
      <c r="P105" s="64" t="str">
        <f>IF($N105="","",'Input LwA_XYZ'!Q44)</f>
        <v/>
      </c>
      <c r="Q105" s="91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91" t="str">
        <f>IF($N105="","",IF(_xlfn.XLOOKUP(Tables!$L$62,'Input LwA_XYZ'!$BV$1:$CJ$1,'Input LwA_XYZ'!BV44:CJ44)="","-",_xlfn.XLOOKUP(Tables!$L$62,'Input LwA_XYZ'!$BV$1:$CJ$1,'Input LwA_XYZ'!BV44:CJ44)))</f>
        <v/>
      </c>
      <c r="S105" s="91" t="str">
        <f>IF($N105="","",IF('Input LwA_XYZ'!S44="","-",'Input LwA_XYZ'!S44))</f>
        <v/>
      </c>
      <c r="T105" s="65" t="str">
        <f>IF($N105="","",_xlfn.XLOOKUP(Tables!$L$62,'Input LwA_XYZ'!$DD$1:$DR$1,'Input LwA_XYZ'!DD44:DR44))</f>
        <v/>
      </c>
    </row>
    <row r="106" spans="14:20" ht="16.5" x14ac:dyDescent="0.3">
      <c r="N106" s="190" t="str">
        <f>IF('Input LwA_XYZ'!A45 = 0, "", 'Input LwA_XYZ'!A45)</f>
        <v/>
      </c>
      <c r="O106" s="189" t="str">
        <f>IF($N106="","",_xlfn.TEXTJOIN(" - ",TRUE,'Input LwA_XYZ'!B45:C45))</f>
        <v/>
      </c>
      <c r="P106" s="64" t="str">
        <f>IF($N106="","",'Input LwA_XYZ'!Q45)</f>
        <v/>
      </c>
      <c r="Q106" s="91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91" t="str">
        <f>IF($N106="","",IF(_xlfn.XLOOKUP(Tables!$L$62,'Input LwA_XYZ'!$BV$1:$CJ$1,'Input LwA_XYZ'!BV45:CJ45)="","-",_xlfn.XLOOKUP(Tables!$L$62,'Input LwA_XYZ'!$BV$1:$CJ$1,'Input LwA_XYZ'!BV45:CJ45)))</f>
        <v/>
      </c>
      <c r="S106" s="91" t="str">
        <f>IF($N106="","",IF('Input LwA_XYZ'!S45="","-",'Input LwA_XYZ'!S45))</f>
        <v/>
      </c>
      <c r="T106" s="65" t="str">
        <f>IF($N106="","",_xlfn.XLOOKUP(Tables!$L$62,'Input LwA_XYZ'!$DD$1:$DR$1,'Input LwA_XYZ'!DD45:DR45))</f>
        <v/>
      </c>
    </row>
    <row r="107" spans="14:20" ht="16.5" x14ac:dyDescent="0.3">
      <c r="N107" s="190" t="str">
        <f>IF('Input LwA_XYZ'!A46 = 0, "", 'Input LwA_XYZ'!A46)</f>
        <v/>
      </c>
      <c r="O107" s="189" t="str">
        <f>IF($N107="","",_xlfn.TEXTJOIN(" - ",TRUE,'Input LwA_XYZ'!B46:C46))</f>
        <v/>
      </c>
      <c r="P107" s="64" t="str">
        <f>IF($N107="","",'Input LwA_XYZ'!Q46)</f>
        <v/>
      </c>
      <c r="Q107" s="91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91" t="str">
        <f>IF($N107="","",IF(_xlfn.XLOOKUP(Tables!$L$62,'Input LwA_XYZ'!$BV$1:$CJ$1,'Input LwA_XYZ'!BV46:CJ46)="","-",_xlfn.XLOOKUP(Tables!$L$62,'Input LwA_XYZ'!$BV$1:$CJ$1,'Input LwA_XYZ'!BV46:CJ46)))</f>
        <v/>
      </c>
      <c r="S107" s="91" t="str">
        <f>IF($N107="","",IF('Input LwA_XYZ'!S46="","-",'Input LwA_XYZ'!S46))</f>
        <v/>
      </c>
      <c r="T107" s="65" t="str">
        <f>IF($N107="","",_xlfn.XLOOKUP(Tables!$L$62,'Input LwA_XYZ'!$DD$1:$DR$1,'Input LwA_XYZ'!DD46:DR46))</f>
        <v/>
      </c>
    </row>
    <row r="108" spans="14:20" ht="16.5" x14ac:dyDescent="0.3">
      <c r="N108" s="190" t="str">
        <f>IF('Input LwA_XYZ'!A47 = 0, "", 'Input LwA_XYZ'!A47)</f>
        <v/>
      </c>
      <c r="O108" s="189" t="str">
        <f>IF($N108="","",_xlfn.TEXTJOIN(" - ",TRUE,'Input LwA_XYZ'!B47:C47))</f>
        <v/>
      </c>
      <c r="P108" s="64" t="str">
        <f>IF($N108="","",'Input LwA_XYZ'!Q47)</f>
        <v/>
      </c>
      <c r="Q108" s="91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91" t="str">
        <f>IF($N108="","",IF(_xlfn.XLOOKUP(Tables!$L$62,'Input LwA_XYZ'!$BV$1:$CJ$1,'Input LwA_XYZ'!BV47:CJ47)="","-",_xlfn.XLOOKUP(Tables!$L$62,'Input LwA_XYZ'!$BV$1:$CJ$1,'Input LwA_XYZ'!BV47:CJ47)))</f>
        <v/>
      </c>
      <c r="S108" s="91" t="str">
        <f>IF($N108="","",IF('Input LwA_XYZ'!S47="","-",'Input LwA_XYZ'!S47))</f>
        <v/>
      </c>
      <c r="T108" s="65" t="str">
        <f>IF($N108="","",_xlfn.XLOOKUP(Tables!$L$62,'Input LwA_XYZ'!$DD$1:$DR$1,'Input LwA_XYZ'!DD47:DR47))</f>
        <v/>
      </c>
    </row>
    <row r="109" spans="14:20" ht="16.5" x14ac:dyDescent="0.3">
      <c r="N109" s="190" t="str">
        <f>IF('Input LwA_XYZ'!A48 = 0, "", 'Input LwA_XYZ'!A48)</f>
        <v/>
      </c>
      <c r="O109" s="189" t="str">
        <f>IF($N109="","",_xlfn.TEXTJOIN(" - ",TRUE,'Input LwA_XYZ'!B48:C48))</f>
        <v/>
      </c>
      <c r="P109" s="64" t="str">
        <f>IF($N109="","",'Input LwA_XYZ'!Q48)</f>
        <v/>
      </c>
      <c r="Q109" s="91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91" t="str">
        <f>IF($N109="","",IF(_xlfn.XLOOKUP(Tables!$L$62,'Input LwA_XYZ'!$BV$1:$CJ$1,'Input LwA_XYZ'!BV48:CJ48)="","-",_xlfn.XLOOKUP(Tables!$L$62,'Input LwA_XYZ'!$BV$1:$CJ$1,'Input LwA_XYZ'!BV48:CJ48)))</f>
        <v/>
      </c>
      <c r="S109" s="91" t="str">
        <f>IF($N109="","",IF('Input LwA_XYZ'!S48="","-",'Input LwA_XYZ'!S48))</f>
        <v/>
      </c>
      <c r="T109" s="65" t="str">
        <f>IF($N109="","",_xlfn.XLOOKUP(Tables!$L$62,'Input LwA_XYZ'!$DD$1:$DR$1,'Input LwA_XYZ'!DD48:DR48))</f>
        <v/>
      </c>
    </row>
    <row r="110" spans="14:20" ht="16.5" x14ac:dyDescent="0.3">
      <c r="N110" s="190" t="str">
        <f>IF('Input LwA_XYZ'!A49 = 0, "", 'Input LwA_XYZ'!A49)</f>
        <v/>
      </c>
      <c r="O110" s="189" t="str">
        <f>IF($N110="","",_xlfn.TEXTJOIN(" - ",TRUE,'Input LwA_XYZ'!B49:C49))</f>
        <v/>
      </c>
      <c r="P110" s="64" t="str">
        <f>IF($N110="","",'Input LwA_XYZ'!Q49)</f>
        <v/>
      </c>
      <c r="Q110" s="91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91" t="str">
        <f>IF($N110="","",IF(_xlfn.XLOOKUP(Tables!$L$62,'Input LwA_XYZ'!$BV$1:$CJ$1,'Input LwA_XYZ'!BV49:CJ49)="","-",_xlfn.XLOOKUP(Tables!$L$62,'Input LwA_XYZ'!$BV$1:$CJ$1,'Input LwA_XYZ'!BV49:CJ49)))</f>
        <v/>
      </c>
      <c r="S110" s="91" t="str">
        <f>IF($N110="","",IF('Input LwA_XYZ'!S49="","-",'Input LwA_XYZ'!S49))</f>
        <v/>
      </c>
      <c r="T110" s="65" t="str">
        <f>IF($N110="","",_xlfn.XLOOKUP(Tables!$L$62,'Input LwA_XYZ'!$DD$1:$DR$1,'Input LwA_XYZ'!DD49:DR49))</f>
        <v/>
      </c>
    </row>
    <row r="111" spans="14:20" ht="16.5" x14ac:dyDescent="0.3">
      <c r="N111" s="190" t="str">
        <f>IF('Input LwA_XYZ'!A50 = 0, "", 'Input LwA_XYZ'!A50)</f>
        <v/>
      </c>
      <c r="O111" s="189" t="str">
        <f>IF($N111="","",_xlfn.TEXTJOIN(" - ",TRUE,'Input LwA_XYZ'!B50:C50))</f>
        <v/>
      </c>
      <c r="P111" s="64" t="str">
        <f>IF($N111="","",'Input LwA_XYZ'!Q50)</f>
        <v/>
      </c>
      <c r="Q111" s="91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91" t="str">
        <f>IF($N111="","",IF(_xlfn.XLOOKUP(Tables!$L$62,'Input LwA_XYZ'!$BV$1:$CJ$1,'Input LwA_XYZ'!BV50:CJ50)="","-",_xlfn.XLOOKUP(Tables!$L$62,'Input LwA_XYZ'!$BV$1:$CJ$1,'Input LwA_XYZ'!BV50:CJ50)))</f>
        <v/>
      </c>
      <c r="S111" s="91" t="str">
        <f>IF($N111="","",IF('Input LwA_XYZ'!S50="","-",'Input LwA_XYZ'!S50))</f>
        <v/>
      </c>
      <c r="T111" s="65" t="str">
        <f>IF($N111="","",_xlfn.XLOOKUP(Tables!$L$62,'Input LwA_XYZ'!$DD$1:$DR$1,'Input LwA_XYZ'!DD50:DR50))</f>
        <v/>
      </c>
    </row>
    <row r="112" spans="14:20" ht="16.5" x14ac:dyDescent="0.3">
      <c r="N112" s="190" t="str">
        <f>IF('Input LwA_XYZ'!A51 = 0, "", 'Input LwA_XYZ'!A51)</f>
        <v/>
      </c>
      <c r="O112" s="189" t="str">
        <f>IF($N112="","",_xlfn.TEXTJOIN(" - ",TRUE,'Input LwA_XYZ'!B51:C51))</f>
        <v/>
      </c>
      <c r="P112" s="64" t="str">
        <f>IF($N112="","",'Input LwA_XYZ'!Q51)</f>
        <v/>
      </c>
      <c r="Q112" s="91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91" t="str">
        <f>IF($N112="","",IF(_xlfn.XLOOKUP(Tables!$L$62,'Input LwA_XYZ'!$BV$1:$CJ$1,'Input LwA_XYZ'!BV51:CJ51)="","-",_xlfn.XLOOKUP(Tables!$L$62,'Input LwA_XYZ'!$BV$1:$CJ$1,'Input LwA_XYZ'!BV51:CJ51)))</f>
        <v/>
      </c>
      <c r="S112" s="91" t="str">
        <f>IF($N112="","",IF('Input LwA_XYZ'!S51="","-",'Input LwA_XYZ'!S51))</f>
        <v/>
      </c>
      <c r="T112" s="65" t="str">
        <f>IF($N112="","",_xlfn.XLOOKUP(Tables!$L$62,'Input LwA_XYZ'!$DD$1:$DR$1,'Input LwA_XYZ'!DD51:DR51))</f>
        <v/>
      </c>
    </row>
    <row r="113" spans="12:20" ht="16.5" x14ac:dyDescent="0.3">
      <c r="N113" s="190" t="str">
        <f>IF('Input LwA_XYZ'!A52 = 0, "", 'Input LwA_XYZ'!A52)</f>
        <v/>
      </c>
      <c r="O113" s="189" t="str">
        <f>IF($N113="","",_xlfn.TEXTJOIN(" - ",TRUE,'Input LwA_XYZ'!B52:C52))</f>
        <v/>
      </c>
      <c r="P113" s="64" t="str">
        <f>IF($N113="","",'Input LwA_XYZ'!Q52)</f>
        <v/>
      </c>
      <c r="Q113" s="91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91" t="str">
        <f>IF($N113="","",IF(_xlfn.XLOOKUP(Tables!$L$62,'Input LwA_XYZ'!$BV$1:$CJ$1,'Input LwA_XYZ'!BV52:CJ52)="","-",_xlfn.XLOOKUP(Tables!$L$62,'Input LwA_XYZ'!$BV$1:$CJ$1,'Input LwA_XYZ'!BV52:CJ52)))</f>
        <v/>
      </c>
      <c r="S113" s="91" t="str">
        <f>IF($N113="","",IF('Input LwA_XYZ'!S52="","-",'Input LwA_XYZ'!S52))</f>
        <v/>
      </c>
      <c r="T113" s="65" t="str">
        <f>IF($N113="","",_xlfn.XLOOKUP(Tables!$L$62,'Input LwA_XYZ'!$DD$1:$DR$1,'Input LwA_XYZ'!DD52:DR52))</f>
        <v/>
      </c>
    </row>
    <row r="114" spans="12:20" ht="16.5" x14ac:dyDescent="0.3">
      <c r="N114" s="190" t="str">
        <f>IF('Input LwA_XYZ'!A53 = 0, "", 'Input LwA_XYZ'!A53)</f>
        <v/>
      </c>
      <c r="O114" s="189" t="str">
        <f>IF($N114="","",_xlfn.TEXTJOIN(" - ",TRUE,'Input LwA_XYZ'!B53:C53))</f>
        <v/>
      </c>
      <c r="P114" s="64" t="str">
        <f>IF($N114="","",'Input LwA_XYZ'!Q53)</f>
        <v/>
      </c>
      <c r="Q114" s="91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91" t="str">
        <f>IF($N114="","",IF(_xlfn.XLOOKUP(Tables!$L$62,'Input LwA_XYZ'!$BV$1:$CJ$1,'Input LwA_XYZ'!BV53:CJ53)="","-",_xlfn.XLOOKUP(Tables!$L$62,'Input LwA_XYZ'!$BV$1:$CJ$1,'Input LwA_XYZ'!BV53:CJ53)))</f>
        <v/>
      </c>
      <c r="S114" s="91" t="str">
        <f>IF($N114="","",IF('Input LwA_XYZ'!S53="","-",'Input LwA_XYZ'!S53))</f>
        <v/>
      </c>
      <c r="T114" s="65" t="str">
        <f>IF($N114="","",_xlfn.XLOOKUP(Tables!$L$62,'Input LwA_XYZ'!$DD$1:$DR$1,'Input LwA_XYZ'!DD53:DR53))</f>
        <v/>
      </c>
    </row>
    <row r="115" spans="12:20" ht="16.5" x14ac:dyDescent="0.3">
      <c r="N115" s="190" t="str">
        <f>IF('Input LwA_XYZ'!A54 = 0, "", 'Input LwA_XYZ'!A54)</f>
        <v/>
      </c>
      <c r="O115" s="189" t="str">
        <f>IF($N115="","",_xlfn.TEXTJOIN(" - ",TRUE,'Input LwA_XYZ'!B54:C54))</f>
        <v/>
      </c>
      <c r="P115" s="64" t="str">
        <f>IF($N115="","",'Input LwA_XYZ'!Q54)</f>
        <v/>
      </c>
      <c r="Q115" s="91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91" t="str">
        <f>IF($N115="","",IF(_xlfn.XLOOKUP(Tables!$L$62,'Input LwA_XYZ'!$BV$1:$CJ$1,'Input LwA_XYZ'!BV54:CJ54)="","-",_xlfn.XLOOKUP(Tables!$L$62,'Input LwA_XYZ'!$BV$1:$CJ$1,'Input LwA_XYZ'!BV54:CJ54)))</f>
        <v/>
      </c>
      <c r="S115" s="91" t="str">
        <f>IF($N115="","",IF('Input LwA_XYZ'!S54="","-",'Input LwA_XYZ'!S54))</f>
        <v/>
      </c>
      <c r="T115" s="65" t="str">
        <f>IF($N115="","",_xlfn.XLOOKUP(Tables!$L$62,'Input LwA_XYZ'!$DD$1:$DR$1,'Input LwA_XYZ'!DD54:DR54))</f>
        <v/>
      </c>
    </row>
    <row r="116" spans="12:20" ht="16.5" x14ac:dyDescent="0.3">
      <c r="N116" s="190" t="str">
        <f>IF('Input LwA_XYZ'!A55 = 0, "", 'Input LwA_XYZ'!A55)</f>
        <v/>
      </c>
      <c r="O116" s="189" t="str">
        <f>IF($N116="","",_xlfn.TEXTJOIN(" - ",TRUE,'Input LwA_XYZ'!B55:C55))</f>
        <v/>
      </c>
      <c r="P116" s="64" t="str">
        <f>IF($N116="","",'Input LwA_XYZ'!Q55)</f>
        <v/>
      </c>
      <c r="Q116" s="91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91" t="str">
        <f>IF($N116="","",IF(_xlfn.XLOOKUP(Tables!$L$62,'Input LwA_XYZ'!$BV$1:$CJ$1,'Input LwA_XYZ'!BV55:CJ55)="","-",_xlfn.XLOOKUP(Tables!$L$62,'Input LwA_XYZ'!$BV$1:$CJ$1,'Input LwA_XYZ'!BV55:CJ55)))</f>
        <v/>
      </c>
      <c r="S116" s="91" t="str">
        <f>IF($N116="","",IF('Input LwA_XYZ'!S55="","-",'Input LwA_XYZ'!S55))</f>
        <v/>
      </c>
      <c r="T116" s="65" t="str">
        <f>IF($N116="","",_xlfn.XLOOKUP(Tables!$L$62,'Input LwA_XYZ'!$DD$1:$DR$1,'Input LwA_XYZ'!DD55:DR55))</f>
        <v/>
      </c>
    </row>
    <row r="117" spans="12:20" ht="16.5" x14ac:dyDescent="0.3">
      <c r="N117" s="190" t="str">
        <f>IF('Input LwA_XYZ'!A56 = 0, "", 'Input LwA_XYZ'!A56)</f>
        <v/>
      </c>
      <c r="O117" s="189" t="str">
        <f>IF($N117="","",_xlfn.TEXTJOIN(" - ",TRUE,'Input LwA_XYZ'!B56:C56))</f>
        <v/>
      </c>
      <c r="P117" s="64" t="str">
        <f>IF($N117="","",'Input LwA_XYZ'!Q56)</f>
        <v/>
      </c>
      <c r="Q117" s="91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91" t="str">
        <f>IF($N117="","",IF(_xlfn.XLOOKUP(Tables!$L$62,'Input LwA_XYZ'!$BV$1:$CJ$1,'Input LwA_XYZ'!BV56:CJ56)="","-",_xlfn.XLOOKUP(Tables!$L$62,'Input LwA_XYZ'!$BV$1:$CJ$1,'Input LwA_XYZ'!BV56:CJ56)))</f>
        <v/>
      </c>
      <c r="S117" s="91" t="str">
        <f>IF($N117="","",IF('Input LwA_XYZ'!S56="","-",'Input LwA_XYZ'!S56))</f>
        <v/>
      </c>
      <c r="T117" s="65" t="str">
        <f>IF($N117="","",_xlfn.XLOOKUP(Tables!$L$62,'Input LwA_XYZ'!$DD$1:$DR$1,'Input LwA_XYZ'!DD56:DR56))</f>
        <v/>
      </c>
    </row>
    <row r="118" spans="12:20" ht="16.5" x14ac:dyDescent="0.3">
      <c r="N118" s="190" t="str">
        <f>IF('Input LwA_XYZ'!A57 = 0, "", 'Input LwA_XYZ'!A57)</f>
        <v/>
      </c>
      <c r="O118" s="189" t="str">
        <f>IF($N118="","",_xlfn.TEXTJOIN(" - ",TRUE,'Input LwA_XYZ'!B57:C57))</f>
        <v/>
      </c>
      <c r="P118" s="64" t="str">
        <f>IF($N118="","",'Input LwA_XYZ'!Q57)</f>
        <v/>
      </c>
      <c r="Q118" s="91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91" t="str">
        <f>IF($N118="","",IF(_xlfn.XLOOKUP(Tables!$L$62,'Input LwA_XYZ'!$BV$1:$CJ$1,'Input LwA_XYZ'!BV57:CJ57)="","-",_xlfn.XLOOKUP(Tables!$L$62,'Input LwA_XYZ'!$BV$1:$CJ$1,'Input LwA_XYZ'!BV57:CJ57)))</f>
        <v/>
      </c>
      <c r="S118" s="91" t="str">
        <f>IF($N118="","",IF('Input LwA_XYZ'!S57="","-",'Input LwA_XYZ'!S57))</f>
        <v/>
      </c>
      <c r="T118" s="65" t="str">
        <f>IF($N118="","",_xlfn.XLOOKUP(Tables!$L$62,'Input LwA_XYZ'!$DD$1:$DR$1,'Input LwA_XYZ'!DD57:DR57))</f>
        <v/>
      </c>
    </row>
    <row r="119" spans="12:20" ht="17.25" thickBot="1" x14ac:dyDescent="0.35">
      <c r="N119" s="191" t="str">
        <f>IF('Input LwA_XYZ'!A58 = 0, "", 'Input LwA_XYZ'!A58)</f>
        <v/>
      </c>
      <c r="O119" s="192" t="str">
        <f>IF($N119="","",_xlfn.TEXTJOIN(" - ",TRUE,'Input LwA_XYZ'!B58:C58))</f>
        <v/>
      </c>
      <c r="P119" s="99" t="str">
        <f>IF($N119="","",'Input LwA_XYZ'!Q58)</f>
        <v/>
      </c>
      <c r="Q119" s="100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91" t="str">
        <f>IF($N119="","",IF(_xlfn.XLOOKUP(Tables!$L$62,'Input LwA_XYZ'!$BV$1:$CJ$1,'Input LwA_XYZ'!BV58:CJ58)="","-",_xlfn.XLOOKUP(Tables!$L$62,'Input LwA_XYZ'!$BV$1:$CJ$1,'Input LwA_XYZ'!BV58:CJ58)))</f>
        <v/>
      </c>
      <c r="S119" s="91" t="str">
        <f>IF($N119="","",IF('Input LwA_XYZ'!S58="","-",'Input LwA_XYZ'!S58))</f>
        <v/>
      </c>
      <c r="T119" s="66" t="str">
        <f>IF($N119="","",_xlfn.XLOOKUP(Tables!$L$62,'Input LwA_XYZ'!$DD$1:$DR$1,'Input LwA_XYZ'!DD58:DR58))</f>
        <v/>
      </c>
    </row>
    <row r="120" spans="12:20" ht="17.25" thickBot="1" x14ac:dyDescent="0.35">
      <c r="N120" s="101" t="s">
        <v>85</v>
      </c>
      <c r="O120" s="102"/>
      <c r="P120" s="102"/>
      <c r="Q120" s="102"/>
      <c r="R120" s="102"/>
      <c r="S120" s="103"/>
      <c r="T120" s="108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9" t="s">
        <v>145</v>
      </c>
      <c r="N122" s="93" t="s">
        <v>79</v>
      </c>
      <c r="O122" s="94" t="s">
        <v>80</v>
      </c>
      <c r="P122" s="95" t="s">
        <v>81</v>
      </c>
      <c r="Q122" s="95" t="s">
        <v>82</v>
      </c>
      <c r="R122" s="96" t="s">
        <v>83</v>
      </c>
      <c r="S122" s="97" t="s">
        <v>84</v>
      </c>
      <c r="T122" s="98" t="s">
        <v>78</v>
      </c>
    </row>
    <row r="123" spans="12:20" ht="16.5" x14ac:dyDescent="0.3">
      <c r="N123" s="188">
        <f>IF('Input LwA_XYZ'!A2 = 0, "", 'Input LwA_XYZ'!A2)</f>
        <v>1</v>
      </c>
      <c r="O123" s="189" t="str">
        <f>IF($N123="","",_xlfn.TEXTJOIN(" - ",TRUE,'Input LwA_XYZ'!B2:C2))</f>
        <v>MAU-R1 - Ducted Inlet</v>
      </c>
      <c r="P123" s="90">
        <f>IF($N123="","",'Input LwA_XYZ'!Q2)</f>
        <v>86</v>
      </c>
      <c r="Q123" s="91" t="str">
        <f>IF($N123="","",-1*ROUND(_xlfn.XLOOKUP(Tables!$L$122,'Input LwA_XYZ'!$AY$1:$BM$1,'Input LwA_XYZ'!AY2:BM2),0) &amp; " / " &amp; ROUND(_xlfn.XLOOKUP(Tables!$L$122,'Input LwA_XYZ'!$AH$1:$AV$1,'Input LwA_XYZ'!AH2:AV2),0) &amp; " ft")</f>
        <v>40 / 138 ft</v>
      </c>
      <c r="R123" s="91">
        <f>IF($N123="","",IF(_xlfn.XLOOKUP(Tables!$L$122,'Input LwA_XYZ'!$BV$1:$CJ$1,'Input LwA_XYZ'!BV2:CJ2)="","-",_xlfn.XLOOKUP(Tables!$L$122,'Input LwA_XYZ'!$BV$1:$CJ$1,'Input LwA_XYZ'!BV2:CJ2)))</f>
        <v>16.8</v>
      </c>
      <c r="S123" s="91" t="str">
        <f>IF($N123="","",IF('Input LwA_XYZ'!S2="","-",'Input LwA_XYZ'!S2))</f>
        <v>-</v>
      </c>
      <c r="T123" s="92">
        <f>IF($N123="","",_xlfn.XLOOKUP(Tables!$L$122,'Input LwA_XYZ'!$DD$1:$DR$1,'Input LwA_XYZ'!DD2:DR2))</f>
        <v>0</v>
      </c>
    </row>
    <row r="124" spans="12:20" ht="16.5" x14ac:dyDescent="0.3">
      <c r="N124" s="190">
        <f>IF('Input LwA_XYZ'!A3 = 0, "", 'Input LwA_XYZ'!A3)</f>
        <v>1</v>
      </c>
      <c r="O124" s="189" t="str">
        <f>IF($N124="","",_xlfn.TEXTJOIN(" - ",TRUE,'Input LwA_XYZ'!B3:C3))</f>
        <v>ERV-R.1 - Outdoor+Casing+Exhaust</v>
      </c>
      <c r="P124" s="64">
        <f>IF($N124="","",'Input LwA_XYZ'!Q3)</f>
        <v>91</v>
      </c>
      <c r="Q124" s="91" t="str">
        <f>IF($N124="","",-1*ROUND(_xlfn.XLOOKUP(Tables!$L$122,'Input LwA_XYZ'!$AY$1:$BM$1,'Input LwA_XYZ'!AY3:BM3),0) &amp; " / " &amp; ROUND(_xlfn.XLOOKUP(Tables!$L$122,'Input LwA_XYZ'!$AH$1:$AV$1,'Input LwA_XYZ'!AH3:AV3),0) &amp; " ft")</f>
        <v>39 / 118 ft</v>
      </c>
      <c r="R124" s="91">
        <f>IF($N124="","",IF(_xlfn.XLOOKUP(Tables!$L$122,'Input LwA_XYZ'!$BV$1:$CJ$1,'Input LwA_XYZ'!BV3:CJ3)="","-",_xlfn.XLOOKUP(Tables!$L$122,'Input LwA_XYZ'!$BV$1:$CJ$1,'Input LwA_XYZ'!BV3:CJ3)))</f>
        <v>18.899999999999999</v>
      </c>
      <c r="S124" s="91" t="str">
        <f>IF($N124="","",IF('Input LwA_XYZ'!S3="","-",'Input LwA_XYZ'!S3))</f>
        <v>-</v>
      </c>
      <c r="T124" s="65">
        <f>IF($N124="","",_xlfn.XLOOKUP(Tables!$L$122,'Input LwA_XYZ'!$DD$1:$DR$1,'Input LwA_XYZ'!DD3:DR3))</f>
        <v>0</v>
      </c>
    </row>
    <row r="125" spans="12:20" ht="16.5" x14ac:dyDescent="0.3">
      <c r="N125" s="190">
        <f>IF('Input LwA_XYZ'!A4 = 0, "", 'Input LwA_XYZ'!A4)</f>
        <v>1</v>
      </c>
      <c r="O125" s="189" t="str">
        <f>IF($N125="","",_xlfn.TEXTJOIN(" - ",TRUE,'Input LwA_XYZ'!B4:C4))</f>
        <v>GEF-R1  - Inlet (plus ductwork lined)</v>
      </c>
      <c r="P125" s="64">
        <f>IF($N125="","",'Input LwA_XYZ'!Q4)</f>
        <v>82</v>
      </c>
      <c r="Q125" s="91" t="str">
        <f>IF($N125="","",-1*ROUND(_xlfn.XLOOKUP(Tables!$L$122,'Input LwA_XYZ'!$AY$1:$BM$1,'Input LwA_XYZ'!AY4:BM4),0) &amp; " / " &amp; ROUND(_xlfn.XLOOKUP(Tables!$L$122,'Input LwA_XYZ'!$AH$1:$AV$1,'Input LwA_XYZ'!AH4:AV4),0) &amp; " ft")</f>
        <v>24 / 22 ft</v>
      </c>
      <c r="R125" s="91">
        <f>IF($N125="","",IF(_xlfn.XLOOKUP(Tables!$L$122,'Input LwA_XYZ'!$BV$1:$CJ$1,'Input LwA_XYZ'!BV4:CJ4)="","-",_xlfn.XLOOKUP(Tables!$L$122,'Input LwA_XYZ'!$BV$1:$CJ$1,'Input LwA_XYZ'!BV4:CJ4)))</f>
        <v>15.3</v>
      </c>
      <c r="S125" s="91">
        <f>IF($N125="","",IF('Input LwA_XYZ'!S4="","-",'Input LwA_XYZ'!S4))</f>
        <v>13</v>
      </c>
      <c r="T125" s="65">
        <f>IF($N125="","",_xlfn.XLOOKUP(Tables!$L$122,'Input LwA_XYZ'!$DD$1:$DR$1,'Input LwA_XYZ'!DD4:DR4))</f>
        <v>0</v>
      </c>
    </row>
    <row r="126" spans="12:20" ht="16.5" x14ac:dyDescent="0.3">
      <c r="N126" s="190">
        <f>IF('Input LwA_XYZ'!A5 = 0, "", 'Input LwA_XYZ'!A5)</f>
        <v>1</v>
      </c>
      <c r="O126" s="189" t="str">
        <f>IF($N126="","",_xlfn.TEXTJOIN(" - ",TRUE,'Input LwA_XYZ'!B5:C5))</f>
        <v>DEF-R1, R2 - Inlet</v>
      </c>
      <c r="P126" s="64">
        <f>IF($N126="","",'Input LwA_XYZ'!Q5)</f>
        <v>70</v>
      </c>
      <c r="Q126" s="91" t="str">
        <f>IF($N126="","",-1*ROUND(_xlfn.XLOOKUP(Tables!$L$122,'Input LwA_XYZ'!$AY$1:$BM$1,'Input LwA_XYZ'!AY5:BM5),0) &amp; " / " &amp; ROUND(_xlfn.XLOOKUP(Tables!$L$122,'Input LwA_XYZ'!$AH$1:$AV$1,'Input LwA_XYZ'!AH5:AV5),0) &amp; " ft")</f>
        <v>39 / 111 ft</v>
      </c>
      <c r="R126" s="91">
        <f>IF($N126="","",IF(_xlfn.XLOOKUP(Tables!$L$122,'Input LwA_XYZ'!$BV$1:$CJ$1,'Input LwA_XYZ'!BV5:CJ5)="","-",_xlfn.XLOOKUP(Tables!$L$122,'Input LwA_XYZ'!$BV$1:$CJ$1,'Input LwA_XYZ'!BV5:CJ5)))</f>
        <v>17.7</v>
      </c>
      <c r="S126" s="91" t="str">
        <f>IF($N126="","",IF('Input LwA_XYZ'!S5="","-",'Input LwA_XYZ'!S5))</f>
        <v>-</v>
      </c>
      <c r="T126" s="65">
        <f>IF($N126="","",_xlfn.XLOOKUP(Tables!$L$122,'Input LwA_XYZ'!$DD$1:$DR$1,'Input LwA_XYZ'!DD5:DR5))</f>
        <v>0</v>
      </c>
    </row>
    <row r="127" spans="12:20" ht="16.5" x14ac:dyDescent="0.3">
      <c r="N127" s="190">
        <f>IF('Input LwA_XYZ'!A6 = 0, "", 'Input LwA_XYZ'!A6)</f>
        <v>1</v>
      </c>
      <c r="O127" s="189" t="str">
        <f>IF($N127="","",_xlfn.TEXTJOIN(" - ",TRUE,'Input LwA_XYZ'!B6:C6))</f>
        <v>KEF-R1  - Inlet</v>
      </c>
      <c r="P127" s="64">
        <f>IF($N127="","",'Input LwA_XYZ'!Q6)</f>
        <v>80</v>
      </c>
      <c r="Q127" s="91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91">
        <f>IF($N127="","",IF(_xlfn.XLOOKUP(Tables!$L$122,'Input LwA_XYZ'!$BV$1:$CJ$1,'Input LwA_XYZ'!BV6:CJ6)="","-",_xlfn.XLOOKUP(Tables!$L$122,'Input LwA_XYZ'!$BV$1:$CJ$1,'Input LwA_XYZ'!BV6:CJ6)))</f>
        <v>14.5</v>
      </c>
      <c r="S127" s="91" t="str">
        <f>IF($N127="","",IF('Input LwA_XYZ'!S6="","-",'Input LwA_XYZ'!S6))</f>
        <v>-</v>
      </c>
      <c r="T127" s="65">
        <f>IF($N127="","",_xlfn.XLOOKUP(Tables!$L$122,'Input LwA_XYZ'!$DD$1:$DR$1,'Input LwA_XYZ'!DD6:DR6))</f>
        <v>23.438599476489436</v>
      </c>
    </row>
    <row r="128" spans="12:20" ht="16.5" x14ac:dyDescent="0.3">
      <c r="N128" s="190">
        <f>IF('Input LwA_XYZ'!A7 = 0, "", 'Input LwA_XYZ'!A7)</f>
        <v>1</v>
      </c>
      <c r="O128" s="189" t="str">
        <f>IF($N128="","",_xlfn.TEXTJOIN(" - ",TRUE,'Input LwA_XYZ'!B7:C7))</f>
        <v>DWEF-R1 - Inlet</v>
      </c>
      <c r="P128" s="64">
        <f>IF($N128="","",'Input LwA_XYZ'!Q7)</f>
        <v>71</v>
      </c>
      <c r="Q128" s="91" t="str">
        <f>IF($N128="","",-1*ROUND(_xlfn.XLOOKUP(Tables!$L$122,'Input LwA_XYZ'!$AY$1:$BM$1,'Input LwA_XYZ'!AY7:BM7),0) &amp; " / " &amp; ROUND(_xlfn.XLOOKUP(Tables!$L$122,'Input LwA_XYZ'!$AH$1:$AV$1,'Input LwA_XYZ'!AH7:AV7),0) &amp; " ft")</f>
        <v>41 / 152 ft</v>
      </c>
      <c r="R128" s="91">
        <f>IF($N128="","",IF(_xlfn.XLOOKUP(Tables!$L$122,'Input LwA_XYZ'!$BV$1:$CJ$1,'Input LwA_XYZ'!BV7:CJ7)="","-",_xlfn.XLOOKUP(Tables!$L$122,'Input LwA_XYZ'!$BV$1:$CJ$1,'Input LwA_XYZ'!BV7:CJ7)))</f>
        <v>14.7</v>
      </c>
      <c r="S128" s="91" t="str">
        <f>IF($N128="","",IF('Input LwA_XYZ'!S7="","-",'Input LwA_XYZ'!S7))</f>
        <v>-</v>
      </c>
      <c r="T128" s="65">
        <f>IF($N128="","",_xlfn.XLOOKUP(Tables!$L$122,'Input LwA_XYZ'!$DD$1:$DR$1,'Input LwA_XYZ'!DD7:DR7))</f>
        <v>0</v>
      </c>
    </row>
    <row r="129" spans="14:20" ht="16.5" x14ac:dyDescent="0.3">
      <c r="N129" s="190">
        <f>IF('Input LwA_XYZ'!A8 = 0, "", 'Input LwA_XYZ'!A8)</f>
        <v>1</v>
      </c>
      <c r="O129" s="189" t="str">
        <f>IF($N129="","",_xlfn.TEXTJOIN(" - ",TRUE,'Input LwA_XYZ'!B8:C8))</f>
        <v>CU-R1 - Radiated</v>
      </c>
      <c r="P129" s="64">
        <f>IF($N129="","",'Input LwA_XYZ'!Q8)</f>
        <v>84</v>
      </c>
      <c r="Q129" s="91" t="str">
        <f>IF($N129="","",-1*ROUND(_xlfn.XLOOKUP(Tables!$L$122,'Input LwA_XYZ'!$AY$1:$BM$1,'Input LwA_XYZ'!AY8:BM8),0) &amp; " / " &amp; ROUND(_xlfn.XLOOKUP(Tables!$L$122,'Input LwA_XYZ'!$AH$1:$AV$1,'Input LwA_XYZ'!AH8:AV8),0) &amp; " ft")</f>
        <v>39 / 116 ft</v>
      </c>
      <c r="R129" s="91">
        <f>IF($N129="","",IF(_xlfn.XLOOKUP(Tables!$L$122,'Input LwA_XYZ'!$BV$1:$CJ$1,'Input LwA_XYZ'!BV8:CJ8)="","-",_xlfn.XLOOKUP(Tables!$L$122,'Input LwA_XYZ'!$BV$1:$CJ$1,'Input LwA_XYZ'!BV8:CJ8)))</f>
        <v>11</v>
      </c>
      <c r="S129" s="91" t="str">
        <f>IF($N129="","",IF('Input LwA_XYZ'!S8="","-",'Input LwA_XYZ'!S8))</f>
        <v>-</v>
      </c>
      <c r="T129" s="65">
        <f>IF($N129="","",_xlfn.XLOOKUP(Tables!$L$122,'Input LwA_XYZ'!$DD$1:$DR$1,'Input LwA_XYZ'!DD8:DR8))</f>
        <v>0</v>
      </c>
    </row>
    <row r="130" spans="14:20" ht="16.5" x14ac:dyDescent="0.3">
      <c r="N130" s="190">
        <f>IF('Input LwA_XYZ'!A9 = 0, "", 'Input LwA_XYZ'!A9)</f>
        <v>1</v>
      </c>
      <c r="O130" s="189" t="str">
        <f>IF($N130="","",_xlfn.TEXTJOIN(" - ",TRUE,'Input LwA_XYZ'!B9:C9))</f>
        <v>CU-R2 - Radiated</v>
      </c>
      <c r="P130" s="64">
        <f>IF($N130="","",'Input LwA_XYZ'!Q9)</f>
        <v>81</v>
      </c>
      <c r="Q130" s="91" t="str">
        <f>IF($N130="","",-1*ROUND(_xlfn.XLOOKUP(Tables!$L$122,'Input LwA_XYZ'!$AY$1:$BM$1,'Input LwA_XYZ'!AY9:BM9),0) &amp; " / " &amp; ROUND(_xlfn.XLOOKUP(Tables!$L$122,'Input LwA_XYZ'!$AH$1:$AV$1,'Input LwA_XYZ'!AH9:AV9),0) &amp; " ft")</f>
        <v>39 / 121 ft</v>
      </c>
      <c r="R130" s="91">
        <f>IF($N130="","",IF(_xlfn.XLOOKUP(Tables!$L$122,'Input LwA_XYZ'!$BV$1:$CJ$1,'Input LwA_XYZ'!BV9:CJ9)="","-",_xlfn.XLOOKUP(Tables!$L$122,'Input LwA_XYZ'!$BV$1:$CJ$1,'Input LwA_XYZ'!BV9:CJ9)))</f>
        <v>11</v>
      </c>
      <c r="S130" s="91" t="str">
        <f>IF($N130="","",IF('Input LwA_XYZ'!S9="","-",'Input LwA_XYZ'!S9))</f>
        <v>-</v>
      </c>
      <c r="T130" s="65">
        <f>IF($N130="","",_xlfn.XLOOKUP(Tables!$L$122,'Input LwA_XYZ'!$DD$1:$DR$1,'Input LwA_XYZ'!DD9:DR9))</f>
        <v>0</v>
      </c>
    </row>
    <row r="131" spans="14:20" ht="16.5" x14ac:dyDescent="0.3">
      <c r="N131" s="190">
        <f>IF('Input LwA_XYZ'!A10 = 0, "", 'Input LwA_XYZ'!A10)</f>
        <v>1</v>
      </c>
      <c r="O131" s="189" t="str">
        <f>IF($N131="","",_xlfn.TEXTJOIN(" - ",TRUE,'Input LwA_XYZ'!B10:C10))</f>
        <v>CU-R4 - Radiated</v>
      </c>
      <c r="P131" s="64">
        <f>IF($N131="","",'Input LwA_XYZ'!Q10)</f>
        <v>73</v>
      </c>
      <c r="Q131" s="91" t="str">
        <f>IF($N131="","",-1*ROUND(_xlfn.XLOOKUP(Tables!$L$122,'Input LwA_XYZ'!$AY$1:$BM$1,'Input LwA_XYZ'!AY10:BM10),0) &amp; " / " &amp; ROUND(_xlfn.XLOOKUP(Tables!$L$122,'Input LwA_XYZ'!$AH$1:$AV$1,'Input LwA_XYZ'!AH10:AV10),0) &amp; " ft")</f>
        <v>39 / 115 ft</v>
      </c>
      <c r="R131" s="91">
        <f>IF($N131="","",IF(_xlfn.XLOOKUP(Tables!$L$122,'Input LwA_XYZ'!$BV$1:$CJ$1,'Input LwA_XYZ'!BV10:CJ10)="","-",_xlfn.XLOOKUP(Tables!$L$122,'Input LwA_XYZ'!$BV$1:$CJ$1,'Input LwA_XYZ'!BV10:CJ10)))</f>
        <v>12</v>
      </c>
      <c r="S131" s="91" t="str">
        <f>IF($N131="","",IF('Input LwA_XYZ'!S10="","-",'Input LwA_XYZ'!S10))</f>
        <v>-</v>
      </c>
      <c r="T131" s="65">
        <f>IF($N131="","",_xlfn.XLOOKUP(Tables!$L$122,'Input LwA_XYZ'!$DD$1:$DR$1,'Input LwA_XYZ'!DD10:DR10))</f>
        <v>0</v>
      </c>
    </row>
    <row r="132" spans="14:20" ht="16.5" x14ac:dyDescent="0.3">
      <c r="N132" s="190">
        <f>IF('Input LwA_XYZ'!A11 = 0, "", 'Input LwA_XYZ'!A11)</f>
        <v>1</v>
      </c>
      <c r="O132" s="189" t="str">
        <f>IF($N132="","",_xlfn.TEXTJOIN(" - ",TRUE,'Input LwA_XYZ'!B11:C11))</f>
        <v>CU-R5 - Radiated</v>
      </c>
      <c r="P132" s="64">
        <f>IF($N132="","",'Input LwA_XYZ'!Q11)</f>
        <v>75</v>
      </c>
      <c r="Q132" s="91" t="str">
        <f>IF($N132="","",-1*ROUND(_xlfn.XLOOKUP(Tables!$L$122,'Input LwA_XYZ'!$AY$1:$BM$1,'Input LwA_XYZ'!AY11:BM11),0) &amp; " / " &amp; ROUND(_xlfn.XLOOKUP(Tables!$L$122,'Input LwA_XYZ'!$AH$1:$AV$1,'Input LwA_XYZ'!AH11:AV11),0) &amp; " ft")</f>
        <v>40 / 130 ft</v>
      </c>
      <c r="R132" s="91">
        <f>IF($N132="","",IF(_xlfn.XLOOKUP(Tables!$L$122,'Input LwA_XYZ'!$BV$1:$CJ$1,'Input LwA_XYZ'!BV11:CJ11)="","-",_xlfn.XLOOKUP(Tables!$L$122,'Input LwA_XYZ'!$BV$1:$CJ$1,'Input LwA_XYZ'!BV11:CJ11)))</f>
        <v>11</v>
      </c>
      <c r="S132" s="91" t="str">
        <f>IF($N132="","",IF('Input LwA_XYZ'!S11="","-",'Input LwA_XYZ'!S11))</f>
        <v>-</v>
      </c>
      <c r="T132" s="65">
        <f>IF($N132="","",_xlfn.XLOOKUP(Tables!$L$122,'Input LwA_XYZ'!$DD$1:$DR$1,'Input LwA_XYZ'!DD11:DR11))</f>
        <v>0</v>
      </c>
    </row>
    <row r="133" spans="14:20" ht="16.5" x14ac:dyDescent="0.3">
      <c r="N133" s="190">
        <f>IF('Input LwA_XYZ'!A12 = 0, "", 'Input LwA_XYZ'!A12)</f>
        <v>4</v>
      </c>
      <c r="O133" s="189" t="str">
        <f>IF($N133="","",_xlfn.TEXTJOIN(" - ",TRUE,'Input LwA_XYZ'!B12:C12))</f>
        <v>RCU-R(4p)1 - Radiated</v>
      </c>
      <c r="P133" s="64">
        <f>IF($N133="","",'Input LwA_XYZ'!Q12)</f>
        <v>79.020599913279625</v>
      </c>
      <c r="Q133" s="91" t="str">
        <f>IF($N133="","",-1*ROUND(_xlfn.XLOOKUP(Tables!$L$122,'Input LwA_XYZ'!$AY$1:$BM$1,'Input LwA_XYZ'!AY12:BM12),0) &amp; " / " &amp; ROUND(_xlfn.XLOOKUP(Tables!$L$122,'Input LwA_XYZ'!$AH$1:$AV$1,'Input LwA_XYZ'!AH12:AV12),0) &amp; " ft")</f>
        <v>27 / 30 ft</v>
      </c>
      <c r="R133" s="91">
        <f>IF($N133="","",IF(_xlfn.XLOOKUP(Tables!$L$122,'Input LwA_XYZ'!$BV$1:$CJ$1,'Input LwA_XYZ'!BV12:CJ12)="","-",_xlfn.XLOOKUP(Tables!$L$122,'Input LwA_XYZ'!$BV$1:$CJ$1,'Input LwA_XYZ'!BV12:CJ12)))</f>
        <v>12</v>
      </c>
      <c r="S133" s="91" t="str">
        <f>IF($N133="","",IF('Input LwA_XYZ'!S12="","-",'Input LwA_XYZ'!S12))</f>
        <v>-</v>
      </c>
      <c r="T133" s="65">
        <f>IF($N133="","",_xlfn.XLOOKUP(Tables!$L$122,'Input LwA_XYZ'!$DD$1:$DR$1,'Input LwA_XYZ'!DD12:DR12))</f>
        <v>0</v>
      </c>
    </row>
    <row r="134" spans="14:20" ht="16.5" x14ac:dyDescent="0.3">
      <c r="N134" s="190">
        <f>IF('Input LwA_XYZ'!A13 = 0, "", 'Input LwA_XYZ'!A13)</f>
        <v>4</v>
      </c>
      <c r="O134" s="189" t="str">
        <f>IF($N134="","",_xlfn.TEXTJOIN(" - ",TRUE,'Input LwA_XYZ'!B13:C13))</f>
        <v>RCU-R(4p)2 - Radiated</v>
      </c>
      <c r="P134" s="64">
        <f>IF($N134="","",'Input LwA_XYZ'!Q13)</f>
        <v>79.020599913279625</v>
      </c>
      <c r="Q134" s="91" t="str">
        <f>IF($N134="","",-1*ROUND(_xlfn.XLOOKUP(Tables!$L$122,'Input LwA_XYZ'!$AY$1:$BM$1,'Input LwA_XYZ'!AY13:BM13),0) &amp; " / " &amp; ROUND(_xlfn.XLOOKUP(Tables!$L$122,'Input LwA_XYZ'!$AH$1:$AV$1,'Input LwA_XYZ'!AH13:AV13),0) &amp; " ft")</f>
        <v>40 / 125 ft</v>
      </c>
      <c r="R134" s="91">
        <f>IF($N134="","",IF(_xlfn.XLOOKUP(Tables!$L$122,'Input LwA_XYZ'!$BV$1:$CJ$1,'Input LwA_XYZ'!BV13:CJ13)="","-",_xlfn.XLOOKUP(Tables!$L$122,'Input LwA_XYZ'!$BV$1:$CJ$1,'Input LwA_XYZ'!BV13:CJ13)))</f>
        <v>15</v>
      </c>
      <c r="S134" s="91" t="str">
        <f>IF($N134="","",IF('Input LwA_XYZ'!S13="","-",'Input LwA_XYZ'!S13))</f>
        <v>-</v>
      </c>
      <c r="T134" s="65">
        <f>IF($N134="","",_xlfn.XLOOKUP(Tables!$L$122,'Input LwA_XYZ'!$DD$1:$DR$1,'Input LwA_XYZ'!DD13:DR13))</f>
        <v>0</v>
      </c>
    </row>
    <row r="135" spans="14:20" ht="16.5" x14ac:dyDescent="0.3">
      <c r="N135" s="190">
        <f>IF('Input LwA_XYZ'!A14 = 0, "", 'Input LwA_XYZ'!A14)</f>
        <v>4</v>
      </c>
      <c r="O135" s="189" t="str">
        <f>IF($N135="","",_xlfn.TEXTJOIN(" - ",TRUE,'Input LwA_XYZ'!B14:C14))</f>
        <v>RCU-R(4p)3 - Radiated</v>
      </c>
      <c r="P135" s="64">
        <f>IF($N135="","",'Input LwA_XYZ'!Q14)</f>
        <v>79.020599913279625</v>
      </c>
      <c r="Q135" s="91" t="str">
        <f>IF($N135="","",-1*ROUND(_xlfn.XLOOKUP(Tables!$L$122,'Input LwA_XYZ'!$AY$1:$BM$1,'Input LwA_XYZ'!AY14:BM14),0) &amp; " / " &amp; ROUND(_xlfn.XLOOKUP(Tables!$L$122,'Input LwA_XYZ'!$AH$1:$AV$1,'Input LwA_XYZ'!AH14:AV14),0) &amp; " ft")</f>
        <v>38 / 103 ft</v>
      </c>
      <c r="R135" s="91">
        <f>IF($N135="","",IF(_xlfn.XLOOKUP(Tables!$L$122,'Input LwA_XYZ'!$BV$1:$CJ$1,'Input LwA_XYZ'!BV14:CJ14)="","-",_xlfn.XLOOKUP(Tables!$L$122,'Input LwA_XYZ'!$BV$1:$CJ$1,'Input LwA_XYZ'!BV14:CJ14)))</f>
        <v>12</v>
      </c>
      <c r="S135" s="91" t="str">
        <f>IF($N135="","",IF('Input LwA_XYZ'!S14="","-",'Input LwA_XYZ'!S14))</f>
        <v>-</v>
      </c>
      <c r="T135" s="65">
        <f>IF($N135="","",_xlfn.XLOOKUP(Tables!$L$122,'Input LwA_XYZ'!$DD$1:$DR$1,'Input LwA_XYZ'!DD14:DR14))</f>
        <v>0</v>
      </c>
    </row>
    <row r="136" spans="14:20" ht="16.5" x14ac:dyDescent="0.3">
      <c r="N136" s="190">
        <f>IF('Input LwA_XYZ'!A15 = 0, "", 'Input LwA_XYZ'!A15)</f>
        <v>2</v>
      </c>
      <c r="O136" s="189" t="str">
        <f>IF($N136="","",_xlfn.TEXTJOIN(" - ",TRUE,'Input LwA_XYZ'!B15:C15))</f>
        <v>RCU-R(2p) - Radiated</v>
      </c>
      <c r="P136" s="64">
        <f>IF($N136="","",'Input LwA_XYZ'!Q15)</f>
        <v>76.010299956639813</v>
      </c>
      <c r="Q136" s="91" t="str">
        <f>IF($N136="","",-1*ROUND(_xlfn.XLOOKUP(Tables!$L$122,'Input LwA_XYZ'!$AY$1:$BM$1,'Input LwA_XYZ'!AY15:BM15),0) &amp; " / " &amp; ROUND(_xlfn.XLOOKUP(Tables!$L$122,'Input LwA_XYZ'!$AH$1:$AV$1,'Input LwA_XYZ'!AH15:AV15),0) &amp; " ft")</f>
        <v>38 / 109 ft</v>
      </c>
      <c r="R136" s="91">
        <f>IF($N136="","",IF(_xlfn.XLOOKUP(Tables!$L$122,'Input LwA_XYZ'!$BV$1:$CJ$1,'Input LwA_XYZ'!BV15:CJ15)="","-",_xlfn.XLOOKUP(Tables!$L$122,'Input LwA_XYZ'!$BV$1:$CJ$1,'Input LwA_XYZ'!BV15:CJ15)))</f>
        <v>12</v>
      </c>
      <c r="S136" s="91" t="str">
        <f>IF($N136="","",IF('Input LwA_XYZ'!S15="","-",'Input LwA_XYZ'!S15))</f>
        <v>-</v>
      </c>
      <c r="T136" s="65">
        <f>IF($N136="","",_xlfn.XLOOKUP(Tables!$L$122,'Input LwA_XYZ'!$DD$1:$DR$1,'Input LwA_XYZ'!DD15:DR15))</f>
        <v>0</v>
      </c>
    </row>
    <row r="137" spans="14:20" ht="16.5" x14ac:dyDescent="0.3">
      <c r="N137" s="190">
        <f>IF('Input LwA_XYZ'!A16 = 0, "", 'Input LwA_XYZ'!A16)</f>
        <v>2</v>
      </c>
      <c r="O137" s="189" t="str">
        <f>IF($N137="","",_xlfn.TEXTJOIN(" - ",TRUE,'Input LwA_XYZ'!B16:C16))</f>
        <v>RCU-R(2p)1 - Radiated</v>
      </c>
      <c r="P137" s="64">
        <f>IF($N137="","",'Input LwA_XYZ'!Q16)</f>
        <v>76.010299956639813</v>
      </c>
      <c r="Q137" s="91" t="str">
        <f>IF($N137="","",-1*ROUND(_xlfn.XLOOKUP(Tables!$L$122,'Input LwA_XYZ'!$AY$1:$BM$1,'Input LwA_XYZ'!AY16:BM16),0) &amp; " / " &amp; ROUND(_xlfn.XLOOKUP(Tables!$L$122,'Input LwA_XYZ'!$AH$1:$AV$1,'Input LwA_XYZ'!AH16:AV16),0) &amp; " ft")</f>
        <v>40 / 125 ft</v>
      </c>
      <c r="R137" s="91">
        <f>IF($N137="","",IF(_xlfn.XLOOKUP(Tables!$L$122,'Input LwA_XYZ'!$BV$1:$CJ$1,'Input LwA_XYZ'!BV16:CJ16)="","-",_xlfn.XLOOKUP(Tables!$L$122,'Input LwA_XYZ'!$BV$1:$CJ$1,'Input LwA_XYZ'!BV16:CJ16)))</f>
        <v>11</v>
      </c>
      <c r="S137" s="91" t="str">
        <f>IF($N137="","",IF('Input LwA_XYZ'!S16="","-",'Input LwA_XYZ'!S16))</f>
        <v>-</v>
      </c>
      <c r="T137" s="65">
        <f>IF($N137="","",_xlfn.XLOOKUP(Tables!$L$122,'Input LwA_XYZ'!$DD$1:$DR$1,'Input LwA_XYZ'!DD16:DR16))</f>
        <v>0</v>
      </c>
    </row>
    <row r="138" spans="14:20" ht="16.5" x14ac:dyDescent="0.3">
      <c r="N138" s="190">
        <f>IF('Input LwA_XYZ'!A17 = 0, "", 'Input LwA_XYZ'!A17)</f>
        <v>4</v>
      </c>
      <c r="O138" s="189" t="str">
        <f>IF($N138="","",_xlfn.TEXTJOIN(" - ",TRUE,'Input LwA_XYZ'!B17:C17))</f>
        <v>RCU-R(4p)4 - Radiated</v>
      </c>
      <c r="P138" s="64">
        <f>IF($N138="","",'Input LwA_XYZ'!Q17)</f>
        <v>79.020599913279625</v>
      </c>
      <c r="Q138" s="91" t="str">
        <f>IF($N138="","",-1*ROUND(_xlfn.XLOOKUP(Tables!$L$122,'Input LwA_XYZ'!$AY$1:$BM$1,'Input LwA_XYZ'!AY17:BM17),0) &amp; " / " &amp; ROUND(_xlfn.XLOOKUP(Tables!$L$122,'Input LwA_XYZ'!$AH$1:$AV$1,'Input LwA_XYZ'!AH17:AV17),0) &amp; " ft")</f>
        <v>41 / 146 ft</v>
      </c>
      <c r="R138" s="91">
        <f>IF($N138="","",IF(_xlfn.XLOOKUP(Tables!$L$122,'Input LwA_XYZ'!$BV$1:$CJ$1,'Input LwA_XYZ'!BV17:CJ17)="","-",_xlfn.XLOOKUP(Tables!$L$122,'Input LwA_XYZ'!$BV$1:$CJ$1,'Input LwA_XYZ'!BV17:CJ17)))</f>
        <v>10</v>
      </c>
      <c r="S138" s="91" t="str">
        <f>IF($N138="","",IF('Input LwA_XYZ'!S17="","-",'Input LwA_XYZ'!S17))</f>
        <v>-</v>
      </c>
      <c r="T138" s="65">
        <f>IF($N138="","",_xlfn.XLOOKUP(Tables!$L$122,'Input LwA_XYZ'!$DD$1:$DR$1,'Input LwA_XYZ'!DD17:DR17))</f>
        <v>0</v>
      </c>
    </row>
    <row r="139" spans="14:20" ht="16.5" x14ac:dyDescent="0.3">
      <c r="N139" s="190">
        <f>IF('Input LwA_XYZ'!A18 = 0, "", 'Input LwA_XYZ'!A18)</f>
        <v>2</v>
      </c>
      <c r="O139" s="189" t="str">
        <f>IF($N139="","",_xlfn.TEXTJOIN(" - ",TRUE,'Input LwA_XYZ'!B18:C18))</f>
        <v>RCU-R(2p)2 - Radiated</v>
      </c>
      <c r="P139" s="64">
        <f>IF($N139="","",'Input LwA_XYZ'!Q18)</f>
        <v>76.010299956639813</v>
      </c>
      <c r="Q139" s="91" t="str">
        <f>IF($N139="","",-1*ROUND(_xlfn.XLOOKUP(Tables!$L$122,'Input LwA_XYZ'!$AY$1:$BM$1,'Input LwA_XYZ'!AY18:BM18),0) &amp; " / " &amp; ROUND(_xlfn.XLOOKUP(Tables!$L$122,'Input LwA_XYZ'!$AH$1:$AV$1,'Input LwA_XYZ'!AH18:AV18),0) &amp; " ft")</f>
        <v>42 / 170 ft</v>
      </c>
      <c r="R139" s="91">
        <f>IF($N139="","",IF(_xlfn.XLOOKUP(Tables!$L$122,'Input LwA_XYZ'!$BV$1:$CJ$1,'Input LwA_XYZ'!BV18:CJ18)="","-",_xlfn.XLOOKUP(Tables!$L$122,'Input LwA_XYZ'!$BV$1:$CJ$1,'Input LwA_XYZ'!BV18:CJ18)))</f>
        <v>11</v>
      </c>
      <c r="S139" s="91" t="str">
        <f>IF($N139="","",IF('Input LwA_XYZ'!S18="","-",'Input LwA_XYZ'!S18))</f>
        <v>-</v>
      </c>
      <c r="T139" s="65">
        <f>IF($N139="","",_xlfn.XLOOKUP(Tables!$L$122,'Input LwA_XYZ'!$DD$1:$DR$1,'Input LwA_XYZ'!DD18:DR18))</f>
        <v>0</v>
      </c>
    </row>
    <row r="140" spans="14:20" ht="16.5" x14ac:dyDescent="0.3">
      <c r="N140" s="190">
        <f>IF('Input LwA_XYZ'!A19 = 0, "", 'Input LwA_XYZ'!A19)</f>
        <v>2</v>
      </c>
      <c r="O140" s="189" t="str">
        <f>IF($N140="","",_xlfn.TEXTJOIN(" - ",TRUE,'Input LwA_XYZ'!B19:C19))</f>
        <v>RCU-R(2p)3 - Radiated</v>
      </c>
      <c r="P140" s="64">
        <f>IF($N140="","",'Input LwA_XYZ'!Q19)</f>
        <v>76.010299956639813</v>
      </c>
      <c r="Q140" s="91" t="str">
        <f>IF($N140="","",-1*ROUND(_xlfn.XLOOKUP(Tables!$L$122,'Input LwA_XYZ'!$AY$1:$BM$1,'Input LwA_XYZ'!AY19:BM19),0) &amp; " / " &amp; ROUND(_xlfn.XLOOKUP(Tables!$L$122,'Input LwA_XYZ'!$AH$1:$AV$1,'Input LwA_XYZ'!AH19:AV19),0) &amp; " ft")</f>
        <v>42 / 167 ft</v>
      </c>
      <c r="R140" s="91">
        <f>IF($N140="","",IF(_xlfn.XLOOKUP(Tables!$L$122,'Input LwA_XYZ'!$BV$1:$CJ$1,'Input LwA_XYZ'!BV19:CJ19)="","-",_xlfn.XLOOKUP(Tables!$L$122,'Input LwA_XYZ'!$BV$1:$CJ$1,'Input LwA_XYZ'!BV19:CJ19)))</f>
        <v>12</v>
      </c>
      <c r="S140" s="91" t="str">
        <f>IF($N140="","",IF('Input LwA_XYZ'!S19="","-",'Input LwA_XYZ'!S19))</f>
        <v>-</v>
      </c>
      <c r="T140" s="65">
        <f>IF($N140="","",_xlfn.XLOOKUP(Tables!$L$122,'Input LwA_XYZ'!$DD$1:$DR$1,'Input LwA_XYZ'!DD19:DR19))</f>
        <v>0</v>
      </c>
    </row>
    <row r="141" spans="14:20" ht="16.5" x14ac:dyDescent="0.3">
      <c r="N141" s="190">
        <f>IF('Input LwA_XYZ'!A20 = 0, "", 'Input LwA_XYZ'!A20)</f>
        <v>2</v>
      </c>
      <c r="O141" s="189" t="str">
        <f>IF($N141="","",_xlfn.TEXTJOIN(" - ",TRUE,'Input LwA_XYZ'!B20:C20))</f>
        <v>RCU-R(2p)4 - Radiated</v>
      </c>
      <c r="P141" s="64">
        <f>IF($N141="","",'Input LwA_XYZ'!Q20)</f>
        <v>76.010299956639813</v>
      </c>
      <c r="Q141" s="91" t="str">
        <f>IF($N141="","",-1*ROUND(_xlfn.XLOOKUP(Tables!$L$122,'Input LwA_XYZ'!$AY$1:$BM$1,'Input LwA_XYZ'!AY20:BM20),0) &amp; " / " &amp; ROUND(_xlfn.XLOOKUP(Tables!$L$122,'Input LwA_XYZ'!$AH$1:$AV$1,'Input LwA_XYZ'!AH20:AV20),0) &amp; " ft")</f>
        <v>41 / 155 ft</v>
      </c>
      <c r="R141" s="91">
        <f>IF($N141="","",IF(_xlfn.XLOOKUP(Tables!$L$122,'Input LwA_XYZ'!$BV$1:$CJ$1,'Input LwA_XYZ'!BV20:CJ20)="","-",_xlfn.XLOOKUP(Tables!$L$122,'Input LwA_XYZ'!$BV$1:$CJ$1,'Input LwA_XYZ'!BV20:CJ20)))</f>
        <v>12</v>
      </c>
      <c r="S141" s="91" t="str">
        <f>IF($N141="","",IF('Input LwA_XYZ'!S20="","-",'Input LwA_XYZ'!S20))</f>
        <v>-</v>
      </c>
      <c r="T141" s="65">
        <f>IF($N141="","",_xlfn.XLOOKUP(Tables!$L$122,'Input LwA_XYZ'!$DD$1:$DR$1,'Input LwA_XYZ'!DD20:DR20))</f>
        <v>0</v>
      </c>
    </row>
    <row r="142" spans="14:20" ht="16.5" x14ac:dyDescent="0.3">
      <c r="N142" s="190">
        <f>IF('Input LwA_XYZ'!A21 = 0, "", 'Input LwA_XYZ'!A21)</f>
        <v>2</v>
      </c>
      <c r="O142" s="189" t="str">
        <f>IF($N142="","",_xlfn.TEXTJOIN(" - ",TRUE,'Input LwA_XYZ'!B21:C21))</f>
        <v>RCU-R(2p)5 - Radiated</v>
      </c>
      <c r="P142" s="64">
        <f>IF($N142="","",'Input LwA_XYZ'!Q21)</f>
        <v>76.010299956639813</v>
      </c>
      <c r="Q142" s="91" t="str">
        <f>IF($N142="","",-1*ROUND(_xlfn.XLOOKUP(Tables!$L$122,'Input LwA_XYZ'!$AY$1:$BM$1,'Input LwA_XYZ'!AY21:BM21),0) &amp; " / " &amp; ROUND(_xlfn.XLOOKUP(Tables!$L$122,'Input LwA_XYZ'!$AH$1:$AV$1,'Input LwA_XYZ'!AH21:AV21),0) &amp; " ft")</f>
        <v>41 / 145 ft</v>
      </c>
      <c r="R142" s="91">
        <f>IF($N142="","",IF(_xlfn.XLOOKUP(Tables!$L$122,'Input LwA_XYZ'!$BV$1:$CJ$1,'Input LwA_XYZ'!BV21:CJ21)="","-",_xlfn.XLOOKUP(Tables!$L$122,'Input LwA_XYZ'!$BV$1:$CJ$1,'Input LwA_XYZ'!BV21:CJ21)))</f>
        <v>12</v>
      </c>
      <c r="S142" s="91" t="str">
        <f>IF($N142="","",IF('Input LwA_XYZ'!S21="","-",'Input LwA_XYZ'!S21))</f>
        <v>-</v>
      </c>
      <c r="T142" s="65">
        <f>IF($N142="","",_xlfn.XLOOKUP(Tables!$L$122,'Input LwA_XYZ'!$DD$1:$DR$1,'Input LwA_XYZ'!DD21:DR21))</f>
        <v>0</v>
      </c>
    </row>
    <row r="143" spans="14:20" ht="16.5" x14ac:dyDescent="0.3">
      <c r="N143" s="190">
        <f>IF('Input LwA_XYZ'!A22 = 0, "", 'Input LwA_XYZ'!A22)</f>
        <v>2</v>
      </c>
      <c r="O143" s="189" t="str">
        <f>IF($N143="","",_xlfn.TEXTJOIN(" - ",TRUE,'Input LwA_XYZ'!B22:C22))</f>
        <v>RCU-R(2p)6 - Radiated</v>
      </c>
      <c r="P143" s="64">
        <f>IF($N143="","",'Input LwA_XYZ'!Q22)</f>
        <v>76.010299956639813</v>
      </c>
      <c r="Q143" s="91" t="str">
        <f>IF($N143="","",-1*ROUND(_xlfn.XLOOKUP(Tables!$L$122,'Input LwA_XYZ'!$AY$1:$BM$1,'Input LwA_XYZ'!AY22:BM22),0) &amp; " / " &amp; ROUND(_xlfn.XLOOKUP(Tables!$L$122,'Input LwA_XYZ'!$AH$1:$AV$1,'Input LwA_XYZ'!AH22:AV22),0) &amp; " ft")</f>
        <v>40 / 138 ft</v>
      </c>
      <c r="R143" s="91">
        <f>IF($N143="","",IF(_xlfn.XLOOKUP(Tables!$L$122,'Input LwA_XYZ'!$BV$1:$CJ$1,'Input LwA_XYZ'!BV22:CJ22)="","-",_xlfn.XLOOKUP(Tables!$L$122,'Input LwA_XYZ'!$BV$1:$CJ$1,'Input LwA_XYZ'!BV22:CJ22)))</f>
        <v>15</v>
      </c>
      <c r="S143" s="91" t="str">
        <f>IF($N143="","",IF('Input LwA_XYZ'!S22="","-",'Input LwA_XYZ'!S22))</f>
        <v>-</v>
      </c>
      <c r="T143" s="65">
        <f>IF($N143="","",_xlfn.XLOOKUP(Tables!$L$122,'Input LwA_XYZ'!$DD$1:$DR$1,'Input LwA_XYZ'!DD22:DR22))</f>
        <v>0</v>
      </c>
    </row>
    <row r="144" spans="14:20" ht="16.5" x14ac:dyDescent="0.3">
      <c r="N144" s="190">
        <f>IF('Input LwA_XYZ'!A23 = 0, "", 'Input LwA_XYZ'!A23)</f>
        <v>1</v>
      </c>
      <c r="O144" s="189" t="str">
        <f>IF($N144="","",_xlfn.TEXTJOIN(" - ",TRUE,'Input LwA_XYZ'!B23:C23))</f>
        <v>BEF-R01  - Inlet</v>
      </c>
      <c r="P144" s="64">
        <f>IF($N144="","",'Input LwA_XYZ'!Q23)</f>
        <v>57</v>
      </c>
      <c r="Q144" s="91" t="str">
        <f>IF($N144="","",-1*ROUND(_xlfn.XLOOKUP(Tables!$L$122,'Input LwA_XYZ'!$AY$1:$BM$1,'Input LwA_XYZ'!AY23:BM23),0) &amp; " / " &amp; ROUND(_xlfn.XLOOKUP(Tables!$L$122,'Input LwA_XYZ'!$AH$1:$AV$1,'Input LwA_XYZ'!AH23:AV23),0) &amp; " ft")</f>
        <v>43 / 176 ft</v>
      </c>
      <c r="R144" s="91">
        <f>IF($N144="","",IF(_xlfn.XLOOKUP(Tables!$L$122,'Input LwA_XYZ'!$BV$1:$CJ$1,'Input LwA_XYZ'!BV23:CJ23)="","-",_xlfn.XLOOKUP(Tables!$L$122,'Input LwA_XYZ'!$BV$1:$CJ$1,'Input LwA_XYZ'!BV23:CJ23)))</f>
        <v>0</v>
      </c>
      <c r="S144" s="91" t="str">
        <f>IF($N144="","",IF('Input LwA_XYZ'!S23="","-",'Input LwA_XYZ'!S23))</f>
        <v>-</v>
      </c>
      <c r="T144" s="65">
        <f>IF($N144="","",_xlfn.XLOOKUP(Tables!$L$122,'Input LwA_XYZ'!$DD$1:$DR$1,'Input LwA_XYZ'!DD23:DR23))</f>
        <v>0</v>
      </c>
    </row>
    <row r="145" spans="14:20" ht="16.5" x14ac:dyDescent="0.3">
      <c r="N145" s="190">
        <f>IF('Input LwA_XYZ'!A24 = 0, "", 'Input LwA_XYZ'!A24)</f>
        <v>1</v>
      </c>
      <c r="O145" s="189" t="str">
        <f>IF($N145="","",_xlfn.TEXTJOIN(" - ",TRUE,'Input LwA_XYZ'!B24:C24))</f>
        <v>BEF-R02  - Inlet</v>
      </c>
      <c r="P145" s="64">
        <f>IF($N145="","",'Input LwA_XYZ'!Q24)</f>
        <v>66</v>
      </c>
      <c r="Q145" s="91" t="str">
        <f>IF($N145="","",-1*ROUND(_xlfn.XLOOKUP(Tables!$L$122,'Input LwA_XYZ'!$AY$1:$BM$1,'Input LwA_XYZ'!AY24:BM24),0) &amp; " / " &amp; ROUND(_xlfn.XLOOKUP(Tables!$L$122,'Input LwA_XYZ'!$AH$1:$AV$1,'Input LwA_XYZ'!AH24:AV24),0) &amp; " ft")</f>
        <v>42 / 157 ft</v>
      </c>
      <c r="R145" s="91">
        <f>IF($N145="","",IF(_xlfn.XLOOKUP(Tables!$L$122,'Input LwA_XYZ'!$BV$1:$CJ$1,'Input LwA_XYZ'!BV24:CJ24)="","-",_xlfn.XLOOKUP(Tables!$L$122,'Input LwA_XYZ'!$BV$1:$CJ$1,'Input LwA_XYZ'!BV24:CJ24)))</f>
        <v>10</v>
      </c>
      <c r="S145" s="91" t="str">
        <f>IF($N145="","",IF('Input LwA_XYZ'!S24="","-",'Input LwA_XYZ'!S24))</f>
        <v>-</v>
      </c>
      <c r="T145" s="65">
        <f>IF($N145="","",_xlfn.XLOOKUP(Tables!$L$122,'Input LwA_XYZ'!$DD$1:$DR$1,'Input LwA_XYZ'!DD24:DR24))</f>
        <v>0</v>
      </c>
    </row>
    <row r="146" spans="14:20" ht="16.5" x14ac:dyDescent="0.3">
      <c r="N146" s="190">
        <f>IF('Input LwA_XYZ'!A25 = 0, "", 'Input LwA_XYZ'!A25)</f>
        <v>1</v>
      </c>
      <c r="O146" s="189" t="str">
        <f>IF($N146="","",_xlfn.TEXTJOIN(" - ",TRUE,'Input LwA_XYZ'!B25:C25))</f>
        <v>BEF-R03  - Inlet</v>
      </c>
      <c r="P146" s="64">
        <f>IF($N146="","",'Input LwA_XYZ'!Q25)</f>
        <v>66</v>
      </c>
      <c r="Q146" s="91" t="str">
        <f>IF($N146="","",-1*ROUND(_xlfn.XLOOKUP(Tables!$L$122,'Input LwA_XYZ'!$AY$1:$BM$1,'Input LwA_XYZ'!AY25:BM25),0) &amp; " / " &amp; ROUND(_xlfn.XLOOKUP(Tables!$L$122,'Input LwA_XYZ'!$AH$1:$AV$1,'Input LwA_XYZ'!AH25:AV25),0) &amp; " ft")</f>
        <v>40 / 134 ft</v>
      </c>
      <c r="R146" s="91">
        <f>IF($N146="","",IF(_xlfn.XLOOKUP(Tables!$L$122,'Input LwA_XYZ'!$BV$1:$CJ$1,'Input LwA_XYZ'!BV25:CJ25)="","-",_xlfn.XLOOKUP(Tables!$L$122,'Input LwA_XYZ'!$BV$1:$CJ$1,'Input LwA_XYZ'!BV25:CJ25)))</f>
        <v>11</v>
      </c>
      <c r="S146" s="91" t="str">
        <f>IF($N146="","",IF('Input LwA_XYZ'!S25="","-",'Input LwA_XYZ'!S25))</f>
        <v>-</v>
      </c>
      <c r="T146" s="65">
        <f>IF($N146="","",_xlfn.XLOOKUP(Tables!$L$122,'Input LwA_XYZ'!$DD$1:$DR$1,'Input LwA_XYZ'!DD25:DR25))</f>
        <v>0</v>
      </c>
    </row>
    <row r="147" spans="14:20" ht="16.5" x14ac:dyDescent="0.3">
      <c r="N147" s="190">
        <f>IF('Input LwA_XYZ'!A26 = 0, "", 'Input LwA_XYZ'!A26)</f>
        <v>1</v>
      </c>
      <c r="O147" s="189" t="str">
        <f>IF($N147="","",_xlfn.TEXTJOIN(" - ",TRUE,'Input LwA_XYZ'!B26:C26))</f>
        <v>BEF-R04  - Inlet</v>
      </c>
      <c r="P147" s="64">
        <f>IF($N147="","",'Input LwA_XYZ'!Q26)</f>
        <v>66</v>
      </c>
      <c r="Q147" s="91" t="str">
        <f>IF($N147="","",-1*ROUND(_xlfn.XLOOKUP(Tables!$L$122,'Input LwA_XYZ'!$AY$1:$BM$1,'Input LwA_XYZ'!AY26:BM26),0) &amp; " / " &amp; ROUND(_xlfn.XLOOKUP(Tables!$L$122,'Input LwA_XYZ'!$AH$1:$AV$1,'Input LwA_XYZ'!AH26:AV26),0) &amp; " ft")</f>
        <v>39 / 117 ft</v>
      </c>
      <c r="R147" s="91">
        <f>IF($N147="","",IF(_xlfn.XLOOKUP(Tables!$L$122,'Input LwA_XYZ'!$BV$1:$CJ$1,'Input LwA_XYZ'!BV26:CJ26)="","-",_xlfn.XLOOKUP(Tables!$L$122,'Input LwA_XYZ'!$BV$1:$CJ$1,'Input LwA_XYZ'!BV26:CJ26)))</f>
        <v>11</v>
      </c>
      <c r="S147" s="91" t="str">
        <f>IF($N147="","",IF('Input LwA_XYZ'!S26="","-",'Input LwA_XYZ'!S26))</f>
        <v>-</v>
      </c>
      <c r="T147" s="65">
        <f>IF($N147="","",_xlfn.XLOOKUP(Tables!$L$122,'Input LwA_XYZ'!$DD$1:$DR$1,'Input LwA_XYZ'!DD26:DR26))</f>
        <v>0</v>
      </c>
    </row>
    <row r="148" spans="14:20" ht="16.5" x14ac:dyDescent="0.3">
      <c r="N148" s="190">
        <f>IF('Input LwA_XYZ'!A27 = 0, "", 'Input LwA_XYZ'!A27)</f>
        <v>1</v>
      </c>
      <c r="O148" s="189" t="str">
        <f>IF($N148="","",_xlfn.TEXTJOIN(" - ",TRUE,'Input LwA_XYZ'!B27:C27))</f>
        <v>BEF-R05  - Inlet</v>
      </c>
      <c r="P148" s="64">
        <f>IF($N148="","",'Input LwA_XYZ'!Q27)</f>
        <v>66</v>
      </c>
      <c r="Q148" s="91" t="str">
        <f>IF($N148="","",-1*ROUND(_xlfn.XLOOKUP(Tables!$L$122,'Input LwA_XYZ'!$AY$1:$BM$1,'Input LwA_XYZ'!AY27:BM27),0) &amp; " / " &amp; ROUND(_xlfn.XLOOKUP(Tables!$L$122,'Input LwA_XYZ'!$AH$1:$AV$1,'Input LwA_XYZ'!AH27:AV27),0) &amp; " ft")</f>
        <v>36 / 78 ft</v>
      </c>
      <c r="R148" s="91">
        <f>IF($N148="","",IF(_xlfn.XLOOKUP(Tables!$L$122,'Input LwA_XYZ'!$BV$1:$CJ$1,'Input LwA_XYZ'!BV27:CJ27)="","-",_xlfn.XLOOKUP(Tables!$L$122,'Input LwA_XYZ'!$BV$1:$CJ$1,'Input LwA_XYZ'!BV27:CJ27)))</f>
        <v>11</v>
      </c>
      <c r="S148" s="91" t="str">
        <f>IF($N148="","",IF('Input LwA_XYZ'!S27="","-",'Input LwA_XYZ'!S27))</f>
        <v>-</v>
      </c>
      <c r="T148" s="65">
        <f>IF($N148="","",_xlfn.XLOOKUP(Tables!$L$122,'Input LwA_XYZ'!$DD$1:$DR$1,'Input LwA_XYZ'!DD27:DR27))</f>
        <v>0</v>
      </c>
    </row>
    <row r="149" spans="14:20" ht="16.5" x14ac:dyDescent="0.3">
      <c r="N149" s="190">
        <f>IF('Input LwA_XYZ'!A28 = 0, "", 'Input LwA_XYZ'!A28)</f>
        <v>1</v>
      </c>
      <c r="O149" s="189" t="str">
        <f>IF($N149="","",_xlfn.TEXTJOIN(" - ",TRUE,'Input LwA_XYZ'!B28:C28))</f>
        <v>BEF-R06  - Inlet</v>
      </c>
      <c r="P149" s="64">
        <f>IF($N149="","",'Input LwA_XYZ'!Q28)</f>
        <v>66</v>
      </c>
      <c r="Q149" s="91" t="str">
        <f>IF($N149="","",-1*ROUND(_xlfn.XLOOKUP(Tables!$L$122,'Input LwA_XYZ'!$AY$1:$BM$1,'Input LwA_XYZ'!AY28:BM28),0) &amp; " / " &amp; ROUND(_xlfn.XLOOKUP(Tables!$L$122,'Input LwA_XYZ'!$AH$1:$AV$1,'Input LwA_XYZ'!AH28:AV28),0) &amp; " ft")</f>
        <v>33 / 56 ft</v>
      </c>
      <c r="R149" s="91">
        <f>IF($N149="","",IF(_xlfn.XLOOKUP(Tables!$L$122,'Input LwA_XYZ'!$BV$1:$CJ$1,'Input LwA_XYZ'!BV28:CJ28)="","-",_xlfn.XLOOKUP(Tables!$L$122,'Input LwA_XYZ'!$BV$1:$CJ$1,'Input LwA_XYZ'!BV28:CJ28)))</f>
        <v>7</v>
      </c>
      <c r="S149" s="91" t="str">
        <f>IF($N149="","",IF('Input LwA_XYZ'!S28="","-",'Input LwA_XYZ'!S28))</f>
        <v>-</v>
      </c>
      <c r="T149" s="65">
        <f>IF($N149="","",_xlfn.XLOOKUP(Tables!$L$122,'Input LwA_XYZ'!$DD$1:$DR$1,'Input LwA_XYZ'!DD28:DR28))</f>
        <v>0</v>
      </c>
    </row>
    <row r="150" spans="14:20" ht="16.5" x14ac:dyDescent="0.3">
      <c r="N150" s="190">
        <f>IF('Input LwA_XYZ'!A29 = 0, "", 'Input LwA_XYZ'!A29)</f>
        <v>1</v>
      </c>
      <c r="O150" s="189" t="str">
        <f>IF($N150="","",_xlfn.TEXTJOIN(" - ",TRUE,'Input LwA_XYZ'!B29:C29))</f>
        <v>BEF-R07  - Inlet</v>
      </c>
      <c r="P150" s="64">
        <f>IF($N150="","",'Input LwA_XYZ'!Q29)</f>
        <v>57</v>
      </c>
      <c r="Q150" s="91" t="str">
        <f>IF($N150="","",-1*ROUND(_xlfn.XLOOKUP(Tables!$L$122,'Input LwA_XYZ'!$AY$1:$BM$1,'Input LwA_XYZ'!AY29:BM29),0) &amp; " / " &amp; ROUND(_xlfn.XLOOKUP(Tables!$L$122,'Input LwA_XYZ'!$AH$1:$AV$1,'Input LwA_XYZ'!AH29:AV29),0) &amp; " ft")</f>
        <v>30 / 43 ft</v>
      </c>
      <c r="R150" s="91">
        <f>IF($N150="","",IF(_xlfn.XLOOKUP(Tables!$L$122,'Input LwA_XYZ'!$BV$1:$CJ$1,'Input LwA_XYZ'!BV29:CJ29)="","-",_xlfn.XLOOKUP(Tables!$L$122,'Input LwA_XYZ'!$BV$1:$CJ$1,'Input LwA_XYZ'!BV29:CJ29)))</f>
        <v>0</v>
      </c>
      <c r="S150" s="91" t="str">
        <f>IF($N150="","",IF('Input LwA_XYZ'!S29="","-",'Input LwA_XYZ'!S29))</f>
        <v>-</v>
      </c>
      <c r="T150" s="65">
        <f>IF($N150="","",_xlfn.XLOOKUP(Tables!$L$122,'Input LwA_XYZ'!$DD$1:$DR$1,'Input LwA_XYZ'!DD29:DR29))</f>
        <v>0</v>
      </c>
    </row>
    <row r="151" spans="14:20" ht="16.5" x14ac:dyDescent="0.3">
      <c r="N151" s="190">
        <f>IF('Input LwA_XYZ'!A30 = 0, "", 'Input LwA_XYZ'!A30)</f>
        <v>1</v>
      </c>
      <c r="O151" s="189" t="str">
        <f>IF($N151="","",_xlfn.TEXTJOIN(" - ",TRUE,'Input LwA_XYZ'!B30:C30))</f>
        <v>BEF-R08  - Inlet</v>
      </c>
      <c r="P151" s="64">
        <f>IF($N151="","",'Input LwA_XYZ'!Q30)</f>
        <v>57</v>
      </c>
      <c r="Q151" s="91" t="str">
        <f>IF($N151="","",-1*ROUND(_xlfn.XLOOKUP(Tables!$L$122,'Input LwA_XYZ'!$AY$1:$BM$1,'Input LwA_XYZ'!AY30:BM30),0) &amp; " / " &amp; ROUND(_xlfn.XLOOKUP(Tables!$L$122,'Input LwA_XYZ'!$AH$1:$AV$1,'Input LwA_XYZ'!AH30:AV30),0) &amp; " ft")</f>
        <v>24 / 20 ft</v>
      </c>
      <c r="R151" s="91">
        <f>IF($N151="","",IF(_xlfn.XLOOKUP(Tables!$L$122,'Input LwA_XYZ'!$BV$1:$CJ$1,'Input LwA_XYZ'!BV30:CJ30)="","-",_xlfn.XLOOKUP(Tables!$L$122,'Input LwA_XYZ'!$BV$1:$CJ$1,'Input LwA_XYZ'!BV30:CJ30)))</f>
        <v>8</v>
      </c>
      <c r="S151" s="91" t="str">
        <f>IF($N151="","",IF('Input LwA_XYZ'!S30="","-",'Input LwA_XYZ'!S30))</f>
        <v>-</v>
      </c>
      <c r="T151" s="65">
        <f>IF($N151="","",_xlfn.XLOOKUP(Tables!$L$122,'Input LwA_XYZ'!$DD$1:$DR$1,'Input LwA_XYZ'!DD30:DR30))</f>
        <v>0</v>
      </c>
    </row>
    <row r="152" spans="14:20" ht="16.5" x14ac:dyDescent="0.3">
      <c r="N152" s="190">
        <f>IF('Input LwA_XYZ'!A31 = 0, "", 'Input LwA_XYZ'!A31)</f>
        <v>1</v>
      </c>
      <c r="O152" s="189" t="str">
        <f>IF($N152="","",_xlfn.TEXTJOIN(" - ",TRUE,'Input LwA_XYZ'!B31:C31))</f>
        <v>BEF-R09  - Inlet</v>
      </c>
      <c r="P152" s="64">
        <f>IF($N152="","",'Input LwA_XYZ'!Q31)</f>
        <v>66</v>
      </c>
      <c r="Q152" s="91" t="str">
        <f>IF($N152="","",-1*ROUND(_xlfn.XLOOKUP(Tables!$L$122,'Input LwA_XYZ'!$AY$1:$BM$1,'Input LwA_XYZ'!AY31:BM31),0) &amp; " / " &amp; ROUND(_xlfn.XLOOKUP(Tables!$L$122,'Input LwA_XYZ'!$AH$1:$AV$1,'Input LwA_XYZ'!AH31:AV31),0) &amp; " ft")</f>
        <v>30 / 43 ft</v>
      </c>
      <c r="R152" s="91">
        <f>IF($N152="","",IF(_xlfn.XLOOKUP(Tables!$L$122,'Input LwA_XYZ'!$BV$1:$CJ$1,'Input LwA_XYZ'!BV31:CJ31)="","-",_xlfn.XLOOKUP(Tables!$L$122,'Input LwA_XYZ'!$BV$1:$CJ$1,'Input LwA_XYZ'!BV31:CJ31)))</f>
        <v>14</v>
      </c>
      <c r="S152" s="91" t="str">
        <f>IF($N152="","",IF('Input LwA_XYZ'!S31="","-",'Input LwA_XYZ'!S31))</f>
        <v>-</v>
      </c>
      <c r="T152" s="65">
        <f>IF($N152="","",_xlfn.XLOOKUP(Tables!$L$122,'Input LwA_XYZ'!$DD$1:$DR$1,'Input LwA_XYZ'!DD31:DR31))</f>
        <v>0</v>
      </c>
    </row>
    <row r="153" spans="14:20" ht="16.5" x14ac:dyDescent="0.3">
      <c r="N153" s="190">
        <f>IF('Input LwA_XYZ'!A32 = 0, "", 'Input LwA_XYZ'!A32)</f>
        <v>1</v>
      </c>
      <c r="O153" s="189" t="str">
        <f>IF($N153="","",_xlfn.TEXTJOIN(" - ",TRUE,'Input LwA_XYZ'!B32:C32))</f>
        <v>BEF-R10  - Inlet</v>
      </c>
      <c r="P153" s="64">
        <f>IF($N153="","",'Input LwA_XYZ'!Q32)</f>
        <v>66</v>
      </c>
      <c r="Q153" s="91" t="str">
        <f>IF($N153="","",-1*ROUND(_xlfn.XLOOKUP(Tables!$L$122,'Input LwA_XYZ'!$AY$1:$BM$1,'Input LwA_XYZ'!AY32:BM32),0) &amp; " / " &amp; ROUND(_xlfn.XLOOKUP(Tables!$L$122,'Input LwA_XYZ'!$AH$1:$AV$1,'Input LwA_XYZ'!AH32:AV32),0) &amp; " ft")</f>
        <v>35 / 71 ft</v>
      </c>
      <c r="R153" s="91">
        <f>IF($N153="","",IF(_xlfn.XLOOKUP(Tables!$L$122,'Input LwA_XYZ'!$BV$1:$CJ$1,'Input LwA_XYZ'!BV32:CJ32)="","-",_xlfn.XLOOKUP(Tables!$L$122,'Input LwA_XYZ'!$BV$1:$CJ$1,'Input LwA_XYZ'!BV32:CJ32)))</f>
        <v>15</v>
      </c>
      <c r="S153" s="91" t="str">
        <f>IF($N153="","",IF('Input LwA_XYZ'!S32="","-",'Input LwA_XYZ'!S32))</f>
        <v>-</v>
      </c>
      <c r="T153" s="65">
        <f>IF($N153="","",_xlfn.XLOOKUP(Tables!$L$122,'Input LwA_XYZ'!$DD$1:$DR$1,'Input LwA_XYZ'!DD32:DR32))</f>
        <v>0</v>
      </c>
    </row>
    <row r="154" spans="14:20" ht="16.5" x14ac:dyDescent="0.3">
      <c r="N154" s="190">
        <f>IF('Input LwA_XYZ'!A33 = 0, "", 'Input LwA_XYZ'!A33)</f>
        <v>1</v>
      </c>
      <c r="O154" s="189" t="str">
        <f>IF($N154="","",_xlfn.TEXTJOIN(" - ",TRUE,'Input LwA_XYZ'!B33:C33))</f>
        <v>BEF-R11  - Inlet</v>
      </c>
      <c r="P154" s="64">
        <f>IF($N154="","",'Input LwA_XYZ'!Q33)</f>
        <v>66</v>
      </c>
      <c r="Q154" s="91" t="str">
        <f>IF($N154="","",-1*ROUND(_xlfn.XLOOKUP(Tables!$L$122,'Input LwA_XYZ'!$AY$1:$BM$1,'Input LwA_XYZ'!AY33:BM33),0) &amp; " / " &amp; ROUND(_xlfn.XLOOKUP(Tables!$L$122,'Input LwA_XYZ'!$AH$1:$AV$1,'Input LwA_XYZ'!AH33:AV33),0) &amp; " ft")</f>
        <v>37 / 95 ft</v>
      </c>
      <c r="R154" s="91">
        <f>IF($N154="","",IF(_xlfn.XLOOKUP(Tables!$L$122,'Input LwA_XYZ'!$BV$1:$CJ$1,'Input LwA_XYZ'!BV33:CJ33)="","-",_xlfn.XLOOKUP(Tables!$L$122,'Input LwA_XYZ'!$BV$1:$CJ$1,'Input LwA_XYZ'!BV33:CJ33)))</f>
        <v>15</v>
      </c>
      <c r="S154" s="91" t="str">
        <f>IF($N154="","",IF('Input LwA_XYZ'!S33="","-",'Input LwA_XYZ'!S33))</f>
        <v>-</v>
      </c>
      <c r="T154" s="65">
        <f>IF($N154="","",_xlfn.XLOOKUP(Tables!$L$122,'Input LwA_XYZ'!$DD$1:$DR$1,'Input LwA_XYZ'!DD33:DR33))</f>
        <v>0</v>
      </c>
    </row>
    <row r="155" spans="14:20" ht="16.5" x14ac:dyDescent="0.3">
      <c r="N155" s="190">
        <f>IF('Input LwA_XYZ'!A34 = 0, "", 'Input LwA_XYZ'!A34)</f>
        <v>1</v>
      </c>
      <c r="O155" s="189" t="str">
        <f>IF($N155="","",_xlfn.TEXTJOIN(" - ",TRUE,'Input LwA_XYZ'!B34:C34))</f>
        <v>BEF-R12  - Inlet</v>
      </c>
      <c r="P155" s="64">
        <f>IF($N155="","",'Input LwA_XYZ'!Q34)</f>
        <v>66</v>
      </c>
      <c r="Q155" s="91" t="str">
        <f>IF($N155="","",-1*ROUND(_xlfn.XLOOKUP(Tables!$L$122,'Input LwA_XYZ'!$AY$1:$BM$1,'Input LwA_XYZ'!AY34:BM34),0) &amp; " / " &amp; ROUND(_xlfn.XLOOKUP(Tables!$L$122,'Input LwA_XYZ'!$AH$1:$AV$1,'Input LwA_XYZ'!AH34:AV34),0) &amp; " ft")</f>
        <v>41 / 140 ft</v>
      </c>
      <c r="R155" s="91">
        <f>IF($N155="","",IF(_xlfn.XLOOKUP(Tables!$L$122,'Input LwA_XYZ'!$BV$1:$CJ$1,'Input LwA_XYZ'!BV34:CJ34)="","-",_xlfn.XLOOKUP(Tables!$L$122,'Input LwA_XYZ'!$BV$1:$CJ$1,'Input LwA_XYZ'!BV34:CJ34)))</f>
        <v>12</v>
      </c>
      <c r="S155" s="91" t="str">
        <f>IF($N155="","",IF('Input LwA_XYZ'!S34="","-",'Input LwA_XYZ'!S34))</f>
        <v>-</v>
      </c>
      <c r="T155" s="65">
        <f>IF($N155="","",_xlfn.XLOOKUP(Tables!$L$122,'Input LwA_XYZ'!$DD$1:$DR$1,'Input LwA_XYZ'!DD34:DR34))</f>
        <v>0</v>
      </c>
    </row>
    <row r="156" spans="14:20" ht="16.5" x14ac:dyDescent="0.3">
      <c r="N156" s="190">
        <f>IF('Input LwA_XYZ'!A35 = 0, "", 'Input LwA_XYZ'!A35)</f>
        <v>1</v>
      </c>
      <c r="O156" s="189" t="str">
        <f>IF($N156="","",_xlfn.TEXTJOIN(" - ",TRUE,'Input LwA_XYZ'!B35:C35))</f>
        <v>BEF-R13  - Inlet</v>
      </c>
      <c r="P156" s="64">
        <f>IF($N156="","",'Input LwA_XYZ'!Q35)</f>
        <v>66</v>
      </c>
      <c r="Q156" s="91" t="str">
        <f>IF($N156="","",-1*ROUND(_xlfn.XLOOKUP(Tables!$L$122,'Input LwA_XYZ'!$AY$1:$BM$1,'Input LwA_XYZ'!AY35:BM35),0) &amp; " / " &amp; ROUND(_xlfn.XLOOKUP(Tables!$L$122,'Input LwA_XYZ'!$AH$1:$AV$1,'Input LwA_XYZ'!AH35:AV35),0) &amp; " ft")</f>
        <v>42 / 160 ft</v>
      </c>
      <c r="R156" s="91">
        <f>IF($N156="","",IF(_xlfn.XLOOKUP(Tables!$L$122,'Input LwA_XYZ'!$BV$1:$CJ$1,'Input LwA_XYZ'!BV35:CJ35)="","-",_xlfn.XLOOKUP(Tables!$L$122,'Input LwA_XYZ'!$BV$1:$CJ$1,'Input LwA_XYZ'!BV35:CJ35)))</f>
        <v>12</v>
      </c>
      <c r="S156" s="91" t="str">
        <f>IF($N156="","",IF('Input LwA_XYZ'!S35="","-",'Input LwA_XYZ'!S35))</f>
        <v>-</v>
      </c>
      <c r="T156" s="65">
        <f>IF($N156="","",_xlfn.XLOOKUP(Tables!$L$122,'Input LwA_XYZ'!$DD$1:$DR$1,'Input LwA_XYZ'!DD35:DR35))</f>
        <v>0</v>
      </c>
    </row>
    <row r="157" spans="14:20" ht="16.5" x14ac:dyDescent="0.3">
      <c r="N157" s="190">
        <f>IF('Input LwA_XYZ'!A36 = 0, "", 'Input LwA_XYZ'!A36)</f>
        <v>1</v>
      </c>
      <c r="O157" s="189" t="str">
        <f>IF($N157="","",_xlfn.TEXTJOIN(" - ",TRUE,'Input LwA_XYZ'!B36:C36))</f>
        <v>BEF-R14  - Inlet</v>
      </c>
      <c r="P157" s="64">
        <f>IF($N157="","",'Input LwA_XYZ'!Q36)</f>
        <v>66</v>
      </c>
      <c r="Q157" s="91" t="str">
        <f>IF($N157="","",-1*ROUND(_xlfn.XLOOKUP(Tables!$L$122,'Input LwA_XYZ'!$AY$1:$BM$1,'Input LwA_XYZ'!AY36:BM36),0) &amp; " / " &amp; ROUND(_xlfn.XLOOKUP(Tables!$L$122,'Input LwA_XYZ'!$AH$1:$AV$1,'Input LwA_XYZ'!AH36:AV36),0) &amp; " ft")</f>
        <v>43 / 177 ft</v>
      </c>
      <c r="R157" s="91">
        <f>IF($N157="","",IF(_xlfn.XLOOKUP(Tables!$L$122,'Input LwA_XYZ'!$BV$1:$CJ$1,'Input LwA_XYZ'!BV36:CJ36)="","-",_xlfn.XLOOKUP(Tables!$L$122,'Input LwA_XYZ'!$BV$1:$CJ$1,'Input LwA_XYZ'!BV36:CJ36)))</f>
        <v>11</v>
      </c>
      <c r="S157" s="91" t="str">
        <f>IF($N157="","",IF('Input LwA_XYZ'!S36="","-",'Input LwA_XYZ'!S36))</f>
        <v>-</v>
      </c>
      <c r="T157" s="65">
        <f>IF($N157="","",_xlfn.XLOOKUP(Tables!$L$122,'Input LwA_XYZ'!$DD$1:$DR$1,'Input LwA_XYZ'!DD36:DR36))</f>
        <v>0</v>
      </c>
    </row>
    <row r="158" spans="14:20" ht="16.5" x14ac:dyDescent="0.3">
      <c r="N158" s="190">
        <f>IF('Input LwA_XYZ'!A37 = 0, "", 'Input LwA_XYZ'!A37)</f>
        <v>1</v>
      </c>
      <c r="O158" s="189" t="str">
        <f>IF($N158="","",_xlfn.TEXTJOIN(" - ",TRUE,'Input LwA_XYZ'!B37:C37))</f>
        <v>BEF-R15  - Inlet</v>
      </c>
      <c r="P158" s="64">
        <f>IF($N158="","",'Input LwA_XYZ'!Q37)</f>
        <v>57</v>
      </c>
      <c r="Q158" s="91" t="str">
        <f>IF($N158="","",-1*ROUND(_xlfn.XLOOKUP(Tables!$L$122,'Input LwA_XYZ'!$AY$1:$BM$1,'Input LwA_XYZ'!AY37:BM37),0) &amp; " / " &amp; ROUND(_xlfn.XLOOKUP(Tables!$L$122,'Input LwA_XYZ'!$AH$1:$AV$1,'Input LwA_XYZ'!AH37:AV37),0) &amp; " ft")</f>
        <v>44 / 198 ft</v>
      </c>
      <c r="R158" s="91">
        <f>IF($N158="","",IF(_xlfn.XLOOKUP(Tables!$L$122,'Input LwA_XYZ'!$BV$1:$CJ$1,'Input LwA_XYZ'!BV37:CJ37)="","-",_xlfn.XLOOKUP(Tables!$L$122,'Input LwA_XYZ'!$BV$1:$CJ$1,'Input LwA_XYZ'!BV37:CJ37)))</f>
        <v>11</v>
      </c>
      <c r="S158" s="91" t="str">
        <f>IF($N158="","",IF('Input LwA_XYZ'!S37="","-",'Input LwA_XYZ'!S37))</f>
        <v>-</v>
      </c>
      <c r="T158" s="65">
        <f>IF($N158="","",_xlfn.XLOOKUP(Tables!$L$122,'Input LwA_XYZ'!$DD$1:$DR$1,'Input LwA_XYZ'!DD37:DR37))</f>
        <v>0</v>
      </c>
    </row>
    <row r="159" spans="14:20" ht="16.5" x14ac:dyDescent="0.3">
      <c r="N159" s="190">
        <f>IF('Input LwA_XYZ'!A38 = 0, "", 'Input LwA_XYZ'!A38)</f>
        <v>1</v>
      </c>
      <c r="O159" s="189" t="str">
        <f>IF($N159="","",_xlfn.TEXTJOIN(" - ",TRUE,'Input LwA_XYZ'!B38:C38))</f>
        <v>BEF-R16  - Inlet</v>
      </c>
      <c r="P159" s="64">
        <f>IF($N159="","",'Input LwA_XYZ'!Q38)</f>
        <v>57</v>
      </c>
      <c r="Q159" s="91" t="str">
        <f>IF($N159="","",-1*ROUND(_xlfn.XLOOKUP(Tables!$L$122,'Input LwA_XYZ'!$AY$1:$BM$1,'Input LwA_XYZ'!AY38:BM38),0) &amp; " / " &amp; ROUND(_xlfn.XLOOKUP(Tables!$L$122,'Input LwA_XYZ'!$AH$1:$AV$1,'Input LwA_XYZ'!AH38:AV38),0) &amp; " ft")</f>
        <v>40 / 136 ft</v>
      </c>
      <c r="R159" s="91">
        <f>IF($N159="","",IF(_xlfn.XLOOKUP(Tables!$L$122,'Input LwA_XYZ'!$BV$1:$CJ$1,'Input LwA_XYZ'!BV38:CJ38)="","-",_xlfn.XLOOKUP(Tables!$L$122,'Input LwA_XYZ'!$BV$1:$CJ$1,'Input LwA_XYZ'!BV38:CJ38)))</f>
        <v>15</v>
      </c>
      <c r="S159" s="91" t="str">
        <f>IF($N159="","",IF('Input LwA_XYZ'!S38="","-",'Input LwA_XYZ'!S38))</f>
        <v>-</v>
      </c>
      <c r="T159" s="65">
        <f>IF($N159="","",_xlfn.XLOOKUP(Tables!$L$122,'Input LwA_XYZ'!$DD$1:$DR$1,'Input LwA_XYZ'!DD38:DR38))</f>
        <v>0</v>
      </c>
    </row>
    <row r="160" spans="14:20" ht="16.5" x14ac:dyDescent="0.3">
      <c r="N160" s="190" t="str">
        <f>IF('Input LwA_XYZ'!A39 = 0, "", 'Input LwA_XYZ'!A39)</f>
        <v/>
      </c>
      <c r="O160" s="189" t="str">
        <f>IF($N160="","",_xlfn.TEXTJOIN(" - ",TRUE,'Input LwA_XYZ'!B39:C39))</f>
        <v/>
      </c>
      <c r="P160" s="64" t="str">
        <f>IF($N160="","",'Input LwA_XYZ'!Q39)</f>
        <v/>
      </c>
      <c r="Q160" s="91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91" t="str">
        <f>IF($N160="","",IF(_xlfn.XLOOKUP(Tables!$L$122,'Input LwA_XYZ'!$BV$1:$CJ$1,'Input LwA_XYZ'!BV39:CJ39)="","-",_xlfn.XLOOKUP(Tables!$L$122,'Input LwA_XYZ'!$BV$1:$CJ$1,'Input LwA_XYZ'!BV39:CJ39)))</f>
        <v/>
      </c>
      <c r="S160" s="91" t="str">
        <f>IF($N160="","",IF('Input LwA_XYZ'!S39="","-",'Input LwA_XYZ'!S39))</f>
        <v/>
      </c>
      <c r="T160" s="65" t="str">
        <f>IF($N160="","",_xlfn.XLOOKUP(Tables!$L$122,'Input LwA_XYZ'!$DD$1:$DR$1,'Input LwA_XYZ'!DD39:DR39))</f>
        <v/>
      </c>
    </row>
    <row r="161" spans="14:20" ht="16.5" x14ac:dyDescent="0.3">
      <c r="N161" s="190" t="str">
        <f>IF('Input LwA_XYZ'!A40 = 0, "", 'Input LwA_XYZ'!A40)</f>
        <v/>
      </c>
      <c r="O161" s="189" t="str">
        <f>IF($N161="","",_xlfn.TEXTJOIN(" - ",TRUE,'Input LwA_XYZ'!B40:C40))</f>
        <v/>
      </c>
      <c r="P161" s="64" t="str">
        <f>IF($N161="","",'Input LwA_XYZ'!Q40)</f>
        <v/>
      </c>
      <c r="Q161" s="91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91" t="str">
        <f>IF($N161="","",IF(_xlfn.XLOOKUP(Tables!$L$122,'Input LwA_XYZ'!$BV$1:$CJ$1,'Input LwA_XYZ'!BV40:CJ40)="","-",_xlfn.XLOOKUP(Tables!$L$122,'Input LwA_XYZ'!$BV$1:$CJ$1,'Input LwA_XYZ'!BV40:CJ40)))</f>
        <v/>
      </c>
      <c r="S161" s="91" t="str">
        <f>IF($N161="","",IF('Input LwA_XYZ'!S40="","-",'Input LwA_XYZ'!S40))</f>
        <v/>
      </c>
      <c r="T161" s="65" t="str">
        <f>IF($N161="","",_xlfn.XLOOKUP(Tables!$L$122,'Input LwA_XYZ'!$DD$1:$DR$1,'Input LwA_XYZ'!DD40:DR40))</f>
        <v/>
      </c>
    </row>
    <row r="162" spans="14:20" ht="16.5" x14ac:dyDescent="0.3">
      <c r="N162" s="190" t="str">
        <f>IF('Input LwA_XYZ'!A41 = 0, "", 'Input LwA_XYZ'!A41)</f>
        <v/>
      </c>
      <c r="O162" s="189" t="str">
        <f>IF($N162="","",_xlfn.TEXTJOIN(" - ",TRUE,'Input LwA_XYZ'!B41:C41))</f>
        <v/>
      </c>
      <c r="P162" s="64" t="str">
        <f>IF($N162="","",'Input LwA_XYZ'!Q41)</f>
        <v/>
      </c>
      <c r="Q162" s="91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91" t="str">
        <f>IF($N162="","",IF(_xlfn.XLOOKUP(Tables!$L$122,'Input LwA_XYZ'!$BV$1:$CJ$1,'Input LwA_XYZ'!BV41:CJ41)="","-",_xlfn.XLOOKUP(Tables!$L$122,'Input LwA_XYZ'!$BV$1:$CJ$1,'Input LwA_XYZ'!BV41:CJ41)))</f>
        <v/>
      </c>
      <c r="S162" s="91" t="str">
        <f>IF($N162="","",IF('Input LwA_XYZ'!S41="","-",'Input LwA_XYZ'!S41))</f>
        <v/>
      </c>
      <c r="T162" s="65" t="str">
        <f>IF($N162="","",_xlfn.XLOOKUP(Tables!$L$122,'Input LwA_XYZ'!$DD$1:$DR$1,'Input LwA_XYZ'!DD41:DR41))</f>
        <v/>
      </c>
    </row>
    <row r="163" spans="14:20" ht="16.5" x14ac:dyDescent="0.3">
      <c r="N163" s="190" t="str">
        <f>IF('Input LwA_XYZ'!A42 = 0, "", 'Input LwA_XYZ'!A42)</f>
        <v/>
      </c>
      <c r="O163" s="189" t="str">
        <f>IF($N163="","",_xlfn.TEXTJOIN(" - ",TRUE,'Input LwA_XYZ'!B42:C42))</f>
        <v/>
      </c>
      <c r="P163" s="64" t="str">
        <f>IF($N163="","",'Input LwA_XYZ'!Q42)</f>
        <v/>
      </c>
      <c r="Q163" s="91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91" t="str">
        <f>IF($N163="","",IF(_xlfn.XLOOKUP(Tables!$L$122,'Input LwA_XYZ'!$BV$1:$CJ$1,'Input LwA_XYZ'!BV42:CJ42)="","-",_xlfn.XLOOKUP(Tables!$L$122,'Input LwA_XYZ'!$BV$1:$CJ$1,'Input LwA_XYZ'!BV42:CJ42)))</f>
        <v/>
      </c>
      <c r="S163" s="91" t="str">
        <f>IF($N163="","",IF('Input LwA_XYZ'!S42="","-",'Input LwA_XYZ'!S42))</f>
        <v/>
      </c>
      <c r="T163" s="65" t="str">
        <f>IF($N163="","",_xlfn.XLOOKUP(Tables!$L$122,'Input LwA_XYZ'!$DD$1:$DR$1,'Input LwA_XYZ'!DD42:DR42))</f>
        <v/>
      </c>
    </row>
    <row r="164" spans="14:20" ht="16.5" x14ac:dyDescent="0.3">
      <c r="N164" s="190" t="str">
        <f>IF('Input LwA_XYZ'!A43 = 0, "", 'Input LwA_XYZ'!A43)</f>
        <v/>
      </c>
      <c r="O164" s="189" t="str">
        <f>IF($N164="","",_xlfn.TEXTJOIN(" - ",TRUE,'Input LwA_XYZ'!B43:C43))</f>
        <v/>
      </c>
      <c r="P164" s="64" t="str">
        <f>IF($N164="","",'Input LwA_XYZ'!Q43)</f>
        <v/>
      </c>
      <c r="Q164" s="91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91" t="str">
        <f>IF($N164="","",IF(_xlfn.XLOOKUP(Tables!$L$122,'Input LwA_XYZ'!$BV$1:$CJ$1,'Input LwA_XYZ'!BV43:CJ43)="","-",_xlfn.XLOOKUP(Tables!$L$122,'Input LwA_XYZ'!$BV$1:$CJ$1,'Input LwA_XYZ'!BV43:CJ43)))</f>
        <v/>
      </c>
      <c r="S164" s="91" t="str">
        <f>IF($N164="","",IF('Input LwA_XYZ'!S43="","-",'Input LwA_XYZ'!S43))</f>
        <v/>
      </c>
      <c r="T164" s="65" t="str">
        <f>IF($N164="","",_xlfn.XLOOKUP(Tables!$L$122,'Input LwA_XYZ'!$DD$1:$DR$1,'Input LwA_XYZ'!DD43:DR43))</f>
        <v/>
      </c>
    </row>
    <row r="165" spans="14:20" ht="16.5" x14ac:dyDescent="0.3">
      <c r="N165" s="190" t="str">
        <f>IF('Input LwA_XYZ'!A44 = 0, "", 'Input LwA_XYZ'!A44)</f>
        <v/>
      </c>
      <c r="O165" s="189" t="str">
        <f>IF($N165="","",_xlfn.TEXTJOIN(" - ",TRUE,'Input LwA_XYZ'!B44:C44))</f>
        <v/>
      </c>
      <c r="P165" s="64" t="str">
        <f>IF($N165="","",'Input LwA_XYZ'!Q44)</f>
        <v/>
      </c>
      <c r="Q165" s="91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91" t="str">
        <f>IF($N165="","",IF(_xlfn.XLOOKUP(Tables!$L$122,'Input LwA_XYZ'!$BV$1:$CJ$1,'Input LwA_XYZ'!BV44:CJ44)="","-",_xlfn.XLOOKUP(Tables!$L$122,'Input LwA_XYZ'!$BV$1:$CJ$1,'Input LwA_XYZ'!BV44:CJ44)))</f>
        <v/>
      </c>
      <c r="S165" s="91" t="str">
        <f>IF($N165="","",IF('Input LwA_XYZ'!S44="","-",'Input LwA_XYZ'!S44))</f>
        <v/>
      </c>
      <c r="T165" s="65" t="str">
        <f>IF($N165="","",_xlfn.XLOOKUP(Tables!$L$122,'Input LwA_XYZ'!$DD$1:$DR$1,'Input LwA_XYZ'!DD44:DR44))</f>
        <v/>
      </c>
    </row>
    <row r="166" spans="14:20" ht="16.5" x14ac:dyDescent="0.3">
      <c r="N166" s="190" t="str">
        <f>IF('Input LwA_XYZ'!A45 = 0, "", 'Input LwA_XYZ'!A45)</f>
        <v/>
      </c>
      <c r="O166" s="189" t="str">
        <f>IF($N166="","",_xlfn.TEXTJOIN(" - ",TRUE,'Input LwA_XYZ'!B45:C45))</f>
        <v/>
      </c>
      <c r="P166" s="64" t="str">
        <f>IF($N166="","",'Input LwA_XYZ'!Q45)</f>
        <v/>
      </c>
      <c r="Q166" s="91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91" t="str">
        <f>IF($N166="","",IF(_xlfn.XLOOKUP(Tables!$L$122,'Input LwA_XYZ'!$BV$1:$CJ$1,'Input LwA_XYZ'!BV45:CJ45)="","-",_xlfn.XLOOKUP(Tables!$L$122,'Input LwA_XYZ'!$BV$1:$CJ$1,'Input LwA_XYZ'!BV45:CJ45)))</f>
        <v/>
      </c>
      <c r="S166" s="91" t="str">
        <f>IF($N166="","",IF('Input LwA_XYZ'!S45="","-",'Input LwA_XYZ'!S45))</f>
        <v/>
      </c>
      <c r="T166" s="65" t="str">
        <f>IF($N166="","",_xlfn.XLOOKUP(Tables!$L$122,'Input LwA_XYZ'!$DD$1:$DR$1,'Input LwA_XYZ'!DD45:DR45))</f>
        <v/>
      </c>
    </row>
    <row r="167" spans="14:20" ht="16.5" x14ac:dyDescent="0.3">
      <c r="N167" s="190" t="str">
        <f>IF('Input LwA_XYZ'!A46 = 0, "", 'Input LwA_XYZ'!A46)</f>
        <v/>
      </c>
      <c r="O167" s="189" t="str">
        <f>IF($N167="","",_xlfn.TEXTJOIN(" - ",TRUE,'Input LwA_XYZ'!B46:C46))</f>
        <v/>
      </c>
      <c r="P167" s="64" t="str">
        <f>IF($N167="","",'Input LwA_XYZ'!Q46)</f>
        <v/>
      </c>
      <c r="Q167" s="91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91" t="str">
        <f>IF($N167="","",IF(_xlfn.XLOOKUP(Tables!$L$122,'Input LwA_XYZ'!$BV$1:$CJ$1,'Input LwA_XYZ'!BV46:CJ46)="","-",_xlfn.XLOOKUP(Tables!$L$122,'Input LwA_XYZ'!$BV$1:$CJ$1,'Input LwA_XYZ'!BV46:CJ46)))</f>
        <v/>
      </c>
      <c r="S167" s="91" t="str">
        <f>IF($N167="","",IF('Input LwA_XYZ'!S46="","-",'Input LwA_XYZ'!S46))</f>
        <v/>
      </c>
      <c r="T167" s="65" t="str">
        <f>IF($N167="","",_xlfn.XLOOKUP(Tables!$L$122,'Input LwA_XYZ'!$DD$1:$DR$1,'Input LwA_XYZ'!DD46:DR46))</f>
        <v/>
      </c>
    </row>
    <row r="168" spans="14:20" ht="16.5" x14ac:dyDescent="0.3">
      <c r="N168" s="190" t="str">
        <f>IF('Input LwA_XYZ'!A47 = 0, "", 'Input LwA_XYZ'!A47)</f>
        <v/>
      </c>
      <c r="O168" s="189" t="str">
        <f>IF($N168="","",_xlfn.TEXTJOIN(" - ",TRUE,'Input LwA_XYZ'!B47:C47))</f>
        <v/>
      </c>
      <c r="P168" s="64" t="str">
        <f>IF($N168="","",'Input LwA_XYZ'!Q47)</f>
        <v/>
      </c>
      <c r="Q168" s="91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91" t="str">
        <f>IF($N168="","",IF(_xlfn.XLOOKUP(Tables!$L$122,'Input LwA_XYZ'!$BV$1:$CJ$1,'Input LwA_XYZ'!BV47:CJ47)="","-",_xlfn.XLOOKUP(Tables!$L$122,'Input LwA_XYZ'!$BV$1:$CJ$1,'Input LwA_XYZ'!BV47:CJ47)))</f>
        <v/>
      </c>
      <c r="S168" s="91" t="str">
        <f>IF($N168="","",IF('Input LwA_XYZ'!S47="","-",'Input LwA_XYZ'!S47))</f>
        <v/>
      </c>
      <c r="T168" s="65" t="str">
        <f>IF($N168="","",_xlfn.XLOOKUP(Tables!$L$122,'Input LwA_XYZ'!$DD$1:$DR$1,'Input LwA_XYZ'!DD47:DR47))</f>
        <v/>
      </c>
    </row>
    <row r="169" spans="14:20" ht="16.5" x14ac:dyDescent="0.3">
      <c r="N169" s="190" t="str">
        <f>IF('Input LwA_XYZ'!A48 = 0, "", 'Input LwA_XYZ'!A48)</f>
        <v/>
      </c>
      <c r="O169" s="189" t="str">
        <f>IF($N169="","",_xlfn.TEXTJOIN(" - ",TRUE,'Input LwA_XYZ'!B48:C48))</f>
        <v/>
      </c>
      <c r="P169" s="64" t="str">
        <f>IF($N169="","",'Input LwA_XYZ'!Q48)</f>
        <v/>
      </c>
      <c r="Q169" s="91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91" t="str">
        <f>IF($N169="","",IF(_xlfn.XLOOKUP(Tables!$L$122,'Input LwA_XYZ'!$BV$1:$CJ$1,'Input LwA_XYZ'!BV48:CJ48)="","-",_xlfn.XLOOKUP(Tables!$L$122,'Input LwA_XYZ'!$BV$1:$CJ$1,'Input LwA_XYZ'!BV48:CJ48)))</f>
        <v/>
      </c>
      <c r="S169" s="91" t="str">
        <f>IF($N169="","",IF('Input LwA_XYZ'!S48="","-",'Input LwA_XYZ'!S48))</f>
        <v/>
      </c>
      <c r="T169" s="65" t="str">
        <f>IF($N169="","",_xlfn.XLOOKUP(Tables!$L$122,'Input LwA_XYZ'!$DD$1:$DR$1,'Input LwA_XYZ'!DD48:DR48))</f>
        <v/>
      </c>
    </row>
    <row r="170" spans="14:20" ht="16.5" x14ac:dyDescent="0.3">
      <c r="N170" s="190" t="str">
        <f>IF('Input LwA_XYZ'!A49 = 0, "", 'Input LwA_XYZ'!A49)</f>
        <v/>
      </c>
      <c r="O170" s="189" t="str">
        <f>IF($N170="","",_xlfn.TEXTJOIN(" - ",TRUE,'Input LwA_XYZ'!B49:C49))</f>
        <v/>
      </c>
      <c r="P170" s="64" t="str">
        <f>IF($N170="","",'Input LwA_XYZ'!Q49)</f>
        <v/>
      </c>
      <c r="Q170" s="91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91" t="str">
        <f>IF($N170="","",IF(_xlfn.XLOOKUP(Tables!$L$122,'Input LwA_XYZ'!$BV$1:$CJ$1,'Input LwA_XYZ'!BV49:CJ49)="","-",_xlfn.XLOOKUP(Tables!$L$122,'Input LwA_XYZ'!$BV$1:$CJ$1,'Input LwA_XYZ'!BV49:CJ49)))</f>
        <v/>
      </c>
      <c r="S170" s="91" t="str">
        <f>IF($N170="","",IF('Input LwA_XYZ'!S49="","-",'Input LwA_XYZ'!S49))</f>
        <v/>
      </c>
      <c r="T170" s="65" t="str">
        <f>IF($N170="","",_xlfn.XLOOKUP(Tables!$L$122,'Input LwA_XYZ'!$DD$1:$DR$1,'Input LwA_XYZ'!DD49:DR49))</f>
        <v/>
      </c>
    </row>
    <row r="171" spans="14:20" ht="16.5" x14ac:dyDescent="0.3">
      <c r="N171" s="190" t="str">
        <f>IF('Input LwA_XYZ'!A50 = 0, "", 'Input LwA_XYZ'!A50)</f>
        <v/>
      </c>
      <c r="O171" s="189" t="str">
        <f>IF($N171="","",_xlfn.TEXTJOIN(" - ",TRUE,'Input LwA_XYZ'!B50:C50))</f>
        <v/>
      </c>
      <c r="P171" s="64" t="str">
        <f>IF($N171="","",'Input LwA_XYZ'!Q50)</f>
        <v/>
      </c>
      <c r="Q171" s="91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91" t="str">
        <f>IF($N171="","",IF(_xlfn.XLOOKUP(Tables!$L$122,'Input LwA_XYZ'!$BV$1:$CJ$1,'Input LwA_XYZ'!BV50:CJ50)="","-",_xlfn.XLOOKUP(Tables!$L$122,'Input LwA_XYZ'!$BV$1:$CJ$1,'Input LwA_XYZ'!BV50:CJ50)))</f>
        <v/>
      </c>
      <c r="S171" s="91" t="str">
        <f>IF($N171="","",IF('Input LwA_XYZ'!S50="","-",'Input LwA_XYZ'!S50))</f>
        <v/>
      </c>
      <c r="T171" s="65" t="str">
        <f>IF($N171="","",_xlfn.XLOOKUP(Tables!$L$122,'Input LwA_XYZ'!$DD$1:$DR$1,'Input LwA_XYZ'!DD50:DR50))</f>
        <v/>
      </c>
    </row>
    <row r="172" spans="14:20" ht="16.5" x14ac:dyDescent="0.3">
      <c r="N172" s="190" t="str">
        <f>IF('Input LwA_XYZ'!A51 = 0, "", 'Input LwA_XYZ'!A51)</f>
        <v/>
      </c>
      <c r="O172" s="189" t="str">
        <f>IF($N172="","",_xlfn.TEXTJOIN(" - ",TRUE,'Input LwA_XYZ'!B51:C51))</f>
        <v/>
      </c>
      <c r="P172" s="64" t="str">
        <f>IF($N172="","",'Input LwA_XYZ'!Q51)</f>
        <v/>
      </c>
      <c r="Q172" s="91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91" t="str">
        <f>IF($N172="","",IF(_xlfn.XLOOKUP(Tables!$L$122,'Input LwA_XYZ'!$BV$1:$CJ$1,'Input LwA_XYZ'!BV51:CJ51)="","-",_xlfn.XLOOKUP(Tables!$L$122,'Input LwA_XYZ'!$BV$1:$CJ$1,'Input LwA_XYZ'!BV51:CJ51)))</f>
        <v/>
      </c>
      <c r="S172" s="91" t="str">
        <f>IF($N172="","",IF('Input LwA_XYZ'!S51="","-",'Input LwA_XYZ'!S51))</f>
        <v/>
      </c>
      <c r="T172" s="65" t="str">
        <f>IF($N172="","",_xlfn.XLOOKUP(Tables!$L$122,'Input LwA_XYZ'!$DD$1:$DR$1,'Input LwA_XYZ'!DD51:DR51))</f>
        <v/>
      </c>
    </row>
    <row r="173" spans="14:20" ht="16.5" x14ac:dyDescent="0.3">
      <c r="N173" s="190" t="str">
        <f>IF('Input LwA_XYZ'!A52 = 0, "", 'Input LwA_XYZ'!A52)</f>
        <v/>
      </c>
      <c r="O173" s="189" t="str">
        <f>IF($N173="","",_xlfn.TEXTJOIN(" - ",TRUE,'Input LwA_XYZ'!B52:C52))</f>
        <v/>
      </c>
      <c r="P173" s="64" t="str">
        <f>IF($N173="","",'Input LwA_XYZ'!Q52)</f>
        <v/>
      </c>
      <c r="Q173" s="91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91" t="str">
        <f>IF($N173="","",IF(_xlfn.XLOOKUP(Tables!$L$122,'Input LwA_XYZ'!$BV$1:$CJ$1,'Input LwA_XYZ'!BV52:CJ52)="","-",_xlfn.XLOOKUP(Tables!$L$122,'Input LwA_XYZ'!$BV$1:$CJ$1,'Input LwA_XYZ'!BV52:CJ52)))</f>
        <v/>
      </c>
      <c r="S173" s="91" t="str">
        <f>IF($N173="","",IF('Input LwA_XYZ'!S52="","-",'Input LwA_XYZ'!S52))</f>
        <v/>
      </c>
      <c r="T173" s="65" t="str">
        <f>IF($N173="","",_xlfn.XLOOKUP(Tables!$L$122,'Input LwA_XYZ'!$DD$1:$DR$1,'Input LwA_XYZ'!DD52:DR52))</f>
        <v/>
      </c>
    </row>
    <row r="174" spans="14:20" ht="16.5" x14ac:dyDescent="0.3">
      <c r="N174" s="190" t="str">
        <f>IF('Input LwA_XYZ'!A53 = 0, "", 'Input LwA_XYZ'!A53)</f>
        <v/>
      </c>
      <c r="O174" s="189" t="str">
        <f>IF($N174="","",_xlfn.TEXTJOIN(" - ",TRUE,'Input LwA_XYZ'!B53:C53))</f>
        <v/>
      </c>
      <c r="P174" s="64" t="str">
        <f>IF($N174="","",'Input LwA_XYZ'!Q53)</f>
        <v/>
      </c>
      <c r="Q174" s="91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91" t="str">
        <f>IF($N174="","",IF(_xlfn.XLOOKUP(Tables!$L$122,'Input LwA_XYZ'!$BV$1:$CJ$1,'Input LwA_XYZ'!BV53:CJ53)="","-",_xlfn.XLOOKUP(Tables!$L$122,'Input LwA_XYZ'!$BV$1:$CJ$1,'Input LwA_XYZ'!BV53:CJ53)))</f>
        <v/>
      </c>
      <c r="S174" s="91" t="str">
        <f>IF($N174="","",IF('Input LwA_XYZ'!S53="","-",'Input LwA_XYZ'!S53))</f>
        <v/>
      </c>
      <c r="T174" s="65" t="str">
        <f>IF($N174="","",_xlfn.XLOOKUP(Tables!$L$122,'Input LwA_XYZ'!$DD$1:$DR$1,'Input LwA_XYZ'!DD53:DR53))</f>
        <v/>
      </c>
    </row>
    <row r="175" spans="14:20" ht="16.5" x14ac:dyDescent="0.3">
      <c r="N175" s="190" t="str">
        <f>IF('Input LwA_XYZ'!A54 = 0, "", 'Input LwA_XYZ'!A54)</f>
        <v/>
      </c>
      <c r="O175" s="189" t="str">
        <f>IF($N175="","",_xlfn.TEXTJOIN(" - ",TRUE,'Input LwA_XYZ'!B54:C54))</f>
        <v/>
      </c>
      <c r="P175" s="64" t="str">
        <f>IF($N175="","",'Input LwA_XYZ'!Q54)</f>
        <v/>
      </c>
      <c r="Q175" s="91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91" t="str">
        <f>IF($N175="","",IF(_xlfn.XLOOKUP(Tables!$L$122,'Input LwA_XYZ'!$BV$1:$CJ$1,'Input LwA_XYZ'!BV54:CJ54)="","-",_xlfn.XLOOKUP(Tables!$L$122,'Input LwA_XYZ'!$BV$1:$CJ$1,'Input LwA_XYZ'!BV54:CJ54)))</f>
        <v/>
      </c>
      <c r="S175" s="91" t="str">
        <f>IF($N175="","",IF('Input LwA_XYZ'!S54="","-",'Input LwA_XYZ'!S54))</f>
        <v/>
      </c>
      <c r="T175" s="65" t="str">
        <f>IF($N175="","",_xlfn.XLOOKUP(Tables!$L$122,'Input LwA_XYZ'!$DD$1:$DR$1,'Input LwA_XYZ'!DD54:DR54))</f>
        <v/>
      </c>
    </row>
    <row r="176" spans="14:20" ht="16.5" x14ac:dyDescent="0.3">
      <c r="N176" s="190" t="str">
        <f>IF('Input LwA_XYZ'!A55 = 0, "", 'Input LwA_XYZ'!A55)</f>
        <v/>
      </c>
      <c r="O176" s="189" t="str">
        <f>IF($N176="","",_xlfn.TEXTJOIN(" - ",TRUE,'Input LwA_XYZ'!B55:C55))</f>
        <v/>
      </c>
      <c r="P176" s="64" t="str">
        <f>IF($N176="","",'Input LwA_XYZ'!Q55)</f>
        <v/>
      </c>
      <c r="Q176" s="91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91" t="str">
        <f>IF($N176="","",IF(_xlfn.XLOOKUP(Tables!$L$122,'Input LwA_XYZ'!$BV$1:$CJ$1,'Input LwA_XYZ'!BV55:CJ55)="","-",_xlfn.XLOOKUP(Tables!$L$122,'Input LwA_XYZ'!$BV$1:$CJ$1,'Input LwA_XYZ'!BV55:CJ55)))</f>
        <v/>
      </c>
      <c r="S176" s="91" t="str">
        <f>IF($N176="","",IF('Input LwA_XYZ'!S55="","-",'Input LwA_XYZ'!S55))</f>
        <v/>
      </c>
      <c r="T176" s="65" t="str">
        <f>IF($N176="","",_xlfn.XLOOKUP(Tables!$L$122,'Input LwA_XYZ'!$DD$1:$DR$1,'Input LwA_XYZ'!DD55:DR55))</f>
        <v/>
      </c>
    </row>
    <row r="177" spans="12:20" ht="16.5" x14ac:dyDescent="0.3">
      <c r="N177" s="190" t="str">
        <f>IF('Input LwA_XYZ'!A56 = 0, "", 'Input LwA_XYZ'!A56)</f>
        <v/>
      </c>
      <c r="O177" s="189" t="str">
        <f>IF($N177="","",_xlfn.TEXTJOIN(" - ",TRUE,'Input LwA_XYZ'!B56:C56))</f>
        <v/>
      </c>
      <c r="P177" s="64" t="str">
        <f>IF($N177="","",'Input LwA_XYZ'!Q56)</f>
        <v/>
      </c>
      <c r="Q177" s="91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91" t="str">
        <f>IF($N177="","",IF(_xlfn.XLOOKUP(Tables!$L$122,'Input LwA_XYZ'!$BV$1:$CJ$1,'Input LwA_XYZ'!BV56:CJ56)="","-",_xlfn.XLOOKUP(Tables!$L$122,'Input LwA_XYZ'!$BV$1:$CJ$1,'Input LwA_XYZ'!BV56:CJ56)))</f>
        <v/>
      </c>
      <c r="S177" s="91" t="str">
        <f>IF($N177="","",IF('Input LwA_XYZ'!S56="","-",'Input LwA_XYZ'!S56))</f>
        <v/>
      </c>
      <c r="T177" s="65" t="str">
        <f>IF($N177="","",_xlfn.XLOOKUP(Tables!$L$122,'Input LwA_XYZ'!$DD$1:$DR$1,'Input LwA_XYZ'!DD56:DR56))</f>
        <v/>
      </c>
    </row>
    <row r="178" spans="12:20" ht="16.5" x14ac:dyDescent="0.3">
      <c r="N178" s="190" t="str">
        <f>IF('Input LwA_XYZ'!A57 = 0, "", 'Input LwA_XYZ'!A57)</f>
        <v/>
      </c>
      <c r="O178" s="189" t="str">
        <f>IF($N178="","",_xlfn.TEXTJOIN(" - ",TRUE,'Input LwA_XYZ'!B57:C57))</f>
        <v/>
      </c>
      <c r="P178" s="64" t="str">
        <f>IF($N178="","",'Input LwA_XYZ'!Q57)</f>
        <v/>
      </c>
      <c r="Q178" s="91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91" t="str">
        <f>IF($N178="","",IF(_xlfn.XLOOKUP(Tables!$L$122,'Input LwA_XYZ'!$BV$1:$CJ$1,'Input LwA_XYZ'!BV57:CJ57)="","-",_xlfn.XLOOKUP(Tables!$L$122,'Input LwA_XYZ'!$BV$1:$CJ$1,'Input LwA_XYZ'!BV57:CJ57)))</f>
        <v/>
      </c>
      <c r="S178" s="91" t="str">
        <f>IF($N178="","",IF('Input LwA_XYZ'!S57="","-",'Input LwA_XYZ'!S57))</f>
        <v/>
      </c>
      <c r="T178" s="65" t="str">
        <f>IF($N178="","",_xlfn.XLOOKUP(Tables!$L$122,'Input LwA_XYZ'!$DD$1:$DR$1,'Input LwA_XYZ'!DD57:DR57))</f>
        <v/>
      </c>
    </row>
    <row r="179" spans="12:20" ht="17.25" thickBot="1" x14ac:dyDescent="0.35">
      <c r="N179" s="191" t="str">
        <f>IF('Input LwA_XYZ'!A58 = 0, "", 'Input LwA_XYZ'!A58)</f>
        <v/>
      </c>
      <c r="O179" s="192" t="str">
        <f>IF($N179="","",_xlfn.TEXTJOIN(" - ",TRUE,'Input LwA_XYZ'!B58:C58))</f>
        <v/>
      </c>
      <c r="P179" s="99" t="str">
        <f>IF($N179="","",'Input LwA_XYZ'!Q58)</f>
        <v/>
      </c>
      <c r="Q179" s="100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91" t="str">
        <f>IF($N179="","",IF(_xlfn.XLOOKUP(Tables!$L$122,'Input LwA_XYZ'!$BV$1:$CJ$1,'Input LwA_XYZ'!BV58:CJ58)="","-",_xlfn.XLOOKUP(Tables!$L$122,'Input LwA_XYZ'!$BV$1:$CJ$1,'Input LwA_XYZ'!BV58:CJ58)))</f>
        <v/>
      </c>
      <c r="S179" s="91" t="str">
        <f>IF($N179="","",IF('Input LwA_XYZ'!S58="","-",'Input LwA_XYZ'!S58))</f>
        <v/>
      </c>
      <c r="T179" s="66" t="str">
        <f>IF($N179="","",_xlfn.XLOOKUP(Tables!$L$122,'Input LwA_XYZ'!$DD$1:$DR$1,'Input LwA_XYZ'!DD58:DR58))</f>
        <v/>
      </c>
    </row>
    <row r="180" spans="12:20" ht="17.25" thickBot="1" x14ac:dyDescent="0.35">
      <c r="N180" s="101" t="s">
        <v>85</v>
      </c>
      <c r="O180" s="102"/>
      <c r="P180" s="102"/>
      <c r="Q180" s="102"/>
      <c r="R180" s="102"/>
      <c r="S180" s="103"/>
      <c r="T180" s="108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9" t="s">
        <v>146</v>
      </c>
      <c r="N182" s="93" t="s">
        <v>79</v>
      </c>
      <c r="O182" s="94" t="s">
        <v>80</v>
      </c>
      <c r="P182" s="95" t="s">
        <v>81</v>
      </c>
      <c r="Q182" s="95" t="s">
        <v>82</v>
      </c>
      <c r="R182" s="96" t="s">
        <v>83</v>
      </c>
      <c r="S182" s="97" t="s">
        <v>84</v>
      </c>
      <c r="T182" s="98" t="s">
        <v>78</v>
      </c>
    </row>
    <row r="183" spans="12:20" ht="16.5" x14ac:dyDescent="0.3">
      <c r="N183" s="188">
        <f>IF('Input LwA_XYZ'!A2 = 0, "", 'Input LwA_XYZ'!A2)</f>
        <v>1</v>
      </c>
      <c r="O183" s="189" t="str">
        <f>IF($N183="","",_xlfn.TEXTJOIN(" - ",TRUE,'Input LwA_XYZ'!B2:C2))</f>
        <v>MAU-R1 - Ducted Inlet</v>
      </c>
      <c r="P183" s="90">
        <f>IF($N183="","",'Input LwA_XYZ'!Q2)</f>
        <v>86</v>
      </c>
      <c r="Q183" s="91" t="str">
        <f>IF($N183="","",-1*ROUND(_xlfn.XLOOKUP(Tables!$L$182,'Input LwA_XYZ'!$AY$1:$BM$1,'Input LwA_XYZ'!AY2:BM2),0) &amp; " / " &amp; ROUND(_xlfn.XLOOKUP(Tables!$L$182,'Input LwA_XYZ'!$AH$1:$AV$1,'Input LwA_XYZ'!AH2:AV2),0) &amp; " ft")</f>
        <v>44 / 216 ft</v>
      </c>
      <c r="R183" s="91">
        <f>IF($N183="","",IF(_xlfn.XLOOKUP(Tables!$L$182,'Input LwA_XYZ'!$BV$1:$CJ$1,'Input LwA_XYZ'!BV2:CJ2)="","-",_xlfn.XLOOKUP(Tables!$L$182,'Input LwA_XYZ'!$BV$1:$CJ$1,'Input LwA_XYZ'!BV2:CJ2)))</f>
        <v>17.399999999999999</v>
      </c>
      <c r="S183" s="91" t="str">
        <f>IF($N183="","",IF('Input LwA_XYZ'!S2="","-",'Input LwA_XYZ'!S2))</f>
        <v>-</v>
      </c>
      <c r="T183" s="92">
        <f>IF($N183="","",_xlfn.XLOOKUP(Tables!$L$182,'Input LwA_XYZ'!$DD$1:$DR$1,'Input LwA_XYZ'!DD2:DR2))</f>
        <v>0</v>
      </c>
    </row>
    <row r="184" spans="12:20" ht="16.5" x14ac:dyDescent="0.3">
      <c r="N184" s="190">
        <f>IF('Input LwA_XYZ'!A3 = 0, "", 'Input LwA_XYZ'!A3)</f>
        <v>1</v>
      </c>
      <c r="O184" s="189" t="str">
        <f>IF($N184="","",_xlfn.TEXTJOIN(" - ",TRUE,'Input LwA_XYZ'!B3:C3))</f>
        <v>ERV-R.1 - Outdoor+Casing+Exhaust</v>
      </c>
      <c r="P184" s="64">
        <f>IF($N184="","",'Input LwA_XYZ'!Q3)</f>
        <v>91</v>
      </c>
      <c r="Q184" s="91" t="str">
        <f>IF($N184="","",-1*ROUND(_xlfn.XLOOKUP(Tables!$L$182,'Input LwA_XYZ'!$AY$1:$BM$1,'Input LwA_XYZ'!AY3:BM3),0) &amp; " / " &amp; ROUND(_xlfn.XLOOKUP(Tables!$L$182,'Input LwA_XYZ'!$AH$1:$AV$1,'Input LwA_XYZ'!AH3:AV3),0) &amp; " ft")</f>
        <v>42 / 170 ft</v>
      </c>
      <c r="R184" s="91">
        <f>IF($N184="","",IF(_xlfn.XLOOKUP(Tables!$L$182,'Input LwA_XYZ'!$BV$1:$CJ$1,'Input LwA_XYZ'!BV3:CJ3)="","-",_xlfn.XLOOKUP(Tables!$L$182,'Input LwA_XYZ'!$BV$1:$CJ$1,'Input LwA_XYZ'!BV3:CJ3)))</f>
        <v>15.3</v>
      </c>
      <c r="S184" s="91" t="str">
        <f>IF($N184="","",IF('Input LwA_XYZ'!S3="","-",'Input LwA_XYZ'!S3))</f>
        <v>-</v>
      </c>
      <c r="T184" s="65">
        <f>IF($N184="","",_xlfn.XLOOKUP(Tables!$L$182,'Input LwA_XYZ'!$DD$1:$DR$1,'Input LwA_XYZ'!DD3:DR3))</f>
        <v>0</v>
      </c>
    </row>
    <row r="185" spans="12:20" ht="16.5" x14ac:dyDescent="0.3">
      <c r="N185" s="190">
        <f>IF('Input LwA_XYZ'!A4 = 0, "", 'Input LwA_XYZ'!A4)</f>
        <v>1</v>
      </c>
      <c r="O185" s="189" t="str">
        <f>IF($N185="","",_xlfn.TEXTJOIN(" - ",TRUE,'Input LwA_XYZ'!B4:C4))</f>
        <v>GEF-R1  - Inlet (plus ductwork lined)</v>
      </c>
      <c r="P185" s="64">
        <f>IF($N185="","",'Input LwA_XYZ'!Q4)</f>
        <v>82</v>
      </c>
      <c r="Q185" s="91" t="str">
        <f>IF($N185="","",-1*ROUND(_xlfn.XLOOKUP(Tables!$L$182,'Input LwA_XYZ'!$AY$1:$BM$1,'Input LwA_XYZ'!AY4:BM4),0) &amp; " / " &amp; ROUND(_xlfn.XLOOKUP(Tables!$L$182,'Input LwA_XYZ'!$AH$1:$AV$1,'Input LwA_XYZ'!AH4:AV4),0) &amp; " ft")</f>
        <v>39 / 122 ft</v>
      </c>
      <c r="R185" s="91">
        <f>IF($N185="","",IF(_xlfn.XLOOKUP(Tables!$L$182,'Input LwA_XYZ'!$BV$1:$CJ$1,'Input LwA_XYZ'!BV4:CJ4)="","-",_xlfn.XLOOKUP(Tables!$L$182,'Input LwA_XYZ'!$BV$1:$CJ$1,'Input LwA_XYZ'!BV4:CJ4)))</f>
        <v>13.8</v>
      </c>
      <c r="S185" s="91">
        <f>IF($N185="","",IF('Input LwA_XYZ'!S4="","-",'Input LwA_XYZ'!S4))</f>
        <v>13</v>
      </c>
      <c r="T185" s="65">
        <f>IF($N185="","",_xlfn.XLOOKUP(Tables!$L$182,'Input LwA_XYZ'!$DD$1:$DR$1,'Input LwA_XYZ'!DD4:DR4))</f>
        <v>0</v>
      </c>
    </row>
    <row r="186" spans="12:20" ht="16.5" x14ac:dyDescent="0.3">
      <c r="N186" s="190">
        <f>IF('Input LwA_XYZ'!A5 = 0, "", 'Input LwA_XYZ'!A5)</f>
        <v>1</v>
      </c>
      <c r="O186" s="189" t="str">
        <f>IF($N186="","",_xlfn.TEXTJOIN(" - ",TRUE,'Input LwA_XYZ'!B5:C5))</f>
        <v>DEF-R1, R2 - Inlet</v>
      </c>
      <c r="P186" s="64">
        <f>IF($N186="","",'Input LwA_XYZ'!Q5)</f>
        <v>70</v>
      </c>
      <c r="Q186" s="91" t="str">
        <f>IF($N186="","",-1*ROUND(_xlfn.XLOOKUP(Tables!$L$182,'Input LwA_XYZ'!$AY$1:$BM$1,'Input LwA_XYZ'!AY5:BM5),0) &amp; " / " &amp; ROUND(_xlfn.XLOOKUP(Tables!$L$182,'Input LwA_XYZ'!$AH$1:$AV$1,'Input LwA_XYZ'!AH5:AV5),0) &amp; " ft")</f>
        <v>41 / 155 ft</v>
      </c>
      <c r="R186" s="91">
        <f>IF($N186="","",IF(_xlfn.XLOOKUP(Tables!$L$182,'Input LwA_XYZ'!$BV$1:$CJ$1,'Input LwA_XYZ'!BV5:CJ5)="","-",_xlfn.XLOOKUP(Tables!$L$182,'Input LwA_XYZ'!$BV$1:$CJ$1,'Input LwA_XYZ'!BV5:CJ5)))</f>
        <v>13.1</v>
      </c>
      <c r="S186" s="91" t="str">
        <f>IF($N186="","",IF('Input LwA_XYZ'!S5="","-",'Input LwA_XYZ'!S5))</f>
        <v>-</v>
      </c>
      <c r="T186" s="65">
        <f>IF($N186="","",_xlfn.XLOOKUP(Tables!$L$182,'Input LwA_XYZ'!$DD$1:$DR$1,'Input LwA_XYZ'!DD5:DR5))</f>
        <v>0</v>
      </c>
    </row>
    <row r="187" spans="12:20" ht="16.5" x14ac:dyDescent="0.3">
      <c r="N187" s="190">
        <f>IF('Input LwA_XYZ'!A6 = 0, "", 'Input LwA_XYZ'!A6)</f>
        <v>1</v>
      </c>
      <c r="O187" s="189" t="str">
        <f>IF($N187="","",_xlfn.TEXTJOIN(" - ",TRUE,'Input LwA_XYZ'!B6:C6))</f>
        <v>KEF-R1  - Inlet</v>
      </c>
      <c r="P187" s="64">
        <f>IF($N187="","",'Input LwA_XYZ'!Q6)</f>
        <v>80</v>
      </c>
      <c r="Q187" s="91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91">
        <f>IF($N187="","",IF(_xlfn.XLOOKUP(Tables!$L$182,'Input LwA_XYZ'!$BV$1:$CJ$1,'Input LwA_XYZ'!BV6:CJ6)="","-",_xlfn.XLOOKUP(Tables!$L$182,'Input LwA_XYZ'!$BV$1:$CJ$1,'Input LwA_XYZ'!BV6:CJ6)))</f>
        <v>15.8</v>
      </c>
      <c r="S187" s="91" t="str">
        <f>IF($N187="","",IF('Input LwA_XYZ'!S6="","-",'Input LwA_XYZ'!S6))</f>
        <v>-</v>
      </c>
      <c r="T187" s="65">
        <f>IF($N187="","",_xlfn.XLOOKUP(Tables!$L$182,'Input LwA_XYZ'!$DD$1:$DR$1,'Input LwA_XYZ'!DD6:DR6))</f>
        <v>18.613771913716061</v>
      </c>
    </row>
    <row r="188" spans="12:20" ht="16.5" x14ac:dyDescent="0.3">
      <c r="N188" s="190">
        <f>IF('Input LwA_XYZ'!A7 = 0, "", 'Input LwA_XYZ'!A7)</f>
        <v>1</v>
      </c>
      <c r="O188" s="189" t="str">
        <f>IF($N188="","",_xlfn.TEXTJOIN(" - ",TRUE,'Input LwA_XYZ'!B7:C7))</f>
        <v>DWEF-R1 - Inlet</v>
      </c>
      <c r="P188" s="64">
        <f>IF($N188="","",'Input LwA_XYZ'!Q7)</f>
        <v>71</v>
      </c>
      <c r="Q188" s="91" t="str">
        <f>IF($N188="","",-1*ROUND(_xlfn.XLOOKUP(Tables!$L$182,'Input LwA_XYZ'!$AY$1:$BM$1,'Input LwA_XYZ'!AY7:BM7),0) &amp; " / " &amp; ROUND(_xlfn.XLOOKUP(Tables!$L$182,'Input LwA_XYZ'!$AH$1:$AV$1,'Input LwA_XYZ'!AH7:AV7),0) &amp; " ft")</f>
        <v>45 / 232 ft</v>
      </c>
      <c r="R188" s="91">
        <f>IF($N188="","",IF(_xlfn.XLOOKUP(Tables!$L$182,'Input LwA_XYZ'!$BV$1:$CJ$1,'Input LwA_XYZ'!BV7:CJ7)="","-",_xlfn.XLOOKUP(Tables!$L$182,'Input LwA_XYZ'!$BV$1:$CJ$1,'Input LwA_XYZ'!BV7:CJ7)))</f>
        <v>15.6</v>
      </c>
      <c r="S188" s="91" t="str">
        <f>IF($N188="","",IF('Input LwA_XYZ'!S7="","-",'Input LwA_XYZ'!S7))</f>
        <v>-</v>
      </c>
      <c r="T188" s="65">
        <f>IF($N188="","",_xlfn.XLOOKUP(Tables!$L$182,'Input LwA_XYZ'!$DD$1:$DR$1,'Input LwA_XYZ'!DD7:DR7))</f>
        <v>0</v>
      </c>
    </row>
    <row r="189" spans="12:20" ht="16.5" x14ac:dyDescent="0.3">
      <c r="N189" s="190">
        <f>IF('Input LwA_XYZ'!A8 = 0, "", 'Input LwA_XYZ'!A8)</f>
        <v>1</v>
      </c>
      <c r="O189" s="189" t="str">
        <f>IF($N189="","",_xlfn.TEXTJOIN(" - ",TRUE,'Input LwA_XYZ'!B8:C8))</f>
        <v>CU-R1 - Radiated</v>
      </c>
      <c r="P189" s="64">
        <f>IF($N189="","",'Input LwA_XYZ'!Q8)</f>
        <v>84</v>
      </c>
      <c r="Q189" s="91" t="str">
        <f>IF($N189="","",-1*ROUND(_xlfn.XLOOKUP(Tables!$L$182,'Input LwA_XYZ'!$AY$1:$BM$1,'Input LwA_XYZ'!AY8:BM8),0) &amp; " / " &amp; ROUND(_xlfn.XLOOKUP(Tables!$L$182,'Input LwA_XYZ'!$AH$1:$AV$1,'Input LwA_XYZ'!AH8:AV8),0) &amp; " ft")</f>
        <v>43 / 179 ft</v>
      </c>
      <c r="R189" s="91">
        <f>IF($N189="","",IF(_xlfn.XLOOKUP(Tables!$L$182,'Input LwA_XYZ'!$BV$1:$CJ$1,'Input LwA_XYZ'!BV8:CJ8)="","-",_xlfn.XLOOKUP(Tables!$L$182,'Input LwA_XYZ'!$BV$1:$CJ$1,'Input LwA_XYZ'!BV8:CJ8)))</f>
        <v>9</v>
      </c>
      <c r="S189" s="91" t="str">
        <f>IF($N189="","",IF('Input LwA_XYZ'!S8="","-",'Input LwA_XYZ'!S8))</f>
        <v>-</v>
      </c>
      <c r="T189" s="65">
        <f>IF($N189="","",_xlfn.XLOOKUP(Tables!$L$182,'Input LwA_XYZ'!$DD$1:$DR$1,'Input LwA_XYZ'!DD8:DR8))</f>
        <v>0</v>
      </c>
    </row>
    <row r="190" spans="12:20" ht="16.5" x14ac:dyDescent="0.3">
      <c r="N190" s="190">
        <f>IF('Input LwA_XYZ'!A9 = 0, "", 'Input LwA_XYZ'!A9)</f>
        <v>1</v>
      </c>
      <c r="O190" s="189" t="str">
        <f>IF($N190="","",_xlfn.TEXTJOIN(" - ",TRUE,'Input LwA_XYZ'!B9:C9))</f>
        <v>CU-R2 - Radiated</v>
      </c>
      <c r="P190" s="64">
        <f>IF($N190="","",'Input LwA_XYZ'!Q9)</f>
        <v>81</v>
      </c>
      <c r="Q190" s="91" t="str">
        <f>IF($N190="","",-1*ROUND(_xlfn.XLOOKUP(Tables!$L$182,'Input LwA_XYZ'!$AY$1:$BM$1,'Input LwA_XYZ'!AY9:BM9),0) &amp; " / " &amp; ROUND(_xlfn.XLOOKUP(Tables!$L$182,'Input LwA_XYZ'!$AH$1:$AV$1,'Input LwA_XYZ'!AH9:AV9),0) &amp; " ft")</f>
        <v>43 / 186 ft</v>
      </c>
      <c r="R190" s="91">
        <f>IF($N190="","",IF(_xlfn.XLOOKUP(Tables!$L$182,'Input LwA_XYZ'!$BV$1:$CJ$1,'Input LwA_XYZ'!BV9:CJ9)="","-",_xlfn.XLOOKUP(Tables!$L$182,'Input LwA_XYZ'!$BV$1:$CJ$1,'Input LwA_XYZ'!BV9:CJ9)))</f>
        <v>10</v>
      </c>
      <c r="S190" s="91" t="str">
        <f>IF($N190="","",IF('Input LwA_XYZ'!S9="","-",'Input LwA_XYZ'!S9))</f>
        <v>-</v>
      </c>
      <c r="T190" s="65">
        <f>IF($N190="","",_xlfn.XLOOKUP(Tables!$L$182,'Input LwA_XYZ'!$DD$1:$DR$1,'Input LwA_XYZ'!DD9:DR9))</f>
        <v>0</v>
      </c>
    </row>
    <row r="191" spans="12:20" ht="16.5" x14ac:dyDescent="0.3">
      <c r="N191" s="190">
        <f>IF('Input LwA_XYZ'!A10 = 0, "", 'Input LwA_XYZ'!A10)</f>
        <v>1</v>
      </c>
      <c r="O191" s="189" t="str">
        <f>IF($N191="","",_xlfn.TEXTJOIN(" - ",TRUE,'Input LwA_XYZ'!B10:C10))</f>
        <v>CU-R4 - Radiated</v>
      </c>
      <c r="P191" s="64">
        <f>IF($N191="","",'Input LwA_XYZ'!Q10)</f>
        <v>73</v>
      </c>
      <c r="Q191" s="91" t="str">
        <f>IF($N191="","",-1*ROUND(_xlfn.XLOOKUP(Tables!$L$182,'Input LwA_XYZ'!$AY$1:$BM$1,'Input LwA_XYZ'!AY10:BM10),0) &amp; " / " &amp; ROUND(_xlfn.XLOOKUP(Tables!$L$182,'Input LwA_XYZ'!$AH$1:$AV$1,'Input LwA_XYZ'!AH10:AV10),0) &amp; " ft")</f>
        <v>42 / 174 ft</v>
      </c>
      <c r="R191" s="91">
        <f>IF($N191="","",IF(_xlfn.XLOOKUP(Tables!$L$182,'Input LwA_XYZ'!$BV$1:$CJ$1,'Input LwA_XYZ'!BV10:CJ10)="","-",_xlfn.XLOOKUP(Tables!$L$182,'Input LwA_XYZ'!$BV$1:$CJ$1,'Input LwA_XYZ'!BV10:CJ10)))</f>
        <v>9</v>
      </c>
      <c r="S191" s="91" t="str">
        <f>IF($N191="","",IF('Input LwA_XYZ'!S10="","-",'Input LwA_XYZ'!S10))</f>
        <v>-</v>
      </c>
      <c r="T191" s="65">
        <f>IF($N191="","",_xlfn.XLOOKUP(Tables!$L$182,'Input LwA_XYZ'!$DD$1:$DR$1,'Input LwA_XYZ'!DD10:DR10))</f>
        <v>0</v>
      </c>
    </row>
    <row r="192" spans="12:20" ht="16.5" x14ac:dyDescent="0.3">
      <c r="N192" s="190">
        <f>IF('Input LwA_XYZ'!A11 = 0, "", 'Input LwA_XYZ'!A11)</f>
        <v>1</v>
      </c>
      <c r="O192" s="189" t="str">
        <f>IF($N192="","",_xlfn.TEXTJOIN(" - ",TRUE,'Input LwA_XYZ'!B11:C11))</f>
        <v>CU-R5 - Radiated</v>
      </c>
      <c r="P192" s="64">
        <f>IF($N192="","",'Input LwA_XYZ'!Q11)</f>
        <v>75</v>
      </c>
      <c r="Q192" s="91" t="str">
        <f>IF($N192="","",-1*ROUND(_xlfn.XLOOKUP(Tables!$L$182,'Input LwA_XYZ'!$AY$1:$BM$1,'Input LwA_XYZ'!AY11:BM11),0) &amp; " / " &amp; ROUND(_xlfn.XLOOKUP(Tables!$L$182,'Input LwA_XYZ'!$AH$1:$AV$1,'Input LwA_XYZ'!AH11:AV11),0) &amp; " ft")</f>
        <v>44 / 206 ft</v>
      </c>
      <c r="R192" s="91">
        <f>IF($N192="","",IF(_xlfn.XLOOKUP(Tables!$L$182,'Input LwA_XYZ'!$BV$1:$CJ$1,'Input LwA_XYZ'!BV11:CJ11)="","-",_xlfn.XLOOKUP(Tables!$L$182,'Input LwA_XYZ'!$BV$1:$CJ$1,'Input LwA_XYZ'!BV11:CJ11)))</f>
        <v>11</v>
      </c>
      <c r="S192" s="91" t="str">
        <f>IF($N192="","",IF('Input LwA_XYZ'!S11="","-",'Input LwA_XYZ'!S11))</f>
        <v>-</v>
      </c>
      <c r="T192" s="65">
        <f>IF($N192="","",_xlfn.XLOOKUP(Tables!$L$182,'Input LwA_XYZ'!$DD$1:$DR$1,'Input LwA_XYZ'!DD11:DR11))</f>
        <v>0</v>
      </c>
    </row>
    <row r="193" spans="14:20" ht="16.5" x14ac:dyDescent="0.3">
      <c r="N193" s="190">
        <f>IF('Input LwA_XYZ'!A12 = 0, "", 'Input LwA_XYZ'!A12)</f>
        <v>4</v>
      </c>
      <c r="O193" s="189" t="str">
        <f>IF($N193="","",_xlfn.TEXTJOIN(" - ",TRUE,'Input LwA_XYZ'!B12:C12))</f>
        <v>RCU-R(4p)1 - Radiated</v>
      </c>
      <c r="P193" s="64">
        <f>IF($N193="","",'Input LwA_XYZ'!Q12)</f>
        <v>79.020599913279625</v>
      </c>
      <c r="Q193" s="91" t="str">
        <f>IF($N193="","",-1*ROUND(_xlfn.XLOOKUP(Tables!$L$182,'Input LwA_XYZ'!$AY$1:$BM$1,'Input LwA_XYZ'!AY12:BM12),0) &amp; " / " &amp; ROUND(_xlfn.XLOOKUP(Tables!$L$182,'Input LwA_XYZ'!$AH$1:$AV$1,'Input LwA_XYZ'!AH12:AV12),0) &amp; " ft")</f>
        <v>38 / 102 ft</v>
      </c>
      <c r="R193" s="91">
        <f>IF($N193="","",IF(_xlfn.XLOOKUP(Tables!$L$182,'Input LwA_XYZ'!$BV$1:$CJ$1,'Input LwA_XYZ'!BV12:CJ12)="","-",_xlfn.XLOOKUP(Tables!$L$182,'Input LwA_XYZ'!$BV$1:$CJ$1,'Input LwA_XYZ'!BV12:CJ12)))</f>
        <v>7</v>
      </c>
      <c r="S193" s="91" t="str">
        <f>IF($N193="","",IF('Input LwA_XYZ'!S12="","-",'Input LwA_XYZ'!S12))</f>
        <v>-</v>
      </c>
      <c r="T193" s="65">
        <f>IF($N193="","",_xlfn.XLOOKUP(Tables!$L$182,'Input LwA_XYZ'!$DD$1:$DR$1,'Input LwA_XYZ'!DD12:DR12))</f>
        <v>0</v>
      </c>
    </row>
    <row r="194" spans="14:20" ht="16.5" x14ac:dyDescent="0.3">
      <c r="N194" s="190">
        <f>IF('Input LwA_XYZ'!A13 = 0, "", 'Input LwA_XYZ'!A13)</f>
        <v>4</v>
      </c>
      <c r="O194" s="189" t="str">
        <f>IF($N194="","",_xlfn.TEXTJOIN(" - ",TRUE,'Input LwA_XYZ'!B13:C13))</f>
        <v>RCU-R(4p)2 - Radiated</v>
      </c>
      <c r="P194" s="64">
        <f>IF($N194="","",'Input LwA_XYZ'!Q13)</f>
        <v>79.020599913279625</v>
      </c>
      <c r="Q194" s="91" t="str">
        <f>IF($N194="","",-1*ROUND(_xlfn.XLOOKUP(Tables!$L$182,'Input LwA_XYZ'!$AY$1:$BM$1,'Input LwA_XYZ'!AY13:BM13),0) &amp; " / " &amp; ROUND(_xlfn.XLOOKUP(Tables!$L$182,'Input LwA_XYZ'!$AH$1:$AV$1,'Input LwA_XYZ'!AH13:AV13),0) &amp; " ft")</f>
        <v>42 / 159 ft</v>
      </c>
      <c r="R194" s="91">
        <f>IF($N194="","",IF(_xlfn.XLOOKUP(Tables!$L$182,'Input LwA_XYZ'!$BV$1:$CJ$1,'Input LwA_XYZ'!BV13:CJ13)="","-",_xlfn.XLOOKUP(Tables!$L$182,'Input LwA_XYZ'!$BV$1:$CJ$1,'Input LwA_XYZ'!BV13:CJ13)))</f>
        <v>8</v>
      </c>
      <c r="S194" s="91" t="str">
        <f>IF($N194="","",IF('Input LwA_XYZ'!S13="","-",'Input LwA_XYZ'!S13))</f>
        <v>-</v>
      </c>
      <c r="T194" s="65">
        <f>IF($N194="","",_xlfn.XLOOKUP(Tables!$L$182,'Input LwA_XYZ'!$DD$1:$DR$1,'Input LwA_XYZ'!DD13:DR13))</f>
        <v>0</v>
      </c>
    </row>
    <row r="195" spans="14:20" ht="16.5" x14ac:dyDescent="0.3">
      <c r="N195" s="190">
        <f>IF('Input LwA_XYZ'!A14 = 0, "", 'Input LwA_XYZ'!A14)</f>
        <v>4</v>
      </c>
      <c r="O195" s="189" t="str">
        <f>IF($N195="","",_xlfn.TEXTJOIN(" - ",TRUE,'Input LwA_XYZ'!B14:C14))</f>
        <v>RCU-R(4p)3 - Radiated</v>
      </c>
      <c r="P195" s="64">
        <f>IF($N195="","",'Input LwA_XYZ'!Q14)</f>
        <v>79.020599913279625</v>
      </c>
      <c r="Q195" s="91" t="str">
        <f>IF($N195="","",-1*ROUND(_xlfn.XLOOKUP(Tables!$L$182,'Input LwA_XYZ'!$AY$1:$BM$1,'Input LwA_XYZ'!AY14:BM14),0) &amp; " / " &amp; ROUND(_xlfn.XLOOKUP(Tables!$L$182,'Input LwA_XYZ'!$AH$1:$AV$1,'Input LwA_XYZ'!AH14:AV14),0) &amp; " ft")</f>
        <v>42 / 165 ft</v>
      </c>
      <c r="R195" s="91">
        <f>IF($N195="","",IF(_xlfn.XLOOKUP(Tables!$L$182,'Input LwA_XYZ'!$BV$1:$CJ$1,'Input LwA_XYZ'!BV14:CJ14)="","-",_xlfn.XLOOKUP(Tables!$L$182,'Input LwA_XYZ'!$BV$1:$CJ$1,'Input LwA_XYZ'!BV14:CJ14)))</f>
        <v>10</v>
      </c>
      <c r="S195" s="91" t="str">
        <f>IF($N195="","",IF('Input LwA_XYZ'!S14="","-",'Input LwA_XYZ'!S14))</f>
        <v>-</v>
      </c>
      <c r="T195" s="65">
        <f>IF($N195="","",_xlfn.XLOOKUP(Tables!$L$182,'Input LwA_XYZ'!$DD$1:$DR$1,'Input LwA_XYZ'!DD14:DR14))</f>
        <v>0</v>
      </c>
    </row>
    <row r="196" spans="14:20" ht="16.5" x14ac:dyDescent="0.3">
      <c r="N196" s="190">
        <f>IF('Input LwA_XYZ'!A15 = 0, "", 'Input LwA_XYZ'!A15)</f>
        <v>2</v>
      </c>
      <c r="O196" s="189" t="str">
        <f>IF($N196="","",_xlfn.TEXTJOIN(" - ",TRUE,'Input LwA_XYZ'!B15:C15))</f>
        <v>RCU-R(2p) - Radiated</v>
      </c>
      <c r="P196" s="64">
        <f>IF($N196="","",'Input LwA_XYZ'!Q15)</f>
        <v>76.010299956639813</v>
      </c>
      <c r="Q196" s="91" t="str">
        <f>IF($N196="","",-1*ROUND(_xlfn.XLOOKUP(Tables!$L$182,'Input LwA_XYZ'!$AY$1:$BM$1,'Input LwA_XYZ'!AY15:BM15),0) &amp; " / " &amp; ROUND(_xlfn.XLOOKUP(Tables!$L$182,'Input LwA_XYZ'!$AH$1:$AV$1,'Input LwA_XYZ'!AH15:AV15),0) &amp; " ft")</f>
        <v>43 / 177 ft</v>
      </c>
      <c r="R196" s="91">
        <f>IF($N196="","",IF(_xlfn.XLOOKUP(Tables!$L$182,'Input LwA_XYZ'!$BV$1:$CJ$1,'Input LwA_XYZ'!BV15:CJ15)="","-",_xlfn.XLOOKUP(Tables!$L$182,'Input LwA_XYZ'!$BV$1:$CJ$1,'Input LwA_XYZ'!BV15:CJ15)))</f>
        <v>11</v>
      </c>
      <c r="S196" s="91" t="str">
        <f>IF($N196="","",IF('Input LwA_XYZ'!S15="","-",'Input LwA_XYZ'!S15))</f>
        <v>-</v>
      </c>
      <c r="T196" s="65">
        <f>IF($N196="","",_xlfn.XLOOKUP(Tables!$L$182,'Input LwA_XYZ'!$DD$1:$DR$1,'Input LwA_XYZ'!DD15:DR15))</f>
        <v>0</v>
      </c>
    </row>
    <row r="197" spans="14:20" ht="16.5" x14ac:dyDescent="0.3">
      <c r="N197" s="190">
        <f>IF('Input LwA_XYZ'!A16 = 0, "", 'Input LwA_XYZ'!A16)</f>
        <v>2</v>
      </c>
      <c r="O197" s="189" t="str">
        <f>IF($N197="","",_xlfn.TEXTJOIN(" - ",TRUE,'Input LwA_XYZ'!B16:C16))</f>
        <v>RCU-R(2p)1 - Radiated</v>
      </c>
      <c r="P197" s="64">
        <f>IF($N197="","",'Input LwA_XYZ'!Q16)</f>
        <v>76.010299956639813</v>
      </c>
      <c r="Q197" s="91" t="str">
        <f>IF($N197="","",-1*ROUND(_xlfn.XLOOKUP(Tables!$L$182,'Input LwA_XYZ'!$AY$1:$BM$1,'Input LwA_XYZ'!AY16:BM16),0) &amp; " / " &amp; ROUND(_xlfn.XLOOKUP(Tables!$L$182,'Input LwA_XYZ'!$AH$1:$AV$1,'Input LwA_XYZ'!AH16:AV16),0) &amp; " ft")</f>
        <v>44 / 204 ft</v>
      </c>
      <c r="R197" s="91">
        <f>IF($N197="","",IF(_xlfn.XLOOKUP(Tables!$L$182,'Input LwA_XYZ'!$BV$1:$CJ$1,'Input LwA_XYZ'!BV16:CJ16)="","-",_xlfn.XLOOKUP(Tables!$L$182,'Input LwA_XYZ'!$BV$1:$CJ$1,'Input LwA_XYZ'!BV16:CJ16)))</f>
        <v>13</v>
      </c>
      <c r="S197" s="91" t="str">
        <f>IF($N197="","",IF('Input LwA_XYZ'!S16="","-",'Input LwA_XYZ'!S16))</f>
        <v>-</v>
      </c>
      <c r="T197" s="65">
        <f>IF($N197="","",_xlfn.XLOOKUP(Tables!$L$182,'Input LwA_XYZ'!$DD$1:$DR$1,'Input LwA_XYZ'!DD16:DR16))</f>
        <v>0</v>
      </c>
    </row>
    <row r="198" spans="14:20" ht="16.5" x14ac:dyDescent="0.3">
      <c r="N198" s="190">
        <f>IF('Input LwA_XYZ'!A17 = 0, "", 'Input LwA_XYZ'!A17)</f>
        <v>4</v>
      </c>
      <c r="O198" s="189" t="str">
        <f>IF($N198="","",_xlfn.TEXTJOIN(" - ",TRUE,'Input LwA_XYZ'!B17:C17))</f>
        <v>RCU-R(4p)4 - Radiated</v>
      </c>
      <c r="P198" s="64">
        <f>IF($N198="","",'Input LwA_XYZ'!Q17)</f>
        <v>79.020599913279625</v>
      </c>
      <c r="Q198" s="91" t="str">
        <f>IF($N198="","",-1*ROUND(_xlfn.XLOOKUP(Tables!$L$182,'Input LwA_XYZ'!$AY$1:$BM$1,'Input LwA_XYZ'!AY17:BM17),0) &amp; " / " &amp; ROUND(_xlfn.XLOOKUP(Tables!$L$182,'Input LwA_XYZ'!$AH$1:$AV$1,'Input LwA_XYZ'!AH17:AV17),0) &amp; " ft")</f>
        <v>45 / 231 ft</v>
      </c>
      <c r="R198" s="91">
        <f>IF($N198="","",IF(_xlfn.XLOOKUP(Tables!$L$182,'Input LwA_XYZ'!$BV$1:$CJ$1,'Input LwA_XYZ'!BV17:CJ17)="","-",_xlfn.XLOOKUP(Tables!$L$182,'Input LwA_XYZ'!$BV$1:$CJ$1,'Input LwA_XYZ'!BV17:CJ17)))</f>
        <v>13</v>
      </c>
      <c r="S198" s="91" t="str">
        <f>IF($N198="","",IF('Input LwA_XYZ'!S17="","-",'Input LwA_XYZ'!S17))</f>
        <v>-</v>
      </c>
      <c r="T198" s="65">
        <f>IF($N198="","",_xlfn.XLOOKUP(Tables!$L$182,'Input LwA_XYZ'!$DD$1:$DR$1,'Input LwA_XYZ'!DD17:DR17))</f>
        <v>0</v>
      </c>
    </row>
    <row r="199" spans="14:20" ht="16.5" x14ac:dyDescent="0.3">
      <c r="N199" s="190">
        <f>IF('Input LwA_XYZ'!A18 = 0, "", 'Input LwA_XYZ'!A18)</f>
        <v>2</v>
      </c>
      <c r="O199" s="189" t="str">
        <f>IF($N199="","",_xlfn.TEXTJOIN(" - ",TRUE,'Input LwA_XYZ'!B18:C18))</f>
        <v>RCU-R(2p)2 - Radiated</v>
      </c>
      <c r="P199" s="64">
        <f>IF($N199="","",'Input LwA_XYZ'!Q18)</f>
        <v>76.010299956639813</v>
      </c>
      <c r="Q199" s="91" t="str">
        <f>IF($N199="","",-1*ROUND(_xlfn.XLOOKUP(Tables!$L$182,'Input LwA_XYZ'!$AY$1:$BM$1,'Input LwA_XYZ'!AY18:BM18),0) &amp; " / " &amp; ROUND(_xlfn.XLOOKUP(Tables!$L$182,'Input LwA_XYZ'!$AH$1:$AV$1,'Input LwA_XYZ'!AH18:AV18),0) &amp; " ft")</f>
        <v>46 / 247 ft</v>
      </c>
      <c r="R199" s="91">
        <f>IF($N199="","",IF(_xlfn.XLOOKUP(Tables!$L$182,'Input LwA_XYZ'!$BV$1:$CJ$1,'Input LwA_XYZ'!BV18:CJ18)="","-",_xlfn.XLOOKUP(Tables!$L$182,'Input LwA_XYZ'!$BV$1:$CJ$1,'Input LwA_XYZ'!BV18:CJ18)))</f>
        <v>12</v>
      </c>
      <c r="S199" s="91" t="str">
        <f>IF($N199="","",IF('Input LwA_XYZ'!S18="","-",'Input LwA_XYZ'!S18))</f>
        <v>-</v>
      </c>
      <c r="T199" s="65">
        <f>IF($N199="","",_xlfn.XLOOKUP(Tables!$L$182,'Input LwA_XYZ'!$DD$1:$DR$1,'Input LwA_XYZ'!DD18:DR18))</f>
        <v>0</v>
      </c>
    </row>
    <row r="200" spans="14:20" ht="16.5" x14ac:dyDescent="0.3">
      <c r="N200" s="190">
        <f>IF('Input LwA_XYZ'!A19 = 0, "", 'Input LwA_XYZ'!A19)</f>
        <v>2</v>
      </c>
      <c r="O200" s="189" t="str">
        <f>IF($N200="","",_xlfn.TEXTJOIN(" - ",TRUE,'Input LwA_XYZ'!B19:C19))</f>
        <v>RCU-R(2p)3 - Radiated</v>
      </c>
      <c r="P200" s="64">
        <f>IF($N200="","",'Input LwA_XYZ'!Q19)</f>
        <v>76.010299956639813</v>
      </c>
      <c r="Q200" s="91" t="str">
        <f>IF($N200="","",-1*ROUND(_xlfn.XLOOKUP(Tables!$L$182,'Input LwA_XYZ'!$AY$1:$BM$1,'Input LwA_XYZ'!AY19:BM19),0) &amp; " / " &amp; ROUND(_xlfn.XLOOKUP(Tables!$L$182,'Input LwA_XYZ'!$AH$1:$AV$1,'Input LwA_XYZ'!AH19:AV19),0) &amp; " ft")</f>
        <v>45 / 234 ft</v>
      </c>
      <c r="R200" s="91">
        <f>IF($N200="","",IF(_xlfn.XLOOKUP(Tables!$L$182,'Input LwA_XYZ'!$BV$1:$CJ$1,'Input LwA_XYZ'!BV19:CJ19)="","-",_xlfn.XLOOKUP(Tables!$L$182,'Input LwA_XYZ'!$BV$1:$CJ$1,'Input LwA_XYZ'!BV19:CJ19)))</f>
        <v>12</v>
      </c>
      <c r="S200" s="91" t="str">
        <f>IF($N200="","",IF('Input LwA_XYZ'!S19="","-",'Input LwA_XYZ'!S19))</f>
        <v>-</v>
      </c>
      <c r="T200" s="65">
        <f>IF($N200="","",_xlfn.XLOOKUP(Tables!$L$182,'Input LwA_XYZ'!$DD$1:$DR$1,'Input LwA_XYZ'!DD19:DR19))</f>
        <v>0</v>
      </c>
    </row>
    <row r="201" spans="14:20" ht="16.5" x14ac:dyDescent="0.3">
      <c r="N201" s="190">
        <f>IF('Input LwA_XYZ'!A20 = 0, "", 'Input LwA_XYZ'!A20)</f>
        <v>2</v>
      </c>
      <c r="O201" s="189" t="str">
        <f>IF($N201="","",_xlfn.TEXTJOIN(" - ",TRUE,'Input LwA_XYZ'!B20:C20))</f>
        <v>RCU-R(2p)4 - Radiated</v>
      </c>
      <c r="P201" s="64">
        <f>IF($N201="","",'Input LwA_XYZ'!Q20)</f>
        <v>76.010299956639813</v>
      </c>
      <c r="Q201" s="91" t="str">
        <f>IF($N201="","",-1*ROUND(_xlfn.XLOOKUP(Tables!$L$182,'Input LwA_XYZ'!$AY$1:$BM$1,'Input LwA_XYZ'!AY20:BM20),0) &amp; " / " &amp; ROUND(_xlfn.XLOOKUP(Tables!$L$182,'Input LwA_XYZ'!$AH$1:$AV$1,'Input LwA_XYZ'!AH20:AV20),0) &amp; " ft")</f>
        <v>44 / 215 ft</v>
      </c>
      <c r="R201" s="91">
        <f>IF($N201="","",IF(_xlfn.XLOOKUP(Tables!$L$182,'Input LwA_XYZ'!$BV$1:$CJ$1,'Input LwA_XYZ'!BV20:CJ20)="","-",_xlfn.XLOOKUP(Tables!$L$182,'Input LwA_XYZ'!$BV$1:$CJ$1,'Input LwA_XYZ'!BV20:CJ20)))</f>
        <v>11</v>
      </c>
      <c r="S201" s="91" t="str">
        <f>IF($N201="","",IF('Input LwA_XYZ'!S20="","-",'Input LwA_XYZ'!S20))</f>
        <v>-</v>
      </c>
      <c r="T201" s="65">
        <f>IF($N201="","",_xlfn.XLOOKUP(Tables!$L$182,'Input LwA_XYZ'!$DD$1:$DR$1,'Input LwA_XYZ'!DD20:DR20))</f>
        <v>0</v>
      </c>
    </row>
    <row r="202" spans="14:20" ht="16.5" x14ac:dyDescent="0.3">
      <c r="N202" s="190">
        <f>IF('Input LwA_XYZ'!A21 = 0, "", 'Input LwA_XYZ'!A21)</f>
        <v>2</v>
      </c>
      <c r="O202" s="189" t="str">
        <f>IF($N202="","",_xlfn.TEXTJOIN(" - ",TRUE,'Input LwA_XYZ'!B21:C21))</f>
        <v>RCU-R(2p)5 - Radiated</v>
      </c>
      <c r="P202" s="64">
        <f>IF($N202="","",'Input LwA_XYZ'!Q21)</f>
        <v>76.010299956639813</v>
      </c>
      <c r="Q202" s="91" t="str">
        <f>IF($N202="","",-1*ROUND(_xlfn.XLOOKUP(Tables!$L$182,'Input LwA_XYZ'!$AY$1:$BM$1,'Input LwA_XYZ'!AY21:BM21),0) &amp; " / " &amp; ROUND(_xlfn.XLOOKUP(Tables!$L$182,'Input LwA_XYZ'!$AH$1:$AV$1,'Input LwA_XYZ'!AH21:AV21),0) &amp; " ft")</f>
        <v>44 / 197 ft</v>
      </c>
      <c r="R202" s="91">
        <f>IF($N202="","",IF(_xlfn.XLOOKUP(Tables!$L$182,'Input LwA_XYZ'!$BV$1:$CJ$1,'Input LwA_XYZ'!BV21:CJ21)="","-",_xlfn.XLOOKUP(Tables!$L$182,'Input LwA_XYZ'!$BV$1:$CJ$1,'Input LwA_XYZ'!BV21:CJ21)))</f>
        <v>11</v>
      </c>
      <c r="S202" s="91" t="str">
        <f>IF($N202="","",IF('Input LwA_XYZ'!S21="","-",'Input LwA_XYZ'!S21))</f>
        <v>-</v>
      </c>
      <c r="T202" s="65">
        <f>IF($N202="","",_xlfn.XLOOKUP(Tables!$L$182,'Input LwA_XYZ'!$DD$1:$DR$1,'Input LwA_XYZ'!DD21:DR21))</f>
        <v>0</v>
      </c>
    </row>
    <row r="203" spans="14:20" ht="16.5" x14ac:dyDescent="0.3">
      <c r="N203" s="190">
        <f>IF('Input LwA_XYZ'!A22 = 0, "", 'Input LwA_XYZ'!A22)</f>
        <v>2</v>
      </c>
      <c r="O203" s="189" t="str">
        <f>IF($N203="","",_xlfn.TEXTJOIN(" - ",TRUE,'Input LwA_XYZ'!B22:C22))</f>
        <v>RCU-R(2p)6 - Radiated</v>
      </c>
      <c r="P203" s="64">
        <f>IF($N203="","",'Input LwA_XYZ'!Q22)</f>
        <v>76.010299956639813</v>
      </c>
      <c r="Q203" s="91" t="str">
        <f>IF($N203="","",-1*ROUND(_xlfn.XLOOKUP(Tables!$L$182,'Input LwA_XYZ'!$AY$1:$BM$1,'Input LwA_XYZ'!AY22:BM22),0) &amp; " / " &amp; ROUND(_xlfn.XLOOKUP(Tables!$L$182,'Input LwA_XYZ'!$AH$1:$AV$1,'Input LwA_XYZ'!AH22:AV22),0) &amp; " ft")</f>
        <v>43 / 180 ft</v>
      </c>
      <c r="R203" s="91">
        <f>IF($N203="","",IF(_xlfn.XLOOKUP(Tables!$L$182,'Input LwA_XYZ'!$BV$1:$CJ$1,'Input LwA_XYZ'!BV22:CJ22)="","-",_xlfn.XLOOKUP(Tables!$L$182,'Input LwA_XYZ'!$BV$1:$CJ$1,'Input LwA_XYZ'!BV22:CJ22)))</f>
        <v>10</v>
      </c>
      <c r="S203" s="91" t="str">
        <f>IF($N203="","",IF('Input LwA_XYZ'!S22="","-",'Input LwA_XYZ'!S22))</f>
        <v>-</v>
      </c>
      <c r="T203" s="65">
        <f>IF($N203="","",_xlfn.XLOOKUP(Tables!$L$182,'Input LwA_XYZ'!$DD$1:$DR$1,'Input LwA_XYZ'!DD22:DR22))</f>
        <v>0</v>
      </c>
    </row>
    <row r="204" spans="14:20" ht="16.5" x14ac:dyDescent="0.3">
      <c r="N204" s="190">
        <f>IF('Input LwA_XYZ'!A23 = 0, "", 'Input LwA_XYZ'!A23)</f>
        <v>1</v>
      </c>
      <c r="O204" s="189" t="str">
        <f>IF($N204="","",_xlfn.TEXTJOIN(" - ",TRUE,'Input LwA_XYZ'!B23:C23))</f>
        <v>BEF-R01  - Inlet</v>
      </c>
      <c r="P204" s="64">
        <f>IF($N204="","",'Input LwA_XYZ'!Q23)</f>
        <v>57</v>
      </c>
      <c r="Q204" s="91" t="str">
        <f>IF($N204="","",-1*ROUND(_xlfn.XLOOKUP(Tables!$L$182,'Input LwA_XYZ'!$AY$1:$BM$1,'Input LwA_XYZ'!AY23:BM23),0) &amp; " / " &amp; ROUND(_xlfn.XLOOKUP(Tables!$L$182,'Input LwA_XYZ'!$AH$1:$AV$1,'Input LwA_XYZ'!AH23:AV23),0) &amp; " ft")</f>
        <v>46 / 267 ft</v>
      </c>
      <c r="R204" s="91">
        <f>IF($N204="","",IF(_xlfn.XLOOKUP(Tables!$L$182,'Input LwA_XYZ'!$BV$1:$CJ$1,'Input LwA_XYZ'!BV23:CJ23)="","-",_xlfn.XLOOKUP(Tables!$L$182,'Input LwA_XYZ'!$BV$1:$CJ$1,'Input LwA_XYZ'!BV23:CJ23)))</f>
        <v>13</v>
      </c>
      <c r="S204" s="91" t="str">
        <f>IF($N204="","",IF('Input LwA_XYZ'!S23="","-",'Input LwA_XYZ'!S23))</f>
        <v>-</v>
      </c>
      <c r="T204" s="65">
        <f>IF($N204="","",_xlfn.XLOOKUP(Tables!$L$182,'Input LwA_XYZ'!$DD$1:$DR$1,'Input LwA_XYZ'!DD23:DR23))</f>
        <v>0</v>
      </c>
    </row>
    <row r="205" spans="14:20" ht="16.5" x14ac:dyDescent="0.3">
      <c r="N205" s="190">
        <f>IF('Input LwA_XYZ'!A24 = 0, "", 'Input LwA_XYZ'!A24)</f>
        <v>1</v>
      </c>
      <c r="O205" s="189" t="str">
        <f>IF($N205="","",_xlfn.TEXTJOIN(" - ",TRUE,'Input LwA_XYZ'!B24:C24))</f>
        <v>BEF-R02  - Inlet</v>
      </c>
      <c r="P205" s="64">
        <f>IF($N205="","",'Input LwA_XYZ'!Q24)</f>
        <v>66</v>
      </c>
      <c r="Q205" s="91" t="str">
        <f>IF($N205="","",-1*ROUND(_xlfn.XLOOKUP(Tables!$L$182,'Input LwA_XYZ'!$AY$1:$BM$1,'Input LwA_XYZ'!AY24:BM24),0) &amp; " / " &amp; ROUND(_xlfn.XLOOKUP(Tables!$L$182,'Input LwA_XYZ'!$AH$1:$AV$1,'Input LwA_XYZ'!AH24:AV24),0) &amp; " ft")</f>
        <v>45 / 244 ft</v>
      </c>
      <c r="R205" s="91">
        <f>IF($N205="","",IF(_xlfn.XLOOKUP(Tables!$L$182,'Input LwA_XYZ'!$BV$1:$CJ$1,'Input LwA_XYZ'!BV24:CJ24)="","-",_xlfn.XLOOKUP(Tables!$L$182,'Input LwA_XYZ'!$BV$1:$CJ$1,'Input LwA_XYZ'!BV24:CJ24)))</f>
        <v>13</v>
      </c>
      <c r="S205" s="91" t="str">
        <f>IF($N205="","",IF('Input LwA_XYZ'!S24="","-",'Input LwA_XYZ'!S24))</f>
        <v>-</v>
      </c>
      <c r="T205" s="65">
        <f>IF($N205="","",_xlfn.XLOOKUP(Tables!$L$182,'Input LwA_XYZ'!$DD$1:$DR$1,'Input LwA_XYZ'!DD24:DR24))</f>
        <v>0</v>
      </c>
    </row>
    <row r="206" spans="14:20" ht="16.5" x14ac:dyDescent="0.3">
      <c r="N206" s="190">
        <f>IF('Input LwA_XYZ'!A25 = 0, "", 'Input LwA_XYZ'!A25)</f>
        <v>1</v>
      </c>
      <c r="O206" s="189" t="str">
        <f>IF($N206="","",_xlfn.TEXTJOIN(" - ",TRUE,'Input LwA_XYZ'!B25:C25))</f>
        <v>BEF-R03  - Inlet</v>
      </c>
      <c r="P206" s="64">
        <f>IF($N206="","",'Input LwA_XYZ'!Q25)</f>
        <v>66</v>
      </c>
      <c r="Q206" s="91" t="str">
        <f>IF($N206="","",-1*ROUND(_xlfn.XLOOKUP(Tables!$L$182,'Input LwA_XYZ'!$AY$1:$BM$1,'Input LwA_XYZ'!AY25:BM25),0) &amp; " / " &amp; ROUND(_xlfn.XLOOKUP(Tables!$L$182,'Input LwA_XYZ'!$AH$1:$AV$1,'Input LwA_XYZ'!AH25:AV25),0) &amp; " ft")</f>
        <v>44 / 215 ft</v>
      </c>
      <c r="R206" s="91">
        <f>IF($N206="","",IF(_xlfn.XLOOKUP(Tables!$L$182,'Input LwA_XYZ'!$BV$1:$CJ$1,'Input LwA_XYZ'!BV25:CJ25)="","-",_xlfn.XLOOKUP(Tables!$L$182,'Input LwA_XYZ'!$BV$1:$CJ$1,'Input LwA_XYZ'!BV25:CJ25)))</f>
        <v>13</v>
      </c>
      <c r="S206" s="91" t="str">
        <f>IF($N206="","",IF('Input LwA_XYZ'!S25="","-",'Input LwA_XYZ'!S25))</f>
        <v>-</v>
      </c>
      <c r="T206" s="65">
        <f>IF($N206="","",_xlfn.XLOOKUP(Tables!$L$182,'Input LwA_XYZ'!$DD$1:$DR$1,'Input LwA_XYZ'!DD25:DR25))</f>
        <v>0</v>
      </c>
    </row>
    <row r="207" spans="14:20" ht="16.5" x14ac:dyDescent="0.3">
      <c r="N207" s="190">
        <f>IF('Input LwA_XYZ'!A26 = 0, "", 'Input LwA_XYZ'!A26)</f>
        <v>1</v>
      </c>
      <c r="O207" s="189" t="str">
        <f>IF($N207="","",_xlfn.TEXTJOIN(" - ",TRUE,'Input LwA_XYZ'!B26:C26))</f>
        <v>BEF-R04  - Inlet</v>
      </c>
      <c r="P207" s="64">
        <f>IF($N207="","",'Input LwA_XYZ'!Q26)</f>
        <v>66</v>
      </c>
      <c r="Q207" s="91" t="str">
        <f>IF($N207="","",-1*ROUND(_xlfn.XLOOKUP(Tables!$L$182,'Input LwA_XYZ'!$AY$1:$BM$1,'Input LwA_XYZ'!AY26:BM26),0) &amp; " / " &amp; ROUND(_xlfn.XLOOKUP(Tables!$L$182,'Input LwA_XYZ'!$AH$1:$AV$1,'Input LwA_XYZ'!AH26:AV26),0) &amp; " ft")</f>
        <v>43 / 190 ft</v>
      </c>
      <c r="R207" s="91">
        <f>IF($N207="","",IF(_xlfn.XLOOKUP(Tables!$L$182,'Input LwA_XYZ'!$BV$1:$CJ$1,'Input LwA_XYZ'!BV26:CJ26)="","-",_xlfn.XLOOKUP(Tables!$L$182,'Input LwA_XYZ'!$BV$1:$CJ$1,'Input LwA_XYZ'!BV26:CJ26)))</f>
        <v>11</v>
      </c>
      <c r="S207" s="91" t="str">
        <f>IF($N207="","",IF('Input LwA_XYZ'!S26="","-",'Input LwA_XYZ'!S26))</f>
        <v>-</v>
      </c>
      <c r="T207" s="65">
        <f>IF($N207="","",_xlfn.XLOOKUP(Tables!$L$182,'Input LwA_XYZ'!$DD$1:$DR$1,'Input LwA_XYZ'!DD26:DR26))</f>
        <v>0</v>
      </c>
    </row>
    <row r="208" spans="14:20" ht="16.5" x14ac:dyDescent="0.3">
      <c r="N208" s="190">
        <f>IF('Input LwA_XYZ'!A27 = 0, "", 'Input LwA_XYZ'!A27)</f>
        <v>1</v>
      </c>
      <c r="O208" s="189" t="str">
        <f>IF($N208="","",_xlfn.TEXTJOIN(" - ",TRUE,'Input LwA_XYZ'!B27:C27))</f>
        <v>BEF-R05  - Inlet</v>
      </c>
      <c r="P208" s="64">
        <f>IF($N208="","",'Input LwA_XYZ'!Q27)</f>
        <v>66</v>
      </c>
      <c r="Q208" s="91" t="str">
        <f>IF($N208="","",-1*ROUND(_xlfn.XLOOKUP(Tables!$L$182,'Input LwA_XYZ'!$AY$1:$BM$1,'Input LwA_XYZ'!AY27:BM27),0) &amp; " / " &amp; ROUND(_xlfn.XLOOKUP(Tables!$L$182,'Input LwA_XYZ'!$AH$1:$AV$1,'Input LwA_XYZ'!AH27:AV27),0) &amp; " ft")</f>
        <v>41 / 155 ft</v>
      </c>
      <c r="R208" s="91">
        <f>IF($N208="","",IF(_xlfn.XLOOKUP(Tables!$L$182,'Input LwA_XYZ'!$BV$1:$CJ$1,'Input LwA_XYZ'!BV27:CJ27)="","-",_xlfn.XLOOKUP(Tables!$L$182,'Input LwA_XYZ'!$BV$1:$CJ$1,'Input LwA_XYZ'!BV27:CJ27)))</f>
        <v>11</v>
      </c>
      <c r="S208" s="91" t="str">
        <f>IF($N208="","",IF('Input LwA_XYZ'!S27="","-",'Input LwA_XYZ'!S27))</f>
        <v>-</v>
      </c>
      <c r="T208" s="65">
        <f>IF($N208="","",_xlfn.XLOOKUP(Tables!$L$182,'Input LwA_XYZ'!$DD$1:$DR$1,'Input LwA_XYZ'!DD27:DR27))</f>
        <v>0</v>
      </c>
    </row>
    <row r="209" spans="14:20" ht="16.5" x14ac:dyDescent="0.3">
      <c r="N209" s="190">
        <f>IF('Input LwA_XYZ'!A28 = 0, "", 'Input LwA_XYZ'!A28)</f>
        <v>1</v>
      </c>
      <c r="O209" s="189" t="str">
        <f>IF($N209="","",_xlfn.TEXTJOIN(" - ",TRUE,'Input LwA_XYZ'!B28:C28))</f>
        <v>BEF-R06  - Inlet</v>
      </c>
      <c r="P209" s="64">
        <f>IF($N209="","",'Input LwA_XYZ'!Q28)</f>
        <v>66</v>
      </c>
      <c r="Q209" s="91" t="str">
        <f>IF($N209="","",-1*ROUND(_xlfn.XLOOKUP(Tables!$L$182,'Input LwA_XYZ'!$AY$1:$BM$1,'Input LwA_XYZ'!AY28:BM28),0) &amp; " / " &amp; ROUND(_xlfn.XLOOKUP(Tables!$L$182,'Input LwA_XYZ'!$AH$1:$AV$1,'Input LwA_XYZ'!AH28:AV28),0) &amp; " ft")</f>
        <v>41 / 154 ft</v>
      </c>
      <c r="R209" s="91">
        <f>IF($N209="","",IF(_xlfn.XLOOKUP(Tables!$L$182,'Input LwA_XYZ'!$BV$1:$CJ$1,'Input LwA_XYZ'!BV28:CJ28)="","-",_xlfn.XLOOKUP(Tables!$L$182,'Input LwA_XYZ'!$BV$1:$CJ$1,'Input LwA_XYZ'!BV28:CJ28)))</f>
        <v>10</v>
      </c>
      <c r="S209" s="91" t="str">
        <f>IF($N209="","",IF('Input LwA_XYZ'!S28="","-",'Input LwA_XYZ'!S28))</f>
        <v>-</v>
      </c>
      <c r="T209" s="65">
        <f>IF($N209="","",_xlfn.XLOOKUP(Tables!$L$182,'Input LwA_XYZ'!$DD$1:$DR$1,'Input LwA_XYZ'!DD28:DR28))</f>
        <v>0</v>
      </c>
    </row>
    <row r="210" spans="14:20" ht="16.5" x14ac:dyDescent="0.3">
      <c r="N210" s="190">
        <f>IF('Input LwA_XYZ'!A29 = 0, "", 'Input LwA_XYZ'!A29)</f>
        <v>1</v>
      </c>
      <c r="O210" s="189" t="str">
        <f>IF($N210="","",_xlfn.TEXTJOIN(" - ",TRUE,'Input LwA_XYZ'!B29:C29))</f>
        <v>BEF-R07  - Inlet</v>
      </c>
      <c r="P210" s="64">
        <f>IF($N210="","",'Input LwA_XYZ'!Q29)</f>
        <v>57</v>
      </c>
      <c r="Q210" s="91" t="str">
        <f>IF($N210="","",-1*ROUND(_xlfn.XLOOKUP(Tables!$L$182,'Input LwA_XYZ'!$AY$1:$BM$1,'Input LwA_XYZ'!AY29:BM29),0) &amp; " / " &amp; ROUND(_xlfn.XLOOKUP(Tables!$L$182,'Input LwA_XYZ'!$AH$1:$AV$1,'Input LwA_XYZ'!AH29:AV29),0) &amp; " ft")</f>
        <v>41 / 155 ft</v>
      </c>
      <c r="R210" s="91">
        <f>IF($N210="","",IF(_xlfn.XLOOKUP(Tables!$L$182,'Input LwA_XYZ'!$BV$1:$CJ$1,'Input LwA_XYZ'!BV29:CJ29)="","-",_xlfn.XLOOKUP(Tables!$L$182,'Input LwA_XYZ'!$BV$1:$CJ$1,'Input LwA_XYZ'!BV29:CJ29)))</f>
        <v>11</v>
      </c>
      <c r="S210" s="91" t="str">
        <f>IF($N210="","",IF('Input LwA_XYZ'!S29="","-",'Input LwA_XYZ'!S29))</f>
        <v>-</v>
      </c>
      <c r="T210" s="65">
        <f>IF($N210="","",_xlfn.XLOOKUP(Tables!$L$182,'Input LwA_XYZ'!$DD$1:$DR$1,'Input LwA_XYZ'!DD29:DR29))</f>
        <v>0</v>
      </c>
    </row>
    <row r="211" spans="14:20" ht="16.5" x14ac:dyDescent="0.3">
      <c r="N211" s="190">
        <f>IF('Input LwA_XYZ'!A30 = 0, "", 'Input LwA_XYZ'!A30)</f>
        <v>1</v>
      </c>
      <c r="O211" s="189" t="str">
        <f>IF($N211="","",_xlfn.TEXTJOIN(" - ",TRUE,'Input LwA_XYZ'!B30:C30))</f>
        <v>BEF-R08  - Inlet</v>
      </c>
      <c r="P211" s="64">
        <f>IF($N211="","",'Input LwA_XYZ'!Q30)</f>
        <v>57</v>
      </c>
      <c r="Q211" s="91" t="str">
        <f>IF($N211="","",-1*ROUND(_xlfn.XLOOKUP(Tables!$L$182,'Input LwA_XYZ'!$AY$1:$BM$1,'Input LwA_XYZ'!AY30:BM30),0) &amp; " / " &amp; ROUND(_xlfn.XLOOKUP(Tables!$L$182,'Input LwA_XYZ'!$AH$1:$AV$1,'Input LwA_XYZ'!AH30:AV30),0) &amp; " ft")</f>
        <v>39 / 115 ft</v>
      </c>
      <c r="R211" s="91">
        <f>IF($N211="","",IF(_xlfn.XLOOKUP(Tables!$L$182,'Input LwA_XYZ'!$BV$1:$CJ$1,'Input LwA_XYZ'!BV30:CJ30)="","-",_xlfn.XLOOKUP(Tables!$L$182,'Input LwA_XYZ'!$BV$1:$CJ$1,'Input LwA_XYZ'!BV30:CJ30)))</f>
        <v>7</v>
      </c>
      <c r="S211" s="91" t="str">
        <f>IF($N211="","",IF('Input LwA_XYZ'!S30="","-",'Input LwA_XYZ'!S30))</f>
        <v>-</v>
      </c>
      <c r="T211" s="65">
        <f>IF($N211="","",_xlfn.XLOOKUP(Tables!$L$182,'Input LwA_XYZ'!$DD$1:$DR$1,'Input LwA_XYZ'!DD30:DR30))</f>
        <v>0</v>
      </c>
    </row>
    <row r="212" spans="14:20" ht="16.5" x14ac:dyDescent="0.3">
      <c r="N212" s="190">
        <f>IF('Input LwA_XYZ'!A31 = 0, "", 'Input LwA_XYZ'!A31)</f>
        <v>1</v>
      </c>
      <c r="O212" s="189" t="str">
        <f>IF($N212="","",_xlfn.TEXTJOIN(" - ",TRUE,'Input LwA_XYZ'!B31:C31))</f>
        <v>BEF-R09  - Inlet</v>
      </c>
      <c r="P212" s="64">
        <f>IF($N212="","",'Input LwA_XYZ'!Q31)</f>
        <v>66</v>
      </c>
      <c r="Q212" s="91" t="str">
        <f>IF($N212="","",-1*ROUND(_xlfn.XLOOKUP(Tables!$L$182,'Input LwA_XYZ'!$AY$1:$BM$1,'Input LwA_XYZ'!AY31:BM31),0) &amp; " / " &amp; ROUND(_xlfn.XLOOKUP(Tables!$L$182,'Input LwA_XYZ'!$AH$1:$AV$1,'Input LwA_XYZ'!AH31:AV31),0) &amp; " ft")</f>
        <v>38 / 108 ft</v>
      </c>
      <c r="R212" s="91">
        <f>IF($N212="","",IF(_xlfn.XLOOKUP(Tables!$L$182,'Input LwA_XYZ'!$BV$1:$CJ$1,'Input LwA_XYZ'!BV31:CJ31)="","-",_xlfn.XLOOKUP(Tables!$L$182,'Input LwA_XYZ'!$BV$1:$CJ$1,'Input LwA_XYZ'!BV31:CJ31)))</f>
        <v>0</v>
      </c>
      <c r="S212" s="91" t="str">
        <f>IF($N212="","",IF('Input LwA_XYZ'!S31="","-",'Input LwA_XYZ'!S31))</f>
        <v>-</v>
      </c>
      <c r="T212" s="65">
        <f>IF($N212="","",_xlfn.XLOOKUP(Tables!$L$182,'Input LwA_XYZ'!$DD$1:$DR$1,'Input LwA_XYZ'!DD31:DR31))</f>
        <v>0</v>
      </c>
    </row>
    <row r="213" spans="14:20" ht="16.5" x14ac:dyDescent="0.3">
      <c r="N213" s="190">
        <f>IF('Input LwA_XYZ'!A32 = 0, "", 'Input LwA_XYZ'!A32)</f>
        <v>1</v>
      </c>
      <c r="O213" s="189" t="str">
        <f>IF($N213="","",_xlfn.TEXTJOIN(" - ",TRUE,'Input LwA_XYZ'!B32:C32))</f>
        <v>BEF-R10  - Inlet</v>
      </c>
      <c r="P213" s="64">
        <f>IF($N213="","",'Input LwA_XYZ'!Q32)</f>
        <v>66</v>
      </c>
      <c r="Q213" s="91" t="str">
        <f>IF($N213="","",-1*ROUND(_xlfn.XLOOKUP(Tables!$L$182,'Input LwA_XYZ'!$AY$1:$BM$1,'Input LwA_XYZ'!AY32:BM32),0) &amp; " / " &amp; ROUND(_xlfn.XLOOKUP(Tables!$L$182,'Input LwA_XYZ'!$AH$1:$AV$1,'Input LwA_XYZ'!AH32:AV32),0) &amp; " ft")</f>
        <v>38 / 108 ft</v>
      </c>
      <c r="R213" s="91">
        <f>IF($N213="","",IF(_xlfn.XLOOKUP(Tables!$L$182,'Input LwA_XYZ'!$BV$1:$CJ$1,'Input LwA_XYZ'!BV32:CJ32)="","-",_xlfn.XLOOKUP(Tables!$L$182,'Input LwA_XYZ'!$BV$1:$CJ$1,'Input LwA_XYZ'!BV32:CJ32)))</f>
        <v>5</v>
      </c>
      <c r="S213" s="91" t="str">
        <f>IF($N213="","",IF('Input LwA_XYZ'!S32="","-",'Input LwA_XYZ'!S32))</f>
        <v>-</v>
      </c>
      <c r="T213" s="65">
        <f>IF($N213="","",_xlfn.XLOOKUP(Tables!$L$182,'Input LwA_XYZ'!$DD$1:$DR$1,'Input LwA_XYZ'!DD32:DR32))</f>
        <v>0</v>
      </c>
    </row>
    <row r="214" spans="14:20" ht="16.5" x14ac:dyDescent="0.3">
      <c r="N214" s="190">
        <f>IF('Input LwA_XYZ'!A33 = 0, "", 'Input LwA_XYZ'!A33)</f>
        <v>1</v>
      </c>
      <c r="O214" s="189" t="str">
        <f>IF($N214="","",_xlfn.TEXTJOIN(" - ",TRUE,'Input LwA_XYZ'!B33:C33))</f>
        <v>BEF-R11  - Inlet</v>
      </c>
      <c r="P214" s="64">
        <f>IF($N214="","",'Input LwA_XYZ'!Q33)</f>
        <v>66</v>
      </c>
      <c r="Q214" s="91" t="str">
        <f>IF($N214="","",-1*ROUND(_xlfn.XLOOKUP(Tables!$L$182,'Input LwA_XYZ'!$AY$1:$BM$1,'Input LwA_XYZ'!AY33:BM33),0) &amp; " / " &amp; ROUND(_xlfn.XLOOKUP(Tables!$L$182,'Input LwA_XYZ'!$AH$1:$AV$1,'Input LwA_XYZ'!AH33:AV33),0) &amp; " ft")</f>
        <v>39 / 119 ft</v>
      </c>
      <c r="R214" s="91">
        <f>IF($N214="","",IF(_xlfn.XLOOKUP(Tables!$L$182,'Input LwA_XYZ'!$BV$1:$CJ$1,'Input LwA_XYZ'!BV33:CJ33)="","-",_xlfn.XLOOKUP(Tables!$L$182,'Input LwA_XYZ'!$BV$1:$CJ$1,'Input LwA_XYZ'!BV33:CJ33)))</f>
        <v>0</v>
      </c>
      <c r="S214" s="91" t="str">
        <f>IF($N214="","",IF('Input LwA_XYZ'!S33="","-",'Input LwA_XYZ'!S33))</f>
        <v>-</v>
      </c>
      <c r="T214" s="65">
        <f>IF($N214="","",_xlfn.XLOOKUP(Tables!$L$182,'Input LwA_XYZ'!$DD$1:$DR$1,'Input LwA_XYZ'!DD33:DR33))</f>
        <v>0</v>
      </c>
    </row>
    <row r="215" spans="14:20" ht="16.5" x14ac:dyDescent="0.3">
      <c r="N215" s="190">
        <f>IF('Input LwA_XYZ'!A34 = 0, "", 'Input LwA_XYZ'!A34)</f>
        <v>1</v>
      </c>
      <c r="O215" s="189" t="str">
        <f>IF($N215="","",_xlfn.TEXTJOIN(" - ",TRUE,'Input LwA_XYZ'!B34:C34))</f>
        <v>BEF-R12  - Inlet</v>
      </c>
      <c r="P215" s="64">
        <f>IF($N215="","",'Input LwA_XYZ'!Q34)</f>
        <v>66</v>
      </c>
      <c r="Q215" s="91" t="str">
        <f>IF($N215="","",-1*ROUND(_xlfn.XLOOKUP(Tables!$L$182,'Input LwA_XYZ'!$AY$1:$BM$1,'Input LwA_XYZ'!AY34:BM34),0) &amp; " / " &amp; ROUND(_xlfn.XLOOKUP(Tables!$L$182,'Input LwA_XYZ'!$AH$1:$AV$1,'Input LwA_XYZ'!AH34:AV34),0) &amp; " ft")</f>
        <v>43 / 190 ft</v>
      </c>
      <c r="R215" s="91">
        <f>IF($N215="","",IF(_xlfn.XLOOKUP(Tables!$L$182,'Input LwA_XYZ'!$BV$1:$CJ$1,'Input LwA_XYZ'!BV34:CJ34)="","-",_xlfn.XLOOKUP(Tables!$L$182,'Input LwA_XYZ'!$BV$1:$CJ$1,'Input LwA_XYZ'!BV34:CJ34)))</f>
        <v>10</v>
      </c>
      <c r="S215" s="91" t="str">
        <f>IF($N215="","",IF('Input LwA_XYZ'!S34="","-",'Input LwA_XYZ'!S34))</f>
        <v>-</v>
      </c>
      <c r="T215" s="65">
        <f>IF($N215="","",_xlfn.XLOOKUP(Tables!$L$182,'Input LwA_XYZ'!$DD$1:$DR$1,'Input LwA_XYZ'!DD34:DR34))</f>
        <v>0</v>
      </c>
    </row>
    <row r="216" spans="14:20" ht="16.5" x14ac:dyDescent="0.3">
      <c r="N216" s="190">
        <f>IF('Input LwA_XYZ'!A35 = 0, "", 'Input LwA_XYZ'!A35)</f>
        <v>1</v>
      </c>
      <c r="O216" s="189" t="str">
        <f>IF($N216="","",_xlfn.TEXTJOIN(" - ",TRUE,'Input LwA_XYZ'!B35:C35))</f>
        <v>BEF-R13  - Inlet</v>
      </c>
      <c r="P216" s="64">
        <f>IF($N216="","",'Input LwA_XYZ'!Q35)</f>
        <v>66</v>
      </c>
      <c r="Q216" s="91" t="str">
        <f>IF($N216="","",-1*ROUND(_xlfn.XLOOKUP(Tables!$L$182,'Input LwA_XYZ'!$AY$1:$BM$1,'Input LwA_XYZ'!AY35:BM35),0) &amp; " / " &amp; ROUND(_xlfn.XLOOKUP(Tables!$L$182,'Input LwA_XYZ'!$AH$1:$AV$1,'Input LwA_XYZ'!AH35:AV35),0) &amp; " ft")</f>
        <v>45 / 226 ft</v>
      </c>
      <c r="R216" s="91">
        <f>IF($N216="","",IF(_xlfn.XLOOKUP(Tables!$L$182,'Input LwA_XYZ'!$BV$1:$CJ$1,'Input LwA_XYZ'!BV35:CJ35)="","-",_xlfn.XLOOKUP(Tables!$L$182,'Input LwA_XYZ'!$BV$1:$CJ$1,'Input LwA_XYZ'!BV35:CJ35)))</f>
        <v>11</v>
      </c>
      <c r="S216" s="91" t="str">
        <f>IF($N216="","",IF('Input LwA_XYZ'!S35="","-",'Input LwA_XYZ'!S35))</f>
        <v>-</v>
      </c>
      <c r="T216" s="65">
        <f>IF($N216="","",_xlfn.XLOOKUP(Tables!$L$182,'Input LwA_XYZ'!$DD$1:$DR$1,'Input LwA_XYZ'!DD35:DR35))</f>
        <v>0</v>
      </c>
    </row>
    <row r="217" spans="14:20" ht="16.5" x14ac:dyDescent="0.3">
      <c r="N217" s="190">
        <f>IF('Input LwA_XYZ'!A36 = 0, "", 'Input LwA_XYZ'!A36)</f>
        <v>1</v>
      </c>
      <c r="O217" s="189" t="str">
        <f>IF($N217="","",_xlfn.TEXTJOIN(" - ",TRUE,'Input LwA_XYZ'!B36:C36))</f>
        <v>BEF-R14  - Inlet</v>
      </c>
      <c r="P217" s="64">
        <f>IF($N217="","",'Input LwA_XYZ'!Q36)</f>
        <v>66</v>
      </c>
      <c r="Q217" s="91" t="str">
        <f>IF($N217="","",-1*ROUND(_xlfn.XLOOKUP(Tables!$L$182,'Input LwA_XYZ'!$AY$1:$BM$1,'Input LwA_XYZ'!AY36:BM36),0) &amp; " / " &amp; ROUND(_xlfn.XLOOKUP(Tables!$L$182,'Input LwA_XYZ'!$AH$1:$AV$1,'Input LwA_XYZ'!AH36:AV36),0) &amp; " ft")</f>
        <v>46 / 251 ft</v>
      </c>
      <c r="R217" s="91">
        <f>IF($N217="","",IF(_xlfn.XLOOKUP(Tables!$L$182,'Input LwA_XYZ'!$BV$1:$CJ$1,'Input LwA_XYZ'!BV36:CJ36)="","-",_xlfn.XLOOKUP(Tables!$L$182,'Input LwA_XYZ'!$BV$1:$CJ$1,'Input LwA_XYZ'!BV36:CJ36)))</f>
        <v>12</v>
      </c>
      <c r="S217" s="91" t="str">
        <f>IF($N217="","",IF('Input LwA_XYZ'!S36="","-",'Input LwA_XYZ'!S36))</f>
        <v>-</v>
      </c>
      <c r="T217" s="65">
        <f>IF($N217="","",_xlfn.XLOOKUP(Tables!$L$182,'Input LwA_XYZ'!$DD$1:$DR$1,'Input LwA_XYZ'!DD36:DR36))</f>
        <v>0</v>
      </c>
    </row>
    <row r="218" spans="14:20" ht="16.5" x14ac:dyDescent="0.3">
      <c r="N218" s="190">
        <f>IF('Input LwA_XYZ'!A37 = 0, "", 'Input LwA_XYZ'!A37)</f>
        <v>1</v>
      </c>
      <c r="O218" s="189" t="str">
        <f>IF($N218="","",_xlfn.TEXTJOIN(" - ",TRUE,'Input LwA_XYZ'!B37:C37))</f>
        <v>BEF-R15  - Inlet</v>
      </c>
      <c r="P218" s="64">
        <f>IF($N218="","",'Input LwA_XYZ'!Q37)</f>
        <v>57</v>
      </c>
      <c r="Q218" s="91" t="str">
        <f>IF($N218="","",-1*ROUND(_xlfn.XLOOKUP(Tables!$L$182,'Input LwA_XYZ'!$AY$1:$BM$1,'Input LwA_XYZ'!AY37:BM37),0) &amp; " / " &amp; ROUND(_xlfn.XLOOKUP(Tables!$L$182,'Input LwA_XYZ'!$AH$1:$AV$1,'Input LwA_XYZ'!AH37:AV37),0) &amp; " ft")</f>
        <v>46 / 275 ft</v>
      </c>
      <c r="R218" s="91">
        <f>IF($N218="","",IF(_xlfn.XLOOKUP(Tables!$L$182,'Input LwA_XYZ'!$BV$1:$CJ$1,'Input LwA_XYZ'!BV37:CJ37)="","-",_xlfn.XLOOKUP(Tables!$L$182,'Input LwA_XYZ'!$BV$1:$CJ$1,'Input LwA_XYZ'!BV37:CJ37)))</f>
        <v>12</v>
      </c>
      <c r="S218" s="91" t="str">
        <f>IF($N218="","",IF('Input LwA_XYZ'!S37="","-",'Input LwA_XYZ'!S37))</f>
        <v>-</v>
      </c>
      <c r="T218" s="65">
        <f>IF($N218="","",_xlfn.XLOOKUP(Tables!$L$182,'Input LwA_XYZ'!$DD$1:$DR$1,'Input LwA_XYZ'!DD37:DR37))</f>
        <v>0</v>
      </c>
    </row>
    <row r="219" spans="14:20" ht="16.5" x14ac:dyDescent="0.3">
      <c r="N219" s="190">
        <f>IF('Input LwA_XYZ'!A38 = 0, "", 'Input LwA_XYZ'!A38)</f>
        <v>1</v>
      </c>
      <c r="O219" s="189" t="str">
        <f>IF($N219="","",_xlfn.TEXTJOIN(" - ",TRUE,'Input LwA_XYZ'!B38:C38))</f>
        <v>BEF-R16  - Inlet</v>
      </c>
      <c r="P219" s="64">
        <f>IF($N219="","",'Input LwA_XYZ'!Q38)</f>
        <v>57</v>
      </c>
      <c r="Q219" s="91" t="str">
        <f>IF($N219="","",-1*ROUND(_xlfn.XLOOKUP(Tables!$L$182,'Input LwA_XYZ'!$AY$1:$BM$1,'Input LwA_XYZ'!AY38:BM38),0) &amp; " / " &amp; ROUND(_xlfn.XLOOKUP(Tables!$L$182,'Input LwA_XYZ'!$AH$1:$AV$1,'Input LwA_XYZ'!AH38:AV38),0) &amp; " ft")</f>
        <v>43 / 179 ft</v>
      </c>
      <c r="R219" s="91">
        <f>IF($N219="","",IF(_xlfn.XLOOKUP(Tables!$L$182,'Input LwA_XYZ'!$BV$1:$CJ$1,'Input LwA_XYZ'!BV38:CJ38)="","-",_xlfn.XLOOKUP(Tables!$L$182,'Input LwA_XYZ'!$BV$1:$CJ$1,'Input LwA_XYZ'!BV38:CJ38)))</f>
        <v>9</v>
      </c>
      <c r="S219" s="91" t="str">
        <f>IF($N219="","",IF('Input LwA_XYZ'!S38="","-",'Input LwA_XYZ'!S38))</f>
        <v>-</v>
      </c>
      <c r="T219" s="65">
        <f>IF($N219="","",_xlfn.XLOOKUP(Tables!$L$182,'Input LwA_XYZ'!$DD$1:$DR$1,'Input LwA_XYZ'!DD38:DR38))</f>
        <v>0</v>
      </c>
    </row>
    <row r="220" spans="14:20" ht="16.5" x14ac:dyDescent="0.3">
      <c r="N220" s="190" t="str">
        <f>IF('Input LwA_XYZ'!A39 = 0, "", 'Input LwA_XYZ'!A39)</f>
        <v/>
      </c>
      <c r="O220" s="189" t="str">
        <f>IF($N220="","",_xlfn.TEXTJOIN(" - ",TRUE,'Input LwA_XYZ'!B39:C39))</f>
        <v/>
      </c>
      <c r="P220" s="64" t="str">
        <f>IF($N220="","",'Input LwA_XYZ'!Q39)</f>
        <v/>
      </c>
      <c r="Q220" s="91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91" t="str">
        <f>IF($N220="","",IF(_xlfn.XLOOKUP(Tables!$L$182,'Input LwA_XYZ'!$BV$1:$CJ$1,'Input LwA_XYZ'!BV39:CJ39)="","-",_xlfn.XLOOKUP(Tables!$L$182,'Input LwA_XYZ'!$BV$1:$CJ$1,'Input LwA_XYZ'!BV39:CJ39)))</f>
        <v/>
      </c>
      <c r="S220" s="91" t="str">
        <f>IF($N220="","",IF('Input LwA_XYZ'!S39="","-",'Input LwA_XYZ'!S39))</f>
        <v/>
      </c>
      <c r="T220" s="65" t="str">
        <f>IF($N220="","",_xlfn.XLOOKUP(Tables!$L$182,'Input LwA_XYZ'!$DD$1:$DR$1,'Input LwA_XYZ'!DD39:DR39))</f>
        <v/>
      </c>
    </row>
    <row r="221" spans="14:20" ht="16.5" x14ac:dyDescent="0.3">
      <c r="N221" s="190" t="str">
        <f>IF('Input LwA_XYZ'!A40 = 0, "", 'Input LwA_XYZ'!A40)</f>
        <v/>
      </c>
      <c r="O221" s="189" t="str">
        <f>IF($N221="","",_xlfn.TEXTJOIN(" - ",TRUE,'Input LwA_XYZ'!B40:C40))</f>
        <v/>
      </c>
      <c r="P221" s="64" t="str">
        <f>IF($N221="","",'Input LwA_XYZ'!Q40)</f>
        <v/>
      </c>
      <c r="Q221" s="91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91" t="str">
        <f>IF($N221="","",IF(_xlfn.XLOOKUP(Tables!$L$182,'Input LwA_XYZ'!$BV$1:$CJ$1,'Input LwA_XYZ'!BV40:CJ40)="","-",_xlfn.XLOOKUP(Tables!$L$182,'Input LwA_XYZ'!$BV$1:$CJ$1,'Input LwA_XYZ'!BV40:CJ40)))</f>
        <v/>
      </c>
      <c r="S221" s="91" t="str">
        <f>IF($N221="","",IF('Input LwA_XYZ'!S40="","-",'Input LwA_XYZ'!S40))</f>
        <v/>
      </c>
      <c r="T221" s="65" t="str">
        <f>IF($N221="","",_xlfn.XLOOKUP(Tables!$L$182,'Input LwA_XYZ'!$DD$1:$DR$1,'Input LwA_XYZ'!DD40:DR40))</f>
        <v/>
      </c>
    </row>
    <row r="222" spans="14:20" ht="16.5" x14ac:dyDescent="0.3">
      <c r="N222" s="190" t="str">
        <f>IF('Input LwA_XYZ'!A41 = 0, "", 'Input LwA_XYZ'!A41)</f>
        <v/>
      </c>
      <c r="O222" s="189" t="str">
        <f>IF($N222="","",_xlfn.TEXTJOIN(" - ",TRUE,'Input LwA_XYZ'!B41:C41))</f>
        <v/>
      </c>
      <c r="P222" s="64" t="str">
        <f>IF($N222="","",'Input LwA_XYZ'!Q41)</f>
        <v/>
      </c>
      <c r="Q222" s="91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91" t="str">
        <f>IF($N222="","",IF(_xlfn.XLOOKUP(Tables!$L$182,'Input LwA_XYZ'!$BV$1:$CJ$1,'Input LwA_XYZ'!BV41:CJ41)="","-",_xlfn.XLOOKUP(Tables!$L$182,'Input LwA_XYZ'!$BV$1:$CJ$1,'Input LwA_XYZ'!BV41:CJ41)))</f>
        <v/>
      </c>
      <c r="S222" s="91" t="str">
        <f>IF($N222="","",IF('Input LwA_XYZ'!S41="","-",'Input LwA_XYZ'!S41))</f>
        <v/>
      </c>
      <c r="T222" s="65" t="str">
        <f>IF($N222="","",_xlfn.XLOOKUP(Tables!$L$182,'Input LwA_XYZ'!$DD$1:$DR$1,'Input LwA_XYZ'!DD41:DR41))</f>
        <v/>
      </c>
    </row>
    <row r="223" spans="14:20" ht="16.5" x14ac:dyDescent="0.3">
      <c r="N223" s="190" t="str">
        <f>IF('Input LwA_XYZ'!A42 = 0, "", 'Input LwA_XYZ'!A42)</f>
        <v/>
      </c>
      <c r="O223" s="189" t="str">
        <f>IF($N223="","",_xlfn.TEXTJOIN(" - ",TRUE,'Input LwA_XYZ'!B42:C42))</f>
        <v/>
      </c>
      <c r="P223" s="64" t="str">
        <f>IF($N223="","",'Input LwA_XYZ'!Q42)</f>
        <v/>
      </c>
      <c r="Q223" s="91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91" t="str">
        <f>IF($N223="","",IF(_xlfn.XLOOKUP(Tables!$L$182,'Input LwA_XYZ'!$BV$1:$CJ$1,'Input LwA_XYZ'!BV42:CJ42)="","-",_xlfn.XLOOKUP(Tables!$L$182,'Input LwA_XYZ'!$BV$1:$CJ$1,'Input LwA_XYZ'!BV42:CJ42)))</f>
        <v/>
      </c>
      <c r="S223" s="91" t="str">
        <f>IF($N223="","",IF('Input LwA_XYZ'!S42="","-",'Input LwA_XYZ'!S42))</f>
        <v/>
      </c>
      <c r="T223" s="65" t="str">
        <f>IF($N223="","",_xlfn.XLOOKUP(Tables!$L$182,'Input LwA_XYZ'!$DD$1:$DR$1,'Input LwA_XYZ'!DD42:DR42))</f>
        <v/>
      </c>
    </row>
    <row r="224" spans="14:20" ht="16.5" x14ac:dyDescent="0.3">
      <c r="N224" s="190" t="str">
        <f>IF('Input LwA_XYZ'!A43 = 0, "", 'Input LwA_XYZ'!A43)</f>
        <v/>
      </c>
      <c r="O224" s="189" t="str">
        <f>IF($N224="","",_xlfn.TEXTJOIN(" - ",TRUE,'Input LwA_XYZ'!B43:C43))</f>
        <v/>
      </c>
      <c r="P224" s="64" t="str">
        <f>IF($N224="","",'Input LwA_XYZ'!Q43)</f>
        <v/>
      </c>
      <c r="Q224" s="91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91" t="str">
        <f>IF($N224="","",IF(_xlfn.XLOOKUP(Tables!$L$182,'Input LwA_XYZ'!$BV$1:$CJ$1,'Input LwA_XYZ'!BV43:CJ43)="","-",_xlfn.XLOOKUP(Tables!$L$182,'Input LwA_XYZ'!$BV$1:$CJ$1,'Input LwA_XYZ'!BV43:CJ43)))</f>
        <v/>
      </c>
      <c r="S224" s="91" t="str">
        <f>IF($N224="","",IF('Input LwA_XYZ'!S43="","-",'Input LwA_XYZ'!S43))</f>
        <v/>
      </c>
      <c r="T224" s="65" t="str">
        <f>IF($N224="","",_xlfn.XLOOKUP(Tables!$L$182,'Input LwA_XYZ'!$DD$1:$DR$1,'Input LwA_XYZ'!DD43:DR43))</f>
        <v/>
      </c>
    </row>
    <row r="225" spans="14:20" ht="16.5" x14ac:dyDescent="0.3">
      <c r="N225" s="190" t="str">
        <f>IF('Input LwA_XYZ'!A44 = 0, "", 'Input LwA_XYZ'!A44)</f>
        <v/>
      </c>
      <c r="O225" s="189" t="str">
        <f>IF($N225="","",_xlfn.TEXTJOIN(" - ",TRUE,'Input LwA_XYZ'!B44:C44))</f>
        <v/>
      </c>
      <c r="P225" s="64" t="str">
        <f>IF($N225="","",'Input LwA_XYZ'!Q44)</f>
        <v/>
      </c>
      <c r="Q225" s="91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91" t="str">
        <f>IF($N225="","",IF(_xlfn.XLOOKUP(Tables!$L$182,'Input LwA_XYZ'!$BV$1:$CJ$1,'Input LwA_XYZ'!BV44:CJ44)="","-",_xlfn.XLOOKUP(Tables!$L$182,'Input LwA_XYZ'!$BV$1:$CJ$1,'Input LwA_XYZ'!BV44:CJ44)))</f>
        <v/>
      </c>
      <c r="S225" s="91" t="str">
        <f>IF($N225="","",IF('Input LwA_XYZ'!S44="","-",'Input LwA_XYZ'!S44))</f>
        <v/>
      </c>
      <c r="T225" s="65" t="str">
        <f>IF($N225="","",_xlfn.XLOOKUP(Tables!$L$182,'Input LwA_XYZ'!$DD$1:$DR$1,'Input LwA_XYZ'!DD44:DR44))</f>
        <v/>
      </c>
    </row>
    <row r="226" spans="14:20" ht="16.5" x14ac:dyDescent="0.3">
      <c r="N226" s="190" t="str">
        <f>IF('Input LwA_XYZ'!A45 = 0, "", 'Input LwA_XYZ'!A45)</f>
        <v/>
      </c>
      <c r="O226" s="189" t="str">
        <f>IF($N226="","",_xlfn.TEXTJOIN(" - ",TRUE,'Input LwA_XYZ'!B45:C45))</f>
        <v/>
      </c>
      <c r="P226" s="64" t="str">
        <f>IF($N226="","",'Input LwA_XYZ'!Q45)</f>
        <v/>
      </c>
      <c r="Q226" s="91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91" t="str">
        <f>IF($N226="","",IF(_xlfn.XLOOKUP(Tables!$L$182,'Input LwA_XYZ'!$BV$1:$CJ$1,'Input LwA_XYZ'!BV45:CJ45)="","-",_xlfn.XLOOKUP(Tables!$L$182,'Input LwA_XYZ'!$BV$1:$CJ$1,'Input LwA_XYZ'!BV45:CJ45)))</f>
        <v/>
      </c>
      <c r="S226" s="91" t="str">
        <f>IF($N226="","",IF('Input LwA_XYZ'!S45="","-",'Input LwA_XYZ'!S45))</f>
        <v/>
      </c>
      <c r="T226" s="65" t="str">
        <f>IF($N226="","",_xlfn.XLOOKUP(Tables!$L$182,'Input LwA_XYZ'!$DD$1:$DR$1,'Input LwA_XYZ'!DD45:DR45))</f>
        <v/>
      </c>
    </row>
    <row r="227" spans="14:20" ht="16.5" x14ac:dyDescent="0.3">
      <c r="N227" s="190" t="str">
        <f>IF('Input LwA_XYZ'!A46 = 0, "", 'Input LwA_XYZ'!A46)</f>
        <v/>
      </c>
      <c r="O227" s="189" t="str">
        <f>IF($N227="","",_xlfn.TEXTJOIN(" - ",TRUE,'Input LwA_XYZ'!B46:C46))</f>
        <v/>
      </c>
      <c r="P227" s="64" t="str">
        <f>IF($N227="","",'Input LwA_XYZ'!Q46)</f>
        <v/>
      </c>
      <c r="Q227" s="91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91" t="str">
        <f>IF($N227="","",IF(_xlfn.XLOOKUP(Tables!$L$182,'Input LwA_XYZ'!$BV$1:$CJ$1,'Input LwA_XYZ'!BV46:CJ46)="","-",_xlfn.XLOOKUP(Tables!$L$182,'Input LwA_XYZ'!$BV$1:$CJ$1,'Input LwA_XYZ'!BV46:CJ46)))</f>
        <v/>
      </c>
      <c r="S227" s="91" t="str">
        <f>IF($N227="","",IF('Input LwA_XYZ'!S46="","-",'Input LwA_XYZ'!S46))</f>
        <v/>
      </c>
      <c r="T227" s="65" t="str">
        <f>IF($N227="","",_xlfn.XLOOKUP(Tables!$L$182,'Input LwA_XYZ'!$DD$1:$DR$1,'Input LwA_XYZ'!DD46:DR46))</f>
        <v/>
      </c>
    </row>
    <row r="228" spans="14:20" ht="16.5" x14ac:dyDescent="0.3">
      <c r="N228" s="190" t="str">
        <f>IF('Input LwA_XYZ'!A47 = 0, "", 'Input LwA_XYZ'!A47)</f>
        <v/>
      </c>
      <c r="O228" s="189" t="str">
        <f>IF($N228="","",_xlfn.TEXTJOIN(" - ",TRUE,'Input LwA_XYZ'!B47:C47))</f>
        <v/>
      </c>
      <c r="P228" s="64" t="str">
        <f>IF($N228="","",'Input LwA_XYZ'!Q47)</f>
        <v/>
      </c>
      <c r="Q228" s="91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91" t="str">
        <f>IF($N228="","",IF(_xlfn.XLOOKUP(Tables!$L$182,'Input LwA_XYZ'!$BV$1:$CJ$1,'Input LwA_XYZ'!BV47:CJ47)="","-",_xlfn.XLOOKUP(Tables!$L$182,'Input LwA_XYZ'!$BV$1:$CJ$1,'Input LwA_XYZ'!BV47:CJ47)))</f>
        <v/>
      </c>
      <c r="S228" s="91" t="str">
        <f>IF($N228="","",IF('Input LwA_XYZ'!S47="","-",'Input LwA_XYZ'!S47))</f>
        <v/>
      </c>
      <c r="T228" s="65" t="str">
        <f>IF($N228="","",_xlfn.XLOOKUP(Tables!$L$182,'Input LwA_XYZ'!$DD$1:$DR$1,'Input LwA_XYZ'!DD47:DR47))</f>
        <v/>
      </c>
    </row>
    <row r="229" spans="14:20" ht="16.5" x14ac:dyDescent="0.3">
      <c r="N229" s="190" t="str">
        <f>IF('Input LwA_XYZ'!A48 = 0, "", 'Input LwA_XYZ'!A48)</f>
        <v/>
      </c>
      <c r="O229" s="189" t="str">
        <f>IF($N229="","",_xlfn.TEXTJOIN(" - ",TRUE,'Input LwA_XYZ'!B48:C48))</f>
        <v/>
      </c>
      <c r="P229" s="64" t="str">
        <f>IF($N229="","",'Input LwA_XYZ'!Q48)</f>
        <v/>
      </c>
      <c r="Q229" s="91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91" t="str">
        <f>IF($N229="","",IF(_xlfn.XLOOKUP(Tables!$L$182,'Input LwA_XYZ'!$BV$1:$CJ$1,'Input LwA_XYZ'!BV48:CJ48)="","-",_xlfn.XLOOKUP(Tables!$L$182,'Input LwA_XYZ'!$BV$1:$CJ$1,'Input LwA_XYZ'!BV48:CJ48)))</f>
        <v/>
      </c>
      <c r="S229" s="91" t="str">
        <f>IF($N229="","",IF('Input LwA_XYZ'!S48="","-",'Input LwA_XYZ'!S48))</f>
        <v/>
      </c>
      <c r="T229" s="65" t="str">
        <f>IF($N229="","",_xlfn.XLOOKUP(Tables!$L$182,'Input LwA_XYZ'!$DD$1:$DR$1,'Input LwA_XYZ'!DD48:DR48))</f>
        <v/>
      </c>
    </row>
    <row r="230" spans="14:20" ht="16.5" x14ac:dyDescent="0.3">
      <c r="N230" s="190" t="str">
        <f>IF('Input LwA_XYZ'!A49 = 0, "", 'Input LwA_XYZ'!A49)</f>
        <v/>
      </c>
      <c r="O230" s="189" t="str">
        <f>IF($N230="","",_xlfn.TEXTJOIN(" - ",TRUE,'Input LwA_XYZ'!B49:C49))</f>
        <v/>
      </c>
      <c r="P230" s="64" t="str">
        <f>IF($N230="","",'Input LwA_XYZ'!Q49)</f>
        <v/>
      </c>
      <c r="Q230" s="91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91" t="str">
        <f>IF($N230="","",IF(_xlfn.XLOOKUP(Tables!$L$182,'Input LwA_XYZ'!$BV$1:$CJ$1,'Input LwA_XYZ'!BV49:CJ49)="","-",_xlfn.XLOOKUP(Tables!$L$182,'Input LwA_XYZ'!$BV$1:$CJ$1,'Input LwA_XYZ'!BV49:CJ49)))</f>
        <v/>
      </c>
      <c r="S230" s="91" t="str">
        <f>IF($N230="","",IF('Input LwA_XYZ'!S49="","-",'Input LwA_XYZ'!S49))</f>
        <v/>
      </c>
      <c r="T230" s="65" t="str">
        <f>IF($N230="","",_xlfn.XLOOKUP(Tables!$L$182,'Input LwA_XYZ'!$DD$1:$DR$1,'Input LwA_XYZ'!DD49:DR49))</f>
        <v/>
      </c>
    </row>
    <row r="231" spans="14:20" ht="16.5" x14ac:dyDescent="0.3">
      <c r="N231" s="190" t="str">
        <f>IF('Input LwA_XYZ'!A50 = 0, "", 'Input LwA_XYZ'!A50)</f>
        <v/>
      </c>
      <c r="O231" s="189" t="str">
        <f>IF($N231="","",_xlfn.TEXTJOIN(" - ",TRUE,'Input LwA_XYZ'!B50:C50))</f>
        <v/>
      </c>
      <c r="P231" s="64" t="str">
        <f>IF($N231="","",'Input LwA_XYZ'!Q50)</f>
        <v/>
      </c>
      <c r="Q231" s="91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91" t="str">
        <f>IF($N231="","",IF(_xlfn.XLOOKUP(Tables!$L$182,'Input LwA_XYZ'!$BV$1:$CJ$1,'Input LwA_XYZ'!BV50:CJ50)="","-",_xlfn.XLOOKUP(Tables!$L$182,'Input LwA_XYZ'!$BV$1:$CJ$1,'Input LwA_XYZ'!BV50:CJ50)))</f>
        <v/>
      </c>
      <c r="S231" s="91" t="str">
        <f>IF($N231="","",IF('Input LwA_XYZ'!S50="","-",'Input LwA_XYZ'!S50))</f>
        <v/>
      </c>
      <c r="T231" s="65" t="str">
        <f>IF($N231="","",_xlfn.XLOOKUP(Tables!$L$182,'Input LwA_XYZ'!$DD$1:$DR$1,'Input LwA_XYZ'!DD50:DR50))</f>
        <v/>
      </c>
    </row>
    <row r="232" spans="14:20" ht="16.5" x14ac:dyDescent="0.3">
      <c r="N232" s="190" t="str">
        <f>IF('Input LwA_XYZ'!A51 = 0, "", 'Input LwA_XYZ'!A51)</f>
        <v/>
      </c>
      <c r="O232" s="189" t="str">
        <f>IF($N232="","",_xlfn.TEXTJOIN(" - ",TRUE,'Input LwA_XYZ'!B51:C51))</f>
        <v/>
      </c>
      <c r="P232" s="64" t="str">
        <f>IF($N232="","",'Input LwA_XYZ'!Q51)</f>
        <v/>
      </c>
      <c r="Q232" s="91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91" t="str">
        <f>IF($N232="","",IF(_xlfn.XLOOKUP(Tables!$L$182,'Input LwA_XYZ'!$BV$1:$CJ$1,'Input LwA_XYZ'!BV51:CJ51)="","-",_xlfn.XLOOKUP(Tables!$L$182,'Input LwA_XYZ'!$BV$1:$CJ$1,'Input LwA_XYZ'!BV51:CJ51)))</f>
        <v/>
      </c>
      <c r="S232" s="91" t="str">
        <f>IF($N232="","",IF('Input LwA_XYZ'!S51="","-",'Input LwA_XYZ'!S51))</f>
        <v/>
      </c>
      <c r="T232" s="65" t="str">
        <f>IF($N232="","",_xlfn.XLOOKUP(Tables!$L$182,'Input LwA_XYZ'!$DD$1:$DR$1,'Input LwA_XYZ'!DD51:DR51))</f>
        <v/>
      </c>
    </row>
    <row r="233" spans="14:20" ht="16.5" x14ac:dyDescent="0.3">
      <c r="N233" s="190" t="str">
        <f>IF('Input LwA_XYZ'!A52 = 0, "", 'Input LwA_XYZ'!A52)</f>
        <v/>
      </c>
      <c r="O233" s="189" t="str">
        <f>IF($N233="","",_xlfn.TEXTJOIN(" - ",TRUE,'Input LwA_XYZ'!B52:C52))</f>
        <v/>
      </c>
      <c r="P233" s="64" t="str">
        <f>IF($N233="","",'Input LwA_XYZ'!Q52)</f>
        <v/>
      </c>
      <c r="Q233" s="91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91" t="str">
        <f>IF($N233="","",IF(_xlfn.XLOOKUP(Tables!$L$182,'Input LwA_XYZ'!$BV$1:$CJ$1,'Input LwA_XYZ'!BV52:CJ52)="","-",_xlfn.XLOOKUP(Tables!$L$182,'Input LwA_XYZ'!$BV$1:$CJ$1,'Input LwA_XYZ'!BV52:CJ52)))</f>
        <v/>
      </c>
      <c r="S233" s="91" t="str">
        <f>IF($N233="","",IF('Input LwA_XYZ'!S52="","-",'Input LwA_XYZ'!S52))</f>
        <v/>
      </c>
      <c r="T233" s="65" t="str">
        <f>IF($N233="","",_xlfn.XLOOKUP(Tables!$L$182,'Input LwA_XYZ'!$DD$1:$DR$1,'Input LwA_XYZ'!DD52:DR52))</f>
        <v/>
      </c>
    </row>
    <row r="234" spans="14:20" ht="16.5" x14ac:dyDescent="0.3">
      <c r="N234" s="190" t="str">
        <f>IF('Input LwA_XYZ'!A53 = 0, "", 'Input LwA_XYZ'!A53)</f>
        <v/>
      </c>
      <c r="O234" s="189" t="str">
        <f>IF($N234="","",_xlfn.TEXTJOIN(" - ",TRUE,'Input LwA_XYZ'!B53:C53))</f>
        <v/>
      </c>
      <c r="P234" s="64" t="str">
        <f>IF($N234="","",'Input LwA_XYZ'!Q53)</f>
        <v/>
      </c>
      <c r="Q234" s="91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91" t="str">
        <f>IF($N234="","",IF(_xlfn.XLOOKUP(Tables!$L$182,'Input LwA_XYZ'!$BV$1:$CJ$1,'Input LwA_XYZ'!BV53:CJ53)="","-",_xlfn.XLOOKUP(Tables!$L$182,'Input LwA_XYZ'!$BV$1:$CJ$1,'Input LwA_XYZ'!BV53:CJ53)))</f>
        <v/>
      </c>
      <c r="S234" s="91" t="str">
        <f>IF($N234="","",IF('Input LwA_XYZ'!S53="","-",'Input LwA_XYZ'!S53))</f>
        <v/>
      </c>
      <c r="T234" s="65" t="str">
        <f>IF($N234="","",_xlfn.XLOOKUP(Tables!$L$182,'Input LwA_XYZ'!$DD$1:$DR$1,'Input LwA_XYZ'!DD53:DR53))</f>
        <v/>
      </c>
    </row>
    <row r="235" spans="14:20" ht="16.5" x14ac:dyDescent="0.3">
      <c r="N235" s="190" t="str">
        <f>IF('Input LwA_XYZ'!A54 = 0, "", 'Input LwA_XYZ'!A54)</f>
        <v/>
      </c>
      <c r="O235" s="189" t="str">
        <f>IF($N235="","",_xlfn.TEXTJOIN(" - ",TRUE,'Input LwA_XYZ'!B54:C54))</f>
        <v/>
      </c>
      <c r="P235" s="64" t="str">
        <f>IF($N235="","",'Input LwA_XYZ'!Q54)</f>
        <v/>
      </c>
      <c r="Q235" s="91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91" t="str">
        <f>IF($N235="","",IF(_xlfn.XLOOKUP(Tables!$L$182,'Input LwA_XYZ'!$BV$1:$CJ$1,'Input LwA_XYZ'!BV54:CJ54)="","-",_xlfn.XLOOKUP(Tables!$L$182,'Input LwA_XYZ'!$BV$1:$CJ$1,'Input LwA_XYZ'!BV54:CJ54)))</f>
        <v/>
      </c>
      <c r="S235" s="91" t="str">
        <f>IF($N235="","",IF('Input LwA_XYZ'!S54="","-",'Input LwA_XYZ'!S54))</f>
        <v/>
      </c>
      <c r="T235" s="65" t="str">
        <f>IF($N235="","",_xlfn.XLOOKUP(Tables!$L$182,'Input LwA_XYZ'!$DD$1:$DR$1,'Input LwA_XYZ'!DD54:DR54))</f>
        <v/>
      </c>
    </row>
    <row r="236" spans="14:20" ht="16.5" x14ac:dyDescent="0.3">
      <c r="N236" s="190" t="str">
        <f>IF('Input LwA_XYZ'!A55 = 0, "", 'Input LwA_XYZ'!A55)</f>
        <v/>
      </c>
      <c r="O236" s="189" t="str">
        <f>IF($N236="","",_xlfn.TEXTJOIN(" - ",TRUE,'Input LwA_XYZ'!B55:C55))</f>
        <v/>
      </c>
      <c r="P236" s="64" t="str">
        <f>IF($N236="","",'Input LwA_XYZ'!Q55)</f>
        <v/>
      </c>
      <c r="Q236" s="91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91" t="str">
        <f>IF($N236="","",IF(_xlfn.XLOOKUP(Tables!$L$182,'Input LwA_XYZ'!$BV$1:$CJ$1,'Input LwA_XYZ'!BV55:CJ55)="","-",_xlfn.XLOOKUP(Tables!$L$182,'Input LwA_XYZ'!$BV$1:$CJ$1,'Input LwA_XYZ'!BV55:CJ55)))</f>
        <v/>
      </c>
      <c r="S236" s="91" t="str">
        <f>IF($N236="","",IF('Input LwA_XYZ'!S55="","-",'Input LwA_XYZ'!S55))</f>
        <v/>
      </c>
      <c r="T236" s="65" t="str">
        <f>IF($N236="","",_xlfn.XLOOKUP(Tables!$L$182,'Input LwA_XYZ'!$DD$1:$DR$1,'Input LwA_XYZ'!DD55:DR55))</f>
        <v/>
      </c>
    </row>
    <row r="237" spans="14:20" ht="16.5" x14ac:dyDescent="0.3">
      <c r="N237" s="190" t="str">
        <f>IF('Input LwA_XYZ'!A56 = 0, "", 'Input LwA_XYZ'!A56)</f>
        <v/>
      </c>
      <c r="O237" s="189" t="str">
        <f>IF($N237="","",_xlfn.TEXTJOIN(" - ",TRUE,'Input LwA_XYZ'!B56:C56))</f>
        <v/>
      </c>
      <c r="P237" s="64" t="str">
        <f>IF($N237="","",'Input LwA_XYZ'!Q56)</f>
        <v/>
      </c>
      <c r="Q237" s="91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91" t="str">
        <f>IF($N237="","",IF(_xlfn.XLOOKUP(Tables!$L$182,'Input LwA_XYZ'!$BV$1:$CJ$1,'Input LwA_XYZ'!BV56:CJ56)="","-",_xlfn.XLOOKUP(Tables!$L$182,'Input LwA_XYZ'!$BV$1:$CJ$1,'Input LwA_XYZ'!BV56:CJ56)))</f>
        <v/>
      </c>
      <c r="S237" s="91" t="str">
        <f>IF($N237="","",IF('Input LwA_XYZ'!S56="","-",'Input LwA_XYZ'!S56))</f>
        <v/>
      </c>
      <c r="T237" s="65" t="str">
        <f>IF($N237="","",_xlfn.XLOOKUP(Tables!$L$182,'Input LwA_XYZ'!$DD$1:$DR$1,'Input LwA_XYZ'!DD56:DR56))</f>
        <v/>
      </c>
    </row>
    <row r="238" spans="14:20" ht="16.5" x14ac:dyDescent="0.3">
      <c r="N238" s="190" t="str">
        <f>IF('Input LwA_XYZ'!A57 = 0, "", 'Input LwA_XYZ'!A57)</f>
        <v/>
      </c>
      <c r="O238" s="189" t="str">
        <f>IF($N238="","",_xlfn.TEXTJOIN(" - ",TRUE,'Input LwA_XYZ'!B57:C57))</f>
        <v/>
      </c>
      <c r="P238" s="64" t="str">
        <f>IF($N238="","",'Input LwA_XYZ'!Q57)</f>
        <v/>
      </c>
      <c r="Q238" s="91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91" t="str">
        <f>IF($N238="","",IF(_xlfn.XLOOKUP(Tables!$L$182,'Input LwA_XYZ'!$BV$1:$CJ$1,'Input LwA_XYZ'!BV57:CJ57)="","-",_xlfn.XLOOKUP(Tables!$L$182,'Input LwA_XYZ'!$BV$1:$CJ$1,'Input LwA_XYZ'!BV57:CJ57)))</f>
        <v/>
      </c>
      <c r="S238" s="91" t="str">
        <f>IF($N238="","",IF('Input LwA_XYZ'!S57="","-",'Input LwA_XYZ'!S57))</f>
        <v/>
      </c>
      <c r="T238" s="65" t="str">
        <f>IF($N238="","",_xlfn.XLOOKUP(Tables!$L$182,'Input LwA_XYZ'!$DD$1:$DR$1,'Input LwA_XYZ'!DD57:DR57))</f>
        <v/>
      </c>
    </row>
    <row r="239" spans="14:20" ht="17.25" thickBot="1" x14ac:dyDescent="0.35">
      <c r="N239" s="191" t="str">
        <f>IF('Input LwA_XYZ'!A58 = 0, "", 'Input LwA_XYZ'!A58)</f>
        <v/>
      </c>
      <c r="O239" s="192" t="str">
        <f>IF($N239="","",_xlfn.TEXTJOIN(" - ",TRUE,'Input LwA_XYZ'!B58:C58))</f>
        <v/>
      </c>
      <c r="P239" s="99" t="str">
        <f>IF($N239="","",'Input LwA_XYZ'!Q58)</f>
        <v/>
      </c>
      <c r="Q239" s="100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91" t="str">
        <f>IF($N239="","",IF(_xlfn.XLOOKUP(Tables!$L$182,'Input LwA_XYZ'!$BV$1:$CJ$1,'Input LwA_XYZ'!BV58:CJ58)="","-",_xlfn.XLOOKUP(Tables!$L$182,'Input LwA_XYZ'!$BV$1:$CJ$1,'Input LwA_XYZ'!BV58:CJ58)))</f>
        <v/>
      </c>
      <c r="S239" s="91" t="str">
        <f>IF($N239="","",IF('Input LwA_XYZ'!S58="","-",'Input LwA_XYZ'!S58))</f>
        <v/>
      </c>
      <c r="T239" s="66" t="str">
        <f>IF($N239="","",_xlfn.XLOOKUP(Tables!$L$182,'Input LwA_XYZ'!$DD$1:$DR$1,'Input LwA_XYZ'!DD58:DR58))</f>
        <v/>
      </c>
    </row>
    <row r="240" spans="14:20" ht="17.25" thickBot="1" x14ac:dyDescent="0.35">
      <c r="N240" s="101" t="s">
        <v>85</v>
      </c>
      <c r="O240" s="102"/>
      <c r="P240" s="102"/>
      <c r="Q240" s="102"/>
      <c r="R240" s="102"/>
      <c r="S240" s="103"/>
      <c r="T240" s="108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9" t="s">
        <v>147</v>
      </c>
      <c r="N242" s="93" t="s">
        <v>79</v>
      </c>
      <c r="O242" s="94" t="s">
        <v>80</v>
      </c>
      <c r="P242" s="95" t="s">
        <v>81</v>
      </c>
      <c r="Q242" s="95" t="s">
        <v>82</v>
      </c>
      <c r="R242" s="96" t="s">
        <v>83</v>
      </c>
      <c r="S242" s="97" t="s">
        <v>84</v>
      </c>
      <c r="T242" s="98" t="s">
        <v>78</v>
      </c>
    </row>
    <row r="243" spans="12:20" ht="16.5" x14ac:dyDescent="0.3">
      <c r="N243" s="188">
        <f>IF('Input LwA_XYZ'!A2 = 0, "", 'Input LwA_XYZ'!A2)</f>
        <v>1</v>
      </c>
      <c r="O243" s="189" t="str">
        <f>IF($N243="","",_xlfn.TEXTJOIN(" - ",TRUE,'Input LwA_XYZ'!B2:C2))</f>
        <v>MAU-R1 - Ducted Inlet</v>
      </c>
      <c r="P243" s="90">
        <f>IF($N243="","",'Input LwA_XYZ'!Q2)</f>
        <v>86</v>
      </c>
      <c r="Q243" s="91" t="str">
        <f>IF($N243="","",-1*ROUND(_xlfn.XLOOKUP(Tables!$L$242,'Input LwA_XYZ'!$AY$1:$BM$1,'Input LwA_XYZ'!AY2:BM2),0) &amp; " / " &amp; ROUND(_xlfn.XLOOKUP(Tables!$L$242,'Input LwA_XYZ'!$AH$1:$AV$1,'Input LwA_XYZ'!AH2:AV2),0) &amp; " ft")</f>
        <v>41 / 148 ft</v>
      </c>
      <c r="R243" s="91">
        <f>IF($N243="","",IF(_xlfn.XLOOKUP(Tables!$L$242,'Input LwA_XYZ'!$BV$1:$CJ$1,'Input LwA_XYZ'!BV2:CJ2)="","-",_xlfn.XLOOKUP(Tables!$L$242,'Input LwA_XYZ'!$BV$1:$CJ$1,'Input LwA_XYZ'!BV2:CJ2)))</f>
        <v>14.3</v>
      </c>
      <c r="S243" s="91" t="str">
        <f>IF($N243="","",IF('Input LwA_XYZ'!S2="","-",'Input LwA_XYZ'!S2))</f>
        <v>-</v>
      </c>
      <c r="T243" s="92">
        <f>IF($N243="","",_xlfn.XLOOKUP(Tables!$L$242,'Input LwA_XYZ'!$DD$1:$DR$1,'Input LwA_XYZ'!DD2:DR2))</f>
        <v>0</v>
      </c>
    </row>
    <row r="244" spans="12:20" ht="16.5" x14ac:dyDescent="0.3">
      <c r="N244" s="190">
        <f>IF('Input LwA_XYZ'!A3 = 0, "", 'Input LwA_XYZ'!A3)</f>
        <v>1</v>
      </c>
      <c r="O244" s="189" t="str">
        <f>IF($N244="","",_xlfn.TEXTJOIN(" - ",TRUE,'Input LwA_XYZ'!B3:C3))</f>
        <v>ERV-R.1 - Outdoor+Casing+Exhaust</v>
      </c>
      <c r="P244" s="64">
        <f>IF($N244="","",'Input LwA_XYZ'!Q3)</f>
        <v>91</v>
      </c>
      <c r="Q244" s="91" t="str">
        <f>IF($N244="","",-1*ROUND(_xlfn.XLOOKUP(Tables!$L$242,'Input LwA_XYZ'!$AY$1:$BM$1,'Input LwA_XYZ'!AY3:BM3),0) &amp; " / " &amp; ROUND(_xlfn.XLOOKUP(Tables!$L$242,'Input LwA_XYZ'!$AH$1:$AV$1,'Input LwA_XYZ'!AH3:AV3),0) &amp; " ft")</f>
        <v>42 / 170 ft</v>
      </c>
      <c r="R244" s="91">
        <f>IF($N244="","",IF(_xlfn.XLOOKUP(Tables!$L$242,'Input LwA_XYZ'!$BV$1:$CJ$1,'Input LwA_XYZ'!BV3:CJ3)="","-",_xlfn.XLOOKUP(Tables!$L$242,'Input LwA_XYZ'!$BV$1:$CJ$1,'Input LwA_XYZ'!BV3:CJ3)))</f>
        <v>12.9</v>
      </c>
      <c r="S244" s="91" t="str">
        <f>IF($N244="","",IF('Input LwA_XYZ'!S3="","-",'Input LwA_XYZ'!S3))</f>
        <v>-</v>
      </c>
      <c r="T244" s="65">
        <f>IF($N244="","",_xlfn.XLOOKUP(Tables!$L$242,'Input LwA_XYZ'!$DD$1:$DR$1,'Input LwA_XYZ'!DD3:DR3))</f>
        <v>0</v>
      </c>
    </row>
    <row r="245" spans="12:20" ht="16.5" x14ac:dyDescent="0.3">
      <c r="N245" s="190">
        <f>IF('Input LwA_XYZ'!A4 = 0, "", 'Input LwA_XYZ'!A4)</f>
        <v>1</v>
      </c>
      <c r="O245" s="189" t="str">
        <f>IF($N245="","",_xlfn.TEXTJOIN(" - ",TRUE,'Input LwA_XYZ'!B4:C4))</f>
        <v>GEF-R1  - Inlet (plus ductwork lined)</v>
      </c>
      <c r="P245" s="64">
        <f>IF($N245="","",'Input LwA_XYZ'!Q4)</f>
        <v>82</v>
      </c>
      <c r="Q245" s="91" t="str">
        <f>IF($N245="","",-1*ROUND(_xlfn.XLOOKUP(Tables!$L$242,'Input LwA_XYZ'!$AY$1:$BM$1,'Input LwA_XYZ'!AY4:BM4),0) &amp; " / " &amp; ROUND(_xlfn.XLOOKUP(Tables!$L$242,'Input LwA_XYZ'!$AH$1:$AV$1,'Input LwA_XYZ'!AH4:AV4),0) &amp; " ft")</f>
        <v>46 / 266 ft</v>
      </c>
      <c r="R245" s="91">
        <f>IF($N245="","",IF(_xlfn.XLOOKUP(Tables!$L$242,'Input LwA_XYZ'!$BV$1:$CJ$1,'Input LwA_XYZ'!BV4:CJ4)="","-",_xlfn.XLOOKUP(Tables!$L$242,'Input LwA_XYZ'!$BV$1:$CJ$1,'Input LwA_XYZ'!BV4:CJ4)))</f>
        <v>15</v>
      </c>
      <c r="S245" s="91">
        <f>IF($N245="","",IF('Input LwA_XYZ'!S4="","-",'Input LwA_XYZ'!S4))</f>
        <v>13</v>
      </c>
      <c r="T245" s="65">
        <f>IF($N245="","",_xlfn.XLOOKUP(Tables!$L$242,'Input LwA_XYZ'!$DD$1:$DR$1,'Input LwA_XYZ'!DD4:DR4))</f>
        <v>0</v>
      </c>
    </row>
    <row r="246" spans="12:20" ht="16.5" x14ac:dyDescent="0.3">
      <c r="N246" s="190">
        <f>IF('Input LwA_XYZ'!A5 = 0, "", 'Input LwA_XYZ'!A5)</f>
        <v>1</v>
      </c>
      <c r="O246" s="189" t="str">
        <f>IF($N246="","",_xlfn.TEXTJOIN(" - ",TRUE,'Input LwA_XYZ'!B5:C5))</f>
        <v>DEF-R1, R2 - Inlet</v>
      </c>
      <c r="P246" s="64">
        <f>IF($N246="","",'Input LwA_XYZ'!Q5)</f>
        <v>70</v>
      </c>
      <c r="Q246" s="91" t="str">
        <f>IF($N246="","",-1*ROUND(_xlfn.XLOOKUP(Tables!$L$242,'Input LwA_XYZ'!$AY$1:$BM$1,'Input LwA_XYZ'!AY5:BM5),0) &amp; " / " &amp; ROUND(_xlfn.XLOOKUP(Tables!$L$242,'Input LwA_XYZ'!$AH$1:$AV$1,'Input LwA_XYZ'!AH5:AV5),0) &amp; " ft")</f>
        <v>43 / 183 ft</v>
      </c>
      <c r="R246" s="91">
        <f>IF($N246="","",IF(_xlfn.XLOOKUP(Tables!$L$242,'Input LwA_XYZ'!$BV$1:$CJ$1,'Input LwA_XYZ'!BV5:CJ5)="","-",_xlfn.XLOOKUP(Tables!$L$242,'Input LwA_XYZ'!$BV$1:$CJ$1,'Input LwA_XYZ'!BV5:CJ5)))</f>
        <v>11.6</v>
      </c>
      <c r="S246" s="91" t="str">
        <f>IF($N246="","",IF('Input LwA_XYZ'!S5="","-",'Input LwA_XYZ'!S5))</f>
        <v>-</v>
      </c>
      <c r="T246" s="65">
        <f>IF($N246="","",_xlfn.XLOOKUP(Tables!$L$242,'Input LwA_XYZ'!$DD$1:$DR$1,'Input LwA_XYZ'!DD5:DR5))</f>
        <v>0</v>
      </c>
    </row>
    <row r="247" spans="12:20" ht="16.5" x14ac:dyDescent="0.3">
      <c r="N247" s="190">
        <f>IF('Input LwA_XYZ'!A6 = 0, "", 'Input LwA_XYZ'!A6)</f>
        <v>1</v>
      </c>
      <c r="O247" s="189" t="str">
        <f>IF($N247="","",_xlfn.TEXTJOIN(" - ",TRUE,'Input LwA_XYZ'!B6:C6))</f>
        <v>KEF-R1  - Inlet</v>
      </c>
      <c r="P247" s="64">
        <f>IF($N247="","",'Input LwA_XYZ'!Q6)</f>
        <v>80</v>
      </c>
      <c r="Q247" s="91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91">
        <f>IF($N247="","",IF(_xlfn.XLOOKUP(Tables!$L$242,'Input LwA_XYZ'!$BV$1:$CJ$1,'Input LwA_XYZ'!BV6:CJ6)="","-",_xlfn.XLOOKUP(Tables!$L$242,'Input LwA_XYZ'!$BV$1:$CJ$1,'Input LwA_XYZ'!BV6:CJ6)))</f>
        <v>9</v>
      </c>
      <c r="S247" s="91" t="str">
        <f>IF($N247="","",IF('Input LwA_XYZ'!S6="","-",'Input LwA_XYZ'!S6))</f>
        <v>-</v>
      </c>
      <c r="T247" s="65">
        <f>IF($N247="","",_xlfn.XLOOKUP(Tables!$L$242,'Input LwA_XYZ'!$DD$1:$DR$1,'Input LwA_XYZ'!DD6:DR6))</f>
        <v>30.973202001732659</v>
      </c>
    </row>
    <row r="248" spans="12:20" ht="16.5" x14ac:dyDescent="0.3">
      <c r="N248" s="190">
        <f>IF('Input LwA_XYZ'!A7 = 0, "", 'Input LwA_XYZ'!A7)</f>
        <v>1</v>
      </c>
      <c r="O248" s="189" t="str">
        <f>IF($N248="","",_xlfn.TEXTJOIN(" - ",TRUE,'Input LwA_XYZ'!B7:C7))</f>
        <v>DWEF-R1 - Inlet</v>
      </c>
      <c r="P248" s="64">
        <f>IF($N248="","",'Input LwA_XYZ'!Q7)</f>
        <v>71</v>
      </c>
      <c r="Q248" s="91" t="str">
        <f>IF($N248="","",-1*ROUND(_xlfn.XLOOKUP(Tables!$L$242,'Input LwA_XYZ'!$AY$1:$BM$1,'Input LwA_XYZ'!AY7:BM7),0) &amp; " / " &amp; ROUND(_xlfn.XLOOKUP(Tables!$L$242,'Input LwA_XYZ'!$AH$1:$AV$1,'Input LwA_XYZ'!AH7:AV7),0) &amp; " ft")</f>
        <v>40 / 138 ft</v>
      </c>
      <c r="R248" s="91">
        <f>IF($N248="","",IF(_xlfn.XLOOKUP(Tables!$L$242,'Input LwA_XYZ'!$BV$1:$CJ$1,'Input LwA_XYZ'!BV7:CJ7)="","-",_xlfn.XLOOKUP(Tables!$L$242,'Input LwA_XYZ'!$BV$1:$CJ$1,'Input LwA_XYZ'!BV7:CJ7)))</f>
        <v>12.6</v>
      </c>
      <c r="S248" s="91" t="str">
        <f>IF($N248="","",IF('Input LwA_XYZ'!S7="","-",'Input LwA_XYZ'!S7))</f>
        <v>-</v>
      </c>
      <c r="T248" s="65">
        <f>IF($N248="","",_xlfn.XLOOKUP(Tables!$L$242,'Input LwA_XYZ'!$DD$1:$DR$1,'Input LwA_XYZ'!DD7:DR7))</f>
        <v>0</v>
      </c>
    </row>
    <row r="249" spans="12:20" ht="16.5" x14ac:dyDescent="0.3">
      <c r="N249" s="190">
        <f>IF('Input LwA_XYZ'!A8 = 0, "", 'Input LwA_XYZ'!A8)</f>
        <v>1</v>
      </c>
      <c r="O249" s="189" t="str">
        <f>IF($N249="","",_xlfn.TEXTJOIN(" - ",TRUE,'Input LwA_XYZ'!B8:C8))</f>
        <v>CU-R1 - Radiated</v>
      </c>
      <c r="P249" s="64">
        <f>IF($N249="","",'Input LwA_XYZ'!Q8)</f>
        <v>84</v>
      </c>
      <c r="Q249" s="91" t="str">
        <f>IF($N249="","",-1*ROUND(_xlfn.XLOOKUP(Tables!$L$242,'Input LwA_XYZ'!$AY$1:$BM$1,'Input LwA_XYZ'!AY8:BM8),0) &amp; " / " &amp; ROUND(_xlfn.XLOOKUP(Tables!$L$242,'Input LwA_XYZ'!$AH$1:$AV$1,'Input LwA_XYZ'!AH8:AV8),0) &amp; " ft")</f>
        <v>42 / 168 ft</v>
      </c>
      <c r="R249" s="91">
        <f>IF($N249="","",IF(_xlfn.XLOOKUP(Tables!$L$242,'Input LwA_XYZ'!$BV$1:$CJ$1,'Input LwA_XYZ'!BV8:CJ8)="","-",_xlfn.XLOOKUP(Tables!$L$242,'Input LwA_XYZ'!$BV$1:$CJ$1,'Input LwA_XYZ'!BV8:CJ8)))</f>
        <v>5</v>
      </c>
      <c r="S249" s="91" t="str">
        <f>IF($N249="","",IF('Input LwA_XYZ'!S8="","-",'Input LwA_XYZ'!S8))</f>
        <v>-</v>
      </c>
      <c r="T249" s="65">
        <f>IF($N249="","",_xlfn.XLOOKUP(Tables!$L$242,'Input LwA_XYZ'!$DD$1:$DR$1,'Input LwA_XYZ'!DD8:DR8))</f>
        <v>0</v>
      </c>
    </row>
    <row r="250" spans="12:20" ht="16.5" x14ac:dyDescent="0.3">
      <c r="N250" s="190">
        <f>IF('Input LwA_XYZ'!A9 = 0, "", 'Input LwA_XYZ'!A9)</f>
        <v>1</v>
      </c>
      <c r="O250" s="189" t="str">
        <f>IF($N250="","",_xlfn.TEXTJOIN(" - ",TRUE,'Input LwA_XYZ'!B9:C9))</f>
        <v>CU-R2 - Radiated</v>
      </c>
      <c r="P250" s="64">
        <f>IF($N250="","",'Input LwA_XYZ'!Q9)</f>
        <v>81</v>
      </c>
      <c r="Q250" s="91" t="str">
        <f>IF($N250="","",-1*ROUND(_xlfn.XLOOKUP(Tables!$L$242,'Input LwA_XYZ'!$AY$1:$BM$1,'Input LwA_XYZ'!AY9:BM9),0) &amp; " / " &amp; ROUND(_xlfn.XLOOKUP(Tables!$L$242,'Input LwA_XYZ'!$AH$1:$AV$1,'Input LwA_XYZ'!AH9:AV9),0) &amp; " ft")</f>
        <v>42 / 162 ft</v>
      </c>
      <c r="R250" s="91">
        <f>IF($N250="","",IF(_xlfn.XLOOKUP(Tables!$L$242,'Input LwA_XYZ'!$BV$1:$CJ$1,'Input LwA_XYZ'!BV9:CJ9)="","-",_xlfn.XLOOKUP(Tables!$L$242,'Input LwA_XYZ'!$BV$1:$CJ$1,'Input LwA_XYZ'!BV9:CJ9)))</f>
        <v>5</v>
      </c>
      <c r="S250" s="91" t="str">
        <f>IF($N250="","",IF('Input LwA_XYZ'!S9="","-",'Input LwA_XYZ'!S9))</f>
        <v>-</v>
      </c>
      <c r="T250" s="65">
        <f>IF($N250="","",_xlfn.XLOOKUP(Tables!$L$242,'Input LwA_XYZ'!$DD$1:$DR$1,'Input LwA_XYZ'!DD9:DR9))</f>
        <v>0</v>
      </c>
    </row>
    <row r="251" spans="12:20" ht="16.5" x14ac:dyDescent="0.3">
      <c r="N251" s="190">
        <f>IF('Input LwA_XYZ'!A10 = 0, "", 'Input LwA_XYZ'!A10)</f>
        <v>1</v>
      </c>
      <c r="O251" s="189" t="str">
        <f>IF($N251="","",_xlfn.TEXTJOIN(" - ",TRUE,'Input LwA_XYZ'!B10:C10))</f>
        <v>CU-R4 - Radiated</v>
      </c>
      <c r="P251" s="64">
        <f>IF($N251="","",'Input LwA_XYZ'!Q10)</f>
        <v>73</v>
      </c>
      <c r="Q251" s="91" t="str">
        <f>IF($N251="","",-1*ROUND(_xlfn.XLOOKUP(Tables!$L$242,'Input LwA_XYZ'!$AY$1:$BM$1,'Input LwA_XYZ'!AY10:BM10),0) &amp; " / " &amp; ROUND(_xlfn.XLOOKUP(Tables!$L$242,'Input LwA_XYZ'!$AH$1:$AV$1,'Input LwA_XYZ'!AH10:AV10),0) &amp; " ft")</f>
        <v>42 / 171 ft</v>
      </c>
      <c r="R251" s="91">
        <f>IF($N251="","",IF(_xlfn.XLOOKUP(Tables!$L$242,'Input LwA_XYZ'!$BV$1:$CJ$1,'Input LwA_XYZ'!BV10:CJ10)="","-",_xlfn.XLOOKUP(Tables!$L$242,'Input LwA_XYZ'!$BV$1:$CJ$1,'Input LwA_XYZ'!BV10:CJ10)))</f>
        <v>5</v>
      </c>
      <c r="S251" s="91" t="str">
        <f>IF($N251="","",IF('Input LwA_XYZ'!S10="","-",'Input LwA_XYZ'!S10))</f>
        <v>-</v>
      </c>
      <c r="T251" s="65">
        <f>IF($N251="","",_xlfn.XLOOKUP(Tables!$L$242,'Input LwA_XYZ'!$DD$1:$DR$1,'Input LwA_XYZ'!DD10:DR10))</f>
        <v>0</v>
      </c>
    </row>
    <row r="252" spans="12:20" ht="16.5" x14ac:dyDescent="0.3">
      <c r="N252" s="190">
        <f>IF('Input LwA_XYZ'!A11 = 0, "", 'Input LwA_XYZ'!A11)</f>
        <v>1</v>
      </c>
      <c r="O252" s="189" t="str">
        <f>IF($N252="","",_xlfn.TEXTJOIN(" - ",TRUE,'Input LwA_XYZ'!B11:C11))</f>
        <v>CU-R5 - Radiated</v>
      </c>
      <c r="P252" s="64">
        <f>IF($N252="","",'Input LwA_XYZ'!Q11)</f>
        <v>75</v>
      </c>
      <c r="Q252" s="91" t="str">
        <f>IF($N252="","",-1*ROUND(_xlfn.XLOOKUP(Tables!$L$242,'Input LwA_XYZ'!$AY$1:$BM$1,'Input LwA_XYZ'!AY11:BM11),0) &amp; " / " &amp; ROUND(_xlfn.XLOOKUP(Tables!$L$242,'Input LwA_XYZ'!$AH$1:$AV$1,'Input LwA_XYZ'!AH11:AV11),0) &amp; " ft")</f>
        <v>41 / 154 ft</v>
      </c>
      <c r="R252" s="91">
        <f>IF($N252="","",IF(_xlfn.XLOOKUP(Tables!$L$242,'Input LwA_XYZ'!$BV$1:$CJ$1,'Input LwA_XYZ'!BV11:CJ11)="","-",_xlfn.XLOOKUP(Tables!$L$242,'Input LwA_XYZ'!$BV$1:$CJ$1,'Input LwA_XYZ'!BV11:CJ11)))</f>
        <v>7</v>
      </c>
      <c r="S252" s="91" t="str">
        <f>IF($N252="","",IF('Input LwA_XYZ'!S11="","-",'Input LwA_XYZ'!S11))</f>
        <v>-</v>
      </c>
      <c r="T252" s="65">
        <f>IF($N252="","",_xlfn.XLOOKUP(Tables!$L$242,'Input LwA_XYZ'!$DD$1:$DR$1,'Input LwA_XYZ'!DD11:DR11))</f>
        <v>0</v>
      </c>
    </row>
    <row r="253" spans="12:20" ht="16.5" x14ac:dyDescent="0.3">
      <c r="N253" s="190">
        <f>IF('Input LwA_XYZ'!A12 = 0, "", 'Input LwA_XYZ'!A12)</f>
        <v>4</v>
      </c>
      <c r="O253" s="189" t="str">
        <f>IF($N253="","",_xlfn.TEXTJOIN(" - ",TRUE,'Input LwA_XYZ'!B12:C12))</f>
        <v>RCU-R(4p)1 - Radiated</v>
      </c>
      <c r="P253" s="64">
        <f>IF($N253="","",'Input LwA_XYZ'!Q12)</f>
        <v>79.020599913279625</v>
      </c>
      <c r="Q253" s="91" t="str">
        <f>IF($N253="","",-1*ROUND(_xlfn.XLOOKUP(Tables!$L$242,'Input LwA_XYZ'!$AY$1:$BM$1,'Input LwA_XYZ'!AY12:BM12),0) &amp; " / " &amp; ROUND(_xlfn.XLOOKUP(Tables!$L$242,'Input LwA_XYZ'!$AH$1:$AV$1,'Input LwA_XYZ'!AH12:AV12),0) &amp; " ft")</f>
        <v>46 / 276 ft</v>
      </c>
      <c r="R253" s="91">
        <f>IF($N253="","",IF(_xlfn.XLOOKUP(Tables!$L$242,'Input LwA_XYZ'!$BV$1:$CJ$1,'Input LwA_XYZ'!BV12:CJ12)="","-",_xlfn.XLOOKUP(Tables!$L$242,'Input LwA_XYZ'!$BV$1:$CJ$1,'Input LwA_XYZ'!BV12:CJ12)))</f>
        <v>10</v>
      </c>
      <c r="S253" s="91" t="str">
        <f>IF($N253="","",IF('Input LwA_XYZ'!S12="","-",'Input LwA_XYZ'!S12))</f>
        <v>-</v>
      </c>
      <c r="T253" s="65">
        <f>IF($N253="","",_xlfn.XLOOKUP(Tables!$L$242,'Input LwA_XYZ'!$DD$1:$DR$1,'Input LwA_XYZ'!DD12:DR12))</f>
        <v>0</v>
      </c>
    </row>
    <row r="254" spans="12:20" ht="16.5" x14ac:dyDescent="0.3">
      <c r="N254" s="190">
        <f>IF('Input LwA_XYZ'!A13 = 0, "", 'Input LwA_XYZ'!A13)</f>
        <v>4</v>
      </c>
      <c r="O254" s="189" t="str">
        <f>IF($N254="","",_xlfn.TEXTJOIN(" - ",TRUE,'Input LwA_XYZ'!B13:C13))</f>
        <v>RCU-R(4p)2 - Radiated</v>
      </c>
      <c r="P254" s="64">
        <f>IF($N254="","",'Input LwA_XYZ'!Q13)</f>
        <v>79.020599913279625</v>
      </c>
      <c r="Q254" s="91" t="str">
        <f>IF($N254="","",-1*ROUND(_xlfn.XLOOKUP(Tables!$L$242,'Input LwA_XYZ'!$AY$1:$BM$1,'Input LwA_XYZ'!AY13:BM13),0) &amp; " / " &amp; ROUND(_xlfn.XLOOKUP(Tables!$L$242,'Input LwA_XYZ'!$AH$1:$AV$1,'Input LwA_XYZ'!AH13:AV13),0) &amp; " ft")</f>
        <v>43 / 176 ft</v>
      </c>
      <c r="R254" s="91">
        <f>IF($N254="","",IF(_xlfn.XLOOKUP(Tables!$L$242,'Input LwA_XYZ'!$BV$1:$CJ$1,'Input LwA_XYZ'!BV13:CJ13)="","-",_xlfn.XLOOKUP(Tables!$L$242,'Input LwA_XYZ'!$BV$1:$CJ$1,'Input LwA_XYZ'!BV13:CJ13)))</f>
        <v>4</v>
      </c>
      <c r="S254" s="91" t="str">
        <f>IF($N254="","",IF('Input LwA_XYZ'!S13="","-",'Input LwA_XYZ'!S13))</f>
        <v>-</v>
      </c>
      <c r="T254" s="65">
        <f>IF($N254="","",_xlfn.XLOOKUP(Tables!$L$242,'Input LwA_XYZ'!$DD$1:$DR$1,'Input LwA_XYZ'!DD13:DR13))</f>
        <v>0</v>
      </c>
    </row>
    <row r="255" spans="12:20" ht="16.5" x14ac:dyDescent="0.3">
      <c r="N255" s="190">
        <f>IF('Input LwA_XYZ'!A14 = 0, "", 'Input LwA_XYZ'!A14)</f>
        <v>4</v>
      </c>
      <c r="O255" s="189" t="str">
        <f>IF($N255="","",_xlfn.TEXTJOIN(" - ",TRUE,'Input LwA_XYZ'!B14:C14))</f>
        <v>RCU-R(4p)3 - Radiated</v>
      </c>
      <c r="P255" s="64">
        <f>IF($N255="","",'Input LwA_XYZ'!Q14)</f>
        <v>79.020599913279625</v>
      </c>
      <c r="Q255" s="91" t="str">
        <f>IF($N255="","",-1*ROUND(_xlfn.XLOOKUP(Tables!$L$242,'Input LwA_XYZ'!$AY$1:$BM$1,'Input LwA_XYZ'!AY14:BM14),0) &amp; " / " &amp; ROUND(_xlfn.XLOOKUP(Tables!$L$242,'Input LwA_XYZ'!$AH$1:$AV$1,'Input LwA_XYZ'!AH14:AV14),0) &amp; " ft")</f>
        <v>43 / 182 ft</v>
      </c>
      <c r="R255" s="91">
        <f>IF($N255="","",IF(_xlfn.XLOOKUP(Tables!$L$242,'Input LwA_XYZ'!$BV$1:$CJ$1,'Input LwA_XYZ'!BV14:CJ14)="","-",_xlfn.XLOOKUP(Tables!$L$242,'Input LwA_XYZ'!$BV$1:$CJ$1,'Input LwA_XYZ'!BV14:CJ14)))</f>
        <v>8</v>
      </c>
      <c r="S255" s="91" t="str">
        <f>IF($N255="","",IF('Input LwA_XYZ'!S14="","-",'Input LwA_XYZ'!S14))</f>
        <v>-</v>
      </c>
      <c r="T255" s="65">
        <f>IF($N255="","",_xlfn.XLOOKUP(Tables!$L$242,'Input LwA_XYZ'!$DD$1:$DR$1,'Input LwA_XYZ'!DD14:DR14))</f>
        <v>0</v>
      </c>
    </row>
    <row r="256" spans="12:20" ht="16.5" x14ac:dyDescent="0.3">
      <c r="N256" s="190">
        <f>IF('Input LwA_XYZ'!A15 = 0, "", 'Input LwA_XYZ'!A15)</f>
        <v>2</v>
      </c>
      <c r="O256" s="189" t="str">
        <f>IF($N256="","",_xlfn.TEXTJOIN(" - ",TRUE,'Input LwA_XYZ'!B15:C15))</f>
        <v>RCU-R(2p) - Radiated</v>
      </c>
      <c r="P256" s="64">
        <f>IF($N256="","",'Input LwA_XYZ'!Q15)</f>
        <v>76.010299956639813</v>
      </c>
      <c r="Q256" s="91" t="str">
        <f>IF($N256="","",-1*ROUND(_xlfn.XLOOKUP(Tables!$L$242,'Input LwA_XYZ'!$AY$1:$BM$1,'Input LwA_XYZ'!AY15:BM15),0) &amp; " / " &amp; ROUND(_xlfn.XLOOKUP(Tables!$L$242,'Input LwA_XYZ'!$AH$1:$AV$1,'Input LwA_XYZ'!AH15:AV15),0) &amp; " ft")</f>
        <v>42 / 174 ft</v>
      </c>
      <c r="R256" s="91">
        <f>IF($N256="","",IF(_xlfn.XLOOKUP(Tables!$L$242,'Input LwA_XYZ'!$BV$1:$CJ$1,'Input LwA_XYZ'!BV15:CJ15)="","-",_xlfn.XLOOKUP(Tables!$L$242,'Input LwA_XYZ'!$BV$1:$CJ$1,'Input LwA_XYZ'!BV15:CJ15)))</f>
        <v>8</v>
      </c>
      <c r="S256" s="91" t="str">
        <f>IF($N256="","",IF('Input LwA_XYZ'!S15="","-",'Input LwA_XYZ'!S15))</f>
        <v>-</v>
      </c>
      <c r="T256" s="65">
        <f>IF($N256="","",_xlfn.XLOOKUP(Tables!$L$242,'Input LwA_XYZ'!$DD$1:$DR$1,'Input LwA_XYZ'!DD15:DR15))</f>
        <v>0</v>
      </c>
    </row>
    <row r="257" spans="14:20" ht="16.5" x14ac:dyDescent="0.3">
      <c r="N257" s="190">
        <f>IF('Input LwA_XYZ'!A16 = 0, "", 'Input LwA_XYZ'!A16)</f>
        <v>2</v>
      </c>
      <c r="O257" s="189" t="str">
        <f>IF($N257="","",_xlfn.TEXTJOIN(" - ",TRUE,'Input LwA_XYZ'!B16:C16))</f>
        <v>RCU-R(2p)1 - Radiated</v>
      </c>
      <c r="P257" s="64">
        <f>IF($N257="","",'Input LwA_XYZ'!Q16)</f>
        <v>76.010299956639813</v>
      </c>
      <c r="Q257" s="91" t="str">
        <f>IF($N257="","",-1*ROUND(_xlfn.XLOOKUP(Tables!$L$242,'Input LwA_XYZ'!$AY$1:$BM$1,'Input LwA_XYZ'!AY16:BM16),0) &amp; " / " &amp; ROUND(_xlfn.XLOOKUP(Tables!$L$242,'Input LwA_XYZ'!$AH$1:$AV$1,'Input LwA_XYZ'!AH16:AV16),0) &amp; " ft")</f>
        <v>42 / 159 ft</v>
      </c>
      <c r="R257" s="91">
        <f>IF($N257="","",IF(_xlfn.XLOOKUP(Tables!$L$242,'Input LwA_XYZ'!$BV$1:$CJ$1,'Input LwA_XYZ'!BV16:CJ16)="","-",_xlfn.XLOOKUP(Tables!$L$242,'Input LwA_XYZ'!$BV$1:$CJ$1,'Input LwA_XYZ'!BV16:CJ16)))</f>
        <v>8</v>
      </c>
      <c r="S257" s="91" t="str">
        <f>IF($N257="","",IF('Input LwA_XYZ'!S16="","-",'Input LwA_XYZ'!S16))</f>
        <v>-</v>
      </c>
      <c r="T257" s="65">
        <f>IF($N257="","",_xlfn.XLOOKUP(Tables!$L$242,'Input LwA_XYZ'!$DD$1:$DR$1,'Input LwA_XYZ'!DD16:DR16))</f>
        <v>0</v>
      </c>
    </row>
    <row r="258" spans="14:20" ht="16.5" x14ac:dyDescent="0.3">
      <c r="N258" s="190">
        <f>IF('Input LwA_XYZ'!A17 = 0, "", 'Input LwA_XYZ'!A17)</f>
        <v>4</v>
      </c>
      <c r="O258" s="189" t="str">
        <f>IF($N258="","",_xlfn.TEXTJOIN(" - ",TRUE,'Input LwA_XYZ'!B17:C17))</f>
        <v>RCU-R(4p)4 - Radiated</v>
      </c>
      <c r="P258" s="64">
        <f>IF($N258="","",'Input LwA_XYZ'!Q17)</f>
        <v>79.020599913279625</v>
      </c>
      <c r="Q258" s="91" t="str">
        <f>IF($N258="","",-1*ROUND(_xlfn.XLOOKUP(Tables!$L$242,'Input LwA_XYZ'!$AY$1:$BM$1,'Input LwA_XYZ'!AY17:BM17),0) &amp; " / " &amp; ROUND(_xlfn.XLOOKUP(Tables!$L$242,'Input LwA_XYZ'!$AH$1:$AV$1,'Input LwA_XYZ'!AH17:AV17),0) &amp; " ft")</f>
        <v>41 / 147 ft</v>
      </c>
      <c r="R258" s="91">
        <f>IF($N258="","",IF(_xlfn.XLOOKUP(Tables!$L$242,'Input LwA_XYZ'!$BV$1:$CJ$1,'Input LwA_XYZ'!BV17:CJ17)="","-",_xlfn.XLOOKUP(Tables!$L$242,'Input LwA_XYZ'!$BV$1:$CJ$1,'Input LwA_XYZ'!BV17:CJ17)))</f>
        <v>8</v>
      </c>
      <c r="S258" s="91" t="str">
        <f>IF($N258="","",IF('Input LwA_XYZ'!S17="","-",'Input LwA_XYZ'!S17))</f>
        <v>-</v>
      </c>
      <c r="T258" s="65">
        <f>IF($N258="","",_xlfn.XLOOKUP(Tables!$L$242,'Input LwA_XYZ'!$DD$1:$DR$1,'Input LwA_XYZ'!DD17:DR17))</f>
        <v>0</v>
      </c>
    </row>
    <row r="259" spans="14:20" ht="16.5" x14ac:dyDescent="0.3">
      <c r="N259" s="190">
        <f>IF('Input LwA_XYZ'!A18 = 0, "", 'Input LwA_XYZ'!A18)</f>
        <v>2</v>
      </c>
      <c r="O259" s="189" t="str">
        <f>IF($N259="","",_xlfn.TEXTJOIN(" - ",TRUE,'Input LwA_XYZ'!B18:C18))</f>
        <v>RCU-R(2p)2 - Radiated</v>
      </c>
      <c r="P259" s="64">
        <f>IF($N259="","",'Input LwA_XYZ'!Q18)</f>
        <v>76.010299956639813</v>
      </c>
      <c r="Q259" s="91" t="str">
        <f>IF($N259="","",-1*ROUND(_xlfn.XLOOKUP(Tables!$L$242,'Input LwA_XYZ'!$AY$1:$BM$1,'Input LwA_XYZ'!AY18:BM18),0) &amp; " / " &amp; ROUND(_xlfn.XLOOKUP(Tables!$L$242,'Input LwA_XYZ'!$AH$1:$AV$1,'Input LwA_XYZ'!AH18:AV18),0) &amp; " ft")</f>
        <v>39 / 121 ft</v>
      </c>
      <c r="R259" s="91">
        <f>IF($N259="","",IF(_xlfn.XLOOKUP(Tables!$L$242,'Input LwA_XYZ'!$BV$1:$CJ$1,'Input LwA_XYZ'!BV18:CJ18)="","-",_xlfn.XLOOKUP(Tables!$L$242,'Input LwA_XYZ'!$BV$1:$CJ$1,'Input LwA_XYZ'!BV18:CJ18)))</f>
        <v>5</v>
      </c>
      <c r="S259" s="91" t="str">
        <f>IF($N259="","",IF('Input LwA_XYZ'!S18="","-",'Input LwA_XYZ'!S18))</f>
        <v>-</v>
      </c>
      <c r="T259" s="65">
        <f>IF($N259="","",_xlfn.XLOOKUP(Tables!$L$242,'Input LwA_XYZ'!$DD$1:$DR$1,'Input LwA_XYZ'!DD18:DR18))</f>
        <v>0</v>
      </c>
    </row>
    <row r="260" spans="14:20" ht="16.5" x14ac:dyDescent="0.3">
      <c r="N260" s="190">
        <f>IF('Input LwA_XYZ'!A19 = 0, "", 'Input LwA_XYZ'!A19)</f>
        <v>2</v>
      </c>
      <c r="O260" s="189" t="str">
        <f>IF($N260="","",_xlfn.TEXTJOIN(" - ",TRUE,'Input LwA_XYZ'!B19:C19))</f>
        <v>RCU-R(2p)3 - Radiated</v>
      </c>
      <c r="P260" s="64">
        <f>IF($N260="","",'Input LwA_XYZ'!Q19)</f>
        <v>76.010299956639813</v>
      </c>
      <c r="Q260" s="91" t="str">
        <f>IF($N260="","",-1*ROUND(_xlfn.XLOOKUP(Tables!$L$242,'Input LwA_XYZ'!$AY$1:$BM$1,'Input LwA_XYZ'!AY19:BM19),0) &amp; " / " &amp; ROUND(_xlfn.XLOOKUP(Tables!$L$242,'Input LwA_XYZ'!$AH$1:$AV$1,'Input LwA_XYZ'!AH19:AV19),0) &amp; " ft")</f>
        <v>39 / 117 ft</v>
      </c>
      <c r="R260" s="91">
        <f>IF($N260="","",IF(_xlfn.XLOOKUP(Tables!$L$242,'Input LwA_XYZ'!$BV$1:$CJ$1,'Input LwA_XYZ'!BV19:CJ19)="","-",_xlfn.XLOOKUP(Tables!$L$242,'Input LwA_XYZ'!$BV$1:$CJ$1,'Input LwA_XYZ'!BV19:CJ19)))</f>
        <v>6</v>
      </c>
      <c r="S260" s="91" t="str">
        <f>IF($N260="","",IF('Input LwA_XYZ'!S19="","-",'Input LwA_XYZ'!S19))</f>
        <v>-</v>
      </c>
      <c r="T260" s="65">
        <f>IF($N260="","",_xlfn.XLOOKUP(Tables!$L$242,'Input LwA_XYZ'!$DD$1:$DR$1,'Input LwA_XYZ'!DD19:DR19))</f>
        <v>0</v>
      </c>
    </row>
    <row r="261" spans="14:20" ht="16.5" x14ac:dyDescent="0.3">
      <c r="N261" s="190">
        <f>IF('Input LwA_XYZ'!A20 = 0, "", 'Input LwA_XYZ'!A20)</f>
        <v>2</v>
      </c>
      <c r="O261" s="189" t="str">
        <f>IF($N261="","",_xlfn.TEXTJOIN(" - ",TRUE,'Input LwA_XYZ'!B20:C20))</f>
        <v>RCU-R(2p)4 - Radiated</v>
      </c>
      <c r="P261" s="64">
        <f>IF($N261="","",'Input LwA_XYZ'!Q20)</f>
        <v>76.010299956639813</v>
      </c>
      <c r="Q261" s="91" t="str">
        <f>IF($N261="","",-1*ROUND(_xlfn.XLOOKUP(Tables!$L$242,'Input LwA_XYZ'!$AY$1:$BM$1,'Input LwA_XYZ'!AY20:BM20),0) &amp; " / " &amp; ROUND(_xlfn.XLOOKUP(Tables!$L$242,'Input LwA_XYZ'!$AH$1:$AV$1,'Input LwA_XYZ'!AH20:AV20),0) &amp; " ft")</f>
        <v>40 / 128 ft</v>
      </c>
      <c r="R261" s="91">
        <f>IF($N261="","",IF(_xlfn.XLOOKUP(Tables!$L$242,'Input LwA_XYZ'!$BV$1:$CJ$1,'Input LwA_XYZ'!BV20:CJ20)="","-",_xlfn.XLOOKUP(Tables!$L$242,'Input LwA_XYZ'!$BV$1:$CJ$1,'Input LwA_XYZ'!BV20:CJ20)))</f>
        <v>6</v>
      </c>
      <c r="S261" s="91" t="str">
        <f>IF($N261="","",IF('Input LwA_XYZ'!S20="","-",'Input LwA_XYZ'!S20))</f>
        <v>-</v>
      </c>
      <c r="T261" s="65">
        <f>IF($N261="","",_xlfn.XLOOKUP(Tables!$L$242,'Input LwA_XYZ'!$DD$1:$DR$1,'Input LwA_XYZ'!DD20:DR20))</f>
        <v>0</v>
      </c>
    </row>
    <row r="262" spans="14:20" ht="16.5" x14ac:dyDescent="0.3">
      <c r="N262" s="190">
        <f>IF('Input LwA_XYZ'!A21 = 0, "", 'Input LwA_XYZ'!A21)</f>
        <v>2</v>
      </c>
      <c r="O262" s="189" t="str">
        <f>IF($N262="","",_xlfn.TEXTJOIN(" - ",TRUE,'Input LwA_XYZ'!B21:C21))</f>
        <v>RCU-R(2p)5 - Radiated</v>
      </c>
      <c r="P262" s="64">
        <f>IF($N262="","",'Input LwA_XYZ'!Q21)</f>
        <v>76.010299956639813</v>
      </c>
      <c r="Q262" s="91" t="str">
        <f>IF($N262="","",-1*ROUND(_xlfn.XLOOKUP(Tables!$L$242,'Input LwA_XYZ'!$AY$1:$BM$1,'Input LwA_XYZ'!AY21:BM21),0) &amp; " / " &amp; ROUND(_xlfn.XLOOKUP(Tables!$L$242,'Input LwA_XYZ'!$AH$1:$AV$1,'Input LwA_XYZ'!AH21:AV21),0) &amp; " ft")</f>
        <v>41 / 141 ft</v>
      </c>
      <c r="R262" s="91">
        <f>IF($N262="","",IF(_xlfn.XLOOKUP(Tables!$L$242,'Input LwA_XYZ'!$BV$1:$CJ$1,'Input LwA_XYZ'!BV21:CJ21)="","-",_xlfn.XLOOKUP(Tables!$L$242,'Input LwA_XYZ'!$BV$1:$CJ$1,'Input LwA_XYZ'!BV21:CJ21)))</f>
        <v>5</v>
      </c>
      <c r="S262" s="91" t="str">
        <f>IF($N262="","",IF('Input LwA_XYZ'!S21="","-",'Input LwA_XYZ'!S21))</f>
        <v>-</v>
      </c>
      <c r="T262" s="65">
        <f>IF($N262="","",_xlfn.XLOOKUP(Tables!$L$242,'Input LwA_XYZ'!$DD$1:$DR$1,'Input LwA_XYZ'!DD21:DR21))</f>
        <v>0</v>
      </c>
    </row>
    <row r="263" spans="14:20" ht="16.5" x14ac:dyDescent="0.3">
      <c r="N263" s="190">
        <f>IF('Input LwA_XYZ'!A22 = 0, "", 'Input LwA_XYZ'!A22)</f>
        <v>2</v>
      </c>
      <c r="O263" s="189" t="str">
        <f>IF($N263="","",_xlfn.TEXTJOIN(" - ",TRUE,'Input LwA_XYZ'!B22:C22))</f>
        <v>RCU-R(2p)6 - Radiated</v>
      </c>
      <c r="P263" s="64">
        <f>IF($N263="","",'Input LwA_XYZ'!Q22)</f>
        <v>76.010299956639813</v>
      </c>
      <c r="Q263" s="91" t="str">
        <f>IF($N263="","",-1*ROUND(_xlfn.XLOOKUP(Tables!$L$242,'Input LwA_XYZ'!$AY$1:$BM$1,'Input LwA_XYZ'!AY22:BM22),0) &amp; " / " &amp; ROUND(_xlfn.XLOOKUP(Tables!$L$242,'Input LwA_XYZ'!$AH$1:$AV$1,'Input LwA_XYZ'!AH22:AV22),0) &amp; " ft")</f>
        <v>42 / 156 ft</v>
      </c>
      <c r="R263" s="91">
        <f>IF($N263="","",IF(_xlfn.XLOOKUP(Tables!$L$242,'Input LwA_XYZ'!$BV$1:$CJ$1,'Input LwA_XYZ'!BV22:CJ22)="","-",_xlfn.XLOOKUP(Tables!$L$242,'Input LwA_XYZ'!$BV$1:$CJ$1,'Input LwA_XYZ'!BV22:CJ22)))</f>
        <v>5</v>
      </c>
      <c r="S263" s="91" t="str">
        <f>IF($N263="","",IF('Input LwA_XYZ'!S22="","-",'Input LwA_XYZ'!S22))</f>
        <v>-</v>
      </c>
      <c r="T263" s="65">
        <f>IF($N263="","",_xlfn.XLOOKUP(Tables!$L$242,'Input LwA_XYZ'!$DD$1:$DR$1,'Input LwA_XYZ'!DD22:DR22))</f>
        <v>0</v>
      </c>
    </row>
    <row r="264" spans="14:20" ht="16.5" x14ac:dyDescent="0.3">
      <c r="N264" s="190">
        <f>IF('Input LwA_XYZ'!A23 = 0, "", 'Input LwA_XYZ'!A23)</f>
        <v>1</v>
      </c>
      <c r="O264" s="189" t="str">
        <f>IF($N264="","",_xlfn.TEXTJOIN(" - ",TRUE,'Input LwA_XYZ'!B23:C23))</f>
        <v>BEF-R01  - Inlet</v>
      </c>
      <c r="P264" s="64">
        <f>IF($N264="","",'Input LwA_XYZ'!Q23)</f>
        <v>57</v>
      </c>
      <c r="Q264" s="91" t="str">
        <f>IF($N264="","",-1*ROUND(_xlfn.XLOOKUP(Tables!$L$242,'Input LwA_XYZ'!$AY$1:$BM$1,'Input LwA_XYZ'!AY23:BM23),0) &amp; " / " &amp; ROUND(_xlfn.XLOOKUP(Tables!$L$242,'Input LwA_XYZ'!$AH$1:$AV$1,'Input LwA_XYZ'!AH23:AV23),0) &amp; " ft")</f>
        <v>41 / 140 ft</v>
      </c>
      <c r="R264" s="91">
        <f>IF($N264="","",IF(_xlfn.XLOOKUP(Tables!$L$242,'Input LwA_XYZ'!$BV$1:$CJ$1,'Input LwA_XYZ'!BV23:CJ23)="","-",_xlfn.XLOOKUP(Tables!$L$242,'Input LwA_XYZ'!$BV$1:$CJ$1,'Input LwA_XYZ'!BV23:CJ23)))</f>
        <v>0</v>
      </c>
      <c r="S264" s="91" t="str">
        <f>IF($N264="","",IF('Input LwA_XYZ'!S23="","-",'Input LwA_XYZ'!S23))</f>
        <v>-</v>
      </c>
      <c r="T264" s="65">
        <f>IF($N264="","",_xlfn.XLOOKUP(Tables!$L$242,'Input LwA_XYZ'!$DD$1:$DR$1,'Input LwA_XYZ'!DD23:DR23))</f>
        <v>0</v>
      </c>
    </row>
    <row r="265" spans="14:20" ht="16.5" x14ac:dyDescent="0.3">
      <c r="N265" s="190">
        <f>IF('Input LwA_XYZ'!A24 = 0, "", 'Input LwA_XYZ'!A24)</f>
        <v>1</v>
      </c>
      <c r="O265" s="189" t="str">
        <f>IF($N265="","",_xlfn.TEXTJOIN(" - ",TRUE,'Input LwA_XYZ'!B24:C24))</f>
        <v>BEF-R02  - Inlet</v>
      </c>
      <c r="P265" s="64">
        <f>IF($N265="","",'Input LwA_XYZ'!Q24)</f>
        <v>66</v>
      </c>
      <c r="Q265" s="91" t="str">
        <f>IF($N265="","",-1*ROUND(_xlfn.XLOOKUP(Tables!$L$242,'Input LwA_XYZ'!$AY$1:$BM$1,'Input LwA_XYZ'!AY24:BM24),0) &amp; " / " &amp; ROUND(_xlfn.XLOOKUP(Tables!$L$242,'Input LwA_XYZ'!$AH$1:$AV$1,'Input LwA_XYZ'!AH24:AV24),0) &amp; " ft")</f>
        <v>41 / 143 ft</v>
      </c>
      <c r="R265" s="91">
        <f>IF($N265="","",IF(_xlfn.XLOOKUP(Tables!$L$242,'Input LwA_XYZ'!$BV$1:$CJ$1,'Input LwA_XYZ'!BV24:CJ24)="","-",_xlfn.XLOOKUP(Tables!$L$242,'Input LwA_XYZ'!$BV$1:$CJ$1,'Input LwA_XYZ'!BV24:CJ24)))</f>
        <v>5</v>
      </c>
      <c r="S265" s="91" t="str">
        <f>IF($N265="","",IF('Input LwA_XYZ'!S24="","-",'Input LwA_XYZ'!S24))</f>
        <v>-</v>
      </c>
      <c r="T265" s="65">
        <f>IF($N265="","",_xlfn.XLOOKUP(Tables!$L$242,'Input LwA_XYZ'!$DD$1:$DR$1,'Input LwA_XYZ'!DD24:DR24))</f>
        <v>0</v>
      </c>
    </row>
    <row r="266" spans="14:20" ht="16.5" x14ac:dyDescent="0.3">
      <c r="N266" s="190">
        <f>IF('Input LwA_XYZ'!A25 = 0, "", 'Input LwA_XYZ'!A25)</f>
        <v>1</v>
      </c>
      <c r="O266" s="189" t="str">
        <f>IF($N266="","",_xlfn.TEXTJOIN(" - ",TRUE,'Input LwA_XYZ'!B25:C25))</f>
        <v>BEF-R03  - Inlet</v>
      </c>
      <c r="P266" s="64">
        <f>IF($N266="","",'Input LwA_XYZ'!Q25)</f>
        <v>66</v>
      </c>
      <c r="Q266" s="91" t="str">
        <f>IF($N266="","",-1*ROUND(_xlfn.XLOOKUP(Tables!$L$242,'Input LwA_XYZ'!$AY$1:$BM$1,'Input LwA_XYZ'!AY25:BM25),0) &amp; " / " &amp; ROUND(_xlfn.XLOOKUP(Tables!$L$242,'Input LwA_XYZ'!$AH$1:$AV$1,'Input LwA_XYZ'!AH25:AV25),0) &amp; " ft")</f>
        <v>41 / 154 ft</v>
      </c>
      <c r="R266" s="91">
        <f>IF($N266="","",IF(_xlfn.XLOOKUP(Tables!$L$242,'Input LwA_XYZ'!$BV$1:$CJ$1,'Input LwA_XYZ'!BV25:CJ25)="","-",_xlfn.XLOOKUP(Tables!$L$242,'Input LwA_XYZ'!$BV$1:$CJ$1,'Input LwA_XYZ'!BV25:CJ25)))</f>
        <v>8</v>
      </c>
      <c r="S266" s="91" t="str">
        <f>IF($N266="","",IF('Input LwA_XYZ'!S25="","-",'Input LwA_XYZ'!S25))</f>
        <v>-</v>
      </c>
      <c r="T266" s="65">
        <f>IF($N266="","",_xlfn.XLOOKUP(Tables!$L$242,'Input LwA_XYZ'!$DD$1:$DR$1,'Input LwA_XYZ'!DD25:DR25))</f>
        <v>0</v>
      </c>
    </row>
    <row r="267" spans="14:20" ht="16.5" x14ac:dyDescent="0.3">
      <c r="N267" s="190">
        <f>IF('Input LwA_XYZ'!A26 = 0, "", 'Input LwA_XYZ'!A26)</f>
        <v>1</v>
      </c>
      <c r="O267" s="189" t="str">
        <f>IF($N267="","",_xlfn.TEXTJOIN(" - ",TRUE,'Input LwA_XYZ'!B26:C26))</f>
        <v>BEF-R04  - Inlet</v>
      </c>
      <c r="P267" s="64">
        <f>IF($N267="","",'Input LwA_XYZ'!Q26)</f>
        <v>66</v>
      </c>
      <c r="Q267" s="91" t="str">
        <f>IF($N267="","",-1*ROUND(_xlfn.XLOOKUP(Tables!$L$242,'Input LwA_XYZ'!$AY$1:$BM$1,'Input LwA_XYZ'!AY26:BM26),0) &amp; " / " &amp; ROUND(_xlfn.XLOOKUP(Tables!$L$242,'Input LwA_XYZ'!$AH$1:$AV$1,'Input LwA_XYZ'!AH26:AV26),0) &amp; " ft")</f>
        <v>42 / 165 ft</v>
      </c>
      <c r="R267" s="91">
        <f>IF($N267="","",IF(_xlfn.XLOOKUP(Tables!$L$242,'Input LwA_XYZ'!$BV$1:$CJ$1,'Input LwA_XYZ'!BV26:CJ26)="","-",_xlfn.XLOOKUP(Tables!$L$242,'Input LwA_XYZ'!$BV$1:$CJ$1,'Input LwA_XYZ'!BV26:CJ26)))</f>
        <v>8</v>
      </c>
      <c r="S267" s="91" t="str">
        <f>IF($N267="","",IF('Input LwA_XYZ'!S26="","-",'Input LwA_XYZ'!S26))</f>
        <v>-</v>
      </c>
      <c r="T267" s="65">
        <f>IF($N267="","",_xlfn.XLOOKUP(Tables!$L$242,'Input LwA_XYZ'!$DD$1:$DR$1,'Input LwA_XYZ'!DD26:DR26))</f>
        <v>0</v>
      </c>
    </row>
    <row r="268" spans="14:20" ht="16.5" x14ac:dyDescent="0.3">
      <c r="N268" s="190">
        <f>IF('Input LwA_XYZ'!A27 = 0, "", 'Input LwA_XYZ'!A27)</f>
        <v>1</v>
      </c>
      <c r="O268" s="189" t="str">
        <f>IF($N268="","",_xlfn.TEXTJOIN(" - ",TRUE,'Input LwA_XYZ'!B27:C27))</f>
        <v>BEF-R05  - Inlet</v>
      </c>
      <c r="P268" s="64">
        <f>IF($N268="","",'Input LwA_XYZ'!Q27)</f>
        <v>66</v>
      </c>
      <c r="Q268" s="91" t="str">
        <f>IF($N268="","",-1*ROUND(_xlfn.XLOOKUP(Tables!$L$242,'Input LwA_XYZ'!$AY$1:$BM$1,'Input LwA_XYZ'!AY27:BM27),0) &amp; " / " &amp; ROUND(_xlfn.XLOOKUP(Tables!$L$242,'Input LwA_XYZ'!$AH$1:$AV$1,'Input LwA_XYZ'!AH27:AV27),0) &amp; " ft")</f>
        <v>44 / 205 ft</v>
      </c>
      <c r="R268" s="91">
        <f>IF($N268="","",IF(_xlfn.XLOOKUP(Tables!$L$242,'Input LwA_XYZ'!$BV$1:$CJ$1,'Input LwA_XYZ'!BV27:CJ27)="","-",_xlfn.XLOOKUP(Tables!$L$242,'Input LwA_XYZ'!$BV$1:$CJ$1,'Input LwA_XYZ'!BV27:CJ27)))</f>
        <v>9</v>
      </c>
      <c r="S268" s="91" t="str">
        <f>IF($N268="","",IF('Input LwA_XYZ'!S27="","-",'Input LwA_XYZ'!S27))</f>
        <v>-</v>
      </c>
      <c r="T268" s="65">
        <f>IF($N268="","",_xlfn.XLOOKUP(Tables!$L$242,'Input LwA_XYZ'!$DD$1:$DR$1,'Input LwA_XYZ'!DD27:DR27))</f>
        <v>0</v>
      </c>
    </row>
    <row r="269" spans="14:20" ht="16.5" x14ac:dyDescent="0.3">
      <c r="N269" s="190">
        <f>IF('Input LwA_XYZ'!A28 = 0, "", 'Input LwA_XYZ'!A28)</f>
        <v>1</v>
      </c>
      <c r="O269" s="189" t="str">
        <f>IF($N269="","",_xlfn.TEXTJOIN(" - ",TRUE,'Input LwA_XYZ'!B28:C28))</f>
        <v>BEF-R06  - Inlet</v>
      </c>
      <c r="P269" s="64">
        <f>IF($N269="","",'Input LwA_XYZ'!Q28)</f>
        <v>66</v>
      </c>
      <c r="Q269" s="91" t="str">
        <f>IF($N269="","",-1*ROUND(_xlfn.XLOOKUP(Tables!$L$242,'Input LwA_XYZ'!$AY$1:$BM$1,'Input LwA_XYZ'!AY28:BM28),0) &amp; " / " &amp; ROUND(_xlfn.XLOOKUP(Tables!$L$242,'Input LwA_XYZ'!$AH$1:$AV$1,'Input LwA_XYZ'!AH28:AV28),0) &amp; " ft")</f>
        <v>45 / 227 ft</v>
      </c>
      <c r="R269" s="91">
        <f>IF($N269="","",IF(_xlfn.XLOOKUP(Tables!$L$242,'Input LwA_XYZ'!$BV$1:$CJ$1,'Input LwA_XYZ'!BV28:CJ28)="","-",_xlfn.XLOOKUP(Tables!$L$242,'Input LwA_XYZ'!$BV$1:$CJ$1,'Input LwA_XYZ'!BV28:CJ28)))</f>
        <v>10</v>
      </c>
      <c r="S269" s="91" t="str">
        <f>IF($N269="","",IF('Input LwA_XYZ'!S28="","-",'Input LwA_XYZ'!S28))</f>
        <v>-</v>
      </c>
      <c r="T269" s="65">
        <f>IF($N269="","",_xlfn.XLOOKUP(Tables!$L$242,'Input LwA_XYZ'!$DD$1:$DR$1,'Input LwA_XYZ'!DD28:DR28))</f>
        <v>0</v>
      </c>
    </row>
    <row r="270" spans="14:20" ht="16.5" x14ac:dyDescent="0.3">
      <c r="N270" s="190">
        <f>IF('Input LwA_XYZ'!A29 = 0, "", 'Input LwA_XYZ'!A29)</f>
        <v>1</v>
      </c>
      <c r="O270" s="189" t="str">
        <f>IF($N270="","",_xlfn.TEXTJOIN(" - ",TRUE,'Input LwA_XYZ'!B29:C29))</f>
        <v>BEF-R07  - Inlet</v>
      </c>
      <c r="P270" s="64">
        <f>IF($N270="","",'Input LwA_XYZ'!Q29)</f>
        <v>57</v>
      </c>
      <c r="Q270" s="91" t="str">
        <f>IF($N270="","",-1*ROUND(_xlfn.XLOOKUP(Tables!$L$242,'Input LwA_XYZ'!$AY$1:$BM$1,'Input LwA_XYZ'!AY29:BM29),0) &amp; " / " &amp; ROUND(_xlfn.XLOOKUP(Tables!$L$242,'Input LwA_XYZ'!$AH$1:$AV$1,'Input LwA_XYZ'!AH29:AV29),0) &amp; " ft")</f>
        <v>46 / 250 ft</v>
      </c>
      <c r="R270" s="91">
        <f>IF($N270="","",IF(_xlfn.XLOOKUP(Tables!$L$242,'Input LwA_XYZ'!$BV$1:$CJ$1,'Input LwA_XYZ'!BV29:CJ29)="","-",_xlfn.XLOOKUP(Tables!$L$242,'Input LwA_XYZ'!$BV$1:$CJ$1,'Input LwA_XYZ'!BV29:CJ29)))</f>
        <v>11</v>
      </c>
      <c r="S270" s="91" t="str">
        <f>IF($N270="","",IF('Input LwA_XYZ'!S29="","-",'Input LwA_XYZ'!S29))</f>
        <v>-</v>
      </c>
      <c r="T270" s="65">
        <f>IF($N270="","",_xlfn.XLOOKUP(Tables!$L$242,'Input LwA_XYZ'!$DD$1:$DR$1,'Input LwA_XYZ'!DD29:DR29))</f>
        <v>0</v>
      </c>
    </row>
    <row r="271" spans="14:20" ht="16.5" x14ac:dyDescent="0.3">
      <c r="N271" s="190">
        <f>IF('Input LwA_XYZ'!A30 = 0, "", 'Input LwA_XYZ'!A30)</f>
        <v>1</v>
      </c>
      <c r="O271" s="189" t="str">
        <f>IF($N271="","",_xlfn.TEXTJOIN(" - ",TRUE,'Input LwA_XYZ'!B30:C30))</f>
        <v>BEF-R08  - Inlet</v>
      </c>
      <c r="P271" s="64">
        <f>IF($N271="","",'Input LwA_XYZ'!Q30)</f>
        <v>57</v>
      </c>
      <c r="Q271" s="91" t="str">
        <f>IF($N271="","",-1*ROUND(_xlfn.XLOOKUP(Tables!$L$242,'Input LwA_XYZ'!$AY$1:$BM$1,'Input LwA_XYZ'!AY30:BM30),0) &amp; " / " &amp; ROUND(_xlfn.XLOOKUP(Tables!$L$242,'Input LwA_XYZ'!$AH$1:$AV$1,'Input LwA_XYZ'!AH30:AV30),0) &amp; " ft")</f>
        <v>46 / 273 ft</v>
      </c>
      <c r="R271" s="91">
        <f>IF($N271="","",IF(_xlfn.XLOOKUP(Tables!$L$242,'Input LwA_XYZ'!$BV$1:$CJ$1,'Input LwA_XYZ'!BV30:CJ30)="","-",_xlfn.XLOOKUP(Tables!$L$242,'Input LwA_XYZ'!$BV$1:$CJ$1,'Input LwA_XYZ'!BV30:CJ30)))</f>
        <v>10</v>
      </c>
      <c r="S271" s="91" t="str">
        <f>IF($N271="","",IF('Input LwA_XYZ'!S30="","-",'Input LwA_XYZ'!S30))</f>
        <v>-</v>
      </c>
      <c r="T271" s="65">
        <f>IF($N271="","",_xlfn.XLOOKUP(Tables!$L$242,'Input LwA_XYZ'!$DD$1:$DR$1,'Input LwA_XYZ'!DD30:DR30))</f>
        <v>0</v>
      </c>
    </row>
    <row r="272" spans="14:20" ht="16.5" x14ac:dyDescent="0.3">
      <c r="N272" s="190">
        <f>IF('Input LwA_XYZ'!A31 = 0, "", 'Input LwA_XYZ'!A31)</f>
        <v>1</v>
      </c>
      <c r="O272" s="189" t="str">
        <f>IF($N272="","",_xlfn.TEXTJOIN(" - ",TRUE,'Input LwA_XYZ'!B31:C31))</f>
        <v>BEF-R09  - Inlet</v>
      </c>
      <c r="P272" s="64">
        <f>IF($N272="","",'Input LwA_XYZ'!Q31)</f>
        <v>66</v>
      </c>
      <c r="Q272" s="91" t="str">
        <f>IF($N272="","",-1*ROUND(_xlfn.XLOOKUP(Tables!$L$242,'Input LwA_XYZ'!$AY$1:$BM$1,'Input LwA_XYZ'!AY31:BM31),0) &amp; " / " &amp; ROUND(_xlfn.XLOOKUP(Tables!$L$242,'Input LwA_XYZ'!$AH$1:$AV$1,'Input LwA_XYZ'!AH31:AV31),0) &amp; " ft")</f>
        <v>46 / 255 ft</v>
      </c>
      <c r="R272" s="91">
        <f>IF($N272="","",IF(_xlfn.XLOOKUP(Tables!$L$242,'Input LwA_XYZ'!$BV$1:$CJ$1,'Input LwA_XYZ'!BV31:CJ31)="","-",_xlfn.XLOOKUP(Tables!$L$242,'Input LwA_XYZ'!$BV$1:$CJ$1,'Input LwA_XYZ'!BV31:CJ31)))</f>
        <v>9</v>
      </c>
      <c r="S272" s="91" t="str">
        <f>IF($N272="","",IF('Input LwA_XYZ'!S31="","-",'Input LwA_XYZ'!S31))</f>
        <v>-</v>
      </c>
      <c r="T272" s="65">
        <f>IF($N272="","",_xlfn.XLOOKUP(Tables!$L$242,'Input LwA_XYZ'!$DD$1:$DR$1,'Input LwA_XYZ'!DD31:DR31))</f>
        <v>0</v>
      </c>
    </row>
    <row r="273" spans="14:20" ht="16.5" x14ac:dyDescent="0.3">
      <c r="N273" s="190">
        <f>IF('Input LwA_XYZ'!A32 = 0, "", 'Input LwA_XYZ'!A32)</f>
        <v>1</v>
      </c>
      <c r="O273" s="189" t="str">
        <f>IF($N273="","",_xlfn.TEXTJOIN(" - ",TRUE,'Input LwA_XYZ'!B32:C32))</f>
        <v>BEF-R10  - Inlet</v>
      </c>
      <c r="P273" s="64">
        <f>IF($N273="","",'Input LwA_XYZ'!Q32)</f>
        <v>66</v>
      </c>
      <c r="Q273" s="91" t="str">
        <f>IF($N273="","",-1*ROUND(_xlfn.XLOOKUP(Tables!$L$242,'Input LwA_XYZ'!$AY$1:$BM$1,'Input LwA_XYZ'!AY32:BM32),0) &amp; " / " &amp; ROUND(_xlfn.XLOOKUP(Tables!$L$242,'Input LwA_XYZ'!$AH$1:$AV$1,'Input LwA_XYZ'!AH32:AV32),0) &amp; " ft")</f>
        <v>45 / 237 ft</v>
      </c>
      <c r="R273" s="91">
        <f>IF($N273="","",IF(_xlfn.XLOOKUP(Tables!$L$242,'Input LwA_XYZ'!$BV$1:$CJ$1,'Input LwA_XYZ'!BV32:CJ32)="","-",_xlfn.XLOOKUP(Tables!$L$242,'Input LwA_XYZ'!$BV$1:$CJ$1,'Input LwA_XYZ'!BV32:CJ32)))</f>
        <v>8</v>
      </c>
      <c r="S273" s="91" t="str">
        <f>IF($N273="","",IF('Input LwA_XYZ'!S32="","-",'Input LwA_XYZ'!S32))</f>
        <v>-</v>
      </c>
      <c r="T273" s="65">
        <f>IF($N273="","",_xlfn.XLOOKUP(Tables!$L$242,'Input LwA_XYZ'!$DD$1:$DR$1,'Input LwA_XYZ'!DD32:DR32))</f>
        <v>0</v>
      </c>
    </row>
    <row r="274" spans="14:20" ht="16.5" x14ac:dyDescent="0.3">
      <c r="N274" s="190">
        <f>IF('Input LwA_XYZ'!A33 = 0, "", 'Input LwA_XYZ'!A33)</f>
        <v>1</v>
      </c>
      <c r="O274" s="189" t="str">
        <f>IF($N274="","",_xlfn.TEXTJOIN(" - ",TRUE,'Input LwA_XYZ'!B33:C33))</f>
        <v>BEF-R11  - Inlet</v>
      </c>
      <c r="P274" s="64">
        <f>IF($N274="","",'Input LwA_XYZ'!Q33)</f>
        <v>66</v>
      </c>
      <c r="Q274" s="91" t="str">
        <f>IF($N274="","",-1*ROUND(_xlfn.XLOOKUP(Tables!$L$242,'Input LwA_XYZ'!$AY$1:$BM$1,'Input LwA_XYZ'!AY33:BM33),0) &amp; " / " &amp; ROUND(_xlfn.XLOOKUP(Tables!$L$242,'Input LwA_XYZ'!$AH$1:$AV$1,'Input LwA_XYZ'!AH33:AV33),0) &amp; " ft")</f>
        <v>44 / 218 ft</v>
      </c>
      <c r="R274" s="91">
        <f>IF($N274="","",IF(_xlfn.XLOOKUP(Tables!$L$242,'Input LwA_XYZ'!$BV$1:$CJ$1,'Input LwA_XYZ'!BV33:CJ33)="","-",_xlfn.XLOOKUP(Tables!$L$242,'Input LwA_XYZ'!$BV$1:$CJ$1,'Input LwA_XYZ'!BV33:CJ33)))</f>
        <v>6</v>
      </c>
      <c r="S274" s="91" t="str">
        <f>IF($N274="","",IF('Input LwA_XYZ'!S33="","-",'Input LwA_XYZ'!S33))</f>
        <v>-</v>
      </c>
      <c r="T274" s="65">
        <f>IF($N274="","",_xlfn.XLOOKUP(Tables!$L$242,'Input LwA_XYZ'!$DD$1:$DR$1,'Input LwA_XYZ'!DD33:DR33))</f>
        <v>0</v>
      </c>
    </row>
    <row r="275" spans="14:20" ht="16.5" x14ac:dyDescent="0.3">
      <c r="N275" s="190">
        <f>IF('Input LwA_XYZ'!A34 = 0, "", 'Input LwA_XYZ'!A34)</f>
        <v>1</v>
      </c>
      <c r="O275" s="189" t="str">
        <f>IF($N275="","",_xlfn.TEXTJOIN(" - ",TRUE,'Input LwA_XYZ'!B34:C34))</f>
        <v>BEF-R12  - Inlet</v>
      </c>
      <c r="P275" s="64">
        <f>IF($N275="","",'Input LwA_XYZ'!Q34)</f>
        <v>66</v>
      </c>
      <c r="Q275" s="91" t="str">
        <f>IF($N275="","",-1*ROUND(_xlfn.XLOOKUP(Tables!$L$242,'Input LwA_XYZ'!$AY$1:$BM$1,'Input LwA_XYZ'!AY34:BM34),0) &amp; " / " &amp; ROUND(_xlfn.XLOOKUP(Tables!$L$242,'Input LwA_XYZ'!$AH$1:$AV$1,'Input LwA_XYZ'!AH34:AV34),0) &amp; " ft")</f>
        <v>41 / 148 ft</v>
      </c>
      <c r="R275" s="91">
        <f>IF($N275="","",IF(_xlfn.XLOOKUP(Tables!$L$242,'Input LwA_XYZ'!$BV$1:$CJ$1,'Input LwA_XYZ'!BV34:CJ34)="","-",_xlfn.XLOOKUP(Tables!$L$242,'Input LwA_XYZ'!$BV$1:$CJ$1,'Input LwA_XYZ'!BV34:CJ34)))</f>
        <v>2</v>
      </c>
      <c r="S275" s="91" t="str">
        <f>IF($N275="","",IF('Input LwA_XYZ'!S34="","-",'Input LwA_XYZ'!S34))</f>
        <v>-</v>
      </c>
      <c r="T275" s="65">
        <f>IF($N275="","",_xlfn.XLOOKUP(Tables!$L$242,'Input LwA_XYZ'!$DD$1:$DR$1,'Input LwA_XYZ'!DD34:DR34))</f>
        <v>0</v>
      </c>
    </row>
    <row r="276" spans="14:20" ht="16.5" x14ac:dyDescent="0.3">
      <c r="N276" s="190">
        <f>IF('Input LwA_XYZ'!A35 = 0, "", 'Input LwA_XYZ'!A35)</f>
        <v>1</v>
      </c>
      <c r="O276" s="189" t="str">
        <f>IF($N276="","",_xlfn.TEXTJOIN(" - ",TRUE,'Input LwA_XYZ'!B35:C35))</f>
        <v>BEF-R13  - Inlet</v>
      </c>
      <c r="P276" s="64">
        <f>IF($N276="","",'Input LwA_XYZ'!Q35)</f>
        <v>66</v>
      </c>
      <c r="Q276" s="91" t="str">
        <f>IF($N276="","",-1*ROUND(_xlfn.XLOOKUP(Tables!$L$242,'Input LwA_XYZ'!$AY$1:$BM$1,'Input LwA_XYZ'!AY35:BM35),0) &amp; " / " &amp; ROUND(_xlfn.XLOOKUP(Tables!$L$242,'Input LwA_XYZ'!$AH$1:$AV$1,'Input LwA_XYZ'!AH35:AV35),0) &amp; " ft")</f>
        <v>40 / 124 ft</v>
      </c>
      <c r="R276" s="91">
        <f>IF($N276="","",IF(_xlfn.XLOOKUP(Tables!$L$242,'Input LwA_XYZ'!$BV$1:$CJ$1,'Input LwA_XYZ'!BV35:CJ35)="","-",_xlfn.XLOOKUP(Tables!$L$242,'Input LwA_XYZ'!$BV$1:$CJ$1,'Input LwA_XYZ'!BV35:CJ35)))</f>
        <v>3</v>
      </c>
      <c r="S276" s="91" t="str">
        <f>IF($N276="","",IF('Input LwA_XYZ'!S35="","-",'Input LwA_XYZ'!S35))</f>
        <v>-</v>
      </c>
      <c r="T276" s="65">
        <f>IF($N276="","",_xlfn.XLOOKUP(Tables!$L$242,'Input LwA_XYZ'!$DD$1:$DR$1,'Input LwA_XYZ'!DD35:DR35))</f>
        <v>0</v>
      </c>
    </row>
    <row r="277" spans="14:20" ht="16.5" x14ac:dyDescent="0.3">
      <c r="N277" s="190">
        <f>IF('Input LwA_XYZ'!A36 = 0, "", 'Input LwA_XYZ'!A36)</f>
        <v>1</v>
      </c>
      <c r="O277" s="189" t="str">
        <f>IF($N277="","",_xlfn.TEXTJOIN(" - ",TRUE,'Input LwA_XYZ'!B36:C36))</f>
        <v>BEF-R14  - Inlet</v>
      </c>
      <c r="P277" s="64">
        <f>IF($N277="","",'Input LwA_XYZ'!Q36)</f>
        <v>66</v>
      </c>
      <c r="Q277" s="91" t="str">
        <f>IF($N277="","",-1*ROUND(_xlfn.XLOOKUP(Tables!$L$242,'Input LwA_XYZ'!$AY$1:$BM$1,'Input LwA_XYZ'!AY36:BM36),0) &amp; " / " &amp; ROUND(_xlfn.XLOOKUP(Tables!$L$242,'Input LwA_XYZ'!$AH$1:$AV$1,'Input LwA_XYZ'!AH36:AV36),0) &amp; " ft")</f>
        <v>39 / 112 ft</v>
      </c>
      <c r="R277" s="91">
        <f>IF($N277="","",IF(_xlfn.XLOOKUP(Tables!$L$242,'Input LwA_XYZ'!$BV$1:$CJ$1,'Input LwA_XYZ'!BV36:CJ36)="","-",_xlfn.XLOOKUP(Tables!$L$242,'Input LwA_XYZ'!$BV$1:$CJ$1,'Input LwA_XYZ'!BV36:CJ36)))</f>
        <v>2</v>
      </c>
      <c r="S277" s="91" t="str">
        <f>IF($N277="","",IF('Input LwA_XYZ'!S36="","-",'Input LwA_XYZ'!S36))</f>
        <v>-</v>
      </c>
      <c r="T277" s="65">
        <f>IF($N277="","",_xlfn.XLOOKUP(Tables!$L$242,'Input LwA_XYZ'!$DD$1:$DR$1,'Input LwA_XYZ'!DD36:DR36))</f>
        <v>0</v>
      </c>
    </row>
    <row r="278" spans="14:20" ht="16.5" x14ac:dyDescent="0.3">
      <c r="N278" s="190">
        <f>IF('Input LwA_XYZ'!A37 = 0, "", 'Input LwA_XYZ'!A37)</f>
        <v>1</v>
      </c>
      <c r="O278" s="189" t="str">
        <f>IF($N278="","",_xlfn.TEXTJOIN(" - ",TRUE,'Input LwA_XYZ'!B37:C37))</f>
        <v>BEF-R15  - Inlet</v>
      </c>
      <c r="P278" s="64">
        <f>IF($N278="","",'Input LwA_XYZ'!Q37)</f>
        <v>57</v>
      </c>
      <c r="Q278" s="91" t="str">
        <f>IF($N278="","",-1*ROUND(_xlfn.XLOOKUP(Tables!$L$242,'Input LwA_XYZ'!$AY$1:$BM$1,'Input LwA_XYZ'!AY37:BM37),0) &amp; " / " &amp; ROUND(_xlfn.XLOOKUP(Tables!$L$242,'Input LwA_XYZ'!$AH$1:$AV$1,'Input LwA_XYZ'!AH37:AV37),0) &amp; " ft")</f>
        <v>38 / 102 ft</v>
      </c>
      <c r="R278" s="91">
        <f>IF($N278="","",IF(_xlfn.XLOOKUP(Tables!$L$242,'Input LwA_XYZ'!$BV$1:$CJ$1,'Input LwA_XYZ'!BV37:CJ37)="","-",_xlfn.XLOOKUP(Tables!$L$242,'Input LwA_XYZ'!$BV$1:$CJ$1,'Input LwA_XYZ'!BV37:CJ37)))</f>
        <v>0</v>
      </c>
      <c r="S278" s="91" t="str">
        <f>IF($N278="","",IF('Input LwA_XYZ'!S37="","-",'Input LwA_XYZ'!S37))</f>
        <v>-</v>
      </c>
      <c r="T278" s="65">
        <f>IF($N278="","",_xlfn.XLOOKUP(Tables!$L$242,'Input LwA_XYZ'!$DD$1:$DR$1,'Input LwA_XYZ'!DD37:DR37))</f>
        <v>0</v>
      </c>
    </row>
    <row r="279" spans="14:20" ht="16.5" x14ac:dyDescent="0.3">
      <c r="N279" s="190">
        <f>IF('Input LwA_XYZ'!A38 = 0, "", 'Input LwA_XYZ'!A38)</f>
        <v>1</v>
      </c>
      <c r="O279" s="189" t="str">
        <f>IF($N279="","",_xlfn.TEXTJOIN(" - ",TRUE,'Input LwA_XYZ'!B38:C38))</f>
        <v>BEF-R16  - Inlet</v>
      </c>
      <c r="P279" s="64">
        <f>IF($N279="","",'Input LwA_XYZ'!Q38)</f>
        <v>57</v>
      </c>
      <c r="Q279" s="91" t="str">
        <f>IF($N279="","",-1*ROUND(_xlfn.XLOOKUP(Tables!$L$242,'Input LwA_XYZ'!$AY$1:$BM$1,'Input LwA_XYZ'!AY38:BM38),0) &amp; " / " &amp; ROUND(_xlfn.XLOOKUP(Tables!$L$242,'Input LwA_XYZ'!$AH$1:$AV$1,'Input LwA_XYZ'!AH38:AV38),0) &amp; " ft")</f>
        <v>42 / 157 ft</v>
      </c>
      <c r="R279" s="91">
        <f>IF($N279="","",IF(_xlfn.XLOOKUP(Tables!$L$242,'Input LwA_XYZ'!$BV$1:$CJ$1,'Input LwA_XYZ'!BV38:CJ38)="","-",_xlfn.XLOOKUP(Tables!$L$242,'Input LwA_XYZ'!$BV$1:$CJ$1,'Input LwA_XYZ'!BV38:CJ38)))</f>
        <v>2</v>
      </c>
      <c r="S279" s="91" t="str">
        <f>IF($N279="","",IF('Input LwA_XYZ'!S38="","-",'Input LwA_XYZ'!S38))</f>
        <v>-</v>
      </c>
      <c r="T279" s="65">
        <f>IF($N279="","",_xlfn.XLOOKUP(Tables!$L$242,'Input LwA_XYZ'!$DD$1:$DR$1,'Input LwA_XYZ'!DD38:DR38))</f>
        <v>0</v>
      </c>
    </row>
    <row r="280" spans="14:20" ht="16.5" x14ac:dyDescent="0.3">
      <c r="N280" s="190" t="str">
        <f>IF('Input LwA_XYZ'!A39 = 0, "", 'Input LwA_XYZ'!A39)</f>
        <v/>
      </c>
      <c r="O280" s="189" t="str">
        <f>IF($N280="","",_xlfn.TEXTJOIN(" - ",TRUE,'Input LwA_XYZ'!B39:C39))</f>
        <v/>
      </c>
      <c r="P280" s="64" t="str">
        <f>IF($N280="","",'Input LwA_XYZ'!Q39)</f>
        <v/>
      </c>
      <c r="Q280" s="91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91" t="str">
        <f>IF($N280="","",IF(_xlfn.XLOOKUP(Tables!$L$242,'Input LwA_XYZ'!$BV$1:$CJ$1,'Input LwA_XYZ'!BV39:CJ39)="","-",_xlfn.XLOOKUP(Tables!$L$242,'Input LwA_XYZ'!$BV$1:$CJ$1,'Input LwA_XYZ'!BV39:CJ39)))</f>
        <v/>
      </c>
      <c r="S280" s="91" t="str">
        <f>IF($N280="","",IF('Input LwA_XYZ'!S39="","-",'Input LwA_XYZ'!S39))</f>
        <v/>
      </c>
      <c r="T280" s="65" t="str">
        <f>IF($N280="","",_xlfn.XLOOKUP(Tables!$L$242,'Input LwA_XYZ'!$DD$1:$DR$1,'Input LwA_XYZ'!DD39:DR39))</f>
        <v/>
      </c>
    </row>
    <row r="281" spans="14:20" ht="16.5" x14ac:dyDescent="0.3">
      <c r="N281" s="190" t="str">
        <f>IF('Input LwA_XYZ'!A40 = 0, "", 'Input LwA_XYZ'!A40)</f>
        <v/>
      </c>
      <c r="O281" s="189" t="str">
        <f>IF($N281="","",_xlfn.TEXTJOIN(" - ",TRUE,'Input LwA_XYZ'!B40:C40))</f>
        <v/>
      </c>
      <c r="P281" s="64" t="str">
        <f>IF($N281="","",'Input LwA_XYZ'!Q40)</f>
        <v/>
      </c>
      <c r="Q281" s="91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91" t="str">
        <f>IF($N281="","",IF(_xlfn.XLOOKUP(Tables!$L$242,'Input LwA_XYZ'!$BV$1:$CJ$1,'Input LwA_XYZ'!BV40:CJ40)="","-",_xlfn.XLOOKUP(Tables!$L$242,'Input LwA_XYZ'!$BV$1:$CJ$1,'Input LwA_XYZ'!BV40:CJ40)))</f>
        <v/>
      </c>
      <c r="S281" s="91" t="str">
        <f>IF($N281="","",IF('Input LwA_XYZ'!S40="","-",'Input LwA_XYZ'!S40))</f>
        <v/>
      </c>
      <c r="T281" s="65" t="str">
        <f>IF($N281="","",_xlfn.XLOOKUP(Tables!$L$242,'Input LwA_XYZ'!$DD$1:$DR$1,'Input LwA_XYZ'!DD40:DR40))</f>
        <v/>
      </c>
    </row>
    <row r="282" spans="14:20" ht="16.5" x14ac:dyDescent="0.3">
      <c r="N282" s="190" t="str">
        <f>IF('Input LwA_XYZ'!A41 = 0, "", 'Input LwA_XYZ'!A41)</f>
        <v/>
      </c>
      <c r="O282" s="189" t="str">
        <f>IF($N282="","",_xlfn.TEXTJOIN(" - ",TRUE,'Input LwA_XYZ'!B41:C41))</f>
        <v/>
      </c>
      <c r="P282" s="64" t="str">
        <f>IF($N282="","",'Input LwA_XYZ'!Q41)</f>
        <v/>
      </c>
      <c r="Q282" s="91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91" t="str">
        <f>IF($N282="","",IF(_xlfn.XLOOKUP(Tables!$L$242,'Input LwA_XYZ'!$BV$1:$CJ$1,'Input LwA_XYZ'!BV41:CJ41)="","-",_xlfn.XLOOKUP(Tables!$L$242,'Input LwA_XYZ'!$BV$1:$CJ$1,'Input LwA_XYZ'!BV41:CJ41)))</f>
        <v/>
      </c>
      <c r="S282" s="91" t="str">
        <f>IF($N282="","",IF('Input LwA_XYZ'!S41="","-",'Input LwA_XYZ'!S41))</f>
        <v/>
      </c>
      <c r="T282" s="65" t="str">
        <f>IF($N282="","",_xlfn.XLOOKUP(Tables!$L$242,'Input LwA_XYZ'!$DD$1:$DR$1,'Input LwA_XYZ'!DD41:DR41))</f>
        <v/>
      </c>
    </row>
    <row r="283" spans="14:20" ht="16.5" x14ac:dyDescent="0.3">
      <c r="N283" s="190" t="str">
        <f>IF('Input LwA_XYZ'!A42 = 0, "", 'Input LwA_XYZ'!A42)</f>
        <v/>
      </c>
      <c r="O283" s="189" t="str">
        <f>IF($N283="","",_xlfn.TEXTJOIN(" - ",TRUE,'Input LwA_XYZ'!B42:C42))</f>
        <v/>
      </c>
      <c r="P283" s="64" t="str">
        <f>IF($N283="","",'Input LwA_XYZ'!Q42)</f>
        <v/>
      </c>
      <c r="Q283" s="91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91" t="str">
        <f>IF($N283="","",IF(_xlfn.XLOOKUP(Tables!$L$242,'Input LwA_XYZ'!$BV$1:$CJ$1,'Input LwA_XYZ'!BV42:CJ42)="","-",_xlfn.XLOOKUP(Tables!$L$242,'Input LwA_XYZ'!$BV$1:$CJ$1,'Input LwA_XYZ'!BV42:CJ42)))</f>
        <v/>
      </c>
      <c r="S283" s="91" t="str">
        <f>IF($N283="","",IF('Input LwA_XYZ'!S42="","-",'Input LwA_XYZ'!S42))</f>
        <v/>
      </c>
      <c r="T283" s="65" t="str">
        <f>IF($N283="","",_xlfn.XLOOKUP(Tables!$L$242,'Input LwA_XYZ'!$DD$1:$DR$1,'Input LwA_XYZ'!DD42:DR42))</f>
        <v/>
      </c>
    </row>
    <row r="284" spans="14:20" ht="16.5" x14ac:dyDescent="0.3">
      <c r="N284" s="190" t="str">
        <f>IF('Input LwA_XYZ'!A43 = 0, "", 'Input LwA_XYZ'!A43)</f>
        <v/>
      </c>
      <c r="O284" s="189" t="str">
        <f>IF($N284="","",_xlfn.TEXTJOIN(" - ",TRUE,'Input LwA_XYZ'!B43:C43))</f>
        <v/>
      </c>
      <c r="P284" s="64" t="str">
        <f>IF($N284="","",'Input LwA_XYZ'!Q43)</f>
        <v/>
      </c>
      <c r="Q284" s="91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91" t="str">
        <f>IF($N284="","",IF(_xlfn.XLOOKUP(Tables!$L$242,'Input LwA_XYZ'!$BV$1:$CJ$1,'Input LwA_XYZ'!BV43:CJ43)="","-",_xlfn.XLOOKUP(Tables!$L$242,'Input LwA_XYZ'!$BV$1:$CJ$1,'Input LwA_XYZ'!BV43:CJ43)))</f>
        <v/>
      </c>
      <c r="S284" s="91" t="str">
        <f>IF($N284="","",IF('Input LwA_XYZ'!S43="","-",'Input LwA_XYZ'!S43))</f>
        <v/>
      </c>
      <c r="T284" s="65" t="str">
        <f>IF($N284="","",_xlfn.XLOOKUP(Tables!$L$242,'Input LwA_XYZ'!$DD$1:$DR$1,'Input LwA_XYZ'!DD43:DR43))</f>
        <v/>
      </c>
    </row>
    <row r="285" spans="14:20" ht="16.5" x14ac:dyDescent="0.3">
      <c r="N285" s="190" t="str">
        <f>IF('Input LwA_XYZ'!A44 = 0, "", 'Input LwA_XYZ'!A44)</f>
        <v/>
      </c>
      <c r="O285" s="189" t="str">
        <f>IF($N285="","",_xlfn.TEXTJOIN(" - ",TRUE,'Input LwA_XYZ'!B44:C44))</f>
        <v/>
      </c>
      <c r="P285" s="64" t="str">
        <f>IF($N285="","",'Input LwA_XYZ'!Q44)</f>
        <v/>
      </c>
      <c r="Q285" s="91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91" t="str">
        <f>IF($N285="","",IF(_xlfn.XLOOKUP(Tables!$L$242,'Input LwA_XYZ'!$BV$1:$CJ$1,'Input LwA_XYZ'!BV44:CJ44)="","-",_xlfn.XLOOKUP(Tables!$L$242,'Input LwA_XYZ'!$BV$1:$CJ$1,'Input LwA_XYZ'!BV44:CJ44)))</f>
        <v/>
      </c>
      <c r="S285" s="91" t="str">
        <f>IF($N285="","",IF('Input LwA_XYZ'!S44="","-",'Input LwA_XYZ'!S44))</f>
        <v/>
      </c>
      <c r="T285" s="65" t="str">
        <f>IF($N285="","",_xlfn.XLOOKUP(Tables!$L$242,'Input LwA_XYZ'!$DD$1:$DR$1,'Input LwA_XYZ'!DD44:DR44))</f>
        <v/>
      </c>
    </row>
    <row r="286" spans="14:20" ht="16.5" x14ac:dyDescent="0.3">
      <c r="N286" s="190" t="str">
        <f>IF('Input LwA_XYZ'!A45 = 0, "", 'Input LwA_XYZ'!A45)</f>
        <v/>
      </c>
      <c r="O286" s="189" t="str">
        <f>IF($N286="","",_xlfn.TEXTJOIN(" - ",TRUE,'Input LwA_XYZ'!B45:C45))</f>
        <v/>
      </c>
      <c r="P286" s="64" t="str">
        <f>IF($N286="","",'Input LwA_XYZ'!Q45)</f>
        <v/>
      </c>
      <c r="Q286" s="91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91" t="str">
        <f>IF($N286="","",IF(_xlfn.XLOOKUP(Tables!$L$242,'Input LwA_XYZ'!$BV$1:$CJ$1,'Input LwA_XYZ'!BV45:CJ45)="","-",_xlfn.XLOOKUP(Tables!$L$242,'Input LwA_XYZ'!$BV$1:$CJ$1,'Input LwA_XYZ'!BV45:CJ45)))</f>
        <v/>
      </c>
      <c r="S286" s="91" t="str">
        <f>IF($N286="","",IF('Input LwA_XYZ'!S45="","-",'Input LwA_XYZ'!S45))</f>
        <v/>
      </c>
      <c r="T286" s="65" t="str">
        <f>IF($N286="","",_xlfn.XLOOKUP(Tables!$L$242,'Input LwA_XYZ'!$DD$1:$DR$1,'Input LwA_XYZ'!DD45:DR45))</f>
        <v/>
      </c>
    </row>
    <row r="287" spans="14:20" ht="16.5" x14ac:dyDescent="0.3">
      <c r="N287" s="190" t="str">
        <f>IF('Input LwA_XYZ'!A46 = 0, "", 'Input LwA_XYZ'!A46)</f>
        <v/>
      </c>
      <c r="O287" s="189" t="str">
        <f>IF($N287="","",_xlfn.TEXTJOIN(" - ",TRUE,'Input LwA_XYZ'!B46:C46))</f>
        <v/>
      </c>
      <c r="P287" s="64" t="str">
        <f>IF($N287="","",'Input LwA_XYZ'!Q46)</f>
        <v/>
      </c>
      <c r="Q287" s="91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91" t="str">
        <f>IF($N287="","",IF(_xlfn.XLOOKUP(Tables!$L$242,'Input LwA_XYZ'!$BV$1:$CJ$1,'Input LwA_XYZ'!BV46:CJ46)="","-",_xlfn.XLOOKUP(Tables!$L$242,'Input LwA_XYZ'!$BV$1:$CJ$1,'Input LwA_XYZ'!BV46:CJ46)))</f>
        <v/>
      </c>
      <c r="S287" s="91" t="str">
        <f>IF($N287="","",IF('Input LwA_XYZ'!S46="","-",'Input LwA_XYZ'!S46))</f>
        <v/>
      </c>
      <c r="T287" s="65" t="str">
        <f>IF($N287="","",_xlfn.XLOOKUP(Tables!$L$242,'Input LwA_XYZ'!$DD$1:$DR$1,'Input LwA_XYZ'!DD46:DR46))</f>
        <v/>
      </c>
    </row>
    <row r="288" spans="14:20" ht="16.5" x14ac:dyDescent="0.3">
      <c r="N288" s="190" t="str">
        <f>IF('Input LwA_XYZ'!A47 = 0, "", 'Input LwA_XYZ'!A47)</f>
        <v/>
      </c>
      <c r="O288" s="189" t="str">
        <f>IF($N288="","",_xlfn.TEXTJOIN(" - ",TRUE,'Input LwA_XYZ'!B47:C47))</f>
        <v/>
      </c>
      <c r="P288" s="64" t="str">
        <f>IF($N288="","",'Input LwA_XYZ'!Q47)</f>
        <v/>
      </c>
      <c r="Q288" s="91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91" t="str">
        <f>IF($N288="","",IF(_xlfn.XLOOKUP(Tables!$L$242,'Input LwA_XYZ'!$BV$1:$CJ$1,'Input LwA_XYZ'!BV47:CJ47)="","-",_xlfn.XLOOKUP(Tables!$L$242,'Input LwA_XYZ'!$BV$1:$CJ$1,'Input LwA_XYZ'!BV47:CJ47)))</f>
        <v/>
      </c>
      <c r="S288" s="91" t="str">
        <f>IF($N288="","",IF('Input LwA_XYZ'!S47="","-",'Input LwA_XYZ'!S47))</f>
        <v/>
      </c>
      <c r="T288" s="65" t="str">
        <f>IF($N288="","",_xlfn.XLOOKUP(Tables!$L$242,'Input LwA_XYZ'!$DD$1:$DR$1,'Input LwA_XYZ'!DD47:DR47))</f>
        <v/>
      </c>
    </row>
    <row r="289" spans="12:20" ht="16.5" x14ac:dyDescent="0.3">
      <c r="N289" s="190" t="str">
        <f>IF('Input LwA_XYZ'!A48 = 0, "", 'Input LwA_XYZ'!A48)</f>
        <v/>
      </c>
      <c r="O289" s="189" t="str">
        <f>IF($N289="","",_xlfn.TEXTJOIN(" - ",TRUE,'Input LwA_XYZ'!B48:C48))</f>
        <v/>
      </c>
      <c r="P289" s="64" t="str">
        <f>IF($N289="","",'Input LwA_XYZ'!Q48)</f>
        <v/>
      </c>
      <c r="Q289" s="91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91" t="str">
        <f>IF($N289="","",IF(_xlfn.XLOOKUP(Tables!$L$242,'Input LwA_XYZ'!$BV$1:$CJ$1,'Input LwA_XYZ'!BV48:CJ48)="","-",_xlfn.XLOOKUP(Tables!$L$242,'Input LwA_XYZ'!$BV$1:$CJ$1,'Input LwA_XYZ'!BV48:CJ48)))</f>
        <v/>
      </c>
      <c r="S289" s="91" t="str">
        <f>IF($N289="","",IF('Input LwA_XYZ'!S48="","-",'Input LwA_XYZ'!S48))</f>
        <v/>
      </c>
      <c r="T289" s="65" t="str">
        <f>IF($N289="","",_xlfn.XLOOKUP(Tables!$L$242,'Input LwA_XYZ'!$DD$1:$DR$1,'Input LwA_XYZ'!DD48:DR48))</f>
        <v/>
      </c>
    </row>
    <row r="290" spans="12:20" ht="16.5" x14ac:dyDescent="0.3">
      <c r="N290" s="190" t="str">
        <f>IF('Input LwA_XYZ'!A49 = 0, "", 'Input LwA_XYZ'!A49)</f>
        <v/>
      </c>
      <c r="O290" s="189" t="str">
        <f>IF($N290="","",_xlfn.TEXTJOIN(" - ",TRUE,'Input LwA_XYZ'!B49:C49))</f>
        <v/>
      </c>
      <c r="P290" s="64" t="str">
        <f>IF($N290="","",'Input LwA_XYZ'!Q49)</f>
        <v/>
      </c>
      <c r="Q290" s="91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91" t="str">
        <f>IF($N290="","",IF(_xlfn.XLOOKUP(Tables!$L$242,'Input LwA_XYZ'!$BV$1:$CJ$1,'Input LwA_XYZ'!BV49:CJ49)="","-",_xlfn.XLOOKUP(Tables!$L$242,'Input LwA_XYZ'!$BV$1:$CJ$1,'Input LwA_XYZ'!BV49:CJ49)))</f>
        <v/>
      </c>
      <c r="S290" s="91" t="str">
        <f>IF($N290="","",IF('Input LwA_XYZ'!S49="","-",'Input LwA_XYZ'!S49))</f>
        <v/>
      </c>
      <c r="T290" s="65" t="str">
        <f>IF($N290="","",_xlfn.XLOOKUP(Tables!$L$242,'Input LwA_XYZ'!$DD$1:$DR$1,'Input LwA_XYZ'!DD49:DR49))</f>
        <v/>
      </c>
    </row>
    <row r="291" spans="12:20" ht="16.5" x14ac:dyDescent="0.3">
      <c r="N291" s="190" t="str">
        <f>IF('Input LwA_XYZ'!A50 = 0, "", 'Input LwA_XYZ'!A50)</f>
        <v/>
      </c>
      <c r="O291" s="189" t="str">
        <f>IF($N291="","",_xlfn.TEXTJOIN(" - ",TRUE,'Input LwA_XYZ'!B50:C50))</f>
        <v/>
      </c>
      <c r="P291" s="64" t="str">
        <f>IF($N291="","",'Input LwA_XYZ'!Q50)</f>
        <v/>
      </c>
      <c r="Q291" s="91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91" t="str">
        <f>IF($N291="","",IF(_xlfn.XLOOKUP(Tables!$L$242,'Input LwA_XYZ'!$BV$1:$CJ$1,'Input LwA_XYZ'!BV50:CJ50)="","-",_xlfn.XLOOKUP(Tables!$L$242,'Input LwA_XYZ'!$BV$1:$CJ$1,'Input LwA_XYZ'!BV50:CJ50)))</f>
        <v/>
      </c>
      <c r="S291" s="91" t="str">
        <f>IF($N291="","",IF('Input LwA_XYZ'!S50="","-",'Input LwA_XYZ'!S50))</f>
        <v/>
      </c>
      <c r="T291" s="65" t="str">
        <f>IF($N291="","",_xlfn.XLOOKUP(Tables!$L$242,'Input LwA_XYZ'!$DD$1:$DR$1,'Input LwA_XYZ'!DD50:DR50))</f>
        <v/>
      </c>
    </row>
    <row r="292" spans="12:20" ht="16.5" x14ac:dyDescent="0.3">
      <c r="N292" s="190" t="str">
        <f>IF('Input LwA_XYZ'!A51 = 0, "", 'Input LwA_XYZ'!A51)</f>
        <v/>
      </c>
      <c r="O292" s="189" t="str">
        <f>IF($N292="","",_xlfn.TEXTJOIN(" - ",TRUE,'Input LwA_XYZ'!B51:C51))</f>
        <v/>
      </c>
      <c r="P292" s="64" t="str">
        <f>IF($N292="","",'Input LwA_XYZ'!Q51)</f>
        <v/>
      </c>
      <c r="Q292" s="91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91" t="str">
        <f>IF($N292="","",IF(_xlfn.XLOOKUP(Tables!$L$242,'Input LwA_XYZ'!$BV$1:$CJ$1,'Input LwA_XYZ'!BV51:CJ51)="","-",_xlfn.XLOOKUP(Tables!$L$242,'Input LwA_XYZ'!$BV$1:$CJ$1,'Input LwA_XYZ'!BV51:CJ51)))</f>
        <v/>
      </c>
      <c r="S292" s="91" t="str">
        <f>IF($N292="","",IF('Input LwA_XYZ'!S51="","-",'Input LwA_XYZ'!S51))</f>
        <v/>
      </c>
      <c r="T292" s="65" t="str">
        <f>IF($N292="","",_xlfn.XLOOKUP(Tables!$L$242,'Input LwA_XYZ'!$DD$1:$DR$1,'Input LwA_XYZ'!DD51:DR51))</f>
        <v/>
      </c>
    </row>
    <row r="293" spans="12:20" ht="16.5" x14ac:dyDescent="0.3">
      <c r="N293" s="190" t="str">
        <f>IF('Input LwA_XYZ'!A52 = 0, "", 'Input LwA_XYZ'!A52)</f>
        <v/>
      </c>
      <c r="O293" s="189" t="str">
        <f>IF($N293="","",_xlfn.TEXTJOIN(" - ",TRUE,'Input LwA_XYZ'!B52:C52))</f>
        <v/>
      </c>
      <c r="P293" s="64" t="str">
        <f>IF($N293="","",'Input LwA_XYZ'!Q52)</f>
        <v/>
      </c>
      <c r="Q293" s="91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91" t="str">
        <f>IF($N293="","",IF(_xlfn.XLOOKUP(Tables!$L$242,'Input LwA_XYZ'!$BV$1:$CJ$1,'Input LwA_XYZ'!BV52:CJ52)="","-",_xlfn.XLOOKUP(Tables!$L$242,'Input LwA_XYZ'!$BV$1:$CJ$1,'Input LwA_XYZ'!BV52:CJ52)))</f>
        <v/>
      </c>
      <c r="S293" s="91" t="str">
        <f>IF($N293="","",IF('Input LwA_XYZ'!S52="","-",'Input LwA_XYZ'!S52))</f>
        <v/>
      </c>
      <c r="T293" s="65" t="str">
        <f>IF($N293="","",_xlfn.XLOOKUP(Tables!$L$242,'Input LwA_XYZ'!$DD$1:$DR$1,'Input LwA_XYZ'!DD52:DR52))</f>
        <v/>
      </c>
    </row>
    <row r="294" spans="12:20" ht="16.5" x14ac:dyDescent="0.3">
      <c r="N294" s="190" t="str">
        <f>IF('Input LwA_XYZ'!A53 = 0, "", 'Input LwA_XYZ'!A53)</f>
        <v/>
      </c>
      <c r="O294" s="189" t="str">
        <f>IF($N294="","",_xlfn.TEXTJOIN(" - ",TRUE,'Input LwA_XYZ'!B53:C53))</f>
        <v/>
      </c>
      <c r="P294" s="64" t="str">
        <f>IF($N294="","",'Input LwA_XYZ'!Q53)</f>
        <v/>
      </c>
      <c r="Q294" s="91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91" t="str">
        <f>IF($N294="","",IF(_xlfn.XLOOKUP(Tables!$L$242,'Input LwA_XYZ'!$BV$1:$CJ$1,'Input LwA_XYZ'!BV53:CJ53)="","-",_xlfn.XLOOKUP(Tables!$L$242,'Input LwA_XYZ'!$BV$1:$CJ$1,'Input LwA_XYZ'!BV53:CJ53)))</f>
        <v/>
      </c>
      <c r="S294" s="91" t="str">
        <f>IF($N294="","",IF('Input LwA_XYZ'!S53="","-",'Input LwA_XYZ'!S53))</f>
        <v/>
      </c>
      <c r="T294" s="65" t="str">
        <f>IF($N294="","",_xlfn.XLOOKUP(Tables!$L$242,'Input LwA_XYZ'!$DD$1:$DR$1,'Input LwA_XYZ'!DD53:DR53))</f>
        <v/>
      </c>
    </row>
    <row r="295" spans="12:20" ht="16.5" x14ac:dyDescent="0.3">
      <c r="N295" s="190" t="str">
        <f>IF('Input LwA_XYZ'!A54 = 0, "", 'Input LwA_XYZ'!A54)</f>
        <v/>
      </c>
      <c r="O295" s="189" t="str">
        <f>IF($N295="","",_xlfn.TEXTJOIN(" - ",TRUE,'Input LwA_XYZ'!B54:C54))</f>
        <v/>
      </c>
      <c r="P295" s="64" t="str">
        <f>IF($N295="","",'Input LwA_XYZ'!Q54)</f>
        <v/>
      </c>
      <c r="Q295" s="91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91" t="str">
        <f>IF($N295="","",IF(_xlfn.XLOOKUP(Tables!$L$242,'Input LwA_XYZ'!$BV$1:$CJ$1,'Input LwA_XYZ'!BV54:CJ54)="","-",_xlfn.XLOOKUP(Tables!$L$242,'Input LwA_XYZ'!$BV$1:$CJ$1,'Input LwA_XYZ'!BV54:CJ54)))</f>
        <v/>
      </c>
      <c r="S295" s="91" t="str">
        <f>IF($N295="","",IF('Input LwA_XYZ'!S54="","-",'Input LwA_XYZ'!S54))</f>
        <v/>
      </c>
      <c r="T295" s="65" t="str">
        <f>IF($N295="","",_xlfn.XLOOKUP(Tables!$L$242,'Input LwA_XYZ'!$DD$1:$DR$1,'Input LwA_XYZ'!DD54:DR54))</f>
        <v/>
      </c>
    </row>
    <row r="296" spans="12:20" ht="16.5" x14ac:dyDescent="0.3">
      <c r="N296" s="190" t="str">
        <f>IF('Input LwA_XYZ'!A55 = 0, "", 'Input LwA_XYZ'!A55)</f>
        <v/>
      </c>
      <c r="O296" s="189" t="str">
        <f>IF($N296="","",_xlfn.TEXTJOIN(" - ",TRUE,'Input LwA_XYZ'!B55:C55))</f>
        <v/>
      </c>
      <c r="P296" s="64" t="str">
        <f>IF($N296="","",'Input LwA_XYZ'!Q55)</f>
        <v/>
      </c>
      <c r="Q296" s="91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91" t="str">
        <f>IF($N296="","",IF(_xlfn.XLOOKUP(Tables!$L$242,'Input LwA_XYZ'!$BV$1:$CJ$1,'Input LwA_XYZ'!BV55:CJ55)="","-",_xlfn.XLOOKUP(Tables!$L$242,'Input LwA_XYZ'!$BV$1:$CJ$1,'Input LwA_XYZ'!BV55:CJ55)))</f>
        <v/>
      </c>
      <c r="S296" s="91" t="str">
        <f>IF($N296="","",IF('Input LwA_XYZ'!S55="","-",'Input LwA_XYZ'!S55))</f>
        <v/>
      </c>
      <c r="T296" s="65" t="str">
        <f>IF($N296="","",_xlfn.XLOOKUP(Tables!$L$242,'Input LwA_XYZ'!$DD$1:$DR$1,'Input LwA_XYZ'!DD55:DR55))</f>
        <v/>
      </c>
    </row>
    <row r="297" spans="12:20" ht="16.5" x14ac:dyDescent="0.3">
      <c r="N297" s="190" t="str">
        <f>IF('Input LwA_XYZ'!A56 = 0, "", 'Input LwA_XYZ'!A56)</f>
        <v/>
      </c>
      <c r="O297" s="189" t="str">
        <f>IF($N297="","",_xlfn.TEXTJOIN(" - ",TRUE,'Input LwA_XYZ'!B56:C56))</f>
        <v/>
      </c>
      <c r="P297" s="64" t="str">
        <f>IF($N297="","",'Input LwA_XYZ'!Q56)</f>
        <v/>
      </c>
      <c r="Q297" s="91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91" t="str">
        <f>IF($N297="","",IF(_xlfn.XLOOKUP(Tables!$L$242,'Input LwA_XYZ'!$BV$1:$CJ$1,'Input LwA_XYZ'!BV56:CJ56)="","-",_xlfn.XLOOKUP(Tables!$L$242,'Input LwA_XYZ'!$BV$1:$CJ$1,'Input LwA_XYZ'!BV56:CJ56)))</f>
        <v/>
      </c>
      <c r="S297" s="91" t="str">
        <f>IF($N297="","",IF('Input LwA_XYZ'!S56="","-",'Input LwA_XYZ'!S56))</f>
        <v/>
      </c>
      <c r="T297" s="65" t="str">
        <f>IF($N297="","",_xlfn.XLOOKUP(Tables!$L$242,'Input LwA_XYZ'!$DD$1:$DR$1,'Input LwA_XYZ'!DD56:DR56))</f>
        <v/>
      </c>
    </row>
    <row r="298" spans="12:20" ht="16.5" x14ac:dyDescent="0.3">
      <c r="N298" s="190" t="str">
        <f>IF('Input LwA_XYZ'!A57 = 0, "", 'Input LwA_XYZ'!A57)</f>
        <v/>
      </c>
      <c r="O298" s="189" t="str">
        <f>IF($N298="","",_xlfn.TEXTJOIN(" - ",TRUE,'Input LwA_XYZ'!B57:C57))</f>
        <v/>
      </c>
      <c r="P298" s="64" t="str">
        <f>IF($N298="","",'Input LwA_XYZ'!Q57)</f>
        <v/>
      </c>
      <c r="Q298" s="91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91" t="str">
        <f>IF($N298="","",IF(_xlfn.XLOOKUP(Tables!$L$242,'Input LwA_XYZ'!$BV$1:$CJ$1,'Input LwA_XYZ'!BV57:CJ57)="","-",_xlfn.XLOOKUP(Tables!$L$242,'Input LwA_XYZ'!$BV$1:$CJ$1,'Input LwA_XYZ'!BV57:CJ57)))</f>
        <v/>
      </c>
      <c r="S298" s="91" t="str">
        <f>IF($N298="","",IF('Input LwA_XYZ'!S57="","-",'Input LwA_XYZ'!S57))</f>
        <v/>
      </c>
      <c r="T298" s="65" t="str">
        <f>IF($N298="","",_xlfn.XLOOKUP(Tables!$L$242,'Input LwA_XYZ'!$DD$1:$DR$1,'Input LwA_XYZ'!DD57:DR57))</f>
        <v/>
      </c>
    </row>
    <row r="299" spans="12:20" ht="17.25" thickBot="1" x14ac:dyDescent="0.35">
      <c r="N299" s="191" t="str">
        <f>IF('Input LwA_XYZ'!A58 = 0, "", 'Input LwA_XYZ'!A58)</f>
        <v/>
      </c>
      <c r="O299" s="192" t="str">
        <f>IF($N299="","",_xlfn.TEXTJOIN(" - ",TRUE,'Input LwA_XYZ'!B58:C58))</f>
        <v/>
      </c>
      <c r="P299" s="99" t="str">
        <f>IF($N299="","",'Input LwA_XYZ'!Q58)</f>
        <v/>
      </c>
      <c r="Q299" s="100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91" t="str">
        <f>IF($N299="","",IF(_xlfn.XLOOKUP(Tables!$L$242,'Input LwA_XYZ'!$BV$1:$CJ$1,'Input LwA_XYZ'!BV58:CJ58)="","-",_xlfn.XLOOKUP(Tables!$L$242,'Input LwA_XYZ'!$BV$1:$CJ$1,'Input LwA_XYZ'!BV58:CJ58)))</f>
        <v/>
      </c>
      <c r="S299" s="91" t="str">
        <f>IF($N299="","",IF('Input LwA_XYZ'!S58="","-",'Input LwA_XYZ'!S58))</f>
        <v/>
      </c>
      <c r="T299" s="66" t="str">
        <f>IF($N299="","",_xlfn.XLOOKUP(Tables!$L$242,'Input LwA_XYZ'!$DD$1:$DR$1,'Input LwA_XYZ'!DD58:DR58))</f>
        <v/>
      </c>
    </row>
    <row r="300" spans="12:20" ht="17.25" thickBot="1" x14ac:dyDescent="0.35">
      <c r="N300" s="101" t="s">
        <v>85</v>
      </c>
      <c r="O300" s="102"/>
      <c r="P300" s="102"/>
      <c r="Q300" s="102"/>
      <c r="R300" s="102"/>
      <c r="S300" s="103"/>
      <c r="T300" s="108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9" t="s">
        <v>28</v>
      </c>
      <c r="N302" s="93" t="s">
        <v>79</v>
      </c>
      <c r="O302" s="94" t="s">
        <v>80</v>
      </c>
      <c r="P302" s="95" t="s">
        <v>81</v>
      </c>
      <c r="Q302" s="95" t="s">
        <v>82</v>
      </c>
      <c r="R302" s="96" t="s">
        <v>83</v>
      </c>
      <c r="S302" s="97" t="s">
        <v>84</v>
      </c>
      <c r="T302" s="98" t="s">
        <v>78</v>
      </c>
    </row>
    <row r="303" spans="12:20" ht="16.5" x14ac:dyDescent="0.3">
      <c r="N303" s="188">
        <f>IF('Input LwA_XYZ'!A2 = 0, "", 'Input LwA_XYZ'!A2)</f>
        <v>1</v>
      </c>
      <c r="O303" s="189" t="str">
        <f>IF($N303="","",_xlfn.TEXTJOIN(" - ",TRUE,'Input LwA_XYZ'!B2:C2))</f>
        <v>MAU-R1 - Ducted Inlet</v>
      </c>
      <c r="P303" s="90">
        <f>IF($N303="","",'Input LwA_XYZ'!Q2)</f>
        <v>86</v>
      </c>
      <c r="Q303" s="91" t="str">
        <f>IF($N303="","",-1*ROUND(_xlfn.XLOOKUP(Tables!$L$302,'Input LwA_XYZ'!$AY$1:$BM$1,'Input LwA_XYZ'!AY2:BM2),0) &amp; " / " &amp; ROUND(_xlfn.XLOOKUP(Tables!$L$302,'Input LwA_XYZ'!$AH$1:$AV$1,'Input LwA_XYZ'!AH2:AV2),0) &amp; " ft")</f>
        <v>33 / 58 ft</v>
      </c>
      <c r="R303" s="91">
        <f>IF($N303="","",IF(_xlfn.XLOOKUP(Tables!$L$302,'Input LwA_XYZ'!$BV$1:$CJ$1,'Input LwA_XYZ'!BV2:CJ2)="","-",_xlfn.XLOOKUP(Tables!$L$302,'Input LwA_XYZ'!$BV$1:$CJ$1,'Input LwA_XYZ'!BV2:CJ2)))</f>
        <v>16.899999999999999</v>
      </c>
      <c r="S303" s="91" t="str">
        <f>IF($N303="","",IF('Input LwA_XYZ'!S2="","-",'Input LwA_XYZ'!S2))</f>
        <v>-</v>
      </c>
      <c r="T303" s="92">
        <f>IF($N303="","",_xlfn.XLOOKUP(Tables!$L$302,'Input LwA_XYZ'!$DD$1:$DR$1,'Input LwA_XYZ'!DD2:DR2))</f>
        <v>0</v>
      </c>
    </row>
    <row r="304" spans="12:20" ht="16.5" x14ac:dyDescent="0.3">
      <c r="N304" s="190">
        <f>IF('Input LwA_XYZ'!A3 = 0, "", 'Input LwA_XYZ'!A3)</f>
        <v>1</v>
      </c>
      <c r="O304" s="189" t="str">
        <f>IF($N304="","",_xlfn.TEXTJOIN(" - ",TRUE,'Input LwA_XYZ'!B3:C3))</f>
        <v>ERV-R.1 - Outdoor+Casing+Exhaust</v>
      </c>
      <c r="P304" s="64">
        <f>IF($N304="","",'Input LwA_XYZ'!Q3)</f>
        <v>91</v>
      </c>
      <c r="Q304" s="91" t="str">
        <f>IF($N304="","",-1*ROUND(_xlfn.XLOOKUP(Tables!$L$302,'Input LwA_XYZ'!$AY$1:$BM$1,'Input LwA_XYZ'!AY3:BM3),0) &amp; " / " &amp; ROUND(_xlfn.XLOOKUP(Tables!$L$302,'Input LwA_XYZ'!$AH$1:$AV$1,'Input LwA_XYZ'!AH3:AV3),0) &amp; " ft")</f>
        <v>37 / 91 ft</v>
      </c>
      <c r="R304" s="91">
        <f>IF($N304="","",IF(_xlfn.XLOOKUP(Tables!$L$302,'Input LwA_XYZ'!$BV$1:$CJ$1,'Input LwA_XYZ'!BV3:CJ3)="","-",_xlfn.XLOOKUP(Tables!$L$302,'Input LwA_XYZ'!$BV$1:$CJ$1,'Input LwA_XYZ'!BV3:CJ3)))</f>
        <v>17.600000000000001</v>
      </c>
      <c r="S304" s="91" t="str">
        <f>IF($N304="","",IF('Input LwA_XYZ'!S3="","-",'Input LwA_XYZ'!S3))</f>
        <v>-</v>
      </c>
      <c r="T304" s="65">
        <f>IF($N304="","",_xlfn.XLOOKUP(Tables!$L$302,'Input LwA_XYZ'!$DD$1:$DR$1,'Input LwA_XYZ'!DD3:DR3))</f>
        <v>0</v>
      </c>
    </row>
    <row r="305" spans="14:20" ht="16.5" x14ac:dyDescent="0.3">
      <c r="N305" s="190">
        <f>IF('Input LwA_XYZ'!A4 = 0, "", 'Input LwA_XYZ'!A4)</f>
        <v>1</v>
      </c>
      <c r="O305" s="189" t="str">
        <f>IF($N305="","",_xlfn.TEXTJOIN(" - ",TRUE,'Input LwA_XYZ'!B4:C4))</f>
        <v>GEF-R1  - Inlet (plus ductwork lined)</v>
      </c>
      <c r="P305" s="64">
        <f>IF($N305="","",'Input LwA_XYZ'!Q4)</f>
        <v>82</v>
      </c>
      <c r="Q305" s="91" t="str">
        <f>IF($N305="","",-1*ROUND(_xlfn.XLOOKUP(Tables!$L$302,'Input LwA_XYZ'!$AY$1:$BM$1,'Input LwA_XYZ'!AY4:BM4),0) &amp; " / " &amp; ROUND(_xlfn.XLOOKUP(Tables!$L$302,'Input LwA_XYZ'!$AH$1:$AV$1,'Input LwA_XYZ'!AH4:AV4),0) &amp; " ft")</f>
        <v>39 / 113 ft</v>
      </c>
      <c r="R305" s="91">
        <f>IF($N305="","",IF(_xlfn.XLOOKUP(Tables!$L$302,'Input LwA_XYZ'!$BV$1:$CJ$1,'Input LwA_XYZ'!BV4:CJ4)="","-",_xlfn.XLOOKUP(Tables!$L$302,'Input LwA_XYZ'!$BV$1:$CJ$1,'Input LwA_XYZ'!BV4:CJ4)))</f>
        <v>15.9</v>
      </c>
      <c r="S305" s="91">
        <f>IF($N305="","",IF('Input LwA_XYZ'!S4="","-",'Input LwA_XYZ'!S4))</f>
        <v>13</v>
      </c>
      <c r="T305" s="65">
        <f>IF($N305="","",_xlfn.XLOOKUP(Tables!$L$302,'Input LwA_XYZ'!$DD$1:$DR$1,'Input LwA_XYZ'!DD4:DR4))</f>
        <v>0</v>
      </c>
    </row>
    <row r="306" spans="14:20" ht="16.5" x14ac:dyDescent="0.3">
      <c r="N306" s="190">
        <f>IF('Input LwA_XYZ'!A5 = 0, "", 'Input LwA_XYZ'!A5)</f>
        <v>1</v>
      </c>
      <c r="O306" s="189" t="str">
        <f>IF($N306="","",_xlfn.TEXTJOIN(" - ",TRUE,'Input LwA_XYZ'!B5:C5))</f>
        <v>DEF-R1, R2 - Inlet</v>
      </c>
      <c r="P306" s="64">
        <f>IF($N306="","",'Input LwA_XYZ'!Q5)</f>
        <v>70</v>
      </c>
      <c r="Q306" s="91" t="str">
        <f>IF($N306="","",-1*ROUND(_xlfn.XLOOKUP(Tables!$L$302,'Input LwA_XYZ'!$AY$1:$BM$1,'Input LwA_XYZ'!AY5:BM5),0) &amp; " / " &amp; ROUND(_xlfn.XLOOKUP(Tables!$L$302,'Input LwA_XYZ'!$AH$1:$AV$1,'Input LwA_XYZ'!AH5:AV5),0) &amp; " ft")</f>
        <v>38 / 100 ft</v>
      </c>
      <c r="R306" s="91">
        <f>IF($N306="","",IF(_xlfn.XLOOKUP(Tables!$L$302,'Input LwA_XYZ'!$BV$1:$CJ$1,'Input LwA_XYZ'!BV5:CJ5)="","-",_xlfn.XLOOKUP(Tables!$L$302,'Input LwA_XYZ'!$BV$1:$CJ$1,'Input LwA_XYZ'!BV5:CJ5)))</f>
        <v>15.3</v>
      </c>
      <c r="S306" s="91" t="str">
        <f>IF($N306="","",IF('Input LwA_XYZ'!S5="","-",'Input LwA_XYZ'!S5))</f>
        <v>-</v>
      </c>
      <c r="T306" s="65">
        <f>IF($N306="","",_xlfn.XLOOKUP(Tables!$L$302,'Input LwA_XYZ'!$DD$1:$DR$1,'Input LwA_XYZ'!DD5:DR5))</f>
        <v>0</v>
      </c>
    </row>
    <row r="307" spans="14:20" ht="16.5" x14ac:dyDescent="0.3">
      <c r="N307" s="190">
        <f>IF('Input LwA_XYZ'!A6 = 0, "", 'Input LwA_XYZ'!A6)</f>
        <v>1</v>
      </c>
      <c r="O307" s="189" t="str">
        <f>IF($N307="","",_xlfn.TEXTJOIN(" - ",TRUE,'Input LwA_XYZ'!B6:C6))</f>
        <v>KEF-R1  - Inlet</v>
      </c>
      <c r="P307" s="64">
        <f>IF($N307="","",'Input LwA_XYZ'!Q6)</f>
        <v>80</v>
      </c>
      <c r="Q307" s="91" t="str">
        <f>IF($N307="","",-1*ROUND(_xlfn.XLOOKUP(Tables!$L$302,'Input LwA_XYZ'!$AY$1:$BM$1,'Input LwA_XYZ'!AY6:BM6),0) &amp; " / " &amp; ROUND(_xlfn.XLOOKUP(Tables!$L$302,'Input LwA_XYZ'!$AH$1:$AV$1,'Input LwA_XYZ'!AH6:AV6),0) &amp; " ft")</f>
        <v>34 / 68 ft</v>
      </c>
      <c r="R307" s="91">
        <f>IF($N307="","",IF(_xlfn.XLOOKUP(Tables!$L$302,'Input LwA_XYZ'!$BV$1:$CJ$1,'Input LwA_XYZ'!BV6:CJ6)="","-",_xlfn.XLOOKUP(Tables!$L$302,'Input LwA_XYZ'!$BV$1:$CJ$1,'Input LwA_XYZ'!BV6:CJ6)))</f>
        <v>15.4</v>
      </c>
      <c r="S307" s="91" t="str">
        <f>IF($N307="","",IF('Input LwA_XYZ'!S6="","-",'Input LwA_XYZ'!S6))</f>
        <v>-</v>
      </c>
      <c r="T307" s="65">
        <f>IF($N307="","",_xlfn.XLOOKUP(Tables!$L$302,'Input LwA_XYZ'!$DD$1:$DR$1,'Input LwA_XYZ'!DD6:DR6))</f>
        <v>30.334224892398836</v>
      </c>
    </row>
    <row r="308" spans="14:20" ht="16.5" x14ac:dyDescent="0.3">
      <c r="N308" s="190">
        <f>IF('Input LwA_XYZ'!A7 = 0, "", 'Input LwA_XYZ'!A7)</f>
        <v>1</v>
      </c>
      <c r="O308" s="189" t="str">
        <f>IF($N308="","",_xlfn.TEXTJOIN(" - ",TRUE,'Input LwA_XYZ'!B7:C7))</f>
        <v>DWEF-R1 - Inlet</v>
      </c>
      <c r="P308" s="64">
        <f>IF($N308="","",'Input LwA_XYZ'!Q7)</f>
        <v>71</v>
      </c>
      <c r="Q308" s="91" t="str">
        <f>IF($N308="","",-1*ROUND(_xlfn.XLOOKUP(Tables!$L$302,'Input LwA_XYZ'!$AY$1:$BM$1,'Input LwA_XYZ'!AY7:BM7),0) &amp; " / " &amp; ROUND(_xlfn.XLOOKUP(Tables!$L$302,'Input LwA_XYZ'!$AH$1:$AV$1,'Input LwA_XYZ'!AH7:AV7),0) &amp; " ft")</f>
        <v>33 / 62 ft</v>
      </c>
      <c r="R308" s="91">
        <f>IF($N308="","",IF(_xlfn.XLOOKUP(Tables!$L$302,'Input LwA_XYZ'!$BV$1:$CJ$1,'Input LwA_XYZ'!BV7:CJ7)="","-",_xlfn.XLOOKUP(Tables!$L$302,'Input LwA_XYZ'!$BV$1:$CJ$1,'Input LwA_XYZ'!BV7:CJ7)))</f>
        <v>16.100000000000001</v>
      </c>
      <c r="S308" s="91" t="str">
        <f>IF($N308="","",IF('Input LwA_XYZ'!S7="","-",'Input LwA_XYZ'!S7))</f>
        <v>-</v>
      </c>
      <c r="T308" s="65">
        <f>IF($N308="","",_xlfn.XLOOKUP(Tables!$L$302,'Input LwA_XYZ'!$DD$1:$DR$1,'Input LwA_XYZ'!DD7:DR7))</f>
        <v>0</v>
      </c>
    </row>
    <row r="309" spans="14:20" ht="16.5" x14ac:dyDescent="0.3">
      <c r="N309" s="190">
        <f>IF('Input LwA_XYZ'!A8 = 0, "", 'Input LwA_XYZ'!A8)</f>
        <v>1</v>
      </c>
      <c r="O309" s="189" t="str">
        <f>IF($N309="","",_xlfn.TEXTJOIN(" - ",TRUE,'Input LwA_XYZ'!B8:C8))</f>
        <v>CU-R1 - Radiated</v>
      </c>
      <c r="P309" s="64">
        <f>IF($N309="","",'Input LwA_XYZ'!Q8)</f>
        <v>84</v>
      </c>
      <c r="Q309" s="91" t="str">
        <f>IF($N309="","",-1*ROUND(_xlfn.XLOOKUP(Tables!$L$302,'Input LwA_XYZ'!$AY$1:$BM$1,'Input LwA_XYZ'!AY8:BM8),0) &amp; " / " &amp; ROUND(_xlfn.XLOOKUP(Tables!$L$302,'Input LwA_XYZ'!$AH$1:$AV$1,'Input LwA_XYZ'!AH8:AV8),0) &amp; " ft")</f>
        <v>35 / 78 ft</v>
      </c>
      <c r="R309" s="91">
        <f>IF($N309="","",IF(_xlfn.XLOOKUP(Tables!$L$302,'Input LwA_XYZ'!$BV$1:$CJ$1,'Input LwA_XYZ'!BV8:CJ8)="","-",_xlfn.XLOOKUP(Tables!$L$302,'Input LwA_XYZ'!$BV$1:$CJ$1,'Input LwA_XYZ'!BV8:CJ8)))</f>
        <v>8</v>
      </c>
      <c r="S309" s="91" t="str">
        <f>IF($N309="","",IF('Input LwA_XYZ'!S8="","-",'Input LwA_XYZ'!S8))</f>
        <v>-</v>
      </c>
      <c r="T309" s="65">
        <f>IF($N309="","",_xlfn.XLOOKUP(Tables!$L$302,'Input LwA_XYZ'!$DD$1:$DR$1,'Input LwA_XYZ'!DD8:DR8))</f>
        <v>0</v>
      </c>
    </row>
    <row r="310" spans="14:20" ht="16.5" x14ac:dyDescent="0.3">
      <c r="N310" s="190">
        <f>IF('Input LwA_XYZ'!A9 = 0, "", 'Input LwA_XYZ'!A9)</f>
        <v>1</v>
      </c>
      <c r="O310" s="189" t="str">
        <f>IF($N310="","",_xlfn.TEXTJOIN(" - ",TRUE,'Input LwA_XYZ'!B9:C9))</f>
        <v>CU-R2 - Radiated</v>
      </c>
      <c r="P310" s="64">
        <f>IF($N310="","",'Input LwA_XYZ'!Q9)</f>
        <v>81</v>
      </c>
      <c r="Q310" s="91" t="str">
        <f>IF($N310="","",-1*ROUND(_xlfn.XLOOKUP(Tables!$L$302,'Input LwA_XYZ'!$AY$1:$BM$1,'Input LwA_XYZ'!AY9:BM9),0) &amp; " / " &amp; ROUND(_xlfn.XLOOKUP(Tables!$L$302,'Input LwA_XYZ'!$AH$1:$AV$1,'Input LwA_XYZ'!AH9:AV9),0) &amp; " ft")</f>
        <v>35 / 75 ft</v>
      </c>
      <c r="R310" s="91">
        <f>IF($N310="","",IF(_xlfn.XLOOKUP(Tables!$L$302,'Input LwA_XYZ'!$BV$1:$CJ$1,'Input LwA_XYZ'!BV9:CJ9)="","-",_xlfn.XLOOKUP(Tables!$L$302,'Input LwA_XYZ'!$BV$1:$CJ$1,'Input LwA_XYZ'!BV9:CJ9)))</f>
        <v>10</v>
      </c>
      <c r="S310" s="91" t="str">
        <f>IF($N310="","",IF('Input LwA_XYZ'!S9="","-",'Input LwA_XYZ'!S9))</f>
        <v>-</v>
      </c>
      <c r="T310" s="65">
        <f>IF($N310="","",_xlfn.XLOOKUP(Tables!$L$302,'Input LwA_XYZ'!$DD$1:$DR$1,'Input LwA_XYZ'!DD9:DR9))</f>
        <v>0</v>
      </c>
    </row>
    <row r="311" spans="14:20" ht="16.5" x14ac:dyDescent="0.3">
      <c r="N311" s="190">
        <f>IF('Input LwA_XYZ'!A10 = 0, "", 'Input LwA_XYZ'!A10)</f>
        <v>1</v>
      </c>
      <c r="O311" s="189" t="str">
        <f>IF($N311="","",_xlfn.TEXTJOIN(" - ",TRUE,'Input LwA_XYZ'!B10:C10))</f>
        <v>CU-R4 - Radiated</v>
      </c>
      <c r="P311" s="64">
        <f>IF($N311="","",'Input LwA_XYZ'!Q10)</f>
        <v>73</v>
      </c>
      <c r="Q311" s="91" t="str">
        <f>IF($N311="","",-1*ROUND(_xlfn.XLOOKUP(Tables!$L$302,'Input LwA_XYZ'!$AY$1:$BM$1,'Input LwA_XYZ'!AY10:BM10),0) &amp; " / " &amp; ROUND(_xlfn.XLOOKUP(Tables!$L$302,'Input LwA_XYZ'!$AH$1:$AV$1,'Input LwA_XYZ'!AH10:AV10),0) &amp; " ft")</f>
        <v>36 / 84 ft</v>
      </c>
      <c r="R311" s="91">
        <f>IF($N311="","",IF(_xlfn.XLOOKUP(Tables!$L$302,'Input LwA_XYZ'!$BV$1:$CJ$1,'Input LwA_XYZ'!BV10:CJ10)="","-",_xlfn.XLOOKUP(Tables!$L$302,'Input LwA_XYZ'!$BV$1:$CJ$1,'Input LwA_XYZ'!BV10:CJ10)))</f>
        <v>10</v>
      </c>
      <c r="S311" s="91" t="str">
        <f>IF($N311="","",IF('Input LwA_XYZ'!S10="","-",'Input LwA_XYZ'!S10))</f>
        <v>-</v>
      </c>
      <c r="T311" s="65">
        <f>IF($N311="","",_xlfn.XLOOKUP(Tables!$L$302,'Input LwA_XYZ'!$DD$1:$DR$1,'Input LwA_XYZ'!DD10:DR10))</f>
        <v>0</v>
      </c>
    </row>
    <row r="312" spans="14:20" ht="16.5" x14ac:dyDescent="0.3">
      <c r="N312" s="190">
        <f>IF('Input LwA_XYZ'!A11 = 0, "", 'Input LwA_XYZ'!A11)</f>
        <v>1</v>
      </c>
      <c r="O312" s="189" t="str">
        <f>IF($N312="","",_xlfn.TEXTJOIN(" - ",TRUE,'Input LwA_XYZ'!B11:C11))</f>
        <v>CU-R5 - Radiated</v>
      </c>
      <c r="P312" s="64">
        <f>IF($N312="","",'Input LwA_XYZ'!Q11)</f>
        <v>75</v>
      </c>
      <c r="Q312" s="91" t="str">
        <f>IF($N312="","",-1*ROUND(_xlfn.XLOOKUP(Tables!$L$302,'Input LwA_XYZ'!$AY$1:$BM$1,'Input LwA_XYZ'!AY11:BM11),0) &amp; " / " &amp; ROUND(_xlfn.XLOOKUP(Tables!$L$302,'Input LwA_XYZ'!$AH$1:$AV$1,'Input LwA_XYZ'!AH11:AV11),0) &amp; " ft")</f>
        <v>33 / 62 ft</v>
      </c>
      <c r="R312" s="91">
        <f>IF($N312="","",IF(_xlfn.XLOOKUP(Tables!$L$302,'Input LwA_XYZ'!$BV$1:$CJ$1,'Input LwA_XYZ'!BV11:CJ11)="","-",_xlfn.XLOOKUP(Tables!$L$302,'Input LwA_XYZ'!$BV$1:$CJ$1,'Input LwA_XYZ'!BV11:CJ11)))</f>
        <v>8</v>
      </c>
      <c r="S312" s="91" t="str">
        <f>IF($N312="","",IF('Input LwA_XYZ'!S11="","-",'Input LwA_XYZ'!S11))</f>
        <v>-</v>
      </c>
      <c r="T312" s="65">
        <f>IF($N312="","",_xlfn.XLOOKUP(Tables!$L$302,'Input LwA_XYZ'!$DD$1:$DR$1,'Input LwA_XYZ'!DD11:DR11))</f>
        <v>0</v>
      </c>
    </row>
    <row r="313" spans="14:20" ht="16.5" x14ac:dyDescent="0.3">
      <c r="N313" s="190">
        <f>IF('Input LwA_XYZ'!A12 = 0, "", 'Input LwA_XYZ'!A12)</f>
        <v>4</v>
      </c>
      <c r="O313" s="189" t="str">
        <f>IF($N313="","",_xlfn.TEXTJOIN(" - ",TRUE,'Input LwA_XYZ'!B12:C12))</f>
        <v>RCU-R(4p)1 - Radiated</v>
      </c>
      <c r="P313" s="64">
        <f>IF($N313="","",'Input LwA_XYZ'!Q12)</f>
        <v>79.020599913279625</v>
      </c>
      <c r="Q313" s="91" t="str">
        <f>IF($N313="","",-1*ROUND(_xlfn.XLOOKUP(Tables!$L$302,'Input LwA_XYZ'!$AY$1:$BM$1,'Input LwA_XYZ'!AY12:BM12),0) &amp; " / " &amp; ROUND(_xlfn.XLOOKUP(Tables!$L$302,'Input LwA_XYZ'!$AH$1:$AV$1,'Input LwA_XYZ'!AH12:AV12),0) &amp; " ft")</f>
        <v>40 / 130 ft</v>
      </c>
      <c r="R313" s="91">
        <f>IF($N313="","",IF(_xlfn.XLOOKUP(Tables!$L$302,'Input LwA_XYZ'!$BV$1:$CJ$1,'Input LwA_XYZ'!BV12:CJ12)="","-",_xlfn.XLOOKUP(Tables!$L$302,'Input LwA_XYZ'!$BV$1:$CJ$1,'Input LwA_XYZ'!BV12:CJ12)))</f>
        <v>13</v>
      </c>
      <c r="S313" s="91" t="str">
        <f>IF($N313="","",IF('Input LwA_XYZ'!S12="","-",'Input LwA_XYZ'!S12))</f>
        <v>-</v>
      </c>
      <c r="T313" s="65">
        <f>IF($N313="","",_xlfn.XLOOKUP(Tables!$L$302,'Input LwA_XYZ'!$DD$1:$DR$1,'Input LwA_XYZ'!DD12:DR12))</f>
        <v>0</v>
      </c>
    </row>
    <row r="314" spans="14:20" ht="16.5" x14ac:dyDescent="0.3">
      <c r="N314" s="190">
        <f>IF('Input LwA_XYZ'!A13 = 0, "", 'Input LwA_XYZ'!A13)</f>
        <v>4</v>
      </c>
      <c r="O314" s="189" t="str">
        <f>IF($N314="","",_xlfn.TEXTJOIN(" - ",TRUE,'Input LwA_XYZ'!B13:C13))</f>
        <v>RCU-R(4p)2 - Radiated</v>
      </c>
      <c r="P314" s="64">
        <f>IF($N314="","",'Input LwA_XYZ'!Q13)</f>
        <v>79.020599913279625</v>
      </c>
      <c r="Q314" s="91" t="str">
        <f>IF($N314="","",-1*ROUND(_xlfn.XLOOKUP(Tables!$L$302,'Input LwA_XYZ'!$AY$1:$BM$1,'Input LwA_XYZ'!AY13:BM13),0) &amp; " / " &amp; ROUND(_xlfn.XLOOKUP(Tables!$L$302,'Input LwA_XYZ'!$AH$1:$AV$1,'Input LwA_XYZ'!AH13:AV13),0) &amp; " ft")</f>
        <v>39 / 112 ft</v>
      </c>
      <c r="R314" s="91">
        <f>IF($N314="","",IF(_xlfn.XLOOKUP(Tables!$L$302,'Input LwA_XYZ'!$BV$1:$CJ$1,'Input LwA_XYZ'!BV13:CJ13)="","-",_xlfn.XLOOKUP(Tables!$L$302,'Input LwA_XYZ'!$BV$1:$CJ$1,'Input LwA_XYZ'!BV13:CJ13)))</f>
        <v>14</v>
      </c>
      <c r="S314" s="91" t="str">
        <f>IF($N314="","",IF('Input LwA_XYZ'!S13="","-",'Input LwA_XYZ'!S13))</f>
        <v>-</v>
      </c>
      <c r="T314" s="65">
        <f>IF($N314="","",_xlfn.XLOOKUP(Tables!$L$302,'Input LwA_XYZ'!$DD$1:$DR$1,'Input LwA_XYZ'!DD13:DR13))</f>
        <v>0</v>
      </c>
    </row>
    <row r="315" spans="14:20" ht="16.5" x14ac:dyDescent="0.3">
      <c r="N315" s="190">
        <f>IF('Input LwA_XYZ'!A14 = 0, "", 'Input LwA_XYZ'!A14)</f>
        <v>4</v>
      </c>
      <c r="O315" s="189" t="str">
        <f>IF($N315="","",_xlfn.TEXTJOIN(" - ",TRUE,'Input LwA_XYZ'!B14:C14))</f>
        <v>RCU-R(4p)3 - Radiated</v>
      </c>
      <c r="P315" s="64">
        <f>IF($N315="","",'Input LwA_XYZ'!Q14)</f>
        <v>79.020599913279625</v>
      </c>
      <c r="Q315" s="91" t="str">
        <f>IF($N315="","",-1*ROUND(_xlfn.XLOOKUP(Tables!$L$302,'Input LwA_XYZ'!$AY$1:$BM$1,'Input LwA_XYZ'!AY14:BM14),0) &amp; " / " &amp; ROUND(_xlfn.XLOOKUP(Tables!$L$302,'Input LwA_XYZ'!$AH$1:$AV$1,'Input LwA_XYZ'!AH14:AV14),0) &amp; " ft")</f>
        <v>36 / 81 ft</v>
      </c>
      <c r="R315" s="91">
        <f>IF($N315="","",IF(_xlfn.XLOOKUP(Tables!$L$302,'Input LwA_XYZ'!$BV$1:$CJ$1,'Input LwA_XYZ'!BV14:CJ14)="","-",_xlfn.XLOOKUP(Tables!$L$302,'Input LwA_XYZ'!$BV$1:$CJ$1,'Input LwA_XYZ'!BV14:CJ14)))</f>
        <v>8</v>
      </c>
      <c r="S315" s="91" t="str">
        <f>IF($N315="","",IF('Input LwA_XYZ'!S14="","-",'Input LwA_XYZ'!S14))</f>
        <v>-</v>
      </c>
      <c r="T315" s="65">
        <f>IF($N315="","",_xlfn.XLOOKUP(Tables!$L$302,'Input LwA_XYZ'!$DD$1:$DR$1,'Input LwA_XYZ'!DD14:DR14))</f>
        <v>0</v>
      </c>
    </row>
    <row r="316" spans="14:20" ht="16.5" x14ac:dyDescent="0.3">
      <c r="N316" s="190">
        <f>IF('Input LwA_XYZ'!A15 = 0, "", 'Input LwA_XYZ'!A15)</f>
        <v>2</v>
      </c>
      <c r="O316" s="189" t="str">
        <f>IF($N316="","",_xlfn.TEXTJOIN(" - ",TRUE,'Input LwA_XYZ'!B15:C15))</f>
        <v>RCU-R(2p) - Radiated</v>
      </c>
      <c r="P316" s="64">
        <f>IF($N316="","",'Input LwA_XYZ'!Q15)</f>
        <v>76.010299956639813</v>
      </c>
      <c r="Q316" s="91" t="str">
        <f>IF($N316="","",-1*ROUND(_xlfn.XLOOKUP(Tables!$L$302,'Input LwA_XYZ'!$AY$1:$BM$1,'Input LwA_XYZ'!AY15:BM15),0) &amp; " / " &amp; ROUND(_xlfn.XLOOKUP(Tables!$L$302,'Input LwA_XYZ'!$AH$1:$AV$1,'Input LwA_XYZ'!AH15:AV15),0) &amp; " ft")</f>
        <v>35 / 71 ft</v>
      </c>
      <c r="R316" s="91">
        <f>IF($N316="","",IF(_xlfn.XLOOKUP(Tables!$L$302,'Input LwA_XYZ'!$BV$1:$CJ$1,'Input LwA_XYZ'!BV15:CJ15)="","-",_xlfn.XLOOKUP(Tables!$L$302,'Input LwA_XYZ'!$BV$1:$CJ$1,'Input LwA_XYZ'!BV15:CJ15)))</f>
        <v>8</v>
      </c>
      <c r="S316" s="91" t="str">
        <f>IF($N316="","",IF('Input LwA_XYZ'!S15="","-",'Input LwA_XYZ'!S15))</f>
        <v>-</v>
      </c>
      <c r="T316" s="65">
        <f>IF($N316="","",_xlfn.XLOOKUP(Tables!$L$302,'Input LwA_XYZ'!$DD$1:$DR$1,'Input LwA_XYZ'!DD15:DR15))</f>
        <v>0</v>
      </c>
    </row>
    <row r="317" spans="14:20" ht="16.5" x14ac:dyDescent="0.3">
      <c r="N317" s="190">
        <f>IF('Input LwA_XYZ'!A16 = 0, "", 'Input LwA_XYZ'!A16)</f>
        <v>2</v>
      </c>
      <c r="O317" s="189" t="str">
        <f>IF($N317="","",_xlfn.TEXTJOIN(" - ",TRUE,'Input LwA_XYZ'!B16:C16))</f>
        <v>RCU-R(2p)1 - Radiated</v>
      </c>
      <c r="P317" s="64">
        <f>IF($N317="","",'Input LwA_XYZ'!Q16)</f>
        <v>76.010299956639813</v>
      </c>
      <c r="Q317" s="91" t="str">
        <f>IF($N317="","",-1*ROUND(_xlfn.XLOOKUP(Tables!$L$302,'Input LwA_XYZ'!$AY$1:$BM$1,'Input LwA_XYZ'!AY16:BM16),0) &amp; " / " &amp; ROUND(_xlfn.XLOOKUP(Tables!$L$302,'Input LwA_XYZ'!$AH$1:$AV$1,'Input LwA_XYZ'!AH16:AV16),0) &amp; " ft")</f>
        <v>33 / 56 ft</v>
      </c>
      <c r="R317" s="91">
        <f>IF($N317="","",IF(_xlfn.XLOOKUP(Tables!$L$302,'Input LwA_XYZ'!$BV$1:$CJ$1,'Input LwA_XYZ'!BV16:CJ16)="","-",_xlfn.XLOOKUP(Tables!$L$302,'Input LwA_XYZ'!$BV$1:$CJ$1,'Input LwA_XYZ'!BV16:CJ16)))</f>
        <v>9</v>
      </c>
      <c r="S317" s="91" t="str">
        <f>IF($N317="","",IF('Input LwA_XYZ'!S16="","-",'Input LwA_XYZ'!S16))</f>
        <v>-</v>
      </c>
      <c r="T317" s="65">
        <f>IF($N317="","",_xlfn.XLOOKUP(Tables!$L$302,'Input LwA_XYZ'!$DD$1:$DR$1,'Input LwA_XYZ'!DD16:DR16))</f>
        <v>0</v>
      </c>
    </row>
    <row r="318" spans="14:20" ht="16.5" x14ac:dyDescent="0.3">
      <c r="N318" s="190">
        <f>IF('Input LwA_XYZ'!A17 = 0, "", 'Input LwA_XYZ'!A17)</f>
        <v>4</v>
      </c>
      <c r="O318" s="189" t="str">
        <f>IF($N318="","",_xlfn.TEXTJOIN(" - ",TRUE,'Input LwA_XYZ'!B17:C17))</f>
        <v>RCU-R(4p)4 - Radiated</v>
      </c>
      <c r="P318" s="64">
        <f>IF($N318="","",'Input LwA_XYZ'!Q17)</f>
        <v>79.020599913279625</v>
      </c>
      <c r="Q318" s="91" t="str">
        <f>IF($N318="","",-1*ROUND(_xlfn.XLOOKUP(Tables!$L$302,'Input LwA_XYZ'!$AY$1:$BM$1,'Input LwA_XYZ'!AY17:BM17),0) &amp; " / " &amp; ROUND(_xlfn.XLOOKUP(Tables!$L$302,'Input LwA_XYZ'!$AH$1:$AV$1,'Input LwA_XYZ'!AH17:AV17),0) &amp; " ft")</f>
        <v>32 / 53 ft</v>
      </c>
      <c r="R318" s="91">
        <f>IF($N318="","",IF(_xlfn.XLOOKUP(Tables!$L$302,'Input LwA_XYZ'!$BV$1:$CJ$1,'Input LwA_XYZ'!BV17:CJ17)="","-",_xlfn.XLOOKUP(Tables!$L$302,'Input LwA_XYZ'!$BV$1:$CJ$1,'Input LwA_XYZ'!BV17:CJ17)))</f>
        <v>10</v>
      </c>
      <c r="S318" s="91" t="str">
        <f>IF($N318="","",IF('Input LwA_XYZ'!S17="","-",'Input LwA_XYZ'!S17))</f>
        <v>-</v>
      </c>
      <c r="T318" s="65">
        <f>IF($N318="","",_xlfn.XLOOKUP(Tables!$L$302,'Input LwA_XYZ'!$DD$1:$DR$1,'Input LwA_XYZ'!DD17:DR17))</f>
        <v>0</v>
      </c>
    </row>
    <row r="319" spans="14:20" ht="16.5" x14ac:dyDescent="0.3">
      <c r="N319" s="190">
        <f>IF('Input LwA_XYZ'!A18 = 0, "", 'Input LwA_XYZ'!A18)</f>
        <v>2</v>
      </c>
      <c r="O319" s="189" t="str">
        <f>IF($N319="","",_xlfn.TEXTJOIN(" - ",TRUE,'Input LwA_XYZ'!B18:C18))</f>
        <v>RCU-R(2p)2 - Radiated</v>
      </c>
      <c r="P319" s="64">
        <f>IF($N319="","",'Input LwA_XYZ'!Q18)</f>
        <v>76.010299956639813</v>
      </c>
      <c r="Q319" s="91" t="str">
        <f>IF($N319="","",-1*ROUND(_xlfn.XLOOKUP(Tables!$L$302,'Input LwA_XYZ'!$AY$1:$BM$1,'Input LwA_XYZ'!AY18:BM18),0) &amp; " / " &amp; ROUND(_xlfn.XLOOKUP(Tables!$L$302,'Input LwA_XYZ'!$AH$1:$AV$1,'Input LwA_XYZ'!AH18:AV18),0) &amp; " ft")</f>
        <v>35 / 75 ft</v>
      </c>
      <c r="R319" s="91">
        <f>IF($N319="","",IF(_xlfn.XLOOKUP(Tables!$L$302,'Input LwA_XYZ'!$BV$1:$CJ$1,'Input LwA_XYZ'!BV18:CJ18)="","-",_xlfn.XLOOKUP(Tables!$L$302,'Input LwA_XYZ'!$BV$1:$CJ$1,'Input LwA_XYZ'!BV18:CJ18)))</f>
        <v>14</v>
      </c>
      <c r="S319" s="91" t="str">
        <f>IF($N319="","",IF('Input LwA_XYZ'!S18="","-",'Input LwA_XYZ'!S18))</f>
        <v>-</v>
      </c>
      <c r="T319" s="65">
        <f>IF($N319="","",_xlfn.XLOOKUP(Tables!$L$302,'Input LwA_XYZ'!$DD$1:$DR$1,'Input LwA_XYZ'!DD18:DR18))</f>
        <v>0</v>
      </c>
    </row>
    <row r="320" spans="14:20" ht="16.5" x14ac:dyDescent="0.3">
      <c r="N320" s="190">
        <f>IF('Input LwA_XYZ'!A19 = 0, "", 'Input LwA_XYZ'!A19)</f>
        <v>2</v>
      </c>
      <c r="O320" s="189" t="str">
        <f>IF($N320="","",_xlfn.TEXTJOIN(" - ",TRUE,'Input LwA_XYZ'!B19:C19))</f>
        <v>RCU-R(2p)3 - Radiated</v>
      </c>
      <c r="P320" s="64">
        <f>IF($N320="","",'Input LwA_XYZ'!Q19)</f>
        <v>76.010299956639813</v>
      </c>
      <c r="Q320" s="91" t="str">
        <f>IF($N320="","",-1*ROUND(_xlfn.XLOOKUP(Tables!$L$302,'Input LwA_XYZ'!$AY$1:$BM$1,'Input LwA_XYZ'!AY19:BM19),0) &amp; " / " &amp; ROUND(_xlfn.XLOOKUP(Tables!$L$302,'Input LwA_XYZ'!$AH$1:$AV$1,'Input LwA_XYZ'!AH19:AV19),0) &amp; " ft")</f>
        <v>36 / 85 ft</v>
      </c>
      <c r="R320" s="91">
        <f>IF($N320="","",IF(_xlfn.XLOOKUP(Tables!$L$302,'Input LwA_XYZ'!$BV$1:$CJ$1,'Input LwA_XYZ'!BV19:CJ19)="","-",_xlfn.XLOOKUP(Tables!$L$302,'Input LwA_XYZ'!$BV$1:$CJ$1,'Input LwA_XYZ'!BV19:CJ19)))</f>
        <v>15</v>
      </c>
      <c r="S320" s="91" t="str">
        <f>IF($N320="","",IF('Input LwA_XYZ'!S19="","-",'Input LwA_XYZ'!S19))</f>
        <v>-</v>
      </c>
      <c r="T320" s="65">
        <f>IF($N320="","",_xlfn.XLOOKUP(Tables!$L$302,'Input LwA_XYZ'!$DD$1:$DR$1,'Input LwA_XYZ'!DD19:DR19))</f>
        <v>0</v>
      </c>
    </row>
    <row r="321" spans="14:20" ht="16.5" x14ac:dyDescent="0.3">
      <c r="N321" s="190">
        <f>IF('Input LwA_XYZ'!A20 = 0, "", 'Input LwA_XYZ'!A20)</f>
        <v>2</v>
      </c>
      <c r="O321" s="189" t="str">
        <f>IF($N321="","",_xlfn.TEXTJOIN(" - ",TRUE,'Input LwA_XYZ'!B20:C20))</f>
        <v>RCU-R(2p)4 - Radiated</v>
      </c>
      <c r="P321" s="64">
        <f>IF($N321="","",'Input LwA_XYZ'!Q20)</f>
        <v>76.010299956639813</v>
      </c>
      <c r="Q321" s="91" t="str">
        <f>IF($N321="","",-1*ROUND(_xlfn.XLOOKUP(Tables!$L$302,'Input LwA_XYZ'!$AY$1:$BM$1,'Input LwA_XYZ'!AY20:BM20),0) &amp; " / " &amp; ROUND(_xlfn.XLOOKUP(Tables!$L$302,'Input LwA_XYZ'!$AH$1:$AV$1,'Input LwA_XYZ'!AH20:AV20),0) &amp; " ft")</f>
        <v>37 / 88 ft</v>
      </c>
      <c r="R321" s="91">
        <f>IF($N321="","",IF(_xlfn.XLOOKUP(Tables!$L$302,'Input LwA_XYZ'!$BV$1:$CJ$1,'Input LwA_XYZ'!BV20:CJ20)="","-",_xlfn.XLOOKUP(Tables!$L$302,'Input LwA_XYZ'!$BV$1:$CJ$1,'Input LwA_XYZ'!BV20:CJ20)))</f>
        <v>15</v>
      </c>
      <c r="S321" s="91" t="str">
        <f>IF($N321="","",IF('Input LwA_XYZ'!S20="","-",'Input LwA_XYZ'!S20))</f>
        <v>-</v>
      </c>
      <c r="T321" s="65">
        <f>IF($N321="","",_xlfn.XLOOKUP(Tables!$L$302,'Input LwA_XYZ'!$DD$1:$DR$1,'Input LwA_XYZ'!DD20:DR20))</f>
        <v>0</v>
      </c>
    </row>
    <row r="322" spans="14:20" ht="16.5" x14ac:dyDescent="0.3">
      <c r="N322" s="190">
        <f>IF('Input LwA_XYZ'!A21 = 0, "", 'Input LwA_XYZ'!A21)</f>
        <v>2</v>
      </c>
      <c r="O322" s="189" t="str">
        <f>IF($N322="","",_xlfn.TEXTJOIN(" - ",TRUE,'Input LwA_XYZ'!B21:C21))</f>
        <v>RCU-R(2p)5 - Radiated</v>
      </c>
      <c r="P322" s="64">
        <f>IF($N322="","",'Input LwA_XYZ'!Q21)</f>
        <v>76.010299956639813</v>
      </c>
      <c r="Q322" s="91" t="str">
        <f>IF($N322="","",-1*ROUND(_xlfn.XLOOKUP(Tables!$L$302,'Input LwA_XYZ'!$AY$1:$BM$1,'Input LwA_XYZ'!AY21:BM21),0) &amp; " / " &amp; ROUND(_xlfn.XLOOKUP(Tables!$L$302,'Input LwA_XYZ'!$AH$1:$AV$1,'Input LwA_XYZ'!AH21:AV21),0) &amp; " ft")</f>
        <v>37 / 95 ft</v>
      </c>
      <c r="R322" s="91">
        <f>IF($N322="","",IF(_xlfn.XLOOKUP(Tables!$L$302,'Input LwA_XYZ'!$BV$1:$CJ$1,'Input LwA_XYZ'!BV21:CJ21)="","-",_xlfn.XLOOKUP(Tables!$L$302,'Input LwA_XYZ'!$BV$1:$CJ$1,'Input LwA_XYZ'!BV21:CJ21)))</f>
        <v>15</v>
      </c>
      <c r="S322" s="91" t="str">
        <f>IF($N322="","",IF('Input LwA_XYZ'!S21="","-",'Input LwA_XYZ'!S21))</f>
        <v>-</v>
      </c>
      <c r="T322" s="65">
        <f>IF($N322="","",_xlfn.XLOOKUP(Tables!$L$302,'Input LwA_XYZ'!$DD$1:$DR$1,'Input LwA_XYZ'!DD21:DR21))</f>
        <v>0</v>
      </c>
    </row>
    <row r="323" spans="14:20" ht="16.5" x14ac:dyDescent="0.3">
      <c r="N323" s="190">
        <f>IF('Input LwA_XYZ'!A22 = 0, "", 'Input LwA_XYZ'!A22)</f>
        <v>2</v>
      </c>
      <c r="O323" s="189" t="str">
        <f>IF($N323="","",_xlfn.TEXTJOIN(" - ",TRUE,'Input LwA_XYZ'!B22:C22))</f>
        <v>RCU-R(2p)6 - Radiated</v>
      </c>
      <c r="P323" s="64">
        <f>IF($N323="","",'Input LwA_XYZ'!Q22)</f>
        <v>76.010299956639813</v>
      </c>
      <c r="Q323" s="91" t="str">
        <f>IF($N323="","",-1*ROUND(_xlfn.XLOOKUP(Tables!$L$302,'Input LwA_XYZ'!$AY$1:$BM$1,'Input LwA_XYZ'!AY22:BM22),0) &amp; " / " &amp; ROUND(_xlfn.XLOOKUP(Tables!$L$302,'Input LwA_XYZ'!$AH$1:$AV$1,'Input LwA_XYZ'!AH22:AV22),0) &amp; " ft")</f>
        <v>38 / 105 ft</v>
      </c>
      <c r="R323" s="91">
        <f>IF($N323="","",IF(_xlfn.XLOOKUP(Tables!$L$302,'Input LwA_XYZ'!$BV$1:$CJ$1,'Input LwA_XYZ'!BV22:CJ22)="","-",_xlfn.XLOOKUP(Tables!$L$302,'Input LwA_XYZ'!$BV$1:$CJ$1,'Input LwA_XYZ'!BV22:CJ22)))</f>
        <v>15</v>
      </c>
      <c r="S323" s="91" t="str">
        <f>IF($N323="","",IF('Input LwA_XYZ'!S22="","-",'Input LwA_XYZ'!S22))</f>
        <v>-</v>
      </c>
      <c r="T323" s="65">
        <f>IF($N323="","",_xlfn.XLOOKUP(Tables!$L$302,'Input LwA_XYZ'!$DD$1:$DR$1,'Input LwA_XYZ'!DD22:DR22))</f>
        <v>0</v>
      </c>
    </row>
    <row r="324" spans="14:20" ht="16.5" x14ac:dyDescent="0.3">
      <c r="N324" s="190">
        <f>IF('Input LwA_XYZ'!A23 = 0, "", 'Input LwA_XYZ'!A23)</f>
        <v>1</v>
      </c>
      <c r="O324" s="189" t="str">
        <f>IF($N324="","",_xlfn.TEXTJOIN(" - ",TRUE,'Input LwA_XYZ'!B23:C23))</f>
        <v>BEF-R01  - Inlet</v>
      </c>
      <c r="P324" s="64">
        <f>IF($N324="","",'Input LwA_XYZ'!Q23)</f>
        <v>57</v>
      </c>
      <c r="Q324" s="91" t="str">
        <f>IF($N324="","",-1*ROUND(_xlfn.XLOOKUP(Tables!$L$302,'Input LwA_XYZ'!$AY$1:$BM$1,'Input LwA_XYZ'!AY23:BM23),0) &amp; " / " &amp; ROUND(_xlfn.XLOOKUP(Tables!$L$302,'Input LwA_XYZ'!$AH$1:$AV$1,'Input LwA_XYZ'!AH23:AV23),0) &amp; " ft")</f>
        <v>35 / 70 ft</v>
      </c>
      <c r="R324" s="91">
        <f>IF($N324="","",IF(_xlfn.XLOOKUP(Tables!$L$302,'Input LwA_XYZ'!$BV$1:$CJ$1,'Input LwA_XYZ'!BV23:CJ23)="","-",_xlfn.XLOOKUP(Tables!$L$302,'Input LwA_XYZ'!$BV$1:$CJ$1,'Input LwA_XYZ'!BV23:CJ23)))</f>
        <v>0</v>
      </c>
      <c r="S324" s="91" t="str">
        <f>IF($N324="","",IF('Input LwA_XYZ'!S23="","-",'Input LwA_XYZ'!S23))</f>
        <v>-</v>
      </c>
      <c r="T324" s="65">
        <f>IF($N324="","",_xlfn.XLOOKUP(Tables!$L$302,'Input LwA_XYZ'!$DD$1:$DR$1,'Input LwA_XYZ'!DD23:DR23))</f>
        <v>0</v>
      </c>
    </row>
    <row r="325" spans="14:20" ht="16.5" x14ac:dyDescent="0.3">
      <c r="N325" s="190">
        <f>IF('Input LwA_XYZ'!A24 = 0, "", 'Input LwA_XYZ'!A24)</f>
        <v>1</v>
      </c>
      <c r="O325" s="189" t="str">
        <f>IF($N325="","",_xlfn.TEXTJOIN(" - ",TRUE,'Input LwA_XYZ'!B24:C24))</f>
        <v>BEF-R02  - Inlet</v>
      </c>
      <c r="P325" s="64">
        <f>IF($N325="","",'Input LwA_XYZ'!Q24)</f>
        <v>66</v>
      </c>
      <c r="Q325" s="91" t="str">
        <f>IF($N325="","",-1*ROUND(_xlfn.XLOOKUP(Tables!$L$302,'Input LwA_XYZ'!$AY$1:$BM$1,'Input LwA_XYZ'!AY24:BM24),0) &amp; " / " &amp; ROUND(_xlfn.XLOOKUP(Tables!$L$302,'Input LwA_XYZ'!$AH$1:$AV$1,'Input LwA_XYZ'!AH24:AV24),0) &amp; " ft")</f>
        <v>33 / 58 ft</v>
      </c>
      <c r="R325" s="91">
        <f>IF($N325="","",IF(_xlfn.XLOOKUP(Tables!$L$302,'Input LwA_XYZ'!$BV$1:$CJ$1,'Input LwA_XYZ'!BV24:CJ24)="","-",_xlfn.XLOOKUP(Tables!$L$302,'Input LwA_XYZ'!$BV$1:$CJ$1,'Input LwA_XYZ'!BV24:CJ24)))</f>
        <v>0</v>
      </c>
      <c r="S325" s="91" t="str">
        <f>IF($N325="","",IF('Input LwA_XYZ'!S24="","-",'Input LwA_XYZ'!S24))</f>
        <v>-</v>
      </c>
      <c r="T325" s="65">
        <f>IF($N325="","",_xlfn.XLOOKUP(Tables!$L$302,'Input LwA_XYZ'!$DD$1:$DR$1,'Input LwA_XYZ'!DD24:DR24))</f>
        <v>0</v>
      </c>
    </row>
    <row r="326" spans="14:20" ht="16.5" x14ac:dyDescent="0.3">
      <c r="N326" s="190">
        <f>IF('Input LwA_XYZ'!A25 = 0, "", 'Input LwA_XYZ'!A25)</f>
        <v>1</v>
      </c>
      <c r="O326" s="189" t="str">
        <f>IF($N326="","",_xlfn.TEXTJOIN(" - ",TRUE,'Input LwA_XYZ'!B25:C25))</f>
        <v>BEF-R03  - Inlet</v>
      </c>
      <c r="P326" s="64">
        <f>IF($N326="","",'Input LwA_XYZ'!Q25)</f>
        <v>66</v>
      </c>
      <c r="Q326" s="91" t="str">
        <f>IF($N326="","",-1*ROUND(_xlfn.XLOOKUP(Tables!$L$302,'Input LwA_XYZ'!$AY$1:$BM$1,'Input LwA_XYZ'!AY25:BM25),0) &amp; " / " &amp; ROUND(_xlfn.XLOOKUP(Tables!$L$302,'Input LwA_XYZ'!$AH$1:$AV$1,'Input LwA_XYZ'!AH25:AV25),0) &amp; " ft")</f>
        <v>32 / 53 ft</v>
      </c>
      <c r="R326" s="91">
        <f>IF($N326="","",IF(_xlfn.XLOOKUP(Tables!$L$302,'Input LwA_XYZ'!$BV$1:$CJ$1,'Input LwA_XYZ'!BV25:CJ25)="","-",_xlfn.XLOOKUP(Tables!$L$302,'Input LwA_XYZ'!$BV$1:$CJ$1,'Input LwA_XYZ'!BV25:CJ25)))</f>
        <v>5</v>
      </c>
      <c r="S326" s="91" t="str">
        <f>IF($N326="","",IF('Input LwA_XYZ'!S25="","-",'Input LwA_XYZ'!S25))</f>
        <v>-</v>
      </c>
      <c r="T326" s="65">
        <f>IF($N326="","",_xlfn.XLOOKUP(Tables!$L$302,'Input LwA_XYZ'!$DD$1:$DR$1,'Input LwA_XYZ'!DD25:DR25))</f>
        <v>0</v>
      </c>
    </row>
    <row r="327" spans="14:20" ht="16.5" x14ac:dyDescent="0.3">
      <c r="N327" s="190">
        <f>IF('Input LwA_XYZ'!A26 = 0, "", 'Input LwA_XYZ'!A26)</f>
        <v>1</v>
      </c>
      <c r="O327" s="189" t="str">
        <f>IF($N327="","",_xlfn.TEXTJOIN(" - ",TRUE,'Input LwA_XYZ'!B26:C26))</f>
        <v>BEF-R04  - Inlet</v>
      </c>
      <c r="P327" s="64">
        <f>IF($N327="","",'Input LwA_XYZ'!Q26)</f>
        <v>66</v>
      </c>
      <c r="Q327" s="91" t="str">
        <f>IF($N327="","",-1*ROUND(_xlfn.XLOOKUP(Tables!$L$302,'Input LwA_XYZ'!$AY$1:$BM$1,'Input LwA_XYZ'!AY26:BM26),0) &amp; " / " &amp; ROUND(_xlfn.XLOOKUP(Tables!$L$302,'Input LwA_XYZ'!$AH$1:$AV$1,'Input LwA_XYZ'!AH26:AV26),0) &amp; " ft")</f>
        <v>34 / 65 ft</v>
      </c>
      <c r="R327" s="91">
        <f>IF($N327="","",IF(_xlfn.XLOOKUP(Tables!$L$302,'Input LwA_XYZ'!$BV$1:$CJ$1,'Input LwA_XYZ'!BV26:CJ26)="","-",_xlfn.XLOOKUP(Tables!$L$302,'Input LwA_XYZ'!$BV$1:$CJ$1,'Input LwA_XYZ'!BV26:CJ26)))</f>
        <v>7</v>
      </c>
      <c r="S327" s="91" t="str">
        <f>IF($N327="","",IF('Input LwA_XYZ'!S26="","-",'Input LwA_XYZ'!S26))</f>
        <v>-</v>
      </c>
      <c r="T327" s="65">
        <f>IF($N327="","",_xlfn.XLOOKUP(Tables!$L$302,'Input LwA_XYZ'!$DD$1:$DR$1,'Input LwA_XYZ'!DD26:DR26))</f>
        <v>0</v>
      </c>
    </row>
    <row r="328" spans="14:20" ht="16.5" x14ac:dyDescent="0.3">
      <c r="N328" s="190">
        <f>IF('Input LwA_XYZ'!A27 = 0, "", 'Input LwA_XYZ'!A27)</f>
        <v>1</v>
      </c>
      <c r="O328" s="189" t="str">
        <f>IF($N328="","",_xlfn.TEXTJOIN(" - ",TRUE,'Input LwA_XYZ'!B27:C27))</f>
        <v>BEF-R05  - Inlet</v>
      </c>
      <c r="P328" s="64">
        <f>IF($N328="","",'Input LwA_XYZ'!Q27)</f>
        <v>66</v>
      </c>
      <c r="Q328" s="91" t="str">
        <f>IF($N328="","",-1*ROUND(_xlfn.XLOOKUP(Tables!$L$302,'Input LwA_XYZ'!$AY$1:$BM$1,'Input LwA_XYZ'!AY27:BM27),0) &amp; " / " &amp; ROUND(_xlfn.XLOOKUP(Tables!$L$302,'Input LwA_XYZ'!$AH$1:$AV$1,'Input LwA_XYZ'!AH27:AV27),0) &amp; " ft")</f>
        <v>35 / 76 ft</v>
      </c>
      <c r="R328" s="91">
        <f>IF($N328="","",IF(_xlfn.XLOOKUP(Tables!$L$302,'Input LwA_XYZ'!$BV$1:$CJ$1,'Input LwA_XYZ'!BV27:CJ27)="","-",_xlfn.XLOOKUP(Tables!$L$302,'Input LwA_XYZ'!$BV$1:$CJ$1,'Input LwA_XYZ'!BV27:CJ27)))</f>
        <v>0</v>
      </c>
      <c r="S328" s="91" t="str">
        <f>IF($N328="","",IF('Input LwA_XYZ'!S27="","-",'Input LwA_XYZ'!S27))</f>
        <v>-</v>
      </c>
      <c r="T328" s="65">
        <f>IF($N328="","",_xlfn.XLOOKUP(Tables!$L$302,'Input LwA_XYZ'!$DD$1:$DR$1,'Input LwA_XYZ'!DD27:DR27))</f>
        <v>0</v>
      </c>
    </row>
    <row r="329" spans="14:20" ht="16.5" x14ac:dyDescent="0.3">
      <c r="N329" s="190">
        <f>IF('Input LwA_XYZ'!A28 = 0, "", 'Input LwA_XYZ'!A28)</f>
        <v>1</v>
      </c>
      <c r="O329" s="189" t="str">
        <f>IF($N329="","",_xlfn.TEXTJOIN(" - ",TRUE,'Input LwA_XYZ'!B28:C28))</f>
        <v>BEF-R06  - Inlet</v>
      </c>
      <c r="P329" s="64">
        <f>IF($N329="","",'Input LwA_XYZ'!Q28)</f>
        <v>66</v>
      </c>
      <c r="Q329" s="91" t="str">
        <f>IF($N329="","",-1*ROUND(_xlfn.XLOOKUP(Tables!$L$302,'Input LwA_XYZ'!$AY$1:$BM$1,'Input LwA_XYZ'!AY28:BM28),0) &amp; " / " &amp; ROUND(_xlfn.XLOOKUP(Tables!$L$302,'Input LwA_XYZ'!$AH$1:$AV$1,'Input LwA_XYZ'!AH28:AV28),0) &amp; " ft")</f>
        <v>35 / 75 ft</v>
      </c>
      <c r="R329" s="91">
        <f>IF($N329="","",IF(_xlfn.XLOOKUP(Tables!$L$302,'Input LwA_XYZ'!$BV$1:$CJ$1,'Input LwA_XYZ'!BV28:CJ28)="","-",_xlfn.XLOOKUP(Tables!$L$302,'Input LwA_XYZ'!$BV$1:$CJ$1,'Input LwA_XYZ'!BV28:CJ28)))</f>
        <v>0</v>
      </c>
      <c r="S329" s="91" t="str">
        <f>IF($N329="","",IF('Input LwA_XYZ'!S28="","-",'Input LwA_XYZ'!S28))</f>
        <v>-</v>
      </c>
      <c r="T329" s="65">
        <f>IF($N329="","",_xlfn.XLOOKUP(Tables!$L$302,'Input LwA_XYZ'!$DD$1:$DR$1,'Input LwA_XYZ'!DD28:DR28))</f>
        <v>0</v>
      </c>
    </row>
    <row r="330" spans="14:20" ht="16.5" x14ac:dyDescent="0.3">
      <c r="N330" s="190">
        <f>IF('Input LwA_XYZ'!A29 = 0, "", 'Input LwA_XYZ'!A29)</f>
        <v>1</v>
      </c>
      <c r="O330" s="189" t="str">
        <f>IF($N330="","",_xlfn.TEXTJOIN(" - ",TRUE,'Input LwA_XYZ'!B29:C29))</f>
        <v>BEF-R07  - Inlet</v>
      </c>
      <c r="P330" s="64">
        <f>IF($N330="","",'Input LwA_XYZ'!Q29)</f>
        <v>57</v>
      </c>
      <c r="Q330" s="91" t="str">
        <f>IF($N330="","",-1*ROUND(_xlfn.XLOOKUP(Tables!$L$302,'Input LwA_XYZ'!$AY$1:$BM$1,'Input LwA_XYZ'!AY29:BM29),0) &amp; " / " &amp; ROUND(_xlfn.XLOOKUP(Tables!$L$302,'Input LwA_XYZ'!$AH$1:$AV$1,'Input LwA_XYZ'!AH29:AV29),0) &amp; " ft")</f>
        <v>36 / 85 ft</v>
      </c>
      <c r="R330" s="91">
        <f>IF($N330="","",IF(_xlfn.XLOOKUP(Tables!$L$302,'Input LwA_XYZ'!$BV$1:$CJ$1,'Input LwA_XYZ'!BV29:CJ29)="","-",_xlfn.XLOOKUP(Tables!$L$302,'Input LwA_XYZ'!$BV$1:$CJ$1,'Input LwA_XYZ'!BV29:CJ29)))</f>
        <v>0</v>
      </c>
      <c r="S330" s="91" t="str">
        <f>IF($N330="","",IF('Input LwA_XYZ'!S29="","-",'Input LwA_XYZ'!S29))</f>
        <v>-</v>
      </c>
      <c r="T330" s="65">
        <f>IF($N330="","",_xlfn.XLOOKUP(Tables!$L$302,'Input LwA_XYZ'!$DD$1:$DR$1,'Input LwA_XYZ'!DD29:DR29))</f>
        <v>0</v>
      </c>
    </row>
    <row r="331" spans="14:20" ht="16.5" x14ac:dyDescent="0.3">
      <c r="N331" s="190">
        <f>IF('Input LwA_XYZ'!A30 = 0, "", 'Input LwA_XYZ'!A30)</f>
        <v>1</v>
      </c>
      <c r="O331" s="189" t="str">
        <f>IF($N331="","",_xlfn.TEXTJOIN(" - ",TRUE,'Input LwA_XYZ'!B30:C30))</f>
        <v>BEF-R08  - Inlet</v>
      </c>
      <c r="P331" s="64">
        <f>IF($N331="","",'Input LwA_XYZ'!Q30)</f>
        <v>57</v>
      </c>
      <c r="Q331" s="91" t="str">
        <f>IF($N331="","",-1*ROUND(_xlfn.XLOOKUP(Tables!$L$302,'Input LwA_XYZ'!$AY$1:$BM$1,'Input LwA_XYZ'!AY30:BM30),0) &amp; " / " &amp; ROUND(_xlfn.XLOOKUP(Tables!$L$302,'Input LwA_XYZ'!$AH$1:$AV$1,'Input LwA_XYZ'!AH30:AV30),0) &amp; " ft")</f>
        <v>39 / 121 ft</v>
      </c>
      <c r="R331" s="91">
        <f>IF($N331="","",IF(_xlfn.XLOOKUP(Tables!$L$302,'Input LwA_XYZ'!$BV$1:$CJ$1,'Input LwA_XYZ'!BV30:CJ30)="","-",_xlfn.XLOOKUP(Tables!$L$302,'Input LwA_XYZ'!$BV$1:$CJ$1,'Input LwA_XYZ'!BV30:CJ30)))</f>
        <v>12</v>
      </c>
      <c r="S331" s="91" t="str">
        <f>IF($N331="","",IF('Input LwA_XYZ'!S30="","-",'Input LwA_XYZ'!S30))</f>
        <v>-</v>
      </c>
      <c r="T331" s="65">
        <f>IF($N331="","",_xlfn.XLOOKUP(Tables!$L$302,'Input LwA_XYZ'!$DD$1:$DR$1,'Input LwA_XYZ'!DD30:DR30))</f>
        <v>0</v>
      </c>
    </row>
    <row r="332" spans="14:20" ht="16.5" x14ac:dyDescent="0.3">
      <c r="N332" s="190">
        <f>IF('Input LwA_XYZ'!A31 = 0, "", 'Input LwA_XYZ'!A31)</f>
        <v>1</v>
      </c>
      <c r="O332" s="189" t="str">
        <f>IF($N332="","",_xlfn.TEXTJOIN(" - ",TRUE,'Input LwA_XYZ'!B31:C31))</f>
        <v>BEF-R09  - Inlet</v>
      </c>
      <c r="P332" s="64">
        <f>IF($N332="","",'Input LwA_XYZ'!Q31)</f>
        <v>66</v>
      </c>
      <c r="Q332" s="91" t="str">
        <f>IF($N332="","",-1*ROUND(_xlfn.XLOOKUP(Tables!$L$302,'Input LwA_XYZ'!$AY$1:$BM$1,'Input LwA_XYZ'!AY31:BM31),0) &amp; " / " &amp; ROUND(_xlfn.XLOOKUP(Tables!$L$302,'Input LwA_XYZ'!$AH$1:$AV$1,'Input LwA_XYZ'!AH31:AV31),0) &amp; " ft")</f>
        <v>39 / 119 ft</v>
      </c>
      <c r="R332" s="91">
        <f>IF($N332="","",IF(_xlfn.XLOOKUP(Tables!$L$302,'Input LwA_XYZ'!$BV$1:$CJ$1,'Input LwA_XYZ'!BV31:CJ31)="","-",_xlfn.XLOOKUP(Tables!$L$302,'Input LwA_XYZ'!$BV$1:$CJ$1,'Input LwA_XYZ'!BV31:CJ31)))</f>
        <v>12</v>
      </c>
      <c r="S332" s="91" t="str">
        <f>IF($N332="","",IF('Input LwA_XYZ'!S31="","-",'Input LwA_XYZ'!S31))</f>
        <v>-</v>
      </c>
      <c r="T332" s="65">
        <f>IF($N332="","",_xlfn.XLOOKUP(Tables!$L$302,'Input LwA_XYZ'!$DD$1:$DR$1,'Input LwA_XYZ'!DD31:DR31))</f>
        <v>0</v>
      </c>
    </row>
    <row r="333" spans="14:20" ht="16.5" x14ac:dyDescent="0.3">
      <c r="N333" s="190">
        <f>IF('Input LwA_XYZ'!A32 = 0, "", 'Input LwA_XYZ'!A32)</f>
        <v>1</v>
      </c>
      <c r="O333" s="189" t="str">
        <f>IF($N333="","",_xlfn.TEXTJOIN(" - ",TRUE,'Input LwA_XYZ'!B32:C32))</f>
        <v>BEF-R10  - Inlet</v>
      </c>
      <c r="P333" s="64">
        <f>IF($N333="","",'Input LwA_XYZ'!Q32)</f>
        <v>66</v>
      </c>
      <c r="Q333" s="91" t="str">
        <f>IF($N333="","",-1*ROUND(_xlfn.XLOOKUP(Tables!$L$302,'Input LwA_XYZ'!$AY$1:$BM$1,'Input LwA_XYZ'!AY32:BM32),0) &amp; " / " &amp; ROUND(_xlfn.XLOOKUP(Tables!$L$302,'Input LwA_XYZ'!$AH$1:$AV$1,'Input LwA_XYZ'!AH32:AV32),0) &amp; " ft")</f>
        <v>39 / 122 ft</v>
      </c>
      <c r="R333" s="91">
        <f>IF($N333="","",IF(_xlfn.XLOOKUP(Tables!$L$302,'Input LwA_XYZ'!$BV$1:$CJ$1,'Input LwA_XYZ'!BV32:CJ32)="","-",_xlfn.XLOOKUP(Tables!$L$302,'Input LwA_XYZ'!$BV$1:$CJ$1,'Input LwA_XYZ'!BV32:CJ32)))</f>
        <v>12</v>
      </c>
      <c r="S333" s="91" t="str">
        <f>IF($N333="","",IF('Input LwA_XYZ'!S32="","-",'Input LwA_XYZ'!S32))</f>
        <v>-</v>
      </c>
      <c r="T333" s="65">
        <f>IF($N333="","",_xlfn.XLOOKUP(Tables!$L$302,'Input LwA_XYZ'!$DD$1:$DR$1,'Input LwA_XYZ'!DD32:DR32))</f>
        <v>0</v>
      </c>
    </row>
    <row r="334" spans="14:20" ht="16.5" x14ac:dyDescent="0.3">
      <c r="N334" s="190">
        <f>IF('Input LwA_XYZ'!A33 = 0, "", 'Input LwA_XYZ'!A33)</f>
        <v>1</v>
      </c>
      <c r="O334" s="189" t="str">
        <f>IF($N334="","",_xlfn.TEXTJOIN(" - ",TRUE,'Input LwA_XYZ'!B33:C33))</f>
        <v>BEF-R11  - Inlet</v>
      </c>
      <c r="P334" s="64">
        <f>IF($N334="","",'Input LwA_XYZ'!Q33)</f>
        <v>66</v>
      </c>
      <c r="Q334" s="91" t="str">
        <f>IF($N334="","",-1*ROUND(_xlfn.XLOOKUP(Tables!$L$302,'Input LwA_XYZ'!$AY$1:$BM$1,'Input LwA_XYZ'!AY33:BM33),0) &amp; " / " &amp; ROUND(_xlfn.XLOOKUP(Tables!$L$302,'Input LwA_XYZ'!$AH$1:$AV$1,'Input LwA_XYZ'!AH33:AV33),0) &amp; " ft")</f>
        <v>40 / 125 ft</v>
      </c>
      <c r="R334" s="91">
        <f>IF($N334="","",IF(_xlfn.XLOOKUP(Tables!$L$302,'Input LwA_XYZ'!$BV$1:$CJ$1,'Input LwA_XYZ'!BV33:CJ33)="","-",_xlfn.XLOOKUP(Tables!$L$302,'Input LwA_XYZ'!$BV$1:$CJ$1,'Input LwA_XYZ'!BV33:CJ33)))</f>
        <v>12</v>
      </c>
      <c r="S334" s="91" t="str">
        <f>IF($N334="","",IF('Input LwA_XYZ'!S33="","-",'Input LwA_XYZ'!S33))</f>
        <v>-</v>
      </c>
      <c r="T334" s="65">
        <f>IF($N334="","",_xlfn.XLOOKUP(Tables!$L$302,'Input LwA_XYZ'!$DD$1:$DR$1,'Input LwA_XYZ'!DD33:DR33))</f>
        <v>0</v>
      </c>
    </row>
    <row r="335" spans="14:20" ht="16.5" x14ac:dyDescent="0.3">
      <c r="N335" s="190">
        <f>IF('Input LwA_XYZ'!A34 = 0, "", 'Input LwA_XYZ'!A34)</f>
        <v>1</v>
      </c>
      <c r="O335" s="189" t="str">
        <f>IF($N335="","",_xlfn.TEXTJOIN(" - ",TRUE,'Input LwA_XYZ'!B34:C34))</f>
        <v>BEF-R12  - Inlet</v>
      </c>
      <c r="P335" s="64">
        <f>IF($N335="","",'Input LwA_XYZ'!Q34)</f>
        <v>66</v>
      </c>
      <c r="Q335" s="91" t="str">
        <f>IF($N335="","",-1*ROUND(_xlfn.XLOOKUP(Tables!$L$302,'Input LwA_XYZ'!$AY$1:$BM$1,'Input LwA_XYZ'!AY34:BM34),0) &amp; " / " &amp; ROUND(_xlfn.XLOOKUP(Tables!$L$302,'Input LwA_XYZ'!$AH$1:$AV$1,'Input LwA_XYZ'!AH34:AV34),0) &amp; " ft")</f>
        <v>37 / 97 ft</v>
      </c>
      <c r="R335" s="91">
        <f>IF($N335="","",IF(_xlfn.XLOOKUP(Tables!$L$302,'Input LwA_XYZ'!$BV$1:$CJ$1,'Input LwA_XYZ'!BV34:CJ34)="","-",_xlfn.XLOOKUP(Tables!$L$302,'Input LwA_XYZ'!$BV$1:$CJ$1,'Input LwA_XYZ'!BV34:CJ34)))</f>
        <v>15</v>
      </c>
      <c r="S335" s="91" t="str">
        <f>IF($N335="","",IF('Input LwA_XYZ'!S34="","-",'Input LwA_XYZ'!S34))</f>
        <v>-</v>
      </c>
      <c r="T335" s="65">
        <f>IF($N335="","",_xlfn.XLOOKUP(Tables!$L$302,'Input LwA_XYZ'!$DD$1:$DR$1,'Input LwA_XYZ'!DD34:DR34))</f>
        <v>0</v>
      </c>
    </row>
    <row r="336" spans="14:20" ht="16.5" x14ac:dyDescent="0.3">
      <c r="N336" s="190">
        <f>IF('Input LwA_XYZ'!A35 = 0, "", 'Input LwA_XYZ'!A35)</f>
        <v>1</v>
      </c>
      <c r="O336" s="189" t="str">
        <f>IF($N336="","",_xlfn.TEXTJOIN(" - ",TRUE,'Input LwA_XYZ'!B35:C35))</f>
        <v>BEF-R13  - Inlet</v>
      </c>
      <c r="P336" s="64">
        <f>IF($N336="","",'Input LwA_XYZ'!Q35)</f>
        <v>66</v>
      </c>
      <c r="Q336" s="91" t="str">
        <f>IF($N336="","",-1*ROUND(_xlfn.XLOOKUP(Tables!$L$302,'Input LwA_XYZ'!$AY$1:$BM$1,'Input LwA_XYZ'!AY35:BM35),0) &amp; " / " &amp; ROUND(_xlfn.XLOOKUP(Tables!$L$302,'Input LwA_XYZ'!$AH$1:$AV$1,'Input LwA_XYZ'!AH35:AV35),0) &amp; " ft")</f>
        <v>36 / 82 ft</v>
      </c>
      <c r="R336" s="91">
        <f>IF($N336="","",IF(_xlfn.XLOOKUP(Tables!$L$302,'Input LwA_XYZ'!$BV$1:$CJ$1,'Input LwA_XYZ'!BV35:CJ35)="","-",_xlfn.XLOOKUP(Tables!$L$302,'Input LwA_XYZ'!$BV$1:$CJ$1,'Input LwA_XYZ'!BV35:CJ35)))</f>
        <v>15</v>
      </c>
      <c r="S336" s="91" t="str">
        <f>IF($N336="","",IF('Input LwA_XYZ'!S35="","-",'Input LwA_XYZ'!S35))</f>
        <v>-</v>
      </c>
      <c r="T336" s="65">
        <f>IF($N336="","",_xlfn.XLOOKUP(Tables!$L$302,'Input LwA_XYZ'!$DD$1:$DR$1,'Input LwA_XYZ'!DD35:DR35))</f>
        <v>0</v>
      </c>
    </row>
    <row r="337" spans="14:20" ht="16.5" x14ac:dyDescent="0.3">
      <c r="N337" s="190">
        <f>IF('Input LwA_XYZ'!A36 = 0, "", 'Input LwA_XYZ'!A36)</f>
        <v>1</v>
      </c>
      <c r="O337" s="189" t="str">
        <f>IF($N337="","",_xlfn.TEXTJOIN(" - ",TRUE,'Input LwA_XYZ'!B36:C36))</f>
        <v>BEF-R14  - Inlet</v>
      </c>
      <c r="P337" s="64">
        <f>IF($N337="","",'Input LwA_XYZ'!Q36)</f>
        <v>66</v>
      </c>
      <c r="Q337" s="91" t="str">
        <f>IF($N337="","",-1*ROUND(_xlfn.XLOOKUP(Tables!$L$302,'Input LwA_XYZ'!$AY$1:$BM$1,'Input LwA_XYZ'!AY36:BM36),0) &amp; " / " &amp; ROUND(_xlfn.XLOOKUP(Tables!$L$302,'Input LwA_XYZ'!$AH$1:$AV$1,'Input LwA_XYZ'!AH36:AV36),0) &amp; " ft")</f>
        <v>36 / 84 ft</v>
      </c>
      <c r="R337" s="91">
        <f>IF($N337="","",IF(_xlfn.XLOOKUP(Tables!$L$302,'Input LwA_XYZ'!$BV$1:$CJ$1,'Input LwA_XYZ'!BV36:CJ36)="","-",_xlfn.XLOOKUP(Tables!$L$302,'Input LwA_XYZ'!$BV$1:$CJ$1,'Input LwA_XYZ'!BV36:CJ36)))</f>
        <v>15</v>
      </c>
      <c r="S337" s="91" t="str">
        <f>IF($N337="","",IF('Input LwA_XYZ'!S36="","-",'Input LwA_XYZ'!S36))</f>
        <v>-</v>
      </c>
      <c r="T337" s="65">
        <f>IF($N337="","",_xlfn.XLOOKUP(Tables!$L$302,'Input LwA_XYZ'!$DD$1:$DR$1,'Input LwA_XYZ'!DD36:DR36))</f>
        <v>0</v>
      </c>
    </row>
    <row r="338" spans="14:20" ht="16.5" x14ac:dyDescent="0.3">
      <c r="N338" s="190">
        <f>IF('Input LwA_XYZ'!A37 = 0, "", 'Input LwA_XYZ'!A37)</f>
        <v>1</v>
      </c>
      <c r="O338" s="189" t="str">
        <f>IF($N338="","",_xlfn.TEXTJOIN(" - ",TRUE,'Input LwA_XYZ'!B37:C37))</f>
        <v>BEF-R15  - Inlet</v>
      </c>
      <c r="P338" s="64">
        <f>IF($N338="","",'Input LwA_XYZ'!Q37)</f>
        <v>57</v>
      </c>
      <c r="Q338" s="91" t="str">
        <f>IF($N338="","",-1*ROUND(_xlfn.XLOOKUP(Tables!$L$302,'Input LwA_XYZ'!$AY$1:$BM$1,'Input LwA_XYZ'!AY37:BM37),0) &amp; " / " &amp; ROUND(_xlfn.XLOOKUP(Tables!$L$302,'Input LwA_XYZ'!$AH$1:$AV$1,'Input LwA_XYZ'!AH37:AV37),0) &amp; " ft")</f>
        <v>37 / 97 ft</v>
      </c>
      <c r="R338" s="91">
        <f>IF($N338="","",IF(_xlfn.XLOOKUP(Tables!$L$302,'Input LwA_XYZ'!$BV$1:$CJ$1,'Input LwA_XYZ'!BV37:CJ37)="","-",_xlfn.XLOOKUP(Tables!$L$302,'Input LwA_XYZ'!$BV$1:$CJ$1,'Input LwA_XYZ'!BV37:CJ37)))</f>
        <v>13</v>
      </c>
      <c r="S338" s="91" t="str">
        <f>IF($N338="","",IF('Input LwA_XYZ'!S37="","-",'Input LwA_XYZ'!S37))</f>
        <v>-</v>
      </c>
      <c r="T338" s="65">
        <f>IF($N338="","",_xlfn.XLOOKUP(Tables!$L$302,'Input LwA_XYZ'!$DD$1:$DR$1,'Input LwA_XYZ'!DD37:DR37))</f>
        <v>0</v>
      </c>
    </row>
    <row r="339" spans="14:20" ht="16.5" x14ac:dyDescent="0.3">
      <c r="N339" s="190">
        <f>IF('Input LwA_XYZ'!A38 = 0, "", 'Input LwA_XYZ'!A38)</f>
        <v>1</v>
      </c>
      <c r="O339" s="189" t="str">
        <f>IF($N339="","",_xlfn.TEXTJOIN(" - ",TRUE,'Input LwA_XYZ'!B38:C38))</f>
        <v>BEF-R16  - Inlet</v>
      </c>
      <c r="P339" s="64">
        <f>IF($N339="","",'Input LwA_XYZ'!Q38)</f>
        <v>57</v>
      </c>
      <c r="Q339" s="91" t="str">
        <f>IF($N339="","",-1*ROUND(_xlfn.XLOOKUP(Tables!$L$302,'Input LwA_XYZ'!$AY$1:$BM$1,'Input LwA_XYZ'!AY38:BM38),0) &amp; " / " &amp; ROUND(_xlfn.XLOOKUP(Tables!$L$302,'Input LwA_XYZ'!$AH$1:$AV$1,'Input LwA_XYZ'!AH38:AV38),0) &amp; " ft")</f>
        <v>38 / 104 ft</v>
      </c>
      <c r="R339" s="91">
        <f>IF($N339="","",IF(_xlfn.XLOOKUP(Tables!$L$302,'Input LwA_XYZ'!$BV$1:$CJ$1,'Input LwA_XYZ'!BV38:CJ38)="","-",_xlfn.XLOOKUP(Tables!$L$302,'Input LwA_XYZ'!$BV$1:$CJ$1,'Input LwA_XYZ'!BV38:CJ38)))</f>
        <v>14</v>
      </c>
      <c r="S339" s="91" t="str">
        <f>IF($N339="","",IF('Input LwA_XYZ'!S38="","-",'Input LwA_XYZ'!S38))</f>
        <v>-</v>
      </c>
      <c r="T339" s="65">
        <f>IF($N339="","",_xlfn.XLOOKUP(Tables!$L$302,'Input LwA_XYZ'!$DD$1:$DR$1,'Input LwA_XYZ'!DD38:DR38))</f>
        <v>0</v>
      </c>
    </row>
    <row r="340" spans="14:20" ht="16.5" x14ac:dyDescent="0.3">
      <c r="N340" s="190" t="str">
        <f>IF('Input LwA_XYZ'!A39 = 0, "", 'Input LwA_XYZ'!A39)</f>
        <v/>
      </c>
      <c r="O340" s="189" t="str">
        <f>IF($N340="","",_xlfn.TEXTJOIN(" - ",TRUE,'Input LwA_XYZ'!B39:C39))</f>
        <v/>
      </c>
      <c r="P340" s="64" t="str">
        <f>IF($N340="","",'Input LwA_XYZ'!Q39)</f>
        <v/>
      </c>
      <c r="Q340" s="91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91" t="str">
        <f>IF($N340="","",IF(_xlfn.XLOOKUP(Tables!$L$302,'Input LwA_XYZ'!$BV$1:$CJ$1,'Input LwA_XYZ'!BV39:CJ39)="","-",_xlfn.XLOOKUP(Tables!$L$302,'Input LwA_XYZ'!$BV$1:$CJ$1,'Input LwA_XYZ'!BV39:CJ39)))</f>
        <v/>
      </c>
      <c r="S340" s="91" t="str">
        <f>IF($N340="","",IF('Input LwA_XYZ'!S39="","-",'Input LwA_XYZ'!S39))</f>
        <v/>
      </c>
      <c r="T340" s="65" t="str">
        <f>IF($N340="","",_xlfn.XLOOKUP(Tables!$L$302,'Input LwA_XYZ'!$DD$1:$DR$1,'Input LwA_XYZ'!DD39:DR39))</f>
        <v/>
      </c>
    </row>
    <row r="341" spans="14:20" ht="16.5" x14ac:dyDescent="0.3">
      <c r="N341" s="190" t="str">
        <f>IF('Input LwA_XYZ'!A40 = 0, "", 'Input LwA_XYZ'!A40)</f>
        <v/>
      </c>
      <c r="O341" s="189" t="str">
        <f>IF($N341="","",_xlfn.TEXTJOIN(" - ",TRUE,'Input LwA_XYZ'!B40:C40))</f>
        <v/>
      </c>
      <c r="P341" s="64" t="str">
        <f>IF($N341="","",'Input LwA_XYZ'!Q40)</f>
        <v/>
      </c>
      <c r="Q341" s="91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91" t="str">
        <f>IF($N341="","",IF(_xlfn.XLOOKUP(Tables!$L$302,'Input LwA_XYZ'!$BV$1:$CJ$1,'Input LwA_XYZ'!BV40:CJ40)="","-",_xlfn.XLOOKUP(Tables!$L$302,'Input LwA_XYZ'!$BV$1:$CJ$1,'Input LwA_XYZ'!BV40:CJ40)))</f>
        <v/>
      </c>
      <c r="S341" s="91" t="str">
        <f>IF($N341="","",IF('Input LwA_XYZ'!S40="","-",'Input LwA_XYZ'!S40))</f>
        <v/>
      </c>
      <c r="T341" s="65" t="str">
        <f>IF($N341="","",_xlfn.XLOOKUP(Tables!$L$302,'Input LwA_XYZ'!$DD$1:$DR$1,'Input LwA_XYZ'!DD40:DR40))</f>
        <v/>
      </c>
    </row>
    <row r="342" spans="14:20" ht="16.5" x14ac:dyDescent="0.3">
      <c r="N342" s="190" t="str">
        <f>IF('Input LwA_XYZ'!A41 = 0, "", 'Input LwA_XYZ'!A41)</f>
        <v/>
      </c>
      <c r="O342" s="189" t="str">
        <f>IF($N342="","",_xlfn.TEXTJOIN(" - ",TRUE,'Input LwA_XYZ'!B41:C41))</f>
        <v/>
      </c>
      <c r="P342" s="64" t="str">
        <f>IF($N342="","",'Input LwA_XYZ'!Q41)</f>
        <v/>
      </c>
      <c r="Q342" s="91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91" t="str">
        <f>IF($N342="","",IF(_xlfn.XLOOKUP(Tables!$L$302,'Input LwA_XYZ'!$BV$1:$CJ$1,'Input LwA_XYZ'!BV41:CJ41)="","-",_xlfn.XLOOKUP(Tables!$L$302,'Input LwA_XYZ'!$BV$1:$CJ$1,'Input LwA_XYZ'!BV41:CJ41)))</f>
        <v/>
      </c>
      <c r="S342" s="91" t="str">
        <f>IF($N342="","",IF('Input LwA_XYZ'!S41="","-",'Input LwA_XYZ'!S41))</f>
        <v/>
      </c>
      <c r="T342" s="65" t="str">
        <f>IF($N342="","",_xlfn.XLOOKUP(Tables!$L$302,'Input LwA_XYZ'!$DD$1:$DR$1,'Input LwA_XYZ'!DD41:DR41))</f>
        <v/>
      </c>
    </row>
    <row r="343" spans="14:20" ht="16.5" x14ac:dyDescent="0.3">
      <c r="N343" s="190" t="str">
        <f>IF('Input LwA_XYZ'!A42 = 0, "", 'Input LwA_XYZ'!A42)</f>
        <v/>
      </c>
      <c r="O343" s="189" t="str">
        <f>IF($N343="","",_xlfn.TEXTJOIN(" - ",TRUE,'Input LwA_XYZ'!B42:C42))</f>
        <v/>
      </c>
      <c r="P343" s="64" t="str">
        <f>IF($N343="","",'Input LwA_XYZ'!Q42)</f>
        <v/>
      </c>
      <c r="Q343" s="91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91" t="str">
        <f>IF($N343="","",IF(_xlfn.XLOOKUP(Tables!$L$302,'Input LwA_XYZ'!$BV$1:$CJ$1,'Input LwA_XYZ'!BV42:CJ42)="","-",_xlfn.XLOOKUP(Tables!$L$302,'Input LwA_XYZ'!$BV$1:$CJ$1,'Input LwA_XYZ'!BV42:CJ42)))</f>
        <v/>
      </c>
      <c r="S343" s="91" t="str">
        <f>IF($N343="","",IF('Input LwA_XYZ'!S42="","-",'Input LwA_XYZ'!S42))</f>
        <v/>
      </c>
      <c r="T343" s="65" t="str">
        <f>IF($N343="","",_xlfn.XLOOKUP(Tables!$L$302,'Input LwA_XYZ'!$DD$1:$DR$1,'Input LwA_XYZ'!DD42:DR42))</f>
        <v/>
      </c>
    </row>
    <row r="344" spans="14:20" ht="16.5" x14ac:dyDescent="0.3">
      <c r="N344" s="190" t="str">
        <f>IF('Input LwA_XYZ'!A43 = 0, "", 'Input LwA_XYZ'!A43)</f>
        <v/>
      </c>
      <c r="O344" s="189" t="str">
        <f>IF($N344="","",_xlfn.TEXTJOIN(" - ",TRUE,'Input LwA_XYZ'!B43:C43))</f>
        <v/>
      </c>
      <c r="P344" s="64" t="str">
        <f>IF($N344="","",'Input LwA_XYZ'!Q43)</f>
        <v/>
      </c>
      <c r="Q344" s="91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91" t="str">
        <f>IF($N344="","",IF(_xlfn.XLOOKUP(Tables!$L$302,'Input LwA_XYZ'!$BV$1:$CJ$1,'Input LwA_XYZ'!BV43:CJ43)="","-",_xlfn.XLOOKUP(Tables!$L$302,'Input LwA_XYZ'!$BV$1:$CJ$1,'Input LwA_XYZ'!BV43:CJ43)))</f>
        <v/>
      </c>
      <c r="S344" s="91" t="str">
        <f>IF($N344="","",IF('Input LwA_XYZ'!S43="","-",'Input LwA_XYZ'!S43))</f>
        <v/>
      </c>
      <c r="T344" s="65" t="str">
        <f>IF($N344="","",_xlfn.XLOOKUP(Tables!$L$302,'Input LwA_XYZ'!$DD$1:$DR$1,'Input LwA_XYZ'!DD43:DR43))</f>
        <v/>
      </c>
    </row>
    <row r="345" spans="14:20" ht="16.5" x14ac:dyDescent="0.3">
      <c r="N345" s="190" t="str">
        <f>IF('Input LwA_XYZ'!A44 = 0, "", 'Input LwA_XYZ'!A44)</f>
        <v/>
      </c>
      <c r="O345" s="189" t="str">
        <f>IF($N345="","",_xlfn.TEXTJOIN(" - ",TRUE,'Input LwA_XYZ'!B44:C44))</f>
        <v/>
      </c>
      <c r="P345" s="64" t="str">
        <f>IF($N345="","",'Input LwA_XYZ'!Q44)</f>
        <v/>
      </c>
      <c r="Q345" s="91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91" t="str">
        <f>IF($N345="","",IF(_xlfn.XLOOKUP(Tables!$L$302,'Input LwA_XYZ'!$BV$1:$CJ$1,'Input LwA_XYZ'!BV44:CJ44)="","-",_xlfn.XLOOKUP(Tables!$L$302,'Input LwA_XYZ'!$BV$1:$CJ$1,'Input LwA_XYZ'!BV44:CJ44)))</f>
        <v/>
      </c>
      <c r="S345" s="91" t="str">
        <f>IF($N345="","",IF('Input LwA_XYZ'!S44="","-",'Input LwA_XYZ'!S44))</f>
        <v/>
      </c>
      <c r="T345" s="65" t="str">
        <f>IF($N345="","",_xlfn.XLOOKUP(Tables!$L$302,'Input LwA_XYZ'!$DD$1:$DR$1,'Input LwA_XYZ'!DD44:DR44))</f>
        <v/>
      </c>
    </row>
    <row r="346" spans="14:20" ht="16.5" x14ac:dyDescent="0.3">
      <c r="N346" s="190" t="str">
        <f>IF('Input LwA_XYZ'!A45 = 0, "", 'Input LwA_XYZ'!A45)</f>
        <v/>
      </c>
      <c r="O346" s="189" t="str">
        <f>IF($N346="","",_xlfn.TEXTJOIN(" - ",TRUE,'Input LwA_XYZ'!B45:C45))</f>
        <v/>
      </c>
      <c r="P346" s="64" t="str">
        <f>IF($N346="","",'Input LwA_XYZ'!Q45)</f>
        <v/>
      </c>
      <c r="Q346" s="91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91" t="str">
        <f>IF($N346="","",IF(_xlfn.XLOOKUP(Tables!$L$302,'Input LwA_XYZ'!$BV$1:$CJ$1,'Input LwA_XYZ'!BV45:CJ45)="","-",_xlfn.XLOOKUP(Tables!$L$302,'Input LwA_XYZ'!$BV$1:$CJ$1,'Input LwA_XYZ'!BV45:CJ45)))</f>
        <v/>
      </c>
      <c r="S346" s="91" t="str">
        <f>IF($N346="","",IF('Input LwA_XYZ'!S45="","-",'Input LwA_XYZ'!S45))</f>
        <v/>
      </c>
      <c r="T346" s="65" t="str">
        <f>IF($N346="","",_xlfn.XLOOKUP(Tables!$L$302,'Input LwA_XYZ'!$DD$1:$DR$1,'Input LwA_XYZ'!DD45:DR45))</f>
        <v/>
      </c>
    </row>
    <row r="347" spans="14:20" ht="16.5" x14ac:dyDescent="0.3">
      <c r="N347" s="190" t="str">
        <f>IF('Input LwA_XYZ'!A46 = 0, "", 'Input LwA_XYZ'!A46)</f>
        <v/>
      </c>
      <c r="O347" s="189" t="str">
        <f>IF($N347="","",_xlfn.TEXTJOIN(" - ",TRUE,'Input LwA_XYZ'!B46:C46))</f>
        <v/>
      </c>
      <c r="P347" s="64" t="str">
        <f>IF($N347="","",'Input LwA_XYZ'!Q46)</f>
        <v/>
      </c>
      <c r="Q347" s="91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91" t="str">
        <f>IF($N347="","",IF(_xlfn.XLOOKUP(Tables!$L$302,'Input LwA_XYZ'!$BV$1:$CJ$1,'Input LwA_XYZ'!BV46:CJ46)="","-",_xlfn.XLOOKUP(Tables!$L$302,'Input LwA_XYZ'!$BV$1:$CJ$1,'Input LwA_XYZ'!BV46:CJ46)))</f>
        <v/>
      </c>
      <c r="S347" s="91" t="str">
        <f>IF($N347="","",IF('Input LwA_XYZ'!S46="","-",'Input LwA_XYZ'!S46))</f>
        <v/>
      </c>
      <c r="T347" s="65" t="str">
        <f>IF($N347="","",_xlfn.XLOOKUP(Tables!$L$302,'Input LwA_XYZ'!$DD$1:$DR$1,'Input LwA_XYZ'!DD46:DR46))</f>
        <v/>
      </c>
    </row>
    <row r="348" spans="14:20" ht="16.5" x14ac:dyDescent="0.3">
      <c r="N348" s="190" t="str">
        <f>IF('Input LwA_XYZ'!A47 = 0, "", 'Input LwA_XYZ'!A47)</f>
        <v/>
      </c>
      <c r="O348" s="189" t="str">
        <f>IF($N348="","",_xlfn.TEXTJOIN(" - ",TRUE,'Input LwA_XYZ'!B47:C47))</f>
        <v/>
      </c>
      <c r="P348" s="64" t="str">
        <f>IF($N348="","",'Input LwA_XYZ'!Q47)</f>
        <v/>
      </c>
      <c r="Q348" s="91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91" t="str">
        <f>IF($N348="","",IF(_xlfn.XLOOKUP(Tables!$L$302,'Input LwA_XYZ'!$BV$1:$CJ$1,'Input LwA_XYZ'!BV47:CJ47)="","-",_xlfn.XLOOKUP(Tables!$L$302,'Input LwA_XYZ'!$BV$1:$CJ$1,'Input LwA_XYZ'!BV47:CJ47)))</f>
        <v/>
      </c>
      <c r="S348" s="91" t="str">
        <f>IF($N348="","",IF('Input LwA_XYZ'!S47="","-",'Input LwA_XYZ'!S47))</f>
        <v/>
      </c>
      <c r="T348" s="65" t="str">
        <f>IF($N348="","",_xlfn.XLOOKUP(Tables!$L$302,'Input LwA_XYZ'!$DD$1:$DR$1,'Input LwA_XYZ'!DD47:DR47))</f>
        <v/>
      </c>
    </row>
    <row r="349" spans="14:20" ht="16.5" x14ac:dyDescent="0.3">
      <c r="N349" s="190" t="str">
        <f>IF('Input LwA_XYZ'!A48 = 0, "", 'Input LwA_XYZ'!A48)</f>
        <v/>
      </c>
      <c r="O349" s="189" t="str">
        <f>IF($N349="","",_xlfn.TEXTJOIN(" - ",TRUE,'Input LwA_XYZ'!B48:C48))</f>
        <v/>
      </c>
      <c r="P349" s="64" t="str">
        <f>IF($N349="","",'Input LwA_XYZ'!Q48)</f>
        <v/>
      </c>
      <c r="Q349" s="91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91" t="str">
        <f>IF($N349="","",IF(_xlfn.XLOOKUP(Tables!$L$302,'Input LwA_XYZ'!$BV$1:$CJ$1,'Input LwA_XYZ'!BV48:CJ48)="","-",_xlfn.XLOOKUP(Tables!$L$302,'Input LwA_XYZ'!$BV$1:$CJ$1,'Input LwA_XYZ'!BV48:CJ48)))</f>
        <v/>
      </c>
      <c r="S349" s="91" t="str">
        <f>IF($N349="","",IF('Input LwA_XYZ'!S48="","-",'Input LwA_XYZ'!S48))</f>
        <v/>
      </c>
      <c r="T349" s="65" t="str">
        <f>IF($N349="","",_xlfn.XLOOKUP(Tables!$L$302,'Input LwA_XYZ'!$DD$1:$DR$1,'Input LwA_XYZ'!DD48:DR48))</f>
        <v/>
      </c>
    </row>
    <row r="350" spans="14:20" ht="16.5" x14ac:dyDescent="0.3">
      <c r="N350" s="190" t="str">
        <f>IF('Input LwA_XYZ'!A49 = 0, "", 'Input LwA_XYZ'!A49)</f>
        <v/>
      </c>
      <c r="O350" s="189" t="str">
        <f>IF($N350="","",_xlfn.TEXTJOIN(" - ",TRUE,'Input LwA_XYZ'!B49:C49))</f>
        <v/>
      </c>
      <c r="P350" s="64" t="str">
        <f>IF($N350="","",'Input LwA_XYZ'!Q49)</f>
        <v/>
      </c>
      <c r="Q350" s="91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91" t="str">
        <f>IF($N350="","",IF(_xlfn.XLOOKUP(Tables!$L$302,'Input LwA_XYZ'!$BV$1:$CJ$1,'Input LwA_XYZ'!BV49:CJ49)="","-",_xlfn.XLOOKUP(Tables!$L$302,'Input LwA_XYZ'!$BV$1:$CJ$1,'Input LwA_XYZ'!BV49:CJ49)))</f>
        <v/>
      </c>
      <c r="S350" s="91" t="str">
        <f>IF($N350="","",IF('Input LwA_XYZ'!S49="","-",'Input LwA_XYZ'!S49))</f>
        <v/>
      </c>
      <c r="T350" s="65" t="str">
        <f>IF($N350="","",_xlfn.XLOOKUP(Tables!$L$302,'Input LwA_XYZ'!$DD$1:$DR$1,'Input LwA_XYZ'!DD49:DR49))</f>
        <v/>
      </c>
    </row>
    <row r="351" spans="14:20" ht="16.5" x14ac:dyDescent="0.3">
      <c r="N351" s="190" t="str">
        <f>IF('Input LwA_XYZ'!A50 = 0, "", 'Input LwA_XYZ'!A50)</f>
        <v/>
      </c>
      <c r="O351" s="189" t="str">
        <f>IF($N351="","",_xlfn.TEXTJOIN(" - ",TRUE,'Input LwA_XYZ'!B50:C50))</f>
        <v/>
      </c>
      <c r="P351" s="64" t="str">
        <f>IF($N351="","",'Input LwA_XYZ'!Q50)</f>
        <v/>
      </c>
      <c r="Q351" s="91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91" t="str">
        <f>IF($N351="","",IF(_xlfn.XLOOKUP(Tables!$L$302,'Input LwA_XYZ'!$BV$1:$CJ$1,'Input LwA_XYZ'!BV50:CJ50)="","-",_xlfn.XLOOKUP(Tables!$L$302,'Input LwA_XYZ'!$BV$1:$CJ$1,'Input LwA_XYZ'!BV50:CJ50)))</f>
        <v/>
      </c>
      <c r="S351" s="91" t="str">
        <f>IF($N351="","",IF('Input LwA_XYZ'!S50="","-",'Input LwA_XYZ'!S50))</f>
        <v/>
      </c>
      <c r="T351" s="65" t="str">
        <f>IF($N351="","",_xlfn.XLOOKUP(Tables!$L$302,'Input LwA_XYZ'!$DD$1:$DR$1,'Input LwA_XYZ'!DD50:DR50))</f>
        <v/>
      </c>
    </row>
    <row r="352" spans="14:20" ht="16.5" x14ac:dyDescent="0.3">
      <c r="N352" s="190" t="str">
        <f>IF('Input LwA_XYZ'!A51 = 0, "", 'Input LwA_XYZ'!A51)</f>
        <v/>
      </c>
      <c r="O352" s="189" t="str">
        <f>IF($N352="","",_xlfn.TEXTJOIN(" - ",TRUE,'Input LwA_XYZ'!B51:C51))</f>
        <v/>
      </c>
      <c r="P352" s="64" t="str">
        <f>IF($N352="","",'Input LwA_XYZ'!Q51)</f>
        <v/>
      </c>
      <c r="Q352" s="91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91" t="str">
        <f>IF($N352="","",IF(_xlfn.XLOOKUP(Tables!$L$302,'Input LwA_XYZ'!$BV$1:$CJ$1,'Input LwA_XYZ'!BV51:CJ51)="","-",_xlfn.XLOOKUP(Tables!$L$302,'Input LwA_XYZ'!$BV$1:$CJ$1,'Input LwA_XYZ'!BV51:CJ51)))</f>
        <v/>
      </c>
      <c r="S352" s="91" t="str">
        <f>IF($N352="","",IF('Input LwA_XYZ'!S51="","-",'Input LwA_XYZ'!S51))</f>
        <v/>
      </c>
      <c r="T352" s="65" t="str">
        <f>IF($N352="","",_xlfn.XLOOKUP(Tables!$L$302,'Input LwA_XYZ'!$DD$1:$DR$1,'Input LwA_XYZ'!DD51:DR51))</f>
        <v/>
      </c>
    </row>
    <row r="353" spans="12:20" ht="16.5" x14ac:dyDescent="0.3">
      <c r="N353" s="190" t="str">
        <f>IF('Input LwA_XYZ'!A52 = 0, "", 'Input LwA_XYZ'!A52)</f>
        <v/>
      </c>
      <c r="O353" s="189" t="str">
        <f>IF($N353="","",_xlfn.TEXTJOIN(" - ",TRUE,'Input LwA_XYZ'!B52:C52))</f>
        <v/>
      </c>
      <c r="P353" s="64" t="str">
        <f>IF($N353="","",'Input LwA_XYZ'!Q52)</f>
        <v/>
      </c>
      <c r="Q353" s="91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91" t="str">
        <f>IF($N353="","",IF(_xlfn.XLOOKUP(Tables!$L$302,'Input LwA_XYZ'!$BV$1:$CJ$1,'Input LwA_XYZ'!BV52:CJ52)="","-",_xlfn.XLOOKUP(Tables!$L$302,'Input LwA_XYZ'!$BV$1:$CJ$1,'Input LwA_XYZ'!BV52:CJ52)))</f>
        <v/>
      </c>
      <c r="S353" s="91" t="str">
        <f>IF($N353="","",IF('Input LwA_XYZ'!S52="","-",'Input LwA_XYZ'!S52))</f>
        <v/>
      </c>
      <c r="T353" s="65" t="str">
        <f>IF($N353="","",_xlfn.XLOOKUP(Tables!$L$302,'Input LwA_XYZ'!$DD$1:$DR$1,'Input LwA_XYZ'!DD52:DR52))</f>
        <v/>
      </c>
    </row>
    <row r="354" spans="12:20" ht="16.5" x14ac:dyDescent="0.3">
      <c r="N354" s="190" t="str">
        <f>IF('Input LwA_XYZ'!A53 = 0, "", 'Input LwA_XYZ'!A53)</f>
        <v/>
      </c>
      <c r="O354" s="189" t="str">
        <f>IF($N354="","",_xlfn.TEXTJOIN(" - ",TRUE,'Input LwA_XYZ'!B53:C53))</f>
        <v/>
      </c>
      <c r="P354" s="64" t="str">
        <f>IF($N354="","",'Input LwA_XYZ'!Q53)</f>
        <v/>
      </c>
      <c r="Q354" s="91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91" t="str">
        <f>IF($N354="","",IF(_xlfn.XLOOKUP(Tables!$L$302,'Input LwA_XYZ'!$BV$1:$CJ$1,'Input LwA_XYZ'!BV53:CJ53)="","-",_xlfn.XLOOKUP(Tables!$L$302,'Input LwA_XYZ'!$BV$1:$CJ$1,'Input LwA_XYZ'!BV53:CJ53)))</f>
        <v/>
      </c>
      <c r="S354" s="91" t="str">
        <f>IF($N354="","",IF('Input LwA_XYZ'!S53="","-",'Input LwA_XYZ'!S53))</f>
        <v/>
      </c>
      <c r="T354" s="65" t="str">
        <f>IF($N354="","",_xlfn.XLOOKUP(Tables!$L$302,'Input LwA_XYZ'!$DD$1:$DR$1,'Input LwA_XYZ'!DD53:DR53))</f>
        <v/>
      </c>
    </row>
    <row r="355" spans="12:20" ht="16.5" x14ac:dyDescent="0.3">
      <c r="N355" s="190" t="str">
        <f>IF('Input LwA_XYZ'!A54 = 0, "", 'Input LwA_XYZ'!A54)</f>
        <v/>
      </c>
      <c r="O355" s="189" t="str">
        <f>IF($N355="","",_xlfn.TEXTJOIN(" - ",TRUE,'Input LwA_XYZ'!B54:C54))</f>
        <v/>
      </c>
      <c r="P355" s="64" t="str">
        <f>IF($N355="","",'Input LwA_XYZ'!Q54)</f>
        <v/>
      </c>
      <c r="Q355" s="91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91" t="str">
        <f>IF($N355="","",IF(_xlfn.XLOOKUP(Tables!$L$302,'Input LwA_XYZ'!$BV$1:$CJ$1,'Input LwA_XYZ'!BV54:CJ54)="","-",_xlfn.XLOOKUP(Tables!$L$302,'Input LwA_XYZ'!$BV$1:$CJ$1,'Input LwA_XYZ'!BV54:CJ54)))</f>
        <v/>
      </c>
      <c r="S355" s="91" t="str">
        <f>IF($N355="","",IF('Input LwA_XYZ'!S54="","-",'Input LwA_XYZ'!S54))</f>
        <v/>
      </c>
      <c r="T355" s="65" t="str">
        <f>IF($N355="","",_xlfn.XLOOKUP(Tables!$L$302,'Input LwA_XYZ'!$DD$1:$DR$1,'Input LwA_XYZ'!DD54:DR54))</f>
        <v/>
      </c>
    </row>
    <row r="356" spans="12:20" ht="16.5" x14ac:dyDescent="0.3">
      <c r="N356" s="190" t="str">
        <f>IF('Input LwA_XYZ'!A55 = 0, "", 'Input LwA_XYZ'!A55)</f>
        <v/>
      </c>
      <c r="O356" s="189" t="str">
        <f>IF($N356="","",_xlfn.TEXTJOIN(" - ",TRUE,'Input LwA_XYZ'!B55:C55))</f>
        <v/>
      </c>
      <c r="P356" s="64" t="str">
        <f>IF($N356="","",'Input LwA_XYZ'!Q55)</f>
        <v/>
      </c>
      <c r="Q356" s="91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91" t="str">
        <f>IF($N356="","",IF(_xlfn.XLOOKUP(Tables!$L$302,'Input LwA_XYZ'!$BV$1:$CJ$1,'Input LwA_XYZ'!BV55:CJ55)="","-",_xlfn.XLOOKUP(Tables!$L$302,'Input LwA_XYZ'!$BV$1:$CJ$1,'Input LwA_XYZ'!BV55:CJ55)))</f>
        <v/>
      </c>
      <c r="S356" s="91" t="str">
        <f>IF($N356="","",IF('Input LwA_XYZ'!S55="","-",'Input LwA_XYZ'!S55))</f>
        <v/>
      </c>
      <c r="T356" s="65" t="str">
        <f>IF($N356="","",_xlfn.XLOOKUP(Tables!$L$302,'Input LwA_XYZ'!$DD$1:$DR$1,'Input LwA_XYZ'!DD55:DR55))</f>
        <v/>
      </c>
    </row>
    <row r="357" spans="12:20" ht="16.5" x14ac:dyDescent="0.3">
      <c r="N357" s="190" t="str">
        <f>IF('Input LwA_XYZ'!A56 = 0, "", 'Input LwA_XYZ'!A56)</f>
        <v/>
      </c>
      <c r="O357" s="189" t="str">
        <f>IF($N357="","",_xlfn.TEXTJOIN(" - ",TRUE,'Input LwA_XYZ'!B56:C56))</f>
        <v/>
      </c>
      <c r="P357" s="64" t="str">
        <f>IF($N357="","",'Input LwA_XYZ'!Q56)</f>
        <v/>
      </c>
      <c r="Q357" s="91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91" t="str">
        <f>IF($N357="","",IF(_xlfn.XLOOKUP(Tables!$L$302,'Input LwA_XYZ'!$BV$1:$CJ$1,'Input LwA_XYZ'!BV56:CJ56)="","-",_xlfn.XLOOKUP(Tables!$L$302,'Input LwA_XYZ'!$BV$1:$CJ$1,'Input LwA_XYZ'!BV56:CJ56)))</f>
        <v/>
      </c>
      <c r="S357" s="91" t="str">
        <f>IF($N357="","",IF('Input LwA_XYZ'!S56="","-",'Input LwA_XYZ'!S56))</f>
        <v/>
      </c>
      <c r="T357" s="65" t="str">
        <f>IF($N357="","",_xlfn.XLOOKUP(Tables!$L$302,'Input LwA_XYZ'!$DD$1:$DR$1,'Input LwA_XYZ'!DD56:DR56))</f>
        <v/>
      </c>
    </row>
    <row r="358" spans="12:20" ht="16.5" x14ac:dyDescent="0.3">
      <c r="N358" s="190" t="str">
        <f>IF('Input LwA_XYZ'!A57 = 0, "", 'Input LwA_XYZ'!A57)</f>
        <v/>
      </c>
      <c r="O358" s="189" t="str">
        <f>IF($N358="","",_xlfn.TEXTJOIN(" - ",TRUE,'Input LwA_XYZ'!B57:C57))</f>
        <v/>
      </c>
      <c r="P358" s="64" t="str">
        <f>IF($N358="","",'Input LwA_XYZ'!Q57)</f>
        <v/>
      </c>
      <c r="Q358" s="91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91" t="str">
        <f>IF($N358="","",IF(_xlfn.XLOOKUP(Tables!$L$302,'Input LwA_XYZ'!$BV$1:$CJ$1,'Input LwA_XYZ'!BV57:CJ57)="","-",_xlfn.XLOOKUP(Tables!$L$302,'Input LwA_XYZ'!$BV$1:$CJ$1,'Input LwA_XYZ'!BV57:CJ57)))</f>
        <v/>
      </c>
      <c r="S358" s="91" t="str">
        <f>IF($N358="","",IF('Input LwA_XYZ'!S57="","-",'Input LwA_XYZ'!S57))</f>
        <v/>
      </c>
      <c r="T358" s="65" t="str">
        <f>IF($N358="","",_xlfn.XLOOKUP(Tables!$L$302,'Input LwA_XYZ'!$DD$1:$DR$1,'Input LwA_XYZ'!DD57:DR57))</f>
        <v/>
      </c>
    </row>
    <row r="359" spans="12:20" ht="17.25" thickBot="1" x14ac:dyDescent="0.35">
      <c r="N359" s="191" t="str">
        <f>IF('Input LwA_XYZ'!A58 = 0, "", 'Input LwA_XYZ'!A58)</f>
        <v/>
      </c>
      <c r="O359" s="192" t="str">
        <f>IF($N359="","",_xlfn.TEXTJOIN(" - ",TRUE,'Input LwA_XYZ'!B58:C58))</f>
        <v/>
      </c>
      <c r="P359" s="99" t="str">
        <f>IF($N359="","",'Input LwA_XYZ'!Q58)</f>
        <v/>
      </c>
      <c r="Q359" s="100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91" t="str">
        <f>IF($N359="","",IF(_xlfn.XLOOKUP(Tables!$L$302,'Input LwA_XYZ'!$BV$1:$CJ$1,'Input LwA_XYZ'!BV58:CJ58)="","-",_xlfn.XLOOKUP(Tables!$L$302,'Input LwA_XYZ'!$BV$1:$CJ$1,'Input LwA_XYZ'!BV58:CJ58)))</f>
        <v/>
      </c>
      <c r="S359" s="91" t="str">
        <f>IF($N359="","",IF('Input LwA_XYZ'!S58="","-",'Input LwA_XYZ'!S58))</f>
        <v/>
      </c>
      <c r="T359" s="66" t="str">
        <f>IF($N359="","",_xlfn.XLOOKUP(Tables!$L$302,'Input LwA_XYZ'!$DD$1:$DR$1,'Input LwA_XYZ'!DD58:DR58))</f>
        <v/>
      </c>
    </row>
    <row r="360" spans="12:20" ht="17.25" thickBot="1" x14ac:dyDescent="0.35">
      <c r="N360" s="101" t="s">
        <v>85</v>
      </c>
      <c r="O360" s="102"/>
      <c r="P360" s="102"/>
      <c r="Q360" s="102"/>
      <c r="R360" s="102"/>
      <c r="S360" s="103"/>
      <c r="T360" s="108">
        <f>_xlfn.XLOOKUP(Tables!$L$302,'Input LwA_XYZ'!$Z$2:$Z$16,'Input LwA_XYZ'!$AE$2:$AE$16)</f>
        <v>31</v>
      </c>
    </row>
    <row r="361" spans="12:20" ht="15.75" thickBot="1" x14ac:dyDescent="0.3"/>
    <row r="362" spans="12:20" ht="33.75" thickBot="1" x14ac:dyDescent="0.35">
      <c r="L362" s="69" t="s">
        <v>245</v>
      </c>
      <c r="N362" s="93" t="s">
        <v>79</v>
      </c>
      <c r="O362" s="94" t="s">
        <v>80</v>
      </c>
      <c r="P362" s="95" t="s">
        <v>81</v>
      </c>
      <c r="Q362" s="95" t="s">
        <v>82</v>
      </c>
      <c r="R362" s="96" t="s">
        <v>83</v>
      </c>
      <c r="S362" s="97" t="s">
        <v>84</v>
      </c>
      <c r="T362" s="98" t="s">
        <v>78</v>
      </c>
    </row>
    <row r="363" spans="12:20" ht="16.5" x14ac:dyDescent="0.3">
      <c r="N363" s="188">
        <f>IF('Input LwA_XYZ'!A2 = 0, "", 'Input LwA_XYZ'!A2)</f>
        <v>1</v>
      </c>
      <c r="O363" s="189" t="str">
        <f>IF($N363="","",_xlfn.TEXTJOIN(" - ",TRUE,'Input LwA_XYZ'!B2:C2))</f>
        <v>MAU-R1 - Ducted Inlet</v>
      </c>
      <c r="P363" s="90">
        <f>IF($N363="","",'Input LwA_XYZ'!Q2)</f>
        <v>86</v>
      </c>
      <c r="Q363" s="91" t="str">
        <f>IF($N363="","",-1*ROUND(_xlfn.XLOOKUP(Tables!$L$362,'Input LwA_XYZ'!$AY$1:$BM$1,'Input LwA_XYZ'!AY2:BM2),0) &amp; " / " &amp; ROUND(_xlfn.XLOOKUP(Tables!$L$362,'Input LwA_XYZ'!$AH$1:$AV$1,'Input LwA_XYZ'!AH2:AV2),0) &amp; " ft")</f>
        <v>42 / 162 ft</v>
      </c>
      <c r="R363" s="91" t="str">
        <f>IF($N363="","",IF(_xlfn.XLOOKUP(Tables!$L$362,'Input LwA_XYZ'!$BV$1:$CJ$1,'Input LwA_XYZ'!BV2:CJ2)="","-",_xlfn.XLOOKUP(Tables!$L$362,'Input LwA_XYZ'!$BV$1:$CJ$1,'Input LwA_XYZ'!BV2:CJ2)))</f>
        <v>-</v>
      </c>
      <c r="S363" s="91" t="str">
        <f>IF($N363="","",IF('Input LwA_XYZ'!S2="","-",'Input LwA_XYZ'!S2))</f>
        <v>-</v>
      </c>
      <c r="T363" s="92">
        <f>IF($N363="","",_xlfn.XLOOKUP(Tables!$L$362,'Input LwA_XYZ'!$DD$1:$DR$1,'Input LwA_XYZ'!DD2:DR2))</f>
        <v>44.138152188324661</v>
      </c>
    </row>
    <row r="364" spans="12:20" ht="16.5" x14ac:dyDescent="0.3">
      <c r="N364" s="190">
        <f>IF('Input LwA_XYZ'!A3 = 0, "", 'Input LwA_XYZ'!A3)</f>
        <v>1</v>
      </c>
      <c r="O364" s="189" t="str">
        <f>IF($N364="","",_xlfn.TEXTJOIN(" - ",TRUE,'Input LwA_XYZ'!B3:C3))</f>
        <v>ERV-R.1 - Outdoor+Casing+Exhaust</v>
      </c>
      <c r="P364" s="64">
        <f>IF($N364="","",'Input LwA_XYZ'!Q3)</f>
        <v>91</v>
      </c>
      <c r="Q364" s="91" t="str">
        <f>IF($N364="","",-1*ROUND(_xlfn.XLOOKUP(Tables!$L$362,'Input LwA_XYZ'!$AY$1:$BM$1,'Input LwA_XYZ'!AY3:BM3),0) &amp; " / " &amp; ROUND(_xlfn.XLOOKUP(Tables!$L$362,'Input LwA_XYZ'!$AH$1:$AV$1,'Input LwA_XYZ'!AH3:AV3),0) &amp; " ft")</f>
        <v>44 / 209 ft</v>
      </c>
      <c r="R364" s="91" t="str">
        <f>IF($N364="","",IF(_xlfn.XLOOKUP(Tables!$L$362,'Input LwA_XYZ'!$BV$1:$CJ$1,'Input LwA_XYZ'!BV3:CJ3)="","-",_xlfn.XLOOKUP(Tables!$L$362,'Input LwA_XYZ'!$BV$1:$CJ$1,'Input LwA_XYZ'!BV3:CJ3)))</f>
        <v>-</v>
      </c>
      <c r="S364" s="91" t="str">
        <f>IF($N364="","",IF('Input LwA_XYZ'!S3="","-",'Input LwA_XYZ'!S3))</f>
        <v>-</v>
      </c>
      <c r="T364" s="65">
        <f>IF($N364="","",_xlfn.XLOOKUP(Tables!$L$362,'Input LwA_XYZ'!$DD$1:$DR$1,'Input LwA_XYZ'!DD3:DR3))</f>
        <v>46.916163500616804</v>
      </c>
    </row>
    <row r="365" spans="12:20" ht="16.5" x14ac:dyDescent="0.3">
      <c r="N365" s="190">
        <f>IF('Input LwA_XYZ'!A4 = 0, "", 'Input LwA_XYZ'!A4)</f>
        <v>1</v>
      </c>
      <c r="O365" s="189" t="str">
        <f>IF($N365="","",_xlfn.TEXTJOIN(" - ",TRUE,'Input LwA_XYZ'!B4:C4))</f>
        <v>GEF-R1  - Inlet (plus ductwork lined)</v>
      </c>
      <c r="P365" s="64">
        <f>IF($N365="","",'Input LwA_XYZ'!Q4)</f>
        <v>82</v>
      </c>
      <c r="Q365" s="91" t="str">
        <f>IF($N365="","",-1*ROUND(_xlfn.XLOOKUP(Tables!$L$362,'Input LwA_XYZ'!$AY$1:$BM$1,'Input LwA_XYZ'!AY4:BM4),0) &amp; " / " &amp; ROUND(_xlfn.XLOOKUP(Tables!$L$362,'Input LwA_XYZ'!$AH$1:$AV$1,'Input LwA_XYZ'!AH4:AV4),0) &amp; " ft")</f>
        <v>45 / 227 ft</v>
      </c>
      <c r="R365" s="91" t="str">
        <f>IF($N365="","",IF(_xlfn.XLOOKUP(Tables!$L$362,'Input LwA_XYZ'!$BV$1:$CJ$1,'Input LwA_XYZ'!BV4:CJ4)="","-",_xlfn.XLOOKUP(Tables!$L$362,'Input LwA_XYZ'!$BV$1:$CJ$1,'Input LwA_XYZ'!BV4:CJ4)))</f>
        <v>-</v>
      </c>
      <c r="S365" s="91">
        <f>IF($N365="","",IF('Input LwA_XYZ'!S4="","-",'Input LwA_XYZ'!S4))</f>
        <v>13</v>
      </c>
      <c r="T365" s="65">
        <f>IF($N365="","",_xlfn.XLOOKUP(Tables!$L$362,'Input LwA_XYZ'!$DD$1:$DR$1,'Input LwA_XYZ'!DD4:DR4))</f>
        <v>24.209702003731167</v>
      </c>
    </row>
    <row r="366" spans="12:20" ht="16.5" x14ac:dyDescent="0.3">
      <c r="N366" s="190">
        <f>IF('Input LwA_XYZ'!A5 = 0, "", 'Input LwA_XYZ'!A5)</f>
        <v>1</v>
      </c>
      <c r="O366" s="189" t="str">
        <f>IF($N366="","",_xlfn.TEXTJOIN(" - ",TRUE,'Input LwA_XYZ'!B5:C5))</f>
        <v>DEF-R1, R2 - Inlet</v>
      </c>
      <c r="P366" s="64">
        <f>IF($N366="","",'Input LwA_XYZ'!Q5)</f>
        <v>70</v>
      </c>
      <c r="Q366" s="91" t="str">
        <f>IF($N366="","",-1*ROUND(_xlfn.XLOOKUP(Tables!$L$362,'Input LwA_XYZ'!$AY$1:$BM$1,'Input LwA_XYZ'!AY5:BM5),0) &amp; " / " &amp; ROUND(_xlfn.XLOOKUP(Tables!$L$362,'Input LwA_XYZ'!$AH$1:$AV$1,'Input LwA_XYZ'!AH5:AV5),0) &amp; " ft")</f>
        <v>45 / 221 ft</v>
      </c>
      <c r="R366" s="91" t="str">
        <f>IF($N366="","",IF(_xlfn.XLOOKUP(Tables!$L$362,'Input LwA_XYZ'!$BV$1:$CJ$1,'Input LwA_XYZ'!BV5:CJ5)="","-",_xlfn.XLOOKUP(Tables!$L$362,'Input LwA_XYZ'!$BV$1:$CJ$1,'Input LwA_XYZ'!BV5:CJ5)))</f>
        <v>-</v>
      </c>
      <c r="S366" s="91" t="str">
        <f>IF($N366="","",IF('Input LwA_XYZ'!S5="","-",'Input LwA_XYZ'!S5))</f>
        <v>-</v>
      </c>
      <c r="T366" s="65">
        <f>IF($N366="","",_xlfn.XLOOKUP(Tables!$L$362,'Input LwA_XYZ'!$DD$1:$DR$1,'Input LwA_XYZ'!DD5:DR5))</f>
        <v>25.440965737971545</v>
      </c>
    </row>
    <row r="367" spans="12:20" ht="16.5" x14ac:dyDescent="0.3">
      <c r="N367" s="190">
        <f>IF('Input LwA_XYZ'!A6 = 0, "", 'Input LwA_XYZ'!A6)</f>
        <v>1</v>
      </c>
      <c r="O367" s="189" t="str">
        <f>IF($N367="","",_xlfn.TEXTJOIN(" - ",TRUE,'Input LwA_XYZ'!B6:C6))</f>
        <v>KEF-R1  - Inlet</v>
      </c>
      <c r="P367" s="64">
        <f>IF($N367="","",'Input LwA_XYZ'!Q6)</f>
        <v>80</v>
      </c>
      <c r="Q367" s="91" t="str">
        <f>IF($N367="","",-1*ROUND(_xlfn.XLOOKUP(Tables!$L$362,'Input LwA_XYZ'!$AY$1:$BM$1,'Input LwA_XYZ'!AY6:BM6),0) &amp; " / " &amp; ROUND(_xlfn.XLOOKUP(Tables!$L$362,'Input LwA_XYZ'!$AH$1:$AV$1,'Input LwA_XYZ'!AH6:AV6),0) &amp; " ft")</f>
        <v>41 / 143 ft</v>
      </c>
      <c r="R367" s="91" t="str">
        <f>IF($N367="","",IF(_xlfn.XLOOKUP(Tables!$L$362,'Input LwA_XYZ'!$BV$1:$CJ$1,'Input LwA_XYZ'!BV6:CJ6)="","-",_xlfn.XLOOKUP(Tables!$L$362,'Input LwA_XYZ'!$BV$1:$CJ$1,'Input LwA_XYZ'!BV6:CJ6)))</f>
        <v>-</v>
      </c>
      <c r="S367" s="91" t="str">
        <f>IF($N367="","",IF('Input LwA_XYZ'!S6="","-",'Input LwA_XYZ'!S6))</f>
        <v>-</v>
      </c>
      <c r="T367" s="65">
        <f>IF($N367="","",_xlfn.XLOOKUP(Tables!$L$362,'Input LwA_XYZ'!$DD$1:$DR$1,'Input LwA_XYZ'!DD6:DR6))</f>
        <v>39.206517993449772</v>
      </c>
    </row>
    <row r="368" spans="12:20" ht="16.5" x14ac:dyDescent="0.3">
      <c r="N368" s="190">
        <f>IF('Input LwA_XYZ'!A7 = 0, "", 'Input LwA_XYZ'!A7)</f>
        <v>1</v>
      </c>
      <c r="O368" s="189" t="str">
        <f>IF($N368="","",_xlfn.TEXTJOIN(" - ",TRUE,'Input LwA_XYZ'!B7:C7))</f>
        <v>DWEF-R1 - Inlet</v>
      </c>
      <c r="P368" s="64">
        <f>IF($N368="","",'Input LwA_XYZ'!Q7)</f>
        <v>71</v>
      </c>
      <c r="Q368" s="91" t="str">
        <f>IF($N368="","",-1*ROUND(_xlfn.XLOOKUP(Tables!$L$362,'Input LwA_XYZ'!$AY$1:$BM$1,'Input LwA_XYZ'!AY7:BM7),0) &amp; " / " &amp; ROUND(_xlfn.XLOOKUP(Tables!$L$362,'Input LwA_XYZ'!$AH$1:$AV$1,'Input LwA_XYZ'!AH7:AV7),0) &amp; " ft")</f>
        <v>41 / 153 ft</v>
      </c>
      <c r="R368" s="91" t="str">
        <f>IF($N368="","",IF(_xlfn.XLOOKUP(Tables!$L$362,'Input LwA_XYZ'!$BV$1:$CJ$1,'Input LwA_XYZ'!BV7:CJ7)="","-",_xlfn.XLOOKUP(Tables!$L$362,'Input LwA_XYZ'!$BV$1:$CJ$1,'Input LwA_XYZ'!BV7:CJ7)))</f>
        <v>-</v>
      </c>
      <c r="S368" s="91" t="str">
        <f>IF($N368="","",IF('Input LwA_XYZ'!S7="","-",'Input LwA_XYZ'!S7))</f>
        <v>-</v>
      </c>
      <c r="T368" s="65">
        <f>IF($N368="","",_xlfn.XLOOKUP(Tables!$L$362,'Input LwA_XYZ'!$DD$1:$DR$1,'Input LwA_XYZ'!DD7:DR7))</f>
        <v>29.624386760746141</v>
      </c>
    </row>
    <row r="369" spans="14:20" ht="16.5" x14ac:dyDescent="0.3">
      <c r="N369" s="190">
        <f>IF('Input LwA_XYZ'!A8 = 0, "", 'Input LwA_XYZ'!A8)</f>
        <v>1</v>
      </c>
      <c r="O369" s="189" t="str">
        <f>IF($N369="","",_xlfn.TEXTJOIN(" - ",TRUE,'Input LwA_XYZ'!B8:C8))</f>
        <v>CU-R1 - Radiated</v>
      </c>
      <c r="P369" s="64">
        <f>IF($N369="","",'Input LwA_XYZ'!Q8)</f>
        <v>84</v>
      </c>
      <c r="Q369" s="91" t="str">
        <f>IF($N369="","",-1*ROUND(_xlfn.XLOOKUP(Tables!$L$362,'Input LwA_XYZ'!$AY$1:$BM$1,'Input LwA_XYZ'!AY8:BM8),0) &amp; " / " &amp; ROUND(_xlfn.XLOOKUP(Tables!$L$362,'Input LwA_XYZ'!$AH$1:$AV$1,'Input LwA_XYZ'!AH8:AV8),0) &amp; " ft")</f>
        <v>43 / 196 ft</v>
      </c>
      <c r="R369" s="91" t="str">
        <f>IF($N369="","",IF(_xlfn.XLOOKUP(Tables!$L$362,'Input LwA_XYZ'!$BV$1:$CJ$1,'Input LwA_XYZ'!BV8:CJ8)="","-",_xlfn.XLOOKUP(Tables!$L$362,'Input LwA_XYZ'!$BV$1:$CJ$1,'Input LwA_XYZ'!BV8:CJ8)))</f>
        <v>-</v>
      </c>
      <c r="S369" s="91" t="str">
        <f>IF($N369="","",IF('Input LwA_XYZ'!S8="","-",'Input LwA_XYZ'!S8))</f>
        <v>-</v>
      </c>
      <c r="T369" s="65">
        <f>IF($N369="","",_xlfn.XLOOKUP(Tables!$L$362,'Input LwA_XYZ'!$DD$1:$DR$1,'Input LwA_XYZ'!DD8:DR8))</f>
        <v>40.502360776769571</v>
      </c>
    </row>
    <row r="370" spans="14:20" ht="16.5" x14ac:dyDescent="0.3">
      <c r="N370" s="190">
        <f>IF('Input LwA_XYZ'!A9 = 0, "", 'Input LwA_XYZ'!A9)</f>
        <v>1</v>
      </c>
      <c r="O370" s="189" t="str">
        <f>IF($N370="","",_xlfn.TEXTJOIN(" - ",TRUE,'Input LwA_XYZ'!B9:C9))</f>
        <v>CU-R2 - Radiated</v>
      </c>
      <c r="P370" s="64">
        <f>IF($N370="","",'Input LwA_XYZ'!Q9)</f>
        <v>81</v>
      </c>
      <c r="Q370" s="91" t="str">
        <f>IF($N370="","",-1*ROUND(_xlfn.XLOOKUP(Tables!$L$362,'Input LwA_XYZ'!$AY$1:$BM$1,'Input LwA_XYZ'!AY9:BM9),0) &amp; " / " &amp; ROUND(_xlfn.XLOOKUP(Tables!$L$362,'Input LwA_XYZ'!$AH$1:$AV$1,'Input LwA_XYZ'!AH9:AV9),0) &amp; " ft")</f>
        <v>43 / 191 ft</v>
      </c>
      <c r="R370" s="91" t="str">
        <f>IF($N370="","",IF(_xlfn.XLOOKUP(Tables!$L$362,'Input LwA_XYZ'!$BV$1:$CJ$1,'Input LwA_XYZ'!BV9:CJ9)="","-",_xlfn.XLOOKUP(Tables!$L$362,'Input LwA_XYZ'!$BV$1:$CJ$1,'Input LwA_XYZ'!BV9:CJ9)))</f>
        <v>-</v>
      </c>
      <c r="S370" s="91" t="str">
        <f>IF($N370="","",IF('Input LwA_XYZ'!S9="","-",'Input LwA_XYZ'!S9))</f>
        <v>-</v>
      </c>
      <c r="T370" s="65">
        <f>IF($N370="","",_xlfn.XLOOKUP(Tables!$L$362,'Input LwA_XYZ'!$DD$1:$DR$1,'Input LwA_XYZ'!DD9:DR9))</f>
        <v>37.707259956290457</v>
      </c>
    </row>
    <row r="371" spans="14:20" ht="16.5" x14ac:dyDescent="0.3">
      <c r="N371" s="190">
        <f>IF('Input LwA_XYZ'!A10 = 0, "", 'Input LwA_XYZ'!A10)</f>
        <v>1</v>
      </c>
      <c r="O371" s="189" t="str">
        <f>IF($N371="","",_xlfn.TEXTJOIN(" - ",TRUE,'Input LwA_XYZ'!B10:C10))</f>
        <v>CU-R4 - Radiated</v>
      </c>
      <c r="P371" s="64">
        <f>IF($N371="","",'Input LwA_XYZ'!Q10)</f>
        <v>73</v>
      </c>
      <c r="Q371" s="91" t="str">
        <f>IF($N371="","",-1*ROUND(_xlfn.XLOOKUP(Tables!$L$362,'Input LwA_XYZ'!$AY$1:$BM$1,'Input LwA_XYZ'!AY10:BM10),0) &amp; " / " &amp; ROUND(_xlfn.XLOOKUP(Tables!$L$362,'Input LwA_XYZ'!$AH$1:$AV$1,'Input LwA_XYZ'!AH10:AV10),0) &amp; " ft")</f>
        <v>44 / 203 ft</v>
      </c>
      <c r="R371" s="91" t="str">
        <f>IF($N371="","",IF(_xlfn.XLOOKUP(Tables!$L$362,'Input LwA_XYZ'!$BV$1:$CJ$1,'Input LwA_XYZ'!BV10:CJ10)="","-",_xlfn.XLOOKUP(Tables!$L$362,'Input LwA_XYZ'!$BV$1:$CJ$1,'Input LwA_XYZ'!BV10:CJ10)))</f>
        <v>-</v>
      </c>
      <c r="S371" s="91" t="str">
        <f>IF($N371="","",IF('Input LwA_XYZ'!S10="","-",'Input LwA_XYZ'!S10))</f>
        <v>-</v>
      </c>
      <c r="T371" s="65">
        <f>IF($N371="","",_xlfn.XLOOKUP(Tables!$L$362,'Input LwA_XYZ'!$DD$1:$DR$1,'Input LwA_XYZ'!DD10:DR10))</f>
        <v>29.203095283617799</v>
      </c>
    </row>
    <row r="372" spans="14:20" ht="16.5" x14ac:dyDescent="0.3">
      <c r="N372" s="190">
        <f>IF('Input LwA_XYZ'!A11 = 0, "", 'Input LwA_XYZ'!A11)</f>
        <v>1</v>
      </c>
      <c r="O372" s="189" t="str">
        <f>IF($N372="","",_xlfn.TEXTJOIN(" - ",TRUE,'Input LwA_XYZ'!B11:C11))</f>
        <v>CU-R5 - Radiated</v>
      </c>
      <c r="P372" s="64">
        <f>IF($N372="","",'Input LwA_XYZ'!Q11)</f>
        <v>75</v>
      </c>
      <c r="Q372" s="91" t="str">
        <f>IF($N372="","",-1*ROUND(_xlfn.XLOOKUP(Tables!$L$362,'Input LwA_XYZ'!$AY$1:$BM$1,'Input LwA_XYZ'!AY11:BM11),0) &amp; " / " &amp; ROUND(_xlfn.XLOOKUP(Tables!$L$362,'Input LwA_XYZ'!$AH$1:$AV$1,'Input LwA_XYZ'!AH11:AV11),0) &amp; " ft")</f>
        <v>42 / 171 ft</v>
      </c>
      <c r="R372" s="91" t="str">
        <f>IF($N372="","",IF(_xlfn.XLOOKUP(Tables!$L$362,'Input LwA_XYZ'!$BV$1:$CJ$1,'Input LwA_XYZ'!BV11:CJ11)="","-",_xlfn.XLOOKUP(Tables!$L$362,'Input LwA_XYZ'!$BV$1:$CJ$1,'Input LwA_XYZ'!BV11:CJ11)))</f>
        <v>-</v>
      </c>
      <c r="S372" s="91" t="str">
        <f>IF($N372="","",IF('Input LwA_XYZ'!S11="","-",'Input LwA_XYZ'!S11))</f>
        <v>-</v>
      </c>
      <c r="T372" s="65">
        <f>IF($N372="","",_xlfn.XLOOKUP(Tables!$L$362,'Input LwA_XYZ'!$DD$1:$DR$1,'Input LwA_XYZ'!DD11:DR11))</f>
        <v>32.671354572324766</v>
      </c>
    </row>
    <row r="373" spans="14:20" ht="16.5" x14ac:dyDescent="0.3">
      <c r="N373" s="190">
        <f>IF('Input LwA_XYZ'!A12 = 0, "", 'Input LwA_XYZ'!A12)</f>
        <v>4</v>
      </c>
      <c r="O373" s="189" t="str">
        <f>IF($N373="","",_xlfn.TEXTJOIN(" - ",TRUE,'Input LwA_XYZ'!B12:C12))</f>
        <v>RCU-R(4p)1 - Radiated</v>
      </c>
      <c r="P373" s="64">
        <f>IF($N373="","",'Input LwA_XYZ'!Q12)</f>
        <v>79.020599913279625</v>
      </c>
      <c r="Q373" s="91" t="str">
        <f>IF($N373="","",-1*ROUND(_xlfn.XLOOKUP(Tables!$L$362,'Input LwA_XYZ'!$AY$1:$BM$1,'Input LwA_XYZ'!AY12:BM12),0) &amp; " / " &amp; ROUND(_xlfn.XLOOKUP(Tables!$L$362,'Input LwA_XYZ'!$AH$1:$AV$1,'Input LwA_XYZ'!AH12:AV12),0) &amp; " ft")</f>
        <v>45 / 246 ft</v>
      </c>
      <c r="R373" s="91" t="str">
        <f>IF($N373="","",IF(_xlfn.XLOOKUP(Tables!$L$362,'Input LwA_XYZ'!$BV$1:$CJ$1,'Input LwA_XYZ'!BV12:CJ12)="","-",_xlfn.XLOOKUP(Tables!$L$362,'Input LwA_XYZ'!$BV$1:$CJ$1,'Input LwA_XYZ'!BV12:CJ12)))</f>
        <v>-</v>
      </c>
      <c r="S373" s="91" t="str">
        <f>IF($N373="","",IF('Input LwA_XYZ'!S12="","-",'Input LwA_XYZ'!S12))</f>
        <v>-</v>
      </c>
      <c r="T373" s="65">
        <f>IF($N373="","",_xlfn.XLOOKUP(Tables!$L$362,'Input LwA_XYZ'!$DD$1:$DR$1,'Input LwA_XYZ'!DD12:DR12))</f>
        <v>33.536483243585444</v>
      </c>
    </row>
    <row r="374" spans="14:20" ht="16.5" x14ac:dyDescent="0.3">
      <c r="N374" s="190">
        <f>IF('Input LwA_XYZ'!A13 = 0, "", 'Input LwA_XYZ'!A13)</f>
        <v>4</v>
      </c>
      <c r="O374" s="189" t="str">
        <f>IF($N374="","",_xlfn.TEXTJOIN(" - ",TRUE,'Input LwA_XYZ'!B13:C13))</f>
        <v>RCU-R(4p)2 - Radiated</v>
      </c>
      <c r="P374" s="64">
        <f>IF($N374="","",'Input LwA_XYZ'!Q13)</f>
        <v>79.020599913279625</v>
      </c>
      <c r="Q374" s="91" t="str">
        <f>IF($N374="","",-1*ROUND(_xlfn.XLOOKUP(Tables!$L$362,'Input LwA_XYZ'!$AY$1:$BM$1,'Input LwA_XYZ'!AY13:BM13),0) &amp; " / " &amp; ROUND(_xlfn.XLOOKUP(Tables!$L$362,'Input LwA_XYZ'!$AH$1:$AV$1,'Input LwA_XYZ'!AH13:AV13),0) &amp; " ft")</f>
        <v>45 / 230 ft</v>
      </c>
      <c r="R374" s="91" t="str">
        <f>IF($N374="","",IF(_xlfn.XLOOKUP(Tables!$L$362,'Input LwA_XYZ'!$BV$1:$CJ$1,'Input LwA_XYZ'!BV13:CJ13)="","-",_xlfn.XLOOKUP(Tables!$L$362,'Input LwA_XYZ'!$BV$1:$CJ$1,'Input LwA_XYZ'!BV13:CJ13)))</f>
        <v>-</v>
      </c>
      <c r="S374" s="91" t="str">
        <f>IF($N374="","",IF('Input LwA_XYZ'!S13="","-",'Input LwA_XYZ'!S13))</f>
        <v>-</v>
      </c>
      <c r="T374" s="65">
        <f>IF($N374="","",_xlfn.XLOOKUP(Tables!$L$362,'Input LwA_XYZ'!$DD$1:$DR$1,'Input LwA_XYZ'!DD13:DR13))</f>
        <v>34.11378069640692</v>
      </c>
    </row>
    <row r="375" spans="14:20" ht="16.5" x14ac:dyDescent="0.3">
      <c r="N375" s="190">
        <f>IF('Input LwA_XYZ'!A14 = 0, "", 'Input LwA_XYZ'!A14)</f>
        <v>4</v>
      </c>
      <c r="O375" s="189" t="str">
        <f>IF($N375="","",_xlfn.TEXTJOIN(" - ",TRUE,'Input LwA_XYZ'!B14:C14))</f>
        <v>RCU-R(4p)3 - Radiated</v>
      </c>
      <c r="P375" s="64">
        <f>IF($N375="","",'Input LwA_XYZ'!Q14)</f>
        <v>79.020599913279625</v>
      </c>
      <c r="Q375" s="91" t="str">
        <f>IF($N375="","",-1*ROUND(_xlfn.XLOOKUP(Tables!$L$362,'Input LwA_XYZ'!$AY$1:$BM$1,'Input LwA_XYZ'!AY14:BM14),0) &amp; " / " &amp; ROUND(_xlfn.XLOOKUP(Tables!$L$362,'Input LwA_XYZ'!$AH$1:$AV$1,'Input LwA_XYZ'!AH14:AV14),0) &amp; " ft")</f>
        <v>44 / 202 ft</v>
      </c>
      <c r="R375" s="91" t="str">
        <f>IF($N375="","",IF(_xlfn.XLOOKUP(Tables!$L$362,'Input LwA_XYZ'!$BV$1:$CJ$1,'Input LwA_XYZ'!BV14:CJ14)="","-",_xlfn.XLOOKUP(Tables!$L$362,'Input LwA_XYZ'!$BV$1:$CJ$1,'Input LwA_XYZ'!BV14:CJ14)))</f>
        <v>-</v>
      </c>
      <c r="S375" s="91" t="str">
        <f>IF($N375="","",IF('Input LwA_XYZ'!S14="","-",'Input LwA_XYZ'!S14))</f>
        <v>-</v>
      </c>
      <c r="T375" s="65">
        <f>IF($N375="","",_xlfn.XLOOKUP(Tables!$L$362,'Input LwA_XYZ'!$DD$1:$DR$1,'Input LwA_XYZ'!DD14:DR14))</f>
        <v>35.252575662003203</v>
      </c>
    </row>
    <row r="376" spans="14:20" ht="16.5" x14ac:dyDescent="0.3">
      <c r="N376" s="190">
        <f>IF('Input LwA_XYZ'!A15 = 0, "", 'Input LwA_XYZ'!A15)</f>
        <v>2</v>
      </c>
      <c r="O376" s="189" t="str">
        <f>IF($N376="","",_xlfn.TEXTJOIN(" - ",TRUE,'Input LwA_XYZ'!B15:C15))</f>
        <v>RCU-R(2p) - Radiated</v>
      </c>
      <c r="P376" s="64">
        <f>IF($N376="","",'Input LwA_XYZ'!Q15)</f>
        <v>76.010299956639813</v>
      </c>
      <c r="Q376" s="91" t="str">
        <f>IF($N376="","",-1*ROUND(_xlfn.XLOOKUP(Tables!$L$362,'Input LwA_XYZ'!$AY$1:$BM$1,'Input LwA_XYZ'!AY15:BM15),0) &amp; " / " &amp; ROUND(_xlfn.XLOOKUP(Tables!$L$362,'Input LwA_XYZ'!$AH$1:$AV$1,'Input LwA_XYZ'!AH15:AV15),0) &amp; " ft")</f>
        <v>43 / 190 ft</v>
      </c>
      <c r="R376" s="91" t="str">
        <f>IF($N376="","",IF(_xlfn.XLOOKUP(Tables!$L$362,'Input LwA_XYZ'!$BV$1:$CJ$1,'Input LwA_XYZ'!BV15:CJ15)="","-",_xlfn.XLOOKUP(Tables!$L$362,'Input LwA_XYZ'!$BV$1:$CJ$1,'Input LwA_XYZ'!BV15:CJ15)))</f>
        <v>-</v>
      </c>
      <c r="S376" s="91" t="str">
        <f>IF($N376="","",IF('Input LwA_XYZ'!S15="","-",'Input LwA_XYZ'!S15))</f>
        <v>-</v>
      </c>
      <c r="T376" s="65">
        <f>IF($N376="","",_xlfn.XLOOKUP(Tables!$L$362,'Input LwA_XYZ'!$DD$1:$DR$1,'Input LwA_XYZ'!DD15:DR15))</f>
        <v>32.752216308610215</v>
      </c>
    </row>
    <row r="377" spans="14:20" ht="16.5" x14ac:dyDescent="0.3">
      <c r="N377" s="190">
        <f>IF('Input LwA_XYZ'!A16 = 0, "", 'Input LwA_XYZ'!A16)</f>
        <v>2</v>
      </c>
      <c r="O377" s="189" t="str">
        <f>IF($N377="","",_xlfn.TEXTJOIN(" - ",TRUE,'Input LwA_XYZ'!B16:C16))</f>
        <v>RCU-R(2p)1 - Radiated</v>
      </c>
      <c r="P377" s="64">
        <f>IF($N377="","",'Input LwA_XYZ'!Q16)</f>
        <v>76.010299956639813</v>
      </c>
      <c r="Q377" s="91" t="str">
        <f>IF($N377="","",-1*ROUND(_xlfn.XLOOKUP(Tables!$L$362,'Input LwA_XYZ'!$AY$1:$BM$1,'Input LwA_XYZ'!AY16:BM16),0) &amp; " / " &amp; ROUND(_xlfn.XLOOKUP(Tables!$L$362,'Input LwA_XYZ'!$AH$1:$AV$1,'Input LwA_XYZ'!AH16:AV16),0) &amp; " ft")</f>
        <v>42 / 168 ft</v>
      </c>
      <c r="R377" s="91" t="str">
        <f>IF($N377="","",IF(_xlfn.XLOOKUP(Tables!$L$362,'Input LwA_XYZ'!$BV$1:$CJ$1,'Input LwA_XYZ'!BV16:CJ16)="","-",_xlfn.XLOOKUP(Tables!$L$362,'Input LwA_XYZ'!$BV$1:$CJ$1,'Input LwA_XYZ'!BV16:CJ16)))</f>
        <v>-</v>
      </c>
      <c r="S377" s="91" t="str">
        <f>IF($N377="","",IF('Input LwA_XYZ'!S16="","-",'Input LwA_XYZ'!S16))</f>
        <v>-</v>
      </c>
      <c r="T377" s="65">
        <f>IF($N377="","",_xlfn.XLOOKUP(Tables!$L$362,'Input LwA_XYZ'!$DD$1:$DR$1,'Input LwA_XYZ'!DD16:DR16))</f>
        <v>33.834137407946159</v>
      </c>
    </row>
    <row r="378" spans="14:20" ht="16.5" x14ac:dyDescent="0.3">
      <c r="N378" s="190">
        <f>IF('Input LwA_XYZ'!A17 = 0, "", 'Input LwA_XYZ'!A17)</f>
        <v>4</v>
      </c>
      <c r="O378" s="189" t="str">
        <f>IF($N378="","",_xlfn.TEXTJOIN(" - ",TRUE,'Input LwA_XYZ'!B17:C17))</f>
        <v>RCU-R(4p)4 - Radiated</v>
      </c>
      <c r="P378" s="64">
        <f>IF($N378="","",'Input LwA_XYZ'!Q17)</f>
        <v>79.020599913279625</v>
      </c>
      <c r="Q378" s="91" t="str">
        <f>IF($N378="","",-1*ROUND(_xlfn.XLOOKUP(Tables!$L$362,'Input LwA_XYZ'!$AY$1:$BM$1,'Input LwA_XYZ'!AY17:BM17),0) &amp; " / " &amp; ROUND(_xlfn.XLOOKUP(Tables!$L$362,'Input LwA_XYZ'!$AH$1:$AV$1,'Input LwA_XYZ'!AH17:AV17),0) &amp; " ft")</f>
        <v>41 / 147 ft</v>
      </c>
      <c r="R378" s="91" t="str">
        <f>IF($N378="","",IF(_xlfn.XLOOKUP(Tables!$L$362,'Input LwA_XYZ'!$BV$1:$CJ$1,'Input LwA_XYZ'!BV17:CJ17)="","-",_xlfn.XLOOKUP(Tables!$L$362,'Input LwA_XYZ'!$BV$1:$CJ$1,'Input LwA_XYZ'!BV17:CJ17)))</f>
        <v>-</v>
      </c>
      <c r="S378" s="91" t="str">
        <f>IF($N378="","",IF('Input LwA_XYZ'!S17="","-",'Input LwA_XYZ'!S17))</f>
        <v>-</v>
      </c>
      <c r="T378" s="65">
        <f>IF($N378="","",_xlfn.XLOOKUP(Tables!$L$362,'Input LwA_XYZ'!$DD$1:$DR$1,'Input LwA_XYZ'!DD17:DR17))</f>
        <v>38.039918717943372</v>
      </c>
    </row>
    <row r="379" spans="14:20" ht="16.5" x14ac:dyDescent="0.3">
      <c r="N379" s="190">
        <f>IF('Input LwA_XYZ'!A18 = 0, "", 'Input LwA_XYZ'!A18)</f>
        <v>2</v>
      </c>
      <c r="O379" s="189" t="str">
        <f>IF($N379="","",_xlfn.TEXTJOIN(" - ",TRUE,'Input LwA_XYZ'!B18:C18))</f>
        <v>RCU-R(2p)2 - Radiated</v>
      </c>
      <c r="P379" s="64">
        <f>IF($N379="","",'Input LwA_XYZ'!Q18)</f>
        <v>76.010299956639813</v>
      </c>
      <c r="Q379" s="91" t="str">
        <f>IF($N379="","",-1*ROUND(_xlfn.XLOOKUP(Tables!$L$362,'Input LwA_XYZ'!$AY$1:$BM$1,'Input LwA_XYZ'!AY18:BM18),0) &amp; " / " &amp; ROUND(_xlfn.XLOOKUP(Tables!$L$362,'Input LwA_XYZ'!$AH$1:$AV$1,'Input LwA_XYZ'!AH18:AV18),0) &amp; " ft")</f>
        <v>41 / 153 ft</v>
      </c>
      <c r="R379" s="91" t="str">
        <f>IF($N379="","",IF(_xlfn.XLOOKUP(Tables!$L$362,'Input LwA_XYZ'!$BV$1:$CJ$1,'Input LwA_XYZ'!BV18:CJ18)="","-",_xlfn.XLOOKUP(Tables!$L$362,'Input LwA_XYZ'!$BV$1:$CJ$1,'Input LwA_XYZ'!BV18:CJ18)))</f>
        <v>-</v>
      </c>
      <c r="S379" s="91" t="str">
        <f>IF($N379="","",IF('Input LwA_XYZ'!S18="","-",'Input LwA_XYZ'!S18))</f>
        <v>-</v>
      </c>
      <c r="T379" s="65">
        <f>IF($N379="","",_xlfn.XLOOKUP(Tables!$L$362,'Input LwA_XYZ'!$DD$1:$DR$1,'Input LwA_XYZ'!DD18:DR18))</f>
        <v>34.626203151341301</v>
      </c>
    </row>
    <row r="380" spans="14:20" ht="16.5" x14ac:dyDescent="0.3">
      <c r="N380" s="190">
        <f>IF('Input LwA_XYZ'!A19 = 0, "", 'Input LwA_XYZ'!A19)</f>
        <v>2</v>
      </c>
      <c r="O380" s="189" t="str">
        <f>IF($N380="","",_xlfn.TEXTJOIN(" - ",TRUE,'Input LwA_XYZ'!B19:C19))</f>
        <v>RCU-R(2p)3 - Radiated</v>
      </c>
      <c r="P380" s="64">
        <f>IF($N380="","",'Input LwA_XYZ'!Q19)</f>
        <v>76.010299956639813</v>
      </c>
      <c r="Q380" s="91" t="str">
        <f>IF($N380="","",-1*ROUND(_xlfn.XLOOKUP(Tables!$L$362,'Input LwA_XYZ'!$AY$1:$BM$1,'Input LwA_XYZ'!AY19:BM19),0) &amp; " / " &amp; ROUND(_xlfn.XLOOKUP(Tables!$L$362,'Input LwA_XYZ'!$AH$1:$AV$1,'Input LwA_XYZ'!AH19:AV19),0) &amp; " ft")</f>
        <v>42 / 174 ft</v>
      </c>
      <c r="R380" s="91" t="str">
        <f>IF($N380="","",IF(_xlfn.XLOOKUP(Tables!$L$362,'Input LwA_XYZ'!$BV$1:$CJ$1,'Input LwA_XYZ'!BV19:CJ19)="","-",_xlfn.XLOOKUP(Tables!$L$362,'Input LwA_XYZ'!$BV$1:$CJ$1,'Input LwA_XYZ'!BV19:CJ19)))</f>
        <v>-</v>
      </c>
      <c r="S380" s="91" t="str">
        <f>IF($N380="","",IF('Input LwA_XYZ'!S19="","-",'Input LwA_XYZ'!S19))</f>
        <v>-</v>
      </c>
      <c r="T380" s="65">
        <f>IF($N380="","",_xlfn.XLOOKUP(Tables!$L$362,'Input LwA_XYZ'!$DD$1:$DR$1,'Input LwA_XYZ'!DD19:DR19))</f>
        <v>33.531132173351168</v>
      </c>
    </row>
    <row r="381" spans="14:20" ht="16.5" x14ac:dyDescent="0.3">
      <c r="N381" s="190">
        <f>IF('Input LwA_XYZ'!A20 = 0, "", 'Input LwA_XYZ'!A20)</f>
        <v>2</v>
      </c>
      <c r="O381" s="189" t="str">
        <f>IF($N381="","",_xlfn.TEXTJOIN(" - ",TRUE,'Input LwA_XYZ'!B20:C20))</f>
        <v>RCU-R(2p)4 - Radiated</v>
      </c>
      <c r="P381" s="64">
        <f>IF($N381="","",'Input LwA_XYZ'!Q20)</f>
        <v>76.010299956639813</v>
      </c>
      <c r="Q381" s="91" t="str">
        <f>IF($N381="","",-1*ROUND(_xlfn.XLOOKUP(Tables!$L$362,'Input LwA_XYZ'!$AY$1:$BM$1,'Input LwA_XYZ'!AY20:BM20),0) &amp; " / " &amp; ROUND(_xlfn.XLOOKUP(Tables!$L$362,'Input LwA_XYZ'!$AH$1:$AV$1,'Input LwA_XYZ'!AH20:AV20),0) &amp; " ft")</f>
        <v>43 / 188 ft</v>
      </c>
      <c r="R381" s="91" t="str">
        <f>IF($N381="","",IF(_xlfn.XLOOKUP(Tables!$L$362,'Input LwA_XYZ'!$BV$1:$CJ$1,'Input LwA_XYZ'!BV20:CJ20)="","-",_xlfn.XLOOKUP(Tables!$L$362,'Input LwA_XYZ'!$BV$1:$CJ$1,'Input LwA_XYZ'!BV20:CJ20)))</f>
        <v>-</v>
      </c>
      <c r="S381" s="91" t="str">
        <f>IF($N381="","",IF('Input LwA_XYZ'!S20="","-",'Input LwA_XYZ'!S20))</f>
        <v>-</v>
      </c>
      <c r="T381" s="65">
        <f>IF($N381="","",_xlfn.XLOOKUP(Tables!$L$362,'Input LwA_XYZ'!$DD$1:$DR$1,'Input LwA_XYZ'!DD20:DR20))</f>
        <v>32.86816377495628</v>
      </c>
    </row>
    <row r="382" spans="14:20" ht="16.5" x14ac:dyDescent="0.3">
      <c r="N382" s="190">
        <f>IF('Input LwA_XYZ'!A21 = 0, "", 'Input LwA_XYZ'!A21)</f>
        <v>2</v>
      </c>
      <c r="O382" s="189" t="str">
        <f>IF($N382="","",_xlfn.TEXTJOIN(" - ",TRUE,'Input LwA_XYZ'!B21:C21))</f>
        <v>RCU-R(2p)5 - Radiated</v>
      </c>
      <c r="P382" s="64">
        <f>IF($N382="","",'Input LwA_XYZ'!Q21)</f>
        <v>76.010299956639813</v>
      </c>
      <c r="Q382" s="91" t="str">
        <f>IF($N382="","",-1*ROUND(_xlfn.XLOOKUP(Tables!$L$362,'Input LwA_XYZ'!$AY$1:$BM$1,'Input LwA_XYZ'!AY21:BM21),0) &amp; " / " &amp; ROUND(_xlfn.XLOOKUP(Tables!$L$362,'Input LwA_XYZ'!$AH$1:$AV$1,'Input LwA_XYZ'!AH21:AV21),0) &amp; " ft")</f>
        <v>44 / 203 ft</v>
      </c>
      <c r="R382" s="91" t="str">
        <f>IF($N382="","",IF(_xlfn.XLOOKUP(Tables!$L$362,'Input LwA_XYZ'!$BV$1:$CJ$1,'Input LwA_XYZ'!BV21:CJ21)="","-",_xlfn.XLOOKUP(Tables!$L$362,'Input LwA_XYZ'!$BV$1:$CJ$1,'Input LwA_XYZ'!BV21:CJ21)))</f>
        <v>-</v>
      </c>
      <c r="S382" s="91" t="str">
        <f>IF($N382="","",IF('Input LwA_XYZ'!S21="","-",'Input LwA_XYZ'!S21))</f>
        <v>-</v>
      </c>
      <c r="T382" s="65">
        <f>IF($N382="","",_xlfn.XLOOKUP(Tables!$L$362,'Input LwA_XYZ'!$DD$1:$DR$1,'Input LwA_XYZ'!DD21:DR21))</f>
        <v>32.210402540305431</v>
      </c>
    </row>
    <row r="383" spans="14:20" ht="16.5" x14ac:dyDescent="0.3">
      <c r="N383" s="190">
        <f>IF('Input LwA_XYZ'!A22 = 0, "", 'Input LwA_XYZ'!A22)</f>
        <v>2</v>
      </c>
      <c r="O383" s="189" t="str">
        <f>IF($N383="","",_xlfn.TEXTJOIN(" - ",TRUE,'Input LwA_XYZ'!B22:C22))</f>
        <v>RCU-R(2p)6 - Radiated</v>
      </c>
      <c r="P383" s="64">
        <f>IF($N383="","",'Input LwA_XYZ'!Q22)</f>
        <v>76.010299956639813</v>
      </c>
      <c r="Q383" s="91" t="str">
        <f>IF($N383="","",-1*ROUND(_xlfn.XLOOKUP(Tables!$L$362,'Input LwA_XYZ'!$AY$1:$BM$1,'Input LwA_XYZ'!AY22:BM22),0) &amp; " / " &amp; ROUND(_xlfn.XLOOKUP(Tables!$L$362,'Input LwA_XYZ'!$AH$1:$AV$1,'Input LwA_XYZ'!AH22:AV22),0) &amp; " ft")</f>
        <v>44 / 218 ft</v>
      </c>
      <c r="R383" s="91" t="str">
        <f>IF($N383="","",IF(_xlfn.XLOOKUP(Tables!$L$362,'Input LwA_XYZ'!$BV$1:$CJ$1,'Input LwA_XYZ'!BV22:CJ22)="","-",_xlfn.XLOOKUP(Tables!$L$362,'Input LwA_XYZ'!$BV$1:$CJ$1,'Input LwA_XYZ'!BV22:CJ22)))</f>
        <v>-</v>
      </c>
      <c r="S383" s="91" t="str">
        <f>IF($N383="","",IF('Input LwA_XYZ'!S22="","-",'Input LwA_XYZ'!S22))</f>
        <v>-</v>
      </c>
      <c r="T383" s="65">
        <f>IF($N383="","",_xlfn.XLOOKUP(Tables!$L$362,'Input LwA_XYZ'!$DD$1:$DR$1,'Input LwA_XYZ'!DD22:DR22))</f>
        <v>31.572313832482209</v>
      </c>
    </row>
    <row r="384" spans="14:20" ht="16.5" x14ac:dyDescent="0.3">
      <c r="N384" s="190">
        <f>IF('Input LwA_XYZ'!A23 = 0, "", 'Input LwA_XYZ'!A23)</f>
        <v>1</v>
      </c>
      <c r="O384" s="189" t="str">
        <f>IF($N384="","",_xlfn.TEXTJOIN(" - ",TRUE,'Input LwA_XYZ'!B23:C23))</f>
        <v>BEF-R01  - Inlet</v>
      </c>
      <c r="P384" s="64">
        <f>IF($N384="","",'Input LwA_XYZ'!Q23)</f>
        <v>57</v>
      </c>
      <c r="Q384" s="91" t="str">
        <f>IF($N384="","",-1*ROUND(_xlfn.XLOOKUP(Tables!$L$362,'Input LwA_XYZ'!$AY$1:$BM$1,'Input LwA_XYZ'!AY23:BM23),0) &amp; " / " &amp; ROUND(_xlfn.XLOOKUP(Tables!$L$362,'Input LwA_XYZ'!$AH$1:$AV$1,'Input LwA_XYZ'!AH23:AV23),0) &amp; " ft")</f>
        <v>39 / 123 ft</v>
      </c>
      <c r="R384" s="91" t="str">
        <f>IF($N384="","",IF(_xlfn.XLOOKUP(Tables!$L$362,'Input LwA_XYZ'!$BV$1:$CJ$1,'Input LwA_XYZ'!BV23:CJ23)="","-",_xlfn.XLOOKUP(Tables!$L$362,'Input LwA_XYZ'!$BV$1:$CJ$1,'Input LwA_XYZ'!BV23:CJ23)))</f>
        <v>-</v>
      </c>
      <c r="S384" s="91" t="str">
        <f>IF($N384="","",IF('Input LwA_XYZ'!S23="","-",'Input LwA_XYZ'!S23))</f>
        <v>-</v>
      </c>
      <c r="T384" s="65">
        <f>IF($N384="","",_xlfn.XLOOKUP(Tables!$L$362,'Input LwA_XYZ'!$DD$1:$DR$1,'Input LwA_XYZ'!DD23:DR23))</f>
        <v>17.524923149226339</v>
      </c>
    </row>
    <row r="385" spans="14:20" ht="16.5" x14ac:dyDescent="0.3">
      <c r="N385" s="190">
        <f>IF('Input LwA_XYZ'!A24 = 0, "", 'Input LwA_XYZ'!A24)</f>
        <v>1</v>
      </c>
      <c r="O385" s="189" t="str">
        <f>IF($N385="","",_xlfn.TEXTJOIN(" - ",TRUE,'Input LwA_XYZ'!B24:C24))</f>
        <v>BEF-R02  - Inlet</v>
      </c>
      <c r="P385" s="64">
        <f>IF($N385="","",'Input LwA_XYZ'!Q24)</f>
        <v>66</v>
      </c>
      <c r="Q385" s="91" t="str">
        <f>IF($N385="","",-1*ROUND(_xlfn.XLOOKUP(Tables!$L$362,'Input LwA_XYZ'!$AY$1:$BM$1,'Input LwA_XYZ'!AY24:BM24),0) &amp; " / " &amp; ROUND(_xlfn.XLOOKUP(Tables!$L$362,'Input LwA_XYZ'!$AH$1:$AV$1,'Input LwA_XYZ'!AH24:AV24),0) &amp; " ft")</f>
        <v>40 / 138 ft</v>
      </c>
      <c r="R385" s="91" t="str">
        <f>IF($N385="","",IF(_xlfn.XLOOKUP(Tables!$L$362,'Input LwA_XYZ'!$BV$1:$CJ$1,'Input LwA_XYZ'!BV24:CJ24)="","-",_xlfn.XLOOKUP(Tables!$L$362,'Input LwA_XYZ'!$BV$1:$CJ$1,'Input LwA_XYZ'!BV24:CJ24)))</f>
        <v>-</v>
      </c>
      <c r="S385" s="91" t="str">
        <f>IF($N385="","",IF('Input LwA_XYZ'!S24="","-",'Input LwA_XYZ'!S24))</f>
        <v>-</v>
      </c>
      <c r="T385" s="65">
        <f>IF($N385="","",_xlfn.XLOOKUP(Tables!$L$362,'Input LwA_XYZ'!$DD$1:$DR$1,'Input LwA_XYZ'!DD24:DR24))</f>
        <v>25.558301321549493</v>
      </c>
    </row>
    <row r="386" spans="14:20" ht="16.5" x14ac:dyDescent="0.3">
      <c r="N386" s="190">
        <f>IF('Input LwA_XYZ'!A25 = 0, "", 'Input LwA_XYZ'!A25)</f>
        <v>1</v>
      </c>
      <c r="O386" s="189" t="str">
        <f>IF($N386="","",_xlfn.TEXTJOIN(" - ",TRUE,'Input LwA_XYZ'!B25:C25))</f>
        <v>BEF-R03  - Inlet</v>
      </c>
      <c r="P386" s="64">
        <f>IF($N386="","",'Input LwA_XYZ'!Q25)</f>
        <v>66</v>
      </c>
      <c r="Q386" s="91" t="str">
        <f>IF($N386="","",-1*ROUND(_xlfn.XLOOKUP(Tables!$L$362,'Input LwA_XYZ'!$AY$1:$BM$1,'Input LwA_XYZ'!AY25:BM25),0) &amp; " / " &amp; ROUND(_xlfn.XLOOKUP(Tables!$L$362,'Input LwA_XYZ'!$AH$1:$AV$1,'Input LwA_XYZ'!AH25:AV25),0) &amp; " ft")</f>
        <v>42 / 159 ft</v>
      </c>
      <c r="R386" s="91" t="str">
        <f>IF($N386="","",IF(_xlfn.XLOOKUP(Tables!$L$362,'Input LwA_XYZ'!$BV$1:$CJ$1,'Input LwA_XYZ'!BV25:CJ25)="","-",_xlfn.XLOOKUP(Tables!$L$362,'Input LwA_XYZ'!$BV$1:$CJ$1,'Input LwA_XYZ'!BV25:CJ25)))</f>
        <v>-</v>
      </c>
      <c r="S386" s="91" t="str">
        <f>IF($N386="","",IF('Input LwA_XYZ'!S25="","-",'Input LwA_XYZ'!S25))</f>
        <v>-</v>
      </c>
      <c r="T386" s="65">
        <f>IF($N386="","",_xlfn.XLOOKUP(Tables!$L$362,'Input LwA_XYZ'!$DD$1:$DR$1,'Input LwA_XYZ'!DD25:DR25))</f>
        <v>24.324638741792718</v>
      </c>
    </row>
    <row r="387" spans="14:20" ht="16.5" x14ac:dyDescent="0.3">
      <c r="N387" s="190">
        <f>IF('Input LwA_XYZ'!A26 = 0, "", 'Input LwA_XYZ'!A26)</f>
        <v>1</v>
      </c>
      <c r="O387" s="189" t="str">
        <f>IF($N387="","",_xlfn.TEXTJOIN(" - ",TRUE,'Input LwA_XYZ'!B26:C26))</f>
        <v>BEF-R04  - Inlet</v>
      </c>
      <c r="P387" s="64">
        <f>IF($N387="","",'Input LwA_XYZ'!Q26)</f>
        <v>66</v>
      </c>
      <c r="Q387" s="91" t="str">
        <f>IF($N387="","",-1*ROUND(_xlfn.XLOOKUP(Tables!$L$362,'Input LwA_XYZ'!$AY$1:$BM$1,'Input LwA_XYZ'!AY26:BM26),0) &amp; " / " &amp; ROUND(_xlfn.XLOOKUP(Tables!$L$362,'Input LwA_XYZ'!$AH$1:$AV$1,'Input LwA_XYZ'!AH26:AV26),0) &amp; " ft")</f>
        <v>43 / 181 ft</v>
      </c>
      <c r="R387" s="91" t="str">
        <f>IF($N387="","",IF(_xlfn.XLOOKUP(Tables!$L$362,'Input LwA_XYZ'!$BV$1:$CJ$1,'Input LwA_XYZ'!BV26:CJ26)="","-",_xlfn.XLOOKUP(Tables!$L$362,'Input LwA_XYZ'!$BV$1:$CJ$1,'Input LwA_XYZ'!BV26:CJ26)))</f>
        <v>-</v>
      </c>
      <c r="S387" s="91" t="str">
        <f>IF($N387="","",IF('Input LwA_XYZ'!S26="","-",'Input LwA_XYZ'!S26))</f>
        <v>-</v>
      </c>
      <c r="T387" s="65">
        <f>IF($N387="","",_xlfn.XLOOKUP(Tables!$L$362,'Input LwA_XYZ'!$DD$1:$DR$1,'Input LwA_XYZ'!DD26:DR26))</f>
        <v>23.168375747855407</v>
      </c>
    </row>
    <row r="388" spans="14:20" ht="16.5" x14ac:dyDescent="0.3">
      <c r="N388" s="190">
        <f>IF('Input LwA_XYZ'!A27 = 0, "", 'Input LwA_XYZ'!A27)</f>
        <v>1</v>
      </c>
      <c r="O388" s="189" t="str">
        <f>IF($N388="","",_xlfn.TEXTJOIN(" - ",TRUE,'Input LwA_XYZ'!B27:C27))</f>
        <v>BEF-R05  - Inlet</v>
      </c>
      <c r="P388" s="64">
        <f>IF($N388="","",'Input LwA_XYZ'!Q27)</f>
        <v>66</v>
      </c>
      <c r="Q388" s="91" t="str">
        <f>IF($N388="","",-1*ROUND(_xlfn.XLOOKUP(Tables!$L$362,'Input LwA_XYZ'!$AY$1:$BM$1,'Input LwA_XYZ'!AY27:BM27),0) &amp; " / " &amp; ROUND(_xlfn.XLOOKUP(Tables!$L$362,'Input LwA_XYZ'!$AH$1:$AV$1,'Input LwA_XYZ'!AH27:AV27),0) &amp; " ft")</f>
        <v>44 / 199 ft</v>
      </c>
      <c r="R388" s="91" t="str">
        <f>IF($N388="","",IF(_xlfn.XLOOKUP(Tables!$L$362,'Input LwA_XYZ'!$BV$1:$CJ$1,'Input LwA_XYZ'!BV27:CJ27)="","-",_xlfn.XLOOKUP(Tables!$L$362,'Input LwA_XYZ'!$BV$1:$CJ$1,'Input LwA_XYZ'!BV27:CJ27)))</f>
        <v>-</v>
      </c>
      <c r="S388" s="91" t="str">
        <f>IF($N388="","",IF('Input LwA_XYZ'!S27="","-",'Input LwA_XYZ'!S27))</f>
        <v>-</v>
      </c>
      <c r="T388" s="65">
        <f>IF($N388="","",_xlfn.XLOOKUP(Tables!$L$362,'Input LwA_XYZ'!$DD$1:$DR$1,'Input LwA_XYZ'!DD27:DR27))</f>
        <v>22.371723595961846</v>
      </c>
    </row>
    <row r="389" spans="14:20" ht="16.5" x14ac:dyDescent="0.3">
      <c r="N389" s="190">
        <f>IF('Input LwA_XYZ'!A28 = 0, "", 'Input LwA_XYZ'!A28)</f>
        <v>1</v>
      </c>
      <c r="O389" s="189" t="str">
        <f>IF($N389="","",_xlfn.TEXTJOIN(" - ",TRUE,'Input LwA_XYZ'!B28:C28))</f>
        <v>BEF-R06  - Inlet</v>
      </c>
      <c r="P389" s="64">
        <f>IF($N389="","",'Input LwA_XYZ'!Q28)</f>
        <v>66</v>
      </c>
      <c r="Q389" s="91" t="str">
        <f>IF($N389="","",-1*ROUND(_xlfn.XLOOKUP(Tables!$L$362,'Input LwA_XYZ'!$AY$1:$BM$1,'Input LwA_XYZ'!AY28:BM28),0) &amp; " / " &amp; ROUND(_xlfn.XLOOKUP(Tables!$L$362,'Input LwA_XYZ'!$AH$1:$AV$1,'Input LwA_XYZ'!AH28:AV28),0) &amp; " ft")</f>
        <v>43 / 194 ft</v>
      </c>
      <c r="R389" s="91" t="str">
        <f>IF($N389="","",IF(_xlfn.XLOOKUP(Tables!$L$362,'Input LwA_XYZ'!$BV$1:$CJ$1,'Input LwA_XYZ'!BV28:CJ28)="","-",_xlfn.XLOOKUP(Tables!$L$362,'Input LwA_XYZ'!$BV$1:$CJ$1,'Input LwA_XYZ'!BV28:CJ28)))</f>
        <v>-</v>
      </c>
      <c r="S389" s="91" t="str">
        <f>IF($N389="","",IF('Input LwA_XYZ'!S28="","-",'Input LwA_XYZ'!S28))</f>
        <v>-</v>
      </c>
      <c r="T389" s="65">
        <f>IF($N389="","",_xlfn.XLOOKUP(Tables!$L$362,'Input LwA_XYZ'!$DD$1:$DR$1,'Input LwA_XYZ'!DD28:DR28))</f>
        <v>22.571853354436364</v>
      </c>
    </row>
    <row r="390" spans="14:20" ht="16.5" x14ac:dyDescent="0.3">
      <c r="N390" s="190">
        <f>IF('Input LwA_XYZ'!A29 = 0, "", 'Input LwA_XYZ'!A29)</f>
        <v>1</v>
      </c>
      <c r="O390" s="189" t="str">
        <f>IF($N390="","",_xlfn.TEXTJOIN(" - ",TRUE,'Input LwA_XYZ'!B29:C29))</f>
        <v>BEF-R07  - Inlet</v>
      </c>
      <c r="P390" s="64">
        <f>IF($N390="","",'Input LwA_XYZ'!Q29)</f>
        <v>57</v>
      </c>
      <c r="Q390" s="91" t="str">
        <f>IF($N390="","",-1*ROUND(_xlfn.XLOOKUP(Tables!$L$362,'Input LwA_XYZ'!$AY$1:$BM$1,'Input LwA_XYZ'!AY29:BM29),0) &amp; " / " &amp; ROUND(_xlfn.XLOOKUP(Tables!$L$362,'Input LwA_XYZ'!$AH$1:$AV$1,'Input LwA_XYZ'!AH29:AV29),0) &amp; " ft")</f>
        <v>43 / 195 ft</v>
      </c>
      <c r="R390" s="91" t="str">
        <f>IF($N390="","",IF(_xlfn.XLOOKUP(Tables!$L$362,'Input LwA_XYZ'!$BV$1:$CJ$1,'Input LwA_XYZ'!BV29:CJ29)="","-",_xlfn.XLOOKUP(Tables!$L$362,'Input LwA_XYZ'!$BV$1:$CJ$1,'Input LwA_XYZ'!BV29:CJ29)))</f>
        <v>-</v>
      </c>
      <c r="S390" s="91" t="str">
        <f>IF($N390="","",IF('Input LwA_XYZ'!S29="","-",'Input LwA_XYZ'!S29))</f>
        <v>-</v>
      </c>
      <c r="T390" s="65">
        <f>IF($N390="","",_xlfn.XLOOKUP(Tables!$L$362,'Input LwA_XYZ'!$DD$1:$DR$1,'Input LwA_XYZ'!DD29:DR29))</f>
        <v>13.555575842541174</v>
      </c>
    </row>
    <row r="391" spans="14:20" ht="16.5" x14ac:dyDescent="0.3">
      <c r="N391" s="190">
        <f>IF('Input LwA_XYZ'!A30 = 0, "", 'Input LwA_XYZ'!A30)</f>
        <v>1</v>
      </c>
      <c r="O391" s="189" t="str">
        <f>IF($N391="","",_xlfn.TEXTJOIN(" - ",TRUE,'Input LwA_XYZ'!B30:C30))</f>
        <v>BEF-R08  - Inlet</v>
      </c>
      <c r="P391" s="64">
        <f>IF($N391="","",'Input LwA_XYZ'!Q30)</f>
        <v>57</v>
      </c>
      <c r="Q391" s="91" t="str">
        <f>IF($N391="","",-1*ROUND(_xlfn.XLOOKUP(Tables!$L$362,'Input LwA_XYZ'!$AY$1:$BM$1,'Input LwA_XYZ'!AY30:BM30),0) &amp; " / " &amp; ROUND(_xlfn.XLOOKUP(Tables!$L$362,'Input LwA_XYZ'!$AH$1:$AV$1,'Input LwA_XYZ'!AH30:AV30),0) &amp; " ft")</f>
        <v>45 / 235 ft</v>
      </c>
      <c r="R391" s="91" t="str">
        <f>IF($N391="","",IF(_xlfn.XLOOKUP(Tables!$L$362,'Input LwA_XYZ'!$BV$1:$CJ$1,'Input LwA_XYZ'!BV30:CJ30)="","-",_xlfn.XLOOKUP(Tables!$L$362,'Input LwA_XYZ'!$BV$1:$CJ$1,'Input LwA_XYZ'!BV30:CJ30)))</f>
        <v>-</v>
      </c>
      <c r="S391" s="91" t="str">
        <f>IF($N391="","",IF('Input LwA_XYZ'!S30="","-",'Input LwA_XYZ'!S30))</f>
        <v>-</v>
      </c>
      <c r="T391" s="65">
        <f>IF($N391="","",_xlfn.XLOOKUP(Tables!$L$362,'Input LwA_XYZ'!$DD$1:$DR$1,'Input LwA_XYZ'!DD30:DR30))</f>
        <v>11.924932976016137</v>
      </c>
    </row>
    <row r="392" spans="14:20" ht="16.5" x14ac:dyDescent="0.3">
      <c r="N392" s="190">
        <f>IF('Input LwA_XYZ'!A31 = 0, "", 'Input LwA_XYZ'!A31)</f>
        <v>1</v>
      </c>
      <c r="O392" s="189" t="str">
        <f>IF($N392="","",_xlfn.TEXTJOIN(" - ",TRUE,'Input LwA_XYZ'!B31:C31))</f>
        <v>BEF-R09  - Inlet</v>
      </c>
      <c r="P392" s="64">
        <f>IF($N392="","",'Input LwA_XYZ'!Q31)</f>
        <v>66</v>
      </c>
      <c r="Q392" s="91" t="str">
        <f>IF($N392="","",-1*ROUND(_xlfn.XLOOKUP(Tables!$L$362,'Input LwA_XYZ'!$AY$1:$BM$1,'Input LwA_XYZ'!AY31:BM31),0) &amp; " / " &amp; ROUND(_xlfn.XLOOKUP(Tables!$L$362,'Input LwA_XYZ'!$AH$1:$AV$1,'Input LwA_XYZ'!AH31:AV31),0) &amp; " ft")</f>
        <v>45 / 238 ft</v>
      </c>
      <c r="R392" s="91" t="str">
        <f>IF($N392="","",IF(_xlfn.XLOOKUP(Tables!$L$362,'Input LwA_XYZ'!$BV$1:$CJ$1,'Input LwA_XYZ'!BV31:CJ31)="","-",_xlfn.XLOOKUP(Tables!$L$362,'Input LwA_XYZ'!$BV$1:$CJ$1,'Input LwA_XYZ'!BV31:CJ31)))</f>
        <v>-</v>
      </c>
      <c r="S392" s="91" t="str">
        <f>IF($N392="","",IF('Input LwA_XYZ'!S31="","-",'Input LwA_XYZ'!S31))</f>
        <v>-</v>
      </c>
      <c r="T392" s="65">
        <f>IF($N392="","",_xlfn.XLOOKUP(Tables!$L$362,'Input LwA_XYZ'!$DD$1:$DR$1,'Input LwA_XYZ'!DD31:DR31))</f>
        <v>20.789699625762694</v>
      </c>
    </row>
    <row r="393" spans="14:20" ht="16.5" x14ac:dyDescent="0.3">
      <c r="N393" s="190">
        <f>IF('Input LwA_XYZ'!A32 = 0, "", 'Input LwA_XYZ'!A32)</f>
        <v>1</v>
      </c>
      <c r="O393" s="189" t="str">
        <f>IF($N393="","",_xlfn.TEXTJOIN(" - ",TRUE,'Input LwA_XYZ'!B32:C32))</f>
        <v>BEF-R10  - Inlet</v>
      </c>
      <c r="P393" s="64">
        <f>IF($N393="","",'Input LwA_XYZ'!Q32)</f>
        <v>66</v>
      </c>
      <c r="Q393" s="91" t="str">
        <f>IF($N393="","",-1*ROUND(_xlfn.XLOOKUP(Tables!$L$362,'Input LwA_XYZ'!$AY$1:$BM$1,'Input LwA_XYZ'!AY32:BM32),0) &amp; " / " &amp; ROUND(_xlfn.XLOOKUP(Tables!$L$362,'Input LwA_XYZ'!$AH$1:$AV$1,'Input LwA_XYZ'!AH32:AV32),0) &amp; " ft")</f>
        <v>45 / 245 ft</v>
      </c>
      <c r="R393" s="91" t="str">
        <f>IF($N393="","",IF(_xlfn.XLOOKUP(Tables!$L$362,'Input LwA_XYZ'!$BV$1:$CJ$1,'Input LwA_XYZ'!BV32:CJ32)="","-",_xlfn.XLOOKUP(Tables!$L$362,'Input LwA_XYZ'!$BV$1:$CJ$1,'Input LwA_XYZ'!BV32:CJ32)))</f>
        <v>-</v>
      </c>
      <c r="S393" s="91" t="str">
        <f>IF($N393="","",IF('Input LwA_XYZ'!S32="","-",'Input LwA_XYZ'!S32))</f>
        <v>-</v>
      </c>
      <c r="T393" s="65">
        <f>IF($N393="","",_xlfn.XLOOKUP(Tables!$L$362,'Input LwA_XYZ'!$DD$1:$DR$1,'Input LwA_XYZ'!DD32:DR32))</f>
        <v>20.549999233311269</v>
      </c>
    </row>
    <row r="394" spans="14:20" ht="16.5" x14ac:dyDescent="0.3">
      <c r="N394" s="190">
        <f>IF('Input LwA_XYZ'!A33 = 0, "", 'Input LwA_XYZ'!A33)</f>
        <v>1</v>
      </c>
      <c r="O394" s="189" t="str">
        <f>IF($N394="","",_xlfn.TEXTJOIN(" - ",TRUE,'Input LwA_XYZ'!B33:C33))</f>
        <v>BEF-R11  - Inlet</v>
      </c>
      <c r="P394" s="64">
        <f>IF($N394="","",'Input LwA_XYZ'!Q33)</f>
        <v>66</v>
      </c>
      <c r="Q394" s="91" t="str">
        <f>IF($N394="","",-1*ROUND(_xlfn.XLOOKUP(Tables!$L$362,'Input LwA_XYZ'!$AY$1:$BM$1,'Input LwA_XYZ'!AY33:BM33),0) &amp; " / " &amp; ROUND(_xlfn.XLOOKUP(Tables!$L$362,'Input LwA_XYZ'!$AH$1:$AV$1,'Input LwA_XYZ'!AH33:AV33),0) &amp; " ft")</f>
        <v>46 / 249 ft</v>
      </c>
      <c r="R394" s="91" t="str">
        <f>IF($N394="","",IF(_xlfn.XLOOKUP(Tables!$L$362,'Input LwA_XYZ'!$BV$1:$CJ$1,'Input LwA_XYZ'!BV33:CJ33)="","-",_xlfn.XLOOKUP(Tables!$L$362,'Input LwA_XYZ'!$BV$1:$CJ$1,'Input LwA_XYZ'!BV33:CJ33)))</f>
        <v>-</v>
      </c>
      <c r="S394" s="91" t="str">
        <f>IF($N394="","",IF('Input LwA_XYZ'!S33="","-",'Input LwA_XYZ'!S33))</f>
        <v>-</v>
      </c>
      <c r="T394" s="65">
        <f>IF($N394="","",_xlfn.XLOOKUP(Tables!$L$362,'Input LwA_XYZ'!$DD$1:$DR$1,'Input LwA_XYZ'!DD33:DR33))</f>
        <v>20.413561674561677</v>
      </c>
    </row>
    <row r="395" spans="14:20" ht="16.5" x14ac:dyDescent="0.3">
      <c r="N395" s="190">
        <f>IF('Input LwA_XYZ'!A34 = 0, "", 'Input LwA_XYZ'!A34)</f>
        <v>1</v>
      </c>
      <c r="O395" s="189" t="str">
        <f>IF($N395="","",_xlfn.TEXTJOIN(" - ",TRUE,'Input LwA_XYZ'!B34:C34))</f>
        <v>BEF-R12  - Inlet</v>
      </c>
      <c r="P395" s="64">
        <f>IF($N395="","",'Input LwA_XYZ'!Q34)</f>
        <v>66</v>
      </c>
      <c r="Q395" s="91" t="str">
        <f>IF($N395="","",-1*ROUND(_xlfn.XLOOKUP(Tables!$L$362,'Input LwA_XYZ'!$AY$1:$BM$1,'Input LwA_XYZ'!AY34:BM34),0) &amp; " / " &amp; ROUND(_xlfn.XLOOKUP(Tables!$L$362,'Input LwA_XYZ'!$AH$1:$AV$1,'Input LwA_XYZ'!AH34:AV34),0) &amp; " ft")</f>
        <v>44 / 208 ft</v>
      </c>
      <c r="R395" s="91" t="str">
        <f>IF($N395="","",IF(_xlfn.XLOOKUP(Tables!$L$362,'Input LwA_XYZ'!$BV$1:$CJ$1,'Input LwA_XYZ'!BV34:CJ34)="","-",_xlfn.XLOOKUP(Tables!$L$362,'Input LwA_XYZ'!$BV$1:$CJ$1,'Input LwA_XYZ'!BV34:CJ34)))</f>
        <v>-</v>
      </c>
      <c r="S395" s="91" t="str">
        <f>IF($N395="","",IF('Input LwA_XYZ'!S34="","-",'Input LwA_XYZ'!S34))</f>
        <v>-</v>
      </c>
      <c r="T395" s="65">
        <f>IF($N395="","",_xlfn.XLOOKUP(Tables!$L$362,'Input LwA_XYZ'!$DD$1:$DR$1,'Input LwA_XYZ'!DD34:DR34))</f>
        <v>21.980715174611781</v>
      </c>
    </row>
    <row r="396" spans="14:20" ht="16.5" x14ac:dyDescent="0.3">
      <c r="N396" s="190">
        <f>IF('Input LwA_XYZ'!A35 = 0, "", 'Input LwA_XYZ'!A35)</f>
        <v>1</v>
      </c>
      <c r="O396" s="189" t="str">
        <f>IF($N396="","",_xlfn.TEXTJOIN(" - ",TRUE,'Input LwA_XYZ'!B35:C35))</f>
        <v>BEF-R13  - Inlet</v>
      </c>
      <c r="P396" s="64">
        <f>IF($N396="","",'Input LwA_XYZ'!Q35)</f>
        <v>66</v>
      </c>
      <c r="Q396" s="91" t="str">
        <f>IF($N396="","",-1*ROUND(_xlfn.XLOOKUP(Tables!$L$362,'Input LwA_XYZ'!$AY$1:$BM$1,'Input LwA_XYZ'!AY35:BM35),0) &amp; " / " &amp; ROUND(_xlfn.XLOOKUP(Tables!$L$362,'Input LwA_XYZ'!$AH$1:$AV$1,'Input LwA_XYZ'!AH35:AV35),0) &amp; " ft")</f>
        <v>43 / 177 ft</v>
      </c>
      <c r="R396" s="91" t="str">
        <f>IF($N396="","",IF(_xlfn.XLOOKUP(Tables!$L$362,'Input LwA_XYZ'!$BV$1:$CJ$1,'Input LwA_XYZ'!BV35:CJ35)="","-",_xlfn.XLOOKUP(Tables!$L$362,'Input LwA_XYZ'!$BV$1:$CJ$1,'Input LwA_XYZ'!BV35:CJ35)))</f>
        <v>-</v>
      </c>
      <c r="S396" s="91" t="str">
        <f>IF($N396="","",IF('Input LwA_XYZ'!S35="","-",'Input LwA_XYZ'!S35))</f>
        <v>-</v>
      </c>
      <c r="T396" s="65">
        <f>IF($N396="","",_xlfn.XLOOKUP(Tables!$L$362,'Input LwA_XYZ'!$DD$1:$DR$1,'Input LwA_XYZ'!DD35:DR35))</f>
        <v>23.39479009159399</v>
      </c>
    </row>
    <row r="397" spans="14:20" ht="16.5" x14ac:dyDescent="0.3">
      <c r="N397" s="190">
        <f>IF('Input LwA_XYZ'!A36 = 0, "", 'Input LwA_XYZ'!A36)</f>
        <v>1</v>
      </c>
      <c r="O397" s="189" t="str">
        <f>IF($N397="","",_xlfn.TEXTJOIN(" - ",TRUE,'Input LwA_XYZ'!B36:C36))</f>
        <v>BEF-R14  - Inlet</v>
      </c>
      <c r="P397" s="64">
        <f>IF($N397="","",'Input LwA_XYZ'!Q36)</f>
        <v>66</v>
      </c>
      <c r="Q397" s="91" t="str">
        <f>IF($N397="","",-1*ROUND(_xlfn.XLOOKUP(Tables!$L$362,'Input LwA_XYZ'!$AY$1:$BM$1,'Input LwA_XYZ'!AY36:BM36),0) &amp; " / " &amp; ROUND(_xlfn.XLOOKUP(Tables!$L$362,'Input LwA_XYZ'!$AH$1:$AV$1,'Input LwA_XYZ'!AH36:AV36),0) &amp; " ft")</f>
        <v>42 / 160 ft</v>
      </c>
      <c r="R397" s="91" t="str">
        <f>IF($N397="","",IF(_xlfn.XLOOKUP(Tables!$L$362,'Input LwA_XYZ'!$BV$1:$CJ$1,'Input LwA_XYZ'!BV36:CJ36)="","-",_xlfn.XLOOKUP(Tables!$L$362,'Input LwA_XYZ'!$BV$1:$CJ$1,'Input LwA_XYZ'!BV36:CJ36)))</f>
        <v>-</v>
      </c>
      <c r="S397" s="91" t="str">
        <f>IF($N397="","",IF('Input LwA_XYZ'!S36="","-",'Input LwA_XYZ'!S36))</f>
        <v>-</v>
      </c>
      <c r="T397" s="65">
        <f>IF($N397="","",_xlfn.XLOOKUP(Tables!$L$362,'Input LwA_XYZ'!$DD$1:$DR$1,'Input LwA_XYZ'!DD36:DR36))</f>
        <v>24.267760520630574</v>
      </c>
    </row>
    <row r="398" spans="14:20" ht="16.5" x14ac:dyDescent="0.3">
      <c r="N398" s="190">
        <f>IF('Input LwA_XYZ'!A37 = 0, "", 'Input LwA_XYZ'!A37)</f>
        <v>1</v>
      </c>
      <c r="O398" s="189" t="str">
        <f>IF($N398="","",_xlfn.TEXTJOIN(" - ",TRUE,'Input LwA_XYZ'!B37:C37))</f>
        <v>BEF-R15  - Inlet</v>
      </c>
      <c r="P398" s="64">
        <f>IF($N398="","",'Input LwA_XYZ'!Q37)</f>
        <v>57</v>
      </c>
      <c r="Q398" s="91" t="str">
        <f>IF($N398="","",-1*ROUND(_xlfn.XLOOKUP(Tables!$L$362,'Input LwA_XYZ'!$AY$1:$BM$1,'Input LwA_XYZ'!AY37:BM37),0) &amp; " / " &amp; ROUND(_xlfn.XLOOKUP(Tables!$L$362,'Input LwA_XYZ'!$AH$1:$AV$1,'Input LwA_XYZ'!AH37:AV37),0) &amp; " ft")</f>
        <v>41 / 151 ft</v>
      </c>
      <c r="R398" s="91" t="str">
        <f>IF($N398="","",IF(_xlfn.XLOOKUP(Tables!$L$362,'Input LwA_XYZ'!$BV$1:$CJ$1,'Input LwA_XYZ'!BV37:CJ37)="","-",_xlfn.XLOOKUP(Tables!$L$362,'Input LwA_XYZ'!$BV$1:$CJ$1,'Input LwA_XYZ'!BV37:CJ37)))</f>
        <v>-</v>
      </c>
      <c r="S398" s="91" t="str">
        <f>IF($N398="","",IF('Input LwA_XYZ'!S37="","-",'Input LwA_XYZ'!S37))</f>
        <v>-</v>
      </c>
      <c r="T398" s="65">
        <f>IF($N398="","",_xlfn.XLOOKUP(Tables!$L$362,'Input LwA_XYZ'!$DD$1:$DR$1,'Input LwA_XYZ'!DD37:DR37))</f>
        <v>15.774111416089106</v>
      </c>
    </row>
    <row r="399" spans="14:20" ht="16.5" x14ac:dyDescent="0.3">
      <c r="N399" s="190">
        <f>IF('Input LwA_XYZ'!A38 = 0, "", 'Input LwA_XYZ'!A38)</f>
        <v>1</v>
      </c>
      <c r="O399" s="189" t="str">
        <f>IF($N399="","",_xlfn.TEXTJOIN(" - ",TRUE,'Input LwA_XYZ'!B38:C38))</f>
        <v>BEF-R16  - Inlet</v>
      </c>
      <c r="P399" s="64">
        <f>IF($N399="","",'Input LwA_XYZ'!Q38)</f>
        <v>57</v>
      </c>
      <c r="Q399" s="91" t="str">
        <f>IF($N399="","",-1*ROUND(_xlfn.XLOOKUP(Tables!$L$362,'Input LwA_XYZ'!$AY$1:$BM$1,'Input LwA_XYZ'!AY38:BM38),0) &amp; " / " &amp; ROUND(_xlfn.XLOOKUP(Tables!$L$362,'Input LwA_XYZ'!$AH$1:$AV$1,'Input LwA_XYZ'!AH38:AV38),0) &amp; " ft")</f>
        <v>44 / 218 ft</v>
      </c>
      <c r="R399" s="91" t="str">
        <f>IF($N399="","",IF(_xlfn.XLOOKUP(Tables!$L$362,'Input LwA_XYZ'!$BV$1:$CJ$1,'Input LwA_XYZ'!BV38:CJ38)="","-",_xlfn.XLOOKUP(Tables!$L$362,'Input LwA_XYZ'!$BV$1:$CJ$1,'Input LwA_XYZ'!BV38:CJ38)))</f>
        <v>-</v>
      </c>
      <c r="S399" s="91" t="str">
        <f>IF($N399="","",IF('Input LwA_XYZ'!S38="","-",'Input LwA_XYZ'!S38))</f>
        <v>-</v>
      </c>
      <c r="T399" s="65">
        <f>IF($N399="","",_xlfn.XLOOKUP(Tables!$L$362,'Input LwA_XYZ'!$DD$1:$DR$1,'Input LwA_XYZ'!DD38:DR38))</f>
        <v>12.585684800234958</v>
      </c>
    </row>
    <row r="400" spans="14:20" ht="16.5" x14ac:dyDescent="0.3">
      <c r="N400" s="190" t="str">
        <f>IF('Input LwA_XYZ'!A39 = 0, "", 'Input LwA_XYZ'!A39)</f>
        <v/>
      </c>
      <c r="O400" s="189" t="str">
        <f>IF($N400="","",_xlfn.TEXTJOIN(" - ",TRUE,'Input LwA_XYZ'!B39:C39))</f>
        <v/>
      </c>
      <c r="P400" s="64" t="str">
        <f>IF($N400="","",'Input LwA_XYZ'!Q39)</f>
        <v/>
      </c>
      <c r="Q400" s="91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91" t="str">
        <f>IF($N400="","",IF(_xlfn.XLOOKUP(Tables!$L$362,'Input LwA_XYZ'!$BV$1:$CJ$1,'Input LwA_XYZ'!BV39:CJ39)="","-",_xlfn.XLOOKUP(Tables!$L$362,'Input LwA_XYZ'!$BV$1:$CJ$1,'Input LwA_XYZ'!BV39:CJ39)))</f>
        <v/>
      </c>
      <c r="S400" s="91" t="str">
        <f>IF($N400="","",IF('Input LwA_XYZ'!S39="","-",'Input LwA_XYZ'!S39))</f>
        <v/>
      </c>
      <c r="T400" s="65" t="str">
        <f>IF($N400="","",_xlfn.XLOOKUP(Tables!$L$362,'Input LwA_XYZ'!$DD$1:$DR$1,'Input LwA_XYZ'!DD39:DR39))</f>
        <v/>
      </c>
    </row>
    <row r="401" spans="14:20" ht="16.5" x14ac:dyDescent="0.3">
      <c r="N401" s="190" t="str">
        <f>IF('Input LwA_XYZ'!A40 = 0, "", 'Input LwA_XYZ'!A40)</f>
        <v/>
      </c>
      <c r="O401" s="189" t="str">
        <f>IF($N401="","",_xlfn.TEXTJOIN(" - ",TRUE,'Input LwA_XYZ'!B40:C40))</f>
        <v/>
      </c>
      <c r="P401" s="64" t="str">
        <f>IF($N401="","",'Input LwA_XYZ'!Q40)</f>
        <v/>
      </c>
      <c r="Q401" s="91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91" t="str">
        <f>IF($N401="","",IF(_xlfn.XLOOKUP(Tables!$L$362,'Input LwA_XYZ'!$BV$1:$CJ$1,'Input LwA_XYZ'!BV40:CJ40)="","-",_xlfn.XLOOKUP(Tables!$L$362,'Input LwA_XYZ'!$BV$1:$CJ$1,'Input LwA_XYZ'!BV40:CJ40)))</f>
        <v/>
      </c>
      <c r="S401" s="91" t="str">
        <f>IF($N401="","",IF('Input LwA_XYZ'!S40="","-",'Input LwA_XYZ'!S40))</f>
        <v/>
      </c>
      <c r="T401" s="65" t="str">
        <f>IF($N401="","",_xlfn.XLOOKUP(Tables!$L$362,'Input LwA_XYZ'!$DD$1:$DR$1,'Input LwA_XYZ'!DD40:DR40))</f>
        <v/>
      </c>
    </row>
    <row r="402" spans="14:20" ht="16.5" x14ac:dyDescent="0.3">
      <c r="N402" s="190" t="str">
        <f>IF('Input LwA_XYZ'!A41 = 0, "", 'Input LwA_XYZ'!A41)</f>
        <v/>
      </c>
      <c r="O402" s="189" t="str">
        <f>IF($N402="","",_xlfn.TEXTJOIN(" - ",TRUE,'Input LwA_XYZ'!B41:C41))</f>
        <v/>
      </c>
      <c r="P402" s="64" t="str">
        <f>IF($N402="","",'Input LwA_XYZ'!Q41)</f>
        <v/>
      </c>
      <c r="Q402" s="91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91" t="str">
        <f>IF($N402="","",IF(_xlfn.XLOOKUP(Tables!$L$362,'Input LwA_XYZ'!$BV$1:$CJ$1,'Input LwA_XYZ'!BV41:CJ41)="","-",_xlfn.XLOOKUP(Tables!$L$362,'Input LwA_XYZ'!$BV$1:$CJ$1,'Input LwA_XYZ'!BV41:CJ41)))</f>
        <v/>
      </c>
      <c r="S402" s="91" t="str">
        <f>IF($N402="","",IF('Input LwA_XYZ'!S41="","-",'Input LwA_XYZ'!S41))</f>
        <v/>
      </c>
      <c r="T402" s="65" t="str">
        <f>IF($N402="","",_xlfn.XLOOKUP(Tables!$L$362,'Input LwA_XYZ'!$DD$1:$DR$1,'Input LwA_XYZ'!DD41:DR41))</f>
        <v/>
      </c>
    </row>
    <row r="403" spans="14:20" ht="16.5" x14ac:dyDescent="0.3">
      <c r="N403" s="190" t="str">
        <f>IF('Input LwA_XYZ'!A42 = 0, "", 'Input LwA_XYZ'!A42)</f>
        <v/>
      </c>
      <c r="O403" s="189" t="str">
        <f>IF($N403="","",_xlfn.TEXTJOIN(" - ",TRUE,'Input LwA_XYZ'!B42:C42))</f>
        <v/>
      </c>
      <c r="P403" s="64" t="str">
        <f>IF($N403="","",'Input LwA_XYZ'!Q42)</f>
        <v/>
      </c>
      <c r="Q403" s="91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91" t="str">
        <f>IF($N403="","",IF(_xlfn.XLOOKUP(Tables!$L$362,'Input LwA_XYZ'!$BV$1:$CJ$1,'Input LwA_XYZ'!BV42:CJ42)="","-",_xlfn.XLOOKUP(Tables!$L$362,'Input LwA_XYZ'!$BV$1:$CJ$1,'Input LwA_XYZ'!BV42:CJ42)))</f>
        <v/>
      </c>
      <c r="S403" s="91" t="str">
        <f>IF($N403="","",IF('Input LwA_XYZ'!S42="","-",'Input LwA_XYZ'!S42))</f>
        <v/>
      </c>
      <c r="T403" s="65" t="str">
        <f>IF($N403="","",_xlfn.XLOOKUP(Tables!$L$362,'Input LwA_XYZ'!$DD$1:$DR$1,'Input LwA_XYZ'!DD42:DR42))</f>
        <v/>
      </c>
    </row>
    <row r="404" spans="14:20" ht="16.5" x14ac:dyDescent="0.3">
      <c r="N404" s="190" t="str">
        <f>IF('Input LwA_XYZ'!A43 = 0, "", 'Input LwA_XYZ'!A43)</f>
        <v/>
      </c>
      <c r="O404" s="189" t="str">
        <f>IF($N404="","",_xlfn.TEXTJOIN(" - ",TRUE,'Input LwA_XYZ'!B43:C43))</f>
        <v/>
      </c>
      <c r="P404" s="64" t="str">
        <f>IF($N404="","",'Input LwA_XYZ'!Q43)</f>
        <v/>
      </c>
      <c r="Q404" s="91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91" t="str">
        <f>IF($N404="","",IF(_xlfn.XLOOKUP(Tables!$L$362,'Input LwA_XYZ'!$BV$1:$CJ$1,'Input LwA_XYZ'!BV43:CJ43)="","-",_xlfn.XLOOKUP(Tables!$L$362,'Input LwA_XYZ'!$BV$1:$CJ$1,'Input LwA_XYZ'!BV43:CJ43)))</f>
        <v/>
      </c>
      <c r="S404" s="91" t="str">
        <f>IF($N404="","",IF('Input LwA_XYZ'!S43="","-",'Input LwA_XYZ'!S43))</f>
        <v/>
      </c>
      <c r="T404" s="65" t="str">
        <f>IF($N404="","",_xlfn.XLOOKUP(Tables!$L$362,'Input LwA_XYZ'!$DD$1:$DR$1,'Input LwA_XYZ'!DD43:DR43))</f>
        <v/>
      </c>
    </row>
    <row r="405" spans="14:20" ht="16.5" x14ac:dyDescent="0.3">
      <c r="N405" s="190" t="str">
        <f>IF('Input LwA_XYZ'!A44 = 0, "", 'Input LwA_XYZ'!A44)</f>
        <v/>
      </c>
      <c r="O405" s="189" t="str">
        <f>IF($N405="","",_xlfn.TEXTJOIN(" - ",TRUE,'Input LwA_XYZ'!B44:C44))</f>
        <v/>
      </c>
      <c r="P405" s="64" t="str">
        <f>IF($N405="","",'Input LwA_XYZ'!Q44)</f>
        <v/>
      </c>
      <c r="Q405" s="91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91" t="str">
        <f>IF($N405="","",IF(_xlfn.XLOOKUP(Tables!$L$362,'Input LwA_XYZ'!$BV$1:$CJ$1,'Input LwA_XYZ'!BV44:CJ44)="","-",_xlfn.XLOOKUP(Tables!$L$362,'Input LwA_XYZ'!$BV$1:$CJ$1,'Input LwA_XYZ'!BV44:CJ44)))</f>
        <v/>
      </c>
      <c r="S405" s="91" t="str">
        <f>IF($N405="","",IF('Input LwA_XYZ'!S44="","-",'Input LwA_XYZ'!S44))</f>
        <v/>
      </c>
      <c r="T405" s="65" t="str">
        <f>IF($N405="","",_xlfn.XLOOKUP(Tables!$L$362,'Input LwA_XYZ'!$DD$1:$DR$1,'Input LwA_XYZ'!DD44:DR44))</f>
        <v/>
      </c>
    </row>
    <row r="406" spans="14:20" ht="16.5" x14ac:dyDescent="0.3">
      <c r="N406" s="190" t="str">
        <f>IF('Input LwA_XYZ'!A45 = 0, "", 'Input LwA_XYZ'!A45)</f>
        <v/>
      </c>
      <c r="O406" s="189" t="str">
        <f>IF($N406="","",_xlfn.TEXTJOIN(" - ",TRUE,'Input LwA_XYZ'!B45:C45))</f>
        <v/>
      </c>
      <c r="P406" s="64" t="str">
        <f>IF($N406="","",'Input LwA_XYZ'!Q45)</f>
        <v/>
      </c>
      <c r="Q406" s="91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91" t="str">
        <f>IF($N406="","",IF(_xlfn.XLOOKUP(Tables!$L$362,'Input LwA_XYZ'!$BV$1:$CJ$1,'Input LwA_XYZ'!BV45:CJ45)="","-",_xlfn.XLOOKUP(Tables!$L$362,'Input LwA_XYZ'!$BV$1:$CJ$1,'Input LwA_XYZ'!BV45:CJ45)))</f>
        <v/>
      </c>
      <c r="S406" s="91" t="str">
        <f>IF($N406="","",IF('Input LwA_XYZ'!S45="","-",'Input LwA_XYZ'!S45))</f>
        <v/>
      </c>
      <c r="T406" s="65" t="str">
        <f>IF($N406="","",_xlfn.XLOOKUP(Tables!$L$362,'Input LwA_XYZ'!$DD$1:$DR$1,'Input LwA_XYZ'!DD45:DR45))</f>
        <v/>
      </c>
    </row>
    <row r="407" spans="14:20" ht="16.5" x14ac:dyDescent="0.3">
      <c r="N407" s="190" t="str">
        <f>IF('Input LwA_XYZ'!A46 = 0, "", 'Input LwA_XYZ'!A46)</f>
        <v/>
      </c>
      <c r="O407" s="189" t="str">
        <f>IF($N407="","",_xlfn.TEXTJOIN(" - ",TRUE,'Input LwA_XYZ'!B46:C46))</f>
        <v/>
      </c>
      <c r="P407" s="64" t="str">
        <f>IF($N407="","",'Input LwA_XYZ'!Q46)</f>
        <v/>
      </c>
      <c r="Q407" s="91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91" t="str">
        <f>IF($N407="","",IF(_xlfn.XLOOKUP(Tables!$L$362,'Input LwA_XYZ'!$BV$1:$CJ$1,'Input LwA_XYZ'!BV46:CJ46)="","-",_xlfn.XLOOKUP(Tables!$L$362,'Input LwA_XYZ'!$BV$1:$CJ$1,'Input LwA_XYZ'!BV46:CJ46)))</f>
        <v/>
      </c>
      <c r="S407" s="91" t="str">
        <f>IF($N407="","",IF('Input LwA_XYZ'!S46="","-",'Input LwA_XYZ'!S46))</f>
        <v/>
      </c>
      <c r="T407" s="65" t="str">
        <f>IF($N407="","",_xlfn.XLOOKUP(Tables!$L$362,'Input LwA_XYZ'!$DD$1:$DR$1,'Input LwA_XYZ'!DD46:DR46))</f>
        <v/>
      </c>
    </row>
    <row r="408" spans="14:20" ht="16.5" x14ac:dyDescent="0.3">
      <c r="N408" s="190" t="str">
        <f>IF('Input LwA_XYZ'!A47 = 0, "", 'Input LwA_XYZ'!A47)</f>
        <v/>
      </c>
      <c r="O408" s="189" t="str">
        <f>IF($N408="","",_xlfn.TEXTJOIN(" - ",TRUE,'Input LwA_XYZ'!B47:C47))</f>
        <v/>
      </c>
      <c r="P408" s="64" t="str">
        <f>IF($N408="","",'Input LwA_XYZ'!Q47)</f>
        <v/>
      </c>
      <c r="Q408" s="91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91" t="str">
        <f>IF($N408="","",IF(_xlfn.XLOOKUP(Tables!$L$362,'Input LwA_XYZ'!$BV$1:$CJ$1,'Input LwA_XYZ'!BV47:CJ47)="","-",_xlfn.XLOOKUP(Tables!$L$362,'Input LwA_XYZ'!$BV$1:$CJ$1,'Input LwA_XYZ'!BV47:CJ47)))</f>
        <v/>
      </c>
      <c r="S408" s="91" t="str">
        <f>IF($N408="","",IF('Input LwA_XYZ'!S47="","-",'Input LwA_XYZ'!S47))</f>
        <v/>
      </c>
      <c r="T408" s="65" t="str">
        <f>IF($N408="","",_xlfn.XLOOKUP(Tables!$L$362,'Input LwA_XYZ'!$DD$1:$DR$1,'Input LwA_XYZ'!DD47:DR47))</f>
        <v/>
      </c>
    </row>
    <row r="409" spans="14:20" ht="16.5" x14ac:dyDescent="0.3">
      <c r="N409" s="190" t="str">
        <f>IF('Input LwA_XYZ'!A48 = 0, "", 'Input LwA_XYZ'!A48)</f>
        <v/>
      </c>
      <c r="O409" s="189" t="str">
        <f>IF($N409="","",_xlfn.TEXTJOIN(" - ",TRUE,'Input LwA_XYZ'!B48:C48))</f>
        <v/>
      </c>
      <c r="P409" s="64" t="str">
        <f>IF($N409="","",'Input LwA_XYZ'!Q48)</f>
        <v/>
      </c>
      <c r="Q409" s="91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91" t="str">
        <f>IF($N409="","",IF(_xlfn.XLOOKUP(Tables!$L$362,'Input LwA_XYZ'!$BV$1:$CJ$1,'Input LwA_XYZ'!BV48:CJ48)="","-",_xlfn.XLOOKUP(Tables!$L$362,'Input LwA_XYZ'!$BV$1:$CJ$1,'Input LwA_XYZ'!BV48:CJ48)))</f>
        <v/>
      </c>
      <c r="S409" s="91" t="str">
        <f>IF($N409="","",IF('Input LwA_XYZ'!S48="","-",'Input LwA_XYZ'!S48))</f>
        <v/>
      </c>
      <c r="T409" s="65" t="str">
        <f>IF($N409="","",_xlfn.XLOOKUP(Tables!$L$362,'Input LwA_XYZ'!$DD$1:$DR$1,'Input LwA_XYZ'!DD48:DR48))</f>
        <v/>
      </c>
    </row>
    <row r="410" spans="14:20" ht="16.5" x14ac:dyDescent="0.3">
      <c r="N410" s="190" t="str">
        <f>IF('Input LwA_XYZ'!A49 = 0, "", 'Input LwA_XYZ'!A49)</f>
        <v/>
      </c>
      <c r="O410" s="189" t="str">
        <f>IF($N410="","",_xlfn.TEXTJOIN(" - ",TRUE,'Input LwA_XYZ'!B49:C49))</f>
        <v/>
      </c>
      <c r="P410" s="64" t="str">
        <f>IF($N410="","",'Input LwA_XYZ'!Q49)</f>
        <v/>
      </c>
      <c r="Q410" s="91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91" t="str">
        <f>IF($N410="","",IF(_xlfn.XLOOKUP(Tables!$L$362,'Input LwA_XYZ'!$BV$1:$CJ$1,'Input LwA_XYZ'!BV49:CJ49)="","-",_xlfn.XLOOKUP(Tables!$L$362,'Input LwA_XYZ'!$BV$1:$CJ$1,'Input LwA_XYZ'!BV49:CJ49)))</f>
        <v/>
      </c>
      <c r="S410" s="91" t="str">
        <f>IF($N410="","",IF('Input LwA_XYZ'!S49="","-",'Input LwA_XYZ'!S49))</f>
        <v/>
      </c>
      <c r="T410" s="65" t="str">
        <f>IF($N410="","",_xlfn.XLOOKUP(Tables!$L$362,'Input LwA_XYZ'!$DD$1:$DR$1,'Input LwA_XYZ'!DD49:DR49))</f>
        <v/>
      </c>
    </row>
    <row r="411" spans="14:20" ht="16.5" x14ac:dyDescent="0.3">
      <c r="N411" s="190" t="str">
        <f>IF('Input LwA_XYZ'!A50 = 0, "", 'Input LwA_XYZ'!A50)</f>
        <v/>
      </c>
      <c r="O411" s="189" t="str">
        <f>IF($N411="","",_xlfn.TEXTJOIN(" - ",TRUE,'Input LwA_XYZ'!B50:C50))</f>
        <v/>
      </c>
      <c r="P411" s="64" t="str">
        <f>IF($N411="","",'Input LwA_XYZ'!Q50)</f>
        <v/>
      </c>
      <c r="Q411" s="91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91" t="str">
        <f>IF($N411="","",IF(_xlfn.XLOOKUP(Tables!$L$362,'Input LwA_XYZ'!$BV$1:$CJ$1,'Input LwA_XYZ'!BV50:CJ50)="","-",_xlfn.XLOOKUP(Tables!$L$362,'Input LwA_XYZ'!$BV$1:$CJ$1,'Input LwA_XYZ'!BV50:CJ50)))</f>
        <v/>
      </c>
      <c r="S411" s="91" t="str">
        <f>IF($N411="","",IF('Input LwA_XYZ'!S50="","-",'Input LwA_XYZ'!S50))</f>
        <v/>
      </c>
      <c r="T411" s="65" t="str">
        <f>IF($N411="","",_xlfn.XLOOKUP(Tables!$L$362,'Input LwA_XYZ'!$DD$1:$DR$1,'Input LwA_XYZ'!DD50:DR50))</f>
        <v/>
      </c>
    </row>
    <row r="412" spans="14:20" ht="16.5" x14ac:dyDescent="0.3">
      <c r="N412" s="190" t="str">
        <f>IF('Input LwA_XYZ'!A51 = 0, "", 'Input LwA_XYZ'!A51)</f>
        <v/>
      </c>
      <c r="O412" s="189" t="str">
        <f>IF($N412="","",_xlfn.TEXTJOIN(" - ",TRUE,'Input LwA_XYZ'!B51:C51))</f>
        <v/>
      </c>
      <c r="P412" s="64" t="str">
        <f>IF($N412="","",'Input LwA_XYZ'!Q51)</f>
        <v/>
      </c>
      <c r="Q412" s="91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91" t="str">
        <f>IF($N412="","",IF(_xlfn.XLOOKUP(Tables!$L$362,'Input LwA_XYZ'!$BV$1:$CJ$1,'Input LwA_XYZ'!BV51:CJ51)="","-",_xlfn.XLOOKUP(Tables!$L$362,'Input LwA_XYZ'!$BV$1:$CJ$1,'Input LwA_XYZ'!BV51:CJ51)))</f>
        <v/>
      </c>
      <c r="S412" s="91" t="str">
        <f>IF($N412="","",IF('Input LwA_XYZ'!S51="","-",'Input LwA_XYZ'!S51))</f>
        <v/>
      </c>
      <c r="T412" s="65" t="str">
        <f>IF($N412="","",_xlfn.XLOOKUP(Tables!$L$362,'Input LwA_XYZ'!$DD$1:$DR$1,'Input LwA_XYZ'!DD51:DR51))</f>
        <v/>
      </c>
    </row>
    <row r="413" spans="14:20" ht="16.5" x14ac:dyDescent="0.3">
      <c r="N413" s="190" t="str">
        <f>IF('Input LwA_XYZ'!A52 = 0, "", 'Input LwA_XYZ'!A52)</f>
        <v/>
      </c>
      <c r="O413" s="189" t="str">
        <f>IF($N413="","",_xlfn.TEXTJOIN(" - ",TRUE,'Input LwA_XYZ'!B52:C52))</f>
        <v/>
      </c>
      <c r="P413" s="64" t="str">
        <f>IF($N413="","",'Input LwA_XYZ'!Q52)</f>
        <v/>
      </c>
      <c r="Q413" s="91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91" t="str">
        <f>IF($N413="","",IF(_xlfn.XLOOKUP(Tables!$L$362,'Input LwA_XYZ'!$BV$1:$CJ$1,'Input LwA_XYZ'!BV52:CJ52)="","-",_xlfn.XLOOKUP(Tables!$L$362,'Input LwA_XYZ'!$BV$1:$CJ$1,'Input LwA_XYZ'!BV52:CJ52)))</f>
        <v/>
      </c>
      <c r="S413" s="91" t="str">
        <f>IF($N413="","",IF('Input LwA_XYZ'!S52="","-",'Input LwA_XYZ'!S52))</f>
        <v/>
      </c>
      <c r="T413" s="65" t="str">
        <f>IF($N413="","",_xlfn.XLOOKUP(Tables!$L$362,'Input LwA_XYZ'!$DD$1:$DR$1,'Input LwA_XYZ'!DD52:DR52))</f>
        <v/>
      </c>
    </row>
    <row r="414" spans="14:20" ht="16.5" x14ac:dyDescent="0.3">
      <c r="N414" s="190" t="str">
        <f>IF('Input LwA_XYZ'!A53 = 0, "", 'Input LwA_XYZ'!A53)</f>
        <v/>
      </c>
      <c r="O414" s="189" t="str">
        <f>IF($N414="","",_xlfn.TEXTJOIN(" - ",TRUE,'Input LwA_XYZ'!B53:C53))</f>
        <v/>
      </c>
      <c r="P414" s="64" t="str">
        <f>IF($N414="","",'Input LwA_XYZ'!Q53)</f>
        <v/>
      </c>
      <c r="Q414" s="91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91" t="str">
        <f>IF($N414="","",IF(_xlfn.XLOOKUP(Tables!$L$362,'Input LwA_XYZ'!$BV$1:$CJ$1,'Input LwA_XYZ'!BV53:CJ53)="","-",_xlfn.XLOOKUP(Tables!$L$362,'Input LwA_XYZ'!$BV$1:$CJ$1,'Input LwA_XYZ'!BV53:CJ53)))</f>
        <v/>
      </c>
      <c r="S414" s="91" t="str">
        <f>IF($N414="","",IF('Input LwA_XYZ'!S53="","-",'Input LwA_XYZ'!S53))</f>
        <v/>
      </c>
      <c r="T414" s="65" t="str">
        <f>IF($N414="","",_xlfn.XLOOKUP(Tables!$L$362,'Input LwA_XYZ'!$DD$1:$DR$1,'Input LwA_XYZ'!DD53:DR53))</f>
        <v/>
      </c>
    </row>
    <row r="415" spans="14:20" ht="16.5" x14ac:dyDescent="0.3">
      <c r="N415" s="190" t="str">
        <f>IF('Input LwA_XYZ'!A54 = 0, "", 'Input LwA_XYZ'!A54)</f>
        <v/>
      </c>
      <c r="O415" s="189" t="str">
        <f>IF($N415="","",_xlfn.TEXTJOIN(" - ",TRUE,'Input LwA_XYZ'!B54:C54))</f>
        <v/>
      </c>
      <c r="P415" s="64" t="str">
        <f>IF($N415="","",'Input LwA_XYZ'!Q54)</f>
        <v/>
      </c>
      <c r="Q415" s="91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91" t="str">
        <f>IF($N415="","",IF(_xlfn.XLOOKUP(Tables!$L$362,'Input LwA_XYZ'!$BV$1:$CJ$1,'Input LwA_XYZ'!BV54:CJ54)="","-",_xlfn.XLOOKUP(Tables!$L$362,'Input LwA_XYZ'!$BV$1:$CJ$1,'Input LwA_XYZ'!BV54:CJ54)))</f>
        <v/>
      </c>
      <c r="S415" s="91" t="str">
        <f>IF($N415="","",IF('Input LwA_XYZ'!S54="","-",'Input LwA_XYZ'!S54))</f>
        <v/>
      </c>
      <c r="T415" s="65" t="str">
        <f>IF($N415="","",_xlfn.XLOOKUP(Tables!$L$362,'Input LwA_XYZ'!$DD$1:$DR$1,'Input LwA_XYZ'!DD54:DR54))</f>
        <v/>
      </c>
    </row>
    <row r="416" spans="14:20" ht="16.5" x14ac:dyDescent="0.3">
      <c r="N416" s="190" t="str">
        <f>IF('Input LwA_XYZ'!A55 = 0, "", 'Input LwA_XYZ'!A55)</f>
        <v/>
      </c>
      <c r="O416" s="189" t="str">
        <f>IF($N416="","",_xlfn.TEXTJOIN(" - ",TRUE,'Input LwA_XYZ'!B55:C55))</f>
        <v/>
      </c>
      <c r="P416" s="64" t="str">
        <f>IF($N416="","",'Input LwA_XYZ'!Q55)</f>
        <v/>
      </c>
      <c r="Q416" s="91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91" t="str">
        <f>IF($N416="","",IF(_xlfn.XLOOKUP(Tables!$L$362,'Input LwA_XYZ'!$BV$1:$CJ$1,'Input LwA_XYZ'!BV55:CJ55)="","-",_xlfn.XLOOKUP(Tables!$L$362,'Input LwA_XYZ'!$BV$1:$CJ$1,'Input LwA_XYZ'!BV55:CJ55)))</f>
        <v/>
      </c>
      <c r="S416" s="91" t="str">
        <f>IF($N416="","",IF('Input LwA_XYZ'!S55="","-",'Input LwA_XYZ'!S55))</f>
        <v/>
      </c>
      <c r="T416" s="65" t="str">
        <f>IF($N416="","",_xlfn.XLOOKUP(Tables!$L$362,'Input LwA_XYZ'!$DD$1:$DR$1,'Input LwA_XYZ'!DD55:DR55))</f>
        <v/>
      </c>
    </row>
    <row r="417" spans="12:20" ht="16.5" x14ac:dyDescent="0.3">
      <c r="N417" s="190" t="str">
        <f>IF('Input LwA_XYZ'!A56 = 0, "", 'Input LwA_XYZ'!A56)</f>
        <v/>
      </c>
      <c r="O417" s="189" t="str">
        <f>IF($N417="","",_xlfn.TEXTJOIN(" - ",TRUE,'Input LwA_XYZ'!B56:C56))</f>
        <v/>
      </c>
      <c r="P417" s="64" t="str">
        <f>IF($N417="","",'Input LwA_XYZ'!Q56)</f>
        <v/>
      </c>
      <c r="Q417" s="91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91" t="str">
        <f>IF($N417="","",IF(_xlfn.XLOOKUP(Tables!$L$362,'Input LwA_XYZ'!$BV$1:$CJ$1,'Input LwA_XYZ'!BV56:CJ56)="","-",_xlfn.XLOOKUP(Tables!$L$362,'Input LwA_XYZ'!$BV$1:$CJ$1,'Input LwA_XYZ'!BV56:CJ56)))</f>
        <v/>
      </c>
      <c r="S417" s="91" t="str">
        <f>IF($N417="","",IF('Input LwA_XYZ'!S56="","-",'Input LwA_XYZ'!S56))</f>
        <v/>
      </c>
      <c r="T417" s="65" t="str">
        <f>IF($N417="","",_xlfn.XLOOKUP(Tables!$L$362,'Input LwA_XYZ'!$DD$1:$DR$1,'Input LwA_XYZ'!DD56:DR56))</f>
        <v/>
      </c>
    </row>
    <row r="418" spans="12:20" ht="16.5" x14ac:dyDescent="0.3">
      <c r="N418" s="190" t="str">
        <f>IF('Input LwA_XYZ'!A57 = 0, "", 'Input LwA_XYZ'!A57)</f>
        <v/>
      </c>
      <c r="O418" s="189" t="str">
        <f>IF($N418="","",_xlfn.TEXTJOIN(" - ",TRUE,'Input LwA_XYZ'!B57:C57))</f>
        <v/>
      </c>
      <c r="P418" s="64" t="str">
        <f>IF($N418="","",'Input LwA_XYZ'!Q57)</f>
        <v/>
      </c>
      <c r="Q418" s="91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91" t="str">
        <f>IF($N418="","",IF(_xlfn.XLOOKUP(Tables!$L$362,'Input LwA_XYZ'!$BV$1:$CJ$1,'Input LwA_XYZ'!BV57:CJ57)="","-",_xlfn.XLOOKUP(Tables!$L$362,'Input LwA_XYZ'!$BV$1:$CJ$1,'Input LwA_XYZ'!BV57:CJ57)))</f>
        <v/>
      </c>
      <c r="S418" s="91" t="str">
        <f>IF($N418="","",IF('Input LwA_XYZ'!S57="","-",'Input LwA_XYZ'!S57))</f>
        <v/>
      </c>
      <c r="T418" s="65" t="str">
        <f>IF($N418="","",_xlfn.XLOOKUP(Tables!$L$362,'Input LwA_XYZ'!$DD$1:$DR$1,'Input LwA_XYZ'!DD57:DR57))</f>
        <v/>
      </c>
    </row>
    <row r="419" spans="12:20" ht="17.25" thickBot="1" x14ac:dyDescent="0.35">
      <c r="N419" s="191" t="str">
        <f>IF('Input LwA_XYZ'!A58 = 0, "", 'Input LwA_XYZ'!A58)</f>
        <v/>
      </c>
      <c r="O419" s="192" t="str">
        <f>IF($N419="","",_xlfn.TEXTJOIN(" - ",TRUE,'Input LwA_XYZ'!B58:C58))</f>
        <v/>
      </c>
      <c r="P419" s="99" t="str">
        <f>IF($N419="","",'Input LwA_XYZ'!Q58)</f>
        <v/>
      </c>
      <c r="Q419" s="100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91" t="str">
        <f>IF($N419="","",IF(_xlfn.XLOOKUP(Tables!$L$362,'Input LwA_XYZ'!$BV$1:$CJ$1,'Input LwA_XYZ'!BV58:CJ58)="","-",_xlfn.XLOOKUP(Tables!$L$362,'Input LwA_XYZ'!$BV$1:$CJ$1,'Input LwA_XYZ'!BV58:CJ58)))</f>
        <v/>
      </c>
      <c r="S419" s="91" t="str">
        <f>IF($N419="","",IF('Input LwA_XYZ'!S58="","-",'Input LwA_XYZ'!S58))</f>
        <v/>
      </c>
      <c r="T419" s="66" t="str">
        <f>IF($N419="","",_xlfn.XLOOKUP(Tables!$L$362,'Input LwA_XYZ'!$DD$1:$DR$1,'Input LwA_XYZ'!DD58:DR58))</f>
        <v/>
      </c>
    </row>
    <row r="420" spans="12:20" ht="17.25" thickBot="1" x14ac:dyDescent="0.35">
      <c r="N420" s="101" t="s">
        <v>85</v>
      </c>
      <c r="O420" s="102"/>
      <c r="P420" s="102"/>
      <c r="Q420" s="102"/>
      <c r="R420" s="102"/>
      <c r="S420" s="103"/>
      <c r="T420" s="108" t="str">
        <f>_xlfn.XLOOKUP(Tables!$L$362,'Input LwA_XYZ'!$Z$2:$Z$16,'Input LwA_XYZ'!$AE$2:$AE$16)</f>
        <v/>
      </c>
    </row>
    <row r="421" spans="12:20" ht="15.75" thickBot="1" x14ac:dyDescent="0.3"/>
    <row r="422" spans="12:20" ht="33.75" thickBot="1" x14ac:dyDescent="0.35">
      <c r="L422" s="69" t="s">
        <v>246</v>
      </c>
      <c r="N422" s="93" t="s">
        <v>79</v>
      </c>
      <c r="O422" s="94" t="s">
        <v>80</v>
      </c>
      <c r="P422" s="95" t="s">
        <v>81</v>
      </c>
      <c r="Q422" s="95" t="s">
        <v>82</v>
      </c>
      <c r="R422" s="96" t="s">
        <v>83</v>
      </c>
      <c r="S422" s="97" t="s">
        <v>84</v>
      </c>
      <c r="T422" s="98" t="s">
        <v>78</v>
      </c>
    </row>
    <row r="423" spans="12:20" ht="16.5" x14ac:dyDescent="0.3">
      <c r="N423" s="188">
        <f>IF('Input LwA_XYZ'!A2 = 0, "", 'Input LwA_XYZ'!A2)</f>
        <v>1</v>
      </c>
      <c r="O423" s="189" t="str">
        <f>IF($N423="","",_xlfn.TEXTJOIN(" - ",TRUE,'Input LwA_XYZ'!B2:C2))</f>
        <v>MAU-R1 - Ducted Inlet</v>
      </c>
      <c r="P423" s="90">
        <f>IF($N423="","",'Input LwA_XYZ'!Q2)</f>
        <v>86</v>
      </c>
      <c r="Q423" s="91" t="str">
        <f>IF($N423="","",-1*ROUND(_xlfn.XLOOKUP(Tables!$L$422,'Input LwA_XYZ'!$AY$1:$BM$1,'Input LwA_XYZ'!AY2:BM2),0) &amp; " / " &amp; ROUND(_xlfn.XLOOKUP(Tables!$L$422,'Input LwA_XYZ'!$AH$1:$AV$1,'Input LwA_XYZ'!AH2:AV2),0) &amp; " ft")</f>
        <v>42 / 162 ft</v>
      </c>
      <c r="R423" s="91" t="str">
        <f>IF($N423="","",IF(_xlfn.XLOOKUP(Tables!$L$422,'Input LwA_XYZ'!$BV$1:$CJ$1,'Input LwA_XYZ'!BV2:CJ2)="","-",_xlfn.XLOOKUP(Tables!$L$422,'Input LwA_XYZ'!$BV$1:$CJ$1,'Input LwA_XYZ'!BV2:CJ2)))</f>
        <v>-</v>
      </c>
      <c r="S423" s="91" t="str">
        <f>IF($N423="","",IF('Input LwA_XYZ'!S2="","-",'Input LwA_XYZ'!S2))</f>
        <v>-</v>
      </c>
      <c r="T423" s="92">
        <f>IF($N423="","",_xlfn.XLOOKUP(Tables!$L$422,'Input LwA_XYZ'!$DD$1:$DR$1,'Input LwA_XYZ'!DD2:DR2))</f>
        <v>44.138152188324661</v>
      </c>
    </row>
    <row r="424" spans="12:20" ht="16.5" x14ac:dyDescent="0.3">
      <c r="N424" s="190">
        <f>IF('Input LwA_XYZ'!A3 = 0, "", 'Input LwA_XYZ'!A3)</f>
        <v>1</v>
      </c>
      <c r="O424" s="189" t="str">
        <f>IF($N424="","",_xlfn.TEXTJOIN(" - ",TRUE,'Input LwA_XYZ'!B3:C3))</f>
        <v>ERV-R.1 - Outdoor+Casing+Exhaust</v>
      </c>
      <c r="P424" s="64">
        <f>IF($N424="","",'Input LwA_XYZ'!Q3)</f>
        <v>91</v>
      </c>
      <c r="Q424" s="91" t="str">
        <f>IF($N424="","",-1*ROUND(_xlfn.XLOOKUP(Tables!$L$422,'Input LwA_XYZ'!$AY$1:$BM$1,'Input LwA_XYZ'!AY3:BM3),0) &amp; " / " &amp; ROUND(_xlfn.XLOOKUP(Tables!$L$422,'Input LwA_XYZ'!$AH$1:$AV$1,'Input LwA_XYZ'!AH3:AV3),0) &amp; " ft")</f>
        <v>44 / 209 ft</v>
      </c>
      <c r="R424" s="91" t="str">
        <f>IF($N424="","",IF(_xlfn.XLOOKUP(Tables!$L$422,'Input LwA_XYZ'!$BV$1:$CJ$1,'Input LwA_XYZ'!BV3:CJ3)="","-",_xlfn.XLOOKUP(Tables!$L$422,'Input LwA_XYZ'!$BV$1:$CJ$1,'Input LwA_XYZ'!BV3:CJ3)))</f>
        <v>-</v>
      </c>
      <c r="S424" s="91" t="str">
        <f>IF($N424="","",IF('Input LwA_XYZ'!S3="","-",'Input LwA_XYZ'!S3))</f>
        <v>-</v>
      </c>
      <c r="T424" s="65">
        <f>IF($N424="","",_xlfn.XLOOKUP(Tables!$L$422,'Input LwA_XYZ'!$DD$1:$DR$1,'Input LwA_XYZ'!DD3:DR3))</f>
        <v>46.916163500616804</v>
      </c>
    </row>
    <row r="425" spans="12:20" ht="16.5" x14ac:dyDescent="0.3">
      <c r="N425" s="190">
        <f>IF('Input LwA_XYZ'!A4 = 0, "", 'Input LwA_XYZ'!A4)</f>
        <v>1</v>
      </c>
      <c r="O425" s="189" t="str">
        <f>IF($N425="","",_xlfn.TEXTJOIN(" - ",TRUE,'Input LwA_XYZ'!B4:C4))</f>
        <v>GEF-R1  - Inlet (plus ductwork lined)</v>
      </c>
      <c r="P425" s="64">
        <f>IF($N425="","",'Input LwA_XYZ'!Q4)</f>
        <v>82</v>
      </c>
      <c r="Q425" s="91" t="str">
        <f>IF($N425="","",-1*ROUND(_xlfn.XLOOKUP(Tables!$L$422,'Input LwA_XYZ'!$AY$1:$BM$1,'Input LwA_XYZ'!AY4:BM4),0) &amp; " / " &amp; ROUND(_xlfn.XLOOKUP(Tables!$L$422,'Input LwA_XYZ'!$AH$1:$AV$1,'Input LwA_XYZ'!AH4:AV4),0) &amp; " ft")</f>
        <v>45 / 227 ft</v>
      </c>
      <c r="R425" s="91" t="str">
        <f>IF($N425="","",IF(_xlfn.XLOOKUP(Tables!$L$422,'Input LwA_XYZ'!$BV$1:$CJ$1,'Input LwA_XYZ'!BV4:CJ4)="","-",_xlfn.XLOOKUP(Tables!$L$422,'Input LwA_XYZ'!$BV$1:$CJ$1,'Input LwA_XYZ'!BV4:CJ4)))</f>
        <v>-</v>
      </c>
      <c r="S425" s="91">
        <f>IF($N425="","",IF('Input LwA_XYZ'!S4="","-",'Input LwA_XYZ'!S4))</f>
        <v>13</v>
      </c>
      <c r="T425" s="65">
        <f>IF($N425="","",_xlfn.XLOOKUP(Tables!$L$422,'Input LwA_XYZ'!$DD$1:$DR$1,'Input LwA_XYZ'!DD4:DR4))</f>
        <v>24.209702003731167</v>
      </c>
    </row>
    <row r="426" spans="12:20" ht="16.5" x14ac:dyDescent="0.3">
      <c r="N426" s="190">
        <f>IF('Input LwA_XYZ'!A5 = 0, "", 'Input LwA_XYZ'!A5)</f>
        <v>1</v>
      </c>
      <c r="O426" s="189" t="str">
        <f>IF($N426="","",_xlfn.TEXTJOIN(" - ",TRUE,'Input LwA_XYZ'!B5:C5))</f>
        <v>DEF-R1, R2 - Inlet</v>
      </c>
      <c r="P426" s="64">
        <f>IF($N426="","",'Input LwA_XYZ'!Q5)</f>
        <v>70</v>
      </c>
      <c r="Q426" s="91" t="str">
        <f>IF($N426="","",-1*ROUND(_xlfn.XLOOKUP(Tables!$L$422,'Input LwA_XYZ'!$AY$1:$BM$1,'Input LwA_XYZ'!AY5:BM5),0) &amp; " / " &amp; ROUND(_xlfn.XLOOKUP(Tables!$L$422,'Input LwA_XYZ'!$AH$1:$AV$1,'Input LwA_XYZ'!AH5:AV5),0) &amp; " ft")</f>
        <v>45 / 221 ft</v>
      </c>
      <c r="R426" s="91" t="str">
        <f>IF($N426="","",IF(_xlfn.XLOOKUP(Tables!$L$422,'Input LwA_XYZ'!$BV$1:$CJ$1,'Input LwA_XYZ'!BV5:CJ5)="","-",_xlfn.XLOOKUP(Tables!$L$422,'Input LwA_XYZ'!$BV$1:$CJ$1,'Input LwA_XYZ'!BV5:CJ5)))</f>
        <v>-</v>
      </c>
      <c r="S426" s="91" t="str">
        <f>IF($N426="","",IF('Input LwA_XYZ'!S5="","-",'Input LwA_XYZ'!S5))</f>
        <v>-</v>
      </c>
      <c r="T426" s="65">
        <f>IF($N426="","",_xlfn.XLOOKUP(Tables!$L$422,'Input LwA_XYZ'!$DD$1:$DR$1,'Input LwA_XYZ'!DD5:DR5))</f>
        <v>25.440965737971545</v>
      </c>
    </row>
    <row r="427" spans="12:20" ht="16.5" x14ac:dyDescent="0.3">
      <c r="N427" s="190">
        <f>IF('Input LwA_XYZ'!A6 = 0, "", 'Input LwA_XYZ'!A6)</f>
        <v>1</v>
      </c>
      <c r="O427" s="189" t="str">
        <f>IF($N427="","",_xlfn.TEXTJOIN(" - ",TRUE,'Input LwA_XYZ'!B6:C6))</f>
        <v>KEF-R1  - Inlet</v>
      </c>
      <c r="P427" s="64">
        <f>IF($N427="","",'Input LwA_XYZ'!Q6)</f>
        <v>80</v>
      </c>
      <c r="Q427" s="91" t="str">
        <f>IF($N427="","",-1*ROUND(_xlfn.XLOOKUP(Tables!$L$422,'Input LwA_XYZ'!$AY$1:$BM$1,'Input LwA_XYZ'!AY6:BM6),0) &amp; " / " &amp; ROUND(_xlfn.XLOOKUP(Tables!$L$422,'Input LwA_XYZ'!$AH$1:$AV$1,'Input LwA_XYZ'!AH6:AV6),0) &amp; " ft")</f>
        <v>41 / 143 ft</v>
      </c>
      <c r="R427" s="91" t="str">
        <f>IF($N427="","",IF(_xlfn.XLOOKUP(Tables!$L$422,'Input LwA_XYZ'!$BV$1:$CJ$1,'Input LwA_XYZ'!BV6:CJ6)="","-",_xlfn.XLOOKUP(Tables!$L$422,'Input LwA_XYZ'!$BV$1:$CJ$1,'Input LwA_XYZ'!BV6:CJ6)))</f>
        <v>-</v>
      </c>
      <c r="S427" s="91" t="str">
        <f>IF($N427="","",IF('Input LwA_XYZ'!S6="","-",'Input LwA_XYZ'!S6))</f>
        <v>-</v>
      </c>
      <c r="T427" s="65">
        <f>IF($N427="","",_xlfn.XLOOKUP(Tables!$L$422,'Input LwA_XYZ'!$DD$1:$DR$1,'Input LwA_XYZ'!DD6:DR6))</f>
        <v>39.206517993449772</v>
      </c>
    </row>
    <row r="428" spans="12:20" ht="16.5" x14ac:dyDescent="0.3">
      <c r="N428" s="190">
        <f>IF('Input LwA_XYZ'!A7 = 0, "", 'Input LwA_XYZ'!A7)</f>
        <v>1</v>
      </c>
      <c r="O428" s="189" t="str">
        <f>IF($N428="","",_xlfn.TEXTJOIN(" - ",TRUE,'Input LwA_XYZ'!B7:C7))</f>
        <v>DWEF-R1 - Inlet</v>
      </c>
      <c r="P428" s="64">
        <f>IF($N428="","",'Input LwA_XYZ'!Q7)</f>
        <v>71</v>
      </c>
      <c r="Q428" s="91" t="str">
        <f>IF($N428="","",-1*ROUND(_xlfn.XLOOKUP(Tables!$L$422,'Input LwA_XYZ'!$AY$1:$BM$1,'Input LwA_XYZ'!AY7:BM7),0) &amp; " / " &amp; ROUND(_xlfn.XLOOKUP(Tables!$L$422,'Input LwA_XYZ'!$AH$1:$AV$1,'Input LwA_XYZ'!AH7:AV7),0) &amp; " ft")</f>
        <v>41 / 153 ft</v>
      </c>
      <c r="R428" s="91" t="str">
        <f>IF($N428="","",IF(_xlfn.XLOOKUP(Tables!$L$422,'Input LwA_XYZ'!$BV$1:$CJ$1,'Input LwA_XYZ'!BV7:CJ7)="","-",_xlfn.XLOOKUP(Tables!$L$422,'Input LwA_XYZ'!$BV$1:$CJ$1,'Input LwA_XYZ'!BV7:CJ7)))</f>
        <v>-</v>
      </c>
      <c r="S428" s="91" t="str">
        <f>IF($N428="","",IF('Input LwA_XYZ'!S7="","-",'Input LwA_XYZ'!S7))</f>
        <v>-</v>
      </c>
      <c r="T428" s="65">
        <f>IF($N428="","",_xlfn.XLOOKUP(Tables!$L$422,'Input LwA_XYZ'!$DD$1:$DR$1,'Input LwA_XYZ'!DD7:DR7))</f>
        <v>29.624386760746141</v>
      </c>
    </row>
    <row r="429" spans="12:20" ht="16.5" x14ac:dyDescent="0.3">
      <c r="N429" s="190">
        <f>IF('Input LwA_XYZ'!A8 = 0, "", 'Input LwA_XYZ'!A8)</f>
        <v>1</v>
      </c>
      <c r="O429" s="189" t="str">
        <f>IF($N429="","",_xlfn.TEXTJOIN(" - ",TRUE,'Input LwA_XYZ'!B8:C8))</f>
        <v>CU-R1 - Radiated</v>
      </c>
      <c r="P429" s="64">
        <f>IF($N429="","",'Input LwA_XYZ'!Q8)</f>
        <v>84</v>
      </c>
      <c r="Q429" s="91" t="str">
        <f>IF($N429="","",-1*ROUND(_xlfn.XLOOKUP(Tables!$L$422,'Input LwA_XYZ'!$AY$1:$BM$1,'Input LwA_XYZ'!AY8:BM8),0) &amp; " / " &amp; ROUND(_xlfn.XLOOKUP(Tables!$L$422,'Input LwA_XYZ'!$AH$1:$AV$1,'Input LwA_XYZ'!AH8:AV8),0) &amp; " ft")</f>
        <v>43 / 196 ft</v>
      </c>
      <c r="R429" s="91" t="str">
        <f>IF($N429="","",IF(_xlfn.XLOOKUP(Tables!$L$422,'Input LwA_XYZ'!$BV$1:$CJ$1,'Input LwA_XYZ'!BV8:CJ8)="","-",_xlfn.XLOOKUP(Tables!$L$422,'Input LwA_XYZ'!$BV$1:$CJ$1,'Input LwA_XYZ'!BV8:CJ8)))</f>
        <v>-</v>
      </c>
      <c r="S429" s="91" t="str">
        <f>IF($N429="","",IF('Input LwA_XYZ'!S8="","-",'Input LwA_XYZ'!S8))</f>
        <v>-</v>
      </c>
      <c r="T429" s="65">
        <f>IF($N429="","",_xlfn.XLOOKUP(Tables!$L$422,'Input LwA_XYZ'!$DD$1:$DR$1,'Input LwA_XYZ'!DD8:DR8))</f>
        <v>40.502360776769571</v>
      </c>
    </row>
    <row r="430" spans="12:20" ht="16.5" x14ac:dyDescent="0.3">
      <c r="N430" s="190">
        <f>IF('Input LwA_XYZ'!A9 = 0, "", 'Input LwA_XYZ'!A9)</f>
        <v>1</v>
      </c>
      <c r="O430" s="189" t="str">
        <f>IF($N430="","",_xlfn.TEXTJOIN(" - ",TRUE,'Input LwA_XYZ'!B9:C9))</f>
        <v>CU-R2 - Radiated</v>
      </c>
      <c r="P430" s="64">
        <f>IF($N430="","",'Input LwA_XYZ'!Q9)</f>
        <v>81</v>
      </c>
      <c r="Q430" s="91" t="str">
        <f>IF($N430="","",-1*ROUND(_xlfn.XLOOKUP(Tables!$L$422,'Input LwA_XYZ'!$AY$1:$BM$1,'Input LwA_XYZ'!AY9:BM9),0) &amp; " / " &amp; ROUND(_xlfn.XLOOKUP(Tables!$L$422,'Input LwA_XYZ'!$AH$1:$AV$1,'Input LwA_XYZ'!AH9:AV9),0) &amp; " ft")</f>
        <v>43 / 191 ft</v>
      </c>
      <c r="R430" s="91" t="str">
        <f>IF($N430="","",IF(_xlfn.XLOOKUP(Tables!$L$422,'Input LwA_XYZ'!$BV$1:$CJ$1,'Input LwA_XYZ'!BV9:CJ9)="","-",_xlfn.XLOOKUP(Tables!$L$422,'Input LwA_XYZ'!$BV$1:$CJ$1,'Input LwA_XYZ'!BV9:CJ9)))</f>
        <v>-</v>
      </c>
      <c r="S430" s="91" t="str">
        <f>IF($N430="","",IF('Input LwA_XYZ'!S9="","-",'Input LwA_XYZ'!S9))</f>
        <v>-</v>
      </c>
      <c r="T430" s="65">
        <f>IF($N430="","",_xlfn.XLOOKUP(Tables!$L$422,'Input LwA_XYZ'!$DD$1:$DR$1,'Input LwA_XYZ'!DD9:DR9))</f>
        <v>37.707259956290457</v>
      </c>
    </row>
    <row r="431" spans="12:20" ht="16.5" x14ac:dyDescent="0.3">
      <c r="N431" s="190">
        <f>IF('Input LwA_XYZ'!A10 = 0, "", 'Input LwA_XYZ'!A10)</f>
        <v>1</v>
      </c>
      <c r="O431" s="189" t="str">
        <f>IF($N431="","",_xlfn.TEXTJOIN(" - ",TRUE,'Input LwA_XYZ'!B10:C10))</f>
        <v>CU-R4 - Radiated</v>
      </c>
      <c r="P431" s="64">
        <f>IF($N431="","",'Input LwA_XYZ'!Q10)</f>
        <v>73</v>
      </c>
      <c r="Q431" s="91" t="str">
        <f>IF($N431="","",-1*ROUND(_xlfn.XLOOKUP(Tables!$L$422,'Input LwA_XYZ'!$AY$1:$BM$1,'Input LwA_XYZ'!AY10:BM10),0) &amp; " / " &amp; ROUND(_xlfn.XLOOKUP(Tables!$L$422,'Input LwA_XYZ'!$AH$1:$AV$1,'Input LwA_XYZ'!AH10:AV10),0) &amp; " ft")</f>
        <v>44 / 203 ft</v>
      </c>
      <c r="R431" s="91" t="str">
        <f>IF($N431="","",IF(_xlfn.XLOOKUP(Tables!$L$422,'Input LwA_XYZ'!$BV$1:$CJ$1,'Input LwA_XYZ'!BV10:CJ10)="","-",_xlfn.XLOOKUP(Tables!$L$422,'Input LwA_XYZ'!$BV$1:$CJ$1,'Input LwA_XYZ'!BV10:CJ10)))</f>
        <v>-</v>
      </c>
      <c r="S431" s="91" t="str">
        <f>IF($N431="","",IF('Input LwA_XYZ'!S10="","-",'Input LwA_XYZ'!S10))</f>
        <v>-</v>
      </c>
      <c r="T431" s="65">
        <f>IF($N431="","",_xlfn.XLOOKUP(Tables!$L$422,'Input LwA_XYZ'!$DD$1:$DR$1,'Input LwA_XYZ'!DD10:DR10))</f>
        <v>29.203095283617799</v>
      </c>
    </row>
    <row r="432" spans="12:20" ht="16.5" x14ac:dyDescent="0.3">
      <c r="N432" s="190">
        <f>IF('Input LwA_XYZ'!A11 = 0, "", 'Input LwA_XYZ'!A11)</f>
        <v>1</v>
      </c>
      <c r="O432" s="189" t="str">
        <f>IF($N432="","",_xlfn.TEXTJOIN(" - ",TRUE,'Input LwA_XYZ'!B11:C11))</f>
        <v>CU-R5 - Radiated</v>
      </c>
      <c r="P432" s="64">
        <f>IF($N432="","",'Input LwA_XYZ'!Q11)</f>
        <v>75</v>
      </c>
      <c r="Q432" s="91" t="str">
        <f>IF($N432="","",-1*ROUND(_xlfn.XLOOKUP(Tables!$L$422,'Input LwA_XYZ'!$AY$1:$BM$1,'Input LwA_XYZ'!AY11:BM11),0) &amp; " / " &amp; ROUND(_xlfn.XLOOKUP(Tables!$L$422,'Input LwA_XYZ'!$AH$1:$AV$1,'Input LwA_XYZ'!AH11:AV11),0) &amp; " ft")</f>
        <v>42 / 171 ft</v>
      </c>
      <c r="R432" s="91" t="str">
        <f>IF($N432="","",IF(_xlfn.XLOOKUP(Tables!$L$422,'Input LwA_XYZ'!$BV$1:$CJ$1,'Input LwA_XYZ'!BV11:CJ11)="","-",_xlfn.XLOOKUP(Tables!$L$422,'Input LwA_XYZ'!$BV$1:$CJ$1,'Input LwA_XYZ'!BV11:CJ11)))</f>
        <v>-</v>
      </c>
      <c r="S432" s="91" t="str">
        <f>IF($N432="","",IF('Input LwA_XYZ'!S11="","-",'Input LwA_XYZ'!S11))</f>
        <v>-</v>
      </c>
      <c r="T432" s="65">
        <f>IF($N432="","",_xlfn.XLOOKUP(Tables!$L$422,'Input LwA_XYZ'!$DD$1:$DR$1,'Input LwA_XYZ'!DD11:DR11))</f>
        <v>32.671354572324766</v>
      </c>
    </row>
    <row r="433" spans="14:20" ht="16.5" x14ac:dyDescent="0.3">
      <c r="N433" s="190">
        <f>IF('Input LwA_XYZ'!A12 = 0, "", 'Input LwA_XYZ'!A12)</f>
        <v>4</v>
      </c>
      <c r="O433" s="189" t="str">
        <f>IF($N433="","",_xlfn.TEXTJOIN(" - ",TRUE,'Input LwA_XYZ'!B12:C12))</f>
        <v>RCU-R(4p)1 - Radiated</v>
      </c>
      <c r="P433" s="64">
        <f>IF($N433="","",'Input LwA_XYZ'!Q12)</f>
        <v>79.020599913279625</v>
      </c>
      <c r="Q433" s="91" t="str">
        <f>IF($N433="","",-1*ROUND(_xlfn.XLOOKUP(Tables!$L$422,'Input LwA_XYZ'!$AY$1:$BM$1,'Input LwA_XYZ'!AY12:BM12),0) &amp; " / " &amp; ROUND(_xlfn.XLOOKUP(Tables!$L$422,'Input LwA_XYZ'!$AH$1:$AV$1,'Input LwA_XYZ'!AH12:AV12),0) &amp; " ft")</f>
        <v>45 / 246 ft</v>
      </c>
      <c r="R433" s="91" t="str">
        <f>IF($N433="","",IF(_xlfn.XLOOKUP(Tables!$L$422,'Input LwA_XYZ'!$BV$1:$CJ$1,'Input LwA_XYZ'!BV12:CJ12)="","-",_xlfn.XLOOKUP(Tables!$L$422,'Input LwA_XYZ'!$BV$1:$CJ$1,'Input LwA_XYZ'!BV12:CJ12)))</f>
        <v>-</v>
      </c>
      <c r="S433" s="91" t="str">
        <f>IF($N433="","",IF('Input LwA_XYZ'!S12="","-",'Input LwA_XYZ'!S12))</f>
        <v>-</v>
      </c>
      <c r="T433" s="65">
        <f>IF($N433="","",_xlfn.XLOOKUP(Tables!$L$422,'Input LwA_XYZ'!$DD$1:$DR$1,'Input LwA_XYZ'!DD12:DR12))</f>
        <v>33.536483243585444</v>
      </c>
    </row>
    <row r="434" spans="14:20" ht="16.5" x14ac:dyDescent="0.3">
      <c r="N434" s="190">
        <f>IF('Input LwA_XYZ'!A13 = 0, "", 'Input LwA_XYZ'!A13)</f>
        <v>4</v>
      </c>
      <c r="O434" s="189" t="str">
        <f>IF($N434="","",_xlfn.TEXTJOIN(" - ",TRUE,'Input LwA_XYZ'!B13:C13))</f>
        <v>RCU-R(4p)2 - Radiated</v>
      </c>
      <c r="P434" s="64">
        <f>IF($N434="","",'Input LwA_XYZ'!Q13)</f>
        <v>79.020599913279625</v>
      </c>
      <c r="Q434" s="91" t="str">
        <f>IF($N434="","",-1*ROUND(_xlfn.XLOOKUP(Tables!$L$422,'Input LwA_XYZ'!$AY$1:$BM$1,'Input LwA_XYZ'!AY13:BM13),0) &amp; " / " &amp; ROUND(_xlfn.XLOOKUP(Tables!$L$422,'Input LwA_XYZ'!$AH$1:$AV$1,'Input LwA_XYZ'!AH13:AV13),0) &amp; " ft")</f>
        <v>45 / 230 ft</v>
      </c>
      <c r="R434" s="91" t="str">
        <f>IF($N434="","",IF(_xlfn.XLOOKUP(Tables!$L$422,'Input LwA_XYZ'!$BV$1:$CJ$1,'Input LwA_XYZ'!BV13:CJ13)="","-",_xlfn.XLOOKUP(Tables!$L$422,'Input LwA_XYZ'!$BV$1:$CJ$1,'Input LwA_XYZ'!BV13:CJ13)))</f>
        <v>-</v>
      </c>
      <c r="S434" s="91" t="str">
        <f>IF($N434="","",IF('Input LwA_XYZ'!S13="","-",'Input LwA_XYZ'!S13))</f>
        <v>-</v>
      </c>
      <c r="T434" s="65">
        <f>IF($N434="","",_xlfn.XLOOKUP(Tables!$L$422,'Input LwA_XYZ'!$DD$1:$DR$1,'Input LwA_XYZ'!DD13:DR13))</f>
        <v>34.11378069640692</v>
      </c>
    </row>
    <row r="435" spans="14:20" ht="16.5" x14ac:dyDescent="0.3">
      <c r="N435" s="190">
        <f>IF('Input LwA_XYZ'!A14 = 0, "", 'Input LwA_XYZ'!A14)</f>
        <v>4</v>
      </c>
      <c r="O435" s="189" t="str">
        <f>IF($N435="","",_xlfn.TEXTJOIN(" - ",TRUE,'Input LwA_XYZ'!B14:C14))</f>
        <v>RCU-R(4p)3 - Radiated</v>
      </c>
      <c r="P435" s="64">
        <f>IF($N435="","",'Input LwA_XYZ'!Q14)</f>
        <v>79.020599913279625</v>
      </c>
      <c r="Q435" s="91" t="str">
        <f>IF($N435="","",-1*ROUND(_xlfn.XLOOKUP(Tables!$L$422,'Input LwA_XYZ'!$AY$1:$BM$1,'Input LwA_XYZ'!AY14:BM14),0) &amp; " / " &amp; ROUND(_xlfn.XLOOKUP(Tables!$L$422,'Input LwA_XYZ'!$AH$1:$AV$1,'Input LwA_XYZ'!AH14:AV14),0) &amp; " ft")</f>
        <v>44 / 202 ft</v>
      </c>
      <c r="R435" s="91" t="str">
        <f>IF($N435="","",IF(_xlfn.XLOOKUP(Tables!$L$422,'Input LwA_XYZ'!$BV$1:$CJ$1,'Input LwA_XYZ'!BV14:CJ14)="","-",_xlfn.XLOOKUP(Tables!$L$422,'Input LwA_XYZ'!$BV$1:$CJ$1,'Input LwA_XYZ'!BV14:CJ14)))</f>
        <v>-</v>
      </c>
      <c r="S435" s="91" t="str">
        <f>IF($N435="","",IF('Input LwA_XYZ'!S14="","-",'Input LwA_XYZ'!S14))</f>
        <v>-</v>
      </c>
      <c r="T435" s="65">
        <f>IF($N435="","",_xlfn.XLOOKUP(Tables!$L$422,'Input LwA_XYZ'!$DD$1:$DR$1,'Input LwA_XYZ'!DD14:DR14))</f>
        <v>35.252575662003203</v>
      </c>
    </row>
    <row r="436" spans="14:20" ht="16.5" x14ac:dyDescent="0.3">
      <c r="N436" s="190">
        <f>IF('Input LwA_XYZ'!A15 = 0, "", 'Input LwA_XYZ'!A15)</f>
        <v>2</v>
      </c>
      <c r="O436" s="189" t="str">
        <f>IF($N436="","",_xlfn.TEXTJOIN(" - ",TRUE,'Input LwA_XYZ'!B15:C15))</f>
        <v>RCU-R(2p) - Radiated</v>
      </c>
      <c r="P436" s="64">
        <f>IF($N436="","",'Input LwA_XYZ'!Q15)</f>
        <v>76.010299956639813</v>
      </c>
      <c r="Q436" s="91" t="str">
        <f>IF($N436="","",-1*ROUND(_xlfn.XLOOKUP(Tables!$L$422,'Input LwA_XYZ'!$AY$1:$BM$1,'Input LwA_XYZ'!AY15:BM15),0) &amp; " / " &amp; ROUND(_xlfn.XLOOKUP(Tables!$L$422,'Input LwA_XYZ'!$AH$1:$AV$1,'Input LwA_XYZ'!AH15:AV15),0) &amp; " ft")</f>
        <v>43 / 190 ft</v>
      </c>
      <c r="R436" s="91" t="str">
        <f>IF($N436="","",IF(_xlfn.XLOOKUP(Tables!$L$422,'Input LwA_XYZ'!$BV$1:$CJ$1,'Input LwA_XYZ'!BV15:CJ15)="","-",_xlfn.XLOOKUP(Tables!$L$422,'Input LwA_XYZ'!$BV$1:$CJ$1,'Input LwA_XYZ'!BV15:CJ15)))</f>
        <v>-</v>
      </c>
      <c r="S436" s="91" t="str">
        <f>IF($N436="","",IF('Input LwA_XYZ'!S15="","-",'Input LwA_XYZ'!S15))</f>
        <v>-</v>
      </c>
      <c r="T436" s="65">
        <f>IF($N436="","",_xlfn.XLOOKUP(Tables!$L$422,'Input LwA_XYZ'!$DD$1:$DR$1,'Input LwA_XYZ'!DD15:DR15))</f>
        <v>32.752216308610215</v>
      </c>
    </row>
    <row r="437" spans="14:20" ht="16.5" x14ac:dyDescent="0.3">
      <c r="N437" s="190">
        <f>IF('Input LwA_XYZ'!A16 = 0, "", 'Input LwA_XYZ'!A16)</f>
        <v>2</v>
      </c>
      <c r="O437" s="189" t="str">
        <f>IF($N437="","",_xlfn.TEXTJOIN(" - ",TRUE,'Input LwA_XYZ'!B16:C16))</f>
        <v>RCU-R(2p)1 - Radiated</v>
      </c>
      <c r="P437" s="64">
        <f>IF($N437="","",'Input LwA_XYZ'!Q16)</f>
        <v>76.010299956639813</v>
      </c>
      <c r="Q437" s="91" t="str">
        <f>IF($N437="","",-1*ROUND(_xlfn.XLOOKUP(Tables!$L$422,'Input LwA_XYZ'!$AY$1:$BM$1,'Input LwA_XYZ'!AY16:BM16),0) &amp; " / " &amp; ROUND(_xlfn.XLOOKUP(Tables!$L$422,'Input LwA_XYZ'!$AH$1:$AV$1,'Input LwA_XYZ'!AH16:AV16),0) &amp; " ft")</f>
        <v>42 / 168 ft</v>
      </c>
      <c r="R437" s="91" t="str">
        <f>IF($N437="","",IF(_xlfn.XLOOKUP(Tables!$L$422,'Input LwA_XYZ'!$BV$1:$CJ$1,'Input LwA_XYZ'!BV16:CJ16)="","-",_xlfn.XLOOKUP(Tables!$L$422,'Input LwA_XYZ'!$BV$1:$CJ$1,'Input LwA_XYZ'!BV16:CJ16)))</f>
        <v>-</v>
      </c>
      <c r="S437" s="91" t="str">
        <f>IF($N437="","",IF('Input LwA_XYZ'!S16="","-",'Input LwA_XYZ'!S16))</f>
        <v>-</v>
      </c>
      <c r="T437" s="65">
        <f>IF($N437="","",_xlfn.XLOOKUP(Tables!$L$422,'Input LwA_XYZ'!$DD$1:$DR$1,'Input LwA_XYZ'!DD16:DR16))</f>
        <v>33.834137407946159</v>
      </c>
    </row>
    <row r="438" spans="14:20" ht="16.5" x14ac:dyDescent="0.3">
      <c r="N438" s="190">
        <f>IF('Input LwA_XYZ'!A17 = 0, "", 'Input LwA_XYZ'!A17)</f>
        <v>4</v>
      </c>
      <c r="O438" s="189" t="str">
        <f>IF($N438="","",_xlfn.TEXTJOIN(" - ",TRUE,'Input LwA_XYZ'!B17:C17))</f>
        <v>RCU-R(4p)4 - Radiated</v>
      </c>
      <c r="P438" s="64">
        <f>IF($N438="","",'Input LwA_XYZ'!Q17)</f>
        <v>79.020599913279625</v>
      </c>
      <c r="Q438" s="91" t="str">
        <f>IF($N438="","",-1*ROUND(_xlfn.XLOOKUP(Tables!$L$422,'Input LwA_XYZ'!$AY$1:$BM$1,'Input LwA_XYZ'!AY17:BM17),0) &amp; " / " &amp; ROUND(_xlfn.XLOOKUP(Tables!$L$422,'Input LwA_XYZ'!$AH$1:$AV$1,'Input LwA_XYZ'!AH17:AV17),0) &amp; " ft")</f>
        <v>41 / 147 ft</v>
      </c>
      <c r="R438" s="91" t="str">
        <f>IF($N438="","",IF(_xlfn.XLOOKUP(Tables!$L$422,'Input LwA_XYZ'!$BV$1:$CJ$1,'Input LwA_XYZ'!BV17:CJ17)="","-",_xlfn.XLOOKUP(Tables!$L$422,'Input LwA_XYZ'!$BV$1:$CJ$1,'Input LwA_XYZ'!BV17:CJ17)))</f>
        <v>-</v>
      </c>
      <c r="S438" s="91" t="str">
        <f>IF($N438="","",IF('Input LwA_XYZ'!S17="","-",'Input LwA_XYZ'!S17))</f>
        <v>-</v>
      </c>
      <c r="T438" s="65">
        <f>IF($N438="","",_xlfn.XLOOKUP(Tables!$L$422,'Input LwA_XYZ'!$DD$1:$DR$1,'Input LwA_XYZ'!DD17:DR17))</f>
        <v>38.039918717943372</v>
      </c>
    </row>
    <row r="439" spans="14:20" ht="16.5" x14ac:dyDescent="0.3">
      <c r="N439" s="190">
        <f>IF('Input LwA_XYZ'!A18 = 0, "", 'Input LwA_XYZ'!A18)</f>
        <v>2</v>
      </c>
      <c r="O439" s="189" t="str">
        <f>IF($N439="","",_xlfn.TEXTJOIN(" - ",TRUE,'Input LwA_XYZ'!B18:C18))</f>
        <v>RCU-R(2p)2 - Radiated</v>
      </c>
      <c r="P439" s="64">
        <f>IF($N439="","",'Input LwA_XYZ'!Q18)</f>
        <v>76.010299956639813</v>
      </c>
      <c r="Q439" s="91" t="str">
        <f>IF($N439="","",-1*ROUND(_xlfn.XLOOKUP(Tables!$L$422,'Input LwA_XYZ'!$AY$1:$BM$1,'Input LwA_XYZ'!AY18:BM18),0) &amp; " / " &amp; ROUND(_xlfn.XLOOKUP(Tables!$L$422,'Input LwA_XYZ'!$AH$1:$AV$1,'Input LwA_XYZ'!AH18:AV18),0) &amp; " ft")</f>
        <v>41 / 153 ft</v>
      </c>
      <c r="R439" s="91" t="str">
        <f>IF($N439="","",IF(_xlfn.XLOOKUP(Tables!$L$422,'Input LwA_XYZ'!$BV$1:$CJ$1,'Input LwA_XYZ'!BV18:CJ18)="","-",_xlfn.XLOOKUP(Tables!$L$422,'Input LwA_XYZ'!$BV$1:$CJ$1,'Input LwA_XYZ'!BV18:CJ18)))</f>
        <v>-</v>
      </c>
      <c r="S439" s="91" t="str">
        <f>IF($N439="","",IF('Input LwA_XYZ'!S18="","-",'Input LwA_XYZ'!S18))</f>
        <v>-</v>
      </c>
      <c r="T439" s="65">
        <f>IF($N439="","",_xlfn.XLOOKUP(Tables!$L$422,'Input LwA_XYZ'!$DD$1:$DR$1,'Input LwA_XYZ'!DD18:DR18))</f>
        <v>34.626203151341301</v>
      </c>
    </row>
    <row r="440" spans="14:20" ht="16.5" x14ac:dyDescent="0.3">
      <c r="N440" s="190">
        <f>IF('Input LwA_XYZ'!A19 = 0, "", 'Input LwA_XYZ'!A19)</f>
        <v>2</v>
      </c>
      <c r="O440" s="189" t="str">
        <f>IF($N440="","",_xlfn.TEXTJOIN(" - ",TRUE,'Input LwA_XYZ'!B19:C19))</f>
        <v>RCU-R(2p)3 - Radiated</v>
      </c>
      <c r="P440" s="64">
        <f>IF($N440="","",'Input LwA_XYZ'!Q19)</f>
        <v>76.010299956639813</v>
      </c>
      <c r="Q440" s="91" t="str">
        <f>IF($N440="","",-1*ROUND(_xlfn.XLOOKUP(Tables!$L$422,'Input LwA_XYZ'!$AY$1:$BM$1,'Input LwA_XYZ'!AY19:BM19),0) &amp; " / " &amp; ROUND(_xlfn.XLOOKUP(Tables!$L$422,'Input LwA_XYZ'!$AH$1:$AV$1,'Input LwA_XYZ'!AH19:AV19),0) &amp; " ft")</f>
        <v>42 / 174 ft</v>
      </c>
      <c r="R440" s="91" t="str">
        <f>IF($N440="","",IF(_xlfn.XLOOKUP(Tables!$L$422,'Input LwA_XYZ'!$BV$1:$CJ$1,'Input LwA_XYZ'!BV19:CJ19)="","-",_xlfn.XLOOKUP(Tables!$L$422,'Input LwA_XYZ'!$BV$1:$CJ$1,'Input LwA_XYZ'!BV19:CJ19)))</f>
        <v>-</v>
      </c>
      <c r="S440" s="91" t="str">
        <f>IF($N440="","",IF('Input LwA_XYZ'!S19="","-",'Input LwA_XYZ'!S19))</f>
        <v>-</v>
      </c>
      <c r="T440" s="65">
        <f>IF($N440="","",_xlfn.XLOOKUP(Tables!$L$422,'Input LwA_XYZ'!$DD$1:$DR$1,'Input LwA_XYZ'!DD19:DR19))</f>
        <v>33.531132173351168</v>
      </c>
    </row>
    <row r="441" spans="14:20" ht="16.5" x14ac:dyDescent="0.3">
      <c r="N441" s="190">
        <f>IF('Input LwA_XYZ'!A20 = 0, "", 'Input LwA_XYZ'!A20)</f>
        <v>2</v>
      </c>
      <c r="O441" s="189" t="str">
        <f>IF($N441="","",_xlfn.TEXTJOIN(" - ",TRUE,'Input LwA_XYZ'!B20:C20))</f>
        <v>RCU-R(2p)4 - Radiated</v>
      </c>
      <c r="P441" s="64">
        <f>IF($N441="","",'Input LwA_XYZ'!Q20)</f>
        <v>76.010299956639813</v>
      </c>
      <c r="Q441" s="91" t="str">
        <f>IF($N441="","",-1*ROUND(_xlfn.XLOOKUP(Tables!$L$422,'Input LwA_XYZ'!$AY$1:$BM$1,'Input LwA_XYZ'!AY20:BM20),0) &amp; " / " &amp; ROUND(_xlfn.XLOOKUP(Tables!$L$422,'Input LwA_XYZ'!$AH$1:$AV$1,'Input LwA_XYZ'!AH20:AV20),0) &amp; " ft")</f>
        <v>43 / 188 ft</v>
      </c>
      <c r="R441" s="91" t="str">
        <f>IF($N441="","",IF(_xlfn.XLOOKUP(Tables!$L$422,'Input LwA_XYZ'!$BV$1:$CJ$1,'Input LwA_XYZ'!BV20:CJ20)="","-",_xlfn.XLOOKUP(Tables!$L$422,'Input LwA_XYZ'!$BV$1:$CJ$1,'Input LwA_XYZ'!BV20:CJ20)))</f>
        <v>-</v>
      </c>
      <c r="S441" s="91" t="str">
        <f>IF($N441="","",IF('Input LwA_XYZ'!S20="","-",'Input LwA_XYZ'!S20))</f>
        <v>-</v>
      </c>
      <c r="T441" s="65">
        <f>IF($N441="","",_xlfn.XLOOKUP(Tables!$L$422,'Input LwA_XYZ'!$DD$1:$DR$1,'Input LwA_XYZ'!DD20:DR20))</f>
        <v>32.86816377495628</v>
      </c>
    </row>
    <row r="442" spans="14:20" ht="16.5" x14ac:dyDescent="0.3">
      <c r="N442" s="190">
        <f>IF('Input LwA_XYZ'!A21 = 0, "", 'Input LwA_XYZ'!A21)</f>
        <v>2</v>
      </c>
      <c r="O442" s="189" t="str">
        <f>IF($N442="","",_xlfn.TEXTJOIN(" - ",TRUE,'Input LwA_XYZ'!B21:C21))</f>
        <v>RCU-R(2p)5 - Radiated</v>
      </c>
      <c r="P442" s="64">
        <f>IF($N442="","",'Input LwA_XYZ'!Q21)</f>
        <v>76.010299956639813</v>
      </c>
      <c r="Q442" s="91" t="str">
        <f>IF($N442="","",-1*ROUND(_xlfn.XLOOKUP(Tables!$L$422,'Input LwA_XYZ'!$AY$1:$BM$1,'Input LwA_XYZ'!AY21:BM21),0) &amp; " / " &amp; ROUND(_xlfn.XLOOKUP(Tables!$L$422,'Input LwA_XYZ'!$AH$1:$AV$1,'Input LwA_XYZ'!AH21:AV21),0) &amp; " ft")</f>
        <v>44 / 203 ft</v>
      </c>
      <c r="R442" s="91" t="str">
        <f>IF($N442="","",IF(_xlfn.XLOOKUP(Tables!$L$422,'Input LwA_XYZ'!$BV$1:$CJ$1,'Input LwA_XYZ'!BV21:CJ21)="","-",_xlfn.XLOOKUP(Tables!$L$422,'Input LwA_XYZ'!$BV$1:$CJ$1,'Input LwA_XYZ'!BV21:CJ21)))</f>
        <v>-</v>
      </c>
      <c r="S442" s="91" t="str">
        <f>IF($N442="","",IF('Input LwA_XYZ'!S21="","-",'Input LwA_XYZ'!S21))</f>
        <v>-</v>
      </c>
      <c r="T442" s="65">
        <f>IF($N442="","",_xlfn.XLOOKUP(Tables!$L$422,'Input LwA_XYZ'!$DD$1:$DR$1,'Input LwA_XYZ'!DD21:DR21))</f>
        <v>32.210402540305431</v>
      </c>
    </row>
    <row r="443" spans="14:20" ht="16.5" x14ac:dyDescent="0.3">
      <c r="N443" s="190">
        <f>IF('Input LwA_XYZ'!A22 = 0, "", 'Input LwA_XYZ'!A22)</f>
        <v>2</v>
      </c>
      <c r="O443" s="189" t="str">
        <f>IF($N443="","",_xlfn.TEXTJOIN(" - ",TRUE,'Input LwA_XYZ'!B22:C22))</f>
        <v>RCU-R(2p)6 - Radiated</v>
      </c>
      <c r="P443" s="64">
        <f>IF($N443="","",'Input LwA_XYZ'!Q22)</f>
        <v>76.010299956639813</v>
      </c>
      <c r="Q443" s="91" t="str">
        <f>IF($N443="","",-1*ROUND(_xlfn.XLOOKUP(Tables!$L$422,'Input LwA_XYZ'!$AY$1:$BM$1,'Input LwA_XYZ'!AY22:BM22),0) &amp; " / " &amp; ROUND(_xlfn.XLOOKUP(Tables!$L$422,'Input LwA_XYZ'!$AH$1:$AV$1,'Input LwA_XYZ'!AH22:AV22),0) &amp; " ft")</f>
        <v>44 / 218 ft</v>
      </c>
      <c r="R443" s="91" t="str">
        <f>IF($N443="","",IF(_xlfn.XLOOKUP(Tables!$L$422,'Input LwA_XYZ'!$BV$1:$CJ$1,'Input LwA_XYZ'!BV22:CJ22)="","-",_xlfn.XLOOKUP(Tables!$L$422,'Input LwA_XYZ'!$BV$1:$CJ$1,'Input LwA_XYZ'!BV22:CJ22)))</f>
        <v>-</v>
      </c>
      <c r="S443" s="91" t="str">
        <f>IF($N443="","",IF('Input LwA_XYZ'!S22="","-",'Input LwA_XYZ'!S22))</f>
        <v>-</v>
      </c>
      <c r="T443" s="65">
        <f>IF($N443="","",_xlfn.XLOOKUP(Tables!$L$422,'Input LwA_XYZ'!$DD$1:$DR$1,'Input LwA_XYZ'!DD22:DR22))</f>
        <v>31.572313832482209</v>
      </c>
    </row>
    <row r="444" spans="14:20" ht="16.5" x14ac:dyDescent="0.3">
      <c r="N444" s="190">
        <f>IF('Input LwA_XYZ'!A23 = 0, "", 'Input LwA_XYZ'!A23)</f>
        <v>1</v>
      </c>
      <c r="O444" s="189" t="str">
        <f>IF($N444="","",_xlfn.TEXTJOIN(" - ",TRUE,'Input LwA_XYZ'!B23:C23))</f>
        <v>BEF-R01  - Inlet</v>
      </c>
      <c r="P444" s="64">
        <f>IF($N444="","",'Input LwA_XYZ'!Q23)</f>
        <v>57</v>
      </c>
      <c r="Q444" s="91" t="str">
        <f>IF($N444="","",-1*ROUND(_xlfn.XLOOKUP(Tables!$L$422,'Input LwA_XYZ'!$AY$1:$BM$1,'Input LwA_XYZ'!AY23:BM23),0) &amp; " / " &amp; ROUND(_xlfn.XLOOKUP(Tables!$L$422,'Input LwA_XYZ'!$AH$1:$AV$1,'Input LwA_XYZ'!AH23:AV23),0) &amp; " ft")</f>
        <v>39 / 123 ft</v>
      </c>
      <c r="R444" s="91" t="str">
        <f>IF($N444="","",IF(_xlfn.XLOOKUP(Tables!$L$422,'Input LwA_XYZ'!$BV$1:$CJ$1,'Input LwA_XYZ'!BV23:CJ23)="","-",_xlfn.XLOOKUP(Tables!$L$422,'Input LwA_XYZ'!$BV$1:$CJ$1,'Input LwA_XYZ'!BV23:CJ23)))</f>
        <v>-</v>
      </c>
      <c r="S444" s="91" t="str">
        <f>IF($N444="","",IF('Input LwA_XYZ'!S23="","-",'Input LwA_XYZ'!S23))</f>
        <v>-</v>
      </c>
      <c r="T444" s="65">
        <f>IF($N444="","",_xlfn.XLOOKUP(Tables!$L$422,'Input LwA_XYZ'!$DD$1:$DR$1,'Input LwA_XYZ'!DD23:DR23))</f>
        <v>17.524923149226339</v>
      </c>
    </row>
    <row r="445" spans="14:20" ht="16.5" x14ac:dyDescent="0.3">
      <c r="N445" s="190">
        <f>IF('Input LwA_XYZ'!A24 = 0, "", 'Input LwA_XYZ'!A24)</f>
        <v>1</v>
      </c>
      <c r="O445" s="189" t="str">
        <f>IF($N445="","",_xlfn.TEXTJOIN(" - ",TRUE,'Input LwA_XYZ'!B24:C24))</f>
        <v>BEF-R02  - Inlet</v>
      </c>
      <c r="P445" s="64">
        <f>IF($N445="","",'Input LwA_XYZ'!Q24)</f>
        <v>66</v>
      </c>
      <c r="Q445" s="91" t="str">
        <f>IF($N445="","",-1*ROUND(_xlfn.XLOOKUP(Tables!$L$422,'Input LwA_XYZ'!$AY$1:$BM$1,'Input LwA_XYZ'!AY24:BM24),0) &amp; " / " &amp; ROUND(_xlfn.XLOOKUP(Tables!$L$422,'Input LwA_XYZ'!$AH$1:$AV$1,'Input LwA_XYZ'!AH24:AV24),0) &amp; " ft")</f>
        <v>40 / 138 ft</v>
      </c>
      <c r="R445" s="91" t="str">
        <f>IF($N445="","",IF(_xlfn.XLOOKUP(Tables!$L$422,'Input LwA_XYZ'!$BV$1:$CJ$1,'Input LwA_XYZ'!BV24:CJ24)="","-",_xlfn.XLOOKUP(Tables!$L$422,'Input LwA_XYZ'!$BV$1:$CJ$1,'Input LwA_XYZ'!BV24:CJ24)))</f>
        <v>-</v>
      </c>
      <c r="S445" s="91" t="str">
        <f>IF($N445="","",IF('Input LwA_XYZ'!S24="","-",'Input LwA_XYZ'!S24))</f>
        <v>-</v>
      </c>
      <c r="T445" s="65">
        <f>IF($N445="","",_xlfn.XLOOKUP(Tables!$L$422,'Input LwA_XYZ'!$DD$1:$DR$1,'Input LwA_XYZ'!DD24:DR24))</f>
        <v>25.558301321549493</v>
      </c>
    </row>
    <row r="446" spans="14:20" ht="16.5" x14ac:dyDescent="0.3">
      <c r="N446" s="190">
        <f>IF('Input LwA_XYZ'!A25 = 0, "", 'Input LwA_XYZ'!A25)</f>
        <v>1</v>
      </c>
      <c r="O446" s="189" t="str">
        <f>IF($N446="","",_xlfn.TEXTJOIN(" - ",TRUE,'Input LwA_XYZ'!B25:C25))</f>
        <v>BEF-R03  - Inlet</v>
      </c>
      <c r="P446" s="64">
        <f>IF($N446="","",'Input LwA_XYZ'!Q25)</f>
        <v>66</v>
      </c>
      <c r="Q446" s="91" t="str">
        <f>IF($N446="","",-1*ROUND(_xlfn.XLOOKUP(Tables!$L$422,'Input LwA_XYZ'!$AY$1:$BM$1,'Input LwA_XYZ'!AY25:BM25),0) &amp; " / " &amp; ROUND(_xlfn.XLOOKUP(Tables!$L$422,'Input LwA_XYZ'!$AH$1:$AV$1,'Input LwA_XYZ'!AH25:AV25),0) &amp; " ft")</f>
        <v>42 / 159 ft</v>
      </c>
      <c r="R446" s="91" t="str">
        <f>IF($N446="","",IF(_xlfn.XLOOKUP(Tables!$L$422,'Input LwA_XYZ'!$BV$1:$CJ$1,'Input LwA_XYZ'!BV25:CJ25)="","-",_xlfn.XLOOKUP(Tables!$L$422,'Input LwA_XYZ'!$BV$1:$CJ$1,'Input LwA_XYZ'!BV25:CJ25)))</f>
        <v>-</v>
      </c>
      <c r="S446" s="91" t="str">
        <f>IF($N446="","",IF('Input LwA_XYZ'!S25="","-",'Input LwA_XYZ'!S25))</f>
        <v>-</v>
      </c>
      <c r="T446" s="65">
        <f>IF($N446="","",_xlfn.XLOOKUP(Tables!$L$422,'Input LwA_XYZ'!$DD$1:$DR$1,'Input LwA_XYZ'!DD25:DR25))</f>
        <v>24.324638741792718</v>
      </c>
    </row>
    <row r="447" spans="14:20" ht="16.5" x14ac:dyDescent="0.3">
      <c r="N447" s="190">
        <f>IF('Input LwA_XYZ'!A26 = 0, "", 'Input LwA_XYZ'!A26)</f>
        <v>1</v>
      </c>
      <c r="O447" s="189" t="str">
        <f>IF($N447="","",_xlfn.TEXTJOIN(" - ",TRUE,'Input LwA_XYZ'!B26:C26))</f>
        <v>BEF-R04  - Inlet</v>
      </c>
      <c r="P447" s="64">
        <f>IF($N447="","",'Input LwA_XYZ'!Q26)</f>
        <v>66</v>
      </c>
      <c r="Q447" s="91" t="str">
        <f>IF($N447="","",-1*ROUND(_xlfn.XLOOKUP(Tables!$L$422,'Input LwA_XYZ'!$AY$1:$BM$1,'Input LwA_XYZ'!AY26:BM26),0) &amp; " / " &amp; ROUND(_xlfn.XLOOKUP(Tables!$L$422,'Input LwA_XYZ'!$AH$1:$AV$1,'Input LwA_XYZ'!AH26:AV26),0) &amp; " ft")</f>
        <v>43 / 181 ft</v>
      </c>
      <c r="R447" s="91" t="str">
        <f>IF($N447="","",IF(_xlfn.XLOOKUP(Tables!$L$422,'Input LwA_XYZ'!$BV$1:$CJ$1,'Input LwA_XYZ'!BV26:CJ26)="","-",_xlfn.XLOOKUP(Tables!$L$422,'Input LwA_XYZ'!$BV$1:$CJ$1,'Input LwA_XYZ'!BV26:CJ26)))</f>
        <v>-</v>
      </c>
      <c r="S447" s="91" t="str">
        <f>IF($N447="","",IF('Input LwA_XYZ'!S26="","-",'Input LwA_XYZ'!S26))</f>
        <v>-</v>
      </c>
      <c r="T447" s="65">
        <f>IF($N447="","",_xlfn.XLOOKUP(Tables!$L$422,'Input LwA_XYZ'!$DD$1:$DR$1,'Input LwA_XYZ'!DD26:DR26))</f>
        <v>23.168375747855407</v>
      </c>
    </row>
    <row r="448" spans="14:20" ht="16.5" x14ac:dyDescent="0.3">
      <c r="N448" s="190">
        <f>IF('Input LwA_XYZ'!A27 = 0, "", 'Input LwA_XYZ'!A27)</f>
        <v>1</v>
      </c>
      <c r="O448" s="189" t="str">
        <f>IF($N448="","",_xlfn.TEXTJOIN(" - ",TRUE,'Input LwA_XYZ'!B27:C27))</f>
        <v>BEF-R05  - Inlet</v>
      </c>
      <c r="P448" s="64">
        <f>IF($N448="","",'Input LwA_XYZ'!Q27)</f>
        <v>66</v>
      </c>
      <c r="Q448" s="91" t="str">
        <f>IF($N448="","",-1*ROUND(_xlfn.XLOOKUP(Tables!$L$422,'Input LwA_XYZ'!$AY$1:$BM$1,'Input LwA_XYZ'!AY27:BM27),0) &amp; " / " &amp; ROUND(_xlfn.XLOOKUP(Tables!$L$422,'Input LwA_XYZ'!$AH$1:$AV$1,'Input LwA_XYZ'!AH27:AV27),0) &amp; " ft")</f>
        <v>44 / 199 ft</v>
      </c>
      <c r="R448" s="91" t="str">
        <f>IF($N448="","",IF(_xlfn.XLOOKUP(Tables!$L$422,'Input LwA_XYZ'!$BV$1:$CJ$1,'Input LwA_XYZ'!BV27:CJ27)="","-",_xlfn.XLOOKUP(Tables!$L$422,'Input LwA_XYZ'!$BV$1:$CJ$1,'Input LwA_XYZ'!BV27:CJ27)))</f>
        <v>-</v>
      </c>
      <c r="S448" s="91" t="str">
        <f>IF($N448="","",IF('Input LwA_XYZ'!S27="","-",'Input LwA_XYZ'!S27))</f>
        <v>-</v>
      </c>
      <c r="T448" s="65">
        <f>IF($N448="","",_xlfn.XLOOKUP(Tables!$L$422,'Input LwA_XYZ'!$DD$1:$DR$1,'Input LwA_XYZ'!DD27:DR27))</f>
        <v>22.371723595961846</v>
      </c>
    </row>
    <row r="449" spans="14:20" ht="16.5" x14ac:dyDescent="0.3">
      <c r="N449" s="190">
        <f>IF('Input LwA_XYZ'!A28 = 0, "", 'Input LwA_XYZ'!A28)</f>
        <v>1</v>
      </c>
      <c r="O449" s="189" t="str">
        <f>IF($N449="","",_xlfn.TEXTJOIN(" - ",TRUE,'Input LwA_XYZ'!B28:C28))</f>
        <v>BEF-R06  - Inlet</v>
      </c>
      <c r="P449" s="64">
        <f>IF($N449="","",'Input LwA_XYZ'!Q28)</f>
        <v>66</v>
      </c>
      <c r="Q449" s="91" t="str">
        <f>IF($N449="","",-1*ROUND(_xlfn.XLOOKUP(Tables!$L$422,'Input LwA_XYZ'!$AY$1:$BM$1,'Input LwA_XYZ'!AY28:BM28),0) &amp; " / " &amp; ROUND(_xlfn.XLOOKUP(Tables!$L$422,'Input LwA_XYZ'!$AH$1:$AV$1,'Input LwA_XYZ'!AH28:AV28),0) &amp; " ft")</f>
        <v>43 / 194 ft</v>
      </c>
      <c r="R449" s="91" t="str">
        <f>IF($N449="","",IF(_xlfn.XLOOKUP(Tables!$L$422,'Input LwA_XYZ'!$BV$1:$CJ$1,'Input LwA_XYZ'!BV28:CJ28)="","-",_xlfn.XLOOKUP(Tables!$L$422,'Input LwA_XYZ'!$BV$1:$CJ$1,'Input LwA_XYZ'!BV28:CJ28)))</f>
        <v>-</v>
      </c>
      <c r="S449" s="91" t="str">
        <f>IF($N449="","",IF('Input LwA_XYZ'!S28="","-",'Input LwA_XYZ'!S28))</f>
        <v>-</v>
      </c>
      <c r="T449" s="65">
        <f>IF($N449="","",_xlfn.XLOOKUP(Tables!$L$422,'Input LwA_XYZ'!$DD$1:$DR$1,'Input LwA_XYZ'!DD28:DR28))</f>
        <v>22.571853354436364</v>
      </c>
    </row>
    <row r="450" spans="14:20" ht="16.5" x14ac:dyDescent="0.3">
      <c r="N450" s="190">
        <f>IF('Input LwA_XYZ'!A29 = 0, "", 'Input LwA_XYZ'!A29)</f>
        <v>1</v>
      </c>
      <c r="O450" s="189" t="str">
        <f>IF($N450="","",_xlfn.TEXTJOIN(" - ",TRUE,'Input LwA_XYZ'!B29:C29))</f>
        <v>BEF-R07  - Inlet</v>
      </c>
      <c r="P450" s="64">
        <f>IF($N450="","",'Input LwA_XYZ'!Q29)</f>
        <v>57</v>
      </c>
      <c r="Q450" s="91" t="str">
        <f>IF($N450="","",-1*ROUND(_xlfn.XLOOKUP(Tables!$L$422,'Input LwA_XYZ'!$AY$1:$BM$1,'Input LwA_XYZ'!AY29:BM29),0) &amp; " / " &amp; ROUND(_xlfn.XLOOKUP(Tables!$L$422,'Input LwA_XYZ'!$AH$1:$AV$1,'Input LwA_XYZ'!AH29:AV29),0) &amp; " ft")</f>
        <v>43 / 195 ft</v>
      </c>
      <c r="R450" s="91" t="str">
        <f>IF($N450="","",IF(_xlfn.XLOOKUP(Tables!$L$422,'Input LwA_XYZ'!$BV$1:$CJ$1,'Input LwA_XYZ'!BV29:CJ29)="","-",_xlfn.XLOOKUP(Tables!$L$422,'Input LwA_XYZ'!$BV$1:$CJ$1,'Input LwA_XYZ'!BV29:CJ29)))</f>
        <v>-</v>
      </c>
      <c r="S450" s="91" t="str">
        <f>IF($N450="","",IF('Input LwA_XYZ'!S29="","-",'Input LwA_XYZ'!S29))</f>
        <v>-</v>
      </c>
      <c r="T450" s="65">
        <f>IF($N450="","",_xlfn.XLOOKUP(Tables!$L$422,'Input LwA_XYZ'!$DD$1:$DR$1,'Input LwA_XYZ'!DD29:DR29))</f>
        <v>13.555575842541174</v>
      </c>
    </row>
    <row r="451" spans="14:20" ht="16.5" x14ac:dyDescent="0.3">
      <c r="N451" s="190">
        <f>IF('Input LwA_XYZ'!A30 = 0, "", 'Input LwA_XYZ'!A30)</f>
        <v>1</v>
      </c>
      <c r="O451" s="189" t="str">
        <f>IF($N451="","",_xlfn.TEXTJOIN(" - ",TRUE,'Input LwA_XYZ'!B30:C30))</f>
        <v>BEF-R08  - Inlet</v>
      </c>
      <c r="P451" s="64">
        <f>IF($N451="","",'Input LwA_XYZ'!Q30)</f>
        <v>57</v>
      </c>
      <c r="Q451" s="91" t="str">
        <f>IF($N451="","",-1*ROUND(_xlfn.XLOOKUP(Tables!$L$422,'Input LwA_XYZ'!$AY$1:$BM$1,'Input LwA_XYZ'!AY30:BM30),0) &amp; " / " &amp; ROUND(_xlfn.XLOOKUP(Tables!$L$422,'Input LwA_XYZ'!$AH$1:$AV$1,'Input LwA_XYZ'!AH30:AV30),0) &amp; " ft")</f>
        <v>45 / 235 ft</v>
      </c>
      <c r="R451" s="91" t="str">
        <f>IF($N451="","",IF(_xlfn.XLOOKUP(Tables!$L$422,'Input LwA_XYZ'!$BV$1:$CJ$1,'Input LwA_XYZ'!BV30:CJ30)="","-",_xlfn.XLOOKUP(Tables!$L$422,'Input LwA_XYZ'!$BV$1:$CJ$1,'Input LwA_XYZ'!BV30:CJ30)))</f>
        <v>-</v>
      </c>
      <c r="S451" s="91" t="str">
        <f>IF($N451="","",IF('Input LwA_XYZ'!S30="","-",'Input LwA_XYZ'!S30))</f>
        <v>-</v>
      </c>
      <c r="T451" s="65">
        <f>IF($N451="","",_xlfn.XLOOKUP(Tables!$L$422,'Input LwA_XYZ'!$DD$1:$DR$1,'Input LwA_XYZ'!DD30:DR30))</f>
        <v>11.924932976016137</v>
      </c>
    </row>
    <row r="452" spans="14:20" ht="16.5" x14ac:dyDescent="0.3">
      <c r="N452" s="190">
        <f>IF('Input LwA_XYZ'!A31 = 0, "", 'Input LwA_XYZ'!A31)</f>
        <v>1</v>
      </c>
      <c r="O452" s="189" t="str">
        <f>IF($N452="","",_xlfn.TEXTJOIN(" - ",TRUE,'Input LwA_XYZ'!B31:C31))</f>
        <v>BEF-R09  - Inlet</v>
      </c>
      <c r="P452" s="64">
        <f>IF($N452="","",'Input LwA_XYZ'!Q31)</f>
        <v>66</v>
      </c>
      <c r="Q452" s="91" t="str">
        <f>IF($N452="","",-1*ROUND(_xlfn.XLOOKUP(Tables!$L$422,'Input LwA_XYZ'!$AY$1:$BM$1,'Input LwA_XYZ'!AY31:BM31),0) &amp; " / " &amp; ROUND(_xlfn.XLOOKUP(Tables!$L$422,'Input LwA_XYZ'!$AH$1:$AV$1,'Input LwA_XYZ'!AH31:AV31),0) &amp; " ft")</f>
        <v>45 / 238 ft</v>
      </c>
      <c r="R452" s="91" t="str">
        <f>IF($N452="","",IF(_xlfn.XLOOKUP(Tables!$L$422,'Input LwA_XYZ'!$BV$1:$CJ$1,'Input LwA_XYZ'!BV31:CJ31)="","-",_xlfn.XLOOKUP(Tables!$L$422,'Input LwA_XYZ'!$BV$1:$CJ$1,'Input LwA_XYZ'!BV31:CJ31)))</f>
        <v>-</v>
      </c>
      <c r="S452" s="91" t="str">
        <f>IF($N452="","",IF('Input LwA_XYZ'!S31="","-",'Input LwA_XYZ'!S31))</f>
        <v>-</v>
      </c>
      <c r="T452" s="65">
        <f>IF($N452="","",_xlfn.XLOOKUP(Tables!$L$422,'Input LwA_XYZ'!$DD$1:$DR$1,'Input LwA_XYZ'!DD31:DR31))</f>
        <v>20.789699625762694</v>
      </c>
    </row>
    <row r="453" spans="14:20" ht="16.5" x14ac:dyDescent="0.3">
      <c r="N453" s="190">
        <f>IF('Input LwA_XYZ'!A32 = 0, "", 'Input LwA_XYZ'!A32)</f>
        <v>1</v>
      </c>
      <c r="O453" s="189" t="str">
        <f>IF($N453="","",_xlfn.TEXTJOIN(" - ",TRUE,'Input LwA_XYZ'!B32:C32))</f>
        <v>BEF-R10  - Inlet</v>
      </c>
      <c r="P453" s="64">
        <f>IF($N453="","",'Input LwA_XYZ'!Q32)</f>
        <v>66</v>
      </c>
      <c r="Q453" s="91" t="str">
        <f>IF($N453="","",-1*ROUND(_xlfn.XLOOKUP(Tables!$L$422,'Input LwA_XYZ'!$AY$1:$BM$1,'Input LwA_XYZ'!AY32:BM32),0) &amp; " / " &amp; ROUND(_xlfn.XLOOKUP(Tables!$L$422,'Input LwA_XYZ'!$AH$1:$AV$1,'Input LwA_XYZ'!AH32:AV32),0) &amp; " ft")</f>
        <v>45 / 245 ft</v>
      </c>
      <c r="R453" s="91" t="str">
        <f>IF($N453="","",IF(_xlfn.XLOOKUP(Tables!$L$422,'Input LwA_XYZ'!$BV$1:$CJ$1,'Input LwA_XYZ'!BV32:CJ32)="","-",_xlfn.XLOOKUP(Tables!$L$422,'Input LwA_XYZ'!$BV$1:$CJ$1,'Input LwA_XYZ'!BV32:CJ32)))</f>
        <v>-</v>
      </c>
      <c r="S453" s="91" t="str">
        <f>IF($N453="","",IF('Input LwA_XYZ'!S32="","-",'Input LwA_XYZ'!S32))</f>
        <v>-</v>
      </c>
      <c r="T453" s="65">
        <f>IF($N453="","",_xlfn.XLOOKUP(Tables!$L$422,'Input LwA_XYZ'!$DD$1:$DR$1,'Input LwA_XYZ'!DD32:DR32))</f>
        <v>20.549999233311269</v>
      </c>
    </row>
    <row r="454" spans="14:20" ht="16.5" x14ac:dyDescent="0.3">
      <c r="N454" s="190">
        <f>IF('Input LwA_XYZ'!A33 = 0, "", 'Input LwA_XYZ'!A33)</f>
        <v>1</v>
      </c>
      <c r="O454" s="189" t="str">
        <f>IF($N454="","",_xlfn.TEXTJOIN(" - ",TRUE,'Input LwA_XYZ'!B33:C33))</f>
        <v>BEF-R11  - Inlet</v>
      </c>
      <c r="P454" s="64">
        <f>IF($N454="","",'Input LwA_XYZ'!Q33)</f>
        <v>66</v>
      </c>
      <c r="Q454" s="91" t="str">
        <f>IF($N454="","",-1*ROUND(_xlfn.XLOOKUP(Tables!$L$422,'Input LwA_XYZ'!$AY$1:$BM$1,'Input LwA_XYZ'!AY33:BM33),0) &amp; " / " &amp; ROUND(_xlfn.XLOOKUP(Tables!$L$422,'Input LwA_XYZ'!$AH$1:$AV$1,'Input LwA_XYZ'!AH33:AV33),0) &amp; " ft")</f>
        <v>46 / 249 ft</v>
      </c>
      <c r="R454" s="91" t="str">
        <f>IF($N454="","",IF(_xlfn.XLOOKUP(Tables!$L$422,'Input LwA_XYZ'!$BV$1:$CJ$1,'Input LwA_XYZ'!BV33:CJ33)="","-",_xlfn.XLOOKUP(Tables!$L$422,'Input LwA_XYZ'!$BV$1:$CJ$1,'Input LwA_XYZ'!BV33:CJ33)))</f>
        <v>-</v>
      </c>
      <c r="S454" s="91" t="str">
        <f>IF($N454="","",IF('Input LwA_XYZ'!S33="","-",'Input LwA_XYZ'!S33))</f>
        <v>-</v>
      </c>
      <c r="T454" s="65">
        <f>IF($N454="","",_xlfn.XLOOKUP(Tables!$L$422,'Input LwA_XYZ'!$DD$1:$DR$1,'Input LwA_XYZ'!DD33:DR33))</f>
        <v>20.413561674561677</v>
      </c>
    </row>
    <row r="455" spans="14:20" ht="16.5" x14ac:dyDescent="0.3">
      <c r="N455" s="190">
        <f>IF('Input LwA_XYZ'!A34 = 0, "", 'Input LwA_XYZ'!A34)</f>
        <v>1</v>
      </c>
      <c r="O455" s="189" t="str">
        <f>IF($N455="","",_xlfn.TEXTJOIN(" - ",TRUE,'Input LwA_XYZ'!B34:C34))</f>
        <v>BEF-R12  - Inlet</v>
      </c>
      <c r="P455" s="64">
        <f>IF($N455="","",'Input LwA_XYZ'!Q34)</f>
        <v>66</v>
      </c>
      <c r="Q455" s="91" t="str">
        <f>IF($N455="","",-1*ROUND(_xlfn.XLOOKUP(Tables!$L$422,'Input LwA_XYZ'!$AY$1:$BM$1,'Input LwA_XYZ'!AY34:BM34),0) &amp; " / " &amp; ROUND(_xlfn.XLOOKUP(Tables!$L$422,'Input LwA_XYZ'!$AH$1:$AV$1,'Input LwA_XYZ'!AH34:AV34),0) &amp; " ft")</f>
        <v>44 / 208 ft</v>
      </c>
      <c r="R455" s="91" t="str">
        <f>IF($N455="","",IF(_xlfn.XLOOKUP(Tables!$L$422,'Input LwA_XYZ'!$BV$1:$CJ$1,'Input LwA_XYZ'!BV34:CJ34)="","-",_xlfn.XLOOKUP(Tables!$L$422,'Input LwA_XYZ'!$BV$1:$CJ$1,'Input LwA_XYZ'!BV34:CJ34)))</f>
        <v>-</v>
      </c>
      <c r="S455" s="91" t="str">
        <f>IF($N455="","",IF('Input LwA_XYZ'!S34="","-",'Input LwA_XYZ'!S34))</f>
        <v>-</v>
      </c>
      <c r="T455" s="65">
        <f>IF($N455="","",_xlfn.XLOOKUP(Tables!$L$422,'Input LwA_XYZ'!$DD$1:$DR$1,'Input LwA_XYZ'!DD34:DR34))</f>
        <v>21.980715174611781</v>
      </c>
    </row>
    <row r="456" spans="14:20" ht="16.5" x14ac:dyDescent="0.3">
      <c r="N456" s="190">
        <f>IF('Input LwA_XYZ'!A35 = 0, "", 'Input LwA_XYZ'!A35)</f>
        <v>1</v>
      </c>
      <c r="O456" s="189" t="str">
        <f>IF($N456="","",_xlfn.TEXTJOIN(" - ",TRUE,'Input LwA_XYZ'!B35:C35))</f>
        <v>BEF-R13  - Inlet</v>
      </c>
      <c r="P456" s="64">
        <f>IF($N456="","",'Input LwA_XYZ'!Q35)</f>
        <v>66</v>
      </c>
      <c r="Q456" s="91" t="str">
        <f>IF($N456="","",-1*ROUND(_xlfn.XLOOKUP(Tables!$L$422,'Input LwA_XYZ'!$AY$1:$BM$1,'Input LwA_XYZ'!AY35:BM35),0) &amp; " / " &amp; ROUND(_xlfn.XLOOKUP(Tables!$L$422,'Input LwA_XYZ'!$AH$1:$AV$1,'Input LwA_XYZ'!AH35:AV35),0) &amp; " ft")</f>
        <v>43 / 177 ft</v>
      </c>
      <c r="R456" s="91" t="str">
        <f>IF($N456="","",IF(_xlfn.XLOOKUP(Tables!$L$422,'Input LwA_XYZ'!$BV$1:$CJ$1,'Input LwA_XYZ'!BV35:CJ35)="","-",_xlfn.XLOOKUP(Tables!$L$422,'Input LwA_XYZ'!$BV$1:$CJ$1,'Input LwA_XYZ'!BV35:CJ35)))</f>
        <v>-</v>
      </c>
      <c r="S456" s="91" t="str">
        <f>IF($N456="","",IF('Input LwA_XYZ'!S35="","-",'Input LwA_XYZ'!S35))</f>
        <v>-</v>
      </c>
      <c r="T456" s="65">
        <f>IF($N456="","",_xlfn.XLOOKUP(Tables!$L$422,'Input LwA_XYZ'!$DD$1:$DR$1,'Input LwA_XYZ'!DD35:DR35))</f>
        <v>23.39479009159399</v>
      </c>
    </row>
    <row r="457" spans="14:20" ht="16.5" x14ac:dyDescent="0.3">
      <c r="N457" s="190">
        <f>IF('Input LwA_XYZ'!A36 = 0, "", 'Input LwA_XYZ'!A36)</f>
        <v>1</v>
      </c>
      <c r="O457" s="189" t="str">
        <f>IF($N457="","",_xlfn.TEXTJOIN(" - ",TRUE,'Input LwA_XYZ'!B36:C36))</f>
        <v>BEF-R14  - Inlet</v>
      </c>
      <c r="P457" s="64">
        <f>IF($N457="","",'Input LwA_XYZ'!Q36)</f>
        <v>66</v>
      </c>
      <c r="Q457" s="91" t="str">
        <f>IF($N457="","",-1*ROUND(_xlfn.XLOOKUP(Tables!$L$422,'Input LwA_XYZ'!$AY$1:$BM$1,'Input LwA_XYZ'!AY36:BM36),0) &amp; " / " &amp; ROUND(_xlfn.XLOOKUP(Tables!$L$422,'Input LwA_XYZ'!$AH$1:$AV$1,'Input LwA_XYZ'!AH36:AV36),0) &amp; " ft")</f>
        <v>42 / 160 ft</v>
      </c>
      <c r="R457" s="91" t="str">
        <f>IF($N457="","",IF(_xlfn.XLOOKUP(Tables!$L$422,'Input LwA_XYZ'!$BV$1:$CJ$1,'Input LwA_XYZ'!BV36:CJ36)="","-",_xlfn.XLOOKUP(Tables!$L$422,'Input LwA_XYZ'!$BV$1:$CJ$1,'Input LwA_XYZ'!BV36:CJ36)))</f>
        <v>-</v>
      </c>
      <c r="S457" s="91" t="str">
        <f>IF($N457="","",IF('Input LwA_XYZ'!S36="","-",'Input LwA_XYZ'!S36))</f>
        <v>-</v>
      </c>
      <c r="T457" s="65">
        <f>IF($N457="","",_xlfn.XLOOKUP(Tables!$L$422,'Input LwA_XYZ'!$DD$1:$DR$1,'Input LwA_XYZ'!DD36:DR36))</f>
        <v>24.267760520630574</v>
      </c>
    </row>
    <row r="458" spans="14:20" ht="16.5" x14ac:dyDescent="0.3">
      <c r="N458" s="190">
        <f>IF('Input LwA_XYZ'!A37 = 0, "", 'Input LwA_XYZ'!A37)</f>
        <v>1</v>
      </c>
      <c r="O458" s="189" t="str">
        <f>IF($N458="","",_xlfn.TEXTJOIN(" - ",TRUE,'Input LwA_XYZ'!B37:C37))</f>
        <v>BEF-R15  - Inlet</v>
      </c>
      <c r="P458" s="64">
        <f>IF($N458="","",'Input LwA_XYZ'!Q37)</f>
        <v>57</v>
      </c>
      <c r="Q458" s="91" t="str">
        <f>IF($N458="","",-1*ROUND(_xlfn.XLOOKUP(Tables!$L$422,'Input LwA_XYZ'!$AY$1:$BM$1,'Input LwA_XYZ'!AY37:BM37),0) &amp; " / " &amp; ROUND(_xlfn.XLOOKUP(Tables!$L$422,'Input LwA_XYZ'!$AH$1:$AV$1,'Input LwA_XYZ'!AH37:AV37),0) &amp; " ft")</f>
        <v>41 / 151 ft</v>
      </c>
      <c r="R458" s="91" t="str">
        <f>IF($N458="","",IF(_xlfn.XLOOKUP(Tables!$L$422,'Input LwA_XYZ'!$BV$1:$CJ$1,'Input LwA_XYZ'!BV37:CJ37)="","-",_xlfn.XLOOKUP(Tables!$L$422,'Input LwA_XYZ'!$BV$1:$CJ$1,'Input LwA_XYZ'!BV37:CJ37)))</f>
        <v>-</v>
      </c>
      <c r="S458" s="91" t="str">
        <f>IF($N458="","",IF('Input LwA_XYZ'!S37="","-",'Input LwA_XYZ'!S37))</f>
        <v>-</v>
      </c>
      <c r="T458" s="65">
        <f>IF($N458="","",_xlfn.XLOOKUP(Tables!$L$422,'Input LwA_XYZ'!$DD$1:$DR$1,'Input LwA_XYZ'!DD37:DR37))</f>
        <v>15.774111416089106</v>
      </c>
    </row>
    <row r="459" spans="14:20" ht="16.5" x14ac:dyDescent="0.3">
      <c r="N459" s="190">
        <f>IF('Input LwA_XYZ'!A38 = 0, "", 'Input LwA_XYZ'!A38)</f>
        <v>1</v>
      </c>
      <c r="O459" s="189" t="str">
        <f>IF($N459="","",_xlfn.TEXTJOIN(" - ",TRUE,'Input LwA_XYZ'!B38:C38))</f>
        <v>BEF-R16  - Inlet</v>
      </c>
      <c r="P459" s="64">
        <f>IF($N459="","",'Input LwA_XYZ'!Q38)</f>
        <v>57</v>
      </c>
      <c r="Q459" s="91" t="str">
        <f>IF($N459="","",-1*ROUND(_xlfn.XLOOKUP(Tables!$L$422,'Input LwA_XYZ'!$AY$1:$BM$1,'Input LwA_XYZ'!AY38:BM38),0) &amp; " / " &amp; ROUND(_xlfn.XLOOKUP(Tables!$L$422,'Input LwA_XYZ'!$AH$1:$AV$1,'Input LwA_XYZ'!AH38:AV38),0) &amp; " ft")</f>
        <v>44 / 218 ft</v>
      </c>
      <c r="R459" s="91" t="str">
        <f>IF($N459="","",IF(_xlfn.XLOOKUP(Tables!$L$422,'Input LwA_XYZ'!$BV$1:$CJ$1,'Input LwA_XYZ'!BV38:CJ38)="","-",_xlfn.XLOOKUP(Tables!$L$422,'Input LwA_XYZ'!$BV$1:$CJ$1,'Input LwA_XYZ'!BV38:CJ38)))</f>
        <v>-</v>
      </c>
      <c r="S459" s="91" t="str">
        <f>IF($N459="","",IF('Input LwA_XYZ'!S38="","-",'Input LwA_XYZ'!S38))</f>
        <v>-</v>
      </c>
      <c r="T459" s="65">
        <f>IF($N459="","",_xlfn.XLOOKUP(Tables!$L$422,'Input LwA_XYZ'!$DD$1:$DR$1,'Input LwA_XYZ'!DD38:DR38))</f>
        <v>12.585684800234958</v>
      </c>
    </row>
    <row r="460" spans="14:20" ht="16.5" x14ac:dyDescent="0.3">
      <c r="N460" s="190" t="str">
        <f>IF('Input LwA_XYZ'!A39 = 0, "", 'Input LwA_XYZ'!A39)</f>
        <v/>
      </c>
      <c r="O460" s="189" t="str">
        <f>IF($N460="","",_xlfn.TEXTJOIN(" - ",TRUE,'Input LwA_XYZ'!B39:C39))</f>
        <v/>
      </c>
      <c r="P460" s="64" t="str">
        <f>IF($N460="","",'Input LwA_XYZ'!Q39)</f>
        <v/>
      </c>
      <c r="Q460" s="91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91" t="str">
        <f>IF($N460="","",IF(_xlfn.XLOOKUP(Tables!$L$422,'Input LwA_XYZ'!$BV$1:$CJ$1,'Input LwA_XYZ'!BV39:CJ39)="","-",_xlfn.XLOOKUP(Tables!$L$422,'Input LwA_XYZ'!$BV$1:$CJ$1,'Input LwA_XYZ'!BV39:CJ39)))</f>
        <v/>
      </c>
      <c r="S460" s="91" t="str">
        <f>IF($N460="","",IF('Input LwA_XYZ'!S39="","-",'Input LwA_XYZ'!S39))</f>
        <v/>
      </c>
      <c r="T460" s="65" t="str">
        <f>IF($N460="","",_xlfn.XLOOKUP(Tables!$L$422,'Input LwA_XYZ'!$DD$1:$DR$1,'Input LwA_XYZ'!DD39:DR39))</f>
        <v/>
      </c>
    </row>
    <row r="461" spans="14:20" ht="16.5" x14ac:dyDescent="0.3">
      <c r="N461" s="190" t="str">
        <f>IF('Input LwA_XYZ'!A40 = 0, "", 'Input LwA_XYZ'!A40)</f>
        <v/>
      </c>
      <c r="O461" s="189" t="str">
        <f>IF($N461="","",_xlfn.TEXTJOIN(" - ",TRUE,'Input LwA_XYZ'!B40:C40))</f>
        <v/>
      </c>
      <c r="P461" s="64" t="str">
        <f>IF($N461="","",'Input LwA_XYZ'!Q40)</f>
        <v/>
      </c>
      <c r="Q461" s="91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91" t="str">
        <f>IF($N461="","",IF(_xlfn.XLOOKUP(Tables!$L$422,'Input LwA_XYZ'!$BV$1:$CJ$1,'Input LwA_XYZ'!BV40:CJ40)="","-",_xlfn.XLOOKUP(Tables!$L$422,'Input LwA_XYZ'!$BV$1:$CJ$1,'Input LwA_XYZ'!BV40:CJ40)))</f>
        <v/>
      </c>
      <c r="S461" s="91" t="str">
        <f>IF($N461="","",IF('Input LwA_XYZ'!S40="","-",'Input LwA_XYZ'!S40))</f>
        <v/>
      </c>
      <c r="T461" s="65" t="str">
        <f>IF($N461="","",_xlfn.XLOOKUP(Tables!$L$422,'Input LwA_XYZ'!$DD$1:$DR$1,'Input LwA_XYZ'!DD40:DR40))</f>
        <v/>
      </c>
    </row>
    <row r="462" spans="14:20" ht="16.5" x14ac:dyDescent="0.3">
      <c r="N462" s="190" t="str">
        <f>IF('Input LwA_XYZ'!A41 = 0, "", 'Input LwA_XYZ'!A41)</f>
        <v/>
      </c>
      <c r="O462" s="189" t="str">
        <f>IF($N462="","",_xlfn.TEXTJOIN(" - ",TRUE,'Input LwA_XYZ'!B41:C41))</f>
        <v/>
      </c>
      <c r="P462" s="64" t="str">
        <f>IF($N462="","",'Input LwA_XYZ'!Q41)</f>
        <v/>
      </c>
      <c r="Q462" s="91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91" t="str">
        <f>IF($N462="","",IF(_xlfn.XLOOKUP(Tables!$L$422,'Input LwA_XYZ'!$BV$1:$CJ$1,'Input LwA_XYZ'!BV41:CJ41)="","-",_xlfn.XLOOKUP(Tables!$L$422,'Input LwA_XYZ'!$BV$1:$CJ$1,'Input LwA_XYZ'!BV41:CJ41)))</f>
        <v/>
      </c>
      <c r="S462" s="91" t="str">
        <f>IF($N462="","",IF('Input LwA_XYZ'!S41="","-",'Input LwA_XYZ'!S41))</f>
        <v/>
      </c>
      <c r="T462" s="65" t="str">
        <f>IF($N462="","",_xlfn.XLOOKUP(Tables!$L$422,'Input LwA_XYZ'!$DD$1:$DR$1,'Input LwA_XYZ'!DD41:DR41))</f>
        <v/>
      </c>
    </row>
    <row r="463" spans="14:20" ht="16.5" x14ac:dyDescent="0.3">
      <c r="N463" s="190" t="str">
        <f>IF('Input LwA_XYZ'!A42 = 0, "", 'Input LwA_XYZ'!A42)</f>
        <v/>
      </c>
      <c r="O463" s="189" t="str">
        <f>IF($N463="","",_xlfn.TEXTJOIN(" - ",TRUE,'Input LwA_XYZ'!B42:C42))</f>
        <v/>
      </c>
      <c r="P463" s="64" t="str">
        <f>IF($N463="","",'Input LwA_XYZ'!Q42)</f>
        <v/>
      </c>
      <c r="Q463" s="91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91" t="str">
        <f>IF($N463="","",IF(_xlfn.XLOOKUP(Tables!$L$422,'Input LwA_XYZ'!$BV$1:$CJ$1,'Input LwA_XYZ'!BV42:CJ42)="","-",_xlfn.XLOOKUP(Tables!$L$422,'Input LwA_XYZ'!$BV$1:$CJ$1,'Input LwA_XYZ'!BV42:CJ42)))</f>
        <v/>
      </c>
      <c r="S463" s="91" t="str">
        <f>IF($N463="","",IF('Input LwA_XYZ'!S42="","-",'Input LwA_XYZ'!S42))</f>
        <v/>
      </c>
      <c r="T463" s="65" t="str">
        <f>IF($N463="","",_xlfn.XLOOKUP(Tables!$L$422,'Input LwA_XYZ'!$DD$1:$DR$1,'Input LwA_XYZ'!DD42:DR42))</f>
        <v/>
      </c>
    </row>
    <row r="464" spans="14:20" ht="16.5" x14ac:dyDescent="0.3">
      <c r="N464" s="190" t="str">
        <f>IF('Input LwA_XYZ'!A43 = 0, "", 'Input LwA_XYZ'!A43)</f>
        <v/>
      </c>
      <c r="O464" s="189" t="str">
        <f>IF($N464="","",_xlfn.TEXTJOIN(" - ",TRUE,'Input LwA_XYZ'!B43:C43))</f>
        <v/>
      </c>
      <c r="P464" s="64" t="str">
        <f>IF($N464="","",'Input LwA_XYZ'!Q43)</f>
        <v/>
      </c>
      <c r="Q464" s="91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91" t="str">
        <f>IF($N464="","",IF(_xlfn.XLOOKUP(Tables!$L$422,'Input LwA_XYZ'!$BV$1:$CJ$1,'Input LwA_XYZ'!BV43:CJ43)="","-",_xlfn.XLOOKUP(Tables!$L$422,'Input LwA_XYZ'!$BV$1:$CJ$1,'Input LwA_XYZ'!BV43:CJ43)))</f>
        <v/>
      </c>
      <c r="S464" s="91" t="str">
        <f>IF($N464="","",IF('Input LwA_XYZ'!S43="","-",'Input LwA_XYZ'!S43))</f>
        <v/>
      </c>
      <c r="T464" s="65" t="str">
        <f>IF($N464="","",_xlfn.XLOOKUP(Tables!$L$422,'Input LwA_XYZ'!$DD$1:$DR$1,'Input LwA_XYZ'!DD43:DR43))</f>
        <v/>
      </c>
    </row>
    <row r="465" spans="14:20" ht="16.5" x14ac:dyDescent="0.3">
      <c r="N465" s="190" t="str">
        <f>IF('Input LwA_XYZ'!A44 = 0, "", 'Input LwA_XYZ'!A44)</f>
        <v/>
      </c>
      <c r="O465" s="189" t="str">
        <f>IF($N465="","",_xlfn.TEXTJOIN(" - ",TRUE,'Input LwA_XYZ'!B44:C44))</f>
        <v/>
      </c>
      <c r="P465" s="64" t="str">
        <f>IF($N465="","",'Input LwA_XYZ'!Q44)</f>
        <v/>
      </c>
      <c r="Q465" s="91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91" t="str">
        <f>IF($N465="","",IF(_xlfn.XLOOKUP(Tables!$L$422,'Input LwA_XYZ'!$BV$1:$CJ$1,'Input LwA_XYZ'!BV44:CJ44)="","-",_xlfn.XLOOKUP(Tables!$L$422,'Input LwA_XYZ'!$BV$1:$CJ$1,'Input LwA_XYZ'!BV44:CJ44)))</f>
        <v/>
      </c>
      <c r="S465" s="91" t="str">
        <f>IF($N465="","",IF('Input LwA_XYZ'!S44="","-",'Input LwA_XYZ'!S44))</f>
        <v/>
      </c>
      <c r="T465" s="65" t="str">
        <f>IF($N465="","",_xlfn.XLOOKUP(Tables!$L$422,'Input LwA_XYZ'!$DD$1:$DR$1,'Input LwA_XYZ'!DD44:DR44))</f>
        <v/>
      </c>
    </row>
    <row r="466" spans="14:20" ht="16.5" x14ac:dyDescent="0.3">
      <c r="N466" s="190" t="str">
        <f>IF('Input LwA_XYZ'!A45 = 0, "", 'Input LwA_XYZ'!A45)</f>
        <v/>
      </c>
      <c r="O466" s="189" t="str">
        <f>IF($N466="","",_xlfn.TEXTJOIN(" - ",TRUE,'Input LwA_XYZ'!B45:C45))</f>
        <v/>
      </c>
      <c r="P466" s="64" t="str">
        <f>IF($N466="","",'Input LwA_XYZ'!Q45)</f>
        <v/>
      </c>
      <c r="Q466" s="91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91" t="str">
        <f>IF($N466="","",IF(_xlfn.XLOOKUP(Tables!$L$422,'Input LwA_XYZ'!$BV$1:$CJ$1,'Input LwA_XYZ'!BV45:CJ45)="","-",_xlfn.XLOOKUP(Tables!$L$422,'Input LwA_XYZ'!$BV$1:$CJ$1,'Input LwA_XYZ'!BV45:CJ45)))</f>
        <v/>
      </c>
      <c r="S466" s="91" t="str">
        <f>IF($N466="","",IF('Input LwA_XYZ'!S45="","-",'Input LwA_XYZ'!S45))</f>
        <v/>
      </c>
      <c r="T466" s="65" t="str">
        <f>IF($N466="","",_xlfn.XLOOKUP(Tables!$L$422,'Input LwA_XYZ'!$DD$1:$DR$1,'Input LwA_XYZ'!DD45:DR45))</f>
        <v/>
      </c>
    </row>
    <row r="467" spans="14:20" ht="16.5" x14ac:dyDescent="0.3">
      <c r="N467" s="190" t="str">
        <f>IF('Input LwA_XYZ'!A46 = 0, "", 'Input LwA_XYZ'!A46)</f>
        <v/>
      </c>
      <c r="O467" s="189" t="str">
        <f>IF($N467="","",_xlfn.TEXTJOIN(" - ",TRUE,'Input LwA_XYZ'!B46:C46))</f>
        <v/>
      </c>
      <c r="P467" s="64" t="str">
        <f>IF($N467="","",'Input LwA_XYZ'!Q46)</f>
        <v/>
      </c>
      <c r="Q467" s="91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91" t="str">
        <f>IF($N467="","",IF(_xlfn.XLOOKUP(Tables!$L$422,'Input LwA_XYZ'!$BV$1:$CJ$1,'Input LwA_XYZ'!BV46:CJ46)="","-",_xlfn.XLOOKUP(Tables!$L$422,'Input LwA_XYZ'!$BV$1:$CJ$1,'Input LwA_XYZ'!BV46:CJ46)))</f>
        <v/>
      </c>
      <c r="S467" s="91" t="str">
        <f>IF($N467="","",IF('Input LwA_XYZ'!S46="","-",'Input LwA_XYZ'!S46))</f>
        <v/>
      </c>
      <c r="T467" s="65" t="str">
        <f>IF($N467="","",_xlfn.XLOOKUP(Tables!$L$422,'Input LwA_XYZ'!$DD$1:$DR$1,'Input LwA_XYZ'!DD46:DR46))</f>
        <v/>
      </c>
    </row>
    <row r="468" spans="14:20" ht="16.5" x14ac:dyDescent="0.3">
      <c r="N468" s="190" t="str">
        <f>IF('Input LwA_XYZ'!A47 = 0, "", 'Input LwA_XYZ'!A47)</f>
        <v/>
      </c>
      <c r="O468" s="189" t="str">
        <f>IF($N468="","",_xlfn.TEXTJOIN(" - ",TRUE,'Input LwA_XYZ'!B47:C47))</f>
        <v/>
      </c>
      <c r="P468" s="64" t="str">
        <f>IF($N468="","",'Input LwA_XYZ'!Q47)</f>
        <v/>
      </c>
      <c r="Q468" s="91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91" t="str">
        <f>IF($N468="","",IF(_xlfn.XLOOKUP(Tables!$L$422,'Input LwA_XYZ'!$BV$1:$CJ$1,'Input LwA_XYZ'!BV47:CJ47)="","-",_xlfn.XLOOKUP(Tables!$L$422,'Input LwA_XYZ'!$BV$1:$CJ$1,'Input LwA_XYZ'!BV47:CJ47)))</f>
        <v/>
      </c>
      <c r="S468" s="91" t="str">
        <f>IF($N468="","",IF('Input LwA_XYZ'!S47="","-",'Input LwA_XYZ'!S47))</f>
        <v/>
      </c>
      <c r="T468" s="65" t="str">
        <f>IF($N468="","",_xlfn.XLOOKUP(Tables!$L$422,'Input LwA_XYZ'!$DD$1:$DR$1,'Input LwA_XYZ'!DD47:DR47))</f>
        <v/>
      </c>
    </row>
    <row r="469" spans="14:20" ht="16.5" x14ac:dyDescent="0.3">
      <c r="N469" s="190" t="str">
        <f>IF('Input LwA_XYZ'!A48 = 0, "", 'Input LwA_XYZ'!A48)</f>
        <v/>
      </c>
      <c r="O469" s="189" t="str">
        <f>IF($N469="","",_xlfn.TEXTJOIN(" - ",TRUE,'Input LwA_XYZ'!B48:C48))</f>
        <v/>
      </c>
      <c r="P469" s="64" t="str">
        <f>IF($N469="","",'Input LwA_XYZ'!Q48)</f>
        <v/>
      </c>
      <c r="Q469" s="91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91" t="str">
        <f>IF($N469="","",IF(_xlfn.XLOOKUP(Tables!$L$422,'Input LwA_XYZ'!$BV$1:$CJ$1,'Input LwA_XYZ'!BV48:CJ48)="","-",_xlfn.XLOOKUP(Tables!$L$422,'Input LwA_XYZ'!$BV$1:$CJ$1,'Input LwA_XYZ'!BV48:CJ48)))</f>
        <v/>
      </c>
      <c r="S469" s="91" t="str">
        <f>IF($N469="","",IF('Input LwA_XYZ'!S48="","-",'Input LwA_XYZ'!S48))</f>
        <v/>
      </c>
      <c r="T469" s="65" t="str">
        <f>IF($N469="","",_xlfn.XLOOKUP(Tables!$L$422,'Input LwA_XYZ'!$DD$1:$DR$1,'Input LwA_XYZ'!DD48:DR48))</f>
        <v/>
      </c>
    </row>
    <row r="470" spans="14:20" ht="16.5" x14ac:dyDescent="0.3">
      <c r="N470" s="190" t="str">
        <f>IF('Input LwA_XYZ'!A49 = 0, "", 'Input LwA_XYZ'!A49)</f>
        <v/>
      </c>
      <c r="O470" s="189" t="str">
        <f>IF($N470="","",_xlfn.TEXTJOIN(" - ",TRUE,'Input LwA_XYZ'!B49:C49))</f>
        <v/>
      </c>
      <c r="P470" s="64" t="str">
        <f>IF($N470="","",'Input LwA_XYZ'!Q49)</f>
        <v/>
      </c>
      <c r="Q470" s="91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91" t="str">
        <f>IF($N470="","",IF(_xlfn.XLOOKUP(Tables!$L$422,'Input LwA_XYZ'!$BV$1:$CJ$1,'Input LwA_XYZ'!BV49:CJ49)="","-",_xlfn.XLOOKUP(Tables!$L$422,'Input LwA_XYZ'!$BV$1:$CJ$1,'Input LwA_XYZ'!BV49:CJ49)))</f>
        <v/>
      </c>
      <c r="S470" s="91" t="str">
        <f>IF($N470="","",IF('Input LwA_XYZ'!S49="","-",'Input LwA_XYZ'!S49))</f>
        <v/>
      </c>
      <c r="T470" s="65" t="str">
        <f>IF($N470="","",_xlfn.XLOOKUP(Tables!$L$422,'Input LwA_XYZ'!$DD$1:$DR$1,'Input LwA_XYZ'!DD49:DR49))</f>
        <v/>
      </c>
    </row>
    <row r="471" spans="14:20" ht="16.5" x14ac:dyDescent="0.3">
      <c r="N471" s="190" t="str">
        <f>IF('Input LwA_XYZ'!A50 = 0, "", 'Input LwA_XYZ'!A50)</f>
        <v/>
      </c>
      <c r="O471" s="189" t="str">
        <f>IF($N471="","",_xlfn.TEXTJOIN(" - ",TRUE,'Input LwA_XYZ'!B50:C50))</f>
        <v/>
      </c>
      <c r="P471" s="64" t="str">
        <f>IF($N471="","",'Input LwA_XYZ'!Q50)</f>
        <v/>
      </c>
      <c r="Q471" s="91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91" t="str">
        <f>IF($N471="","",IF(_xlfn.XLOOKUP(Tables!$L$422,'Input LwA_XYZ'!$BV$1:$CJ$1,'Input LwA_XYZ'!BV50:CJ50)="","-",_xlfn.XLOOKUP(Tables!$L$422,'Input LwA_XYZ'!$BV$1:$CJ$1,'Input LwA_XYZ'!BV50:CJ50)))</f>
        <v/>
      </c>
      <c r="S471" s="91" t="str">
        <f>IF($N471="","",IF('Input LwA_XYZ'!S50="","-",'Input LwA_XYZ'!S50))</f>
        <v/>
      </c>
      <c r="T471" s="65" t="str">
        <f>IF($N471="","",_xlfn.XLOOKUP(Tables!$L$422,'Input LwA_XYZ'!$DD$1:$DR$1,'Input LwA_XYZ'!DD50:DR50))</f>
        <v/>
      </c>
    </row>
    <row r="472" spans="14:20" ht="16.5" x14ac:dyDescent="0.3">
      <c r="N472" s="190" t="str">
        <f>IF('Input LwA_XYZ'!A51 = 0, "", 'Input LwA_XYZ'!A51)</f>
        <v/>
      </c>
      <c r="O472" s="189" t="str">
        <f>IF($N472="","",_xlfn.TEXTJOIN(" - ",TRUE,'Input LwA_XYZ'!B51:C51))</f>
        <v/>
      </c>
      <c r="P472" s="64" t="str">
        <f>IF($N472="","",'Input LwA_XYZ'!Q51)</f>
        <v/>
      </c>
      <c r="Q472" s="91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91" t="str">
        <f>IF($N472="","",IF(_xlfn.XLOOKUP(Tables!$L$422,'Input LwA_XYZ'!$BV$1:$CJ$1,'Input LwA_XYZ'!BV51:CJ51)="","-",_xlfn.XLOOKUP(Tables!$L$422,'Input LwA_XYZ'!$BV$1:$CJ$1,'Input LwA_XYZ'!BV51:CJ51)))</f>
        <v/>
      </c>
      <c r="S472" s="91" t="str">
        <f>IF($N472="","",IF('Input LwA_XYZ'!S51="","-",'Input LwA_XYZ'!S51))</f>
        <v/>
      </c>
      <c r="T472" s="65" t="str">
        <f>IF($N472="","",_xlfn.XLOOKUP(Tables!$L$422,'Input LwA_XYZ'!$DD$1:$DR$1,'Input LwA_XYZ'!DD51:DR51))</f>
        <v/>
      </c>
    </row>
    <row r="473" spans="14:20" ht="16.5" x14ac:dyDescent="0.3">
      <c r="N473" s="190" t="str">
        <f>IF('Input LwA_XYZ'!A52 = 0, "", 'Input LwA_XYZ'!A52)</f>
        <v/>
      </c>
      <c r="O473" s="189" t="str">
        <f>IF($N473="","",_xlfn.TEXTJOIN(" - ",TRUE,'Input LwA_XYZ'!B52:C52))</f>
        <v/>
      </c>
      <c r="P473" s="64" t="str">
        <f>IF($N473="","",'Input LwA_XYZ'!Q52)</f>
        <v/>
      </c>
      <c r="Q473" s="91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91" t="str">
        <f>IF($N473="","",IF(_xlfn.XLOOKUP(Tables!$L$422,'Input LwA_XYZ'!$BV$1:$CJ$1,'Input LwA_XYZ'!BV52:CJ52)="","-",_xlfn.XLOOKUP(Tables!$L$422,'Input LwA_XYZ'!$BV$1:$CJ$1,'Input LwA_XYZ'!BV52:CJ52)))</f>
        <v/>
      </c>
      <c r="S473" s="91" t="str">
        <f>IF($N473="","",IF('Input LwA_XYZ'!S52="","-",'Input LwA_XYZ'!S52))</f>
        <v/>
      </c>
      <c r="T473" s="65" t="str">
        <f>IF($N473="","",_xlfn.XLOOKUP(Tables!$L$422,'Input LwA_XYZ'!$DD$1:$DR$1,'Input LwA_XYZ'!DD52:DR52))</f>
        <v/>
      </c>
    </row>
    <row r="474" spans="14:20" ht="16.5" x14ac:dyDescent="0.3">
      <c r="N474" s="190" t="str">
        <f>IF('Input LwA_XYZ'!A53 = 0, "", 'Input LwA_XYZ'!A53)</f>
        <v/>
      </c>
      <c r="O474" s="189" t="str">
        <f>IF($N474="","",_xlfn.TEXTJOIN(" - ",TRUE,'Input LwA_XYZ'!B53:C53))</f>
        <v/>
      </c>
      <c r="P474" s="64" t="str">
        <f>IF($N474="","",'Input LwA_XYZ'!Q53)</f>
        <v/>
      </c>
      <c r="Q474" s="91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91" t="str">
        <f>IF($N474="","",IF(_xlfn.XLOOKUP(Tables!$L$422,'Input LwA_XYZ'!$BV$1:$CJ$1,'Input LwA_XYZ'!BV53:CJ53)="","-",_xlfn.XLOOKUP(Tables!$L$422,'Input LwA_XYZ'!$BV$1:$CJ$1,'Input LwA_XYZ'!BV53:CJ53)))</f>
        <v/>
      </c>
      <c r="S474" s="91" t="str">
        <f>IF($N474="","",IF('Input LwA_XYZ'!S53="","-",'Input LwA_XYZ'!S53))</f>
        <v/>
      </c>
      <c r="T474" s="65" t="str">
        <f>IF($N474="","",_xlfn.XLOOKUP(Tables!$L$422,'Input LwA_XYZ'!$DD$1:$DR$1,'Input LwA_XYZ'!DD53:DR53))</f>
        <v/>
      </c>
    </row>
    <row r="475" spans="14:20" ht="16.5" x14ac:dyDescent="0.3">
      <c r="N475" s="190" t="str">
        <f>IF('Input LwA_XYZ'!A54 = 0, "", 'Input LwA_XYZ'!A54)</f>
        <v/>
      </c>
      <c r="O475" s="189" t="str">
        <f>IF($N475="","",_xlfn.TEXTJOIN(" - ",TRUE,'Input LwA_XYZ'!B54:C54))</f>
        <v/>
      </c>
      <c r="P475" s="64" t="str">
        <f>IF($N475="","",'Input LwA_XYZ'!Q54)</f>
        <v/>
      </c>
      <c r="Q475" s="91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91" t="str">
        <f>IF($N475="","",IF(_xlfn.XLOOKUP(Tables!$L$422,'Input LwA_XYZ'!$BV$1:$CJ$1,'Input LwA_XYZ'!BV54:CJ54)="","-",_xlfn.XLOOKUP(Tables!$L$422,'Input LwA_XYZ'!$BV$1:$CJ$1,'Input LwA_XYZ'!BV54:CJ54)))</f>
        <v/>
      </c>
      <c r="S475" s="91" t="str">
        <f>IF($N475="","",IF('Input LwA_XYZ'!S54="","-",'Input LwA_XYZ'!S54))</f>
        <v/>
      </c>
      <c r="T475" s="65" t="str">
        <f>IF($N475="","",_xlfn.XLOOKUP(Tables!$L$422,'Input LwA_XYZ'!$DD$1:$DR$1,'Input LwA_XYZ'!DD54:DR54))</f>
        <v/>
      </c>
    </row>
    <row r="476" spans="14:20" ht="16.5" x14ac:dyDescent="0.3">
      <c r="N476" s="190" t="str">
        <f>IF('Input LwA_XYZ'!A55 = 0, "", 'Input LwA_XYZ'!A55)</f>
        <v/>
      </c>
      <c r="O476" s="189" t="str">
        <f>IF($N476="","",_xlfn.TEXTJOIN(" - ",TRUE,'Input LwA_XYZ'!B55:C55))</f>
        <v/>
      </c>
      <c r="P476" s="64" t="str">
        <f>IF($N476="","",'Input LwA_XYZ'!Q55)</f>
        <v/>
      </c>
      <c r="Q476" s="91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91" t="str">
        <f>IF($N476="","",IF(_xlfn.XLOOKUP(Tables!$L$422,'Input LwA_XYZ'!$BV$1:$CJ$1,'Input LwA_XYZ'!BV55:CJ55)="","-",_xlfn.XLOOKUP(Tables!$L$422,'Input LwA_XYZ'!$BV$1:$CJ$1,'Input LwA_XYZ'!BV55:CJ55)))</f>
        <v/>
      </c>
      <c r="S476" s="91" t="str">
        <f>IF($N476="","",IF('Input LwA_XYZ'!S55="","-",'Input LwA_XYZ'!S55))</f>
        <v/>
      </c>
      <c r="T476" s="65" t="str">
        <f>IF($N476="","",_xlfn.XLOOKUP(Tables!$L$422,'Input LwA_XYZ'!$DD$1:$DR$1,'Input LwA_XYZ'!DD55:DR55))</f>
        <v/>
      </c>
    </row>
    <row r="477" spans="14:20" ht="16.5" x14ac:dyDescent="0.3">
      <c r="N477" s="190" t="str">
        <f>IF('Input LwA_XYZ'!A56 = 0, "", 'Input LwA_XYZ'!A56)</f>
        <v/>
      </c>
      <c r="O477" s="189" t="str">
        <f>IF($N477="","",_xlfn.TEXTJOIN(" - ",TRUE,'Input LwA_XYZ'!B56:C56))</f>
        <v/>
      </c>
      <c r="P477" s="64" t="str">
        <f>IF($N477="","",'Input LwA_XYZ'!Q56)</f>
        <v/>
      </c>
      <c r="Q477" s="91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91" t="str">
        <f>IF($N477="","",IF(_xlfn.XLOOKUP(Tables!$L$422,'Input LwA_XYZ'!$BV$1:$CJ$1,'Input LwA_XYZ'!BV56:CJ56)="","-",_xlfn.XLOOKUP(Tables!$L$422,'Input LwA_XYZ'!$BV$1:$CJ$1,'Input LwA_XYZ'!BV56:CJ56)))</f>
        <v/>
      </c>
      <c r="S477" s="91" t="str">
        <f>IF($N477="","",IF('Input LwA_XYZ'!S56="","-",'Input LwA_XYZ'!S56))</f>
        <v/>
      </c>
      <c r="T477" s="65" t="str">
        <f>IF($N477="","",_xlfn.XLOOKUP(Tables!$L$422,'Input LwA_XYZ'!$DD$1:$DR$1,'Input LwA_XYZ'!DD56:DR56))</f>
        <v/>
      </c>
    </row>
    <row r="478" spans="14:20" ht="16.5" x14ac:dyDescent="0.3">
      <c r="N478" s="190" t="str">
        <f>IF('Input LwA_XYZ'!A57 = 0, "", 'Input LwA_XYZ'!A57)</f>
        <v/>
      </c>
      <c r="O478" s="189" t="str">
        <f>IF($N478="","",_xlfn.TEXTJOIN(" - ",TRUE,'Input LwA_XYZ'!B57:C57))</f>
        <v/>
      </c>
      <c r="P478" s="64" t="str">
        <f>IF($N478="","",'Input LwA_XYZ'!Q57)</f>
        <v/>
      </c>
      <c r="Q478" s="91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91" t="str">
        <f>IF($N478="","",IF(_xlfn.XLOOKUP(Tables!$L$422,'Input LwA_XYZ'!$BV$1:$CJ$1,'Input LwA_XYZ'!BV57:CJ57)="","-",_xlfn.XLOOKUP(Tables!$L$422,'Input LwA_XYZ'!$BV$1:$CJ$1,'Input LwA_XYZ'!BV57:CJ57)))</f>
        <v/>
      </c>
      <c r="S478" s="91" t="str">
        <f>IF($N478="","",IF('Input LwA_XYZ'!S57="","-",'Input LwA_XYZ'!S57))</f>
        <v/>
      </c>
      <c r="T478" s="65" t="str">
        <f>IF($N478="","",_xlfn.XLOOKUP(Tables!$L$422,'Input LwA_XYZ'!$DD$1:$DR$1,'Input LwA_XYZ'!DD57:DR57))</f>
        <v/>
      </c>
    </row>
    <row r="479" spans="14:20" ht="17.25" thickBot="1" x14ac:dyDescent="0.35">
      <c r="N479" s="191" t="str">
        <f>IF('Input LwA_XYZ'!A58 = 0, "", 'Input LwA_XYZ'!A58)</f>
        <v/>
      </c>
      <c r="O479" s="192" t="str">
        <f>IF($N479="","",_xlfn.TEXTJOIN(" - ",TRUE,'Input LwA_XYZ'!B58:C58))</f>
        <v/>
      </c>
      <c r="P479" s="99" t="str">
        <f>IF($N479="","",'Input LwA_XYZ'!Q58)</f>
        <v/>
      </c>
      <c r="Q479" s="100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91" t="str">
        <f>IF($N479="","",IF(_xlfn.XLOOKUP(Tables!$L$422,'Input LwA_XYZ'!$BV$1:$CJ$1,'Input LwA_XYZ'!BV58:CJ58)="","-",_xlfn.XLOOKUP(Tables!$L$422,'Input LwA_XYZ'!$BV$1:$CJ$1,'Input LwA_XYZ'!BV58:CJ58)))</f>
        <v/>
      </c>
      <c r="S479" s="91" t="str">
        <f>IF($N479="","",IF('Input LwA_XYZ'!S58="","-",'Input LwA_XYZ'!S58))</f>
        <v/>
      </c>
      <c r="T479" s="66" t="str">
        <f>IF($N479="","",_xlfn.XLOOKUP(Tables!$L$422,'Input LwA_XYZ'!$DD$1:$DR$1,'Input LwA_XYZ'!DD58:DR58))</f>
        <v/>
      </c>
    </row>
    <row r="480" spans="14:20" ht="17.25" thickBot="1" x14ac:dyDescent="0.35">
      <c r="N480" s="101" t="s">
        <v>85</v>
      </c>
      <c r="O480" s="102"/>
      <c r="P480" s="102"/>
      <c r="Q480" s="102"/>
      <c r="R480" s="102"/>
      <c r="S480" s="103"/>
      <c r="T480" s="108" t="str">
        <f>_xlfn.XLOOKUP(Tables!$L$422,'Input LwA_XYZ'!$Z$2:$Z$16,'Input LwA_XYZ'!$AE$2:$AE$16)</f>
        <v/>
      </c>
    </row>
    <row r="481" spans="12:20" ht="15.75" thickBot="1" x14ac:dyDescent="0.3"/>
    <row r="482" spans="12:20" ht="33.75" thickBot="1" x14ac:dyDescent="0.35">
      <c r="L482" s="69" t="s">
        <v>247</v>
      </c>
      <c r="N482" s="93" t="s">
        <v>79</v>
      </c>
      <c r="O482" s="94" t="s">
        <v>80</v>
      </c>
      <c r="P482" s="95" t="s">
        <v>81</v>
      </c>
      <c r="Q482" s="95" t="s">
        <v>82</v>
      </c>
      <c r="R482" s="96" t="s">
        <v>83</v>
      </c>
      <c r="S482" s="97" t="s">
        <v>84</v>
      </c>
      <c r="T482" s="98" t="s">
        <v>78</v>
      </c>
    </row>
    <row r="483" spans="12:20" ht="16.5" x14ac:dyDescent="0.3">
      <c r="N483" s="188">
        <f>IF('Input LwA_XYZ'!A2 = 0, "", 'Input LwA_XYZ'!A2)</f>
        <v>1</v>
      </c>
      <c r="O483" s="189" t="str">
        <f>IF($N483="","",_xlfn.TEXTJOIN(" - ",TRUE,'Input LwA_XYZ'!B2:C2))</f>
        <v>MAU-R1 - Ducted Inlet</v>
      </c>
      <c r="P483" s="90">
        <f>IF($N483="","",'Input LwA_XYZ'!Q2)</f>
        <v>86</v>
      </c>
      <c r="Q483" s="91" t="str">
        <f>IF($N483="","",-1*ROUND(_xlfn.XLOOKUP(Tables!$L$482,'Input LwA_XYZ'!$AY$1:$BM$1,'Input LwA_XYZ'!AY2:BM2),0) &amp; " / " &amp; ROUND(_xlfn.XLOOKUP(Tables!$L$482,'Input LwA_XYZ'!$AH$1:$AV$1,'Input LwA_XYZ'!AH2:AV2),0) &amp; " ft")</f>
        <v>42 / 162 ft</v>
      </c>
      <c r="R483" s="91" t="str">
        <f>IF($N483="","",IF(_xlfn.XLOOKUP(Tables!$L$482,'Input LwA_XYZ'!$BV$1:$CJ$1,'Input LwA_XYZ'!BV2:CJ2)="","-",_xlfn.XLOOKUP(Tables!$L$482,'Input LwA_XYZ'!$BV$1:$CJ$1,'Input LwA_XYZ'!BV2:CJ2)))</f>
        <v>-</v>
      </c>
      <c r="S483" s="91" t="str">
        <f>IF($N483="","",IF('Input LwA_XYZ'!S2="","-",'Input LwA_XYZ'!S2))</f>
        <v>-</v>
      </c>
      <c r="T483" s="92">
        <f>IF($N483="","",_xlfn.XLOOKUP(Tables!$L$482,'Input LwA_XYZ'!$DD$1:$DR$1,'Input LwA_XYZ'!DD2:DR2))</f>
        <v>44.138152188324661</v>
      </c>
    </row>
    <row r="484" spans="12:20" ht="16.5" x14ac:dyDescent="0.3">
      <c r="N484" s="190">
        <f>IF('Input LwA_XYZ'!A3 = 0, "", 'Input LwA_XYZ'!A3)</f>
        <v>1</v>
      </c>
      <c r="O484" s="189" t="str">
        <f>IF($N484="","",_xlfn.TEXTJOIN(" - ",TRUE,'Input LwA_XYZ'!B3:C3))</f>
        <v>ERV-R.1 - Outdoor+Casing+Exhaust</v>
      </c>
      <c r="P484" s="64">
        <f>IF($N484="","",'Input LwA_XYZ'!Q3)</f>
        <v>91</v>
      </c>
      <c r="Q484" s="91" t="str">
        <f>IF($N484="","",-1*ROUND(_xlfn.XLOOKUP(Tables!$L$482,'Input LwA_XYZ'!$AY$1:$BM$1,'Input LwA_XYZ'!AY3:BM3),0) &amp; " / " &amp; ROUND(_xlfn.XLOOKUP(Tables!$L$482,'Input LwA_XYZ'!$AH$1:$AV$1,'Input LwA_XYZ'!AH3:AV3),0) &amp; " ft")</f>
        <v>44 / 209 ft</v>
      </c>
      <c r="R484" s="91" t="str">
        <f>IF($N484="","",IF(_xlfn.XLOOKUP(Tables!$L$482,'Input LwA_XYZ'!$BV$1:$CJ$1,'Input LwA_XYZ'!BV3:CJ3)="","-",_xlfn.XLOOKUP(Tables!$L$482,'Input LwA_XYZ'!$BV$1:$CJ$1,'Input LwA_XYZ'!BV3:CJ3)))</f>
        <v>-</v>
      </c>
      <c r="S484" s="91" t="str">
        <f>IF($N484="","",IF('Input LwA_XYZ'!S3="","-",'Input LwA_XYZ'!S3))</f>
        <v>-</v>
      </c>
      <c r="T484" s="65">
        <f>IF($N484="","",_xlfn.XLOOKUP(Tables!$L$482,'Input LwA_XYZ'!$DD$1:$DR$1,'Input LwA_XYZ'!DD3:DR3))</f>
        <v>46.916163500616804</v>
      </c>
    </row>
    <row r="485" spans="12:20" ht="16.5" x14ac:dyDescent="0.3">
      <c r="N485" s="190">
        <f>IF('Input LwA_XYZ'!A4 = 0, "", 'Input LwA_XYZ'!A4)</f>
        <v>1</v>
      </c>
      <c r="O485" s="189" t="str">
        <f>IF($N485="","",_xlfn.TEXTJOIN(" - ",TRUE,'Input LwA_XYZ'!B4:C4))</f>
        <v>GEF-R1  - Inlet (plus ductwork lined)</v>
      </c>
      <c r="P485" s="64">
        <f>IF($N485="","",'Input LwA_XYZ'!Q4)</f>
        <v>82</v>
      </c>
      <c r="Q485" s="91" t="str">
        <f>IF($N485="","",-1*ROUND(_xlfn.XLOOKUP(Tables!$L$482,'Input LwA_XYZ'!$AY$1:$BM$1,'Input LwA_XYZ'!AY4:BM4),0) &amp; " / " &amp; ROUND(_xlfn.XLOOKUP(Tables!$L$482,'Input LwA_XYZ'!$AH$1:$AV$1,'Input LwA_XYZ'!AH4:AV4),0) &amp; " ft")</f>
        <v>45 / 227 ft</v>
      </c>
      <c r="R485" s="91" t="str">
        <f>IF($N485="","",IF(_xlfn.XLOOKUP(Tables!$L$482,'Input LwA_XYZ'!$BV$1:$CJ$1,'Input LwA_XYZ'!BV4:CJ4)="","-",_xlfn.XLOOKUP(Tables!$L$482,'Input LwA_XYZ'!$BV$1:$CJ$1,'Input LwA_XYZ'!BV4:CJ4)))</f>
        <v>-</v>
      </c>
      <c r="S485" s="91">
        <f>IF($N485="","",IF('Input LwA_XYZ'!S4="","-",'Input LwA_XYZ'!S4))</f>
        <v>13</v>
      </c>
      <c r="T485" s="65">
        <f>IF($N485="","",_xlfn.XLOOKUP(Tables!$L$482,'Input LwA_XYZ'!$DD$1:$DR$1,'Input LwA_XYZ'!DD4:DR4))</f>
        <v>24.209702003731167</v>
      </c>
    </row>
    <row r="486" spans="12:20" ht="16.5" x14ac:dyDescent="0.3">
      <c r="N486" s="190">
        <f>IF('Input LwA_XYZ'!A5 = 0, "", 'Input LwA_XYZ'!A5)</f>
        <v>1</v>
      </c>
      <c r="O486" s="189" t="str">
        <f>IF($N486="","",_xlfn.TEXTJOIN(" - ",TRUE,'Input LwA_XYZ'!B5:C5))</f>
        <v>DEF-R1, R2 - Inlet</v>
      </c>
      <c r="P486" s="64">
        <f>IF($N486="","",'Input LwA_XYZ'!Q5)</f>
        <v>70</v>
      </c>
      <c r="Q486" s="91" t="str">
        <f>IF($N486="","",-1*ROUND(_xlfn.XLOOKUP(Tables!$L$482,'Input LwA_XYZ'!$AY$1:$BM$1,'Input LwA_XYZ'!AY5:BM5),0) &amp; " / " &amp; ROUND(_xlfn.XLOOKUP(Tables!$L$482,'Input LwA_XYZ'!$AH$1:$AV$1,'Input LwA_XYZ'!AH5:AV5),0) &amp; " ft")</f>
        <v>45 / 221 ft</v>
      </c>
      <c r="R486" s="91" t="str">
        <f>IF($N486="","",IF(_xlfn.XLOOKUP(Tables!$L$482,'Input LwA_XYZ'!$BV$1:$CJ$1,'Input LwA_XYZ'!BV5:CJ5)="","-",_xlfn.XLOOKUP(Tables!$L$482,'Input LwA_XYZ'!$BV$1:$CJ$1,'Input LwA_XYZ'!BV5:CJ5)))</f>
        <v>-</v>
      </c>
      <c r="S486" s="91" t="str">
        <f>IF($N486="","",IF('Input LwA_XYZ'!S5="","-",'Input LwA_XYZ'!S5))</f>
        <v>-</v>
      </c>
      <c r="T486" s="65">
        <f>IF($N486="","",_xlfn.XLOOKUP(Tables!$L$482,'Input LwA_XYZ'!$DD$1:$DR$1,'Input LwA_XYZ'!DD5:DR5))</f>
        <v>25.440965737971545</v>
      </c>
    </row>
    <row r="487" spans="12:20" ht="16.5" x14ac:dyDescent="0.3">
      <c r="N487" s="190">
        <f>IF('Input LwA_XYZ'!A6 = 0, "", 'Input LwA_XYZ'!A6)</f>
        <v>1</v>
      </c>
      <c r="O487" s="189" t="str">
        <f>IF($N487="","",_xlfn.TEXTJOIN(" - ",TRUE,'Input LwA_XYZ'!B6:C6))</f>
        <v>KEF-R1  - Inlet</v>
      </c>
      <c r="P487" s="64">
        <f>IF($N487="","",'Input LwA_XYZ'!Q6)</f>
        <v>80</v>
      </c>
      <c r="Q487" s="91" t="str">
        <f>IF($N487="","",-1*ROUND(_xlfn.XLOOKUP(Tables!$L$482,'Input LwA_XYZ'!$AY$1:$BM$1,'Input LwA_XYZ'!AY6:BM6),0) &amp; " / " &amp; ROUND(_xlfn.XLOOKUP(Tables!$L$482,'Input LwA_XYZ'!$AH$1:$AV$1,'Input LwA_XYZ'!AH6:AV6),0) &amp; " ft")</f>
        <v>41 / 143 ft</v>
      </c>
      <c r="R487" s="91" t="str">
        <f>IF($N487="","",IF(_xlfn.XLOOKUP(Tables!$L$482,'Input LwA_XYZ'!$BV$1:$CJ$1,'Input LwA_XYZ'!BV6:CJ6)="","-",_xlfn.XLOOKUP(Tables!$L$482,'Input LwA_XYZ'!$BV$1:$CJ$1,'Input LwA_XYZ'!BV6:CJ6)))</f>
        <v>-</v>
      </c>
      <c r="S487" s="91" t="str">
        <f>IF($N487="","",IF('Input LwA_XYZ'!S6="","-",'Input LwA_XYZ'!S6))</f>
        <v>-</v>
      </c>
      <c r="T487" s="65">
        <f>IF($N487="","",_xlfn.XLOOKUP(Tables!$L$482,'Input LwA_XYZ'!$DD$1:$DR$1,'Input LwA_XYZ'!DD6:DR6))</f>
        <v>39.206517993449772</v>
      </c>
    </row>
    <row r="488" spans="12:20" ht="16.5" x14ac:dyDescent="0.3">
      <c r="N488" s="190">
        <f>IF('Input LwA_XYZ'!A7 = 0, "", 'Input LwA_XYZ'!A7)</f>
        <v>1</v>
      </c>
      <c r="O488" s="189" t="str">
        <f>IF($N488="","",_xlfn.TEXTJOIN(" - ",TRUE,'Input LwA_XYZ'!B7:C7))</f>
        <v>DWEF-R1 - Inlet</v>
      </c>
      <c r="P488" s="64">
        <f>IF($N488="","",'Input LwA_XYZ'!Q7)</f>
        <v>71</v>
      </c>
      <c r="Q488" s="91" t="str">
        <f>IF($N488="","",-1*ROUND(_xlfn.XLOOKUP(Tables!$L$482,'Input LwA_XYZ'!$AY$1:$BM$1,'Input LwA_XYZ'!AY7:BM7),0) &amp; " / " &amp; ROUND(_xlfn.XLOOKUP(Tables!$L$482,'Input LwA_XYZ'!$AH$1:$AV$1,'Input LwA_XYZ'!AH7:AV7),0) &amp; " ft")</f>
        <v>41 / 153 ft</v>
      </c>
      <c r="R488" s="91" t="str">
        <f>IF($N488="","",IF(_xlfn.XLOOKUP(Tables!$L$482,'Input LwA_XYZ'!$BV$1:$CJ$1,'Input LwA_XYZ'!BV7:CJ7)="","-",_xlfn.XLOOKUP(Tables!$L$482,'Input LwA_XYZ'!$BV$1:$CJ$1,'Input LwA_XYZ'!BV7:CJ7)))</f>
        <v>-</v>
      </c>
      <c r="S488" s="91" t="str">
        <f>IF($N488="","",IF('Input LwA_XYZ'!S7="","-",'Input LwA_XYZ'!S7))</f>
        <v>-</v>
      </c>
      <c r="T488" s="65">
        <f>IF($N488="","",_xlfn.XLOOKUP(Tables!$L$482,'Input LwA_XYZ'!$DD$1:$DR$1,'Input LwA_XYZ'!DD7:DR7))</f>
        <v>29.624386760746141</v>
      </c>
    </row>
    <row r="489" spans="12:20" ht="16.5" x14ac:dyDescent="0.3">
      <c r="N489" s="190">
        <f>IF('Input LwA_XYZ'!A8 = 0, "", 'Input LwA_XYZ'!A8)</f>
        <v>1</v>
      </c>
      <c r="O489" s="189" t="str">
        <f>IF($N489="","",_xlfn.TEXTJOIN(" - ",TRUE,'Input LwA_XYZ'!B8:C8))</f>
        <v>CU-R1 - Radiated</v>
      </c>
      <c r="P489" s="64">
        <f>IF($N489="","",'Input LwA_XYZ'!Q8)</f>
        <v>84</v>
      </c>
      <c r="Q489" s="91" t="str">
        <f>IF($N489="","",-1*ROUND(_xlfn.XLOOKUP(Tables!$L$482,'Input LwA_XYZ'!$AY$1:$BM$1,'Input LwA_XYZ'!AY8:BM8),0) &amp; " / " &amp; ROUND(_xlfn.XLOOKUP(Tables!$L$482,'Input LwA_XYZ'!$AH$1:$AV$1,'Input LwA_XYZ'!AH8:AV8),0) &amp; " ft")</f>
        <v>43 / 196 ft</v>
      </c>
      <c r="R489" s="91" t="str">
        <f>IF($N489="","",IF(_xlfn.XLOOKUP(Tables!$L$482,'Input LwA_XYZ'!$BV$1:$CJ$1,'Input LwA_XYZ'!BV8:CJ8)="","-",_xlfn.XLOOKUP(Tables!$L$482,'Input LwA_XYZ'!$BV$1:$CJ$1,'Input LwA_XYZ'!BV8:CJ8)))</f>
        <v>-</v>
      </c>
      <c r="S489" s="91" t="str">
        <f>IF($N489="","",IF('Input LwA_XYZ'!S8="","-",'Input LwA_XYZ'!S8))</f>
        <v>-</v>
      </c>
      <c r="T489" s="65">
        <f>IF($N489="","",_xlfn.XLOOKUP(Tables!$L$482,'Input LwA_XYZ'!$DD$1:$DR$1,'Input LwA_XYZ'!DD8:DR8))</f>
        <v>40.502360776769571</v>
      </c>
    </row>
    <row r="490" spans="12:20" ht="16.5" x14ac:dyDescent="0.3">
      <c r="N490" s="190">
        <f>IF('Input LwA_XYZ'!A9 = 0, "", 'Input LwA_XYZ'!A9)</f>
        <v>1</v>
      </c>
      <c r="O490" s="189" t="str">
        <f>IF($N490="","",_xlfn.TEXTJOIN(" - ",TRUE,'Input LwA_XYZ'!B9:C9))</f>
        <v>CU-R2 - Radiated</v>
      </c>
      <c r="P490" s="64">
        <f>IF($N490="","",'Input LwA_XYZ'!Q9)</f>
        <v>81</v>
      </c>
      <c r="Q490" s="91" t="str">
        <f>IF($N490="","",-1*ROUND(_xlfn.XLOOKUP(Tables!$L$482,'Input LwA_XYZ'!$AY$1:$BM$1,'Input LwA_XYZ'!AY9:BM9),0) &amp; " / " &amp; ROUND(_xlfn.XLOOKUP(Tables!$L$482,'Input LwA_XYZ'!$AH$1:$AV$1,'Input LwA_XYZ'!AH9:AV9),0) &amp; " ft")</f>
        <v>43 / 191 ft</v>
      </c>
      <c r="R490" s="91" t="str">
        <f>IF($N490="","",IF(_xlfn.XLOOKUP(Tables!$L$482,'Input LwA_XYZ'!$BV$1:$CJ$1,'Input LwA_XYZ'!BV9:CJ9)="","-",_xlfn.XLOOKUP(Tables!$L$482,'Input LwA_XYZ'!$BV$1:$CJ$1,'Input LwA_XYZ'!BV9:CJ9)))</f>
        <v>-</v>
      </c>
      <c r="S490" s="91" t="str">
        <f>IF($N490="","",IF('Input LwA_XYZ'!S9="","-",'Input LwA_XYZ'!S9))</f>
        <v>-</v>
      </c>
      <c r="T490" s="65">
        <f>IF($N490="","",_xlfn.XLOOKUP(Tables!$L$482,'Input LwA_XYZ'!$DD$1:$DR$1,'Input LwA_XYZ'!DD9:DR9))</f>
        <v>37.707259956290457</v>
      </c>
    </row>
    <row r="491" spans="12:20" ht="16.5" x14ac:dyDescent="0.3">
      <c r="N491" s="190">
        <f>IF('Input LwA_XYZ'!A10 = 0, "", 'Input LwA_XYZ'!A10)</f>
        <v>1</v>
      </c>
      <c r="O491" s="189" t="str">
        <f>IF($N491="","",_xlfn.TEXTJOIN(" - ",TRUE,'Input LwA_XYZ'!B10:C10))</f>
        <v>CU-R4 - Radiated</v>
      </c>
      <c r="P491" s="64">
        <f>IF($N491="","",'Input LwA_XYZ'!Q10)</f>
        <v>73</v>
      </c>
      <c r="Q491" s="91" t="str">
        <f>IF($N491="","",-1*ROUND(_xlfn.XLOOKUP(Tables!$L$482,'Input LwA_XYZ'!$AY$1:$BM$1,'Input LwA_XYZ'!AY10:BM10),0) &amp; " / " &amp; ROUND(_xlfn.XLOOKUP(Tables!$L$482,'Input LwA_XYZ'!$AH$1:$AV$1,'Input LwA_XYZ'!AH10:AV10),0) &amp; " ft")</f>
        <v>44 / 203 ft</v>
      </c>
      <c r="R491" s="91" t="str">
        <f>IF($N491="","",IF(_xlfn.XLOOKUP(Tables!$L$482,'Input LwA_XYZ'!$BV$1:$CJ$1,'Input LwA_XYZ'!BV10:CJ10)="","-",_xlfn.XLOOKUP(Tables!$L$482,'Input LwA_XYZ'!$BV$1:$CJ$1,'Input LwA_XYZ'!BV10:CJ10)))</f>
        <v>-</v>
      </c>
      <c r="S491" s="91" t="str">
        <f>IF($N491="","",IF('Input LwA_XYZ'!S10="","-",'Input LwA_XYZ'!S10))</f>
        <v>-</v>
      </c>
      <c r="T491" s="65">
        <f>IF($N491="","",_xlfn.XLOOKUP(Tables!$L$482,'Input LwA_XYZ'!$DD$1:$DR$1,'Input LwA_XYZ'!DD10:DR10))</f>
        <v>29.203095283617799</v>
      </c>
    </row>
    <row r="492" spans="12:20" ht="16.5" x14ac:dyDescent="0.3">
      <c r="N492" s="190">
        <f>IF('Input LwA_XYZ'!A11 = 0, "", 'Input LwA_XYZ'!A11)</f>
        <v>1</v>
      </c>
      <c r="O492" s="189" t="str">
        <f>IF($N492="","",_xlfn.TEXTJOIN(" - ",TRUE,'Input LwA_XYZ'!B11:C11))</f>
        <v>CU-R5 - Radiated</v>
      </c>
      <c r="P492" s="64">
        <f>IF($N492="","",'Input LwA_XYZ'!Q11)</f>
        <v>75</v>
      </c>
      <c r="Q492" s="91" t="str">
        <f>IF($N492="","",-1*ROUND(_xlfn.XLOOKUP(Tables!$L$482,'Input LwA_XYZ'!$AY$1:$BM$1,'Input LwA_XYZ'!AY11:BM11),0) &amp; " / " &amp; ROUND(_xlfn.XLOOKUP(Tables!$L$482,'Input LwA_XYZ'!$AH$1:$AV$1,'Input LwA_XYZ'!AH11:AV11),0) &amp; " ft")</f>
        <v>42 / 171 ft</v>
      </c>
      <c r="R492" s="91" t="str">
        <f>IF($N492="","",IF(_xlfn.XLOOKUP(Tables!$L$482,'Input LwA_XYZ'!$BV$1:$CJ$1,'Input LwA_XYZ'!BV11:CJ11)="","-",_xlfn.XLOOKUP(Tables!$L$482,'Input LwA_XYZ'!$BV$1:$CJ$1,'Input LwA_XYZ'!BV11:CJ11)))</f>
        <v>-</v>
      </c>
      <c r="S492" s="91" t="str">
        <f>IF($N492="","",IF('Input LwA_XYZ'!S11="","-",'Input LwA_XYZ'!S11))</f>
        <v>-</v>
      </c>
      <c r="T492" s="65">
        <f>IF($N492="","",_xlfn.XLOOKUP(Tables!$L$482,'Input LwA_XYZ'!$DD$1:$DR$1,'Input LwA_XYZ'!DD11:DR11))</f>
        <v>32.671354572324766</v>
      </c>
    </row>
    <row r="493" spans="12:20" ht="16.5" x14ac:dyDescent="0.3">
      <c r="N493" s="190">
        <f>IF('Input LwA_XYZ'!A12 = 0, "", 'Input LwA_XYZ'!A12)</f>
        <v>4</v>
      </c>
      <c r="O493" s="189" t="str">
        <f>IF($N493="","",_xlfn.TEXTJOIN(" - ",TRUE,'Input LwA_XYZ'!B12:C12))</f>
        <v>RCU-R(4p)1 - Radiated</v>
      </c>
      <c r="P493" s="64">
        <f>IF($N493="","",'Input LwA_XYZ'!Q12)</f>
        <v>79.020599913279625</v>
      </c>
      <c r="Q493" s="91" t="str">
        <f>IF($N493="","",-1*ROUND(_xlfn.XLOOKUP(Tables!$L$482,'Input LwA_XYZ'!$AY$1:$BM$1,'Input LwA_XYZ'!AY12:BM12),0) &amp; " / " &amp; ROUND(_xlfn.XLOOKUP(Tables!$L$482,'Input LwA_XYZ'!$AH$1:$AV$1,'Input LwA_XYZ'!AH12:AV12),0) &amp; " ft")</f>
        <v>45 / 246 ft</v>
      </c>
      <c r="R493" s="91" t="str">
        <f>IF($N493="","",IF(_xlfn.XLOOKUP(Tables!$L$482,'Input LwA_XYZ'!$BV$1:$CJ$1,'Input LwA_XYZ'!BV12:CJ12)="","-",_xlfn.XLOOKUP(Tables!$L$482,'Input LwA_XYZ'!$BV$1:$CJ$1,'Input LwA_XYZ'!BV12:CJ12)))</f>
        <v>-</v>
      </c>
      <c r="S493" s="91" t="str">
        <f>IF($N493="","",IF('Input LwA_XYZ'!S12="","-",'Input LwA_XYZ'!S12))</f>
        <v>-</v>
      </c>
      <c r="T493" s="65">
        <f>IF($N493="","",_xlfn.XLOOKUP(Tables!$L$482,'Input LwA_XYZ'!$DD$1:$DR$1,'Input LwA_XYZ'!DD12:DR12))</f>
        <v>33.536483243585444</v>
      </c>
    </row>
    <row r="494" spans="12:20" ht="16.5" x14ac:dyDescent="0.3">
      <c r="N494" s="190">
        <f>IF('Input LwA_XYZ'!A13 = 0, "", 'Input LwA_XYZ'!A13)</f>
        <v>4</v>
      </c>
      <c r="O494" s="189" t="str">
        <f>IF($N494="","",_xlfn.TEXTJOIN(" - ",TRUE,'Input LwA_XYZ'!B13:C13))</f>
        <v>RCU-R(4p)2 - Radiated</v>
      </c>
      <c r="P494" s="64">
        <f>IF($N494="","",'Input LwA_XYZ'!Q13)</f>
        <v>79.020599913279625</v>
      </c>
      <c r="Q494" s="91" t="str">
        <f>IF($N494="","",-1*ROUND(_xlfn.XLOOKUP(Tables!$L$482,'Input LwA_XYZ'!$AY$1:$BM$1,'Input LwA_XYZ'!AY13:BM13),0) &amp; " / " &amp; ROUND(_xlfn.XLOOKUP(Tables!$L$482,'Input LwA_XYZ'!$AH$1:$AV$1,'Input LwA_XYZ'!AH13:AV13),0) &amp; " ft")</f>
        <v>45 / 230 ft</v>
      </c>
      <c r="R494" s="91" t="str">
        <f>IF($N494="","",IF(_xlfn.XLOOKUP(Tables!$L$482,'Input LwA_XYZ'!$BV$1:$CJ$1,'Input LwA_XYZ'!BV13:CJ13)="","-",_xlfn.XLOOKUP(Tables!$L$482,'Input LwA_XYZ'!$BV$1:$CJ$1,'Input LwA_XYZ'!BV13:CJ13)))</f>
        <v>-</v>
      </c>
      <c r="S494" s="91" t="str">
        <f>IF($N494="","",IF('Input LwA_XYZ'!S13="","-",'Input LwA_XYZ'!S13))</f>
        <v>-</v>
      </c>
      <c r="T494" s="65">
        <f>IF($N494="","",_xlfn.XLOOKUP(Tables!$L$482,'Input LwA_XYZ'!$DD$1:$DR$1,'Input LwA_XYZ'!DD13:DR13))</f>
        <v>34.11378069640692</v>
      </c>
    </row>
    <row r="495" spans="12:20" ht="16.5" x14ac:dyDescent="0.3">
      <c r="N495" s="190">
        <f>IF('Input LwA_XYZ'!A14 = 0, "", 'Input LwA_XYZ'!A14)</f>
        <v>4</v>
      </c>
      <c r="O495" s="189" t="str">
        <f>IF($N495="","",_xlfn.TEXTJOIN(" - ",TRUE,'Input LwA_XYZ'!B14:C14))</f>
        <v>RCU-R(4p)3 - Radiated</v>
      </c>
      <c r="P495" s="64">
        <f>IF($N495="","",'Input LwA_XYZ'!Q14)</f>
        <v>79.020599913279625</v>
      </c>
      <c r="Q495" s="91" t="str">
        <f>IF($N495="","",-1*ROUND(_xlfn.XLOOKUP(Tables!$L$482,'Input LwA_XYZ'!$AY$1:$BM$1,'Input LwA_XYZ'!AY14:BM14),0) &amp; " / " &amp; ROUND(_xlfn.XLOOKUP(Tables!$L$482,'Input LwA_XYZ'!$AH$1:$AV$1,'Input LwA_XYZ'!AH14:AV14),0) &amp; " ft")</f>
        <v>44 / 202 ft</v>
      </c>
      <c r="R495" s="91" t="str">
        <f>IF($N495="","",IF(_xlfn.XLOOKUP(Tables!$L$482,'Input LwA_XYZ'!$BV$1:$CJ$1,'Input LwA_XYZ'!BV14:CJ14)="","-",_xlfn.XLOOKUP(Tables!$L$482,'Input LwA_XYZ'!$BV$1:$CJ$1,'Input LwA_XYZ'!BV14:CJ14)))</f>
        <v>-</v>
      </c>
      <c r="S495" s="91" t="str">
        <f>IF($N495="","",IF('Input LwA_XYZ'!S14="","-",'Input LwA_XYZ'!S14))</f>
        <v>-</v>
      </c>
      <c r="T495" s="65">
        <f>IF($N495="","",_xlfn.XLOOKUP(Tables!$L$482,'Input LwA_XYZ'!$DD$1:$DR$1,'Input LwA_XYZ'!DD14:DR14))</f>
        <v>35.252575662003203</v>
      </c>
    </row>
    <row r="496" spans="12:20" ht="16.5" x14ac:dyDescent="0.3">
      <c r="N496" s="190">
        <f>IF('Input LwA_XYZ'!A15 = 0, "", 'Input LwA_XYZ'!A15)</f>
        <v>2</v>
      </c>
      <c r="O496" s="189" t="str">
        <f>IF($N496="","",_xlfn.TEXTJOIN(" - ",TRUE,'Input LwA_XYZ'!B15:C15))</f>
        <v>RCU-R(2p) - Radiated</v>
      </c>
      <c r="P496" s="64">
        <f>IF($N496="","",'Input LwA_XYZ'!Q15)</f>
        <v>76.010299956639813</v>
      </c>
      <c r="Q496" s="91" t="str">
        <f>IF($N496="","",-1*ROUND(_xlfn.XLOOKUP(Tables!$L$482,'Input LwA_XYZ'!$AY$1:$BM$1,'Input LwA_XYZ'!AY15:BM15),0) &amp; " / " &amp; ROUND(_xlfn.XLOOKUP(Tables!$L$482,'Input LwA_XYZ'!$AH$1:$AV$1,'Input LwA_XYZ'!AH15:AV15),0) &amp; " ft")</f>
        <v>43 / 190 ft</v>
      </c>
      <c r="R496" s="91" t="str">
        <f>IF($N496="","",IF(_xlfn.XLOOKUP(Tables!$L$482,'Input LwA_XYZ'!$BV$1:$CJ$1,'Input LwA_XYZ'!BV15:CJ15)="","-",_xlfn.XLOOKUP(Tables!$L$482,'Input LwA_XYZ'!$BV$1:$CJ$1,'Input LwA_XYZ'!BV15:CJ15)))</f>
        <v>-</v>
      </c>
      <c r="S496" s="91" t="str">
        <f>IF($N496="","",IF('Input LwA_XYZ'!S15="","-",'Input LwA_XYZ'!S15))</f>
        <v>-</v>
      </c>
      <c r="T496" s="65">
        <f>IF($N496="","",_xlfn.XLOOKUP(Tables!$L$482,'Input LwA_XYZ'!$DD$1:$DR$1,'Input LwA_XYZ'!DD15:DR15))</f>
        <v>32.752216308610215</v>
      </c>
    </row>
    <row r="497" spans="14:20" ht="16.5" x14ac:dyDescent="0.3">
      <c r="N497" s="190">
        <f>IF('Input LwA_XYZ'!A16 = 0, "", 'Input LwA_XYZ'!A16)</f>
        <v>2</v>
      </c>
      <c r="O497" s="189" t="str">
        <f>IF($N497="","",_xlfn.TEXTJOIN(" - ",TRUE,'Input LwA_XYZ'!B16:C16))</f>
        <v>RCU-R(2p)1 - Radiated</v>
      </c>
      <c r="P497" s="64">
        <f>IF($N497="","",'Input LwA_XYZ'!Q16)</f>
        <v>76.010299956639813</v>
      </c>
      <c r="Q497" s="91" t="str">
        <f>IF($N497="","",-1*ROUND(_xlfn.XLOOKUP(Tables!$L$482,'Input LwA_XYZ'!$AY$1:$BM$1,'Input LwA_XYZ'!AY16:BM16),0) &amp; " / " &amp; ROUND(_xlfn.XLOOKUP(Tables!$L$482,'Input LwA_XYZ'!$AH$1:$AV$1,'Input LwA_XYZ'!AH16:AV16),0) &amp; " ft")</f>
        <v>42 / 168 ft</v>
      </c>
      <c r="R497" s="91" t="str">
        <f>IF($N497="","",IF(_xlfn.XLOOKUP(Tables!$L$482,'Input LwA_XYZ'!$BV$1:$CJ$1,'Input LwA_XYZ'!BV16:CJ16)="","-",_xlfn.XLOOKUP(Tables!$L$482,'Input LwA_XYZ'!$BV$1:$CJ$1,'Input LwA_XYZ'!BV16:CJ16)))</f>
        <v>-</v>
      </c>
      <c r="S497" s="91" t="str">
        <f>IF($N497="","",IF('Input LwA_XYZ'!S16="","-",'Input LwA_XYZ'!S16))</f>
        <v>-</v>
      </c>
      <c r="T497" s="65">
        <f>IF($N497="","",_xlfn.XLOOKUP(Tables!$L$482,'Input LwA_XYZ'!$DD$1:$DR$1,'Input LwA_XYZ'!DD16:DR16))</f>
        <v>33.834137407946159</v>
      </c>
    </row>
    <row r="498" spans="14:20" ht="16.5" x14ac:dyDescent="0.3">
      <c r="N498" s="190">
        <f>IF('Input LwA_XYZ'!A17 = 0, "", 'Input LwA_XYZ'!A17)</f>
        <v>4</v>
      </c>
      <c r="O498" s="189" t="str">
        <f>IF($N498="","",_xlfn.TEXTJOIN(" - ",TRUE,'Input LwA_XYZ'!B17:C17))</f>
        <v>RCU-R(4p)4 - Radiated</v>
      </c>
      <c r="P498" s="64">
        <f>IF($N498="","",'Input LwA_XYZ'!Q17)</f>
        <v>79.020599913279625</v>
      </c>
      <c r="Q498" s="91" t="str">
        <f>IF($N498="","",-1*ROUND(_xlfn.XLOOKUP(Tables!$L$482,'Input LwA_XYZ'!$AY$1:$BM$1,'Input LwA_XYZ'!AY17:BM17),0) &amp; " / " &amp; ROUND(_xlfn.XLOOKUP(Tables!$L$482,'Input LwA_XYZ'!$AH$1:$AV$1,'Input LwA_XYZ'!AH17:AV17),0) &amp; " ft")</f>
        <v>41 / 147 ft</v>
      </c>
      <c r="R498" s="91" t="str">
        <f>IF($N498="","",IF(_xlfn.XLOOKUP(Tables!$L$482,'Input LwA_XYZ'!$BV$1:$CJ$1,'Input LwA_XYZ'!BV17:CJ17)="","-",_xlfn.XLOOKUP(Tables!$L$482,'Input LwA_XYZ'!$BV$1:$CJ$1,'Input LwA_XYZ'!BV17:CJ17)))</f>
        <v>-</v>
      </c>
      <c r="S498" s="91" t="str">
        <f>IF($N498="","",IF('Input LwA_XYZ'!S17="","-",'Input LwA_XYZ'!S17))</f>
        <v>-</v>
      </c>
      <c r="T498" s="65">
        <f>IF($N498="","",_xlfn.XLOOKUP(Tables!$L$482,'Input LwA_XYZ'!$DD$1:$DR$1,'Input LwA_XYZ'!DD17:DR17))</f>
        <v>38.039918717943372</v>
      </c>
    </row>
    <row r="499" spans="14:20" ht="16.5" x14ac:dyDescent="0.3">
      <c r="N499" s="190">
        <f>IF('Input LwA_XYZ'!A18 = 0, "", 'Input LwA_XYZ'!A18)</f>
        <v>2</v>
      </c>
      <c r="O499" s="189" t="str">
        <f>IF($N499="","",_xlfn.TEXTJOIN(" - ",TRUE,'Input LwA_XYZ'!B18:C18))</f>
        <v>RCU-R(2p)2 - Radiated</v>
      </c>
      <c r="P499" s="64">
        <f>IF($N499="","",'Input LwA_XYZ'!Q18)</f>
        <v>76.010299956639813</v>
      </c>
      <c r="Q499" s="91" t="str">
        <f>IF($N499="","",-1*ROUND(_xlfn.XLOOKUP(Tables!$L$482,'Input LwA_XYZ'!$AY$1:$BM$1,'Input LwA_XYZ'!AY18:BM18),0) &amp; " / " &amp; ROUND(_xlfn.XLOOKUP(Tables!$L$482,'Input LwA_XYZ'!$AH$1:$AV$1,'Input LwA_XYZ'!AH18:AV18),0) &amp; " ft")</f>
        <v>41 / 153 ft</v>
      </c>
      <c r="R499" s="91" t="str">
        <f>IF($N499="","",IF(_xlfn.XLOOKUP(Tables!$L$482,'Input LwA_XYZ'!$BV$1:$CJ$1,'Input LwA_XYZ'!BV18:CJ18)="","-",_xlfn.XLOOKUP(Tables!$L$482,'Input LwA_XYZ'!$BV$1:$CJ$1,'Input LwA_XYZ'!BV18:CJ18)))</f>
        <v>-</v>
      </c>
      <c r="S499" s="91" t="str">
        <f>IF($N499="","",IF('Input LwA_XYZ'!S18="","-",'Input LwA_XYZ'!S18))</f>
        <v>-</v>
      </c>
      <c r="T499" s="65">
        <f>IF($N499="","",_xlfn.XLOOKUP(Tables!$L$482,'Input LwA_XYZ'!$DD$1:$DR$1,'Input LwA_XYZ'!DD18:DR18))</f>
        <v>34.626203151341301</v>
      </c>
    </row>
    <row r="500" spans="14:20" ht="16.5" x14ac:dyDescent="0.3">
      <c r="N500" s="190">
        <f>IF('Input LwA_XYZ'!A19 = 0, "", 'Input LwA_XYZ'!A19)</f>
        <v>2</v>
      </c>
      <c r="O500" s="189" t="str">
        <f>IF($N500="","",_xlfn.TEXTJOIN(" - ",TRUE,'Input LwA_XYZ'!B19:C19))</f>
        <v>RCU-R(2p)3 - Radiated</v>
      </c>
      <c r="P500" s="64">
        <f>IF($N500="","",'Input LwA_XYZ'!Q19)</f>
        <v>76.010299956639813</v>
      </c>
      <c r="Q500" s="91" t="str">
        <f>IF($N500="","",-1*ROUND(_xlfn.XLOOKUP(Tables!$L$482,'Input LwA_XYZ'!$AY$1:$BM$1,'Input LwA_XYZ'!AY19:BM19),0) &amp; " / " &amp; ROUND(_xlfn.XLOOKUP(Tables!$L$482,'Input LwA_XYZ'!$AH$1:$AV$1,'Input LwA_XYZ'!AH19:AV19),0) &amp; " ft")</f>
        <v>42 / 174 ft</v>
      </c>
      <c r="R500" s="91" t="str">
        <f>IF($N500="","",IF(_xlfn.XLOOKUP(Tables!$L$482,'Input LwA_XYZ'!$BV$1:$CJ$1,'Input LwA_XYZ'!BV19:CJ19)="","-",_xlfn.XLOOKUP(Tables!$L$482,'Input LwA_XYZ'!$BV$1:$CJ$1,'Input LwA_XYZ'!BV19:CJ19)))</f>
        <v>-</v>
      </c>
      <c r="S500" s="91" t="str">
        <f>IF($N500="","",IF('Input LwA_XYZ'!S19="","-",'Input LwA_XYZ'!S19))</f>
        <v>-</v>
      </c>
      <c r="T500" s="65">
        <f>IF($N500="","",_xlfn.XLOOKUP(Tables!$L$482,'Input LwA_XYZ'!$DD$1:$DR$1,'Input LwA_XYZ'!DD19:DR19))</f>
        <v>33.531132173351168</v>
      </c>
    </row>
    <row r="501" spans="14:20" ht="16.5" x14ac:dyDescent="0.3">
      <c r="N501" s="190">
        <f>IF('Input LwA_XYZ'!A20 = 0, "", 'Input LwA_XYZ'!A20)</f>
        <v>2</v>
      </c>
      <c r="O501" s="189" t="str">
        <f>IF($N501="","",_xlfn.TEXTJOIN(" - ",TRUE,'Input LwA_XYZ'!B20:C20))</f>
        <v>RCU-R(2p)4 - Radiated</v>
      </c>
      <c r="P501" s="64">
        <f>IF($N501="","",'Input LwA_XYZ'!Q20)</f>
        <v>76.010299956639813</v>
      </c>
      <c r="Q501" s="91" t="str">
        <f>IF($N501="","",-1*ROUND(_xlfn.XLOOKUP(Tables!$L$482,'Input LwA_XYZ'!$AY$1:$BM$1,'Input LwA_XYZ'!AY20:BM20),0) &amp; " / " &amp; ROUND(_xlfn.XLOOKUP(Tables!$L$482,'Input LwA_XYZ'!$AH$1:$AV$1,'Input LwA_XYZ'!AH20:AV20),0) &amp; " ft")</f>
        <v>43 / 188 ft</v>
      </c>
      <c r="R501" s="91" t="str">
        <f>IF($N501="","",IF(_xlfn.XLOOKUP(Tables!$L$482,'Input LwA_XYZ'!$BV$1:$CJ$1,'Input LwA_XYZ'!BV20:CJ20)="","-",_xlfn.XLOOKUP(Tables!$L$482,'Input LwA_XYZ'!$BV$1:$CJ$1,'Input LwA_XYZ'!BV20:CJ20)))</f>
        <v>-</v>
      </c>
      <c r="S501" s="91" t="str">
        <f>IF($N501="","",IF('Input LwA_XYZ'!S20="","-",'Input LwA_XYZ'!S20))</f>
        <v>-</v>
      </c>
      <c r="T501" s="65">
        <f>IF($N501="","",_xlfn.XLOOKUP(Tables!$L$482,'Input LwA_XYZ'!$DD$1:$DR$1,'Input LwA_XYZ'!DD20:DR20))</f>
        <v>32.86816377495628</v>
      </c>
    </row>
    <row r="502" spans="14:20" ht="16.5" x14ac:dyDescent="0.3">
      <c r="N502" s="190">
        <f>IF('Input LwA_XYZ'!A21 = 0, "", 'Input LwA_XYZ'!A21)</f>
        <v>2</v>
      </c>
      <c r="O502" s="189" t="str">
        <f>IF($N502="","",_xlfn.TEXTJOIN(" - ",TRUE,'Input LwA_XYZ'!B21:C21))</f>
        <v>RCU-R(2p)5 - Radiated</v>
      </c>
      <c r="P502" s="64">
        <f>IF($N502="","",'Input LwA_XYZ'!Q21)</f>
        <v>76.010299956639813</v>
      </c>
      <c r="Q502" s="91" t="str">
        <f>IF($N502="","",-1*ROUND(_xlfn.XLOOKUP(Tables!$L$482,'Input LwA_XYZ'!$AY$1:$BM$1,'Input LwA_XYZ'!AY21:BM21),0) &amp; " / " &amp; ROUND(_xlfn.XLOOKUP(Tables!$L$482,'Input LwA_XYZ'!$AH$1:$AV$1,'Input LwA_XYZ'!AH21:AV21),0) &amp; " ft")</f>
        <v>44 / 203 ft</v>
      </c>
      <c r="R502" s="91" t="str">
        <f>IF($N502="","",IF(_xlfn.XLOOKUP(Tables!$L$482,'Input LwA_XYZ'!$BV$1:$CJ$1,'Input LwA_XYZ'!BV21:CJ21)="","-",_xlfn.XLOOKUP(Tables!$L$482,'Input LwA_XYZ'!$BV$1:$CJ$1,'Input LwA_XYZ'!BV21:CJ21)))</f>
        <v>-</v>
      </c>
      <c r="S502" s="91" t="str">
        <f>IF($N502="","",IF('Input LwA_XYZ'!S21="","-",'Input LwA_XYZ'!S21))</f>
        <v>-</v>
      </c>
      <c r="T502" s="65">
        <f>IF($N502="","",_xlfn.XLOOKUP(Tables!$L$482,'Input LwA_XYZ'!$DD$1:$DR$1,'Input LwA_XYZ'!DD21:DR21))</f>
        <v>32.210402540305431</v>
      </c>
    </row>
    <row r="503" spans="14:20" ht="16.5" x14ac:dyDescent="0.3">
      <c r="N503" s="190">
        <f>IF('Input LwA_XYZ'!A22 = 0, "", 'Input LwA_XYZ'!A22)</f>
        <v>2</v>
      </c>
      <c r="O503" s="189" t="str">
        <f>IF($N503="","",_xlfn.TEXTJOIN(" - ",TRUE,'Input LwA_XYZ'!B22:C22))</f>
        <v>RCU-R(2p)6 - Radiated</v>
      </c>
      <c r="P503" s="64">
        <f>IF($N503="","",'Input LwA_XYZ'!Q22)</f>
        <v>76.010299956639813</v>
      </c>
      <c r="Q503" s="91" t="str">
        <f>IF($N503="","",-1*ROUND(_xlfn.XLOOKUP(Tables!$L$482,'Input LwA_XYZ'!$AY$1:$BM$1,'Input LwA_XYZ'!AY22:BM22),0) &amp; " / " &amp; ROUND(_xlfn.XLOOKUP(Tables!$L$482,'Input LwA_XYZ'!$AH$1:$AV$1,'Input LwA_XYZ'!AH22:AV22),0) &amp; " ft")</f>
        <v>44 / 218 ft</v>
      </c>
      <c r="R503" s="91" t="str">
        <f>IF($N503="","",IF(_xlfn.XLOOKUP(Tables!$L$482,'Input LwA_XYZ'!$BV$1:$CJ$1,'Input LwA_XYZ'!BV22:CJ22)="","-",_xlfn.XLOOKUP(Tables!$L$482,'Input LwA_XYZ'!$BV$1:$CJ$1,'Input LwA_XYZ'!BV22:CJ22)))</f>
        <v>-</v>
      </c>
      <c r="S503" s="91" t="str">
        <f>IF($N503="","",IF('Input LwA_XYZ'!S22="","-",'Input LwA_XYZ'!S22))</f>
        <v>-</v>
      </c>
      <c r="T503" s="65">
        <f>IF($N503="","",_xlfn.XLOOKUP(Tables!$L$482,'Input LwA_XYZ'!$DD$1:$DR$1,'Input LwA_XYZ'!DD22:DR22))</f>
        <v>31.572313832482209</v>
      </c>
    </row>
    <row r="504" spans="14:20" ht="16.5" x14ac:dyDescent="0.3">
      <c r="N504" s="190">
        <f>IF('Input LwA_XYZ'!A23 = 0, "", 'Input LwA_XYZ'!A23)</f>
        <v>1</v>
      </c>
      <c r="O504" s="189" t="str">
        <f>IF($N504="","",_xlfn.TEXTJOIN(" - ",TRUE,'Input LwA_XYZ'!B23:C23))</f>
        <v>BEF-R01  - Inlet</v>
      </c>
      <c r="P504" s="64">
        <f>IF($N504="","",'Input LwA_XYZ'!Q23)</f>
        <v>57</v>
      </c>
      <c r="Q504" s="91" t="str">
        <f>IF($N504="","",-1*ROUND(_xlfn.XLOOKUP(Tables!$L$482,'Input LwA_XYZ'!$AY$1:$BM$1,'Input LwA_XYZ'!AY23:BM23),0) &amp; " / " &amp; ROUND(_xlfn.XLOOKUP(Tables!$L$482,'Input LwA_XYZ'!$AH$1:$AV$1,'Input LwA_XYZ'!AH23:AV23),0) &amp; " ft")</f>
        <v>39 / 123 ft</v>
      </c>
      <c r="R504" s="91" t="str">
        <f>IF($N504="","",IF(_xlfn.XLOOKUP(Tables!$L$482,'Input LwA_XYZ'!$BV$1:$CJ$1,'Input LwA_XYZ'!BV23:CJ23)="","-",_xlfn.XLOOKUP(Tables!$L$482,'Input LwA_XYZ'!$BV$1:$CJ$1,'Input LwA_XYZ'!BV23:CJ23)))</f>
        <v>-</v>
      </c>
      <c r="S504" s="91" t="str">
        <f>IF($N504="","",IF('Input LwA_XYZ'!S23="","-",'Input LwA_XYZ'!S23))</f>
        <v>-</v>
      </c>
      <c r="T504" s="65">
        <f>IF($N504="","",_xlfn.XLOOKUP(Tables!$L$482,'Input LwA_XYZ'!$DD$1:$DR$1,'Input LwA_XYZ'!DD23:DR23))</f>
        <v>17.524923149226339</v>
      </c>
    </row>
    <row r="505" spans="14:20" ht="16.5" x14ac:dyDescent="0.3">
      <c r="N505" s="190">
        <f>IF('Input LwA_XYZ'!A24 = 0, "", 'Input LwA_XYZ'!A24)</f>
        <v>1</v>
      </c>
      <c r="O505" s="189" t="str">
        <f>IF($N505="","",_xlfn.TEXTJOIN(" - ",TRUE,'Input LwA_XYZ'!B24:C24))</f>
        <v>BEF-R02  - Inlet</v>
      </c>
      <c r="P505" s="64">
        <f>IF($N505="","",'Input LwA_XYZ'!Q24)</f>
        <v>66</v>
      </c>
      <c r="Q505" s="91" t="str">
        <f>IF($N505="","",-1*ROUND(_xlfn.XLOOKUP(Tables!$L$482,'Input LwA_XYZ'!$AY$1:$BM$1,'Input LwA_XYZ'!AY24:BM24),0) &amp; " / " &amp; ROUND(_xlfn.XLOOKUP(Tables!$L$482,'Input LwA_XYZ'!$AH$1:$AV$1,'Input LwA_XYZ'!AH24:AV24),0) &amp; " ft")</f>
        <v>40 / 138 ft</v>
      </c>
      <c r="R505" s="91" t="str">
        <f>IF($N505="","",IF(_xlfn.XLOOKUP(Tables!$L$482,'Input LwA_XYZ'!$BV$1:$CJ$1,'Input LwA_XYZ'!BV24:CJ24)="","-",_xlfn.XLOOKUP(Tables!$L$482,'Input LwA_XYZ'!$BV$1:$CJ$1,'Input LwA_XYZ'!BV24:CJ24)))</f>
        <v>-</v>
      </c>
      <c r="S505" s="91" t="str">
        <f>IF($N505="","",IF('Input LwA_XYZ'!S24="","-",'Input LwA_XYZ'!S24))</f>
        <v>-</v>
      </c>
      <c r="T505" s="65">
        <f>IF($N505="","",_xlfn.XLOOKUP(Tables!$L$482,'Input LwA_XYZ'!$DD$1:$DR$1,'Input LwA_XYZ'!DD24:DR24))</f>
        <v>25.558301321549493</v>
      </c>
    </row>
    <row r="506" spans="14:20" ht="16.5" x14ac:dyDescent="0.3">
      <c r="N506" s="190">
        <f>IF('Input LwA_XYZ'!A25 = 0, "", 'Input LwA_XYZ'!A25)</f>
        <v>1</v>
      </c>
      <c r="O506" s="189" t="str">
        <f>IF($N506="","",_xlfn.TEXTJOIN(" - ",TRUE,'Input LwA_XYZ'!B25:C25))</f>
        <v>BEF-R03  - Inlet</v>
      </c>
      <c r="P506" s="64">
        <f>IF($N506="","",'Input LwA_XYZ'!Q25)</f>
        <v>66</v>
      </c>
      <c r="Q506" s="91" t="str">
        <f>IF($N506="","",-1*ROUND(_xlfn.XLOOKUP(Tables!$L$482,'Input LwA_XYZ'!$AY$1:$BM$1,'Input LwA_XYZ'!AY25:BM25),0) &amp; " / " &amp; ROUND(_xlfn.XLOOKUP(Tables!$L$482,'Input LwA_XYZ'!$AH$1:$AV$1,'Input LwA_XYZ'!AH25:AV25),0) &amp; " ft")</f>
        <v>42 / 159 ft</v>
      </c>
      <c r="R506" s="91" t="str">
        <f>IF($N506="","",IF(_xlfn.XLOOKUP(Tables!$L$482,'Input LwA_XYZ'!$BV$1:$CJ$1,'Input LwA_XYZ'!BV25:CJ25)="","-",_xlfn.XLOOKUP(Tables!$L$482,'Input LwA_XYZ'!$BV$1:$CJ$1,'Input LwA_XYZ'!BV25:CJ25)))</f>
        <v>-</v>
      </c>
      <c r="S506" s="91" t="str">
        <f>IF($N506="","",IF('Input LwA_XYZ'!S25="","-",'Input LwA_XYZ'!S25))</f>
        <v>-</v>
      </c>
      <c r="T506" s="65">
        <f>IF($N506="","",_xlfn.XLOOKUP(Tables!$L$482,'Input LwA_XYZ'!$DD$1:$DR$1,'Input LwA_XYZ'!DD25:DR25))</f>
        <v>24.324638741792718</v>
      </c>
    </row>
    <row r="507" spans="14:20" ht="16.5" x14ac:dyDescent="0.3">
      <c r="N507" s="190">
        <f>IF('Input LwA_XYZ'!A26 = 0, "", 'Input LwA_XYZ'!A26)</f>
        <v>1</v>
      </c>
      <c r="O507" s="189" t="str">
        <f>IF($N507="","",_xlfn.TEXTJOIN(" - ",TRUE,'Input LwA_XYZ'!B26:C26))</f>
        <v>BEF-R04  - Inlet</v>
      </c>
      <c r="P507" s="64">
        <f>IF($N507="","",'Input LwA_XYZ'!Q26)</f>
        <v>66</v>
      </c>
      <c r="Q507" s="91" t="str">
        <f>IF($N507="","",-1*ROUND(_xlfn.XLOOKUP(Tables!$L$482,'Input LwA_XYZ'!$AY$1:$BM$1,'Input LwA_XYZ'!AY26:BM26),0) &amp; " / " &amp; ROUND(_xlfn.XLOOKUP(Tables!$L$482,'Input LwA_XYZ'!$AH$1:$AV$1,'Input LwA_XYZ'!AH26:AV26),0) &amp; " ft")</f>
        <v>43 / 181 ft</v>
      </c>
      <c r="R507" s="91" t="str">
        <f>IF($N507="","",IF(_xlfn.XLOOKUP(Tables!$L$482,'Input LwA_XYZ'!$BV$1:$CJ$1,'Input LwA_XYZ'!BV26:CJ26)="","-",_xlfn.XLOOKUP(Tables!$L$482,'Input LwA_XYZ'!$BV$1:$CJ$1,'Input LwA_XYZ'!BV26:CJ26)))</f>
        <v>-</v>
      </c>
      <c r="S507" s="91" t="str">
        <f>IF($N507="","",IF('Input LwA_XYZ'!S26="","-",'Input LwA_XYZ'!S26))</f>
        <v>-</v>
      </c>
      <c r="T507" s="65">
        <f>IF($N507="","",_xlfn.XLOOKUP(Tables!$L$482,'Input LwA_XYZ'!$DD$1:$DR$1,'Input LwA_XYZ'!DD26:DR26))</f>
        <v>23.168375747855407</v>
      </c>
    </row>
    <row r="508" spans="14:20" ht="16.5" x14ac:dyDescent="0.3">
      <c r="N508" s="190">
        <f>IF('Input LwA_XYZ'!A27 = 0, "", 'Input LwA_XYZ'!A27)</f>
        <v>1</v>
      </c>
      <c r="O508" s="189" t="str">
        <f>IF($N508="","",_xlfn.TEXTJOIN(" - ",TRUE,'Input LwA_XYZ'!B27:C27))</f>
        <v>BEF-R05  - Inlet</v>
      </c>
      <c r="P508" s="64">
        <f>IF($N508="","",'Input LwA_XYZ'!Q27)</f>
        <v>66</v>
      </c>
      <c r="Q508" s="91" t="str">
        <f>IF($N508="","",-1*ROUND(_xlfn.XLOOKUP(Tables!$L$482,'Input LwA_XYZ'!$AY$1:$BM$1,'Input LwA_XYZ'!AY27:BM27),0) &amp; " / " &amp; ROUND(_xlfn.XLOOKUP(Tables!$L$482,'Input LwA_XYZ'!$AH$1:$AV$1,'Input LwA_XYZ'!AH27:AV27),0) &amp; " ft")</f>
        <v>44 / 199 ft</v>
      </c>
      <c r="R508" s="91" t="str">
        <f>IF($N508="","",IF(_xlfn.XLOOKUP(Tables!$L$482,'Input LwA_XYZ'!$BV$1:$CJ$1,'Input LwA_XYZ'!BV27:CJ27)="","-",_xlfn.XLOOKUP(Tables!$L$482,'Input LwA_XYZ'!$BV$1:$CJ$1,'Input LwA_XYZ'!BV27:CJ27)))</f>
        <v>-</v>
      </c>
      <c r="S508" s="91" t="str">
        <f>IF($N508="","",IF('Input LwA_XYZ'!S27="","-",'Input LwA_XYZ'!S27))</f>
        <v>-</v>
      </c>
      <c r="T508" s="65">
        <f>IF($N508="","",_xlfn.XLOOKUP(Tables!$L$482,'Input LwA_XYZ'!$DD$1:$DR$1,'Input LwA_XYZ'!DD27:DR27))</f>
        <v>22.371723595961846</v>
      </c>
    </row>
    <row r="509" spans="14:20" ht="16.5" x14ac:dyDescent="0.3">
      <c r="N509" s="190">
        <f>IF('Input LwA_XYZ'!A28 = 0, "", 'Input LwA_XYZ'!A28)</f>
        <v>1</v>
      </c>
      <c r="O509" s="189" t="str">
        <f>IF($N509="","",_xlfn.TEXTJOIN(" - ",TRUE,'Input LwA_XYZ'!B28:C28))</f>
        <v>BEF-R06  - Inlet</v>
      </c>
      <c r="P509" s="64">
        <f>IF($N509="","",'Input LwA_XYZ'!Q28)</f>
        <v>66</v>
      </c>
      <c r="Q509" s="91" t="str">
        <f>IF($N509="","",-1*ROUND(_xlfn.XLOOKUP(Tables!$L$482,'Input LwA_XYZ'!$AY$1:$BM$1,'Input LwA_XYZ'!AY28:BM28),0) &amp; " / " &amp; ROUND(_xlfn.XLOOKUP(Tables!$L$482,'Input LwA_XYZ'!$AH$1:$AV$1,'Input LwA_XYZ'!AH28:AV28),0) &amp; " ft")</f>
        <v>43 / 194 ft</v>
      </c>
      <c r="R509" s="91" t="str">
        <f>IF($N509="","",IF(_xlfn.XLOOKUP(Tables!$L$482,'Input LwA_XYZ'!$BV$1:$CJ$1,'Input LwA_XYZ'!BV28:CJ28)="","-",_xlfn.XLOOKUP(Tables!$L$482,'Input LwA_XYZ'!$BV$1:$CJ$1,'Input LwA_XYZ'!BV28:CJ28)))</f>
        <v>-</v>
      </c>
      <c r="S509" s="91" t="str">
        <f>IF($N509="","",IF('Input LwA_XYZ'!S28="","-",'Input LwA_XYZ'!S28))</f>
        <v>-</v>
      </c>
      <c r="T509" s="65">
        <f>IF($N509="","",_xlfn.XLOOKUP(Tables!$L$482,'Input LwA_XYZ'!$DD$1:$DR$1,'Input LwA_XYZ'!DD28:DR28))</f>
        <v>22.571853354436364</v>
      </c>
    </row>
    <row r="510" spans="14:20" ht="16.5" x14ac:dyDescent="0.3">
      <c r="N510" s="190">
        <f>IF('Input LwA_XYZ'!A29 = 0, "", 'Input LwA_XYZ'!A29)</f>
        <v>1</v>
      </c>
      <c r="O510" s="189" t="str">
        <f>IF($N510="","",_xlfn.TEXTJOIN(" - ",TRUE,'Input LwA_XYZ'!B29:C29))</f>
        <v>BEF-R07  - Inlet</v>
      </c>
      <c r="P510" s="64">
        <f>IF($N510="","",'Input LwA_XYZ'!Q29)</f>
        <v>57</v>
      </c>
      <c r="Q510" s="91" t="str">
        <f>IF($N510="","",-1*ROUND(_xlfn.XLOOKUP(Tables!$L$482,'Input LwA_XYZ'!$AY$1:$BM$1,'Input LwA_XYZ'!AY29:BM29),0) &amp; " / " &amp; ROUND(_xlfn.XLOOKUP(Tables!$L$482,'Input LwA_XYZ'!$AH$1:$AV$1,'Input LwA_XYZ'!AH29:AV29),0) &amp; " ft")</f>
        <v>43 / 195 ft</v>
      </c>
      <c r="R510" s="91" t="str">
        <f>IF($N510="","",IF(_xlfn.XLOOKUP(Tables!$L$482,'Input LwA_XYZ'!$BV$1:$CJ$1,'Input LwA_XYZ'!BV29:CJ29)="","-",_xlfn.XLOOKUP(Tables!$L$482,'Input LwA_XYZ'!$BV$1:$CJ$1,'Input LwA_XYZ'!BV29:CJ29)))</f>
        <v>-</v>
      </c>
      <c r="S510" s="91" t="str">
        <f>IF($N510="","",IF('Input LwA_XYZ'!S29="","-",'Input LwA_XYZ'!S29))</f>
        <v>-</v>
      </c>
      <c r="T510" s="65">
        <f>IF($N510="","",_xlfn.XLOOKUP(Tables!$L$482,'Input LwA_XYZ'!$DD$1:$DR$1,'Input LwA_XYZ'!DD29:DR29))</f>
        <v>13.555575842541174</v>
      </c>
    </row>
    <row r="511" spans="14:20" ht="16.5" x14ac:dyDescent="0.3">
      <c r="N511" s="190">
        <f>IF('Input LwA_XYZ'!A30 = 0, "", 'Input LwA_XYZ'!A30)</f>
        <v>1</v>
      </c>
      <c r="O511" s="189" t="str">
        <f>IF($N511="","",_xlfn.TEXTJOIN(" - ",TRUE,'Input LwA_XYZ'!B30:C30))</f>
        <v>BEF-R08  - Inlet</v>
      </c>
      <c r="P511" s="64">
        <f>IF($N511="","",'Input LwA_XYZ'!Q30)</f>
        <v>57</v>
      </c>
      <c r="Q511" s="91" t="str">
        <f>IF($N511="","",-1*ROUND(_xlfn.XLOOKUP(Tables!$L$482,'Input LwA_XYZ'!$AY$1:$BM$1,'Input LwA_XYZ'!AY30:BM30),0) &amp; " / " &amp; ROUND(_xlfn.XLOOKUP(Tables!$L$482,'Input LwA_XYZ'!$AH$1:$AV$1,'Input LwA_XYZ'!AH30:AV30),0) &amp; " ft")</f>
        <v>45 / 235 ft</v>
      </c>
      <c r="R511" s="91" t="str">
        <f>IF($N511="","",IF(_xlfn.XLOOKUP(Tables!$L$482,'Input LwA_XYZ'!$BV$1:$CJ$1,'Input LwA_XYZ'!BV30:CJ30)="","-",_xlfn.XLOOKUP(Tables!$L$482,'Input LwA_XYZ'!$BV$1:$CJ$1,'Input LwA_XYZ'!BV30:CJ30)))</f>
        <v>-</v>
      </c>
      <c r="S511" s="91" t="str">
        <f>IF($N511="","",IF('Input LwA_XYZ'!S30="","-",'Input LwA_XYZ'!S30))</f>
        <v>-</v>
      </c>
      <c r="T511" s="65">
        <f>IF($N511="","",_xlfn.XLOOKUP(Tables!$L$482,'Input LwA_XYZ'!$DD$1:$DR$1,'Input LwA_XYZ'!DD30:DR30))</f>
        <v>11.924932976016137</v>
      </c>
    </row>
    <row r="512" spans="14:20" ht="16.5" x14ac:dyDescent="0.3">
      <c r="N512" s="190">
        <f>IF('Input LwA_XYZ'!A31 = 0, "", 'Input LwA_XYZ'!A31)</f>
        <v>1</v>
      </c>
      <c r="O512" s="189" t="str">
        <f>IF($N512="","",_xlfn.TEXTJOIN(" - ",TRUE,'Input LwA_XYZ'!B31:C31))</f>
        <v>BEF-R09  - Inlet</v>
      </c>
      <c r="P512" s="64">
        <f>IF($N512="","",'Input LwA_XYZ'!Q31)</f>
        <v>66</v>
      </c>
      <c r="Q512" s="91" t="str">
        <f>IF($N512="","",-1*ROUND(_xlfn.XLOOKUP(Tables!$L$482,'Input LwA_XYZ'!$AY$1:$BM$1,'Input LwA_XYZ'!AY31:BM31),0) &amp; " / " &amp; ROUND(_xlfn.XLOOKUP(Tables!$L$482,'Input LwA_XYZ'!$AH$1:$AV$1,'Input LwA_XYZ'!AH31:AV31),0) &amp; " ft")</f>
        <v>45 / 238 ft</v>
      </c>
      <c r="R512" s="91" t="str">
        <f>IF($N512="","",IF(_xlfn.XLOOKUP(Tables!$L$482,'Input LwA_XYZ'!$BV$1:$CJ$1,'Input LwA_XYZ'!BV31:CJ31)="","-",_xlfn.XLOOKUP(Tables!$L$482,'Input LwA_XYZ'!$BV$1:$CJ$1,'Input LwA_XYZ'!BV31:CJ31)))</f>
        <v>-</v>
      </c>
      <c r="S512" s="91" t="str">
        <f>IF($N512="","",IF('Input LwA_XYZ'!S31="","-",'Input LwA_XYZ'!S31))</f>
        <v>-</v>
      </c>
      <c r="T512" s="65">
        <f>IF($N512="","",_xlfn.XLOOKUP(Tables!$L$482,'Input LwA_XYZ'!$DD$1:$DR$1,'Input LwA_XYZ'!DD31:DR31))</f>
        <v>20.789699625762694</v>
      </c>
    </row>
    <row r="513" spans="14:20" ht="16.5" x14ac:dyDescent="0.3">
      <c r="N513" s="190">
        <f>IF('Input LwA_XYZ'!A32 = 0, "", 'Input LwA_XYZ'!A32)</f>
        <v>1</v>
      </c>
      <c r="O513" s="189" t="str">
        <f>IF($N513="","",_xlfn.TEXTJOIN(" - ",TRUE,'Input LwA_XYZ'!B32:C32))</f>
        <v>BEF-R10  - Inlet</v>
      </c>
      <c r="P513" s="64">
        <f>IF($N513="","",'Input LwA_XYZ'!Q32)</f>
        <v>66</v>
      </c>
      <c r="Q513" s="91" t="str">
        <f>IF($N513="","",-1*ROUND(_xlfn.XLOOKUP(Tables!$L$482,'Input LwA_XYZ'!$AY$1:$BM$1,'Input LwA_XYZ'!AY32:BM32),0) &amp; " / " &amp; ROUND(_xlfn.XLOOKUP(Tables!$L$482,'Input LwA_XYZ'!$AH$1:$AV$1,'Input LwA_XYZ'!AH32:AV32),0) &amp; " ft")</f>
        <v>45 / 245 ft</v>
      </c>
      <c r="R513" s="91" t="str">
        <f>IF($N513="","",IF(_xlfn.XLOOKUP(Tables!$L$482,'Input LwA_XYZ'!$BV$1:$CJ$1,'Input LwA_XYZ'!BV32:CJ32)="","-",_xlfn.XLOOKUP(Tables!$L$482,'Input LwA_XYZ'!$BV$1:$CJ$1,'Input LwA_XYZ'!BV32:CJ32)))</f>
        <v>-</v>
      </c>
      <c r="S513" s="91" t="str">
        <f>IF($N513="","",IF('Input LwA_XYZ'!S32="","-",'Input LwA_XYZ'!S32))</f>
        <v>-</v>
      </c>
      <c r="T513" s="65">
        <f>IF($N513="","",_xlfn.XLOOKUP(Tables!$L$482,'Input LwA_XYZ'!$DD$1:$DR$1,'Input LwA_XYZ'!DD32:DR32))</f>
        <v>20.549999233311269</v>
      </c>
    </row>
    <row r="514" spans="14:20" ht="16.5" x14ac:dyDescent="0.3">
      <c r="N514" s="190">
        <f>IF('Input LwA_XYZ'!A33 = 0, "", 'Input LwA_XYZ'!A33)</f>
        <v>1</v>
      </c>
      <c r="O514" s="189" t="str">
        <f>IF($N514="","",_xlfn.TEXTJOIN(" - ",TRUE,'Input LwA_XYZ'!B33:C33))</f>
        <v>BEF-R11  - Inlet</v>
      </c>
      <c r="P514" s="64">
        <f>IF($N514="","",'Input LwA_XYZ'!Q33)</f>
        <v>66</v>
      </c>
      <c r="Q514" s="91" t="str">
        <f>IF($N514="","",-1*ROUND(_xlfn.XLOOKUP(Tables!$L$482,'Input LwA_XYZ'!$AY$1:$BM$1,'Input LwA_XYZ'!AY33:BM33),0) &amp; " / " &amp; ROUND(_xlfn.XLOOKUP(Tables!$L$482,'Input LwA_XYZ'!$AH$1:$AV$1,'Input LwA_XYZ'!AH33:AV33),0) &amp; " ft")</f>
        <v>46 / 249 ft</v>
      </c>
      <c r="R514" s="91" t="str">
        <f>IF($N514="","",IF(_xlfn.XLOOKUP(Tables!$L$482,'Input LwA_XYZ'!$BV$1:$CJ$1,'Input LwA_XYZ'!BV33:CJ33)="","-",_xlfn.XLOOKUP(Tables!$L$482,'Input LwA_XYZ'!$BV$1:$CJ$1,'Input LwA_XYZ'!BV33:CJ33)))</f>
        <v>-</v>
      </c>
      <c r="S514" s="91" t="str">
        <f>IF($N514="","",IF('Input LwA_XYZ'!S33="","-",'Input LwA_XYZ'!S33))</f>
        <v>-</v>
      </c>
      <c r="T514" s="65">
        <f>IF($N514="","",_xlfn.XLOOKUP(Tables!$L$482,'Input LwA_XYZ'!$DD$1:$DR$1,'Input LwA_XYZ'!DD33:DR33))</f>
        <v>20.413561674561677</v>
      </c>
    </row>
    <row r="515" spans="14:20" ht="16.5" x14ac:dyDescent="0.3">
      <c r="N515" s="190">
        <f>IF('Input LwA_XYZ'!A34 = 0, "", 'Input LwA_XYZ'!A34)</f>
        <v>1</v>
      </c>
      <c r="O515" s="189" t="str">
        <f>IF($N515="","",_xlfn.TEXTJOIN(" - ",TRUE,'Input LwA_XYZ'!B34:C34))</f>
        <v>BEF-R12  - Inlet</v>
      </c>
      <c r="P515" s="64">
        <f>IF($N515="","",'Input LwA_XYZ'!Q34)</f>
        <v>66</v>
      </c>
      <c r="Q515" s="91" t="str">
        <f>IF($N515="","",-1*ROUND(_xlfn.XLOOKUP(Tables!$L$482,'Input LwA_XYZ'!$AY$1:$BM$1,'Input LwA_XYZ'!AY34:BM34),0) &amp; " / " &amp; ROUND(_xlfn.XLOOKUP(Tables!$L$482,'Input LwA_XYZ'!$AH$1:$AV$1,'Input LwA_XYZ'!AH34:AV34),0) &amp; " ft")</f>
        <v>44 / 208 ft</v>
      </c>
      <c r="R515" s="91" t="str">
        <f>IF($N515="","",IF(_xlfn.XLOOKUP(Tables!$L$482,'Input LwA_XYZ'!$BV$1:$CJ$1,'Input LwA_XYZ'!BV34:CJ34)="","-",_xlfn.XLOOKUP(Tables!$L$482,'Input LwA_XYZ'!$BV$1:$CJ$1,'Input LwA_XYZ'!BV34:CJ34)))</f>
        <v>-</v>
      </c>
      <c r="S515" s="91" t="str">
        <f>IF($N515="","",IF('Input LwA_XYZ'!S34="","-",'Input LwA_XYZ'!S34))</f>
        <v>-</v>
      </c>
      <c r="T515" s="65">
        <f>IF($N515="","",_xlfn.XLOOKUP(Tables!$L$482,'Input LwA_XYZ'!$DD$1:$DR$1,'Input LwA_XYZ'!DD34:DR34))</f>
        <v>21.980715174611781</v>
      </c>
    </row>
    <row r="516" spans="14:20" ht="16.5" x14ac:dyDescent="0.3">
      <c r="N516" s="190">
        <f>IF('Input LwA_XYZ'!A35 = 0, "", 'Input LwA_XYZ'!A35)</f>
        <v>1</v>
      </c>
      <c r="O516" s="189" t="str">
        <f>IF($N516="","",_xlfn.TEXTJOIN(" - ",TRUE,'Input LwA_XYZ'!B35:C35))</f>
        <v>BEF-R13  - Inlet</v>
      </c>
      <c r="P516" s="64">
        <f>IF($N516="","",'Input LwA_XYZ'!Q35)</f>
        <v>66</v>
      </c>
      <c r="Q516" s="91" t="str">
        <f>IF($N516="","",-1*ROUND(_xlfn.XLOOKUP(Tables!$L$482,'Input LwA_XYZ'!$AY$1:$BM$1,'Input LwA_XYZ'!AY35:BM35),0) &amp; " / " &amp; ROUND(_xlfn.XLOOKUP(Tables!$L$482,'Input LwA_XYZ'!$AH$1:$AV$1,'Input LwA_XYZ'!AH35:AV35),0) &amp; " ft")</f>
        <v>43 / 177 ft</v>
      </c>
      <c r="R516" s="91" t="str">
        <f>IF($N516="","",IF(_xlfn.XLOOKUP(Tables!$L$482,'Input LwA_XYZ'!$BV$1:$CJ$1,'Input LwA_XYZ'!BV35:CJ35)="","-",_xlfn.XLOOKUP(Tables!$L$482,'Input LwA_XYZ'!$BV$1:$CJ$1,'Input LwA_XYZ'!BV35:CJ35)))</f>
        <v>-</v>
      </c>
      <c r="S516" s="91" t="str">
        <f>IF($N516="","",IF('Input LwA_XYZ'!S35="","-",'Input LwA_XYZ'!S35))</f>
        <v>-</v>
      </c>
      <c r="T516" s="65">
        <f>IF($N516="","",_xlfn.XLOOKUP(Tables!$L$482,'Input LwA_XYZ'!$DD$1:$DR$1,'Input LwA_XYZ'!DD35:DR35))</f>
        <v>23.39479009159399</v>
      </c>
    </row>
    <row r="517" spans="14:20" ht="16.5" x14ac:dyDescent="0.3">
      <c r="N517" s="190">
        <f>IF('Input LwA_XYZ'!A36 = 0, "", 'Input LwA_XYZ'!A36)</f>
        <v>1</v>
      </c>
      <c r="O517" s="189" t="str">
        <f>IF($N517="","",_xlfn.TEXTJOIN(" - ",TRUE,'Input LwA_XYZ'!B36:C36))</f>
        <v>BEF-R14  - Inlet</v>
      </c>
      <c r="P517" s="64">
        <f>IF($N517="","",'Input LwA_XYZ'!Q36)</f>
        <v>66</v>
      </c>
      <c r="Q517" s="91" t="str">
        <f>IF($N517="","",-1*ROUND(_xlfn.XLOOKUP(Tables!$L$482,'Input LwA_XYZ'!$AY$1:$BM$1,'Input LwA_XYZ'!AY36:BM36),0) &amp; " / " &amp; ROUND(_xlfn.XLOOKUP(Tables!$L$482,'Input LwA_XYZ'!$AH$1:$AV$1,'Input LwA_XYZ'!AH36:AV36),0) &amp; " ft")</f>
        <v>42 / 160 ft</v>
      </c>
      <c r="R517" s="91" t="str">
        <f>IF($N517="","",IF(_xlfn.XLOOKUP(Tables!$L$482,'Input LwA_XYZ'!$BV$1:$CJ$1,'Input LwA_XYZ'!BV36:CJ36)="","-",_xlfn.XLOOKUP(Tables!$L$482,'Input LwA_XYZ'!$BV$1:$CJ$1,'Input LwA_XYZ'!BV36:CJ36)))</f>
        <v>-</v>
      </c>
      <c r="S517" s="91" t="str">
        <f>IF($N517="","",IF('Input LwA_XYZ'!S36="","-",'Input LwA_XYZ'!S36))</f>
        <v>-</v>
      </c>
      <c r="T517" s="65">
        <f>IF($N517="","",_xlfn.XLOOKUP(Tables!$L$482,'Input LwA_XYZ'!$DD$1:$DR$1,'Input LwA_XYZ'!DD36:DR36))</f>
        <v>24.267760520630574</v>
      </c>
    </row>
    <row r="518" spans="14:20" ht="16.5" x14ac:dyDescent="0.3">
      <c r="N518" s="190">
        <f>IF('Input LwA_XYZ'!A37 = 0, "", 'Input LwA_XYZ'!A37)</f>
        <v>1</v>
      </c>
      <c r="O518" s="189" t="str">
        <f>IF($N518="","",_xlfn.TEXTJOIN(" - ",TRUE,'Input LwA_XYZ'!B37:C37))</f>
        <v>BEF-R15  - Inlet</v>
      </c>
      <c r="P518" s="64">
        <f>IF($N518="","",'Input LwA_XYZ'!Q37)</f>
        <v>57</v>
      </c>
      <c r="Q518" s="91" t="str">
        <f>IF($N518="","",-1*ROUND(_xlfn.XLOOKUP(Tables!$L$482,'Input LwA_XYZ'!$AY$1:$BM$1,'Input LwA_XYZ'!AY37:BM37),0) &amp; " / " &amp; ROUND(_xlfn.XLOOKUP(Tables!$L$482,'Input LwA_XYZ'!$AH$1:$AV$1,'Input LwA_XYZ'!AH37:AV37),0) &amp; " ft")</f>
        <v>41 / 151 ft</v>
      </c>
      <c r="R518" s="91" t="str">
        <f>IF($N518="","",IF(_xlfn.XLOOKUP(Tables!$L$482,'Input LwA_XYZ'!$BV$1:$CJ$1,'Input LwA_XYZ'!BV37:CJ37)="","-",_xlfn.XLOOKUP(Tables!$L$482,'Input LwA_XYZ'!$BV$1:$CJ$1,'Input LwA_XYZ'!BV37:CJ37)))</f>
        <v>-</v>
      </c>
      <c r="S518" s="91" t="str">
        <f>IF($N518="","",IF('Input LwA_XYZ'!S37="","-",'Input LwA_XYZ'!S37))</f>
        <v>-</v>
      </c>
      <c r="T518" s="65">
        <f>IF($N518="","",_xlfn.XLOOKUP(Tables!$L$482,'Input LwA_XYZ'!$DD$1:$DR$1,'Input LwA_XYZ'!DD37:DR37))</f>
        <v>15.774111416089106</v>
      </c>
    </row>
    <row r="519" spans="14:20" ht="16.5" x14ac:dyDescent="0.3">
      <c r="N519" s="190">
        <f>IF('Input LwA_XYZ'!A38 = 0, "", 'Input LwA_XYZ'!A38)</f>
        <v>1</v>
      </c>
      <c r="O519" s="189" t="str">
        <f>IF($N519="","",_xlfn.TEXTJOIN(" - ",TRUE,'Input LwA_XYZ'!B38:C38))</f>
        <v>BEF-R16  - Inlet</v>
      </c>
      <c r="P519" s="64">
        <f>IF($N519="","",'Input LwA_XYZ'!Q38)</f>
        <v>57</v>
      </c>
      <c r="Q519" s="91" t="str">
        <f>IF($N519="","",-1*ROUND(_xlfn.XLOOKUP(Tables!$L$482,'Input LwA_XYZ'!$AY$1:$BM$1,'Input LwA_XYZ'!AY38:BM38),0) &amp; " / " &amp; ROUND(_xlfn.XLOOKUP(Tables!$L$482,'Input LwA_XYZ'!$AH$1:$AV$1,'Input LwA_XYZ'!AH38:AV38),0) &amp; " ft")</f>
        <v>44 / 218 ft</v>
      </c>
      <c r="R519" s="91" t="str">
        <f>IF($N519="","",IF(_xlfn.XLOOKUP(Tables!$L$482,'Input LwA_XYZ'!$BV$1:$CJ$1,'Input LwA_XYZ'!BV38:CJ38)="","-",_xlfn.XLOOKUP(Tables!$L$482,'Input LwA_XYZ'!$BV$1:$CJ$1,'Input LwA_XYZ'!BV38:CJ38)))</f>
        <v>-</v>
      </c>
      <c r="S519" s="91" t="str">
        <f>IF($N519="","",IF('Input LwA_XYZ'!S38="","-",'Input LwA_XYZ'!S38))</f>
        <v>-</v>
      </c>
      <c r="T519" s="65">
        <f>IF($N519="","",_xlfn.XLOOKUP(Tables!$L$482,'Input LwA_XYZ'!$DD$1:$DR$1,'Input LwA_XYZ'!DD38:DR38))</f>
        <v>12.585684800234958</v>
      </c>
    </row>
    <row r="520" spans="14:20" ht="16.5" x14ac:dyDescent="0.3">
      <c r="N520" s="190" t="str">
        <f>IF('Input LwA_XYZ'!A39 = 0, "", 'Input LwA_XYZ'!A39)</f>
        <v/>
      </c>
      <c r="O520" s="189" t="str">
        <f>IF($N520="","",_xlfn.TEXTJOIN(" - ",TRUE,'Input LwA_XYZ'!B39:C39))</f>
        <v/>
      </c>
      <c r="P520" s="64" t="str">
        <f>IF($N520="","",'Input LwA_XYZ'!Q39)</f>
        <v/>
      </c>
      <c r="Q520" s="91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91" t="str">
        <f>IF($N520="","",IF(_xlfn.XLOOKUP(Tables!$L$482,'Input LwA_XYZ'!$BV$1:$CJ$1,'Input LwA_XYZ'!BV39:CJ39)="","-",_xlfn.XLOOKUP(Tables!$L$482,'Input LwA_XYZ'!$BV$1:$CJ$1,'Input LwA_XYZ'!BV39:CJ39)))</f>
        <v/>
      </c>
      <c r="S520" s="91" t="str">
        <f>IF($N520="","",IF('Input LwA_XYZ'!S39="","-",'Input LwA_XYZ'!S39))</f>
        <v/>
      </c>
      <c r="T520" s="65" t="str">
        <f>IF($N520="","",_xlfn.XLOOKUP(Tables!$L$482,'Input LwA_XYZ'!$DD$1:$DR$1,'Input LwA_XYZ'!DD39:DR39))</f>
        <v/>
      </c>
    </row>
    <row r="521" spans="14:20" ht="16.5" x14ac:dyDescent="0.3">
      <c r="N521" s="190" t="str">
        <f>IF('Input LwA_XYZ'!A40 = 0, "", 'Input LwA_XYZ'!A40)</f>
        <v/>
      </c>
      <c r="O521" s="189" t="str">
        <f>IF($N521="","",_xlfn.TEXTJOIN(" - ",TRUE,'Input LwA_XYZ'!B40:C40))</f>
        <v/>
      </c>
      <c r="P521" s="64" t="str">
        <f>IF($N521="","",'Input LwA_XYZ'!Q40)</f>
        <v/>
      </c>
      <c r="Q521" s="91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91" t="str">
        <f>IF($N521="","",IF(_xlfn.XLOOKUP(Tables!$L$482,'Input LwA_XYZ'!$BV$1:$CJ$1,'Input LwA_XYZ'!BV40:CJ40)="","-",_xlfn.XLOOKUP(Tables!$L$482,'Input LwA_XYZ'!$BV$1:$CJ$1,'Input LwA_XYZ'!BV40:CJ40)))</f>
        <v/>
      </c>
      <c r="S521" s="91" t="str">
        <f>IF($N521="","",IF('Input LwA_XYZ'!S40="","-",'Input LwA_XYZ'!S40))</f>
        <v/>
      </c>
      <c r="T521" s="65" t="str">
        <f>IF($N521="","",_xlfn.XLOOKUP(Tables!$L$482,'Input LwA_XYZ'!$DD$1:$DR$1,'Input LwA_XYZ'!DD40:DR40))</f>
        <v/>
      </c>
    </row>
    <row r="522" spans="14:20" ht="16.5" x14ac:dyDescent="0.3">
      <c r="N522" s="190" t="str">
        <f>IF('Input LwA_XYZ'!A41 = 0, "", 'Input LwA_XYZ'!A41)</f>
        <v/>
      </c>
      <c r="O522" s="189" t="str">
        <f>IF($N522="","",_xlfn.TEXTJOIN(" - ",TRUE,'Input LwA_XYZ'!B41:C41))</f>
        <v/>
      </c>
      <c r="P522" s="64" t="str">
        <f>IF($N522="","",'Input LwA_XYZ'!Q41)</f>
        <v/>
      </c>
      <c r="Q522" s="91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91" t="str">
        <f>IF($N522="","",IF(_xlfn.XLOOKUP(Tables!$L$482,'Input LwA_XYZ'!$BV$1:$CJ$1,'Input LwA_XYZ'!BV41:CJ41)="","-",_xlfn.XLOOKUP(Tables!$L$482,'Input LwA_XYZ'!$BV$1:$CJ$1,'Input LwA_XYZ'!BV41:CJ41)))</f>
        <v/>
      </c>
      <c r="S522" s="91" t="str">
        <f>IF($N522="","",IF('Input LwA_XYZ'!S41="","-",'Input LwA_XYZ'!S41))</f>
        <v/>
      </c>
      <c r="T522" s="65" t="str">
        <f>IF($N522="","",_xlfn.XLOOKUP(Tables!$L$482,'Input LwA_XYZ'!$DD$1:$DR$1,'Input LwA_XYZ'!DD41:DR41))</f>
        <v/>
      </c>
    </row>
    <row r="523" spans="14:20" ht="16.5" x14ac:dyDescent="0.3">
      <c r="N523" s="190" t="str">
        <f>IF('Input LwA_XYZ'!A42 = 0, "", 'Input LwA_XYZ'!A42)</f>
        <v/>
      </c>
      <c r="O523" s="189" t="str">
        <f>IF($N523="","",_xlfn.TEXTJOIN(" - ",TRUE,'Input LwA_XYZ'!B42:C42))</f>
        <v/>
      </c>
      <c r="P523" s="64" t="str">
        <f>IF($N523="","",'Input LwA_XYZ'!Q42)</f>
        <v/>
      </c>
      <c r="Q523" s="91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91" t="str">
        <f>IF($N523="","",IF(_xlfn.XLOOKUP(Tables!$L$482,'Input LwA_XYZ'!$BV$1:$CJ$1,'Input LwA_XYZ'!BV42:CJ42)="","-",_xlfn.XLOOKUP(Tables!$L$482,'Input LwA_XYZ'!$BV$1:$CJ$1,'Input LwA_XYZ'!BV42:CJ42)))</f>
        <v/>
      </c>
      <c r="S523" s="91" t="str">
        <f>IF($N523="","",IF('Input LwA_XYZ'!S42="","-",'Input LwA_XYZ'!S42))</f>
        <v/>
      </c>
      <c r="T523" s="65" t="str">
        <f>IF($N523="","",_xlfn.XLOOKUP(Tables!$L$482,'Input LwA_XYZ'!$DD$1:$DR$1,'Input LwA_XYZ'!DD42:DR42))</f>
        <v/>
      </c>
    </row>
    <row r="524" spans="14:20" ht="16.5" x14ac:dyDescent="0.3">
      <c r="N524" s="190" t="str">
        <f>IF('Input LwA_XYZ'!A43 = 0, "", 'Input LwA_XYZ'!A43)</f>
        <v/>
      </c>
      <c r="O524" s="189" t="str">
        <f>IF($N524="","",_xlfn.TEXTJOIN(" - ",TRUE,'Input LwA_XYZ'!B43:C43))</f>
        <v/>
      </c>
      <c r="P524" s="64" t="str">
        <f>IF($N524="","",'Input LwA_XYZ'!Q43)</f>
        <v/>
      </c>
      <c r="Q524" s="91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91" t="str">
        <f>IF($N524="","",IF(_xlfn.XLOOKUP(Tables!$L$482,'Input LwA_XYZ'!$BV$1:$CJ$1,'Input LwA_XYZ'!BV43:CJ43)="","-",_xlfn.XLOOKUP(Tables!$L$482,'Input LwA_XYZ'!$BV$1:$CJ$1,'Input LwA_XYZ'!BV43:CJ43)))</f>
        <v/>
      </c>
      <c r="S524" s="91" t="str">
        <f>IF($N524="","",IF('Input LwA_XYZ'!S43="","-",'Input LwA_XYZ'!S43))</f>
        <v/>
      </c>
      <c r="T524" s="65" t="str">
        <f>IF($N524="","",_xlfn.XLOOKUP(Tables!$L$482,'Input LwA_XYZ'!$DD$1:$DR$1,'Input LwA_XYZ'!DD43:DR43))</f>
        <v/>
      </c>
    </row>
    <row r="525" spans="14:20" ht="16.5" x14ac:dyDescent="0.3">
      <c r="N525" s="190" t="str">
        <f>IF('Input LwA_XYZ'!A44 = 0, "", 'Input LwA_XYZ'!A44)</f>
        <v/>
      </c>
      <c r="O525" s="189" t="str">
        <f>IF($N525="","",_xlfn.TEXTJOIN(" - ",TRUE,'Input LwA_XYZ'!B44:C44))</f>
        <v/>
      </c>
      <c r="P525" s="64" t="str">
        <f>IF($N525="","",'Input LwA_XYZ'!Q44)</f>
        <v/>
      </c>
      <c r="Q525" s="91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91" t="str">
        <f>IF($N525="","",IF(_xlfn.XLOOKUP(Tables!$L$482,'Input LwA_XYZ'!$BV$1:$CJ$1,'Input LwA_XYZ'!BV44:CJ44)="","-",_xlfn.XLOOKUP(Tables!$L$482,'Input LwA_XYZ'!$BV$1:$CJ$1,'Input LwA_XYZ'!BV44:CJ44)))</f>
        <v/>
      </c>
      <c r="S525" s="91" t="str">
        <f>IF($N525="","",IF('Input LwA_XYZ'!S44="","-",'Input LwA_XYZ'!S44))</f>
        <v/>
      </c>
      <c r="T525" s="65" t="str">
        <f>IF($N525="","",_xlfn.XLOOKUP(Tables!$L$482,'Input LwA_XYZ'!$DD$1:$DR$1,'Input LwA_XYZ'!DD44:DR44))</f>
        <v/>
      </c>
    </row>
    <row r="526" spans="14:20" ht="16.5" x14ac:dyDescent="0.3">
      <c r="N526" s="190" t="str">
        <f>IF('Input LwA_XYZ'!A45 = 0, "", 'Input LwA_XYZ'!A45)</f>
        <v/>
      </c>
      <c r="O526" s="189" t="str">
        <f>IF($N526="","",_xlfn.TEXTJOIN(" - ",TRUE,'Input LwA_XYZ'!B45:C45))</f>
        <v/>
      </c>
      <c r="P526" s="64" t="str">
        <f>IF($N526="","",'Input LwA_XYZ'!Q45)</f>
        <v/>
      </c>
      <c r="Q526" s="91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91" t="str">
        <f>IF($N526="","",IF(_xlfn.XLOOKUP(Tables!$L$482,'Input LwA_XYZ'!$BV$1:$CJ$1,'Input LwA_XYZ'!BV45:CJ45)="","-",_xlfn.XLOOKUP(Tables!$L$482,'Input LwA_XYZ'!$BV$1:$CJ$1,'Input LwA_XYZ'!BV45:CJ45)))</f>
        <v/>
      </c>
      <c r="S526" s="91" t="str">
        <f>IF($N526="","",IF('Input LwA_XYZ'!S45="","-",'Input LwA_XYZ'!S45))</f>
        <v/>
      </c>
      <c r="T526" s="65" t="str">
        <f>IF($N526="","",_xlfn.XLOOKUP(Tables!$L$482,'Input LwA_XYZ'!$DD$1:$DR$1,'Input LwA_XYZ'!DD45:DR45))</f>
        <v/>
      </c>
    </row>
    <row r="527" spans="14:20" ht="16.5" x14ac:dyDescent="0.3">
      <c r="N527" s="190" t="str">
        <f>IF('Input LwA_XYZ'!A46 = 0, "", 'Input LwA_XYZ'!A46)</f>
        <v/>
      </c>
      <c r="O527" s="189" t="str">
        <f>IF($N527="","",_xlfn.TEXTJOIN(" - ",TRUE,'Input LwA_XYZ'!B46:C46))</f>
        <v/>
      </c>
      <c r="P527" s="64" t="str">
        <f>IF($N527="","",'Input LwA_XYZ'!Q46)</f>
        <v/>
      </c>
      <c r="Q527" s="91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91" t="str">
        <f>IF($N527="","",IF(_xlfn.XLOOKUP(Tables!$L$482,'Input LwA_XYZ'!$BV$1:$CJ$1,'Input LwA_XYZ'!BV46:CJ46)="","-",_xlfn.XLOOKUP(Tables!$L$482,'Input LwA_XYZ'!$BV$1:$CJ$1,'Input LwA_XYZ'!BV46:CJ46)))</f>
        <v/>
      </c>
      <c r="S527" s="91" t="str">
        <f>IF($N527="","",IF('Input LwA_XYZ'!S46="","-",'Input LwA_XYZ'!S46))</f>
        <v/>
      </c>
      <c r="T527" s="65" t="str">
        <f>IF($N527="","",_xlfn.XLOOKUP(Tables!$L$482,'Input LwA_XYZ'!$DD$1:$DR$1,'Input LwA_XYZ'!DD46:DR46))</f>
        <v/>
      </c>
    </row>
    <row r="528" spans="14:20" ht="16.5" x14ac:dyDescent="0.3">
      <c r="N528" s="190" t="str">
        <f>IF('Input LwA_XYZ'!A47 = 0, "", 'Input LwA_XYZ'!A47)</f>
        <v/>
      </c>
      <c r="O528" s="189" t="str">
        <f>IF($N528="","",_xlfn.TEXTJOIN(" - ",TRUE,'Input LwA_XYZ'!B47:C47))</f>
        <v/>
      </c>
      <c r="P528" s="64" t="str">
        <f>IF($N528="","",'Input LwA_XYZ'!Q47)</f>
        <v/>
      </c>
      <c r="Q528" s="91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91" t="str">
        <f>IF($N528="","",IF(_xlfn.XLOOKUP(Tables!$L$482,'Input LwA_XYZ'!$BV$1:$CJ$1,'Input LwA_XYZ'!BV47:CJ47)="","-",_xlfn.XLOOKUP(Tables!$L$482,'Input LwA_XYZ'!$BV$1:$CJ$1,'Input LwA_XYZ'!BV47:CJ47)))</f>
        <v/>
      </c>
      <c r="S528" s="91" t="str">
        <f>IF($N528="","",IF('Input LwA_XYZ'!S47="","-",'Input LwA_XYZ'!S47))</f>
        <v/>
      </c>
      <c r="T528" s="65" t="str">
        <f>IF($N528="","",_xlfn.XLOOKUP(Tables!$L$482,'Input LwA_XYZ'!$DD$1:$DR$1,'Input LwA_XYZ'!DD47:DR47))</f>
        <v/>
      </c>
    </row>
    <row r="529" spans="12:20" ht="16.5" x14ac:dyDescent="0.3">
      <c r="N529" s="190" t="str">
        <f>IF('Input LwA_XYZ'!A48 = 0, "", 'Input LwA_XYZ'!A48)</f>
        <v/>
      </c>
      <c r="O529" s="189" t="str">
        <f>IF($N529="","",_xlfn.TEXTJOIN(" - ",TRUE,'Input LwA_XYZ'!B48:C48))</f>
        <v/>
      </c>
      <c r="P529" s="64" t="str">
        <f>IF($N529="","",'Input LwA_XYZ'!Q48)</f>
        <v/>
      </c>
      <c r="Q529" s="91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91" t="str">
        <f>IF($N529="","",IF(_xlfn.XLOOKUP(Tables!$L$482,'Input LwA_XYZ'!$BV$1:$CJ$1,'Input LwA_XYZ'!BV48:CJ48)="","-",_xlfn.XLOOKUP(Tables!$L$482,'Input LwA_XYZ'!$BV$1:$CJ$1,'Input LwA_XYZ'!BV48:CJ48)))</f>
        <v/>
      </c>
      <c r="S529" s="91" t="str">
        <f>IF($N529="","",IF('Input LwA_XYZ'!S48="","-",'Input LwA_XYZ'!S48))</f>
        <v/>
      </c>
      <c r="T529" s="65" t="str">
        <f>IF($N529="","",_xlfn.XLOOKUP(Tables!$L$482,'Input LwA_XYZ'!$DD$1:$DR$1,'Input LwA_XYZ'!DD48:DR48))</f>
        <v/>
      </c>
    </row>
    <row r="530" spans="12:20" ht="16.5" x14ac:dyDescent="0.3">
      <c r="N530" s="190" t="str">
        <f>IF('Input LwA_XYZ'!A49 = 0, "", 'Input LwA_XYZ'!A49)</f>
        <v/>
      </c>
      <c r="O530" s="189" t="str">
        <f>IF($N530="","",_xlfn.TEXTJOIN(" - ",TRUE,'Input LwA_XYZ'!B49:C49))</f>
        <v/>
      </c>
      <c r="P530" s="64" t="str">
        <f>IF($N530="","",'Input LwA_XYZ'!Q49)</f>
        <v/>
      </c>
      <c r="Q530" s="91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91" t="str">
        <f>IF($N530="","",IF(_xlfn.XLOOKUP(Tables!$L$482,'Input LwA_XYZ'!$BV$1:$CJ$1,'Input LwA_XYZ'!BV49:CJ49)="","-",_xlfn.XLOOKUP(Tables!$L$482,'Input LwA_XYZ'!$BV$1:$CJ$1,'Input LwA_XYZ'!BV49:CJ49)))</f>
        <v/>
      </c>
      <c r="S530" s="91" t="str">
        <f>IF($N530="","",IF('Input LwA_XYZ'!S49="","-",'Input LwA_XYZ'!S49))</f>
        <v/>
      </c>
      <c r="T530" s="65" t="str">
        <f>IF($N530="","",_xlfn.XLOOKUP(Tables!$L$482,'Input LwA_XYZ'!$DD$1:$DR$1,'Input LwA_XYZ'!DD49:DR49))</f>
        <v/>
      </c>
    </row>
    <row r="531" spans="12:20" ht="16.5" x14ac:dyDescent="0.3">
      <c r="N531" s="190" t="str">
        <f>IF('Input LwA_XYZ'!A50 = 0, "", 'Input LwA_XYZ'!A50)</f>
        <v/>
      </c>
      <c r="O531" s="189" t="str">
        <f>IF($N531="","",_xlfn.TEXTJOIN(" - ",TRUE,'Input LwA_XYZ'!B50:C50))</f>
        <v/>
      </c>
      <c r="P531" s="64" t="str">
        <f>IF($N531="","",'Input LwA_XYZ'!Q50)</f>
        <v/>
      </c>
      <c r="Q531" s="91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91" t="str">
        <f>IF($N531="","",IF(_xlfn.XLOOKUP(Tables!$L$482,'Input LwA_XYZ'!$BV$1:$CJ$1,'Input LwA_XYZ'!BV50:CJ50)="","-",_xlfn.XLOOKUP(Tables!$L$482,'Input LwA_XYZ'!$BV$1:$CJ$1,'Input LwA_XYZ'!BV50:CJ50)))</f>
        <v/>
      </c>
      <c r="S531" s="91" t="str">
        <f>IF($N531="","",IF('Input LwA_XYZ'!S50="","-",'Input LwA_XYZ'!S50))</f>
        <v/>
      </c>
      <c r="T531" s="65" t="str">
        <f>IF($N531="","",_xlfn.XLOOKUP(Tables!$L$482,'Input LwA_XYZ'!$DD$1:$DR$1,'Input LwA_XYZ'!DD50:DR50))</f>
        <v/>
      </c>
    </row>
    <row r="532" spans="12:20" ht="16.5" x14ac:dyDescent="0.3">
      <c r="N532" s="190" t="str">
        <f>IF('Input LwA_XYZ'!A51 = 0, "", 'Input LwA_XYZ'!A51)</f>
        <v/>
      </c>
      <c r="O532" s="189" t="str">
        <f>IF($N532="","",_xlfn.TEXTJOIN(" - ",TRUE,'Input LwA_XYZ'!B51:C51))</f>
        <v/>
      </c>
      <c r="P532" s="64" t="str">
        <f>IF($N532="","",'Input LwA_XYZ'!Q51)</f>
        <v/>
      </c>
      <c r="Q532" s="91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91" t="str">
        <f>IF($N532="","",IF(_xlfn.XLOOKUP(Tables!$L$482,'Input LwA_XYZ'!$BV$1:$CJ$1,'Input LwA_XYZ'!BV51:CJ51)="","-",_xlfn.XLOOKUP(Tables!$L$482,'Input LwA_XYZ'!$BV$1:$CJ$1,'Input LwA_XYZ'!BV51:CJ51)))</f>
        <v/>
      </c>
      <c r="S532" s="91" t="str">
        <f>IF($N532="","",IF('Input LwA_XYZ'!S51="","-",'Input LwA_XYZ'!S51))</f>
        <v/>
      </c>
      <c r="T532" s="65" t="str">
        <f>IF($N532="","",_xlfn.XLOOKUP(Tables!$L$482,'Input LwA_XYZ'!$DD$1:$DR$1,'Input LwA_XYZ'!DD51:DR51))</f>
        <v/>
      </c>
    </row>
    <row r="533" spans="12:20" ht="16.5" x14ac:dyDescent="0.3">
      <c r="N533" s="190" t="str">
        <f>IF('Input LwA_XYZ'!A52 = 0, "", 'Input LwA_XYZ'!A52)</f>
        <v/>
      </c>
      <c r="O533" s="189" t="str">
        <f>IF($N533="","",_xlfn.TEXTJOIN(" - ",TRUE,'Input LwA_XYZ'!B52:C52))</f>
        <v/>
      </c>
      <c r="P533" s="64" t="str">
        <f>IF($N533="","",'Input LwA_XYZ'!Q52)</f>
        <v/>
      </c>
      <c r="Q533" s="91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91" t="str">
        <f>IF($N533="","",IF(_xlfn.XLOOKUP(Tables!$L$482,'Input LwA_XYZ'!$BV$1:$CJ$1,'Input LwA_XYZ'!BV52:CJ52)="","-",_xlfn.XLOOKUP(Tables!$L$482,'Input LwA_XYZ'!$BV$1:$CJ$1,'Input LwA_XYZ'!BV52:CJ52)))</f>
        <v/>
      </c>
      <c r="S533" s="91" t="str">
        <f>IF($N533="","",IF('Input LwA_XYZ'!S52="","-",'Input LwA_XYZ'!S52))</f>
        <v/>
      </c>
      <c r="T533" s="65" t="str">
        <f>IF($N533="","",_xlfn.XLOOKUP(Tables!$L$482,'Input LwA_XYZ'!$DD$1:$DR$1,'Input LwA_XYZ'!DD52:DR52))</f>
        <v/>
      </c>
    </row>
    <row r="534" spans="12:20" ht="16.5" x14ac:dyDescent="0.3">
      <c r="N534" s="190" t="str">
        <f>IF('Input LwA_XYZ'!A53 = 0, "", 'Input LwA_XYZ'!A53)</f>
        <v/>
      </c>
      <c r="O534" s="189" t="str">
        <f>IF($N534="","",_xlfn.TEXTJOIN(" - ",TRUE,'Input LwA_XYZ'!B53:C53))</f>
        <v/>
      </c>
      <c r="P534" s="64" t="str">
        <f>IF($N534="","",'Input LwA_XYZ'!Q53)</f>
        <v/>
      </c>
      <c r="Q534" s="91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91" t="str">
        <f>IF($N534="","",IF(_xlfn.XLOOKUP(Tables!$L$482,'Input LwA_XYZ'!$BV$1:$CJ$1,'Input LwA_XYZ'!BV53:CJ53)="","-",_xlfn.XLOOKUP(Tables!$L$482,'Input LwA_XYZ'!$BV$1:$CJ$1,'Input LwA_XYZ'!BV53:CJ53)))</f>
        <v/>
      </c>
      <c r="S534" s="91" t="str">
        <f>IF($N534="","",IF('Input LwA_XYZ'!S53="","-",'Input LwA_XYZ'!S53))</f>
        <v/>
      </c>
      <c r="T534" s="65" t="str">
        <f>IF($N534="","",_xlfn.XLOOKUP(Tables!$L$482,'Input LwA_XYZ'!$DD$1:$DR$1,'Input LwA_XYZ'!DD53:DR53))</f>
        <v/>
      </c>
    </row>
    <row r="535" spans="12:20" ht="16.5" x14ac:dyDescent="0.3">
      <c r="N535" s="190" t="str">
        <f>IF('Input LwA_XYZ'!A54 = 0, "", 'Input LwA_XYZ'!A54)</f>
        <v/>
      </c>
      <c r="O535" s="189" t="str">
        <f>IF($N535="","",_xlfn.TEXTJOIN(" - ",TRUE,'Input LwA_XYZ'!B54:C54))</f>
        <v/>
      </c>
      <c r="P535" s="64" t="str">
        <f>IF($N535="","",'Input LwA_XYZ'!Q54)</f>
        <v/>
      </c>
      <c r="Q535" s="91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91" t="str">
        <f>IF($N535="","",IF(_xlfn.XLOOKUP(Tables!$L$482,'Input LwA_XYZ'!$BV$1:$CJ$1,'Input LwA_XYZ'!BV54:CJ54)="","-",_xlfn.XLOOKUP(Tables!$L$482,'Input LwA_XYZ'!$BV$1:$CJ$1,'Input LwA_XYZ'!BV54:CJ54)))</f>
        <v/>
      </c>
      <c r="S535" s="91" t="str">
        <f>IF($N535="","",IF('Input LwA_XYZ'!S54="","-",'Input LwA_XYZ'!S54))</f>
        <v/>
      </c>
      <c r="T535" s="65" t="str">
        <f>IF($N535="","",_xlfn.XLOOKUP(Tables!$L$482,'Input LwA_XYZ'!$DD$1:$DR$1,'Input LwA_XYZ'!DD54:DR54))</f>
        <v/>
      </c>
    </row>
    <row r="536" spans="12:20" ht="16.5" x14ac:dyDescent="0.3">
      <c r="N536" s="190" t="str">
        <f>IF('Input LwA_XYZ'!A55 = 0, "", 'Input LwA_XYZ'!A55)</f>
        <v/>
      </c>
      <c r="O536" s="189" t="str">
        <f>IF($N536="","",_xlfn.TEXTJOIN(" - ",TRUE,'Input LwA_XYZ'!B55:C55))</f>
        <v/>
      </c>
      <c r="P536" s="64" t="str">
        <f>IF($N536="","",'Input LwA_XYZ'!Q55)</f>
        <v/>
      </c>
      <c r="Q536" s="91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91" t="str">
        <f>IF($N536="","",IF(_xlfn.XLOOKUP(Tables!$L$482,'Input LwA_XYZ'!$BV$1:$CJ$1,'Input LwA_XYZ'!BV55:CJ55)="","-",_xlfn.XLOOKUP(Tables!$L$482,'Input LwA_XYZ'!$BV$1:$CJ$1,'Input LwA_XYZ'!BV55:CJ55)))</f>
        <v/>
      </c>
      <c r="S536" s="91" t="str">
        <f>IF($N536="","",IF('Input LwA_XYZ'!S55="","-",'Input LwA_XYZ'!S55))</f>
        <v/>
      </c>
      <c r="T536" s="65" t="str">
        <f>IF($N536="","",_xlfn.XLOOKUP(Tables!$L$482,'Input LwA_XYZ'!$DD$1:$DR$1,'Input LwA_XYZ'!DD55:DR55))</f>
        <v/>
      </c>
    </row>
    <row r="537" spans="12:20" ht="16.5" x14ac:dyDescent="0.3">
      <c r="N537" s="190" t="str">
        <f>IF('Input LwA_XYZ'!A56 = 0, "", 'Input LwA_XYZ'!A56)</f>
        <v/>
      </c>
      <c r="O537" s="189" t="str">
        <f>IF($N537="","",_xlfn.TEXTJOIN(" - ",TRUE,'Input LwA_XYZ'!B56:C56))</f>
        <v/>
      </c>
      <c r="P537" s="64" t="str">
        <f>IF($N537="","",'Input LwA_XYZ'!Q56)</f>
        <v/>
      </c>
      <c r="Q537" s="91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91" t="str">
        <f>IF($N537="","",IF(_xlfn.XLOOKUP(Tables!$L$482,'Input LwA_XYZ'!$BV$1:$CJ$1,'Input LwA_XYZ'!BV56:CJ56)="","-",_xlfn.XLOOKUP(Tables!$L$482,'Input LwA_XYZ'!$BV$1:$CJ$1,'Input LwA_XYZ'!BV56:CJ56)))</f>
        <v/>
      </c>
      <c r="S537" s="91" t="str">
        <f>IF($N537="","",IF('Input LwA_XYZ'!S56="","-",'Input LwA_XYZ'!S56))</f>
        <v/>
      </c>
      <c r="T537" s="65" t="str">
        <f>IF($N537="","",_xlfn.XLOOKUP(Tables!$L$482,'Input LwA_XYZ'!$DD$1:$DR$1,'Input LwA_XYZ'!DD56:DR56))</f>
        <v/>
      </c>
    </row>
    <row r="538" spans="12:20" ht="16.5" x14ac:dyDescent="0.3">
      <c r="N538" s="190" t="str">
        <f>IF('Input LwA_XYZ'!A57 = 0, "", 'Input LwA_XYZ'!A57)</f>
        <v/>
      </c>
      <c r="O538" s="189" t="str">
        <f>IF($N538="","",_xlfn.TEXTJOIN(" - ",TRUE,'Input LwA_XYZ'!B57:C57))</f>
        <v/>
      </c>
      <c r="P538" s="64" t="str">
        <f>IF($N538="","",'Input LwA_XYZ'!Q57)</f>
        <v/>
      </c>
      <c r="Q538" s="91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91" t="str">
        <f>IF($N538="","",IF(_xlfn.XLOOKUP(Tables!$L$482,'Input LwA_XYZ'!$BV$1:$CJ$1,'Input LwA_XYZ'!BV57:CJ57)="","-",_xlfn.XLOOKUP(Tables!$L$482,'Input LwA_XYZ'!$BV$1:$CJ$1,'Input LwA_XYZ'!BV57:CJ57)))</f>
        <v/>
      </c>
      <c r="S538" s="91" t="str">
        <f>IF($N538="","",IF('Input LwA_XYZ'!S57="","-",'Input LwA_XYZ'!S57))</f>
        <v/>
      </c>
      <c r="T538" s="65" t="str">
        <f>IF($N538="","",_xlfn.XLOOKUP(Tables!$L$482,'Input LwA_XYZ'!$DD$1:$DR$1,'Input LwA_XYZ'!DD57:DR57))</f>
        <v/>
      </c>
    </row>
    <row r="539" spans="12:20" ht="17.25" thickBot="1" x14ac:dyDescent="0.35">
      <c r="N539" s="191" t="str">
        <f>IF('Input LwA_XYZ'!A58 = 0, "", 'Input LwA_XYZ'!A58)</f>
        <v/>
      </c>
      <c r="O539" s="192" t="str">
        <f>IF($N539="","",_xlfn.TEXTJOIN(" - ",TRUE,'Input LwA_XYZ'!B58:C58))</f>
        <v/>
      </c>
      <c r="P539" s="99" t="str">
        <f>IF($N539="","",'Input LwA_XYZ'!Q58)</f>
        <v/>
      </c>
      <c r="Q539" s="100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91" t="str">
        <f>IF($N539="","",IF(_xlfn.XLOOKUP(Tables!$L$482,'Input LwA_XYZ'!$BV$1:$CJ$1,'Input LwA_XYZ'!BV58:CJ58)="","-",_xlfn.XLOOKUP(Tables!$L$482,'Input LwA_XYZ'!$BV$1:$CJ$1,'Input LwA_XYZ'!BV58:CJ58)))</f>
        <v/>
      </c>
      <c r="S539" s="91" t="str">
        <f>IF($N539="","",IF('Input LwA_XYZ'!S58="","-",'Input LwA_XYZ'!S58))</f>
        <v/>
      </c>
      <c r="T539" s="66" t="str">
        <f>IF($N539="","",_xlfn.XLOOKUP(Tables!$L$482,'Input LwA_XYZ'!$DD$1:$DR$1,'Input LwA_XYZ'!DD58:DR58))</f>
        <v/>
      </c>
    </row>
    <row r="540" spans="12:20" ht="17.25" thickBot="1" x14ac:dyDescent="0.35">
      <c r="N540" s="101" t="s">
        <v>85</v>
      </c>
      <c r="O540" s="102"/>
      <c r="P540" s="102"/>
      <c r="Q540" s="102"/>
      <c r="R540" s="102"/>
      <c r="S540" s="103"/>
      <c r="T540" s="108" t="str">
        <f>_xlfn.XLOOKUP(Tables!$L$482,'Input LwA_XYZ'!$Z$2:$Z$16,'Input LwA_XYZ'!$AE$2:$AE$16)</f>
        <v/>
      </c>
    </row>
    <row r="541" spans="12:20" ht="15.75" thickBot="1" x14ac:dyDescent="0.3"/>
    <row r="542" spans="12:20" ht="33.75" thickBot="1" x14ac:dyDescent="0.35">
      <c r="L542" s="69" t="s">
        <v>248</v>
      </c>
      <c r="N542" s="93" t="s">
        <v>79</v>
      </c>
      <c r="O542" s="94" t="s">
        <v>80</v>
      </c>
      <c r="P542" s="95" t="s">
        <v>81</v>
      </c>
      <c r="Q542" s="95" t="s">
        <v>82</v>
      </c>
      <c r="R542" s="96" t="s">
        <v>83</v>
      </c>
      <c r="S542" s="97" t="s">
        <v>84</v>
      </c>
      <c r="T542" s="98" t="s">
        <v>78</v>
      </c>
    </row>
    <row r="543" spans="12:20" ht="16.5" x14ac:dyDescent="0.3">
      <c r="N543" s="188">
        <f>IF('Input LwA_XYZ'!A2 = 0, "", 'Input LwA_XYZ'!A2)</f>
        <v>1</v>
      </c>
      <c r="O543" s="189" t="str">
        <f>IF($N543="","",_xlfn.TEXTJOIN(" - ",TRUE,'Input LwA_XYZ'!B2:C2))</f>
        <v>MAU-R1 - Ducted Inlet</v>
      </c>
      <c r="P543" s="90">
        <f>IF($N543="","",'Input LwA_XYZ'!Q2)</f>
        <v>86</v>
      </c>
      <c r="Q543" s="91" t="str">
        <f>IF($N543="","",-1*ROUND(_xlfn.XLOOKUP(Tables!$L$542,'Input LwA_XYZ'!$AY$1:$BM$1,'Input LwA_XYZ'!AY2:BM2),0) &amp; " / " &amp; ROUND(_xlfn.XLOOKUP(Tables!$L$542,'Input LwA_XYZ'!$AH$1:$AV$1,'Input LwA_XYZ'!AH2:AV2),0) &amp; " ft")</f>
        <v>42 / 162 ft</v>
      </c>
      <c r="R543" s="91" t="str">
        <f>IF($N543="","",IF(_xlfn.XLOOKUP(Tables!$L$542,'Input LwA_XYZ'!$BV$1:$CJ$1,'Input LwA_XYZ'!BV2:CJ2)="","-",_xlfn.XLOOKUP(Tables!$L$542,'Input LwA_XYZ'!$BV$1:$CJ$1,'Input LwA_XYZ'!BV2:CJ2)))</f>
        <v>-</v>
      </c>
      <c r="S543" s="91" t="str">
        <f>IF($N543="","",IF('Input LwA_XYZ'!S2="","-",'Input LwA_XYZ'!S2))</f>
        <v>-</v>
      </c>
      <c r="T543" s="92">
        <f>IF($N543="","",_xlfn.XLOOKUP(Tables!$L$542,'Input LwA_XYZ'!$DD$1:$DR$1,'Input LwA_XYZ'!DD2:DR2))</f>
        <v>44.138152188324661</v>
      </c>
    </row>
    <row r="544" spans="12:20" ht="16.5" x14ac:dyDescent="0.3">
      <c r="N544" s="190">
        <f>IF('Input LwA_XYZ'!A3 = 0, "", 'Input LwA_XYZ'!A3)</f>
        <v>1</v>
      </c>
      <c r="O544" s="189" t="str">
        <f>IF($N544="","",_xlfn.TEXTJOIN(" - ",TRUE,'Input LwA_XYZ'!B3:C3))</f>
        <v>ERV-R.1 - Outdoor+Casing+Exhaust</v>
      </c>
      <c r="P544" s="64">
        <f>IF($N544="","",'Input LwA_XYZ'!Q3)</f>
        <v>91</v>
      </c>
      <c r="Q544" s="91" t="str">
        <f>IF($N544="","",-1*ROUND(_xlfn.XLOOKUP(Tables!$L$542,'Input LwA_XYZ'!$AY$1:$BM$1,'Input LwA_XYZ'!AY3:BM3),0) &amp; " / " &amp; ROUND(_xlfn.XLOOKUP(Tables!$L$542,'Input LwA_XYZ'!$AH$1:$AV$1,'Input LwA_XYZ'!AH3:AV3),0) &amp; " ft")</f>
        <v>44 / 209 ft</v>
      </c>
      <c r="R544" s="91" t="str">
        <f>IF($N544="","",IF(_xlfn.XLOOKUP(Tables!$L$542,'Input LwA_XYZ'!$BV$1:$CJ$1,'Input LwA_XYZ'!BV3:CJ3)="","-",_xlfn.XLOOKUP(Tables!$L$542,'Input LwA_XYZ'!$BV$1:$CJ$1,'Input LwA_XYZ'!BV3:CJ3)))</f>
        <v>-</v>
      </c>
      <c r="S544" s="91" t="str">
        <f>IF($N544="","",IF('Input LwA_XYZ'!S3="","-",'Input LwA_XYZ'!S3))</f>
        <v>-</v>
      </c>
      <c r="T544" s="65">
        <f>IF($N544="","",_xlfn.XLOOKUP(Tables!$L$542,'Input LwA_XYZ'!$DD$1:$DR$1,'Input LwA_XYZ'!DD3:DR3))</f>
        <v>46.916163500616804</v>
      </c>
    </row>
    <row r="545" spans="14:20" ht="16.5" x14ac:dyDescent="0.3">
      <c r="N545" s="190">
        <f>IF('Input LwA_XYZ'!A4 = 0, "", 'Input LwA_XYZ'!A4)</f>
        <v>1</v>
      </c>
      <c r="O545" s="189" t="str">
        <f>IF($N545="","",_xlfn.TEXTJOIN(" - ",TRUE,'Input LwA_XYZ'!B4:C4))</f>
        <v>GEF-R1  - Inlet (plus ductwork lined)</v>
      </c>
      <c r="P545" s="64">
        <f>IF($N545="","",'Input LwA_XYZ'!Q4)</f>
        <v>82</v>
      </c>
      <c r="Q545" s="91" t="str">
        <f>IF($N545="","",-1*ROUND(_xlfn.XLOOKUP(Tables!$L$542,'Input LwA_XYZ'!$AY$1:$BM$1,'Input LwA_XYZ'!AY4:BM4),0) &amp; " / " &amp; ROUND(_xlfn.XLOOKUP(Tables!$L$542,'Input LwA_XYZ'!$AH$1:$AV$1,'Input LwA_XYZ'!AH4:AV4),0) &amp; " ft")</f>
        <v>45 / 227 ft</v>
      </c>
      <c r="R545" s="91" t="str">
        <f>IF($N545="","",IF(_xlfn.XLOOKUP(Tables!$L$542,'Input LwA_XYZ'!$BV$1:$CJ$1,'Input LwA_XYZ'!BV4:CJ4)="","-",_xlfn.XLOOKUP(Tables!$L$542,'Input LwA_XYZ'!$BV$1:$CJ$1,'Input LwA_XYZ'!BV4:CJ4)))</f>
        <v>-</v>
      </c>
      <c r="S545" s="91">
        <f>IF($N545="","",IF('Input LwA_XYZ'!S4="","-",'Input LwA_XYZ'!S4))</f>
        <v>13</v>
      </c>
      <c r="T545" s="65">
        <f>IF($N545="","",_xlfn.XLOOKUP(Tables!$L$542,'Input LwA_XYZ'!$DD$1:$DR$1,'Input LwA_XYZ'!DD4:DR4))</f>
        <v>24.209702003731167</v>
      </c>
    </row>
    <row r="546" spans="14:20" ht="16.5" x14ac:dyDescent="0.3">
      <c r="N546" s="190">
        <f>IF('Input LwA_XYZ'!A5 = 0, "", 'Input LwA_XYZ'!A5)</f>
        <v>1</v>
      </c>
      <c r="O546" s="189" t="str">
        <f>IF($N546="","",_xlfn.TEXTJOIN(" - ",TRUE,'Input LwA_XYZ'!B5:C5))</f>
        <v>DEF-R1, R2 - Inlet</v>
      </c>
      <c r="P546" s="64">
        <f>IF($N546="","",'Input LwA_XYZ'!Q5)</f>
        <v>70</v>
      </c>
      <c r="Q546" s="91" t="str">
        <f>IF($N546="","",-1*ROUND(_xlfn.XLOOKUP(Tables!$L$542,'Input LwA_XYZ'!$AY$1:$BM$1,'Input LwA_XYZ'!AY5:BM5),0) &amp; " / " &amp; ROUND(_xlfn.XLOOKUP(Tables!$L$542,'Input LwA_XYZ'!$AH$1:$AV$1,'Input LwA_XYZ'!AH5:AV5),0) &amp; " ft")</f>
        <v>45 / 221 ft</v>
      </c>
      <c r="R546" s="91" t="str">
        <f>IF($N546="","",IF(_xlfn.XLOOKUP(Tables!$L$542,'Input LwA_XYZ'!$BV$1:$CJ$1,'Input LwA_XYZ'!BV5:CJ5)="","-",_xlfn.XLOOKUP(Tables!$L$542,'Input LwA_XYZ'!$BV$1:$CJ$1,'Input LwA_XYZ'!BV5:CJ5)))</f>
        <v>-</v>
      </c>
      <c r="S546" s="91" t="str">
        <f>IF($N546="","",IF('Input LwA_XYZ'!S5="","-",'Input LwA_XYZ'!S5))</f>
        <v>-</v>
      </c>
      <c r="T546" s="65">
        <f>IF($N546="","",_xlfn.XLOOKUP(Tables!$L$542,'Input LwA_XYZ'!$DD$1:$DR$1,'Input LwA_XYZ'!DD5:DR5))</f>
        <v>25.440965737971545</v>
      </c>
    </row>
    <row r="547" spans="14:20" ht="16.5" x14ac:dyDescent="0.3">
      <c r="N547" s="190">
        <f>IF('Input LwA_XYZ'!A6 = 0, "", 'Input LwA_XYZ'!A6)</f>
        <v>1</v>
      </c>
      <c r="O547" s="189" t="str">
        <f>IF($N547="","",_xlfn.TEXTJOIN(" - ",TRUE,'Input LwA_XYZ'!B6:C6))</f>
        <v>KEF-R1  - Inlet</v>
      </c>
      <c r="P547" s="64">
        <f>IF($N547="","",'Input LwA_XYZ'!Q6)</f>
        <v>80</v>
      </c>
      <c r="Q547" s="91" t="str">
        <f>IF($N547="","",-1*ROUND(_xlfn.XLOOKUP(Tables!$L$542,'Input LwA_XYZ'!$AY$1:$BM$1,'Input LwA_XYZ'!AY6:BM6),0) &amp; " / " &amp; ROUND(_xlfn.XLOOKUP(Tables!$L$542,'Input LwA_XYZ'!$AH$1:$AV$1,'Input LwA_XYZ'!AH6:AV6),0) &amp; " ft")</f>
        <v>41 / 143 ft</v>
      </c>
      <c r="R547" s="91" t="str">
        <f>IF($N547="","",IF(_xlfn.XLOOKUP(Tables!$L$542,'Input LwA_XYZ'!$BV$1:$CJ$1,'Input LwA_XYZ'!BV6:CJ6)="","-",_xlfn.XLOOKUP(Tables!$L$542,'Input LwA_XYZ'!$BV$1:$CJ$1,'Input LwA_XYZ'!BV6:CJ6)))</f>
        <v>-</v>
      </c>
      <c r="S547" s="91" t="str">
        <f>IF($N547="","",IF('Input LwA_XYZ'!S6="","-",'Input LwA_XYZ'!S6))</f>
        <v>-</v>
      </c>
      <c r="T547" s="65">
        <f>IF($N547="","",_xlfn.XLOOKUP(Tables!$L$542,'Input LwA_XYZ'!$DD$1:$DR$1,'Input LwA_XYZ'!DD6:DR6))</f>
        <v>39.206517993449772</v>
      </c>
    </row>
    <row r="548" spans="14:20" ht="16.5" x14ac:dyDescent="0.3">
      <c r="N548" s="190">
        <f>IF('Input LwA_XYZ'!A7 = 0, "", 'Input LwA_XYZ'!A7)</f>
        <v>1</v>
      </c>
      <c r="O548" s="189" t="str">
        <f>IF($N548="","",_xlfn.TEXTJOIN(" - ",TRUE,'Input LwA_XYZ'!B7:C7))</f>
        <v>DWEF-R1 - Inlet</v>
      </c>
      <c r="P548" s="64">
        <f>IF($N548="","",'Input LwA_XYZ'!Q7)</f>
        <v>71</v>
      </c>
      <c r="Q548" s="91" t="str">
        <f>IF($N548="","",-1*ROUND(_xlfn.XLOOKUP(Tables!$L$542,'Input LwA_XYZ'!$AY$1:$BM$1,'Input LwA_XYZ'!AY7:BM7),0) &amp; " / " &amp; ROUND(_xlfn.XLOOKUP(Tables!$L$542,'Input LwA_XYZ'!$AH$1:$AV$1,'Input LwA_XYZ'!AH7:AV7),0) &amp; " ft")</f>
        <v>41 / 153 ft</v>
      </c>
      <c r="R548" s="91" t="str">
        <f>IF($N548="","",IF(_xlfn.XLOOKUP(Tables!$L$542,'Input LwA_XYZ'!$BV$1:$CJ$1,'Input LwA_XYZ'!BV7:CJ7)="","-",_xlfn.XLOOKUP(Tables!$L$542,'Input LwA_XYZ'!$BV$1:$CJ$1,'Input LwA_XYZ'!BV7:CJ7)))</f>
        <v>-</v>
      </c>
      <c r="S548" s="91" t="str">
        <f>IF($N548="","",IF('Input LwA_XYZ'!S7="","-",'Input LwA_XYZ'!S7))</f>
        <v>-</v>
      </c>
      <c r="T548" s="65">
        <f>IF($N548="","",_xlfn.XLOOKUP(Tables!$L$542,'Input LwA_XYZ'!$DD$1:$DR$1,'Input LwA_XYZ'!DD7:DR7))</f>
        <v>29.624386760746141</v>
      </c>
    </row>
    <row r="549" spans="14:20" ht="16.5" x14ac:dyDescent="0.3">
      <c r="N549" s="190">
        <f>IF('Input LwA_XYZ'!A8 = 0, "", 'Input LwA_XYZ'!A8)</f>
        <v>1</v>
      </c>
      <c r="O549" s="189" t="str">
        <f>IF($N549="","",_xlfn.TEXTJOIN(" - ",TRUE,'Input LwA_XYZ'!B8:C8))</f>
        <v>CU-R1 - Radiated</v>
      </c>
      <c r="P549" s="64">
        <f>IF($N549="","",'Input LwA_XYZ'!Q8)</f>
        <v>84</v>
      </c>
      <c r="Q549" s="91" t="str">
        <f>IF($N549="","",-1*ROUND(_xlfn.XLOOKUP(Tables!$L$542,'Input LwA_XYZ'!$AY$1:$BM$1,'Input LwA_XYZ'!AY8:BM8),0) &amp; " / " &amp; ROUND(_xlfn.XLOOKUP(Tables!$L$542,'Input LwA_XYZ'!$AH$1:$AV$1,'Input LwA_XYZ'!AH8:AV8),0) &amp; " ft")</f>
        <v>43 / 196 ft</v>
      </c>
      <c r="R549" s="91" t="str">
        <f>IF($N549="","",IF(_xlfn.XLOOKUP(Tables!$L$542,'Input LwA_XYZ'!$BV$1:$CJ$1,'Input LwA_XYZ'!BV8:CJ8)="","-",_xlfn.XLOOKUP(Tables!$L$542,'Input LwA_XYZ'!$BV$1:$CJ$1,'Input LwA_XYZ'!BV8:CJ8)))</f>
        <v>-</v>
      </c>
      <c r="S549" s="91" t="str">
        <f>IF($N549="","",IF('Input LwA_XYZ'!S8="","-",'Input LwA_XYZ'!S8))</f>
        <v>-</v>
      </c>
      <c r="T549" s="65">
        <f>IF($N549="","",_xlfn.XLOOKUP(Tables!$L$542,'Input LwA_XYZ'!$DD$1:$DR$1,'Input LwA_XYZ'!DD8:DR8))</f>
        <v>40.502360776769571</v>
      </c>
    </row>
    <row r="550" spans="14:20" ht="16.5" x14ac:dyDescent="0.3">
      <c r="N550" s="190">
        <f>IF('Input LwA_XYZ'!A9 = 0, "", 'Input LwA_XYZ'!A9)</f>
        <v>1</v>
      </c>
      <c r="O550" s="189" t="str">
        <f>IF($N550="","",_xlfn.TEXTJOIN(" - ",TRUE,'Input LwA_XYZ'!B9:C9))</f>
        <v>CU-R2 - Radiated</v>
      </c>
      <c r="P550" s="64">
        <f>IF($N550="","",'Input LwA_XYZ'!Q9)</f>
        <v>81</v>
      </c>
      <c r="Q550" s="91" t="str">
        <f>IF($N550="","",-1*ROUND(_xlfn.XLOOKUP(Tables!$L$542,'Input LwA_XYZ'!$AY$1:$BM$1,'Input LwA_XYZ'!AY9:BM9),0) &amp; " / " &amp; ROUND(_xlfn.XLOOKUP(Tables!$L$542,'Input LwA_XYZ'!$AH$1:$AV$1,'Input LwA_XYZ'!AH9:AV9),0) &amp; " ft")</f>
        <v>43 / 191 ft</v>
      </c>
      <c r="R550" s="91" t="str">
        <f>IF($N550="","",IF(_xlfn.XLOOKUP(Tables!$L$542,'Input LwA_XYZ'!$BV$1:$CJ$1,'Input LwA_XYZ'!BV9:CJ9)="","-",_xlfn.XLOOKUP(Tables!$L$542,'Input LwA_XYZ'!$BV$1:$CJ$1,'Input LwA_XYZ'!BV9:CJ9)))</f>
        <v>-</v>
      </c>
      <c r="S550" s="91" t="str">
        <f>IF($N550="","",IF('Input LwA_XYZ'!S9="","-",'Input LwA_XYZ'!S9))</f>
        <v>-</v>
      </c>
      <c r="T550" s="65">
        <f>IF($N550="","",_xlfn.XLOOKUP(Tables!$L$542,'Input LwA_XYZ'!$DD$1:$DR$1,'Input LwA_XYZ'!DD9:DR9))</f>
        <v>37.707259956290457</v>
      </c>
    </row>
    <row r="551" spans="14:20" ht="16.5" x14ac:dyDescent="0.3">
      <c r="N551" s="190">
        <f>IF('Input LwA_XYZ'!A10 = 0, "", 'Input LwA_XYZ'!A10)</f>
        <v>1</v>
      </c>
      <c r="O551" s="189" t="str">
        <f>IF($N551="","",_xlfn.TEXTJOIN(" - ",TRUE,'Input LwA_XYZ'!B10:C10))</f>
        <v>CU-R4 - Radiated</v>
      </c>
      <c r="P551" s="64">
        <f>IF($N551="","",'Input LwA_XYZ'!Q10)</f>
        <v>73</v>
      </c>
      <c r="Q551" s="91" t="str">
        <f>IF($N551="","",-1*ROUND(_xlfn.XLOOKUP(Tables!$L$542,'Input LwA_XYZ'!$AY$1:$BM$1,'Input LwA_XYZ'!AY10:BM10),0) &amp; " / " &amp; ROUND(_xlfn.XLOOKUP(Tables!$L$542,'Input LwA_XYZ'!$AH$1:$AV$1,'Input LwA_XYZ'!AH10:AV10),0) &amp; " ft")</f>
        <v>44 / 203 ft</v>
      </c>
      <c r="R551" s="91" t="str">
        <f>IF($N551="","",IF(_xlfn.XLOOKUP(Tables!$L$542,'Input LwA_XYZ'!$BV$1:$CJ$1,'Input LwA_XYZ'!BV10:CJ10)="","-",_xlfn.XLOOKUP(Tables!$L$542,'Input LwA_XYZ'!$BV$1:$CJ$1,'Input LwA_XYZ'!BV10:CJ10)))</f>
        <v>-</v>
      </c>
      <c r="S551" s="91" t="str">
        <f>IF($N551="","",IF('Input LwA_XYZ'!S10="","-",'Input LwA_XYZ'!S10))</f>
        <v>-</v>
      </c>
      <c r="T551" s="65">
        <f>IF($N551="","",_xlfn.XLOOKUP(Tables!$L$542,'Input LwA_XYZ'!$DD$1:$DR$1,'Input LwA_XYZ'!DD10:DR10))</f>
        <v>29.203095283617799</v>
      </c>
    </row>
    <row r="552" spans="14:20" ht="16.5" x14ac:dyDescent="0.3">
      <c r="N552" s="190">
        <f>IF('Input LwA_XYZ'!A11 = 0, "", 'Input LwA_XYZ'!A11)</f>
        <v>1</v>
      </c>
      <c r="O552" s="189" t="str">
        <f>IF($N552="","",_xlfn.TEXTJOIN(" - ",TRUE,'Input LwA_XYZ'!B11:C11))</f>
        <v>CU-R5 - Radiated</v>
      </c>
      <c r="P552" s="64">
        <f>IF($N552="","",'Input LwA_XYZ'!Q11)</f>
        <v>75</v>
      </c>
      <c r="Q552" s="91" t="str">
        <f>IF($N552="","",-1*ROUND(_xlfn.XLOOKUP(Tables!$L$542,'Input LwA_XYZ'!$AY$1:$BM$1,'Input LwA_XYZ'!AY11:BM11),0) &amp; " / " &amp; ROUND(_xlfn.XLOOKUP(Tables!$L$542,'Input LwA_XYZ'!$AH$1:$AV$1,'Input LwA_XYZ'!AH11:AV11),0) &amp; " ft")</f>
        <v>42 / 171 ft</v>
      </c>
      <c r="R552" s="91" t="str">
        <f>IF($N552="","",IF(_xlfn.XLOOKUP(Tables!$L$542,'Input LwA_XYZ'!$BV$1:$CJ$1,'Input LwA_XYZ'!BV11:CJ11)="","-",_xlfn.XLOOKUP(Tables!$L$542,'Input LwA_XYZ'!$BV$1:$CJ$1,'Input LwA_XYZ'!BV11:CJ11)))</f>
        <v>-</v>
      </c>
      <c r="S552" s="91" t="str">
        <f>IF($N552="","",IF('Input LwA_XYZ'!S11="","-",'Input LwA_XYZ'!S11))</f>
        <v>-</v>
      </c>
      <c r="T552" s="65">
        <f>IF($N552="","",_xlfn.XLOOKUP(Tables!$L$542,'Input LwA_XYZ'!$DD$1:$DR$1,'Input LwA_XYZ'!DD11:DR11))</f>
        <v>32.671354572324766</v>
      </c>
    </row>
    <row r="553" spans="14:20" ht="16.5" x14ac:dyDescent="0.3">
      <c r="N553" s="190">
        <f>IF('Input LwA_XYZ'!A12 = 0, "", 'Input LwA_XYZ'!A12)</f>
        <v>4</v>
      </c>
      <c r="O553" s="189" t="str">
        <f>IF($N553="","",_xlfn.TEXTJOIN(" - ",TRUE,'Input LwA_XYZ'!B12:C12))</f>
        <v>RCU-R(4p)1 - Radiated</v>
      </c>
      <c r="P553" s="64">
        <f>IF($N553="","",'Input LwA_XYZ'!Q12)</f>
        <v>79.020599913279625</v>
      </c>
      <c r="Q553" s="91" t="str">
        <f>IF($N553="","",-1*ROUND(_xlfn.XLOOKUP(Tables!$L$542,'Input LwA_XYZ'!$AY$1:$BM$1,'Input LwA_XYZ'!AY12:BM12),0) &amp; " / " &amp; ROUND(_xlfn.XLOOKUP(Tables!$L$542,'Input LwA_XYZ'!$AH$1:$AV$1,'Input LwA_XYZ'!AH12:AV12),0) &amp; " ft")</f>
        <v>45 / 246 ft</v>
      </c>
      <c r="R553" s="91" t="str">
        <f>IF($N553="","",IF(_xlfn.XLOOKUP(Tables!$L$542,'Input LwA_XYZ'!$BV$1:$CJ$1,'Input LwA_XYZ'!BV12:CJ12)="","-",_xlfn.XLOOKUP(Tables!$L$542,'Input LwA_XYZ'!$BV$1:$CJ$1,'Input LwA_XYZ'!BV12:CJ12)))</f>
        <v>-</v>
      </c>
      <c r="S553" s="91" t="str">
        <f>IF($N553="","",IF('Input LwA_XYZ'!S12="","-",'Input LwA_XYZ'!S12))</f>
        <v>-</v>
      </c>
      <c r="T553" s="65">
        <f>IF($N553="","",_xlfn.XLOOKUP(Tables!$L$542,'Input LwA_XYZ'!$DD$1:$DR$1,'Input LwA_XYZ'!DD12:DR12))</f>
        <v>33.536483243585444</v>
      </c>
    </row>
    <row r="554" spans="14:20" ht="16.5" x14ac:dyDescent="0.3">
      <c r="N554" s="190">
        <f>IF('Input LwA_XYZ'!A13 = 0, "", 'Input LwA_XYZ'!A13)</f>
        <v>4</v>
      </c>
      <c r="O554" s="189" t="str">
        <f>IF($N554="","",_xlfn.TEXTJOIN(" - ",TRUE,'Input LwA_XYZ'!B13:C13))</f>
        <v>RCU-R(4p)2 - Radiated</v>
      </c>
      <c r="P554" s="64">
        <f>IF($N554="","",'Input LwA_XYZ'!Q13)</f>
        <v>79.020599913279625</v>
      </c>
      <c r="Q554" s="91" t="str">
        <f>IF($N554="","",-1*ROUND(_xlfn.XLOOKUP(Tables!$L$542,'Input LwA_XYZ'!$AY$1:$BM$1,'Input LwA_XYZ'!AY13:BM13),0) &amp; " / " &amp; ROUND(_xlfn.XLOOKUP(Tables!$L$542,'Input LwA_XYZ'!$AH$1:$AV$1,'Input LwA_XYZ'!AH13:AV13),0) &amp; " ft")</f>
        <v>45 / 230 ft</v>
      </c>
      <c r="R554" s="91" t="str">
        <f>IF($N554="","",IF(_xlfn.XLOOKUP(Tables!$L$542,'Input LwA_XYZ'!$BV$1:$CJ$1,'Input LwA_XYZ'!BV13:CJ13)="","-",_xlfn.XLOOKUP(Tables!$L$542,'Input LwA_XYZ'!$BV$1:$CJ$1,'Input LwA_XYZ'!BV13:CJ13)))</f>
        <v>-</v>
      </c>
      <c r="S554" s="91" t="str">
        <f>IF($N554="","",IF('Input LwA_XYZ'!S13="","-",'Input LwA_XYZ'!S13))</f>
        <v>-</v>
      </c>
      <c r="T554" s="65">
        <f>IF($N554="","",_xlfn.XLOOKUP(Tables!$L$542,'Input LwA_XYZ'!$DD$1:$DR$1,'Input LwA_XYZ'!DD13:DR13))</f>
        <v>34.11378069640692</v>
      </c>
    </row>
    <row r="555" spans="14:20" ht="16.5" x14ac:dyDescent="0.3">
      <c r="N555" s="190">
        <f>IF('Input LwA_XYZ'!A14 = 0, "", 'Input LwA_XYZ'!A14)</f>
        <v>4</v>
      </c>
      <c r="O555" s="189" t="str">
        <f>IF($N555="","",_xlfn.TEXTJOIN(" - ",TRUE,'Input LwA_XYZ'!B14:C14))</f>
        <v>RCU-R(4p)3 - Radiated</v>
      </c>
      <c r="P555" s="64">
        <f>IF($N555="","",'Input LwA_XYZ'!Q14)</f>
        <v>79.020599913279625</v>
      </c>
      <c r="Q555" s="91" t="str">
        <f>IF($N555="","",-1*ROUND(_xlfn.XLOOKUP(Tables!$L$542,'Input LwA_XYZ'!$AY$1:$BM$1,'Input LwA_XYZ'!AY14:BM14),0) &amp; " / " &amp; ROUND(_xlfn.XLOOKUP(Tables!$L$542,'Input LwA_XYZ'!$AH$1:$AV$1,'Input LwA_XYZ'!AH14:AV14),0) &amp; " ft")</f>
        <v>44 / 202 ft</v>
      </c>
      <c r="R555" s="91" t="str">
        <f>IF($N555="","",IF(_xlfn.XLOOKUP(Tables!$L$542,'Input LwA_XYZ'!$BV$1:$CJ$1,'Input LwA_XYZ'!BV14:CJ14)="","-",_xlfn.XLOOKUP(Tables!$L$542,'Input LwA_XYZ'!$BV$1:$CJ$1,'Input LwA_XYZ'!BV14:CJ14)))</f>
        <v>-</v>
      </c>
      <c r="S555" s="91" t="str">
        <f>IF($N555="","",IF('Input LwA_XYZ'!S14="","-",'Input LwA_XYZ'!S14))</f>
        <v>-</v>
      </c>
      <c r="T555" s="65">
        <f>IF($N555="","",_xlfn.XLOOKUP(Tables!$L$542,'Input LwA_XYZ'!$DD$1:$DR$1,'Input LwA_XYZ'!DD14:DR14))</f>
        <v>35.252575662003203</v>
      </c>
    </row>
    <row r="556" spans="14:20" ht="16.5" x14ac:dyDescent="0.3">
      <c r="N556" s="190">
        <f>IF('Input LwA_XYZ'!A15 = 0, "", 'Input LwA_XYZ'!A15)</f>
        <v>2</v>
      </c>
      <c r="O556" s="189" t="str">
        <f>IF($N556="","",_xlfn.TEXTJOIN(" - ",TRUE,'Input LwA_XYZ'!B15:C15))</f>
        <v>RCU-R(2p) - Radiated</v>
      </c>
      <c r="P556" s="64">
        <f>IF($N556="","",'Input LwA_XYZ'!Q15)</f>
        <v>76.010299956639813</v>
      </c>
      <c r="Q556" s="91" t="str">
        <f>IF($N556="","",-1*ROUND(_xlfn.XLOOKUP(Tables!$L$542,'Input LwA_XYZ'!$AY$1:$BM$1,'Input LwA_XYZ'!AY15:BM15),0) &amp; " / " &amp; ROUND(_xlfn.XLOOKUP(Tables!$L$542,'Input LwA_XYZ'!$AH$1:$AV$1,'Input LwA_XYZ'!AH15:AV15),0) &amp; " ft")</f>
        <v>43 / 190 ft</v>
      </c>
      <c r="R556" s="91" t="str">
        <f>IF($N556="","",IF(_xlfn.XLOOKUP(Tables!$L$542,'Input LwA_XYZ'!$BV$1:$CJ$1,'Input LwA_XYZ'!BV15:CJ15)="","-",_xlfn.XLOOKUP(Tables!$L$542,'Input LwA_XYZ'!$BV$1:$CJ$1,'Input LwA_XYZ'!BV15:CJ15)))</f>
        <v>-</v>
      </c>
      <c r="S556" s="91" t="str">
        <f>IF($N556="","",IF('Input LwA_XYZ'!S15="","-",'Input LwA_XYZ'!S15))</f>
        <v>-</v>
      </c>
      <c r="T556" s="65">
        <f>IF($N556="","",_xlfn.XLOOKUP(Tables!$L$542,'Input LwA_XYZ'!$DD$1:$DR$1,'Input LwA_XYZ'!DD15:DR15))</f>
        <v>32.752216308610215</v>
      </c>
    </row>
    <row r="557" spans="14:20" ht="16.5" x14ac:dyDescent="0.3">
      <c r="N557" s="190">
        <f>IF('Input LwA_XYZ'!A16 = 0, "", 'Input LwA_XYZ'!A16)</f>
        <v>2</v>
      </c>
      <c r="O557" s="189" t="str">
        <f>IF($N557="","",_xlfn.TEXTJOIN(" - ",TRUE,'Input LwA_XYZ'!B16:C16))</f>
        <v>RCU-R(2p)1 - Radiated</v>
      </c>
      <c r="P557" s="64">
        <f>IF($N557="","",'Input LwA_XYZ'!Q16)</f>
        <v>76.010299956639813</v>
      </c>
      <c r="Q557" s="91" t="str">
        <f>IF($N557="","",-1*ROUND(_xlfn.XLOOKUP(Tables!$L$542,'Input LwA_XYZ'!$AY$1:$BM$1,'Input LwA_XYZ'!AY16:BM16),0) &amp; " / " &amp; ROUND(_xlfn.XLOOKUP(Tables!$L$542,'Input LwA_XYZ'!$AH$1:$AV$1,'Input LwA_XYZ'!AH16:AV16),0) &amp; " ft")</f>
        <v>42 / 168 ft</v>
      </c>
      <c r="R557" s="91" t="str">
        <f>IF($N557="","",IF(_xlfn.XLOOKUP(Tables!$L$542,'Input LwA_XYZ'!$BV$1:$CJ$1,'Input LwA_XYZ'!BV16:CJ16)="","-",_xlfn.XLOOKUP(Tables!$L$542,'Input LwA_XYZ'!$BV$1:$CJ$1,'Input LwA_XYZ'!BV16:CJ16)))</f>
        <v>-</v>
      </c>
      <c r="S557" s="91" t="str">
        <f>IF($N557="","",IF('Input LwA_XYZ'!S16="","-",'Input LwA_XYZ'!S16))</f>
        <v>-</v>
      </c>
      <c r="T557" s="65">
        <f>IF($N557="","",_xlfn.XLOOKUP(Tables!$L$542,'Input LwA_XYZ'!$DD$1:$DR$1,'Input LwA_XYZ'!DD16:DR16))</f>
        <v>33.834137407946159</v>
      </c>
    </row>
    <row r="558" spans="14:20" ht="16.5" x14ac:dyDescent="0.3">
      <c r="N558" s="190">
        <f>IF('Input LwA_XYZ'!A17 = 0, "", 'Input LwA_XYZ'!A17)</f>
        <v>4</v>
      </c>
      <c r="O558" s="189" t="str">
        <f>IF($N558="","",_xlfn.TEXTJOIN(" - ",TRUE,'Input LwA_XYZ'!B17:C17))</f>
        <v>RCU-R(4p)4 - Radiated</v>
      </c>
      <c r="P558" s="64">
        <f>IF($N558="","",'Input LwA_XYZ'!Q17)</f>
        <v>79.020599913279625</v>
      </c>
      <c r="Q558" s="91" t="str">
        <f>IF($N558="","",-1*ROUND(_xlfn.XLOOKUP(Tables!$L$542,'Input LwA_XYZ'!$AY$1:$BM$1,'Input LwA_XYZ'!AY17:BM17),0) &amp; " / " &amp; ROUND(_xlfn.XLOOKUP(Tables!$L$542,'Input LwA_XYZ'!$AH$1:$AV$1,'Input LwA_XYZ'!AH17:AV17),0) &amp; " ft")</f>
        <v>41 / 147 ft</v>
      </c>
      <c r="R558" s="91" t="str">
        <f>IF($N558="","",IF(_xlfn.XLOOKUP(Tables!$L$542,'Input LwA_XYZ'!$BV$1:$CJ$1,'Input LwA_XYZ'!BV17:CJ17)="","-",_xlfn.XLOOKUP(Tables!$L$542,'Input LwA_XYZ'!$BV$1:$CJ$1,'Input LwA_XYZ'!BV17:CJ17)))</f>
        <v>-</v>
      </c>
      <c r="S558" s="91" t="str">
        <f>IF($N558="","",IF('Input LwA_XYZ'!S17="","-",'Input LwA_XYZ'!S17))</f>
        <v>-</v>
      </c>
      <c r="T558" s="65">
        <f>IF($N558="","",_xlfn.XLOOKUP(Tables!$L$542,'Input LwA_XYZ'!$DD$1:$DR$1,'Input LwA_XYZ'!DD17:DR17))</f>
        <v>38.039918717943372</v>
      </c>
    </row>
    <row r="559" spans="14:20" ht="16.5" x14ac:dyDescent="0.3">
      <c r="N559" s="190">
        <f>IF('Input LwA_XYZ'!A18 = 0, "", 'Input LwA_XYZ'!A18)</f>
        <v>2</v>
      </c>
      <c r="O559" s="189" t="str">
        <f>IF($N559="","",_xlfn.TEXTJOIN(" - ",TRUE,'Input LwA_XYZ'!B18:C18))</f>
        <v>RCU-R(2p)2 - Radiated</v>
      </c>
      <c r="P559" s="64">
        <f>IF($N559="","",'Input LwA_XYZ'!Q18)</f>
        <v>76.010299956639813</v>
      </c>
      <c r="Q559" s="91" t="str">
        <f>IF($N559="","",-1*ROUND(_xlfn.XLOOKUP(Tables!$L$542,'Input LwA_XYZ'!$AY$1:$BM$1,'Input LwA_XYZ'!AY18:BM18),0) &amp; " / " &amp; ROUND(_xlfn.XLOOKUP(Tables!$L$542,'Input LwA_XYZ'!$AH$1:$AV$1,'Input LwA_XYZ'!AH18:AV18),0) &amp; " ft")</f>
        <v>41 / 153 ft</v>
      </c>
      <c r="R559" s="91" t="str">
        <f>IF($N559="","",IF(_xlfn.XLOOKUP(Tables!$L$542,'Input LwA_XYZ'!$BV$1:$CJ$1,'Input LwA_XYZ'!BV18:CJ18)="","-",_xlfn.XLOOKUP(Tables!$L$542,'Input LwA_XYZ'!$BV$1:$CJ$1,'Input LwA_XYZ'!BV18:CJ18)))</f>
        <v>-</v>
      </c>
      <c r="S559" s="91" t="str">
        <f>IF($N559="","",IF('Input LwA_XYZ'!S18="","-",'Input LwA_XYZ'!S18))</f>
        <v>-</v>
      </c>
      <c r="T559" s="65">
        <f>IF($N559="","",_xlfn.XLOOKUP(Tables!$L$542,'Input LwA_XYZ'!$DD$1:$DR$1,'Input LwA_XYZ'!DD18:DR18))</f>
        <v>34.626203151341301</v>
      </c>
    </row>
    <row r="560" spans="14:20" ht="16.5" x14ac:dyDescent="0.3">
      <c r="N560" s="190">
        <f>IF('Input LwA_XYZ'!A19 = 0, "", 'Input LwA_XYZ'!A19)</f>
        <v>2</v>
      </c>
      <c r="O560" s="189" t="str">
        <f>IF($N560="","",_xlfn.TEXTJOIN(" - ",TRUE,'Input LwA_XYZ'!B19:C19))</f>
        <v>RCU-R(2p)3 - Radiated</v>
      </c>
      <c r="P560" s="64">
        <f>IF($N560="","",'Input LwA_XYZ'!Q19)</f>
        <v>76.010299956639813</v>
      </c>
      <c r="Q560" s="91" t="str">
        <f>IF($N560="","",-1*ROUND(_xlfn.XLOOKUP(Tables!$L$542,'Input LwA_XYZ'!$AY$1:$BM$1,'Input LwA_XYZ'!AY19:BM19),0) &amp; " / " &amp; ROUND(_xlfn.XLOOKUP(Tables!$L$542,'Input LwA_XYZ'!$AH$1:$AV$1,'Input LwA_XYZ'!AH19:AV19),0) &amp; " ft")</f>
        <v>42 / 174 ft</v>
      </c>
      <c r="R560" s="91" t="str">
        <f>IF($N560="","",IF(_xlfn.XLOOKUP(Tables!$L$542,'Input LwA_XYZ'!$BV$1:$CJ$1,'Input LwA_XYZ'!BV19:CJ19)="","-",_xlfn.XLOOKUP(Tables!$L$542,'Input LwA_XYZ'!$BV$1:$CJ$1,'Input LwA_XYZ'!BV19:CJ19)))</f>
        <v>-</v>
      </c>
      <c r="S560" s="91" t="str">
        <f>IF($N560="","",IF('Input LwA_XYZ'!S19="","-",'Input LwA_XYZ'!S19))</f>
        <v>-</v>
      </c>
      <c r="T560" s="65">
        <f>IF($N560="","",_xlfn.XLOOKUP(Tables!$L$542,'Input LwA_XYZ'!$DD$1:$DR$1,'Input LwA_XYZ'!DD19:DR19))</f>
        <v>33.531132173351168</v>
      </c>
    </row>
    <row r="561" spans="14:20" ht="16.5" x14ac:dyDescent="0.3">
      <c r="N561" s="190">
        <f>IF('Input LwA_XYZ'!A20 = 0, "", 'Input LwA_XYZ'!A20)</f>
        <v>2</v>
      </c>
      <c r="O561" s="189" t="str">
        <f>IF($N561="","",_xlfn.TEXTJOIN(" - ",TRUE,'Input LwA_XYZ'!B20:C20))</f>
        <v>RCU-R(2p)4 - Radiated</v>
      </c>
      <c r="P561" s="64">
        <f>IF($N561="","",'Input LwA_XYZ'!Q20)</f>
        <v>76.010299956639813</v>
      </c>
      <c r="Q561" s="91" t="str">
        <f>IF($N561="","",-1*ROUND(_xlfn.XLOOKUP(Tables!$L$542,'Input LwA_XYZ'!$AY$1:$BM$1,'Input LwA_XYZ'!AY20:BM20),0) &amp; " / " &amp; ROUND(_xlfn.XLOOKUP(Tables!$L$542,'Input LwA_XYZ'!$AH$1:$AV$1,'Input LwA_XYZ'!AH20:AV20),0) &amp; " ft")</f>
        <v>43 / 188 ft</v>
      </c>
      <c r="R561" s="91" t="str">
        <f>IF($N561="","",IF(_xlfn.XLOOKUP(Tables!$L$542,'Input LwA_XYZ'!$BV$1:$CJ$1,'Input LwA_XYZ'!BV20:CJ20)="","-",_xlfn.XLOOKUP(Tables!$L$542,'Input LwA_XYZ'!$BV$1:$CJ$1,'Input LwA_XYZ'!BV20:CJ20)))</f>
        <v>-</v>
      </c>
      <c r="S561" s="91" t="str">
        <f>IF($N561="","",IF('Input LwA_XYZ'!S20="","-",'Input LwA_XYZ'!S20))</f>
        <v>-</v>
      </c>
      <c r="T561" s="65">
        <f>IF($N561="","",_xlfn.XLOOKUP(Tables!$L$542,'Input LwA_XYZ'!$DD$1:$DR$1,'Input LwA_XYZ'!DD20:DR20))</f>
        <v>32.86816377495628</v>
      </c>
    </row>
    <row r="562" spans="14:20" ht="16.5" x14ac:dyDescent="0.3">
      <c r="N562" s="190">
        <f>IF('Input LwA_XYZ'!A21 = 0, "", 'Input LwA_XYZ'!A21)</f>
        <v>2</v>
      </c>
      <c r="O562" s="189" t="str">
        <f>IF($N562="","",_xlfn.TEXTJOIN(" - ",TRUE,'Input LwA_XYZ'!B21:C21))</f>
        <v>RCU-R(2p)5 - Radiated</v>
      </c>
      <c r="P562" s="64">
        <f>IF($N562="","",'Input LwA_XYZ'!Q21)</f>
        <v>76.010299956639813</v>
      </c>
      <c r="Q562" s="91" t="str">
        <f>IF($N562="","",-1*ROUND(_xlfn.XLOOKUP(Tables!$L$542,'Input LwA_XYZ'!$AY$1:$BM$1,'Input LwA_XYZ'!AY21:BM21),0) &amp; " / " &amp; ROUND(_xlfn.XLOOKUP(Tables!$L$542,'Input LwA_XYZ'!$AH$1:$AV$1,'Input LwA_XYZ'!AH21:AV21),0) &amp; " ft")</f>
        <v>44 / 203 ft</v>
      </c>
      <c r="R562" s="91" t="str">
        <f>IF($N562="","",IF(_xlfn.XLOOKUP(Tables!$L$542,'Input LwA_XYZ'!$BV$1:$CJ$1,'Input LwA_XYZ'!BV21:CJ21)="","-",_xlfn.XLOOKUP(Tables!$L$542,'Input LwA_XYZ'!$BV$1:$CJ$1,'Input LwA_XYZ'!BV21:CJ21)))</f>
        <v>-</v>
      </c>
      <c r="S562" s="91" t="str">
        <f>IF($N562="","",IF('Input LwA_XYZ'!S21="","-",'Input LwA_XYZ'!S21))</f>
        <v>-</v>
      </c>
      <c r="T562" s="65">
        <f>IF($N562="","",_xlfn.XLOOKUP(Tables!$L$542,'Input LwA_XYZ'!$DD$1:$DR$1,'Input LwA_XYZ'!DD21:DR21))</f>
        <v>32.210402540305431</v>
      </c>
    </row>
    <row r="563" spans="14:20" ht="16.5" x14ac:dyDescent="0.3">
      <c r="N563" s="190">
        <f>IF('Input LwA_XYZ'!A22 = 0, "", 'Input LwA_XYZ'!A22)</f>
        <v>2</v>
      </c>
      <c r="O563" s="189" t="str">
        <f>IF($N563="","",_xlfn.TEXTJOIN(" - ",TRUE,'Input LwA_XYZ'!B22:C22))</f>
        <v>RCU-R(2p)6 - Radiated</v>
      </c>
      <c r="P563" s="64">
        <f>IF($N563="","",'Input LwA_XYZ'!Q22)</f>
        <v>76.010299956639813</v>
      </c>
      <c r="Q563" s="91" t="str">
        <f>IF($N563="","",-1*ROUND(_xlfn.XLOOKUP(Tables!$L$542,'Input LwA_XYZ'!$AY$1:$BM$1,'Input LwA_XYZ'!AY22:BM22),0) &amp; " / " &amp; ROUND(_xlfn.XLOOKUP(Tables!$L$542,'Input LwA_XYZ'!$AH$1:$AV$1,'Input LwA_XYZ'!AH22:AV22),0) &amp; " ft")</f>
        <v>44 / 218 ft</v>
      </c>
      <c r="R563" s="91" t="str">
        <f>IF($N563="","",IF(_xlfn.XLOOKUP(Tables!$L$542,'Input LwA_XYZ'!$BV$1:$CJ$1,'Input LwA_XYZ'!BV22:CJ22)="","-",_xlfn.XLOOKUP(Tables!$L$542,'Input LwA_XYZ'!$BV$1:$CJ$1,'Input LwA_XYZ'!BV22:CJ22)))</f>
        <v>-</v>
      </c>
      <c r="S563" s="91" t="str">
        <f>IF($N563="","",IF('Input LwA_XYZ'!S22="","-",'Input LwA_XYZ'!S22))</f>
        <v>-</v>
      </c>
      <c r="T563" s="65">
        <f>IF($N563="","",_xlfn.XLOOKUP(Tables!$L$542,'Input LwA_XYZ'!$DD$1:$DR$1,'Input LwA_XYZ'!DD22:DR22))</f>
        <v>31.572313832482209</v>
      </c>
    </row>
    <row r="564" spans="14:20" ht="16.5" x14ac:dyDescent="0.3">
      <c r="N564" s="190">
        <f>IF('Input LwA_XYZ'!A23 = 0, "", 'Input LwA_XYZ'!A23)</f>
        <v>1</v>
      </c>
      <c r="O564" s="189" t="str">
        <f>IF($N564="","",_xlfn.TEXTJOIN(" - ",TRUE,'Input LwA_XYZ'!B23:C23))</f>
        <v>BEF-R01  - Inlet</v>
      </c>
      <c r="P564" s="64">
        <f>IF($N564="","",'Input LwA_XYZ'!Q23)</f>
        <v>57</v>
      </c>
      <c r="Q564" s="91" t="str">
        <f>IF($N564="","",-1*ROUND(_xlfn.XLOOKUP(Tables!$L$542,'Input LwA_XYZ'!$AY$1:$BM$1,'Input LwA_XYZ'!AY23:BM23),0) &amp; " / " &amp; ROUND(_xlfn.XLOOKUP(Tables!$L$542,'Input LwA_XYZ'!$AH$1:$AV$1,'Input LwA_XYZ'!AH23:AV23),0) &amp; " ft")</f>
        <v>39 / 123 ft</v>
      </c>
      <c r="R564" s="91" t="str">
        <f>IF($N564="","",IF(_xlfn.XLOOKUP(Tables!$L$542,'Input LwA_XYZ'!$BV$1:$CJ$1,'Input LwA_XYZ'!BV23:CJ23)="","-",_xlfn.XLOOKUP(Tables!$L$542,'Input LwA_XYZ'!$BV$1:$CJ$1,'Input LwA_XYZ'!BV23:CJ23)))</f>
        <v>-</v>
      </c>
      <c r="S564" s="91" t="str">
        <f>IF($N564="","",IF('Input LwA_XYZ'!S23="","-",'Input LwA_XYZ'!S23))</f>
        <v>-</v>
      </c>
      <c r="T564" s="65">
        <f>IF($N564="","",_xlfn.XLOOKUP(Tables!$L$542,'Input LwA_XYZ'!$DD$1:$DR$1,'Input LwA_XYZ'!DD23:DR23))</f>
        <v>17.524923149226339</v>
      </c>
    </row>
    <row r="565" spans="14:20" ht="16.5" x14ac:dyDescent="0.3">
      <c r="N565" s="190">
        <f>IF('Input LwA_XYZ'!A24 = 0, "", 'Input LwA_XYZ'!A24)</f>
        <v>1</v>
      </c>
      <c r="O565" s="189" t="str">
        <f>IF($N565="","",_xlfn.TEXTJOIN(" - ",TRUE,'Input LwA_XYZ'!B24:C24))</f>
        <v>BEF-R02  - Inlet</v>
      </c>
      <c r="P565" s="64">
        <f>IF($N565="","",'Input LwA_XYZ'!Q24)</f>
        <v>66</v>
      </c>
      <c r="Q565" s="91" t="str">
        <f>IF($N565="","",-1*ROUND(_xlfn.XLOOKUP(Tables!$L$542,'Input LwA_XYZ'!$AY$1:$BM$1,'Input LwA_XYZ'!AY24:BM24),0) &amp; " / " &amp; ROUND(_xlfn.XLOOKUP(Tables!$L$542,'Input LwA_XYZ'!$AH$1:$AV$1,'Input LwA_XYZ'!AH24:AV24),0) &amp; " ft")</f>
        <v>40 / 138 ft</v>
      </c>
      <c r="R565" s="91" t="str">
        <f>IF($N565="","",IF(_xlfn.XLOOKUP(Tables!$L$542,'Input LwA_XYZ'!$BV$1:$CJ$1,'Input LwA_XYZ'!BV24:CJ24)="","-",_xlfn.XLOOKUP(Tables!$L$542,'Input LwA_XYZ'!$BV$1:$CJ$1,'Input LwA_XYZ'!BV24:CJ24)))</f>
        <v>-</v>
      </c>
      <c r="S565" s="91" t="str">
        <f>IF($N565="","",IF('Input LwA_XYZ'!S24="","-",'Input LwA_XYZ'!S24))</f>
        <v>-</v>
      </c>
      <c r="T565" s="65">
        <f>IF($N565="","",_xlfn.XLOOKUP(Tables!$L$542,'Input LwA_XYZ'!$DD$1:$DR$1,'Input LwA_XYZ'!DD24:DR24))</f>
        <v>25.558301321549493</v>
      </c>
    </row>
    <row r="566" spans="14:20" ht="16.5" x14ac:dyDescent="0.3">
      <c r="N566" s="190">
        <f>IF('Input LwA_XYZ'!A25 = 0, "", 'Input LwA_XYZ'!A25)</f>
        <v>1</v>
      </c>
      <c r="O566" s="189" t="str">
        <f>IF($N566="","",_xlfn.TEXTJOIN(" - ",TRUE,'Input LwA_XYZ'!B25:C25))</f>
        <v>BEF-R03  - Inlet</v>
      </c>
      <c r="P566" s="64">
        <f>IF($N566="","",'Input LwA_XYZ'!Q25)</f>
        <v>66</v>
      </c>
      <c r="Q566" s="91" t="str">
        <f>IF($N566="","",-1*ROUND(_xlfn.XLOOKUP(Tables!$L$542,'Input LwA_XYZ'!$AY$1:$BM$1,'Input LwA_XYZ'!AY25:BM25),0) &amp; " / " &amp; ROUND(_xlfn.XLOOKUP(Tables!$L$542,'Input LwA_XYZ'!$AH$1:$AV$1,'Input LwA_XYZ'!AH25:AV25),0) &amp; " ft")</f>
        <v>42 / 159 ft</v>
      </c>
      <c r="R566" s="91" t="str">
        <f>IF($N566="","",IF(_xlfn.XLOOKUP(Tables!$L$542,'Input LwA_XYZ'!$BV$1:$CJ$1,'Input LwA_XYZ'!BV25:CJ25)="","-",_xlfn.XLOOKUP(Tables!$L$542,'Input LwA_XYZ'!$BV$1:$CJ$1,'Input LwA_XYZ'!BV25:CJ25)))</f>
        <v>-</v>
      </c>
      <c r="S566" s="91" t="str">
        <f>IF($N566="","",IF('Input LwA_XYZ'!S25="","-",'Input LwA_XYZ'!S25))</f>
        <v>-</v>
      </c>
      <c r="T566" s="65">
        <f>IF($N566="","",_xlfn.XLOOKUP(Tables!$L$542,'Input LwA_XYZ'!$DD$1:$DR$1,'Input LwA_XYZ'!DD25:DR25))</f>
        <v>24.324638741792718</v>
      </c>
    </row>
    <row r="567" spans="14:20" ht="16.5" x14ac:dyDescent="0.3">
      <c r="N567" s="190">
        <f>IF('Input LwA_XYZ'!A26 = 0, "", 'Input LwA_XYZ'!A26)</f>
        <v>1</v>
      </c>
      <c r="O567" s="189" t="str">
        <f>IF($N567="","",_xlfn.TEXTJOIN(" - ",TRUE,'Input LwA_XYZ'!B26:C26))</f>
        <v>BEF-R04  - Inlet</v>
      </c>
      <c r="P567" s="64">
        <f>IF($N567="","",'Input LwA_XYZ'!Q26)</f>
        <v>66</v>
      </c>
      <c r="Q567" s="91" t="str">
        <f>IF($N567="","",-1*ROUND(_xlfn.XLOOKUP(Tables!$L$542,'Input LwA_XYZ'!$AY$1:$BM$1,'Input LwA_XYZ'!AY26:BM26),0) &amp; " / " &amp; ROUND(_xlfn.XLOOKUP(Tables!$L$542,'Input LwA_XYZ'!$AH$1:$AV$1,'Input LwA_XYZ'!AH26:AV26),0) &amp; " ft")</f>
        <v>43 / 181 ft</v>
      </c>
      <c r="R567" s="91" t="str">
        <f>IF($N567="","",IF(_xlfn.XLOOKUP(Tables!$L$542,'Input LwA_XYZ'!$BV$1:$CJ$1,'Input LwA_XYZ'!BV26:CJ26)="","-",_xlfn.XLOOKUP(Tables!$L$542,'Input LwA_XYZ'!$BV$1:$CJ$1,'Input LwA_XYZ'!BV26:CJ26)))</f>
        <v>-</v>
      </c>
      <c r="S567" s="91" t="str">
        <f>IF($N567="","",IF('Input LwA_XYZ'!S26="","-",'Input LwA_XYZ'!S26))</f>
        <v>-</v>
      </c>
      <c r="T567" s="65">
        <f>IF($N567="","",_xlfn.XLOOKUP(Tables!$L$542,'Input LwA_XYZ'!$DD$1:$DR$1,'Input LwA_XYZ'!DD26:DR26))</f>
        <v>23.168375747855407</v>
      </c>
    </row>
    <row r="568" spans="14:20" ht="16.5" x14ac:dyDescent="0.3">
      <c r="N568" s="190">
        <f>IF('Input LwA_XYZ'!A27 = 0, "", 'Input LwA_XYZ'!A27)</f>
        <v>1</v>
      </c>
      <c r="O568" s="189" t="str">
        <f>IF($N568="","",_xlfn.TEXTJOIN(" - ",TRUE,'Input LwA_XYZ'!B27:C27))</f>
        <v>BEF-R05  - Inlet</v>
      </c>
      <c r="P568" s="64">
        <f>IF($N568="","",'Input LwA_XYZ'!Q27)</f>
        <v>66</v>
      </c>
      <c r="Q568" s="91" t="str">
        <f>IF($N568="","",-1*ROUND(_xlfn.XLOOKUP(Tables!$L$542,'Input LwA_XYZ'!$AY$1:$BM$1,'Input LwA_XYZ'!AY27:BM27),0) &amp; " / " &amp; ROUND(_xlfn.XLOOKUP(Tables!$L$542,'Input LwA_XYZ'!$AH$1:$AV$1,'Input LwA_XYZ'!AH27:AV27),0) &amp; " ft")</f>
        <v>44 / 199 ft</v>
      </c>
      <c r="R568" s="91" t="str">
        <f>IF($N568="","",IF(_xlfn.XLOOKUP(Tables!$L$542,'Input LwA_XYZ'!$BV$1:$CJ$1,'Input LwA_XYZ'!BV27:CJ27)="","-",_xlfn.XLOOKUP(Tables!$L$542,'Input LwA_XYZ'!$BV$1:$CJ$1,'Input LwA_XYZ'!BV27:CJ27)))</f>
        <v>-</v>
      </c>
      <c r="S568" s="91" t="str">
        <f>IF($N568="","",IF('Input LwA_XYZ'!S27="","-",'Input LwA_XYZ'!S27))</f>
        <v>-</v>
      </c>
      <c r="T568" s="65">
        <f>IF($N568="","",_xlfn.XLOOKUP(Tables!$L$542,'Input LwA_XYZ'!$DD$1:$DR$1,'Input LwA_XYZ'!DD27:DR27))</f>
        <v>22.371723595961846</v>
      </c>
    </row>
    <row r="569" spans="14:20" ht="16.5" x14ac:dyDescent="0.3">
      <c r="N569" s="190">
        <f>IF('Input LwA_XYZ'!A28 = 0, "", 'Input LwA_XYZ'!A28)</f>
        <v>1</v>
      </c>
      <c r="O569" s="189" t="str">
        <f>IF($N569="","",_xlfn.TEXTJOIN(" - ",TRUE,'Input LwA_XYZ'!B28:C28))</f>
        <v>BEF-R06  - Inlet</v>
      </c>
      <c r="P569" s="64">
        <f>IF($N569="","",'Input LwA_XYZ'!Q28)</f>
        <v>66</v>
      </c>
      <c r="Q569" s="91" t="str">
        <f>IF($N569="","",-1*ROUND(_xlfn.XLOOKUP(Tables!$L$542,'Input LwA_XYZ'!$AY$1:$BM$1,'Input LwA_XYZ'!AY28:BM28),0) &amp; " / " &amp; ROUND(_xlfn.XLOOKUP(Tables!$L$542,'Input LwA_XYZ'!$AH$1:$AV$1,'Input LwA_XYZ'!AH28:AV28),0) &amp; " ft")</f>
        <v>43 / 194 ft</v>
      </c>
      <c r="R569" s="91" t="str">
        <f>IF($N569="","",IF(_xlfn.XLOOKUP(Tables!$L$542,'Input LwA_XYZ'!$BV$1:$CJ$1,'Input LwA_XYZ'!BV28:CJ28)="","-",_xlfn.XLOOKUP(Tables!$L$542,'Input LwA_XYZ'!$BV$1:$CJ$1,'Input LwA_XYZ'!BV28:CJ28)))</f>
        <v>-</v>
      </c>
      <c r="S569" s="91" t="str">
        <f>IF($N569="","",IF('Input LwA_XYZ'!S28="","-",'Input LwA_XYZ'!S28))</f>
        <v>-</v>
      </c>
      <c r="T569" s="65">
        <f>IF($N569="","",_xlfn.XLOOKUP(Tables!$L$542,'Input LwA_XYZ'!$DD$1:$DR$1,'Input LwA_XYZ'!DD28:DR28))</f>
        <v>22.571853354436364</v>
      </c>
    </row>
    <row r="570" spans="14:20" ht="16.5" x14ac:dyDescent="0.3">
      <c r="N570" s="190">
        <f>IF('Input LwA_XYZ'!A29 = 0, "", 'Input LwA_XYZ'!A29)</f>
        <v>1</v>
      </c>
      <c r="O570" s="189" t="str">
        <f>IF($N570="","",_xlfn.TEXTJOIN(" - ",TRUE,'Input LwA_XYZ'!B29:C29))</f>
        <v>BEF-R07  - Inlet</v>
      </c>
      <c r="P570" s="64">
        <f>IF($N570="","",'Input LwA_XYZ'!Q29)</f>
        <v>57</v>
      </c>
      <c r="Q570" s="91" t="str">
        <f>IF($N570="","",-1*ROUND(_xlfn.XLOOKUP(Tables!$L$542,'Input LwA_XYZ'!$AY$1:$BM$1,'Input LwA_XYZ'!AY29:BM29),0) &amp; " / " &amp; ROUND(_xlfn.XLOOKUP(Tables!$L$542,'Input LwA_XYZ'!$AH$1:$AV$1,'Input LwA_XYZ'!AH29:AV29),0) &amp; " ft")</f>
        <v>43 / 195 ft</v>
      </c>
      <c r="R570" s="91" t="str">
        <f>IF($N570="","",IF(_xlfn.XLOOKUP(Tables!$L$542,'Input LwA_XYZ'!$BV$1:$CJ$1,'Input LwA_XYZ'!BV29:CJ29)="","-",_xlfn.XLOOKUP(Tables!$L$542,'Input LwA_XYZ'!$BV$1:$CJ$1,'Input LwA_XYZ'!BV29:CJ29)))</f>
        <v>-</v>
      </c>
      <c r="S570" s="91" t="str">
        <f>IF($N570="","",IF('Input LwA_XYZ'!S29="","-",'Input LwA_XYZ'!S29))</f>
        <v>-</v>
      </c>
      <c r="T570" s="65">
        <f>IF($N570="","",_xlfn.XLOOKUP(Tables!$L$542,'Input LwA_XYZ'!$DD$1:$DR$1,'Input LwA_XYZ'!DD29:DR29))</f>
        <v>13.555575842541174</v>
      </c>
    </row>
    <row r="571" spans="14:20" ht="16.5" x14ac:dyDescent="0.3">
      <c r="N571" s="190">
        <f>IF('Input LwA_XYZ'!A30 = 0, "", 'Input LwA_XYZ'!A30)</f>
        <v>1</v>
      </c>
      <c r="O571" s="189" t="str">
        <f>IF($N571="","",_xlfn.TEXTJOIN(" - ",TRUE,'Input LwA_XYZ'!B30:C30))</f>
        <v>BEF-R08  - Inlet</v>
      </c>
      <c r="P571" s="64">
        <f>IF($N571="","",'Input LwA_XYZ'!Q30)</f>
        <v>57</v>
      </c>
      <c r="Q571" s="91" t="str">
        <f>IF($N571="","",-1*ROUND(_xlfn.XLOOKUP(Tables!$L$542,'Input LwA_XYZ'!$AY$1:$BM$1,'Input LwA_XYZ'!AY30:BM30),0) &amp; " / " &amp; ROUND(_xlfn.XLOOKUP(Tables!$L$542,'Input LwA_XYZ'!$AH$1:$AV$1,'Input LwA_XYZ'!AH30:AV30),0) &amp; " ft")</f>
        <v>45 / 235 ft</v>
      </c>
      <c r="R571" s="91" t="str">
        <f>IF($N571="","",IF(_xlfn.XLOOKUP(Tables!$L$542,'Input LwA_XYZ'!$BV$1:$CJ$1,'Input LwA_XYZ'!BV30:CJ30)="","-",_xlfn.XLOOKUP(Tables!$L$542,'Input LwA_XYZ'!$BV$1:$CJ$1,'Input LwA_XYZ'!BV30:CJ30)))</f>
        <v>-</v>
      </c>
      <c r="S571" s="91" t="str">
        <f>IF($N571="","",IF('Input LwA_XYZ'!S30="","-",'Input LwA_XYZ'!S30))</f>
        <v>-</v>
      </c>
      <c r="T571" s="65">
        <f>IF($N571="","",_xlfn.XLOOKUP(Tables!$L$542,'Input LwA_XYZ'!$DD$1:$DR$1,'Input LwA_XYZ'!DD30:DR30))</f>
        <v>11.924932976016137</v>
      </c>
    </row>
    <row r="572" spans="14:20" ht="16.5" x14ac:dyDescent="0.3">
      <c r="N572" s="190">
        <f>IF('Input LwA_XYZ'!A31 = 0, "", 'Input LwA_XYZ'!A31)</f>
        <v>1</v>
      </c>
      <c r="O572" s="189" t="str">
        <f>IF($N572="","",_xlfn.TEXTJOIN(" - ",TRUE,'Input LwA_XYZ'!B31:C31))</f>
        <v>BEF-R09  - Inlet</v>
      </c>
      <c r="P572" s="64">
        <f>IF($N572="","",'Input LwA_XYZ'!Q31)</f>
        <v>66</v>
      </c>
      <c r="Q572" s="91" t="str">
        <f>IF($N572="","",-1*ROUND(_xlfn.XLOOKUP(Tables!$L$542,'Input LwA_XYZ'!$AY$1:$BM$1,'Input LwA_XYZ'!AY31:BM31),0) &amp; " / " &amp; ROUND(_xlfn.XLOOKUP(Tables!$L$542,'Input LwA_XYZ'!$AH$1:$AV$1,'Input LwA_XYZ'!AH31:AV31),0) &amp; " ft")</f>
        <v>45 / 238 ft</v>
      </c>
      <c r="R572" s="91" t="str">
        <f>IF($N572="","",IF(_xlfn.XLOOKUP(Tables!$L$542,'Input LwA_XYZ'!$BV$1:$CJ$1,'Input LwA_XYZ'!BV31:CJ31)="","-",_xlfn.XLOOKUP(Tables!$L$542,'Input LwA_XYZ'!$BV$1:$CJ$1,'Input LwA_XYZ'!BV31:CJ31)))</f>
        <v>-</v>
      </c>
      <c r="S572" s="91" t="str">
        <f>IF($N572="","",IF('Input LwA_XYZ'!S31="","-",'Input LwA_XYZ'!S31))</f>
        <v>-</v>
      </c>
      <c r="T572" s="65">
        <f>IF($N572="","",_xlfn.XLOOKUP(Tables!$L$542,'Input LwA_XYZ'!$DD$1:$DR$1,'Input LwA_XYZ'!DD31:DR31))</f>
        <v>20.789699625762694</v>
      </c>
    </row>
    <row r="573" spans="14:20" ht="16.5" x14ac:dyDescent="0.3">
      <c r="N573" s="190">
        <f>IF('Input LwA_XYZ'!A32 = 0, "", 'Input LwA_XYZ'!A32)</f>
        <v>1</v>
      </c>
      <c r="O573" s="189" t="str">
        <f>IF($N573="","",_xlfn.TEXTJOIN(" - ",TRUE,'Input LwA_XYZ'!B32:C32))</f>
        <v>BEF-R10  - Inlet</v>
      </c>
      <c r="P573" s="64">
        <f>IF($N573="","",'Input LwA_XYZ'!Q32)</f>
        <v>66</v>
      </c>
      <c r="Q573" s="91" t="str">
        <f>IF($N573="","",-1*ROUND(_xlfn.XLOOKUP(Tables!$L$542,'Input LwA_XYZ'!$AY$1:$BM$1,'Input LwA_XYZ'!AY32:BM32),0) &amp; " / " &amp; ROUND(_xlfn.XLOOKUP(Tables!$L$542,'Input LwA_XYZ'!$AH$1:$AV$1,'Input LwA_XYZ'!AH32:AV32),0) &amp; " ft")</f>
        <v>45 / 245 ft</v>
      </c>
      <c r="R573" s="91" t="str">
        <f>IF($N573="","",IF(_xlfn.XLOOKUP(Tables!$L$542,'Input LwA_XYZ'!$BV$1:$CJ$1,'Input LwA_XYZ'!BV32:CJ32)="","-",_xlfn.XLOOKUP(Tables!$L$542,'Input LwA_XYZ'!$BV$1:$CJ$1,'Input LwA_XYZ'!BV32:CJ32)))</f>
        <v>-</v>
      </c>
      <c r="S573" s="91" t="str">
        <f>IF($N573="","",IF('Input LwA_XYZ'!S32="","-",'Input LwA_XYZ'!S32))</f>
        <v>-</v>
      </c>
      <c r="T573" s="65">
        <f>IF($N573="","",_xlfn.XLOOKUP(Tables!$L$542,'Input LwA_XYZ'!$DD$1:$DR$1,'Input LwA_XYZ'!DD32:DR32))</f>
        <v>20.549999233311269</v>
      </c>
    </row>
    <row r="574" spans="14:20" ht="16.5" x14ac:dyDescent="0.3">
      <c r="N574" s="190">
        <f>IF('Input LwA_XYZ'!A33 = 0, "", 'Input LwA_XYZ'!A33)</f>
        <v>1</v>
      </c>
      <c r="O574" s="189" t="str">
        <f>IF($N574="","",_xlfn.TEXTJOIN(" - ",TRUE,'Input LwA_XYZ'!B33:C33))</f>
        <v>BEF-R11  - Inlet</v>
      </c>
      <c r="P574" s="64">
        <f>IF($N574="","",'Input LwA_XYZ'!Q33)</f>
        <v>66</v>
      </c>
      <c r="Q574" s="91" t="str">
        <f>IF($N574="","",-1*ROUND(_xlfn.XLOOKUP(Tables!$L$542,'Input LwA_XYZ'!$AY$1:$BM$1,'Input LwA_XYZ'!AY33:BM33),0) &amp; " / " &amp; ROUND(_xlfn.XLOOKUP(Tables!$L$542,'Input LwA_XYZ'!$AH$1:$AV$1,'Input LwA_XYZ'!AH33:AV33),0) &amp; " ft")</f>
        <v>46 / 249 ft</v>
      </c>
      <c r="R574" s="91" t="str">
        <f>IF($N574="","",IF(_xlfn.XLOOKUP(Tables!$L$542,'Input LwA_XYZ'!$BV$1:$CJ$1,'Input LwA_XYZ'!BV33:CJ33)="","-",_xlfn.XLOOKUP(Tables!$L$542,'Input LwA_XYZ'!$BV$1:$CJ$1,'Input LwA_XYZ'!BV33:CJ33)))</f>
        <v>-</v>
      </c>
      <c r="S574" s="91" t="str">
        <f>IF($N574="","",IF('Input LwA_XYZ'!S33="","-",'Input LwA_XYZ'!S33))</f>
        <v>-</v>
      </c>
      <c r="T574" s="65">
        <f>IF($N574="","",_xlfn.XLOOKUP(Tables!$L$542,'Input LwA_XYZ'!$DD$1:$DR$1,'Input LwA_XYZ'!DD33:DR33))</f>
        <v>20.413561674561677</v>
      </c>
    </row>
    <row r="575" spans="14:20" ht="16.5" x14ac:dyDescent="0.3">
      <c r="N575" s="190">
        <f>IF('Input LwA_XYZ'!A34 = 0, "", 'Input LwA_XYZ'!A34)</f>
        <v>1</v>
      </c>
      <c r="O575" s="189" t="str">
        <f>IF($N575="","",_xlfn.TEXTJOIN(" - ",TRUE,'Input LwA_XYZ'!B34:C34))</f>
        <v>BEF-R12  - Inlet</v>
      </c>
      <c r="P575" s="64">
        <f>IF($N575="","",'Input LwA_XYZ'!Q34)</f>
        <v>66</v>
      </c>
      <c r="Q575" s="91" t="str">
        <f>IF($N575="","",-1*ROUND(_xlfn.XLOOKUP(Tables!$L$542,'Input LwA_XYZ'!$AY$1:$BM$1,'Input LwA_XYZ'!AY34:BM34),0) &amp; " / " &amp; ROUND(_xlfn.XLOOKUP(Tables!$L$542,'Input LwA_XYZ'!$AH$1:$AV$1,'Input LwA_XYZ'!AH34:AV34),0) &amp; " ft")</f>
        <v>44 / 208 ft</v>
      </c>
      <c r="R575" s="91" t="str">
        <f>IF($N575="","",IF(_xlfn.XLOOKUP(Tables!$L$542,'Input LwA_XYZ'!$BV$1:$CJ$1,'Input LwA_XYZ'!BV34:CJ34)="","-",_xlfn.XLOOKUP(Tables!$L$542,'Input LwA_XYZ'!$BV$1:$CJ$1,'Input LwA_XYZ'!BV34:CJ34)))</f>
        <v>-</v>
      </c>
      <c r="S575" s="91" t="str">
        <f>IF($N575="","",IF('Input LwA_XYZ'!S34="","-",'Input LwA_XYZ'!S34))</f>
        <v>-</v>
      </c>
      <c r="T575" s="65">
        <f>IF($N575="","",_xlfn.XLOOKUP(Tables!$L$542,'Input LwA_XYZ'!$DD$1:$DR$1,'Input LwA_XYZ'!DD34:DR34))</f>
        <v>21.980715174611781</v>
      </c>
    </row>
    <row r="576" spans="14:20" ht="16.5" x14ac:dyDescent="0.3">
      <c r="N576" s="190">
        <f>IF('Input LwA_XYZ'!A35 = 0, "", 'Input LwA_XYZ'!A35)</f>
        <v>1</v>
      </c>
      <c r="O576" s="189" t="str">
        <f>IF($N576="","",_xlfn.TEXTJOIN(" - ",TRUE,'Input LwA_XYZ'!B35:C35))</f>
        <v>BEF-R13  - Inlet</v>
      </c>
      <c r="P576" s="64">
        <f>IF($N576="","",'Input LwA_XYZ'!Q35)</f>
        <v>66</v>
      </c>
      <c r="Q576" s="91" t="str">
        <f>IF($N576="","",-1*ROUND(_xlfn.XLOOKUP(Tables!$L$542,'Input LwA_XYZ'!$AY$1:$BM$1,'Input LwA_XYZ'!AY35:BM35),0) &amp; " / " &amp; ROUND(_xlfn.XLOOKUP(Tables!$L$542,'Input LwA_XYZ'!$AH$1:$AV$1,'Input LwA_XYZ'!AH35:AV35),0) &amp; " ft")</f>
        <v>43 / 177 ft</v>
      </c>
      <c r="R576" s="91" t="str">
        <f>IF($N576="","",IF(_xlfn.XLOOKUP(Tables!$L$542,'Input LwA_XYZ'!$BV$1:$CJ$1,'Input LwA_XYZ'!BV35:CJ35)="","-",_xlfn.XLOOKUP(Tables!$L$542,'Input LwA_XYZ'!$BV$1:$CJ$1,'Input LwA_XYZ'!BV35:CJ35)))</f>
        <v>-</v>
      </c>
      <c r="S576" s="91" t="str">
        <f>IF($N576="","",IF('Input LwA_XYZ'!S35="","-",'Input LwA_XYZ'!S35))</f>
        <v>-</v>
      </c>
      <c r="T576" s="65">
        <f>IF($N576="","",_xlfn.XLOOKUP(Tables!$L$542,'Input LwA_XYZ'!$DD$1:$DR$1,'Input LwA_XYZ'!DD35:DR35))</f>
        <v>23.39479009159399</v>
      </c>
    </row>
    <row r="577" spans="14:20" ht="16.5" x14ac:dyDescent="0.3">
      <c r="N577" s="190">
        <f>IF('Input LwA_XYZ'!A36 = 0, "", 'Input LwA_XYZ'!A36)</f>
        <v>1</v>
      </c>
      <c r="O577" s="189" t="str">
        <f>IF($N577="","",_xlfn.TEXTJOIN(" - ",TRUE,'Input LwA_XYZ'!B36:C36))</f>
        <v>BEF-R14  - Inlet</v>
      </c>
      <c r="P577" s="64">
        <f>IF($N577="","",'Input LwA_XYZ'!Q36)</f>
        <v>66</v>
      </c>
      <c r="Q577" s="91" t="str">
        <f>IF($N577="","",-1*ROUND(_xlfn.XLOOKUP(Tables!$L$542,'Input LwA_XYZ'!$AY$1:$BM$1,'Input LwA_XYZ'!AY36:BM36),0) &amp; " / " &amp; ROUND(_xlfn.XLOOKUP(Tables!$L$542,'Input LwA_XYZ'!$AH$1:$AV$1,'Input LwA_XYZ'!AH36:AV36),0) &amp; " ft")</f>
        <v>42 / 160 ft</v>
      </c>
      <c r="R577" s="91" t="str">
        <f>IF($N577="","",IF(_xlfn.XLOOKUP(Tables!$L$542,'Input LwA_XYZ'!$BV$1:$CJ$1,'Input LwA_XYZ'!BV36:CJ36)="","-",_xlfn.XLOOKUP(Tables!$L$542,'Input LwA_XYZ'!$BV$1:$CJ$1,'Input LwA_XYZ'!BV36:CJ36)))</f>
        <v>-</v>
      </c>
      <c r="S577" s="91" t="str">
        <f>IF($N577="","",IF('Input LwA_XYZ'!S36="","-",'Input LwA_XYZ'!S36))</f>
        <v>-</v>
      </c>
      <c r="T577" s="65">
        <f>IF($N577="","",_xlfn.XLOOKUP(Tables!$L$542,'Input LwA_XYZ'!$DD$1:$DR$1,'Input LwA_XYZ'!DD36:DR36))</f>
        <v>24.267760520630574</v>
      </c>
    </row>
    <row r="578" spans="14:20" ht="16.5" x14ac:dyDescent="0.3">
      <c r="N578" s="190">
        <f>IF('Input LwA_XYZ'!A37 = 0, "", 'Input LwA_XYZ'!A37)</f>
        <v>1</v>
      </c>
      <c r="O578" s="189" t="str">
        <f>IF($N578="","",_xlfn.TEXTJOIN(" - ",TRUE,'Input LwA_XYZ'!B37:C37))</f>
        <v>BEF-R15  - Inlet</v>
      </c>
      <c r="P578" s="64">
        <f>IF($N578="","",'Input LwA_XYZ'!Q37)</f>
        <v>57</v>
      </c>
      <c r="Q578" s="91" t="str">
        <f>IF($N578="","",-1*ROUND(_xlfn.XLOOKUP(Tables!$L$542,'Input LwA_XYZ'!$AY$1:$BM$1,'Input LwA_XYZ'!AY37:BM37),0) &amp; " / " &amp; ROUND(_xlfn.XLOOKUP(Tables!$L$542,'Input LwA_XYZ'!$AH$1:$AV$1,'Input LwA_XYZ'!AH37:AV37),0) &amp; " ft")</f>
        <v>41 / 151 ft</v>
      </c>
      <c r="R578" s="91" t="str">
        <f>IF($N578="","",IF(_xlfn.XLOOKUP(Tables!$L$542,'Input LwA_XYZ'!$BV$1:$CJ$1,'Input LwA_XYZ'!BV37:CJ37)="","-",_xlfn.XLOOKUP(Tables!$L$542,'Input LwA_XYZ'!$BV$1:$CJ$1,'Input LwA_XYZ'!BV37:CJ37)))</f>
        <v>-</v>
      </c>
      <c r="S578" s="91" t="str">
        <f>IF($N578="","",IF('Input LwA_XYZ'!S37="","-",'Input LwA_XYZ'!S37))</f>
        <v>-</v>
      </c>
      <c r="T578" s="65">
        <f>IF($N578="","",_xlfn.XLOOKUP(Tables!$L$542,'Input LwA_XYZ'!$DD$1:$DR$1,'Input LwA_XYZ'!DD37:DR37))</f>
        <v>15.774111416089106</v>
      </c>
    </row>
    <row r="579" spans="14:20" ht="16.5" x14ac:dyDescent="0.3">
      <c r="N579" s="190">
        <f>IF('Input LwA_XYZ'!A38 = 0, "", 'Input LwA_XYZ'!A38)</f>
        <v>1</v>
      </c>
      <c r="O579" s="189" t="str">
        <f>IF($N579="","",_xlfn.TEXTJOIN(" - ",TRUE,'Input LwA_XYZ'!B38:C38))</f>
        <v>BEF-R16  - Inlet</v>
      </c>
      <c r="P579" s="64">
        <f>IF($N579="","",'Input LwA_XYZ'!Q38)</f>
        <v>57</v>
      </c>
      <c r="Q579" s="91" t="str">
        <f>IF($N579="","",-1*ROUND(_xlfn.XLOOKUP(Tables!$L$542,'Input LwA_XYZ'!$AY$1:$BM$1,'Input LwA_XYZ'!AY38:BM38),0) &amp; " / " &amp; ROUND(_xlfn.XLOOKUP(Tables!$L$542,'Input LwA_XYZ'!$AH$1:$AV$1,'Input LwA_XYZ'!AH38:AV38),0) &amp; " ft")</f>
        <v>44 / 218 ft</v>
      </c>
      <c r="R579" s="91" t="str">
        <f>IF($N579="","",IF(_xlfn.XLOOKUP(Tables!$L$542,'Input LwA_XYZ'!$BV$1:$CJ$1,'Input LwA_XYZ'!BV38:CJ38)="","-",_xlfn.XLOOKUP(Tables!$L$542,'Input LwA_XYZ'!$BV$1:$CJ$1,'Input LwA_XYZ'!BV38:CJ38)))</f>
        <v>-</v>
      </c>
      <c r="S579" s="91" t="str">
        <f>IF($N579="","",IF('Input LwA_XYZ'!S38="","-",'Input LwA_XYZ'!S38))</f>
        <v>-</v>
      </c>
      <c r="T579" s="65">
        <f>IF($N579="","",_xlfn.XLOOKUP(Tables!$L$542,'Input LwA_XYZ'!$DD$1:$DR$1,'Input LwA_XYZ'!DD38:DR38))</f>
        <v>12.585684800234958</v>
      </c>
    </row>
    <row r="580" spans="14:20" ht="16.5" x14ac:dyDescent="0.3">
      <c r="N580" s="190" t="str">
        <f>IF('Input LwA_XYZ'!A39 = 0, "", 'Input LwA_XYZ'!A39)</f>
        <v/>
      </c>
      <c r="O580" s="189" t="str">
        <f>IF($N580="","",_xlfn.TEXTJOIN(" - ",TRUE,'Input LwA_XYZ'!B39:C39))</f>
        <v/>
      </c>
      <c r="P580" s="64" t="str">
        <f>IF($N580="","",'Input LwA_XYZ'!Q39)</f>
        <v/>
      </c>
      <c r="Q580" s="91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91" t="str">
        <f>IF($N580="","",IF(_xlfn.XLOOKUP(Tables!$L$542,'Input LwA_XYZ'!$BV$1:$CJ$1,'Input LwA_XYZ'!BV39:CJ39)="","-",_xlfn.XLOOKUP(Tables!$L$542,'Input LwA_XYZ'!$BV$1:$CJ$1,'Input LwA_XYZ'!BV39:CJ39)))</f>
        <v/>
      </c>
      <c r="S580" s="91" t="str">
        <f>IF($N580="","",IF('Input LwA_XYZ'!S39="","-",'Input LwA_XYZ'!S39))</f>
        <v/>
      </c>
      <c r="T580" s="65" t="str">
        <f>IF($N580="","",_xlfn.XLOOKUP(Tables!$L$542,'Input LwA_XYZ'!$DD$1:$DR$1,'Input LwA_XYZ'!DD39:DR39))</f>
        <v/>
      </c>
    </row>
    <row r="581" spans="14:20" ht="16.5" x14ac:dyDescent="0.3">
      <c r="N581" s="190" t="str">
        <f>IF('Input LwA_XYZ'!A40 = 0, "", 'Input LwA_XYZ'!A40)</f>
        <v/>
      </c>
      <c r="O581" s="189" t="str">
        <f>IF($N581="","",_xlfn.TEXTJOIN(" - ",TRUE,'Input LwA_XYZ'!B40:C40))</f>
        <v/>
      </c>
      <c r="P581" s="64" t="str">
        <f>IF($N581="","",'Input LwA_XYZ'!Q40)</f>
        <v/>
      </c>
      <c r="Q581" s="91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91" t="str">
        <f>IF($N581="","",IF(_xlfn.XLOOKUP(Tables!$L$542,'Input LwA_XYZ'!$BV$1:$CJ$1,'Input LwA_XYZ'!BV40:CJ40)="","-",_xlfn.XLOOKUP(Tables!$L$542,'Input LwA_XYZ'!$BV$1:$CJ$1,'Input LwA_XYZ'!BV40:CJ40)))</f>
        <v/>
      </c>
      <c r="S581" s="91" t="str">
        <f>IF($N581="","",IF('Input LwA_XYZ'!S40="","-",'Input LwA_XYZ'!S40))</f>
        <v/>
      </c>
      <c r="T581" s="65" t="str">
        <f>IF($N581="","",_xlfn.XLOOKUP(Tables!$L$542,'Input LwA_XYZ'!$DD$1:$DR$1,'Input LwA_XYZ'!DD40:DR40))</f>
        <v/>
      </c>
    </row>
    <row r="582" spans="14:20" ht="16.5" x14ac:dyDescent="0.3">
      <c r="N582" s="190" t="str">
        <f>IF('Input LwA_XYZ'!A41 = 0, "", 'Input LwA_XYZ'!A41)</f>
        <v/>
      </c>
      <c r="O582" s="189" t="str">
        <f>IF($N582="","",_xlfn.TEXTJOIN(" - ",TRUE,'Input LwA_XYZ'!B41:C41))</f>
        <v/>
      </c>
      <c r="P582" s="64" t="str">
        <f>IF($N582="","",'Input LwA_XYZ'!Q41)</f>
        <v/>
      </c>
      <c r="Q582" s="91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91" t="str">
        <f>IF($N582="","",IF(_xlfn.XLOOKUP(Tables!$L$542,'Input LwA_XYZ'!$BV$1:$CJ$1,'Input LwA_XYZ'!BV41:CJ41)="","-",_xlfn.XLOOKUP(Tables!$L$542,'Input LwA_XYZ'!$BV$1:$CJ$1,'Input LwA_XYZ'!BV41:CJ41)))</f>
        <v/>
      </c>
      <c r="S582" s="91" t="str">
        <f>IF($N582="","",IF('Input LwA_XYZ'!S41="","-",'Input LwA_XYZ'!S41))</f>
        <v/>
      </c>
      <c r="T582" s="65" t="str">
        <f>IF($N582="","",_xlfn.XLOOKUP(Tables!$L$542,'Input LwA_XYZ'!$DD$1:$DR$1,'Input LwA_XYZ'!DD41:DR41))</f>
        <v/>
      </c>
    </row>
    <row r="583" spans="14:20" ht="16.5" x14ac:dyDescent="0.3">
      <c r="N583" s="190" t="str">
        <f>IF('Input LwA_XYZ'!A42 = 0, "", 'Input LwA_XYZ'!A42)</f>
        <v/>
      </c>
      <c r="O583" s="189" t="str">
        <f>IF($N583="","",_xlfn.TEXTJOIN(" - ",TRUE,'Input LwA_XYZ'!B42:C42))</f>
        <v/>
      </c>
      <c r="P583" s="64" t="str">
        <f>IF($N583="","",'Input LwA_XYZ'!Q42)</f>
        <v/>
      </c>
      <c r="Q583" s="91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91" t="str">
        <f>IF($N583="","",IF(_xlfn.XLOOKUP(Tables!$L$542,'Input LwA_XYZ'!$BV$1:$CJ$1,'Input LwA_XYZ'!BV42:CJ42)="","-",_xlfn.XLOOKUP(Tables!$L$542,'Input LwA_XYZ'!$BV$1:$CJ$1,'Input LwA_XYZ'!BV42:CJ42)))</f>
        <v/>
      </c>
      <c r="S583" s="91" t="str">
        <f>IF($N583="","",IF('Input LwA_XYZ'!S42="","-",'Input LwA_XYZ'!S42))</f>
        <v/>
      </c>
      <c r="T583" s="65" t="str">
        <f>IF($N583="","",_xlfn.XLOOKUP(Tables!$L$542,'Input LwA_XYZ'!$DD$1:$DR$1,'Input LwA_XYZ'!DD42:DR42))</f>
        <v/>
      </c>
    </row>
    <row r="584" spans="14:20" ht="16.5" x14ac:dyDescent="0.3">
      <c r="N584" s="190" t="str">
        <f>IF('Input LwA_XYZ'!A43 = 0, "", 'Input LwA_XYZ'!A43)</f>
        <v/>
      </c>
      <c r="O584" s="189" t="str">
        <f>IF($N584="","",_xlfn.TEXTJOIN(" - ",TRUE,'Input LwA_XYZ'!B43:C43))</f>
        <v/>
      </c>
      <c r="P584" s="64" t="str">
        <f>IF($N584="","",'Input LwA_XYZ'!Q43)</f>
        <v/>
      </c>
      <c r="Q584" s="91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91" t="str">
        <f>IF($N584="","",IF(_xlfn.XLOOKUP(Tables!$L$542,'Input LwA_XYZ'!$BV$1:$CJ$1,'Input LwA_XYZ'!BV43:CJ43)="","-",_xlfn.XLOOKUP(Tables!$L$542,'Input LwA_XYZ'!$BV$1:$CJ$1,'Input LwA_XYZ'!BV43:CJ43)))</f>
        <v/>
      </c>
      <c r="S584" s="91" t="str">
        <f>IF($N584="","",IF('Input LwA_XYZ'!S43="","-",'Input LwA_XYZ'!S43))</f>
        <v/>
      </c>
      <c r="T584" s="65" t="str">
        <f>IF($N584="","",_xlfn.XLOOKUP(Tables!$L$542,'Input LwA_XYZ'!$DD$1:$DR$1,'Input LwA_XYZ'!DD43:DR43))</f>
        <v/>
      </c>
    </row>
    <row r="585" spans="14:20" ht="16.5" x14ac:dyDescent="0.3">
      <c r="N585" s="190" t="str">
        <f>IF('Input LwA_XYZ'!A44 = 0, "", 'Input LwA_XYZ'!A44)</f>
        <v/>
      </c>
      <c r="O585" s="189" t="str">
        <f>IF($N585="","",_xlfn.TEXTJOIN(" - ",TRUE,'Input LwA_XYZ'!B44:C44))</f>
        <v/>
      </c>
      <c r="P585" s="64" t="str">
        <f>IF($N585="","",'Input LwA_XYZ'!Q44)</f>
        <v/>
      </c>
      <c r="Q585" s="91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91" t="str">
        <f>IF($N585="","",IF(_xlfn.XLOOKUP(Tables!$L$542,'Input LwA_XYZ'!$BV$1:$CJ$1,'Input LwA_XYZ'!BV44:CJ44)="","-",_xlfn.XLOOKUP(Tables!$L$542,'Input LwA_XYZ'!$BV$1:$CJ$1,'Input LwA_XYZ'!BV44:CJ44)))</f>
        <v/>
      </c>
      <c r="S585" s="91" t="str">
        <f>IF($N585="","",IF('Input LwA_XYZ'!S44="","-",'Input LwA_XYZ'!S44))</f>
        <v/>
      </c>
      <c r="T585" s="65" t="str">
        <f>IF($N585="","",_xlfn.XLOOKUP(Tables!$L$542,'Input LwA_XYZ'!$DD$1:$DR$1,'Input LwA_XYZ'!DD44:DR44))</f>
        <v/>
      </c>
    </row>
    <row r="586" spans="14:20" ht="16.5" x14ac:dyDescent="0.3">
      <c r="N586" s="190" t="str">
        <f>IF('Input LwA_XYZ'!A45 = 0, "", 'Input LwA_XYZ'!A45)</f>
        <v/>
      </c>
      <c r="O586" s="189" t="str">
        <f>IF($N586="","",_xlfn.TEXTJOIN(" - ",TRUE,'Input LwA_XYZ'!B45:C45))</f>
        <v/>
      </c>
      <c r="P586" s="64" t="str">
        <f>IF($N586="","",'Input LwA_XYZ'!Q45)</f>
        <v/>
      </c>
      <c r="Q586" s="91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91" t="str">
        <f>IF($N586="","",IF(_xlfn.XLOOKUP(Tables!$L$542,'Input LwA_XYZ'!$BV$1:$CJ$1,'Input LwA_XYZ'!BV45:CJ45)="","-",_xlfn.XLOOKUP(Tables!$L$542,'Input LwA_XYZ'!$BV$1:$CJ$1,'Input LwA_XYZ'!BV45:CJ45)))</f>
        <v/>
      </c>
      <c r="S586" s="91" t="str">
        <f>IF($N586="","",IF('Input LwA_XYZ'!S45="","-",'Input LwA_XYZ'!S45))</f>
        <v/>
      </c>
      <c r="T586" s="65" t="str">
        <f>IF($N586="","",_xlfn.XLOOKUP(Tables!$L$542,'Input LwA_XYZ'!$DD$1:$DR$1,'Input LwA_XYZ'!DD45:DR45))</f>
        <v/>
      </c>
    </row>
    <row r="587" spans="14:20" ht="16.5" x14ac:dyDescent="0.3">
      <c r="N587" s="190" t="str">
        <f>IF('Input LwA_XYZ'!A46 = 0, "", 'Input LwA_XYZ'!A46)</f>
        <v/>
      </c>
      <c r="O587" s="189" t="str">
        <f>IF($N587="","",_xlfn.TEXTJOIN(" - ",TRUE,'Input LwA_XYZ'!B46:C46))</f>
        <v/>
      </c>
      <c r="P587" s="64" t="str">
        <f>IF($N587="","",'Input LwA_XYZ'!Q46)</f>
        <v/>
      </c>
      <c r="Q587" s="91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91" t="str">
        <f>IF($N587="","",IF(_xlfn.XLOOKUP(Tables!$L$542,'Input LwA_XYZ'!$BV$1:$CJ$1,'Input LwA_XYZ'!BV46:CJ46)="","-",_xlfn.XLOOKUP(Tables!$L$542,'Input LwA_XYZ'!$BV$1:$CJ$1,'Input LwA_XYZ'!BV46:CJ46)))</f>
        <v/>
      </c>
      <c r="S587" s="91" t="str">
        <f>IF($N587="","",IF('Input LwA_XYZ'!S46="","-",'Input LwA_XYZ'!S46))</f>
        <v/>
      </c>
      <c r="T587" s="65" t="str">
        <f>IF($N587="","",_xlfn.XLOOKUP(Tables!$L$542,'Input LwA_XYZ'!$DD$1:$DR$1,'Input LwA_XYZ'!DD46:DR46))</f>
        <v/>
      </c>
    </row>
    <row r="588" spans="14:20" ht="16.5" x14ac:dyDescent="0.3">
      <c r="N588" s="190" t="str">
        <f>IF('Input LwA_XYZ'!A47 = 0, "", 'Input LwA_XYZ'!A47)</f>
        <v/>
      </c>
      <c r="O588" s="189" t="str">
        <f>IF($N588="","",_xlfn.TEXTJOIN(" - ",TRUE,'Input LwA_XYZ'!B47:C47))</f>
        <v/>
      </c>
      <c r="P588" s="64" t="str">
        <f>IF($N588="","",'Input LwA_XYZ'!Q47)</f>
        <v/>
      </c>
      <c r="Q588" s="91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91" t="str">
        <f>IF($N588="","",IF(_xlfn.XLOOKUP(Tables!$L$542,'Input LwA_XYZ'!$BV$1:$CJ$1,'Input LwA_XYZ'!BV47:CJ47)="","-",_xlfn.XLOOKUP(Tables!$L$542,'Input LwA_XYZ'!$BV$1:$CJ$1,'Input LwA_XYZ'!BV47:CJ47)))</f>
        <v/>
      </c>
      <c r="S588" s="91" t="str">
        <f>IF($N588="","",IF('Input LwA_XYZ'!S47="","-",'Input LwA_XYZ'!S47))</f>
        <v/>
      </c>
      <c r="T588" s="65" t="str">
        <f>IF($N588="","",_xlfn.XLOOKUP(Tables!$L$542,'Input LwA_XYZ'!$DD$1:$DR$1,'Input LwA_XYZ'!DD47:DR47))</f>
        <v/>
      </c>
    </row>
    <row r="589" spans="14:20" ht="16.5" x14ac:dyDescent="0.3">
      <c r="N589" s="190" t="str">
        <f>IF('Input LwA_XYZ'!A48 = 0, "", 'Input LwA_XYZ'!A48)</f>
        <v/>
      </c>
      <c r="O589" s="189" t="str">
        <f>IF($N589="","",_xlfn.TEXTJOIN(" - ",TRUE,'Input LwA_XYZ'!B48:C48))</f>
        <v/>
      </c>
      <c r="P589" s="64" t="str">
        <f>IF($N589="","",'Input LwA_XYZ'!Q48)</f>
        <v/>
      </c>
      <c r="Q589" s="91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91" t="str">
        <f>IF($N589="","",IF(_xlfn.XLOOKUP(Tables!$L$542,'Input LwA_XYZ'!$BV$1:$CJ$1,'Input LwA_XYZ'!BV48:CJ48)="","-",_xlfn.XLOOKUP(Tables!$L$542,'Input LwA_XYZ'!$BV$1:$CJ$1,'Input LwA_XYZ'!BV48:CJ48)))</f>
        <v/>
      </c>
      <c r="S589" s="91" t="str">
        <f>IF($N589="","",IF('Input LwA_XYZ'!S48="","-",'Input LwA_XYZ'!S48))</f>
        <v/>
      </c>
      <c r="T589" s="65" t="str">
        <f>IF($N589="","",_xlfn.XLOOKUP(Tables!$L$542,'Input LwA_XYZ'!$DD$1:$DR$1,'Input LwA_XYZ'!DD48:DR48))</f>
        <v/>
      </c>
    </row>
    <row r="590" spans="14:20" ht="16.5" x14ac:dyDescent="0.3">
      <c r="N590" s="190" t="str">
        <f>IF('Input LwA_XYZ'!A49 = 0, "", 'Input LwA_XYZ'!A49)</f>
        <v/>
      </c>
      <c r="O590" s="189" t="str">
        <f>IF($N590="","",_xlfn.TEXTJOIN(" - ",TRUE,'Input LwA_XYZ'!B49:C49))</f>
        <v/>
      </c>
      <c r="P590" s="64" t="str">
        <f>IF($N590="","",'Input LwA_XYZ'!Q49)</f>
        <v/>
      </c>
      <c r="Q590" s="91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91" t="str">
        <f>IF($N590="","",IF(_xlfn.XLOOKUP(Tables!$L$542,'Input LwA_XYZ'!$BV$1:$CJ$1,'Input LwA_XYZ'!BV49:CJ49)="","-",_xlfn.XLOOKUP(Tables!$L$542,'Input LwA_XYZ'!$BV$1:$CJ$1,'Input LwA_XYZ'!BV49:CJ49)))</f>
        <v/>
      </c>
      <c r="S590" s="91" t="str">
        <f>IF($N590="","",IF('Input LwA_XYZ'!S49="","-",'Input LwA_XYZ'!S49))</f>
        <v/>
      </c>
      <c r="T590" s="65" t="str">
        <f>IF($N590="","",_xlfn.XLOOKUP(Tables!$L$542,'Input LwA_XYZ'!$DD$1:$DR$1,'Input LwA_XYZ'!DD49:DR49))</f>
        <v/>
      </c>
    </row>
    <row r="591" spans="14:20" ht="16.5" x14ac:dyDescent="0.3">
      <c r="N591" s="190" t="str">
        <f>IF('Input LwA_XYZ'!A50 = 0, "", 'Input LwA_XYZ'!A50)</f>
        <v/>
      </c>
      <c r="O591" s="189" t="str">
        <f>IF($N591="","",_xlfn.TEXTJOIN(" - ",TRUE,'Input LwA_XYZ'!B50:C50))</f>
        <v/>
      </c>
      <c r="P591" s="64" t="str">
        <f>IF($N591="","",'Input LwA_XYZ'!Q50)</f>
        <v/>
      </c>
      <c r="Q591" s="91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91" t="str">
        <f>IF($N591="","",IF(_xlfn.XLOOKUP(Tables!$L$542,'Input LwA_XYZ'!$BV$1:$CJ$1,'Input LwA_XYZ'!BV50:CJ50)="","-",_xlfn.XLOOKUP(Tables!$L$542,'Input LwA_XYZ'!$BV$1:$CJ$1,'Input LwA_XYZ'!BV50:CJ50)))</f>
        <v/>
      </c>
      <c r="S591" s="91" t="str">
        <f>IF($N591="","",IF('Input LwA_XYZ'!S50="","-",'Input LwA_XYZ'!S50))</f>
        <v/>
      </c>
      <c r="T591" s="65" t="str">
        <f>IF($N591="","",_xlfn.XLOOKUP(Tables!$L$542,'Input LwA_XYZ'!$DD$1:$DR$1,'Input LwA_XYZ'!DD50:DR50))</f>
        <v/>
      </c>
    </row>
    <row r="592" spans="14:20" ht="16.5" x14ac:dyDescent="0.3">
      <c r="N592" s="190" t="str">
        <f>IF('Input LwA_XYZ'!A51 = 0, "", 'Input LwA_XYZ'!A51)</f>
        <v/>
      </c>
      <c r="O592" s="189" t="str">
        <f>IF($N592="","",_xlfn.TEXTJOIN(" - ",TRUE,'Input LwA_XYZ'!B51:C51))</f>
        <v/>
      </c>
      <c r="P592" s="64" t="str">
        <f>IF($N592="","",'Input LwA_XYZ'!Q51)</f>
        <v/>
      </c>
      <c r="Q592" s="91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91" t="str">
        <f>IF($N592="","",IF(_xlfn.XLOOKUP(Tables!$L$542,'Input LwA_XYZ'!$BV$1:$CJ$1,'Input LwA_XYZ'!BV51:CJ51)="","-",_xlfn.XLOOKUP(Tables!$L$542,'Input LwA_XYZ'!$BV$1:$CJ$1,'Input LwA_XYZ'!BV51:CJ51)))</f>
        <v/>
      </c>
      <c r="S592" s="91" t="str">
        <f>IF($N592="","",IF('Input LwA_XYZ'!S51="","-",'Input LwA_XYZ'!S51))</f>
        <v/>
      </c>
      <c r="T592" s="65" t="str">
        <f>IF($N592="","",_xlfn.XLOOKUP(Tables!$L$542,'Input LwA_XYZ'!$DD$1:$DR$1,'Input LwA_XYZ'!DD51:DR51))</f>
        <v/>
      </c>
    </row>
    <row r="593" spans="12:20" ht="16.5" x14ac:dyDescent="0.3">
      <c r="N593" s="190" t="str">
        <f>IF('Input LwA_XYZ'!A52 = 0, "", 'Input LwA_XYZ'!A52)</f>
        <v/>
      </c>
      <c r="O593" s="189" t="str">
        <f>IF($N593="","",_xlfn.TEXTJOIN(" - ",TRUE,'Input LwA_XYZ'!B52:C52))</f>
        <v/>
      </c>
      <c r="P593" s="64" t="str">
        <f>IF($N593="","",'Input LwA_XYZ'!Q52)</f>
        <v/>
      </c>
      <c r="Q593" s="91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91" t="str">
        <f>IF($N593="","",IF(_xlfn.XLOOKUP(Tables!$L$542,'Input LwA_XYZ'!$BV$1:$CJ$1,'Input LwA_XYZ'!BV52:CJ52)="","-",_xlfn.XLOOKUP(Tables!$L$542,'Input LwA_XYZ'!$BV$1:$CJ$1,'Input LwA_XYZ'!BV52:CJ52)))</f>
        <v/>
      </c>
      <c r="S593" s="91" t="str">
        <f>IF($N593="","",IF('Input LwA_XYZ'!S52="","-",'Input LwA_XYZ'!S52))</f>
        <v/>
      </c>
      <c r="T593" s="65" t="str">
        <f>IF($N593="","",_xlfn.XLOOKUP(Tables!$L$542,'Input LwA_XYZ'!$DD$1:$DR$1,'Input LwA_XYZ'!DD52:DR52))</f>
        <v/>
      </c>
    </row>
    <row r="594" spans="12:20" ht="16.5" x14ac:dyDescent="0.3">
      <c r="N594" s="190" t="str">
        <f>IF('Input LwA_XYZ'!A53 = 0, "", 'Input LwA_XYZ'!A53)</f>
        <v/>
      </c>
      <c r="O594" s="189" t="str">
        <f>IF($N594="","",_xlfn.TEXTJOIN(" - ",TRUE,'Input LwA_XYZ'!B53:C53))</f>
        <v/>
      </c>
      <c r="P594" s="64" t="str">
        <f>IF($N594="","",'Input LwA_XYZ'!Q53)</f>
        <v/>
      </c>
      <c r="Q594" s="91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91" t="str">
        <f>IF($N594="","",IF(_xlfn.XLOOKUP(Tables!$L$542,'Input LwA_XYZ'!$BV$1:$CJ$1,'Input LwA_XYZ'!BV53:CJ53)="","-",_xlfn.XLOOKUP(Tables!$L$542,'Input LwA_XYZ'!$BV$1:$CJ$1,'Input LwA_XYZ'!BV53:CJ53)))</f>
        <v/>
      </c>
      <c r="S594" s="91" t="str">
        <f>IF($N594="","",IF('Input LwA_XYZ'!S53="","-",'Input LwA_XYZ'!S53))</f>
        <v/>
      </c>
      <c r="T594" s="65" t="str">
        <f>IF($N594="","",_xlfn.XLOOKUP(Tables!$L$542,'Input LwA_XYZ'!$DD$1:$DR$1,'Input LwA_XYZ'!DD53:DR53))</f>
        <v/>
      </c>
    </row>
    <row r="595" spans="12:20" ht="16.5" x14ac:dyDescent="0.3">
      <c r="N595" s="190" t="str">
        <f>IF('Input LwA_XYZ'!A54 = 0, "", 'Input LwA_XYZ'!A54)</f>
        <v/>
      </c>
      <c r="O595" s="189" t="str">
        <f>IF($N595="","",_xlfn.TEXTJOIN(" - ",TRUE,'Input LwA_XYZ'!B54:C54))</f>
        <v/>
      </c>
      <c r="P595" s="64" t="str">
        <f>IF($N595="","",'Input LwA_XYZ'!Q54)</f>
        <v/>
      </c>
      <c r="Q595" s="91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91" t="str">
        <f>IF($N595="","",IF(_xlfn.XLOOKUP(Tables!$L$542,'Input LwA_XYZ'!$BV$1:$CJ$1,'Input LwA_XYZ'!BV54:CJ54)="","-",_xlfn.XLOOKUP(Tables!$L$542,'Input LwA_XYZ'!$BV$1:$CJ$1,'Input LwA_XYZ'!BV54:CJ54)))</f>
        <v/>
      </c>
      <c r="S595" s="91" t="str">
        <f>IF($N595="","",IF('Input LwA_XYZ'!S54="","-",'Input LwA_XYZ'!S54))</f>
        <v/>
      </c>
      <c r="T595" s="65" t="str">
        <f>IF($N595="","",_xlfn.XLOOKUP(Tables!$L$542,'Input LwA_XYZ'!$DD$1:$DR$1,'Input LwA_XYZ'!DD54:DR54))</f>
        <v/>
      </c>
    </row>
    <row r="596" spans="12:20" ht="16.5" x14ac:dyDescent="0.3">
      <c r="N596" s="190" t="str">
        <f>IF('Input LwA_XYZ'!A55 = 0, "", 'Input LwA_XYZ'!A55)</f>
        <v/>
      </c>
      <c r="O596" s="189" t="str">
        <f>IF($N596="","",_xlfn.TEXTJOIN(" - ",TRUE,'Input LwA_XYZ'!B55:C55))</f>
        <v/>
      </c>
      <c r="P596" s="64" t="str">
        <f>IF($N596="","",'Input LwA_XYZ'!Q55)</f>
        <v/>
      </c>
      <c r="Q596" s="91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91" t="str">
        <f>IF($N596="","",IF(_xlfn.XLOOKUP(Tables!$L$542,'Input LwA_XYZ'!$BV$1:$CJ$1,'Input LwA_XYZ'!BV55:CJ55)="","-",_xlfn.XLOOKUP(Tables!$L$542,'Input LwA_XYZ'!$BV$1:$CJ$1,'Input LwA_XYZ'!BV55:CJ55)))</f>
        <v/>
      </c>
      <c r="S596" s="91" t="str">
        <f>IF($N596="","",IF('Input LwA_XYZ'!S55="","-",'Input LwA_XYZ'!S55))</f>
        <v/>
      </c>
      <c r="T596" s="65" t="str">
        <f>IF($N596="","",_xlfn.XLOOKUP(Tables!$L$542,'Input LwA_XYZ'!$DD$1:$DR$1,'Input LwA_XYZ'!DD55:DR55))</f>
        <v/>
      </c>
    </row>
    <row r="597" spans="12:20" ht="16.5" x14ac:dyDescent="0.3">
      <c r="N597" s="190" t="str">
        <f>IF('Input LwA_XYZ'!A56 = 0, "", 'Input LwA_XYZ'!A56)</f>
        <v/>
      </c>
      <c r="O597" s="189" t="str">
        <f>IF($N597="","",_xlfn.TEXTJOIN(" - ",TRUE,'Input LwA_XYZ'!B56:C56))</f>
        <v/>
      </c>
      <c r="P597" s="64" t="str">
        <f>IF($N597="","",'Input LwA_XYZ'!Q56)</f>
        <v/>
      </c>
      <c r="Q597" s="91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91" t="str">
        <f>IF($N597="","",IF(_xlfn.XLOOKUP(Tables!$L$542,'Input LwA_XYZ'!$BV$1:$CJ$1,'Input LwA_XYZ'!BV56:CJ56)="","-",_xlfn.XLOOKUP(Tables!$L$542,'Input LwA_XYZ'!$BV$1:$CJ$1,'Input LwA_XYZ'!BV56:CJ56)))</f>
        <v/>
      </c>
      <c r="S597" s="91" t="str">
        <f>IF($N597="","",IF('Input LwA_XYZ'!S56="","-",'Input LwA_XYZ'!S56))</f>
        <v/>
      </c>
      <c r="T597" s="65" t="str">
        <f>IF($N597="","",_xlfn.XLOOKUP(Tables!$L$542,'Input LwA_XYZ'!$DD$1:$DR$1,'Input LwA_XYZ'!DD56:DR56))</f>
        <v/>
      </c>
    </row>
    <row r="598" spans="12:20" ht="16.5" x14ac:dyDescent="0.3">
      <c r="N598" s="190" t="str">
        <f>IF('Input LwA_XYZ'!A57 = 0, "", 'Input LwA_XYZ'!A57)</f>
        <v/>
      </c>
      <c r="O598" s="189" t="str">
        <f>IF($N598="","",_xlfn.TEXTJOIN(" - ",TRUE,'Input LwA_XYZ'!B57:C57))</f>
        <v/>
      </c>
      <c r="P598" s="64" t="str">
        <f>IF($N598="","",'Input LwA_XYZ'!Q57)</f>
        <v/>
      </c>
      <c r="Q598" s="91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91" t="str">
        <f>IF($N598="","",IF(_xlfn.XLOOKUP(Tables!$L$542,'Input LwA_XYZ'!$BV$1:$CJ$1,'Input LwA_XYZ'!BV57:CJ57)="","-",_xlfn.XLOOKUP(Tables!$L$542,'Input LwA_XYZ'!$BV$1:$CJ$1,'Input LwA_XYZ'!BV57:CJ57)))</f>
        <v/>
      </c>
      <c r="S598" s="91" t="str">
        <f>IF($N598="","",IF('Input LwA_XYZ'!S57="","-",'Input LwA_XYZ'!S57))</f>
        <v/>
      </c>
      <c r="T598" s="65" t="str">
        <f>IF($N598="","",_xlfn.XLOOKUP(Tables!$L$542,'Input LwA_XYZ'!$DD$1:$DR$1,'Input LwA_XYZ'!DD57:DR57))</f>
        <v/>
      </c>
    </row>
    <row r="599" spans="12:20" ht="17.25" thickBot="1" x14ac:dyDescent="0.35">
      <c r="N599" s="191" t="str">
        <f>IF('Input LwA_XYZ'!A58 = 0, "", 'Input LwA_XYZ'!A58)</f>
        <v/>
      </c>
      <c r="O599" s="192" t="str">
        <f>IF($N599="","",_xlfn.TEXTJOIN(" - ",TRUE,'Input LwA_XYZ'!B58:C58))</f>
        <v/>
      </c>
      <c r="P599" s="99" t="str">
        <f>IF($N599="","",'Input LwA_XYZ'!Q58)</f>
        <v/>
      </c>
      <c r="Q599" s="100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91" t="str">
        <f>IF($N599="","",IF(_xlfn.XLOOKUP(Tables!$L$542,'Input LwA_XYZ'!$BV$1:$CJ$1,'Input LwA_XYZ'!BV58:CJ58)="","-",_xlfn.XLOOKUP(Tables!$L$542,'Input LwA_XYZ'!$BV$1:$CJ$1,'Input LwA_XYZ'!BV58:CJ58)))</f>
        <v/>
      </c>
      <c r="S599" s="91" t="str">
        <f>IF($N599="","",IF('Input LwA_XYZ'!S58="","-",'Input LwA_XYZ'!S58))</f>
        <v/>
      </c>
      <c r="T599" s="66" t="str">
        <f>IF($N599="","",_xlfn.XLOOKUP(Tables!$L$542,'Input LwA_XYZ'!$DD$1:$DR$1,'Input LwA_XYZ'!DD58:DR58))</f>
        <v/>
      </c>
    </row>
    <row r="600" spans="12:20" ht="17.25" thickBot="1" x14ac:dyDescent="0.35">
      <c r="N600" s="101" t="s">
        <v>85</v>
      </c>
      <c r="O600" s="102"/>
      <c r="P600" s="102"/>
      <c r="Q600" s="102"/>
      <c r="R600" s="102"/>
      <c r="S600" s="103"/>
      <c r="T600" s="108" t="str">
        <f>_xlfn.XLOOKUP(Tables!$L$542,'Input LwA_XYZ'!$Z$2:$Z$16,'Input LwA_XYZ'!$AE$2:$AE$16)</f>
        <v/>
      </c>
    </row>
    <row r="601" spans="12:20" ht="15.75" thickBot="1" x14ac:dyDescent="0.3"/>
    <row r="602" spans="12:20" ht="33.75" thickBot="1" x14ac:dyDescent="0.35">
      <c r="L602" s="69" t="s">
        <v>249</v>
      </c>
      <c r="N602" s="93" t="s">
        <v>79</v>
      </c>
      <c r="O602" s="94" t="s">
        <v>80</v>
      </c>
      <c r="P602" s="95" t="s">
        <v>81</v>
      </c>
      <c r="Q602" s="95" t="s">
        <v>82</v>
      </c>
      <c r="R602" s="96" t="s">
        <v>83</v>
      </c>
      <c r="S602" s="97" t="s">
        <v>84</v>
      </c>
      <c r="T602" s="98" t="s">
        <v>78</v>
      </c>
    </row>
    <row r="603" spans="12:20" ht="16.5" x14ac:dyDescent="0.3">
      <c r="N603" s="188">
        <f>IF('Input LwA_XYZ'!A2 = 0, "", 'Input LwA_XYZ'!A2)</f>
        <v>1</v>
      </c>
      <c r="O603" s="189" t="str">
        <f>IF($N603="","",_xlfn.TEXTJOIN(" - ",TRUE,'Input LwA_XYZ'!B2:C2))</f>
        <v>MAU-R1 - Ducted Inlet</v>
      </c>
      <c r="P603" s="90">
        <f>IF($N603="","",'Input LwA_XYZ'!Q2)</f>
        <v>86</v>
      </c>
      <c r="Q603" s="91" t="str">
        <f>IF($N603="","",-1*ROUND(_xlfn.XLOOKUP(Tables!$L$602,'Input LwA_XYZ'!$AY$1:$BM$1,'Input LwA_XYZ'!AY2:BM2),0) &amp; " / " &amp; ROUND(_xlfn.XLOOKUP(Tables!$L$602,'Input LwA_XYZ'!$AH$1:$AV$1,'Input LwA_XYZ'!AH2:AV2),0) &amp; " ft")</f>
        <v>42 / 162 ft</v>
      </c>
      <c r="R603" s="91" t="str">
        <f>IF($N603="","",IF(_xlfn.XLOOKUP(Tables!$L$602,'Input LwA_XYZ'!$BV$1:$CJ$1,'Input LwA_XYZ'!BV2:CJ2)="","-",_xlfn.XLOOKUP(Tables!$L$602,'Input LwA_XYZ'!$BV$1:$CJ$1,'Input LwA_XYZ'!BV2:CJ2)))</f>
        <v>-</v>
      </c>
      <c r="S603" s="91" t="str">
        <f>IF($N603="","",IF('Input LwA_XYZ'!S2="","-",'Input LwA_XYZ'!S2))</f>
        <v>-</v>
      </c>
      <c r="T603" s="92">
        <f>IF($N603="","",_xlfn.XLOOKUP(Tables!$L$602,'Input LwA_XYZ'!$DD$1:$DR$1,'Input LwA_XYZ'!DD2:DR2))</f>
        <v>44.138152188324661</v>
      </c>
    </row>
    <row r="604" spans="12:20" ht="16.5" x14ac:dyDescent="0.3">
      <c r="N604" s="190">
        <f>IF('Input LwA_XYZ'!A3 = 0, "", 'Input LwA_XYZ'!A3)</f>
        <v>1</v>
      </c>
      <c r="O604" s="189" t="str">
        <f>IF($N604="","",_xlfn.TEXTJOIN(" - ",TRUE,'Input LwA_XYZ'!B3:C3))</f>
        <v>ERV-R.1 - Outdoor+Casing+Exhaust</v>
      </c>
      <c r="P604" s="64">
        <f>IF($N604="","",'Input LwA_XYZ'!Q3)</f>
        <v>91</v>
      </c>
      <c r="Q604" s="91" t="str">
        <f>IF($N604="","",-1*ROUND(_xlfn.XLOOKUP(Tables!$L$602,'Input LwA_XYZ'!$AY$1:$BM$1,'Input LwA_XYZ'!AY3:BM3),0) &amp; " / " &amp; ROUND(_xlfn.XLOOKUP(Tables!$L$602,'Input LwA_XYZ'!$AH$1:$AV$1,'Input LwA_XYZ'!AH3:AV3),0) &amp; " ft")</f>
        <v>44 / 209 ft</v>
      </c>
      <c r="R604" s="91" t="str">
        <f>IF($N604="","",IF(_xlfn.XLOOKUP(Tables!$L$602,'Input LwA_XYZ'!$BV$1:$CJ$1,'Input LwA_XYZ'!BV3:CJ3)="","-",_xlfn.XLOOKUP(Tables!$L$602,'Input LwA_XYZ'!$BV$1:$CJ$1,'Input LwA_XYZ'!BV3:CJ3)))</f>
        <v>-</v>
      </c>
      <c r="S604" s="91" t="str">
        <f>IF($N604="","",IF('Input LwA_XYZ'!S3="","-",'Input LwA_XYZ'!S3))</f>
        <v>-</v>
      </c>
      <c r="T604" s="65">
        <f>IF($N604="","",_xlfn.XLOOKUP(Tables!$L$602,'Input LwA_XYZ'!$DD$1:$DR$1,'Input LwA_XYZ'!DD3:DR3))</f>
        <v>46.916163500616804</v>
      </c>
    </row>
    <row r="605" spans="12:20" ht="16.5" x14ac:dyDescent="0.3">
      <c r="N605" s="190">
        <f>IF('Input LwA_XYZ'!A4 = 0, "", 'Input LwA_XYZ'!A4)</f>
        <v>1</v>
      </c>
      <c r="O605" s="189" t="str">
        <f>IF($N605="","",_xlfn.TEXTJOIN(" - ",TRUE,'Input LwA_XYZ'!B4:C4))</f>
        <v>GEF-R1  - Inlet (plus ductwork lined)</v>
      </c>
      <c r="P605" s="64">
        <f>IF($N605="","",'Input LwA_XYZ'!Q4)</f>
        <v>82</v>
      </c>
      <c r="Q605" s="91" t="str">
        <f>IF($N605="","",-1*ROUND(_xlfn.XLOOKUP(Tables!$L$602,'Input LwA_XYZ'!$AY$1:$BM$1,'Input LwA_XYZ'!AY4:BM4),0) &amp; " / " &amp; ROUND(_xlfn.XLOOKUP(Tables!$L$602,'Input LwA_XYZ'!$AH$1:$AV$1,'Input LwA_XYZ'!AH4:AV4),0) &amp; " ft")</f>
        <v>45 / 227 ft</v>
      </c>
      <c r="R605" s="91" t="str">
        <f>IF($N605="","",IF(_xlfn.XLOOKUP(Tables!$L$602,'Input LwA_XYZ'!$BV$1:$CJ$1,'Input LwA_XYZ'!BV4:CJ4)="","-",_xlfn.XLOOKUP(Tables!$L$602,'Input LwA_XYZ'!$BV$1:$CJ$1,'Input LwA_XYZ'!BV4:CJ4)))</f>
        <v>-</v>
      </c>
      <c r="S605" s="91">
        <f>IF($N605="","",IF('Input LwA_XYZ'!S4="","-",'Input LwA_XYZ'!S4))</f>
        <v>13</v>
      </c>
      <c r="T605" s="65">
        <f>IF($N605="","",_xlfn.XLOOKUP(Tables!$L$602,'Input LwA_XYZ'!$DD$1:$DR$1,'Input LwA_XYZ'!DD4:DR4))</f>
        <v>24.209702003731167</v>
      </c>
    </row>
    <row r="606" spans="12:20" ht="16.5" x14ac:dyDescent="0.3">
      <c r="N606" s="190">
        <f>IF('Input LwA_XYZ'!A5 = 0, "", 'Input LwA_XYZ'!A5)</f>
        <v>1</v>
      </c>
      <c r="O606" s="189" t="str">
        <f>IF($N606="","",_xlfn.TEXTJOIN(" - ",TRUE,'Input LwA_XYZ'!B5:C5))</f>
        <v>DEF-R1, R2 - Inlet</v>
      </c>
      <c r="P606" s="64">
        <f>IF($N606="","",'Input LwA_XYZ'!Q5)</f>
        <v>70</v>
      </c>
      <c r="Q606" s="91" t="str">
        <f>IF($N606="","",-1*ROUND(_xlfn.XLOOKUP(Tables!$L$602,'Input LwA_XYZ'!$AY$1:$BM$1,'Input LwA_XYZ'!AY5:BM5),0) &amp; " / " &amp; ROUND(_xlfn.XLOOKUP(Tables!$L$602,'Input LwA_XYZ'!$AH$1:$AV$1,'Input LwA_XYZ'!AH5:AV5),0) &amp; " ft")</f>
        <v>45 / 221 ft</v>
      </c>
      <c r="R606" s="91" t="str">
        <f>IF($N606="","",IF(_xlfn.XLOOKUP(Tables!$L$602,'Input LwA_XYZ'!$BV$1:$CJ$1,'Input LwA_XYZ'!BV5:CJ5)="","-",_xlfn.XLOOKUP(Tables!$L$602,'Input LwA_XYZ'!$BV$1:$CJ$1,'Input LwA_XYZ'!BV5:CJ5)))</f>
        <v>-</v>
      </c>
      <c r="S606" s="91" t="str">
        <f>IF($N606="","",IF('Input LwA_XYZ'!S5="","-",'Input LwA_XYZ'!S5))</f>
        <v>-</v>
      </c>
      <c r="T606" s="65">
        <f>IF($N606="","",_xlfn.XLOOKUP(Tables!$L$602,'Input LwA_XYZ'!$DD$1:$DR$1,'Input LwA_XYZ'!DD5:DR5))</f>
        <v>25.440965737971545</v>
      </c>
    </row>
    <row r="607" spans="12:20" ht="16.5" x14ac:dyDescent="0.3">
      <c r="N607" s="190">
        <f>IF('Input LwA_XYZ'!A6 = 0, "", 'Input LwA_XYZ'!A6)</f>
        <v>1</v>
      </c>
      <c r="O607" s="189" t="str">
        <f>IF($N607="","",_xlfn.TEXTJOIN(" - ",TRUE,'Input LwA_XYZ'!B6:C6))</f>
        <v>KEF-R1  - Inlet</v>
      </c>
      <c r="P607" s="64">
        <f>IF($N607="","",'Input LwA_XYZ'!Q6)</f>
        <v>80</v>
      </c>
      <c r="Q607" s="91" t="str">
        <f>IF($N607="","",-1*ROUND(_xlfn.XLOOKUP(Tables!$L$602,'Input LwA_XYZ'!$AY$1:$BM$1,'Input LwA_XYZ'!AY6:BM6),0) &amp; " / " &amp; ROUND(_xlfn.XLOOKUP(Tables!$L$602,'Input LwA_XYZ'!$AH$1:$AV$1,'Input LwA_XYZ'!AH6:AV6),0) &amp; " ft")</f>
        <v>41 / 143 ft</v>
      </c>
      <c r="R607" s="91" t="str">
        <f>IF($N607="","",IF(_xlfn.XLOOKUP(Tables!$L$602,'Input LwA_XYZ'!$BV$1:$CJ$1,'Input LwA_XYZ'!BV6:CJ6)="","-",_xlfn.XLOOKUP(Tables!$L$602,'Input LwA_XYZ'!$BV$1:$CJ$1,'Input LwA_XYZ'!BV6:CJ6)))</f>
        <v>-</v>
      </c>
      <c r="S607" s="91" t="str">
        <f>IF($N607="","",IF('Input LwA_XYZ'!S6="","-",'Input LwA_XYZ'!S6))</f>
        <v>-</v>
      </c>
      <c r="T607" s="65">
        <f>IF($N607="","",_xlfn.XLOOKUP(Tables!$L$602,'Input LwA_XYZ'!$DD$1:$DR$1,'Input LwA_XYZ'!DD6:DR6))</f>
        <v>39.206517993449772</v>
      </c>
    </row>
    <row r="608" spans="12:20" ht="16.5" x14ac:dyDescent="0.3">
      <c r="N608" s="190">
        <f>IF('Input LwA_XYZ'!A7 = 0, "", 'Input LwA_XYZ'!A7)</f>
        <v>1</v>
      </c>
      <c r="O608" s="189" t="str">
        <f>IF($N608="","",_xlfn.TEXTJOIN(" - ",TRUE,'Input LwA_XYZ'!B7:C7))</f>
        <v>DWEF-R1 - Inlet</v>
      </c>
      <c r="P608" s="64">
        <f>IF($N608="","",'Input LwA_XYZ'!Q7)</f>
        <v>71</v>
      </c>
      <c r="Q608" s="91" t="str">
        <f>IF($N608="","",-1*ROUND(_xlfn.XLOOKUP(Tables!$L$602,'Input LwA_XYZ'!$AY$1:$BM$1,'Input LwA_XYZ'!AY7:BM7),0) &amp; " / " &amp; ROUND(_xlfn.XLOOKUP(Tables!$L$602,'Input LwA_XYZ'!$AH$1:$AV$1,'Input LwA_XYZ'!AH7:AV7),0) &amp; " ft")</f>
        <v>41 / 153 ft</v>
      </c>
      <c r="R608" s="91" t="str">
        <f>IF($N608="","",IF(_xlfn.XLOOKUP(Tables!$L$602,'Input LwA_XYZ'!$BV$1:$CJ$1,'Input LwA_XYZ'!BV7:CJ7)="","-",_xlfn.XLOOKUP(Tables!$L$602,'Input LwA_XYZ'!$BV$1:$CJ$1,'Input LwA_XYZ'!BV7:CJ7)))</f>
        <v>-</v>
      </c>
      <c r="S608" s="91" t="str">
        <f>IF($N608="","",IF('Input LwA_XYZ'!S7="","-",'Input LwA_XYZ'!S7))</f>
        <v>-</v>
      </c>
      <c r="T608" s="65">
        <f>IF($N608="","",_xlfn.XLOOKUP(Tables!$L$602,'Input LwA_XYZ'!$DD$1:$DR$1,'Input LwA_XYZ'!DD7:DR7))</f>
        <v>29.624386760746141</v>
      </c>
    </row>
    <row r="609" spans="14:20" ht="16.5" x14ac:dyDescent="0.3">
      <c r="N609" s="190">
        <f>IF('Input LwA_XYZ'!A8 = 0, "", 'Input LwA_XYZ'!A8)</f>
        <v>1</v>
      </c>
      <c r="O609" s="189" t="str">
        <f>IF($N609="","",_xlfn.TEXTJOIN(" - ",TRUE,'Input LwA_XYZ'!B8:C8))</f>
        <v>CU-R1 - Radiated</v>
      </c>
      <c r="P609" s="64">
        <f>IF($N609="","",'Input LwA_XYZ'!Q8)</f>
        <v>84</v>
      </c>
      <c r="Q609" s="91" t="str">
        <f>IF($N609="","",-1*ROUND(_xlfn.XLOOKUP(Tables!$L$602,'Input LwA_XYZ'!$AY$1:$BM$1,'Input LwA_XYZ'!AY8:BM8),0) &amp; " / " &amp; ROUND(_xlfn.XLOOKUP(Tables!$L$602,'Input LwA_XYZ'!$AH$1:$AV$1,'Input LwA_XYZ'!AH8:AV8),0) &amp; " ft")</f>
        <v>43 / 196 ft</v>
      </c>
      <c r="R609" s="91" t="str">
        <f>IF($N609="","",IF(_xlfn.XLOOKUP(Tables!$L$602,'Input LwA_XYZ'!$BV$1:$CJ$1,'Input LwA_XYZ'!BV8:CJ8)="","-",_xlfn.XLOOKUP(Tables!$L$602,'Input LwA_XYZ'!$BV$1:$CJ$1,'Input LwA_XYZ'!BV8:CJ8)))</f>
        <v>-</v>
      </c>
      <c r="S609" s="91" t="str">
        <f>IF($N609="","",IF('Input LwA_XYZ'!S8="","-",'Input LwA_XYZ'!S8))</f>
        <v>-</v>
      </c>
      <c r="T609" s="65">
        <f>IF($N609="","",_xlfn.XLOOKUP(Tables!$L$602,'Input LwA_XYZ'!$DD$1:$DR$1,'Input LwA_XYZ'!DD8:DR8))</f>
        <v>40.502360776769571</v>
      </c>
    </row>
    <row r="610" spans="14:20" ht="16.5" x14ac:dyDescent="0.3">
      <c r="N610" s="190">
        <f>IF('Input LwA_XYZ'!A9 = 0, "", 'Input LwA_XYZ'!A9)</f>
        <v>1</v>
      </c>
      <c r="O610" s="189" t="str">
        <f>IF($N610="","",_xlfn.TEXTJOIN(" - ",TRUE,'Input LwA_XYZ'!B9:C9))</f>
        <v>CU-R2 - Radiated</v>
      </c>
      <c r="P610" s="64">
        <f>IF($N610="","",'Input LwA_XYZ'!Q9)</f>
        <v>81</v>
      </c>
      <c r="Q610" s="91" t="str">
        <f>IF($N610="","",-1*ROUND(_xlfn.XLOOKUP(Tables!$L$602,'Input LwA_XYZ'!$AY$1:$BM$1,'Input LwA_XYZ'!AY9:BM9),0) &amp; " / " &amp; ROUND(_xlfn.XLOOKUP(Tables!$L$602,'Input LwA_XYZ'!$AH$1:$AV$1,'Input LwA_XYZ'!AH9:AV9),0) &amp; " ft")</f>
        <v>43 / 191 ft</v>
      </c>
      <c r="R610" s="91" t="str">
        <f>IF($N610="","",IF(_xlfn.XLOOKUP(Tables!$L$602,'Input LwA_XYZ'!$BV$1:$CJ$1,'Input LwA_XYZ'!BV9:CJ9)="","-",_xlfn.XLOOKUP(Tables!$L$602,'Input LwA_XYZ'!$BV$1:$CJ$1,'Input LwA_XYZ'!BV9:CJ9)))</f>
        <v>-</v>
      </c>
      <c r="S610" s="91" t="str">
        <f>IF($N610="","",IF('Input LwA_XYZ'!S9="","-",'Input LwA_XYZ'!S9))</f>
        <v>-</v>
      </c>
      <c r="T610" s="65">
        <f>IF($N610="","",_xlfn.XLOOKUP(Tables!$L$602,'Input LwA_XYZ'!$DD$1:$DR$1,'Input LwA_XYZ'!DD9:DR9))</f>
        <v>37.707259956290457</v>
      </c>
    </row>
    <row r="611" spans="14:20" ht="16.5" x14ac:dyDescent="0.3">
      <c r="N611" s="190">
        <f>IF('Input LwA_XYZ'!A10 = 0, "", 'Input LwA_XYZ'!A10)</f>
        <v>1</v>
      </c>
      <c r="O611" s="189" t="str">
        <f>IF($N611="","",_xlfn.TEXTJOIN(" - ",TRUE,'Input LwA_XYZ'!B10:C10))</f>
        <v>CU-R4 - Radiated</v>
      </c>
      <c r="P611" s="64">
        <f>IF($N611="","",'Input LwA_XYZ'!Q10)</f>
        <v>73</v>
      </c>
      <c r="Q611" s="91" t="str">
        <f>IF($N611="","",-1*ROUND(_xlfn.XLOOKUP(Tables!$L$602,'Input LwA_XYZ'!$AY$1:$BM$1,'Input LwA_XYZ'!AY10:BM10),0) &amp; " / " &amp; ROUND(_xlfn.XLOOKUP(Tables!$L$602,'Input LwA_XYZ'!$AH$1:$AV$1,'Input LwA_XYZ'!AH10:AV10),0) &amp; " ft")</f>
        <v>44 / 203 ft</v>
      </c>
      <c r="R611" s="91" t="str">
        <f>IF($N611="","",IF(_xlfn.XLOOKUP(Tables!$L$602,'Input LwA_XYZ'!$BV$1:$CJ$1,'Input LwA_XYZ'!BV10:CJ10)="","-",_xlfn.XLOOKUP(Tables!$L$602,'Input LwA_XYZ'!$BV$1:$CJ$1,'Input LwA_XYZ'!BV10:CJ10)))</f>
        <v>-</v>
      </c>
      <c r="S611" s="91" t="str">
        <f>IF($N611="","",IF('Input LwA_XYZ'!S10="","-",'Input LwA_XYZ'!S10))</f>
        <v>-</v>
      </c>
      <c r="T611" s="65">
        <f>IF($N611="","",_xlfn.XLOOKUP(Tables!$L$602,'Input LwA_XYZ'!$DD$1:$DR$1,'Input LwA_XYZ'!DD10:DR10))</f>
        <v>29.203095283617799</v>
      </c>
    </row>
    <row r="612" spans="14:20" ht="16.5" x14ac:dyDescent="0.3">
      <c r="N612" s="190">
        <f>IF('Input LwA_XYZ'!A11 = 0, "", 'Input LwA_XYZ'!A11)</f>
        <v>1</v>
      </c>
      <c r="O612" s="189" t="str">
        <f>IF($N612="","",_xlfn.TEXTJOIN(" - ",TRUE,'Input LwA_XYZ'!B11:C11))</f>
        <v>CU-R5 - Radiated</v>
      </c>
      <c r="P612" s="64">
        <f>IF($N612="","",'Input LwA_XYZ'!Q11)</f>
        <v>75</v>
      </c>
      <c r="Q612" s="91" t="str">
        <f>IF($N612="","",-1*ROUND(_xlfn.XLOOKUP(Tables!$L$602,'Input LwA_XYZ'!$AY$1:$BM$1,'Input LwA_XYZ'!AY11:BM11),0) &amp; " / " &amp; ROUND(_xlfn.XLOOKUP(Tables!$L$602,'Input LwA_XYZ'!$AH$1:$AV$1,'Input LwA_XYZ'!AH11:AV11),0) &amp; " ft")</f>
        <v>42 / 171 ft</v>
      </c>
      <c r="R612" s="91" t="str">
        <f>IF($N612="","",IF(_xlfn.XLOOKUP(Tables!$L$602,'Input LwA_XYZ'!$BV$1:$CJ$1,'Input LwA_XYZ'!BV11:CJ11)="","-",_xlfn.XLOOKUP(Tables!$L$602,'Input LwA_XYZ'!$BV$1:$CJ$1,'Input LwA_XYZ'!BV11:CJ11)))</f>
        <v>-</v>
      </c>
      <c r="S612" s="91" t="str">
        <f>IF($N612="","",IF('Input LwA_XYZ'!S11="","-",'Input LwA_XYZ'!S11))</f>
        <v>-</v>
      </c>
      <c r="T612" s="65">
        <f>IF($N612="","",_xlfn.XLOOKUP(Tables!$L$602,'Input LwA_XYZ'!$DD$1:$DR$1,'Input LwA_XYZ'!DD11:DR11))</f>
        <v>32.671354572324766</v>
      </c>
    </row>
    <row r="613" spans="14:20" ht="16.5" x14ac:dyDescent="0.3">
      <c r="N613" s="190">
        <f>IF('Input LwA_XYZ'!A12 = 0, "", 'Input LwA_XYZ'!A12)</f>
        <v>4</v>
      </c>
      <c r="O613" s="189" t="str">
        <f>IF($N613="","",_xlfn.TEXTJOIN(" - ",TRUE,'Input LwA_XYZ'!B12:C12))</f>
        <v>RCU-R(4p)1 - Radiated</v>
      </c>
      <c r="P613" s="64">
        <f>IF($N613="","",'Input LwA_XYZ'!Q12)</f>
        <v>79.020599913279625</v>
      </c>
      <c r="Q613" s="91" t="str">
        <f>IF($N613="","",-1*ROUND(_xlfn.XLOOKUP(Tables!$L$602,'Input LwA_XYZ'!$AY$1:$BM$1,'Input LwA_XYZ'!AY12:BM12),0) &amp; " / " &amp; ROUND(_xlfn.XLOOKUP(Tables!$L$602,'Input LwA_XYZ'!$AH$1:$AV$1,'Input LwA_XYZ'!AH12:AV12),0) &amp; " ft")</f>
        <v>45 / 246 ft</v>
      </c>
      <c r="R613" s="91" t="str">
        <f>IF($N613="","",IF(_xlfn.XLOOKUP(Tables!$L$602,'Input LwA_XYZ'!$BV$1:$CJ$1,'Input LwA_XYZ'!BV12:CJ12)="","-",_xlfn.XLOOKUP(Tables!$L$602,'Input LwA_XYZ'!$BV$1:$CJ$1,'Input LwA_XYZ'!BV12:CJ12)))</f>
        <v>-</v>
      </c>
      <c r="S613" s="91" t="str">
        <f>IF($N613="","",IF('Input LwA_XYZ'!S12="","-",'Input LwA_XYZ'!S12))</f>
        <v>-</v>
      </c>
      <c r="T613" s="65">
        <f>IF($N613="","",_xlfn.XLOOKUP(Tables!$L$602,'Input LwA_XYZ'!$DD$1:$DR$1,'Input LwA_XYZ'!DD12:DR12))</f>
        <v>33.536483243585444</v>
      </c>
    </row>
    <row r="614" spans="14:20" ht="16.5" x14ac:dyDescent="0.3">
      <c r="N614" s="190">
        <f>IF('Input LwA_XYZ'!A13 = 0, "", 'Input LwA_XYZ'!A13)</f>
        <v>4</v>
      </c>
      <c r="O614" s="189" t="str">
        <f>IF($N614="","",_xlfn.TEXTJOIN(" - ",TRUE,'Input LwA_XYZ'!B13:C13))</f>
        <v>RCU-R(4p)2 - Radiated</v>
      </c>
      <c r="P614" s="64">
        <f>IF($N614="","",'Input LwA_XYZ'!Q13)</f>
        <v>79.020599913279625</v>
      </c>
      <c r="Q614" s="91" t="str">
        <f>IF($N614="","",-1*ROUND(_xlfn.XLOOKUP(Tables!$L$602,'Input LwA_XYZ'!$AY$1:$BM$1,'Input LwA_XYZ'!AY13:BM13),0) &amp; " / " &amp; ROUND(_xlfn.XLOOKUP(Tables!$L$602,'Input LwA_XYZ'!$AH$1:$AV$1,'Input LwA_XYZ'!AH13:AV13),0) &amp; " ft")</f>
        <v>45 / 230 ft</v>
      </c>
      <c r="R614" s="91" t="str">
        <f>IF($N614="","",IF(_xlfn.XLOOKUP(Tables!$L$602,'Input LwA_XYZ'!$BV$1:$CJ$1,'Input LwA_XYZ'!BV13:CJ13)="","-",_xlfn.XLOOKUP(Tables!$L$602,'Input LwA_XYZ'!$BV$1:$CJ$1,'Input LwA_XYZ'!BV13:CJ13)))</f>
        <v>-</v>
      </c>
      <c r="S614" s="91" t="str">
        <f>IF($N614="","",IF('Input LwA_XYZ'!S13="","-",'Input LwA_XYZ'!S13))</f>
        <v>-</v>
      </c>
      <c r="T614" s="65">
        <f>IF($N614="","",_xlfn.XLOOKUP(Tables!$L$602,'Input LwA_XYZ'!$DD$1:$DR$1,'Input LwA_XYZ'!DD13:DR13))</f>
        <v>34.11378069640692</v>
      </c>
    </row>
    <row r="615" spans="14:20" ht="16.5" x14ac:dyDescent="0.3">
      <c r="N615" s="190">
        <f>IF('Input LwA_XYZ'!A14 = 0, "", 'Input LwA_XYZ'!A14)</f>
        <v>4</v>
      </c>
      <c r="O615" s="189" t="str">
        <f>IF($N615="","",_xlfn.TEXTJOIN(" - ",TRUE,'Input LwA_XYZ'!B14:C14))</f>
        <v>RCU-R(4p)3 - Radiated</v>
      </c>
      <c r="P615" s="64">
        <f>IF($N615="","",'Input LwA_XYZ'!Q14)</f>
        <v>79.020599913279625</v>
      </c>
      <c r="Q615" s="91" t="str">
        <f>IF($N615="","",-1*ROUND(_xlfn.XLOOKUP(Tables!$L$602,'Input LwA_XYZ'!$AY$1:$BM$1,'Input LwA_XYZ'!AY14:BM14),0) &amp; " / " &amp; ROUND(_xlfn.XLOOKUP(Tables!$L$602,'Input LwA_XYZ'!$AH$1:$AV$1,'Input LwA_XYZ'!AH14:AV14),0) &amp; " ft")</f>
        <v>44 / 202 ft</v>
      </c>
      <c r="R615" s="91" t="str">
        <f>IF($N615="","",IF(_xlfn.XLOOKUP(Tables!$L$602,'Input LwA_XYZ'!$BV$1:$CJ$1,'Input LwA_XYZ'!BV14:CJ14)="","-",_xlfn.XLOOKUP(Tables!$L$602,'Input LwA_XYZ'!$BV$1:$CJ$1,'Input LwA_XYZ'!BV14:CJ14)))</f>
        <v>-</v>
      </c>
      <c r="S615" s="91" t="str">
        <f>IF($N615="","",IF('Input LwA_XYZ'!S14="","-",'Input LwA_XYZ'!S14))</f>
        <v>-</v>
      </c>
      <c r="T615" s="65">
        <f>IF($N615="","",_xlfn.XLOOKUP(Tables!$L$602,'Input LwA_XYZ'!$DD$1:$DR$1,'Input LwA_XYZ'!DD14:DR14))</f>
        <v>35.252575662003203</v>
      </c>
    </row>
    <row r="616" spans="14:20" ht="16.5" x14ac:dyDescent="0.3">
      <c r="N616" s="190">
        <f>IF('Input LwA_XYZ'!A15 = 0, "", 'Input LwA_XYZ'!A15)</f>
        <v>2</v>
      </c>
      <c r="O616" s="189" t="str">
        <f>IF($N616="","",_xlfn.TEXTJOIN(" - ",TRUE,'Input LwA_XYZ'!B15:C15))</f>
        <v>RCU-R(2p) - Radiated</v>
      </c>
      <c r="P616" s="64">
        <f>IF($N616="","",'Input LwA_XYZ'!Q15)</f>
        <v>76.010299956639813</v>
      </c>
      <c r="Q616" s="91" t="str">
        <f>IF($N616="","",-1*ROUND(_xlfn.XLOOKUP(Tables!$L$602,'Input LwA_XYZ'!$AY$1:$BM$1,'Input LwA_XYZ'!AY15:BM15),0) &amp; " / " &amp; ROUND(_xlfn.XLOOKUP(Tables!$L$602,'Input LwA_XYZ'!$AH$1:$AV$1,'Input LwA_XYZ'!AH15:AV15),0) &amp; " ft")</f>
        <v>43 / 190 ft</v>
      </c>
      <c r="R616" s="91" t="str">
        <f>IF($N616="","",IF(_xlfn.XLOOKUP(Tables!$L$602,'Input LwA_XYZ'!$BV$1:$CJ$1,'Input LwA_XYZ'!BV15:CJ15)="","-",_xlfn.XLOOKUP(Tables!$L$602,'Input LwA_XYZ'!$BV$1:$CJ$1,'Input LwA_XYZ'!BV15:CJ15)))</f>
        <v>-</v>
      </c>
      <c r="S616" s="91" t="str">
        <f>IF($N616="","",IF('Input LwA_XYZ'!S15="","-",'Input LwA_XYZ'!S15))</f>
        <v>-</v>
      </c>
      <c r="T616" s="65">
        <f>IF($N616="","",_xlfn.XLOOKUP(Tables!$L$602,'Input LwA_XYZ'!$DD$1:$DR$1,'Input LwA_XYZ'!DD15:DR15))</f>
        <v>32.752216308610215</v>
      </c>
    </row>
    <row r="617" spans="14:20" ht="16.5" x14ac:dyDescent="0.3">
      <c r="N617" s="190">
        <f>IF('Input LwA_XYZ'!A16 = 0, "", 'Input LwA_XYZ'!A16)</f>
        <v>2</v>
      </c>
      <c r="O617" s="189" t="str">
        <f>IF($N617="","",_xlfn.TEXTJOIN(" - ",TRUE,'Input LwA_XYZ'!B16:C16))</f>
        <v>RCU-R(2p)1 - Radiated</v>
      </c>
      <c r="P617" s="64">
        <f>IF($N617="","",'Input LwA_XYZ'!Q16)</f>
        <v>76.010299956639813</v>
      </c>
      <c r="Q617" s="91" t="str">
        <f>IF($N617="","",-1*ROUND(_xlfn.XLOOKUP(Tables!$L$602,'Input LwA_XYZ'!$AY$1:$BM$1,'Input LwA_XYZ'!AY16:BM16),0) &amp; " / " &amp; ROUND(_xlfn.XLOOKUP(Tables!$L$602,'Input LwA_XYZ'!$AH$1:$AV$1,'Input LwA_XYZ'!AH16:AV16),0) &amp; " ft")</f>
        <v>42 / 168 ft</v>
      </c>
      <c r="R617" s="91" t="str">
        <f>IF($N617="","",IF(_xlfn.XLOOKUP(Tables!$L$602,'Input LwA_XYZ'!$BV$1:$CJ$1,'Input LwA_XYZ'!BV16:CJ16)="","-",_xlfn.XLOOKUP(Tables!$L$602,'Input LwA_XYZ'!$BV$1:$CJ$1,'Input LwA_XYZ'!BV16:CJ16)))</f>
        <v>-</v>
      </c>
      <c r="S617" s="91" t="str">
        <f>IF($N617="","",IF('Input LwA_XYZ'!S16="","-",'Input LwA_XYZ'!S16))</f>
        <v>-</v>
      </c>
      <c r="T617" s="65">
        <f>IF($N617="","",_xlfn.XLOOKUP(Tables!$L$602,'Input LwA_XYZ'!$DD$1:$DR$1,'Input LwA_XYZ'!DD16:DR16))</f>
        <v>33.834137407946159</v>
      </c>
    </row>
    <row r="618" spans="14:20" ht="16.5" x14ac:dyDescent="0.3">
      <c r="N618" s="190">
        <f>IF('Input LwA_XYZ'!A17 = 0, "", 'Input LwA_XYZ'!A17)</f>
        <v>4</v>
      </c>
      <c r="O618" s="189" t="str">
        <f>IF($N618="","",_xlfn.TEXTJOIN(" - ",TRUE,'Input LwA_XYZ'!B17:C17))</f>
        <v>RCU-R(4p)4 - Radiated</v>
      </c>
      <c r="P618" s="64">
        <f>IF($N618="","",'Input LwA_XYZ'!Q17)</f>
        <v>79.020599913279625</v>
      </c>
      <c r="Q618" s="91" t="str">
        <f>IF($N618="","",-1*ROUND(_xlfn.XLOOKUP(Tables!$L$602,'Input LwA_XYZ'!$AY$1:$BM$1,'Input LwA_XYZ'!AY17:BM17),0) &amp; " / " &amp; ROUND(_xlfn.XLOOKUP(Tables!$L$602,'Input LwA_XYZ'!$AH$1:$AV$1,'Input LwA_XYZ'!AH17:AV17),0) &amp; " ft")</f>
        <v>41 / 147 ft</v>
      </c>
      <c r="R618" s="91" t="str">
        <f>IF($N618="","",IF(_xlfn.XLOOKUP(Tables!$L$602,'Input LwA_XYZ'!$BV$1:$CJ$1,'Input LwA_XYZ'!BV17:CJ17)="","-",_xlfn.XLOOKUP(Tables!$L$602,'Input LwA_XYZ'!$BV$1:$CJ$1,'Input LwA_XYZ'!BV17:CJ17)))</f>
        <v>-</v>
      </c>
      <c r="S618" s="91" t="str">
        <f>IF($N618="","",IF('Input LwA_XYZ'!S17="","-",'Input LwA_XYZ'!S17))</f>
        <v>-</v>
      </c>
      <c r="T618" s="65">
        <f>IF($N618="","",_xlfn.XLOOKUP(Tables!$L$602,'Input LwA_XYZ'!$DD$1:$DR$1,'Input LwA_XYZ'!DD17:DR17))</f>
        <v>38.039918717943372</v>
      </c>
    </row>
    <row r="619" spans="14:20" ht="16.5" x14ac:dyDescent="0.3">
      <c r="N619" s="190">
        <f>IF('Input LwA_XYZ'!A18 = 0, "", 'Input LwA_XYZ'!A18)</f>
        <v>2</v>
      </c>
      <c r="O619" s="189" t="str">
        <f>IF($N619="","",_xlfn.TEXTJOIN(" - ",TRUE,'Input LwA_XYZ'!B18:C18))</f>
        <v>RCU-R(2p)2 - Radiated</v>
      </c>
      <c r="P619" s="64">
        <f>IF($N619="","",'Input LwA_XYZ'!Q18)</f>
        <v>76.010299956639813</v>
      </c>
      <c r="Q619" s="91" t="str">
        <f>IF($N619="","",-1*ROUND(_xlfn.XLOOKUP(Tables!$L$602,'Input LwA_XYZ'!$AY$1:$BM$1,'Input LwA_XYZ'!AY18:BM18),0) &amp; " / " &amp; ROUND(_xlfn.XLOOKUP(Tables!$L$602,'Input LwA_XYZ'!$AH$1:$AV$1,'Input LwA_XYZ'!AH18:AV18),0) &amp; " ft")</f>
        <v>41 / 153 ft</v>
      </c>
      <c r="R619" s="91" t="str">
        <f>IF($N619="","",IF(_xlfn.XLOOKUP(Tables!$L$602,'Input LwA_XYZ'!$BV$1:$CJ$1,'Input LwA_XYZ'!BV18:CJ18)="","-",_xlfn.XLOOKUP(Tables!$L$602,'Input LwA_XYZ'!$BV$1:$CJ$1,'Input LwA_XYZ'!BV18:CJ18)))</f>
        <v>-</v>
      </c>
      <c r="S619" s="91" t="str">
        <f>IF($N619="","",IF('Input LwA_XYZ'!S18="","-",'Input LwA_XYZ'!S18))</f>
        <v>-</v>
      </c>
      <c r="T619" s="65">
        <f>IF($N619="","",_xlfn.XLOOKUP(Tables!$L$602,'Input LwA_XYZ'!$DD$1:$DR$1,'Input LwA_XYZ'!DD18:DR18))</f>
        <v>34.626203151341301</v>
      </c>
    </row>
    <row r="620" spans="14:20" ht="16.5" x14ac:dyDescent="0.3">
      <c r="N620" s="190">
        <f>IF('Input LwA_XYZ'!A19 = 0, "", 'Input LwA_XYZ'!A19)</f>
        <v>2</v>
      </c>
      <c r="O620" s="189" t="str">
        <f>IF($N620="","",_xlfn.TEXTJOIN(" - ",TRUE,'Input LwA_XYZ'!B19:C19))</f>
        <v>RCU-R(2p)3 - Radiated</v>
      </c>
      <c r="P620" s="64">
        <f>IF($N620="","",'Input LwA_XYZ'!Q19)</f>
        <v>76.010299956639813</v>
      </c>
      <c r="Q620" s="91" t="str">
        <f>IF($N620="","",-1*ROUND(_xlfn.XLOOKUP(Tables!$L$602,'Input LwA_XYZ'!$AY$1:$BM$1,'Input LwA_XYZ'!AY19:BM19),0) &amp; " / " &amp; ROUND(_xlfn.XLOOKUP(Tables!$L$602,'Input LwA_XYZ'!$AH$1:$AV$1,'Input LwA_XYZ'!AH19:AV19),0) &amp; " ft")</f>
        <v>42 / 174 ft</v>
      </c>
      <c r="R620" s="91" t="str">
        <f>IF($N620="","",IF(_xlfn.XLOOKUP(Tables!$L$602,'Input LwA_XYZ'!$BV$1:$CJ$1,'Input LwA_XYZ'!BV19:CJ19)="","-",_xlfn.XLOOKUP(Tables!$L$602,'Input LwA_XYZ'!$BV$1:$CJ$1,'Input LwA_XYZ'!BV19:CJ19)))</f>
        <v>-</v>
      </c>
      <c r="S620" s="91" t="str">
        <f>IF($N620="","",IF('Input LwA_XYZ'!S19="","-",'Input LwA_XYZ'!S19))</f>
        <v>-</v>
      </c>
      <c r="T620" s="65">
        <f>IF($N620="","",_xlfn.XLOOKUP(Tables!$L$602,'Input LwA_XYZ'!$DD$1:$DR$1,'Input LwA_XYZ'!DD19:DR19))</f>
        <v>33.531132173351168</v>
      </c>
    </row>
    <row r="621" spans="14:20" ht="16.5" x14ac:dyDescent="0.3">
      <c r="N621" s="190">
        <f>IF('Input LwA_XYZ'!A20 = 0, "", 'Input LwA_XYZ'!A20)</f>
        <v>2</v>
      </c>
      <c r="O621" s="189" t="str">
        <f>IF($N621="","",_xlfn.TEXTJOIN(" - ",TRUE,'Input LwA_XYZ'!B20:C20))</f>
        <v>RCU-R(2p)4 - Radiated</v>
      </c>
      <c r="P621" s="64">
        <f>IF($N621="","",'Input LwA_XYZ'!Q20)</f>
        <v>76.010299956639813</v>
      </c>
      <c r="Q621" s="91" t="str">
        <f>IF($N621="","",-1*ROUND(_xlfn.XLOOKUP(Tables!$L$602,'Input LwA_XYZ'!$AY$1:$BM$1,'Input LwA_XYZ'!AY20:BM20),0) &amp; " / " &amp; ROUND(_xlfn.XLOOKUP(Tables!$L$602,'Input LwA_XYZ'!$AH$1:$AV$1,'Input LwA_XYZ'!AH20:AV20),0) &amp; " ft")</f>
        <v>43 / 188 ft</v>
      </c>
      <c r="R621" s="91" t="str">
        <f>IF($N621="","",IF(_xlfn.XLOOKUP(Tables!$L$602,'Input LwA_XYZ'!$BV$1:$CJ$1,'Input LwA_XYZ'!BV20:CJ20)="","-",_xlfn.XLOOKUP(Tables!$L$602,'Input LwA_XYZ'!$BV$1:$CJ$1,'Input LwA_XYZ'!BV20:CJ20)))</f>
        <v>-</v>
      </c>
      <c r="S621" s="91" t="str">
        <f>IF($N621="","",IF('Input LwA_XYZ'!S20="","-",'Input LwA_XYZ'!S20))</f>
        <v>-</v>
      </c>
      <c r="T621" s="65">
        <f>IF($N621="","",_xlfn.XLOOKUP(Tables!$L$602,'Input LwA_XYZ'!$DD$1:$DR$1,'Input LwA_XYZ'!DD20:DR20))</f>
        <v>32.86816377495628</v>
      </c>
    </row>
    <row r="622" spans="14:20" ht="16.5" x14ac:dyDescent="0.3">
      <c r="N622" s="190">
        <f>IF('Input LwA_XYZ'!A21 = 0, "", 'Input LwA_XYZ'!A21)</f>
        <v>2</v>
      </c>
      <c r="O622" s="189" t="str">
        <f>IF($N622="","",_xlfn.TEXTJOIN(" - ",TRUE,'Input LwA_XYZ'!B21:C21))</f>
        <v>RCU-R(2p)5 - Radiated</v>
      </c>
      <c r="P622" s="64">
        <f>IF($N622="","",'Input LwA_XYZ'!Q21)</f>
        <v>76.010299956639813</v>
      </c>
      <c r="Q622" s="91" t="str">
        <f>IF($N622="","",-1*ROUND(_xlfn.XLOOKUP(Tables!$L$602,'Input LwA_XYZ'!$AY$1:$BM$1,'Input LwA_XYZ'!AY21:BM21),0) &amp; " / " &amp; ROUND(_xlfn.XLOOKUP(Tables!$L$602,'Input LwA_XYZ'!$AH$1:$AV$1,'Input LwA_XYZ'!AH21:AV21),0) &amp; " ft")</f>
        <v>44 / 203 ft</v>
      </c>
      <c r="R622" s="91" t="str">
        <f>IF($N622="","",IF(_xlfn.XLOOKUP(Tables!$L$602,'Input LwA_XYZ'!$BV$1:$CJ$1,'Input LwA_XYZ'!BV21:CJ21)="","-",_xlfn.XLOOKUP(Tables!$L$602,'Input LwA_XYZ'!$BV$1:$CJ$1,'Input LwA_XYZ'!BV21:CJ21)))</f>
        <v>-</v>
      </c>
      <c r="S622" s="91" t="str">
        <f>IF($N622="","",IF('Input LwA_XYZ'!S21="","-",'Input LwA_XYZ'!S21))</f>
        <v>-</v>
      </c>
      <c r="T622" s="65">
        <f>IF($N622="","",_xlfn.XLOOKUP(Tables!$L$602,'Input LwA_XYZ'!$DD$1:$DR$1,'Input LwA_XYZ'!DD21:DR21))</f>
        <v>32.210402540305431</v>
      </c>
    </row>
    <row r="623" spans="14:20" ht="16.5" x14ac:dyDescent="0.3">
      <c r="N623" s="190">
        <f>IF('Input LwA_XYZ'!A22 = 0, "", 'Input LwA_XYZ'!A22)</f>
        <v>2</v>
      </c>
      <c r="O623" s="189" t="str">
        <f>IF($N623="","",_xlfn.TEXTJOIN(" - ",TRUE,'Input LwA_XYZ'!B22:C22))</f>
        <v>RCU-R(2p)6 - Radiated</v>
      </c>
      <c r="P623" s="64">
        <f>IF($N623="","",'Input LwA_XYZ'!Q22)</f>
        <v>76.010299956639813</v>
      </c>
      <c r="Q623" s="91" t="str">
        <f>IF($N623="","",-1*ROUND(_xlfn.XLOOKUP(Tables!$L$602,'Input LwA_XYZ'!$AY$1:$BM$1,'Input LwA_XYZ'!AY22:BM22),0) &amp; " / " &amp; ROUND(_xlfn.XLOOKUP(Tables!$L$602,'Input LwA_XYZ'!$AH$1:$AV$1,'Input LwA_XYZ'!AH22:AV22),0) &amp; " ft")</f>
        <v>44 / 218 ft</v>
      </c>
      <c r="R623" s="91" t="str">
        <f>IF($N623="","",IF(_xlfn.XLOOKUP(Tables!$L$602,'Input LwA_XYZ'!$BV$1:$CJ$1,'Input LwA_XYZ'!BV22:CJ22)="","-",_xlfn.XLOOKUP(Tables!$L$602,'Input LwA_XYZ'!$BV$1:$CJ$1,'Input LwA_XYZ'!BV22:CJ22)))</f>
        <v>-</v>
      </c>
      <c r="S623" s="91" t="str">
        <f>IF($N623="","",IF('Input LwA_XYZ'!S22="","-",'Input LwA_XYZ'!S22))</f>
        <v>-</v>
      </c>
      <c r="T623" s="65">
        <f>IF($N623="","",_xlfn.XLOOKUP(Tables!$L$602,'Input LwA_XYZ'!$DD$1:$DR$1,'Input LwA_XYZ'!DD22:DR22))</f>
        <v>31.572313832482209</v>
      </c>
    </row>
    <row r="624" spans="14:20" ht="16.5" x14ac:dyDescent="0.3">
      <c r="N624" s="190">
        <f>IF('Input LwA_XYZ'!A23 = 0, "", 'Input LwA_XYZ'!A23)</f>
        <v>1</v>
      </c>
      <c r="O624" s="189" t="str">
        <f>IF($N624="","",_xlfn.TEXTJOIN(" - ",TRUE,'Input LwA_XYZ'!B23:C23))</f>
        <v>BEF-R01  - Inlet</v>
      </c>
      <c r="P624" s="64">
        <f>IF($N624="","",'Input LwA_XYZ'!Q23)</f>
        <v>57</v>
      </c>
      <c r="Q624" s="91" t="str">
        <f>IF($N624="","",-1*ROUND(_xlfn.XLOOKUP(Tables!$L$602,'Input LwA_XYZ'!$AY$1:$BM$1,'Input LwA_XYZ'!AY23:BM23),0) &amp; " / " &amp; ROUND(_xlfn.XLOOKUP(Tables!$L$602,'Input LwA_XYZ'!$AH$1:$AV$1,'Input LwA_XYZ'!AH23:AV23),0) &amp; " ft")</f>
        <v>39 / 123 ft</v>
      </c>
      <c r="R624" s="91" t="str">
        <f>IF($N624="","",IF(_xlfn.XLOOKUP(Tables!$L$602,'Input LwA_XYZ'!$BV$1:$CJ$1,'Input LwA_XYZ'!BV23:CJ23)="","-",_xlfn.XLOOKUP(Tables!$L$602,'Input LwA_XYZ'!$BV$1:$CJ$1,'Input LwA_XYZ'!BV23:CJ23)))</f>
        <v>-</v>
      </c>
      <c r="S624" s="91" t="str">
        <f>IF($N624="","",IF('Input LwA_XYZ'!S23="","-",'Input LwA_XYZ'!S23))</f>
        <v>-</v>
      </c>
      <c r="T624" s="65">
        <f>IF($N624="","",_xlfn.XLOOKUP(Tables!$L$602,'Input LwA_XYZ'!$DD$1:$DR$1,'Input LwA_XYZ'!DD23:DR23))</f>
        <v>17.524923149226339</v>
      </c>
    </row>
    <row r="625" spans="14:20" ht="16.5" x14ac:dyDescent="0.3">
      <c r="N625" s="190">
        <f>IF('Input LwA_XYZ'!A24 = 0, "", 'Input LwA_XYZ'!A24)</f>
        <v>1</v>
      </c>
      <c r="O625" s="189" t="str">
        <f>IF($N625="","",_xlfn.TEXTJOIN(" - ",TRUE,'Input LwA_XYZ'!B24:C24))</f>
        <v>BEF-R02  - Inlet</v>
      </c>
      <c r="P625" s="64">
        <f>IF($N625="","",'Input LwA_XYZ'!Q24)</f>
        <v>66</v>
      </c>
      <c r="Q625" s="91" t="str">
        <f>IF($N625="","",-1*ROUND(_xlfn.XLOOKUP(Tables!$L$602,'Input LwA_XYZ'!$AY$1:$BM$1,'Input LwA_XYZ'!AY24:BM24),0) &amp; " / " &amp; ROUND(_xlfn.XLOOKUP(Tables!$L$602,'Input LwA_XYZ'!$AH$1:$AV$1,'Input LwA_XYZ'!AH24:AV24),0) &amp; " ft")</f>
        <v>40 / 138 ft</v>
      </c>
      <c r="R625" s="91" t="str">
        <f>IF($N625="","",IF(_xlfn.XLOOKUP(Tables!$L$602,'Input LwA_XYZ'!$BV$1:$CJ$1,'Input LwA_XYZ'!BV24:CJ24)="","-",_xlfn.XLOOKUP(Tables!$L$602,'Input LwA_XYZ'!$BV$1:$CJ$1,'Input LwA_XYZ'!BV24:CJ24)))</f>
        <v>-</v>
      </c>
      <c r="S625" s="91" t="str">
        <f>IF($N625="","",IF('Input LwA_XYZ'!S24="","-",'Input LwA_XYZ'!S24))</f>
        <v>-</v>
      </c>
      <c r="T625" s="65">
        <f>IF($N625="","",_xlfn.XLOOKUP(Tables!$L$602,'Input LwA_XYZ'!$DD$1:$DR$1,'Input LwA_XYZ'!DD24:DR24))</f>
        <v>25.558301321549493</v>
      </c>
    </row>
    <row r="626" spans="14:20" ht="16.5" x14ac:dyDescent="0.3">
      <c r="N626" s="190">
        <f>IF('Input LwA_XYZ'!A25 = 0, "", 'Input LwA_XYZ'!A25)</f>
        <v>1</v>
      </c>
      <c r="O626" s="189" t="str">
        <f>IF($N626="","",_xlfn.TEXTJOIN(" - ",TRUE,'Input LwA_XYZ'!B25:C25))</f>
        <v>BEF-R03  - Inlet</v>
      </c>
      <c r="P626" s="64">
        <f>IF($N626="","",'Input LwA_XYZ'!Q25)</f>
        <v>66</v>
      </c>
      <c r="Q626" s="91" t="str">
        <f>IF($N626="","",-1*ROUND(_xlfn.XLOOKUP(Tables!$L$602,'Input LwA_XYZ'!$AY$1:$BM$1,'Input LwA_XYZ'!AY25:BM25),0) &amp; " / " &amp; ROUND(_xlfn.XLOOKUP(Tables!$L$602,'Input LwA_XYZ'!$AH$1:$AV$1,'Input LwA_XYZ'!AH25:AV25),0) &amp; " ft")</f>
        <v>42 / 159 ft</v>
      </c>
      <c r="R626" s="91" t="str">
        <f>IF($N626="","",IF(_xlfn.XLOOKUP(Tables!$L$602,'Input LwA_XYZ'!$BV$1:$CJ$1,'Input LwA_XYZ'!BV25:CJ25)="","-",_xlfn.XLOOKUP(Tables!$L$602,'Input LwA_XYZ'!$BV$1:$CJ$1,'Input LwA_XYZ'!BV25:CJ25)))</f>
        <v>-</v>
      </c>
      <c r="S626" s="91" t="str">
        <f>IF($N626="","",IF('Input LwA_XYZ'!S25="","-",'Input LwA_XYZ'!S25))</f>
        <v>-</v>
      </c>
      <c r="T626" s="65">
        <f>IF($N626="","",_xlfn.XLOOKUP(Tables!$L$602,'Input LwA_XYZ'!$DD$1:$DR$1,'Input LwA_XYZ'!DD25:DR25))</f>
        <v>24.324638741792718</v>
      </c>
    </row>
    <row r="627" spans="14:20" ht="16.5" x14ac:dyDescent="0.3">
      <c r="N627" s="190">
        <f>IF('Input LwA_XYZ'!A26 = 0, "", 'Input LwA_XYZ'!A26)</f>
        <v>1</v>
      </c>
      <c r="O627" s="189" t="str">
        <f>IF($N627="","",_xlfn.TEXTJOIN(" - ",TRUE,'Input LwA_XYZ'!B26:C26))</f>
        <v>BEF-R04  - Inlet</v>
      </c>
      <c r="P627" s="64">
        <f>IF($N627="","",'Input LwA_XYZ'!Q26)</f>
        <v>66</v>
      </c>
      <c r="Q627" s="91" t="str">
        <f>IF($N627="","",-1*ROUND(_xlfn.XLOOKUP(Tables!$L$602,'Input LwA_XYZ'!$AY$1:$BM$1,'Input LwA_XYZ'!AY26:BM26),0) &amp; " / " &amp; ROUND(_xlfn.XLOOKUP(Tables!$L$602,'Input LwA_XYZ'!$AH$1:$AV$1,'Input LwA_XYZ'!AH26:AV26),0) &amp; " ft")</f>
        <v>43 / 181 ft</v>
      </c>
      <c r="R627" s="91" t="str">
        <f>IF($N627="","",IF(_xlfn.XLOOKUP(Tables!$L$602,'Input LwA_XYZ'!$BV$1:$CJ$1,'Input LwA_XYZ'!BV26:CJ26)="","-",_xlfn.XLOOKUP(Tables!$L$602,'Input LwA_XYZ'!$BV$1:$CJ$1,'Input LwA_XYZ'!BV26:CJ26)))</f>
        <v>-</v>
      </c>
      <c r="S627" s="91" t="str">
        <f>IF($N627="","",IF('Input LwA_XYZ'!S26="","-",'Input LwA_XYZ'!S26))</f>
        <v>-</v>
      </c>
      <c r="T627" s="65">
        <f>IF($N627="","",_xlfn.XLOOKUP(Tables!$L$602,'Input LwA_XYZ'!$DD$1:$DR$1,'Input LwA_XYZ'!DD26:DR26))</f>
        <v>23.168375747855407</v>
      </c>
    </row>
    <row r="628" spans="14:20" ht="16.5" x14ac:dyDescent="0.3">
      <c r="N628" s="190">
        <f>IF('Input LwA_XYZ'!A27 = 0, "", 'Input LwA_XYZ'!A27)</f>
        <v>1</v>
      </c>
      <c r="O628" s="189" t="str">
        <f>IF($N628="","",_xlfn.TEXTJOIN(" - ",TRUE,'Input LwA_XYZ'!B27:C27))</f>
        <v>BEF-R05  - Inlet</v>
      </c>
      <c r="P628" s="64">
        <f>IF($N628="","",'Input LwA_XYZ'!Q27)</f>
        <v>66</v>
      </c>
      <c r="Q628" s="91" t="str">
        <f>IF($N628="","",-1*ROUND(_xlfn.XLOOKUP(Tables!$L$602,'Input LwA_XYZ'!$AY$1:$BM$1,'Input LwA_XYZ'!AY27:BM27),0) &amp; " / " &amp; ROUND(_xlfn.XLOOKUP(Tables!$L$602,'Input LwA_XYZ'!$AH$1:$AV$1,'Input LwA_XYZ'!AH27:AV27),0) &amp; " ft")</f>
        <v>44 / 199 ft</v>
      </c>
      <c r="R628" s="91" t="str">
        <f>IF($N628="","",IF(_xlfn.XLOOKUP(Tables!$L$602,'Input LwA_XYZ'!$BV$1:$CJ$1,'Input LwA_XYZ'!BV27:CJ27)="","-",_xlfn.XLOOKUP(Tables!$L$602,'Input LwA_XYZ'!$BV$1:$CJ$1,'Input LwA_XYZ'!BV27:CJ27)))</f>
        <v>-</v>
      </c>
      <c r="S628" s="91" t="str">
        <f>IF($N628="","",IF('Input LwA_XYZ'!S27="","-",'Input LwA_XYZ'!S27))</f>
        <v>-</v>
      </c>
      <c r="T628" s="65">
        <f>IF($N628="","",_xlfn.XLOOKUP(Tables!$L$602,'Input LwA_XYZ'!$DD$1:$DR$1,'Input LwA_XYZ'!DD27:DR27))</f>
        <v>22.371723595961846</v>
      </c>
    </row>
    <row r="629" spans="14:20" ht="16.5" x14ac:dyDescent="0.3">
      <c r="N629" s="190">
        <f>IF('Input LwA_XYZ'!A28 = 0, "", 'Input LwA_XYZ'!A28)</f>
        <v>1</v>
      </c>
      <c r="O629" s="189" t="str">
        <f>IF($N629="","",_xlfn.TEXTJOIN(" - ",TRUE,'Input LwA_XYZ'!B28:C28))</f>
        <v>BEF-R06  - Inlet</v>
      </c>
      <c r="P629" s="64">
        <f>IF($N629="","",'Input LwA_XYZ'!Q28)</f>
        <v>66</v>
      </c>
      <c r="Q629" s="91" t="str">
        <f>IF($N629="","",-1*ROUND(_xlfn.XLOOKUP(Tables!$L$602,'Input LwA_XYZ'!$AY$1:$BM$1,'Input LwA_XYZ'!AY28:BM28),0) &amp; " / " &amp; ROUND(_xlfn.XLOOKUP(Tables!$L$602,'Input LwA_XYZ'!$AH$1:$AV$1,'Input LwA_XYZ'!AH28:AV28),0) &amp; " ft")</f>
        <v>43 / 194 ft</v>
      </c>
      <c r="R629" s="91" t="str">
        <f>IF($N629="","",IF(_xlfn.XLOOKUP(Tables!$L$602,'Input LwA_XYZ'!$BV$1:$CJ$1,'Input LwA_XYZ'!BV28:CJ28)="","-",_xlfn.XLOOKUP(Tables!$L$602,'Input LwA_XYZ'!$BV$1:$CJ$1,'Input LwA_XYZ'!BV28:CJ28)))</f>
        <v>-</v>
      </c>
      <c r="S629" s="91" t="str">
        <f>IF($N629="","",IF('Input LwA_XYZ'!S28="","-",'Input LwA_XYZ'!S28))</f>
        <v>-</v>
      </c>
      <c r="T629" s="65">
        <f>IF($N629="","",_xlfn.XLOOKUP(Tables!$L$602,'Input LwA_XYZ'!$DD$1:$DR$1,'Input LwA_XYZ'!DD28:DR28))</f>
        <v>22.571853354436364</v>
      </c>
    </row>
    <row r="630" spans="14:20" ht="16.5" x14ac:dyDescent="0.3">
      <c r="N630" s="190">
        <f>IF('Input LwA_XYZ'!A29 = 0, "", 'Input LwA_XYZ'!A29)</f>
        <v>1</v>
      </c>
      <c r="O630" s="189" t="str">
        <f>IF($N630="","",_xlfn.TEXTJOIN(" - ",TRUE,'Input LwA_XYZ'!B29:C29))</f>
        <v>BEF-R07  - Inlet</v>
      </c>
      <c r="P630" s="64">
        <f>IF($N630="","",'Input LwA_XYZ'!Q29)</f>
        <v>57</v>
      </c>
      <c r="Q630" s="91" t="str">
        <f>IF($N630="","",-1*ROUND(_xlfn.XLOOKUP(Tables!$L$602,'Input LwA_XYZ'!$AY$1:$BM$1,'Input LwA_XYZ'!AY29:BM29),0) &amp; " / " &amp; ROUND(_xlfn.XLOOKUP(Tables!$L$602,'Input LwA_XYZ'!$AH$1:$AV$1,'Input LwA_XYZ'!AH29:AV29),0) &amp; " ft")</f>
        <v>43 / 195 ft</v>
      </c>
      <c r="R630" s="91" t="str">
        <f>IF($N630="","",IF(_xlfn.XLOOKUP(Tables!$L$602,'Input LwA_XYZ'!$BV$1:$CJ$1,'Input LwA_XYZ'!BV29:CJ29)="","-",_xlfn.XLOOKUP(Tables!$L$602,'Input LwA_XYZ'!$BV$1:$CJ$1,'Input LwA_XYZ'!BV29:CJ29)))</f>
        <v>-</v>
      </c>
      <c r="S630" s="91" t="str">
        <f>IF($N630="","",IF('Input LwA_XYZ'!S29="","-",'Input LwA_XYZ'!S29))</f>
        <v>-</v>
      </c>
      <c r="T630" s="65">
        <f>IF($N630="","",_xlfn.XLOOKUP(Tables!$L$602,'Input LwA_XYZ'!$DD$1:$DR$1,'Input LwA_XYZ'!DD29:DR29))</f>
        <v>13.555575842541174</v>
      </c>
    </row>
    <row r="631" spans="14:20" ht="16.5" x14ac:dyDescent="0.3">
      <c r="N631" s="190">
        <f>IF('Input LwA_XYZ'!A30 = 0, "", 'Input LwA_XYZ'!A30)</f>
        <v>1</v>
      </c>
      <c r="O631" s="189" t="str">
        <f>IF($N631="","",_xlfn.TEXTJOIN(" - ",TRUE,'Input LwA_XYZ'!B30:C30))</f>
        <v>BEF-R08  - Inlet</v>
      </c>
      <c r="P631" s="64">
        <f>IF($N631="","",'Input LwA_XYZ'!Q30)</f>
        <v>57</v>
      </c>
      <c r="Q631" s="91" t="str">
        <f>IF($N631="","",-1*ROUND(_xlfn.XLOOKUP(Tables!$L$602,'Input LwA_XYZ'!$AY$1:$BM$1,'Input LwA_XYZ'!AY30:BM30),0) &amp; " / " &amp; ROUND(_xlfn.XLOOKUP(Tables!$L$602,'Input LwA_XYZ'!$AH$1:$AV$1,'Input LwA_XYZ'!AH30:AV30),0) &amp; " ft")</f>
        <v>45 / 235 ft</v>
      </c>
      <c r="R631" s="91" t="str">
        <f>IF($N631="","",IF(_xlfn.XLOOKUP(Tables!$L$602,'Input LwA_XYZ'!$BV$1:$CJ$1,'Input LwA_XYZ'!BV30:CJ30)="","-",_xlfn.XLOOKUP(Tables!$L$602,'Input LwA_XYZ'!$BV$1:$CJ$1,'Input LwA_XYZ'!BV30:CJ30)))</f>
        <v>-</v>
      </c>
      <c r="S631" s="91" t="str">
        <f>IF($N631="","",IF('Input LwA_XYZ'!S30="","-",'Input LwA_XYZ'!S30))</f>
        <v>-</v>
      </c>
      <c r="T631" s="65">
        <f>IF($N631="","",_xlfn.XLOOKUP(Tables!$L$602,'Input LwA_XYZ'!$DD$1:$DR$1,'Input LwA_XYZ'!DD30:DR30))</f>
        <v>11.924932976016137</v>
      </c>
    </row>
    <row r="632" spans="14:20" ht="16.5" x14ac:dyDescent="0.3">
      <c r="N632" s="190">
        <f>IF('Input LwA_XYZ'!A31 = 0, "", 'Input LwA_XYZ'!A31)</f>
        <v>1</v>
      </c>
      <c r="O632" s="189" t="str">
        <f>IF($N632="","",_xlfn.TEXTJOIN(" - ",TRUE,'Input LwA_XYZ'!B31:C31))</f>
        <v>BEF-R09  - Inlet</v>
      </c>
      <c r="P632" s="64">
        <f>IF($N632="","",'Input LwA_XYZ'!Q31)</f>
        <v>66</v>
      </c>
      <c r="Q632" s="91" t="str">
        <f>IF($N632="","",-1*ROUND(_xlfn.XLOOKUP(Tables!$L$602,'Input LwA_XYZ'!$AY$1:$BM$1,'Input LwA_XYZ'!AY31:BM31),0) &amp; " / " &amp; ROUND(_xlfn.XLOOKUP(Tables!$L$602,'Input LwA_XYZ'!$AH$1:$AV$1,'Input LwA_XYZ'!AH31:AV31),0) &amp; " ft")</f>
        <v>45 / 238 ft</v>
      </c>
      <c r="R632" s="91" t="str">
        <f>IF($N632="","",IF(_xlfn.XLOOKUP(Tables!$L$602,'Input LwA_XYZ'!$BV$1:$CJ$1,'Input LwA_XYZ'!BV31:CJ31)="","-",_xlfn.XLOOKUP(Tables!$L$602,'Input LwA_XYZ'!$BV$1:$CJ$1,'Input LwA_XYZ'!BV31:CJ31)))</f>
        <v>-</v>
      </c>
      <c r="S632" s="91" t="str">
        <f>IF($N632="","",IF('Input LwA_XYZ'!S31="","-",'Input LwA_XYZ'!S31))</f>
        <v>-</v>
      </c>
      <c r="T632" s="65">
        <f>IF($N632="","",_xlfn.XLOOKUP(Tables!$L$602,'Input LwA_XYZ'!$DD$1:$DR$1,'Input LwA_XYZ'!DD31:DR31))</f>
        <v>20.789699625762694</v>
      </c>
    </row>
    <row r="633" spans="14:20" ht="16.5" x14ac:dyDescent="0.3">
      <c r="N633" s="190">
        <f>IF('Input LwA_XYZ'!A32 = 0, "", 'Input LwA_XYZ'!A32)</f>
        <v>1</v>
      </c>
      <c r="O633" s="189" t="str">
        <f>IF($N633="","",_xlfn.TEXTJOIN(" - ",TRUE,'Input LwA_XYZ'!B32:C32))</f>
        <v>BEF-R10  - Inlet</v>
      </c>
      <c r="P633" s="64">
        <f>IF($N633="","",'Input LwA_XYZ'!Q32)</f>
        <v>66</v>
      </c>
      <c r="Q633" s="91" t="str">
        <f>IF($N633="","",-1*ROUND(_xlfn.XLOOKUP(Tables!$L$602,'Input LwA_XYZ'!$AY$1:$BM$1,'Input LwA_XYZ'!AY32:BM32),0) &amp; " / " &amp; ROUND(_xlfn.XLOOKUP(Tables!$L$602,'Input LwA_XYZ'!$AH$1:$AV$1,'Input LwA_XYZ'!AH32:AV32),0) &amp; " ft")</f>
        <v>45 / 245 ft</v>
      </c>
      <c r="R633" s="91" t="str">
        <f>IF($N633="","",IF(_xlfn.XLOOKUP(Tables!$L$602,'Input LwA_XYZ'!$BV$1:$CJ$1,'Input LwA_XYZ'!BV32:CJ32)="","-",_xlfn.XLOOKUP(Tables!$L$602,'Input LwA_XYZ'!$BV$1:$CJ$1,'Input LwA_XYZ'!BV32:CJ32)))</f>
        <v>-</v>
      </c>
      <c r="S633" s="91" t="str">
        <f>IF($N633="","",IF('Input LwA_XYZ'!S32="","-",'Input LwA_XYZ'!S32))</f>
        <v>-</v>
      </c>
      <c r="T633" s="65">
        <f>IF($N633="","",_xlfn.XLOOKUP(Tables!$L$602,'Input LwA_XYZ'!$DD$1:$DR$1,'Input LwA_XYZ'!DD32:DR32))</f>
        <v>20.549999233311269</v>
      </c>
    </row>
    <row r="634" spans="14:20" ht="16.5" x14ac:dyDescent="0.3">
      <c r="N634" s="190">
        <f>IF('Input LwA_XYZ'!A33 = 0, "", 'Input LwA_XYZ'!A33)</f>
        <v>1</v>
      </c>
      <c r="O634" s="189" t="str">
        <f>IF($N634="","",_xlfn.TEXTJOIN(" - ",TRUE,'Input LwA_XYZ'!B33:C33))</f>
        <v>BEF-R11  - Inlet</v>
      </c>
      <c r="P634" s="64">
        <f>IF($N634="","",'Input LwA_XYZ'!Q33)</f>
        <v>66</v>
      </c>
      <c r="Q634" s="91" t="str">
        <f>IF($N634="","",-1*ROUND(_xlfn.XLOOKUP(Tables!$L$602,'Input LwA_XYZ'!$AY$1:$BM$1,'Input LwA_XYZ'!AY33:BM33),0) &amp; " / " &amp; ROUND(_xlfn.XLOOKUP(Tables!$L$602,'Input LwA_XYZ'!$AH$1:$AV$1,'Input LwA_XYZ'!AH33:AV33),0) &amp; " ft")</f>
        <v>46 / 249 ft</v>
      </c>
      <c r="R634" s="91" t="str">
        <f>IF($N634="","",IF(_xlfn.XLOOKUP(Tables!$L$602,'Input LwA_XYZ'!$BV$1:$CJ$1,'Input LwA_XYZ'!BV33:CJ33)="","-",_xlfn.XLOOKUP(Tables!$L$602,'Input LwA_XYZ'!$BV$1:$CJ$1,'Input LwA_XYZ'!BV33:CJ33)))</f>
        <v>-</v>
      </c>
      <c r="S634" s="91" t="str">
        <f>IF($N634="","",IF('Input LwA_XYZ'!S33="","-",'Input LwA_XYZ'!S33))</f>
        <v>-</v>
      </c>
      <c r="T634" s="65">
        <f>IF($N634="","",_xlfn.XLOOKUP(Tables!$L$602,'Input LwA_XYZ'!$DD$1:$DR$1,'Input LwA_XYZ'!DD33:DR33))</f>
        <v>20.413561674561677</v>
      </c>
    </row>
    <row r="635" spans="14:20" ht="16.5" x14ac:dyDescent="0.3">
      <c r="N635" s="190">
        <f>IF('Input LwA_XYZ'!A34 = 0, "", 'Input LwA_XYZ'!A34)</f>
        <v>1</v>
      </c>
      <c r="O635" s="189" t="str">
        <f>IF($N635="","",_xlfn.TEXTJOIN(" - ",TRUE,'Input LwA_XYZ'!B34:C34))</f>
        <v>BEF-R12  - Inlet</v>
      </c>
      <c r="P635" s="64">
        <f>IF($N635="","",'Input LwA_XYZ'!Q34)</f>
        <v>66</v>
      </c>
      <c r="Q635" s="91" t="str">
        <f>IF($N635="","",-1*ROUND(_xlfn.XLOOKUP(Tables!$L$602,'Input LwA_XYZ'!$AY$1:$BM$1,'Input LwA_XYZ'!AY34:BM34),0) &amp; " / " &amp; ROUND(_xlfn.XLOOKUP(Tables!$L$602,'Input LwA_XYZ'!$AH$1:$AV$1,'Input LwA_XYZ'!AH34:AV34),0) &amp; " ft")</f>
        <v>44 / 208 ft</v>
      </c>
      <c r="R635" s="91" t="str">
        <f>IF($N635="","",IF(_xlfn.XLOOKUP(Tables!$L$602,'Input LwA_XYZ'!$BV$1:$CJ$1,'Input LwA_XYZ'!BV34:CJ34)="","-",_xlfn.XLOOKUP(Tables!$L$602,'Input LwA_XYZ'!$BV$1:$CJ$1,'Input LwA_XYZ'!BV34:CJ34)))</f>
        <v>-</v>
      </c>
      <c r="S635" s="91" t="str">
        <f>IF($N635="","",IF('Input LwA_XYZ'!S34="","-",'Input LwA_XYZ'!S34))</f>
        <v>-</v>
      </c>
      <c r="T635" s="65">
        <f>IF($N635="","",_xlfn.XLOOKUP(Tables!$L$602,'Input LwA_XYZ'!$DD$1:$DR$1,'Input LwA_XYZ'!DD34:DR34))</f>
        <v>21.980715174611781</v>
      </c>
    </row>
    <row r="636" spans="14:20" ht="16.5" x14ac:dyDescent="0.3">
      <c r="N636" s="190">
        <f>IF('Input LwA_XYZ'!A35 = 0, "", 'Input LwA_XYZ'!A35)</f>
        <v>1</v>
      </c>
      <c r="O636" s="189" t="str">
        <f>IF($N636="","",_xlfn.TEXTJOIN(" - ",TRUE,'Input LwA_XYZ'!B35:C35))</f>
        <v>BEF-R13  - Inlet</v>
      </c>
      <c r="P636" s="64">
        <f>IF($N636="","",'Input LwA_XYZ'!Q35)</f>
        <v>66</v>
      </c>
      <c r="Q636" s="91" t="str">
        <f>IF($N636="","",-1*ROUND(_xlfn.XLOOKUP(Tables!$L$602,'Input LwA_XYZ'!$AY$1:$BM$1,'Input LwA_XYZ'!AY35:BM35),0) &amp; " / " &amp; ROUND(_xlfn.XLOOKUP(Tables!$L$602,'Input LwA_XYZ'!$AH$1:$AV$1,'Input LwA_XYZ'!AH35:AV35),0) &amp; " ft")</f>
        <v>43 / 177 ft</v>
      </c>
      <c r="R636" s="91" t="str">
        <f>IF($N636="","",IF(_xlfn.XLOOKUP(Tables!$L$602,'Input LwA_XYZ'!$BV$1:$CJ$1,'Input LwA_XYZ'!BV35:CJ35)="","-",_xlfn.XLOOKUP(Tables!$L$602,'Input LwA_XYZ'!$BV$1:$CJ$1,'Input LwA_XYZ'!BV35:CJ35)))</f>
        <v>-</v>
      </c>
      <c r="S636" s="91" t="str">
        <f>IF($N636="","",IF('Input LwA_XYZ'!S35="","-",'Input LwA_XYZ'!S35))</f>
        <v>-</v>
      </c>
      <c r="T636" s="65">
        <f>IF($N636="","",_xlfn.XLOOKUP(Tables!$L$602,'Input LwA_XYZ'!$DD$1:$DR$1,'Input LwA_XYZ'!DD35:DR35))</f>
        <v>23.39479009159399</v>
      </c>
    </row>
    <row r="637" spans="14:20" ht="16.5" x14ac:dyDescent="0.3">
      <c r="N637" s="190">
        <f>IF('Input LwA_XYZ'!A36 = 0, "", 'Input LwA_XYZ'!A36)</f>
        <v>1</v>
      </c>
      <c r="O637" s="189" t="str">
        <f>IF($N637="","",_xlfn.TEXTJOIN(" - ",TRUE,'Input LwA_XYZ'!B36:C36))</f>
        <v>BEF-R14  - Inlet</v>
      </c>
      <c r="P637" s="64">
        <f>IF($N637="","",'Input LwA_XYZ'!Q36)</f>
        <v>66</v>
      </c>
      <c r="Q637" s="91" t="str">
        <f>IF($N637="","",-1*ROUND(_xlfn.XLOOKUP(Tables!$L$602,'Input LwA_XYZ'!$AY$1:$BM$1,'Input LwA_XYZ'!AY36:BM36),0) &amp; " / " &amp; ROUND(_xlfn.XLOOKUP(Tables!$L$602,'Input LwA_XYZ'!$AH$1:$AV$1,'Input LwA_XYZ'!AH36:AV36),0) &amp; " ft")</f>
        <v>42 / 160 ft</v>
      </c>
      <c r="R637" s="91" t="str">
        <f>IF($N637="","",IF(_xlfn.XLOOKUP(Tables!$L$602,'Input LwA_XYZ'!$BV$1:$CJ$1,'Input LwA_XYZ'!BV36:CJ36)="","-",_xlfn.XLOOKUP(Tables!$L$602,'Input LwA_XYZ'!$BV$1:$CJ$1,'Input LwA_XYZ'!BV36:CJ36)))</f>
        <v>-</v>
      </c>
      <c r="S637" s="91" t="str">
        <f>IF($N637="","",IF('Input LwA_XYZ'!S36="","-",'Input LwA_XYZ'!S36))</f>
        <v>-</v>
      </c>
      <c r="T637" s="65">
        <f>IF($N637="","",_xlfn.XLOOKUP(Tables!$L$602,'Input LwA_XYZ'!$DD$1:$DR$1,'Input LwA_XYZ'!DD36:DR36))</f>
        <v>24.267760520630574</v>
      </c>
    </row>
    <row r="638" spans="14:20" ht="16.5" x14ac:dyDescent="0.3">
      <c r="N638" s="190">
        <f>IF('Input LwA_XYZ'!A37 = 0, "", 'Input LwA_XYZ'!A37)</f>
        <v>1</v>
      </c>
      <c r="O638" s="189" t="str">
        <f>IF($N638="","",_xlfn.TEXTJOIN(" - ",TRUE,'Input LwA_XYZ'!B37:C37))</f>
        <v>BEF-R15  - Inlet</v>
      </c>
      <c r="P638" s="64">
        <f>IF($N638="","",'Input LwA_XYZ'!Q37)</f>
        <v>57</v>
      </c>
      <c r="Q638" s="91" t="str">
        <f>IF($N638="","",-1*ROUND(_xlfn.XLOOKUP(Tables!$L$602,'Input LwA_XYZ'!$AY$1:$BM$1,'Input LwA_XYZ'!AY37:BM37),0) &amp; " / " &amp; ROUND(_xlfn.XLOOKUP(Tables!$L$602,'Input LwA_XYZ'!$AH$1:$AV$1,'Input LwA_XYZ'!AH37:AV37),0) &amp; " ft")</f>
        <v>41 / 151 ft</v>
      </c>
      <c r="R638" s="91" t="str">
        <f>IF($N638="","",IF(_xlfn.XLOOKUP(Tables!$L$602,'Input LwA_XYZ'!$BV$1:$CJ$1,'Input LwA_XYZ'!BV37:CJ37)="","-",_xlfn.XLOOKUP(Tables!$L$602,'Input LwA_XYZ'!$BV$1:$CJ$1,'Input LwA_XYZ'!BV37:CJ37)))</f>
        <v>-</v>
      </c>
      <c r="S638" s="91" t="str">
        <f>IF($N638="","",IF('Input LwA_XYZ'!S37="","-",'Input LwA_XYZ'!S37))</f>
        <v>-</v>
      </c>
      <c r="T638" s="65">
        <f>IF($N638="","",_xlfn.XLOOKUP(Tables!$L$602,'Input LwA_XYZ'!$DD$1:$DR$1,'Input LwA_XYZ'!DD37:DR37))</f>
        <v>15.774111416089106</v>
      </c>
    </row>
    <row r="639" spans="14:20" ht="16.5" x14ac:dyDescent="0.3">
      <c r="N639" s="190">
        <f>IF('Input LwA_XYZ'!A38 = 0, "", 'Input LwA_XYZ'!A38)</f>
        <v>1</v>
      </c>
      <c r="O639" s="189" t="str">
        <f>IF($N639="","",_xlfn.TEXTJOIN(" - ",TRUE,'Input LwA_XYZ'!B38:C38))</f>
        <v>BEF-R16  - Inlet</v>
      </c>
      <c r="P639" s="64">
        <f>IF($N639="","",'Input LwA_XYZ'!Q38)</f>
        <v>57</v>
      </c>
      <c r="Q639" s="91" t="str">
        <f>IF($N639="","",-1*ROUND(_xlfn.XLOOKUP(Tables!$L$602,'Input LwA_XYZ'!$AY$1:$BM$1,'Input LwA_XYZ'!AY38:BM38),0) &amp; " / " &amp; ROUND(_xlfn.XLOOKUP(Tables!$L$602,'Input LwA_XYZ'!$AH$1:$AV$1,'Input LwA_XYZ'!AH38:AV38),0) &amp; " ft")</f>
        <v>44 / 218 ft</v>
      </c>
      <c r="R639" s="91" t="str">
        <f>IF($N639="","",IF(_xlfn.XLOOKUP(Tables!$L$602,'Input LwA_XYZ'!$BV$1:$CJ$1,'Input LwA_XYZ'!BV38:CJ38)="","-",_xlfn.XLOOKUP(Tables!$L$602,'Input LwA_XYZ'!$BV$1:$CJ$1,'Input LwA_XYZ'!BV38:CJ38)))</f>
        <v>-</v>
      </c>
      <c r="S639" s="91" t="str">
        <f>IF($N639="","",IF('Input LwA_XYZ'!S38="","-",'Input LwA_XYZ'!S38))</f>
        <v>-</v>
      </c>
      <c r="T639" s="65">
        <f>IF($N639="","",_xlfn.XLOOKUP(Tables!$L$602,'Input LwA_XYZ'!$DD$1:$DR$1,'Input LwA_XYZ'!DD38:DR38))</f>
        <v>12.585684800234958</v>
      </c>
    </row>
    <row r="640" spans="14:20" ht="16.5" x14ac:dyDescent="0.3">
      <c r="N640" s="190" t="str">
        <f>IF('Input LwA_XYZ'!A39 = 0, "", 'Input LwA_XYZ'!A39)</f>
        <v/>
      </c>
      <c r="O640" s="189" t="str">
        <f>IF($N640="","",_xlfn.TEXTJOIN(" - ",TRUE,'Input LwA_XYZ'!B39:C39))</f>
        <v/>
      </c>
      <c r="P640" s="64" t="str">
        <f>IF($N640="","",'Input LwA_XYZ'!Q39)</f>
        <v/>
      </c>
      <c r="Q640" s="91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91" t="str">
        <f>IF($N640="","",IF(_xlfn.XLOOKUP(Tables!$L$602,'Input LwA_XYZ'!$BV$1:$CJ$1,'Input LwA_XYZ'!BV39:CJ39)="","-",_xlfn.XLOOKUP(Tables!$L$602,'Input LwA_XYZ'!$BV$1:$CJ$1,'Input LwA_XYZ'!BV39:CJ39)))</f>
        <v/>
      </c>
      <c r="S640" s="91" t="str">
        <f>IF($N640="","",IF('Input LwA_XYZ'!S39="","-",'Input LwA_XYZ'!S39))</f>
        <v/>
      </c>
      <c r="T640" s="65" t="str">
        <f>IF($N640="","",_xlfn.XLOOKUP(Tables!$L$602,'Input LwA_XYZ'!$DD$1:$DR$1,'Input LwA_XYZ'!DD39:DR39))</f>
        <v/>
      </c>
    </row>
    <row r="641" spans="14:20" ht="16.5" x14ac:dyDescent="0.3">
      <c r="N641" s="190" t="str">
        <f>IF('Input LwA_XYZ'!A40 = 0, "", 'Input LwA_XYZ'!A40)</f>
        <v/>
      </c>
      <c r="O641" s="189" t="str">
        <f>IF($N641="","",_xlfn.TEXTJOIN(" - ",TRUE,'Input LwA_XYZ'!B40:C40))</f>
        <v/>
      </c>
      <c r="P641" s="64" t="str">
        <f>IF($N641="","",'Input LwA_XYZ'!Q40)</f>
        <v/>
      </c>
      <c r="Q641" s="91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91" t="str">
        <f>IF($N641="","",IF(_xlfn.XLOOKUP(Tables!$L$602,'Input LwA_XYZ'!$BV$1:$CJ$1,'Input LwA_XYZ'!BV40:CJ40)="","-",_xlfn.XLOOKUP(Tables!$L$602,'Input LwA_XYZ'!$BV$1:$CJ$1,'Input LwA_XYZ'!BV40:CJ40)))</f>
        <v/>
      </c>
      <c r="S641" s="91" t="str">
        <f>IF($N641="","",IF('Input LwA_XYZ'!S40="","-",'Input LwA_XYZ'!S40))</f>
        <v/>
      </c>
      <c r="T641" s="65" t="str">
        <f>IF($N641="","",_xlfn.XLOOKUP(Tables!$L$602,'Input LwA_XYZ'!$DD$1:$DR$1,'Input LwA_XYZ'!DD40:DR40))</f>
        <v/>
      </c>
    </row>
    <row r="642" spans="14:20" ht="16.5" x14ac:dyDescent="0.3">
      <c r="N642" s="190" t="str">
        <f>IF('Input LwA_XYZ'!A41 = 0, "", 'Input LwA_XYZ'!A41)</f>
        <v/>
      </c>
      <c r="O642" s="189" t="str">
        <f>IF($N642="","",_xlfn.TEXTJOIN(" - ",TRUE,'Input LwA_XYZ'!B41:C41))</f>
        <v/>
      </c>
      <c r="P642" s="64" t="str">
        <f>IF($N642="","",'Input LwA_XYZ'!Q41)</f>
        <v/>
      </c>
      <c r="Q642" s="91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91" t="str">
        <f>IF($N642="","",IF(_xlfn.XLOOKUP(Tables!$L$602,'Input LwA_XYZ'!$BV$1:$CJ$1,'Input LwA_XYZ'!BV41:CJ41)="","-",_xlfn.XLOOKUP(Tables!$L$602,'Input LwA_XYZ'!$BV$1:$CJ$1,'Input LwA_XYZ'!BV41:CJ41)))</f>
        <v/>
      </c>
      <c r="S642" s="91" t="str">
        <f>IF($N642="","",IF('Input LwA_XYZ'!S41="","-",'Input LwA_XYZ'!S41))</f>
        <v/>
      </c>
      <c r="T642" s="65" t="str">
        <f>IF($N642="","",_xlfn.XLOOKUP(Tables!$L$602,'Input LwA_XYZ'!$DD$1:$DR$1,'Input LwA_XYZ'!DD41:DR41))</f>
        <v/>
      </c>
    </row>
    <row r="643" spans="14:20" ht="16.5" x14ac:dyDescent="0.3">
      <c r="N643" s="190" t="str">
        <f>IF('Input LwA_XYZ'!A42 = 0, "", 'Input LwA_XYZ'!A42)</f>
        <v/>
      </c>
      <c r="O643" s="189" t="str">
        <f>IF($N643="","",_xlfn.TEXTJOIN(" - ",TRUE,'Input LwA_XYZ'!B42:C42))</f>
        <v/>
      </c>
      <c r="P643" s="64" t="str">
        <f>IF($N643="","",'Input LwA_XYZ'!Q42)</f>
        <v/>
      </c>
      <c r="Q643" s="91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91" t="str">
        <f>IF($N643="","",IF(_xlfn.XLOOKUP(Tables!$L$602,'Input LwA_XYZ'!$BV$1:$CJ$1,'Input LwA_XYZ'!BV42:CJ42)="","-",_xlfn.XLOOKUP(Tables!$L$602,'Input LwA_XYZ'!$BV$1:$CJ$1,'Input LwA_XYZ'!BV42:CJ42)))</f>
        <v/>
      </c>
      <c r="S643" s="91" t="str">
        <f>IF($N643="","",IF('Input LwA_XYZ'!S42="","-",'Input LwA_XYZ'!S42))</f>
        <v/>
      </c>
      <c r="T643" s="65" t="str">
        <f>IF($N643="","",_xlfn.XLOOKUP(Tables!$L$602,'Input LwA_XYZ'!$DD$1:$DR$1,'Input LwA_XYZ'!DD42:DR42))</f>
        <v/>
      </c>
    </row>
    <row r="644" spans="14:20" ht="16.5" x14ac:dyDescent="0.3">
      <c r="N644" s="190" t="str">
        <f>IF('Input LwA_XYZ'!A43 = 0, "", 'Input LwA_XYZ'!A43)</f>
        <v/>
      </c>
      <c r="O644" s="189" t="str">
        <f>IF($N644="","",_xlfn.TEXTJOIN(" - ",TRUE,'Input LwA_XYZ'!B43:C43))</f>
        <v/>
      </c>
      <c r="P644" s="64" t="str">
        <f>IF($N644="","",'Input LwA_XYZ'!Q43)</f>
        <v/>
      </c>
      <c r="Q644" s="91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91" t="str">
        <f>IF($N644="","",IF(_xlfn.XLOOKUP(Tables!$L$602,'Input LwA_XYZ'!$BV$1:$CJ$1,'Input LwA_XYZ'!BV43:CJ43)="","-",_xlfn.XLOOKUP(Tables!$L$602,'Input LwA_XYZ'!$BV$1:$CJ$1,'Input LwA_XYZ'!BV43:CJ43)))</f>
        <v/>
      </c>
      <c r="S644" s="91" t="str">
        <f>IF($N644="","",IF('Input LwA_XYZ'!S43="","-",'Input LwA_XYZ'!S43))</f>
        <v/>
      </c>
      <c r="T644" s="65" t="str">
        <f>IF($N644="","",_xlfn.XLOOKUP(Tables!$L$602,'Input LwA_XYZ'!$DD$1:$DR$1,'Input LwA_XYZ'!DD43:DR43))</f>
        <v/>
      </c>
    </row>
    <row r="645" spans="14:20" ht="16.5" x14ac:dyDescent="0.3">
      <c r="N645" s="190" t="str">
        <f>IF('Input LwA_XYZ'!A44 = 0, "", 'Input LwA_XYZ'!A44)</f>
        <v/>
      </c>
      <c r="O645" s="189" t="str">
        <f>IF($N645="","",_xlfn.TEXTJOIN(" - ",TRUE,'Input LwA_XYZ'!B44:C44))</f>
        <v/>
      </c>
      <c r="P645" s="64" t="str">
        <f>IF($N645="","",'Input LwA_XYZ'!Q44)</f>
        <v/>
      </c>
      <c r="Q645" s="91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91" t="str">
        <f>IF($N645="","",IF(_xlfn.XLOOKUP(Tables!$L$602,'Input LwA_XYZ'!$BV$1:$CJ$1,'Input LwA_XYZ'!BV44:CJ44)="","-",_xlfn.XLOOKUP(Tables!$L$602,'Input LwA_XYZ'!$BV$1:$CJ$1,'Input LwA_XYZ'!BV44:CJ44)))</f>
        <v/>
      </c>
      <c r="S645" s="91" t="str">
        <f>IF($N645="","",IF('Input LwA_XYZ'!S44="","-",'Input LwA_XYZ'!S44))</f>
        <v/>
      </c>
      <c r="T645" s="65" t="str">
        <f>IF($N645="","",_xlfn.XLOOKUP(Tables!$L$602,'Input LwA_XYZ'!$DD$1:$DR$1,'Input LwA_XYZ'!DD44:DR44))</f>
        <v/>
      </c>
    </row>
    <row r="646" spans="14:20" ht="16.5" x14ac:dyDescent="0.3">
      <c r="N646" s="190" t="str">
        <f>IF('Input LwA_XYZ'!A45 = 0, "", 'Input LwA_XYZ'!A45)</f>
        <v/>
      </c>
      <c r="O646" s="189" t="str">
        <f>IF($N646="","",_xlfn.TEXTJOIN(" - ",TRUE,'Input LwA_XYZ'!B45:C45))</f>
        <v/>
      </c>
      <c r="P646" s="64" t="str">
        <f>IF($N646="","",'Input LwA_XYZ'!Q45)</f>
        <v/>
      </c>
      <c r="Q646" s="91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91" t="str">
        <f>IF($N646="","",IF(_xlfn.XLOOKUP(Tables!$L$602,'Input LwA_XYZ'!$BV$1:$CJ$1,'Input LwA_XYZ'!BV45:CJ45)="","-",_xlfn.XLOOKUP(Tables!$L$602,'Input LwA_XYZ'!$BV$1:$CJ$1,'Input LwA_XYZ'!BV45:CJ45)))</f>
        <v/>
      </c>
      <c r="S646" s="91" t="str">
        <f>IF($N646="","",IF('Input LwA_XYZ'!S45="","-",'Input LwA_XYZ'!S45))</f>
        <v/>
      </c>
      <c r="T646" s="65" t="str">
        <f>IF($N646="","",_xlfn.XLOOKUP(Tables!$L$602,'Input LwA_XYZ'!$DD$1:$DR$1,'Input LwA_XYZ'!DD45:DR45))</f>
        <v/>
      </c>
    </row>
    <row r="647" spans="14:20" ht="16.5" x14ac:dyDescent="0.3">
      <c r="N647" s="190" t="str">
        <f>IF('Input LwA_XYZ'!A46 = 0, "", 'Input LwA_XYZ'!A46)</f>
        <v/>
      </c>
      <c r="O647" s="189" t="str">
        <f>IF($N647="","",_xlfn.TEXTJOIN(" - ",TRUE,'Input LwA_XYZ'!B46:C46))</f>
        <v/>
      </c>
      <c r="P647" s="64" t="str">
        <f>IF($N647="","",'Input LwA_XYZ'!Q46)</f>
        <v/>
      </c>
      <c r="Q647" s="91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91" t="str">
        <f>IF($N647="","",IF(_xlfn.XLOOKUP(Tables!$L$602,'Input LwA_XYZ'!$BV$1:$CJ$1,'Input LwA_XYZ'!BV46:CJ46)="","-",_xlfn.XLOOKUP(Tables!$L$602,'Input LwA_XYZ'!$BV$1:$CJ$1,'Input LwA_XYZ'!BV46:CJ46)))</f>
        <v/>
      </c>
      <c r="S647" s="91" t="str">
        <f>IF($N647="","",IF('Input LwA_XYZ'!S46="","-",'Input LwA_XYZ'!S46))</f>
        <v/>
      </c>
      <c r="T647" s="65" t="str">
        <f>IF($N647="","",_xlfn.XLOOKUP(Tables!$L$602,'Input LwA_XYZ'!$DD$1:$DR$1,'Input LwA_XYZ'!DD46:DR46))</f>
        <v/>
      </c>
    </row>
    <row r="648" spans="14:20" ht="16.5" x14ac:dyDescent="0.3">
      <c r="N648" s="190" t="str">
        <f>IF('Input LwA_XYZ'!A47 = 0, "", 'Input LwA_XYZ'!A47)</f>
        <v/>
      </c>
      <c r="O648" s="189" t="str">
        <f>IF($N648="","",_xlfn.TEXTJOIN(" - ",TRUE,'Input LwA_XYZ'!B47:C47))</f>
        <v/>
      </c>
      <c r="P648" s="64" t="str">
        <f>IF($N648="","",'Input LwA_XYZ'!Q47)</f>
        <v/>
      </c>
      <c r="Q648" s="91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91" t="str">
        <f>IF($N648="","",IF(_xlfn.XLOOKUP(Tables!$L$602,'Input LwA_XYZ'!$BV$1:$CJ$1,'Input LwA_XYZ'!BV47:CJ47)="","-",_xlfn.XLOOKUP(Tables!$L$602,'Input LwA_XYZ'!$BV$1:$CJ$1,'Input LwA_XYZ'!BV47:CJ47)))</f>
        <v/>
      </c>
      <c r="S648" s="91" t="str">
        <f>IF($N648="","",IF('Input LwA_XYZ'!S47="","-",'Input LwA_XYZ'!S47))</f>
        <v/>
      </c>
      <c r="T648" s="65" t="str">
        <f>IF($N648="","",_xlfn.XLOOKUP(Tables!$L$602,'Input LwA_XYZ'!$DD$1:$DR$1,'Input LwA_XYZ'!DD47:DR47))</f>
        <v/>
      </c>
    </row>
    <row r="649" spans="14:20" ht="16.5" x14ac:dyDescent="0.3">
      <c r="N649" s="190" t="str">
        <f>IF('Input LwA_XYZ'!A48 = 0, "", 'Input LwA_XYZ'!A48)</f>
        <v/>
      </c>
      <c r="O649" s="189" t="str">
        <f>IF($N649="","",_xlfn.TEXTJOIN(" - ",TRUE,'Input LwA_XYZ'!B48:C48))</f>
        <v/>
      </c>
      <c r="P649" s="64" t="str">
        <f>IF($N649="","",'Input LwA_XYZ'!Q48)</f>
        <v/>
      </c>
      <c r="Q649" s="91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91" t="str">
        <f>IF($N649="","",IF(_xlfn.XLOOKUP(Tables!$L$602,'Input LwA_XYZ'!$BV$1:$CJ$1,'Input LwA_XYZ'!BV48:CJ48)="","-",_xlfn.XLOOKUP(Tables!$L$602,'Input LwA_XYZ'!$BV$1:$CJ$1,'Input LwA_XYZ'!BV48:CJ48)))</f>
        <v/>
      </c>
      <c r="S649" s="91" t="str">
        <f>IF($N649="","",IF('Input LwA_XYZ'!S48="","-",'Input LwA_XYZ'!S48))</f>
        <v/>
      </c>
      <c r="T649" s="65" t="str">
        <f>IF($N649="","",_xlfn.XLOOKUP(Tables!$L$602,'Input LwA_XYZ'!$DD$1:$DR$1,'Input LwA_XYZ'!DD48:DR48))</f>
        <v/>
      </c>
    </row>
    <row r="650" spans="14:20" ht="16.5" x14ac:dyDescent="0.3">
      <c r="N650" s="190" t="str">
        <f>IF('Input LwA_XYZ'!A49 = 0, "", 'Input LwA_XYZ'!A49)</f>
        <v/>
      </c>
      <c r="O650" s="189" t="str">
        <f>IF($N650="","",_xlfn.TEXTJOIN(" - ",TRUE,'Input LwA_XYZ'!B49:C49))</f>
        <v/>
      </c>
      <c r="P650" s="64" t="str">
        <f>IF($N650="","",'Input LwA_XYZ'!Q49)</f>
        <v/>
      </c>
      <c r="Q650" s="91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91" t="str">
        <f>IF($N650="","",IF(_xlfn.XLOOKUP(Tables!$L$602,'Input LwA_XYZ'!$BV$1:$CJ$1,'Input LwA_XYZ'!BV49:CJ49)="","-",_xlfn.XLOOKUP(Tables!$L$602,'Input LwA_XYZ'!$BV$1:$CJ$1,'Input LwA_XYZ'!BV49:CJ49)))</f>
        <v/>
      </c>
      <c r="S650" s="91" t="str">
        <f>IF($N650="","",IF('Input LwA_XYZ'!S49="","-",'Input LwA_XYZ'!S49))</f>
        <v/>
      </c>
      <c r="T650" s="65" t="str">
        <f>IF($N650="","",_xlfn.XLOOKUP(Tables!$L$602,'Input LwA_XYZ'!$DD$1:$DR$1,'Input LwA_XYZ'!DD49:DR49))</f>
        <v/>
      </c>
    </row>
    <row r="651" spans="14:20" ht="16.5" x14ac:dyDescent="0.3">
      <c r="N651" s="190" t="str">
        <f>IF('Input LwA_XYZ'!A50 = 0, "", 'Input LwA_XYZ'!A50)</f>
        <v/>
      </c>
      <c r="O651" s="189" t="str">
        <f>IF($N651="","",_xlfn.TEXTJOIN(" - ",TRUE,'Input LwA_XYZ'!B50:C50))</f>
        <v/>
      </c>
      <c r="P651" s="64" t="str">
        <f>IF($N651="","",'Input LwA_XYZ'!Q50)</f>
        <v/>
      </c>
      <c r="Q651" s="91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91" t="str">
        <f>IF($N651="","",IF(_xlfn.XLOOKUP(Tables!$L$602,'Input LwA_XYZ'!$BV$1:$CJ$1,'Input LwA_XYZ'!BV50:CJ50)="","-",_xlfn.XLOOKUP(Tables!$L$602,'Input LwA_XYZ'!$BV$1:$CJ$1,'Input LwA_XYZ'!BV50:CJ50)))</f>
        <v/>
      </c>
      <c r="S651" s="91" t="str">
        <f>IF($N651="","",IF('Input LwA_XYZ'!S50="","-",'Input LwA_XYZ'!S50))</f>
        <v/>
      </c>
      <c r="T651" s="65" t="str">
        <f>IF($N651="","",_xlfn.XLOOKUP(Tables!$L$602,'Input LwA_XYZ'!$DD$1:$DR$1,'Input LwA_XYZ'!DD50:DR50))</f>
        <v/>
      </c>
    </row>
    <row r="652" spans="14:20" ht="16.5" x14ac:dyDescent="0.3">
      <c r="N652" s="190" t="str">
        <f>IF('Input LwA_XYZ'!A51 = 0, "", 'Input LwA_XYZ'!A51)</f>
        <v/>
      </c>
      <c r="O652" s="189" t="str">
        <f>IF($N652="","",_xlfn.TEXTJOIN(" - ",TRUE,'Input LwA_XYZ'!B51:C51))</f>
        <v/>
      </c>
      <c r="P652" s="64" t="str">
        <f>IF($N652="","",'Input LwA_XYZ'!Q51)</f>
        <v/>
      </c>
      <c r="Q652" s="91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91" t="str">
        <f>IF($N652="","",IF(_xlfn.XLOOKUP(Tables!$L$602,'Input LwA_XYZ'!$BV$1:$CJ$1,'Input LwA_XYZ'!BV51:CJ51)="","-",_xlfn.XLOOKUP(Tables!$L$602,'Input LwA_XYZ'!$BV$1:$CJ$1,'Input LwA_XYZ'!BV51:CJ51)))</f>
        <v/>
      </c>
      <c r="S652" s="91" t="str">
        <f>IF($N652="","",IF('Input LwA_XYZ'!S51="","-",'Input LwA_XYZ'!S51))</f>
        <v/>
      </c>
      <c r="T652" s="65" t="str">
        <f>IF($N652="","",_xlfn.XLOOKUP(Tables!$L$602,'Input LwA_XYZ'!$DD$1:$DR$1,'Input LwA_XYZ'!DD51:DR51))</f>
        <v/>
      </c>
    </row>
    <row r="653" spans="14:20" ht="16.5" x14ac:dyDescent="0.3">
      <c r="N653" s="190" t="str">
        <f>IF('Input LwA_XYZ'!A52 = 0, "", 'Input LwA_XYZ'!A52)</f>
        <v/>
      </c>
      <c r="O653" s="189" t="str">
        <f>IF($N653="","",_xlfn.TEXTJOIN(" - ",TRUE,'Input LwA_XYZ'!B52:C52))</f>
        <v/>
      </c>
      <c r="P653" s="64" t="str">
        <f>IF($N653="","",'Input LwA_XYZ'!Q52)</f>
        <v/>
      </c>
      <c r="Q653" s="91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91" t="str">
        <f>IF($N653="","",IF(_xlfn.XLOOKUP(Tables!$L$602,'Input LwA_XYZ'!$BV$1:$CJ$1,'Input LwA_XYZ'!BV52:CJ52)="","-",_xlfn.XLOOKUP(Tables!$L$602,'Input LwA_XYZ'!$BV$1:$CJ$1,'Input LwA_XYZ'!BV52:CJ52)))</f>
        <v/>
      </c>
      <c r="S653" s="91" t="str">
        <f>IF($N653="","",IF('Input LwA_XYZ'!S52="","-",'Input LwA_XYZ'!S52))</f>
        <v/>
      </c>
      <c r="T653" s="65" t="str">
        <f>IF($N653="","",_xlfn.XLOOKUP(Tables!$L$602,'Input LwA_XYZ'!$DD$1:$DR$1,'Input LwA_XYZ'!DD52:DR52))</f>
        <v/>
      </c>
    </row>
    <row r="654" spans="14:20" ht="16.5" x14ac:dyDescent="0.3">
      <c r="N654" s="190" t="str">
        <f>IF('Input LwA_XYZ'!A53 = 0, "", 'Input LwA_XYZ'!A53)</f>
        <v/>
      </c>
      <c r="O654" s="189" t="str">
        <f>IF($N654="","",_xlfn.TEXTJOIN(" - ",TRUE,'Input LwA_XYZ'!B53:C53))</f>
        <v/>
      </c>
      <c r="P654" s="64" t="str">
        <f>IF($N654="","",'Input LwA_XYZ'!Q53)</f>
        <v/>
      </c>
      <c r="Q654" s="91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91" t="str">
        <f>IF($N654="","",IF(_xlfn.XLOOKUP(Tables!$L$602,'Input LwA_XYZ'!$BV$1:$CJ$1,'Input LwA_XYZ'!BV53:CJ53)="","-",_xlfn.XLOOKUP(Tables!$L$602,'Input LwA_XYZ'!$BV$1:$CJ$1,'Input LwA_XYZ'!BV53:CJ53)))</f>
        <v/>
      </c>
      <c r="S654" s="91" t="str">
        <f>IF($N654="","",IF('Input LwA_XYZ'!S53="","-",'Input LwA_XYZ'!S53))</f>
        <v/>
      </c>
      <c r="T654" s="65" t="str">
        <f>IF($N654="","",_xlfn.XLOOKUP(Tables!$L$602,'Input LwA_XYZ'!$DD$1:$DR$1,'Input LwA_XYZ'!DD53:DR53))</f>
        <v/>
      </c>
    </row>
    <row r="655" spans="14:20" ht="16.5" x14ac:dyDescent="0.3">
      <c r="N655" s="190" t="str">
        <f>IF('Input LwA_XYZ'!A54 = 0, "", 'Input LwA_XYZ'!A54)</f>
        <v/>
      </c>
      <c r="O655" s="189" t="str">
        <f>IF($N655="","",_xlfn.TEXTJOIN(" - ",TRUE,'Input LwA_XYZ'!B54:C54))</f>
        <v/>
      </c>
      <c r="P655" s="64" t="str">
        <f>IF($N655="","",'Input LwA_XYZ'!Q54)</f>
        <v/>
      </c>
      <c r="Q655" s="91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91" t="str">
        <f>IF($N655="","",IF(_xlfn.XLOOKUP(Tables!$L$602,'Input LwA_XYZ'!$BV$1:$CJ$1,'Input LwA_XYZ'!BV54:CJ54)="","-",_xlfn.XLOOKUP(Tables!$L$602,'Input LwA_XYZ'!$BV$1:$CJ$1,'Input LwA_XYZ'!BV54:CJ54)))</f>
        <v/>
      </c>
      <c r="S655" s="91" t="str">
        <f>IF($N655="","",IF('Input LwA_XYZ'!S54="","-",'Input LwA_XYZ'!S54))</f>
        <v/>
      </c>
      <c r="T655" s="65" t="str">
        <f>IF($N655="","",_xlfn.XLOOKUP(Tables!$L$602,'Input LwA_XYZ'!$DD$1:$DR$1,'Input LwA_XYZ'!DD54:DR54))</f>
        <v/>
      </c>
    </row>
    <row r="656" spans="14:20" ht="16.5" x14ac:dyDescent="0.3">
      <c r="N656" s="190" t="str">
        <f>IF('Input LwA_XYZ'!A55 = 0, "", 'Input LwA_XYZ'!A55)</f>
        <v/>
      </c>
      <c r="O656" s="189" t="str">
        <f>IF($N656="","",_xlfn.TEXTJOIN(" - ",TRUE,'Input LwA_XYZ'!B55:C55))</f>
        <v/>
      </c>
      <c r="P656" s="64" t="str">
        <f>IF($N656="","",'Input LwA_XYZ'!Q55)</f>
        <v/>
      </c>
      <c r="Q656" s="91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91" t="str">
        <f>IF($N656="","",IF(_xlfn.XLOOKUP(Tables!$L$602,'Input LwA_XYZ'!$BV$1:$CJ$1,'Input LwA_XYZ'!BV55:CJ55)="","-",_xlfn.XLOOKUP(Tables!$L$602,'Input LwA_XYZ'!$BV$1:$CJ$1,'Input LwA_XYZ'!BV55:CJ55)))</f>
        <v/>
      </c>
      <c r="S656" s="91" t="str">
        <f>IF($N656="","",IF('Input LwA_XYZ'!S55="","-",'Input LwA_XYZ'!S55))</f>
        <v/>
      </c>
      <c r="T656" s="65" t="str">
        <f>IF($N656="","",_xlfn.XLOOKUP(Tables!$L$602,'Input LwA_XYZ'!$DD$1:$DR$1,'Input LwA_XYZ'!DD55:DR55))</f>
        <v/>
      </c>
    </row>
    <row r="657" spans="12:20" ht="16.5" x14ac:dyDescent="0.3">
      <c r="N657" s="190" t="str">
        <f>IF('Input LwA_XYZ'!A56 = 0, "", 'Input LwA_XYZ'!A56)</f>
        <v/>
      </c>
      <c r="O657" s="189" t="str">
        <f>IF($N657="","",_xlfn.TEXTJOIN(" - ",TRUE,'Input LwA_XYZ'!B56:C56))</f>
        <v/>
      </c>
      <c r="P657" s="64" t="str">
        <f>IF($N657="","",'Input LwA_XYZ'!Q56)</f>
        <v/>
      </c>
      <c r="Q657" s="91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91" t="str">
        <f>IF($N657="","",IF(_xlfn.XLOOKUP(Tables!$L$602,'Input LwA_XYZ'!$BV$1:$CJ$1,'Input LwA_XYZ'!BV56:CJ56)="","-",_xlfn.XLOOKUP(Tables!$L$602,'Input LwA_XYZ'!$BV$1:$CJ$1,'Input LwA_XYZ'!BV56:CJ56)))</f>
        <v/>
      </c>
      <c r="S657" s="91" t="str">
        <f>IF($N657="","",IF('Input LwA_XYZ'!S56="","-",'Input LwA_XYZ'!S56))</f>
        <v/>
      </c>
      <c r="T657" s="65" t="str">
        <f>IF($N657="","",_xlfn.XLOOKUP(Tables!$L$602,'Input LwA_XYZ'!$DD$1:$DR$1,'Input LwA_XYZ'!DD56:DR56))</f>
        <v/>
      </c>
    </row>
    <row r="658" spans="12:20" ht="16.5" x14ac:dyDescent="0.3">
      <c r="N658" s="190" t="str">
        <f>IF('Input LwA_XYZ'!A57 = 0, "", 'Input LwA_XYZ'!A57)</f>
        <v/>
      </c>
      <c r="O658" s="189" t="str">
        <f>IF($N658="","",_xlfn.TEXTJOIN(" - ",TRUE,'Input LwA_XYZ'!B57:C57))</f>
        <v/>
      </c>
      <c r="P658" s="64" t="str">
        <f>IF($N658="","",'Input LwA_XYZ'!Q57)</f>
        <v/>
      </c>
      <c r="Q658" s="91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91" t="str">
        <f>IF($N658="","",IF(_xlfn.XLOOKUP(Tables!$L$602,'Input LwA_XYZ'!$BV$1:$CJ$1,'Input LwA_XYZ'!BV57:CJ57)="","-",_xlfn.XLOOKUP(Tables!$L$602,'Input LwA_XYZ'!$BV$1:$CJ$1,'Input LwA_XYZ'!BV57:CJ57)))</f>
        <v/>
      </c>
      <c r="S658" s="91" t="str">
        <f>IF($N658="","",IF('Input LwA_XYZ'!S57="","-",'Input LwA_XYZ'!S57))</f>
        <v/>
      </c>
      <c r="T658" s="65" t="str">
        <f>IF($N658="","",_xlfn.XLOOKUP(Tables!$L$602,'Input LwA_XYZ'!$DD$1:$DR$1,'Input LwA_XYZ'!DD57:DR57))</f>
        <v/>
      </c>
    </row>
    <row r="659" spans="12:20" ht="17.25" thickBot="1" x14ac:dyDescent="0.35">
      <c r="N659" s="191" t="str">
        <f>IF('Input LwA_XYZ'!A58 = 0, "", 'Input LwA_XYZ'!A58)</f>
        <v/>
      </c>
      <c r="O659" s="192" t="str">
        <f>IF($N659="","",_xlfn.TEXTJOIN(" - ",TRUE,'Input LwA_XYZ'!B58:C58))</f>
        <v/>
      </c>
      <c r="P659" s="99" t="str">
        <f>IF($N659="","",'Input LwA_XYZ'!Q58)</f>
        <v/>
      </c>
      <c r="Q659" s="100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91" t="str">
        <f>IF($N659="","",IF(_xlfn.XLOOKUP(Tables!$L$602,'Input LwA_XYZ'!$BV$1:$CJ$1,'Input LwA_XYZ'!BV58:CJ58)="","-",_xlfn.XLOOKUP(Tables!$L$602,'Input LwA_XYZ'!$BV$1:$CJ$1,'Input LwA_XYZ'!BV58:CJ58)))</f>
        <v/>
      </c>
      <c r="S659" s="91" t="str">
        <f>IF($N659="","",IF('Input LwA_XYZ'!S58="","-",'Input LwA_XYZ'!S58))</f>
        <v/>
      </c>
      <c r="T659" s="66" t="str">
        <f>IF($N659="","",_xlfn.XLOOKUP(Tables!$L$602,'Input LwA_XYZ'!$DD$1:$DR$1,'Input LwA_XYZ'!DD58:DR58))</f>
        <v/>
      </c>
    </row>
    <row r="660" spans="12:20" ht="17.25" thickBot="1" x14ac:dyDescent="0.35">
      <c r="N660" s="101" t="s">
        <v>85</v>
      </c>
      <c r="O660" s="102"/>
      <c r="P660" s="102"/>
      <c r="Q660" s="102"/>
      <c r="R660" s="102"/>
      <c r="S660" s="103"/>
      <c r="T660" s="108" t="str">
        <f>_xlfn.XLOOKUP(Tables!$L$602,'Input LwA_XYZ'!$Z$2:$Z$16,'Input LwA_XYZ'!$AE$2:$AE$16)</f>
        <v/>
      </c>
    </row>
    <row r="661" spans="12:20" ht="15.75" thickBot="1" x14ac:dyDescent="0.3"/>
    <row r="662" spans="12:20" ht="33.75" thickBot="1" x14ac:dyDescent="0.35">
      <c r="L662" s="69" t="s">
        <v>250</v>
      </c>
      <c r="N662" s="93" t="s">
        <v>79</v>
      </c>
      <c r="O662" s="94" t="s">
        <v>80</v>
      </c>
      <c r="P662" s="95" t="s">
        <v>81</v>
      </c>
      <c r="Q662" s="95" t="s">
        <v>82</v>
      </c>
      <c r="R662" s="96" t="s">
        <v>83</v>
      </c>
      <c r="S662" s="97" t="s">
        <v>84</v>
      </c>
      <c r="T662" s="98" t="s">
        <v>78</v>
      </c>
    </row>
    <row r="663" spans="12:20" ht="16.5" x14ac:dyDescent="0.3">
      <c r="N663" s="188">
        <f>IF('Input LwA_XYZ'!A2 = 0, "", 'Input LwA_XYZ'!A2)</f>
        <v>1</v>
      </c>
      <c r="O663" s="189" t="str">
        <f>IF($N663="","",_xlfn.TEXTJOIN(" - ",TRUE,'Input LwA_XYZ'!B2:C2))</f>
        <v>MAU-R1 - Ducted Inlet</v>
      </c>
      <c r="P663" s="90">
        <f>IF($N663="","",'Input LwA_XYZ'!Q2)</f>
        <v>86</v>
      </c>
      <c r="Q663" s="91" t="str">
        <f>IF($N663="","",-1*ROUND(_xlfn.XLOOKUP(Tables!$L$662,'Input LwA_XYZ'!$AY$1:$BM$1,'Input LwA_XYZ'!AY2:BM2),0) &amp; " / " &amp; ROUND(_xlfn.XLOOKUP(Tables!$L$662,'Input LwA_XYZ'!$AH$1:$AV$1,'Input LwA_XYZ'!AH2:AV2),0) &amp; " ft")</f>
        <v>42 / 162 ft</v>
      </c>
      <c r="R663" s="91" t="str">
        <f>IF($N663="","",IF(_xlfn.XLOOKUP(Tables!$L$662,'Input LwA_XYZ'!$BV$1:$CJ$1,'Input LwA_XYZ'!BV2:CJ2)="","-",_xlfn.XLOOKUP(Tables!$L$662,'Input LwA_XYZ'!$BV$1:$CJ$1,'Input LwA_XYZ'!BV2:CJ2)))</f>
        <v>-</v>
      </c>
      <c r="S663" s="91" t="str">
        <f>IF($N663="","",IF('Input LwA_XYZ'!S2="","-",'Input LwA_XYZ'!S2))</f>
        <v>-</v>
      </c>
      <c r="T663" s="92">
        <f>IF($N663="","",_xlfn.XLOOKUP(Tables!$L$662,'Input LwA_XYZ'!$DD$1:$DR$1,'Input LwA_XYZ'!DD2:DR2))</f>
        <v>44.138152188324661</v>
      </c>
    </row>
    <row r="664" spans="12:20" ht="16.5" x14ac:dyDescent="0.3">
      <c r="N664" s="190">
        <f>IF('Input LwA_XYZ'!A3 = 0, "", 'Input LwA_XYZ'!A3)</f>
        <v>1</v>
      </c>
      <c r="O664" s="189" t="str">
        <f>IF($N664="","",_xlfn.TEXTJOIN(" - ",TRUE,'Input LwA_XYZ'!B3:C3))</f>
        <v>ERV-R.1 - Outdoor+Casing+Exhaust</v>
      </c>
      <c r="P664" s="64">
        <f>IF($N664="","",'Input LwA_XYZ'!Q3)</f>
        <v>91</v>
      </c>
      <c r="Q664" s="91" t="str">
        <f>IF($N664="","",-1*ROUND(_xlfn.XLOOKUP(Tables!$L$662,'Input LwA_XYZ'!$AY$1:$BM$1,'Input LwA_XYZ'!AY3:BM3),0) &amp; " / " &amp; ROUND(_xlfn.XLOOKUP(Tables!$L$662,'Input LwA_XYZ'!$AH$1:$AV$1,'Input LwA_XYZ'!AH3:AV3),0) &amp; " ft")</f>
        <v>44 / 209 ft</v>
      </c>
      <c r="R664" s="91" t="str">
        <f>IF($N664="","",IF(_xlfn.XLOOKUP(Tables!$L$662,'Input LwA_XYZ'!$BV$1:$CJ$1,'Input LwA_XYZ'!BV3:CJ3)="","-",_xlfn.XLOOKUP(Tables!$L$662,'Input LwA_XYZ'!$BV$1:$CJ$1,'Input LwA_XYZ'!BV3:CJ3)))</f>
        <v>-</v>
      </c>
      <c r="S664" s="91" t="str">
        <f>IF($N664="","",IF('Input LwA_XYZ'!S3="","-",'Input LwA_XYZ'!S3))</f>
        <v>-</v>
      </c>
      <c r="T664" s="65">
        <f>IF($N664="","",_xlfn.XLOOKUP(Tables!$L$662,'Input LwA_XYZ'!$DD$1:$DR$1,'Input LwA_XYZ'!DD3:DR3))</f>
        <v>46.916163500616804</v>
      </c>
    </row>
    <row r="665" spans="12:20" ht="16.5" x14ac:dyDescent="0.3">
      <c r="N665" s="190">
        <f>IF('Input LwA_XYZ'!A4 = 0, "", 'Input LwA_XYZ'!A4)</f>
        <v>1</v>
      </c>
      <c r="O665" s="189" t="str">
        <f>IF($N665="","",_xlfn.TEXTJOIN(" - ",TRUE,'Input LwA_XYZ'!B4:C4))</f>
        <v>GEF-R1  - Inlet (plus ductwork lined)</v>
      </c>
      <c r="P665" s="64">
        <f>IF($N665="","",'Input LwA_XYZ'!Q4)</f>
        <v>82</v>
      </c>
      <c r="Q665" s="91" t="str">
        <f>IF($N665="","",-1*ROUND(_xlfn.XLOOKUP(Tables!$L$662,'Input LwA_XYZ'!$AY$1:$BM$1,'Input LwA_XYZ'!AY4:BM4),0) &amp; " / " &amp; ROUND(_xlfn.XLOOKUP(Tables!$L$662,'Input LwA_XYZ'!$AH$1:$AV$1,'Input LwA_XYZ'!AH4:AV4),0) &amp; " ft")</f>
        <v>45 / 227 ft</v>
      </c>
      <c r="R665" s="91" t="str">
        <f>IF($N665="","",IF(_xlfn.XLOOKUP(Tables!$L$662,'Input LwA_XYZ'!$BV$1:$CJ$1,'Input LwA_XYZ'!BV4:CJ4)="","-",_xlfn.XLOOKUP(Tables!$L$662,'Input LwA_XYZ'!$BV$1:$CJ$1,'Input LwA_XYZ'!BV4:CJ4)))</f>
        <v>-</v>
      </c>
      <c r="S665" s="91">
        <f>IF($N665="","",IF('Input LwA_XYZ'!S4="","-",'Input LwA_XYZ'!S4))</f>
        <v>13</v>
      </c>
      <c r="T665" s="65">
        <f>IF($N665="","",_xlfn.XLOOKUP(Tables!$L$662,'Input LwA_XYZ'!$DD$1:$DR$1,'Input LwA_XYZ'!DD4:DR4))</f>
        <v>24.209702003731167</v>
      </c>
    </row>
    <row r="666" spans="12:20" ht="16.5" x14ac:dyDescent="0.3">
      <c r="N666" s="190">
        <f>IF('Input LwA_XYZ'!A5 = 0, "", 'Input LwA_XYZ'!A5)</f>
        <v>1</v>
      </c>
      <c r="O666" s="189" t="str">
        <f>IF($N666="","",_xlfn.TEXTJOIN(" - ",TRUE,'Input LwA_XYZ'!B5:C5))</f>
        <v>DEF-R1, R2 - Inlet</v>
      </c>
      <c r="P666" s="64">
        <f>IF($N666="","",'Input LwA_XYZ'!Q5)</f>
        <v>70</v>
      </c>
      <c r="Q666" s="91" t="str">
        <f>IF($N666="","",-1*ROUND(_xlfn.XLOOKUP(Tables!$L$662,'Input LwA_XYZ'!$AY$1:$BM$1,'Input LwA_XYZ'!AY5:BM5),0) &amp; " / " &amp; ROUND(_xlfn.XLOOKUP(Tables!$L$662,'Input LwA_XYZ'!$AH$1:$AV$1,'Input LwA_XYZ'!AH5:AV5),0) &amp; " ft")</f>
        <v>45 / 221 ft</v>
      </c>
      <c r="R666" s="91" t="str">
        <f>IF($N666="","",IF(_xlfn.XLOOKUP(Tables!$L$662,'Input LwA_XYZ'!$BV$1:$CJ$1,'Input LwA_XYZ'!BV5:CJ5)="","-",_xlfn.XLOOKUP(Tables!$L$662,'Input LwA_XYZ'!$BV$1:$CJ$1,'Input LwA_XYZ'!BV5:CJ5)))</f>
        <v>-</v>
      </c>
      <c r="S666" s="91" t="str">
        <f>IF($N666="","",IF('Input LwA_XYZ'!S5="","-",'Input LwA_XYZ'!S5))</f>
        <v>-</v>
      </c>
      <c r="T666" s="65">
        <f>IF($N666="","",_xlfn.XLOOKUP(Tables!$L$662,'Input LwA_XYZ'!$DD$1:$DR$1,'Input LwA_XYZ'!DD5:DR5))</f>
        <v>25.440965737971545</v>
      </c>
    </row>
    <row r="667" spans="12:20" ht="16.5" x14ac:dyDescent="0.3">
      <c r="N667" s="190">
        <f>IF('Input LwA_XYZ'!A6 = 0, "", 'Input LwA_XYZ'!A6)</f>
        <v>1</v>
      </c>
      <c r="O667" s="189" t="str">
        <f>IF($N667="","",_xlfn.TEXTJOIN(" - ",TRUE,'Input LwA_XYZ'!B6:C6))</f>
        <v>KEF-R1  - Inlet</v>
      </c>
      <c r="P667" s="64">
        <f>IF($N667="","",'Input LwA_XYZ'!Q6)</f>
        <v>80</v>
      </c>
      <c r="Q667" s="91" t="str">
        <f>IF($N667="","",-1*ROUND(_xlfn.XLOOKUP(Tables!$L$662,'Input LwA_XYZ'!$AY$1:$BM$1,'Input LwA_XYZ'!AY6:BM6),0) &amp; " / " &amp; ROUND(_xlfn.XLOOKUP(Tables!$L$662,'Input LwA_XYZ'!$AH$1:$AV$1,'Input LwA_XYZ'!AH6:AV6),0) &amp; " ft")</f>
        <v>41 / 143 ft</v>
      </c>
      <c r="R667" s="91" t="str">
        <f>IF($N667="","",IF(_xlfn.XLOOKUP(Tables!$L$662,'Input LwA_XYZ'!$BV$1:$CJ$1,'Input LwA_XYZ'!BV6:CJ6)="","-",_xlfn.XLOOKUP(Tables!$L$662,'Input LwA_XYZ'!$BV$1:$CJ$1,'Input LwA_XYZ'!BV6:CJ6)))</f>
        <v>-</v>
      </c>
      <c r="S667" s="91" t="str">
        <f>IF($N667="","",IF('Input LwA_XYZ'!S6="","-",'Input LwA_XYZ'!S6))</f>
        <v>-</v>
      </c>
      <c r="T667" s="65">
        <f>IF($N667="","",_xlfn.XLOOKUP(Tables!$L$662,'Input LwA_XYZ'!$DD$1:$DR$1,'Input LwA_XYZ'!DD6:DR6))</f>
        <v>39.206517993449772</v>
      </c>
    </row>
    <row r="668" spans="12:20" ht="16.5" x14ac:dyDescent="0.3">
      <c r="N668" s="190">
        <f>IF('Input LwA_XYZ'!A7 = 0, "", 'Input LwA_XYZ'!A7)</f>
        <v>1</v>
      </c>
      <c r="O668" s="189" t="str">
        <f>IF($N668="","",_xlfn.TEXTJOIN(" - ",TRUE,'Input LwA_XYZ'!B7:C7))</f>
        <v>DWEF-R1 - Inlet</v>
      </c>
      <c r="P668" s="64">
        <f>IF($N668="","",'Input LwA_XYZ'!Q7)</f>
        <v>71</v>
      </c>
      <c r="Q668" s="91" t="str">
        <f>IF($N668="","",-1*ROUND(_xlfn.XLOOKUP(Tables!$L$662,'Input LwA_XYZ'!$AY$1:$BM$1,'Input LwA_XYZ'!AY7:BM7),0) &amp; " / " &amp; ROUND(_xlfn.XLOOKUP(Tables!$L$662,'Input LwA_XYZ'!$AH$1:$AV$1,'Input LwA_XYZ'!AH7:AV7),0) &amp; " ft")</f>
        <v>41 / 153 ft</v>
      </c>
      <c r="R668" s="91" t="str">
        <f>IF($N668="","",IF(_xlfn.XLOOKUP(Tables!$L$662,'Input LwA_XYZ'!$BV$1:$CJ$1,'Input LwA_XYZ'!BV7:CJ7)="","-",_xlfn.XLOOKUP(Tables!$L$662,'Input LwA_XYZ'!$BV$1:$CJ$1,'Input LwA_XYZ'!BV7:CJ7)))</f>
        <v>-</v>
      </c>
      <c r="S668" s="91" t="str">
        <f>IF($N668="","",IF('Input LwA_XYZ'!S7="","-",'Input LwA_XYZ'!S7))</f>
        <v>-</v>
      </c>
      <c r="T668" s="65">
        <f>IF($N668="","",_xlfn.XLOOKUP(Tables!$L$662,'Input LwA_XYZ'!$DD$1:$DR$1,'Input LwA_XYZ'!DD7:DR7))</f>
        <v>29.624386760746141</v>
      </c>
    </row>
    <row r="669" spans="12:20" ht="16.5" x14ac:dyDescent="0.3">
      <c r="N669" s="190">
        <f>IF('Input LwA_XYZ'!A8 = 0, "", 'Input LwA_XYZ'!A8)</f>
        <v>1</v>
      </c>
      <c r="O669" s="189" t="str">
        <f>IF($N669="","",_xlfn.TEXTJOIN(" - ",TRUE,'Input LwA_XYZ'!B8:C8))</f>
        <v>CU-R1 - Radiated</v>
      </c>
      <c r="P669" s="64">
        <f>IF($N669="","",'Input LwA_XYZ'!Q8)</f>
        <v>84</v>
      </c>
      <c r="Q669" s="91" t="str">
        <f>IF($N669="","",-1*ROUND(_xlfn.XLOOKUP(Tables!$L$662,'Input LwA_XYZ'!$AY$1:$BM$1,'Input LwA_XYZ'!AY8:BM8),0) &amp; " / " &amp; ROUND(_xlfn.XLOOKUP(Tables!$L$662,'Input LwA_XYZ'!$AH$1:$AV$1,'Input LwA_XYZ'!AH8:AV8),0) &amp; " ft")</f>
        <v>43 / 196 ft</v>
      </c>
      <c r="R669" s="91" t="str">
        <f>IF($N669="","",IF(_xlfn.XLOOKUP(Tables!$L$662,'Input LwA_XYZ'!$BV$1:$CJ$1,'Input LwA_XYZ'!BV8:CJ8)="","-",_xlfn.XLOOKUP(Tables!$L$662,'Input LwA_XYZ'!$BV$1:$CJ$1,'Input LwA_XYZ'!BV8:CJ8)))</f>
        <v>-</v>
      </c>
      <c r="S669" s="91" t="str">
        <f>IF($N669="","",IF('Input LwA_XYZ'!S8="","-",'Input LwA_XYZ'!S8))</f>
        <v>-</v>
      </c>
      <c r="T669" s="65">
        <f>IF($N669="","",_xlfn.XLOOKUP(Tables!$L$662,'Input LwA_XYZ'!$DD$1:$DR$1,'Input LwA_XYZ'!DD8:DR8))</f>
        <v>40.502360776769571</v>
      </c>
    </row>
    <row r="670" spans="12:20" ht="16.5" x14ac:dyDescent="0.3">
      <c r="N670" s="190">
        <f>IF('Input LwA_XYZ'!A9 = 0, "", 'Input LwA_XYZ'!A9)</f>
        <v>1</v>
      </c>
      <c r="O670" s="189" t="str">
        <f>IF($N670="","",_xlfn.TEXTJOIN(" - ",TRUE,'Input LwA_XYZ'!B9:C9))</f>
        <v>CU-R2 - Radiated</v>
      </c>
      <c r="P670" s="64">
        <f>IF($N670="","",'Input LwA_XYZ'!Q9)</f>
        <v>81</v>
      </c>
      <c r="Q670" s="91" t="str">
        <f>IF($N670="","",-1*ROUND(_xlfn.XLOOKUP(Tables!$L$662,'Input LwA_XYZ'!$AY$1:$BM$1,'Input LwA_XYZ'!AY9:BM9),0) &amp; " / " &amp; ROUND(_xlfn.XLOOKUP(Tables!$L$662,'Input LwA_XYZ'!$AH$1:$AV$1,'Input LwA_XYZ'!AH9:AV9),0) &amp; " ft")</f>
        <v>43 / 191 ft</v>
      </c>
      <c r="R670" s="91" t="str">
        <f>IF($N670="","",IF(_xlfn.XLOOKUP(Tables!$L$662,'Input LwA_XYZ'!$BV$1:$CJ$1,'Input LwA_XYZ'!BV9:CJ9)="","-",_xlfn.XLOOKUP(Tables!$L$662,'Input LwA_XYZ'!$BV$1:$CJ$1,'Input LwA_XYZ'!BV9:CJ9)))</f>
        <v>-</v>
      </c>
      <c r="S670" s="91" t="str">
        <f>IF($N670="","",IF('Input LwA_XYZ'!S9="","-",'Input LwA_XYZ'!S9))</f>
        <v>-</v>
      </c>
      <c r="T670" s="65">
        <f>IF($N670="","",_xlfn.XLOOKUP(Tables!$L$662,'Input LwA_XYZ'!$DD$1:$DR$1,'Input LwA_XYZ'!DD9:DR9))</f>
        <v>37.707259956290457</v>
      </c>
    </row>
    <row r="671" spans="12:20" ht="16.5" x14ac:dyDescent="0.3">
      <c r="N671" s="190">
        <f>IF('Input LwA_XYZ'!A10 = 0, "", 'Input LwA_XYZ'!A10)</f>
        <v>1</v>
      </c>
      <c r="O671" s="189" t="str">
        <f>IF($N671="","",_xlfn.TEXTJOIN(" - ",TRUE,'Input LwA_XYZ'!B10:C10))</f>
        <v>CU-R4 - Radiated</v>
      </c>
      <c r="P671" s="64">
        <f>IF($N671="","",'Input LwA_XYZ'!Q10)</f>
        <v>73</v>
      </c>
      <c r="Q671" s="91" t="str">
        <f>IF($N671="","",-1*ROUND(_xlfn.XLOOKUP(Tables!$L$662,'Input LwA_XYZ'!$AY$1:$BM$1,'Input LwA_XYZ'!AY10:BM10),0) &amp; " / " &amp; ROUND(_xlfn.XLOOKUP(Tables!$L$662,'Input LwA_XYZ'!$AH$1:$AV$1,'Input LwA_XYZ'!AH10:AV10),0) &amp; " ft")</f>
        <v>44 / 203 ft</v>
      </c>
      <c r="R671" s="91" t="str">
        <f>IF($N671="","",IF(_xlfn.XLOOKUP(Tables!$L$662,'Input LwA_XYZ'!$BV$1:$CJ$1,'Input LwA_XYZ'!BV10:CJ10)="","-",_xlfn.XLOOKUP(Tables!$L$662,'Input LwA_XYZ'!$BV$1:$CJ$1,'Input LwA_XYZ'!BV10:CJ10)))</f>
        <v>-</v>
      </c>
      <c r="S671" s="91" t="str">
        <f>IF($N671="","",IF('Input LwA_XYZ'!S10="","-",'Input LwA_XYZ'!S10))</f>
        <v>-</v>
      </c>
      <c r="T671" s="65">
        <f>IF($N671="","",_xlfn.XLOOKUP(Tables!$L$662,'Input LwA_XYZ'!$DD$1:$DR$1,'Input LwA_XYZ'!DD10:DR10))</f>
        <v>29.203095283617799</v>
      </c>
    </row>
    <row r="672" spans="12:20" ht="16.5" x14ac:dyDescent="0.3">
      <c r="N672" s="190">
        <f>IF('Input LwA_XYZ'!A11 = 0, "", 'Input LwA_XYZ'!A11)</f>
        <v>1</v>
      </c>
      <c r="O672" s="189" t="str">
        <f>IF($N672="","",_xlfn.TEXTJOIN(" - ",TRUE,'Input LwA_XYZ'!B11:C11))</f>
        <v>CU-R5 - Radiated</v>
      </c>
      <c r="P672" s="64">
        <f>IF($N672="","",'Input LwA_XYZ'!Q11)</f>
        <v>75</v>
      </c>
      <c r="Q672" s="91" t="str">
        <f>IF($N672="","",-1*ROUND(_xlfn.XLOOKUP(Tables!$L$662,'Input LwA_XYZ'!$AY$1:$BM$1,'Input LwA_XYZ'!AY11:BM11),0) &amp; " / " &amp; ROUND(_xlfn.XLOOKUP(Tables!$L$662,'Input LwA_XYZ'!$AH$1:$AV$1,'Input LwA_XYZ'!AH11:AV11),0) &amp; " ft")</f>
        <v>42 / 171 ft</v>
      </c>
      <c r="R672" s="91" t="str">
        <f>IF($N672="","",IF(_xlfn.XLOOKUP(Tables!$L$662,'Input LwA_XYZ'!$BV$1:$CJ$1,'Input LwA_XYZ'!BV11:CJ11)="","-",_xlfn.XLOOKUP(Tables!$L$662,'Input LwA_XYZ'!$BV$1:$CJ$1,'Input LwA_XYZ'!BV11:CJ11)))</f>
        <v>-</v>
      </c>
      <c r="S672" s="91" t="str">
        <f>IF($N672="","",IF('Input LwA_XYZ'!S11="","-",'Input LwA_XYZ'!S11))</f>
        <v>-</v>
      </c>
      <c r="T672" s="65">
        <f>IF($N672="","",_xlfn.XLOOKUP(Tables!$L$662,'Input LwA_XYZ'!$DD$1:$DR$1,'Input LwA_XYZ'!DD11:DR11))</f>
        <v>32.671354572324766</v>
      </c>
    </row>
    <row r="673" spans="14:20" ht="16.5" x14ac:dyDescent="0.3">
      <c r="N673" s="190">
        <f>IF('Input LwA_XYZ'!A12 = 0, "", 'Input LwA_XYZ'!A12)</f>
        <v>4</v>
      </c>
      <c r="O673" s="189" t="str">
        <f>IF($N673="","",_xlfn.TEXTJOIN(" - ",TRUE,'Input LwA_XYZ'!B12:C12))</f>
        <v>RCU-R(4p)1 - Radiated</v>
      </c>
      <c r="P673" s="64">
        <f>IF($N673="","",'Input LwA_XYZ'!Q12)</f>
        <v>79.020599913279625</v>
      </c>
      <c r="Q673" s="91" t="str">
        <f>IF($N673="","",-1*ROUND(_xlfn.XLOOKUP(Tables!$L$662,'Input LwA_XYZ'!$AY$1:$BM$1,'Input LwA_XYZ'!AY12:BM12),0) &amp; " / " &amp; ROUND(_xlfn.XLOOKUP(Tables!$L$662,'Input LwA_XYZ'!$AH$1:$AV$1,'Input LwA_XYZ'!AH12:AV12),0) &amp; " ft")</f>
        <v>45 / 246 ft</v>
      </c>
      <c r="R673" s="91" t="str">
        <f>IF($N673="","",IF(_xlfn.XLOOKUP(Tables!$L$662,'Input LwA_XYZ'!$BV$1:$CJ$1,'Input LwA_XYZ'!BV12:CJ12)="","-",_xlfn.XLOOKUP(Tables!$L$662,'Input LwA_XYZ'!$BV$1:$CJ$1,'Input LwA_XYZ'!BV12:CJ12)))</f>
        <v>-</v>
      </c>
      <c r="S673" s="91" t="str">
        <f>IF($N673="","",IF('Input LwA_XYZ'!S12="","-",'Input LwA_XYZ'!S12))</f>
        <v>-</v>
      </c>
      <c r="T673" s="65">
        <f>IF($N673="","",_xlfn.XLOOKUP(Tables!$L$662,'Input LwA_XYZ'!$DD$1:$DR$1,'Input LwA_XYZ'!DD12:DR12))</f>
        <v>33.536483243585444</v>
      </c>
    </row>
    <row r="674" spans="14:20" ht="16.5" x14ac:dyDescent="0.3">
      <c r="N674" s="190">
        <f>IF('Input LwA_XYZ'!A13 = 0, "", 'Input LwA_XYZ'!A13)</f>
        <v>4</v>
      </c>
      <c r="O674" s="189" t="str">
        <f>IF($N674="","",_xlfn.TEXTJOIN(" - ",TRUE,'Input LwA_XYZ'!B13:C13))</f>
        <v>RCU-R(4p)2 - Radiated</v>
      </c>
      <c r="P674" s="64">
        <f>IF($N674="","",'Input LwA_XYZ'!Q13)</f>
        <v>79.020599913279625</v>
      </c>
      <c r="Q674" s="91" t="str">
        <f>IF($N674="","",-1*ROUND(_xlfn.XLOOKUP(Tables!$L$662,'Input LwA_XYZ'!$AY$1:$BM$1,'Input LwA_XYZ'!AY13:BM13),0) &amp; " / " &amp; ROUND(_xlfn.XLOOKUP(Tables!$L$662,'Input LwA_XYZ'!$AH$1:$AV$1,'Input LwA_XYZ'!AH13:AV13),0) &amp; " ft")</f>
        <v>45 / 230 ft</v>
      </c>
      <c r="R674" s="91" t="str">
        <f>IF($N674="","",IF(_xlfn.XLOOKUP(Tables!$L$662,'Input LwA_XYZ'!$BV$1:$CJ$1,'Input LwA_XYZ'!BV13:CJ13)="","-",_xlfn.XLOOKUP(Tables!$L$662,'Input LwA_XYZ'!$BV$1:$CJ$1,'Input LwA_XYZ'!BV13:CJ13)))</f>
        <v>-</v>
      </c>
      <c r="S674" s="91" t="str">
        <f>IF($N674="","",IF('Input LwA_XYZ'!S13="","-",'Input LwA_XYZ'!S13))</f>
        <v>-</v>
      </c>
      <c r="T674" s="65">
        <f>IF($N674="","",_xlfn.XLOOKUP(Tables!$L$662,'Input LwA_XYZ'!$DD$1:$DR$1,'Input LwA_XYZ'!DD13:DR13))</f>
        <v>34.11378069640692</v>
      </c>
    </row>
    <row r="675" spans="14:20" ht="16.5" x14ac:dyDescent="0.3">
      <c r="N675" s="190">
        <f>IF('Input LwA_XYZ'!A14 = 0, "", 'Input LwA_XYZ'!A14)</f>
        <v>4</v>
      </c>
      <c r="O675" s="189" t="str">
        <f>IF($N675="","",_xlfn.TEXTJOIN(" - ",TRUE,'Input LwA_XYZ'!B14:C14))</f>
        <v>RCU-R(4p)3 - Radiated</v>
      </c>
      <c r="P675" s="64">
        <f>IF($N675="","",'Input LwA_XYZ'!Q14)</f>
        <v>79.020599913279625</v>
      </c>
      <c r="Q675" s="91" t="str">
        <f>IF($N675="","",-1*ROUND(_xlfn.XLOOKUP(Tables!$L$662,'Input LwA_XYZ'!$AY$1:$BM$1,'Input LwA_XYZ'!AY14:BM14),0) &amp; " / " &amp; ROUND(_xlfn.XLOOKUP(Tables!$L$662,'Input LwA_XYZ'!$AH$1:$AV$1,'Input LwA_XYZ'!AH14:AV14),0) &amp; " ft")</f>
        <v>44 / 202 ft</v>
      </c>
      <c r="R675" s="91" t="str">
        <f>IF($N675="","",IF(_xlfn.XLOOKUP(Tables!$L$662,'Input LwA_XYZ'!$BV$1:$CJ$1,'Input LwA_XYZ'!BV14:CJ14)="","-",_xlfn.XLOOKUP(Tables!$L$662,'Input LwA_XYZ'!$BV$1:$CJ$1,'Input LwA_XYZ'!BV14:CJ14)))</f>
        <v>-</v>
      </c>
      <c r="S675" s="91" t="str">
        <f>IF($N675="","",IF('Input LwA_XYZ'!S14="","-",'Input LwA_XYZ'!S14))</f>
        <v>-</v>
      </c>
      <c r="T675" s="65">
        <f>IF($N675="","",_xlfn.XLOOKUP(Tables!$L$662,'Input LwA_XYZ'!$DD$1:$DR$1,'Input LwA_XYZ'!DD14:DR14))</f>
        <v>35.252575662003203</v>
      </c>
    </row>
    <row r="676" spans="14:20" ht="16.5" x14ac:dyDescent="0.3">
      <c r="N676" s="190">
        <f>IF('Input LwA_XYZ'!A15 = 0, "", 'Input LwA_XYZ'!A15)</f>
        <v>2</v>
      </c>
      <c r="O676" s="189" t="str">
        <f>IF($N676="","",_xlfn.TEXTJOIN(" - ",TRUE,'Input LwA_XYZ'!B15:C15))</f>
        <v>RCU-R(2p) - Radiated</v>
      </c>
      <c r="P676" s="64">
        <f>IF($N676="","",'Input LwA_XYZ'!Q15)</f>
        <v>76.010299956639813</v>
      </c>
      <c r="Q676" s="91" t="str">
        <f>IF($N676="","",-1*ROUND(_xlfn.XLOOKUP(Tables!$L$662,'Input LwA_XYZ'!$AY$1:$BM$1,'Input LwA_XYZ'!AY15:BM15),0) &amp; " / " &amp; ROUND(_xlfn.XLOOKUP(Tables!$L$662,'Input LwA_XYZ'!$AH$1:$AV$1,'Input LwA_XYZ'!AH15:AV15),0) &amp; " ft")</f>
        <v>43 / 190 ft</v>
      </c>
      <c r="R676" s="91" t="str">
        <f>IF($N676="","",IF(_xlfn.XLOOKUP(Tables!$L$662,'Input LwA_XYZ'!$BV$1:$CJ$1,'Input LwA_XYZ'!BV15:CJ15)="","-",_xlfn.XLOOKUP(Tables!$L$662,'Input LwA_XYZ'!$BV$1:$CJ$1,'Input LwA_XYZ'!BV15:CJ15)))</f>
        <v>-</v>
      </c>
      <c r="S676" s="91" t="str">
        <f>IF($N676="","",IF('Input LwA_XYZ'!S15="","-",'Input LwA_XYZ'!S15))</f>
        <v>-</v>
      </c>
      <c r="T676" s="65">
        <f>IF($N676="","",_xlfn.XLOOKUP(Tables!$L$662,'Input LwA_XYZ'!$DD$1:$DR$1,'Input LwA_XYZ'!DD15:DR15))</f>
        <v>32.752216308610215</v>
      </c>
    </row>
    <row r="677" spans="14:20" ht="16.5" x14ac:dyDescent="0.3">
      <c r="N677" s="190">
        <f>IF('Input LwA_XYZ'!A16 = 0, "", 'Input LwA_XYZ'!A16)</f>
        <v>2</v>
      </c>
      <c r="O677" s="189" t="str">
        <f>IF($N677="","",_xlfn.TEXTJOIN(" - ",TRUE,'Input LwA_XYZ'!B16:C16))</f>
        <v>RCU-R(2p)1 - Radiated</v>
      </c>
      <c r="P677" s="64">
        <f>IF($N677="","",'Input LwA_XYZ'!Q16)</f>
        <v>76.010299956639813</v>
      </c>
      <c r="Q677" s="91" t="str">
        <f>IF($N677="","",-1*ROUND(_xlfn.XLOOKUP(Tables!$L$662,'Input LwA_XYZ'!$AY$1:$BM$1,'Input LwA_XYZ'!AY16:BM16),0) &amp; " / " &amp; ROUND(_xlfn.XLOOKUP(Tables!$L$662,'Input LwA_XYZ'!$AH$1:$AV$1,'Input LwA_XYZ'!AH16:AV16),0) &amp; " ft")</f>
        <v>42 / 168 ft</v>
      </c>
      <c r="R677" s="91" t="str">
        <f>IF($N677="","",IF(_xlfn.XLOOKUP(Tables!$L$662,'Input LwA_XYZ'!$BV$1:$CJ$1,'Input LwA_XYZ'!BV16:CJ16)="","-",_xlfn.XLOOKUP(Tables!$L$662,'Input LwA_XYZ'!$BV$1:$CJ$1,'Input LwA_XYZ'!BV16:CJ16)))</f>
        <v>-</v>
      </c>
      <c r="S677" s="91" t="str">
        <f>IF($N677="","",IF('Input LwA_XYZ'!S16="","-",'Input LwA_XYZ'!S16))</f>
        <v>-</v>
      </c>
      <c r="T677" s="65">
        <f>IF($N677="","",_xlfn.XLOOKUP(Tables!$L$662,'Input LwA_XYZ'!$DD$1:$DR$1,'Input LwA_XYZ'!DD16:DR16))</f>
        <v>33.834137407946159</v>
      </c>
    </row>
    <row r="678" spans="14:20" ht="16.5" x14ac:dyDescent="0.3">
      <c r="N678" s="190">
        <f>IF('Input LwA_XYZ'!A17 = 0, "", 'Input LwA_XYZ'!A17)</f>
        <v>4</v>
      </c>
      <c r="O678" s="189" t="str">
        <f>IF($N678="","",_xlfn.TEXTJOIN(" - ",TRUE,'Input LwA_XYZ'!B17:C17))</f>
        <v>RCU-R(4p)4 - Radiated</v>
      </c>
      <c r="P678" s="64">
        <f>IF($N678="","",'Input LwA_XYZ'!Q17)</f>
        <v>79.020599913279625</v>
      </c>
      <c r="Q678" s="91" t="str">
        <f>IF($N678="","",-1*ROUND(_xlfn.XLOOKUP(Tables!$L$662,'Input LwA_XYZ'!$AY$1:$BM$1,'Input LwA_XYZ'!AY17:BM17),0) &amp; " / " &amp; ROUND(_xlfn.XLOOKUP(Tables!$L$662,'Input LwA_XYZ'!$AH$1:$AV$1,'Input LwA_XYZ'!AH17:AV17),0) &amp; " ft")</f>
        <v>41 / 147 ft</v>
      </c>
      <c r="R678" s="91" t="str">
        <f>IF($N678="","",IF(_xlfn.XLOOKUP(Tables!$L$662,'Input LwA_XYZ'!$BV$1:$CJ$1,'Input LwA_XYZ'!BV17:CJ17)="","-",_xlfn.XLOOKUP(Tables!$L$662,'Input LwA_XYZ'!$BV$1:$CJ$1,'Input LwA_XYZ'!BV17:CJ17)))</f>
        <v>-</v>
      </c>
      <c r="S678" s="91" t="str">
        <f>IF($N678="","",IF('Input LwA_XYZ'!S17="","-",'Input LwA_XYZ'!S17))</f>
        <v>-</v>
      </c>
      <c r="T678" s="65">
        <f>IF($N678="","",_xlfn.XLOOKUP(Tables!$L$662,'Input LwA_XYZ'!$DD$1:$DR$1,'Input LwA_XYZ'!DD17:DR17))</f>
        <v>38.039918717943372</v>
      </c>
    </row>
    <row r="679" spans="14:20" ht="16.5" x14ac:dyDescent="0.3">
      <c r="N679" s="190">
        <f>IF('Input LwA_XYZ'!A18 = 0, "", 'Input LwA_XYZ'!A18)</f>
        <v>2</v>
      </c>
      <c r="O679" s="189" t="str">
        <f>IF($N679="","",_xlfn.TEXTJOIN(" - ",TRUE,'Input LwA_XYZ'!B18:C18))</f>
        <v>RCU-R(2p)2 - Radiated</v>
      </c>
      <c r="P679" s="64">
        <f>IF($N679="","",'Input LwA_XYZ'!Q18)</f>
        <v>76.010299956639813</v>
      </c>
      <c r="Q679" s="91" t="str">
        <f>IF($N679="","",-1*ROUND(_xlfn.XLOOKUP(Tables!$L$662,'Input LwA_XYZ'!$AY$1:$BM$1,'Input LwA_XYZ'!AY18:BM18),0) &amp; " / " &amp; ROUND(_xlfn.XLOOKUP(Tables!$L$662,'Input LwA_XYZ'!$AH$1:$AV$1,'Input LwA_XYZ'!AH18:AV18),0) &amp; " ft")</f>
        <v>41 / 153 ft</v>
      </c>
      <c r="R679" s="91" t="str">
        <f>IF($N679="","",IF(_xlfn.XLOOKUP(Tables!$L$662,'Input LwA_XYZ'!$BV$1:$CJ$1,'Input LwA_XYZ'!BV18:CJ18)="","-",_xlfn.XLOOKUP(Tables!$L$662,'Input LwA_XYZ'!$BV$1:$CJ$1,'Input LwA_XYZ'!BV18:CJ18)))</f>
        <v>-</v>
      </c>
      <c r="S679" s="91" t="str">
        <f>IF($N679="","",IF('Input LwA_XYZ'!S18="","-",'Input LwA_XYZ'!S18))</f>
        <v>-</v>
      </c>
      <c r="T679" s="65">
        <f>IF($N679="","",_xlfn.XLOOKUP(Tables!$L$662,'Input LwA_XYZ'!$DD$1:$DR$1,'Input LwA_XYZ'!DD18:DR18))</f>
        <v>34.626203151341301</v>
      </c>
    </row>
    <row r="680" spans="14:20" ht="16.5" x14ac:dyDescent="0.3">
      <c r="N680" s="190">
        <f>IF('Input LwA_XYZ'!A19 = 0, "", 'Input LwA_XYZ'!A19)</f>
        <v>2</v>
      </c>
      <c r="O680" s="189" t="str">
        <f>IF($N680="","",_xlfn.TEXTJOIN(" - ",TRUE,'Input LwA_XYZ'!B19:C19))</f>
        <v>RCU-R(2p)3 - Radiated</v>
      </c>
      <c r="P680" s="64">
        <f>IF($N680="","",'Input LwA_XYZ'!Q19)</f>
        <v>76.010299956639813</v>
      </c>
      <c r="Q680" s="91" t="str">
        <f>IF($N680="","",-1*ROUND(_xlfn.XLOOKUP(Tables!$L$662,'Input LwA_XYZ'!$AY$1:$BM$1,'Input LwA_XYZ'!AY19:BM19),0) &amp; " / " &amp; ROUND(_xlfn.XLOOKUP(Tables!$L$662,'Input LwA_XYZ'!$AH$1:$AV$1,'Input LwA_XYZ'!AH19:AV19),0) &amp; " ft")</f>
        <v>42 / 174 ft</v>
      </c>
      <c r="R680" s="91" t="str">
        <f>IF($N680="","",IF(_xlfn.XLOOKUP(Tables!$L$662,'Input LwA_XYZ'!$BV$1:$CJ$1,'Input LwA_XYZ'!BV19:CJ19)="","-",_xlfn.XLOOKUP(Tables!$L$662,'Input LwA_XYZ'!$BV$1:$CJ$1,'Input LwA_XYZ'!BV19:CJ19)))</f>
        <v>-</v>
      </c>
      <c r="S680" s="91" t="str">
        <f>IF($N680="","",IF('Input LwA_XYZ'!S19="","-",'Input LwA_XYZ'!S19))</f>
        <v>-</v>
      </c>
      <c r="T680" s="65">
        <f>IF($N680="","",_xlfn.XLOOKUP(Tables!$L$662,'Input LwA_XYZ'!$DD$1:$DR$1,'Input LwA_XYZ'!DD19:DR19))</f>
        <v>33.531132173351168</v>
      </c>
    </row>
    <row r="681" spans="14:20" ht="16.5" x14ac:dyDescent="0.3">
      <c r="N681" s="190">
        <f>IF('Input LwA_XYZ'!A20 = 0, "", 'Input LwA_XYZ'!A20)</f>
        <v>2</v>
      </c>
      <c r="O681" s="189" t="str">
        <f>IF($N681="","",_xlfn.TEXTJOIN(" - ",TRUE,'Input LwA_XYZ'!B20:C20))</f>
        <v>RCU-R(2p)4 - Radiated</v>
      </c>
      <c r="P681" s="64">
        <f>IF($N681="","",'Input LwA_XYZ'!Q20)</f>
        <v>76.010299956639813</v>
      </c>
      <c r="Q681" s="91" t="str">
        <f>IF($N681="","",-1*ROUND(_xlfn.XLOOKUP(Tables!$L$662,'Input LwA_XYZ'!$AY$1:$BM$1,'Input LwA_XYZ'!AY20:BM20),0) &amp; " / " &amp; ROUND(_xlfn.XLOOKUP(Tables!$L$662,'Input LwA_XYZ'!$AH$1:$AV$1,'Input LwA_XYZ'!AH20:AV20),0) &amp; " ft")</f>
        <v>43 / 188 ft</v>
      </c>
      <c r="R681" s="91" t="str">
        <f>IF($N681="","",IF(_xlfn.XLOOKUP(Tables!$L$662,'Input LwA_XYZ'!$BV$1:$CJ$1,'Input LwA_XYZ'!BV20:CJ20)="","-",_xlfn.XLOOKUP(Tables!$L$662,'Input LwA_XYZ'!$BV$1:$CJ$1,'Input LwA_XYZ'!BV20:CJ20)))</f>
        <v>-</v>
      </c>
      <c r="S681" s="91" t="str">
        <f>IF($N681="","",IF('Input LwA_XYZ'!S20="","-",'Input LwA_XYZ'!S20))</f>
        <v>-</v>
      </c>
      <c r="T681" s="65">
        <f>IF($N681="","",_xlfn.XLOOKUP(Tables!$L$662,'Input LwA_XYZ'!$DD$1:$DR$1,'Input LwA_XYZ'!DD20:DR20))</f>
        <v>32.86816377495628</v>
      </c>
    </row>
    <row r="682" spans="14:20" ht="16.5" x14ac:dyDescent="0.3">
      <c r="N682" s="190">
        <f>IF('Input LwA_XYZ'!A21 = 0, "", 'Input LwA_XYZ'!A21)</f>
        <v>2</v>
      </c>
      <c r="O682" s="189" t="str">
        <f>IF($N682="","",_xlfn.TEXTJOIN(" - ",TRUE,'Input LwA_XYZ'!B21:C21))</f>
        <v>RCU-R(2p)5 - Radiated</v>
      </c>
      <c r="P682" s="64">
        <f>IF($N682="","",'Input LwA_XYZ'!Q21)</f>
        <v>76.010299956639813</v>
      </c>
      <c r="Q682" s="91" t="str">
        <f>IF($N682="","",-1*ROUND(_xlfn.XLOOKUP(Tables!$L$662,'Input LwA_XYZ'!$AY$1:$BM$1,'Input LwA_XYZ'!AY21:BM21),0) &amp; " / " &amp; ROUND(_xlfn.XLOOKUP(Tables!$L$662,'Input LwA_XYZ'!$AH$1:$AV$1,'Input LwA_XYZ'!AH21:AV21),0) &amp; " ft")</f>
        <v>44 / 203 ft</v>
      </c>
      <c r="R682" s="91" t="str">
        <f>IF($N682="","",IF(_xlfn.XLOOKUP(Tables!$L$662,'Input LwA_XYZ'!$BV$1:$CJ$1,'Input LwA_XYZ'!BV21:CJ21)="","-",_xlfn.XLOOKUP(Tables!$L$662,'Input LwA_XYZ'!$BV$1:$CJ$1,'Input LwA_XYZ'!BV21:CJ21)))</f>
        <v>-</v>
      </c>
      <c r="S682" s="91" t="str">
        <f>IF($N682="","",IF('Input LwA_XYZ'!S21="","-",'Input LwA_XYZ'!S21))</f>
        <v>-</v>
      </c>
      <c r="T682" s="65">
        <f>IF($N682="","",_xlfn.XLOOKUP(Tables!$L$662,'Input LwA_XYZ'!$DD$1:$DR$1,'Input LwA_XYZ'!DD21:DR21))</f>
        <v>32.210402540305431</v>
      </c>
    </row>
    <row r="683" spans="14:20" ht="16.5" x14ac:dyDescent="0.3">
      <c r="N683" s="190">
        <f>IF('Input LwA_XYZ'!A22 = 0, "", 'Input LwA_XYZ'!A22)</f>
        <v>2</v>
      </c>
      <c r="O683" s="189" t="str">
        <f>IF($N683="","",_xlfn.TEXTJOIN(" - ",TRUE,'Input LwA_XYZ'!B22:C22))</f>
        <v>RCU-R(2p)6 - Radiated</v>
      </c>
      <c r="P683" s="64">
        <f>IF($N683="","",'Input LwA_XYZ'!Q22)</f>
        <v>76.010299956639813</v>
      </c>
      <c r="Q683" s="91" t="str">
        <f>IF($N683="","",-1*ROUND(_xlfn.XLOOKUP(Tables!$L$662,'Input LwA_XYZ'!$AY$1:$BM$1,'Input LwA_XYZ'!AY22:BM22),0) &amp; " / " &amp; ROUND(_xlfn.XLOOKUP(Tables!$L$662,'Input LwA_XYZ'!$AH$1:$AV$1,'Input LwA_XYZ'!AH22:AV22),0) &amp; " ft")</f>
        <v>44 / 218 ft</v>
      </c>
      <c r="R683" s="91" t="str">
        <f>IF($N683="","",IF(_xlfn.XLOOKUP(Tables!$L$662,'Input LwA_XYZ'!$BV$1:$CJ$1,'Input LwA_XYZ'!BV22:CJ22)="","-",_xlfn.XLOOKUP(Tables!$L$662,'Input LwA_XYZ'!$BV$1:$CJ$1,'Input LwA_XYZ'!BV22:CJ22)))</f>
        <v>-</v>
      </c>
      <c r="S683" s="91" t="str">
        <f>IF($N683="","",IF('Input LwA_XYZ'!S22="","-",'Input LwA_XYZ'!S22))</f>
        <v>-</v>
      </c>
      <c r="T683" s="65">
        <f>IF($N683="","",_xlfn.XLOOKUP(Tables!$L$662,'Input LwA_XYZ'!$DD$1:$DR$1,'Input LwA_XYZ'!DD22:DR22))</f>
        <v>31.572313832482209</v>
      </c>
    </row>
    <row r="684" spans="14:20" ht="16.5" x14ac:dyDescent="0.3">
      <c r="N684" s="190">
        <f>IF('Input LwA_XYZ'!A23 = 0, "", 'Input LwA_XYZ'!A23)</f>
        <v>1</v>
      </c>
      <c r="O684" s="189" t="str">
        <f>IF($N684="","",_xlfn.TEXTJOIN(" - ",TRUE,'Input LwA_XYZ'!B23:C23))</f>
        <v>BEF-R01  - Inlet</v>
      </c>
      <c r="P684" s="64">
        <f>IF($N684="","",'Input LwA_XYZ'!Q23)</f>
        <v>57</v>
      </c>
      <c r="Q684" s="91" t="str">
        <f>IF($N684="","",-1*ROUND(_xlfn.XLOOKUP(Tables!$L$662,'Input LwA_XYZ'!$AY$1:$BM$1,'Input LwA_XYZ'!AY23:BM23),0) &amp; " / " &amp; ROUND(_xlfn.XLOOKUP(Tables!$L$662,'Input LwA_XYZ'!$AH$1:$AV$1,'Input LwA_XYZ'!AH23:AV23),0) &amp; " ft")</f>
        <v>39 / 123 ft</v>
      </c>
      <c r="R684" s="91" t="str">
        <f>IF($N684="","",IF(_xlfn.XLOOKUP(Tables!$L$662,'Input LwA_XYZ'!$BV$1:$CJ$1,'Input LwA_XYZ'!BV23:CJ23)="","-",_xlfn.XLOOKUP(Tables!$L$662,'Input LwA_XYZ'!$BV$1:$CJ$1,'Input LwA_XYZ'!BV23:CJ23)))</f>
        <v>-</v>
      </c>
      <c r="S684" s="91" t="str">
        <f>IF($N684="","",IF('Input LwA_XYZ'!S23="","-",'Input LwA_XYZ'!S23))</f>
        <v>-</v>
      </c>
      <c r="T684" s="65">
        <f>IF($N684="","",_xlfn.XLOOKUP(Tables!$L$662,'Input LwA_XYZ'!$DD$1:$DR$1,'Input LwA_XYZ'!DD23:DR23))</f>
        <v>17.524923149226339</v>
      </c>
    </row>
    <row r="685" spans="14:20" ht="16.5" x14ac:dyDescent="0.3">
      <c r="N685" s="190">
        <f>IF('Input LwA_XYZ'!A24 = 0, "", 'Input LwA_XYZ'!A24)</f>
        <v>1</v>
      </c>
      <c r="O685" s="189" t="str">
        <f>IF($N685="","",_xlfn.TEXTJOIN(" - ",TRUE,'Input LwA_XYZ'!B24:C24))</f>
        <v>BEF-R02  - Inlet</v>
      </c>
      <c r="P685" s="64">
        <f>IF($N685="","",'Input LwA_XYZ'!Q24)</f>
        <v>66</v>
      </c>
      <c r="Q685" s="91" t="str">
        <f>IF($N685="","",-1*ROUND(_xlfn.XLOOKUP(Tables!$L$662,'Input LwA_XYZ'!$AY$1:$BM$1,'Input LwA_XYZ'!AY24:BM24),0) &amp; " / " &amp; ROUND(_xlfn.XLOOKUP(Tables!$L$662,'Input LwA_XYZ'!$AH$1:$AV$1,'Input LwA_XYZ'!AH24:AV24),0) &amp; " ft")</f>
        <v>40 / 138 ft</v>
      </c>
      <c r="R685" s="91" t="str">
        <f>IF($N685="","",IF(_xlfn.XLOOKUP(Tables!$L$662,'Input LwA_XYZ'!$BV$1:$CJ$1,'Input LwA_XYZ'!BV24:CJ24)="","-",_xlfn.XLOOKUP(Tables!$L$662,'Input LwA_XYZ'!$BV$1:$CJ$1,'Input LwA_XYZ'!BV24:CJ24)))</f>
        <v>-</v>
      </c>
      <c r="S685" s="91" t="str">
        <f>IF($N685="","",IF('Input LwA_XYZ'!S24="","-",'Input LwA_XYZ'!S24))</f>
        <v>-</v>
      </c>
      <c r="T685" s="65">
        <f>IF($N685="","",_xlfn.XLOOKUP(Tables!$L$662,'Input LwA_XYZ'!$DD$1:$DR$1,'Input LwA_XYZ'!DD24:DR24))</f>
        <v>25.558301321549493</v>
      </c>
    </row>
    <row r="686" spans="14:20" ht="16.5" x14ac:dyDescent="0.3">
      <c r="N686" s="190">
        <f>IF('Input LwA_XYZ'!A25 = 0, "", 'Input LwA_XYZ'!A25)</f>
        <v>1</v>
      </c>
      <c r="O686" s="189" t="str">
        <f>IF($N686="","",_xlfn.TEXTJOIN(" - ",TRUE,'Input LwA_XYZ'!B25:C25))</f>
        <v>BEF-R03  - Inlet</v>
      </c>
      <c r="P686" s="64">
        <f>IF($N686="","",'Input LwA_XYZ'!Q25)</f>
        <v>66</v>
      </c>
      <c r="Q686" s="91" t="str">
        <f>IF($N686="","",-1*ROUND(_xlfn.XLOOKUP(Tables!$L$662,'Input LwA_XYZ'!$AY$1:$BM$1,'Input LwA_XYZ'!AY25:BM25),0) &amp; " / " &amp; ROUND(_xlfn.XLOOKUP(Tables!$L$662,'Input LwA_XYZ'!$AH$1:$AV$1,'Input LwA_XYZ'!AH25:AV25),0) &amp; " ft")</f>
        <v>42 / 159 ft</v>
      </c>
      <c r="R686" s="91" t="str">
        <f>IF($N686="","",IF(_xlfn.XLOOKUP(Tables!$L$662,'Input LwA_XYZ'!$BV$1:$CJ$1,'Input LwA_XYZ'!BV25:CJ25)="","-",_xlfn.XLOOKUP(Tables!$L$662,'Input LwA_XYZ'!$BV$1:$CJ$1,'Input LwA_XYZ'!BV25:CJ25)))</f>
        <v>-</v>
      </c>
      <c r="S686" s="91" t="str">
        <f>IF($N686="","",IF('Input LwA_XYZ'!S25="","-",'Input LwA_XYZ'!S25))</f>
        <v>-</v>
      </c>
      <c r="T686" s="65">
        <f>IF($N686="","",_xlfn.XLOOKUP(Tables!$L$662,'Input LwA_XYZ'!$DD$1:$DR$1,'Input LwA_XYZ'!DD25:DR25))</f>
        <v>24.324638741792718</v>
      </c>
    </row>
    <row r="687" spans="14:20" ht="16.5" x14ac:dyDescent="0.3">
      <c r="N687" s="190">
        <f>IF('Input LwA_XYZ'!A26 = 0, "", 'Input LwA_XYZ'!A26)</f>
        <v>1</v>
      </c>
      <c r="O687" s="189" t="str">
        <f>IF($N687="","",_xlfn.TEXTJOIN(" - ",TRUE,'Input LwA_XYZ'!B26:C26))</f>
        <v>BEF-R04  - Inlet</v>
      </c>
      <c r="P687" s="64">
        <f>IF($N687="","",'Input LwA_XYZ'!Q26)</f>
        <v>66</v>
      </c>
      <c r="Q687" s="91" t="str">
        <f>IF($N687="","",-1*ROUND(_xlfn.XLOOKUP(Tables!$L$662,'Input LwA_XYZ'!$AY$1:$BM$1,'Input LwA_XYZ'!AY26:BM26),0) &amp; " / " &amp; ROUND(_xlfn.XLOOKUP(Tables!$L$662,'Input LwA_XYZ'!$AH$1:$AV$1,'Input LwA_XYZ'!AH26:AV26),0) &amp; " ft")</f>
        <v>43 / 181 ft</v>
      </c>
      <c r="R687" s="91" t="str">
        <f>IF($N687="","",IF(_xlfn.XLOOKUP(Tables!$L$662,'Input LwA_XYZ'!$BV$1:$CJ$1,'Input LwA_XYZ'!BV26:CJ26)="","-",_xlfn.XLOOKUP(Tables!$L$662,'Input LwA_XYZ'!$BV$1:$CJ$1,'Input LwA_XYZ'!BV26:CJ26)))</f>
        <v>-</v>
      </c>
      <c r="S687" s="91" t="str">
        <f>IF($N687="","",IF('Input LwA_XYZ'!S26="","-",'Input LwA_XYZ'!S26))</f>
        <v>-</v>
      </c>
      <c r="T687" s="65">
        <f>IF($N687="","",_xlfn.XLOOKUP(Tables!$L$662,'Input LwA_XYZ'!$DD$1:$DR$1,'Input LwA_XYZ'!DD26:DR26))</f>
        <v>23.168375747855407</v>
      </c>
    </row>
    <row r="688" spans="14:20" ht="16.5" x14ac:dyDescent="0.3">
      <c r="N688" s="190">
        <f>IF('Input LwA_XYZ'!A27 = 0, "", 'Input LwA_XYZ'!A27)</f>
        <v>1</v>
      </c>
      <c r="O688" s="189" t="str">
        <f>IF($N688="","",_xlfn.TEXTJOIN(" - ",TRUE,'Input LwA_XYZ'!B27:C27))</f>
        <v>BEF-R05  - Inlet</v>
      </c>
      <c r="P688" s="64">
        <f>IF($N688="","",'Input LwA_XYZ'!Q27)</f>
        <v>66</v>
      </c>
      <c r="Q688" s="91" t="str">
        <f>IF($N688="","",-1*ROUND(_xlfn.XLOOKUP(Tables!$L$662,'Input LwA_XYZ'!$AY$1:$BM$1,'Input LwA_XYZ'!AY27:BM27),0) &amp; " / " &amp; ROUND(_xlfn.XLOOKUP(Tables!$L$662,'Input LwA_XYZ'!$AH$1:$AV$1,'Input LwA_XYZ'!AH27:AV27),0) &amp; " ft")</f>
        <v>44 / 199 ft</v>
      </c>
      <c r="R688" s="91" t="str">
        <f>IF($N688="","",IF(_xlfn.XLOOKUP(Tables!$L$662,'Input LwA_XYZ'!$BV$1:$CJ$1,'Input LwA_XYZ'!BV27:CJ27)="","-",_xlfn.XLOOKUP(Tables!$L$662,'Input LwA_XYZ'!$BV$1:$CJ$1,'Input LwA_XYZ'!BV27:CJ27)))</f>
        <v>-</v>
      </c>
      <c r="S688" s="91" t="str">
        <f>IF($N688="","",IF('Input LwA_XYZ'!S27="","-",'Input LwA_XYZ'!S27))</f>
        <v>-</v>
      </c>
      <c r="T688" s="65">
        <f>IF($N688="","",_xlfn.XLOOKUP(Tables!$L$662,'Input LwA_XYZ'!$DD$1:$DR$1,'Input LwA_XYZ'!DD27:DR27))</f>
        <v>22.371723595961846</v>
      </c>
    </row>
    <row r="689" spans="14:20" ht="16.5" x14ac:dyDescent="0.3">
      <c r="N689" s="190">
        <f>IF('Input LwA_XYZ'!A28 = 0, "", 'Input LwA_XYZ'!A28)</f>
        <v>1</v>
      </c>
      <c r="O689" s="189" t="str">
        <f>IF($N689="","",_xlfn.TEXTJOIN(" - ",TRUE,'Input LwA_XYZ'!B28:C28))</f>
        <v>BEF-R06  - Inlet</v>
      </c>
      <c r="P689" s="64">
        <f>IF($N689="","",'Input LwA_XYZ'!Q28)</f>
        <v>66</v>
      </c>
      <c r="Q689" s="91" t="str">
        <f>IF($N689="","",-1*ROUND(_xlfn.XLOOKUP(Tables!$L$662,'Input LwA_XYZ'!$AY$1:$BM$1,'Input LwA_XYZ'!AY28:BM28),0) &amp; " / " &amp; ROUND(_xlfn.XLOOKUP(Tables!$L$662,'Input LwA_XYZ'!$AH$1:$AV$1,'Input LwA_XYZ'!AH28:AV28),0) &amp; " ft")</f>
        <v>43 / 194 ft</v>
      </c>
      <c r="R689" s="91" t="str">
        <f>IF($N689="","",IF(_xlfn.XLOOKUP(Tables!$L$662,'Input LwA_XYZ'!$BV$1:$CJ$1,'Input LwA_XYZ'!BV28:CJ28)="","-",_xlfn.XLOOKUP(Tables!$L$662,'Input LwA_XYZ'!$BV$1:$CJ$1,'Input LwA_XYZ'!BV28:CJ28)))</f>
        <v>-</v>
      </c>
      <c r="S689" s="91" t="str">
        <f>IF($N689="","",IF('Input LwA_XYZ'!S28="","-",'Input LwA_XYZ'!S28))</f>
        <v>-</v>
      </c>
      <c r="T689" s="65">
        <f>IF($N689="","",_xlfn.XLOOKUP(Tables!$L$662,'Input LwA_XYZ'!$DD$1:$DR$1,'Input LwA_XYZ'!DD28:DR28))</f>
        <v>22.571853354436364</v>
      </c>
    </row>
    <row r="690" spans="14:20" ht="16.5" x14ac:dyDescent="0.3">
      <c r="N690" s="190">
        <f>IF('Input LwA_XYZ'!A29 = 0, "", 'Input LwA_XYZ'!A29)</f>
        <v>1</v>
      </c>
      <c r="O690" s="189" t="str">
        <f>IF($N690="","",_xlfn.TEXTJOIN(" - ",TRUE,'Input LwA_XYZ'!B29:C29))</f>
        <v>BEF-R07  - Inlet</v>
      </c>
      <c r="P690" s="64">
        <f>IF($N690="","",'Input LwA_XYZ'!Q29)</f>
        <v>57</v>
      </c>
      <c r="Q690" s="91" t="str">
        <f>IF($N690="","",-1*ROUND(_xlfn.XLOOKUP(Tables!$L$662,'Input LwA_XYZ'!$AY$1:$BM$1,'Input LwA_XYZ'!AY29:BM29),0) &amp; " / " &amp; ROUND(_xlfn.XLOOKUP(Tables!$L$662,'Input LwA_XYZ'!$AH$1:$AV$1,'Input LwA_XYZ'!AH29:AV29),0) &amp; " ft")</f>
        <v>43 / 195 ft</v>
      </c>
      <c r="R690" s="91" t="str">
        <f>IF($N690="","",IF(_xlfn.XLOOKUP(Tables!$L$662,'Input LwA_XYZ'!$BV$1:$CJ$1,'Input LwA_XYZ'!BV29:CJ29)="","-",_xlfn.XLOOKUP(Tables!$L$662,'Input LwA_XYZ'!$BV$1:$CJ$1,'Input LwA_XYZ'!BV29:CJ29)))</f>
        <v>-</v>
      </c>
      <c r="S690" s="91" t="str">
        <f>IF($N690="","",IF('Input LwA_XYZ'!S29="","-",'Input LwA_XYZ'!S29))</f>
        <v>-</v>
      </c>
      <c r="T690" s="65">
        <f>IF($N690="","",_xlfn.XLOOKUP(Tables!$L$662,'Input LwA_XYZ'!$DD$1:$DR$1,'Input LwA_XYZ'!DD29:DR29))</f>
        <v>13.555575842541174</v>
      </c>
    </row>
    <row r="691" spans="14:20" ht="16.5" x14ac:dyDescent="0.3">
      <c r="N691" s="190">
        <f>IF('Input LwA_XYZ'!A30 = 0, "", 'Input LwA_XYZ'!A30)</f>
        <v>1</v>
      </c>
      <c r="O691" s="189" t="str">
        <f>IF($N691="","",_xlfn.TEXTJOIN(" - ",TRUE,'Input LwA_XYZ'!B30:C30))</f>
        <v>BEF-R08  - Inlet</v>
      </c>
      <c r="P691" s="64">
        <f>IF($N691="","",'Input LwA_XYZ'!Q30)</f>
        <v>57</v>
      </c>
      <c r="Q691" s="91" t="str">
        <f>IF($N691="","",-1*ROUND(_xlfn.XLOOKUP(Tables!$L$662,'Input LwA_XYZ'!$AY$1:$BM$1,'Input LwA_XYZ'!AY30:BM30),0) &amp; " / " &amp; ROUND(_xlfn.XLOOKUP(Tables!$L$662,'Input LwA_XYZ'!$AH$1:$AV$1,'Input LwA_XYZ'!AH30:AV30),0) &amp; " ft")</f>
        <v>45 / 235 ft</v>
      </c>
      <c r="R691" s="91" t="str">
        <f>IF($N691="","",IF(_xlfn.XLOOKUP(Tables!$L$662,'Input LwA_XYZ'!$BV$1:$CJ$1,'Input LwA_XYZ'!BV30:CJ30)="","-",_xlfn.XLOOKUP(Tables!$L$662,'Input LwA_XYZ'!$BV$1:$CJ$1,'Input LwA_XYZ'!BV30:CJ30)))</f>
        <v>-</v>
      </c>
      <c r="S691" s="91" t="str">
        <f>IF($N691="","",IF('Input LwA_XYZ'!S30="","-",'Input LwA_XYZ'!S30))</f>
        <v>-</v>
      </c>
      <c r="T691" s="65">
        <f>IF($N691="","",_xlfn.XLOOKUP(Tables!$L$662,'Input LwA_XYZ'!$DD$1:$DR$1,'Input LwA_XYZ'!DD30:DR30))</f>
        <v>11.924932976016137</v>
      </c>
    </row>
    <row r="692" spans="14:20" ht="16.5" x14ac:dyDescent="0.3">
      <c r="N692" s="190">
        <f>IF('Input LwA_XYZ'!A31 = 0, "", 'Input LwA_XYZ'!A31)</f>
        <v>1</v>
      </c>
      <c r="O692" s="189" t="str">
        <f>IF($N692="","",_xlfn.TEXTJOIN(" - ",TRUE,'Input LwA_XYZ'!B31:C31))</f>
        <v>BEF-R09  - Inlet</v>
      </c>
      <c r="P692" s="64">
        <f>IF($N692="","",'Input LwA_XYZ'!Q31)</f>
        <v>66</v>
      </c>
      <c r="Q692" s="91" t="str">
        <f>IF($N692="","",-1*ROUND(_xlfn.XLOOKUP(Tables!$L$662,'Input LwA_XYZ'!$AY$1:$BM$1,'Input LwA_XYZ'!AY31:BM31),0) &amp; " / " &amp; ROUND(_xlfn.XLOOKUP(Tables!$L$662,'Input LwA_XYZ'!$AH$1:$AV$1,'Input LwA_XYZ'!AH31:AV31),0) &amp; " ft")</f>
        <v>45 / 238 ft</v>
      </c>
      <c r="R692" s="91" t="str">
        <f>IF($N692="","",IF(_xlfn.XLOOKUP(Tables!$L$662,'Input LwA_XYZ'!$BV$1:$CJ$1,'Input LwA_XYZ'!BV31:CJ31)="","-",_xlfn.XLOOKUP(Tables!$L$662,'Input LwA_XYZ'!$BV$1:$CJ$1,'Input LwA_XYZ'!BV31:CJ31)))</f>
        <v>-</v>
      </c>
      <c r="S692" s="91" t="str">
        <f>IF($N692="","",IF('Input LwA_XYZ'!S31="","-",'Input LwA_XYZ'!S31))</f>
        <v>-</v>
      </c>
      <c r="T692" s="65">
        <f>IF($N692="","",_xlfn.XLOOKUP(Tables!$L$662,'Input LwA_XYZ'!$DD$1:$DR$1,'Input LwA_XYZ'!DD31:DR31))</f>
        <v>20.789699625762694</v>
      </c>
    </row>
    <row r="693" spans="14:20" ht="16.5" x14ac:dyDescent="0.3">
      <c r="N693" s="190">
        <f>IF('Input LwA_XYZ'!A32 = 0, "", 'Input LwA_XYZ'!A32)</f>
        <v>1</v>
      </c>
      <c r="O693" s="189" t="str">
        <f>IF($N693="","",_xlfn.TEXTJOIN(" - ",TRUE,'Input LwA_XYZ'!B32:C32))</f>
        <v>BEF-R10  - Inlet</v>
      </c>
      <c r="P693" s="64">
        <f>IF($N693="","",'Input LwA_XYZ'!Q32)</f>
        <v>66</v>
      </c>
      <c r="Q693" s="91" t="str">
        <f>IF($N693="","",-1*ROUND(_xlfn.XLOOKUP(Tables!$L$662,'Input LwA_XYZ'!$AY$1:$BM$1,'Input LwA_XYZ'!AY32:BM32),0) &amp; " / " &amp; ROUND(_xlfn.XLOOKUP(Tables!$L$662,'Input LwA_XYZ'!$AH$1:$AV$1,'Input LwA_XYZ'!AH32:AV32),0) &amp; " ft")</f>
        <v>45 / 245 ft</v>
      </c>
      <c r="R693" s="91" t="str">
        <f>IF($N693="","",IF(_xlfn.XLOOKUP(Tables!$L$662,'Input LwA_XYZ'!$BV$1:$CJ$1,'Input LwA_XYZ'!BV32:CJ32)="","-",_xlfn.XLOOKUP(Tables!$L$662,'Input LwA_XYZ'!$BV$1:$CJ$1,'Input LwA_XYZ'!BV32:CJ32)))</f>
        <v>-</v>
      </c>
      <c r="S693" s="91" t="str">
        <f>IF($N693="","",IF('Input LwA_XYZ'!S32="","-",'Input LwA_XYZ'!S32))</f>
        <v>-</v>
      </c>
      <c r="T693" s="65">
        <f>IF($N693="","",_xlfn.XLOOKUP(Tables!$L$662,'Input LwA_XYZ'!$DD$1:$DR$1,'Input LwA_XYZ'!DD32:DR32))</f>
        <v>20.549999233311269</v>
      </c>
    </row>
    <row r="694" spans="14:20" ht="16.5" x14ac:dyDescent="0.3">
      <c r="N694" s="190">
        <f>IF('Input LwA_XYZ'!A33 = 0, "", 'Input LwA_XYZ'!A33)</f>
        <v>1</v>
      </c>
      <c r="O694" s="189" t="str">
        <f>IF($N694="","",_xlfn.TEXTJOIN(" - ",TRUE,'Input LwA_XYZ'!B33:C33))</f>
        <v>BEF-R11  - Inlet</v>
      </c>
      <c r="P694" s="64">
        <f>IF($N694="","",'Input LwA_XYZ'!Q33)</f>
        <v>66</v>
      </c>
      <c r="Q694" s="91" t="str">
        <f>IF($N694="","",-1*ROUND(_xlfn.XLOOKUP(Tables!$L$662,'Input LwA_XYZ'!$AY$1:$BM$1,'Input LwA_XYZ'!AY33:BM33),0) &amp; " / " &amp; ROUND(_xlfn.XLOOKUP(Tables!$L$662,'Input LwA_XYZ'!$AH$1:$AV$1,'Input LwA_XYZ'!AH33:AV33),0) &amp; " ft")</f>
        <v>46 / 249 ft</v>
      </c>
      <c r="R694" s="91" t="str">
        <f>IF($N694="","",IF(_xlfn.XLOOKUP(Tables!$L$662,'Input LwA_XYZ'!$BV$1:$CJ$1,'Input LwA_XYZ'!BV33:CJ33)="","-",_xlfn.XLOOKUP(Tables!$L$662,'Input LwA_XYZ'!$BV$1:$CJ$1,'Input LwA_XYZ'!BV33:CJ33)))</f>
        <v>-</v>
      </c>
      <c r="S694" s="91" t="str">
        <f>IF($N694="","",IF('Input LwA_XYZ'!S33="","-",'Input LwA_XYZ'!S33))</f>
        <v>-</v>
      </c>
      <c r="T694" s="65">
        <f>IF($N694="","",_xlfn.XLOOKUP(Tables!$L$662,'Input LwA_XYZ'!$DD$1:$DR$1,'Input LwA_XYZ'!DD33:DR33))</f>
        <v>20.413561674561677</v>
      </c>
    </row>
    <row r="695" spans="14:20" ht="16.5" x14ac:dyDescent="0.3">
      <c r="N695" s="190">
        <f>IF('Input LwA_XYZ'!A34 = 0, "", 'Input LwA_XYZ'!A34)</f>
        <v>1</v>
      </c>
      <c r="O695" s="189" t="str">
        <f>IF($N695="","",_xlfn.TEXTJOIN(" - ",TRUE,'Input LwA_XYZ'!B34:C34))</f>
        <v>BEF-R12  - Inlet</v>
      </c>
      <c r="P695" s="64">
        <f>IF($N695="","",'Input LwA_XYZ'!Q34)</f>
        <v>66</v>
      </c>
      <c r="Q695" s="91" t="str">
        <f>IF($N695="","",-1*ROUND(_xlfn.XLOOKUP(Tables!$L$662,'Input LwA_XYZ'!$AY$1:$BM$1,'Input LwA_XYZ'!AY34:BM34),0) &amp; " / " &amp; ROUND(_xlfn.XLOOKUP(Tables!$L$662,'Input LwA_XYZ'!$AH$1:$AV$1,'Input LwA_XYZ'!AH34:AV34),0) &amp; " ft")</f>
        <v>44 / 208 ft</v>
      </c>
      <c r="R695" s="91" t="str">
        <f>IF($N695="","",IF(_xlfn.XLOOKUP(Tables!$L$662,'Input LwA_XYZ'!$BV$1:$CJ$1,'Input LwA_XYZ'!BV34:CJ34)="","-",_xlfn.XLOOKUP(Tables!$L$662,'Input LwA_XYZ'!$BV$1:$CJ$1,'Input LwA_XYZ'!BV34:CJ34)))</f>
        <v>-</v>
      </c>
      <c r="S695" s="91" t="str">
        <f>IF($N695="","",IF('Input LwA_XYZ'!S34="","-",'Input LwA_XYZ'!S34))</f>
        <v>-</v>
      </c>
      <c r="T695" s="65">
        <f>IF($N695="","",_xlfn.XLOOKUP(Tables!$L$662,'Input LwA_XYZ'!$DD$1:$DR$1,'Input LwA_XYZ'!DD34:DR34))</f>
        <v>21.980715174611781</v>
      </c>
    </row>
    <row r="696" spans="14:20" ht="16.5" x14ac:dyDescent="0.3">
      <c r="N696" s="190">
        <f>IF('Input LwA_XYZ'!A35 = 0, "", 'Input LwA_XYZ'!A35)</f>
        <v>1</v>
      </c>
      <c r="O696" s="189" t="str">
        <f>IF($N696="","",_xlfn.TEXTJOIN(" - ",TRUE,'Input LwA_XYZ'!B35:C35))</f>
        <v>BEF-R13  - Inlet</v>
      </c>
      <c r="P696" s="64">
        <f>IF($N696="","",'Input LwA_XYZ'!Q35)</f>
        <v>66</v>
      </c>
      <c r="Q696" s="91" t="str">
        <f>IF($N696="","",-1*ROUND(_xlfn.XLOOKUP(Tables!$L$662,'Input LwA_XYZ'!$AY$1:$BM$1,'Input LwA_XYZ'!AY35:BM35),0) &amp; " / " &amp; ROUND(_xlfn.XLOOKUP(Tables!$L$662,'Input LwA_XYZ'!$AH$1:$AV$1,'Input LwA_XYZ'!AH35:AV35),0) &amp; " ft")</f>
        <v>43 / 177 ft</v>
      </c>
      <c r="R696" s="91" t="str">
        <f>IF($N696="","",IF(_xlfn.XLOOKUP(Tables!$L$662,'Input LwA_XYZ'!$BV$1:$CJ$1,'Input LwA_XYZ'!BV35:CJ35)="","-",_xlfn.XLOOKUP(Tables!$L$662,'Input LwA_XYZ'!$BV$1:$CJ$1,'Input LwA_XYZ'!BV35:CJ35)))</f>
        <v>-</v>
      </c>
      <c r="S696" s="91" t="str">
        <f>IF($N696="","",IF('Input LwA_XYZ'!S35="","-",'Input LwA_XYZ'!S35))</f>
        <v>-</v>
      </c>
      <c r="T696" s="65">
        <f>IF($N696="","",_xlfn.XLOOKUP(Tables!$L$662,'Input LwA_XYZ'!$DD$1:$DR$1,'Input LwA_XYZ'!DD35:DR35))</f>
        <v>23.39479009159399</v>
      </c>
    </row>
    <row r="697" spans="14:20" ht="16.5" x14ac:dyDescent="0.3">
      <c r="N697" s="190">
        <f>IF('Input LwA_XYZ'!A36 = 0, "", 'Input LwA_XYZ'!A36)</f>
        <v>1</v>
      </c>
      <c r="O697" s="189" t="str">
        <f>IF($N697="","",_xlfn.TEXTJOIN(" - ",TRUE,'Input LwA_XYZ'!B36:C36))</f>
        <v>BEF-R14  - Inlet</v>
      </c>
      <c r="P697" s="64">
        <f>IF($N697="","",'Input LwA_XYZ'!Q36)</f>
        <v>66</v>
      </c>
      <c r="Q697" s="91" t="str">
        <f>IF($N697="","",-1*ROUND(_xlfn.XLOOKUP(Tables!$L$662,'Input LwA_XYZ'!$AY$1:$BM$1,'Input LwA_XYZ'!AY36:BM36),0) &amp; " / " &amp; ROUND(_xlfn.XLOOKUP(Tables!$L$662,'Input LwA_XYZ'!$AH$1:$AV$1,'Input LwA_XYZ'!AH36:AV36),0) &amp; " ft")</f>
        <v>42 / 160 ft</v>
      </c>
      <c r="R697" s="91" t="str">
        <f>IF($N697="","",IF(_xlfn.XLOOKUP(Tables!$L$662,'Input LwA_XYZ'!$BV$1:$CJ$1,'Input LwA_XYZ'!BV36:CJ36)="","-",_xlfn.XLOOKUP(Tables!$L$662,'Input LwA_XYZ'!$BV$1:$CJ$1,'Input LwA_XYZ'!BV36:CJ36)))</f>
        <v>-</v>
      </c>
      <c r="S697" s="91" t="str">
        <f>IF($N697="","",IF('Input LwA_XYZ'!S36="","-",'Input LwA_XYZ'!S36))</f>
        <v>-</v>
      </c>
      <c r="T697" s="65">
        <f>IF($N697="","",_xlfn.XLOOKUP(Tables!$L$662,'Input LwA_XYZ'!$DD$1:$DR$1,'Input LwA_XYZ'!DD36:DR36))</f>
        <v>24.267760520630574</v>
      </c>
    </row>
    <row r="698" spans="14:20" ht="16.5" x14ac:dyDescent="0.3">
      <c r="N698" s="190">
        <f>IF('Input LwA_XYZ'!A37 = 0, "", 'Input LwA_XYZ'!A37)</f>
        <v>1</v>
      </c>
      <c r="O698" s="189" t="str">
        <f>IF($N698="","",_xlfn.TEXTJOIN(" - ",TRUE,'Input LwA_XYZ'!B37:C37))</f>
        <v>BEF-R15  - Inlet</v>
      </c>
      <c r="P698" s="64">
        <f>IF($N698="","",'Input LwA_XYZ'!Q37)</f>
        <v>57</v>
      </c>
      <c r="Q698" s="91" t="str">
        <f>IF($N698="","",-1*ROUND(_xlfn.XLOOKUP(Tables!$L$662,'Input LwA_XYZ'!$AY$1:$BM$1,'Input LwA_XYZ'!AY37:BM37),0) &amp; " / " &amp; ROUND(_xlfn.XLOOKUP(Tables!$L$662,'Input LwA_XYZ'!$AH$1:$AV$1,'Input LwA_XYZ'!AH37:AV37),0) &amp; " ft")</f>
        <v>41 / 151 ft</v>
      </c>
      <c r="R698" s="91" t="str">
        <f>IF($N698="","",IF(_xlfn.XLOOKUP(Tables!$L$662,'Input LwA_XYZ'!$BV$1:$CJ$1,'Input LwA_XYZ'!BV37:CJ37)="","-",_xlfn.XLOOKUP(Tables!$L$662,'Input LwA_XYZ'!$BV$1:$CJ$1,'Input LwA_XYZ'!BV37:CJ37)))</f>
        <v>-</v>
      </c>
      <c r="S698" s="91" t="str">
        <f>IF($N698="","",IF('Input LwA_XYZ'!S37="","-",'Input LwA_XYZ'!S37))</f>
        <v>-</v>
      </c>
      <c r="T698" s="65">
        <f>IF($N698="","",_xlfn.XLOOKUP(Tables!$L$662,'Input LwA_XYZ'!$DD$1:$DR$1,'Input LwA_XYZ'!DD37:DR37))</f>
        <v>15.774111416089106</v>
      </c>
    </row>
    <row r="699" spans="14:20" ht="16.5" x14ac:dyDescent="0.3">
      <c r="N699" s="190">
        <f>IF('Input LwA_XYZ'!A38 = 0, "", 'Input LwA_XYZ'!A38)</f>
        <v>1</v>
      </c>
      <c r="O699" s="189" t="str">
        <f>IF($N699="","",_xlfn.TEXTJOIN(" - ",TRUE,'Input LwA_XYZ'!B38:C38))</f>
        <v>BEF-R16  - Inlet</v>
      </c>
      <c r="P699" s="64">
        <f>IF($N699="","",'Input LwA_XYZ'!Q38)</f>
        <v>57</v>
      </c>
      <c r="Q699" s="91" t="str">
        <f>IF($N699="","",-1*ROUND(_xlfn.XLOOKUP(Tables!$L$662,'Input LwA_XYZ'!$AY$1:$BM$1,'Input LwA_XYZ'!AY38:BM38),0) &amp; " / " &amp; ROUND(_xlfn.XLOOKUP(Tables!$L$662,'Input LwA_XYZ'!$AH$1:$AV$1,'Input LwA_XYZ'!AH38:AV38),0) &amp; " ft")</f>
        <v>44 / 218 ft</v>
      </c>
      <c r="R699" s="91" t="str">
        <f>IF($N699="","",IF(_xlfn.XLOOKUP(Tables!$L$662,'Input LwA_XYZ'!$BV$1:$CJ$1,'Input LwA_XYZ'!BV38:CJ38)="","-",_xlfn.XLOOKUP(Tables!$L$662,'Input LwA_XYZ'!$BV$1:$CJ$1,'Input LwA_XYZ'!BV38:CJ38)))</f>
        <v>-</v>
      </c>
      <c r="S699" s="91" t="str">
        <f>IF($N699="","",IF('Input LwA_XYZ'!S38="","-",'Input LwA_XYZ'!S38))</f>
        <v>-</v>
      </c>
      <c r="T699" s="65">
        <f>IF($N699="","",_xlfn.XLOOKUP(Tables!$L$662,'Input LwA_XYZ'!$DD$1:$DR$1,'Input LwA_XYZ'!DD38:DR38))</f>
        <v>12.585684800234958</v>
      </c>
    </row>
    <row r="700" spans="14:20" ht="16.5" x14ac:dyDescent="0.3">
      <c r="N700" s="190" t="str">
        <f>IF('Input LwA_XYZ'!A39 = 0, "", 'Input LwA_XYZ'!A39)</f>
        <v/>
      </c>
      <c r="O700" s="189" t="str">
        <f>IF($N700="","",_xlfn.TEXTJOIN(" - ",TRUE,'Input LwA_XYZ'!B39:C39))</f>
        <v/>
      </c>
      <c r="P700" s="64" t="str">
        <f>IF($N700="","",'Input LwA_XYZ'!Q39)</f>
        <v/>
      </c>
      <c r="Q700" s="91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91" t="str">
        <f>IF($N700="","",IF(_xlfn.XLOOKUP(Tables!$L$662,'Input LwA_XYZ'!$BV$1:$CJ$1,'Input LwA_XYZ'!BV39:CJ39)="","-",_xlfn.XLOOKUP(Tables!$L$662,'Input LwA_XYZ'!$BV$1:$CJ$1,'Input LwA_XYZ'!BV39:CJ39)))</f>
        <v/>
      </c>
      <c r="S700" s="91" t="str">
        <f>IF($N700="","",IF('Input LwA_XYZ'!S39="","-",'Input LwA_XYZ'!S39))</f>
        <v/>
      </c>
      <c r="T700" s="65" t="str">
        <f>IF($N700="","",_xlfn.XLOOKUP(Tables!$L$662,'Input LwA_XYZ'!$DD$1:$DR$1,'Input LwA_XYZ'!DD39:DR39))</f>
        <v/>
      </c>
    </row>
    <row r="701" spans="14:20" ht="16.5" x14ac:dyDescent="0.3">
      <c r="N701" s="190" t="str">
        <f>IF('Input LwA_XYZ'!A40 = 0, "", 'Input LwA_XYZ'!A40)</f>
        <v/>
      </c>
      <c r="O701" s="189" t="str">
        <f>IF($N701="","",_xlfn.TEXTJOIN(" - ",TRUE,'Input LwA_XYZ'!B40:C40))</f>
        <v/>
      </c>
      <c r="P701" s="64" t="str">
        <f>IF($N701="","",'Input LwA_XYZ'!Q40)</f>
        <v/>
      </c>
      <c r="Q701" s="91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91" t="str">
        <f>IF($N701="","",IF(_xlfn.XLOOKUP(Tables!$L$662,'Input LwA_XYZ'!$BV$1:$CJ$1,'Input LwA_XYZ'!BV40:CJ40)="","-",_xlfn.XLOOKUP(Tables!$L$662,'Input LwA_XYZ'!$BV$1:$CJ$1,'Input LwA_XYZ'!BV40:CJ40)))</f>
        <v/>
      </c>
      <c r="S701" s="91" t="str">
        <f>IF($N701="","",IF('Input LwA_XYZ'!S40="","-",'Input LwA_XYZ'!S40))</f>
        <v/>
      </c>
      <c r="T701" s="65" t="str">
        <f>IF($N701="","",_xlfn.XLOOKUP(Tables!$L$662,'Input LwA_XYZ'!$DD$1:$DR$1,'Input LwA_XYZ'!DD40:DR40))</f>
        <v/>
      </c>
    </row>
    <row r="702" spans="14:20" ht="16.5" x14ac:dyDescent="0.3">
      <c r="N702" s="190" t="str">
        <f>IF('Input LwA_XYZ'!A41 = 0, "", 'Input LwA_XYZ'!A41)</f>
        <v/>
      </c>
      <c r="O702" s="189" t="str">
        <f>IF($N702="","",_xlfn.TEXTJOIN(" - ",TRUE,'Input LwA_XYZ'!B41:C41))</f>
        <v/>
      </c>
      <c r="P702" s="64" t="str">
        <f>IF($N702="","",'Input LwA_XYZ'!Q41)</f>
        <v/>
      </c>
      <c r="Q702" s="91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91" t="str">
        <f>IF($N702="","",IF(_xlfn.XLOOKUP(Tables!$L$662,'Input LwA_XYZ'!$BV$1:$CJ$1,'Input LwA_XYZ'!BV41:CJ41)="","-",_xlfn.XLOOKUP(Tables!$L$662,'Input LwA_XYZ'!$BV$1:$CJ$1,'Input LwA_XYZ'!BV41:CJ41)))</f>
        <v/>
      </c>
      <c r="S702" s="91" t="str">
        <f>IF($N702="","",IF('Input LwA_XYZ'!S41="","-",'Input LwA_XYZ'!S41))</f>
        <v/>
      </c>
      <c r="T702" s="65" t="str">
        <f>IF($N702="","",_xlfn.XLOOKUP(Tables!$L$662,'Input LwA_XYZ'!$DD$1:$DR$1,'Input LwA_XYZ'!DD41:DR41))</f>
        <v/>
      </c>
    </row>
    <row r="703" spans="14:20" ht="16.5" x14ac:dyDescent="0.3">
      <c r="N703" s="190" t="str">
        <f>IF('Input LwA_XYZ'!A42 = 0, "", 'Input LwA_XYZ'!A42)</f>
        <v/>
      </c>
      <c r="O703" s="189" t="str">
        <f>IF($N703="","",_xlfn.TEXTJOIN(" - ",TRUE,'Input LwA_XYZ'!B42:C42))</f>
        <v/>
      </c>
      <c r="P703" s="64" t="str">
        <f>IF($N703="","",'Input LwA_XYZ'!Q42)</f>
        <v/>
      </c>
      <c r="Q703" s="91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91" t="str">
        <f>IF($N703="","",IF(_xlfn.XLOOKUP(Tables!$L$662,'Input LwA_XYZ'!$BV$1:$CJ$1,'Input LwA_XYZ'!BV42:CJ42)="","-",_xlfn.XLOOKUP(Tables!$L$662,'Input LwA_XYZ'!$BV$1:$CJ$1,'Input LwA_XYZ'!BV42:CJ42)))</f>
        <v/>
      </c>
      <c r="S703" s="91" t="str">
        <f>IF($N703="","",IF('Input LwA_XYZ'!S42="","-",'Input LwA_XYZ'!S42))</f>
        <v/>
      </c>
      <c r="T703" s="65" t="str">
        <f>IF($N703="","",_xlfn.XLOOKUP(Tables!$L$662,'Input LwA_XYZ'!$DD$1:$DR$1,'Input LwA_XYZ'!DD42:DR42))</f>
        <v/>
      </c>
    </row>
    <row r="704" spans="14:20" ht="16.5" x14ac:dyDescent="0.3">
      <c r="N704" s="190" t="str">
        <f>IF('Input LwA_XYZ'!A43 = 0, "", 'Input LwA_XYZ'!A43)</f>
        <v/>
      </c>
      <c r="O704" s="189" t="str">
        <f>IF($N704="","",_xlfn.TEXTJOIN(" - ",TRUE,'Input LwA_XYZ'!B43:C43))</f>
        <v/>
      </c>
      <c r="P704" s="64" t="str">
        <f>IF($N704="","",'Input LwA_XYZ'!Q43)</f>
        <v/>
      </c>
      <c r="Q704" s="91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91" t="str">
        <f>IF($N704="","",IF(_xlfn.XLOOKUP(Tables!$L$662,'Input LwA_XYZ'!$BV$1:$CJ$1,'Input LwA_XYZ'!BV43:CJ43)="","-",_xlfn.XLOOKUP(Tables!$L$662,'Input LwA_XYZ'!$BV$1:$CJ$1,'Input LwA_XYZ'!BV43:CJ43)))</f>
        <v/>
      </c>
      <c r="S704" s="91" t="str">
        <f>IF($N704="","",IF('Input LwA_XYZ'!S43="","-",'Input LwA_XYZ'!S43))</f>
        <v/>
      </c>
      <c r="T704" s="65" t="str">
        <f>IF($N704="","",_xlfn.XLOOKUP(Tables!$L$662,'Input LwA_XYZ'!$DD$1:$DR$1,'Input LwA_XYZ'!DD43:DR43))</f>
        <v/>
      </c>
    </row>
    <row r="705" spans="14:20" ht="16.5" x14ac:dyDescent="0.3">
      <c r="N705" s="190" t="str">
        <f>IF('Input LwA_XYZ'!A44 = 0, "", 'Input LwA_XYZ'!A44)</f>
        <v/>
      </c>
      <c r="O705" s="189" t="str">
        <f>IF($N705="","",_xlfn.TEXTJOIN(" - ",TRUE,'Input LwA_XYZ'!B44:C44))</f>
        <v/>
      </c>
      <c r="P705" s="64" t="str">
        <f>IF($N705="","",'Input LwA_XYZ'!Q44)</f>
        <v/>
      </c>
      <c r="Q705" s="91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91" t="str">
        <f>IF($N705="","",IF(_xlfn.XLOOKUP(Tables!$L$662,'Input LwA_XYZ'!$BV$1:$CJ$1,'Input LwA_XYZ'!BV44:CJ44)="","-",_xlfn.XLOOKUP(Tables!$L$662,'Input LwA_XYZ'!$BV$1:$CJ$1,'Input LwA_XYZ'!BV44:CJ44)))</f>
        <v/>
      </c>
      <c r="S705" s="91" t="str">
        <f>IF($N705="","",IF('Input LwA_XYZ'!S44="","-",'Input LwA_XYZ'!S44))</f>
        <v/>
      </c>
      <c r="T705" s="65" t="str">
        <f>IF($N705="","",_xlfn.XLOOKUP(Tables!$L$662,'Input LwA_XYZ'!$DD$1:$DR$1,'Input LwA_XYZ'!DD44:DR44))</f>
        <v/>
      </c>
    </row>
    <row r="706" spans="14:20" ht="16.5" x14ac:dyDescent="0.3">
      <c r="N706" s="190" t="str">
        <f>IF('Input LwA_XYZ'!A45 = 0, "", 'Input LwA_XYZ'!A45)</f>
        <v/>
      </c>
      <c r="O706" s="189" t="str">
        <f>IF($N706="","",_xlfn.TEXTJOIN(" - ",TRUE,'Input LwA_XYZ'!B45:C45))</f>
        <v/>
      </c>
      <c r="P706" s="64" t="str">
        <f>IF($N706="","",'Input LwA_XYZ'!Q45)</f>
        <v/>
      </c>
      <c r="Q706" s="91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91" t="str">
        <f>IF($N706="","",IF(_xlfn.XLOOKUP(Tables!$L$662,'Input LwA_XYZ'!$BV$1:$CJ$1,'Input LwA_XYZ'!BV45:CJ45)="","-",_xlfn.XLOOKUP(Tables!$L$662,'Input LwA_XYZ'!$BV$1:$CJ$1,'Input LwA_XYZ'!BV45:CJ45)))</f>
        <v/>
      </c>
      <c r="S706" s="91" t="str">
        <f>IF($N706="","",IF('Input LwA_XYZ'!S45="","-",'Input LwA_XYZ'!S45))</f>
        <v/>
      </c>
      <c r="T706" s="65" t="str">
        <f>IF($N706="","",_xlfn.XLOOKUP(Tables!$L$662,'Input LwA_XYZ'!$DD$1:$DR$1,'Input LwA_XYZ'!DD45:DR45))</f>
        <v/>
      </c>
    </row>
    <row r="707" spans="14:20" ht="16.5" x14ac:dyDescent="0.3">
      <c r="N707" s="190" t="str">
        <f>IF('Input LwA_XYZ'!A46 = 0, "", 'Input LwA_XYZ'!A46)</f>
        <v/>
      </c>
      <c r="O707" s="189" t="str">
        <f>IF($N707="","",_xlfn.TEXTJOIN(" - ",TRUE,'Input LwA_XYZ'!B46:C46))</f>
        <v/>
      </c>
      <c r="P707" s="64" t="str">
        <f>IF($N707="","",'Input LwA_XYZ'!Q46)</f>
        <v/>
      </c>
      <c r="Q707" s="91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91" t="str">
        <f>IF($N707="","",IF(_xlfn.XLOOKUP(Tables!$L$662,'Input LwA_XYZ'!$BV$1:$CJ$1,'Input LwA_XYZ'!BV46:CJ46)="","-",_xlfn.XLOOKUP(Tables!$L$662,'Input LwA_XYZ'!$BV$1:$CJ$1,'Input LwA_XYZ'!BV46:CJ46)))</f>
        <v/>
      </c>
      <c r="S707" s="91" t="str">
        <f>IF($N707="","",IF('Input LwA_XYZ'!S46="","-",'Input LwA_XYZ'!S46))</f>
        <v/>
      </c>
      <c r="T707" s="65" t="str">
        <f>IF($N707="","",_xlfn.XLOOKUP(Tables!$L$662,'Input LwA_XYZ'!$DD$1:$DR$1,'Input LwA_XYZ'!DD46:DR46))</f>
        <v/>
      </c>
    </row>
    <row r="708" spans="14:20" ht="16.5" x14ac:dyDescent="0.3">
      <c r="N708" s="190" t="str">
        <f>IF('Input LwA_XYZ'!A47 = 0, "", 'Input LwA_XYZ'!A47)</f>
        <v/>
      </c>
      <c r="O708" s="189" t="str">
        <f>IF($N708="","",_xlfn.TEXTJOIN(" - ",TRUE,'Input LwA_XYZ'!B47:C47))</f>
        <v/>
      </c>
      <c r="P708" s="64" t="str">
        <f>IF($N708="","",'Input LwA_XYZ'!Q47)</f>
        <v/>
      </c>
      <c r="Q708" s="91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91" t="str">
        <f>IF($N708="","",IF(_xlfn.XLOOKUP(Tables!$L$662,'Input LwA_XYZ'!$BV$1:$CJ$1,'Input LwA_XYZ'!BV47:CJ47)="","-",_xlfn.XLOOKUP(Tables!$L$662,'Input LwA_XYZ'!$BV$1:$CJ$1,'Input LwA_XYZ'!BV47:CJ47)))</f>
        <v/>
      </c>
      <c r="S708" s="91" t="str">
        <f>IF($N708="","",IF('Input LwA_XYZ'!S47="","-",'Input LwA_XYZ'!S47))</f>
        <v/>
      </c>
      <c r="T708" s="65" t="str">
        <f>IF($N708="","",_xlfn.XLOOKUP(Tables!$L$662,'Input LwA_XYZ'!$DD$1:$DR$1,'Input LwA_XYZ'!DD47:DR47))</f>
        <v/>
      </c>
    </row>
    <row r="709" spans="14:20" ht="16.5" x14ac:dyDescent="0.3">
      <c r="N709" s="190" t="str">
        <f>IF('Input LwA_XYZ'!A48 = 0, "", 'Input LwA_XYZ'!A48)</f>
        <v/>
      </c>
      <c r="O709" s="189" t="str">
        <f>IF($N709="","",_xlfn.TEXTJOIN(" - ",TRUE,'Input LwA_XYZ'!B48:C48))</f>
        <v/>
      </c>
      <c r="P709" s="64" t="str">
        <f>IF($N709="","",'Input LwA_XYZ'!Q48)</f>
        <v/>
      </c>
      <c r="Q709" s="91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91" t="str">
        <f>IF($N709="","",IF(_xlfn.XLOOKUP(Tables!$L$662,'Input LwA_XYZ'!$BV$1:$CJ$1,'Input LwA_XYZ'!BV48:CJ48)="","-",_xlfn.XLOOKUP(Tables!$L$662,'Input LwA_XYZ'!$BV$1:$CJ$1,'Input LwA_XYZ'!BV48:CJ48)))</f>
        <v/>
      </c>
      <c r="S709" s="91" t="str">
        <f>IF($N709="","",IF('Input LwA_XYZ'!S48="","-",'Input LwA_XYZ'!S48))</f>
        <v/>
      </c>
      <c r="T709" s="65" t="str">
        <f>IF($N709="","",_xlfn.XLOOKUP(Tables!$L$662,'Input LwA_XYZ'!$DD$1:$DR$1,'Input LwA_XYZ'!DD48:DR48))</f>
        <v/>
      </c>
    </row>
    <row r="710" spans="14:20" ht="16.5" x14ac:dyDescent="0.3">
      <c r="N710" s="190" t="str">
        <f>IF('Input LwA_XYZ'!A49 = 0, "", 'Input LwA_XYZ'!A49)</f>
        <v/>
      </c>
      <c r="O710" s="189" t="str">
        <f>IF($N710="","",_xlfn.TEXTJOIN(" - ",TRUE,'Input LwA_XYZ'!B49:C49))</f>
        <v/>
      </c>
      <c r="P710" s="64" t="str">
        <f>IF($N710="","",'Input LwA_XYZ'!Q49)</f>
        <v/>
      </c>
      <c r="Q710" s="91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91" t="str">
        <f>IF($N710="","",IF(_xlfn.XLOOKUP(Tables!$L$662,'Input LwA_XYZ'!$BV$1:$CJ$1,'Input LwA_XYZ'!BV49:CJ49)="","-",_xlfn.XLOOKUP(Tables!$L$662,'Input LwA_XYZ'!$BV$1:$CJ$1,'Input LwA_XYZ'!BV49:CJ49)))</f>
        <v/>
      </c>
      <c r="S710" s="91" t="str">
        <f>IF($N710="","",IF('Input LwA_XYZ'!S49="","-",'Input LwA_XYZ'!S49))</f>
        <v/>
      </c>
      <c r="T710" s="65" t="str">
        <f>IF($N710="","",_xlfn.XLOOKUP(Tables!$L$662,'Input LwA_XYZ'!$DD$1:$DR$1,'Input LwA_XYZ'!DD49:DR49))</f>
        <v/>
      </c>
    </row>
    <row r="711" spans="14:20" ht="16.5" x14ac:dyDescent="0.3">
      <c r="N711" s="190" t="str">
        <f>IF('Input LwA_XYZ'!A50 = 0, "", 'Input LwA_XYZ'!A50)</f>
        <v/>
      </c>
      <c r="O711" s="189" t="str">
        <f>IF($N711="","",_xlfn.TEXTJOIN(" - ",TRUE,'Input LwA_XYZ'!B50:C50))</f>
        <v/>
      </c>
      <c r="P711" s="64" t="str">
        <f>IF($N711="","",'Input LwA_XYZ'!Q50)</f>
        <v/>
      </c>
      <c r="Q711" s="91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91" t="str">
        <f>IF($N711="","",IF(_xlfn.XLOOKUP(Tables!$L$662,'Input LwA_XYZ'!$BV$1:$CJ$1,'Input LwA_XYZ'!BV50:CJ50)="","-",_xlfn.XLOOKUP(Tables!$L$662,'Input LwA_XYZ'!$BV$1:$CJ$1,'Input LwA_XYZ'!BV50:CJ50)))</f>
        <v/>
      </c>
      <c r="S711" s="91" t="str">
        <f>IF($N711="","",IF('Input LwA_XYZ'!S50="","-",'Input LwA_XYZ'!S50))</f>
        <v/>
      </c>
      <c r="T711" s="65" t="str">
        <f>IF($N711="","",_xlfn.XLOOKUP(Tables!$L$662,'Input LwA_XYZ'!$DD$1:$DR$1,'Input LwA_XYZ'!DD50:DR50))</f>
        <v/>
      </c>
    </row>
    <row r="712" spans="14:20" ht="16.5" x14ac:dyDescent="0.3">
      <c r="N712" s="190" t="str">
        <f>IF('Input LwA_XYZ'!A51 = 0, "", 'Input LwA_XYZ'!A51)</f>
        <v/>
      </c>
      <c r="O712" s="189" t="str">
        <f>IF($N712="","",_xlfn.TEXTJOIN(" - ",TRUE,'Input LwA_XYZ'!B51:C51))</f>
        <v/>
      </c>
      <c r="P712" s="64" t="str">
        <f>IF($N712="","",'Input LwA_XYZ'!Q51)</f>
        <v/>
      </c>
      <c r="Q712" s="91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91" t="str">
        <f>IF($N712="","",IF(_xlfn.XLOOKUP(Tables!$L$662,'Input LwA_XYZ'!$BV$1:$CJ$1,'Input LwA_XYZ'!BV51:CJ51)="","-",_xlfn.XLOOKUP(Tables!$L$662,'Input LwA_XYZ'!$BV$1:$CJ$1,'Input LwA_XYZ'!BV51:CJ51)))</f>
        <v/>
      </c>
      <c r="S712" s="91" t="str">
        <f>IF($N712="","",IF('Input LwA_XYZ'!S51="","-",'Input LwA_XYZ'!S51))</f>
        <v/>
      </c>
      <c r="T712" s="65" t="str">
        <f>IF($N712="","",_xlfn.XLOOKUP(Tables!$L$662,'Input LwA_XYZ'!$DD$1:$DR$1,'Input LwA_XYZ'!DD51:DR51))</f>
        <v/>
      </c>
    </row>
    <row r="713" spans="14:20" ht="16.5" x14ac:dyDescent="0.3">
      <c r="N713" s="190" t="str">
        <f>IF('Input LwA_XYZ'!A52 = 0, "", 'Input LwA_XYZ'!A52)</f>
        <v/>
      </c>
      <c r="O713" s="189" t="str">
        <f>IF($N713="","",_xlfn.TEXTJOIN(" - ",TRUE,'Input LwA_XYZ'!B52:C52))</f>
        <v/>
      </c>
      <c r="P713" s="64" t="str">
        <f>IF($N713="","",'Input LwA_XYZ'!Q52)</f>
        <v/>
      </c>
      <c r="Q713" s="91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91" t="str">
        <f>IF($N713="","",IF(_xlfn.XLOOKUP(Tables!$L$662,'Input LwA_XYZ'!$BV$1:$CJ$1,'Input LwA_XYZ'!BV52:CJ52)="","-",_xlfn.XLOOKUP(Tables!$L$662,'Input LwA_XYZ'!$BV$1:$CJ$1,'Input LwA_XYZ'!BV52:CJ52)))</f>
        <v/>
      </c>
      <c r="S713" s="91" t="str">
        <f>IF($N713="","",IF('Input LwA_XYZ'!S52="","-",'Input LwA_XYZ'!S52))</f>
        <v/>
      </c>
      <c r="T713" s="65" t="str">
        <f>IF($N713="","",_xlfn.XLOOKUP(Tables!$L$662,'Input LwA_XYZ'!$DD$1:$DR$1,'Input LwA_XYZ'!DD52:DR52))</f>
        <v/>
      </c>
    </row>
    <row r="714" spans="14:20" ht="16.5" x14ac:dyDescent="0.3">
      <c r="N714" s="190" t="str">
        <f>IF('Input LwA_XYZ'!A53 = 0, "", 'Input LwA_XYZ'!A53)</f>
        <v/>
      </c>
      <c r="O714" s="189" t="str">
        <f>IF($N714="","",_xlfn.TEXTJOIN(" - ",TRUE,'Input LwA_XYZ'!B53:C53))</f>
        <v/>
      </c>
      <c r="P714" s="64" t="str">
        <f>IF($N714="","",'Input LwA_XYZ'!Q53)</f>
        <v/>
      </c>
      <c r="Q714" s="91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91" t="str">
        <f>IF($N714="","",IF(_xlfn.XLOOKUP(Tables!$L$662,'Input LwA_XYZ'!$BV$1:$CJ$1,'Input LwA_XYZ'!BV53:CJ53)="","-",_xlfn.XLOOKUP(Tables!$L$662,'Input LwA_XYZ'!$BV$1:$CJ$1,'Input LwA_XYZ'!BV53:CJ53)))</f>
        <v/>
      </c>
      <c r="S714" s="91" t="str">
        <f>IF($N714="","",IF('Input LwA_XYZ'!S53="","-",'Input LwA_XYZ'!S53))</f>
        <v/>
      </c>
      <c r="T714" s="65" t="str">
        <f>IF($N714="","",_xlfn.XLOOKUP(Tables!$L$662,'Input LwA_XYZ'!$DD$1:$DR$1,'Input LwA_XYZ'!DD53:DR53))</f>
        <v/>
      </c>
    </row>
    <row r="715" spans="14:20" ht="16.5" x14ac:dyDescent="0.3">
      <c r="N715" s="190" t="str">
        <f>IF('Input LwA_XYZ'!A54 = 0, "", 'Input LwA_XYZ'!A54)</f>
        <v/>
      </c>
      <c r="O715" s="189" t="str">
        <f>IF($N715="","",_xlfn.TEXTJOIN(" - ",TRUE,'Input LwA_XYZ'!B54:C54))</f>
        <v/>
      </c>
      <c r="P715" s="64" t="str">
        <f>IF($N715="","",'Input LwA_XYZ'!Q54)</f>
        <v/>
      </c>
      <c r="Q715" s="91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91" t="str">
        <f>IF($N715="","",IF(_xlfn.XLOOKUP(Tables!$L$662,'Input LwA_XYZ'!$BV$1:$CJ$1,'Input LwA_XYZ'!BV54:CJ54)="","-",_xlfn.XLOOKUP(Tables!$L$662,'Input LwA_XYZ'!$BV$1:$CJ$1,'Input LwA_XYZ'!BV54:CJ54)))</f>
        <v/>
      </c>
      <c r="S715" s="91" t="str">
        <f>IF($N715="","",IF('Input LwA_XYZ'!S54="","-",'Input LwA_XYZ'!S54))</f>
        <v/>
      </c>
      <c r="T715" s="65" t="str">
        <f>IF($N715="","",_xlfn.XLOOKUP(Tables!$L$662,'Input LwA_XYZ'!$DD$1:$DR$1,'Input LwA_XYZ'!DD54:DR54))</f>
        <v/>
      </c>
    </row>
    <row r="716" spans="14:20" ht="16.5" x14ac:dyDescent="0.3">
      <c r="N716" s="190" t="str">
        <f>IF('Input LwA_XYZ'!A55 = 0, "", 'Input LwA_XYZ'!A55)</f>
        <v/>
      </c>
      <c r="O716" s="189" t="str">
        <f>IF($N716="","",_xlfn.TEXTJOIN(" - ",TRUE,'Input LwA_XYZ'!B55:C55))</f>
        <v/>
      </c>
      <c r="P716" s="64" t="str">
        <f>IF($N716="","",'Input LwA_XYZ'!Q55)</f>
        <v/>
      </c>
      <c r="Q716" s="91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91" t="str">
        <f>IF($N716="","",IF(_xlfn.XLOOKUP(Tables!$L$662,'Input LwA_XYZ'!$BV$1:$CJ$1,'Input LwA_XYZ'!BV55:CJ55)="","-",_xlfn.XLOOKUP(Tables!$L$662,'Input LwA_XYZ'!$BV$1:$CJ$1,'Input LwA_XYZ'!BV55:CJ55)))</f>
        <v/>
      </c>
      <c r="S716" s="91" t="str">
        <f>IF($N716="","",IF('Input LwA_XYZ'!S55="","-",'Input LwA_XYZ'!S55))</f>
        <v/>
      </c>
      <c r="T716" s="65" t="str">
        <f>IF($N716="","",_xlfn.XLOOKUP(Tables!$L$662,'Input LwA_XYZ'!$DD$1:$DR$1,'Input LwA_XYZ'!DD55:DR55))</f>
        <v/>
      </c>
    </row>
    <row r="717" spans="14:20" ht="16.5" x14ac:dyDescent="0.3">
      <c r="N717" s="190" t="str">
        <f>IF('Input LwA_XYZ'!A56 = 0, "", 'Input LwA_XYZ'!A56)</f>
        <v/>
      </c>
      <c r="O717" s="189" t="str">
        <f>IF($N717="","",_xlfn.TEXTJOIN(" - ",TRUE,'Input LwA_XYZ'!B56:C56))</f>
        <v/>
      </c>
      <c r="P717" s="64" t="str">
        <f>IF($N717="","",'Input LwA_XYZ'!Q56)</f>
        <v/>
      </c>
      <c r="Q717" s="91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91" t="str">
        <f>IF($N717="","",IF(_xlfn.XLOOKUP(Tables!$L$662,'Input LwA_XYZ'!$BV$1:$CJ$1,'Input LwA_XYZ'!BV56:CJ56)="","-",_xlfn.XLOOKUP(Tables!$L$662,'Input LwA_XYZ'!$BV$1:$CJ$1,'Input LwA_XYZ'!BV56:CJ56)))</f>
        <v/>
      </c>
      <c r="S717" s="91" t="str">
        <f>IF($N717="","",IF('Input LwA_XYZ'!S56="","-",'Input LwA_XYZ'!S56))</f>
        <v/>
      </c>
      <c r="T717" s="65" t="str">
        <f>IF($N717="","",_xlfn.XLOOKUP(Tables!$L$662,'Input LwA_XYZ'!$DD$1:$DR$1,'Input LwA_XYZ'!DD56:DR56))</f>
        <v/>
      </c>
    </row>
    <row r="718" spans="14:20" ht="16.5" x14ac:dyDescent="0.3">
      <c r="N718" s="190" t="str">
        <f>IF('Input LwA_XYZ'!A57 = 0, "", 'Input LwA_XYZ'!A57)</f>
        <v/>
      </c>
      <c r="O718" s="189" t="str">
        <f>IF($N718="","",_xlfn.TEXTJOIN(" - ",TRUE,'Input LwA_XYZ'!B57:C57))</f>
        <v/>
      </c>
      <c r="P718" s="64" t="str">
        <f>IF($N718="","",'Input LwA_XYZ'!Q57)</f>
        <v/>
      </c>
      <c r="Q718" s="91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91" t="str">
        <f>IF($N718="","",IF(_xlfn.XLOOKUP(Tables!$L$662,'Input LwA_XYZ'!$BV$1:$CJ$1,'Input LwA_XYZ'!BV57:CJ57)="","-",_xlfn.XLOOKUP(Tables!$L$662,'Input LwA_XYZ'!$BV$1:$CJ$1,'Input LwA_XYZ'!BV57:CJ57)))</f>
        <v/>
      </c>
      <c r="S718" s="91" t="str">
        <f>IF($N718="","",IF('Input LwA_XYZ'!S57="","-",'Input LwA_XYZ'!S57))</f>
        <v/>
      </c>
      <c r="T718" s="65" t="str">
        <f>IF($N718="","",_xlfn.XLOOKUP(Tables!$L$662,'Input LwA_XYZ'!$DD$1:$DR$1,'Input LwA_XYZ'!DD57:DR57))</f>
        <v/>
      </c>
    </row>
    <row r="719" spans="14:20" ht="17.25" thickBot="1" x14ac:dyDescent="0.35">
      <c r="N719" s="191" t="str">
        <f>IF('Input LwA_XYZ'!A58 = 0, "", 'Input LwA_XYZ'!A58)</f>
        <v/>
      </c>
      <c r="O719" s="192" t="str">
        <f>IF($N719="","",_xlfn.TEXTJOIN(" - ",TRUE,'Input LwA_XYZ'!B58:C58))</f>
        <v/>
      </c>
      <c r="P719" s="99" t="str">
        <f>IF($N719="","",'Input LwA_XYZ'!Q58)</f>
        <v/>
      </c>
      <c r="Q719" s="100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91" t="str">
        <f>IF($N719="","",IF(_xlfn.XLOOKUP(Tables!$L$662,'Input LwA_XYZ'!$BV$1:$CJ$1,'Input LwA_XYZ'!BV58:CJ58)="","-",_xlfn.XLOOKUP(Tables!$L$662,'Input LwA_XYZ'!$BV$1:$CJ$1,'Input LwA_XYZ'!BV58:CJ58)))</f>
        <v/>
      </c>
      <c r="S719" s="91" t="str">
        <f>IF($N719="","",IF('Input LwA_XYZ'!S58="","-",'Input LwA_XYZ'!S58))</f>
        <v/>
      </c>
      <c r="T719" s="66" t="str">
        <f>IF($N719="","",_xlfn.XLOOKUP(Tables!$L$662,'Input LwA_XYZ'!$DD$1:$DR$1,'Input LwA_XYZ'!DD58:DR58))</f>
        <v/>
      </c>
    </row>
    <row r="720" spans="14:20" ht="17.25" thickBot="1" x14ac:dyDescent="0.35">
      <c r="N720" s="101" t="s">
        <v>85</v>
      </c>
      <c r="O720" s="102"/>
      <c r="P720" s="102"/>
      <c r="Q720" s="102"/>
      <c r="R720" s="102"/>
      <c r="S720" s="103"/>
      <c r="T720" s="108" t="str">
        <f>_xlfn.XLOOKUP(Tables!$L$662,'Input LwA_XYZ'!$Z$2:$Z$16,'Input LwA_XYZ'!$AE$2:$AE$16)</f>
        <v/>
      </c>
    </row>
    <row r="721" spans="12:20" ht="15.75" thickBot="1" x14ac:dyDescent="0.3"/>
    <row r="722" spans="12:20" ht="33.75" thickBot="1" x14ac:dyDescent="0.35">
      <c r="L722" s="69" t="s">
        <v>251</v>
      </c>
      <c r="N722" s="93" t="s">
        <v>79</v>
      </c>
      <c r="O722" s="94" t="s">
        <v>80</v>
      </c>
      <c r="P722" s="95" t="s">
        <v>81</v>
      </c>
      <c r="Q722" s="95" t="s">
        <v>82</v>
      </c>
      <c r="R722" s="96" t="s">
        <v>83</v>
      </c>
      <c r="S722" s="97" t="s">
        <v>84</v>
      </c>
      <c r="T722" s="98" t="s">
        <v>78</v>
      </c>
    </row>
    <row r="723" spans="12:20" ht="16.5" x14ac:dyDescent="0.3">
      <c r="N723" s="188">
        <f>IF('Input LwA_XYZ'!A2 = 0, "", 'Input LwA_XYZ'!A2)</f>
        <v>1</v>
      </c>
      <c r="O723" s="189" t="str">
        <f>IF($N723="","",_xlfn.TEXTJOIN(" - ",TRUE,'Input LwA_XYZ'!B2:C2))</f>
        <v>MAU-R1 - Ducted Inlet</v>
      </c>
      <c r="P723" s="90">
        <f>IF($N723="","",'Input LwA_XYZ'!Q2)</f>
        <v>86</v>
      </c>
      <c r="Q723" s="91" t="str">
        <f>IF($N723="","",-1*ROUND(_xlfn.XLOOKUP(Tables!$L$722,'Input LwA_XYZ'!$AY$1:$BM$1,'Input LwA_XYZ'!AY2:BM2),0) &amp; " / " &amp; ROUND(_xlfn.XLOOKUP(Tables!$L$722,'Input LwA_XYZ'!$AH$1:$AV$1,'Input LwA_XYZ'!AH2:AV2),0) &amp; " ft")</f>
        <v>42 / 162 ft</v>
      </c>
      <c r="R723" s="91" t="str">
        <f>IF($N723="","",IF(_xlfn.XLOOKUP(Tables!$L$722,'Input LwA_XYZ'!$BV$1:$CJ$1,'Input LwA_XYZ'!BV2:CJ2)="","-",_xlfn.XLOOKUP(Tables!$L$722,'Input LwA_XYZ'!$BV$1:$CJ$1,'Input LwA_XYZ'!BV2:CJ2)))</f>
        <v>-</v>
      </c>
      <c r="S723" s="91" t="str">
        <f>IF($N723="","",IF('Input LwA_XYZ'!S2="","-",'Input LwA_XYZ'!S2))</f>
        <v>-</v>
      </c>
      <c r="T723" s="92">
        <f>IF($N723="","",_xlfn.XLOOKUP(Tables!$L$722,'Input LwA_XYZ'!$DD$1:$DR$1,'Input LwA_XYZ'!DD2:DR2))</f>
        <v>44.138152188324661</v>
      </c>
    </row>
    <row r="724" spans="12:20" ht="16.5" x14ac:dyDescent="0.3">
      <c r="N724" s="190">
        <f>IF('Input LwA_XYZ'!A3 = 0, "", 'Input LwA_XYZ'!A3)</f>
        <v>1</v>
      </c>
      <c r="O724" s="189" t="str">
        <f>IF($N724="","",_xlfn.TEXTJOIN(" - ",TRUE,'Input LwA_XYZ'!B3:C3))</f>
        <v>ERV-R.1 - Outdoor+Casing+Exhaust</v>
      </c>
      <c r="P724" s="64">
        <f>IF($N724="","",'Input LwA_XYZ'!Q3)</f>
        <v>91</v>
      </c>
      <c r="Q724" s="91" t="str">
        <f>IF($N724="","",-1*ROUND(_xlfn.XLOOKUP(Tables!$L$722,'Input LwA_XYZ'!$AY$1:$BM$1,'Input LwA_XYZ'!AY3:BM3),0) &amp; " / " &amp; ROUND(_xlfn.XLOOKUP(Tables!$L$722,'Input LwA_XYZ'!$AH$1:$AV$1,'Input LwA_XYZ'!AH3:AV3),0) &amp; " ft")</f>
        <v>44 / 209 ft</v>
      </c>
      <c r="R724" s="91" t="str">
        <f>IF($N724="","",IF(_xlfn.XLOOKUP(Tables!$L$722,'Input LwA_XYZ'!$BV$1:$CJ$1,'Input LwA_XYZ'!BV3:CJ3)="","-",_xlfn.XLOOKUP(Tables!$L$722,'Input LwA_XYZ'!$BV$1:$CJ$1,'Input LwA_XYZ'!BV3:CJ3)))</f>
        <v>-</v>
      </c>
      <c r="S724" s="91" t="str">
        <f>IF($N724="","",IF('Input LwA_XYZ'!S3="","-",'Input LwA_XYZ'!S3))</f>
        <v>-</v>
      </c>
      <c r="T724" s="65">
        <f>IF($N724="","",_xlfn.XLOOKUP(Tables!$L$722,'Input LwA_XYZ'!$DD$1:$DR$1,'Input LwA_XYZ'!DD3:DR3))</f>
        <v>46.916163500616804</v>
      </c>
    </row>
    <row r="725" spans="12:20" ht="16.5" x14ac:dyDescent="0.3">
      <c r="N725" s="190">
        <f>IF('Input LwA_XYZ'!A4 = 0, "", 'Input LwA_XYZ'!A4)</f>
        <v>1</v>
      </c>
      <c r="O725" s="189" t="str">
        <f>IF($N725="","",_xlfn.TEXTJOIN(" - ",TRUE,'Input LwA_XYZ'!B4:C4))</f>
        <v>GEF-R1  - Inlet (plus ductwork lined)</v>
      </c>
      <c r="P725" s="64">
        <f>IF($N725="","",'Input LwA_XYZ'!Q4)</f>
        <v>82</v>
      </c>
      <c r="Q725" s="91" t="str">
        <f>IF($N725="","",-1*ROUND(_xlfn.XLOOKUP(Tables!$L$722,'Input LwA_XYZ'!$AY$1:$BM$1,'Input LwA_XYZ'!AY4:BM4),0) &amp; " / " &amp; ROUND(_xlfn.XLOOKUP(Tables!$L$722,'Input LwA_XYZ'!$AH$1:$AV$1,'Input LwA_XYZ'!AH4:AV4),0) &amp; " ft")</f>
        <v>45 / 227 ft</v>
      </c>
      <c r="R725" s="91" t="str">
        <f>IF($N725="","",IF(_xlfn.XLOOKUP(Tables!$L$722,'Input LwA_XYZ'!$BV$1:$CJ$1,'Input LwA_XYZ'!BV4:CJ4)="","-",_xlfn.XLOOKUP(Tables!$L$722,'Input LwA_XYZ'!$BV$1:$CJ$1,'Input LwA_XYZ'!BV4:CJ4)))</f>
        <v>-</v>
      </c>
      <c r="S725" s="91">
        <f>IF($N725="","",IF('Input LwA_XYZ'!S4="","-",'Input LwA_XYZ'!S4))</f>
        <v>13</v>
      </c>
      <c r="T725" s="65">
        <f>IF($N725="","",_xlfn.XLOOKUP(Tables!$L$722,'Input LwA_XYZ'!$DD$1:$DR$1,'Input LwA_XYZ'!DD4:DR4))</f>
        <v>24.209702003731167</v>
      </c>
    </row>
    <row r="726" spans="12:20" ht="16.5" x14ac:dyDescent="0.3">
      <c r="N726" s="190">
        <f>IF('Input LwA_XYZ'!A5 = 0, "", 'Input LwA_XYZ'!A5)</f>
        <v>1</v>
      </c>
      <c r="O726" s="189" t="str">
        <f>IF($N726="","",_xlfn.TEXTJOIN(" - ",TRUE,'Input LwA_XYZ'!B5:C5))</f>
        <v>DEF-R1, R2 - Inlet</v>
      </c>
      <c r="P726" s="64">
        <f>IF($N726="","",'Input LwA_XYZ'!Q5)</f>
        <v>70</v>
      </c>
      <c r="Q726" s="91" t="str">
        <f>IF($N726="","",-1*ROUND(_xlfn.XLOOKUP(Tables!$L$722,'Input LwA_XYZ'!$AY$1:$BM$1,'Input LwA_XYZ'!AY5:BM5),0) &amp; " / " &amp; ROUND(_xlfn.XLOOKUP(Tables!$L$722,'Input LwA_XYZ'!$AH$1:$AV$1,'Input LwA_XYZ'!AH5:AV5),0) &amp; " ft")</f>
        <v>45 / 221 ft</v>
      </c>
      <c r="R726" s="91" t="str">
        <f>IF($N726="","",IF(_xlfn.XLOOKUP(Tables!$L$722,'Input LwA_XYZ'!$BV$1:$CJ$1,'Input LwA_XYZ'!BV5:CJ5)="","-",_xlfn.XLOOKUP(Tables!$L$722,'Input LwA_XYZ'!$BV$1:$CJ$1,'Input LwA_XYZ'!BV5:CJ5)))</f>
        <v>-</v>
      </c>
      <c r="S726" s="91" t="str">
        <f>IF($N726="","",IF('Input LwA_XYZ'!S5="","-",'Input LwA_XYZ'!S5))</f>
        <v>-</v>
      </c>
      <c r="T726" s="65">
        <f>IF($N726="","",_xlfn.XLOOKUP(Tables!$L$722,'Input LwA_XYZ'!$DD$1:$DR$1,'Input LwA_XYZ'!DD5:DR5))</f>
        <v>25.440965737971545</v>
      </c>
    </row>
    <row r="727" spans="12:20" ht="16.5" x14ac:dyDescent="0.3">
      <c r="N727" s="190">
        <f>IF('Input LwA_XYZ'!A6 = 0, "", 'Input LwA_XYZ'!A6)</f>
        <v>1</v>
      </c>
      <c r="O727" s="189" t="str">
        <f>IF($N727="","",_xlfn.TEXTJOIN(" - ",TRUE,'Input LwA_XYZ'!B6:C6))</f>
        <v>KEF-R1  - Inlet</v>
      </c>
      <c r="P727" s="64">
        <f>IF($N727="","",'Input LwA_XYZ'!Q6)</f>
        <v>80</v>
      </c>
      <c r="Q727" s="91" t="str">
        <f>IF($N727="","",-1*ROUND(_xlfn.XLOOKUP(Tables!$L$722,'Input LwA_XYZ'!$AY$1:$BM$1,'Input LwA_XYZ'!AY6:BM6),0) &amp; " / " &amp; ROUND(_xlfn.XLOOKUP(Tables!$L$722,'Input LwA_XYZ'!$AH$1:$AV$1,'Input LwA_XYZ'!AH6:AV6),0) &amp; " ft")</f>
        <v>41 / 143 ft</v>
      </c>
      <c r="R727" s="91" t="str">
        <f>IF($N727="","",IF(_xlfn.XLOOKUP(Tables!$L$722,'Input LwA_XYZ'!$BV$1:$CJ$1,'Input LwA_XYZ'!BV6:CJ6)="","-",_xlfn.XLOOKUP(Tables!$L$722,'Input LwA_XYZ'!$BV$1:$CJ$1,'Input LwA_XYZ'!BV6:CJ6)))</f>
        <v>-</v>
      </c>
      <c r="S727" s="91" t="str">
        <f>IF($N727="","",IF('Input LwA_XYZ'!S6="","-",'Input LwA_XYZ'!S6))</f>
        <v>-</v>
      </c>
      <c r="T727" s="65">
        <f>IF($N727="","",_xlfn.XLOOKUP(Tables!$L$722,'Input LwA_XYZ'!$DD$1:$DR$1,'Input LwA_XYZ'!DD6:DR6))</f>
        <v>39.206517993449772</v>
      </c>
    </row>
    <row r="728" spans="12:20" ht="16.5" x14ac:dyDescent="0.3">
      <c r="N728" s="190">
        <f>IF('Input LwA_XYZ'!A7 = 0, "", 'Input LwA_XYZ'!A7)</f>
        <v>1</v>
      </c>
      <c r="O728" s="189" t="str">
        <f>IF($N728="","",_xlfn.TEXTJOIN(" - ",TRUE,'Input LwA_XYZ'!B7:C7))</f>
        <v>DWEF-R1 - Inlet</v>
      </c>
      <c r="P728" s="64">
        <f>IF($N728="","",'Input LwA_XYZ'!Q7)</f>
        <v>71</v>
      </c>
      <c r="Q728" s="91" t="str">
        <f>IF($N728="","",-1*ROUND(_xlfn.XLOOKUP(Tables!$L$722,'Input LwA_XYZ'!$AY$1:$BM$1,'Input LwA_XYZ'!AY7:BM7),0) &amp; " / " &amp; ROUND(_xlfn.XLOOKUP(Tables!$L$722,'Input LwA_XYZ'!$AH$1:$AV$1,'Input LwA_XYZ'!AH7:AV7),0) &amp; " ft")</f>
        <v>41 / 153 ft</v>
      </c>
      <c r="R728" s="91" t="str">
        <f>IF($N728="","",IF(_xlfn.XLOOKUP(Tables!$L$722,'Input LwA_XYZ'!$BV$1:$CJ$1,'Input LwA_XYZ'!BV7:CJ7)="","-",_xlfn.XLOOKUP(Tables!$L$722,'Input LwA_XYZ'!$BV$1:$CJ$1,'Input LwA_XYZ'!BV7:CJ7)))</f>
        <v>-</v>
      </c>
      <c r="S728" s="91" t="str">
        <f>IF($N728="","",IF('Input LwA_XYZ'!S7="","-",'Input LwA_XYZ'!S7))</f>
        <v>-</v>
      </c>
      <c r="T728" s="65">
        <f>IF($N728="","",_xlfn.XLOOKUP(Tables!$L$722,'Input LwA_XYZ'!$DD$1:$DR$1,'Input LwA_XYZ'!DD7:DR7))</f>
        <v>29.624386760746141</v>
      </c>
    </row>
    <row r="729" spans="12:20" ht="16.5" x14ac:dyDescent="0.3">
      <c r="N729" s="190">
        <f>IF('Input LwA_XYZ'!A8 = 0, "", 'Input LwA_XYZ'!A8)</f>
        <v>1</v>
      </c>
      <c r="O729" s="189" t="str">
        <f>IF($N729="","",_xlfn.TEXTJOIN(" - ",TRUE,'Input LwA_XYZ'!B8:C8))</f>
        <v>CU-R1 - Radiated</v>
      </c>
      <c r="P729" s="64">
        <f>IF($N729="","",'Input LwA_XYZ'!Q8)</f>
        <v>84</v>
      </c>
      <c r="Q729" s="91" t="str">
        <f>IF($N729="","",-1*ROUND(_xlfn.XLOOKUP(Tables!$L$722,'Input LwA_XYZ'!$AY$1:$BM$1,'Input LwA_XYZ'!AY8:BM8),0) &amp; " / " &amp; ROUND(_xlfn.XLOOKUP(Tables!$L$722,'Input LwA_XYZ'!$AH$1:$AV$1,'Input LwA_XYZ'!AH8:AV8),0) &amp; " ft")</f>
        <v>43 / 196 ft</v>
      </c>
      <c r="R729" s="91" t="str">
        <f>IF($N729="","",IF(_xlfn.XLOOKUP(Tables!$L$722,'Input LwA_XYZ'!$BV$1:$CJ$1,'Input LwA_XYZ'!BV8:CJ8)="","-",_xlfn.XLOOKUP(Tables!$L$722,'Input LwA_XYZ'!$BV$1:$CJ$1,'Input LwA_XYZ'!BV8:CJ8)))</f>
        <v>-</v>
      </c>
      <c r="S729" s="91" t="str">
        <f>IF($N729="","",IF('Input LwA_XYZ'!S8="","-",'Input LwA_XYZ'!S8))</f>
        <v>-</v>
      </c>
      <c r="T729" s="65">
        <f>IF($N729="","",_xlfn.XLOOKUP(Tables!$L$722,'Input LwA_XYZ'!$DD$1:$DR$1,'Input LwA_XYZ'!DD8:DR8))</f>
        <v>40.502360776769571</v>
      </c>
    </row>
    <row r="730" spans="12:20" ht="16.5" x14ac:dyDescent="0.3">
      <c r="N730" s="190">
        <f>IF('Input LwA_XYZ'!A9 = 0, "", 'Input LwA_XYZ'!A9)</f>
        <v>1</v>
      </c>
      <c r="O730" s="189" t="str">
        <f>IF($N730="","",_xlfn.TEXTJOIN(" - ",TRUE,'Input LwA_XYZ'!B9:C9))</f>
        <v>CU-R2 - Radiated</v>
      </c>
      <c r="P730" s="64">
        <f>IF($N730="","",'Input LwA_XYZ'!Q9)</f>
        <v>81</v>
      </c>
      <c r="Q730" s="91" t="str">
        <f>IF($N730="","",-1*ROUND(_xlfn.XLOOKUP(Tables!$L$722,'Input LwA_XYZ'!$AY$1:$BM$1,'Input LwA_XYZ'!AY9:BM9),0) &amp; " / " &amp; ROUND(_xlfn.XLOOKUP(Tables!$L$722,'Input LwA_XYZ'!$AH$1:$AV$1,'Input LwA_XYZ'!AH9:AV9),0) &amp; " ft")</f>
        <v>43 / 191 ft</v>
      </c>
      <c r="R730" s="91" t="str">
        <f>IF($N730="","",IF(_xlfn.XLOOKUP(Tables!$L$722,'Input LwA_XYZ'!$BV$1:$CJ$1,'Input LwA_XYZ'!BV9:CJ9)="","-",_xlfn.XLOOKUP(Tables!$L$722,'Input LwA_XYZ'!$BV$1:$CJ$1,'Input LwA_XYZ'!BV9:CJ9)))</f>
        <v>-</v>
      </c>
      <c r="S730" s="91" t="str">
        <f>IF($N730="","",IF('Input LwA_XYZ'!S9="","-",'Input LwA_XYZ'!S9))</f>
        <v>-</v>
      </c>
      <c r="T730" s="65">
        <f>IF($N730="","",_xlfn.XLOOKUP(Tables!$L$722,'Input LwA_XYZ'!$DD$1:$DR$1,'Input LwA_XYZ'!DD9:DR9))</f>
        <v>37.707259956290457</v>
      </c>
    </row>
    <row r="731" spans="12:20" ht="16.5" x14ac:dyDescent="0.3">
      <c r="N731" s="190">
        <f>IF('Input LwA_XYZ'!A10 = 0, "", 'Input LwA_XYZ'!A10)</f>
        <v>1</v>
      </c>
      <c r="O731" s="189" t="str">
        <f>IF($N731="","",_xlfn.TEXTJOIN(" - ",TRUE,'Input LwA_XYZ'!B10:C10))</f>
        <v>CU-R4 - Radiated</v>
      </c>
      <c r="P731" s="64">
        <f>IF($N731="","",'Input LwA_XYZ'!Q10)</f>
        <v>73</v>
      </c>
      <c r="Q731" s="91" t="str">
        <f>IF($N731="","",-1*ROUND(_xlfn.XLOOKUP(Tables!$L$722,'Input LwA_XYZ'!$AY$1:$BM$1,'Input LwA_XYZ'!AY10:BM10),0) &amp; " / " &amp; ROUND(_xlfn.XLOOKUP(Tables!$L$722,'Input LwA_XYZ'!$AH$1:$AV$1,'Input LwA_XYZ'!AH10:AV10),0) &amp; " ft")</f>
        <v>44 / 203 ft</v>
      </c>
      <c r="R731" s="91" t="str">
        <f>IF($N731="","",IF(_xlfn.XLOOKUP(Tables!$L$722,'Input LwA_XYZ'!$BV$1:$CJ$1,'Input LwA_XYZ'!BV10:CJ10)="","-",_xlfn.XLOOKUP(Tables!$L$722,'Input LwA_XYZ'!$BV$1:$CJ$1,'Input LwA_XYZ'!BV10:CJ10)))</f>
        <v>-</v>
      </c>
      <c r="S731" s="91" t="str">
        <f>IF($N731="","",IF('Input LwA_XYZ'!S10="","-",'Input LwA_XYZ'!S10))</f>
        <v>-</v>
      </c>
      <c r="T731" s="65">
        <f>IF($N731="","",_xlfn.XLOOKUP(Tables!$L$722,'Input LwA_XYZ'!$DD$1:$DR$1,'Input LwA_XYZ'!DD10:DR10))</f>
        <v>29.203095283617799</v>
      </c>
    </row>
    <row r="732" spans="12:20" ht="16.5" x14ac:dyDescent="0.3">
      <c r="N732" s="190">
        <f>IF('Input LwA_XYZ'!A11 = 0, "", 'Input LwA_XYZ'!A11)</f>
        <v>1</v>
      </c>
      <c r="O732" s="189" t="str">
        <f>IF($N732="","",_xlfn.TEXTJOIN(" - ",TRUE,'Input LwA_XYZ'!B11:C11))</f>
        <v>CU-R5 - Radiated</v>
      </c>
      <c r="P732" s="64">
        <f>IF($N732="","",'Input LwA_XYZ'!Q11)</f>
        <v>75</v>
      </c>
      <c r="Q732" s="91" t="str">
        <f>IF($N732="","",-1*ROUND(_xlfn.XLOOKUP(Tables!$L$722,'Input LwA_XYZ'!$AY$1:$BM$1,'Input LwA_XYZ'!AY11:BM11),0) &amp; " / " &amp; ROUND(_xlfn.XLOOKUP(Tables!$L$722,'Input LwA_XYZ'!$AH$1:$AV$1,'Input LwA_XYZ'!AH11:AV11),0) &amp; " ft")</f>
        <v>42 / 171 ft</v>
      </c>
      <c r="R732" s="91" t="str">
        <f>IF($N732="","",IF(_xlfn.XLOOKUP(Tables!$L$722,'Input LwA_XYZ'!$BV$1:$CJ$1,'Input LwA_XYZ'!BV11:CJ11)="","-",_xlfn.XLOOKUP(Tables!$L$722,'Input LwA_XYZ'!$BV$1:$CJ$1,'Input LwA_XYZ'!BV11:CJ11)))</f>
        <v>-</v>
      </c>
      <c r="S732" s="91" t="str">
        <f>IF($N732="","",IF('Input LwA_XYZ'!S11="","-",'Input LwA_XYZ'!S11))</f>
        <v>-</v>
      </c>
      <c r="T732" s="65">
        <f>IF($N732="","",_xlfn.XLOOKUP(Tables!$L$722,'Input LwA_XYZ'!$DD$1:$DR$1,'Input LwA_XYZ'!DD11:DR11))</f>
        <v>32.671354572324766</v>
      </c>
    </row>
    <row r="733" spans="12:20" ht="16.5" x14ac:dyDescent="0.3">
      <c r="N733" s="190">
        <f>IF('Input LwA_XYZ'!A12 = 0, "", 'Input LwA_XYZ'!A12)</f>
        <v>4</v>
      </c>
      <c r="O733" s="189" t="str">
        <f>IF($N733="","",_xlfn.TEXTJOIN(" - ",TRUE,'Input LwA_XYZ'!B12:C12))</f>
        <v>RCU-R(4p)1 - Radiated</v>
      </c>
      <c r="P733" s="64">
        <f>IF($N733="","",'Input LwA_XYZ'!Q12)</f>
        <v>79.020599913279625</v>
      </c>
      <c r="Q733" s="91" t="str">
        <f>IF($N733="","",-1*ROUND(_xlfn.XLOOKUP(Tables!$L$722,'Input LwA_XYZ'!$AY$1:$BM$1,'Input LwA_XYZ'!AY12:BM12),0) &amp; " / " &amp; ROUND(_xlfn.XLOOKUP(Tables!$L$722,'Input LwA_XYZ'!$AH$1:$AV$1,'Input LwA_XYZ'!AH12:AV12),0) &amp; " ft")</f>
        <v>45 / 246 ft</v>
      </c>
      <c r="R733" s="91" t="str">
        <f>IF($N733="","",IF(_xlfn.XLOOKUP(Tables!$L$722,'Input LwA_XYZ'!$BV$1:$CJ$1,'Input LwA_XYZ'!BV12:CJ12)="","-",_xlfn.XLOOKUP(Tables!$L$722,'Input LwA_XYZ'!$BV$1:$CJ$1,'Input LwA_XYZ'!BV12:CJ12)))</f>
        <v>-</v>
      </c>
      <c r="S733" s="91" t="str">
        <f>IF($N733="","",IF('Input LwA_XYZ'!S12="","-",'Input LwA_XYZ'!S12))</f>
        <v>-</v>
      </c>
      <c r="T733" s="65">
        <f>IF($N733="","",_xlfn.XLOOKUP(Tables!$L$722,'Input LwA_XYZ'!$DD$1:$DR$1,'Input LwA_XYZ'!DD12:DR12))</f>
        <v>33.536483243585444</v>
      </c>
    </row>
    <row r="734" spans="12:20" ht="16.5" x14ac:dyDescent="0.3">
      <c r="N734" s="190">
        <f>IF('Input LwA_XYZ'!A13 = 0, "", 'Input LwA_XYZ'!A13)</f>
        <v>4</v>
      </c>
      <c r="O734" s="189" t="str">
        <f>IF($N734="","",_xlfn.TEXTJOIN(" - ",TRUE,'Input LwA_XYZ'!B13:C13))</f>
        <v>RCU-R(4p)2 - Radiated</v>
      </c>
      <c r="P734" s="64">
        <f>IF($N734="","",'Input LwA_XYZ'!Q13)</f>
        <v>79.020599913279625</v>
      </c>
      <c r="Q734" s="91" t="str">
        <f>IF($N734="","",-1*ROUND(_xlfn.XLOOKUP(Tables!$L$722,'Input LwA_XYZ'!$AY$1:$BM$1,'Input LwA_XYZ'!AY13:BM13),0) &amp; " / " &amp; ROUND(_xlfn.XLOOKUP(Tables!$L$722,'Input LwA_XYZ'!$AH$1:$AV$1,'Input LwA_XYZ'!AH13:AV13),0) &amp; " ft")</f>
        <v>45 / 230 ft</v>
      </c>
      <c r="R734" s="91" t="str">
        <f>IF($N734="","",IF(_xlfn.XLOOKUP(Tables!$L$722,'Input LwA_XYZ'!$BV$1:$CJ$1,'Input LwA_XYZ'!BV13:CJ13)="","-",_xlfn.XLOOKUP(Tables!$L$722,'Input LwA_XYZ'!$BV$1:$CJ$1,'Input LwA_XYZ'!BV13:CJ13)))</f>
        <v>-</v>
      </c>
      <c r="S734" s="91" t="str">
        <f>IF($N734="","",IF('Input LwA_XYZ'!S13="","-",'Input LwA_XYZ'!S13))</f>
        <v>-</v>
      </c>
      <c r="T734" s="65">
        <f>IF($N734="","",_xlfn.XLOOKUP(Tables!$L$722,'Input LwA_XYZ'!$DD$1:$DR$1,'Input LwA_XYZ'!DD13:DR13))</f>
        <v>34.11378069640692</v>
      </c>
    </row>
    <row r="735" spans="12:20" ht="16.5" x14ac:dyDescent="0.3">
      <c r="N735" s="190">
        <f>IF('Input LwA_XYZ'!A14 = 0, "", 'Input LwA_XYZ'!A14)</f>
        <v>4</v>
      </c>
      <c r="O735" s="189" t="str">
        <f>IF($N735="","",_xlfn.TEXTJOIN(" - ",TRUE,'Input LwA_XYZ'!B14:C14))</f>
        <v>RCU-R(4p)3 - Radiated</v>
      </c>
      <c r="P735" s="64">
        <f>IF($N735="","",'Input LwA_XYZ'!Q14)</f>
        <v>79.020599913279625</v>
      </c>
      <c r="Q735" s="91" t="str">
        <f>IF($N735="","",-1*ROUND(_xlfn.XLOOKUP(Tables!$L$722,'Input LwA_XYZ'!$AY$1:$BM$1,'Input LwA_XYZ'!AY14:BM14),0) &amp; " / " &amp; ROUND(_xlfn.XLOOKUP(Tables!$L$722,'Input LwA_XYZ'!$AH$1:$AV$1,'Input LwA_XYZ'!AH14:AV14),0) &amp; " ft")</f>
        <v>44 / 202 ft</v>
      </c>
      <c r="R735" s="91" t="str">
        <f>IF($N735="","",IF(_xlfn.XLOOKUP(Tables!$L$722,'Input LwA_XYZ'!$BV$1:$CJ$1,'Input LwA_XYZ'!BV14:CJ14)="","-",_xlfn.XLOOKUP(Tables!$L$722,'Input LwA_XYZ'!$BV$1:$CJ$1,'Input LwA_XYZ'!BV14:CJ14)))</f>
        <v>-</v>
      </c>
      <c r="S735" s="91" t="str">
        <f>IF($N735="","",IF('Input LwA_XYZ'!S14="","-",'Input LwA_XYZ'!S14))</f>
        <v>-</v>
      </c>
      <c r="T735" s="65">
        <f>IF($N735="","",_xlfn.XLOOKUP(Tables!$L$722,'Input LwA_XYZ'!$DD$1:$DR$1,'Input LwA_XYZ'!DD14:DR14))</f>
        <v>35.252575662003203</v>
      </c>
    </row>
    <row r="736" spans="12:20" ht="16.5" x14ac:dyDescent="0.3">
      <c r="N736" s="190">
        <f>IF('Input LwA_XYZ'!A15 = 0, "", 'Input LwA_XYZ'!A15)</f>
        <v>2</v>
      </c>
      <c r="O736" s="189" t="str">
        <f>IF($N736="","",_xlfn.TEXTJOIN(" - ",TRUE,'Input LwA_XYZ'!B15:C15))</f>
        <v>RCU-R(2p) - Radiated</v>
      </c>
      <c r="P736" s="64">
        <f>IF($N736="","",'Input LwA_XYZ'!Q15)</f>
        <v>76.010299956639813</v>
      </c>
      <c r="Q736" s="91" t="str">
        <f>IF($N736="","",-1*ROUND(_xlfn.XLOOKUP(Tables!$L$722,'Input LwA_XYZ'!$AY$1:$BM$1,'Input LwA_XYZ'!AY15:BM15),0) &amp; " / " &amp; ROUND(_xlfn.XLOOKUP(Tables!$L$722,'Input LwA_XYZ'!$AH$1:$AV$1,'Input LwA_XYZ'!AH15:AV15),0) &amp; " ft")</f>
        <v>43 / 190 ft</v>
      </c>
      <c r="R736" s="91" t="str">
        <f>IF($N736="","",IF(_xlfn.XLOOKUP(Tables!$L$722,'Input LwA_XYZ'!$BV$1:$CJ$1,'Input LwA_XYZ'!BV15:CJ15)="","-",_xlfn.XLOOKUP(Tables!$L$722,'Input LwA_XYZ'!$BV$1:$CJ$1,'Input LwA_XYZ'!BV15:CJ15)))</f>
        <v>-</v>
      </c>
      <c r="S736" s="91" t="str">
        <f>IF($N736="","",IF('Input LwA_XYZ'!S15="","-",'Input LwA_XYZ'!S15))</f>
        <v>-</v>
      </c>
      <c r="T736" s="65">
        <f>IF($N736="","",_xlfn.XLOOKUP(Tables!$L$722,'Input LwA_XYZ'!$DD$1:$DR$1,'Input LwA_XYZ'!DD15:DR15))</f>
        <v>32.752216308610215</v>
      </c>
    </row>
    <row r="737" spans="14:20" ht="16.5" x14ac:dyDescent="0.3">
      <c r="N737" s="190">
        <f>IF('Input LwA_XYZ'!A16 = 0, "", 'Input LwA_XYZ'!A16)</f>
        <v>2</v>
      </c>
      <c r="O737" s="189" t="str">
        <f>IF($N737="","",_xlfn.TEXTJOIN(" - ",TRUE,'Input LwA_XYZ'!B16:C16))</f>
        <v>RCU-R(2p)1 - Radiated</v>
      </c>
      <c r="P737" s="64">
        <f>IF($N737="","",'Input LwA_XYZ'!Q16)</f>
        <v>76.010299956639813</v>
      </c>
      <c r="Q737" s="91" t="str">
        <f>IF($N737="","",-1*ROUND(_xlfn.XLOOKUP(Tables!$L$722,'Input LwA_XYZ'!$AY$1:$BM$1,'Input LwA_XYZ'!AY16:BM16),0) &amp; " / " &amp; ROUND(_xlfn.XLOOKUP(Tables!$L$722,'Input LwA_XYZ'!$AH$1:$AV$1,'Input LwA_XYZ'!AH16:AV16),0) &amp; " ft")</f>
        <v>42 / 168 ft</v>
      </c>
      <c r="R737" s="91" t="str">
        <f>IF($N737="","",IF(_xlfn.XLOOKUP(Tables!$L$722,'Input LwA_XYZ'!$BV$1:$CJ$1,'Input LwA_XYZ'!BV16:CJ16)="","-",_xlfn.XLOOKUP(Tables!$L$722,'Input LwA_XYZ'!$BV$1:$CJ$1,'Input LwA_XYZ'!BV16:CJ16)))</f>
        <v>-</v>
      </c>
      <c r="S737" s="91" t="str">
        <f>IF($N737="","",IF('Input LwA_XYZ'!S16="","-",'Input LwA_XYZ'!S16))</f>
        <v>-</v>
      </c>
      <c r="T737" s="65">
        <f>IF($N737="","",_xlfn.XLOOKUP(Tables!$L$722,'Input LwA_XYZ'!$DD$1:$DR$1,'Input LwA_XYZ'!DD16:DR16))</f>
        <v>33.834137407946159</v>
      </c>
    </row>
    <row r="738" spans="14:20" ht="16.5" x14ac:dyDescent="0.3">
      <c r="N738" s="190">
        <f>IF('Input LwA_XYZ'!A17 = 0, "", 'Input LwA_XYZ'!A17)</f>
        <v>4</v>
      </c>
      <c r="O738" s="189" t="str">
        <f>IF($N738="","",_xlfn.TEXTJOIN(" - ",TRUE,'Input LwA_XYZ'!B17:C17))</f>
        <v>RCU-R(4p)4 - Radiated</v>
      </c>
      <c r="P738" s="64">
        <f>IF($N738="","",'Input LwA_XYZ'!Q17)</f>
        <v>79.020599913279625</v>
      </c>
      <c r="Q738" s="91" t="str">
        <f>IF($N738="","",-1*ROUND(_xlfn.XLOOKUP(Tables!$L$722,'Input LwA_XYZ'!$AY$1:$BM$1,'Input LwA_XYZ'!AY17:BM17),0) &amp; " / " &amp; ROUND(_xlfn.XLOOKUP(Tables!$L$722,'Input LwA_XYZ'!$AH$1:$AV$1,'Input LwA_XYZ'!AH17:AV17),0) &amp; " ft")</f>
        <v>41 / 147 ft</v>
      </c>
      <c r="R738" s="91" t="str">
        <f>IF($N738="","",IF(_xlfn.XLOOKUP(Tables!$L$722,'Input LwA_XYZ'!$BV$1:$CJ$1,'Input LwA_XYZ'!BV17:CJ17)="","-",_xlfn.XLOOKUP(Tables!$L$722,'Input LwA_XYZ'!$BV$1:$CJ$1,'Input LwA_XYZ'!BV17:CJ17)))</f>
        <v>-</v>
      </c>
      <c r="S738" s="91" t="str">
        <f>IF($N738="","",IF('Input LwA_XYZ'!S17="","-",'Input LwA_XYZ'!S17))</f>
        <v>-</v>
      </c>
      <c r="T738" s="65">
        <f>IF($N738="","",_xlfn.XLOOKUP(Tables!$L$722,'Input LwA_XYZ'!$DD$1:$DR$1,'Input LwA_XYZ'!DD17:DR17))</f>
        <v>38.039918717943372</v>
      </c>
    </row>
    <row r="739" spans="14:20" ht="16.5" x14ac:dyDescent="0.3">
      <c r="N739" s="190">
        <f>IF('Input LwA_XYZ'!A18 = 0, "", 'Input LwA_XYZ'!A18)</f>
        <v>2</v>
      </c>
      <c r="O739" s="189" t="str">
        <f>IF($N739="","",_xlfn.TEXTJOIN(" - ",TRUE,'Input LwA_XYZ'!B18:C18))</f>
        <v>RCU-R(2p)2 - Radiated</v>
      </c>
      <c r="P739" s="64">
        <f>IF($N739="","",'Input LwA_XYZ'!Q18)</f>
        <v>76.010299956639813</v>
      </c>
      <c r="Q739" s="91" t="str">
        <f>IF($N739="","",-1*ROUND(_xlfn.XLOOKUP(Tables!$L$722,'Input LwA_XYZ'!$AY$1:$BM$1,'Input LwA_XYZ'!AY18:BM18),0) &amp; " / " &amp; ROUND(_xlfn.XLOOKUP(Tables!$L$722,'Input LwA_XYZ'!$AH$1:$AV$1,'Input LwA_XYZ'!AH18:AV18),0) &amp; " ft")</f>
        <v>41 / 153 ft</v>
      </c>
      <c r="R739" s="91" t="str">
        <f>IF($N739="","",IF(_xlfn.XLOOKUP(Tables!$L$722,'Input LwA_XYZ'!$BV$1:$CJ$1,'Input LwA_XYZ'!BV18:CJ18)="","-",_xlfn.XLOOKUP(Tables!$L$722,'Input LwA_XYZ'!$BV$1:$CJ$1,'Input LwA_XYZ'!BV18:CJ18)))</f>
        <v>-</v>
      </c>
      <c r="S739" s="91" t="str">
        <f>IF($N739="","",IF('Input LwA_XYZ'!S18="","-",'Input LwA_XYZ'!S18))</f>
        <v>-</v>
      </c>
      <c r="T739" s="65">
        <f>IF($N739="","",_xlfn.XLOOKUP(Tables!$L$722,'Input LwA_XYZ'!$DD$1:$DR$1,'Input LwA_XYZ'!DD18:DR18))</f>
        <v>34.626203151341301</v>
      </c>
    </row>
    <row r="740" spans="14:20" ht="16.5" x14ac:dyDescent="0.3">
      <c r="N740" s="190">
        <f>IF('Input LwA_XYZ'!A19 = 0, "", 'Input LwA_XYZ'!A19)</f>
        <v>2</v>
      </c>
      <c r="O740" s="189" t="str">
        <f>IF($N740="","",_xlfn.TEXTJOIN(" - ",TRUE,'Input LwA_XYZ'!B19:C19))</f>
        <v>RCU-R(2p)3 - Radiated</v>
      </c>
      <c r="P740" s="64">
        <f>IF($N740="","",'Input LwA_XYZ'!Q19)</f>
        <v>76.010299956639813</v>
      </c>
      <c r="Q740" s="91" t="str">
        <f>IF($N740="","",-1*ROUND(_xlfn.XLOOKUP(Tables!$L$722,'Input LwA_XYZ'!$AY$1:$BM$1,'Input LwA_XYZ'!AY19:BM19),0) &amp; " / " &amp; ROUND(_xlfn.XLOOKUP(Tables!$L$722,'Input LwA_XYZ'!$AH$1:$AV$1,'Input LwA_XYZ'!AH19:AV19),0) &amp; " ft")</f>
        <v>42 / 174 ft</v>
      </c>
      <c r="R740" s="91" t="str">
        <f>IF($N740="","",IF(_xlfn.XLOOKUP(Tables!$L$722,'Input LwA_XYZ'!$BV$1:$CJ$1,'Input LwA_XYZ'!BV19:CJ19)="","-",_xlfn.XLOOKUP(Tables!$L$722,'Input LwA_XYZ'!$BV$1:$CJ$1,'Input LwA_XYZ'!BV19:CJ19)))</f>
        <v>-</v>
      </c>
      <c r="S740" s="91" t="str">
        <f>IF($N740="","",IF('Input LwA_XYZ'!S19="","-",'Input LwA_XYZ'!S19))</f>
        <v>-</v>
      </c>
      <c r="T740" s="65">
        <f>IF($N740="","",_xlfn.XLOOKUP(Tables!$L$722,'Input LwA_XYZ'!$DD$1:$DR$1,'Input LwA_XYZ'!DD19:DR19))</f>
        <v>33.531132173351168</v>
      </c>
    </row>
    <row r="741" spans="14:20" ht="16.5" x14ac:dyDescent="0.3">
      <c r="N741" s="190">
        <f>IF('Input LwA_XYZ'!A20 = 0, "", 'Input LwA_XYZ'!A20)</f>
        <v>2</v>
      </c>
      <c r="O741" s="189" t="str">
        <f>IF($N741="","",_xlfn.TEXTJOIN(" - ",TRUE,'Input LwA_XYZ'!B20:C20))</f>
        <v>RCU-R(2p)4 - Radiated</v>
      </c>
      <c r="P741" s="64">
        <f>IF($N741="","",'Input LwA_XYZ'!Q20)</f>
        <v>76.010299956639813</v>
      </c>
      <c r="Q741" s="91" t="str">
        <f>IF($N741="","",-1*ROUND(_xlfn.XLOOKUP(Tables!$L$722,'Input LwA_XYZ'!$AY$1:$BM$1,'Input LwA_XYZ'!AY20:BM20),0) &amp; " / " &amp; ROUND(_xlfn.XLOOKUP(Tables!$L$722,'Input LwA_XYZ'!$AH$1:$AV$1,'Input LwA_XYZ'!AH20:AV20),0) &amp; " ft")</f>
        <v>43 / 188 ft</v>
      </c>
      <c r="R741" s="91" t="str">
        <f>IF($N741="","",IF(_xlfn.XLOOKUP(Tables!$L$722,'Input LwA_XYZ'!$BV$1:$CJ$1,'Input LwA_XYZ'!BV20:CJ20)="","-",_xlfn.XLOOKUP(Tables!$L$722,'Input LwA_XYZ'!$BV$1:$CJ$1,'Input LwA_XYZ'!BV20:CJ20)))</f>
        <v>-</v>
      </c>
      <c r="S741" s="91" t="str">
        <f>IF($N741="","",IF('Input LwA_XYZ'!S20="","-",'Input LwA_XYZ'!S20))</f>
        <v>-</v>
      </c>
      <c r="T741" s="65">
        <f>IF($N741="","",_xlfn.XLOOKUP(Tables!$L$722,'Input LwA_XYZ'!$DD$1:$DR$1,'Input LwA_XYZ'!DD20:DR20))</f>
        <v>32.86816377495628</v>
      </c>
    </row>
    <row r="742" spans="14:20" ht="16.5" x14ac:dyDescent="0.3">
      <c r="N742" s="190">
        <f>IF('Input LwA_XYZ'!A21 = 0, "", 'Input LwA_XYZ'!A21)</f>
        <v>2</v>
      </c>
      <c r="O742" s="189" t="str">
        <f>IF($N742="","",_xlfn.TEXTJOIN(" - ",TRUE,'Input LwA_XYZ'!B21:C21))</f>
        <v>RCU-R(2p)5 - Radiated</v>
      </c>
      <c r="P742" s="64">
        <f>IF($N742="","",'Input LwA_XYZ'!Q21)</f>
        <v>76.010299956639813</v>
      </c>
      <c r="Q742" s="91" t="str">
        <f>IF($N742="","",-1*ROUND(_xlfn.XLOOKUP(Tables!$L$722,'Input LwA_XYZ'!$AY$1:$BM$1,'Input LwA_XYZ'!AY21:BM21),0) &amp; " / " &amp; ROUND(_xlfn.XLOOKUP(Tables!$L$722,'Input LwA_XYZ'!$AH$1:$AV$1,'Input LwA_XYZ'!AH21:AV21),0) &amp; " ft")</f>
        <v>44 / 203 ft</v>
      </c>
      <c r="R742" s="91" t="str">
        <f>IF($N742="","",IF(_xlfn.XLOOKUP(Tables!$L$722,'Input LwA_XYZ'!$BV$1:$CJ$1,'Input LwA_XYZ'!BV21:CJ21)="","-",_xlfn.XLOOKUP(Tables!$L$722,'Input LwA_XYZ'!$BV$1:$CJ$1,'Input LwA_XYZ'!BV21:CJ21)))</f>
        <v>-</v>
      </c>
      <c r="S742" s="91" t="str">
        <f>IF($N742="","",IF('Input LwA_XYZ'!S21="","-",'Input LwA_XYZ'!S21))</f>
        <v>-</v>
      </c>
      <c r="T742" s="65">
        <f>IF($N742="","",_xlfn.XLOOKUP(Tables!$L$722,'Input LwA_XYZ'!$DD$1:$DR$1,'Input LwA_XYZ'!DD21:DR21))</f>
        <v>32.210402540305431</v>
      </c>
    </row>
    <row r="743" spans="14:20" ht="16.5" x14ac:dyDescent="0.3">
      <c r="N743" s="190">
        <f>IF('Input LwA_XYZ'!A22 = 0, "", 'Input LwA_XYZ'!A22)</f>
        <v>2</v>
      </c>
      <c r="O743" s="189" t="str">
        <f>IF($N743="","",_xlfn.TEXTJOIN(" - ",TRUE,'Input LwA_XYZ'!B22:C22))</f>
        <v>RCU-R(2p)6 - Radiated</v>
      </c>
      <c r="P743" s="64">
        <f>IF($N743="","",'Input LwA_XYZ'!Q22)</f>
        <v>76.010299956639813</v>
      </c>
      <c r="Q743" s="91" t="str">
        <f>IF($N743="","",-1*ROUND(_xlfn.XLOOKUP(Tables!$L$722,'Input LwA_XYZ'!$AY$1:$BM$1,'Input LwA_XYZ'!AY22:BM22),0) &amp; " / " &amp; ROUND(_xlfn.XLOOKUP(Tables!$L$722,'Input LwA_XYZ'!$AH$1:$AV$1,'Input LwA_XYZ'!AH22:AV22),0) &amp; " ft")</f>
        <v>44 / 218 ft</v>
      </c>
      <c r="R743" s="91" t="str">
        <f>IF($N743="","",IF(_xlfn.XLOOKUP(Tables!$L$722,'Input LwA_XYZ'!$BV$1:$CJ$1,'Input LwA_XYZ'!BV22:CJ22)="","-",_xlfn.XLOOKUP(Tables!$L$722,'Input LwA_XYZ'!$BV$1:$CJ$1,'Input LwA_XYZ'!BV22:CJ22)))</f>
        <v>-</v>
      </c>
      <c r="S743" s="91" t="str">
        <f>IF($N743="","",IF('Input LwA_XYZ'!S22="","-",'Input LwA_XYZ'!S22))</f>
        <v>-</v>
      </c>
      <c r="T743" s="65">
        <f>IF($N743="","",_xlfn.XLOOKUP(Tables!$L$722,'Input LwA_XYZ'!$DD$1:$DR$1,'Input LwA_XYZ'!DD22:DR22))</f>
        <v>31.572313832482209</v>
      </c>
    </row>
    <row r="744" spans="14:20" ht="16.5" x14ac:dyDescent="0.3">
      <c r="N744" s="190">
        <f>IF('Input LwA_XYZ'!A23 = 0, "", 'Input LwA_XYZ'!A23)</f>
        <v>1</v>
      </c>
      <c r="O744" s="189" t="str">
        <f>IF($N744="","",_xlfn.TEXTJOIN(" - ",TRUE,'Input LwA_XYZ'!B23:C23))</f>
        <v>BEF-R01  - Inlet</v>
      </c>
      <c r="P744" s="64">
        <f>IF($N744="","",'Input LwA_XYZ'!Q23)</f>
        <v>57</v>
      </c>
      <c r="Q744" s="91" t="str">
        <f>IF($N744="","",-1*ROUND(_xlfn.XLOOKUP(Tables!$L$722,'Input LwA_XYZ'!$AY$1:$BM$1,'Input LwA_XYZ'!AY23:BM23),0) &amp; " / " &amp; ROUND(_xlfn.XLOOKUP(Tables!$L$722,'Input LwA_XYZ'!$AH$1:$AV$1,'Input LwA_XYZ'!AH23:AV23),0) &amp; " ft")</f>
        <v>39 / 123 ft</v>
      </c>
      <c r="R744" s="91" t="str">
        <f>IF($N744="","",IF(_xlfn.XLOOKUP(Tables!$L$722,'Input LwA_XYZ'!$BV$1:$CJ$1,'Input LwA_XYZ'!BV23:CJ23)="","-",_xlfn.XLOOKUP(Tables!$L$722,'Input LwA_XYZ'!$BV$1:$CJ$1,'Input LwA_XYZ'!BV23:CJ23)))</f>
        <v>-</v>
      </c>
      <c r="S744" s="91" t="str">
        <f>IF($N744="","",IF('Input LwA_XYZ'!S23="","-",'Input LwA_XYZ'!S23))</f>
        <v>-</v>
      </c>
      <c r="T744" s="65">
        <f>IF($N744="","",_xlfn.XLOOKUP(Tables!$L$722,'Input LwA_XYZ'!$DD$1:$DR$1,'Input LwA_XYZ'!DD23:DR23))</f>
        <v>17.524923149226339</v>
      </c>
    </row>
    <row r="745" spans="14:20" ht="16.5" x14ac:dyDescent="0.3">
      <c r="N745" s="190">
        <f>IF('Input LwA_XYZ'!A24 = 0, "", 'Input LwA_XYZ'!A24)</f>
        <v>1</v>
      </c>
      <c r="O745" s="189" t="str">
        <f>IF($N745="","",_xlfn.TEXTJOIN(" - ",TRUE,'Input LwA_XYZ'!B24:C24))</f>
        <v>BEF-R02  - Inlet</v>
      </c>
      <c r="P745" s="64">
        <f>IF($N745="","",'Input LwA_XYZ'!Q24)</f>
        <v>66</v>
      </c>
      <c r="Q745" s="91" t="str">
        <f>IF($N745="","",-1*ROUND(_xlfn.XLOOKUP(Tables!$L$722,'Input LwA_XYZ'!$AY$1:$BM$1,'Input LwA_XYZ'!AY24:BM24),0) &amp; " / " &amp; ROUND(_xlfn.XLOOKUP(Tables!$L$722,'Input LwA_XYZ'!$AH$1:$AV$1,'Input LwA_XYZ'!AH24:AV24),0) &amp; " ft")</f>
        <v>40 / 138 ft</v>
      </c>
      <c r="R745" s="91" t="str">
        <f>IF($N745="","",IF(_xlfn.XLOOKUP(Tables!$L$722,'Input LwA_XYZ'!$BV$1:$CJ$1,'Input LwA_XYZ'!BV24:CJ24)="","-",_xlfn.XLOOKUP(Tables!$L$722,'Input LwA_XYZ'!$BV$1:$CJ$1,'Input LwA_XYZ'!BV24:CJ24)))</f>
        <v>-</v>
      </c>
      <c r="S745" s="91" t="str">
        <f>IF($N745="","",IF('Input LwA_XYZ'!S24="","-",'Input LwA_XYZ'!S24))</f>
        <v>-</v>
      </c>
      <c r="T745" s="65">
        <f>IF($N745="","",_xlfn.XLOOKUP(Tables!$L$722,'Input LwA_XYZ'!$DD$1:$DR$1,'Input LwA_XYZ'!DD24:DR24))</f>
        <v>25.558301321549493</v>
      </c>
    </row>
    <row r="746" spans="14:20" ht="16.5" x14ac:dyDescent="0.3">
      <c r="N746" s="190">
        <f>IF('Input LwA_XYZ'!A25 = 0, "", 'Input LwA_XYZ'!A25)</f>
        <v>1</v>
      </c>
      <c r="O746" s="189" t="str">
        <f>IF($N746="","",_xlfn.TEXTJOIN(" - ",TRUE,'Input LwA_XYZ'!B25:C25))</f>
        <v>BEF-R03  - Inlet</v>
      </c>
      <c r="P746" s="64">
        <f>IF($N746="","",'Input LwA_XYZ'!Q25)</f>
        <v>66</v>
      </c>
      <c r="Q746" s="91" t="str">
        <f>IF($N746="","",-1*ROUND(_xlfn.XLOOKUP(Tables!$L$722,'Input LwA_XYZ'!$AY$1:$BM$1,'Input LwA_XYZ'!AY25:BM25),0) &amp; " / " &amp; ROUND(_xlfn.XLOOKUP(Tables!$L$722,'Input LwA_XYZ'!$AH$1:$AV$1,'Input LwA_XYZ'!AH25:AV25),0) &amp; " ft")</f>
        <v>42 / 159 ft</v>
      </c>
      <c r="R746" s="91" t="str">
        <f>IF($N746="","",IF(_xlfn.XLOOKUP(Tables!$L$722,'Input LwA_XYZ'!$BV$1:$CJ$1,'Input LwA_XYZ'!BV25:CJ25)="","-",_xlfn.XLOOKUP(Tables!$L$722,'Input LwA_XYZ'!$BV$1:$CJ$1,'Input LwA_XYZ'!BV25:CJ25)))</f>
        <v>-</v>
      </c>
      <c r="S746" s="91" t="str">
        <f>IF($N746="","",IF('Input LwA_XYZ'!S25="","-",'Input LwA_XYZ'!S25))</f>
        <v>-</v>
      </c>
      <c r="T746" s="65">
        <f>IF($N746="","",_xlfn.XLOOKUP(Tables!$L$722,'Input LwA_XYZ'!$DD$1:$DR$1,'Input LwA_XYZ'!DD25:DR25))</f>
        <v>24.324638741792718</v>
      </c>
    </row>
    <row r="747" spans="14:20" ht="16.5" x14ac:dyDescent="0.3">
      <c r="N747" s="190">
        <f>IF('Input LwA_XYZ'!A26 = 0, "", 'Input LwA_XYZ'!A26)</f>
        <v>1</v>
      </c>
      <c r="O747" s="189" t="str">
        <f>IF($N747="","",_xlfn.TEXTJOIN(" - ",TRUE,'Input LwA_XYZ'!B26:C26))</f>
        <v>BEF-R04  - Inlet</v>
      </c>
      <c r="P747" s="64">
        <f>IF($N747="","",'Input LwA_XYZ'!Q26)</f>
        <v>66</v>
      </c>
      <c r="Q747" s="91" t="str">
        <f>IF($N747="","",-1*ROUND(_xlfn.XLOOKUP(Tables!$L$722,'Input LwA_XYZ'!$AY$1:$BM$1,'Input LwA_XYZ'!AY26:BM26),0) &amp; " / " &amp; ROUND(_xlfn.XLOOKUP(Tables!$L$722,'Input LwA_XYZ'!$AH$1:$AV$1,'Input LwA_XYZ'!AH26:AV26),0) &amp; " ft")</f>
        <v>43 / 181 ft</v>
      </c>
      <c r="R747" s="91" t="str">
        <f>IF($N747="","",IF(_xlfn.XLOOKUP(Tables!$L$722,'Input LwA_XYZ'!$BV$1:$CJ$1,'Input LwA_XYZ'!BV26:CJ26)="","-",_xlfn.XLOOKUP(Tables!$L$722,'Input LwA_XYZ'!$BV$1:$CJ$1,'Input LwA_XYZ'!BV26:CJ26)))</f>
        <v>-</v>
      </c>
      <c r="S747" s="91" t="str">
        <f>IF($N747="","",IF('Input LwA_XYZ'!S26="","-",'Input LwA_XYZ'!S26))</f>
        <v>-</v>
      </c>
      <c r="T747" s="65">
        <f>IF($N747="","",_xlfn.XLOOKUP(Tables!$L$722,'Input LwA_XYZ'!$DD$1:$DR$1,'Input LwA_XYZ'!DD26:DR26))</f>
        <v>23.168375747855407</v>
      </c>
    </row>
    <row r="748" spans="14:20" ht="16.5" x14ac:dyDescent="0.3">
      <c r="N748" s="190">
        <f>IF('Input LwA_XYZ'!A27 = 0, "", 'Input LwA_XYZ'!A27)</f>
        <v>1</v>
      </c>
      <c r="O748" s="189" t="str">
        <f>IF($N748="","",_xlfn.TEXTJOIN(" - ",TRUE,'Input LwA_XYZ'!B27:C27))</f>
        <v>BEF-R05  - Inlet</v>
      </c>
      <c r="P748" s="64">
        <f>IF($N748="","",'Input LwA_XYZ'!Q27)</f>
        <v>66</v>
      </c>
      <c r="Q748" s="91" t="str">
        <f>IF($N748="","",-1*ROUND(_xlfn.XLOOKUP(Tables!$L$722,'Input LwA_XYZ'!$AY$1:$BM$1,'Input LwA_XYZ'!AY27:BM27),0) &amp; " / " &amp; ROUND(_xlfn.XLOOKUP(Tables!$L$722,'Input LwA_XYZ'!$AH$1:$AV$1,'Input LwA_XYZ'!AH27:AV27),0) &amp; " ft")</f>
        <v>44 / 199 ft</v>
      </c>
      <c r="R748" s="91" t="str">
        <f>IF($N748="","",IF(_xlfn.XLOOKUP(Tables!$L$722,'Input LwA_XYZ'!$BV$1:$CJ$1,'Input LwA_XYZ'!BV27:CJ27)="","-",_xlfn.XLOOKUP(Tables!$L$722,'Input LwA_XYZ'!$BV$1:$CJ$1,'Input LwA_XYZ'!BV27:CJ27)))</f>
        <v>-</v>
      </c>
      <c r="S748" s="91" t="str">
        <f>IF($N748="","",IF('Input LwA_XYZ'!S27="","-",'Input LwA_XYZ'!S27))</f>
        <v>-</v>
      </c>
      <c r="T748" s="65">
        <f>IF($N748="","",_xlfn.XLOOKUP(Tables!$L$722,'Input LwA_XYZ'!$DD$1:$DR$1,'Input LwA_XYZ'!DD27:DR27))</f>
        <v>22.371723595961846</v>
      </c>
    </row>
    <row r="749" spans="14:20" ht="16.5" x14ac:dyDescent="0.3">
      <c r="N749" s="190">
        <f>IF('Input LwA_XYZ'!A28 = 0, "", 'Input LwA_XYZ'!A28)</f>
        <v>1</v>
      </c>
      <c r="O749" s="189" t="str">
        <f>IF($N749="","",_xlfn.TEXTJOIN(" - ",TRUE,'Input LwA_XYZ'!B28:C28))</f>
        <v>BEF-R06  - Inlet</v>
      </c>
      <c r="P749" s="64">
        <f>IF($N749="","",'Input LwA_XYZ'!Q28)</f>
        <v>66</v>
      </c>
      <c r="Q749" s="91" t="str">
        <f>IF($N749="","",-1*ROUND(_xlfn.XLOOKUP(Tables!$L$722,'Input LwA_XYZ'!$AY$1:$BM$1,'Input LwA_XYZ'!AY28:BM28),0) &amp; " / " &amp; ROUND(_xlfn.XLOOKUP(Tables!$L$722,'Input LwA_XYZ'!$AH$1:$AV$1,'Input LwA_XYZ'!AH28:AV28),0) &amp; " ft")</f>
        <v>43 / 194 ft</v>
      </c>
      <c r="R749" s="91" t="str">
        <f>IF($N749="","",IF(_xlfn.XLOOKUP(Tables!$L$722,'Input LwA_XYZ'!$BV$1:$CJ$1,'Input LwA_XYZ'!BV28:CJ28)="","-",_xlfn.XLOOKUP(Tables!$L$722,'Input LwA_XYZ'!$BV$1:$CJ$1,'Input LwA_XYZ'!BV28:CJ28)))</f>
        <v>-</v>
      </c>
      <c r="S749" s="91" t="str">
        <f>IF($N749="","",IF('Input LwA_XYZ'!S28="","-",'Input LwA_XYZ'!S28))</f>
        <v>-</v>
      </c>
      <c r="T749" s="65">
        <f>IF($N749="","",_xlfn.XLOOKUP(Tables!$L$722,'Input LwA_XYZ'!$DD$1:$DR$1,'Input LwA_XYZ'!DD28:DR28))</f>
        <v>22.571853354436364</v>
      </c>
    </row>
    <row r="750" spans="14:20" ht="16.5" x14ac:dyDescent="0.3">
      <c r="N750" s="190">
        <f>IF('Input LwA_XYZ'!A29 = 0, "", 'Input LwA_XYZ'!A29)</f>
        <v>1</v>
      </c>
      <c r="O750" s="189" t="str">
        <f>IF($N750="","",_xlfn.TEXTJOIN(" - ",TRUE,'Input LwA_XYZ'!B29:C29))</f>
        <v>BEF-R07  - Inlet</v>
      </c>
      <c r="P750" s="64">
        <f>IF($N750="","",'Input LwA_XYZ'!Q29)</f>
        <v>57</v>
      </c>
      <c r="Q750" s="91" t="str">
        <f>IF($N750="","",-1*ROUND(_xlfn.XLOOKUP(Tables!$L$722,'Input LwA_XYZ'!$AY$1:$BM$1,'Input LwA_XYZ'!AY29:BM29),0) &amp; " / " &amp; ROUND(_xlfn.XLOOKUP(Tables!$L$722,'Input LwA_XYZ'!$AH$1:$AV$1,'Input LwA_XYZ'!AH29:AV29),0) &amp; " ft")</f>
        <v>43 / 195 ft</v>
      </c>
      <c r="R750" s="91" t="str">
        <f>IF($N750="","",IF(_xlfn.XLOOKUP(Tables!$L$722,'Input LwA_XYZ'!$BV$1:$CJ$1,'Input LwA_XYZ'!BV29:CJ29)="","-",_xlfn.XLOOKUP(Tables!$L$722,'Input LwA_XYZ'!$BV$1:$CJ$1,'Input LwA_XYZ'!BV29:CJ29)))</f>
        <v>-</v>
      </c>
      <c r="S750" s="91" t="str">
        <f>IF($N750="","",IF('Input LwA_XYZ'!S29="","-",'Input LwA_XYZ'!S29))</f>
        <v>-</v>
      </c>
      <c r="T750" s="65">
        <f>IF($N750="","",_xlfn.XLOOKUP(Tables!$L$722,'Input LwA_XYZ'!$DD$1:$DR$1,'Input LwA_XYZ'!DD29:DR29))</f>
        <v>13.555575842541174</v>
      </c>
    </row>
    <row r="751" spans="14:20" ht="16.5" x14ac:dyDescent="0.3">
      <c r="N751" s="190">
        <f>IF('Input LwA_XYZ'!A30 = 0, "", 'Input LwA_XYZ'!A30)</f>
        <v>1</v>
      </c>
      <c r="O751" s="189" t="str">
        <f>IF($N751="","",_xlfn.TEXTJOIN(" - ",TRUE,'Input LwA_XYZ'!B30:C30))</f>
        <v>BEF-R08  - Inlet</v>
      </c>
      <c r="P751" s="64">
        <f>IF($N751="","",'Input LwA_XYZ'!Q30)</f>
        <v>57</v>
      </c>
      <c r="Q751" s="91" t="str">
        <f>IF($N751="","",-1*ROUND(_xlfn.XLOOKUP(Tables!$L$722,'Input LwA_XYZ'!$AY$1:$BM$1,'Input LwA_XYZ'!AY30:BM30),0) &amp; " / " &amp; ROUND(_xlfn.XLOOKUP(Tables!$L$722,'Input LwA_XYZ'!$AH$1:$AV$1,'Input LwA_XYZ'!AH30:AV30),0) &amp; " ft")</f>
        <v>45 / 235 ft</v>
      </c>
      <c r="R751" s="91" t="str">
        <f>IF($N751="","",IF(_xlfn.XLOOKUP(Tables!$L$722,'Input LwA_XYZ'!$BV$1:$CJ$1,'Input LwA_XYZ'!BV30:CJ30)="","-",_xlfn.XLOOKUP(Tables!$L$722,'Input LwA_XYZ'!$BV$1:$CJ$1,'Input LwA_XYZ'!BV30:CJ30)))</f>
        <v>-</v>
      </c>
      <c r="S751" s="91" t="str">
        <f>IF($N751="","",IF('Input LwA_XYZ'!S30="","-",'Input LwA_XYZ'!S30))</f>
        <v>-</v>
      </c>
      <c r="T751" s="65">
        <f>IF($N751="","",_xlfn.XLOOKUP(Tables!$L$722,'Input LwA_XYZ'!$DD$1:$DR$1,'Input LwA_XYZ'!DD30:DR30))</f>
        <v>11.924932976016137</v>
      </c>
    </row>
    <row r="752" spans="14:20" ht="16.5" x14ac:dyDescent="0.3">
      <c r="N752" s="190">
        <f>IF('Input LwA_XYZ'!A31 = 0, "", 'Input LwA_XYZ'!A31)</f>
        <v>1</v>
      </c>
      <c r="O752" s="189" t="str">
        <f>IF($N752="","",_xlfn.TEXTJOIN(" - ",TRUE,'Input LwA_XYZ'!B31:C31))</f>
        <v>BEF-R09  - Inlet</v>
      </c>
      <c r="P752" s="64">
        <f>IF($N752="","",'Input LwA_XYZ'!Q31)</f>
        <v>66</v>
      </c>
      <c r="Q752" s="91" t="str">
        <f>IF($N752="","",-1*ROUND(_xlfn.XLOOKUP(Tables!$L$722,'Input LwA_XYZ'!$AY$1:$BM$1,'Input LwA_XYZ'!AY31:BM31),0) &amp; " / " &amp; ROUND(_xlfn.XLOOKUP(Tables!$L$722,'Input LwA_XYZ'!$AH$1:$AV$1,'Input LwA_XYZ'!AH31:AV31),0) &amp; " ft")</f>
        <v>45 / 238 ft</v>
      </c>
      <c r="R752" s="91" t="str">
        <f>IF($N752="","",IF(_xlfn.XLOOKUP(Tables!$L$722,'Input LwA_XYZ'!$BV$1:$CJ$1,'Input LwA_XYZ'!BV31:CJ31)="","-",_xlfn.XLOOKUP(Tables!$L$722,'Input LwA_XYZ'!$BV$1:$CJ$1,'Input LwA_XYZ'!BV31:CJ31)))</f>
        <v>-</v>
      </c>
      <c r="S752" s="91" t="str">
        <f>IF($N752="","",IF('Input LwA_XYZ'!S31="","-",'Input LwA_XYZ'!S31))</f>
        <v>-</v>
      </c>
      <c r="T752" s="65">
        <f>IF($N752="","",_xlfn.XLOOKUP(Tables!$L$722,'Input LwA_XYZ'!$DD$1:$DR$1,'Input LwA_XYZ'!DD31:DR31))</f>
        <v>20.789699625762694</v>
      </c>
    </row>
    <row r="753" spans="14:20" ht="16.5" x14ac:dyDescent="0.3">
      <c r="N753" s="190">
        <f>IF('Input LwA_XYZ'!A32 = 0, "", 'Input LwA_XYZ'!A32)</f>
        <v>1</v>
      </c>
      <c r="O753" s="189" t="str">
        <f>IF($N753="","",_xlfn.TEXTJOIN(" - ",TRUE,'Input LwA_XYZ'!B32:C32))</f>
        <v>BEF-R10  - Inlet</v>
      </c>
      <c r="P753" s="64">
        <f>IF($N753="","",'Input LwA_XYZ'!Q32)</f>
        <v>66</v>
      </c>
      <c r="Q753" s="91" t="str">
        <f>IF($N753="","",-1*ROUND(_xlfn.XLOOKUP(Tables!$L$722,'Input LwA_XYZ'!$AY$1:$BM$1,'Input LwA_XYZ'!AY32:BM32),0) &amp; " / " &amp; ROUND(_xlfn.XLOOKUP(Tables!$L$722,'Input LwA_XYZ'!$AH$1:$AV$1,'Input LwA_XYZ'!AH32:AV32),0) &amp; " ft")</f>
        <v>45 / 245 ft</v>
      </c>
      <c r="R753" s="91" t="str">
        <f>IF($N753="","",IF(_xlfn.XLOOKUP(Tables!$L$722,'Input LwA_XYZ'!$BV$1:$CJ$1,'Input LwA_XYZ'!BV32:CJ32)="","-",_xlfn.XLOOKUP(Tables!$L$722,'Input LwA_XYZ'!$BV$1:$CJ$1,'Input LwA_XYZ'!BV32:CJ32)))</f>
        <v>-</v>
      </c>
      <c r="S753" s="91" t="str">
        <f>IF($N753="","",IF('Input LwA_XYZ'!S32="","-",'Input LwA_XYZ'!S32))</f>
        <v>-</v>
      </c>
      <c r="T753" s="65">
        <f>IF($N753="","",_xlfn.XLOOKUP(Tables!$L$722,'Input LwA_XYZ'!$DD$1:$DR$1,'Input LwA_XYZ'!DD32:DR32))</f>
        <v>20.549999233311269</v>
      </c>
    </row>
    <row r="754" spans="14:20" ht="16.5" x14ac:dyDescent="0.3">
      <c r="N754" s="190">
        <f>IF('Input LwA_XYZ'!A33 = 0, "", 'Input LwA_XYZ'!A33)</f>
        <v>1</v>
      </c>
      <c r="O754" s="189" t="str">
        <f>IF($N754="","",_xlfn.TEXTJOIN(" - ",TRUE,'Input LwA_XYZ'!B33:C33))</f>
        <v>BEF-R11  - Inlet</v>
      </c>
      <c r="P754" s="64">
        <f>IF($N754="","",'Input LwA_XYZ'!Q33)</f>
        <v>66</v>
      </c>
      <c r="Q754" s="91" t="str">
        <f>IF($N754="","",-1*ROUND(_xlfn.XLOOKUP(Tables!$L$722,'Input LwA_XYZ'!$AY$1:$BM$1,'Input LwA_XYZ'!AY33:BM33),0) &amp; " / " &amp; ROUND(_xlfn.XLOOKUP(Tables!$L$722,'Input LwA_XYZ'!$AH$1:$AV$1,'Input LwA_XYZ'!AH33:AV33),0) &amp; " ft")</f>
        <v>46 / 249 ft</v>
      </c>
      <c r="R754" s="91" t="str">
        <f>IF($N754="","",IF(_xlfn.XLOOKUP(Tables!$L$722,'Input LwA_XYZ'!$BV$1:$CJ$1,'Input LwA_XYZ'!BV33:CJ33)="","-",_xlfn.XLOOKUP(Tables!$L$722,'Input LwA_XYZ'!$BV$1:$CJ$1,'Input LwA_XYZ'!BV33:CJ33)))</f>
        <v>-</v>
      </c>
      <c r="S754" s="91" t="str">
        <f>IF($N754="","",IF('Input LwA_XYZ'!S33="","-",'Input LwA_XYZ'!S33))</f>
        <v>-</v>
      </c>
      <c r="T754" s="65">
        <f>IF($N754="","",_xlfn.XLOOKUP(Tables!$L$722,'Input LwA_XYZ'!$DD$1:$DR$1,'Input LwA_XYZ'!DD33:DR33))</f>
        <v>20.413561674561677</v>
      </c>
    </row>
    <row r="755" spans="14:20" ht="16.5" x14ac:dyDescent="0.3">
      <c r="N755" s="190">
        <f>IF('Input LwA_XYZ'!A34 = 0, "", 'Input LwA_XYZ'!A34)</f>
        <v>1</v>
      </c>
      <c r="O755" s="189" t="str">
        <f>IF($N755="","",_xlfn.TEXTJOIN(" - ",TRUE,'Input LwA_XYZ'!B34:C34))</f>
        <v>BEF-R12  - Inlet</v>
      </c>
      <c r="P755" s="64">
        <f>IF($N755="","",'Input LwA_XYZ'!Q34)</f>
        <v>66</v>
      </c>
      <c r="Q755" s="91" t="str">
        <f>IF($N755="","",-1*ROUND(_xlfn.XLOOKUP(Tables!$L$722,'Input LwA_XYZ'!$AY$1:$BM$1,'Input LwA_XYZ'!AY34:BM34),0) &amp; " / " &amp; ROUND(_xlfn.XLOOKUP(Tables!$L$722,'Input LwA_XYZ'!$AH$1:$AV$1,'Input LwA_XYZ'!AH34:AV34),0) &amp; " ft")</f>
        <v>44 / 208 ft</v>
      </c>
      <c r="R755" s="91" t="str">
        <f>IF($N755="","",IF(_xlfn.XLOOKUP(Tables!$L$722,'Input LwA_XYZ'!$BV$1:$CJ$1,'Input LwA_XYZ'!BV34:CJ34)="","-",_xlfn.XLOOKUP(Tables!$L$722,'Input LwA_XYZ'!$BV$1:$CJ$1,'Input LwA_XYZ'!BV34:CJ34)))</f>
        <v>-</v>
      </c>
      <c r="S755" s="91" t="str">
        <f>IF($N755="","",IF('Input LwA_XYZ'!S34="","-",'Input LwA_XYZ'!S34))</f>
        <v>-</v>
      </c>
      <c r="T755" s="65">
        <f>IF($N755="","",_xlfn.XLOOKUP(Tables!$L$722,'Input LwA_XYZ'!$DD$1:$DR$1,'Input LwA_XYZ'!DD34:DR34))</f>
        <v>21.980715174611781</v>
      </c>
    </row>
    <row r="756" spans="14:20" ht="16.5" x14ac:dyDescent="0.3">
      <c r="N756" s="190">
        <f>IF('Input LwA_XYZ'!A35 = 0, "", 'Input LwA_XYZ'!A35)</f>
        <v>1</v>
      </c>
      <c r="O756" s="189" t="str">
        <f>IF($N756="","",_xlfn.TEXTJOIN(" - ",TRUE,'Input LwA_XYZ'!B35:C35))</f>
        <v>BEF-R13  - Inlet</v>
      </c>
      <c r="P756" s="64">
        <f>IF($N756="","",'Input LwA_XYZ'!Q35)</f>
        <v>66</v>
      </c>
      <c r="Q756" s="91" t="str">
        <f>IF($N756="","",-1*ROUND(_xlfn.XLOOKUP(Tables!$L$722,'Input LwA_XYZ'!$AY$1:$BM$1,'Input LwA_XYZ'!AY35:BM35),0) &amp; " / " &amp; ROUND(_xlfn.XLOOKUP(Tables!$L$722,'Input LwA_XYZ'!$AH$1:$AV$1,'Input LwA_XYZ'!AH35:AV35),0) &amp; " ft")</f>
        <v>43 / 177 ft</v>
      </c>
      <c r="R756" s="91" t="str">
        <f>IF($N756="","",IF(_xlfn.XLOOKUP(Tables!$L$722,'Input LwA_XYZ'!$BV$1:$CJ$1,'Input LwA_XYZ'!BV35:CJ35)="","-",_xlfn.XLOOKUP(Tables!$L$722,'Input LwA_XYZ'!$BV$1:$CJ$1,'Input LwA_XYZ'!BV35:CJ35)))</f>
        <v>-</v>
      </c>
      <c r="S756" s="91" t="str">
        <f>IF($N756="","",IF('Input LwA_XYZ'!S35="","-",'Input LwA_XYZ'!S35))</f>
        <v>-</v>
      </c>
      <c r="T756" s="65">
        <f>IF($N756="","",_xlfn.XLOOKUP(Tables!$L$722,'Input LwA_XYZ'!$DD$1:$DR$1,'Input LwA_XYZ'!DD35:DR35))</f>
        <v>23.39479009159399</v>
      </c>
    </row>
    <row r="757" spans="14:20" ht="16.5" x14ac:dyDescent="0.3">
      <c r="N757" s="190">
        <f>IF('Input LwA_XYZ'!A36 = 0, "", 'Input LwA_XYZ'!A36)</f>
        <v>1</v>
      </c>
      <c r="O757" s="189" t="str">
        <f>IF($N757="","",_xlfn.TEXTJOIN(" - ",TRUE,'Input LwA_XYZ'!B36:C36))</f>
        <v>BEF-R14  - Inlet</v>
      </c>
      <c r="P757" s="64">
        <f>IF($N757="","",'Input LwA_XYZ'!Q36)</f>
        <v>66</v>
      </c>
      <c r="Q757" s="91" t="str">
        <f>IF($N757="","",-1*ROUND(_xlfn.XLOOKUP(Tables!$L$722,'Input LwA_XYZ'!$AY$1:$BM$1,'Input LwA_XYZ'!AY36:BM36),0) &amp; " / " &amp; ROUND(_xlfn.XLOOKUP(Tables!$L$722,'Input LwA_XYZ'!$AH$1:$AV$1,'Input LwA_XYZ'!AH36:AV36),0) &amp; " ft")</f>
        <v>42 / 160 ft</v>
      </c>
      <c r="R757" s="91" t="str">
        <f>IF($N757="","",IF(_xlfn.XLOOKUP(Tables!$L$722,'Input LwA_XYZ'!$BV$1:$CJ$1,'Input LwA_XYZ'!BV36:CJ36)="","-",_xlfn.XLOOKUP(Tables!$L$722,'Input LwA_XYZ'!$BV$1:$CJ$1,'Input LwA_XYZ'!BV36:CJ36)))</f>
        <v>-</v>
      </c>
      <c r="S757" s="91" t="str">
        <f>IF($N757="","",IF('Input LwA_XYZ'!S36="","-",'Input LwA_XYZ'!S36))</f>
        <v>-</v>
      </c>
      <c r="T757" s="65">
        <f>IF($N757="","",_xlfn.XLOOKUP(Tables!$L$722,'Input LwA_XYZ'!$DD$1:$DR$1,'Input LwA_XYZ'!DD36:DR36))</f>
        <v>24.267760520630574</v>
      </c>
    </row>
    <row r="758" spans="14:20" ht="16.5" x14ac:dyDescent="0.3">
      <c r="N758" s="190">
        <f>IF('Input LwA_XYZ'!A37 = 0, "", 'Input LwA_XYZ'!A37)</f>
        <v>1</v>
      </c>
      <c r="O758" s="189" t="str">
        <f>IF($N758="","",_xlfn.TEXTJOIN(" - ",TRUE,'Input LwA_XYZ'!B37:C37))</f>
        <v>BEF-R15  - Inlet</v>
      </c>
      <c r="P758" s="64">
        <f>IF($N758="","",'Input LwA_XYZ'!Q37)</f>
        <v>57</v>
      </c>
      <c r="Q758" s="91" t="str">
        <f>IF($N758="","",-1*ROUND(_xlfn.XLOOKUP(Tables!$L$722,'Input LwA_XYZ'!$AY$1:$BM$1,'Input LwA_XYZ'!AY37:BM37),0) &amp; " / " &amp; ROUND(_xlfn.XLOOKUP(Tables!$L$722,'Input LwA_XYZ'!$AH$1:$AV$1,'Input LwA_XYZ'!AH37:AV37),0) &amp; " ft")</f>
        <v>41 / 151 ft</v>
      </c>
      <c r="R758" s="91" t="str">
        <f>IF($N758="","",IF(_xlfn.XLOOKUP(Tables!$L$722,'Input LwA_XYZ'!$BV$1:$CJ$1,'Input LwA_XYZ'!BV37:CJ37)="","-",_xlfn.XLOOKUP(Tables!$L$722,'Input LwA_XYZ'!$BV$1:$CJ$1,'Input LwA_XYZ'!BV37:CJ37)))</f>
        <v>-</v>
      </c>
      <c r="S758" s="91" t="str">
        <f>IF($N758="","",IF('Input LwA_XYZ'!S37="","-",'Input LwA_XYZ'!S37))</f>
        <v>-</v>
      </c>
      <c r="T758" s="65">
        <f>IF($N758="","",_xlfn.XLOOKUP(Tables!$L$722,'Input LwA_XYZ'!$DD$1:$DR$1,'Input LwA_XYZ'!DD37:DR37))</f>
        <v>15.774111416089106</v>
      </c>
    </row>
    <row r="759" spans="14:20" ht="16.5" x14ac:dyDescent="0.3">
      <c r="N759" s="190">
        <f>IF('Input LwA_XYZ'!A38 = 0, "", 'Input LwA_XYZ'!A38)</f>
        <v>1</v>
      </c>
      <c r="O759" s="189" t="str">
        <f>IF($N759="","",_xlfn.TEXTJOIN(" - ",TRUE,'Input LwA_XYZ'!B38:C38))</f>
        <v>BEF-R16  - Inlet</v>
      </c>
      <c r="P759" s="64">
        <f>IF($N759="","",'Input LwA_XYZ'!Q38)</f>
        <v>57</v>
      </c>
      <c r="Q759" s="91" t="str">
        <f>IF($N759="","",-1*ROUND(_xlfn.XLOOKUP(Tables!$L$722,'Input LwA_XYZ'!$AY$1:$BM$1,'Input LwA_XYZ'!AY38:BM38),0) &amp; " / " &amp; ROUND(_xlfn.XLOOKUP(Tables!$L$722,'Input LwA_XYZ'!$AH$1:$AV$1,'Input LwA_XYZ'!AH38:AV38),0) &amp; " ft")</f>
        <v>44 / 218 ft</v>
      </c>
      <c r="R759" s="91" t="str">
        <f>IF($N759="","",IF(_xlfn.XLOOKUP(Tables!$L$722,'Input LwA_XYZ'!$BV$1:$CJ$1,'Input LwA_XYZ'!BV38:CJ38)="","-",_xlfn.XLOOKUP(Tables!$L$722,'Input LwA_XYZ'!$BV$1:$CJ$1,'Input LwA_XYZ'!BV38:CJ38)))</f>
        <v>-</v>
      </c>
      <c r="S759" s="91" t="str">
        <f>IF($N759="","",IF('Input LwA_XYZ'!S38="","-",'Input LwA_XYZ'!S38))</f>
        <v>-</v>
      </c>
      <c r="T759" s="65">
        <f>IF($N759="","",_xlfn.XLOOKUP(Tables!$L$722,'Input LwA_XYZ'!$DD$1:$DR$1,'Input LwA_XYZ'!DD38:DR38))</f>
        <v>12.585684800234958</v>
      </c>
    </row>
    <row r="760" spans="14:20" ht="16.5" x14ac:dyDescent="0.3">
      <c r="N760" s="190" t="str">
        <f>IF('Input LwA_XYZ'!A39 = 0, "", 'Input LwA_XYZ'!A39)</f>
        <v/>
      </c>
      <c r="O760" s="189" t="str">
        <f>IF($N760="","",_xlfn.TEXTJOIN(" - ",TRUE,'Input LwA_XYZ'!B39:C39))</f>
        <v/>
      </c>
      <c r="P760" s="64" t="str">
        <f>IF($N760="","",'Input LwA_XYZ'!Q39)</f>
        <v/>
      </c>
      <c r="Q760" s="91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91" t="str">
        <f>IF($N760="","",IF(_xlfn.XLOOKUP(Tables!$L$722,'Input LwA_XYZ'!$BV$1:$CJ$1,'Input LwA_XYZ'!BV39:CJ39)="","-",_xlfn.XLOOKUP(Tables!$L$722,'Input LwA_XYZ'!$BV$1:$CJ$1,'Input LwA_XYZ'!BV39:CJ39)))</f>
        <v/>
      </c>
      <c r="S760" s="91" t="str">
        <f>IF($N760="","",IF('Input LwA_XYZ'!S39="","-",'Input LwA_XYZ'!S39))</f>
        <v/>
      </c>
      <c r="T760" s="65" t="str">
        <f>IF($N760="","",_xlfn.XLOOKUP(Tables!$L$722,'Input LwA_XYZ'!$DD$1:$DR$1,'Input LwA_XYZ'!DD39:DR39))</f>
        <v/>
      </c>
    </row>
    <row r="761" spans="14:20" ht="16.5" x14ac:dyDescent="0.3">
      <c r="N761" s="190" t="str">
        <f>IF('Input LwA_XYZ'!A40 = 0, "", 'Input LwA_XYZ'!A40)</f>
        <v/>
      </c>
      <c r="O761" s="189" t="str">
        <f>IF($N761="","",_xlfn.TEXTJOIN(" - ",TRUE,'Input LwA_XYZ'!B40:C40))</f>
        <v/>
      </c>
      <c r="P761" s="64" t="str">
        <f>IF($N761="","",'Input LwA_XYZ'!Q40)</f>
        <v/>
      </c>
      <c r="Q761" s="91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91" t="str">
        <f>IF($N761="","",IF(_xlfn.XLOOKUP(Tables!$L$722,'Input LwA_XYZ'!$BV$1:$CJ$1,'Input LwA_XYZ'!BV40:CJ40)="","-",_xlfn.XLOOKUP(Tables!$L$722,'Input LwA_XYZ'!$BV$1:$CJ$1,'Input LwA_XYZ'!BV40:CJ40)))</f>
        <v/>
      </c>
      <c r="S761" s="91" t="str">
        <f>IF($N761="","",IF('Input LwA_XYZ'!S40="","-",'Input LwA_XYZ'!S40))</f>
        <v/>
      </c>
      <c r="T761" s="65" t="str">
        <f>IF($N761="","",_xlfn.XLOOKUP(Tables!$L$722,'Input LwA_XYZ'!$DD$1:$DR$1,'Input LwA_XYZ'!DD40:DR40))</f>
        <v/>
      </c>
    </row>
    <row r="762" spans="14:20" ht="16.5" x14ac:dyDescent="0.3">
      <c r="N762" s="190" t="str">
        <f>IF('Input LwA_XYZ'!A41 = 0, "", 'Input LwA_XYZ'!A41)</f>
        <v/>
      </c>
      <c r="O762" s="189" t="str">
        <f>IF($N762="","",_xlfn.TEXTJOIN(" - ",TRUE,'Input LwA_XYZ'!B41:C41))</f>
        <v/>
      </c>
      <c r="P762" s="64" t="str">
        <f>IF($N762="","",'Input LwA_XYZ'!Q41)</f>
        <v/>
      </c>
      <c r="Q762" s="91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91" t="str">
        <f>IF($N762="","",IF(_xlfn.XLOOKUP(Tables!$L$722,'Input LwA_XYZ'!$BV$1:$CJ$1,'Input LwA_XYZ'!BV41:CJ41)="","-",_xlfn.XLOOKUP(Tables!$L$722,'Input LwA_XYZ'!$BV$1:$CJ$1,'Input LwA_XYZ'!BV41:CJ41)))</f>
        <v/>
      </c>
      <c r="S762" s="91" t="str">
        <f>IF($N762="","",IF('Input LwA_XYZ'!S41="","-",'Input LwA_XYZ'!S41))</f>
        <v/>
      </c>
      <c r="T762" s="65" t="str">
        <f>IF($N762="","",_xlfn.XLOOKUP(Tables!$L$722,'Input LwA_XYZ'!$DD$1:$DR$1,'Input LwA_XYZ'!DD41:DR41))</f>
        <v/>
      </c>
    </row>
    <row r="763" spans="14:20" ht="16.5" x14ac:dyDescent="0.3">
      <c r="N763" s="190" t="str">
        <f>IF('Input LwA_XYZ'!A42 = 0, "", 'Input LwA_XYZ'!A42)</f>
        <v/>
      </c>
      <c r="O763" s="189" t="str">
        <f>IF($N763="","",_xlfn.TEXTJOIN(" - ",TRUE,'Input LwA_XYZ'!B42:C42))</f>
        <v/>
      </c>
      <c r="P763" s="64" t="str">
        <f>IF($N763="","",'Input LwA_XYZ'!Q42)</f>
        <v/>
      </c>
      <c r="Q763" s="91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91" t="str">
        <f>IF($N763="","",IF(_xlfn.XLOOKUP(Tables!$L$722,'Input LwA_XYZ'!$BV$1:$CJ$1,'Input LwA_XYZ'!BV42:CJ42)="","-",_xlfn.XLOOKUP(Tables!$L$722,'Input LwA_XYZ'!$BV$1:$CJ$1,'Input LwA_XYZ'!BV42:CJ42)))</f>
        <v/>
      </c>
      <c r="S763" s="91" t="str">
        <f>IF($N763="","",IF('Input LwA_XYZ'!S42="","-",'Input LwA_XYZ'!S42))</f>
        <v/>
      </c>
      <c r="T763" s="65" t="str">
        <f>IF($N763="","",_xlfn.XLOOKUP(Tables!$L$722,'Input LwA_XYZ'!$DD$1:$DR$1,'Input LwA_XYZ'!DD42:DR42))</f>
        <v/>
      </c>
    </row>
    <row r="764" spans="14:20" ht="16.5" x14ac:dyDescent="0.3">
      <c r="N764" s="190" t="str">
        <f>IF('Input LwA_XYZ'!A43 = 0, "", 'Input LwA_XYZ'!A43)</f>
        <v/>
      </c>
      <c r="O764" s="189" t="str">
        <f>IF($N764="","",_xlfn.TEXTJOIN(" - ",TRUE,'Input LwA_XYZ'!B43:C43))</f>
        <v/>
      </c>
      <c r="P764" s="64" t="str">
        <f>IF($N764="","",'Input LwA_XYZ'!Q43)</f>
        <v/>
      </c>
      <c r="Q764" s="91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91" t="str">
        <f>IF($N764="","",IF(_xlfn.XLOOKUP(Tables!$L$722,'Input LwA_XYZ'!$BV$1:$CJ$1,'Input LwA_XYZ'!BV43:CJ43)="","-",_xlfn.XLOOKUP(Tables!$L$722,'Input LwA_XYZ'!$BV$1:$CJ$1,'Input LwA_XYZ'!BV43:CJ43)))</f>
        <v/>
      </c>
      <c r="S764" s="91" t="str">
        <f>IF($N764="","",IF('Input LwA_XYZ'!S43="","-",'Input LwA_XYZ'!S43))</f>
        <v/>
      </c>
      <c r="T764" s="65" t="str">
        <f>IF($N764="","",_xlfn.XLOOKUP(Tables!$L$722,'Input LwA_XYZ'!$DD$1:$DR$1,'Input LwA_XYZ'!DD43:DR43))</f>
        <v/>
      </c>
    </row>
    <row r="765" spans="14:20" ht="16.5" x14ac:dyDescent="0.3">
      <c r="N765" s="190" t="str">
        <f>IF('Input LwA_XYZ'!A44 = 0, "", 'Input LwA_XYZ'!A44)</f>
        <v/>
      </c>
      <c r="O765" s="189" t="str">
        <f>IF($N765="","",_xlfn.TEXTJOIN(" - ",TRUE,'Input LwA_XYZ'!B44:C44))</f>
        <v/>
      </c>
      <c r="P765" s="64" t="str">
        <f>IF($N765="","",'Input LwA_XYZ'!Q44)</f>
        <v/>
      </c>
      <c r="Q765" s="91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91" t="str">
        <f>IF($N765="","",IF(_xlfn.XLOOKUP(Tables!$L$722,'Input LwA_XYZ'!$BV$1:$CJ$1,'Input LwA_XYZ'!BV44:CJ44)="","-",_xlfn.XLOOKUP(Tables!$L$722,'Input LwA_XYZ'!$BV$1:$CJ$1,'Input LwA_XYZ'!BV44:CJ44)))</f>
        <v/>
      </c>
      <c r="S765" s="91" t="str">
        <f>IF($N765="","",IF('Input LwA_XYZ'!S44="","-",'Input LwA_XYZ'!S44))</f>
        <v/>
      </c>
      <c r="T765" s="65" t="str">
        <f>IF($N765="","",_xlfn.XLOOKUP(Tables!$L$722,'Input LwA_XYZ'!$DD$1:$DR$1,'Input LwA_XYZ'!DD44:DR44))</f>
        <v/>
      </c>
    </row>
    <row r="766" spans="14:20" ht="16.5" x14ac:dyDescent="0.3">
      <c r="N766" s="190" t="str">
        <f>IF('Input LwA_XYZ'!A45 = 0, "", 'Input LwA_XYZ'!A45)</f>
        <v/>
      </c>
      <c r="O766" s="189" t="str">
        <f>IF($N766="","",_xlfn.TEXTJOIN(" - ",TRUE,'Input LwA_XYZ'!B45:C45))</f>
        <v/>
      </c>
      <c r="P766" s="64" t="str">
        <f>IF($N766="","",'Input LwA_XYZ'!Q45)</f>
        <v/>
      </c>
      <c r="Q766" s="91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91" t="str">
        <f>IF($N766="","",IF(_xlfn.XLOOKUP(Tables!$L$722,'Input LwA_XYZ'!$BV$1:$CJ$1,'Input LwA_XYZ'!BV45:CJ45)="","-",_xlfn.XLOOKUP(Tables!$L$722,'Input LwA_XYZ'!$BV$1:$CJ$1,'Input LwA_XYZ'!BV45:CJ45)))</f>
        <v/>
      </c>
      <c r="S766" s="91" t="str">
        <f>IF($N766="","",IF('Input LwA_XYZ'!S45="","-",'Input LwA_XYZ'!S45))</f>
        <v/>
      </c>
      <c r="T766" s="65" t="str">
        <f>IF($N766="","",_xlfn.XLOOKUP(Tables!$L$722,'Input LwA_XYZ'!$DD$1:$DR$1,'Input LwA_XYZ'!DD45:DR45))</f>
        <v/>
      </c>
    </row>
    <row r="767" spans="14:20" ht="16.5" x14ac:dyDescent="0.3">
      <c r="N767" s="190" t="str">
        <f>IF('Input LwA_XYZ'!A46 = 0, "", 'Input LwA_XYZ'!A46)</f>
        <v/>
      </c>
      <c r="O767" s="189" t="str">
        <f>IF($N767="","",_xlfn.TEXTJOIN(" - ",TRUE,'Input LwA_XYZ'!B46:C46))</f>
        <v/>
      </c>
      <c r="P767" s="64" t="str">
        <f>IF($N767="","",'Input LwA_XYZ'!Q46)</f>
        <v/>
      </c>
      <c r="Q767" s="91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91" t="str">
        <f>IF($N767="","",IF(_xlfn.XLOOKUP(Tables!$L$722,'Input LwA_XYZ'!$BV$1:$CJ$1,'Input LwA_XYZ'!BV46:CJ46)="","-",_xlfn.XLOOKUP(Tables!$L$722,'Input LwA_XYZ'!$BV$1:$CJ$1,'Input LwA_XYZ'!BV46:CJ46)))</f>
        <v/>
      </c>
      <c r="S767" s="91" t="str">
        <f>IF($N767="","",IF('Input LwA_XYZ'!S46="","-",'Input LwA_XYZ'!S46))</f>
        <v/>
      </c>
      <c r="T767" s="65" t="str">
        <f>IF($N767="","",_xlfn.XLOOKUP(Tables!$L$722,'Input LwA_XYZ'!$DD$1:$DR$1,'Input LwA_XYZ'!DD46:DR46))</f>
        <v/>
      </c>
    </row>
    <row r="768" spans="14:20" ht="16.5" x14ac:dyDescent="0.3">
      <c r="N768" s="190" t="str">
        <f>IF('Input LwA_XYZ'!A47 = 0, "", 'Input LwA_XYZ'!A47)</f>
        <v/>
      </c>
      <c r="O768" s="189" t="str">
        <f>IF($N768="","",_xlfn.TEXTJOIN(" - ",TRUE,'Input LwA_XYZ'!B47:C47))</f>
        <v/>
      </c>
      <c r="P768" s="64" t="str">
        <f>IF($N768="","",'Input LwA_XYZ'!Q47)</f>
        <v/>
      </c>
      <c r="Q768" s="91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91" t="str">
        <f>IF($N768="","",IF(_xlfn.XLOOKUP(Tables!$L$722,'Input LwA_XYZ'!$BV$1:$CJ$1,'Input LwA_XYZ'!BV47:CJ47)="","-",_xlfn.XLOOKUP(Tables!$L$722,'Input LwA_XYZ'!$BV$1:$CJ$1,'Input LwA_XYZ'!BV47:CJ47)))</f>
        <v/>
      </c>
      <c r="S768" s="91" t="str">
        <f>IF($N768="","",IF('Input LwA_XYZ'!S47="","-",'Input LwA_XYZ'!S47))</f>
        <v/>
      </c>
      <c r="T768" s="65" t="str">
        <f>IF($N768="","",_xlfn.XLOOKUP(Tables!$L$722,'Input LwA_XYZ'!$DD$1:$DR$1,'Input LwA_XYZ'!DD47:DR47))</f>
        <v/>
      </c>
    </row>
    <row r="769" spans="12:20" ht="16.5" x14ac:dyDescent="0.3">
      <c r="N769" s="190" t="str">
        <f>IF('Input LwA_XYZ'!A48 = 0, "", 'Input LwA_XYZ'!A48)</f>
        <v/>
      </c>
      <c r="O769" s="189" t="str">
        <f>IF($N769="","",_xlfn.TEXTJOIN(" - ",TRUE,'Input LwA_XYZ'!B48:C48))</f>
        <v/>
      </c>
      <c r="P769" s="64" t="str">
        <f>IF($N769="","",'Input LwA_XYZ'!Q48)</f>
        <v/>
      </c>
      <c r="Q769" s="91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91" t="str">
        <f>IF($N769="","",IF(_xlfn.XLOOKUP(Tables!$L$722,'Input LwA_XYZ'!$BV$1:$CJ$1,'Input LwA_XYZ'!BV48:CJ48)="","-",_xlfn.XLOOKUP(Tables!$L$722,'Input LwA_XYZ'!$BV$1:$CJ$1,'Input LwA_XYZ'!BV48:CJ48)))</f>
        <v/>
      </c>
      <c r="S769" s="91" t="str">
        <f>IF($N769="","",IF('Input LwA_XYZ'!S48="","-",'Input LwA_XYZ'!S48))</f>
        <v/>
      </c>
      <c r="T769" s="65" t="str">
        <f>IF($N769="","",_xlfn.XLOOKUP(Tables!$L$722,'Input LwA_XYZ'!$DD$1:$DR$1,'Input LwA_XYZ'!DD48:DR48))</f>
        <v/>
      </c>
    </row>
    <row r="770" spans="12:20" ht="16.5" x14ac:dyDescent="0.3">
      <c r="N770" s="190" t="str">
        <f>IF('Input LwA_XYZ'!A49 = 0, "", 'Input LwA_XYZ'!A49)</f>
        <v/>
      </c>
      <c r="O770" s="189" t="str">
        <f>IF($N770="","",_xlfn.TEXTJOIN(" - ",TRUE,'Input LwA_XYZ'!B49:C49))</f>
        <v/>
      </c>
      <c r="P770" s="64" t="str">
        <f>IF($N770="","",'Input LwA_XYZ'!Q49)</f>
        <v/>
      </c>
      <c r="Q770" s="91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91" t="str">
        <f>IF($N770="","",IF(_xlfn.XLOOKUP(Tables!$L$722,'Input LwA_XYZ'!$BV$1:$CJ$1,'Input LwA_XYZ'!BV49:CJ49)="","-",_xlfn.XLOOKUP(Tables!$L$722,'Input LwA_XYZ'!$BV$1:$CJ$1,'Input LwA_XYZ'!BV49:CJ49)))</f>
        <v/>
      </c>
      <c r="S770" s="91" t="str">
        <f>IF($N770="","",IF('Input LwA_XYZ'!S49="","-",'Input LwA_XYZ'!S49))</f>
        <v/>
      </c>
      <c r="T770" s="65" t="str">
        <f>IF($N770="","",_xlfn.XLOOKUP(Tables!$L$722,'Input LwA_XYZ'!$DD$1:$DR$1,'Input LwA_XYZ'!DD49:DR49))</f>
        <v/>
      </c>
    </row>
    <row r="771" spans="12:20" ht="16.5" x14ac:dyDescent="0.3">
      <c r="N771" s="190" t="str">
        <f>IF('Input LwA_XYZ'!A50 = 0, "", 'Input LwA_XYZ'!A50)</f>
        <v/>
      </c>
      <c r="O771" s="189" t="str">
        <f>IF($N771="","",_xlfn.TEXTJOIN(" - ",TRUE,'Input LwA_XYZ'!B50:C50))</f>
        <v/>
      </c>
      <c r="P771" s="64" t="str">
        <f>IF($N771="","",'Input LwA_XYZ'!Q50)</f>
        <v/>
      </c>
      <c r="Q771" s="91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91" t="str">
        <f>IF($N771="","",IF(_xlfn.XLOOKUP(Tables!$L$722,'Input LwA_XYZ'!$BV$1:$CJ$1,'Input LwA_XYZ'!BV50:CJ50)="","-",_xlfn.XLOOKUP(Tables!$L$722,'Input LwA_XYZ'!$BV$1:$CJ$1,'Input LwA_XYZ'!BV50:CJ50)))</f>
        <v/>
      </c>
      <c r="S771" s="91" t="str">
        <f>IF($N771="","",IF('Input LwA_XYZ'!S50="","-",'Input LwA_XYZ'!S50))</f>
        <v/>
      </c>
      <c r="T771" s="65" t="str">
        <f>IF($N771="","",_xlfn.XLOOKUP(Tables!$L$722,'Input LwA_XYZ'!$DD$1:$DR$1,'Input LwA_XYZ'!DD50:DR50))</f>
        <v/>
      </c>
    </row>
    <row r="772" spans="12:20" ht="16.5" x14ac:dyDescent="0.3">
      <c r="N772" s="190" t="str">
        <f>IF('Input LwA_XYZ'!A51 = 0, "", 'Input LwA_XYZ'!A51)</f>
        <v/>
      </c>
      <c r="O772" s="189" t="str">
        <f>IF($N772="","",_xlfn.TEXTJOIN(" - ",TRUE,'Input LwA_XYZ'!B51:C51))</f>
        <v/>
      </c>
      <c r="P772" s="64" t="str">
        <f>IF($N772="","",'Input LwA_XYZ'!Q51)</f>
        <v/>
      </c>
      <c r="Q772" s="91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91" t="str">
        <f>IF($N772="","",IF(_xlfn.XLOOKUP(Tables!$L$722,'Input LwA_XYZ'!$BV$1:$CJ$1,'Input LwA_XYZ'!BV51:CJ51)="","-",_xlfn.XLOOKUP(Tables!$L$722,'Input LwA_XYZ'!$BV$1:$CJ$1,'Input LwA_XYZ'!BV51:CJ51)))</f>
        <v/>
      </c>
      <c r="S772" s="91" t="str">
        <f>IF($N772="","",IF('Input LwA_XYZ'!S51="","-",'Input LwA_XYZ'!S51))</f>
        <v/>
      </c>
      <c r="T772" s="65" t="str">
        <f>IF($N772="","",_xlfn.XLOOKUP(Tables!$L$722,'Input LwA_XYZ'!$DD$1:$DR$1,'Input LwA_XYZ'!DD51:DR51))</f>
        <v/>
      </c>
    </row>
    <row r="773" spans="12:20" ht="16.5" x14ac:dyDescent="0.3">
      <c r="N773" s="190" t="str">
        <f>IF('Input LwA_XYZ'!A52 = 0, "", 'Input LwA_XYZ'!A52)</f>
        <v/>
      </c>
      <c r="O773" s="189" t="str">
        <f>IF($N773="","",_xlfn.TEXTJOIN(" - ",TRUE,'Input LwA_XYZ'!B52:C52))</f>
        <v/>
      </c>
      <c r="P773" s="64" t="str">
        <f>IF($N773="","",'Input LwA_XYZ'!Q52)</f>
        <v/>
      </c>
      <c r="Q773" s="91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91" t="str">
        <f>IF($N773="","",IF(_xlfn.XLOOKUP(Tables!$L$722,'Input LwA_XYZ'!$BV$1:$CJ$1,'Input LwA_XYZ'!BV52:CJ52)="","-",_xlfn.XLOOKUP(Tables!$L$722,'Input LwA_XYZ'!$BV$1:$CJ$1,'Input LwA_XYZ'!BV52:CJ52)))</f>
        <v/>
      </c>
      <c r="S773" s="91" t="str">
        <f>IF($N773="","",IF('Input LwA_XYZ'!S52="","-",'Input LwA_XYZ'!S52))</f>
        <v/>
      </c>
      <c r="T773" s="65" t="str">
        <f>IF($N773="","",_xlfn.XLOOKUP(Tables!$L$722,'Input LwA_XYZ'!$DD$1:$DR$1,'Input LwA_XYZ'!DD52:DR52))</f>
        <v/>
      </c>
    </row>
    <row r="774" spans="12:20" ht="16.5" x14ac:dyDescent="0.3">
      <c r="N774" s="190" t="str">
        <f>IF('Input LwA_XYZ'!A53 = 0, "", 'Input LwA_XYZ'!A53)</f>
        <v/>
      </c>
      <c r="O774" s="189" t="str">
        <f>IF($N774="","",_xlfn.TEXTJOIN(" - ",TRUE,'Input LwA_XYZ'!B53:C53))</f>
        <v/>
      </c>
      <c r="P774" s="64" t="str">
        <f>IF($N774="","",'Input LwA_XYZ'!Q53)</f>
        <v/>
      </c>
      <c r="Q774" s="91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91" t="str">
        <f>IF($N774="","",IF(_xlfn.XLOOKUP(Tables!$L$722,'Input LwA_XYZ'!$BV$1:$CJ$1,'Input LwA_XYZ'!BV53:CJ53)="","-",_xlfn.XLOOKUP(Tables!$L$722,'Input LwA_XYZ'!$BV$1:$CJ$1,'Input LwA_XYZ'!BV53:CJ53)))</f>
        <v/>
      </c>
      <c r="S774" s="91" t="str">
        <f>IF($N774="","",IF('Input LwA_XYZ'!S53="","-",'Input LwA_XYZ'!S53))</f>
        <v/>
      </c>
      <c r="T774" s="65" t="str">
        <f>IF($N774="","",_xlfn.XLOOKUP(Tables!$L$722,'Input LwA_XYZ'!$DD$1:$DR$1,'Input LwA_XYZ'!DD53:DR53))</f>
        <v/>
      </c>
    </row>
    <row r="775" spans="12:20" ht="16.5" x14ac:dyDescent="0.3">
      <c r="N775" s="190" t="str">
        <f>IF('Input LwA_XYZ'!A54 = 0, "", 'Input LwA_XYZ'!A54)</f>
        <v/>
      </c>
      <c r="O775" s="189" t="str">
        <f>IF($N775="","",_xlfn.TEXTJOIN(" - ",TRUE,'Input LwA_XYZ'!B54:C54))</f>
        <v/>
      </c>
      <c r="P775" s="64" t="str">
        <f>IF($N775="","",'Input LwA_XYZ'!Q54)</f>
        <v/>
      </c>
      <c r="Q775" s="91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91" t="str">
        <f>IF($N775="","",IF(_xlfn.XLOOKUP(Tables!$L$722,'Input LwA_XYZ'!$BV$1:$CJ$1,'Input LwA_XYZ'!BV54:CJ54)="","-",_xlfn.XLOOKUP(Tables!$L$722,'Input LwA_XYZ'!$BV$1:$CJ$1,'Input LwA_XYZ'!BV54:CJ54)))</f>
        <v/>
      </c>
      <c r="S775" s="91" t="str">
        <f>IF($N775="","",IF('Input LwA_XYZ'!S54="","-",'Input LwA_XYZ'!S54))</f>
        <v/>
      </c>
      <c r="T775" s="65" t="str">
        <f>IF($N775="","",_xlfn.XLOOKUP(Tables!$L$722,'Input LwA_XYZ'!$DD$1:$DR$1,'Input LwA_XYZ'!DD54:DR54))</f>
        <v/>
      </c>
    </row>
    <row r="776" spans="12:20" ht="16.5" x14ac:dyDescent="0.3">
      <c r="N776" s="190" t="str">
        <f>IF('Input LwA_XYZ'!A55 = 0, "", 'Input LwA_XYZ'!A55)</f>
        <v/>
      </c>
      <c r="O776" s="189" t="str">
        <f>IF($N776="","",_xlfn.TEXTJOIN(" - ",TRUE,'Input LwA_XYZ'!B55:C55))</f>
        <v/>
      </c>
      <c r="P776" s="64" t="str">
        <f>IF($N776="","",'Input LwA_XYZ'!Q55)</f>
        <v/>
      </c>
      <c r="Q776" s="91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91" t="str">
        <f>IF($N776="","",IF(_xlfn.XLOOKUP(Tables!$L$722,'Input LwA_XYZ'!$BV$1:$CJ$1,'Input LwA_XYZ'!BV55:CJ55)="","-",_xlfn.XLOOKUP(Tables!$L$722,'Input LwA_XYZ'!$BV$1:$CJ$1,'Input LwA_XYZ'!BV55:CJ55)))</f>
        <v/>
      </c>
      <c r="S776" s="91" t="str">
        <f>IF($N776="","",IF('Input LwA_XYZ'!S55="","-",'Input LwA_XYZ'!S55))</f>
        <v/>
      </c>
      <c r="T776" s="65" t="str">
        <f>IF($N776="","",_xlfn.XLOOKUP(Tables!$L$722,'Input LwA_XYZ'!$DD$1:$DR$1,'Input LwA_XYZ'!DD55:DR55))</f>
        <v/>
      </c>
    </row>
    <row r="777" spans="12:20" ht="16.5" x14ac:dyDescent="0.3">
      <c r="N777" s="190" t="str">
        <f>IF('Input LwA_XYZ'!A56 = 0, "", 'Input LwA_XYZ'!A56)</f>
        <v/>
      </c>
      <c r="O777" s="189" t="str">
        <f>IF($N777="","",_xlfn.TEXTJOIN(" - ",TRUE,'Input LwA_XYZ'!B56:C56))</f>
        <v/>
      </c>
      <c r="P777" s="64" t="str">
        <f>IF($N777="","",'Input LwA_XYZ'!Q56)</f>
        <v/>
      </c>
      <c r="Q777" s="91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91" t="str">
        <f>IF($N777="","",IF(_xlfn.XLOOKUP(Tables!$L$722,'Input LwA_XYZ'!$BV$1:$CJ$1,'Input LwA_XYZ'!BV56:CJ56)="","-",_xlfn.XLOOKUP(Tables!$L$722,'Input LwA_XYZ'!$BV$1:$CJ$1,'Input LwA_XYZ'!BV56:CJ56)))</f>
        <v/>
      </c>
      <c r="S777" s="91" t="str">
        <f>IF($N777="","",IF('Input LwA_XYZ'!S56="","-",'Input LwA_XYZ'!S56))</f>
        <v/>
      </c>
      <c r="T777" s="65" t="str">
        <f>IF($N777="","",_xlfn.XLOOKUP(Tables!$L$722,'Input LwA_XYZ'!$DD$1:$DR$1,'Input LwA_XYZ'!DD56:DR56))</f>
        <v/>
      </c>
    </row>
    <row r="778" spans="12:20" ht="16.5" x14ac:dyDescent="0.3">
      <c r="N778" s="190" t="str">
        <f>IF('Input LwA_XYZ'!A57 = 0, "", 'Input LwA_XYZ'!A57)</f>
        <v/>
      </c>
      <c r="O778" s="189" t="str">
        <f>IF($N778="","",_xlfn.TEXTJOIN(" - ",TRUE,'Input LwA_XYZ'!B57:C57))</f>
        <v/>
      </c>
      <c r="P778" s="64" t="str">
        <f>IF($N778="","",'Input LwA_XYZ'!Q57)</f>
        <v/>
      </c>
      <c r="Q778" s="91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91" t="str">
        <f>IF($N778="","",IF(_xlfn.XLOOKUP(Tables!$L$722,'Input LwA_XYZ'!$BV$1:$CJ$1,'Input LwA_XYZ'!BV57:CJ57)="","-",_xlfn.XLOOKUP(Tables!$L$722,'Input LwA_XYZ'!$BV$1:$CJ$1,'Input LwA_XYZ'!BV57:CJ57)))</f>
        <v/>
      </c>
      <c r="S778" s="91" t="str">
        <f>IF($N778="","",IF('Input LwA_XYZ'!S57="","-",'Input LwA_XYZ'!S57))</f>
        <v/>
      </c>
      <c r="T778" s="65" t="str">
        <f>IF($N778="","",_xlfn.XLOOKUP(Tables!$L$722,'Input LwA_XYZ'!$DD$1:$DR$1,'Input LwA_XYZ'!DD57:DR57))</f>
        <v/>
      </c>
    </row>
    <row r="779" spans="12:20" ht="17.25" thickBot="1" x14ac:dyDescent="0.35">
      <c r="N779" s="191" t="str">
        <f>IF('Input LwA_XYZ'!A58 = 0, "", 'Input LwA_XYZ'!A58)</f>
        <v/>
      </c>
      <c r="O779" s="192" t="str">
        <f>IF($N779="","",_xlfn.TEXTJOIN(" - ",TRUE,'Input LwA_XYZ'!B58:C58))</f>
        <v/>
      </c>
      <c r="P779" s="99" t="str">
        <f>IF($N779="","",'Input LwA_XYZ'!Q58)</f>
        <v/>
      </c>
      <c r="Q779" s="100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91" t="str">
        <f>IF($N779="","",IF(_xlfn.XLOOKUP(Tables!$L$722,'Input LwA_XYZ'!$BV$1:$CJ$1,'Input LwA_XYZ'!BV58:CJ58)="","-",_xlfn.XLOOKUP(Tables!$L$722,'Input LwA_XYZ'!$BV$1:$CJ$1,'Input LwA_XYZ'!BV58:CJ58)))</f>
        <v/>
      </c>
      <c r="S779" s="91" t="str">
        <f>IF($N779="","",IF('Input LwA_XYZ'!S58="","-",'Input LwA_XYZ'!S58))</f>
        <v/>
      </c>
      <c r="T779" s="66" t="str">
        <f>IF($N779="","",_xlfn.XLOOKUP(Tables!$L$722,'Input LwA_XYZ'!$DD$1:$DR$1,'Input LwA_XYZ'!DD58:DR58))</f>
        <v/>
      </c>
    </row>
    <row r="780" spans="12:20" ht="17.25" thickBot="1" x14ac:dyDescent="0.35">
      <c r="N780" s="101" t="s">
        <v>85</v>
      </c>
      <c r="O780" s="102"/>
      <c r="P780" s="102"/>
      <c r="Q780" s="102"/>
      <c r="R780" s="102"/>
      <c r="S780" s="103"/>
      <c r="T780" s="108" t="str">
        <f>_xlfn.XLOOKUP(Tables!$L$722,'Input LwA_XYZ'!$Z$2:$Z$16,'Input LwA_XYZ'!$AE$2:$AE$16)</f>
        <v/>
      </c>
    </row>
    <row r="781" spans="12:20" ht="15.75" thickBot="1" x14ac:dyDescent="0.3"/>
    <row r="782" spans="12:20" ht="33.75" thickBot="1" x14ac:dyDescent="0.35">
      <c r="L782" s="69" t="s">
        <v>252</v>
      </c>
      <c r="N782" s="93" t="s">
        <v>79</v>
      </c>
      <c r="O782" s="94" t="s">
        <v>80</v>
      </c>
      <c r="P782" s="95" t="s">
        <v>81</v>
      </c>
      <c r="Q782" s="95" t="s">
        <v>82</v>
      </c>
      <c r="R782" s="96" t="s">
        <v>83</v>
      </c>
      <c r="S782" s="97" t="s">
        <v>84</v>
      </c>
      <c r="T782" s="98" t="s">
        <v>78</v>
      </c>
    </row>
    <row r="783" spans="12:20" ht="16.5" x14ac:dyDescent="0.3">
      <c r="N783" s="188">
        <f>IF('Input LwA_XYZ'!A2 = 0, "", 'Input LwA_XYZ'!A2)</f>
        <v>1</v>
      </c>
      <c r="O783" s="189" t="str">
        <f>IF($N783="","",_xlfn.TEXTJOIN(" - ",TRUE,'Input LwA_XYZ'!B2:C2))</f>
        <v>MAU-R1 - Ducted Inlet</v>
      </c>
      <c r="P783" s="90">
        <f>IF($N783="","",'Input LwA_XYZ'!Q2)</f>
        <v>86</v>
      </c>
      <c r="Q783" s="91" t="str">
        <f>IF($N783="","",-1*ROUND(_xlfn.XLOOKUP(Tables!$L$782,'Input LwA_XYZ'!$AY$1:$BM$1,'Input LwA_XYZ'!AY2:BM2),0) &amp; " / " &amp; ROUND(_xlfn.XLOOKUP(Tables!$L$782,'Input LwA_XYZ'!$AH$1:$AV$1,'Input LwA_XYZ'!AH2:AV2),0) &amp; " ft")</f>
        <v>42 / 162 ft</v>
      </c>
      <c r="R783" s="91" t="str">
        <f>IF($N783="","",IF(_xlfn.XLOOKUP(Tables!$L$782,'Input LwA_XYZ'!$BV$1:$CJ$1,'Input LwA_XYZ'!BV2:CJ2)="","-",_xlfn.XLOOKUP(Tables!$L$782,'Input LwA_XYZ'!$BV$1:$CJ$1,'Input LwA_XYZ'!BV2:CJ2)))</f>
        <v>-</v>
      </c>
      <c r="S783" s="91" t="str">
        <f>IF($N783="","",IF('Input LwA_XYZ'!S2="","-",'Input LwA_XYZ'!S2))</f>
        <v>-</v>
      </c>
      <c r="T783" s="92">
        <f>IF($N783="","",_xlfn.XLOOKUP(Tables!$L$782,'Input LwA_XYZ'!$DD$1:$DR$1,'Input LwA_XYZ'!DD2:DR2))</f>
        <v>44.138152188324661</v>
      </c>
    </row>
    <row r="784" spans="12:20" ht="16.5" x14ac:dyDescent="0.3">
      <c r="N784" s="190">
        <f>IF('Input LwA_XYZ'!A3 = 0, "", 'Input LwA_XYZ'!A3)</f>
        <v>1</v>
      </c>
      <c r="O784" s="189" t="str">
        <f>IF($N784="","",_xlfn.TEXTJOIN(" - ",TRUE,'Input LwA_XYZ'!B3:C3))</f>
        <v>ERV-R.1 - Outdoor+Casing+Exhaust</v>
      </c>
      <c r="P784" s="64">
        <f>IF($N784="","",'Input LwA_XYZ'!Q3)</f>
        <v>91</v>
      </c>
      <c r="Q784" s="91" t="str">
        <f>IF($N784="","",-1*ROUND(_xlfn.XLOOKUP(Tables!$L$782,'Input LwA_XYZ'!$AY$1:$BM$1,'Input LwA_XYZ'!AY3:BM3),0) &amp; " / " &amp; ROUND(_xlfn.XLOOKUP(Tables!$L$782,'Input LwA_XYZ'!$AH$1:$AV$1,'Input LwA_XYZ'!AH3:AV3),0) &amp; " ft")</f>
        <v>44 / 209 ft</v>
      </c>
      <c r="R784" s="91" t="str">
        <f>IF($N784="","",IF(_xlfn.XLOOKUP(Tables!$L$782,'Input LwA_XYZ'!$BV$1:$CJ$1,'Input LwA_XYZ'!BV3:CJ3)="","-",_xlfn.XLOOKUP(Tables!$L$782,'Input LwA_XYZ'!$BV$1:$CJ$1,'Input LwA_XYZ'!BV3:CJ3)))</f>
        <v>-</v>
      </c>
      <c r="S784" s="91" t="str">
        <f>IF($N784="","",IF('Input LwA_XYZ'!S3="","-",'Input LwA_XYZ'!S3))</f>
        <v>-</v>
      </c>
      <c r="T784" s="65">
        <f>IF($N784="","",_xlfn.XLOOKUP(Tables!$L$782,'Input LwA_XYZ'!$DD$1:$DR$1,'Input LwA_XYZ'!DD3:DR3))</f>
        <v>46.916163500616804</v>
      </c>
    </row>
    <row r="785" spans="14:20" ht="16.5" x14ac:dyDescent="0.3">
      <c r="N785" s="190">
        <f>IF('Input LwA_XYZ'!A4 = 0, "", 'Input LwA_XYZ'!A4)</f>
        <v>1</v>
      </c>
      <c r="O785" s="189" t="str">
        <f>IF($N785="","",_xlfn.TEXTJOIN(" - ",TRUE,'Input LwA_XYZ'!B4:C4))</f>
        <v>GEF-R1  - Inlet (plus ductwork lined)</v>
      </c>
      <c r="P785" s="64">
        <f>IF($N785="","",'Input LwA_XYZ'!Q4)</f>
        <v>82</v>
      </c>
      <c r="Q785" s="91" t="str">
        <f>IF($N785="","",-1*ROUND(_xlfn.XLOOKUP(Tables!$L$782,'Input LwA_XYZ'!$AY$1:$BM$1,'Input LwA_XYZ'!AY4:BM4),0) &amp; " / " &amp; ROUND(_xlfn.XLOOKUP(Tables!$L$782,'Input LwA_XYZ'!$AH$1:$AV$1,'Input LwA_XYZ'!AH4:AV4),0) &amp; " ft")</f>
        <v>45 / 227 ft</v>
      </c>
      <c r="R785" s="91" t="str">
        <f>IF($N785="","",IF(_xlfn.XLOOKUP(Tables!$L$782,'Input LwA_XYZ'!$BV$1:$CJ$1,'Input LwA_XYZ'!BV4:CJ4)="","-",_xlfn.XLOOKUP(Tables!$L$782,'Input LwA_XYZ'!$BV$1:$CJ$1,'Input LwA_XYZ'!BV4:CJ4)))</f>
        <v>-</v>
      </c>
      <c r="S785" s="91">
        <f>IF($N785="","",IF('Input LwA_XYZ'!S4="","-",'Input LwA_XYZ'!S4))</f>
        <v>13</v>
      </c>
      <c r="T785" s="65">
        <f>IF($N785="","",_xlfn.XLOOKUP(Tables!$L$782,'Input LwA_XYZ'!$DD$1:$DR$1,'Input LwA_XYZ'!DD4:DR4))</f>
        <v>24.209702003731167</v>
      </c>
    </row>
    <row r="786" spans="14:20" ht="16.5" x14ac:dyDescent="0.3">
      <c r="N786" s="190">
        <f>IF('Input LwA_XYZ'!A5 = 0, "", 'Input LwA_XYZ'!A5)</f>
        <v>1</v>
      </c>
      <c r="O786" s="189" t="str">
        <f>IF($N786="","",_xlfn.TEXTJOIN(" - ",TRUE,'Input LwA_XYZ'!B5:C5))</f>
        <v>DEF-R1, R2 - Inlet</v>
      </c>
      <c r="P786" s="64">
        <f>IF($N786="","",'Input LwA_XYZ'!Q5)</f>
        <v>70</v>
      </c>
      <c r="Q786" s="91" t="str">
        <f>IF($N786="","",-1*ROUND(_xlfn.XLOOKUP(Tables!$L$782,'Input LwA_XYZ'!$AY$1:$BM$1,'Input LwA_XYZ'!AY5:BM5),0) &amp; " / " &amp; ROUND(_xlfn.XLOOKUP(Tables!$L$782,'Input LwA_XYZ'!$AH$1:$AV$1,'Input LwA_XYZ'!AH5:AV5),0) &amp; " ft")</f>
        <v>45 / 221 ft</v>
      </c>
      <c r="R786" s="91" t="str">
        <f>IF($N786="","",IF(_xlfn.XLOOKUP(Tables!$L$782,'Input LwA_XYZ'!$BV$1:$CJ$1,'Input LwA_XYZ'!BV5:CJ5)="","-",_xlfn.XLOOKUP(Tables!$L$782,'Input LwA_XYZ'!$BV$1:$CJ$1,'Input LwA_XYZ'!BV5:CJ5)))</f>
        <v>-</v>
      </c>
      <c r="S786" s="91" t="str">
        <f>IF($N786="","",IF('Input LwA_XYZ'!S5="","-",'Input LwA_XYZ'!S5))</f>
        <v>-</v>
      </c>
      <c r="T786" s="65">
        <f>IF($N786="","",_xlfn.XLOOKUP(Tables!$L$782,'Input LwA_XYZ'!$DD$1:$DR$1,'Input LwA_XYZ'!DD5:DR5))</f>
        <v>25.440965737971545</v>
      </c>
    </row>
    <row r="787" spans="14:20" ht="16.5" x14ac:dyDescent="0.3">
      <c r="N787" s="190">
        <f>IF('Input LwA_XYZ'!A6 = 0, "", 'Input LwA_XYZ'!A6)</f>
        <v>1</v>
      </c>
      <c r="O787" s="189" t="str">
        <f>IF($N787="","",_xlfn.TEXTJOIN(" - ",TRUE,'Input LwA_XYZ'!B6:C6))</f>
        <v>KEF-R1  - Inlet</v>
      </c>
      <c r="P787" s="64">
        <f>IF($N787="","",'Input LwA_XYZ'!Q6)</f>
        <v>80</v>
      </c>
      <c r="Q787" s="91" t="str">
        <f>IF($N787="","",-1*ROUND(_xlfn.XLOOKUP(Tables!$L$782,'Input LwA_XYZ'!$AY$1:$BM$1,'Input LwA_XYZ'!AY6:BM6),0) &amp; " / " &amp; ROUND(_xlfn.XLOOKUP(Tables!$L$782,'Input LwA_XYZ'!$AH$1:$AV$1,'Input LwA_XYZ'!AH6:AV6),0) &amp; " ft")</f>
        <v>41 / 143 ft</v>
      </c>
      <c r="R787" s="91" t="str">
        <f>IF($N787="","",IF(_xlfn.XLOOKUP(Tables!$L$782,'Input LwA_XYZ'!$BV$1:$CJ$1,'Input LwA_XYZ'!BV6:CJ6)="","-",_xlfn.XLOOKUP(Tables!$L$782,'Input LwA_XYZ'!$BV$1:$CJ$1,'Input LwA_XYZ'!BV6:CJ6)))</f>
        <v>-</v>
      </c>
      <c r="S787" s="91" t="str">
        <f>IF($N787="","",IF('Input LwA_XYZ'!S6="","-",'Input LwA_XYZ'!S6))</f>
        <v>-</v>
      </c>
      <c r="T787" s="65">
        <f>IF($N787="","",_xlfn.XLOOKUP(Tables!$L$782,'Input LwA_XYZ'!$DD$1:$DR$1,'Input LwA_XYZ'!DD6:DR6))</f>
        <v>39.206517993449772</v>
      </c>
    </row>
    <row r="788" spans="14:20" ht="16.5" x14ac:dyDescent="0.3">
      <c r="N788" s="190">
        <f>IF('Input LwA_XYZ'!A7 = 0, "", 'Input LwA_XYZ'!A7)</f>
        <v>1</v>
      </c>
      <c r="O788" s="189" t="str">
        <f>IF($N788="","",_xlfn.TEXTJOIN(" - ",TRUE,'Input LwA_XYZ'!B7:C7))</f>
        <v>DWEF-R1 - Inlet</v>
      </c>
      <c r="P788" s="64">
        <f>IF($N788="","",'Input LwA_XYZ'!Q7)</f>
        <v>71</v>
      </c>
      <c r="Q788" s="91" t="str">
        <f>IF($N788="","",-1*ROUND(_xlfn.XLOOKUP(Tables!$L$782,'Input LwA_XYZ'!$AY$1:$BM$1,'Input LwA_XYZ'!AY7:BM7),0) &amp; " / " &amp; ROUND(_xlfn.XLOOKUP(Tables!$L$782,'Input LwA_XYZ'!$AH$1:$AV$1,'Input LwA_XYZ'!AH7:AV7),0) &amp; " ft")</f>
        <v>41 / 153 ft</v>
      </c>
      <c r="R788" s="91" t="str">
        <f>IF($N788="","",IF(_xlfn.XLOOKUP(Tables!$L$782,'Input LwA_XYZ'!$BV$1:$CJ$1,'Input LwA_XYZ'!BV7:CJ7)="","-",_xlfn.XLOOKUP(Tables!$L$782,'Input LwA_XYZ'!$BV$1:$CJ$1,'Input LwA_XYZ'!BV7:CJ7)))</f>
        <v>-</v>
      </c>
      <c r="S788" s="91" t="str">
        <f>IF($N788="","",IF('Input LwA_XYZ'!S7="","-",'Input LwA_XYZ'!S7))</f>
        <v>-</v>
      </c>
      <c r="T788" s="65">
        <f>IF($N788="","",_xlfn.XLOOKUP(Tables!$L$782,'Input LwA_XYZ'!$DD$1:$DR$1,'Input LwA_XYZ'!DD7:DR7))</f>
        <v>29.624386760746141</v>
      </c>
    </row>
    <row r="789" spans="14:20" ht="16.5" x14ac:dyDescent="0.3">
      <c r="N789" s="190">
        <f>IF('Input LwA_XYZ'!A8 = 0, "", 'Input LwA_XYZ'!A8)</f>
        <v>1</v>
      </c>
      <c r="O789" s="189" t="str">
        <f>IF($N789="","",_xlfn.TEXTJOIN(" - ",TRUE,'Input LwA_XYZ'!B8:C8))</f>
        <v>CU-R1 - Radiated</v>
      </c>
      <c r="P789" s="64">
        <f>IF($N789="","",'Input LwA_XYZ'!Q8)</f>
        <v>84</v>
      </c>
      <c r="Q789" s="91" t="str">
        <f>IF($N789="","",-1*ROUND(_xlfn.XLOOKUP(Tables!$L$782,'Input LwA_XYZ'!$AY$1:$BM$1,'Input LwA_XYZ'!AY8:BM8),0) &amp; " / " &amp; ROUND(_xlfn.XLOOKUP(Tables!$L$782,'Input LwA_XYZ'!$AH$1:$AV$1,'Input LwA_XYZ'!AH8:AV8),0) &amp; " ft")</f>
        <v>43 / 196 ft</v>
      </c>
      <c r="R789" s="91" t="str">
        <f>IF($N789="","",IF(_xlfn.XLOOKUP(Tables!$L$782,'Input LwA_XYZ'!$BV$1:$CJ$1,'Input LwA_XYZ'!BV8:CJ8)="","-",_xlfn.XLOOKUP(Tables!$L$782,'Input LwA_XYZ'!$BV$1:$CJ$1,'Input LwA_XYZ'!BV8:CJ8)))</f>
        <v>-</v>
      </c>
      <c r="S789" s="91" t="str">
        <f>IF($N789="","",IF('Input LwA_XYZ'!S8="","-",'Input LwA_XYZ'!S8))</f>
        <v>-</v>
      </c>
      <c r="T789" s="65">
        <f>IF($N789="","",_xlfn.XLOOKUP(Tables!$L$782,'Input LwA_XYZ'!$DD$1:$DR$1,'Input LwA_XYZ'!DD8:DR8))</f>
        <v>40.502360776769571</v>
      </c>
    </row>
    <row r="790" spans="14:20" ht="16.5" x14ac:dyDescent="0.3">
      <c r="N790" s="190">
        <f>IF('Input LwA_XYZ'!A9 = 0, "", 'Input LwA_XYZ'!A9)</f>
        <v>1</v>
      </c>
      <c r="O790" s="189" t="str">
        <f>IF($N790="","",_xlfn.TEXTJOIN(" - ",TRUE,'Input LwA_XYZ'!B9:C9))</f>
        <v>CU-R2 - Radiated</v>
      </c>
      <c r="P790" s="64">
        <f>IF($N790="","",'Input LwA_XYZ'!Q9)</f>
        <v>81</v>
      </c>
      <c r="Q790" s="91" t="str">
        <f>IF($N790="","",-1*ROUND(_xlfn.XLOOKUP(Tables!$L$782,'Input LwA_XYZ'!$AY$1:$BM$1,'Input LwA_XYZ'!AY9:BM9),0) &amp; " / " &amp; ROUND(_xlfn.XLOOKUP(Tables!$L$782,'Input LwA_XYZ'!$AH$1:$AV$1,'Input LwA_XYZ'!AH9:AV9),0) &amp; " ft")</f>
        <v>43 / 191 ft</v>
      </c>
      <c r="R790" s="91" t="str">
        <f>IF($N790="","",IF(_xlfn.XLOOKUP(Tables!$L$782,'Input LwA_XYZ'!$BV$1:$CJ$1,'Input LwA_XYZ'!BV9:CJ9)="","-",_xlfn.XLOOKUP(Tables!$L$782,'Input LwA_XYZ'!$BV$1:$CJ$1,'Input LwA_XYZ'!BV9:CJ9)))</f>
        <v>-</v>
      </c>
      <c r="S790" s="91" t="str">
        <f>IF($N790="","",IF('Input LwA_XYZ'!S9="","-",'Input LwA_XYZ'!S9))</f>
        <v>-</v>
      </c>
      <c r="T790" s="65">
        <f>IF($N790="","",_xlfn.XLOOKUP(Tables!$L$782,'Input LwA_XYZ'!$DD$1:$DR$1,'Input LwA_XYZ'!DD9:DR9))</f>
        <v>37.707259956290457</v>
      </c>
    </row>
    <row r="791" spans="14:20" ht="16.5" x14ac:dyDescent="0.3">
      <c r="N791" s="190">
        <f>IF('Input LwA_XYZ'!A10 = 0, "", 'Input LwA_XYZ'!A10)</f>
        <v>1</v>
      </c>
      <c r="O791" s="189" t="str">
        <f>IF($N791="","",_xlfn.TEXTJOIN(" - ",TRUE,'Input LwA_XYZ'!B10:C10))</f>
        <v>CU-R4 - Radiated</v>
      </c>
      <c r="P791" s="64">
        <f>IF($N791="","",'Input LwA_XYZ'!Q10)</f>
        <v>73</v>
      </c>
      <c r="Q791" s="91" t="str">
        <f>IF($N791="","",-1*ROUND(_xlfn.XLOOKUP(Tables!$L$782,'Input LwA_XYZ'!$AY$1:$BM$1,'Input LwA_XYZ'!AY10:BM10),0) &amp; " / " &amp; ROUND(_xlfn.XLOOKUP(Tables!$L$782,'Input LwA_XYZ'!$AH$1:$AV$1,'Input LwA_XYZ'!AH10:AV10),0) &amp; " ft")</f>
        <v>44 / 203 ft</v>
      </c>
      <c r="R791" s="91" t="str">
        <f>IF($N791="","",IF(_xlfn.XLOOKUP(Tables!$L$782,'Input LwA_XYZ'!$BV$1:$CJ$1,'Input LwA_XYZ'!BV10:CJ10)="","-",_xlfn.XLOOKUP(Tables!$L$782,'Input LwA_XYZ'!$BV$1:$CJ$1,'Input LwA_XYZ'!BV10:CJ10)))</f>
        <v>-</v>
      </c>
      <c r="S791" s="91" t="str">
        <f>IF($N791="","",IF('Input LwA_XYZ'!S10="","-",'Input LwA_XYZ'!S10))</f>
        <v>-</v>
      </c>
      <c r="T791" s="65">
        <f>IF($N791="","",_xlfn.XLOOKUP(Tables!$L$782,'Input LwA_XYZ'!$DD$1:$DR$1,'Input LwA_XYZ'!DD10:DR10))</f>
        <v>29.203095283617799</v>
      </c>
    </row>
    <row r="792" spans="14:20" ht="16.5" x14ac:dyDescent="0.3">
      <c r="N792" s="190">
        <f>IF('Input LwA_XYZ'!A11 = 0, "", 'Input LwA_XYZ'!A11)</f>
        <v>1</v>
      </c>
      <c r="O792" s="189" t="str">
        <f>IF($N792="","",_xlfn.TEXTJOIN(" - ",TRUE,'Input LwA_XYZ'!B11:C11))</f>
        <v>CU-R5 - Radiated</v>
      </c>
      <c r="P792" s="64">
        <f>IF($N792="","",'Input LwA_XYZ'!Q11)</f>
        <v>75</v>
      </c>
      <c r="Q792" s="91" t="str">
        <f>IF($N792="","",-1*ROUND(_xlfn.XLOOKUP(Tables!$L$782,'Input LwA_XYZ'!$AY$1:$BM$1,'Input LwA_XYZ'!AY11:BM11),0) &amp; " / " &amp; ROUND(_xlfn.XLOOKUP(Tables!$L$782,'Input LwA_XYZ'!$AH$1:$AV$1,'Input LwA_XYZ'!AH11:AV11),0) &amp; " ft")</f>
        <v>42 / 171 ft</v>
      </c>
      <c r="R792" s="91" t="str">
        <f>IF($N792="","",IF(_xlfn.XLOOKUP(Tables!$L$782,'Input LwA_XYZ'!$BV$1:$CJ$1,'Input LwA_XYZ'!BV11:CJ11)="","-",_xlfn.XLOOKUP(Tables!$L$782,'Input LwA_XYZ'!$BV$1:$CJ$1,'Input LwA_XYZ'!BV11:CJ11)))</f>
        <v>-</v>
      </c>
      <c r="S792" s="91" t="str">
        <f>IF($N792="","",IF('Input LwA_XYZ'!S11="","-",'Input LwA_XYZ'!S11))</f>
        <v>-</v>
      </c>
      <c r="T792" s="65">
        <f>IF($N792="","",_xlfn.XLOOKUP(Tables!$L$782,'Input LwA_XYZ'!$DD$1:$DR$1,'Input LwA_XYZ'!DD11:DR11))</f>
        <v>32.671354572324766</v>
      </c>
    </row>
    <row r="793" spans="14:20" ht="16.5" x14ac:dyDescent="0.3">
      <c r="N793" s="190">
        <f>IF('Input LwA_XYZ'!A12 = 0, "", 'Input LwA_XYZ'!A12)</f>
        <v>4</v>
      </c>
      <c r="O793" s="189" t="str">
        <f>IF($N793="","",_xlfn.TEXTJOIN(" - ",TRUE,'Input LwA_XYZ'!B12:C12))</f>
        <v>RCU-R(4p)1 - Radiated</v>
      </c>
      <c r="P793" s="64">
        <f>IF($N793="","",'Input LwA_XYZ'!Q12)</f>
        <v>79.020599913279625</v>
      </c>
      <c r="Q793" s="91" t="str">
        <f>IF($N793="","",-1*ROUND(_xlfn.XLOOKUP(Tables!$L$782,'Input LwA_XYZ'!$AY$1:$BM$1,'Input LwA_XYZ'!AY12:BM12),0) &amp; " / " &amp; ROUND(_xlfn.XLOOKUP(Tables!$L$782,'Input LwA_XYZ'!$AH$1:$AV$1,'Input LwA_XYZ'!AH12:AV12),0) &amp; " ft")</f>
        <v>45 / 246 ft</v>
      </c>
      <c r="R793" s="91" t="str">
        <f>IF($N793="","",IF(_xlfn.XLOOKUP(Tables!$L$782,'Input LwA_XYZ'!$BV$1:$CJ$1,'Input LwA_XYZ'!BV12:CJ12)="","-",_xlfn.XLOOKUP(Tables!$L$782,'Input LwA_XYZ'!$BV$1:$CJ$1,'Input LwA_XYZ'!BV12:CJ12)))</f>
        <v>-</v>
      </c>
      <c r="S793" s="91" t="str">
        <f>IF($N793="","",IF('Input LwA_XYZ'!S12="","-",'Input LwA_XYZ'!S12))</f>
        <v>-</v>
      </c>
      <c r="T793" s="65">
        <f>IF($N793="","",_xlfn.XLOOKUP(Tables!$L$782,'Input LwA_XYZ'!$DD$1:$DR$1,'Input LwA_XYZ'!DD12:DR12))</f>
        <v>33.536483243585444</v>
      </c>
    </row>
    <row r="794" spans="14:20" ht="16.5" x14ac:dyDescent="0.3">
      <c r="N794" s="190">
        <f>IF('Input LwA_XYZ'!A13 = 0, "", 'Input LwA_XYZ'!A13)</f>
        <v>4</v>
      </c>
      <c r="O794" s="189" t="str">
        <f>IF($N794="","",_xlfn.TEXTJOIN(" - ",TRUE,'Input LwA_XYZ'!B13:C13))</f>
        <v>RCU-R(4p)2 - Radiated</v>
      </c>
      <c r="P794" s="64">
        <f>IF($N794="","",'Input LwA_XYZ'!Q13)</f>
        <v>79.020599913279625</v>
      </c>
      <c r="Q794" s="91" t="str">
        <f>IF($N794="","",-1*ROUND(_xlfn.XLOOKUP(Tables!$L$782,'Input LwA_XYZ'!$AY$1:$BM$1,'Input LwA_XYZ'!AY13:BM13),0) &amp; " / " &amp; ROUND(_xlfn.XLOOKUP(Tables!$L$782,'Input LwA_XYZ'!$AH$1:$AV$1,'Input LwA_XYZ'!AH13:AV13),0) &amp; " ft")</f>
        <v>45 / 230 ft</v>
      </c>
      <c r="R794" s="91" t="str">
        <f>IF($N794="","",IF(_xlfn.XLOOKUP(Tables!$L$782,'Input LwA_XYZ'!$BV$1:$CJ$1,'Input LwA_XYZ'!BV13:CJ13)="","-",_xlfn.XLOOKUP(Tables!$L$782,'Input LwA_XYZ'!$BV$1:$CJ$1,'Input LwA_XYZ'!BV13:CJ13)))</f>
        <v>-</v>
      </c>
      <c r="S794" s="91" t="str">
        <f>IF($N794="","",IF('Input LwA_XYZ'!S13="","-",'Input LwA_XYZ'!S13))</f>
        <v>-</v>
      </c>
      <c r="T794" s="65">
        <f>IF($N794="","",_xlfn.XLOOKUP(Tables!$L$782,'Input LwA_XYZ'!$DD$1:$DR$1,'Input LwA_XYZ'!DD13:DR13))</f>
        <v>34.11378069640692</v>
      </c>
    </row>
    <row r="795" spans="14:20" ht="16.5" x14ac:dyDescent="0.3">
      <c r="N795" s="190">
        <f>IF('Input LwA_XYZ'!A14 = 0, "", 'Input LwA_XYZ'!A14)</f>
        <v>4</v>
      </c>
      <c r="O795" s="189" t="str">
        <f>IF($N795="","",_xlfn.TEXTJOIN(" - ",TRUE,'Input LwA_XYZ'!B14:C14))</f>
        <v>RCU-R(4p)3 - Radiated</v>
      </c>
      <c r="P795" s="64">
        <f>IF($N795="","",'Input LwA_XYZ'!Q14)</f>
        <v>79.020599913279625</v>
      </c>
      <c r="Q795" s="91" t="str">
        <f>IF($N795="","",-1*ROUND(_xlfn.XLOOKUP(Tables!$L$782,'Input LwA_XYZ'!$AY$1:$BM$1,'Input LwA_XYZ'!AY14:BM14),0) &amp; " / " &amp; ROUND(_xlfn.XLOOKUP(Tables!$L$782,'Input LwA_XYZ'!$AH$1:$AV$1,'Input LwA_XYZ'!AH14:AV14),0) &amp; " ft")</f>
        <v>44 / 202 ft</v>
      </c>
      <c r="R795" s="91" t="str">
        <f>IF($N795="","",IF(_xlfn.XLOOKUP(Tables!$L$782,'Input LwA_XYZ'!$BV$1:$CJ$1,'Input LwA_XYZ'!BV14:CJ14)="","-",_xlfn.XLOOKUP(Tables!$L$782,'Input LwA_XYZ'!$BV$1:$CJ$1,'Input LwA_XYZ'!BV14:CJ14)))</f>
        <v>-</v>
      </c>
      <c r="S795" s="91" t="str">
        <f>IF($N795="","",IF('Input LwA_XYZ'!S14="","-",'Input LwA_XYZ'!S14))</f>
        <v>-</v>
      </c>
      <c r="T795" s="65">
        <f>IF($N795="","",_xlfn.XLOOKUP(Tables!$L$782,'Input LwA_XYZ'!$DD$1:$DR$1,'Input LwA_XYZ'!DD14:DR14))</f>
        <v>35.252575662003203</v>
      </c>
    </row>
    <row r="796" spans="14:20" ht="16.5" x14ac:dyDescent="0.3">
      <c r="N796" s="190">
        <f>IF('Input LwA_XYZ'!A15 = 0, "", 'Input LwA_XYZ'!A15)</f>
        <v>2</v>
      </c>
      <c r="O796" s="189" t="str">
        <f>IF($N796="","",_xlfn.TEXTJOIN(" - ",TRUE,'Input LwA_XYZ'!B15:C15))</f>
        <v>RCU-R(2p) - Radiated</v>
      </c>
      <c r="P796" s="64">
        <f>IF($N796="","",'Input LwA_XYZ'!Q15)</f>
        <v>76.010299956639813</v>
      </c>
      <c r="Q796" s="91" t="str">
        <f>IF($N796="","",-1*ROUND(_xlfn.XLOOKUP(Tables!$L$782,'Input LwA_XYZ'!$AY$1:$BM$1,'Input LwA_XYZ'!AY15:BM15),0) &amp; " / " &amp; ROUND(_xlfn.XLOOKUP(Tables!$L$782,'Input LwA_XYZ'!$AH$1:$AV$1,'Input LwA_XYZ'!AH15:AV15),0) &amp; " ft")</f>
        <v>43 / 190 ft</v>
      </c>
      <c r="R796" s="91" t="str">
        <f>IF($N796="","",IF(_xlfn.XLOOKUP(Tables!$L$782,'Input LwA_XYZ'!$BV$1:$CJ$1,'Input LwA_XYZ'!BV15:CJ15)="","-",_xlfn.XLOOKUP(Tables!$L$782,'Input LwA_XYZ'!$BV$1:$CJ$1,'Input LwA_XYZ'!BV15:CJ15)))</f>
        <v>-</v>
      </c>
      <c r="S796" s="91" t="str">
        <f>IF($N796="","",IF('Input LwA_XYZ'!S15="","-",'Input LwA_XYZ'!S15))</f>
        <v>-</v>
      </c>
      <c r="T796" s="65">
        <f>IF($N796="","",_xlfn.XLOOKUP(Tables!$L$782,'Input LwA_XYZ'!$DD$1:$DR$1,'Input LwA_XYZ'!DD15:DR15))</f>
        <v>32.752216308610215</v>
      </c>
    </row>
    <row r="797" spans="14:20" ht="16.5" x14ac:dyDescent="0.3">
      <c r="N797" s="190">
        <f>IF('Input LwA_XYZ'!A16 = 0, "", 'Input LwA_XYZ'!A16)</f>
        <v>2</v>
      </c>
      <c r="O797" s="189" t="str">
        <f>IF($N797="","",_xlfn.TEXTJOIN(" - ",TRUE,'Input LwA_XYZ'!B16:C16))</f>
        <v>RCU-R(2p)1 - Radiated</v>
      </c>
      <c r="P797" s="64">
        <f>IF($N797="","",'Input LwA_XYZ'!Q16)</f>
        <v>76.010299956639813</v>
      </c>
      <c r="Q797" s="91" t="str">
        <f>IF($N797="","",-1*ROUND(_xlfn.XLOOKUP(Tables!$L$782,'Input LwA_XYZ'!$AY$1:$BM$1,'Input LwA_XYZ'!AY16:BM16),0) &amp; " / " &amp; ROUND(_xlfn.XLOOKUP(Tables!$L$782,'Input LwA_XYZ'!$AH$1:$AV$1,'Input LwA_XYZ'!AH16:AV16),0) &amp; " ft")</f>
        <v>42 / 168 ft</v>
      </c>
      <c r="R797" s="91" t="str">
        <f>IF($N797="","",IF(_xlfn.XLOOKUP(Tables!$L$782,'Input LwA_XYZ'!$BV$1:$CJ$1,'Input LwA_XYZ'!BV16:CJ16)="","-",_xlfn.XLOOKUP(Tables!$L$782,'Input LwA_XYZ'!$BV$1:$CJ$1,'Input LwA_XYZ'!BV16:CJ16)))</f>
        <v>-</v>
      </c>
      <c r="S797" s="91" t="str">
        <f>IF($N797="","",IF('Input LwA_XYZ'!S16="","-",'Input LwA_XYZ'!S16))</f>
        <v>-</v>
      </c>
      <c r="T797" s="65">
        <f>IF($N797="","",_xlfn.XLOOKUP(Tables!$L$782,'Input LwA_XYZ'!$DD$1:$DR$1,'Input LwA_XYZ'!DD16:DR16))</f>
        <v>33.834137407946159</v>
      </c>
    </row>
    <row r="798" spans="14:20" ht="16.5" x14ac:dyDescent="0.3">
      <c r="N798" s="190">
        <f>IF('Input LwA_XYZ'!A17 = 0, "", 'Input LwA_XYZ'!A17)</f>
        <v>4</v>
      </c>
      <c r="O798" s="189" t="str">
        <f>IF($N798="","",_xlfn.TEXTJOIN(" - ",TRUE,'Input LwA_XYZ'!B17:C17))</f>
        <v>RCU-R(4p)4 - Radiated</v>
      </c>
      <c r="P798" s="64">
        <f>IF($N798="","",'Input LwA_XYZ'!Q17)</f>
        <v>79.020599913279625</v>
      </c>
      <c r="Q798" s="91" t="str">
        <f>IF($N798="","",-1*ROUND(_xlfn.XLOOKUP(Tables!$L$782,'Input LwA_XYZ'!$AY$1:$BM$1,'Input LwA_XYZ'!AY17:BM17),0) &amp; " / " &amp; ROUND(_xlfn.XLOOKUP(Tables!$L$782,'Input LwA_XYZ'!$AH$1:$AV$1,'Input LwA_XYZ'!AH17:AV17),0) &amp; " ft")</f>
        <v>41 / 147 ft</v>
      </c>
      <c r="R798" s="91" t="str">
        <f>IF($N798="","",IF(_xlfn.XLOOKUP(Tables!$L$782,'Input LwA_XYZ'!$BV$1:$CJ$1,'Input LwA_XYZ'!BV17:CJ17)="","-",_xlfn.XLOOKUP(Tables!$L$782,'Input LwA_XYZ'!$BV$1:$CJ$1,'Input LwA_XYZ'!BV17:CJ17)))</f>
        <v>-</v>
      </c>
      <c r="S798" s="91" t="str">
        <f>IF($N798="","",IF('Input LwA_XYZ'!S17="","-",'Input LwA_XYZ'!S17))</f>
        <v>-</v>
      </c>
      <c r="T798" s="65">
        <f>IF($N798="","",_xlfn.XLOOKUP(Tables!$L$782,'Input LwA_XYZ'!$DD$1:$DR$1,'Input LwA_XYZ'!DD17:DR17))</f>
        <v>38.039918717943372</v>
      </c>
    </row>
    <row r="799" spans="14:20" ht="16.5" x14ac:dyDescent="0.3">
      <c r="N799" s="190">
        <f>IF('Input LwA_XYZ'!A18 = 0, "", 'Input LwA_XYZ'!A18)</f>
        <v>2</v>
      </c>
      <c r="O799" s="189" t="str">
        <f>IF($N799="","",_xlfn.TEXTJOIN(" - ",TRUE,'Input LwA_XYZ'!B18:C18))</f>
        <v>RCU-R(2p)2 - Radiated</v>
      </c>
      <c r="P799" s="64">
        <f>IF($N799="","",'Input LwA_XYZ'!Q18)</f>
        <v>76.010299956639813</v>
      </c>
      <c r="Q799" s="91" t="str">
        <f>IF($N799="","",-1*ROUND(_xlfn.XLOOKUP(Tables!$L$782,'Input LwA_XYZ'!$AY$1:$BM$1,'Input LwA_XYZ'!AY18:BM18),0) &amp; " / " &amp; ROUND(_xlfn.XLOOKUP(Tables!$L$782,'Input LwA_XYZ'!$AH$1:$AV$1,'Input LwA_XYZ'!AH18:AV18),0) &amp; " ft")</f>
        <v>41 / 153 ft</v>
      </c>
      <c r="R799" s="91" t="str">
        <f>IF($N799="","",IF(_xlfn.XLOOKUP(Tables!$L$782,'Input LwA_XYZ'!$BV$1:$CJ$1,'Input LwA_XYZ'!BV18:CJ18)="","-",_xlfn.XLOOKUP(Tables!$L$782,'Input LwA_XYZ'!$BV$1:$CJ$1,'Input LwA_XYZ'!BV18:CJ18)))</f>
        <v>-</v>
      </c>
      <c r="S799" s="91" t="str">
        <f>IF($N799="","",IF('Input LwA_XYZ'!S18="","-",'Input LwA_XYZ'!S18))</f>
        <v>-</v>
      </c>
      <c r="T799" s="65">
        <f>IF($N799="","",_xlfn.XLOOKUP(Tables!$L$782,'Input LwA_XYZ'!$DD$1:$DR$1,'Input LwA_XYZ'!DD18:DR18))</f>
        <v>34.626203151341301</v>
      </c>
    </row>
    <row r="800" spans="14:20" ht="16.5" x14ac:dyDescent="0.3">
      <c r="N800" s="190">
        <f>IF('Input LwA_XYZ'!A19 = 0, "", 'Input LwA_XYZ'!A19)</f>
        <v>2</v>
      </c>
      <c r="O800" s="189" t="str">
        <f>IF($N800="","",_xlfn.TEXTJOIN(" - ",TRUE,'Input LwA_XYZ'!B19:C19))</f>
        <v>RCU-R(2p)3 - Radiated</v>
      </c>
      <c r="P800" s="64">
        <f>IF($N800="","",'Input LwA_XYZ'!Q19)</f>
        <v>76.010299956639813</v>
      </c>
      <c r="Q800" s="91" t="str">
        <f>IF($N800="","",-1*ROUND(_xlfn.XLOOKUP(Tables!$L$782,'Input LwA_XYZ'!$AY$1:$BM$1,'Input LwA_XYZ'!AY19:BM19),0) &amp; " / " &amp; ROUND(_xlfn.XLOOKUP(Tables!$L$782,'Input LwA_XYZ'!$AH$1:$AV$1,'Input LwA_XYZ'!AH19:AV19),0) &amp; " ft")</f>
        <v>42 / 174 ft</v>
      </c>
      <c r="R800" s="91" t="str">
        <f>IF($N800="","",IF(_xlfn.XLOOKUP(Tables!$L$782,'Input LwA_XYZ'!$BV$1:$CJ$1,'Input LwA_XYZ'!BV19:CJ19)="","-",_xlfn.XLOOKUP(Tables!$L$782,'Input LwA_XYZ'!$BV$1:$CJ$1,'Input LwA_XYZ'!BV19:CJ19)))</f>
        <v>-</v>
      </c>
      <c r="S800" s="91" t="str">
        <f>IF($N800="","",IF('Input LwA_XYZ'!S19="","-",'Input LwA_XYZ'!S19))</f>
        <v>-</v>
      </c>
      <c r="T800" s="65">
        <f>IF($N800="","",_xlfn.XLOOKUP(Tables!$L$782,'Input LwA_XYZ'!$DD$1:$DR$1,'Input LwA_XYZ'!DD19:DR19))</f>
        <v>33.531132173351168</v>
      </c>
    </row>
    <row r="801" spans="14:20" ht="16.5" x14ac:dyDescent="0.3">
      <c r="N801" s="190">
        <f>IF('Input LwA_XYZ'!A20 = 0, "", 'Input LwA_XYZ'!A20)</f>
        <v>2</v>
      </c>
      <c r="O801" s="189" t="str">
        <f>IF($N801="","",_xlfn.TEXTJOIN(" - ",TRUE,'Input LwA_XYZ'!B20:C20))</f>
        <v>RCU-R(2p)4 - Radiated</v>
      </c>
      <c r="P801" s="64">
        <f>IF($N801="","",'Input LwA_XYZ'!Q20)</f>
        <v>76.010299956639813</v>
      </c>
      <c r="Q801" s="91" t="str">
        <f>IF($N801="","",-1*ROUND(_xlfn.XLOOKUP(Tables!$L$782,'Input LwA_XYZ'!$AY$1:$BM$1,'Input LwA_XYZ'!AY20:BM20),0) &amp; " / " &amp; ROUND(_xlfn.XLOOKUP(Tables!$L$782,'Input LwA_XYZ'!$AH$1:$AV$1,'Input LwA_XYZ'!AH20:AV20),0) &amp; " ft")</f>
        <v>43 / 188 ft</v>
      </c>
      <c r="R801" s="91" t="str">
        <f>IF($N801="","",IF(_xlfn.XLOOKUP(Tables!$L$782,'Input LwA_XYZ'!$BV$1:$CJ$1,'Input LwA_XYZ'!BV20:CJ20)="","-",_xlfn.XLOOKUP(Tables!$L$782,'Input LwA_XYZ'!$BV$1:$CJ$1,'Input LwA_XYZ'!BV20:CJ20)))</f>
        <v>-</v>
      </c>
      <c r="S801" s="91" t="str">
        <f>IF($N801="","",IF('Input LwA_XYZ'!S20="","-",'Input LwA_XYZ'!S20))</f>
        <v>-</v>
      </c>
      <c r="T801" s="65">
        <f>IF($N801="","",_xlfn.XLOOKUP(Tables!$L$782,'Input LwA_XYZ'!$DD$1:$DR$1,'Input LwA_XYZ'!DD20:DR20))</f>
        <v>32.86816377495628</v>
      </c>
    </row>
    <row r="802" spans="14:20" ht="16.5" x14ac:dyDescent="0.3">
      <c r="N802" s="190">
        <f>IF('Input LwA_XYZ'!A21 = 0, "", 'Input LwA_XYZ'!A21)</f>
        <v>2</v>
      </c>
      <c r="O802" s="189" t="str">
        <f>IF($N802="","",_xlfn.TEXTJOIN(" - ",TRUE,'Input LwA_XYZ'!B21:C21))</f>
        <v>RCU-R(2p)5 - Radiated</v>
      </c>
      <c r="P802" s="64">
        <f>IF($N802="","",'Input LwA_XYZ'!Q21)</f>
        <v>76.010299956639813</v>
      </c>
      <c r="Q802" s="91" t="str">
        <f>IF($N802="","",-1*ROUND(_xlfn.XLOOKUP(Tables!$L$782,'Input LwA_XYZ'!$AY$1:$BM$1,'Input LwA_XYZ'!AY21:BM21),0) &amp; " / " &amp; ROUND(_xlfn.XLOOKUP(Tables!$L$782,'Input LwA_XYZ'!$AH$1:$AV$1,'Input LwA_XYZ'!AH21:AV21),0) &amp; " ft")</f>
        <v>44 / 203 ft</v>
      </c>
      <c r="R802" s="91" t="str">
        <f>IF($N802="","",IF(_xlfn.XLOOKUP(Tables!$L$782,'Input LwA_XYZ'!$BV$1:$CJ$1,'Input LwA_XYZ'!BV21:CJ21)="","-",_xlfn.XLOOKUP(Tables!$L$782,'Input LwA_XYZ'!$BV$1:$CJ$1,'Input LwA_XYZ'!BV21:CJ21)))</f>
        <v>-</v>
      </c>
      <c r="S802" s="91" t="str">
        <f>IF($N802="","",IF('Input LwA_XYZ'!S21="","-",'Input LwA_XYZ'!S21))</f>
        <v>-</v>
      </c>
      <c r="T802" s="65">
        <f>IF($N802="","",_xlfn.XLOOKUP(Tables!$L$782,'Input LwA_XYZ'!$DD$1:$DR$1,'Input LwA_XYZ'!DD21:DR21))</f>
        <v>32.210402540305431</v>
      </c>
    </row>
    <row r="803" spans="14:20" ht="16.5" x14ac:dyDescent="0.3">
      <c r="N803" s="190">
        <f>IF('Input LwA_XYZ'!A22 = 0, "", 'Input LwA_XYZ'!A22)</f>
        <v>2</v>
      </c>
      <c r="O803" s="189" t="str">
        <f>IF($N803="","",_xlfn.TEXTJOIN(" - ",TRUE,'Input LwA_XYZ'!B22:C22))</f>
        <v>RCU-R(2p)6 - Radiated</v>
      </c>
      <c r="P803" s="64">
        <f>IF($N803="","",'Input LwA_XYZ'!Q22)</f>
        <v>76.010299956639813</v>
      </c>
      <c r="Q803" s="91" t="str">
        <f>IF($N803="","",-1*ROUND(_xlfn.XLOOKUP(Tables!$L$782,'Input LwA_XYZ'!$AY$1:$BM$1,'Input LwA_XYZ'!AY22:BM22),0) &amp; " / " &amp; ROUND(_xlfn.XLOOKUP(Tables!$L$782,'Input LwA_XYZ'!$AH$1:$AV$1,'Input LwA_XYZ'!AH22:AV22),0) &amp; " ft")</f>
        <v>44 / 218 ft</v>
      </c>
      <c r="R803" s="91" t="str">
        <f>IF($N803="","",IF(_xlfn.XLOOKUP(Tables!$L$782,'Input LwA_XYZ'!$BV$1:$CJ$1,'Input LwA_XYZ'!BV22:CJ22)="","-",_xlfn.XLOOKUP(Tables!$L$782,'Input LwA_XYZ'!$BV$1:$CJ$1,'Input LwA_XYZ'!BV22:CJ22)))</f>
        <v>-</v>
      </c>
      <c r="S803" s="91" t="str">
        <f>IF($N803="","",IF('Input LwA_XYZ'!S22="","-",'Input LwA_XYZ'!S22))</f>
        <v>-</v>
      </c>
      <c r="T803" s="65">
        <f>IF($N803="","",_xlfn.XLOOKUP(Tables!$L$782,'Input LwA_XYZ'!$DD$1:$DR$1,'Input LwA_XYZ'!DD22:DR22))</f>
        <v>31.572313832482209</v>
      </c>
    </row>
    <row r="804" spans="14:20" ht="16.5" x14ac:dyDescent="0.3">
      <c r="N804" s="190">
        <f>IF('Input LwA_XYZ'!A23 = 0, "", 'Input LwA_XYZ'!A23)</f>
        <v>1</v>
      </c>
      <c r="O804" s="189" t="str">
        <f>IF($N804="","",_xlfn.TEXTJOIN(" - ",TRUE,'Input LwA_XYZ'!B23:C23))</f>
        <v>BEF-R01  - Inlet</v>
      </c>
      <c r="P804" s="64">
        <f>IF($N804="","",'Input LwA_XYZ'!Q23)</f>
        <v>57</v>
      </c>
      <c r="Q804" s="91" t="str">
        <f>IF($N804="","",-1*ROUND(_xlfn.XLOOKUP(Tables!$L$782,'Input LwA_XYZ'!$AY$1:$BM$1,'Input LwA_XYZ'!AY23:BM23),0) &amp; " / " &amp; ROUND(_xlfn.XLOOKUP(Tables!$L$782,'Input LwA_XYZ'!$AH$1:$AV$1,'Input LwA_XYZ'!AH23:AV23),0) &amp; " ft")</f>
        <v>39 / 123 ft</v>
      </c>
      <c r="R804" s="91" t="str">
        <f>IF($N804="","",IF(_xlfn.XLOOKUP(Tables!$L$782,'Input LwA_XYZ'!$BV$1:$CJ$1,'Input LwA_XYZ'!BV23:CJ23)="","-",_xlfn.XLOOKUP(Tables!$L$782,'Input LwA_XYZ'!$BV$1:$CJ$1,'Input LwA_XYZ'!BV23:CJ23)))</f>
        <v>-</v>
      </c>
      <c r="S804" s="91" t="str">
        <f>IF($N804="","",IF('Input LwA_XYZ'!S23="","-",'Input LwA_XYZ'!S23))</f>
        <v>-</v>
      </c>
      <c r="T804" s="65">
        <f>IF($N804="","",_xlfn.XLOOKUP(Tables!$L$782,'Input LwA_XYZ'!$DD$1:$DR$1,'Input LwA_XYZ'!DD23:DR23))</f>
        <v>17.524923149226339</v>
      </c>
    </row>
    <row r="805" spans="14:20" ht="16.5" x14ac:dyDescent="0.3">
      <c r="N805" s="190">
        <f>IF('Input LwA_XYZ'!A24 = 0, "", 'Input LwA_XYZ'!A24)</f>
        <v>1</v>
      </c>
      <c r="O805" s="189" t="str">
        <f>IF($N805="","",_xlfn.TEXTJOIN(" - ",TRUE,'Input LwA_XYZ'!B24:C24))</f>
        <v>BEF-R02  - Inlet</v>
      </c>
      <c r="P805" s="64">
        <f>IF($N805="","",'Input LwA_XYZ'!Q24)</f>
        <v>66</v>
      </c>
      <c r="Q805" s="91" t="str">
        <f>IF($N805="","",-1*ROUND(_xlfn.XLOOKUP(Tables!$L$782,'Input LwA_XYZ'!$AY$1:$BM$1,'Input LwA_XYZ'!AY24:BM24),0) &amp; " / " &amp; ROUND(_xlfn.XLOOKUP(Tables!$L$782,'Input LwA_XYZ'!$AH$1:$AV$1,'Input LwA_XYZ'!AH24:AV24),0) &amp; " ft")</f>
        <v>40 / 138 ft</v>
      </c>
      <c r="R805" s="91" t="str">
        <f>IF($N805="","",IF(_xlfn.XLOOKUP(Tables!$L$782,'Input LwA_XYZ'!$BV$1:$CJ$1,'Input LwA_XYZ'!BV24:CJ24)="","-",_xlfn.XLOOKUP(Tables!$L$782,'Input LwA_XYZ'!$BV$1:$CJ$1,'Input LwA_XYZ'!BV24:CJ24)))</f>
        <v>-</v>
      </c>
      <c r="S805" s="91" t="str">
        <f>IF($N805="","",IF('Input LwA_XYZ'!S24="","-",'Input LwA_XYZ'!S24))</f>
        <v>-</v>
      </c>
      <c r="T805" s="65">
        <f>IF($N805="","",_xlfn.XLOOKUP(Tables!$L$782,'Input LwA_XYZ'!$DD$1:$DR$1,'Input LwA_XYZ'!DD24:DR24))</f>
        <v>25.558301321549493</v>
      </c>
    </row>
    <row r="806" spans="14:20" ht="16.5" x14ac:dyDescent="0.3">
      <c r="N806" s="190">
        <f>IF('Input LwA_XYZ'!A25 = 0, "", 'Input LwA_XYZ'!A25)</f>
        <v>1</v>
      </c>
      <c r="O806" s="189" t="str">
        <f>IF($N806="","",_xlfn.TEXTJOIN(" - ",TRUE,'Input LwA_XYZ'!B25:C25))</f>
        <v>BEF-R03  - Inlet</v>
      </c>
      <c r="P806" s="64">
        <f>IF($N806="","",'Input LwA_XYZ'!Q25)</f>
        <v>66</v>
      </c>
      <c r="Q806" s="91" t="str">
        <f>IF($N806="","",-1*ROUND(_xlfn.XLOOKUP(Tables!$L$782,'Input LwA_XYZ'!$AY$1:$BM$1,'Input LwA_XYZ'!AY25:BM25),0) &amp; " / " &amp; ROUND(_xlfn.XLOOKUP(Tables!$L$782,'Input LwA_XYZ'!$AH$1:$AV$1,'Input LwA_XYZ'!AH25:AV25),0) &amp; " ft")</f>
        <v>42 / 159 ft</v>
      </c>
      <c r="R806" s="91" t="str">
        <f>IF($N806="","",IF(_xlfn.XLOOKUP(Tables!$L$782,'Input LwA_XYZ'!$BV$1:$CJ$1,'Input LwA_XYZ'!BV25:CJ25)="","-",_xlfn.XLOOKUP(Tables!$L$782,'Input LwA_XYZ'!$BV$1:$CJ$1,'Input LwA_XYZ'!BV25:CJ25)))</f>
        <v>-</v>
      </c>
      <c r="S806" s="91" t="str">
        <f>IF($N806="","",IF('Input LwA_XYZ'!S25="","-",'Input LwA_XYZ'!S25))</f>
        <v>-</v>
      </c>
      <c r="T806" s="65">
        <f>IF($N806="","",_xlfn.XLOOKUP(Tables!$L$782,'Input LwA_XYZ'!$DD$1:$DR$1,'Input LwA_XYZ'!DD25:DR25))</f>
        <v>24.324638741792718</v>
      </c>
    </row>
    <row r="807" spans="14:20" ht="16.5" x14ac:dyDescent="0.3">
      <c r="N807" s="190">
        <f>IF('Input LwA_XYZ'!A26 = 0, "", 'Input LwA_XYZ'!A26)</f>
        <v>1</v>
      </c>
      <c r="O807" s="189" t="str">
        <f>IF($N807="","",_xlfn.TEXTJOIN(" - ",TRUE,'Input LwA_XYZ'!B26:C26))</f>
        <v>BEF-R04  - Inlet</v>
      </c>
      <c r="P807" s="64">
        <f>IF($N807="","",'Input LwA_XYZ'!Q26)</f>
        <v>66</v>
      </c>
      <c r="Q807" s="91" t="str">
        <f>IF($N807="","",-1*ROUND(_xlfn.XLOOKUP(Tables!$L$782,'Input LwA_XYZ'!$AY$1:$BM$1,'Input LwA_XYZ'!AY26:BM26),0) &amp; " / " &amp; ROUND(_xlfn.XLOOKUP(Tables!$L$782,'Input LwA_XYZ'!$AH$1:$AV$1,'Input LwA_XYZ'!AH26:AV26),0) &amp; " ft")</f>
        <v>43 / 181 ft</v>
      </c>
      <c r="R807" s="91" t="str">
        <f>IF($N807="","",IF(_xlfn.XLOOKUP(Tables!$L$782,'Input LwA_XYZ'!$BV$1:$CJ$1,'Input LwA_XYZ'!BV26:CJ26)="","-",_xlfn.XLOOKUP(Tables!$L$782,'Input LwA_XYZ'!$BV$1:$CJ$1,'Input LwA_XYZ'!BV26:CJ26)))</f>
        <v>-</v>
      </c>
      <c r="S807" s="91" t="str">
        <f>IF($N807="","",IF('Input LwA_XYZ'!S26="","-",'Input LwA_XYZ'!S26))</f>
        <v>-</v>
      </c>
      <c r="T807" s="65">
        <f>IF($N807="","",_xlfn.XLOOKUP(Tables!$L$782,'Input LwA_XYZ'!$DD$1:$DR$1,'Input LwA_XYZ'!DD26:DR26))</f>
        <v>23.168375747855407</v>
      </c>
    </row>
    <row r="808" spans="14:20" ht="16.5" x14ac:dyDescent="0.3">
      <c r="N808" s="190">
        <f>IF('Input LwA_XYZ'!A27 = 0, "", 'Input LwA_XYZ'!A27)</f>
        <v>1</v>
      </c>
      <c r="O808" s="189" t="str">
        <f>IF($N808="","",_xlfn.TEXTJOIN(" - ",TRUE,'Input LwA_XYZ'!B27:C27))</f>
        <v>BEF-R05  - Inlet</v>
      </c>
      <c r="P808" s="64">
        <f>IF($N808="","",'Input LwA_XYZ'!Q27)</f>
        <v>66</v>
      </c>
      <c r="Q808" s="91" t="str">
        <f>IF($N808="","",-1*ROUND(_xlfn.XLOOKUP(Tables!$L$782,'Input LwA_XYZ'!$AY$1:$BM$1,'Input LwA_XYZ'!AY27:BM27),0) &amp; " / " &amp; ROUND(_xlfn.XLOOKUP(Tables!$L$782,'Input LwA_XYZ'!$AH$1:$AV$1,'Input LwA_XYZ'!AH27:AV27),0) &amp; " ft")</f>
        <v>44 / 199 ft</v>
      </c>
      <c r="R808" s="91" t="str">
        <f>IF($N808="","",IF(_xlfn.XLOOKUP(Tables!$L$782,'Input LwA_XYZ'!$BV$1:$CJ$1,'Input LwA_XYZ'!BV27:CJ27)="","-",_xlfn.XLOOKUP(Tables!$L$782,'Input LwA_XYZ'!$BV$1:$CJ$1,'Input LwA_XYZ'!BV27:CJ27)))</f>
        <v>-</v>
      </c>
      <c r="S808" s="91" t="str">
        <f>IF($N808="","",IF('Input LwA_XYZ'!S27="","-",'Input LwA_XYZ'!S27))</f>
        <v>-</v>
      </c>
      <c r="T808" s="65">
        <f>IF($N808="","",_xlfn.XLOOKUP(Tables!$L$782,'Input LwA_XYZ'!$DD$1:$DR$1,'Input LwA_XYZ'!DD27:DR27))</f>
        <v>22.371723595961846</v>
      </c>
    </row>
    <row r="809" spans="14:20" ht="16.5" x14ac:dyDescent="0.3">
      <c r="N809" s="190">
        <f>IF('Input LwA_XYZ'!A28 = 0, "", 'Input LwA_XYZ'!A28)</f>
        <v>1</v>
      </c>
      <c r="O809" s="189" t="str">
        <f>IF($N809="","",_xlfn.TEXTJOIN(" - ",TRUE,'Input LwA_XYZ'!B28:C28))</f>
        <v>BEF-R06  - Inlet</v>
      </c>
      <c r="P809" s="64">
        <f>IF($N809="","",'Input LwA_XYZ'!Q28)</f>
        <v>66</v>
      </c>
      <c r="Q809" s="91" t="str">
        <f>IF($N809="","",-1*ROUND(_xlfn.XLOOKUP(Tables!$L$782,'Input LwA_XYZ'!$AY$1:$BM$1,'Input LwA_XYZ'!AY28:BM28),0) &amp; " / " &amp; ROUND(_xlfn.XLOOKUP(Tables!$L$782,'Input LwA_XYZ'!$AH$1:$AV$1,'Input LwA_XYZ'!AH28:AV28),0) &amp; " ft")</f>
        <v>43 / 194 ft</v>
      </c>
      <c r="R809" s="91" t="str">
        <f>IF($N809="","",IF(_xlfn.XLOOKUP(Tables!$L$782,'Input LwA_XYZ'!$BV$1:$CJ$1,'Input LwA_XYZ'!BV28:CJ28)="","-",_xlfn.XLOOKUP(Tables!$L$782,'Input LwA_XYZ'!$BV$1:$CJ$1,'Input LwA_XYZ'!BV28:CJ28)))</f>
        <v>-</v>
      </c>
      <c r="S809" s="91" t="str">
        <f>IF($N809="","",IF('Input LwA_XYZ'!S28="","-",'Input LwA_XYZ'!S28))</f>
        <v>-</v>
      </c>
      <c r="T809" s="65">
        <f>IF($N809="","",_xlfn.XLOOKUP(Tables!$L$782,'Input LwA_XYZ'!$DD$1:$DR$1,'Input LwA_XYZ'!DD28:DR28))</f>
        <v>22.571853354436364</v>
      </c>
    </row>
    <row r="810" spans="14:20" ht="16.5" x14ac:dyDescent="0.3">
      <c r="N810" s="190">
        <f>IF('Input LwA_XYZ'!A29 = 0, "", 'Input LwA_XYZ'!A29)</f>
        <v>1</v>
      </c>
      <c r="O810" s="189" t="str">
        <f>IF($N810="","",_xlfn.TEXTJOIN(" - ",TRUE,'Input LwA_XYZ'!B29:C29))</f>
        <v>BEF-R07  - Inlet</v>
      </c>
      <c r="P810" s="64">
        <f>IF($N810="","",'Input LwA_XYZ'!Q29)</f>
        <v>57</v>
      </c>
      <c r="Q810" s="91" t="str">
        <f>IF($N810="","",-1*ROUND(_xlfn.XLOOKUP(Tables!$L$782,'Input LwA_XYZ'!$AY$1:$BM$1,'Input LwA_XYZ'!AY29:BM29),0) &amp; " / " &amp; ROUND(_xlfn.XLOOKUP(Tables!$L$782,'Input LwA_XYZ'!$AH$1:$AV$1,'Input LwA_XYZ'!AH29:AV29),0) &amp; " ft")</f>
        <v>43 / 195 ft</v>
      </c>
      <c r="R810" s="91" t="str">
        <f>IF($N810="","",IF(_xlfn.XLOOKUP(Tables!$L$782,'Input LwA_XYZ'!$BV$1:$CJ$1,'Input LwA_XYZ'!BV29:CJ29)="","-",_xlfn.XLOOKUP(Tables!$L$782,'Input LwA_XYZ'!$BV$1:$CJ$1,'Input LwA_XYZ'!BV29:CJ29)))</f>
        <v>-</v>
      </c>
      <c r="S810" s="91" t="str">
        <f>IF($N810="","",IF('Input LwA_XYZ'!S29="","-",'Input LwA_XYZ'!S29))</f>
        <v>-</v>
      </c>
      <c r="T810" s="65">
        <f>IF($N810="","",_xlfn.XLOOKUP(Tables!$L$782,'Input LwA_XYZ'!$DD$1:$DR$1,'Input LwA_XYZ'!DD29:DR29))</f>
        <v>13.555575842541174</v>
      </c>
    </row>
    <row r="811" spans="14:20" ht="16.5" x14ac:dyDescent="0.3">
      <c r="N811" s="190">
        <f>IF('Input LwA_XYZ'!A30 = 0, "", 'Input LwA_XYZ'!A30)</f>
        <v>1</v>
      </c>
      <c r="O811" s="189" t="str">
        <f>IF($N811="","",_xlfn.TEXTJOIN(" - ",TRUE,'Input LwA_XYZ'!B30:C30))</f>
        <v>BEF-R08  - Inlet</v>
      </c>
      <c r="P811" s="64">
        <f>IF($N811="","",'Input LwA_XYZ'!Q30)</f>
        <v>57</v>
      </c>
      <c r="Q811" s="91" t="str">
        <f>IF($N811="","",-1*ROUND(_xlfn.XLOOKUP(Tables!$L$782,'Input LwA_XYZ'!$AY$1:$BM$1,'Input LwA_XYZ'!AY30:BM30),0) &amp; " / " &amp; ROUND(_xlfn.XLOOKUP(Tables!$L$782,'Input LwA_XYZ'!$AH$1:$AV$1,'Input LwA_XYZ'!AH30:AV30),0) &amp; " ft")</f>
        <v>45 / 235 ft</v>
      </c>
      <c r="R811" s="91" t="str">
        <f>IF($N811="","",IF(_xlfn.XLOOKUP(Tables!$L$782,'Input LwA_XYZ'!$BV$1:$CJ$1,'Input LwA_XYZ'!BV30:CJ30)="","-",_xlfn.XLOOKUP(Tables!$L$782,'Input LwA_XYZ'!$BV$1:$CJ$1,'Input LwA_XYZ'!BV30:CJ30)))</f>
        <v>-</v>
      </c>
      <c r="S811" s="91" t="str">
        <f>IF($N811="","",IF('Input LwA_XYZ'!S30="","-",'Input LwA_XYZ'!S30))</f>
        <v>-</v>
      </c>
      <c r="T811" s="65">
        <f>IF($N811="","",_xlfn.XLOOKUP(Tables!$L$782,'Input LwA_XYZ'!$DD$1:$DR$1,'Input LwA_XYZ'!DD30:DR30))</f>
        <v>11.924932976016137</v>
      </c>
    </row>
    <row r="812" spans="14:20" ht="16.5" x14ac:dyDescent="0.3">
      <c r="N812" s="190">
        <f>IF('Input LwA_XYZ'!A31 = 0, "", 'Input LwA_XYZ'!A31)</f>
        <v>1</v>
      </c>
      <c r="O812" s="189" t="str">
        <f>IF($N812="","",_xlfn.TEXTJOIN(" - ",TRUE,'Input LwA_XYZ'!B31:C31))</f>
        <v>BEF-R09  - Inlet</v>
      </c>
      <c r="P812" s="64">
        <f>IF($N812="","",'Input LwA_XYZ'!Q31)</f>
        <v>66</v>
      </c>
      <c r="Q812" s="91" t="str">
        <f>IF($N812="","",-1*ROUND(_xlfn.XLOOKUP(Tables!$L$782,'Input LwA_XYZ'!$AY$1:$BM$1,'Input LwA_XYZ'!AY31:BM31),0) &amp; " / " &amp; ROUND(_xlfn.XLOOKUP(Tables!$L$782,'Input LwA_XYZ'!$AH$1:$AV$1,'Input LwA_XYZ'!AH31:AV31),0) &amp; " ft")</f>
        <v>45 / 238 ft</v>
      </c>
      <c r="R812" s="91" t="str">
        <f>IF($N812="","",IF(_xlfn.XLOOKUP(Tables!$L$782,'Input LwA_XYZ'!$BV$1:$CJ$1,'Input LwA_XYZ'!BV31:CJ31)="","-",_xlfn.XLOOKUP(Tables!$L$782,'Input LwA_XYZ'!$BV$1:$CJ$1,'Input LwA_XYZ'!BV31:CJ31)))</f>
        <v>-</v>
      </c>
      <c r="S812" s="91" t="str">
        <f>IF($N812="","",IF('Input LwA_XYZ'!S31="","-",'Input LwA_XYZ'!S31))</f>
        <v>-</v>
      </c>
      <c r="T812" s="65">
        <f>IF($N812="","",_xlfn.XLOOKUP(Tables!$L$782,'Input LwA_XYZ'!$DD$1:$DR$1,'Input LwA_XYZ'!DD31:DR31))</f>
        <v>20.789699625762694</v>
      </c>
    </row>
    <row r="813" spans="14:20" ht="16.5" x14ac:dyDescent="0.3">
      <c r="N813" s="190">
        <f>IF('Input LwA_XYZ'!A32 = 0, "", 'Input LwA_XYZ'!A32)</f>
        <v>1</v>
      </c>
      <c r="O813" s="189" t="str">
        <f>IF($N813="","",_xlfn.TEXTJOIN(" - ",TRUE,'Input LwA_XYZ'!B32:C32))</f>
        <v>BEF-R10  - Inlet</v>
      </c>
      <c r="P813" s="64">
        <f>IF($N813="","",'Input LwA_XYZ'!Q32)</f>
        <v>66</v>
      </c>
      <c r="Q813" s="91" t="str">
        <f>IF($N813="","",-1*ROUND(_xlfn.XLOOKUP(Tables!$L$782,'Input LwA_XYZ'!$AY$1:$BM$1,'Input LwA_XYZ'!AY32:BM32),0) &amp; " / " &amp; ROUND(_xlfn.XLOOKUP(Tables!$L$782,'Input LwA_XYZ'!$AH$1:$AV$1,'Input LwA_XYZ'!AH32:AV32),0) &amp; " ft")</f>
        <v>45 / 245 ft</v>
      </c>
      <c r="R813" s="91" t="str">
        <f>IF($N813="","",IF(_xlfn.XLOOKUP(Tables!$L$782,'Input LwA_XYZ'!$BV$1:$CJ$1,'Input LwA_XYZ'!BV32:CJ32)="","-",_xlfn.XLOOKUP(Tables!$L$782,'Input LwA_XYZ'!$BV$1:$CJ$1,'Input LwA_XYZ'!BV32:CJ32)))</f>
        <v>-</v>
      </c>
      <c r="S813" s="91" t="str">
        <f>IF($N813="","",IF('Input LwA_XYZ'!S32="","-",'Input LwA_XYZ'!S32))</f>
        <v>-</v>
      </c>
      <c r="T813" s="65">
        <f>IF($N813="","",_xlfn.XLOOKUP(Tables!$L$782,'Input LwA_XYZ'!$DD$1:$DR$1,'Input LwA_XYZ'!DD32:DR32))</f>
        <v>20.549999233311269</v>
      </c>
    </row>
    <row r="814" spans="14:20" ht="16.5" x14ac:dyDescent="0.3">
      <c r="N814" s="190">
        <f>IF('Input LwA_XYZ'!A33 = 0, "", 'Input LwA_XYZ'!A33)</f>
        <v>1</v>
      </c>
      <c r="O814" s="189" t="str">
        <f>IF($N814="","",_xlfn.TEXTJOIN(" - ",TRUE,'Input LwA_XYZ'!B33:C33))</f>
        <v>BEF-R11  - Inlet</v>
      </c>
      <c r="P814" s="64">
        <f>IF($N814="","",'Input LwA_XYZ'!Q33)</f>
        <v>66</v>
      </c>
      <c r="Q814" s="91" t="str">
        <f>IF($N814="","",-1*ROUND(_xlfn.XLOOKUP(Tables!$L$782,'Input LwA_XYZ'!$AY$1:$BM$1,'Input LwA_XYZ'!AY33:BM33),0) &amp; " / " &amp; ROUND(_xlfn.XLOOKUP(Tables!$L$782,'Input LwA_XYZ'!$AH$1:$AV$1,'Input LwA_XYZ'!AH33:AV33),0) &amp; " ft")</f>
        <v>46 / 249 ft</v>
      </c>
      <c r="R814" s="91" t="str">
        <f>IF($N814="","",IF(_xlfn.XLOOKUP(Tables!$L$782,'Input LwA_XYZ'!$BV$1:$CJ$1,'Input LwA_XYZ'!BV33:CJ33)="","-",_xlfn.XLOOKUP(Tables!$L$782,'Input LwA_XYZ'!$BV$1:$CJ$1,'Input LwA_XYZ'!BV33:CJ33)))</f>
        <v>-</v>
      </c>
      <c r="S814" s="91" t="str">
        <f>IF($N814="","",IF('Input LwA_XYZ'!S33="","-",'Input LwA_XYZ'!S33))</f>
        <v>-</v>
      </c>
      <c r="T814" s="65">
        <f>IF($N814="","",_xlfn.XLOOKUP(Tables!$L$782,'Input LwA_XYZ'!$DD$1:$DR$1,'Input LwA_XYZ'!DD33:DR33))</f>
        <v>20.413561674561677</v>
      </c>
    </row>
    <row r="815" spans="14:20" ht="16.5" x14ac:dyDescent="0.3">
      <c r="N815" s="190">
        <f>IF('Input LwA_XYZ'!A34 = 0, "", 'Input LwA_XYZ'!A34)</f>
        <v>1</v>
      </c>
      <c r="O815" s="189" t="str">
        <f>IF($N815="","",_xlfn.TEXTJOIN(" - ",TRUE,'Input LwA_XYZ'!B34:C34))</f>
        <v>BEF-R12  - Inlet</v>
      </c>
      <c r="P815" s="64">
        <f>IF($N815="","",'Input LwA_XYZ'!Q34)</f>
        <v>66</v>
      </c>
      <c r="Q815" s="91" t="str">
        <f>IF($N815="","",-1*ROUND(_xlfn.XLOOKUP(Tables!$L$782,'Input LwA_XYZ'!$AY$1:$BM$1,'Input LwA_XYZ'!AY34:BM34),0) &amp; " / " &amp; ROUND(_xlfn.XLOOKUP(Tables!$L$782,'Input LwA_XYZ'!$AH$1:$AV$1,'Input LwA_XYZ'!AH34:AV34),0) &amp; " ft")</f>
        <v>44 / 208 ft</v>
      </c>
      <c r="R815" s="91" t="str">
        <f>IF($N815="","",IF(_xlfn.XLOOKUP(Tables!$L$782,'Input LwA_XYZ'!$BV$1:$CJ$1,'Input LwA_XYZ'!BV34:CJ34)="","-",_xlfn.XLOOKUP(Tables!$L$782,'Input LwA_XYZ'!$BV$1:$CJ$1,'Input LwA_XYZ'!BV34:CJ34)))</f>
        <v>-</v>
      </c>
      <c r="S815" s="91" t="str">
        <f>IF($N815="","",IF('Input LwA_XYZ'!S34="","-",'Input LwA_XYZ'!S34))</f>
        <v>-</v>
      </c>
      <c r="T815" s="65">
        <f>IF($N815="","",_xlfn.XLOOKUP(Tables!$L$782,'Input LwA_XYZ'!$DD$1:$DR$1,'Input LwA_XYZ'!DD34:DR34))</f>
        <v>21.980715174611781</v>
      </c>
    </row>
    <row r="816" spans="14:20" ht="16.5" x14ac:dyDescent="0.3">
      <c r="N816" s="190">
        <f>IF('Input LwA_XYZ'!A35 = 0, "", 'Input LwA_XYZ'!A35)</f>
        <v>1</v>
      </c>
      <c r="O816" s="189" t="str">
        <f>IF($N816="","",_xlfn.TEXTJOIN(" - ",TRUE,'Input LwA_XYZ'!B35:C35))</f>
        <v>BEF-R13  - Inlet</v>
      </c>
      <c r="P816" s="64">
        <f>IF($N816="","",'Input LwA_XYZ'!Q35)</f>
        <v>66</v>
      </c>
      <c r="Q816" s="91" t="str">
        <f>IF($N816="","",-1*ROUND(_xlfn.XLOOKUP(Tables!$L$782,'Input LwA_XYZ'!$AY$1:$BM$1,'Input LwA_XYZ'!AY35:BM35),0) &amp; " / " &amp; ROUND(_xlfn.XLOOKUP(Tables!$L$782,'Input LwA_XYZ'!$AH$1:$AV$1,'Input LwA_XYZ'!AH35:AV35),0) &amp; " ft")</f>
        <v>43 / 177 ft</v>
      </c>
      <c r="R816" s="91" t="str">
        <f>IF($N816="","",IF(_xlfn.XLOOKUP(Tables!$L$782,'Input LwA_XYZ'!$BV$1:$CJ$1,'Input LwA_XYZ'!BV35:CJ35)="","-",_xlfn.XLOOKUP(Tables!$L$782,'Input LwA_XYZ'!$BV$1:$CJ$1,'Input LwA_XYZ'!BV35:CJ35)))</f>
        <v>-</v>
      </c>
      <c r="S816" s="91" t="str">
        <f>IF($N816="","",IF('Input LwA_XYZ'!S35="","-",'Input LwA_XYZ'!S35))</f>
        <v>-</v>
      </c>
      <c r="T816" s="65">
        <f>IF($N816="","",_xlfn.XLOOKUP(Tables!$L$782,'Input LwA_XYZ'!$DD$1:$DR$1,'Input LwA_XYZ'!DD35:DR35))</f>
        <v>23.39479009159399</v>
      </c>
    </row>
    <row r="817" spans="14:20" ht="16.5" x14ac:dyDescent="0.3">
      <c r="N817" s="190">
        <f>IF('Input LwA_XYZ'!A36 = 0, "", 'Input LwA_XYZ'!A36)</f>
        <v>1</v>
      </c>
      <c r="O817" s="189" t="str">
        <f>IF($N817="","",_xlfn.TEXTJOIN(" - ",TRUE,'Input LwA_XYZ'!B36:C36))</f>
        <v>BEF-R14  - Inlet</v>
      </c>
      <c r="P817" s="64">
        <f>IF($N817="","",'Input LwA_XYZ'!Q36)</f>
        <v>66</v>
      </c>
      <c r="Q817" s="91" t="str">
        <f>IF($N817="","",-1*ROUND(_xlfn.XLOOKUP(Tables!$L$782,'Input LwA_XYZ'!$AY$1:$BM$1,'Input LwA_XYZ'!AY36:BM36),0) &amp; " / " &amp; ROUND(_xlfn.XLOOKUP(Tables!$L$782,'Input LwA_XYZ'!$AH$1:$AV$1,'Input LwA_XYZ'!AH36:AV36),0) &amp; " ft")</f>
        <v>42 / 160 ft</v>
      </c>
      <c r="R817" s="91" t="str">
        <f>IF($N817="","",IF(_xlfn.XLOOKUP(Tables!$L$782,'Input LwA_XYZ'!$BV$1:$CJ$1,'Input LwA_XYZ'!BV36:CJ36)="","-",_xlfn.XLOOKUP(Tables!$L$782,'Input LwA_XYZ'!$BV$1:$CJ$1,'Input LwA_XYZ'!BV36:CJ36)))</f>
        <v>-</v>
      </c>
      <c r="S817" s="91" t="str">
        <f>IF($N817="","",IF('Input LwA_XYZ'!S36="","-",'Input LwA_XYZ'!S36))</f>
        <v>-</v>
      </c>
      <c r="T817" s="65">
        <f>IF($N817="","",_xlfn.XLOOKUP(Tables!$L$782,'Input LwA_XYZ'!$DD$1:$DR$1,'Input LwA_XYZ'!DD36:DR36))</f>
        <v>24.267760520630574</v>
      </c>
    </row>
    <row r="818" spans="14:20" ht="16.5" x14ac:dyDescent="0.3">
      <c r="N818" s="190">
        <f>IF('Input LwA_XYZ'!A37 = 0, "", 'Input LwA_XYZ'!A37)</f>
        <v>1</v>
      </c>
      <c r="O818" s="189" t="str">
        <f>IF($N818="","",_xlfn.TEXTJOIN(" - ",TRUE,'Input LwA_XYZ'!B37:C37))</f>
        <v>BEF-R15  - Inlet</v>
      </c>
      <c r="P818" s="64">
        <f>IF($N818="","",'Input LwA_XYZ'!Q37)</f>
        <v>57</v>
      </c>
      <c r="Q818" s="91" t="str">
        <f>IF($N818="","",-1*ROUND(_xlfn.XLOOKUP(Tables!$L$782,'Input LwA_XYZ'!$AY$1:$BM$1,'Input LwA_XYZ'!AY37:BM37),0) &amp; " / " &amp; ROUND(_xlfn.XLOOKUP(Tables!$L$782,'Input LwA_XYZ'!$AH$1:$AV$1,'Input LwA_XYZ'!AH37:AV37),0) &amp; " ft")</f>
        <v>41 / 151 ft</v>
      </c>
      <c r="R818" s="91" t="str">
        <f>IF($N818="","",IF(_xlfn.XLOOKUP(Tables!$L$782,'Input LwA_XYZ'!$BV$1:$CJ$1,'Input LwA_XYZ'!BV37:CJ37)="","-",_xlfn.XLOOKUP(Tables!$L$782,'Input LwA_XYZ'!$BV$1:$CJ$1,'Input LwA_XYZ'!BV37:CJ37)))</f>
        <v>-</v>
      </c>
      <c r="S818" s="91" t="str">
        <f>IF($N818="","",IF('Input LwA_XYZ'!S37="","-",'Input LwA_XYZ'!S37))</f>
        <v>-</v>
      </c>
      <c r="T818" s="65">
        <f>IF($N818="","",_xlfn.XLOOKUP(Tables!$L$782,'Input LwA_XYZ'!$DD$1:$DR$1,'Input LwA_XYZ'!DD37:DR37))</f>
        <v>15.774111416089106</v>
      </c>
    </row>
    <row r="819" spans="14:20" ht="16.5" x14ac:dyDescent="0.3">
      <c r="N819" s="190">
        <f>IF('Input LwA_XYZ'!A38 = 0, "", 'Input LwA_XYZ'!A38)</f>
        <v>1</v>
      </c>
      <c r="O819" s="189" t="str">
        <f>IF($N819="","",_xlfn.TEXTJOIN(" - ",TRUE,'Input LwA_XYZ'!B38:C38))</f>
        <v>BEF-R16  - Inlet</v>
      </c>
      <c r="P819" s="64">
        <f>IF($N819="","",'Input LwA_XYZ'!Q38)</f>
        <v>57</v>
      </c>
      <c r="Q819" s="91" t="str">
        <f>IF($N819="","",-1*ROUND(_xlfn.XLOOKUP(Tables!$L$782,'Input LwA_XYZ'!$AY$1:$BM$1,'Input LwA_XYZ'!AY38:BM38),0) &amp; " / " &amp; ROUND(_xlfn.XLOOKUP(Tables!$L$782,'Input LwA_XYZ'!$AH$1:$AV$1,'Input LwA_XYZ'!AH38:AV38),0) &amp; " ft")</f>
        <v>44 / 218 ft</v>
      </c>
      <c r="R819" s="91" t="str">
        <f>IF($N819="","",IF(_xlfn.XLOOKUP(Tables!$L$782,'Input LwA_XYZ'!$BV$1:$CJ$1,'Input LwA_XYZ'!BV38:CJ38)="","-",_xlfn.XLOOKUP(Tables!$L$782,'Input LwA_XYZ'!$BV$1:$CJ$1,'Input LwA_XYZ'!BV38:CJ38)))</f>
        <v>-</v>
      </c>
      <c r="S819" s="91" t="str">
        <f>IF($N819="","",IF('Input LwA_XYZ'!S38="","-",'Input LwA_XYZ'!S38))</f>
        <v>-</v>
      </c>
      <c r="T819" s="65">
        <f>IF($N819="","",_xlfn.XLOOKUP(Tables!$L$782,'Input LwA_XYZ'!$DD$1:$DR$1,'Input LwA_XYZ'!DD38:DR38))</f>
        <v>12.585684800234958</v>
      </c>
    </row>
    <row r="820" spans="14:20" ht="16.5" x14ac:dyDescent="0.3">
      <c r="N820" s="190" t="str">
        <f>IF('Input LwA_XYZ'!A39 = 0, "", 'Input LwA_XYZ'!A39)</f>
        <v/>
      </c>
      <c r="O820" s="189" t="str">
        <f>IF($N820="","",_xlfn.TEXTJOIN(" - ",TRUE,'Input LwA_XYZ'!B39:C39))</f>
        <v/>
      </c>
      <c r="P820" s="64" t="str">
        <f>IF($N820="","",'Input LwA_XYZ'!Q39)</f>
        <v/>
      </c>
      <c r="Q820" s="91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91" t="str">
        <f>IF($N820="","",IF(_xlfn.XLOOKUP(Tables!$L$782,'Input LwA_XYZ'!$BV$1:$CJ$1,'Input LwA_XYZ'!BV39:CJ39)="","-",_xlfn.XLOOKUP(Tables!$L$782,'Input LwA_XYZ'!$BV$1:$CJ$1,'Input LwA_XYZ'!BV39:CJ39)))</f>
        <v/>
      </c>
      <c r="S820" s="91" t="str">
        <f>IF($N820="","",IF('Input LwA_XYZ'!S39="","-",'Input LwA_XYZ'!S39))</f>
        <v/>
      </c>
      <c r="T820" s="65" t="str">
        <f>IF($N820="","",_xlfn.XLOOKUP(Tables!$L$782,'Input LwA_XYZ'!$DD$1:$DR$1,'Input LwA_XYZ'!DD39:DR39))</f>
        <v/>
      </c>
    </row>
    <row r="821" spans="14:20" ht="16.5" x14ac:dyDescent="0.3">
      <c r="N821" s="190" t="str">
        <f>IF('Input LwA_XYZ'!A40 = 0, "", 'Input LwA_XYZ'!A40)</f>
        <v/>
      </c>
      <c r="O821" s="189" t="str">
        <f>IF($N821="","",_xlfn.TEXTJOIN(" - ",TRUE,'Input LwA_XYZ'!B40:C40))</f>
        <v/>
      </c>
      <c r="P821" s="64" t="str">
        <f>IF($N821="","",'Input LwA_XYZ'!Q40)</f>
        <v/>
      </c>
      <c r="Q821" s="91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91" t="str">
        <f>IF($N821="","",IF(_xlfn.XLOOKUP(Tables!$L$782,'Input LwA_XYZ'!$BV$1:$CJ$1,'Input LwA_XYZ'!BV40:CJ40)="","-",_xlfn.XLOOKUP(Tables!$L$782,'Input LwA_XYZ'!$BV$1:$CJ$1,'Input LwA_XYZ'!BV40:CJ40)))</f>
        <v/>
      </c>
      <c r="S821" s="91" t="str">
        <f>IF($N821="","",IF('Input LwA_XYZ'!S40="","-",'Input LwA_XYZ'!S40))</f>
        <v/>
      </c>
      <c r="T821" s="65" t="str">
        <f>IF($N821="","",_xlfn.XLOOKUP(Tables!$L$782,'Input LwA_XYZ'!$DD$1:$DR$1,'Input LwA_XYZ'!DD40:DR40))</f>
        <v/>
      </c>
    </row>
    <row r="822" spans="14:20" ht="16.5" x14ac:dyDescent="0.3">
      <c r="N822" s="190" t="str">
        <f>IF('Input LwA_XYZ'!A41 = 0, "", 'Input LwA_XYZ'!A41)</f>
        <v/>
      </c>
      <c r="O822" s="189" t="str">
        <f>IF($N822="","",_xlfn.TEXTJOIN(" - ",TRUE,'Input LwA_XYZ'!B41:C41))</f>
        <v/>
      </c>
      <c r="P822" s="64" t="str">
        <f>IF($N822="","",'Input LwA_XYZ'!Q41)</f>
        <v/>
      </c>
      <c r="Q822" s="91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91" t="str">
        <f>IF($N822="","",IF(_xlfn.XLOOKUP(Tables!$L$782,'Input LwA_XYZ'!$BV$1:$CJ$1,'Input LwA_XYZ'!BV41:CJ41)="","-",_xlfn.XLOOKUP(Tables!$L$782,'Input LwA_XYZ'!$BV$1:$CJ$1,'Input LwA_XYZ'!BV41:CJ41)))</f>
        <v/>
      </c>
      <c r="S822" s="91" t="str">
        <f>IF($N822="","",IF('Input LwA_XYZ'!S41="","-",'Input LwA_XYZ'!S41))</f>
        <v/>
      </c>
      <c r="T822" s="65" t="str">
        <f>IF($N822="","",_xlfn.XLOOKUP(Tables!$L$782,'Input LwA_XYZ'!$DD$1:$DR$1,'Input LwA_XYZ'!DD41:DR41))</f>
        <v/>
      </c>
    </row>
    <row r="823" spans="14:20" ht="16.5" x14ac:dyDescent="0.3">
      <c r="N823" s="190" t="str">
        <f>IF('Input LwA_XYZ'!A42 = 0, "", 'Input LwA_XYZ'!A42)</f>
        <v/>
      </c>
      <c r="O823" s="189" t="str">
        <f>IF($N823="","",_xlfn.TEXTJOIN(" - ",TRUE,'Input LwA_XYZ'!B42:C42))</f>
        <v/>
      </c>
      <c r="P823" s="64" t="str">
        <f>IF($N823="","",'Input LwA_XYZ'!Q42)</f>
        <v/>
      </c>
      <c r="Q823" s="91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91" t="str">
        <f>IF($N823="","",IF(_xlfn.XLOOKUP(Tables!$L$782,'Input LwA_XYZ'!$BV$1:$CJ$1,'Input LwA_XYZ'!BV42:CJ42)="","-",_xlfn.XLOOKUP(Tables!$L$782,'Input LwA_XYZ'!$BV$1:$CJ$1,'Input LwA_XYZ'!BV42:CJ42)))</f>
        <v/>
      </c>
      <c r="S823" s="91" t="str">
        <f>IF($N823="","",IF('Input LwA_XYZ'!S42="","-",'Input LwA_XYZ'!S42))</f>
        <v/>
      </c>
      <c r="T823" s="65" t="str">
        <f>IF($N823="","",_xlfn.XLOOKUP(Tables!$L$782,'Input LwA_XYZ'!$DD$1:$DR$1,'Input LwA_XYZ'!DD42:DR42))</f>
        <v/>
      </c>
    </row>
    <row r="824" spans="14:20" ht="16.5" x14ac:dyDescent="0.3">
      <c r="N824" s="190" t="str">
        <f>IF('Input LwA_XYZ'!A43 = 0, "", 'Input LwA_XYZ'!A43)</f>
        <v/>
      </c>
      <c r="O824" s="189" t="str">
        <f>IF($N824="","",_xlfn.TEXTJOIN(" - ",TRUE,'Input LwA_XYZ'!B43:C43))</f>
        <v/>
      </c>
      <c r="P824" s="64" t="str">
        <f>IF($N824="","",'Input LwA_XYZ'!Q43)</f>
        <v/>
      </c>
      <c r="Q824" s="91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91" t="str">
        <f>IF($N824="","",IF(_xlfn.XLOOKUP(Tables!$L$782,'Input LwA_XYZ'!$BV$1:$CJ$1,'Input LwA_XYZ'!BV43:CJ43)="","-",_xlfn.XLOOKUP(Tables!$L$782,'Input LwA_XYZ'!$BV$1:$CJ$1,'Input LwA_XYZ'!BV43:CJ43)))</f>
        <v/>
      </c>
      <c r="S824" s="91" t="str">
        <f>IF($N824="","",IF('Input LwA_XYZ'!S43="","-",'Input LwA_XYZ'!S43))</f>
        <v/>
      </c>
      <c r="T824" s="65" t="str">
        <f>IF($N824="","",_xlfn.XLOOKUP(Tables!$L$782,'Input LwA_XYZ'!$DD$1:$DR$1,'Input LwA_XYZ'!DD43:DR43))</f>
        <v/>
      </c>
    </row>
    <row r="825" spans="14:20" ht="16.5" x14ac:dyDescent="0.3">
      <c r="N825" s="190" t="str">
        <f>IF('Input LwA_XYZ'!A44 = 0, "", 'Input LwA_XYZ'!A44)</f>
        <v/>
      </c>
      <c r="O825" s="189" t="str">
        <f>IF($N825="","",_xlfn.TEXTJOIN(" - ",TRUE,'Input LwA_XYZ'!B44:C44))</f>
        <v/>
      </c>
      <c r="P825" s="64" t="str">
        <f>IF($N825="","",'Input LwA_XYZ'!Q44)</f>
        <v/>
      </c>
      <c r="Q825" s="91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91" t="str">
        <f>IF($N825="","",IF(_xlfn.XLOOKUP(Tables!$L$782,'Input LwA_XYZ'!$BV$1:$CJ$1,'Input LwA_XYZ'!BV44:CJ44)="","-",_xlfn.XLOOKUP(Tables!$L$782,'Input LwA_XYZ'!$BV$1:$CJ$1,'Input LwA_XYZ'!BV44:CJ44)))</f>
        <v/>
      </c>
      <c r="S825" s="91" t="str">
        <f>IF($N825="","",IF('Input LwA_XYZ'!S44="","-",'Input LwA_XYZ'!S44))</f>
        <v/>
      </c>
      <c r="T825" s="65" t="str">
        <f>IF($N825="","",_xlfn.XLOOKUP(Tables!$L$782,'Input LwA_XYZ'!$DD$1:$DR$1,'Input LwA_XYZ'!DD44:DR44))</f>
        <v/>
      </c>
    </row>
    <row r="826" spans="14:20" ht="16.5" x14ac:dyDescent="0.3">
      <c r="N826" s="190" t="str">
        <f>IF('Input LwA_XYZ'!A45 = 0, "", 'Input LwA_XYZ'!A45)</f>
        <v/>
      </c>
      <c r="O826" s="189" t="str">
        <f>IF($N826="","",_xlfn.TEXTJOIN(" - ",TRUE,'Input LwA_XYZ'!B45:C45))</f>
        <v/>
      </c>
      <c r="P826" s="64" t="str">
        <f>IF($N826="","",'Input LwA_XYZ'!Q45)</f>
        <v/>
      </c>
      <c r="Q826" s="91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91" t="str">
        <f>IF($N826="","",IF(_xlfn.XLOOKUP(Tables!$L$782,'Input LwA_XYZ'!$BV$1:$CJ$1,'Input LwA_XYZ'!BV45:CJ45)="","-",_xlfn.XLOOKUP(Tables!$L$782,'Input LwA_XYZ'!$BV$1:$CJ$1,'Input LwA_XYZ'!BV45:CJ45)))</f>
        <v/>
      </c>
      <c r="S826" s="91" t="str">
        <f>IF($N826="","",IF('Input LwA_XYZ'!S45="","-",'Input LwA_XYZ'!S45))</f>
        <v/>
      </c>
      <c r="T826" s="65" t="str">
        <f>IF($N826="","",_xlfn.XLOOKUP(Tables!$L$782,'Input LwA_XYZ'!$DD$1:$DR$1,'Input LwA_XYZ'!DD45:DR45))</f>
        <v/>
      </c>
    </row>
    <row r="827" spans="14:20" ht="16.5" x14ac:dyDescent="0.3">
      <c r="N827" s="190" t="str">
        <f>IF('Input LwA_XYZ'!A46 = 0, "", 'Input LwA_XYZ'!A46)</f>
        <v/>
      </c>
      <c r="O827" s="189" t="str">
        <f>IF($N827="","",_xlfn.TEXTJOIN(" - ",TRUE,'Input LwA_XYZ'!B46:C46))</f>
        <v/>
      </c>
      <c r="P827" s="64" t="str">
        <f>IF($N827="","",'Input LwA_XYZ'!Q46)</f>
        <v/>
      </c>
      <c r="Q827" s="91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91" t="str">
        <f>IF($N827="","",IF(_xlfn.XLOOKUP(Tables!$L$782,'Input LwA_XYZ'!$BV$1:$CJ$1,'Input LwA_XYZ'!BV46:CJ46)="","-",_xlfn.XLOOKUP(Tables!$L$782,'Input LwA_XYZ'!$BV$1:$CJ$1,'Input LwA_XYZ'!BV46:CJ46)))</f>
        <v/>
      </c>
      <c r="S827" s="91" t="str">
        <f>IF($N827="","",IF('Input LwA_XYZ'!S46="","-",'Input LwA_XYZ'!S46))</f>
        <v/>
      </c>
      <c r="T827" s="65" t="str">
        <f>IF($N827="","",_xlfn.XLOOKUP(Tables!$L$782,'Input LwA_XYZ'!$DD$1:$DR$1,'Input LwA_XYZ'!DD46:DR46))</f>
        <v/>
      </c>
    </row>
    <row r="828" spans="14:20" ht="16.5" x14ac:dyDescent="0.3">
      <c r="N828" s="190" t="str">
        <f>IF('Input LwA_XYZ'!A47 = 0, "", 'Input LwA_XYZ'!A47)</f>
        <v/>
      </c>
      <c r="O828" s="189" t="str">
        <f>IF($N828="","",_xlfn.TEXTJOIN(" - ",TRUE,'Input LwA_XYZ'!B47:C47))</f>
        <v/>
      </c>
      <c r="P828" s="64" t="str">
        <f>IF($N828="","",'Input LwA_XYZ'!Q47)</f>
        <v/>
      </c>
      <c r="Q828" s="91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91" t="str">
        <f>IF($N828="","",IF(_xlfn.XLOOKUP(Tables!$L$782,'Input LwA_XYZ'!$BV$1:$CJ$1,'Input LwA_XYZ'!BV47:CJ47)="","-",_xlfn.XLOOKUP(Tables!$L$782,'Input LwA_XYZ'!$BV$1:$CJ$1,'Input LwA_XYZ'!BV47:CJ47)))</f>
        <v/>
      </c>
      <c r="S828" s="91" t="str">
        <f>IF($N828="","",IF('Input LwA_XYZ'!S47="","-",'Input LwA_XYZ'!S47))</f>
        <v/>
      </c>
      <c r="T828" s="65" t="str">
        <f>IF($N828="","",_xlfn.XLOOKUP(Tables!$L$782,'Input LwA_XYZ'!$DD$1:$DR$1,'Input LwA_XYZ'!DD47:DR47))</f>
        <v/>
      </c>
    </row>
    <row r="829" spans="14:20" ht="16.5" x14ac:dyDescent="0.3">
      <c r="N829" s="190" t="str">
        <f>IF('Input LwA_XYZ'!A48 = 0, "", 'Input LwA_XYZ'!A48)</f>
        <v/>
      </c>
      <c r="O829" s="189" t="str">
        <f>IF($N829="","",_xlfn.TEXTJOIN(" - ",TRUE,'Input LwA_XYZ'!B48:C48))</f>
        <v/>
      </c>
      <c r="P829" s="64" t="str">
        <f>IF($N829="","",'Input LwA_XYZ'!Q48)</f>
        <v/>
      </c>
      <c r="Q829" s="91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91" t="str">
        <f>IF($N829="","",IF(_xlfn.XLOOKUP(Tables!$L$782,'Input LwA_XYZ'!$BV$1:$CJ$1,'Input LwA_XYZ'!BV48:CJ48)="","-",_xlfn.XLOOKUP(Tables!$L$782,'Input LwA_XYZ'!$BV$1:$CJ$1,'Input LwA_XYZ'!BV48:CJ48)))</f>
        <v/>
      </c>
      <c r="S829" s="91" t="str">
        <f>IF($N829="","",IF('Input LwA_XYZ'!S48="","-",'Input LwA_XYZ'!S48))</f>
        <v/>
      </c>
      <c r="T829" s="65" t="str">
        <f>IF($N829="","",_xlfn.XLOOKUP(Tables!$L$782,'Input LwA_XYZ'!$DD$1:$DR$1,'Input LwA_XYZ'!DD48:DR48))</f>
        <v/>
      </c>
    </row>
    <row r="830" spans="14:20" ht="16.5" x14ac:dyDescent="0.3">
      <c r="N830" s="190" t="str">
        <f>IF('Input LwA_XYZ'!A49 = 0, "", 'Input LwA_XYZ'!A49)</f>
        <v/>
      </c>
      <c r="O830" s="189" t="str">
        <f>IF($N830="","",_xlfn.TEXTJOIN(" - ",TRUE,'Input LwA_XYZ'!B49:C49))</f>
        <v/>
      </c>
      <c r="P830" s="64" t="str">
        <f>IF($N830="","",'Input LwA_XYZ'!Q49)</f>
        <v/>
      </c>
      <c r="Q830" s="91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91" t="str">
        <f>IF($N830="","",IF(_xlfn.XLOOKUP(Tables!$L$782,'Input LwA_XYZ'!$BV$1:$CJ$1,'Input LwA_XYZ'!BV49:CJ49)="","-",_xlfn.XLOOKUP(Tables!$L$782,'Input LwA_XYZ'!$BV$1:$CJ$1,'Input LwA_XYZ'!BV49:CJ49)))</f>
        <v/>
      </c>
      <c r="S830" s="91" t="str">
        <f>IF($N830="","",IF('Input LwA_XYZ'!S49="","-",'Input LwA_XYZ'!S49))</f>
        <v/>
      </c>
      <c r="T830" s="65" t="str">
        <f>IF($N830="","",_xlfn.XLOOKUP(Tables!$L$782,'Input LwA_XYZ'!$DD$1:$DR$1,'Input LwA_XYZ'!DD49:DR49))</f>
        <v/>
      </c>
    </row>
    <row r="831" spans="14:20" ht="16.5" x14ac:dyDescent="0.3">
      <c r="N831" s="190" t="str">
        <f>IF('Input LwA_XYZ'!A50 = 0, "", 'Input LwA_XYZ'!A50)</f>
        <v/>
      </c>
      <c r="O831" s="189" t="str">
        <f>IF($N831="","",_xlfn.TEXTJOIN(" - ",TRUE,'Input LwA_XYZ'!B50:C50))</f>
        <v/>
      </c>
      <c r="P831" s="64" t="str">
        <f>IF($N831="","",'Input LwA_XYZ'!Q50)</f>
        <v/>
      </c>
      <c r="Q831" s="91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91" t="str">
        <f>IF($N831="","",IF(_xlfn.XLOOKUP(Tables!$L$782,'Input LwA_XYZ'!$BV$1:$CJ$1,'Input LwA_XYZ'!BV50:CJ50)="","-",_xlfn.XLOOKUP(Tables!$L$782,'Input LwA_XYZ'!$BV$1:$CJ$1,'Input LwA_XYZ'!BV50:CJ50)))</f>
        <v/>
      </c>
      <c r="S831" s="91" t="str">
        <f>IF($N831="","",IF('Input LwA_XYZ'!S50="","-",'Input LwA_XYZ'!S50))</f>
        <v/>
      </c>
      <c r="T831" s="65" t="str">
        <f>IF($N831="","",_xlfn.XLOOKUP(Tables!$L$782,'Input LwA_XYZ'!$DD$1:$DR$1,'Input LwA_XYZ'!DD50:DR50))</f>
        <v/>
      </c>
    </row>
    <row r="832" spans="14:20" ht="16.5" x14ac:dyDescent="0.3">
      <c r="N832" s="190" t="str">
        <f>IF('Input LwA_XYZ'!A51 = 0, "", 'Input LwA_XYZ'!A51)</f>
        <v/>
      </c>
      <c r="O832" s="189" t="str">
        <f>IF($N832="","",_xlfn.TEXTJOIN(" - ",TRUE,'Input LwA_XYZ'!B51:C51))</f>
        <v/>
      </c>
      <c r="P832" s="64" t="str">
        <f>IF($N832="","",'Input LwA_XYZ'!Q51)</f>
        <v/>
      </c>
      <c r="Q832" s="91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91" t="str">
        <f>IF($N832="","",IF(_xlfn.XLOOKUP(Tables!$L$782,'Input LwA_XYZ'!$BV$1:$CJ$1,'Input LwA_XYZ'!BV51:CJ51)="","-",_xlfn.XLOOKUP(Tables!$L$782,'Input LwA_XYZ'!$BV$1:$CJ$1,'Input LwA_XYZ'!BV51:CJ51)))</f>
        <v/>
      </c>
      <c r="S832" s="91" t="str">
        <f>IF($N832="","",IF('Input LwA_XYZ'!S51="","-",'Input LwA_XYZ'!S51))</f>
        <v/>
      </c>
      <c r="T832" s="65" t="str">
        <f>IF($N832="","",_xlfn.XLOOKUP(Tables!$L$782,'Input LwA_XYZ'!$DD$1:$DR$1,'Input LwA_XYZ'!DD51:DR51))</f>
        <v/>
      </c>
    </row>
    <row r="833" spans="12:20" ht="16.5" x14ac:dyDescent="0.3">
      <c r="N833" s="190" t="str">
        <f>IF('Input LwA_XYZ'!A52 = 0, "", 'Input LwA_XYZ'!A52)</f>
        <v/>
      </c>
      <c r="O833" s="189" t="str">
        <f>IF($N833="","",_xlfn.TEXTJOIN(" - ",TRUE,'Input LwA_XYZ'!B52:C52))</f>
        <v/>
      </c>
      <c r="P833" s="64" t="str">
        <f>IF($N833="","",'Input LwA_XYZ'!Q52)</f>
        <v/>
      </c>
      <c r="Q833" s="91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91" t="str">
        <f>IF($N833="","",IF(_xlfn.XLOOKUP(Tables!$L$782,'Input LwA_XYZ'!$BV$1:$CJ$1,'Input LwA_XYZ'!BV52:CJ52)="","-",_xlfn.XLOOKUP(Tables!$L$782,'Input LwA_XYZ'!$BV$1:$CJ$1,'Input LwA_XYZ'!BV52:CJ52)))</f>
        <v/>
      </c>
      <c r="S833" s="91" t="str">
        <f>IF($N833="","",IF('Input LwA_XYZ'!S52="","-",'Input LwA_XYZ'!S52))</f>
        <v/>
      </c>
      <c r="T833" s="65" t="str">
        <f>IF($N833="","",_xlfn.XLOOKUP(Tables!$L$782,'Input LwA_XYZ'!$DD$1:$DR$1,'Input LwA_XYZ'!DD52:DR52))</f>
        <v/>
      </c>
    </row>
    <row r="834" spans="12:20" ht="16.5" x14ac:dyDescent="0.3">
      <c r="N834" s="190" t="str">
        <f>IF('Input LwA_XYZ'!A53 = 0, "", 'Input LwA_XYZ'!A53)</f>
        <v/>
      </c>
      <c r="O834" s="189" t="str">
        <f>IF($N834="","",_xlfn.TEXTJOIN(" - ",TRUE,'Input LwA_XYZ'!B53:C53))</f>
        <v/>
      </c>
      <c r="P834" s="64" t="str">
        <f>IF($N834="","",'Input LwA_XYZ'!Q53)</f>
        <v/>
      </c>
      <c r="Q834" s="91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91" t="str">
        <f>IF($N834="","",IF(_xlfn.XLOOKUP(Tables!$L$782,'Input LwA_XYZ'!$BV$1:$CJ$1,'Input LwA_XYZ'!BV53:CJ53)="","-",_xlfn.XLOOKUP(Tables!$L$782,'Input LwA_XYZ'!$BV$1:$CJ$1,'Input LwA_XYZ'!BV53:CJ53)))</f>
        <v/>
      </c>
      <c r="S834" s="91" t="str">
        <f>IF($N834="","",IF('Input LwA_XYZ'!S53="","-",'Input LwA_XYZ'!S53))</f>
        <v/>
      </c>
      <c r="T834" s="65" t="str">
        <f>IF($N834="","",_xlfn.XLOOKUP(Tables!$L$782,'Input LwA_XYZ'!$DD$1:$DR$1,'Input LwA_XYZ'!DD53:DR53))</f>
        <v/>
      </c>
    </row>
    <row r="835" spans="12:20" ht="16.5" x14ac:dyDescent="0.3">
      <c r="N835" s="190" t="str">
        <f>IF('Input LwA_XYZ'!A54 = 0, "", 'Input LwA_XYZ'!A54)</f>
        <v/>
      </c>
      <c r="O835" s="189" t="str">
        <f>IF($N835="","",_xlfn.TEXTJOIN(" - ",TRUE,'Input LwA_XYZ'!B54:C54))</f>
        <v/>
      </c>
      <c r="P835" s="64" t="str">
        <f>IF($N835="","",'Input LwA_XYZ'!Q54)</f>
        <v/>
      </c>
      <c r="Q835" s="91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91" t="str">
        <f>IF($N835="","",IF(_xlfn.XLOOKUP(Tables!$L$782,'Input LwA_XYZ'!$BV$1:$CJ$1,'Input LwA_XYZ'!BV54:CJ54)="","-",_xlfn.XLOOKUP(Tables!$L$782,'Input LwA_XYZ'!$BV$1:$CJ$1,'Input LwA_XYZ'!BV54:CJ54)))</f>
        <v/>
      </c>
      <c r="S835" s="91" t="str">
        <f>IF($N835="","",IF('Input LwA_XYZ'!S54="","-",'Input LwA_XYZ'!S54))</f>
        <v/>
      </c>
      <c r="T835" s="65" t="str">
        <f>IF($N835="","",_xlfn.XLOOKUP(Tables!$L$782,'Input LwA_XYZ'!$DD$1:$DR$1,'Input LwA_XYZ'!DD54:DR54))</f>
        <v/>
      </c>
    </row>
    <row r="836" spans="12:20" ht="16.5" x14ac:dyDescent="0.3">
      <c r="N836" s="190" t="str">
        <f>IF('Input LwA_XYZ'!A55 = 0, "", 'Input LwA_XYZ'!A55)</f>
        <v/>
      </c>
      <c r="O836" s="189" t="str">
        <f>IF($N836="","",_xlfn.TEXTJOIN(" - ",TRUE,'Input LwA_XYZ'!B55:C55))</f>
        <v/>
      </c>
      <c r="P836" s="64" t="str">
        <f>IF($N836="","",'Input LwA_XYZ'!Q55)</f>
        <v/>
      </c>
      <c r="Q836" s="91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91" t="str">
        <f>IF($N836="","",IF(_xlfn.XLOOKUP(Tables!$L$782,'Input LwA_XYZ'!$BV$1:$CJ$1,'Input LwA_XYZ'!BV55:CJ55)="","-",_xlfn.XLOOKUP(Tables!$L$782,'Input LwA_XYZ'!$BV$1:$CJ$1,'Input LwA_XYZ'!BV55:CJ55)))</f>
        <v/>
      </c>
      <c r="S836" s="91" t="str">
        <f>IF($N836="","",IF('Input LwA_XYZ'!S55="","-",'Input LwA_XYZ'!S55))</f>
        <v/>
      </c>
      <c r="T836" s="65" t="str">
        <f>IF($N836="","",_xlfn.XLOOKUP(Tables!$L$782,'Input LwA_XYZ'!$DD$1:$DR$1,'Input LwA_XYZ'!DD55:DR55))</f>
        <v/>
      </c>
    </row>
    <row r="837" spans="12:20" ht="16.5" x14ac:dyDescent="0.3">
      <c r="N837" s="190" t="str">
        <f>IF('Input LwA_XYZ'!A56 = 0, "", 'Input LwA_XYZ'!A56)</f>
        <v/>
      </c>
      <c r="O837" s="189" t="str">
        <f>IF($N837="","",_xlfn.TEXTJOIN(" - ",TRUE,'Input LwA_XYZ'!B56:C56))</f>
        <v/>
      </c>
      <c r="P837" s="64" t="str">
        <f>IF($N837="","",'Input LwA_XYZ'!Q56)</f>
        <v/>
      </c>
      <c r="Q837" s="91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91" t="str">
        <f>IF($N837="","",IF(_xlfn.XLOOKUP(Tables!$L$782,'Input LwA_XYZ'!$BV$1:$CJ$1,'Input LwA_XYZ'!BV56:CJ56)="","-",_xlfn.XLOOKUP(Tables!$L$782,'Input LwA_XYZ'!$BV$1:$CJ$1,'Input LwA_XYZ'!BV56:CJ56)))</f>
        <v/>
      </c>
      <c r="S837" s="91" t="str">
        <f>IF($N837="","",IF('Input LwA_XYZ'!S56="","-",'Input LwA_XYZ'!S56))</f>
        <v/>
      </c>
      <c r="T837" s="65" t="str">
        <f>IF($N837="","",_xlfn.XLOOKUP(Tables!$L$782,'Input LwA_XYZ'!$DD$1:$DR$1,'Input LwA_XYZ'!DD56:DR56))</f>
        <v/>
      </c>
    </row>
    <row r="838" spans="12:20" ht="16.5" x14ac:dyDescent="0.3">
      <c r="N838" s="190" t="str">
        <f>IF('Input LwA_XYZ'!A57 = 0, "", 'Input LwA_XYZ'!A57)</f>
        <v/>
      </c>
      <c r="O838" s="189" t="str">
        <f>IF($N838="","",_xlfn.TEXTJOIN(" - ",TRUE,'Input LwA_XYZ'!B57:C57))</f>
        <v/>
      </c>
      <c r="P838" s="64" t="str">
        <f>IF($N838="","",'Input LwA_XYZ'!Q57)</f>
        <v/>
      </c>
      <c r="Q838" s="91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91" t="str">
        <f>IF($N838="","",IF(_xlfn.XLOOKUP(Tables!$L$782,'Input LwA_XYZ'!$BV$1:$CJ$1,'Input LwA_XYZ'!BV57:CJ57)="","-",_xlfn.XLOOKUP(Tables!$L$782,'Input LwA_XYZ'!$BV$1:$CJ$1,'Input LwA_XYZ'!BV57:CJ57)))</f>
        <v/>
      </c>
      <c r="S838" s="91" t="str">
        <f>IF($N838="","",IF('Input LwA_XYZ'!S57="","-",'Input LwA_XYZ'!S57))</f>
        <v/>
      </c>
      <c r="T838" s="65" t="str">
        <f>IF($N838="","",_xlfn.XLOOKUP(Tables!$L$782,'Input LwA_XYZ'!$DD$1:$DR$1,'Input LwA_XYZ'!DD57:DR57))</f>
        <v/>
      </c>
    </row>
    <row r="839" spans="12:20" ht="17.25" thickBot="1" x14ac:dyDescent="0.35">
      <c r="N839" s="191" t="str">
        <f>IF('Input LwA_XYZ'!A58 = 0, "", 'Input LwA_XYZ'!A58)</f>
        <v/>
      </c>
      <c r="O839" s="192" t="str">
        <f>IF($N839="","",_xlfn.TEXTJOIN(" - ",TRUE,'Input LwA_XYZ'!B58:C58))</f>
        <v/>
      </c>
      <c r="P839" s="99" t="str">
        <f>IF($N839="","",'Input LwA_XYZ'!Q58)</f>
        <v/>
      </c>
      <c r="Q839" s="100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91" t="str">
        <f>IF($N839="","",IF(_xlfn.XLOOKUP(Tables!$L$782,'Input LwA_XYZ'!$BV$1:$CJ$1,'Input LwA_XYZ'!BV58:CJ58)="","-",_xlfn.XLOOKUP(Tables!$L$782,'Input LwA_XYZ'!$BV$1:$CJ$1,'Input LwA_XYZ'!BV58:CJ58)))</f>
        <v/>
      </c>
      <c r="S839" s="91" t="str">
        <f>IF($N839="","",IF('Input LwA_XYZ'!S58="","-",'Input LwA_XYZ'!S58))</f>
        <v/>
      </c>
      <c r="T839" s="66" t="str">
        <f>IF($N839="","",_xlfn.XLOOKUP(Tables!$L$782,'Input LwA_XYZ'!$DD$1:$DR$1,'Input LwA_XYZ'!DD58:DR58))</f>
        <v/>
      </c>
    </row>
    <row r="840" spans="12:20" ht="17.25" thickBot="1" x14ac:dyDescent="0.35">
      <c r="N840" s="101" t="s">
        <v>85</v>
      </c>
      <c r="O840" s="102"/>
      <c r="P840" s="102"/>
      <c r="Q840" s="102"/>
      <c r="R840" s="102"/>
      <c r="S840" s="103"/>
      <c r="T840" s="108" t="str">
        <f>_xlfn.XLOOKUP(Tables!$L$782,'Input LwA_XYZ'!$Z$2:$Z$16,'Input LwA_XYZ'!$AE$2:$AE$16)</f>
        <v/>
      </c>
    </row>
    <row r="841" spans="12:20" ht="15.75" thickBot="1" x14ac:dyDescent="0.3"/>
    <row r="842" spans="12:20" ht="33.75" thickBot="1" x14ac:dyDescent="0.35">
      <c r="L842" s="69" t="s">
        <v>253</v>
      </c>
      <c r="N842" s="93" t="s">
        <v>79</v>
      </c>
      <c r="O842" s="94" t="s">
        <v>80</v>
      </c>
      <c r="P842" s="95" t="s">
        <v>81</v>
      </c>
      <c r="Q842" s="95" t="s">
        <v>82</v>
      </c>
      <c r="R842" s="96" t="s">
        <v>83</v>
      </c>
      <c r="S842" s="97" t="s">
        <v>84</v>
      </c>
      <c r="T842" s="98" t="s">
        <v>78</v>
      </c>
    </row>
    <row r="843" spans="12:20" ht="16.5" x14ac:dyDescent="0.3">
      <c r="N843" s="188">
        <f>IF('Input LwA_XYZ'!A2 = 0, "", 'Input LwA_XYZ'!A2)</f>
        <v>1</v>
      </c>
      <c r="O843" s="189" t="str">
        <f>IF($N843="","",_xlfn.TEXTJOIN(" - ",TRUE,'Input LwA_XYZ'!B2:C2))</f>
        <v>MAU-R1 - Ducted Inlet</v>
      </c>
      <c r="P843" s="90">
        <f>IF($N843="","",'Input LwA_XYZ'!Q2)</f>
        <v>86</v>
      </c>
      <c r="Q843" s="91" t="str">
        <f>IF($N843="","",-1*ROUND(_xlfn.XLOOKUP(Tables!$L$842,'Input LwA_XYZ'!$AY$1:$BM$1,'Input LwA_XYZ'!AY2:BM2),0) &amp; " / " &amp; ROUND(_xlfn.XLOOKUP(Tables!$L$842,'Input LwA_XYZ'!$AH$1:$AV$1,'Input LwA_XYZ'!AH2:AV2),0) &amp; " ft")</f>
        <v>42 / 162 ft</v>
      </c>
      <c r="R843" s="91" t="str">
        <f>IF($N843="","",IF(_xlfn.XLOOKUP(Tables!$L$842,'Input LwA_XYZ'!$BV$1:$CJ$1,'Input LwA_XYZ'!BV2:CJ2)="","-",_xlfn.XLOOKUP(Tables!$L$842,'Input LwA_XYZ'!$BV$1:$CJ$1,'Input LwA_XYZ'!BV2:CJ2)))</f>
        <v>-</v>
      </c>
      <c r="S843" s="91" t="str">
        <f>IF($N843="","",IF('Input LwA_XYZ'!S2="","-",'Input LwA_XYZ'!S2))</f>
        <v>-</v>
      </c>
      <c r="T843" s="92">
        <f>IF($N843="","",_xlfn.XLOOKUP(Tables!$L$842,'Input LwA_XYZ'!$DD$1:$DR$1,'Input LwA_XYZ'!DD2:DR2))</f>
        <v>44.138152188324661</v>
      </c>
    </row>
    <row r="844" spans="12:20" ht="16.5" x14ac:dyDescent="0.3">
      <c r="N844" s="190">
        <f>IF('Input LwA_XYZ'!A3 = 0, "", 'Input LwA_XYZ'!A3)</f>
        <v>1</v>
      </c>
      <c r="O844" s="189" t="str">
        <f>IF($N844="","",_xlfn.TEXTJOIN(" - ",TRUE,'Input LwA_XYZ'!B3:C3))</f>
        <v>ERV-R.1 - Outdoor+Casing+Exhaust</v>
      </c>
      <c r="P844" s="64">
        <f>IF($N844="","",'Input LwA_XYZ'!Q3)</f>
        <v>91</v>
      </c>
      <c r="Q844" s="91" t="str">
        <f>IF($N844="","",-1*ROUND(_xlfn.XLOOKUP(Tables!$L$842,'Input LwA_XYZ'!$AY$1:$BM$1,'Input LwA_XYZ'!AY3:BM3),0) &amp; " / " &amp; ROUND(_xlfn.XLOOKUP(Tables!$L$842,'Input LwA_XYZ'!$AH$1:$AV$1,'Input LwA_XYZ'!AH3:AV3),0) &amp; " ft")</f>
        <v>44 / 209 ft</v>
      </c>
      <c r="R844" s="91" t="str">
        <f>IF($N844="","",IF(_xlfn.XLOOKUP(Tables!$L$842,'Input LwA_XYZ'!$BV$1:$CJ$1,'Input LwA_XYZ'!BV3:CJ3)="","-",_xlfn.XLOOKUP(Tables!$L$842,'Input LwA_XYZ'!$BV$1:$CJ$1,'Input LwA_XYZ'!BV3:CJ3)))</f>
        <v>-</v>
      </c>
      <c r="S844" s="91" t="str">
        <f>IF($N844="","",IF('Input LwA_XYZ'!S3="","-",'Input LwA_XYZ'!S3))</f>
        <v>-</v>
      </c>
      <c r="T844" s="65">
        <f>IF($N844="","",_xlfn.XLOOKUP(Tables!$L$842,'Input LwA_XYZ'!$DD$1:$DR$1,'Input LwA_XYZ'!DD3:DR3))</f>
        <v>46.916163500616804</v>
      </c>
    </row>
    <row r="845" spans="12:20" ht="16.5" x14ac:dyDescent="0.3">
      <c r="N845" s="190">
        <f>IF('Input LwA_XYZ'!A4 = 0, "", 'Input LwA_XYZ'!A4)</f>
        <v>1</v>
      </c>
      <c r="O845" s="189" t="str">
        <f>IF($N845="","",_xlfn.TEXTJOIN(" - ",TRUE,'Input LwA_XYZ'!B4:C4))</f>
        <v>GEF-R1  - Inlet (plus ductwork lined)</v>
      </c>
      <c r="P845" s="64">
        <f>IF($N845="","",'Input LwA_XYZ'!Q4)</f>
        <v>82</v>
      </c>
      <c r="Q845" s="91" t="str">
        <f>IF($N845="","",-1*ROUND(_xlfn.XLOOKUP(Tables!$L$842,'Input LwA_XYZ'!$AY$1:$BM$1,'Input LwA_XYZ'!AY4:BM4),0) &amp; " / " &amp; ROUND(_xlfn.XLOOKUP(Tables!$L$842,'Input LwA_XYZ'!$AH$1:$AV$1,'Input LwA_XYZ'!AH4:AV4),0) &amp; " ft")</f>
        <v>45 / 227 ft</v>
      </c>
      <c r="R845" s="91" t="str">
        <f>IF($N845="","",IF(_xlfn.XLOOKUP(Tables!$L$842,'Input LwA_XYZ'!$BV$1:$CJ$1,'Input LwA_XYZ'!BV4:CJ4)="","-",_xlfn.XLOOKUP(Tables!$L$842,'Input LwA_XYZ'!$BV$1:$CJ$1,'Input LwA_XYZ'!BV4:CJ4)))</f>
        <v>-</v>
      </c>
      <c r="S845" s="91">
        <f>IF($N845="","",IF('Input LwA_XYZ'!S4="","-",'Input LwA_XYZ'!S4))</f>
        <v>13</v>
      </c>
      <c r="T845" s="65">
        <f>IF($N845="","",_xlfn.XLOOKUP(Tables!$L$842,'Input LwA_XYZ'!$DD$1:$DR$1,'Input LwA_XYZ'!DD4:DR4))</f>
        <v>24.209702003731167</v>
      </c>
    </row>
    <row r="846" spans="12:20" ht="16.5" x14ac:dyDescent="0.3">
      <c r="N846" s="190">
        <f>IF('Input LwA_XYZ'!A5 = 0, "", 'Input LwA_XYZ'!A5)</f>
        <v>1</v>
      </c>
      <c r="O846" s="189" t="str">
        <f>IF($N846="","",_xlfn.TEXTJOIN(" - ",TRUE,'Input LwA_XYZ'!B5:C5))</f>
        <v>DEF-R1, R2 - Inlet</v>
      </c>
      <c r="P846" s="64">
        <f>IF($N846="","",'Input LwA_XYZ'!Q5)</f>
        <v>70</v>
      </c>
      <c r="Q846" s="91" t="str">
        <f>IF($N846="","",-1*ROUND(_xlfn.XLOOKUP(Tables!$L$842,'Input LwA_XYZ'!$AY$1:$BM$1,'Input LwA_XYZ'!AY5:BM5),0) &amp; " / " &amp; ROUND(_xlfn.XLOOKUP(Tables!$L$842,'Input LwA_XYZ'!$AH$1:$AV$1,'Input LwA_XYZ'!AH5:AV5),0) &amp; " ft")</f>
        <v>45 / 221 ft</v>
      </c>
      <c r="R846" s="91" t="str">
        <f>IF($N846="","",IF(_xlfn.XLOOKUP(Tables!$L$842,'Input LwA_XYZ'!$BV$1:$CJ$1,'Input LwA_XYZ'!BV5:CJ5)="","-",_xlfn.XLOOKUP(Tables!$L$842,'Input LwA_XYZ'!$BV$1:$CJ$1,'Input LwA_XYZ'!BV5:CJ5)))</f>
        <v>-</v>
      </c>
      <c r="S846" s="91" t="str">
        <f>IF($N846="","",IF('Input LwA_XYZ'!S5="","-",'Input LwA_XYZ'!S5))</f>
        <v>-</v>
      </c>
      <c r="T846" s="65">
        <f>IF($N846="","",_xlfn.XLOOKUP(Tables!$L$842,'Input LwA_XYZ'!$DD$1:$DR$1,'Input LwA_XYZ'!DD5:DR5))</f>
        <v>25.440965737971545</v>
      </c>
    </row>
    <row r="847" spans="12:20" ht="16.5" x14ac:dyDescent="0.3">
      <c r="N847" s="190">
        <f>IF('Input LwA_XYZ'!A6 = 0, "", 'Input LwA_XYZ'!A6)</f>
        <v>1</v>
      </c>
      <c r="O847" s="189" t="str">
        <f>IF($N847="","",_xlfn.TEXTJOIN(" - ",TRUE,'Input LwA_XYZ'!B6:C6))</f>
        <v>KEF-R1  - Inlet</v>
      </c>
      <c r="P847" s="64">
        <f>IF($N847="","",'Input LwA_XYZ'!Q6)</f>
        <v>80</v>
      </c>
      <c r="Q847" s="91" t="str">
        <f>IF($N847="","",-1*ROUND(_xlfn.XLOOKUP(Tables!$L$842,'Input LwA_XYZ'!$AY$1:$BM$1,'Input LwA_XYZ'!AY6:BM6),0) &amp; " / " &amp; ROUND(_xlfn.XLOOKUP(Tables!$L$842,'Input LwA_XYZ'!$AH$1:$AV$1,'Input LwA_XYZ'!AH6:AV6),0) &amp; " ft")</f>
        <v>41 / 143 ft</v>
      </c>
      <c r="R847" s="91" t="str">
        <f>IF($N847="","",IF(_xlfn.XLOOKUP(Tables!$L$842,'Input LwA_XYZ'!$BV$1:$CJ$1,'Input LwA_XYZ'!BV6:CJ6)="","-",_xlfn.XLOOKUP(Tables!$L$842,'Input LwA_XYZ'!$BV$1:$CJ$1,'Input LwA_XYZ'!BV6:CJ6)))</f>
        <v>-</v>
      </c>
      <c r="S847" s="91" t="str">
        <f>IF($N847="","",IF('Input LwA_XYZ'!S6="","-",'Input LwA_XYZ'!S6))</f>
        <v>-</v>
      </c>
      <c r="T847" s="65">
        <f>IF($N847="","",_xlfn.XLOOKUP(Tables!$L$842,'Input LwA_XYZ'!$DD$1:$DR$1,'Input LwA_XYZ'!DD6:DR6))</f>
        <v>39.206517993449772</v>
      </c>
    </row>
    <row r="848" spans="12:20" ht="16.5" x14ac:dyDescent="0.3">
      <c r="N848" s="190">
        <f>IF('Input LwA_XYZ'!A7 = 0, "", 'Input LwA_XYZ'!A7)</f>
        <v>1</v>
      </c>
      <c r="O848" s="189" t="str">
        <f>IF($N848="","",_xlfn.TEXTJOIN(" - ",TRUE,'Input LwA_XYZ'!B7:C7))</f>
        <v>DWEF-R1 - Inlet</v>
      </c>
      <c r="P848" s="64">
        <f>IF($N848="","",'Input LwA_XYZ'!Q7)</f>
        <v>71</v>
      </c>
      <c r="Q848" s="91" t="str">
        <f>IF($N848="","",-1*ROUND(_xlfn.XLOOKUP(Tables!$L$842,'Input LwA_XYZ'!$AY$1:$BM$1,'Input LwA_XYZ'!AY7:BM7),0) &amp; " / " &amp; ROUND(_xlfn.XLOOKUP(Tables!$L$842,'Input LwA_XYZ'!$AH$1:$AV$1,'Input LwA_XYZ'!AH7:AV7),0) &amp; " ft")</f>
        <v>41 / 153 ft</v>
      </c>
      <c r="R848" s="91" t="str">
        <f>IF($N848="","",IF(_xlfn.XLOOKUP(Tables!$L$842,'Input LwA_XYZ'!$BV$1:$CJ$1,'Input LwA_XYZ'!BV7:CJ7)="","-",_xlfn.XLOOKUP(Tables!$L$842,'Input LwA_XYZ'!$BV$1:$CJ$1,'Input LwA_XYZ'!BV7:CJ7)))</f>
        <v>-</v>
      </c>
      <c r="S848" s="91" t="str">
        <f>IF($N848="","",IF('Input LwA_XYZ'!S7="","-",'Input LwA_XYZ'!S7))</f>
        <v>-</v>
      </c>
      <c r="T848" s="65">
        <f>IF($N848="","",_xlfn.XLOOKUP(Tables!$L$842,'Input LwA_XYZ'!$DD$1:$DR$1,'Input LwA_XYZ'!DD7:DR7))</f>
        <v>29.624386760746141</v>
      </c>
    </row>
    <row r="849" spans="14:20" ht="16.5" x14ac:dyDescent="0.3">
      <c r="N849" s="190">
        <f>IF('Input LwA_XYZ'!A8 = 0, "", 'Input LwA_XYZ'!A8)</f>
        <v>1</v>
      </c>
      <c r="O849" s="189" t="str">
        <f>IF($N849="","",_xlfn.TEXTJOIN(" - ",TRUE,'Input LwA_XYZ'!B8:C8))</f>
        <v>CU-R1 - Radiated</v>
      </c>
      <c r="P849" s="64">
        <f>IF($N849="","",'Input LwA_XYZ'!Q8)</f>
        <v>84</v>
      </c>
      <c r="Q849" s="91" t="str">
        <f>IF($N849="","",-1*ROUND(_xlfn.XLOOKUP(Tables!$L$842,'Input LwA_XYZ'!$AY$1:$BM$1,'Input LwA_XYZ'!AY8:BM8),0) &amp; " / " &amp; ROUND(_xlfn.XLOOKUP(Tables!$L$842,'Input LwA_XYZ'!$AH$1:$AV$1,'Input LwA_XYZ'!AH8:AV8),0) &amp; " ft")</f>
        <v>43 / 196 ft</v>
      </c>
      <c r="R849" s="91" t="str">
        <f>IF($N849="","",IF(_xlfn.XLOOKUP(Tables!$L$842,'Input LwA_XYZ'!$BV$1:$CJ$1,'Input LwA_XYZ'!BV8:CJ8)="","-",_xlfn.XLOOKUP(Tables!$L$842,'Input LwA_XYZ'!$BV$1:$CJ$1,'Input LwA_XYZ'!BV8:CJ8)))</f>
        <v>-</v>
      </c>
      <c r="S849" s="91" t="str">
        <f>IF($N849="","",IF('Input LwA_XYZ'!S8="","-",'Input LwA_XYZ'!S8))</f>
        <v>-</v>
      </c>
      <c r="T849" s="65">
        <f>IF($N849="","",_xlfn.XLOOKUP(Tables!$L$842,'Input LwA_XYZ'!$DD$1:$DR$1,'Input LwA_XYZ'!DD8:DR8))</f>
        <v>40.502360776769571</v>
      </c>
    </row>
    <row r="850" spans="14:20" ht="16.5" x14ac:dyDescent="0.3">
      <c r="N850" s="190">
        <f>IF('Input LwA_XYZ'!A9 = 0, "", 'Input LwA_XYZ'!A9)</f>
        <v>1</v>
      </c>
      <c r="O850" s="189" t="str">
        <f>IF($N850="","",_xlfn.TEXTJOIN(" - ",TRUE,'Input LwA_XYZ'!B9:C9))</f>
        <v>CU-R2 - Radiated</v>
      </c>
      <c r="P850" s="64">
        <f>IF($N850="","",'Input LwA_XYZ'!Q9)</f>
        <v>81</v>
      </c>
      <c r="Q850" s="91" t="str">
        <f>IF($N850="","",-1*ROUND(_xlfn.XLOOKUP(Tables!$L$842,'Input LwA_XYZ'!$AY$1:$BM$1,'Input LwA_XYZ'!AY9:BM9),0) &amp; " / " &amp; ROUND(_xlfn.XLOOKUP(Tables!$L$842,'Input LwA_XYZ'!$AH$1:$AV$1,'Input LwA_XYZ'!AH9:AV9),0) &amp; " ft")</f>
        <v>43 / 191 ft</v>
      </c>
      <c r="R850" s="91" t="str">
        <f>IF($N850="","",IF(_xlfn.XLOOKUP(Tables!$L$842,'Input LwA_XYZ'!$BV$1:$CJ$1,'Input LwA_XYZ'!BV9:CJ9)="","-",_xlfn.XLOOKUP(Tables!$L$842,'Input LwA_XYZ'!$BV$1:$CJ$1,'Input LwA_XYZ'!BV9:CJ9)))</f>
        <v>-</v>
      </c>
      <c r="S850" s="91" t="str">
        <f>IF($N850="","",IF('Input LwA_XYZ'!S9="","-",'Input LwA_XYZ'!S9))</f>
        <v>-</v>
      </c>
      <c r="T850" s="65">
        <f>IF($N850="","",_xlfn.XLOOKUP(Tables!$L$842,'Input LwA_XYZ'!$DD$1:$DR$1,'Input LwA_XYZ'!DD9:DR9))</f>
        <v>37.707259956290457</v>
      </c>
    </row>
    <row r="851" spans="14:20" ht="16.5" x14ac:dyDescent="0.3">
      <c r="N851" s="190">
        <f>IF('Input LwA_XYZ'!A10 = 0, "", 'Input LwA_XYZ'!A10)</f>
        <v>1</v>
      </c>
      <c r="O851" s="189" t="str">
        <f>IF($N851="","",_xlfn.TEXTJOIN(" - ",TRUE,'Input LwA_XYZ'!B10:C10))</f>
        <v>CU-R4 - Radiated</v>
      </c>
      <c r="P851" s="64">
        <f>IF($N851="","",'Input LwA_XYZ'!Q10)</f>
        <v>73</v>
      </c>
      <c r="Q851" s="91" t="str">
        <f>IF($N851="","",-1*ROUND(_xlfn.XLOOKUP(Tables!$L$842,'Input LwA_XYZ'!$AY$1:$BM$1,'Input LwA_XYZ'!AY10:BM10),0) &amp; " / " &amp; ROUND(_xlfn.XLOOKUP(Tables!$L$842,'Input LwA_XYZ'!$AH$1:$AV$1,'Input LwA_XYZ'!AH10:AV10),0) &amp; " ft")</f>
        <v>44 / 203 ft</v>
      </c>
      <c r="R851" s="91" t="str">
        <f>IF($N851="","",IF(_xlfn.XLOOKUP(Tables!$L$842,'Input LwA_XYZ'!$BV$1:$CJ$1,'Input LwA_XYZ'!BV10:CJ10)="","-",_xlfn.XLOOKUP(Tables!$L$842,'Input LwA_XYZ'!$BV$1:$CJ$1,'Input LwA_XYZ'!BV10:CJ10)))</f>
        <v>-</v>
      </c>
      <c r="S851" s="91" t="str">
        <f>IF($N851="","",IF('Input LwA_XYZ'!S10="","-",'Input LwA_XYZ'!S10))</f>
        <v>-</v>
      </c>
      <c r="T851" s="65">
        <f>IF($N851="","",_xlfn.XLOOKUP(Tables!$L$842,'Input LwA_XYZ'!$DD$1:$DR$1,'Input LwA_XYZ'!DD10:DR10))</f>
        <v>29.203095283617799</v>
      </c>
    </row>
    <row r="852" spans="14:20" ht="16.5" x14ac:dyDescent="0.3">
      <c r="N852" s="190">
        <f>IF('Input LwA_XYZ'!A11 = 0, "", 'Input LwA_XYZ'!A11)</f>
        <v>1</v>
      </c>
      <c r="O852" s="189" t="str">
        <f>IF($N852="","",_xlfn.TEXTJOIN(" - ",TRUE,'Input LwA_XYZ'!B11:C11))</f>
        <v>CU-R5 - Radiated</v>
      </c>
      <c r="P852" s="64">
        <f>IF($N852="","",'Input LwA_XYZ'!Q11)</f>
        <v>75</v>
      </c>
      <c r="Q852" s="91" t="str">
        <f>IF($N852="","",-1*ROUND(_xlfn.XLOOKUP(Tables!$L$842,'Input LwA_XYZ'!$AY$1:$BM$1,'Input LwA_XYZ'!AY11:BM11),0) &amp; " / " &amp; ROUND(_xlfn.XLOOKUP(Tables!$L$842,'Input LwA_XYZ'!$AH$1:$AV$1,'Input LwA_XYZ'!AH11:AV11),0) &amp; " ft")</f>
        <v>42 / 171 ft</v>
      </c>
      <c r="R852" s="91" t="str">
        <f>IF($N852="","",IF(_xlfn.XLOOKUP(Tables!$L$842,'Input LwA_XYZ'!$BV$1:$CJ$1,'Input LwA_XYZ'!BV11:CJ11)="","-",_xlfn.XLOOKUP(Tables!$L$842,'Input LwA_XYZ'!$BV$1:$CJ$1,'Input LwA_XYZ'!BV11:CJ11)))</f>
        <v>-</v>
      </c>
      <c r="S852" s="91" t="str">
        <f>IF($N852="","",IF('Input LwA_XYZ'!S11="","-",'Input LwA_XYZ'!S11))</f>
        <v>-</v>
      </c>
      <c r="T852" s="65">
        <f>IF($N852="","",_xlfn.XLOOKUP(Tables!$L$842,'Input LwA_XYZ'!$DD$1:$DR$1,'Input LwA_XYZ'!DD11:DR11))</f>
        <v>32.671354572324766</v>
      </c>
    </row>
    <row r="853" spans="14:20" ht="16.5" x14ac:dyDescent="0.3">
      <c r="N853" s="190">
        <f>IF('Input LwA_XYZ'!A12 = 0, "", 'Input LwA_XYZ'!A12)</f>
        <v>4</v>
      </c>
      <c r="O853" s="189" t="str">
        <f>IF($N853="","",_xlfn.TEXTJOIN(" - ",TRUE,'Input LwA_XYZ'!B12:C12))</f>
        <v>RCU-R(4p)1 - Radiated</v>
      </c>
      <c r="P853" s="64">
        <f>IF($N853="","",'Input LwA_XYZ'!Q12)</f>
        <v>79.020599913279625</v>
      </c>
      <c r="Q853" s="91" t="str">
        <f>IF($N853="","",-1*ROUND(_xlfn.XLOOKUP(Tables!$L$842,'Input LwA_XYZ'!$AY$1:$BM$1,'Input LwA_XYZ'!AY12:BM12),0) &amp; " / " &amp; ROUND(_xlfn.XLOOKUP(Tables!$L$842,'Input LwA_XYZ'!$AH$1:$AV$1,'Input LwA_XYZ'!AH12:AV12),0) &amp; " ft")</f>
        <v>45 / 246 ft</v>
      </c>
      <c r="R853" s="91" t="str">
        <f>IF($N853="","",IF(_xlfn.XLOOKUP(Tables!$L$842,'Input LwA_XYZ'!$BV$1:$CJ$1,'Input LwA_XYZ'!BV12:CJ12)="","-",_xlfn.XLOOKUP(Tables!$L$842,'Input LwA_XYZ'!$BV$1:$CJ$1,'Input LwA_XYZ'!BV12:CJ12)))</f>
        <v>-</v>
      </c>
      <c r="S853" s="91" t="str">
        <f>IF($N853="","",IF('Input LwA_XYZ'!S12="","-",'Input LwA_XYZ'!S12))</f>
        <v>-</v>
      </c>
      <c r="T853" s="65">
        <f>IF($N853="","",_xlfn.XLOOKUP(Tables!$L$842,'Input LwA_XYZ'!$DD$1:$DR$1,'Input LwA_XYZ'!DD12:DR12))</f>
        <v>33.536483243585444</v>
      </c>
    </row>
    <row r="854" spans="14:20" ht="16.5" x14ac:dyDescent="0.3">
      <c r="N854" s="190">
        <f>IF('Input LwA_XYZ'!A13 = 0, "", 'Input LwA_XYZ'!A13)</f>
        <v>4</v>
      </c>
      <c r="O854" s="189" t="str">
        <f>IF($N854="","",_xlfn.TEXTJOIN(" - ",TRUE,'Input LwA_XYZ'!B13:C13))</f>
        <v>RCU-R(4p)2 - Radiated</v>
      </c>
      <c r="P854" s="64">
        <f>IF($N854="","",'Input LwA_XYZ'!Q13)</f>
        <v>79.020599913279625</v>
      </c>
      <c r="Q854" s="91" t="str">
        <f>IF($N854="","",-1*ROUND(_xlfn.XLOOKUP(Tables!$L$842,'Input LwA_XYZ'!$AY$1:$BM$1,'Input LwA_XYZ'!AY13:BM13),0) &amp; " / " &amp; ROUND(_xlfn.XLOOKUP(Tables!$L$842,'Input LwA_XYZ'!$AH$1:$AV$1,'Input LwA_XYZ'!AH13:AV13),0) &amp; " ft")</f>
        <v>45 / 230 ft</v>
      </c>
      <c r="R854" s="91" t="str">
        <f>IF($N854="","",IF(_xlfn.XLOOKUP(Tables!$L$842,'Input LwA_XYZ'!$BV$1:$CJ$1,'Input LwA_XYZ'!BV13:CJ13)="","-",_xlfn.XLOOKUP(Tables!$L$842,'Input LwA_XYZ'!$BV$1:$CJ$1,'Input LwA_XYZ'!BV13:CJ13)))</f>
        <v>-</v>
      </c>
      <c r="S854" s="91" t="str">
        <f>IF($N854="","",IF('Input LwA_XYZ'!S13="","-",'Input LwA_XYZ'!S13))</f>
        <v>-</v>
      </c>
      <c r="T854" s="65">
        <f>IF($N854="","",_xlfn.XLOOKUP(Tables!$L$842,'Input LwA_XYZ'!$DD$1:$DR$1,'Input LwA_XYZ'!DD13:DR13))</f>
        <v>34.11378069640692</v>
      </c>
    </row>
    <row r="855" spans="14:20" ht="16.5" x14ac:dyDescent="0.3">
      <c r="N855" s="190">
        <f>IF('Input LwA_XYZ'!A14 = 0, "", 'Input LwA_XYZ'!A14)</f>
        <v>4</v>
      </c>
      <c r="O855" s="189" t="str">
        <f>IF($N855="","",_xlfn.TEXTJOIN(" - ",TRUE,'Input LwA_XYZ'!B14:C14))</f>
        <v>RCU-R(4p)3 - Radiated</v>
      </c>
      <c r="P855" s="64">
        <f>IF($N855="","",'Input LwA_XYZ'!Q14)</f>
        <v>79.020599913279625</v>
      </c>
      <c r="Q855" s="91" t="str">
        <f>IF($N855="","",-1*ROUND(_xlfn.XLOOKUP(Tables!$L$842,'Input LwA_XYZ'!$AY$1:$BM$1,'Input LwA_XYZ'!AY14:BM14),0) &amp; " / " &amp; ROUND(_xlfn.XLOOKUP(Tables!$L$842,'Input LwA_XYZ'!$AH$1:$AV$1,'Input LwA_XYZ'!AH14:AV14),0) &amp; " ft")</f>
        <v>44 / 202 ft</v>
      </c>
      <c r="R855" s="91" t="str">
        <f>IF($N855="","",IF(_xlfn.XLOOKUP(Tables!$L$842,'Input LwA_XYZ'!$BV$1:$CJ$1,'Input LwA_XYZ'!BV14:CJ14)="","-",_xlfn.XLOOKUP(Tables!$L$842,'Input LwA_XYZ'!$BV$1:$CJ$1,'Input LwA_XYZ'!BV14:CJ14)))</f>
        <v>-</v>
      </c>
      <c r="S855" s="91" t="str">
        <f>IF($N855="","",IF('Input LwA_XYZ'!S14="","-",'Input LwA_XYZ'!S14))</f>
        <v>-</v>
      </c>
      <c r="T855" s="65">
        <f>IF($N855="","",_xlfn.XLOOKUP(Tables!$L$842,'Input LwA_XYZ'!$DD$1:$DR$1,'Input LwA_XYZ'!DD14:DR14))</f>
        <v>35.252575662003203</v>
      </c>
    </row>
    <row r="856" spans="14:20" ht="16.5" x14ac:dyDescent="0.3">
      <c r="N856" s="190">
        <f>IF('Input LwA_XYZ'!A15 = 0, "", 'Input LwA_XYZ'!A15)</f>
        <v>2</v>
      </c>
      <c r="O856" s="189" t="str">
        <f>IF($N856="","",_xlfn.TEXTJOIN(" - ",TRUE,'Input LwA_XYZ'!B15:C15))</f>
        <v>RCU-R(2p) - Radiated</v>
      </c>
      <c r="P856" s="64">
        <f>IF($N856="","",'Input LwA_XYZ'!Q15)</f>
        <v>76.010299956639813</v>
      </c>
      <c r="Q856" s="91" t="str">
        <f>IF($N856="","",-1*ROUND(_xlfn.XLOOKUP(Tables!$L$842,'Input LwA_XYZ'!$AY$1:$BM$1,'Input LwA_XYZ'!AY15:BM15),0) &amp; " / " &amp; ROUND(_xlfn.XLOOKUP(Tables!$L$842,'Input LwA_XYZ'!$AH$1:$AV$1,'Input LwA_XYZ'!AH15:AV15),0) &amp; " ft")</f>
        <v>43 / 190 ft</v>
      </c>
      <c r="R856" s="91" t="str">
        <f>IF($N856="","",IF(_xlfn.XLOOKUP(Tables!$L$842,'Input LwA_XYZ'!$BV$1:$CJ$1,'Input LwA_XYZ'!BV15:CJ15)="","-",_xlfn.XLOOKUP(Tables!$L$842,'Input LwA_XYZ'!$BV$1:$CJ$1,'Input LwA_XYZ'!BV15:CJ15)))</f>
        <v>-</v>
      </c>
      <c r="S856" s="91" t="str">
        <f>IF($N856="","",IF('Input LwA_XYZ'!S15="","-",'Input LwA_XYZ'!S15))</f>
        <v>-</v>
      </c>
      <c r="T856" s="65">
        <f>IF($N856="","",_xlfn.XLOOKUP(Tables!$L$842,'Input LwA_XYZ'!$DD$1:$DR$1,'Input LwA_XYZ'!DD15:DR15))</f>
        <v>32.752216308610215</v>
      </c>
    </row>
    <row r="857" spans="14:20" ht="16.5" x14ac:dyDescent="0.3">
      <c r="N857" s="190">
        <f>IF('Input LwA_XYZ'!A16 = 0, "", 'Input LwA_XYZ'!A16)</f>
        <v>2</v>
      </c>
      <c r="O857" s="189" t="str">
        <f>IF($N857="","",_xlfn.TEXTJOIN(" - ",TRUE,'Input LwA_XYZ'!B16:C16))</f>
        <v>RCU-R(2p)1 - Radiated</v>
      </c>
      <c r="P857" s="64">
        <f>IF($N857="","",'Input LwA_XYZ'!Q16)</f>
        <v>76.010299956639813</v>
      </c>
      <c r="Q857" s="91" t="str">
        <f>IF($N857="","",-1*ROUND(_xlfn.XLOOKUP(Tables!$L$842,'Input LwA_XYZ'!$AY$1:$BM$1,'Input LwA_XYZ'!AY16:BM16),0) &amp; " / " &amp; ROUND(_xlfn.XLOOKUP(Tables!$L$842,'Input LwA_XYZ'!$AH$1:$AV$1,'Input LwA_XYZ'!AH16:AV16),0) &amp; " ft")</f>
        <v>42 / 168 ft</v>
      </c>
      <c r="R857" s="91" t="str">
        <f>IF($N857="","",IF(_xlfn.XLOOKUP(Tables!$L$842,'Input LwA_XYZ'!$BV$1:$CJ$1,'Input LwA_XYZ'!BV16:CJ16)="","-",_xlfn.XLOOKUP(Tables!$L$842,'Input LwA_XYZ'!$BV$1:$CJ$1,'Input LwA_XYZ'!BV16:CJ16)))</f>
        <v>-</v>
      </c>
      <c r="S857" s="91" t="str">
        <f>IF($N857="","",IF('Input LwA_XYZ'!S16="","-",'Input LwA_XYZ'!S16))</f>
        <v>-</v>
      </c>
      <c r="T857" s="65">
        <f>IF($N857="","",_xlfn.XLOOKUP(Tables!$L$842,'Input LwA_XYZ'!$DD$1:$DR$1,'Input LwA_XYZ'!DD16:DR16))</f>
        <v>33.834137407946159</v>
      </c>
    </row>
    <row r="858" spans="14:20" ht="16.5" x14ac:dyDescent="0.3">
      <c r="N858" s="190">
        <f>IF('Input LwA_XYZ'!A17 = 0, "", 'Input LwA_XYZ'!A17)</f>
        <v>4</v>
      </c>
      <c r="O858" s="189" t="str">
        <f>IF($N858="","",_xlfn.TEXTJOIN(" - ",TRUE,'Input LwA_XYZ'!B17:C17))</f>
        <v>RCU-R(4p)4 - Radiated</v>
      </c>
      <c r="P858" s="64">
        <f>IF($N858="","",'Input LwA_XYZ'!Q17)</f>
        <v>79.020599913279625</v>
      </c>
      <c r="Q858" s="91" t="str">
        <f>IF($N858="","",-1*ROUND(_xlfn.XLOOKUP(Tables!$L$842,'Input LwA_XYZ'!$AY$1:$BM$1,'Input LwA_XYZ'!AY17:BM17),0) &amp; " / " &amp; ROUND(_xlfn.XLOOKUP(Tables!$L$842,'Input LwA_XYZ'!$AH$1:$AV$1,'Input LwA_XYZ'!AH17:AV17),0) &amp; " ft")</f>
        <v>41 / 147 ft</v>
      </c>
      <c r="R858" s="91" t="str">
        <f>IF($N858="","",IF(_xlfn.XLOOKUP(Tables!$L$842,'Input LwA_XYZ'!$BV$1:$CJ$1,'Input LwA_XYZ'!BV17:CJ17)="","-",_xlfn.XLOOKUP(Tables!$L$842,'Input LwA_XYZ'!$BV$1:$CJ$1,'Input LwA_XYZ'!BV17:CJ17)))</f>
        <v>-</v>
      </c>
      <c r="S858" s="91" t="str">
        <f>IF($N858="","",IF('Input LwA_XYZ'!S17="","-",'Input LwA_XYZ'!S17))</f>
        <v>-</v>
      </c>
      <c r="T858" s="65">
        <f>IF($N858="","",_xlfn.XLOOKUP(Tables!$L$842,'Input LwA_XYZ'!$DD$1:$DR$1,'Input LwA_XYZ'!DD17:DR17))</f>
        <v>38.039918717943372</v>
      </c>
    </row>
    <row r="859" spans="14:20" ht="16.5" x14ac:dyDescent="0.3">
      <c r="N859" s="190">
        <f>IF('Input LwA_XYZ'!A18 = 0, "", 'Input LwA_XYZ'!A18)</f>
        <v>2</v>
      </c>
      <c r="O859" s="189" t="str">
        <f>IF($N859="","",_xlfn.TEXTJOIN(" - ",TRUE,'Input LwA_XYZ'!B18:C18))</f>
        <v>RCU-R(2p)2 - Radiated</v>
      </c>
      <c r="P859" s="64">
        <f>IF($N859="","",'Input LwA_XYZ'!Q18)</f>
        <v>76.010299956639813</v>
      </c>
      <c r="Q859" s="91" t="str">
        <f>IF($N859="","",-1*ROUND(_xlfn.XLOOKUP(Tables!$L$842,'Input LwA_XYZ'!$AY$1:$BM$1,'Input LwA_XYZ'!AY18:BM18),0) &amp; " / " &amp; ROUND(_xlfn.XLOOKUP(Tables!$L$842,'Input LwA_XYZ'!$AH$1:$AV$1,'Input LwA_XYZ'!AH18:AV18),0) &amp; " ft")</f>
        <v>41 / 153 ft</v>
      </c>
      <c r="R859" s="91" t="str">
        <f>IF($N859="","",IF(_xlfn.XLOOKUP(Tables!$L$842,'Input LwA_XYZ'!$BV$1:$CJ$1,'Input LwA_XYZ'!BV18:CJ18)="","-",_xlfn.XLOOKUP(Tables!$L$842,'Input LwA_XYZ'!$BV$1:$CJ$1,'Input LwA_XYZ'!BV18:CJ18)))</f>
        <v>-</v>
      </c>
      <c r="S859" s="91" t="str">
        <f>IF($N859="","",IF('Input LwA_XYZ'!S18="","-",'Input LwA_XYZ'!S18))</f>
        <v>-</v>
      </c>
      <c r="T859" s="65">
        <f>IF($N859="","",_xlfn.XLOOKUP(Tables!$L$842,'Input LwA_XYZ'!$DD$1:$DR$1,'Input LwA_XYZ'!DD18:DR18))</f>
        <v>34.626203151341301</v>
      </c>
    </row>
    <row r="860" spans="14:20" ht="16.5" x14ac:dyDescent="0.3">
      <c r="N860" s="190">
        <f>IF('Input LwA_XYZ'!A19 = 0, "", 'Input LwA_XYZ'!A19)</f>
        <v>2</v>
      </c>
      <c r="O860" s="189" t="str">
        <f>IF($N860="","",_xlfn.TEXTJOIN(" - ",TRUE,'Input LwA_XYZ'!B19:C19))</f>
        <v>RCU-R(2p)3 - Radiated</v>
      </c>
      <c r="P860" s="64">
        <f>IF($N860="","",'Input LwA_XYZ'!Q19)</f>
        <v>76.010299956639813</v>
      </c>
      <c r="Q860" s="91" t="str">
        <f>IF($N860="","",-1*ROUND(_xlfn.XLOOKUP(Tables!$L$842,'Input LwA_XYZ'!$AY$1:$BM$1,'Input LwA_XYZ'!AY19:BM19),0) &amp; " / " &amp; ROUND(_xlfn.XLOOKUP(Tables!$L$842,'Input LwA_XYZ'!$AH$1:$AV$1,'Input LwA_XYZ'!AH19:AV19),0) &amp; " ft")</f>
        <v>42 / 174 ft</v>
      </c>
      <c r="R860" s="91" t="str">
        <f>IF($N860="","",IF(_xlfn.XLOOKUP(Tables!$L$842,'Input LwA_XYZ'!$BV$1:$CJ$1,'Input LwA_XYZ'!BV19:CJ19)="","-",_xlfn.XLOOKUP(Tables!$L$842,'Input LwA_XYZ'!$BV$1:$CJ$1,'Input LwA_XYZ'!BV19:CJ19)))</f>
        <v>-</v>
      </c>
      <c r="S860" s="91" t="str">
        <f>IF($N860="","",IF('Input LwA_XYZ'!S19="","-",'Input LwA_XYZ'!S19))</f>
        <v>-</v>
      </c>
      <c r="T860" s="65">
        <f>IF($N860="","",_xlfn.XLOOKUP(Tables!$L$842,'Input LwA_XYZ'!$DD$1:$DR$1,'Input LwA_XYZ'!DD19:DR19))</f>
        <v>33.531132173351168</v>
      </c>
    </row>
    <row r="861" spans="14:20" ht="16.5" x14ac:dyDescent="0.3">
      <c r="N861" s="190">
        <f>IF('Input LwA_XYZ'!A20 = 0, "", 'Input LwA_XYZ'!A20)</f>
        <v>2</v>
      </c>
      <c r="O861" s="189" t="str">
        <f>IF($N861="","",_xlfn.TEXTJOIN(" - ",TRUE,'Input LwA_XYZ'!B20:C20))</f>
        <v>RCU-R(2p)4 - Radiated</v>
      </c>
      <c r="P861" s="64">
        <f>IF($N861="","",'Input LwA_XYZ'!Q20)</f>
        <v>76.010299956639813</v>
      </c>
      <c r="Q861" s="91" t="str">
        <f>IF($N861="","",-1*ROUND(_xlfn.XLOOKUP(Tables!$L$842,'Input LwA_XYZ'!$AY$1:$BM$1,'Input LwA_XYZ'!AY20:BM20),0) &amp; " / " &amp; ROUND(_xlfn.XLOOKUP(Tables!$L$842,'Input LwA_XYZ'!$AH$1:$AV$1,'Input LwA_XYZ'!AH20:AV20),0) &amp; " ft")</f>
        <v>43 / 188 ft</v>
      </c>
      <c r="R861" s="91" t="str">
        <f>IF($N861="","",IF(_xlfn.XLOOKUP(Tables!$L$842,'Input LwA_XYZ'!$BV$1:$CJ$1,'Input LwA_XYZ'!BV20:CJ20)="","-",_xlfn.XLOOKUP(Tables!$L$842,'Input LwA_XYZ'!$BV$1:$CJ$1,'Input LwA_XYZ'!BV20:CJ20)))</f>
        <v>-</v>
      </c>
      <c r="S861" s="91" t="str">
        <f>IF($N861="","",IF('Input LwA_XYZ'!S20="","-",'Input LwA_XYZ'!S20))</f>
        <v>-</v>
      </c>
      <c r="T861" s="65">
        <f>IF($N861="","",_xlfn.XLOOKUP(Tables!$L$842,'Input LwA_XYZ'!$DD$1:$DR$1,'Input LwA_XYZ'!DD20:DR20))</f>
        <v>32.86816377495628</v>
      </c>
    </row>
    <row r="862" spans="14:20" ht="16.5" x14ac:dyDescent="0.3">
      <c r="N862" s="190">
        <f>IF('Input LwA_XYZ'!A21 = 0, "", 'Input LwA_XYZ'!A21)</f>
        <v>2</v>
      </c>
      <c r="O862" s="189" t="str">
        <f>IF($N862="","",_xlfn.TEXTJOIN(" - ",TRUE,'Input LwA_XYZ'!B21:C21))</f>
        <v>RCU-R(2p)5 - Radiated</v>
      </c>
      <c r="P862" s="64">
        <f>IF($N862="","",'Input LwA_XYZ'!Q21)</f>
        <v>76.010299956639813</v>
      </c>
      <c r="Q862" s="91" t="str">
        <f>IF($N862="","",-1*ROUND(_xlfn.XLOOKUP(Tables!$L$842,'Input LwA_XYZ'!$AY$1:$BM$1,'Input LwA_XYZ'!AY21:BM21),0) &amp; " / " &amp; ROUND(_xlfn.XLOOKUP(Tables!$L$842,'Input LwA_XYZ'!$AH$1:$AV$1,'Input LwA_XYZ'!AH21:AV21),0) &amp; " ft")</f>
        <v>44 / 203 ft</v>
      </c>
      <c r="R862" s="91" t="str">
        <f>IF($N862="","",IF(_xlfn.XLOOKUP(Tables!$L$842,'Input LwA_XYZ'!$BV$1:$CJ$1,'Input LwA_XYZ'!BV21:CJ21)="","-",_xlfn.XLOOKUP(Tables!$L$842,'Input LwA_XYZ'!$BV$1:$CJ$1,'Input LwA_XYZ'!BV21:CJ21)))</f>
        <v>-</v>
      </c>
      <c r="S862" s="91" t="str">
        <f>IF($N862="","",IF('Input LwA_XYZ'!S21="","-",'Input LwA_XYZ'!S21))</f>
        <v>-</v>
      </c>
      <c r="T862" s="65">
        <f>IF($N862="","",_xlfn.XLOOKUP(Tables!$L$842,'Input LwA_XYZ'!$DD$1:$DR$1,'Input LwA_XYZ'!DD21:DR21))</f>
        <v>32.210402540305431</v>
      </c>
    </row>
    <row r="863" spans="14:20" ht="16.5" x14ac:dyDescent="0.3">
      <c r="N863" s="190">
        <f>IF('Input LwA_XYZ'!A22 = 0, "", 'Input LwA_XYZ'!A22)</f>
        <v>2</v>
      </c>
      <c r="O863" s="189" t="str">
        <f>IF($N863="","",_xlfn.TEXTJOIN(" - ",TRUE,'Input LwA_XYZ'!B22:C22))</f>
        <v>RCU-R(2p)6 - Radiated</v>
      </c>
      <c r="P863" s="64">
        <f>IF($N863="","",'Input LwA_XYZ'!Q22)</f>
        <v>76.010299956639813</v>
      </c>
      <c r="Q863" s="91" t="str">
        <f>IF($N863="","",-1*ROUND(_xlfn.XLOOKUP(Tables!$L$842,'Input LwA_XYZ'!$AY$1:$BM$1,'Input LwA_XYZ'!AY22:BM22),0) &amp; " / " &amp; ROUND(_xlfn.XLOOKUP(Tables!$L$842,'Input LwA_XYZ'!$AH$1:$AV$1,'Input LwA_XYZ'!AH22:AV22),0) &amp; " ft")</f>
        <v>44 / 218 ft</v>
      </c>
      <c r="R863" s="91" t="str">
        <f>IF($N863="","",IF(_xlfn.XLOOKUP(Tables!$L$842,'Input LwA_XYZ'!$BV$1:$CJ$1,'Input LwA_XYZ'!BV22:CJ22)="","-",_xlfn.XLOOKUP(Tables!$L$842,'Input LwA_XYZ'!$BV$1:$CJ$1,'Input LwA_XYZ'!BV22:CJ22)))</f>
        <v>-</v>
      </c>
      <c r="S863" s="91" t="str">
        <f>IF($N863="","",IF('Input LwA_XYZ'!S22="","-",'Input LwA_XYZ'!S22))</f>
        <v>-</v>
      </c>
      <c r="T863" s="65">
        <f>IF($N863="","",_xlfn.XLOOKUP(Tables!$L$842,'Input LwA_XYZ'!$DD$1:$DR$1,'Input LwA_XYZ'!DD22:DR22))</f>
        <v>31.572313832482209</v>
      </c>
    </row>
    <row r="864" spans="14:20" ht="16.5" x14ac:dyDescent="0.3">
      <c r="N864" s="190">
        <f>IF('Input LwA_XYZ'!A23 = 0, "", 'Input LwA_XYZ'!A23)</f>
        <v>1</v>
      </c>
      <c r="O864" s="189" t="str">
        <f>IF($N864="","",_xlfn.TEXTJOIN(" - ",TRUE,'Input LwA_XYZ'!B23:C23))</f>
        <v>BEF-R01  - Inlet</v>
      </c>
      <c r="P864" s="64">
        <f>IF($N864="","",'Input LwA_XYZ'!Q23)</f>
        <v>57</v>
      </c>
      <c r="Q864" s="91" t="str">
        <f>IF($N864="","",-1*ROUND(_xlfn.XLOOKUP(Tables!$L$842,'Input LwA_XYZ'!$AY$1:$BM$1,'Input LwA_XYZ'!AY23:BM23),0) &amp; " / " &amp; ROUND(_xlfn.XLOOKUP(Tables!$L$842,'Input LwA_XYZ'!$AH$1:$AV$1,'Input LwA_XYZ'!AH23:AV23),0) &amp; " ft")</f>
        <v>39 / 123 ft</v>
      </c>
      <c r="R864" s="91" t="str">
        <f>IF($N864="","",IF(_xlfn.XLOOKUP(Tables!$L$842,'Input LwA_XYZ'!$BV$1:$CJ$1,'Input LwA_XYZ'!BV23:CJ23)="","-",_xlfn.XLOOKUP(Tables!$L$842,'Input LwA_XYZ'!$BV$1:$CJ$1,'Input LwA_XYZ'!BV23:CJ23)))</f>
        <v>-</v>
      </c>
      <c r="S864" s="91" t="str">
        <f>IF($N864="","",IF('Input LwA_XYZ'!S23="","-",'Input LwA_XYZ'!S23))</f>
        <v>-</v>
      </c>
      <c r="T864" s="65">
        <f>IF($N864="","",_xlfn.XLOOKUP(Tables!$L$842,'Input LwA_XYZ'!$DD$1:$DR$1,'Input LwA_XYZ'!DD23:DR23))</f>
        <v>17.524923149226339</v>
      </c>
    </row>
    <row r="865" spans="14:20" ht="16.5" x14ac:dyDescent="0.3">
      <c r="N865" s="190">
        <f>IF('Input LwA_XYZ'!A24 = 0, "", 'Input LwA_XYZ'!A24)</f>
        <v>1</v>
      </c>
      <c r="O865" s="189" t="str">
        <f>IF($N865="","",_xlfn.TEXTJOIN(" - ",TRUE,'Input LwA_XYZ'!B24:C24))</f>
        <v>BEF-R02  - Inlet</v>
      </c>
      <c r="P865" s="64">
        <f>IF($N865="","",'Input LwA_XYZ'!Q24)</f>
        <v>66</v>
      </c>
      <c r="Q865" s="91" t="str">
        <f>IF($N865="","",-1*ROUND(_xlfn.XLOOKUP(Tables!$L$842,'Input LwA_XYZ'!$AY$1:$BM$1,'Input LwA_XYZ'!AY24:BM24),0) &amp; " / " &amp; ROUND(_xlfn.XLOOKUP(Tables!$L$842,'Input LwA_XYZ'!$AH$1:$AV$1,'Input LwA_XYZ'!AH24:AV24),0) &amp; " ft")</f>
        <v>40 / 138 ft</v>
      </c>
      <c r="R865" s="91" t="str">
        <f>IF($N865="","",IF(_xlfn.XLOOKUP(Tables!$L$842,'Input LwA_XYZ'!$BV$1:$CJ$1,'Input LwA_XYZ'!BV24:CJ24)="","-",_xlfn.XLOOKUP(Tables!$L$842,'Input LwA_XYZ'!$BV$1:$CJ$1,'Input LwA_XYZ'!BV24:CJ24)))</f>
        <v>-</v>
      </c>
      <c r="S865" s="91" t="str">
        <f>IF($N865="","",IF('Input LwA_XYZ'!S24="","-",'Input LwA_XYZ'!S24))</f>
        <v>-</v>
      </c>
      <c r="T865" s="65">
        <f>IF($N865="","",_xlfn.XLOOKUP(Tables!$L$842,'Input LwA_XYZ'!$DD$1:$DR$1,'Input LwA_XYZ'!DD24:DR24))</f>
        <v>25.558301321549493</v>
      </c>
    </row>
    <row r="866" spans="14:20" ht="16.5" x14ac:dyDescent="0.3">
      <c r="N866" s="190">
        <f>IF('Input LwA_XYZ'!A25 = 0, "", 'Input LwA_XYZ'!A25)</f>
        <v>1</v>
      </c>
      <c r="O866" s="189" t="str">
        <f>IF($N866="","",_xlfn.TEXTJOIN(" - ",TRUE,'Input LwA_XYZ'!B25:C25))</f>
        <v>BEF-R03  - Inlet</v>
      </c>
      <c r="P866" s="64">
        <f>IF($N866="","",'Input LwA_XYZ'!Q25)</f>
        <v>66</v>
      </c>
      <c r="Q866" s="91" t="str">
        <f>IF($N866="","",-1*ROUND(_xlfn.XLOOKUP(Tables!$L$842,'Input LwA_XYZ'!$AY$1:$BM$1,'Input LwA_XYZ'!AY25:BM25),0) &amp; " / " &amp; ROUND(_xlfn.XLOOKUP(Tables!$L$842,'Input LwA_XYZ'!$AH$1:$AV$1,'Input LwA_XYZ'!AH25:AV25),0) &amp; " ft")</f>
        <v>42 / 159 ft</v>
      </c>
      <c r="R866" s="91" t="str">
        <f>IF($N866="","",IF(_xlfn.XLOOKUP(Tables!$L$842,'Input LwA_XYZ'!$BV$1:$CJ$1,'Input LwA_XYZ'!BV25:CJ25)="","-",_xlfn.XLOOKUP(Tables!$L$842,'Input LwA_XYZ'!$BV$1:$CJ$1,'Input LwA_XYZ'!BV25:CJ25)))</f>
        <v>-</v>
      </c>
      <c r="S866" s="91" t="str">
        <f>IF($N866="","",IF('Input LwA_XYZ'!S25="","-",'Input LwA_XYZ'!S25))</f>
        <v>-</v>
      </c>
      <c r="T866" s="65">
        <f>IF($N866="","",_xlfn.XLOOKUP(Tables!$L$842,'Input LwA_XYZ'!$DD$1:$DR$1,'Input LwA_XYZ'!DD25:DR25))</f>
        <v>24.324638741792718</v>
      </c>
    </row>
    <row r="867" spans="14:20" ht="16.5" x14ac:dyDescent="0.3">
      <c r="N867" s="190">
        <f>IF('Input LwA_XYZ'!A26 = 0, "", 'Input LwA_XYZ'!A26)</f>
        <v>1</v>
      </c>
      <c r="O867" s="189" t="str">
        <f>IF($N867="","",_xlfn.TEXTJOIN(" - ",TRUE,'Input LwA_XYZ'!B26:C26))</f>
        <v>BEF-R04  - Inlet</v>
      </c>
      <c r="P867" s="64">
        <f>IF($N867="","",'Input LwA_XYZ'!Q26)</f>
        <v>66</v>
      </c>
      <c r="Q867" s="91" t="str">
        <f>IF($N867="","",-1*ROUND(_xlfn.XLOOKUP(Tables!$L$842,'Input LwA_XYZ'!$AY$1:$BM$1,'Input LwA_XYZ'!AY26:BM26),0) &amp; " / " &amp; ROUND(_xlfn.XLOOKUP(Tables!$L$842,'Input LwA_XYZ'!$AH$1:$AV$1,'Input LwA_XYZ'!AH26:AV26),0) &amp; " ft")</f>
        <v>43 / 181 ft</v>
      </c>
      <c r="R867" s="91" t="str">
        <f>IF($N867="","",IF(_xlfn.XLOOKUP(Tables!$L$842,'Input LwA_XYZ'!$BV$1:$CJ$1,'Input LwA_XYZ'!BV26:CJ26)="","-",_xlfn.XLOOKUP(Tables!$L$842,'Input LwA_XYZ'!$BV$1:$CJ$1,'Input LwA_XYZ'!BV26:CJ26)))</f>
        <v>-</v>
      </c>
      <c r="S867" s="91" t="str">
        <f>IF($N867="","",IF('Input LwA_XYZ'!S26="","-",'Input LwA_XYZ'!S26))</f>
        <v>-</v>
      </c>
      <c r="T867" s="65">
        <f>IF($N867="","",_xlfn.XLOOKUP(Tables!$L$842,'Input LwA_XYZ'!$DD$1:$DR$1,'Input LwA_XYZ'!DD26:DR26))</f>
        <v>23.168375747855407</v>
      </c>
    </row>
    <row r="868" spans="14:20" ht="16.5" x14ac:dyDescent="0.3">
      <c r="N868" s="190">
        <f>IF('Input LwA_XYZ'!A27 = 0, "", 'Input LwA_XYZ'!A27)</f>
        <v>1</v>
      </c>
      <c r="O868" s="189" t="str">
        <f>IF($N868="","",_xlfn.TEXTJOIN(" - ",TRUE,'Input LwA_XYZ'!B27:C27))</f>
        <v>BEF-R05  - Inlet</v>
      </c>
      <c r="P868" s="64">
        <f>IF($N868="","",'Input LwA_XYZ'!Q27)</f>
        <v>66</v>
      </c>
      <c r="Q868" s="91" t="str">
        <f>IF($N868="","",-1*ROUND(_xlfn.XLOOKUP(Tables!$L$842,'Input LwA_XYZ'!$AY$1:$BM$1,'Input LwA_XYZ'!AY27:BM27),0) &amp; " / " &amp; ROUND(_xlfn.XLOOKUP(Tables!$L$842,'Input LwA_XYZ'!$AH$1:$AV$1,'Input LwA_XYZ'!AH27:AV27),0) &amp; " ft")</f>
        <v>44 / 199 ft</v>
      </c>
      <c r="R868" s="91" t="str">
        <f>IF($N868="","",IF(_xlfn.XLOOKUP(Tables!$L$842,'Input LwA_XYZ'!$BV$1:$CJ$1,'Input LwA_XYZ'!BV27:CJ27)="","-",_xlfn.XLOOKUP(Tables!$L$842,'Input LwA_XYZ'!$BV$1:$CJ$1,'Input LwA_XYZ'!BV27:CJ27)))</f>
        <v>-</v>
      </c>
      <c r="S868" s="91" t="str">
        <f>IF($N868="","",IF('Input LwA_XYZ'!S27="","-",'Input LwA_XYZ'!S27))</f>
        <v>-</v>
      </c>
      <c r="T868" s="65">
        <f>IF($N868="","",_xlfn.XLOOKUP(Tables!$L$842,'Input LwA_XYZ'!$DD$1:$DR$1,'Input LwA_XYZ'!DD27:DR27))</f>
        <v>22.371723595961846</v>
      </c>
    </row>
    <row r="869" spans="14:20" ht="16.5" x14ac:dyDescent="0.3">
      <c r="N869" s="190">
        <f>IF('Input LwA_XYZ'!A28 = 0, "", 'Input LwA_XYZ'!A28)</f>
        <v>1</v>
      </c>
      <c r="O869" s="189" t="str">
        <f>IF($N869="","",_xlfn.TEXTJOIN(" - ",TRUE,'Input LwA_XYZ'!B28:C28))</f>
        <v>BEF-R06  - Inlet</v>
      </c>
      <c r="P869" s="64">
        <f>IF($N869="","",'Input LwA_XYZ'!Q28)</f>
        <v>66</v>
      </c>
      <c r="Q869" s="91" t="str">
        <f>IF($N869="","",-1*ROUND(_xlfn.XLOOKUP(Tables!$L$842,'Input LwA_XYZ'!$AY$1:$BM$1,'Input LwA_XYZ'!AY28:BM28),0) &amp; " / " &amp; ROUND(_xlfn.XLOOKUP(Tables!$L$842,'Input LwA_XYZ'!$AH$1:$AV$1,'Input LwA_XYZ'!AH28:AV28),0) &amp; " ft")</f>
        <v>43 / 194 ft</v>
      </c>
      <c r="R869" s="91" t="str">
        <f>IF($N869="","",IF(_xlfn.XLOOKUP(Tables!$L$842,'Input LwA_XYZ'!$BV$1:$CJ$1,'Input LwA_XYZ'!BV28:CJ28)="","-",_xlfn.XLOOKUP(Tables!$L$842,'Input LwA_XYZ'!$BV$1:$CJ$1,'Input LwA_XYZ'!BV28:CJ28)))</f>
        <v>-</v>
      </c>
      <c r="S869" s="91" t="str">
        <f>IF($N869="","",IF('Input LwA_XYZ'!S28="","-",'Input LwA_XYZ'!S28))</f>
        <v>-</v>
      </c>
      <c r="T869" s="65">
        <f>IF($N869="","",_xlfn.XLOOKUP(Tables!$L$842,'Input LwA_XYZ'!$DD$1:$DR$1,'Input LwA_XYZ'!DD28:DR28))</f>
        <v>22.571853354436364</v>
      </c>
    </row>
    <row r="870" spans="14:20" ht="16.5" x14ac:dyDescent="0.3">
      <c r="N870" s="190">
        <f>IF('Input LwA_XYZ'!A29 = 0, "", 'Input LwA_XYZ'!A29)</f>
        <v>1</v>
      </c>
      <c r="O870" s="189" t="str">
        <f>IF($N870="","",_xlfn.TEXTJOIN(" - ",TRUE,'Input LwA_XYZ'!B29:C29))</f>
        <v>BEF-R07  - Inlet</v>
      </c>
      <c r="P870" s="64">
        <f>IF($N870="","",'Input LwA_XYZ'!Q29)</f>
        <v>57</v>
      </c>
      <c r="Q870" s="91" t="str">
        <f>IF($N870="","",-1*ROUND(_xlfn.XLOOKUP(Tables!$L$842,'Input LwA_XYZ'!$AY$1:$BM$1,'Input LwA_XYZ'!AY29:BM29),0) &amp; " / " &amp; ROUND(_xlfn.XLOOKUP(Tables!$L$842,'Input LwA_XYZ'!$AH$1:$AV$1,'Input LwA_XYZ'!AH29:AV29),0) &amp; " ft")</f>
        <v>43 / 195 ft</v>
      </c>
      <c r="R870" s="91" t="str">
        <f>IF($N870="","",IF(_xlfn.XLOOKUP(Tables!$L$842,'Input LwA_XYZ'!$BV$1:$CJ$1,'Input LwA_XYZ'!BV29:CJ29)="","-",_xlfn.XLOOKUP(Tables!$L$842,'Input LwA_XYZ'!$BV$1:$CJ$1,'Input LwA_XYZ'!BV29:CJ29)))</f>
        <v>-</v>
      </c>
      <c r="S870" s="91" t="str">
        <f>IF($N870="","",IF('Input LwA_XYZ'!S29="","-",'Input LwA_XYZ'!S29))</f>
        <v>-</v>
      </c>
      <c r="T870" s="65">
        <f>IF($N870="","",_xlfn.XLOOKUP(Tables!$L$842,'Input LwA_XYZ'!$DD$1:$DR$1,'Input LwA_XYZ'!DD29:DR29))</f>
        <v>13.555575842541174</v>
      </c>
    </row>
    <row r="871" spans="14:20" ht="16.5" x14ac:dyDescent="0.3">
      <c r="N871" s="190">
        <f>IF('Input LwA_XYZ'!A30 = 0, "", 'Input LwA_XYZ'!A30)</f>
        <v>1</v>
      </c>
      <c r="O871" s="189" t="str">
        <f>IF($N871="","",_xlfn.TEXTJOIN(" - ",TRUE,'Input LwA_XYZ'!B30:C30))</f>
        <v>BEF-R08  - Inlet</v>
      </c>
      <c r="P871" s="64">
        <f>IF($N871="","",'Input LwA_XYZ'!Q30)</f>
        <v>57</v>
      </c>
      <c r="Q871" s="91" t="str">
        <f>IF($N871="","",-1*ROUND(_xlfn.XLOOKUP(Tables!$L$842,'Input LwA_XYZ'!$AY$1:$BM$1,'Input LwA_XYZ'!AY30:BM30),0) &amp; " / " &amp; ROUND(_xlfn.XLOOKUP(Tables!$L$842,'Input LwA_XYZ'!$AH$1:$AV$1,'Input LwA_XYZ'!AH30:AV30),0) &amp; " ft")</f>
        <v>45 / 235 ft</v>
      </c>
      <c r="R871" s="91" t="str">
        <f>IF($N871="","",IF(_xlfn.XLOOKUP(Tables!$L$842,'Input LwA_XYZ'!$BV$1:$CJ$1,'Input LwA_XYZ'!BV30:CJ30)="","-",_xlfn.XLOOKUP(Tables!$L$842,'Input LwA_XYZ'!$BV$1:$CJ$1,'Input LwA_XYZ'!BV30:CJ30)))</f>
        <v>-</v>
      </c>
      <c r="S871" s="91" t="str">
        <f>IF($N871="","",IF('Input LwA_XYZ'!S30="","-",'Input LwA_XYZ'!S30))</f>
        <v>-</v>
      </c>
      <c r="T871" s="65">
        <f>IF($N871="","",_xlfn.XLOOKUP(Tables!$L$842,'Input LwA_XYZ'!$DD$1:$DR$1,'Input LwA_XYZ'!DD30:DR30))</f>
        <v>11.924932976016137</v>
      </c>
    </row>
    <row r="872" spans="14:20" ht="16.5" x14ac:dyDescent="0.3">
      <c r="N872" s="190">
        <f>IF('Input LwA_XYZ'!A31 = 0, "", 'Input LwA_XYZ'!A31)</f>
        <v>1</v>
      </c>
      <c r="O872" s="189" t="str">
        <f>IF($N872="","",_xlfn.TEXTJOIN(" - ",TRUE,'Input LwA_XYZ'!B31:C31))</f>
        <v>BEF-R09  - Inlet</v>
      </c>
      <c r="P872" s="64">
        <f>IF($N872="","",'Input LwA_XYZ'!Q31)</f>
        <v>66</v>
      </c>
      <c r="Q872" s="91" t="str">
        <f>IF($N872="","",-1*ROUND(_xlfn.XLOOKUP(Tables!$L$842,'Input LwA_XYZ'!$AY$1:$BM$1,'Input LwA_XYZ'!AY31:BM31),0) &amp; " / " &amp; ROUND(_xlfn.XLOOKUP(Tables!$L$842,'Input LwA_XYZ'!$AH$1:$AV$1,'Input LwA_XYZ'!AH31:AV31),0) &amp; " ft")</f>
        <v>45 / 238 ft</v>
      </c>
      <c r="R872" s="91" t="str">
        <f>IF($N872="","",IF(_xlfn.XLOOKUP(Tables!$L$842,'Input LwA_XYZ'!$BV$1:$CJ$1,'Input LwA_XYZ'!BV31:CJ31)="","-",_xlfn.XLOOKUP(Tables!$L$842,'Input LwA_XYZ'!$BV$1:$CJ$1,'Input LwA_XYZ'!BV31:CJ31)))</f>
        <v>-</v>
      </c>
      <c r="S872" s="91" t="str">
        <f>IF($N872="","",IF('Input LwA_XYZ'!S31="","-",'Input LwA_XYZ'!S31))</f>
        <v>-</v>
      </c>
      <c r="T872" s="65">
        <f>IF($N872="","",_xlfn.XLOOKUP(Tables!$L$842,'Input LwA_XYZ'!$DD$1:$DR$1,'Input LwA_XYZ'!DD31:DR31))</f>
        <v>20.789699625762694</v>
      </c>
    </row>
    <row r="873" spans="14:20" ht="16.5" x14ac:dyDescent="0.3">
      <c r="N873" s="190">
        <f>IF('Input LwA_XYZ'!A32 = 0, "", 'Input LwA_XYZ'!A32)</f>
        <v>1</v>
      </c>
      <c r="O873" s="189" t="str">
        <f>IF($N873="","",_xlfn.TEXTJOIN(" - ",TRUE,'Input LwA_XYZ'!B32:C32))</f>
        <v>BEF-R10  - Inlet</v>
      </c>
      <c r="P873" s="64">
        <f>IF($N873="","",'Input LwA_XYZ'!Q32)</f>
        <v>66</v>
      </c>
      <c r="Q873" s="91" t="str">
        <f>IF($N873="","",-1*ROUND(_xlfn.XLOOKUP(Tables!$L$842,'Input LwA_XYZ'!$AY$1:$BM$1,'Input LwA_XYZ'!AY32:BM32),0) &amp; " / " &amp; ROUND(_xlfn.XLOOKUP(Tables!$L$842,'Input LwA_XYZ'!$AH$1:$AV$1,'Input LwA_XYZ'!AH32:AV32),0) &amp; " ft")</f>
        <v>45 / 245 ft</v>
      </c>
      <c r="R873" s="91" t="str">
        <f>IF($N873="","",IF(_xlfn.XLOOKUP(Tables!$L$842,'Input LwA_XYZ'!$BV$1:$CJ$1,'Input LwA_XYZ'!BV32:CJ32)="","-",_xlfn.XLOOKUP(Tables!$L$842,'Input LwA_XYZ'!$BV$1:$CJ$1,'Input LwA_XYZ'!BV32:CJ32)))</f>
        <v>-</v>
      </c>
      <c r="S873" s="91" t="str">
        <f>IF($N873="","",IF('Input LwA_XYZ'!S32="","-",'Input LwA_XYZ'!S32))</f>
        <v>-</v>
      </c>
      <c r="T873" s="65">
        <f>IF($N873="","",_xlfn.XLOOKUP(Tables!$L$842,'Input LwA_XYZ'!$DD$1:$DR$1,'Input LwA_XYZ'!DD32:DR32))</f>
        <v>20.549999233311269</v>
      </c>
    </row>
    <row r="874" spans="14:20" ht="16.5" x14ac:dyDescent="0.3">
      <c r="N874" s="190">
        <f>IF('Input LwA_XYZ'!A33 = 0, "", 'Input LwA_XYZ'!A33)</f>
        <v>1</v>
      </c>
      <c r="O874" s="189" t="str">
        <f>IF($N874="","",_xlfn.TEXTJOIN(" - ",TRUE,'Input LwA_XYZ'!B33:C33))</f>
        <v>BEF-R11  - Inlet</v>
      </c>
      <c r="P874" s="64">
        <f>IF($N874="","",'Input LwA_XYZ'!Q33)</f>
        <v>66</v>
      </c>
      <c r="Q874" s="91" t="str">
        <f>IF($N874="","",-1*ROUND(_xlfn.XLOOKUP(Tables!$L$842,'Input LwA_XYZ'!$AY$1:$BM$1,'Input LwA_XYZ'!AY33:BM33),0) &amp; " / " &amp; ROUND(_xlfn.XLOOKUP(Tables!$L$842,'Input LwA_XYZ'!$AH$1:$AV$1,'Input LwA_XYZ'!AH33:AV33),0) &amp; " ft")</f>
        <v>46 / 249 ft</v>
      </c>
      <c r="R874" s="91" t="str">
        <f>IF($N874="","",IF(_xlfn.XLOOKUP(Tables!$L$842,'Input LwA_XYZ'!$BV$1:$CJ$1,'Input LwA_XYZ'!BV33:CJ33)="","-",_xlfn.XLOOKUP(Tables!$L$842,'Input LwA_XYZ'!$BV$1:$CJ$1,'Input LwA_XYZ'!BV33:CJ33)))</f>
        <v>-</v>
      </c>
      <c r="S874" s="91" t="str">
        <f>IF($N874="","",IF('Input LwA_XYZ'!S33="","-",'Input LwA_XYZ'!S33))</f>
        <v>-</v>
      </c>
      <c r="T874" s="65">
        <f>IF($N874="","",_xlfn.XLOOKUP(Tables!$L$842,'Input LwA_XYZ'!$DD$1:$DR$1,'Input LwA_XYZ'!DD33:DR33))</f>
        <v>20.413561674561677</v>
      </c>
    </row>
    <row r="875" spans="14:20" ht="16.5" x14ac:dyDescent="0.3">
      <c r="N875" s="190">
        <f>IF('Input LwA_XYZ'!A34 = 0, "", 'Input LwA_XYZ'!A34)</f>
        <v>1</v>
      </c>
      <c r="O875" s="189" t="str">
        <f>IF($N875="","",_xlfn.TEXTJOIN(" - ",TRUE,'Input LwA_XYZ'!B34:C34))</f>
        <v>BEF-R12  - Inlet</v>
      </c>
      <c r="P875" s="64">
        <f>IF($N875="","",'Input LwA_XYZ'!Q34)</f>
        <v>66</v>
      </c>
      <c r="Q875" s="91" t="str">
        <f>IF($N875="","",-1*ROUND(_xlfn.XLOOKUP(Tables!$L$842,'Input LwA_XYZ'!$AY$1:$BM$1,'Input LwA_XYZ'!AY34:BM34),0) &amp; " / " &amp; ROUND(_xlfn.XLOOKUP(Tables!$L$842,'Input LwA_XYZ'!$AH$1:$AV$1,'Input LwA_XYZ'!AH34:AV34),0) &amp; " ft")</f>
        <v>44 / 208 ft</v>
      </c>
      <c r="R875" s="91" t="str">
        <f>IF($N875="","",IF(_xlfn.XLOOKUP(Tables!$L$842,'Input LwA_XYZ'!$BV$1:$CJ$1,'Input LwA_XYZ'!BV34:CJ34)="","-",_xlfn.XLOOKUP(Tables!$L$842,'Input LwA_XYZ'!$BV$1:$CJ$1,'Input LwA_XYZ'!BV34:CJ34)))</f>
        <v>-</v>
      </c>
      <c r="S875" s="91" t="str">
        <f>IF($N875="","",IF('Input LwA_XYZ'!S34="","-",'Input LwA_XYZ'!S34))</f>
        <v>-</v>
      </c>
      <c r="T875" s="65">
        <f>IF($N875="","",_xlfn.XLOOKUP(Tables!$L$842,'Input LwA_XYZ'!$DD$1:$DR$1,'Input LwA_XYZ'!DD34:DR34))</f>
        <v>21.980715174611781</v>
      </c>
    </row>
    <row r="876" spans="14:20" ht="16.5" x14ac:dyDescent="0.3">
      <c r="N876" s="190">
        <f>IF('Input LwA_XYZ'!A35 = 0, "", 'Input LwA_XYZ'!A35)</f>
        <v>1</v>
      </c>
      <c r="O876" s="189" t="str">
        <f>IF($N876="","",_xlfn.TEXTJOIN(" - ",TRUE,'Input LwA_XYZ'!B35:C35))</f>
        <v>BEF-R13  - Inlet</v>
      </c>
      <c r="P876" s="64">
        <f>IF($N876="","",'Input LwA_XYZ'!Q35)</f>
        <v>66</v>
      </c>
      <c r="Q876" s="91" t="str">
        <f>IF($N876="","",-1*ROUND(_xlfn.XLOOKUP(Tables!$L$842,'Input LwA_XYZ'!$AY$1:$BM$1,'Input LwA_XYZ'!AY35:BM35),0) &amp; " / " &amp; ROUND(_xlfn.XLOOKUP(Tables!$L$842,'Input LwA_XYZ'!$AH$1:$AV$1,'Input LwA_XYZ'!AH35:AV35),0) &amp; " ft")</f>
        <v>43 / 177 ft</v>
      </c>
      <c r="R876" s="91" t="str">
        <f>IF($N876="","",IF(_xlfn.XLOOKUP(Tables!$L$842,'Input LwA_XYZ'!$BV$1:$CJ$1,'Input LwA_XYZ'!BV35:CJ35)="","-",_xlfn.XLOOKUP(Tables!$L$842,'Input LwA_XYZ'!$BV$1:$CJ$1,'Input LwA_XYZ'!BV35:CJ35)))</f>
        <v>-</v>
      </c>
      <c r="S876" s="91" t="str">
        <f>IF($N876="","",IF('Input LwA_XYZ'!S35="","-",'Input LwA_XYZ'!S35))</f>
        <v>-</v>
      </c>
      <c r="T876" s="65">
        <f>IF($N876="","",_xlfn.XLOOKUP(Tables!$L$842,'Input LwA_XYZ'!$DD$1:$DR$1,'Input LwA_XYZ'!DD35:DR35))</f>
        <v>23.39479009159399</v>
      </c>
    </row>
    <row r="877" spans="14:20" ht="16.5" x14ac:dyDescent="0.3">
      <c r="N877" s="190">
        <f>IF('Input LwA_XYZ'!A36 = 0, "", 'Input LwA_XYZ'!A36)</f>
        <v>1</v>
      </c>
      <c r="O877" s="189" t="str">
        <f>IF($N877="","",_xlfn.TEXTJOIN(" - ",TRUE,'Input LwA_XYZ'!B36:C36))</f>
        <v>BEF-R14  - Inlet</v>
      </c>
      <c r="P877" s="64">
        <f>IF($N877="","",'Input LwA_XYZ'!Q36)</f>
        <v>66</v>
      </c>
      <c r="Q877" s="91" t="str">
        <f>IF($N877="","",-1*ROUND(_xlfn.XLOOKUP(Tables!$L$842,'Input LwA_XYZ'!$AY$1:$BM$1,'Input LwA_XYZ'!AY36:BM36),0) &amp; " / " &amp; ROUND(_xlfn.XLOOKUP(Tables!$L$842,'Input LwA_XYZ'!$AH$1:$AV$1,'Input LwA_XYZ'!AH36:AV36),0) &amp; " ft")</f>
        <v>42 / 160 ft</v>
      </c>
      <c r="R877" s="91" t="str">
        <f>IF($N877="","",IF(_xlfn.XLOOKUP(Tables!$L$842,'Input LwA_XYZ'!$BV$1:$CJ$1,'Input LwA_XYZ'!BV36:CJ36)="","-",_xlfn.XLOOKUP(Tables!$L$842,'Input LwA_XYZ'!$BV$1:$CJ$1,'Input LwA_XYZ'!BV36:CJ36)))</f>
        <v>-</v>
      </c>
      <c r="S877" s="91" t="str">
        <f>IF($N877="","",IF('Input LwA_XYZ'!S36="","-",'Input LwA_XYZ'!S36))</f>
        <v>-</v>
      </c>
      <c r="T877" s="65">
        <f>IF($N877="","",_xlfn.XLOOKUP(Tables!$L$842,'Input LwA_XYZ'!$DD$1:$DR$1,'Input LwA_XYZ'!DD36:DR36))</f>
        <v>24.267760520630574</v>
      </c>
    </row>
    <row r="878" spans="14:20" ht="16.5" x14ac:dyDescent="0.3">
      <c r="N878" s="190">
        <f>IF('Input LwA_XYZ'!A37 = 0, "", 'Input LwA_XYZ'!A37)</f>
        <v>1</v>
      </c>
      <c r="O878" s="189" t="str">
        <f>IF($N878="","",_xlfn.TEXTJOIN(" - ",TRUE,'Input LwA_XYZ'!B37:C37))</f>
        <v>BEF-R15  - Inlet</v>
      </c>
      <c r="P878" s="64">
        <f>IF($N878="","",'Input LwA_XYZ'!Q37)</f>
        <v>57</v>
      </c>
      <c r="Q878" s="91" t="str">
        <f>IF($N878="","",-1*ROUND(_xlfn.XLOOKUP(Tables!$L$842,'Input LwA_XYZ'!$AY$1:$BM$1,'Input LwA_XYZ'!AY37:BM37),0) &amp; " / " &amp; ROUND(_xlfn.XLOOKUP(Tables!$L$842,'Input LwA_XYZ'!$AH$1:$AV$1,'Input LwA_XYZ'!AH37:AV37),0) &amp; " ft")</f>
        <v>41 / 151 ft</v>
      </c>
      <c r="R878" s="91" t="str">
        <f>IF($N878="","",IF(_xlfn.XLOOKUP(Tables!$L$842,'Input LwA_XYZ'!$BV$1:$CJ$1,'Input LwA_XYZ'!BV37:CJ37)="","-",_xlfn.XLOOKUP(Tables!$L$842,'Input LwA_XYZ'!$BV$1:$CJ$1,'Input LwA_XYZ'!BV37:CJ37)))</f>
        <v>-</v>
      </c>
      <c r="S878" s="91" t="str">
        <f>IF($N878="","",IF('Input LwA_XYZ'!S37="","-",'Input LwA_XYZ'!S37))</f>
        <v>-</v>
      </c>
      <c r="T878" s="65">
        <f>IF($N878="","",_xlfn.XLOOKUP(Tables!$L$842,'Input LwA_XYZ'!$DD$1:$DR$1,'Input LwA_XYZ'!DD37:DR37))</f>
        <v>15.774111416089106</v>
      </c>
    </row>
    <row r="879" spans="14:20" ht="16.5" x14ac:dyDescent="0.3">
      <c r="N879" s="190">
        <f>IF('Input LwA_XYZ'!A38 = 0, "", 'Input LwA_XYZ'!A38)</f>
        <v>1</v>
      </c>
      <c r="O879" s="189" t="str">
        <f>IF($N879="","",_xlfn.TEXTJOIN(" - ",TRUE,'Input LwA_XYZ'!B38:C38))</f>
        <v>BEF-R16  - Inlet</v>
      </c>
      <c r="P879" s="64">
        <f>IF($N879="","",'Input LwA_XYZ'!Q38)</f>
        <v>57</v>
      </c>
      <c r="Q879" s="91" t="str">
        <f>IF($N879="","",-1*ROUND(_xlfn.XLOOKUP(Tables!$L$842,'Input LwA_XYZ'!$AY$1:$BM$1,'Input LwA_XYZ'!AY38:BM38),0) &amp; " / " &amp; ROUND(_xlfn.XLOOKUP(Tables!$L$842,'Input LwA_XYZ'!$AH$1:$AV$1,'Input LwA_XYZ'!AH38:AV38),0) &amp; " ft")</f>
        <v>44 / 218 ft</v>
      </c>
      <c r="R879" s="91" t="str">
        <f>IF($N879="","",IF(_xlfn.XLOOKUP(Tables!$L$842,'Input LwA_XYZ'!$BV$1:$CJ$1,'Input LwA_XYZ'!BV38:CJ38)="","-",_xlfn.XLOOKUP(Tables!$L$842,'Input LwA_XYZ'!$BV$1:$CJ$1,'Input LwA_XYZ'!BV38:CJ38)))</f>
        <v>-</v>
      </c>
      <c r="S879" s="91" t="str">
        <f>IF($N879="","",IF('Input LwA_XYZ'!S38="","-",'Input LwA_XYZ'!S38))</f>
        <v>-</v>
      </c>
      <c r="T879" s="65">
        <f>IF($N879="","",_xlfn.XLOOKUP(Tables!$L$842,'Input LwA_XYZ'!$DD$1:$DR$1,'Input LwA_XYZ'!DD38:DR38))</f>
        <v>12.585684800234958</v>
      </c>
    </row>
    <row r="880" spans="14:20" ht="16.5" x14ac:dyDescent="0.3">
      <c r="N880" s="190" t="str">
        <f>IF('Input LwA_XYZ'!A39 = 0, "", 'Input LwA_XYZ'!A39)</f>
        <v/>
      </c>
      <c r="O880" s="189" t="str">
        <f>IF($N880="","",_xlfn.TEXTJOIN(" - ",TRUE,'Input LwA_XYZ'!B39:C39))</f>
        <v/>
      </c>
      <c r="P880" s="64" t="str">
        <f>IF($N880="","",'Input LwA_XYZ'!Q39)</f>
        <v/>
      </c>
      <c r="Q880" s="91" t="str">
        <f>IF($N880="","",-1*ROUND(_xlfn.XLOOKUP(Tables!$L$842,'Input LwA_XYZ'!$AY$1:$BM$1,'Input LwA_XYZ'!AY39:BM39),0) &amp; " / " &amp; ROUND(_xlfn.XLOOKUP(Tables!$L$842,'Input LwA_XYZ'!$AH$1:$AV$1,'Input LwA_XYZ'!AH39:AV39),0) &amp; " ft")</f>
        <v/>
      </c>
      <c r="R880" s="91" t="str">
        <f>IF($N880="","",IF(_xlfn.XLOOKUP(Tables!$L$842,'Input LwA_XYZ'!$BV$1:$CJ$1,'Input LwA_XYZ'!BV39:CJ39)="","-",_xlfn.XLOOKUP(Tables!$L$842,'Input LwA_XYZ'!$BV$1:$CJ$1,'Input LwA_XYZ'!BV39:CJ39)))</f>
        <v/>
      </c>
      <c r="S880" s="91" t="str">
        <f>IF($N880="","",IF('Input LwA_XYZ'!S39="","-",'Input LwA_XYZ'!S39))</f>
        <v/>
      </c>
      <c r="T880" s="65" t="str">
        <f>IF($N880="","",_xlfn.XLOOKUP(Tables!$L$842,'Input LwA_XYZ'!$DD$1:$DR$1,'Input LwA_XYZ'!DD39:DR39))</f>
        <v/>
      </c>
    </row>
    <row r="881" spans="14:20" ht="16.5" x14ac:dyDescent="0.3">
      <c r="N881" s="190" t="str">
        <f>IF('Input LwA_XYZ'!A40 = 0, "", 'Input LwA_XYZ'!A40)</f>
        <v/>
      </c>
      <c r="O881" s="189" t="str">
        <f>IF($N881="","",_xlfn.TEXTJOIN(" - ",TRUE,'Input LwA_XYZ'!B40:C40))</f>
        <v/>
      </c>
      <c r="P881" s="64" t="str">
        <f>IF($N881="","",'Input LwA_XYZ'!Q40)</f>
        <v/>
      </c>
      <c r="Q881" s="91" t="str">
        <f>IF($N881="","",-1*ROUND(_xlfn.XLOOKUP(Tables!$L$842,'Input LwA_XYZ'!$AY$1:$BM$1,'Input LwA_XYZ'!AY40:BM40),0) &amp; " / " &amp; ROUND(_xlfn.XLOOKUP(Tables!$L$842,'Input LwA_XYZ'!$AH$1:$AV$1,'Input LwA_XYZ'!AH40:AV40),0) &amp; " ft")</f>
        <v/>
      </c>
      <c r="R881" s="91" t="str">
        <f>IF($N881="","",IF(_xlfn.XLOOKUP(Tables!$L$842,'Input LwA_XYZ'!$BV$1:$CJ$1,'Input LwA_XYZ'!BV40:CJ40)="","-",_xlfn.XLOOKUP(Tables!$L$842,'Input LwA_XYZ'!$BV$1:$CJ$1,'Input LwA_XYZ'!BV40:CJ40)))</f>
        <v/>
      </c>
      <c r="S881" s="91" t="str">
        <f>IF($N881="","",IF('Input LwA_XYZ'!S40="","-",'Input LwA_XYZ'!S40))</f>
        <v/>
      </c>
      <c r="T881" s="65" t="str">
        <f>IF($N881="","",_xlfn.XLOOKUP(Tables!$L$842,'Input LwA_XYZ'!$DD$1:$DR$1,'Input LwA_XYZ'!DD40:DR40))</f>
        <v/>
      </c>
    </row>
    <row r="882" spans="14:20" ht="16.5" x14ac:dyDescent="0.3">
      <c r="N882" s="190" t="str">
        <f>IF('Input LwA_XYZ'!A41 = 0, "", 'Input LwA_XYZ'!A41)</f>
        <v/>
      </c>
      <c r="O882" s="189" t="str">
        <f>IF($N882="","",_xlfn.TEXTJOIN(" - ",TRUE,'Input LwA_XYZ'!B41:C41))</f>
        <v/>
      </c>
      <c r="P882" s="64" t="str">
        <f>IF($N882="","",'Input LwA_XYZ'!Q41)</f>
        <v/>
      </c>
      <c r="Q882" s="91" t="str">
        <f>IF($N882="","",-1*ROUND(_xlfn.XLOOKUP(Tables!$L$842,'Input LwA_XYZ'!$AY$1:$BM$1,'Input LwA_XYZ'!AY41:BM41),0) &amp; " / " &amp; ROUND(_xlfn.XLOOKUP(Tables!$L$842,'Input LwA_XYZ'!$AH$1:$AV$1,'Input LwA_XYZ'!AH41:AV41),0) &amp; " ft")</f>
        <v/>
      </c>
      <c r="R882" s="91" t="str">
        <f>IF($N882="","",IF(_xlfn.XLOOKUP(Tables!$L$842,'Input LwA_XYZ'!$BV$1:$CJ$1,'Input LwA_XYZ'!BV41:CJ41)="","-",_xlfn.XLOOKUP(Tables!$L$842,'Input LwA_XYZ'!$BV$1:$CJ$1,'Input LwA_XYZ'!BV41:CJ41)))</f>
        <v/>
      </c>
      <c r="S882" s="91" t="str">
        <f>IF($N882="","",IF('Input LwA_XYZ'!S41="","-",'Input LwA_XYZ'!S41))</f>
        <v/>
      </c>
      <c r="T882" s="65" t="str">
        <f>IF($N882="","",_xlfn.XLOOKUP(Tables!$L$842,'Input LwA_XYZ'!$DD$1:$DR$1,'Input LwA_XYZ'!DD41:DR41))</f>
        <v/>
      </c>
    </row>
    <row r="883" spans="14:20" ht="16.5" x14ac:dyDescent="0.3">
      <c r="N883" s="190" t="str">
        <f>IF('Input LwA_XYZ'!A42 = 0, "", 'Input LwA_XYZ'!A42)</f>
        <v/>
      </c>
      <c r="O883" s="189" t="str">
        <f>IF($N883="","",_xlfn.TEXTJOIN(" - ",TRUE,'Input LwA_XYZ'!B42:C42))</f>
        <v/>
      </c>
      <c r="P883" s="64" t="str">
        <f>IF($N883="","",'Input LwA_XYZ'!Q42)</f>
        <v/>
      </c>
      <c r="Q883" s="91" t="str">
        <f>IF($N883="","",-1*ROUND(_xlfn.XLOOKUP(Tables!$L$842,'Input LwA_XYZ'!$AY$1:$BM$1,'Input LwA_XYZ'!AY42:BM42),0) &amp; " / " &amp; ROUND(_xlfn.XLOOKUP(Tables!$L$842,'Input LwA_XYZ'!$AH$1:$AV$1,'Input LwA_XYZ'!AH42:AV42),0) &amp; " ft")</f>
        <v/>
      </c>
      <c r="R883" s="91" t="str">
        <f>IF($N883="","",IF(_xlfn.XLOOKUP(Tables!$L$842,'Input LwA_XYZ'!$BV$1:$CJ$1,'Input LwA_XYZ'!BV42:CJ42)="","-",_xlfn.XLOOKUP(Tables!$L$842,'Input LwA_XYZ'!$BV$1:$CJ$1,'Input LwA_XYZ'!BV42:CJ42)))</f>
        <v/>
      </c>
      <c r="S883" s="91" t="str">
        <f>IF($N883="","",IF('Input LwA_XYZ'!S42="","-",'Input LwA_XYZ'!S42))</f>
        <v/>
      </c>
      <c r="T883" s="65" t="str">
        <f>IF($N883="","",_xlfn.XLOOKUP(Tables!$L$842,'Input LwA_XYZ'!$DD$1:$DR$1,'Input LwA_XYZ'!DD42:DR42))</f>
        <v/>
      </c>
    </row>
    <row r="884" spans="14:20" ht="16.5" x14ac:dyDescent="0.3">
      <c r="N884" s="190" t="str">
        <f>IF('Input LwA_XYZ'!A43 = 0, "", 'Input LwA_XYZ'!A43)</f>
        <v/>
      </c>
      <c r="O884" s="189" t="str">
        <f>IF($N884="","",_xlfn.TEXTJOIN(" - ",TRUE,'Input LwA_XYZ'!B43:C43))</f>
        <v/>
      </c>
      <c r="P884" s="64" t="str">
        <f>IF($N884="","",'Input LwA_XYZ'!Q43)</f>
        <v/>
      </c>
      <c r="Q884" s="91" t="str">
        <f>IF($N884="","",-1*ROUND(_xlfn.XLOOKUP(Tables!$L$842,'Input LwA_XYZ'!$AY$1:$BM$1,'Input LwA_XYZ'!AY43:BM43),0) &amp; " / " &amp; ROUND(_xlfn.XLOOKUP(Tables!$L$842,'Input LwA_XYZ'!$AH$1:$AV$1,'Input LwA_XYZ'!AH43:AV43),0) &amp; " ft")</f>
        <v/>
      </c>
      <c r="R884" s="91" t="str">
        <f>IF($N884="","",IF(_xlfn.XLOOKUP(Tables!$L$842,'Input LwA_XYZ'!$BV$1:$CJ$1,'Input LwA_XYZ'!BV43:CJ43)="","-",_xlfn.XLOOKUP(Tables!$L$842,'Input LwA_XYZ'!$BV$1:$CJ$1,'Input LwA_XYZ'!BV43:CJ43)))</f>
        <v/>
      </c>
      <c r="S884" s="91" t="str">
        <f>IF($N884="","",IF('Input LwA_XYZ'!S43="","-",'Input LwA_XYZ'!S43))</f>
        <v/>
      </c>
      <c r="T884" s="65" t="str">
        <f>IF($N884="","",_xlfn.XLOOKUP(Tables!$L$842,'Input LwA_XYZ'!$DD$1:$DR$1,'Input LwA_XYZ'!DD43:DR43))</f>
        <v/>
      </c>
    </row>
    <row r="885" spans="14:20" ht="16.5" x14ac:dyDescent="0.3">
      <c r="N885" s="190" t="str">
        <f>IF('Input LwA_XYZ'!A44 = 0, "", 'Input LwA_XYZ'!A44)</f>
        <v/>
      </c>
      <c r="O885" s="189" t="str">
        <f>IF($N885="","",_xlfn.TEXTJOIN(" - ",TRUE,'Input LwA_XYZ'!B44:C44))</f>
        <v/>
      </c>
      <c r="P885" s="64" t="str">
        <f>IF($N885="","",'Input LwA_XYZ'!Q44)</f>
        <v/>
      </c>
      <c r="Q885" s="91" t="str">
        <f>IF($N885="","",-1*ROUND(_xlfn.XLOOKUP(Tables!$L$842,'Input LwA_XYZ'!$AY$1:$BM$1,'Input LwA_XYZ'!AY44:BM44),0) &amp; " / " &amp; ROUND(_xlfn.XLOOKUP(Tables!$L$842,'Input LwA_XYZ'!$AH$1:$AV$1,'Input LwA_XYZ'!AH44:AV44),0) &amp; " ft")</f>
        <v/>
      </c>
      <c r="R885" s="91" t="str">
        <f>IF($N885="","",IF(_xlfn.XLOOKUP(Tables!$L$842,'Input LwA_XYZ'!$BV$1:$CJ$1,'Input LwA_XYZ'!BV44:CJ44)="","-",_xlfn.XLOOKUP(Tables!$L$842,'Input LwA_XYZ'!$BV$1:$CJ$1,'Input LwA_XYZ'!BV44:CJ44)))</f>
        <v/>
      </c>
      <c r="S885" s="91" t="str">
        <f>IF($N885="","",IF('Input LwA_XYZ'!S44="","-",'Input LwA_XYZ'!S44))</f>
        <v/>
      </c>
      <c r="T885" s="65" t="str">
        <f>IF($N885="","",_xlfn.XLOOKUP(Tables!$L$842,'Input LwA_XYZ'!$DD$1:$DR$1,'Input LwA_XYZ'!DD44:DR44))</f>
        <v/>
      </c>
    </row>
    <row r="886" spans="14:20" ht="16.5" x14ac:dyDescent="0.3">
      <c r="N886" s="190" t="str">
        <f>IF('Input LwA_XYZ'!A45 = 0, "", 'Input LwA_XYZ'!A45)</f>
        <v/>
      </c>
      <c r="O886" s="189" t="str">
        <f>IF($N886="","",_xlfn.TEXTJOIN(" - ",TRUE,'Input LwA_XYZ'!B45:C45))</f>
        <v/>
      </c>
      <c r="P886" s="64" t="str">
        <f>IF($N886="","",'Input LwA_XYZ'!Q45)</f>
        <v/>
      </c>
      <c r="Q886" s="91" t="str">
        <f>IF($N886="","",-1*ROUND(_xlfn.XLOOKUP(Tables!$L$842,'Input LwA_XYZ'!$AY$1:$BM$1,'Input LwA_XYZ'!AY45:BM45),0) &amp; " / " &amp; ROUND(_xlfn.XLOOKUP(Tables!$L$842,'Input LwA_XYZ'!$AH$1:$AV$1,'Input LwA_XYZ'!AH45:AV45),0) &amp; " ft")</f>
        <v/>
      </c>
      <c r="R886" s="91" t="str">
        <f>IF($N886="","",IF(_xlfn.XLOOKUP(Tables!$L$842,'Input LwA_XYZ'!$BV$1:$CJ$1,'Input LwA_XYZ'!BV45:CJ45)="","-",_xlfn.XLOOKUP(Tables!$L$842,'Input LwA_XYZ'!$BV$1:$CJ$1,'Input LwA_XYZ'!BV45:CJ45)))</f>
        <v/>
      </c>
      <c r="S886" s="91" t="str">
        <f>IF($N886="","",IF('Input LwA_XYZ'!S45="","-",'Input LwA_XYZ'!S45))</f>
        <v/>
      </c>
      <c r="T886" s="65" t="str">
        <f>IF($N886="","",_xlfn.XLOOKUP(Tables!$L$842,'Input LwA_XYZ'!$DD$1:$DR$1,'Input LwA_XYZ'!DD45:DR45))</f>
        <v/>
      </c>
    </row>
    <row r="887" spans="14:20" ht="16.5" x14ac:dyDescent="0.3">
      <c r="N887" s="190" t="str">
        <f>IF('Input LwA_XYZ'!A46 = 0, "", 'Input LwA_XYZ'!A46)</f>
        <v/>
      </c>
      <c r="O887" s="189" t="str">
        <f>IF($N887="","",_xlfn.TEXTJOIN(" - ",TRUE,'Input LwA_XYZ'!B46:C46))</f>
        <v/>
      </c>
      <c r="P887" s="64" t="str">
        <f>IF($N887="","",'Input LwA_XYZ'!Q46)</f>
        <v/>
      </c>
      <c r="Q887" s="91" t="str">
        <f>IF($N887="","",-1*ROUND(_xlfn.XLOOKUP(Tables!$L$842,'Input LwA_XYZ'!$AY$1:$BM$1,'Input LwA_XYZ'!AY46:BM46),0) &amp; " / " &amp; ROUND(_xlfn.XLOOKUP(Tables!$L$842,'Input LwA_XYZ'!$AH$1:$AV$1,'Input LwA_XYZ'!AH46:AV46),0) &amp; " ft")</f>
        <v/>
      </c>
      <c r="R887" s="91" t="str">
        <f>IF($N887="","",IF(_xlfn.XLOOKUP(Tables!$L$842,'Input LwA_XYZ'!$BV$1:$CJ$1,'Input LwA_XYZ'!BV46:CJ46)="","-",_xlfn.XLOOKUP(Tables!$L$842,'Input LwA_XYZ'!$BV$1:$CJ$1,'Input LwA_XYZ'!BV46:CJ46)))</f>
        <v/>
      </c>
      <c r="S887" s="91" t="str">
        <f>IF($N887="","",IF('Input LwA_XYZ'!S46="","-",'Input LwA_XYZ'!S46))</f>
        <v/>
      </c>
      <c r="T887" s="65" t="str">
        <f>IF($N887="","",_xlfn.XLOOKUP(Tables!$L$842,'Input LwA_XYZ'!$DD$1:$DR$1,'Input LwA_XYZ'!DD46:DR46))</f>
        <v/>
      </c>
    </row>
    <row r="888" spans="14:20" ht="16.5" x14ac:dyDescent="0.3">
      <c r="N888" s="190" t="str">
        <f>IF('Input LwA_XYZ'!A47 = 0, "", 'Input LwA_XYZ'!A47)</f>
        <v/>
      </c>
      <c r="O888" s="189" t="str">
        <f>IF($N888="","",_xlfn.TEXTJOIN(" - ",TRUE,'Input LwA_XYZ'!B47:C47))</f>
        <v/>
      </c>
      <c r="P888" s="64" t="str">
        <f>IF($N888="","",'Input LwA_XYZ'!Q47)</f>
        <v/>
      </c>
      <c r="Q888" s="91" t="str">
        <f>IF($N888="","",-1*ROUND(_xlfn.XLOOKUP(Tables!$L$842,'Input LwA_XYZ'!$AY$1:$BM$1,'Input LwA_XYZ'!AY47:BM47),0) &amp; " / " &amp; ROUND(_xlfn.XLOOKUP(Tables!$L$842,'Input LwA_XYZ'!$AH$1:$AV$1,'Input LwA_XYZ'!AH47:AV47),0) &amp; " ft")</f>
        <v/>
      </c>
      <c r="R888" s="91" t="str">
        <f>IF($N888="","",IF(_xlfn.XLOOKUP(Tables!$L$842,'Input LwA_XYZ'!$BV$1:$CJ$1,'Input LwA_XYZ'!BV47:CJ47)="","-",_xlfn.XLOOKUP(Tables!$L$842,'Input LwA_XYZ'!$BV$1:$CJ$1,'Input LwA_XYZ'!BV47:CJ47)))</f>
        <v/>
      </c>
      <c r="S888" s="91" t="str">
        <f>IF($N888="","",IF('Input LwA_XYZ'!S47="","-",'Input LwA_XYZ'!S47))</f>
        <v/>
      </c>
      <c r="T888" s="65" t="str">
        <f>IF($N888="","",_xlfn.XLOOKUP(Tables!$L$842,'Input LwA_XYZ'!$DD$1:$DR$1,'Input LwA_XYZ'!DD47:DR47))</f>
        <v/>
      </c>
    </row>
    <row r="889" spans="14:20" ht="16.5" x14ac:dyDescent="0.3">
      <c r="N889" s="190" t="str">
        <f>IF('Input LwA_XYZ'!A48 = 0, "", 'Input LwA_XYZ'!A48)</f>
        <v/>
      </c>
      <c r="O889" s="189" t="str">
        <f>IF($N889="","",_xlfn.TEXTJOIN(" - ",TRUE,'Input LwA_XYZ'!B48:C48))</f>
        <v/>
      </c>
      <c r="P889" s="64" t="str">
        <f>IF($N889="","",'Input LwA_XYZ'!Q48)</f>
        <v/>
      </c>
      <c r="Q889" s="91" t="str">
        <f>IF($N889="","",-1*ROUND(_xlfn.XLOOKUP(Tables!$L$842,'Input LwA_XYZ'!$AY$1:$BM$1,'Input LwA_XYZ'!AY48:BM48),0) &amp; " / " &amp; ROUND(_xlfn.XLOOKUP(Tables!$L$842,'Input LwA_XYZ'!$AH$1:$AV$1,'Input LwA_XYZ'!AH48:AV48),0) &amp; " ft")</f>
        <v/>
      </c>
      <c r="R889" s="91" t="str">
        <f>IF($N889="","",IF(_xlfn.XLOOKUP(Tables!$L$842,'Input LwA_XYZ'!$BV$1:$CJ$1,'Input LwA_XYZ'!BV48:CJ48)="","-",_xlfn.XLOOKUP(Tables!$L$842,'Input LwA_XYZ'!$BV$1:$CJ$1,'Input LwA_XYZ'!BV48:CJ48)))</f>
        <v/>
      </c>
      <c r="S889" s="91" t="str">
        <f>IF($N889="","",IF('Input LwA_XYZ'!S48="","-",'Input LwA_XYZ'!S48))</f>
        <v/>
      </c>
      <c r="T889" s="65" t="str">
        <f>IF($N889="","",_xlfn.XLOOKUP(Tables!$L$842,'Input LwA_XYZ'!$DD$1:$DR$1,'Input LwA_XYZ'!DD48:DR48))</f>
        <v/>
      </c>
    </row>
    <row r="890" spans="14:20" ht="16.5" x14ac:dyDescent="0.3">
      <c r="N890" s="190" t="str">
        <f>IF('Input LwA_XYZ'!A49 = 0, "", 'Input LwA_XYZ'!A49)</f>
        <v/>
      </c>
      <c r="O890" s="189" t="str">
        <f>IF($N890="","",_xlfn.TEXTJOIN(" - ",TRUE,'Input LwA_XYZ'!B49:C49))</f>
        <v/>
      </c>
      <c r="P890" s="64" t="str">
        <f>IF($N890="","",'Input LwA_XYZ'!Q49)</f>
        <v/>
      </c>
      <c r="Q890" s="91" t="str">
        <f>IF($N890="","",-1*ROUND(_xlfn.XLOOKUP(Tables!$L$842,'Input LwA_XYZ'!$AY$1:$BM$1,'Input LwA_XYZ'!AY49:BM49),0) &amp; " / " &amp; ROUND(_xlfn.XLOOKUP(Tables!$L$842,'Input LwA_XYZ'!$AH$1:$AV$1,'Input LwA_XYZ'!AH49:AV49),0) &amp; " ft")</f>
        <v/>
      </c>
      <c r="R890" s="91" t="str">
        <f>IF($N890="","",IF(_xlfn.XLOOKUP(Tables!$L$842,'Input LwA_XYZ'!$BV$1:$CJ$1,'Input LwA_XYZ'!BV49:CJ49)="","-",_xlfn.XLOOKUP(Tables!$L$842,'Input LwA_XYZ'!$BV$1:$CJ$1,'Input LwA_XYZ'!BV49:CJ49)))</f>
        <v/>
      </c>
      <c r="S890" s="91" t="str">
        <f>IF($N890="","",IF('Input LwA_XYZ'!S49="","-",'Input LwA_XYZ'!S49))</f>
        <v/>
      </c>
      <c r="T890" s="65" t="str">
        <f>IF($N890="","",_xlfn.XLOOKUP(Tables!$L$842,'Input LwA_XYZ'!$DD$1:$DR$1,'Input LwA_XYZ'!DD49:DR49))</f>
        <v/>
      </c>
    </row>
    <row r="891" spans="14:20" ht="16.5" x14ac:dyDescent="0.3">
      <c r="N891" s="190" t="str">
        <f>IF('Input LwA_XYZ'!A50 = 0, "", 'Input LwA_XYZ'!A50)</f>
        <v/>
      </c>
      <c r="O891" s="189" t="str">
        <f>IF($N891="","",_xlfn.TEXTJOIN(" - ",TRUE,'Input LwA_XYZ'!B50:C50))</f>
        <v/>
      </c>
      <c r="P891" s="64" t="str">
        <f>IF($N891="","",'Input LwA_XYZ'!Q50)</f>
        <v/>
      </c>
      <c r="Q891" s="91" t="str">
        <f>IF($N891="","",-1*ROUND(_xlfn.XLOOKUP(Tables!$L$842,'Input LwA_XYZ'!$AY$1:$BM$1,'Input LwA_XYZ'!AY50:BM50),0) &amp; " / " &amp; ROUND(_xlfn.XLOOKUP(Tables!$L$842,'Input LwA_XYZ'!$AH$1:$AV$1,'Input LwA_XYZ'!AH50:AV50),0) &amp; " ft")</f>
        <v/>
      </c>
      <c r="R891" s="91" t="str">
        <f>IF($N891="","",IF(_xlfn.XLOOKUP(Tables!$L$842,'Input LwA_XYZ'!$BV$1:$CJ$1,'Input LwA_XYZ'!BV50:CJ50)="","-",_xlfn.XLOOKUP(Tables!$L$842,'Input LwA_XYZ'!$BV$1:$CJ$1,'Input LwA_XYZ'!BV50:CJ50)))</f>
        <v/>
      </c>
      <c r="S891" s="91" t="str">
        <f>IF($N891="","",IF('Input LwA_XYZ'!S50="","-",'Input LwA_XYZ'!S50))</f>
        <v/>
      </c>
      <c r="T891" s="65" t="str">
        <f>IF($N891="","",_xlfn.XLOOKUP(Tables!$L$842,'Input LwA_XYZ'!$DD$1:$DR$1,'Input LwA_XYZ'!DD50:DR50))</f>
        <v/>
      </c>
    </row>
    <row r="892" spans="14:20" ht="16.5" x14ac:dyDescent="0.3">
      <c r="N892" s="190" t="str">
        <f>IF('Input LwA_XYZ'!A51 = 0, "", 'Input LwA_XYZ'!A51)</f>
        <v/>
      </c>
      <c r="O892" s="189" t="str">
        <f>IF($N892="","",_xlfn.TEXTJOIN(" - ",TRUE,'Input LwA_XYZ'!B51:C51))</f>
        <v/>
      </c>
      <c r="P892" s="64" t="str">
        <f>IF($N892="","",'Input LwA_XYZ'!Q51)</f>
        <v/>
      </c>
      <c r="Q892" s="91" t="str">
        <f>IF($N892="","",-1*ROUND(_xlfn.XLOOKUP(Tables!$L$842,'Input LwA_XYZ'!$AY$1:$BM$1,'Input LwA_XYZ'!AY51:BM51),0) &amp; " / " &amp; ROUND(_xlfn.XLOOKUP(Tables!$L$842,'Input LwA_XYZ'!$AH$1:$AV$1,'Input LwA_XYZ'!AH51:AV51),0) &amp; " ft")</f>
        <v/>
      </c>
      <c r="R892" s="91" t="str">
        <f>IF($N892="","",IF(_xlfn.XLOOKUP(Tables!$L$842,'Input LwA_XYZ'!$BV$1:$CJ$1,'Input LwA_XYZ'!BV51:CJ51)="","-",_xlfn.XLOOKUP(Tables!$L$842,'Input LwA_XYZ'!$BV$1:$CJ$1,'Input LwA_XYZ'!BV51:CJ51)))</f>
        <v/>
      </c>
      <c r="S892" s="91" t="str">
        <f>IF($N892="","",IF('Input LwA_XYZ'!S51="","-",'Input LwA_XYZ'!S51))</f>
        <v/>
      </c>
      <c r="T892" s="65" t="str">
        <f>IF($N892="","",_xlfn.XLOOKUP(Tables!$L$842,'Input LwA_XYZ'!$DD$1:$DR$1,'Input LwA_XYZ'!DD51:DR51))</f>
        <v/>
      </c>
    </row>
    <row r="893" spans="14:20" ht="16.5" x14ac:dyDescent="0.3">
      <c r="N893" s="190" t="str">
        <f>IF('Input LwA_XYZ'!A52 = 0, "", 'Input LwA_XYZ'!A52)</f>
        <v/>
      </c>
      <c r="O893" s="189" t="str">
        <f>IF($N893="","",_xlfn.TEXTJOIN(" - ",TRUE,'Input LwA_XYZ'!B52:C52))</f>
        <v/>
      </c>
      <c r="P893" s="64" t="str">
        <f>IF($N893="","",'Input LwA_XYZ'!Q52)</f>
        <v/>
      </c>
      <c r="Q893" s="91" t="str">
        <f>IF($N893="","",-1*ROUND(_xlfn.XLOOKUP(Tables!$L$842,'Input LwA_XYZ'!$AY$1:$BM$1,'Input LwA_XYZ'!AY52:BM52),0) &amp; " / " &amp; ROUND(_xlfn.XLOOKUP(Tables!$L$842,'Input LwA_XYZ'!$AH$1:$AV$1,'Input LwA_XYZ'!AH52:AV52),0) &amp; " ft")</f>
        <v/>
      </c>
      <c r="R893" s="91" t="str">
        <f>IF($N893="","",IF(_xlfn.XLOOKUP(Tables!$L$842,'Input LwA_XYZ'!$BV$1:$CJ$1,'Input LwA_XYZ'!BV52:CJ52)="","-",_xlfn.XLOOKUP(Tables!$L$842,'Input LwA_XYZ'!$BV$1:$CJ$1,'Input LwA_XYZ'!BV52:CJ52)))</f>
        <v/>
      </c>
      <c r="S893" s="91" t="str">
        <f>IF($N893="","",IF('Input LwA_XYZ'!S52="","-",'Input LwA_XYZ'!S52))</f>
        <v/>
      </c>
      <c r="T893" s="65" t="str">
        <f>IF($N893="","",_xlfn.XLOOKUP(Tables!$L$842,'Input LwA_XYZ'!$DD$1:$DR$1,'Input LwA_XYZ'!DD52:DR52))</f>
        <v/>
      </c>
    </row>
    <row r="894" spans="14:20" ht="16.5" x14ac:dyDescent="0.3">
      <c r="N894" s="190" t="str">
        <f>IF('Input LwA_XYZ'!A53 = 0, "", 'Input LwA_XYZ'!A53)</f>
        <v/>
      </c>
      <c r="O894" s="189" t="str">
        <f>IF($N894="","",_xlfn.TEXTJOIN(" - ",TRUE,'Input LwA_XYZ'!B53:C53))</f>
        <v/>
      </c>
      <c r="P894" s="64" t="str">
        <f>IF($N894="","",'Input LwA_XYZ'!Q53)</f>
        <v/>
      </c>
      <c r="Q894" s="91" t="str">
        <f>IF($N894="","",-1*ROUND(_xlfn.XLOOKUP(Tables!$L$842,'Input LwA_XYZ'!$AY$1:$BM$1,'Input LwA_XYZ'!AY53:BM53),0) &amp; " / " &amp; ROUND(_xlfn.XLOOKUP(Tables!$L$842,'Input LwA_XYZ'!$AH$1:$AV$1,'Input LwA_XYZ'!AH53:AV53),0) &amp; " ft")</f>
        <v/>
      </c>
      <c r="R894" s="91" t="str">
        <f>IF($N894="","",IF(_xlfn.XLOOKUP(Tables!$L$842,'Input LwA_XYZ'!$BV$1:$CJ$1,'Input LwA_XYZ'!BV53:CJ53)="","-",_xlfn.XLOOKUP(Tables!$L$842,'Input LwA_XYZ'!$BV$1:$CJ$1,'Input LwA_XYZ'!BV53:CJ53)))</f>
        <v/>
      </c>
      <c r="S894" s="91" t="str">
        <f>IF($N894="","",IF('Input LwA_XYZ'!S53="","-",'Input LwA_XYZ'!S53))</f>
        <v/>
      </c>
      <c r="T894" s="65" t="str">
        <f>IF($N894="","",_xlfn.XLOOKUP(Tables!$L$842,'Input LwA_XYZ'!$DD$1:$DR$1,'Input LwA_XYZ'!DD53:DR53))</f>
        <v/>
      </c>
    </row>
    <row r="895" spans="14:20" ht="16.5" x14ac:dyDescent="0.3">
      <c r="N895" s="190" t="str">
        <f>IF('Input LwA_XYZ'!A54 = 0, "", 'Input LwA_XYZ'!A54)</f>
        <v/>
      </c>
      <c r="O895" s="189" t="str">
        <f>IF($N895="","",_xlfn.TEXTJOIN(" - ",TRUE,'Input LwA_XYZ'!B54:C54))</f>
        <v/>
      </c>
      <c r="P895" s="64" t="str">
        <f>IF($N895="","",'Input LwA_XYZ'!Q54)</f>
        <v/>
      </c>
      <c r="Q895" s="91" t="str">
        <f>IF($N895="","",-1*ROUND(_xlfn.XLOOKUP(Tables!$L$842,'Input LwA_XYZ'!$AY$1:$BM$1,'Input LwA_XYZ'!AY54:BM54),0) &amp; " / " &amp; ROUND(_xlfn.XLOOKUP(Tables!$L$842,'Input LwA_XYZ'!$AH$1:$AV$1,'Input LwA_XYZ'!AH54:AV54),0) &amp; " ft")</f>
        <v/>
      </c>
      <c r="R895" s="91" t="str">
        <f>IF($N895="","",IF(_xlfn.XLOOKUP(Tables!$L$842,'Input LwA_XYZ'!$BV$1:$CJ$1,'Input LwA_XYZ'!BV54:CJ54)="","-",_xlfn.XLOOKUP(Tables!$L$842,'Input LwA_XYZ'!$BV$1:$CJ$1,'Input LwA_XYZ'!BV54:CJ54)))</f>
        <v/>
      </c>
      <c r="S895" s="91" t="str">
        <f>IF($N895="","",IF('Input LwA_XYZ'!S54="","-",'Input LwA_XYZ'!S54))</f>
        <v/>
      </c>
      <c r="T895" s="65" t="str">
        <f>IF($N895="","",_xlfn.XLOOKUP(Tables!$L$842,'Input LwA_XYZ'!$DD$1:$DR$1,'Input LwA_XYZ'!DD54:DR54))</f>
        <v/>
      </c>
    </row>
    <row r="896" spans="14:20" ht="16.5" x14ac:dyDescent="0.3">
      <c r="N896" s="190" t="str">
        <f>IF('Input LwA_XYZ'!A55 = 0, "", 'Input LwA_XYZ'!A55)</f>
        <v/>
      </c>
      <c r="O896" s="189" t="str">
        <f>IF($N896="","",_xlfn.TEXTJOIN(" - ",TRUE,'Input LwA_XYZ'!B55:C55))</f>
        <v/>
      </c>
      <c r="P896" s="64" t="str">
        <f>IF($N896="","",'Input LwA_XYZ'!Q55)</f>
        <v/>
      </c>
      <c r="Q896" s="91" t="str">
        <f>IF($N896="","",-1*ROUND(_xlfn.XLOOKUP(Tables!$L$842,'Input LwA_XYZ'!$AY$1:$BM$1,'Input LwA_XYZ'!AY55:BM55),0) &amp; " / " &amp; ROUND(_xlfn.XLOOKUP(Tables!$L$842,'Input LwA_XYZ'!$AH$1:$AV$1,'Input LwA_XYZ'!AH55:AV55),0) &amp; " ft")</f>
        <v/>
      </c>
      <c r="R896" s="91" t="str">
        <f>IF($N896="","",IF(_xlfn.XLOOKUP(Tables!$L$842,'Input LwA_XYZ'!$BV$1:$CJ$1,'Input LwA_XYZ'!BV55:CJ55)="","-",_xlfn.XLOOKUP(Tables!$L$842,'Input LwA_XYZ'!$BV$1:$CJ$1,'Input LwA_XYZ'!BV55:CJ55)))</f>
        <v/>
      </c>
      <c r="S896" s="91" t="str">
        <f>IF($N896="","",IF('Input LwA_XYZ'!S55="","-",'Input LwA_XYZ'!S55))</f>
        <v/>
      </c>
      <c r="T896" s="65" t="str">
        <f>IF($N896="","",_xlfn.XLOOKUP(Tables!$L$842,'Input LwA_XYZ'!$DD$1:$DR$1,'Input LwA_XYZ'!DD55:DR55))</f>
        <v/>
      </c>
    </row>
    <row r="897" spans="14:20" ht="16.5" x14ac:dyDescent="0.3">
      <c r="N897" s="190" t="str">
        <f>IF('Input LwA_XYZ'!A56 = 0, "", 'Input LwA_XYZ'!A56)</f>
        <v/>
      </c>
      <c r="O897" s="189" t="str">
        <f>IF($N897="","",_xlfn.TEXTJOIN(" - ",TRUE,'Input LwA_XYZ'!B56:C56))</f>
        <v/>
      </c>
      <c r="P897" s="64" t="str">
        <f>IF($N897="","",'Input LwA_XYZ'!Q56)</f>
        <v/>
      </c>
      <c r="Q897" s="91" t="str">
        <f>IF($N897="","",-1*ROUND(_xlfn.XLOOKUP(Tables!$L$842,'Input LwA_XYZ'!$AY$1:$BM$1,'Input LwA_XYZ'!AY56:BM56),0) &amp; " / " &amp; ROUND(_xlfn.XLOOKUP(Tables!$L$842,'Input LwA_XYZ'!$AH$1:$AV$1,'Input LwA_XYZ'!AH56:AV56),0) &amp; " ft")</f>
        <v/>
      </c>
      <c r="R897" s="91" t="str">
        <f>IF($N897="","",IF(_xlfn.XLOOKUP(Tables!$L$842,'Input LwA_XYZ'!$BV$1:$CJ$1,'Input LwA_XYZ'!BV56:CJ56)="","-",_xlfn.XLOOKUP(Tables!$L$842,'Input LwA_XYZ'!$BV$1:$CJ$1,'Input LwA_XYZ'!BV56:CJ56)))</f>
        <v/>
      </c>
      <c r="S897" s="91" t="str">
        <f>IF($N897="","",IF('Input LwA_XYZ'!S56="","-",'Input LwA_XYZ'!S56))</f>
        <v/>
      </c>
      <c r="T897" s="65" t="str">
        <f>IF($N897="","",_xlfn.XLOOKUP(Tables!$L$842,'Input LwA_XYZ'!$DD$1:$DR$1,'Input LwA_XYZ'!DD56:DR56))</f>
        <v/>
      </c>
    </row>
    <row r="898" spans="14:20" ht="16.5" x14ac:dyDescent="0.3">
      <c r="N898" s="190" t="str">
        <f>IF('Input LwA_XYZ'!A57 = 0, "", 'Input LwA_XYZ'!A57)</f>
        <v/>
      </c>
      <c r="O898" s="189" t="str">
        <f>IF($N898="","",_xlfn.TEXTJOIN(" - ",TRUE,'Input LwA_XYZ'!B57:C57))</f>
        <v/>
      </c>
      <c r="P898" s="64" t="str">
        <f>IF($N898="","",'Input LwA_XYZ'!Q57)</f>
        <v/>
      </c>
      <c r="Q898" s="91" t="str">
        <f>IF($N898="","",-1*ROUND(_xlfn.XLOOKUP(Tables!$L$842,'Input LwA_XYZ'!$AY$1:$BM$1,'Input LwA_XYZ'!AY57:BM57),0) &amp; " / " &amp; ROUND(_xlfn.XLOOKUP(Tables!$L$842,'Input LwA_XYZ'!$AH$1:$AV$1,'Input LwA_XYZ'!AH57:AV57),0) &amp; " ft")</f>
        <v/>
      </c>
      <c r="R898" s="91" t="str">
        <f>IF($N898="","",IF(_xlfn.XLOOKUP(Tables!$L$842,'Input LwA_XYZ'!$BV$1:$CJ$1,'Input LwA_XYZ'!BV57:CJ57)="","-",_xlfn.XLOOKUP(Tables!$L$842,'Input LwA_XYZ'!$BV$1:$CJ$1,'Input LwA_XYZ'!BV57:CJ57)))</f>
        <v/>
      </c>
      <c r="S898" s="91" t="str">
        <f>IF($N898="","",IF('Input LwA_XYZ'!S57="","-",'Input LwA_XYZ'!S57))</f>
        <v/>
      </c>
      <c r="T898" s="65" t="str">
        <f>IF($N898="","",_xlfn.XLOOKUP(Tables!$L$842,'Input LwA_XYZ'!$DD$1:$DR$1,'Input LwA_XYZ'!DD57:DR57))</f>
        <v/>
      </c>
    </row>
    <row r="899" spans="14:20" ht="17.25" thickBot="1" x14ac:dyDescent="0.35">
      <c r="N899" s="191" t="str">
        <f>IF('Input LwA_XYZ'!A58 = 0, "", 'Input LwA_XYZ'!A58)</f>
        <v/>
      </c>
      <c r="O899" s="192" t="str">
        <f>IF($N899="","",_xlfn.TEXTJOIN(" - ",TRUE,'Input LwA_XYZ'!B58:C58))</f>
        <v/>
      </c>
      <c r="P899" s="99" t="str">
        <f>IF($N899="","",'Input LwA_XYZ'!Q58)</f>
        <v/>
      </c>
      <c r="Q899" s="100" t="str">
        <f>IF($N899="","",-1*ROUND(_xlfn.XLOOKUP(Tables!$L$842,'Input LwA_XYZ'!$AY$1:$BM$1,'Input LwA_XYZ'!AY58:BM58),0) &amp; " / " &amp; ROUND(_xlfn.XLOOKUP(Tables!$L$842,'Input LwA_XYZ'!$AH$1:$AV$1,'Input LwA_XYZ'!AH58:AV58),0) &amp; " ft")</f>
        <v/>
      </c>
      <c r="R899" s="91" t="str">
        <f>IF($N899="","",IF(_xlfn.XLOOKUP(Tables!$L$842,'Input LwA_XYZ'!$BV$1:$CJ$1,'Input LwA_XYZ'!BV58:CJ58)="","-",_xlfn.XLOOKUP(Tables!$L$842,'Input LwA_XYZ'!$BV$1:$CJ$1,'Input LwA_XYZ'!BV58:CJ58)))</f>
        <v/>
      </c>
      <c r="S899" s="91" t="str">
        <f>IF($N899="","",IF('Input LwA_XYZ'!S58="","-",'Input LwA_XYZ'!S58))</f>
        <v/>
      </c>
      <c r="T899" s="66" t="str">
        <f>IF($N899="","",_xlfn.XLOOKUP(Tables!$L$842,'Input LwA_XYZ'!$DD$1:$DR$1,'Input LwA_XYZ'!DD58:DR58))</f>
        <v/>
      </c>
    </row>
    <row r="900" spans="14:20" ht="17.25" thickBot="1" x14ac:dyDescent="0.35">
      <c r="N900" s="101" t="s">
        <v>85</v>
      </c>
      <c r="O900" s="102"/>
      <c r="P900" s="102"/>
      <c r="Q900" s="102"/>
      <c r="R900" s="102"/>
      <c r="S900" s="103"/>
      <c r="T900" s="108" t="str">
        <f>_xlfn.XLOOKUP(Tables!$L$842,'Input LwA_XYZ'!$Z$2:$Z$16,'Input LwA_XYZ'!$AE$2:$AE$16)</f>
        <v/>
      </c>
    </row>
  </sheetData>
  <conditionalFormatting sqref="H60">
    <cfRule type="expression" dxfId="33" priority="188">
      <formula>H60=J60+1</formula>
    </cfRule>
    <cfRule type="expression" dxfId="32" priority="189">
      <formula>H60&lt;=J60</formula>
    </cfRule>
  </conditionalFormatting>
  <conditionalFormatting sqref="J3:J1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31" priority="31">
      <formula>T60=V60+1</formula>
    </cfRule>
    <cfRule type="expression" dxfId="30" priority="32">
      <formula>T60&lt;=V60</formula>
    </cfRule>
  </conditionalFormatting>
  <conditionalFormatting sqref="T120">
    <cfRule type="expression" dxfId="29" priority="29">
      <formula>T120=W120+1</formula>
    </cfRule>
    <cfRule type="expression" dxfId="28" priority="30">
      <formula>T120&lt;=W120</formula>
    </cfRule>
  </conditionalFormatting>
  <conditionalFormatting sqref="T180">
    <cfRule type="expression" dxfId="27" priority="27">
      <formula>T180=V180+1</formula>
    </cfRule>
    <cfRule type="expression" dxfId="26" priority="28">
      <formula>T180&lt;=V180</formula>
    </cfRule>
  </conditionalFormatting>
  <conditionalFormatting sqref="T240">
    <cfRule type="expression" dxfId="25" priority="25">
      <formula>T240=W240+1</formula>
    </cfRule>
    <cfRule type="expression" dxfId="24" priority="26">
      <formula>T240&lt;=W240</formula>
    </cfRule>
  </conditionalFormatting>
  <conditionalFormatting sqref="T300">
    <cfRule type="expression" dxfId="23" priority="23">
      <formula>T300=V300+1</formula>
    </cfRule>
    <cfRule type="expression" dxfId="22" priority="24">
      <formula>T300&lt;=V300</formula>
    </cfRule>
  </conditionalFormatting>
  <conditionalFormatting sqref="T360">
    <cfRule type="expression" dxfId="21" priority="21">
      <formula>T360=W360+1</formula>
    </cfRule>
    <cfRule type="expression" dxfId="20" priority="22">
      <formula>T360&lt;=W360</formula>
    </cfRule>
  </conditionalFormatting>
  <conditionalFormatting sqref="T420">
    <cfRule type="expression" dxfId="19" priority="19">
      <formula>T420=V420+1</formula>
    </cfRule>
    <cfRule type="expression" dxfId="18" priority="20">
      <formula>T420&lt;=V420</formula>
    </cfRule>
  </conditionalFormatting>
  <conditionalFormatting sqref="T480">
    <cfRule type="expression" dxfId="17" priority="17">
      <formula>T480=W480+1</formula>
    </cfRule>
    <cfRule type="expression" dxfId="16" priority="18">
      <formula>T480&lt;=W480</formula>
    </cfRule>
  </conditionalFormatting>
  <conditionalFormatting sqref="T540">
    <cfRule type="expression" dxfId="15" priority="15">
      <formula>T540=V540+1</formula>
    </cfRule>
    <cfRule type="expression" dxfId="14" priority="16">
      <formula>T540&lt;=V540</formula>
    </cfRule>
  </conditionalFormatting>
  <conditionalFormatting sqref="T600">
    <cfRule type="expression" dxfId="13" priority="13">
      <formula>T600=W600+1</formula>
    </cfRule>
    <cfRule type="expression" dxfId="12" priority="14">
      <formula>T600&lt;=W600</formula>
    </cfRule>
  </conditionalFormatting>
  <conditionalFormatting sqref="T660">
    <cfRule type="expression" dxfId="11" priority="11">
      <formula>T660=V660+1</formula>
    </cfRule>
    <cfRule type="expression" dxfId="10" priority="12">
      <formula>T660&lt;=V660</formula>
    </cfRule>
  </conditionalFormatting>
  <conditionalFormatting sqref="T720">
    <cfRule type="expression" dxfId="9" priority="9">
      <formula>T720=W720+1</formula>
    </cfRule>
    <cfRule type="expression" dxfId="8" priority="10">
      <formula>T720&lt;=W720</formula>
    </cfRule>
  </conditionalFormatting>
  <conditionalFormatting sqref="T780">
    <cfRule type="expression" dxfId="7" priority="7">
      <formula>T780=V780+1</formula>
    </cfRule>
    <cfRule type="expression" dxfId="6" priority="8">
      <formula>T780&lt;=V780</formula>
    </cfRule>
  </conditionalFormatting>
  <conditionalFormatting sqref="T840">
    <cfRule type="expression" dxfId="5" priority="5">
      <formula>T840=W840+1</formula>
    </cfRule>
    <cfRule type="expression" dxfId="4" priority="6">
      <formula>T840&lt;=W840</formula>
    </cfRule>
  </conditionalFormatting>
  <conditionalFormatting sqref="T900">
    <cfRule type="expression" dxfId="3" priority="3">
      <formula>T900=V900+1</formula>
    </cfRule>
    <cfRule type="expression" dxfId="2" priority="4">
      <formula>T900&lt;=V900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 L842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2021-08-24T19:21:23Z</dcterms:modified>
</cp:coreProperties>
</file>