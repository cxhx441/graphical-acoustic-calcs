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xhx4\Documents\GitHub\graphical-acoustic-calcs\"/>
    </mc:Choice>
  </mc:AlternateContent>
  <xr:revisionPtr revIDLastSave="0" documentId="13_ncr:1_{7B930AAC-572E-41A4-BC52-C8BD72CC1AE8}" xr6:coauthVersionLast="45" xr6:coauthVersionMax="45" xr10:uidLastSave="{00000000-0000-0000-0000-000000000000}"/>
  <bookViews>
    <workbookView xWindow="-120" yWindow="-120" windowWidth="57840" windowHeight="23640" tabRatio="847" xr2:uid="{00000000-000D-0000-FFFF-FFFF00000000}"/>
  </bookViews>
  <sheets>
    <sheet name="Input LwA_XYZ" sheetId="1" r:id="rId1"/>
    <sheet name="Sheet1" sheetId="3" r:id="rId2"/>
    <sheet name="Tables" sheetId="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3" i="1" l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2" i="1"/>
  <c r="Q4" i="3" l="1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3" i="3"/>
  <c r="N7" i="1" a="1"/>
  <c r="N7" i="1" s="1"/>
  <c r="N6" i="1" a="1"/>
  <c r="N6" i="1" s="1"/>
  <c r="N5" i="1" a="1"/>
  <c r="N5" i="1" s="1"/>
  <c r="N4" i="1" a="1"/>
  <c r="N4" i="1" s="1"/>
  <c r="N3" i="1" a="1"/>
  <c r="N3" i="1" s="1"/>
  <c r="N2" i="1" a="1"/>
  <c r="N2" i="1" s="1"/>
  <c r="N4" i="3" l="1"/>
  <c r="O4" i="3"/>
  <c r="P4" i="3"/>
  <c r="N5" i="3"/>
  <c r="O5" i="3"/>
  <c r="P5" i="3"/>
  <c r="N6" i="3"/>
  <c r="O6" i="3"/>
  <c r="P6" i="3"/>
  <c r="N7" i="3"/>
  <c r="O7" i="3"/>
  <c r="P7" i="3"/>
  <c r="N8" i="3"/>
  <c r="O8" i="3"/>
  <c r="P8" i="3"/>
  <c r="N9" i="3"/>
  <c r="O9" i="3"/>
  <c r="P9" i="3"/>
  <c r="N10" i="3"/>
  <c r="O10" i="3"/>
  <c r="P10" i="3"/>
  <c r="N11" i="3"/>
  <c r="O11" i="3"/>
  <c r="P11" i="3"/>
  <c r="N12" i="3"/>
  <c r="O12" i="3"/>
  <c r="P12" i="3"/>
  <c r="N13" i="3"/>
  <c r="O13" i="3"/>
  <c r="P13" i="3"/>
  <c r="N14" i="3"/>
  <c r="O14" i="3"/>
  <c r="P14" i="3"/>
  <c r="N15" i="3"/>
  <c r="O15" i="3"/>
  <c r="P15" i="3"/>
  <c r="N16" i="3"/>
  <c r="O16" i="3"/>
  <c r="P16" i="3"/>
  <c r="N17" i="3"/>
  <c r="O17" i="3"/>
  <c r="P17" i="3"/>
  <c r="N18" i="3"/>
  <c r="O18" i="3"/>
  <c r="P18" i="3"/>
  <c r="N19" i="3"/>
  <c r="O19" i="3"/>
  <c r="P19" i="3"/>
  <c r="N20" i="3"/>
  <c r="O20" i="3"/>
  <c r="P20" i="3"/>
  <c r="N21" i="3"/>
  <c r="O21" i="3"/>
  <c r="P21" i="3"/>
  <c r="N22" i="3"/>
  <c r="O22" i="3"/>
  <c r="P22" i="3"/>
  <c r="N23" i="3"/>
  <c r="O23" i="3"/>
  <c r="P23" i="3"/>
  <c r="N24" i="3"/>
  <c r="O24" i="3"/>
  <c r="P24" i="3"/>
  <c r="N25" i="3"/>
  <c r="O25" i="3"/>
  <c r="P25" i="3"/>
  <c r="N26" i="3"/>
  <c r="O26" i="3"/>
  <c r="P26" i="3"/>
  <c r="N27" i="3"/>
  <c r="O27" i="3"/>
  <c r="P27" i="3"/>
  <c r="N28" i="3"/>
  <c r="O28" i="3"/>
  <c r="P28" i="3"/>
  <c r="N29" i="3"/>
  <c r="O29" i="3"/>
  <c r="P29" i="3"/>
  <c r="N30" i="3"/>
  <c r="O30" i="3"/>
  <c r="P30" i="3"/>
  <c r="N31" i="3"/>
  <c r="O31" i="3"/>
  <c r="P31" i="3"/>
  <c r="N32" i="3"/>
  <c r="O32" i="3"/>
  <c r="P32" i="3"/>
  <c r="N33" i="3"/>
  <c r="O33" i="3"/>
  <c r="P33" i="3"/>
  <c r="N34" i="3"/>
  <c r="O34" i="3"/>
  <c r="P34" i="3"/>
  <c r="N35" i="3"/>
  <c r="O35" i="3"/>
  <c r="P35" i="3"/>
  <c r="N36" i="3"/>
  <c r="O36" i="3"/>
  <c r="P36" i="3"/>
  <c r="N37" i="3"/>
  <c r="O37" i="3"/>
  <c r="P37" i="3"/>
  <c r="N38" i="3"/>
  <c r="O38" i="3"/>
  <c r="P38" i="3"/>
  <c r="N39" i="3"/>
  <c r="O39" i="3"/>
  <c r="P39" i="3"/>
  <c r="N40" i="3"/>
  <c r="O40" i="3"/>
  <c r="P40" i="3"/>
  <c r="N41" i="3"/>
  <c r="O41" i="3"/>
  <c r="P41" i="3"/>
  <c r="N42" i="3"/>
  <c r="O42" i="3"/>
  <c r="P42" i="3"/>
  <c r="N43" i="3"/>
  <c r="O43" i="3"/>
  <c r="P43" i="3"/>
  <c r="N44" i="3"/>
  <c r="O44" i="3"/>
  <c r="P44" i="3"/>
  <c r="N45" i="3"/>
  <c r="O45" i="3"/>
  <c r="P45" i="3"/>
  <c r="N46" i="3"/>
  <c r="O46" i="3"/>
  <c r="P46" i="3"/>
  <c r="N47" i="3"/>
  <c r="O47" i="3"/>
  <c r="P47" i="3"/>
  <c r="N48" i="3"/>
  <c r="O48" i="3"/>
  <c r="P48" i="3"/>
  <c r="N49" i="3"/>
  <c r="O49" i="3"/>
  <c r="P49" i="3"/>
  <c r="N50" i="3"/>
  <c r="O50" i="3"/>
  <c r="P50" i="3"/>
  <c r="N51" i="3"/>
  <c r="O51" i="3"/>
  <c r="P51" i="3"/>
  <c r="N52" i="3"/>
  <c r="O52" i="3"/>
  <c r="P52" i="3"/>
  <c r="N53" i="3"/>
  <c r="O53" i="3"/>
  <c r="P53" i="3"/>
  <c r="N54" i="3"/>
  <c r="O54" i="3"/>
  <c r="P54" i="3"/>
  <c r="N55" i="3"/>
  <c r="O55" i="3"/>
  <c r="P55" i="3"/>
  <c r="N56" i="3"/>
  <c r="O56" i="3"/>
  <c r="P56" i="3"/>
  <c r="N57" i="3"/>
  <c r="O57" i="3"/>
  <c r="P57" i="3"/>
  <c r="N58" i="3"/>
  <c r="O58" i="3"/>
  <c r="P58" i="3"/>
  <c r="N59" i="3"/>
  <c r="O59" i="3"/>
  <c r="P59" i="3"/>
  <c r="N60" i="3"/>
  <c r="O60" i="3"/>
  <c r="P60" i="3"/>
  <c r="N61" i="3"/>
  <c r="O61" i="3"/>
  <c r="P61" i="3"/>
  <c r="N62" i="3"/>
  <c r="O62" i="3"/>
  <c r="P62" i="3"/>
  <c r="N63" i="3"/>
  <c r="O63" i="3"/>
  <c r="P63" i="3"/>
  <c r="N64" i="3"/>
  <c r="O64" i="3"/>
  <c r="P64" i="3"/>
  <c r="N65" i="3"/>
  <c r="O65" i="3"/>
  <c r="P65" i="3"/>
  <c r="N66" i="3"/>
  <c r="O66" i="3"/>
  <c r="P66" i="3"/>
  <c r="N67" i="3"/>
  <c r="O67" i="3"/>
  <c r="P67" i="3"/>
  <c r="N68" i="3"/>
  <c r="O68" i="3"/>
  <c r="P68" i="3"/>
  <c r="N69" i="3"/>
  <c r="O69" i="3"/>
  <c r="P69" i="3"/>
  <c r="N70" i="3"/>
  <c r="O70" i="3"/>
  <c r="P70" i="3"/>
  <c r="N71" i="3"/>
  <c r="O71" i="3"/>
  <c r="P71" i="3"/>
  <c r="N72" i="3"/>
  <c r="O72" i="3"/>
  <c r="P72" i="3"/>
  <c r="N73" i="3"/>
  <c r="O73" i="3"/>
  <c r="P73" i="3"/>
  <c r="N74" i="3"/>
  <c r="O74" i="3"/>
  <c r="P74" i="3"/>
  <c r="N75" i="3"/>
  <c r="O75" i="3"/>
  <c r="P75" i="3"/>
  <c r="N76" i="3"/>
  <c r="O76" i="3"/>
  <c r="P76" i="3"/>
  <c r="N77" i="3"/>
  <c r="O77" i="3"/>
  <c r="P77" i="3"/>
  <c r="N78" i="3"/>
  <c r="O78" i="3"/>
  <c r="P78" i="3"/>
  <c r="N79" i="3"/>
  <c r="O79" i="3"/>
  <c r="P79" i="3"/>
  <c r="N80" i="3"/>
  <c r="O80" i="3"/>
  <c r="P80" i="3"/>
  <c r="N81" i="3"/>
  <c r="O81" i="3"/>
  <c r="P81" i="3"/>
  <c r="N82" i="3"/>
  <c r="O82" i="3"/>
  <c r="P82" i="3"/>
  <c r="N83" i="3"/>
  <c r="O83" i="3"/>
  <c r="P83" i="3"/>
  <c r="N84" i="3"/>
  <c r="O84" i="3"/>
  <c r="P84" i="3"/>
  <c r="N85" i="3"/>
  <c r="O85" i="3"/>
  <c r="P85" i="3"/>
  <c r="N86" i="3"/>
  <c r="O86" i="3"/>
  <c r="P86" i="3"/>
  <c r="N87" i="3"/>
  <c r="O87" i="3"/>
  <c r="P87" i="3"/>
  <c r="N88" i="3"/>
  <c r="O88" i="3"/>
  <c r="P88" i="3"/>
  <c r="N89" i="3"/>
  <c r="O89" i="3"/>
  <c r="P89" i="3"/>
  <c r="N90" i="3"/>
  <c r="O90" i="3"/>
  <c r="P90" i="3"/>
  <c r="N91" i="3"/>
  <c r="O91" i="3"/>
  <c r="P91" i="3"/>
  <c r="N92" i="3"/>
  <c r="O92" i="3"/>
  <c r="P92" i="3"/>
  <c r="N93" i="3"/>
  <c r="O93" i="3"/>
  <c r="P93" i="3"/>
  <c r="N94" i="3"/>
  <c r="O94" i="3"/>
  <c r="P94" i="3"/>
  <c r="N95" i="3"/>
  <c r="O95" i="3"/>
  <c r="P95" i="3"/>
  <c r="N96" i="3"/>
  <c r="O96" i="3"/>
  <c r="P96" i="3"/>
  <c r="N97" i="3"/>
  <c r="O97" i="3"/>
  <c r="P97" i="3"/>
  <c r="N98" i="3"/>
  <c r="O98" i="3"/>
  <c r="P98" i="3"/>
  <c r="N99" i="3"/>
  <c r="O99" i="3"/>
  <c r="P99" i="3"/>
  <c r="N100" i="3"/>
  <c r="O100" i="3"/>
  <c r="P100" i="3"/>
  <c r="N101" i="3"/>
  <c r="O101" i="3"/>
  <c r="P101" i="3"/>
  <c r="N102" i="3"/>
  <c r="O102" i="3"/>
  <c r="P102" i="3"/>
  <c r="N103" i="3"/>
  <c r="O103" i="3"/>
  <c r="P103" i="3"/>
  <c r="N104" i="3"/>
  <c r="O104" i="3"/>
  <c r="P104" i="3"/>
  <c r="N105" i="3"/>
  <c r="O105" i="3"/>
  <c r="P105" i="3"/>
  <c r="N106" i="3"/>
  <c r="O106" i="3"/>
  <c r="P106" i="3"/>
  <c r="N107" i="3"/>
  <c r="O107" i="3"/>
  <c r="P107" i="3"/>
  <c r="N108" i="3"/>
  <c r="O108" i="3"/>
  <c r="P108" i="3"/>
  <c r="N109" i="3"/>
  <c r="O109" i="3"/>
  <c r="P109" i="3"/>
  <c r="N110" i="3"/>
  <c r="O110" i="3"/>
  <c r="P110" i="3"/>
  <c r="N111" i="3"/>
  <c r="O111" i="3"/>
  <c r="P111" i="3"/>
  <c r="N112" i="3"/>
  <c r="O112" i="3"/>
  <c r="P112" i="3"/>
  <c r="N113" i="3"/>
  <c r="O113" i="3"/>
  <c r="P113" i="3"/>
  <c r="N114" i="3"/>
  <c r="O114" i="3"/>
  <c r="P114" i="3"/>
  <c r="N115" i="3"/>
  <c r="O115" i="3"/>
  <c r="P115" i="3"/>
  <c r="N116" i="3"/>
  <c r="O116" i="3"/>
  <c r="P116" i="3"/>
  <c r="N117" i="3"/>
  <c r="O117" i="3"/>
  <c r="P117" i="3"/>
  <c r="N118" i="3"/>
  <c r="O118" i="3"/>
  <c r="P118" i="3"/>
  <c r="N119" i="3"/>
  <c r="O119" i="3"/>
  <c r="P119" i="3"/>
  <c r="N120" i="3"/>
  <c r="O120" i="3"/>
  <c r="P120" i="3"/>
  <c r="N121" i="3"/>
  <c r="O121" i="3"/>
  <c r="P121" i="3"/>
  <c r="N122" i="3"/>
  <c r="O122" i="3"/>
  <c r="P122" i="3"/>
  <c r="N123" i="3"/>
  <c r="O123" i="3"/>
  <c r="P123" i="3"/>
  <c r="N124" i="3"/>
  <c r="O124" i="3"/>
  <c r="P124" i="3"/>
  <c r="N125" i="3"/>
  <c r="O125" i="3"/>
  <c r="P125" i="3"/>
  <c r="N126" i="3"/>
  <c r="O126" i="3"/>
  <c r="P126" i="3"/>
  <c r="N127" i="3"/>
  <c r="O127" i="3"/>
  <c r="P127" i="3"/>
  <c r="N128" i="3"/>
  <c r="O128" i="3"/>
  <c r="P128" i="3"/>
  <c r="N129" i="3"/>
  <c r="O129" i="3"/>
  <c r="P129" i="3"/>
  <c r="N130" i="3"/>
  <c r="O130" i="3"/>
  <c r="P130" i="3"/>
  <c r="N131" i="3"/>
  <c r="O131" i="3"/>
  <c r="P131" i="3"/>
  <c r="N132" i="3"/>
  <c r="O132" i="3"/>
  <c r="P132" i="3"/>
  <c r="N133" i="3"/>
  <c r="O133" i="3"/>
  <c r="P133" i="3"/>
  <c r="N134" i="3"/>
  <c r="O134" i="3"/>
  <c r="P134" i="3"/>
  <c r="N135" i="3"/>
  <c r="O135" i="3"/>
  <c r="P135" i="3"/>
  <c r="N136" i="3"/>
  <c r="O136" i="3"/>
  <c r="P136" i="3"/>
  <c r="N137" i="3"/>
  <c r="O137" i="3"/>
  <c r="P137" i="3"/>
  <c r="N138" i="3"/>
  <c r="O138" i="3"/>
  <c r="P138" i="3"/>
  <c r="N139" i="3"/>
  <c r="O139" i="3"/>
  <c r="P139" i="3"/>
  <c r="N140" i="3"/>
  <c r="O140" i="3"/>
  <c r="P140" i="3"/>
  <c r="N141" i="3"/>
  <c r="O141" i="3"/>
  <c r="P141" i="3"/>
  <c r="N142" i="3"/>
  <c r="O142" i="3"/>
  <c r="P142" i="3"/>
  <c r="N143" i="3"/>
  <c r="O143" i="3"/>
  <c r="P143" i="3"/>
  <c r="N144" i="3"/>
  <c r="O144" i="3"/>
  <c r="P144" i="3"/>
  <c r="N145" i="3"/>
  <c r="O145" i="3"/>
  <c r="P145" i="3"/>
  <c r="N146" i="3"/>
  <c r="O146" i="3"/>
  <c r="P146" i="3"/>
  <c r="N147" i="3"/>
  <c r="O147" i="3"/>
  <c r="P147" i="3"/>
  <c r="N148" i="3"/>
  <c r="O148" i="3"/>
  <c r="P148" i="3"/>
  <c r="N149" i="3"/>
  <c r="O149" i="3"/>
  <c r="P149" i="3"/>
  <c r="N150" i="3"/>
  <c r="O150" i="3"/>
  <c r="P150" i="3"/>
  <c r="N151" i="3"/>
  <c r="O151" i="3"/>
  <c r="P151" i="3"/>
  <c r="N152" i="3"/>
  <c r="O152" i="3"/>
  <c r="P152" i="3"/>
  <c r="N153" i="3"/>
  <c r="O153" i="3"/>
  <c r="P153" i="3"/>
  <c r="N154" i="3"/>
  <c r="O154" i="3"/>
  <c r="P154" i="3"/>
  <c r="N155" i="3"/>
  <c r="O155" i="3"/>
  <c r="P155" i="3"/>
  <c r="N156" i="3"/>
  <c r="O156" i="3"/>
  <c r="P156" i="3"/>
  <c r="N157" i="3"/>
  <c r="O157" i="3"/>
  <c r="P157" i="3"/>
  <c r="N158" i="3"/>
  <c r="O158" i="3"/>
  <c r="P158" i="3"/>
  <c r="N159" i="3"/>
  <c r="O159" i="3"/>
  <c r="P159" i="3"/>
  <c r="N160" i="3"/>
  <c r="O160" i="3"/>
  <c r="P160" i="3"/>
  <c r="N161" i="3"/>
  <c r="O161" i="3"/>
  <c r="P161" i="3"/>
  <c r="N162" i="3"/>
  <c r="O162" i="3"/>
  <c r="P162" i="3"/>
  <c r="N163" i="3"/>
  <c r="O163" i="3"/>
  <c r="P163" i="3"/>
  <c r="N164" i="3"/>
  <c r="O164" i="3"/>
  <c r="P164" i="3"/>
  <c r="N165" i="3"/>
  <c r="O165" i="3"/>
  <c r="P165" i="3"/>
  <c r="N166" i="3"/>
  <c r="O166" i="3"/>
  <c r="P166" i="3"/>
  <c r="N167" i="3"/>
  <c r="O167" i="3"/>
  <c r="P167" i="3"/>
  <c r="N168" i="3"/>
  <c r="O168" i="3"/>
  <c r="P168" i="3"/>
  <c r="N169" i="3"/>
  <c r="O169" i="3"/>
  <c r="P169" i="3"/>
  <c r="N170" i="3"/>
  <c r="O170" i="3"/>
  <c r="P170" i="3"/>
  <c r="N171" i="3"/>
  <c r="O171" i="3"/>
  <c r="P171" i="3"/>
  <c r="N172" i="3"/>
  <c r="O172" i="3"/>
  <c r="P172" i="3"/>
  <c r="N173" i="3"/>
  <c r="O173" i="3"/>
  <c r="P173" i="3"/>
  <c r="N174" i="3"/>
  <c r="O174" i="3"/>
  <c r="P174" i="3"/>
  <c r="N175" i="3"/>
  <c r="O175" i="3"/>
  <c r="P175" i="3"/>
  <c r="N176" i="3"/>
  <c r="O176" i="3"/>
  <c r="P176" i="3"/>
  <c r="N177" i="3"/>
  <c r="O177" i="3"/>
  <c r="P177" i="3"/>
  <c r="N178" i="3"/>
  <c r="O178" i="3"/>
  <c r="P178" i="3"/>
  <c r="N179" i="3"/>
  <c r="O179" i="3"/>
  <c r="P179" i="3"/>
  <c r="N180" i="3"/>
  <c r="O180" i="3"/>
  <c r="P180" i="3"/>
  <c r="N181" i="3"/>
  <c r="O181" i="3"/>
  <c r="P181" i="3"/>
  <c r="N182" i="3"/>
  <c r="O182" i="3"/>
  <c r="P182" i="3"/>
  <c r="N183" i="3"/>
  <c r="O183" i="3"/>
  <c r="P183" i="3"/>
  <c r="N184" i="3"/>
  <c r="O184" i="3"/>
  <c r="P184" i="3"/>
  <c r="N185" i="3"/>
  <c r="O185" i="3"/>
  <c r="P185" i="3"/>
  <c r="N186" i="3"/>
  <c r="O186" i="3"/>
  <c r="P186" i="3"/>
  <c r="N187" i="3"/>
  <c r="O187" i="3"/>
  <c r="P187" i="3"/>
  <c r="N188" i="3"/>
  <c r="O188" i="3"/>
  <c r="P188" i="3"/>
  <c r="N189" i="3"/>
  <c r="O189" i="3"/>
  <c r="P189" i="3"/>
  <c r="N190" i="3"/>
  <c r="O190" i="3"/>
  <c r="P190" i="3"/>
  <c r="N191" i="3"/>
  <c r="O191" i="3"/>
  <c r="P191" i="3"/>
  <c r="N192" i="3"/>
  <c r="O192" i="3"/>
  <c r="P192" i="3"/>
  <c r="N193" i="3"/>
  <c r="O193" i="3"/>
  <c r="P193" i="3"/>
  <c r="N194" i="3"/>
  <c r="O194" i="3"/>
  <c r="P194" i="3"/>
  <c r="N195" i="3"/>
  <c r="O195" i="3"/>
  <c r="P195" i="3"/>
  <c r="N196" i="3"/>
  <c r="O196" i="3"/>
  <c r="P196" i="3"/>
  <c r="N197" i="3"/>
  <c r="O197" i="3"/>
  <c r="P197" i="3"/>
  <c r="N198" i="3"/>
  <c r="O198" i="3"/>
  <c r="P198" i="3"/>
  <c r="N199" i="3"/>
  <c r="O199" i="3"/>
  <c r="P199" i="3"/>
  <c r="N200" i="3"/>
  <c r="O200" i="3"/>
  <c r="P200" i="3"/>
  <c r="N201" i="3"/>
  <c r="O201" i="3"/>
  <c r="P201" i="3"/>
  <c r="N202" i="3"/>
  <c r="O202" i="3"/>
  <c r="P202" i="3"/>
  <c r="N203" i="3"/>
  <c r="O203" i="3"/>
  <c r="P203" i="3"/>
  <c r="N204" i="3"/>
  <c r="O204" i="3"/>
  <c r="P204" i="3"/>
  <c r="N205" i="3"/>
  <c r="O205" i="3"/>
  <c r="P205" i="3"/>
  <c r="N206" i="3"/>
  <c r="O206" i="3"/>
  <c r="P206" i="3"/>
  <c r="N207" i="3"/>
  <c r="O207" i="3"/>
  <c r="P207" i="3"/>
  <c r="N208" i="3"/>
  <c r="O208" i="3"/>
  <c r="P208" i="3"/>
  <c r="N209" i="3"/>
  <c r="O209" i="3"/>
  <c r="P209" i="3"/>
  <c r="N210" i="3"/>
  <c r="O210" i="3"/>
  <c r="P210" i="3"/>
  <c r="N211" i="3"/>
  <c r="O211" i="3"/>
  <c r="P211" i="3"/>
  <c r="N212" i="3"/>
  <c r="O212" i="3"/>
  <c r="P212" i="3"/>
  <c r="N213" i="3"/>
  <c r="O213" i="3"/>
  <c r="P213" i="3"/>
  <c r="N214" i="3"/>
  <c r="O214" i="3"/>
  <c r="P214" i="3"/>
  <c r="N215" i="3"/>
  <c r="O215" i="3"/>
  <c r="P215" i="3"/>
  <c r="N216" i="3"/>
  <c r="O216" i="3"/>
  <c r="P216" i="3"/>
  <c r="N217" i="3"/>
  <c r="O217" i="3"/>
  <c r="P217" i="3"/>
  <c r="N218" i="3"/>
  <c r="O218" i="3"/>
  <c r="P218" i="3"/>
  <c r="N219" i="3"/>
  <c r="O219" i="3"/>
  <c r="P219" i="3"/>
  <c r="N220" i="3"/>
  <c r="O220" i="3"/>
  <c r="P220" i="3"/>
  <c r="N221" i="3"/>
  <c r="O221" i="3"/>
  <c r="P221" i="3"/>
  <c r="N222" i="3"/>
  <c r="O222" i="3"/>
  <c r="P222" i="3"/>
  <c r="N223" i="3"/>
  <c r="O223" i="3"/>
  <c r="P223" i="3"/>
  <c r="N224" i="3"/>
  <c r="O224" i="3"/>
  <c r="P224" i="3"/>
  <c r="N225" i="3"/>
  <c r="O225" i="3"/>
  <c r="P225" i="3"/>
  <c r="N226" i="3"/>
  <c r="O226" i="3"/>
  <c r="P226" i="3"/>
  <c r="N227" i="3"/>
  <c r="O227" i="3"/>
  <c r="P227" i="3"/>
  <c r="N228" i="3"/>
  <c r="O228" i="3"/>
  <c r="P228" i="3"/>
  <c r="N229" i="3"/>
  <c r="O229" i="3"/>
  <c r="P229" i="3"/>
  <c r="N230" i="3"/>
  <c r="O230" i="3"/>
  <c r="P230" i="3"/>
  <c r="N231" i="3"/>
  <c r="O231" i="3"/>
  <c r="P231" i="3"/>
  <c r="N232" i="3"/>
  <c r="O232" i="3"/>
  <c r="P232" i="3"/>
  <c r="N233" i="3"/>
  <c r="O233" i="3"/>
  <c r="P233" i="3"/>
  <c r="N234" i="3"/>
  <c r="O234" i="3"/>
  <c r="P234" i="3"/>
  <c r="N235" i="3"/>
  <c r="O235" i="3"/>
  <c r="P235" i="3"/>
  <c r="N236" i="3"/>
  <c r="O236" i="3"/>
  <c r="P236" i="3"/>
  <c r="N237" i="3"/>
  <c r="O237" i="3"/>
  <c r="P237" i="3"/>
  <c r="N238" i="3"/>
  <c r="O238" i="3"/>
  <c r="P238" i="3"/>
  <c r="N239" i="3"/>
  <c r="O239" i="3"/>
  <c r="P239" i="3"/>
  <c r="N240" i="3"/>
  <c r="O240" i="3"/>
  <c r="P240" i="3"/>
  <c r="N241" i="3"/>
  <c r="O241" i="3"/>
  <c r="P241" i="3"/>
  <c r="P3" i="3"/>
  <c r="O3" i="3"/>
  <c r="N3" i="3"/>
  <c r="J60" i="2" l="1"/>
  <c r="B59" i="2"/>
  <c r="D59" i="2" s="1"/>
  <c r="B58" i="2"/>
  <c r="E58" i="2" s="1"/>
  <c r="B57" i="2"/>
  <c r="F57" i="2" s="1"/>
  <c r="B56" i="2"/>
  <c r="B55" i="2"/>
  <c r="H55" i="2" s="1"/>
  <c r="B54" i="2"/>
  <c r="H54" i="2" s="1"/>
  <c r="B53" i="2"/>
  <c r="H53" i="2" s="1"/>
  <c r="B52" i="2"/>
  <c r="C52" i="2" s="1"/>
  <c r="B51" i="2"/>
  <c r="H51" i="2" s="1"/>
  <c r="B50" i="2"/>
  <c r="C50" i="2" s="1"/>
  <c r="B49" i="2"/>
  <c r="D49" i="2" s="1"/>
  <c r="B48" i="2"/>
  <c r="B47" i="2"/>
  <c r="F47" i="2" s="1"/>
  <c r="B46" i="2"/>
  <c r="H46" i="2" s="1"/>
  <c r="B45" i="2"/>
  <c r="H45" i="2" s="1"/>
  <c r="B44" i="2"/>
  <c r="C44" i="2" s="1"/>
  <c r="B43" i="2"/>
  <c r="H43" i="2" s="1"/>
  <c r="B42" i="2"/>
  <c r="C42" i="2" s="1"/>
  <c r="B41" i="2"/>
  <c r="D41" i="2" s="1"/>
  <c r="B40" i="2"/>
  <c r="B39" i="2"/>
  <c r="B38" i="2"/>
  <c r="B37" i="2"/>
  <c r="B36" i="2"/>
  <c r="C36" i="2" s="1"/>
  <c r="B35" i="2"/>
  <c r="B34" i="2"/>
  <c r="C34" i="2" s="1"/>
  <c r="B33" i="2"/>
  <c r="C33" i="2" s="1"/>
  <c r="B32" i="2"/>
  <c r="B31" i="2"/>
  <c r="B30" i="2"/>
  <c r="B29" i="2"/>
  <c r="C29" i="2" s="1"/>
  <c r="B28" i="2"/>
  <c r="C28" i="2" s="1"/>
  <c r="B27" i="2"/>
  <c r="B26" i="2"/>
  <c r="C26" i="2" s="1"/>
  <c r="B25" i="2"/>
  <c r="D25" i="2" s="1"/>
  <c r="B24" i="2"/>
  <c r="B23" i="2"/>
  <c r="B22" i="2"/>
  <c r="B21" i="2"/>
  <c r="B20" i="2"/>
  <c r="C20" i="2" s="1"/>
  <c r="B19" i="2"/>
  <c r="G19" i="2" s="1"/>
  <c r="B18" i="2"/>
  <c r="C18" i="2" s="1"/>
  <c r="B17" i="2"/>
  <c r="C17" i="2" s="1"/>
  <c r="B16" i="2"/>
  <c r="B15" i="2"/>
  <c r="B14" i="2"/>
  <c r="B13" i="2"/>
  <c r="B12" i="2"/>
  <c r="B11" i="2"/>
  <c r="B10" i="2"/>
  <c r="G10" i="2" s="1"/>
  <c r="B9" i="2"/>
  <c r="C9" i="2" s="1"/>
  <c r="B8" i="2"/>
  <c r="B7" i="2"/>
  <c r="C7" i="2" s="1"/>
  <c r="B6" i="2"/>
  <c r="B5" i="2"/>
  <c r="C5" i="2" s="1"/>
  <c r="B4" i="2"/>
  <c r="C4" i="2" s="1"/>
  <c r="B3" i="2"/>
  <c r="C3" i="2" s="1"/>
  <c r="U65" i="1" a="1"/>
  <c r="U65" i="1" s="1"/>
  <c r="CM60" i="1" a="1"/>
  <c r="CV60" i="1" s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BO33" i="1"/>
  <c r="BR31" i="1" s="1"/>
  <c r="V33" i="1"/>
  <c r="V32" i="1"/>
  <c r="BP31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BS7" i="1"/>
  <c r="BR7" i="1"/>
  <c r="BQ7" i="1"/>
  <c r="V7" i="1"/>
  <c r="BS6" i="1"/>
  <c r="BR6" i="1"/>
  <c r="BQ6" i="1"/>
  <c r="V6" i="1"/>
  <c r="BS5" i="1"/>
  <c r="BR5" i="1"/>
  <c r="BQ5" i="1"/>
  <c r="V5" i="1"/>
  <c r="BS4" i="1"/>
  <c r="BR4" i="1"/>
  <c r="BQ4" i="1"/>
  <c r="V4" i="1"/>
  <c r="V3" i="1"/>
  <c r="V2" i="1"/>
  <c r="AH1" i="1" a="1"/>
  <c r="E41" i="2" l="1"/>
  <c r="D4" i="2"/>
  <c r="E55" i="2"/>
  <c r="D18" i="2"/>
  <c r="E50" i="2"/>
  <c r="C55" i="2"/>
  <c r="D42" i="2"/>
  <c r="C51" i="2"/>
  <c r="G55" i="2"/>
  <c r="D34" i="2"/>
  <c r="H42" i="2"/>
  <c r="J42" i="2" s="1"/>
  <c r="F49" i="2"/>
  <c r="D51" i="2"/>
  <c r="G49" i="2"/>
  <c r="D26" i="2"/>
  <c r="H49" i="2"/>
  <c r="J49" i="2" s="1"/>
  <c r="D50" i="2"/>
  <c r="G18" i="2"/>
  <c r="C47" i="2"/>
  <c r="D52" i="2"/>
  <c r="D3" i="2"/>
  <c r="C41" i="2"/>
  <c r="E47" i="2"/>
  <c r="F52" i="2"/>
  <c r="G47" i="2"/>
  <c r="D44" i="2"/>
  <c r="G41" i="2"/>
  <c r="F44" i="2"/>
  <c r="F58" i="2"/>
  <c r="F41" i="2"/>
  <c r="H47" i="2"/>
  <c r="J47" i="2" s="1"/>
  <c r="D58" i="2"/>
  <c r="D9" i="2"/>
  <c r="H41" i="2"/>
  <c r="J41" i="2" s="1"/>
  <c r="BQ27" i="1"/>
  <c r="BQ30" i="1" s="1"/>
  <c r="BR28" i="1" s="1"/>
  <c r="BQ29" i="1"/>
  <c r="C43" i="2"/>
  <c r="C53" i="2"/>
  <c r="D43" i="2"/>
  <c r="C45" i="2"/>
  <c r="E51" i="2"/>
  <c r="E53" i="2"/>
  <c r="H58" i="2"/>
  <c r="J58" i="2" s="1"/>
  <c r="E43" i="2"/>
  <c r="E45" i="2"/>
  <c r="F51" i="2"/>
  <c r="G53" i="2"/>
  <c r="F43" i="2"/>
  <c r="G51" i="2"/>
  <c r="C57" i="2"/>
  <c r="C59" i="2"/>
  <c r="E42" i="2"/>
  <c r="G43" i="2"/>
  <c r="D46" i="2"/>
  <c r="C49" i="2"/>
  <c r="F50" i="2"/>
  <c r="D54" i="2"/>
  <c r="E57" i="2"/>
  <c r="E59" i="2"/>
  <c r="F42" i="2"/>
  <c r="E49" i="2"/>
  <c r="H50" i="2"/>
  <c r="J50" i="2" s="1"/>
  <c r="G57" i="2"/>
  <c r="G59" i="2"/>
  <c r="BS11" i="1"/>
  <c r="DA60" i="1"/>
  <c r="CO60" i="1"/>
  <c r="CP60" i="1"/>
  <c r="CQ60" i="1"/>
  <c r="CS60" i="1"/>
  <c r="CY60" i="1"/>
  <c r="CW60" i="1"/>
  <c r="CX60" i="1"/>
  <c r="BP17" i="1"/>
  <c r="C39" i="2"/>
  <c r="G39" i="2"/>
  <c r="D38" i="2"/>
  <c r="C37" i="2"/>
  <c r="D36" i="2"/>
  <c r="C35" i="2"/>
  <c r="D35" i="2"/>
  <c r="G35" i="2"/>
  <c r="G33" i="2"/>
  <c r="D33" i="2"/>
  <c r="C31" i="2"/>
  <c r="G31" i="2"/>
  <c r="D28" i="2"/>
  <c r="G27" i="2"/>
  <c r="C27" i="2"/>
  <c r="D27" i="2"/>
  <c r="G26" i="2"/>
  <c r="G25" i="2"/>
  <c r="C23" i="2"/>
  <c r="G23" i="2"/>
  <c r="C21" i="2"/>
  <c r="D20" i="2"/>
  <c r="C19" i="2"/>
  <c r="D19" i="2"/>
  <c r="D17" i="2"/>
  <c r="G17" i="2"/>
  <c r="D11" i="2"/>
  <c r="C13" i="2"/>
  <c r="C11" i="2"/>
  <c r="C15" i="2"/>
  <c r="G11" i="2"/>
  <c r="D12" i="2"/>
  <c r="G15" i="2"/>
  <c r="C12" i="2"/>
  <c r="C10" i="2"/>
  <c r="D10" i="2"/>
  <c r="G9" i="2"/>
  <c r="G7" i="2"/>
  <c r="G3" i="2"/>
  <c r="D6" i="2"/>
  <c r="BR8" i="1"/>
  <c r="BR10" i="1" s="1"/>
  <c r="BR9" i="1"/>
  <c r="BR11" i="1" s="1"/>
  <c r="BP8" i="1"/>
  <c r="AV1" i="1"/>
  <c r="AN1" i="1"/>
  <c r="AU1" i="1"/>
  <c r="AM1" i="1"/>
  <c r="AS1" i="1"/>
  <c r="AK1" i="1"/>
  <c r="AR1" i="1"/>
  <c r="AL1" i="1"/>
  <c r="AJ1" i="1"/>
  <c r="AO1" i="1"/>
  <c r="AI1" i="1"/>
  <c r="AT1" i="1"/>
  <c r="AP1" i="1"/>
  <c r="AH1" i="1"/>
  <c r="AQ1" i="1"/>
  <c r="BS10" i="1"/>
  <c r="BP16" i="1"/>
  <c r="BP18" i="1"/>
  <c r="BS8" i="1"/>
  <c r="BS9" i="1"/>
  <c r="G22" i="2"/>
  <c r="C22" i="2"/>
  <c r="G24" i="2"/>
  <c r="D24" i="2"/>
  <c r="C24" i="2"/>
  <c r="H56" i="2"/>
  <c r="G56" i="2"/>
  <c r="F56" i="2"/>
  <c r="E56" i="2"/>
  <c r="D56" i="2"/>
  <c r="C56" i="2"/>
  <c r="D22" i="2"/>
  <c r="J54" i="2"/>
  <c r="I54" i="2"/>
  <c r="G8" i="2"/>
  <c r="D8" i="2"/>
  <c r="C8" i="2"/>
  <c r="G14" i="2"/>
  <c r="C14" i="2"/>
  <c r="G30" i="2"/>
  <c r="C30" i="2"/>
  <c r="G32" i="2"/>
  <c r="D32" i="2"/>
  <c r="C32" i="2"/>
  <c r="J43" i="2"/>
  <c r="I43" i="2"/>
  <c r="G6" i="2"/>
  <c r="C6" i="2"/>
  <c r="D14" i="2"/>
  <c r="G16" i="2"/>
  <c r="D16" i="2"/>
  <c r="C16" i="2"/>
  <c r="D30" i="2"/>
  <c r="J45" i="2"/>
  <c r="I45" i="2"/>
  <c r="I55" i="2"/>
  <c r="J55" i="2"/>
  <c r="H40" i="2"/>
  <c r="G40" i="2"/>
  <c r="F40" i="2"/>
  <c r="E40" i="2"/>
  <c r="D40" i="2"/>
  <c r="C40" i="2"/>
  <c r="J51" i="2"/>
  <c r="I51" i="2"/>
  <c r="J53" i="2"/>
  <c r="I53" i="2"/>
  <c r="J46" i="2"/>
  <c r="I46" i="2"/>
  <c r="H48" i="2"/>
  <c r="G48" i="2"/>
  <c r="F48" i="2"/>
  <c r="E48" i="2"/>
  <c r="D48" i="2"/>
  <c r="C48" i="2"/>
  <c r="CR60" i="1"/>
  <c r="CZ60" i="1"/>
  <c r="D5" i="2"/>
  <c r="D13" i="2"/>
  <c r="D21" i="2"/>
  <c r="D29" i="2"/>
  <c r="G34" i="2"/>
  <c r="D37" i="2"/>
  <c r="C38" i="2"/>
  <c r="G42" i="2"/>
  <c r="E44" i="2"/>
  <c r="D45" i="2"/>
  <c r="C46" i="2"/>
  <c r="G50" i="2"/>
  <c r="E52" i="2"/>
  <c r="D53" i="2"/>
  <c r="C54" i="2"/>
  <c r="H57" i="2"/>
  <c r="G58" i="2"/>
  <c r="F59" i="2"/>
  <c r="CM60" i="1"/>
  <c r="CT60" i="1"/>
  <c r="G4" i="2"/>
  <c r="D7" i="2"/>
  <c r="G12" i="2"/>
  <c r="D15" i="2"/>
  <c r="G20" i="2"/>
  <c r="D23" i="2"/>
  <c r="G28" i="2"/>
  <c r="D31" i="2"/>
  <c r="G36" i="2"/>
  <c r="D39" i="2"/>
  <c r="G44" i="2"/>
  <c r="F45" i="2"/>
  <c r="E46" i="2"/>
  <c r="D47" i="2"/>
  <c r="G52" i="2"/>
  <c r="F53" i="2"/>
  <c r="E54" i="2"/>
  <c r="D55" i="2"/>
  <c r="H59" i="2"/>
  <c r="CU60" i="1"/>
  <c r="G5" i="2"/>
  <c r="G13" i="2"/>
  <c r="G21" i="2"/>
  <c r="C25" i="2"/>
  <c r="G29" i="2"/>
  <c r="G37" i="2"/>
  <c r="H44" i="2"/>
  <c r="G45" i="2"/>
  <c r="F46" i="2"/>
  <c r="H52" i="2"/>
  <c r="F54" i="2"/>
  <c r="CN60" i="1"/>
  <c r="G38" i="2"/>
  <c r="G46" i="2"/>
  <c r="G54" i="2"/>
  <c r="F55" i="2"/>
  <c r="D57" i="2"/>
  <c r="C58" i="2"/>
  <c r="I49" i="2" l="1"/>
  <c r="I42" i="2"/>
  <c r="I41" i="2"/>
  <c r="I47" i="2"/>
  <c r="BP29" i="1"/>
  <c r="BR30" i="1" s="1"/>
  <c r="I50" i="2"/>
  <c r="I58" i="2"/>
  <c r="BP19" i="1"/>
  <c r="BP11" i="1"/>
  <c r="BS12" i="1"/>
  <c r="BS13" i="1" s="1"/>
  <c r="J44" i="2"/>
  <c r="I44" i="2"/>
  <c r="AT58" i="1" a="1"/>
  <c r="AT58" i="1" s="1"/>
  <c r="BK58" i="1" s="1"/>
  <c r="AT55" i="1" a="1"/>
  <c r="AT55" i="1" s="1"/>
  <c r="BK55" i="1" s="1"/>
  <c r="AT50" i="1" a="1"/>
  <c r="AT50" i="1" s="1"/>
  <c r="BK50" i="1" s="1"/>
  <c r="AT49" i="1" a="1"/>
  <c r="AT49" i="1" s="1"/>
  <c r="BK49" i="1" s="1"/>
  <c r="AT48" i="1" a="1"/>
  <c r="AT48" i="1" s="1"/>
  <c r="BK48" i="1" s="1"/>
  <c r="AT51" i="1" a="1"/>
  <c r="AT51" i="1" s="1"/>
  <c r="BK51" i="1" s="1"/>
  <c r="AT52" i="1" a="1"/>
  <c r="AT52" i="1" s="1"/>
  <c r="BK52" i="1" s="1"/>
  <c r="AT57" i="1" a="1"/>
  <c r="AT57" i="1" s="1"/>
  <c r="BK57" i="1" s="1"/>
  <c r="AT56" i="1" a="1"/>
  <c r="AT56" i="1" s="1"/>
  <c r="BK56" i="1" s="1"/>
  <c r="AT43" i="1" a="1"/>
  <c r="AT43" i="1" s="1"/>
  <c r="BK43" i="1" s="1"/>
  <c r="AT44" i="1" a="1"/>
  <c r="AT44" i="1" s="1"/>
  <c r="BK44" i="1" s="1"/>
  <c r="AT40" i="1" a="1"/>
  <c r="AT40" i="1" s="1"/>
  <c r="BK40" i="1" s="1"/>
  <c r="AT45" i="1" a="1"/>
  <c r="AT45" i="1" s="1"/>
  <c r="BK45" i="1" s="1"/>
  <c r="AT41" i="1" a="1"/>
  <c r="AT41" i="1" s="1"/>
  <c r="BK41" i="1" s="1"/>
  <c r="AT54" i="1" a="1"/>
  <c r="AT54" i="1" s="1"/>
  <c r="BK54" i="1" s="1"/>
  <c r="AT53" i="1" a="1"/>
  <c r="AT53" i="1" s="1"/>
  <c r="BK53" i="1" s="1"/>
  <c r="AT47" i="1" a="1"/>
  <c r="AT47" i="1" s="1"/>
  <c r="BK47" i="1" s="1"/>
  <c r="AT46" i="1" a="1"/>
  <c r="AT46" i="1" s="1"/>
  <c r="BK46" i="1" s="1"/>
  <c r="AT35" i="1" a="1"/>
  <c r="AT35" i="1" s="1"/>
  <c r="BK35" i="1" s="1"/>
  <c r="AT36" i="1" a="1"/>
  <c r="AT36" i="1" s="1"/>
  <c r="BK36" i="1" s="1"/>
  <c r="AT39" i="1" a="1"/>
  <c r="AT39" i="1" s="1"/>
  <c r="BK39" i="1" s="1"/>
  <c r="AT37" i="1" a="1"/>
  <c r="AT37" i="1" s="1"/>
  <c r="BK37" i="1" s="1"/>
  <c r="AT32" i="1" a="1"/>
  <c r="AT32" i="1" s="1"/>
  <c r="BK32" i="1" s="1"/>
  <c r="AT31" i="1" a="1"/>
  <c r="AT31" i="1" s="1"/>
  <c r="BK31" i="1" s="1"/>
  <c r="AT33" i="1" a="1"/>
  <c r="AT33" i="1" s="1"/>
  <c r="BK33" i="1" s="1"/>
  <c r="AT42" i="1" a="1"/>
  <c r="AT42" i="1" s="1"/>
  <c r="BK42" i="1" s="1"/>
  <c r="AT38" i="1" a="1"/>
  <c r="AT38" i="1" s="1"/>
  <c r="BK38" i="1" s="1"/>
  <c r="AT30" i="1" a="1"/>
  <c r="AT30" i="1" s="1"/>
  <c r="BK30" i="1" s="1"/>
  <c r="AT25" i="1" a="1"/>
  <c r="AT25" i="1" s="1"/>
  <c r="BK25" i="1" s="1"/>
  <c r="AT34" i="1" a="1"/>
  <c r="AT34" i="1" s="1"/>
  <c r="BK34" i="1" s="1"/>
  <c r="AT29" i="1" a="1"/>
  <c r="AT29" i="1" s="1"/>
  <c r="BK29" i="1" s="1"/>
  <c r="AT26" i="1" a="1"/>
  <c r="AT26" i="1" s="1"/>
  <c r="BK26" i="1" s="1"/>
  <c r="AT22" i="1" a="1"/>
  <c r="AT22" i="1" s="1"/>
  <c r="BK22" i="1" s="1"/>
  <c r="AT28" i="1" a="1"/>
  <c r="AT28" i="1" s="1"/>
  <c r="BK28" i="1" s="1"/>
  <c r="AT27" i="1" a="1"/>
  <c r="AT27" i="1" s="1"/>
  <c r="BK27" i="1" s="1"/>
  <c r="AT23" i="1" a="1"/>
  <c r="AT23" i="1" s="1"/>
  <c r="BK23" i="1" s="1"/>
  <c r="AT24" i="1" a="1"/>
  <c r="AT24" i="1" s="1"/>
  <c r="BK24" i="1" s="1"/>
  <c r="AT14" i="1" a="1"/>
  <c r="AT14" i="1" s="1"/>
  <c r="BK14" i="1" s="1"/>
  <c r="AT15" i="1" a="1"/>
  <c r="AT15" i="1" s="1"/>
  <c r="BK15" i="1" s="1"/>
  <c r="AT13" i="1" a="1"/>
  <c r="AT13" i="1" s="1"/>
  <c r="BK13" i="1" s="1"/>
  <c r="AT12" i="1" a="1"/>
  <c r="AT12" i="1" s="1"/>
  <c r="BK12" i="1" s="1"/>
  <c r="AT21" i="1" a="1"/>
  <c r="AT21" i="1" s="1"/>
  <c r="BK21" i="1" s="1"/>
  <c r="AT16" i="1" a="1"/>
  <c r="AT16" i="1" s="1"/>
  <c r="BK16" i="1" s="1"/>
  <c r="AT17" i="1" a="1"/>
  <c r="AT17" i="1" s="1"/>
  <c r="BK17" i="1" s="1"/>
  <c r="AT18" i="1" a="1"/>
  <c r="AT18" i="1" s="1"/>
  <c r="BK18" i="1" s="1"/>
  <c r="AT19" i="1" a="1"/>
  <c r="AT19" i="1" s="1"/>
  <c r="BK19" i="1" s="1"/>
  <c r="AT7" i="1" a="1"/>
  <c r="AT7" i="1" s="1"/>
  <c r="BK7" i="1" s="1"/>
  <c r="AT11" i="1" a="1"/>
  <c r="AT11" i="1" s="1"/>
  <c r="BK11" i="1" s="1"/>
  <c r="AT6" i="1" a="1"/>
  <c r="AT6" i="1" s="1"/>
  <c r="BK6" i="1" s="1"/>
  <c r="AT3" i="1" a="1"/>
  <c r="AT3" i="1" s="1"/>
  <c r="BK3" i="1" s="1"/>
  <c r="AT5" i="1" a="1"/>
  <c r="AT5" i="1" s="1"/>
  <c r="BK5" i="1" s="1"/>
  <c r="AT20" i="1" a="1"/>
  <c r="AT20" i="1" s="1"/>
  <c r="BK20" i="1" s="1"/>
  <c r="AT10" i="1" a="1"/>
  <c r="AT10" i="1" s="1"/>
  <c r="BK10" i="1" s="1"/>
  <c r="AT9" i="1" a="1"/>
  <c r="AT9" i="1" s="1"/>
  <c r="BK9" i="1" s="1"/>
  <c r="AT8" i="1" a="1"/>
  <c r="AT8" i="1" s="1"/>
  <c r="BK8" i="1" s="1"/>
  <c r="AT2" i="1" a="1"/>
  <c r="AT2" i="1" s="1"/>
  <c r="BK2" i="1" s="1"/>
  <c r="AT4" i="1" a="1"/>
  <c r="AT4" i="1" s="1"/>
  <c r="BK4" i="1" s="1"/>
  <c r="BK1" i="1"/>
  <c r="CY1" i="1"/>
  <c r="CH1" i="1"/>
  <c r="AS57" i="1" a="1"/>
  <c r="AS57" i="1" s="1"/>
  <c r="BJ57" i="1" s="1"/>
  <c r="AS58" i="1" a="1"/>
  <c r="AS58" i="1" s="1"/>
  <c r="BJ58" i="1" s="1"/>
  <c r="AS56" i="1" a="1"/>
  <c r="AS56" i="1" s="1"/>
  <c r="BJ56" i="1" s="1"/>
  <c r="AS54" i="1" a="1"/>
  <c r="AS54" i="1" s="1"/>
  <c r="BJ54" i="1" s="1"/>
  <c r="AS55" i="1" a="1"/>
  <c r="AS55" i="1" s="1"/>
  <c r="BJ55" i="1" s="1"/>
  <c r="AS50" i="1" a="1"/>
  <c r="AS50" i="1" s="1"/>
  <c r="BJ50" i="1" s="1"/>
  <c r="AS49" i="1" a="1"/>
  <c r="AS49" i="1" s="1"/>
  <c r="BJ49" i="1" s="1"/>
  <c r="AS48" i="1" a="1"/>
  <c r="AS48" i="1" s="1"/>
  <c r="BJ48" i="1" s="1"/>
  <c r="AS51" i="1" a="1"/>
  <c r="AS51" i="1" s="1"/>
  <c r="BJ51" i="1" s="1"/>
  <c r="AS47" i="1" a="1"/>
  <c r="AS47" i="1" s="1"/>
  <c r="BJ47" i="1" s="1"/>
  <c r="AS46" i="1" a="1"/>
  <c r="AS46" i="1" s="1"/>
  <c r="BJ46" i="1" s="1"/>
  <c r="AS42" i="1" a="1"/>
  <c r="AS42" i="1" s="1"/>
  <c r="BJ42" i="1" s="1"/>
  <c r="AS43" i="1" a="1"/>
  <c r="AS43" i="1" s="1"/>
  <c r="BJ43" i="1" s="1"/>
  <c r="AS44" i="1" a="1"/>
  <c r="AS44" i="1" s="1"/>
  <c r="BJ44" i="1" s="1"/>
  <c r="AS40" i="1" a="1"/>
  <c r="AS40" i="1" s="1"/>
  <c r="BJ40" i="1" s="1"/>
  <c r="AS45" i="1" a="1"/>
  <c r="AS45" i="1" s="1"/>
  <c r="BJ45" i="1" s="1"/>
  <c r="AS41" i="1" a="1"/>
  <c r="AS41" i="1" s="1"/>
  <c r="BJ41" i="1" s="1"/>
  <c r="AS38" i="1" a="1"/>
  <c r="AS38" i="1" s="1"/>
  <c r="BJ38" i="1" s="1"/>
  <c r="AS34" i="1" a="1"/>
  <c r="AS34" i="1" s="1"/>
  <c r="BJ34" i="1" s="1"/>
  <c r="AS35" i="1" a="1"/>
  <c r="AS35" i="1" s="1"/>
  <c r="BJ35" i="1" s="1"/>
  <c r="AS52" i="1" a="1"/>
  <c r="AS52" i="1" s="1"/>
  <c r="BJ52" i="1" s="1"/>
  <c r="AS39" i="1" a="1"/>
  <c r="AS39" i="1" s="1"/>
  <c r="BJ39" i="1" s="1"/>
  <c r="AS36" i="1" a="1"/>
  <c r="AS36" i="1" s="1"/>
  <c r="BJ36" i="1" s="1"/>
  <c r="AS37" i="1" a="1"/>
  <c r="AS37" i="1" s="1"/>
  <c r="BJ37" i="1" s="1"/>
  <c r="AS24" i="1" a="1"/>
  <c r="AS24" i="1" s="1"/>
  <c r="BJ24" i="1" s="1"/>
  <c r="AS30" i="1" a="1"/>
  <c r="AS30" i="1" s="1"/>
  <c r="BJ30" i="1" s="1"/>
  <c r="AS25" i="1" a="1"/>
  <c r="AS25" i="1" s="1"/>
  <c r="BJ25" i="1" s="1"/>
  <c r="AS53" i="1" a="1"/>
  <c r="AS53" i="1" s="1"/>
  <c r="BJ53" i="1" s="1"/>
  <c r="AS21" i="1" a="1"/>
  <c r="AS21" i="1" s="1"/>
  <c r="BJ21" i="1" s="1"/>
  <c r="AS29" i="1" a="1"/>
  <c r="AS29" i="1" s="1"/>
  <c r="BJ29" i="1" s="1"/>
  <c r="AS26" i="1" a="1"/>
  <c r="AS26" i="1" s="1"/>
  <c r="BJ26" i="1" s="1"/>
  <c r="AS28" i="1" a="1"/>
  <c r="AS28" i="1" s="1"/>
  <c r="BJ28" i="1" s="1"/>
  <c r="AS27" i="1" a="1"/>
  <c r="AS27" i="1" s="1"/>
  <c r="BJ27" i="1" s="1"/>
  <c r="AS33" i="1" a="1"/>
  <c r="AS33" i="1" s="1"/>
  <c r="BJ33" i="1" s="1"/>
  <c r="AS32" i="1" a="1"/>
  <c r="AS32" i="1" s="1"/>
  <c r="BJ32" i="1" s="1"/>
  <c r="AS23" i="1" a="1"/>
  <c r="AS23" i="1" s="1"/>
  <c r="BJ23" i="1" s="1"/>
  <c r="AS31" i="1" a="1"/>
  <c r="AS31" i="1" s="1"/>
  <c r="BJ31" i="1" s="1"/>
  <c r="AS19" i="1" a="1"/>
  <c r="AS19" i="1" s="1"/>
  <c r="BJ19" i="1" s="1"/>
  <c r="AS20" i="1" a="1"/>
  <c r="AS20" i="1" s="1"/>
  <c r="BJ20" i="1" s="1"/>
  <c r="AS22" i="1" a="1"/>
  <c r="AS22" i="1" s="1"/>
  <c r="BJ22" i="1" s="1"/>
  <c r="AS14" i="1" a="1"/>
  <c r="AS14" i="1" s="1"/>
  <c r="BJ14" i="1" s="1"/>
  <c r="AS15" i="1" a="1"/>
  <c r="AS15" i="1" s="1"/>
  <c r="BJ15" i="1" s="1"/>
  <c r="AS13" i="1" a="1"/>
  <c r="AS13" i="1" s="1"/>
  <c r="BJ13" i="1" s="1"/>
  <c r="AS12" i="1" a="1"/>
  <c r="AS12" i="1" s="1"/>
  <c r="BJ12" i="1" s="1"/>
  <c r="AS16" i="1" a="1"/>
  <c r="AS16" i="1" s="1"/>
  <c r="BJ16" i="1" s="1"/>
  <c r="AS17" i="1" a="1"/>
  <c r="AS17" i="1" s="1"/>
  <c r="BJ17" i="1" s="1"/>
  <c r="AS9" i="1" a="1"/>
  <c r="AS9" i="1" s="1"/>
  <c r="BJ9" i="1" s="1"/>
  <c r="AS8" i="1" a="1"/>
  <c r="AS8" i="1" s="1"/>
  <c r="BJ8" i="1" s="1"/>
  <c r="AS2" i="1" a="1"/>
  <c r="AS2" i="1" s="1"/>
  <c r="BJ2" i="1" s="1"/>
  <c r="AS11" i="1" a="1"/>
  <c r="AS11" i="1" s="1"/>
  <c r="BJ11" i="1" s="1"/>
  <c r="AS7" i="1" a="1"/>
  <c r="AS7" i="1" s="1"/>
  <c r="BJ7" i="1" s="1"/>
  <c r="AS6" i="1" a="1"/>
  <c r="AS6" i="1" s="1"/>
  <c r="BJ6" i="1" s="1"/>
  <c r="AS18" i="1" a="1"/>
  <c r="AS18" i="1" s="1"/>
  <c r="BJ18" i="1" s="1"/>
  <c r="AS10" i="1" a="1"/>
  <c r="AS10" i="1" s="1"/>
  <c r="BJ10" i="1" s="1"/>
  <c r="AS5" i="1" a="1"/>
  <c r="AS5" i="1" s="1"/>
  <c r="BJ5" i="1" s="1"/>
  <c r="CG1" i="1"/>
  <c r="AS4" i="1" a="1"/>
  <c r="AS4" i="1" s="1"/>
  <c r="BJ4" i="1" s="1"/>
  <c r="AS3" i="1" a="1"/>
  <c r="AS3" i="1" s="1"/>
  <c r="BJ3" i="1" s="1"/>
  <c r="BJ1" i="1"/>
  <c r="CX1" i="1"/>
  <c r="AI51" i="1" a="1"/>
  <c r="AI51" i="1" s="1"/>
  <c r="AZ51" i="1" s="1"/>
  <c r="AI56" i="1" a="1"/>
  <c r="AI56" i="1" s="1"/>
  <c r="AZ56" i="1" s="1"/>
  <c r="AI52" i="1" a="1"/>
  <c r="AI52" i="1" s="1"/>
  <c r="AZ52" i="1" s="1"/>
  <c r="AI53" i="1" a="1"/>
  <c r="AI53" i="1" s="1"/>
  <c r="AZ53" i="1" s="1"/>
  <c r="AI57" i="1" a="1"/>
  <c r="AI57" i="1" s="1"/>
  <c r="AZ57" i="1" s="1"/>
  <c r="AI58" i="1" a="1"/>
  <c r="AI58" i="1" s="1"/>
  <c r="AZ58" i="1" s="1"/>
  <c r="AI44" i="1" a="1"/>
  <c r="AI44" i="1" s="1"/>
  <c r="AZ44" i="1" s="1"/>
  <c r="AI40" i="1" a="1"/>
  <c r="AI40" i="1" s="1"/>
  <c r="AZ40" i="1" s="1"/>
  <c r="AI55" i="1" a="1"/>
  <c r="AI55" i="1" s="1"/>
  <c r="AZ55" i="1" s="1"/>
  <c r="AI54" i="1" a="1"/>
  <c r="AI54" i="1" s="1"/>
  <c r="AZ54" i="1" s="1"/>
  <c r="AI45" i="1" a="1"/>
  <c r="AI45" i="1" s="1"/>
  <c r="AZ45" i="1" s="1"/>
  <c r="AI41" i="1" a="1"/>
  <c r="AI41" i="1" s="1"/>
  <c r="AZ41" i="1" s="1"/>
  <c r="AI47" i="1" a="1"/>
  <c r="AI47" i="1" s="1"/>
  <c r="AZ47" i="1" s="1"/>
  <c r="AI46" i="1" a="1"/>
  <c r="AI46" i="1" s="1"/>
  <c r="AZ46" i="1" s="1"/>
  <c r="AI42" i="1" a="1"/>
  <c r="AI42" i="1" s="1"/>
  <c r="AZ42" i="1" s="1"/>
  <c r="AI49" i="1" a="1"/>
  <c r="AI49" i="1" s="1"/>
  <c r="AZ49" i="1" s="1"/>
  <c r="AI50" i="1" a="1"/>
  <c r="AI50" i="1" s="1"/>
  <c r="AZ50" i="1" s="1"/>
  <c r="AI48" i="1" a="1"/>
  <c r="AI48" i="1" s="1"/>
  <c r="AZ48" i="1" s="1"/>
  <c r="AI43" i="1" a="1"/>
  <c r="AI43" i="1" s="1"/>
  <c r="AZ43" i="1" s="1"/>
  <c r="AI36" i="1" a="1"/>
  <c r="AI36" i="1" s="1"/>
  <c r="AZ36" i="1" s="1"/>
  <c r="AI37" i="1" a="1"/>
  <c r="AI37" i="1" s="1"/>
  <c r="AZ37" i="1" s="1"/>
  <c r="AI32" i="1" a="1"/>
  <c r="AI32" i="1" s="1"/>
  <c r="AZ32" i="1" s="1"/>
  <c r="AI31" i="1" a="1"/>
  <c r="AI31" i="1" s="1"/>
  <c r="AZ31" i="1" s="1"/>
  <c r="AI33" i="1" a="1"/>
  <c r="AI33" i="1" s="1"/>
  <c r="AZ33" i="1" s="1"/>
  <c r="AI38" i="1" a="1"/>
  <c r="AI38" i="1" s="1"/>
  <c r="AZ38" i="1" s="1"/>
  <c r="AI34" i="1" a="1"/>
  <c r="AI34" i="1" s="1"/>
  <c r="AZ34" i="1" s="1"/>
  <c r="AI39" i="1" a="1"/>
  <c r="AI39" i="1" s="1"/>
  <c r="AZ39" i="1" s="1"/>
  <c r="AI35" i="1" a="1"/>
  <c r="AI35" i="1" s="1"/>
  <c r="AZ35" i="1" s="1"/>
  <c r="AI29" i="1" a="1"/>
  <c r="AI29" i="1" s="1"/>
  <c r="AZ29" i="1" s="1"/>
  <c r="AI26" i="1" a="1"/>
  <c r="AI26" i="1" s="1"/>
  <c r="AZ26" i="1" s="1"/>
  <c r="AI22" i="1" a="1"/>
  <c r="AI22" i="1" s="1"/>
  <c r="AZ22" i="1" s="1"/>
  <c r="AI28" i="1" a="1"/>
  <c r="AI28" i="1" s="1"/>
  <c r="AZ28" i="1" s="1"/>
  <c r="AI27" i="1" a="1"/>
  <c r="AI27" i="1" s="1"/>
  <c r="AZ27" i="1" s="1"/>
  <c r="AI23" i="1" a="1"/>
  <c r="AI23" i="1" s="1"/>
  <c r="AZ23" i="1" s="1"/>
  <c r="AI24" i="1" a="1"/>
  <c r="AI24" i="1" s="1"/>
  <c r="AZ24" i="1" s="1"/>
  <c r="AI25" i="1" a="1"/>
  <c r="AI25" i="1" s="1"/>
  <c r="AZ25" i="1" s="1"/>
  <c r="AI30" i="1" a="1"/>
  <c r="AI30" i="1" s="1"/>
  <c r="AZ30" i="1" s="1"/>
  <c r="AI12" i="1" a="1"/>
  <c r="AI12" i="1" s="1"/>
  <c r="AZ12" i="1" s="1"/>
  <c r="AI16" i="1" a="1"/>
  <c r="AI16" i="1" s="1"/>
  <c r="AZ16" i="1" s="1"/>
  <c r="AI11" i="1" a="1"/>
  <c r="AI11" i="1" s="1"/>
  <c r="AZ11" i="1" s="1"/>
  <c r="AI17" i="1" a="1"/>
  <c r="AI17" i="1" s="1"/>
  <c r="AZ17" i="1" s="1"/>
  <c r="AI18" i="1" a="1"/>
  <c r="AI18" i="1" s="1"/>
  <c r="AZ18" i="1" s="1"/>
  <c r="AI19" i="1" a="1"/>
  <c r="AI19" i="1" s="1"/>
  <c r="AZ19" i="1" s="1"/>
  <c r="AI20" i="1" a="1"/>
  <c r="AI20" i="1" s="1"/>
  <c r="AZ20" i="1" s="1"/>
  <c r="AI21" i="1" a="1"/>
  <c r="AI21" i="1" s="1"/>
  <c r="AZ21" i="1" s="1"/>
  <c r="CN21" i="1" s="1"/>
  <c r="AI14" i="1" a="1"/>
  <c r="AI14" i="1" s="1"/>
  <c r="AZ14" i="1" s="1"/>
  <c r="AI5" i="1" a="1"/>
  <c r="AI5" i="1" s="1"/>
  <c r="AZ5" i="1" s="1"/>
  <c r="CN1" i="1"/>
  <c r="AI13" i="1" a="1"/>
  <c r="AI13" i="1" s="1"/>
  <c r="AZ13" i="1" s="1"/>
  <c r="CN13" i="1" s="1"/>
  <c r="AI4" i="1" a="1"/>
  <c r="AI4" i="1" s="1"/>
  <c r="AZ4" i="1" s="1"/>
  <c r="AI10" i="1" a="1"/>
  <c r="AI10" i="1" s="1"/>
  <c r="AZ10" i="1" s="1"/>
  <c r="CN10" i="1" s="1"/>
  <c r="AI9" i="1" a="1"/>
  <c r="AI9" i="1" s="1"/>
  <c r="AZ9" i="1" s="1"/>
  <c r="AI15" i="1" a="1"/>
  <c r="AI15" i="1" s="1"/>
  <c r="AZ15" i="1" s="1"/>
  <c r="CN15" i="1" s="1"/>
  <c r="AI8" i="1" a="1"/>
  <c r="AI8" i="1" s="1"/>
  <c r="AZ8" i="1" s="1"/>
  <c r="CN8" i="1" s="1"/>
  <c r="AI7" i="1" a="1"/>
  <c r="AI7" i="1" s="1"/>
  <c r="AZ7" i="1" s="1"/>
  <c r="AI6" i="1" a="1"/>
  <c r="AI6" i="1" s="1"/>
  <c r="AZ6" i="1" s="1"/>
  <c r="AI3" i="1" a="1"/>
  <c r="AI3" i="1" s="1"/>
  <c r="AZ3" i="1" s="1"/>
  <c r="BW1" i="1"/>
  <c r="AI2" i="1" a="1"/>
  <c r="AI2" i="1" s="1"/>
  <c r="AZ2" i="1" s="1"/>
  <c r="AZ1" i="1"/>
  <c r="AO54" i="1" a="1"/>
  <c r="AO54" i="1" s="1"/>
  <c r="BF54" i="1" s="1"/>
  <c r="AO55" i="1" a="1"/>
  <c r="AO55" i="1" s="1"/>
  <c r="BF55" i="1" s="1"/>
  <c r="AO50" i="1" a="1"/>
  <c r="AO50" i="1" s="1"/>
  <c r="BF50" i="1" s="1"/>
  <c r="AO49" i="1" a="1"/>
  <c r="AO49" i="1" s="1"/>
  <c r="BF49" i="1" s="1"/>
  <c r="AO48" i="1" a="1"/>
  <c r="AO48" i="1" s="1"/>
  <c r="BF48" i="1" s="1"/>
  <c r="AO51" i="1" a="1"/>
  <c r="AO51" i="1" s="1"/>
  <c r="BF51" i="1" s="1"/>
  <c r="AO57" i="1" a="1"/>
  <c r="AO57" i="1" s="1"/>
  <c r="BF57" i="1" s="1"/>
  <c r="AO58" i="1" a="1"/>
  <c r="AO58" i="1" s="1"/>
  <c r="BF58" i="1" s="1"/>
  <c r="AO56" i="1" a="1"/>
  <c r="AO56" i="1" s="1"/>
  <c r="BF56" i="1" s="1"/>
  <c r="AO47" i="1" a="1"/>
  <c r="AO47" i="1" s="1"/>
  <c r="BF47" i="1" s="1"/>
  <c r="AO46" i="1" a="1"/>
  <c r="AO46" i="1" s="1"/>
  <c r="BF46" i="1" s="1"/>
  <c r="AO42" i="1" a="1"/>
  <c r="AO42" i="1" s="1"/>
  <c r="BF42" i="1" s="1"/>
  <c r="AO53" i="1" a="1"/>
  <c r="AO53" i="1" s="1"/>
  <c r="BF53" i="1" s="1"/>
  <c r="AO52" i="1" a="1"/>
  <c r="AO52" i="1" s="1"/>
  <c r="BF52" i="1" s="1"/>
  <c r="AO43" i="1" a="1"/>
  <c r="AO43" i="1" s="1"/>
  <c r="BF43" i="1" s="1"/>
  <c r="AO44" i="1" a="1"/>
  <c r="AO44" i="1" s="1"/>
  <c r="BF44" i="1" s="1"/>
  <c r="AO40" i="1" a="1"/>
  <c r="AO40" i="1" s="1"/>
  <c r="BF40" i="1" s="1"/>
  <c r="AO45" i="1" a="1"/>
  <c r="AO45" i="1" s="1"/>
  <c r="BF45" i="1" s="1"/>
  <c r="AO38" i="1" a="1"/>
  <c r="AO38" i="1" s="1"/>
  <c r="BF38" i="1" s="1"/>
  <c r="AO34" i="1" a="1"/>
  <c r="AO34" i="1" s="1"/>
  <c r="BF34" i="1" s="1"/>
  <c r="AO41" i="1" a="1"/>
  <c r="AO41" i="1" s="1"/>
  <c r="BF41" i="1" s="1"/>
  <c r="AO39" i="1" a="1"/>
  <c r="AO39" i="1" s="1"/>
  <c r="BF39" i="1" s="1"/>
  <c r="AO35" i="1" a="1"/>
  <c r="AO35" i="1" s="1"/>
  <c r="BF35" i="1" s="1"/>
  <c r="AO36" i="1" a="1"/>
  <c r="AO36" i="1" s="1"/>
  <c r="BF36" i="1" s="1"/>
  <c r="AO37" i="1" a="1"/>
  <c r="AO37" i="1" s="1"/>
  <c r="BF37" i="1" s="1"/>
  <c r="AO33" i="1" a="1"/>
  <c r="AO33" i="1" s="1"/>
  <c r="BF33" i="1" s="1"/>
  <c r="AO32" i="1" a="1"/>
  <c r="AO32" i="1" s="1"/>
  <c r="BF32" i="1" s="1"/>
  <c r="AO24" i="1" a="1"/>
  <c r="AO24" i="1" s="1"/>
  <c r="BF24" i="1" s="1"/>
  <c r="AO31" i="1" a="1"/>
  <c r="AO31" i="1" s="1"/>
  <c r="BF31" i="1" s="1"/>
  <c r="AO25" i="1" a="1"/>
  <c r="AO25" i="1" s="1"/>
  <c r="BF25" i="1" s="1"/>
  <c r="AO21" i="1" a="1"/>
  <c r="AO21" i="1" s="1"/>
  <c r="BF21" i="1" s="1"/>
  <c r="AO29" i="1" a="1"/>
  <c r="AO29" i="1" s="1"/>
  <c r="BF29" i="1" s="1"/>
  <c r="AO26" i="1" a="1"/>
  <c r="AO26" i="1" s="1"/>
  <c r="BF26" i="1" s="1"/>
  <c r="AO30" i="1" a="1"/>
  <c r="AO30" i="1" s="1"/>
  <c r="BF30" i="1" s="1"/>
  <c r="AO28" i="1" a="1"/>
  <c r="AO28" i="1" s="1"/>
  <c r="BF28" i="1" s="1"/>
  <c r="AO27" i="1" a="1"/>
  <c r="AO27" i="1" s="1"/>
  <c r="BF27" i="1" s="1"/>
  <c r="AO23" i="1" a="1"/>
  <c r="AO23" i="1" s="1"/>
  <c r="BF23" i="1" s="1"/>
  <c r="AO19" i="1" a="1"/>
  <c r="AO19" i="1" s="1"/>
  <c r="BF19" i="1" s="1"/>
  <c r="AO20" i="1" a="1"/>
  <c r="AO20" i="1" s="1"/>
  <c r="BF20" i="1" s="1"/>
  <c r="AO14" i="1" a="1"/>
  <c r="AO14" i="1" s="1"/>
  <c r="BF14" i="1" s="1"/>
  <c r="AO15" i="1" a="1"/>
  <c r="AO15" i="1" s="1"/>
  <c r="BF15" i="1" s="1"/>
  <c r="AO13" i="1" a="1"/>
  <c r="AO13" i="1" s="1"/>
  <c r="BF13" i="1" s="1"/>
  <c r="AO12" i="1" a="1"/>
  <c r="AO12" i="1" s="1"/>
  <c r="BF12" i="1" s="1"/>
  <c r="AO22" i="1" a="1"/>
  <c r="AO22" i="1" s="1"/>
  <c r="BF22" i="1" s="1"/>
  <c r="AO16" i="1" a="1"/>
  <c r="AO16" i="1" s="1"/>
  <c r="BF16" i="1" s="1"/>
  <c r="AO17" i="1" a="1"/>
  <c r="AO17" i="1" s="1"/>
  <c r="BF17" i="1" s="1"/>
  <c r="AO18" i="1" a="1"/>
  <c r="AO18" i="1" s="1"/>
  <c r="BF18" i="1" s="1"/>
  <c r="AO9" i="1" a="1"/>
  <c r="AO9" i="1" s="1"/>
  <c r="BF9" i="1" s="1"/>
  <c r="BF1" i="1"/>
  <c r="AO8" i="1" a="1"/>
  <c r="AO8" i="1" s="1"/>
  <c r="BF8" i="1" s="1"/>
  <c r="AO2" i="1" a="1"/>
  <c r="AO2" i="1" s="1"/>
  <c r="BF2" i="1" s="1"/>
  <c r="CC1" i="1"/>
  <c r="AO7" i="1" a="1"/>
  <c r="AO7" i="1" s="1"/>
  <c r="BF7" i="1" s="1"/>
  <c r="AO6" i="1" a="1"/>
  <c r="AO6" i="1" s="1"/>
  <c r="BF6" i="1" s="1"/>
  <c r="AO11" i="1" a="1"/>
  <c r="AO11" i="1" s="1"/>
  <c r="BF11" i="1" s="1"/>
  <c r="AO10" i="1" a="1"/>
  <c r="AO10" i="1" s="1"/>
  <c r="BF10" i="1" s="1"/>
  <c r="AO5" i="1" a="1"/>
  <c r="AO5" i="1" s="1"/>
  <c r="BF5" i="1" s="1"/>
  <c r="CT1" i="1"/>
  <c r="AO4" i="1" a="1"/>
  <c r="AO4" i="1" s="1"/>
  <c r="BF4" i="1" s="1"/>
  <c r="AO3" i="1" a="1"/>
  <c r="AO3" i="1" s="1"/>
  <c r="BF3" i="1" s="1"/>
  <c r="AJ53" i="1" a="1"/>
  <c r="AJ53" i="1" s="1"/>
  <c r="BA53" i="1" s="1"/>
  <c r="AJ57" i="1" a="1"/>
  <c r="AJ57" i="1" s="1"/>
  <c r="BA57" i="1" s="1"/>
  <c r="AJ54" i="1" a="1"/>
  <c r="AJ54" i="1" s="1"/>
  <c r="BA54" i="1" s="1"/>
  <c r="AJ58" i="1" a="1"/>
  <c r="AJ58" i="1" s="1"/>
  <c r="BA58" i="1" s="1"/>
  <c r="AJ51" i="1" a="1"/>
  <c r="AJ51" i="1" s="1"/>
  <c r="BA51" i="1" s="1"/>
  <c r="AJ56" i="1" a="1"/>
  <c r="AJ56" i="1" s="1"/>
  <c r="BA56" i="1" s="1"/>
  <c r="AJ55" i="1" a="1"/>
  <c r="AJ55" i="1" s="1"/>
  <c r="BA55" i="1" s="1"/>
  <c r="AJ45" i="1" a="1"/>
  <c r="AJ45" i="1" s="1"/>
  <c r="BA45" i="1" s="1"/>
  <c r="AJ41" i="1" a="1"/>
  <c r="AJ41" i="1" s="1"/>
  <c r="BA41" i="1" s="1"/>
  <c r="AJ47" i="1" a="1"/>
  <c r="AJ47" i="1" s="1"/>
  <c r="BA47" i="1" s="1"/>
  <c r="AJ46" i="1" a="1"/>
  <c r="AJ46" i="1" s="1"/>
  <c r="BA46" i="1" s="1"/>
  <c r="AJ42" i="1" a="1"/>
  <c r="AJ42" i="1" s="1"/>
  <c r="BA42" i="1" s="1"/>
  <c r="AJ52" i="1" a="1"/>
  <c r="AJ52" i="1" s="1"/>
  <c r="BA52" i="1" s="1"/>
  <c r="AJ49" i="1" a="1"/>
  <c r="AJ49" i="1" s="1"/>
  <c r="BA49" i="1" s="1"/>
  <c r="AJ43" i="1" a="1"/>
  <c r="AJ43" i="1" s="1"/>
  <c r="BA43" i="1" s="1"/>
  <c r="AJ50" i="1" a="1"/>
  <c r="AJ50" i="1" s="1"/>
  <c r="BA50" i="1" s="1"/>
  <c r="AJ48" i="1" a="1"/>
  <c r="AJ48" i="1" s="1"/>
  <c r="BA48" i="1" s="1"/>
  <c r="AJ44" i="1" a="1"/>
  <c r="AJ44" i="1" s="1"/>
  <c r="BA44" i="1" s="1"/>
  <c r="AJ37" i="1" a="1"/>
  <c r="AJ37" i="1" s="1"/>
  <c r="BA37" i="1" s="1"/>
  <c r="AJ32" i="1" a="1"/>
  <c r="AJ32" i="1" s="1"/>
  <c r="BA32" i="1" s="1"/>
  <c r="AJ31" i="1" a="1"/>
  <c r="AJ31" i="1" s="1"/>
  <c r="BA31" i="1" s="1"/>
  <c r="AJ33" i="1" a="1"/>
  <c r="AJ33" i="1" s="1"/>
  <c r="BA33" i="1" s="1"/>
  <c r="AJ38" i="1" a="1"/>
  <c r="AJ38" i="1" s="1"/>
  <c r="BA38" i="1" s="1"/>
  <c r="AJ34" i="1" a="1"/>
  <c r="AJ34" i="1" s="1"/>
  <c r="BA34" i="1" s="1"/>
  <c r="AJ40" i="1" a="1"/>
  <c r="AJ40" i="1" s="1"/>
  <c r="BA40" i="1" s="1"/>
  <c r="AJ39" i="1" a="1"/>
  <c r="AJ39" i="1" s="1"/>
  <c r="BA39" i="1" s="1"/>
  <c r="AJ35" i="1" a="1"/>
  <c r="AJ35" i="1" s="1"/>
  <c r="BA35" i="1" s="1"/>
  <c r="AJ36" i="1" a="1"/>
  <c r="AJ36" i="1" s="1"/>
  <c r="BA36" i="1" s="1"/>
  <c r="AJ23" i="1" a="1"/>
  <c r="AJ23" i="1" s="1"/>
  <c r="BA23" i="1" s="1"/>
  <c r="AJ24" i="1" a="1"/>
  <c r="AJ24" i="1" s="1"/>
  <c r="BA24" i="1" s="1"/>
  <c r="AJ25" i="1" a="1"/>
  <c r="AJ25" i="1" s="1"/>
  <c r="BA25" i="1" s="1"/>
  <c r="AJ30" i="1" a="1"/>
  <c r="AJ30" i="1" s="1"/>
  <c r="BA30" i="1" s="1"/>
  <c r="AJ29" i="1" a="1"/>
  <c r="AJ29" i="1" s="1"/>
  <c r="BA29" i="1" s="1"/>
  <c r="AJ26" i="1" a="1"/>
  <c r="AJ26" i="1" s="1"/>
  <c r="BA26" i="1" s="1"/>
  <c r="AJ28" i="1" a="1"/>
  <c r="AJ28" i="1" s="1"/>
  <c r="BA28" i="1" s="1"/>
  <c r="AJ27" i="1" a="1"/>
  <c r="AJ27" i="1" s="1"/>
  <c r="BA27" i="1" s="1"/>
  <c r="AJ17" i="1" a="1"/>
  <c r="AJ17" i="1" s="1"/>
  <c r="BA17" i="1" s="1"/>
  <c r="AJ18" i="1" a="1"/>
  <c r="AJ18" i="1" s="1"/>
  <c r="BA18" i="1" s="1"/>
  <c r="AJ19" i="1" a="1"/>
  <c r="AJ19" i="1" s="1"/>
  <c r="BA19" i="1" s="1"/>
  <c r="AJ22" i="1" a="1"/>
  <c r="AJ22" i="1" s="1"/>
  <c r="BA22" i="1" s="1"/>
  <c r="AJ20" i="1" a="1"/>
  <c r="AJ20" i="1" s="1"/>
  <c r="BA20" i="1" s="1"/>
  <c r="AJ21" i="1" a="1"/>
  <c r="AJ21" i="1" s="1"/>
  <c r="BA21" i="1" s="1"/>
  <c r="AJ14" i="1" a="1"/>
  <c r="AJ14" i="1" s="1"/>
  <c r="BA14" i="1" s="1"/>
  <c r="AJ15" i="1" a="1"/>
  <c r="AJ15" i="1" s="1"/>
  <c r="BA15" i="1" s="1"/>
  <c r="AJ13" i="1" a="1"/>
  <c r="AJ13" i="1" s="1"/>
  <c r="BA13" i="1" s="1"/>
  <c r="AJ12" i="1" a="1"/>
  <c r="AJ12" i="1" s="1"/>
  <c r="BA12" i="1" s="1"/>
  <c r="AJ10" i="1" a="1"/>
  <c r="AJ10" i="1" s="1"/>
  <c r="BA10" i="1" s="1"/>
  <c r="AJ9" i="1" a="1"/>
  <c r="AJ9" i="1" s="1"/>
  <c r="BA9" i="1" s="1"/>
  <c r="AJ16" i="1" a="1"/>
  <c r="AJ16" i="1" s="1"/>
  <c r="BA16" i="1" s="1"/>
  <c r="AJ8" i="1" a="1"/>
  <c r="AJ8" i="1" s="1"/>
  <c r="BA8" i="1" s="1"/>
  <c r="AJ7" i="1" a="1"/>
  <c r="AJ7" i="1" s="1"/>
  <c r="BA7" i="1" s="1"/>
  <c r="AJ6" i="1" a="1"/>
  <c r="AJ6" i="1" s="1"/>
  <c r="BA6" i="1" s="1"/>
  <c r="AJ11" i="1" a="1"/>
  <c r="AJ11" i="1" s="1"/>
  <c r="BA11" i="1" s="1"/>
  <c r="AJ5" i="1" a="1"/>
  <c r="AJ5" i="1" s="1"/>
  <c r="BA5" i="1" s="1"/>
  <c r="AJ4" i="1" a="1"/>
  <c r="AJ4" i="1" s="1"/>
  <c r="BA4" i="1" s="1"/>
  <c r="AJ3" i="1" a="1"/>
  <c r="AJ3" i="1" s="1"/>
  <c r="BA3" i="1" s="1"/>
  <c r="AJ2" i="1" a="1"/>
  <c r="AJ2" i="1" s="1"/>
  <c r="BA2" i="1" s="1"/>
  <c r="BA1" i="1"/>
  <c r="CO1" i="1"/>
  <c r="BX1" i="1"/>
  <c r="J57" i="2"/>
  <c r="I57" i="2"/>
  <c r="I48" i="2"/>
  <c r="J48" i="2"/>
  <c r="I40" i="2"/>
  <c r="J40" i="2"/>
  <c r="I56" i="2"/>
  <c r="J56" i="2"/>
  <c r="AL57" i="1" a="1"/>
  <c r="AL57" i="1" s="1"/>
  <c r="BC57" i="1" s="1"/>
  <c r="AL55" i="1" a="1"/>
  <c r="AL55" i="1" s="1"/>
  <c r="BC55" i="1" s="1"/>
  <c r="AL50" i="1" a="1"/>
  <c r="AL50" i="1" s="1"/>
  <c r="BC50" i="1" s="1"/>
  <c r="AL49" i="1" a="1"/>
  <c r="AL49" i="1" s="1"/>
  <c r="BC49" i="1" s="1"/>
  <c r="AL48" i="1" a="1"/>
  <c r="AL48" i="1" s="1"/>
  <c r="BC48" i="1" s="1"/>
  <c r="AL58" i="1" a="1"/>
  <c r="AL58" i="1" s="1"/>
  <c r="BC58" i="1" s="1"/>
  <c r="AL51" i="1" a="1"/>
  <c r="AL51" i="1" s="1"/>
  <c r="BC51" i="1" s="1"/>
  <c r="AL56" i="1" a="1"/>
  <c r="AL56" i="1" s="1"/>
  <c r="BC56" i="1" s="1"/>
  <c r="AL52" i="1" a="1"/>
  <c r="AL52" i="1" s="1"/>
  <c r="BC52" i="1" s="1"/>
  <c r="AL43" i="1" a="1"/>
  <c r="AL43" i="1" s="1"/>
  <c r="BC43" i="1" s="1"/>
  <c r="AL54" i="1" a="1"/>
  <c r="AL54" i="1" s="1"/>
  <c r="BC54" i="1" s="1"/>
  <c r="AL53" i="1" a="1"/>
  <c r="AL53" i="1" s="1"/>
  <c r="BC53" i="1" s="1"/>
  <c r="AL44" i="1" a="1"/>
  <c r="AL44" i="1" s="1"/>
  <c r="BC44" i="1" s="1"/>
  <c r="AL40" i="1" a="1"/>
  <c r="AL40" i="1" s="1"/>
  <c r="BC40" i="1" s="1"/>
  <c r="AL45" i="1" a="1"/>
  <c r="AL45" i="1" s="1"/>
  <c r="BC45" i="1" s="1"/>
  <c r="AL41" i="1" a="1"/>
  <c r="AL41" i="1" s="1"/>
  <c r="BC41" i="1" s="1"/>
  <c r="AL47" i="1" a="1"/>
  <c r="AL47" i="1" s="1"/>
  <c r="BC47" i="1" s="1"/>
  <c r="AL46" i="1" a="1"/>
  <c r="AL46" i="1" s="1"/>
  <c r="BC46" i="1" s="1"/>
  <c r="AL39" i="1" a="1"/>
  <c r="AL39" i="1" s="1"/>
  <c r="BC39" i="1" s="1"/>
  <c r="AL35" i="1" a="1"/>
  <c r="AL35" i="1" s="1"/>
  <c r="BC35" i="1" s="1"/>
  <c r="AL42" i="1" a="1"/>
  <c r="AL42" i="1" s="1"/>
  <c r="BC42" i="1" s="1"/>
  <c r="AL36" i="1" a="1"/>
  <c r="AL36" i="1" s="1"/>
  <c r="BC36" i="1" s="1"/>
  <c r="AL37" i="1" a="1"/>
  <c r="AL37" i="1" s="1"/>
  <c r="BC37" i="1" s="1"/>
  <c r="AL32" i="1" a="1"/>
  <c r="AL32" i="1" s="1"/>
  <c r="BC32" i="1" s="1"/>
  <c r="AL31" i="1" a="1"/>
  <c r="AL31" i="1" s="1"/>
  <c r="BC31" i="1" s="1"/>
  <c r="AL33" i="1" a="1"/>
  <c r="AL33" i="1" s="1"/>
  <c r="BC33" i="1" s="1"/>
  <c r="AL38" i="1" a="1"/>
  <c r="AL38" i="1" s="1"/>
  <c r="BC38" i="1" s="1"/>
  <c r="AL25" i="1" a="1"/>
  <c r="AL25" i="1" s="1"/>
  <c r="BC25" i="1" s="1"/>
  <c r="AL30" i="1" a="1"/>
  <c r="AL30" i="1" s="1"/>
  <c r="BC30" i="1" s="1"/>
  <c r="AL29" i="1" a="1"/>
  <c r="AL29" i="1" s="1"/>
  <c r="BC29" i="1" s="1"/>
  <c r="AL26" i="1" a="1"/>
  <c r="AL26" i="1" s="1"/>
  <c r="BC26" i="1" s="1"/>
  <c r="AL22" i="1" a="1"/>
  <c r="AL22" i="1" s="1"/>
  <c r="BC22" i="1" s="1"/>
  <c r="AL28" i="1" a="1"/>
  <c r="AL28" i="1" s="1"/>
  <c r="BC28" i="1" s="1"/>
  <c r="AL27" i="1" a="1"/>
  <c r="AL27" i="1" s="1"/>
  <c r="BC27" i="1" s="1"/>
  <c r="AL23" i="1" a="1"/>
  <c r="AL23" i="1" s="1"/>
  <c r="BC23" i="1" s="1"/>
  <c r="AL34" i="1" a="1"/>
  <c r="AL34" i="1" s="1"/>
  <c r="BC34" i="1" s="1"/>
  <c r="AL24" i="1" a="1"/>
  <c r="AL24" i="1" s="1"/>
  <c r="BC24" i="1" s="1"/>
  <c r="AL21" i="1" a="1"/>
  <c r="AL21" i="1" s="1"/>
  <c r="BC21" i="1" s="1"/>
  <c r="AL14" i="1" a="1"/>
  <c r="AL14" i="1" s="1"/>
  <c r="BC14" i="1" s="1"/>
  <c r="AL15" i="1" a="1"/>
  <c r="AL15" i="1" s="1"/>
  <c r="BC15" i="1" s="1"/>
  <c r="AL13" i="1" a="1"/>
  <c r="AL13" i="1" s="1"/>
  <c r="BC13" i="1" s="1"/>
  <c r="AL12" i="1" a="1"/>
  <c r="AL12" i="1" s="1"/>
  <c r="BC12" i="1" s="1"/>
  <c r="AL16" i="1" a="1"/>
  <c r="AL16" i="1" s="1"/>
  <c r="BC16" i="1" s="1"/>
  <c r="AL17" i="1" a="1"/>
  <c r="AL17" i="1" s="1"/>
  <c r="BC17" i="1" s="1"/>
  <c r="AL18" i="1" a="1"/>
  <c r="AL18" i="1" s="1"/>
  <c r="BC18" i="1" s="1"/>
  <c r="AL19" i="1" a="1"/>
  <c r="AL19" i="1" s="1"/>
  <c r="BC19" i="1" s="1"/>
  <c r="AL7" i="1" a="1"/>
  <c r="AL7" i="1" s="1"/>
  <c r="BC7" i="1" s="1"/>
  <c r="AL6" i="1" a="1"/>
  <c r="AL6" i="1" s="1"/>
  <c r="BC6" i="1" s="1"/>
  <c r="AL3" i="1" a="1"/>
  <c r="AL3" i="1" s="1"/>
  <c r="BC3" i="1" s="1"/>
  <c r="AL5" i="1" a="1"/>
  <c r="AL5" i="1" s="1"/>
  <c r="BC5" i="1" s="1"/>
  <c r="AL11" i="1" a="1"/>
  <c r="AL11" i="1" s="1"/>
  <c r="BC11" i="1" s="1"/>
  <c r="AL20" i="1" a="1"/>
  <c r="AL20" i="1" s="1"/>
  <c r="BC20" i="1" s="1"/>
  <c r="AL10" i="1" a="1"/>
  <c r="AL10" i="1" s="1"/>
  <c r="BC10" i="1" s="1"/>
  <c r="AL9" i="1" a="1"/>
  <c r="AL9" i="1" s="1"/>
  <c r="BC9" i="1" s="1"/>
  <c r="AL8" i="1" a="1"/>
  <c r="AL8" i="1" s="1"/>
  <c r="BC8" i="1" s="1"/>
  <c r="AL2" i="1" a="1"/>
  <c r="AL2" i="1" s="1"/>
  <c r="BC2" i="1" s="1"/>
  <c r="BC1" i="1"/>
  <c r="CQ1" i="1"/>
  <c r="BZ1" i="1"/>
  <c r="AL4" i="1" a="1"/>
  <c r="AL4" i="1" s="1"/>
  <c r="BC4" i="1" s="1"/>
  <c r="AM57" i="1" a="1"/>
  <c r="AM57" i="1" s="1"/>
  <c r="BD57" i="1" s="1"/>
  <c r="AM51" i="1" a="1"/>
  <c r="AM51" i="1" s="1"/>
  <c r="BD51" i="1" s="1"/>
  <c r="AM58" i="1" a="1"/>
  <c r="AM58" i="1" s="1"/>
  <c r="BD58" i="1" s="1"/>
  <c r="AM56" i="1" a="1"/>
  <c r="AM56" i="1" s="1"/>
  <c r="BD56" i="1" s="1"/>
  <c r="AM52" i="1" a="1"/>
  <c r="AM52" i="1" s="1"/>
  <c r="BD52" i="1" s="1"/>
  <c r="AM53" i="1" a="1"/>
  <c r="AM53" i="1" s="1"/>
  <c r="BD53" i="1" s="1"/>
  <c r="AM54" i="1" a="1"/>
  <c r="AM54" i="1" s="1"/>
  <c r="BD54" i="1" s="1"/>
  <c r="AM44" i="1" a="1"/>
  <c r="AM44" i="1" s="1"/>
  <c r="BD44" i="1" s="1"/>
  <c r="AM40" i="1" a="1"/>
  <c r="AM40" i="1" s="1"/>
  <c r="BD40" i="1" s="1"/>
  <c r="AM49" i="1" a="1"/>
  <c r="AM49" i="1" s="1"/>
  <c r="BD49" i="1" s="1"/>
  <c r="AM48" i="1" a="1"/>
  <c r="AM48" i="1" s="1"/>
  <c r="BD48" i="1" s="1"/>
  <c r="AM45" i="1" a="1"/>
  <c r="AM45" i="1" s="1"/>
  <c r="BD45" i="1" s="1"/>
  <c r="AM41" i="1" a="1"/>
  <c r="AM41" i="1" s="1"/>
  <c r="BD41" i="1" s="1"/>
  <c r="AM50" i="1" a="1"/>
  <c r="AM50" i="1" s="1"/>
  <c r="BD50" i="1" s="1"/>
  <c r="AM47" i="1" a="1"/>
  <c r="AM47" i="1" s="1"/>
  <c r="BD47" i="1" s="1"/>
  <c r="AM46" i="1" a="1"/>
  <c r="AM46" i="1" s="1"/>
  <c r="BD46" i="1" s="1"/>
  <c r="AM42" i="1" a="1"/>
  <c r="AM42" i="1" s="1"/>
  <c r="BD42" i="1" s="1"/>
  <c r="AM43" i="1" a="1"/>
  <c r="AM43" i="1" s="1"/>
  <c r="BD43" i="1" s="1"/>
  <c r="AM36" i="1" a="1"/>
  <c r="AM36" i="1" s="1"/>
  <c r="BD36" i="1" s="1"/>
  <c r="AM37" i="1" a="1"/>
  <c r="AM37" i="1" s="1"/>
  <c r="BD37" i="1" s="1"/>
  <c r="AM32" i="1" a="1"/>
  <c r="AM32" i="1" s="1"/>
  <c r="BD32" i="1" s="1"/>
  <c r="AM31" i="1" a="1"/>
  <c r="AM31" i="1" s="1"/>
  <c r="BD31" i="1" s="1"/>
  <c r="AM33" i="1" a="1"/>
  <c r="AM33" i="1" s="1"/>
  <c r="BD33" i="1" s="1"/>
  <c r="AM38" i="1" a="1"/>
  <c r="AM38" i="1" s="1"/>
  <c r="BD38" i="1" s="1"/>
  <c r="AM34" i="1" a="1"/>
  <c r="AM34" i="1" s="1"/>
  <c r="BD34" i="1" s="1"/>
  <c r="AM39" i="1" a="1"/>
  <c r="AM39" i="1" s="1"/>
  <c r="BD39" i="1" s="1"/>
  <c r="AM35" i="1" a="1"/>
  <c r="AM35" i="1" s="1"/>
  <c r="BD35" i="1" s="1"/>
  <c r="AM29" i="1" a="1"/>
  <c r="AM29" i="1" s="1"/>
  <c r="BD29" i="1" s="1"/>
  <c r="AM26" i="1" a="1"/>
  <c r="AM26" i="1" s="1"/>
  <c r="BD26" i="1" s="1"/>
  <c r="AM22" i="1" a="1"/>
  <c r="AM22" i="1" s="1"/>
  <c r="BD22" i="1" s="1"/>
  <c r="AM30" i="1" a="1"/>
  <c r="AM30" i="1" s="1"/>
  <c r="BD30" i="1" s="1"/>
  <c r="AM28" i="1" a="1"/>
  <c r="AM28" i="1" s="1"/>
  <c r="BD28" i="1" s="1"/>
  <c r="AM27" i="1" a="1"/>
  <c r="AM27" i="1" s="1"/>
  <c r="BD27" i="1" s="1"/>
  <c r="AM23" i="1" a="1"/>
  <c r="AM23" i="1" s="1"/>
  <c r="BD23" i="1" s="1"/>
  <c r="AM24" i="1" a="1"/>
  <c r="AM24" i="1" s="1"/>
  <c r="BD24" i="1" s="1"/>
  <c r="AM55" i="1" a="1"/>
  <c r="AM55" i="1" s="1"/>
  <c r="BD55" i="1" s="1"/>
  <c r="AM25" i="1" a="1"/>
  <c r="AM25" i="1" s="1"/>
  <c r="BD25" i="1" s="1"/>
  <c r="AM12" i="1" a="1"/>
  <c r="AM12" i="1" s="1"/>
  <c r="BD12" i="1" s="1"/>
  <c r="AM16" i="1" a="1"/>
  <c r="AM16" i="1" s="1"/>
  <c r="BD16" i="1" s="1"/>
  <c r="AM11" i="1" a="1"/>
  <c r="AM11" i="1" s="1"/>
  <c r="BD11" i="1" s="1"/>
  <c r="AM17" i="1" a="1"/>
  <c r="AM17" i="1" s="1"/>
  <c r="BD17" i="1" s="1"/>
  <c r="AM18" i="1" a="1"/>
  <c r="AM18" i="1" s="1"/>
  <c r="BD18" i="1" s="1"/>
  <c r="AM19" i="1" a="1"/>
  <c r="AM19" i="1" s="1"/>
  <c r="BD19" i="1" s="1"/>
  <c r="AM20" i="1" a="1"/>
  <c r="AM20" i="1" s="1"/>
  <c r="BD20" i="1" s="1"/>
  <c r="AM21" i="1" a="1"/>
  <c r="AM21" i="1" s="1"/>
  <c r="BD21" i="1" s="1"/>
  <c r="AM14" i="1" a="1"/>
  <c r="AM14" i="1" s="1"/>
  <c r="BD14" i="1" s="1"/>
  <c r="AM13" i="1" a="1"/>
  <c r="AM13" i="1" s="1"/>
  <c r="BD13" i="1" s="1"/>
  <c r="AM5" i="1" a="1"/>
  <c r="AM5" i="1" s="1"/>
  <c r="BD5" i="1" s="1"/>
  <c r="AM4" i="1" a="1"/>
  <c r="AM4" i="1" s="1"/>
  <c r="BD4" i="1" s="1"/>
  <c r="AM10" i="1" a="1"/>
  <c r="AM10" i="1" s="1"/>
  <c r="BD10" i="1" s="1"/>
  <c r="AM15" i="1" a="1"/>
  <c r="AM15" i="1" s="1"/>
  <c r="BD15" i="1" s="1"/>
  <c r="AM9" i="1" a="1"/>
  <c r="AM9" i="1" s="1"/>
  <c r="BD9" i="1" s="1"/>
  <c r="AM8" i="1" a="1"/>
  <c r="AM8" i="1" s="1"/>
  <c r="BD8" i="1" s="1"/>
  <c r="AM7" i="1" a="1"/>
  <c r="AM7" i="1" s="1"/>
  <c r="BD7" i="1" s="1"/>
  <c r="AM6" i="1" a="1"/>
  <c r="AM6" i="1" s="1"/>
  <c r="BD6" i="1" s="1"/>
  <c r="AM3" i="1" a="1"/>
  <c r="AM3" i="1" s="1"/>
  <c r="BD3" i="1" s="1"/>
  <c r="AM2" i="1" a="1"/>
  <c r="AM2" i="1" s="1"/>
  <c r="BD2" i="1" s="1"/>
  <c r="CR1" i="1"/>
  <c r="CA1" i="1"/>
  <c r="BD1" i="1"/>
  <c r="J52" i="2"/>
  <c r="I52" i="2"/>
  <c r="BR12" i="1"/>
  <c r="AQ51" i="1" a="1"/>
  <c r="AQ51" i="1" s="1"/>
  <c r="BH51" i="1" s="1"/>
  <c r="AQ52" i="1" a="1"/>
  <c r="AQ52" i="1" s="1"/>
  <c r="BH52" i="1" s="1"/>
  <c r="AQ57" i="1" a="1"/>
  <c r="AQ57" i="1" s="1"/>
  <c r="BH57" i="1" s="1"/>
  <c r="AQ56" i="1" a="1"/>
  <c r="AQ56" i="1" s="1"/>
  <c r="BH56" i="1" s="1"/>
  <c r="AQ53" i="1" a="1"/>
  <c r="AQ53" i="1" s="1"/>
  <c r="BH53" i="1" s="1"/>
  <c r="AQ58" i="1" a="1"/>
  <c r="AQ58" i="1" s="1"/>
  <c r="BH58" i="1" s="1"/>
  <c r="AQ44" i="1" a="1"/>
  <c r="AQ44" i="1" s="1"/>
  <c r="BH44" i="1" s="1"/>
  <c r="AQ40" i="1" a="1"/>
  <c r="AQ40" i="1" s="1"/>
  <c r="BH40" i="1" s="1"/>
  <c r="AQ50" i="1" a="1"/>
  <c r="AQ50" i="1" s="1"/>
  <c r="BH50" i="1" s="1"/>
  <c r="AQ45" i="1" a="1"/>
  <c r="AQ45" i="1" s="1"/>
  <c r="BH45" i="1" s="1"/>
  <c r="AQ41" i="1" a="1"/>
  <c r="AQ41" i="1" s="1"/>
  <c r="BH41" i="1" s="1"/>
  <c r="AQ47" i="1" a="1"/>
  <c r="AQ47" i="1" s="1"/>
  <c r="BH47" i="1" s="1"/>
  <c r="AQ46" i="1" a="1"/>
  <c r="AQ46" i="1" s="1"/>
  <c r="BH46" i="1" s="1"/>
  <c r="AQ42" i="1" a="1"/>
  <c r="AQ42" i="1" s="1"/>
  <c r="BH42" i="1" s="1"/>
  <c r="AQ55" i="1" a="1"/>
  <c r="AQ55" i="1" s="1"/>
  <c r="BH55" i="1" s="1"/>
  <c r="AQ49" i="1" a="1"/>
  <c r="AQ49" i="1" s="1"/>
  <c r="BH49" i="1" s="1"/>
  <c r="AQ54" i="1" a="1"/>
  <c r="AQ54" i="1" s="1"/>
  <c r="BH54" i="1" s="1"/>
  <c r="AQ48" i="1" a="1"/>
  <c r="AQ48" i="1" s="1"/>
  <c r="BH48" i="1" s="1"/>
  <c r="AQ43" i="1" a="1"/>
  <c r="AQ43" i="1" s="1"/>
  <c r="BH43" i="1" s="1"/>
  <c r="AQ36" i="1" a="1"/>
  <c r="AQ36" i="1" s="1"/>
  <c r="BH36" i="1" s="1"/>
  <c r="AQ37" i="1" a="1"/>
  <c r="AQ37" i="1" s="1"/>
  <c r="BH37" i="1" s="1"/>
  <c r="AQ32" i="1" a="1"/>
  <c r="AQ32" i="1" s="1"/>
  <c r="BH32" i="1" s="1"/>
  <c r="AQ31" i="1" a="1"/>
  <c r="AQ31" i="1" s="1"/>
  <c r="BH31" i="1" s="1"/>
  <c r="AQ30" i="1" a="1"/>
  <c r="AQ30" i="1" s="1"/>
  <c r="BH30" i="1" s="1"/>
  <c r="AQ33" i="1" a="1"/>
  <c r="AQ33" i="1" s="1"/>
  <c r="BH33" i="1" s="1"/>
  <c r="AQ38" i="1" a="1"/>
  <c r="AQ38" i="1" s="1"/>
  <c r="BH38" i="1" s="1"/>
  <c r="AQ34" i="1" a="1"/>
  <c r="AQ34" i="1" s="1"/>
  <c r="BH34" i="1" s="1"/>
  <c r="AQ35" i="1" a="1"/>
  <c r="AQ35" i="1" s="1"/>
  <c r="BH35" i="1" s="1"/>
  <c r="AQ29" i="1" a="1"/>
  <c r="AQ29" i="1" s="1"/>
  <c r="BH29" i="1" s="1"/>
  <c r="AQ26" i="1" a="1"/>
  <c r="AQ26" i="1" s="1"/>
  <c r="BH26" i="1" s="1"/>
  <c r="AQ22" i="1" a="1"/>
  <c r="AQ22" i="1" s="1"/>
  <c r="BH22" i="1" s="1"/>
  <c r="AQ28" i="1" a="1"/>
  <c r="AQ28" i="1" s="1"/>
  <c r="BH28" i="1" s="1"/>
  <c r="AQ27" i="1" a="1"/>
  <c r="AQ27" i="1" s="1"/>
  <c r="BH27" i="1" s="1"/>
  <c r="AQ23" i="1" a="1"/>
  <c r="AQ23" i="1" s="1"/>
  <c r="BH23" i="1" s="1"/>
  <c r="AQ39" i="1" a="1"/>
  <c r="AQ39" i="1" s="1"/>
  <c r="BH39" i="1" s="1"/>
  <c r="AQ24" i="1" a="1"/>
  <c r="AQ24" i="1" s="1"/>
  <c r="BH24" i="1" s="1"/>
  <c r="AQ25" i="1" a="1"/>
  <c r="AQ25" i="1" s="1"/>
  <c r="BH25" i="1" s="1"/>
  <c r="AQ21" i="1" a="1"/>
  <c r="AQ21" i="1" s="1"/>
  <c r="BH21" i="1" s="1"/>
  <c r="AQ12" i="1" a="1"/>
  <c r="AQ12" i="1" s="1"/>
  <c r="BH12" i="1" s="1"/>
  <c r="AQ16" i="1" a="1"/>
  <c r="AQ16" i="1" s="1"/>
  <c r="BH16" i="1" s="1"/>
  <c r="AQ11" i="1" a="1"/>
  <c r="AQ11" i="1" s="1"/>
  <c r="BH11" i="1" s="1"/>
  <c r="AQ17" i="1" a="1"/>
  <c r="AQ17" i="1" s="1"/>
  <c r="BH17" i="1" s="1"/>
  <c r="AQ18" i="1" a="1"/>
  <c r="AQ18" i="1" s="1"/>
  <c r="BH18" i="1" s="1"/>
  <c r="AQ19" i="1" a="1"/>
  <c r="AQ19" i="1" s="1"/>
  <c r="BH19" i="1" s="1"/>
  <c r="AQ20" i="1" a="1"/>
  <c r="AQ20" i="1" s="1"/>
  <c r="BH20" i="1" s="1"/>
  <c r="AQ14" i="1" a="1"/>
  <c r="AQ14" i="1" s="1"/>
  <c r="BH14" i="1" s="1"/>
  <c r="AQ5" i="1" a="1"/>
  <c r="AQ5" i="1" s="1"/>
  <c r="BH5" i="1" s="1"/>
  <c r="CV1" i="1"/>
  <c r="AQ4" i="1" a="1"/>
  <c r="AQ4" i="1" s="1"/>
  <c r="BH4" i="1" s="1"/>
  <c r="AQ15" i="1" a="1"/>
  <c r="AQ15" i="1" s="1"/>
  <c r="BH15" i="1" s="1"/>
  <c r="AQ10" i="1" a="1"/>
  <c r="AQ10" i="1" s="1"/>
  <c r="BH10" i="1" s="1"/>
  <c r="AQ9" i="1" a="1"/>
  <c r="AQ9" i="1" s="1"/>
  <c r="BH9" i="1" s="1"/>
  <c r="AQ8" i="1" a="1"/>
  <c r="AQ8" i="1" s="1"/>
  <c r="BH8" i="1" s="1"/>
  <c r="AQ7" i="1" a="1"/>
  <c r="AQ7" i="1" s="1"/>
  <c r="BH7" i="1" s="1"/>
  <c r="AQ13" i="1" a="1"/>
  <c r="AQ13" i="1" s="1"/>
  <c r="BH13" i="1" s="1"/>
  <c r="AQ6" i="1" a="1"/>
  <c r="AQ6" i="1" s="1"/>
  <c r="BH6" i="1" s="1"/>
  <c r="AQ3" i="1" a="1"/>
  <c r="AQ3" i="1" s="1"/>
  <c r="BH3" i="1" s="1"/>
  <c r="CE1" i="1"/>
  <c r="AQ2" i="1" a="1"/>
  <c r="AQ2" i="1" s="1"/>
  <c r="BH2" i="1" s="1"/>
  <c r="BH1" i="1"/>
  <c r="AR57" i="1" a="1"/>
  <c r="AR57" i="1" s="1"/>
  <c r="BI57" i="1" s="1"/>
  <c r="AR53" i="1" a="1"/>
  <c r="AR53" i="1" s="1"/>
  <c r="BI53" i="1" s="1"/>
  <c r="AR56" i="1" a="1"/>
  <c r="AR56" i="1" s="1"/>
  <c r="BI56" i="1" s="1"/>
  <c r="AR58" i="1" a="1"/>
  <c r="AR58" i="1" s="1"/>
  <c r="BI58" i="1" s="1"/>
  <c r="AR54" i="1" a="1"/>
  <c r="AR54" i="1" s="1"/>
  <c r="BI54" i="1" s="1"/>
  <c r="AR51" i="1" a="1"/>
  <c r="AR51" i="1" s="1"/>
  <c r="BI51" i="1" s="1"/>
  <c r="AR52" i="1" a="1"/>
  <c r="AR52" i="1" s="1"/>
  <c r="BI52" i="1" s="1"/>
  <c r="AR45" i="1" a="1"/>
  <c r="AR45" i="1" s="1"/>
  <c r="BI45" i="1" s="1"/>
  <c r="AR41" i="1" a="1"/>
  <c r="AR41" i="1" s="1"/>
  <c r="BI41" i="1" s="1"/>
  <c r="AR50" i="1" a="1"/>
  <c r="AR50" i="1" s="1"/>
  <c r="BI50" i="1" s="1"/>
  <c r="AR47" i="1" a="1"/>
  <c r="AR47" i="1" s="1"/>
  <c r="BI47" i="1" s="1"/>
  <c r="AR46" i="1" a="1"/>
  <c r="AR46" i="1" s="1"/>
  <c r="BI46" i="1" s="1"/>
  <c r="AR42" i="1" a="1"/>
  <c r="AR42" i="1" s="1"/>
  <c r="BI42" i="1" s="1"/>
  <c r="AR55" i="1" a="1"/>
  <c r="AR55" i="1" s="1"/>
  <c r="BI55" i="1" s="1"/>
  <c r="AR49" i="1" a="1"/>
  <c r="AR49" i="1" s="1"/>
  <c r="BI49" i="1" s="1"/>
  <c r="AR43" i="1" a="1"/>
  <c r="AR43" i="1" s="1"/>
  <c r="BI43" i="1" s="1"/>
  <c r="AR48" i="1" a="1"/>
  <c r="AR48" i="1" s="1"/>
  <c r="BI48" i="1" s="1"/>
  <c r="AR44" i="1" a="1"/>
  <c r="AR44" i="1" s="1"/>
  <c r="BI44" i="1" s="1"/>
  <c r="AR40" i="1" a="1"/>
  <c r="AR40" i="1" s="1"/>
  <c r="BI40" i="1" s="1"/>
  <c r="AR37" i="1" a="1"/>
  <c r="AR37" i="1" s="1"/>
  <c r="BI37" i="1" s="1"/>
  <c r="AR32" i="1" a="1"/>
  <c r="AR32" i="1" s="1"/>
  <c r="BI32" i="1" s="1"/>
  <c r="AR31" i="1" a="1"/>
  <c r="AR31" i="1" s="1"/>
  <c r="BI31" i="1" s="1"/>
  <c r="AR30" i="1" a="1"/>
  <c r="AR30" i="1" s="1"/>
  <c r="BI30" i="1" s="1"/>
  <c r="AR33" i="1" a="1"/>
  <c r="AR33" i="1" s="1"/>
  <c r="BI33" i="1" s="1"/>
  <c r="AR38" i="1" a="1"/>
  <c r="AR38" i="1" s="1"/>
  <c r="BI38" i="1" s="1"/>
  <c r="AR34" i="1" a="1"/>
  <c r="AR34" i="1" s="1"/>
  <c r="BI34" i="1" s="1"/>
  <c r="AR35" i="1" a="1"/>
  <c r="AR35" i="1" s="1"/>
  <c r="BI35" i="1" s="1"/>
  <c r="AR39" i="1" a="1"/>
  <c r="AR39" i="1" s="1"/>
  <c r="BI39" i="1" s="1"/>
  <c r="AR36" i="1" a="1"/>
  <c r="AR36" i="1" s="1"/>
  <c r="BI36" i="1" s="1"/>
  <c r="AR23" i="1" a="1"/>
  <c r="AR23" i="1" s="1"/>
  <c r="BI23" i="1" s="1"/>
  <c r="AR24" i="1" a="1"/>
  <c r="AR24" i="1" s="1"/>
  <c r="BI24" i="1" s="1"/>
  <c r="AR25" i="1" a="1"/>
  <c r="AR25" i="1" s="1"/>
  <c r="BI25" i="1" s="1"/>
  <c r="AR29" i="1" a="1"/>
  <c r="AR29" i="1" s="1"/>
  <c r="BI29" i="1" s="1"/>
  <c r="AR26" i="1" a="1"/>
  <c r="AR26" i="1" s="1"/>
  <c r="BI26" i="1" s="1"/>
  <c r="AR28" i="1" a="1"/>
  <c r="AR28" i="1" s="1"/>
  <c r="BI28" i="1" s="1"/>
  <c r="AR27" i="1" a="1"/>
  <c r="AR27" i="1" s="1"/>
  <c r="BI27" i="1" s="1"/>
  <c r="AR17" i="1" a="1"/>
  <c r="AR17" i="1" s="1"/>
  <c r="BI17" i="1" s="1"/>
  <c r="AR18" i="1" a="1"/>
  <c r="AR18" i="1" s="1"/>
  <c r="BI18" i="1" s="1"/>
  <c r="AR19" i="1" a="1"/>
  <c r="AR19" i="1" s="1"/>
  <c r="BI19" i="1" s="1"/>
  <c r="AR20" i="1" a="1"/>
  <c r="AR20" i="1" s="1"/>
  <c r="BI20" i="1" s="1"/>
  <c r="AR22" i="1" a="1"/>
  <c r="AR22" i="1" s="1"/>
  <c r="BI22" i="1" s="1"/>
  <c r="AR14" i="1" a="1"/>
  <c r="AR14" i="1" s="1"/>
  <c r="BI14" i="1" s="1"/>
  <c r="AR15" i="1" a="1"/>
  <c r="AR15" i="1" s="1"/>
  <c r="BI15" i="1" s="1"/>
  <c r="AR13" i="1" a="1"/>
  <c r="AR13" i="1" s="1"/>
  <c r="BI13" i="1" s="1"/>
  <c r="AR21" i="1" a="1"/>
  <c r="AR21" i="1" s="1"/>
  <c r="BI21" i="1" s="1"/>
  <c r="AR16" i="1" a="1"/>
  <c r="AR16" i="1" s="1"/>
  <c r="BI16" i="1" s="1"/>
  <c r="AR10" i="1" a="1"/>
  <c r="AR10" i="1" s="1"/>
  <c r="BI10" i="1" s="1"/>
  <c r="AR9" i="1" a="1"/>
  <c r="AR9" i="1" s="1"/>
  <c r="BI9" i="1" s="1"/>
  <c r="AR8" i="1" a="1"/>
  <c r="AR8" i="1" s="1"/>
  <c r="BI8" i="1" s="1"/>
  <c r="AR11" i="1" a="1"/>
  <c r="AR11" i="1" s="1"/>
  <c r="BI11" i="1" s="1"/>
  <c r="AR7" i="1" a="1"/>
  <c r="AR7" i="1" s="1"/>
  <c r="BI7" i="1" s="1"/>
  <c r="AR12" i="1" a="1"/>
  <c r="AR12" i="1" s="1"/>
  <c r="BI12" i="1" s="1"/>
  <c r="AR6" i="1" a="1"/>
  <c r="AR6" i="1" s="1"/>
  <c r="BI6" i="1" s="1"/>
  <c r="AR5" i="1" a="1"/>
  <c r="AR5" i="1" s="1"/>
  <c r="BI5" i="1" s="1"/>
  <c r="AR4" i="1" a="1"/>
  <c r="AR4" i="1" s="1"/>
  <c r="BI4" i="1" s="1"/>
  <c r="CF1" i="1"/>
  <c r="CW1" i="1"/>
  <c r="AR2" i="1" a="1"/>
  <c r="AR2" i="1" s="1"/>
  <c r="BI2" i="1" s="1"/>
  <c r="BI1" i="1"/>
  <c r="AR3" i="1" a="1"/>
  <c r="AR3" i="1" s="1"/>
  <c r="BI3" i="1" s="1"/>
  <c r="AU51" i="1" a="1"/>
  <c r="AU51" i="1" s="1"/>
  <c r="BL51" i="1" s="1"/>
  <c r="AU52" i="1" a="1"/>
  <c r="AU52" i="1" s="1"/>
  <c r="BL52" i="1" s="1"/>
  <c r="AU53" i="1" a="1"/>
  <c r="AU53" i="1" s="1"/>
  <c r="BL53" i="1" s="1"/>
  <c r="AU56" i="1" a="1"/>
  <c r="AU56" i="1" s="1"/>
  <c r="BL56" i="1" s="1"/>
  <c r="AU57" i="1" a="1"/>
  <c r="AU57" i="1" s="1"/>
  <c r="BL57" i="1" s="1"/>
  <c r="AU58" i="1" a="1"/>
  <c r="AU58" i="1" s="1"/>
  <c r="BL58" i="1" s="1"/>
  <c r="AU50" i="1" a="1"/>
  <c r="AU50" i="1" s="1"/>
  <c r="BL50" i="1" s="1"/>
  <c r="AU44" i="1" a="1"/>
  <c r="AU44" i="1" s="1"/>
  <c r="BL44" i="1" s="1"/>
  <c r="AU40" i="1" a="1"/>
  <c r="AU40" i="1" s="1"/>
  <c r="BL40" i="1" s="1"/>
  <c r="AU49" i="1" a="1"/>
  <c r="AU49" i="1" s="1"/>
  <c r="BL49" i="1" s="1"/>
  <c r="AU48" i="1" a="1"/>
  <c r="AU48" i="1" s="1"/>
  <c r="BL48" i="1" s="1"/>
  <c r="AU45" i="1" a="1"/>
  <c r="AU45" i="1" s="1"/>
  <c r="BL45" i="1" s="1"/>
  <c r="AU41" i="1" a="1"/>
  <c r="AU41" i="1" s="1"/>
  <c r="BL41" i="1" s="1"/>
  <c r="AU55" i="1" a="1"/>
  <c r="AU55" i="1" s="1"/>
  <c r="BL55" i="1" s="1"/>
  <c r="AU54" i="1" a="1"/>
  <c r="AU54" i="1" s="1"/>
  <c r="BL54" i="1" s="1"/>
  <c r="AU47" i="1" a="1"/>
  <c r="AU47" i="1" s="1"/>
  <c r="BL47" i="1" s="1"/>
  <c r="AU46" i="1" a="1"/>
  <c r="AU46" i="1" s="1"/>
  <c r="BL46" i="1" s="1"/>
  <c r="AU42" i="1" a="1"/>
  <c r="AU42" i="1" s="1"/>
  <c r="BL42" i="1" s="1"/>
  <c r="AU43" i="1" a="1"/>
  <c r="AU43" i="1" s="1"/>
  <c r="BL43" i="1" s="1"/>
  <c r="AU36" i="1" a="1"/>
  <c r="AU36" i="1" s="1"/>
  <c r="BL36" i="1" s="1"/>
  <c r="AU39" i="1" a="1"/>
  <c r="AU39" i="1" s="1"/>
  <c r="BL39" i="1" s="1"/>
  <c r="AU37" i="1" a="1"/>
  <c r="AU37" i="1" s="1"/>
  <c r="BL37" i="1" s="1"/>
  <c r="AU32" i="1" a="1"/>
  <c r="AU32" i="1" s="1"/>
  <c r="BL32" i="1" s="1"/>
  <c r="AU31" i="1" a="1"/>
  <c r="AU31" i="1" s="1"/>
  <c r="BL31" i="1" s="1"/>
  <c r="AU30" i="1" a="1"/>
  <c r="AU30" i="1" s="1"/>
  <c r="BL30" i="1" s="1"/>
  <c r="AU33" i="1" a="1"/>
  <c r="AU33" i="1" s="1"/>
  <c r="BL33" i="1" s="1"/>
  <c r="AU38" i="1" a="1"/>
  <c r="AU38" i="1" s="1"/>
  <c r="BL38" i="1" s="1"/>
  <c r="AU34" i="1" a="1"/>
  <c r="AU34" i="1" s="1"/>
  <c r="BL34" i="1" s="1"/>
  <c r="AU35" i="1" a="1"/>
  <c r="AU35" i="1" s="1"/>
  <c r="BL35" i="1" s="1"/>
  <c r="AU29" i="1" a="1"/>
  <c r="AU29" i="1" s="1"/>
  <c r="BL29" i="1" s="1"/>
  <c r="AU26" i="1" a="1"/>
  <c r="AU26" i="1" s="1"/>
  <c r="BL26" i="1" s="1"/>
  <c r="AU22" i="1" a="1"/>
  <c r="AU22" i="1" s="1"/>
  <c r="BL22" i="1" s="1"/>
  <c r="AU28" i="1" a="1"/>
  <c r="AU28" i="1" s="1"/>
  <c r="BL28" i="1" s="1"/>
  <c r="AU27" i="1" a="1"/>
  <c r="AU27" i="1" s="1"/>
  <c r="BL27" i="1" s="1"/>
  <c r="AU23" i="1" a="1"/>
  <c r="AU23" i="1" s="1"/>
  <c r="BL23" i="1" s="1"/>
  <c r="AU24" i="1" a="1"/>
  <c r="AU24" i="1" s="1"/>
  <c r="BL24" i="1" s="1"/>
  <c r="AU25" i="1" a="1"/>
  <c r="AU25" i="1" s="1"/>
  <c r="BL25" i="1" s="1"/>
  <c r="AU12" i="1" a="1"/>
  <c r="AU12" i="1" s="1"/>
  <c r="BL12" i="1" s="1"/>
  <c r="AU16" i="1" a="1"/>
  <c r="AU16" i="1" s="1"/>
  <c r="BL16" i="1" s="1"/>
  <c r="AU11" i="1" a="1"/>
  <c r="AU11" i="1" s="1"/>
  <c r="BL11" i="1" s="1"/>
  <c r="AU21" i="1" a="1"/>
  <c r="AU21" i="1" s="1"/>
  <c r="BL21" i="1" s="1"/>
  <c r="AU17" i="1" a="1"/>
  <c r="AU17" i="1" s="1"/>
  <c r="BL17" i="1" s="1"/>
  <c r="AU18" i="1" a="1"/>
  <c r="AU18" i="1" s="1"/>
  <c r="BL18" i="1" s="1"/>
  <c r="AU19" i="1" a="1"/>
  <c r="AU19" i="1" s="1"/>
  <c r="BL19" i="1" s="1"/>
  <c r="AU20" i="1" a="1"/>
  <c r="AU20" i="1" s="1"/>
  <c r="BL20" i="1" s="1"/>
  <c r="AU14" i="1" a="1"/>
  <c r="AU14" i="1" s="1"/>
  <c r="BL14" i="1" s="1"/>
  <c r="AU5" i="1" a="1"/>
  <c r="AU5" i="1" s="1"/>
  <c r="BL5" i="1" s="1"/>
  <c r="AU4" i="1" a="1"/>
  <c r="AU4" i="1" s="1"/>
  <c r="BL4" i="1" s="1"/>
  <c r="AU15" i="1" a="1"/>
  <c r="AU15" i="1" s="1"/>
  <c r="BL15" i="1" s="1"/>
  <c r="AU10" i="1" a="1"/>
  <c r="AU10" i="1" s="1"/>
  <c r="BL10" i="1" s="1"/>
  <c r="AU9" i="1" a="1"/>
  <c r="AU9" i="1" s="1"/>
  <c r="BL9" i="1" s="1"/>
  <c r="AU8" i="1" a="1"/>
  <c r="AU8" i="1" s="1"/>
  <c r="BL8" i="1" s="1"/>
  <c r="AU13" i="1" a="1"/>
  <c r="AU13" i="1" s="1"/>
  <c r="BL13" i="1" s="1"/>
  <c r="AU7" i="1" a="1"/>
  <c r="AU7" i="1" s="1"/>
  <c r="BL7" i="1" s="1"/>
  <c r="AU6" i="1" a="1"/>
  <c r="AU6" i="1" s="1"/>
  <c r="BL6" i="1" s="1"/>
  <c r="AU3" i="1" a="1"/>
  <c r="AU3" i="1" s="1"/>
  <c r="BL3" i="1" s="1"/>
  <c r="AU2" i="1" a="1"/>
  <c r="AU2" i="1" s="1"/>
  <c r="BL2" i="1" s="1"/>
  <c r="BL1" i="1"/>
  <c r="CZ1" i="1"/>
  <c r="CI1" i="1"/>
  <c r="AH55" i="1" a="1"/>
  <c r="AH55" i="1" s="1"/>
  <c r="AY55" i="1" s="1"/>
  <c r="AH50" i="1" a="1"/>
  <c r="AH50" i="1" s="1"/>
  <c r="AY50" i="1" s="1"/>
  <c r="AH49" i="1" a="1"/>
  <c r="AH49" i="1" s="1"/>
  <c r="AY49" i="1" s="1"/>
  <c r="AH48" i="1" a="1"/>
  <c r="AH48" i="1" s="1"/>
  <c r="AY48" i="1" s="1"/>
  <c r="AH51" i="1" a="1"/>
  <c r="AH51" i="1" s="1"/>
  <c r="AY51" i="1" s="1"/>
  <c r="AH56" i="1" a="1"/>
  <c r="AH56" i="1" s="1"/>
  <c r="AY56" i="1" s="1"/>
  <c r="AH52" i="1" a="1"/>
  <c r="AH52" i="1" s="1"/>
  <c r="AY52" i="1" s="1"/>
  <c r="AH57" i="1" a="1"/>
  <c r="AH57" i="1" s="1"/>
  <c r="AY57" i="1" s="1"/>
  <c r="AH58" i="1" a="1"/>
  <c r="AH58" i="1" s="1"/>
  <c r="AY58" i="1" s="1"/>
  <c r="AH43" i="1" a="1"/>
  <c r="AH43" i="1" s="1"/>
  <c r="AY43" i="1" s="1"/>
  <c r="AH44" i="1" a="1"/>
  <c r="AH44" i="1" s="1"/>
  <c r="AY44" i="1" s="1"/>
  <c r="AH40" i="1" a="1"/>
  <c r="AH40" i="1" s="1"/>
  <c r="AY40" i="1" s="1"/>
  <c r="AH54" i="1" a="1"/>
  <c r="AH54" i="1" s="1"/>
  <c r="AY54" i="1" s="1"/>
  <c r="AH53" i="1" a="1"/>
  <c r="AH53" i="1" s="1"/>
  <c r="AY53" i="1" s="1"/>
  <c r="AH45" i="1" a="1"/>
  <c r="AH45" i="1" s="1"/>
  <c r="AY45" i="1" s="1"/>
  <c r="AH41" i="1" a="1"/>
  <c r="AH41" i="1" s="1"/>
  <c r="AY41" i="1" s="1"/>
  <c r="AH47" i="1" a="1"/>
  <c r="AH47" i="1" s="1"/>
  <c r="AY47" i="1" s="1"/>
  <c r="AH46" i="1" a="1"/>
  <c r="AH46" i="1" s="1"/>
  <c r="AY46" i="1" s="1"/>
  <c r="AH39" i="1" a="1"/>
  <c r="AH39" i="1" s="1"/>
  <c r="AY39" i="1" s="1"/>
  <c r="AH35" i="1" a="1"/>
  <c r="AH35" i="1" s="1"/>
  <c r="AY35" i="1" s="1"/>
  <c r="AH36" i="1" a="1"/>
  <c r="AH36" i="1" s="1"/>
  <c r="AY36" i="1" s="1"/>
  <c r="AH42" i="1" a="1"/>
  <c r="AH42" i="1" s="1"/>
  <c r="AY42" i="1" s="1"/>
  <c r="AH37" i="1" a="1"/>
  <c r="AH37" i="1" s="1"/>
  <c r="AY37" i="1" s="1"/>
  <c r="AH32" i="1" a="1"/>
  <c r="AH32" i="1" s="1"/>
  <c r="AY32" i="1" s="1"/>
  <c r="AH31" i="1" a="1"/>
  <c r="AH31" i="1" s="1"/>
  <c r="AY31" i="1" s="1"/>
  <c r="AH33" i="1" a="1"/>
  <c r="AH33" i="1" s="1"/>
  <c r="AY33" i="1" s="1"/>
  <c r="AH38" i="1" a="1"/>
  <c r="AH38" i="1" s="1"/>
  <c r="AY38" i="1" s="1"/>
  <c r="AH34" i="1" a="1"/>
  <c r="AH34" i="1" s="1"/>
  <c r="AY34" i="1" s="1"/>
  <c r="AH25" i="1" a="1"/>
  <c r="AH25" i="1" s="1"/>
  <c r="AY25" i="1" s="1"/>
  <c r="AH30" i="1" a="1"/>
  <c r="AH30" i="1" s="1"/>
  <c r="AY30" i="1" s="1"/>
  <c r="AH29" i="1" a="1"/>
  <c r="AH29" i="1" s="1"/>
  <c r="AY29" i="1" s="1"/>
  <c r="AH26" i="1" a="1"/>
  <c r="AH26" i="1" s="1"/>
  <c r="AY26" i="1" s="1"/>
  <c r="AH22" i="1" a="1"/>
  <c r="AH22" i="1" s="1"/>
  <c r="AY22" i="1" s="1"/>
  <c r="AH28" i="1" a="1"/>
  <c r="AH28" i="1" s="1"/>
  <c r="AY28" i="1" s="1"/>
  <c r="AH27" i="1" a="1"/>
  <c r="AH27" i="1" s="1"/>
  <c r="AY27" i="1" s="1"/>
  <c r="AH23" i="1" a="1"/>
  <c r="AH23" i="1" s="1"/>
  <c r="AY23" i="1" s="1"/>
  <c r="AH24" i="1" a="1"/>
  <c r="AH24" i="1" s="1"/>
  <c r="AY24" i="1" s="1"/>
  <c r="AH21" i="1" a="1"/>
  <c r="AH21" i="1" s="1"/>
  <c r="AY21" i="1" s="1"/>
  <c r="AH14" i="1" a="1"/>
  <c r="AH14" i="1" s="1"/>
  <c r="AY14" i="1" s="1"/>
  <c r="AH15" i="1" a="1"/>
  <c r="AH15" i="1" s="1"/>
  <c r="AY15" i="1" s="1"/>
  <c r="AH13" i="1" a="1"/>
  <c r="AH13" i="1" s="1"/>
  <c r="AY13" i="1" s="1"/>
  <c r="AH12" i="1" a="1"/>
  <c r="AH12" i="1" s="1"/>
  <c r="AY12" i="1" s="1"/>
  <c r="AH16" i="1" a="1"/>
  <c r="AH16" i="1" s="1"/>
  <c r="AY16" i="1" s="1"/>
  <c r="AH17" i="1" a="1"/>
  <c r="AH17" i="1" s="1"/>
  <c r="AY17" i="1" s="1"/>
  <c r="AH18" i="1" a="1"/>
  <c r="AH18" i="1" s="1"/>
  <c r="AY18" i="1" s="1"/>
  <c r="AH19" i="1" a="1"/>
  <c r="AH19" i="1" s="1"/>
  <c r="AY19" i="1" s="1"/>
  <c r="AH11" i="1" a="1"/>
  <c r="AH11" i="1" s="1"/>
  <c r="AY11" i="1" s="1"/>
  <c r="AH7" i="1" a="1"/>
  <c r="AH7" i="1" s="1"/>
  <c r="AY7" i="1" s="1"/>
  <c r="BV1" i="1"/>
  <c r="CM1" i="1"/>
  <c r="AH6" i="1" a="1"/>
  <c r="AH6" i="1" s="1"/>
  <c r="AY6" i="1" s="1"/>
  <c r="AH3" i="1" a="1"/>
  <c r="AH3" i="1" s="1"/>
  <c r="AY3" i="1" s="1"/>
  <c r="AH5" i="1" a="1"/>
  <c r="AH5" i="1" s="1"/>
  <c r="AY5" i="1" s="1"/>
  <c r="AH10" i="1" a="1"/>
  <c r="AH10" i="1" s="1"/>
  <c r="AY10" i="1" s="1"/>
  <c r="AH20" i="1" a="1"/>
  <c r="AH20" i="1" s="1"/>
  <c r="AY20" i="1" s="1"/>
  <c r="AH9" i="1" a="1"/>
  <c r="AH9" i="1" s="1"/>
  <c r="AY9" i="1" s="1"/>
  <c r="AH8" i="1" a="1"/>
  <c r="AH8" i="1" s="1"/>
  <c r="AY8" i="1" s="1"/>
  <c r="AH2" i="1" a="1"/>
  <c r="AH2" i="1" s="1"/>
  <c r="AY2" i="1" s="1"/>
  <c r="AH4" i="1" a="1"/>
  <c r="AH4" i="1" s="1"/>
  <c r="AY4" i="1" s="1"/>
  <c r="AY1" i="1"/>
  <c r="AN58" i="1" a="1"/>
  <c r="AN58" i="1" s="1"/>
  <c r="BE58" i="1" s="1"/>
  <c r="AN56" i="1" a="1"/>
  <c r="AN56" i="1" s="1"/>
  <c r="BE56" i="1" s="1"/>
  <c r="AN53" i="1" a="1"/>
  <c r="AN53" i="1" s="1"/>
  <c r="BE53" i="1" s="1"/>
  <c r="AN54" i="1" a="1"/>
  <c r="AN54" i="1" s="1"/>
  <c r="BE54" i="1" s="1"/>
  <c r="AN57" i="1" a="1"/>
  <c r="AN57" i="1" s="1"/>
  <c r="BE57" i="1" s="1"/>
  <c r="AN51" i="1" a="1"/>
  <c r="AN51" i="1" s="1"/>
  <c r="BE51" i="1" s="1"/>
  <c r="AN49" i="1" a="1"/>
  <c r="AN49" i="1" s="1"/>
  <c r="BE49" i="1" s="1"/>
  <c r="AN45" i="1" a="1"/>
  <c r="AN45" i="1" s="1"/>
  <c r="BE45" i="1" s="1"/>
  <c r="AN41" i="1" a="1"/>
  <c r="AN41" i="1" s="1"/>
  <c r="BE41" i="1" s="1"/>
  <c r="AN48" i="1" a="1"/>
  <c r="AN48" i="1" s="1"/>
  <c r="BE48" i="1" s="1"/>
  <c r="AN52" i="1" a="1"/>
  <c r="AN52" i="1" s="1"/>
  <c r="BE52" i="1" s="1"/>
  <c r="AN47" i="1" a="1"/>
  <c r="AN47" i="1" s="1"/>
  <c r="BE47" i="1" s="1"/>
  <c r="AN46" i="1" a="1"/>
  <c r="AN46" i="1" s="1"/>
  <c r="BE46" i="1" s="1"/>
  <c r="AN42" i="1" a="1"/>
  <c r="AN42" i="1" s="1"/>
  <c r="BE42" i="1" s="1"/>
  <c r="AN50" i="1" a="1"/>
  <c r="AN50" i="1" s="1"/>
  <c r="BE50" i="1" s="1"/>
  <c r="AN43" i="1" a="1"/>
  <c r="AN43" i="1" s="1"/>
  <c r="BE43" i="1" s="1"/>
  <c r="AN55" i="1" a="1"/>
  <c r="AN55" i="1" s="1"/>
  <c r="BE55" i="1" s="1"/>
  <c r="AN44" i="1" a="1"/>
  <c r="AN44" i="1" s="1"/>
  <c r="BE44" i="1" s="1"/>
  <c r="AN37" i="1" a="1"/>
  <c r="AN37" i="1" s="1"/>
  <c r="BE37" i="1" s="1"/>
  <c r="AN32" i="1" a="1"/>
  <c r="AN32" i="1" s="1"/>
  <c r="BE32" i="1" s="1"/>
  <c r="AN31" i="1" a="1"/>
  <c r="AN31" i="1" s="1"/>
  <c r="BE31" i="1" s="1"/>
  <c r="AN33" i="1" a="1"/>
  <c r="AN33" i="1" s="1"/>
  <c r="BE33" i="1" s="1"/>
  <c r="AN40" i="1" a="1"/>
  <c r="AN40" i="1" s="1"/>
  <c r="BE40" i="1" s="1"/>
  <c r="AN38" i="1" a="1"/>
  <c r="AN38" i="1" s="1"/>
  <c r="BE38" i="1" s="1"/>
  <c r="AN34" i="1" a="1"/>
  <c r="AN34" i="1" s="1"/>
  <c r="BE34" i="1" s="1"/>
  <c r="AN39" i="1" a="1"/>
  <c r="AN39" i="1" s="1"/>
  <c r="BE39" i="1" s="1"/>
  <c r="AN35" i="1" a="1"/>
  <c r="AN35" i="1" s="1"/>
  <c r="BE35" i="1" s="1"/>
  <c r="AN36" i="1" a="1"/>
  <c r="AN36" i="1" s="1"/>
  <c r="BE36" i="1" s="1"/>
  <c r="AN23" i="1" a="1"/>
  <c r="AN23" i="1" s="1"/>
  <c r="BE23" i="1" s="1"/>
  <c r="AN24" i="1" a="1"/>
  <c r="AN24" i="1" s="1"/>
  <c r="BE24" i="1" s="1"/>
  <c r="AN25" i="1" a="1"/>
  <c r="AN25" i="1" s="1"/>
  <c r="BE25" i="1" s="1"/>
  <c r="AN29" i="1" a="1"/>
  <c r="AN29" i="1" s="1"/>
  <c r="BE29" i="1" s="1"/>
  <c r="AN26" i="1" a="1"/>
  <c r="AN26" i="1" s="1"/>
  <c r="BE26" i="1" s="1"/>
  <c r="AN30" i="1" a="1"/>
  <c r="AN30" i="1" s="1"/>
  <c r="BE30" i="1" s="1"/>
  <c r="AN28" i="1" a="1"/>
  <c r="AN28" i="1" s="1"/>
  <c r="BE28" i="1" s="1"/>
  <c r="AN27" i="1" a="1"/>
  <c r="AN27" i="1" s="1"/>
  <c r="BE27" i="1" s="1"/>
  <c r="AN17" i="1" a="1"/>
  <c r="AN17" i="1" s="1"/>
  <c r="BE17" i="1" s="1"/>
  <c r="AN18" i="1" a="1"/>
  <c r="AN18" i="1" s="1"/>
  <c r="BE18" i="1" s="1"/>
  <c r="AN19" i="1" a="1"/>
  <c r="AN19" i="1" s="1"/>
  <c r="BE19" i="1" s="1"/>
  <c r="AN20" i="1" a="1"/>
  <c r="AN20" i="1" s="1"/>
  <c r="BE20" i="1" s="1"/>
  <c r="AN21" i="1" a="1"/>
  <c r="AN21" i="1" s="1"/>
  <c r="BE21" i="1" s="1"/>
  <c r="AN14" i="1" a="1"/>
  <c r="AN14" i="1" s="1"/>
  <c r="BE14" i="1" s="1"/>
  <c r="AN15" i="1" a="1"/>
  <c r="AN15" i="1" s="1"/>
  <c r="BE15" i="1" s="1"/>
  <c r="AN13" i="1" a="1"/>
  <c r="AN13" i="1" s="1"/>
  <c r="BE13" i="1" s="1"/>
  <c r="AN11" i="1" a="1"/>
  <c r="AN11" i="1" s="1"/>
  <c r="BE11" i="1" s="1"/>
  <c r="AN10" i="1" a="1"/>
  <c r="AN10" i="1" s="1"/>
  <c r="BE10" i="1" s="1"/>
  <c r="BE1" i="1"/>
  <c r="AN16" i="1" a="1"/>
  <c r="AN16" i="1" s="1"/>
  <c r="BE16" i="1" s="1"/>
  <c r="AN9" i="1" a="1"/>
  <c r="AN9" i="1" s="1"/>
  <c r="BE9" i="1" s="1"/>
  <c r="AN8" i="1" a="1"/>
  <c r="AN8" i="1" s="1"/>
  <c r="BE8" i="1" s="1"/>
  <c r="AN22" i="1" a="1"/>
  <c r="AN22" i="1" s="1"/>
  <c r="BE22" i="1" s="1"/>
  <c r="AN7" i="1" a="1"/>
  <c r="AN7" i="1" s="1"/>
  <c r="BE7" i="1" s="1"/>
  <c r="AN6" i="1" a="1"/>
  <c r="AN6" i="1" s="1"/>
  <c r="BE6" i="1" s="1"/>
  <c r="AN5" i="1" a="1"/>
  <c r="AN5" i="1" s="1"/>
  <c r="BE5" i="1" s="1"/>
  <c r="AN12" i="1" a="1"/>
  <c r="AN12" i="1" s="1"/>
  <c r="BE12" i="1" s="1"/>
  <c r="AN4" i="1" a="1"/>
  <c r="AN4" i="1" s="1"/>
  <c r="BE4" i="1" s="1"/>
  <c r="AN3" i="1" a="1"/>
  <c r="AN3" i="1" s="1"/>
  <c r="BE3" i="1" s="1"/>
  <c r="CS1" i="1"/>
  <c r="AN2" i="1" a="1"/>
  <c r="AN2" i="1" s="1"/>
  <c r="BE2" i="1" s="1"/>
  <c r="CB1" i="1"/>
  <c r="J59" i="2"/>
  <c r="I59" i="2"/>
  <c r="AP55" i="1" a="1"/>
  <c r="AP55" i="1" s="1"/>
  <c r="BG55" i="1" s="1"/>
  <c r="AP50" i="1" a="1"/>
  <c r="AP50" i="1" s="1"/>
  <c r="BG50" i="1" s="1"/>
  <c r="AP49" i="1" a="1"/>
  <c r="AP49" i="1" s="1"/>
  <c r="BG49" i="1" s="1"/>
  <c r="AP48" i="1" a="1"/>
  <c r="AP48" i="1" s="1"/>
  <c r="BG48" i="1" s="1"/>
  <c r="AP51" i="1" a="1"/>
  <c r="AP51" i="1" s="1"/>
  <c r="BG51" i="1" s="1"/>
  <c r="AP52" i="1" a="1"/>
  <c r="AP52" i="1" s="1"/>
  <c r="BG52" i="1" s="1"/>
  <c r="AP57" i="1" a="1"/>
  <c r="AP57" i="1" s="1"/>
  <c r="BG57" i="1" s="1"/>
  <c r="AP58" i="1" a="1"/>
  <c r="AP58" i="1" s="1"/>
  <c r="BG58" i="1" s="1"/>
  <c r="AP56" i="1" a="1"/>
  <c r="AP56" i="1" s="1"/>
  <c r="BG56" i="1" s="1"/>
  <c r="AP53" i="1" a="1"/>
  <c r="AP53" i="1" s="1"/>
  <c r="BG53" i="1" s="1"/>
  <c r="AP43" i="1" a="1"/>
  <c r="AP43" i="1" s="1"/>
  <c r="BG43" i="1" s="1"/>
  <c r="AP44" i="1" a="1"/>
  <c r="AP44" i="1" s="1"/>
  <c r="BG44" i="1" s="1"/>
  <c r="AP40" i="1" a="1"/>
  <c r="AP40" i="1" s="1"/>
  <c r="BG40" i="1" s="1"/>
  <c r="AP45" i="1" a="1"/>
  <c r="AP45" i="1" s="1"/>
  <c r="BG45" i="1" s="1"/>
  <c r="AP41" i="1" a="1"/>
  <c r="AP41" i="1" s="1"/>
  <c r="BG41" i="1" s="1"/>
  <c r="AP47" i="1" a="1"/>
  <c r="AP47" i="1" s="1"/>
  <c r="BG47" i="1" s="1"/>
  <c r="AP46" i="1" a="1"/>
  <c r="AP46" i="1" s="1"/>
  <c r="BG46" i="1" s="1"/>
  <c r="AP42" i="1" a="1"/>
  <c r="AP42" i="1" s="1"/>
  <c r="BG42" i="1" s="1"/>
  <c r="AP35" i="1" a="1"/>
  <c r="AP35" i="1" s="1"/>
  <c r="BG35" i="1" s="1"/>
  <c r="AP39" i="1" a="1"/>
  <c r="AP39" i="1" s="1"/>
  <c r="BG39" i="1" s="1"/>
  <c r="AP36" i="1" a="1"/>
  <c r="AP36" i="1" s="1"/>
  <c r="BG36" i="1" s="1"/>
  <c r="AP54" i="1" a="1"/>
  <c r="AP54" i="1" s="1"/>
  <c r="BG54" i="1" s="1"/>
  <c r="AP37" i="1" a="1"/>
  <c r="AP37" i="1" s="1"/>
  <c r="BG37" i="1" s="1"/>
  <c r="AP32" i="1" a="1"/>
  <c r="AP32" i="1" s="1"/>
  <c r="BG32" i="1" s="1"/>
  <c r="AP31" i="1" a="1"/>
  <c r="AP31" i="1" s="1"/>
  <c r="BG31" i="1" s="1"/>
  <c r="AP33" i="1" a="1"/>
  <c r="AP33" i="1" s="1"/>
  <c r="BG33" i="1" s="1"/>
  <c r="AP38" i="1" a="1"/>
  <c r="AP38" i="1" s="1"/>
  <c r="BG38" i="1" s="1"/>
  <c r="AP25" i="1" a="1"/>
  <c r="AP25" i="1" s="1"/>
  <c r="BG25" i="1" s="1"/>
  <c r="AP29" i="1" a="1"/>
  <c r="AP29" i="1" s="1"/>
  <c r="BG29" i="1" s="1"/>
  <c r="AP26" i="1" a="1"/>
  <c r="AP26" i="1" s="1"/>
  <c r="BG26" i="1" s="1"/>
  <c r="AP22" i="1" a="1"/>
  <c r="AP22" i="1" s="1"/>
  <c r="BG22" i="1" s="1"/>
  <c r="AP28" i="1" a="1"/>
  <c r="AP28" i="1" s="1"/>
  <c r="BG28" i="1" s="1"/>
  <c r="AP27" i="1" a="1"/>
  <c r="AP27" i="1" s="1"/>
  <c r="BG27" i="1" s="1"/>
  <c r="AP34" i="1" a="1"/>
  <c r="AP34" i="1" s="1"/>
  <c r="BG34" i="1" s="1"/>
  <c r="AP30" i="1" a="1"/>
  <c r="AP30" i="1" s="1"/>
  <c r="BG30" i="1" s="1"/>
  <c r="AP23" i="1" a="1"/>
  <c r="AP23" i="1" s="1"/>
  <c r="BG23" i="1" s="1"/>
  <c r="AP24" i="1" a="1"/>
  <c r="AP24" i="1" s="1"/>
  <c r="BG24" i="1" s="1"/>
  <c r="AP14" i="1" a="1"/>
  <c r="AP14" i="1" s="1"/>
  <c r="BG14" i="1" s="1"/>
  <c r="AP21" i="1" a="1"/>
  <c r="AP21" i="1" s="1"/>
  <c r="BG21" i="1" s="1"/>
  <c r="AP15" i="1" a="1"/>
  <c r="AP15" i="1" s="1"/>
  <c r="BG15" i="1" s="1"/>
  <c r="AP13" i="1" a="1"/>
  <c r="AP13" i="1" s="1"/>
  <c r="BG13" i="1" s="1"/>
  <c r="AP12" i="1" a="1"/>
  <c r="AP12" i="1" s="1"/>
  <c r="BG12" i="1" s="1"/>
  <c r="AP16" i="1" a="1"/>
  <c r="AP16" i="1" s="1"/>
  <c r="BG16" i="1" s="1"/>
  <c r="AP17" i="1" a="1"/>
  <c r="AP17" i="1" s="1"/>
  <c r="BG17" i="1" s="1"/>
  <c r="AP18" i="1" a="1"/>
  <c r="AP18" i="1" s="1"/>
  <c r="BG18" i="1" s="1"/>
  <c r="AP19" i="1" a="1"/>
  <c r="AP19" i="1" s="1"/>
  <c r="BG19" i="1" s="1"/>
  <c r="AP7" i="1" a="1"/>
  <c r="AP7" i="1" s="1"/>
  <c r="BG7" i="1" s="1"/>
  <c r="CD1" i="1"/>
  <c r="AP6" i="1" a="1"/>
  <c r="AP6" i="1" s="1"/>
  <c r="BG6" i="1" s="1"/>
  <c r="AP3" i="1" a="1"/>
  <c r="AP3" i="1" s="1"/>
  <c r="BG3" i="1" s="1"/>
  <c r="CU1" i="1"/>
  <c r="AP5" i="1" a="1"/>
  <c r="AP5" i="1" s="1"/>
  <c r="BG5" i="1" s="1"/>
  <c r="AP20" i="1" a="1"/>
  <c r="AP20" i="1" s="1"/>
  <c r="BG20" i="1" s="1"/>
  <c r="AP10" i="1" a="1"/>
  <c r="AP10" i="1" s="1"/>
  <c r="BG10" i="1" s="1"/>
  <c r="AP11" i="1" a="1"/>
  <c r="AP11" i="1" s="1"/>
  <c r="BG11" i="1" s="1"/>
  <c r="AP9" i="1" a="1"/>
  <c r="AP9" i="1" s="1"/>
  <c r="BG9" i="1" s="1"/>
  <c r="AP8" i="1" a="1"/>
  <c r="AP8" i="1" s="1"/>
  <c r="BG8" i="1" s="1"/>
  <c r="AP2" i="1" a="1"/>
  <c r="AP2" i="1" s="1"/>
  <c r="BG2" i="1" s="1"/>
  <c r="AP4" i="1" a="1"/>
  <c r="AP4" i="1" s="1"/>
  <c r="BG4" i="1" s="1"/>
  <c r="BG1" i="1"/>
  <c r="AK54" i="1" a="1"/>
  <c r="AK54" i="1" s="1"/>
  <c r="BB54" i="1" s="1"/>
  <c r="AK57" i="1" a="1"/>
  <c r="AK57" i="1" s="1"/>
  <c r="BB57" i="1" s="1"/>
  <c r="AK58" i="1" a="1"/>
  <c r="AK58" i="1" s="1"/>
  <c r="BB58" i="1" s="1"/>
  <c r="AK55" i="1" a="1"/>
  <c r="AK55" i="1" s="1"/>
  <c r="BB55" i="1" s="1"/>
  <c r="AK50" i="1" a="1"/>
  <c r="AK50" i="1" s="1"/>
  <c r="BB50" i="1" s="1"/>
  <c r="AK49" i="1" a="1"/>
  <c r="AK49" i="1" s="1"/>
  <c r="BB49" i="1" s="1"/>
  <c r="AK48" i="1" a="1"/>
  <c r="AK48" i="1" s="1"/>
  <c r="BB48" i="1" s="1"/>
  <c r="AK51" i="1" a="1"/>
  <c r="AK51" i="1" s="1"/>
  <c r="BB51" i="1" s="1"/>
  <c r="AK56" i="1" a="1"/>
  <c r="AK56" i="1" s="1"/>
  <c r="BB56" i="1" s="1"/>
  <c r="AK47" i="1" a="1"/>
  <c r="AK47" i="1" s="1"/>
  <c r="BB47" i="1" s="1"/>
  <c r="AK46" i="1" a="1"/>
  <c r="AK46" i="1" s="1"/>
  <c r="BB46" i="1" s="1"/>
  <c r="AK42" i="1" a="1"/>
  <c r="AK42" i="1" s="1"/>
  <c r="BB42" i="1" s="1"/>
  <c r="AK43" i="1" a="1"/>
  <c r="AK43" i="1" s="1"/>
  <c r="BB43" i="1" s="1"/>
  <c r="AK53" i="1" a="1"/>
  <c r="AK53" i="1" s="1"/>
  <c r="BB53" i="1" s="1"/>
  <c r="AK52" i="1" a="1"/>
  <c r="AK52" i="1" s="1"/>
  <c r="BB52" i="1" s="1"/>
  <c r="AK44" i="1" a="1"/>
  <c r="AK44" i="1" s="1"/>
  <c r="BB44" i="1" s="1"/>
  <c r="AK40" i="1" a="1"/>
  <c r="AK40" i="1" s="1"/>
  <c r="BB40" i="1" s="1"/>
  <c r="AK45" i="1" a="1"/>
  <c r="AK45" i="1" s="1"/>
  <c r="BB45" i="1" s="1"/>
  <c r="AK38" i="1" a="1"/>
  <c r="AK38" i="1" s="1"/>
  <c r="BB38" i="1" s="1"/>
  <c r="AK34" i="1" a="1"/>
  <c r="AK34" i="1" s="1"/>
  <c r="BB34" i="1" s="1"/>
  <c r="AK39" i="1" a="1"/>
  <c r="AK39" i="1" s="1"/>
  <c r="BB39" i="1" s="1"/>
  <c r="AK35" i="1" a="1"/>
  <c r="AK35" i="1" s="1"/>
  <c r="BB35" i="1" s="1"/>
  <c r="AK41" i="1" a="1"/>
  <c r="AK41" i="1" s="1"/>
  <c r="BB41" i="1" s="1"/>
  <c r="AK36" i="1" a="1"/>
  <c r="AK36" i="1" s="1"/>
  <c r="BB36" i="1" s="1"/>
  <c r="AK37" i="1" a="1"/>
  <c r="AK37" i="1" s="1"/>
  <c r="BB37" i="1" s="1"/>
  <c r="AK24" i="1" a="1"/>
  <c r="AK24" i="1" s="1"/>
  <c r="BB24" i="1" s="1"/>
  <c r="AK33" i="1" a="1"/>
  <c r="AK33" i="1" s="1"/>
  <c r="BB33" i="1" s="1"/>
  <c r="AK32" i="1" a="1"/>
  <c r="AK32" i="1" s="1"/>
  <c r="BB32" i="1" s="1"/>
  <c r="AK25" i="1" a="1"/>
  <c r="AK25" i="1" s="1"/>
  <c r="BB25" i="1" s="1"/>
  <c r="AK31" i="1" a="1"/>
  <c r="AK31" i="1" s="1"/>
  <c r="BB31" i="1" s="1"/>
  <c r="AK30" i="1" a="1"/>
  <c r="AK30" i="1" s="1"/>
  <c r="BB30" i="1" s="1"/>
  <c r="AK29" i="1" a="1"/>
  <c r="AK29" i="1" s="1"/>
  <c r="BB29" i="1" s="1"/>
  <c r="AK26" i="1" a="1"/>
  <c r="AK26" i="1" s="1"/>
  <c r="BB26" i="1" s="1"/>
  <c r="AK28" i="1" a="1"/>
  <c r="AK28" i="1" s="1"/>
  <c r="BB28" i="1" s="1"/>
  <c r="AK27" i="1" a="1"/>
  <c r="AK27" i="1" s="1"/>
  <c r="BB27" i="1" s="1"/>
  <c r="AK23" i="1" a="1"/>
  <c r="AK23" i="1" s="1"/>
  <c r="BB23" i="1" s="1"/>
  <c r="AK19" i="1" a="1"/>
  <c r="AK19" i="1" s="1"/>
  <c r="BB19" i="1" s="1"/>
  <c r="AK22" i="1" a="1"/>
  <c r="AK22" i="1" s="1"/>
  <c r="BB22" i="1" s="1"/>
  <c r="AK20" i="1" a="1"/>
  <c r="AK20" i="1" s="1"/>
  <c r="BB20" i="1" s="1"/>
  <c r="AK21" i="1" a="1"/>
  <c r="AK21" i="1" s="1"/>
  <c r="BB21" i="1" s="1"/>
  <c r="AK14" i="1" a="1"/>
  <c r="AK14" i="1" s="1"/>
  <c r="BB14" i="1" s="1"/>
  <c r="AK15" i="1" a="1"/>
  <c r="AK15" i="1" s="1"/>
  <c r="BB15" i="1" s="1"/>
  <c r="AK13" i="1" a="1"/>
  <c r="AK13" i="1" s="1"/>
  <c r="BB13" i="1" s="1"/>
  <c r="AK12" i="1" a="1"/>
  <c r="AK12" i="1" s="1"/>
  <c r="BB12" i="1" s="1"/>
  <c r="AK16" i="1" a="1"/>
  <c r="AK16" i="1" s="1"/>
  <c r="BB16" i="1" s="1"/>
  <c r="AK17" i="1" a="1"/>
  <c r="AK17" i="1" s="1"/>
  <c r="BB17" i="1" s="1"/>
  <c r="AK9" i="1" a="1"/>
  <c r="AK9" i="1" s="1"/>
  <c r="BB9" i="1" s="1"/>
  <c r="AK2" i="1" a="1"/>
  <c r="AK2" i="1" s="1"/>
  <c r="BB2" i="1" s="1"/>
  <c r="AK18" i="1" a="1"/>
  <c r="AK18" i="1" s="1"/>
  <c r="BB18" i="1" s="1"/>
  <c r="AK8" i="1" a="1"/>
  <c r="AK8" i="1" s="1"/>
  <c r="BB8" i="1" s="1"/>
  <c r="AK7" i="1" a="1"/>
  <c r="AK7" i="1" s="1"/>
  <c r="BB7" i="1" s="1"/>
  <c r="AK6" i="1" a="1"/>
  <c r="AK6" i="1" s="1"/>
  <c r="BB6" i="1" s="1"/>
  <c r="AK11" i="1" a="1"/>
  <c r="AK11" i="1" s="1"/>
  <c r="BB11" i="1" s="1"/>
  <c r="AK10" i="1" a="1"/>
  <c r="AK10" i="1" s="1"/>
  <c r="BB10" i="1" s="1"/>
  <c r="AK4" i="1" a="1"/>
  <c r="AK4" i="1" s="1"/>
  <c r="BB4" i="1" s="1"/>
  <c r="BB1" i="1"/>
  <c r="AK5" i="1" a="1"/>
  <c r="AK5" i="1" s="1"/>
  <c r="BB5" i="1" s="1"/>
  <c r="AK3" i="1" a="1"/>
  <c r="AK3" i="1" s="1"/>
  <c r="BB3" i="1" s="1"/>
  <c r="CP1" i="1"/>
  <c r="BY1" i="1"/>
  <c r="AV53" i="1" a="1"/>
  <c r="AV53" i="1" s="1"/>
  <c r="BM53" i="1" s="1"/>
  <c r="AV54" i="1" a="1"/>
  <c r="AV54" i="1" s="1"/>
  <c r="BM54" i="1" s="1"/>
  <c r="AV57" i="1" a="1"/>
  <c r="AV57" i="1" s="1"/>
  <c r="BM57" i="1" s="1"/>
  <c r="AV56" i="1" a="1"/>
  <c r="AV56" i="1" s="1"/>
  <c r="BM56" i="1" s="1"/>
  <c r="AV58" i="1" a="1"/>
  <c r="AV58" i="1" s="1"/>
  <c r="BM58" i="1" s="1"/>
  <c r="AV51" i="1" a="1"/>
  <c r="AV51" i="1" s="1"/>
  <c r="BM51" i="1" s="1"/>
  <c r="AV49" i="1" a="1"/>
  <c r="AV49" i="1" s="1"/>
  <c r="BM49" i="1" s="1"/>
  <c r="AV45" i="1" a="1"/>
  <c r="AV45" i="1" s="1"/>
  <c r="BM45" i="1" s="1"/>
  <c r="AV41" i="1" a="1"/>
  <c r="AV41" i="1" s="1"/>
  <c r="BM41" i="1" s="1"/>
  <c r="AV48" i="1" a="1"/>
  <c r="AV48" i="1" s="1"/>
  <c r="BM48" i="1" s="1"/>
  <c r="AV55" i="1" a="1"/>
  <c r="AV55" i="1" s="1"/>
  <c r="BM55" i="1" s="1"/>
  <c r="AV47" i="1" a="1"/>
  <c r="AV47" i="1" s="1"/>
  <c r="BM47" i="1" s="1"/>
  <c r="AV46" i="1" a="1"/>
  <c r="AV46" i="1" s="1"/>
  <c r="BM46" i="1" s="1"/>
  <c r="AV42" i="1" a="1"/>
  <c r="AV42" i="1" s="1"/>
  <c r="BM42" i="1" s="1"/>
  <c r="AV43" i="1" a="1"/>
  <c r="AV43" i="1" s="1"/>
  <c r="BM43" i="1" s="1"/>
  <c r="AV52" i="1" a="1"/>
  <c r="AV52" i="1" s="1"/>
  <c r="BM52" i="1" s="1"/>
  <c r="AV44" i="1" a="1"/>
  <c r="AV44" i="1" s="1"/>
  <c r="BM44" i="1" s="1"/>
  <c r="AV39" i="1" a="1"/>
  <c r="AV39" i="1" s="1"/>
  <c r="BM39" i="1" s="1"/>
  <c r="AV37" i="1" a="1"/>
  <c r="AV37" i="1" s="1"/>
  <c r="BM37" i="1" s="1"/>
  <c r="AV32" i="1" a="1"/>
  <c r="AV32" i="1" s="1"/>
  <c r="BM32" i="1" s="1"/>
  <c r="AV31" i="1" a="1"/>
  <c r="AV31" i="1" s="1"/>
  <c r="BM31" i="1" s="1"/>
  <c r="AV30" i="1" a="1"/>
  <c r="AV30" i="1" s="1"/>
  <c r="BM30" i="1" s="1"/>
  <c r="AV33" i="1" a="1"/>
  <c r="AV33" i="1" s="1"/>
  <c r="BM33" i="1" s="1"/>
  <c r="AV50" i="1" a="1"/>
  <c r="AV50" i="1" s="1"/>
  <c r="BM50" i="1" s="1"/>
  <c r="AV38" i="1" a="1"/>
  <c r="AV38" i="1" s="1"/>
  <c r="BM38" i="1" s="1"/>
  <c r="AV34" i="1" a="1"/>
  <c r="AV34" i="1" s="1"/>
  <c r="BM34" i="1" s="1"/>
  <c r="AV35" i="1" a="1"/>
  <c r="AV35" i="1" s="1"/>
  <c r="BM35" i="1" s="1"/>
  <c r="AV40" i="1" a="1"/>
  <c r="AV40" i="1" s="1"/>
  <c r="BM40" i="1" s="1"/>
  <c r="AV36" i="1" a="1"/>
  <c r="AV36" i="1" s="1"/>
  <c r="BM36" i="1" s="1"/>
  <c r="AV23" i="1" a="1"/>
  <c r="AV23" i="1" s="1"/>
  <c r="BM23" i="1" s="1"/>
  <c r="AV24" i="1" a="1"/>
  <c r="AV24" i="1" s="1"/>
  <c r="BM24" i="1" s="1"/>
  <c r="AV25" i="1" a="1"/>
  <c r="AV25" i="1" s="1"/>
  <c r="BM25" i="1" s="1"/>
  <c r="AV29" i="1" a="1"/>
  <c r="AV29" i="1" s="1"/>
  <c r="BM29" i="1" s="1"/>
  <c r="AV26" i="1" a="1"/>
  <c r="AV26" i="1" s="1"/>
  <c r="BM26" i="1" s="1"/>
  <c r="AV28" i="1" a="1"/>
  <c r="AV28" i="1" s="1"/>
  <c r="BM28" i="1" s="1"/>
  <c r="AV27" i="1" a="1"/>
  <c r="AV27" i="1" s="1"/>
  <c r="BM27" i="1" s="1"/>
  <c r="AV21" i="1" a="1"/>
  <c r="AV21" i="1" s="1"/>
  <c r="BM21" i="1" s="1"/>
  <c r="AV17" i="1" a="1"/>
  <c r="AV17" i="1" s="1"/>
  <c r="BM17" i="1" s="1"/>
  <c r="AV22" i="1" a="1"/>
  <c r="AV22" i="1" s="1"/>
  <c r="BM22" i="1" s="1"/>
  <c r="AV18" i="1" a="1"/>
  <c r="AV18" i="1" s="1"/>
  <c r="BM18" i="1" s="1"/>
  <c r="AV19" i="1" a="1"/>
  <c r="AV19" i="1" s="1"/>
  <c r="BM19" i="1" s="1"/>
  <c r="AV20" i="1" a="1"/>
  <c r="AV20" i="1" s="1"/>
  <c r="BM20" i="1" s="1"/>
  <c r="AV14" i="1" a="1"/>
  <c r="AV14" i="1" s="1"/>
  <c r="BM14" i="1" s="1"/>
  <c r="AV15" i="1" a="1"/>
  <c r="AV15" i="1" s="1"/>
  <c r="BM15" i="1" s="1"/>
  <c r="AV13" i="1" a="1"/>
  <c r="AV13" i="1" s="1"/>
  <c r="BM13" i="1" s="1"/>
  <c r="AV16" i="1" a="1"/>
  <c r="AV16" i="1" s="1"/>
  <c r="BM16" i="1" s="1"/>
  <c r="BM1" i="1"/>
  <c r="AV10" i="1" a="1"/>
  <c r="AV10" i="1" s="1"/>
  <c r="BM10" i="1" s="1"/>
  <c r="AV9" i="1" a="1"/>
  <c r="AV9" i="1" s="1"/>
  <c r="BM9" i="1" s="1"/>
  <c r="AV12" i="1" a="1"/>
  <c r="AV12" i="1" s="1"/>
  <c r="BM12" i="1" s="1"/>
  <c r="AV8" i="1" a="1"/>
  <c r="AV8" i="1" s="1"/>
  <c r="BM8" i="1" s="1"/>
  <c r="AV7" i="1" a="1"/>
  <c r="AV7" i="1" s="1"/>
  <c r="BM7" i="1" s="1"/>
  <c r="AV6" i="1" a="1"/>
  <c r="AV6" i="1" s="1"/>
  <c r="BM6" i="1" s="1"/>
  <c r="AV5" i="1" a="1"/>
  <c r="AV5" i="1" s="1"/>
  <c r="BM5" i="1" s="1"/>
  <c r="AV11" i="1" a="1"/>
  <c r="AV11" i="1" s="1"/>
  <c r="BM11" i="1" s="1"/>
  <c r="AV4" i="1" a="1"/>
  <c r="AV4" i="1" s="1"/>
  <c r="BM4" i="1" s="1"/>
  <c r="AV3" i="1" a="1"/>
  <c r="AV3" i="1" s="1"/>
  <c r="BM3" i="1" s="1"/>
  <c r="CJ1" i="1"/>
  <c r="DA1" i="1"/>
  <c r="AV2" i="1" a="1"/>
  <c r="AV2" i="1" s="1"/>
  <c r="BM2" i="1" s="1"/>
  <c r="CN16" i="1" l="1"/>
  <c r="CN30" i="1"/>
  <c r="CR8" i="1"/>
  <c r="CR21" i="1"/>
  <c r="CR25" i="1"/>
  <c r="CR26" i="1"/>
  <c r="CR32" i="1"/>
  <c r="CR17" i="1"/>
  <c r="CN9" i="1"/>
  <c r="CN20" i="1"/>
  <c r="CN19" i="1"/>
  <c r="CP21" i="1"/>
  <c r="CN17" i="1"/>
  <c r="H18" i="2" s="1"/>
  <c r="CP11" i="1"/>
  <c r="CP16" i="1"/>
  <c r="CP19" i="1"/>
  <c r="CP25" i="1"/>
  <c r="CP39" i="1"/>
  <c r="CP43" i="1"/>
  <c r="CP50" i="1"/>
  <c r="CM16" i="1"/>
  <c r="CM27" i="1"/>
  <c r="CR14" i="1"/>
  <c r="CR12" i="1"/>
  <c r="CR22" i="1"/>
  <c r="CR31" i="1"/>
  <c r="CO12" i="1"/>
  <c r="CO18" i="1"/>
  <c r="CO24" i="1"/>
  <c r="CN14" i="1"/>
  <c r="CN12" i="1"/>
  <c r="H13" i="2" s="1"/>
  <c r="CN26" i="1"/>
  <c r="H27" i="2" s="1"/>
  <c r="CP12" i="1"/>
  <c r="CP23" i="1"/>
  <c r="CP32" i="1"/>
  <c r="CP34" i="1"/>
  <c r="CP42" i="1"/>
  <c r="CP55" i="1"/>
  <c r="CO11" i="1"/>
  <c r="CO13" i="1"/>
  <c r="CO17" i="1"/>
  <c r="CO23" i="1"/>
  <c r="CN29" i="1"/>
  <c r="CN25" i="1"/>
  <c r="CO8" i="1"/>
  <c r="CN18" i="1"/>
  <c r="CN23" i="1"/>
  <c r="H24" i="2" s="1"/>
  <c r="CO16" i="1"/>
  <c r="CO20" i="1"/>
  <c r="CN27" i="1"/>
  <c r="DA39" i="1"/>
  <c r="DA47" i="1"/>
  <c r="DA55" i="1"/>
  <c r="DA12" i="1"/>
  <c r="DA20" i="1"/>
  <c r="DA28" i="1"/>
  <c r="DA36" i="1"/>
  <c r="DA40" i="1"/>
  <c r="DA48" i="1"/>
  <c r="DA56" i="1"/>
  <c r="DA13" i="1"/>
  <c r="DA21" i="1"/>
  <c r="DA29" i="1"/>
  <c r="DA37" i="1"/>
  <c r="DA41" i="1"/>
  <c r="DA49" i="1"/>
  <c r="DA57" i="1"/>
  <c r="DA14" i="1"/>
  <c r="DA22" i="1"/>
  <c r="DA30" i="1"/>
  <c r="DA38" i="1"/>
  <c r="DA42" i="1"/>
  <c r="DA50" i="1"/>
  <c r="DA58" i="1"/>
  <c r="DA15" i="1"/>
  <c r="DA23" i="1"/>
  <c r="DA31" i="1"/>
  <c r="DA43" i="1"/>
  <c r="DA51" i="1"/>
  <c r="DA8" i="1"/>
  <c r="DA16" i="1"/>
  <c r="DA24" i="1"/>
  <c r="DA32" i="1"/>
  <c r="DA44" i="1"/>
  <c r="DA52" i="1"/>
  <c r="DA9" i="1"/>
  <c r="DA17" i="1"/>
  <c r="DA25" i="1"/>
  <c r="DA45" i="1"/>
  <c r="DA53" i="1"/>
  <c r="DA10" i="1"/>
  <c r="DA18" i="1"/>
  <c r="DA26" i="1"/>
  <c r="DA34" i="1"/>
  <c r="DA46" i="1"/>
  <c r="DA54" i="1"/>
  <c r="DA11" i="1"/>
  <c r="DA19" i="1"/>
  <c r="DA27" i="1"/>
  <c r="DA35" i="1"/>
  <c r="DA33" i="1"/>
  <c r="CP9" i="1"/>
  <c r="CP20" i="1"/>
  <c r="CP30" i="1"/>
  <c r="CP41" i="1"/>
  <c r="CP52" i="1"/>
  <c r="CP48" i="1"/>
  <c r="CU45" i="1"/>
  <c r="CU53" i="1"/>
  <c r="CU10" i="1"/>
  <c r="CU18" i="1"/>
  <c r="CU26" i="1"/>
  <c r="CU34" i="1"/>
  <c r="CU31" i="1"/>
  <c r="CU46" i="1"/>
  <c r="CU54" i="1"/>
  <c r="CU11" i="1"/>
  <c r="CU19" i="1"/>
  <c r="CU27" i="1"/>
  <c r="CU35" i="1"/>
  <c r="CU39" i="1"/>
  <c r="CU47" i="1"/>
  <c r="CU55" i="1"/>
  <c r="CU12" i="1"/>
  <c r="CU20" i="1"/>
  <c r="CU28" i="1"/>
  <c r="CU36" i="1"/>
  <c r="CU40" i="1"/>
  <c r="CU48" i="1"/>
  <c r="CU56" i="1"/>
  <c r="CU13" i="1"/>
  <c r="CU21" i="1"/>
  <c r="CU29" i="1"/>
  <c r="CU37" i="1"/>
  <c r="CU41" i="1"/>
  <c r="CU49" i="1"/>
  <c r="CU57" i="1"/>
  <c r="CU14" i="1"/>
  <c r="CU22" i="1"/>
  <c r="CU30" i="1"/>
  <c r="CU38" i="1"/>
  <c r="CU42" i="1"/>
  <c r="CU50" i="1"/>
  <c r="CU58" i="1"/>
  <c r="CU15" i="1"/>
  <c r="CU23" i="1"/>
  <c r="CU43" i="1"/>
  <c r="CU51" i="1"/>
  <c r="CU8" i="1"/>
  <c r="CU16" i="1"/>
  <c r="CU24" i="1"/>
  <c r="CU32" i="1"/>
  <c r="CU44" i="1"/>
  <c r="CU52" i="1"/>
  <c r="CU9" i="1"/>
  <c r="CU17" i="1"/>
  <c r="CU25" i="1"/>
  <c r="CU33" i="1"/>
  <c r="CM18" i="1"/>
  <c r="CM24" i="1"/>
  <c r="CM25" i="1"/>
  <c r="CM36" i="1"/>
  <c r="CM54" i="1"/>
  <c r="CM51" i="1"/>
  <c r="CR11" i="1"/>
  <c r="CR28" i="1"/>
  <c r="CR38" i="1"/>
  <c r="CR46" i="1"/>
  <c r="CR44" i="1"/>
  <c r="CQ20" i="1"/>
  <c r="CQ17" i="1"/>
  <c r="CQ34" i="1"/>
  <c r="CQ25" i="1"/>
  <c r="CQ35" i="1"/>
  <c r="CQ53" i="1"/>
  <c r="CQ49" i="1"/>
  <c r="CO9" i="1"/>
  <c r="CO22" i="1"/>
  <c r="CO30" i="1"/>
  <c r="CO34" i="1"/>
  <c r="CO50" i="1"/>
  <c r="CO45" i="1"/>
  <c r="CN11" i="1"/>
  <c r="H12" i="2" s="1"/>
  <c r="CN28" i="1"/>
  <c r="H29" i="2" s="1"/>
  <c r="CN33" i="1"/>
  <c r="CN49" i="1"/>
  <c r="CN40" i="1"/>
  <c r="CX42" i="1"/>
  <c r="CX50" i="1"/>
  <c r="CX58" i="1"/>
  <c r="CX15" i="1"/>
  <c r="CX23" i="1"/>
  <c r="CX31" i="1"/>
  <c r="CX43" i="1"/>
  <c r="CX51" i="1"/>
  <c r="CX8" i="1"/>
  <c r="CX16" i="1"/>
  <c r="CX24" i="1"/>
  <c r="CX32" i="1"/>
  <c r="CX44" i="1"/>
  <c r="CX52" i="1"/>
  <c r="CX9" i="1"/>
  <c r="CX17" i="1"/>
  <c r="CX25" i="1"/>
  <c r="CX33" i="1"/>
  <c r="CX45" i="1"/>
  <c r="CX53" i="1"/>
  <c r="CX10" i="1"/>
  <c r="CX18" i="1"/>
  <c r="CX26" i="1"/>
  <c r="CX34" i="1"/>
  <c r="CX46" i="1"/>
  <c r="CX54" i="1"/>
  <c r="CX11" i="1"/>
  <c r="CX19" i="1"/>
  <c r="CX27" i="1"/>
  <c r="CX35" i="1"/>
  <c r="CX39" i="1"/>
  <c r="CX47" i="1"/>
  <c r="CX55" i="1"/>
  <c r="CX12" i="1"/>
  <c r="CX20" i="1"/>
  <c r="CX40" i="1"/>
  <c r="CX48" i="1"/>
  <c r="CX56" i="1"/>
  <c r="CX13" i="1"/>
  <c r="CX21" i="1"/>
  <c r="CX29" i="1"/>
  <c r="CX37" i="1"/>
  <c r="CX28" i="1"/>
  <c r="CX41" i="1"/>
  <c r="CX49" i="1"/>
  <c r="CX57" i="1"/>
  <c r="CX14" i="1"/>
  <c r="CX22" i="1"/>
  <c r="CX30" i="1"/>
  <c r="CX38" i="1"/>
  <c r="CX36" i="1"/>
  <c r="CP10" i="1"/>
  <c r="CP17" i="1"/>
  <c r="CP22" i="1"/>
  <c r="CP31" i="1"/>
  <c r="CP35" i="1"/>
  <c r="CP53" i="1"/>
  <c r="CP49" i="1"/>
  <c r="CM17" i="1"/>
  <c r="CM23" i="1"/>
  <c r="CM34" i="1"/>
  <c r="CM35" i="1"/>
  <c r="CM40" i="1"/>
  <c r="CM48" i="1"/>
  <c r="CV44" i="1"/>
  <c r="CV52" i="1"/>
  <c r="CV9" i="1"/>
  <c r="CV17" i="1"/>
  <c r="CV25" i="1"/>
  <c r="CV33" i="1"/>
  <c r="CV45" i="1"/>
  <c r="CV53" i="1"/>
  <c r="CV10" i="1"/>
  <c r="CV18" i="1"/>
  <c r="CV26" i="1"/>
  <c r="CV34" i="1"/>
  <c r="CV46" i="1"/>
  <c r="CV54" i="1"/>
  <c r="CV11" i="1"/>
  <c r="CV19" i="1"/>
  <c r="CV27" i="1"/>
  <c r="CV35" i="1"/>
  <c r="CV38" i="1"/>
  <c r="CV39" i="1"/>
  <c r="CV47" i="1"/>
  <c r="CV55" i="1"/>
  <c r="CV12" i="1"/>
  <c r="CV20" i="1"/>
  <c r="CV28" i="1"/>
  <c r="CV36" i="1"/>
  <c r="CV30" i="1"/>
  <c r="CV40" i="1"/>
  <c r="CV48" i="1"/>
  <c r="CV56" i="1"/>
  <c r="CV13" i="1"/>
  <c r="CV21" i="1"/>
  <c r="CV29" i="1"/>
  <c r="CV37" i="1"/>
  <c r="CV41" i="1"/>
  <c r="CV49" i="1"/>
  <c r="CV57" i="1"/>
  <c r="CV14" i="1"/>
  <c r="CV22" i="1"/>
  <c r="CV42" i="1"/>
  <c r="CV50" i="1"/>
  <c r="CV58" i="1"/>
  <c r="CV15" i="1"/>
  <c r="CV23" i="1"/>
  <c r="CV31" i="1"/>
  <c r="CV43" i="1"/>
  <c r="CV51" i="1"/>
  <c r="CV8" i="1"/>
  <c r="CV16" i="1"/>
  <c r="CV24" i="1"/>
  <c r="CV32" i="1"/>
  <c r="CR13" i="1"/>
  <c r="CR16" i="1"/>
  <c r="CR30" i="1"/>
  <c r="CR33" i="1"/>
  <c r="CR47" i="1"/>
  <c r="CR54" i="1"/>
  <c r="CQ11" i="1"/>
  <c r="CQ16" i="1"/>
  <c r="CQ23" i="1"/>
  <c r="CQ38" i="1"/>
  <c r="CQ39" i="1"/>
  <c r="CQ54" i="1"/>
  <c r="CQ50" i="1"/>
  <c r="CO10" i="1"/>
  <c r="CO19" i="1"/>
  <c r="CO25" i="1"/>
  <c r="CO38" i="1"/>
  <c r="CO43" i="1"/>
  <c r="CO55" i="1"/>
  <c r="CN22" i="1"/>
  <c r="CN31" i="1"/>
  <c r="CN42" i="1"/>
  <c r="CN44" i="1"/>
  <c r="CM38" i="1"/>
  <c r="CM39" i="1"/>
  <c r="CM44" i="1"/>
  <c r="CM49" i="1"/>
  <c r="CR50" i="1"/>
  <c r="CR53" i="1"/>
  <c r="CQ12" i="1"/>
  <c r="CQ27" i="1"/>
  <c r="CQ33" i="1"/>
  <c r="CQ46" i="1"/>
  <c r="CQ43" i="1"/>
  <c r="CQ55" i="1"/>
  <c r="CO33" i="1"/>
  <c r="CO49" i="1"/>
  <c r="CO56" i="1"/>
  <c r="CT46" i="1"/>
  <c r="CT54" i="1"/>
  <c r="CT11" i="1"/>
  <c r="CT19" i="1"/>
  <c r="CT27" i="1"/>
  <c r="CT35" i="1"/>
  <c r="CT39" i="1"/>
  <c r="CT47" i="1"/>
  <c r="CT55" i="1"/>
  <c r="CT12" i="1"/>
  <c r="CT20" i="1"/>
  <c r="CT28" i="1"/>
  <c r="CT36" i="1"/>
  <c r="CT32" i="1"/>
  <c r="CT40" i="1"/>
  <c r="CT48" i="1"/>
  <c r="CT56" i="1"/>
  <c r="CT13" i="1"/>
  <c r="CT21" i="1"/>
  <c r="CT29" i="1"/>
  <c r="CT37" i="1"/>
  <c r="CT41" i="1"/>
  <c r="CT49" i="1"/>
  <c r="CT57" i="1"/>
  <c r="CT14" i="1"/>
  <c r="CT22" i="1"/>
  <c r="CT30" i="1"/>
  <c r="CT38" i="1"/>
  <c r="CT42" i="1"/>
  <c r="CT50" i="1"/>
  <c r="CT58" i="1"/>
  <c r="CT15" i="1"/>
  <c r="CT23" i="1"/>
  <c r="CT31" i="1"/>
  <c r="CT43" i="1"/>
  <c r="CT51" i="1"/>
  <c r="CT8" i="1"/>
  <c r="CT16" i="1"/>
  <c r="CT24" i="1"/>
  <c r="CT44" i="1"/>
  <c r="CT52" i="1"/>
  <c r="CT9" i="1"/>
  <c r="CT17" i="1"/>
  <c r="CT25" i="1"/>
  <c r="CT33" i="1"/>
  <c r="CT45" i="1"/>
  <c r="CT53" i="1"/>
  <c r="CT10" i="1"/>
  <c r="CT18" i="1"/>
  <c r="CT26" i="1"/>
  <c r="CT34" i="1"/>
  <c r="CN32" i="1"/>
  <c r="CN46" i="1"/>
  <c r="CN58" i="1"/>
  <c r="CM12" i="1"/>
  <c r="CM28" i="1"/>
  <c r="CM33" i="1"/>
  <c r="CM46" i="1"/>
  <c r="CM43" i="1"/>
  <c r="CM50" i="1"/>
  <c r="CR41" i="1"/>
  <c r="CR52" i="1"/>
  <c r="CQ13" i="1"/>
  <c r="CQ28" i="1"/>
  <c r="CQ31" i="1"/>
  <c r="CQ47" i="1"/>
  <c r="CQ52" i="1"/>
  <c r="CQ57" i="1"/>
  <c r="CO31" i="1"/>
  <c r="CO52" i="1"/>
  <c r="CO51" i="1"/>
  <c r="CN37" i="1"/>
  <c r="H38" i="2" s="1"/>
  <c r="CN47" i="1"/>
  <c r="CN57" i="1"/>
  <c r="CP13" i="1"/>
  <c r="CP27" i="1"/>
  <c r="CP33" i="1"/>
  <c r="CP38" i="1"/>
  <c r="CP46" i="1"/>
  <c r="CP58" i="1"/>
  <c r="CM8" i="1"/>
  <c r="CM13" i="1"/>
  <c r="CM22" i="1"/>
  <c r="CM31" i="1"/>
  <c r="CM47" i="1"/>
  <c r="CM58" i="1"/>
  <c r="CM55" i="1"/>
  <c r="CW43" i="1"/>
  <c r="CW51" i="1"/>
  <c r="CW8" i="1"/>
  <c r="CW16" i="1"/>
  <c r="CW24" i="1"/>
  <c r="CW32" i="1"/>
  <c r="CW44" i="1"/>
  <c r="CW52" i="1"/>
  <c r="CW9" i="1"/>
  <c r="CW17" i="1"/>
  <c r="CW25" i="1"/>
  <c r="CW33" i="1"/>
  <c r="CW37" i="1"/>
  <c r="CW45" i="1"/>
  <c r="CW53" i="1"/>
  <c r="CW10" i="1"/>
  <c r="CW18" i="1"/>
  <c r="CW26" i="1"/>
  <c r="CW34" i="1"/>
  <c r="CW46" i="1"/>
  <c r="CW54" i="1"/>
  <c r="CW11" i="1"/>
  <c r="CW19" i="1"/>
  <c r="CW27" i="1"/>
  <c r="CW35" i="1"/>
  <c r="CW39" i="1"/>
  <c r="CW47" i="1"/>
  <c r="CW55" i="1"/>
  <c r="CW12" i="1"/>
  <c r="CW20" i="1"/>
  <c r="CW28" i="1"/>
  <c r="CW36" i="1"/>
  <c r="CW29" i="1"/>
  <c r="CW40" i="1"/>
  <c r="CW48" i="1"/>
  <c r="CW56" i="1"/>
  <c r="CW13" i="1"/>
  <c r="CW21" i="1"/>
  <c r="CW41" i="1"/>
  <c r="CW49" i="1"/>
  <c r="CW57" i="1"/>
  <c r="CW14" i="1"/>
  <c r="CW22" i="1"/>
  <c r="CW30" i="1"/>
  <c r="CW38" i="1"/>
  <c r="CW42" i="1"/>
  <c r="CW50" i="1"/>
  <c r="CW58" i="1"/>
  <c r="CW15" i="1"/>
  <c r="CW23" i="1"/>
  <c r="CW31" i="1"/>
  <c r="CR9" i="1"/>
  <c r="CR20" i="1"/>
  <c r="CR55" i="1"/>
  <c r="CR29" i="1"/>
  <c r="CR37" i="1"/>
  <c r="CR45" i="1"/>
  <c r="CR56" i="1"/>
  <c r="CQ15" i="1"/>
  <c r="CQ22" i="1"/>
  <c r="CQ32" i="1"/>
  <c r="CQ41" i="1"/>
  <c r="CQ56" i="1"/>
  <c r="CO15" i="1"/>
  <c r="CO27" i="1"/>
  <c r="CO36" i="1"/>
  <c r="CO32" i="1"/>
  <c r="CO42" i="1"/>
  <c r="CO58" i="1"/>
  <c r="CN35" i="1"/>
  <c r="CN36" i="1"/>
  <c r="H37" i="2" s="1"/>
  <c r="CN41" i="1"/>
  <c r="CN53" i="1"/>
  <c r="CP8" i="1"/>
  <c r="CP15" i="1"/>
  <c r="CP28" i="1"/>
  <c r="CP24" i="1"/>
  <c r="CP45" i="1"/>
  <c r="CP47" i="1"/>
  <c r="CP57" i="1"/>
  <c r="CM9" i="1"/>
  <c r="CM15" i="1"/>
  <c r="CM26" i="1"/>
  <c r="CM32" i="1"/>
  <c r="CM41" i="1"/>
  <c r="CM57" i="1"/>
  <c r="CR15" i="1"/>
  <c r="CR19" i="1"/>
  <c r="CR24" i="1"/>
  <c r="CR35" i="1"/>
  <c r="CR36" i="1"/>
  <c r="CR48" i="1"/>
  <c r="CR58" i="1"/>
  <c r="CQ8" i="1"/>
  <c r="CQ14" i="1"/>
  <c r="CQ26" i="1"/>
  <c r="CQ37" i="1"/>
  <c r="CQ45" i="1"/>
  <c r="CQ51" i="1"/>
  <c r="CO14" i="1"/>
  <c r="CO28" i="1"/>
  <c r="CO35" i="1"/>
  <c r="CO37" i="1"/>
  <c r="CO46" i="1"/>
  <c r="CO54" i="1"/>
  <c r="CN24" i="1"/>
  <c r="H25" i="2" s="1"/>
  <c r="CN39" i="1"/>
  <c r="CN43" i="1"/>
  <c r="CN45" i="1"/>
  <c r="CN52" i="1"/>
  <c r="CY41" i="1"/>
  <c r="CY49" i="1"/>
  <c r="CY57" i="1"/>
  <c r="CY14" i="1"/>
  <c r="CY22" i="1"/>
  <c r="CY30" i="1"/>
  <c r="CY38" i="1"/>
  <c r="CY35" i="1"/>
  <c r="CY42" i="1"/>
  <c r="CY50" i="1"/>
  <c r="CY58" i="1"/>
  <c r="CY15" i="1"/>
  <c r="CY23" i="1"/>
  <c r="CY31" i="1"/>
  <c r="CY43" i="1"/>
  <c r="CY51" i="1"/>
  <c r="CY8" i="1"/>
  <c r="CY16" i="1"/>
  <c r="CY24" i="1"/>
  <c r="CY32" i="1"/>
  <c r="CY27" i="1"/>
  <c r="CY44" i="1"/>
  <c r="CY52" i="1"/>
  <c r="CY9" i="1"/>
  <c r="CY17" i="1"/>
  <c r="CY25" i="1"/>
  <c r="CY33" i="1"/>
  <c r="CY45" i="1"/>
  <c r="CY53" i="1"/>
  <c r="CY10" i="1"/>
  <c r="CY18" i="1"/>
  <c r="CY26" i="1"/>
  <c r="CY34" i="1"/>
  <c r="CY46" i="1"/>
  <c r="CY54" i="1"/>
  <c r="CY11" i="1"/>
  <c r="CY19" i="1"/>
  <c r="CY39" i="1"/>
  <c r="CY47" i="1"/>
  <c r="CY55" i="1"/>
  <c r="CY12" i="1"/>
  <c r="CY20" i="1"/>
  <c r="CY28" i="1"/>
  <c r="CY36" i="1"/>
  <c r="CY40" i="1"/>
  <c r="CY48" i="1"/>
  <c r="CY56" i="1"/>
  <c r="CY13" i="1"/>
  <c r="CY21" i="1"/>
  <c r="CY29" i="1"/>
  <c r="CY37" i="1"/>
  <c r="CP18" i="1"/>
  <c r="CP14" i="1"/>
  <c r="CP26" i="1"/>
  <c r="CP37" i="1"/>
  <c r="CP40" i="1"/>
  <c r="CP56" i="1"/>
  <c r="CP54" i="1"/>
  <c r="CM20" i="1"/>
  <c r="CM11" i="1"/>
  <c r="CM14" i="1"/>
  <c r="CM29" i="1"/>
  <c r="CM37" i="1"/>
  <c r="CM45" i="1"/>
  <c r="CM52" i="1"/>
  <c r="CZ40" i="1"/>
  <c r="CZ48" i="1"/>
  <c r="CZ56" i="1"/>
  <c r="CZ13" i="1"/>
  <c r="CZ21" i="1"/>
  <c r="CZ29" i="1"/>
  <c r="CZ37" i="1"/>
  <c r="CZ41" i="1"/>
  <c r="CZ49" i="1"/>
  <c r="CZ57" i="1"/>
  <c r="CZ14" i="1"/>
  <c r="CZ22" i="1"/>
  <c r="CZ30" i="1"/>
  <c r="CZ38" i="1"/>
  <c r="CZ42" i="1"/>
  <c r="CZ50" i="1"/>
  <c r="CZ58" i="1"/>
  <c r="CZ15" i="1"/>
  <c r="CZ23" i="1"/>
  <c r="CZ31" i="1"/>
  <c r="CZ43" i="1"/>
  <c r="CZ51" i="1"/>
  <c r="CZ8" i="1"/>
  <c r="CZ16" i="1"/>
  <c r="CZ24" i="1"/>
  <c r="CZ32" i="1"/>
  <c r="CZ44" i="1"/>
  <c r="CZ52" i="1"/>
  <c r="CZ9" i="1"/>
  <c r="CZ17" i="1"/>
  <c r="CZ25" i="1"/>
  <c r="CZ33" i="1"/>
  <c r="CZ45" i="1"/>
  <c r="CZ53" i="1"/>
  <c r="CZ10" i="1"/>
  <c r="CZ18" i="1"/>
  <c r="CZ26" i="1"/>
  <c r="CZ46" i="1"/>
  <c r="CZ54" i="1"/>
  <c r="CZ11" i="1"/>
  <c r="CZ19" i="1"/>
  <c r="CZ27" i="1"/>
  <c r="CZ35" i="1"/>
  <c r="CZ34" i="1"/>
  <c r="CZ39" i="1"/>
  <c r="CZ47" i="1"/>
  <c r="CZ55" i="1"/>
  <c r="CZ12" i="1"/>
  <c r="CZ20" i="1"/>
  <c r="CZ28" i="1"/>
  <c r="CZ36" i="1"/>
  <c r="CR10" i="1"/>
  <c r="CR18" i="1"/>
  <c r="CR23" i="1"/>
  <c r="CR39" i="1"/>
  <c r="CR43" i="1"/>
  <c r="CR49" i="1"/>
  <c r="CR51" i="1"/>
  <c r="CQ9" i="1"/>
  <c r="CQ19" i="1"/>
  <c r="CQ21" i="1"/>
  <c r="CQ29" i="1"/>
  <c r="CQ36" i="1"/>
  <c r="CQ40" i="1"/>
  <c r="CQ58" i="1"/>
  <c r="CO21" i="1"/>
  <c r="CO26" i="1"/>
  <c r="CO39" i="1"/>
  <c r="CO44" i="1"/>
  <c r="CO47" i="1"/>
  <c r="CO57" i="1"/>
  <c r="CN34" i="1"/>
  <c r="H35" i="2" s="1"/>
  <c r="CN48" i="1"/>
  <c r="CN54" i="1"/>
  <c r="CN56" i="1"/>
  <c r="CP29" i="1"/>
  <c r="CP36" i="1"/>
  <c r="CP44" i="1"/>
  <c r="CP51" i="1"/>
  <c r="CS39" i="1"/>
  <c r="CS47" i="1"/>
  <c r="CS55" i="1"/>
  <c r="CS12" i="1"/>
  <c r="CS20" i="1"/>
  <c r="CS28" i="1"/>
  <c r="CS36" i="1"/>
  <c r="CS40" i="1"/>
  <c r="CS48" i="1"/>
  <c r="CS56" i="1"/>
  <c r="CS13" i="1"/>
  <c r="CS21" i="1"/>
  <c r="CS29" i="1"/>
  <c r="CS37" i="1"/>
  <c r="CS41" i="1"/>
  <c r="CS49" i="1"/>
  <c r="CS57" i="1"/>
  <c r="CS14" i="1"/>
  <c r="CS22" i="1"/>
  <c r="CS30" i="1"/>
  <c r="CS38" i="1"/>
  <c r="CS42" i="1"/>
  <c r="CS50" i="1"/>
  <c r="CS58" i="1"/>
  <c r="CS15" i="1"/>
  <c r="CS23" i="1"/>
  <c r="CS31" i="1"/>
  <c r="CS43" i="1"/>
  <c r="CS51" i="1"/>
  <c r="CS8" i="1"/>
  <c r="CS16" i="1"/>
  <c r="CS24" i="1"/>
  <c r="CS32" i="1"/>
  <c r="CS44" i="1"/>
  <c r="CS52" i="1"/>
  <c r="CS9" i="1"/>
  <c r="CS17" i="1"/>
  <c r="CS25" i="1"/>
  <c r="CS45" i="1"/>
  <c r="CS53" i="1"/>
  <c r="CS10" i="1"/>
  <c r="CS18" i="1"/>
  <c r="CS26" i="1"/>
  <c r="CS34" i="1"/>
  <c r="CS46" i="1"/>
  <c r="CS54" i="1"/>
  <c r="CS11" i="1"/>
  <c r="CS19" i="1"/>
  <c r="CS27" i="1"/>
  <c r="CS35" i="1"/>
  <c r="CS33" i="1"/>
  <c r="CM10" i="1"/>
  <c r="CM19" i="1"/>
  <c r="CM21" i="1"/>
  <c r="CM30" i="1"/>
  <c r="CM42" i="1"/>
  <c r="CM53" i="1"/>
  <c r="CM56" i="1"/>
  <c r="CR27" i="1"/>
  <c r="CR34" i="1"/>
  <c r="CR42" i="1"/>
  <c r="CR40" i="1"/>
  <c r="CR57" i="1"/>
  <c r="CQ10" i="1"/>
  <c r="CQ18" i="1"/>
  <c r="CQ24" i="1"/>
  <c r="CQ30" i="1"/>
  <c r="CQ42" i="1"/>
  <c r="CQ44" i="1"/>
  <c r="CQ48" i="1"/>
  <c r="CO29" i="1"/>
  <c r="CO40" i="1"/>
  <c r="CO48" i="1"/>
  <c r="CO41" i="1"/>
  <c r="CO53" i="1"/>
  <c r="CN38" i="1"/>
  <c r="H39" i="2" s="1"/>
  <c r="CN50" i="1"/>
  <c r="CN55" i="1"/>
  <c r="CN51" i="1"/>
  <c r="F35" i="2"/>
  <c r="F33" i="2"/>
  <c r="F27" i="2"/>
  <c r="F39" i="2"/>
  <c r="F17" i="2"/>
  <c r="F32" i="2"/>
  <c r="F20" i="2"/>
  <c r="F21" i="2"/>
  <c r="F26" i="2"/>
  <c r="F24" i="2"/>
  <c r="F11" i="2"/>
  <c r="F29" i="2"/>
  <c r="F30" i="2"/>
  <c r="F22" i="2"/>
  <c r="F23" i="2"/>
  <c r="F18" i="2"/>
  <c r="F15" i="2"/>
  <c r="F16" i="2"/>
  <c r="F31" i="2"/>
  <c r="F34" i="2"/>
  <c r="F28" i="2"/>
  <c r="F10" i="2"/>
  <c r="F12" i="2"/>
  <c r="F25" i="2"/>
  <c r="F36" i="2"/>
  <c r="F14" i="2"/>
  <c r="F37" i="2"/>
  <c r="F38" i="2"/>
  <c r="F19" i="2"/>
  <c r="F13" i="2"/>
  <c r="E27" i="2"/>
  <c r="E19" i="2"/>
  <c r="E29" i="2"/>
  <c r="E33" i="2"/>
  <c r="E18" i="2"/>
  <c r="E14" i="2"/>
  <c r="E28" i="2"/>
  <c r="E38" i="2"/>
  <c r="E23" i="2"/>
  <c r="E39" i="2"/>
  <c r="E37" i="2"/>
  <c r="E26" i="2"/>
  <c r="E32" i="2"/>
  <c r="E30" i="2"/>
  <c r="E11" i="2"/>
  <c r="E20" i="2"/>
  <c r="E15" i="2"/>
  <c r="E35" i="2"/>
  <c r="E13" i="2"/>
  <c r="E24" i="2"/>
  <c r="E12" i="2"/>
  <c r="E36" i="2"/>
  <c r="E34" i="2"/>
  <c r="E10" i="2"/>
  <c r="E31" i="2"/>
  <c r="E25" i="2"/>
  <c r="E21" i="2"/>
  <c r="E17" i="2"/>
  <c r="E22" i="2"/>
  <c r="E16" i="2"/>
  <c r="H36" i="2"/>
  <c r="H32" i="2"/>
  <c r="H31" i="2"/>
  <c r="H33" i="2"/>
  <c r="H30" i="2"/>
  <c r="H26" i="2"/>
  <c r="H22" i="2"/>
  <c r="H28" i="2"/>
  <c r="H23" i="2"/>
  <c r="H34" i="2"/>
  <c r="H20" i="2"/>
  <c r="H21" i="2"/>
  <c r="H14" i="2"/>
  <c r="H15" i="2"/>
  <c r="H16" i="2"/>
  <c r="H17" i="2"/>
  <c r="CN7" i="1"/>
  <c r="H8" i="2" s="1"/>
  <c r="CN6" i="1"/>
  <c r="H7" i="2" s="1"/>
  <c r="CN5" i="1"/>
  <c r="H6" i="2" s="1"/>
  <c r="CN2" i="1"/>
  <c r="CN4" i="1"/>
  <c r="H5" i="2" s="1"/>
  <c r="H19" i="2"/>
  <c r="H11" i="2"/>
  <c r="H10" i="2"/>
  <c r="H9" i="2"/>
  <c r="CN3" i="1"/>
  <c r="H4" i="2" s="1"/>
  <c r="CX5" i="1"/>
  <c r="CX2" i="1"/>
  <c r="CX59" i="1" s="1" a="1"/>
  <c r="CX59" i="1" s="1"/>
  <c r="CX4" i="1"/>
  <c r="CX3" i="1"/>
  <c r="CX7" i="1"/>
  <c r="CX6" i="1"/>
  <c r="E9" i="2"/>
  <c r="E5" i="2"/>
  <c r="E3" i="2"/>
  <c r="E8" i="2"/>
  <c r="E6" i="2"/>
  <c r="E7" i="2"/>
  <c r="E4" i="2"/>
  <c r="CV7" i="1"/>
  <c r="CV6" i="1"/>
  <c r="CV5" i="1"/>
  <c r="CV2" i="1"/>
  <c r="CV59" i="1" s="1" a="1"/>
  <c r="CV59" i="1" s="1"/>
  <c r="CV4" i="1"/>
  <c r="CV3" i="1"/>
  <c r="BR13" i="1"/>
  <c r="BP20" i="1" s="1"/>
  <c r="BP21" i="1" s="1"/>
  <c r="CM7" i="1"/>
  <c r="CM6" i="1"/>
  <c r="CM5" i="1"/>
  <c r="CM3" i="1"/>
  <c r="CM4" i="1"/>
  <c r="CM2" i="1"/>
  <c r="CR3" i="1"/>
  <c r="CR7" i="1"/>
  <c r="CR6" i="1"/>
  <c r="CR5" i="1"/>
  <c r="CR4" i="1"/>
  <c r="CR2" i="1"/>
  <c r="CT7" i="1"/>
  <c r="CT6" i="1"/>
  <c r="CT5" i="1"/>
  <c r="CT4" i="1"/>
  <c r="CT3" i="1"/>
  <c r="CT2" i="1"/>
  <c r="CT59" i="1" s="1" a="1"/>
  <c r="CT59" i="1" s="1"/>
  <c r="DA7" i="1"/>
  <c r="DA6" i="1"/>
  <c r="DA5" i="1"/>
  <c r="DA4" i="1"/>
  <c r="DA3" i="1"/>
  <c r="DA2" i="1"/>
  <c r="DA59" i="1" s="1" a="1"/>
  <c r="DA59" i="1" s="1"/>
  <c r="CU7" i="1"/>
  <c r="CU6" i="1"/>
  <c r="CU5" i="1"/>
  <c r="CU2" i="1"/>
  <c r="CU59" i="1" s="1" a="1"/>
  <c r="CU59" i="1" s="1"/>
  <c r="CU4" i="1"/>
  <c r="CU3" i="1"/>
  <c r="F9" i="2"/>
  <c r="F7" i="2"/>
  <c r="F4" i="2"/>
  <c r="F6" i="2"/>
  <c r="F5" i="2"/>
  <c r="F3" i="2"/>
  <c r="F8" i="2"/>
  <c r="CP5" i="1"/>
  <c r="CP2" i="1"/>
  <c r="CP4" i="1"/>
  <c r="CP3" i="1"/>
  <c r="CP7" i="1"/>
  <c r="CP6" i="1"/>
  <c r="CW6" i="1"/>
  <c r="CW5" i="1"/>
  <c r="CW2" i="1"/>
  <c r="CW59" i="1" s="1" a="1"/>
  <c r="CW59" i="1" s="1"/>
  <c r="CW4" i="1"/>
  <c r="CW7" i="1"/>
  <c r="CW3" i="1"/>
  <c r="CO6" i="1"/>
  <c r="CO5" i="1"/>
  <c r="CO2" i="1"/>
  <c r="CO4" i="1"/>
  <c r="CO7" i="1"/>
  <c r="CO3" i="1"/>
  <c r="CY4" i="1"/>
  <c r="CY3" i="1"/>
  <c r="CY7" i="1"/>
  <c r="CY6" i="1"/>
  <c r="CY5" i="1"/>
  <c r="CY2" i="1"/>
  <c r="CY59" i="1" s="1" a="1"/>
  <c r="CY59" i="1" s="1"/>
  <c r="CS7" i="1"/>
  <c r="CS6" i="1"/>
  <c r="CS5" i="1"/>
  <c r="CS4" i="1"/>
  <c r="CS3" i="1"/>
  <c r="CS2" i="1"/>
  <c r="CS59" i="1" s="1" a="1"/>
  <c r="CS59" i="1" s="1"/>
  <c r="CZ3" i="1"/>
  <c r="CZ7" i="1"/>
  <c r="CZ6" i="1"/>
  <c r="CZ5" i="1"/>
  <c r="CZ4" i="1"/>
  <c r="CZ2" i="1"/>
  <c r="CZ59" i="1" s="1" a="1"/>
  <c r="CZ59" i="1" s="1"/>
  <c r="CQ4" i="1"/>
  <c r="CQ3" i="1"/>
  <c r="CQ7" i="1"/>
  <c r="CQ6" i="1"/>
  <c r="CQ5" i="1"/>
  <c r="CQ2" i="1"/>
  <c r="CO59" i="1" l="1" a="1"/>
  <c r="CO59" i="1" s="1"/>
  <c r="CN59" i="1" a="1"/>
  <c r="CN59" i="1" s="1"/>
  <c r="CQ59" i="1" a="1"/>
  <c r="CQ59" i="1" s="1"/>
  <c r="CR59" i="1" a="1"/>
  <c r="CR59" i="1" s="1"/>
  <c r="CM59" i="1" a="1"/>
  <c r="CM59" i="1" s="1"/>
  <c r="CP59" i="1" a="1"/>
  <c r="CP59" i="1" s="1"/>
  <c r="H3" i="2"/>
  <c r="J3" i="2" s="1"/>
  <c r="J20" i="2"/>
  <c r="I20" i="2"/>
  <c r="I27" i="2"/>
  <c r="J27" i="2"/>
  <c r="J10" i="2"/>
  <c r="I10" i="2"/>
  <c r="J35" i="2"/>
  <c r="I35" i="2"/>
  <c r="I14" i="2"/>
  <c r="J14" i="2"/>
  <c r="J31" i="2"/>
  <c r="I31" i="2"/>
  <c r="J19" i="2"/>
  <c r="I19" i="2"/>
  <c r="J17" i="2"/>
  <c r="I17" i="2"/>
  <c r="J24" i="2"/>
  <c r="I24" i="2"/>
  <c r="J18" i="2"/>
  <c r="I18" i="2"/>
  <c r="J39" i="2"/>
  <c r="I39" i="2"/>
  <c r="I37" i="2"/>
  <c r="J37" i="2"/>
  <c r="I32" i="2"/>
  <c r="J32" i="2"/>
  <c r="J15" i="2"/>
  <c r="I15" i="2"/>
  <c r="J23" i="2"/>
  <c r="I23" i="2"/>
  <c r="J11" i="2"/>
  <c r="I11" i="2"/>
  <c r="J13" i="2"/>
  <c r="I13" i="2"/>
  <c r="J25" i="2"/>
  <c r="I25" i="2"/>
  <c r="I29" i="2"/>
  <c r="J29" i="2"/>
  <c r="I38" i="2"/>
  <c r="J38" i="2"/>
  <c r="J33" i="2"/>
  <c r="I33" i="2"/>
  <c r="J36" i="2"/>
  <c r="I36" i="2"/>
  <c r="I16" i="2"/>
  <c r="J16" i="2"/>
  <c r="I22" i="2"/>
  <c r="J22" i="2"/>
  <c r="J28" i="2"/>
  <c r="I28" i="2"/>
  <c r="J21" i="2"/>
  <c r="I21" i="2"/>
  <c r="J12" i="2"/>
  <c r="I12" i="2"/>
  <c r="J26" i="2"/>
  <c r="I26" i="2"/>
  <c r="I30" i="2"/>
  <c r="J30" i="2"/>
  <c r="J34" i="2"/>
  <c r="I34" i="2"/>
  <c r="BQ28" i="1"/>
  <c r="I6" i="2"/>
  <c r="J6" i="2"/>
  <c r="BP9" i="1"/>
  <c r="J4" i="2"/>
  <c r="I4" i="2"/>
  <c r="I8" i="2"/>
  <c r="J8" i="2"/>
  <c r="J5" i="2"/>
  <c r="I5" i="2"/>
  <c r="J9" i="2"/>
  <c r="I9" i="2"/>
  <c r="J7" i="2"/>
  <c r="I7" i="2"/>
  <c r="AE2" i="1" l="1" a="1"/>
  <c r="I3" i="2"/>
  <c r="I60" i="2" s="1"/>
  <c r="BP28" i="1"/>
  <c r="BR29" i="1" s="1"/>
  <c r="BP10" i="1"/>
  <c r="BP14" i="1" s="1"/>
  <c r="BP13" i="1"/>
  <c r="AE2" i="1" l="1"/>
  <c r="AE8" i="1"/>
  <c r="AE5" i="1"/>
  <c r="AE6" i="1"/>
  <c r="AE13" i="1"/>
  <c r="AE9" i="1"/>
  <c r="AE12" i="1"/>
  <c r="AE16" i="1"/>
  <c r="AE4" i="1"/>
  <c r="AE15" i="1"/>
  <c r="AE11" i="1"/>
  <c r="AE7" i="1"/>
  <c r="AE3" i="1"/>
  <c r="AE14" i="1"/>
  <c r="AE10" i="1"/>
  <c r="H60" i="2"/>
  <c r="BR27" i="1"/>
  <c r="BP12" i="1"/>
  <c r="BP47" i="1" l="1"/>
  <c r="BR26" i="1"/>
  <c r="BP49" i="1" l="1"/>
  <c r="BP48" i="1"/>
  <c r="BQ46" i="1" s="1"/>
  <c r="BP50" i="1" l="1"/>
  <c r="BP51" i="1" s="1"/>
  <c r="BQ47" i="1"/>
  <c r="BQ48" i="1" s="1"/>
  <c r="BQ49" i="1" l="1"/>
  <c r="BP46" i="1" s="1"/>
  <c r="BR32" i="1" s="1"/>
  <c r="AX2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<sst xmlns="http://schemas.openxmlformats.org/spreadsheetml/2006/main" count="1636" uniqueCount="270">
  <si>
    <t>Number of Units</t>
  </si>
  <si>
    <t>Tag</t>
  </si>
  <si>
    <t>Path</t>
  </si>
  <si>
    <t>Make</t>
  </si>
  <si>
    <t>Model</t>
  </si>
  <si>
    <t>Lw/Lp (A)</t>
  </si>
  <si>
    <t>Ref. Dist.
(0 = LwA,
dist. = Lp)</t>
  </si>
  <si>
    <t>Tested Q</t>
  </si>
  <si>
    <t>Sound Power 
(estimated if SPL provided)</t>
  </si>
  <si>
    <t>Installed Q</t>
  </si>
  <si>
    <t>IL (duct, silencer, 
louver, etc)</t>
  </si>
  <si>
    <t>X</t>
  </si>
  <si>
    <t>Y</t>
  </si>
  <si>
    <t>Z</t>
  </si>
  <si>
    <t>building height</t>
  </si>
  <si>
    <t>unit height</t>
  </si>
  <si>
    <t>R#</t>
  </si>
  <si>
    <t>Lim. (dBA)</t>
  </si>
  <si>
    <t>Est. Level</t>
  </si>
  <si>
    <t>Distance (ft)</t>
  </si>
  <si>
    <t>Attenuation (dB)</t>
  </si>
  <si>
    <t>Source</t>
  </si>
  <si>
    <t>Receiver</t>
  </si>
  <si>
    <t>Barrier (start)</t>
  </si>
  <si>
    <t>Barrier (end)</t>
  </si>
  <si>
    <t>Barrier IL (dB)</t>
  </si>
  <si>
    <t>Total</t>
  </si>
  <si>
    <t>bumper</t>
  </si>
  <si>
    <t>R2</t>
  </si>
  <si>
    <t>Name</t>
  </si>
  <si>
    <t>Barrier (X0, Y1, Z0)</t>
  </si>
  <si>
    <t>Barrier (X1, Y1, Z1)</t>
  </si>
  <si>
    <t>x</t>
  </si>
  <si>
    <t>Distance: Source - Receiver (Horizontal line)</t>
  </si>
  <si>
    <t>m: S to R</t>
  </si>
  <si>
    <t>Distance: Source - Barrier (Horizontal line)</t>
  </si>
  <si>
    <t>m: bar S to bar E</t>
  </si>
  <si>
    <t>Distance: Barrier - Receiver (straight line)</t>
  </si>
  <si>
    <t>b: S to R</t>
  </si>
  <si>
    <t>Distance: Source - Receiver Propogation</t>
  </si>
  <si>
    <t>b: bar S to bar E</t>
  </si>
  <si>
    <t>delta (a+b-r) - figure 5.4</t>
  </si>
  <si>
    <t>intersection: X</t>
  </si>
  <si>
    <t>distance: source - top of barrier</t>
  </si>
  <si>
    <t>intersection: Y</t>
  </si>
  <si>
    <t>distance: receiver - top of barrier</t>
  </si>
  <si>
    <t>used^</t>
  </si>
  <si>
    <t>test^</t>
  </si>
  <si>
    <t>min(height)</t>
  </si>
  <si>
    <t>height difference</t>
  </si>
  <si>
    <t>Master_Scale</t>
  </si>
  <si>
    <t>len barrier</t>
  </si>
  <si>
    <t>Know Distance (ft)</t>
  </si>
  <si>
    <t>Image Distance (px)</t>
  </si>
  <si>
    <t>slope</t>
  </si>
  <si>
    <t>dist to x</t>
  </si>
  <si>
    <t>Bar Height to Use</t>
  </si>
  <si>
    <t>Barriers</t>
  </si>
  <si>
    <t>new barrier height q^</t>
  </si>
  <si>
    <t>X0</t>
  </si>
  <si>
    <t>Y0</t>
  </si>
  <si>
    <t>Z0</t>
  </si>
  <si>
    <t>X1</t>
  </si>
  <si>
    <t>Y1</t>
  </si>
  <si>
    <t>Z1</t>
  </si>
  <si>
    <t>y</t>
  </si>
  <si>
    <t>Barrier - Min 4lb/ft2, unperforated</t>
  </si>
  <si>
    <t>Measurement</t>
  </si>
  <si>
    <t>ARI</t>
  </si>
  <si>
    <t>Path 
Length (ft)</t>
  </si>
  <si>
    <t>Barrier 
Reduction (dB)</t>
  </si>
  <si>
    <t xml:space="preserve">Barrier Reduction per ARI: </t>
  </si>
  <si>
    <t>PLD</t>
  </si>
  <si>
    <t>First Lower</t>
  </si>
  <si>
    <t>First Greater</t>
  </si>
  <si>
    <t>difference in adjency</t>
  </si>
  <si>
    <t xml:space="preserve">difference in reduction </t>
  </si>
  <si>
    <t>Limit</t>
  </si>
  <si>
    <t>dBA</t>
  </si>
  <si>
    <t>Count</t>
  </si>
  <si>
    <t>Source - Path</t>
  </si>
  <si>
    <t>LwA</t>
  </si>
  <si>
    <t>Loss/Distance(ft)</t>
  </si>
  <si>
    <t>Barrier IL</t>
  </si>
  <si>
    <t>IL
 (duct, silencer, etc)</t>
  </si>
  <si>
    <t>dB(A)</t>
  </si>
  <si>
    <t>DOAS-R-1 - Outlet</t>
  </si>
  <si>
    <t>40 / 124 ft</t>
  </si>
  <si>
    <t>DOAS-3-1 - Outlet</t>
  </si>
  <si>
    <t>37 / 87 ft</t>
  </si>
  <si>
    <t>CU-R-1 - Radiated</t>
  </si>
  <si>
    <t>41 / 147 ft</t>
  </si>
  <si>
    <t>CU-R-3 - Radiated</t>
  </si>
  <si>
    <t>41 / 146 ft</t>
  </si>
  <si>
    <t>CU-R-6 - Radiated</t>
  </si>
  <si>
    <t>41 / 143 ft</t>
  </si>
  <si>
    <t>CU-R-7 - Radiated</t>
  </si>
  <si>
    <t>41 / 148 ft</t>
  </si>
  <si>
    <t>CU-R-8 - Radiated</t>
  </si>
  <si>
    <t>41 / 153 ft</t>
  </si>
  <si>
    <t>CU-R-10 - Radiated</t>
  </si>
  <si>
    <t>40 / 131 ft</t>
  </si>
  <si>
    <t>CU-R-4 - Radiated</t>
  </si>
  <si>
    <t>45 / 229 ft</t>
  </si>
  <si>
    <t>SS-R-1B - Radiated</t>
  </si>
  <si>
    <t>SS-R-2B - Radiated</t>
  </si>
  <si>
    <t>45 / 235 ft</t>
  </si>
  <si>
    <t>SS-R-3B - Radiated</t>
  </si>
  <si>
    <t>41 / 155 ft</t>
  </si>
  <si>
    <t>SS-R-4B - Radiated</t>
  </si>
  <si>
    <t>41 / 154 ft</t>
  </si>
  <si>
    <t>SS-R-5B - Radiated</t>
  </si>
  <si>
    <t>Combined LP at Property Line (dBA)</t>
  </si>
  <si>
    <t>MAU-R1</t>
  </si>
  <si>
    <t>Ducted Inlet</t>
  </si>
  <si>
    <t>Trane</t>
  </si>
  <si>
    <t>UCCA</t>
  </si>
  <si>
    <t>ERV-R.1</t>
  </si>
  <si>
    <t>Outdoor+Casing+Exhaust</t>
  </si>
  <si>
    <t>CSAA</t>
  </si>
  <si>
    <t xml:space="preserve">GEF-R1 </t>
  </si>
  <si>
    <t>Inlet (plus ductwork lined)</t>
  </si>
  <si>
    <t>Greenheck</t>
  </si>
  <si>
    <t>USF-336 BL</t>
  </si>
  <si>
    <t>DEF-R1, R2</t>
  </si>
  <si>
    <t>Inlet</t>
  </si>
  <si>
    <t>G-095-VG</t>
  </si>
  <si>
    <t xml:space="preserve">KEF-R1 </t>
  </si>
  <si>
    <t>USF-324-BL</t>
  </si>
  <si>
    <t>DWEF-R1</t>
  </si>
  <si>
    <t>G-99-VG</t>
  </si>
  <si>
    <t>CU-R1</t>
  </si>
  <si>
    <t>Mitsubishi</t>
  </si>
  <si>
    <t>TURYE3363BN40AN</t>
  </si>
  <si>
    <t>CU-R2</t>
  </si>
  <si>
    <t>TURYE1683AN40AN</t>
  </si>
  <si>
    <t>CU-R4</t>
  </si>
  <si>
    <t>PUHY-P96YLMU-A</t>
  </si>
  <si>
    <t>CU-R5</t>
  </si>
  <si>
    <t>PUHY-P120YLMU-A</t>
  </si>
  <si>
    <t>MXZ-5C42</t>
  </si>
  <si>
    <t>CUE-70VG</t>
  </si>
  <si>
    <t>CUE-80VG</t>
  </si>
  <si>
    <t>Radiated</t>
  </si>
  <si>
    <t>RCU-R(2p)</t>
  </si>
  <si>
    <t xml:space="preserve">BEF-R14 </t>
  </si>
  <si>
    <t xml:space="preserve">BEF-R15 </t>
  </si>
  <si>
    <t xml:space="preserve">BEF-R16 </t>
  </si>
  <si>
    <t xml:space="preserve">BEF-R01 </t>
  </si>
  <si>
    <t xml:space="preserve">BEF-R02 </t>
  </si>
  <si>
    <t xml:space="preserve">BEF-R03 </t>
  </si>
  <si>
    <t xml:space="preserve">BEF-R04 </t>
  </si>
  <si>
    <t xml:space="preserve">BEF-R05 </t>
  </si>
  <si>
    <t xml:space="preserve">BEF-R06 </t>
  </si>
  <si>
    <t xml:space="preserve">BEF-R07 </t>
  </si>
  <si>
    <t xml:space="preserve">BEF-R08 </t>
  </si>
  <si>
    <t xml:space="preserve">BEF-R09 </t>
  </si>
  <si>
    <t xml:space="preserve">BEF-R10 </t>
  </si>
  <si>
    <t xml:space="preserve">BEF-R11 </t>
  </si>
  <si>
    <t xml:space="preserve">BEF-R12 </t>
  </si>
  <si>
    <t xml:space="preserve">BEF-R13 </t>
  </si>
  <si>
    <t>bar1</t>
  </si>
  <si>
    <t>bar2</t>
  </si>
  <si>
    <t>bar3</t>
  </si>
  <si>
    <t>bar4</t>
  </si>
  <si>
    <t>bar5</t>
  </si>
  <si>
    <t>bar6</t>
  </si>
  <si>
    <t>bar7</t>
  </si>
  <si>
    <t>bar8</t>
  </si>
  <si>
    <t>bar9</t>
  </si>
  <si>
    <t>bar10</t>
  </si>
  <si>
    <t>R1</t>
  </si>
  <si>
    <t>R3</t>
  </si>
  <si>
    <t>R4</t>
  </si>
  <si>
    <t>R5</t>
  </si>
  <si>
    <t>RCU-R(4p)1</t>
  </si>
  <si>
    <t>RCU-R(4p)2</t>
  </si>
  <si>
    <t>RCU-R(4p)3</t>
  </si>
  <si>
    <t>RCU-R(4p)4</t>
  </si>
  <si>
    <t>RCU-R(2p)1</t>
  </si>
  <si>
    <t>RCU-R(2p)2</t>
  </si>
  <si>
    <t>RCU-R(2p)3</t>
  </si>
  <si>
    <t>RCU-R(2p)4</t>
  </si>
  <si>
    <t>RCU-R(2p)5</t>
  </si>
  <si>
    <t>RCU-R(2p)6</t>
  </si>
  <si>
    <t>bar11</t>
  </si>
  <si>
    <t>bar12</t>
  </si>
  <si>
    <t>bar13</t>
  </si>
  <si>
    <t>bar14</t>
  </si>
  <si>
    <t>bar15</t>
  </si>
  <si>
    <t>bar16</t>
  </si>
  <si>
    <t>bar17</t>
  </si>
  <si>
    <t>bar18</t>
  </si>
  <si>
    <t>bar19</t>
  </si>
  <si>
    <t>bar20</t>
  </si>
  <si>
    <t>bar21</t>
  </si>
  <si>
    <t>bar22</t>
  </si>
  <si>
    <t>bar23</t>
  </si>
  <si>
    <t>bar24</t>
  </si>
  <si>
    <t>(2039,</t>
  </si>
  <si>
    <t>1314)</t>
  </si>
  <si>
    <t>eqmt</t>
  </si>
  <si>
    <t>rcvr</t>
  </si>
  <si>
    <t>bar</t>
  </si>
  <si>
    <t>barrier IL</t>
  </si>
  <si>
    <t>r_name: R1 x: 33.28</t>
  </si>
  <si>
    <t xml:space="preserve"> y: 85.62</t>
  </si>
  <si>
    <t xml:space="preserve"> z: 65</t>
  </si>
  <si>
    <t>r_name: R2 x: 104.62</t>
  </si>
  <si>
    <t xml:space="preserve"> y: 52.77</t>
  </si>
  <si>
    <t xml:space="preserve"> z: 40</t>
  </si>
  <si>
    <t>r_name: R3 x: 217.01</t>
  </si>
  <si>
    <t xml:space="preserve"> y: 22.5</t>
  </si>
  <si>
    <t xml:space="preserve"> z: 60</t>
  </si>
  <si>
    <t>r_name: R4 x: 316.86</t>
  </si>
  <si>
    <t xml:space="preserve"> y: 86.55</t>
  </si>
  <si>
    <t>r_name: R5 x: 14.23</t>
  </si>
  <si>
    <t xml:space="preserve"> y: 213.83</t>
  </si>
  <si>
    <t xml:space="preserve"> z: 45</t>
  </si>
  <si>
    <t xml:space="preserve">eqmt: </t>
  </si>
  <si>
    <t xml:space="preserve"> rcvr: </t>
  </si>
  <si>
    <t xml:space="preserve"> bar: </t>
  </si>
  <si>
    <t>bar22 - OB_fresnel</t>
  </si>
  <si>
    <t xml:space="preserve"> barrier IL: </t>
  </si>
  <si>
    <t>bar21 - OB_fresnel</t>
  </si>
  <si>
    <t>GEF-R1-</t>
  </si>
  <si>
    <t>bar2 - OB_fresnel</t>
  </si>
  <si>
    <t>DEF-R1</t>
  </si>
  <si>
    <t>KEF-R1-</t>
  </si>
  <si>
    <t>bar20 - OB_fresnel</t>
  </si>
  <si>
    <t>bar22 - ari</t>
  </si>
  <si>
    <t>bar2 - ari</t>
  </si>
  <si>
    <t>bar20 - ari</t>
  </si>
  <si>
    <t>BEF-R01-</t>
  </si>
  <si>
    <t>None</t>
  </si>
  <si>
    <t>BEF-R02-</t>
  </si>
  <si>
    <t>BEF-R03-</t>
  </si>
  <si>
    <t>BEF-R04-</t>
  </si>
  <si>
    <t>BEF-R05-</t>
  </si>
  <si>
    <t>BEF-R06-</t>
  </si>
  <si>
    <t>BEF-R07-</t>
  </si>
  <si>
    <t>BEF-R08-</t>
  </si>
  <si>
    <t>BEF-R09-</t>
  </si>
  <si>
    <t>BEF-R10-</t>
  </si>
  <si>
    <t>BEF-R11-</t>
  </si>
  <si>
    <t>BEF-R12-</t>
  </si>
  <si>
    <t>BEF-R13-</t>
  </si>
  <si>
    <t>BEF-R14-</t>
  </si>
  <si>
    <t>bar18 - ari</t>
  </si>
  <si>
    <t>BEF-R15-</t>
  </si>
  <si>
    <t>BEF-R16-</t>
  </si>
  <si>
    <t>bar1 - OB_fresnel</t>
  </si>
  <si>
    <t>bar1 - ari</t>
  </si>
  <si>
    <t>bar21 - ari</t>
  </si>
  <si>
    <t>bar3 - OB_fresnel</t>
  </si>
  <si>
    <t>bar4 - OB_fresnel</t>
  </si>
  <si>
    <t>bar5 - OB_fresnel</t>
  </si>
  <si>
    <t>bar3 - ari</t>
  </si>
  <si>
    <t>bar5 - ari</t>
  </si>
  <si>
    <t>bar4 - ari</t>
  </si>
  <si>
    <t>bar12 - OB_fresnel</t>
  </si>
  <si>
    <t>bar6 - OB_fresnel</t>
  </si>
  <si>
    <t>bar12 - ari</t>
  </si>
  <si>
    <t>bar6 - ari</t>
  </si>
  <si>
    <t>bar11 - ari</t>
  </si>
  <si>
    <t>bar10 - ari</t>
  </si>
  <si>
    <t>bar8 - ari</t>
  </si>
  <si>
    <t>bar7 - ari</t>
  </si>
  <si>
    <t>bar17 - OB_fresnel</t>
  </si>
  <si>
    <t>bar17 - ari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</si>
</sst>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;;;@"/>
    <numFmt numFmtId="165" formatCode="0;\-0;;@"/>
    <numFmt numFmtId="166" formatCode="0.0"/>
    <numFmt numFmtId="167" formatCode="0.0;;;@"/>
    <numFmt numFmtId="168" formatCode="0.0;\-0.0;;@"/>
    <numFmt numFmtId="169" formatCode="0;[Red]0;[Red]&quot;0&quot;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 Narrow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theme="1"/>
      <name val="Arial Narrow"/>
      <family val="2"/>
    </font>
    <font>
      <b/>
      <sz val="11"/>
      <color indexed="8"/>
      <name val="Arial Narrow"/>
      <family val="2"/>
    </font>
    <font>
      <b/>
      <sz val="11"/>
      <color theme="1"/>
      <name val="Arial Narrow"/>
      <family val="2"/>
    </font>
    <font>
      <b/>
      <sz val="11"/>
      <color rgb="FFC00000"/>
      <name val="Arial Narrow"/>
      <family val="2"/>
    </font>
    <font>
      <sz val="11"/>
      <color rgb="FF3F3F76"/>
      <name val="Arial Narrow"/>
      <family val="2"/>
    </font>
    <font>
      <b/>
      <sz val="11"/>
      <color rgb="FFFA7D00"/>
      <name val="Arial Narrow"/>
      <family val="2"/>
    </font>
    <font>
      <b/>
      <sz val="1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Arial Narrow"/>
      <family val="2"/>
    </font>
    <font>
      <b/>
      <sz val="11"/>
      <color rgb="FF00B050"/>
      <name val="Arial Narrow"/>
      <family val="2"/>
    </font>
    <font>
      <sz val="11"/>
      <color rgb="FF00B050"/>
      <name val="Arial Narrow"/>
      <family val="2"/>
    </font>
    <font>
      <b/>
      <sz val="11"/>
      <color theme="0"/>
      <name val="Arial Narrow"/>
      <family val="2"/>
    </font>
    <font>
      <sz val="8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medium">
        <color indexed="64"/>
      </bottom>
      <diagonal/>
    </border>
  </borders>
  <cellStyleXfs count="10">
    <xf numFmtId="0" fontId="0" fillId="0" borderId="0"/>
    <xf numFmtId="0" fontId="6" fillId="6" borderId="18"/>
    <xf numFmtId="0" fontId="7" fillId="7" borderId="18"/>
    <xf numFmtId="0" fontId="13" fillId="10" borderId="18"/>
    <xf numFmtId="0" fontId="9" fillId="0" borderId="0"/>
    <xf numFmtId="0" fontId="13" fillId="12" borderId="18"/>
    <xf numFmtId="0" fontId="13" fillId="4" borderId="18"/>
    <xf numFmtId="2" fontId="14" fillId="7" borderId="18"/>
    <xf numFmtId="0" fontId="13" fillId="6" borderId="18"/>
    <xf numFmtId="169" fontId="21" fillId="13" borderId="18"/>
  </cellStyleXfs>
  <cellXfs count="221">
    <xf numFmtId="0" fontId="0" fillId="0" borderId="0" xfId="0"/>
    <xf numFmtId="0" fontId="1" fillId="0" borderId="5" xfId="0" applyFont="1" applyBorder="1" applyAlignment="1">
      <alignment horizontal="center"/>
    </xf>
    <xf numFmtId="1" fontId="1" fillId="8" borderId="5" xfId="0" applyNumberFormat="1" applyFont="1" applyFill="1" applyBorder="1" applyAlignment="1">
      <alignment horizontal="center"/>
    </xf>
    <xf numFmtId="0" fontId="12" fillId="2" borderId="18" xfId="0" applyFont="1" applyFill="1" applyBorder="1" applyAlignment="1">
      <alignment horizontal="center"/>
    </xf>
    <xf numFmtId="1" fontId="6" fillId="6" borderId="18" xfId="1" applyNumberFormat="1" applyAlignment="1">
      <alignment horizontal="left"/>
    </xf>
    <xf numFmtId="1" fontId="0" fillId="0" borderId="0" xfId="0" applyNumberFormat="1"/>
    <xf numFmtId="1" fontId="6" fillId="6" borderId="32" xfId="1" applyNumberFormat="1" applyBorder="1" applyAlignment="1">
      <alignment horizontal="left"/>
    </xf>
    <xf numFmtId="0" fontId="12" fillId="2" borderId="32" xfId="0" applyFont="1" applyFill="1" applyBorder="1" applyAlignment="1">
      <alignment horizontal="center"/>
    </xf>
    <xf numFmtId="1" fontId="8" fillId="6" borderId="22" xfId="1" applyNumberFormat="1" applyFont="1" applyBorder="1" applyAlignment="1">
      <alignment horizontal="center"/>
    </xf>
    <xf numFmtId="0" fontId="6" fillId="6" borderId="28" xfId="1" applyBorder="1" applyAlignment="1">
      <alignment horizontal="left"/>
    </xf>
    <xf numFmtId="0" fontId="6" fillId="6" borderId="30" xfId="1" applyBorder="1" applyAlignment="1">
      <alignment horizontal="left"/>
    </xf>
    <xf numFmtId="0" fontId="1" fillId="0" borderId="4" xfId="0" applyFont="1" applyBorder="1" applyAlignment="1">
      <alignment wrapText="1"/>
    </xf>
    <xf numFmtId="0" fontId="1" fillId="0" borderId="4" xfId="0" applyFont="1" applyBorder="1" applyAlignment="1">
      <alignment horizontal="left" wrapText="1"/>
    </xf>
    <xf numFmtId="49" fontId="10" fillId="2" borderId="4" xfId="0" applyNumberFormat="1" applyFont="1" applyFill="1" applyBorder="1" applyAlignment="1">
      <alignment horizontal="center" wrapText="1"/>
    </xf>
    <xf numFmtId="1" fontId="1" fillId="0" borderId="4" xfId="0" applyNumberFormat="1" applyFont="1" applyBorder="1" applyAlignment="1">
      <alignment horizontal="left" wrapText="1"/>
    </xf>
    <xf numFmtId="49" fontId="1" fillId="0" borderId="4" xfId="0" applyNumberFormat="1" applyFont="1" applyBorder="1" applyAlignment="1">
      <alignment horizontal="left" wrapText="1"/>
    </xf>
    <xf numFmtId="0" fontId="1" fillId="0" borderId="4" xfId="0" applyFont="1" applyBorder="1"/>
    <xf numFmtId="0" fontId="1" fillId="0" borderId="22" xfId="0" applyFont="1" applyBorder="1"/>
    <xf numFmtId="0" fontId="13" fillId="10" borderId="35" xfId="3" applyBorder="1" applyAlignment="1">
      <alignment horizontal="left"/>
    </xf>
    <xf numFmtId="0" fontId="13" fillId="10" borderId="39" xfId="3" applyBorder="1" applyAlignment="1">
      <alignment horizontal="left"/>
    </xf>
    <xf numFmtId="0" fontId="13" fillId="10" borderId="40" xfId="3" applyBorder="1" applyAlignment="1">
      <alignment horizontal="left"/>
    </xf>
    <xf numFmtId="0" fontId="9" fillId="0" borderId="0" xfId="4"/>
    <xf numFmtId="0" fontId="11" fillId="0" borderId="0" xfId="4" applyFont="1"/>
    <xf numFmtId="0" fontId="9" fillId="0" borderId="3" xfId="4" applyBorder="1"/>
    <xf numFmtId="0" fontId="11" fillId="0" borderId="5" xfId="4" applyFont="1" applyBorder="1"/>
    <xf numFmtId="0" fontId="11" fillId="0" borderId="10" xfId="4" applyFont="1" applyBorder="1"/>
    <xf numFmtId="0" fontId="11" fillId="0" borderId="11" xfId="4" applyFont="1" applyBorder="1"/>
    <xf numFmtId="0" fontId="11" fillId="0" borderId="12" xfId="4" applyFont="1" applyBorder="1"/>
    <xf numFmtId="0" fontId="11" fillId="0" borderId="19" xfId="4" applyFont="1" applyBorder="1"/>
    <xf numFmtId="0" fontId="13" fillId="12" borderId="41" xfId="5" applyBorder="1"/>
    <xf numFmtId="0" fontId="13" fillId="4" borderId="42" xfId="6" applyBorder="1"/>
    <xf numFmtId="0" fontId="13" fillId="4" borderId="13" xfId="6" applyBorder="1"/>
    <xf numFmtId="0" fontId="13" fillId="4" borderId="14" xfId="6" applyBorder="1"/>
    <xf numFmtId="0" fontId="13" fillId="12" borderId="43" xfId="5" applyBorder="1"/>
    <xf numFmtId="0" fontId="13" fillId="4" borderId="2" xfId="6" applyBorder="1"/>
    <xf numFmtId="0" fontId="13" fillId="4" borderId="1" xfId="6" applyBorder="1"/>
    <xf numFmtId="0" fontId="13" fillId="4" borderId="7" xfId="6" applyBorder="1"/>
    <xf numFmtId="0" fontId="9" fillId="0" borderId="0" xfId="4" applyAlignment="1">
      <alignment horizontal="center"/>
    </xf>
    <xf numFmtId="0" fontId="11" fillId="0" borderId="20" xfId="4" applyFont="1" applyBorder="1"/>
    <xf numFmtId="0" fontId="13" fillId="4" borderId="44" xfId="6" applyBorder="1"/>
    <xf numFmtId="0" fontId="9" fillId="0" borderId="0" xfId="4" applyAlignment="1">
      <alignment horizontal="right"/>
    </xf>
    <xf numFmtId="0" fontId="9" fillId="0" borderId="23" xfId="4" applyBorder="1"/>
    <xf numFmtId="0" fontId="11" fillId="0" borderId="46" xfId="4" applyFont="1" applyBorder="1"/>
    <xf numFmtId="2" fontId="9" fillId="0" borderId="0" xfId="4" applyNumberFormat="1"/>
    <xf numFmtId="0" fontId="11" fillId="0" borderId="23" xfId="4" applyFont="1" applyBorder="1"/>
    <xf numFmtId="2" fontId="14" fillId="7" borderId="50" xfId="7" applyBorder="1"/>
    <xf numFmtId="0" fontId="11" fillId="0" borderId="21" xfId="4" applyFont="1" applyBorder="1"/>
    <xf numFmtId="2" fontId="14" fillId="7" borderId="5" xfId="7" applyBorder="1"/>
    <xf numFmtId="2" fontId="14" fillId="7" borderId="18" xfId="7"/>
    <xf numFmtId="0" fontId="9" fillId="0" borderId="21" xfId="4" applyBorder="1"/>
    <xf numFmtId="0" fontId="11" fillId="0" borderId="4" xfId="4" applyFont="1" applyBorder="1"/>
    <xf numFmtId="0" fontId="11" fillId="0" borderId="22" xfId="4" applyFont="1" applyBorder="1"/>
    <xf numFmtId="0" fontId="13" fillId="6" borderId="1" xfId="8" applyBorder="1"/>
    <xf numFmtId="0" fontId="13" fillId="6" borderId="7" xfId="8" applyBorder="1"/>
    <xf numFmtId="0" fontId="13" fillId="6" borderId="15" xfId="8" applyBorder="1"/>
    <xf numFmtId="0" fontId="13" fillId="6" borderId="9" xfId="8" applyBorder="1"/>
    <xf numFmtId="0" fontId="3" fillId="11" borderId="1" xfId="4" applyFont="1" applyFill="1" applyBorder="1" applyAlignment="1">
      <alignment horizontal="center"/>
    </xf>
    <xf numFmtId="0" fontId="4" fillId="11" borderId="1" xfId="4" applyFont="1" applyFill="1" applyBorder="1" applyAlignment="1">
      <alignment horizontal="center"/>
    </xf>
    <xf numFmtId="1" fontId="7" fillId="7" borderId="35" xfId="2" applyNumberFormat="1" applyBorder="1"/>
    <xf numFmtId="1" fontId="7" fillId="7" borderId="39" xfId="2" applyNumberFormat="1" applyBorder="1"/>
    <xf numFmtId="1" fontId="7" fillId="7" borderId="40" xfId="2" applyNumberFormat="1" applyBorder="1"/>
    <xf numFmtId="0" fontId="1" fillId="0" borderId="0" xfId="0" applyFont="1" applyAlignment="1">
      <alignment horizontal="left"/>
    </xf>
    <xf numFmtId="0" fontId="13" fillId="10" borderId="36" xfId="3" applyBorder="1" applyAlignment="1">
      <alignment horizontal="left"/>
    </xf>
    <xf numFmtId="1" fontId="7" fillId="7" borderId="36" xfId="2" applyNumberFormat="1" applyBorder="1"/>
    <xf numFmtId="1" fontId="20" fillId="14" borderId="1" xfId="0" applyNumberFormat="1" applyFont="1" applyFill="1" applyBorder="1" applyAlignment="1">
      <alignment horizontal="center" vertical="center"/>
    </xf>
    <xf numFmtId="1" fontId="5" fillId="9" borderId="7" xfId="0" applyNumberFormat="1" applyFont="1" applyFill="1" applyBorder="1" applyAlignment="1">
      <alignment horizontal="center" vertical="center"/>
    </xf>
    <xf numFmtId="1" fontId="5" fillId="9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3" fillId="10" borderId="5" xfId="3" applyBorder="1"/>
    <xf numFmtId="0" fontId="13" fillId="12" borderId="5" xfId="5" applyBorder="1" applyAlignment="1">
      <alignment horizontal="center"/>
    </xf>
    <xf numFmtId="0" fontId="7" fillId="7" borderId="33" xfId="2" applyBorder="1"/>
    <xf numFmtId="1" fontId="6" fillId="6" borderId="30" xfId="1" applyNumberFormat="1" applyBorder="1" applyAlignment="1">
      <alignment horizontal="left"/>
    </xf>
    <xf numFmtId="0" fontId="1" fillId="0" borderId="60" xfId="0" applyFont="1" applyBorder="1"/>
    <xf numFmtId="0" fontId="1" fillId="0" borderId="61" xfId="0" applyFont="1" applyBorder="1"/>
    <xf numFmtId="1" fontId="1" fillId="0" borderId="61" xfId="0" applyNumberFormat="1" applyFont="1" applyBorder="1"/>
    <xf numFmtId="0" fontId="1" fillId="0" borderId="62" xfId="0" applyFont="1" applyBorder="1"/>
    <xf numFmtId="0" fontId="1" fillId="0" borderId="19" xfId="0" applyFont="1" applyBorder="1"/>
    <xf numFmtId="0" fontId="1" fillId="0" borderId="0" xfId="0" applyFont="1"/>
    <xf numFmtId="1" fontId="1" fillId="0" borderId="0" xfId="0" applyNumberFormat="1" applyFont="1"/>
    <xf numFmtId="0" fontId="1" fillId="0" borderId="63" xfId="0" applyFont="1" applyBorder="1"/>
    <xf numFmtId="1" fontId="11" fillId="8" borderId="5" xfId="0" applyNumberFormat="1" applyFont="1" applyFill="1" applyBorder="1" applyAlignment="1">
      <alignment horizontal="center"/>
    </xf>
    <xf numFmtId="1" fontId="6" fillId="6" borderId="37" xfId="1" applyNumberFormat="1" applyBorder="1" applyAlignment="1">
      <alignment horizontal="left"/>
    </xf>
    <xf numFmtId="0" fontId="12" fillId="2" borderId="37" xfId="0" applyFont="1" applyFill="1" applyBorder="1" applyAlignment="1">
      <alignment horizontal="center"/>
    </xf>
    <xf numFmtId="0" fontId="1" fillId="0" borderId="3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22" xfId="0" applyFont="1" applyBorder="1" applyAlignment="1">
      <alignment horizontal="left"/>
    </xf>
    <xf numFmtId="0" fontId="6" fillId="6" borderId="34" xfId="1" applyBorder="1" applyAlignment="1">
      <alignment horizontal="left"/>
    </xf>
    <xf numFmtId="1" fontId="6" fillId="6" borderId="38" xfId="1" applyNumberFormat="1" applyBorder="1" applyAlignment="1">
      <alignment horizontal="left"/>
    </xf>
    <xf numFmtId="0" fontId="13" fillId="10" borderId="4" xfId="3" applyBorder="1"/>
    <xf numFmtId="0" fontId="13" fillId="10" borderId="22" xfId="3" applyBorder="1"/>
    <xf numFmtId="1" fontId="20" fillId="14" borderId="13" xfId="0" applyNumberFormat="1" applyFont="1" applyFill="1" applyBorder="1" applyAlignment="1">
      <alignment horizontal="center" vertical="center"/>
    </xf>
    <xf numFmtId="0" fontId="19" fillId="14" borderId="13" xfId="0" quotePrefix="1" applyFont="1" applyFill="1" applyBorder="1" applyAlignment="1">
      <alignment horizontal="center" vertical="center"/>
    </xf>
    <xf numFmtId="1" fontId="5" fillId="9" borderId="14" xfId="0" applyNumberFormat="1" applyFont="1" applyFill="1" applyBorder="1" applyAlignment="1">
      <alignment horizontal="center" vertical="center"/>
    </xf>
    <xf numFmtId="0" fontId="22" fillId="5" borderId="10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 wrapText="1"/>
    </xf>
    <xf numFmtId="0" fontId="22" fillId="5" borderId="12" xfId="0" applyFont="1" applyFill="1" applyBorder="1" applyAlignment="1">
      <alignment horizontal="center" vertical="center"/>
    </xf>
    <xf numFmtId="1" fontId="20" fillId="14" borderId="66" xfId="0" applyNumberFormat="1" applyFont="1" applyFill="1" applyBorder="1" applyAlignment="1">
      <alignment horizontal="center" vertical="center"/>
    </xf>
    <xf numFmtId="0" fontId="19" fillId="14" borderId="65" xfId="0" quotePrefix="1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left" vertical="center"/>
    </xf>
    <xf numFmtId="0" fontId="5" fillId="9" borderId="4" xfId="0" applyFont="1" applyFill="1" applyBorder="1" applyAlignment="1">
      <alignment vertical="center"/>
    </xf>
    <xf numFmtId="0" fontId="5" fillId="9" borderId="22" xfId="0" applyFont="1" applyFill="1" applyBorder="1" applyAlignment="1">
      <alignment vertical="center"/>
    </xf>
    <xf numFmtId="1" fontId="6" fillId="6" borderId="67" xfId="1" applyNumberFormat="1" applyBorder="1" applyAlignment="1">
      <alignment horizontal="left"/>
    </xf>
    <xf numFmtId="0" fontId="13" fillId="6" borderId="13" xfId="8" applyBorder="1"/>
    <xf numFmtId="0" fontId="13" fillId="6" borderId="14" xfId="8" applyBorder="1"/>
    <xf numFmtId="1" fontId="0" fillId="0" borderId="0" xfId="0" applyNumberFormat="1" applyAlignment="1">
      <alignment horizontal="center"/>
    </xf>
    <xf numFmtId="1" fontId="11" fillId="15" borderId="5" xfId="0" applyNumberFormat="1" applyFont="1" applyFill="1" applyBorder="1" applyAlignment="1">
      <alignment horizontal="center"/>
    </xf>
    <xf numFmtId="1" fontId="7" fillId="7" borderId="18" xfId="2" applyNumberFormat="1" applyAlignment="1">
      <alignment horizontal="left"/>
    </xf>
    <xf numFmtId="0" fontId="0" fillId="0" borderId="3" xfId="0" applyBorder="1"/>
    <xf numFmtId="0" fontId="0" fillId="0" borderId="22" xfId="0" applyBorder="1"/>
    <xf numFmtId="0" fontId="13" fillId="6" borderId="42" xfId="8" applyBorder="1"/>
    <xf numFmtId="0" fontId="13" fillId="6" borderId="2" xfId="8" applyBorder="1"/>
    <xf numFmtId="0" fontId="13" fillId="6" borderId="44" xfId="8" applyBorder="1"/>
    <xf numFmtId="0" fontId="13" fillId="6" borderId="68" xfId="8" applyBorder="1"/>
    <xf numFmtId="0" fontId="13" fillId="6" borderId="43" xfId="8" applyBorder="1"/>
    <xf numFmtId="0" fontId="13" fillId="6" borderId="69" xfId="8" applyBorder="1"/>
    <xf numFmtId="0" fontId="13" fillId="5" borderId="43" xfId="6" applyFill="1" applyBorder="1"/>
    <xf numFmtId="2" fontId="14" fillId="7" borderId="16" xfId="7" applyBorder="1"/>
    <xf numFmtId="2" fontId="14" fillId="7" borderId="6" xfId="7" applyBorder="1"/>
    <xf numFmtId="2" fontId="14" fillId="7" borderId="8" xfId="7" applyBorder="1"/>
    <xf numFmtId="164" fontId="15" fillId="3" borderId="35" xfId="0" applyNumberFormat="1" applyFont="1" applyFill="1" applyBorder="1" applyAlignment="1">
      <alignment wrapText="1"/>
    </xf>
    <xf numFmtId="164" fontId="15" fillId="4" borderId="36" xfId="0" applyNumberFormat="1" applyFont="1" applyFill="1" applyBorder="1"/>
    <xf numFmtId="164" fontId="15" fillId="9" borderId="36" xfId="0" applyNumberFormat="1" applyFont="1" applyFill="1" applyBorder="1"/>
    <xf numFmtId="164" fontId="2" fillId="3" borderId="34" xfId="0" applyNumberFormat="1" applyFont="1" applyFill="1" applyBorder="1"/>
    <xf numFmtId="164" fontId="2" fillId="4" borderId="57" xfId="0" applyNumberFormat="1" applyFont="1" applyFill="1" applyBorder="1"/>
    <xf numFmtId="164" fontId="2" fillId="9" borderId="57" xfId="0" applyNumberFormat="1" applyFont="1" applyFill="1" applyBorder="1"/>
    <xf numFmtId="165" fontId="7" fillId="7" borderId="18" xfId="2" applyNumberFormat="1" applyAlignment="1">
      <alignment horizontal="left"/>
    </xf>
    <xf numFmtId="166" fontId="6" fillId="6" borderId="38" xfId="1" applyNumberFormat="1" applyBorder="1" applyAlignment="1">
      <alignment horizontal="left"/>
    </xf>
    <xf numFmtId="167" fontId="16" fillId="7" borderId="34" xfId="2" applyNumberFormat="1" applyFont="1" applyBorder="1" applyAlignment="1">
      <alignment horizontal="left"/>
    </xf>
    <xf numFmtId="164" fontId="16" fillId="7" borderId="57" xfId="2" applyNumberFormat="1" applyFont="1" applyBorder="1" applyAlignment="1">
      <alignment horizontal="left"/>
    </xf>
    <xf numFmtId="164" fontId="16" fillId="7" borderId="37" xfId="2" applyNumberFormat="1" applyFont="1" applyBorder="1" applyAlignment="1">
      <alignment horizontal="left"/>
    </xf>
    <xf numFmtId="164" fontId="16" fillId="7" borderId="38" xfId="2" applyNumberFormat="1" applyFont="1" applyBorder="1" applyAlignment="1">
      <alignment horizontal="left"/>
    </xf>
    <xf numFmtId="164" fontId="0" fillId="0" borderId="0" xfId="0" applyNumberFormat="1"/>
    <xf numFmtId="168" fontId="17" fillId="7" borderId="28" xfId="2" applyNumberFormat="1" applyFont="1" applyBorder="1" applyAlignment="1">
      <alignment horizontal="left"/>
    </xf>
    <xf numFmtId="165" fontId="17" fillId="7" borderId="25" xfId="2" applyNumberFormat="1" applyFont="1" applyBorder="1" applyAlignment="1">
      <alignment horizontal="left"/>
    </xf>
    <xf numFmtId="165" fontId="17" fillId="7" borderId="26" xfId="2" applyNumberFormat="1" applyFont="1" applyBorder="1" applyAlignment="1">
      <alignment horizontal="left"/>
    </xf>
    <xf numFmtId="165" fontId="17" fillId="7" borderId="27" xfId="2" applyNumberFormat="1" applyFont="1" applyBorder="1" applyAlignment="1">
      <alignment horizontal="left"/>
    </xf>
    <xf numFmtId="164" fontId="0" fillId="0" borderId="0" xfId="0" applyNumberFormat="1" applyAlignment="1">
      <alignment horizontal="right"/>
    </xf>
    <xf numFmtId="164" fontId="6" fillId="6" borderId="18" xfId="1" applyNumberFormat="1"/>
    <xf numFmtId="164" fontId="15" fillId="7" borderId="54" xfId="2" applyNumberFormat="1" applyFont="1" applyBorder="1" applyAlignment="1">
      <alignment horizontal="left"/>
    </xf>
    <xf numFmtId="164" fontId="15" fillId="7" borderId="58" xfId="2" applyNumberFormat="1" applyFont="1" applyBorder="1" applyAlignment="1">
      <alignment horizontal="left"/>
    </xf>
    <xf numFmtId="164" fontId="15" fillId="7" borderId="52" xfId="2" applyNumberFormat="1" applyFont="1" applyBorder="1" applyAlignment="1">
      <alignment horizontal="left"/>
    </xf>
    <xf numFmtId="164" fontId="15" fillId="7" borderId="55" xfId="2" applyNumberFormat="1" applyFont="1" applyBorder="1" applyAlignment="1">
      <alignment horizontal="left"/>
    </xf>
    <xf numFmtId="164" fontId="2" fillId="3" borderId="28" xfId="0" applyNumberFormat="1" applyFont="1" applyFill="1" applyBorder="1"/>
    <xf numFmtId="164" fontId="2" fillId="4" borderId="24" xfId="0" applyNumberFormat="1" applyFont="1" applyFill="1" applyBorder="1"/>
    <xf numFmtId="164" fontId="2" fillId="9" borderId="24" xfId="0" applyNumberFormat="1" applyFont="1" applyFill="1" applyBorder="1"/>
    <xf numFmtId="166" fontId="6" fillId="6" borderId="29" xfId="1" applyNumberFormat="1" applyBorder="1" applyAlignment="1">
      <alignment horizontal="left"/>
    </xf>
    <xf numFmtId="167" fontId="16" fillId="7" borderId="28" xfId="2" applyNumberFormat="1" applyFont="1" applyBorder="1" applyAlignment="1">
      <alignment horizontal="left"/>
    </xf>
    <xf numFmtId="164" fontId="16" fillId="7" borderId="24" xfId="2" applyNumberFormat="1" applyFont="1" applyBorder="1" applyAlignment="1">
      <alignment horizontal="left"/>
    </xf>
    <xf numFmtId="164" fontId="16" fillId="7" borderId="18" xfId="2" applyNumberFormat="1" applyFont="1" applyAlignment="1">
      <alignment horizontal="left"/>
    </xf>
    <xf numFmtId="164" fontId="16" fillId="7" borderId="29" xfId="2" applyNumberFormat="1" applyFont="1" applyBorder="1" applyAlignment="1">
      <alignment horizontal="left"/>
    </xf>
    <xf numFmtId="165" fontId="17" fillId="7" borderId="24" xfId="2" applyNumberFormat="1" applyFont="1" applyBorder="1" applyAlignment="1">
      <alignment horizontal="left"/>
    </xf>
    <xf numFmtId="165" fontId="17" fillId="7" borderId="18" xfId="2" applyNumberFormat="1" applyFont="1" applyAlignment="1">
      <alignment horizontal="left"/>
    </xf>
    <xf numFmtId="165" fontId="17" fillId="7" borderId="29" xfId="2" applyNumberFormat="1" applyFont="1" applyBorder="1" applyAlignment="1">
      <alignment horizontal="left"/>
    </xf>
    <xf numFmtId="164" fontId="15" fillId="7" borderId="56" xfId="2" applyNumberFormat="1" applyFont="1" applyBorder="1" applyAlignment="1">
      <alignment horizontal="left"/>
    </xf>
    <xf numFmtId="164" fontId="15" fillId="7" borderId="59" xfId="2" applyNumberFormat="1" applyFont="1" applyBorder="1" applyAlignment="1">
      <alignment horizontal="left"/>
    </xf>
    <xf numFmtId="164" fontId="15" fillId="7" borderId="53" xfId="2" applyNumberFormat="1" applyFont="1" applyBorder="1" applyAlignment="1">
      <alignment horizontal="left"/>
    </xf>
    <xf numFmtId="164" fontId="1" fillId="0" borderId="0" xfId="0" applyNumberFormat="1" applyFont="1" applyAlignment="1">
      <alignment horizontal="left"/>
    </xf>
    <xf numFmtId="166" fontId="14" fillId="7" borderId="45" xfId="7" applyNumberFormat="1" applyBorder="1"/>
    <xf numFmtId="166" fontId="14" fillId="7" borderId="17" xfId="7" applyNumberFormat="1" applyBorder="1"/>
    <xf numFmtId="166" fontId="14" fillId="7" borderId="47" xfId="7" applyNumberFormat="1" applyBorder="1"/>
    <xf numFmtId="166" fontId="14" fillId="7" borderId="7" xfId="7" applyNumberFormat="1" applyBorder="1"/>
    <xf numFmtId="166" fontId="14" fillId="7" borderId="48" xfId="7" applyNumberFormat="1" applyBorder="1"/>
    <xf numFmtId="166" fontId="14" fillId="7" borderId="49" xfId="7" applyNumberFormat="1" applyBorder="1"/>
    <xf numFmtId="166" fontId="14" fillId="7" borderId="51" xfId="7" applyNumberFormat="1" applyBorder="1"/>
    <xf numFmtId="166" fontId="14" fillId="7" borderId="9" xfId="7" applyNumberFormat="1" applyBorder="1"/>
    <xf numFmtId="164" fontId="16" fillId="7" borderId="28" xfId="2" applyNumberFormat="1" applyFont="1" applyBorder="1" applyAlignment="1">
      <alignment horizontal="left"/>
    </xf>
    <xf numFmtId="164" fontId="15" fillId="7" borderId="28" xfId="2" applyNumberFormat="1" applyFont="1" applyBorder="1" applyAlignment="1">
      <alignment horizontal="left"/>
    </xf>
    <xf numFmtId="164" fontId="15" fillId="7" borderId="24" xfId="2" applyNumberFormat="1" applyFont="1" applyBorder="1" applyAlignment="1">
      <alignment horizontal="left"/>
    </xf>
    <xf numFmtId="166" fontId="6" fillId="6" borderId="18" xfId="1" applyNumberFormat="1" applyAlignment="1">
      <alignment horizontal="left"/>
    </xf>
    <xf numFmtId="164" fontId="15" fillId="7" borderId="18" xfId="2" applyNumberFormat="1" applyFont="1" applyAlignment="1">
      <alignment horizontal="left"/>
    </xf>
    <xf numFmtId="164" fontId="15" fillId="7" borderId="29" xfId="2" applyNumberFormat="1" applyFont="1" applyBorder="1" applyAlignment="1">
      <alignment horizontal="left"/>
    </xf>
    <xf numFmtId="164" fontId="2" fillId="3" borderId="30" xfId="0" applyNumberFormat="1" applyFont="1" applyFill="1" applyBorder="1"/>
    <xf numFmtId="164" fontId="2" fillId="4" borderId="31" xfId="0" applyNumberFormat="1" applyFont="1" applyFill="1" applyBorder="1"/>
    <xf numFmtId="164" fontId="2" fillId="9" borderId="31" xfId="0" applyNumberFormat="1" applyFont="1" applyFill="1" applyBorder="1"/>
    <xf numFmtId="166" fontId="6" fillId="6" borderId="32" xfId="1" applyNumberFormat="1" applyBorder="1" applyAlignment="1">
      <alignment horizontal="left"/>
    </xf>
    <xf numFmtId="166" fontId="6" fillId="6" borderId="33" xfId="1" applyNumberFormat="1" applyBorder="1" applyAlignment="1">
      <alignment horizontal="left"/>
    </xf>
    <xf numFmtId="164" fontId="16" fillId="7" borderId="30" xfId="2" applyNumberFormat="1" applyFont="1" applyBorder="1" applyAlignment="1">
      <alignment horizontal="left"/>
    </xf>
    <xf numFmtId="164" fontId="16" fillId="7" borderId="31" xfId="2" applyNumberFormat="1" applyFont="1" applyBorder="1" applyAlignment="1">
      <alignment horizontal="left"/>
    </xf>
    <xf numFmtId="164" fontId="16" fillId="7" borderId="32" xfId="2" applyNumberFormat="1" applyFont="1" applyBorder="1" applyAlignment="1">
      <alignment horizontal="left"/>
    </xf>
    <xf numFmtId="164" fontId="16" fillId="7" borderId="33" xfId="2" applyNumberFormat="1" applyFont="1" applyBorder="1" applyAlignment="1">
      <alignment horizontal="left"/>
    </xf>
    <xf numFmtId="165" fontId="18" fillId="7" borderId="31" xfId="2" applyNumberFormat="1" applyFont="1" applyBorder="1" applyAlignment="1">
      <alignment horizontal="left"/>
    </xf>
    <xf numFmtId="165" fontId="18" fillId="7" borderId="32" xfId="2" applyNumberFormat="1" applyFont="1" applyBorder="1" applyAlignment="1">
      <alignment horizontal="left"/>
    </xf>
    <xf numFmtId="165" fontId="18" fillId="7" borderId="33" xfId="2" applyNumberFormat="1" applyFont="1" applyBorder="1" applyAlignment="1">
      <alignment horizontal="left"/>
    </xf>
    <xf numFmtId="164" fontId="15" fillId="7" borderId="30" xfId="2" applyNumberFormat="1" applyFont="1" applyBorder="1" applyAlignment="1">
      <alignment horizontal="left"/>
    </xf>
    <xf numFmtId="164" fontId="15" fillId="7" borderId="31" xfId="2" applyNumberFormat="1" applyFont="1" applyBorder="1" applyAlignment="1">
      <alignment horizontal="left"/>
    </xf>
    <xf numFmtId="164" fontId="15" fillId="7" borderId="32" xfId="2" applyNumberFormat="1" applyFont="1" applyBorder="1" applyAlignment="1">
      <alignment horizontal="left"/>
    </xf>
    <xf numFmtId="164" fontId="15" fillId="7" borderId="33" xfId="2" applyNumberFormat="1" applyFont="1" applyBorder="1" applyAlignment="1">
      <alignment horizontal="left"/>
    </xf>
    <xf numFmtId="164" fontId="13" fillId="10" borderId="35" xfId="3" applyNumberFormat="1" applyBorder="1" applyAlignment="1">
      <alignment horizontal="left"/>
    </xf>
    <xf numFmtId="164" fontId="12" fillId="3" borderId="64" xfId="0" applyNumberFormat="1" applyFont="1" applyFill="1" applyBorder="1" applyAlignment="1">
      <alignment horizontal="center"/>
    </xf>
    <xf numFmtId="164" fontId="12" fillId="4" borderId="13" xfId="0" applyNumberFormat="1" applyFont="1" applyFill="1" applyBorder="1"/>
    <xf numFmtId="164" fontId="2" fillId="3" borderId="64" xfId="0" applyNumberFormat="1" applyFont="1" applyFill="1" applyBorder="1" applyAlignment="1">
      <alignment horizontal="center"/>
    </xf>
    <xf numFmtId="164" fontId="2" fillId="4" borderId="13" xfId="0" applyNumberFormat="1" applyFont="1" applyFill="1" applyBorder="1"/>
    <xf numFmtId="164" fontId="12" fillId="3" borderId="6" xfId="0" applyNumberFormat="1" applyFont="1" applyFill="1" applyBorder="1" applyAlignment="1">
      <alignment horizontal="center"/>
    </xf>
    <xf numFmtId="164" fontId="2" fillId="3" borderId="6" xfId="0" applyNumberFormat="1" applyFont="1" applyFill="1" applyBorder="1" applyAlignment="1">
      <alignment horizontal="center"/>
    </xf>
    <xf numFmtId="164" fontId="12" fillId="3" borderId="50" xfId="0" applyNumberFormat="1" applyFont="1" applyFill="1" applyBorder="1" applyAlignment="1">
      <alignment horizontal="center"/>
    </xf>
    <xf numFmtId="164" fontId="12" fillId="4" borderId="65" xfId="0" applyNumberFormat="1" applyFont="1" applyFill="1" applyBorder="1"/>
    <xf numFmtId="166" fontId="0" fillId="0" borderId="0" xfId="0" applyNumberFormat="1"/>
    <xf numFmtId="0" fontId="0" fillId="0" borderId="0" xfId="0" applyAlignment="1">
      <alignment horizontal="right"/>
    </xf>
    <xf numFmtId="164" fontId="2" fillId="9" borderId="70" xfId="0" applyNumberFormat="1" applyFont="1" applyFill="1" applyBorder="1"/>
    <xf numFmtId="164" fontId="2" fillId="9" borderId="71" xfId="0" applyNumberFormat="1" applyFont="1" applyFill="1" applyBorder="1"/>
    <xf numFmtId="164" fontId="2" fillId="9" borderId="72" xfId="0" applyNumberFormat="1" applyFont="1" applyFill="1" applyBorder="1"/>
    <xf numFmtId="0" fontId="12" fillId="2" borderId="57" xfId="0" applyFont="1" applyFill="1" applyBorder="1" applyAlignment="1">
      <alignment horizontal="center"/>
    </xf>
    <xf numFmtId="0" fontId="12" fillId="2" borderId="24" xfId="0" applyFont="1" applyFill="1" applyBorder="1" applyAlignment="1">
      <alignment horizontal="center"/>
    </xf>
    <xf numFmtId="0" fontId="12" fillId="2" borderId="31" xfId="0" applyFont="1" applyFill="1" applyBorder="1" applyAlignment="1">
      <alignment horizontal="center"/>
    </xf>
    <xf numFmtId="1" fontId="6" fillId="6" borderId="73" xfId="1" applyNumberFormat="1" applyBorder="1" applyAlignment="1">
      <alignment horizontal="left"/>
    </xf>
    <xf numFmtId="1" fontId="6" fillId="6" borderId="26" xfId="1" applyNumberFormat="1" applyBorder="1" applyAlignment="1">
      <alignment horizontal="left"/>
    </xf>
    <xf numFmtId="1" fontId="6" fillId="6" borderId="27" xfId="1" applyNumberFormat="1" applyBorder="1" applyAlignment="1">
      <alignment horizontal="left"/>
    </xf>
    <xf numFmtId="1" fontId="6" fillId="6" borderId="28" xfId="1" applyNumberFormat="1" applyBorder="1" applyAlignment="1">
      <alignment horizontal="left"/>
    </xf>
    <xf numFmtId="1" fontId="6" fillId="6" borderId="18" xfId="1" applyNumberFormat="1" applyBorder="1" applyAlignment="1">
      <alignment horizontal="left"/>
    </xf>
    <xf numFmtId="1" fontId="6" fillId="6" borderId="29" xfId="1" applyNumberFormat="1" applyBorder="1" applyAlignment="1">
      <alignment horizontal="left"/>
    </xf>
    <xf numFmtId="1" fontId="6" fillId="6" borderId="33" xfId="1" applyNumberFormat="1" applyBorder="1" applyAlignment="1">
      <alignment horizontal="left"/>
    </xf>
    <xf numFmtId="1" fontId="6" fillId="6" borderId="74" xfId="1" applyNumberFormat="1" applyBorder="1" applyAlignment="1">
      <alignment horizontal="left"/>
    </xf>
    <xf numFmtId="1" fontId="6" fillId="6" borderId="75" xfId="1" applyNumberFormat="1" applyBorder="1" applyAlignment="1">
      <alignment horizontal="left"/>
    </xf>
    <xf numFmtId="1" fontId="6" fillId="6" borderId="76" xfId="1" applyNumberFormat="1" applyBorder="1" applyAlignment="1">
      <alignment horizontal="left"/>
    </xf>
    <xf numFmtId="0" fontId="1" fillId="0" borderId="3" xfId="0" applyFont="1" applyBorder="1" applyAlignment="1">
      <alignment wrapText="1"/>
    </xf>
    <xf numFmtId="0" fontId="1" fillId="0" borderId="22" xfId="0" applyFont="1" applyBorder="1" applyAlignment="1">
      <alignment horizontal="left" wrapText="1"/>
    </xf>
    <xf numFmtId="0" fontId="9" fillId="11" borderId="1" xfId="4" applyFill="1" applyBorder="1" applyAlignment="1">
      <alignment horizontal="center"/>
    </xf>
    <xf numFmtId="0" fontId="0" fillId="0" borderId="2" xfId="0" applyBorder="1"/>
  </cellXfs>
  <cellStyles count="10">
    <cellStyle name="Calculation" xfId="2" builtinId="22"/>
    <cellStyle name="Calculation (RG)" xfId="9" xr:uid="{00000000-0005-0000-0000-000009000000}"/>
    <cellStyle name="Calculation 2" xfId="7" xr:uid="{00000000-0005-0000-0000-000007000000}"/>
    <cellStyle name="Input" xfId="1" builtinId="20"/>
    <cellStyle name="Input 2" xfId="8" xr:uid="{00000000-0005-0000-0000-000008000000}"/>
    <cellStyle name="List" xfId="5" xr:uid="{00000000-0005-0000-0000-000005000000}"/>
    <cellStyle name="Normal" xfId="0" builtinId="0"/>
    <cellStyle name="Normal 2" xfId="4" xr:uid="{00000000-0005-0000-0000-000004000000}"/>
    <cellStyle name="Reference" xfId="3" xr:uid="{00000000-0005-0000-0000-000003000000}"/>
    <cellStyle name="Reference 2" xfId="6" xr:uid="{00000000-0005-0000-0000-000006000000}"/>
  </cellStyles>
  <dxfs count="11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9"/>
      </font>
      <fill>
        <patternFill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latin typeface="Arial Narrow" panose="020B0606020202030204" pitchFamily="34" charset="0"/>
              </a:rPr>
              <a:t>Noise Barrier - Geometry</a:t>
            </a:r>
            <a:endParaRPr lang="en-US">
              <a:latin typeface="Arial Narrow" panose="020B0606020202030204" pitchFamily="34" charset="0"/>
            </a:endParaRPr>
          </a:p>
        </c:rich>
      </c:tx>
      <c:layout>
        <c:manualLayout>
          <c:xMode val="edge"/>
          <c:yMode val="edge"/>
          <c:x val="0.37378672753816211"/>
          <c:y val="1.618056013724514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6192038495188"/>
          <c:y val="0.1158583545780197"/>
          <c:w val="0.84087445319335097"/>
          <c:h val="0.64122753022467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'Input LwA_XYZ'!$BO$27</c:f>
              <c:strCache>
                <c:ptCount val="1"/>
                <c:pt idx="0">
                  <c:v>Path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80"/>
                </a:solidFill>
                <a:ln>
                  <a:solidFill>
                    <a:srgbClr val="1F497D"/>
                  </a:solidFill>
                  <a:prstDash val="lgDash"/>
                </a:ln>
              </c:spPr>
            </c:marker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6AA-4F32-8F2B-6C4D12F1BA00}"/>
              </c:ext>
            </c:extLst>
          </c:dPt>
          <c:dPt>
            <c:idx val="3"/>
            <c:bubble3D val="0"/>
            <c:spPr>
              <a:ln w="3175">
                <a:solidFill>
                  <a:srgbClr val="3366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3-D6AA-4F32-8F2B-6C4D12F1BA00}"/>
              </c:ext>
            </c:extLst>
          </c:dPt>
          <c:xVal>
            <c:numRef>
              <c:f>'Input LwA_XYZ'!$BP$27:$BP$30</c:f>
              <c:numCache>
                <c:formatCode>General</c:formatCode>
                <c:ptCount val="4"/>
                <c:pt idx="0">
                  <c:v>0</c:v>
                </c:pt>
                <c:pt idx="1">
                  <c:v>28.221749697515794</c:v>
                </c:pt>
                <c:pt idx="2">
                  <c:v>72.147250813873711</c:v>
                </c:pt>
                <c:pt idx="3">
                  <c:v>0</c:v>
                </c:pt>
              </c:numCache>
            </c:numRef>
          </c:xVal>
          <c:yVal>
            <c:numRef>
              <c:f>'Input LwA_XYZ'!$BQ$27:$BQ$30</c:f>
              <c:numCache>
                <c:formatCode>0.00</c:formatCode>
                <c:ptCount val="4"/>
                <c:pt idx="0" formatCode="General">
                  <c:v>74.25</c:v>
                </c:pt>
                <c:pt idx="1">
                  <c:v>75.400000000000006</c:v>
                </c:pt>
                <c:pt idx="2" formatCode="General">
                  <c:v>65</c:v>
                </c:pt>
                <c:pt idx="3" formatCode="General">
                  <c:v>74.25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6AA-4F32-8F2B-6C4D12F1BA00}"/>
            </c:ext>
          </c:extLst>
        </c:ser>
        <c:ser>
          <c:idx val="1"/>
          <c:order val="1"/>
          <c:tx>
            <c:strRef>
              <c:f>'Input LwA_XYZ'!$BO$28</c:f>
              <c:strCache>
                <c:ptCount val="1"/>
                <c:pt idx="0">
                  <c:v>Barrier - Min 4lb/ft2, unperforated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minus>
              <c:numRef>
                <c:f>'Input LwA_XYZ'!$BS$6</c:f>
                <c:numCache>
                  <c:formatCode>General</c:formatCode>
                  <c:ptCount val="1"/>
                  <c:pt idx="0">
                    <c:v>75.400000000000006</c:v>
                  </c:pt>
                </c:numCache>
              </c:numRef>
            </c:minus>
            <c:spPr>
              <a:ln w="25400">
                <a:solidFill>
                  <a:srgbClr val="FF00FF"/>
                </a:solidFill>
                <a:prstDash val="solid"/>
              </a:ln>
            </c:spPr>
          </c:errBars>
          <c:xVal>
            <c:numRef>
              <c:f>'Input LwA_XYZ'!$BP$28</c:f>
              <c:numCache>
                <c:formatCode>General</c:formatCode>
                <c:ptCount val="1"/>
                <c:pt idx="0">
                  <c:v>28.221749697515794</c:v>
                </c:pt>
              </c:numCache>
            </c:numRef>
          </c:xVal>
          <c:yVal>
            <c:numRef>
              <c:f>'Input LwA_XYZ'!$BQ$28</c:f>
              <c:numCache>
                <c:formatCode>0.00</c:formatCode>
                <c:ptCount val="1"/>
                <c:pt idx="0">
                  <c:v>75.400000000000006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6AA-4F32-8F2B-6C4D12F1BA00}"/>
            </c:ext>
          </c:extLst>
        </c:ser>
        <c:ser>
          <c:idx val="2"/>
          <c:order val="2"/>
          <c:tx>
            <c:strRef>
              <c:f>'Input LwA_XYZ'!$BO$29</c:f>
              <c:strCache>
                <c:ptCount val="1"/>
                <c:pt idx="0">
                  <c:v>Receiver</c:v>
                </c:pt>
              </c:strCache>
            </c:strRef>
          </c:tx>
          <c:spPr>
            <a:ln w="38100"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solidFill>
                <a:srgbClr val="008000"/>
              </a:solidFill>
              <a:ln w="6350">
                <a:solidFill>
                  <a:srgbClr val="008000"/>
                </a:solidFill>
                <a:prstDash val="solid"/>
              </a:ln>
            </c:spPr>
          </c:marker>
          <c:dLbls>
            <c:spPr>
              <a:solidFill>
                <a:srgbClr val="008000"/>
              </a:solidFill>
              <a:ln w="25400">
                <a:noFill/>
                <a:prstDash val="solid"/>
              </a:ln>
            </c:spPr>
            <c:txPr>
              <a:bodyPr/>
              <a:lstStyle/>
              <a:p>
                <a:pPr>
                  <a:defRPr sz="1000" b="1" i="0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'Input LwA_XYZ'!$BP$29</c:f>
              <c:numCache>
                <c:formatCode>General</c:formatCode>
                <c:ptCount val="1"/>
                <c:pt idx="0">
                  <c:v>72.147250813873711</c:v>
                </c:pt>
              </c:numCache>
            </c:numRef>
          </c:xVal>
          <c:yVal>
            <c:numRef>
              <c:f>'Input LwA_XYZ'!$BQ$29</c:f>
              <c:numCache>
                <c:formatCode>General</c:formatCode>
                <c:ptCount val="1"/>
                <c:pt idx="0">
                  <c:v>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6AA-4F32-8F2B-6C4D12F1BA00}"/>
            </c:ext>
          </c:extLst>
        </c:ser>
        <c:ser>
          <c:idx val="3"/>
          <c:order val="3"/>
          <c:tx>
            <c:strRef>
              <c:f>'Input LwA_XYZ'!$BO$30</c:f>
              <c:strCache>
                <c:ptCount val="1"/>
                <c:pt idx="0">
                  <c:v>Source</c:v>
                </c:pt>
              </c:strCache>
            </c:strRef>
          </c:tx>
          <c:spPr>
            <a:ln>
              <a:solidFill>
                <a:srgbClr val="00206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2060"/>
              </a:solidFill>
              <a:ln>
                <a:solidFill>
                  <a:srgbClr val="002060"/>
                </a:solidFill>
                <a:prstDash val="solid"/>
              </a:ln>
            </c:spPr>
          </c:marker>
          <c:dPt>
            <c:idx val="0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D6AA-4F32-8F2B-6C4D12F1BA00}"/>
              </c:ext>
            </c:extLst>
          </c:dPt>
          <c:xVal>
            <c:numRef>
              <c:f>'Input LwA_XYZ'!$BP$30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LwA_XYZ'!$BQ$30</c:f>
              <c:numCache>
                <c:formatCode>General</c:formatCode>
                <c:ptCount val="1"/>
                <c:pt idx="0">
                  <c:v>74.25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6AA-4F32-8F2B-6C4D12F1BA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38784"/>
        <c:axId val="69240704"/>
      </c:scatterChart>
      <c:valAx>
        <c:axId val="6923878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40704"/>
        <c:crosses val="autoZero"/>
        <c:crossBetween val="midCat"/>
      </c:valAx>
      <c:valAx>
        <c:axId val="692407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3878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74419752738716283"/>
          <c:y val="0.84873629040810739"/>
          <c:w val="0.242609263548837"/>
          <c:h val="0.1397594104654874"/>
        </c:manualLayout>
      </c:layout>
      <c:overlay val="0"/>
      <c:txPr>
        <a:bodyPr/>
        <a:lstStyle/>
        <a:p>
          <a:pPr>
            <a:defRPr>
              <a:latin typeface="Arial Narrow" panose="020B0606020202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65</xdr:col>
      <xdr:colOff>70957</xdr:colOff>
      <xdr:row>51</xdr:row>
      <xdr:rowOff>153069</xdr:rowOff>
    </xdr:from>
    <xdr:to>
      <xdr:col>74</xdr:col>
      <xdr:colOff>108857</xdr:colOff>
      <xdr:row>79</xdr:row>
      <xdr:rowOff>133357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7350557" y="11713698"/>
          <a:ext cx="7396642" cy="53904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56</xdr:col>
      <xdr:colOff>155541</xdr:colOff>
      <xdr:row>42</xdr:row>
      <xdr:rowOff>135652</xdr:rowOff>
    </xdr:from>
    <xdr:to>
      <xdr:col>64</xdr:col>
      <xdr:colOff>301285</xdr:colOff>
      <xdr:row>48</xdr:row>
      <xdr:rowOff>201019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/>
        <a:srcRect r="15475"/>
        <a:stretch>
          <a:fillRect/>
        </a:stretch>
      </xdr:blipFill>
      <xdr:spPr>
        <a:xfrm>
          <a:off x="24393003" y="9983037"/>
          <a:ext cx="2138668" cy="1340251"/>
        </a:xfrm>
        <a:prstGeom prst="rect">
          <a:avLst/>
        </a:prstGeom>
        <a:ln>
          <a:solidFill>
            <a:sysClr val="windowText" lastClr="000000"/>
          </a:solidFill>
          <a:prstDash val="solid"/>
        </a:ln>
      </xdr:spPr>
    </xdr:pic>
    <xdr:clientData/>
  </xdr:twoCellAnchor>
  <xdr:absoluteAnchor>
    <xdr:pos x="27762885" y="5787813"/>
    <xdr:ext cx="5373229" cy="390047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theme="9" tint="0.59999389629810485"/>
  </sheetPr>
  <dimension ref="A1:DQ65"/>
  <sheetViews>
    <sheetView tabSelected="1" zoomScaleNormal="100" workbookViewId="0">
      <pane xSplit="2" topLeftCell="U1" activePane="topRight" state="frozen"/>
      <selection pane="topRight" activeCell="BZ7" sqref="BZ7"/>
    </sheetView>
  </sheetViews>
  <sheetFormatPr defaultRowHeight="15" x14ac:dyDescent="0.25"/>
  <cols>
    <col min="1" max="1" width="8.28515625" bestFit="1" customWidth="1"/>
    <col min="2" max="2" width="11.85546875" bestFit="1" customWidth="1"/>
    <col min="3" max="3" width="9.28515625" bestFit="1" customWidth="1"/>
    <col min="4" max="4" width="8.85546875" bestFit="1" customWidth="1"/>
    <col min="5" max="5" width="10.85546875" customWidth="1"/>
    <col min="6" max="13" width="4.5703125" customWidth="1"/>
    <col min="14" max="14" width="6.28515625" bestFit="1" customWidth="1"/>
    <col min="15" max="19" width="10" customWidth="1"/>
    <col min="20" max="20" width="8.5703125" style="5" bestFit="1" customWidth="1"/>
    <col min="21" max="21" width="6.5703125" style="5" bestFit="1" customWidth="1"/>
    <col min="22" max="22" width="7" customWidth="1"/>
    <col min="23" max="23" width="8.42578125" customWidth="1"/>
    <col min="24" max="24" width="10.7109375" bestFit="1" customWidth="1"/>
    <col min="26" max="26" width="6.7109375" customWidth="1"/>
    <col min="27" max="29" width="7.140625" customWidth="1"/>
    <col min="30" max="32" width="8.42578125" customWidth="1"/>
    <col min="33" max="33" width="12.7109375" customWidth="1"/>
    <col min="34" max="48" width="5.85546875" customWidth="1"/>
    <col min="49" max="49" width="4.7109375" customWidth="1"/>
    <col min="50" max="50" width="16.42578125" customWidth="1"/>
    <col min="51" max="51" width="6.85546875" customWidth="1"/>
    <col min="52" max="64" width="3.7109375" customWidth="1"/>
    <col min="65" max="65" width="5" customWidth="1"/>
    <col min="66" max="66" width="9.140625" customWidth="1"/>
    <col min="67" max="67" width="31.42578125" customWidth="1"/>
    <col min="68" max="68" width="21.140625" customWidth="1"/>
    <col min="69" max="69" width="9" customWidth="1"/>
    <col min="70" max="70" width="8.85546875" customWidth="1"/>
    <col min="71" max="71" width="6.7109375" customWidth="1"/>
    <col min="74" max="74" width="3.28515625" bestFit="1" customWidth="1"/>
    <col min="75" max="81" width="3.28515625" customWidth="1"/>
    <col min="82" max="87" width="3.28515625" bestFit="1" customWidth="1"/>
    <col min="88" max="88" width="3.28515625" customWidth="1"/>
    <col min="91" max="91" width="4.28515625" customWidth="1"/>
    <col min="92" max="98" width="4.5703125" customWidth="1"/>
    <col min="99" max="100" width="4.5703125" bestFit="1" customWidth="1"/>
    <col min="101" max="101" width="4.28515625" bestFit="1" customWidth="1"/>
    <col min="102" max="105" width="4.5703125" bestFit="1" customWidth="1"/>
  </cols>
  <sheetData>
    <row r="1" spans="1:121" ht="76.5" customHeight="1" thickBot="1" x14ac:dyDescent="0.35">
      <c r="A1" s="122" t="s">
        <v>0</v>
      </c>
      <c r="B1" s="123" t="s">
        <v>1</v>
      </c>
      <c r="C1" s="123" t="s">
        <v>2</v>
      </c>
      <c r="D1" s="124" t="s">
        <v>3</v>
      </c>
      <c r="E1" s="124" t="s">
        <v>4</v>
      </c>
      <c r="F1" s="11">
        <v>63</v>
      </c>
      <c r="G1" s="11">
        <v>125</v>
      </c>
      <c r="H1" s="11">
        <v>250</v>
      </c>
      <c r="I1" s="11">
        <v>500</v>
      </c>
      <c r="J1" s="11">
        <v>1000</v>
      </c>
      <c r="K1" s="11">
        <v>2000</v>
      </c>
      <c r="L1" s="11">
        <v>4000</v>
      </c>
      <c r="M1" s="11">
        <v>8000</v>
      </c>
      <c r="N1" s="217" t="s">
        <v>5</v>
      </c>
      <c r="O1" s="218" t="s">
        <v>6</v>
      </c>
      <c r="P1" s="13" t="s">
        <v>7</v>
      </c>
      <c r="Q1" s="12" t="s">
        <v>8</v>
      </c>
      <c r="R1" s="13" t="s">
        <v>9</v>
      </c>
      <c r="S1" s="13" t="s">
        <v>10</v>
      </c>
      <c r="T1" s="14" t="s">
        <v>11</v>
      </c>
      <c r="U1" s="14" t="s">
        <v>12</v>
      </c>
      <c r="V1" s="15" t="s">
        <v>13</v>
      </c>
      <c r="W1" s="16" t="s">
        <v>14</v>
      </c>
      <c r="X1" s="17" t="s">
        <v>15</v>
      </c>
      <c r="Z1" s="83" t="s">
        <v>16</v>
      </c>
      <c r="AA1" s="84" t="s">
        <v>11</v>
      </c>
      <c r="AB1" s="84" t="s">
        <v>12</v>
      </c>
      <c r="AC1" s="85" t="s">
        <v>13</v>
      </c>
      <c r="AD1" s="1" t="s">
        <v>17</v>
      </c>
      <c r="AE1" s="1" t="s">
        <v>18</v>
      </c>
      <c r="AG1" s="61" t="s">
        <v>16</v>
      </c>
      <c r="AH1" s="18" t="str">
        <f t="array" ref="AH1:AV1">TRANSPOSE(Z2:Z16)</f>
        <v>R1</v>
      </c>
      <c r="AI1" s="62" t="str">
        <v>R2</v>
      </c>
      <c r="AJ1" s="62" t="str">
        <v>R3</v>
      </c>
      <c r="AK1" s="62" t="str">
        <v>R4</v>
      </c>
      <c r="AL1" s="62" t="str">
        <v>R5</v>
      </c>
      <c r="AM1" s="62">
        <v>0</v>
      </c>
      <c r="AN1" s="62">
        <v>0</v>
      </c>
      <c r="AO1" s="62">
        <v>0</v>
      </c>
      <c r="AP1" s="19">
        <v>0</v>
      </c>
      <c r="AQ1" s="19">
        <v>0</v>
      </c>
      <c r="AR1" s="19">
        <v>0</v>
      </c>
      <c r="AS1" s="19">
        <v>0</v>
      </c>
      <c r="AT1" s="19">
        <v>0</v>
      </c>
      <c r="AU1" s="19">
        <v>0</v>
      </c>
      <c r="AV1" s="20">
        <v>0</v>
      </c>
      <c r="AX1" s="61" t="s">
        <v>16</v>
      </c>
      <c r="AY1" s="18" t="str">
        <f t="shared" ref="AY1:BM1" si="0">AH1</f>
        <v>R1</v>
      </c>
      <c r="AZ1" s="62" t="str">
        <f t="shared" si="0"/>
        <v>R2</v>
      </c>
      <c r="BA1" s="62" t="str">
        <f t="shared" si="0"/>
        <v>R3</v>
      </c>
      <c r="BB1" s="62" t="str">
        <f t="shared" si="0"/>
        <v>R4</v>
      </c>
      <c r="BC1" s="62" t="str">
        <f t="shared" si="0"/>
        <v>R5</v>
      </c>
      <c r="BD1" s="62">
        <f t="shared" si="0"/>
        <v>0</v>
      </c>
      <c r="BE1" s="62">
        <f t="shared" si="0"/>
        <v>0</v>
      </c>
      <c r="BF1" s="62">
        <f t="shared" si="0"/>
        <v>0</v>
      </c>
      <c r="BG1" s="19">
        <f t="shared" si="0"/>
        <v>0</v>
      </c>
      <c r="BH1" s="19">
        <f t="shared" si="0"/>
        <v>0</v>
      </c>
      <c r="BI1" s="19">
        <f t="shared" si="0"/>
        <v>0</v>
      </c>
      <c r="BJ1" s="19">
        <f t="shared" si="0"/>
        <v>0</v>
      </c>
      <c r="BK1" s="19">
        <f t="shared" si="0"/>
        <v>0</v>
      </c>
      <c r="BL1" s="19">
        <f t="shared" si="0"/>
        <v>0</v>
      </c>
      <c r="BM1" s="20">
        <f t="shared" si="0"/>
        <v>0</v>
      </c>
      <c r="BU1" t="s">
        <v>16</v>
      </c>
      <c r="BV1" s="18" t="str">
        <f t="shared" ref="BV1:CJ1" si="1">AH1</f>
        <v>R1</v>
      </c>
      <c r="BW1" s="62" t="str">
        <f t="shared" si="1"/>
        <v>R2</v>
      </c>
      <c r="BX1" s="62" t="str">
        <f t="shared" si="1"/>
        <v>R3</v>
      </c>
      <c r="BY1" s="62" t="str">
        <f t="shared" si="1"/>
        <v>R4</v>
      </c>
      <c r="BZ1" s="62" t="str">
        <f t="shared" si="1"/>
        <v>R5</v>
      </c>
      <c r="CA1" s="62">
        <f t="shared" si="1"/>
        <v>0</v>
      </c>
      <c r="CB1" s="62">
        <f t="shared" si="1"/>
        <v>0</v>
      </c>
      <c r="CC1" s="62">
        <f t="shared" si="1"/>
        <v>0</v>
      </c>
      <c r="CD1" s="19">
        <f t="shared" si="1"/>
        <v>0</v>
      </c>
      <c r="CE1" s="19">
        <f t="shared" si="1"/>
        <v>0</v>
      </c>
      <c r="CF1" s="19">
        <f t="shared" si="1"/>
        <v>0</v>
      </c>
      <c r="CG1" s="19">
        <f t="shared" si="1"/>
        <v>0</v>
      </c>
      <c r="CH1" s="19">
        <f t="shared" si="1"/>
        <v>0</v>
      </c>
      <c r="CI1" s="19">
        <f t="shared" si="1"/>
        <v>0</v>
      </c>
      <c r="CJ1" s="20">
        <f t="shared" si="1"/>
        <v>0</v>
      </c>
      <c r="CL1" t="s">
        <v>16</v>
      </c>
      <c r="CM1" s="18" t="str">
        <f t="shared" ref="CM1:DA1" si="2">AH1</f>
        <v>R1</v>
      </c>
      <c r="CN1" s="62" t="str">
        <f t="shared" si="2"/>
        <v>R2</v>
      </c>
      <c r="CO1" s="62" t="str">
        <f t="shared" si="2"/>
        <v>R3</v>
      </c>
      <c r="CP1" s="62" t="str">
        <f t="shared" si="2"/>
        <v>R4</v>
      </c>
      <c r="CQ1" s="62" t="str">
        <f t="shared" si="2"/>
        <v>R5</v>
      </c>
      <c r="CR1" s="62">
        <f t="shared" si="2"/>
        <v>0</v>
      </c>
      <c r="CS1" s="62">
        <f t="shared" si="2"/>
        <v>0</v>
      </c>
      <c r="CT1" s="62">
        <f t="shared" si="2"/>
        <v>0</v>
      </c>
      <c r="CU1" s="19">
        <f t="shared" si="2"/>
        <v>0</v>
      </c>
      <c r="CV1" s="19">
        <f t="shared" si="2"/>
        <v>0</v>
      </c>
      <c r="CW1" s="19">
        <f t="shared" si="2"/>
        <v>0</v>
      </c>
      <c r="CX1" s="19">
        <f t="shared" si="2"/>
        <v>0</v>
      </c>
      <c r="CY1" s="19">
        <f t="shared" si="2"/>
        <v>0</v>
      </c>
      <c r="CZ1" s="19">
        <f t="shared" si="2"/>
        <v>0</v>
      </c>
      <c r="DA1" s="20">
        <f t="shared" si="2"/>
        <v>0</v>
      </c>
    </row>
    <row r="2" spans="1:121" ht="17.25" customHeight="1" thickBot="1" x14ac:dyDescent="0.35">
      <c r="A2" s="125">
        <v>1</v>
      </c>
      <c r="B2" s="126" t="s">
        <v>113</v>
      </c>
      <c r="C2" s="126" t="s">
        <v>114</v>
      </c>
      <c r="D2" s="127" t="s">
        <v>115</v>
      </c>
      <c r="E2" s="201" t="s">
        <v>116</v>
      </c>
      <c r="F2" s="207">
        <v>80</v>
      </c>
      <c r="G2" s="208">
        <v>77</v>
      </c>
      <c r="H2" s="208">
        <v>84</v>
      </c>
      <c r="I2" s="208">
        <v>87</v>
      </c>
      <c r="J2" s="208">
        <v>80</v>
      </c>
      <c r="K2" s="208">
        <v>72</v>
      </c>
      <c r="L2" s="208">
        <v>69</v>
      </c>
      <c r="M2" s="214">
        <v>61</v>
      </c>
      <c r="N2" s="207" cm="1">
        <f t="array" ref="N2">IF(AND(F2:M2=""),"",10*LOG((10^((F2-26.2)/10))+(10^((G2-16.1)/10))+(10^((H2-8.6)/10))+(10^((I2-3.2)/10))+(10^((J2)/10))+(10^((K2+1.2)/10))+(10^((L2+1)/10))+(10^((M2-1.1)/10))))</f>
        <v>86.10550859917025</v>
      </c>
      <c r="O2" s="209">
        <v>0</v>
      </c>
      <c r="P2" s="204">
        <v>1</v>
      </c>
      <c r="Q2" s="128">
        <f>IFERROR(10*LOG10(A2)+ROUND(IF(AND(A2&gt;0, O2&gt;0), N2+ABS(10*LOG10(P2/(4*PI()*CONVERT(O2,"ft", "m")^2))), N2),0), 0)</f>
        <v>86</v>
      </c>
      <c r="R2" s="82">
        <v>2</v>
      </c>
      <c r="S2" s="82"/>
      <c r="T2" s="81">
        <v>104.01</v>
      </c>
      <c r="U2" s="81">
        <v>99.85</v>
      </c>
      <c r="V2" s="109">
        <f t="shared" ref="V2:V33" si="3">SUM(W2:X2)</f>
        <v>74.25</v>
      </c>
      <c r="W2" s="81">
        <v>70</v>
      </c>
      <c r="X2" s="129">
        <v>4.25</v>
      </c>
      <c r="Z2" s="86" t="s">
        <v>171</v>
      </c>
      <c r="AA2" s="81">
        <v>33.28</v>
      </c>
      <c r="AB2" s="81">
        <v>85.62</v>
      </c>
      <c r="AC2" s="87">
        <v>65</v>
      </c>
      <c r="AD2" s="8">
        <v>40</v>
      </c>
      <c r="AE2" s="2">
        <f t="array" ref="AE2:AE16">IFERROR(TRANSPOSE(ROUND(CM59:DA59,0)), "")</f>
        <v>50</v>
      </c>
      <c r="AG2" t="s">
        <v>19</v>
      </c>
      <c r="AH2" s="130">
        <f t="array" ref="AH2">IF(AH$1=0,"",SQRT((_xlfn.XLOOKUP(AH$1,$Z$2:$Z$18,$AA$2:$AA$18)-$T2)^2+(_xlfn.XLOOKUP(AH$1,$Z$2:$Z$18,$AB$2:$AB$18)-$U2)^2+(_xlfn.XLOOKUP(AH$1,$Z$2:$Z$18,$AC$2:$AC$18-$V2)^2)))</f>
        <v>72.737805163477404</v>
      </c>
      <c r="AI2" s="131">
        <f t="array" ref="AI2">IF(AI$1=0,"",SQRT((_xlfn.XLOOKUP(AI$1,$Z$2:$Z$18,$AA$2:$AA$18)-$T2)^2+(_xlfn.XLOOKUP(AI$1,$Z$2:$Z$18,$AB$2:$AB$18)-$U2)^2+(_xlfn.XLOOKUP(AI$1,$Z$2:$Z$18,$AC$2:$AC$18-$V2)^2)))</f>
        <v>58.223371595949331</v>
      </c>
      <c r="AJ2" s="131">
        <f t="array" ref="AJ2">IF(AJ$1=0,"",SQRT((_xlfn.XLOOKUP(AJ$1,$Z$2:$Z$18,$AA$2:$AA$18)-$T2)^2+(_xlfn.XLOOKUP(AJ$1,$Z$2:$Z$18,$AB$2:$AB$18)-$U2)^2+(_xlfn.XLOOKUP(AJ$1,$Z$2:$Z$18,$AC$2:$AC$18-$V2)^2)))</f>
        <v>137.67746729221886</v>
      </c>
      <c r="AK2" s="131">
        <f t="array" ref="AK2">IF(AK$1=0,"",SQRT((_xlfn.XLOOKUP(AK$1,$Z$2:$Z$18,$AA$2:$AA$18)-$T2)^2+(_xlfn.XLOOKUP(AK$1,$Z$2:$Z$18,$AB$2:$AB$18)-$U2)^2+(_xlfn.XLOOKUP(AK$1,$Z$2:$Z$18,$AC$2:$AC$18-$V2)^2)))</f>
        <v>215.99785878568338</v>
      </c>
      <c r="AL2" s="131">
        <f t="array" ref="AL2">IF(AL$1=0,"",SQRT((_xlfn.XLOOKUP(AL$1,$Z$2:$Z$18,$AA$2:$AA$18)-$T2)^2+(_xlfn.XLOOKUP(AL$1,$Z$2:$Z$18,$AB$2:$AB$18)-$U2)^2+(_xlfn.XLOOKUP(AL$1,$Z$2:$Z$18,$AC$2:$AC$18-$V2)^2)))</f>
        <v>148.01165933804</v>
      </c>
      <c r="AM2" s="131" t="str">
        <f t="array" ref="AM2">IF(AM$1=0,"",SQRT((_xlfn.XLOOKUP(AM$1,$Z$2:$Z$18,$AA$2:$AA$18)-$T2)^2+(_xlfn.XLOOKUP(AM$1,$Z$2:$Z$18,$AB$2:$AB$18)-$U2)^2+(_xlfn.XLOOKUP(AM$1,$Z$2:$Z$18,$AC$2:$AC$18-$V2)^2)))</f>
        <v/>
      </c>
      <c r="AN2" s="131" t="str">
        <f t="array" ref="AN2">IF(AN$1=0,"",SQRT((_xlfn.XLOOKUP(AN$1,$Z$2:$Z$18,$AA$2:$AA$18)-$T2)^2+(_xlfn.XLOOKUP(AN$1,$Z$2:$Z$18,$AB$2:$AB$18)-$U2)^2+(_xlfn.XLOOKUP(AN$1,$Z$2:$Z$18,$AC$2:$AC$18-$V2)^2)))</f>
        <v/>
      </c>
      <c r="AO2" s="131" t="str">
        <f t="array" ref="AO2">IF(AO$1=0,"",SQRT((_xlfn.XLOOKUP(AO$1,$Z$2:$Z$18,$AA$2:$AA$18)-$T2)^2+(_xlfn.XLOOKUP(AO$1,$Z$2:$Z$18,$AB$2:$AB$18)-$U2)^2+(_xlfn.XLOOKUP(AO$1,$Z$2:$Z$18,$AC$2:$AC$18-$V2)^2)))</f>
        <v/>
      </c>
      <c r="AP2" s="132" t="str">
        <f t="array" ref="AP2">IF(AP$1=0,"",SQRT((_xlfn.XLOOKUP(AP$1,$Z$2:$Z$18,$AA$2:$AA$18)-$T2)^2+(_xlfn.XLOOKUP(AP$1,$Z$2:$Z$18,$AB$2:$AB$18)-$U2)^2+(_xlfn.XLOOKUP(AP$1,$Z$2:$Z$18,$AC$2:$AC$18-$V2)^2)))</f>
        <v/>
      </c>
      <c r="AQ2" s="132" t="str">
        <f t="array" ref="AQ2">IF(AQ$1=0,"",SQRT((_xlfn.XLOOKUP(AQ$1,$Z$2:$Z$18,$AA$2:$AA$18)-$T2)^2+(_xlfn.XLOOKUP(AQ$1,$Z$2:$Z$18,$AB$2:$AB$18)-$U2)^2+(_xlfn.XLOOKUP(AQ$1,$Z$2:$Z$18,$AC$2:$AC$18-$V2)^2)))</f>
        <v/>
      </c>
      <c r="AR2" s="132" t="str">
        <f t="array" ref="AR2">IF(AR$1=0,"",SQRT((_xlfn.XLOOKUP(AR$1,$Z$2:$Z$18,$AA$2:$AA$18)-$T2)^2+(_xlfn.XLOOKUP(AR$1,$Z$2:$Z$18,$AB$2:$AB$18)-$U2)^2+(_xlfn.XLOOKUP(AR$1,$Z$2:$Z$18,$AC$2:$AC$18-$V2)^2)))</f>
        <v/>
      </c>
      <c r="AS2" s="132" t="str">
        <f t="array" ref="AS2">IF(AS$1=0,"",SQRT((_xlfn.XLOOKUP(AS$1,$Z$2:$Z$18,$AA$2:$AA$18)-$T2)^2+(_xlfn.XLOOKUP(AS$1,$Z$2:$Z$18,$AB$2:$AB$18)-$U2)^2+(_xlfn.XLOOKUP(AS$1,$Z$2:$Z$18,$AC$2:$AC$18-$V2)^2)))</f>
        <v/>
      </c>
      <c r="AT2" s="132" t="str">
        <f t="array" ref="AT2">IF(AT$1=0,"",SQRT((_xlfn.XLOOKUP(AT$1,$Z$2:$Z$18,$AA$2:$AA$18)-$T2)^2+(_xlfn.XLOOKUP(AT$1,$Z$2:$Z$18,$AB$2:$AB$18)-$U2)^2+(_xlfn.XLOOKUP(AT$1,$Z$2:$Z$18,$AC$2:$AC$18-$V2)^2)))</f>
        <v/>
      </c>
      <c r="AU2" s="132" t="str">
        <f t="array" ref="AU2">IF(AU$1=0,"",SQRT((_xlfn.XLOOKUP(AU$1,$Z$2:$Z$18,$AA$2:$AA$18)-$T2)^2+(_xlfn.XLOOKUP(AU$1,$Z$2:$Z$18,$AB$2:$AB$18)-$U2)^2+(_xlfn.XLOOKUP(AU$1,$Z$2:$Z$18,$AC$2:$AC$18-$V2)^2)))</f>
        <v/>
      </c>
      <c r="AV2" s="133" t="str">
        <f t="array" ref="AV2">IF(AV$1=0,"",SQRT((_xlfn.XLOOKUP(AV$1,$Z$2:$Z$18,$AA$2:$AA$18)-$T2)^2+(_xlfn.XLOOKUP(AV$1,$Z$2:$Z$18,$AB$2:$AB$18)-$U2)^2+(_xlfn.XLOOKUP(AV$1,$Z$2:$Z$18,$AC$2:$AC$18-$V2)^2)))</f>
        <v/>
      </c>
      <c r="AW2" s="134"/>
      <c r="AX2" s="134" t="s">
        <v>20</v>
      </c>
      <c r="AY2" s="135">
        <f t="shared" ref="AY2:AY33" si="4">IFERROR(-ABS(10*LOG10(($R2/(4*PI()*CONVERT(AH2,"ft","m")^2)))),0)</f>
        <v>-34.897301781734754</v>
      </c>
      <c r="AZ2" s="136">
        <f t="shared" ref="AZ2:AZ33" si="5">IFERROR(-ABS(10*LOG10(($R2/(4*PI()*CONVERT(AI2,"ft","m")^2)))),0)</f>
        <v>-32.964044955593842</v>
      </c>
      <c r="BA2" s="136">
        <f t="shared" ref="BA2:BA33" si="6">IFERROR(-ABS(10*LOG10(($R2/(4*PI()*CONVERT(AJ2,"ft","m")^2)))),0)</f>
        <v>-40.439355299602148</v>
      </c>
      <c r="BB2" s="136">
        <f t="shared" ref="BB2:BB33" si="7">IFERROR(-ABS(10*LOG10(($R2/(4*PI()*CONVERT(AK2,"ft","m")^2)))),0)</f>
        <v>-44.351086856046258</v>
      </c>
      <c r="BC2" s="136">
        <f t="shared" ref="BC2:BC33" si="8">IFERROR(-ABS(10*LOG10(($R2/(4*PI()*CONVERT(AL2,"ft","m")^2)))),0)</f>
        <v>-41.068016486281692</v>
      </c>
      <c r="BD2" s="136">
        <f t="shared" ref="BD2:BD33" si="9">IFERROR(-ABS(10*LOG10(($R2/(4*PI()*CONVERT(AM2,"ft","m")^2)))),0)</f>
        <v>0</v>
      </c>
      <c r="BE2" s="136">
        <f t="shared" ref="BE2:BE33" si="10">IFERROR(-ABS(10*LOG10(($R2/(4*PI()*CONVERT(AN2,"ft","m")^2)))),0)</f>
        <v>0</v>
      </c>
      <c r="BF2" s="136">
        <f t="shared" ref="BF2:BF33" si="11">IFERROR(-ABS(10*LOG10(($R2/(4*PI()*CONVERT(AO2,"ft","m")^2)))),0)</f>
        <v>0</v>
      </c>
      <c r="BG2" s="137">
        <f t="shared" ref="BG2:BG33" si="12">IFERROR(-ABS(10*LOG10(($R2/(4*PI()*CONVERT(AP2,"ft","m")^2)))),0)</f>
        <v>0</v>
      </c>
      <c r="BH2" s="137">
        <f t="shared" ref="BH2:BH33" si="13">IFERROR(-ABS(10*LOG10(($R2/(4*PI()*CONVERT(AQ2,"ft","m")^2)))),0)</f>
        <v>0</v>
      </c>
      <c r="BI2" s="137">
        <f t="shared" ref="BI2:BI33" si="14">IFERROR(-ABS(10*LOG10(($R2/(4*PI()*CONVERT(AR2,"ft","m")^2)))),0)</f>
        <v>0</v>
      </c>
      <c r="BJ2" s="137">
        <f t="shared" ref="BJ2:BJ33" si="15">IFERROR(-ABS(10*LOG10(($R2/(4*PI()*CONVERT(AS2,"ft","m")^2)))),0)</f>
        <v>0</v>
      </c>
      <c r="BK2" s="137">
        <f t="shared" ref="BK2:BK33" si="16">IFERROR(-ABS(10*LOG10(($R2/(4*PI()*CONVERT(AT2,"ft","m")^2)))),0)</f>
        <v>0</v>
      </c>
      <c r="BL2" s="137">
        <f t="shared" ref="BL2:BL33" si="17">IFERROR(-ABS(10*LOG10(($R2/(4*PI()*CONVERT(AU2,"ft","m")^2)))),0)</f>
        <v>0</v>
      </c>
      <c r="BM2" s="138">
        <f t="shared" ref="BM2:BM33" si="18">IFERROR(-ABS(10*LOG10(($R2/(4*PI()*CONVERT(AV2,"ft","m")^2)))),0)</f>
        <v>0</v>
      </c>
      <c r="BN2" s="134"/>
      <c r="BO2" s="21"/>
      <c r="BP2" s="22" t="s">
        <v>21</v>
      </c>
      <c r="BQ2" s="22" t="s">
        <v>22</v>
      </c>
      <c r="BR2" s="22" t="s">
        <v>23</v>
      </c>
      <c r="BS2" s="22" t="s">
        <v>24</v>
      </c>
      <c r="BT2" s="134"/>
      <c r="BU2" s="139" t="s">
        <v>25</v>
      </c>
      <c r="BV2" s="140">
        <v>11.5</v>
      </c>
      <c r="BW2" s="140">
        <v>16.899999999999999</v>
      </c>
      <c r="BX2" s="140">
        <v>16.8</v>
      </c>
      <c r="BY2" s="140">
        <v>17.399999999999999</v>
      </c>
      <c r="BZ2" s="140">
        <v>14.3</v>
      </c>
      <c r="CA2" s="140"/>
      <c r="CB2" s="140"/>
      <c r="CC2" s="140"/>
      <c r="CD2" s="140"/>
      <c r="CE2" s="140"/>
      <c r="CF2" s="140"/>
      <c r="CG2" s="140"/>
      <c r="CH2" s="140"/>
      <c r="CI2" s="140"/>
      <c r="CJ2" s="140"/>
      <c r="CK2" s="134"/>
      <c r="CL2" s="134" t="s">
        <v>26</v>
      </c>
      <c r="CM2" s="141">
        <f t="shared" ref="CM2:CM7" si="19">IF( CM$1= 0,"",$Q2-$S2+AY2-BV2)</f>
        <v>39.602698218265246</v>
      </c>
      <c r="CN2" s="142">
        <f t="shared" ref="CN2:CN7" si="20">IF( CN$1= 0,"",$Q2-$S2+AZ2-BW2)</f>
        <v>36.13595504440616</v>
      </c>
      <c r="CO2" s="142">
        <f t="shared" ref="CO2:CO7" si="21">IF( CO$1= 0,"",$Q2-$S2+BA2-BX2)</f>
        <v>28.760644700397851</v>
      </c>
      <c r="CP2" s="142">
        <f t="shared" ref="CP2:CP7" si="22">IF( CP$1= 0,"",$Q2-$S2+BB2-BY2)</f>
        <v>24.248913143953743</v>
      </c>
      <c r="CQ2" s="142">
        <f t="shared" ref="CQ2:CQ7" si="23">IF( CQ$1= 0,"",$Q2-$S2+BC2-BZ2)</f>
        <v>30.631983513718307</v>
      </c>
      <c r="CR2" s="142" t="str">
        <f t="shared" ref="CR2:CR7" si="24">IF( CR$1= 0,"",$Q2-$S2+BD2-CA2)</f>
        <v/>
      </c>
      <c r="CS2" s="142" t="str">
        <f t="shared" ref="CS2:CS7" si="25">IF( CS$1= 0,"",$Q2-$S2+BE2-CB2)</f>
        <v/>
      </c>
      <c r="CT2" s="142" t="str">
        <f t="shared" ref="CT2:CT7" si="26">IF( CT$1= 0,"",$Q2-$S2+BF2-CC2)</f>
        <v/>
      </c>
      <c r="CU2" s="143" t="str">
        <f t="shared" ref="CU2:CU7" si="27">IF( CU$1= 0,"",$Q2-$S2+BG2-CD2)</f>
        <v/>
      </c>
      <c r="CV2" s="143" t="str">
        <f t="shared" ref="CV2:CV7" si="28">IF( CV$1= 0,"",$Q2-$S2+BH2-CE2)</f>
        <v/>
      </c>
      <c r="CW2" s="143" t="str">
        <f t="shared" ref="CW2:CW7" si="29">IF( CW$1= 0,"",$Q2-$S2+BI2-CF2)</f>
        <v/>
      </c>
      <c r="CX2" s="143" t="str">
        <f t="shared" ref="CX2:CX7" si="30">IF( CX$1= 0,"",$Q2-$S2+BJ2-CG2)</f>
        <v/>
      </c>
      <c r="CY2" s="143" t="str">
        <f t="shared" ref="CY2:CY7" si="31">IF( CY$1= 0,"",$Q2-$S2+BK2-CH2)</f>
        <v/>
      </c>
      <c r="CZ2" s="143" t="str">
        <f t="shared" ref="CZ2:CZ7" si="32">IF( CZ$1= 0,"",$Q2-$S2+BL2-CI2)</f>
        <v/>
      </c>
      <c r="DA2" s="144" t="str">
        <f t="shared" ref="DA2:DA7" si="33">IF( DA$1= 0,"",$Q2-$S2+BM2-CJ2)</f>
        <v/>
      </c>
      <c r="DN2" t="s">
        <v>27</v>
      </c>
      <c r="DO2" t="s">
        <v>27</v>
      </c>
      <c r="DP2" t="s">
        <v>27</v>
      </c>
      <c r="DQ2" t="s">
        <v>27</v>
      </c>
    </row>
    <row r="3" spans="1:121" ht="17.25" customHeight="1" thickBot="1" x14ac:dyDescent="0.35">
      <c r="A3" s="145">
        <v>1</v>
      </c>
      <c r="B3" s="126" t="s">
        <v>117</v>
      </c>
      <c r="C3" s="146" t="s">
        <v>118</v>
      </c>
      <c r="D3" s="127" t="s">
        <v>115</v>
      </c>
      <c r="E3" s="202" t="s">
        <v>119</v>
      </c>
      <c r="F3" s="210">
        <v>91</v>
      </c>
      <c r="G3" s="211">
        <v>92</v>
      </c>
      <c r="H3" s="211">
        <v>95</v>
      </c>
      <c r="I3" s="211">
        <v>89</v>
      </c>
      <c r="J3" s="211">
        <v>86</v>
      </c>
      <c r="K3" s="211">
        <v>76</v>
      </c>
      <c r="L3" s="211">
        <v>72</v>
      </c>
      <c r="M3" s="215">
        <v>67</v>
      </c>
      <c r="N3" s="210" cm="1">
        <f t="array" ref="N3">IF(AND(F3:M3=""),"",10*LOG((10^((F3-26.2)/10))+(10^((G3-16.1)/10))+(10^((H3-8.6)/10))+(10^((I3-3.2)/10))+(10^((J3)/10))+(10^((K3+1.2)/10))+(10^((L3+1)/10))+(10^((M3-1.1)/10))))</f>
        <v>91.248499205894532</v>
      </c>
      <c r="O3" s="212">
        <v>0</v>
      </c>
      <c r="P3" s="205">
        <v>1</v>
      </c>
      <c r="Q3" s="128">
        <f t="shared" ref="Q3:Q58" si="34">IFERROR(10*LOG10(A3)+ROUND(IF(AND(A3&gt;0, O3&gt;0), N3+ABS(10*LOG10(P3/(4*PI()*CONVERT(O3,"ft", "m")^2))), N3),0), 0)</f>
        <v>91</v>
      </c>
      <c r="R3" s="3">
        <v>2</v>
      </c>
      <c r="S3" s="3"/>
      <c r="T3" s="4">
        <v>154.11000000000001</v>
      </c>
      <c r="U3" s="4">
        <v>121.92</v>
      </c>
      <c r="V3" s="109">
        <f t="shared" si="3"/>
        <v>72.5</v>
      </c>
      <c r="W3" s="81">
        <v>70</v>
      </c>
      <c r="X3" s="148">
        <v>2.5</v>
      </c>
      <c r="Z3" s="9" t="s">
        <v>28</v>
      </c>
      <c r="AA3" s="4">
        <v>104.62</v>
      </c>
      <c r="AB3" s="4">
        <v>52.77</v>
      </c>
      <c r="AC3" s="87">
        <v>40</v>
      </c>
      <c r="AD3" s="8">
        <v>40</v>
      </c>
      <c r="AE3" s="2">
        <v>47</v>
      </c>
      <c r="AG3" s="61"/>
      <c r="AH3" s="149">
        <f t="array" ref="AH3">IF(AH$1=0,"",SQRT((_xlfn.XLOOKUP(AH$1,$Z$2:$Z$18,$AA$2:$AA$18)-$T3)^2+(_xlfn.XLOOKUP(AH$1,$Z$2:$Z$18,$AB$2:$AB$18)-$U3)^2+(_xlfn.XLOOKUP(AH$1,$Z$2:$Z$18,$AC$2:$AC$18-$V3)^2)))</f>
        <v>126.38761371273691</v>
      </c>
      <c r="AI3" s="150">
        <f t="array" ref="AI3">IF(AI$1=0,"",SQRT((_xlfn.XLOOKUP(AI$1,$Z$2:$Z$18,$AA$2:$AA$18)-$T3)^2+(_xlfn.XLOOKUP(AI$1,$Z$2:$Z$18,$AB$2:$AB$18)-$U3)^2+(_xlfn.XLOOKUP(AI$1,$Z$2:$Z$18,$AC$2:$AC$18-$V3)^2)))</f>
        <v>91.034238613831448</v>
      </c>
      <c r="AJ3" s="150">
        <f t="array" ref="AJ3">IF(AJ$1=0,"",SQRT((_xlfn.XLOOKUP(AJ$1,$Z$2:$Z$18,$AA$2:$AA$18)-$T3)^2+(_xlfn.XLOOKUP(AJ$1,$Z$2:$Z$18,$AB$2:$AB$18)-$U3)^2+(_xlfn.XLOOKUP(AJ$1,$Z$2:$Z$18,$AC$2:$AC$18-$V3)^2)))</f>
        <v>118.30890245454903</v>
      </c>
      <c r="AK3" s="150">
        <f t="array" ref="AK3">IF(AK$1=0,"",SQRT((_xlfn.XLOOKUP(AK$1,$Z$2:$Z$18,$AA$2:$AA$18)-$T3)^2+(_xlfn.XLOOKUP(AK$1,$Z$2:$Z$18,$AB$2:$AB$18)-$U3)^2+(_xlfn.XLOOKUP(AK$1,$Z$2:$Z$18,$AC$2:$AC$18-$V3)^2)))</f>
        <v>169.69045170545101</v>
      </c>
      <c r="AL3" s="150">
        <f t="array" ref="AL3">IF(AL$1=0,"",SQRT((_xlfn.XLOOKUP(AL$1,$Z$2:$Z$18,$AA$2:$AA$18)-$T3)^2+(_xlfn.XLOOKUP(AL$1,$Z$2:$Z$18,$AB$2:$AB$18)-$U3)^2+(_xlfn.XLOOKUP(AL$1,$Z$2:$Z$18,$AC$2:$AC$18-$V3)^2)))</f>
        <v>169.61754773607595</v>
      </c>
      <c r="AM3" s="150" t="str">
        <f t="array" ref="AM3">IF(AM$1=0,"",SQRT((_xlfn.XLOOKUP(AM$1,$Z$2:$Z$18,$AA$2:$AA$18)-$T3)^2+(_xlfn.XLOOKUP(AM$1,$Z$2:$Z$18,$AB$2:$AB$18)-$U3)^2+(_xlfn.XLOOKUP(AM$1,$Z$2:$Z$18,$AC$2:$AC$18-$V3)^2)))</f>
        <v/>
      </c>
      <c r="AN3" s="150" t="str">
        <f t="array" ref="AN3">IF(AN$1=0,"",SQRT((_xlfn.XLOOKUP(AN$1,$Z$2:$Z$18,$AA$2:$AA$18)-$T3)^2+(_xlfn.XLOOKUP(AN$1,$Z$2:$Z$18,$AB$2:$AB$18)-$U3)^2+(_xlfn.XLOOKUP(AN$1,$Z$2:$Z$18,$AC$2:$AC$18-$V3)^2)))</f>
        <v/>
      </c>
      <c r="AO3" s="150" t="str">
        <f t="array" ref="AO3">IF(AO$1=0,"",SQRT((_xlfn.XLOOKUP(AO$1,$Z$2:$Z$18,$AA$2:$AA$18)-$T3)^2+(_xlfn.XLOOKUP(AO$1,$Z$2:$Z$18,$AB$2:$AB$18)-$U3)^2+(_xlfn.XLOOKUP(AO$1,$Z$2:$Z$18,$AC$2:$AC$18-$V3)^2)))</f>
        <v/>
      </c>
      <c r="AP3" s="151" t="str">
        <f t="array" ref="AP3">IF(AP$1=0,"",SQRT((_xlfn.XLOOKUP(AP$1,$Z$2:$Z$18,$AA$2:$AA$18)-$T3)^2+(_xlfn.XLOOKUP(AP$1,$Z$2:$Z$18,$AB$2:$AB$18)-$U3)^2+(_xlfn.XLOOKUP(AP$1,$Z$2:$Z$18,$AC$2:$AC$18-$V3)^2)))</f>
        <v/>
      </c>
      <c r="AQ3" s="151" t="str">
        <f t="array" ref="AQ3">IF(AQ$1=0,"",SQRT((_xlfn.XLOOKUP(AQ$1,$Z$2:$Z$18,$AA$2:$AA$18)-$T3)^2+(_xlfn.XLOOKUP(AQ$1,$Z$2:$Z$18,$AB$2:$AB$18)-$U3)^2+(_xlfn.XLOOKUP(AQ$1,$Z$2:$Z$18,$AC$2:$AC$18-$V3)^2)))</f>
        <v/>
      </c>
      <c r="AR3" s="151" t="str">
        <f t="array" ref="AR3">IF(AR$1=0,"",SQRT((_xlfn.XLOOKUP(AR$1,$Z$2:$Z$18,$AA$2:$AA$18)-$T3)^2+(_xlfn.XLOOKUP(AR$1,$Z$2:$Z$18,$AB$2:$AB$18)-$U3)^2+(_xlfn.XLOOKUP(AR$1,$Z$2:$Z$18,$AC$2:$AC$18-$V3)^2)))</f>
        <v/>
      </c>
      <c r="AS3" s="151" t="str">
        <f t="array" ref="AS3">IF(AS$1=0,"",SQRT((_xlfn.XLOOKUP(AS$1,$Z$2:$Z$18,$AA$2:$AA$18)-$T3)^2+(_xlfn.XLOOKUP(AS$1,$Z$2:$Z$18,$AB$2:$AB$18)-$U3)^2+(_xlfn.XLOOKUP(AS$1,$Z$2:$Z$18,$AC$2:$AC$18-$V3)^2)))</f>
        <v/>
      </c>
      <c r="AT3" s="151" t="str">
        <f t="array" ref="AT3">IF(AT$1=0,"",SQRT((_xlfn.XLOOKUP(AT$1,$Z$2:$Z$18,$AA$2:$AA$18)-$T3)^2+(_xlfn.XLOOKUP(AT$1,$Z$2:$Z$18,$AB$2:$AB$18)-$U3)^2+(_xlfn.XLOOKUP(AT$1,$Z$2:$Z$18,$AC$2:$AC$18-$V3)^2)))</f>
        <v/>
      </c>
      <c r="AU3" s="151" t="str">
        <f t="array" ref="AU3">IF(AU$1=0,"",SQRT((_xlfn.XLOOKUP(AU$1,$Z$2:$Z$18,$AA$2:$AA$18)-$T3)^2+(_xlfn.XLOOKUP(AU$1,$Z$2:$Z$18,$AB$2:$AB$18)-$U3)^2+(_xlfn.XLOOKUP(AU$1,$Z$2:$Z$18,$AC$2:$AC$18-$V3)^2)))</f>
        <v/>
      </c>
      <c r="AV3" s="152" t="str">
        <f t="array" ref="AV3">IF(AV$1=0,"",SQRT((_xlfn.XLOOKUP(AV$1,$Z$2:$Z$18,$AA$2:$AA$18)-$T3)^2+(_xlfn.XLOOKUP(AV$1,$Z$2:$Z$18,$AB$2:$AB$18)-$U3)^2+(_xlfn.XLOOKUP(AV$1,$Z$2:$Z$18,$AC$2:$AC$18-$V3)^2)))</f>
        <v/>
      </c>
      <c r="AW3" s="134"/>
      <c r="AX3" s="61"/>
      <c r="AY3" s="135">
        <f t="shared" si="4"/>
        <v>-39.696188219689965</v>
      </c>
      <c r="AZ3" s="153">
        <f t="shared" si="5"/>
        <v>-36.846193221687557</v>
      </c>
      <c r="BA3" s="153">
        <f t="shared" si="6"/>
        <v>-39.122446445960684</v>
      </c>
      <c r="BB3" s="153">
        <f t="shared" si="7"/>
        <v>-42.255246051606584</v>
      </c>
      <c r="BC3" s="153">
        <f t="shared" si="8"/>
        <v>-42.251513538120584</v>
      </c>
      <c r="BD3" s="153">
        <f t="shared" si="9"/>
        <v>0</v>
      </c>
      <c r="BE3" s="153">
        <f t="shared" si="10"/>
        <v>0</v>
      </c>
      <c r="BF3" s="153">
        <f t="shared" si="11"/>
        <v>0</v>
      </c>
      <c r="BG3" s="154">
        <f t="shared" si="12"/>
        <v>0</v>
      </c>
      <c r="BH3" s="154">
        <f t="shared" si="13"/>
        <v>0</v>
      </c>
      <c r="BI3" s="154">
        <f t="shared" si="14"/>
        <v>0</v>
      </c>
      <c r="BJ3" s="154">
        <f t="shared" si="15"/>
        <v>0</v>
      </c>
      <c r="BK3" s="154">
        <f t="shared" si="16"/>
        <v>0</v>
      </c>
      <c r="BL3" s="154">
        <f t="shared" si="17"/>
        <v>0</v>
      </c>
      <c r="BM3" s="155">
        <f t="shared" si="18"/>
        <v>0</v>
      </c>
      <c r="BN3" s="134"/>
      <c r="BO3" s="23"/>
      <c r="BP3" s="24" t="s">
        <v>29</v>
      </c>
      <c r="BQ3" s="25" t="s">
        <v>11</v>
      </c>
      <c r="BR3" s="26" t="s">
        <v>12</v>
      </c>
      <c r="BS3" s="27" t="s">
        <v>13</v>
      </c>
      <c r="BT3" s="134"/>
      <c r="BU3" s="134"/>
      <c r="BV3" s="140">
        <v>12.6</v>
      </c>
      <c r="BW3" s="140">
        <v>17.600000000000001</v>
      </c>
      <c r="BX3" s="140">
        <v>18.899999999999999</v>
      </c>
      <c r="BY3" s="140">
        <v>15.3</v>
      </c>
      <c r="BZ3" s="140">
        <v>12.9</v>
      </c>
      <c r="CA3" s="140"/>
      <c r="CB3" s="140"/>
      <c r="CC3" s="140"/>
      <c r="CD3" s="140"/>
      <c r="CE3" s="140"/>
      <c r="CF3" s="140"/>
      <c r="CG3" s="140"/>
      <c r="CH3" s="140"/>
      <c r="CI3" s="140"/>
      <c r="CJ3" s="140"/>
      <c r="CK3" s="134"/>
      <c r="CL3" s="134"/>
      <c r="CM3" s="156">
        <f t="shared" si="19"/>
        <v>38.703811780310033</v>
      </c>
      <c r="CN3" s="157">
        <f t="shared" si="20"/>
        <v>36.553806778312442</v>
      </c>
      <c r="CO3" s="157">
        <f t="shared" si="21"/>
        <v>32.977553554039318</v>
      </c>
      <c r="CP3" s="157">
        <f t="shared" si="22"/>
        <v>33.444753948393412</v>
      </c>
      <c r="CQ3" s="157">
        <f t="shared" si="23"/>
        <v>35.848486461879418</v>
      </c>
      <c r="CR3" s="157" t="str">
        <f t="shared" si="24"/>
        <v/>
      </c>
      <c r="CS3" s="157" t="str">
        <f t="shared" si="25"/>
        <v/>
      </c>
      <c r="CT3" s="157" t="str">
        <f t="shared" si="26"/>
        <v/>
      </c>
      <c r="CU3" s="158" t="str">
        <f t="shared" si="27"/>
        <v/>
      </c>
      <c r="CV3" s="158" t="str">
        <f t="shared" si="28"/>
        <v/>
      </c>
      <c r="CW3" s="158" t="str">
        <f t="shared" si="29"/>
        <v/>
      </c>
      <c r="CX3" s="158" t="str">
        <f t="shared" si="30"/>
        <v/>
      </c>
      <c r="CY3" s="143" t="str">
        <f t="shared" si="31"/>
        <v/>
      </c>
      <c r="CZ3" s="143" t="str">
        <f t="shared" si="32"/>
        <v/>
      </c>
      <c r="DA3" s="144" t="str">
        <f t="shared" si="33"/>
        <v/>
      </c>
    </row>
    <row r="4" spans="1:121" ht="17.25" customHeight="1" thickBot="1" x14ac:dyDescent="0.35">
      <c r="A4" s="145">
        <v>1</v>
      </c>
      <c r="B4" s="126" t="s">
        <v>120</v>
      </c>
      <c r="C4" s="146" t="s">
        <v>121</v>
      </c>
      <c r="D4" s="147" t="s">
        <v>122</v>
      </c>
      <c r="E4" s="202" t="s">
        <v>123</v>
      </c>
      <c r="F4" s="210">
        <v>88</v>
      </c>
      <c r="G4" s="211">
        <v>88</v>
      </c>
      <c r="H4" s="211">
        <v>83</v>
      </c>
      <c r="I4" s="211">
        <v>78</v>
      </c>
      <c r="J4" s="211">
        <v>77</v>
      </c>
      <c r="K4" s="211">
        <v>73</v>
      </c>
      <c r="L4" s="211">
        <v>65</v>
      </c>
      <c r="M4" s="215">
        <v>58</v>
      </c>
      <c r="N4" s="210" cm="1">
        <f t="array" ref="N4">IF(AND(F4:M4=""),"",10*LOG((10^((F4-26.2)/10))+(10^((G4-16.1)/10))+(10^((H4-8.6)/10))+(10^((I4-3.2)/10))+(10^((J4)/10))+(10^((K4+1.2)/10))+(10^((L4+1)/10))+(10^((M4-1.1)/10))))</f>
        <v>81.921094618715543</v>
      </c>
      <c r="O4" s="212">
        <v>0</v>
      </c>
      <c r="P4" s="205">
        <v>1</v>
      </c>
      <c r="Q4" s="128">
        <f t="shared" si="34"/>
        <v>82</v>
      </c>
      <c r="R4" s="3">
        <v>2</v>
      </c>
      <c r="S4" s="3">
        <v>13</v>
      </c>
      <c r="T4" s="4">
        <v>211.2</v>
      </c>
      <c r="U4" s="4">
        <v>37.28</v>
      </c>
      <c r="V4" s="109">
        <f t="shared" si="3"/>
        <v>75</v>
      </c>
      <c r="W4" s="81">
        <v>70</v>
      </c>
      <c r="X4" s="148">
        <v>5</v>
      </c>
      <c r="Z4" s="9" t="s">
        <v>172</v>
      </c>
      <c r="AA4" s="4">
        <v>217.01</v>
      </c>
      <c r="AB4" s="4">
        <v>22.5</v>
      </c>
      <c r="AC4" s="87">
        <v>60</v>
      </c>
      <c r="AD4" s="8">
        <v>40</v>
      </c>
      <c r="AE4" s="2">
        <v>44</v>
      </c>
      <c r="AG4" s="61"/>
      <c r="AH4" s="149">
        <f t="array" ref="AH4">IF(AH$1=0,"",SQRT((_xlfn.XLOOKUP(AH$1,$Z$2:$Z$18,$AA$2:$AA$18)-$T4)^2+(_xlfn.XLOOKUP(AH$1,$Z$2:$Z$18,$AB$2:$AB$18)-$U4)^2+(_xlfn.XLOOKUP(AH$1,$Z$2:$Z$18,$AC$2:$AC$18-$V4)^2)))</f>
        <v>184.640954286962</v>
      </c>
      <c r="AI4" s="150">
        <f t="array" ref="AI4">IF(AI$1=0,"",SQRT((_xlfn.XLOOKUP(AI$1,$Z$2:$Z$18,$AA$2:$AA$18)-$T4)^2+(_xlfn.XLOOKUP(AI$1,$Z$2:$Z$18,$AB$2:$AB$18)-$U4)^2+(_xlfn.XLOOKUP(AI$1,$Z$2:$Z$18,$AC$2:$AC$18-$V4)^2)))</f>
        <v>113.24414554404125</v>
      </c>
      <c r="AJ4" s="150">
        <f t="array" ref="AJ4">IF(AJ$1=0,"",SQRT((_xlfn.XLOOKUP(AJ$1,$Z$2:$Z$18,$AA$2:$AA$18)-$T4)^2+(_xlfn.XLOOKUP(AJ$1,$Z$2:$Z$18,$AB$2:$AB$18)-$U4)^2+(_xlfn.XLOOKUP(AJ$1,$Z$2:$Z$18,$AC$2:$AC$18-$V4)^2)))</f>
        <v>21.845010872050398</v>
      </c>
      <c r="AK4" s="150">
        <f t="array" ref="AK4">IF(AK$1=0,"",SQRT((_xlfn.XLOOKUP(AK$1,$Z$2:$Z$18,$AA$2:$AA$18)-$T4)^2+(_xlfn.XLOOKUP(AK$1,$Z$2:$Z$18,$AB$2:$AB$18)-$U4)^2+(_xlfn.XLOOKUP(AK$1,$Z$2:$Z$18,$AC$2:$AC$18-$V4)^2)))</f>
        <v>121.72332767386868</v>
      </c>
      <c r="AL4" s="150">
        <f t="array" ref="AL4">IF(AL$1=0,"",SQRT((_xlfn.XLOOKUP(AL$1,$Z$2:$Z$18,$AA$2:$AA$18)-$T4)^2+(_xlfn.XLOOKUP(AL$1,$Z$2:$Z$18,$AB$2:$AB$18)-$U4)^2+(_xlfn.XLOOKUP(AL$1,$Z$2:$Z$18,$AC$2:$AC$18-$V4)^2)))</f>
        <v>266.20872149499536</v>
      </c>
      <c r="AM4" s="150" t="str">
        <f t="array" ref="AM4">IF(AM$1=0,"",SQRT((_xlfn.XLOOKUP(AM$1,$Z$2:$Z$18,$AA$2:$AA$18)-$T4)^2+(_xlfn.XLOOKUP(AM$1,$Z$2:$Z$18,$AB$2:$AB$18)-$U4)^2+(_xlfn.XLOOKUP(AM$1,$Z$2:$Z$18,$AC$2:$AC$18-$V4)^2)))</f>
        <v/>
      </c>
      <c r="AN4" s="150" t="str">
        <f t="array" ref="AN4">IF(AN$1=0,"",SQRT((_xlfn.XLOOKUP(AN$1,$Z$2:$Z$18,$AA$2:$AA$18)-$T4)^2+(_xlfn.XLOOKUP(AN$1,$Z$2:$Z$18,$AB$2:$AB$18)-$U4)^2+(_xlfn.XLOOKUP(AN$1,$Z$2:$Z$18,$AC$2:$AC$18-$V4)^2)))</f>
        <v/>
      </c>
      <c r="AO4" s="150" t="str">
        <f t="array" ref="AO4">IF(AO$1=0,"",SQRT((_xlfn.XLOOKUP(AO$1,$Z$2:$Z$18,$AA$2:$AA$18)-$T4)^2+(_xlfn.XLOOKUP(AO$1,$Z$2:$Z$18,$AB$2:$AB$18)-$U4)^2+(_xlfn.XLOOKUP(AO$1,$Z$2:$Z$18,$AC$2:$AC$18-$V4)^2)))</f>
        <v/>
      </c>
      <c r="AP4" s="151" t="str">
        <f t="array" ref="AP4">IF(AP$1=0,"",SQRT((_xlfn.XLOOKUP(AP$1,$Z$2:$Z$18,$AA$2:$AA$18)-$T4)^2+(_xlfn.XLOOKUP(AP$1,$Z$2:$Z$18,$AB$2:$AB$18)-$U4)^2+(_xlfn.XLOOKUP(AP$1,$Z$2:$Z$18,$AC$2:$AC$18-$V4)^2)))</f>
        <v/>
      </c>
      <c r="AQ4" s="151" t="str">
        <f t="array" ref="AQ4">IF(AQ$1=0,"",SQRT((_xlfn.XLOOKUP(AQ$1,$Z$2:$Z$18,$AA$2:$AA$18)-$T4)^2+(_xlfn.XLOOKUP(AQ$1,$Z$2:$Z$18,$AB$2:$AB$18)-$U4)^2+(_xlfn.XLOOKUP(AQ$1,$Z$2:$Z$18,$AC$2:$AC$18-$V4)^2)))</f>
        <v/>
      </c>
      <c r="AR4" s="151" t="str">
        <f t="array" ref="AR4">IF(AR$1=0,"",SQRT((_xlfn.XLOOKUP(AR$1,$Z$2:$Z$18,$AA$2:$AA$18)-$T4)^2+(_xlfn.XLOOKUP(AR$1,$Z$2:$Z$18,$AB$2:$AB$18)-$U4)^2+(_xlfn.XLOOKUP(AR$1,$Z$2:$Z$18,$AC$2:$AC$18-$V4)^2)))</f>
        <v/>
      </c>
      <c r="AS4" s="151" t="str">
        <f t="array" ref="AS4">IF(AS$1=0,"",SQRT((_xlfn.XLOOKUP(AS$1,$Z$2:$Z$18,$AA$2:$AA$18)-$T4)^2+(_xlfn.XLOOKUP(AS$1,$Z$2:$Z$18,$AB$2:$AB$18)-$U4)^2+(_xlfn.XLOOKUP(AS$1,$Z$2:$Z$18,$AC$2:$AC$18-$V4)^2)))</f>
        <v/>
      </c>
      <c r="AT4" s="151" t="str">
        <f t="array" ref="AT4">IF(AT$1=0,"",SQRT((_xlfn.XLOOKUP(AT$1,$Z$2:$Z$18,$AA$2:$AA$18)-$T4)^2+(_xlfn.XLOOKUP(AT$1,$Z$2:$Z$18,$AB$2:$AB$18)-$U4)^2+(_xlfn.XLOOKUP(AT$1,$Z$2:$Z$18,$AC$2:$AC$18-$V4)^2)))</f>
        <v/>
      </c>
      <c r="AU4" s="151" t="str">
        <f t="array" ref="AU4">IF(AU$1=0,"",SQRT((_xlfn.XLOOKUP(AU$1,$Z$2:$Z$18,$AA$2:$AA$18)-$T4)^2+(_xlfn.XLOOKUP(AU$1,$Z$2:$Z$18,$AB$2:$AB$18)-$U4)^2+(_xlfn.XLOOKUP(AU$1,$Z$2:$Z$18,$AC$2:$AC$18-$V4)^2)))</f>
        <v/>
      </c>
      <c r="AV4" s="152" t="str">
        <f t="array" ref="AV4">IF(AV$1=0,"",SQRT((_xlfn.XLOOKUP(AV$1,$Z$2:$Z$18,$AA$2:$AA$18)-$T4)^2+(_xlfn.XLOOKUP(AV$1,$Z$2:$Z$18,$AB$2:$AB$18)-$U4)^2+(_xlfn.XLOOKUP(AV$1,$Z$2:$Z$18,$AC$2:$AC$18-$V4)^2)))</f>
        <v/>
      </c>
      <c r="AW4" s="134"/>
      <c r="AX4" s="159"/>
      <c r="AY4" s="135">
        <f t="shared" si="4"/>
        <v>-42.988658658179418</v>
      </c>
      <c r="AZ4" s="153">
        <f t="shared" si="5"/>
        <v>-38.742413122172678</v>
      </c>
      <c r="BA4" s="153">
        <f t="shared" si="6"/>
        <v>-24.4491432407284</v>
      </c>
      <c r="BB4" s="153">
        <f t="shared" si="7"/>
        <v>-39.369574268861413</v>
      </c>
      <c r="BC4" s="153">
        <f t="shared" si="8"/>
        <v>-46.166543530336916</v>
      </c>
      <c r="BD4" s="153">
        <f t="shared" si="9"/>
        <v>0</v>
      </c>
      <c r="BE4" s="153">
        <f t="shared" si="10"/>
        <v>0</v>
      </c>
      <c r="BF4" s="153">
        <f t="shared" si="11"/>
        <v>0</v>
      </c>
      <c r="BG4" s="154">
        <f t="shared" si="12"/>
        <v>0</v>
      </c>
      <c r="BH4" s="154">
        <f t="shared" si="13"/>
        <v>0</v>
      </c>
      <c r="BI4" s="154">
        <f t="shared" si="14"/>
        <v>0</v>
      </c>
      <c r="BJ4" s="154">
        <f t="shared" si="15"/>
        <v>0</v>
      </c>
      <c r="BK4" s="154">
        <f t="shared" si="16"/>
        <v>0</v>
      </c>
      <c r="BL4" s="154">
        <f t="shared" si="17"/>
        <v>0</v>
      </c>
      <c r="BM4" s="155">
        <f t="shared" si="18"/>
        <v>0</v>
      </c>
      <c r="BN4" s="134"/>
      <c r="BO4" s="28" t="s">
        <v>21</v>
      </c>
      <c r="BP4" s="29" t="s">
        <v>113</v>
      </c>
      <c r="BQ4" s="30">
        <f>_xlfn.XLOOKUP($BP$4,$B$2:$B$58,T2:T58,"not found",0,1)</f>
        <v>104.01</v>
      </c>
      <c r="BR4" s="31">
        <f>_xlfn.XLOOKUP($BP$4,$B$2:$B$58,U2:U58,"not found",0,1)</f>
        <v>99.85</v>
      </c>
      <c r="BS4" s="32">
        <f>_xlfn.XLOOKUP($BP$4,$B$2:$B$58,V2:V58,"not found",0,1)</f>
        <v>74.25</v>
      </c>
      <c r="BT4" s="134"/>
      <c r="BU4" s="134"/>
      <c r="BV4" s="140">
        <v>7</v>
      </c>
      <c r="BW4" s="140">
        <v>15.9</v>
      </c>
      <c r="BX4" s="140">
        <v>15.3</v>
      </c>
      <c r="BY4" s="140">
        <v>13.8</v>
      </c>
      <c r="BZ4" s="140">
        <v>15</v>
      </c>
      <c r="CA4" s="140"/>
      <c r="CB4" s="140"/>
      <c r="CC4" s="140"/>
      <c r="CD4" s="140"/>
      <c r="CE4" s="140"/>
      <c r="CF4" s="140"/>
      <c r="CG4" s="140"/>
      <c r="CH4" s="140"/>
      <c r="CI4" s="140"/>
      <c r="CJ4" s="140"/>
      <c r="CK4" s="134"/>
      <c r="CL4" s="134"/>
      <c r="CM4" s="141">
        <f t="shared" si="19"/>
        <v>19.011341341820582</v>
      </c>
      <c r="CN4" s="142">
        <f t="shared" si="20"/>
        <v>14.357586877827321</v>
      </c>
      <c r="CO4" s="142">
        <f t="shared" si="21"/>
        <v>29.250856759271596</v>
      </c>
      <c r="CP4" s="142">
        <f t="shared" si="22"/>
        <v>15.830425731138586</v>
      </c>
      <c r="CQ4" s="142">
        <f t="shared" si="23"/>
        <v>7.8334564696630835</v>
      </c>
      <c r="CR4" s="142" t="str">
        <f t="shared" si="24"/>
        <v/>
      </c>
      <c r="CS4" s="142" t="str">
        <f t="shared" si="25"/>
        <v/>
      </c>
      <c r="CT4" s="142" t="str">
        <f t="shared" si="26"/>
        <v/>
      </c>
      <c r="CU4" s="143" t="str">
        <f t="shared" si="27"/>
        <v/>
      </c>
      <c r="CV4" s="143" t="str">
        <f t="shared" si="28"/>
        <v/>
      </c>
      <c r="CW4" s="143" t="str">
        <f t="shared" si="29"/>
        <v/>
      </c>
      <c r="CX4" s="143" t="str">
        <f t="shared" si="30"/>
        <v/>
      </c>
      <c r="CY4" s="143" t="str">
        <f t="shared" si="31"/>
        <v/>
      </c>
      <c r="CZ4" s="143" t="str">
        <f t="shared" si="32"/>
        <v/>
      </c>
      <c r="DA4" s="144" t="str">
        <f t="shared" si="33"/>
        <v/>
      </c>
    </row>
    <row r="5" spans="1:121" ht="17.25" customHeight="1" thickBot="1" x14ac:dyDescent="0.35">
      <c r="A5" s="145">
        <v>1</v>
      </c>
      <c r="B5" s="126" t="s">
        <v>124</v>
      </c>
      <c r="C5" s="146" t="s">
        <v>125</v>
      </c>
      <c r="D5" s="147" t="s">
        <v>122</v>
      </c>
      <c r="E5" s="202" t="s">
        <v>126</v>
      </c>
      <c r="F5" s="210">
        <v>81</v>
      </c>
      <c r="G5" s="211">
        <v>79</v>
      </c>
      <c r="H5" s="211">
        <v>73</v>
      </c>
      <c r="I5" s="211">
        <v>66</v>
      </c>
      <c r="J5" s="211">
        <v>61</v>
      </c>
      <c r="K5" s="211">
        <v>59</v>
      </c>
      <c r="L5" s="211">
        <v>50</v>
      </c>
      <c r="M5" s="215">
        <v>43</v>
      </c>
      <c r="N5" s="210" cm="1">
        <f t="array" ref="N5">IF(AND(F5:M5=""),"",10*LOG((10^((F5-26.2)/10))+(10^((G5-16.1)/10))+(10^((H5-8.6)/10))+(10^((I5-3.2)/10))+(10^((J5)/10))+(10^((K5+1.2)/10))+(10^((L5+1)/10))+(10^((M5-1.1)/10))))</f>
        <v>69.712277702491207</v>
      </c>
      <c r="O5" s="212">
        <v>0</v>
      </c>
      <c r="P5" s="205">
        <v>1</v>
      </c>
      <c r="Q5" s="128">
        <f t="shared" si="34"/>
        <v>70</v>
      </c>
      <c r="R5" s="3">
        <v>2</v>
      </c>
      <c r="S5" s="3"/>
      <c r="T5" s="4">
        <v>169.87</v>
      </c>
      <c r="U5" s="4">
        <v>122.08</v>
      </c>
      <c r="V5" s="109">
        <f t="shared" si="3"/>
        <v>72</v>
      </c>
      <c r="W5" s="81">
        <v>70</v>
      </c>
      <c r="X5" s="148">
        <v>2</v>
      </c>
      <c r="Z5" s="9" t="s">
        <v>173</v>
      </c>
      <c r="AA5" s="4">
        <v>316.86</v>
      </c>
      <c r="AB5" s="4">
        <v>86.55</v>
      </c>
      <c r="AC5" s="87">
        <v>40</v>
      </c>
      <c r="AD5" s="8">
        <v>40</v>
      </c>
      <c r="AE5" s="2">
        <v>41</v>
      </c>
      <c r="AH5" s="149">
        <f t="array" ref="AH5">IF(AH$1=0,"",SQRT((_xlfn.XLOOKUP(AH$1,$Z$2:$Z$18,$AA$2:$AA$18)-$T5)^2+(_xlfn.XLOOKUP(AH$1,$Z$2:$Z$18,$AB$2:$AB$18)-$U5)^2+(_xlfn.XLOOKUP(AH$1,$Z$2:$Z$18,$AC$2:$AC$18-$V5)^2)))</f>
        <v>141.54560996371453</v>
      </c>
      <c r="AI5" s="150">
        <f t="array" ref="AI5">IF(AI$1=0,"",SQRT((_xlfn.XLOOKUP(AI$1,$Z$2:$Z$18,$AA$2:$AA$18)-$T5)^2+(_xlfn.XLOOKUP(AI$1,$Z$2:$Z$18,$AB$2:$AB$18)-$U5)^2+(_xlfn.XLOOKUP(AI$1,$Z$2:$Z$18,$AC$2:$AC$18-$V5)^2)))</f>
        <v>100.42628440801741</v>
      </c>
      <c r="AJ5" s="150">
        <f t="array" ref="AJ5">IF(AJ$1=0,"",SQRT((_xlfn.XLOOKUP(AJ$1,$Z$2:$Z$18,$AA$2:$AA$18)-$T5)^2+(_xlfn.XLOOKUP(AJ$1,$Z$2:$Z$18,$AB$2:$AB$18)-$U5)^2+(_xlfn.XLOOKUP(AJ$1,$Z$2:$Z$18,$AC$2:$AC$18-$V5)^2)))</f>
        <v>110.82579122207972</v>
      </c>
      <c r="AK5" s="150">
        <f t="array" ref="AK5">IF(AK$1=0,"",SQRT((_xlfn.XLOOKUP(AK$1,$Z$2:$Z$18,$AA$2:$AA$18)-$T5)^2+(_xlfn.XLOOKUP(AK$1,$Z$2:$Z$18,$AB$2:$AB$18)-$U5)^2+(_xlfn.XLOOKUP(AK$1,$Z$2:$Z$18,$AC$2:$AC$18-$V5)^2)))</f>
        <v>154.57179885089002</v>
      </c>
      <c r="AL5" s="150">
        <f t="array" ref="AL5">IF(AL$1=0,"",SQRT((_xlfn.XLOOKUP(AL$1,$Z$2:$Z$18,$AA$2:$AA$18)-$T5)^2+(_xlfn.XLOOKUP(AL$1,$Z$2:$Z$18,$AB$2:$AB$18)-$U5)^2+(_xlfn.XLOOKUP(AL$1,$Z$2:$Z$18,$AC$2:$AC$18-$V5)^2)))</f>
        <v>182.67696105420632</v>
      </c>
      <c r="AM5" s="150" t="str">
        <f t="array" ref="AM5">IF(AM$1=0,"",SQRT((_xlfn.XLOOKUP(AM$1,$Z$2:$Z$18,$AA$2:$AA$18)-$T5)^2+(_xlfn.XLOOKUP(AM$1,$Z$2:$Z$18,$AB$2:$AB$18)-$U5)^2+(_xlfn.XLOOKUP(AM$1,$Z$2:$Z$18,$AC$2:$AC$18-$V5)^2)))</f>
        <v/>
      </c>
      <c r="AN5" s="150" t="str">
        <f t="array" ref="AN5">IF(AN$1=0,"",SQRT((_xlfn.XLOOKUP(AN$1,$Z$2:$Z$18,$AA$2:$AA$18)-$T5)^2+(_xlfn.XLOOKUP(AN$1,$Z$2:$Z$18,$AB$2:$AB$18)-$U5)^2+(_xlfn.XLOOKUP(AN$1,$Z$2:$Z$18,$AC$2:$AC$18-$V5)^2)))</f>
        <v/>
      </c>
      <c r="AO5" s="150" t="str">
        <f t="array" ref="AO5">IF(AO$1=0,"",SQRT((_xlfn.XLOOKUP(AO$1,$Z$2:$Z$18,$AA$2:$AA$18)-$T5)^2+(_xlfn.XLOOKUP(AO$1,$Z$2:$Z$18,$AB$2:$AB$18)-$U5)^2+(_xlfn.XLOOKUP(AO$1,$Z$2:$Z$18,$AC$2:$AC$18-$V5)^2)))</f>
        <v/>
      </c>
      <c r="AP5" s="151" t="str">
        <f t="array" ref="AP5">IF(AP$1=0,"",SQRT((_xlfn.XLOOKUP(AP$1,$Z$2:$Z$18,$AA$2:$AA$18)-$T5)^2+(_xlfn.XLOOKUP(AP$1,$Z$2:$Z$18,$AB$2:$AB$18)-$U5)^2+(_xlfn.XLOOKUP(AP$1,$Z$2:$Z$18,$AC$2:$AC$18-$V5)^2)))</f>
        <v/>
      </c>
      <c r="AQ5" s="151" t="str">
        <f t="array" ref="AQ5">IF(AQ$1=0,"",SQRT((_xlfn.XLOOKUP(AQ$1,$Z$2:$Z$18,$AA$2:$AA$18)-$T5)^2+(_xlfn.XLOOKUP(AQ$1,$Z$2:$Z$18,$AB$2:$AB$18)-$U5)^2+(_xlfn.XLOOKUP(AQ$1,$Z$2:$Z$18,$AC$2:$AC$18-$V5)^2)))</f>
        <v/>
      </c>
      <c r="AR5" s="151" t="str">
        <f t="array" ref="AR5">IF(AR$1=0,"",SQRT((_xlfn.XLOOKUP(AR$1,$Z$2:$Z$18,$AA$2:$AA$18)-$T5)^2+(_xlfn.XLOOKUP(AR$1,$Z$2:$Z$18,$AB$2:$AB$18)-$U5)^2+(_xlfn.XLOOKUP(AR$1,$Z$2:$Z$18,$AC$2:$AC$18-$V5)^2)))</f>
        <v/>
      </c>
      <c r="AS5" s="151" t="str">
        <f t="array" ref="AS5">IF(AS$1=0,"",SQRT((_xlfn.XLOOKUP(AS$1,$Z$2:$Z$18,$AA$2:$AA$18)-$T5)^2+(_xlfn.XLOOKUP(AS$1,$Z$2:$Z$18,$AB$2:$AB$18)-$U5)^2+(_xlfn.XLOOKUP(AS$1,$Z$2:$Z$18,$AC$2:$AC$18-$V5)^2)))</f>
        <v/>
      </c>
      <c r="AT5" s="151" t="str">
        <f t="array" ref="AT5">IF(AT$1=0,"",SQRT((_xlfn.XLOOKUP(AT$1,$Z$2:$Z$18,$AA$2:$AA$18)-$T5)^2+(_xlfn.XLOOKUP(AT$1,$Z$2:$Z$18,$AB$2:$AB$18)-$U5)^2+(_xlfn.XLOOKUP(AT$1,$Z$2:$Z$18,$AC$2:$AC$18-$V5)^2)))</f>
        <v/>
      </c>
      <c r="AU5" s="151" t="str">
        <f t="array" ref="AU5">IF(AU$1=0,"",SQRT((_xlfn.XLOOKUP(AU$1,$Z$2:$Z$18,$AA$2:$AA$18)-$T5)^2+(_xlfn.XLOOKUP(AU$1,$Z$2:$Z$18,$AB$2:$AB$18)-$U5)^2+(_xlfn.XLOOKUP(AU$1,$Z$2:$Z$18,$AC$2:$AC$18-$V5)^2)))</f>
        <v/>
      </c>
      <c r="AV5" s="152" t="str">
        <f t="array" ref="AV5">IF(AV$1=0,"",SQRT((_xlfn.XLOOKUP(AV$1,$Z$2:$Z$18,$AA$2:$AA$18)-$T5)^2+(_xlfn.XLOOKUP(AV$1,$Z$2:$Z$18,$AB$2:$AB$18)-$U5)^2+(_xlfn.XLOOKUP(AV$1,$Z$2:$Z$18,$AC$2:$AC$18-$V5)^2)))</f>
        <v/>
      </c>
      <c r="AW5" s="134"/>
      <c r="AX5" s="134"/>
      <c r="AY5" s="135">
        <f t="shared" si="4"/>
        <v>-40.680026022314799</v>
      </c>
      <c r="AZ5" s="153">
        <f t="shared" si="5"/>
        <v>-37.69904583442603</v>
      </c>
      <c r="BA5" s="153">
        <f t="shared" si="6"/>
        <v>-38.554914748028075</v>
      </c>
      <c r="BB5" s="153">
        <f t="shared" si="7"/>
        <v>-41.444703159284522</v>
      </c>
      <c r="BC5" s="153">
        <f t="shared" si="8"/>
        <v>-42.895773501612965</v>
      </c>
      <c r="BD5" s="153">
        <f t="shared" si="9"/>
        <v>0</v>
      </c>
      <c r="BE5" s="153">
        <f t="shared" si="10"/>
        <v>0</v>
      </c>
      <c r="BF5" s="153">
        <f t="shared" si="11"/>
        <v>0</v>
      </c>
      <c r="BG5" s="154">
        <f t="shared" si="12"/>
        <v>0</v>
      </c>
      <c r="BH5" s="154">
        <f t="shared" si="13"/>
        <v>0</v>
      </c>
      <c r="BI5" s="154">
        <f t="shared" si="14"/>
        <v>0</v>
      </c>
      <c r="BJ5" s="154">
        <f t="shared" si="15"/>
        <v>0</v>
      </c>
      <c r="BK5" s="154">
        <f t="shared" si="16"/>
        <v>0</v>
      </c>
      <c r="BL5" s="154">
        <f t="shared" si="17"/>
        <v>0</v>
      </c>
      <c r="BM5" s="155">
        <f t="shared" si="18"/>
        <v>0</v>
      </c>
      <c r="BN5" s="134"/>
      <c r="BO5" s="28" t="s">
        <v>22</v>
      </c>
      <c r="BP5" s="33" t="s">
        <v>171</v>
      </c>
      <c r="BQ5" s="34">
        <f>_xlfn.XLOOKUP($BP$5,$Z$2:$Z$18,AA2:AA18,"not found",0,1)</f>
        <v>33.28</v>
      </c>
      <c r="BR5" s="34">
        <f>_xlfn.XLOOKUP($BP$5,$Z$2:$Z$18,AB2:AB18,"not found",0,1)</f>
        <v>85.62</v>
      </c>
      <c r="BS5" s="34">
        <f>_xlfn.XLOOKUP($BP$5,$Z$2:$Z$18,AC2:AC18,"not found",0,1)</f>
        <v>65</v>
      </c>
      <c r="BT5" s="134"/>
      <c r="BU5" s="134"/>
      <c r="BV5" s="140">
        <v>11</v>
      </c>
      <c r="BW5" s="140">
        <v>15.3</v>
      </c>
      <c r="BX5" s="140">
        <v>17.7</v>
      </c>
      <c r="BY5" s="140">
        <v>13.1</v>
      </c>
      <c r="BZ5" s="140">
        <v>11.6</v>
      </c>
      <c r="CA5" s="140"/>
      <c r="CB5" s="140"/>
      <c r="CC5" s="140"/>
      <c r="CD5" s="140"/>
      <c r="CE5" s="140"/>
      <c r="CF5" s="140"/>
      <c r="CG5" s="140"/>
      <c r="CH5" s="140"/>
      <c r="CI5" s="140"/>
      <c r="CJ5" s="140"/>
      <c r="CK5" s="134"/>
      <c r="CL5" s="134"/>
      <c r="CM5" s="156">
        <f t="shared" si="19"/>
        <v>18.319973977685201</v>
      </c>
      <c r="CN5" s="157">
        <f t="shared" si="20"/>
        <v>17.000954165573969</v>
      </c>
      <c r="CO5" s="157">
        <f t="shared" si="21"/>
        <v>13.745085251971926</v>
      </c>
      <c r="CP5" s="157">
        <f t="shared" si="22"/>
        <v>15.455296840715478</v>
      </c>
      <c r="CQ5" s="157">
        <f t="shared" si="23"/>
        <v>15.504226498387036</v>
      </c>
      <c r="CR5" s="157" t="str">
        <f t="shared" si="24"/>
        <v/>
      </c>
      <c r="CS5" s="157" t="str">
        <f t="shared" si="25"/>
        <v/>
      </c>
      <c r="CT5" s="157" t="str">
        <f t="shared" si="26"/>
        <v/>
      </c>
      <c r="CU5" s="158" t="str">
        <f t="shared" si="27"/>
        <v/>
      </c>
      <c r="CV5" s="158" t="str">
        <f t="shared" si="28"/>
        <v/>
      </c>
      <c r="CW5" s="158" t="str">
        <f t="shared" si="29"/>
        <v/>
      </c>
      <c r="CX5" s="158" t="str">
        <f t="shared" si="30"/>
        <v/>
      </c>
      <c r="CY5" s="143" t="str">
        <f t="shared" si="31"/>
        <v/>
      </c>
      <c r="CZ5" s="143" t="str">
        <f t="shared" si="32"/>
        <v/>
      </c>
      <c r="DA5" s="144" t="str">
        <f t="shared" si="33"/>
        <v/>
      </c>
    </row>
    <row r="6" spans="1:121" ht="17.25" customHeight="1" thickBot="1" x14ac:dyDescent="0.35">
      <c r="A6" s="145">
        <v>1</v>
      </c>
      <c r="B6" s="126" t="s">
        <v>127</v>
      </c>
      <c r="C6" s="146" t="s">
        <v>125</v>
      </c>
      <c r="D6" s="147" t="s">
        <v>122</v>
      </c>
      <c r="E6" s="202" t="s">
        <v>128</v>
      </c>
      <c r="F6" s="210">
        <v>84</v>
      </c>
      <c r="G6" s="211">
        <v>87</v>
      </c>
      <c r="H6" s="211">
        <v>83</v>
      </c>
      <c r="I6" s="211">
        <v>78</v>
      </c>
      <c r="J6" s="211">
        <v>74</v>
      </c>
      <c r="K6" s="211">
        <v>69</v>
      </c>
      <c r="L6" s="211">
        <v>64</v>
      </c>
      <c r="M6" s="215">
        <v>60</v>
      </c>
      <c r="N6" s="210" cm="1">
        <f t="array" ref="N6">IF(AND(F6:M6=""),"",10*LOG((10^((F6-26.2)/10))+(10^((G6-16.1)/10))+(10^((H6-8.6)/10))+(10^((I6-3.2)/10))+(10^((J6)/10))+(10^((K6+1.2)/10))+(10^((L6+1)/10))+(10^((M6-1.1)/10))))</f>
        <v>80.420859213732172</v>
      </c>
      <c r="O6" s="212">
        <v>0</v>
      </c>
      <c r="P6" s="205">
        <v>1</v>
      </c>
      <c r="Q6" s="128">
        <f t="shared" si="34"/>
        <v>80</v>
      </c>
      <c r="R6" s="3">
        <v>2</v>
      </c>
      <c r="S6" s="3"/>
      <c r="T6" s="4">
        <v>70.73</v>
      </c>
      <c r="U6" s="4">
        <v>99.31</v>
      </c>
      <c r="V6" s="109">
        <f t="shared" si="3"/>
        <v>75.5</v>
      </c>
      <c r="W6" s="81">
        <v>70</v>
      </c>
      <c r="X6" s="148">
        <v>5.5</v>
      </c>
      <c r="Z6" s="9" t="s">
        <v>174</v>
      </c>
      <c r="AA6" s="4">
        <v>14.23</v>
      </c>
      <c r="AB6" s="4">
        <v>213.83</v>
      </c>
      <c r="AC6" s="87">
        <v>45</v>
      </c>
      <c r="AD6" s="8">
        <v>40</v>
      </c>
      <c r="AE6" s="2">
        <v>44</v>
      </c>
      <c r="AH6" s="149">
        <f t="array" ref="AH6">IF(AH$1=0,"",SQRT((_xlfn.XLOOKUP(AH$1,$Z$2:$Z$18,$AA$2:$AA$18)-$T6)^2+(_xlfn.XLOOKUP(AH$1,$Z$2:$Z$18,$AB$2:$AB$18)-$U6)^2+(_xlfn.XLOOKUP(AH$1,$Z$2:$Z$18,$AC$2:$AC$18-$V6)^2)))</f>
        <v>41.23310078080474</v>
      </c>
      <c r="AI6" s="150">
        <f t="array" ref="AI6">IF(AI$1=0,"",SQRT((_xlfn.XLOOKUP(AI$1,$Z$2:$Z$18,$AA$2:$AA$18)-$T6)^2+(_xlfn.XLOOKUP(AI$1,$Z$2:$Z$18,$AB$2:$AB$18)-$U6)^2+(_xlfn.XLOOKUP(AI$1,$Z$2:$Z$18,$AC$2:$AC$18-$V6)^2)))</f>
        <v>67.636925565847534</v>
      </c>
      <c r="AJ6" s="150">
        <f t="array" ref="AJ6">IF(AJ$1=0,"",SQRT((_xlfn.XLOOKUP(AJ$1,$Z$2:$Z$18,$AA$2:$AA$18)-$T6)^2+(_xlfn.XLOOKUP(AJ$1,$Z$2:$Z$18,$AB$2:$AB$18)-$U6)^2+(_xlfn.XLOOKUP(AJ$1,$Z$2:$Z$18,$AC$2:$AC$18-$V6)^2)))</f>
        <v>165.94536600941888</v>
      </c>
      <c r="AK6" s="150">
        <f t="array" ref="AK6">IF(AK$1=0,"",SQRT((_xlfn.XLOOKUP(AK$1,$Z$2:$Z$18,$AA$2:$AA$18)-$T6)^2+(_xlfn.XLOOKUP(AK$1,$Z$2:$Z$18,$AB$2:$AB$18)-$U6)^2+(_xlfn.XLOOKUP(AK$1,$Z$2:$Z$18,$AC$2:$AC$18-$V6)^2)))</f>
        <v>249.00410538784294</v>
      </c>
      <c r="AL6" s="150">
        <f t="array" ref="AL6">IF(AL$1=0,"",SQRT((_xlfn.XLOOKUP(AL$1,$Z$2:$Z$18,$AA$2:$AA$18)-$T6)^2+(_xlfn.XLOOKUP(AL$1,$Z$2:$Z$18,$AB$2:$AB$18)-$U6)^2+(_xlfn.XLOOKUP(AL$1,$Z$2:$Z$18,$AC$2:$AC$18-$V6)^2)))</f>
        <v>131.29101416319398</v>
      </c>
      <c r="AM6" s="150" t="str">
        <f t="array" ref="AM6">IF(AM$1=0,"",SQRT((_xlfn.XLOOKUP(AM$1,$Z$2:$Z$18,$AA$2:$AA$18)-$T6)^2+(_xlfn.XLOOKUP(AM$1,$Z$2:$Z$18,$AB$2:$AB$18)-$U6)^2+(_xlfn.XLOOKUP(AM$1,$Z$2:$Z$18,$AC$2:$AC$18-$V6)^2)))</f>
        <v/>
      </c>
      <c r="AN6" s="150" t="str">
        <f t="array" ref="AN6">IF(AN$1=0,"",SQRT((_xlfn.XLOOKUP(AN$1,$Z$2:$Z$18,$AA$2:$AA$18)-$T6)^2+(_xlfn.XLOOKUP(AN$1,$Z$2:$Z$18,$AB$2:$AB$18)-$U6)^2+(_xlfn.XLOOKUP(AN$1,$Z$2:$Z$18,$AC$2:$AC$18-$V6)^2)))</f>
        <v/>
      </c>
      <c r="AO6" s="150" t="str">
        <f t="array" ref="AO6">IF(AO$1=0,"",SQRT((_xlfn.XLOOKUP(AO$1,$Z$2:$Z$18,$AA$2:$AA$18)-$T6)^2+(_xlfn.XLOOKUP(AO$1,$Z$2:$Z$18,$AB$2:$AB$18)-$U6)^2+(_xlfn.XLOOKUP(AO$1,$Z$2:$Z$18,$AC$2:$AC$18-$V6)^2)))</f>
        <v/>
      </c>
      <c r="AP6" s="151" t="str">
        <f t="array" ref="AP6">IF(AP$1=0,"",SQRT((_xlfn.XLOOKUP(AP$1,$Z$2:$Z$18,$AA$2:$AA$18)-$T6)^2+(_xlfn.XLOOKUP(AP$1,$Z$2:$Z$18,$AB$2:$AB$18)-$U6)^2+(_xlfn.XLOOKUP(AP$1,$Z$2:$Z$18,$AC$2:$AC$18-$V6)^2)))</f>
        <v/>
      </c>
      <c r="AQ6" s="151" t="str">
        <f t="array" ref="AQ6">IF(AQ$1=0,"",SQRT((_xlfn.XLOOKUP(AQ$1,$Z$2:$Z$18,$AA$2:$AA$18)-$T6)^2+(_xlfn.XLOOKUP(AQ$1,$Z$2:$Z$18,$AB$2:$AB$18)-$U6)^2+(_xlfn.XLOOKUP(AQ$1,$Z$2:$Z$18,$AC$2:$AC$18-$V6)^2)))</f>
        <v/>
      </c>
      <c r="AR6" s="151" t="str">
        <f t="array" ref="AR6">IF(AR$1=0,"",SQRT((_xlfn.XLOOKUP(AR$1,$Z$2:$Z$18,$AA$2:$AA$18)-$T6)^2+(_xlfn.XLOOKUP(AR$1,$Z$2:$Z$18,$AB$2:$AB$18)-$U6)^2+(_xlfn.XLOOKUP(AR$1,$Z$2:$Z$18,$AC$2:$AC$18-$V6)^2)))</f>
        <v/>
      </c>
      <c r="AS6" s="151" t="str">
        <f t="array" ref="AS6">IF(AS$1=0,"",SQRT((_xlfn.XLOOKUP(AS$1,$Z$2:$Z$18,$AA$2:$AA$18)-$T6)^2+(_xlfn.XLOOKUP(AS$1,$Z$2:$Z$18,$AB$2:$AB$18)-$U6)^2+(_xlfn.XLOOKUP(AS$1,$Z$2:$Z$18,$AC$2:$AC$18-$V6)^2)))</f>
        <v/>
      </c>
      <c r="AT6" s="151" t="str">
        <f t="array" ref="AT6">IF(AT$1=0,"",SQRT((_xlfn.XLOOKUP(AT$1,$Z$2:$Z$18,$AA$2:$AA$18)-$T6)^2+(_xlfn.XLOOKUP(AT$1,$Z$2:$Z$18,$AB$2:$AB$18)-$U6)^2+(_xlfn.XLOOKUP(AT$1,$Z$2:$Z$18,$AC$2:$AC$18-$V6)^2)))</f>
        <v/>
      </c>
      <c r="AU6" s="151" t="str">
        <f t="array" ref="AU6">IF(AU$1=0,"",SQRT((_xlfn.XLOOKUP(AU$1,$Z$2:$Z$18,$AA$2:$AA$18)-$T6)^2+(_xlfn.XLOOKUP(AU$1,$Z$2:$Z$18,$AB$2:$AB$18)-$U6)^2+(_xlfn.XLOOKUP(AU$1,$Z$2:$Z$18,$AC$2:$AC$18-$V6)^2)))</f>
        <v/>
      </c>
      <c r="AV6" s="152" t="str">
        <f t="array" ref="AV6">IF(AV$1=0,"",SQRT((_xlfn.XLOOKUP(AV$1,$Z$2:$Z$18,$AA$2:$AA$18)-$T6)^2+(_xlfn.XLOOKUP(AV$1,$Z$2:$Z$18,$AB$2:$AB$18)-$U6)^2+(_xlfn.XLOOKUP(AV$1,$Z$2:$Z$18,$AC$2:$AC$18-$V6)^2)))</f>
        <v/>
      </c>
      <c r="AW6" s="134"/>
      <c r="AX6" s="134"/>
      <c r="AY6" s="135">
        <f t="shared" si="4"/>
        <v>-29.967017847297129</v>
      </c>
      <c r="AZ6" s="153">
        <f t="shared" si="5"/>
        <v>-34.265775107601165</v>
      </c>
      <c r="BA6" s="153">
        <f t="shared" si="6"/>
        <v>-42.061400523510564</v>
      </c>
      <c r="BB6" s="153">
        <f t="shared" si="7"/>
        <v>-45.586228086283938</v>
      </c>
      <c r="BC6" s="153">
        <f t="shared" si="8"/>
        <v>-40.026797998267341</v>
      </c>
      <c r="BD6" s="153">
        <f t="shared" si="9"/>
        <v>0</v>
      </c>
      <c r="BE6" s="153">
        <f t="shared" si="10"/>
        <v>0</v>
      </c>
      <c r="BF6" s="153">
        <f t="shared" si="11"/>
        <v>0</v>
      </c>
      <c r="BG6" s="154">
        <f t="shared" si="12"/>
        <v>0</v>
      </c>
      <c r="BH6" s="154">
        <f t="shared" si="13"/>
        <v>0</v>
      </c>
      <c r="BI6" s="154">
        <f t="shared" si="14"/>
        <v>0</v>
      </c>
      <c r="BJ6" s="154">
        <f t="shared" si="15"/>
        <v>0</v>
      </c>
      <c r="BK6" s="154">
        <f t="shared" si="16"/>
        <v>0</v>
      </c>
      <c r="BL6" s="154">
        <f t="shared" si="17"/>
        <v>0</v>
      </c>
      <c r="BM6" s="155">
        <f t="shared" si="18"/>
        <v>0</v>
      </c>
      <c r="BN6" s="134"/>
      <c r="BO6" s="28" t="s">
        <v>30</v>
      </c>
      <c r="BP6" s="33" t="s">
        <v>196</v>
      </c>
      <c r="BQ6" s="34">
        <f>_xlfn.XLOOKUP($BP$6,$Z$24:$Z$50,AA24:AA50,"error",0,1)</f>
        <v>75.569999999999993</v>
      </c>
      <c r="BR6" s="35">
        <f>_xlfn.XLOOKUP($BP$6,$Z$24:$Z$50,AB24:AB50,"error",0,1)</f>
        <v>98.34</v>
      </c>
      <c r="BS6" s="36">
        <f>_xlfn.XLOOKUP($BP$6,$Z$24:$Z$50,AC24:AC50,"error",0,1)</f>
        <v>75.400000000000006</v>
      </c>
      <c r="BT6" s="134"/>
      <c r="BU6" s="134"/>
      <c r="BV6" s="140">
        <v>6.6</v>
      </c>
      <c r="BW6" s="140">
        <v>15.4</v>
      </c>
      <c r="BX6" s="140">
        <v>14.5</v>
      </c>
      <c r="BY6" s="140">
        <v>15.8</v>
      </c>
      <c r="BZ6" s="140">
        <v>9</v>
      </c>
      <c r="CA6" s="140"/>
      <c r="CB6" s="140"/>
      <c r="CC6" s="140"/>
      <c r="CD6" s="140"/>
      <c r="CE6" s="140"/>
      <c r="CF6" s="140"/>
      <c r="CG6" s="140"/>
      <c r="CH6" s="140"/>
      <c r="CI6" s="140"/>
      <c r="CJ6" s="140"/>
      <c r="CK6" s="134"/>
      <c r="CL6" s="134"/>
      <c r="CM6" s="141">
        <f t="shared" si="19"/>
        <v>43.43298215270287</v>
      </c>
      <c r="CN6" s="142">
        <f t="shared" si="20"/>
        <v>30.334224892398836</v>
      </c>
      <c r="CO6" s="142">
        <f t="shared" si="21"/>
        <v>23.438599476489436</v>
      </c>
      <c r="CP6" s="142">
        <f t="shared" si="22"/>
        <v>18.613771913716061</v>
      </c>
      <c r="CQ6" s="142">
        <f t="shared" si="23"/>
        <v>30.973202001732659</v>
      </c>
      <c r="CR6" s="142" t="str">
        <f t="shared" si="24"/>
        <v/>
      </c>
      <c r="CS6" s="142" t="str">
        <f t="shared" si="25"/>
        <v/>
      </c>
      <c r="CT6" s="142" t="str">
        <f t="shared" si="26"/>
        <v/>
      </c>
      <c r="CU6" s="143" t="str">
        <f t="shared" si="27"/>
        <v/>
      </c>
      <c r="CV6" s="143" t="str">
        <f t="shared" si="28"/>
        <v/>
      </c>
      <c r="CW6" s="143" t="str">
        <f t="shared" si="29"/>
        <v/>
      </c>
      <c r="CX6" s="143" t="str">
        <f t="shared" si="30"/>
        <v/>
      </c>
      <c r="CY6" s="143" t="str">
        <f t="shared" si="31"/>
        <v/>
      </c>
      <c r="CZ6" s="143" t="str">
        <f t="shared" si="32"/>
        <v/>
      </c>
      <c r="DA6" s="144" t="str">
        <f t="shared" si="33"/>
        <v/>
      </c>
    </row>
    <row r="7" spans="1:121" ht="17.25" customHeight="1" thickBot="1" x14ac:dyDescent="0.35">
      <c r="A7" s="145">
        <v>1</v>
      </c>
      <c r="B7" s="126" t="s">
        <v>129</v>
      </c>
      <c r="C7" s="146" t="s">
        <v>125</v>
      </c>
      <c r="D7" s="147" t="s">
        <v>122</v>
      </c>
      <c r="E7" s="202" t="s">
        <v>130</v>
      </c>
      <c r="F7" s="210">
        <v>73</v>
      </c>
      <c r="G7" s="211">
        <v>76</v>
      </c>
      <c r="H7" s="211">
        <v>75</v>
      </c>
      <c r="I7" s="211">
        <v>67</v>
      </c>
      <c r="J7" s="211">
        <v>61</v>
      </c>
      <c r="K7" s="211">
        <v>61</v>
      </c>
      <c r="L7" s="211">
        <v>56</v>
      </c>
      <c r="M7" s="215">
        <v>51</v>
      </c>
      <c r="N7" s="210" cm="1">
        <f t="array" ref="N7">IF(AND(F7:M7=""),"",10*LOG((10^((F7-26.2)/10))+(10^((G7-16.1)/10))+(10^((H7-8.6)/10))+(10^((I7-3.2)/10))+(10^((J7)/10))+(10^((K7+1.2)/10))+(10^((L7+1)/10))+(10^((M7-1.1)/10))))</f>
        <v>70.533287535018999</v>
      </c>
      <c r="O7" s="212">
        <v>0</v>
      </c>
      <c r="P7" s="205">
        <v>1</v>
      </c>
      <c r="Q7" s="128">
        <f t="shared" si="34"/>
        <v>71</v>
      </c>
      <c r="R7" s="3">
        <v>2</v>
      </c>
      <c r="S7" s="3"/>
      <c r="T7" s="4">
        <v>88.03</v>
      </c>
      <c r="U7" s="4">
        <v>101.44</v>
      </c>
      <c r="V7" s="109">
        <f t="shared" si="3"/>
        <v>74</v>
      </c>
      <c r="W7" s="81">
        <v>70</v>
      </c>
      <c r="X7" s="148">
        <v>4</v>
      </c>
      <c r="Z7" s="9"/>
      <c r="AA7" s="4"/>
      <c r="AB7" s="4"/>
      <c r="AC7" s="87"/>
      <c r="AD7" s="8"/>
      <c r="AE7" s="2" t="str">
        <v/>
      </c>
      <c r="AH7" s="149">
        <f t="array" ref="AH7">IF(AH$1=0,"",SQRT((_xlfn.XLOOKUP(AH$1,$Z$2:$Z$18,$AA$2:$AA$18)-$T7)^2+(_xlfn.XLOOKUP(AH$1,$Z$2:$Z$18,$AB$2:$AB$18)-$U7)^2+(_xlfn.XLOOKUP(AH$1,$Z$2:$Z$18,$AC$2:$AC$18-$V7)^2)))</f>
        <v>57.696056191043077</v>
      </c>
      <c r="AI7" s="150">
        <f t="array" ref="AI7">IF(AI$1=0,"",SQRT((_xlfn.XLOOKUP(AI$1,$Z$2:$Z$18,$AA$2:$AA$18)-$T7)^2+(_xlfn.XLOOKUP(AI$1,$Z$2:$Z$18,$AB$2:$AB$18)-$U7)^2+(_xlfn.XLOOKUP(AI$1,$Z$2:$Z$18,$AC$2:$AC$18-$V7)^2)))</f>
        <v>61.644115696471793</v>
      </c>
      <c r="AJ7" s="150">
        <f t="array" ref="AJ7">IF(AJ$1=0,"",SQRT((_xlfn.XLOOKUP(AJ$1,$Z$2:$Z$18,$AA$2:$AA$18)-$T7)^2+(_xlfn.XLOOKUP(AJ$1,$Z$2:$Z$18,$AB$2:$AB$18)-$U7)^2+(_xlfn.XLOOKUP(AJ$1,$Z$2:$Z$18,$AC$2:$AC$18-$V7)^2)))</f>
        <v>151.86627011947056</v>
      </c>
      <c r="AK7" s="150">
        <f t="array" ref="AK7">IF(AK$1=0,"",SQRT((_xlfn.XLOOKUP(AK$1,$Z$2:$Z$18,$AA$2:$AA$18)-$T7)^2+(_xlfn.XLOOKUP(AK$1,$Z$2:$Z$18,$AB$2:$AB$18)-$U7)^2+(_xlfn.XLOOKUP(AK$1,$Z$2:$Z$18,$AC$2:$AC$18-$V7)^2)))</f>
        <v>231.82079501200923</v>
      </c>
      <c r="AL7" s="150">
        <f t="array" ref="AL7">IF(AL$1=0,"",SQRT((_xlfn.XLOOKUP(AL$1,$Z$2:$Z$18,$AA$2:$AA$18)-$T7)^2+(_xlfn.XLOOKUP(AL$1,$Z$2:$Z$18,$AB$2:$AB$18)-$U7)^2+(_xlfn.XLOOKUP(AL$1,$Z$2:$Z$18,$AC$2:$AC$18-$V7)^2)))</f>
        <v>137.54618169909335</v>
      </c>
      <c r="AM7" s="150" t="str">
        <f t="array" ref="AM7">IF(AM$1=0,"",SQRT((_xlfn.XLOOKUP(AM$1,$Z$2:$Z$18,$AA$2:$AA$18)-$T7)^2+(_xlfn.XLOOKUP(AM$1,$Z$2:$Z$18,$AB$2:$AB$18)-$U7)^2+(_xlfn.XLOOKUP(AM$1,$Z$2:$Z$18,$AC$2:$AC$18-$V7)^2)))</f>
        <v/>
      </c>
      <c r="AN7" s="150" t="str">
        <f t="array" ref="AN7">IF(AN$1=0,"",SQRT((_xlfn.XLOOKUP(AN$1,$Z$2:$Z$18,$AA$2:$AA$18)-$T7)^2+(_xlfn.XLOOKUP(AN$1,$Z$2:$Z$18,$AB$2:$AB$18)-$U7)^2+(_xlfn.XLOOKUP(AN$1,$Z$2:$Z$18,$AC$2:$AC$18-$V7)^2)))</f>
        <v/>
      </c>
      <c r="AO7" s="150" t="str">
        <f t="array" ref="AO7">IF(AO$1=0,"",SQRT((_xlfn.XLOOKUP(AO$1,$Z$2:$Z$18,$AA$2:$AA$18)-$T7)^2+(_xlfn.XLOOKUP(AO$1,$Z$2:$Z$18,$AB$2:$AB$18)-$U7)^2+(_xlfn.XLOOKUP(AO$1,$Z$2:$Z$18,$AC$2:$AC$18-$V7)^2)))</f>
        <v/>
      </c>
      <c r="AP7" s="151" t="str">
        <f t="array" ref="AP7">IF(AP$1=0,"",SQRT((_xlfn.XLOOKUP(AP$1,$Z$2:$Z$18,$AA$2:$AA$18)-$T7)^2+(_xlfn.XLOOKUP(AP$1,$Z$2:$Z$18,$AB$2:$AB$18)-$U7)^2+(_xlfn.XLOOKUP(AP$1,$Z$2:$Z$18,$AC$2:$AC$18-$V7)^2)))</f>
        <v/>
      </c>
      <c r="AQ7" s="151" t="str">
        <f t="array" ref="AQ7">IF(AQ$1=0,"",SQRT((_xlfn.XLOOKUP(AQ$1,$Z$2:$Z$18,$AA$2:$AA$18)-$T7)^2+(_xlfn.XLOOKUP(AQ$1,$Z$2:$Z$18,$AB$2:$AB$18)-$U7)^2+(_xlfn.XLOOKUP(AQ$1,$Z$2:$Z$18,$AC$2:$AC$18-$V7)^2)))</f>
        <v/>
      </c>
      <c r="AR7" s="151" t="str">
        <f t="array" ref="AR7">IF(AR$1=0,"",SQRT((_xlfn.XLOOKUP(AR$1,$Z$2:$Z$18,$AA$2:$AA$18)-$T7)^2+(_xlfn.XLOOKUP(AR$1,$Z$2:$Z$18,$AB$2:$AB$18)-$U7)^2+(_xlfn.XLOOKUP(AR$1,$Z$2:$Z$18,$AC$2:$AC$18-$V7)^2)))</f>
        <v/>
      </c>
      <c r="AS7" s="151" t="str">
        <f t="array" ref="AS7">IF(AS$1=0,"",SQRT((_xlfn.XLOOKUP(AS$1,$Z$2:$Z$18,$AA$2:$AA$18)-$T7)^2+(_xlfn.XLOOKUP(AS$1,$Z$2:$Z$18,$AB$2:$AB$18)-$U7)^2+(_xlfn.XLOOKUP(AS$1,$Z$2:$Z$18,$AC$2:$AC$18-$V7)^2)))</f>
        <v/>
      </c>
      <c r="AT7" s="151" t="str">
        <f t="array" ref="AT7">IF(AT$1=0,"",SQRT((_xlfn.XLOOKUP(AT$1,$Z$2:$Z$18,$AA$2:$AA$18)-$T7)^2+(_xlfn.XLOOKUP(AT$1,$Z$2:$Z$18,$AB$2:$AB$18)-$U7)^2+(_xlfn.XLOOKUP(AT$1,$Z$2:$Z$18,$AC$2:$AC$18-$V7)^2)))</f>
        <v/>
      </c>
      <c r="AU7" s="151" t="str">
        <f t="array" ref="AU7">IF(AU$1=0,"",SQRT((_xlfn.XLOOKUP(AU$1,$Z$2:$Z$18,$AA$2:$AA$18)-$T7)^2+(_xlfn.XLOOKUP(AU$1,$Z$2:$Z$18,$AB$2:$AB$18)-$U7)^2+(_xlfn.XLOOKUP(AU$1,$Z$2:$Z$18,$AC$2:$AC$18-$V7)^2)))</f>
        <v/>
      </c>
      <c r="AV7" s="152" t="str">
        <f t="array" ref="AV7">IF(AV$1=0,"",SQRT((_xlfn.XLOOKUP(AV$1,$Z$2:$Z$18,$AA$2:$AA$18)-$T7)^2+(_xlfn.XLOOKUP(AV$1,$Z$2:$Z$18,$AB$2:$AB$18)-$U7)^2+(_xlfn.XLOOKUP(AV$1,$Z$2:$Z$18,$AC$2:$AC$18-$V7)^2)))</f>
        <v/>
      </c>
      <c r="AW7" s="134"/>
      <c r="AX7" s="134"/>
      <c r="AY7" s="135">
        <f t="shared" si="4"/>
        <v>-32.885020497099163</v>
      </c>
      <c r="AZ7" s="153">
        <f t="shared" si="5"/>
        <v>-33.45993047445851</v>
      </c>
      <c r="BA7" s="153">
        <f t="shared" si="6"/>
        <v>-41.291324470458648</v>
      </c>
      <c r="BB7" s="153">
        <f t="shared" si="7"/>
        <v>-44.965145754461844</v>
      </c>
      <c r="BC7" s="153">
        <f t="shared" si="8"/>
        <v>-40.431068713303148</v>
      </c>
      <c r="BD7" s="153">
        <f t="shared" si="9"/>
        <v>0</v>
      </c>
      <c r="BE7" s="153">
        <f t="shared" si="10"/>
        <v>0</v>
      </c>
      <c r="BF7" s="153">
        <f t="shared" si="11"/>
        <v>0</v>
      </c>
      <c r="BG7" s="154">
        <f t="shared" si="12"/>
        <v>0</v>
      </c>
      <c r="BH7" s="154">
        <f t="shared" si="13"/>
        <v>0</v>
      </c>
      <c r="BI7" s="154">
        <f t="shared" si="14"/>
        <v>0</v>
      </c>
      <c r="BJ7" s="154">
        <f t="shared" si="15"/>
        <v>0</v>
      </c>
      <c r="BK7" s="154">
        <f t="shared" si="16"/>
        <v>0</v>
      </c>
      <c r="BL7" s="154">
        <f t="shared" si="17"/>
        <v>0</v>
      </c>
      <c r="BM7" s="155">
        <f t="shared" si="18"/>
        <v>0</v>
      </c>
      <c r="BN7" s="134"/>
      <c r="BO7" s="38" t="s">
        <v>31</v>
      </c>
      <c r="BP7" s="118"/>
      <c r="BQ7" s="39">
        <f>_xlfn.XLOOKUP($BP$6,$Z$24:$Z$50,AD24:AD50,"error",0,1)</f>
        <v>77.77</v>
      </c>
      <c r="BR7" s="39">
        <f>_xlfn.XLOOKUP($BP$6,$Z$24:$Z$50,AE24:AE50,"error",0,1)</f>
        <v>86.79</v>
      </c>
      <c r="BS7" s="39">
        <f>_xlfn.XLOOKUP($BP$6,$Z$24:$Z$50,AF24:AF50,"error",0,1)</f>
        <v>75.400000000000006</v>
      </c>
      <c r="BT7" s="134"/>
      <c r="BU7" s="134"/>
      <c r="BV7" s="140">
        <v>9.9</v>
      </c>
      <c r="BW7" s="140">
        <v>16.100000000000001</v>
      </c>
      <c r="BX7" s="140">
        <v>14.7</v>
      </c>
      <c r="BY7" s="140">
        <v>15.6</v>
      </c>
      <c r="BZ7" s="140">
        <v>12.6</v>
      </c>
      <c r="CA7" s="140"/>
      <c r="CB7" s="140"/>
      <c r="CC7" s="140"/>
      <c r="CD7" s="140"/>
      <c r="CE7" s="140"/>
      <c r="CF7" s="140"/>
      <c r="CG7" s="140"/>
      <c r="CH7" s="140"/>
      <c r="CI7" s="140"/>
      <c r="CJ7" s="140"/>
      <c r="CK7" s="134"/>
      <c r="CL7" s="134"/>
      <c r="CM7" s="156">
        <f t="shared" si="19"/>
        <v>28.214979502900839</v>
      </c>
      <c r="CN7" s="157">
        <f t="shared" si="20"/>
        <v>21.440069525541489</v>
      </c>
      <c r="CO7" s="157">
        <f t="shared" si="21"/>
        <v>15.008675529541353</v>
      </c>
      <c r="CP7" s="157">
        <f t="shared" si="22"/>
        <v>10.434854245538157</v>
      </c>
      <c r="CQ7" s="157">
        <f t="shared" si="23"/>
        <v>17.968931286696851</v>
      </c>
      <c r="CR7" s="157" t="str">
        <f t="shared" si="24"/>
        <v/>
      </c>
      <c r="CS7" s="157" t="str">
        <f t="shared" si="25"/>
        <v/>
      </c>
      <c r="CT7" s="157" t="str">
        <f t="shared" si="26"/>
        <v/>
      </c>
      <c r="CU7" s="158" t="str">
        <f t="shared" si="27"/>
        <v/>
      </c>
      <c r="CV7" s="158" t="str">
        <f t="shared" si="28"/>
        <v/>
      </c>
      <c r="CW7" s="158" t="str">
        <f t="shared" si="29"/>
        <v/>
      </c>
      <c r="CX7" s="158" t="str">
        <f t="shared" si="30"/>
        <v/>
      </c>
      <c r="CY7" s="143" t="str">
        <f t="shared" si="31"/>
        <v/>
      </c>
      <c r="CZ7" s="143" t="str">
        <f t="shared" si="32"/>
        <v/>
      </c>
      <c r="DA7" s="144" t="str">
        <f t="shared" si="33"/>
        <v/>
      </c>
    </row>
    <row r="8" spans="1:121" ht="17.25" customHeight="1" thickBot="1" x14ac:dyDescent="0.35">
      <c r="A8" s="145">
        <v>1</v>
      </c>
      <c r="B8" s="146" t="s">
        <v>131</v>
      </c>
      <c r="C8" s="146" t="s">
        <v>143</v>
      </c>
      <c r="D8" s="147" t="s">
        <v>132</v>
      </c>
      <c r="E8" s="202" t="s">
        <v>133</v>
      </c>
      <c r="F8" s="210"/>
      <c r="G8" s="211"/>
      <c r="H8" s="211"/>
      <c r="I8" s="211"/>
      <c r="J8" s="211"/>
      <c r="K8" s="211"/>
      <c r="L8" s="211"/>
      <c r="M8" s="215"/>
      <c r="N8" s="210">
        <v>69.5</v>
      </c>
      <c r="O8" s="212">
        <v>5</v>
      </c>
      <c r="P8" s="205">
        <v>1</v>
      </c>
      <c r="Q8" s="128">
        <f t="shared" si="34"/>
        <v>84</v>
      </c>
      <c r="R8" s="3">
        <v>2</v>
      </c>
      <c r="S8" s="3"/>
      <c r="T8" s="4">
        <v>142.94</v>
      </c>
      <c r="U8" s="4">
        <v>109.76</v>
      </c>
      <c r="V8" s="109">
        <f t="shared" si="3"/>
        <v>76.5</v>
      </c>
      <c r="W8" s="81">
        <v>70</v>
      </c>
      <c r="X8" s="148">
        <v>6.5</v>
      </c>
      <c r="Z8" s="9"/>
      <c r="AA8" s="4"/>
      <c r="AB8" s="4"/>
      <c r="AC8" s="87"/>
      <c r="AD8" s="8"/>
      <c r="AE8" s="2" t="str">
        <v/>
      </c>
      <c r="AH8" s="149">
        <f t="array" ref="AH8">IF(AH$1=0,"",SQRT((_xlfn.XLOOKUP(AH$1,$Z$2:$Z$18,$AA$2:$AA$18)-$T8)^2+(_xlfn.XLOOKUP(AH$1,$Z$2:$Z$18,$AB$2:$AB$18)-$U8)^2+(_xlfn.XLOOKUP(AH$1,$Z$2:$Z$18,$AC$2:$AC$18-$V8)^2)))</f>
        <v>112.8729604466898</v>
      </c>
      <c r="AI8" s="150">
        <f t="array" ref="AI8">IF(AI$1=0,"",SQRT((_xlfn.XLOOKUP(AI$1,$Z$2:$Z$18,$AA$2:$AA$18)-$T8)^2+(_xlfn.XLOOKUP(AI$1,$Z$2:$Z$18,$AB$2:$AB$18)-$U8)^2+(_xlfn.XLOOKUP(AI$1,$Z$2:$Z$18,$AC$2:$AC$18-$V8)^2)))</f>
        <v>77.772311911116532</v>
      </c>
      <c r="AJ8" s="150">
        <f t="array" ref="AJ8">IF(AJ$1=0,"",SQRT((_xlfn.XLOOKUP(AJ$1,$Z$2:$Z$18,$AA$2:$AA$18)-$T8)^2+(_xlfn.XLOOKUP(AJ$1,$Z$2:$Z$18,$AB$2:$AB$18)-$U8)^2+(_xlfn.XLOOKUP(AJ$1,$Z$2:$Z$18,$AC$2:$AC$18-$V8)^2)))</f>
        <v>115.64135289765508</v>
      </c>
      <c r="AK8" s="150">
        <f t="array" ref="AK8">IF(AK$1=0,"",SQRT((_xlfn.XLOOKUP(AK$1,$Z$2:$Z$18,$AA$2:$AA$18)-$T8)^2+(_xlfn.XLOOKUP(AK$1,$Z$2:$Z$18,$AB$2:$AB$18)-$U8)^2+(_xlfn.XLOOKUP(AK$1,$Z$2:$Z$18,$AC$2:$AC$18-$V8)^2)))</f>
        <v>179.21808084007597</v>
      </c>
      <c r="AL8" s="150">
        <f t="array" ref="AL8">IF(AL$1=0,"",SQRT((_xlfn.XLOOKUP(AL$1,$Z$2:$Z$18,$AA$2:$AA$18)-$T8)^2+(_xlfn.XLOOKUP(AL$1,$Z$2:$Z$18,$AB$2:$AB$18)-$U8)^2+(_xlfn.XLOOKUP(AL$1,$Z$2:$Z$18,$AC$2:$AC$18-$V8)^2)))</f>
        <v>168.49059024171055</v>
      </c>
      <c r="AM8" s="150" t="str">
        <f t="array" ref="AM8">IF(AM$1=0,"",SQRT((_xlfn.XLOOKUP(AM$1,$Z$2:$Z$18,$AA$2:$AA$18)-$T8)^2+(_xlfn.XLOOKUP(AM$1,$Z$2:$Z$18,$AB$2:$AB$18)-$U8)^2+(_xlfn.XLOOKUP(AM$1,$Z$2:$Z$18,$AC$2:$AC$18-$V8)^2)))</f>
        <v/>
      </c>
      <c r="AN8" s="150" t="str">
        <f t="array" ref="AN8">IF(AN$1=0,"",SQRT((_xlfn.XLOOKUP(AN$1,$Z$2:$Z$18,$AA$2:$AA$18)-$T8)^2+(_xlfn.XLOOKUP(AN$1,$Z$2:$Z$18,$AB$2:$AB$18)-$U8)^2+(_xlfn.XLOOKUP(AN$1,$Z$2:$Z$18,$AC$2:$AC$18-$V8)^2)))</f>
        <v/>
      </c>
      <c r="AO8" s="150" t="str">
        <f t="array" ref="AO8">IF(AO$1=0,"",SQRT((_xlfn.XLOOKUP(AO$1,$Z$2:$Z$18,$AA$2:$AA$18)-$T8)^2+(_xlfn.XLOOKUP(AO$1,$Z$2:$Z$18,$AB$2:$AB$18)-$U8)^2+(_xlfn.XLOOKUP(AO$1,$Z$2:$Z$18,$AC$2:$AC$18-$V8)^2)))</f>
        <v/>
      </c>
      <c r="AP8" s="151" t="str">
        <f t="array" ref="AP8">IF(AP$1=0,"",SQRT((_xlfn.XLOOKUP(AP$1,$Z$2:$Z$18,$AA$2:$AA$18)-$T8)^2+(_xlfn.XLOOKUP(AP$1,$Z$2:$Z$18,$AB$2:$AB$18)-$U8)^2+(_xlfn.XLOOKUP(AP$1,$Z$2:$Z$18,$AC$2:$AC$18-$V8)^2)))</f>
        <v/>
      </c>
      <c r="AQ8" s="151" t="str">
        <f t="array" ref="AQ8">IF(AQ$1=0,"",SQRT((_xlfn.XLOOKUP(AQ$1,$Z$2:$Z$18,$AA$2:$AA$18)-$T8)^2+(_xlfn.XLOOKUP(AQ$1,$Z$2:$Z$18,$AB$2:$AB$18)-$U8)^2+(_xlfn.XLOOKUP(AQ$1,$Z$2:$Z$18,$AC$2:$AC$18-$V8)^2)))</f>
        <v/>
      </c>
      <c r="AR8" s="151" t="str">
        <f t="array" ref="AR8">IF(AR$1=0,"",SQRT((_xlfn.XLOOKUP(AR$1,$Z$2:$Z$18,$AA$2:$AA$18)-$T8)^2+(_xlfn.XLOOKUP(AR$1,$Z$2:$Z$18,$AB$2:$AB$18)-$U8)^2+(_xlfn.XLOOKUP(AR$1,$Z$2:$Z$18,$AC$2:$AC$18-$V8)^2)))</f>
        <v/>
      </c>
      <c r="AS8" s="151" t="str">
        <f t="array" ref="AS8">IF(AS$1=0,"",SQRT((_xlfn.XLOOKUP(AS$1,$Z$2:$Z$18,$AA$2:$AA$18)-$T8)^2+(_xlfn.XLOOKUP(AS$1,$Z$2:$Z$18,$AB$2:$AB$18)-$U8)^2+(_xlfn.XLOOKUP(AS$1,$Z$2:$Z$18,$AC$2:$AC$18-$V8)^2)))</f>
        <v/>
      </c>
      <c r="AT8" s="151" t="str">
        <f t="array" ref="AT8">IF(AT$1=0,"",SQRT((_xlfn.XLOOKUP(AT$1,$Z$2:$Z$18,$AA$2:$AA$18)-$T8)^2+(_xlfn.XLOOKUP(AT$1,$Z$2:$Z$18,$AB$2:$AB$18)-$U8)^2+(_xlfn.XLOOKUP(AT$1,$Z$2:$Z$18,$AC$2:$AC$18-$V8)^2)))</f>
        <v/>
      </c>
      <c r="AU8" s="151" t="str">
        <f t="array" ref="AU8">IF(AU$1=0,"",SQRT((_xlfn.XLOOKUP(AU$1,$Z$2:$Z$18,$AA$2:$AA$18)-$T8)^2+(_xlfn.XLOOKUP(AU$1,$Z$2:$Z$18,$AB$2:$AB$18)-$U8)^2+(_xlfn.XLOOKUP(AU$1,$Z$2:$Z$18,$AC$2:$AC$18-$V8)^2)))</f>
        <v/>
      </c>
      <c r="AV8" s="152" t="str">
        <f t="array" ref="AV8">IF(AV$1=0,"",SQRT((_xlfn.XLOOKUP(AV$1,$Z$2:$Z$18,$AA$2:$AA$18)-$T8)^2+(_xlfn.XLOOKUP(AV$1,$Z$2:$Z$18,$AB$2:$AB$18)-$U8)^2+(_xlfn.XLOOKUP(AV$1,$Z$2:$Z$18,$AC$2:$AC$18-$V8)^2)))</f>
        <v/>
      </c>
      <c r="AW8" s="134"/>
      <c r="AX8" s="134"/>
      <c r="AY8" s="135">
        <f t="shared" si="4"/>
        <v>-38.71389625545654</v>
      </c>
      <c r="AZ8" s="153">
        <f t="shared" si="5"/>
        <v>-35.47859812236559</v>
      </c>
      <c r="BA8" s="153">
        <f t="shared" si="6"/>
        <v>-38.924361214433219</v>
      </c>
      <c r="BB8" s="153">
        <f t="shared" si="7"/>
        <v>-42.729734384186166</v>
      </c>
      <c r="BC8" s="153">
        <f t="shared" si="8"/>
        <v>-42.19361097043123</v>
      </c>
      <c r="BD8" s="153">
        <f t="shared" si="9"/>
        <v>0</v>
      </c>
      <c r="BE8" s="153">
        <f t="shared" si="10"/>
        <v>0</v>
      </c>
      <c r="BF8" s="153">
        <f t="shared" si="11"/>
        <v>0</v>
      </c>
      <c r="BG8" s="154">
        <f t="shared" si="12"/>
        <v>0</v>
      </c>
      <c r="BH8" s="154">
        <f t="shared" si="13"/>
        <v>0</v>
      </c>
      <c r="BI8" s="154">
        <f t="shared" si="14"/>
        <v>0</v>
      </c>
      <c r="BJ8" s="154">
        <f t="shared" si="15"/>
        <v>0</v>
      </c>
      <c r="BK8" s="154">
        <f t="shared" si="16"/>
        <v>0</v>
      </c>
      <c r="BL8" s="154">
        <f t="shared" si="17"/>
        <v>0</v>
      </c>
      <c r="BM8" s="155">
        <f t="shared" si="18"/>
        <v>0</v>
      </c>
      <c r="BN8" s="134"/>
      <c r="BO8" s="41" t="s">
        <v>33</v>
      </c>
      <c r="BP8" s="160">
        <f>SQRT((BQ5-BQ4)^2+(BR5-BR4)^2)</f>
        <v>72.147250813873711</v>
      </c>
      <c r="BQ8" s="42" t="s">
        <v>34</v>
      </c>
      <c r="BR8" s="119">
        <f>(BR5-BR4)/(BQ5-BQ4)</f>
        <v>0.20118761487346232</v>
      </c>
      <c r="BS8" s="161">
        <f>SLOPE(BR4:BR5,BQ4:BQ5)</f>
        <v>0.20118761487346232</v>
      </c>
      <c r="BT8" s="134"/>
      <c r="BU8" s="134"/>
      <c r="BV8" s="140">
        <v>5</v>
      </c>
      <c r="BW8" s="140">
        <v>8</v>
      </c>
      <c r="BX8" s="140">
        <v>11</v>
      </c>
      <c r="BY8" s="140">
        <v>9</v>
      </c>
      <c r="BZ8" s="140">
        <v>5</v>
      </c>
      <c r="CA8" s="140"/>
      <c r="CB8" s="140"/>
      <c r="CC8" s="140"/>
      <c r="CD8" s="140"/>
      <c r="CE8" s="140"/>
      <c r="CF8" s="140"/>
      <c r="CG8" s="140"/>
      <c r="CH8" s="140"/>
      <c r="CI8" s="140"/>
      <c r="CJ8" s="140"/>
      <c r="CK8" s="134"/>
      <c r="CL8" s="134"/>
      <c r="CM8" s="156">
        <f t="shared" ref="CM8:CM38" si="35">IF( CM$1= 0,"",$Q8-$S8+AY8-BV8)</f>
        <v>40.28610374454346</v>
      </c>
      <c r="CN8" s="157">
        <f t="shared" ref="CN8:CN38" si="36">IF( CN$1= 0,"",$Q8-$S8+AZ8-BW8)</f>
        <v>40.52140187763441</v>
      </c>
      <c r="CO8" s="157">
        <f t="shared" ref="CO8:CO38" si="37">IF( CO$1= 0,"",$Q8-$S8+BA8-BX8)</f>
        <v>34.075638785566781</v>
      </c>
      <c r="CP8" s="157">
        <f t="shared" ref="CP8:CP38" si="38">IF( CP$1= 0,"",$Q8-$S8+BB8-BY8)</f>
        <v>32.270265615813834</v>
      </c>
      <c r="CQ8" s="157">
        <f t="shared" ref="CQ8:CQ38" si="39">IF( CQ$1= 0,"",$Q8-$S8+BC8-BZ8)</f>
        <v>36.80638902956877</v>
      </c>
      <c r="CR8" s="157" t="str">
        <f t="shared" ref="CR8:CR38" si="40">IF( CR$1= 0,"",$Q8-$S8+BD8-CA8)</f>
        <v/>
      </c>
      <c r="CS8" s="157" t="str">
        <f t="shared" ref="CS8:CS38" si="41">IF( CS$1= 0,"",$Q8-$S8+BE8-CB8)</f>
        <v/>
      </c>
      <c r="CT8" s="157" t="str">
        <f t="shared" ref="CT8:CT38" si="42">IF( CT$1= 0,"",$Q8-$S8+BF8-CC8)</f>
        <v/>
      </c>
      <c r="CU8" s="158" t="str">
        <f t="shared" ref="CU8:CU38" si="43">IF( CU$1= 0,"",$Q8-$S8+BG8-CD8)</f>
        <v/>
      </c>
      <c r="CV8" s="158" t="str">
        <f t="shared" ref="CV8:CV38" si="44">IF( CV$1= 0,"",$Q8-$S8+BH8-CE8)</f>
        <v/>
      </c>
      <c r="CW8" s="158" t="str">
        <f t="shared" ref="CW8:CW38" si="45">IF( CW$1= 0,"",$Q8-$S8+BI8-CF8)</f>
        <v/>
      </c>
      <c r="CX8" s="158" t="str">
        <f t="shared" ref="CX8:CX38" si="46">IF( CX$1= 0,"",$Q8-$S8+BJ8-CG8)</f>
        <v/>
      </c>
      <c r="CY8" s="143" t="str">
        <f t="shared" ref="CY8:CY38" si="47">IF( CY$1= 0,"",$Q8-$S8+BK8-CH8)</f>
        <v/>
      </c>
      <c r="CZ8" s="143" t="str">
        <f t="shared" ref="CZ8:CZ38" si="48">IF( CZ$1= 0,"",$Q8-$S8+BL8-CI8)</f>
        <v/>
      </c>
      <c r="DA8" s="144" t="str">
        <f t="shared" ref="DA8:DA38" si="49">IF( DA$1= 0,"",$Q8-$S8+BM8-CJ8)</f>
        <v/>
      </c>
    </row>
    <row r="9" spans="1:121" ht="17.25" customHeight="1" thickBot="1" x14ac:dyDescent="0.35">
      <c r="A9" s="145">
        <v>1</v>
      </c>
      <c r="B9" s="146" t="s">
        <v>134</v>
      </c>
      <c r="C9" s="146" t="s">
        <v>143</v>
      </c>
      <c r="D9" s="147" t="s">
        <v>132</v>
      </c>
      <c r="E9" s="202" t="s">
        <v>135</v>
      </c>
      <c r="F9" s="210"/>
      <c r="G9" s="211"/>
      <c r="H9" s="211"/>
      <c r="I9" s="211"/>
      <c r="J9" s="211"/>
      <c r="K9" s="211"/>
      <c r="L9" s="211"/>
      <c r="M9" s="215"/>
      <c r="N9" s="210">
        <v>66.5</v>
      </c>
      <c r="O9" s="212">
        <v>5</v>
      </c>
      <c r="P9" s="205">
        <v>1</v>
      </c>
      <c r="Q9" s="128">
        <f t="shared" si="34"/>
        <v>81</v>
      </c>
      <c r="R9" s="3">
        <v>2</v>
      </c>
      <c r="S9" s="3"/>
      <c r="T9" s="4">
        <v>135.82</v>
      </c>
      <c r="U9" s="4">
        <v>110.75</v>
      </c>
      <c r="V9" s="109">
        <f t="shared" si="3"/>
        <v>76.5</v>
      </c>
      <c r="W9" s="81">
        <v>70</v>
      </c>
      <c r="X9" s="148">
        <v>6.5</v>
      </c>
      <c r="Z9" s="9"/>
      <c r="AA9" s="4"/>
      <c r="AB9" s="4"/>
      <c r="AC9" s="87"/>
      <c r="AD9" s="8"/>
      <c r="AE9" s="2" t="str">
        <v/>
      </c>
      <c r="AH9" s="149">
        <f t="array" ref="AH9">IF(AH$1=0,"",SQRT((_xlfn.XLOOKUP(AH$1,$Z$2:$Z$18,$AA$2:$AA$18)-$T9)^2+(_xlfn.XLOOKUP(AH$1,$Z$2:$Z$18,$AB$2:$AB$18)-$U9)^2+(_xlfn.XLOOKUP(AH$1,$Z$2:$Z$18,$AC$2:$AC$18-$V9)^2)))</f>
        <v>106.19895715118864</v>
      </c>
      <c r="AI9" s="150">
        <f t="array" ref="AI9">IF(AI$1=0,"",SQRT((_xlfn.XLOOKUP(AI$1,$Z$2:$Z$18,$AA$2:$AA$18)-$T9)^2+(_xlfn.XLOOKUP(AI$1,$Z$2:$Z$18,$AB$2:$AB$18)-$U9)^2+(_xlfn.XLOOKUP(AI$1,$Z$2:$Z$18,$AC$2:$AC$18-$V9)^2)))</f>
        <v>75.281939401160486</v>
      </c>
      <c r="AJ9" s="150">
        <f t="array" ref="AJ9">IF(AJ$1=0,"",SQRT((_xlfn.XLOOKUP(AJ$1,$Z$2:$Z$18,$AA$2:$AA$18)-$T9)^2+(_xlfn.XLOOKUP(AJ$1,$Z$2:$Z$18,$AB$2:$AB$18)-$U9)^2+(_xlfn.XLOOKUP(AJ$1,$Z$2:$Z$18,$AC$2:$AC$18-$V9)^2)))</f>
        <v>121.04597721527139</v>
      </c>
      <c r="AK9" s="150">
        <f t="array" ref="AK9">IF(AK$1=0,"",SQRT((_xlfn.XLOOKUP(AK$1,$Z$2:$Z$18,$AA$2:$AA$18)-$T9)^2+(_xlfn.XLOOKUP(AK$1,$Z$2:$Z$18,$AB$2:$AB$18)-$U9)^2+(_xlfn.XLOOKUP(AK$1,$Z$2:$Z$18,$AC$2:$AC$18-$V9)^2)))</f>
        <v>186.26156769446564</v>
      </c>
      <c r="AL9" s="150">
        <f t="array" ref="AL9">IF(AL$1=0,"",SQRT((_xlfn.XLOOKUP(AL$1,$Z$2:$Z$18,$AA$2:$AA$18)-$T9)^2+(_xlfn.XLOOKUP(AL$1,$Z$2:$Z$18,$AB$2:$AB$18)-$U9)^2+(_xlfn.XLOOKUP(AL$1,$Z$2:$Z$18,$AC$2:$AC$18-$V9)^2)))</f>
        <v>162.48650559354152</v>
      </c>
      <c r="AM9" s="150" t="str">
        <f t="array" ref="AM9">IF(AM$1=0,"",SQRT((_xlfn.XLOOKUP(AM$1,$Z$2:$Z$18,$AA$2:$AA$18)-$T9)^2+(_xlfn.XLOOKUP(AM$1,$Z$2:$Z$18,$AB$2:$AB$18)-$U9)^2+(_xlfn.XLOOKUP(AM$1,$Z$2:$Z$18,$AC$2:$AC$18-$V9)^2)))</f>
        <v/>
      </c>
      <c r="AN9" s="150" t="str">
        <f t="array" ref="AN9">IF(AN$1=0,"",SQRT((_xlfn.XLOOKUP(AN$1,$Z$2:$Z$18,$AA$2:$AA$18)-$T9)^2+(_xlfn.XLOOKUP(AN$1,$Z$2:$Z$18,$AB$2:$AB$18)-$U9)^2+(_xlfn.XLOOKUP(AN$1,$Z$2:$Z$18,$AC$2:$AC$18-$V9)^2)))</f>
        <v/>
      </c>
      <c r="AO9" s="150" t="str">
        <f t="array" ref="AO9">IF(AO$1=0,"",SQRT((_xlfn.XLOOKUP(AO$1,$Z$2:$Z$18,$AA$2:$AA$18)-$T9)^2+(_xlfn.XLOOKUP(AO$1,$Z$2:$Z$18,$AB$2:$AB$18)-$U9)^2+(_xlfn.XLOOKUP(AO$1,$Z$2:$Z$18,$AC$2:$AC$18-$V9)^2)))</f>
        <v/>
      </c>
      <c r="AP9" s="151" t="str">
        <f t="array" ref="AP9">IF(AP$1=0,"",SQRT((_xlfn.XLOOKUP(AP$1,$Z$2:$Z$18,$AA$2:$AA$18)-$T9)^2+(_xlfn.XLOOKUP(AP$1,$Z$2:$Z$18,$AB$2:$AB$18)-$U9)^2+(_xlfn.XLOOKUP(AP$1,$Z$2:$Z$18,$AC$2:$AC$18-$V9)^2)))</f>
        <v/>
      </c>
      <c r="AQ9" s="151" t="str">
        <f t="array" ref="AQ9">IF(AQ$1=0,"",SQRT((_xlfn.XLOOKUP(AQ$1,$Z$2:$Z$18,$AA$2:$AA$18)-$T9)^2+(_xlfn.XLOOKUP(AQ$1,$Z$2:$Z$18,$AB$2:$AB$18)-$U9)^2+(_xlfn.XLOOKUP(AQ$1,$Z$2:$Z$18,$AC$2:$AC$18-$V9)^2)))</f>
        <v/>
      </c>
      <c r="AR9" s="151" t="str">
        <f t="array" ref="AR9">IF(AR$1=0,"",SQRT((_xlfn.XLOOKUP(AR$1,$Z$2:$Z$18,$AA$2:$AA$18)-$T9)^2+(_xlfn.XLOOKUP(AR$1,$Z$2:$Z$18,$AB$2:$AB$18)-$U9)^2+(_xlfn.XLOOKUP(AR$1,$Z$2:$Z$18,$AC$2:$AC$18-$V9)^2)))</f>
        <v/>
      </c>
      <c r="AS9" s="151" t="str">
        <f t="array" ref="AS9">IF(AS$1=0,"",SQRT((_xlfn.XLOOKUP(AS$1,$Z$2:$Z$18,$AA$2:$AA$18)-$T9)^2+(_xlfn.XLOOKUP(AS$1,$Z$2:$Z$18,$AB$2:$AB$18)-$U9)^2+(_xlfn.XLOOKUP(AS$1,$Z$2:$Z$18,$AC$2:$AC$18-$V9)^2)))</f>
        <v/>
      </c>
      <c r="AT9" s="151" t="str">
        <f t="array" ref="AT9">IF(AT$1=0,"",SQRT((_xlfn.XLOOKUP(AT$1,$Z$2:$Z$18,$AA$2:$AA$18)-$T9)^2+(_xlfn.XLOOKUP(AT$1,$Z$2:$Z$18,$AB$2:$AB$18)-$U9)^2+(_xlfn.XLOOKUP(AT$1,$Z$2:$Z$18,$AC$2:$AC$18-$V9)^2)))</f>
        <v/>
      </c>
      <c r="AU9" s="151" t="str">
        <f t="array" ref="AU9">IF(AU$1=0,"",SQRT((_xlfn.XLOOKUP(AU$1,$Z$2:$Z$18,$AA$2:$AA$18)-$T9)^2+(_xlfn.XLOOKUP(AU$1,$Z$2:$Z$18,$AB$2:$AB$18)-$U9)^2+(_xlfn.XLOOKUP(AU$1,$Z$2:$Z$18,$AC$2:$AC$18-$V9)^2)))</f>
        <v/>
      </c>
      <c r="AV9" s="152" t="str">
        <f t="array" ref="AV9">IF(AV$1=0,"",SQRT((_xlfn.XLOOKUP(AV$1,$Z$2:$Z$18,$AA$2:$AA$18)-$T9)^2+(_xlfn.XLOOKUP(AV$1,$Z$2:$Z$18,$AB$2:$AB$18)-$U9)^2+(_xlfn.XLOOKUP(AV$1,$Z$2:$Z$18,$AC$2:$AC$18-$V9)^2)))</f>
        <v/>
      </c>
      <c r="AW9" s="134"/>
      <c r="AX9" s="134"/>
      <c r="AY9" s="135">
        <f t="shared" si="4"/>
        <v>-38.184502978864401</v>
      </c>
      <c r="AZ9" s="153">
        <f t="shared" si="5"/>
        <v>-35.19591391268434</v>
      </c>
      <c r="BA9" s="153">
        <f t="shared" si="6"/>
        <v>-39.321105154537854</v>
      </c>
      <c r="BB9" s="153">
        <f t="shared" si="7"/>
        <v>-43.064563015526566</v>
      </c>
      <c r="BC9" s="153">
        <f t="shared" si="8"/>
        <v>-41.878443915278005</v>
      </c>
      <c r="BD9" s="153">
        <f t="shared" si="9"/>
        <v>0</v>
      </c>
      <c r="BE9" s="153">
        <f t="shared" si="10"/>
        <v>0</v>
      </c>
      <c r="BF9" s="153">
        <f t="shared" si="11"/>
        <v>0</v>
      </c>
      <c r="BG9" s="154">
        <f t="shared" si="12"/>
        <v>0</v>
      </c>
      <c r="BH9" s="154">
        <f t="shared" si="13"/>
        <v>0</v>
      </c>
      <c r="BI9" s="154">
        <f t="shared" si="14"/>
        <v>0</v>
      </c>
      <c r="BJ9" s="154">
        <f t="shared" si="15"/>
        <v>0</v>
      </c>
      <c r="BK9" s="154">
        <f t="shared" si="16"/>
        <v>0</v>
      </c>
      <c r="BL9" s="154">
        <f t="shared" si="17"/>
        <v>0</v>
      </c>
      <c r="BM9" s="155">
        <f t="shared" si="18"/>
        <v>0</v>
      </c>
      <c r="BN9" s="134"/>
      <c r="BO9" s="41" t="s">
        <v>35</v>
      </c>
      <c r="BP9" s="162">
        <f>SQRT((BR12-BQ4)^2+(BR13-BR4)^2)</f>
        <v>28.221749697515794</v>
      </c>
      <c r="BQ9" s="44" t="s">
        <v>36</v>
      </c>
      <c r="BR9" s="120">
        <f>(BR7-BR6)/(BQ7-BQ6)</f>
        <v>-5.249999999999992</v>
      </c>
      <c r="BS9" s="163">
        <f>SLOPE(BR6:BR7,BQ6:BQ7)</f>
        <v>-5.249999999999992</v>
      </c>
      <c r="BT9" s="134"/>
      <c r="BU9" s="134"/>
      <c r="BV9" s="140">
        <v>5</v>
      </c>
      <c r="BW9" s="140">
        <v>10</v>
      </c>
      <c r="BX9" s="140">
        <v>11</v>
      </c>
      <c r="BY9" s="140">
        <v>10</v>
      </c>
      <c r="BZ9" s="140">
        <v>5</v>
      </c>
      <c r="CA9" s="140"/>
      <c r="CB9" s="140"/>
      <c r="CC9" s="140"/>
      <c r="CD9" s="140"/>
      <c r="CE9" s="140"/>
      <c r="CF9" s="140"/>
      <c r="CG9" s="140"/>
      <c r="CH9" s="140"/>
      <c r="CI9" s="140"/>
      <c r="CJ9" s="140"/>
      <c r="CK9" s="134"/>
      <c r="CL9" s="134"/>
      <c r="CM9" s="156">
        <f t="shared" si="35"/>
        <v>37.815497021135599</v>
      </c>
      <c r="CN9" s="157">
        <f t="shared" si="36"/>
        <v>35.80408608731566</v>
      </c>
      <c r="CO9" s="157">
        <f t="shared" si="37"/>
        <v>30.678894845462146</v>
      </c>
      <c r="CP9" s="157">
        <f t="shared" si="38"/>
        <v>27.935436984473434</v>
      </c>
      <c r="CQ9" s="157">
        <f t="shared" si="39"/>
        <v>34.121556084721995</v>
      </c>
      <c r="CR9" s="157" t="str">
        <f t="shared" si="40"/>
        <v/>
      </c>
      <c r="CS9" s="157" t="str">
        <f t="shared" si="41"/>
        <v/>
      </c>
      <c r="CT9" s="157" t="str">
        <f t="shared" si="42"/>
        <v/>
      </c>
      <c r="CU9" s="158" t="str">
        <f t="shared" si="43"/>
        <v/>
      </c>
      <c r="CV9" s="158" t="str">
        <f t="shared" si="44"/>
        <v/>
      </c>
      <c r="CW9" s="158" t="str">
        <f t="shared" si="45"/>
        <v/>
      </c>
      <c r="CX9" s="158" t="str">
        <f t="shared" si="46"/>
        <v/>
      </c>
      <c r="CY9" s="143" t="str">
        <f t="shared" si="47"/>
        <v/>
      </c>
      <c r="CZ9" s="143" t="str">
        <f t="shared" si="48"/>
        <v/>
      </c>
      <c r="DA9" s="144" t="str">
        <f t="shared" si="49"/>
        <v/>
      </c>
    </row>
    <row r="10" spans="1:121" ht="17.25" customHeight="1" thickBot="1" x14ac:dyDescent="0.35">
      <c r="A10" s="145">
        <v>1</v>
      </c>
      <c r="B10" s="126" t="s">
        <v>136</v>
      </c>
      <c r="C10" s="146" t="s">
        <v>143</v>
      </c>
      <c r="D10" s="147" t="s">
        <v>132</v>
      </c>
      <c r="E10" s="202" t="s">
        <v>137</v>
      </c>
      <c r="F10" s="210"/>
      <c r="G10" s="211"/>
      <c r="H10" s="211"/>
      <c r="I10" s="211"/>
      <c r="J10" s="211"/>
      <c r="K10" s="211"/>
      <c r="L10" s="211"/>
      <c r="M10" s="215"/>
      <c r="N10" s="210">
        <v>58</v>
      </c>
      <c r="O10" s="212">
        <v>5</v>
      </c>
      <c r="P10" s="205">
        <v>1</v>
      </c>
      <c r="Q10" s="128">
        <f t="shared" si="34"/>
        <v>73</v>
      </c>
      <c r="R10" s="3">
        <v>2</v>
      </c>
      <c r="S10" s="3"/>
      <c r="T10" s="4">
        <v>149.12</v>
      </c>
      <c r="U10" s="4">
        <v>114.25</v>
      </c>
      <c r="V10" s="109">
        <f t="shared" si="3"/>
        <v>76</v>
      </c>
      <c r="W10" s="81">
        <v>70</v>
      </c>
      <c r="X10" s="148">
        <v>6</v>
      </c>
      <c r="Z10" s="9"/>
      <c r="AA10" s="4"/>
      <c r="AB10" s="4"/>
      <c r="AC10" s="87"/>
      <c r="AD10" s="8"/>
      <c r="AE10" s="2" t="str">
        <v/>
      </c>
      <c r="AH10" s="149">
        <f t="array" ref="AH10">IF(AH$1=0,"",SQRT((_xlfn.XLOOKUP(AH$1,$Z$2:$Z$18,$AA$2:$AA$18)-$T10)^2+(_xlfn.XLOOKUP(AH$1,$Z$2:$Z$18,$AB$2:$AB$18)-$U10)^2+(_xlfn.XLOOKUP(AH$1,$Z$2:$Z$18,$AC$2:$AC$18-$V10)^2)))</f>
        <v>119.83147541443358</v>
      </c>
      <c r="AI10" s="150">
        <f t="array" ref="AI10">IF(AI$1=0,"",SQRT((_xlfn.XLOOKUP(AI$1,$Z$2:$Z$18,$AA$2:$AA$18)-$T10)^2+(_xlfn.XLOOKUP(AI$1,$Z$2:$Z$18,$AB$2:$AB$18)-$U10)^2+(_xlfn.XLOOKUP(AI$1,$Z$2:$Z$18,$AC$2:$AC$18-$V10)^2)))</f>
        <v>84.000240475846255</v>
      </c>
      <c r="AJ10" s="150">
        <f t="array" ref="AJ10">IF(AJ$1=0,"",SQRT((_xlfn.XLOOKUP(AJ$1,$Z$2:$Z$18,$AA$2:$AA$18)-$T10)^2+(_xlfn.XLOOKUP(AJ$1,$Z$2:$Z$18,$AB$2:$AB$18)-$U10)^2+(_xlfn.XLOOKUP(AJ$1,$Z$2:$Z$18,$AC$2:$AC$18-$V10)^2)))</f>
        <v>115.25239520287636</v>
      </c>
      <c r="AK10" s="150">
        <f t="array" ref="AK10">IF(AK$1=0,"",SQRT((_xlfn.XLOOKUP(AK$1,$Z$2:$Z$18,$AA$2:$AA$18)-$T10)^2+(_xlfn.XLOOKUP(AK$1,$Z$2:$Z$18,$AB$2:$AB$18)-$U10)^2+(_xlfn.XLOOKUP(AK$1,$Z$2:$Z$18,$AC$2:$AC$18-$V10)^2)))</f>
        <v>173.78146506460348</v>
      </c>
      <c r="AL10" s="150">
        <f t="array" ref="AL10">IF(AL$1=0,"",SQRT((_xlfn.XLOOKUP(AL$1,$Z$2:$Z$18,$AA$2:$AA$18)-$T10)^2+(_xlfn.XLOOKUP(AL$1,$Z$2:$Z$18,$AB$2:$AB$18)-$U10)^2+(_xlfn.XLOOKUP(AL$1,$Z$2:$Z$18,$AC$2:$AC$18-$V10)^2)))</f>
        <v>170.50656438976185</v>
      </c>
      <c r="AM10" s="150" t="str">
        <f t="array" ref="AM10">IF(AM$1=0,"",SQRT((_xlfn.XLOOKUP(AM$1,$Z$2:$Z$18,$AA$2:$AA$18)-$T10)^2+(_xlfn.XLOOKUP(AM$1,$Z$2:$Z$18,$AB$2:$AB$18)-$U10)^2+(_xlfn.XLOOKUP(AM$1,$Z$2:$Z$18,$AC$2:$AC$18-$V10)^2)))</f>
        <v/>
      </c>
      <c r="AN10" s="150" t="str">
        <f t="array" ref="AN10">IF(AN$1=0,"",SQRT((_xlfn.XLOOKUP(AN$1,$Z$2:$Z$18,$AA$2:$AA$18)-$T10)^2+(_xlfn.XLOOKUP(AN$1,$Z$2:$Z$18,$AB$2:$AB$18)-$U10)^2+(_xlfn.XLOOKUP(AN$1,$Z$2:$Z$18,$AC$2:$AC$18-$V10)^2)))</f>
        <v/>
      </c>
      <c r="AO10" s="150" t="str">
        <f t="array" ref="AO10">IF(AO$1=0,"",SQRT((_xlfn.XLOOKUP(AO$1,$Z$2:$Z$18,$AA$2:$AA$18)-$T10)^2+(_xlfn.XLOOKUP(AO$1,$Z$2:$Z$18,$AB$2:$AB$18)-$U10)^2+(_xlfn.XLOOKUP(AO$1,$Z$2:$Z$18,$AC$2:$AC$18-$V10)^2)))</f>
        <v/>
      </c>
      <c r="AP10" s="151" t="str">
        <f t="array" ref="AP10">IF(AP$1=0,"",SQRT((_xlfn.XLOOKUP(AP$1,$Z$2:$Z$18,$AA$2:$AA$18)-$T10)^2+(_xlfn.XLOOKUP(AP$1,$Z$2:$Z$18,$AB$2:$AB$18)-$U10)^2+(_xlfn.XLOOKUP(AP$1,$Z$2:$Z$18,$AC$2:$AC$18-$V10)^2)))</f>
        <v/>
      </c>
      <c r="AQ10" s="151" t="str">
        <f t="array" ref="AQ10">IF(AQ$1=0,"",SQRT((_xlfn.XLOOKUP(AQ$1,$Z$2:$Z$18,$AA$2:$AA$18)-$T10)^2+(_xlfn.XLOOKUP(AQ$1,$Z$2:$Z$18,$AB$2:$AB$18)-$U10)^2+(_xlfn.XLOOKUP(AQ$1,$Z$2:$Z$18,$AC$2:$AC$18-$V10)^2)))</f>
        <v/>
      </c>
      <c r="AR10" s="151" t="str">
        <f t="array" ref="AR10">IF(AR$1=0,"",SQRT((_xlfn.XLOOKUP(AR$1,$Z$2:$Z$18,$AA$2:$AA$18)-$T10)^2+(_xlfn.XLOOKUP(AR$1,$Z$2:$Z$18,$AB$2:$AB$18)-$U10)^2+(_xlfn.XLOOKUP(AR$1,$Z$2:$Z$18,$AC$2:$AC$18-$V10)^2)))</f>
        <v/>
      </c>
      <c r="AS10" s="151" t="str">
        <f t="array" ref="AS10">IF(AS$1=0,"",SQRT((_xlfn.XLOOKUP(AS$1,$Z$2:$Z$18,$AA$2:$AA$18)-$T10)^2+(_xlfn.XLOOKUP(AS$1,$Z$2:$Z$18,$AB$2:$AB$18)-$U10)^2+(_xlfn.XLOOKUP(AS$1,$Z$2:$Z$18,$AC$2:$AC$18-$V10)^2)))</f>
        <v/>
      </c>
      <c r="AT10" s="151" t="str">
        <f t="array" ref="AT10">IF(AT$1=0,"",SQRT((_xlfn.XLOOKUP(AT$1,$Z$2:$Z$18,$AA$2:$AA$18)-$T10)^2+(_xlfn.XLOOKUP(AT$1,$Z$2:$Z$18,$AB$2:$AB$18)-$U10)^2+(_xlfn.XLOOKUP(AT$1,$Z$2:$Z$18,$AC$2:$AC$18-$V10)^2)))</f>
        <v/>
      </c>
      <c r="AU10" s="151" t="str">
        <f t="array" ref="AU10">IF(AU$1=0,"",SQRT((_xlfn.XLOOKUP(AU$1,$Z$2:$Z$18,$AA$2:$AA$18)-$T10)^2+(_xlfn.XLOOKUP(AU$1,$Z$2:$Z$18,$AB$2:$AB$18)-$U10)^2+(_xlfn.XLOOKUP(AU$1,$Z$2:$Z$18,$AC$2:$AC$18-$V10)^2)))</f>
        <v/>
      </c>
      <c r="AV10" s="152" t="str">
        <f t="array" ref="AV10">IF(AV$1=0,"",SQRT((_xlfn.XLOOKUP(AV$1,$Z$2:$Z$18,$AA$2:$AA$18)-$T10)^2+(_xlfn.XLOOKUP(AV$1,$Z$2:$Z$18,$AB$2:$AB$18)-$U10)^2+(_xlfn.XLOOKUP(AV$1,$Z$2:$Z$18,$AC$2:$AC$18-$V10)^2)))</f>
        <v/>
      </c>
      <c r="AW10" s="134"/>
      <c r="AX10" s="134"/>
      <c r="AY10" s="135">
        <f t="shared" si="4"/>
        <v>-39.233516068180428</v>
      </c>
      <c r="AZ10" s="153">
        <f t="shared" si="5"/>
        <v>-36.147708524166127</v>
      </c>
      <c r="BA10" s="153">
        <f t="shared" si="6"/>
        <v>-38.89509713228032</v>
      </c>
      <c r="BB10" s="153">
        <f t="shared" si="7"/>
        <v>-42.462167021369211</v>
      </c>
      <c r="BC10" s="153">
        <f t="shared" si="8"/>
        <v>-42.296920010936347</v>
      </c>
      <c r="BD10" s="153">
        <f t="shared" si="9"/>
        <v>0</v>
      </c>
      <c r="BE10" s="153">
        <f t="shared" si="10"/>
        <v>0</v>
      </c>
      <c r="BF10" s="153">
        <f t="shared" si="11"/>
        <v>0</v>
      </c>
      <c r="BG10" s="154">
        <f t="shared" si="12"/>
        <v>0</v>
      </c>
      <c r="BH10" s="154">
        <f t="shared" si="13"/>
        <v>0</v>
      </c>
      <c r="BI10" s="154">
        <f t="shared" si="14"/>
        <v>0</v>
      </c>
      <c r="BJ10" s="154">
        <f t="shared" si="15"/>
        <v>0</v>
      </c>
      <c r="BK10" s="154">
        <f t="shared" si="16"/>
        <v>0</v>
      </c>
      <c r="BL10" s="154">
        <f t="shared" si="17"/>
        <v>0</v>
      </c>
      <c r="BM10" s="155">
        <f t="shared" si="18"/>
        <v>0</v>
      </c>
      <c r="BN10" s="134"/>
      <c r="BO10" s="41" t="s">
        <v>37</v>
      </c>
      <c r="BP10" s="164">
        <f>BP8-BP9</f>
        <v>43.925501116357921</v>
      </c>
      <c r="BQ10" s="44" t="s">
        <v>38</v>
      </c>
      <c r="BR10" s="120">
        <f>BR4-(BR8*BQ4)</f>
        <v>78.924476177011172</v>
      </c>
      <c r="BS10" s="163">
        <f>INTERCEPT(BR4:BR5,BQ4:BQ5)</f>
        <v>78.924476177011172</v>
      </c>
      <c r="BT10" s="134"/>
      <c r="BU10" s="134"/>
      <c r="BV10" s="140">
        <v>5</v>
      </c>
      <c r="BW10" s="140">
        <v>10</v>
      </c>
      <c r="BX10" s="140">
        <v>12</v>
      </c>
      <c r="BY10" s="140">
        <v>9</v>
      </c>
      <c r="BZ10" s="140">
        <v>5</v>
      </c>
      <c r="CA10" s="140"/>
      <c r="CB10" s="140"/>
      <c r="CC10" s="140"/>
      <c r="CD10" s="140"/>
      <c r="CE10" s="140"/>
      <c r="CF10" s="140"/>
      <c r="CG10" s="140"/>
      <c r="CH10" s="140"/>
      <c r="CI10" s="140"/>
      <c r="CJ10" s="140"/>
      <c r="CK10" s="134"/>
      <c r="CL10" s="134"/>
      <c r="CM10" s="156">
        <f t="shared" si="35"/>
        <v>28.766483931819572</v>
      </c>
      <c r="CN10" s="157">
        <f t="shared" si="36"/>
        <v>26.852291475833873</v>
      </c>
      <c r="CO10" s="157">
        <f t="shared" si="37"/>
        <v>22.10490286771968</v>
      </c>
      <c r="CP10" s="157">
        <f t="shared" si="38"/>
        <v>21.537832978630789</v>
      </c>
      <c r="CQ10" s="157">
        <f t="shared" si="39"/>
        <v>25.703079989063653</v>
      </c>
      <c r="CR10" s="157" t="str">
        <f t="shared" si="40"/>
        <v/>
      </c>
      <c r="CS10" s="157" t="str">
        <f t="shared" si="41"/>
        <v/>
      </c>
      <c r="CT10" s="157" t="str">
        <f t="shared" si="42"/>
        <v/>
      </c>
      <c r="CU10" s="158" t="str">
        <f t="shared" si="43"/>
        <v/>
      </c>
      <c r="CV10" s="158" t="str">
        <f t="shared" si="44"/>
        <v/>
      </c>
      <c r="CW10" s="158" t="str">
        <f t="shared" si="45"/>
        <v/>
      </c>
      <c r="CX10" s="158" t="str">
        <f t="shared" si="46"/>
        <v/>
      </c>
      <c r="CY10" s="143" t="str">
        <f t="shared" si="47"/>
        <v/>
      </c>
      <c r="CZ10" s="143" t="str">
        <f t="shared" si="48"/>
        <v/>
      </c>
      <c r="DA10" s="144" t="str">
        <f t="shared" si="49"/>
        <v/>
      </c>
    </row>
    <row r="11" spans="1:121" ht="17.25" customHeight="1" thickBot="1" x14ac:dyDescent="0.35">
      <c r="A11" s="145">
        <v>1</v>
      </c>
      <c r="B11" s="146" t="s">
        <v>138</v>
      </c>
      <c r="C11" s="146" t="s">
        <v>143</v>
      </c>
      <c r="D11" s="147" t="s">
        <v>132</v>
      </c>
      <c r="E11" s="202" t="s">
        <v>139</v>
      </c>
      <c r="F11" s="210"/>
      <c r="G11" s="211"/>
      <c r="H11" s="211"/>
      <c r="I11" s="211"/>
      <c r="J11" s="211"/>
      <c r="K11" s="211"/>
      <c r="L11" s="211"/>
      <c r="M11" s="215"/>
      <c r="N11" s="210">
        <v>60</v>
      </c>
      <c r="O11" s="212">
        <v>5</v>
      </c>
      <c r="P11" s="205">
        <v>1</v>
      </c>
      <c r="Q11" s="128">
        <f t="shared" si="34"/>
        <v>75</v>
      </c>
      <c r="R11" s="3">
        <v>2</v>
      </c>
      <c r="S11" s="3"/>
      <c r="T11" s="4">
        <v>114.64</v>
      </c>
      <c r="U11" s="4">
        <v>101.82</v>
      </c>
      <c r="V11" s="109">
        <f t="shared" si="3"/>
        <v>76</v>
      </c>
      <c r="W11" s="81">
        <v>70</v>
      </c>
      <c r="X11" s="148">
        <v>6</v>
      </c>
      <c r="Z11" s="9"/>
      <c r="AA11" s="4"/>
      <c r="AB11" s="4"/>
      <c r="AC11" s="87"/>
      <c r="AD11" s="8"/>
      <c r="AE11" s="2" t="str">
        <v/>
      </c>
      <c r="AH11" s="149">
        <f t="array" ref="AH11">IF(AH$1=0,"",SQRT((_xlfn.XLOOKUP(AH$1,$Z$2:$Z$18,$AA$2:$AA$18)-$T11)^2+(_xlfn.XLOOKUP(AH$1,$Z$2:$Z$18,$AB$2:$AB$18)-$U11)^2+(_xlfn.XLOOKUP(AH$1,$Z$2:$Z$18,$AC$2:$AC$18-$V11)^2)))</f>
        <v>83.683269534596931</v>
      </c>
      <c r="AI11" s="150">
        <f t="array" ref="AI11">IF(AI$1=0,"",SQRT((_xlfn.XLOOKUP(AI$1,$Z$2:$Z$18,$AA$2:$AA$18)-$T11)^2+(_xlfn.XLOOKUP(AI$1,$Z$2:$Z$18,$AB$2:$AB$18)-$U11)^2+(_xlfn.XLOOKUP(AI$1,$Z$2:$Z$18,$AC$2:$AC$18-$V11)^2)))</f>
        <v>61.662816186093863</v>
      </c>
      <c r="AJ11" s="150">
        <f t="array" ref="AJ11">IF(AJ$1=0,"",SQRT((_xlfn.XLOOKUP(AJ$1,$Z$2:$Z$18,$AA$2:$AA$18)-$T11)^2+(_xlfn.XLOOKUP(AJ$1,$Z$2:$Z$18,$AB$2:$AB$18)-$U11)^2+(_xlfn.XLOOKUP(AJ$1,$Z$2:$Z$18,$AC$2:$AC$18-$V11)^2)))</f>
        <v>130.48861751126032</v>
      </c>
      <c r="AK11" s="150">
        <f t="array" ref="AK11">IF(AK$1=0,"",SQRT((_xlfn.XLOOKUP(AK$1,$Z$2:$Z$18,$AA$2:$AA$18)-$T11)^2+(_xlfn.XLOOKUP(AK$1,$Z$2:$Z$18,$AB$2:$AB$18)-$U11)^2+(_xlfn.XLOOKUP(AK$1,$Z$2:$Z$18,$AC$2:$AC$18-$V11)^2)))</f>
        <v>205.9662625285996</v>
      </c>
      <c r="AL11" s="150">
        <f t="array" ref="AL11">IF(AL$1=0,"",SQRT((_xlfn.XLOOKUP(AL$1,$Z$2:$Z$18,$AA$2:$AA$18)-$T11)^2+(_xlfn.XLOOKUP(AL$1,$Z$2:$Z$18,$AB$2:$AB$18)-$U11)^2+(_xlfn.XLOOKUP(AL$1,$Z$2:$Z$18,$AC$2:$AC$18-$V11)^2)))</f>
        <v>153.58843771586456</v>
      </c>
      <c r="AM11" s="150" t="str">
        <f t="array" ref="AM11">IF(AM$1=0,"",SQRT((_xlfn.XLOOKUP(AM$1,$Z$2:$Z$18,$AA$2:$AA$18)-$T11)^2+(_xlfn.XLOOKUP(AM$1,$Z$2:$Z$18,$AB$2:$AB$18)-$U11)^2+(_xlfn.XLOOKUP(AM$1,$Z$2:$Z$18,$AC$2:$AC$18-$V11)^2)))</f>
        <v/>
      </c>
      <c r="AN11" s="150" t="str">
        <f t="array" ref="AN11">IF(AN$1=0,"",SQRT((_xlfn.XLOOKUP(AN$1,$Z$2:$Z$18,$AA$2:$AA$18)-$T11)^2+(_xlfn.XLOOKUP(AN$1,$Z$2:$Z$18,$AB$2:$AB$18)-$U11)^2+(_xlfn.XLOOKUP(AN$1,$Z$2:$Z$18,$AC$2:$AC$18-$V11)^2)))</f>
        <v/>
      </c>
      <c r="AO11" s="150" t="str">
        <f t="array" ref="AO11">IF(AO$1=0,"",SQRT((_xlfn.XLOOKUP(AO$1,$Z$2:$Z$18,$AA$2:$AA$18)-$T11)^2+(_xlfn.XLOOKUP(AO$1,$Z$2:$Z$18,$AB$2:$AB$18)-$U11)^2+(_xlfn.XLOOKUP(AO$1,$Z$2:$Z$18,$AC$2:$AC$18-$V11)^2)))</f>
        <v/>
      </c>
      <c r="AP11" s="151" t="str">
        <f t="array" ref="AP11">IF(AP$1=0,"",SQRT((_xlfn.XLOOKUP(AP$1,$Z$2:$Z$18,$AA$2:$AA$18)-$T11)^2+(_xlfn.XLOOKUP(AP$1,$Z$2:$Z$18,$AB$2:$AB$18)-$U11)^2+(_xlfn.XLOOKUP(AP$1,$Z$2:$Z$18,$AC$2:$AC$18-$V11)^2)))</f>
        <v/>
      </c>
      <c r="AQ11" s="151" t="str">
        <f t="array" ref="AQ11">IF(AQ$1=0,"",SQRT((_xlfn.XLOOKUP(AQ$1,$Z$2:$Z$18,$AA$2:$AA$18)-$T11)^2+(_xlfn.XLOOKUP(AQ$1,$Z$2:$Z$18,$AB$2:$AB$18)-$U11)^2+(_xlfn.XLOOKUP(AQ$1,$Z$2:$Z$18,$AC$2:$AC$18-$V11)^2)))</f>
        <v/>
      </c>
      <c r="AR11" s="151" t="str">
        <f t="array" ref="AR11">IF(AR$1=0,"",SQRT((_xlfn.XLOOKUP(AR$1,$Z$2:$Z$18,$AA$2:$AA$18)-$T11)^2+(_xlfn.XLOOKUP(AR$1,$Z$2:$Z$18,$AB$2:$AB$18)-$U11)^2+(_xlfn.XLOOKUP(AR$1,$Z$2:$Z$18,$AC$2:$AC$18-$V11)^2)))</f>
        <v/>
      </c>
      <c r="AS11" s="151" t="str">
        <f t="array" ref="AS11">IF(AS$1=0,"",SQRT((_xlfn.XLOOKUP(AS$1,$Z$2:$Z$18,$AA$2:$AA$18)-$T11)^2+(_xlfn.XLOOKUP(AS$1,$Z$2:$Z$18,$AB$2:$AB$18)-$U11)^2+(_xlfn.XLOOKUP(AS$1,$Z$2:$Z$18,$AC$2:$AC$18-$V11)^2)))</f>
        <v/>
      </c>
      <c r="AT11" s="151" t="str">
        <f t="array" ref="AT11">IF(AT$1=0,"",SQRT((_xlfn.XLOOKUP(AT$1,$Z$2:$Z$18,$AA$2:$AA$18)-$T11)^2+(_xlfn.XLOOKUP(AT$1,$Z$2:$Z$18,$AB$2:$AB$18)-$U11)^2+(_xlfn.XLOOKUP(AT$1,$Z$2:$Z$18,$AC$2:$AC$18-$V11)^2)))</f>
        <v/>
      </c>
      <c r="AU11" s="151" t="str">
        <f t="array" ref="AU11">IF(AU$1=0,"",SQRT((_xlfn.XLOOKUP(AU$1,$Z$2:$Z$18,$AA$2:$AA$18)-$T11)^2+(_xlfn.XLOOKUP(AU$1,$Z$2:$Z$18,$AB$2:$AB$18)-$U11)^2+(_xlfn.XLOOKUP(AU$1,$Z$2:$Z$18,$AC$2:$AC$18-$V11)^2)))</f>
        <v/>
      </c>
      <c r="AV11" s="152" t="str">
        <f t="array" ref="AV11">IF(AV$1=0,"",SQRT((_xlfn.XLOOKUP(AV$1,$Z$2:$Z$18,$AA$2:$AA$18)-$T11)^2+(_xlfn.XLOOKUP(AV$1,$Z$2:$Z$18,$AB$2:$AB$18)-$U11)^2+(_xlfn.XLOOKUP(AV$1,$Z$2:$Z$18,$AC$2:$AC$18-$V11)^2)))</f>
        <v/>
      </c>
      <c r="AW11" s="134"/>
      <c r="AX11" s="134"/>
      <c r="AY11" s="135">
        <f t="shared" si="4"/>
        <v>-36.114870734770832</v>
      </c>
      <c r="AZ11" s="153">
        <f t="shared" si="5"/>
        <v>-33.462565044758826</v>
      </c>
      <c r="BA11" s="153">
        <f t="shared" si="6"/>
        <v>-39.973550535529917</v>
      </c>
      <c r="BB11" s="153">
        <f t="shared" si="7"/>
        <v>-43.938019703771531</v>
      </c>
      <c r="BC11" s="153">
        <f t="shared" si="8"/>
        <v>-41.389268393394005</v>
      </c>
      <c r="BD11" s="153">
        <f t="shared" si="9"/>
        <v>0</v>
      </c>
      <c r="BE11" s="153">
        <f t="shared" si="10"/>
        <v>0</v>
      </c>
      <c r="BF11" s="153">
        <f t="shared" si="11"/>
        <v>0</v>
      </c>
      <c r="BG11" s="154">
        <f t="shared" si="12"/>
        <v>0</v>
      </c>
      <c r="BH11" s="154">
        <f t="shared" si="13"/>
        <v>0</v>
      </c>
      <c r="BI11" s="154">
        <f t="shared" si="14"/>
        <v>0</v>
      </c>
      <c r="BJ11" s="154">
        <f t="shared" si="15"/>
        <v>0</v>
      </c>
      <c r="BK11" s="154">
        <f t="shared" si="16"/>
        <v>0</v>
      </c>
      <c r="BL11" s="154">
        <f t="shared" si="17"/>
        <v>0</v>
      </c>
      <c r="BM11" s="155">
        <f t="shared" si="18"/>
        <v>0</v>
      </c>
      <c r="BN11" s="134"/>
      <c r="BO11" s="41" t="s">
        <v>39</v>
      </c>
      <c r="BP11" s="165">
        <f>SQRT(BP8^2+(BS5-BS4)^2)</f>
        <v>72.737805163477404</v>
      </c>
      <c r="BQ11" s="44" t="s">
        <v>40</v>
      </c>
      <c r="BR11" s="120">
        <f>BR6-(BR9*BQ6)</f>
        <v>495.08249999999941</v>
      </c>
      <c r="BS11" s="163">
        <f>INTERCEPT(BR6:BR7,BQ6:BQ7)</f>
        <v>495.0824999999993</v>
      </c>
      <c r="BT11" s="134"/>
      <c r="BU11" s="134"/>
      <c r="BV11" s="140">
        <v>4</v>
      </c>
      <c r="BW11" s="140">
        <v>8</v>
      </c>
      <c r="BX11" s="140">
        <v>11</v>
      </c>
      <c r="BY11" s="140">
        <v>11</v>
      </c>
      <c r="BZ11" s="140">
        <v>7</v>
      </c>
      <c r="CA11" s="140"/>
      <c r="CB11" s="140"/>
      <c r="CC11" s="140"/>
      <c r="CD11" s="140"/>
      <c r="CE11" s="140"/>
      <c r="CF11" s="140"/>
      <c r="CG11" s="140"/>
      <c r="CH11" s="140"/>
      <c r="CI11" s="140"/>
      <c r="CJ11" s="140"/>
      <c r="CK11" s="134"/>
      <c r="CL11" s="134"/>
      <c r="CM11" s="156">
        <f t="shared" si="35"/>
        <v>34.885129265229168</v>
      </c>
      <c r="CN11" s="157">
        <f t="shared" si="36"/>
        <v>33.537434955241174</v>
      </c>
      <c r="CO11" s="157">
        <f t="shared" si="37"/>
        <v>24.026449464470083</v>
      </c>
      <c r="CP11" s="157">
        <f t="shared" si="38"/>
        <v>20.061980296228469</v>
      </c>
      <c r="CQ11" s="157">
        <f t="shared" si="39"/>
        <v>26.610731606605995</v>
      </c>
      <c r="CR11" s="157" t="str">
        <f t="shared" si="40"/>
        <v/>
      </c>
      <c r="CS11" s="157" t="str">
        <f t="shared" si="41"/>
        <v/>
      </c>
      <c r="CT11" s="157" t="str">
        <f t="shared" si="42"/>
        <v/>
      </c>
      <c r="CU11" s="158" t="str">
        <f t="shared" si="43"/>
        <v/>
      </c>
      <c r="CV11" s="158" t="str">
        <f t="shared" si="44"/>
        <v/>
      </c>
      <c r="CW11" s="158" t="str">
        <f t="shared" si="45"/>
        <v/>
      </c>
      <c r="CX11" s="158" t="str">
        <f t="shared" si="46"/>
        <v/>
      </c>
      <c r="CY11" s="143" t="str">
        <f t="shared" si="47"/>
        <v/>
      </c>
      <c r="CZ11" s="143" t="str">
        <f t="shared" si="48"/>
        <v/>
      </c>
      <c r="DA11" s="144" t="str">
        <f t="shared" si="49"/>
        <v/>
      </c>
    </row>
    <row r="12" spans="1:121" ht="17.25" customHeight="1" thickBot="1" x14ac:dyDescent="0.35">
      <c r="A12" s="145">
        <v>4</v>
      </c>
      <c r="B12" s="146" t="s">
        <v>175</v>
      </c>
      <c r="C12" s="146" t="s">
        <v>143</v>
      </c>
      <c r="D12" s="147" t="s">
        <v>122</v>
      </c>
      <c r="E12" s="202" t="s">
        <v>140</v>
      </c>
      <c r="F12" s="210"/>
      <c r="G12" s="211"/>
      <c r="H12" s="211"/>
      <c r="I12" s="211"/>
      <c r="J12" s="211"/>
      <c r="K12" s="211"/>
      <c r="L12" s="211"/>
      <c r="M12" s="215"/>
      <c r="N12" s="210">
        <v>58</v>
      </c>
      <c r="O12" s="212">
        <v>5</v>
      </c>
      <c r="P12" s="205">
        <v>1</v>
      </c>
      <c r="Q12" s="128">
        <f t="shared" si="34"/>
        <v>79.020599913279625</v>
      </c>
      <c r="R12" s="3">
        <v>2</v>
      </c>
      <c r="S12" s="3"/>
      <c r="T12" s="4">
        <v>230.36</v>
      </c>
      <c r="U12" s="4">
        <v>44.95</v>
      </c>
      <c r="V12" s="109">
        <f t="shared" si="3"/>
        <v>74</v>
      </c>
      <c r="W12" s="81">
        <v>70</v>
      </c>
      <c r="X12" s="148">
        <v>4</v>
      </c>
      <c r="Z12" s="9"/>
      <c r="AA12" s="4"/>
      <c r="AB12" s="4"/>
      <c r="AC12" s="87"/>
      <c r="AD12" s="8"/>
      <c r="AE12" s="2" t="str">
        <v/>
      </c>
      <c r="AH12" s="149">
        <f t="array" ref="AH12">IF(AH$1=0,"",SQRT((_xlfn.XLOOKUP(AH$1,$Z$2:$Z$18,$AA$2:$AA$18)-$T12)^2+(_xlfn.XLOOKUP(AH$1,$Z$2:$Z$18,$AB$2:$AB$18)-$U12)^2+(_xlfn.XLOOKUP(AH$1,$Z$2:$Z$18,$AC$2:$AC$18-$V12)^2)))</f>
        <v>201.433798802485</v>
      </c>
      <c r="AI12" s="150">
        <f t="array" ref="AI12">IF(AI$1=0,"",SQRT((_xlfn.XLOOKUP(AI$1,$Z$2:$Z$18,$AA$2:$AA$18)-$T12)^2+(_xlfn.XLOOKUP(AI$1,$Z$2:$Z$18,$AB$2:$AB$18)-$U12)^2+(_xlfn.XLOOKUP(AI$1,$Z$2:$Z$18,$AC$2:$AC$18-$V12)^2)))</f>
        <v>130.49022951930158</v>
      </c>
      <c r="AJ12" s="150">
        <f t="array" ref="AJ12">IF(AJ$1=0,"",SQRT((_xlfn.XLOOKUP(AJ$1,$Z$2:$Z$18,$AA$2:$AA$18)-$T12)^2+(_xlfn.XLOOKUP(AJ$1,$Z$2:$Z$18,$AB$2:$AB$18)-$U12)^2+(_xlfn.XLOOKUP(AJ$1,$Z$2:$Z$18,$AC$2:$AC$18-$V12)^2)))</f>
        <v>29.634861227952474</v>
      </c>
      <c r="AK12" s="150">
        <f t="array" ref="AK12">IF(AK$1=0,"",SQRT((_xlfn.XLOOKUP(AK$1,$Z$2:$Z$18,$AA$2:$AA$18)-$T12)^2+(_xlfn.XLOOKUP(AK$1,$Z$2:$Z$18,$AB$2:$AB$18)-$U12)^2+(_xlfn.XLOOKUP(AK$1,$Z$2:$Z$18,$AC$2:$AC$18-$V12)^2)))</f>
        <v>101.82735388882497</v>
      </c>
      <c r="AL12" s="150">
        <f t="array" ref="AL12">IF(AL$1=0,"",SQRT((_xlfn.XLOOKUP(AL$1,$Z$2:$Z$18,$AA$2:$AA$18)-$T12)^2+(_xlfn.XLOOKUP(AL$1,$Z$2:$Z$18,$AB$2:$AB$18)-$U12)^2+(_xlfn.XLOOKUP(AL$1,$Z$2:$Z$18,$AC$2:$AC$18-$V12)^2)))</f>
        <v>275.81448711044897</v>
      </c>
      <c r="AM12" s="150" t="str">
        <f t="array" ref="AM12">IF(AM$1=0,"",SQRT((_xlfn.XLOOKUP(AM$1,$Z$2:$Z$18,$AA$2:$AA$18)-$T12)^2+(_xlfn.XLOOKUP(AM$1,$Z$2:$Z$18,$AB$2:$AB$18)-$U12)^2+(_xlfn.XLOOKUP(AM$1,$Z$2:$Z$18,$AC$2:$AC$18-$V12)^2)))</f>
        <v/>
      </c>
      <c r="AN12" s="150" t="str">
        <f t="array" ref="AN12">IF(AN$1=0,"",SQRT((_xlfn.XLOOKUP(AN$1,$Z$2:$Z$18,$AA$2:$AA$18)-$T12)^2+(_xlfn.XLOOKUP(AN$1,$Z$2:$Z$18,$AB$2:$AB$18)-$U12)^2+(_xlfn.XLOOKUP(AN$1,$Z$2:$Z$18,$AC$2:$AC$18-$V12)^2)))</f>
        <v/>
      </c>
      <c r="AO12" s="150" t="str">
        <f t="array" ref="AO12">IF(AO$1=0,"",SQRT((_xlfn.XLOOKUP(AO$1,$Z$2:$Z$18,$AA$2:$AA$18)-$T12)^2+(_xlfn.XLOOKUP(AO$1,$Z$2:$Z$18,$AB$2:$AB$18)-$U12)^2+(_xlfn.XLOOKUP(AO$1,$Z$2:$Z$18,$AC$2:$AC$18-$V12)^2)))</f>
        <v/>
      </c>
      <c r="AP12" s="151" t="str">
        <f t="array" ref="AP12">IF(AP$1=0,"",SQRT((_xlfn.XLOOKUP(AP$1,$Z$2:$Z$18,$AA$2:$AA$18)-$T12)^2+(_xlfn.XLOOKUP(AP$1,$Z$2:$Z$18,$AB$2:$AB$18)-$U12)^2+(_xlfn.XLOOKUP(AP$1,$Z$2:$Z$18,$AC$2:$AC$18-$V12)^2)))</f>
        <v/>
      </c>
      <c r="AQ12" s="151" t="str">
        <f t="array" ref="AQ12">IF(AQ$1=0,"",SQRT((_xlfn.XLOOKUP(AQ$1,$Z$2:$Z$18,$AA$2:$AA$18)-$T12)^2+(_xlfn.XLOOKUP(AQ$1,$Z$2:$Z$18,$AB$2:$AB$18)-$U12)^2+(_xlfn.XLOOKUP(AQ$1,$Z$2:$Z$18,$AC$2:$AC$18-$V12)^2)))</f>
        <v/>
      </c>
      <c r="AR12" s="151" t="str">
        <f t="array" ref="AR12">IF(AR$1=0,"",SQRT((_xlfn.XLOOKUP(AR$1,$Z$2:$Z$18,$AA$2:$AA$18)-$T12)^2+(_xlfn.XLOOKUP(AR$1,$Z$2:$Z$18,$AB$2:$AB$18)-$U12)^2+(_xlfn.XLOOKUP(AR$1,$Z$2:$Z$18,$AC$2:$AC$18-$V12)^2)))</f>
        <v/>
      </c>
      <c r="AS12" s="151" t="str">
        <f t="array" ref="AS12">IF(AS$1=0,"",SQRT((_xlfn.XLOOKUP(AS$1,$Z$2:$Z$18,$AA$2:$AA$18)-$T12)^2+(_xlfn.XLOOKUP(AS$1,$Z$2:$Z$18,$AB$2:$AB$18)-$U12)^2+(_xlfn.XLOOKUP(AS$1,$Z$2:$Z$18,$AC$2:$AC$18-$V12)^2)))</f>
        <v/>
      </c>
      <c r="AT12" s="151" t="str">
        <f t="array" ref="AT12">IF(AT$1=0,"",SQRT((_xlfn.XLOOKUP(AT$1,$Z$2:$Z$18,$AA$2:$AA$18)-$T12)^2+(_xlfn.XLOOKUP(AT$1,$Z$2:$Z$18,$AB$2:$AB$18)-$U12)^2+(_xlfn.XLOOKUP(AT$1,$Z$2:$Z$18,$AC$2:$AC$18-$V12)^2)))</f>
        <v/>
      </c>
      <c r="AU12" s="151" t="str">
        <f t="array" ref="AU12">IF(AU$1=0,"",SQRT((_xlfn.XLOOKUP(AU$1,$Z$2:$Z$18,$AA$2:$AA$18)-$T12)^2+(_xlfn.XLOOKUP(AU$1,$Z$2:$Z$18,$AB$2:$AB$18)-$U12)^2+(_xlfn.XLOOKUP(AU$1,$Z$2:$Z$18,$AC$2:$AC$18-$V12)^2)))</f>
        <v/>
      </c>
      <c r="AV12" s="152" t="str">
        <f t="array" ref="AV12">IF(AV$1=0,"",SQRT((_xlfn.XLOOKUP(AV$1,$Z$2:$Z$18,$AA$2:$AA$18)-$T12)^2+(_xlfn.XLOOKUP(AV$1,$Z$2:$Z$18,$AB$2:$AB$18)-$U12)^2+(_xlfn.XLOOKUP(AV$1,$Z$2:$Z$18,$AC$2:$AC$18-$V12)^2)))</f>
        <v/>
      </c>
      <c r="AW12" s="134"/>
      <c r="AX12" s="134"/>
      <c r="AY12" s="135">
        <f t="shared" si="4"/>
        <v>-43.744744798709725</v>
      </c>
      <c r="AZ12" s="153">
        <f t="shared" si="5"/>
        <v>-39.973657837130041</v>
      </c>
      <c r="BA12" s="153">
        <f t="shared" si="6"/>
        <v>-27.098155894854209</v>
      </c>
      <c r="BB12" s="153">
        <f t="shared" si="7"/>
        <v>-37.819387101508653</v>
      </c>
      <c r="BC12" s="153">
        <f t="shared" si="8"/>
        <v>-46.474439410631803</v>
      </c>
      <c r="BD12" s="153">
        <f t="shared" si="9"/>
        <v>0</v>
      </c>
      <c r="BE12" s="153">
        <f t="shared" si="10"/>
        <v>0</v>
      </c>
      <c r="BF12" s="153">
        <f t="shared" si="11"/>
        <v>0</v>
      </c>
      <c r="BG12" s="154">
        <f t="shared" si="12"/>
        <v>0</v>
      </c>
      <c r="BH12" s="154">
        <f t="shared" si="13"/>
        <v>0</v>
      </c>
      <c r="BI12" s="154">
        <f t="shared" si="14"/>
        <v>0</v>
      </c>
      <c r="BJ12" s="154">
        <f t="shared" si="15"/>
        <v>0</v>
      </c>
      <c r="BK12" s="154">
        <f t="shared" si="16"/>
        <v>0</v>
      </c>
      <c r="BL12" s="154">
        <f t="shared" si="17"/>
        <v>0</v>
      </c>
      <c r="BM12" s="155">
        <f t="shared" si="18"/>
        <v>0</v>
      </c>
      <c r="BN12" s="134"/>
      <c r="BO12" s="41" t="s">
        <v>41</v>
      </c>
      <c r="BP12" s="164">
        <f>BP13+BP14-BP11</f>
        <v>0.6472550947896849</v>
      </c>
      <c r="BQ12" s="44" t="s">
        <v>42</v>
      </c>
      <c r="BR12" s="120">
        <f>(BR11-BR10)/(BR8-BR9)</f>
        <v>76.342634527476093</v>
      </c>
      <c r="BS12" s="163">
        <f>(BS11-BS10)/(BS8-BS9)</f>
        <v>76.342634527476079</v>
      </c>
      <c r="BT12" s="134"/>
      <c r="BU12" s="134"/>
      <c r="BV12" s="140">
        <v>2</v>
      </c>
      <c r="BW12" s="140">
        <v>13</v>
      </c>
      <c r="BX12" s="140">
        <v>12</v>
      </c>
      <c r="BY12" s="140">
        <v>7</v>
      </c>
      <c r="BZ12" s="140">
        <v>10</v>
      </c>
      <c r="CA12" s="140"/>
      <c r="CB12" s="140"/>
      <c r="CC12" s="140"/>
      <c r="CD12" s="140"/>
      <c r="CE12" s="140"/>
      <c r="CF12" s="140"/>
      <c r="CG12" s="140"/>
      <c r="CH12" s="140"/>
      <c r="CI12" s="140"/>
      <c r="CJ12" s="140"/>
      <c r="CK12" s="134"/>
      <c r="CL12" s="134"/>
      <c r="CM12" s="156">
        <f t="shared" si="35"/>
        <v>33.2758551145699</v>
      </c>
      <c r="CN12" s="157">
        <f t="shared" si="36"/>
        <v>26.046942076149584</v>
      </c>
      <c r="CO12" s="157">
        <f t="shared" si="37"/>
        <v>39.922444018425416</v>
      </c>
      <c r="CP12" s="157">
        <f t="shared" si="38"/>
        <v>34.201212811770972</v>
      </c>
      <c r="CQ12" s="157">
        <f t="shared" si="39"/>
        <v>22.546160502647822</v>
      </c>
      <c r="CR12" s="157" t="str">
        <f t="shared" si="40"/>
        <v/>
      </c>
      <c r="CS12" s="157" t="str">
        <f t="shared" si="41"/>
        <v/>
      </c>
      <c r="CT12" s="157" t="str">
        <f t="shared" si="42"/>
        <v/>
      </c>
      <c r="CU12" s="158" t="str">
        <f t="shared" si="43"/>
        <v/>
      </c>
      <c r="CV12" s="158" t="str">
        <f t="shared" si="44"/>
        <v/>
      </c>
      <c r="CW12" s="158" t="str">
        <f t="shared" si="45"/>
        <v/>
      </c>
      <c r="CX12" s="158" t="str">
        <f t="shared" si="46"/>
        <v/>
      </c>
      <c r="CY12" s="143" t="str">
        <f t="shared" si="47"/>
        <v/>
      </c>
      <c r="CZ12" s="143" t="str">
        <f t="shared" si="48"/>
        <v/>
      </c>
      <c r="DA12" s="144" t="str">
        <f t="shared" si="49"/>
        <v/>
      </c>
    </row>
    <row r="13" spans="1:121" ht="17.25" customHeight="1" thickBot="1" x14ac:dyDescent="0.35">
      <c r="A13" s="145">
        <v>4</v>
      </c>
      <c r="B13" s="146" t="s">
        <v>176</v>
      </c>
      <c r="C13" s="146" t="s">
        <v>143</v>
      </c>
      <c r="D13" s="147" t="s">
        <v>122</v>
      </c>
      <c r="E13" s="202" t="s">
        <v>140</v>
      </c>
      <c r="F13" s="210"/>
      <c r="G13" s="211"/>
      <c r="H13" s="211"/>
      <c r="I13" s="211"/>
      <c r="J13" s="211"/>
      <c r="K13" s="211"/>
      <c r="L13" s="211"/>
      <c r="M13" s="215"/>
      <c r="N13" s="210">
        <v>58</v>
      </c>
      <c r="O13" s="212">
        <v>5</v>
      </c>
      <c r="P13" s="205">
        <v>1</v>
      </c>
      <c r="Q13" s="128">
        <f t="shared" si="34"/>
        <v>79.020599913279625</v>
      </c>
      <c r="R13" s="3">
        <v>2</v>
      </c>
      <c r="S13" s="3"/>
      <c r="T13" s="4">
        <v>169.49</v>
      </c>
      <c r="U13" s="4">
        <v>137.19</v>
      </c>
      <c r="V13" s="109">
        <f t="shared" si="3"/>
        <v>74</v>
      </c>
      <c r="W13" s="81">
        <v>70</v>
      </c>
      <c r="X13" s="148">
        <v>4</v>
      </c>
      <c r="Z13" s="9"/>
      <c r="AA13" s="4"/>
      <c r="AB13" s="4"/>
      <c r="AC13" s="87"/>
      <c r="AD13" s="8"/>
      <c r="AE13" s="2" t="str">
        <v/>
      </c>
      <c r="AH13" s="149">
        <f t="array" ref="AH13">IF(AH$1=0,"",SQRT((_xlfn.XLOOKUP(AH$1,$Z$2:$Z$18,$AA$2:$AA$18)-$T13)^2+(_xlfn.XLOOKUP(AH$1,$Z$2:$Z$18,$AB$2:$AB$18)-$U13)^2+(_xlfn.XLOOKUP(AH$1,$Z$2:$Z$18,$AC$2:$AC$18-$V13)^2)))</f>
        <v>145.92336687453454</v>
      </c>
      <c r="AI13" s="150">
        <f t="array" ref="AI13">IF(AI$1=0,"",SQRT((_xlfn.XLOOKUP(AI$1,$Z$2:$Z$18,$AA$2:$AA$18)-$T13)^2+(_xlfn.XLOOKUP(AI$1,$Z$2:$Z$18,$AB$2:$AB$18)-$U13)^2+(_xlfn.XLOOKUP(AI$1,$Z$2:$Z$18,$AC$2:$AC$18-$V13)^2)))</f>
        <v>111.76248610334328</v>
      </c>
      <c r="AJ13" s="150">
        <f t="array" ref="AJ13">IF(AJ$1=0,"",SQRT((_xlfn.XLOOKUP(AJ$1,$Z$2:$Z$18,$AA$2:$AA$18)-$T13)^2+(_xlfn.XLOOKUP(AJ$1,$Z$2:$Z$18,$AB$2:$AB$18)-$U13)^2+(_xlfn.XLOOKUP(AJ$1,$Z$2:$Z$18,$AC$2:$AC$18-$V13)^2)))</f>
        <v>124.93176737723675</v>
      </c>
      <c r="AK13" s="150">
        <f t="array" ref="AK13">IF(AK$1=0,"",SQRT((_xlfn.XLOOKUP(AK$1,$Z$2:$Z$18,$AA$2:$AA$18)-$T13)^2+(_xlfn.XLOOKUP(AK$1,$Z$2:$Z$18,$AB$2:$AB$18)-$U13)^2+(_xlfn.XLOOKUP(AK$1,$Z$2:$Z$18,$AC$2:$AC$18-$V13)^2)))</f>
        <v>159.4939701054557</v>
      </c>
      <c r="AL13" s="150">
        <f t="array" ref="AL13">IF(AL$1=0,"",SQRT((_xlfn.XLOOKUP(AL$1,$Z$2:$Z$18,$AA$2:$AA$18)-$T13)^2+(_xlfn.XLOOKUP(AL$1,$Z$2:$Z$18,$AB$2:$AB$18)-$U13)^2+(_xlfn.XLOOKUP(AL$1,$Z$2:$Z$18,$AC$2:$AC$18-$V13)^2)))</f>
        <v>175.55727612377677</v>
      </c>
      <c r="AM13" s="150" t="str">
        <f t="array" ref="AM13">IF(AM$1=0,"",SQRT((_xlfn.XLOOKUP(AM$1,$Z$2:$Z$18,$AA$2:$AA$18)-$T13)^2+(_xlfn.XLOOKUP(AM$1,$Z$2:$Z$18,$AB$2:$AB$18)-$U13)^2+(_xlfn.XLOOKUP(AM$1,$Z$2:$Z$18,$AC$2:$AC$18-$V13)^2)))</f>
        <v/>
      </c>
      <c r="AN13" s="150" t="str">
        <f t="array" ref="AN13">IF(AN$1=0,"",SQRT((_xlfn.XLOOKUP(AN$1,$Z$2:$Z$18,$AA$2:$AA$18)-$T13)^2+(_xlfn.XLOOKUP(AN$1,$Z$2:$Z$18,$AB$2:$AB$18)-$U13)^2+(_xlfn.XLOOKUP(AN$1,$Z$2:$Z$18,$AC$2:$AC$18-$V13)^2)))</f>
        <v/>
      </c>
      <c r="AO13" s="150" t="str">
        <f t="array" ref="AO13">IF(AO$1=0,"",SQRT((_xlfn.XLOOKUP(AO$1,$Z$2:$Z$18,$AA$2:$AA$18)-$T13)^2+(_xlfn.XLOOKUP(AO$1,$Z$2:$Z$18,$AB$2:$AB$18)-$U13)^2+(_xlfn.XLOOKUP(AO$1,$Z$2:$Z$18,$AC$2:$AC$18-$V13)^2)))</f>
        <v/>
      </c>
      <c r="AP13" s="151" t="str">
        <f t="array" ref="AP13">IF(AP$1=0,"",SQRT((_xlfn.XLOOKUP(AP$1,$Z$2:$Z$18,$AA$2:$AA$18)-$T13)^2+(_xlfn.XLOOKUP(AP$1,$Z$2:$Z$18,$AB$2:$AB$18)-$U13)^2+(_xlfn.XLOOKUP(AP$1,$Z$2:$Z$18,$AC$2:$AC$18-$V13)^2)))</f>
        <v/>
      </c>
      <c r="AQ13" s="151" t="str">
        <f t="array" ref="AQ13">IF(AQ$1=0,"",SQRT((_xlfn.XLOOKUP(AQ$1,$Z$2:$Z$18,$AA$2:$AA$18)-$T13)^2+(_xlfn.XLOOKUP(AQ$1,$Z$2:$Z$18,$AB$2:$AB$18)-$U13)^2+(_xlfn.XLOOKUP(AQ$1,$Z$2:$Z$18,$AC$2:$AC$18-$V13)^2)))</f>
        <v/>
      </c>
      <c r="AR13" s="151" t="str">
        <f t="array" ref="AR13">IF(AR$1=0,"",SQRT((_xlfn.XLOOKUP(AR$1,$Z$2:$Z$18,$AA$2:$AA$18)-$T13)^2+(_xlfn.XLOOKUP(AR$1,$Z$2:$Z$18,$AB$2:$AB$18)-$U13)^2+(_xlfn.XLOOKUP(AR$1,$Z$2:$Z$18,$AC$2:$AC$18-$V13)^2)))</f>
        <v/>
      </c>
      <c r="AS13" s="151" t="str">
        <f t="array" ref="AS13">IF(AS$1=0,"",SQRT((_xlfn.XLOOKUP(AS$1,$Z$2:$Z$18,$AA$2:$AA$18)-$T13)^2+(_xlfn.XLOOKUP(AS$1,$Z$2:$Z$18,$AB$2:$AB$18)-$U13)^2+(_xlfn.XLOOKUP(AS$1,$Z$2:$Z$18,$AC$2:$AC$18-$V13)^2)))</f>
        <v/>
      </c>
      <c r="AT13" s="151" t="str">
        <f t="array" ref="AT13">IF(AT$1=0,"",SQRT((_xlfn.XLOOKUP(AT$1,$Z$2:$Z$18,$AA$2:$AA$18)-$T13)^2+(_xlfn.XLOOKUP(AT$1,$Z$2:$Z$18,$AB$2:$AB$18)-$U13)^2+(_xlfn.XLOOKUP(AT$1,$Z$2:$Z$18,$AC$2:$AC$18-$V13)^2)))</f>
        <v/>
      </c>
      <c r="AU13" s="151" t="str">
        <f t="array" ref="AU13">IF(AU$1=0,"",SQRT((_xlfn.XLOOKUP(AU$1,$Z$2:$Z$18,$AA$2:$AA$18)-$T13)^2+(_xlfn.XLOOKUP(AU$1,$Z$2:$Z$18,$AB$2:$AB$18)-$U13)^2+(_xlfn.XLOOKUP(AU$1,$Z$2:$Z$18,$AC$2:$AC$18-$V13)^2)))</f>
        <v/>
      </c>
      <c r="AV13" s="152" t="str">
        <f t="array" ref="AV13">IF(AV$1=0,"",SQRT((_xlfn.XLOOKUP(AV$1,$Z$2:$Z$18,$AA$2:$AA$18)-$T13)^2+(_xlfn.XLOOKUP(AV$1,$Z$2:$Z$18,$AB$2:$AB$18)-$U13)^2+(_xlfn.XLOOKUP(AV$1,$Z$2:$Z$18,$AC$2:$AC$18-$V13)^2)))</f>
        <v/>
      </c>
      <c r="AW13" s="134"/>
      <c r="AX13" s="134"/>
      <c r="AY13" s="135">
        <f t="shared" si="4"/>
        <v>-40.944594767551621</v>
      </c>
      <c r="AZ13" s="153">
        <f t="shared" si="5"/>
        <v>-38.628019014687453</v>
      </c>
      <c r="BA13" s="153">
        <f t="shared" si="6"/>
        <v>-39.595555614332</v>
      </c>
      <c r="BB13" s="153">
        <f t="shared" si="7"/>
        <v>-41.716983308692434</v>
      </c>
      <c r="BC13" s="153">
        <f t="shared" si="8"/>
        <v>-42.550474614659713</v>
      </c>
      <c r="BD13" s="153">
        <f t="shared" si="9"/>
        <v>0</v>
      </c>
      <c r="BE13" s="153">
        <f t="shared" si="10"/>
        <v>0</v>
      </c>
      <c r="BF13" s="153">
        <f t="shared" si="11"/>
        <v>0</v>
      </c>
      <c r="BG13" s="154">
        <f t="shared" si="12"/>
        <v>0</v>
      </c>
      <c r="BH13" s="154">
        <f t="shared" si="13"/>
        <v>0</v>
      </c>
      <c r="BI13" s="154">
        <f t="shared" si="14"/>
        <v>0</v>
      </c>
      <c r="BJ13" s="154">
        <f t="shared" si="15"/>
        <v>0</v>
      </c>
      <c r="BK13" s="154">
        <f t="shared" si="16"/>
        <v>0</v>
      </c>
      <c r="BL13" s="154">
        <f t="shared" si="17"/>
        <v>0</v>
      </c>
      <c r="BM13" s="155">
        <f t="shared" si="18"/>
        <v>0</v>
      </c>
      <c r="BN13" s="134"/>
      <c r="BO13" s="41" t="s">
        <v>43</v>
      </c>
      <c r="BP13" s="166">
        <f>SQRT((BP21-BS4)^2+(BP9)^2)</f>
        <v>28.245170489647123</v>
      </c>
      <c r="BQ13" s="46" t="s">
        <v>44</v>
      </c>
      <c r="BR13" s="121">
        <f>(BR8*BR12)+BR10</f>
        <v>94.28366873075052</v>
      </c>
      <c r="BS13" s="167">
        <f>(BS8*BS12)+BS10</f>
        <v>94.28366873075052</v>
      </c>
      <c r="BT13" s="134"/>
      <c r="BU13" s="134"/>
      <c r="BV13" s="140">
        <v>8</v>
      </c>
      <c r="BW13" s="140">
        <v>14</v>
      </c>
      <c r="BX13" s="140">
        <v>15</v>
      </c>
      <c r="BY13" s="140">
        <v>8</v>
      </c>
      <c r="BZ13" s="140">
        <v>4</v>
      </c>
      <c r="CA13" s="140"/>
      <c r="CB13" s="140"/>
      <c r="CC13" s="140"/>
      <c r="CD13" s="140"/>
      <c r="CE13" s="140"/>
      <c r="CF13" s="140"/>
      <c r="CG13" s="140"/>
      <c r="CH13" s="140"/>
      <c r="CI13" s="140"/>
      <c r="CJ13" s="140"/>
      <c r="CK13" s="134"/>
      <c r="CL13" s="134"/>
      <c r="CM13" s="156">
        <f t="shared" si="35"/>
        <v>30.076005145728004</v>
      </c>
      <c r="CN13" s="157">
        <f t="shared" si="36"/>
        <v>26.392580898592172</v>
      </c>
      <c r="CO13" s="157">
        <f t="shared" si="37"/>
        <v>24.425044298947626</v>
      </c>
      <c r="CP13" s="157">
        <f t="shared" si="38"/>
        <v>29.303616604587191</v>
      </c>
      <c r="CQ13" s="157">
        <f t="shared" si="39"/>
        <v>32.470125298619912</v>
      </c>
      <c r="CR13" s="157" t="str">
        <f t="shared" si="40"/>
        <v/>
      </c>
      <c r="CS13" s="157" t="str">
        <f t="shared" si="41"/>
        <v/>
      </c>
      <c r="CT13" s="157" t="str">
        <f t="shared" si="42"/>
        <v/>
      </c>
      <c r="CU13" s="158" t="str">
        <f t="shared" si="43"/>
        <v/>
      </c>
      <c r="CV13" s="158" t="str">
        <f t="shared" si="44"/>
        <v/>
      </c>
      <c r="CW13" s="158" t="str">
        <f t="shared" si="45"/>
        <v/>
      </c>
      <c r="CX13" s="158" t="str">
        <f t="shared" si="46"/>
        <v/>
      </c>
      <c r="CY13" s="143" t="str">
        <f t="shared" si="47"/>
        <v/>
      </c>
      <c r="CZ13" s="143" t="str">
        <f t="shared" si="48"/>
        <v/>
      </c>
      <c r="DA13" s="144" t="str">
        <f t="shared" si="49"/>
        <v/>
      </c>
    </row>
    <row r="14" spans="1:121" ht="17.25" customHeight="1" thickBot="1" x14ac:dyDescent="0.35">
      <c r="A14" s="145">
        <v>4</v>
      </c>
      <c r="B14" s="146" t="s">
        <v>177</v>
      </c>
      <c r="C14" s="146" t="s">
        <v>143</v>
      </c>
      <c r="D14" s="147" t="s">
        <v>122</v>
      </c>
      <c r="E14" s="202" t="s">
        <v>140</v>
      </c>
      <c r="F14" s="210"/>
      <c r="G14" s="211"/>
      <c r="H14" s="211"/>
      <c r="I14" s="211"/>
      <c r="J14" s="211"/>
      <c r="K14" s="211"/>
      <c r="L14" s="211"/>
      <c r="M14" s="215"/>
      <c r="N14" s="210">
        <v>58</v>
      </c>
      <c r="O14" s="212">
        <v>5</v>
      </c>
      <c r="P14" s="205">
        <v>1</v>
      </c>
      <c r="Q14" s="128">
        <f t="shared" si="34"/>
        <v>79.020599913279625</v>
      </c>
      <c r="R14" s="3">
        <v>2</v>
      </c>
      <c r="S14" s="3"/>
      <c r="T14" s="4">
        <v>156.19</v>
      </c>
      <c r="U14" s="4">
        <v>104.51</v>
      </c>
      <c r="V14" s="109">
        <f t="shared" si="3"/>
        <v>74</v>
      </c>
      <c r="W14" s="81">
        <v>70</v>
      </c>
      <c r="X14" s="148">
        <v>4</v>
      </c>
      <c r="Z14" s="9"/>
      <c r="AA14" s="4"/>
      <c r="AB14" s="4"/>
      <c r="AC14" s="87"/>
      <c r="AD14" s="8"/>
      <c r="AE14" s="2" t="str">
        <v/>
      </c>
      <c r="AH14" s="149">
        <f t="array" ref="AH14">IF(AH$1=0,"",SQRT((_xlfn.XLOOKUP(AH$1,$Z$2:$Z$18,$AA$2:$AA$18)-$T14)^2+(_xlfn.XLOOKUP(AH$1,$Z$2:$Z$18,$AB$2:$AB$18)-$U14)^2+(_xlfn.XLOOKUP(AH$1,$Z$2:$Z$18,$AC$2:$AC$18-$V14)^2)))</f>
        <v>124.67838706046849</v>
      </c>
      <c r="AI14" s="150">
        <f t="array" ref="AI14">IF(AI$1=0,"",SQRT((_xlfn.XLOOKUP(AI$1,$Z$2:$Z$18,$AA$2:$AA$18)-$T14)^2+(_xlfn.XLOOKUP(AI$1,$Z$2:$Z$18,$AB$2:$AB$18)-$U14)^2+(_xlfn.XLOOKUP(AI$1,$Z$2:$Z$18,$AC$2:$AC$18-$V14)^2)))</f>
        <v>80.576004492652771</v>
      </c>
      <c r="AJ14" s="150">
        <f t="array" ref="AJ14">IF(AJ$1=0,"",SQRT((_xlfn.XLOOKUP(AJ$1,$Z$2:$Z$18,$AA$2:$AA$18)-$T14)^2+(_xlfn.XLOOKUP(AJ$1,$Z$2:$Z$18,$AB$2:$AB$18)-$U14)^2+(_xlfn.XLOOKUP(AJ$1,$Z$2:$Z$18,$AC$2:$AC$18-$V14)^2)))</f>
        <v>103.05684111207756</v>
      </c>
      <c r="AK14" s="150">
        <f t="array" ref="AK14">IF(AK$1=0,"",SQRT((_xlfn.XLOOKUP(AK$1,$Z$2:$Z$18,$AA$2:$AA$18)-$T14)^2+(_xlfn.XLOOKUP(AK$1,$Z$2:$Z$18,$AB$2:$AB$18)-$U14)^2+(_xlfn.XLOOKUP(AK$1,$Z$2:$Z$18,$AC$2:$AC$18-$V14)^2)))</f>
        <v>165.2071744810134</v>
      </c>
      <c r="AL14" s="150">
        <f t="array" ref="AL14">IF(AL$1=0,"",SQRT((_xlfn.XLOOKUP(AL$1,$Z$2:$Z$18,$AA$2:$AA$18)-$T14)^2+(_xlfn.XLOOKUP(AL$1,$Z$2:$Z$18,$AB$2:$AB$18)-$U14)^2+(_xlfn.XLOOKUP(AL$1,$Z$2:$Z$18,$AC$2:$AC$18-$V14)^2)))</f>
        <v>181.5062092601793</v>
      </c>
      <c r="AM14" s="150" t="str">
        <f t="array" ref="AM14">IF(AM$1=0,"",SQRT((_xlfn.XLOOKUP(AM$1,$Z$2:$Z$18,$AA$2:$AA$18)-$T14)^2+(_xlfn.XLOOKUP(AM$1,$Z$2:$Z$18,$AB$2:$AB$18)-$U14)^2+(_xlfn.XLOOKUP(AM$1,$Z$2:$Z$18,$AC$2:$AC$18-$V14)^2)))</f>
        <v/>
      </c>
      <c r="AN14" s="150" t="str">
        <f t="array" ref="AN14">IF(AN$1=0,"",SQRT((_xlfn.XLOOKUP(AN$1,$Z$2:$Z$18,$AA$2:$AA$18)-$T14)^2+(_xlfn.XLOOKUP(AN$1,$Z$2:$Z$18,$AB$2:$AB$18)-$U14)^2+(_xlfn.XLOOKUP(AN$1,$Z$2:$Z$18,$AC$2:$AC$18-$V14)^2)))</f>
        <v/>
      </c>
      <c r="AO14" s="150" t="str">
        <f t="array" ref="AO14">IF(AO$1=0,"",SQRT((_xlfn.XLOOKUP(AO$1,$Z$2:$Z$18,$AA$2:$AA$18)-$T14)^2+(_xlfn.XLOOKUP(AO$1,$Z$2:$Z$18,$AB$2:$AB$18)-$U14)^2+(_xlfn.XLOOKUP(AO$1,$Z$2:$Z$18,$AC$2:$AC$18-$V14)^2)))</f>
        <v/>
      </c>
      <c r="AP14" s="151" t="str">
        <f t="array" ref="AP14">IF(AP$1=0,"",SQRT((_xlfn.XLOOKUP(AP$1,$Z$2:$Z$18,$AA$2:$AA$18)-$T14)^2+(_xlfn.XLOOKUP(AP$1,$Z$2:$Z$18,$AB$2:$AB$18)-$U14)^2+(_xlfn.XLOOKUP(AP$1,$Z$2:$Z$18,$AC$2:$AC$18-$V14)^2)))</f>
        <v/>
      </c>
      <c r="AQ14" s="151" t="str">
        <f t="array" ref="AQ14">IF(AQ$1=0,"",SQRT((_xlfn.XLOOKUP(AQ$1,$Z$2:$Z$18,$AA$2:$AA$18)-$T14)^2+(_xlfn.XLOOKUP(AQ$1,$Z$2:$Z$18,$AB$2:$AB$18)-$U14)^2+(_xlfn.XLOOKUP(AQ$1,$Z$2:$Z$18,$AC$2:$AC$18-$V14)^2)))</f>
        <v/>
      </c>
      <c r="AR14" s="151" t="str">
        <f t="array" ref="AR14">IF(AR$1=0,"",SQRT((_xlfn.XLOOKUP(AR$1,$Z$2:$Z$18,$AA$2:$AA$18)-$T14)^2+(_xlfn.XLOOKUP(AR$1,$Z$2:$Z$18,$AB$2:$AB$18)-$U14)^2+(_xlfn.XLOOKUP(AR$1,$Z$2:$Z$18,$AC$2:$AC$18-$V14)^2)))</f>
        <v/>
      </c>
      <c r="AS14" s="151" t="str">
        <f t="array" ref="AS14">IF(AS$1=0,"",SQRT((_xlfn.XLOOKUP(AS$1,$Z$2:$Z$18,$AA$2:$AA$18)-$T14)^2+(_xlfn.XLOOKUP(AS$1,$Z$2:$Z$18,$AB$2:$AB$18)-$U14)^2+(_xlfn.XLOOKUP(AS$1,$Z$2:$Z$18,$AC$2:$AC$18-$V14)^2)))</f>
        <v/>
      </c>
      <c r="AT14" s="151" t="str">
        <f t="array" ref="AT14">IF(AT$1=0,"",SQRT((_xlfn.XLOOKUP(AT$1,$Z$2:$Z$18,$AA$2:$AA$18)-$T14)^2+(_xlfn.XLOOKUP(AT$1,$Z$2:$Z$18,$AB$2:$AB$18)-$U14)^2+(_xlfn.XLOOKUP(AT$1,$Z$2:$Z$18,$AC$2:$AC$18-$V14)^2)))</f>
        <v/>
      </c>
      <c r="AU14" s="151" t="str">
        <f t="array" ref="AU14">IF(AU$1=0,"",SQRT((_xlfn.XLOOKUP(AU$1,$Z$2:$Z$18,$AA$2:$AA$18)-$T14)^2+(_xlfn.XLOOKUP(AU$1,$Z$2:$Z$18,$AB$2:$AB$18)-$U14)^2+(_xlfn.XLOOKUP(AU$1,$Z$2:$Z$18,$AC$2:$AC$18-$V14)^2)))</f>
        <v/>
      </c>
      <c r="AV14" s="152" t="str">
        <f t="array" ref="AV14">IF(AV$1=0,"",SQRT((_xlfn.XLOOKUP(AV$1,$Z$2:$Z$18,$AA$2:$AA$18)-$T14)^2+(_xlfn.XLOOKUP(AV$1,$Z$2:$Z$18,$AB$2:$AB$18)-$U14)^2+(_xlfn.XLOOKUP(AV$1,$Z$2:$Z$18,$AC$2:$AC$18-$V14)^2)))</f>
        <v/>
      </c>
      <c r="AW14" s="134"/>
      <c r="AX14" s="134"/>
      <c r="AY14" s="135">
        <f t="shared" si="4"/>
        <v>-39.577921442126105</v>
      </c>
      <c r="AZ14" s="153">
        <f t="shared" si="5"/>
        <v>-35.786212503064036</v>
      </c>
      <c r="BA14" s="153">
        <f t="shared" si="6"/>
        <v>-37.923634464498747</v>
      </c>
      <c r="BB14" s="153">
        <f t="shared" si="7"/>
        <v>-42.022676008466853</v>
      </c>
      <c r="BC14" s="153">
        <f t="shared" si="8"/>
        <v>-42.839927670524496</v>
      </c>
      <c r="BD14" s="153">
        <f t="shared" si="9"/>
        <v>0</v>
      </c>
      <c r="BE14" s="153">
        <f t="shared" si="10"/>
        <v>0</v>
      </c>
      <c r="BF14" s="153">
        <f t="shared" si="11"/>
        <v>0</v>
      </c>
      <c r="BG14" s="154">
        <f t="shared" si="12"/>
        <v>0</v>
      </c>
      <c r="BH14" s="154">
        <f t="shared" si="13"/>
        <v>0</v>
      </c>
      <c r="BI14" s="154">
        <f t="shared" si="14"/>
        <v>0</v>
      </c>
      <c r="BJ14" s="154">
        <f t="shared" si="15"/>
        <v>0</v>
      </c>
      <c r="BK14" s="154">
        <f t="shared" si="16"/>
        <v>0</v>
      </c>
      <c r="BL14" s="154">
        <f t="shared" si="17"/>
        <v>0</v>
      </c>
      <c r="BM14" s="155">
        <f t="shared" si="18"/>
        <v>0</v>
      </c>
      <c r="BN14" s="134"/>
      <c r="BO14" s="49" t="s">
        <v>45</v>
      </c>
      <c r="BP14" s="165">
        <f>SQRT((BP21-BS5)^2+(BP10)^2)</f>
        <v>45.139889768619959</v>
      </c>
      <c r="BQ14" s="21"/>
      <c r="BR14" s="21" t="s">
        <v>46</v>
      </c>
      <c r="BS14" s="21" t="s">
        <v>47</v>
      </c>
      <c r="BT14" s="134"/>
      <c r="BU14" s="134"/>
      <c r="BV14" s="140">
        <v>6</v>
      </c>
      <c r="BW14" s="140">
        <v>8</v>
      </c>
      <c r="BX14" s="140">
        <v>12</v>
      </c>
      <c r="BY14" s="140">
        <v>10</v>
      </c>
      <c r="BZ14" s="140">
        <v>8</v>
      </c>
      <c r="CA14" s="140"/>
      <c r="CB14" s="140"/>
      <c r="CC14" s="140"/>
      <c r="CD14" s="140"/>
      <c r="CE14" s="140"/>
      <c r="CF14" s="140"/>
      <c r="CG14" s="140"/>
      <c r="CH14" s="140"/>
      <c r="CI14" s="140"/>
      <c r="CJ14" s="140"/>
      <c r="CK14" s="134"/>
      <c r="CL14" s="134"/>
      <c r="CM14" s="156">
        <f t="shared" si="35"/>
        <v>33.442678471153521</v>
      </c>
      <c r="CN14" s="157">
        <f t="shared" si="36"/>
        <v>35.234387410215589</v>
      </c>
      <c r="CO14" s="157">
        <f t="shared" si="37"/>
        <v>29.096965448780878</v>
      </c>
      <c r="CP14" s="157">
        <f t="shared" si="38"/>
        <v>26.997923904812772</v>
      </c>
      <c r="CQ14" s="157">
        <f t="shared" si="39"/>
        <v>28.180672242755129</v>
      </c>
      <c r="CR14" s="157" t="str">
        <f t="shared" si="40"/>
        <v/>
      </c>
      <c r="CS14" s="157" t="str">
        <f t="shared" si="41"/>
        <v/>
      </c>
      <c r="CT14" s="157" t="str">
        <f t="shared" si="42"/>
        <v/>
      </c>
      <c r="CU14" s="158" t="str">
        <f t="shared" si="43"/>
        <v/>
      </c>
      <c r="CV14" s="158" t="str">
        <f t="shared" si="44"/>
        <v/>
      </c>
      <c r="CW14" s="158" t="str">
        <f t="shared" si="45"/>
        <v/>
      </c>
      <c r="CX14" s="158" t="str">
        <f t="shared" si="46"/>
        <v/>
      </c>
      <c r="CY14" s="143" t="str">
        <f t="shared" si="47"/>
        <v/>
      </c>
      <c r="CZ14" s="143" t="str">
        <f t="shared" si="48"/>
        <v/>
      </c>
      <c r="DA14" s="144" t="str">
        <f t="shared" si="49"/>
        <v/>
      </c>
    </row>
    <row r="15" spans="1:121" ht="17.25" customHeight="1" thickBot="1" x14ac:dyDescent="0.35">
      <c r="A15" s="145">
        <v>2</v>
      </c>
      <c r="B15" s="146" t="s">
        <v>144</v>
      </c>
      <c r="C15" s="146" t="s">
        <v>143</v>
      </c>
      <c r="D15" s="147" t="s">
        <v>122</v>
      </c>
      <c r="E15" s="202" t="s">
        <v>140</v>
      </c>
      <c r="F15" s="210"/>
      <c r="G15" s="211"/>
      <c r="H15" s="211"/>
      <c r="I15" s="211"/>
      <c r="J15" s="211"/>
      <c r="K15" s="211"/>
      <c r="L15" s="211"/>
      <c r="M15" s="215"/>
      <c r="N15" s="210">
        <v>58</v>
      </c>
      <c r="O15" s="212">
        <v>5</v>
      </c>
      <c r="P15" s="205">
        <v>1</v>
      </c>
      <c r="Q15" s="128">
        <f t="shared" si="34"/>
        <v>76.010299956639813</v>
      </c>
      <c r="R15" s="3">
        <v>2</v>
      </c>
      <c r="S15" s="3"/>
      <c r="T15" s="4">
        <v>143.32</v>
      </c>
      <c r="U15" s="4">
        <v>101.28</v>
      </c>
      <c r="V15" s="109">
        <f t="shared" si="3"/>
        <v>74</v>
      </c>
      <c r="W15" s="81">
        <v>70</v>
      </c>
      <c r="X15" s="148">
        <v>4</v>
      </c>
      <c r="Z15" s="9"/>
      <c r="AA15" s="4"/>
      <c r="AB15" s="4"/>
      <c r="AC15" s="87"/>
      <c r="AD15" s="8"/>
      <c r="AE15" s="2" t="str">
        <v/>
      </c>
      <c r="AH15" s="149">
        <f t="array" ref="AH15">IF(AH$1=0,"",SQRT((_xlfn.XLOOKUP(AH$1,$Z$2:$Z$18,$AA$2:$AA$18)-$T15)^2+(_xlfn.XLOOKUP(AH$1,$Z$2:$Z$18,$AB$2:$AB$18)-$U15)^2+(_xlfn.XLOOKUP(AH$1,$Z$2:$Z$18,$AC$2:$AC$18-$V15)^2)))</f>
        <v>111.5124979542652</v>
      </c>
      <c r="AI15" s="150">
        <f t="array" ref="AI15">IF(AI$1=0,"",SQRT((_xlfn.XLOOKUP(AI$1,$Z$2:$Z$18,$AA$2:$AA$18)-$T15)^2+(_xlfn.XLOOKUP(AI$1,$Z$2:$Z$18,$AB$2:$AB$18)-$U15)^2+(_xlfn.XLOOKUP(AI$1,$Z$2:$Z$18,$AC$2:$AC$18-$V15)^2)))</f>
        <v>70.759523034005809</v>
      </c>
      <c r="AJ15" s="150">
        <f t="array" ref="AJ15">IF(AJ$1=0,"",SQRT((_xlfn.XLOOKUP(AJ$1,$Z$2:$Z$18,$AA$2:$AA$18)-$T15)^2+(_xlfn.XLOOKUP(AJ$1,$Z$2:$Z$18,$AB$2:$AB$18)-$U15)^2+(_xlfn.XLOOKUP(AJ$1,$Z$2:$Z$18,$AC$2:$AC$18-$V15)^2)))</f>
        <v>108.77731610956394</v>
      </c>
      <c r="AK15" s="150">
        <f t="array" ref="AK15">IF(AK$1=0,"",SQRT((_xlfn.XLOOKUP(AK$1,$Z$2:$Z$18,$AA$2:$AA$18)-$T15)^2+(_xlfn.XLOOKUP(AK$1,$Z$2:$Z$18,$AB$2:$AB$18)-$U15)^2+(_xlfn.XLOOKUP(AK$1,$Z$2:$Z$18,$AC$2:$AC$18-$V15)^2)))</f>
        <v>177.45169624435832</v>
      </c>
      <c r="AL15" s="150">
        <f t="array" ref="AL15">IF(AL$1=0,"",SQRT((_xlfn.XLOOKUP(AL$1,$Z$2:$Z$18,$AA$2:$AA$18)-$T15)^2+(_xlfn.XLOOKUP(AL$1,$Z$2:$Z$18,$AB$2:$AB$18)-$U15)^2+(_xlfn.XLOOKUP(AL$1,$Z$2:$Z$18,$AC$2:$AC$18-$V15)^2)))</f>
        <v>173.70299536853128</v>
      </c>
      <c r="AM15" s="150" t="str">
        <f t="array" ref="AM15">IF(AM$1=0,"",SQRT((_xlfn.XLOOKUP(AM$1,$Z$2:$Z$18,$AA$2:$AA$18)-$T15)^2+(_xlfn.XLOOKUP(AM$1,$Z$2:$Z$18,$AB$2:$AB$18)-$U15)^2+(_xlfn.XLOOKUP(AM$1,$Z$2:$Z$18,$AC$2:$AC$18-$V15)^2)))</f>
        <v/>
      </c>
      <c r="AN15" s="150" t="str">
        <f t="array" ref="AN15">IF(AN$1=0,"",SQRT((_xlfn.XLOOKUP(AN$1,$Z$2:$Z$18,$AA$2:$AA$18)-$T15)^2+(_xlfn.XLOOKUP(AN$1,$Z$2:$Z$18,$AB$2:$AB$18)-$U15)^2+(_xlfn.XLOOKUP(AN$1,$Z$2:$Z$18,$AC$2:$AC$18-$V15)^2)))</f>
        <v/>
      </c>
      <c r="AO15" s="150" t="str">
        <f t="array" ref="AO15">IF(AO$1=0,"",SQRT((_xlfn.XLOOKUP(AO$1,$Z$2:$Z$18,$AA$2:$AA$18)-$T15)^2+(_xlfn.XLOOKUP(AO$1,$Z$2:$Z$18,$AB$2:$AB$18)-$U15)^2+(_xlfn.XLOOKUP(AO$1,$Z$2:$Z$18,$AC$2:$AC$18-$V15)^2)))</f>
        <v/>
      </c>
      <c r="AP15" s="151" t="str">
        <f t="array" ref="AP15">IF(AP$1=0,"",SQRT((_xlfn.XLOOKUP(AP$1,$Z$2:$Z$18,$AA$2:$AA$18)-$T15)^2+(_xlfn.XLOOKUP(AP$1,$Z$2:$Z$18,$AB$2:$AB$18)-$U15)^2+(_xlfn.XLOOKUP(AP$1,$Z$2:$Z$18,$AC$2:$AC$18-$V15)^2)))</f>
        <v/>
      </c>
      <c r="AQ15" s="151" t="str">
        <f t="array" ref="AQ15">IF(AQ$1=0,"",SQRT((_xlfn.XLOOKUP(AQ$1,$Z$2:$Z$18,$AA$2:$AA$18)-$T15)^2+(_xlfn.XLOOKUP(AQ$1,$Z$2:$Z$18,$AB$2:$AB$18)-$U15)^2+(_xlfn.XLOOKUP(AQ$1,$Z$2:$Z$18,$AC$2:$AC$18-$V15)^2)))</f>
        <v/>
      </c>
      <c r="AR15" s="151" t="str">
        <f t="array" ref="AR15">IF(AR$1=0,"",SQRT((_xlfn.XLOOKUP(AR$1,$Z$2:$Z$18,$AA$2:$AA$18)-$T15)^2+(_xlfn.XLOOKUP(AR$1,$Z$2:$Z$18,$AB$2:$AB$18)-$U15)^2+(_xlfn.XLOOKUP(AR$1,$Z$2:$Z$18,$AC$2:$AC$18-$V15)^2)))</f>
        <v/>
      </c>
      <c r="AS15" s="151" t="str">
        <f t="array" ref="AS15">IF(AS$1=0,"",SQRT((_xlfn.XLOOKUP(AS$1,$Z$2:$Z$18,$AA$2:$AA$18)-$T15)^2+(_xlfn.XLOOKUP(AS$1,$Z$2:$Z$18,$AB$2:$AB$18)-$U15)^2+(_xlfn.XLOOKUP(AS$1,$Z$2:$Z$18,$AC$2:$AC$18-$V15)^2)))</f>
        <v/>
      </c>
      <c r="AT15" s="151" t="str">
        <f t="array" ref="AT15">IF(AT$1=0,"",SQRT((_xlfn.XLOOKUP(AT$1,$Z$2:$Z$18,$AA$2:$AA$18)-$T15)^2+(_xlfn.XLOOKUP(AT$1,$Z$2:$Z$18,$AB$2:$AB$18)-$U15)^2+(_xlfn.XLOOKUP(AT$1,$Z$2:$Z$18,$AC$2:$AC$18-$V15)^2)))</f>
        <v/>
      </c>
      <c r="AU15" s="151" t="str">
        <f t="array" ref="AU15">IF(AU$1=0,"",SQRT((_xlfn.XLOOKUP(AU$1,$Z$2:$Z$18,$AA$2:$AA$18)-$T15)^2+(_xlfn.XLOOKUP(AU$1,$Z$2:$Z$18,$AB$2:$AB$18)-$U15)^2+(_xlfn.XLOOKUP(AU$1,$Z$2:$Z$18,$AC$2:$AC$18-$V15)^2)))</f>
        <v/>
      </c>
      <c r="AV15" s="152" t="str">
        <f t="array" ref="AV15">IF(AV$1=0,"",SQRT((_xlfn.XLOOKUP(AV$1,$Z$2:$Z$18,$AA$2:$AA$18)-$T15)^2+(_xlfn.XLOOKUP(AV$1,$Z$2:$Z$18,$AB$2:$AB$18)-$U15)^2+(_xlfn.XLOOKUP(AV$1,$Z$2:$Z$18,$AC$2:$AC$18-$V15)^2)))</f>
        <v/>
      </c>
      <c r="AW15" s="134"/>
      <c r="AX15" s="134"/>
      <c r="AY15" s="135">
        <f t="shared" si="4"/>
        <v>-38.608568825135549</v>
      </c>
      <c r="AZ15" s="153">
        <f t="shared" si="5"/>
        <v>-34.657795873241383</v>
      </c>
      <c r="BA15" s="153">
        <f t="shared" si="6"/>
        <v>-38.392864719991117</v>
      </c>
      <c r="BB15" s="153">
        <f t="shared" si="7"/>
        <v>-42.643701038617472</v>
      </c>
      <c r="BC15" s="153">
        <f t="shared" si="8"/>
        <v>-42.458244088350845</v>
      </c>
      <c r="BD15" s="153">
        <f t="shared" si="9"/>
        <v>0</v>
      </c>
      <c r="BE15" s="153">
        <f t="shared" si="10"/>
        <v>0</v>
      </c>
      <c r="BF15" s="153">
        <f t="shared" si="11"/>
        <v>0</v>
      </c>
      <c r="BG15" s="154">
        <f t="shared" si="12"/>
        <v>0</v>
      </c>
      <c r="BH15" s="154">
        <f t="shared" si="13"/>
        <v>0</v>
      </c>
      <c r="BI15" s="154">
        <f t="shared" si="14"/>
        <v>0</v>
      </c>
      <c r="BJ15" s="154">
        <f t="shared" si="15"/>
        <v>0</v>
      </c>
      <c r="BK15" s="154">
        <f t="shared" si="16"/>
        <v>0</v>
      </c>
      <c r="BL15" s="154">
        <f t="shared" si="17"/>
        <v>0</v>
      </c>
      <c r="BM15" s="155">
        <f t="shared" si="18"/>
        <v>0</v>
      </c>
      <c r="BN15" s="134"/>
      <c r="BO15" s="134"/>
      <c r="BP15" s="134"/>
      <c r="BQ15" s="134"/>
      <c r="BR15" s="134"/>
      <c r="BS15" s="134"/>
      <c r="BT15" s="134"/>
      <c r="BU15" s="134"/>
      <c r="BV15" s="140">
        <v>6</v>
      </c>
      <c r="BW15" s="140">
        <v>8</v>
      </c>
      <c r="BX15" s="140">
        <v>12</v>
      </c>
      <c r="BY15" s="140">
        <v>11</v>
      </c>
      <c r="BZ15" s="140">
        <v>8</v>
      </c>
      <c r="CA15" s="140"/>
      <c r="CB15" s="140"/>
      <c r="CC15" s="140"/>
      <c r="CD15" s="140"/>
      <c r="CE15" s="140"/>
      <c r="CF15" s="140"/>
      <c r="CG15" s="140"/>
      <c r="CH15" s="140"/>
      <c r="CI15" s="140"/>
      <c r="CJ15" s="140"/>
      <c r="CK15" s="134"/>
      <c r="CL15" s="134"/>
      <c r="CM15" s="156">
        <f t="shared" si="35"/>
        <v>31.401731131504263</v>
      </c>
      <c r="CN15" s="157">
        <f t="shared" si="36"/>
        <v>33.352504083398429</v>
      </c>
      <c r="CO15" s="157">
        <f t="shared" si="37"/>
        <v>25.617435236648696</v>
      </c>
      <c r="CP15" s="157">
        <f t="shared" si="38"/>
        <v>22.366598918022341</v>
      </c>
      <c r="CQ15" s="157">
        <f t="shared" si="39"/>
        <v>25.552055868288967</v>
      </c>
      <c r="CR15" s="157" t="str">
        <f t="shared" si="40"/>
        <v/>
      </c>
      <c r="CS15" s="157" t="str">
        <f t="shared" si="41"/>
        <v/>
      </c>
      <c r="CT15" s="157" t="str">
        <f t="shared" si="42"/>
        <v/>
      </c>
      <c r="CU15" s="158" t="str">
        <f t="shared" si="43"/>
        <v/>
      </c>
      <c r="CV15" s="158" t="str">
        <f t="shared" si="44"/>
        <v/>
      </c>
      <c r="CW15" s="158" t="str">
        <f t="shared" si="45"/>
        <v/>
      </c>
      <c r="CX15" s="158" t="str">
        <f t="shared" si="46"/>
        <v/>
      </c>
      <c r="CY15" s="143" t="str">
        <f t="shared" si="47"/>
        <v/>
      </c>
      <c r="CZ15" s="143" t="str">
        <f t="shared" si="48"/>
        <v/>
      </c>
      <c r="DA15" s="144" t="str">
        <f t="shared" si="49"/>
        <v/>
      </c>
    </row>
    <row r="16" spans="1:121" ht="17.25" customHeight="1" thickBot="1" x14ac:dyDescent="0.35">
      <c r="A16" s="145">
        <v>2</v>
      </c>
      <c r="B16" s="146" t="s">
        <v>179</v>
      </c>
      <c r="C16" s="146" t="s">
        <v>143</v>
      </c>
      <c r="D16" s="147" t="s">
        <v>122</v>
      </c>
      <c r="E16" s="202" t="s">
        <v>140</v>
      </c>
      <c r="F16" s="210"/>
      <c r="G16" s="211"/>
      <c r="H16" s="211"/>
      <c r="I16" s="211"/>
      <c r="J16" s="211"/>
      <c r="K16" s="211"/>
      <c r="L16" s="211"/>
      <c r="M16" s="215"/>
      <c r="N16" s="210">
        <v>58</v>
      </c>
      <c r="O16" s="212">
        <v>5</v>
      </c>
      <c r="P16" s="205">
        <v>1</v>
      </c>
      <c r="Q16" s="128">
        <f t="shared" si="34"/>
        <v>76.010299956639813</v>
      </c>
      <c r="R16" s="3">
        <v>2</v>
      </c>
      <c r="S16" s="3"/>
      <c r="T16" s="4">
        <v>116.44</v>
      </c>
      <c r="U16" s="4">
        <v>96.13</v>
      </c>
      <c r="V16" s="109">
        <f t="shared" si="3"/>
        <v>74</v>
      </c>
      <c r="W16" s="81">
        <v>70</v>
      </c>
      <c r="X16" s="148">
        <v>4</v>
      </c>
      <c r="Z16" s="10"/>
      <c r="AA16" s="6"/>
      <c r="AB16" s="6"/>
      <c r="AC16" s="104"/>
      <c r="AD16" s="8"/>
      <c r="AE16" s="2" t="str">
        <v/>
      </c>
      <c r="AH16" s="168">
        <f t="array" ref="AH16">IF(AH$1=0,"",SQRT((_xlfn.XLOOKUP(AH$1,$Z$2:$Z$18,$AA$2:$AA$18)-$T16)^2+(_xlfn.XLOOKUP(AH$1,$Z$2:$Z$18,$AB$2:$AB$18)-$U16)^2+(_xlfn.XLOOKUP(AH$1,$Z$2:$Z$18,$AC$2:$AC$18-$V16)^2)))</f>
        <v>84.303295902354847</v>
      </c>
      <c r="AI16" s="150">
        <f t="array" ref="AI16">IF(AI$1=0,"",SQRT((_xlfn.XLOOKUP(AI$1,$Z$2:$Z$18,$AA$2:$AA$18)-$T16)^2+(_xlfn.XLOOKUP(AI$1,$Z$2:$Z$18,$AB$2:$AB$18)-$U16)^2+(_xlfn.XLOOKUP(AI$1,$Z$2:$Z$18,$AC$2:$AC$18-$V16)^2)))</f>
        <v>56.354254497775045</v>
      </c>
      <c r="AJ16" s="150">
        <f t="array" ref="AJ16">IF(AJ$1=0,"",SQRT((_xlfn.XLOOKUP(AJ$1,$Z$2:$Z$18,$AA$2:$AA$18)-$T16)^2+(_xlfn.XLOOKUP(AJ$1,$Z$2:$Z$18,$AB$2:$AB$18)-$U16)^2+(_xlfn.XLOOKUP(AJ$1,$Z$2:$Z$18,$AC$2:$AC$18-$V16)^2)))</f>
        <v>125.42608101985806</v>
      </c>
      <c r="AK16" s="150">
        <f t="array" ref="AK16">IF(AK$1=0,"",SQRT((_xlfn.XLOOKUP(AK$1,$Z$2:$Z$18,$AA$2:$AA$18)-$T16)^2+(_xlfn.XLOOKUP(AK$1,$Z$2:$Z$18,$AB$2:$AB$18)-$U16)^2+(_xlfn.XLOOKUP(AK$1,$Z$2:$Z$18,$AC$2:$AC$18-$V16)^2)))</f>
        <v>203.50909758534141</v>
      </c>
      <c r="AL16" s="150">
        <f t="array" ref="AL16">IF(AL$1=0,"",SQRT((_xlfn.XLOOKUP(AL$1,$Z$2:$Z$18,$AA$2:$AA$18)-$T16)^2+(_xlfn.XLOOKUP(AL$1,$Z$2:$Z$18,$AB$2:$AB$18)-$U16)^2+(_xlfn.XLOOKUP(AL$1,$Z$2:$Z$18,$AC$2:$AC$18-$V16)^2)))</f>
        <v>158.55968623833741</v>
      </c>
      <c r="AM16" s="150" t="str">
        <f t="array" ref="AM16">IF(AM$1=0,"",SQRT((_xlfn.XLOOKUP(AM$1,$Z$2:$Z$18,$AA$2:$AA$18)-$T16)^2+(_xlfn.XLOOKUP(AM$1,$Z$2:$Z$18,$AB$2:$AB$18)-$U16)^2+(_xlfn.XLOOKUP(AM$1,$Z$2:$Z$18,$AC$2:$AC$18-$V16)^2)))</f>
        <v/>
      </c>
      <c r="AN16" s="150" t="str">
        <f t="array" ref="AN16">IF(AN$1=0,"",SQRT((_xlfn.XLOOKUP(AN$1,$Z$2:$Z$18,$AA$2:$AA$18)-$T16)^2+(_xlfn.XLOOKUP(AN$1,$Z$2:$Z$18,$AB$2:$AB$18)-$U16)^2+(_xlfn.XLOOKUP(AN$1,$Z$2:$Z$18,$AC$2:$AC$18-$V16)^2)))</f>
        <v/>
      </c>
      <c r="AO16" s="150" t="str">
        <f t="array" ref="AO16">IF(AO$1=0,"",SQRT((_xlfn.XLOOKUP(AO$1,$Z$2:$Z$18,$AA$2:$AA$18)-$T16)^2+(_xlfn.XLOOKUP(AO$1,$Z$2:$Z$18,$AB$2:$AB$18)-$U16)^2+(_xlfn.XLOOKUP(AO$1,$Z$2:$Z$18,$AC$2:$AC$18-$V16)^2)))</f>
        <v/>
      </c>
      <c r="AP16" s="151" t="str">
        <f t="array" ref="AP16">IF(AP$1=0,"",SQRT((_xlfn.XLOOKUP(AP$1,$Z$2:$Z$18,$AA$2:$AA$18)-$T16)^2+(_xlfn.XLOOKUP(AP$1,$Z$2:$Z$18,$AB$2:$AB$18)-$U16)^2+(_xlfn.XLOOKUP(AP$1,$Z$2:$Z$18,$AC$2:$AC$18-$V16)^2)))</f>
        <v/>
      </c>
      <c r="AQ16" s="151" t="str">
        <f t="array" ref="AQ16">IF(AQ$1=0,"",SQRT((_xlfn.XLOOKUP(AQ$1,$Z$2:$Z$18,$AA$2:$AA$18)-$T16)^2+(_xlfn.XLOOKUP(AQ$1,$Z$2:$Z$18,$AB$2:$AB$18)-$U16)^2+(_xlfn.XLOOKUP(AQ$1,$Z$2:$Z$18,$AC$2:$AC$18-$V16)^2)))</f>
        <v/>
      </c>
      <c r="AR16" s="151" t="str">
        <f t="array" ref="AR16">IF(AR$1=0,"",SQRT((_xlfn.XLOOKUP(AR$1,$Z$2:$Z$18,$AA$2:$AA$18)-$T16)^2+(_xlfn.XLOOKUP(AR$1,$Z$2:$Z$18,$AB$2:$AB$18)-$U16)^2+(_xlfn.XLOOKUP(AR$1,$Z$2:$Z$18,$AC$2:$AC$18-$V16)^2)))</f>
        <v/>
      </c>
      <c r="AS16" s="151" t="str">
        <f t="array" ref="AS16">IF(AS$1=0,"",SQRT((_xlfn.XLOOKUP(AS$1,$Z$2:$Z$18,$AA$2:$AA$18)-$T16)^2+(_xlfn.XLOOKUP(AS$1,$Z$2:$Z$18,$AB$2:$AB$18)-$U16)^2+(_xlfn.XLOOKUP(AS$1,$Z$2:$Z$18,$AC$2:$AC$18-$V16)^2)))</f>
        <v/>
      </c>
      <c r="AT16" s="151" t="str">
        <f t="array" ref="AT16">IF(AT$1=0,"",SQRT((_xlfn.XLOOKUP(AT$1,$Z$2:$Z$18,$AA$2:$AA$18)-$T16)^2+(_xlfn.XLOOKUP(AT$1,$Z$2:$Z$18,$AB$2:$AB$18)-$U16)^2+(_xlfn.XLOOKUP(AT$1,$Z$2:$Z$18,$AC$2:$AC$18-$V16)^2)))</f>
        <v/>
      </c>
      <c r="AU16" s="151" t="str">
        <f t="array" ref="AU16">IF(AU$1=0,"",SQRT((_xlfn.XLOOKUP(AU$1,$Z$2:$Z$18,$AA$2:$AA$18)-$T16)^2+(_xlfn.XLOOKUP(AU$1,$Z$2:$Z$18,$AB$2:$AB$18)-$U16)^2+(_xlfn.XLOOKUP(AU$1,$Z$2:$Z$18,$AC$2:$AC$18-$V16)^2)))</f>
        <v/>
      </c>
      <c r="AV16" s="152" t="str">
        <f t="array" ref="AV16">IF(AV$1=0,"",SQRT((_xlfn.XLOOKUP(AV$1,$Z$2:$Z$18,$AA$2:$AA$18)-$T16)^2+(_xlfn.XLOOKUP(AV$1,$Z$2:$Z$18,$AB$2:$AB$18)-$U16)^2+(_xlfn.XLOOKUP(AV$1,$Z$2:$Z$18,$AC$2:$AC$18-$V16)^2)))</f>
        <v/>
      </c>
      <c r="AW16" s="134"/>
      <c r="AX16" s="134"/>
      <c r="AY16" s="135">
        <f t="shared" si="4"/>
        <v>-36.178989017618129</v>
      </c>
      <c r="AZ16" s="153">
        <f t="shared" si="5"/>
        <v>-32.680632115704789</v>
      </c>
      <c r="BA16" s="153">
        <f t="shared" si="6"/>
        <v>-39.629854993026818</v>
      </c>
      <c r="BB16" s="153">
        <f t="shared" si="7"/>
        <v>-43.833774507203714</v>
      </c>
      <c r="BC16" s="153">
        <f t="shared" si="8"/>
        <v>-41.66595349192928</v>
      </c>
      <c r="BD16" s="153">
        <f t="shared" si="9"/>
        <v>0</v>
      </c>
      <c r="BE16" s="153">
        <f t="shared" si="10"/>
        <v>0</v>
      </c>
      <c r="BF16" s="153">
        <f t="shared" si="11"/>
        <v>0</v>
      </c>
      <c r="BG16" s="154">
        <f t="shared" si="12"/>
        <v>0</v>
      </c>
      <c r="BH16" s="154">
        <f t="shared" si="13"/>
        <v>0</v>
      </c>
      <c r="BI16" s="154">
        <f t="shared" si="14"/>
        <v>0</v>
      </c>
      <c r="BJ16" s="154">
        <f t="shared" si="15"/>
        <v>0</v>
      </c>
      <c r="BK16" s="154">
        <f t="shared" si="16"/>
        <v>0</v>
      </c>
      <c r="BL16" s="154">
        <f t="shared" si="17"/>
        <v>0</v>
      </c>
      <c r="BM16" s="155">
        <f t="shared" si="18"/>
        <v>0</v>
      </c>
      <c r="BN16" s="134"/>
      <c r="BO16" s="42" t="s">
        <v>48</v>
      </c>
      <c r="BP16" s="119">
        <f>MIN(BS6:BS7)</f>
        <v>75.400000000000006</v>
      </c>
      <c r="BQ16" s="134"/>
      <c r="BR16" s="134"/>
      <c r="BS16" s="134"/>
      <c r="BT16" s="134"/>
      <c r="BU16" s="134"/>
      <c r="BV16" s="140">
        <v>6</v>
      </c>
      <c r="BW16" s="140">
        <v>9</v>
      </c>
      <c r="BX16" s="140">
        <v>11</v>
      </c>
      <c r="BY16" s="140">
        <v>13</v>
      </c>
      <c r="BZ16" s="140">
        <v>8</v>
      </c>
      <c r="CA16" s="140"/>
      <c r="CB16" s="140"/>
      <c r="CC16" s="140"/>
      <c r="CD16" s="140"/>
      <c r="CE16" s="140"/>
      <c r="CF16" s="140"/>
      <c r="CG16" s="140"/>
      <c r="CH16" s="140"/>
      <c r="CI16" s="140"/>
      <c r="CJ16" s="140"/>
      <c r="CK16" s="134"/>
      <c r="CL16" s="134"/>
      <c r="CM16" s="156">
        <f t="shared" si="35"/>
        <v>33.831310939021684</v>
      </c>
      <c r="CN16" s="157">
        <f t="shared" si="36"/>
        <v>34.329667840935024</v>
      </c>
      <c r="CO16" s="157">
        <f t="shared" si="37"/>
        <v>25.380444963612995</v>
      </c>
      <c r="CP16" s="157">
        <f t="shared" si="38"/>
        <v>19.176525449436099</v>
      </c>
      <c r="CQ16" s="157">
        <f t="shared" si="39"/>
        <v>26.344346464710533</v>
      </c>
      <c r="CR16" s="157" t="str">
        <f t="shared" si="40"/>
        <v/>
      </c>
      <c r="CS16" s="157" t="str">
        <f t="shared" si="41"/>
        <v/>
      </c>
      <c r="CT16" s="157" t="str">
        <f t="shared" si="42"/>
        <v/>
      </c>
      <c r="CU16" s="158" t="str">
        <f t="shared" si="43"/>
        <v/>
      </c>
      <c r="CV16" s="158" t="str">
        <f t="shared" si="44"/>
        <v/>
      </c>
      <c r="CW16" s="158" t="str">
        <f t="shared" si="45"/>
        <v/>
      </c>
      <c r="CX16" s="158" t="str">
        <f t="shared" si="46"/>
        <v/>
      </c>
      <c r="CY16" s="143" t="str">
        <f t="shared" si="47"/>
        <v/>
      </c>
      <c r="CZ16" s="143" t="str">
        <f t="shared" si="48"/>
        <v/>
      </c>
      <c r="DA16" s="144" t="str">
        <f t="shared" si="49"/>
        <v/>
      </c>
    </row>
    <row r="17" spans="1:105" ht="17.25" customHeight="1" thickBot="1" x14ac:dyDescent="0.35">
      <c r="A17" s="145">
        <v>4</v>
      </c>
      <c r="B17" s="146" t="s">
        <v>178</v>
      </c>
      <c r="C17" s="146" t="s">
        <v>143</v>
      </c>
      <c r="D17" s="147" t="s">
        <v>122</v>
      </c>
      <c r="E17" s="202" t="s">
        <v>140</v>
      </c>
      <c r="F17" s="210"/>
      <c r="G17" s="211"/>
      <c r="H17" s="211"/>
      <c r="I17" s="211"/>
      <c r="J17" s="211"/>
      <c r="K17" s="211"/>
      <c r="L17" s="211"/>
      <c r="M17" s="215"/>
      <c r="N17" s="210">
        <v>58</v>
      </c>
      <c r="O17" s="212">
        <v>5</v>
      </c>
      <c r="P17" s="205">
        <v>1</v>
      </c>
      <c r="Q17" s="128">
        <f t="shared" si="34"/>
        <v>79.020599913279625</v>
      </c>
      <c r="R17" s="3">
        <v>2</v>
      </c>
      <c r="S17" s="3"/>
      <c r="T17" s="4">
        <v>88.52</v>
      </c>
      <c r="U17" s="4">
        <v>90.33</v>
      </c>
      <c r="V17" s="109">
        <f t="shared" si="3"/>
        <v>74</v>
      </c>
      <c r="W17" s="81">
        <v>70</v>
      </c>
      <c r="X17" s="148">
        <v>4</v>
      </c>
      <c r="AH17" s="168">
        <f t="array" ref="AH17">IF(AH$1=0,"",SQRT((_xlfn.XLOOKUP(AH$1,$Z$2:$Z$18,$AA$2:$AA$18)-$T17)^2+(_xlfn.XLOOKUP(AH$1,$Z$2:$Z$18,$AB$2:$AB$18)-$U17)^2+(_xlfn.XLOOKUP(AH$1,$Z$2:$Z$18,$AC$2:$AC$18-$V17)^2)))</f>
        <v>56.166197129590316</v>
      </c>
      <c r="AI17" s="150">
        <f t="array" ref="AI17">IF(AI$1=0,"",SQRT((_xlfn.XLOOKUP(AI$1,$Z$2:$Z$18,$AA$2:$AA$18)-$T17)^2+(_xlfn.XLOOKUP(AI$1,$Z$2:$Z$18,$AB$2:$AB$18)-$U17)^2+(_xlfn.XLOOKUP(AI$1,$Z$2:$Z$18,$AC$2:$AC$18-$V17)^2)))</f>
        <v>53.15979307709916</v>
      </c>
      <c r="AJ17" s="150">
        <f t="array" ref="AJ17">IF(AJ$1=0,"",SQRT((_xlfn.XLOOKUP(AJ$1,$Z$2:$Z$18,$AA$2:$AA$18)-$T17)^2+(_xlfn.XLOOKUP(AJ$1,$Z$2:$Z$18,$AB$2:$AB$18)-$U17)^2+(_xlfn.XLOOKUP(AJ$1,$Z$2:$Z$18,$AC$2:$AC$18-$V17)^2)))</f>
        <v>145.96776698983922</v>
      </c>
      <c r="AK17" s="150">
        <f t="array" ref="AK17">IF(AK$1=0,"",SQRT((_xlfn.XLOOKUP(AK$1,$Z$2:$Z$18,$AA$2:$AA$18)-$T17)^2+(_xlfn.XLOOKUP(AK$1,$Z$2:$Z$18,$AB$2:$AB$18)-$U17)^2+(_xlfn.XLOOKUP(AK$1,$Z$2:$Z$18,$AC$2:$AC$18-$V17)^2)))</f>
        <v>230.88837995880175</v>
      </c>
      <c r="AL17" s="150">
        <f t="array" ref="AL17">IF(AL$1=0,"",SQRT((_xlfn.XLOOKUP(AL$1,$Z$2:$Z$18,$AA$2:$AA$18)-$T17)^2+(_xlfn.XLOOKUP(AL$1,$Z$2:$Z$18,$AB$2:$AB$18)-$U17)^2+(_xlfn.XLOOKUP(AL$1,$Z$2:$Z$18,$AC$2:$AC$18-$V17)^2)))</f>
        <v>147.01106795068188</v>
      </c>
      <c r="AM17" s="150" t="str">
        <f t="array" ref="AM17">IF(AM$1=0,"",SQRT((_xlfn.XLOOKUP(AM$1,$Z$2:$Z$18,$AA$2:$AA$18)-$T17)^2+(_xlfn.XLOOKUP(AM$1,$Z$2:$Z$18,$AB$2:$AB$18)-$U17)^2+(_xlfn.XLOOKUP(AM$1,$Z$2:$Z$18,$AC$2:$AC$18-$V17)^2)))</f>
        <v/>
      </c>
      <c r="AN17" s="150" t="str">
        <f t="array" ref="AN17">IF(AN$1=0,"",SQRT((_xlfn.XLOOKUP(AN$1,$Z$2:$Z$18,$AA$2:$AA$18)-$T17)^2+(_xlfn.XLOOKUP(AN$1,$Z$2:$Z$18,$AB$2:$AB$18)-$U17)^2+(_xlfn.XLOOKUP(AN$1,$Z$2:$Z$18,$AC$2:$AC$18-$V17)^2)))</f>
        <v/>
      </c>
      <c r="AO17" s="150" t="str">
        <f t="array" ref="AO17">IF(AO$1=0,"",SQRT((_xlfn.XLOOKUP(AO$1,$Z$2:$Z$18,$AA$2:$AA$18)-$T17)^2+(_xlfn.XLOOKUP(AO$1,$Z$2:$Z$18,$AB$2:$AB$18)-$U17)^2+(_xlfn.XLOOKUP(AO$1,$Z$2:$Z$18,$AC$2:$AC$18-$V17)^2)))</f>
        <v/>
      </c>
      <c r="AP17" s="151" t="str">
        <f t="array" ref="AP17">IF(AP$1=0,"",SQRT((_xlfn.XLOOKUP(AP$1,$Z$2:$Z$18,$AA$2:$AA$18)-$T17)^2+(_xlfn.XLOOKUP(AP$1,$Z$2:$Z$18,$AB$2:$AB$18)-$U17)^2+(_xlfn.XLOOKUP(AP$1,$Z$2:$Z$18,$AC$2:$AC$18-$V17)^2)))</f>
        <v/>
      </c>
      <c r="AQ17" s="151" t="str">
        <f t="array" ref="AQ17">IF(AQ$1=0,"",SQRT((_xlfn.XLOOKUP(AQ$1,$Z$2:$Z$18,$AA$2:$AA$18)-$T17)^2+(_xlfn.XLOOKUP(AQ$1,$Z$2:$Z$18,$AB$2:$AB$18)-$U17)^2+(_xlfn.XLOOKUP(AQ$1,$Z$2:$Z$18,$AC$2:$AC$18-$V17)^2)))</f>
        <v/>
      </c>
      <c r="AR17" s="151" t="str">
        <f t="array" ref="AR17">IF(AR$1=0,"",SQRT((_xlfn.XLOOKUP(AR$1,$Z$2:$Z$18,$AA$2:$AA$18)-$T17)^2+(_xlfn.XLOOKUP(AR$1,$Z$2:$Z$18,$AB$2:$AB$18)-$U17)^2+(_xlfn.XLOOKUP(AR$1,$Z$2:$Z$18,$AC$2:$AC$18-$V17)^2)))</f>
        <v/>
      </c>
      <c r="AS17" s="151" t="str">
        <f t="array" ref="AS17">IF(AS$1=0,"",SQRT((_xlfn.XLOOKUP(AS$1,$Z$2:$Z$18,$AA$2:$AA$18)-$T17)^2+(_xlfn.XLOOKUP(AS$1,$Z$2:$Z$18,$AB$2:$AB$18)-$U17)^2+(_xlfn.XLOOKUP(AS$1,$Z$2:$Z$18,$AC$2:$AC$18-$V17)^2)))</f>
        <v/>
      </c>
      <c r="AT17" s="151" t="str">
        <f t="array" ref="AT17">IF(AT$1=0,"",SQRT((_xlfn.XLOOKUP(AT$1,$Z$2:$Z$18,$AA$2:$AA$18)-$T17)^2+(_xlfn.XLOOKUP(AT$1,$Z$2:$Z$18,$AB$2:$AB$18)-$U17)^2+(_xlfn.XLOOKUP(AT$1,$Z$2:$Z$18,$AC$2:$AC$18-$V17)^2)))</f>
        <v/>
      </c>
      <c r="AU17" s="151" t="str">
        <f t="array" ref="AU17">IF(AU$1=0,"",SQRT((_xlfn.XLOOKUP(AU$1,$Z$2:$Z$18,$AA$2:$AA$18)-$T17)^2+(_xlfn.XLOOKUP(AU$1,$Z$2:$Z$18,$AB$2:$AB$18)-$U17)^2+(_xlfn.XLOOKUP(AU$1,$Z$2:$Z$18,$AC$2:$AC$18-$V17)^2)))</f>
        <v/>
      </c>
      <c r="AV17" s="152" t="str">
        <f t="array" ref="AV17">IF(AV$1=0,"",SQRT((_xlfn.XLOOKUP(AV$1,$Z$2:$Z$18,$AA$2:$AA$18)-$T17)^2+(_xlfn.XLOOKUP(AV$1,$Z$2:$Z$18,$AB$2:$AB$18)-$U17)^2+(_xlfn.XLOOKUP(AV$1,$Z$2:$Z$18,$AC$2:$AC$18-$V17)^2)))</f>
        <v/>
      </c>
      <c r="AW17" s="134"/>
      <c r="AX17" s="134"/>
      <c r="AY17" s="135">
        <f t="shared" si="4"/>
        <v>-32.651598334859486</v>
      </c>
      <c r="AZ17" s="153">
        <f t="shared" si="5"/>
        <v>-32.173763572847079</v>
      </c>
      <c r="BA17" s="153">
        <f t="shared" si="6"/>
        <v>-40.94723722194427</v>
      </c>
      <c r="BB17" s="153">
        <f t="shared" si="7"/>
        <v>-44.930139466929539</v>
      </c>
      <c r="BC17" s="153">
        <f t="shared" si="8"/>
        <v>-41.009098586856595</v>
      </c>
      <c r="BD17" s="153">
        <f t="shared" si="9"/>
        <v>0</v>
      </c>
      <c r="BE17" s="153">
        <f t="shared" si="10"/>
        <v>0</v>
      </c>
      <c r="BF17" s="153">
        <f t="shared" si="11"/>
        <v>0</v>
      </c>
      <c r="BG17" s="154">
        <f t="shared" si="12"/>
        <v>0</v>
      </c>
      <c r="BH17" s="154">
        <f t="shared" si="13"/>
        <v>0</v>
      </c>
      <c r="BI17" s="154">
        <f t="shared" si="14"/>
        <v>0</v>
      </c>
      <c r="BJ17" s="154">
        <f t="shared" si="15"/>
        <v>0</v>
      </c>
      <c r="BK17" s="154">
        <f t="shared" si="16"/>
        <v>0</v>
      </c>
      <c r="BL17" s="154">
        <f t="shared" si="17"/>
        <v>0</v>
      </c>
      <c r="BM17" s="155">
        <f t="shared" si="18"/>
        <v>0</v>
      </c>
      <c r="BN17" s="134"/>
      <c r="BO17" s="44" t="s">
        <v>49</v>
      </c>
      <c r="BP17" s="120">
        <f>ABS(BS6-BS7)</f>
        <v>0</v>
      </c>
      <c r="BQ17" s="134"/>
      <c r="BR17" s="134"/>
      <c r="BS17" s="134"/>
      <c r="BT17" s="134"/>
      <c r="BU17" s="134"/>
      <c r="BV17" s="140">
        <v>4</v>
      </c>
      <c r="BW17" s="140">
        <v>10</v>
      </c>
      <c r="BX17" s="140">
        <v>10</v>
      </c>
      <c r="BY17" s="140">
        <v>13</v>
      </c>
      <c r="BZ17" s="140">
        <v>8</v>
      </c>
      <c r="CA17" s="140"/>
      <c r="CB17" s="140"/>
      <c r="CC17" s="140"/>
      <c r="CD17" s="140"/>
      <c r="CE17" s="140"/>
      <c r="CF17" s="140"/>
      <c r="CG17" s="140"/>
      <c r="CH17" s="140"/>
      <c r="CI17" s="140"/>
      <c r="CJ17" s="140"/>
      <c r="CK17" s="134"/>
      <c r="CL17" s="134"/>
      <c r="CM17" s="156">
        <f t="shared" si="35"/>
        <v>42.369001578420139</v>
      </c>
      <c r="CN17" s="157">
        <f t="shared" si="36"/>
        <v>36.846836340432546</v>
      </c>
      <c r="CO17" s="157">
        <f t="shared" si="37"/>
        <v>28.073362691335355</v>
      </c>
      <c r="CP17" s="157">
        <f t="shared" si="38"/>
        <v>21.090460446350086</v>
      </c>
      <c r="CQ17" s="157">
        <f t="shared" si="39"/>
        <v>30.01150132642303</v>
      </c>
      <c r="CR17" s="157" t="str">
        <f t="shared" si="40"/>
        <v/>
      </c>
      <c r="CS17" s="157" t="str">
        <f t="shared" si="41"/>
        <v/>
      </c>
      <c r="CT17" s="157" t="str">
        <f t="shared" si="42"/>
        <v/>
      </c>
      <c r="CU17" s="158" t="str">
        <f t="shared" si="43"/>
        <v/>
      </c>
      <c r="CV17" s="158" t="str">
        <f t="shared" si="44"/>
        <v/>
      </c>
      <c r="CW17" s="158" t="str">
        <f t="shared" si="45"/>
        <v/>
      </c>
      <c r="CX17" s="158" t="str">
        <f t="shared" si="46"/>
        <v/>
      </c>
      <c r="CY17" s="143" t="str">
        <f t="shared" si="47"/>
        <v/>
      </c>
      <c r="CZ17" s="143" t="str">
        <f t="shared" si="48"/>
        <v/>
      </c>
      <c r="DA17" s="144" t="str">
        <f t="shared" si="49"/>
        <v/>
      </c>
    </row>
    <row r="18" spans="1:105" ht="17.25" customHeight="1" thickBot="1" x14ac:dyDescent="0.35">
      <c r="A18" s="145">
        <v>2</v>
      </c>
      <c r="B18" s="146" t="s">
        <v>180</v>
      </c>
      <c r="C18" s="146" t="s">
        <v>143</v>
      </c>
      <c r="D18" s="147" t="s">
        <v>122</v>
      </c>
      <c r="E18" s="202" t="s">
        <v>140</v>
      </c>
      <c r="F18" s="210"/>
      <c r="G18" s="211"/>
      <c r="H18" s="211"/>
      <c r="I18" s="211"/>
      <c r="J18" s="211"/>
      <c r="K18" s="211"/>
      <c r="L18" s="211"/>
      <c r="M18" s="215"/>
      <c r="N18" s="210">
        <v>58</v>
      </c>
      <c r="O18" s="212">
        <v>5</v>
      </c>
      <c r="P18" s="205">
        <v>1</v>
      </c>
      <c r="Q18" s="128">
        <f t="shared" si="34"/>
        <v>76.010299956639813</v>
      </c>
      <c r="R18" s="3">
        <v>2</v>
      </c>
      <c r="S18" s="3"/>
      <c r="T18" s="4">
        <v>73.849999999999994</v>
      </c>
      <c r="U18" s="4">
        <v>112.39</v>
      </c>
      <c r="V18" s="109">
        <f t="shared" si="3"/>
        <v>74</v>
      </c>
      <c r="W18" s="81">
        <v>70</v>
      </c>
      <c r="X18" s="148">
        <v>4</v>
      </c>
      <c r="AE18" s="24" t="s">
        <v>50</v>
      </c>
      <c r="AH18" s="168">
        <f t="array" ref="AH18">IF(AH$1=0,"",SQRT((_xlfn.XLOOKUP(AH$1,$Z$2:$Z$18,$AA$2:$AA$18)-$T18)^2+(_xlfn.XLOOKUP(AH$1,$Z$2:$Z$18,$AB$2:$AB$18)-$U18)^2+(_xlfn.XLOOKUP(AH$1,$Z$2:$Z$18,$AC$2:$AC$18-$V18)^2)))</f>
        <v>49.432355800629203</v>
      </c>
      <c r="AI18" s="150">
        <f t="array" ref="AI18">IF(AI$1=0,"",SQRT((_xlfn.XLOOKUP(AI$1,$Z$2:$Z$18,$AA$2:$AA$18)-$T18)^2+(_xlfn.XLOOKUP(AI$1,$Z$2:$Z$18,$AB$2:$AB$18)-$U18)^2+(_xlfn.XLOOKUP(AI$1,$Z$2:$Z$18,$AC$2:$AC$18-$V18)^2)))</f>
        <v>75.215273050092691</v>
      </c>
      <c r="AJ18" s="150">
        <f t="array" ref="AJ18">IF(AJ$1=0,"",SQRT((_xlfn.XLOOKUP(AJ$1,$Z$2:$Z$18,$AA$2:$AA$18)-$T18)^2+(_xlfn.XLOOKUP(AJ$1,$Z$2:$Z$18,$AB$2:$AB$18)-$U18)^2+(_xlfn.XLOOKUP(AJ$1,$Z$2:$Z$18,$AC$2:$AC$18-$V18)^2)))</f>
        <v>169.62015711583336</v>
      </c>
      <c r="AK18" s="150">
        <f t="array" ref="AK18">IF(AK$1=0,"",SQRT((_xlfn.XLOOKUP(AK$1,$Z$2:$Z$18,$AA$2:$AA$18)-$T18)^2+(_xlfn.XLOOKUP(AK$1,$Z$2:$Z$18,$AB$2:$AB$18)-$U18)^2+(_xlfn.XLOOKUP(AK$1,$Z$2:$Z$18,$AC$2:$AC$18-$V18)^2)))</f>
        <v>246.7337952125732</v>
      </c>
      <c r="AL18" s="150">
        <f t="array" ref="AL18">IF(AL$1=0,"",SQRT((_xlfn.XLOOKUP(AL$1,$Z$2:$Z$18,$AA$2:$AA$18)-$T18)^2+(_xlfn.XLOOKUP(AL$1,$Z$2:$Z$18,$AB$2:$AB$18)-$U18)^2+(_xlfn.XLOOKUP(AL$1,$Z$2:$Z$18,$AC$2:$AC$18-$V18)^2)))</f>
        <v>121.18423164752087</v>
      </c>
      <c r="AM18" s="150" t="str">
        <f t="array" ref="AM18">IF(AM$1=0,"",SQRT((_xlfn.XLOOKUP(AM$1,$Z$2:$Z$18,$AA$2:$AA$18)-$T18)^2+(_xlfn.XLOOKUP(AM$1,$Z$2:$Z$18,$AB$2:$AB$18)-$U18)^2+(_xlfn.XLOOKUP(AM$1,$Z$2:$Z$18,$AC$2:$AC$18-$V18)^2)))</f>
        <v/>
      </c>
      <c r="AN18" s="150" t="str">
        <f t="array" ref="AN18">IF(AN$1=0,"",SQRT((_xlfn.XLOOKUP(AN$1,$Z$2:$Z$18,$AA$2:$AA$18)-$T18)^2+(_xlfn.XLOOKUP(AN$1,$Z$2:$Z$18,$AB$2:$AB$18)-$U18)^2+(_xlfn.XLOOKUP(AN$1,$Z$2:$Z$18,$AC$2:$AC$18-$V18)^2)))</f>
        <v/>
      </c>
      <c r="AO18" s="150" t="str">
        <f t="array" ref="AO18">IF(AO$1=0,"",SQRT((_xlfn.XLOOKUP(AO$1,$Z$2:$Z$18,$AA$2:$AA$18)-$T18)^2+(_xlfn.XLOOKUP(AO$1,$Z$2:$Z$18,$AB$2:$AB$18)-$U18)^2+(_xlfn.XLOOKUP(AO$1,$Z$2:$Z$18,$AC$2:$AC$18-$V18)^2)))</f>
        <v/>
      </c>
      <c r="AP18" s="151" t="str">
        <f t="array" ref="AP18">IF(AP$1=0,"",SQRT((_xlfn.XLOOKUP(AP$1,$Z$2:$Z$18,$AA$2:$AA$18)-$T18)^2+(_xlfn.XLOOKUP(AP$1,$Z$2:$Z$18,$AB$2:$AB$18)-$U18)^2+(_xlfn.XLOOKUP(AP$1,$Z$2:$Z$18,$AC$2:$AC$18-$V18)^2)))</f>
        <v/>
      </c>
      <c r="AQ18" s="151" t="str">
        <f t="array" ref="AQ18">IF(AQ$1=0,"",SQRT((_xlfn.XLOOKUP(AQ$1,$Z$2:$Z$18,$AA$2:$AA$18)-$T18)^2+(_xlfn.XLOOKUP(AQ$1,$Z$2:$Z$18,$AB$2:$AB$18)-$U18)^2+(_xlfn.XLOOKUP(AQ$1,$Z$2:$Z$18,$AC$2:$AC$18-$V18)^2)))</f>
        <v/>
      </c>
      <c r="AR18" s="151" t="str">
        <f t="array" ref="AR18">IF(AR$1=0,"",SQRT((_xlfn.XLOOKUP(AR$1,$Z$2:$Z$18,$AA$2:$AA$18)-$T18)^2+(_xlfn.XLOOKUP(AR$1,$Z$2:$Z$18,$AB$2:$AB$18)-$U18)^2+(_xlfn.XLOOKUP(AR$1,$Z$2:$Z$18,$AC$2:$AC$18-$V18)^2)))</f>
        <v/>
      </c>
      <c r="AS18" s="151" t="str">
        <f t="array" ref="AS18">IF(AS$1=0,"",SQRT((_xlfn.XLOOKUP(AS$1,$Z$2:$Z$18,$AA$2:$AA$18)-$T18)^2+(_xlfn.XLOOKUP(AS$1,$Z$2:$Z$18,$AB$2:$AB$18)-$U18)^2+(_xlfn.XLOOKUP(AS$1,$Z$2:$Z$18,$AC$2:$AC$18-$V18)^2)))</f>
        <v/>
      </c>
      <c r="AT18" s="151" t="str">
        <f t="array" ref="AT18">IF(AT$1=0,"",SQRT((_xlfn.XLOOKUP(AT$1,$Z$2:$Z$18,$AA$2:$AA$18)-$T18)^2+(_xlfn.XLOOKUP(AT$1,$Z$2:$Z$18,$AB$2:$AB$18)-$U18)^2+(_xlfn.XLOOKUP(AT$1,$Z$2:$Z$18,$AC$2:$AC$18-$V18)^2)))</f>
        <v/>
      </c>
      <c r="AU18" s="151" t="str">
        <f t="array" ref="AU18">IF(AU$1=0,"",SQRT((_xlfn.XLOOKUP(AU$1,$Z$2:$Z$18,$AA$2:$AA$18)-$T18)^2+(_xlfn.XLOOKUP(AU$1,$Z$2:$Z$18,$AB$2:$AB$18)-$U18)^2+(_xlfn.XLOOKUP(AU$1,$Z$2:$Z$18,$AC$2:$AC$18-$V18)^2)))</f>
        <v/>
      </c>
      <c r="AV18" s="152" t="str">
        <f t="array" ref="AV18">IF(AV$1=0,"",SQRT((_xlfn.XLOOKUP(AV$1,$Z$2:$Z$18,$AA$2:$AA$18)-$T18)^2+(_xlfn.XLOOKUP(AV$1,$Z$2:$Z$18,$AB$2:$AB$18)-$U18)^2+(_xlfn.XLOOKUP(AV$1,$Z$2:$Z$18,$AC$2:$AC$18-$V18)^2)))</f>
        <v/>
      </c>
      <c r="AW18" s="134"/>
      <c r="AX18" s="134"/>
      <c r="AY18" s="135">
        <f t="shared" si="4"/>
        <v>-31.542324099954989</v>
      </c>
      <c r="AZ18" s="153">
        <f t="shared" si="5"/>
        <v>-35.18821866575729</v>
      </c>
      <c r="BA18" s="153">
        <f t="shared" si="6"/>
        <v>-42.251647159969053</v>
      </c>
      <c r="BB18" s="153">
        <f t="shared" si="7"/>
        <v>-45.506670717495467</v>
      </c>
      <c r="BC18" s="153">
        <f t="shared" si="8"/>
        <v>-39.331020209117781</v>
      </c>
      <c r="BD18" s="153">
        <f t="shared" si="9"/>
        <v>0</v>
      </c>
      <c r="BE18" s="153">
        <f t="shared" si="10"/>
        <v>0</v>
      </c>
      <c r="BF18" s="153">
        <f t="shared" si="11"/>
        <v>0</v>
      </c>
      <c r="BG18" s="154">
        <f t="shared" si="12"/>
        <v>0</v>
      </c>
      <c r="BH18" s="154">
        <f t="shared" si="13"/>
        <v>0</v>
      </c>
      <c r="BI18" s="154">
        <f t="shared" si="14"/>
        <v>0</v>
      </c>
      <c r="BJ18" s="154">
        <f t="shared" si="15"/>
        <v>0</v>
      </c>
      <c r="BK18" s="154">
        <f t="shared" si="16"/>
        <v>0</v>
      </c>
      <c r="BL18" s="154">
        <f t="shared" si="17"/>
        <v>0</v>
      </c>
      <c r="BM18" s="155">
        <f t="shared" si="18"/>
        <v>0</v>
      </c>
      <c r="BN18" s="134"/>
      <c r="BO18" s="44" t="s">
        <v>51</v>
      </c>
      <c r="BP18" s="120">
        <f>SQRT((BQ7-BQ6)^2+(BR7-BR6)^2)</f>
        <v>11.757657079537571</v>
      </c>
      <c r="BQ18" s="134"/>
      <c r="BR18" s="134"/>
      <c r="BS18" s="134"/>
      <c r="BT18" s="134"/>
      <c r="BU18" s="134"/>
      <c r="BV18" s="140">
        <v>5</v>
      </c>
      <c r="BW18" s="140">
        <v>14</v>
      </c>
      <c r="BX18" s="140">
        <v>11</v>
      </c>
      <c r="BY18" s="140">
        <v>12</v>
      </c>
      <c r="BZ18" s="140">
        <v>5</v>
      </c>
      <c r="CA18" s="140"/>
      <c r="CB18" s="140"/>
      <c r="CC18" s="140"/>
      <c r="CD18" s="140"/>
      <c r="CE18" s="140"/>
      <c r="CF18" s="140"/>
      <c r="CG18" s="140"/>
      <c r="CH18" s="140"/>
      <c r="CI18" s="140"/>
      <c r="CJ18" s="140"/>
      <c r="CK18" s="134"/>
      <c r="CL18" s="134"/>
      <c r="CM18" s="156">
        <f t="shared" si="35"/>
        <v>39.467975856684824</v>
      </c>
      <c r="CN18" s="157">
        <f t="shared" si="36"/>
        <v>26.822081290882522</v>
      </c>
      <c r="CO18" s="157">
        <f t="shared" si="37"/>
        <v>22.758652796670759</v>
      </c>
      <c r="CP18" s="157">
        <f t="shared" si="38"/>
        <v>18.503629239144345</v>
      </c>
      <c r="CQ18" s="157">
        <f t="shared" si="39"/>
        <v>31.679279747522031</v>
      </c>
      <c r="CR18" s="157" t="str">
        <f t="shared" si="40"/>
        <v/>
      </c>
      <c r="CS18" s="157" t="str">
        <f t="shared" si="41"/>
        <v/>
      </c>
      <c r="CT18" s="157" t="str">
        <f t="shared" si="42"/>
        <v/>
      </c>
      <c r="CU18" s="158" t="str">
        <f t="shared" si="43"/>
        <v/>
      </c>
      <c r="CV18" s="158" t="str">
        <f t="shared" si="44"/>
        <v/>
      </c>
      <c r="CW18" s="158" t="str">
        <f t="shared" si="45"/>
        <v/>
      </c>
      <c r="CX18" s="158" t="str">
        <f t="shared" si="46"/>
        <v/>
      </c>
      <c r="CY18" s="143" t="str">
        <f t="shared" si="47"/>
        <v/>
      </c>
      <c r="CZ18" s="143" t="str">
        <f t="shared" si="48"/>
        <v/>
      </c>
      <c r="DA18" s="144" t="str">
        <f t="shared" si="49"/>
        <v/>
      </c>
    </row>
    <row r="19" spans="1:105" ht="17.25" customHeight="1" thickBot="1" x14ac:dyDescent="0.35">
      <c r="A19" s="145">
        <v>2</v>
      </c>
      <c r="B19" s="146" t="s">
        <v>181</v>
      </c>
      <c r="C19" s="146" t="s">
        <v>143</v>
      </c>
      <c r="D19" s="147" t="s">
        <v>122</v>
      </c>
      <c r="E19" s="202" t="s">
        <v>140</v>
      </c>
      <c r="F19" s="210"/>
      <c r="G19" s="211"/>
      <c r="H19" s="211"/>
      <c r="I19" s="211"/>
      <c r="J19" s="211"/>
      <c r="K19" s="211"/>
      <c r="L19" s="211"/>
      <c r="M19" s="215"/>
      <c r="N19" s="210">
        <v>58</v>
      </c>
      <c r="O19" s="212">
        <v>5</v>
      </c>
      <c r="P19" s="205">
        <v>1</v>
      </c>
      <c r="Q19" s="128">
        <f t="shared" si="34"/>
        <v>76.010299956639813</v>
      </c>
      <c r="R19" s="3">
        <v>2</v>
      </c>
      <c r="S19" s="3"/>
      <c r="T19" s="4">
        <v>89.73</v>
      </c>
      <c r="U19" s="4">
        <v>129.58000000000001</v>
      </c>
      <c r="V19" s="109">
        <f t="shared" si="3"/>
        <v>74</v>
      </c>
      <c r="W19" s="81">
        <v>70</v>
      </c>
      <c r="X19" s="148">
        <v>4</v>
      </c>
      <c r="AE19" s="24" t="s">
        <v>52</v>
      </c>
      <c r="AF19" s="24" t="s">
        <v>53</v>
      </c>
      <c r="AH19" s="168">
        <f t="array" ref="AH19">IF(AH$1=0,"",SQRT((_xlfn.XLOOKUP(AH$1,$Z$2:$Z$18,$AA$2:$AA$18)-$T19)^2+(_xlfn.XLOOKUP(AH$1,$Z$2:$Z$18,$AB$2:$AB$18)-$U19)^2+(_xlfn.XLOOKUP(AH$1,$Z$2:$Z$18,$AC$2:$AC$18-$V19)^2)))</f>
        <v>72.111608635503345</v>
      </c>
      <c r="AI19" s="150">
        <f t="array" ref="AI19">IF(AI$1=0,"",SQRT((_xlfn.XLOOKUP(AI$1,$Z$2:$Z$18,$AA$2:$AA$18)-$T19)^2+(_xlfn.XLOOKUP(AI$1,$Z$2:$Z$18,$AB$2:$AB$18)-$U19)^2+(_xlfn.XLOOKUP(AI$1,$Z$2:$Z$18,$AC$2:$AC$18-$V19)^2)))</f>
        <v>85.308195385906501</v>
      </c>
      <c r="AJ19" s="150">
        <f t="array" ref="AJ19">IF(AJ$1=0,"",SQRT((_xlfn.XLOOKUP(AJ$1,$Z$2:$Z$18,$AA$2:$AA$18)-$T19)^2+(_xlfn.XLOOKUP(AJ$1,$Z$2:$Z$18,$AB$2:$AB$18)-$U19)^2+(_xlfn.XLOOKUP(AJ$1,$Z$2:$Z$18,$AC$2:$AC$18-$V19)^2)))</f>
        <v>166.92011502512213</v>
      </c>
      <c r="AK19" s="150">
        <f t="array" ref="AK19">IF(AK$1=0,"",SQRT((_xlfn.XLOOKUP(AK$1,$Z$2:$Z$18,$AA$2:$AA$18)-$T19)^2+(_xlfn.XLOOKUP(AK$1,$Z$2:$Z$18,$AB$2:$AB$18)-$U19)^2+(_xlfn.XLOOKUP(AK$1,$Z$2:$Z$18,$AC$2:$AC$18-$V19)^2)))</f>
        <v>233.65705168044897</v>
      </c>
      <c r="AL19" s="150">
        <f t="array" ref="AL19">IF(AL$1=0,"",SQRT((_xlfn.XLOOKUP(AL$1,$Z$2:$Z$18,$AA$2:$AA$18)-$T19)^2+(_xlfn.XLOOKUP(AL$1,$Z$2:$Z$18,$AB$2:$AB$18)-$U19)^2+(_xlfn.XLOOKUP(AL$1,$Z$2:$Z$18,$AC$2:$AC$18-$V19)^2)))</f>
        <v>116.78746722144462</v>
      </c>
      <c r="AM19" s="150" t="str">
        <f t="array" ref="AM19">IF(AM$1=0,"",SQRT((_xlfn.XLOOKUP(AM$1,$Z$2:$Z$18,$AA$2:$AA$18)-$T19)^2+(_xlfn.XLOOKUP(AM$1,$Z$2:$Z$18,$AB$2:$AB$18)-$U19)^2+(_xlfn.XLOOKUP(AM$1,$Z$2:$Z$18,$AC$2:$AC$18-$V19)^2)))</f>
        <v/>
      </c>
      <c r="AN19" s="150" t="str">
        <f t="array" ref="AN19">IF(AN$1=0,"",SQRT((_xlfn.XLOOKUP(AN$1,$Z$2:$Z$18,$AA$2:$AA$18)-$T19)^2+(_xlfn.XLOOKUP(AN$1,$Z$2:$Z$18,$AB$2:$AB$18)-$U19)^2+(_xlfn.XLOOKUP(AN$1,$Z$2:$Z$18,$AC$2:$AC$18-$V19)^2)))</f>
        <v/>
      </c>
      <c r="AO19" s="150" t="str">
        <f t="array" ref="AO19">IF(AO$1=0,"",SQRT((_xlfn.XLOOKUP(AO$1,$Z$2:$Z$18,$AA$2:$AA$18)-$T19)^2+(_xlfn.XLOOKUP(AO$1,$Z$2:$Z$18,$AB$2:$AB$18)-$U19)^2+(_xlfn.XLOOKUP(AO$1,$Z$2:$Z$18,$AC$2:$AC$18-$V19)^2)))</f>
        <v/>
      </c>
      <c r="AP19" s="151" t="str">
        <f t="array" ref="AP19">IF(AP$1=0,"",SQRT((_xlfn.XLOOKUP(AP$1,$Z$2:$Z$18,$AA$2:$AA$18)-$T19)^2+(_xlfn.XLOOKUP(AP$1,$Z$2:$Z$18,$AB$2:$AB$18)-$U19)^2+(_xlfn.XLOOKUP(AP$1,$Z$2:$Z$18,$AC$2:$AC$18-$V19)^2)))</f>
        <v/>
      </c>
      <c r="AQ19" s="151" t="str">
        <f t="array" ref="AQ19">IF(AQ$1=0,"",SQRT((_xlfn.XLOOKUP(AQ$1,$Z$2:$Z$18,$AA$2:$AA$18)-$T19)^2+(_xlfn.XLOOKUP(AQ$1,$Z$2:$Z$18,$AB$2:$AB$18)-$U19)^2+(_xlfn.XLOOKUP(AQ$1,$Z$2:$Z$18,$AC$2:$AC$18-$V19)^2)))</f>
        <v/>
      </c>
      <c r="AR19" s="151" t="str">
        <f t="array" ref="AR19">IF(AR$1=0,"",SQRT((_xlfn.XLOOKUP(AR$1,$Z$2:$Z$18,$AA$2:$AA$18)-$T19)^2+(_xlfn.XLOOKUP(AR$1,$Z$2:$Z$18,$AB$2:$AB$18)-$U19)^2+(_xlfn.XLOOKUP(AR$1,$Z$2:$Z$18,$AC$2:$AC$18-$V19)^2)))</f>
        <v/>
      </c>
      <c r="AS19" s="151" t="str">
        <f t="array" ref="AS19">IF(AS$1=0,"",SQRT((_xlfn.XLOOKUP(AS$1,$Z$2:$Z$18,$AA$2:$AA$18)-$T19)^2+(_xlfn.XLOOKUP(AS$1,$Z$2:$Z$18,$AB$2:$AB$18)-$U19)^2+(_xlfn.XLOOKUP(AS$1,$Z$2:$Z$18,$AC$2:$AC$18-$V19)^2)))</f>
        <v/>
      </c>
      <c r="AT19" s="151" t="str">
        <f t="array" ref="AT19">IF(AT$1=0,"",SQRT((_xlfn.XLOOKUP(AT$1,$Z$2:$Z$18,$AA$2:$AA$18)-$T19)^2+(_xlfn.XLOOKUP(AT$1,$Z$2:$Z$18,$AB$2:$AB$18)-$U19)^2+(_xlfn.XLOOKUP(AT$1,$Z$2:$Z$18,$AC$2:$AC$18-$V19)^2)))</f>
        <v/>
      </c>
      <c r="AU19" s="151" t="str">
        <f t="array" ref="AU19">IF(AU$1=0,"",SQRT((_xlfn.XLOOKUP(AU$1,$Z$2:$Z$18,$AA$2:$AA$18)-$T19)^2+(_xlfn.XLOOKUP(AU$1,$Z$2:$Z$18,$AB$2:$AB$18)-$U19)^2+(_xlfn.XLOOKUP(AU$1,$Z$2:$Z$18,$AC$2:$AC$18-$V19)^2)))</f>
        <v/>
      </c>
      <c r="AV19" s="152" t="str">
        <f t="array" ref="AV19">IF(AV$1=0,"",SQRT((_xlfn.XLOOKUP(AV$1,$Z$2:$Z$18,$AA$2:$AA$18)-$T19)^2+(_xlfn.XLOOKUP(AV$1,$Z$2:$Z$18,$AB$2:$AB$18)-$U19)^2+(_xlfn.XLOOKUP(AV$1,$Z$2:$Z$18,$AC$2:$AC$18-$V19)^2)))</f>
        <v/>
      </c>
      <c r="AW19" s="134"/>
      <c r="AX19" s="134"/>
      <c r="AY19" s="135">
        <f t="shared" si="4"/>
        <v>-34.82220161149305</v>
      </c>
      <c r="AZ19" s="153">
        <f t="shared" si="5"/>
        <v>-36.281913036228403</v>
      </c>
      <c r="BA19" s="153">
        <f t="shared" si="6"/>
        <v>-42.112271443198949</v>
      </c>
      <c r="BB19" s="153">
        <f t="shared" si="7"/>
        <v>-45.033675784921769</v>
      </c>
      <c r="BC19" s="153">
        <f t="shared" si="8"/>
        <v>-39.01002273619185</v>
      </c>
      <c r="BD19" s="153">
        <f t="shared" si="9"/>
        <v>0</v>
      </c>
      <c r="BE19" s="153">
        <f t="shared" si="10"/>
        <v>0</v>
      </c>
      <c r="BF19" s="153">
        <f t="shared" si="11"/>
        <v>0</v>
      </c>
      <c r="BG19" s="154">
        <f t="shared" si="12"/>
        <v>0</v>
      </c>
      <c r="BH19" s="154">
        <f t="shared" si="13"/>
        <v>0</v>
      </c>
      <c r="BI19" s="154">
        <f t="shared" si="14"/>
        <v>0</v>
      </c>
      <c r="BJ19" s="154">
        <f t="shared" si="15"/>
        <v>0</v>
      </c>
      <c r="BK19" s="154">
        <f t="shared" si="16"/>
        <v>0</v>
      </c>
      <c r="BL19" s="154">
        <f t="shared" si="17"/>
        <v>0</v>
      </c>
      <c r="BM19" s="155">
        <f t="shared" si="18"/>
        <v>0</v>
      </c>
      <c r="BN19" s="134"/>
      <c r="BO19" s="44" t="s">
        <v>54</v>
      </c>
      <c r="BP19" s="120">
        <f>BP17/BP18</f>
        <v>0</v>
      </c>
      <c r="BQ19" s="134"/>
      <c r="BR19" s="134"/>
      <c r="BS19" s="134"/>
      <c r="BT19" s="134"/>
      <c r="BU19" s="134"/>
      <c r="BV19" s="140">
        <v>6</v>
      </c>
      <c r="BW19" s="140">
        <v>15</v>
      </c>
      <c r="BX19" s="140">
        <v>12</v>
      </c>
      <c r="BY19" s="140">
        <v>12</v>
      </c>
      <c r="BZ19" s="140">
        <v>6</v>
      </c>
      <c r="CA19" s="140"/>
      <c r="CB19" s="140"/>
      <c r="CC19" s="140"/>
      <c r="CD19" s="140"/>
      <c r="CE19" s="140"/>
      <c r="CF19" s="140"/>
      <c r="CG19" s="140"/>
      <c r="CH19" s="140"/>
      <c r="CI19" s="140"/>
      <c r="CJ19" s="140"/>
      <c r="CK19" s="134"/>
      <c r="CL19" s="134"/>
      <c r="CM19" s="156">
        <f t="shared" si="35"/>
        <v>35.188098345146763</v>
      </c>
      <c r="CN19" s="157">
        <f t="shared" si="36"/>
        <v>24.72838692041141</v>
      </c>
      <c r="CO19" s="157">
        <f t="shared" si="37"/>
        <v>21.898028513440863</v>
      </c>
      <c r="CP19" s="157">
        <f t="shared" si="38"/>
        <v>18.976624171718043</v>
      </c>
      <c r="CQ19" s="157">
        <f t="shared" si="39"/>
        <v>31.000277220447963</v>
      </c>
      <c r="CR19" s="157" t="str">
        <f t="shared" si="40"/>
        <v/>
      </c>
      <c r="CS19" s="157" t="str">
        <f t="shared" si="41"/>
        <v/>
      </c>
      <c r="CT19" s="157" t="str">
        <f t="shared" si="42"/>
        <v/>
      </c>
      <c r="CU19" s="158" t="str">
        <f t="shared" si="43"/>
        <v/>
      </c>
      <c r="CV19" s="158" t="str">
        <f t="shared" si="44"/>
        <v/>
      </c>
      <c r="CW19" s="158" t="str">
        <f t="shared" si="45"/>
        <v/>
      </c>
      <c r="CX19" s="158" t="str">
        <f t="shared" si="46"/>
        <v/>
      </c>
      <c r="CY19" s="143" t="str">
        <f t="shared" si="47"/>
        <v/>
      </c>
      <c r="CZ19" s="143" t="str">
        <f t="shared" si="48"/>
        <v/>
      </c>
      <c r="DA19" s="144" t="str">
        <f t="shared" si="49"/>
        <v/>
      </c>
    </row>
    <row r="20" spans="1:105" ht="17.25" customHeight="1" thickBot="1" x14ac:dyDescent="0.35">
      <c r="A20" s="145">
        <v>2</v>
      </c>
      <c r="B20" s="146" t="s">
        <v>182</v>
      </c>
      <c r="C20" s="146" t="s">
        <v>143</v>
      </c>
      <c r="D20" s="147" t="s">
        <v>122</v>
      </c>
      <c r="E20" s="202" t="s">
        <v>140</v>
      </c>
      <c r="F20" s="210"/>
      <c r="G20" s="211"/>
      <c r="H20" s="211"/>
      <c r="I20" s="211"/>
      <c r="J20" s="211"/>
      <c r="K20" s="211"/>
      <c r="L20" s="211"/>
      <c r="M20" s="215"/>
      <c r="N20" s="210">
        <v>58</v>
      </c>
      <c r="O20" s="212">
        <v>5</v>
      </c>
      <c r="P20" s="205">
        <v>1</v>
      </c>
      <c r="Q20" s="128">
        <f t="shared" si="34"/>
        <v>76.010299956639813</v>
      </c>
      <c r="R20" s="3">
        <v>2</v>
      </c>
      <c r="S20" s="3"/>
      <c r="T20" s="4">
        <v>109.54</v>
      </c>
      <c r="U20" s="4">
        <v>133.58000000000001</v>
      </c>
      <c r="V20" s="109">
        <f t="shared" si="3"/>
        <v>74</v>
      </c>
      <c r="W20" s="81">
        <v>70</v>
      </c>
      <c r="X20" s="148">
        <v>4</v>
      </c>
      <c r="AE20" s="110">
        <v>150</v>
      </c>
      <c r="AF20" s="111">
        <v>1370</v>
      </c>
      <c r="AH20" s="168">
        <f t="array" ref="AH20">IF(AH$1=0,"",SQRT((_xlfn.XLOOKUP(AH$1,$Z$2:$Z$18,$AA$2:$AA$18)-$T20)^2+(_xlfn.XLOOKUP(AH$1,$Z$2:$Z$18,$AB$2:$AB$18)-$U20)^2+(_xlfn.XLOOKUP(AH$1,$Z$2:$Z$18,$AC$2:$AC$18-$V20)^2)))</f>
        <v>90.535900061798699</v>
      </c>
      <c r="AI20" s="150">
        <f t="array" ref="AI20">IF(AI$1=0,"",SQRT((_xlfn.XLOOKUP(AI$1,$Z$2:$Z$18,$AA$2:$AA$18)-$T20)^2+(_xlfn.XLOOKUP(AI$1,$Z$2:$Z$18,$AB$2:$AB$18)-$U20)^2+(_xlfn.XLOOKUP(AI$1,$Z$2:$Z$18,$AC$2:$AC$18-$V20)^2)))</f>
        <v>87.809239263303041</v>
      </c>
      <c r="AJ20" s="150">
        <f t="array" ref="AJ20">IF(AJ$1=0,"",SQRT((_xlfn.XLOOKUP(AJ$1,$Z$2:$Z$18,$AA$2:$AA$18)-$T20)^2+(_xlfn.XLOOKUP(AJ$1,$Z$2:$Z$18,$AB$2:$AB$18)-$U20)^2+(_xlfn.XLOOKUP(AJ$1,$Z$2:$Z$18,$AC$2:$AC$18-$V20)^2)))</f>
        <v>155.19203362286351</v>
      </c>
      <c r="AK20" s="150">
        <f t="array" ref="AK20">IF(AK$1=0,"",SQRT((_xlfn.XLOOKUP(AK$1,$Z$2:$Z$18,$AA$2:$AA$18)-$T20)^2+(_xlfn.XLOOKUP(AK$1,$Z$2:$Z$18,$AB$2:$AB$18)-$U20)^2+(_xlfn.XLOOKUP(AK$1,$Z$2:$Z$18,$AC$2:$AC$18-$V20)^2)))</f>
        <v>215.28911560968427</v>
      </c>
      <c r="AL20" s="150">
        <f t="array" ref="AL20">IF(AL$1=0,"",SQRT((_xlfn.XLOOKUP(AL$1,$Z$2:$Z$18,$AA$2:$AA$18)-$T20)^2+(_xlfn.XLOOKUP(AL$1,$Z$2:$Z$18,$AB$2:$AB$18)-$U20)^2+(_xlfn.XLOOKUP(AL$1,$Z$2:$Z$18,$AC$2:$AC$18-$V20)^2)))</f>
        <v>127.92598875912587</v>
      </c>
      <c r="AM20" s="150" t="str">
        <f t="array" ref="AM20">IF(AM$1=0,"",SQRT((_xlfn.XLOOKUP(AM$1,$Z$2:$Z$18,$AA$2:$AA$18)-$T20)^2+(_xlfn.XLOOKUP(AM$1,$Z$2:$Z$18,$AB$2:$AB$18)-$U20)^2+(_xlfn.XLOOKUP(AM$1,$Z$2:$Z$18,$AC$2:$AC$18-$V20)^2)))</f>
        <v/>
      </c>
      <c r="AN20" s="150" t="str">
        <f t="array" ref="AN20">IF(AN$1=0,"",SQRT((_xlfn.XLOOKUP(AN$1,$Z$2:$Z$18,$AA$2:$AA$18)-$T20)^2+(_xlfn.XLOOKUP(AN$1,$Z$2:$Z$18,$AB$2:$AB$18)-$U20)^2+(_xlfn.XLOOKUP(AN$1,$Z$2:$Z$18,$AC$2:$AC$18-$V20)^2)))</f>
        <v/>
      </c>
      <c r="AO20" s="150" t="str">
        <f t="array" ref="AO20">IF(AO$1=0,"",SQRT((_xlfn.XLOOKUP(AO$1,$Z$2:$Z$18,$AA$2:$AA$18)-$T20)^2+(_xlfn.XLOOKUP(AO$1,$Z$2:$Z$18,$AB$2:$AB$18)-$U20)^2+(_xlfn.XLOOKUP(AO$1,$Z$2:$Z$18,$AC$2:$AC$18-$V20)^2)))</f>
        <v/>
      </c>
      <c r="AP20" s="151" t="str">
        <f t="array" ref="AP20">IF(AP$1=0,"",SQRT((_xlfn.XLOOKUP(AP$1,$Z$2:$Z$18,$AA$2:$AA$18)-$T20)^2+(_xlfn.XLOOKUP(AP$1,$Z$2:$Z$18,$AB$2:$AB$18)-$U20)^2+(_xlfn.XLOOKUP(AP$1,$Z$2:$Z$18,$AC$2:$AC$18-$V20)^2)))</f>
        <v/>
      </c>
      <c r="AQ20" s="151" t="str">
        <f t="array" ref="AQ20">IF(AQ$1=0,"",SQRT((_xlfn.XLOOKUP(AQ$1,$Z$2:$Z$18,$AA$2:$AA$18)-$T20)^2+(_xlfn.XLOOKUP(AQ$1,$Z$2:$Z$18,$AB$2:$AB$18)-$U20)^2+(_xlfn.XLOOKUP(AQ$1,$Z$2:$Z$18,$AC$2:$AC$18-$V20)^2)))</f>
        <v/>
      </c>
      <c r="AR20" s="151" t="str">
        <f t="array" ref="AR20">IF(AR$1=0,"",SQRT((_xlfn.XLOOKUP(AR$1,$Z$2:$Z$18,$AA$2:$AA$18)-$T20)^2+(_xlfn.XLOOKUP(AR$1,$Z$2:$Z$18,$AB$2:$AB$18)-$U20)^2+(_xlfn.XLOOKUP(AR$1,$Z$2:$Z$18,$AC$2:$AC$18-$V20)^2)))</f>
        <v/>
      </c>
      <c r="AS20" s="151" t="str">
        <f t="array" ref="AS20">IF(AS$1=0,"",SQRT((_xlfn.XLOOKUP(AS$1,$Z$2:$Z$18,$AA$2:$AA$18)-$T20)^2+(_xlfn.XLOOKUP(AS$1,$Z$2:$Z$18,$AB$2:$AB$18)-$U20)^2+(_xlfn.XLOOKUP(AS$1,$Z$2:$Z$18,$AC$2:$AC$18-$V20)^2)))</f>
        <v/>
      </c>
      <c r="AT20" s="151" t="str">
        <f t="array" ref="AT20">IF(AT$1=0,"",SQRT((_xlfn.XLOOKUP(AT$1,$Z$2:$Z$18,$AA$2:$AA$18)-$T20)^2+(_xlfn.XLOOKUP(AT$1,$Z$2:$Z$18,$AB$2:$AB$18)-$U20)^2+(_xlfn.XLOOKUP(AT$1,$Z$2:$Z$18,$AC$2:$AC$18-$V20)^2)))</f>
        <v/>
      </c>
      <c r="AU20" s="151" t="str">
        <f t="array" ref="AU20">IF(AU$1=0,"",SQRT((_xlfn.XLOOKUP(AU$1,$Z$2:$Z$18,$AA$2:$AA$18)-$T20)^2+(_xlfn.XLOOKUP(AU$1,$Z$2:$Z$18,$AB$2:$AB$18)-$U20)^2+(_xlfn.XLOOKUP(AU$1,$Z$2:$Z$18,$AC$2:$AC$18-$V20)^2)))</f>
        <v/>
      </c>
      <c r="AV20" s="152" t="str">
        <f t="array" ref="AV20">IF(AV$1=0,"",SQRT((_xlfn.XLOOKUP(AV$1,$Z$2:$Z$18,$AA$2:$AA$18)-$T20)^2+(_xlfn.XLOOKUP(AV$1,$Z$2:$Z$18,$AB$2:$AB$18)-$U20)^2+(_xlfn.XLOOKUP(AV$1,$Z$2:$Z$18,$AC$2:$AC$18-$V20)^2)))</f>
        <v/>
      </c>
      <c r="AW20" s="134"/>
      <c r="AX20" s="134"/>
      <c r="AY20" s="135">
        <f t="shared" si="4"/>
        <v>-36.798514406595245</v>
      </c>
      <c r="AZ20" s="153">
        <f t="shared" si="5"/>
        <v>-36.532902229988785</v>
      </c>
      <c r="BA20" s="153">
        <f t="shared" si="6"/>
        <v>-41.479486419392771</v>
      </c>
      <c r="BB20" s="153">
        <f t="shared" si="7"/>
        <v>-44.322539411233699</v>
      </c>
      <c r="BC20" s="153">
        <f t="shared" si="8"/>
        <v>-39.801273584616801</v>
      </c>
      <c r="BD20" s="153">
        <f t="shared" si="9"/>
        <v>0</v>
      </c>
      <c r="BE20" s="153">
        <f t="shared" si="10"/>
        <v>0</v>
      </c>
      <c r="BF20" s="153">
        <f t="shared" si="11"/>
        <v>0</v>
      </c>
      <c r="BG20" s="154">
        <f t="shared" si="12"/>
        <v>0</v>
      </c>
      <c r="BH20" s="154">
        <f t="shared" si="13"/>
        <v>0</v>
      </c>
      <c r="BI20" s="154">
        <f t="shared" si="14"/>
        <v>0</v>
      </c>
      <c r="BJ20" s="154">
        <f t="shared" si="15"/>
        <v>0</v>
      </c>
      <c r="BK20" s="154">
        <f t="shared" si="16"/>
        <v>0</v>
      </c>
      <c r="BL20" s="154">
        <f t="shared" si="17"/>
        <v>0</v>
      </c>
      <c r="BM20" s="155">
        <f t="shared" si="18"/>
        <v>0</v>
      </c>
      <c r="BN20" s="134"/>
      <c r="BO20" s="44" t="s">
        <v>55</v>
      </c>
      <c r="BP20" s="45">
        <f>SQRT((BR12-_xlfn.XLOOKUP(MIN(BS6:BS7),BS6:BS7,BQ6:BQ7))^2+(BR13-_xlfn.XLOOKUP(MIN(BS6:BS7),BS6:BS7,BR6:BR7))^2)</f>
        <v>4.1292599190338386</v>
      </c>
      <c r="BQ20" s="134"/>
      <c r="BR20" s="134"/>
      <c r="BS20" s="134"/>
      <c r="BT20" s="134"/>
      <c r="BU20" s="134"/>
      <c r="BV20" s="140">
        <v>7</v>
      </c>
      <c r="BW20" s="140">
        <v>15</v>
      </c>
      <c r="BX20" s="140">
        <v>12</v>
      </c>
      <c r="BY20" s="140">
        <v>11</v>
      </c>
      <c r="BZ20" s="140">
        <v>6</v>
      </c>
      <c r="CA20" s="140"/>
      <c r="CB20" s="140"/>
      <c r="CC20" s="140"/>
      <c r="CD20" s="140"/>
      <c r="CE20" s="140"/>
      <c r="CF20" s="140"/>
      <c r="CG20" s="140"/>
      <c r="CH20" s="140"/>
      <c r="CI20" s="140"/>
      <c r="CJ20" s="140"/>
      <c r="CK20" s="134"/>
      <c r="CL20" s="134"/>
      <c r="CM20" s="156">
        <f t="shared" si="35"/>
        <v>32.211785550044567</v>
      </c>
      <c r="CN20" s="157">
        <f t="shared" si="36"/>
        <v>24.477397726651027</v>
      </c>
      <c r="CO20" s="157">
        <f t="shared" si="37"/>
        <v>22.530813537247042</v>
      </c>
      <c r="CP20" s="157">
        <f t="shared" si="38"/>
        <v>20.687760545406114</v>
      </c>
      <c r="CQ20" s="157">
        <f t="shared" si="39"/>
        <v>30.209026372023011</v>
      </c>
      <c r="CR20" s="157" t="str">
        <f t="shared" si="40"/>
        <v/>
      </c>
      <c r="CS20" s="157" t="str">
        <f t="shared" si="41"/>
        <v/>
      </c>
      <c r="CT20" s="157" t="str">
        <f t="shared" si="42"/>
        <v/>
      </c>
      <c r="CU20" s="158" t="str">
        <f t="shared" si="43"/>
        <v/>
      </c>
      <c r="CV20" s="158" t="str">
        <f t="shared" si="44"/>
        <v/>
      </c>
      <c r="CW20" s="158" t="str">
        <f t="shared" si="45"/>
        <v/>
      </c>
      <c r="CX20" s="158" t="str">
        <f t="shared" si="46"/>
        <v/>
      </c>
      <c r="CY20" s="143" t="str">
        <f t="shared" si="47"/>
        <v/>
      </c>
      <c r="CZ20" s="143" t="str">
        <f t="shared" si="48"/>
        <v/>
      </c>
      <c r="DA20" s="144" t="str">
        <f t="shared" si="49"/>
        <v/>
      </c>
    </row>
    <row r="21" spans="1:105" ht="17.25" customHeight="1" thickBot="1" x14ac:dyDescent="0.35">
      <c r="A21" s="145">
        <v>2</v>
      </c>
      <c r="B21" s="146" t="s">
        <v>183</v>
      </c>
      <c r="C21" s="146" t="s">
        <v>143</v>
      </c>
      <c r="D21" s="147" t="s">
        <v>122</v>
      </c>
      <c r="E21" s="202" t="s">
        <v>140</v>
      </c>
      <c r="F21" s="210"/>
      <c r="G21" s="211"/>
      <c r="H21" s="211"/>
      <c r="I21" s="211"/>
      <c r="J21" s="211"/>
      <c r="K21" s="211"/>
      <c r="L21" s="211"/>
      <c r="M21" s="215"/>
      <c r="N21" s="210">
        <v>58</v>
      </c>
      <c r="O21" s="212">
        <v>5</v>
      </c>
      <c r="P21" s="205">
        <v>1</v>
      </c>
      <c r="Q21" s="128">
        <f t="shared" si="34"/>
        <v>76.010299956639813</v>
      </c>
      <c r="R21" s="3">
        <v>2</v>
      </c>
      <c r="S21" s="3"/>
      <c r="T21" s="4">
        <v>129.19999999999999</v>
      </c>
      <c r="U21" s="4">
        <v>137.57</v>
      </c>
      <c r="V21" s="109">
        <f t="shared" si="3"/>
        <v>74</v>
      </c>
      <c r="W21" s="81">
        <v>70</v>
      </c>
      <c r="X21" s="148">
        <v>4</v>
      </c>
      <c r="AH21" s="168">
        <f t="array" ref="AH21">IF(AH$1=0,"",SQRT((_xlfn.XLOOKUP(AH$1,$Z$2:$Z$18,$AA$2:$AA$18)-$T21)^2+(_xlfn.XLOOKUP(AH$1,$Z$2:$Z$18,$AB$2:$AB$18)-$U21)^2+(_xlfn.XLOOKUP(AH$1,$Z$2:$Z$18,$AC$2:$AC$18-$V21)^2)))</f>
        <v>109.45523696927432</v>
      </c>
      <c r="AI21" s="150">
        <f t="array" ref="AI21">IF(AI$1=0,"",SQRT((_xlfn.XLOOKUP(AI$1,$Z$2:$Z$18,$AA$2:$AA$18)-$T21)^2+(_xlfn.XLOOKUP(AI$1,$Z$2:$Z$18,$AB$2:$AB$18)-$U21)^2+(_xlfn.XLOOKUP(AI$1,$Z$2:$Z$18,$AC$2:$AC$18-$V21)^2)))</f>
        <v>94.610868297463568</v>
      </c>
      <c r="AJ21" s="150">
        <f t="array" ref="AJ21">IF(AJ$1=0,"",SQRT((_xlfn.XLOOKUP(AJ$1,$Z$2:$Z$18,$AA$2:$AA$18)-$T21)^2+(_xlfn.XLOOKUP(AJ$1,$Z$2:$Z$18,$AB$2:$AB$18)-$U21)^2+(_xlfn.XLOOKUP(AJ$1,$Z$2:$Z$18,$AC$2:$AC$18-$V21)^2)))</f>
        <v>145.42249138286692</v>
      </c>
      <c r="AK21" s="150">
        <f t="array" ref="AK21">IF(AK$1=0,"",SQRT((_xlfn.XLOOKUP(AK$1,$Z$2:$Z$18,$AA$2:$AA$18)-$T21)^2+(_xlfn.XLOOKUP(AK$1,$Z$2:$Z$18,$AB$2:$AB$18)-$U21)^2+(_xlfn.XLOOKUP(AK$1,$Z$2:$Z$18,$AC$2:$AC$18-$V21)^2)))</f>
        <v>197.42167054302828</v>
      </c>
      <c r="AL21" s="150">
        <f t="array" ref="AL21">IF(AL$1=0,"",SQRT((_xlfn.XLOOKUP(AL$1,$Z$2:$Z$18,$AA$2:$AA$18)-$T21)^2+(_xlfn.XLOOKUP(AL$1,$Z$2:$Z$18,$AB$2:$AB$18)-$U21)^2+(_xlfn.XLOOKUP(AL$1,$Z$2:$Z$18,$AC$2:$AC$18-$V21)^2)))</f>
        <v>140.97761701773794</v>
      </c>
      <c r="AM21" s="150" t="str">
        <f t="array" ref="AM21">IF(AM$1=0,"",SQRT((_xlfn.XLOOKUP(AM$1,$Z$2:$Z$18,$AA$2:$AA$18)-$T21)^2+(_xlfn.XLOOKUP(AM$1,$Z$2:$Z$18,$AB$2:$AB$18)-$U21)^2+(_xlfn.XLOOKUP(AM$1,$Z$2:$Z$18,$AC$2:$AC$18-$V21)^2)))</f>
        <v/>
      </c>
      <c r="AN21" s="150" t="str">
        <f t="array" ref="AN21">IF(AN$1=0,"",SQRT((_xlfn.XLOOKUP(AN$1,$Z$2:$Z$18,$AA$2:$AA$18)-$T21)^2+(_xlfn.XLOOKUP(AN$1,$Z$2:$Z$18,$AB$2:$AB$18)-$U21)^2+(_xlfn.XLOOKUP(AN$1,$Z$2:$Z$18,$AC$2:$AC$18-$V21)^2)))</f>
        <v/>
      </c>
      <c r="AO21" s="150" t="str">
        <f t="array" ref="AO21">IF(AO$1=0,"",SQRT((_xlfn.XLOOKUP(AO$1,$Z$2:$Z$18,$AA$2:$AA$18)-$T21)^2+(_xlfn.XLOOKUP(AO$1,$Z$2:$Z$18,$AB$2:$AB$18)-$U21)^2+(_xlfn.XLOOKUP(AO$1,$Z$2:$Z$18,$AC$2:$AC$18-$V21)^2)))</f>
        <v/>
      </c>
      <c r="AP21" s="151" t="str">
        <f t="array" ref="AP21">IF(AP$1=0,"",SQRT((_xlfn.XLOOKUP(AP$1,$Z$2:$Z$18,$AA$2:$AA$18)-$T21)^2+(_xlfn.XLOOKUP(AP$1,$Z$2:$Z$18,$AB$2:$AB$18)-$U21)^2+(_xlfn.XLOOKUP(AP$1,$Z$2:$Z$18,$AC$2:$AC$18-$V21)^2)))</f>
        <v/>
      </c>
      <c r="AQ21" s="151" t="str">
        <f t="array" ref="AQ21">IF(AQ$1=0,"",SQRT((_xlfn.XLOOKUP(AQ$1,$Z$2:$Z$18,$AA$2:$AA$18)-$T21)^2+(_xlfn.XLOOKUP(AQ$1,$Z$2:$Z$18,$AB$2:$AB$18)-$U21)^2+(_xlfn.XLOOKUP(AQ$1,$Z$2:$Z$18,$AC$2:$AC$18-$V21)^2)))</f>
        <v/>
      </c>
      <c r="AR21" s="151" t="str">
        <f t="array" ref="AR21">IF(AR$1=0,"",SQRT((_xlfn.XLOOKUP(AR$1,$Z$2:$Z$18,$AA$2:$AA$18)-$T21)^2+(_xlfn.XLOOKUP(AR$1,$Z$2:$Z$18,$AB$2:$AB$18)-$U21)^2+(_xlfn.XLOOKUP(AR$1,$Z$2:$Z$18,$AC$2:$AC$18-$V21)^2)))</f>
        <v/>
      </c>
      <c r="AS21" s="151" t="str">
        <f t="array" ref="AS21">IF(AS$1=0,"",SQRT((_xlfn.XLOOKUP(AS$1,$Z$2:$Z$18,$AA$2:$AA$18)-$T21)^2+(_xlfn.XLOOKUP(AS$1,$Z$2:$Z$18,$AB$2:$AB$18)-$U21)^2+(_xlfn.XLOOKUP(AS$1,$Z$2:$Z$18,$AC$2:$AC$18-$V21)^2)))</f>
        <v/>
      </c>
      <c r="AT21" s="151" t="str">
        <f t="array" ref="AT21">IF(AT$1=0,"",SQRT((_xlfn.XLOOKUP(AT$1,$Z$2:$Z$18,$AA$2:$AA$18)-$T21)^2+(_xlfn.XLOOKUP(AT$1,$Z$2:$Z$18,$AB$2:$AB$18)-$U21)^2+(_xlfn.XLOOKUP(AT$1,$Z$2:$Z$18,$AC$2:$AC$18-$V21)^2)))</f>
        <v/>
      </c>
      <c r="AU21" s="151" t="str">
        <f t="array" ref="AU21">IF(AU$1=0,"",SQRT((_xlfn.XLOOKUP(AU$1,$Z$2:$Z$18,$AA$2:$AA$18)-$T21)^2+(_xlfn.XLOOKUP(AU$1,$Z$2:$Z$18,$AB$2:$AB$18)-$U21)^2+(_xlfn.XLOOKUP(AU$1,$Z$2:$Z$18,$AC$2:$AC$18-$V21)^2)))</f>
        <v/>
      </c>
      <c r="AV21" s="152" t="str">
        <f t="array" ref="AV21">IF(AV$1=0,"",SQRT((_xlfn.XLOOKUP(AV$1,$Z$2:$Z$18,$AA$2:$AA$18)-$T21)^2+(_xlfn.XLOOKUP(AV$1,$Z$2:$Z$18,$AB$2:$AB$18)-$U21)^2+(_xlfn.XLOOKUP(AV$1,$Z$2:$Z$18,$AC$2:$AC$18-$V21)^2)))</f>
        <v/>
      </c>
      <c r="AW21" s="134"/>
      <c r="AX21" s="134"/>
      <c r="AY21" s="135">
        <f t="shared" si="4"/>
        <v>-38.446828847966557</v>
      </c>
      <c r="AZ21" s="153">
        <f t="shared" si="5"/>
        <v>-37.180918502283589</v>
      </c>
      <c r="BA21" s="153">
        <f t="shared" si="6"/>
        <v>-40.914729551308696</v>
      </c>
      <c r="BB21" s="153">
        <f t="shared" si="7"/>
        <v>-43.569994386958761</v>
      </c>
      <c r="BC21" s="153">
        <f t="shared" si="8"/>
        <v>-40.645101242901127</v>
      </c>
      <c r="BD21" s="153">
        <f t="shared" si="9"/>
        <v>0</v>
      </c>
      <c r="BE21" s="153">
        <f t="shared" si="10"/>
        <v>0</v>
      </c>
      <c r="BF21" s="153">
        <f t="shared" si="11"/>
        <v>0</v>
      </c>
      <c r="BG21" s="154">
        <f t="shared" si="12"/>
        <v>0</v>
      </c>
      <c r="BH21" s="154">
        <f t="shared" si="13"/>
        <v>0</v>
      </c>
      <c r="BI21" s="154">
        <f t="shared" si="14"/>
        <v>0</v>
      </c>
      <c r="BJ21" s="154">
        <f t="shared" si="15"/>
        <v>0</v>
      </c>
      <c r="BK21" s="154">
        <f t="shared" si="16"/>
        <v>0</v>
      </c>
      <c r="BL21" s="154">
        <f t="shared" si="17"/>
        <v>0</v>
      </c>
      <c r="BM21" s="155">
        <f t="shared" si="18"/>
        <v>0</v>
      </c>
      <c r="BN21" s="134"/>
      <c r="BO21" s="46" t="s">
        <v>56</v>
      </c>
      <c r="BP21" s="47">
        <f>BP19*BP20+BP16</f>
        <v>75.400000000000006</v>
      </c>
      <c r="BQ21" s="134"/>
      <c r="BR21" s="134"/>
      <c r="BS21" s="134"/>
      <c r="BT21" s="134"/>
      <c r="BU21" s="134"/>
      <c r="BV21" s="140">
        <v>7</v>
      </c>
      <c r="BW21" s="140">
        <v>15</v>
      </c>
      <c r="BX21" s="140">
        <v>12</v>
      </c>
      <c r="BY21" s="140">
        <v>11</v>
      </c>
      <c r="BZ21" s="140">
        <v>5</v>
      </c>
      <c r="CA21" s="140"/>
      <c r="CB21" s="140"/>
      <c r="CC21" s="140"/>
      <c r="CD21" s="140"/>
      <c r="CE21" s="140"/>
      <c r="CF21" s="140"/>
      <c r="CG21" s="140"/>
      <c r="CH21" s="140"/>
      <c r="CI21" s="140"/>
      <c r="CJ21" s="140"/>
      <c r="CK21" s="134"/>
      <c r="CL21" s="134"/>
      <c r="CM21" s="156">
        <f t="shared" si="35"/>
        <v>30.563471108673255</v>
      </c>
      <c r="CN21" s="157">
        <f t="shared" si="36"/>
        <v>23.829381454356223</v>
      </c>
      <c r="CO21" s="157">
        <f t="shared" si="37"/>
        <v>23.095570405331117</v>
      </c>
      <c r="CP21" s="157">
        <f t="shared" si="38"/>
        <v>21.440305569681051</v>
      </c>
      <c r="CQ21" s="157">
        <f t="shared" si="39"/>
        <v>30.365198713738685</v>
      </c>
      <c r="CR21" s="157" t="str">
        <f t="shared" si="40"/>
        <v/>
      </c>
      <c r="CS21" s="157" t="str">
        <f t="shared" si="41"/>
        <v/>
      </c>
      <c r="CT21" s="157" t="str">
        <f t="shared" si="42"/>
        <v/>
      </c>
      <c r="CU21" s="158" t="str">
        <f t="shared" si="43"/>
        <v/>
      </c>
      <c r="CV21" s="158" t="str">
        <f t="shared" si="44"/>
        <v/>
      </c>
      <c r="CW21" s="158" t="str">
        <f t="shared" si="45"/>
        <v/>
      </c>
      <c r="CX21" s="158" t="str">
        <f t="shared" si="46"/>
        <v/>
      </c>
      <c r="CY21" s="143" t="str">
        <f t="shared" si="47"/>
        <v/>
      </c>
      <c r="CZ21" s="143" t="str">
        <f t="shared" si="48"/>
        <v/>
      </c>
      <c r="DA21" s="144" t="str">
        <f t="shared" si="49"/>
        <v/>
      </c>
    </row>
    <row r="22" spans="1:105" ht="17.25" customHeight="1" thickBot="1" x14ac:dyDescent="0.35">
      <c r="A22" s="145">
        <v>2</v>
      </c>
      <c r="B22" s="146" t="s">
        <v>184</v>
      </c>
      <c r="C22" s="146" t="s">
        <v>143</v>
      </c>
      <c r="D22" s="147" t="s">
        <v>122</v>
      </c>
      <c r="E22" s="202" t="s">
        <v>140</v>
      </c>
      <c r="F22" s="210"/>
      <c r="G22" s="211"/>
      <c r="H22" s="211"/>
      <c r="I22" s="211"/>
      <c r="J22" s="211"/>
      <c r="K22" s="211"/>
      <c r="L22" s="211"/>
      <c r="M22" s="215"/>
      <c r="N22" s="210">
        <v>58</v>
      </c>
      <c r="O22" s="212">
        <v>5</v>
      </c>
      <c r="P22" s="205">
        <v>1</v>
      </c>
      <c r="Q22" s="128">
        <f t="shared" si="34"/>
        <v>76.010299956639813</v>
      </c>
      <c r="R22" s="3">
        <v>2</v>
      </c>
      <c r="S22" s="3"/>
      <c r="T22" s="4">
        <v>148.85</v>
      </c>
      <c r="U22" s="4">
        <v>141.30000000000001</v>
      </c>
      <c r="V22" s="109">
        <f t="shared" si="3"/>
        <v>74</v>
      </c>
      <c r="W22" s="81">
        <v>70</v>
      </c>
      <c r="X22" s="148">
        <v>4</v>
      </c>
      <c r="Z22" s="24" t="s">
        <v>57</v>
      </c>
      <c r="AA22" s="21"/>
      <c r="AB22" s="21"/>
      <c r="AC22" s="21"/>
      <c r="AH22" s="168">
        <f t="array" ref="AH22">IF(AH$1=0,"",SQRT((_xlfn.XLOOKUP(AH$1,$Z$2:$Z$18,$AA$2:$AA$18)-$T22)^2+(_xlfn.XLOOKUP(AH$1,$Z$2:$Z$18,$AB$2:$AB$18)-$U22)^2+(_xlfn.XLOOKUP(AH$1,$Z$2:$Z$18,$AC$2:$AC$18-$V22)^2)))</f>
        <v>128.59893973124349</v>
      </c>
      <c r="AI22" s="150">
        <f t="array" ref="AI22">IF(AI$1=0,"",SQRT((_xlfn.XLOOKUP(AI$1,$Z$2:$Z$18,$AA$2:$AA$18)-$T22)^2+(_xlfn.XLOOKUP(AI$1,$Z$2:$Z$18,$AB$2:$AB$18)-$U22)^2+(_xlfn.XLOOKUP(AI$1,$Z$2:$Z$18,$AC$2:$AC$18-$V22)^2)))</f>
        <v>104.64154910932845</v>
      </c>
      <c r="AJ22" s="150">
        <f t="array" ref="AJ22">IF(AJ$1=0,"",SQRT((_xlfn.XLOOKUP(AJ$1,$Z$2:$Z$18,$AA$2:$AA$18)-$T22)^2+(_xlfn.XLOOKUP(AJ$1,$Z$2:$Z$18,$AB$2:$AB$18)-$U22)^2+(_xlfn.XLOOKUP(AJ$1,$Z$2:$Z$18,$AC$2:$AC$18-$V22)^2)))</f>
        <v>137.67797790496491</v>
      </c>
      <c r="AK22" s="150">
        <f t="array" ref="AK22">IF(AK$1=0,"",SQRT((_xlfn.XLOOKUP(AK$1,$Z$2:$Z$18,$AA$2:$AA$18)-$T22)^2+(_xlfn.XLOOKUP(AK$1,$Z$2:$Z$18,$AB$2:$AB$18)-$U22)^2+(_xlfn.XLOOKUP(AK$1,$Z$2:$Z$18,$AC$2:$AC$18-$V22)^2)))</f>
        <v>179.94699941927345</v>
      </c>
      <c r="AL22" s="150">
        <f t="array" ref="AL22">IF(AL$1=0,"",SQRT((_xlfn.XLOOKUP(AL$1,$Z$2:$Z$18,$AA$2:$AA$18)-$T22)^2+(_xlfn.XLOOKUP(AL$1,$Z$2:$Z$18,$AB$2:$AB$18)-$U22)^2+(_xlfn.XLOOKUP(AL$1,$Z$2:$Z$18,$AC$2:$AC$18-$V22)^2)))</f>
        <v>155.64107844653353</v>
      </c>
      <c r="AM22" s="150" t="str">
        <f t="array" ref="AM22">IF(AM$1=0,"",SQRT((_xlfn.XLOOKUP(AM$1,$Z$2:$Z$18,$AA$2:$AA$18)-$T22)^2+(_xlfn.XLOOKUP(AM$1,$Z$2:$Z$18,$AB$2:$AB$18)-$U22)^2+(_xlfn.XLOOKUP(AM$1,$Z$2:$Z$18,$AC$2:$AC$18-$V22)^2)))</f>
        <v/>
      </c>
      <c r="AN22" s="150" t="str">
        <f t="array" ref="AN22">IF(AN$1=0,"",SQRT((_xlfn.XLOOKUP(AN$1,$Z$2:$Z$18,$AA$2:$AA$18)-$T22)^2+(_xlfn.XLOOKUP(AN$1,$Z$2:$Z$18,$AB$2:$AB$18)-$U22)^2+(_xlfn.XLOOKUP(AN$1,$Z$2:$Z$18,$AC$2:$AC$18-$V22)^2)))</f>
        <v/>
      </c>
      <c r="AO22" s="150" t="str">
        <f t="array" ref="AO22">IF(AO$1=0,"",SQRT((_xlfn.XLOOKUP(AO$1,$Z$2:$Z$18,$AA$2:$AA$18)-$T22)^2+(_xlfn.XLOOKUP(AO$1,$Z$2:$Z$18,$AB$2:$AB$18)-$U22)^2+(_xlfn.XLOOKUP(AO$1,$Z$2:$Z$18,$AC$2:$AC$18-$V22)^2)))</f>
        <v/>
      </c>
      <c r="AP22" s="151" t="str">
        <f t="array" ref="AP22">IF(AP$1=0,"",SQRT((_xlfn.XLOOKUP(AP$1,$Z$2:$Z$18,$AA$2:$AA$18)-$T22)^2+(_xlfn.XLOOKUP(AP$1,$Z$2:$Z$18,$AB$2:$AB$18)-$U22)^2+(_xlfn.XLOOKUP(AP$1,$Z$2:$Z$18,$AC$2:$AC$18-$V22)^2)))</f>
        <v/>
      </c>
      <c r="AQ22" s="151" t="str">
        <f t="array" ref="AQ22">IF(AQ$1=0,"",SQRT((_xlfn.XLOOKUP(AQ$1,$Z$2:$Z$18,$AA$2:$AA$18)-$T22)^2+(_xlfn.XLOOKUP(AQ$1,$Z$2:$Z$18,$AB$2:$AB$18)-$U22)^2+(_xlfn.XLOOKUP(AQ$1,$Z$2:$Z$18,$AC$2:$AC$18-$V22)^2)))</f>
        <v/>
      </c>
      <c r="AR22" s="151" t="str">
        <f t="array" ref="AR22">IF(AR$1=0,"",SQRT((_xlfn.XLOOKUP(AR$1,$Z$2:$Z$18,$AA$2:$AA$18)-$T22)^2+(_xlfn.XLOOKUP(AR$1,$Z$2:$Z$18,$AB$2:$AB$18)-$U22)^2+(_xlfn.XLOOKUP(AR$1,$Z$2:$Z$18,$AC$2:$AC$18-$V22)^2)))</f>
        <v/>
      </c>
      <c r="AS22" s="151" t="str">
        <f t="array" ref="AS22">IF(AS$1=0,"",SQRT((_xlfn.XLOOKUP(AS$1,$Z$2:$Z$18,$AA$2:$AA$18)-$T22)^2+(_xlfn.XLOOKUP(AS$1,$Z$2:$Z$18,$AB$2:$AB$18)-$U22)^2+(_xlfn.XLOOKUP(AS$1,$Z$2:$Z$18,$AC$2:$AC$18-$V22)^2)))</f>
        <v/>
      </c>
      <c r="AT22" s="151" t="str">
        <f t="array" ref="AT22">IF(AT$1=0,"",SQRT((_xlfn.XLOOKUP(AT$1,$Z$2:$Z$18,$AA$2:$AA$18)-$T22)^2+(_xlfn.XLOOKUP(AT$1,$Z$2:$Z$18,$AB$2:$AB$18)-$U22)^2+(_xlfn.XLOOKUP(AT$1,$Z$2:$Z$18,$AC$2:$AC$18-$V22)^2)))</f>
        <v/>
      </c>
      <c r="AU22" s="151" t="str">
        <f t="array" ref="AU22">IF(AU$1=0,"",SQRT((_xlfn.XLOOKUP(AU$1,$Z$2:$Z$18,$AA$2:$AA$18)-$T22)^2+(_xlfn.XLOOKUP(AU$1,$Z$2:$Z$18,$AB$2:$AB$18)-$U22)^2+(_xlfn.XLOOKUP(AU$1,$Z$2:$Z$18,$AC$2:$AC$18-$V22)^2)))</f>
        <v/>
      </c>
      <c r="AV22" s="152" t="str">
        <f t="array" ref="AV22">IF(AV$1=0,"",SQRT((_xlfn.XLOOKUP(AV$1,$Z$2:$Z$18,$AA$2:$AA$18)-$T22)^2+(_xlfn.XLOOKUP(AV$1,$Z$2:$Z$18,$AB$2:$AB$18)-$U22)^2+(_xlfn.XLOOKUP(AV$1,$Z$2:$Z$18,$AC$2:$AC$18-$V22)^2)))</f>
        <v/>
      </c>
      <c r="AW22" s="134"/>
      <c r="AX22" s="200" t="str">
        <f>BR32</f>
        <v>Barrier Reduction per ARI: 5 dB</v>
      </c>
      <c r="AY22" s="135">
        <f t="shared" si="4"/>
        <v>-39.846845695824229</v>
      </c>
      <c r="AZ22" s="153">
        <f t="shared" si="5"/>
        <v>-38.056181143052562</v>
      </c>
      <c r="BA22" s="153">
        <f t="shared" si="6"/>
        <v>-40.439387513426404</v>
      </c>
      <c r="BB22" s="153">
        <f t="shared" si="7"/>
        <v>-42.764990122421842</v>
      </c>
      <c r="BC22" s="153">
        <f t="shared" si="8"/>
        <v>-41.504582564834543</v>
      </c>
      <c r="BD22" s="153">
        <f t="shared" si="9"/>
        <v>0</v>
      </c>
      <c r="BE22" s="153">
        <f t="shared" si="10"/>
        <v>0</v>
      </c>
      <c r="BF22" s="153">
        <f t="shared" si="11"/>
        <v>0</v>
      </c>
      <c r="BG22" s="154">
        <f t="shared" si="12"/>
        <v>0</v>
      </c>
      <c r="BH22" s="154">
        <f t="shared" si="13"/>
        <v>0</v>
      </c>
      <c r="BI22" s="154">
        <f t="shared" si="14"/>
        <v>0</v>
      </c>
      <c r="BJ22" s="154">
        <f t="shared" si="15"/>
        <v>0</v>
      </c>
      <c r="BK22" s="154">
        <f t="shared" si="16"/>
        <v>0</v>
      </c>
      <c r="BL22" s="154">
        <f t="shared" si="17"/>
        <v>0</v>
      </c>
      <c r="BM22" s="155">
        <f t="shared" si="18"/>
        <v>0</v>
      </c>
      <c r="BN22" s="134"/>
      <c r="BO22" s="21" t="s">
        <v>58</v>
      </c>
      <c r="BP22" s="21"/>
      <c r="BQ22" s="134"/>
      <c r="BR22" s="134"/>
      <c r="BS22" s="134"/>
      <c r="BT22" s="134"/>
      <c r="BU22" s="134"/>
      <c r="BV22" s="140">
        <v>7</v>
      </c>
      <c r="BW22" s="140">
        <v>15</v>
      </c>
      <c r="BX22" s="140">
        <v>15</v>
      </c>
      <c r="BY22" s="140">
        <v>10</v>
      </c>
      <c r="BZ22" s="140">
        <v>5</v>
      </c>
      <c r="CA22" s="140"/>
      <c r="CB22" s="140"/>
      <c r="CC22" s="140"/>
      <c r="CD22" s="140"/>
      <c r="CE22" s="140"/>
      <c r="CF22" s="140"/>
      <c r="CG22" s="140"/>
      <c r="CH22" s="140"/>
      <c r="CI22" s="140"/>
      <c r="CJ22" s="140"/>
      <c r="CK22" s="134"/>
      <c r="CL22" s="134"/>
      <c r="CM22" s="156">
        <f t="shared" si="35"/>
        <v>29.163454260815584</v>
      </c>
      <c r="CN22" s="157">
        <f t="shared" si="36"/>
        <v>22.95411881358725</v>
      </c>
      <c r="CO22" s="157">
        <f t="shared" si="37"/>
        <v>20.570912443213409</v>
      </c>
      <c r="CP22" s="157">
        <f t="shared" si="38"/>
        <v>23.24530983421797</v>
      </c>
      <c r="CQ22" s="157">
        <f t="shared" si="39"/>
        <v>29.50571739180527</v>
      </c>
      <c r="CR22" s="157" t="str">
        <f t="shared" si="40"/>
        <v/>
      </c>
      <c r="CS22" s="157" t="str">
        <f t="shared" si="41"/>
        <v/>
      </c>
      <c r="CT22" s="157" t="str">
        <f t="shared" si="42"/>
        <v/>
      </c>
      <c r="CU22" s="158" t="str">
        <f t="shared" si="43"/>
        <v/>
      </c>
      <c r="CV22" s="158" t="str">
        <f t="shared" si="44"/>
        <v/>
      </c>
      <c r="CW22" s="158" t="str">
        <f t="shared" si="45"/>
        <v/>
      </c>
      <c r="CX22" s="158" t="str">
        <f t="shared" si="46"/>
        <v/>
      </c>
      <c r="CY22" s="143" t="str">
        <f t="shared" si="47"/>
        <v/>
      </c>
      <c r="CZ22" s="143" t="str">
        <f t="shared" si="48"/>
        <v/>
      </c>
      <c r="DA22" s="144" t="str">
        <f t="shared" si="49"/>
        <v/>
      </c>
    </row>
    <row r="23" spans="1:105" ht="17.25" customHeight="1" thickBot="1" x14ac:dyDescent="0.35">
      <c r="A23" s="145">
        <v>1</v>
      </c>
      <c r="B23" s="146" t="s">
        <v>148</v>
      </c>
      <c r="C23" s="146" t="s">
        <v>125</v>
      </c>
      <c r="D23" s="147" t="s">
        <v>122</v>
      </c>
      <c r="E23" s="202" t="s">
        <v>141</v>
      </c>
      <c r="F23" s="210"/>
      <c r="G23" s="211"/>
      <c r="H23" s="211"/>
      <c r="I23" s="211"/>
      <c r="J23" s="211"/>
      <c r="K23" s="211"/>
      <c r="L23" s="211"/>
      <c r="M23" s="215"/>
      <c r="N23" s="210">
        <v>57.392737795737183</v>
      </c>
      <c r="O23" s="212">
        <v>0</v>
      </c>
      <c r="P23" s="205">
        <v>1</v>
      </c>
      <c r="Q23" s="128">
        <f t="shared" si="34"/>
        <v>57</v>
      </c>
      <c r="R23" s="3">
        <v>2</v>
      </c>
      <c r="S23" s="3"/>
      <c r="T23" s="4">
        <v>52.01</v>
      </c>
      <c r="U23" s="4">
        <v>82.77</v>
      </c>
      <c r="V23" s="109">
        <f t="shared" si="3"/>
        <v>75</v>
      </c>
      <c r="W23" s="81">
        <v>73</v>
      </c>
      <c r="X23" s="148">
        <v>2</v>
      </c>
      <c r="Z23" s="24"/>
      <c r="AA23" s="50" t="s">
        <v>59</v>
      </c>
      <c r="AB23" s="50" t="s">
        <v>60</v>
      </c>
      <c r="AC23" s="51" t="s">
        <v>61</v>
      </c>
      <c r="AD23" s="50" t="s">
        <v>62</v>
      </c>
      <c r="AE23" s="50" t="s">
        <v>63</v>
      </c>
      <c r="AF23" s="51" t="s">
        <v>64</v>
      </c>
      <c r="AH23" s="168">
        <f t="array" ref="AH23">IF(AH$1=0,"",SQRT((_xlfn.XLOOKUP(AH$1,$Z$2:$Z$18,$AA$2:$AA$18)-$T23)^2+(_xlfn.XLOOKUP(AH$1,$Z$2:$Z$18,$AB$2:$AB$18)-$U23)^2+(_xlfn.XLOOKUP(AH$1,$Z$2:$Z$18,$AC$2:$AC$18-$V23)^2)))</f>
        <v>21.422777597687933</v>
      </c>
      <c r="AI23" s="150">
        <f t="array" ref="AI23">IF(AI$1=0,"",SQRT((_xlfn.XLOOKUP(AI$1,$Z$2:$Z$18,$AA$2:$AA$18)-$T23)^2+(_xlfn.XLOOKUP(AI$1,$Z$2:$Z$18,$AB$2:$AB$18)-$U23)^2+(_xlfn.XLOOKUP(AI$1,$Z$2:$Z$18,$AC$2:$AC$18-$V23)^2)))</f>
        <v>69.948639014637024</v>
      </c>
      <c r="AJ23" s="150">
        <f t="array" ref="AJ23">IF(AJ$1=0,"",SQRT((_xlfn.XLOOKUP(AJ$1,$Z$2:$Z$18,$AA$2:$AA$18)-$T23)^2+(_xlfn.XLOOKUP(AJ$1,$Z$2:$Z$18,$AB$2:$AB$18)-$U23)^2+(_xlfn.XLOOKUP(AJ$1,$Z$2:$Z$18,$AC$2:$AC$18-$V23)^2)))</f>
        <v>176.30222034903588</v>
      </c>
      <c r="AK23" s="150">
        <f t="array" ref="AK23">IF(AK$1=0,"",SQRT((_xlfn.XLOOKUP(AK$1,$Z$2:$Z$18,$AA$2:$AA$18)-$T23)^2+(_xlfn.XLOOKUP(AK$1,$Z$2:$Z$18,$AB$2:$AB$18)-$U23)^2+(_xlfn.XLOOKUP(AK$1,$Z$2:$Z$18,$AC$2:$AC$18-$V23)^2)))</f>
        <v>267.17936091696907</v>
      </c>
      <c r="AL23" s="150">
        <f t="array" ref="AL23">IF(AL$1=0,"",SQRT((_xlfn.XLOOKUP(AL$1,$Z$2:$Z$18,$AA$2:$AA$18)-$T23)^2+(_xlfn.XLOOKUP(AL$1,$Z$2:$Z$18,$AB$2:$AB$18)-$U23)^2+(_xlfn.XLOOKUP(AL$1,$Z$2:$Z$18,$AC$2:$AC$18-$V23)^2)))</f>
        <v>139.65690817141842</v>
      </c>
      <c r="AM23" s="150" t="str">
        <f t="array" ref="AM23">IF(AM$1=0,"",SQRT((_xlfn.XLOOKUP(AM$1,$Z$2:$Z$18,$AA$2:$AA$18)-$T23)^2+(_xlfn.XLOOKUP(AM$1,$Z$2:$Z$18,$AB$2:$AB$18)-$U23)^2+(_xlfn.XLOOKUP(AM$1,$Z$2:$Z$18,$AC$2:$AC$18-$V23)^2)))</f>
        <v/>
      </c>
      <c r="AN23" s="150" t="str">
        <f t="array" ref="AN23">IF(AN$1=0,"",SQRT((_xlfn.XLOOKUP(AN$1,$Z$2:$Z$18,$AA$2:$AA$18)-$T23)^2+(_xlfn.XLOOKUP(AN$1,$Z$2:$Z$18,$AB$2:$AB$18)-$U23)^2+(_xlfn.XLOOKUP(AN$1,$Z$2:$Z$18,$AC$2:$AC$18-$V23)^2)))</f>
        <v/>
      </c>
      <c r="AO23" s="150" t="str">
        <f t="array" ref="AO23">IF(AO$1=0,"",SQRT((_xlfn.XLOOKUP(AO$1,$Z$2:$Z$18,$AA$2:$AA$18)-$T23)^2+(_xlfn.XLOOKUP(AO$1,$Z$2:$Z$18,$AB$2:$AB$18)-$U23)^2+(_xlfn.XLOOKUP(AO$1,$Z$2:$Z$18,$AC$2:$AC$18-$V23)^2)))</f>
        <v/>
      </c>
      <c r="AP23" s="151" t="str">
        <f t="array" ref="AP23">IF(AP$1=0,"",SQRT((_xlfn.XLOOKUP(AP$1,$Z$2:$Z$18,$AA$2:$AA$18)-$T23)^2+(_xlfn.XLOOKUP(AP$1,$Z$2:$Z$18,$AB$2:$AB$18)-$U23)^2+(_xlfn.XLOOKUP(AP$1,$Z$2:$Z$18,$AC$2:$AC$18-$V23)^2)))</f>
        <v/>
      </c>
      <c r="AQ23" s="151" t="str">
        <f t="array" ref="AQ23">IF(AQ$1=0,"",SQRT((_xlfn.XLOOKUP(AQ$1,$Z$2:$Z$18,$AA$2:$AA$18)-$T23)^2+(_xlfn.XLOOKUP(AQ$1,$Z$2:$Z$18,$AB$2:$AB$18)-$U23)^2+(_xlfn.XLOOKUP(AQ$1,$Z$2:$Z$18,$AC$2:$AC$18-$V23)^2)))</f>
        <v/>
      </c>
      <c r="AR23" s="151" t="str">
        <f t="array" ref="AR23">IF(AR$1=0,"",SQRT((_xlfn.XLOOKUP(AR$1,$Z$2:$Z$18,$AA$2:$AA$18)-$T23)^2+(_xlfn.XLOOKUP(AR$1,$Z$2:$Z$18,$AB$2:$AB$18)-$U23)^2+(_xlfn.XLOOKUP(AR$1,$Z$2:$Z$18,$AC$2:$AC$18-$V23)^2)))</f>
        <v/>
      </c>
      <c r="AS23" s="151" t="str">
        <f t="array" ref="AS23">IF(AS$1=0,"",SQRT((_xlfn.XLOOKUP(AS$1,$Z$2:$Z$18,$AA$2:$AA$18)-$T23)^2+(_xlfn.XLOOKUP(AS$1,$Z$2:$Z$18,$AB$2:$AB$18)-$U23)^2+(_xlfn.XLOOKUP(AS$1,$Z$2:$Z$18,$AC$2:$AC$18-$V23)^2)))</f>
        <v/>
      </c>
      <c r="AT23" s="151" t="str">
        <f t="array" ref="AT23">IF(AT$1=0,"",SQRT((_xlfn.XLOOKUP(AT$1,$Z$2:$Z$18,$AA$2:$AA$18)-$T23)^2+(_xlfn.XLOOKUP(AT$1,$Z$2:$Z$18,$AB$2:$AB$18)-$U23)^2+(_xlfn.XLOOKUP(AT$1,$Z$2:$Z$18,$AC$2:$AC$18-$V23)^2)))</f>
        <v/>
      </c>
      <c r="AU23" s="151" t="str">
        <f t="array" ref="AU23">IF(AU$1=0,"",SQRT((_xlfn.XLOOKUP(AU$1,$Z$2:$Z$18,$AA$2:$AA$18)-$T23)^2+(_xlfn.XLOOKUP(AU$1,$Z$2:$Z$18,$AB$2:$AB$18)-$U23)^2+(_xlfn.XLOOKUP(AU$1,$Z$2:$Z$18,$AC$2:$AC$18-$V23)^2)))</f>
        <v/>
      </c>
      <c r="AV23" s="152" t="str">
        <f t="array" ref="AV23">IF(AV$1=0,"",SQRT((_xlfn.XLOOKUP(AV$1,$Z$2:$Z$18,$AA$2:$AA$18)-$T23)^2+(_xlfn.XLOOKUP(AV$1,$Z$2:$Z$18,$AB$2:$AB$18)-$U23)^2+(_xlfn.XLOOKUP(AV$1,$Z$2:$Z$18,$AC$2:$AC$18-$V23)^2)))</f>
        <v/>
      </c>
      <c r="AW23" s="134"/>
      <c r="AX23" s="134"/>
      <c r="AY23" s="135">
        <f t="shared" si="4"/>
        <v>-24.27961352001773</v>
      </c>
      <c r="AZ23" s="153">
        <f t="shared" si="5"/>
        <v>-34.557683314437661</v>
      </c>
      <c r="BA23" s="153">
        <f t="shared" si="6"/>
        <v>-42.587253573646251</v>
      </c>
      <c r="BB23" s="153">
        <f t="shared" si="7"/>
        <v>-46.198156070931674</v>
      </c>
      <c r="BC23" s="153">
        <f t="shared" si="8"/>
        <v>-40.563346398471083</v>
      </c>
      <c r="BD23" s="153">
        <f t="shared" si="9"/>
        <v>0</v>
      </c>
      <c r="BE23" s="153">
        <f t="shared" si="10"/>
        <v>0</v>
      </c>
      <c r="BF23" s="153">
        <f t="shared" si="11"/>
        <v>0</v>
      </c>
      <c r="BG23" s="154">
        <f t="shared" si="12"/>
        <v>0</v>
      </c>
      <c r="BH23" s="154">
        <f t="shared" si="13"/>
        <v>0</v>
      </c>
      <c r="BI23" s="154">
        <f t="shared" si="14"/>
        <v>0</v>
      </c>
      <c r="BJ23" s="154">
        <f t="shared" si="15"/>
        <v>0</v>
      </c>
      <c r="BK23" s="154">
        <f t="shared" si="16"/>
        <v>0</v>
      </c>
      <c r="BL23" s="154">
        <f t="shared" si="17"/>
        <v>0</v>
      </c>
      <c r="BM23" s="155">
        <f t="shared" si="18"/>
        <v>0</v>
      </c>
      <c r="BN23" s="134"/>
      <c r="BO23" s="134"/>
      <c r="BP23" s="134"/>
      <c r="BQ23" s="134"/>
      <c r="BR23" s="134"/>
      <c r="BS23" s="134"/>
      <c r="BT23" s="134"/>
      <c r="BU23" s="134"/>
      <c r="BV23" s="140">
        <v>0</v>
      </c>
      <c r="BW23" s="140">
        <v>0</v>
      </c>
      <c r="BX23" s="140">
        <v>0</v>
      </c>
      <c r="BY23" s="140">
        <v>13</v>
      </c>
      <c r="BZ23" s="140">
        <v>0</v>
      </c>
      <c r="CA23" s="140"/>
      <c r="CB23" s="140"/>
      <c r="CC23" s="140"/>
      <c r="CD23" s="140"/>
      <c r="CE23" s="140"/>
      <c r="CF23" s="140"/>
      <c r="CG23" s="140"/>
      <c r="CH23" s="140"/>
      <c r="CI23" s="140"/>
      <c r="CJ23" s="140"/>
      <c r="CK23" s="134"/>
      <c r="CL23" s="134"/>
      <c r="CM23" s="156">
        <f t="shared" si="35"/>
        <v>32.720386479982267</v>
      </c>
      <c r="CN23" s="157">
        <f t="shared" si="36"/>
        <v>22.442316685562339</v>
      </c>
      <c r="CO23" s="157">
        <f t="shared" si="37"/>
        <v>14.412746426353749</v>
      </c>
      <c r="CP23" s="157">
        <f t="shared" si="38"/>
        <v>-2.1981560709316739</v>
      </c>
      <c r="CQ23" s="157">
        <f t="shared" si="39"/>
        <v>16.436653601528917</v>
      </c>
      <c r="CR23" s="157" t="str">
        <f t="shared" si="40"/>
        <v/>
      </c>
      <c r="CS23" s="157" t="str">
        <f t="shared" si="41"/>
        <v/>
      </c>
      <c r="CT23" s="157" t="str">
        <f t="shared" si="42"/>
        <v/>
      </c>
      <c r="CU23" s="158" t="str">
        <f t="shared" si="43"/>
        <v/>
      </c>
      <c r="CV23" s="158" t="str">
        <f t="shared" si="44"/>
        <v/>
      </c>
      <c r="CW23" s="158" t="str">
        <f t="shared" si="45"/>
        <v/>
      </c>
      <c r="CX23" s="158" t="str">
        <f t="shared" si="46"/>
        <v/>
      </c>
      <c r="CY23" s="143" t="str">
        <f t="shared" si="47"/>
        <v/>
      </c>
      <c r="CZ23" s="143" t="str">
        <f t="shared" si="48"/>
        <v/>
      </c>
      <c r="DA23" s="144" t="str">
        <f t="shared" si="49"/>
        <v/>
      </c>
    </row>
    <row r="24" spans="1:105" ht="16.5" customHeight="1" x14ac:dyDescent="0.3">
      <c r="A24" s="145">
        <v>1</v>
      </c>
      <c r="B24" s="146" t="s">
        <v>149</v>
      </c>
      <c r="C24" s="146" t="s">
        <v>125</v>
      </c>
      <c r="D24" s="147" t="s">
        <v>122</v>
      </c>
      <c r="E24" s="202" t="s">
        <v>142</v>
      </c>
      <c r="F24" s="210"/>
      <c r="G24" s="211"/>
      <c r="H24" s="211"/>
      <c r="I24" s="211"/>
      <c r="J24" s="211"/>
      <c r="K24" s="211"/>
      <c r="L24" s="211"/>
      <c r="M24" s="215"/>
      <c r="N24" s="210">
        <v>65.873120921161103</v>
      </c>
      <c r="O24" s="212">
        <v>0</v>
      </c>
      <c r="P24" s="205">
        <v>1</v>
      </c>
      <c r="Q24" s="128">
        <f t="shared" si="34"/>
        <v>66</v>
      </c>
      <c r="R24" s="3">
        <v>2</v>
      </c>
      <c r="S24" s="3"/>
      <c r="T24" s="4">
        <v>75.16</v>
      </c>
      <c r="U24" s="4">
        <v>87.7</v>
      </c>
      <c r="V24" s="109">
        <f t="shared" si="3"/>
        <v>75</v>
      </c>
      <c r="W24" s="81">
        <v>73</v>
      </c>
      <c r="X24" s="148">
        <v>2</v>
      </c>
      <c r="Z24" s="115" t="s">
        <v>161</v>
      </c>
      <c r="AA24" s="112">
        <v>77.77</v>
      </c>
      <c r="AB24" s="105">
        <v>86.9</v>
      </c>
      <c r="AC24" s="106">
        <v>75.400000000000006</v>
      </c>
      <c r="AD24" s="105">
        <v>163.68</v>
      </c>
      <c r="AE24" s="105">
        <v>103.73</v>
      </c>
      <c r="AF24" s="106">
        <v>75.400000000000006</v>
      </c>
      <c r="AH24" s="168">
        <f t="array" ref="AH24">IF(AH$1=0,"",SQRT((_xlfn.XLOOKUP(AH$1,$Z$2:$Z$18,$AA$2:$AA$18)-$T24)^2+(_xlfn.XLOOKUP(AH$1,$Z$2:$Z$18,$AB$2:$AB$18)-$U24)^2+(_xlfn.XLOOKUP(AH$1,$Z$2:$Z$18,$AC$2:$AC$18-$V24)^2)))</f>
        <v>43.107549222844945</v>
      </c>
      <c r="AI24" s="150">
        <f t="array" ref="AI24">IF(AI$1=0,"",SQRT((_xlfn.XLOOKUP(AI$1,$Z$2:$Z$18,$AA$2:$AA$18)-$T24)^2+(_xlfn.XLOOKUP(AI$1,$Z$2:$Z$18,$AB$2:$AB$18)-$U24)^2+(_xlfn.XLOOKUP(AI$1,$Z$2:$Z$18,$AC$2:$AC$18-$V24)^2)))</f>
        <v>57.558635320862159</v>
      </c>
      <c r="AJ24" s="150">
        <f t="array" ref="AJ24">IF(AJ$1=0,"",SQRT((_xlfn.XLOOKUP(AJ$1,$Z$2:$Z$18,$AA$2:$AA$18)-$T24)^2+(_xlfn.XLOOKUP(AJ$1,$Z$2:$Z$18,$AB$2:$AB$18)-$U24)^2+(_xlfn.XLOOKUP(AJ$1,$Z$2:$Z$18,$AC$2:$AC$18-$V24)^2)))</f>
        <v>156.83578195042099</v>
      </c>
      <c r="AK24" s="150">
        <f t="array" ref="AK24">IF(AK$1=0,"",SQRT((_xlfn.XLOOKUP(AK$1,$Z$2:$Z$18,$AA$2:$AA$18)-$T24)^2+(_xlfn.XLOOKUP(AK$1,$Z$2:$Z$18,$AB$2:$AB$18)-$U24)^2+(_xlfn.XLOOKUP(AK$1,$Z$2:$Z$18,$AC$2:$AC$18-$V24)^2)))</f>
        <v>244.22369356800746</v>
      </c>
      <c r="AL24" s="150">
        <f t="array" ref="AL24">IF(AL$1=0,"",SQRT((_xlfn.XLOOKUP(AL$1,$Z$2:$Z$18,$AA$2:$AA$18)-$T24)^2+(_xlfn.XLOOKUP(AL$1,$Z$2:$Z$18,$AB$2:$AB$18)-$U24)^2+(_xlfn.XLOOKUP(AL$1,$Z$2:$Z$18,$AC$2:$AC$18-$V24)^2)))</f>
        <v>143.25237101004646</v>
      </c>
      <c r="AM24" s="150" t="str">
        <f t="array" ref="AM24">IF(AM$1=0,"",SQRT((_xlfn.XLOOKUP(AM$1,$Z$2:$Z$18,$AA$2:$AA$18)-$T24)^2+(_xlfn.XLOOKUP(AM$1,$Z$2:$Z$18,$AB$2:$AB$18)-$U24)^2+(_xlfn.XLOOKUP(AM$1,$Z$2:$Z$18,$AC$2:$AC$18-$V24)^2)))</f>
        <v/>
      </c>
      <c r="AN24" s="150" t="str">
        <f t="array" ref="AN24">IF(AN$1=0,"",SQRT((_xlfn.XLOOKUP(AN$1,$Z$2:$Z$18,$AA$2:$AA$18)-$T24)^2+(_xlfn.XLOOKUP(AN$1,$Z$2:$Z$18,$AB$2:$AB$18)-$U24)^2+(_xlfn.XLOOKUP(AN$1,$Z$2:$Z$18,$AC$2:$AC$18-$V24)^2)))</f>
        <v/>
      </c>
      <c r="AO24" s="150" t="str">
        <f t="array" ref="AO24">IF(AO$1=0,"",SQRT((_xlfn.XLOOKUP(AO$1,$Z$2:$Z$18,$AA$2:$AA$18)-$T24)^2+(_xlfn.XLOOKUP(AO$1,$Z$2:$Z$18,$AB$2:$AB$18)-$U24)^2+(_xlfn.XLOOKUP(AO$1,$Z$2:$Z$18,$AC$2:$AC$18-$V24)^2)))</f>
        <v/>
      </c>
      <c r="AP24" s="151" t="str">
        <f t="array" ref="AP24">IF(AP$1=0,"",SQRT((_xlfn.XLOOKUP(AP$1,$Z$2:$Z$18,$AA$2:$AA$18)-$T24)^2+(_xlfn.XLOOKUP(AP$1,$Z$2:$Z$18,$AB$2:$AB$18)-$U24)^2+(_xlfn.XLOOKUP(AP$1,$Z$2:$Z$18,$AC$2:$AC$18-$V24)^2)))</f>
        <v/>
      </c>
      <c r="AQ24" s="151" t="str">
        <f t="array" ref="AQ24">IF(AQ$1=0,"",SQRT((_xlfn.XLOOKUP(AQ$1,$Z$2:$Z$18,$AA$2:$AA$18)-$T24)^2+(_xlfn.XLOOKUP(AQ$1,$Z$2:$Z$18,$AB$2:$AB$18)-$U24)^2+(_xlfn.XLOOKUP(AQ$1,$Z$2:$Z$18,$AC$2:$AC$18-$V24)^2)))</f>
        <v/>
      </c>
      <c r="AR24" s="151" t="str">
        <f t="array" ref="AR24">IF(AR$1=0,"",SQRT((_xlfn.XLOOKUP(AR$1,$Z$2:$Z$18,$AA$2:$AA$18)-$T24)^2+(_xlfn.XLOOKUP(AR$1,$Z$2:$Z$18,$AB$2:$AB$18)-$U24)^2+(_xlfn.XLOOKUP(AR$1,$Z$2:$Z$18,$AC$2:$AC$18-$V24)^2)))</f>
        <v/>
      </c>
      <c r="AS24" s="151" t="str">
        <f t="array" ref="AS24">IF(AS$1=0,"",SQRT((_xlfn.XLOOKUP(AS$1,$Z$2:$Z$18,$AA$2:$AA$18)-$T24)^2+(_xlfn.XLOOKUP(AS$1,$Z$2:$Z$18,$AB$2:$AB$18)-$U24)^2+(_xlfn.XLOOKUP(AS$1,$Z$2:$Z$18,$AC$2:$AC$18-$V24)^2)))</f>
        <v/>
      </c>
      <c r="AT24" s="151" t="str">
        <f t="array" ref="AT24">IF(AT$1=0,"",SQRT((_xlfn.XLOOKUP(AT$1,$Z$2:$Z$18,$AA$2:$AA$18)-$T24)^2+(_xlfn.XLOOKUP(AT$1,$Z$2:$Z$18,$AB$2:$AB$18)-$U24)^2+(_xlfn.XLOOKUP(AT$1,$Z$2:$Z$18,$AC$2:$AC$18-$V24)^2)))</f>
        <v/>
      </c>
      <c r="AU24" s="151" t="str">
        <f t="array" ref="AU24">IF(AU$1=0,"",SQRT((_xlfn.XLOOKUP(AU$1,$Z$2:$Z$18,$AA$2:$AA$18)-$T24)^2+(_xlfn.XLOOKUP(AU$1,$Z$2:$Z$18,$AB$2:$AB$18)-$U24)^2+(_xlfn.XLOOKUP(AU$1,$Z$2:$Z$18,$AC$2:$AC$18-$V24)^2)))</f>
        <v/>
      </c>
      <c r="AV24" s="152" t="str">
        <f t="array" ref="AV24">IF(AV$1=0,"",SQRT((_xlfn.XLOOKUP(AV$1,$Z$2:$Z$18,$AA$2:$AA$18)-$T24)^2+(_xlfn.XLOOKUP(AV$1,$Z$2:$Z$18,$AB$2:$AB$18)-$U24)^2+(_xlfn.XLOOKUP(AV$1,$Z$2:$Z$18,$AC$2:$AC$18-$V24)^2)))</f>
        <v/>
      </c>
      <c r="AW24" s="134"/>
      <c r="AX24" s="134"/>
      <c r="AY24" s="135">
        <f t="shared" si="4"/>
        <v>-30.35316459245599</v>
      </c>
      <c r="AZ24" s="153">
        <f t="shared" si="5"/>
        <v>-32.864307707670243</v>
      </c>
      <c r="BA24" s="153">
        <f t="shared" si="6"/>
        <v>-41.571001008336623</v>
      </c>
      <c r="BB24" s="153">
        <f t="shared" si="7"/>
        <v>-45.417853838911512</v>
      </c>
      <c r="BC24" s="153">
        <f t="shared" si="8"/>
        <v>-40.784134313498711</v>
      </c>
      <c r="BD24" s="153">
        <f t="shared" si="9"/>
        <v>0</v>
      </c>
      <c r="BE24" s="153">
        <f t="shared" si="10"/>
        <v>0</v>
      </c>
      <c r="BF24" s="153">
        <f t="shared" si="11"/>
        <v>0</v>
      </c>
      <c r="BG24" s="154">
        <f t="shared" si="12"/>
        <v>0</v>
      </c>
      <c r="BH24" s="154">
        <f t="shared" si="13"/>
        <v>0</v>
      </c>
      <c r="BI24" s="154">
        <f t="shared" si="14"/>
        <v>0</v>
      </c>
      <c r="BJ24" s="154">
        <f t="shared" si="15"/>
        <v>0</v>
      </c>
      <c r="BK24" s="154">
        <f t="shared" si="16"/>
        <v>0</v>
      </c>
      <c r="BL24" s="154">
        <f t="shared" si="17"/>
        <v>0</v>
      </c>
      <c r="BM24" s="155">
        <f t="shared" si="18"/>
        <v>0</v>
      </c>
      <c r="BN24" s="134"/>
      <c r="BO24" s="134"/>
      <c r="BP24" s="134"/>
      <c r="BQ24" s="134"/>
      <c r="BR24" s="134"/>
      <c r="BS24" s="134"/>
      <c r="BT24" s="134"/>
      <c r="BU24" s="134"/>
      <c r="BV24" s="140">
        <v>0</v>
      </c>
      <c r="BW24" s="140">
        <v>0</v>
      </c>
      <c r="BX24" s="140">
        <v>10</v>
      </c>
      <c r="BY24" s="140">
        <v>13</v>
      </c>
      <c r="BZ24" s="140">
        <v>5</v>
      </c>
      <c r="CA24" s="140"/>
      <c r="CB24" s="140"/>
      <c r="CC24" s="140"/>
      <c r="CD24" s="140"/>
      <c r="CE24" s="140"/>
      <c r="CF24" s="140"/>
      <c r="CG24" s="140"/>
      <c r="CH24" s="140"/>
      <c r="CI24" s="140"/>
      <c r="CJ24" s="140"/>
      <c r="CK24" s="134"/>
      <c r="CL24" s="134"/>
      <c r="CM24" s="156">
        <f t="shared" si="35"/>
        <v>35.64683540754401</v>
      </c>
      <c r="CN24" s="157">
        <f t="shared" si="36"/>
        <v>33.135692292329757</v>
      </c>
      <c r="CO24" s="157">
        <f t="shared" si="37"/>
        <v>14.428998991663377</v>
      </c>
      <c r="CP24" s="157">
        <f t="shared" si="38"/>
        <v>7.5821461610884882</v>
      </c>
      <c r="CQ24" s="157">
        <f t="shared" si="39"/>
        <v>20.215865686501289</v>
      </c>
      <c r="CR24" s="157" t="str">
        <f t="shared" si="40"/>
        <v/>
      </c>
      <c r="CS24" s="157" t="str">
        <f t="shared" si="41"/>
        <v/>
      </c>
      <c r="CT24" s="157" t="str">
        <f t="shared" si="42"/>
        <v/>
      </c>
      <c r="CU24" s="158" t="str">
        <f t="shared" si="43"/>
        <v/>
      </c>
      <c r="CV24" s="158" t="str">
        <f t="shared" si="44"/>
        <v/>
      </c>
      <c r="CW24" s="158" t="str">
        <f t="shared" si="45"/>
        <v/>
      </c>
      <c r="CX24" s="158" t="str">
        <f t="shared" si="46"/>
        <v/>
      </c>
      <c r="CY24" s="143" t="str">
        <f t="shared" si="47"/>
        <v/>
      </c>
      <c r="CZ24" s="143" t="str">
        <f t="shared" si="48"/>
        <v/>
      </c>
      <c r="DA24" s="144" t="str">
        <f t="shared" si="49"/>
        <v/>
      </c>
    </row>
    <row r="25" spans="1:105" ht="16.5" customHeight="1" x14ac:dyDescent="0.3">
      <c r="A25" s="145">
        <v>1</v>
      </c>
      <c r="B25" s="146" t="s">
        <v>150</v>
      </c>
      <c r="C25" s="146" t="s">
        <v>125</v>
      </c>
      <c r="D25" s="147" t="s">
        <v>122</v>
      </c>
      <c r="E25" s="202" t="s">
        <v>142</v>
      </c>
      <c r="F25" s="210"/>
      <c r="G25" s="211"/>
      <c r="H25" s="211"/>
      <c r="I25" s="211"/>
      <c r="J25" s="211"/>
      <c r="K25" s="211"/>
      <c r="L25" s="211"/>
      <c r="M25" s="215"/>
      <c r="N25" s="210">
        <v>65.873120921161103</v>
      </c>
      <c r="O25" s="212">
        <v>0</v>
      </c>
      <c r="P25" s="205">
        <v>1</v>
      </c>
      <c r="Q25" s="128">
        <f t="shared" si="34"/>
        <v>66</v>
      </c>
      <c r="R25" s="3">
        <v>2</v>
      </c>
      <c r="S25" s="3"/>
      <c r="T25" s="4">
        <v>104.4</v>
      </c>
      <c r="U25" s="4">
        <v>93.12</v>
      </c>
      <c r="V25" s="109">
        <f t="shared" si="3"/>
        <v>75</v>
      </c>
      <c r="W25" s="81">
        <v>73</v>
      </c>
      <c r="X25" s="148">
        <v>2</v>
      </c>
      <c r="Z25" s="115" t="s">
        <v>162</v>
      </c>
      <c r="AA25" s="113">
        <v>163.68</v>
      </c>
      <c r="AB25" s="52">
        <v>103.84</v>
      </c>
      <c r="AC25" s="106">
        <v>75.400000000000006</v>
      </c>
      <c r="AD25" s="52">
        <v>176.44</v>
      </c>
      <c r="AE25" s="52">
        <v>39.71</v>
      </c>
      <c r="AF25" s="53">
        <v>75.400000000000006</v>
      </c>
      <c r="AH25" s="168">
        <f t="array" ref="AH25">IF(AH$1=0,"",SQRT((_xlfn.XLOOKUP(AH$1,$Z$2:$Z$18,$AA$2:$AA$18)-$T25)^2+(_xlfn.XLOOKUP(AH$1,$Z$2:$Z$18,$AB$2:$AB$18)-$U25)^2+(_xlfn.XLOOKUP(AH$1,$Z$2:$Z$18,$AC$2:$AC$18-$V25)^2)))</f>
        <v>72.210140562112201</v>
      </c>
      <c r="AI25" s="150">
        <f t="array" ref="AI25">IF(AI$1=0,"",SQRT((_xlfn.XLOOKUP(AI$1,$Z$2:$Z$18,$AA$2:$AA$18)-$T25)^2+(_xlfn.XLOOKUP(AI$1,$Z$2:$Z$18,$AB$2:$AB$18)-$U25)^2+(_xlfn.XLOOKUP(AI$1,$Z$2:$Z$18,$AC$2:$AC$18-$V25)^2)))</f>
        <v>53.415081203719986</v>
      </c>
      <c r="AJ25" s="150">
        <f t="array" ref="AJ25">IF(AJ$1=0,"",SQRT((_xlfn.XLOOKUP(AJ$1,$Z$2:$Z$18,$AA$2:$AA$18)-$T25)^2+(_xlfn.XLOOKUP(AJ$1,$Z$2:$Z$18,$AB$2:$AB$18)-$U25)^2+(_xlfn.XLOOKUP(AJ$1,$Z$2:$Z$18,$AC$2:$AC$18-$V25)^2)))</f>
        <v>133.76545331287895</v>
      </c>
      <c r="AK25" s="150">
        <f t="array" ref="AK25">IF(AK$1=0,"",SQRT((_xlfn.XLOOKUP(AK$1,$Z$2:$Z$18,$AA$2:$AA$18)-$T25)^2+(_xlfn.XLOOKUP(AK$1,$Z$2:$Z$18,$AB$2:$AB$18)-$U25)^2+(_xlfn.XLOOKUP(AK$1,$Z$2:$Z$18,$AC$2:$AC$18-$V25)^2)))</f>
        <v>215.42380671597095</v>
      </c>
      <c r="AL25" s="150">
        <f t="array" ref="AL25">IF(AL$1=0,"",SQRT((_xlfn.XLOOKUP(AL$1,$Z$2:$Z$18,$AA$2:$AA$18)-$T25)^2+(_xlfn.XLOOKUP(AL$1,$Z$2:$Z$18,$AB$2:$AB$18)-$U25)^2+(_xlfn.XLOOKUP(AL$1,$Z$2:$Z$18,$AC$2:$AC$18-$V25)^2)))</f>
        <v>153.62790436636178</v>
      </c>
      <c r="AM25" s="150" t="str">
        <f t="array" ref="AM25">IF(AM$1=0,"",SQRT((_xlfn.XLOOKUP(AM$1,$Z$2:$Z$18,$AA$2:$AA$18)-$T25)^2+(_xlfn.XLOOKUP(AM$1,$Z$2:$Z$18,$AB$2:$AB$18)-$U25)^2+(_xlfn.XLOOKUP(AM$1,$Z$2:$Z$18,$AC$2:$AC$18-$V25)^2)))</f>
        <v/>
      </c>
      <c r="AN25" s="150" t="str">
        <f t="array" ref="AN25">IF(AN$1=0,"",SQRT((_xlfn.XLOOKUP(AN$1,$Z$2:$Z$18,$AA$2:$AA$18)-$T25)^2+(_xlfn.XLOOKUP(AN$1,$Z$2:$Z$18,$AB$2:$AB$18)-$U25)^2+(_xlfn.XLOOKUP(AN$1,$Z$2:$Z$18,$AC$2:$AC$18-$V25)^2)))</f>
        <v/>
      </c>
      <c r="AO25" s="150" t="str">
        <f t="array" ref="AO25">IF(AO$1=0,"",SQRT((_xlfn.XLOOKUP(AO$1,$Z$2:$Z$18,$AA$2:$AA$18)-$T25)^2+(_xlfn.XLOOKUP(AO$1,$Z$2:$Z$18,$AB$2:$AB$18)-$U25)^2+(_xlfn.XLOOKUP(AO$1,$Z$2:$Z$18,$AC$2:$AC$18-$V25)^2)))</f>
        <v/>
      </c>
      <c r="AP25" s="151" t="str">
        <f t="array" ref="AP25">IF(AP$1=0,"",SQRT((_xlfn.XLOOKUP(AP$1,$Z$2:$Z$18,$AA$2:$AA$18)-$T25)^2+(_xlfn.XLOOKUP(AP$1,$Z$2:$Z$18,$AB$2:$AB$18)-$U25)^2+(_xlfn.XLOOKUP(AP$1,$Z$2:$Z$18,$AC$2:$AC$18-$V25)^2)))</f>
        <v/>
      </c>
      <c r="AQ25" s="151" t="str">
        <f t="array" ref="AQ25">IF(AQ$1=0,"",SQRT((_xlfn.XLOOKUP(AQ$1,$Z$2:$Z$18,$AA$2:$AA$18)-$T25)^2+(_xlfn.XLOOKUP(AQ$1,$Z$2:$Z$18,$AB$2:$AB$18)-$U25)^2+(_xlfn.XLOOKUP(AQ$1,$Z$2:$Z$18,$AC$2:$AC$18-$V25)^2)))</f>
        <v/>
      </c>
      <c r="AR25" s="151" t="str">
        <f t="array" ref="AR25">IF(AR$1=0,"",SQRT((_xlfn.XLOOKUP(AR$1,$Z$2:$Z$18,$AA$2:$AA$18)-$T25)^2+(_xlfn.XLOOKUP(AR$1,$Z$2:$Z$18,$AB$2:$AB$18)-$U25)^2+(_xlfn.XLOOKUP(AR$1,$Z$2:$Z$18,$AC$2:$AC$18-$V25)^2)))</f>
        <v/>
      </c>
      <c r="AS25" s="151" t="str">
        <f t="array" ref="AS25">IF(AS$1=0,"",SQRT((_xlfn.XLOOKUP(AS$1,$Z$2:$Z$18,$AA$2:$AA$18)-$T25)^2+(_xlfn.XLOOKUP(AS$1,$Z$2:$Z$18,$AB$2:$AB$18)-$U25)^2+(_xlfn.XLOOKUP(AS$1,$Z$2:$Z$18,$AC$2:$AC$18-$V25)^2)))</f>
        <v/>
      </c>
      <c r="AT25" s="151" t="str">
        <f t="array" ref="AT25">IF(AT$1=0,"",SQRT((_xlfn.XLOOKUP(AT$1,$Z$2:$Z$18,$AA$2:$AA$18)-$T25)^2+(_xlfn.XLOOKUP(AT$1,$Z$2:$Z$18,$AB$2:$AB$18)-$U25)^2+(_xlfn.XLOOKUP(AT$1,$Z$2:$Z$18,$AC$2:$AC$18-$V25)^2)))</f>
        <v/>
      </c>
      <c r="AU25" s="151" t="str">
        <f t="array" ref="AU25">IF(AU$1=0,"",SQRT((_xlfn.XLOOKUP(AU$1,$Z$2:$Z$18,$AA$2:$AA$18)-$T25)^2+(_xlfn.XLOOKUP(AU$1,$Z$2:$Z$18,$AB$2:$AB$18)-$U25)^2+(_xlfn.XLOOKUP(AU$1,$Z$2:$Z$18,$AC$2:$AC$18-$V25)^2)))</f>
        <v/>
      </c>
      <c r="AV25" s="152" t="str">
        <f t="array" ref="AV25">IF(AV$1=0,"",SQRT((_xlfn.XLOOKUP(AV$1,$Z$2:$Z$18,$AA$2:$AA$18)-$T25)^2+(_xlfn.XLOOKUP(AV$1,$Z$2:$Z$18,$AB$2:$AB$18)-$U25)^2+(_xlfn.XLOOKUP(AV$1,$Z$2:$Z$18,$AC$2:$AC$18-$V25)^2)))</f>
        <v/>
      </c>
      <c r="AW25" s="134"/>
      <c r="AX25" s="134"/>
      <c r="AY25" s="135">
        <f t="shared" si="4"/>
        <v>-34.834061744537181</v>
      </c>
      <c r="AZ25" s="153">
        <f t="shared" si="5"/>
        <v>-32.215375796174257</v>
      </c>
      <c r="BA25" s="153">
        <f t="shared" si="6"/>
        <v>-40.188977249987744</v>
      </c>
      <c r="BB25" s="153">
        <f t="shared" si="7"/>
        <v>-44.327971856196129</v>
      </c>
      <c r="BC25" s="153">
        <f t="shared" si="8"/>
        <v>-41.391500064861511</v>
      </c>
      <c r="BD25" s="153">
        <f t="shared" si="9"/>
        <v>0</v>
      </c>
      <c r="BE25" s="153">
        <f t="shared" si="10"/>
        <v>0</v>
      </c>
      <c r="BF25" s="153">
        <f t="shared" si="11"/>
        <v>0</v>
      </c>
      <c r="BG25" s="154">
        <f t="shared" si="12"/>
        <v>0</v>
      </c>
      <c r="BH25" s="154">
        <f t="shared" si="13"/>
        <v>0</v>
      </c>
      <c r="BI25" s="154">
        <f t="shared" si="14"/>
        <v>0</v>
      </c>
      <c r="BJ25" s="154">
        <f t="shared" si="15"/>
        <v>0</v>
      </c>
      <c r="BK25" s="154">
        <f t="shared" si="16"/>
        <v>0</v>
      </c>
      <c r="BL25" s="154">
        <f t="shared" si="17"/>
        <v>0</v>
      </c>
      <c r="BM25" s="155">
        <f t="shared" si="18"/>
        <v>0</v>
      </c>
      <c r="BN25" s="134"/>
      <c r="BO25" s="134"/>
      <c r="BP25" s="134"/>
      <c r="BQ25" s="134"/>
      <c r="BR25" s="134"/>
      <c r="BS25" s="134"/>
      <c r="BT25" s="134"/>
      <c r="BU25" s="134"/>
      <c r="BV25" s="140">
        <v>4</v>
      </c>
      <c r="BW25" s="140">
        <v>5</v>
      </c>
      <c r="BX25" s="140">
        <v>11</v>
      </c>
      <c r="BY25" s="140">
        <v>13</v>
      </c>
      <c r="BZ25" s="140">
        <v>8</v>
      </c>
      <c r="CA25" s="140"/>
      <c r="CB25" s="140"/>
      <c r="CC25" s="140"/>
      <c r="CD25" s="140"/>
      <c r="CE25" s="140"/>
      <c r="CF25" s="140"/>
      <c r="CG25" s="140"/>
      <c r="CH25" s="140"/>
      <c r="CI25" s="140"/>
      <c r="CJ25" s="140"/>
      <c r="CK25" s="134"/>
      <c r="CL25" s="134"/>
      <c r="CM25" s="156">
        <f t="shared" si="35"/>
        <v>27.165938255462819</v>
      </c>
      <c r="CN25" s="157">
        <f t="shared" si="36"/>
        <v>28.784624203825743</v>
      </c>
      <c r="CO25" s="157">
        <f t="shared" si="37"/>
        <v>14.811022750012256</v>
      </c>
      <c r="CP25" s="157">
        <f t="shared" si="38"/>
        <v>8.6720281438038711</v>
      </c>
      <c r="CQ25" s="157">
        <f t="shared" si="39"/>
        <v>16.608499935138489</v>
      </c>
      <c r="CR25" s="157" t="str">
        <f t="shared" si="40"/>
        <v/>
      </c>
      <c r="CS25" s="157" t="str">
        <f t="shared" si="41"/>
        <v/>
      </c>
      <c r="CT25" s="157" t="str">
        <f t="shared" si="42"/>
        <v/>
      </c>
      <c r="CU25" s="158" t="str">
        <f t="shared" si="43"/>
        <v/>
      </c>
      <c r="CV25" s="158" t="str">
        <f t="shared" si="44"/>
        <v/>
      </c>
      <c r="CW25" s="158" t="str">
        <f t="shared" si="45"/>
        <v/>
      </c>
      <c r="CX25" s="158" t="str">
        <f t="shared" si="46"/>
        <v/>
      </c>
      <c r="CY25" s="143" t="str">
        <f t="shared" si="47"/>
        <v/>
      </c>
      <c r="CZ25" s="143" t="str">
        <f t="shared" si="48"/>
        <v/>
      </c>
      <c r="DA25" s="144" t="str">
        <f t="shared" si="49"/>
        <v/>
      </c>
    </row>
    <row r="26" spans="1:105" ht="16.5" customHeight="1" x14ac:dyDescent="0.3">
      <c r="A26" s="145">
        <v>1</v>
      </c>
      <c r="B26" s="146" t="s">
        <v>151</v>
      </c>
      <c r="C26" s="146" t="s">
        <v>125</v>
      </c>
      <c r="D26" s="147" t="s">
        <v>122</v>
      </c>
      <c r="E26" s="202" t="s">
        <v>142</v>
      </c>
      <c r="F26" s="210"/>
      <c r="G26" s="211"/>
      <c r="H26" s="211"/>
      <c r="I26" s="211"/>
      <c r="J26" s="211"/>
      <c r="K26" s="211"/>
      <c r="L26" s="211"/>
      <c r="M26" s="215"/>
      <c r="N26" s="210">
        <v>65.873120921161103</v>
      </c>
      <c r="O26" s="212">
        <v>0</v>
      </c>
      <c r="P26" s="205">
        <v>1</v>
      </c>
      <c r="Q26" s="128">
        <f t="shared" si="34"/>
        <v>66</v>
      </c>
      <c r="R26" s="3">
        <v>2</v>
      </c>
      <c r="S26" s="3"/>
      <c r="T26" s="4">
        <v>130.88999999999999</v>
      </c>
      <c r="U26" s="4">
        <v>100.62</v>
      </c>
      <c r="V26" s="109">
        <f t="shared" si="3"/>
        <v>75</v>
      </c>
      <c r="W26" s="81">
        <v>73</v>
      </c>
      <c r="X26" s="148">
        <v>2</v>
      </c>
      <c r="Z26" s="115" t="s">
        <v>163</v>
      </c>
      <c r="AA26" s="113">
        <v>176.56</v>
      </c>
      <c r="AB26" s="52">
        <v>40.15</v>
      </c>
      <c r="AC26" s="106">
        <v>75.400000000000006</v>
      </c>
      <c r="AD26" s="52">
        <v>208.02</v>
      </c>
      <c r="AE26" s="52">
        <v>46.53</v>
      </c>
      <c r="AF26" s="53">
        <v>75.400000000000006</v>
      </c>
      <c r="AH26" s="168">
        <f t="array" ref="AH26">IF(AH$1=0,"",SQRT((_xlfn.XLOOKUP(AH$1,$Z$2:$Z$18,$AA$2:$AA$18)-$T26)^2+(_xlfn.XLOOKUP(AH$1,$Z$2:$Z$18,$AB$2:$AB$18)-$U26)^2+(_xlfn.XLOOKUP(AH$1,$Z$2:$Z$18,$AC$2:$AC$18-$V26)^2)))</f>
        <v>99.260828628417144</v>
      </c>
      <c r="AI26" s="150">
        <f t="array" ref="AI26">IF(AI$1=0,"",SQRT((_xlfn.XLOOKUP(AI$1,$Z$2:$Z$18,$AA$2:$AA$18)-$T26)^2+(_xlfn.XLOOKUP(AI$1,$Z$2:$Z$18,$AB$2:$AB$18)-$U26)^2+(_xlfn.XLOOKUP(AI$1,$Z$2:$Z$18,$AC$2:$AC$18-$V26)^2)))</f>
        <v>64.84393109613265</v>
      </c>
      <c r="AJ26" s="150">
        <f t="array" ref="AJ26">IF(AJ$1=0,"",SQRT((_xlfn.XLOOKUP(AJ$1,$Z$2:$Z$18,$AA$2:$AA$18)-$T26)^2+(_xlfn.XLOOKUP(AJ$1,$Z$2:$Z$18,$AB$2:$AB$18)-$U26)^2+(_xlfn.XLOOKUP(AJ$1,$Z$2:$Z$18,$AC$2:$AC$18-$V26)^2)))</f>
        <v>117.23646531689702</v>
      </c>
      <c r="AK26" s="150">
        <f t="array" ref="AK26">IF(AK$1=0,"",SQRT((_xlfn.XLOOKUP(AK$1,$Z$2:$Z$18,$AA$2:$AA$18)-$T26)^2+(_xlfn.XLOOKUP(AK$1,$Z$2:$Z$18,$AB$2:$AB$18)-$U26)^2+(_xlfn.XLOOKUP(AK$1,$Z$2:$Z$18,$AC$2:$AC$18-$V26)^2)))</f>
        <v>189.7572285843151</v>
      </c>
      <c r="AL26" s="150">
        <f t="array" ref="AL26">IF(AL$1=0,"",SQRT((_xlfn.XLOOKUP(AL$1,$Z$2:$Z$18,$AA$2:$AA$18)-$T26)^2+(_xlfn.XLOOKUP(AL$1,$Z$2:$Z$18,$AB$2:$AB$18)-$U26)^2+(_xlfn.XLOOKUP(AL$1,$Z$2:$Z$18,$AC$2:$AC$18-$V26)^2)))</f>
        <v>165.30595784786462</v>
      </c>
      <c r="AM26" s="150" t="str">
        <f t="array" ref="AM26">IF(AM$1=0,"",SQRT((_xlfn.XLOOKUP(AM$1,$Z$2:$Z$18,$AA$2:$AA$18)-$T26)^2+(_xlfn.XLOOKUP(AM$1,$Z$2:$Z$18,$AB$2:$AB$18)-$U26)^2+(_xlfn.XLOOKUP(AM$1,$Z$2:$Z$18,$AC$2:$AC$18-$V26)^2)))</f>
        <v/>
      </c>
      <c r="AN26" s="150" t="str">
        <f t="array" ref="AN26">IF(AN$1=0,"",SQRT((_xlfn.XLOOKUP(AN$1,$Z$2:$Z$18,$AA$2:$AA$18)-$T26)^2+(_xlfn.XLOOKUP(AN$1,$Z$2:$Z$18,$AB$2:$AB$18)-$U26)^2+(_xlfn.XLOOKUP(AN$1,$Z$2:$Z$18,$AC$2:$AC$18-$V26)^2)))</f>
        <v/>
      </c>
      <c r="AO26" s="150" t="str">
        <f t="array" ref="AO26">IF(AO$1=0,"",SQRT((_xlfn.XLOOKUP(AO$1,$Z$2:$Z$18,$AA$2:$AA$18)-$T26)^2+(_xlfn.XLOOKUP(AO$1,$Z$2:$Z$18,$AB$2:$AB$18)-$U26)^2+(_xlfn.XLOOKUP(AO$1,$Z$2:$Z$18,$AC$2:$AC$18-$V26)^2)))</f>
        <v/>
      </c>
      <c r="AP26" s="151" t="str">
        <f t="array" ref="AP26">IF(AP$1=0,"",SQRT((_xlfn.XLOOKUP(AP$1,$Z$2:$Z$18,$AA$2:$AA$18)-$T26)^2+(_xlfn.XLOOKUP(AP$1,$Z$2:$Z$18,$AB$2:$AB$18)-$U26)^2+(_xlfn.XLOOKUP(AP$1,$Z$2:$Z$18,$AC$2:$AC$18-$V26)^2)))</f>
        <v/>
      </c>
      <c r="AQ26" s="151" t="str">
        <f t="array" ref="AQ26">IF(AQ$1=0,"",SQRT((_xlfn.XLOOKUP(AQ$1,$Z$2:$Z$18,$AA$2:$AA$18)-$T26)^2+(_xlfn.XLOOKUP(AQ$1,$Z$2:$Z$18,$AB$2:$AB$18)-$U26)^2+(_xlfn.XLOOKUP(AQ$1,$Z$2:$Z$18,$AC$2:$AC$18-$V26)^2)))</f>
        <v/>
      </c>
      <c r="AR26" s="151" t="str">
        <f t="array" ref="AR26">IF(AR$1=0,"",SQRT((_xlfn.XLOOKUP(AR$1,$Z$2:$Z$18,$AA$2:$AA$18)-$T26)^2+(_xlfn.XLOOKUP(AR$1,$Z$2:$Z$18,$AB$2:$AB$18)-$U26)^2+(_xlfn.XLOOKUP(AR$1,$Z$2:$Z$18,$AC$2:$AC$18-$V26)^2)))</f>
        <v/>
      </c>
      <c r="AS26" s="151" t="str">
        <f t="array" ref="AS26">IF(AS$1=0,"",SQRT((_xlfn.XLOOKUP(AS$1,$Z$2:$Z$18,$AA$2:$AA$18)-$T26)^2+(_xlfn.XLOOKUP(AS$1,$Z$2:$Z$18,$AB$2:$AB$18)-$U26)^2+(_xlfn.XLOOKUP(AS$1,$Z$2:$Z$18,$AC$2:$AC$18-$V26)^2)))</f>
        <v/>
      </c>
      <c r="AT26" s="151" t="str">
        <f t="array" ref="AT26">IF(AT$1=0,"",SQRT((_xlfn.XLOOKUP(AT$1,$Z$2:$Z$18,$AA$2:$AA$18)-$T26)^2+(_xlfn.XLOOKUP(AT$1,$Z$2:$Z$18,$AB$2:$AB$18)-$U26)^2+(_xlfn.XLOOKUP(AT$1,$Z$2:$Z$18,$AC$2:$AC$18-$V26)^2)))</f>
        <v/>
      </c>
      <c r="AU26" s="151" t="str">
        <f t="array" ref="AU26">IF(AU$1=0,"",SQRT((_xlfn.XLOOKUP(AU$1,$Z$2:$Z$18,$AA$2:$AA$18)-$T26)^2+(_xlfn.XLOOKUP(AU$1,$Z$2:$Z$18,$AB$2:$AB$18)-$U26)^2+(_xlfn.XLOOKUP(AU$1,$Z$2:$Z$18,$AC$2:$AC$18-$V26)^2)))</f>
        <v/>
      </c>
      <c r="AV26" s="152" t="str">
        <f t="array" ref="AV26">IF(AV$1=0,"",SQRT((_xlfn.XLOOKUP(AV$1,$Z$2:$Z$18,$AA$2:$AA$18)-$T26)^2+(_xlfn.XLOOKUP(AV$1,$Z$2:$Z$18,$AB$2:$AB$18)-$U26)^2+(_xlfn.XLOOKUP(AV$1,$Z$2:$Z$18,$AC$2:$AC$18-$V26)^2)))</f>
        <v/>
      </c>
      <c r="AW26" s="134"/>
      <c r="AX26" s="134"/>
      <c r="AY26" s="135">
        <f t="shared" si="4"/>
        <v>-37.59765586418208</v>
      </c>
      <c r="AZ26" s="153">
        <f t="shared" si="5"/>
        <v>-33.899484649483227</v>
      </c>
      <c r="BA26" s="153">
        <f t="shared" si="6"/>
        <v>-39.043352256363363</v>
      </c>
      <c r="BB26" s="153">
        <f t="shared" si="7"/>
        <v>-43.226064513603937</v>
      </c>
      <c r="BC26" s="153">
        <f t="shared" si="8"/>
        <v>-42.027868065085286</v>
      </c>
      <c r="BD26" s="153">
        <f t="shared" si="9"/>
        <v>0</v>
      </c>
      <c r="BE26" s="153">
        <f t="shared" si="10"/>
        <v>0</v>
      </c>
      <c r="BF26" s="153">
        <f t="shared" si="11"/>
        <v>0</v>
      </c>
      <c r="BG26" s="154">
        <f t="shared" si="12"/>
        <v>0</v>
      </c>
      <c r="BH26" s="154">
        <f t="shared" si="13"/>
        <v>0</v>
      </c>
      <c r="BI26" s="154">
        <f t="shared" si="14"/>
        <v>0</v>
      </c>
      <c r="BJ26" s="154">
        <f t="shared" si="15"/>
        <v>0</v>
      </c>
      <c r="BK26" s="154">
        <f t="shared" si="16"/>
        <v>0</v>
      </c>
      <c r="BL26" s="154">
        <f t="shared" si="17"/>
        <v>0</v>
      </c>
      <c r="BM26" s="155">
        <f t="shared" si="18"/>
        <v>0</v>
      </c>
      <c r="BN26" s="134"/>
      <c r="BO26" s="21"/>
      <c r="BP26" s="37" t="s">
        <v>32</v>
      </c>
      <c r="BQ26" s="37" t="s">
        <v>65</v>
      </c>
      <c r="BR26" s="21" t="str">
        <f>"Path-Length Difference (L) = " &amp;ROUND('Input LwA_XYZ'!BP12,1) &amp;" ft"</f>
        <v>Path-Length Difference (L) = 0.6 ft</v>
      </c>
      <c r="BT26" s="134"/>
      <c r="BU26" s="134"/>
      <c r="BV26" s="140">
        <v>5</v>
      </c>
      <c r="BW26" s="140">
        <v>7</v>
      </c>
      <c r="BX26" s="140">
        <v>11</v>
      </c>
      <c r="BY26" s="140">
        <v>11</v>
      </c>
      <c r="BZ26" s="140">
        <v>8</v>
      </c>
      <c r="CA26" s="140"/>
      <c r="CB26" s="140"/>
      <c r="CC26" s="140"/>
      <c r="CD26" s="140"/>
      <c r="CE26" s="140"/>
      <c r="CF26" s="140"/>
      <c r="CG26" s="140"/>
      <c r="CH26" s="140"/>
      <c r="CI26" s="140"/>
      <c r="CJ26" s="140"/>
      <c r="CK26" s="134"/>
      <c r="CL26" s="134"/>
      <c r="CM26" s="156">
        <f t="shared" si="35"/>
        <v>23.40234413581792</v>
      </c>
      <c r="CN26" s="157">
        <f t="shared" si="36"/>
        <v>25.100515350516773</v>
      </c>
      <c r="CO26" s="157">
        <f t="shared" si="37"/>
        <v>15.956647743636637</v>
      </c>
      <c r="CP26" s="157">
        <f t="shared" si="38"/>
        <v>11.773935486396063</v>
      </c>
      <c r="CQ26" s="157">
        <f t="shared" si="39"/>
        <v>15.972131934914714</v>
      </c>
      <c r="CR26" s="157" t="str">
        <f t="shared" si="40"/>
        <v/>
      </c>
      <c r="CS26" s="157" t="str">
        <f t="shared" si="41"/>
        <v/>
      </c>
      <c r="CT26" s="157" t="str">
        <f t="shared" si="42"/>
        <v/>
      </c>
      <c r="CU26" s="158" t="str">
        <f t="shared" si="43"/>
        <v/>
      </c>
      <c r="CV26" s="158" t="str">
        <f t="shared" si="44"/>
        <v/>
      </c>
      <c r="CW26" s="158" t="str">
        <f t="shared" si="45"/>
        <v/>
      </c>
      <c r="CX26" s="158" t="str">
        <f t="shared" si="46"/>
        <v/>
      </c>
      <c r="CY26" s="143" t="str">
        <f t="shared" si="47"/>
        <v/>
      </c>
      <c r="CZ26" s="143" t="str">
        <f t="shared" si="48"/>
        <v/>
      </c>
      <c r="DA26" s="144" t="str">
        <f t="shared" si="49"/>
        <v/>
      </c>
    </row>
    <row r="27" spans="1:105" ht="16.5" customHeight="1" x14ac:dyDescent="0.3">
      <c r="A27" s="145">
        <v>1</v>
      </c>
      <c r="B27" s="146" t="s">
        <v>152</v>
      </c>
      <c r="C27" s="146" t="s">
        <v>125</v>
      </c>
      <c r="D27" s="147" t="s">
        <v>122</v>
      </c>
      <c r="E27" s="202" t="s">
        <v>142</v>
      </c>
      <c r="F27" s="210"/>
      <c r="G27" s="211"/>
      <c r="H27" s="211"/>
      <c r="I27" s="211"/>
      <c r="J27" s="211"/>
      <c r="K27" s="211"/>
      <c r="L27" s="211"/>
      <c r="M27" s="215"/>
      <c r="N27" s="210">
        <v>65.873120921161103</v>
      </c>
      <c r="O27" s="212">
        <v>0</v>
      </c>
      <c r="P27" s="205">
        <v>1</v>
      </c>
      <c r="Q27" s="128">
        <f t="shared" si="34"/>
        <v>66</v>
      </c>
      <c r="R27" s="3">
        <v>2</v>
      </c>
      <c r="S27" s="3"/>
      <c r="T27" s="4">
        <v>165.93</v>
      </c>
      <c r="U27" s="4">
        <v>79.650000000000006</v>
      </c>
      <c r="V27" s="109">
        <f t="shared" si="3"/>
        <v>75</v>
      </c>
      <c r="W27" s="81">
        <v>73</v>
      </c>
      <c r="X27" s="148">
        <v>2</v>
      </c>
      <c r="Z27" s="115" t="s">
        <v>164</v>
      </c>
      <c r="AA27" s="112">
        <v>207.91</v>
      </c>
      <c r="AB27" s="105">
        <v>46.31</v>
      </c>
      <c r="AC27" s="106">
        <v>75.400000000000006</v>
      </c>
      <c r="AD27" s="105">
        <v>210.77</v>
      </c>
      <c r="AE27" s="105">
        <v>31.57</v>
      </c>
      <c r="AF27" s="106">
        <v>75.400000000000006</v>
      </c>
      <c r="AH27" s="168">
        <f t="array" ref="AH27">IF(AH$1=0,"",SQRT((_xlfn.XLOOKUP(AH$1,$Z$2:$Z$18,$AA$2:$AA$18)-$T27)^2+(_xlfn.XLOOKUP(AH$1,$Z$2:$Z$18,$AB$2:$AB$18)-$U27)^2+(_xlfn.XLOOKUP(AH$1,$Z$2:$Z$18,$AC$2:$AC$18-$V27)^2)))</f>
        <v>133.16029212944827</v>
      </c>
      <c r="AI27" s="150">
        <f t="array" ref="AI27">IF(AI$1=0,"",SQRT((_xlfn.XLOOKUP(AI$1,$Z$2:$Z$18,$AA$2:$AA$18)-$T27)^2+(_xlfn.XLOOKUP(AI$1,$Z$2:$Z$18,$AB$2:$AB$18)-$U27)^2+(_xlfn.XLOOKUP(AI$1,$Z$2:$Z$18,$AC$2:$AC$18-$V27)^2)))</f>
        <v>75.541051753334756</v>
      </c>
      <c r="AJ27" s="150">
        <f t="array" ref="AJ27">IF(AJ$1=0,"",SQRT((_xlfn.XLOOKUP(AJ$1,$Z$2:$Z$18,$AA$2:$AA$18)-$T27)^2+(_xlfn.XLOOKUP(AJ$1,$Z$2:$Z$18,$AB$2:$AB$18)-$U27)^2+(_xlfn.XLOOKUP(AJ$1,$Z$2:$Z$18,$AC$2:$AC$18-$V27)^2)))</f>
        <v>78.104346229899392</v>
      </c>
      <c r="AK27" s="150">
        <f t="array" ref="AK27">IF(AK$1=0,"",SQRT((_xlfn.XLOOKUP(AK$1,$Z$2:$Z$18,$AA$2:$AA$18)-$T27)^2+(_xlfn.XLOOKUP(AK$1,$Z$2:$Z$18,$AB$2:$AB$18)-$U27)^2+(_xlfn.XLOOKUP(AK$1,$Z$2:$Z$18,$AC$2:$AC$18-$V27)^2)))</f>
        <v>155.0886033852907</v>
      </c>
      <c r="AL27" s="150">
        <f t="array" ref="AL27">IF(AL$1=0,"",SQRT((_xlfn.XLOOKUP(AL$1,$Z$2:$Z$18,$AA$2:$AA$18)-$T27)^2+(_xlfn.XLOOKUP(AL$1,$Z$2:$Z$18,$AB$2:$AB$18)-$U27)^2+(_xlfn.XLOOKUP(AL$1,$Z$2:$Z$18,$AC$2:$AC$18-$V27)^2)))</f>
        <v>204.7368125179251</v>
      </c>
      <c r="AM27" s="150" t="str">
        <f t="array" ref="AM27">IF(AM$1=0,"",SQRT((_xlfn.XLOOKUP(AM$1,$Z$2:$Z$18,$AA$2:$AA$18)-$T27)^2+(_xlfn.XLOOKUP(AM$1,$Z$2:$Z$18,$AB$2:$AB$18)-$U27)^2+(_xlfn.XLOOKUP(AM$1,$Z$2:$Z$18,$AC$2:$AC$18-$V27)^2)))</f>
        <v/>
      </c>
      <c r="AN27" s="150" t="str">
        <f t="array" ref="AN27">IF(AN$1=0,"",SQRT((_xlfn.XLOOKUP(AN$1,$Z$2:$Z$18,$AA$2:$AA$18)-$T27)^2+(_xlfn.XLOOKUP(AN$1,$Z$2:$Z$18,$AB$2:$AB$18)-$U27)^2+(_xlfn.XLOOKUP(AN$1,$Z$2:$Z$18,$AC$2:$AC$18-$V27)^2)))</f>
        <v/>
      </c>
      <c r="AO27" s="150" t="str">
        <f t="array" ref="AO27">IF(AO$1=0,"",SQRT((_xlfn.XLOOKUP(AO$1,$Z$2:$Z$18,$AA$2:$AA$18)-$T27)^2+(_xlfn.XLOOKUP(AO$1,$Z$2:$Z$18,$AB$2:$AB$18)-$U27)^2+(_xlfn.XLOOKUP(AO$1,$Z$2:$Z$18,$AC$2:$AC$18-$V27)^2)))</f>
        <v/>
      </c>
      <c r="AP27" s="151" t="str">
        <f t="array" ref="AP27">IF(AP$1=0,"",SQRT((_xlfn.XLOOKUP(AP$1,$Z$2:$Z$18,$AA$2:$AA$18)-$T27)^2+(_xlfn.XLOOKUP(AP$1,$Z$2:$Z$18,$AB$2:$AB$18)-$U27)^2+(_xlfn.XLOOKUP(AP$1,$Z$2:$Z$18,$AC$2:$AC$18-$V27)^2)))</f>
        <v/>
      </c>
      <c r="AQ27" s="151" t="str">
        <f t="array" ref="AQ27">IF(AQ$1=0,"",SQRT((_xlfn.XLOOKUP(AQ$1,$Z$2:$Z$18,$AA$2:$AA$18)-$T27)^2+(_xlfn.XLOOKUP(AQ$1,$Z$2:$Z$18,$AB$2:$AB$18)-$U27)^2+(_xlfn.XLOOKUP(AQ$1,$Z$2:$Z$18,$AC$2:$AC$18-$V27)^2)))</f>
        <v/>
      </c>
      <c r="AR27" s="151" t="str">
        <f t="array" ref="AR27">IF(AR$1=0,"",SQRT((_xlfn.XLOOKUP(AR$1,$Z$2:$Z$18,$AA$2:$AA$18)-$T27)^2+(_xlfn.XLOOKUP(AR$1,$Z$2:$Z$18,$AB$2:$AB$18)-$U27)^2+(_xlfn.XLOOKUP(AR$1,$Z$2:$Z$18,$AC$2:$AC$18-$V27)^2)))</f>
        <v/>
      </c>
      <c r="AS27" s="151" t="str">
        <f t="array" ref="AS27">IF(AS$1=0,"",SQRT((_xlfn.XLOOKUP(AS$1,$Z$2:$Z$18,$AA$2:$AA$18)-$T27)^2+(_xlfn.XLOOKUP(AS$1,$Z$2:$Z$18,$AB$2:$AB$18)-$U27)^2+(_xlfn.XLOOKUP(AS$1,$Z$2:$Z$18,$AC$2:$AC$18-$V27)^2)))</f>
        <v/>
      </c>
      <c r="AT27" s="151" t="str">
        <f t="array" ref="AT27">IF(AT$1=0,"",SQRT((_xlfn.XLOOKUP(AT$1,$Z$2:$Z$18,$AA$2:$AA$18)-$T27)^2+(_xlfn.XLOOKUP(AT$1,$Z$2:$Z$18,$AB$2:$AB$18)-$U27)^2+(_xlfn.XLOOKUP(AT$1,$Z$2:$Z$18,$AC$2:$AC$18-$V27)^2)))</f>
        <v/>
      </c>
      <c r="AU27" s="151" t="str">
        <f t="array" ref="AU27">IF(AU$1=0,"",SQRT((_xlfn.XLOOKUP(AU$1,$Z$2:$Z$18,$AA$2:$AA$18)-$T27)^2+(_xlfn.XLOOKUP(AU$1,$Z$2:$Z$18,$AB$2:$AB$18)-$U27)^2+(_xlfn.XLOOKUP(AU$1,$Z$2:$Z$18,$AC$2:$AC$18-$V27)^2)))</f>
        <v/>
      </c>
      <c r="AV27" s="152" t="str">
        <f t="array" ref="AV27">IF(AV$1=0,"",SQRT((_xlfn.XLOOKUP(AV$1,$Z$2:$Z$18,$AA$2:$AA$18)-$T27)^2+(_xlfn.XLOOKUP(AV$1,$Z$2:$Z$18,$AB$2:$AB$18)-$U27)^2+(_xlfn.XLOOKUP(AV$1,$Z$2:$Z$18,$AC$2:$AC$18-$V27)^2)))</f>
        <v/>
      </c>
      <c r="AW27" s="134"/>
      <c r="AX27" s="134"/>
      <c r="AY27" s="135">
        <f t="shared" si="4"/>
        <v>-40.149592721907098</v>
      </c>
      <c r="AZ27" s="153">
        <f t="shared" si="5"/>
        <v>-35.225758480702112</v>
      </c>
      <c r="BA27" s="153">
        <f t="shared" si="6"/>
        <v>-35.515601966884013</v>
      </c>
      <c r="BB27" s="153">
        <f t="shared" si="7"/>
        <v>-41.473695638048923</v>
      </c>
      <c r="BC27" s="153">
        <f t="shared" si="8"/>
        <v>-43.886016689157323</v>
      </c>
      <c r="BD27" s="153">
        <f t="shared" si="9"/>
        <v>0</v>
      </c>
      <c r="BE27" s="153">
        <f t="shared" si="10"/>
        <v>0</v>
      </c>
      <c r="BF27" s="153">
        <f t="shared" si="11"/>
        <v>0</v>
      </c>
      <c r="BG27" s="154">
        <f t="shared" si="12"/>
        <v>0</v>
      </c>
      <c r="BH27" s="154">
        <f t="shared" si="13"/>
        <v>0</v>
      </c>
      <c r="BI27" s="154">
        <f t="shared" si="14"/>
        <v>0</v>
      </c>
      <c r="BJ27" s="154">
        <f t="shared" si="15"/>
        <v>0</v>
      </c>
      <c r="BK27" s="154">
        <f t="shared" si="16"/>
        <v>0</v>
      </c>
      <c r="BL27" s="154">
        <f t="shared" si="17"/>
        <v>0</v>
      </c>
      <c r="BM27" s="155">
        <f t="shared" si="18"/>
        <v>0</v>
      </c>
      <c r="BN27" s="134"/>
      <c r="BO27" s="40" t="s">
        <v>2</v>
      </c>
      <c r="BP27" s="21">
        <v>0</v>
      </c>
      <c r="BQ27" s="21">
        <f>'Input LwA_XYZ'!BS4</f>
        <v>74.25</v>
      </c>
      <c r="BR27" s="21" t="str">
        <f>"A = " &amp; ROUND('Input LwA_XYZ'!BP13,1) &amp; ", B = " &amp;ROUND('Input LwA_XYZ'!BP14,1) &amp;", D = " &amp;ROUND('Input LwA_XYZ'!BP11,1)</f>
        <v>A = 28.2, B = 45.1, D = 72.7</v>
      </c>
      <c r="BT27" s="134"/>
      <c r="BU27" s="134"/>
      <c r="BV27" s="140">
        <v>0</v>
      </c>
      <c r="BW27" s="140">
        <v>0</v>
      </c>
      <c r="BX27" s="140">
        <v>11</v>
      </c>
      <c r="BY27" s="140">
        <v>11</v>
      </c>
      <c r="BZ27" s="140">
        <v>9</v>
      </c>
      <c r="CA27" s="140"/>
      <c r="CB27" s="140"/>
      <c r="CC27" s="140"/>
      <c r="CD27" s="140"/>
      <c r="CE27" s="140"/>
      <c r="CF27" s="140"/>
      <c r="CG27" s="140"/>
      <c r="CH27" s="140"/>
      <c r="CI27" s="140"/>
      <c r="CJ27" s="140"/>
      <c r="CK27" s="134"/>
      <c r="CL27" s="134"/>
      <c r="CM27" s="156">
        <f t="shared" si="35"/>
        <v>25.850407278092902</v>
      </c>
      <c r="CN27" s="157">
        <f t="shared" si="36"/>
        <v>30.774241519297888</v>
      </c>
      <c r="CO27" s="157">
        <f t="shared" si="37"/>
        <v>19.484398033115987</v>
      </c>
      <c r="CP27" s="157">
        <f t="shared" si="38"/>
        <v>13.526304361951077</v>
      </c>
      <c r="CQ27" s="157">
        <f t="shared" si="39"/>
        <v>13.113983310842677</v>
      </c>
      <c r="CR27" s="157" t="str">
        <f t="shared" si="40"/>
        <v/>
      </c>
      <c r="CS27" s="157" t="str">
        <f t="shared" si="41"/>
        <v/>
      </c>
      <c r="CT27" s="157" t="str">
        <f t="shared" si="42"/>
        <v/>
      </c>
      <c r="CU27" s="158" t="str">
        <f t="shared" si="43"/>
        <v/>
      </c>
      <c r="CV27" s="158" t="str">
        <f t="shared" si="44"/>
        <v/>
      </c>
      <c r="CW27" s="158" t="str">
        <f t="shared" si="45"/>
        <v/>
      </c>
      <c r="CX27" s="158" t="str">
        <f t="shared" si="46"/>
        <v/>
      </c>
      <c r="CY27" s="143" t="str">
        <f t="shared" si="47"/>
        <v/>
      </c>
      <c r="CZ27" s="143" t="str">
        <f t="shared" si="48"/>
        <v/>
      </c>
      <c r="DA27" s="144" t="str">
        <f t="shared" si="49"/>
        <v/>
      </c>
    </row>
    <row r="28" spans="1:105" ht="16.5" customHeight="1" x14ac:dyDescent="0.3">
      <c r="A28" s="145">
        <v>1</v>
      </c>
      <c r="B28" s="146" t="s">
        <v>153</v>
      </c>
      <c r="C28" s="146" t="s">
        <v>125</v>
      </c>
      <c r="D28" s="147" t="s">
        <v>122</v>
      </c>
      <c r="E28" s="202" t="s">
        <v>142</v>
      </c>
      <c r="F28" s="210"/>
      <c r="G28" s="211"/>
      <c r="H28" s="211"/>
      <c r="I28" s="211"/>
      <c r="J28" s="211"/>
      <c r="K28" s="211"/>
      <c r="L28" s="211"/>
      <c r="M28" s="215"/>
      <c r="N28" s="210">
        <v>65.873120921161103</v>
      </c>
      <c r="O28" s="212">
        <v>0</v>
      </c>
      <c r="P28" s="205">
        <v>1</v>
      </c>
      <c r="Q28" s="128">
        <f t="shared" si="34"/>
        <v>66</v>
      </c>
      <c r="R28" s="3">
        <v>2</v>
      </c>
      <c r="S28" s="3"/>
      <c r="T28" s="4">
        <v>171.41</v>
      </c>
      <c r="U28" s="4">
        <v>52.12</v>
      </c>
      <c r="V28" s="109">
        <f t="shared" si="3"/>
        <v>75</v>
      </c>
      <c r="W28" s="81">
        <v>73</v>
      </c>
      <c r="X28" s="148">
        <v>2</v>
      </c>
      <c r="Z28" s="115" t="s">
        <v>165</v>
      </c>
      <c r="AA28" s="113">
        <v>211.31</v>
      </c>
      <c r="AB28" s="52">
        <v>31.68</v>
      </c>
      <c r="AC28" s="106">
        <v>75.400000000000006</v>
      </c>
      <c r="AD28" s="52">
        <v>236.06</v>
      </c>
      <c r="AE28" s="52">
        <v>36.96</v>
      </c>
      <c r="AF28" s="53">
        <v>75.400000000000006</v>
      </c>
      <c r="AH28" s="168">
        <f t="array" ref="AH28">IF(AH$1=0,"",SQRT((_xlfn.XLOOKUP(AH$1,$Z$2:$Z$18,$AA$2:$AA$18)-$T28)^2+(_xlfn.XLOOKUP(AH$1,$Z$2:$Z$18,$AB$2:$AB$18)-$U28)^2+(_xlfn.XLOOKUP(AH$1,$Z$2:$Z$18,$AC$2:$AC$18-$V28)^2)))</f>
        <v>142.48560243056139</v>
      </c>
      <c r="AI28" s="150">
        <f t="array" ref="AI28">IF(AI$1=0,"",SQRT((_xlfn.XLOOKUP(AI$1,$Z$2:$Z$18,$AA$2:$AA$18)-$T28)^2+(_xlfn.XLOOKUP(AI$1,$Z$2:$Z$18,$AB$2:$AB$18)-$U28)^2+(_xlfn.XLOOKUP(AI$1,$Z$2:$Z$18,$AC$2:$AC$18-$V28)^2)))</f>
        <v>75.407735677448898</v>
      </c>
      <c r="AJ28" s="150">
        <f t="array" ref="AJ28">IF(AJ$1=0,"",SQRT((_xlfn.XLOOKUP(AJ$1,$Z$2:$Z$18,$AA$2:$AA$18)-$T28)^2+(_xlfn.XLOOKUP(AJ$1,$Z$2:$Z$18,$AB$2:$AB$18)-$U28)^2+(_xlfn.XLOOKUP(AJ$1,$Z$2:$Z$18,$AC$2:$AC$18-$V28)^2)))</f>
        <v>56.406598904738082</v>
      </c>
      <c r="AK28" s="150">
        <f t="array" ref="AK28">IF(AK$1=0,"",SQRT((_xlfn.XLOOKUP(AK$1,$Z$2:$Z$18,$AA$2:$AA$18)-$T28)^2+(_xlfn.XLOOKUP(AK$1,$Z$2:$Z$18,$AB$2:$AB$18)-$U28)^2+(_xlfn.XLOOKUP(AK$1,$Z$2:$Z$18,$AC$2:$AC$18-$V28)^2)))</f>
        <v>153.51262944787314</v>
      </c>
      <c r="AL28" s="150">
        <f t="array" ref="AL28">IF(AL$1=0,"",SQRT((_xlfn.XLOOKUP(AL$1,$Z$2:$Z$18,$AA$2:$AA$18)-$T28)^2+(_xlfn.XLOOKUP(AL$1,$Z$2:$Z$18,$AB$2:$AB$18)-$U28)^2+(_xlfn.XLOOKUP(AL$1,$Z$2:$Z$18,$AC$2:$AC$18-$V28)^2)))</f>
        <v>227.49873955694787</v>
      </c>
      <c r="AM28" s="150" t="str">
        <f t="array" ref="AM28">IF(AM$1=0,"",SQRT((_xlfn.XLOOKUP(AM$1,$Z$2:$Z$18,$AA$2:$AA$18)-$T28)^2+(_xlfn.XLOOKUP(AM$1,$Z$2:$Z$18,$AB$2:$AB$18)-$U28)^2+(_xlfn.XLOOKUP(AM$1,$Z$2:$Z$18,$AC$2:$AC$18-$V28)^2)))</f>
        <v/>
      </c>
      <c r="AN28" s="150" t="str">
        <f t="array" ref="AN28">IF(AN$1=0,"",SQRT((_xlfn.XLOOKUP(AN$1,$Z$2:$Z$18,$AA$2:$AA$18)-$T28)^2+(_xlfn.XLOOKUP(AN$1,$Z$2:$Z$18,$AB$2:$AB$18)-$U28)^2+(_xlfn.XLOOKUP(AN$1,$Z$2:$Z$18,$AC$2:$AC$18-$V28)^2)))</f>
        <v/>
      </c>
      <c r="AO28" s="150" t="str">
        <f t="array" ref="AO28">IF(AO$1=0,"",SQRT((_xlfn.XLOOKUP(AO$1,$Z$2:$Z$18,$AA$2:$AA$18)-$T28)^2+(_xlfn.XLOOKUP(AO$1,$Z$2:$Z$18,$AB$2:$AB$18)-$U28)^2+(_xlfn.XLOOKUP(AO$1,$Z$2:$Z$18,$AC$2:$AC$18-$V28)^2)))</f>
        <v/>
      </c>
      <c r="AP28" s="151" t="str">
        <f t="array" ref="AP28">IF(AP$1=0,"",SQRT((_xlfn.XLOOKUP(AP$1,$Z$2:$Z$18,$AA$2:$AA$18)-$T28)^2+(_xlfn.XLOOKUP(AP$1,$Z$2:$Z$18,$AB$2:$AB$18)-$U28)^2+(_xlfn.XLOOKUP(AP$1,$Z$2:$Z$18,$AC$2:$AC$18-$V28)^2)))</f>
        <v/>
      </c>
      <c r="AQ28" s="151" t="str">
        <f t="array" ref="AQ28">IF(AQ$1=0,"",SQRT((_xlfn.XLOOKUP(AQ$1,$Z$2:$Z$18,$AA$2:$AA$18)-$T28)^2+(_xlfn.XLOOKUP(AQ$1,$Z$2:$Z$18,$AB$2:$AB$18)-$U28)^2+(_xlfn.XLOOKUP(AQ$1,$Z$2:$Z$18,$AC$2:$AC$18-$V28)^2)))</f>
        <v/>
      </c>
      <c r="AR28" s="151" t="str">
        <f t="array" ref="AR28">IF(AR$1=0,"",SQRT((_xlfn.XLOOKUP(AR$1,$Z$2:$Z$18,$AA$2:$AA$18)-$T28)^2+(_xlfn.XLOOKUP(AR$1,$Z$2:$Z$18,$AB$2:$AB$18)-$U28)^2+(_xlfn.XLOOKUP(AR$1,$Z$2:$Z$18,$AC$2:$AC$18-$V28)^2)))</f>
        <v/>
      </c>
      <c r="AS28" s="151" t="str">
        <f t="array" ref="AS28">IF(AS$1=0,"",SQRT((_xlfn.XLOOKUP(AS$1,$Z$2:$Z$18,$AA$2:$AA$18)-$T28)^2+(_xlfn.XLOOKUP(AS$1,$Z$2:$Z$18,$AB$2:$AB$18)-$U28)^2+(_xlfn.XLOOKUP(AS$1,$Z$2:$Z$18,$AC$2:$AC$18-$V28)^2)))</f>
        <v/>
      </c>
      <c r="AT28" s="151" t="str">
        <f t="array" ref="AT28">IF(AT$1=0,"",SQRT((_xlfn.XLOOKUP(AT$1,$Z$2:$Z$18,$AA$2:$AA$18)-$T28)^2+(_xlfn.XLOOKUP(AT$1,$Z$2:$Z$18,$AB$2:$AB$18)-$U28)^2+(_xlfn.XLOOKUP(AT$1,$Z$2:$Z$18,$AC$2:$AC$18-$V28)^2)))</f>
        <v/>
      </c>
      <c r="AU28" s="151" t="str">
        <f t="array" ref="AU28">IF(AU$1=0,"",SQRT((_xlfn.XLOOKUP(AU$1,$Z$2:$Z$18,$AA$2:$AA$18)-$T28)^2+(_xlfn.XLOOKUP(AU$1,$Z$2:$Z$18,$AB$2:$AB$18)-$U28)^2+(_xlfn.XLOOKUP(AU$1,$Z$2:$Z$18,$AC$2:$AC$18-$V28)^2)))</f>
        <v/>
      </c>
      <c r="AV28" s="152" t="str">
        <f t="array" ref="AV28">IF(AV$1=0,"",SQRT((_xlfn.XLOOKUP(AV$1,$Z$2:$Z$18,$AA$2:$AA$18)-$T28)^2+(_xlfn.XLOOKUP(AV$1,$Z$2:$Z$18,$AB$2:$AB$18)-$U28)^2+(_xlfn.XLOOKUP(AV$1,$Z$2:$Z$18,$AC$2:$AC$18-$V28)^2)))</f>
        <v/>
      </c>
      <c r="AW28" s="134"/>
      <c r="AX28" s="134"/>
      <c r="AY28" s="135">
        <f t="shared" si="4"/>
        <v>-40.737517595632369</v>
      </c>
      <c r="AZ28" s="153">
        <f t="shared" si="5"/>
        <v>-35.210415939130058</v>
      </c>
      <c r="BA28" s="153">
        <f t="shared" si="6"/>
        <v>-32.688696222369288</v>
      </c>
      <c r="BB28" s="153">
        <f t="shared" si="7"/>
        <v>-41.384980148687582</v>
      </c>
      <c r="BC28" s="153">
        <f t="shared" si="8"/>
        <v>-44.801677833280422</v>
      </c>
      <c r="BD28" s="153">
        <f t="shared" si="9"/>
        <v>0</v>
      </c>
      <c r="BE28" s="153">
        <f t="shared" si="10"/>
        <v>0</v>
      </c>
      <c r="BF28" s="153">
        <f t="shared" si="11"/>
        <v>0</v>
      </c>
      <c r="BG28" s="154">
        <f t="shared" si="12"/>
        <v>0</v>
      </c>
      <c r="BH28" s="154">
        <f t="shared" si="13"/>
        <v>0</v>
      </c>
      <c r="BI28" s="154">
        <f t="shared" si="14"/>
        <v>0</v>
      </c>
      <c r="BJ28" s="154">
        <f t="shared" si="15"/>
        <v>0</v>
      </c>
      <c r="BK28" s="154">
        <f t="shared" si="16"/>
        <v>0</v>
      </c>
      <c r="BL28" s="154">
        <f t="shared" si="17"/>
        <v>0</v>
      </c>
      <c r="BM28" s="155">
        <f t="shared" si="18"/>
        <v>0</v>
      </c>
      <c r="BN28" s="134"/>
      <c r="BO28" s="40" t="s">
        <v>66</v>
      </c>
      <c r="BP28" s="21">
        <f>'Input LwA_XYZ'!BP9</f>
        <v>28.221749697515794</v>
      </c>
      <c r="BQ28" s="43">
        <f>'Input LwA_XYZ'!BP21</f>
        <v>75.400000000000006</v>
      </c>
      <c r="BR28" s="21" t="str">
        <f>"Source Height: " &amp; ROUND(BQ30,1) &amp; " ft"</f>
        <v>Source Height: 74.3 ft</v>
      </c>
      <c r="BT28" s="134"/>
      <c r="BU28" s="134"/>
      <c r="BV28" s="140">
        <v>0</v>
      </c>
      <c r="BW28" s="140">
        <v>0</v>
      </c>
      <c r="BX28" s="140">
        <v>7</v>
      </c>
      <c r="BY28" s="140">
        <v>10</v>
      </c>
      <c r="BZ28" s="140">
        <v>10</v>
      </c>
      <c r="CA28" s="140"/>
      <c r="CB28" s="140"/>
      <c r="CC28" s="140"/>
      <c r="CD28" s="140"/>
      <c r="CE28" s="140"/>
      <c r="CF28" s="140"/>
      <c r="CG28" s="140"/>
      <c r="CH28" s="140"/>
      <c r="CI28" s="140"/>
      <c r="CJ28" s="140"/>
      <c r="CK28" s="134"/>
      <c r="CL28" s="134"/>
      <c r="CM28" s="156">
        <f t="shared" si="35"/>
        <v>25.262482404367631</v>
      </c>
      <c r="CN28" s="157">
        <f t="shared" si="36"/>
        <v>30.789584060869942</v>
      </c>
      <c r="CO28" s="157">
        <f t="shared" si="37"/>
        <v>26.311303777630712</v>
      </c>
      <c r="CP28" s="157">
        <f t="shared" si="38"/>
        <v>14.615019851312418</v>
      </c>
      <c r="CQ28" s="157">
        <f t="shared" si="39"/>
        <v>11.198322166719578</v>
      </c>
      <c r="CR28" s="157" t="str">
        <f t="shared" si="40"/>
        <v/>
      </c>
      <c r="CS28" s="157" t="str">
        <f t="shared" si="41"/>
        <v/>
      </c>
      <c r="CT28" s="157" t="str">
        <f t="shared" si="42"/>
        <v/>
      </c>
      <c r="CU28" s="158" t="str">
        <f t="shared" si="43"/>
        <v/>
      </c>
      <c r="CV28" s="158" t="str">
        <f t="shared" si="44"/>
        <v/>
      </c>
      <c r="CW28" s="158" t="str">
        <f t="shared" si="45"/>
        <v/>
      </c>
      <c r="CX28" s="158" t="str">
        <f t="shared" si="46"/>
        <v/>
      </c>
      <c r="CY28" s="143" t="str">
        <f t="shared" si="47"/>
        <v/>
      </c>
      <c r="CZ28" s="143" t="str">
        <f t="shared" si="48"/>
        <v/>
      </c>
      <c r="DA28" s="144" t="str">
        <f t="shared" si="49"/>
        <v/>
      </c>
    </row>
    <row r="29" spans="1:105" ht="16.5" customHeight="1" x14ac:dyDescent="0.3">
      <c r="A29" s="145">
        <v>1</v>
      </c>
      <c r="B29" s="146" t="s">
        <v>154</v>
      </c>
      <c r="C29" s="146" t="s">
        <v>125</v>
      </c>
      <c r="D29" s="147" t="s">
        <v>122</v>
      </c>
      <c r="E29" s="202" t="s">
        <v>141</v>
      </c>
      <c r="F29" s="210"/>
      <c r="G29" s="211"/>
      <c r="H29" s="211"/>
      <c r="I29" s="211"/>
      <c r="J29" s="211"/>
      <c r="K29" s="211"/>
      <c r="L29" s="211"/>
      <c r="M29" s="215"/>
      <c r="N29" s="210">
        <v>57.392737795737183</v>
      </c>
      <c r="O29" s="212">
        <v>0</v>
      </c>
      <c r="P29" s="205">
        <v>1</v>
      </c>
      <c r="Q29" s="128">
        <f t="shared" si="34"/>
        <v>57</v>
      </c>
      <c r="R29" s="3">
        <v>2</v>
      </c>
      <c r="S29" s="3"/>
      <c r="T29" s="4">
        <v>177.48</v>
      </c>
      <c r="U29" s="4">
        <v>27.21</v>
      </c>
      <c r="V29" s="109">
        <f t="shared" si="3"/>
        <v>75</v>
      </c>
      <c r="W29" s="81">
        <v>73</v>
      </c>
      <c r="X29" s="148">
        <v>2</v>
      </c>
      <c r="Z29" s="115" t="s">
        <v>166</v>
      </c>
      <c r="AA29" s="113">
        <v>236.29</v>
      </c>
      <c r="AB29" s="52">
        <v>37.729999999999997</v>
      </c>
      <c r="AC29" s="106">
        <v>75.400000000000006</v>
      </c>
      <c r="AD29" s="52">
        <v>233.65</v>
      </c>
      <c r="AE29" s="52">
        <v>50.6</v>
      </c>
      <c r="AF29" s="53">
        <v>75.400000000000006</v>
      </c>
      <c r="AH29" s="168">
        <f t="array" ref="AH29">IF(AH$1=0,"",SQRT((_xlfn.XLOOKUP(AH$1,$Z$2:$Z$18,$AA$2:$AA$18)-$T29)^2+(_xlfn.XLOOKUP(AH$1,$Z$2:$Z$18,$AB$2:$AB$18)-$U29)^2+(_xlfn.XLOOKUP(AH$1,$Z$2:$Z$18,$AC$2:$AC$18-$V29)^2)))</f>
        <v>155.90178991916673</v>
      </c>
      <c r="AI29" s="150">
        <f t="array" ref="AI29">IF(AI$1=0,"",SQRT((_xlfn.XLOOKUP(AI$1,$Z$2:$Z$18,$AA$2:$AA$18)-$T29)^2+(_xlfn.XLOOKUP(AI$1,$Z$2:$Z$18,$AB$2:$AB$18)-$U29)^2+(_xlfn.XLOOKUP(AI$1,$Z$2:$Z$18,$AC$2:$AC$18-$V29)^2)))</f>
        <v>84.775546002370277</v>
      </c>
      <c r="AJ29" s="150">
        <f t="array" ref="AJ29">IF(AJ$1=0,"",SQRT((_xlfn.XLOOKUP(AJ$1,$Z$2:$Z$18,$AA$2:$AA$18)-$T29)^2+(_xlfn.XLOOKUP(AJ$1,$Z$2:$Z$18,$AB$2:$AB$18)-$U29)^2+(_xlfn.XLOOKUP(AJ$1,$Z$2:$Z$18,$AC$2:$AC$18-$V29)^2)))</f>
        <v>42.541802970725158</v>
      </c>
      <c r="AK29" s="150">
        <f t="array" ref="AK29">IF(AK$1=0,"",SQRT((_xlfn.XLOOKUP(AK$1,$Z$2:$Z$18,$AA$2:$AA$18)-$T29)^2+(_xlfn.XLOOKUP(AK$1,$Z$2:$Z$18,$AB$2:$AB$18)-$U29)^2+(_xlfn.XLOOKUP(AK$1,$Z$2:$Z$18,$AC$2:$AC$18-$V29)^2)))</f>
        <v>155.47675067353322</v>
      </c>
      <c r="AL29" s="150">
        <f t="array" ref="AL29">IF(AL$1=0,"",SQRT((_xlfn.XLOOKUP(AL$1,$Z$2:$Z$18,$AA$2:$AA$18)-$T29)^2+(_xlfn.XLOOKUP(AL$1,$Z$2:$Z$18,$AB$2:$AB$18)-$U29)^2+(_xlfn.XLOOKUP(AL$1,$Z$2:$Z$18,$AC$2:$AC$18-$V29)^2)))</f>
        <v>249.75505380272088</v>
      </c>
      <c r="AM29" s="150" t="str">
        <f t="array" ref="AM29">IF(AM$1=0,"",SQRT((_xlfn.XLOOKUP(AM$1,$Z$2:$Z$18,$AA$2:$AA$18)-$T29)^2+(_xlfn.XLOOKUP(AM$1,$Z$2:$Z$18,$AB$2:$AB$18)-$U29)^2+(_xlfn.XLOOKUP(AM$1,$Z$2:$Z$18,$AC$2:$AC$18-$V29)^2)))</f>
        <v/>
      </c>
      <c r="AN29" s="150" t="str">
        <f t="array" ref="AN29">IF(AN$1=0,"",SQRT((_xlfn.XLOOKUP(AN$1,$Z$2:$Z$18,$AA$2:$AA$18)-$T29)^2+(_xlfn.XLOOKUP(AN$1,$Z$2:$Z$18,$AB$2:$AB$18)-$U29)^2+(_xlfn.XLOOKUP(AN$1,$Z$2:$Z$18,$AC$2:$AC$18-$V29)^2)))</f>
        <v/>
      </c>
      <c r="AO29" s="150" t="str">
        <f t="array" ref="AO29">IF(AO$1=0,"",SQRT((_xlfn.XLOOKUP(AO$1,$Z$2:$Z$18,$AA$2:$AA$18)-$T29)^2+(_xlfn.XLOOKUP(AO$1,$Z$2:$Z$18,$AB$2:$AB$18)-$U29)^2+(_xlfn.XLOOKUP(AO$1,$Z$2:$Z$18,$AC$2:$AC$18-$V29)^2)))</f>
        <v/>
      </c>
      <c r="AP29" s="151" t="str">
        <f t="array" ref="AP29">IF(AP$1=0,"",SQRT((_xlfn.XLOOKUP(AP$1,$Z$2:$Z$18,$AA$2:$AA$18)-$T29)^2+(_xlfn.XLOOKUP(AP$1,$Z$2:$Z$18,$AB$2:$AB$18)-$U29)^2+(_xlfn.XLOOKUP(AP$1,$Z$2:$Z$18,$AC$2:$AC$18-$V29)^2)))</f>
        <v/>
      </c>
      <c r="AQ29" s="151" t="str">
        <f t="array" ref="AQ29">IF(AQ$1=0,"",SQRT((_xlfn.XLOOKUP(AQ$1,$Z$2:$Z$18,$AA$2:$AA$18)-$T29)^2+(_xlfn.XLOOKUP(AQ$1,$Z$2:$Z$18,$AB$2:$AB$18)-$U29)^2+(_xlfn.XLOOKUP(AQ$1,$Z$2:$Z$18,$AC$2:$AC$18-$V29)^2)))</f>
        <v/>
      </c>
      <c r="AR29" s="151" t="str">
        <f t="array" ref="AR29">IF(AR$1=0,"",SQRT((_xlfn.XLOOKUP(AR$1,$Z$2:$Z$18,$AA$2:$AA$18)-$T29)^2+(_xlfn.XLOOKUP(AR$1,$Z$2:$Z$18,$AB$2:$AB$18)-$U29)^2+(_xlfn.XLOOKUP(AR$1,$Z$2:$Z$18,$AC$2:$AC$18-$V29)^2)))</f>
        <v/>
      </c>
      <c r="AS29" s="151" t="str">
        <f t="array" ref="AS29">IF(AS$1=0,"",SQRT((_xlfn.XLOOKUP(AS$1,$Z$2:$Z$18,$AA$2:$AA$18)-$T29)^2+(_xlfn.XLOOKUP(AS$1,$Z$2:$Z$18,$AB$2:$AB$18)-$U29)^2+(_xlfn.XLOOKUP(AS$1,$Z$2:$Z$18,$AC$2:$AC$18-$V29)^2)))</f>
        <v/>
      </c>
      <c r="AT29" s="151" t="str">
        <f t="array" ref="AT29">IF(AT$1=0,"",SQRT((_xlfn.XLOOKUP(AT$1,$Z$2:$Z$18,$AA$2:$AA$18)-$T29)^2+(_xlfn.XLOOKUP(AT$1,$Z$2:$Z$18,$AB$2:$AB$18)-$U29)^2+(_xlfn.XLOOKUP(AT$1,$Z$2:$Z$18,$AC$2:$AC$18-$V29)^2)))</f>
        <v/>
      </c>
      <c r="AU29" s="151" t="str">
        <f t="array" ref="AU29">IF(AU$1=0,"",SQRT((_xlfn.XLOOKUP(AU$1,$Z$2:$Z$18,$AA$2:$AA$18)-$T29)^2+(_xlfn.XLOOKUP(AU$1,$Z$2:$Z$18,$AB$2:$AB$18)-$U29)^2+(_xlfn.XLOOKUP(AU$1,$Z$2:$Z$18,$AC$2:$AC$18-$V29)^2)))</f>
        <v/>
      </c>
      <c r="AV29" s="152" t="str">
        <f t="array" ref="AV29">IF(AV$1=0,"",SQRT((_xlfn.XLOOKUP(AV$1,$Z$2:$Z$18,$AA$2:$AA$18)-$T29)^2+(_xlfn.XLOOKUP(AV$1,$Z$2:$Z$18,$AB$2:$AB$18)-$U29)^2+(_xlfn.XLOOKUP(AV$1,$Z$2:$Z$18,$AC$2:$AC$18-$V29)^2)))</f>
        <v/>
      </c>
      <c r="AW29" s="134"/>
      <c r="AX29" s="134"/>
      <c r="AY29" s="135">
        <f t="shared" si="4"/>
        <v>-41.519119964577712</v>
      </c>
      <c r="AZ29" s="153">
        <f t="shared" si="5"/>
        <v>-36.227509848147307</v>
      </c>
      <c r="BA29" s="153">
        <f t="shared" si="6"/>
        <v>-30.238415774098335</v>
      </c>
      <c r="BB29" s="153">
        <f t="shared" si="7"/>
        <v>-41.495407050608833</v>
      </c>
      <c r="BC29" s="153">
        <f t="shared" si="8"/>
        <v>-45.612383635968108</v>
      </c>
      <c r="BD29" s="153">
        <f t="shared" si="9"/>
        <v>0</v>
      </c>
      <c r="BE29" s="153">
        <f t="shared" si="10"/>
        <v>0</v>
      </c>
      <c r="BF29" s="153">
        <f t="shared" si="11"/>
        <v>0</v>
      </c>
      <c r="BG29" s="154">
        <f t="shared" si="12"/>
        <v>0</v>
      </c>
      <c r="BH29" s="154">
        <f t="shared" si="13"/>
        <v>0</v>
      </c>
      <c r="BI29" s="154">
        <f t="shared" si="14"/>
        <v>0</v>
      </c>
      <c r="BJ29" s="154">
        <f t="shared" si="15"/>
        <v>0</v>
      </c>
      <c r="BK29" s="154">
        <f t="shared" si="16"/>
        <v>0</v>
      </c>
      <c r="BL29" s="154">
        <f t="shared" si="17"/>
        <v>0</v>
      </c>
      <c r="BM29" s="155">
        <f t="shared" si="18"/>
        <v>0</v>
      </c>
      <c r="BN29" s="134"/>
      <c r="BO29" s="40" t="s">
        <v>22</v>
      </c>
      <c r="BP29" s="21">
        <f>'Input LwA_XYZ'!BP8</f>
        <v>72.147250813873711</v>
      </c>
      <c r="BQ29" s="21">
        <f>'Input LwA_XYZ'!BS5</f>
        <v>65</v>
      </c>
      <c r="BR29" s="21" t="str">
        <f>"Barrier Location: X = " &amp; ROUND(BP28,1) &amp; " ft, Y = " &amp; ROUND(BQ28,1) &amp; " ft"</f>
        <v>Barrier Location: X = 28.2 ft, Y = 75.4 ft</v>
      </c>
      <c r="BT29" s="134"/>
      <c r="BU29" s="134"/>
      <c r="BV29" s="140">
        <v>0</v>
      </c>
      <c r="BW29" s="140">
        <v>0</v>
      </c>
      <c r="BX29" s="140">
        <v>0</v>
      </c>
      <c r="BY29" s="140">
        <v>11</v>
      </c>
      <c r="BZ29" s="140">
        <v>11</v>
      </c>
      <c r="CA29" s="140"/>
      <c r="CB29" s="140"/>
      <c r="CC29" s="140"/>
      <c r="CD29" s="140"/>
      <c r="CE29" s="140"/>
      <c r="CF29" s="140"/>
      <c r="CG29" s="140"/>
      <c r="CH29" s="140"/>
      <c r="CI29" s="140"/>
      <c r="CJ29" s="140"/>
      <c r="CK29" s="134"/>
      <c r="CL29" s="134"/>
      <c r="CM29" s="156">
        <f t="shared" si="35"/>
        <v>15.480880035422288</v>
      </c>
      <c r="CN29" s="157">
        <f t="shared" si="36"/>
        <v>20.772490151852693</v>
      </c>
      <c r="CO29" s="157">
        <f t="shared" si="37"/>
        <v>26.761584225901665</v>
      </c>
      <c r="CP29" s="157">
        <f t="shared" si="38"/>
        <v>4.5045929493911672</v>
      </c>
      <c r="CQ29" s="157">
        <f t="shared" si="39"/>
        <v>0.38761636403189215</v>
      </c>
      <c r="CR29" s="157" t="str">
        <f t="shared" si="40"/>
        <v/>
      </c>
      <c r="CS29" s="157" t="str">
        <f t="shared" si="41"/>
        <v/>
      </c>
      <c r="CT29" s="157" t="str">
        <f t="shared" si="42"/>
        <v/>
      </c>
      <c r="CU29" s="158" t="str">
        <f t="shared" si="43"/>
        <v/>
      </c>
      <c r="CV29" s="158" t="str">
        <f t="shared" si="44"/>
        <v/>
      </c>
      <c r="CW29" s="158" t="str">
        <f t="shared" si="45"/>
        <v/>
      </c>
      <c r="CX29" s="158" t="str">
        <f t="shared" si="46"/>
        <v/>
      </c>
      <c r="CY29" s="143" t="str">
        <f t="shared" si="47"/>
        <v/>
      </c>
      <c r="CZ29" s="143" t="str">
        <f t="shared" si="48"/>
        <v/>
      </c>
      <c r="DA29" s="144" t="str">
        <f t="shared" si="49"/>
        <v/>
      </c>
    </row>
    <row r="30" spans="1:105" ht="16.5" customHeight="1" x14ac:dyDescent="0.3">
      <c r="A30" s="145">
        <v>1</v>
      </c>
      <c r="B30" s="146" t="s">
        <v>155</v>
      </c>
      <c r="C30" s="146" t="s">
        <v>125</v>
      </c>
      <c r="D30" s="147" t="s">
        <v>122</v>
      </c>
      <c r="E30" s="202" t="s">
        <v>141</v>
      </c>
      <c r="F30" s="210"/>
      <c r="G30" s="211"/>
      <c r="H30" s="211"/>
      <c r="I30" s="211"/>
      <c r="J30" s="211"/>
      <c r="K30" s="211"/>
      <c r="L30" s="211"/>
      <c r="M30" s="215"/>
      <c r="N30" s="210">
        <v>57.392737795737183</v>
      </c>
      <c r="O30" s="212">
        <v>0</v>
      </c>
      <c r="P30" s="205">
        <v>1</v>
      </c>
      <c r="Q30" s="128">
        <f t="shared" si="34"/>
        <v>57</v>
      </c>
      <c r="R30" s="3">
        <v>2</v>
      </c>
      <c r="S30" s="3"/>
      <c r="T30" s="4">
        <v>219.58</v>
      </c>
      <c r="U30" s="4">
        <v>35.75</v>
      </c>
      <c r="V30" s="109">
        <f t="shared" si="3"/>
        <v>75</v>
      </c>
      <c r="W30" s="81">
        <v>73</v>
      </c>
      <c r="X30" s="148">
        <v>2</v>
      </c>
      <c r="Z30" s="115" t="s">
        <v>167</v>
      </c>
      <c r="AA30" s="113">
        <v>219.02</v>
      </c>
      <c r="AB30" s="52">
        <v>47.74</v>
      </c>
      <c r="AC30" s="106">
        <v>75.400000000000006</v>
      </c>
      <c r="AD30" s="52">
        <v>233.1</v>
      </c>
      <c r="AE30" s="52">
        <v>50.6</v>
      </c>
      <c r="AF30" s="53">
        <v>75.400000000000006</v>
      </c>
      <c r="AH30" s="168">
        <f t="array" ref="AH30">IF(AH$1=0,"",SQRT((_xlfn.XLOOKUP(AH$1,$Z$2:$Z$18,$AA$2:$AA$18)-$T30)^2+(_xlfn.XLOOKUP(AH$1,$Z$2:$Z$18,$AB$2:$AB$18)-$U30)^2+(_xlfn.XLOOKUP(AH$1,$Z$2:$Z$18,$AC$2:$AC$18-$V30)^2)))</f>
        <v>193.11837535563518</v>
      </c>
      <c r="AI30" s="150">
        <f t="array" ref="AI30">IF(AI$1=0,"",SQRT((_xlfn.XLOOKUP(AI$1,$Z$2:$Z$18,$AA$2:$AA$18)-$T30)^2+(_xlfn.XLOOKUP(AI$1,$Z$2:$Z$18,$AB$2:$AB$18)-$U30)^2+(_xlfn.XLOOKUP(AI$1,$Z$2:$Z$18,$AC$2:$AC$18-$V30)^2)))</f>
        <v>121.36919708064316</v>
      </c>
      <c r="AJ30" s="150">
        <f t="array" ref="AJ30">IF(AJ$1=0,"",SQRT((_xlfn.XLOOKUP(AJ$1,$Z$2:$Z$18,$AA$2:$AA$18)-$T30)^2+(_xlfn.XLOOKUP(AJ$1,$Z$2:$Z$18,$AB$2:$AB$18)-$U30)^2+(_xlfn.XLOOKUP(AJ$1,$Z$2:$Z$18,$AC$2:$AC$18-$V30)^2)))</f>
        <v>20.178389430279118</v>
      </c>
      <c r="AK30" s="150">
        <f t="array" ref="AK30">IF(AK$1=0,"",SQRT((_xlfn.XLOOKUP(AK$1,$Z$2:$Z$18,$AA$2:$AA$18)-$T30)^2+(_xlfn.XLOOKUP(AK$1,$Z$2:$Z$18,$AB$2:$AB$18)-$U30)^2+(_xlfn.XLOOKUP(AK$1,$Z$2:$Z$18,$AC$2:$AC$18-$V30)^2)))</f>
        <v>115.191312172403</v>
      </c>
      <c r="AL30" s="150">
        <f t="array" ref="AL30">IF(AL$1=0,"",SQRT((_xlfn.XLOOKUP(AL$1,$Z$2:$Z$18,$AA$2:$AA$18)-$T30)^2+(_xlfn.XLOOKUP(AL$1,$Z$2:$Z$18,$AB$2:$AB$18)-$U30)^2+(_xlfn.XLOOKUP(AL$1,$Z$2:$Z$18,$AC$2:$AC$18-$V30)^2)))</f>
        <v>273.46134809146253</v>
      </c>
      <c r="AM30" s="150" t="str">
        <f t="array" ref="AM30">IF(AM$1=0,"",SQRT((_xlfn.XLOOKUP(AM$1,$Z$2:$Z$18,$AA$2:$AA$18)-$T30)^2+(_xlfn.XLOOKUP(AM$1,$Z$2:$Z$18,$AB$2:$AB$18)-$U30)^2+(_xlfn.XLOOKUP(AM$1,$Z$2:$Z$18,$AC$2:$AC$18-$V30)^2)))</f>
        <v/>
      </c>
      <c r="AN30" s="150" t="str">
        <f t="array" ref="AN30">IF(AN$1=0,"",SQRT((_xlfn.XLOOKUP(AN$1,$Z$2:$Z$18,$AA$2:$AA$18)-$T30)^2+(_xlfn.XLOOKUP(AN$1,$Z$2:$Z$18,$AB$2:$AB$18)-$U30)^2+(_xlfn.XLOOKUP(AN$1,$Z$2:$Z$18,$AC$2:$AC$18-$V30)^2)))</f>
        <v/>
      </c>
      <c r="AO30" s="150" t="str">
        <f t="array" ref="AO30">IF(AO$1=0,"",SQRT((_xlfn.XLOOKUP(AO$1,$Z$2:$Z$18,$AA$2:$AA$18)-$T30)^2+(_xlfn.XLOOKUP(AO$1,$Z$2:$Z$18,$AB$2:$AB$18)-$U30)^2+(_xlfn.XLOOKUP(AO$1,$Z$2:$Z$18,$AC$2:$AC$18-$V30)^2)))</f>
        <v/>
      </c>
      <c r="AP30" s="151" t="str">
        <f t="array" ref="AP30">IF(AP$1=0,"",SQRT((_xlfn.XLOOKUP(AP$1,$Z$2:$Z$18,$AA$2:$AA$18)-$T30)^2+(_xlfn.XLOOKUP(AP$1,$Z$2:$Z$18,$AB$2:$AB$18)-$U30)^2+(_xlfn.XLOOKUP(AP$1,$Z$2:$Z$18,$AC$2:$AC$18-$V30)^2)))</f>
        <v/>
      </c>
      <c r="AQ30" s="151" t="str">
        <f t="array" ref="AQ30">IF(AQ$1=0,"",SQRT((_xlfn.XLOOKUP(AQ$1,$Z$2:$Z$18,$AA$2:$AA$18)-$T30)^2+(_xlfn.XLOOKUP(AQ$1,$Z$2:$Z$18,$AB$2:$AB$18)-$U30)^2+(_xlfn.XLOOKUP(AQ$1,$Z$2:$Z$18,$AC$2:$AC$18-$V30)^2)))</f>
        <v/>
      </c>
      <c r="AR30" s="151" t="str">
        <f t="array" ref="AR30">IF(AR$1=0,"",SQRT((_xlfn.XLOOKUP(AR$1,$Z$2:$Z$18,$AA$2:$AA$18)-$T30)^2+(_xlfn.XLOOKUP(AR$1,$Z$2:$Z$18,$AB$2:$AB$18)-$U30)^2+(_xlfn.XLOOKUP(AR$1,$Z$2:$Z$18,$AC$2:$AC$18-$V30)^2)))</f>
        <v/>
      </c>
      <c r="AS30" s="151" t="str">
        <f t="array" ref="AS30">IF(AS$1=0,"",SQRT((_xlfn.XLOOKUP(AS$1,$Z$2:$Z$18,$AA$2:$AA$18)-$T30)^2+(_xlfn.XLOOKUP(AS$1,$Z$2:$Z$18,$AB$2:$AB$18)-$U30)^2+(_xlfn.XLOOKUP(AS$1,$Z$2:$Z$18,$AC$2:$AC$18-$V30)^2)))</f>
        <v/>
      </c>
      <c r="AT30" s="151" t="str">
        <f t="array" ref="AT30">IF(AT$1=0,"",SQRT((_xlfn.XLOOKUP(AT$1,$Z$2:$Z$18,$AA$2:$AA$18)-$T30)^2+(_xlfn.XLOOKUP(AT$1,$Z$2:$Z$18,$AB$2:$AB$18)-$U30)^2+(_xlfn.XLOOKUP(AT$1,$Z$2:$Z$18,$AC$2:$AC$18-$V30)^2)))</f>
        <v/>
      </c>
      <c r="AU30" s="151" t="str">
        <f t="array" ref="AU30">IF(AU$1=0,"",SQRT((_xlfn.XLOOKUP(AU$1,$Z$2:$Z$18,$AA$2:$AA$18)-$T30)^2+(_xlfn.XLOOKUP(AU$1,$Z$2:$Z$18,$AB$2:$AB$18)-$U30)^2+(_xlfn.XLOOKUP(AU$1,$Z$2:$Z$18,$AC$2:$AC$18-$V30)^2)))</f>
        <v/>
      </c>
      <c r="AV30" s="152" t="str">
        <f t="array" ref="AV30">IF(AV$1=0,"",SQRT((_xlfn.XLOOKUP(AV$1,$Z$2:$Z$18,$AA$2:$AA$18)-$T30)^2+(_xlfn.XLOOKUP(AV$1,$Z$2:$Z$18,$AB$2:$AB$18)-$U30)^2+(_xlfn.XLOOKUP(AV$1,$Z$2:$Z$18,$AC$2:$AC$18-$V30)^2)))</f>
        <v/>
      </c>
      <c r="AW30" s="134"/>
      <c r="AX30" s="134"/>
      <c r="AY30" s="135">
        <f t="shared" si="4"/>
        <v>-43.37856992063805</v>
      </c>
      <c r="AZ30" s="153">
        <f t="shared" si="5"/>
        <v>-39.344267514330525</v>
      </c>
      <c r="BA30" s="153">
        <f t="shared" si="6"/>
        <v>-23.759827924746016</v>
      </c>
      <c r="BB30" s="153">
        <f t="shared" si="7"/>
        <v>-38.890492446130118</v>
      </c>
      <c r="BC30" s="153">
        <f t="shared" si="8"/>
        <v>-46.400016945432725</v>
      </c>
      <c r="BD30" s="153">
        <f t="shared" si="9"/>
        <v>0</v>
      </c>
      <c r="BE30" s="153">
        <f t="shared" si="10"/>
        <v>0</v>
      </c>
      <c r="BF30" s="153">
        <f t="shared" si="11"/>
        <v>0</v>
      </c>
      <c r="BG30" s="154">
        <f t="shared" si="12"/>
        <v>0</v>
      </c>
      <c r="BH30" s="154">
        <f t="shared" si="13"/>
        <v>0</v>
      </c>
      <c r="BI30" s="154">
        <f t="shared" si="14"/>
        <v>0</v>
      </c>
      <c r="BJ30" s="154">
        <f t="shared" si="15"/>
        <v>0</v>
      </c>
      <c r="BK30" s="154">
        <f t="shared" si="16"/>
        <v>0</v>
      </c>
      <c r="BL30" s="154">
        <f t="shared" si="17"/>
        <v>0</v>
      </c>
      <c r="BM30" s="155">
        <f t="shared" si="18"/>
        <v>0</v>
      </c>
      <c r="BN30" s="134"/>
      <c r="BO30" s="40" t="s">
        <v>21</v>
      </c>
      <c r="BP30" s="21">
        <v>0</v>
      </c>
      <c r="BQ30" s="21">
        <f>BQ27</f>
        <v>74.25</v>
      </c>
      <c r="BR30" s="21" t="str">
        <f>"Receiver Location: X = " &amp; ROUND(BP29,1) &amp; " ft, Y = " &amp; ROUND(BQ29,1) &amp; " ft"</f>
        <v>Receiver Location: X = 72.1 ft, Y = 65 ft</v>
      </c>
      <c r="BT30" s="134"/>
      <c r="BU30" s="134"/>
      <c r="BV30" s="140">
        <v>1</v>
      </c>
      <c r="BW30" s="140">
        <v>12</v>
      </c>
      <c r="BX30" s="140">
        <v>8</v>
      </c>
      <c r="BY30" s="140">
        <v>7</v>
      </c>
      <c r="BZ30" s="140">
        <v>10</v>
      </c>
      <c r="CA30" s="140"/>
      <c r="CB30" s="140"/>
      <c r="CC30" s="140"/>
      <c r="CD30" s="140"/>
      <c r="CE30" s="140"/>
      <c r="CF30" s="140"/>
      <c r="CG30" s="140"/>
      <c r="CH30" s="140"/>
      <c r="CI30" s="140"/>
      <c r="CJ30" s="140"/>
      <c r="CK30" s="134"/>
      <c r="CL30" s="134"/>
      <c r="CM30" s="156">
        <f t="shared" si="35"/>
        <v>12.62143007936195</v>
      </c>
      <c r="CN30" s="157">
        <f t="shared" si="36"/>
        <v>5.6557324856694748</v>
      </c>
      <c r="CO30" s="157">
        <f t="shared" si="37"/>
        <v>25.24017207525398</v>
      </c>
      <c r="CP30" s="157">
        <f t="shared" si="38"/>
        <v>11.109507553869882</v>
      </c>
      <c r="CQ30" s="157">
        <f t="shared" si="39"/>
        <v>0.59998305456727508</v>
      </c>
      <c r="CR30" s="157" t="str">
        <f t="shared" si="40"/>
        <v/>
      </c>
      <c r="CS30" s="157" t="str">
        <f t="shared" si="41"/>
        <v/>
      </c>
      <c r="CT30" s="157" t="str">
        <f t="shared" si="42"/>
        <v/>
      </c>
      <c r="CU30" s="158" t="str">
        <f t="shared" si="43"/>
        <v/>
      </c>
      <c r="CV30" s="158" t="str">
        <f t="shared" si="44"/>
        <v/>
      </c>
      <c r="CW30" s="158" t="str">
        <f t="shared" si="45"/>
        <v/>
      </c>
      <c r="CX30" s="158" t="str">
        <f t="shared" si="46"/>
        <v/>
      </c>
      <c r="CY30" s="143" t="str">
        <f t="shared" si="47"/>
        <v/>
      </c>
      <c r="CZ30" s="143" t="str">
        <f t="shared" si="48"/>
        <v/>
      </c>
      <c r="DA30" s="144" t="str">
        <f t="shared" si="49"/>
        <v/>
      </c>
    </row>
    <row r="31" spans="1:105" ht="16.5" customHeight="1" x14ac:dyDescent="0.3">
      <c r="A31" s="145">
        <v>1</v>
      </c>
      <c r="B31" s="146" t="s">
        <v>156</v>
      </c>
      <c r="C31" s="146" t="s">
        <v>125</v>
      </c>
      <c r="D31" s="147" t="s">
        <v>122</v>
      </c>
      <c r="E31" s="202" t="s">
        <v>142</v>
      </c>
      <c r="F31" s="210"/>
      <c r="G31" s="211"/>
      <c r="H31" s="211"/>
      <c r="I31" s="211"/>
      <c r="J31" s="211"/>
      <c r="K31" s="211"/>
      <c r="L31" s="211"/>
      <c r="M31" s="215"/>
      <c r="N31" s="210">
        <v>65.873120921161103</v>
      </c>
      <c r="O31" s="212">
        <v>0</v>
      </c>
      <c r="P31" s="205">
        <v>1</v>
      </c>
      <c r="Q31" s="128">
        <f t="shared" si="34"/>
        <v>66</v>
      </c>
      <c r="R31" s="3">
        <v>2</v>
      </c>
      <c r="S31" s="3"/>
      <c r="T31" s="4">
        <v>217.55</v>
      </c>
      <c r="U31" s="4">
        <v>62.52</v>
      </c>
      <c r="V31" s="109">
        <f t="shared" si="3"/>
        <v>75</v>
      </c>
      <c r="W31" s="81">
        <v>73</v>
      </c>
      <c r="X31" s="148">
        <v>2</v>
      </c>
      <c r="Z31" s="115" t="s">
        <v>168</v>
      </c>
      <c r="AA31" s="113">
        <v>219.34</v>
      </c>
      <c r="AB31" s="52">
        <v>48.62</v>
      </c>
      <c r="AC31" s="106">
        <v>75.400000000000006</v>
      </c>
      <c r="AD31" s="52">
        <v>214.39</v>
      </c>
      <c r="AE31" s="52">
        <v>74.8</v>
      </c>
      <c r="AF31" s="53">
        <v>75.400000000000006</v>
      </c>
      <c r="AH31" s="168">
        <f t="array" ref="AH31">IF(AH$1=0,"",SQRT((_xlfn.XLOOKUP(AH$1,$Z$2:$Z$18,$AA$2:$AA$18)-$T31)^2+(_xlfn.XLOOKUP(AH$1,$Z$2:$Z$18,$AB$2:$AB$18)-$U31)^2+(_xlfn.XLOOKUP(AH$1,$Z$2:$Z$18,$AC$2:$AC$18-$V31)^2)))</f>
        <v>185.98129717796897</v>
      </c>
      <c r="AI31" s="150">
        <f t="array" ref="AI31">IF(AI$1=0,"",SQRT((_xlfn.XLOOKUP(AI$1,$Z$2:$Z$18,$AA$2:$AA$18)-$T31)^2+(_xlfn.XLOOKUP(AI$1,$Z$2:$Z$18,$AB$2:$AB$18)-$U31)^2+(_xlfn.XLOOKUP(AI$1,$Z$2:$Z$18,$AC$2:$AC$18-$V31)^2)))</f>
        <v>118.63071861874563</v>
      </c>
      <c r="AJ31" s="150">
        <f t="array" ref="AJ31">IF(AJ$1=0,"",SQRT((_xlfn.XLOOKUP(AJ$1,$Z$2:$Z$18,$AA$2:$AA$18)-$T31)^2+(_xlfn.XLOOKUP(AJ$1,$Z$2:$Z$18,$AB$2:$AB$18)-$U31)^2+(_xlfn.XLOOKUP(AJ$1,$Z$2:$Z$18,$AC$2:$AC$18-$V31)^2)))</f>
        <v>42.742157175322824</v>
      </c>
      <c r="AK31" s="150">
        <f t="array" ref="AK31">IF(AK$1=0,"",SQRT((_xlfn.XLOOKUP(AK$1,$Z$2:$Z$18,$AA$2:$AA$18)-$T31)^2+(_xlfn.XLOOKUP(AK$1,$Z$2:$Z$18,$AB$2:$AB$18)-$U31)^2+(_xlfn.XLOOKUP(AK$1,$Z$2:$Z$18,$AC$2:$AC$18-$V31)^2)))</f>
        <v>108.00424528693304</v>
      </c>
      <c r="AL31" s="150">
        <f t="array" ref="AL31">IF(AL$1=0,"",SQRT((_xlfn.XLOOKUP(AL$1,$Z$2:$Z$18,$AA$2:$AA$18)-$T31)^2+(_xlfn.XLOOKUP(AL$1,$Z$2:$Z$18,$AB$2:$AB$18)-$U31)^2+(_xlfn.XLOOKUP(AL$1,$Z$2:$Z$18,$AC$2:$AC$18-$V31)^2)))</f>
        <v>255.21312368293289</v>
      </c>
      <c r="AM31" s="150" t="str">
        <f t="array" ref="AM31">IF(AM$1=0,"",SQRT((_xlfn.XLOOKUP(AM$1,$Z$2:$Z$18,$AA$2:$AA$18)-$T31)^2+(_xlfn.XLOOKUP(AM$1,$Z$2:$Z$18,$AB$2:$AB$18)-$U31)^2+(_xlfn.XLOOKUP(AM$1,$Z$2:$Z$18,$AC$2:$AC$18-$V31)^2)))</f>
        <v/>
      </c>
      <c r="AN31" s="150" t="str">
        <f t="array" ref="AN31">IF(AN$1=0,"",SQRT((_xlfn.XLOOKUP(AN$1,$Z$2:$Z$18,$AA$2:$AA$18)-$T31)^2+(_xlfn.XLOOKUP(AN$1,$Z$2:$Z$18,$AB$2:$AB$18)-$U31)^2+(_xlfn.XLOOKUP(AN$1,$Z$2:$Z$18,$AC$2:$AC$18-$V31)^2)))</f>
        <v/>
      </c>
      <c r="AO31" s="150" t="str">
        <f t="array" ref="AO31">IF(AO$1=0,"",SQRT((_xlfn.XLOOKUP(AO$1,$Z$2:$Z$18,$AA$2:$AA$18)-$T31)^2+(_xlfn.XLOOKUP(AO$1,$Z$2:$Z$18,$AB$2:$AB$18)-$U31)^2+(_xlfn.XLOOKUP(AO$1,$Z$2:$Z$18,$AC$2:$AC$18-$V31)^2)))</f>
        <v/>
      </c>
      <c r="AP31" s="151" t="str">
        <f t="array" ref="AP31">IF(AP$1=0,"",SQRT((_xlfn.XLOOKUP(AP$1,$Z$2:$Z$18,$AA$2:$AA$18)-$T31)^2+(_xlfn.XLOOKUP(AP$1,$Z$2:$Z$18,$AB$2:$AB$18)-$U31)^2+(_xlfn.XLOOKUP(AP$1,$Z$2:$Z$18,$AC$2:$AC$18-$V31)^2)))</f>
        <v/>
      </c>
      <c r="AQ31" s="151" t="str">
        <f t="array" ref="AQ31">IF(AQ$1=0,"",SQRT((_xlfn.XLOOKUP(AQ$1,$Z$2:$Z$18,$AA$2:$AA$18)-$T31)^2+(_xlfn.XLOOKUP(AQ$1,$Z$2:$Z$18,$AB$2:$AB$18)-$U31)^2+(_xlfn.XLOOKUP(AQ$1,$Z$2:$Z$18,$AC$2:$AC$18-$V31)^2)))</f>
        <v/>
      </c>
      <c r="AR31" s="151" t="str">
        <f t="array" ref="AR31">IF(AR$1=0,"",SQRT((_xlfn.XLOOKUP(AR$1,$Z$2:$Z$18,$AA$2:$AA$18)-$T31)^2+(_xlfn.XLOOKUP(AR$1,$Z$2:$Z$18,$AB$2:$AB$18)-$U31)^2+(_xlfn.XLOOKUP(AR$1,$Z$2:$Z$18,$AC$2:$AC$18-$V31)^2)))</f>
        <v/>
      </c>
      <c r="AS31" s="151" t="str">
        <f t="array" ref="AS31">IF(AS$1=0,"",SQRT((_xlfn.XLOOKUP(AS$1,$Z$2:$Z$18,$AA$2:$AA$18)-$T31)^2+(_xlfn.XLOOKUP(AS$1,$Z$2:$Z$18,$AB$2:$AB$18)-$U31)^2+(_xlfn.XLOOKUP(AS$1,$Z$2:$Z$18,$AC$2:$AC$18-$V31)^2)))</f>
        <v/>
      </c>
      <c r="AT31" s="151" t="str">
        <f t="array" ref="AT31">IF(AT$1=0,"",SQRT((_xlfn.XLOOKUP(AT$1,$Z$2:$Z$18,$AA$2:$AA$18)-$T31)^2+(_xlfn.XLOOKUP(AT$1,$Z$2:$Z$18,$AB$2:$AB$18)-$U31)^2+(_xlfn.XLOOKUP(AT$1,$Z$2:$Z$18,$AC$2:$AC$18-$V31)^2)))</f>
        <v/>
      </c>
      <c r="AU31" s="151" t="str">
        <f t="array" ref="AU31">IF(AU$1=0,"",SQRT((_xlfn.XLOOKUP(AU$1,$Z$2:$Z$18,$AA$2:$AA$18)-$T31)^2+(_xlfn.XLOOKUP(AU$1,$Z$2:$Z$18,$AB$2:$AB$18)-$U31)^2+(_xlfn.XLOOKUP(AU$1,$Z$2:$Z$18,$AC$2:$AC$18-$V31)^2)))</f>
        <v/>
      </c>
      <c r="AV31" s="152" t="str">
        <f t="array" ref="AV31">IF(AV$1=0,"",SQRT((_xlfn.XLOOKUP(AV$1,$Z$2:$Z$18,$AA$2:$AA$18)-$T31)^2+(_xlfn.XLOOKUP(AV$1,$Z$2:$Z$18,$AB$2:$AB$18)-$U31)^2+(_xlfn.XLOOKUP(AV$1,$Z$2:$Z$18,$AC$2:$AC$18-$V31)^2)))</f>
        <v/>
      </c>
      <c r="AW31" s="134"/>
      <c r="AX31" s="134"/>
      <c r="AY31" s="135">
        <f t="shared" si="4"/>
        <v>-43.051483386795766</v>
      </c>
      <c r="AZ31" s="153">
        <f t="shared" si="5"/>
        <v>-39.146041160868727</v>
      </c>
      <c r="BA31" s="153">
        <f t="shared" si="6"/>
        <v>-30.27922667706742</v>
      </c>
      <c r="BB31" s="153">
        <f t="shared" si="7"/>
        <v>-38.330914466755416</v>
      </c>
      <c r="BC31" s="153">
        <f t="shared" si="8"/>
        <v>-45.800157999085378</v>
      </c>
      <c r="BD31" s="153">
        <f t="shared" si="9"/>
        <v>0</v>
      </c>
      <c r="BE31" s="153">
        <f t="shared" si="10"/>
        <v>0</v>
      </c>
      <c r="BF31" s="153">
        <f t="shared" si="11"/>
        <v>0</v>
      </c>
      <c r="BG31" s="154">
        <f t="shared" si="12"/>
        <v>0</v>
      </c>
      <c r="BH31" s="154">
        <f t="shared" si="13"/>
        <v>0</v>
      </c>
      <c r="BI31" s="154">
        <f t="shared" si="14"/>
        <v>0</v>
      </c>
      <c r="BJ31" s="154">
        <f t="shared" si="15"/>
        <v>0</v>
      </c>
      <c r="BK31" s="154">
        <f t="shared" si="16"/>
        <v>0</v>
      </c>
      <c r="BL31" s="154">
        <f t="shared" si="17"/>
        <v>0</v>
      </c>
      <c r="BM31" s="155">
        <f t="shared" si="18"/>
        <v>0</v>
      </c>
      <c r="BN31" s="134"/>
      <c r="BO31" s="40" t="s">
        <v>67</v>
      </c>
      <c r="BP31" s="21" t="e">
        <f>#REF!</f>
        <v>#REF!</v>
      </c>
      <c r="BQ31" s="21">
        <v>3.28</v>
      </c>
      <c r="BR31" s="21" t="str">
        <f>BO33</f>
        <v>MAU-R1 to R1</v>
      </c>
      <c r="BT31" s="134"/>
      <c r="BU31" s="134"/>
      <c r="BV31" s="140">
        <v>1</v>
      </c>
      <c r="BW31" s="140">
        <v>12</v>
      </c>
      <c r="BX31" s="140">
        <v>14</v>
      </c>
      <c r="BY31" s="140">
        <v>0</v>
      </c>
      <c r="BZ31" s="140">
        <v>9</v>
      </c>
      <c r="CA31" s="140"/>
      <c r="CB31" s="140"/>
      <c r="CC31" s="140"/>
      <c r="CD31" s="140"/>
      <c r="CE31" s="140"/>
      <c r="CF31" s="140"/>
      <c r="CG31" s="140"/>
      <c r="CH31" s="140"/>
      <c r="CI31" s="140"/>
      <c r="CJ31" s="140"/>
      <c r="CK31" s="134"/>
      <c r="CL31" s="134"/>
      <c r="CM31" s="156">
        <f t="shared" si="35"/>
        <v>21.948516613204234</v>
      </c>
      <c r="CN31" s="157">
        <f t="shared" si="36"/>
        <v>14.853958839131273</v>
      </c>
      <c r="CO31" s="157">
        <f t="shared" si="37"/>
        <v>21.72077332293258</v>
      </c>
      <c r="CP31" s="157">
        <f t="shared" si="38"/>
        <v>27.669085533244584</v>
      </c>
      <c r="CQ31" s="157">
        <f t="shared" si="39"/>
        <v>11.199842000914622</v>
      </c>
      <c r="CR31" s="157" t="str">
        <f t="shared" si="40"/>
        <v/>
      </c>
      <c r="CS31" s="157" t="str">
        <f t="shared" si="41"/>
        <v/>
      </c>
      <c r="CT31" s="157" t="str">
        <f t="shared" si="42"/>
        <v/>
      </c>
      <c r="CU31" s="158" t="str">
        <f t="shared" si="43"/>
        <v/>
      </c>
      <c r="CV31" s="158" t="str">
        <f t="shared" si="44"/>
        <v/>
      </c>
      <c r="CW31" s="158" t="str">
        <f t="shared" si="45"/>
        <v/>
      </c>
      <c r="CX31" s="158" t="str">
        <f t="shared" si="46"/>
        <v/>
      </c>
      <c r="CY31" s="143" t="str">
        <f t="shared" si="47"/>
        <v/>
      </c>
      <c r="CZ31" s="143" t="str">
        <f t="shared" si="48"/>
        <v/>
      </c>
      <c r="DA31" s="144" t="str">
        <f t="shared" si="49"/>
        <v/>
      </c>
    </row>
    <row r="32" spans="1:105" ht="16.5" customHeight="1" x14ac:dyDescent="0.3">
      <c r="A32" s="145">
        <v>1</v>
      </c>
      <c r="B32" s="146" t="s">
        <v>157</v>
      </c>
      <c r="C32" s="146" t="s">
        <v>125</v>
      </c>
      <c r="D32" s="147" t="s">
        <v>122</v>
      </c>
      <c r="E32" s="202" t="s">
        <v>142</v>
      </c>
      <c r="F32" s="210"/>
      <c r="G32" s="211"/>
      <c r="H32" s="211"/>
      <c r="I32" s="211"/>
      <c r="J32" s="211"/>
      <c r="K32" s="211"/>
      <c r="L32" s="211"/>
      <c r="M32" s="215"/>
      <c r="N32" s="210">
        <v>65.873120921161103</v>
      </c>
      <c r="O32" s="212">
        <v>0</v>
      </c>
      <c r="P32" s="205">
        <v>1</v>
      </c>
      <c r="Q32" s="128">
        <f t="shared" si="34"/>
        <v>66</v>
      </c>
      <c r="R32" s="3">
        <v>2</v>
      </c>
      <c r="S32" s="3"/>
      <c r="T32" s="4">
        <v>214.65</v>
      </c>
      <c r="U32" s="4">
        <v>91.59</v>
      </c>
      <c r="V32" s="109">
        <f t="shared" si="3"/>
        <v>75</v>
      </c>
      <c r="W32" s="81">
        <v>73</v>
      </c>
      <c r="X32" s="148">
        <v>2</v>
      </c>
      <c r="Z32" s="115" t="s">
        <v>169</v>
      </c>
      <c r="AA32" s="113">
        <v>213.85</v>
      </c>
      <c r="AB32" s="52">
        <v>75.13</v>
      </c>
      <c r="AC32" s="106">
        <v>75.400000000000006</v>
      </c>
      <c r="AD32" s="52">
        <v>227.71</v>
      </c>
      <c r="AE32" s="52">
        <v>77.77</v>
      </c>
      <c r="AF32" s="53">
        <v>75.400000000000006</v>
      </c>
      <c r="AH32" s="168">
        <f t="array" ref="AH32">IF(AH$1=0,"",SQRT((_xlfn.XLOOKUP(AH$1,$Z$2:$Z$18,$AA$2:$AA$18)-$T32)^2+(_xlfn.XLOOKUP(AH$1,$Z$2:$Z$18,$AB$2:$AB$18)-$U32)^2+(_xlfn.XLOOKUP(AH$1,$Z$2:$Z$18,$AC$2:$AC$18-$V32)^2)))</f>
        <v>181.74354954165497</v>
      </c>
      <c r="AI32" s="150">
        <f t="array" ref="AI32">IF(AI$1=0,"",SQRT((_xlfn.XLOOKUP(AI$1,$Z$2:$Z$18,$AA$2:$AA$18)-$T32)^2+(_xlfn.XLOOKUP(AI$1,$Z$2:$Z$18,$AB$2:$AB$18)-$U32)^2+(_xlfn.XLOOKUP(AI$1,$Z$2:$Z$18,$AC$2:$AC$18-$V32)^2)))</f>
        <v>121.81376482155045</v>
      </c>
      <c r="AJ32" s="150">
        <f t="array" ref="AJ32">IF(AJ$1=0,"",SQRT((_xlfn.XLOOKUP(AJ$1,$Z$2:$Z$18,$AA$2:$AA$18)-$T32)^2+(_xlfn.XLOOKUP(AJ$1,$Z$2:$Z$18,$AB$2:$AB$18)-$U32)^2+(_xlfn.XLOOKUP(AJ$1,$Z$2:$Z$18,$AC$2:$AC$18-$V32)^2)))</f>
        <v>70.738940478353229</v>
      </c>
      <c r="AK32" s="150">
        <f t="array" ref="AK32">IF(AK$1=0,"",SQRT((_xlfn.XLOOKUP(AK$1,$Z$2:$Z$18,$AA$2:$AA$18)-$T32)^2+(_xlfn.XLOOKUP(AK$1,$Z$2:$Z$18,$AB$2:$AB$18)-$U32)^2+(_xlfn.XLOOKUP(AK$1,$Z$2:$Z$18,$AC$2:$AC$18-$V32)^2)))</f>
        <v>108.15399067995595</v>
      </c>
      <c r="AL32" s="150">
        <f t="array" ref="AL32">IF(AL$1=0,"",SQRT((_xlfn.XLOOKUP(AL$1,$Z$2:$Z$18,$AA$2:$AA$18)-$T32)^2+(_xlfn.XLOOKUP(AL$1,$Z$2:$Z$18,$AB$2:$AB$18)-$U32)^2+(_xlfn.XLOOKUP(AL$1,$Z$2:$Z$18,$AC$2:$AC$18-$V32)^2)))</f>
        <v>236.66599671266678</v>
      </c>
      <c r="AM32" s="150" t="str">
        <f t="array" ref="AM32">IF(AM$1=0,"",SQRT((_xlfn.XLOOKUP(AM$1,$Z$2:$Z$18,$AA$2:$AA$18)-$T32)^2+(_xlfn.XLOOKUP(AM$1,$Z$2:$Z$18,$AB$2:$AB$18)-$U32)^2+(_xlfn.XLOOKUP(AM$1,$Z$2:$Z$18,$AC$2:$AC$18-$V32)^2)))</f>
        <v/>
      </c>
      <c r="AN32" s="150" t="str">
        <f t="array" ref="AN32">IF(AN$1=0,"",SQRT((_xlfn.XLOOKUP(AN$1,$Z$2:$Z$18,$AA$2:$AA$18)-$T32)^2+(_xlfn.XLOOKUP(AN$1,$Z$2:$Z$18,$AB$2:$AB$18)-$U32)^2+(_xlfn.XLOOKUP(AN$1,$Z$2:$Z$18,$AC$2:$AC$18-$V32)^2)))</f>
        <v/>
      </c>
      <c r="AO32" s="150" t="str">
        <f t="array" ref="AO32">IF(AO$1=0,"",SQRT((_xlfn.XLOOKUP(AO$1,$Z$2:$Z$18,$AA$2:$AA$18)-$T32)^2+(_xlfn.XLOOKUP(AO$1,$Z$2:$Z$18,$AB$2:$AB$18)-$U32)^2+(_xlfn.XLOOKUP(AO$1,$Z$2:$Z$18,$AC$2:$AC$18-$V32)^2)))</f>
        <v/>
      </c>
      <c r="AP32" s="151" t="str">
        <f t="array" ref="AP32">IF(AP$1=0,"",SQRT((_xlfn.XLOOKUP(AP$1,$Z$2:$Z$18,$AA$2:$AA$18)-$T32)^2+(_xlfn.XLOOKUP(AP$1,$Z$2:$Z$18,$AB$2:$AB$18)-$U32)^2+(_xlfn.XLOOKUP(AP$1,$Z$2:$Z$18,$AC$2:$AC$18-$V32)^2)))</f>
        <v/>
      </c>
      <c r="AQ32" s="151" t="str">
        <f t="array" ref="AQ32">IF(AQ$1=0,"",SQRT((_xlfn.XLOOKUP(AQ$1,$Z$2:$Z$18,$AA$2:$AA$18)-$T32)^2+(_xlfn.XLOOKUP(AQ$1,$Z$2:$Z$18,$AB$2:$AB$18)-$U32)^2+(_xlfn.XLOOKUP(AQ$1,$Z$2:$Z$18,$AC$2:$AC$18-$V32)^2)))</f>
        <v/>
      </c>
      <c r="AR32" s="151" t="str">
        <f t="array" ref="AR32">IF(AR$1=0,"",SQRT((_xlfn.XLOOKUP(AR$1,$Z$2:$Z$18,$AA$2:$AA$18)-$T32)^2+(_xlfn.XLOOKUP(AR$1,$Z$2:$Z$18,$AB$2:$AB$18)-$U32)^2+(_xlfn.XLOOKUP(AR$1,$Z$2:$Z$18,$AC$2:$AC$18-$V32)^2)))</f>
        <v/>
      </c>
      <c r="AS32" s="151" t="str">
        <f t="array" ref="AS32">IF(AS$1=0,"",SQRT((_xlfn.XLOOKUP(AS$1,$Z$2:$Z$18,$AA$2:$AA$18)-$T32)^2+(_xlfn.XLOOKUP(AS$1,$Z$2:$Z$18,$AB$2:$AB$18)-$U32)^2+(_xlfn.XLOOKUP(AS$1,$Z$2:$Z$18,$AC$2:$AC$18-$V32)^2)))</f>
        <v/>
      </c>
      <c r="AT32" s="151" t="str">
        <f t="array" ref="AT32">IF(AT$1=0,"",SQRT((_xlfn.XLOOKUP(AT$1,$Z$2:$Z$18,$AA$2:$AA$18)-$T32)^2+(_xlfn.XLOOKUP(AT$1,$Z$2:$Z$18,$AB$2:$AB$18)-$U32)^2+(_xlfn.XLOOKUP(AT$1,$Z$2:$Z$18,$AC$2:$AC$18-$V32)^2)))</f>
        <v/>
      </c>
      <c r="AU32" s="151" t="str">
        <f t="array" ref="AU32">IF(AU$1=0,"",SQRT((_xlfn.XLOOKUP(AU$1,$Z$2:$Z$18,$AA$2:$AA$18)-$T32)^2+(_xlfn.XLOOKUP(AU$1,$Z$2:$Z$18,$AB$2:$AB$18)-$U32)^2+(_xlfn.XLOOKUP(AU$1,$Z$2:$Z$18,$AC$2:$AC$18-$V32)^2)))</f>
        <v/>
      </c>
      <c r="AV32" s="152" t="str">
        <f t="array" ref="AV32">IF(AV$1=0,"",SQRT((_xlfn.XLOOKUP(AV$1,$Z$2:$Z$18,$AA$2:$AA$18)-$T32)^2+(_xlfn.XLOOKUP(AV$1,$Z$2:$Z$18,$AB$2:$AB$18)-$U32)^2+(_xlfn.XLOOKUP(AV$1,$Z$2:$Z$18,$AC$2:$AC$18-$V32)^2)))</f>
        <v/>
      </c>
      <c r="AW32" s="134"/>
      <c r="AX32" s="134"/>
      <c r="AY32" s="135">
        <f t="shared" si="4"/>
        <v>-42.851278052651232</v>
      </c>
      <c r="AZ32" s="153">
        <f t="shared" si="5"/>
        <v>-39.376025254310932</v>
      </c>
      <c r="BA32" s="153">
        <f t="shared" si="6"/>
        <v>-34.655268950988081</v>
      </c>
      <c r="BB32" s="153">
        <f t="shared" si="7"/>
        <v>-38.342948911428401</v>
      </c>
      <c r="BC32" s="153">
        <f t="shared" si="8"/>
        <v>-45.144815228942875</v>
      </c>
      <c r="BD32" s="153">
        <f t="shared" si="9"/>
        <v>0</v>
      </c>
      <c r="BE32" s="153">
        <f t="shared" si="10"/>
        <v>0</v>
      </c>
      <c r="BF32" s="153">
        <f t="shared" si="11"/>
        <v>0</v>
      </c>
      <c r="BG32" s="154">
        <f t="shared" si="12"/>
        <v>0</v>
      </c>
      <c r="BH32" s="154">
        <f t="shared" si="13"/>
        <v>0</v>
      </c>
      <c r="BI32" s="154">
        <f t="shared" si="14"/>
        <v>0</v>
      </c>
      <c r="BJ32" s="154">
        <f t="shared" si="15"/>
        <v>0</v>
      </c>
      <c r="BK32" s="154">
        <f t="shared" si="16"/>
        <v>0</v>
      </c>
      <c r="BL32" s="154">
        <f t="shared" si="17"/>
        <v>0</v>
      </c>
      <c r="BM32" s="155">
        <f t="shared" si="18"/>
        <v>0</v>
      </c>
      <c r="BN32" s="134"/>
      <c r="BO32" s="21"/>
      <c r="BP32" s="21"/>
      <c r="BQ32" s="21"/>
      <c r="BR32" s="21" t="str">
        <f>"Barrier Reduction per ARI: " &amp; 'Input LwA_XYZ'!BP46 &amp; " dB"</f>
        <v>Barrier Reduction per ARI: 5 dB</v>
      </c>
      <c r="BT32" s="134"/>
      <c r="BU32" s="134"/>
      <c r="BV32" s="140">
        <v>7</v>
      </c>
      <c r="BW32" s="140">
        <v>12</v>
      </c>
      <c r="BX32" s="140">
        <v>15</v>
      </c>
      <c r="BY32" s="140">
        <v>5</v>
      </c>
      <c r="BZ32" s="140">
        <v>8</v>
      </c>
      <c r="CA32" s="140"/>
      <c r="CB32" s="140"/>
      <c r="CC32" s="140"/>
      <c r="CD32" s="140"/>
      <c r="CE32" s="140"/>
      <c r="CF32" s="140"/>
      <c r="CG32" s="140"/>
      <c r="CH32" s="140"/>
      <c r="CI32" s="140"/>
      <c r="CJ32" s="140"/>
      <c r="CK32" s="134"/>
      <c r="CL32" s="134"/>
      <c r="CM32" s="156">
        <f t="shared" si="35"/>
        <v>16.148721947348768</v>
      </c>
      <c r="CN32" s="157">
        <f t="shared" si="36"/>
        <v>14.623974745689068</v>
      </c>
      <c r="CO32" s="157">
        <f t="shared" si="37"/>
        <v>16.344731049011919</v>
      </c>
      <c r="CP32" s="157">
        <f t="shared" si="38"/>
        <v>22.657051088571599</v>
      </c>
      <c r="CQ32" s="157">
        <f t="shared" si="39"/>
        <v>12.855184771057125</v>
      </c>
      <c r="CR32" s="157" t="str">
        <f t="shared" si="40"/>
        <v/>
      </c>
      <c r="CS32" s="157" t="str">
        <f t="shared" si="41"/>
        <v/>
      </c>
      <c r="CT32" s="157" t="str">
        <f t="shared" si="42"/>
        <v/>
      </c>
      <c r="CU32" s="158" t="str">
        <f t="shared" si="43"/>
        <v/>
      </c>
      <c r="CV32" s="158" t="str">
        <f t="shared" si="44"/>
        <v/>
      </c>
      <c r="CW32" s="158" t="str">
        <f t="shared" si="45"/>
        <v/>
      </c>
      <c r="CX32" s="158" t="str">
        <f t="shared" si="46"/>
        <v/>
      </c>
      <c r="CY32" s="143" t="str">
        <f t="shared" si="47"/>
        <v/>
      </c>
      <c r="CZ32" s="143" t="str">
        <f t="shared" si="48"/>
        <v/>
      </c>
      <c r="DA32" s="144" t="str">
        <f t="shared" si="49"/>
        <v/>
      </c>
    </row>
    <row r="33" spans="1:105" ht="16.5" customHeight="1" x14ac:dyDescent="0.3">
      <c r="A33" s="145">
        <v>1</v>
      </c>
      <c r="B33" s="146" t="s">
        <v>158</v>
      </c>
      <c r="C33" s="146" t="s">
        <v>125</v>
      </c>
      <c r="D33" s="147" t="s">
        <v>122</v>
      </c>
      <c r="E33" s="202" t="s">
        <v>142</v>
      </c>
      <c r="F33" s="210"/>
      <c r="G33" s="211"/>
      <c r="H33" s="211"/>
      <c r="I33" s="211"/>
      <c r="J33" s="211"/>
      <c r="K33" s="211"/>
      <c r="L33" s="211"/>
      <c r="M33" s="215"/>
      <c r="N33" s="210">
        <v>65.873120921161103</v>
      </c>
      <c r="O33" s="212">
        <v>0</v>
      </c>
      <c r="P33" s="205">
        <v>1</v>
      </c>
      <c r="Q33" s="128">
        <f t="shared" si="34"/>
        <v>66</v>
      </c>
      <c r="R33" s="3">
        <v>2</v>
      </c>
      <c r="S33" s="3"/>
      <c r="T33" s="4">
        <v>207.15</v>
      </c>
      <c r="U33" s="4">
        <v>116.06</v>
      </c>
      <c r="V33" s="109">
        <f t="shared" si="3"/>
        <v>75</v>
      </c>
      <c r="W33" s="81">
        <v>73</v>
      </c>
      <c r="X33" s="148">
        <v>2</v>
      </c>
      <c r="Z33" s="115" t="s">
        <v>170</v>
      </c>
      <c r="AA33" s="113">
        <v>225.28</v>
      </c>
      <c r="AB33" s="52">
        <v>90.65</v>
      </c>
      <c r="AC33" s="106">
        <v>75.400000000000006</v>
      </c>
      <c r="AD33" s="52">
        <v>227.92</v>
      </c>
      <c r="AE33" s="52">
        <v>77.78</v>
      </c>
      <c r="AF33" s="53">
        <v>75.400000000000006</v>
      </c>
      <c r="AH33" s="168">
        <f t="array" ref="AH33">IF(AH$1=0,"",SQRT((_xlfn.XLOOKUP(AH$1,$Z$2:$Z$18,$AA$2:$AA$18)-$T33)^2+(_xlfn.XLOOKUP(AH$1,$Z$2:$Z$18,$AB$2:$AB$18)-$U33)^2+(_xlfn.XLOOKUP(AH$1,$Z$2:$Z$18,$AC$2:$AC$18-$V33)^2)))</f>
        <v>176.79754098968684</v>
      </c>
      <c r="AI33" s="150">
        <f t="array" ref="AI33">IF(AI$1=0,"",SQRT((_xlfn.XLOOKUP(AI$1,$Z$2:$Z$18,$AA$2:$AA$18)-$T33)^2+(_xlfn.XLOOKUP(AI$1,$Z$2:$Z$18,$AB$2:$AB$18)-$U33)^2+(_xlfn.XLOOKUP(AI$1,$Z$2:$Z$18,$AC$2:$AC$18-$V33)^2)))</f>
        <v>125.47121183761637</v>
      </c>
      <c r="AJ33" s="150">
        <f t="array" ref="AJ33">IF(AJ$1=0,"",SQRT((_xlfn.XLOOKUP(AJ$1,$Z$2:$Z$18,$AA$2:$AA$18)-$T33)^2+(_xlfn.XLOOKUP(AJ$1,$Z$2:$Z$18,$AB$2:$AB$18)-$U33)^2+(_xlfn.XLOOKUP(AJ$1,$Z$2:$Z$18,$AC$2:$AC$18-$V33)^2)))</f>
        <v>95.266432703234997</v>
      </c>
      <c r="AK33" s="150">
        <f t="array" ref="AK33">IF(AK$1=0,"",SQRT((_xlfn.XLOOKUP(AK$1,$Z$2:$Z$18,$AA$2:$AA$18)-$T33)^2+(_xlfn.XLOOKUP(AK$1,$Z$2:$Z$18,$AB$2:$AB$18)-$U33)^2+(_xlfn.XLOOKUP(AK$1,$Z$2:$Z$18,$AC$2:$AC$18-$V33)^2)))</f>
        <v>118.87861119646378</v>
      </c>
      <c r="AL33" s="150">
        <f t="array" ref="AL33">IF(AL$1=0,"",SQRT((_xlfn.XLOOKUP(AL$1,$Z$2:$Z$18,$AA$2:$AA$18)-$T33)^2+(_xlfn.XLOOKUP(AL$1,$Z$2:$Z$18,$AB$2:$AB$18)-$U33)^2+(_xlfn.XLOOKUP(AL$1,$Z$2:$Z$18,$AC$2:$AC$18-$V33)^2)))</f>
        <v>218.35086283319333</v>
      </c>
      <c r="AM33" s="150" t="str">
        <f t="array" ref="AM33">IF(AM$1=0,"",SQRT((_xlfn.XLOOKUP(AM$1,$Z$2:$Z$18,$AA$2:$AA$18)-$T33)^2+(_xlfn.XLOOKUP(AM$1,$Z$2:$Z$18,$AB$2:$AB$18)-$U33)^2+(_xlfn.XLOOKUP(AM$1,$Z$2:$Z$18,$AC$2:$AC$18-$V33)^2)))</f>
        <v/>
      </c>
      <c r="AN33" s="150" t="str">
        <f t="array" ref="AN33">IF(AN$1=0,"",SQRT((_xlfn.XLOOKUP(AN$1,$Z$2:$Z$18,$AA$2:$AA$18)-$T33)^2+(_xlfn.XLOOKUP(AN$1,$Z$2:$Z$18,$AB$2:$AB$18)-$U33)^2+(_xlfn.XLOOKUP(AN$1,$Z$2:$Z$18,$AC$2:$AC$18-$V33)^2)))</f>
        <v/>
      </c>
      <c r="AO33" s="150" t="str">
        <f t="array" ref="AO33">IF(AO$1=0,"",SQRT((_xlfn.XLOOKUP(AO$1,$Z$2:$Z$18,$AA$2:$AA$18)-$T33)^2+(_xlfn.XLOOKUP(AO$1,$Z$2:$Z$18,$AB$2:$AB$18)-$U33)^2+(_xlfn.XLOOKUP(AO$1,$Z$2:$Z$18,$AC$2:$AC$18-$V33)^2)))</f>
        <v/>
      </c>
      <c r="AP33" s="151" t="str">
        <f t="array" ref="AP33">IF(AP$1=0,"",SQRT((_xlfn.XLOOKUP(AP$1,$Z$2:$Z$18,$AA$2:$AA$18)-$T33)^2+(_xlfn.XLOOKUP(AP$1,$Z$2:$Z$18,$AB$2:$AB$18)-$U33)^2+(_xlfn.XLOOKUP(AP$1,$Z$2:$Z$18,$AC$2:$AC$18-$V33)^2)))</f>
        <v/>
      </c>
      <c r="AQ33" s="151" t="str">
        <f t="array" ref="AQ33">IF(AQ$1=0,"",SQRT((_xlfn.XLOOKUP(AQ$1,$Z$2:$Z$18,$AA$2:$AA$18)-$T33)^2+(_xlfn.XLOOKUP(AQ$1,$Z$2:$Z$18,$AB$2:$AB$18)-$U33)^2+(_xlfn.XLOOKUP(AQ$1,$Z$2:$Z$18,$AC$2:$AC$18-$V33)^2)))</f>
        <v/>
      </c>
      <c r="AR33" s="151" t="str">
        <f t="array" ref="AR33">IF(AR$1=0,"",SQRT((_xlfn.XLOOKUP(AR$1,$Z$2:$Z$18,$AA$2:$AA$18)-$T33)^2+(_xlfn.XLOOKUP(AR$1,$Z$2:$Z$18,$AB$2:$AB$18)-$U33)^2+(_xlfn.XLOOKUP(AR$1,$Z$2:$Z$18,$AC$2:$AC$18-$V33)^2)))</f>
        <v/>
      </c>
      <c r="AS33" s="151" t="str">
        <f t="array" ref="AS33">IF(AS$1=0,"",SQRT((_xlfn.XLOOKUP(AS$1,$Z$2:$Z$18,$AA$2:$AA$18)-$T33)^2+(_xlfn.XLOOKUP(AS$1,$Z$2:$Z$18,$AB$2:$AB$18)-$U33)^2+(_xlfn.XLOOKUP(AS$1,$Z$2:$Z$18,$AC$2:$AC$18-$V33)^2)))</f>
        <v/>
      </c>
      <c r="AT33" s="151" t="str">
        <f t="array" ref="AT33">IF(AT$1=0,"",SQRT((_xlfn.XLOOKUP(AT$1,$Z$2:$Z$18,$AA$2:$AA$18)-$T33)^2+(_xlfn.XLOOKUP(AT$1,$Z$2:$Z$18,$AB$2:$AB$18)-$U33)^2+(_xlfn.XLOOKUP(AT$1,$Z$2:$Z$18,$AC$2:$AC$18-$V33)^2)))</f>
        <v/>
      </c>
      <c r="AU33" s="151" t="str">
        <f t="array" ref="AU33">IF(AU$1=0,"",SQRT((_xlfn.XLOOKUP(AU$1,$Z$2:$Z$18,$AA$2:$AA$18)-$T33)^2+(_xlfn.XLOOKUP(AU$1,$Z$2:$Z$18,$AB$2:$AB$18)-$U33)^2+(_xlfn.XLOOKUP(AU$1,$Z$2:$Z$18,$AC$2:$AC$18-$V33)^2)))</f>
        <v/>
      </c>
      <c r="AV33" s="152" t="str">
        <f t="array" ref="AV33">IF(AV$1=0,"",SQRT((_xlfn.XLOOKUP(AV$1,$Z$2:$Z$18,$AA$2:$AA$18)-$T33)^2+(_xlfn.XLOOKUP(AV$1,$Z$2:$Z$18,$AB$2:$AB$18)-$U33)^2+(_xlfn.XLOOKUP(AV$1,$Z$2:$Z$18,$AC$2:$AC$18-$V33)^2)))</f>
        <v/>
      </c>
      <c r="AW33" s="134"/>
      <c r="AX33" s="134"/>
      <c r="AY33" s="135">
        <f t="shared" si="4"/>
        <v>-42.611622342550788</v>
      </c>
      <c r="AZ33" s="153">
        <f t="shared" si="5"/>
        <v>-39.6329797880542</v>
      </c>
      <c r="BA33" s="153">
        <f t="shared" si="6"/>
        <v>-37.240896000115697</v>
      </c>
      <c r="BB33" s="153">
        <f t="shared" si="7"/>
        <v>-39.164172392645419</v>
      </c>
      <c r="BC33" s="153">
        <f t="shared" si="8"/>
        <v>-44.445196185226301</v>
      </c>
      <c r="BD33" s="153">
        <f t="shared" si="9"/>
        <v>0</v>
      </c>
      <c r="BE33" s="153">
        <f t="shared" si="10"/>
        <v>0</v>
      </c>
      <c r="BF33" s="153">
        <f t="shared" si="11"/>
        <v>0</v>
      </c>
      <c r="BG33" s="154">
        <f t="shared" si="12"/>
        <v>0</v>
      </c>
      <c r="BH33" s="154">
        <f t="shared" si="13"/>
        <v>0</v>
      </c>
      <c r="BI33" s="154">
        <f t="shared" si="14"/>
        <v>0</v>
      </c>
      <c r="BJ33" s="154">
        <f t="shared" si="15"/>
        <v>0</v>
      </c>
      <c r="BK33" s="154">
        <f t="shared" si="16"/>
        <v>0</v>
      </c>
      <c r="BL33" s="154">
        <f t="shared" si="17"/>
        <v>0</v>
      </c>
      <c r="BM33" s="155">
        <f t="shared" si="18"/>
        <v>0</v>
      </c>
      <c r="BN33" s="134"/>
      <c r="BO33" s="48" t="str">
        <f>_xlfn.TEXTJOIN(" to ",TRUE,'Input LwA_XYZ'!BP4:BP5)</f>
        <v>MAU-R1 to R1</v>
      </c>
      <c r="BP33" s="21"/>
      <c r="BQ33" s="21"/>
      <c r="BR33" s="21"/>
      <c r="BS33" s="21"/>
      <c r="BT33" s="134"/>
      <c r="BU33" s="134"/>
      <c r="BV33" s="140">
        <v>7</v>
      </c>
      <c r="BW33" s="140">
        <v>12</v>
      </c>
      <c r="BX33" s="140">
        <v>15</v>
      </c>
      <c r="BY33" s="140">
        <v>0</v>
      </c>
      <c r="BZ33" s="140">
        <v>6</v>
      </c>
      <c r="CA33" s="140"/>
      <c r="CB33" s="140"/>
      <c r="CC33" s="140"/>
      <c r="CD33" s="140"/>
      <c r="CE33" s="140"/>
      <c r="CF33" s="140"/>
      <c r="CG33" s="140"/>
      <c r="CH33" s="140"/>
      <c r="CI33" s="140"/>
      <c r="CJ33" s="140"/>
      <c r="CK33" s="134"/>
      <c r="CL33" s="134"/>
      <c r="CM33" s="156">
        <f t="shared" si="35"/>
        <v>16.388377657449212</v>
      </c>
      <c r="CN33" s="157">
        <f t="shared" si="36"/>
        <v>14.3670202119458</v>
      </c>
      <c r="CO33" s="157">
        <f t="shared" si="37"/>
        <v>13.759103999884303</v>
      </c>
      <c r="CP33" s="157">
        <f t="shared" si="38"/>
        <v>26.835827607354581</v>
      </c>
      <c r="CQ33" s="157">
        <f t="shared" si="39"/>
        <v>15.554803814773699</v>
      </c>
      <c r="CR33" s="157" t="str">
        <f t="shared" si="40"/>
        <v/>
      </c>
      <c r="CS33" s="157" t="str">
        <f t="shared" si="41"/>
        <v/>
      </c>
      <c r="CT33" s="157" t="str">
        <f t="shared" si="42"/>
        <v/>
      </c>
      <c r="CU33" s="158" t="str">
        <f t="shared" si="43"/>
        <v/>
      </c>
      <c r="CV33" s="158" t="str">
        <f t="shared" si="44"/>
        <v/>
      </c>
      <c r="CW33" s="158" t="str">
        <f t="shared" si="45"/>
        <v/>
      </c>
      <c r="CX33" s="158" t="str">
        <f t="shared" si="46"/>
        <v/>
      </c>
      <c r="CY33" s="143" t="str">
        <f t="shared" si="47"/>
        <v/>
      </c>
      <c r="CZ33" s="143" t="str">
        <f t="shared" si="48"/>
        <v/>
      </c>
      <c r="DA33" s="144" t="str">
        <f t="shared" si="49"/>
        <v/>
      </c>
    </row>
    <row r="34" spans="1:105" ht="16.5" customHeight="1" x14ac:dyDescent="0.3">
      <c r="A34" s="145">
        <v>1</v>
      </c>
      <c r="B34" s="146" t="s">
        <v>159</v>
      </c>
      <c r="C34" s="146" t="s">
        <v>125</v>
      </c>
      <c r="D34" s="147" t="s">
        <v>122</v>
      </c>
      <c r="E34" s="202" t="s">
        <v>142</v>
      </c>
      <c r="F34" s="210"/>
      <c r="G34" s="211"/>
      <c r="H34" s="211"/>
      <c r="I34" s="211"/>
      <c r="J34" s="211"/>
      <c r="K34" s="211"/>
      <c r="L34" s="211"/>
      <c r="M34" s="215"/>
      <c r="N34" s="210">
        <v>65.873120921161103</v>
      </c>
      <c r="O34" s="212">
        <v>0</v>
      </c>
      <c r="P34" s="205">
        <v>1</v>
      </c>
      <c r="Q34" s="128">
        <f t="shared" si="34"/>
        <v>66</v>
      </c>
      <c r="R34" s="3">
        <v>2</v>
      </c>
      <c r="S34" s="3"/>
      <c r="T34" s="4">
        <v>137.30000000000001</v>
      </c>
      <c r="U34" s="4">
        <v>136.91999999999999</v>
      </c>
      <c r="V34" s="109">
        <f t="shared" ref="V34:V58" si="50">SUM(W34:X34)</f>
        <v>75</v>
      </c>
      <c r="W34" s="81">
        <v>73</v>
      </c>
      <c r="X34" s="148">
        <v>2</v>
      </c>
      <c r="Z34" s="115" t="s">
        <v>185</v>
      </c>
      <c r="AA34" s="113">
        <v>209.12</v>
      </c>
      <c r="AB34" s="52">
        <v>88.44</v>
      </c>
      <c r="AC34" s="106">
        <v>75.400000000000006</v>
      </c>
      <c r="AD34" s="52">
        <v>224.19</v>
      </c>
      <c r="AE34" s="52">
        <v>91.3</v>
      </c>
      <c r="AF34" s="53">
        <v>75.400000000000006</v>
      </c>
      <c r="AH34" s="168">
        <f t="array" ref="AH34">IF(AH$1=0,"",SQRT((_xlfn.XLOOKUP(AH$1,$Z$2:$Z$18,$AA$2:$AA$18)-$T34)^2+(_xlfn.XLOOKUP(AH$1,$Z$2:$Z$18,$AB$2:$AB$18)-$U34)^2+(_xlfn.XLOOKUP(AH$1,$Z$2:$Z$18,$AC$2:$AC$18-$V34)^2)))</f>
        <v>116.41241514546462</v>
      </c>
      <c r="AI34" s="150">
        <f t="array" ref="AI34">IF(AI$1=0,"",SQRT((_xlfn.XLOOKUP(AI$1,$Z$2:$Z$18,$AA$2:$AA$18)-$T34)^2+(_xlfn.XLOOKUP(AI$1,$Z$2:$Z$18,$AB$2:$AB$18)-$U34)^2+(_xlfn.XLOOKUP(AI$1,$Z$2:$Z$18,$AC$2:$AC$18-$V34)^2)))</f>
        <v>96.820477689381377</v>
      </c>
      <c r="AJ34" s="150">
        <f t="array" ref="AJ34">IF(AJ$1=0,"",SQRT((_xlfn.XLOOKUP(AJ$1,$Z$2:$Z$18,$AA$2:$AA$18)-$T34)^2+(_xlfn.XLOOKUP(AJ$1,$Z$2:$Z$18,$AB$2:$AB$18)-$U34)^2+(_xlfn.XLOOKUP(AJ$1,$Z$2:$Z$18,$AC$2:$AC$18-$V34)^2)))</f>
        <v>140.25198929070487</v>
      </c>
      <c r="AK34" s="150">
        <f t="array" ref="AK34">IF(AK$1=0,"",SQRT((_xlfn.XLOOKUP(AK$1,$Z$2:$Z$18,$AA$2:$AA$18)-$T34)^2+(_xlfn.XLOOKUP(AK$1,$Z$2:$Z$18,$AB$2:$AB$18)-$U34)^2+(_xlfn.XLOOKUP(AK$1,$Z$2:$Z$18,$AC$2:$AC$18-$V34)^2)))</f>
        <v>189.74701710435397</v>
      </c>
      <c r="AL34" s="150">
        <f t="array" ref="AL34">IF(AL$1=0,"",SQRT((_xlfn.XLOOKUP(AL$1,$Z$2:$Z$18,$AA$2:$AA$18)-$T34)^2+(_xlfn.XLOOKUP(AL$1,$Z$2:$Z$18,$AB$2:$AB$18)-$U34)^2+(_xlfn.XLOOKUP(AL$1,$Z$2:$Z$18,$AC$2:$AC$18-$V34)^2)))</f>
        <v>148.19370094575547</v>
      </c>
      <c r="AM34" s="150" t="str">
        <f t="array" ref="AM34">IF(AM$1=0,"",SQRT((_xlfn.XLOOKUP(AM$1,$Z$2:$Z$18,$AA$2:$AA$18)-$T34)^2+(_xlfn.XLOOKUP(AM$1,$Z$2:$Z$18,$AB$2:$AB$18)-$U34)^2+(_xlfn.XLOOKUP(AM$1,$Z$2:$Z$18,$AC$2:$AC$18-$V34)^2)))</f>
        <v/>
      </c>
      <c r="AN34" s="150" t="str">
        <f t="array" ref="AN34">IF(AN$1=0,"",SQRT((_xlfn.XLOOKUP(AN$1,$Z$2:$Z$18,$AA$2:$AA$18)-$T34)^2+(_xlfn.XLOOKUP(AN$1,$Z$2:$Z$18,$AB$2:$AB$18)-$U34)^2+(_xlfn.XLOOKUP(AN$1,$Z$2:$Z$18,$AC$2:$AC$18-$V34)^2)))</f>
        <v/>
      </c>
      <c r="AO34" s="150" t="str">
        <f t="array" ref="AO34">IF(AO$1=0,"",SQRT((_xlfn.XLOOKUP(AO$1,$Z$2:$Z$18,$AA$2:$AA$18)-$T34)^2+(_xlfn.XLOOKUP(AO$1,$Z$2:$Z$18,$AB$2:$AB$18)-$U34)^2+(_xlfn.XLOOKUP(AO$1,$Z$2:$Z$18,$AC$2:$AC$18-$V34)^2)))</f>
        <v/>
      </c>
      <c r="AP34" s="151" t="str">
        <f t="array" ref="AP34">IF(AP$1=0,"",SQRT((_xlfn.XLOOKUP(AP$1,$Z$2:$Z$18,$AA$2:$AA$18)-$T34)^2+(_xlfn.XLOOKUP(AP$1,$Z$2:$Z$18,$AB$2:$AB$18)-$U34)^2+(_xlfn.XLOOKUP(AP$1,$Z$2:$Z$18,$AC$2:$AC$18-$V34)^2)))</f>
        <v/>
      </c>
      <c r="AQ34" s="151" t="str">
        <f t="array" ref="AQ34">IF(AQ$1=0,"",SQRT((_xlfn.XLOOKUP(AQ$1,$Z$2:$Z$18,$AA$2:$AA$18)-$T34)^2+(_xlfn.XLOOKUP(AQ$1,$Z$2:$Z$18,$AB$2:$AB$18)-$U34)^2+(_xlfn.XLOOKUP(AQ$1,$Z$2:$Z$18,$AC$2:$AC$18-$V34)^2)))</f>
        <v/>
      </c>
      <c r="AR34" s="151" t="str">
        <f t="array" ref="AR34">IF(AR$1=0,"",SQRT((_xlfn.XLOOKUP(AR$1,$Z$2:$Z$18,$AA$2:$AA$18)-$T34)^2+(_xlfn.XLOOKUP(AR$1,$Z$2:$Z$18,$AB$2:$AB$18)-$U34)^2+(_xlfn.XLOOKUP(AR$1,$Z$2:$Z$18,$AC$2:$AC$18-$V34)^2)))</f>
        <v/>
      </c>
      <c r="AS34" s="151" t="str">
        <f t="array" ref="AS34">IF(AS$1=0,"",SQRT((_xlfn.XLOOKUP(AS$1,$Z$2:$Z$18,$AA$2:$AA$18)-$T34)^2+(_xlfn.XLOOKUP(AS$1,$Z$2:$Z$18,$AB$2:$AB$18)-$U34)^2+(_xlfn.XLOOKUP(AS$1,$Z$2:$Z$18,$AC$2:$AC$18-$V34)^2)))</f>
        <v/>
      </c>
      <c r="AT34" s="151" t="str">
        <f t="array" ref="AT34">IF(AT$1=0,"",SQRT((_xlfn.XLOOKUP(AT$1,$Z$2:$Z$18,$AA$2:$AA$18)-$T34)^2+(_xlfn.XLOOKUP(AT$1,$Z$2:$Z$18,$AB$2:$AB$18)-$U34)^2+(_xlfn.XLOOKUP(AT$1,$Z$2:$Z$18,$AC$2:$AC$18-$V34)^2)))</f>
        <v/>
      </c>
      <c r="AU34" s="151" t="str">
        <f t="array" ref="AU34">IF(AU$1=0,"",SQRT((_xlfn.XLOOKUP(AU$1,$Z$2:$Z$18,$AA$2:$AA$18)-$T34)^2+(_xlfn.XLOOKUP(AU$1,$Z$2:$Z$18,$AB$2:$AB$18)-$U34)^2+(_xlfn.XLOOKUP(AU$1,$Z$2:$Z$18,$AC$2:$AC$18-$V34)^2)))</f>
        <v/>
      </c>
      <c r="AV34" s="152" t="str">
        <f t="array" ref="AV34">IF(AV$1=0,"",SQRT((_xlfn.XLOOKUP(AV$1,$Z$2:$Z$18,$AA$2:$AA$18)-$T34)^2+(_xlfn.XLOOKUP(AV$1,$Z$2:$Z$18,$AB$2:$AB$18)-$U34)^2+(_xlfn.XLOOKUP(AV$1,$Z$2:$Z$18,$AC$2:$AC$18-$V34)^2)))</f>
        <v/>
      </c>
      <c r="AW34" s="134"/>
      <c r="AX34" s="134"/>
      <c r="AY34" s="135">
        <f t="shared" ref="AY34:AY58" si="51">IFERROR(-ABS(10*LOG10(($R34/(4*PI()*CONVERT(AH34,"ft","m")^2)))),0)</f>
        <v>-38.982083924935459</v>
      </c>
      <c r="AZ34" s="153">
        <f t="shared" ref="AZ34:AZ58" si="52">IFERROR(-ABS(10*LOG10(($R34/(4*PI()*CONVERT(AI34,"ft","m")^2)))),0)</f>
        <v>-37.381442357264618</v>
      </c>
      <c r="BA34" s="153">
        <f t="shared" ref="BA34:BA58" si="53">IFERROR(-ABS(10*LOG10(($R34/(4*PI()*CONVERT(AJ34,"ft","m")^2)))),0)</f>
        <v>-40.600278534334045</v>
      </c>
      <c r="BB34" s="153">
        <f t="shared" ref="BB34:BB58" si="54">IFERROR(-ABS(10*LOG10(($R34/(4*PI()*CONVERT(AK34,"ft","m")^2)))),0)</f>
        <v>-43.225597083850445</v>
      </c>
      <c r="BC34" s="153">
        <f t="shared" ref="BC34:BC58" si="55">IFERROR(-ABS(10*LOG10(($R34/(4*PI()*CONVERT(AL34,"ft","m")^2)))),0)</f>
        <v>-41.078692819159073</v>
      </c>
      <c r="BD34" s="153">
        <f t="shared" ref="BD34:BD58" si="56">IFERROR(-ABS(10*LOG10(($R34/(4*PI()*CONVERT(AM34,"ft","m")^2)))),0)</f>
        <v>0</v>
      </c>
      <c r="BE34" s="153">
        <f t="shared" ref="BE34:BE58" si="57">IFERROR(-ABS(10*LOG10(($R34/(4*PI()*CONVERT(AN34,"ft","m")^2)))),0)</f>
        <v>0</v>
      </c>
      <c r="BF34" s="153">
        <f t="shared" ref="BF34:BF58" si="58">IFERROR(-ABS(10*LOG10(($R34/(4*PI()*CONVERT(AO34,"ft","m")^2)))),0)</f>
        <v>0</v>
      </c>
      <c r="BG34" s="154">
        <f t="shared" ref="BG34:BG58" si="59">IFERROR(-ABS(10*LOG10(($R34/(4*PI()*CONVERT(AP34,"ft","m")^2)))),0)</f>
        <v>0</v>
      </c>
      <c r="BH34" s="154">
        <f t="shared" ref="BH34:BH58" si="60">IFERROR(-ABS(10*LOG10(($R34/(4*PI()*CONVERT(AQ34,"ft","m")^2)))),0)</f>
        <v>0</v>
      </c>
      <c r="BI34" s="154">
        <f t="shared" ref="BI34:BI58" si="61">IFERROR(-ABS(10*LOG10(($R34/(4*PI()*CONVERT(AR34,"ft","m")^2)))),0)</f>
        <v>0</v>
      </c>
      <c r="BJ34" s="154">
        <f t="shared" ref="BJ34:BJ58" si="62">IFERROR(-ABS(10*LOG10(($R34/(4*PI()*CONVERT(AS34,"ft","m")^2)))),0)</f>
        <v>0</v>
      </c>
      <c r="BK34" s="154">
        <f t="shared" ref="BK34:BK58" si="63">IFERROR(-ABS(10*LOG10(($R34/(4*PI()*CONVERT(AT34,"ft","m")^2)))),0)</f>
        <v>0</v>
      </c>
      <c r="BL34" s="154">
        <f t="shared" ref="BL34:BL58" si="64">IFERROR(-ABS(10*LOG10(($R34/(4*PI()*CONVERT(AU34,"ft","m")^2)))),0)</f>
        <v>0</v>
      </c>
      <c r="BM34" s="155">
        <f t="shared" ref="BM34:BM58" si="65">IFERROR(-ABS(10*LOG10(($R34/(4*PI()*CONVERT(AV34,"ft","m")^2)))),0)</f>
        <v>0</v>
      </c>
      <c r="BN34" s="134"/>
      <c r="BO34" s="134"/>
      <c r="BP34" s="134"/>
      <c r="BQ34" s="134"/>
      <c r="BR34" s="134"/>
      <c r="BS34" s="134"/>
      <c r="BT34" s="134"/>
      <c r="BU34" s="134"/>
      <c r="BV34" s="140">
        <v>7</v>
      </c>
      <c r="BW34" s="140">
        <v>15</v>
      </c>
      <c r="BX34" s="140">
        <v>12</v>
      </c>
      <c r="BY34" s="140">
        <v>10</v>
      </c>
      <c r="BZ34" s="140">
        <v>2</v>
      </c>
      <c r="CA34" s="140"/>
      <c r="CB34" s="140"/>
      <c r="CC34" s="140"/>
      <c r="CD34" s="140"/>
      <c r="CE34" s="140"/>
      <c r="CF34" s="140"/>
      <c r="CG34" s="140"/>
      <c r="CH34" s="140"/>
      <c r="CI34" s="140"/>
      <c r="CJ34" s="140"/>
      <c r="CK34" s="134"/>
      <c r="CL34" s="134"/>
      <c r="CM34" s="156">
        <f t="shared" si="35"/>
        <v>20.017916075064541</v>
      </c>
      <c r="CN34" s="157">
        <f t="shared" si="36"/>
        <v>13.618557642735382</v>
      </c>
      <c r="CO34" s="157">
        <f t="shared" si="37"/>
        <v>13.399721465665955</v>
      </c>
      <c r="CP34" s="157">
        <f t="shared" si="38"/>
        <v>12.774402916149555</v>
      </c>
      <c r="CQ34" s="157">
        <f t="shared" si="39"/>
        <v>22.921307180840927</v>
      </c>
      <c r="CR34" s="157" t="str">
        <f t="shared" si="40"/>
        <v/>
      </c>
      <c r="CS34" s="157" t="str">
        <f t="shared" si="41"/>
        <v/>
      </c>
      <c r="CT34" s="157" t="str">
        <f t="shared" si="42"/>
        <v/>
      </c>
      <c r="CU34" s="158" t="str">
        <f t="shared" si="43"/>
        <v/>
      </c>
      <c r="CV34" s="158" t="str">
        <f t="shared" si="44"/>
        <v/>
      </c>
      <c r="CW34" s="158" t="str">
        <f t="shared" si="45"/>
        <v/>
      </c>
      <c r="CX34" s="158" t="str">
        <f t="shared" si="46"/>
        <v/>
      </c>
      <c r="CY34" s="143" t="str">
        <f t="shared" si="47"/>
        <v/>
      </c>
      <c r="CZ34" s="143" t="str">
        <f t="shared" si="48"/>
        <v/>
      </c>
      <c r="DA34" s="144" t="str">
        <f t="shared" si="49"/>
        <v/>
      </c>
    </row>
    <row r="35" spans="1:105" ht="16.5" customHeight="1" x14ac:dyDescent="0.3">
      <c r="A35" s="145">
        <v>1</v>
      </c>
      <c r="B35" s="146" t="s">
        <v>160</v>
      </c>
      <c r="C35" s="146" t="s">
        <v>125</v>
      </c>
      <c r="D35" s="147" t="s">
        <v>122</v>
      </c>
      <c r="E35" s="202" t="s">
        <v>142</v>
      </c>
      <c r="F35" s="210"/>
      <c r="G35" s="211"/>
      <c r="H35" s="211"/>
      <c r="I35" s="211"/>
      <c r="J35" s="211"/>
      <c r="K35" s="211"/>
      <c r="L35" s="211"/>
      <c r="M35" s="215"/>
      <c r="N35" s="210">
        <v>65.873120921161103</v>
      </c>
      <c r="O35" s="212">
        <v>0</v>
      </c>
      <c r="P35" s="205">
        <v>1</v>
      </c>
      <c r="Q35" s="128">
        <f t="shared" si="34"/>
        <v>66</v>
      </c>
      <c r="R35" s="3">
        <v>2</v>
      </c>
      <c r="S35" s="3"/>
      <c r="T35" s="4">
        <v>97.17</v>
      </c>
      <c r="U35" s="4">
        <v>127.06</v>
      </c>
      <c r="V35" s="109">
        <f t="shared" si="50"/>
        <v>75</v>
      </c>
      <c r="W35" s="81">
        <v>73</v>
      </c>
      <c r="X35" s="148">
        <v>2</v>
      </c>
      <c r="Z35" s="115" t="s">
        <v>186</v>
      </c>
      <c r="AA35" s="113">
        <v>209.22</v>
      </c>
      <c r="AB35" s="52">
        <v>88.44</v>
      </c>
      <c r="AC35" s="106">
        <v>75.400000000000006</v>
      </c>
      <c r="AD35" s="52">
        <v>200.97</v>
      </c>
      <c r="AE35" s="52">
        <v>131.56</v>
      </c>
      <c r="AF35" s="53">
        <v>75.400000000000006</v>
      </c>
      <c r="AH35" s="168">
        <f t="array" ref="AH35">IF(AH$1=0,"",SQRT((_xlfn.XLOOKUP(AH$1,$Z$2:$Z$18,$AA$2:$AA$18)-$T35)^2+(_xlfn.XLOOKUP(AH$1,$Z$2:$Z$18,$AB$2:$AB$18)-$U35)^2+(_xlfn.XLOOKUP(AH$1,$Z$2:$Z$18,$AC$2:$AC$18-$V35)^2)))</f>
        <v>76.806286852053972</v>
      </c>
      <c r="AI35" s="150">
        <f t="array" ref="AI35">IF(AI$1=0,"",SQRT((_xlfn.XLOOKUP(AI$1,$Z$2:$Z$18,$AA$2:$AA$18)-$T35)^2+(_xlfn.XLOOKUP(AI$1,$Z$2:$Z$18,$AB$2:$AB$18)-$U35)^2+(_xlfn.XLOOKUP(AI$1,$Z$2:$Z$18,$AC$2:$AC$18-$V35)^2)))</f>
        <v>82.459120781148272</v>
      </c>
      <c r="AJ35" s="150">
        <f t="array" ref="AJ35">IF(AJ$1=0,"",SQRT((_xlfn.XLOOKUP(AJ$1,$Z$2:$Z$18,$AA$2:$AA$18)-$T35)^2+(_xlfn.XLOOKUP(AJ$1,$Z$2:$Z$18,$AB$2:$AB$18)-$U35)^2+(_xlfn.XLOOKUP(AJ$1,$Z$2:$Z$18,$AC$2:$AC$18-$V35)^2)))</f>
        <v>159.74798652878226</v>
      </c>
      <c r="AK35" s="150">
        <f t="array" ref="AK35">IF(AK$1=0,"",SQRT((_xlfn.XLOOKUP(AK$1,$Z$2:$Z$18,$AA$2:$AA$18)-$T35)^2+(_xlfn.XLOOKUP(AK$1,$Z$2:$Z$18,$AB$2:$AB$18)-$U35)^2+(_xlfn.XLOOKUP(AK$1,$Z$2:$Z$18,$AC$2:$AC$18-$V35)^2)))</f>
        <v>226.11889836986205</v>
      </c>
      <c r="AL35" s="150">
        <f t="array" ref="AL35">IF(AL$1=0,"",SQRT((_xlfn.XLOOKUP(AL$1,$Z$2:$Z$18,$AA$2:$AA$18)-$T35)^2+(_xlfn.XLOOKUP(AL$1,$Z$2:$Z$18,$AB$2:$AB$18)-$U35)^2+(_xlfn.XLOOKUP(AL$1,$Z$2:$Z$18,$AC$2:$AC$18-$V35)^2)))</f>
        <v>123.72581177749453</v>
      </c>
      <c r="AM35" s="150" t="str">
        <f t="array" ref="AM35">IF(AM$1=0,"",SQRT((_xlfn.XLOOKUP(AM$1,$Z$2:$Z$18,$AA$2:$AA$18)-$T35)^2+(_xlfn.XLOOKUP(AM$1,$Z$2:$Z$18,$AB$2:$AB$18)-$U35)^2+(_xlfn.XLOOKUP(AM$1,$Z$2:$Z$18,$AC$2:$AC$18-$V35)^2)))</f>
        <v/>
      </c>
      <c r="AN35" s="150" t="str">
        <f t="array" ref="AN35">IF(AN$1=0,"",SQRT((_xlfn.XLOOKUP(AN$1,$Z$2:$Z$18,$AA$2:$AA$18)-$T35)^2+(_xlfn.XLOOKUP(AN$1,$Z$2:$Z$18,$AB$2:$AB$18)-$U35)^2+(_xlfn.XLOOKUP(AN$1,$Z$2:$Z$18,$AC$2:$AC$18-$V35)^2)))</f>
        <v/>
      </c>
      <c r="AO35" s="150" t="str">
        <f t="array" ref="AO35">IF(AO$1=0,"",SQRT((_xlfn.XLOOKUP(AO$1,$Z$2:$Z$18,$AA$2:$AA$18)-$T35)^2+(_xlfn.XLOOKUP(AO$1,$Z$2:$Z$18,$AB$2:$AB$18)-$U35)^2+(_xlfn.XLOOKUP(AO$1,$Z$2:$Z$18,$AC$2:$AC$18-$V35)^2)))</f>
        <v/>
      </c>
      <c r="AP35" s="151" t="str">
        <f t="array" ref="AP35">IF(AP$1=0,"",SQRT((_xlfn.XLOOKUP(AP$1,$Z$2:$Z$18,$AA$2:$AA$18)-$T35)^2+(_xlfn.XLOOKUP(AP$1,$Z$2:$Z$18,$AB$2:$AB$18)-$U35)^2+(_xlfn.XLOOKUP(AP$1,$Z$2:$Z$18,$AC$2:$AC$18-$V35)^2)))</f>
        <v/>
      </c>
      <c r="AQ35" s="151" t="str">
        <f t="array" ref="AQ35">IF(AQ$1=0,"",SQRT((_xlfn.XLOOKUP(AQ$1,$Z$2:$Z$18,$AA$2:$AA$18)-$T35)^2+(_xlfn.XLOOKUP(AQ$1,$Z$2:$Z$18,$AB$2:$AB$18)-$U35)^2+(_xlfn.XLOOKUP(AQ$1,$Z$2:$Z$18,$AC$2:$AC$18-$V35)^2)))</f>
        <v/>
      </c>
      <c r="AR35" s="151" t="str">
        <f t="array" ref="AR35">IF(AR$1=0,"",SQRT((_xlfn.XLOOKUP(AR$1,$Z$2:$Z$18,$AA$2:$AA$18)-$T35)^2+(_xlfn.XLOOKUP(AR$1,$Z$2:$Z$18,$AB$2:$AB$18)-$U35)^2+(_xlfn.XLOOKUP(AR$1,$Z$2:$Z$18,$AC$2:$AC$18-$V35)^2)))</f>
        <v/>
      </c>
      <c r="AS35" s="151" t="str">
        <f t="array" ref="AS35">IF(AS$1=0,"",SQRT((_xlfn.XLOOKUP(AS$1,$Z$2:$Z$18,$AA$2:$AA$18)-$T35)^2+(_xlfn.XLOOKUP(AS$1,$Z$2:$Z$18,$AB$2:$AB$18)-$U35)^2+(_xlfn.XLOOKUP(AS$1,$Z$2:$Z$18,$AC$2:$AC$18-$V35)^2)))</f>
        <v/>
      </c>
      <c r="AT35" s="151" t="str">
        <f t="array" ref="AT35">IF(AT$1=0,"",SQRT((_xlfn.XLOOKUP(AT$1,$Z$2:$Z$18,$AA$2:$AA$18)-$T35)^2+(_xlfn.XLOOKUP(AT$1,$Z$2:$Z$18,$AB$2:$AB$18)-$U35)^2+(_xlfn.XLOOKUP(AT$1,$Z$2:$Z$18,$AC$2:$AC$18-$V35)^2)))</f>
        <v/>
      </c>
      <c r="AU35" s="151" t="str">
        <f t="array" ref="AU35">IF(AU$1=0,"",SQRT((_xlfn.XLOOKUP(AU$1,$Z$2:$Z$18,$AA$2:$AA$18)-$T35)^2+(_xlfn.XLOOKUP(AU$1,$Z$2:$Z$18,$AB$2:$AB$18)-$U35)^2+(_xlfn.XLOOKUP(AU$1,$Z$2:$Z$18,$AC$2:$AC$18-$V35)^2)))</f>
        <v/>
      </c>
      <c r="AV35" s="152" t="str">
        <f t="array" ref="AV35">IF(AV$1=0,"",SQRT((_xlfn.XLOOKUP(AV$1,$Z$2:$Z$18,$AA$2:$AA$18)-$T35)^2+(_xlfn.XLOOKUP(AV$1,$Z$2:$Z$18,$AB$2:$AB$18)-$U35)^2+(_xlfn.XLOOKUP(AV$1,$Z$2:$Z$18,$AC$2:$AC$18-$V35)^2)))</f>
        <v/>
      </c>
      <c r="AW35" s="134"/>
      <c r="AX35" s="134"/>
      <c r="AY35" s="135">
        <f t="shared" si="51"/>
        <v>-35.370033335846131</v>
      </c>
      <c r="AZ35" s="153">
        <f t="shared" si="52"/>
        <v>-35.986871933595161</v>
      </c>
      <c r="BA35" s="153">
        <f t="shared" si="53"/>
        <v>-41.730805796865099</v>
      </c>
      <c r="BB35" s="153">
        <f t="shared" si="54"/>
        <v>-44.748835155954644</v>
      </c>
      <c r="BC35" s="153">
        <f t="shared" si="55"/>
        <v>-39.511304175778726</v>
      </c>
      <c r="BD35" s="153">
        <f t="shared" si="56"/>
        <v>0</v>
      </c>
      <c r="BE35" s="153">
        <f t="shared" si="57"/>
        <v>0</v>
      </c>
      <c r="BF35" s="153">
        <f t="shared" si="58"/>
        <v>0</v>
      </c>
      <c r="BG35" s="154">
        <f t="shared" si="59"/>
        <v>0</v>
      </c>
      <c r="BH35" s="154">
        <f t="shared" si="60"/>
        <v>0</v>
      </c>
      <c r="BI35" s="154">
        <f t="shared" si="61"/>
        <v>0</v>
      </c>
      <c r="BJ35" s="154">
        <f t="shared" si="62"/>
        <v>0</v>
      </c>
      <c r="BK35" s="154">
        <f t="shared" si="63"/>
        <v>0</v>
      </c>
      <c r="BL35" s="154">
        <f t="shared" si="64"/>
        <v>0</v>
      </c>
      <c r="BM35" s="155">
        <f t="shared" si="65"/>
        <v>0</v>
      </c>
      <c r="BN35" s="134"/>
      <c r="BO35" s="134"/>
      <c r="BP35" s="134"/>
      <c r="BQ35" s="134"/>
      <c r="BR35" s="134"/>
      <c r="BS35" s="134"/>
      <c r="BT35" s="134"/>
      <c r="BU35" s="134"/>
      <c r="BV35" s="140">
        <v>5</v>
      </c>
      <c r="BW35" s="140">
        <v>15</v>
      </c>
      <c r="BX35" s="140">
        <v>12</v>
      </c>
      <c r="BY35" s="140">
        <v>11</v>
      </c>
      <c r="BZ35" s="140">
        <v>3</v>
      </c>
      <c r="CA35" s="140"/>
      <c r="CB35" s="140"/>
      <c r="CC35" s="140"/>
      <c r="CD35" s="140"/>
      <c r="CE35" s="140"/>
      <c r="CF35" s="140"/>
      <c r="CG35" s="140"/>
      <c r="CH35" s="140"/>
      <c r="CI35" s="140"/>
      <c r="CJ35" s="140"/>
      <c r="CK35" s="134"/>
      <c r="CL35" s="134"/>
      <c r="CM35" s="156">
        <f t="shared" si="35"/>
        <v>25.629966664153869</v>
      </c>
      <c r="CN35" s="157">
        <f t="shared" si="36"/>
        <v>15.013128066404839</v>
      </c>
      <c r="CO35" s="157">
        <f t="shared" si="37"/>
        <v>12.269194203134901</v>
      </c>
      <c r="CP35" s="157">
        <f t="shared" si="38"/>
        <v>10.251164844045356</v>
      </c>
      <c r="CQ35" s="157">
        <f t="shared" si="39"/>
        <v>23.488695824221274</v>
      </c>
      <c r="CR35" s="157" t="str">
        <f t="shared" si="40"/>
        <v/>
      </c>
      <c r="CS35" s="157" t="str">
        <f t="shared" si="41"/>
        <v/>
      </c>
      <c r="CT35" s="157" t="str">
        <f t="shared" si="42"/>
        <v/>
      </c>
      <c r="CU35" s="158" t="str">
        <f t="shared" si="43"/>
        <v/>
      </c>
      <c r="CV35" s="158" t="str">
        <f t="shared" si="44"/>
        <v/>
      </c>
      <c r="CW35" s="158" t="str">
        <f t="shared" si="45"/>
        <v/>
      </c>
      <c r="CX35" s="158" t="str">
        <f t="shared" si="46"/>
        <v/>
      </c>
      <c r="CY35" s="143" t="str">
        <f t="shared" si="47"/>
        <v/>
      </c>
      <c r="CZ35" s="143" t="str">
        <f t="shared" si="48"/>
        <v/>
      </c>
      <c r="DA35" s="144" t="str">
        <f t="shared" si="49"/>
        <v/>
      </c>
    </row>
    <row r="36" spans="1:105" ht="16.5" customHeight="1" x14ac:dyDescent="0.3">
      <c r="A36" s="145">
        <v>1</v>
      </c>
      <c r="B36" s="146" t="s">
        <v>145</v>
      </c>
      <c r="C36" s="146" t="s">
        <v>125</v>
      </c>
      <c r="D36" s="147" t="s">
        <v>122</v>
      </c>
      <c r="E36" s="202" t="s">
        <v>142</v>
      </c>
      <c r="F36" s="210"/>
      <c r="G36" s="211"/>
      <c r="H36" s="211"/>
      <c r="I36" s="211"/>
      <c r="J36" s="211"/>
      <c r="K36" s="211"/>
      <c r="L36" s="211"/>
      <c r="M36" s="215"/>
      <c r="N36" s="210">
        <v>65.873120921161103</v>
      </c>
      <c r="O36" s="212">
        <v>0</v>
      </c>
      <c r="P36" s="205">
        <v>1</v>
      </c>
      <c r="Q36" s="128">
        <f t="shared" si="34"/>
        <v>66</v>
      </c>
      <c r="R36" s="3">
        <v>2</v>
      </c>
      <c r="S36" s="3"/>
      <c r="T36" s="4">
        <v>71.17</v>
      </c>
      <c r="U36" s="4">
        <v>121.81</v>
      </c>
      <c r="V36" s="109">
        <f t="shared" si="50"/>
        <v>75</v>
      </c>
      <c r="W36" s="81">
        <v>73</v>
      </c>
      <c r="X36" s="148">
        <v>2</v>
      </c>
      <c r="Z36" s="115" t="s">
        <v>187</v>
      </c>
      <c r="AA36" s="113">
        <v>176.66</v>
      </c>
      <c r="AB36" s="52">
        <v>127.16</v>
      </c>
      <c r="AC36" s="106">
        <v>75.400000000000006</v>
      </c>
      <c r="AD36" s="52">
        <v>200.64</v>
      </c>
      <c r="AE36" s="52">
        <v>132</v>
      </c>
      <c r="AF36" s="53">
        <v>75.400000000000006</v>
      </c>
      <c r="AH36" s="168">
        <f t="array" ref="AH36">IF(AH$1=0,"",SQRT((_xlfn.XLOOKUP(AH$1,$Z$2:$Z$18,$AA$2:$AA$18)-$T36)^2+(_xlfn.XLOOKUP(AH$1,$Z$2:$Z$18,$AB$2:$AB$18)-$U36)^2+(_xlfn.XLOOKUP(AH$1,$Z$2:$Z$18,$AC$2:$AC$18-$V36)^2)))</f>
        <v>53.341992838663238</v>
      </c>
      <c r="AI36" s="150">
        <f t="array" ref="AI36">IF(AI$1=0,"",SQRT((_xlfn.XLOOKUP(AI$1,$Z$2:$Z$18,$AA$2:$AA$18)-$T36)^2+(_xlfn.XLOOKUP(AI$1,$Z$2:$Z$18,$AB$2:$AB$18)-$U36)^2+(_xlfn.XLOOKUP(AI$1,$Z$2:$Z$18,$AC$2:$AC$18-$V36)^2)))</f>
        <v>84.323330697974683</v>
      </c>
      <c r="AJ36" s="150">
        <f t="array" ref="AJ36">IF(AJ$1=0,"",SQRT((_xlfn.XLOOKUP(AJ$1,$Z$2:$Z$18,$AA$2:$AA$18)-$T36)^2+(_xlfn.XLOOKUP(AJ$1,$Z$2:$Z$18,$AB$2:$AB$18)-$U36)^2+(_xlfn.XLOOKUP(AJ$1,$Z$2:$Z$18,$AC$2:$AC$18-$V36)^2)))</f>
        <v>177.07846198789957</v>
      </c>
      <c r="AK36" s="150">
        <f t="array" ref="AK36">IF(AK$1=0,"",SQRT((_xlfn.XLOOKUP(AK$1,$Z$2:$Z$18,$AA$2:$AA$18)-$T36)^2+(_xlfn.XLOOKUP(AK$1,$Z$2:$Z$18,$AB$2:$AB$18)-$U36)^2+(_xlfn.XLOOKUP(AK$1,$Z$2:$Z$18,$AC$2:$AC$18-$V36)^2)))</f>
        <v>250.66280876907129</v>
      </c>
      <c r="AL36" s="150">
        <f t="array" ref="AL36">IF(AL$1=0,"",SQRT((_xlfn.XLOOKUP(AL$1,$Z$2:$Z$18,$AA$2:$AA$18)-$T36)^2+(_xlfn.XLOOKUP(AL$1,$Z$2:$Z$18,$AB$2:$AB$18)-$U36)^2+(_xlfn.XLOOKUP(AL$1,$Z$2:$Z$18,$AC$2:$AC$18-$V36)^2)))</f>
        <v>112.29356170324282</v>
      </c>
      <c r="AM36" s="150" t="str">
        <f t="array" ref="AM36">IF(AM$1=0,"",SQRT((_xlfn.XLOOKUP(AM$1,$Z$2:$Z$18,$AA$2:$AA$18)-$T36)^2+(_xlfn.XLOOKUP(AM$1,$Z$2:$Z$18,$AB$2:$AB$18)-$U36)^2+(_xlfn.XLOOKUP(AM$1,$Z$2:$Z$18,$AC$2:$AC$18-$V36)^2)))</f>
        <v/>
      </c>
      <c r="AN36" s="150" t="str">
        <f t="array" ref="AN36">IF(AN$1=0,"",SQRT((_xlfn.XLOOKUP(AN$1,$Z$2:$Z$18,$AA$2:$AA$18)-$T36)^2+(_xlfn.XLOOKUP(AN$1,$Z$2:$Z$18,$AB$2:$AB$18)-$U36)^2+(_xlfn.XLOOKUP(AN$1,$Z$2:$Z$18,$AC$2:$AC$18-$V36)^2)))</f>
        <v/>
      </c>
      <c r="AO36" s="150" t="str">
        <f t="array" ref="AO36">IF(AO$1=0,"",SQRT((_xlfn.XLOOKUP(AO$1,$Z$2:$Z$18,$AA$2:$AA$18)-$T36)^2+(_xlfn.XLOOKUP(AO$1,$Z$2:$Z$18,$AB$2:$AB$18)-$U36)^2+(_xlfn.XLOOKUP(AO$1,$Z$2:$Z$18,$AC$2:$AC$18-$V36)^2)))</f>
        <v/>
      </c>
      <c r="AP36" s="151" t="str">
        <f t="array" ref="AP36">IF(AP$1=0,"",SQRT((_xlfn.XLOOKUP(AP$1,$Z$2:$Z$18,$AA$2:$AA$18)-$T36)^2+(_xlfn.XLOOKUP(AP$1,$Z$2:$Z$18,$AB$2:$AB$18)-$U36)^2+(_xlfn.XLOOKUP(AP$1,$Z$2:$Z$18,$AC$2:$AC$18-$V36)^2)))</f>
        <v/>
      </c>
      <c r="AQ36" s="151" t="str">
        <f t="array" ref="AQ36">IF(AQ$1=0,"",SQRT((_xlfn.XLOOKUP(AQ$1,$Z$2:$Z$18,$AA$2:$AA$18)-$T36)^2+(_xlfn.XLOOKUP(AQ$1,$Z$2:$Z$18,$AB$2:$AB$18)-$U36)^2+(_xlfn.XLOOKUP(AQ$1,$Z$2:$Z$18,$AC$2:$AC$18-$V36)^2)))</f>
        <v/>
      </c>
      <c r="AR36" s="151" t="str">
        <f t="array" ref="AR36">IF(AR$1=0,"",SQRT((_xlfn.XLOOKUP(AR$1,$Z$2:$Z$18,$AA$2:$AA$18)-$T36)^2+(_xlfn.XLOOKUP(AR$1,$Z$2:$Z$18,$AB$2:$AB$18)-$U36)^2+(_xlfn.XLOOKUP(AR$1,$Z$2:$Z$18,$AC$2:$AC$18-$V36)^2)))</f>
        <v/>
      </c>
      <c r="AS36" s="151" t="str">
        <f t="array" ref="AS36">IF(AS$1=0,"",SQRT((_xlfn.XLOOKUP(AS$1,$Z$2:$Z$18,$AA$2:$AA$18)-$T36)^2+(_xlfn.XLOOKUP(AS$1,$Z$2:$Z$18,$AB$2:$AB$18)-$U36)^2+(_xlfn.XLOOKUP(AS$1,$Z$2:$Z$18,$AC$2:$AC$18-$V36)^2)))</f>
        <v/>
      </c>
      <c r="AT36" s="151" t="str">
        <f t="array" ref="AT36">IF(AT$1=0,"",SQRT((_xlfn.XLOOKUP(AT$1,$Z$2:$Z$18,$AA$2:$AA$18)-$T36)^2+(_xlfn.XLOOKUP(AT$1,$Z$2:$Z$18,$AB$2:$AB$18)-$U36)^2+(_xlfn.XLOOKUP(AT$1,$Z$2:$Z$18,$AC$2:$AC$18-$V36)^2)))</f>
        <v/>
      </c>
      <c r="AU36" s="151" t="str">
        <f t="array" ref="AU36">IF(AU$1=0,"",SQRT((_xlfn.XLOOKUP(AU$1,$Z$2:$Z$18,$AA$2:$AA$18)-$T36)^2+(_xlfn.XLOOKUP(AU$1,$Z$2:$Z$18,$AB$2:$AB$18)-$U36)^2+(_xlfn.XLOOKUP(AU$1,$Z$2:$Z$18,$AC$2:$AC$18-$V36)^2)))</f>
        <v/>
      </c>
      <c r="AV36" s="152" t="str">
        <f t="array" ref="AV36">IF(AV$1=0,"",SQRT((_xlfn.XLOOKUP(AV$1,$Z$2:$Z$18,$AA$2:$AA$18)-$T36)^2+(_xlfn.XLOOKUP(AV$1,$Z$2:$Z$18,$AB$2:$AB$18)-$U36)^2+(_xlfn.XLOOKUP(AV$1,$Z$2:$Z$18,$AC$2:$AC$18-$V36)^2)))</f>
        <v/>
      </c>
      <c r="AW36" s="134"/>
      <c r="AX36" s="134"/>
      <c r="AY36" s="135">
        <f t="shared" si="51"/>
        <v>-32.203482671946404</v>
      </c>
      <c r="AZ36" s="153">
        <f t="shared" si="52"/>
        <v>-36.181052986138432</v>
      </c>
      <c r="BA36" s="153">
        <f t="shared" si="53"/>
        <v>-42.625412762243108</v>
      </c>
      <c r="BB36" s="153">
        <f t="shared" si="54"/>
        <v>-45.643895972733915</v>
      </c>
      <c r="BC36" s="153">
        <f t="shared" si="55"/>
        <v>-38.669195075178486</v>
      </c>
      <c r="BD36" s="153">
        <f t="shared" si="56"/>
        <v>0</v>
      </c>
      <c r="BE36" s="153">
        <f t="shared" si="57"/>
        <v>0</v>
      </c>
      <c r="BF36" s="153">
        <f t="shared" si="58"/>
        <v>0</v>
      </c>
      <c r="BG36" s="154">
        <f t="shared" si="59"/>
        <v>0</v>
      </c>
      <c r="BH36" s="154">
        <f t="shared" si="60"/>
        <v>0</v>
      </c>
      <c r="BI36" s="154">
        <f t="shared" si="61"/>
        <v>0</v>
      </c>
      <c r="BJ36" s="154">
        <f t="shared" si="62"/>
        <v>0</v>
      </c>
      <c r="BK36" s="154">
        <f t="shared" si="63"/>
        <v>0</v>
      </c>
      <c r="BL36" s="154">
        <f t="shared" si="64"/>
        <v>0</v>
      </c>
      <c r="BM36" s="155">
        <f t="shared" si="65"/>
        <v>0</v>
      </c>
      <c r="BN36" s="134"/>
      <c r="BO36" s="134"/>
      <c r="BP36" s="134"/>
      <c r="BQ36" s="134"/>
      <c r="BR36" s="134"/>
      <c r="BS36" s="134"/>
      <c r="BT36" s="134"/>
      <c r="BU36" s="134"/>
      <c r="BV36" s="140">
        <v>2</v>
      </c>
      <c r="BW36" s="140">
        <v>15</v>
      </c>
      <c r="BX36" s="140">
        <v>11</v>
      </c>
      <c r="BY36" s="140">
        <v>12</v>
      </c>
      <c r="BZ36" s="140">
        <v>2</v>
      </c>
      <c r="CA36" s="140"/>
      <c r="CB36" s="140"/>
      <c r="CC36" s="140"/>
      <c r="CD36" s="140"/>
      <c r="CE36" s="140"/>
      <c r="CF36" s="140"/>
      <c r="CG36" s="140"/>
      <c r="CH36" s="140"/>
      <c r="CI36" s="140"/>
      <c r="CJ36" s="140"/>
      <c r="CK36" s="134"/>
      <c r="CL36" s="134"/>
      <c r="CM36" s="156">
        <f t="shared" si="35"/>
        <v>31.796517328053596</v>
      </c>
      <c r="CN36" s="157">
        <f t="shared" si="36"/>
        <v>14.818947013861568</v>
      </c>
      <c r="CO36" s="157">
        <f t="shared" si="37"/>
        <v>12.374587237756892</v>
      </c>
      <c r="CP36" s="157">
        <f t="shared" si="38"/>
        <v>8.3561040272660847</v>
      </c>
      <c r="CQ36" s="157">
        <f t="shared" si="39"/>
        <v>25.330804924821514</v>
      </c>
      <c r="CR36" s="157" t="str">
        <f t="shared" si="40"/>
        <v/>
      </c>
      <c r="CS36" s="157" t="str">
        <f t="shared" si="41"/>
        <v/>
      </c>
      <c r="CT36" s="157" t="str">
        <f t="shared" si="42"/>
        <v/>
      </c>
      <c r="CU36" s="158" t="str">
        <f t="shared" si="43"/>
        <v/>
      </c>
      <c r="CV36" s="158" t="str">
        <f t="shared" si="44"/>
        <v/>
      </c>
      <c r="CW36" s="158" t="str">
        <f t="shared" si="45"/>
        <v/>
      </c>
      <c r="CX36" s="158" t="str">
        <f t="shared" si="46"/>
        <v/>
      </c>
      <c r="CY36" s="143" t="str">
        <f t="shared" si="47"/>
        <v/>
      </c>
      <c r="CZ36" s="143" t="str">
        <f t="shared" si="48"/>
        <v/>
      </c>
      <c r="DA36" s="144" t="str">
        <f t="shared" si="49"/>
        <v/>
      </c>
    </row>
    <row r="37" spans="1:105" ht="16.5" customHeight="1" x14ac:dyDescent="0.3">
      <c r="A37" s="145">
        <v>1</v>
      </c>
      <c r="B37" s="146" t="s">
        <v>146</v>
      </c>
      <c r="C37" s="146" t="s">
        <v>125</v>
      </c>
      <c r="D37" s="147" t="s">
        <v>122</v>
      </c>
      <c r="E37" s="202" t="s">
        <v>141</v>
      </c>
      <c r="F37" s="210"/>
      <c r="G37" s="211"/>
      <c r="H37" s="211"/>
      <c r="I37" s="211"/>
      <c r="J37" s="211"/>
      <c r="K37" s="211"/>
      <c r="L37" s="211"/>
      <c r="M37" s="215"/>
      <c r="N37" s="210">
        <v>57.392737795737183</v>
      </c>
      <c r="O37" s="212">
        <v>0</v>
      </c>
      <c r="P37" s="205">
        <v>1</v>
      </c>
      <c r="Q37" s="128">
        <f t="shared" si="34"/>
        <v>57</v>
      </c>
      <c r="R37" s="3">
        <v>2</v>
      </c>
      <c r="S37" s="3"/>
      <c r="T37" s="4">
        <v>46.64</v>
      </c>
      <c r="U37" s="4">
        <v>122.14</v>
      </c>
      <c r="V37" s="109">
        <f t="shared" si="50"/>
        <v>75</v>
      </c>
      <c r="W37" s="81">
        <v>73</v>
      </c>
      <c r="X37" s="148">
        <v>2</v>
      </c>
      <c r="Z37" s="115" t="s">
        <v>188</v>
      </c>
      <c r="AA37" s="113">
        <v>176.77</v>
      </c>
      <c r="AB37" s="52">
        <v>127.38</v>
      </c>
      <c r="AC37" s="106">
        <v>75.400000000000006</v>
      </c>
      <c r="AD37" s="52">
        <v>173.91</v>
      </c>
      <c r="AE37" s="52">
        <v>142.34</v>
      </c>
      <c r="AF37" s="53">
        <v>75.400000000000006</v>
      </c>
      <c r="AH37" s="168">
        <f t="array" ref="AH37">IF(AH$1=0,"",SQRT((_xlfn.XLOOKUP(AH$1,$Z$2:$Z$18,$AA$2:$AA$18)-$T37)^2+(_xlfn.XLOOKUP(AH$1,$Z$2:$Z$18,$AB$2:$AB$18)-$U37)^2+(_xlfn.XLOOKUP(AH$1,$Z$2:$Z$18,$AC$2:$AC$18-$V37)^2)))</f>
        <v>40.152210399926922</v>
      </c>
      <c r="AI37" s="150">
        <f t="array" ref="AI37">IF(AI$1=0,"",SQRT((_xlfn.XLOOKUP(AI$1,$Z$2:$Z$18,$AA$2:$AA$18)-$T37)^2+(_xlfn.XLOOKUP(AI$1,$Z$2:$Z$18,$AB$2:$AB$18)-$U37)^2+(_xlfn.XLOOKUP(AI$1,$Z$2:$Z$18,$AC$2:$AC$18-$V37)^2)))</f>
        <v>96.947807092270025</v>
      </c>
      <c r="AJ37" s="150">
        <f t="array" ref="AJ37">IF(AJ$1=0,"",SQRT((_xlfn.XLOOKUP(AJ$1,$Z$2:$Z$18,$AA$2:$AA$18)-$T37)^2+(_xlfn.XLOOKUP(AJ$1,$Z$2:$Z$18,$AB$2:$AB$18)-$U37)^2+(_xlfn.XLOOKUP(AJ$1,$Z$2:$Z$18,$AC$2:$AC$18-$V37)^2)))</f>
        <v>197.9370266018968</v>
      </c>
      <c r="AK37" s="150">
        <f t="array" ref="AK37">IF(AK$1=0,"",SQRT((_xlfn.XLOOKUP(AK$1,$Z$2:$Z$18,$AA$2:$AA$18)-$T37)^2+(_xlfn.XLOOKUP(AK$1,$Z$2:$Z$18,$AB$2:$AB$18)-$U37)^2+(_xlfn.XLOOKUP(AK$1,$Z$2:$Z$18,$AC$2:$AC$18-$V37)^2)))</f>
        <v>274.79173295425034</v>
      </c>
      <c r="AL37" s="150">
        <f t="array" ref="AL37">IF(AL$1=0,"",SQRT((_xlfn.XLOOKUP(AL$1,$Z$2:$Z$18,$AA$2:$AA$18)-$T37)^2+(_xlfn.XLOOKUP(AL$1,$Z$2:$Z$18,$AB$2:$AB$18)-$U37)^2+(_xlfn.XLOOKUP(AL$1,$Z$2:$Z$18,$AC$2:$AC$18-$V37)^2)))</f>
        <v>101.7716276768727</v>
      </c>
      <c r="AM37" s="150" t="str">
        <f t="array" ref="AM37">IF(AM$1=0,"",SQRT((_xlfn.XLOOKUP(AM$1,$Z$2:$Z$18,$AA$2:$AA$18)-$T37)^2+(_xlfn.XLOOKUP(AM$1,$Z$2:$Z$18,$AB$2:$AB$18)-$U37)^2+(_xlfn.XLOOKUP(AM$1,$Z$2:$Z$18,$AC$2:$AC$18-$V37)^2)))</f>
        <v/>
      </c>
      <c r="AN37" s="150" t="str">
        <f t="array" ref="AN37">IF(AN$1=0,"",SQRT((_xlfn.XLOOKUP(AN$1,$Z$2:$Z$18,$AA$2:$AA$18)-$T37)^2+(_xlfn.XLOOKUP(AN$1,$Z$2:$Z$18,$AB$2:$AB$18)-$U37)^2+(_xlfn.XLOOKUP(AN$1,$Z$2:$Z$18,$AC$2:$AC$18-$V37)^2)))</f>
        <v/>
      </c>
      <c r="AO37" s="150" t="str">
        <f t="array" ref="AO37">IF(AO$1=0,"",SQRT((_xlfn.XLOOKUP(AO$1,$Z$2:$Z$18,$AA$2:$AA$18)-$T37)^2+(_xlfn.XLOOKUP(AO$1,$Z$2:$Z$18,$AB$2:$AB$18)-$U37)^2+(_xlfn.XLOOKUP(AO$1,$Z$2:$Z$18,$AC$2:$AC$18-$V37)^2)))</f>
        <v/>
      </c>
      <c r="AP37" s="151" t="str">
        <f t="array" ref="AP37">IF(AP$1=0,"",SQRT((_xlfn.XLOOKUP(AP$1,$Z$2:$Z$18,$AA$2:$AA$18)-$T37)^2+(_xlfn.XLOOKUP(AP$1,$Z$2:$Z$18,$AB$2:$AB$18)-$U37)^2+(_xlfn.XLOOKUP(AP$1,$Z$2:$Z$18,$AC$2:$AC$18-$V37)^2)))</f>
        <v/>
      </c>
      <c r="AQ37" s="151" t="str">
        <f t="array" ref="AQ37">IF(AQ$1=0,"",SQRT((_xlfn.XLOOKUP(AQ$1,$Z$2:$Z$18,$AA$2:$AA$18)-$T37)^2+(_xlfn.XLOOKUP(AQ$1,$Z$2:$Z$18,$AB$2:$AB$18)-$U37)^2+(_xlfn.XLOOKUP(AQ$1,$Z$2:$Z$18,$AC$2:$AC$18-$V37)^2)))</f>
        <v/>
      </c>
      <c r="AR37" s="151" t="str">
        <f t="array" ref="AR37">IF(AR$1=0,"",SQRT((_xlfn.XLOOKUP(AR$1,$Z$2:$Z$18,$AA$2:$AA$18)-$T37)^2+(_xlfn.XLOOKUP(AR$1,$Z$2:$Z$18,$AB$2:$AB$18)-$U37)^2+(_xlfn.XLOOKUP(AR$1,$Z$2:$Z$18,$AC$2:$AC$18-$V37)^2)))</f>
        <v/>
      </c>
      <c r="AS37" s="151" t="str">
        <f t="array" ref="AS37">IF(AS$1=0,"",SQRT((_xlfn.XLOOKUP(AS$1,$Z$2:$Z$18,$AA$2:$AA$18)-$T37)^2+(_xlfn.XLOOKUP(AS$1,$Z$2:$Z$18,$AB$2:$AB$18)-$U37)^2+(_xlfn.XLOOKUP(AS$1,$Z$2:$Z$18,$AC$2:$AC$18-$V37)^2)))</f>
        <v/>
      </c>
      <c r="AT37" s="151" t="str">
        <f t="array" ref="AT37">IF(AT$1=0,"",SQRT((_xlfn.XLOOKUP(AT$1,$Z$2:$Z$18,$AA$2:$AA$18)-$T37)^2+(_xlfn.XLOOKUP(AT$1,$Z$2:$Z$18,$AB$2:$AB$18)-$U37)^2+(_xlfn.XLOOKUP(AT$1,$Z$2:$Z$18,$AC$2:$AC$18-$V37)^2)))</f>
        <v/>
      </c>
      <c r="AU37" s="151" t="str">
        <f t="array" ref="AU37">IF(AU$1=0,"",SQRT((_xlfn.XLOOKUP(AU$1,$Z$2:$Z$18,$AA$2:$AA$18)-$T37)^2+(_xlfn.XLOOKUP(AU$1,$Z$2:$Z$18,$AB$2:$AB$18)-$U37)^2+(_xlfn.XLOOKUP(AU$1,$Z$2:$Z$18,$AC$2:$AC$18-$V37)^2)))</f>
        <v/>
      </c>
      <c r="AV37" s="152" t="str">
        <f t="array" ref="AV37">IF(AV$1=0,"",SQRT((_xlfn.XLOOKUP(AV$1,$Z$2:$Z$18,$AA$2:$AA$18)-$T37)^2+(_xlfn.XLOOKUP(AV$1,$Z$2:$Z$18,$AB$2:$AB$18)-$U37)^2+(_xlfn.XLOOKUP(AV$1,$Z$2:$Z$18,$AC$2:$AC$18-$V37)^2)))</f>
        <v/>
      </c>
      <c r="AW37" s="134"/>
      <c r="AX37" s="134"/>
      <c r="AY37" s="135">
        <f t="shared" si="51"/>
        <v>-29.736287105100526</v>
      </c>
      <c r="AZ37" s="153">
        <f t="shared" si="52"/>
        <v>-37.392857737254246</v>
      </c>
      <c r="BA37" s="153">
        <f t="shared" si="53"/>
        <v>-43.592638777580682</v>
      </c>
      <c r="BB37" s="153">
        <f t="shared" si="54"/>
        <v>-46.442171195631914</v>
      </c>
      <c r="BC37" s="153">
        <f t="shared" si="55"/>
        <v>-37.814632345513999</v>
      </c>
      <c r="BD37" s="153">
        <f t="shared" si="56"/>
        <v>0</v>
      </c>
      <c r="BE37" s="153">
        <f t="shared" si="57"/>
        <v>0</v>
      </c>
      <c r="BF37" s="153">
        <f t="shared" si="58"/>
        <v>0</v>
      </c>
      <c r="BG37" s="154">
        <f t="shared" si="59"/>
        <v>0</v>
      </c>
      <c r="BH37" s="154">
        <f t="shared" si="60"/>
        <v>0</v>
      </c>
      <c r="BI37" s="154">
        <f t="shared" si="61"/>
        <v>0</v>
      </c>
      <c r="BJ37" s="154">
        <f t="shared" si="62"/>
        <v>0</v>
      </c>
      <c r="BK37" s="154">
        <f t="shared" si="63"/>
        <v>0</v>
      </c>
      <c r="BL37" s="154">
        <f t="shared" si="64"/>
        <v>0</v>
      </c>
      <c r="BM37" s="155">
        <f t="shared" si="65"/>
        <v>0</v>
      </c>
      <c r="BN37" s="134"/>
      <c r="BO37" s="219" t="s">
        <v>68</v>
      </c>
      <c r="BP37" s="220"/>
      <c r="BQ37" s="21"/>
      <c r="BR37" s="134"/>
      <c r="BS37" s="134"/>
      <c r="BT37" s="134"/>
      <c r="BU37" s="134"/>
      <c r="BV37" s="140">
        <v>0</v>
      </c>
      <c r="BW37" s="140">
        <v>13</v>
      </c>
      <c r="BX37" s="140">
        <v>11</v>
      </c>
      <c r="BY37" s="140">
        <v>12</v>
      </c>
      <c r="BZ37" s="140">
        <v>0</v>
      </c>
      <c r="CA37" s="140"/>
      <c r="CB37" s="140"/>
      <c r="CC37" s="140"/>
      <c r="CD37" s="140"/>
      <c r="CE37" s="140"/>
      <c r="CF37" s="140"/>
      <c r="CG37" s="140"/>
      <c r="CH37" s="140"/>
      <c r="CI37" s="140"/>
      <c r="CJ37" s="140"/>
      <c r="CK37" s="134"/>
      <c r="CL37" s="134"/>
      <c r="CM37" s="156">
        <f t="shared" si="35"/>
        <v>27.263712894899474</v>
      </c>
      <c r="CN37" s="157">
        <f t="shared" si="36"/>
        <v>6.6071422627457537</v>
      </c>
      <c r="CO37" s="157">
        <f t="shared" si="37"/>
        <v>2.4073612224193184</v>
      </c>
      <c r="CP37" s="157">
        <f t="shared" si="38"/>
        <v>-1.4421711956319143</v>
      </c>
      <c r="CQ37" s="157">
        <f t="shared" si="39"/>
        <v>19.185367654486001</v>
      </c>
      <c r="CR37" s="157" t="str">
        <f t="shared" si="40"/>
        <v/>
      </c>
      <c r="CS37" s="157" t="str">
        <f t="shared" si="41"/>
        <v/>
      </c>
      <c r="CT37" s="157" t="str">
        <f t="shared" si="42"/>
        <v/>
      </c>
      <c r="CU37" s="158" t="str">
        <f t="shared" si="43"/>
        <v/>
      </c>
      <c r="CV37" s="158" t="str">
        <f t="shared" si="44"/>
        <v/>
      </c>
      <c r="CW37" s="158" t="str">
        <f t="shared" si="45"/>
        <v/>
      </c>
      <c r="CX37" s="158" t="str">
        <f t="shared" si="46"/>
        <v/>
      </c>
      <c r="CY37" s="143" t="str">
        <f t="shared" si="47"/>
        <v/>
      </c>
      <c r="CZ37" s="143" t="str">
        <f t="shared" si="48"/>
        <v/>
      </c>
      <c r="DA37" s="144" t="str">
        <f t="shared" si="49"/>
        <v/>
      </c>
    </row>
    <row r="38" spans="1:105" ht="16.5" customHeight="1" x14ac:dyDescent="0.3">
      <c r="A38" s="145">
        <v>1</v>
      </c>
      <c r="B38" s="146" t="s">
        <v>147</v>
      </c>
      <c r="C38" s="146" t="s">
        <v>125</v>
      </c>
      <c r="D38" s="147" t="s">
        <v>122</v>
      </c>
      <c r="E38" s="202" t="s">
        <v>141</v>
      </c>
      <c r="F38" s="210"/>
      <c r="G38" s="211"/>
      <c r="H38" s="211"/>
      <c r="I38" s="211"/>
      <c r="J38" s="211"/>
      <c r="K38" s="211"/>
      <c r="L38" s="211"/>
      <c r="M38" s="215"/>
      <c r="N38" s="210">
        <v>57.392737795737183</v>
      </c>
      <c r="O38" s="212">
        <v>0</v>
      </c>
      <c r="P38" s="205">
        <v>1</v>
      </c>
      <c r="Q38" s="128">
        <f t="shared" si="34"/>
        <v>57</v>
      </c>
      <c r="R38" s="3">
        <v>2</v>
      </c>
      <c r="S38" s="3"/>
      <c r="T38" s="4">
        <v>149.29</v>
      </c>
      <c r="U38" s="4">
        <v>139.38</v>
      </c>
      <c r="V38" s="109">
        <f t="shared" si="50"/>
        <v>75</v>
      </c>
      <c r="W38" s="81">
        <v>73</v>
      </c>
      <c r="X38" s="148">
        <v>2</v>
      </c>
      <c r="Z38" s="115" t="s">
        <v>189</v>
      </c>
      <c r="AA38" s="113">
        <v>162.91</v>
      </c>
      <c r="AB38" s="52">
        <v>140.80000000000001</v>
      </c>
      <c r="AC38" s="106">
        <v>75.400000000000006</v>
      </c>
      <c r="AD38" s="52">
        <v>173.14</v>
      </c>
      <c r="AE38" s="52">
        <v>143</v>
      </c>
      <c r="AF38" s="53">
        <v>75.400000000000006</v>
      </c>
      <c r="AH38" s="168">
        <f t="array" ref="AH38">IF(AH$1=0,"",SQRT((_xlfn.XLOOKUP(AH$1,$Z$2:$Z$18,$AA$2:$AA$18)-$T38)^2+(_xlfn.XLOOKUP(AH$1,$Z$2:$Z$18,$AB$2:$AB$18)-$U38)^2+(_xlfn.XLOOKUP(AH$1,$Z$2:$Z$18,$AC$2:$AC$18-$V38)^2)))</f>
        <v>128.25154073148593</v>
      </c>
      <c r="AI38" s="150">
        <f t="array" ref="AI38">IF(AI$1=0,"",SQRT((_xlfn.XLOOKUP(AI$1,$Z$2:$Z$18,$AA$2:$AA$18)-$T38)^2+(_xlfn.XLOOKUP(AI$1,$Z$2:$Z$18,$AB$2:$AB$18)-$U38)^2+(_xlfn.XLOOKUP(AI$1,$Z$2:$Z$18,$AC$2:$AC$18-$V38)^2)))</f>
        <v>103.54564693892253</v>
      </c>
      <c r="AJ38" s="150">
        <f t="array" ref="AJ38">IF(AJ$1=0,"",SQRT((_xlfn.XLOOKUP(AJ$1,$Z$2:$Z$18,$AA$2:$AA$18)-$T38)^2+(_xlfn.XLOOKUP(AJ$1,$Z$2:$Z$18,$AB$2:$AB$18)-$U38)^2+(_xlfn.XLOOKUP(AJ$1,$Z$2:$Z$18,$AC$2:$AC$18-$V38)^2)))</f>
        <v>135.91148884476249</v>
      </c>
      <c r="AK38" s="150">
        <f t="array" ref="AK38">IF(AK$1=0,"",SQRT((_xlfn.XLOOKUP(AK$1,$Z$2:$Z$18,$AA$2:$AA$18)-$T38)^2+(_xlfn.XLOOKUP(AK$1,$Z$2:$Z$18,$AB$2:$AB$18)-$U38)^2+(_xlfn.XLOOKUP(AK$1,$Z$2:$Z$18,$AC$2:$AC$18-$V38)^2)))</f>
        <v>179.15276665460684</v>
      </c>
      <c r="AL38" s="150">
        <f t="array" ref="AL38">IF(AL$1=0,"",SQRT((_xlfn.XLOOKUP(AL$1,$Z$2:$Z$18,$AA$2:$AA$18)-$T38)^2+(_xlfn.XLOOKUP(AL$1,$Z$2:$Z$18,$AB$2:$AB$18)-$U38)^2+(_xlfn.XLOOKUP(AL$1,$Z$2:$Z$18,$AC$2:$AC$18-$V38)^2)))</f>
        <v>157.1114448409154</v>
      </c>
      <c r="AM38" s="150" t="str">
        <f t="array" ref="AM38">IF(AM$1=0,"",SQRT((_xlfn.XLOOKUP(AM$1,$Z$2:$Z$18,$AA$2:$AA$18)-$T38)^2+(_xlfn.XLOOKUP(AM$1,$Z$2:$Z$18,$AB$2:$AB$18)-$U38)^2+(_xlfn.XLOOKUP(AM$1,$Z$2:$Z$18,$AC$2:$AC$18-$V38)^2)))</f>
        <v/>
      </c>
      <c r="AN38" s="150" t="str">
        <f t="array" ref="AN38">IF(AN$1=0,"",SQRT((_xlfn.XLOOKUP(AN$1,$Z$2:$Z$18,$AA$2:$AA$18)-$T38)^2+(_xlfn.XLOOKUP(AN$1,$Z$2:$Z$18,$AB$2:$AB$18)-$U38)^2+(_xlfn.XLOOKUP(AN$1,$Z$2:$Z$18,$AC$2:$AC$18-$V38)^2)))</f>
        <v/>
      </c>
      <c r="AO38" s="150" t="str">
        <f t="array" ref="AO38">IF(AO$1=0,"",SQRT((_xlfn.XLOOKUP(AO$1,$Z$2:$Z$18,$AA$2:$AA$18)-$T38)^2+(_xlfn.XLOOKUP(AO$1,$Z$2:$Z$18,$AB$2:$AB$18)-$U38)^2+(_xlfn.XLOOKUP(AO$1,$Z$2:$Z$18,$AC$2:$AC$18-$V38)^2)))</f>
        <v/>
      </c>
      <c r="AP38" s="151" t="str">
        <f t="array" ref="AP38">IF(AP$1=0,"",SQRT((_xlfn.XLOOKUP(AP$1,$Z$2:$Z$18,$AA$2:$AA$18)-$T38)^2+(_xlfn.XLOOKUP(AP$1,$Z$2:$Z$18,$AB$2:$AB$18)-$U38)^2+(_xlfn.XLOOKUP(AP$1,$Z$2:$Z$18,$AC$2:$AC$18-$V38)^2)))</f>
        <v/>
      </c>
      <c r="AQ38" s="151" t="str">
        <f t="array" ref="AQ38">IF(AQ$1=0,"",SQRT((_xlfn.XLOOKUP(AQ$1,$Z$2:$Z$18,$AA$2:$AA$18)-$T38)^2+(_xlfn.XLOOKUP(AQ$1,$Z$2:$Z$18,$AB$2:$AB$18)-$U38)^2+(_xlfn.XLOOKUP(AQ$1,$Z$2:$Z$18,$AC$2:$AC$18-$V38)^2)))</f>
        <v/>
      </c>
      <c r="AR38" s="151" t="str">
        <f t="array" ref="AR38">IF(AR$1=0,"",SQRT((_xlfn.XLOOKUP(AR$1,$Z$2:$Z$18,$AA$2:$AA$18)-$T38)^2+(_xlfn.XLOOKUP(AR$1,$Z$2:$Z$18,$AB$2:$AB$18)-$U38)^2+(_xlfn.XLOOKUP(AR$1,$Z$2:$Z$18,$AC$2:$AC$18-$V38)^2)))</f>
        <v/>
      </c>
      <c r="AS38" s="151" t="str">
        <f t="array" ref="AS38">IF(AS$1=0,"",SQRT((_xlfn.XLOOKUP(AS$1,$Z$2:$Z$18,$AA$2:$AA$18)-$T38)^2+(_xlfn.XLOOKUP(AS$1,$Z$2:$Z$18,$AB$2:$AB$18)-$U38)^2+(_xlfn.XLOOKUP(AS$1,$Z$2:$Z$18,$AC$2:$AC$18-$V38)^2)))</f>
        <v/>
      </c>
      <c r="AT38" s="151" t="str">
        <f t="array" ref="AT38">IF(AT$1=0,"",SQRT((_xlfn.XLOOKUP(AT$1,$Z$2:$Z$18,$AA$2:$AA$18)-$T38)^2+(_xlfn.XLOOKUP(AT$1,$Z$2:$Z$18,$AB$2:$AB$18)-$U38)^2+(_xlfn.XLOOKUP(AT$1,$Z$2:$Z$18,$AC$2:$AC$18-$V38)^2)))</f>
        <v/>
      </c>
      <c r="AU38" s="151" t="str">
        <f t="array" ref="AU38">IF(AU$1=0,"",SQRT((_xlfn.XLOOKUP(AU$1,$Z$2:$Z$18,$AA$2:$AA$18)-$T38)^2+(_xlfn.XLOOKUP(AU$1,$Z$2:$Z$18,$AB$2:$AB$18)-$U38)^2+(_xlfn.XLOOKUP(AU$1,$Z$2:$Z$18,$AC$2:$AC$18-$V38)^2)))</f>
        <v/>
      </c>
      <c r="AV38" s="152" t="str">
        <f t="array" ref="AV38">IF(AV$1=0,"",SQRT((_xlfn.XLOOKUP(AV$1,$Z$2:$Z$18,$AA$2:$AA$18)-$T38)^2+(_xlfn.XLOOKUP(AV$1,$Z$2:$Z$18,$AB$2:$AB$18)-$U38)^2+(_xlfn.XLOOKUP(AV$1,$Z$2:$Z$18,$AC$2:$AC$18-$V38)^2)))</f>
        <v/>
      </c>
      <c r="AW38" s="134"/>
      <c r="AX38" s="134"/>
      <c r="AY38" s="135">
        <f t="shared" si="51"/>
        <v>-39.823349759925378</v>
      </c>
      <c r="AZ38" s="153">
        <f t="shared" si="52"/>
        <v>-37.964734854222307</v>
      </c>
      <c r="BA38" s="153">
        <f t="shared" si="53"/>
        <v>-40.327221336628696</v>
      </c>
      <c r="BB38" s="153">
        <f t="shared" si="54"/>
        <v>-42.726568324128365</v>
      </c>
      <c r="BC38" s="153">
        <f t="shared" si="55"/>
        <v>-41.586254387600114</v>
      </c>
      <c r="BD38" s="153">
        <f t="shared" si="56"/>
        <v>0</v>
      </c>
      <c r="BE38" s="153">
        <f t="shared" si="57"/>
        <v>0</v>
      </c>
      <c r="BF38" s="153">
        <f t="shared" si="58"/>
        <v>0</v>
      </c>
      <c r="BG38" s="154">
        <f t="shared" si="59"/>
        <v>0</v>
      </c>
      <c r="BH38" s="154">
        <f t="shared" si="60"/>
        <v>0</v>
      </c>
      <c r="BI38" s="154">
        <f t="shared" si="61"/>
        <v>0</v>
      </c>
      <c r="BJ38" s="154">
        <f t="shared" si="62"/>
        <v>0</v>
      </c>
      <c r="BK38" s="154">
        <f t="shared" si="63"/>
        <v>0</v>
      </c>
      <c r="BL38" s="154">
        <f t="shared" si="64"/>
        <v>0</v>
      </c>
      <c r="BM38" s="155">
        <f t="shared" si="65"/>
        <v>0</v>
      </c>
      <c r="BN38" s="134"/>
      <c r="BO38" s="57" t="s">
        <v>69</v>
      </c>
      <c r="BP38" s="57" t="s">
        <v>70</v>
      </c>
      <c r="BQ38" s="21"/>
      <c r="BR38" s="134"/>
      <c r="BS38" s="134"/>
      <c r="BT38" s="134"/>
      <c r="BU38" s="134"/>
      <c r="BV38" s="140">
        <v>7</v>
      </c>
      <c r="BW38" s="140">
        <v>14</v>
      </c>
      <c r="BX38" s="140">
        <v>15</v>
      </c>
      <c r="BY38" s="140">
        <v>9</v>
      </c>
      <c r="BZ38" s="140">
        <v>2</v>
      </c>
      <c r="CA38" s="140"/>
      <c r="CB38" s="140"/>
      <c r="CC38" s="140"/>
      <c r="CD38" s="140"/>
      <c r="CE38" s="140"/>
      <c r="CF38" s="140"/>
      <c r="CG38" s="140"/>
      <c r="CH38" s="140"/>
      <c r="CI38" s="140"/>
      <c r="CJ38" s="140"/>
      <c r="CK38" s="134"/>
      <c r="CL38" s="134"/>
      <c r="CM38" s="156">
        <f t="shared" si="35"/>
        <v>10.176650240074622</v>
      </c>
      <c r="CN38" s="157">
        <f t="shared" si="36"/>
        <v>5.0352651457776929</v>
      </c>
      <c r="CO38" s="157">
        <f t="shared" si="37"/>
        <v>1.6727786633713038</v>
      </c>
      <c r="CP38" s="157">
        <f t="shared" si="38"/>
        <v>5.2734316758716346</v>
      </c>
      <c r="CQ38" s="157">
        <f t="shared" si="39"/>
        <v>13.413745612399886</v>
      </c>
      <c r="CR38" s="157" t="str">
        <f t="shared" si="40"/>
        <v/>
      </c>
      <c r="CS38" s="157" t="str">
        <f t="shared" si="41"/>
        <v/>
      </c>
      <c r="CT38" s="157" t="str">
        <f t="shared" si="42"/>
        <v/>
      </c>
      <c r="CU38" s="158" t="str">
        <f t="shared" si="43"/>
        <v/>
      </c>
      <c r="CV38" s="158" t="str">
        <f t="shared" si="44"/>
        <v/>
      </c>
      <c r="CW38" s="158" t="str">
        <f t="shared" si="45"/>
        <v/>
      </c>
      <c r="CX38" s="158" t="str">
        <f t="shared" si="46"/>
        <v/>
      </c>
      <c r="CY38" s="143" t="str">
        <f t="shared" si="47"/>
        <v/>
      </c>
      <c r="CZ38" s="143" t="str">
        <f t="shared" si="48"/>
        <v/>
      </c>
      <c r="DA38" s="144" t="str">
        <f t="shared" si="49"/>
        <v/>
      </c>
    </row>
    <row r="39" spans="1:105" ht="16.5" customHeight="1" x14ac:dyDescent="0.3">
      <c r="A39" s="145"/>
      <c r="B39" s="146"/>
      <c r="C39" s="146"/>
      <c r="D39" s="147"/>
      <c r="E39" s="202"/>
      <c r="F39" s="210"/>
      <c r="G39" s="211"/>
      <c r="H39" s="211"/>
      <c r="I39" s="211"/>
      <c r="J39" s="211"/>
      <c r="K39" s="211"/>
      <c r="L39" s="211"/>
      <c r="M39" s="215"/>
      <c r="N39" s="210"/>
      <c r="O39" s="212"/>
      <c r="P39" s="205"/>
      <c r="Q39" s="128">
        <f t="shared" si="34"/>
        <v>0</v>
      </c>
      <c r="R39" s="3"/>
      <c r="S39" s="3"/>
      <c r="T39" s="4"/>
      <c r="U39" s="4"/>
      <c r="V39" s="109">
        <f t="shared" si="50"/>
        <v>0</v>
      </c>
      <c r="W39" s="171"/>
      <c r="X39" s="148"/>
      <c r="Z39" s="115" t="s">
        <v>190</v>
      </c>
      <c r="AA39" s="113">
        <v>162.13999999999999</v>
      </c>
      <c r="AB39" s="52">
        <v>146.19</v>
      </c>
      <c r="AC39" s="106">
        <v>75.400000000000006</v>
      </c>
      <c r="AD39" s="52">
        <v>163.24</v>
      </c>
      <c r="AE39" s="52">
        <v>141.24</v>
      </c>
      <c r="AF39" s="53">
        <v>75.400000000000006</v>
      </c>
      <c r="AH39" s="168">
        <f t="array" ref="AH39">IF(AH$1=0,"",SQRT((_xlfn.XLOOKUP(AH$1,$Z$2:$Z$18,$AA$2:$AA$18)-$T39)^2+(_xlfn.XLOOKUP(AH$1,$Z$2:$Z$18,$AB$2:$AB$18)-$U39)^2+(_xlfn.XLOOKUP(AH$1,$Z$2:$Z$18,$AC$2:$AC$18-$V39)^2)))</f>
        <v>112.53151914019467</v>
      </c>
      <c r="AI39" s="150">
        <f t="array" ref="AI39">IF(AI$1=0,"",SQRT((_xlfn.XLOOKUP(AI$1,$Z$2:$Z$18,$AA$2:$AA$18)-$T39)^2+(_xlfn.XLOOKUP(AI$1,$Z$2:$Z$18,$AB$2:$AB$18)-$U39)^2+(_xlfn.XLOOKUP(AI$1,$Z$2:$Z$18,$AC$2:$AC$18-$V39)^2)))</f>
        <v>123.81444705687622</v>
      </c>
      <c r="AJ39" s="150">
        <f t="array" ref="AJ39">IF(AJ$1=0,"",SQRT((_xlfn.XLOOKUP(AJ$1,$Z$2:$Z$18,$AA$2:$AA$18)-$T39)^2+(_xlfn.XLOOKUP(AJ$1,$Z$2:$Z$18,$AB$2:$AB$18)-$U39)^2+(_xlfn.XLOOKUP(AJ$1,$Z$2:$Z$18,$AC$2:$AC$18-$V39)^2)))</f>
        <v>226.27326421828982</v>
      </c>
      <c r="AK39" s="150">
        <f t="array" ref="AK39">IF(AK$1=0,"",SQRT((_xlfn.XLOOKUP(AK$1,$Z$2:$Z$18,$AA$2:$AA$18)-$T39)^2+(_xlfn.XLOOKUP(AK$1,$Z$2:$Z$18,$AB$2:$AB$18)-$U39)^2+(_xlfn.XLOOKUP(AK$1,$Z$2:$Z$18,$AC$2:$AC$18-$V39)^2)))</f>
        <v>330.89448786584524</v>
      </c>
      <c r="AL39" s="150">
        <f t="array" ref="AL39">IF(AL$1=0,"",SQRT((_xlfn.XLOOKUP(AL$1,$Z$2:$Z$18,$AA$2:$AA$18)-$T39)^2+(_xlfn.XLOOKUP(AL$1,$Z$2:$Z$18,$AB$2:$AB$18)-$U39)^2+(_xlfn.XLOOKUP(AL$1,$Z$2:$Z$18,$AC$2:$AC$18-$V39)^2)))</f>
        <v>218.97662386656708</v>
      </c>
      <c r="AM39" s="150" t="str">
        <f t="array" ref="AM39">IF(AM$1=0,"",SQRT((_xlfn.XLOOKUP(AM$1,$Z$2:$Z$18,$AA$2:$AA$18)-$T39)^2+(_xlfn.XLOOKUP(AM$1,$Z$2:$Z$18,$AB$2:$AB$18)-$U39)^2+(_xlfn.XLOOKUP(AM$1,$Z$2:$Z$18,$AC$2:$AC$18-$V39)^2)))</f>
        <v/>
      </c>
      <c r="AN39" s="150" t="str">
        <f t="array" ref="AN39">IF(AN$1=0,"",SQRT((_xlfn.XLOOKUP(AN$1,$Z$2:$Z$18,$AA$2:$AA$18)-$T39)^2+(_xlfn.XLOOKUP(AN$1,$Z$2:$Z$18,$AB$2:$AB$18)-$U39)^2+(_xlfn.XLOOKUP(AN$1,$Z$2:$Z$18,$AC$2:$AC$18-$V39)^2)))</f>
        <v/>
      </c>
      <c r="AO39" s="150" t="str">
        <f t="array" ref="AO39">IF(AO$1=0,"",SQRT((_xlfn.XLOOKUP(AO$1,$Z$2:$Z$18,$AA$2:$AA$18)-$T39)^2+(_xlfn.XLOOKUP(AO$1,$Z$2:$Z$18,$AB$2:$AB$18)-$U39)^2+(_xlfn.XLOOKUP(AO$1,$Z$2:$Z$18,$AC$2:$AC$18-$V39)^2)))</f>
        <v/>
      </c>
      <c r="AP39" s="151" t="str">
        <f t="array" ref="AP39">IF(AP$1=0,"",SQRT((_xlfn.XLOOKUP(AP$1,$Z$2:$Z$18,$AA$2:$AA$18)-$T39)^2+(_xlfn.XLOOKUP(AP$1,$Z$2:$Z$18,$AB$2:$AB$18)-$U39)^2+(_xlfn.XLOOKUP(AP$1,$Z$2:$Z$18,$AC$2:$AC$18-$V39)^2)))</f>
        <v/>
      </c>
      <c r="AQ39" s="151" t="str">
        <f t="array" ref="AQ39">IF(AQ$1=0,"",SQRT((_xlfn.XLOOKUP(AQ$1,$Z$2:$Z$18,$AA$2:$AA$18)-$T39)^2+(_xlfn.XLOOKUP(AQ$1,$Z$2:$Z$18,$AB$2:$AB$18)-$U39)^2+(_xlfn.XLOOKUP(AQ$1,$Z$2:$Z$18,$AC$2:$AC$18-$V39)^2)))</f>
        <v/>
      </c>
      <c r="AR39" s="151" t="str">
        <f t="array" ref="AR39">IF(AR$1=0,"",SQRT((_xlfn.XLOOKUP(AR$1,$Z$2:$Z$18,$AA$2:$AA$18)-$T39)^2+(_xlfn.XLOOKUP(AR$1,$Z$2:$Z$18,$AB$2:$AB$18)-$U39)^2+(_xlfn.XLOOKUP(AR$1,$Z$2:$Z$18,$AC$2:$AC$18-$V39)^2)))</f>
        <v/>
      </c>
      <c r="AS39" s="151" t="str">
        <f t="array" ref="AS39">IF(AS$1=0,"",SQRT((_xlfn.XLOOKUP(AS$1,$Z$2:$Z$18,$AA$2:$AA$18)-$T39)^2+(_xlfn.XLOOKUP(AS$1,$Z$2:$Z$18,$AB$2:$AB$18)-$U39)^2+(_xlfn.XLOOKUP(AS$1,$Z$2:$Z$18,$AC$2:$AC$18-$V39)^2)))</f>
        <v/>
      </c>
      <c r="AT39" s="151" t="str">
        <f t="array" ref="AT39">IF(AT$1=0,"",SQRT((_xlfn.XLOOKUP(AT$1,$Z$2:$Z$18,$AA$2:$AA$18)-$T39)^2+(_xlfn.XLOOKUP(AT$1,$Z$2:$Z$18,$AB$2:$AB$18)-$U39)^2+(_xlfn.XLOOKUP(AT$1,$Z$2:$Z$18,$AC$2:$AC$18-$V39)^2)))</f>
        <v/>
      </c>
      <c r="AU39" s="151" t="str">
        <f t="array" ref="AU39">IF(AU$1=0,"",SQRT((_xlfn.XLOOKUP(AU$1,$Z$2:$Z$18,$AA$2:$AA$18)-$T39)^2+(_xlfn.XLOOKUP(AU$1,$Z$2:$Z$18,$AB$2:$AB$18)-$U39)^2+(_xlfn.XLOOKUP(AU$1,$Z$2:$Z$18,$AC$2:$AC$18-$V39)^2)))</f>
        <v/>
      </c>
      <c r="AV39" s="152" t="str">
        <f t="array" ref="AV39">IF(AV$1=0,"",SQRT((_xlfn.XLOOKUP(AV$1,$Z$2:$Z$18,$AA$2:$AA$18)-$T39)^2+(_xlfn.XLOOKUP(AV$1,$Z$2:$Z$18,$AB$2:$AB$18)-$U39)^2+(_xlfn.XLOOKUP(AV$1,$Z$2:$Z$18,$AC$2:$AC$18-$V39)^2)))</f>
        <v/>
      </c>
      <c r="AW39" s="134"/>
      <c r="AX39" s="134"/>
      <c r="AY39" s="135">
        <f t="shared" si="51"/>
        <v>0</v>
      </c>
      <c r="AZ39" s="153">
        <f t="shared" si="52"/>
        <v>0</v>
      </c>
      <c r="BA39" s="153">
        <f t="shared" si="53"/>
        <v>0</v>
      </c>
      <c r="BB39" s="153">
        <f t="shared" si="54"/>
        <v>0</v>
      </c>
      <c r="BC39" s="153">
        <f t="shared" si="55"/>
        <v>0</v>
      </c>
      <c r="BD39" s="153">
        <f t="shared" si="56"/>
        <v>0</v>
      </c>
      <c r="BE39" s="153">
        <f t="shared" si="57"/>
        <v>0</v>
      </c>
      <c r="BF39" s="153">
        <f t="shared" si="58"/>
        <v>0</v>
      </c>
      <c r="BG39" s="154">
        <f t="shared" si="59"/>
        <v>0</v>
      </c>
      <c r="BH39" s="154">
        <f t="shared" si="60"/>
        <v>0</v>
      </c>
      <c r="BI39" s="154">
        <f t="shared" si="61"/>
        <v>0</v>
      </c>
      <c r="BJ39" s="154">
        <f t="shared" si="62"/>
        <v>0</v>
      </c>
      <c r="BK39" s="154">
        <f t="shared" si="63"/>
        <v>0</v>
      </c>
      <c r="BL39" s="154">
        <f t="shared" si="64"/>
        <v>0</v>
      </c>
      <c r="BM39" s="155">
        <f t="shared" si="65"/>
        <v>0</v>
      </c>
      <c r="BN39" s="134"/>
      <c r="BO39" s="56">
        <v>0</v>
      </c>
      <c r="BP39" s="56">
        <v>0</v>
      </c>
      <c r="BQ39" s="21"/>
      <c r="BR39" s="134"/>
      <c r="BS39" s="134"/>
      <c r="BT39" s="134"/>
      <c r="BU39" s="134"/>
      <c r="BV39" s="140"/>
      <c r="BW39" s="140"/>
      <c r="BX39" s="140"/>
      <c r="BY39" s="140"/>
      <c r="BZ39" s="140"/>
      <c r="CA39" s="140"/>
      <c r="CB39" s="140"/>
      <c r="CC39" s="140"/>
      <c r="CD39" s="140"/>
      <c r="CE39" s="140"/>
      <c r="CF39" s="140"/>
      <c r="CG39" s="140"/>
      <c r="CH39" s="140"/>
      <c r="CI39" s="140"/>
      <c r="CJ39" s="140"/>
      <c r="CK39" s="134"/>
      <c r="CL39" s="134"/>
      <c r="CM39" s="169">
        <f t="shared" ref="CM39:CM58" si="66">IF( CM$1= 0,"",$Q39-$S39+AY39-BV39)</f>
        <v>0</v>
      </c>
      <c r="CN39" s="170">
        <f t="shared" ref="CN39:CN58" si="67">IF( CN$1= 0,"",$Q39-$S39+AZ39-BW39)</f>
        <v>0</v>
      </c>
      <c r="CO39" s="170">
        <f t="shared" ref="CO39:CO58" si="68">IF( CO$1= 0,"",$Q39-$S39+BA39-BX39)</f>
        <v>0</v>
      </c>
      <c r="CP39" s="170">
        <f t="shared" ref="CP39:CP58" si="69">IF( CP$1= 0,"",$Q39-$S39+BB39-BY39)</f>
        <v>0</v>
      </c>
      <c r="CQ39" s="170">
        <f t="shared" ref="CQ39:CQ58" si="70">IF( CQ$1= 0,"",$Q39-$S39+BC39-BZ39)</f>
        <v>0</v>
      </c>
      <c r="CR39" s="170" t="str">
        <f t="shared" ref="CR39:CR58" si="71">IF( CR$1= 0,"",$Q39-$S39+BD39-CA39)</f>
        <v/>
      </c>
      <c r="CS39" s="170" t="str">
        <f t="shared" ref="CS39:CS58" si="72">IF( CS$1= 0,"",$Q39-$S39+BE39-CB39)</f>
        <v/>
      </c>
      <c r="CT39" s="170" t="str">
        <f t="shared" ref="CT39:CT58" si="73">IF( CT$1= 0,"",$Q39-$S39+BF39-CC39)</f>
        <v/>
      </c>
      <c r="CU39" s="172" t="str">
        <f t="shared" ref="CU39:CU58" si="74">IF( CU$1= 0,"",$Q39-$S39+BG39-CD39)</f>
        <v/>
      </c>
      <c r="CV39" s="172" t="str">
        <f t="shared" ref="CV39:CV58" si="75">IF( CV$1= 0,"",$Q39-$S39+BH39-CE39)</f>
        <v/>
      </c>
      <c r="CW39" s="172" t="str">
        <f t="shared" ref="CW39:CW58" si="76">IF( CW$1= 0,"",$Q39-$S39+BI39-CF39)</f>
        <v/>
      </c>
      <c r="CX39" s="172" t="str">
        <f t="shared" ref="CX39:CX58" si="77">IF( CX$1= 0,"",$Q39-$S39+BJ39-CG39)</f>
        <v/>
      </c>
      <c r="CY39" s="172" t="str">
        <f t="shared" ref="CY39:CY58" si="78">IF( CY$1= 0,"",$Q39-$S39+BK39-CH39)</f>
        <v/>
      </c>
      <c r="CZ39" s="172" t="str">
        <f t="shared" ref="CZ39:CZ58" si="79">IF( CZ$1= 0,"",$Q39-$S39+BL39-CI39)</f>
        <v/>
      </c>
      <c r="DA39" s="173" t="str">
        <f t="shared" ref="DA39:DA58" si="80">IF( DA$1= 0,"",$Q39-$S39+BM39-CJ39)</f>
        <v/>
      </c>
    </row>
    <row r="40" spans="1:105" ht="16.5" customHeight="1" x14ac:dyDescent="0.3">
      <c r="A40" s="145"/>
      <c r="B40" s="146"/>
      <c r="C40" s="146"/>
      <c r="D40" s="147"/>
      <c r="E40" s="202"/>
      <c r="F40" s="210"/>
      <c r="G40" s="211"/>
      <c r="H40" s="211"/>
      <c r="I40" s="211"/>
      <c r="J40" s="211"/>
      <c r="K40" s="211"/>
      <c r="L40" s="211"/>
      <c r="M40" s="215"/>
      <c r="N40" s="210"/>
      <c r="O40" s="212"/>
      <c r="P40" s="205"/>
      <c r="Q40" s="128">
        <f t="shared" si="34"/>
        <v>0</v>
      </c>
      <c r="R40" s="3"/>
      <c r="S40" s="3"/>
      <c r="T40" s="4"/>
      <c r="U40" s="4"/>
      <c r="V40" s="109">
        <f t="shared" si="50"/>
        <v>0</v>
      </c>
      <c r="W40" s="171"/>
      <c r="X40" s="148"/>
      <c r="Z40" s="115" t="s">
        <v>191</v>
      </c>
      <c r="AA40" s="113">
        <v>162.36000000000001</v>
      </c>
      <c r="AB40" s="52">
        <v>146.08000000000001</v>
      </c>
      <c r="AC40" s="106">
        <v>75.400000000000006</v>
      </c>
      <c r="AD40" s="52">
        <v>69.52</v>
      </c>
      <c r="AE40" s="52">
        <v>127.6</v>
      </c>
      <c r="AF40" s="53">
        <v>75.400000000000006</v>
      </c>
      <c r="AH40" s="168">
        <f t="array" ref="AH40">IF(AH$1=0,"",SQRT((_xlfn.XLOOKUP(AH$1,$Z$2:$Z$18,$AA$2:$AA$18)-$T40)^2+(_xlfn.XLOOKUP(AH$1,$Z$2:$Z$18,$AB$2:$AB$18)-$U40)^2+(_xlfn.XLOOKUP(AH$1,$Z$2:$Z$18,$AC$2:$AC$18-$V40)^2)))</f>
        <v>112.53151914019467</v>
      </c>
      <c r="AI40" s="150">
        <f t="array" ref="AI40">IF(AI$1=0,"",SQRT((_xlfn.XLOOKUP(AI$1,$Z$2:$Z$18,$AA$2:$AA$18)-$T40)^2+(_xlfn.XLOOKUP(AI$1,$Z$2:$Z$18,$AB$2:$AB$18)-$U40)^2+(_xlfn.XLOOKUP(AI$1,$Z$2:$Z$18,$AC$2:$AC$18-$V40)^2)))</f>
        <v>123.81444705687622</v>
      </c>
      <c r="AJ40" s="150">
        <f t="array" ref="AJ40">IF(AJ$1=0,"",SQRT((_xlfn.XLOOKUP(AJ$1,$Z$2:$Z$18,$AA$2:$AA$18)-$T40)^2+(_xlfn.XLOOKUP(AJ$1,$Z$2:$Z$18,$AB$2:$AB$18)-$U40)^2+(_xlfn.XLOOKUP(AJ$1,$Z$2:$Z$18,$AC$2:$AC$18-$V40)^2)))</f>
        <v>226.27326421828982</v>
      </c>
      <c r="AK40" s="150">
        <f t="array" ref="AK40">IF(AK$1=0,"",SQRT((_xlfn.XLOOKUP(AK$1,$Z$2:$Z$18,$AA$2:$AA$18)-$T40)^2+(_xlfn.XLOOKUP(AK$1,$Z$2:$Z$18,$AB$2:$AB$18)-$U40)^2+(_xlfn.XLOOKUP(AK$1,$Z$2:$Z$18,$AC$2:$AC$18-$V40)^2)))</f>
        <v>330.89448786584524</v>
      </c>
      <c r="AL40" s="150">
        <f t="array" ref="AL40">IF(AL$1=0,"",SQRT((_xlfn.XLOOKUP(AL$1,$Z$2:$Z$18,$AA$2:$AA$18)-$T40)^2+(_xlfn.XLOOKUP(AL$1,$Z$2:$Z$18,$AB$2:$AB$18)-$U40)^2+(_xlfn.XLOOKUP(AL$1,$Z$2:$Z$18,$AC$2:$AC$18-$V40)^2)))</f>
        <v>218.97662386656708</v>
      </c>
      <c r="AM40" s="150" t="str">
        <f t="array" ref="AM40">IF(AM$1=0,"",SQRT((_xlfn.XLOOKUP(AM$1,$Z$2:$Z$18,$AA$2:$AA$18)-$T40)^2+(_xlfn.XLOOKUP(AM$1,$Z$2:$Z$18,$AB$2:$AB$18)-$U40)^2+(_xlfn.XLOOKUP(AM$1,$Z$2:$Z$18,$AC$2:$AC$18-$V40)^2)))</f>
        <v/>
      </c>
      <c r="AN40" s="150" t="str">
        <f t="array" ref="AN40">IF(AN$1=0,"",SQRT((_xlfn.XLOOKUP(AN$1,$Z$2:$Z$18,$AA$2:$AA$18)-$T40)^2+(_xlfn.XLOOKUP(AN$1,$Z$2:$Z$18,$AB$2:$AB$18)-$U40)^2+(_xlfn.XLOOKUP(AN$1,$Z$2:$Z$18,$AC$2:$AC$18-$V40)^2)))</f>
        <v/>
      </c>
      <c r="AO40" s="150" t="str">
        <f t="array" ref="AO40">IF(AO$1=0,"",SQRT((_xlfn.XLOOKUP(AO$1,$Z$2:$Z$18,$AA$2:$AA$18)-$T40)^2+(_xlfn.XLOOKUP(AO$1,$Z$2:$Z$18,$AB$2:$AB$18)-$U40)^2+(_xlfn.XLOOKUP(AO$1,$Z$2:$Z$18,$AC$2:$AC$18-$V40)^2)))</f>
        <v/>
      </c>
      <c r="AP40" s="151" t="str">
        <f t="array" ref="AP40">IF(AP$1=0,"",SQRT((_xlfn.XLOOKUP(AP$1,$Z$2:$Z$18,$AA$2:$AA$18)-$T40)^2+(_xlfn.XLOOKUP(AP$1,$Z$2:$Z$18,$AB$2:$AB$18)-$U40)^2+(_xlfn.XLOOKUP(AP$1,$Z$2:$Z$18,$AC$2:$AC$18-$V40)^2)))</f>
        <v/>
      </c>
      <c r="AQ40" s="151" t="str">
        <f t="array" ref="AQ40">IF(AQ$1=0,"",SQRT((_xlfn.XLOOKUP(AQ$1,$Z$2:$Z$18,$AA$2:$AA$18)-$T40)^2+(_xlfn.XLOOKUP(AQ$1,$Z$2:$Z$18,$AB$2:$AB$18)-$U40)^2+(_xlfn.XLOOKUP(AQ$1,$Z$2:$Z$18,$AC$2:$AC$18-$V40)^2)))</f>
        <v/>
      </c>
      <c r="AR40" s="151" t="str">
        <f t="array" ref="AR40">IF(AR$1=0,"",SQRT((_xlfn.XLOOKUP(AR$1,$Z$2:$Z$18,$AA$2:$AA$18)-$T40)^2+(_xlfn.XLOOKUP(AR$1,$Z$2:$Z$18,$AB$2:$AB$18)-$U40)^2+(_xlfn.XLOOKUP(AR$1,$Z$2:$Z$18,$AC$2:$AC$18-$V40)^2)))</f>
        <v/>
      </c>
      <c r="AS40" s="151" t="str">
        <f t="array" ref="AS40">IF(AS$1=0,"",SQRT((_xlfn.XLOOKUP(AS$1,$Z$2:$Z$18,$AA$2:$AA$18)-$T40)^2+(_xlfn.XLOOKUP(AS$1,$Z$2:$Z$18,$AB$2:$AB$18)-$U40)^2+(_xlfn.XLOOKUP(AS$1,$Z$2:$Z$18,$AC$2:$AC$18-$V40)^2)))</f>
        <v/>
      </c>
      <c r="AT40" s="151" t="str">
        <f t="array" ref="AT40">IF(AT$1=0,"",SQRT((_xlfn.XLOOKUP(AT$1,$Z$2:$Z$18,$AA$2:$AA$18)-$T40)^2+(_xlfn.XLOOKUP(AT$1,$Z$2:$Z$18,$AB$2:$AB$18)-$U40)^2+(_xlfn.XLOOKUP(AT$1,$Z$2:$Z$18,$AC$2:$AC$18-$V40)^2)))</f>
        <v/>
      </c>
      <c r="AU40" s="151" t="str">
        <f t="array" ref="AU40">IF(AU$1=0,"",SQRT((_xlfn.XLOOKUP(AU$1,$Z$2:$Z$18,$AA$2:$AA$18)-$T40)^2+(_xlfn.XLOOKUP(AU$1,$Z$2:$Z$18,$AB$2:$AB$18)-$U40)^2+(_xlfn.XLOOKUP(AU$1,$Z$2:$Z$18,$AC$2:$AC$18-$V40)^2)))</f>
        <v/>
      </c>
      <c r="AV40" s="152" t="str">
        <f t="array" ref="AV40">IF(AV$1=0,"",SQRT((_xlfn.XLOOKUP(AV$1,$Z$2:$Z$18,$AA$2:$AA$18)-$T40)^2+(_xlfn.XLOOKUP(AV$1,$Z$2:$Z$18,$AB$2:$AB$18)-$U40)^2+(_xlfn.XLOOKUP(AV$1,$Z$2:$Z$18,$AC$2:$AC$18-$V40)^2)))</f>
        <v/>
      </c>
      <c r="AW40" s="134"/>
      <c r="AX40" s="134"/>
      <c r="AY40" s="135">
        <f t="shared" si="51"/>
        <v>0</v>
      </c>
      <c r="AZ40" s="153">
        <f t="shared" si="52"/>
        <v>0</v>
      </c>
      <c r="BA40" s="153">
        <f t="shared" si="53"/>
        <v>0</v>
      </c>
      <c r="BB40" s="153">
        <f t="shared" si="54"/>
        <v>0</v>
      </c>
      <c r="BC40" s="153">
        <f t="shared" si="55"/>
        <v>0</v>
      </c>
      <c r="BD40" s="153">
        <f t="shared" si="56"/>
        <v>0</v>
      </c>
      <c r="BE40" s="153">
        <f t="shared" si="57"/>
        <v>0</v>
      </c>
      <c r="BF40" s="153">
        <f t="shared" si="58"/>
        <v>0</v>
      </c>
      <c r="BG40" s="154">
        <f t="shared" si="59"/>
        <v>0</v>
      </c>
      <c r="BH40" s="154">
        <f t="shared" si="60"/>
        <v>0</v>
      </c>
      <c r="BI40" s="154">
        <f t="shared" si="61"/>
        <v>0</v>
      </c>
      <c r="BJ40" s="154">
        <f t="shared" si="62"/>
        <v>0</v>
      </c>
      <c r="BK40" s="154">
        <f t="shared" si="63"/>
        <v>0</v>
      </c>
      <c r="BL40" s="154">
        <f t="shared" si="64"/>
        <v>0</v>
      </c>
      <c r="BM40" s="155">
        <f t="shared" si="65"/>
        <v>0</v>
      </c>
      <c r="BN40" s="134"/>
      <c r="BO40" s="56">
        <v>0.5</v>
      </c>
      <c r="BP40" s="56">
        <v>4</v>
      </c>
      <c r="BQ40" s="21"/>
      <c r="BR40" s="134"/>
      <c r="BS40" s="134"/>
      <c r="BT40" s="134"/>
      <c r="BU40" s="134"/>
      <c r="BV40" s="140"/>
      <c r="BW40" s="140"/>
      <c r="BX40" s="140"/>
      <c r="BY40" s="140"/>
      <c r="BZ40" s="140"/>
      <c r="CA40" s="140"/>
      <c r="CB40" s="140"/>
      <c r="CC40" s="140"/>
      <c r="CD40" s="140"/>
      <c r="CE40" s="140"/>
      <c r="CF40" s="140"/>
      <c r="CG40" s="140"/>
      <c r="CH40" s="140"/>
      <c r="CI40" s="140"/>
      <c r="CJ40" s="140"/>
      <c r="CK40" s="134"/>
      <c r="CL40" s="134"/>
      <c r="CM40" s="169">
        <f t="shared" si="66"/>
        <v>0</v>
      </c>
      <c r="CN40" s="170">
        <f t="shared" si="67"/>
        <v>0</v>
      </c>
      <c r="CO40" s="170">
        <f t="shared" si="68"/>
        <v>0</v>
      </c>
      <c r="CP40" s="170">
        <f t="shared" si="69"/>
        <v>0</v>
      </c>
      <c r="CQ40" s="170">
        <f t="shared" si="70"/>
        <v>0</v>
      </c>
      <c r="CR40" s="170" t="str">
        <f t="shared" si="71"/>
        <v/>
      </c>
      <c r="CS40" s="170" t="str">
        <f t="shared" si="72"/>
        <v/>
      </c>
      <c r="CT40" s="170" t="str">
        <f t="shared" si="73"/>
        <v/>
      </c>
      <c r="CU40" s="172" t="str">
        <f t="shared" si="74"/>
        <v/>
      </c>
      <c r="CV40" s="172" t="str">
        <f t="shared" si="75"/>
        <v/>
      </c>
      <c r="CW40" s="172" t="str">
        <f t="shared" si="76"/>
        <v/>
      </c>
      <c r="CX40" s="172" t="str">
        <f t="shared" si="77"/>
        <v/>
      </c>
      <c r="CY40" s="172" t="str">
        <f t="shared" si="78"/>
        <v/>
      </c>
      <c r="CZ40" s="172" t="str">
        <f t="shared" si="79"/>
        <v/>
      </c>
      <c r="DA40" s="173" t="str">
        <f t="shared" si="80"/>
        <v/>
      </c>
    </row>
    <row r="41" spans="1:105" ht="16.5" customHeight="1" x14ac:dyDescent="0.3">
      <c r="A41" s="145"/>
      <c r="B41" s="146"/>
      <c r="C41" s="146"/>
      <c r="D41" s="147"/>
      <c r="E41" s="202"/>
      <c r="F41" s="210"/>
      <c r="G41" s="211"/>
      <c r="H41" s="211"/>
      <c r="I41" s="211"/>
      <c r="J41" s="211"/>
      <c r="K41" s="211"/>
      <c r="L41" s="211"/>
      <c r="M41" s="215"/>
      <c r="N41" s="210"/>
      <c r="O41" s="212"/>
      <c r="P41" s="205"/>
      <c r="Q41" s="128">
        <f t="shared" si="34"/>
        <v>0</v>
      </c>
      <c r="R41" s="3"/>
      <c r="S41" s="3"/>
      <c r="T41" s="4"/>
      <c r="U41" s="4"/>
      <c r="V41" s="109">
        <f t="shared" si="50"/>
        <v>0</v>
      </c>
      <c r="W41" s="171"/>
      <c r="X41" s="148"/>
      <c r="Z41" s="115" t="s">
        <v>192</v>
      </c>
      <c r="AA41" s="113">
        <v>71.94</v>
      </c>
      <c r="AB41" s="52">
        <v>115.39</v>
      </c>
      <c r="AC41" s="106">
        <v>75.400000000000006</v>
      </c>
      <c r="AD41" s="52">
        <v>69.52</v>
      </c>
      <c r="AE41" s="52">
        <v>127.16</v>
      </c>
      <c r="AF41" s="53">
        <v>75.400000000000006</v>
      </c>
      <c r="AH41" s="168">
        <f t="array" ref="AH41">IF(AH$1=0,"",SQRT((_xlfn.XLOOKUP(AH$1,$Z$2:$Z$18,$AA$2:$AA$18)-$T41)^2+(_xlfn.XLOOKUP(AH$1,$Z$2:$Z$18,$AB$2:$AB$18)-$U41)^2+(_xlfn.XLOOKUP(AH$1,$Z$2:$Z$18,$AC$2:$AC$18-$V41)^2)))</f>
        <v>112.53151914019467</v>
      </c>
      <c r="AI41" s="150">
        <f t="array" ref="AI41">IF(AI$1=0,"",SQRT((_xlfn.XLOOKUP(AI$1,$Z$2:$Z$18,$AA$2:$AA$18)-$T41)^2+(_xlfn.XLOOKUP(AI$1,$Z$2:$Z$18,$AB$2:$AB$18)-$U41)^2+(_xlfn.XLOOKUP(AI$1,$Z$2:$Z$18,$AC$2:$AC$18-$V41)^2)))</f>
        <v>123.81444705687622</v>
      </c>
      <c r="AJ41" s="150">
        <f t="array" ref="AJ41">IF(AJ$1=0,"",SQRT((_xlfn.XLOOKUP(AJ$1,$Z$2:$Z$18,$AA$2:$AA$18)-$T41)^2+(_xlfn.XLOOKUP(AJ$1,$Z$2:$Z$18,$AB$2:$AB$18)-$U41)^2+(_xlfn.XLOOKUP(AJ$1,$Z$2:$Z$18,$AC$2:$AC$18-$V41)^2)))</f>
        <v>226.27326421828982</v>
      </c>
      <c r="AK41" s="150">
        <f t="array" ref="AK41">IF(AK$1=0,"",SQRT((_xlfn.XLOOKUP(AK$1,$Z$2:$Z$18,$AA$2:$AA$18)-$T41)^2+(_xlfn.XLOOKUP(AK$1,$Z$2:$Z$18,$AB$2:$AB$18)-$U41)^2+(_xlfn.XLOOKUP(AK$1,$Z$2:$Z$18,$AC$2:$AC$18-$V41)^2)))</f>
        <v>330.89448786584524</v>
      </c>
      <c r="AL41" s="150">
        <f t="array" ref="AL41">IF(AL$1=0,"",SQRT((_xlfn.XLOOKUP(AL$1,$Z$2:$Z$18,$AA$2:$AA$18)-$T41)^2+(_xlfn.XLOOKUP(AL$1,$Z$2:$Z$18,$AB$2:$AB$18)-$U41)^2+(_xlfn.XLOOKUP(AL$1,$Z$2:$Z$18,$AC$2:$AC$18-$V41)^2)))</f>
        <v>218.97662386656708</v>
      </c>
      <c r="AM41" s="150" t="str">
        <f t="array" ref="AM41">IF(AM$1=0,"",SQRT((_xlfn.XLOOKUP(AM$1,$Z$2:$Z$18,$AA$2:$AA$18)-$T41)^2+(_xlfn.XLOOKUP(AM$1,$Z$2:$Z$18,$AB$2:$AB$18)-$U41)^2+(_xlfn.XLOOKUP(AM$1,$Z$2:$Z$18,$AC$2:$AC$18-$V41)^2)))</f>
        <v/>
      </c>
      <c r="AN41" s="150" t="str">
        <f t="array" ref="AN41">IF(AN$1=0,"",SQRT((_xlfn.XLOOKUP(AN$1,$Z$2:$Z$18,$AA$2:$AA$18)-$T41)^2+(_xlfn.XLOOKUP(AN$1,$Z$2:$Z$18,$AB$2:$AB$18)-$U41)^2+(_xlfn.XLOOKUP(AN$1,$Z$2:$Z$18,$AC$2:$AC$18-$V41)^2)))</f>
        <v/>
      </c>
      <c r="AO41" s="150" t="str">
        <f t="array" ref="AO41">IF(AO$1=0,"",SQRT((_xlfn.XLOOKUP(AO$1,$Z$2:$Z$18,$AA$2:$AA$18)-$T41)^2+(_xlfn.XLOOKUP(AO$1,$Z$2:$Z$18,$AB$2:$AB$18)-$U41)^2+(_xlfn.XLOOKUP(AO$1,$Z$2:$Z$18,$AC$2:$AC$18-$V41)^2)))</f>
        <v/>
      </c>
      <c r="AP41" s="151" t="str">
        <f t="array" ref="AP41">IF(AP$1=0,"",SQRT((_xlfn.XLOOKUP(AP$1,$Z$2:$Z$18,$AA$2:$AA$18)-$T41)^2+(_xlfn.XLOOKUP(AP$1,$Z$2:$Z$18,$AB$2:$AB$18)-$U41)^2+(_xlfn.XLOOKUP(AP$1,$Z$2:$Z$18,$AC$2:$AC$18-$V41)^2)))</f>
        <v/>
      </c>
      <c r="AQ41" s="151" t="str">
        <f t="array" ref="AQ41">IF(AQ$1=0,"",SQRT((_xlfn.XLOOKUP(AQ$1,$Z$2:$Z$18,$AA$2:$AA$18)-$T41)^2+(_xlfn.XLOOKUP(AQ$1,$Z$2:$Z$18,$AB$2:$AB$18)-$U41)^2+(_xlfn.XLOOKUP(AQ$1,$Z$2:$Z$18,$AC$2:$AC$18-$V41)^2)))</f>
        <v/>
      </c>
      <c r="AR41" s="151" t="str">
        <f t="array" ref="AR41">IF(AR$1=0,"",SQRT((_xlfn.XLOOKUP(AR$1,$Z$2:$Z$18,$AA$2:$AA$18)-$T41)^2+(_xlfn.XLOOKUP(AR$1,$Z$2:$Z$18,$AB$2:$AB$18)-$U41)^2+(_xlfn.XLOOKUP(AR$1,$Z$2:$Z$18,$AC$2:$AC$18-$V41)^2)))</f>
        <v/>
      </c>
      <c r="AS41" s="151" t="str">
        <f t="array" ref="AS41">IF(AS$1=0,"",SQRT((_xlfn.XLOOKUP(AS$1,$Z$2:$Z$18,$AA$2:$AA$18)-$T41)^2+(_xlfn.XLOOKUP(AS$1,$Z$2:$Z$18,$AB$2:$AB$18)-$U41)^2+(_xlfn.XLOOKUP(AS$1,$Z$2:$Z$18,$AC$2:$AC$18-$V41)^2)))</f>
        <v/>
      </c>
      <c r="AT41" s="151" t="str">
        <f t="array" ref="AT41">IF(AT$1=0,"",SQRT((_xlfn.XLOOKUP(AT$1,$Z$2:$Z$18,$AA$2:$AA$18)-$T41)^2+(_xlfn.XLOOKUP(AT$1,$Z$2:$Z$18,$AB$2:$AB$18)-$U41)^2+(_xlfn.XLOOKUP(AT$1,$Z$2:$Z$18,$AC$2:$AC$18-$V41)^2)))</f>
        <v/>
      </c>
      <c r="AU41" s="151" t="str">
        <f t="array" ref="AU41">IF(AU$1=0,"",SQRT((_xlfn.XLOOKUP(AU$1,$Z$2:$Z$18,$AA$2:$AA$18)-$T41)^2+(_xlfn.XLOOKUP(AU$1,$Z$2:$Z$18,$AB$2:$AB$18)-$U41)^2+(_xlfn.XLOOKUP(AU$1,$Z$2:$Z$18,$AC$2:$AC$18-$V41)^2)))</f>
        <v/>
      </c>
      <c r="AV41" s="152" t="str">
        <f t="array" ref="AV41">IF(AV$1=0,"",SQRT((_xlfn.XLOOKUP(AV$1,$Z$2:$Z$18,$AA$2:$AA$18)-$T41)^2+(_xlfn.XLOOKUP(AV$1,$Z$2:$Z$18,$AB$2:$AB$18)-$U41)^2+(_xlfn.XLOOKUP(AV$1,$Z$2:$Z$18,$AC$2:$AC$18-$V41)^2)))</f>
        <v/>
      </c>
      <c r="AW41" s="134"/>
      <c r="AX41" s="134"/>
      <c r="AY41" s="135">
        <f t="shared" si="51"/>
        <v>0</v>
      </c>
      <c r="AZ41" s="153">
        <f t="shared" si="52"/>
        <v>0</v>
      </c>
      <c r="BA41" s="153">
        <f t="shared" si="53"/>
        <v>0</v>
      </c>
      <c r="BB41" s="153">
        <f t="shared" si="54"/>
        <v>0</v>
      </c>
      <c r="BC41" s="153">
        <f t="shared" si="55"/>
        <v>0</v>
      </c>
      <c r="BD41" s="153">
        <f t="shared" si="56"/>
        <v>0</v>
      </c>
      <c r="BE41" s="153">
        <f t="shared" si="57"/>
        <v>0</v>
      </c>
      <c r="BF41" s="153">
        <f t="shared" si="58"/>
        <v>0</v>
      </c>
      <c r="BG41" s="154">
        <f t="shared" si="59"/>
        <v>0</v>
      </c>
      <c r="BH41" s="154">
        <f t="shared" si="60"/>
        <v>0</v>
      </c>
      <c r="BI41" s="154">
        <f t="shared" si="61"/>
        <v>0</v>
      </c>
      <c r="BJ41" s="154">
        <f t="shared" si="62"/>
        <v>0</v>
      </c>
      <c r="BK41" s="154">
        <f t="shared" si="63"/>
        <v>0</v>
      </c>
      <c r="BL41" s="154">
        <f t="shared" si="64"/>
        <v>0</v>
      </c>
      <c r="BM41" s="155">
        <f t="shared" si="65"/>
        <v>0</v>
      </c>
      <c r="BN41" s="134"/>
      <c r="BO41" s="56">
        <v>1</v>
      </c>
      <c r="BP41" s="56">
        <v>7</v>
      </c>
      <c r="BQ41" s="21"/>
      <c r="BR41" s="134"/>
      <c r="BS41" s="134"/>
      <c r="BT41" s="134"/>
      <c r="BU41" s="134"/>
      <c r="BV41" s="140"/>
      <c r="BW41" s="140"/>
      <c r="BX41" s="140"/>
      <c r="BY41" s="140"/>
      <c r="BZ41" s="140"/>
      <c r="CA41" s="140"/>
      <c r="CB41" s="140"/>
      <c r="CC41" s="140"/>
      <c r="CD41" s="140"/>
      <c r="CE41" s="140"/>
      <c r="CF41" s="140"/>
      <c r="CG41" s="140"/>
      <c r="CH41" s="140"/>
      <c r="CI41" s="140"/>
      <c r="CJ41" s="140"/>
      <c r="CK41" s="134"/>
      <c r="CL41" s="134"/>
      <c r="CM41" s="169">
        <f t="shared" si="66"/>
        <v>0</v>
      </c>
      <c r="CN41" s="170">
        <f t="shared" si="67"/>
        <v>0</v>
      </c>
      <c r="CO41" s="170">
        <f t="shared" si="68"/>
        <v>0</v>
      </c>
      <c r="CP41" s="170">
        <f t="shared" si="69"/>
        <v>0</v>
      </c>
      <c r="CQ41" s="170">
        <f t="shared" si="70"/>
        <v>0</v>
      </c>
      <c r="CR41" s="170" t="str">
        <f t="shared" si="71"/>
        <v/>
      </c>
      <c r="CS41" s="170" t="str">
        <f t="shared" si="72"/>
        <v/>
      </c>
      <c r="CT41" s="170" t="str">
        <f t="shared" si="73"/>
        <v/>
      </c>
      <c r="CU41" s="172" t="str">
        <f t="shared" si="74"/>
        <v/>
      </c>
      <c r="CV41" s="172" t="str">
        <f t="shared" si="75"/>
        <v/>
      </c>
      <c r="CW41" s="172" t="str">
        <f t="shared" si="76"/>
        <v/>
      </c>
      <c r="CX41" s="172" t="str">
        <f t="shared" si="77"/>
        <v/>
      </c>
      <c r="CY41" s="172" t="str">
        <f t="shared" si="78"/>
        <v/>
      </c>
      <c r="CZ41" s="172" t="str">
        <f t="shared" si="79"/>
        <v/>
      </c>
      <c r="DA41" s="173" t="str">
        <f t="shared" si="80"/>
        <v/>
      </c>
    </row>
    <row r="42" spans="1:105" ht="16.5" customHeight="1" x14ac:dyDescent="0.3">
      <c r="A42" s="145"/>
      <c r="B42" s="146"/>
      <c r="C42" s="146"/>
      <c r="D42" s="147"/>
      <c r="E42" s="202"/>
      <c r="F42" s="210"/>
      <c r="G42" s="211"/>
      <c r="H42" s="211"/>
      <c r="I42" s="211"/>
      <c r="J42" s="211"/>
      <c r="K42" s="211"/>
      <c r="L42" s="211"/>
      <c r="M42" s="215"/>
      <c r="N42" s="210"/>
      <c r="O42" s="212"/>
      <c r="P42" s="205"/>
      <c r="Q42" s="128">
        <f t="shared" si="34"/>
        <v>0</v>
      </c>
      <c r="R42" s="3"/>
      <c r="S42" s="3"/>
      <c r="T42" s="4"/>
      <c r="U42" s="4"/>
      <c r="V42" s="109">
        <f t="shared" si="50"/>
        <v>0</v>
      </c>
      <c r="W42" s="171"/>
      <c r="X42" s="148"/>
      <c r="Z42" s="115" t="s">
        <v>193</v>
      </c>
      <c r="AA42" s="113">
        <v>64.459999999999994</v>
      </c>
      <c r="AB42" s="52">
        <v>114.18</v>
      </c>
      <c r="AC42" s="106">
        <v>75.400000000000006</v>
      </c>
      <c r="AD42" s="52">
        <v>71.83</v>
      </c>
      <c r="AE42" s="52">
        <v>115.72</v>
      </c>
      <c r="AF42" s="53">
        <v>75.400000000000006</v>
      </c>
      <c r="AH42" s="168">
        <f t="array" ref="AH42">IF(AH$1=0,"",SQRT((_xlfn.XLOOKUP(AH$1,$Z$2:$Z$18,$AA$2:$AA$18)-$T42)^2+(_xlfn.XLOOKUP(AH$1,$Z$2:$Z$18,$AB$2:$AB$18)-$U42)^2+(_xlfn.XLOOKUP(AH$1,$Z$2:$Z$18,$AC$2:$AC$18-$V42)^2)))</f>
        <v>112.53151914019467</v>
      </c>
      <c r="AI42" s="150">
        <f t="array" ref="AI42">IF(AI$1=0,"",SQRT((_xlfn.XLOOKUP(AI$1,$Z$2:$Z$18,$AA$2:$AA$18)-$T42)^2+(_xlfn.XLOOKUP(AI$1,$Z$2:$Z$18,$AB$2:$AB$18)-$U42)^2+(_xlfn.XLOOKUP(AI$1,$Z$2:$Z$18,$AC$2:$AC$18-$V42)^2)))</f>
        <v>123.81444705687622</v>
      </c>
      <c r="AJ42" s="150">
        <f t="array" ref="AJ42">IF(AJ$1=0,"",SQRT((_xlfn.XLOOKUP(AJ$1,$Z$2:$Z$18,$AA$2:$AA$18)-$T42)^2+(_xlfn.XLOOKUP(AJ$1,$Z$2:$Z$18,$AB$2:$AB$18)-$U42)^2+(_xlfn.XLOOKUP(AJ$1,$Z$2:$Z$18,$AC$2:$AC$18-$V42)^2)))</f>
        <v>226.27326421828982</v>
      </c>
      <c r="AK42" s="150">
        <f t="array" ref="AK42">IF(AK$1=0,"",SQRT((_xlfn.XLOOKUP(AK$1,$Z$2:$Z$18,$AA$2:$AA$18)-$T42)^2+(_xlfn.XLOOKUP(AK$1,$Z$2:$Z$18,$AB$2:$AB$18)-$U42)^2+(_xlfn.XLOOKUP(AK$1,$Z$2:$Z$18,$AC$2:$AC$18-$V42)^2)))</f>
        <v>330.89448786584524</v>
      </c>
      <c r="AL42" s="150">
        <f t="array" ref="AL42">IF(AL$1=0,"",SQRT((_xlfn.XLOOKUP(AL$1,$Z$2:$Z$18,$AA$2:$AA$18)-$T42)^2+(_xlfn.XLOOKUP(AL$1,$Z$2:$Z$18,$AB$2:$AB$18)-$U42)^2+(_xlfn.XLOOKUP(AL$1,$Z$2:$Z$18,$AC$2:$AC$18-$V42)^2)))</f>
        <v>218.97662386656708</v>
      </c>
      <c r="AM42" s="150" t="str">
        <f t="array" ref="AM42">IF(AM$1=0,"",SQRT((_xlfn.XLOOKUP(AM$1,$Z$2:$Z$18,$AA$2:$AA$18)-$T42)^2+(_xlfn.XLOOKUP(AM$1,$Z$2:$Z$18,$AB$2:$AB$18)-$U42)^2+(_xlfn.XLOOKUP(AM$1,$Z$2:$Z$18,$AC$2:$AC$18-$V42)^2)))</f>
        <v/>
      </c>
      <c r="AN42" s="150" t="str">
        <f t="array" ref="AN42">IF(AN$1=0,"",SQRT((_xlfn.XLOOKUP(AN$1,$Z$2:$Z$18,$AA$2:$AA$18)-$T42)^2+(_xlfn.XLOOKUP(AN$1,$Z$2:$Z$18,$AB$2:$AB$18)-$U42)^2+(_xlfn.XLOOKUP(AN$1,$Z$2:$Z$18,$AC$2:$AC$18-$V42)^2)))</f>
        <v/>
      </c>
      <c r="AO42" s="150" t="str">
        <f t="array" ref="AO42">IF(AO$1=0,"",SQRT((_xlfn.XLOOKUP(AO$1,$Z$2:$Z$18,$AA$2:$AA$18)-$T42)^2+(_xlfn.XLOOKUP(AO$1,$Z$2:$Z$18,$AB$2:$AB$18)-$U42)^2+(_xlfn.XLOOKUP(AO$1,$Z$2:$Z$18,$AC$2:$AC$18-$V42)^2)))</f>
        <v/>
      </c>
      <c r="AP42" s="151" t="str">
        <f t="array" ref="AP42">IF(AP$1=0,"",SQRT((_xlfn.XLOOKUP(AP$1,$Z$2:$Z$18,$AA$2:$AA$18)-$T42)^2+(_xlfn.XLOOKUP(AP$1,$Z$2:$Z$18,$AB$2:$AB$18)-$U42)^2+(_xlfn.XLOOKUP(AP$1,$Z$2:$Z$18,$AC$2:$AC$18-$V42)^2)))</f>
        <v/>
      </c>
      <c r="AQ42" s="151" t="str">
        <f t="array" ref="AQ42">IF(AQ$1=0,"",SQRT((_xlfn.XLOOKUP(AQ$1,$Z$2:$Z$18,$AA$2:$AA$18)-$T42)^2+(_xlfn.XLOOKUP(AQ$1,$Z$2:$Z$18,$AB$2:$AB$18)-$U42)^2+(_xlfn.XLOOKUP(AQ$1,$Z$2:$Z$18,$AC$2:$AC$18-$V42)^2)))</f>
        <v/>
      </c>
      <c r="AR42" s="151" t="str">
        <f t="array" ref="AR42">IF(AR$1=0,"",SQRT((_xlfn.XLOOKUP(AR$1,$Z$2:$Z$18,$AA$2:$AA$18)-$T42)^2+(_xlfn.XLOOKUP(AR$1,$Z$2:$Z$18,$AB$2:$AB$18)-$U42)^2+(_xlfn.XLOOKUP(AR$1,$Z$2:$Z$18,$AC$2:$AC$18-$V42)^2)))</f>
        <v/>
      </c>
      <c r="AS42" s="151" t="str">
        <f t="array" ref="AS42">IF(AS$1=0,"",SQRT((_xlfn.XLOOKUP(AS$1,$Z$2:$Z$18,$AA$2:$AA$18)-$T42)^2+(_xlfn.XLOOKUP(AS$1,$Z$2:$Z$18,$AB$2:$AB$18)-$U42)^2+(_xlfn.XLOOKUP(AS$1,$Z$2:$Z$18,$AC$2:$AC$18-$V42)^2)))</f>
        <v/>
      </c>
      <c r="AT42" s="151" t="str">
        <f t="array" ref="AT42">IF(AT$1=0,"",SQRT((_xlfn.XLOOKUP(AT$1,$Z$2:$Z$18,$AA$2:$AA$18)-$T42)^2+(_xlfn.XLOOKUP(AT$1,$Z$2:$Z$18,$AB$2:$AB$18)-$U42)^2+(_xlfn.XLOOKUP(AT$1,$Z$2:$Z$18,$AC$2:$AC$18-$V42)^2)))</f>
        <v/>
      </c>
      <c r="AU42" s="151" t="str">
        <f t="array" ref="AU42">IF(AU$1=0,"",SQRT((_xlfn.XLOOKUP(AU$1,$Z$2:$Z$18,$AA$2:$AA$18)-$T42)^2+(_xlfn.XLOOKUP(AU$1,$Z$2:$Z$18,$AB$2:$AB$18)-$U42)^2+(_xlfn.XLOOKUP(AU$1,$Z$2:$Z$18,$AC$2:$AC$18-$V42)^2)))</f>
        <v/>
      </c>
      <c r="AV42" s="152" t="str">
        <f t="array" ref="AV42">IF(AV$1=0,"",SQRT((_xlfn.XLOOKUP(AV$1,$Z$2:$Z$18,$AA$2:$AA$18)-$T42)^2+(_xlfn.XLOOKUP(AV$1,$Z$2:$Z$18,$AB$2:$AB$18)-$U42)^2+(_xlfn.XLOOKUP(AV$1,$Z$2:$Z$18,$AC$2:$AC$18-$V42)^2)))</f>
        <v/>
      </c>
      <c r="AW42" s="134"/>
      <c r="AX42" s="134"/>
      <c r="AY42" s="135">
        <f t="shared" si="51"/>
        <v>0</v>
      </c>
      <c r="AZ42" s="153">
        <f t="shared" si="52"/>
        <v>0</v>
      </c>
      <c r="BA42" s="153">
        <f t="shared" si="53"/>
        <v>0</v>
      </c>
      <c r="BB42" s="153">
        <f t="shared" si="54"/>
        <v>0</v>
      </c>
      <c r="BC42" s="153">
        <f t="shared" si="55"/>
        <v>0</v>
      </c>
      <c r="BD42" s="153">
        <f t="shared" si="56"/>
        <v>0</v>
      </c>
      <c r="BE42" s="153">
        <f t="shared" si="57"/>
        <v>0</v>
      </c>
      <c r="BF42" s="153">
        <f t="shared" si="58"/>
        <v>0</v>
      </c>
      <c r="BG42" s="154">
        <f t="shared" si="59"/>
        <v>0</v>
      </c>
      <c r="BH42" s="154">
        <f t="shared" si="60"/>
        <v>0</v>
      </c>
      <c r="BI42" s="154">
        <f t="shared" si="61"/>
        <v>0</v>
      </c>
      <c r="BJ42" s="154">
        <f t="shared" si="62"/>
        <v>0</v>
      </c>
      <c r="BK42" s="154">
        <f t="shared" si="63"/>
        <v>0</v>
      </c>
      <c r="BL42" s="154">
        <f t="shared" si="64"/>
        <v>0</v>
      </c>
      <c r="BM42" s="155">
        <f t="shared" si="65"/>
        <v>0</v>
      </c>
      <c r="BN42" s="134"/>
      <c r="BO42" s="56">
        <v>2</v>
      </c>
      <c r="BP42" s="56">
        <v>10</v>
      </c>
      <c r="BQ42" s="21"/>
      <c r="BR42" s="134"/>
      <c r="BS42" s="134"/>
      <c r="BT42" s="134"/>
      <c r="BU42" s="134"/>
      <c r="BV42" s="140"/>
      <c r="BW42" s="140"/>
      <c r="BX42" s="140"/>
      <c r="BY42" s="140"/>
      <c r="BZ42" s="140"/>
      <c r="CA42" s="140"/>
      <c r="CB42" s="140"/>
      <c r="CC42" s="140"/>
      <c r="CD42" s="140"/>
      <c r="CE42" s="140"/>
      <c r="CF42" s="140"/>
      <c r="CG42" s="140"/>
      <c r="CH42" s="140"/>
      <c r="CI42" s="140"/>
      <c r="CJ42" s="140"/>
      <c r="CK42" s="134"/>
      <c r="CL42" s="134"/>
      <c r="CM42" s="169">
        <f t="shared" si="66"/>
        <v>0</v>
      </c>
      <c r="CN42" s="170">
        <f t="shared" si="67"/>
        <v>0</v>
      </c>
      <c r="CO42" s="170">
        <f t="shared" si="68"/>
        <v>0</v>
      </c>
      <c r="CP42" s="170">
        <f t="shared" si="69"/>
        <v>0</v>
      </c>
      <c r="CQ42" s="170">
        <f t="shared" si="70"/>
        <v>0</v>
      </c>
      <c r="CR42" s="170" t="str">
        <f t="shared" si="71"/>
        <v/>
      </c>
      <c r="CS42" s="170" t="str">
        <f t="shared" si="72"/>
        <v/>
      </c>
      <c r="CT42" s="170" t="str">
        <f t="shared" si="73"/>
        <v/>
      </c>
      <c r="CU42" s="172" t="str">
        <f t="shared" si="74"/>
        <v/>
      </c>
      <c r="CV42" s="172" t="str">
        <f t="shared" si="75"/>
        <v/>
      </c>
      <c r="CW42" s="172" t="str">
        <f t="shared" si="76"/>
        <v/>
      </c>
      <c r="CX42" s="172" t="str">
        <f t="shared" si="77"/>
        <v/>
      </c>
      <c r="CY42" s="172" t="str">
        <f t="shared" si="78"/>
        <v/>
      </c>
      <c r="CZ42" s="172" t="str">
        <f t="shared" si="79"/>
        <v/>
      </c>
      <c r="DA42" s="173" t="str">
        <f t="shared" si="80"/>
        <v/>
      </c>
    </row>
    <row r="43" spans="1:105" ht="16.5" customHeight="1" x14ac:dyDescent="0.3">
      <c r="A43" s="145"/>
      <c r="B43" s="146"/>
      <c r="C43" s="146"/>
      <c r="D43" s="147"/>
      <c r="E43" s="202"/>
      <c r="F43" s="210"/>
      <c r="G43" s="211"/>
      <c r="H43" s="211"/>
      <c r="I43" s="211"/>
      <c r="J43" s="211"/>
      <c r="K43" s="211"/>
      <c r="L43" s="211"/>
      <c r="M43" s="215"/>
      <c r="N43" s="210"/>
      <c r="O43" s="212"/>
      <c r="P43" s="205"/>
      <c r="Q43" s="128">
        <f t="shared" si="34"/>
        <v>0</v>
      </c>
      <c r="R43" s="3"/>
      <c r="S43" s="3"/>
      <c r="T43" s="4"/>
      <c r="U43" s="4"/>
      <c r="V43" s="109">
        <f t="shared" si="50"/>
        <v>0</v>
      </c>
      <c r="W43" s="171"/>
      <c r="X43" s="148"/>
      <c r="Z43" s="115" t="s">
        <v>194</v>
      </c>
      <c r="AA43" s="113">
        <v>64.239999999999995</v>
      </c>
      <c r="AB43" s="52">
        <v>114.29</v>
      </c>
      <c r="AC43" s="106">
        <v>75.400000000000006</v>
      </c>
      <c r="AD43" s="52">
        <v>67.760000000000005</v>
      </c>
      <c r="AE43" s="52">
        <v>96.8</v>
      </c>
      <c r="AF43" s="53">
        <v>75.400000000000006</v>
      </c>
      <c r="AH43" s="168">
        <f t="array" ref="AH43">IF(AH$1=0,"",SQRT((_xlfn.XLOOKUP(AH$1,$Z$2:$Z$18,$AA$2:$AA$18)-$T43)^2+(_xlfn.XLOOKUP(AH$1,$Z$2:$Z$18,$AB$2:$AB$18)-$U43)^2+(_xlfn.XLOOKUP(AH$1,$Z$2:$Z$18,$AC$2:$AC$18-$V43)^2)))</f>
        <v>112.53151914019467</v>
      </c>
      <c r="AI43" s="150">
        <f t="array" ref="AI43">IF(AI$1=0,"",SQRT((_xlfn.XLOOKUP(AI$1,$Z$2:$Z$18,$AA$2:$AA$18)-$T43)^2+(_xlfn.XLOOKUP(AI$1,$Z$2:$Z$18,$AB$2:$AB$18)-$U43)^2+(_xlfn.XLOOKUP(AI$1,$Z$2:$Z$18,$AC$2:$AC$18-$V43)^2)))</f>
        <v>123.81444705687622</v>
      </c>
      <c r="AJ43" s="150">
        <f t="array" ref="AJ43">IF(AJ$1=0,"",SQRT((_xlfn.XLOOKUP(AJ$1,$Z$2:$Z$18,$AA$2:$AA$18)-$T43)^2+(_xlfn.XLOOKUP(AJ$1,$Z$2:$Z$18,$AB$2:$AB$18)-$U43)^2+(_xlfn.XLOOKUP(AJ$1,$Z$2:$Z$18,$AC$2:$AC$18-$V43)^2)))</f>
        <v>226.27326421828982</v>
      </c>
      <c r="AK43" s="150">
        <f t="array" ref="AK43">IF(AK$1=0,"",SQRT((_xlfn.XLOOKUP(AK$1,$Z$2:$Z$18,$AA$2:$AA$18)-$T43)^2+(_xlfn.XLOOKUP(AK$1,$Z$2:$Z$18,$AB$2:$AB$18)-$U43)^2+(_xlfn.XLOOKUP(AK$1,$Z$2:$Z$18,$AC$2:$AC$18-$V43)^2)))</f>
        <v>330.89448786584524</v>
      </c>
      <c r="AL43" s="150">
        <f t="array" ref="AL43">IF(AL$1=0,"",SQRT((_xlfn.XLOOKUP(AL$1,$Z$2:$Z$18,$AA$2:$AA$18)-$T43)^2+(_xlfn.XLOOKUP(AL$1,$Z$2:$Z$18,$AB$2:$AB$18)-$U43)^2+(_xlfn.XLOOKUP(AL$1,$Z$2:$Z$18,$AC$2:$AC$18-$V43)^2)))</f>
        <v>218.97662386656708</v>
      </c>
      <c r="AM43" s="150" t="str">
        <f t="array" ref="AM43">IF(AM$1=0,"",SQRT((_xlfn.XLOOKUP(AM$1,$Z$2:$Z$18,$AA$2:$AA$18)-$T43)^2+(_xlfn.XLOOKUP(AM$1,$Z$2:$Z$18,$AB$2:$AB$18)-$U43)^2+(_xlfn.XLOOKUP(AM$1,$Z$2:$Z$18,$AC$2:$AC$18-$V43)^2)))</f>
        <v/>
      </c>
      <c r="AN43" s="150" t="str">
        <f t="array" ref="AN43">IF(AN$1=0,"",SQRT((_xlfn.XLOOKUP(AN$1,$Z$2:$Z$18,$AA$2:$AA$18)-$T43)^2+(_xlfn.XLOOKUP(AN$1,$Z$2:$Z$18,$AB$2:$AB$18)-$U43)^2+(_xlfn.XLOOKUP(AN$1,$Z$2:$Z$18,$AC$2:$AC$18-$V43)^2)))</f>
        <v/>
      </c>
      <c r="AO43" s="150" t="str">
        <f t="array" ref="AO43">IF(AO$1=0,"",SQRT((_xlfn.XLOOKUP(AO$1,$Z$2:$Z$18,$AA$2:$AA$18)-$T43)^2+(_xlfn.XLOOKUP(AO$1,$Z$2:$Z$18,$AB$2:$AB$18)-$U43)^2+(_xlfn.XLOOKUP(AO$1,$Z$2:$Z$18,$AC$2:$AC$18-$V43)^2)))</f>
        <v/>
      </c>
      <c r="AP43" s="151" t="str">
        <f t="array" ref="AP43">IF(AP$1=0,"",SQRT((_xlfn.XLOOKUP(AP$1,$Z$2:$Z$18,$AA$2:$AA$18)-$T43)^2+(_xlfn.XLOOKUP(AP$1,$Z$2:$Z$18,$AB$2:$AB$18)-$U43)^2+(_xlfn.XLOOKUP(AP$1,$Z$2:$Z$18,$AC$2:$AC$18-$V43)^2)))</f>
        <v/>
      </c>
      <c r="AQ43" s="151" t="str">
        <f t="array" ref="AQ43">IF(AQ$1=0,"",SQRT((_xlfn.XLOOKUP(AQ$1,$Z$2:$Z$18,$AA$2:$AA$18)-$T43)^2+(_xlfn.XLOOKUP(AQ$1,$Z$2:$Z$18,$AB$2:$AB$18)-$U43)^2+(_xlfn.XLOOKUP(AQ$1,$Z$2:$Z$18,$AC$2:$AC$18-$V43)^2)))</f>
        <v/>
      </c>
      <c r="AR43" s="151" t="str">
        <f t="array" ref="AR43">IF(AR$1=0,"",SQRT((_xlfn.XLOOKUP(AR$1,$Z$2:$Z$18,$AA$2:$AA$18)-$T43)^2+(_xlfn.XLOOKUP(AR$1,$Z$2:$Z$18,$AB$2:$AB$18)-$U43)^2+(_xlfn.XLOOKUP(AR$1,$Z$2:$Z$18,$AC$2:$AC$18-$V43)^2)))</f>
        <v/>
      </c>
      <c r="AS43" s="151" t="str">
        <f t="array" ref="AS43">IF(AS$1=0,"",SQRT((_xlfn.XLOOKUP(AS$1,$Z$2:$Z$18,$AA$2:$AA$18)-$T43)^2+(_xlfn.XLOOKUP(AS$1,$Z$2:$Z$18,$AB$2:$AB$18)-$U43)^2+(_xlfn.XLOOKUP(AS$1,$Z$2:$Z$18,$AC$2:$AC$18-$V43)^2)))</f>
        <v/>
      </c>
      <c r="AT43" s="151" t="str">
        <f t="array" ref="AT43">IF(AT$1=0,"",SQRT((_xlfn.XLOOKUP(AT$1,$Z$2:$Z$18,$AA$2:$AA$18)-$T43)^2+(_xlfn.XLOOKUP(AT$1,$Z$2:$Z$18,$AB$2:$AB$18)-$U43)^2+(_xlfn.XLOOKUP(AT$1,$Z$2:$Z$18,$AC$2:$AC$18-$V43)^2)))</f>
        <v/>
      </c>
      <c r="AU43" s="151" t="str">
        <f t="array" ref="AU43">IF(AU$1=0,"",SQRT((_xlfn.XLOOKUP(AU$1,$Z$2:$Z$18,$AA$2:$AA$18)-$T43)^2+(_xlfn.XLOOKUP(AU$1,$Z$2:$Z$18,$AB$2:$AB$18)-$U43)^2+(_xlfn.XLOOKUP(AU$1,$Z$2:$Z$18,$AC$2:$AC$18-$V43)^2)))</f>
        <v/>
      </c>
      <c r="AV43" s="152" t="str">
        <f t="array" ref="AV43">IF(AV$1=0,"",SQRT((_xlfn.XLOOKUP(AV$1,$Z$2:$Z$18,$AA$2:$AA$18)-$T43)^2+(_xlfn.XLOOKUP(AV$1,$Z$2:$Z$18,$AB$2:$AB$18)-$U43)^2+(_xlfn.XLOOKUP(AV$1,$Z$2:$Z$18,$AC$2:$AC$18-$V43)^2)))</f>
        <v/>
      </c>
      <c r="AW43" s="134"/>
      <c r="AX43" s="134"/>
      <c r="AY43" s="135">
        <f t="shared" si="51"/>
        <v>0</v>
      </c>
      <c r="AZ43" s="153">
        <f t="shared" si="52"/>
        <v>0</v>
      </c>
      <c r="BA43" s="153">
        <f t="shared" si="53"/>
        <v>0</v>
      </c>
      <c r="BB43" s="153">
        <f t="shared" si="54"/>
        <v>0</v>
      </c>
      <c r="BC43" s="153">
        <f t="shared" si="55"/>
        <v>0</v>
      </c>
      <c r="BD43" s="153">
        <f t="shared" si="56"/>
        <v>0</v>
      </c>
      <c r="BE43" s="153">
        <f t="shared" si="57"/>
        <v>0</v>
      </c>
      <c r="BF43" s="153">
        <f t="shared" si="58"/>
        <v>0</v>
      </c>
      <c r="BG43" s="154">
        <f t="shared" si="59"/>
        <v>0</v>
      </c>
      <c r="BH43" s="154">
        <f t="shared" si="60"/>
        <v>0</v>
      </c>
      <c r="BI43" s="154">
        <f t="shared" si="61"/>
        <v>0</v>
      </c>
      <c r="BJ43" s="154">
        <f t="shared" si="62"/>
        <v>0</v>
      </c>
      <c r="BK43" s="154">
        <f t="shared" si="63"/>
        <v>0</v>
      </c>
      <c r="BL43" s="154">
        <f t="shared" si="64"/>
        <v>0</v>
      </c>
      <c r="BM43" s="155">
        <f t="shared" si="65"/>
        <v>0</v>
      </c>
      <c r="BN43" s="134"/>
      <c r="BO43" s="56">
        <v>3</v>
      </c>
      <c r="BP43" s="56">
        <v>12</v>
      </c>
      <c r="BQ43" s="21"/>
      <c r="BR43" s="134"/>
      <c r="BS43" s="134"/>
      <c r="BT43" s="134"/>
      <c r="BU43" s="134"/>
      <c r="BV43" s="140"/>
      <c r="BW43" s="140"/>
      <c r="BX43" s="140"/>
      <c r="BY43" s="140"/>
      <c r="BZ43" s="140"/>
      <c r="CA43" s="140"/>
      <c r="CB43" s="140"/>
      <c r="CC43" s="140"/>
      <c r="CD43" s="140"/>
      <c r="CE43" s="140"/>
      <c r="CF43" s="140"/>
      <c r="CG43" s="140"/>
      <c r="CH43" s="140"/>
      <c r="CI43" s="140"/>
      <c r="CJ43" s="140"/>
      <c r="CK43" s="134"/>
      <c r="CL43" s="134"/>
      <c r="CM43" s="169">
        <f t="shared" si="66"/>
        <v>0</v>
      </c>
      <c r="CN43" s="170">
        <f t="shared" si="67"/>
        <v>0</v>
      </c>
      <c r="CO43" s="170">
        <f t="shared" si="68"/>
        <v>0</v>
      </c>
      <c r="CP43" s="170">
        <f t="shared" si="69"/>
        <v>0</v>
      </c>
      <c r="CQ43" s="170">
        <f t="shared" si="70"/>
        <v>0</v>
      </c>
      <c r="CR43" s="170" t="str">
        <f t="shared" si="71"/>
        <v/>
      </c>
      <c r="CS43" s="170" t="str">
        <f t="shared" si="72"/>
        <v/>
      </c>
      <c r="CT43" s="170" t="str">
        <f t="shared" si="73"/>
        <v/>
      </c>
      <c r="CU43" s="172" t="str">
        <f t="shared" si="74"/>
        <v/>
      </c>
      <c r="CV43" s="172" t="str">
        <f t="shared" si="75"/>
        <v/>
      </c>
      <c r="CW43" s="172" t="str">
        <f t="shared" si="76"/>
        <v/>
      </c>
      <c r="CX43" s="172" t="str">
        <f t="shared" si="77"/>
        <v/>
      </c>
      <c r="CY43" s="172" t="str">
        <f t="shared" si="78"/>
        <v/>
      </c>
      <c r="CZ43" s="172" t="str">
        <f t="shared" si="79"/>
        <v/>
      </c>
      <c r="DA43" s="173" t="str">
        <f t="shared" si="80"/>
        <v/>
      </c>
    </row>
    <row r="44" spans="1:105" ht="16.5" customHeight="1" x14ac:dyDescent="0.3">
      <c r="A44" s="145"/>
      <c r="B44" s="146"/>
      <c r="C44" s="146"/>
      <c r="D44" s="147"/>
      <c r="E44" s="202"/>
      <c r="F44" s="210"/>
      <c r="G44" s="211"/>
      <c r="H44" s="211"/>
      <c r="I44" s="211"/>
      <c r="J44" s="211"/>
      <c r="K44" s="211"/>
      <c r="L44" s="211"/>
      <c r="M44" s="215"/>
      <c r="N44" s="210"/>
      <c r="O44" s="212"/>
      <c r="P44" s="205"/>
      <c r="Q44" s="128">
        <f t="shared" si="34"/>
        <v>0</v>
      </c>
      <c r="R44" s="3"/>
      <c r="S44" s="3"/>
      <c r="T44" s="4"/>
      <c r="U44" s="4"/>
      <c r="V44" s="109">
        <f t="shared" si="50"/>
        <v>0</v>
      </c>
      <c r="W44" s="171"/>
      <c r="X44" s="148"/>
      <c r="Z44" s="115" t="s">
        <v>195</v>
      </c>
      <c r="AA44" s="113">
        <v>67.760000000000005</v>
      </c>
      <c r="AB44" s="52">
        <v>96.47</v>
      </c>
      <c r="AC44" s="106">
        <v>75.400000000000006</v>
      </c>
      <c r="AD44" s="52">
        <v>75.349999999999994</v>
      </c>
      <c r="AE44" s="52">
        <v>97.79</v>
      </c>
      <c r="AF44" s="53">
        <v>75.400000000000006</v>
      </c>
      <c r="AH44" s="168">
        <f t="array" ref="AH44">IF(AH$1=0,"",SQRT((_xlfn.XLOOKUP(AH$1,$Z$2:$Z$18,$AA$2:$AA$18)-$T44)^2+(_xlfn.XLOOKUP(AH$1,$Z$2:$Z$18,$AB$2:$AB$18)-$U44)^2+(_xlfn.XLOOKUP(AH$1,$Z$2:$Z$18,$AC$2:$AC$18-$V44)^2)))</f>
        <v>112.53151914019467</v>
      </c>
      <c r="AI44" s="150">
        <f t="array" ref="AI44">IF(AI$1=0,"",SQRT((_xlfn.XLOOKUP(AI$1,$Z$2:$Z$18,$AA$2:$AA$18)-$T44)^2+(_xlfn.XLOOKUP(AI$1,$Z$2:$Z$18,$AB$2:$AB$18)-$U44)^2+(_xlfn.XLOOKUP(AI$1,$Z$2:$Z$18,$AC$2:$AC$18-$V44)^2)))</f>
        <v>123.81444705687622</v>
      </c>
      <c r="AJ44" s="150">
        <f t="array" ref="AJ44">IF(AJ$1=0,"",SQRT((_xlfn.XLOOKUP(AJ$1,$Z$2:$Z$18,$AA$2:$AA$18)-$T44)^2+(_xlfn.XLOOKUP(AJ$1,$Z$2:$Z$18,$AB$2:$AB$18)-$U44)^2+(_xlfn.XLOOKUP(AJ$1,$Z$2:$Z$18,$AC$2:$AC$18-$V44)^2)))</f>
        <v>226.27326421828982</v>
      </c>
      <c r="AK44" s="150">
        <f t="array" ref="AK44">IF(AK$1=0,"",SQRT((_xlfn.XLOOKUP(AK$1,$Z$2:$Z$18,$AA$2:$AA$18)-$T44)^2+(_xlfn.XLOOKUP(AK$1,$Z$2:$Z$18,$AB$2:$AB$18)-$U44)^2+(_xlfn.XLOOKUP(AK$1,$Z$2:$Z$18,$AC$2:$AC$18-$V44)^2)))</f>
        <v>330.89448786584524</v>
      </c>
      <c r="AL44" s="150">
        <f t="array" ref="AL44">IF(AL$1=0,"",SQRT((_xlfn.XLOOKUP(AL$1,$Z$2:$Z$18,$AA$2:$AA$18)-$T44)^2+(_xlfn.XLOOKUP(AL$1,$Z$2:$Z$18,$AB$2:$AB$18)-$U44)^2+(_xlfn.XLOOKUP(AL$1,$Z$2:$Z$18,$AC$2:$AC$18-$V44)^2)))</f>
        <v>218.97662386656708</v>
      </c>
      <c r="AM44" s="150" t="str">
        <f t="array" ref="AM44">IF(AM$1=0,"",SQRT((_xlfn.XLOOKUP(AM$1,$Z$2:$Z$18,$AA$2:$AA$18)-$T44)^2+(_xlfn.XLOOKUP(AM$1,$Z$2:$Z$18,$AB$2:$AB$18)-$U44)^2+(_xlfn.XLOOKUP(AM$1,$Z$2:$Z$18,$AC$2:$AC$18-$V44)^2)))</f>
        <v/>
      </c>
      <c r="AN44" s="150" t="str">
        <f t="array" ref="AN44">IF(AN$1=0,"",SQRT((_xlfn.XLOOKUP(AN$1,$Z$2:$Z$18,$AA$2:$AA$18)-$T44)^2+(_xlfn.XLOOKUP(AN$1,$Z$2:$Z$18,$AB$2:$AB$18)-$U44)^2+(_xlfn.XLOOKUP(AN$1,$Z$2:$Z$18,$AC$2:$AC$18-$V44)^2)))</f>
        <v/>
      </c>
      <c r="AO44" s="150" t="str">
        <f t="array" ref="AO44">IF(AO$1=0,"",SQRT((_xlfn.XLOOKUP(AO$1,$Z$2:$Z$18,$AA$2:$AA$18)-$T44)^2+(_xlfn.XLOOKUP(AO$1,$Z$2:$Z$18,$AB$2:$AB$18)-$U44)^2+(_xlfn.XLOOKUP(AO$1,$Z$2:$Z$18,$AC$2:$AC$18-$V44)^2)))</f>
        <v/>
      </c>
      <c r="AP44" s="151" t="str">
        <f t="array" ref="AP44">IF(AP$1=0,"",SQRT((_xlfn.XLOOKUP(AP$1,$Z$2:$Z$18,$AA$2:$AA$18)-$T44)^2+(_xlfn.XLOOKUP(AP$1,$Z$2:$Z$18,$AB$2:$AB$18)-$U44)^2+(_xlfn.XLOOKUP(AP$1,$Z$2:$Z$18,$AC$2:$AC$18-$V44)^2)))</f>
        <v/>
      </c>
      <c r="AQ44" s="151" t="str">
        <f t="array" ref="AQ44">IF(AQ$1=0,"",SQRT((_xlfn.XLOOKUP(AQ$1,$Z$2:$Z$18,$AA$2:$AA$18)-$T44)^2+(_xlfn.XLOOKUP(AQ$1,$Z$2:$Z$18,$AB$2:$AB$18)-$U44)^2+(_xlfn.XLOOKUP(AQ$1,$Z$2:$Z$18,$AC$2:$AC$18-$V44)^2)))</f>
        <v/>
      </c>
      <c r="AR44" s="151" t="str">
        <f t="array" ref="AR44">IF(AR$1=0,"",SQRT((_xlfn.XLOOKUP(AR$1,$Z$2:$Z$18,$AA$2:$AA$18)-$T44)^2+(_xlfn.XLOOKUP(AR$1,$Z$2:$Z$18,$AB$2:$AB$18)-$U44)^2+(_xlfn.XLOOKUP(AR$1,$Z$2:$Z$18,$AC$2:$AC$18-$V44)^2)))</f>
        <v/>
      </c>
      <c r="AS44" s="151" t="str">
        <f t="array" ref="AS44">IF(AS$1=0,"",SQRT((_xlfn.XLOOKUP(AS$1,$Z$2:$Z$18,$AA$2:$AA$18)-$T44)^2+(_xlfn.XLOOKUP(AS$1,$Z$2:$Z$18,$AB$2:$AB$18)-$U44)^2+(_xlfn.XLOOKUP(AS$1,$Z$2:$Z$18,$AC$2:$AC$18-$V44)^2)))</f>
        <v/>
      </c>
      <c r="AT44" s="151" t="str">
        <f t="array" ref="AT44">IF(AT$1=0,"",SQRT((_xlfn.XLOOKUP(AT$1,$Z$2:$Z$18,$AA$2:$AA$18)-$T44)^2+(_xlfn.XLOOKUP(AT$1,$Z$2:$Z$18,$AB$2:$AB$18)-$U44)^2+(_xlfn.XLOOKUP(AT$1,$Z$2:$Z$18,$AC$2:$AC$18-$V44)^2)))</f>
        <v/>
      </c>
      <c r="AU44" s="151" t="str">
        <f t="array" ref="AU44">IF(AU$1=0,"",SQRT((_xlfn.XLOOKUP(AU$1,$Z$2:$Z$18,$AA$2:$AA$18)-$T44)^2+(_xlfn.XLOOKUP(AU$1,$Z$2:$Z$18,$AB$2:$AB$18)-$U44)^2+(_xlfn.XLOOKUP(AU$1,$Z$2:$Z$18,$AC$2:$AC$18-$V44)^2)))</f>
        <v/>
      </c>
      <c r="AV44" s="152" t="str">
        <f t="array" ref="AV44">IF(AV$1=0,"",SQRT((_xlfn.XLOOKUP(AV$1,$Z$2:$Z$18,$AA$2:$AA$18)-$T44)^2+(_xlfn.XLOOKUP(AV$1,$Z$2:$Z$18,$AB$2:$AB$18)-$U44)^2+(_xlfn.XLOOKUP(AV$1,$Z$2:$Z$18,$AC$2:$AC$18-$V44)^2)))</f>
        <v/>
      </c>
      <c r="AW44" s="134"/>
      <c r="AX44" s="134"/>
      <c r="AY44" s="135">
        <f t="shared" si="51"/>
        <v>0</v>
      </c>
      <c r="AZ44" s="153">
        <f t="shared" si="52"/>
        <v>0</v>
      </c>
      <c r="BA44" s="153">
        <f t="shared" si="53"/>
        <v>0</v>
      </c>
      <c r="BB44" s="153">
        <f t="shared" si="54"/>
        <v>0</v>
      </c>
      <c r="BC44" s="153">
        <f t="shared" si="55"/>
        <v>0</v>
      </c>
      <c r="BD44" s="153">
        <f t="shared" si="56"/>
        <v>0</v>
      </c>
      <c r="BE44" s="153">
        <f t="shared" si="57"/>
        <v>0</v>
      </c>
      <c r="BF44" s="153">
        <f t="shared" si="58"/>
        <v>0</v>
      </c>
      <c r="BG44" s="154">
        <f t="shared" si="59"/>
        <v>0</v>
      </c>
      <c r="BH44" s="154">
        <f t="shared" si="60"/>
        <v>0</v>
      </c>
      <c r="BI44" s="154">
        <f t="shared" si="61"/>
        <v>0</v>
      </c>
      <c r="BJ44" s="154">
        <f t="shared" si="62"/>
        <v>0</v>
      </c>
      <c r="BK44" s="154">
        <f t="shared" si="63"/>
        <v>0</v>
      </c>
      <c r="BL44" s="154">
        <f t="shared" si="64"/>
        <v>0</v>
      </c>
      <c r="BM44" s="155">
        <f t="shared" si="65"/>
        <v>0</v>
      </c>
      <c r="BN44" s="134"/>
      <c r="BO44" s="56">
        <v>6</v>
      </c>
      <c r="BP44" s="56">
        <v>15</v>
      </c>
      <c r="BQ44" s="21"/>
      <c r="BR44" s="134"/>
      <c r="BS44" s="134"/>
      <c r="BT44" s="134"/>
      <c r="BU44" s="134"/>
      <c r="BV44" s="140"/>
      <c r="BW44" s="140"/>
      <c r="BX44" s="140"/>
      <c r="BY44" s="140"/>
      <c r="BZ44" s="140"/>
      <c r="CA44" s="140"/>
      <c r="CB44" s="140"/>
      <c r="CC44" s="140"/>
      <c r="CD44" s="140"/>
      <c r="CE44" s="140"/>
      <c r="CF44" s="140"/>
      <c r="CG44" s="140"/>
      <c r="CH44" s="140"/>
      <c r="CI44" s="140"/>
      <c r="CJ44" s="140"/>
      <c r="CK44" s="134"/>
      <c r="CL44" s="134"/>
      <c r="CM44" s="169">
        <f t="shared" si="66"/>
        <v>0</v>
      </c>
      <c r="CN44" s="170">
        <f t="shared" si="67"/>
        <v>0</v>
      </c>
      <c r="CO44" s="170">
        <f t="shared" si="68"/>
        <v>0</v>
      </c>
      <c r="CP44" s="170">
        <f t="shared" si="69"/>
        <v>0</v>
      </c>
      <c r="CQ44" s="170">
        <f t="shared" si="70"/>
        <v>0</v>
      </c>
      <c r="CR44" s="170" t="str">
        <f t="shared" si="71"/>
        <v/>
      </c>
      <c r="CS44" s="170" t="str">
        <f t="shared" si="72"/>
        <v/>
      </c>
      <c r="CT44" s="170" t="str">
        <f t="shared" si="73"/>
        <v/>
      </c>
      <c r="CU44" s="172" t="str">
        <f t="shared" si="74"/>
        <v/>
      </c>
      <c r="CV44" s="172" t="str">
        <f t="shared" si="75"/>
        <v/>
      </c>
      <c r="CW44" s="172" t="str">
        <f t="shared" si="76"/>
        <v/>
      </c>
      <c r="CX44" s="172" t="str">
        <f t="shared" si="77"/>
        <v/>
      </c>
      <c r="CY44" s="172" t="str">
        <f t="shared" si="78"/>
        <v/>
      </c>
      <c r="CZ44" s="172" t="str">
        <f t="shared" si="79"/>
        <v/>
      </c>
      <c r="DA44" s="173" t="str">
        <f t="shared" si="80"/>
        <v/>
      </c>
    </row>
    <row r="45" spans="1:105" ht="16.5" customHeight="1" x14ac:dyDescent="0.3">
      <c r="A45" s="145"/>
      <c r="B45" s="146"/>
      <c r="C45" s="146"/>
      <c r="D45" s="147"/>
      <c r="E45" s="202"/>
      <c r="F45" s="210"/>
      <c r="G45" s="211"/>
      <c r="H45" s="211"/>
      <c r="I45" s="211"/>
      <c r="J45" s="211"/>
      <c r="K45" s="211"/>
      <c r="L45" s="211"/>
      <c r="M45" s="215"/>
      <c r="N45" s="210"/>
      <c r="O45" s="212"/>
      <c r="P45" s="205"/>
      <c r="Q45" s="128">
        <f t="shared" si="34"/>
        <v>0</v>
      </c>
      <c r="R45" s="3"/>
      <c r="S45" s="3"/>
      <c r="T45" s="4"/>
      <c r="U45" s="4"/>
      <c r="V45" s="109">
        <f t="shared" si="50"/>
        <v>0</v>
      </c>
      <c r="W45" s="171"/>
      <c r="X45" s="148"/>
      <c r="Z45" s="115" t="s">
        <v>196</v>
      </c>
      <c r="AA45" s="113">
        <v>75.569999999999993</v>
      </c>
      <c r="AB45" s="52">
        <v>98.34</v>
      </c>
      <c r="AC45" s="106">
        <v>75.400000000000006</v>
      </c>
      <c r="AD45" s="52">
        <v>77.77</v>
      </c>
      <c r="AE45" s="52">
        <v>86.79</v>
      </c>
      <c r="AF45" s="53">
        <v>75.400000000000006</v>
      </c>
      <c r="AH45" s="168">
        <f t="array" ref="AH45">IF(AH$1=0,"",SQRT((_xlfn.XLOOKUP(AH$1,$Z$2:$Z$18,$AA$2:$AA$18)-$T45)^2+(_xlfn.XLOOKUP(AH$1,$Z$2:$Z$18,$AB$2:$AB$18)-$U45)^2+(_xlfn.XLOOKUP(AH$1,$Z$2:$Z$18,$AC$2:$AC$18-$V45)^2)))</f>
        <v>112.53151914019467</v>
      </c>
      <c r="AI45" s="150">
        <f t="array" ref="AI45">IF(AI$1=0,"",SQRT((_xlfn.XLOOKUP(AI$1,$Z$2:$Z$18,$AA$2:$AA$18)-$T45)^2+(_xlfn.XLOOKUP(AI$1,$Z$2:$Z$18,$AB$2:$AB$18)-$U45)^2+(_xlfn.XLOOKUP(AI$1,$Z$2:$Z$18,$AC$2:$AC$18-$V45)^2)))</f>
        <v>123.81444705687622</v>
      </c>
      <c r="AJ45" s="150">
        <f t="array" ref="AJ45">IF(AJ$1=0,"",SQRT((_xlfn.XLOOKUP(AJ$1,$Z$2:$Z$18,$AA$2:$AA$18)-$T45)^2+(_xlfn.XLOOKUP(AJ$1,$Z$2:$Z$18,$AB$2:$AB$18)-$U45)^2+(_xlfn.XLOOKUP(AJ$1,$Z$2:$Z$18,$AC$2:$AC$18-$V45)^2)))</f>
        <v>226.27326421828982</v>
      </c>
      <c r="AK45" s="150">
        <f t="array" ref="AK45">IF(AK$1=0,"",SQRT((_xlfn.XLOOKUP(AK$1,$Z$2:$Z$18,$AA$2:$AA$18)-$T45)^2+(_xlfn.XLOOKUP(AK$1,$Z$2:$Z$18,$AB$2:$AB$18)-$U45)^2+(_xlfn.XLOOKUP(AK$1,$Z$2:$Z$18,$AC$2:$AC$18-$V45)^2)))</f>
        <v>330.89448786584524</v>
      </c>
      <c r="AL45" s="150">
        <f t="array" ref="AL45">IF(AL$1=0,"",SQRT((_xlfn.XLOOKUP(AL$1,$Z$2:$Z$18,$AA$2:$AA$18)-$T45)^2+(_xlfn.XLOOKUP(AL$1,$Z$2:$Z$18,$AB$2:$AB$18)-$U45)^2+(_xlfn.XLOOKUP(AL$1,$Z$2:$Z$18,$AC$2:$AC$18-$V45)^2)))</f>
        <v>218.97662386656708</v>
      </c>
      <c r="AM45" s="150" t="str">
        <f t="array" ref="AM45">IF(AM$1=0,"",SQRT((_xlfn.XLOOKUP(AM$1,$Z$2:$Z$18,$AA$2:$AA$18)-$T45)^2+(_xlfn.XLOOKUP(AM$1,$Z$2:$Z$18,$AB$2:$AB$18)-$U45)^2+(_xlfn.XLOOKUP(AM$1,$Z$2:$Z$18,$AC$2:$AC$18-$V45)^2)))</f>
        <v/>
      </c>
      <c r="AN45" s="150" t="str">
        <f t="array" ref="AN45">IF(AN$1=0,"",SQRT((_xlfn.XLOOKUP(AN$1,$Z$2:$Z$18,$AA$2:$AA$18)-$T45)^2+(_xlfn.XLOOKUP(AN$1,$Z$2:$Z$18,$AB$2:$AB$18)-$U45)^2+(_xlfn.XLOOKUP(AN$1,$Z$2:$Z$18,$AC$2:$AC$18-$V45)^2)))</f>
        <v/>
      </c>
      <c r="AO45" s="150" t="str">
        <f t="array" ref="AO45">IF(AO$1=0,"",SQRT((_xlfn.XLOOKUP(AO$1,$Z$2:$Z$18,$AA$2:$AA$18)-$T45)^2+(_xlfn.XLOOKUP(AO$1,$Z$2:$Z$18,$AB$2:$AB$18)-$U45)^2+(_xlfn.XLOOKUP(AO$1,$Z$2:$Z$18,$AC$2:$AC$18-$V45)^2)))</f>
        <v/>
      </c>
      <c r="AP45" s="151" t="str">
        <f t="array" ref="AP45">IF(AP$1=0,"",SQRT((_xlfn.XLOOKUP(AP$1,$Z$2:$Z$18,$AA$2:$AA$18)-$T45)^2+(_xlfn.XLOOKUP(AP$1,$Z$2:$Z$18,$AB$2:$AB$18)-$U45)^2+(_xlfn.XLOOKUP(AP$1,$Z$2:$Z$18,$AC$2:$AC$18-$V45)^2)))</f>
        <v/>
      </c>
      <c r="AQ45" s="151" t="str">
        <f t="array" ref="AQ45">IF(AQ$1=0,"",SQRT((_xlfn.XLOOKUP(AQ$1,$Z$2:$Z$18,$AA$2:$AA$18)-$T45)^2+(_xlfn.XLOOKUP(AQ$1,$Z$2:$Z$18,$AB$2:$AB$18)-$U45)^2+(_xlfn.XLOOKUP(AQ$1,$Z$2:$Z$18,$AC$2:$AC$18-$V45)^2)))</f>
        <v/>
      </c>
      <c r="AR45" s="151" t="str">
        <f t="array" ref="AR45">IF(AR$1=0,"",SQRT((_xlfn.XLOOKUP(AR$1,$Z$2:$Z$18,$AA$2:$AA$18)-$T45)^2+(_xlfn.XLOOKUP(AR$1,$Z$2:$Z$18,$AB$2:$AB$18)-$U45)^2+(_xlfn.XLOOKUP(AR$1,$Z$2:$Z$18,$AC$2:$AC$18-$V45)^2)))</f>
        <v/>
      </c>
      <c r="AS45" s="151" t="str">
        <f t="array" ref="AS45">IF(AS$1=0,"",SQRT((_xlfn.XLOOKUP(AS$1,$Z$2:$Z$18,$AA$2:$AA$18)-$T45)^2+(_xlfn.XLOOKUP(AS$1,$Z$2:$Z$18,$AB$2:$AB$18)-$U45)^2+(_xlfn.XLOOKUP(AS$1,$Z$2:$Z$18,$AC$2:$AC$18-$V45)^2)))</f>
        <v/>
      </c>
      <c r="AT45" s="151" t="str">
        <f t="array" ref="AT45">IF(AT$1=0,"",SQRT((_xlfn.XLOOKUP(AT$1,$Z$2:$Z$18,$AA$2:$AA$18)-$T45)^2+(_xlfn.XLOOKUP(AT$1,$Z$2:$Z$18,$AB$2:$AB$18)-$U45)^2+(_xlfn.XLOOKUP(AT$1,$Z$2:$Z$18,$AC$2:$AC$18-$V45)^2)))</f>
        <v/>
      </c>
      <c r="AU45" s="151" t="str">
        <f t="array" ref="AU45">IF(AU$1=0,"",SQRT((_xlfn.XLOOKUP(AU$1,$Z$2:$Z$18,$AA$2:$AA$18)-$T45)^2+(_xlfn.XLOOKUP(AU$1,$Z$2:$Z$18,$AB$2:$AB$18)-$U45)^2+(_xlfn.XLOOKUP(AU$1,$Z$2:$Z$18,$AC$2:$AC$18-$V45)^2)))</f>
        <v/>
      </c>
      <c r="AV45" s="152" t="str">
        <f t="array" ref="AV45">IF(AV$1=0,"",SQRT((_xlfn.XLOOKUP(AV$1,$Z$2:$Z$18,$AA$2:$AA$18)-$T45)^2+(_xlfn.XLOOKUP(AV$1,$Z$2:$Z$18,$AB$2:$AB$18)-$U45)^2+(_xlfn.XLOOKUP(AV$1,$Z$2:$Z$18,$AC$2:$AC$18-$V45)^2)))</f>
        <v/>
      </c>
      <c r="AW45" s="134"/>
      <c r="AX45" s="134"/>
      <c r="AY45" s="135">
        <f t="shared" si="51"/>
        <v>0</v>
      </c>
      <c r="AZ45" s="153">
        <f t="shared" si="52"/>
        <v>0</v>
      </c>
      <c r="BA45" s="153">
        <f t="shared" si="53"/>
        <v>0</v>
      </c>
      <c r="BB45" s="153">
        <f t="shared" si="54"/>
        <v>0</v>
      </c>
      <c r="BC45" s="153">
        <f t="shared" si="55"/>
        <v>0</v>
      </c>
      <c r="BD45" s="153">
        <f t="shared" si="56"/>
        <v>0</v>
      </c>
      <c r="BE45" s="153">
        <f t="shared" si="57"/>
        <v>0</v>
      </c>
      <c r="BF45" s="153">
        <f t="shared" si="58"/>
        <v>0</v>
      </c>
      <c r="BG45" s="154">
        <f t="shared" si="59"/>
        <v>0</v>
      </c>
      <c r="BH45" s="154">
        <f t="shared" si="60"/>
        <v>0</v>
      </c>
      <c r="BI45" s="154">
        <f t="shared" si="61"/>
        <v>0</v>
      </c>
      <c r="BJ45" s="154">
        <f t="shared" si="62"/>
        <v>0</v>
      </c>
      <c r="BK45" s="154">
        <f t="shared" si="63"/>
        <v>0</v>
      </c>
      <c r="BL45" s="154">
        <f t="shared" si="64"/>
        <v>0</v>
      </c>
      <c r="BM45" s="155">
        <f t="shared" si="65"/>
        <v>0</v>
      </c>
      <c r="BN45" s="134"/>
      <c r="BO45" s="56">
        <v>12</v>
      </c>
      <c r="BP45" s="56">
        <v>17</v>
      </c>
      <c r="BQ45" s="21"/>
      <c r="BR45" s="134"/>
      <c r="BS45" s="134"/>
      <c r="BT45" s="134"/>
      <c r="BU45" s="134"/>
      <c r="BV45" s="140"/>
      <c r="BW45" s="140"/>
      <c r="BX45" s="140"/>
      <c r="BY45" s="140"/>
      <c r="BZ45" s="140"/>
      <c r="CA45" s="140"/>
      <c r="CB45" s="140"/>
      <c r="CC45" s="140"/>
      <c r="CD45" s="140"/>
      <c r="CE45" s="140"/>
      <c r="CF45" s="140"/>
      <c r="CG45" s="140"/>
      <c r="CH45" s="140"/>
      <c r="CI45" s="140"/>
      <c r="CJ45" s="140"/>
      <c r="CK45" s="134"/>
      <c r="CL45" s="134"/>
      <c r="CM45" s="169">
        <f t="shared" si="66"/>
        <v>0</v>
      </c>
      <c r="CN45" s="170">
        <f t="shared" si="67"/>
        <v>0</v>
      </c>
      <c r="CO45" s="170">
        <f t="shared" si="68"/>
        <v>0</v>
      </c>
      <c r="CP45" s="170">
        <f t="shared" si="69"/>
        <v>0</v>
      </c>
      <c r="CQ45" s="170">
        <f t="shared" si="70"/>
        <v>0</v>
      </c>
      <c r="CR45" s="170" t="str">
        <f t="shared" si="71"/>
        <v/>
      </c>
      <c r="CS45" s="170" t="str">
        <f t="shared" si="72"/>
        <v/>
      </c>
      <c r="CT45" s="170" t="str">
        <f t="shared" si="73"/>
        <v/>
      </c>
      <c r="CU45" s="172" t="str">
        <f t="shared" si="74"/>
        <v/>
      </c>
      <c r="CV45" s="172" t="str">
        <f t="shared" si="75"/>
        <v/>
      </c>
      <c r="CW45" s="172" t="str">
        <f t="shared" si="76"/>
        <v/>
      </c>
      <c r="CX45" s="172" t="str">
        <f t="shared" si="77"/>
        <v/>
      </c>
      <c r="CY45" s="172" t="str">
        <f t="shared" si="78"/>
        <v/>
      </c>
      <c r="CZ45" s="172" t="str">
        <f t="shared" si="79"/>
        <v/>
      </c>
      <c r="DA45" s="173" t="str">
        <f t="shared" si="80"/>
        <v/>
      </c>
    </row>
    <row r="46" spans="1:105" ht="16.5" customHeight="1" x14ac:dyDescent="0.3">
      <c r="A46" s="145"/>
      <c r="B46" s="146"/>
      <c r="C46" s="146"/>
      <c r="D46" s="147"/>
      <c r="E46" s="202"/>
      <c r="F46" s="210"/>
      <c r="G46" s="211"/>
      <c r="H46" s="211"/>
      <c r="I46" s="211"/>
      <c r="J46" s="211"/>
      <c r="K46" s="211"/>
      <c r="L46" s="211"/>
      <c r="M46" s="215"/>
      <c r="N46" s="210"/>
      <c r="O46" s="212"/>
      <c r="P46" s="205"/>
      <c r="Q46" s="128">
        <f t="shared" si="34"/>
        <v>0</v>
      </c>
      <c r="R46" s="3"/>
      <c r="S46" s="3"/>
      <c r="T46" s="4"/>
      <c r="U46" s="4"/>
      <c r="V46" s="109">
        <f t="shared" si="50"/>
        <v>0</v>
      </c>
      <c r="W46" s="171"/>
      <c r="X46" s="148"/>
      <c r="Z46" s="115" t="s">
        <v>197</v>
      </c>
      <c r="AA46" s="113">
        <v>0</v>
      </c>
      <c r="AB46" s="52">
        <v>0</v>
      </c>
      <c r="AC46" s="106">
        <v>75.400000000000006</v>
      </c>
      <c r="AD46" s="52">
        <v>0</v>
      </c>
      <c r="AE46" s="52">
        <v>0</v>
      </c>
      <c r="AF46" s="53">
        <v>75.400000000000006</v>
      </c>
      <c r="AH46" s="168">
        <f t="array" ref="AH46">IF(AH$1=0,"",SQRT((_xlfn.XLOOKUP(AH$1,$Z$2:$Z$18,$AA$2:$AA$18)-$T46)^2+(_xlfn.XLOOKUP(AH$1,$Z$2:$Z$18,$AB$2:$AB$18)-$U46)^2+(_xlfn.XLOOKUP(AH$1,$Z$2:$Z$18,$AC$2:$AC$18-$V46)^2)))</f>
        <v>112.53151914019467</v>
      </c>
      <c r="AI46" s="150">
        <f t="array" ref="AI46">IF(AI$1=0,"",SQRT((_xlfn.XLOOKUP(AI$1,$Z$2:$Z$18,$AA$2:$AA$18)-$T46)^2+(_xlfn.XLOOKUP(AI$1,$Z$2:$Z$18,$AB$2:$AB$18)-$U46)^2+(_xlfn.XLOOKUP(AI$1,$Z$2:$Z$18,$AC$2:$AC$18-$V46)^2)))</f>
        <v>123.81444705687622</v>
      </c>
      <c r="AJ46" s="150">
        <f t="array" ref="AJ46">IF(AJ$1=0,"",SQRT((_xlfn.XLOOKUP(AJ$1,$Z$2:$Z$18,$AA$2:$AA$18)-$T46)^2+(_xlfn.XLOOKUP(AJ$1,$Z$2:$Z$18,$AB$2:$AB$18)-$U46)^2+(_xlfn.XLOOKUP(AJ$1,$Z$2:$Z$18,$AC$2:$AC$18-$V46)^2)))</f>
        <v>226.27326421828982</v>
      </c>
      <c r="AK46" s="150">
        <f t="array" ref="AK46">IF(AK$1=0,"",SQRT((_xlfn.XLOOKUP(AK$1,$Z$2:$Z$18,$AA$2:$AA$18)-$T46)^2+(_xlfn.XLOOKUP(AK$1,$Z$2:$Z$18,$AB$2:$AB$18)-$U46)^2+(_xlfn.XLOOKUP(AK$1,$Z$2:$Z$18,$AC$2:$AC$18-$V46)^2)))</f>
        <v>330.89448786584524</v>
      </c>
      <c r="AL46" s="150">
        <f t="array" ref="AL46">IF(AL$1=0,"",SQRT((_xlfn.XLOOKUP(AL$1,$Z$2:$Z$18,$AA$2:$AA$18)-$T46)^2+(_xlfn.XLOOKUP(AL$1,$Z$2:$Z$18,$AB$2:$AB$18)-$U46)^2+(_xlfn.XLOOKUP(AL$1,$Z$2:$Z$18,$AC$2:$AC$18-$V46)^2)))</f>
        <v>218.97662386656708</v>
      </c>
      <c r="AM46" s="150" t="str">
        <f t="array" ref="AM46">IF(AM$1=0,"",SQRT((_xlfn.XLOOKUP(AM$1,$Z$2:$Z$18,$AA$2:$AA$18)-$T46)^2+(_xlfn.XLOOKUP(AM$1,$Z$2:$Z$18,$AB$2:$AB$18)-$U46)^2+(_xlfn.XLOOKUP(AM$1,$Z$2:$Z$18,$AC$2:$AC$18-$V46)^2)))</f>
        <v/>
      </c>
      <c r="AN46" s="150" t="str">
        <f t="array" ref="AN46">IF(AN$1=0,"",SQRT((_xlfn.XLOOKUP(AN$1,$Z$2:$Z$18,$AA$2:$AA$18)-$T46)^2+(_xlfn.XLOOKUP(AN$1,$Z$2:$Z$18,$AB$2:$AB$18)-$U46)^2+(_xlfn.XLOOKUP(AN$1,$Z$2:$Z$18,$AC$2:$AC$18-$V46)^2)))</f>
        <v/>
      </c>
      <c r="AO46" s="150" t="str">
        <f t="array" ref="AO46">IF(AO$1=0,"",SQRT((_xlfn.XLOOKUP(AO$1,$Z$2:$Z$18,$AA$2:$AA$18)-$T46)^2+(_xlfn.XLOOKUP(AO$1,$Z$2:$Z$18,$AB$2:$AB$18)-$U46)^2+(_xlfn.XLOOKUP(AO$1,$Z$2:$Z$18,$AC$2:$AC$18-$V46)^2)))</f>
        <v/>
      </c>
      <c r="AP46" s="151" t="str">
        <f t="array" ref="AP46">IF(AP$1=0,"",SQRT((_xlfn.XLOOKUP(AP$1,$Z$2:$Z$18,$AA$2:$AA$18)-$T46)^2+(_xlfn.XLOOKUP(AP$1,$Z$2:$Z$18,$AB$2:$AB$18)-$U46)^2+(_xlfn.XLOOKUP(AP$1,$Z$2:$Z$18,$AC$2:$AC$18-$V46)^2)))</f>
        <v/>
      </c>
      <c r="AQ46" s="151" t="str">
        <f t="array" ref="AQ46">IF(AQ$1=0,"",SQRT((_xlfn.XLOOKUP(AQ$1,$Z$2:$Z$18,$AA$2:$AA$18)-$T46)^2+(_xlfn.XLOOKUP(AQ$1,$Z$2:$Z$18,$AB$2:$AB$18)-$U46)^2+(_xlfn.XLOOKUP(AQ$1,$Z$2:$Z$18,$AC$2:$AC$18-$V46)^2)))</f>
        <v/>
      </c>
      <c r="AR46" s="151" t="str">
        <f t="array" ref="AR46">IF(AR$1=0,"",SQRT((_xlfn.XLOOKUP(AR$1,$Z$2:$Z$18,$AA$2:$AA$18)-$T46)^2+(_xlfn.XLOOKUP(AR$1,$Z$2:$Z$18,$AB$2:$AB$18)-$U46)^2+(_xlfn.XLOOKUP(AR$1,$Z$2:$Z$18,$AC$2:$AC$18-$V46)^2)))</f>
        <v/>
      </c>
      <c r="AS46" s="151" t="str">
        <f t="array" ref="AS46">IF(AS$1=0,"",SQRT((_xlfn.XLOOKUP(AS$1,$Z$2:$Z$18,$AA$2:$AA$18)-$T46)^2+(_xlfn.XLOOKUP(AS$1,$Z$2:$Z$18,$AB$2:$AB$18)-$U46)^2+(_xlfn.XLOOKUP(AS$1,$Z$2:$Z$18,$AC$2:$AC$18-$V46)^2)))</f>
        <v/>
      </c>
      <c r="AT46" s="151" t="str">
        <f t="array" ref="AT46">IF(AT$1=0,"",SQRT((_xlfn.XLOOKUP(AT$1,$Z$2:$Z$18,$AA$2:$AA$18)-$T46)^2+(_xlfn.XLOOKUP(AT$1,$Z$2:$Z$18,$AB$2:$AB$18)-$U46)^2+(_xlfn.XLOOKUP(AT$1,$Z$2:$Z$18,$AC$2:$AC$18-$V46)^2)))</f>
        <v/>
      </c>
      <c r="AU46" s="151" t="str">
        <f t="array" ref="AU46">IF(AU$1=0,"",SQRT((_xlfn.XLOOKUP(AU$1,$Z$2:$Z$18,$AA$2:$AA$18)-$T46)^2+(_xlfn.XLOOKUP(AU$1,$Z$2:$Z$18,$AB$2:$AB$18)-$U46)^2+(_xlfn.XLOOKUP(AU$1,$Z$2:$Z$18,$AC$2:$AC$18-$V46)^2)))</f>
        <v/>
      </c>
      <c r="AV46" s="152" t="str">
        <f t="array" ref="AV46">IF(AV$1=0,"",SQRT((_xlfn.XLOOKUP(AV$1,$Z$2:$Z$18,$AA$2:$AA$18)-$T46)^2+(_xlfn.XLOOKUP(AV$1,$Z$2:$Z$18,$AB$2:$AB$18)-$U46)^2+(_xlfn.XLOOKUP(AV$1,$Z$2:$Z$18,$AC$2:$AC$18-$V46)^2)))</f>
        <v/>
      </c>
      <c r="AW46" s="134"/>
      <c r="AX46" s="134"/>
      <c r="AY46" s="135">
        <f t="shared" si="51"/>
        <v>0</v>
      </c>
      <c r="AZ46" s="153">
        <f t="shared" si="52"/>
        <v>0</v>
      </c>
      <c r="BA46" s="153">
        <f t="shared" si="53"/>
        <v>0</v>
      </c>
      <c r="BB46" s="153">
        <f t="shared" si="54"/>
        <v>0</v>
      </c>
      <c r="BC46" s="153">
        <f t="shared" si="55"/>
        <v>0</v>
      </c>
      <c r="BD46" s="153">
        <f t="shared" si="56"/>
        <v>0</v>
      </c>
      <c r="BE46" s="153">
        <f t="shared" si="57"/>
        <v>0</v>
      </c>
      <c r="BF46" s="153">
        <f t="shared" si="58"/>
        <v>0</v>
      </c>
      <c r="BG46" s="154">
        <f t="shared" si="59"/>
        <v>0</v>
      </c>
      <c r="BH46" s="154">
        <f t="shared" si="60"/>
        <v>0</v>
      </c>
      <c r="BI46" s="154">
        <f t="shared" si="61"/>
        <v>0</v>
      </c>
      <c r="BJ46" s="154">
        <f t="shared" si="62"/>
        <v>0</v>
      </c>
      <c r="BK46" s="154">
        <f t="shared" si="63"/>
        <v>0</v>
      </c>
      <c r="BL46" s="154">
        <f t="shared" si="64"/>
        <v>0</v>
      </c>
      <c r="BM46" s="155">
        <f t="shared" si="65"/>
        <v>0</v>
      </c>
      <c r="BN46" s="134"/>
      <c r="BO46" s="21" t="s">
        <v>71</v>
      </c>
      <c r="BP46" s="21">
        <f>ROUND(BQ49,0)</f>
        <v>5</v>
      </c>
      <c r="BQ46" s="21">
        <f>_xlfn.XLOOKUP(BP48,BO39:BO45,BP39:BP45,"error",0,1)</f>
        <v>4</v>
      </c>
      <c r="BR46" s="134"/>
      <c r="BS46" s="134"/>
      <c r="BT46" s="134"/>
      <c r="BU46" s="134"/>
      <c r="BV46" s="140"/>
      <c r="BW46" s="140"/>
      <c r="BX46" s="140"/>
      <c r="BY46" s="140"/>
      <c r="BZ46" s="140"/>
      <c r="CA46" s="140"/>
      <c r="CB46" s="140"/>
      <c r="CC46" s="140"/>
      <c r="CD46" s="140"/>
      <c r="CE46" s="140"/>
      <c r="CF46" s="140"/>
      <c r="CG46" s="140"/>
      <c r="CH46" s="140"/>
      <c r="CI46" s="140"/>
      <c r="CJ46" s="140"/>
      <c r="CK46" s="134"/>
      <c r="CL46" s="134"/>
      <c r="CM46" s="169">
        <f t="shared" si="66"/>
        <v>0</v>
      </c>
      <c r="CN46" s="170">
        <f t="shared" si="67"/>
        <v>0</v>
      </c>
      <c r="CO46" s="170">
        <f t="shared" si="68"/>
        <v>0</v>
      </c>
      <c r="CP46" s="170">
        <f t="shared" si="69"/>
        <v>0</v>
      </c>
      <c r="CQ46" s="170">
        <f t="shared" si="70"/>
        <v>0</v>
      </c>
      <c r="CR46" s="170" t="str">
        <f t="shared" si="71"/>
        <v/>
      </c>
      <c r="CS46" s="170" t="str">
        <f t="shared" si="72"/>
        <v/>
      </c>
      <c r="CT46" s="170" t="str">
        <f t="shared" si="73"/>
        <v/>
      </c>
      <c r="CU46" s="172" t="str">
        <f t="shared" si="74"/>
        <v/>
      </c>
      <c r="CV46" s="172" t="str">
        <f t="shared" si="75"/>
        <v/>
      </c>
      <c r="CW46" s="172" t="str">
        <f t="shared" si="76"/>
        <v/>
      </c>
      <c r="CX46" s="172" t="str">
        <f t="shared" si="77"/>
        <v/>
      </c>
      <c r="CY46" s="172" t="str">
        <f t="shared" si="78"/>
        <v/>
      </c>
      <c r="CZ46" s="172" t="str">
        <f t="shared" si="79"/>
        <v/>
      </c>
      <c r="DA46" s="173" t="str">
        <f t="shared" si="80"/>
        <v/>
      </c>
    </row>
    <row r="47" spans="1:105" ht="16.5" customHeight="1" x14ac:dyDescent="0.3">
      <c r="A47" s="145"/>
      <c r="B47" s="146"/>
      <c r="C47" s="146"/>
      <c r="D47" s="147"/>
      <c r="E47" s="202"/>
      <c r="F47" s="210"/>
      <c r="G47" s="211"/>
      <c r="H47" s="211"/>
      <c r="I47" s="211"/>
      <c r="J47" s="211"/>
      <c r="K47" s="211"/>
      <c r="L47" s="211"/>
      <c r="M47" s="215"/>
      <c r="N47" s="210"/>
      <c r="O47" s="212"/>
      <c r="P47" s="205"/>
      <c r="Q47" s="128">
        <f t="shared" si="34"/>
        <v>0</v>
      </c>
      <c r="R47" s="3"/>
      <c r="S47" s="3"/>
      <c r="T47" s="4"/>
      <c r="U47" s="4"/>
      <c r="V47" s="109">
        <f t="shared" si="50"/>
        <v>0</v>
      </c>
      <c r="W47" s="171"/>
      <c r="X47" s="148"/>
      <c r="Z47" s="115" t="s">
        <v>198</v>
      </c>
      <c r="AA47" s="113">
        <v>0</v>
      </c>
      <c r="AB47" s="52">
        <v>0</v>
      </c>
      <c r="AC47" s="106">
        <v>75.400000000000006</v>
      </c>
      <c r="AD47" s="52">
        <v>0</v>
      </c>
      <c r="AE47" s="52">
        <v>0</v>
      </c>
      <c r="AF47" s="53">
        <v>75.400000000000006</v>
      </c>
      <c r="AH47" s="168">
        <f t="array" ref="AH47">IF(AH$1=0,"",SQRT((_xlfn.XLOOKUP(AH$1,$Z$2:$Z$18,$AA$2:$AA$18)-$T47)^2+(_xlfn.XLOOKUP(AH$1,$Z$2:$Z$18,$AB$2:$AB$18)-$U47)^2+(_xlfn.XLOOKUP(AH$1,$Z$2:$Z$18,$AC$2:$AC$18-$V47)^2)))</f>
        <v>112.53151914019467</v>
      </c>
      <c r="AI47" s="150">
        <f t="array" ref="AI47">IF(AI$1=0,"",SQRT((_xlfn.XLOOKUP(AI$1,$Z$2:$Z$18,$AA$2:$AA$18)-$T47)^2+(_xlfn.XLOOKUP(AI$1,$Z$2:$Z$18,$AB$2:$AB$18)-$U47)^2+(_xlfn.XLOOKUP(AI$1,$Z$2:$Z$18,$AC$2:$AC$18-$V47)^2)))</f>
        <v>123.81444705687622</v>
      </c>
      <c r="AJ47" s="150">
        <f t="array" ref="AJ47">IF(AJ$1=0,"",SQRT((_xlfn.XLOOKUP(AJ$1,$Z$2:$Z$18,$AA$2:$AA$18)-$T47)^2+(_xlfn.XLOOKUP(AJ$1,$Z$2:$Z$18,$AB$2:$AB$18)-$U47)^2+(_xlfn.XLOOKUP(AJ$1,$Z$2:$Z$18,$AC$2:$AC$18-$V47)^2)))</f>
        <v>226.27326421828982</v>
      </c>
      <c r="AK47" s="150">
        <f t="array" ref="AK47">IF(AK$1=0,"",SQRT((_xlfn.XLOOKUP(AK$1,$Z$2:$Z$18,$AA$2:$AA$18)-$T47)^2+(_xlfn.XLOOKUP(AK$1,$Z$2:$Z$18,$AB$2:$AB$18)-$U47)^2+(_xlfn.XLOOKUP(AK$1,$Z$2:$Z$18,$AC$2:$AC$18-$V47)^2)))</f>
        <v>330.89448786584524</v>
      </c>
      <c r="AL47" s="150">
        <f t="array" ref="AL47">IF(AL$1=0,"",SQRT((_xlfn.XLOOKUP(AL$1,$Z$2:$Z$18,$AA$2:$AA$18)-$T47)^2+(_xlfn.XLOOKUP(AL$1,$Z$2:$Z$18,$AB$2:$AB$18)-$U47)^2+(_xlfn.XLOOKUP(AL$1,$Z$2:$Z$18,$AC$2:$AC$18-$V47)^2)))</f>
        <v>218.97662386656708</v>
      </c>
      <c r="AM47" s="150" t="str">
        <f t="array" ref="AM47">IF(AM$1=0,"",SQRT((_xlfn.XLOOKUP(AM$1,$Z$2:$Z$18,$AA$2:$AA$18)-$T47)^2+(_xlfn.XLOOKUP(AM$1,$Z$2:$Z$18,$AB$2:$AB$18)-$U47)^2+(_xlfn.XLOOKUP(AM$1,$Z$2:$Z$18,$AC$2:$AC$18-$V47)^2)))</f>
        <v/>
      </c>
      <c r="AN47" s="150" t="str">
        <f t="array" ref="AN47">IF(AN$1=0,"",SQRT((_xlfn.XLOOKUP(AN$1,$Z$2:$Z$18,$AA$2:$AA$18)-$T47)^2+(_xlfn.XLOOKUP(AN$1,$Z$2:$Z$18,$AB$2:$AB$18)-$U47)^2+(_xlfn.XLOOKUP(AN$1,$Z$2:$Z$18,$AC$2:$AC$18-$V47)^2)))</f>
        <v/>
      </c>
      <c r="AO47" s="150" t="str">
        <f t="array" ref="AO47">IF(AO$1=0,"",SQRT((_xlfn.XLOOKUP(AO$1,$Z$2:$Z$18,$AA$2:$AA$18)-$T47)^2+(_xlfn.XLOOKUP(AO$1,$Z$2:$Z$18,$AB$2:$AB$18)-$U47)^2+(_xlfn.XLOOKUP(AO$1,$Z$2:$Z$18,$AC$2:$AC$18-$V47)^2)))</f>
        <v/>
      </c>
      <c r="AP47" s="151" t="str">
        <f t="array" ref="AP47">IF(AP$1=0,"",SQRT((_xlfn.XLOOKUP(AP$1,$Z$2:$Z$18,$AA$2:$AA$18)-$T47)^2+(_xlfn.XLOOKUP(AP$1,$Z$2:$Z$18,$AB$2:$AB$18)-$U47)^2+(_xlfn.XLOOKUP(AP$1,$Z$2:$Z$18,$AC$2:$AC$18-$V47)^2)))</f>
        <v/>
      </c>
      <c r="AQ47" s="151" t="str">
        <f t="array" ref="AQ47">IF(AQ$1=0,"",SQRT((_xlfn.XLOOKUP(AQ$1,$Z$2:$Z$18,$AA$2:$AA$18)-$T47)^2+(_xlfn.XLOOKUP(AQ$1,$Z$2:$Z$18,$AB$2:$AB$18)-$U47)^2+(_xlfn.XLOOKUP(AQ$1,$Z$2:$Z$18,$AC$2:$AC$18-$V47)^2)))</f>
        <v/>
      </c>
      <c r="AR47" s="151" t="str">
        <f t="array" ref="AR47">IF(AR$1=0,"",SQRT((_xlfn.XLOOKUP(AR$1,$Z$2:$Z$18,$AA$2:$AA$18)-$T47)^2+(_xlfn.XLOOKUP(AR$1,$Z$2:$Z$18,$AB$2:$AB$18)-$U47)^2+(_xlfn.XLOOKUP(AR$1,$Z$2:$Z$18,$AC$2:$AC$18-$V47)^2)))</f>
        <v/>
      </c>
      <c r="AS47" s="151" t="str">
        <f t="array" ref="AS47">IF(AS$1=0,"",SQRT((_xlfn.XLOOKUP(AS$1,$Z$2:$Z$18,$AA$2:$AA$18)-$T47)^2+(_xlfn.XLOOKUP(AS$1,$Z$2:$Z$18,$AB$2:$AB$18)-$U47)^2+(_xlfn.XLOOKUP(AS$1,$Z$2:$Z$18,$AC$2:$AC$18-$V47)^2)))</f>
        <v/>
      </c>
      <c r="AT47" s="151" t="str">
        <f t="array" ref="AT47">IF(AT$1=0,"",SQRT((_xlfn.XLOOKUP(AT$1,$Z$2:$Z$18,$AA$2:$AA$18)-$T47)^2+(_xlfn.XLOOKUP(AT$1,$Z$2:$Z$18,$AB$2:$AB$18)-$U47)^2+(_xlfn.XLOOKUP(AT$1,$Z$2:$Z$18,$AC$2:$AC$18-$V47)^2)))</f>
        <v/>
      </c>
      <c r="AU47" s="151" t="str">
        <f t="array" ref="AU47">IF(AU$1=0,"",SQRT((_xlfn.XLOOKUP(AU$1,$Z$2:$Z$18,$AA$2:$AA$18)-$T47)^2+(_xlfn.XLOOKUP(AU$1,$Z$2:$Z$18,$AB$2:$AB$18)-$U47)^2+(_xlfn.XLOOKUP(AU$1,$Z$2:$Z$18,$AC$2:$AC$18-$V47)^2)))</f>
        <v/>
      </c>
      <c r="AV47" s="152" t="str">
        <f t="array" ref="AV47">IF(AV$1=0,"",SQRT((_xlfn.XLOOKUP(AV$1,$Z$2:$Z$18,$AA$2:$AA$18)-$T47)^2+(_xlfn.XLOOKUP(AV$1,$Z$2:$Z$18,$AB$2:$AB$18)-$U47)^2+(_xlfn.XLOOKUP(AV$1,$Z$2:$Z$18,$AC$2:$AC$18-$V47)^2)))</f>
        <v/>
      </c>
      <c r="AW47" s="134"/>
      <c r="AX47" s="134"/>
      <c r="AY47" s="135">
        <f t="shared" si="51"/>
        <v>0</v>
      </c>
      <c r="AZ47" s="153">
        <f t="shared" si="52"/>
        <v>0</v>
      </c>
      <c r="BA47" s="153">
        <f t="shared" si="53"/>
        <v>0</v>
      </c>
      <c r="BB47" s="153">
        <f t="shared" si="54"/>
        <v>0</v>
      </c>
      <c r="BC47" s="153">
        <f t="shared" si="55"/>
        <v>0</v>
      </c>
      <c r="BD47" s="153">
        <f t="shared" si="56"/>
        <v>0</v>
      </c>
      <c r="BE47" s="153">
        <f t="shared" si="57"/>
        <v>0</v>
      </c>
      <c r="BF47" s="153">
        <f t="shared" si="58"/>
        <v>0</v>
      </c>
      <c r="BG47" s="154">
        <f t="shared" si="59"/>
        <v>0</v>
      </c>
      <c r="BH47" s="154">
        <f t="shared" si="60"/>
        <v>0</v>
      </c>
      <c r="BI47" s="154">
        <f t="shared" si="61"/>
        <v>0</v>
      </c>
      <c r="BJ47" s="154">
        <f t="shared" si="62"/>
        <v>0</v>
      </c>
      <c r="BK47" s="154">
        <f t="shared" si="63"/>
        <v>0</v>
      </c>
      <c r="BL47" s="154">
        <f t="shared" si="64"/>
        <v>0</v>
      </c>
      <c r="BM47" s="155">
        <f t="shared" si="65"/>
        <v>0</v>
      </c>
      <c r="BN47" s="134"/>
      <c r="BO47" s="21" t="s">
        <v>72</v>
      </c>
      <c r="BP47" s="43">
        <f>'Input LwA_XYZ'!BP12</f>
        <v>0.6472550947896849</v>
      </c>
      <c r="BQ47" s="21">
        <f>_xlfn.XLOOKUP(BP49,BO39:BO45,BP39:BP45,"error",0,1)</f>
        <v>7</v>
      </c>
      <c r="BR47" s="134"/>
      <c r="BS47" s="134"/>
      <c r="BT47" s="134"/>
      <c r="BU47" s="134"/>
      <c r="BV47" s="140"/>
      <c r="BW47" s="140"/>
      <c r="BX47" s="140"/>
      <c r="BY47" s="140"/>
      <c r="BZ47" s="140"/>
      <c r="CA47" s="140"/>
      <c r="CB47" s="140"/>
      <c r="CC47" s="140"/>
      <c r="CD47" s="140"/>
      <c r="CE47" s="140"/>
      <c r="CF47" s="140"/>
      <c r="CG47" s="140"/>
      <c r="CH47" s="140"/>
      <c r="CI47" s="140"/>
      <c r="CJ47" s="140"/>
      <c r="CK47" s="134"/>
      <c r="CL47" s="134"/>
      <c r="CM47" s="169">
        <f t="shared" si="66"/>
        <v>0</v>
      </c>
      <c r="CN47" s="170">
        <f t="shared" si="67"/>
        <v>0</v>
      </c>
      <c r="CO47" s="170">
        <f t="shared" si="68"/>
        <v>0</v>
      </c>
      <c r="CP47" s="170">
        <f t="shared" si="69"/>
        <v>0</v>
      </c>
      <c r="CQ47" s="170">
        <f t="shared" si="70"/>
        <v>0</v>
      </c>
      <c r="CR47" s="170" t="str">
        <f t="shared" si="71"/>
        <v/>
      </c>
      <c r="CS47" s="170" t="str">
        <f t="shared" si="72"/>
        <v/>
      </c>
      <c r="CT47" s="170" t="str">
        <f t="shared" si="73"/>
        <v/>
      </c>
      <c r="CU47" s="172" t="str">
        <f t="shared" si="74"/>
        <v/>
      </c>
      <c r="CV47" s="172" t="str">
        <f t="shared" si="75"/>
        <v/>
      </c>
      <c r="CW47" s="172" t="str">
        <f t="shared" si="76"/>
        <v/>
      </c>
      <c r="CX47" s="172" t="str">
        <f t="shared" si="77"/>
        <v/>
      </c>
      <c r="CY47" s="172" t="str">
        <f t="shared" si="78"/>
        <v/>
      </c>
      <c r="CZ47" s="172" t="str">
        <f t="shared" si="79"/>
        <v/>
      </c>
      <c r="DA47" s="173" t="str">
        <f t="shared" si="80"/>
        <v/>
      </c>
    </row>
    <row r="48" spans="1:105" ht="16.5" customHeight="1" x14ac:dyDescent="0.3">
      <c r="A48" s="145"/>
      <c r="B48" s="146"/>
      <c r="C48" s="146"/>
      <c r="D48" s="147"/>
      <c r="E48" s="202"/>
      <c r="F48" s="210"/>
      <c r="G48" s="211"/>
      <c r="H48" s="211"/>
      <c r="I48" s="211"/>
      <c r="J48" s="211"/>
      <c r="K48" s="211"/>
      <c r="L48" s="211"/>
      <c r="M48" s="215"/>
      <c r="N48" s="210"/>
      <c r="O48" s="212"/>
      <c r="P48" s="205"/>
      <c r="Q48" s="128">
        <f t="shared" si="34"/>
        <v>0</v>
      </c>
      <c r="R48" s="3"/>
      <c r="S48" s="3"/>
      <c r="T48" s="4"/>
      <c r="U48" s="4"/>
      <c r="V48" s="109">
        <f t="shared" si="50"/>
        <v>0</v>
      </c>
      <c r="W48" s="171"/>
      <c r="X48" s="148"/>
      <c r="Z48" s="116"/>
      <c r="AA48" s="113"/>
      <c r="AB48" s="52"/>
      <c r="AC48" s="53"/>
      <c r="AD48" s="52"/>
      <c r="AE48" s="52"/>
      <c r="AF48" s="53"/>
      <c r="AH48" s="168">
        <f t="array" ref="AH48">IF(AH$1=0,"",SQRT((_xlfn.XLOOKUP(AH$1,$Z$2:$Z$18,$AA$2:$AA$18)-$T48)^2+(_xlfn.XLOOKUP(AH$1,$Z$2:$Z$18,$AB$2:$AB$18)-$U48)^2+(_xlfn.XLOOKUP(AH$1,$Z$2:$Z$18,$AC$2:$AC$18-$V48)^2)))</f>
        <v>112.53151914019467</v>
      </c>
      <c r="AI48" s="150">
        <f t="array" ref="AI48">IF(AI$1=0,"",SQRT((_xlfn.XLOOKUP(AI$1,$Z$2:$Z$18,$AA$2:$AA$18)-$T48)^2+(_xlfn.XLOOKUP(AI$1,$Z$2:$Z$18,$AB$2:$AB$18)-$U48)^2+(_xlfn.XLOOKUP(AI$1,$Z$2:$Z$18,$AC$2:$AC$18-$V48)^2)))</f>
        <v>123.81444705687622</v>
      </c>
      <c r="AJ48" s="150">
        <f t="array" ref="AJ48">IF(AJ$1=0,"",SQRT((_xlfn.XLOOKUP(AJ$1,$Z$2:$Z$18,$AA$2:$AA$18)-$T48)^2+(_xlfn.XLOOKUP(AJ$1,$Z$2:$Z$18,$AB$2:$AB$18)-$U48)^2+(_xlfn.XLOOKUP(AJ$1,$Z$2:$Z$18,$AC$2:$AC$18-$V48)^2)))</f>
        <v>226.27326421828982</v>
      </c>
      <c r="AK48" s="150">
        <f t="array" ref="AK48">IF(AK$1=0,"",SQRT((_xlfn.XLOOKUP(AK$1,$Z$2:$Z$18,$AA$2:$AA$18)-$T48)^2+(_xlfn.XLOOKUP(AK$1,$Z$2:$Z$18,$AB$2:$AB$18)-$U48)^2+(_xlfn.XLOOKUP(AK$1,$Z$2:$Z$18,$AC$2:$AC$18-$V48)^2)))</f>
        <v>330.89448786584524</v>
      </c>
      <c r="AL48" s="150">
        <f t="array" ref="AL48">IF(AL$1=0,"",SQRT((_xlfn.XLOOKUP(AL$1,$Z$2:$Z$18,$AA$2:$AA$18)-$T48)^2+(_xlfn.XLOOKUP(AL$1,$Z$2:$Z$18,$AB$2:$AB$18)-$U48)^2+(_xlfn.XLOOKUP(AL$1,$Z$2:$Z$18,$AC$2:$AC$18-$V48)^2)))</f>
        <v>218.97662386656708</v>
      </c>
      <c r="AM48" s="150" t="str">
        <f t="array" ref="AM48">IF(AM$1=0,"",SQRT((_xlfn.XLOOKUP(AM$1,$Z$2:$Z$18,$AA$2:$AA$18)-$T48)^2+(_xlfn.XLOOKUP(AM$1,$Z$2:$Z$18,$AB$2:$AB$18)-$U48)^2+(_xlfn.XLOOKUP(AM$1,$Z$2:$Z$18,$AC$2:$AC$18-$V48)^2)))</f>
        <v/>
      </c>
      <c r="AN48" s="150" t="str">
        <f t="array" ref="AN48">IF(AN$1=0,"",SQRT((_xlfn.XLOOKUP(AN$1,$Z$2:$Z$18,$AA$2:$AA$18)-$T48)^2+(_xlfn.XLOOKUP(AN$1,$Z$2:$Z$18,$AB$2:$AB$18)-$U48)^2+(_xlfn.XLOOKUP(AN$1,$Z$2:$Z$18,$AC$2:$AC$18-$V48)^2)))</f>
        <v/>
      </c>
      <c r="AO48" s="150" t="str">
        <f t="array" ref="AO48">IF(AO$1=0,"",SQRT((_xlfn.XLOOKUP(AO$1,$Z$2:$Z$18,$AA$2:$AA$18)-$T48)^2+(_xlfn.XLOOKUP(AO$1,$Z$2:$Z$18,$AB$2:$AB$18)-$U48)^2+(_xlfn.XLOOKUP(AO$1,$Z$2:$Z$18,$AC$2:$AC$18-$V48)^2)))</f>
        <v/>
      </c>
      <c r="AP48" s="151" t="str">
        <f t="array" ref="AP48">IF(AP$1=0,"",SQRT((_xlfn.XLOOKUP(AP$1,$Z$2:$Z$18,$AA$2:$AA$18)-$T48)^2+(_xlfn.XLOOKUP(AP$1,$Z$2:$Z$18,$AB$2:$AB$18)-$U48)^2+(_xlfn.XLOOKUP(AP$1,$Z$2:$Z$18,$AC$2:$AC$18-$V48)^2)))</f>
        <v/>
      </c>
      <c r="AQ48" s="151" t="str">
        <f t="array" ref="AQ48">IF(AQ$1=0,"",SQRT((_xlfn.XLOOKUP(AQ$1,$Z$2:$Z$18,$AA$2:$AA$18)-$T48)^2+(_xlfn.XLOOKUP(AQ$1,$Z$2:$Z$18,$AB$2:$AB$18)-$U48)^2+(_xlfn.XLOOKUP(AQ$1,$Z$2:$Z$18,$AC$2:$AC$18-$V48)^2)))</f>
        <v/>
      </c>
      <c r="AR48" s="151" t="str">
        <f t="array" ref="AR48">IF(AR$1=0,"",SQRT((_xlfn.XLOOKUP(AR$1,$Z$2:$Z$18,$AA$2:$AA$18)-$T48)^2+(_xlfn.XLOOKUP(AR$1,$Z$2:$Z$18,$AB$2:$AB$18)-$U48)^2+(_xlfn.XLOOKUP(AR$1,$Z$2:$Z$18,$AC$2:$AC$18-$V48)^2)))</f>
        <v/>
      </c>
      <c r="AS48" s="151" t="str">
        <f t="array" ref="AS48">IF(AS$1=0,"",SQRT((_xlfn.XLOOKUP(AS$1,$Z$2:$Z$18,$AA$2:$AA$18)-$T48)^2+(_xlfn.XLOOKUP(AS$1,$Z$2:$Z$18,$AB$2:$AB$18)-$U48)^2+(_xlfn.XLOOKUP(AS$1,$Z$2:$Z$18,$AC$2:$AC$18-$V48)^2)))</f>
        <v/>
      </c>
      <c r="AT48" s="151" t="str">
        <f t="array" ref="AT48">IF(AT$1=0,"",SQRT((_xlfn.XLOOKUP(AT$1,$Z$2:$Z$18,$AA$2:$AA$18)-$T48)^2+(_xlfn.XLOOKUP(AT$1,$Z$2:$Z$18,$AB$2:$AB$18)-$U48)^2+(_xlfn.XLOOKUP(AT$1,$Z$2:$Z$18,$AC$2:$AC$18-$V48)^2)))</f>
        <v/>
      </c>
      <c r="AU48" s="151" t="str">
        <f t="array" ref="AU48">IF(AU$1=0,"",SQRT((_xlfn.XLOOKUP(AU$1,$Z$2:$Z$18,$AA$2:$AA$18)-$T48)^2+(_xlfn.XLOOKUP(AU$1,$Z$2:$Z$18,$AB$2:$AB$18)-$U48)^2+(_xlfn.XLOOKUP(AU$1,$Z$2:$Z$18,$AC$2:$AC$18-$V48)^2)))</f>
        <v/>
      </c>
      <c r="AV48" s="152" t="str">
        <f t="array" ref="AV48">IF(AV$1=0,"",SQRT((_xlfn.XLOOKUP(AV$1,$Z$2:$Z$18,$AA$2:$AA$18)-$T48)^2+(_xlfn.XLOOKUP(AV$1,$Z$2:$Z$18,$AB$2:$AB$18)-$U48)^2+(_xlfn.XLOOKUP(AV$1,$Z$2:$Z$18,$AC$2:$AC$18-$V48)^2)))</f>
        <v/>
      </c>
      <c r="AW48" s="134"/>
      <c r="AX48" s="134"/>
      <c r="AY48" s="135">
        <f t="shared" si="51"/>
        <v>0</v>
      </c>
      <c r="AZ48" s="153">
        <f t="shared" si="52"/>
        <v>0</v>
      </c>
      <c r="BA48" s="153">
        <f t="shared" si="53"/>
        <v>0</v>
      </c>
      <c r="BB48" s="153">
        <f t="shared" si="54"/>
        <v>0</v>
      </c>
      <c r="BC48" s="153">
        <f t="shared" si="55"/>
        <v>0</v>
      </c>
      <c r="BD48" s="153">
        <f t="shared" si="56"/>
        <v>0</v>
      </c>
      <c r="BE48" s="153">
        <f t="shared" si="57"/>
        <v>0</v>
      </c>
      <c r="BF48" s="153">
        <f t="shared" si="58"/>
        <v>0</v>
      </c>
      <c r="BG48" s="154">
        <f t="shared" si="59"/>
        <v>0</v>
      </c>
      <c r="BH48" s="154">
        <f t="shared" si="60"/>
        <v>0</v>
      </c>
      <c r="BI48" s="154">
        <f t="shared" si="61"/>
        <v>0</v>
      </c>
      <c r="BJ48" s="154">
        <f t="shared" si="62"/>
        <v>0</v>
      </c>
      <c r="BK48" s="154">
        <f t="shared" si="63"/>
        <v>0</v>
      </c>
      <c r="BL48" s="154">
        <f t="shared" si="64"/>
        <v>0</v>
      </c>
      <c r="BM48" s="155">
        <f t="shared" si="65"/>
        <v>0</v>
      </c>
      <c r="BN48" s="134"/>
      <c r="BO48" s="21" t="s">
        <v>73</v>
      </c>
      <c r="BP48" s="21">
        <f>_xlfn.XLOOKUP(BP47,BO39:BO45,BO39:BO45,"error",-1,1)</f>
        <v>0.5</v>
      </c>
      <c r="BQ48" s="21">
        <f>BQ47-BQ46</f>
        <v>3</v>
      </c>
      <c r="BR48" s="134"/>
      <c r="BS48" s="134"/>
      <c r="BT48" s="134"/>
      <c r="BU48" s="134"/>
      <c r="BV48" s="140"/>
      <c r="BW48" s="140"/>
      <c r="BX48" s="140"/>
      <c r="BY48" s="140"/>
      <c r="BZ48" s="140"/>
      <c r="CA48" s="140"/>
      <c r="CB48" s="140"/>
      <c r="CC48" s="140"/>
      <c r="CD48" s="140"/>
      <c r="CE48" s="140"/>
      <c r="CF48" s="140"/>
      <c r="CG48" s="140"/>
      <c r="CH48" s="140"/>
      <c r="CI48" s="140"/>
      <c r="CJ48" s="140"/>
      <c r="CK48" s="134"/>
      <c r="CL48" s="134"/>
      <c r="CM48" s="169">
        <f t="shared" si="66"/>
        <v>0</v>
      </c>
      <c r="CN48" s="170">
        <f t="shared" si="67"/>
        <v>0</v>
      </c>
      <c r="CO48" s="170">
        <f t="shared" si="68"/>
        <v>0</v>
      </c>
      <c r="CP48" s="170">
        <f t="shared" si="69"/>
        <v>0</v>
      </c>
      <c r="CQ48" s="170">
        <f t="shared" si="70"/>
        <v>0</v>
      </c>
      <c r="CR48" s="170" t="str">
        <f t="shared" si="71"/>
        <v/>
      </c>
      <c r="CS48" s="170" t="str">
        <f t="shared" si="72"/>
        <v/>
      </c>
      <c r="CT48" s="170" t="str">
        <f t="shared" si="73"/>
        <v/>
      </c>
      <c r="CU48" s="172" t="str">
        <f t="shared" si="74"/>
        <v/>
      </c>
      <c r="CV48" s="172" t="str">
        <f t="shared" si="75"/>
        <v/>
      </c>
      <c r="CW48" s="172" t="str">
        <f t="shared" si="76"/>
        <v/>
      </c>
      <c r="CX48" s="172" t="str">
        <f t="shared" si="77"/>
        <v/>
      </c>
      <c r="CY48" s="172" t="str">
        <f t="shared" si="78"/>
        <v/>
      </c>
      <c r="CZ48" s="172" t="str">
        <f t="shared" si="79"/>
        <v/>
      </c>
      <c r="DA48" s="173" t="str">
        <f t="shared" si="80"/>
        <v/>
      </c>
    </row>
    <row r="49" spans="1:105" ht="16.5" customHeight="1" x14ac:dyDescent="0.3">
      <c r="A49" s="145"/>
      <c r="B49" s="146"/>
      <c r="C49" s="146"/>
      <c r="D49" s="147"/>
      <c r="E49" s="202"/>
      <c r="F49" s="210"/>
      <c r="G49" s="211"/>
      <c r="H49" s="211"/>
      <c r="I49" s="211"/>
      <c r="J49" s="211"/>
      <c r="K49" s="211"/>
      <c r="L49" s="211"/>
      <c r="M49" s="215"/>
      <c r="N49" s="210"/>
      <c r="O49" s="212"/>
      <c r="P49" s="205"/>
      <c r="Q49" s="128">
        <f t="shared" si="34"/>
        <v>0</v>
      </c>
      <c r="R49" s="3"/>
      <c r="S49" s="3"/>
      <c r="T49" s="4"/>
      <c r="U49" s="4"/>
      <c r="V49" s="109">
        <f t="shared" si="50"/>
        <v>0</v>
      </c>
      <c r="W49" s="171"/>
      <c r="X49" s="148"/>
      <c r="Z49" s="116"/>
      <c r="AA49" s="113"/>
      <c r="AB49" s="52"/>
      <c r="AC49" s="53"/>
      <c r="AD49" s="52"/>
      <c r="AE49" s="52"/>
      <c r="AF49" s="53"/>
      <c r="AH49" s="168">
        <f t="array" ref="AH49">IF(AH$1=0,"",SQRT((_xlfn.XLOOKUP(AH$1,$Z$2:$Z$18,$AA$2:$AA$18)-$T49)^2+(_xlfn.XLOOKUP(AH$1,$Z$2:$Z$18,$AB$2:$AB$18)-$U49)^2+(_xlfn.XLOOKUP(AH$1,$Z$2:$Z$18,$AC$2:$AC$18-$V49)^2)))</f>
        <v>112.53151914019467</v>
      </c>
      <c r="AI49" s="150">
        <f t="array" ref="AI49">IF(AI$1=0,"",SQRT((_xlfn.XLOOKUP(AI$1,$Z$2:$Z$18,$AA$2:$AA$18)-$T49)^2+(_xlfn.XLOOKUP(AI$1,$Z$2:$Z$18,$AB$2:$AB$18)-$U49)^2+(_xlfn.XLOOKUP(AI$1,$Z$2:$Z$18,$AC$2:$AC$18-$V49)^2)))</f>
        <v>123.81444705687622</v>
      </c>
      <c r="AJ49" s="150">
        <f t="array" ref="AJ49">IF(AJ$1=0,"",SQRT((_xlfn.XLOOKUP(AJ$1,$Z$2:$Z$18,$AA$2:$AA$18)-$T49)^2+(_xlfn.XLOOKUP(AJ$1,$Z$2:$Z$18,$AB$2:$AB$18)-$U49)^2+(_xlfn.XLOOKUP(AJ$1,$Z$2:$Z$18,$AC$2:$AC$18-$V49)^2)))</f>
        <v>226.27326421828982</v>
      </c>
      <c r="AK49" s="150">
        <f t="array" ref="AK49">IF(AK$1=0,"",SQRT((_xlfn.XLOOKUP(AK$1,$Z$2:$Z$18,$AA$2:$AA$18)-$T49)^2+(_xlfn.XLOOKUP(AK$1,$Z$2:$Z$18,$AB$2:$AB$18)-$U49)^2+(_xlfn.XLOOKUP(AK$1,$Z$2:$Z$18,$AC$2:$AC$18-$V49)^2)))</f>
        <v>330.89448786584524</v>
      </c>
      <c r="AL49" s="150">
        <f t="array" ref="AL49">IF(AL$1=0,"",SQRT((_xlfn.XLOOKUP(AL$1,$Z$2:$Z$18,$AA$2:$AA$18)-$T49)^2+(_xlfn.XLOOKUP(AL$1,$Z$2:$Z$18,$AB$2:$AB$18)-$U49)^2+(_xlfn.XLOOKUP(AL$1,$Z$2:$Z$18,$AC$2:$AC$18-$V49)^2)))</f>
        <v>218.97662386656708</v>
      </c>
      <c r="AM49" s="150" t="str">
        <f t="array" ref="AM49">IF(AM$1=0,"",SQRT((_xlfn.XLOOKUP(AM$1,$Z$2:$Z$18,$AA$2:$AA$18)-$T49)^2+(_xlfn.XLOOKUP(AM$1,$Z$2:$Z$18,$AB$2:$AB$18)-$U49)^2+(_xlfn.XLOOKUP(AM$1,$Z$2:$Z$18,$AC$2:$AC$18-$V49)^2)))</f>
        <v/>
      </c>
      <c r="AN49" s="150" t="str">
        <f t="array" ref="AN49">IF(AN$1=0,"",SQRT((_xlfn.XLOOKUP(AN$1,$Z$2:$Z$18,$AA$2:$AA$18)-$T49)^2+(_xlfn.XLOOKUP(AN$1,$Z$2:$Z$18,$AB$2:$AB$18)-$U49)^2+(_xlfn.XLOOKUP(AN$1,$Z$2:$Z$18,$AC$2:$AC$18-$V49)^2)))</f>
        <v/>
      </c>
      <c r="AO49" s="150" t="str">
        <f t="array" ref="AO49">IF(AO$1=0,"",SQRT((_xlfn.XLOOKUP(AO$1,$Z$2:$Z$18,$AA$2:$AA$18)-$T49)^2+(_xlfn.XLOOKUP(AO$1,$Z$2:$Z$18,$AB$2:$AB$18)-$U49)^2+(_xlfn.XLOOKUP(AO$1,$Z$2:$Z$18,$AC$2:$AC$18-$V49)^2)))</f>
        <v/>
      </c>
      <c r="AP49" s="151" t="str">
        <f t="array" ref="AP49">IF(AP$1=0,"",SQRT((_xlfn.XLOOKUP(AP$1,$Z$2:$Z$18,$AA$2:$AA$18)-$T49)^2+(_xlfn.XLOOKUP(AP$1,$Z$2:$Z$18,$AB$2:$AB$18)-$U49)^2+(_xlfn.XLOOKUP(AP$1,$Z$2:$Z$18,$AC$2:$AC$18-$V49)^2)))</f>
        <v/>
      </c>
      <c r="AQ49" s="151" t="str">
        <f t="array" ref="AQ49">IF(AQ$1=0,"",SQRT((_xlfn.XLOOKUP(AQ$1,$Z$2:$Z$18,$AA$2:$AA$18)-$T49)^2+(_xlfn.XLOOKUP(AQ$1,$Z$2:$Z$18,$AB$2:$AB$18)-$U49)^2+(_xlfn.XLOOKUP(AQ$1,$Z$2:$Z$18,$AC$2:$AC$18-$V49)^2)))</f>
        <v/>
      </c>
      <c r="AR49" s="151" t="str">
        <f t="array" ref="AR49">IF(AR$1=0,"",SQRT((_xlfn.XLOOKUP(AR$1,$Z$2:$Z$18,$AA$2:$AA$18)-$T49)^2+(_xlfn.XLOOKUP(AR$1,$Z$2:$Z$18,$AB$2:$AB$18)-$U49)^2+(_xlfn.XLOOKUP(AR$1,$Z$2:$Z$18,$AC$2:$AC$18-$V49)^2)))</f>
        <v/>
      </c>
      <c r="AS49" s="151" t="str">
        <f t="array" ref="AS49">IF(AS$1=0,"",SQRT((_xlfn.XLOOKUP(AS$1,$Z$2:$Z$18,$AA$2:$AA$18)-$T49)^2+(_xlfn.XLOOKUP(AS$1,$Z$2:$Z$18,$AB$2:$AB$18)-$U49)^2+(_xlfn.XLOOKUP(AS$1,$Z$2:$Z$18,$AC$2:$AC$18-$V49)^2)))</f>
        <v/>
      </c>
      <c r="AT49" s="151" t="str">
        <f t="array" ref="AT49">IF(AT$1=0,"",SQRT((_xlfn.XLOOKUP(AT$1,$Z$2:$Z$18,$AA$2:$AA$18)-$T49)^2+(_xlfn.XLOOKUP(AT$1,$Z$2:$Z$18,$AB$2:$AB$18)-$U49)^2+(_xlfn.XLOOKUP(AT$1,$Z$2:$Z$18,$AC$2:$AC$18-$V49)^2)))</f>
        <v/>
      </c>
      <c r="AU49" s="151" t="str">
        <f t="array" ref="AU49">IF(AU$1=0,"",SQRT((_xlfn.XLOOKUP(AU$1,$Z$2:$Z$18,$AA$2:$AA$18)-$T49)^2+(_xlfn.XLOOKUP(AU$1,$Z$2:$Z$18,$AB$2:$AB$18)-$U49)^2+(_xlfn.XLOOKUP(AU$1,$Z$2:$Z$18,$AC$2:$AC$18-$V49)^2)))</f>
        <v/>
      </c>
      <c r="AV49" s="152" t="str">
        <f t="array" ref="AV49">IF(AV$1=0,"",SQRT((_xlfn.XLOOKUP(AV$1,$Z$2:$Z$18,$AA$2:$AA$18)-$T49)^2+(_xlfn.XLOOKUP(AV$1,$Z$2:$Z$18,$AB$2:$AB$18)-$U49)^2+(_xlfn.XLOOKUP(AV$1,$Z$2:$Z$18,$AC$2:$AC$18-$V49)^2)))</f>
        <v/>
      </c>
      <c r="AW49" s="134"/>
      <c r="AX49" s="134"/>
      <c r="AY49" s="135">
        <f t="shared" si="51"/>
        <v>0</v>
      </c>
      <c r="AZ49" s="153">
        <f t="shared" si="52"/>
        <v>0</v>
      </c>
      <c r="BA49" s="153">
        <f t="shared" si="53"/>
        <v>0</v>
      </c>
      <c r="BB49" s="153">
        <f t="shared" si="54"/>
        <v>0</v>
      </c>
      <c r="BC49" s="153">
        <f t="shared" si="55"/>
        <v>0</v>
      </c>
      <c r="BD49" s="153">
        <f t="shared" si="56"/>
        <v>0</v>
      </c>
      <c r="BE49" s="153">
        <f t="shared" si="57"/>
        <v>0</v>
      </c>
      <c r="BF49" s="153">
        <f t="shared" si="58"/>
        <v>0</v>
      </c>
      <c r="BG49" s="154">
        <f t="shared" si="59"/>
        <v>0</v>
      </c>
      <c r="BH49" s="154">
        <f t="shared" si="60"/>
        <v>0</v>
      </c>
      <c r="BI49" s="154">
        <f t="shared" si="61"/>
        <v>0</v>
      </c>
      <c r="BJ49" s="154">
        <f t="shared" si="62"/>
        <v>0</v>
      </c>
      <c r="BK49" s="154">
        <f t="shared" si="63"/>
        <v>0</v>
      </c>
      <c r="BL49" s="154">
        <f t="shared" si="64"/>
        <v>0</v>
      </c>
      <c r="BM49" s="155">
        <f t="shared" si="65"/>
        <v>0</v>
      </c>
      <c r="BN49" s="134"/>
      <c r="BO49" s="21" t="s">
        <v>74</v>
      </c>
      <c r="BP49" s="21">
        <f>_xlfn.XLOOKUP(BP47,BO39:BO45,BO39:BO45,12,1,1)</f>
        <v>1</v>
      </c>
      <c r="BQ49" s="21">
        <f>BQ46+(BQ48*BP51)</f>
        <v>4.8835305687381094</v>
      </c>
      <c r="BR49" s="134"/>
      <c r="BS49" s="134"/>
      <c r="BT49" s="134"/>
      <c r="BU49" s="134"/>
      <c r="BV49" s="140"/>
      <c r="BW49" s="140"/>
      <c r="BX49" s="140"/>
      <c r="BY49" s="140"/>
      <c r="BZ49" s="140"/>
      <c r="CA49" s="140"/>
      <c r="CB49" s="140"/>
      <c r="CC49" s="140"/>
      <c r="CD49" s="140"/>
      <c r="CE49" s="140"/>
      <c r="CF49" s="140"/>
      <c r="CG49" s="140"/>
      <c r="CH49" s="140"/>
      <c r="CI49" s="140"/>
      <c r="CJ49" s="140"/>
      <c r="CK49" s="134"/>
      <c r="CL49" s="134"/>
      <c r="CM49" s="169">
        <f t="shared" si="66"/>
        <v>0</v>
      </c>
      <c r="CN49" s="170">
        <f t="shared" si="67"/>
        <v>0</v>
      </c>
      <c r="CO49" s="170">
        <f t="shared" si="68"/>
        <v>0</v>
      </c>
      <c r="CP49" s="170">
        <f t="shared" si="69"/>
        <v>0</v>
      </c>
      <c r="CQ49" s="170">
        <f t="shared" si="70"/>
        <v>0</v>
      </c>
      <c r="CR49" s="170" t="str">
        <f t="shared" si="71"/>
        <v/>
      </c>
      <c r="CS49" s="170" t="str">
        <f t="shared" si="72"/>
        <v/>
      </c>
      <c r="CT49" s="170" t="str">
        <f t="shared" si="73"/>
        <v/>
      </c>
      <c r="CU49" s="172" t="str">
        <f t="shared" si="74"/>
        <v/>
      </c>
      <c r="CV49" s="172" t="str">
        <f t="shared" si="75"/>
        <v/>
      </c>
      <c r="CW49" s="172" t="str">
        <f t="shared" si="76"/>
        <v/>
      </c>
      <c r="CX49" s="172" t="str">
        <f t="shared" si="77"/>
        <v/>
      </c>
      <c r="CY49" s="172" t="str">
        <f t="shared" si="78"/>
        <v/>
      </c>
      <c r="CZ49" s="172" t="str">
        <f t="shared" si="79"/>
        <v/>
      </c>
      <c r="DA49" s="173" t="str">
        <f t="shared" si="80"/>
        <v/>
      </c>
    </row>
    <row r="50" spans="1:105" ht="17.25" customHeight="1" thickBot="1" x14ac:dyDescent="0.35">
      <c r="A50" s="145"/>
      <c r="B50" s="146"/>
      <c r="C50" s="146"/>
      <c r="D50" s="147"/>
      <c r="E50" s="202"/>
      <c r="F50" s="210"/>
      <c r="G50" s="211"/>
      <c r="H50" s="211"/>
      <c r="I50" s="211"/>
      <c r="J50" s="211"/>
      <c r="K50" s="211"/>
      <c r="L50" s="211"/>
      <c r="M50" s="215"/>
      <c r="N50" s="210"/>
      <c r="O50" s="212"/>
      <c r="P50" s="205"/>
      <c r="Q50" s="128">
        <f t="shared" si="34"/>
        <v>0</v>
      </c>
      <c r="R50" s="3"/>
      <c r="S50" s="3"/>
      <c r="T50" s="4"/>
      <c r="U50" s="4"/>
      <c r="V50" s="109">
        <f t="shared" si="50"/>
        <v>0</v>
      </c>
      <c r="W50" s="171"/>
      <c r="X50" s="148"/>
      <c r="Z50" s="117"/>
      <c r="AA50" s="114"/>
      <c r="AB50" s="54"/>
      <c r="AC50" s="55"/>
      <c r="AD50" s="54"/>
      <c r="AE50" s="54"/>
      <c r="AF50" s="55"/>
      <c r="AH50" s="168">
        <f t="array" ref="AH50">IF(AH$1=0,"",SQRT((_xlfn.XLOOKUP(AH$1,$Z$2:$Z$18,$AA$2:$AA$18)-$T50)^2+(_xlfn.XLOOKUP(AH$1,$Z$2:$Z$18,$AB$2:$AB$18)-$U50)^2+(_xlfn.XLOOKUP(AH$1,$Z$2:$Z$18,$AC$2:$AC$18-$V50)^2)))</f>
        <v>112.53151914019467</v>
      </c>
      <c r="AI50" s="150">
        <f t="array" ref="AI50">IF(AI$1=0,"",SQRT((_xlfn.XLOOKUP(AI$1,$Z$2:$Z$18,$AA$2:$AA$18)-$T50)^2+(_xlfn.XLOOKUP(AI$1,$Z$2:$Z$18,$AB$2:$AB$18)-$U50)^2+(_xlfn.XLOOKUP(AI$1,$Z$2:$Z$18,$AC$2:$AC$18-$V50)^2)))</f>
        <v>123.81444705687622</v>
      </c>
      <c r="AJ50" s="150">
        <f t="array" ref="AJ50">IF(AJ$1=0,"",SQRT((_xlfn.XLOOKUP(AJ$1,$Z$2:$Z$18,$AA$2:$AA$18)-$T50)^2+(_xlfn.XLOOKUP(AJ$1,$Z$2:$Z$18,$AB$2:$AB$18)-$U50)^2+(_xlfn.XLOOKUP(AJ$1,$Z$2:$Z$18,$AC$2:$AC$18-$V50)^2)))</f>
        <v>226.27326421828982</v>
      </c>
      <c r="AK50" s="150">
        <f t="array" ref="AK50">IF(AK$1=0,"",SQRT((_xlfn.XLOOKUP(AK$1,$Z$2:$Z$18,$AA$2:$AA$18)-$T50)^2+(_xlfn.XLOOKUP(AK$1,$Z$2:$Z$18,$AB$2:$AB$18)-$U50)^2+(_xlfn.XLOOKUP(AK$1,$Z$2:$Z$18,$AC$2:$AC$18-$V50)^2)))</f>
        <v>330.89448786584524</v>
      </c>
      <c r="AL50" s="150">
        <f t="array" ref="AL50">IF(AL$1=0,"",SQRT((_xlfn.XLOOKUP(AL$1,$Z$2:$Z$18,$AA$2:$AA$18)-$T50)^2+(_xlfn.XLOOKUP(AL$1,$Z$2:$Z$18,$AB$2:$AB$18)-$U50)^2+(_xlfn.XLOOKUP(AL$1,$Z$2:$Z$18,$AC$2:$AC$18-$V50)^2)))</f>
        <v>218.97662386656708</v>
      </c>
      <c r="AM50" s="150" t="str">
        <f t="array" ref="AM50">IF(AM$1=0,"",SQRT((_xlfn.XLOOKUP(AM$1,$Z$2:$Z$18,$AA$2:$AA$18)-$T50)^2+(_xlfn.XLOOKUP(AM$1,$Z$2:$Z$18,$AB$2:$AB$18)-$U50)^2+(_xlfn.XLOOKUP(AM$1,$Z$2:$Z$18,$AC$2:$AC$18-$V50)^2)))</f>
        <v/>
      </c>
      <c r="AN50" s="150" t="str">
        <f t="array" ref="AN50">IF(AN$1=0,"",SQRT((_xlfn.XLOOKUP(AN$1,$Z$2:$Z$18,$AA$2:$AA$18)-$T50)^2+(_xlfn.XLOOKUP(AN$1,$Z$2:$Z$18,$AB$2:$AB$18)-$U50)^2+(_xlfn.XLOOKUP(AN$1,$Z$2:$Z$18,$AC$2:$AC$18-$V50)^2)))</f>
        <v/>
      </c>
      <c r="AO50" s="150" t="str">
        <f t="array" ref="AO50">IF(AO$1=0,"",SQRT((_xlfn.XLOOKUP(AO$1,$Z$2:$Z$18,$AA$2:$AA$18)-$T50)^2+(_xlfn.XLOOKUP(AO$1,$Z$2:$Z$18,$AB$2:$AB$18)-$U50)^2+(_xlfn.XLOOKUP(AO$1,$Z$2:$Z$18,$AC$2:$AC$18-$V50)^2)))</f>
        <v/>
      </c>
      <c r="AP50" s="151" t="str">
        <f t="array" ref="AP50">IF(AP$1=0,"",SQRT((_xlfn.XLOOKUP(AP$1,$Z$2:$Z$18,$AA$2:$AA$18)-$T50)^2+(_xlfn.XLOOKUP(AP$1,$Z$2:$Z$18,$AB$2:$AB$18)-$U50)^2+(_xlfn.XLOOKUP(AP$1,$Z$2:$Z$18,$AC$2:$AC$18-$V50)^2)))</f>
        <v/>
      </c>
      <c r="AQ50" s="151" t="str">
        <f t="array" ref="AQ50">IF(AQ$1=0,"",SQRT((_xlfn.XLOOKUP(AQ$1,$Z$2:$Z$18,$AA$2:$AA$18)-$T50)^2+(_xlfn.XLOOKUP(AQ$1,$Z$2:$Z$18,$AB$2:$AB$18)-$U50)^2+(_xlfn.XLOOKUP(AQ$1,$Z$2:$Z$18,$AC$2:$AC$18-$V50)^2)))</f>
        <v/>
      </c>
      <c r="AR50" s="151" t="str">
        <f t="array" ref="AR50">IF(AR$1=0,"",SQRT((_xlfn.XLOOKUP(AR$1,$Z$2:$Z$18,$AA$2:$AA$18)-$T50)^2+(_xlfn.XLOOKUP(AR$1,$Z$2:$Z$18,$AB$2:$AB$18)-$U50)^2+(_xlfn.XLOOKUP(AR$1,$Z$2:$Z$18,$AC$2:$AC$18-$V50)^2)))</f>
        <v/>
      </c>
      <c r="AS50" s="151" t="str">
        <f t="array" ref="AS50">IF(AS$1=0,"",SQRT((_xlfn.XLOOKUP(AS$1,$Z$2:$Z$18,$AA$2:$AA$18)-$T50)^2+(_xlfn.XLOOKUP(AS$1,$Z$2:$Z$18,$AB$2:$AB$18)-$U50)^2+(_xlfn.XLOOKUP(AS$1,$Z$2:$Z$18,$AC$2:$AC$18-$V50)^2)))</f>
        <v/>
      </c>
      <c r="AT50" s="151" t="str">
        <f t="array" ref="AT50">IF(AT$1=0,"",SQRT((_xlfn.XLOOKUP(AT$1,$Z$2:$Z$18,$AA$2:$AA$18)-$T50)^2+(_xlfn.XLOOKUP(AT$1,$Z$2:$Z$18,$AB$2:$AB$18)-$U50)^2+(_xlfn.XLOOKUP(AT$1,$Z$2:$Z$18,$AC$2:$AC$18-$V50)^2)))</f>
        <v/>
      </c>
      <c r="AU50" s="151" t="str">
        <f t="array" ref="AU50">IF(AU$1=0,"",SQRT((_xlfn.XLOOKUP(AU$1,$Z$2:$Z$18,$AA$2:$AA$18)-$T50)^2+(_xlfn.XLOOKUP(AU$1,$Z$2:$Z$18,$AB$2:$AB$18)-$U50)^2+(_xlfn.XLOOKUP(AU$1,$Z$2:$Z$18,$AC$2:$AC$18-$V50)^2)))</f>
        <v/>
      </c>
      <c r="AV50" s="152" t="str">
        <f t="array" ref="AV50">IF(AV$1=0,"",SQRT((_xlfn.XLOOKUP(AV$1,$Z$2:$Z$18,$AA$2:$AA$18)-$T50)^2+(_xlfn.XLOOKUP(AV$1,$Z$2:$Z$18,$AB$2:$AB$18)-$U50)^2+(_xlfn.XLOOKUP(AV$1,$Z$2:$Z$18,$AC$2:$AC$18-$V50)^2)))</f>
        <v/>
      </c>
      <c r="AW50" s="134"/>
      <c r="AX50" s="134"/>
      <c r="AY50" s="135">
        <f t="shared" si="51"/>
        <v>0</v>
      </c>
      <c r="AZ50" s="153">
        <f t="shared" si="52"/>
        <v>0</v>
      </c>
      <c r="BA50" s="153">
        <f t="shared" si="53"/>
        <v>0</v>
      </c>
      <c r="BB50" s="153">
        <f t="shared" si="54"/>
        <v>0</v>
      </c>
      <c r="BC50" s="153">
        <f t="shared" si="55"/>
        <v>0</v>
      </c>
      <c r="BD50" s="153">
        <f t="shared" si="56"/>
        <v>0</v>
      </c>
      <c r="BE50" s="153">
        <f t="shared" si="57"/>
        <v>0</v>
      </c>
      <c r="BF50" s="153">
        <f t="shared" si="58"/>
        <v>0</v>
      </c>
      <c r="BG50" s="154">
        <f t="shared" si="59"/>
        <v>0</v>
      </c>
      <c r="BH50" s="154">
        <f t="shared" si="60"/>
        <v>0</v>
      </c>
      <c r="BI50" s="154">
        <f t="shared" si="61"/>
        <v>0</v>
      </c>
      <c r="BJ50" s="154">
        <f t="shared" si="62"/>
        <v>0</v>
      </c>
      <c r="BK50" s="154">
        <f t="shared" si="63"/>
        <v>0</v>
      </c>
      <c r="BL50" s="154">
        <f t="shared" si="64"/>
        <v>0</v>
      </c>
      <c r="BM50" s="155">
        <f t="shared" si="65"/>
        <v>0</v>
      </c>
      <c r="BN50" s="134"/>
      <c r="BO50" s="21" t="s">
        <v>75</v>
      </c>
      <c r="BP50" s="21">
        <f>BP49-BP48</f>
        <v>0.5</v>
      </c>
      <c r="BQ50" s="21"/>
      <c r="BR50" s="134"/>
      <c r="BS50" s="134"/>
      <c r="BT50" s="134"/>
      <c r="BU50" s="134"/>
      <c r="BV50" s="140"/>
      <c r="BW50" s="140"/>
      <c r="BX50" s="140"/>
      <c r="BY50" s="140"/>
      <c r="BZ50" s="140"/>
      <c r="CA50" s="140"/>
      <c r="CB50" s="140"/>
      <c r="CC50" s="140"/>
      <c r="CD50" s="140"/>
      <c r="CE50" s="140"/>
      <c r="CF50" s="140"/>
      <c r="CG50" s="140"/>
      <c r="CH50" s="140"/>
      <c r="CI50" s="140"/>
      <c r="CJ50" s="140"/>
      <c r="CK50" s="134"/>
      <c r="CL50" s="134"/>
      <c r="CM50" s="169">
        <f t="shared" si="66"/>
        <v>0</v>
      </c>
      <c r="CN50" s="170">
        <f t="shared" si="67"/>
        <v>0</v>
      </c>
      <c r="CO50" s="170">
        <f t="shared" si="68"/>
        <v>0</v>
      </c>
      <c r="CP50" s="170">
        <f t="shared" si="69"/>
        <v>0</v>
      </c>
      <c r="CQ50" s="170">
        <f t="shared" si="70"/>
        <v>0</v>
      </c>
      <c r="CR50" s="170" t="str">
        <f t="shared" si="71"/>
        <v/>
      </c>
      <c r="CS50" s="170" t="str">
        <f t="shared" si="72"/>
        <v/>
      </c>
      <c r="CT50" s="170" t="str">
        <f t="shared" si="73"/>
        <v/>
      </c>
      <c r="CU50" s="172" t="str">
        <f t="shared" si="74"/>
        <v/>
      </c>
      <c r="CV50" s="172" t="str">
        <f t="shared" si="75"/>
        <v/>
      </c>
      <c r="CW50" s="172" t="str">
        <f t="shared" si="76"/>
        <v/>
      </c>
      <c r="CX50" s="172" t="str">
        <f t="shared" si="77"/>
        <v/>
      </c>
      <c r="CY50" s="172" t="str">
        <f t="shared" si="78"/>
        <v/>
      </c>
      <c r="CZ50" s="172" t="str">
        <f t="shared" si="79"/>
        <v/>
      </c>
      <c r="DA50" s="173" t="str">
        <f t="shared" si="80"/>
        <v/>
      </c>
    </row>
    <row r="51" spans="1:105" ht="16.5" customHeight="1" x14ac:dyDescent="0.3">
      <c r="A51" s="145"/>
      <c r="B51" s="146"/>
      <c r="C51" s="146"/>
      <c r="D51" s="147"/>
      <c r="E51" s="202"/>
      <c r="F51" s="210"/>
      <c r="G51" s="211"/>
      <c r="H51" s="211"/>
      <c r="I51" s="211"/>
      <c r="J51" s="211"/>
      <c r="K51" s="211"/>
      <c r="L51" s="211"/>
      <c r="M51" s="215"/>
      <c r="N51" s="210"/>
      <c r="O51" s="212"/>
      <c r="P51" s="205"/>
      <c r="Q51" s="128">
        <f t="shared" si="34"/>
        <v>0</v>
      </c>
      <c r="R51" s="3"/>
      <c r="S51" s="3"/>
      <c r="T51" s="4"/>
      <c r="U51" s="4"/>
      <c r="V51" s="109">
        <f t="shared" si="50"/>
        <v>0</v>
      </c>
      <c r="W51" s="171"/>
      <c r="X51" s="148"/>
      <c r="AH51" s="168">
        <f t="array" ref="AH51">IF(AH$1=0,"",SQRT((_xlfn.XLOOKUP(AH$1,$Z$2:$Z$18,$AA$2:$AA$18)-$T51)^2+(_xlfn.XLOOKUP(AH$1,$Z$2:$Z$18,$AB$2:$AB$18)-$U51)^2+(_xlfn.XLOOKUP(AH$1,$Z$2:$Z$18,$AC$2:$AC$18-$V51)^2)))</f>
        <v>112.53151914019467</v>
      </c>
      <c r="AI51" s="150">
        <f t="array" ref="AI51">IF(AI$1=0,"",SQRT((_xlfn.XLOOKUP(AI$1,$Z$2:$Z$18,$AA$2:$AA$18)-$T51)^2+(_xlfn.XLOOKUP(AI$1,$Z$2:$Z$18,$AB$2:$AB$18)-$U51)^2+(_xlfn.XLOOKUP(AI$1,$Z$2:$Z$18,$AC$2:$AC$18-$V51)^2)))</f>
        <v>123.81444705687622</v>
      </c>
      <c r="AJ51" s="150">
        <f t="array" ref="AJ51">IF(AJ$1=0,"",SQRT((_xlfn.XLOOKUP(AJ$1,$Z$2:$Z$18,$AA$2:$AA$18)-$T51)^2+(_xlfn.XLOOKUP(AJ$1,$Z$2:$Z$18,$AB$2:$AB$18)-$U51)^2+(_xlfn.XLOOKUP(AJ$1,$Z$2:$Z$18,$AC$2:$AC$18-$V51)^2)))</f>
        <v>226.27326421828982</v>
      </c>
      <c r="AK51" s="150">
        <f t="array" ref="AK51">IF(AK$1=0,"",SQRT((_xlfn.XLOOKUP(AK$1,$Z$2:$Z$18,$AA$2:$AA$18)-$T51)^2+(_xlfn.XLOOKUP(AK$1,$Z$2:$Z$18,$AB$2:$AB$18)-$U51)^2+(_xlfn.XLOOKUP(AK$1,$Z$2:$Z$18,$AC$2:$AC$18-$V51)^2)))</f>
        <v>330.89448786584524</v>
      </c>
      <c r="AL51" s="150">
        <f t="array" ref="AL51">IF(AL$1=0,"",SQRT((_xlfn.XLOOKUP(AL$1,$Z$2:$Z$18,$AA$2:$AA$18)-$T51)^2+(_xlfn.XLOOKUP(AL$1,$Z$2:$Z$18,$AB$2:$AB$18)-$U51)^2+(_xlfn.XLOOKUP(AL$1,$Z$2:$Z$18,$AC$2:$AC$18-$V51)^2)))</f>
        <v>218.97662386656708</v>
      </c>
      <c r="AM51" s="150" t="str">
        <f t="array" ref="AM51">IF(AM$1=0,"",SQRT((_xlfn.XLOOKUP(AM$1,$Z$2:$Z$18,$AA$2:$AA$18)-$T51)^2+(_xlfn.XLOOKUP(AM$1,$Z$2:$Z$18,$AB$2:$AB$18)-$U51)^2+(_xlfn.XLOOKUP(AM$1,$Z$2:$Z$18,$AC$2:$AC$18-$V51)^2)))</f>
        <v/>
      </c>
      <c r="AN51" s="150" t="str">
        <f t="array" ref="AN51">IF(AN$1=0,"",SQRT((_xlfn.XLOOKUP(AN$1,$Z$2:$Z$18,$AA$2:$AA$18)-$T51)^2+(_xlfn.XLOOKUP(AN$1,$Z$2:$Z$18,$AB$2:$AB$18)-$U51)^2+(_xlfn.XLOOKUP(AN$1,$Z$2:$Z$18,$AC$2:$AC$18-$V51)^2)))</f>
        <v/>
      </c>
      <c r="AO51" s="150" t="str">
        <f t="array" ref="AO51">IF(AO$1=0,"",SQRT((_xlfn.XLOOKUP(AO$1,$Z$2:$Z$18,$AA$2:$AA$18)-$T51)^2+(_xlfn.XLOOKUP(AO$1,$Z$2:$Z$18,$AB$2:$AB$18)-$U51)^2+(_xlfn.XLOOKUP(AO$1,$Z$2:$Z$18,$AC$2:$AC$18-$V51)^2)))</f>
        <v/>
      </c>
      <c r="AP51" s="151" t="str">
        <f t="array" ref="AP51">IF(AP$1=0,"",SQRT((_xlfn.XLOOKUP(AP$1,$Z$2:$Z$18,$AA$2:$AA$18)-$T51)^2+(_xlfn.XLOOKUP(AP$1,$Z$2:$Z$18,$AB$2:$AB$18)-$U51)^2+(_xlfn.XLOOKUP(AP$1,$Z$2:$Z$18,$AC$2:$AC$18-$V51)^2)))</f>
        <v/>
      </c>
      <c r="AQ51" s="151" t="str">
        <f t="array" ref="AQ51">IF(AQ$1=0,"",SQRT((_xlfn.XLOOKUP(AQ$1,$Z$2:$Z$18,$AA$2:$AA$18)-$T51)^2+(_xlfn.XLOOKUP(AQ$1,$Z$2:$Z$18,$AB$2:$AB$18)-$U51)^2+(_xlfn.XLOOKUP(AQ$1,$Z$2:$Z$18,$AC$2:$AC$18-$V51)^2)))</f>
        <v/>
      </c>
      <c r="AR51" s="151" t="str">
        <f t="array" ref="AR51">IF(AR$1=0,"",SQRT((_xlfn.XLOOKUP(AR$1,$Z$2:$Z$18,$AA$2:$AA$18)-$T51)^2+(_xlfn.XLOOKUP(AR$1,$Z$2:$Z$18,$AB$2:$AB$18)-$U51)^2+(_xlfn.XLOOKUP(AR$1,$Z$2:$Z$18,$AC$2:$AC$18-$V51)^2)))</f>
        <v/>
      </c>
      <c r="AS51" s="151" t="str">
        <f t="array" ref="AS51">IF(AS$1=0,"",SQRT((_xlfn.XLOOKUP(AS$1,$Z$2:$Z$18,$AA$2:$AA$18)-$T51)^2+(_xlfn.XLOOKUP(AS$1,$Z$2:$Z$18,$AB$2:$AB$18)-$U51)^2+(_xlfn.XLOOKUP(AS$1,$Z$2:$Z$18,$AC$2:$AC$18-$V51)^2)))</f>
        <v/>
      </c>
      <c r="AT51" s="151" t="str">
        <f t="array" ref="AT51">IF(AT$1=0,"",SQRT((_xlfn.XLOOKUP(AT$1,$Z$2:$Z$18,$AA$2:$AA$18)-$T51)^2+(_xlfn.XLOOKUP(AT$1,$Z$2:$Z$18,$AB$2:$AB$18)-$U51)^2+(_xlfn.XLOOKUP(AT$1,$Z$2:$Z$18,$AC$2:$AC$18-$V51)^2)))</f>
        <v/>
      </c>
      <c r="AU51" s="151" t="str">
        <f t="array" ref="AU51">IF(AU$1=0,"",SQRT((_xlfn.XLOOKUP(AU$1,$Z$2:$Z$18,$AA$2:$AA$18)-$T51)^2+(_xlfn.XLOOKUP(AU$1,$Z$2:$Z$18,$AB$2:$AB$18)-$U51)^2+(_xlfn.XLOOKUP(AU$1,$Z$2:$Z$18,$AC$2:$AC$18-$V51)^2)))</f>
        <v/>
      </c>
      <c r="AV51" s="152" t="str">
        <f t="array" ref="AV51">IF(AV$1=0,"",SQRT((_xlfn.XLOOKUP(AV$1,$Z$2:$Z$18,$AA$2:$AA$18)-$T51)^2+(_xlfn.XLOOKUP(AV$1,$Z$2:$Z$18,$AB$2:$AB$18)-$U51)^2+(_xlfn.XLOOKUP(AV$1,$Z$2:$Z$18,$AC$2:$AC$18-$V51)^2)))</f>
        <v/>
      </c>
      <c r="AW51" s="134"/>
      <c r="AX51" s="134"/>
      <c r="AY51" s="135">
        <f t="shared" si="51"/>
        <v>0</v>
      </c>
      <c r="AZ51" s="153">
        <f t="shared" si="52"/>
        <v>0</v>
      </c>
      <c r="BA51" s="153">
        <f t="shared" si="53"/>
        <v>0</v>
      </c>
      <c r="BB51" s="153">
        <f t="shared" si="54"/>
        <v>0</v>
      </c>
      <c r="BC51" s="153">
        <f t="shared" si="55"/>
        <v>0</v>
      </c>
      <c r="BD51" s="153">
        <f t="shared" si="56"/>
        <v>0</v>
      </c>
      <c r="BE51" s="153">
        <f t="shared" si="57"/>
        <v>0</v>
      </c>
      <c r="BF51" s="153">
        <f t="shared" si="58"/>
        <v>0</v>
      </c>
      <c r="BG51" s="154">
        <f t="shared" si="59"/>
        <v>0</v>
      </c>
      <c r="BH51" s="154">
        <f t="shared" si="60"/>
        <v>0</v>
      </c>
      <c r="BI51" s="154">
        <f t="shared" si="61"/>
        <v>0</v>
      </c>
      <c r="BJ51" s="154">
        <f t="shared" si="62"/>
        <v>0</v>
      </c>
      <c r="BK51" s="154">
        <f t="shared" si="63"/>
        <v>0</v>
      </c>
      <c r="BL51" s="154">
        <f t="shared" si="64"/>
        <v>0</v>
      </c>
      <c r="BM51" s="155">
        <f t="shared" si="65"/>
        <v>0</v>
      </c>
      <c r="BN51" s="134"/>
      <c r="BO51" s="21" t="s">
        <v>76</v>
      </c>
      <c r="BP51" s="21">
        <f>IFERROR((BP47-BP48)/BP50,0)</f>
        <v>0.29451018957936981</v>
      </c>
      <c r="BQ51" s="21"/>
      <c r="BR51" s="134"/>
      <c r="BS51" s="134"/>
      <c r="BT51" s="134"/>
      <c r="BU51" s="134"/>
      <c r="BV51" s="140"/>
      <c r="BW51" s="140"/>
      <c r="BX51" s="140"/>
      <c r="BY51" s="140"/>
      <c r="BZ51" s="140"/>
      <c r="CA51" s="140"/>
      <c r="CB51" s="140"/>
      <c r="CC51" s="140"/>
      <c r="CD51" s="140"/>
      <c r="CE51" s="140"/>
      <c r="CF51" s="140"/>
      <c r="CG51" s="140"/>
      <c r="CH51" s="140"/>
      <c r="CI51" s="140"/>
      <c r="CJ51" s="140"/>
      <c r="CK51" s="134"/>
      <c r="CL51" s="134"/>
      <c r="CM51" s="169">
        <f t="shared" si="66"/>
        <v>0</v>
      </c>
      <c r="CN51" s="170">
        <f t="shared" si="67"/>
        <v>0</v>
      </c>
      <c r="CO51" s="170">
        <f t="shared" si="68"/>
        <v>0</v>
      </c>
      <c r="CP51" s="170">
        <f t="shared" si="69"/>
        <v>0</v>
      </c>
      <c r="CQ51" s="170">
        <f t="shared" si="70"/>
        <v>0</v>
      </c>
      <c r="CR51" s="170" t="str">
        <f t="shared" si="71"/>
        <v/>
      </c>
      <c r="CS51" s="170" t="str">
        <f t="shared" si="72"/>
        <v/>
      </c>
      <c r="CT51" s="170" t="str">
        <f t="shared" si="73"/>
        <v/>
      </c>
      <c r="CU51" s="172" t="str">
        <f t="shared" si="74"/>
        <v/>
      </c>
      <c r="CV51" s="172" t="str">
        <f t="shared" si="75"/>
        <v/>
      </c>
      <c r="CW51" s="172" t="str">
        <f t="shared" si="76"/>
        <v/>
      </c>
      <c r="CX51" s="172" t="str">
        <f t="shared" si="77"/>
        <v/>
      </c>
      <c r="CY51" s="172" t="str">
        <f t="shared" si="78"/>
        <v/>
      </c>
      <c r="CZ51" s="172" t="str">
        <f t="shared" si="79"/>
        <v/>
      </c>
      <c r="DA51" s="173" t="str">
        <f t="shared" si="80"/>
        <v/>
      </c>
    </row>
    <row r="52" spans="1:105" ht="16.5" customHeight="1" x14ac:dyDescent="0.3">
      <c r="A52" s="145"/>
      <c r="B52" s="146"/>
      <c r="C52" s="146"/>
      <c r="D52" s="147"/>
      <c r="E52" s="202"/>
      <c r="F52" s="210"/>
      <c r="G52" s="211"/>
      <c r="H52" s="211"/>
      <c r="I52" s="211"/>
      <c r="J52" s="211"/>
      <c r="K52" s="211"/>
      <c r="L52" s="211"/>
      <c r="M52" s="215"/>
      <c r="N52" s="210"/>
      <c r="O52" s="212"/>
      <c r="P52" s="205"/>
      <c r="Q52" s="128">
        <f t="shared" si="34"/>
        <v>0</v>
      </c>
      <c r="R52" s="3"/>
      <c r="S52" s="3"/>
      <c r="T52" s="4"/>
      <c r="U52" s="4"/>
      <c r="V52" s="109">
        <f t="shared" si="50"/>
        <v>0</v>
      </c>
      <c r="W52" s="171"/>
      <c r="X52" s="148"/>
      <c r="AH52" s="168">
        <f t="array" ref="AH52">IF(AH$1=0,"",SQRT((_xlfn.XLOOKUP(AH$1,$Z$2:$Z$18,$AA$2:$AA$18)-$T52)^2+(_xlfn.XLOOKUP(AH$1,$Z$2:$Z$18,$AB$2:$AB$18)-$U52)^2+(_xlfn.XLOOKUP(AH$1,$Z$2:$Z$18,$AC$2:$AC$18-$V52)^2)))</f>
        <v>112.53151914019467</v>
      </c>
      <c r="AI52" s="150">
        <f t="array" ref="AI52">IF(AI$1=0,"",SQRT((_xlfn.XLOOKUP(AI$1,$Z$2:$Z$18,$AA$2:$AA$18)-$T52)^2+(_xlfn.XLOOKUP(AI$1,$Z$2:$Z$18,$AB$2:$AB$18)-$U52)^2+(_xlfn.XLOOKUP(AI$1,$Z$2:$Z$18,$AC$2:$AC$18-$V52)^2)))</f>
        <v>123.81444705687622</v>
      </c>
      <c r="AJ52" s="150">
        <f t="array" ref="AJ52">IF(AJ$1=0,"",SQRT((_xlfn.XLOOKUP(AJ$1,$Z$2:$Z$18,$AA$2:$AA$18)-$T52)^2+(_xlfn.XLOOKUP(AJ$1,$Z$2:$Z$18,$AB$2:$AB$18)-$U52)^2+(_xlfn.XLOOKUP(AJ$1,$Z$2:$Z$18,$AC$2:$AC$18-$V52)^2)))</f>
        <v>226.27326421828982</v>
      </c>
      <c r="AK52" s="150">
        <f t="array" ref="AK52">IF(AK$1=0,"",SQRT((_xlfn.XLOOKUP(AK$1,$Z$2:$Z$18,$AA$2:$AA$18)-$T52)^2+(_xlfn.XLOOKUP(AK$1,$Z$2:$Z$18,$AB$2:$AB$18)-$U52)^2+(_xlfn.XLOOKUP(AK$1,$Z$2:$Z$18,$AC$2:$AC$18-$V52)^2)))</f>
        <v>330.89448786584524</v>
      </c>
      <c r="AL52" s="150">
        <f t="array" ref="AL52">IF(AL$1=0,"",SQRT((_xlfn.XLOOKUP(AL$1,$Z$2:$Z$18,$AA$2:$AA$18)-$T52)^2+(_xlfn.XLOOKUP(AL$1,$Z$2:$Z$18,$AB$2:$AB$18)-$U52)^2+(_xlfn.XLOOKUP(AL$1,$Z$2:$Z$18,$AC$2:$AC$18-$V52)^2)))</f>
        <v>218.97662386656708</v>
      </c>
      <c r="AM52" s="150" t="str">
        <f t="array" ref="AM52">IF(AM$1=0,"",SQRT((_xlfn.XLOOKUP(AM$1,$Z$2:$Z$18,$AA$2:$AA$18)-$T52)^2+(_xlfn.XLOOKUP(AM$1,$Z$2:$Z$18,$AB$2:$AB$18)-$U52)^2+(_xlfn.XLOOKUP(AM$1,$Z$2:$Z$18,$AC$2:$AC$18-$V52)^2)))</f>
        <v/>
      </c>
      <c r="AN52" s="150" t="str">
        <f t="array" ref="AN52">IF(AN$1=0,"",SQRT((_xlfn.XLOOKUP(AN$1,$Z$2:$Z$18,$AA$2:$AA$18)-$T52)^2+(_xlfn.XLOOKUP(AN$1,$Z$2:$Z$18,$AB$2:$AB$18)-$U52)^2+(_xlfn.XLOOKUP(AN$1,$Z$2:$Z$18,$AC$2:$AC$18-$V52)^2)))</f>
        <v/>
      </c>
      <c r="AO52" s="150" t="str">
        <f t="array" ref="AO52">IF(AO$1=0,"",SQRT((_xlfn.XLOOKUP(AO$1,$Z$2:$Z$18,$AA$2:$AA$18)-$T52)^2+(_xlfn.XLOOKUP(AO$1,$Z$2:$Z$18,$AB$2:$AB$18)-$U52)^2+(_xlfn.XLOOKUP(AO$1,$Z$2:$Z$18,$AC$2:$AC$18-$V52)^2)))</f>
        <v/>
      </c>
      <c r="AP52" s="151" t="str">
        <f t="array" ref="AP52">IF(AP$1=0,"",SQRT((_xlfn.XLOOKUP(AP$1,$Z$2:$Z$18,$AA$2:$AA$18)-$T52)^2+(_xlfn.XLOOKUP(AP$1,$Z$2:$Z$18,$AB$2:$AB$18)-$U52)^2+(_xlfn.XLOOKUP(AP$1,$Z$2:$Z$18,$AC$2:$AC$18-$V52)^2)))</f>
        <v/>
      </c>
      <c r="AQ52" s="151" t="str">
        <f t="array" ref="AQ52">IF(AQ$1=0,"",SQRT((_xlfn.XLOOKUP(AQ$1,$Z$2:$Z$18,$AA$2:$AA$18)-$T52)^2+(_xlfn.XLOOKUP(AQ$1,$Z$2:$Z$18,$AB$2:$AB$18)-$U52)^2+(_xlfn.XLOOKUP(AQ$1,$Z$2:$Z$18,$AC$2:$AC$18-$V52)^2)))</f>
        <v/>
      </c>
      <c r="AR52" s="151" t="str">
        <f t="array" ref="AR52">IF(AR$1=0,"",SQRT((_xlfn.XLOOKUP(AR$1,$Z$2:$Z$18,$AA$2:$AA$18)-$T52)^2+(_xlfn.XLOOKUP(AR$1,$Z$2:$Z$18,$AB$2:$AB$18)-$U52)^2+(_xlfn.XLOOKUP(AR$1,$Z$2:$Z$18,$AC$2:$AC$18-$V52)^2)))</f>
        <v/>
      </c>
      <c r="AS52" s="151" t="str">
        <f t="array" ref="AS52">IF(AS$1=0,"",SQRT((_xlfn.XLOOKUP(AS$1,$Z$2:$Z$18,$AA$2:$AA$18)-$T52)^2+(_xlfn.XLOOKUP(AS$1,$Z$2:$Z$18,$AB$2:$AB$18)-$U52)^2+(_xlfn.XLOOKUP(AS$1,$Z$2:$Z$18,$AC$2:$AC$18-$V52)^2)))</f>
        <v/>
      </c>
      <c r="AT52" s="151" t="str">
        <f t="array" ref="AT52">IF(AT$1=0,"",SQRT((_xlfn.XLOOKUP(AT$1,$Z$2:$Z$18,$AA$2:$AA$18)-$T52)^2+(_xlfn.XLOOKUP(AT$1,$Z$2:$Z$18,$AB$2:$AB$18)-$U52)^2+(_xlfn.XLOOKUP(AT$1,$Z$2:$Z$18,$AC$2:$AC$18-$V52)^2)))</f>
        <v/>
      </c>
      <c r="AU52" s="151" t="str">
        <f t="array" ref="AU52">IF(AU$1=0,"",SQRT((_xlfn.XLOOKUP(AU$1,$Z$2:$Z$18,$AA$2:$AA$18)-$T52)^2+(_xlfn.XLOOKUP(AU$1,$Z$2:$Z$18,$AB$2:$AB$18)-$U52)^2+(_xlfn.XLOOKUP(AU$1,$Z$2:$Z$18,$AC$2:$AC$18-$V52)^2)))</f>
        <v/>
      </c>
      <c r="AV52" s="152" t="str">
        <f t="array" ref="AV52">IF(AV$1=0,"",SQRT((_xlfn.XLOOKUP(AV$1,$Z$2:$Z$18,$AA$2:$AA$18)-$T52)^2+(_xlfn.XLOOKUP(AV$1,$Z$2:$Z$18,$AB$2:$AB$18)-$U52)^2+(_xlfn.XLOOKUP(AV$1,$Z$2:$Z$18,$AC$2:$AC$18-$V52)^2)))</f>
        <v/>
      </c>
      <c r="AW52" s="134"/>
      <c r="AX52" s="134"/>
      <c r="AY52" s="135">
        <f t="shared" si="51"/>
        <v>0</v>
      </c>
      <c r="AZ52" s="153">
        <f t="shared" si="52"/>
        <v>0</v>
      </c>
      <c r="BA52" s="153">
        <f t="shared" si="53"/>
        <v>0</v>
      </c>
      <c r="BB52" s="153">
        <f t="shared" si="54"/>
        <v>0</v>
      </c>
      <c r="BC52" s="153">
        <f t="shared" si="55"/>
        <v>0</v>
      </c>
      <c r="BD52" s="153">
        <f t="shared" si="56"/>
        <v>0</v>
      </c>
      <c r="BE52" s="153">
        <f t="shared" si="57"/>
        <v>0</v>
      </c>
      <c r="BF52" s="153">
        <f t="shared" si="58"/>
        <v>0</v>
      </c>
      <c r="BG52" s="154">
        <f t="shared" si="59"/>
        <v>0</v>
      </c>
      <c r="BH52" s="154">
        <f t="shared" si="60"/>
        <v>0</v>
      </c>
      <c r="BI52" s="154">
        <f t="shared" si="61"/>
        <v>0</v>
      </c>
      <c r="BJ52" s="154">
        <f t="shared" si="62"/>
        <v>0</v>
      </c>
      <c r="BK52" s="154">
        <f t="shared" si="63"/>
        <v>0</v>
      </c>
      <c r="BL52" s="154">
        <f t="shared" si="64"/>
        <v>0</v>
      </c>
      <c r="BM52" s="155">
        <f t="shared" si="65"/>
        <v>0</v>
      </c>
      <c r="BN52" s="134"/>
      <c r="BO52" s="134"/>
      <c r="BP52" s="134"/>
      <c r="BQ52" s="134"/>
      <c r="BR52" s="134"/>
      <c r="BS52" s="134"/>
      <c r="BT52" s="134"/>
      <c r="BU52" s="134"/>
      <c r="BV52" s="140"/>
      <c r="BW52" s="140"/>
      <c r="BX52" s="140"/>
      <c r="BY52" s="140"/>
      <c r="BZ52" s="140"/>
      <c r="CA52" s="140"/>
      <c r="CB52" s="140"/>
      <c r="CC52" s="140"/>
      <c r="CD52" s="140"/>
      <c r="CE52" s="140"/>
      <c r="CF52" s="140"/>
      <c r="CG52" s="140"/>
      <c r="CH52" s="140"/>
      <c r="CI52" s="140"/>
      <c r="CJ52" s="140"/>
      <c r="CK52" s="134"/>
      <c r="CL52" s="134"/>
      <c r="CM52" s="169">
        <f t="shared" si="66"/>
        <v>0</v>
      </c>
      <c r="CN52" s="170">
        <f t="shared" si="67"/>
        <v>0</v>
      </c>
      <c r="CO52" s="170">
        <f t="shared" si="68"/>
        <v>0</v>
      </c>
      <c r="CP52" s="170">
        <f t="shared" si="69"/>
        <v>0</v>
      </c>
      <c r="CQ52" s="170">
        <f t="shared" si="70"/>
        <v>0</v>
      </c>
      <c r="CR52" s="170" t="str">
        <f t="shared" si="71"/>
        <v/>
      </c>
      <c r="CS52" s="170" t="str">
        <f t="shared" si="72"/>
        <v/>
      </c>
      <c r="CT52" s="170" t="str">
        <f t="shared" si="73"/>
        <v/>
      </c>
      <c r="CU52" s="172" t="str">
        <f t="shared" si="74"/>
        <v/>
      </c>
      <c r="CV52" s="172" t="str">
        <f t="shared" si="75"/>
        <v/>
      </c>
      <c r="CW52" s="172" t="str">
        <f t="shared" si="76"/>
        <v/>
      </c>
      <c r="CX52" s="172" t="str">
        <f t="shared" si="77"/>
        <v/>
      </c>
      <c r="CY52" s="172" t="str">
        <f t="shared" si="78"/>
        <v/>
      </c>
      <c r="CZ52" s="172" t="str">
        <f t="shared" si="79"/>
        <v/>
      </c>
      <c r="DA52" s="173" t="str">
        <f t="shared" si="80"/>
        <v/>
      </c>
    </row>
    <row r="53" spans="1:105" ht="16.5" customHeight="1" x14ac:dyDescent="0.3">
      <c r="A53" s="145"/>
      <c r="B53" s="146"/>
      <c r="C53" s="146"/>
      <c r="D53" s="147"/>
      <c r="E53" s="202"/>
      <c r="F53" s="210"/>
      <c r="G53" s="211"/>
      <c r="H53" s="211"/>
      <c r="I53" s="211"/>
      <c r="J53" s="211"/>
      <c r="K53" s="211"/>
      <c r="L53" s="211"/>
      <c r="M53" s="215"/>
      <c r="N53" s="210"/>
      <c r="O53" s="212"/>
      <c r="P53" s="205"/>
      <c r="Q53" s="128">
        <f t="shared" si="34"/>
        <v>0</v>
      </c>
      <c r="R53" s="3"/>
      <c r="S53" s="3"/>
      <c r="T53" s="4"/>
      <c r="U53" s="4"/>
      <c r="V53" s="109">
        <f t="shared" si="50"/>
        <v>0</v>
      </c>
      <c r="W53" s="171"/>
      <c r="X53" s="148"/>
      <c r="AH53" s="168">
        <f t="array" ref="AH53">IF(AH$1=0,"",SQRT((_xlfn.XLOOKUP(AH$1,$Z$2:$Z$18,$AA$2:$AA$18)-$T53)^2+(_xlfn.XLOOKUP(AH$1,$Z$2:$Z$18,$AB$2:$AB$18)-$U53)^2+(_xlfn.XLOOKUP(AH$1,$Z$2:$Z$18,$AC$2:$AC$18-$V53)^2)))</f>
        <v>112.53151914019467</v>
      </c>
      <c r="AI53" s="150">
        <f t="array" ref="AI53">IF(AI$1=0,"",SQRT((_xlfn.XLOOKUP(AI$1,$Z$2:$Z$18,$AA$2:$AA$18)-$T53)^2+(_xlfn.XLOOKUP(AI$1,$Z$2:$Z$18,$AB$2:$AB$18)-$U53)^2+(_xlfn.XLOOKUP(AI$1,$Z$2:$Z$18,$AC$2:$AC$18-$V53)^2)))</f>
        <v>123.81444705687622</v>
      </c>
      <c r="AJ53" s="150">
        <f t="array" ref="AJ53">IF(AJ$1=0,"",SQRT((_xlfn.XLOOKUP(AJ$1,$Z$2:$Z$18,$AA$2:$AA$18)-$T53)^2+(_xlfn.XLOOKUP(AJ$1,$Z$2:$Z$18,$AB$2:$AB$18)-$U53)^2+(_xlfn.XLOOKUP(AJ$1,$Z$2:$Z$18,$AC$2:$AC$18-$V53)^2)))</f>
        <v>226.27326421828982</v>
      </c>
      <c r="AK53" s="150">
        <f t="array" ref="AK53">IF(AK$1=0,"",SQRT((_xlfn.XLOOKUP(AK$1,$Z$2:$Z$18,$AA$2:$AA$18)-$T53)^2+(_xlfn.XLOOKUP(AK$1,$Z$2:$Z$18,$AB$2:$AB$18)-$U53)^2+(_xlfn.XLOOKUP(AK$1,$Z$2:$Z$18,$AC$2:$AC$18-$V53)^2)))</f>
        <v>330.89448786584524</v>
      </c>
      <c r="AL53" s="150">
        <f t="array" ref="AL53">IF(AL$1=0,"",SQRT((_xlfn.XLOOKUP(AL$1,$Z$2:$Z$18,$AA$2:$AA$18)-$T53)^2+(_xlfn.XLOOKUP(AL$1,$Z$2:$Z$18,$AB$2:$AB$18)-$U53)^2+(_xlfn.XLOOKUP(AL$1,$Z$2:$Z$18,$AC$2:$AC$18-$V53)^2)))</f>
        <v>218.97662386656708</v>
      </c>
      <c r="AM53" s="150" t="str">
        <f t="array" ref="AM53">IF(AM$1=0,"",SQRT((_xlfn.XLOOKUP(AM$1,$Z$2:$Z$18,$AA$2:$AA$18)-$T53)^2+(_xlfn.XLOOKUP(AM$1,$Z$2:$Z$18,$AB$2:$AB$18)-$U53)^2+(_xlfn.XLOOKUP(AM$1,$Z$2:$Z$18,$AC$2:$AC$18-$V53)^2)))</f>
        <v/>
      </c>
      <c r="AN53" s="150" t="str">
        <f t="array" ref="AN53">IF(AN$1=0,"",SQRT((_xlfn.XLOOKUP(AN$1,$Z$2:$Z$18,$AA$2:$AA$18)-$T53)^2+(_xlfn.XLOOKUP(AN$1,$Z$2:$Z$18,$AB$2:$AB$18)-$U53)^2+(_xlfn.XLOOKUP(AN$1,$Z$2:$Z$18,$AC$2:$AC$18-$V53)^2)))</f>
        <v/>
      </c>
      <c r="AO53" s="150" t="str">
        <f t="array" ref="AO53">IF(AO$1=0,"",SQRT((_xlfn.XLOOKUP(AO$1,$Z$2:$Z$18,$AA$2:$AA$18)-$T53)^2+(_xlfn.XLOOKUP(AO$1,$Z$2:$Z$18,$AB$2:$AB$18)-$U53)^2+(_xlfn.XLOOKUP(AO$1,$Z$2:$Z$18,$AC$2:$AC$18-$V53)^2)))</f>
        <v/>
      </c>
      <c r="AP53" s="151" t="str">
        <f t="array" ref="AP53">IF(AP$1=0,"",SQRT((_xlfn.XLOOKUP(AP$1,$Z$2:$Z$18,$AA$2:$AA$18)-$T53)^2+(_xlfn.XLOOKUP(AP$1,$Z$2:$Z$18,$AB$2:$AB$18)-$U53)^2+(_xlfn.XLOOKUP(AP$1,$Z$2:$Z$18,$AC$2:$AC$18-$V53)^2)))</f>
        <v/>
      </c>
      <c r="AQ53" s="151" t="str">
        <f t="array" ref="AQ53">IF(AQ$1=0,"",SQRT((_xlfn.XLOOKUP(AQ$1,$Z$2:$Z$18,$AA$2:$AA$18)-$T53)^2+(_xlfn.XLOOKUP(AQ$1,$Z$2:$Z$18,$AB$2:$AB$18)-$U53)^2+(_xlfn.XLOOKUP(AQ$1,$Z$2:$Z$18,$AC$2:$AC$18-$V53)^2)))</f>
        <v/>
      </c>
      <c r="AR53" s="151" t="str">
        <f t="array" ref="AR53">IF(AR$1=0,"",SQRT((_xlfn.XLOOKUP(AR$1,$Z$2:$Z$18,$AA$2:$AA$18)-$T53)^2+(_xlfn.XLOOKUP(AR$1,$Z$2:$Z$18,$AB$2:$AB$18)-$U53)^2+(_xlfn.XLOOKUP(AR$1,$Z$2:$Z$18,$AC$2:$AC$18-$V53)^2)))</f>
        <v/>
      </c>
      <c r="AS53" s="151" t="str">
        <f t="array" ref="AS53">IF(AS$1=0,"",SQRT((_xlfn.XLOOKUP(AS$1,$Z$2:$Z$18,$AA$2:$AA$18)-$T53)^2+(_xlfn.XLOOKUP(AS$1,$Z$2:$Z$18,$AB$2:$AB$18)-$U53)^2+(_xlfn.XLOOKUP(AS$1,$Z$2:$Z$18,$AC$2:$AC$18-$V53)^2)))</f>
        <v/>
      </c>
      <c r="AT53" s="151" t="str">
        <f t="array" ref="AT53">IF(AT$1=0,"",SQRT((_xlfn.XLOOKUP(AT$1,$Z$2:$Z$18,$AA$2:$AA$18)-$T53)^2+(_xlfn.XLOOKUP(AT$1,$Z$2:$Z$18,$AB$2:$AB$18)-$U53)^2+(_xlfn.XLOOKUP(AT$1,$Z$2:$Z$18,$AC$2:$AC$18-$V53)^2)))</f>
        <v/>
      </c>
      <c r="AU53" s="151" t="str">
        <f t="array" ref="AU53">IF(AU$1=0,"",SQRT((_xlfn.XLOOKUP(AU$1,$Z$2:$Z$18,$AA$2:$AA$18)-$T53)^2+(_xlfn.XLOOKUP(AU$1,$Z$2:$Z$18,$AB$2:$AB$18)-$U53)^2+(_xlfn.XLOOKUP(AU$1,$Z$2:$Z$18,$AC$2:$AC$18-$V53)^2)))</f>
        <v/>
      </c>
      <c r="AV53" s="152" t="str">
        <f t="array" ref="AV53">IF(AV$1=0,"",SQRT((_xlfn.XLOOKUP(AV$1,$Z$2:$Z$18,$AA$2:$AA$18)-$T53)^2+(_xlfn.XLOOKUP(AV$1,$Z$2:$Z$18,$AB$2:$AB$18)-$U53)^2+(_xlfn.XLOOKUP(AV$1,$Z$2:$Z$18,$AC$2:$AC$18-$V53)^2)))</f>
        <v/>
      </c>
      <c r="AW53" s="134"/>
      <c r="AX53" s="134"/>
      <c r="AY53" s="135">
        <f t="shared" si="51"/>
        <v>0</v>
      </c>
      <c r="AZ53" s="153">
        <f t="shared" si="52"/>
        <v>0</v>
      </c>
      <c r="BA53" s="153">
        <f t="shared" si="53"/>
        <v>0</v>
      </c>
      <c r="BB53" s="153">
        <f t="shared" si="54"/>
        <v>0</v>
      </c>
      <c r="BC53" s="153">
        <f t="shared" si="55"/>
        <v>0</v>
      </c>
      <c r="BD53" s="153">
        <f t="shared" si="56"/>
        <v>0</v>
      </c>
      <c r="BE53" s="153">
        <f t="shared" si="57"/>
        <v>0</v>
      </c>
      <c r="BF53" s="153">
        <f t="shared" si="58"/>
        <v>0</v>
      </c>
      <c r="BG53" s="154">
        <f t="shared" si="59"/>
        <v>0</v>
      </c>
      <c r="BH53" s="154">
        <f t="shared" si="60"/>
        <v>0</v>
      </c>
      <c r="BI53" s="154">
        <f t="shared" si="61"/>
        <v>0</v>
      </c>
      <c r="BJ53" s="154">
        <f t="shared" si="62"/>
        <v>0</v>
      </c>
      <c r="BK53" s="154">
        <f t="shared" si="63"/>
        <v>0</v>
      </c>
      <c r="BL53" s="154">
        <f t="shared" si="64"/>
        <v>0</v>
      </c>
      <c r="BM53" s="155">
        <f t="shared" si="65"/>
        <v>0</v>
      </c>
      <c r="BN53" s="134"/>
      <c r="BO53" s="134"/>
      <c r="BP53" s="134"/>
      <c r="BQ53" s="134"/>
      <c r="BR53" s="134"/>
      <c r="BS53" s="134"/>
      <c r="BT53" s="134"/>
      <c r="BU53" s="134"/>
      <c r="BV53" s="140"/>
      <c r="BW53" s="140"/>
      <c r="BX53" s="140"/>
      <c r="BY53" s="140"/>
      <c r="BZ53" s="140"/>
      <c r="CA53" s="140"/>
      <c r="CB53" s="140"/>
      <c r="CC53" s="140"/>
      <c r="CD53" s="140"/>
      <c r="CE53" s="140"/>
      <c r="CF53" s="140"/>
      <c r="CG53" s="140"/>
      <c r="CH53" s="140"/>
      <c r="CI53" s="140"/>
      <c r="CJ53" s="140"/>
      <c r="CK53" s="134"/>
      <c r="CL53" s="134"/>
      <c r="CM53" s="169">
        <f t="shared" si="66"/>
        <v>0</v>
      </c>
      <c r="CN53" s="170">
        <f t="shared" si="67"/>
        <v>0</v>
      </c>
      <c r="CO53" s="170">
        <f t="shared" si="68"/>
        <v>0</v>
      </c>
      <c r="CP53" s="170">
        <f t="shared" si="69"/>
        <v>0</v>
      </c>
      <c r="CQ53" s="170">
        <f t="shared" si="70"/>
        <v>0</v>
      </c>
      <c r="CR53" s="170" t="str">
        <f t="shared" si="71"/>
        <v/>
      </c>
      <c r="CS53" s="170" t="str">
        <f t="shared" si="72"/>
        <v/>
      </c>
      <c r="CT53" s="170" t="str">
        <f t="shared" si="73"/>
        <v/>
      </c>
      <c r="CU53" s="172" t="str">
        <f t="shared" si="74"/>
        <v/>
      </c>
      <c r="CV53" s="172" t="str">
        <f t="shared" si="75"/>
        <v/>
      </c>
      <c r="CW53" s="172" t="str">
        <f t="shared" si="76"/>
        <v/>
      </c>
      <c r="CX53" s="172" t="str">
        <f t="shared" si="77"/>
        <v/>
      </c>
      <c r="CY53" s="172" t="str">
        <f t="shared" si="78"/>
        <v/>
      </c>
      <c r="CZ53" s="172" t="str">
        <f t="shared" si="79"/>
        <v/>
      </c>
      <c r="DA53" s="173" t="str">
        <f t="shared" si="80"/>
        <v/>
      </c>
    </row>
    <row r="54" spans="1:105" ht="16.5" customHeight="1" x14ac:dyDescent="0.3">
      <c r="A54" s="145"/>
      <c r="B54" s="146"/>
      <c r="C54" s="146"/>
      <c r="D54" s="147"/>
      <c r="E54" s="202"/>
      <c r="F54" s="210"/>
      <c r="G54" s="211"/>
      <c r="H54" s="211"/>
      <c r="I54" s="211"/>
      <c r="J54" s="211"/>
      <c r="K54" s="211"/>
      <c r="L54" s="211"/>
      <c r="M54" s="215"/>
      <c r="N54" s="210"/>
      <c r="O54" s="212"/>
      <c r="P54" s="205"/>
      <c r="Q54" s="128">
        <f t="shared" si="34"/>
        <v>0</v>
      </c>
      <c r="R54" s="3"/>
      <c r="S54" s="3"/>
      <c r="T54" s="4"/>
      <c r="U54" s="4"/>
      <c r="V54" s="109">
        <f t="shared" si="50"/>
        <v>0</v>
      </c>
      <c r="W54" s="171"/>
      <c r="X54" s="148"/>
      <c r="AH54" s="168">
        <f t="array" ref="AH54">IF(AH$1=0,"",SQRT((_xlfn.XLOOKUP(AH$1,$Z$2:$Z$18,$AA$2:$AA$18)-$T54)^2+(_xlfn.XLOOKUP(AH$1,$Z$2:$Z$18,$AB$2:$AB$18)-$U54)^2+(_xlfn.XLOOKUP(AH$1,$Z$2:$Z$18,$AC$2:$AC$18-$V54)^2)))</f>
        <v>112.53151914019467</v>
      </c>
      <c r="AI54" s="150">
        <f t="array" ref="AI54">IF(AI$1=0,"",SQRT((_xlfn.XLOOKUP(AI$1,$Z$2:$Z$18,$AA$2:$AA$18)-$T54)^2+(_xlfn.XLOOKUP(AI$1,$Z$2:$Z$18,$AB$2:$AB$18)-$U54)^2+(_xlfn.XLOOKUP(AI$1,$Z$2:$Z$18,$AC$2:$AC$18-$V54)^2)))</f>
        <v>123.81444705687622</v>
      </c>
      <c r="AJ54" s="150">
        <f t="array" ref="AJ54">IF(AJ$1=0,"",SQRT((_xlfn.XLOOKUP(AJ$1,$Z$2:$Z$18,$AA$2:$AA$18)-$T54)^2+(_xlfn.XLOOKUP(AJ$1,$Z$2:$Z$18,$AB$2:$AB$18)-$U54)^2+(_xlfn.XLOOKUP(AJ$1,$Z$2:$Z$18,$AC$2:$AC$18-$V54)^2)))</f>
        <v>226.27326421828982</v>
      </c>
      <c r="AK54" s="150">
        <f t="array" ref="AK54">IF(AK$1=0,"",SQRT((_xlfn.XLOOKUP(AK$1,$Z$2:$Z$18,$AA$2:$AA$18)-$T54)^2+(_xlfn.XLOOKUP(AK$1,$Z$2:$Z$18,$AB$2:$AB$18)-$U54)^2+(_xlfn.XLOOKUP(AK$1,$Z$2:$Z$18,$AC$2:$AC$18-$V54)^2)))</f>
        <v>330.89448786584524</v>
      </c>
      <c r="AL54" s="150">
        <f t="array" ref="AL54">IF(AL$1=0,"",SQRT((_xlfn.XLOOKUP(AL$1,$Z$2:$Z$18,$AA$2:$AA$18)-$T54)^2+(_xlfn.XLOOKUP(AL$1,$Z$2:$Z$18,$AB$2:$AB$18)-$U54)^2+(_xlfn.XLOOKUP(AL$1,$Z$2:$Z$18,$AC$2:$AC$18-$V54)^2)))</f>
        <v>218.97662386656708</v>
      </c>
      <c r="AM54" s="150" t="str">
        <f t="array" ref="AM54">IF(AM$1=0,"",SQRT((_xlfn.XLOOKUP(AM$1,$Z$2:$Z$18,$AA$2:$AA$18)-$T54)^2+(_xlfn.XLOOKUP(AM$1,$Z$2:$Z$18,$AB$2:$AB$18)-$U54)^2+(_xlfn.XLOOKUP(AM$1,$Z$2:$Z$18,$AC$2:$AC$18-$V54)^2)))</f>
        <v/>
      </c>
      <c r="AN54" s="150" t="str">
        <f t="array" ref="AN54">IF(AN$1=0,"",SQRT((_xlfn.XLOOKUP(AN$1,$Z$2:$Z$18,$AA$2:$AA$18)-$T54)^2+(_xlfn.XLOOKUP(AN$1,$Z$2:$Z$18,$AB$2:$AB$18)-$U54)^2+(_xlfn.XLOOKUP(AN$1,$Z$2:$Z$18,$AC$2:$AC$18-$V54)^2)))</f>
        <v/>
      </c>
      <c r="AO54" s="150" t="str">
        <f t="array" ref="AO54">IF(AO$1=0,"",SQRT((_xlfn.XLOOKUP(AO$1,$Z$2:$Z$18,$AA$2:$AA$18)-$T54)^2+(_xlfn.XLOOKUP(AO$1,$Z$2:$Z$18,$AB$2:$AB$18)-$U54)^2+(_xlfn.XLOOKUP(AO$1,$Z$2:$Z$18,$AC$2:$AC$18-$V54)^2)))</f>
        <v/>
      </c>
      <c r="AP54" s="151" t="str">
        <f t="array" ref="AP54">IF(AP$1=0,"",SQRT((_xlfn.XLOOKUP(AP$1,$Z$2:$Z$18,$AA$2:$AA$18)-$T54)^2+(_xlfn.XLOOKUP(AP$1,$Z$2:$Z$18,$AB$2:$AB$18)-$U54)^2+(_xlfn.XLOOKUP(AP$1,$Z$2:$Z$18,$AC$2:$AC$18-$V54)^2)))</f>
        <v/>
      </c>
      <c r="AQ54" s="151" t="str">
        <f t="array" ref="AQ54">IF(AQ$1=0,"",SQRT((_xlfn.XLOOKUP(AQ$1,$Z$2:$Z$18,$AA$2:$AA$18)-$T54)^2+(_xlfn.XLOOKUP(AQ$1,$Z$2:$Z$18,$AB$2:$AB$18)-$U54)^2+(_xlfn.XLOOKUP(AQ$1,$Z$2:$Z$18,$AC$2:$AC$18-$V54)^2)))</f>
        <v/>
      </c>
      <c r="AR54" s="151" t="str">
        <f t="array" ref="AR54">IF(AR$1=0,"",SQRT((_xlfn.XLOOKUP(AR$1,$Z$2:$Z$18,$AA$2:$AA$18)-$T54)^2+(_xlfn.XLOOKUP(AR$1,$Z$2:$Z$18,$AB$2:$AB$18)-$U54)^2+(_xlfn.XLOOKUP(AR$1,$Z$2:$Z$18,$AC$2:$AC$18-$V54)^2)))</f>
        <v/>
      </c>
      <c r="AS54" s="151" t="str">
        <f t="array" ref="AS54">IF(AS$1=0,"",SQRT((_xlfn.XLOOKUP(AS$1,$Z$2:$Z$18,$AA$2:$AA$18)-$T54)^2+(_xlfn.XLOOKUP(AS$1,$Z$2:$Z$18,$AB$2:$AB$18)-$U54)^2+(_xlfn.XLOOKUP(AS$1,$Z$2:$Z$18,$AC$2:$AC$18-$V54)^2)))</f>
        <v/>
      </c>
      <c r="AT54" s="151" t="str">
        <f t="array" ref="AT54">IF(AT$1=0,"",SQRT((_xlfn.XLOOKUP(AT$1,$Z$2:$Z$18,$AA$2:$AA$18)-$T54)^2+(_xlfn.XLOOKUP(AT$1,$Z$2:$Z$18,$AB$2:$AB$18)-$U54)^2+(_xlfn.XLOOKUP(AT$1,$Z$2:$Z$18,$AC$2:$AC$18-$V54)^2)))</f>
        <v/>
      </c>
      <c r="AU54" s="151" t="str">
        <f t="array" ref="AU54">IF(AU$1=0,"",SQRT((_xlfn.XLOOKUP(AU$1,$Z$2:$Z$18,$AA$2:$AA$18)-$T54)^2+(_xlfn.XLOOKUP(AU$1,$Z$2:$Z$18,$AB$2:$AB$18)-$U54)^2+(_xlfn.XLOOKUP(AU$1,$Z$2:$Z$18,$AC$2:$AC$18-$V54)^2)))</f>
        <v/>
      </c>
      <c r="AV54" s="152" t="str">
        <f t="array" ref="AV54">IF(AV$1=0,"",SQRT((_xlfn.XLOOKUP(AV$1,$Z$2:$Z$18,$AA$2:$AA$18)-$T54)^2+(_xlfn.XLOOKUP(AV$1,$Z$2:$Z$18,$AB$2:$AB$18)-$U54)^2+(_xlfn.XLOOKUP(AV$1,$Z$2:$Z$18,$AC$2:$AC$18-$V54)^2)))</f>
        <v/>
      </c>
      <c r="AW54" s="134"/>
      <c r="AX54" s="134"/>
      <c r="AY54" s="135">
        <f t="shared" si="51"/>
        <v>0</v>
      </c>
      <c r="AZ54" s="153">
        <f t="shared" si="52"/>
        <v>0</v>
      </c>
      <c r="BA54" s="153">
        <f t="shared" si="53"/>
        <v>0</v>
      </c>
      <c r="BB54" s="153">
        <f t="shared" si="54"/>
        <v>0</v>
      </c>
      <c r="BC54" s="153">
        <f t="shared" si="55"/>
        <v>0</v>
      </c>
      <c r="BD54" s="153">
        <f t="shared" si="56"/>
        <v>0</v>
      </c>
      <c r="BE54" s="153">
        <f t="shared" si="57"/>
        <v>0</v>
      </c>
      <c r="BF54" s="153">
        <f t="shared" si="58"/>
        <v>0</v>
      </c>
      <c r="BG54" s="154">
        <f t="shared" si="59"/>
        <v>0</v>
      </c>
      <c r="BH54" s="154">
        <f t="shared" si="60"/>
        <v>0</v>
      </c>
      <c r="BI54" s="154">
        <f t="shared" si="61"/>
        <v>0</v>
      </c>
      <c r="BJ54" s="154">
        <f t="shared" si="62"/>
        <v>0</v>
      </c>
      <c r="BK54" s="154">
        <f t="shared" si="63"/>
        <v>0</v>
      </c>
      <c r="BL54" s="154">
        <f t="shared" si="64"/>
        <v>0</v>
      </c>
      <c r="BM54" s="155">
        <f t="shared" si="65"/>
        <v>0</v>
      </c>
      <c r="BN54" s="134"/>
      <c r="BO54" s="134"/>
      <c r="BP54" s="134"/>
      <c r="BQ54" s="134"/>
      <c r="BR54" s="134"/>
      <c r="BS54" s="134"/>
      <c r="BT54" s="134"/>
      <c r="BU54" s="134"/>
      <c r="BV54" s="140"/>
      <c r="BW54" s="140"/>
      <c r="BX54" s="140"/>
      <c r="BY54" s="140"/>
      <c r="BZ54" s="140"/>
      <c r="CA54" s="140"/>
      <c r="CB54" s="140"/>
      <c r="CC54" s="140"/>
      <c r="CD54" s="140"/>
      <c r="CE54" s="140"/>
      <c r="CF54" s="140"/>
      <c r="CG54" s="140"/>
      <c r="CH54" s="140"/>
      <c r="CI54" s="140"/>
      <c r="CJ54" s="140"/>
      <c r="CK54" s="134"/>
      <c r="CL54" s="134"/>
      <c r="CM54" s="169">
        <f t="shared" si="66"/>
        <v>0</v>
      </c>
      <c r="CN54" s="170">
        <f t="shared" si="67"/>
        <v>0</v>
      </c>
      <c r="CO54" s="170">
        <f t="shared" si="68"/>
        <v>0</v>
      </c>
      <c r="CP54" s="170">
        <f t="shared" si="69"/>
        <v>0</v>
      </c>
      <c r="CQ54" s="170">
        <f t="shared" si="70"/>
        <v>0</v>
      </c>
      <c r="CR54" s="170" t="str">
        <f t="shared" si="71"/>
        <v/>
      </c>
      <c r="CS54" s="170" t="str">
        <f t="shared" si="72"/>
        <v/>
      </c>
      <c r="CT54" s="170" t="str">
        <f t="shared" si="73"/>
        <v/>
      </c>
      <c r="CU54" s="172" t="str">
        <f t="shared" si="74"/>
        <v/>
      </c>
      <c r="CV54" s="172" t="str">
        <f t="shared" si="75"/>
        <v/>
      </c>
      <c r="CW54" s="172" t="str">
        <f t="shared" si="76"/>
        <v/>
      </c>
      <c r="CX54" s="172" t="str">
        <f t="shared" si="77"/>
        <v/>
      </c>
      <c r="CY54" s="172" t="str">
        <f t="shared" si="78"/>
        <v/>
      </c>
      <c r="CZ54" s="172" t="str">
        <f t="shared" si="79"/>
        <v/>
      </c>
      <c r="DA54" s="173" t="str">
        <f t="shared" si="80"/>
        <v/>
      </c>
    </row>
    <row r="55" spans="1:105" ht="16.5" customHeight="1" x14ac:dyDescent="0.3">
      <c r="A55" s="145"/>
      <c r="B55" s="146"/>
      <c r="C55" s="146"/>
      <c r="D55" s="147"/>
      <c r="E55" s="202"/>
      <c r="F55" s="210"/>
      <c r="G55" s="211"/>
      <c r="H55" s="211"/>
      <c r="I55" s="211"/>
      <c r="J55" s="211"/>
      <c r="K55" s="211"/>
      <c r="L55" s="211"/>
      <c r="M55" s="215"/>
      <c r="N55" s="210"/>
      <c r="O55" s="212"/>
      <c r="P55" s="205"/>
      <c r="Q55" s="128">
        <f t="shared" si="34"/>
        <v>0</v>
      </c>
      <c r="R55" s="3"/>
      <c r="S55" s="3"/>
      <c r="T55" s="4"/>
      <c r="U55" s="4"/>
      <c r="V55" s="109">
        <f t="shared" si="50"/>
        <v>0</v>
      </c>
      <c r="W55" s="171"/>
      <c r="X55" s="148"/>
      <c r="AH55" s="168">
        <f t="array" ref="AH55">IF(AH$1=0,"",SQRT((_xlfn.XLOOKUP(AH$1,$Z$2:$Z$18,$AA$2:$AA$18)-$T55)^2+(_xlfn.XLOOKUP(AH$1,$Z$2:$Z$18,$AB$2:$AB$18)-$U55)^2+(_xlfn.XLOOKUP(AH$1,$Z$2:$Z$18,$AC$2:$AC$18-$V55)^2)))</f>
        <v>112.53151914019467</v>
      </c>
      <c r="AI55" s="150">
        <f t="array" ref="AI55">IF(AI$1=0,"",SQRT((_xlfn.XLOOKUP(AI$1,$Z$2:$Z$18,$AA$2:$AA$18)-$T55)^2+(_xlfn.XLOOKUP(AI$1,$Z$2:$Z$18,$AB$2:$AB$18)-$U55)^2+(_xlfn.XLOOKUP(AI$1,$Z$2:$Z$18,$AC$2:$AC$18-$V55)^2)))</f>
        <v>123.81444705687622</v>
      </c>
      <c r="AJ55" s="150">
        <f t="array" ref="AJ55">IF(AJ$1=0,"",SQRT((_xlfn.XLOOKUP(AJ$1,$Z$2:$Z$18,$AA$2:$AA$18)-$T55)^2+(_xlfn.XLOOKUP(AJ$1,$Z$2:$Z$18,$AB$2:$AB$18)-$U55)^2+(_xlfn.XLOOKUP(AJ$1,$Z$2:$Z$18,$AC$2:$AC$18-$V55)^2)))</f>
        <v>226.27326421828982</v>
      </c>
      <c r="AK55" s="150">
        <f t="array" ref="AK55">IF(AK$1=0,"",SQRT((_xlfn.XLOOKUP(AK$1,$Z$2:$Z$18,$AA$2:$AA$18)-$T55)^2+(_xlfn.XLOOKUP(AK$1,$Z$2:$Z$18,$AB$2:$AB$18)-$U55)^2+(_xlfn.XLOOKUP(AK$1,$Z$2:$Z$18,$AC$2:$AC$18-$V55)^2)))</f>
        <v>330.89448786584524</v>
      </c>
      <c r="AL55" s="150">
        <f t="array" ref="AL55">IF(AL$1=0,"",SQRT((_xlfn.XLOOKUP(AL$1,$Z$2:$Z$18,$AA$2:$AA$18)-$T55)^2+(_xlfn.XLOOKUP(AL$1,$Z$2:$Z$18,$AB$2:$AB$18)-$U55)^2+(_xlfn.XLOOKUP(AL$1,$Z$2:$Z$18,$AC$2:$AC$18-$V55)^2)))</f>
        <v>218.97662386656708</v>
      </c>
      <c r="AM55" s="150" t="str">
        <f t="array" ref="AM55">IF(AM$1=0,"",SQRT((_xlfn.XLOOKUP(AM$1,$Z$2:$Z$18,$AA$2:$AA$18)-$T55)^2+(_xlfn.XLOOKUP(AM$1,$Z$2:$Z$18,$AB$2:$AB$18)-$U55)^2+(_xlfn.XLOOKUP(AM$1,$Z$2:$Z$18,$AC$2:$AC$18-$V55)^2)))</f>
        <v/>
      </c>
      <c r="AN55" s="150" t="str">
        <f t="array" ref="AN55">IF(AN$1=0,"",SQRT((_xlfn.XLOOKUP(AN$1,$Z$2:$Z$18,$AA$2:$AA$18)-$T55)^2+(_xlfn.XLOOKUP(AN$1,$Z$2:$Z$18,$AB$2:$AB$18)-$U55)^2+(_xlfn.XLOOKUP(AN$1,$Z$2:$Z$18,$AC$2:$AC$18-$V55)^2)))</f>
        <v/>
      </c>
      <c r="AO55" s="150" t="str">
        <f t="array" ref="AO55">IF(AO$1=0,"",SQRT((_xlfn.XLOOKUP(AO$1,$Z$2:$Z$18,$AA$2:$AA$18)-$T55)^2+(_xlfn.XLOOKUP(AO$1,$Z$2:$Z$18,$AB$2:$AB$18)-$U55)^2+(_xlfn.XLOOKUP(AO$1,$Z$2:$Z$18,$AC$2:$AC$18-$V55)^2)))</f>
        <v/>
      </c>
      <c r="AP55" s="151" t="str">
        <f t="array" ref="AP55">IF(AP$1=0,"",SQRT((_xlfn.XLOOKUP(AP$1,$Z$2:$Z$18,$AA$2:$AA$18)-$T55)^2+(_xlfn.XLOOKUP(AP$1,$Z$2:$Z$18,$AB$2:$AB$18)-$U55)^2+(_xlfn.XLOOKUP(AP$1,$Z$2:$Z$18,$AC$2:$AC$18-$V55)^2)))</f>
        <v/>
      </c>
      <c r="AQ55" s="151" t="str">
        <f t="array" ref="AQ55">IF(AQ$1=0,"",SQRT((_xlfn.XLOOKUP(AQ$1,$Z$2:$Z$18,$AA$2:$AA$18)-$T55)^2+(_xlfn.XLOOKUP(AQ$1,$Z$2:$Z$18,$AB$2:$AB$18)-$U55)^2+(_xlfn.XLOOKUP(AQ$1,$Z$2:$Z$18,$AC$2:$AC$18-$V55)^2)))</f>
        <v/>
      </c>
      <c r="AR55" s="151" t="str">
        <f t="array" ref="AR55">IF(AR$1=0,"",SQRT((_xlfn.XLOOKUP(AR$1,$Z$2:$Z$18,$AA$2:$AA$18)-$T55)^2+(_xlfn.XLOOKUP(AR$1,$Z$2:$Z$18,$AB$2:$AB$18)-$U55)^2+(_xlfn.XLOOKUP(AR$1,$Z$2:$Z$18,$AC$2:$AC$18-$V55)^2)))</f>
        <v/>
      </c>
      <c r="AS55" s="151" t="str">
        <f t="array" ref="AS55">IF(AS$1=0,"",SQRT((_xlfn.XLOOKUP(AS$1,$Z$2:$Z$18,$AA$2:$AA$18)-$T55)^2+(_xlfn.XLOOKUP(AS$1,$Z$2:$Z$18,$AB$2:$AB$18)-$U55)^2+(_xlfn.XLOOKUP(AS$1,$Z$2:$Z$18,$AC$2:$AC$18-$V55)^2)))</f>
        <v/>
      </c>
      <c r="AT55" s="151" t="str">
        <f t="array" ref="AT55">IF(AT$1=0,"",SQRT((_xlfn.XLOOKUP(AT$1,$Z$2:$Z$18,$AA$2:$AA$18)-$T55)^2+(_xlfn.XLOOKUP(AT$1,$Z$2:$Z$18,$AB$2:$AB$18)-$U55)^2+(_xlfn.XLOOKUP(AT$1,$Z$2:$Z$18,$AC$2:$AC$18-$V55)^2)))</f>
        <v/>
      </c>
      <c r="AU55" s="151" t="str">
        <f t="array" ref="AU55">IF(AU$1=0,"",SQRT((_xlfn.XLOOKUP(AU$1,$Z$2:$Z$18,$AA$2:$AA$18)-$T55)^2+(_xlfn.XLOOKUP(AU$1,$Z$2:$Z$18,$AB$2:$AB$18)-$U55)^2+(_xlfn.XLOOKUP(AU$1,$Z$2:$Z$18,$AC$2:$AC$18-$V55)^2)))</f>
        <v/>
      </c>
      <c r="AV55" s="152" t="str">
        <f t="array" ref="AV55">IF(AV$1=0,"",SQRT((_xlfn.XLOOKUP(AV$1,$Z$2:$Z$18,$AA$2:$AA$18)-$T55)^2+(_xlfn.XLOOKUP(AV$1,$Z$2:$Z$18,$AB$2:$AB$18)-$U55)^2+(_xlfn.XLOOKUP(AV$1,$Z$2:$Z$18,$AC$2:$AC$18-$V55)^2)))</f>
        <v/>
      </c>
      <c r="AW55" s="134"/>
      <c r="AX55" s="134"/>
      <c r="AY55" s="135">
        <f t="shared" si="51"/>
        <v>0</v>
      </c>
      <c r="AZ55" s="153">
        <f t="shared" si="52"/>
        <v>0</v>
      </c>
      <c r="BA55" s="153">
        <f t="shared" si="53"/>
        <v>0</v>
      </c>
      <c r="BB55" s="153">
        <f t="shared" si="54"/>
        <v>0</v>
      </c>
      <c r="BC55" s="153">
        <f t="shared" si="55"/>
        <v>0</v>
      </c>
      <c r="BD55" s="153">
        <f t="shared" si="56"/>
        <v>0</v>
      </c>
      <c r="BE55" s="153">
        <f t="shared" si="57"/>
        <v>0</v>
      </c>
      <c r="BF55" s="153">
        <f t="shared" si="58"/>
        <v>0</v>
      </c>
      <c r="BG55" s="154">
        <f t="shared" si="59"/>
        <v>0</v>
      </c>
      <c r="BH55" s="154">
        <f t="shared" si="60"/>
        <v>0</v>
      </c>
      <c r="BI55" s="154">
        <f t="shared" si="61"/>
        <v>0</v>
      </c>
      <c r="BJ55" s="154">
        <f t="shared" si="62"/>
        <v>0</v>
      </c>
      <c r="BK55" s="154">
        <f t="shared" si="63"/>
        <v>0</v>
      </c>
      <c r="BL55" s="154">
        <f t="shared" si="64"/>
        <v>0</v>
      </c>
      <c r="BM55" s="155">
        <f t="shared" si="65"/>
        <v>0</v>
      </c>
      <c r="BN55" s="134"/>
      <c r="BO55" s="134"/>
      <c r="BP55" s="134"/>
      <c r="BQ55" s="134"/>
      <c r="BR55" s="134"/>
      <c r="BS55" s="134"/>
      <c r="BT55" s="134"/>
      <c r="BU55" s="134"/>
      <c r="BV55" s="140"/>
      <c r="BW55" s="140"/>
      <c r="BX55" s="140"/>
      <c r="BY55" s="140"/>
      <c r="BZ55" s="140"/>
      <c r="CA55" s="140"/>
      <c r="CB55" s="140"/>
      <c r="CC55" s="140"/>
      <c r="CD55" s="140"/>
      <c r="CE55" s="140"/>
      <c r="CF55" s="140"/>
      <c r="CG55" s="140"/>
      <c r="CH55" s="140"/>
      <c r="CI55" s="140"/>
      <c r="CJ55" s="140"/>
      <c r="CK55" s="134"/>
      <c r="CL55" s="134"/>
      <c r="CM55" s="169">
        <f t="shared" si="66"/>
        <v>0</v>
      </c>
      <c r="CN55" s="170">
        <f t="shared" si="67"/>
        <v>0</v>
      </c>
      <c r="CO55" s="170">
        <f t="shared" si="68"/>
        <v>0</v>
      </c>
      <c r="CP55" s="170">
        <f t="shared" si="69"/>
        <v>0</v>
      </c>
      <c r="CQ55" s="170">
        <f t="shared" si="70"/>
        <v>0</v>
      </c>
      <c r="CR55" s="170" t="str">
        <f t="shared" si="71"/>
        <v/>
      </c>
      <c r="CS55" s="170" t="str">
        <f t="shared" si="72"/>
        <v/>
      </c>
      <c r="CT55" s="170" t="str">
        <f t="shared" si="73"/>
        <v/>
      </c>
      <c r="CU55" s="172" t="str">
        <f t="shared" si="74"/>
        <v/>
      </c>
      <c r="CV55" s="172" t="str">
        <f t="shared" si="75"/>
        <v/>
      </c>
      <c r="CW55" s="172" t="str">
        <f t="shared" si="76"/>
        <v/>
      </c>
      <c r="CX55" s="172" t="str">
        <f t="shared" si="77"/>
        <v/>
      </c>
      <c r="CY55" s="172" t="str">
        <f t="shared" si="78"/>
        <v/>
      </c>
      <c r="CZ55" s="172" t="str">
        <f t="shared" si="79"/>
        <v/>
      </c>
      <c r="DA55" s="173" t="str">
        <f t="shared" si="80"/>
        <v/>
      </c>
    </row>
    <row r="56" spans="1:105" ht="16.5" customHeight="1" x14ac:dyDescent="0.3">
      <c r="A56" s="145"/>
      <c r="B56" s="146"/>
      <c r="C56" s="146"/>
      <c r="D56" s="147"/>
      <c r="E56" s="202"/>
      <c r="F56" s="210"/>
      <c r="G56" s="211"/>
      <c r="H56" s="211"/>
      <c r="I56" s="211"/>
      <c r="J56" s="211"/>
      <c r="K56" s="211"/>
      <c r="L56" s="211"/>
      <c r="M56" s="215"/>
      <c r="N56" s="210"/>
      <c r="O56" s="212"/>
      <c r="P56" s="205"/>
      <c r="Q56" s="128">
        <f t="shared" si="34"/>
        <v>0</v>
      </c>
      <c r="R56" s="3"/>
      <c r="S56" s="3"/>
      <c r="T56" s="4"/>
      <c r="U56" s="4"/>
      <c r="V56" s="109">
        <f t="shared" si="50"/>
        <v>0</v>
      </c>
      <c r="W56" s="171"/>
      <c r="X56" s="148"/>
      <c r="AH56" s="168">
        <f t="array" ref="AH56">IF(AH$1=0,"",SQRT((_xlfn.XLOOKUP(AH$1,$Z$2:$Z$18,$AA$2:$AA$18)-$T56)^2+(_xlfn.XLOOKUP(AH$1,$Z$2:$Z$18,$AB$2:$AB$18)-$U56)^2+(_xlfn.XLOOKUP(AH$1,$Z$2:$Z$18,$AC$2:$AC$18-$V56)^2)))</f>
        <v>112.53151914019467</v>
      </c>
      <c r="AI56" s="150">
        <f t="array" ref="AI56">IF(AI$1=0,"",SQRT((_xlfn.XLOOKUP(AI$1,$Z$2:$Z$18,$AA$2:$AA$18)-$T56)^2+(_xlfn.XLOOKUP(AI$1,$Z$2:$Z$18,$AB$2:$AB$18)-$U56)^2+(_xlfn.XLOOKUP(AI$1,$Z$2:$Z$18,$AC$2:$AC$18-$V56)^2)))</f>
        <v>123.81444705687622</v>
      </c>
      <c r="AJ56" s="150">
        <f t="array" ref="AJ56">IF(AJ$1=0,"",SQRT((_xlfn.XLOOKUP(AJ$1,$Z$2:$Z$18,$AA$2:$AA$18)-$T56)^2+(_xlfn.XLOOKUP(AJ$1,$Z$2:$Z$18,$AB$2:$AB$18)-$U56)^2+(_xlfn.XLOOKUP(AJ$1,$Z$2:$Z$18,$AC$2:$AC$18-$V56)^2)))</f>
        <v>226.27326421828982</v>
      </c>
      <c r="AK56" s="150">
        <f t="array" ref="AK56">IF(AK$1=0,"",SQRT((_xlfn.XLOOKUP(AK$1,$Z$2:$Z$18,$AA$2:$AA$18)-$T56)^2+(_xlfn.XLOOKUP(AK$1,$Z$2:$Z$18,$AB$2:$AB$18)-$U56)^2+(_xlfn.XLOOKUP(AK$1,$Z$2:$Z$18,$AC$2:$AC$18-$V56)^2)))</f>
        <v>330.89448786584524</v>
      </c>
      <c r="AL56" s="150">
        <f t="array" ref="AL56">IF(AL$1=0,"",SQRT((_xlfn.XLOOKUP(AL$1,$Z$2:$Z$18,$AA$2:$AA$18)-$T56)^2+(_xlfn.XLOOKUP(AL$1,$Z$2:$Z$18,$AB$2:$AB$18)-$U56)^2+(_xlfn.XLOOKUP(AL$1,$Z$2:$Z$18,$AC$2:$AC$18-$V56)^2)))</f>
        <v>218.97662386656708</v>
      </c>
      <c r="AM56" s="150" t="str">
        <f t="array" ref="AM56">IF(AM$1=0,"",SQRT((_xlfn.XLOOKUP(AM$1,$Z$2:$Z$18,$AA$2:$AA$18)-$T56)^2+(_xlfn.XLOOKUP(AM$1,$Z$2:$Z$18,$AB$2:$AB$18)-$U56)^2+(_xlfn.XLOOKUP(AM$1,$Z$2:$Z$18,$AC$2:$AC$18-$V56)^2)))</f>
        <v/>
      </c>
      <c r="AN56" s="150" t="str">
        <f t="array" ref="AN56">IF(AN$1=0,"",SQRT((_xlfn.XLOOKUP(AN$1,$Z$2:$Z$18,$AA$2:$AA$18)-$T56)^2+(_xlfn.XLOOKUP(AN$1,$Z$2:$Z$18,$AB$2:$AB$18)-$U56)^2+(_xlfn.XLOOKUP(AN$1,$Z$2:$Z$18,$AC$2:$AC$18-$V56)^2)))</f>
        <v/>
      </c>
      <c r="AO56" s="150" t="str">
        <f t="array" ref="AO56">IF(AO$1=0,"",SQRT((_xlfn.XLOOKUP(AO$1,$Z$2:$Z$18,$AA$2:$AA$18)-$T56)^2+(_xlfn.XLOOKUP(AO$1,$Z$2:$Z$18,$AB$2:$AB$18)-$U56)^2+(_xlfn.XLOOKUP(AO$1,$Z$2:$Z$18,$AC$2:$AC$18-$V56)^2)))</f>
        <v/>
      </c>
      <c r="AP56" s="151" t="str">
        <f t="array" ref="AP56">IF(AP$1=0,"",SQRT((_xlfn.XLOOKUP(AP$1,$Z$2:$Z$18,$AA$2:$AA$18)-$T56)^2+(_xlfn.XLOOKUP(AP$1,$Z$2:$Z$18,$AB$2:$AB$18)-$U56)^2+(_xlfn.XLOOKUP(AP$1,$Z$2:$Z$18,$AC$2:$AC$18-$V56)^2)))</f>
        <v/>
      </c>
      <c r="AQ56" s="151" t="str">
        <f t="array" ref="AQ56">IF(AQ$1=0,"",SQRT((_xlfn.XLOOKUP(AQ$1,$Z$2:$Z$18,$AA$2:$AA$18)-$T56)^2+(_xlfn.XLOOKUP(AQ$1,$Z$2:$Z$18,$AB$2:$AB$18)-$U56)^2+(_xlfn.XLOOKUP(AQ$1,$Z$2:$Z$18,$AC$2:$AC$18-$V56)^2)))</f>
        <v/>
      </c>
      <c r="AR56" s="151" t="str">
        <f t="array" ref="AR56">IF(AR$1=0,"",SQRT((_xlfn.XLOOKUP(AR$1,$Z$2:$Z$18,$AA$2:$AA$18)-$T56)^2+(_xlfn.XLOOKUP(AR$1,$Z$2:$Z$18,$AB$2:$AB$18)-$U56)^2+(_xlfn.XLOOKUP(AR$1,$Z$2:$Z$18,$AC$2:$AC$18-$V56)^2)))</f>
        <v/>
      </c>
      <c r="AS56" s="151" t="str">
        <f t="array" ref="AS56">IF(AS$1=0,"",SQRT((_xlfn.XLOOKUP(AS$1,$Z$2:$Z$18,$AA$2:$AA$18)-$T56)^2+(_xlfn.XLOOKUP(AS$1,$Z$2:$Z$18,$AB$2:$AB$18)-$U56)^2+(_xlfn.XLOOKUP(AS$1,$Z$2:$Z$18,$AC$2:$AC$18-$V56)^2)))</f>
        <v/>
      </c>
      <c r="AT56" s="151" t="str">
        <f t="array" ref="AT56">IF(AT$1=0,"",SQRT((_xlfn.XLOOKUP(AT$1,$Z$2:$Z$18,$AA$2:$AA$18)-$T56)^2+(_xlfn.XLOOKUP(AT$1,$Z$2:$Z$18,$AB$2:$AB$18)-$U56)^2+(_xlfn.XLOOKUP(AT$1,$Z$2:$Z$18,$AC$2:$AC$18-$V56)^2)))</f>
        <v/>
      </c>
      <c r="AU56" s="151" t="str">
        <f t="array" ref="AU56">IF(AU$1=0,"",SQRT((_xlfn.XLOOKUP(AU$1,$Z$2:$Z$18,$AA$2:$AA$18)-$T56)^2+(_xlfn.XLOOKUP(AU$1,$Z$2:$Z$18,$AB$2:$AB$18)-$U56)^2+(_xlfn.XLOOKUP(AU$1,$Z$2:$Z$18,$AC$2:$AC$18-$V56)^2)))</f>
        <v/>
      </c>
      <c r="AV56" s="152" t="str">
        <f t="array" ref="AV56">IF(AV$1=0,"",SQRT((_xlfn.XLOOKUP(AV$1,$Z$2:$Z$18,$AA$2:$AA$18)-$T56)^2+(_xlfn.XLOOKUP(AV$1,$Z$2:$Z$18,$AB$2:$AB$18)-$U56)^2+(_xlfn.XLOOKUP(AV$1,$Z$2:$Z$18,$AC$2:$AC$18-$V56)^2)))</f>
        <v/>
      </c>
      <c r="AW56" s="134"/>
      <c r="AX56" s="134"/>
      <c r="AY56" s="135">
        <f t="shared" si="51"/>
        <v>0</v>
      </c>
      <c r="AZ56" s="153">
        <f t="shared" si="52"/>
        <v>0</v>
      </c>
      <c r="BA56" s="153">
        <f t="shared" si="53"/>
        <v>0</v>
      </c>
      <c r="BB56" s="153">
        <f t="shared" si="54"/>
        <v>0</v>
      </c>
      <c r="BC56" s="153">
        <f t="shared" si="55"/>
        <v>0</v>
      </c>
      <c r="BD56" s="153">
        <f t="shared" si="56"/>
        <v>0</v>
      </c>
      <c r="BE56" s="153">
        <f t="shared" si="57"/>
        <v>0</v>
      </c>
      <c r="BF56" s="153">
        <f t="shared" si="58"/>
        <v>0</v>
      </c>
      <c r="BG56" s="154">
        <f t="shared" si="59"/>
        <v>0</v>
      </c>
      <c r="BH56" s="154">
        <f t="shared" si="60"/>
        <v>0</v>
      </c>
      <c r="BI56" s="154">
        <f t="shared" si="61"/>
        <v>0</v>
      </c>
      <c r="BJ56" s="154">
        <f t="shared" si="62"/>
        <v>0</v>
      </c>
      <c r="BK56" s="154">
        <f t="shared" si="63"/>
        <v>0</v>
      </c>
      <c r="BL56" s="154">
        <f t="shared" si="64"/>
        <v>0</v>
      </c>
      <c r="BM56" s="155">
        <f t="shared" si="65"/>
        <v>0</v>
      </c>
      <c r="BN56" s="134"/>
      <c r="BO56" s="134"/>
      <c r="BP56" s="134"/>
      <c r="BQ56" s="134"/>
      <c r="BR56" s="134"/>
      <c r="BS56" s="134"/>
      <c r="BT56" s="134"/>
      <c r="BU56" s="134"/>
      <c r="BV56" s="140"/>
      <c r="BW56" s="140"/>
      <c r="BX56" s="140"/>
      <c r="BY56" s="140"/>
      <c r="BZ56" s="140"/>
      <c r="CA56" s="140"/>
      <c r="CB56" s="140"/>
      <c r="CC56" s="140"/>
      <c r="CD56" s="140"/>
      <c r="CE56" s="140"/>
      <c r="CF56" s="140"/>
      <c r="CG56" s="140"/>
      <c r="CH56" s="140"/>
      <c r="CI56" s="140"/>
      <c r="CJ56" s="140"/>
      <c r="CK56" s="134"/>
      <c r="CL56" s="134"/>
      <c r="CM56" s="169">
        <f t="shared" si="66"/>
        <v>0</v>
      </c>
      <c r="CN56" s="170">
        <f t="shared" si="67"/>
        <v>0</v>
      </c>
      <c r="CO56" s="170">
        <f t="shared" si="68"/>
        <v>0</v>
      </c>
      <c r="CP56" s="170">
        <f t="shared" si="69"/>
        <v>0</v>
      </c>
      <c r="CQ56" s="170">
        <f t="shared" si="70"/>
        <v>0</v>
      </c>
      <c r="CR56" s="170" t="str">
        <f t="shared" si="71"/>
        <v/>
      </c>
      <c r="CS56" s="170" t="str">
        <f t="shared" si="72"/>
        <v/>
      </c>
      <c r="CT56" s="170" t="str">
        <f t="shared" si="73"/>
        <v/>
      </c>
      <c r="CU56" s="172" t="str">
        <f t="shared" si="74"/>
        <v/>
      </c>
      <c r="CV56" s="172" t="str">
        <f t="shared" si="75"/>
        <v/>
      </c>
      <c r="CW56" s="172" t="str">
        <f t="shared" si="76"/>
        <v/>
      </c>
      <c r="CX56" s="172" t="str">
        <f t="shared" si="77"/>
        <v/>
      </c>
      <c r="CY56" s="172" t="str">
        <f t="shared" si="78"/>
        <v/>
      </c>
      <c r="CZ56" s="172" t="str">
        <f t="shared" si="79"/>
        <v/>
      </c>
      <c r="DA56" s="173" t="str">
        <f t="shared" si="80"/>
        <v/>
      </c>
    </row>
    <row r="57" spans="1:105" ht="16.5" customHeight="1" x14ac:dyDescent="0.3">
      <c r="A57" s="145"/>
      <c r="B57" s="146"/>
      <c r="C57" s="146"/>
      <c r="D57" s="147"/>
      <c r="E57" s="202"/>
      <c r="F57" s="210"/>
      <c r="G57" s="211"/>
      <c r="H57" s="211"/>
      <c r="I57" s="211"/>
      <c r="J57" s="211"/>
      <c r="K57" s="211"/>
      <c r="L57" s="211"/>
      <c r="M57" s="215"/>
      <c r="N57" s="210"/>
      <c r="O57" s="212"/>
      <c r="P57" s="205"/>
      <c r="Q57" s="128">
        <f t="shared" si="34"/>
        <v>0</v>
      </c>
      <c r="R57" s="3"/>
      <c r="S57" s="3"/>
      <c r="T57" s="4"/>
      <c r="U57" s="4"/>
      <c r="V57" s="109">
        <f t="shared" si="50"/>
        <v>0</v>
      </c>
      <c r="W57" s="171"/>
      <c r="X57" s="148"/>
      <c r="AH57" s="168">
        <f t="array" ref="AH57">IF(AH$1=0,"",SQRT((_xlfn.XLOOKUP(AH$1,$Z$2:$Z$18,$AA$2:$AA$18)-$T57)^2+(_xlfn.XLOOKUP(AH$1,$Z$2:$Z$18,$AB$2:$AB$18)-$U57)^2+(_xlfn.XLOOKUP(AH$1,$Z$2:$Z$18,$AC$2:$AC$18-$V57)^2)))</f>
        <v>112.53151914019467</v>
      </c>
      <c r="AI57" s="150">
        <f t="array" ref="AI57">IF(AI$1=0,"",SQRT((_xlfn.XLOOKUP(AI$1,$Z$2:$Z$18,$AA$2:$AA$18)-$T57)^2+(_xlfn.XLOOKUP(AI$1,$Z$2:$Z$18,$AB$2:$AB$18)-$U57)^2+(_xlfn.XLOOKUP(AI$1,$Z$2:$Z$18,$AC$2:$AC$18-$V57)^2)))</f>
        <v>123.81444705687622</v>
      </c>
      <c r="AJ57" s="150">
        <f t="array" ref="AJ57">IF(AJ$1=0,"",SQRT((_xlfn.XLOOKUP(AJ$1,$Z$2:$Z$18,$AA$2:$AA$18)-$T57)^2+(_xlfn.XLOOKUP(AJ$1,$Z$2:$Z$18,$AB$2:$AB$18)-$U57)^2+(_xlfn.XLOOKUP(AJ$1,$Z$2:$Z$18,$AC$2:$AC$18-$V57)^2)))</f>
        <v>226.27326421828982</v>
      </c>
      <c r="AK57" s="150">
        <f t="array" ref="AK57">IF(AK$1=0,"",SQRT((_xlfn.XLOOKUP(AK$1,$Z$2:$Z$18,$AA$2:$AA$18)-$T57)^2+(_xlfn.XLOOKUP(AK$1,$Z$2:$Z$18,$AB$2:$AB$18)-$U57)^2+(_xlfn.XLOOKUP(AK$1,$Z$2:$Z$18,$AC$2:$AC$18-$V57)^2)))</f>
        <v>330.89448786584524</v>
      </c>
      <c r="AL57" s="150">
        <f t="array" ref="AL57">IF(AL$1=0,"",SQRT((_xlfn.XLOOKUP(AL$1,$Z$2:$Z$18,$AA$2:$AA$18)-$T57)^2+(_xlfn.XLOOKUP(AL$1,$Z$2:$Z$18,$AB$2:$AB$18)-$U57)^2+(_xlfn.XLOOKUP(AL$1,$Z$2:$Z$18,$AC$2:$AC$18-$V57)^2)))</f>
        <v>218.97662386656708</v>
      </c>
      <c r="AM57" s="150" t="str">
        <f t="array" ref="AM57">IF(AM$1=0,"",SQRT((_xlfn.XLOOKUP(AM$1,$Z$2:$Z$18,$AA$2:$AA$18)-$T57)^2+(_xlfn.XLOOKUP(AM$1,$Z$2:$Z$18,$AB$2:$AB$18)-$U57)^2+(_xlfn.XLOOKUP(AM$1,$Z$2:$Z$18,$AC$2:$AC$18-$V57)^2)))</f>
        <v/>
      </c>
      <c r="AN57" s="150" t="str">
        <f t="array" ref="AN57">IF(AN$1=0,"",SQRT((_xlfn.XLOOKUP(AN$1,$Z$2:$Z$18,$AA$2:$AA$18)-$T57)^2+(_xlfn.XLOOKUP(AN$1,$Z$2:$Z$18,$AB$2:$AB$18)-$U57)^2+(_xlfn.XLOOKUP(AN$1,$Z$2:$Z$18,$AC$2:$AC$18-$V57)^2)))</f>
        <v/>
      </c>
      <c r="AO57" s="150" t="str">
        <f t="array" ref="AO57">IF(AO$1=0,"",SQRT((_xlfn.XLOOKUP(AO$1,$Z$2:$Z$18,$AA$2:$AA$18)-$T57)^2+(_xlfn.XLOOKUP(AO$1,$Z$2:$Z$18,$AB$2:$AB$18)-$U57)^2+(_xlfn.XLOOKUP(AO$1,$Z$2:$Z$18,$AC$2:$AC$18-$V57)^2)))</f>
        <v/>
      </c>
      <c r="AP57" s="151" t="str">
        <f t="array" ref="AP57">IF(AP$1=0,"",SQRT((_xlfn.XLOOKUP(AP$1,$Z$2:$Z$18,$AA$2:$AA$18)-$T57)^2+(_xlfn.XLOOKUP(AP$1,$Z$2:$Z$18,$AB$2:$AB$18)-$U57)^2+(_xlfn.XLOOKUP(AP$1,$Z$2:$Z$18,$AC$2:$AC$18-$V57)^2)))</f>
        <v/>
      </c>
      <c r="AQ57" s="151" t="str">
        <f t="array" ref="AQ57">IF(AQ$1=0,"",SQRT((_xlfn.XLOOKUP(AQ$1,$Z$2:$Z$18,$AA$2:$AA$18)-$T57)^2+(_xlfn.XLOOKUP(AQ$1,$Z$2:$Z$18,$AB$2:$AB$18)-$U57)^2+(_xlfn.XLOOKUP(AQ$1,$Z$2:$Z$18,$AC$2:$AC$18-$V57)^2)))</f>
        <v/>
      </c>
      <c r="AR57" s="151" t="str">
        <f t="array" ref="AR57">IF(AR$1=0,"",SQRT((_xlfn.XLOOKUP(AR$1,$Z$2:$Z$18,$AA$2:$AA$18)-$T57)^2+(_xlfn.XLOOKUP(AR$1,$Z$2:$Z$18,$AB$2:$AB$18)-$U57)^2+(_xlfn.XLOOKUP(AR$1,$Z$2:$Z$18,$AC$2:$AC$18-$V57)^2)))</f>
        <v/>
      </c>
      <c r="AS57" s="151" t="str">
        <f t="array" ref="AS57">IF(AS$1=0,"",SQRT((_xlfn.XLOOKUP(AS$1,$Z$2:$Z$18,$AA$2:$AA$18)-$T57)^2+(_xlfn.XLOOKUP(AS$1,$Z$2:$Z$18,$AB$2:$AB$18)-$U57)^2+(_xlfn.XLOOKUP(AS$1,$Z$2:$Z$18,$AC$2:$AC$18-$V57)^2)))</f>
        <v/>
      </c>
      <c r="AT57" s="151" t="str">
        <f t="array" ref="AT57">IF(AT$1=0,"",SQRT((_xlfn.XLOOKUP(AT$1,$Z$2:$Z$18,$AA$2:$AA$18)-$T57)^2+(_xlfn.XLOOKUP(AT$1,$Z$2:$Z$18,$AB$2:$AB$18)-$U57)^2+(_xlfn.XLOOKUP(AT$1,$Z$2:$Z$18,$AC$2:$AC$18-$V57)^2)))</f>
        <v/>
      </c>
      <c r="AU57" s="151" t="str">
        <f t="array" ref="AU57">IF(AU$1=0,"",SQRT((_xlfn.XLOOKUP(AU$1,$Z$2:$Z$18,$AA$2:$AA$18)-$T57)^2+(_xlfn.XLOOKUP(AU$1,$Z$2:$Z$18,$AB$2:$AB$18)-$U57)^2+(_xlfn.XLOOKUP(AU$1,$Z$2:$Z$18,$AC$2:$AC$18-$V57)^2)))</f>
        <v/>
      </c>
      <c r="AV57" s="152" t="str">
        <f t="array" ref="AV57">IF(AV$1=0,"",SQRT((_xlfn.XLOOKUP(AV$1,$Z$2:$Z$18,$AA$2:$AA$18)-$T57)^2+(_xlfn.XLOOKUP(AV$1,$Z$2:$Z$18,$AB$2:$AB$18)-$U57)^2+(_xlfn.XLOOKUP(AV$1,$Z$2:$Z$18,$AC$2:$AC$18-$V57)^2)))</f>
        <v/>
      </c>
      <c r="AW57" s="134"/>
      <c r="AX57" s="134"/>
      <c r="AY57" s="135">
        <f t="shared" si="51"/>
        <v>0</v>
      </c>
      <c r="AZ57" s="153">
        <f t="shared" si="52"/>
        <v>0</v>
      </c>
      <c r="BA57" s="153">
        <f t="shared" si="53"/>
        <v>0</v>
      </c>
      <c r="BB57" s="153">
        <f t="shared" si="54"/>
        <v>0</v>
      </c>
      <c r="BC57" s="153">
        <f t="shared" si="55"/>
        <v>0</v>
      </c>
      <c r="BD57" s="153">
        <f t="shared" si="56"/>
        <v>0</v>
      </c>
      <c r="BE57" s="153">
        <f t="shared" si="57"/>
        <v>0</v>
      </c>
      <c r="BF57" s="153">
        <f t="shared" si="58"/>
        <v>0</v>
      </c>
      <c r="BG57" s="154">
        <f t="shared" si="59"/>
        <v>0</v>
      </c>
      <c r="BH57" s="154">
        <f t="shared" si="60"/>
        <v>0</v>
      </c>
      <c r="BI57" s="154">
        <f t="shared" si="61"/>
        <v>0</v>
      </c>
      <c r="BJ57" s="154">
        <f t="shared" si="62"/>
        <v>0</v>
      </c>
      <c r="BK57" s="154">
        <f t="shared" si="63"/>
        <v>0</v>
      </c>
      <c r="BL57" s="154">
        <f t="shared" si="64"/>
        <v>0</v>
      </c>
      <c r="BM57" s="155">
        <f t="shared" si="65"/>
        <v>0</v>
      </c>
      <c r="BN57" s="134"/>
      <c r="BO57" s="134"/>
      <c r="BP57" s="134"/>
      <c r="BQ57" s="134"/>
      <c r="BR57" s="134"/>
      <c r="BS57" s="134"/>
      <c r="BT57" s="134"/>
      <c r="BU57" s="134"/>
      <c r="BV57" s="140"/>
      <c r="BW57" s="140"/>
      <c r="BX57" s="140"/>
      <c r="BY57" s="140"/>
      <c r="BZ57" s="140"/>
      <c r="CA57" s="140"/>
      <c r="CB57" s="140"/>
      <c r="CC57" s="140"/>
      <c r="CD57" s="140"/>
      <c r="CE57" s="140"/>
      <c r="CF57" s="140"/>
      <c r="CG57" s="140"/>
      <c r="CH57" s="140"/>
      <c r="CI57" s="140"/>
      <c r="CJ57" s="140"/>
      <c r="CK57" s="134"/>
      <c r="CL57" s="134"/>
      <c r="CM57" s="169">
        <f t="shared" si="66"/>
        <v>0</v>
      </c>
      <c r="CN57" s="170">
        <f t="shared" si="67"/>
        <v>0</v>
      </c>
      <c r="CO57" s="170">
        <f t="shared" si="68"/>
        <v>0</v>
      </c>
      <c r="CP57" s="170">
        <f t="shared" si="69"/>
        <v>0</v>
      </c>
      <c r="CQ57" s="170">
        <f t="shared" si="70"/>
        <v>0</v>
      </c>
      <c r="CR57" s="170" t="str">
        <f t="shared" si="71"/>
        <v/>
      </c>
      <c r="CS57" s="170" t="str">
        <f t="shared" si="72"/>
        <v/>
      </c>
      <c r="CT57" s="170" t="str">
        <f t="shared" si="73"/>
        <v/>
      </c>
      <c r="CU57" s="172" t="str">
        <f t="shared" si="74"/>
        <v/>
      </c>
      <c r="CV57" s="172" t="str">
        <f t="shared" si="75"/>
        <v/>
      </c>
      <c r="CW57" s="172" t="str">
        <f t="shared" si="76"/>
        <v/>
      </c>
      <c r="CX57" s="172" t="str">
        <f t="shared" si="77"/>
        <v/>
      </c>
      <c r="CY57" s="172" t="str">
        <f t="shared" si="78"/>
        <v/>
      </c>
      <c r="CZ57" s="172" t="str">
        <f t="shared" si="79"/>
        <v/>
      </c>
      <c r="DA57" s="173" t="str">
        <f t="shared" si="80"/>
        <v/>
      </c>
    </row>
    <row r="58" spans="1:105" ht="17.25" customHeight="1" thickBot="1" x14ac:dyDescent="0.35">
      <c r="A58" s="174"/>
      <c r="B58" s="175"/>
      <c r="C58" s="175"/>
      <c r="D58" s="176"/>
      <c r="E58" s="203"/>
      <c r="F58" s="71"/>
      <c r="G58" s="6"/>
      <c r="H58" s="6"/>
      <c r="I58" s="6"/>
      <c r="J58" s="6"/>
      <c r="K58" s="6"/>
      <c r="L58" s="6"/>
      <c r="M58" s="216"/>
      <c r="N58" s="71"/>
      <c r="O58" s="213"/>
      <c r="P58" s="206"/>
      <c r="Q58" s="128">
        <f t="shared" si="34"/>
        <v>0</v>
      </c>
      <c r="R58" s="7"/>
      <c r="S58" s="7"/>
      <c r="T58" s="6"/>
      <c r="U58" s="6"/>
      <c r="V58" s="109">
        <f t="shared" si="50"/>
        <v>0</v>
      </c>
      <c r="W58" s="177"/>
      <c r="X58" s="178"/>
      <c r="AH58" s="179">
        <f t="array" ref="AH58">IF(AH$1=0,"",SQRT((_xlfn.XLOOKUP(AH$1,$Z$2:$Z$18,$AA$2:$AA$18)-$T58)^2+(_xlfn.XLOOKUP(AH$1,$Z$2:$Z$18,$AB$2:$AB$18)-$U58)^2+(_xlfn.XLOOKUP(AH$1,$Z$2:$Z$18,$AC$2:$AC$18-$V58)^2)))</f>
        <v>112.53151914019467</v>
      </c>
      <c r="AI58" s="180">
        <f t="array" ref="AI58">IF(AI$1=0,"",SQRT((_xlfn.XLOOKUP(AI$1,$Z$2:$Z$18,$AA$2:$AA$18)-$T58)^2+(_xlfn.XLOOKUP(AI$1,$Z$2:$Z$18,$AB$2:$AB$18)-$U58)^2+(_xlfn.XLOOKUP(AI$1,$Z$2:$Z$18,$AC$2:$AC$18-$V58)^2)))</f>
        <v>123.81444705687622</v>
      </c>
      <c r="AJ58" s="180">
        <f t="array" ref="AJ58">IF(AJ$1=0,"",SQRT((_xlfn.XLOOKUP(AJ$1,$Z$2:$Z$18,$AA$2:$AA$18)-$T58)^2+(_xlfn.XLOOKUP(AJ$1,$Z$2:$Z$18,$AB$2:$AB$18)-$U58)^2+(_xlfn.XLOOKUP(AJ$1,$Z$2:$Z$18,$AC$2:$AC$18-$V58)^2)))</f>
        <v>226.27326421828982</v>
      </c>
      <c r="AK58" s="180">
        <f t="array" ref="AK58">IF(AK$1=0,"",SQRT((_xlfn.XLOOKUP(AK$1,$Z$2:$Z$18,$AA$2:$AA$18)-$T58)^2+(_xlfn.XLOOKUP(AK$1,$Z$2:$Z$18,$AB$2:$AB$18)-$U58)^2+(_xlfn.XLOOKUP(AK$1,$Z$2:$Z$18,$AC$2:$AC$18-$V58)^2)))</f>
        <v>330.89448786584524</v>
      </c>
      <c r="AL58" s="180">
        <f t="array" ref="AL58">IF(AL$1=0,"",SQRT((_xlfn.XLOOKUP(AL$1,$Z$2:$Z$18,$AA$2:$AA$18)-$T58)^2+(_xlfn.XLOOKUP(AL$1,$Z$2:$Z$18,$AB$2:$AB$18)-$U58)^2+(_xlfn.XLOOKUP(AL$1,$Z$2:$Z$18,$AC$2:$AC$18-$V58)^2)))</f>
        <v>218.97662386656708</v>
      </c>
      <c r="AM58" s="180" t="str">
        <f t="array" ref="AM58">IF(AM$1=0,"",SQRT((_xlfn.XLOOKUP(AM$1,$Z$2:$Z$18,$AA$2:$AA$18)-$T58)^2+(_xlfn.XLOOKUP(AM$1,$Z$2:$Z$18,$AB$2:$AB$18)-$U58)^2+(_xlfn.XLOOKUP(AM$1,$Z$2:$Z$18,$AC$2:$AC$18-$V58)^2)))</f>
        <v/>
      </c>
      <c r="AN58" s="180" t="str">
        <f t="array" ref="AN58">IF(AN$1=0,"",SQRT((_xlfn.XLOOKUP(AN$1,$Z$2:$Z$18,$AA$2:$AA$18)-$T58)^2+(_xlfn.XLOOKUP(AN$1,$Z$2:$Z$18,$AB$2:$AB$18)-$U58)^2+(_xlfn.XLOOKUP(AN$1,$Z$2:$Z$18,$AC$2:$AC$18-$V58)^2)))</f>
        <v/>
      </c>
      <c r="AO58" s="180" t="str">
        <f t="array" ref="AO58">IF(AO$1=0,"",SQRT((_xlfn.XLOOKUP(AO$1,$Z$2:$Z$18,$AA$2:$AA$18)-$T58)^2+(_xlfn.XLOOKUP(AO$1,$Z$2:$Z$18,$AB$2:$AB$18)-$U58)^2+(_xlfn.XLOOKUP(AO$1,$Z$2:$Z$18,$AC$2:$AC$18-$V58)^2)))</f>
        <v/>
      </c>
      <c r="AP58" s="181" t="str">
        <f t="array" ref="AP58">IF(AP$1=0,"",SQRT((_xlfn.XLOOKUP(AP$1,$Z$2:$Z$18,$AA$2:$AA$18)-$T58)^2+(_xlfn.XLOOKUP(AP$1,$Z$2:$Z$18,$AB$2:$AB$18)-$U58)^2+(_xlfn.XLOOKUP(AP$1,$Z$2:$Z$18,$AC$2:$AC$18-$V58)^2)))</f>
        <v/>
      </c>
      <c r="AQ58" s="181" t="str">
        <f t="array" ref="AQ58">IF(AQ$1=0,"",SQRT((_xlfn.XLOOKUP(AQ$1,$Z$2:$Z$18,$AA$2:$AA$18)-$T58)^2+(_xlfn.XLOOKUP(AQ$1,$Z$2:$Z$18,$AB$2:$AB$18)-$U58)^2+(_xlfn.XLOOKUP(AQ$1,$Z$2:$Z$18,$AC$2:$AC$18-$V58)^2)))</f>
        <v/>
      </c>
      <c r="AR58" s="181" t="str">
        <f t="array" ref="AR58">IF(AR$1=0,"",SQRT((_xlfn.XLOOKUP(AR$1,$Z$2:$Z$18,$AA$2:$AA$18)-$T58)^2+(_xlfn.XLOOKUP(AR$1,$Z$2:$Z$18,$AB$2:$AB$18)-$U58)^2+(_xlfn.XLOOKUP(AR$1,$Z$2:$Z$18,$AC$2:$AC$18-$V58)^2)))</f>
        <v/>
      </c>
      <c r="AS58" s="181" t="str">
        <f t="array" ref="AS58">IF(AS$1=0,"",SQRT((_xlfn.XLOOKUP(AS$1,$Z$2:$Z$18,$AA$2:$AA$18)-$T58)^2+(_xlfn.XLOOKUP(AS$1,$Z$2:$Z$18,$AB$2:$AB$18)-$U58)^2+(_xlfn.XLOOKUP(AS$1,$Z$2:$Z$18,$AC$2:$AC$18-$V58)^2)))</f>
        <v/>
      </c>
      <c r="AT58" s="181" t="str">
        <f t="array" ref="AT58">IF(AT$1=0,"",SQRT((_xlfn.XLOOKUP(AT$1,$Z$2:$Z$18,$AA$2:$AA$18)-$T58)^2+(_xlfn.XLOOKUP(AT$1,$Z$2:$Z$18,$AB$2:$AB$18)-$U58)^2+(_xlfn.XLOOKUP(AT$1,$Z$2:$Z$18,$AC$2:$AC$18-$V58)^2)))</f>
        <v/>
      </c>
      <c r="AU58" s="181" t="str">
        <f t="array" ref="AU58">IF(AU$1=0,"",SQRT((_xlfn.XLOOKUP(AU$1,$Z$2:$Z$18,$AA$2:$AA$18)-$T58)^2+(_xlfn.XLOOKUP(AU$1,$Z$2:$Z$18,$AB$2:$AB$18)-$U58)^2+(_xlfn.XLOOKUP(AU$1,$Z$2:$Z$18,$AC$2:$AC$18-$V58)^2)))</f>
        <v/>
      </c>
      <c r="AV58" s="182" t="str">
        <f t="array" ref="AV58">IF(AV$1=0,"",SQRT((_xlfn.XLOOKUP(AV$1,$Z$2:$Z$18,$AA$2:$AA$18)-$T58)^2+(_xlfn.XLOOKUP(AV$1,$Z$2:$Z$18,$AB$2:$AB$18)-$U58)^2+(_xlfn.XLOOKUP(AV$1,$Z$2:$Z$18,$AC$2:$AC$18-$V58)^2)))</f>
        <v/>
      </c>
      <c r="AW58" s="134"/>
      <c r="AX58" s="134"/>
      <c r="AY58" s="135">
        <f t="shared" si="51"/>
        <v>0</v>
      </c>
      <c r="AZ58" s="183">
        <f t="shared" si="52"/>
        <v>0</v>
      </c>
      <c r="BA58" s="183">
        <f t="shared" si="53"/>
        <v>0</v>
      </c>
      <c r="BB58" s="183">
        <f t="shared" si="54"/>
        <v>0</v>
      </c>
      <c r="BC58" s="183">
        <f t="shared" si="55"/>
        <v>0</v>
      </c>
      <c r="BD58" s="183">
        <f t="shared" si="56"/>
        <v>0</v>
      </c>
      <c r="BE58" s="183">
        <f t="shared" si="57"/>
        <v>0</v>
      </c>
      <c r="BF58" s="183">
        <f t="shared" si="58"/>
        <v>0</v>
      </c>
      <c r="BG58" s="184">
        <f t="shared" si="59"/>
        <v>0</v>
      </c>
      <c r="BH58" s="184">
        <f t="shared" si="60"/>
        <v>0</v>
      </c>
      <c r="BI58" s="184">
        <f t="shared" si="61"/>
        <v>0</v>
      </c>
      <c r="BJ58" s="184">
        <f t="shared" si="62"/>
        <v>0</v>
      </c>
      <c r="BK58" s="184">
        <f t="shared" si="63"/>
        <v>0</v>
      </c>
      <c r="BL58" s="184">
        <f t="shared" si="64"/>
        <v>0</v>
      </c>
      <c r="BM58" s="185">
        <f t="shared" si="65"/>
        <v>0</v>
      </c>
      <c r="BN58" s="134"/>
      <c r="BO58" s="134"/>
      <c r="BP58" s="134"/>
      <c r="BQ58" s="134"/>
      <c r="BR58" s="134"/>
      <c r="BS58" s="134"/>
      <c r="BT58" s="134"/>
      <c r="BU58" s="134"/>
      <c r="BV58" s="140"/>
      <c r="BW58" s="140"/>
      <c r="BX58" s="140"/>
      <c r="BY58" s="140"/>
      <c r="BZ58" s="140"/>
      <c r="CA58" s="140"/>
      <c r="CB58" s="140"/>
      <c r="CC58" s="140"/>
      <c r="CD58" s="140"/>
      <c r="CE58" s="140"/>
      <c r="CF58" s="140"/>
      <c r="CG58" s="140"/>
      <c r="CH58" s="140"/>
      <c r="CI58" s="140"/>
      <c r="CJ58" s="140"/>
      <c r="CK58" s="134"/>
      <c r="CL58" s="134"/>
      <c r="CM58" s="186">
        <f t="shared" si="66"/>
        <v>0</v>
      </c>
      <c r="CN58" s="187">
        <f t="shared" si="67"/>
        <v>0</v>
      </c>
      <c r="CO58" s="187">
        <f t="shared" si="68"/>
        <v>0</v>
      </c>
      <c r="CP58" s="187">
        <f t="shared" si="69"/>
        <v>0</v>
      </c>
      <c r="CQ58" s="187">
        <f t="shared" si="70"/>
        <v>0</v>
      </c>
      <c r="CR58" s="187" t="str">
        <f t="shared" si="71"/>
        <v/>
      </c>
      <c r="CS58" s="187" t="str">
        <f t="shared" si="72"/>
        <v/>
      </c>
      <c r="CT58" s="187" t="str">
        <f t="shared" si="73"/>
        <v/>
      </c>
      <c r="CU58" s="188" t="str">
        <f t="shared" si="74"/>
        <v/>
      </c>
      <c r="CV58" s="188" t="str">
        <f t="shared" si="75"/>
        <v/>
      </c>
      <c r="CW58" s="188" t="str">
        <f t="shared" si="76"/>
        <v/>
      </c>
      <c r="CX58" s="188" t="str">
        <f t="shared" si="77"/>
        <v/>
      </c>
      <c r="CY58" s="188" t="str">
        <f t="shared" si="78"/>
        <v/>
      </c>
      <c r="CZ58" s="188" t="str">
        <f t="shared" si="79"/>
        <v/>
      </c>
      <c r="DA58" s="189" t="str">
        <f t="shared" si="80"/>
        <v/>
      </c>
    </row>
    <row r="59" spans="1:105" ht="15.75" customHeight="1" thickBot="1" x14ac:dyDescent="0.3">
      <c r="CL59" s="77" t="s">
        <v>26</v>
      </c>
      <c r="CM59" s="58">
        <f t="array" ref="CM59">IF(ISBLANK(_xlfn.XLOOKUP(CM$1,$Z$2:$Z$16,$AA$2:$AA$16)),"", 10*LOG10(SUM(10^(CM2:CM58/10))))</f>
        <v>50.491394019838467</v>
      </c>
      <c r="CN59" s="63">
        <f t="array" ref="CN59">IF(ISBLANK(_xlfn.XLOOKUP(CN$1,$Z$2:$Z$16,$AA$2:$AA$16)),"", 10*LOG10(SUM(10^(CN2:CN58/10))))</f>
        <v>46.916734594537914</v>
      </c>
      <c r="CO59" s="63">
        <f t="array" ref="CO59">IF(ISBLANK(_xlfn.XLOOKUP(CO$1,$Z$2:$Z$16,$AA$2:$AA$16)),"", 10*LOG10(SUM(10^(CO2:CO58/10))))</f>
        <v>43.587706455279971</v>
      </c>
      <c r="CP59" s="63">
        <f t="array" ref="CP59">IF(ISBLANK(_xlfn.XLOOKUP(CP$1,$Z$2:$Z$16,$AA$2:$AA$16)),"", 10*LOG10(SUM(10^(CP2:CP58/10))))</f>
        <v>40.63664371844677</v>
      </c>
      <c r="CQ59" s="63">
        <f t="array" ref="CQ59">IF(ISBLANK(_xlfn.XLOOKUP(CQ$1,$Z$2:$Z$16,$AA$2:$AA$16)),"", 10*LOG10(SUM(10^(CQ2:CQ58/10))))</f>
        <v>44.140388641121653</v>
      </c>
      <c r="CR59" s="63" t="e">
        <f t="array" ref="CR59">IF(ISBLANK(_xlfn.XLOOKUP(CR$1,$Z$2:$Z$16,$AA$2:$AA$16)),"", 10*LOG10(SUM(10^(CR2:CR58/10))))</f>
        <v>#VALUE!</v>
      </c>
      <c r="CS59" s="63" t="e">
        <f t="array" ref="CS59">IF(ISBLANK(_xlfn.XLOOKUP(CS$1,$Z$2:$Z$16,$AA$2:$AA$16)),"", 10*LOG10(SUM(10^(CS2:CS58/10))))</f>
        <v>#VALUE!</v>
      </c>
      <c r="CT59" s="63" t="e">
        <f t="array" ref="CT59">IF(ISBLANK(_xlfn.XLOOKUP(CT$1,$Z$2:$Z$16,$AA$2:$AA$16)),"", 10*LOG10(SUM(10^(CT2:CT58/10))))</f>
        <v>#VALUE!</v>
      </c>
      <c r="CU59" s="59" t="e">
        <f t="array" ref="CU59">IF(ISBLANK(_xlfn.XLOOKUP(CU$1,$Z$2:$Z$16,$AA$2:$AA$16)),"", 10*LOG10(SUM(10^(CU2:CU58/10))))</f>
        <v>#VALUE!</v>
      </c>
      <c r="CV59" s="59" t="e">
        <f t="array" ref="CV59">IF(ISBLANK(_xlfn.XLOOKUP(CV$1,$Z$2:$Z$16,$AA$2:$AA$16)),"", 10*LOG10(SUM(10^(CV2:CV58/10))))</f>
        <v>#VALUE!</v>
      </c>
      <c r="CW59" s="59" t="e">
        <f t="array" ref="CW59">IF(ISBLANK(_xlfn.XLOOKUP(CW$1,$Z$2:$Z$16,$AA$2:$AA$16)),"", 10*LOG10(SUM(10^(CW2:CW58/10))))</f>
        <v>#VALUE!</v>
      </c>
      <c r="CX59" s="59" t="e">
        <f t="array" ref="CX59">IF(ISBLANK(_xlfn.XLOOKUP(CX$1,$Z$2:$Z$16,$AA$2:$AA$16)),"", 10*LOG10(SUM(10^(CX2:CX58/10))))</f>
        <v>#VALUE!</v>
      </c>
      <c r="CY59" s="59" t="e">
        <f t="array" ref="CY59">IF(ISBLANK(_xlfn.XLOOKUP(CY$1,$Z$2:$Z$16,$AA$2:$AA$16)),"", 10*LOG10(SUM(10^(CY2:CY58/10))))</f>
        <v>#VALUE!</v>
      </c>
      <c r="CZ59" s="59" t="e">
        <f t="array" ref="CZ59">IF(ISBLANK(_xlfn.XLOOKUP(CZ$1,$Z$2:$Z$16,$AA$2:$AA$16)),"", 10*LOG10(SUM(10^(CZ2:CZ58/10))))</f>
        <v>#VALUE!</v>
      </c>
      <c r="DA59" s="60" t="e">
        <f t="array" ref="DA59">IF(ISBLANK(_xlfn.XLOOKUP(DA$1,$Z$2:$Z$16,$AA$2:$AA$16)),"", 10*LOG10(SUM(10^(DA2:DA58/10))))</f>
        <v>#VALUE!</v>
      </c>
    </row>
    <row r="60" spans="1:105" ht="17.25" customHeight="1" thickBot="1" x14ac:dyDescent="0.35">
      <c r="CL60" t="s">
        <v>77</v>
      </c>
      <c r="CM60" s="190">
        <f t="array" ref="CM60:DA60">TRANSPOSE(AD2:AD16)</f>
        <v>40</v>
      </c>
      <c r="CN60" s="88">
        <v>40</v>
      </c>
      <c r="CO60" s="88">
        <v>40</v>
      </c>
      <c r="CP60" s="88">
        <v>40</v>
      </c>
      <c r="CQ60" s="88">
        <v>40</v>
      </c>
      <c r="CR60" s="88">
        <v>0</v>
      </c>
      <c r="CS60" s="88">
        <v>0</v>
      </c>
      <c r="CT60" s="88">
        <v>0</v>
      </c>
      <c r="CU60" s="88">
        <v>0</v>
      </c>
      <c r="CV60" s="88">
        <v>0</v>
      </c>
      <c r="CW60" s="88">
        <v>0</v>
      </c>
      <c r="CX60" s="88">
        <v>0</v>
      </c>
      <c r="CY60" s="88">
        <v>0</v>
      </c>
      <c r="CZ60" s="88">
        <v>0</v>
      </c>
      <c r="DA60" s="89">
        <v>0</v>
      </c>
    </row>
    <row r="62" spans="1:105" ht="15.75" customHeight="1" thickBot="1" x14ac:dyDescent="0.3"/>
    <row r="63" spans="1:105" x14ac:dyDescent="0.25">
      <c r="C63" s="72">
        <v>-26.2</v>
      </c>
      <c r="D63" s="73">
        <v>-16.100000000000001</v>
      </c>
      <c r="E63" s="73">
        <v>-8.6</v>
      </c>
      <c r="F63" s="73"/>
      <c r="G63" s="73"/>
      <c r="H63" s="73"/>
      <c r="I63" s="73"/>
      <c r="J63" s="73"/>
      <c r="K63" s="73"/>
      <c r="L63" s="73"/>
      <c r="M63" s="73"/>
      <c r="N63" s="73">
        <v>-3.2</v>
      </c>
      <c r="O63" s="74">
        <v>0</v>
      </c>
      <c r="P63" s="73"/>
      <c r="Q63" s="73">
        <v>1.2</v>
      </c>
      <c r="R63" s="73"/>
      <c r="S63" s="73">
        <v>1</v>
      </c>
      <c r="T63" s="73">
        <v>-1.1000000000000001</v>
      </c>
      <c r="U63" s="75"/>
    </row>
    <row r="64" spans="1:105" x14ac:dyDescent="0.25">
      <c r="C64" s="76">
        <v>63</v>
      </c>
      <c r="D64" s="77">
        <v>125</v>
      </c>
      <c r="E64" s="77">
        <v>250</v>
      </c>
      <c r="F64" s="77"/>
      <c r="G64" s="77"/>
      <c r="H64" s="77"/>
      <c r="I64" s="77"/>
      <c r="J64" s="77"/>
      <c r="K64" s="77"/>
      <c r="L64" s="77"/>
      <c r="M64" s="77"/>
      <c r="N64" s="77">
        <v>500</v>
      </c>
      <c r="O64" s="78">
        <v>1000</v>
      </c>
      <c r="P64" s="77"/>
      <c r="Q64" s="77">
        <v>2000</v>
      </c>
      <c r="R64" s="77"/>
      <c r="S64" s="77">
        <v>4000</v>
      </c>
      <c r="T64" s="77">
        <v>8000</v>
      </c>
      <c r="U64" s="79" t="s">
        <v>78</v>
      </c>
    </row>
    <row r="65" spans="3:21" ht="15.75" customHeight="1" thickBot="1" x14ac:dyDescent="0.3">
      <c r="C65" s="71">
        <v>83</v>
      </c>
      <c r="D65" s="6">
        <v>88</v>
      </c>
      <c r="E65" s="6">
        <v>84</v>
      </c>
      <c r="F65" s="6"/>
      <c r="G65" s="6"/>
      <c r="H65" s="6"/>
      <c r="I65" s="6"/>
      <c r="J65" s="6"/>
      <c r="K65" s="6"/>
      <c r="L65" s="6"/>
      <c r="M65" s="6"/>
      <c r="N65" s="6">
        <v>77</v>
      </c>
      <c r="O65" s="6">
        <v>73</v>
      </c>
      <c r="P65" s="6"/>
      <c r="Q65" s="6">
        <v>64</v>
      </c>
      <c r="R65" s="6"/>
      <c r="S65" s="6">
        <v>61</v>
      </c>
      <c r="T65" s="6">
        <v>59</v>
      </c>
      <c r="U65" s="70">
        <f t="array" ref="U65">IF(AND(C65:T65=""),"",10*LOG((10^((C65-26.2)/10))+(10^((D65-16.1)/10))+(10^((E65-8.6)/10))+(10^((N65-3.2)/10))+(10^((O65)/10))+(10^((Q65+1.2)/10))+(10^((S65+1)/10))+(10^((T65-1.1)/10))))</f>
        <v>80.004090563451044</v>
      </c>
    </row>
  </sheetData>
  <mergeCells count="1">
    <mergeCell ref="BO37:BP37"/>
  </mergeCells>
  <phoneticPr fontId="23" type="noConversion"/>
  <conditionalFormatting sqref="BO40:BO45">
    <cfRule type="expression" dxfId="10" priority="22">
      <formula>"Rounddown($F$3)=J35"</formula>
    </cfRule>
  </conditionalFormatting>
  <conditionalFormatting sqref="BO39">
    <cfRule type="expression" dxfId="9" priority="21">
      <formula>"Rounddown($F$3)=J35"</formula>
    </cfRule>
  </conditionalFormatting>
  <conditionalFormatting sqref="CM2:CT38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:CU38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2:CV38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X2:CX38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W2:CW3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Y2:CY38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2:CZ38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A2:DA38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">
    <cfRule type="expression" dxfId="8" priority="6">
      <formula>AE16=AD16+1</formula>
    </cfRule>
    <cfRule type="expression" dxfId="7" priority="7">
      <formula>AE16&lt;=AD16</formula>
    </cfRule>
  </conditionalFormatting>
  <conditionalFormatting sqref="AE2:AE16">
    <cfRule type="expression" dxfId="6" priority="45">
      <formula>AE2=AD2+1</formula>
    </cfRule>
    <cfRule type="expression" dxfId="5" priority="102">
      <formula>AE2&lt;=AD2</formula>
    </cfRule>
  </conditionalFormatting>
  <conditionalFormatting sqref="N2:N58">
    <cfRule type="expression" dxfId="4" priority="1">
      <formula>_xlfn.ISFORMULA(N2)</formula>
    </cfRule>
  </conditionalFormatting>
  <dataValidations count="3">
    <dataValidation type="list" showInputMessage="1" showErrorMessage="1" sqref="BP4" xr:uid="{00000000-0002-0000-0000-000000000000}">
      <formula1>$B$2:$B$58</formula1>
    </dataValidation>
    <dataValidation type="list" showInputMessage="1" showErrorMessage="1" sqref="BP5" xr:uid="{00000000-0002-0000-0000-000001000000}">
      <formula1>$Z$2:$Z$18</formula1>
    </dataValidation>
    <dataValidation type="list" showInputMessage="1" showErrorMessage="1" sqref="BP6:BP7" xr:uid="{00000000-0002-0000-0000-000002000000}">
      <formula1>$Z$24:$Z$50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2F742-3F91-42B7-AEF4-9EF8D2454BC5}">
  <sheetPr codeName="Sheet2"/>
  <dimension ref="B2:Q241"/>
  <sheetViews>
    <sheetView topLeftCell="C169" workbookViewId="0">
      <selection activeCell="Q165" sqref="Q165:Q201"/>
    </sheetView>
  </sheetViews>
  <sheetFormatPr defaultRowHeight="15" x14ac:dyDescent="0.25"/>
  <sheetData>
    <row r="2" spans="2:17" x14ac:dyDescent="0.25">
      <c r="B2">
        <v>75</v>
      </c>
      <c r="N2" t="s">
        <v>201</v>
      </c>
      <c r="O2" t="s">
        <v>202</v>
      </c>
      <c r="P2" t="s">
        <v>203</v>
      </c>
      <c r="Q2" t="s">
        <v>204</v>
      </c>
    </row>
    <row r="3" spans="2:17" x14ac:dyDescent="0.25">
      <c r="B3">
        <v>75</v>
      </c>
      <c r="N3">
        <f>C2</f>
        <v>0</v>
      </c>
      <c r="O3">
        <f>E2</f>
        <v>0</v>
      </c>
      <c r="P3">
        <f>G2</f>
        <v>0</v>
      </c>
      <c r="Q3">
        <f>I2</f>
        <v>0</v>
      </c>
    </row>
    <row r="4" spans="2:17" x14ac:dyDescent="0.25">
      <c r="B4">
        <v>75</v>
      </c>
      <c r="N4">
        <f t="shared" ref="N4:N67" si="0">C3</f>
        <v>0</v>
      </c>
      <c r="O4">
        <f t="shared" ref="O4:O67" si="1">E3</f>
        <v>0</v>
      </c>
      <c r="P4">
        <f t="shared" ref="P4:P67" si="2">G3</f>
        <v>0</v>
      </c>
      <c r="Q4">
        <f t="shared" ref="Q4:Q67" si="3">I3</f>
        <v>0</v>
      </c>
    </row>
    <row r="5" spans="2:17" x14ac:dyDescent="0.25">
      <c r="B5">
        <v>75</v>
      </c>
      <c r="N5">
        <f t="shared" si="0"/>
        <v>0</v>
      </c>
      <c r="O5">
        <f t="shared" si="1"/>
        <v>0</v>
      </c>
      <c r="P5">
        <f t="shared" si="2"/>
        <v>0</v>
      </c>
      <c r="Q5">
        <f t="shared" si="3"/>
        <v>0</v>
      </c>
    </row>
    <row r="6" spans="2:17" x14ac:dyDescent="0.25">
      <c r="B6">
        <v>75</v>
      </c>
      <c r="N6">
        <f t="shared" si="0"/>
        <v>0</v>
      </c>
      <c r="O6">
        <f t="shared" si="1"/>
        <v>0</v>
      </c>
      <c r="P6">
        <f t="shared" si="2"/>
        <v>0</v>
      </c>
      <c r="Q6">
        <f t="shared" si="3"/>
        <v>0</v>
      </c>
    </row>
    <row r="7" spans="2:17" x14ac:dyDescent="0.25">
      <c r="B7">
        <v>75</v>
      </c>
      <c r="N7">
        <f t="shared" si="0"/>
        <v>0</v>
      </c>
      <c r="O7">
        <f t="shared" si="1"/>
        <v>0</v>
      </c>
      <c r="P7">
        <f t="shared" si="2"/>
        <v>0</v>
      </c>
      <c r="Q7">
        <f t="shared" si="3"/>
        <v>0</v>
      </c>
    </row>
    <row r="8" spans="2:17" x14ac:dyDescent="0.25">
      <c r="B8">
        <v>75</v>
      </c>
      <c r="N8">
        <f t="shared" si="0"/>
        <v>0</v>
      </c>
      <c r="O8">
        <f t="shared" si="1"/>
        <v>0</v>
      </c>
      <c r="P8">
        <f t="shared" si="2"/>
        <v>0</v>
      </c>
      <c r="Q8">
        <f t="shared" si="3"/>
        <v>0</v>
      </c>
    </row>
    <row r="9" spans="2:17" x14ac:dyDescent="0.25">
      <c r="B9">
        <v>75</v>
      </c>
      <c r="N9">
        <f t="shared" si="0"/>
        <v>0</v>
      </c>
      <c r="O9">
        <f t="shared" si="1"/>
        <v>0</v>
      </c>
      <c r="P9">
        <f t="shared" si="2"/>
        <v>0</v>
      </c>
      <c r="Q9">
        <f t="shared" si="3"/>
        <v>0</v>
      </c>
    </row>
    <row r="10" spans="2:17" x14ac:dyDescent="0.25">
      <c r="B10" t="s">
        <v>199</v>
      </c>
      <c r="C10" t="s">
        <v>200</v>
      </c>
      <c r="N10">
        <f t="shared" si="0"/>
        <v>0</v>
      </c>
      <c r="O10">
        <f t="shared" si="1"/>
        <v>0</v>
      </c>
      <c r="P10">
        <f t="shared" si="2"/>
        <v>0</v>
      </c>
      <c r="Q10">
        <f t="shared" si="3"/>
        <v>0</v>
      </c>
    </row>
    <row r="11" spans="2:17" x14ac:dyDescent="0.25">
      <c r="B11" t="s">
        <v>205</v>
      </c>
      <c r="C11" t="s">
        <v>206</v>
      </c>
      <c r="D11" t="s">
        <v>207</v>
      </c>
      <c r="N11" t="str">
        <f t="shared" si="0"/>
        <v>1314)</v>
      </c>
      <c r="O11">
        <f t="shared" si="1"/>
        <v>0</v>
      </c>
      <c r="P11">
        <f t="shared" si="2"/>
        <v>0</v>
      </c>
      <c r="Q11">
        <f t="shared" si="3"/>
        <v>0</v>
      </c>
    </row>
    <row r="12" spans="2:17" x14ac:dyDescent="0.25">
      <c r="B12" t="s">
        <v>219</v>
      </c>
      <c r="C12" t="s">
        <v>113</v>
      </c>
      <c r="D12" t="s">
        <v>220</v>
      </c>
      <c r="E12" t="s">
        <v>171</v>
      </c>
      <c r="F12" t="s">
        <v>221</v>
      </c>
      <c r="G12" t="s">
        <v>222</v>
      </c>
      <c r="H12" t="s">
        <v>223</v>
      </c>
      <c r="I12">
        <v>11.5</v>
      </c>
      <c r="N12" s="77" t="str">
        <f t="shared" si="0"/>
        <v xml:space="preserve"> y: 85.62</v>
      </c>
      <c r="O12">
        <f t="shared" si="1"/>
        <v>0</v>
      </c>
      <c r="P12">
        <f t="shared" si="2"/>
        <v>0</v>
      </c>
      <c r="Q12">
        <f t="shared" si="3"/>
        <v>0</v>
      </c>
    </row>
    <row r="13" spans="2:17" x14ac:dyDescent="0.25">
      <c r="B13" t="s">
        <v>219</v>
      </c>
      <c r="C13" t="s">
        <v>117</v>
      </c>
      <c r="D13" t="s">
        <v>220</v>
      </c>
      <c r="E13" t="s">
        <v>171</v>
      </c>
      <c r="F13" t="s">
        <v>221</v>
      </c>
      <c r="G13" t="s">
        <v>224</v>
      </c>
      <c r="H13" t="s">
        <v>223</v>
      </c>
      <c r="I13">
        <v>12.6</v>
      </c>
      <c r="N13" t="str">
        <f t="shared" si="0"/>
        <v>MAU-R1</v>
      </c>
      <c r="O13" t="str">
        <f t="shared" si="1"/>
        <v>R1</v>
      </c>
      <c r="P13" t="str">
        <f t="shared" si="2"/>
        <v>bar22 - OB_fresnel</v>
      </c>
      <c r="Q13">
        <f t="shared" si="3"/>
        <v>11.5</v>
      </c>
    </row>
    <row r="14" spans="2:17" x14ac:dyDescent="0.25">
      <c r="B14" t="s">
        <v>219</v>
      </c>
      <c r="C14" t="s">
        <v>225</v>
      </c>
      <c r="D14" t="s">
        <v>220</v>
      </c>
      <c r="E14" t="s">
        <v>171</v>
      </c>
      <c r="F14" t="s">
        <v>221</v>
      </c>
      <c r="G14" t="s">
        <v>226</v>
      </c>
      <c r="H14" t="s">
        <v>223</v>
      </c>
      <c r="I14">
        <v>7</v>
      </c>
      <c r="N14" t="str">
        <f t="shared" si="0"/>
        <v>ERV-R.1</v>
      </c>
      <c r="O14" t="str">
        <f t="shared" si="1"/>
        <v>R1</v>
      </c>
      <c r="P14" t="str">
        <f t="shared" si="2"/>
        <v>bar21 - OB_fresnel</v>
      </c>
      <c r="Q14">
        <f t="shared" si="3"/>
        <v>12.6</v>
      </c>
    </row>
    <row r="15" spans="2:17" x14ac:dyDescent="0.25">
      <c r="B15" t="s">
        <v>219</v>
      </c>
      <c r="C15" t="s">
        <v>227</v>
      </c>
      <c r="D15" t="s">
        <v>220</v>
      </c>
      <c r="E15" t="s">
        <v>171</v>
      </c>
      <c r="F15" t="s">
        <v>221</v>
      </c>
      <c r="G15" t="s">
        <v>222</v>
      </c>
      <c r="H15" t="s">
        <v>223</v>
      </c>
      <c r="I15">
        <v>11</v>
      </c>
      <c r="N15" t="str">
        <f t="shared" si="0"/>
        <v>GEF-R1-</v>
      </c>
      <c r="O15" t="str">
        <f t="shared" si="1"/>
        <v>R1</v>
      </c>
      <c r="P15" t="str">
        <f t="shared" si="2"/>
        <v>bar2 - OB_fresnel</v>
      </c>
      <c r="Q15">
        <f t="shared" si="3"/>
        <v>7</v>
      </c>
    </row>
    <row r="16" spans="2:17" x14ac:dyDescent="0.25">
      <c r="B16" t="s">
        <v>219</v>
      </c>
      <c r="C16" t="s">
        <v>228</v>
      </c>
      <c r="D16" t="s">
        <v>220</v>
      </c>
      <c r="E16" t="s">
        <v>171</v>
      </c>
      <c r="F16" t="s">
        <v>221</v>
      </c>
      <c r="G16" t="s">
        <v>229</v>
      </c>
      <c r="H16" t="s">
        <v>223</v>
      </c>
      <c r="I16">
        <v>6.6</v>
      </c>
      <c r="N16" t="str">
        <f t="shared" si="0"/>
        <v>DEF-R1</v>
      </c>
      <c r="O16" t="str">
        <f>D15</f>
        <v xml:space="preserve"> rcvr: </v>
      </c>
      <c r="P16" t="str">
        <f>F15</f>
        <v xml:space="preserve"> bar: </v>
      </c>
      <c r="Q16">
        <f t="shared" si="3"/>
        <v>11</v>
      </c>
    </row>
    <row r="17" spans="2:17" x14ac:dyDescent="0.25">
      <c r="B17" t="s">
        <v>219</v>
      </c>
      <c r="C17" t="s">
        <v>129</v>
      </c>
      <c r="D17" t="s">
        <v>220</v>
      </c>
      <c r="E17" t="s">
        <v>171</v>
      </c>
      <c r="F17" t="s">
        <v>221</v>
      </c>
      <c r="G17" t="s">
        <v>222</v>
      </c>
      <c r="H17" t="s">
        <v>223</v>
      </c>
      <c r="I17">
        <v>9.9</v>
      </c>
      <c r="N17" t="str">
        <f t="shared" si="0"/>
        <v>KEF-R1-</v>
      </c>
      <c r="O17" t="str">
        <f t="shared" si="1"/>
        <v>R1</v>
      </c>
      <c r="P17" t="str">
        <f t="shared" si="2"/>
        <v>bar20 - OB_fresnel</v>
      </c>
      <c r="Q17">
        <f t="shared" si="3"/>
        <v>6.6</v>
      </c>
    </row>
    <row r="18" spans="2:17" x14ac:dyDescent="0.25">
      <c r="B18" t="s">
        <v>219</v>
      </c>
      <c r="C18" t="s">
        <v>131</v>
      </c>
      <c r="D18" t="s">
        <v>220</v>
      </c>
      <c r="E18" t="s">
        <v>171</v>
      </c>
      <c r="F18" t="s">
        <v>221</v>
      </c>
      <c r="G18" t="s">
        <v>230</v>
      </c>
      <c r="H18" t="s">
        <v>223</v>
      </c>
      <c r="I18">
        <v>5</v>
      </c>
      <c r="N18" t="str">
        <f t="shared" si="0"/>
        <v>DWEF-R1</v>
      </c>
      <c r="O18" t="str">
        <f t="shared" si="1"/>
        <v>R1</v>
      </c>
      <c r="P18" t="str">
        <f t="shared" si="2"/>
        <v>bar22 - OB_fresnel</v>
      </c>
      <c r="Q18">
        <f t="shared" si="3"/>
        <v>9.9</v>
      </c>
    </row>
    <row r="19" spans="2:17" x14ac:dyDescent="0.25">
      <c r="B19" t="s">
        <v>219</v>
      </c>
      <c r="C19" t="s">
        <v>134</v>
      </c>
      <c r="D19" t="s">
        <v>220</v>
      </c>
      <c r="E19" t="s">
        <v>171</v>
      </c>
      <c r="F19" t="s">
        <v>221</v>
      </c>
      <c r="G19" t="s">
        <v>230</v>
      </c>
      <c r="H19" t="s">
        <v>223</v>
      </c>
      <c r="I19">
        <v>5</v>
      </c>
      <c r="N19" t="str">
        <f t="shared" si="0"/>
        <v>CU-R1</v>
      </c>
      <c r="O19" t="str">
        <f t="shared" si="1"/>
        <v>R1</v>
      </c>
      <c r="P19" t="str">
        <f t="shared" si="2"/>
        <v>bar22 - ari</v>
      </c>
      <c r="Q19">
        <f t="shared" si="3"/>
        <v>5</v>
      </c>
    </row>
    <row r="20" spans="2:17" x14ac:dyDescent="0.25">
      <c r="B20" t="s">
        <v>219</v>
      </c>
      <c r="C20" t="s">
        <v>136</v>
      </c>
      <c r="D20" t="s">
        <v>220</v>
      </c>
      <c r="E20" t="s">
        <v>171</v>
      </c>
      <c r="F20" t="s">
        <v>221</v>
      </c>
      <c r="G20" t="s">
        <v>230</v>
      </c>
      <c r="H20" t="s">
        <v>223</v>
      </c>
      <c r="I20">
        <v>5</v>
      </c>
      <c r="N20" t="str">
        <f t="shared" si="0"/>
        <v>CU-R2</v>
      </c>
      <c r="O20" t="str">
        <f t="shared" si="1"/>
        <v>R1</v>
      </c>
      <c r="P20" t="str">
        <f t="shared" si="2"/>
        <v>bar22 - ari</v>
      </c>
      <c r="Q20">
        <f t="shared" si="3"/>
        <v>5</v>
      </c>
    </row>
    <row r="21" spans="2:17" x14ac:dyDescent="0.25">
      <c r="B21" t="s">
        <v>219</v>
      </c>
      <c r="C21" t="s">
        <v>138</v>
      </c>
      <c r="D21" t="s">
        <v>220</v>
      </c>
      <c r="E21" t="s">
        <v>171</v>
      </c>
      <c r="F21" t="s">
        <v>221</v>
      </c>
      <c r="G21" t="s">
        <v>230</v>
      </c>
      <c r="H21" t="s">
        <v>223</v>
      </c>
      <c r="I21">
        <v>4</v>
      </c>
      <c r="N21" t="str">
        <f t="shared" si="0"/>
        <v>CU-R4</v>
      </c>
      <c r="O21" t="str">
        <f t="shared" si="1"/>
        <v>R1</v>
      </c>
      <c r="P21" t="str">
        <f t="shared" si="2"/>
        <v>bar22 - ari</v>
      </c>
      <c r="Q21">
        <f t="shared" si="3"/>
        <v>5</v>
      </c>
    </row>
    <row r="22" spans="2:17" x14ac:dyDescent="0.25">
      <c r="B22" t="s">
        <v>219</v>
      </c>
      <c r="C22" t="s">
        <v>175</v>
      </c>
      <c r="D22" t="s">
        <v>220</v>
      </c>
      <c r="E22" t="s">
        <v>171</v>
      </c>
      <c r="F22" t="s">
        <v>221</v>
      </c>
      <c r="G22" t="s">
        <v>231</v>
      </c>
      <c r="H22" t="s">
        <v>223</v>
      </c>
      <c r="I22">
        <v>2</v>
      </c>
      <c r="N22" t="str">
        <f t="shared" si="0"/>
        <v>CU-R5</v>
      </c>
      <c r="O22" t="str">
        <f t="shared" si="1"/>
        <v>R1</v>
      </c>
      <c r="P22" t="str">
        <f t="shared" si="2"/>
        <v>bar22 - ari</v>
      </c>
      <c r="Q22">
        <f t="shared" si="3"/>
        <v>4</v>
      </c>
    </row>
    <row r="23" spans="2:17" x14ac:dyDescent="0.25">
      <c r="B23" t="s">
        <v>219</v>
      </c>
      <c r="C23" t="s">
        <v>176</v>
      </c>
      <c r="D23" t="s">
        <v>220</v>
      </c>
      <c r="E23" t="s">
        <v>171</v>
      </c>
      <c r="F23" t="s">
        <v>221</v>
      </c>
      <c r="G23" t="s">
        <v>232</v>
      </c>
      <c r="H23" t="s">
        <v>223</v>
      </c>
      <c r="I23">
        <v>8</v>
      </c>
      <c r="N23" t="str">
        <f t="shared" si="0"/>
        <v>RCU-R(4p)1</v>
      </c>
      <c r="O23" t="str">
        <f t="shared" si="1"/>
        <v>R1</v>
      </c>
      <c r="P23" t="str">
        <f t="shared" si="2"/>
        <v>bar2 - ari</v>
      </c>
      <c r="Q23">
        <f t="shared" si="3"/>
        <v>2</v>
      </c>
    </row>
    <row r="24" spans="2:17" x14ac:dyDescent="0.25">
      <c r="B24" t="s">
        <v>219</v>
      </c>
      <c r="C24" t="s">
        <v>177</v>
      </c>
      <c r="D24" t="s">
        <v>220</v>
      </c>
      <c r="E24" t="s">
        <v>171</v>
      </c>
      <c r="F24" t="s">
        <v>221</v>
      </c>
      <c r="G24" t="s">
        <v>230</v>
      </c>
      <c r="H24" t="s">
        <v>223</v>
      </c>
      <c r="I24">
        <v>6</v>
      </c>
      <c r="N24" t="str">
        <f t="shared" si="0"/>
        <v>RCU-R(4p)2</v>
      </c>
      <c r="O24" t="str">
        <f t="shared" si="1"/>
        <v>R1</v>
      </c>
      <c r="P24" t="str">
        <f t="shared" si="2"/>
        <v>bar20 - ari</v>
      </c>
      <c r="Q24">
        <f t="shared" si="3"/>
        <v>8</v>
      </c>
    </row>
    <row r="25" spans="2:17" x14ac:dyDescent="0.25">
      <c r="B25" t="s">
        <v>219</v>
      </c>
      <c r="C25" t="s">
        <v>144</v>
      </c>
      <c r="D25" t="s">
        <v>220</v>
      </c>
      <c r="E25" t="s">
        <v>171</v>
      </c>
      <c r="F25" t="s">
        <v>221</v>
      </c>
      <c r="G25" t="s">
        <v>230</v>
      </c>
      <c r="H25" t="s">
        <v>223</v>
      </c>
      <c r="I25">
        <v>6</v>
      </c>
      <c r="N25" t="str">
        <f t="shared" si="0"/>
        <v>RCU-R(4p)3</v>
      </c>
      <c r="O25" t="str">
        <f t="shared" si="1"/>
        <v>R1</v>
      </c>
      <c r="P25" t="str">
        <f t="shared" si="2"/>
        <v>bar22 - ari</v>
      </c>
      <c r="Q25">
        <f t="shared" si="3"/>
        <v>6</v>
      </c>
    </row>
    <row r="26" spans="2:17" x14ac:dyDescent="0.25">
      <c r="B26" t="s">
        <v>219</v>
      </c>
      <c r="C26" t="s">
        <v>179</v>
      </c>
      <c r="D26" t="s">
        <v>220</v>
      </c>
      <c r="E26" t="s">
        <v>171</v>
      </c>
      <c r="F26" t="s">
        <v>221</v>
      </c>
      <c r="G26" t="s">
        <v>230</v>
      </c>
      <c r="H26" t="s">
        <v>223</v>
      </c>
      <c r="I26">
        <v>6</v>
      </c>
      <c r="N26" t="str">
        <f t="shared" si="0"/>
        <v>RCU-R(2p)</v>
      </c>
      <c r="O26" t="str">
        <f t="shared" si="1"/>
        <v>R1</v>
      </c>
      <c r="P26" t="str">
        <f t="shared" si="2"/>
        <v>bar22 - ari</v>
      </c>
      <c r="Q26">
        <f t="shared" si="3"/>
        <v>6</v>
      </c>
    </row>
    <row r="27" spans="2:17" x14ac:dyDescent="0.25">
      <c r="B27" t="s">
        <v>219</v>
      </c>
      <c r="C27" t="s">
        <v>178</v>
      </c>
      <c r="D27" t="s">
        <v>220</v>
      </c>
      <c r="E27" t="s">
        <v>171</v>
      </c>
      <c r="F27" t="s">
        <v>221</v>
      </c>
      <c r="G27" t="s">
        <v>230</v>
      </c>
      <c r="H27" t="s">
        <v>223</v>
      </c>
      <c r="I27">
        <v>4</v>
      </c>
      <c r="N27" t="str">
        <f t="shared" si="0"/>
        <v>RCU-R(2p)1</v>
      </c>
      <c r="O27" t="str">
        <f t="shared" si="1"/>
        <v>R1</v>
      </c>
      <c r="P27" t="str">
        <f t="shared" si="2"/>
        <v>bar22 - ari</v>
      </c>
      <c r="Q27">
        <f t="shared" si="3"/>
        <v>6</v>
      </c>
    </row>
    <row r="28" spans="2:17" x14ac:dyDescent="0.25">
      <c r="B28" t="s">
        <v>219</v>
      </c>
      <c r="C28" t="s">
        <v>180</v>
      </c>
      <c r="D28" t="s">
        <v>220</v>
      </c>
      <c r="E28" t="s">
        <v>171</v>
      </c>
      <c r="F28" t="s">
        <v>221</v>
      </c>
      <c r="G28" t="s">
        <v>232</v>
      </c>
      <c r="H28" t="s">
        <v>223</v>
      </c>
      <c r="I28">
        <v>5</v>
      </c>
      <c r="N28" t="str">
        <f t="shared" si="0"/>
        <v>RCU-R(4p)4</v>
      </c>
      <c r="O28" t="str">
        <f t="shared" si="1"/>
        <v>R1</v>
      </c>
      <c r="P28" t="str">
        <f t="shared" si="2"/>
        <v>bar22 - ari</v>
      </c>
      <c r="Q28">
        <f t="shared" si="3"/>
        <v>4</v>
      </c>
    </row>
    <row r="29" spans="2:17" x14ac:dyDescent="0.25">
      <c r="B29" t="s">
        <v>219</v>
      </c>
      <c r="C29" t="s">
        <v>181</v>
      </c>
      <c r="D29" t="s">
        <v>220</v>
      </c>
      <c r="E29" t="s">
        <v>171</v>
      </c>
      <c r="F29" t="s">
        <v>221</v>
      </c>
      <c r="G29" t="s">
        <v>232</v>
      </c>
      <c r="H29" t="s">
        <v>223</v>
      </c>
      <c r="I29">
        <v>6</v>
      </c>
      <c r="N29" t="str">
        <f t="shared" si="0"/>
        <v>RCU-R(2p)2</v>
      </c>
      <c r="O29" t="str">
        <f t="shared" si="1"/>
        <v>R1</v>
      </c>
      <c r="P29" t="str">
        <f t="shared" si="2"/>
        <v>bar20 - ari</v>
      </c>
      <c r="Q29">
        <f t="shared" si="3"/>
        <v>5</v>
      </c>
    </row>
    <row r="30" spans="2:17" x14ac:dyDescent="0.25">
      <c r="B30" t="s">
        <v>219</v>
      </c>
      <c r="C30" t="s">
        <v>182</v>
      </c>
      <c r="D30" t="s">
        <v>220</v>
      </c>
      <c r="E30" t="s">
        <v>171</v>
      </c>
      <c r="F30" t="s">
        <v>221</v>
      </c>
      <c r="G30" t="s">
        <v>232</v>
      </c>
      <c r="H30" t="s">
        <v>223</v>
      </c>
      <c r="I30">
        <v>7</v>
      </c>
      <c r="N30" t="str">
        <f t="shared" si="0"/>
        <v>RCU-R(2p)3</v>
      </c>
      <c r="O30" t="str">
        <f t="shared" si="1"/>
        <v>R1</v>
      </c>
      <c r="P30" t="str">
        <f t="shared" si="2"/>
        <v>bar20 - ari</v>
      </c>
      <c r="Q30">
        <f t="shared" si="3"/>
        <v>6</v>
      </c>
    </row>
    <row r="31" spans="2:17" x14ac:dyDescent="0.25">
      <c r="B31" t="s">
        <v>219</v>
      </c>
      <c r="C31" t="s">
        <v>183</v>
      </c>
      <c r="D31" t="s">
        <v>220</v>
      </c>
      <c r="E31" t="s">
        <v>171</v>
      </c>
      <c r="F31" t="s">
        <v>221</v>
      </c>
      <c r="G31" t="s">
        <v>232</v>
      </c>
      <c r="H31" t="s">
        <v>223</v>
      </c>
      <c r="I31">
        <v>7</v>
      </c>
      <c r="N31" t="str">
        <f t="shared" si="0"/>
        <v>RCU-R(2p)4</v>
      </c>
      <c r="O31" t="str">
        <f t="shared" si="1"/>
        <v>R1</v>
      </c>
      <c r="P31" t="str">
        <f t="shared" si="2"/>
        <v>bar20 - ari</v>
      </c>
      <c r="Q31">
        <f t="shared" si="3"/>
        <v>7</v>
      </c>
    </row>
    <row r="32" spans="2:17" x14ac:dyDescent="0.25">
      <c r="B32" t="s">
        <v>219</v>
      </c>
      <c r="C32" t="s">
        <v>184</v>
      </c>
      <c r="D32" t="s">
        <v>220</v>
      </c>
      <c r="E32" t="s">
        <v>171</v>
      </c>
      <c r="F32" t="s">
        <v>221</v>
      </c>
      <c r="G32" t="s">
        <v>232</v>
      </c>
      <c r="H32" t="s">
        <v>223</v>
      </c>
      <c r="I32">
        <v>7</v>
      </c>
      <c r="N32" t="str">
        <f t="shared" si="0"/>
        <v>RCU-R(2p)5</v>
      </c>
      <c r="O32" t="str">
        <f t="shared" si="1"/>
        <v>R1</v>
      </c>
      <c r="P32" t="str">
        <f t="shared" si="2"/>
        <v>bar20 - ari</v>
      </c>
      <c r="Q32">
        <f t="shared" si="3"/>
        <v>7</v>
      </c>
    </row>
    <row r="33" spans="2:17" x14ac:dyDescent="0.25">
      <c r="B33" t="s">
        <v>219</v>
      </c>
      <c r="C33" t="s">
        <v>233</v>
      </c>
      <c r="D33" t="s">
        <v>220</v>
      </c>
      <c r="E33" t="s">
        <v>171</v>
      </c>
      <c r="F33" t="s">
        <v>221</v>
      </c>
      <c r="G33" t="s">
        <v>234</v>
      </c>
      <c r="H33" t="s">
        <v>223</v>
      </c>
      <c r="I33">
        <v>0</v>
      </c>
      <c r="N33" t="str">
        <f t="shared" si="0"/>
        <v>RCU-R(2p)6</v>
      </c>
      <c r="O33" t="str">
        <f t="shared" si="1"/>
        <v>R1</v>
      </c>
      <c r="P33" t="str">
        <f t="shared" si="2"/>
        <v>bar20 - ari</v>
      </c>
      <c r="Q33">
        <f t="shared" si="3"/>
        <v>7</v>
      </c>
    </row>
    <row r="34" spans="2:17" x14ac:dyDescent="0.25">
      <c r="B34" t="s">
        <v>219</v>
      </c>
      <c r="C34" t="s">
        <v>235</v>
      </c>
      <c r="D34" t="s">
        <v>220</v>
      </c>
      <c r="E34" t="s">
        <v>171</v>
      </c>
      <c r="F34" t="s">
        <v>221</v>
      </c>
      <c r="G34" t="s">
        <v>234</v>
      </c>
      <c r="H34" t="s">
        <v>223</v>
      </c>
      <c r="I34">
        <v>0</v>
      </c>
      <c r="N34" t="str">
        <f t="shared" si="0"/>
        <v>BEF-R01-</v>
      </c>
      <c r="O34" t="str">
        <f t="shared" si="1"/>
        <v>R1</v>
      </c>
      <c r="P34" t="str">
        <f t="shared" si="2"/>
        <v>None</v>
      </c>
      <c r="Q34">
        <f t="shared" si="3"/>
        <v>0</v>
      </c>
    </row>
    <row r="35" spans="2:17" x14ac:dyDescent="0.25">
      <c r="B35" t="s">
        <v>219</v>
      </c>
      <c r="C35" t="s">
        <v>236</v>
      </c>
      <c r="D35" t="s">
        <v>220</v>
      </c>
      <c r="E35" t="s">
        <v>171</v>
      </c>
      <c r="F35" t="s">
        <v>221</v>
      </c>
      <c r="G35" t="s">
        <v>230</v>
      </c>
      <c r="H35" t="s">
        <v>223</v>
      </c>
      <c r="I35">
        <v>4</v>
      </c>
      <c r="N35" t="str">
        <f t="shared" si="0"/>
        <v>BEF-R02-</v>
      </c>
      <c r="O35" t="str">
        <f t="shared" si="1"/>
        <v>R1</v>
      </c>
      <c r="P35" t="str">
        <f t="shared" si="2"/>
        <v>None</v>
      </c>
      <c r="Q35">
        <f t="shared" si="3"/>
        <v>0</v>
      </c>
    </row>
    <row r="36" spans="2:17" x14ac:dyDescent="0.25">
      <c r="B36" t="s">
        <v>219</v>
      </c>
      <c r="C36" t="s">
        <v>237</v>
      </c>
      <c r="D36" t="s">
        <v>220</v>
      </c>
      <c r="E36" t="s">
        <v>171</v>
      </c>
      <c r="F36" t="s">
        <v>221</v>
      </c>
      <c r="G36" t="s">
        <v>230</v>
      </c>
      <c r="H36" t="s">
        <v>223</v>
      </c>
      <c r="I36">
        <v>5</v>
      </c>
      <c r="N36" t="str">
        <f t="shared" si="0"/>
        <v>BEF-R03-</v>
      </c>
      <c r="O36" t="str">
        <f t="shared" si="1"/>
        <v>R1</v>
      </c>
      <c r="P36" t="str">
        <f t="shared" si="2"/>
        <v>bar22 - ari</v>
      </c>
      <c r="Q36">
        <f t="shared" si="3"/>
        <v>4</v>
      </c>
    </row>
    <row r="37" spans="2:17" x14ac:dyDescent="0.25">
      <c r="B37" t="s">
        <v>219</v>
      </c>
      <c r="C37" t="s">
        <v>238</v>
      </c>
      <c r="D37" t="s">
        <v>220</v>
      </c>
      <c r="E37" t="s">
        <v>171</v>
      </c>
      <c r="F37" t="s">
        <v>221</v>
      </c>
      <c r="G37" t="s">
        <v>234</v>
      </c>
      <c r="H37" t="s">
        <v>223</v>
      </c>
      <c r="I37">
        <v>0</v>
      </c>
      <c r="N37" t="str">
        <f t="shared" si="0"/>
        <v>BEF-R04-</v>
      </c>
      <c r="O37" t="str">
        <f t="shared" si="1"/>
        <v>R1</v>
      </c>
      <c r="P37" t="str">
        <f t="shared" si="2"/>
        <v>bar22 - ari</v>
      </c>
      <c r="Q37">
        <f t="shared" si="3"/>
        <v>5</v>
      </c>
    </row>
    <row r="38" spans="2:17" x14ac:dyDescent="0.25">
      <c r="B38" t="s">
        <v>219</v>
      </c>
      <c r="C38" t="s">
        <v>239</v>
      </c>
      <c r="D38" t="s">
        <v>220</v>
      </c>
      <c r="E38" t="s">
        <v>171</v>
      </c>
      <c r="F38" t="s">
        <v>221</v>
      </c>
      <c r="G38" t="s">
        <v>234</v>
      </c>
      <c r="H38" t="s">
        <v>223</v>
      </c>
      <c r="I38">
        <v>0</v>
      </c>
      <c r="N38" t="str">
        <f t="shared" si="0"/>
        <v>BEF-R05-</v>
      </c>
      <c r="O38" t="str">
        <f t="shared" si="1"/>
        <v>R1</v>
      </c>
      <c r="P38" t="str">
        <f t="shared" si="2"/>
        <v>None</v>
      </c>
      <c r="Q38">
        <f t="shared" si="3"/>
        <v>0</v>
      </c>
    </row>
    <row r="39" spans="2:17" x14ac:dyDescent="0.25">
      <c r="B39" t="s">
        <v>219</v>
      </c>
      <c r="C39" t="s">
        <v>240</v>
      </c>
      <c r="D39" t="s">
        <v>220</v>
      </c>
      <c r="E39" t="s">
        <v>171</v>
      </c>
      <c r="F39" t="s">
        <v>221</v>
      </c>
      <c r="G39" t="s">
        <v>234</v>
      </c>
      <c r="H39" t="s">
        <v>223</v>
      </c>
      <c r="I39">
        <v>0</v>
      </c>
      <c r="N39" t="str">
        <f t="shared" si="0"/>
        <v>BEF-R06-</v>
      </c>
      <c r="O39" t="str">
        <f t="shared" si="1"/>
        <v>R1</v>
      </c>
      <c r="P39" t="str">
        <f t="shared" si="2"/>
        <v>None</v>
      </c>
      <c r="Q39">
        <f t="shared" si="3"/>
        <v>0</v>
      </c>
    </row>
    <row r="40" spans="2:17" x14ac:dyDescent="0.25">
      <c r="B40" t="s">
        <v>219</v>
      </c>
      <c r="C40" t="s">
        <v>241</v>
      </c>
      <c r="D40" t="s">
        <v>220</v>
      </c>
      <c r="E40" t="s">
        <v>171</v>
      </c>
      <c r="F40" t="s">
        <v>221</v>
      </c>
      <c r="G40" t="s">
        <v>231</v>
      </c>
      <c r="H40" t="s">
        <v>223</v>
      </c>
      <c r="I40">
        <v>1</v>
      </c>
      <c r="N40" t="str">
        <f t="shared" si="0"/>
        <v>BEF-R07-</v>
      </c>
      <c r="O40" t="str">
        <f t="shared" si="1"/>
        <v>R1</v>
      </c>
      <c r="P40" t="str">
        <f t="shared" si="2"/>
        <v>None</v>
      </c>
      <c r="Q40">
        <f t="shared" si="3"/>
        <v>0</v>
      </c>
    </row>
    <row r="41" spans="2:17" x14ac:dyDescent="0.25">
      <c r="B41" t="s">
        <v>219</v>
      </c>
      <c r="C41" t="s">
        <v>242</v>
      </c>
      <c r="D41" t="s">
        <v>220</v>
      </c>
      <c r="E41" t="s">
        <v>171</v>
      </c>
      <c r="F41" t="s">
        <v>221</v>
      </c>
      <c r="G41" t="s">
        <v>231</v>
      </c>
      <c r="H41" t="s">
        <v>223</v>
      </c>
      <c r="I41">
        <v>1</v>
      </c>
      <c r="N41" t="str">
        <f t="shared" si="0"/>
        <v>BEF-R08-</v>
      </c>
      <c r="O41" t="str">
        <f t="shared" si="1"/>
        <v>R1</v>
      </c>
      <c r="P41" t="str">
        <f t="shared" si="2"/>
        <v>bar2 - ari</v>
      </c>
      <c r="Q41">
        <f t="shared" si="3"/>
        <v>1</v>
      </c>
    </row>
    <row r="42" spans="2:17" x14ac:dyDescent="0.25">
      <c r="B42" t="s">
        <v>219</v>
      </c>
      <c r="C42" t="s">
        <v>243</v>
      </c>
      <c r="D42" t="s">
        <v>220</v>
      </c>
      <c r="E42" t="s">
        <v>171</v>
      </c>
      <c r="F42" t="s">
        <v>221</v>
      </c>
      <c r="G42" t="s">
        <v>230</v>
      </c>
      <c r="H42" t="s">
        <v>223</v>
      </c>
      <c r="I42">
        <v>7</v>
      </c>
      <c r="N42" t="str">
        <f t="shared" si="0"/>
        <v>BEF-R09-</v>
      </c>
      <c r="O42" t="str">
        <f t="shared" si="1"/>
        <v>R1</v>
      </c>
      <c r="P42" t="str">
        <f t="shared" si="2"/>
        <v>bar2 - ari</v>
      </c>
      <c r="Q42">
        <f t="shared" si="3"/>
        <v>1</v>
      </c>
    </row>
    <row r="43" spans="2:17" x14ac:dyDescent="0.25">
      <c r="B43" t="s">
        <v>219</v>
      </c>
      <c r="C43" t="s">
        <v>244</v>
      </c>
      <c r="D43" t="s">
        <v>220</v>
      </c>
      <c r="E43" t="s">
        <v>171</v>
      </c>
      <c r="F43" t="s">
        <v>221</v>
      </c>
      <c r="G43" t="s">
        <v>230</v>
      </c>
      <c r="H43" t="s">
        <v>223</v>
      </c>
      <c r="I43">
        <v>7</v>
      </c>
      <c r="N43" t="str">
        <f t="shared" si="0"/>
        <v>BEF-R10-</v>
      </c>
      <c r="O43" t="str">
        <f t="shared" si="1"/>
        <v>R1</v>
      </c>
      <c r="P43" t="str">
        <f t="shared" si="2"/>
        <v>bar22 - ari</v>
      </c>
      <c r="Q43">
        <f t="shared" si="3"/>
        <v>7</v>
      </c>
    </row>
    <row r="44" spans="2:17" x14ac:dyDescent="0.25">
      <c r="B44" t="s">
        <v>219</v>
      </c>
      <c r="C44" t="s">
        <v>245</v>
      </c>
      <c r="D44" t="s">
        <v>220</v>
      </c>
      <c r="E44" t="s">
        <v>171</v>
      </c>
      <c r="F44" t="s">
        <v>221</v>
      </c>
      <c r="G44" t="s">
        <v>232</v>
      </c>
      <c r="H44" t="s">
        <v>223</v>
      </c>
      <c r="I44">
        <v>7</v>
      </c>
      <c r="N44" t="str">
        <f t="shared" si="0"/>
        <v>BEF-R11-</v>
      </c>
      <c r="O44" t="str">
        <f t="shared" si="1"/>
        <v>R1</v>
      </c>
      <c r="P44" t="str">
        <f t="shared" si="2"/>
        <v>bar22 - ari</v>
      </c>
      <c r="Q44">
        <f t="shared" si="3"/>
        <v>7</v>
      </c>
    </row>
    <row r="45" spans="2:17" x14ac:dyDescent="0.25">
      <c r="B45" t="s">
        <v>219</v>
      </c>
      <c r="C45" t="s">
        <v>246</v>
      </c>
      <c r="D45" t="s">
        <v>220</v>
      </c>
      <c r="E45" t="s">
        <v>171</v>
      </c>
      <c r="F45" t="s">
        <v>221</v>
      </c>
      <c r="G45" t="s">
        <v>232</v>
      </c>
      <c r="H45" t="s">
        <v>223</v>
      </c>
      <c r="I45">
        <v>5</v>
      </c>
      <c r="N45" t="str">
        <f t="shared" si="0"/>
        <v>BEF-R12-</v>
      </c>
      <c r="O45" t="str">
        <f t="shared" si="1"/>
        <v>R1</v>
      </c>
      <c r="P45" t="str">
        <f t="shared" si="2"/>
        <v>bar20 - ari</v>
      </c>
      <c r="Q45">
        <f t="shared" si="3"/>
        <v>7</v>
      </c>
    </row>
    <row r="46" spans="2:17" x14ac:dyDescent="0.25">
      <c r="B46" t="s">
        <v>219</v>
      </c>
      <c r="C46" t="s">
        <v>247</v>
      </c>
      <c r="D46" t="s">
        <v>220</v>
      </c>
      <c r="E46" t="s">
        <v>171</v>
      </c>
      <c r="F46" t="s">
        <v>221</v>
      </c>
      <c r="G46" t="s">
        <v>248</v>
      </c>
      <c r="H46" t="s">
        <v>223</v>
      </c>
      <c r="I46">
        <v>2</v>
      </c>
      <c r="N46" t="str">
        <f t="shared" si="0"/>
        <v>BEF-R13-</v>
      </c>
      <c r="O46" t="str">
        <f t="shared" si="1"/>
        <v>R1</v>
      </c>
      <c r="P46" t="str">
        <f t="shared" si="2"/>
        <v>bar20 - ari</v>
      </c>
      <c r="Q46">
        <f t="shared" si="3"/>
        <v>5</v>
      </c>
    </row>
    <row r="47" spans="2:17" x14ac:dyDescent="0.25">
      <c r="B47" t="s">
        <v>219</v>
      </c>
      <c r="C47" t="s">
        <v>249</v>
      </c>
      <c r="D47" t="s">
        <v>220</v>
      </c>
      <c r="E47" t="s">
        <v>171</v>
      </c>
      <c r="F47" t="s">
        <v>221</v>
      </c>
      <c r="G47" t="s">
        <v>234</v>
      </c>
      <c r="H47" t="s">
        <v>223</v>
      </c>
      <c r="I47">
        <v>0</v>
      </c>
      <c r="N47" t="str">
        <f t="shared" si="0"/>
        <v>BEF-R14-</v>
      </c>
      <c r="O47" t="str">
        <f t="shared" si="1"/>
        <v>R1</v>
      </c>
      <c r="P47" t="str">
        <f t="shared" si="2"/>
        <v>bar18 - ari</v>
      </c>
      <c r="Q47">
        <f t="shared" si="3"/>
        <v>2</v>
      </c>
    </row>
    <row r="48" spans="2:17" x14ac:dyDescent="0.25">
      <c r="B48" t="s">
        <v>219</v>
      </c>
      <c r="C48" t="s">
        <v>250</v>
      </c>
      <c r="D48" t="s">
        <v>220</v>
      </c>
      <c r="E48" t="s">
        <v>171</v>
      </c>
      <c r="F48" t="s">
        <v>221</v>
      </c>
      <c r="G48" t="s">
        <v>232</v>
      </c>
      <c r="H48" t="s">
        <v>223</v>
      </c>
      <c r="I48">
        <v>7</v>
      </c>
      <c r="N48" t="str">
        <f t="shared" si="0"/>
        <v>BEF-R15-</v>
      </c>
      <c r="O48" t="str">
        <f t="shared" si="1"/>
        <v>R1</v>
      </c>
      <c r="P48" t="str">
        <f t="shared" si="2"/>
        <v>None</v>
      </c>
      <c r="Q48">
        <f t="shared" si="3"/>
        <v>0</v>
      </c>
    </row>
    <row r="49" spans="2:17" x14ac:dyDescent="0.25">
      <c r="B49" t="s">
        <v>208</v>
      </c>
      <c r="C49" t="s">
        <v>209</v>
      </c>
      <c r="D49" t="s">
        <v>210</v>
      </c>
      <c r="N49" t="str">
        <f t="shared" si="0"/>
        <v>BEF-R16-</v>
      </c>
      <c r="O49" t="str">
        <f t="shared" si="1"/>
        <v>R1</v>
      </c>
      <c r="P49" t="str">
        <f t="shared" si="2"/>
        <v>bar20 - ari</v>
      </c>
      <c r="Q49">
        <f t="shared" si="3"/>
        <v>7</v>
      </c>
    </row>
    <row r="50" spans="2:17" x14ac:dyDescent="0.25">
      <c r="B50" t="s">
        <v>219</v>
      </c>
      <c r="C50" t="s">
        <v>113</v>
      </c>
      <c r="D50" t="s">
        <v>220</v>
      </c>
      <c r="E50" t="s">
        <v>28</v>
      </c>
      <c r="F50" t="s">
        <v>221</v>
      </c>
      <c r="G50" t="s">
        <v>251</v>
      </c>
      <c r="H50" t="s">
        <v>223</v>
      </c>
      <c r="I50">
        <v>16.899999999999999</v>
      </c>
      <c r="N50" s="77" t="str">
        <f t="shared" si="0"/>
        <v xml:space="preserve"> y: 52.77</v>
      </c>
      <c r="O50">
        <f t="shared" si="1"/>
        <v>0</v>
      </c>
      <c r="P50">
        <f t="shared" si="2"/>
        <v>0</v>
      </c>
      <c r="Q50">
        <f t="shared" si="3"/>
        <v>0</v>
      </c>
    </row>
    <row r="51" spans="2:17" x14ac:dyDescent="0.25">
      <c r="B51" t="s">
        <v>219</v>
      </c>
      <c r="C51" t="s">
        <v>117</v>
      </c>
      <c r="D51" t="s">
        <v>220</v>
      </c>
      <c r="E51" t="s">
        <v>28</v>
      </c>
      <c r="F51" t="s">
        <v>221</v>
      </c>
      <c r="G51" t="s">
        <v>251</v>
      </c>
      <c r="H51" t="s">
        <v>223</v>
      </c>
      <c r="I51">
        <v>17.600000000000001</v>
      </c>
      <c r="N51" t="str">
        <f t="shared" si="0"/>
        <v>MAU-R1</v>
      </c>
      <c r="O51" t="str">
        <f t="shared" si="1"/>
        <v>R2</v>
      </c>
      <c r="P51" t="str">
        <f t="shared" si="2"/>
        <v>bar1 - OB_fresnel</v>
      </c>
      <c r="Q51">
        <f t="shared" si="3"/>
        <v>16.899999999999999</v>
      </c>
    </row>
    <row r="52" spans="2:17" x14ac:dyDescent="0.25">
      <c r="B52" t="s">
        <v>219</v>
      </c>
      <c r="C52" t="s">
        <v>225</v>
      </c>
      <c r="D52" t="s">
        <v>220</v>
      </c>
      <c r="E52" t="s">
        <v>28</v>
      </c>
      <c r="F52" t="s">
        <v>221</v>
      </c>
      <c r="G52" t="s">
        <v>226</v>
      </c>
      <c r="H52" t="s">
        <v>223</v>
      </c>
      <c r="I52">
        <v>15.9</v>
      </c>
      <c r="N52" t="str">
        <f t="shared" si="0"/>
        <v>ERV-R.1</v>
      </c>
      <c r="O52" t="str">
        <f t="shared" si="1"/>
        <v>R2</v>
      </c>
      <c r="P52" t="str">
        <f t="shared" si="2"/>
        <v>bar1 - OB_fresnel</v>
      </c>
      <c r="Q52">
        <f t="shared" si="3"/>
        <v>17.600000000000001</v>
      </c>
    </row>
    <row r="53" spans="2:17" x14ac:dyDescent="0.25">
      <c r="B53" t="s">
        <v>219</v>
      </c>
      <c r="C53" t="s">
        <v>227</v>
      </c>
      <c r="D53" t="s">
        <v>220</v>
      </c>
      <c r="E53" t="s">
        <v>28</v>
      </c>
      <c r="F53" t="s">
        <v>221</v>
      </c>
      <c r="G53" t="s">
        <v>251</v>
      </c>
      <c r="H53" t="s">
        <v>223</v>
      </c>
      <c r="I53">
        <v>15.3</v>
      </c>
      <c r="N53" t="str">
        <f t="shared" si="0"/>
        <v>GEF-R1-</v>
      </c>
      <c r="O53" t="str">
        <f t="shared" si="1"/>
        <v>R2</v>
      </c>
      <c r="P53" t="str">
        <f t="shared" si="2"/>
        <v>bar2 - OB_fresnel</v>
      </c>
      <c r="Q53">
        <f t="shared" si="3"/>
        <v>15.9</v>
      </c>
    </row>
    <row r="54" spans="2:17" x14ac:dyDescent="0.25">
      <c r="B54" t="s">
        <v>219</v>
      </c>
      <c r="C54" t="s">
        <v>228</v>
      </c>
      <c r="D54" t="s">
        <v>220</v>
      </c>
      <c r="E54" t="s">
        <v>28</v>
      </c>
      <c r="F54" t="s">
        <v>221</v>
      </c>
      <c r="G54" t="s">
        <v>251</v>
      </c>
      <c r="H54" t="s">
        <v>223</v>
      </c>
      <c r="I54">
        <v>15.4</v>
      </c>
      <c r="N54" t="str">
        <f t="shared" si="0"/>
        <v>DEF-R1</v>
      </c>
      <c r="O54" t="str">
        <f>D53</f>
        <v xml:space="preserve"> rcvr: </v>
      </c>
      <c r="P54" t="str">
        <f>F53</f>
        <v xml:space="preserve"> bar: </v>
      </c>
      <c r="Q54">
        <f t="shared" si="3"/>
        <v>15.3</v>
      </c>
    </row>
    <row r="55" spans="2:17" x14ac:dyDescent="0.25">
      <c r="B55" t="s">
        <v>219</v>
      </c>
      <c r="C55" t="s">
        <v>129</v>
      </c>
      <c r="D55" t="s">
        <v>220</v>
      </c>
      <c r="E55" t="s">
        <v>28</v>
      </c>
      <c r="F55" t="s">
        <v>221</v>
      </c>
      <c r="G55" t="s">
        <v>251</v>
      </c>
      <c r="H55" t="s">
        <v>223</v>
      </c>
      <c r="I55">
        <v>16.100000000000001</v>
      </c>
      <c r="N55" t="str">
        <f t="shared" si="0"/>
        <v>KEF-R1-</v>
      </c>
      <c r="O55" t="str">
        <f t="shared" si="1"/>
        <v>R2</v>
      </c>
      <c r="P55" t="str">
        <f t="shared" si="2"/>
        <v>bar1 - OB_fresnel</v>
      </c>
      <c r="Q55">
        <f t="shared" si="3"/>
        <v>15.4</v>
      </c>
    </row>
    <row r="56" spans="2:17" x14ac:dyDescent="0.25">
      <c r="B56" t="s">
        <v>219</v>
      </c>
      <c r="C56" t="s">
        <v>131</v>
      </c>
      <c r="D56" t="s">
        <v>220</v>
      </c>
      <c r="E56" t="s">
        <v>28</v>
      </c>
      <c r="F56" t="s">
        <v>221</v>
      </c>
      <c r="G56" t="s">
        <v>252</v>
      </c>
      <c r="H56" t="s">
        <v>223</v>
      </c>
      <c r="I56">
        <v>8</v>
      </c>
      <c r="N56" t="str">
        <f t="shared" si="0"/>
        <v>DWEF-R1</v>
      </c>
      <c r="O56" t="str">
        <f t="shared" si="1"/>
        <v>R2</v>
      </c>
      <c r="P56" t="str">
        <f t="shared" si="2"/>
        <v>bar1 - OB_fresnel</v>
      </c>
      <c r="Q56">
        <f t="shared" si="3"/>
        <v>16.100000000000001</v>
      </c>
    </row>
    <row r="57" spans="2:17" x14ac:dyDescent="0.25">
      <c r="B57" t="s">
        <v>219</v>
      </c>
      <c r="C57" t="s">
        <v>134</v>
      </c>
      <c r="D57" t="s">
        <v>220</v>
      </c>
      <c r="E57" t="s">
        <v>28</v>
      </c>
      <c r="F57" t="s">
        <v>221</v>
      </c>
      <c r="G57" t="s">
        <v>252</v>
      </c>
      <c r="H57" t="s">
        <v>223</v>
      </c>
      <c r="I57">
        <v>10</v>
      </c>
      <c r="N57" t="str">
        <f t="shared" si="0"/>
        <v>CU-R1</v>
      </c>
      <c r="O57" t="str">
        <f t="shared" si="1"/>
        <v>R2</v>
      </c>
      <c r="P57" t="str">
        <f t="shared" si="2"/>
        <v>bar1 - ari</v>
      </c>
      <c r="Q57">
        <f t="shared" si="3"/>
        <v>8</v>
      </c>
    </row>
    <row r="58" spans="2:17" x14ac:dyDescent="0.25">
      <c r="B58" t="s">
        <v>219</v>
      </c>
      <c r="C58" t="s">
        <v>136</v>
      </c>
      <c r="D58" t="s">
        <v>220</v>
      </c>
      <c r="E58" t="s">
        <v>28</v>
      </c>
      <c r="F58" t="s">
        <v>221</v>
      </c>
      <c r="G58" t="s">
        <v>252</v>
      </c>
      <c r="H58" t="s">
        <v>223</v>
      </c>
      <c r="I58">
        <v>10</v>
      </c>
      <c r="N58" t="str">
        <f t="shared" si="0"/>
        <v>CU-R2</v>
      </c>
      <c r="O58" t="str">
        <f t="shared" si="1"/>
        <v>R2</v>
      </c>
      <c r="P58" t="str">
        <f t="shared" si="2"/>
        <v>bar1 - ari</v>
      </c>
      <c r="Q58">
        <f t="shared" si="3"/>
        <v>10</v>
      </c>
    </row>
    <row r="59" spans="2:17" x14ac:dyDescent="0.25">
      <c r="B59" t="s">
        <v>219</v>
      </c>
      <c r="C59" t="s">
        <v>138</v>
      </c>
      <c r="D59" t="s">
        <v>220</v>
      </c>
      <c r="E59" t="s">
        <v>28</v>
      </c>
      <c r="F59" t="s">
        <v>221</v>
      </c>
      <c r="G59" t="s">
        <v>252</v>
      </c>
      <c r="H59" t="s">
        <v>223</v>
      </c>
      <c r="I59">
        <v>8</v>
      </c>
      <c r="N59" t="str">
        <f t="shared" si="0"/>
        <v>CU-R4</v>
      </c>
      <c r="O59" t="str">
        <f t="shared" si="1"/>
        <v>R2</v>
      </c>
      <c r="P59" t="str">
        <f t="shared" si="2"/>
        <v>bar1 - ari</v>
      </c>
      <c r="Q59">
        <f t="shared" si="3"/>
        <v>10</v>
      </c>
    </row>
    <row r="60" spans="2:17" x14ac:dyDescent="0.25">
      <c r="B60" t="s">
        <v>219</v>
      </c>
      <c r="C60" t="s">
        <v>175</v>
      </c>
      <c r="D60" t="s">
        <v>220</v>
      </c>
      <c r="E60" t="s">
        <v>28</v>
      </c>
      <c r="F60" t="s">
        <v>221</v>
      </c>
      <c r="G60" t="s">
        <v>231</v>
      </c>
      <c r="H60" t="s">
        <v>223</v>
      </c>
      <c r="I60">
        <v>13</v>
      </c>
      <c r="N60" t="str">
        <f t="shared" si="0"/>
        <v>CU-R5</v>
      </c>
      <c r="O60" t="str">
        <f t="shared" si="1"/>
        <v>R2</v>
      </c>
      <c r="P60" t="str">
        <f t="shared" si="2"/>
        <v>bar1 - ari</v>
      </c>
      <c r="Q60">
        <f t="shared" si="3"/>
        <v>8</v>
      </c>
    </row>
    <row r="61" spans="2:17" x14ac:dyDescent="0.25">
      <c r="B61" t="s">
        <v>219</v>
      </c>
      <c r="C61" t="s">
        <v>176</v>
      </c>
      <c r="D61" t="s">
        <v>220</v>
      </c>
      <c r="E61" t="s">
        <v>28</v>
      </c>
      <c r="F61" t="s">
        <v>221</v>
      </c>
      <c r="G61" t="s">
        <v>252</v>
      </c>
      <c r="H61" t="s">
        <v>223</v>
      </c>
      <c r="I61">
        <v>14</v>
      </c>
      <c r="N61" t="str">
        <f t="shared" si="0"/>
        <v>RCU-R(4p)1</v>
      </c>
      <c r="O61" t="str">
        <f t="shared" si="1"/>
        <v>R2</v>
      </c>
      <c r="P61" t="str">
        <f t="shared" si="2"/>
        <v>bar2 - ari</v>
      </c>
      <c r="Q61">
        <f t="shared" si="3"/>
        <v>13</v>
      </c>
    </row>
    <row r="62" spans="2:17" x14ac:dyDescent="0.25">
      <c r="B62" t="s">
        <v>219</v>
      </c>
      <c r="C62" t="s">
        <v>177</v>
      </c>
      <c r="D62" t="s">
        <v>220</v>
      </c>
      <c r="E62" t="s">
        <v>28</v>
      </c>
      <c r="F62" t="s">
        <v>221</v>
      </c>
      <c r="G62" t="s">
        <v>252</v>
      </c>
      <c r="H62" t="s">
        <v>223</v>
      </c>
      <c r="I62">
        <v>8</v>
      </c>
      <c r="N62" t="str">
        <f t="shared" si="0"/>
        <v>RCU-R(4p)2</v>
      </c>
      <c r="O62" t="str">
        <f t="shared" si="1"/>
        <v>R2</v>
      </c>
      <c r="P62" t="str">
        <f t="shared" si="2"/>
        <v>bar1 - ari</v>
      </c>
      <c r="Q62">
        <f t="shared" si="3"/>
        <v>14</v>
      </c>
    </row>
    <row r="63" spans="2:17" x14ac:dyDescent="0.25">
      <c r="B63" t="s">
        <v>219</v>
      </c>
      <c r="C63" t="s">
        <v>144</v>
      </c>
      <c r="D63" t="s">
        <v>220</v>
      </c>
      <c r="E63" t="s">
        <v>28</v>
      </c>
      <c r="F63" t="s">
        <v>221</v>
      </c>
      <c r="G63" t="s">
        <v>252</v>
      </c>
      <c r="H63" t="s">
        <v>223</v>
      </c>
      <c r="I63">
        <v>8</v>
      </c>
      <c r="N63" t="str">
        <f t="shared" si="0"/>
        <v>RCU-R(4p)3</v>
      </c>
      <c r="O63" t="str">
        <f t="shared" si="1"/>
        <v>R2</v>
      </c>
      <c r="P63" t="str">
        <f t="shared" si="2"/>
        <v>bar1 - ari</v>
      </c>
      <c r="Q63">
        <f t="shared" si="3"/>
        <v>8</v>
      </c>
    </row>
    <row r="64" spans="2:17" x14ac:dyDescent="0.25">
      <c r="B64" t="s">
        <v>219</v>
      </c>
      <c r="C64" t="s">
        <v>179</v>
      </c>
      <c r="D64" t="s">
        <v>220</v>
      </c>
      <c r="E64" t="s">
        <v>28</v>
      </c>
      <c r="F64" t="s">
        <v>221</v>
      </c>
      <c r="G64" t="s">
        <v>252</v>
      </c>
      <c r="H64" t="s">
        <v>223</v>
      </c>
      <c r="I64">
        <v>9</v>
      </c>
      <c r="N64" t="str">
        <f t="shared" si="0"/>
        <v>RCU-R(2p)</v>
      </c>
      <c r="O64" t="str">
        <f t="shared" si="1"/>
        <v>R2</v>
      </c>
      <c r="P64" t="str">
        <f t="shared" si="2"/>
        <v>bar1 - ari</v>
      </c>
      <c r="Q64">
        <f t="shared" si="3"/>
        <v>8</v>
      </c>
    </row>
    <row r="65" spans="2:17" x14ac:dyDescent="0.25">
      <c r="B65" t="s">
        <v>219</v>
      </c>
      <c r="C65" t="s">
        <v>178</v>
      </c>
      <c r="D65" t="s">
        <v>220</v>
      </c>
      <c r="E65" t="s">
        <v>28</v>
      </c>
      <c r="F65" t="s">
        <v>221</v>
      </c>
      <c r="G65" t="s">
        <v>252</v>
      </c>
      <c r="H65" t="s">
        <v>223</v>
      </c>
      <c r="I65">
        <v>10</v>
      </c>
      <c r="N65" t="str">
        <f t="shared" si="0"/>
        <v>RCU-R(2p)1</v>
      </c>
      <c r="O65" t="str">
        <f t="shared" si="1"/>
        <v>R2</v>
      </c>
      <c r="P65" t="str">
        <f t="shared" si="2"/>
        <v>bar1 - ari</v>
      </c>
      <c r="Q65">
        <f t="shared" si="3"/>
        <v>9</v>
      </c>
    </row>
    <row r="66" spans="2:17" x14ac:dyDescent="0.25">
      <c r="B66" t="s">
        <v>219</v>
      </c>
      <c r="C66" t="s">
        <v>180</v>
      </c>
      <c r="D66" t="s">
        <v>220</v>
      </c>
      <c r="E66" t="s">
        <v>28</v>
      </c>
      <c r="F66" t="s">
        <v>221</v>
      </c>
      <c r="G66" t="s">
        <v>252</v>
      </c>
      <c r="H66" t="s">
        <v>223</v>
      </c>
      <c r="I66">
        <v>14</v>
      </c>
      <c r="N66" t="str">
        <f t="shared" si="0"/>
        <v>RCU-R(4p)4</v>
      </c>
      <c r="O66" t="str">
        <f t="shared" si="1"/>
        <v>R2</v>
      </c>
      <c r="P66" t="str">
        <f t="shared" si="2"/>
        <v>bar1 - ari</v>
      </c>
      <c r="Q66">
        <f t="shared" si="3"/>
        <v>10</v>
      </c>
    </row>
    <row r="67" spans="2:17" x14ac:dyDescent="0.25">
      <c r="B67" t="s">
        <v>219</v>
      </c>
      <c r="C67" t="s">
        <v>181</v>
      </c>
      <c r="D67" t="s">
        <v>220</v>
      </c>
      <c r="E67" t="s">
        <v>28</v>
      </c>
      <c r="F67" t="s">
        <v>221</v>
      </c>
      <c r="G67" t="s">
        <v>252</v>
      </c>
      <c r="H67" t="s">
        <v>223</v>
      </c>
      <c r="I67">
        <v>15</v>
      </c>
      <c r="N67" t="str">
        <f t="shared" si="0"/>
        <v>RCU-R(2p)2</v>
      </c>
      <c r="O67" t="str">
        <f t="shared" si="1"/>
        <v>R2</v>
      </c>
      <c r="P67" t="str">
        <f t="shared" si="2"/>
        <v>bar1 - ari</v>
      </c>
      <c r="Q67">
        <f t="shared" si="3"/>
        <v>14</v>
      </c>
    </row>
    <row r="68" spans="2:17" x14ac:dyDescent="0.25">
      <c r="B68" t="s">
        <v>219</v>
      </c>
      <c r="C68" t="s">
        <v>182</v>
      </c>
      <c r="D68" t="s">
        <v>220</v>
      </c>
      <c r="E68" t="s">
        <v>28</v>
      </c>
      <c r="F68" t="s">
        <v>221</v>
      </c>
      <c r="G68" t="s">
        <v>252</v>
      </c>
      <c r="H68" t="s">
        <v>223</v>
      </c>
      <c r="I68">
        <v>15</v>
      </c>
      <c r="N68" t="str">
        <f t="shared" ref="N68:N131" si="4">C67</f>
        <v>RCU-R(2p)3</v>
      </c>
      <c r="O68" t="str">
        <f t="shared" ref="O68:O131" si="5">E67</f>
        <v>R2</v>
      </c>
      <c r="P68" t="str">
        <f t="shared" ref="P68:P131" si="6">G67</f>
        <v>bar1 - ari</v>
      </c>
      <c r="Q68">
        <f t="shared" ref="Q68:Q131" si="7">I67</f>
        <v>15</v>
      </c>
    </row>
    <row r="69" spans="2:17" x14ac:dyDescent="0.25">
      <c r="B69" t="s">
        <v>219</v>
      </c>
      <c r="C69" t="s">
        <v>183</v>
      </c>
      <c r="D69" t="s">
        <v>220</v>
      </c>
      <c r="E69" t="s">
        <v>28</v>
      </c>
      <c r="F69" t="s">
        <v>221</v>
      </c>
      <c r="G69" t="s">
        <v>252</v>
      </c>
      <c r="H69" t="s">
        <v>223</v>
      </c>
      <c r="I69">
        <v>15</v>
      </c>
      <c r="N69" t="str">
        <f t="shared" si="4"/>
        <v>RCU-R(2p)4</v>
      </c>
      <c r="O69" t="str">
        <f t="shared" si="5"/>
        <v>R2</v>
      </c>
      <c r="P69" t="str">
        <f t="shared" si="6"/>
        <v>bar1 - ari</v>
      </c>
      <c r="Q69">
        <f t="shared" si="7"/>
        <v>15</v>
      </c>
    </row>
    <row r="70" spans="2:17" x14ac:dyDescent="0.25">
      <c r="B70" t="s">
        <v>219</v>
      </c>
      <c r="C70" t="s">
        <v>184</v>
      </c>
      <c r="D70" t="s">
        <v>220</v>
      </c>
      <c r="E70" t="s">
        <v>28</v>
      </c>
      <c r="F70" t="s">
        <v>221</v>
      </c>
      <c r="G70" t="s">
        <v>252</v>
      </c>
      <c r="H70" t="s">
        <v>223</v>
      </c>
      <c r="I70">
        <v>15</v>
      </c>
      <c r="N70" t="str">
        <f t="shared" si="4"/>
        <v>RCU-R(2p)5</v>
      </c>
      <c r="O70" t="str">
        <f t="shared" si="5"/>
        <v>R2</v>
      </c>
      <c r="P70" t="str">
        <f t="shared" si="6"/>
        <v>bar1 - ari</v>
      </c>
      <c r="Q70">
        <f t="shared" si="7"/>
        <v>15</v>
      </c>
    </row>
    <row r="71" spans="2:17" x14ac:dyDescent="0.25">
      <c r="B71" t="s">
        <v>219</v>
      </c>
      <c r="C71" t="s">
        <v>233</v>
      </c>
      <c r="D71" t="s">
        <v>220</v>
      </c>
      <c r="E71" t="s">
        <v>28</v>
      </c>
      <c r="F71" t="s">
        <v>221</v>
      </c>
      <c r="G71" t="s">
        <v>234</v>
      </c>
      <c r="H71" t="s">
        <v>223</v>
      </c>
      <c r="I71">
        <v>0</v>
      </c>
      <c r="N71" t="str">
        <f t="shared" si="4"/>
        <v>RCU-R(2p)6</v>
      </c>
      <c r="O71" t="str">
        <f t="shared" si="5"/>
        <v>R2</v>
      </c>
      <c r="P71" t="str">
        <f t="shared" si="6"/>
        <v>bar1 - ari</v>
      </c>
      <c r="Q71">
        <f t="shared" si="7"/>
        <v>15</v>
      </c>
    </row>
    <row r="72" spans="2:17" x14ac:dyDescent="0.25">
      <c r="B72" t="s">
        <v>219</v>
      </c>
      <c r="C72" t="s">
        <v>235</v>
      </c>
      <c r="D72" t="s">
        <v>220</v>
      </c>
      <c r="E72" t="s">
        <v>28</v>
      </c>
      <c r="F72" t="s">
        <v>221</v>
      </c>
      <c r="G72" t="s">
        <v>234</v>
      </c>
      <c r="H72" t="s">
        <v>223</v>
      </c>
      <c r="I72">
        <v>0</v>
      </c>
      <c r="N72" t="str">
        <f t="shared" si="4"/>
        <v>BEF-R01-</v>
      </c>
      <c r="O72" t="str">
        <f t="shared" si="5"/>
        <v>R2</v>
      </c>
      <c r="P72" t="str">
        <f t="shared" si="6"/>
        <v>None</v>
      </c>
      <c r="Q72">
        <f t="shared" si="7"/>
        <v>0</v>
      </c>
    </row>
    <row r="73" spans="2:17" x14ac:dyDescent="0.25">
      <c r="B73" t="s">
        <v>219</v>
      </c>
      <c r="C73" t="s">
        <v>236</v>
      </c>
      <c r="D73" t="s">
        <v>220</v>
      </c>
      <c r="E73" t="s">
        <v>28</v>
      </c>
      <c r="F73" t="s">
        <v>221</v>
      </c>
      <c r="G73" t="s">
        <v>252</v>
      </c>
      <c r="H73" t="s">
        <v>223</v>
      </c>
      <c r="I73">
        <v>5</v>
      </c>
      <c r="N73" t="str">
        <f t="shared" si="4"/>
        <v>BEF-R02-</v>
      </c>
      <c r="O73" t="str">
        <f t="shared" si="5"/>
        <v>R2</v>
      </c>
      <c r="P73" t="str">
        <f t="shared" si="6"/>
        <v>None</v>
      </c>
      <c r="Q73">
        <f t="shared" si="7"/>
        <v>0</v>
      </c>
    </row>
    <row r="74" spans="2:17" x14ac:dyDescent="0.25">
      <c r="B74" t="s">
        <v>219</v>
      </c>
      <c r="C74" t="s">
        <v>237</v>
      </c>
      <c r="D74" t="s">
        <v>220</v>
      </c>
      <c r="E74" t="s">
        <v>28</v>
      </c>
      <c r="F74" t="s">
        <v>221</v>
      </c>
      <c r="G74" t="s">
        <v>252</v>
      </c>
      <c r="H74" t="s">
        <v>223</v>
      </c>
      <c r="I74">
        <v>7</v>
      </c>
      <c r="N74" t="str">
        <f t="shared" si="4"/>
        <v>BEF-R03-</v>
      </c>
      <c r="O74" t="str">
        <f t="shared" si="5"/>
        <v>R2</v>
      </c>
      <c r="P74" t="str">
        <f t="shared" si="6"/>
        <v>bar1 - ari</v>
      </c>
      <c r="Q74">
        <f t="shared" si="7"/>
        <v>5</v>
      </c>
    </row>
    <row r="75" spans="2:17" x14ac:dyDescent="0.25">
      <c r="B75" t="s">
        <v>219</v>
      </c>
      <c r="C75" t="s">
        <v>238</v>
      </c>
      <c r="D75" t="s">
        <v>220</v>
      </c>
      <c r="E75" t="s">
        <v>28</v>
      </c>
      <c r="F75" t="s">
        <v>221</v>
      </c>
      <c r="G75" t="s">
        <v>234</v>
      </c>
      <c r="H75" t="s">
        <v>223</v>
      </c>
      <c r="I75">
        <v>0</v>
      </c>
      <c r="N75" t="str">
        <f t="shared" si="4"/>
        <v>BEF-R04-</v>
      </c>
      <c r="O75" t="str">
        <f t="shared" si="5"/>
        <v>R2</v>
      </c>
      <c r="P75" t="str">
        <f t="shared" si="6"/>
        <v>bar1 - ari</v>
      </c>
      <c r="Q75">
        <f t="shared" si="7"/>
        <v>7</v>
      </c>
    </row>
    <row r="76" spans="2:17" x14ac:dyDescent="0.25">
      <c r="B76" t="s">
        <v>219</v>
      </c>
      <c r="C76" t="s">
        <v>239</v>
      </c>
      <c r="D76" t="s">
        <v>220</v>
      </c>
      <c r="E76" t="s">
        <v>28</v>
      </c>
      <c r="F76" t="s">
        <v>221</v>
      </c>
      <c r="G76" t="s">
        <v>234</v>
      </c>
      <c r="H76" t="s">
        <v>223</v>
      </c>
      <c r="I76">
        <v>0</v>
      </c>
      <c r="N76" t="str">
        <f t="shared" si="4"/>
        <v>BEF-R05-</v>
      </c>
      <c r="O76" t="str">
        <f t="shared" si="5"/>
        <v>R2</v>
      </c>
      <c r="P76" t="str">
        <f t="shared" si="6"/>
        <v>None</v>
      </c>
      <c r="Q76">
        <f t="shared" si="7"/>
        <v>0</v>
      </c>
    </row>
    <row r="77" spans="2:17" x14ac:dyDescent="0.25">
      <c r="B77" t="s">
        <v>219</v>
      </c>
      <c r="C77" t="s">
        <v>240</v>
      </c>
      <c r="D77" t="s">
        <v>220</v>
      </c>
      <c r="E77" t="s">
        <v>28</v>
      </c>
      <c r="F77" t="s">
        <v>221</v>
      </c>
      <c r="G77" t="s">
        <v>234</v>
      </c>
      <c r="H77" t="s">
        <v>223</v>
      </c>
      <c r="I77">
        <v>0</v>
      </c>
      <c r="N77" t="str">
        <f t="shared" si="4"/>
        <v>BEF-R06-</v>
      </c>
      <c r="O77" t="str">
        <f t="shared" si="5"/>
        <v>R2</v>
      </c>
      <c r="P77" t="str">
        <f t="shared" si="6"/>
        <v>None</v>
      </c>
      <c r="Q77">
        <f t="shared" si="7"/>
        <v>0</v>
      </c>
    </row>
    <row r="78" spans="2:17" x14ac:dyDescent="0.25">
      <c r="B78" t="s">
        <v>219</v>
      </c>
      <c r="C78" t="s">
        <v>241</v>
      </c>
      <c r="D78" t="s">
        <v>220</v>
      </c>
      <c r="E78" t="s">
        <v>28</v>
      </c>
      <c r="F78" t="s">
        <v>221</v>
      </c>
      <c r="G78" t="s">
        <v>231</v>
      </c>
      <c r="H78" t="s">
        <v>223</v>
      </c>
      <c r="I78">
        <v>12</v>
      </c>
      <c r="N78" t="str">
        <f t="shared" si="4"/>
        <v>BEF-R07-</v>
      </c>
      <c r="O78" t="str">
        <f t="shared" si="5"/>
        <v>R2</v>
      </c>
      <c r="P78" t="str">
        <f t="shared" si="6"/>
        <v>None</v>
      </c>
      <c r="Q78">
        <f t="shared" si="7"/>
        <v>0</v>
      </c>
    </row>
    <row r="79" spans="2:17" x14ac:dyDescent="0.25">
      <c r="B79" t="s">
        <v>219</v>
      </c>
      <c r="C79" t="s">
        <v>242</v>
      </c>
      <c r="D79" t="s">
        <v>220</v>
      </c>
      <c r="E79" t="s">
        <v>28</v>
      </c>
      <c r="F79" t="s">
        <v>221</v>
      </c>
      <c r="G79" t="s">
        <v>231</v>
      </c>
      <c r="H79" t="s">
        <v>223</v>
      </c>
      <c r="I79">
        <v>12</v>
      </c>
      <c r="N79" t="str">
        <f t="shared" si="4"/>
        <v>BEF-R08-</v>
      </c>
      <c r="O79" t="str">
        <f t="shared" si="5"/>
        <v>R2</v>
      </c>
      <c r="P79" t="str">
        <f t="shared" si="6"/>
        <v>bar2 - ari</v>
      </c>
      <c r="Q79">
        <f t="shared" si="7"/>
        <v>12</v>
      </c>
    </row>
    <row r="80" spans="2:17" x14ac:dyDescent="0.25">
      <c r="B80" t="s">
        <v>219</v>
      </c>
      <c r="C80" t="s">
        <v>243</v>
      </c>
      <c r="D80" t="s">
        <v>220</v>
      </c>
      <c r="E80" t="s">
        <v>28</v>
      </c>
      <c r="F80" t="s">
        <v>221</v>
      </c>
      <c r="G80" t="s">
        <v>231</v>
      </c>
      <c r="H80" t="s">
        <v>223</v>
      </c>
      <c r="I80">
        <v>12</v>
      </c>
      <c r="N80" t="str">
        <f t="shared" si="4"/>
        <v>BEF-R09-</v>
      </c>
      <c r="O80" t="str">
        <f t="shared" si="5"/>
        <v>R2</v>
      </c>
      <c r="P80" t="str">
        <f t="shared" si="6"/>
        <v>bar2 - ari</v>
      </c>
      <c r="Q80">
        <f t="shared" si="7"/>
        <v>12</v>
      </c>
    </row>
    <row r="81" spans="2:17" x14ac:dyDescent="0.25">
      <c r="B81" t="s">
        <v>219</v>
      </c>
      <c r="C81" t="s">
        <v>244</v>
      </c>
      <c r="D81" t="s">
        <v>220</v>
      </c>
      <c r="E81" t="s">
        <v>28</v>
      </c>
      <c r="F81" t="s">
        <v>221</v>
      </c>
      <c r="G81" t="s">
        <v>231</v>
      </c>
      <c r="H81" t="s">
        <v>223</v>
      </c>
      <c r="I81">
        <v>12</v>
      </c>
      <c r="N81" t="str">
        <f t="shared" si="4"/>
        <v>BEF-R10-</v>
      </c>
      <c r="O81" t="str">
        <f t="shared" si="5"/>
        <v>R2</v>
      </c>
      <c r="P81" t="str">
        <f t="shared" si="6"/>
        <v>bar2 - ari</v>
      </c>
      <c r="Q81">
        <f t="shared" si="7"/>
        <v>12</v>
      </c>
    </row>
    <row r="82" spans="2:17" x14ac:dyDescent="0.25">
      <c r="B82" t="s">
        <v>219</v>
      </c>
      <c r="C82" t="s">
        <v>245</v>
      </c>
      <c r="D82" t="s">
        <v>220</v>
      </c>
      <c r="E82" t="s">
        <v>28</v>
      </c>
      <c r="F82" t="s">
        <v>221</v>
      </c>
      <c r="G82" t="s">
        <v>252</v>
      </c>
      <c r="H82" t="s">
        <v>223</v>
      </c>
      <c r="I82">
        <v>15</v>
      </c>
      <c r="N82" t="str">
        <f t="shared" si="4"/>
        <v>BEF-R11-</v>
      </c>
      <c r="O82" t="str">
        <f t="shared" si="5"/>
        <v>R2</v>
      </c>
      <c r="P82" t="str">
        <f t="shared" si="6"/>
        <v>bar2 - ari</v>
      </c>
      <c r="Q82">
        <f t="shared" si="7"/>
        <v>12</v>
      </c>
    </row>
    <row r="83" spans="2:17" x14ac:dyDescent="0.25">
      <c r="B83" t="s">
        <v>219</v>
      </c>
      <c r="C83" t="s">
        <v>246</v>
      </c>
      <c r="D83" t="s">
        <v>220</v>
      </c>
      <c r="E83" t="s">
        <v>28</v>
      </c>
      <c r="F83" t="s">
        <v>221</v>
      </c>
      <c r="G83" t="s">
        <v>252</v>
      </c>
      <c r="H83" t="s">
        <v>223</v>
      </c>
      <c r="I83">
        <v>15</v>
      </c>
      <c r="N83" t="str">
        <f t="shared" si="4"/>
        <v>BEF-R12-</v>
      </c>
      <c r="O83" t="str">
        <f t="shared" si="5"/>
        <v>R2</v>
      </c>
      <c r="P83" t="str">
        <f t="shared" si="6"/>
        <v>bar1 - ari</v>
      </c>
      <c r="Q83">
        <f t="shared" si="7"/>
        <v>15</v>
      </c>
    </row>
    <row r="84" spans="2:17" x14ac:dyDescent="0.25">
      <c r="B84" t="s">
        <v>219</v>
      </c>
      <c r="C84" t="s">
        <v>247</v>
      </c>
      <c r="D84" t="s">
        <v>220</v>
      </c>
      <c r="E84" t="s">
        <v>28</v>
      </c>
      <c r="F84" t="s">
        <v>221</v>
      </c>
      <c r="G84" t="s">
        <v>252</v>
      </c>
      <c r="H84" t="s">
        <v>223</v>
      </c>
      <c r="I84">
        <v>15</v>
      </c>
      <c r="N84" t="str">
        <f t="shared" si="4"/>
        <v>BEF-R13-</v>
      </c>
      <c r="O84" t="str">
        <f t="shared" si="5"/>
        <v>R2</v>
      </c>
      <c r="P84" t="str">
        <f t="shared" si="6"/>
        <v>bar1 - ari</v>
      </c>
      <c r="Q84">
        <f t="shared" si="7"/>
        <v>15</v>
      </c>
    </row>
    <row r="85" spans="2:17" x14ac:dyDescent="0.25">
      <c r="B85" t="s">
        <v>219</v>
      </c>
      <c r="C85" t="s">
        <v>249</v>
      </c>
      <c r="D85" t="s">
        <v>220</v>
      </c>
      <c r="E85" t="s">
        <v>28</v>
      </c>
      <c r="F85" t="s">
        <v>221</v>
      </c>
      <c r="G85" t="s">
        <v>253</v>
      </c>
      <c r="H85" t="s">
        <v>223</v>
      </c>
      <c r="I85">
        <v>13</v>
      </c>
      <c r="N85" t="str">
        <f t="shared" si="4"/>
        <v>BEF-R14-</v>
      </c>
      <c r="O85" t="str">
        <f t="shared" si="5"/>
        <v>R2</v>
      </c>
      <c r="P85" t="str">
        <f t="shared" si="6"/>
        <v>bar1 - ari</v>
      </c>
      <c r="Q85">
        <f t="shared" si="7"/>
        <v>15</v>
      </c>
    </row>
    <row r="86" spans="2:17" x14ac:dyDescent="0.25">
      <c r="B86" t="s">
        <v>219</v>
      </c>
      <c r="C86" t="s">
        <v>250</v>
      </c>
      <c r="D86" t="s">
        <v>220</v>
      </c>
      <c r="E86" t="s">
        <v>28</v>
      </c>
      <c r="F86" t="s">
        <v>221</v>
      </c>
      <c r="G86" t="s">
        <v>252</v>
      </c>
      <c r="H86" t="s">
        <v>223</v>
      </c>
      <c r="I86">
        <v>14</v>
      </c>
      <c r="N86" t="str">
        <f t="shared" si="4"/>
        <v>BEF-R15-</v>
      </c>
      <c r="O86" t="str">
        <f t="shared" si="5"/>
        <v>R2</v>
      </c>
      <c r="P86" t="str">
        <f t="shared" si="6"/>
        <v>bar21 - ari</v>
      </c>
      <c r="Q86">
        <f t="shared" si="7"/>
        <v>13</v>
      </c>
    </row>
    <row r="87" spans="2:17" x14ac:dyDescent="0.25">
      <c r="B87" t="s">
        <v>211</v>
      </c>
      <c r="C87" t="s">
        <v>212</v>
      </c>
      <c r="D87" t="s">
        <v>213</v>
      </c>
      <c r="N87" t="str">
        <f t="shared" si="4"/>
        <v>BEF-R16-</v>
      </c>
      <c r="O87" t="str">
        <f t="shared" si="5"/>
        <v>R2</v>
      </c>
      <c r="P87" t="str">
        <f t="shared" si="6"/>
        <v>bar1 - ari</v>
      </c>
      <c r="Q87">
        <f t="shared" si="7"/>
        <v>14</v>
      </c>
    </row>
    <row r="88" spans="2:17" x14ac:dyDescent="0.25">
      <c r="B88" t="s">
        <v>219</v>
      </c>
      <c r="C88" t="s">
        <v>113</v>
      </c>
      <c r="D88" t="s">
        <v>220</v>
      </c>
      <c r="E88" t="s">
        <v>172</v>
      </c>
      <c r="F88" t="s">
        <v>221</v>
      </c>
      <c r="G88" t="s">
        <v>254</v>
      </c>
      <c r="H88" t="s">
        <v>223</v>
      </c>
      <c r="I88">
        <v>16.8</v>
      </c>
      <c r="N88" s="77" t="str">
        <f t="shared" si="4"/>
        <v xml:space="preserve"> y: 22.5</v>
      </c>
      <c r="O88">
        <f t="shared" si="5"/>
        <v>0</v>
      </c>
      <c r="P88">
        <f t="shared" si="6"/>
        <v>0</v>
      </c>
      <c r="Q88">
        <f t="shared" si="7"/>
        <v>0</v>
      </c>
    </row>
    <row r="89" spans="2:17" x14ac:dyDescent="0.25">
      <c r="B89" t="s">
        <v>219</v>
      </c>
      <c r="C89" t="s">
        <v>117</v>
      </c>
      <c r="D89" t="s">
        <v>220</v>
      </c>
      <c r="E89" t="s">
        <v>172</v>
      </c>
      <c r="F89" t="s">
        <v>221</v>
      </c>
      <c r="G89" t="s">
        <v>255</v>
      </c>
      <c r="H89" t="s">
        <v>223</v>
      </c>
      <c r="I89">
        <v>18.899999999999999</v>
      </c>
      <c r="N89" t="str">
        <f t="shared" si="4"/>
        <v>MAU-R1</v>
      </c>
      <c r="O89" t="str">
        <f t="shared" si="5"/>
        <v>R3</v>
      </c>
      <c r="P89" t="str">
        <f t="shared" si="6"/>
        <v>bar3 - OB_fresnel</v>
      </c>
      <c r="Q89">
        <f t="shared" si="7"/>
        <v>16.8</v>
      </c>
    </row>
    <row r="90" spans="2:17" x14ac:dyDescent="0.25">
      <c r="B90" t="s">
        <v>219</v>
      </c>
      <c r="C90" t="s">
        <v>225</v>
      </c>
      <c r="D90" t="s">
        <v>220</v>
      </c>
      <c r="E90" t="s">
        <v>172</v>
      </c>
      <c r="F90" t="s">
        <v>221</v>
      </c>
      <c r="G90" t="s">
        <v>256</v>
      </c>
      <c r="H90" t="s">
        <v>223</v>
      </c>
      <c r="I90">
        <v>15.3</v>
      </c>
      <c r="N90" t="str">
        <f t="shared" si="4"/>
        <v>ERV-R.1</v>
      </c>
      <c r="O90" t="str">
        <f t="shared" si="5"/>
        <v>R3</v>
      </c>
      <c r="P90" t="str">
        <f t="shared" si="6"/>
        <v>bar4 - OB_fresnel</v>
      </c>
      <c r="Q90">
        <f t="shared" si="7"/>
        <v>18.899999999999999</v>
      </c>
    </row>
    <row r="91" spans="2:17" x14ac:dyDescent="0.25">
      <c r="B91" t="s">
        <v>219</v>
      </c>
      <c r="C91" t="s">
        <v>227</v>
      </c>
      <c r="D91" t="s">
        <v>220</v>
      </c>
      <c r="E91" t="s">
        <v>172</v>
      </c>
      <c r="F91" t="s">
        <v>221</v>
      </c>
      <c r="G91" t="s">
        <v>256</v>
      </c>
      <c r="H91" t="s">
        <v>223</v>
      </c>
      <c r="I91">
        <v>17.7</v>
      </c>
      <c r="N91" t="str">
        <f t="shared" si="4"/>
        <v>GEF-R1-</v>
      </c>
      <c r="O91" t="str">
        <f t="shared" si="5"/>
        <v>R3</v>
      </c>
      <c r="P91" t="str">
        <f t="shared" si="6"/>
        <v>bar5 - OB_fresnel</v>
      </c>
      <c r="Q91">
        <f t="shared" si="7"/>
        <v>15.3</v>
      </c>
    </row>
    <row r="92" spans="2:17" x14ac:dyDescent="0.25">
      <c r="B92" t="s">
        <v>219</v>
      </c>
      <c r="C92" t="s">
        <v>228</v>
      </c>
      <c r="D92" t="s">
        <v>220</v>
      </c>
      <c r="E92" t="s">
        <v>172</v>
      </c>
      <c r="F92" t="s">
        <v>221</v>
      </c>
      <c r="G92" t="s">
        <v>254</v>
      </c>
      <c r="H92" t="s">
        <v>223</v>
      </c>
      <c r="I92">
        <v>14.5</v>
      </c>
      <c r="N92" t="str">
        <f t="shared" si="4"/>
        <v>DEF-R1</v>
      </c>
      <c r="O92" t="str">
        <f>D91</f>
        <v xml:space="preserve"> rcvr: </v>
      </c>
      <c r="P92" t="str">
        <f>F91</f>
        <v xml:space="preserve"> bar: </v>
      </c>
      <c r="Q92">
        <f t="shared" si="7"/>
        <v>17.7</v>
      </c>
    </row>
    <row r="93" spans="2:17" x14ac:dyDescent="0.25">
      <c r="B93" t="s">
        <v>219</v>
      </c>
      <c r="C93" t="s">
        <v>129</v>
      </c>
      <c r="D93" t="s">
        <v>220</v>
      </c>
      <c r="E93" t="s">
        <v>172</v>
      </c>
      <c r="F93" t="s">
        <v>221</v>
      </c>
      <c r="G93" t="s">
        <v>254</v>
      </c>
      <c r="H93" t="s">
        <v>223</v>
      </c>
      <c r="I93">
        <v>14.7</v>
      </c>
      <c r="N93" t="str">
        <f t="shared" si="4"/>
        <v>KEF-R1-</v>
      </c>
      <c r="O93" t="str">
        <f t="shared" si="5"/>
        <v>R3</v>
      </c>
      <c r="P93" t="str">
        <f t="shared" si="6"/>
        <v>bar3 - OB_fresnel</v>
      </c>
      <c r="Q93">
        <f t="shared" si="7"/>
        <v>14.5</v>
      </c>
    </row>
    <row r="94" spans="2:17" x14ac:dyDescent="0.25">
      <c r="B94" t="s">
        <v>219</v>
      </c>
      <c r="C94" t="s">
        <v>131</v>
      </c>
      <c r="D94" t="s">
        <v>220</v>
      </c>
      <c r="E94" t="s">
        <v>172</v>
      </c>
      <c r="F94" t="s">
        <v>221</v>
      </c>
      <c r="G94" t="s">
        <v>257</v>
      </c>
      <c r="H94" t="s">
        <v>223</v>
      </c>
      <c r="I94">
        <v>11</v>
      </c>
      <c r="N94" t="str">
        <f t="shared" si="4"/>
        <v>DWEF-R1</v>
      </c>
      <c r="O94" t="str">
        <f t="shared" si="5"/>
        <v>R3</v>
      </c>
      <c r="P94" t="str">
        <f t="shared" si="6"/>
        <v>bar3 - OB_fresnel</v>
      </c>
      <c r="Q94">
        <f t="shared" si="7"/>
        <v>14.7</v>
      </c>
    </row>
    <row r="95" spans="2:17" x14ac:dyDescent="0.25">
      <c r="B95" t="s">
        <v>219</v>
      </c>
      <c r="C95" t="s">
        <v>134</v>
      </c>
      <c r="D95" t="s">
        <v>220</v>
      </c>
      <c r="E95" t="s">
        <v>172</v>
      </c>
      <c r="F95" t="s">
        <v>221</v>
      </c>
      <c r="G95" t="s">
        <v>257</v>
      </c>
      <c r="H95" t="s">
        <v>223</v>
      </c>
      <c r="I95">
        <v>11</v>
      </c>
      <c r="N95" t="str">
        <f t="shared" si="4"/>
        <v>CU-R1</v>
      </c>
      <c r="O95" t="str">
        <f t="shared" si="5"/>
        <v>R3</v>
      </c>
      <c r="P95" t="str">
        <f t="shared" si="6"/>
        <v>bar3 - ari</v>
      </c>
      <c r="Q95">
        <f t="shared" si="7"/>
        <v>11</v>
      </c>
    </row>
    <row r="96" spans="2:17" x14ac:dyDescent="0.25">
      <c r="B96" t="s">
        <v>219</v>
      </c>
      <c r="C96" t="s">
        <v>136</v>
      </c>
      <c r="D96" t="s">
        <v>220</v>
      </c>
      <c r="E96" t="s">
        <v>172</v>
      </c>
      <c r="F96" t="s">
        <v>221</v>
      </c>
      <c r="G96" t="s">
        <v>257</v>
      </c>
      <c r="H96" t="s">
        <v>223</v>
      </c>
      <c r="I96">
        <v>12</v>
      </c>
      <c r="N96" t="str">
        <f t="shared" si="4"/>
        <v>CU-R2</v>
      </c>
      <c r="O96" t="str">
        <f t="shared" si="5"/>
        <v>R3</v>
      </c>
      <c r="P96" t="str">
        <f t="shared" si="6"/>
        <v>bar3 - ari</v>
      </c>
      <c r="Q96">
        <f t="shared" si="7"/>
        <v>11</v>
      </c>
    </row>
    <row r="97" spans="2:17" x14ac:dyDescent="0.25">
      <c r="B97" t="s">
        <v>219</v>
      </c>
      <c r="C97" t="s">
        <v>138</v>
      </c>
      <c r="D97" t="s">
        <v>220</v>
      </c>
      <c r="E97" t="s">
        <v>172</v>
      </c>
      <c r="F97" t="s">
        <v>221</v>
      </c>
      <c r="G97" t="s">
        <v>257</v>
      </c>
      <c r="H97" t="s">
        <v>223</v>
      </c>
      <c r="I97">
        <v>11</v>
      </c>
      <c r="N97" t="str">
        <f t="shared" si="4"/>
        <v>CU-R4</v>
      </c>
      <c r="O97" t="str">
        <f t="shared" si="5"/>
        <v>R3</v>
      </c>
      <c r="P97" t="str">
        <f t="shared" si="6"/>
        <v>bar3 - ari</v>
      </c>
      <c r="Q97">
        <f t="shared" si="7"/>
        <v>12</v>
      </c>
    </row>
    <row r="98" spans="2:17" x14ac:dyDescent="0.25">
      <c r="B98" t="s">
        <v>219</v>
      </c>
      <c r="C98" t="s">
        <v>175</v>
      </c>
      <c r="D98" t="s">
        <v>220</v>
      </c>
      <c r="E98" t="s">
        <v>172</v>
      </c>
      <c r="F98" t="s">
        <v>221</v>
      </c>
      <c r="G98" t="s">
        <v>258</v>
      </c>
      <c r="H98" t="s">
        <v>223</v>
      </c>
      <c r="I98">
        <v>12</v>
      </c>
      <c r="N98" t="str">
        <f t="shared" si="4"/>
        <v>CU-R5</v>
      </c>
      <c r="O98" t="str">
        <f t="shared" si="5"/>
        <v>R3</v>
      </c>
      <c r="P98" t="str">
        <f t="shared" si="6"/>
        <v>bar3 - ari</v>
      </c>
      <c r="Q98">
        <f t="shared" si="7"/>
        <v>11</v>
      </c>
    </row>
    <row r="99" spans="2:17" x14ac:dyDescent="0.25">
      <c r="B99" t="s">
        <v>219</v>
      </c>
      <c r="C99" t="s">
        <v>176</v>
      </c>
      <c r="D99" t="s">
        <v>220</v>
      </c>
      <c r="E99" t="s">
        <v>172</v>
      </c>
      <c r="F99" t="s">
        <v>221</v>
      </c>
      <c r="G99" t="s">
        <v>258</v>
      </c>
      <c r="H99" t="s">
        <v>223</v>
      </c>
      <c r="I99">
        <v>15</v>
      </c>
      <c r="N99" t="str">
        <f t="shared" si="4"/>
        <v>RCU-R(4p)1</v>
      </c>
      <c r="O99" t="str">
        <f t="shared" si="5"/>
        <v>R3</v>
      </c>
      <c r="P99" t="str">
        <f t="shared" si="6"/>
        <v>bar5 - ari</v>
      </c>
      <c r="Q99">
        <f t="shared" si="7"/>
        <v>12</v>
      </c>
    </row>
    <row r="100" spans="2:17" x14ac:dyDescent="0.25">
      <c r="B100" t="s">
        <v>219</v>
      </c>
      <c r="C100" t="s">
        <v>177</v>
      </c>
      <c r="D100" t="s">
        <v>220</v>
      </c>
      <c r="E100" t="s">
        <v>172</v>
      </c>
      <c r="F100" t="s">
        <v>221</v>
      </c>
      <c r="G100" t="s">
        <v>257</v>
      </c>
      <c r="H100" t="s">
        <v>223</v>
      </c>
      <c r="I100">
        <v>12</v>
      </c>
      <c r="N100" t="str">
        <f t="shared" si="4"/>
        <v>RCU-R(4p)2</v>
      </c>
      <c r="O100" t="str">
        <f t="shared" si="5"/>
        <v>R3</v>
      </c>
      <c r="P100" t="str">
        <f t="shared" si="6"/>
        <v>bar5 - ari</v>
      </c>
      <c r="Q100">
        <f t="shared" si="7"/>
        <v>15</v>
      </c>
    </row>
    <row r="101" spans="2:17" x14ac:dyDescent="0.25">
      <c r="B101" t="s">
        <v>219</v>
      </c>
      <c r="C101" t="s">
        <v>144</v>
      </c>
      <c r="D101" t="s">
        <v>220</v>
      </c>
      <c r="E101" t="s">
        <v>172</v>
      </c>
      <c r="F101" t="s">
        <v>221</v>
      </c>
      <c r="G101" t="s">
        <v>257</v>
      </c>
      <c r="H101" t="s">
        <v>223</v>
      </c>
      <c r="I101">
        <v>12</v>
      </c>
      <c r="N101" t="str">
        <f t="shared" si="4"/>
        <v>RCU-R(4p)3</v>
      </c>
      <c r="O101" t="str">
        <f t="shared" si="5"/>
        <v>R3</v>
      </c>
      <c r="P101" t="str">
        <f t="shared" si="6"/>
        <v>bar3 - ari</v>
      </c>
      <c r="Q101">
        <f t="shared" si="7"/>
        <v>12</v>
      </c>
    </row>
    <row r="102" spans="2:17" x14ac:dyDescent="0.25">
      <c r="B102" t="s">
        <v>219</v>
      </c>
      <c r="C102" t="s">
        <v>179</v>
      </c>
      <c r="D102" t="s">
        <v>220</v>
      </c>
      <c r="E102" t="s">
        <v>172</v>
      </c>
      <c r="F102" t="s">
        <v>221</v>
      </c>
      <c r="G102" t="s">
        <v>257</v>
      </c>
      <c r="H102" t="s">
        <v>223</v>
      </c>
      <c r="I102">
        <v>11</v>
      </c>
      <c r="N102" t="str">
        <f t="shared" si="4"/>
        <v>RCU-R(2p)</v>
      </c>
      <c r="O102" t="str">
        <f t="shared" si="5"/>
        <v>R3</v>
      </c>
      <c r="P102" t="str">
        <f t="shared" si="6"/>
        <v>bar3 - ari</v>
      </c>
      <c r="Q102">
        <f t="shared" si="7"/>
        <v>12</v>
      </c>
    </row>
    <row r="103" spans="2:17" x14ac:dyDescent="0.25">
      <c r="B103" t="s">
        <v>219</v>
      </c>
      <c r="C103" t="s">
        <v>178</v>
      </c>
      <c r="D103" t="s">
        <v>220</v>
      </c>
      <c r="E103" t="s">
        <v>172</v>
      </c>
      <c r="F103" t="s">
        <v>221</v>
      </c>
      <c r="G103" t="s">
        <v>257</v>
      </c>
      <c r="H103" t="s">
        <v>223</v>
      </c>
      <c r="I103">
        <v>10</v>
      </c>
      <c r="N103" t="str">
        <f t="shared" si="4"/>
        <v>RCU-R(2p)1</v>
      </c>
      <c r="O103" t="str">
        <f t="shared" si="5"/>
        <v>R3</v>
      </c>
      <c r="P103" t="str">
        <f t="shared" si="6"/>
        <v>bar3 - ari</v>
      </c>
      <c r="Q103">
        <f t="shared" si="7"/>
        <v>11</v>
      </c>
    </row>
    <row r="104" spans="2:17" x14ac:dyDescent="0.25">
      <c r="B104" t="s">
        <v>219</v>
      </c>
      <c r="C104" t="s">
        <v>180</v>
      </c>
      <c r="D104" t="s">
        <v>220</v>
      </c>
      <c r="E104" t="s">
        <v>172</v>
      </c>
      <c r="F104" t="s">
        <v>221</v>
      </c>
      <c r="G104" t="s">
        <v>257</v>
      </c>
      <c r="H104" t="s">
        <v>223</v>
      </c>
      <c r="I104">
        <v>11</v>
      </c>
      <c r="N104" t="str">
        <f t="shared" si="4"/>
        <v>RCU-R(4p)4</v>
      </c>
      <c r="O104" t="str">
        <f t="shared" si="5"/>
        <v>R3</v>
      </c>
      <c r="P104" t="str">
        <f t="shared" si="6"/>
        <v>bar3 - ari</v>
      </c>
      <c r="Q104">
        <f t="shared" si="7"/>
        <v>10</v>
      </c>
    </row>
    <row r="105" spans="2:17" x14ac:dyDescent="0.25">
      <c r="B105" t="s">
        <v>219</v>
      </c>
      <c r="C105" t="s">
        <v>181</v>
      </c>
      <c r="D105" t="s">
        <v>220</v>
      </c>
      <c r="E105" t="s">
        <v>172</v>
      </c>
      <c r="F105" t="s">
        <v>221</v>
      </c>
      <c r="G105" t="s">
        <v>257</v>
      </c>
      <c r="H105" t="s">
        <v>223</v>
      </c>
      <c r="I105">
        <v>12</v>
      </c>
      <c r="N105" t="str">
        <f t="shared" si="4"/>
        <v>RCU-R(2p)2</v>
      </c>
      <c r="O105" t="str">
        <f t="shared" si="5"/>
        <v>R3</v>
      </c>
      <c r="P105" t="str">
        <f t="shared" si="6"/>
        <v>bar3 - ari</v>
      </c>
      <c r="Q105">
        <f t="shared" si="7"/>
        <v>11</v>
      </c>
    </row>
    <row r="106" spans="2:17" x14ac:dyDescent="0.25">
      <c r="B106" t="s">
        <v>219</v>
      </c>
      <c r="C106" t="s">
        <v>182</v>
      </c>
      <c r="D106" t="s">
        <v>220</v>
      </c>
      <c r="E106" t="s">
        <v>172</v>
      </c>
      <c r="F106" t="s">
        <v>221</v>
      </c>
      <c r="G106" t="s">
        <v>257</v>
      </c>
      <c r="H106" t="s">
        <v>223</v>
      </c>
      <c r="I106">
        <v>12</v>
      </c>
      <c r="N106" t="str">
        <f t="shared" si="4"/>
        <v>RCU-R(2p)3</v>
      </c>
      <c r="O106" t="str">
        <f t="shared" si="5"/>
        <v>R3</v>
      </c>
      <c r="P106" t="str">
        <f t="shared" si="6"/>
        <v>bar3 - ari</v>
      </c>
      <c r="Q106">
        <f t="shared" si="7"/>
        <v>12</v>
      </c>
    </row>
    <row r="107" spans="2:17" x14ac:dyDescent="0.25">
      <c r="B107" t="s">
        <v>219</v>
      </c>
      <c r="C107" t="s">
        <v>183</v>
      </c>
      <c r="D107" t="s">
        <v>220</v>
      </c>
      <c r="E107" t="s">
        <v>172</v>
      </c>
      <c r="F107" t="s">
        <v>221</v>
      </c>
      <c r="G107" t="s">
        <v>257</v>
      </c>
      <c r="H107" t="s">
        <v>223</v>
      </c>
      <c r="I107">
        <v>12</v>
      </c>
      <c r="N107" t="str">
        <f t="shared" si="4"/>
        <v>RCU-R(2p)4</v>
      </c>
      <c r="O107" t="str">
        <f t="shared" si="5"/>
        <v>R3</v>
      </c>
      <c r="P107" t="str">
        <f t="shared" si="6"/>
        <v>bar3 - ari</v>
      </c>
      <c r="Q107">
        <f t="shared" si="7"/>
        <v>12</v>
      </c>
    </row>
    <row r="108" spans="2:17" x14ac:dyDescent="0.25">
      <c r="B108" t="s">
        <v>219</v>
      </c>
      <c r="C108" t="s">
        <v>184</v>
      </c>
      <c r="D108" t="s">
        <v>220</v>
      </c>
      <c r="E108" t="s">
        <v>172</v>
      </c>
      <c r="F108" t="s">
        <v>221</v>
      </c>
      <c r="G108" t="s">
        <v>259</v>
      </c>
      <c r="H108" t="s">
        <v>223</v>
      </c>
      <c r="I108">
        <v>15</v>
      </c>
      <c r="N108" t="str">
        <f t="shared" si="4"/>
        <v>RCU-R(2p)5</v>
      </c>
      <c r="O108" t="str">
        <f t="shared" si="5"/>
        <v>R3</v>
      </c>
      <c r="P108" t="str">
        <f t="shared" si="6"/>
        <v>bar3 - ari</v>
      </c>
      <c r="Q108">
        <f t="shared" si="7"/>
        <v>12</v>
      </c>
    </row>
    <row r="109" spans="2:17" x14ac:dyDescent="0.25">
      <c r="B109" t="s">
        <v>219</v>
      </c>
      <c r="C109" t="s">
        <v>233</v>
      </c>
      <c r="D109" t="s">
        <v>220</v>
      </c>
      <c r="E109" t="s">
        <v>172</v>
      </c>
      <c r="F109" t="s">
        <v>221</v>
      </c>
      <c r="G109" t="s">
        <v>234</v>
      </c>
      <c r="H109" t="s">
        <v>223</v>
      </c>
      <c r="I109">
        <v>0</v>
      </c>
      <c r="N109" t="str">
        <f t="shared" si="4"/>
        <v>RCU-R(2p)6</v>
      </c>
      <c r="O109" t="str">
        <f t="shared" si="5"/>
        <v>R3</v>
      </c>
      <c r="P109" t="str">
        <f t="shared" si="6"/>
        <v>bar4 - ari</v>
      </c>
      <c r="Q109">
        <f t="shared" si="7"/>
        <v>15</v>
      </c>
    </row>
    <row r="110" spans="2:17" x14ac:dyDescent="0.25">
      <c r="B110" t="s">
        <v>219</v>
      </c>
      <c r="C110" t="s">
        <v>235</v>
      </c>
      <c r="D110" t="s">
        <v>220</v>
      </c>
      <c r="E110" t="s">
        <v>172</v>
      </c>
      <c r="F110" t="s">
        <v>221</v>
      </c>
      <c r="G110" t="s">
        <v>231</v>
      </c>
      <c r="H110" t="s">
        <v>223</v>
      </c>
      <c r="I110">
        <v>10</v>
      </c>
      <c r="N110" t="str">
        <f t="shared" si="4"/>
        <v>BEF-R01-</v>
      </c>
      <c r="O110" t="str">
        <f t="shared" si="5"/>
        <v>R3</v>
      </c>
      <c r="P110" t="str">
        <f t="shared" si="6"/>
        <v>None</v>
      </c>
      <c r="Q110">
        <f t="shared" si="7"/>
        <v>0</v>
      </c>
    </row>
    <row r="111" spans="2:17" x14ac:dyDescent="0.25">
      <c r="B111" t="s">
        <v>219</v>
      </c>
      <c r="C111" t="s">
        <v>236</v>
      </c>
      <c r="D111" t="s">
        <v>220</v>
      </c>
      <c r="E111" t="s">
        <v>172</v>
      </c>
      <c r="F111" t="s">
        <v>221</v>
      </c>
      <c r="G111" t="s">
        <v>257</v>
      </c>
      <c r="H111" t="s">
        <v>223</v>
      </c>
      <c r="I111">
        <v>11</v>
      </c>
      <c r="N111" t="str">
        <f t="shared" si="4"/>
        <v>BEF-R02-</v>
      </c>
      <c r="O111" t="str">
        <f t="shared" si="5"/>
        <v>R3</v>
      </c>
      <c r="P111" t="str">
        <f t="shared" si="6"/>
        <v>bar2 - ari</v>
      </c>
      <c r="Q111">
        <f t="shared" si="7"/>
        <v>10</v>
      </c>
    </row>
    <row r="112" spans="2:17" x14ac:dyDescent="0.25">
      <c r="B112" t="s">
        <v>219</v>
      </c>
      <c r="C112" t="s">
        <v>237</v>
      </c>
      <c r="D112" t="s">
        <v>220</v>
      </c>
      <c r="E112" t="s">
        <v>172</v>
      </c>
      <c r="F112" t="s">
        <v>221</v>
      </c>
      <c r="G112" t="s">
        <v>257</v>
      </c>
      <c r="H112" t="s">
        <v>223</v>
      </c>
      <c r="I112">
        <v>11</v>
      </c>
      <c r="N112" t="str">
        <f t="shared" si="4"/>
        <v>BEF-R03-</v>
      </c>
      <c r="O112" t="str">
        <f t="shared" si="5"/>
        <v>R3</v>
      </c>
      <c r="P112" t="str">
        <f t="shared" si="6"/>
        <v>bar3 - ari</v>
      </c>
      <c r="Q112">
        <f t="shared" si="7"/>
        <v>11</v>
      </c>
    </row>
    <row r="113" spans="2:17" x14ac:dyDescent="0.25">
      <c r="B113" t="s">
        <v>219</v>
      </c>
      <c r="C113" t="s">
        <v>238</v>
      </c>
      <c r="D113" t="s">
        <v>220</v>
      </c>
      <c r="E113" t="s">
        <v>172</v>
      </c>
      <c r="F113" t="s">
        <v>221</v>
      </c>
      <c r="G113" t="s">
        <v>257</v>
      </c>
      <c r="H113" t="s">
        <v>223</v>
      </c>
      <c r="I113">
        <v>11</v>
      </c>
      <c r="N113" t="str">
        <f t="shared" si="4"/>
        <v>BEF-R04-</v>
      </c>
      <c r="O113" t="str">
        <f t="shared" si="5"/>
        <v>R3</v>
      </c>
      <c r="P113" t="str">
        <f t="shared" si="6"/>
        <v>bar3 - ari</v>
      </c>
      <c r="Q113">
        <f t="shared" si="7"/>
        <v>11</v>
      </c>
    </row>
    <row r="114" spans="2:17" x14ac:dyDescent="0.25">
      <c r="B114" t="s">
        <v>219</v>
      </c>
      <c r="C114" t="s">
        <v>239</v>
      </c>
      <c r="D114" t="s">
        <v>220</v>
      </c>
      <c r="E114" t="s">
        <v>172</v>
      </c>
      <c r="F114" t="s">
        <v>221</v>
      </c>
      <c r="G114" t="s">
        <v>257</v>
      </c>
      <c r="H114" t="s">
        <v>223</v>
      </c>
      <c r="I114">
        <v>7</v>
      </c>
      <c r="N114" t="str">
        <f t="shared" si="4"/>
        <v>BEF-R05-</v>
      </c>
      <c r="O114" t="str">
        <f t="shared" si="5"/>
        <v>R3</v>
      </c>
      <c r="P114" t="str">
        <f t="shared" si="6"/>
        <v>bar3 - ari</v>
      </c>
      <c r="Q114">
        <f t="shared" si="7"/>
        <v>11</v>
      </c>
    </row>
    <row r="115" spans="2:17" x14ac:dyDescent="0.25">
      <c r="B115" t="s">
        <v>219</v>
      </c>
      <c r="C115" t="s">
        <v>240</v>
      </c>
      <c r="D115" t="s">
        <v>220</v>
      </c>
      <c r="E115" t="s">
        <v>172</v>
      </c>
      <c r="F115" t="s">
        <v>221</v>
      </c>
      <c r="G115" t="s">
        <v>234</v>
      </c>
      <c r="H115" t="s">
        <v>223</v>
      </c>
      <c r="I115">
        <v>0</v>
      </c>
      <c r="N115" t="str">
        <f t="shared" si="4"/>
        <v>BEF-R06-</v>
      </c>
      <c r="O115" t="str">
        <f t="shared" si="5"/>
        <v>R3</v>
      </c>
      <c r="P115" t="str">
        <f t="shared" si="6"/>
        <v>bar3 - ari</v>
      </c>
      <c r="Q115">
        <f t="shared" si="7"/>
        <v>7</v>
      </c>
    </row>
    <row r="116" spans="2:17" x14ac:dyDescent="0.25">
      <c r="B116" t="s">
        <v>219</v>
      </c>
      <c r="C116" t="s">
        <v>241</v>
      </c>
      <c r="D116" t="s">
        <v>220</v>
      </c>
      <c r="E116" t="s">
        <v>172</v>
      </c>
      <c r="F116" t="s">
        <v>221</v>
      </c>
      <c r="G116" t="s">
        <v>258</v>
      </c>
      <c r="H116" t="s">
        <v>223</v>
      </c>
      <c r="I116">
        <v>8</v>
      </c>
      <c r="N116" t="str">
        <f t="shared" si="4"/>
        <v>BEF-R07-</v>
      </c>
      <c r="O116" t="str">
        <f t="shared" si="5"/>
        <v>R3</v>
      </c>
      <c r="P116" t="str">
        <f t="shared" si="6"/>
        <v>None</v>
      </c>
      <c r="Q116">
        <f t="shared" si="7"/>
        <v>0</v>
      </c>
    </row>
    <row r="117" spans="2:17" x14ac:dyDescent="0.25">
      <c r="B117" t="s">
        <v>219</v>
      </c>
      <c r="C117" t="s">
        <v>242</v>
      </c>
      <c r="D117" t="s">
        <v>220</v>
      </c>
      <c r="E117" t="s">
        <v>172</v>
      </c>
      <c r="F117" t="s">
        <v>221</v>
      </c>
      <c r="G117" t="s">
        <v>258</v>
      </c>
      <c r="H117" t="s">
        <v>223</v>
      </c>
      <c r="I117">
        <v>14</v>
      </c>
      <c r="N117" t="str">
        <f t="shared" si="4"/>
        <v>BEF-R08-</v>
      </c>
      <c r="O117" t="str">
        <f t="shared" si="5"/>
        <v>R3</v>
      </c>
      <c r="P117" t="str">
        <f t="shared" si="6"/>
        <v>bar5 - ari</v>
      </c>
      <c r="Q117">
        <f t="shared" si="7"/>
        <v>8</v>
      </c>
    </row>
    <row r="118" spans="2:17" x14ac:dyDescent="0.25">
      <c r="B118" t="s">
        <v>219</v>
      </c>
      <c r="C118" t="s">
        <v>243</v>
      </c>
      <c r="D118" t="s">
        <v>220</v>
      </c>
      <c r="E118" t="s">
        <v>172</v>
      </c>
      <c r="F118" t="s">
        <v>221</v>
      </c>
      <c r="G118" t="s">
        <v>258</v>
      </c>
      <c r="H118" t="s">
        <v>223</v>
      </c>
      <c r="I118">
        <v>15</v>
      </c>
      <c r="N118" t="str">
        <f t="shared" si="4"/>
        <v>BEF-R09-</v>
      </c>
      <c r="O118" t="str">
        <f t="shared" si="5"/>
        <v>R3</v>
      </c>
      <c r="P118" t="str">
        <f t="shared" si="6"/>
        <v>bar5 - ari</v>
      </c>
      <c r="Q118">
        <f t="shared" si="7"/>
        <v>14</v>
      </c>
    </row>
    <row r="119" spans="2:17" x14ac:dyDescent="0.25">
      <c r="B119" t="s">
        <v>219</v>
      </c>
      <c r="C119" t="s">
        <v>244</v>
      </c>
      <c r="D119" t="s">
        <v>220</v>
      </c>
      <c r="E119" t="s">
        <v>172</v>
      </c>
      <c r="F119" t="s">
        <v>221</v>
      </c>
      <c r="G119" t="s">
        <v>258</v>
      </c>
      <c r="H119" t="s">
        <v>223</v>
      </c>
      <c r="I119">
        <v>15</v>
      </c>
      <c r="N119" t="str">
        <f t="shared" si="4"/>
        <v>BEF-R10-</v>
      </c>
      <c r="O119" t="str">
        <f t="shared" si="5"/>
        <v>R3</v>
      </c>
      <c r="P119" t="str">
        <f t="shared" si="6"/>
        <v>bar5 - ari</v>
      </c>
      <c r="Q119">
        <f t="shared" si="7"/>
        <v>15</v>
      </c>
    </row>
    <row r="120" spans="2:17" x14ac:dyDescent="0.25">
      <c r="B120" t="s">
        <v>219</v>
      </c>
      <c r="C120" t="s">
        <v>245</v>
      </c>
      <c r="D120" t="s">
        <v>220</v>
      </c>
      <c r="E120" t="s">
        <v>172</v>
      </c>
      <c r="F120" t="s">
        <v>221</v>
      </c>
      <c r="G120" t="s">
        <v>257</v>
      </c>
      <c r="H120" t="s">
        <v>223</v>
      </c>
      <c r="I120">
        <v>12</v>
      </c>
      <c r="N120" t="str">
        <f t="shared" si="4"/>
        <v>BEF-R11-</v>
      </c>
      <c r="O120" t="str">
        <f t="shared" si="5"/>
        <v>R3</v>
      </c>
      <c r="P120" t="str">
        <f t="shared" si="6"/>
        <v>bar5 - ari</v>
      </c>
      <c r="Q120">
        <f t="shared" si="7"/>
        <v>15</v>
      </c>
    </row>
    <row r="121" spans="2:17" x14ac:dyDescent="0.25">
      <c r="B121" t="s">
        <v>219</v>
      </c>
      <c r="C121" t="s">
        <v>246</v>
      </c>
      <c r="D121" t="s">
        <v>220</v>
      </c>
      <c r="E121" t="s">
        <v>172</v>
      </c>
      <c r="F121" t="s">
        <v>221</v>
      </c>
      <c r="G121" t="s">
        <v>257</v>
      </c>
      <c r="H121" t="s">
        <v>223</v>
      </c>
      <c r="I121">
        <v>12</v>
      </c>
      <c r="N121" t="str">
        <f t="shared" si="4"/>
        <v>BEF-R12-</v>
      </c>
      <c r="O121" t="str">
        <f t="shared" si="5"/>
        <v>R3</v>
      </c>
      <c r="P121" t="str">
        <f t="shared" si="6"/>
        <v>bar3 - ari</v>
      </c>
      <c r="Q121">
        <f t="shared" si="7"/>
        <v>12</v>
      </c>
    </row>
    <row r="122" spans="2:17" x14ac:dyDescent="0.25">
      <c r="B122" t="s">
        <v>219</v>
      </c>
      <c r="C122" t="s">
        <v>247</v>
      </c>
      <c r="D122" t="s">
        <v>220</v>
      </c>
      <c r="E122" t="s">
        <v>172</v>
      </c>
      <c r="F122" t="s">
        <v>221</v>
      </c>
      <c r="G122" t="s">
        <v>257</v>
      </c>
      <c r="H122" t="s">
        <v>223</v>
      </c>
      <c r="I122">
        <v>11</v>
      </c>
      <c r="N122" t="str">
        <f t="shared" si="4"/>
        <v>BEF-R13-</v>
      </c>
      <c r="O122" t="str">
        <f t="shared" si="5"/>
        <v>R3</v>
      </c>
      <c r="P122" t="str">
        <f t="shared" si="6"/>
        <v>bar3 - ari</v>
      </c>
      <c r="Q122">
        <f t="shared" si="7"/>
        <v>12</v>
      </c>
    </row>
    <row r="123" spans="2:17" x14ac:dyDescent="0.25">
      <c r="B123" t="s">
        <v>219</v>
      </c>
      <c r="C123" t="s">
        <v>249</v>
      </c>
      <c r="D123" t="s">
        <v>220</v>
      </c>
      <c r="E123" t="s">
        <v>172</v>
      </c>
      <c r="F123" t="s">
        <v>221</v>
      </c>
      <c r="G123" t="s">
        <v>257</v>
      </c>
      <c r="H123" t="s">
        <v>223</v>
      </c>
      <c r="I123">
        <v>11</v>
      </c>
      <c r="N123" t="str">
        <f t="shared" si="4"/>
        <v>BEF-R14-</v>
      </c>
      <c r="O123" t="str">
        <f t="shared" si="5"/>
        <v>R3</v>
      </c>
      <c r="P123" t="str">
        <f t="shared" si="6"/>
        <v>bar3 - ari</v>
      </c>
      <c r="Q123">
        <f t="shared" si="7"/>
        <v>11</v>
      </c>
    </row>
    <row r="124" spans="2:17" x14ac:dyDescent="0.25">
      <c r="B124" t="s">
        <v>219</v>
      </c>
      <c r="C124" t="s">
        <v>250</v>
      </c>
      <c r="D124" t="s">
        <v>220</v>
      </c>
      <c r="E124" t="s">
        <v>172</v>
      </c>
      <c r="F124" t="s">
        <v>221</v>
      </c>
      <c r="G124" t="s">
        <v>259</v>
      </c>
      <c r="H124" t="s">
        <v>223</v>
      </c>
      <c r="I124">
        <v>15</v>
      </c>
      <c r="N124" t="str">
        <f t="shared" si="4"/>
        <v>BEF-R15-</v>
      </c>
      <c r="O124" t="str">
        <f t="shared" si="5"/>
        <v>R3</v>
      </c>
      <c r="P124" t="str">
        <f t="shared" si="6"/>
        <v>bar3 - ari</v>
      </c>
      <c r="Q124">
        <f t="shared" si="7"/>
        <v>11</v>
      </c>
    </row>
    <row r="125" spans="2:17" x14ac:dyDescent="0.25">
      <c r="B125" t="s">
        <v>214</v>
      </c>
      <c r="C125" t="s">
        <v>215</v>
      </c>
      <c r="D125" t="s">
        <v>210</v>
      </c>
      <c r="N125" t="str">
        <f t="shared" si="4"/>
        <v>BEF-R16-</v>
      </c>
      <c r="O125" t="str">
        <f t="shared" si="5"/>
        <v>R3</v>
      </c>
      <c r="P125" t="str">
        <f t="shared" si="6"/>
        <v>bar4 - ari</v>
      </c>
      <c r="Q125">
        <f t="shared" si="7"/>
        <v>15</v>
      </c>
    </row>
    <row r="126" spans="2:17" x14ac:dyDescent="0.25">
      <c r="B126" t="s">
        <v>219</v>
      </c>
      <c r="C126" t="s">
        <v>113</v>
      </c>
      <c r="D126" t="s">
        <v>220</v>
      </c>
      <c r="E126" t="s">
        <v>173</v>
      </c>
      <c r="F126" t="s">
        <v>221</v>
      </c>
      <c r="G126" t="s">
        <v>260</v>
      </c>
      <c r="H126" t="s">
        <v>223</v>
      </c>
      <c r="I126">
        <v>17.399999999999999</v>
      </c>
      <c r="N126" s="77" t="str">
        <f t="shared" si="4"/>
        <v xml:space="preserve"> y: 86.55</v>
      </c>
      <c r="O126">
        <f t="shared" si="5"/>
        <v>0</v>
      </c>
      <c r="P126">
        <f t="shared" si="6"/>
        <v>0</v>
      </c>
      <c r="Q126">
        <f t="shared" si="7"/>
        <v>0</v>
      </c>
    </row>
    <row r="127" spans="2:17" x14ac:dyDescent="0.25">
      <c r="B127" t="s">
        <v>219</v>
      </c>
      <c r="C127" t="s">
        <v>117</v>
      </c>
      <c r="D127" t="s">
        <v>220</v>
      </c>
      <c r="E127" t="s">
        <v>173</v>
      </c>
      <c r="F127" t="s">
        <v>221</v>
      </c>
      <c r="G127" t="s">
        <v>260</v>
      </c>
      <c r="H127" t="s">
        <v>223</v>
      </c>
      <c r="I127">
        <v>15.3</v>
      </c>
      <c r="N127" t="str">
        <f t="shared" si="4"/>
        <v>MAU-R1</v>
      </c>
      <c r="O127" t="str">
        <f t="shared" si="5"/>
        <v>R4</v>
      </c>
      <c r="P127" t="str">
        <f t="shared" si="6"/>
        <v>bar12 - OB_fresnel</v>
      </c>
      <c r="Q127">
        <f t="shared" si="7"/>
        <v>17.399999999999999</v>
      </c>
    </row>
    <row r="128" spans="2:17" x14ac:dyDescent="0.25">
      <c r="B128" t="s">
        <v>219</v>
      </c>
      <c r="C128" t="s">
        <v>225</v>
      </c>
      <c r="D128" t="s">
        <v>220</v>
      </c>
      <c r="E128" t="s">
        <v>173</v>
      </c>
      <c r="F128" t="s">
        <v>221</v>
      </c>
      <c r="G128" t="s">
        <v>261</v>
      </c>
      <c r="H128" t="s">
        <v>223</v>
      </c>
      <c r="I128">
        <v>13.8</v>
      </c>
      <c r="N128" t="str">
        <f t="shared" si="4"/>
        <v>ERV-R.1</v>
      </c>
      <c r="O128" t="str">
        <f t="shared" si="5"/>
        <v>R4</v>
      </c>
      <c r="P128" t="str">
        <f t="shared" si="6"/>
        <v>bar12 - OB_fresnel</v>
      </c>
      <c r="Q128">
        <f t="shared" si="7"/>
        <v>15.3</v>
      </c>
    </row>
    <row r="129" spans="2:17" x14ac:dyDescent="0.25">
      <c r="B129" t="s">
        <v>219</v>
      </c>
      <c r="C129" t="s">
        <v>227</v>
      </c>
      <c r="D129" t="s">
        <v>220</v>
      </c>
      <c r="E129" t="s">
        <v>173</v>
      </c>
      <c r="F129" t="s">
        <v>221</v>
      </c>
      <c r="G129" t="s">
        <v>260</v>
      </c>
      <c r="H129" t="s">
        <v>223</v>
      </c>
      <c r="I129">
        <v>13.1</v>
      </c>
      <c r="N129" t="str">
        <f t="shared" si="4"/>
        <v>GEF-R1-</v>
      </c>
      <c r="O129" t="str">
        <f t="shared" si="5"/>
        <v>R4</v>
      </c>
      <c r="P129" t="str">
        <f t="shared" si="6"/>
        <v>bar6 - OB_fresnel</v>
      </c>
      <c r="Q129">
        <f t="shared" si="7"/>
        <v>13.8</v>
      </c>
    </row>
    <row r="130" spans="2:17" x14ac:dyDescent="0.25">
      <c r="B130" t="s">
        <v>219</v>
      </c>
      <c r="C130" t="s">
        <v>228</v>
      </c>
      <c r="D130" t="s">
        <v>220</v>
      </c>
      <c r="E130" t="s">
        <v>173</v>
      </c>
      <c r="F130" t="s">
        <v>221</v>
      </c>
      <c r="G130" t="s">
        <v>260</v>
      </c>
      <c r="H130" t="s">
        <v>223</v>
      </c>
      <c r="I130">
        <v>15.8</v>
      </c>
      <c r="N130" t="str">
        <f t="shared" si="4"/>
        <v>DEF-R1</v>
      </c>
      <c r="O130" t="str">
        <f>D129</f>
        <v xml:space="preserve"> rcvr: </v>
      </c>
      <c r="P130" t="str">
        <f>F129</f>
        <v xml:space="preserve"> bar: </v>
      </c>
      <c r="Q130">
        <f t="shared" si="7"/>
        <v>13.1</v>
      </c>
    </row>
    <row r="131" spans="2:17" x14ac:dyDescent="0.25">
      <c r="B131" t="s">
        <v>219</v>
      </c>
      <c r="C131" t="s">
        <v>129</v>
      </c>
      <c r="D131" t="s">
        <v>220</v>
      </c>
      <c r="E131" t="s">
        <v>173</v>
      </c>
      <c r="F131" t="s">
        <v>221</v>
      </c>
      <c r="G131" t="s">
        <v>260</v>
      </c>
      <c r="H131" t="s">
        <v>223</v>
      </c>
      <c r="I131">
        <v>15.6</v>
      </c>
      <c r="N131" t="str">
        <f t="shared" si="4"/>
        <v>KEF-R1-</v>
      </c>
      <c r="O131" t="str">
        <f t="shared" si="5"/>
        <v>R4</v>
      </c>
      <c r="P131" t="str">
        <f t="shared" si="6"/>
        <v>bar12 - OB_fresnel</v>
      </c>
      <c r="Q131">
        <f t="shared" si="7"/>
        <v>15.8</v>
      </c>
    </row>
    <row r="132" spans="2:17" x14ac:dyDescent="0.25">
      <c r="B132" t="s">
        <v>219</v>
      </c>
      <c r="C132" t="s">
        <v>131</v>
      </c>
      <c r="D132" t="s">
        <v>220</v>
      </c>
      <c r="E132" t="s">
        <v>173</v>
      </c>
      <c r="F132" t="s">
        <v>221</v>
      </c>
      <c r="G132" t="s">
        <v>262</v>
      </c>
      <c r="H132" t="s">
        <v>223</v>
      </c>
      <c r="I132">
        <v>9</v>
      </c>
      <c r="N132" t="str">
        <f t="shared" ref="N132:N195" si="8">C131</f>
        <v>DWEF-R1</v>
      </c>
      <c r="O132" t="str">
        <f t="shared" ref="O132:O195" si="9">E131</f>
        <v>R4</v>
      </c>
      <c r="P132" t="str">
        <f t="shared" ref="P132:P195" si="10">G131</f>
        <v>bar12 - OB_fresnel</v>
      </c>
      <c r="Q132">
        <f t="shared" ref="Q132:Q195" si="11">I131</f>
        <v>15.6</v>
      </c>
    </row>
    <row r="133" spans="2:17" x14ac:dyDescent="0.25">
      <c r="B133" t="s">
        <v>219</v>
      </c>
      <c r="C133" t="s">
        <v>134</v>
      </c>
      <c r="D133" t="s">
        <v>220</v>
      </c>
      <c r="E133" t="s">
        <v>173</v>
      </c>
      <c r="F133" t="s">
        <v>221</v>
      </c>
      <c r="G133" t="s">
        <v>262</v>
      </c>
      <c r="H133" t="s">
        <v>223</v>
      </c>
      <c r="I133">
        <v>10</v>
      </c>
      <c r="N133" t="str">
        <f t="shared" si="8"/>
        <v>CU-R1</v>
      </c>
      <c r="O133" t="str">
        <f t="shared" si="9"/>
        <v>R4</v>
      </c>
      <c r="P133" t="str">
        <f t="shared" si="10"/>
        <v>bar12 - ari</v>
      </c>
      <c r="Q133">
        <f t="shared" si="11"/>
        <v>9</v>
      </c>
    </row>
    <row r="134" spans="2:17" x14ac:dyDescent="0.25">
      <c r="B134" t="s">
        <v>219</v>
      </c>
      <c r="C134" t="s">
        <v>136</v>
      </c>
      <c r="D134" t="s">
        <v>220</v>
      </c>
      <c r="E134" t="s">
        <v>173</v>
      </c>
      <c r="F134" t="s">
        <v>221</v>
      </c>
      <c r="G134" t="s">
        <v>262</v>
      </c>
      <c r="H134" t="s">
        <v>223</v>
      </c>
      <c r="I134">
        <v>9</v>
      </c>
      <c r="N134" t="str">
        <f t="shared" si="8"/>
        <v>CU-R2</v>
      </c>
      <c r="O134" t="str">
        <f t="shared" si="9"/>
        <v>R4</v>
      </c>
      <c r="P134" t="str">
        <f t="shared" si="10"/>
        <v>bar12 - ari</v>
      </c>
      <c r="Q134">
        <f t="shared" si="11"/>
        <v>10</v>
      </c>
    </row>
    <row r="135" spans="2:17" x14ac:dyDescent="0.25">
      <c r="B135" t="s">
        <v>219</v>
      </c>
      <c r="C135" t="s">
        <v>138</v>
      </c>
      <c r="D135" t="s">
        <v>220</v>
      </c>
      <c r="E135" t="s">
        <v>173</v>
      </c>
      <c r="F135" t="s">
        <v>221</v>
      </c>
      <c r="G135" t="s">
        <v>262</v>
      </c>
      <c r="H135" t="s">
        <v>223</v>
      </c>
      <c r="I135">
        <v>11</v>
      </c>
      <c r="N135" t="str">
        <f t="shared" si="8"/>
        <v>CU-R4</v>
      </c>
      <c r="O135" t="str">
        <f t="shared" si="9"/>
        <v>R4</v>
      </c>
      <c r="P135" t="str">
        <f t="shared" si="10"/>
        <v>bar12 - ari</v>
      </c>
      <c r="Q135">
        <f t="shared" si="11"/>
        <v>9</v>
      </c>
    </row>
    <row r="136" spans="2:17" x14ac:dyDescent="0.25">
      <c r="B136" t="s">
        <v>219</v>
      </c>
      <c r="C136" t="s">
        <v>175</v>
      </c>
      <c r="D136" t="s">
        <v>220</v>
      </c>
      <c r="E136" t="s">
        <v>173</v>
      </c>
      <c r="F136" t="s">
        <v>221</v>
      </c>
      <c r="G136" t="s">
        <v>263</v>
      </c>
      <c r="H136" t="s">
        <v>223</v>
      </c>
      <c r="I136">
        <v>7</v>
      </c>
      <c r="N136" t="str">
        <f t="shared" si="8"/>
        <v>CU-R5</v>
      </c>
      <c r="O136" t="str">
        <f t="shared" si="9"/>
        <v>R4</v>
      </c>
      <c r="P136" t="str">
        <f t="shared" si="10"/>
        <v>bar12 - ari</v>
      </c>
      <c r="Q136">
        <f t="shared" si="11"/>
        <v>11</v>
      </c>
    </row>
    <row r="137" spans="2:17" x14ac:dyDescent="0.25">
      <c r="B137" t="s">
        <v>219</v>
      </c>
      <c r="C137" t="s">
        <v>176</v>
      </c>
      <c r="D137" t="s">
        <v>220</v>
      </c>
      <c r="E137" t="s">
        <v>173</v>
      </c>
      <c r="F137" t="s">
        <v>221</v>
      </c>
      <c r="G137" t="s">
        <v>262</v>
      </c>
      <c r="H137" t="s">
        <v>223</v>
      </c>
      <c r="I137">
        <v>8</v>
      </c>
      <c r="N137" t="str">
        <f t="shared" si="8"/>
        <v>RCU-R(4p)1</v>
      </c>
      <c r="O137" t="str">
        <f t="shared" si="9"/>
        <v>R4</v>
      </c>
      <c r="P137" t="str">
        <f t="shared" si="10"/>
        <v>bar6 - ari</v>
      </c>
      <c r="Q137">
        <f t="shared" si="11"/>
        <v>7</v>
      </c>
    </row>
    <row r="138" spans="2:17" x14ac:dyDescent="0.25">
      <c r="B138" t="s">
        <v>219</v>
      </c>
      <c r="C138" t="s">
        <v>177</v>
      </c>
      <c r="D138" t="s">
        <v>220</v>
      </c>
      <c r="E138" t="s">
        <v>173</v>
      </c>
      <c r="F138" t="s">
        <v>221</v>
      </c>
      <c r="G138" t="s">
        <v>262</v>
      </c>
      <c r="H138" t="s">
        <v>223</v>
      </c>
      <c r="I138">
        <v>10</v>
      </c>
      <c r="N138" t="str">
        <f t="shared" si="8"/>
        <v>RCU-R(4p)2</v>
      </c>
      <c r="O138" t="str">
        <f t="shared" si="9"/>
        <v>R4</v>
      </c>
      <c r="P138" t="str">
        <f t="shared" si="10"/>
        <v>bar12 - ari</v>
      </c>
      <c r="Q138">
        <f t="shared" si="11"/>
        <v>8</v>
      </c>
    </row>
    <row r="139" spans="2:17" x14ac:dyDescent="0.25">
      <c r="B139" t="s">
        <v>219</v>
      </c>
      <c r="C139" t="s">
        <v>144</v>
      </c>
      <c r="D139" t="s">
        <v>220</v>
      </c>
      <c r="E139" t="s">
        <v>173</v>
      </c>
      <c r="F139" t="s">
        <v>221</v>
      </c>
      <c r="G139" t="s">
        <v>262</v>
      </c>
      <c r="H139" t="s">
        <v>223</v>
      </c>
      <c r="I139">
        <v>11</v>
      </c>
      <c r="N139" t="str">
        <f t="shared" si="8"/>
        <v>RCU-R(4p)3</v>
      </c>
      <c r="O139" t="str">
        <f t="shared" si="9"/>
        <v>R4</v>
      </c>
      <c r="P139" t="str">
        <f t="shared" si="10"/>
        <v>bar12 - ari</v>
      </c>
      <c r="Q139">
        <f t="shared" si="11"/>
        <v>10</v>
      </c>
    </row>
    <row r="140" spans="2:17" x14ac:dyDescent="0.25">
      <c r="B140" t="s">
        <v>219</v>
      </c>
      <c r="C140" t="s">
        <v>179</v>
      </c>
      <c r="D140" t="s">
        <v>220</v>
      </c>
      <c r="E140" t="s">
        <v>173</v>
      </c>
      <c r="F140" t="s">
        <v>221</v>
      </c>
      <c r="G140" t="s">
        <v>264</v>
      </c>
      <c r="H140" t="s">
        <v>223</v>
      </c>
      <c r="I140">
        <v>13</v>
      </c>
      <c r="N140" t="str">
        <f t="shared" si="8"/>
        <v>RCU-R(2p)</v>
      </c>
      <c r="O140" t="str">
        <f t="shared" si="9"/>
        <v>R4</v>
      </c>
      <c r="P140" t="str">
        <f t="shared" si="10"/>
        <v>bar12 - ari</v>
      </c>
      <c r="Q140">
        <f t="shared" si="11"/>
        <v>11</v>
      </c>
    </row>
    <row r="141" spans="2:17" x14ac:dyDescent="0.25">
      <c r="B141" t="s">
        <v>219</v>
      </c>
      <c r="C141" t="s">
        <v>178</v>
      </c>
      <c r="D141" t="s">
        <v>220</v>
      </c>
      <c r="E141" t="s">
        <v>173</v>
      </c>
      <c r="F141" t="s">
        <v>221</v>
      </c>
      <c r="G141" t="s">
        <v>265</v>
      </c>
      <c r="H141" t="s">
        <v>223</v>
      </c>
      <c r="I141">
        <v>13</v>
      </c>
      <c r="N141" t="str">
        <f t="shared" si="8"/>
        <v>RCU-R(2p)1</v>
      </c>
      <c r="O141" t="str">
        <f t="shared" si="9"/>
        <v>R4</v>
      </c>
      <c r="P141" t="str">
        <f t="shared" si="10"/>
        <v>bar11 - ari</v>
      </c>
      <c r="Q141">
        <f t="shared" si="11"/>
        <v>13</v>
      </c>
    </row>
    <row r="142" spans="2:17" x14ac:dyDescent="0.25">
      <c r="B142" t="s">
        <v>219</v>
      </c>
      <c r="C142" t="s">
        <v>180</v>
      </c>
      <c r="D142" t="s">
        <v>220</v>
      </c>
      <c r="E142" t="s">
        <v>173</v>
      </c>
      <c r="F142" t="s">
        <v>221</v>
      </c>
      <c r="G142" t="s">
        <v>262</v>
      </c>
      <c r="H142" t="s">
        <v>223</v>
      </c>
      <c r="I142">
        <v>12</v>
      </c>
      <c r="N142" t="str">
        <f t="shared" si="8"/>
        <v>RCU-R(4p)4</v>
      </c>
      <c r="O142" t="str">
        <f t="shared" si="9"/>
        <v>R4</v>
      </c>
      <c r="P142" t="str">
        <f t="shared" si="10"/>
        <v>bar10 - ari</v>
      </c>
      <c r="Q142">
        <f t="shared" si="11"/>
        <v>13</v>
      </c>
    </row>
    <row r="143" spans="2:17" x14ac:dyDescent="0.25">
      <c r="B143" t="s">
        <v>219</v>
      </c>
      <c r="C143" t="s">
        <v>181</v>
      </c>
      <c r="D143" t="s">
        <v>220</v>
      </c>
      <c r="E143" t="s">
        <v>173</v>
      </c>
      <c r="F143" t="s">
        <v>221</v>
      </c>
      <c r="G143" t="s">
        <v>262</v>
      </c>
      <c r="H143" t="s">
        <v>223</v>
      </c>
      <c r="I143">
        <v>12</v>
      </c>
      <c r="N143" t="str">
        <f t="shared" si="8"/>
        <v>RCU-R(2p)2</v>
      </c>
      <c r="O143" t="str">
        <f t="shared" si="9"/>
        <v>R4</v>
      </c>
      <c r="P143" t="str">
        <f t="shared" si="10"/>
        <v>bar12 - ari</v>
      </c>
      <c r="Q143">
        <f t="shared" si="11"/>
        <v>12</v>
      </c>
    </row>
    <row r="144" spans="2:17" x14ac:dyDescent="0.25">
      <c r="B144" t="s">
        <v>219</v>
      </c>
      <c r="C144" t="s">
        <v>182</v>
      </c>
      <c r="D144" t="s">
        <v>220</v>
      </c>
      <c r="E144" t="s">
        <v>173</v>
      </c>
      <c r="F144" t="s">
        <v>221</v>
      </c>
      <c r="G144" t="s">
        <v>262</v>
      </c>
      <c r="H144" t="s">
        <v>223</v>
      </c>
      <c r="I144">
        <v>11</v>
      </c>
      <c r="N144" t="str">
        <f t="shared" si="8"/>
        <v>RCU-R(2p)3</v>
      </c>
      <c r="O144" t="str">
        <f t="shared" si="9"/>
        <v>R4</v>
      </c>
      <c r="P144" t="str">
        <f t="shared" si="10"/>
        <v>bar12 - ari</v>
      </c>
      <c r="Q144">
        <f t="shared" si="11"/>
        <v>12</v>
      </c>
    </row>
    <row r="145" spans="2:17" x14ac:dyDescent="0.25">
      <c r="B145" t="s">
        <v>219</v>
      </c>
      <c r="C145" t="s">
        <v>183</v>
      </c>
      <c r="D145" t="s">
        <v>220</v>
      </c>
      <c r="E145" t="s">
        <v>173</v>
      </c>
      <c r="F145" t="s">
        <v>221</v>
      </c>
      <c r="G145" t="s">
        <v>262</v>
      </c>
      <c r="H145" t="s">
        <v>223</v>
      </c>
      <c r="I145">
        <v>11</v>
      </c>
      <c r="N145" t="str">
        <f t="shared" si="8"/>
        <v>RCU-R(2p)4</v>
      </c>
      <c r="O145" t="str">
        <f t="shared" si="9"/>
        <v>R4</v>
      </c>
      <c r="P145" t="str">
        <f t="shared" si="10"/>
        <v>bar12 - ari</v>
      </c>
      <c r="Q145">
        <f t="shared" si="11"/>
        <v>11</v>
      </c>
    </row>
    <row r="146" spans="2:17" x14ac:dyDescent="0.25">
      <c r="B146" t="s">
        <v>219</v>
      </c>
      <c r="C146" t="s">
        <v>184</v>
      </c>
      <c r="D146" t="s">
        <v>220</v>
      </c>
      <c r="E146" t="s">
        <v>173</v>
      </c>
      <c r="F146" t="s">
        <v>221</v>
      </c>
      <c r="G146" t="s">
        <v>262</v>
      </c>
      <c r="H146" t="s">
        <v>223</v>
      </c>
      <c r="I146">
        <v>10</v>
      </c>
      <c r="N146" t="str">
        <f t="shared" si="8"/>
        <v>RCU-R(2p)5</v>
      </c>
      <c r="O146" t="str">
        <f t="shared" si="9"/>
        <v>R4</v>
      </c>
      <c r="P146" t="str">
        <f t="shared" si="10"/>
        <v>bar12 - ari</v>
      </c>
      <c r="Q146">
        <f t="shared" si="11"/>
        <v>11</v>
      </c>
    </row>
    <row r="147" spans="2:17" x14ac:dyDescent="0.25">
      <c r="B147" t="s">
        <v>219</v>
      </c>
      <c r="C147" t="s">
        <v>233</v>
      </c>
      <c r="D147" t="s">
        <v>220</v>
      </c>
      <c r="E147" t="s">
        <v>173</v>
      </c>
      <c r="F147" t="s">
        <v>221</v>
      </c>
      <c r="G147" t="s">
        <v>265</v>
      </c>
      <c r="H147" t="s">
        <v>223</v>
      </c>
      <c r="I147">
        <v>13</v>
      </c>
      <c r="N147" t="str">
        <f t="shared" si="8"/>
        <v>RCU-R(2p)6</v>
      </c>
      <c r="O147" t="str">
        <f t="shared" si="9"/>
        <v>R4</v>
      </c>
      <c r="P147" t="str">
        <f t="shared" si="10"/>
        <v>bar12 - ari</v>
      </c>
      <c r="Q147">
        <f t="shared" si="11"/>
        <v>10</v>
      </c>
    </row>
    <row r="148" spans="2:17" x14ac:dyDescent="0.25">
      <c r="B148" t="s">
        <v>219</v>
      </c>
      <c r="C148" t="s">
        <v>235</v>
      </c>
      <c r="D148" t="s">
        <v>220</v>
      </c>
      <c r="E148" t="s">
        <v>173</v>
      </c>
      <c r="F148" t="s">
        <v>221</v>
      </c>
      <c r="G148" t="s">
        <v>265</v>
      </c>
      <c r="H148" t="s">
        <v>223</v>
      </c>
      <c r="I148">
        <v>13</v>
      </c>
      <c r="N148" t="str">
        <f t="shared" si="8"/>
        <v>BEF-R01-</v>
      </c>
      <c r="O148" t="str">
        <f t="shared" si="9"/>
        <v>R4</v>
      </c>
      <c r="P148" t="str">
        <f t="shared" si="10"/>
        <v>bar10 - ari</v>
      </c>
      <c r="Q148">
        <f t="shared" si="11"/>
        <v>13</v>
      </c>
    </row>
    <row r="149" spans="2:17" x14ac:dyDescent="0.25">
      <c r="B149" t="s">
        <v>219</v>
      </c>
      <c r="C149" t="s">
        <v>236</v>
      </c>
      <c r="D149" t="s">
        <v>220</v>
      </c>
      <c r="E149" t="s">
        <v>173</v>
      </c>
      <c r="F149" t="s">
        <v>221</v>
      </c>
      <c r="G149" t="s">
        <v>265</v>
      </c>
      <c r="H149" t="s">
        <v>223</v>
      </c>
      <c r="I149">
        <v>13</v>
      </c>
      <c r="N149" t="str">
        <f t="shared" si="8"/>
        <v>BEF-R02-</v>
      </c>
      <c r="O149" t="str">
        <f t="shared" si="9"/>
        <v>R4</v>
      </c>
      <c r="P149" t="str">
        <f t="shared" si="10"/>
        <v>bar10 - ari</v>
      </c>
      <c r="Q149">
        <f t="shared" si="11"/>
        <v>13</v>
      </c>
    </row>
    <row r="150" spans="2:17" x14ac:dyDescent="0.25">
      <c r="B150" t="s">
        <v>219</v>
      </c>
      <c r="C150" t="s">
        <v>237</v>
      </c>
      <c r="D150" t="s">
        <v>220</v>
      </c>
      <c r="E150" t="s">
        <v>173</v>
      </c>
      <c r="F150" t="s">
        <v>221</v>
      </c>
      <c r="G150" t="s">
        <v>262</v>
      </c>
      <c r="H150" t="s">
        <v>223</v>
      </c>
      <c r="I150">
        <v>11</v>
      </c>
      <c r="N150" t="str">
        <f t="shared" si="8"/>
        <v>BEF-R03-</v>
      </c>
      <c r="O150" t="str">
        <f t="shared" si="9"/>
        <v>R4</v>
      </c>
      <c r="P150" t="str">
        <f t="shared" si="10"/>
        <v>bar10 - ari</v>
      </c>
      <c r="Q150">
        <f t="shared" si="11"/>
        <v>13</v>
      </c>
    </row>
    <row r="151" spans="2:17" x14ac:dyDescent="0.25">
      <c r="B151" t="s">
        <v>219</v>
      </c>
      <c r="C151" t="s">
        <v>238</v>
      </c>
      <c r="D151" t="s">
        <v>220</v>
      </c>
      <c r="E151" t="s">
        <v>173</v>
      </c>
      <c r="F151" t="s">
        <v>221</v>
      </c>
      <c r="G151" t="s">
        <v>265</v>
      </c>
      <c r="H151" t="s">
        <v>223</v>
      </c>
      <c r="I151">
        <v>11</v>
      </c>
      <c r="N151" t="str">
        <f t="shared" si="8"/>
        <v>BEF-R04-</v>
      </c>
      <c r="O151" t="str">
        <f t="shared" si="9"/>
        <v>R4</v>
      </c>
      <c r="P151" t="str">
        <f t="shared" si="10"/>
        <v>bar12 - ari</v>
      </c>
      <c r="Q151">
        <f t="shared" si="11"/>
        <v>11</v>
      </c>
    </row>
    <row r="152" spans="2:17" x14ac:dyDescent="0.25">
      <c r="B152" t="s">
        <v>219</v>
      </c>
      <c r="C152" t="s">
        <v>239</v>
      </c>
      <c r="D152" t="s">
        <v>220</v>
      </c>
      <c r="E152" t="s">
        <v>173</v>
      </c>
      <c r="F152" t="s">
        <v>221</v>
      </c>
      <c r="G152" t="s">
        <v>266</v>
      </c>
      <c r="H152" t="s">
        <v>223</v>
      </c>
      <c r="I152">
        <v>10</v>
      </c>
      <c r="N152" t="str">
        <f t="shared" si="8"/>
        <v>BEF-R05-</v>
      </c>
      <c r="O152" t="str">
        <f t="shared" si="9"/>
        <v>R4</v>
      </c>
      <c r="P152" t="str">
        <f t="shared" si="10"/>
        <v>bar10 - ari</v>
      </c>
      <c r="Q152">
        <f t="shared" si="11"/>
        <v>11</v>
      </c>
    </row>
    <row r="153" spans="2:17" x14ac:dyDescent="0.25">
      <c r="B153" t="s">
        <v>219</v>
      </c>
      <c r="C153" t="s">
        <v>240</v>
      </c>
      <c r="D153" t="s">
        <v>220</v>
      </c>
      <c r="E153" t="s">
        <v>173</v>
      </c>
      <c r="F153" t="s">
        <v>221</v>
      </c>
      <c r="G153" t="s">
        <v>267</v>
      </c>
      <c r="H153" t="s">
        <v>223</v>
      </c>
      <c r="I153">
        <v>11</v>
      </c>
      <c r="N153" t="str">
        <f t="shared" si="8"/>
        <v>BEF-R06-</v>
      </c>
      <c r="O153" t="str">
        <f t="shared" si="9"/>
        <v>R4</v>
      </c>
      <c r="P153" t="str">
        <f t="shared" si="10"/>
        <v>bar8 - ari</v>
      </c>
      <c r="Q153">
        <f t="shared" si="11"/>
        <v>10</v>
      </c>
    </row>
    <row r="154" spans="2:17" x14ac:dyDescent="0.25">
      <c r="B154" t="s">
        <v>219</v>
      </c>
      <c r="C154" t="s">
        <v>241</v>
      </c>
      <c r="D154" t="s">
        <v>220</v>
      </c>
      <c r="E154" t="s">
        <v>173</v>
      </c>
      <c r="F154" t="s">
        <v>221</v>
      </c>
      <c r="G154" t="s">
        <v>263</v>
      </c>
      <c r="H154" t="s">
        <v>223</v>
      </c>
      <c r="I154">
        <v>7</v>
      </c>
      <c r="N154" t="str">
        <f t="shared" si="8"/>
        <v>BEF-R07-</v>
      </c>
      <c r="O154" t="str">
        <f t="shared" si="9"/>
        <v>R4</v>
      </c>
      <c r="P154" t="str">
        <f t="shared" si="10"/>
        <v>bar7 - ari</v>
      </c>
      <c r="Q154">
        <f t="shared" si="11"/>
        <v>11</v>
      </c>
    </row>
    <row r="155" spans="2:17" x14ac:dyDescent="0.25">
      <c r="B155" t="s">
        <v>219</v>
      </c>
      <c r="C155" t="s">
        <v>242</v>
      </c>
      <c r="D155" t="s">
        <v>220</v>
      </c>
      <c r="E155" t="s">
        <v>173</v>
      </c>
      <c r="F155" t="s">
        <v>221</v>
      </c>
      <c r="G155" t="s">
        <v>234</v>
      </c>
      <c r="H155" t="s">
        <v>223</v>
      </c>
      <c r="I155">
        <v>0</v>
      </c>
      <c r="N155" t="str">
        <f t="shared" si="8"/>
        <v>BEF-R08-</v>
      </c>
      <c r="O155" t="str">
        <f t="shared" si="9"/>
        <v>R4</v>
      </c>
      <c r="P155" t="str">
        <f t="shared" si="10"/>
        <v>bar6 - ari</v>
      </c>
      <c r="Q155">
        <f t="shared" si="11"/>
        <v>7</v>
      </c>
    </row>
    <row r="156" spans="2:17" x14ac:dyDescent="0.25">
      <c r="B156" t="s">
        <v>219</v>
      </c>
      <c r="C156" t="s">
        <v>243</v>
      </c>
      <c r="D156" t="s">
        <v>220</v>
      </c>
      <c r="E156" t="s">
        <v>173</v>
      </c>
      <c r="F156" t="s">
        <v>221</v>
      </c>
      <c r="G156" t="s">
        <v>264</v>
      </c>
      <c r="H156" t="s">
        <v>223</v>
      </c>
      <c r="I156">
        <v>5</v>
      </c>
      <c r="N156" t="str">
        <f t="shared" si="8"/>
        <v>BEF-R09-</v>
      </c>
      <c r="O156" t="str">
        <f t="shared" si="9"/>
        <v>R4</v>
      </c>
      <c r="P156" t="str">
        <f t="shared" si="10"/>
        <v>None</v>
      </c>
      <c r="Q156">
        <f t="shared" si="11"/>
        <v>0</v>
      </c>
    </row>
    <row r="157" spans="2:17" x14ac:dyDescent="0.25">
      <c r="B157" t="s">
        <v>219</v>
      </c>
      <c r="C157" t="s">
        <v>244</v>
      </c>
      <c r="D157" t="s">
        <v>220</v>
      </c>
      <c r="E157" t="s">
        <v>173</v>
      </c>
      <c r="F157" t="s">
        <v>221</v>
      </c>
      <c r="G157" t="s">
        <v>234</v>
      </c>
      <c r="H157" t="s">
        <v>223</v>
      </c>
      <c r="I157">
        <v>0</v>
      </c>
      <c r="N157" t="str">
        <f t="shared" si="8"/>
        <v>BEF-R10-</v>
      </c>
      <c r="O157" t="str">
        <f t="shared" si="9"/>
        <v>R4</v>
      </c>
      <c r="P157" t="str">
        <f t="shared" si="10"/>
        <v>bar11 - ari</v>
      </c>
      <c r="Q157">
        <f t="shared" si="11"/>
        <v>5</v>
      </c>
    </row>
    <row r="158" spans="2:17" x14ac:dyDescent="0.25">
      <c r="B158" t="s">
        <v>219</v>
      </c>
      <c r="C158" t="s">
        <v>245</v>
      </c>
      <c r="D158" t="s">
        <v>220</v>
      </c>
      <c r="E158" t="s">
        <v>173</v>
      </c>
      <c r="F158" t="s">
        <v>221</v>
      </c>
      <c r="G158" t="s">
        <v>262</v>
      </c>
      <c r="H158" t="s">
        <v>223</v>
      </c>
      <c r="I158">
        <v>10</v>
      </c>
      <c r="N158" t="str">
        <f t="shared" si="8"/>
        <v>BEF-R11-</v>
      </c>
      <c r="O158" t="str">
        <f t="shared" si="9"/>
        <v>R4</v>
      </c>
      <c r="P158" t="str">
        <f t="shared" si="10"/>
        <v>None</v>
      </c>
      <c r="Q158">
        <f t="shared" si="11"/>
        <v>0</v>
      </c>
    </row>
    <row r="159" spans="2:17" x14ac:dyDescent="0.25">
      <c r="B159" t="s">
        <v>219</v>
      </c>
      <c r="C159" t="s">
        <v>246</v>
      </c>
      <c r="D159" t="s">
        <v>220</v>
      </c>
      <c r="E159" t="s">
        <v>173</v>
      </c>
      <c r="F159" t="s">
        <v>221</v>
      </c>
      <c r="G159" t="s">
        <v>262</v>
      </c>
      <c r="H159" t="s">
        <v>223</v>
      </c>
      <c r="I159">
        <v>11</v>
      </c>
      <c r="N159" t="str">
        <f t="shared" si="8"/>
        <v>BEF-R12-</v>
      </c>
      <c r="O159" t="str">
        <f t="shared" si="9"/>
        <v>R4</v>
      </c>
      <c r="P159" t="str">
        <f t="shared" si="10"/>
        <v>bar12 - ari</v>
      </c>
      <c r="Q159">
        <f t="shared" si="11"/>
        <v>10</v>
      </c>
    </row>
    <row r="160" spans="2:17" x14ac:dyDescent="0.25">
      <c r="B160" t="s">
        <v>219</v>
      </c>
      <c r="C160" t="s">
        <v>247</v>
      </c>
      <c r="D160" t="s">
        <v>220</v>
      </c>
      <c r="E160" t="s">
        <v>173</v>
      </c>
      <c r="F160" t="s">
        <v>221</v>
      </c>
      <c r="G160" t="s">
        <v>262</v>
      </c>
      <c r="H160" t="s">
        <v>223</v>
      </c>
      <c r="I160">
        <v>12</v>
      </c>
      <c r="N160" t="str">
        <f t="shared" si="8"/>
        <v>BEF-R13-</v>
      </c>
      <c r="O160" t="str">
        <f t="shared" si="9"/>
        <v>R4</v>
      </c>
      <c r="P160" t="str">
        <f t="shared" si="10"/>
        <v>bar12 - ari</v>
      </c>
      <c r="Q160">
        <f t="shared" si="11"/>
        <v>11</v>
      </c>
    </row>
    <row r="161" spans="2:17" x14ac:dyDescent="0.25">
      <c r="B161" t="s">
        <v>219</v>
      </c>
      <c r="C161" t="s">
        <v>249</v>
      </c>
      <c r="D161" t="s">
        <v>220</v>
      </c>
      <c r="E161" t="s">
        <v>173</v>
      </c>
      <c r="F161" t="s">
        <v>221</v>
      </c>
      <c r="G161" t="s">
        <v>262</v>
      </c>
      <c r="H161" t="s">
        <v>223</v>
      </c>
      <c r="I161">
        <v>12</v>
      </c>
      <c r="N161" t="str">
        <f t="shared" si="8"/>
        <v>BEF-R14-</v>
      </c>
      <c r="O161" t="str">
        <f t="shared" si="9"/>
        <v>R4</v>
      </c>
      <c r="P161" t="str">
        <f t="shared" si="10"/>
        <v>bar12 - ari</v>
      </c>
      <c r="Q161">
        <f t="shared" si="11"/>
        <v>12</v>
      </c>
    </row>
    <row r="162" spans="2:17" x14ac:dyDescent="0.25">
      <c r="B162" t="s">
        <v>219</v>
      </c>
      <c r="C162" t="s">
        <v>250</v>
      </c>
      <c r="D162" t="s">
        <v>220</v>
      </c>
      <c r="E162" t="s">
        <v>173</v>
      </c>
      <c r="F162" t="s">
        <v>221</v>
      </c>
      <c r="G162" t="s">
        <v>262</v>
      </c>
      <c r="H162" t="s">
        <v>223</v>
      </c>
      <c r="I162">
        <v>9</v>
      </c>
      <c r="N162" t="str">
        <f t="shared" si="8"/>
        <v>BEF-R15-</v>
      </c>
      <c r="O162" t="str">
        <f t="shared" si="9"/>
        <v>R4</v>
      </c>
      <c r="P162" t="str">
        <f t="shared" si="10"/>
        <v>bar12 - ari</v>
      </c>
      <c r="Q162">
        <f t="shared" si="11"/>
        <v>12</v>
      </c>
    </row>
    <row r="163" spans="2:17" x14ac:dyDescent="0.25">
      <c r="B163" t="s">
        <v>216</v>
      </c>
      <c r="C163" t="s">
        <v>217</v>
      </c>
      <c r="D163" t="s">
        <v>218</v>
      </c>
      <c r="N163" t="str">
        <f t="shared" si="8"/>
        <v>BEF-R16-</v>
      </c>
      <c r="O163" t="str">
        <f t="shared" si="9"/>
        <v>R4</v>
      </c>
      <c r="P163" t="str">
        <f t="shared" si="10"/>
        <v>bar12 - ari</v>
      </c>
      <c r="Q163">
        <f t="shared" si="11"/>
        <v>9</v>
      </c>
    </row>
    <row r="164" spans="2:17" x14ac:dyDescent="0.25">
      <c r="B164" t="s">
        <v>219</v>
      </c>
      <c r="C164" t="s">
        <v>113</v>
      </c>
      <c r="D164" t="s">
        <v>220</v>
      </c>
      <c r="E164" t="s">
        <v>174</v>
      </c>
      <c r="F164" t="s">
        <v>221</v>
      </c>
      <c r="G164" t="s">
        <v>268</v>
      </c>
      <c r="H164" t="s">
        <v>223</v>
      </c>
      <c r="I164">
        <v>14.3</v>
      </c>
      <c r="N164" s="77" t="str">
        <f t="shared" si="8"/>
        <v xml:space="preserve"> y: 213.83</v>
      </c>
      <c r="O164">
        <f t="shared" si="9"/>
        <v>0</v>
      </c>
      <c r="P164">
        <f t="shared" si="10"/>
        <v>0</v>
      </c>
      <c r="Q164">
        <f t="shared" si="11"/>
        <v>0</v>
      </c>
    </row>
    <row r="165" spans="2:17" x14ac:dyDescent="0.25">
      <c r="B165" t="s">
        <v>219</v>
      </c>
      <c r="C165" t="s">
        <v>117</v>
      </c>
      <c r="D165" t="s">
        <v>220</v>
      </c>
      <c r="E165" t="s">
        <v>174</v>
      </c>
      <c r="F165" t="s">
        <v>221</v>
      </c>
      <c r="G165" t="s">
        <v>268</v>
      </c>
      <c r="H165" t="s">
        <v>223</v>
      </c>
      <c r="I165">
        <v>12.9</v>
      </c>
      <c r="N165" t="str">
        <f t="shared" si="8"/>
        <v>MAU-R1</v>
      </c>
      <c r="O165" t="str">
        <f t="shared" si="9"/>
        <v>R5</v>
      </c>
      <c r="P165" t="str">
        <f t="shared" si="10"/>
        <v>bar17 - OB_fresnel</v>
      </c>
      <c r="Q165">
        <f t="shared" si="11"/>
        <v>14.3</v>
      </c>
    </row>
    <row r="166" spans="2:17" x14ac:dyDescent="0.25">
      <c r="B166" t="s">
        <v>219</v>
      </c>
      <c r="C166" t="s">
        <v>225</v>
      </c>
      <c r="D166" t="s">
        <v>220</v>
      </c>
      <c r="E166" t="s">
        <v>174</v>
      </c>
      <c r="F166" t="s">
        <v>221</v>
      </c>
      <c r="G166" t="s">
        <v>268</v>
      </c>
      <c r="H166" t="s">
        <v>223</v>
      </c>
      <c r="I166">
        <v>15</v>
      </c>
      <c r="N166" t="str">
        <f t="shared" si="8"/>
        <v>ERV-R.1</v>
      </c>
      <c r="O166" t="str">
        <f t="shared" si="9"/>
        <v>R5</v>
      </c>
      <c r="P166" t="str">
        <f t="shared" si="10"/>
        <v>bar17 - OB_fresnel</v>
      </c>
      <c r="Q166">
        <f t="shared" si="11"/>
        <v>12.9</v>
      </c>
    </row>
    <row r="167" spans="2:17" x14ac:dyDescent="0.25">
      <c r="B167" t="s">
        <v>219</v>
      </c>
      <c r="C167" t="s">
        <v>227</v>
      </c>
      <c r="D167" t="s">
        <v>220</v>
      </c>
      <c r="E167" t="s">
        <v>174</v>
      </c>
      <c r="F167" t="s">
        <v>221</v>
      </c>
      <c r="G167" t="s">
        <v>268</v>
      </c>
      <c r="H167" t="s">
        <v>223</v>
      </c>
      <c r="I167">
        <v>11.6</v>
      </c>
      <c r="N167" t="str">
        <f t="shared" si="8"/>
        <v>GEF-R1-</v>
      </c>
      <c r="O167" t="str">
        <f t="shared" si="9"/>
        <v>R5</v>
      </c>
      <c r="P167" t="str">
        <f t="shared" si="10"/>
        <v>bar17 - OB_fresnel</v>
      </c>
      <c r="Q167">
        <f t="shared" si="11"/>
        <v>15</v>
      </c>
    </row>
    <row r="168" spans="2:17" x14ac:dyDescent="0.25">
      <c r="B168" t="s">
        <v>219</v>
      </c>
      <c r="C168" t="s">
        <v>228</v>
      </c>
      <c r="D168" t="s">
        <v>220</v>
      </c>
      <c r="E168" t="s">
        <v>174</v>
      </c>
      <c r="F168" t="s">
        <v>221</v>
      </c>
      <c r="G168" t="s">
        <v>229</v>
      </c>
      <c r="H168" t="s">
        <v>223</v>
      </c>
      <c r="I168">
        <v>9</v>
      </c>
      <c r="N168" t="str">
        <f t="shared" si="8"/>
        <v>DEF-R1</v>
      </c>
      <c r="O168" t="str">
        <f>D167</f>
        <v xml:space="preserve"> rcvr: </v>
      </c>
      <c r="P168" t="str">
        <f>F167</f>
        <v xml:space="preserve"> bar: </v>
      </c>
      <c r="Q168">
        <f t="shared" si="11"/>
        <v>11.6</v>
      </c>
    </row>
    <row r="169" spans="2:17" x14ac:dyDescent="0.25">
      <c r="B169" t="s">
        <v>219</v>
      </c>
      <c r="C169" t="s">
        <v>129</v>
      </c>
      <c r="D169" t="s">
        <v>220</v>
      </c>
      <c r="E169" t="s">
        <v>174</v>
      </c>
      <c r="F169" t="s">
        <v>221</v>
      </c>
      <c r="G169" t="s">
        <v>268</v>
      </c>
      <c r="H169" t="s">
        <v>223</v>
      </c>
      <c r="I169">
        <v>12.6</v>
      </c>
      <c r="N169" t="str">
        <f t="shared" si="8"/>
        <v>KEF-R1-</v>
      </c>
      <c r="O169" t="str">
        <f t="shared" si="9"/>
        <v>R5</v>
      </c>
      <c r="P169" t="str">
        <f t="shared" si="10"/>
        <v>bar20 - OB_fresnel</v>
      </c>
      <c r="Q169">
        <f t="shared" si="11"/>
        <v>9</v>
      </c>
    </row>
    <row r="170" spans="2:17" x14ac:dyDescent="0.25">
      <c r="B170" t="s">
        <v>219</v>
      </c>
      <c r="C170" t="s">
        <v>131</v>
      </c>
      <c r="D170" t="s">
        <v>220</v>
      </c>
      <c r="E170" t="s">
        <v>174</v>
      </c>
      <c r="F170" t="s">
        <v>221</v>
      </c>
      <c r="G170" t="s">
        <v>269</v>
      </c>
      <c r="H170" t="s">
        <v>223</v>
      </c>
      <c r="I170">
        <v>5</v>
      </c>
      <c r="N170" t="str">
        <f t="shared" si="8"/>
        <v>DWEF-R1</v>
      </c>
      <c r="O170" t="str">
        <f t="shared" si="9"/>
        <v>R5</v>
      </c>
      <c r="P170" t="str">
        <f t="shared" si="10"/>
        <v>bar17 - OB_fresnel</v>
      </c>
      <c r="Q170">
        <f t="shared" si="11"/>
        <v>12.6</v>
      </c>
    </row>
    <row r="171" spans="2:17" x14ac:dyDescent="0.25">
      <c r="B171" t="s">
        <v>219</v>
      </c>
      <c r="C171" t="s">
        <v>134</v>
      </c>
      <c r="D171" t="s">
        <v>220</v>
      </c>
      <c r="E171" t="s">
        <v>174</v>
      </c>
      <c r="F171" t="s">
        <v>221</v>
      </c>
      <c r="G171" t="s">
        <v>269</v>
      </c>
      <c r="H171" t="s">
        <v>223</v>
      </c>
      <c r="I171">
        <v>5</v>
      </c>
      <c r="N171" t="str">
        <f t="shared" si="8"/>
        <v>CU-R1</v>
      </c>
      <c r="O171" t="str">
        <f t="shared" si="9"/>
        <v>R5</v>
      </c>
      <c r="P171" t="str">
        <f t="shared" si="10"/>
        <v>bar17 - ari</v>
      </c>
      <c r="Q171">
        <f t="shared" si="11"/>
        <v>5</v>
      </c>
    </row>
    <row r="172" spans="2:17" x14ac:dyDescent="0.25">
      <c r="B172" t="s">
        <v>219</v>
      </c>
      <c r="C172" t="s">
        <v>136</v>
      </c>
      <c r="D172" t="s">
        <v>220</v>
      </c>
      <c r="E172" t="s">
        <v>174</v>
      </c>
      <c r="F172" t="s">
        <v>221</v>
      </c>
      <c r="G172" t="s">
        <v>269</v>
      </c>
      <c r="H172" t="s">
        <v>223</v>
      </c>
      <c r="I172">
        <v>5</v>
      </c>
      <c r="N172" t="str">
        <f t="shared" si="8"/>
        <v>CU-R2</v>
      </c>
      <c r="O172" t="str">
        <f t="shared" si="9"/>
        <v>R5</v>
      </c>
      <c r="P172" t="str">
        <f t="shared" si="10"/>
        <v>bar17 - ari</v>
      </c>
      <c r="Q172">
        <f t="shared" si="11"/>
        <v>5</v>
      </c>
    </row>
    <row r="173" spans="2:17" x14ac:dyDescent="0.25">
      <c r="B173" t="s">
        <v>219</v>
      </c>
      <c r="C173" t="s">
        <v>138</v>
      </c>
      <c r="D173" t="s">
        <v>220</v>
      </c>
      <c r="E173" t="s">
        <v>174</v>
      </c>
      <c r="F173" t="s">
        <v>221</v>
      </c>
      <c r="G173" t="s">
        <v>269</v>
      </c>
      <c r="H173" t="s">
        <v>223</v>
      </c>
      <c r="I173">
        <v>7</v>
      </c>
      <c r="N173" t="str">
        <f t="shared" si="8"/>
        <v>CU-R4</v>
      </c>
      <c r="O173" t="str">
        <f t="shared" si="9"/>
        <v>R5</v>
      </c>
      <c r="P173" t="str">
        <f t="shared" si="10"/>
        <v>bar17 - ari</v>
      </c>
      <c r="Q173">
        <f t="shared" si="11"/>
        <v>5</v>
      </c>
    </row>
    <row r="174" spans="2:17" x14ac:dyDescent="0.25">
      <c r="B174" t="s">
        <v>219</v>
      </c>
      <c r="C174" t="s">
        <v>175</v>
      </c>
      <c r="D174" t="s">
        <v>220</v>
      </c>
      <c r="E174" t="s">
        <v>174</v>
      </c>
      <c r="F174" t="s">
        <v>221</v>
      </c>
      <c r="G174" t="s">
        <v>269</v>
      </c>
      <c r="H174" t="s">
        <v>223</v>
      </c>
      <c r="I174">
        <v>10</v>
      </c>
      <c r="N174" t="str">
        <f t="shared" si="8"/>
        <v>CU-R5</v>
      </c>
      <c r="O174" t="str">
        <f t="shared" si="9"/>
        <v>R5</v>
      </c>
      <c r="P174" t="str">
        <f t="shared" si="10"/>
        <v>bar17 - ari</v>
      </c>
      <c r="Q174">
        <f t="shared" si="11"/>
        <v>7</v>
      </c>
    </row>
    <row r="175" spans="2:17" x14ac:dyDescent="0.25">
      <c r="B175" t="s">
        <v>219</v>
      </c>
      <c r="C175" t="s">
        <v>176</v>
      </c>
      <c r="D175" t="s">
        <v>220</v>
      </c>
      <c r="E175" t="s">
        <v>174</v>
      </c>
      <c r="F175" t="s">
        <v>221</v>
      </c>
      <c r="G175" t="s">
        <v>269</v>
      </c>
      <c r="H175" t="s">
        <v>223</v>
      </c>
      <c r="I175">
        <v>4</v>
      </c>
      <c r="N175" t="str">
        <f t="shared" si="8"/>
        <v>RCU-R(4p)1</v>
      </c>
      <c r="O175" t="str">
        <f t="shared" si="9"/>
        <v>R5</v>
      </c>
      <c r="P175" t="str">
        <f t="shared" si="10"/>
        <v>bar17 - ari</v>
      </c>
      <c r="Q175">
        <f t="shared" si="11"/>
        <v>10</v>
      </c>
    </row>
    <row r="176" spans="2:17" x14ac:dyDescent="0.25">
      <c r="B176" t="s">
        <v>219</v>
      </c>
      <c r="C176" t="s">
        <v>177</v>
      </c>
      <c r="D176" t="s">
        <v>220</v>
      </c>
      <c r="E176" t="s">
        <v>174</v>
      </c>
      <c r="F176" t="s">
        <v>221</v>
      </c>
      <c r="G176" t="s">
        <v>269</v>
      </c>
      <c r="H176" t="s">
        <v>223</v>
      </c>
      <c r="I176">
        <v>8</v>
      </c>
      <c r="N176" t="str">
        <f t="shared" si="8"/>
        <v>RCU-R(4p)2</v>
      </c>
      <c r="O176" t="str">
        <f t="shared" si="9"/>
        <v>R5</v>
      </c>
      <c r="P176" t="str">
        <f t="shared" si="10"/>
        <v>bar17 - ari</v>
      </c>
      <c r="Q176">
        <f t="shared" si="11"/>
        <v>4</v>
      </c>
    </row>
    <row r="177" spans="2:17" x14ac:dyDescent="0.25">
      <c r="B177" t="s">
        <v>219</v>
      </c>
      <c r="C177" t="s">
        <v>144</v>
      </c>
      <c r="D177" t="s">
        <v>220</v>
      </c>
      <c r="E177" t="s">
        <v>174</v>
      </c>
      <c r="F177" t="s">
        <v>221</v>
      </c>
      <c r="G177" t="s">
        <v>269</v>
      </c>
      <c r="H177" t="s">
        <v>223</v>
      </c>
      <c r="I177">
        <v>8</v>
      </c>
      <c r="N177" t="str">
        <f t="shared" si="8"/>
        <v>RCU-R(4p)3</v>
      </c>
      <c r="O177" t="str">
        <f t="shared" si="9"/>
        <v>R5</v>
      </c>
      <c r="P177" t="str">
        <f t="shared" si="10"/>
        <v>bar17 - ari</v>
      </c>
      <c r="Q177">
        <f t="shared" si="11"/>
        <v>8</v>
      </c>
    </row>
    <row r="178" spans="2:17" x14ac:dyDescent="0.25">
      <c r="B178" t="s">
        <v>219</v>
      </c>
      <c r="C178" t="s">
        <v>179</v>
      </c>
      <c r="D178" t="s">
        <v>220</v>
      </c>
      <c r="E178" t="s">
        <v>174</v>
      </c>
      <c r="F178" t="s">
        <v>221</v>
      </c>
      <c r="G178" t="s">
        <v>269</v>
      </c>
      <c r="H178" t="s">
        <v>223</v>
      </c>
      <c r="I178">
        <v>8</v>
      </c>
      <c r="N178" t="str">
        <f t="shared" si="8"/>
        <v>RCU-R(2p)</v>
      </c>
      <c r="O178" t="str">
        <f t="shared" si="9"/>
        <v>R5</v>
      </c>
      <c r="P178" t="str">
        <f t="shared" si="10"/>
        <v>bar17 - ari</v>
      </c>
      <c r="Q178">
        <f t="shared" si="11"/>
        <v>8</v>
      </c>
    </row>
    <row r="179" spans="2:17" x14ac:dyDescent="0.25">
      <c r="B179" t="s">
        <v>219</v>
      </c>
      <c r="C179" t="s">
        <v>178</v>
      </c>
      <c r="D179" t="s">
        <v>220</v>
      </c>
      <c r="E179" t="s">
        <v>174</v>
      </c>
      <c r="F179" t="s">
        <v>221</v>
      </c>
      <c r="G179" t="s">
        <v>248</v>
      </c>
      <c r="H179" t="s">
        <v>223</v>
      </c>
      <c r="I179">
        <v>8</v>
      </c>
      <c r="N179" t="str">
        <f t="shared" si="8"/>
        <v>RCU-R(2p)1</v>
      </c>
      <c r="O179" t="str">
        <f t="shared" si="9"/>
        <v>R5</v>
      </c>
      <c r="P179" t="str">
        <f t="shared" si="10"/>
        <v>bar17 - ari</v>
      </c>
      <c r="Q179">
        <f t="shared" si="11"/>
        <v>8</v>
      </c>
    </row>
    <row r="180" spans="2:17" x14ac:dyDescent="0.25">
      <c r="B180" t="s">
        <v>219</v>
      </c>
      <c r="C180" t="s">
        <v>180</v>
      </c>
      <c r="D180" t="s">
        <v>220</v>
      </c>
      <c r="E180" t="s">
        <v>174</v>
      </c>
      <c r="F180" t="s">
        <v>221</v>
      </c>
      <c r="G180" t="s">
        <v>248</v>
      </c>
      <c r="H180" t="s">
        <v>223</v>
      </c>
      <c r="I180">
        <v>5</v>
      </c>
      <c r="N180" t="str">
        <f t="shared" si="8"/>
        <v>RCU-R(4p)4</v>
      </c>
      <c r="O180" t="str">
        <f t="shared" si="9"/>
        <v>R5</v>
      </c>
      <c r="P180" t="str">
        <f t="shared" si="10"/>
        <v>bar18 - ari</v>
      </c>
      <c r="Q180">
        <f t="shared" si="11"/>
        <v>8</v>
      </c>
    </row>
    <row r="181" spans="2:17" x14ac:dyDescent="0.25">
      <c r="B181" t="s">
        <v>219</v>
      </c>
      <c r="C181" t="s">
        <v>181</v>
      </c>
      <c r="D181" t="s">
        <v>220</v>
      </c>
      <c r="E181" t="s">
        <v>174</v>
      </c>
      <c r="F181" t="s">
        <v>221</v>
      </c>
      <c r="G181" t="s">
        <v>269</v>
      </c>
      <c r="H181" t="s">
        <v>223</v>
      </c>
      <c r="I181">
        <v>6</v>
      </c>
      <c r="N181" t="str">
        <f t="shared" si="8"/>
        <v>RCU-R(2p)2</v>
      </c>
      <c r="O181" t="str">
        <f t="shared" si="9"/>
        <v>R5</v>
      </c>
      <c r="P181" t="str">
        <f t="shared" si="10"/>
        <v>bar18 - ari</v>
      </c>
      <c r="Q181">
        <f t="shared" si="11"/>
        <v>5</v>
      </c>
    </row>
    <row r="182" spans="2:17" x14ac:dyDescent="0.25">
      <c r="B182" t="s">
        <v>219</v>
      </c>
      <c r="C182" t="s">
        <v>182</v>
      </c>
      <c r="D182" t="s">
        <v>220</v>
      </c>
      <c r="E182" t="s">
        <v>174</v>
      </c>
      <c r="F182" t="s">
        <v>221</v>
      </c>
      <c r="G182" t="s">
        <v>269</v>
      </c>
      <c r="H182" t="s">
        <v>223</v>
      </c>
      <c r="I182">
        <v>6</v>
      </c>
      <c r="N182" t="str">
        <f t="shared" si="8"/>
        <v>RCU-R(2p)3</v>
      </c>
      <c r="O182" t="str">
        <f t="shared" si="9"/>
        <v>R5</v>
      </c>
      <c r="P182" t="str">
        <f t="shared" si="10"/>
        <v>bar17 - ari</v>
      </c>
      <c r="Q182">
        <f t="shared" si="11"/>
        <v>6</v>
      </c>
    </row>
    <row r="183" spans="2:17" x14ac:dyDescent="0.25">
      <c r="B183" t="s">
        <v>219</v>
      </c>
      <c r="C183" t="s">
        <v>183</v>
      </c>
      <c r="D183" t="s">
        <v>220</v>
      </c>
      <c r="E183" t="s">
        <v>174</v>
      </c>
      <c r="F183" t="s">
        <v>221</v>
      </c>
      <c r="G183" t="s">
        <v>269</v>
      </c>
      <c r="H183" t="s">
        <v>223</v>
      </c>
      <c r="I183">
        <v>5</v>
      </c>
      <c r="N183" t="str">
        <f t="shared" si="8"/>
        <v>RCU-R(2p)4</v>
      </c>
      <c r="O183" t="str">
        <f t="shared" si="9"/>
        <v>R5</v>
      </c>
      <c r="P183" t="str">
        <f t="shared" si="10"/>
        <v>bar17 - ari</v>
      </c>
      <c r="Q183">
        <f t="shared" si="11"/>
        <v>6</v>
      </c>
    </row>
    <row r="184" spans="2:17" x14ac:dyDescent="0.25">
      <c r="B184" t="s">
        <v>219</v>
      </c>
      <c r="C184" t="s">
        <v>184</v>
      </c>
      <c r="D184" t="s">
        <v>220</v>
      </c>
      <c r="E184" t="s">
        <v>174</v>
      </c>
      <c r="F184" t="s">
        <v>221</v>
      </c>
      <c r="G184" t="s">
        <v>269</v>
      </c>
      <c r="H184" t="s">
        <v>223</v>
      </c>
      <c r="I184">
        <v>5</v>
      </c>
      <c r="N184" t="str">
        <f t="shared" si="8"/>
        <v>RCU-R(2p)5</v>
      </c>
      <c r="O184" t="str">
        <f t="shared" si="9"/>
        <v>R5</v>
      </c>
      <c r="P184" t="str">
        <f t="shared" si="10"/>
        <v>bar17 - ari</v>
      </c>
      <c r="Q184">
        <f t="shared" si="11"/>
        <v>5</v>
      </c>
    </row>
    <row r="185" spans="2:17" x14ac:dyDescent="0.25">
      <c r="B185" t="s">
        <v>219</v>
      </c>
      <c r="C185" t="s">
        <v>233</v>
      </c>
      <c r="D185" t="s">
        <v>220</v>
      </c>
      <c r="E185" t="s">
        <v>174</v>
      </c>
      <c r="F185" t="s">
        <v>221</v>
      </c>
      <c r="G185" t="s">
        <v>234</v>
      </c>
      <c r="H185" t="s">
        <v>223</v>
      </c>
      <c r="I185">
        <v>0</v>
      </c>
      <c r="N185" t="str">
        <f t="shared" si="8"/>
        <v>RCU-R(2p)6</v>
      </c>
      <c r="O185" t="str">
        <f t="shared" si="9"/>
        <v>R5</v>
      </c>
      <c r="P185" t="str">
        <f t="shared" si="10"/>
        <v>bar17 - ari</v>
      </c>
      <c r="Q185">
        <f t="shared" si="11"/>
        <v>5</v>
      </c>
    </row>
    <row r="186" spans="2:17" x14ac:dyDescent="0.25">
      <c r="B186" t="s">
        <v>219</v>
      </c>
      <c r="C186" t="s">
        <v>235</v>
      </c>
      <c r="D186" t="s">
        <v>220</v>
      </c>
      <c r="E186" t="s">
        <v>174</v>
      </c>
      <c r="F186" t="s">
        <v>221</v>
      </c>
      <c r="G186" t="s">
        <v>232</v>
      </c>
      <c r="H186" t="s">
        <v>223</v>
      </c>
      <c r="I186">
        <v>5</v>
      </c>
      <c r="N186" t="str">
        <f t="shared" si="8"/>
        <v>BEF-R01-</v>
      </c>
      <c r="O186" t="str">
        <f t="shared" si="9"/>
        <v>R5</v>
      </c>
      <c r="P186" t="str">
        <f t="shared" si="10"/>
        <v>None</v>
      </c>
      <c r="Q186">
        <f t="shared" si="11"/>
        <v>0</v>
      </c>
    </row>
    <row r="187" spans="2:17" x14ac:dyDescent="0.25">
      <c r="B187" t="s">
        <v>219</v>
      </c>
      <c r="C187" t="s">
        <v>236</v>
      </c>
      <c r="D187" t="s">
        <v>220</v>
      </c>
      <c r="E187" t="s">
        <v>174</v>
      </c>
      <c r="F187" t="s">
        <v>221</v>
      </c>
      <c r="G187" t="s">
        <v>269</v>
      </c>
      <c r="H187" t="s">
        <v>223</v>
      </c>
      <c r="I187">
        <v>8</v>
      </c>
      <c r="N187" t="str">
        <f t="shared" si="8"/>
        <v>BEF-R02-</v>
      </c>
      <c r="O187" t="str">
        <f t="shared" si="9"/>
        <v>R5</v>
      </c>
      <c r="P187" t="str">
        <f t="shared" si="10"/>
        <v>bar20 - ari</v>
      </c>
      <c r="Q187">
        <f t="shared" si="11"/>
        <v>5</v>
      </c>
    </row>
    <row r="188" spans="2:17" x14ac:dyDescent="0.25">
      <c r="B188" t="s">
        <v>219</v>
      </c>
      <c r="C188" t="s">
        <v>237</v>
      </c>
      <c r="D188" t="s">
        <v>220</v>
      </c>
      <c r="E188" t="s">
        <v>174</v>
      </c>
      <c r="F188" t="s">
        <v>221</v>
      </c>
      <c r="G188" t="s">
        <v>269</v>
      </c>
      <c r="H188" t="s">
        <v>223</v>
      </c>
      <c r="I188">
        <v>8</v>
      </c>
      <c r="N188" t="str">
        <f t="shared" si="8"/>
        <v>BEF-R03-</v>
      </c>
      <c r="O188" t="str">
        <f t="shared" si="9"/>
        <v>R5</v>
      </c>
      <c r="P188" t="str">
        <f t="shared" si="10"/>
        <v>bar17 - ari</v>
      </c>
      <c r="Q188">
        <f t="shared" si="11"/>
        <v>8</v>
      </c>
    </row>
    <row r="189" spans="2:17" x14ac:dyDescent="0.25">
      <c r="B189" t="s">
        <v>219</v>
      </c>
      <c r="C189" t="s">
        <v>238</v>
      </c>
      <c r="D189" t="s">
        <v>220</v>
      </c>
      <c r="E189" t="s">
        <v>174</v>
      </c>
      <c r="F189" t="s">
        <v>221</v>
      </c>
      <c r="G189" t="s">
        <v>269</v>
      </c>
      <c r="H189" t="s">
        <v>223</v>
      </c>
      <c r="I189">
        <v>9</v>
      </c>
      <c r="N189" t="str">
        <f t="shared" si="8"/>
        <v>BEF-R04-</v>
      </c>
      <c r="O189" t="str">
        <f t="shared" si="9"/>
        <v>R5</v>
      </c>
      <c r="P189" t="str">
        <f t="shared" si="10"/>
        <v>bar17 - ari</v>
      </c>
      <c r="Q189">
        <f t="shared" si="11"/>
        <v>8</v>
      </c>
    </row>
    <row r="190" spans="2:17" x14ac:dyDescent="0.25">
      <c r="B190" t="s">
        <v>219</v>
      </c>
      <c r="C190" t="s">
        <v>239</v>
      </c>
      <c r="D190" t="s">
        <v>220</v>
      </c>
      <c r="E190" t="s">
        <v>174</v>
      </c>
      <c r="F190" t="s">
        <v>221</v>
      </c>
      <c r="G190" t="s">
        <v>269</v>
      </c>
      <c r="H190" t="s">
        <v>223</v>
      </c>
      <c r="I190">
        <v>10</v>
      </c>
      <c r="N190" t="str">
        <f t="shared" si="8"/>
        <v>BEF-R05-</v>
      </c>
      <c r="O190" t="str">
        <f t="shared" si="9"/>
        <v>R5</v>
      </c>
      <c r="P190" t="str">
        <f t="shared" si="10"/>
        <v>bar17 - ari</v>
      </c>
      <c r="Q190">
        <f t="shared" si="11"/>
        <v>9</v>
      </c>
    </row>
    <row r="191" spans="2:17" x14ac:dyDescent="0.25">
      <c r="B191" t="s">
        <v>219</v>
      </c>
      <c r="C191" t="s">
        <v>240</v>
      </c>
      <c r="D191" t="s">
        <v>220</v>
      </c>
      <c r="E191" t="s">
        <v>174</v>
      </c>
      <c r="F191" t="s">
        <v>221</v>
      </c>
      <c r="G191" t="s">
        <v>269</v>
      </c>
      <c r="H191" t="s">
        <v>223</v>
      </c>
      <c r="I191">
        <v>11</v>
      </c>
      <c r="N191" t="str">
        <f t="shared" si="8"/>
        <v>BEF-R06-</v>
      </c>
      <c r="O191" t="str">
        <f t="shared" si="9"/>
        <v>R5</v>
      </c>
      <c r="P191" t="str">
        <f t="shared" si="10"/>
        <v>bar17 - ari</v>
      </c>
      <c r="Q191">
        <f t="shared" si="11"/>
        <v>10</v>
      </c>
    </row>
    <row r="192" spans="2:17" x14ac:dyDescent="0.25">
      <c r="B192" t="s">
        <v>219</v>
      </c>
      <c r="C192" t="s">
        <v>241</v>
      </c>
      <c r="D192" t="s">
        <v>220</v>
      </c>
      <c r="E192" t="s">
        <v>174</v>
      </c>
      <c r="F192" t="s">
        <v>221</v>
      </c>
      <c r="G192" t="s">
        <v>269</v>
      </c>
      <c r="H192" t="s">
        <v>223</v>
      </c>
      <c r="I192">
        <v>10</v>
      </c>
      <c r="N192" t="str">
        <f t="shared" si="8"/>
        <v>BEF-R07-</v>
      </c>
      <c r="O192" t="str">
        <f t="shared" si="9"/>
        <v>R5</v>
      </c>
      <c r="P192" t="str">
        <f t="shared" si="10"/>
        <v>bar17 - ari</v>
      </c>
      <c r="Q192">
        <f t="shared" si="11"/>
        <v>11</v>
      </c>
    </row>
    <row r="193" spans="2:17" x14ac:dyDescent="0.25">
      <c r="B193" t="s">
        <v>219</v>
      </c>
      <c r="C193" t="s">
        <v>242</v>
      </c>
      <c r="D193" t="s">
        <v>220</v>
      </c>
      <c r="E193" t="s">
        <v>174</v>
      </c>
      <c r="F193" t="s">
        <v>221</v>
      </c>
      <c r="G193" t="s">
        <v>269</v>
      </c>
      <c r="H193" t="s">
        <v>223</v>
      </c>
      <c r="I193">
        <v>9</v>
      </c>
      <c r="N193" t="str">
        <f t="shared" si="8"/>
        <v>BEF-R08-</v>
      </c>
      <c r="O193" t="str">
        <f t="shared" si="9"/>
        <v>R5</v>
      </c>
      <c r="P193" t="str">
        <f t="shared" si="10"/>
        <v>bar17 - ari</v>
      </c>
      <c r="Q193">
        <f t="shared" si="11"/>
        <v>10</v>
      </c>
    </row>
    <row r="194" spans="2:17" x14ac:dyDescent="0.25">
      <c r="B194" t="s">
        <v>219</v>
      </c>
      <c r="C194" t="s">
        <v>243</v>
      </c>
      <c r="D194" t="s">
        <v>220</v>
      </c>
      <c r="E194" t="s">
        <v>174</v>
      </c>
      <c r="F194" t="s">
        <v>221</v>
      </c>
      <c r="G194" t="s">
        <v>269</v>
      </c>
      <c r="H194" t="s">
        <v>223</v>
      </c>
      <c r="I194">
        <v>8</v>
      </c>
      <c r="N194" t="str">
        <f t="shared" si="8"/>
        <v>BEF-R09-</v>
      </c>
      <c r="O194" t="str">
        <f t="shared" si="9"/>
        <v>R5</v>
      </c>
      <c r="P194" t="str">
        <f t="shared" si="10"/>
        <v>bar17 - ari</v>
      </c>
      <c r="Q194">
        <f t="shared" si="11"/>
        <v>9</v>
      </c>
    </row>
    <row r="195" spans="2:17" x14ac:dyDescent="0.25">
      <c r="B195" t="s">
        <v>219</v>
      </c>
      <c r="C195" t="s">
        <v>244</v>
      </c>
      <c r="D195" t="s">
        <v>220</v>
      </c>
      <c r="E195" t="s">
        <v>174</v>
      </c>
      <c r="F195" t="s">
        <v>221</v>
      </c>
      <c r="G195" t="s">
        <v>269</v>
      </c>
      <c r="H195" t="s">
        <v>223</v>
      </c>
      <c r="I195">
        <v>6</v>
      </c>
      <c r="N195" t="str">
        <f t="shared" si="8"/>
        <v>BEF-R10-</v>
      </c>
      <c r="O195" t="str">
        <f t="shared" si="9"/>
        <v>R5</v>
      </c>
      <c r="P195" t="str">
        <f t="shared" si="10"/>
        <v>bar17 - ari</v>
      </c>
      <c r="Q195">
        <f t="shared" si="11"/>
        <v>8</v>
      </c>
    </row>
    <row r="196" spans="2:17" x14ac:dyDescent="0.25">
      <c r="B196" t="s">
        <v>219</v>
      </c>
      <c r="C196" t="s">
        <v>245</v>
      </c>
      <c r="D196" t="s">
        <v>220</v>
      </c>
      <c r="E196" t="s">
        <v>174</v>
      </c>
      <c r="F196" t="s">
        <v>221</v>
      </c>
      <c r="G196" t="s">
        <v>269</v>
      </c>
      <c r="H196" t="s">
        <v>223</v>
      </c>
      <c r="I196">
        <v>2</v>
      </c>
      <c r="N196" t="str">
        <f t="shared" ref="N196:N241" si="12">C195</f>
        <v>BEF-R11-</v>
      </c>
      <c r="O196" t="str">
        <f t="shared" ref="O196:O241" si="13">E195</f>
        <v>R5</v>
      </c>
      <c r="P196" t="str">
        <f t="shared" ref="P196:P241" si="14">G195</f>
        <v>bar17 - ari</v>
      </c>
      <c r="Q196">
        <f t="shared" ref="Q196:Q241" si="15">I195</f>
        <v>6</v>
      </c>
    </row>
    <row r="197" spans="2:17" x14ac:dyDescent="0.25">
      <c r="B197" t="s">
        <v>219</v>
      </c>
      <c r="C197" t="s">
        <v>246</v>
      </c>
      <c r="D197" t="s">
        <v>220</v>
      </c>
      <c r="E197" t="s">
        <v>174</v>
      </c>
      <c r="F197" t="s">
        <v>221</v>
      </c>
      <c r="G197" t="s">
        <v>269</v>
      </c>
      <c r="H197" t="s">
        <v>223</v>
      </c>
      <c r="I197">
        <v>3</v>
      </c>
      <c r="N197" t="str">
        <f t="shared" si="12"/>
        <v>BEF-R12-</v>
      </c>
      <c r="O197" t="str">
        <f t="shared" si="13"/>
        <v>R5</v>
      </c>
      <c r="P197" t="str">
        <f t="shared" si="14"/>
        <v>bar17 - ari</v>
      </c>
      <c r="Q197">
        <f t="shared" si="15"/>
        <v>2</v>
      </c>
    </row>
    <row r="198" spans="2:17" x14ac:dyDescent="0.25">
      <c r="B198" t="s">
        <v>219</v>
      </c>
      <c r="C198" t="s">
        <v>247</v>
      </c>
      <c r="D198" t="s">
        <v>220</v>
      </c>
      <c r="E198" t="s">
        <v>174</v>
      </c>
      <c r="F198" t="s">
        <v>221</v>
      </c>
      <c r="G198" t="s">
        <v>248</v>
      </c>
      <c r="H198" t="s">
        <v>223</v>
      </c>
      <c r="I198">
        <v>2</v>
      </c>
      <c r="N198" t="str">
        <f t="shared" si="12"/>
        <v>BEF-R13-</v>
      </c>
      <c r="O198" t="str">
        <f t="shared" si="13"/>
        <v>R5</v>
      </c>
      <c r="P198" t="str">
        <f t="shared" si="14"/>
        <v>bar17 - ari</v>
      </c>
      <c r="Q198">
        <f t="shared" si="15"/>
        <v>3</v>
      </c>
    </row>
    <row r="199" spans="2:17" x14ac:dyDescent="0.25">
      <c r="B199" t="s">
        <v>219</v>
      </c>
      <c r="C199" t="s">
        <v>249</v>
      </c>
      <c r="D199" t="s">
        <v>220</v>
      </c>
      <c r="E199" t="s">
        <v>174</v>
      </c>
      <c r="F199" t="s">
        <v>221</v>
      </c>
      <c r="G199" t="s">
        <v>234</v>
      </c>
      <c r="H199" t="s">
        <v>223</v>
      </c>
      <c r="I199">
        <v>0</v>
      </c>
      <c r="N199" t="str">
        <f t="shared" si="12"/>
        <v>BEF-R14-</v>
      </c>
      <c r="O199" t="str">
        <f t="shared" si="13"/>
        <v>R5</v>
      </c>
      <c r="P199" t="str">
        <f t="shared" si="14"/>
        <v>bar18 - ari</v>
      </c>
      <c r="Q199">
        <f t="shared" si="15"/>
        <v>2</v>
      </c>
    </row>
    <row r="200" spans="2:17" x14ac:dyDescent="0.25">
      <c r="B200" t="s">
        <v>219</v>
      </c>
      <c r="C200" t="s">
        <v>250</v>
      </c>
      <c r="D200" t="s">
        <v>220</v>
      </c>
      <c r="E200" t="s">
        <v>174</v>
      </c>
      <c r="F200" t="s">
        <v>221</v>
      </c>
      <c r="G200" t="s">
        <v>269</v>
      </c>
      <c r="H200" t="s">
        <v>223</v>
      </c>
      <c r="I200">
        <v>2</v>
      </c>
      <c r="N200" t="str">
        <f t="shared" si="12"/>
        <v>BEF-R15-</v>
      </c>
      <c r="O200" t="str">
        <f t="shared" si="13"/>
        <v>R5</v>
      </c>
      <c r="P200" t="str">
        <f t="shared" si="14"/>
        <v>None</v>
      </c>
      <c r="Q200">
        <f t="shared" si="15"/>
        <v>0</v>
      </c>
    </row>
    <row r="201" spans="2:17" x14ac:dyDescent="0.25">
      <c r="N201" t="str">
        <f t="shared" si="12"/>
        <v>BEF-R16-</v>
      </c>
      <c r="O201" t="str">
        <f t="shared" si="13"/>
        <v>R5</v>
      </c>
      <c r="P201" t="str">
        <f t="shared" si="14"/>
        <v>bar17 - ari</v>
      </c>
      <c r="Q201">
        <f t="shared" si="15"/>
        <v>2</v>
      </c>
    </row>
    <row r="202" spans="2:17" x14ac:dyDescent="0.25">
      <c r="N202">
        <f t="shared" si="12"/>
        <v>0</v>
      </c>
      <c r="O202">
        <f t="shared" si="13"/>
        <v>0</v>
      </c>
      <c r="P202">
        <f t="shared" si="14"/>
        <v>0</v>
      </c>
      <c r="Q202">
        <f t="shared" si="15"/>
        <v>0</v>
      </c>
    </row>
    <row r="203" spans="2:17" x14ac:dyDescent="0.25">
      <c r="N203">
        <f t="shared" si="12"/>
        <v>0</v>
      </c>
      <c r="O203">
        <f t="shared" si="13"/>
        <v>0</v>
      </c>
      <c r="P203">
        <f t="shared" si="14"/>
        <v>0</v>
      </c>
      <c r="Q203">
        <f t="shared" si="15"/>
        <v>0</v>
      </c>
    </row>
    <row r="204" spans="2:17" x14ac:dyDescent="0.25">
      <c r="N204">
        <f t="shared" si="12"/>
        <v>0</v>
      </c>
      <c r="O204">
        <f t="shared" si="13"/>
        <v>0</v>
      </c>
      <c r="P204">
        <f t="shared" si="14"/>
        <v>0</v>
      </c>
      <c r="Q204">
        <f t="shared" si="15"/>
        <v>0</v>
      </c>
    </row>
    <row r="205" spans="2:17" x14ac:dyDescent="0.25">
      <c r="N205">
        <f t="shared" si="12"/>
        <v>0</v>
      </c>
      <c r="O205">
        <f t="shared" si="13"/>
        <v>0</v>
      </c>
      <c r="P205">
        <f t="shared" si="14"/>
        <v>0</v>
      </c>
      <c r="Q205">
        <f t="shared" si="15"/>
        <v>0</v>
      </c>
    </row>
    <row r="206" spans="2:17" x14ac:dyDescent="0.25">
      <c r="N206">
        <f t="shared" si="12"/>
        <v>0</v>
      </c>
      <c r="O206">
        <f t="shared" si="13"/>
        <v>0</v>
      </c>
      <c r="P206">
        <f t="shared" si="14"/>
        <v>0</v>
      </c>
      <c r="Q206">
        <f t="shared" si="15"/>
        <v>0</v>
      </c>
    </row>
    <row r="207" spans="2:17" x14ac:dyDescent="0.25">
      <c r="N207">
        <f t="shared" si="12"/>
        <v>0</v>
      </c>
      <c r="O207">
        <f t="shared" si="13"/>
        <v>0</v>
      </c>
      <c r="P207">
        <f t="shared" si="14"/>
        <v>0</v>
      </c>
      <c r="Q207">
        <f t="shared" si="15"/>
        <v>0</v>
      </c>
    </row>
    <row r="208" spans="2:17" x14ac:dyDescent="0.25">
      <c r="N208">
        <f t="shared" si="12"/>
        <v>0</v>
      </c>
      <c r="O208">
        <f t="shared" si="13"/>
        <v>0</v>
      </c>
      <c r="P208">
        <f t="shared" si="14"/>
        <v>0</v>
      </c>
      <c r="Q208">
        <f t="shared" si="15"/>
        <v>0</v>
      </c>
    </row>
    <row r="209" spans="14:17" x14ac:dyDescent="0.25">
      <c r="N209">
        <f t="shared" si="12"/>
        <v>0</v>
      </c>
      <c r="O209">
        <f t="shared" si="13"/>
        <v>0</v>
      </c>
      <c r="P209">
        <f t="shared" si="14"/>
        <v>0</v>
      </c>
      <c r="Q209">
        <f t="shared" si="15"/>
        <v>0</v>
      </c>
    </row>
    <row r="210" spans="14:17" x14ac:dyDescent="0.25">
      <c r="N210">
        <f t="shared" si="12"/>
        <v>0</v>
      </c>
      <c r="O210">
        <f t="shared" si="13"/>
        <v>0</v>
      </c>
      <c r="P210">
        <f t="shared" si="14"/>
        <v>0</v>
      </c>
      <c r="Q210">
        <f t="shared" si="15"/>
        <v>0</v>
      </c>
    </row>
    <row r="211" spans="14:17" x14ac:dyDescent="0.25">
      <c r="N211">
        <f t="shared" si="12"/>
        <v>0</v>
      </c>
      <c r="O211">
        <f t="shared" si="13"/>
        <v>0</v>
      </c>
      <c r="P211">
        <f t="shared" si="14"/>
        <v>0</v>
      </c>
      <c r="Q211">
        <f t="shared" si="15"/>
        <v>0</v>
      </c>
    </row>
    <row r="212" spans="14:17" x14ac:dyDescent="0.25">
      <c r="N212">
        <f t="shared" si="12"/>
        <v>0</v>
      </c>
      <c r="O212">
        <f t="shared" si="13"/>
        <v>0</v>
      </c>
      <c r="P212">
        <f t="shared" si="14"/>
        <v>0</v>
      </c>
      <c r="Q212">
        <f t="shared" si="15"/>
        <v>0</v>
      </c>
    </row>
    <row r="213" spans="14:17" x14ac:dyDescent="0.25">
      <c r="N213">
        <f t="shared" si="12"/>
        <v>0</v>
      </c>
      <c r="O213">
        <f t="shared" si="13"/>
        <v>0</v>
      </c>
      <c r="P213">
        <f t="shared" si="14"/>
        <v>0</v>
      </c>
      <c r="Q213">
        <f t="shared" si="15"/>
        <v>0</v>
      </c>
    </row>
    <row r="214" spans="14:17" x14ac:dyDescent="0.25">
      <c r="N214">
        <f t="shared" si="12"/>
        <v>0</v>
      </c>
      <c r="O214">
        <f t="shared" si="13"/>
        <v>0</v>
      </c>
      <c r="P214">
        <f t="shared" si="14"/>
        <v>0</v>
      </c>
      <c r="Q214">
        <f t="shared" si="15"/>
        <v>0</v>
      </c>
    </row>
    <row r="215" spans="14:17" x14ac:dyDescent="0.25">
      <c r="N215">
        <f t="shared" si="12"/>
        <v>0</v>
      </c>
      <c r="O215">
        <f t="shared" si="13"/>
        <v>0</v>
      </c>
      <c r="P215">
        <f t="shared" si="14"/>
        <v>0</v>
      </c>
      <c r="Q215">
        <f t="shared" si="15"/>
        <v>0</v>
      </c>
    </row>
    <row r="216" spans="14:17" x14ac:dyDescent="0.25">
      <c r="N216">
        <f t="shared" si="12"/>
        <v>0</v>
      </c>
      <c r="O216">
        <f t="shared" si="13"/>
        <v>0</v>
      </c>
      <c r="P216">
        <f t="shared" si="14"/>
        <v>0</v>
      </c>
      <c r="Q216">
        <f t="shared" si="15"/>
        <v>0</v>
      </c>
    </row>
    <row r="217" spans="14:17" x14ac:dyDescent="0.25">
      <c r="N217">
        <f t="shared" si="12"/>
        <v>0</v>
      </c>
      <c r="O217">
        <f t="shared" si="13"/>
        <v>0</v>
      </c>
      <c r="P217">
        <f t="shared" si="14"/>
        <v>0</v>
      </c>
      <c r="Q217">
        <f t="shared" si="15"/>
        <v>0</v>
      </c>
    </row>
    <row r="218" spans="14:17" x14ac:dyDescent="0.25">
      <c r="N218">
        <f t="shared" si="12"/>
        <v>0</v>
      </c>
      <c r="O218">
        <f t="shared" si="13"/>
        <v>0</v>
      </c>
      <c r="P218">
        <f t="shared" si="14"/>
        <v>0</v>
      </c>
      <c r="Q218">
        <f t="shared" si="15"/>
        <v>0</v>
      </c>
    </row>
    <row r="219" spans="14:17" x14ac:dyDescent="0.25">
      <c r="N219">
        <f t="shared" si="12"/>
        <v>0</v>
      </c>
      <c r="O219">
        <f t="shared" si="13"/>
        <v>0</v>
      </c>
      <c r="P219">
        <f t="shared" si="14"/>
        <v>0</v>
      </c>
      <c r="Q219">
        <f t="shared" si="15"/>
        <v>0</v>
      </c>
    </row>
    <row r="220" spans="14:17" x14ac:dyDescent="0.25">
      <c r="N220">
        <f t="shared" si="12"/>
        <v>0</v>
      </c>
      <c r="O220">
        <f t="shared" si="13"/>
        <v>0</v>
      </c>
      <c r="P220">
        <f t="shared" si="14"/>
        <v>0</v>
      </c>
      <c r="Q220">
        <f t="shared" si="15"/>
        <v>0</v>
      </c>
    </row>
    <row r="221" spans="14:17" x14ac:dyDescent="0.25">
      <c r="N221">
        <f t="shared" si="12"/>
        <v>0</v>
      </c>
      <c r="O221">
        <f t="shared" si="13"/>
        <v>0</v>
      </c>
      <c r="P221">
        <f t="shared" si="14"/>
        <v>0</v>
      </c>
      <c r="Q221">
        <f t="shared" si="15"/>
        <v>0</v>
      </c>
    </row>
    <row r="222" spans="14:17" x14ac:dyDescent="0.25">
      <c r="N222">
        <f t="shared" si="12"/>
        <v>0</v>
      </c>
      <c r="O222">
        <f t="shared" si="13"/>
        <v>0</v>
      </c>
      <c r="P222">
        <f t="shared" si="14"/>
        <v>0</v>
      </c>
      <c r="Q222">
        <f t="shared" si="15"/>
        <v>0</v>
      </c>
    </row>
    <row r="223" spans="14:17" x14ac:dyDescent="0.25">
      <c r="N223">
        <f t="shared" si="12"/>
        <v>0</v>
      </c>
      <c r="O223">
        <f t="shared" si="13"/>
        <v>0</v>
      </c>
      <c r="P223">
        <f t="shared" si="14"/>
        <v>0</v>
      </c>
      <c r="Q223">
        <f t="shared" si="15"/>
        <v>0</v>
      </c>
    </row>
    <row r="224" spans="14:17" x14ac:dyDescent="0.25">
      <c r="N224">
        <f t="shared" si="12"/>
        <v>0</v>
      </c>
      <c r="O224">
        <f t="shared" si="13"/>
        <v>0</v>
      </c>
      <c r="P224">
        <f t="shared" si="14"/>
        <v>0</v>
      </c>
      <c r="Q224">
        <f t="shared" si="15"/>
        <v>0</v>
      </c>
    </row>
    <row r="225" spans="14:17" x14ac:dyDescent="0.25">
      <c r="N225">
        <f t="shared" si="12"/>
        <v>0</v>
      </c>
      <c r="O225">
        <f t="shared" si="13"/>
        <v>0</v>
      </c>
      <c r="P225">
        <f t="shared" si="14"/>
        <v>0</v>
      </c>
      <c r="Q225">
        <f t="shared" si="15"/>
        <v>0</v>
      </c>
    </row>
    <row r="226" spans="14:17" x14ac:dyDescent="0.25">
      <c r="N226">
        <f t="shared" si="12"/>
        <v>0</v>
      </c>
      <c r="O226">
        <f t="shared" si="13"/>
        <v>0</v>
      </c>
      <c r="P226">
        <f t="shared" si="14"/>
        <v>0</v>
      </c>
      <c r="Q226">
        <f t="shared" si="15"/>
        <v>0</v>
      </c>
    </row>
    <row r="227" spans="14:17" x14ac:dyDescent="0.25">
      <c r="N227">
        <f t="shared" si="12"/>
        <v>0</v>
      </c>
      <c r="O227">
        <f t="shared" si="13"/>
        <v>0</v>
      </c>
      <c r="P227">
        <f t="shared" si="14"/>
        <v>0</v>
      </c>
      <c r="Q227">
        <f t="shared" si="15"/>
        <v>0</v>
      </c>
    </row>
    <row r="228" spans="14:17" x14ac:dyDescent="0.25">
      <c r="N228">
        <f t="shared" si="12"/>
        <v>0</v>
      </c>
      <c r="O228">
        <f t="shared" si="13"/>
        <v>0</v>
      </c>
      <c r="P228">
        <f t="shared" si="14"/>
        <v>0</v>
      </c>
      <c r="Q228">
        <f t="shared" si="15"/>
        <v>0</v>
      </c>
    </row>
    <row r="229" spans="14:17" x14ac:dyDescent="0.25">
      <c r="N229">
        <f t="shared" si="12"/>
        <v>0</v>
      </c>
      <c r="O229">
        <f t="shared" si="13"/>
        <v>0</v>
      </c>
      <c r="P229">
        <f t="shared" si="14"/>
        <v>0</v>
      </c>
      <c r="Q229">
        <f t="shared" si="15"/>
        <v>0</v>
      </c>
    </row>
    <row r="230" spans="14:17" x14ac:dyDescent="0.25">
      <c r="N230">
        <f t="shared" si="12"/>
        <v>0</v>
      </c>
      <c r="O230">
        <f t="shared" si="13"/>
        <v>0</v>
      </c>
      <c r="P230">
        <f t="shared" si="14"/>
        <v>0</v>
      </c>
      <c r="Q230">
        <f t="shared" si="15"/>
        <v>0</v>
      </c>
    </row>
    <row r="231" spans="14:17" x14ac:dyDescent="0.25">
      <c r="N231">
        <f t="shared" si="12"/>
        <v>0</v>
      </c>
      <c r="O231">
        <f t="shared" si="13"/>
        <v>0</v>
      </c>
      <c r="P231">
        <f t="shared" si="14"/>
        <v>0</v>
      </c>
      <c r="Q231">
        <f t="shared" si="15"/>
        <v>0</v>
      </c>
    </row>
    <row r="232" spans="14:17" x14ac:dyDescent="0.25">
      <c r="N232">
        <f t="shared" si="12"/>
        <v>0</v>
      </c>
      <c r="O232">
        <f t="shared" si="13"/>
        <v>0</v>
      </c>
      <c r="P232">
        <f t="shared" si="14"/>
        <v>0</v>
      </c>
      <c r="Q232">
        <f t="shared" si="15"/>
        <v>0</v>
      </c>
    </row>
    <row r="233" spans="14:17" x14ac:dyDescent="0.25">
      <c r="N233">
        <f t="shared" si="12"/>
        <v>0</v>
      </c>
      <c r="O233">
        <f t="shared" si="13"/>
        <v>0</v>
      </c>
      <c r="P233">
        <f t="shared" si="14"/>
        <v>0</v>
      </c>
      <c r="Q233">
        <f t="shared" si="15"/>
        <v>0</v>
      </c>
    </row>
    <row r="234" spans="14:17" x14ac:dyDescent="0.25">
      <c r="N234">
        <f t="shared" si="12"/>
        <v>0</v>
      </c>
      <c r="O234">
        <f t="shared" si="13"/>
        <v>0</v>
      </c>
      <c r="P234">
        <f t="shared" si="14"/>
        <v>0</v>
      </c>
      <c r="Q234">
        <f t="shared" si="15"/>
        <v>0</v>
      </c>
    </row>
    <row r="235" spans="14:17" x14ac:dyDescent="0.25">
      <c r="N235">
        <f t="shared" si="12"/>
        <v>0</v>
      </c>
      <c r="O235">
        <f t="shared" si="13"/>
        <v>0</v>
      </c>
      <c r="P235">
        <f t="shared" si="14"/>
        <v>0</v>
      </c>
      <c r="Q235">
        <f t="shared" si="15"/>
        <v>0</v>
      </c>
    </row>
    <row r="236" spans="14:17" x14ac:dyDescent="0.25">
      <c r="N236">
        <f t="shared" si="12"/>
        <v>0</v>
      </c>
      <c r="O236">
        <f t="shared" si="13"/>
        <v>0</v>
      </c>
      <c r="P236">
        <f t="shared" si="14"/>
        <v>0</v>
      </c>
      <c r="Q236">
        <f t="shared" si="15"/>
        <v>0</v>
      </c>
    </row>
    <row r="237" spans="14:17" x14ac:dyDescent="0.25">
      <c r="N237">
        <f t="shared" si="12"/>
        <v>0</v>
      </c>
      <c r="O237">
        <f t="shared" si="13"/>
        <v>0</v>
      </c>
      <c r="P237">
        <f t="shared" si="14"/>
        <v>0</v>
      </c>
      <c r="Q237">
        <f t="shared" si="15"/>
        <v>0</v>
      </c>
    </row>
    <row r="238" spans="14:17" x14ac:dyDescent="0.25">
      <c r="N238">
        <f t="shared" si="12"/>
        <v>0</v>
      </c>
      <c r="O238">
        <f t="shared" si="13"/>
        <v>0</v>
      </c>
      <c r="P238">
        <f t="shared" si="14"/>
        <v>0</v>
      </c>
      <c r="Q238">
        <f t="shared" si="15"/>
        <v>0</v>
      </c>
    </row>
    <row r="239" spans="14:17" x14ac:dyDescent="0.25">
      <c r="N239">
        <f t="shared" si="12"/>
        <v>0</v>
      </c>
      <c r="O239">
        <f t="shared" si="13"/>
        <v>0</v>
      </c>
      <c r="P239">
        <f t="shared" si="14"/>
        <v>0</v>
      </c>
      <c r="Q239">
        <f t="shared" si="15"/>
        <v>0</v>
      </c>
    </row>
    <row r="240" spans="14:17" x14ac:dyDescent="0.25">
      <c r="N240">
        <f t="shared" si="12"/>
        <v>0</v>
      </c>
      <c r="O240">
        <f t="shared" si="13"/>
        <v>0</v>
      </c>
      <c r="P240">
        <f t="shared" si="14"/>
        <v>0</v>
      </c>
      <c r="Q240">
        <f t="shared" si="15"/>
        <v>0</v>
      </c>
    </row>
    <row r="241" spans="14:17" x14ac:dyDescent="0.25">
      <c r="N241">
        <f t="shared" si="12"/>
        <v>0</v>
      </c>
      <c r="O241">
        <f t="shared" si="13"/>
        <v>0</v>
      </c>
      <c r="P241">
        <f t="shared" si="14"/>
        <v>0</v>
      </c>
      <c r="Q241">
        <f t="shared" si="15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S60"/>
  <sheetViews>
    <sheetView zoomScaleNormal="100" workbookViewId="0">
      <selection activeCell="E7" sqref="E7"/>
    </sheetView>
  </sheetViews>
  <sheetFormatPr defaultRowHeight="15" x14ac:dyDescent="0.25"/>
  <cols>
    <col min="1" max="1" width="9.140625" customWidth="1"/>
    <col min="2" max="2" width="9.140625" style="67" customWidth="1"/>
    <col min="3" max="3" width="23.140625" bestFit="1" customWidth="1"/>
    <col min="4" max="4" width="6.7109375" customWidth="1"/>
    <col min="5" max="5" width="15.7109375" bestFit="1" customWidth="1"/>
    <col min="6" max="6" width="9.140625" bestFit="1" customWidth="1"/>
    <col min="7" max="7" width="18" bestFit="1" customWidth="1"/>
    <col min="8" max="8" width="8.28515625" customWidth="1"/>
    <col min="14" max="14" width="8.7109375" customWidth="1"/>
    <col min="15" max="15" width="9.140625" style="67" customWidth="1"/>
    <col min="16" max="16" width="23.140625" bestFit="1" customWidth="1"/>
    <col min="17" max="17" width="6.7109375" customWidth="1"/>
    <col min="18" max="18" width="15.7109375" bestFit="1" customWidth="1"/>
    <col min="19" max="19" width="8.28515625" customWidth="1"/>
  </cols>
  <sheetData>
    <row r="1" spans="2:19" ht="15.75" customHeight="1" thickBot="1" x14ac:dyDescent="0.3"/>
    <row r="2" spans="2:19" ht="33.75" customHeight="1" thickBot="1" x14ac:dyDescent="0.35">
      <c r="B2" s="93" t="s">
        <v>79</v>
      </c>
      <c r="C2" s="94" t="s">
        <v>80</v>
      </c>
      <c r="D2" s="95" t="s">
        <v>81</v>
      </c>
      <c r="E2" s="95" t="s">
        <v>82</v>
      </c>
      <c r="F2" s="96" t="s">
        <v>83</v>
      </c>
      <c r="G2" s="97" t="s">
        <v>84</v>
      </c>
      <c r="H2" s="98" t="s">
        <v>85</v>
      </c>
      <c r="J2" s="69" t="s">
        <v>28</v>
      </c>
      <c r="O2" s="93" t="s">
        <v>79</v>
      </c>
      <c r="P2" s="94" t="s">
        <v>80</v>
      </c>
      <c r="Q2" s="95" t="s">
        <v>81</v>
      </c>
      <c r="R2" s="95" t="s">
        <v>82</v>
      </c>
      <c r="S2" s="98" t="s">
        <v>85</v>
      </c>
    </row>
    <row r="3" spans="2:19" ht="16.5" customHeight="1" x14ac:dyDescent="0.3">
      <c r="B3" s="191">
        <f>IF('Input LwA_XYZ'!A2 = 0, "", 'Input LwA_XYZ'!A2)</f>
        <v>1</v>
      </c>
      <c r="C3" s="192" t="str">
        <f>IF($B3="","",_xlfn.TEXTJOIN(" - ",TRUE,'Input LwA_XYZ'!B2:C2))</f>
        <v>MAU-R1 - Ducted Inlet</v>
      </c>
      <c r="D3" s="90">
        <f>IF($B3="","",'Input LwA_XYZ'!Q2)</f>
        <v>86</v>
      </c>
      <c r="E3" s="91" t="str">
        <f>IF($B3="","",-1*ROUND(_xlfn.XLOOKUP($J$2,'Input LwA_XYZ'!$AY$1:$BM$1,'Input LwA_XYZ'!AY2:BM2),0) &amp; " / " &amp; ROUND(_xlfn.XLOOKUP($J$2,'Input LwA_XYZ'!$AH$1:$AV$1,'Input LwA_XYZ'!AH2:AV2),0) &amp; " ft")</f>
        <v>33 / 58 ft</v>
      </c>
      <c r="F3" s="91">
        <f>IF($B3="","",IF(_xlfn.XLOOKUP($J$2,'Input LwA_XYZ'!$BV$1:$CJ$1,'Input LwA_XYZ'!BV2:CJ2)="","-",_xlfn.XLOOKUP($J$2,'Input LwA_XYZ'!$BV$1:$CJ$1,'Input LwA_XYZ'!BV2:CJ2)))</f>
        <v>16.899999999999999</v>
      </c>
      <c r="G3" s="91" t="str">
        <f>IF($B3="","",IF('Input LwA_XYZ'!S2="","-",'Input LwA_XYZ'!S2))</f>
        <v>-</v>
      </c>
      <c r="H3" s="92">
        <f>IF($B3="","",_xlfn.XLOOKUP($J$2,'Input LwA_XYZ'!$CM$1:$DA$1,'Input LwA_XYZ'!CM2:DA2))</f>
        <v>36.13595504440616</v>
      </c>
      <c r="I3" s="5">
        <f t="shared" ref="I3:I34" si="0">IFERROR(10^(H3/10),0)</f>
        <v>4107.6696051497074</v>
      </c>
      <c r="J3" s="107">
        <f t="shared" ref="J3:J34" si="1">H3</f>
        <v>36.13595504440616</v>
      </c>
      <c r="O3" s="193">
        <v>1</v>
      </c>
      <c r="P3" s="194" t="s">
        <v>86</v>
      </c>
      <c r="Q3" s="90">
        <v>83</v>
      </c>
      <c r="R3" s="91" t="s">
        <v>87</v>
      </c>
      <c r="S3" s="92">
        <v>41.458616948516692</v>
      </c>
    </row>
    <row r="4" spans="2:19" ht="16.5" customHeight="1" x14ac:dyDescent="0.3">
      <c r="B4" s="195">
        <f>IF('Input LwA_XYZ'!A3 = 0, "", 'Input LwA_XYZ'!A3)</f>
        <v>1</v>
      </c>
      <c r="C4" s="192" t="str">
        <f>IF($B4="","",_xlfn.TEXTJOIN(" - ",TRUE,'Input LwA_XYZ'!B3:C3))</f>
        <v>ERV-R.1 - Outdoor+Casing+Exhaust</v>
      </c>
      <c r="D4" s="64">
        <f>IF($B4="","",'Input LwA_XYZ'!Q3)</f>
        <v>91</v>
      </c>
      <c r="E4" s="91" t="str">
        <f>IF($B4="","",-1*ROUND(_xlfn.XLOOKUP($J$2,'Input LwA_XYZ'!$AY$1:$BM$1,'Input LwA_XYZ'!AY3:BM3),0) &amp; " / " &amp; ROUND(_xlfn.XLOOKUP($J$2,'Input LwA_XYZ'!$AH$1:$AV$1,'Input LwA_XYZ'!AH3:AV3),0) &amp; " ft")</f>
        <v>37 / 91 ft</v>
      </c>
      <c r="F4" s="91">
        <f>IF($B4="","",IF(_xlfn.XLOOKUP($J$2,'Input LwA_XYZ'!$BV$1:$CJ$1,'Input LwA_XYZ'!BV3:CJ3)="","-",_xlfn.XLOOKUP($J$2,'Input LwA_XYZ'!$BV$1:$CJ$1,'Input LwA_XYZ'!BV3:CJ3)))</f>
        <v>17.600000000000001</v>
      </c>
      <c r="G4" s="91" t="str">
        <f>IF($B4="","",IF('Input LwA_XYZ'!S3="","-",'Input LwA_XYZ'!S3))</f>
        <v>-</v>
      </c>
      <c r="H4" s="65">
        <f>IF($B4="","",_xlfn.XLOOKUP($J$2,'Input LwA_XYZ'!$CM$1:$DA$1,'Input LwA_XYZ'!CM3:DA3))</f>
        <v>36.553806778312442</v>
      </c>
      <c r="I4" s="5">
        <f t="shared" si="0"/>
        <v>4522.5218922238591</v>
      </c>
      <c r="J4" s="107">
        <f t="shared" si="1"/>
        <v>36.553806778312442</v>
      </c>
      <c r="O4" s="196">
        <v>1</v>
      </c>
      <c r="P4" s="194" t="s">
        <v>88</v>
      </c>
      <c r="Q4" s="64">
        <v>80</v>
      </c>
      <c r="R4" s="91" t="s">
        <v>89</v>
      </c>
      <c r="S4" s="65">
        <v>37.497302266460508</v>
      </c>
    </row>
    <row r="5" spans="2:19" ht="16.5" customHeight="1" x14ac:dyDescent="0.3">
      <c r="B5" s="195">
        <f>IF('Input LwA_XYZ'!A4 = 0, "", 'Input LwA_XYZ'!A4)</f>
        <v>1</v>
      </c>
      <c r="C5" s="192" t="str">
        <f>IF($B5="","",_xlfn.TEXTJOIN(" - ",TRUE,'Input LwA_XYZ'!B4:C4))</f>
        <v>GEF-R1  - Inlet (plus ductwork lined)</v>
      </c>
      <c r="D5" s="64">
        <f>IF($B5="","",'Input LwA_XYZ'!Q4)</f>
        <v>82</v>
      </c>
      <c r="E5" s="91" t="str">
        <f>IF($B5="","",-1*ROUND(_xlfn.XLOOKUP($J$2,'Input LwA_XYZ'!$AY$1:$BM$1,'Input LwA_XYZ'!AY4:BM4),0) &amp; " / " &amp; ROUND(_xlfn.XLOOKUP($J$2,'Input LwA_XYZ'!$AH$1:$AV$1,'Input LwA_XYZ'!AH4:AV4),0) &amp; " ft")</f>
        <v>39 / 113 ft</v>
      </c>
      <c r="F5" s="91">
        <f>IF($B5="","",IF(_xlfn.XLOOKUP($J$2,'Input LwA_XYZ'!$BV$1:$CJ$1,'Input LwA_XYZ'!BV4:CJ4)="","-",_xlfn.XLOOKUP($J$2,'Input LwA_XYZ'!$BV$1:$CJ$1,'Input LwA_XYZ'!BV4:CJ4)))</f>
        <v>15.9</v>
      </c>
      <c r="G5" s="91">
        <f>IF($B5="","",IF('Input LwA_XYZ'!S4="","-",'Input LwA_XYZ'!S4))</f>
        <v>13</v>
      </c>
      <c r="H5" s="65">
        <f>IF($B5="","",_xlfn.XLOOKUP($J$2,'Input LwA_XYZ'!$CM$1:$DA$1,'Input LwA_XYZ'!CM4:DA4))</f>
        <v>14.357586877827321</v>
      </c>
      <c r="I5" s="5">
        <f t="shared" si="0"/>
        <v>27.2746186956036</v>
      </c>
      <c r="J5" s="107">
        <f t="shared" si="1"/>
        <v>14.357586877827321</v>
      </c>
      <c r="O5" s="196">
        <v>1</v>
      </c>
      <c r="P5" s="194" t="s">
        <v>90</v>
      </c>
      <c r="Q5" s="64">
        <v>69.997776127584842</v>
      </c>
      <c r="R5" s="91" t="s">
        <v>91</v>
      </c>
      <c r="S5" s="65">
        <v>28.964805972602282</v>
      </c>
    </row>
    <row r="6" spans="2:19" ht="16.5" customHeight="1" x14ac:dyDescent="0.3">
      <c r="B6" s="195">
        <f>IF('Input LwA_XYZ'!A5 = 0, "", 'Input LwA_XYZ'!A5)</f>
        <v>1</v>
      </c>
      <c r="C6" s="192" t="str">
        <f>IF($B6="","",_xlfn.TEXTJOIN(" - ",TRUE,'Input LwA_XYZ'!B5:C5))</f>
        <v>DEF-R1, R2 - Inlet</v>
      </c>
      <c r="D6" s="64">
        <f>IF($B6="","",'Input LwA_XYZ'!Q5)</f>
        <v>70</v>
      </c>
      <c r="E6" s="91" t="str">
        <f>IF($B6="","",-1*ROUND(_xlfn.XLOOKUP($J$2,'Input LwA_XYZ'!$AY$1:$BM$1,'Input LwA_XYZ'!AY5:BM5),0) &amp; " / " &amp; ROUND(_xlfn.XLOOKUP($J$2,'Input LwA_XYZ'!$AH$1:$AV$1,'Input LwA_XYZ'!AH5:AV5),0) &amp; " ft")</f>
        <v>38 / 100 ft</v>
      </c>
      <c r="F6" s="91">
        <f>IF($B6="","",IF(_xlfn.XLOOKUP($J$2,'Input LwA_XYZ'!$BV$1:$CJ$1,'Input LwA_XYZ'!BV5:CJ5)="","-",_xlfn.XLOOKUP($J$2,'Input LwA_XYZ'!$BV$1:$CJ$1,'Input LwA_XYZ'!BV5:CJ5)))</f>
        <v>15.3</v>
      </c>
      <c r="G6" s="91" t="str">
        <f>IF($B6="","",IF('Input LwA_XYZ'!S5="","-",'Input LwA_XYZ'!S5))</f>
        <v>-</v>
      </c>
      <c r="H6" s="65">
        <f>IF($B6="","",_xlfn.XLOOKUP($J$2,'Input LwA_XYZ'!$CM$1:$DA$1,'Input LwA_XYZ'!CM5:DA5))</f>
        <v>17.000954165573969</v>
      </c>
      <c r="I6" s="5">
        <f t="shared" si="0"/>
        <v>50.129735893655798</v>
      </c>
      <c r="J6" s="107">
        <f t="shared" si="1"/>
        <v>17.000954165573969</v>
      </c>
      <c r="O6" s="196">
        <v>1</v>
      </c>
      <c r="P6" s="194" t="s">
        <v>92</v>
      </c>
      <c r="Q6" s="64">
        <v>68.997776127584856</v>
      </c>
      <c r="R6" s="91" t="s">
        <v>93</v>
      </c>
      <c r="S6" s="65">
        <v>28.003712134169799</v>
      </c>
    </row>
    <row r="7" spans="2:19" ht="16.5" customHeight="1" x14ac:dyDescent="0.3">
      <c r="B7" s="195">
        <f>IF('Input LwA_XYZ'!A6 = 0, "", 'Input LwA_XYZ'!A6)</f>
        <v>1</v>
      </c>
      <c r="C7" s="192" t="str">
        <f>IF($B7="","",_xlfn.TEXTJOIN(" - ",TRUE,'Input LwA_XYZ'!B6:C6))</f>
        <v>KEF-R1  - Inlet</v>
      </c>
      <c r="D7" s="64">
        <f>IF($B7="","",'Input LwA_XYZ'!Q6)</f>
        <v>80</v>
      </c>
      <c r="E7" s="91" t="str">
        <f>IF($B7="","",-1*ROUND(_xlfn.XLOOKUP($J$2,'Input LwA_XYZ'!$AY$1:$BM$1,'Input LwA_XYZ'!AY6:BM6),0) &amp; " / " &amp; ROUND(_xlfn.XLOOKUP($J$2,'Input LwA_XYZ'!$AH$1:$AV$1,'Input LwA_XYZ'!AH6:AV6),0) &amp; " ft")</f>
        <v>34 / 68 ft</v>
      </c>
      <c r="F7" s="91">
        <f>IF($B7="","",IF(_xlfn.XLOOKUP($J$2,'Input LwA_XYZ'!$BV$1:$CJ$1,'Input LwA_XYZ'!BV6:CJ6)="","-",_xlfn.XLOOKUP($J$2,'Input LwA_XYZ'!$BV$1:$CJ$1,'Input LwA_XYZ'!BV6:CJ6)))</f>
        <v>15.4</v>
      </c>
      <c r="G7" s="91" t="str">
        <f>IF($B7="","",IF('Input LwA_XYZ'!S6="","-",'Input LwA_XYZ'!S6))</f>
        <v>-</v>
      </c>
      <c r="H7" s="65">
        <f>IF($B7="","",_xlfn.XLOOKUP($J$2,'Input LwA_XYZ'!$CM$1:$DA$1,'Input LwA_XYZ'!CM6:DA6))</f>
        <v>30.334224892398836</v>
      </c>
      <c r="I7" s="5">
        <f t="shared" si="0"/>
        <v>1079.9968511116435</v>
      </c>
      <c r="J7" s="107">
        <f t="shared" si="1"/>
        <v>30.334224892398836</v>
      </c>
      <c r="O7" s="196">
        <v>1</v>
      </c>
      <c r="P7" s="194" t="s">
        <v>94</v>
      </c>
      <c r="Q7" s="64">
        <v>69.997776127584842</v>
      </c>
      <c r="R7" s="91" t="s">
        <v>95</v>
      </c>
      <c r="S7" s="65">
        <v>29.222135437550548</v>
      </c>
    </row>
    <row r="8" spans="2:19" ht="16.5" customHeight="1" x14ac:dyDescent="0.3">
      <c r="B8" s="195">
        <f>IF('Input LwA_XYZ'!A7 = 0, "", 'Input LwA_XYZ'!A7)</f>
        <v>1</v>
      </c>
      <c r="C8" s="192" t="str">
        <f>IF($B8="","",_xlfn.TEXTJOIN(" - ",TRUE,'Input LwA_XYZ'!B7:C7))</f>
        <v>DWEF-R1 - Inlet</v>
      </c>
      <c r="D8" s="64">
        <f>IF($B8="","",'Input LwA_XYZ'!Q7)</f>
        <v>71</v>
      </c>
      <c r="E8" s="91" t="str">
        <f>IF($B8="","",-1*ROUND(_xlfn.XLOOKUP($J$2,'Input LwA_XYZ'!$AY$1:$BM$1,'Input LwA_XYZ'!AY7:BM7),0) &amp; " / " &amp; ROUND(_xlfn.XLOOKUP($J$2,'Input LwA_XYZ'!$AH$1:$AV$1,'Input LwA_XYZ'!AH7:AV7),0) &amp; " ft")</f>
        <v>33 / 62 ft</v>
      </c>
      <c r="F8" s="91">
        <f>IF($B8="","",IF(_xlfn.XLOOKUP($J$2,'Input LwA_XYZ'!$BV$1:$CJ$1,'Input LwA_XYZ'!BV7:CJ7)="","-",_xlfn.XLOOKUP($J$2,'Input LwA_XYZ'!$BV$1:$CJ$1,'Input LwA_XYZ'!BV7:CJ7)))</f>
        <v>16.100000000000001</v>
      </c>
      <c r="G8" s="91" t="str">
        <f>IF($B8="","",IF('Input LwA_XYZ'!S7="","-",'Input LwA_XYZ'!S7))</f>
        <v>-</v>
      </c>
      <c r="H8" s="65">
        <f>IF($B8="","",_xlfn.XLOOKUP($J$2,'Input LwA_XYZ'!$CM$1:$DA$1,'Input LwA_XYZ'!CM7:DA7))</f>
        <v>21.440069525541489</v>
      </c>
      <c r="I8" s="5">
        <f t="shared" si="0"/>
        <v>139.31791059586857</v>
      </c>
      <c r="J8" s="107">
        <f t="shared" si="1"/>
        <v>21.440069525541489</v>
      </c>
      <c r="O8" s="196">
        <v>1</v>
      </c>
      <c r="P8" s="194" t="s">
        <v>96</v>
      </c>
      <c r="Q8" s="64">
        <v>65.997776127584842</v>
      </c>
      <c r="R8" s="91" t="s">
        <v>97</v>
      </c>
      <c r="S8" s="65">
        <v>24.918693169721109</v>
      </c>
    </row>
    <row r="9" spans="2:19" ht="16.5" customHeight="1" x14ac:dyDescent="0.3">
      <c r="B9" s="195">
        <f>IF('Input LwA_XYZ'!A8 = 0, "", 'Input LwA_XYZ'!A8)</f>
        <v>1</v>
      </c>
      <c r="C9" s="192" t="str">
        <f>IF($B9="","",_xlfn.TEXTJOIN(" - ",TRUE,'Input LwA_XYZ'!B8:C8))</f>
        <v>CU-R1 - Radiated</v>
      </c>
      <c r="D9" s="64">
        <f>IF($B9="","",'Input LwA_XYZ'!Q8)</f>
        <v>84</v>
      </c>
      <c r="E9" s="91" t="str">
        <f>IF($B9="","",-1*ROUND(_xlfn.XLOOKUP($J$2,'Input LwA_XYZ'!$AY$1:$BM$1,'Input LwA_XYZ'!AY8:BM8),0) &amp; " / " &amp; ROUND(_xlfn.XLOOKUP($J$2,'Input LwA_XYZ'!$AH$1:$AV$1,'Input LwA_XYZ'!AH8:AV8),0) &amp; " ft")</f>
        <v>35 / 78 ft</v>
      </c>
      <c r="F9" s="91">
        <f>IF($B9="","",IF(_xlfn.XLOOKUP($J$2,'Input LwA_XYZ'!$BV$1:$CJ$1,'Input LwA_XYZ'!BV8:CJ8)="","-",_xlfn.XLOOKUP($J$2,'Input LwA_XYZ'!$BV$1:$CJ$1,'Input LwA_XYZ'!BV8:CJ8)))</f>
        <v>8</v>
      </c>
      <c r="G9" s="91" t="str">
        <f>IF($B9="","",IF('Input LwA_XYZ'!S8="","-",'Input LwA_XYZ'!S8))</f>
        <v>-</v>
      </c>
      <c r="H9" s="65">
        <f>IF($B9="","",_xlfn.XLOOKUP($J$2,'Input LwA_XYZ'!$CM$1:$DA$1,'Input LwA_XYZ'!CM8:DA8))</f>
        <v>40.52140187763441</v>
      </c>
      <c r="I9" s="5">
        <f t="shared" si="0"/>
        <v>11275.613677689737</v>
      </c>
      <c r="J9" s="107">
        <f t="shared" si="1"/>
        <v>40.52140187763441</v>
      </c>
      <c r="O9" s="196">
        <v>1</v>
      </c>
      <c r="P9" s="194" t="s">
        <v>98</v>
      </c>
      <c r="Q9" s="64">
        <v>71.997776127584842</v>
      </c>
      <c r="R9" s="91" t="s">
        <v>99</v>
      </c>
      <c r="S9" s="65">
        <v>30.648488548244959</v>
      </c>
    </row>
    <row r="10" spans="2:19" ht="16.5" customHeight="1" x14ac:dyDescent="0.3">
      <c r="B10" s="195">
        <f>IF('Input LwA_XYZ'!A9 = 0, "", 'Input LwA_XYZ'!A9)</f>
        <v>1</v>
      </c>
      <c r="C10" s="192" t="str">
        <f>IF($B10="","",_xlfn.TEXTJOIN(" - ",TRUE,'Input LwA_XYZ'!B9:C9))</f>
        <v>CU-R2 - Radiated</v>
      </c>
      <c r="D10" s="64">
        <f>IF($B10="","",'Input LwA_XYZ'!Q9)</f>
        <v>81</v>
      </c>
      <c r="E10" s="91" t="str">
        <f>IF($B10="","",-1*ROUND(_xlfn.XLOOKUP($J$2,'Input LwA_XYZ'!$AY$1:$BM$1,'Input LwA_XYZ'!AY9:BM9),0) &amp; " / " &amp; ROUND(_xlfn.XLOOKUP($J$2,'Input LwA_XYZ'!$AH$1:$AV$1,'Input LwA_XYZ'!AH9:AV9),0) &amp; " ft")</f>
        <v>35 / 75 ft</v>
      </c>
      <c r="F10" s="91">
        <f>IF($B10="","",IF(_xlfn.XLOOKUP($J$2,'Input LwA_XYZ'!$BV$1:$CJ$1,'Input LwA_XYZ'!BV9:CJ9)="","-",_xlfn.XLOOKUP($J$2,'Input LwA_XYZ'!$BV$1:$CJ$1,'Input LwA_XYZ'!BV9:CJ9)))</f>
        <v>10</v>
      </c>
      <c r="G10" s="91" t="str">
        <f>IF($B10="","",IF('Input LwA_XYZ'!S9="","-",'Input LwA_XYZ'!S9))</f>
        <v>-</v>
      </c>
      <c r="H10" s="65">
        <f>IF($B10="","",_xlfn.XLOOKUP($J$2,'Input LwA_XYZ'!$CM$1:$DA$1,'Input LwA_XYZ'!CM9:DA9))</f>
        <v>35.80408608731566</v>
      </c>
      <c r="I10" s="5">
        <f t="shared" si="0"/>
        <v>3805.4726826413194</v>
      </c>
      <c r="J10" s="107">
        <f t="shared" si="1"/>
        <v>35.80408608731566</v>
      </c>
      <c r="O10" s="196">
        <v>1</v>
      </c>
      <c r="P10" s="194" t="s">
        <v>100</v>
      </c>
      <c r="Q10" s="64">
        <v>71.997776127584842</v>
      </c>
      <c r="R10" s="91" t="s">
        <v>101</v>
      </c>
      <c r="S10" s="65">
        <v>31.96131128074482</v>
      </c>
    </row>
    <row r="11" spans="2:19" ht="16.5" customHeight="1" x14ac:dyDescent="0.3">
      <c r="B11" s="195">
        <f>IF('Input LwA_XYZ'!A10 = 0, "", 'Input LwA_XYZ'!A10)</f>
        <v>1</v>
      </c>
      <c r="C11" s="192" t="str">
        <f>IF($B11="","",_xlfn.TEXTJOIN(" - ",TRUE,'Input LwA_XYZ'!B10:C10))</f>
        <v>CU-R4 - Radiated</v>
      </c>
      <c r="D11" s="64">
        <f>IF($B11="","",'Input LwA_XYZ'!Q10)</f>
        <v>73</v>
      </c>
      <c r="E11" s="91" t="str">
        <f>IF($B11="","",-1*ROUND(_xlfn.XLOOKUP($J$2,'Input LwA_XYZ'!$AY$1:$BM$1,'Input LwA_XYZ'!AY10:BM10),0) &amp; " / " &amp; ROUND(_xlfn.XLOOKUP($J$2,'Input LwA_XYZ'!$AH$1:$AV$1,'Input LwA_XYZ'!AH10:AV10),0) &amp; " ft")</f>
        <v>36 / 84 ft</v>
      </c>
      <c r="F11" s="91">
        <f>IF($B11="","",IF(_xlfn.XLOOKUP($J$2,'Input LwA_XYZ'!$BV$1:$CJ$1,'Input LwA_XYZ'!BV10:CJ10)="","-",_xlfn.XLOOKUP($J$2,'Input LwA_XYZ'!$BV$1:$CJ$1,'Input LwA_XYZ'!BV10:CJ10)))</f>
        <v>10</v>
      </c>
      <c r="G11" s="91" t="str">
        <f>IF($B11="","",IF('Input LwA_XYZ'!S10="","-",'Input LwA_XYZ'!S10))</f>
        <v>-</v>
      </c>
      <c r="H11" s="65">
        <f>IF($B11="","",_xlfn.XLOOKUP($J$2,'Input LwA_XYZ'!$CM$1:$DA$1,'Input LwA_XYZ'!CM10:DA10))</f>
        <v>26.852291475833873</v>
      </c>
      <c r="I11" s="5">
        <f t="shared" si="0"/>
        <v>484.42789973408503</v>
      </c>
      <c r="J11" s="107">
        <f t="shared" si="1"/>
        <v>26.852291475833873</v>
      </c>
      <c r="O11" s="196">
        <v>1</v>
      </c>
      <c r="P11" s="194" t="s">
        <v>102</v>
      </c>
      <c r="Q11" s="64">
        <v>60.659699340071633</v>
      </c>
      <c r="R11" s="91" t="s">
        <v>103</v>
      </c>
      <c r="S11" s="65">
        <v>15.768676619536629</v>
      </c>
    </row>
    <row r="12" spans="2:19" ht="16.5" customHeight="1" x14ac:dyDescent="0.3">
      <c r="B12" s="195">
        <f>IF('Input LwA_XYZ'!A11 = 0, "", 'Input LwA_XYZ'!A11)</f>
        <v>1</v>
      </c>
      <c r="C12" s="192" t="str">
        <f>IF($B12="","",_xlfn.TEXTJOIN(" - ",TRUE,'Input LwA_XYZ'!B11:C11))</f>
        <v>CU-R5 - Radiated</v>
      </c>
      <c r="D12" s="64">
        <f>IF($B12="","",'Input LwA_XYZ'!Q11)</f>
        <v>75</v>
      </c>
      <c r="E12" s="91" t="str">
        <f>IF($B12="","",-1*ROUND(_xlfn.XLOOKUP($J$2,'Input LwA_XYZ'!$AY$1:$BM$1,'Input LwA_XYZ'!AY11:BM11),0) &amp; " / " &amp; ROUND(_xlfn.XLOOKUP($J$2,'Input LwA_XYZ'!$AH$1:$AV$1,'Input LwA_XYZ'!AH11:AV11),0) &amp; " ft")</f>
        <v>33 / 62 ft</v>
      </c>
      <c r="F12" s="91">
        <f>IF($B12="","",IF(_xlfn.XLOOKUP($J$2,'Input LwA_XYZ'!$BV$1:$CJ$1,'Input LwA_XYZ'!BV11:CJ11)="","-",_xlfn.XLOOKUP($J$2,'Input LwA_XYZ'!$BV$1:$CJ$1,'Input LwA_XYZ'!BV11:CJ11)))</f>
        <v>8</v>
      </c>
      <c r="G12" s="91" t="str">
        <f>IF($B12="","",IF('Input LwA_XYZ'!S11="","-",'Input LwA_XYZ'!S11))</f>
        <v>-</v>
      </c>
      <c r="H12" s="65">
        <f>IF($B12="","",_xlfn.XLOOKUP($J$2,'Input LwA_XYZ'!$CM$1:$DA$1,'Input LwA_XYZ'!CM11:DA11))</f>
        <v>33.537434955241174</v>
      </c>
      <c r="I12" s="5">
        <f t="shared" si="0"/>
        <v>2258.1016886326061</v>
      </c>
      <c r="J12" s="107">
        <f t="shared" si="1"/>
        <v>33.537434955241174</v>
      </c>
      <c r="O12" s="196">
        <v>1</v>
      </c>
      <c r="P12" s="194" t="s">
        <v>104</v>
      </c>
      <c r="Q12" s="64">
        <v>63.65969934007164</v>
      </c>
      <c r="R12" s="91" t="s">
        <v>103</v>
      </c>
      <c r="S12" s="65">
        <v>18.801073826877431</v>
      </c>
    </row>
    <row r="13" spans="2:19" ht="16.5" customHeight="1" x14ac:dyDescent="0.3">
      <c r="B13" s="195">
        <f>IF('Input LwA_XYZ'!A12 = 0, "", 'Input LwA_XYZ'!A12)</f>
        <v>4</v>
      </c>
      <c r="C13" s="192" t="str">
        <f>IF($B13="","",_xlfn.TEXTJOIN(" - ",TRUE,'Input LwA_XYZ'!B12:C12))</f>
        <v>RCU-R(4p)1 - Radiated</v>
      </c>
      <c r="D13" s="64">
        <f>IF($B13="","",'Input LwA_XYZ'!Q12)</f>
        <v>79.020599913279625</v>
      </c>
      <c r="E13" s="91" t="str">
        <f>IF($B13="","",-1*ROUND(_xlfn.XLOOKUP($J$2,'Input LwA_XYZ'!$AY$1:$BM$1,'Input LwA_XYZ'!AY12:BM12),0) &amp; " / " &amp; ROUND(_xlfn.XLOOKUP($J$2,'Input LwA_XYZ'!$AH$1:$AV$1,'Input LwA_XYZ'!AH12:AV12),0) &amp; " ft")</f>
        <v>40 / 130 ft</v>
      </c>
      <c r="F13" s="91">
        <f>IF($B13="","",IF(_xlfn.XLOOKUP($J$2,'Input LwA_XYZ'!$BV$1:$CJ$1,'Input LwA_XYZ'!BV12:CJ12)="","-",_xlfn.XLOOKUP($J$2,'Input LwA_XYZ'!$BV$1:$CJ$1,'Input LwA_XYZ'!BV12:CJ12)))</f>
        <v>13</v>
      </c>
      <c r="G13" s="91" t="str">
        <f>IF($B13="","",IF('Input LwA_XYZ'!S12="","-",'Input LwA_XYZ'!S12))</f>
        <v>-</v>
      </c>
      <c r="H13" s="65">
        <f>IF($B13="","",_xlfn.XLOOKUP($J$2,'Input LwA_XYZ'!$CM$1:$DA$1,'Input LwA_XYZ'!CM12:DA12))</f>
        <v>26.046942076149584</v>
      </c>
      <c r="I13" s="5">
        <f t="shared" si="0"/>
        <v>402.43357583647725</v>
      </c>
      <c r="J13" s="107">
        <f t="shared" si="1"/>
        <v>26.046942076149584</v>
      </c>
      <c r="O13" s="196">
        <v>1</v>
      </c>
      <c r="P13" s="194" t="s">
        <v>105</v>
      </c>
      <c r="Q13" s="64">
        <v>61.659699340071647</v>
      </c>
      <c r="R13" s="91" t="s">
        <v>106</v>
      </c>
      <c r="S13" s="65">
        <v>16.54567530918138</v>
      </c>
    </row>
    <row r="14" spans="2:19" ht="16.5" customHeight="1" x14ac:dyDescent="0.3">
      <c r="B14" s="195">
        <f>IF('Input LwA_XYZ'!A13 = 0, "", 'Input LwA_XYZ'!A13)</f>
        <v>4</v>
      </c>
      <c r="C14" s="192" t="str">
        <f>IF($B14="","",_xlfn.TEXTJOIN(" - ",TRUE,'Input LwA_XYZ'!B13:C13))</f>
        <v>RCU-R(4p)2 - Radiated</v>
      </c>
      <c r="D14" s="64">
        <f>IF($B14="","",'Input LwA_XYZ'!Q13)</f>
        <v>79.020599913279625</v>
      </c>
      <c r="E14" s="91" t="str">
        <f>IF($B14="","",-1*ROUND(_xlfn.XLOOKUP($J$2,'Input LwA_XYZ'!$AY$1:$BM$1,'Input LwA_XYZ'!AY13:BM13),0) &amp; " / " &amp; ROUND(_xlfn.XLOOKUP($J$2,'Input LwA_XYZ'!$AH$1:$AV$1,'Input LwA_XYZ'!AH13:AV13),0) &amp; " ft")</f>
        <v>39 / 112 ft</v>
      </c>
      <c r="F14" s="91">
        <f>IF($B14="","",IF(_xlfn.XLOOKUP($J$2,'Input LwA_XYZ'!$BV$1:$CJ$1,'Input LwA_XYZ'!BV13:CJ13)="","-",_xlfn.XLOOKUP($J$2,'Input LwA_XYZ'!$BV$1:$CJ$1,'Input LwA_XYZ'!BV13:CJ13)))</f>
        <v>14</v>
      </c>
      <c r="G14" s="91" t="str">
        <f>IF($B14="","",IF('Input LwA_XYZ'!S13="","-",'Input LwA_XYZ'!S13))</f>
        <v>-</v>
      </c>
      <c r="H14" s="65">
        <f>IF($B14="","",_xlfn.XLOOKUP($J$2,'Input LwA_XYZ'!$CM$1:$DA$1,'Input LwA_XYZ'!CM13:DA13))</f>
        <v>26.392580898592172</v>
      </c>
      <c r="I14" s="5">
        <f t="shared" si="0"/>
        <v>435.77076392713565</v>
      </c>
      <c r="J14" s="107">
        <f t="shared" si="1"/>
        <v>26.392580898592172</v>
      </c>
      <c r="O14" s="196">
        <v>1</v>
      </c>
      <c r="P14" s="194" t="s">
        <v>107</v>
      </c>
      <c r="Q14" s="64">
        <v>57.65969934007164</v>
      </c>
      <c r="R14" s="91" t="s">
        <v>108</v>
      </c>
      <c r="S14" s="65">
        <v>16.191880930775302</v>
      </c>
    </row>
    <row r="15" spans="2:19" ht="16.5" customHeight="1" x14ac:dyDescent="0.3">
      <c r="B15" s="195">
        <f>IF('Input LwA_XYZ'!A14 = 0, "", 'Input LwA_XYZ'!A14)</f>
        <v>4</v>
      </c>
      <c r="C15" s="192" t="str">
        <f>IF($B15="","",_xlfn.TEXTJOIN(" - ",TRUE,'Input LwA_XYZ'!B14:C14))</f>
        <v>RCU-R(4p)3 - Radiated</v>
      </c>
      <c r="D15" s="64">
        <f>IF($B15="","",'Input LwA_XYZ'!Q14)</f>
        <v>79.020599913279625</v>
      </c>
      <c r="E15" s="91" t="str">
        <f>IF($B15="","",-1*ROUND(_xlfn.XLOOKUP($J$2,'Input LwA_XYZ'!$AY$1:$BM$1,'Input LwA_XYZ'!AY14:BM14),0) &amp; " / " &amp; ROUND(_xlfn.XLOOKUP($J$2,'Input LwA_XYZ'!$AH$1:$AV$1,'Input LwA_XYZ'!AH14:AV14),0) &amp; " ft")</f>
        <v>36 / 81 ft</v>
      </c>
      <c r="F15" s="91">
        <f>IF($B15="","",IF(_xlfn.XLOOKUP($J$2,'Input LwA_XYZ'!$BV$1:$CJ$1,'Input LwA_XYZ'!BV14:CJ14)="","-",_xlfn.XLOOKUP($J$2,'Input LwA_XYZ'!$BV$1:$CJ$1,'Input LwA_XYZ'!BV14:CJ14)))</f>
        <v>8</v>
      </c>
      <c r="G15" s="91" t="str">
        <f>IF($B15="","",IF('Input LwA_XYZ'!S14="","-",'Input LwA_XYZ'!S14))</f>
        <v>-</v>
      </c>
      <c r="H15" s="65">
        <f>IF($B15="","",_xlfn.XLOOKUP($J$2,'Input LwA_XYZ'!$CM$1:$DA$1,'Input LwA_XYZ'!CM14:DA14))</f>
        <v>35.234387410215589</v>
      </c>
      <c r="I15" s="5">
        <f t="shared" si="0"/>
        <v>3337.6342317609492</v>
      </c>
      <c r="J15" s="107">
        <f t="shared" si="1"/>
        <v>35.234387410215589</v>
      </c>
      <c r="O15" s="196">
        <v>1</v>
      </c>
      <c r="P15" s="194" t="s">
        <v>109</v>
      </c>
      <c r="Q15" s="64">
        <v>57.65969934007164</v>
      </c>
      <c r="R15" s="91" t="s">
        <v>110</v>
      </c>
      <c r="S15" s="65">
        <v>16.21810532395784</v>
      </c>
    </row>
    <row r="16" spans="2:19" ht="17.25" customHeight="1" thickBot="1" x14ac:dyDescent="0.35">
      <c r="B16" s="195">
        <f>IF('Input LwA_XYZ'!A15 = 0, "", 'Input LwA_XYZ'!A15)</f>
        <v>2</v>
      </c>
      <c r="C16" s="192" t="str">
        <f>IF($B16="","",_xlfn.TEXTJOIN(" - ",TRUE,'Input LwA_XYZ'!B15:C15))</f>
        <v>RCU-R(2p) - Radiated</v>
      </c>
      <c r="D16" s="64">
        <f>IF($B16="","",'Input LwA_XYZ'!Q15)</f>
        <v>76.010299956639813</v>
      </c>
      <c r="E16" s="91" t="str">
        <f>IF($B16="","",-1*ROUND(_xlfn.XLOOKUP($J$2,'Input LwA_XYZ'!$AY$1:$BM$1,'Input LwA_XYZ'!AY15:BM15),0) &amp; " / " &amp; ROUND(_xlfn.XLOOKUP($J$2,'Input LwA_XYZ'!$AH$1:$AV$1,'Input LwA_XYZ'!AH15:AV15),0) &amp; " ft")</f>
        <v>35 / 71 ft</v>
      </c>
      <c r="F16" s="91">
        <f>IF($B16="","",IF(_xlfn.XLOOKUP($J$2,'Input LwA_XYZ'!$BV$1:$CJ$1,'Input LwA_XYZ'!BV15:CJ15)="","-",_xlfn.XLOOKUP($J$2,'Input LwA_XYZ'!$BV$1:$CJ$1,'Input LwA_XYZ'!BV15:CJ15)))</f>
        <v>8</v>
      </c>
      <c r="G16" s="91" t="str">
        <f>IF($B16="","",IF('Input LwA_XYZ'!S15="","-",'Input LwA_XYZ'!S15))</f>
        <v>-</v>
      </c>
      <c r="H16" s="65">
        <f>IF($B16="","",_xlfn.XLOOKUP($J$2,'Input LwA_XYZ'!$CM$1:$DA$1,'Input LwA_XYZ'!CM15:DA15))</f>
        <v>33.352504083398429</v>
      </c>
      <c r="I16" s="5">
        <f t="shared" si="0"/>
        <v>2163.9658776229339</v>
      </c>
      <c r="J16" s="107">
        <f t="shared" si="1"/>
        <v>33.352504083398429</v>
      </c>
      <c r="O16" s="196">
        <v>1</v>
      </c>
      <c r="P16" s="194" t="s">
        <v>111</v>
      </c>
      <c r="Q16" s="64">
        <v>57.65969934007164</v>
      </c>
      <c r="R16" s="91" t="s">
        <v>93</v>
      </c>
      <c r="S16" s="65">
        <v>16.67719275439514</v>
      </c>
    </row>
    <row r="17" spans="2:19" ht="17.25" customHeight="1" thickBot="1" x14ac:dyDescent="0.35">
      <c r="B17" s="195">
        <f>IF('Input LwA_XYZ'!A16 = 0, "", 'Input LwA_XYZ'!A16)</f>
        <v>2</v>
      </c>
      <c r="C17" s="192" t="str">
        <f>IF($B17="","",_xlfn.TEXTJOIN(" - ",TRUE,'Input LwA_XYZ'!B16:C16))</f>
        <v>RCU-R(2p)1 - Radiated</v>
      </c>
      <c r="D17" s="64">
        <f>IF($B17="","",'Input LwA_XYZ'!Q16)</f>
        <v>76.010299956639813</v>
      </c>
      <c r="E17" s="91" t="str">
        <f>IF($B17="","",-1*ROUND(_xlfn.XLOOKUP($J$2,'Input LwA_XYZ'!$AY$1:$BM$1,'Input LwA_XYZ'!AY16:BM16),0) &amp; " / " &amp; ROUND(_xlfn.XLOOKUP($J$2,'Input LwA_XYZ'!$AH$1:$AV$1,'Input LwA_XYZ'!AH16:AV16),0) &amp; " ft")</f>
        <v>33 / 56 ft</v>
      </c>
      <c r="F17" s="91">
        <f>IF($B17="","",IF(_xlfn.XLOOKUP($J$2,'Input LwA_XYZ'!$BV$1:$CJ$1,'Input LwA_XYZ'!BV16:CJ16)="","-",_xlfn.XLOOKUP($J$2,'Input LwA_XYZ'!$BV$1:$CJ$1,'Input LwA_XYZ'!BV16:CJ16)))</f>
        <v>9</v>
      </c>
      <c r="G17" s="91" t="str">
        <f>IF($B17="","",IF('Input LwA_XYZ'!S16="","-",'Input LwA_XYZ'!S16))</f>
        <v>-</v>
      </c>
      <c r="H17" s="65">
        <f>IF($B17="","",_xlfn.XLOOKUP($J$2,'Input LwA_XYZ'!$CM$1:$DA$1,'Input LwA_XYZ'!CM16:DA16))</f>
        <v>34.329667840935024</v>
      </c>
      <c r="I17" s="5">
        <f t="shared" si="0"/>
        <v>2709.9843577182673</v>
      </c>
      <c r="J17" s="107">
        <f t="shared" si="1"/>
        <v>34.329667840935024</v>
      </c>
      <c r="O17" s="101" t="s">
        <v>112</v>
      </c>
      <c r="P17" s="102"/>
      <c r="Q17" s="102"/>
      <c r="R17" s="102"/>
      <c r="S17" s="108">
        <v>44</v>
      </c>
    </row>
    <row r="18" spans="2:19" ht="16.5" customHeight="1" x14ac:dyDescent="0.3">
      <c r="B18" s="195">
        <f>IF('Input LwA_XYZ'!A17 = 0, "", 'Input LwA_XYZ'!A17)</f>
        <v>4</v>
      </c>
      <c r="C18" s="192" t="str">
        <f>IF($B18="","",_xlfn.TEXTJOIN(" - ",TRUE,'Input LwA_XYZ'!B17:C17))</f>
        <v>RCU-R(4p)4 - Radiated</v>
      </c>
      <c r="D18" s="64">
        <f>IF($B18="","",'Input LwA_XYZ'!Q17)</f>
        <v>79.020599913279625</v>
      </c>
      <c r="E18" s="91" t="str">
        <f>IF($B18="","",-1*ROUND(_xlfn.XLOOKUP($J$2,'Input LwA_XYZ'!$AY$1:$BM$1,'Input LwA_XYZ'!AY17:BM17),0) &amp; " / " &amp; ROUND(_xlfn.XLOOKUP($J$2,'Input LwA_XYZ'!$AH$1:$AV$1,'Input LwA_XYZ'!AH17:AV17),0) &amp; " ft")</f>
        <v>32 / 53 ft</v>
      </c>
      <c r="F18" s="91">
        <f>IF($B18="","",IF(_xlfn.XLOOKUP($J$2,'Input LwA_XYZ'!$BV$1:$CJ$1,'Input LwA_XYZ'!BV17:CJ17)="","-",_xlfn.XLOOKUP($J$2,'Input LwA_XYZ'!$BV$1:$CJ$1,'Input LwA_XYZ'!BV17:CJ17)))</f>
        <v>10</v>
      </c>
      <c r="G18" s="91" t="str">
        <f>IF($B18="","",IF('Input LwA_XYZ'!S17="","-",'Input LwA_XYZ'!S17))</f>
        <v>-</v>
      </c>
      <c r="H18" s="65">
        <f>IF($B18="","",_xlfn.XLOOKUP($J$2,'Input LwA_XYZ'!$CM$1:$DA$1,'Input LwA_XYZ'!CM17:DA17))</f>
        <v>36.846836340432546</v>
      </c>
      <c r="I18" s="5">
        <f t="shared" si="0"/>
        <v>4838.1979603854079</v>
      </c>
      <c r="J18" s="107">
        <f t="shared" si="1"/>
        <v>36.846836340432546</v>
      </c>
    </row>
    <row r="19" spans="2:19" ht="16.5" customHeight="1" x14ac:dyDescent="0.3">
      <c r="B19" s="195">
        <f>IF('Input LwA_XYZ'!A18 = 0, "", 'Input LwA_XYZ'!A18)</f>
        <v>2</v>
      </c>
      <c r="C19" s="192" t="str">
        <f>IF($B19="","",_xlfn.TEXTJOIN(" - ",TRUE,'Input LwA_XYZ'!B18:C18))</f>
        <v>RCU-R(2p)2 - Radiated</v>
      </c>
      <c r="D19" s="64">
        <f>IF($B19="","",'Input LwA_XYZ'!Q18)</f>
        <v>76.010299956639813</v>
      </c>
      <c r="E19" s="91" t="str">
        <f>IF($B19="","",-1*ROUND(_xlfn.XLOOKUP($J$2,'Input LwA_XYZ'!$AY$1:$BM$1,'Input LwA_XYZ'!AY18:BM18),0) &amp; " / " &amp; ROUND(_xlfn.XLOOKUP($J$2,'Input LwA_XYZ'!$AH$1:$AV$1,'Input LwA_XYZ'!AH18:AV18),0) &amp; " ft")</f>
        <v>35 / 75 ft</v>
      </c>
      <c r="F19" s="91">
        <f>IF($B19="","",IF(_xlfn.XLOOKUP($J$2,'Input LwA_XYZ'!$BV$1:$CJ$1,'Input LwA_XYZ'!BV18:CJ18)="","-",_xlfn.XLOOKUP($J$2,'Input LwA_XYZ'!$BV$1:$CJ$1,'Input LwA_XYZ'!BV18:CJ18)))</f>
        <v>14</v>
      </c>
      <c r="G19" s="91" t="str">
        <f>IF($B19="","",IF('Input LwA_XYZ'!S18="","-",'Input LwA_XYZ'!S18))</f>
        <v>-</v>
      </c>
      <c r="H19" s="65">
        <f>IF($B19="","",_xlfn.XLOOKUP($J$2,'Input LwA_XYZ'!$CM$1:$DA$1,'Input LwA_XYZ'!CM18:DA18))</f>
        <v>26.822081290882522</v>
      </c>
      <c r="I19" s="5">
        <f t="shared" si="0"/>
        <v>481.06983868919934</v>
      </c>
      <c r="J19" s="107">
        <f t="shared" si="1"/>
        <v>26.822081290882522</v>
      </c>
    </row>
    <row r="20" spans="2:19" ht="16.5" customHeight="1" x14ac:dyDescent="0.3">
      <c r="B20" s="195">
        <f>IF('Input LwA_XYZ'!A19 = 0, "", 'Input LwA_XYZ'!A19)</f>
        <v>2</v>
      </c>
      <c r="C20" s="192" t="str">
        <f>IF($B20="","",_xlfn.TEXTJOIN(" - ",TRUE,'Input LwA_XYZ'!B19:C19))</f>
        <v>RCU-R(2p)3 - Radiated</v>
      </c>
      <c r="D20" s="64">
        <f>IF($B20="","",'Input LwA_XYZ'!Q19)</f>
        <v>76.010299956639813</v>
      </c>
      <c r="E20" s="91" t="str">
        <f>IF($B20="","",-1*ROUND(_xlfn.XLOOKUP($J$2,'Input LwA_XYZ'!$AY$1:$BM$1,'Input LwA_XYZ'!AY19:BM19),0) &amp; " / " &amp; ROUND(_xlfn.XLOOKUP($J$2,'Input LwA_XYZ'!$AH$1:$AV$1,'Input LwA_XYZ'!AH19:AV19),0) &amp; " ft")</f>
        <v>36 / 85 ft</v>
      </c>
      <c r="F20" s="91">
        <f>IF($B20="","",IF(_xlfn.XLOOKUP($J$2,'Input LwA_XYZ'!$BV$1:$CJ$1,'Input LwA_XYZ'!BV19:CJ19)="","-",_xlfn.XLOOKUP($J$2,'Input LwA_XYZ'!$BV$1:$CJ$1,'Input LwA_XYZ'!BV19:CJ19)))</f>
        <v>15</v>
      </c>
      <c r="G20" s="91" t="str">
        <f>IF($B20="","",IF('Input LwA_XYZ'!S19="","-",'Input LwA_XYZ'!S19))</f>
        <v>-</v>
      </c>
      <c r="H20" s="65">
        <f>IF($B20="","",_xlfn.XLOOKUP($J$2,'Input LwA_XYZ'!$CM$1:$DA$1,'Input LwA_XYZ'!CM19:DA19))</f>
        <v>24.72838692041141</v>
      </c>
      <c r="I20" s="5">
        <f t="shared" si="0"/>
        <v>297.05624847417073</v>
      </c>
      <c r="J20" s="107">
        <f t="shared" si="1"/>
        <v>24.72838692041141</v>
      </c>
    </row>
    <row r="21" spans="2:19" ht="16.5" customHeight="1" x14ac:dyDescent="0.3">
      <c r="B21" s="195">
        <f>IF('Input LwA_XYZ'!A20 = 0, "", 'Input LwA_XYZ'!A20)</f>
        <v>2</v>
      </c>
      <c r="C21" s="192" t="str">
        <f>IF($B21="","",_xlfn.TEXTJOIN(" - ",TRUE,'Input LwA_XYZ'!B20:C20))</f>
        <v>RCU-R(2p)4 - Radiated</v>
      </c>
      <c r="D21" s="64">
        <f>IF($B21="","",'Input LwA_XYZ'!Q20)</f>
        <v>76.010299956639813</v>
      </c>
      <c r="E21" s="91" t="str">
        <f>IF($B21="","",-1*ROUND(_xlfn.XLOOKUP($J$2,'Input LwA_XYZ'!$AY$1:$BM$1,'Input LwA_XYZ'!AY20:BM20),0) &amp; " / " &amp; ROUND(_xlfn.XLOOKUP($J$2,'Input LwA_XYZ'!$AH$1:$AV$1,'Input LwA_XYZ'!AH20:AV20),0) &amp; " ft")</f>
        <v>37 / 88 ft</v>
      </c>
      <c r="F21" s="91">
        <f>IF($B21="","",IF(_xlfn.XLOOKUP($J$2,'Input LwA_XYZ'!$BV$1:$CJ$1,'Input LwA_XYZ'!BV20:CJ20)="","-",_xlfn.XLOOKUP($J$2,'Input LwA_XYZ'!$BV$1:$CJ$1,'Input LwA_XYZ'!BV20:CJ20)))</f>
        <v>15</v>
      </c>
      <c r="G21" s="91" t="str">
        <f>IF($B21="","",IF('Input LwA_XYZ'!S20="","-",'Input LwA_XYZ'!S20))</f>
        <v>-</v>
      </c>
      <c r="H21" s="65">
        <f>IF($B21="","",_xlfn.XLOOKUP($J$2,'Input LwA_XYZ'!$CM$1:$DA$1,'Input LwA_XYZ'!CM20:DA20))</f>
        <v>24.477397726651027</v>
      </c>
      <c r="I21" s="5">
        <f t="shared" si="0"/>
        <v>280.37531380342563</v>
      </c>
      <c r="J21" s="107">
        <f t="shared" si="1"/>
        <v>24.477397726651027</v>
      </c>
    </row>
    <row r="22" spans="2:19" ht="16.5" customHeight="1" x14ac:dyDescent="0.3">
      <c r="B22" s="195">
        <f>IF('Input LwA_XYZ'!A21 = 0, "", 'Input LwA_XYZ'!A21)</f>
        <v>2</v>
      </c>
      <c r="C22" s="192" t="str">
        <f>IF($B22="","",_xlfn.TEXTJOIN(" - ",TRUE,'Input LwA_XYZ'!B21:C21))</f>
        <v>RCU-R(2p)5 - Radiated</v>
      </c>
      <c r="D22" s="64">
        <f>IF($B22="","",'Input LwA_XYZ'!Q21)</f>
        <v>76.010299956639813</v>
      </c>
      <c r="E22" s="91" t="str">
        <f>IF($B22="","",-1*ROUND(_xlfn.XLOOKUP($J$2,'Input LwA_XYZ'!$AY$1:$BM$1,'Input LwA_XYZ'!AY21:BM21),0) &amp; " / " &amp; ROUND(_xlfn.XLOOKUP($J$2,'Input LwA_XYZ'!$AH$1:$AV$1,'Input LwA_XYZ'!AH21:AV21),0) &amp; " ft")</f>
        <v>37 / 95 ft</v>
      </c>
      <c r="F22" s="91">
        <f>IF($B22="","",IF(_xlfn.XLOOKUP($J$2,'Input LwA_XYZ'!$BV$1:$CJ$1,'Input LwA_XYZ'!BV21:CJ21)="","-",_xlfn.XLOOKUP($J$2,'Input LwA_XYZ'!$BV$1:$CJ$1,'Input LwA_XYZ'!BV21:CJ21)))</f>
        <v>15</v>
      </c>
      <c r="G22" s="91" t="str">
        <f>IF($B22="","",IF('Input LwA_XYZ'!S21="","-",'Input LwA_XYZ'!S21))</f>
        <v>-</v>
      </c>
      <c r="H22" s="65">
        <f>IF($B22="","",_xlfn.XLOOKUP($J$2,'Input LwA_XYZ'!$CM$1:$DA$1,'Input LwA_XYZ'!CM21:DA21))</f>
        <v>23.829381454356223</v>
      </c>
      <c r="I22" s="5">
        <f t="shared" si="0"/>
        <v>241.51168359721999</v>
      </c>
      <c r="J22" s="107">
        <f t="shared" si="1"/>
        <v>23.829381454356223</v>
      </c>
    </row>
    <row r="23" spans="2:19" ht="16.5" customHeight="1" x14ac:dyDescent="0.3">
      <c r="B23" s="195">
        <f>IF('Input LwA_XYZ'!A22 = 0, "", 'Input LwA_XYZ'!A22)</f>
        <v>2</v>
      </c>
      <c r="C23" s="192" t="str">
        <f>IF($B23="","",_xlfn.TEXTJOIN(" - ",TRUE,'Input LwA_XYZ'!B22:C22))</f>
        <v>RCU-R(2p)6 - Radiated</v>
      </c>
      <c r="D23" s="64">
        <f>IF($B23="","",'Input LwA_XYZ'!Q22)</f>
        <v>76.010299956639813</v>
      </c>
      <c r="E23" s="91" t="str">
        <f>IF($B23="","",-1*ROUND(_xlfn.XLOOKUP($J$2,'Input LwA_XYZ'!$AY$1:$BM$1,'Input LwA_XYZ'!AY22:BM22),0) &amp; " / " &amp; ROUND(_xlfn.XLOOKUP($J$2,'Input LwA_XYZ'!$AH$1:$AV$1,'Input LwA_XYZ'!AH22:AV22),0) &amp; " ft")</f>
        <v>38 / 105 ft</v>
      </c>
      <c r="F23" s="91">
        <f>IF($B23="","",IF(_xlfn.XLOOKUP($J$2,'Input LwA_XYZ'!$BV$1:$CJ$1,'Input LwA_XYZ'!BV22:CJ22)="","-",_xlfn.XLOOKUP($J$2,'Input LwA_XYZ'!$BV$1:$CJ$1,'Input LwA_XYZ'!BV22:CJ22)))</f>
        <v>15</v>
      </c>
      <c r="G23" s="91" t="str">
        <f>IF($B23="","",IF('Input LwA_XYZ'!S22="","-",'Input LwA_XYZ'!S22))</f>
        <v>-</v>
      </c>
      <c r="H23" s="65">
        <f>IF($B23="","",_xlfn.XLOOKUP($J$2,'Input LwA_XYZ'!$CM$1:$DA$1,'Input LwA_XYZ'!CM22:DA22))</f>
        <v>22.95411881358725</v>
      </c>
      <c r="I23" s="5">
        <f t="shared" si="0"/>
        <v>197.42942531406658</v>
      </c>
      <c r="J23" s="107">
        <f t="shared" si="1"/>
        <v>22.95411881358725</v>
      </c>
    </row>
    <row r="24" spans="2:19" ht="16.5" customHeight="1" x14ac:dyDescent="0.3">
      <c r="B24" s="195">
        <f>IF('Input LwA_XYZ'!A23 = 0, "", 'Input LwA_XYZ'!A23)</f>
        <v>1</v>
      </c>
      <c r="C24" s="192" t="str">
        <f>IF($B24="","",_xlfn.TEXTJOIN(" - ",TRUE,'Input LwA_XYZ'!B23:C23))</f>
        <v>BEF-R01  - Inlet</v>
      </c>
      <c r="D24" s="64">
        <f>IF($B24="","",'Input LwA_XYZ'!Q23)</f>
        <v>57</v>
      </c>
      <c r="E24" s="91" t="str">
        <f>IF($B24="","",-1*ROUND(_xlfn.XLOOKUP($J$2,'Input LwA_XYZ'!$AY$1:$BM$1,'Input LwA_XYZ'!AY23:BM23),0) &amp; " / " &amp; ROUND(_xlfn.XLOOKUP($J$2,'Input LwA_XYZ'!$AH$1:$AV$1,'Input LwA_XYZ'!AH23:AV23),0) &amp; " ft")</f>
        <v>35 / 70 ft</v>
      </c>
      <c r="F24" s="91">
        <f>IF($B24="","",IF(_xlfn.XLOOKUP($J$2,'Input LwA_XYZ'!$BV$1:$CJ$1,'Input LwA_XYZ'!BV23:CJ23)="","-",_xlfn.XLOOKUP($J$2,'Input LwA_XYZ'!$BV$1:$CJ$1,'Input LwA_XYZ'!BV23:CJ23)))</f>
        <v>0</v>
      </c>
      <c r="G24" s="91" t="str">
        <f>IF($B24="","",IF('Input LwA_XYZ'!S23="","-",'Input LwA_XYZ'!S23))</f>
        <v>-</v>
      </c>
      <c r="H24" s="65">
        <f>IF($B24="","",_xlfn.XLOOKUP($J$2,'Input LwA_XYZ'!$CM$1:$DA$1,'Input LwA_XYZ'!CM23:DA23))</f>
        <v>22.442316685562339</v>
      </c>
      <c r="I24" s="5">
        <f t="shared" si="0"/>
        <v>175.48163354122372</v>
      </c>
      <c r="J24" s="107">
        <f t="shared" si="1"/>
        <v>22.442316685562339</v>
      </c>
    </row>
    <row r="25" spans="2:19" ht="16.5" customHeight="1" x14ac:dyDescent="0.3">
      <c r="B25" s="195">
        <f>IF('Input LwA_XYZ'!A24 = 0, "", 'Input LwA_XYZ'!A24)</f>
        <v>1</v>
      </c>
      <c r="C25" s="192" t="str">
        <f>IF($B25="","",_xlfn.TEXTJOIN(" - ",TRUE,'Input LwA_XYZ'!B24:C24))</f>
        <v>BEF-R02  - Inlet</v>
      </c>
      <c r="D25" s="64">
        <f>IF($B25="","",'Input LwA_XYZ'!Q24)</f>
        <v>66</v>
      </c>
      <c r="E25" s="91" t="str">
        <f>IF($B25="","",-1*ROUND(_xlfn.XLOOKUP($J$2,'Input LwA_XYZ'!$AY$1:$BM$1,'Input LwA_XYZ'!AY24:BM24),0) &amp; " / " &amp; ROUND(_xlfn.XLOOKUP($J$2,'Input LwA_XYZ'!$AH$1:$AV$1,'Input LwA_XYZ'!AH24:AV24),0) &amp; " ft")</f>
        <v>33 / 58 ft</v>
      </c>
      <c r="F25" s="91">
        <f>IF($B25="","",IF(_xlfn.XLOOKUP($J$2,'Input LwA_XYZ'!$BV$1:$CJ$1,'Input LwA_XYZ'!BV24:CJ24)="","-",_xlfn.XLOOKUP($J$2,'Input LwA_XYZ'!$BV$1:$CJ$1,'Input LwA_XYZ'!BV24:CJ24)))</f>
        <v>0</v>
      </c>
      <c r="G25" s="91" t="str">
        <f>IF($B25="","",IF('Input LwA_XYZ'!S24="","-",'Input LwA_XYZ'!S24))</f>
        <v>-</v>
      </c>
      <c r="H25" s="65">
        <f>IF($B25="","",_xlfn.XLOOKUP($J$2,'Input LwA_XYZ'!$CM$1:$DA$1,'Input LwA_XYZ'!CM24:DA24))</f>
        <v>33.135692292329757</v>
      </c>
      <c r="I25" s="5">
        <f t="shared" si="0"/>
        <v>2058.5870159220208</v>
      </c>
      <c r="J25" s="107">
        <f t="shared" si="1"/>
        <v>33.135692292329757</v>
      </c>
    </row>
    <row r="26" spans="2:19" ht="16.5" customHeight="1" x14ac:dyDescent="0.3">
      <c r="B26" s="195">
        <f>IF('Input LwA_XYZ'!A25 = 0, "", 'Input LwA_XYZ'!A25)</f>
        <v>1</v>
      </c>
      <c r="C26" s="192" t="str">
        <f>IF($B26="","",_xlfn.TEXTJOIN(" - ",TRUE,'Input LwA_XYZ'!B25:C25))</f>
        <v>BEF-R03  - Inlet</v>
      </c>
      <c r="D26" s="64">
        <f>IF($B26="","",'Input LwA_XYZ'!Q25)</f>
        <v>66</v>
      </c>
      <c r="E26" s="91" t="str">
        <f>IF($B26="","",-1*ROUND(_xlfn.XLOOKUP($J$2,'Input LwA_XYZ'!$AY$1:$BM$1,'Input LwA_XYZ'!AY25:BM25),0) &amp; " / " &amp; ROUND(_xlfn.XLOOKUP($J$2,'Input LwA_XYZ'!$AH$1:$AV$1,'Input LwA_XYZ'!AH25:AV25),0) &amp; " ft")</f>
        <v>32 / 53 ft</v>
      </c>
      <c r="F26" s="91">
        <f>IF($B26="","",IF(_xlfn.XLOOKUP($J$2,'Input LwA_XYZ'!$BV$1:$CJ$1,'Input LwA_XYZ'!BV25:CJ25)="","-",_xlfn.XLOOKUP($J$2,'Input LwA_XYZ'!$BV$1:$CJ$1,'Input LwA_XYZ'!BV25:CJ25)))</f>
        <v>5</v>
      </c>
      <c r="G26" s="91" t="str">
        <f>IF($B26="","",IF('Input LwA_XYZ'!S25="","-",'Input LwA_XYZ'!S25))</f>
        <v>-</v>
      </c>
      <c r="H26" s="65">
        <f>IF($B26="","",_xlfn.XLOOKUP($J$2,'Input LwA_XYZ'!$CM$1:$DA$1,'Input LwA_XYZ'!CM25:DA25))</f>
        <v>28.784624203825743</v>
      </c>
      <c r="I26" s="5">
        <f t="shared" si="0"/>
        <v>755.89664957013224</v>
      </c>
      <c r="J26" s="107">
        <f t="shared" si="1"/>
        <v>28.784624203825743</v>
      </c>
    </row>
    <row r="27" spans="2:19" ht="16.5" customHeight="1" x14ac:dyDescent="0.3">
      <c r="B27" s="195">
        <f>IF('Input LwA_XYZ'!A26 = 0, "", 'Input LwA_XYZ'!A26)</f>
        <v>1</v>
      </c>
      <c r="C27" s="192" t="str">
        <f>IF($B27="","",_xlfn.TEXTJOIN(" - ",TRUE,'Input LwA_XYZ'!B26:C26))</f>
        <v>BEF-R04  - Inlet</v>
      </c>
      <c r="D27" s="64">
        <f>IF($B27="","",'Input LwA_XYZ'!Q26)</f>
        <v>66</v>
      </c>
      <c r="E27" s="91" t="str">
        <f>IF($B27="","",-1*ROUND(_xlfn.XLOOKUP($J$2,'Input LwA_XYZ'!$AY$1:$BM$1,'Input LwA_XYZ'!AY26:BM26),0) &amp; " / " &amp; ROUND(_xlfn.XLOOKUP($J$2,'Input LwA_XYZ'!$AH$1:$AV$1,'Input LwA_XYZ'!AH26:AV26),0) &amp; " ft")</f>
        <v>34 / 65 ft</v>
      </c>
      <c r="F27" s="91">
        <f>IF($B27="","",IF(_xlfn.XLOOKUP($J$2,'Input LwA_XYZ'!$BV$1:$CJ$1,'Input LwA_XYZ'!BV26:CJ26)="","-",_xlfn.XLOOKUP($J$2,'Input LwA_XYZ'!$BV$1:$CJ$1,'Input LwA_XYZ'!BV26:CJ26)))</f>
        <v>7</v>
      </c>
      <c r="G27" s="91" t="str">
        <f>IF($B27="","",IF('Input LwA_XYZ'!S26="","-",'Input LwA_XYZ'!S26))</f>
        <v>-</v>
      </c>
      <c r="H27" s="65">
        <f>IF($B27="","",_xlfn.XLOOKUP($J$2,'Input LwA_XYZ'!$CM$1:$DA$1,'Input LwA_XYZ'!CM26:DA26))</f>
        <v>25.100515350516773</v>
      </c>
      <c r="I27" s="5">
        <f t="shared" si="0"/>
        <v>323.63205807449725</v>
      </c>
      <c r="J27" s="107">
        <f t="shared" si="1"/>
        <v>25.100515350516773</v>
      </c>
    </row>
    <row r="28" spans="2:19" ht="16.5" customHeight="1" x14ac:dyDescent="0.3">
      <c r="B28" s="195">
        <f>IF('Input LwA_XYZ'!A27 = 0, "", 'Input LwA_XYZ'!A27)</f>
        <v>1</v>
      </c>
      <c r="C28" s="192" t="str">
        <f>IF($B28="","",_xlfn.TEXTJOIN(" - ",TRUE,'Input LwA_XYZ'!B27:C27))</f>
        <v>BEF-R05  - Inlet</v>
      </c>
      <c r="D28" s="64">
        <f>IF($B28="","",'Input LwA_XYZ'!Q27)</f>
        <v>66</v>
      </c>
      <c r="E28" s="91" t="str">
        <f>IF($B28="","",-1*ROUND(_xlfn.XLOOKUP($J$2,'Input LwA_XYZ'!$AY$1:$BM$1,'Input LwA_XYZ'!AY27:BM27),0) &amp; " / " &amp; ROUND(_xlfn.XLOOKUP($J$2,'Input LwA_XYZ'!$AH$1:$AV$1,'Input LwA_XYZ'!AH27:AV27),0) &amp; " ft")</f>
        <v>35 / 76 ft</v>
      </c>
      <c r="F28" s="91">
        <f>IF($B28="","",IF(_xlfn.XLOOKUP($J$2,'Input LwA_XYZ'!$BV$1:$CJ$1,'Input LwA_XYZ'!BV27:CJ27)="","-",_xlfn.XLOOKUP($J$2,'Input LwA_XYZ'!$BV$1:$CJ$1,'Input LwA_XYZ'!BV27:CJ27)))</f>
        <v>0</v>
      </c>
      <c r="G28" s="91" t="str">
        <f>IF($B28="","",IF('Input LwA_XYZ'!S27="","-",'Input LwA_XYZ'!S27))</f>
        <v>-</v>
      </c>
      <c r="H28" s="65">
        <f>IF($B28="","",_xlfn.XLOOKUP($J$2,'Input LwA_XYZ'!$CM$1:$DA$1,'Input LwA_XYZ'!CM27:DA27))</f>
        <v>30.774241519297888</v>
      </c>
      <c r="I28" s="5">
        <f t="shared" si="0"/>
        <v>1195.1547776844998</v>
      </c>
      <c r="J28" s="107">
        <f t="shared" si="1"/>
        <v>30.774241519297888</v>
      </c>
    </row>
    <row r="29" spans="2:19" ht="16.5" customHeight="1" x14ac:dyDescent="0.3">
      <c r="B29" s="195">
        <f>IF('Input LwA_XYZ'!A28 = 0, "", 'Input LwA_XYZ'!A28)</f>
        <v>1</v>
      </c>
      <c r="C29" s="192" t="str">
        <f>IF($B29="","",_xlfn.TEXTJOIN(" - ",TRUE,'Input LwA_XYZ'!B28:C28))</f>
        <v>BEF-R06  - Inlet</v>
      </c>
      <c r="D29" s="64">
        <f>IF($B29="","",'Input LwA_XYZ'!Q28)</f>
        <v>66</v>
      </c>
      <c r="E29" s="91" t="str">
        <f>IF($B29="","",-1*ROUND(_xlfn.XLOOKUP($J$2,'Input LwA_XYZ'!$AY$1:$BM$1,'Input LwA_XYZ'!AY28:BM28),0) &amp; " / " &amp; ROUND(_xlfn.XLOOKUP($J$2,'Input LwA_XYZ'!$AH$1:$AV$1,'Input LwA_XYZ'!AH28:AV28),0) &amp; " ft")</f>
        <v>35 / 75 ft</v>
      </c>
      <c r="F29" s="91">
        <f>IF($B29="","",IF(_xlfn.XLOOKUP($J$2,'Input LwA_XYZ'!$BV$1:$CJ$1,'Input LwA_XYZ'!BV28:CJ28)="","-",_xlfn.XLOOKUP($J$2,'Input LwA_XYZ'!$BV$1:$CJ$1,'Input LwA_XYZ'!BV28:CJ28)))</f>
        <v>0</v>
      </c>
      <c r="G29" s="91" t="str">
        <f>IF($B29="","",IF('Input LwA_XYZ'!S28="","-",'Input LwA_XYZ'!S28))</f>
        <v>-</v>
      </c>
      <c r="H29" s="65">
        <f>IF($B29="","",_xlfn.XLOOKUP($J$2,'Input LwA_XYZ'!$CM$1:$DA$1,'Input LwA_XYZ'!CM28:DA28))</f>
        <v>30.789584060869942</v>
      </c>
      <c r="I29" s="5">
        <f t="shared" si="0"/>
        <v>1199.3844283750948</v>
      </c>
      <c r="J29" s="107">
        <f t="shared" si="1"/>
        <v>30.789584060869942</v>
      </c>
    </row>
    <row r="30" spans="2:19" ht="16.5" customHeight="1" x14ac:dyDescent="0.3">
      <c r="B30" s="195">
        <f>IF('Input LwA_XYZ'!A29 = 0, "", 'Input LwA_XYZ'!A29)</f>
        <v>1</v>
      </c>
      <c r="C30" s="192" t="str">
        <f>IF($B30="","",_xlfn.TEXTJOIN(" - ",TRUE,'Input LwA_XYZ'!B29:C29))</f>
        <v>BEF-R07  - Inlet</v>
      </c>
      <c r="D30" s="64">
        <f>IF($B30="","",'Input LwA_XYZ'!Q29)</f>
        <v>57</v>
      </c>
      <c r="E30" s="91" t="str">
        <f>IF($B30="","",-1*ROUND(_xlfn.XLOOKUP($J$2,'Input LwA_XYZ'!$AY$1:$BM$1,'Input LwA_XYZ'!AY29:BM29),0) &amp; " / " &amp; ROUND(_xlfn.XLOOKUP($J$2,'Input LwA_XYZ'!$AH$1:$AV$1,'Input LwA_XYZ'!AH29:AV29),0) &amp; " ft")</f>
        <v>36 / 85 ft</v>
      </c>
      <c r="F30" s="91">
        <f>IF($B30="","",IF(_xlfn.XLOOKUP($J$2,'Input LwA_XYZ'!$BV$1:$CJ$1,'Input LwA_XYZ'!BV29:CJ29)="","-",_xlfn.XLOOKUP($J$2,'Input LwA_XYZ'!$BV$1:$CJ$1,'Input LwA_XYZ'!BV29:CJ29)))</f>
        <v>0</v>
      </c>
      <c r="G30" s="91" t="str">
        <f>IF($B30="","",IF('Input LwA_XYZ'!S29="","-",'Input LwA_XYZ'!S29))</f>
        <v>-</v>
      </c>
      <c r="H30" s="65">
        <f>IF($B30="","",_xlfn.XLOOKUP($J$2,'Input LwA_XYZ'!$CM$1:$DA$1,'Input LwA_XYZ'!CM29:DA29))</f>
        <v>20.772490151852693</v>
      </c>
      <c r="I30" s="5">
        <f t="shared" si="0"/>
        <v>119.46729080630632</v>
      </c>
      <c r="J30" s="107">
        <f t="shared" si="1"/>
        <v>20.772490151852693</v>
      </c>
    </row>
    <row r="31" spans="2:19" ht="16.5" customHeight="1" x14ac:dyDescent="0.3">
      <c r="B31" s="195">
        <f>IF('Input LwA_XYZ'!A30 = 0, "", 'Input LwA_XYZ'!A30)</f>
        <v>1</v>
      </c>
      <c r="C31" s="192" t="str">
        <f>IF($B31="","",_xlfn.TEXTJOIN(" - ",TRUE,'Input LwA_XYZ'!B30:C30))</f>
        <v>BEF-R08  - Inlet</v>
      </c>
      <c r="D31" s="64">
        <f>IF($B31="","",'Input LwA_XYZ'!Q30)</f>
        <v>57</v>
      </c>
      <c r="E31" s="91" t="str">
        <f>IF($B31="","",-1*ROUND(_xlfn.XLOOKUP($J$2,'Input LwA_XYZ'!$AY$1:$BM$1,'Input LwA_XYZ'!AY30:BM30),0) &amp; " / " &amp; ROUND(_xlfn.XLOOKUP($J$2,'Input LwA_XYZ'!$AH$1:$AV$1,'Input LwA_XYZ'!AH30:AV30),0) &amp; " ft")</f>
        <v>39 / 121 ft</v>
      </c>
      <c r="F31" s="91">
        <f>IF($B31="","",IF(_xlfn.XLOOKUP($J$2,'Input LwA_XYZ'!$BV$1:$CJ$1,'Input LwA_XYZ'!BV30:CJ30)="","-",_xlfn.XLOOKUP($J$2,'Input LwA_XYZ'!$BV$1:$CJ$1,'Input LwA_XYZ'!BV30:CJ30)))</f>
        <v>12</v>
      </c>
      <c r="G31" s="91" t="str">
        <f>IF($B31="","",IF('Input LwA_XYZ'!S30="","-",'Input LwA_XYZ'!S30))</f>
        <v>-</v>
      </c>
      <c r="H31" s="65">
        <f>IF($B31="","",_xlfn.XLOOKUP($J$2,'Input LwA_XYZ'!$CM$1:$DA$1,'Input LwA_XYZ'!CM30:DA30))</f>
        <v>5.6557324856694748</v>
      </c>
      <c r="I31" s="5">
        <f t="shared" si="0"/>
        <v>3.6776741618928752</v>
      </c>
      <c r="J31" s="107">
        <f t="shared" si="1"/>
        <v>5.6557324856694748</v>
      </c>
    </row>
    <row r="32" spans="2:19" ht="16.5" customHeight="1" x14ac:dyDescent="0.3">
      <c r="B32" s="195">
        <f>IF('Input LwA_XYZ'!A31 = 0, "", 'Input LwA_XYZ'!A31)</f>
        <v>1</v>
      </c>
      <c r="C32" s="192" t="str">
        <f>IF($B32="","",_xlfn.TEXTJOIN(" - ",TRUE,'Input LwA_XYZ'!B31:C31))</f>
        <v>BEF-R09  - Inlet</v>
      </c>
      <c r="D32" s="64">
        <f>IF($B32="","",'Input LwA_XYZ'!Q31)</f>
        <v>66</v>
      </c>
      <c r="E32" s="91" t="str">
        <f>IF($B32="","",-1*ROUND(_xlfn.XLOOKUP($J$2,'Input LwA_XYZ'!$AY$1:$BM$1,'Input LwA_XYZ'!AY31:BM31),0) &amp; " / " &amp; ROUND(_xlfn.XLOOKUP($J$2,'Input LwA_XYZ'!$AH$1:$AV$1,'Input LwA_XYZ'!AH31:AV31),0) &amp; " ft")</f>
        <v>39 / 119 ft</v>
      </c>
      <c r="F32" s="91">
        <f>IF($B32="","",IF(_xlfn.XLOOKUP($J$2,'Input LwA_XYZ'!$BV$1:$CJ$1,'Input LwA_XYZ'!BV31:CJ31)="","-",_xlfn.XLOOKUP($J$2,'Input LwA_XYZ'!$BV$1:$CJ$1,'Input LwA_XYZ'!BV31:CJ31)))</f>
        <v>12</v>
      </c>
      <c r="G32" s="91" t="str">
        <f>IF($B32="","",IF('Input LwA_XYZ'!S31="","-",'Input LwA_XYZ'!S31))</f>
        <v>-</v>
      </c>
      <c r="H32" s="65">
        <f>IF($B32="","",_xlfn.XLOOKUP($J$2,'Input LwA_XYZ'!$CM$1:$DA$1,'Input LwA_XYZ'!CM31:DA31))</f>
        <v>14.853958839131273</v>
      </c>
      <c r="I32" s="5">
        <f t="shared" si="0"/>
        <v>30.577071157046415</v>
      </c>
      <c r="J32" s="107">
        <f t="shared" si="1"/>
        <v>14.853958839131273</v>
      </c>
    </row>
    <row r="33" spans="2:10" ht="16.5" customHeight="1" x14ac:dyDescent="0.3">
      <c r="B33" s="195">
        <f>IF('Input LwA_XYZ'!A32 = 0, "", 'Input LwA_XYZ'!A32)</f>
        <v>1</v>
      </c>
      <c r="C33" s="192" t="str">
        <f>IF($B33="","",_xlfn.TEXTJOIN(" - ",TRUE,'Input LwA_XYZ'!B32:C32))</f>
        <v>BEF-R10  - Inlet</v>
      </c>
      <c r="D33" s="64">
        <f>IF($B33="","",'Input LwA_XYZ'!Q32)</f>
        <v>66</v>
      </c>
      <c r="E33" s="91" t="str">
        <f>IF($B33="","",-1*ROUND(_xlfn.XLOOKUP($J$2,'Input LwA_XYZ'!$AY$1:$BM$1,'Input LwA_XYZ'!AY32:BM32),0) &amp; " / " &amp; ROUND(_xlfn.XLOOKUP($J$2,'Input LwA_XYZ'!$AH$1:$AV$1,'Input LwA_XYZ'!AH32:AV32),0) &amp; " ft")</f>
        <v>39 / 122 ft</v>
      </c>
      <c r="F33" s="91">
        <f>IF($B33="","",IF(_xlfn.XLOOKUP($J$2,'Input LwA_XYZ'!$BV$1:$CJ$1,'Input LwA_XYZ'!BV32:CJ32)="","-",_xlfn.XLOOKUP($J$2,'Input LwA_XYZ'!$BV$1:$CJ$1,'Input LwA_XYZ'!BV32:CJ32)))</f>
        <v>12</v>
      </c>
      <c r="G33" s="91" t="str">
        <f>IF($B33="","",IF('Input LwA_XYZ'!S32="","-",'Input LwA_XYZ'!S32))</f>
        <v>-</v>
      </c>
      <c r="H33" s="65">
        <f>IF($B33="","",_xlfn.XLOOKUP($J$2,'Input LwA_XYZ'!$CM$1:$DA$1,'Input LwA_XYZ'!CM32:DA32))</f>
        <v>14.623974745689068</v>
      </c>
      <c r="I33" s="5">
        <f t="shared" si="0"/>
        <v>28.999965054673922</v>
      </c>
      <c r="J33" s="107">
        <f t="shared" si="1"/>
        <v>14.623974745689068</v>
      </c>
    </row>
    <row r="34" spans="2:10" ht="16.5" customHeight="1" x14ac:dyDescent="0.3">
      <c r="B34" s="195">
        <f>IF('Input LwA_XYZ'!A33 = 0, "", 'Input LwA_XYZ'!A33)</f>
        <v>1</v>
      </c>
      <c r="C34" s="192" t="str">
        <f>IF($B34="","",_xlfn.TEXTJOIN(" - ",TRUE,'Input LwA_XYZ'!B33:C33))</f>
        <v>BEF-R11  - Inlet</v>
      </c>
      <c r="D34" s="64">
        <f>IF($B34="","",'Input LwA_XYZ'!Q33)</f>
        <v>66</v>
      </c>
      <c r="E34" s="91" t="str">
        <f>IF($B34="","",-1*ROUND(_xlfn.XLOOKUP($J$2,'Input LwA_XYZ'!$AY$1:$BM$1,'Input LwA_XYZ'!AY33:BM33),0) &amp; " / " &amp; ROUND(_xlfn.XLOOKUP($J$2,'Input LwA_XYZ'!$AH$1:$AV$1,'Input LwA_XYZ'!AH33:AV33),0) &amp; " ft")</f>
        <v>40 / 125 ft</v>
      </c>
      <c r="F34" s="91">
        <f>IF($B34="","",IF(_xlfn.XLOOKUP($J$2,'Input LwA_XYZ'!$BV$1:$CJ$1,'Input LwA_XYZ'!BV33:CJ33)="","-",_xlfn.XLOOKUP($J$2,'Input LwA_XYZ'!$BV$1:$CJ$1,'Input LwA_XYZ'!BV33:CJ33)))</f>
        <v>12</v>
      </c>
      <c r="G34" s="91" t="str">
        <f>IF($B34="","",IF('Input LwA_XYZ'!S33="","-",'Input LwA_XYZ'!S33))</f>
        <v>-</v>
      </c>
      <c r="H34" s="65">
        <f>IF($B34="","",_xlfn.XLOOKUP($J$2,'Input LwA_XYZ'!$CM$1:$DA$1,'Input LwA_XYZ'!CM33:DA33))</f>
        <v>14.3670202119458</v>
      </c>
      <c r="I34" s="5">
        <f t="shared" si="0"/>
        <v>27.333926431579581</v>
      </c>
      <c r="J34" s="107">
        <f t="shared" si="1"/>
        <v>14.3670202119458</v>
      </c>
    </row>
    <row r="35" spans="2:10" ht="16.5" customHeight="1" x14ac:dyDescent="0.3">
      <c r="B35" s="195">
        <f>IF('Input LwA_XYZ'!A34 = 0, "", 'Input LwA_XYZ'!A34)</f>
        <v>1</v>
      </c>
      <c r="C35" s="192" t="str">
        <f>IF($B35="","",_xlfn.TEXTJOIN(" - ",TRUE,'Input LwA_XYZ'!B34:C34))</f>
        <v>BEF-R12  - Inlet</v>
      </c>
      <c r="D35" s="64">
        <f>IF($B35="","",'Input LwA_XYZ'!Q34)</f>
        <v>66</v>
      </c>
      <c r="E35" s="91" t="str">
        <f>IF($B35="","",-1*ROUND(_xlfn.XLOOKUP($J$2,'Input LwA_XYZ'!$AY$1:$BM$1,'Input LwA_XYZ'!AY34:BM34),0) &amp; " / " &amp; ROUND(_xlfn.XLOOKUP($J$2,'Input LwA_XYZ'!$AH$1:$AV$1,'Input LwA_XYZ'!AH34:AV34),0) &amp; " ft")</f>
        <v>37 / 97 ft</v>
      </c>
      <c r="F35" s="91">
        <f>IF($B35="","",IF(_xlfn.XLOOKUP($J$2,'Input LwA_XYZ'!$BV$1:$CJ$1,'Input LwA_XYZ'!BV34:CJ34)="","-",_xlfn.XLOOKUP($J$2,'Input LwA_XYZ'!$BV$1:$CJ$1,'Input LwA_XYZ'!BV34:CJ34)))</f>
        <v>15</v>
      </c>
      <c r="G35" s="91" t="str">
        <f>IF($B35="","",IF('Input LwA_XYZ'!S34="","-",'Input LwA_XYZ'!S34))</f>
        <v>-</v>
      </c>
      <c r="H35" s="65">
        <f>IF($B35="","",_xlfn.XLOOKUP($J$2,'Input LwA_XYZ'!$CM$1:$DA$1,'Input LwA_XYZ'!CM34:DA34))</f>
        <v>13.618557642735382</v>
      </c>
      <c r="I35" s="5">
        <f t="shared" ref="I35:I59" si="2">IFERROR(10^(H35/10),0)</f>
        <v>23.006776008928487</v>
      </c>
      <c r="J35" s="107">
        <f t="shared" ref="J35:J59" si="3">H35</f>
        <v>13.618557642735382</v>
      </c>
    </row>
    <row r="36" spans="2:10" ht="16.5" customHeight="1" x14ac:dyDescent="0.3">
      <c r="B36" s="195">
        <f>IF('Input LwA_XYZ'!A35 = 0, "", 'Input LwA_XYZ'!A35)</f>
        <v>1</v>
      </c>
      <c r="C36" s="192" t="str">
        <f>IF($B36="","",_xlfn.TEXTJOIN(" - ",TRUE,'Input LwA_XYZ'!B35:C35))</f>
        <v>BEF-R13  - Inlet</v>
      </c>
      <c r="D36" s="64">
        <f>IF($B36="","",'Input LwA_XYZ'!Q35)</f>
        <v>66</v>
      </c>
      <c r="E36" s="91" t="str">
        <f>IF($B36="","",-1*ROUND(_xlfn.XLOOKUP($J$2,'Input LwA_XYZ'!$AY$1:$BM$1,'Input LwA_XYZ'!AY35:BM35),0) &amp; " / " &amp; ROUND(_xlfn.XLOOKUP($J$2,'Input LwA_XYZ'!$AH$1:$AV$1,'Input LwA_XYZ'!AH35:AV35),0) &amp; " ft")</f>
        <v>36 / 82 ft</v>
      </c>
      <c r="F36" s="91">
        <f>IF($B36="","",IF(_xlfn.XLOOKUP($J$2,'Input LwA_XYZ'!$BV$1:$CJ$1,'Input LwA_XYZ'!BV35:CJ35)="","-",_xlfn.XLOOKUP($J$2,'Input LwA_XYZ'!$BV$1:$CJ$1,'Input LwA_XYZ'!BV35:CJ35)))</f>
        <v>15</v>
      </c>
      <c r="G36" s="91" t="str">
        <f>IF($B36="","",IF('Input LwA_XYZ'!S35="","-",'Input LwA_XYZ'!S35))</f>
        <v>-</v>
      </c>
      <c r="H36" s="65">
        <f>IF($B36="","",_xlfn.XLOOKUP($J$2,'Input LwA_XYZ'!$CM$1:$DA$1,'Input LwA_XYZ'!CM35:DA35))</f>
        <v>15.013128066404839</v>
      </c>
      <c r="I36" s="5">
        <f t="shared" si="2"/>
        <v>31.718512104407719</v>
      </c>
      <c r="J36" s="107">
        <f t="shared" si="3"/>
        <v>15.013128066404839</v>
      </c>
    </row>
    <row r="37" spans="2:10" ht="16.5" customHeight="1" x14ac:dyDescent="0.3">
      <c r="B37" s="195">
        <f>IF('Input LwA_XYZ'!A36 = 0, "", 'Input LwA_XYZ'!A36)</f>
        <v>1</v>
      </c>
      <c r="C37" s="192" t="str">
        <f>IF($B37="","",_xlfn.TEXTJOIN(" - ",TRUE,'Input LwA_XYZ'!B36:C36))</f>
        <v>BEF-R14  - Inlet</v>
      </c>
      <c r="D37" s="64">
        <f>IF($B37="","",'Input LwA_XYZ'!Q36)</f>
        <v>66</v>
      </c>
      <c r="E37" s="91" t="str">
        <f>IF($B37="","",-1*ROUND(_xlfn.XLOOKUP($J$2,'Input LwA_XYZ'!$AY$1:$BM$1,'Input LwA_XYZ'!AY36:BM36),0) &amp; " / " &amp; ROUND(_xlfn.XLOOKUP($J$2,'Input LwA_XYZ'!$AH$1:$AV$1,'Input LwA_XYZ'!AH36:AV36),0) &amp; " ft")</f>
        <v>36 / 84 ft</v>
      </c>
      <c r="F37" s="91">
        <f>IF($B37="","",IF(_xlfn.XLOOKUP($J$2,'Input LwA_XYZ'!$BV$1:$CJ$1,'Input LwA_XYZ'!BV36:CJ36)="","-",_xlfn.XLOOKUP($J$2,'Input LwA_XYZ'!$BV$1:$CJ$1,'Input LwA_XYZ'!BV36:CJ36)))</f>
        <v>15</v>
      </c>
      <c r="G37" s="91" t="str">
        <f>IF($B37="","",IF('Input LwA_XYZ'!S36="","-",'Input LwA_XYZ'!S36))</f>
        <v>-</v>
      </c>
      <c r="H37" s="65">
        <f>IF($B37="","",_xlfn.XLOOKUP($J$2,'Input LwA_XYZ'!$CM$1:$DA$1,'Input LwA_XYZ'!CM36:DA36))</f>
        <v>14.818947013861568</v>
      </c>
      <c r="I37" s="5">
        <f t="shared" si="2"/>
        <v>30.33155679083896</v>
      </c>
      <c r="J37" s="107">
        <f t="shared" si="3"/>
        <v>14.818947013861568</v>
      </c>
    </row>
    <row r="38" spans="2:10" ht="16.5" customHeight="1" x14ac:dyDescent="0.3">
      <c r="B38" s="195">
        <f>IF('Input LwA_XYZ'!A37 = 0, "", 'Input LwA_XYZ'!A37)</f>
        <v>1</v>
      </c>
      <c r="C38" s="192" t="str">
        <f>IF($B38="","",_xlfn.TEXTJOIN(" - ",TRUE,'Input LwA_XYZ'!B37:C37))</f>
        <v>BEF-R15  - Inlet</v>
      </c>
      <c r="D38" s="64">
        <f>IF($B38="","",'Input LwA_XYZ'!Q37)</f>
        <v>57</v>
      </c>
      <c r="E38" s="91" t="str">
        <f>IF($B38="","",-1*ROUND(_xlfn.XLOOKUP($J$2,'Input LwA_XYZ'!$AY$1:$BM$1,'Input LwA_XYZ'!AY37:BM37),0) &amp; " / " &amp; ROUND(_xlfn.XLOOKUP($J$2,'Input LwA_XYZ'!$AH$1:$AV$1,'Input LwA_XYZ'!AH37:AV37),0) &amp; " ft")</f>
        <v>37 / 97 ft</v>
      </c>
      <c r="F38" s="91">
        <f>IF($B38="","",IF(_xlfn.XLOOKUP($J$2,'Input LwA_XYZ'!$BV$1:$CJ$1,'Input LwA_XYZ'!BV37:CJ37)="","-",_xlfn.XLOOKUP($J$2,'Input LwA_XYZ'!$BV$1:$CJ$1,'Input LwA_XYZ'!BV37:CJ37)))</f>
        <v>13</v>
      </c>
      <c r="G38" s="91" t="str">
        <f>IF($B38="","",IF('Input LwA_XYZ'!S37="","-",'Input LwA_XYZ'!S37))</f>
        <v>-</v>
      </c>
      <c r="H38" s="65">
        <f>IF($B38="","",_xlfn.XLOOKUP($J$2,'Input LwA_XYZ'!$CM$1:$DA$1,'Input LwA_XYZ'!CM37:DA37))</f>
        <v>6.6071422627457537</v>
      </c>
      <c r="I38" s="5">
        <f t="shared" si="2"/>
        <v>4.5784052012309848</v>
      </c>
      <c r="J38" s="107">
        <f t="shared" si="3"/>
        <v>6.6071422627457537</v>
      </c>
    </row>
    <row r="39" spans="2:10" ht="16.5" customHeight="1" x14ac:dyDescent="0.3">
      <c r="B39" s="195">
        <f>IF('Input LwA_XYZ'!A38 = 0, "", 'Input LwA_XYZ'!A38)</f>
        <v>1</v>
      </c>
      <c r="C39" s="192" t="str">
        <f>IF($B39="","",_xlfn.TEXTJOIN(" - ",TRUE,'Input LwA_XYZ'!B38:C38))</f>
        <v>BEF-R16  - Inlet</v>
      </c>
      <c r="D39" s="64">
        <f>IF($B39="","",'Input LwA_XYZ'!Q38)</f>
        <v>57</v>
      </c>
      <c r="E39" s="91" t="str">
        <f>IF($B39="","",-1*ROUND(_xlfn.XLOOKUP($J$2,'Input LwA_XYZ'!$AY$1:$BM$1,'Input LwA_XYZ'!AY38:BM38),0) &amp; " / " &amp; ROUND(_xlfn.XLOOKUP($J$2,'Input LwA_XYZ'!$AH$1:$AV$1,'Input LwA_XYZ'!AH38:AV38),0) &amp; " ft")</f>
        <v>38 / 104 ft</v>
      </c>
      <c r="F39" s="91">
        <f>IF($B39="","",IF(_xlfn.XLOOKUP($J$2,'Input LwA_XYZ'!$BV$1:$CJ$1,'Input LwA_XYZ'!BV38:CJ38)="","-",_xlfn.XLOOKUP($J$2,'Input LwA_XYZ'!$BV$1:$CJ$1,'Input LwA_XYZ'!BV38:CJ38)))</f>
        <v>14</v>
      </c>
      <c r="G39" s="91" t="str">
        <f>IF($B39="","",IF('Input LwA_XYZ'!S38="","-",'Input LwA_XYZ'!S38))</f>
        <v>-</v>
      </c>
      <c r="H39" s="65">
        <f>IF($B39="","",_xlfn.XLOOKUP($J$2,'Input LwA_XYZ'!$CM$1:$DA$1,'Input LwA_XYZ'!CM38:DA38))</f>
        <v>5.0352651457776929</v>
      </c>
      <c r="I39" s="5">
        <f t="shared" si="2"/>
        <v>3.1880602074342956</v>
      </c>
      <c r="J39" s="107">
        <f t="shared" si="3"/>
        <v>5.0352651457776929</v>
      </c>
    </row>
    <row r="40" spans="2:10" ht="16.5" customHeight="1" x14ac:dyDescent="0.3">
      <c r="B40" s="195" t="str">
        <f>IF('Input LwA_XYZ'!A39 = 0, "", 'Input LwA_XYZ'!A39)</f>
        <v/>
      </c>
      <c r="C40" s="192" t="str">
        <f>IF($B40="","",_xlfn.TEXTJOIN(" - ",TRUE,'Input LwA_XYZ'!B39:C39))</f>
        <v/>
      </c>
      <c r="D40" s="64" t="str">
        <f>IF($B40="","",'Input LwA_XYZ'!Q39)</f>
        <v/>
      </c>
      <c r="E40" s="91" t="str">
        <f>IF($B40="","",-1*ROUND(_xlfn.XLOOKUP($J$2,'Input LwA_XYZ'!$AY$1:$BM$1,'Input LwA_XYZ'!AY39:BM39),0) &amp; " / " &amp; ROUND(_xlfn.XLOOKUP($J$2,'Input LwA_XYZ'!$AH$1:$AV$1,'Input LwA_XYZ'!AH39:AV39),0) &amp; " ft")</f>
        <v/>
      </c>
      <c r="F40" s="91" t="str">
        <f>IF($B40="","",IF(_xlfn.XLOOKUP($J$2,'Input LwA_XYZ'!$BV$1:$CJ$1,'Input LwA_XYZ'!BV39:CJ39)="","-",_xlfn.XLOOKUP($J$2,'Input LwA_XYZ'!$BV$1:$CJ$1,'Input LwA_XYZ'!BV39:CJ39)))</f>
        <v/>
      </c>
      <c r="G40" s="91" t="str">
        <f>IF($B40="","",IF('Input LwA_XYZ'!S39="","-",'Input LwA_XYZ'!S39))</f>
        <v/>
      </c>
      <c r="H40" s="65" t="str">
        <f>IF($B40="","",_xlfn.XLOOKUP($J$2,'Input LwA_XYZ'!$CM$1:$DA$1,'Input LwA_XYZ'!CM39:DA39))</f>
        <v/>
      </c>
      <c r="I40" s="5">
        <f t="shared" si="2"/>
        <v>0</v>
      </c>
      <c r="J40" s="107" t="str">
        <f t="shared" si="3"/>
        <v/>
      </c>
    </row>
    <row r="41" spans="2:10" ht="16.5" customHeight="1" x14ac:dyDescent="0.3">
      <c r="B41" s="195" t="str">
        <f>IF('Input LwA_XYZ'!A40 = 0, "", 'Input LwA_XYZ'!A40)</f>
        <v/>
      </c>
      <c r="C41" s="192" t="str">
        <f>IF($B41="","",_xlfn.TEXTJOIN(" - ",TRUE,'Input LwA_XYZ'!B40:C40))</f>
        <v/>
      </c>
      <c r="D41" s="64" t="str">
        <f>IF($B41="","",'Input LwA_XYZ'!Q40)</f>
        <v/>
      </c>
      <c r="E41" s="91" t="str">
        <f>IF($B41="","",-1*ROUND(_xlfn.XLOOKUP($J$2,'Input LwA_XYZ'!$AY$1:$BM$1,'Input LwA_XYZ'!AY40:BM40),0) &amp; " / " &amp; ROUND(_xlfn.XLOOKUP($J$2,'Input LwA_XYZ'!$AH$1:$AV$1,'Input LwA_XYZ'!AH40:AV40),0) &amp; " ft")</f>
        <v/>
      </c>
      <c r="F41" s="91" t="str">
        <f>IF($B41="","",IF(_xlfn.XLOOKUP($J$2,'Input LwA_XYZ'!$BV$1:$CJ$1,'Input LwA_XYZ'!BV40:CJ40)="","-",_xlfn.XLOOKUP($J$2,'Input LwA_XYZ'!$BV$1:$CJ$1,'Input LwA_XYZ'!BV40:CJ40)))</f>
        <v/>
      </c>
      <c r="G41" s="91" t="str">
        <f>IF($B41="","",IF('Input LwA_XYZ'!S40="","-",'Input LwA_XYZ'!S40))</f>
        <v/>
      </c>
      <c r="H41" s="65" t="str">
        <f>IF($B41="","",_xlfn.XLOOKUP($J$2,'Input LwA_XYZ'!$CM$1:$DA$1,'Input LwA_XYZ'!CM40:DA40))</f>
        <v/>
      </c>
      <c r="I41" s="5">
        <f t="shared" si="2"/>
        <v>0</v>
      </c>
      <c r="J41" s="107" t="str">
        <f t="shared" si="3"/>
        <v/>
      </c>
    </row>
    <row r="42" spans="2:10" ht="16.5" customHeight="1" x14ac:dyDescent="0.3">
      <c r="B42" s="195" t="str">
        <f>IF('Input LwA_XYZ'!A41 = 0, "", 'Input LwA_XYZ'!A41)</f>
        <v/>
      </c>
      <c r="C42" s="192" t="str">
        <f>IF($B42="","",_xlfn.TEXTJOIN(" - ",TRUE,'Input LwA_XYZ'!B41:C41))</f>
        <v/>
      </c>
      <c r="D42" s="64" t="str">
        <f>IF($B42="","",'Input LwA_XYZ'!Q41)</f>
        <v/>
      </c>
      <c r="E42" s="91" t="str">
        <f>IF($B42="","",-1*ROUND(_xlfn.XLOOKUP($J$2,'Input LwA_XYZ'!$AY$1:$BM$1,'Input LwA_XYZ'!AY41:BM41),0) &amp; " / " &amp; ROUND(_xlfn.XLOOKUP($J$2,'Input LwA_XYZ'!$AH$1:$AV$1,'Input LwA_XYZ'!AH41:AV41),0) &amp; " ft")</f>
        <v/>
      </c>
      <c r="F42" s="91" t="str">
        <f>IF($B42="","",IF(_xlfn.XLOOKUP($J$2,'Input LwA_XYZ'!$BV$1:$CJ$1,'Input LwA_XYZ'!BV41:CJ41)="","-",_xlfn.XLOOKUP($J$2,'Input LwA_XYZ'!$BV$1:$CJ$1,'Input LwA_XYZ'!BV41:CJ41)))</f>
        <v/>
      </c>
      <c r="G42" s="91" t="str">
        <f>IF($B42="","",IF('Input LwA_XYZ'!S41="","-",'Input LwA_XYZ'!S41))</f>
        <v/>
      </c>
      <c r="H42" s="65" t="str">
        <f>IF($B42="","",_xlfn.XLOOKUP($J$2,'Input LwA_XYZ'!$CM$1:$DA$1,'Input LwA_XYZ'!CM41:DA41))</f>
        <v/>
      </c>
      <c r="I42" s="5">
        <f t="shared" si="2"/>
        <v>0</v>
      </c>
      <c r="J42" s="107" t="str">
        <f t="shared" si="3"/>
        <v/>
      </c>
    </row>
    <row r="43" spans="2:10" ht="16.5" customHeight="1" x14ac:dyDescent="0.3">
      <c r="B43" s="195" t="str">
        <f>IF('Input LwA_XYZ'!A42 = 0, "", 'Input LwA_XYZ'!A42)</f>
        <v/>
      </c>
      <c r="C43" s="192" t="str">
        <f>IF($B43="","",_xlfn.TEXTJOIN(" - ",TRUE,'Input LwA_XYZ'!B42:C42))</f>
        <v/>
      </c>
      <c r="D43" s="64" t="str">
        <f>IF($B43="","",'Input LwA_XYZ'!Q42)</f>
        <v/>
      </c>
      <c r="E43" s="91" t="str">
        <f>IF($B43="","",-1*ROUND(_xlfn.XLOOKUP($J$2,'Input LwA_XYZ'!$AY$1:$BM$1,'Input LwA_XYZ'!AY42:BM42),0) &amp; " / " &amp; ROUND(_xlfn.XLOOKUP($J$2,'Input LwA_XYZ'!$AH$1:$AV$1,'Input LwA_XYZ'!AH42:AV42),0) &amp; " ft")</f>
        <v/>
      </c>
      <c r="F43" s="91" t="str">
        <f>IF($B43="","",IF(_xlfn.XLOOKUP($J$2,'Input LwA_XYZ'!$BV$1:$CJ$1,'Input LwA_XYZ'!BV42:CJ42)="","-",_xlfn.XLOOKUP($J$2,'Input LwA_XYZ'!$BV$1:$CJ$1,'Input LwA_XYZ'!BV42:CJ42)))</f>
        <v/>
      </c>
      <c r="G43" s="91" t="str">
        <f>IF($B43="","",IF('Input LwA_XYZ'!S42="","-",'Input LwA_XYZ'!S42))</f>
        <v/>
      </c>
      <c r="H43" s="65" t="str">
        <f>IF($B43="","",_xlfn.XLOOKUP($J$2,'Input LwA_XYZ'!$CM$1:$DA$1,'Input LwA_XYZ'!CM42:DA42))</f>
        <v/>
      </c>
      <c r="I43" s="5">
        <f t="shared" si="2"/>
        <v>0</v>
      </c>
      <c r="J43" s="107" t="str">
        <f t="shared" si="3"/>
        <v/>
      </c>
    </row>
    <row r="44" spans="2:10" ht="16.5" customHeight="1" x14ac:dyDescent="0.3">
      <c r="B44" s="195" t="str">
        <f>IF('Input LwA_XYZ'!A43 = 0, "", 'Input LwA_XYZ'!A43)</f>
        <v/>
      </c>
      <c r="C44" s="192" t="str">
        <f>IF($B44="","",_xlfn.TEXTJOIN(" - ",TRUE,'Input LwA_XYZ'!B43:C43))</f>
        <v/>
      </c>
      <c r="D44" s="64" t="str">
        <f>IF($B44="","",'Input LwA_XYZ'!Q43)</f>
        <v/>
      </c>
      <c r="E44" s="91" t="str">
        <f>IF($B44="","",-1*ROUND(_xlfn.XLOOKUP($J$2,'Input LwA_XYZ'!$AY$1:$BM$1,'Input LwA_XYZ'!AY43:BM43),0) &amp; " / " &amp; ROUND(_xlfn.XLOOKUP($J$2,'Input LwA_XYZ'!$AH$1:$AV$1,'Input LwA_XYZ'!AH43:AV43),0) &amp; " ft")</f>
        <v/>
      </c>
      <c r="F44" s="91" t="str">
        <f>IF($B44="","",IF(_xlfn.XLOOKUP($J$2,'Input LwA_XYZ'!$BV$1:$CJ$1,'Input LwA_XYZ'!BV43:CJ43)="","-",_xlfn.XLOOKUP($J$2,'Input LwA_XYZ'!$BV$1:$CJ$1,'Input LwA_XYZ'!BV43:CJ43)))</f>
        <v/>
      </c>
      <c r="G44" s="91" t="str">
        <f>IF($B44="","",IF('Input LwA_XYZ'!S43="","-",'Input LwA_XYZ'!S43))</f>
        <v/>
      </c>
      <c r="H44" s="65" t="str">
        <f>IF($B44="","",_xlfn.XLOOKUP($J$2,'Input LwA_XYZ'!$CM$1:$DA$1,'Input LwA_XYZ'!CM43:DA43))</f>
        <v/>
      </c>
      <c r="I44" s="5">
        <f t="shared" si="2"/>
        <v>0</v>
      </c>
      <c r="J44" s="107" t="str">
        <f t="shared" si="3"/>
        <v/>
      </c>
    </row>
    <row r="45" spans="2:10" ht="16.5" customHeight="1" x14ac:dyDescent="0.3">
      <c r="B45" s="195" t="str">
        <f>IF('Input LwA_XYZ'!A44 = 0, "", 'Input LwA_XYZ'!A44)</f>
        <v/>
      </c>
      <c r="C45" s="192" t="str">
        <f>IF($B45="","",_xlfn.TEXTJOIN(" - ",TRUE,'Input LwA_XYZ'!B44:C44))</f>
        <v/>
      </c>
      <c r="D45" s="64" t="str">
        <f>IF($B45="","",'Input LwA_XYZ'!Q44)</f>
        <v/>
      </c>
      <c r="E45" s="91" t="str">
        <f>IF($B45="","",-1*ROUND(_xlfn.XLOOKUP($J$2,'Input LwA_XYZ'!$AY$1:$BM$1,'Input LwA_XYZ'!AY44:BM44),0) &amp; " / " &amp; ROUND(_xlfn.XLOOKUP($J$2,'Input LwA_XYZ'!$AH$1:$AV$1,'Input LwA_XYZ'!AH44:AV44),0) &amp; " ft")</f>
        <v/>
      </c>
      <c r="F45" s="91" t="str">
        <f>IF($B45="","",IF(_xlfn.XLOOKUP($J$2,'Input LwA_XYZ'!$BV$1:$CJ$1,'Input LwA_XYZ'!BV44:CJ44)="","-",_xlfn.XLOOKUP($J$2,'Input LwA_XYZ'!$BV$1:$CJ$1,'Input LwA_XYZ'!BV44:CJ44)))</f>
        <v/>
      </c>
      <c r="G45" s="91" t="str">
        <f>IF($B45="","",IF('Input LwA_XYZ'!S44="","-",'Input LwA_XYZ'!S44))</f>
        <v/>
      </c>
      <c r="H45" s="65" t="str">
        <f>IF($B45="","",_xlfn.XLOOKUP($J$2,'Input LwA_XYZ'!$CM$1:$DA$1,'Input LwA_XYZ'!CM44:DA44))</f>
        <v/>
      </c>
      <c r="I45" s="5">
        <f t="shared" si="2"/>
        <v>0</v>
      </c>
      <c r="J45" s="107" t="str">
        <f t="shared" si="3"/>
        <v/>
      </c>
    </row>
    <row r="46" spans="2:10" ht="16.5" customHeight="1" x14ac:dyDescent="0.3">
      <c r="B46" s="195" t="str">
        <f>IF('Input LwA_XYZ'!A45 = 0, "", 'Input LwA_XYZ'!A45)</f>
        <v/>
      </c>
      <c r="C46" s="192" t="str">
        <f>IF($B46="","",_xlfn.TEXTJOIN(" - ",TRUE,'Input LwA_XYZ'!B45:C45))</f>
        <v/>
      </c>
      <c r="D46" s="64" t="str">
        <f>IF($B46="","",'Input LwA_XYZ'!Q45)</f>
        <v/>
      </c>
      <c r="E46" s="91" t="str">
        <f>IF($B46="","",-1*ROUND(_xlfn.XLOOKUP($J$2,'Input LwA_XYZ'!$AY$1:$BM$1,'Input LwA_XYZ'!AY45:BM45),0) &amp; " / " &amp; ROUND(_xlfn.XLOOKUP($J$2,'Input LwA_XYZ'!$AH$1:$AV$1,'Input LwA_XYZ'!AH45:AV45),0) &amp; " ft")</f>
        <v/>
      </c>
      <c r="F46" s="91" t="str">
        <f>IF($B46="","",IF(_xlfn.XLOOKUP($J$2,'Input LwA_XYZ'!$BV$1:$CJ$1,'Input LwA_XYZ'!BV45:CJ45)="","-",_xlfn.XLOOKUP($J$2,'Input LwA_XYZ'!$BV$1:$CJ$1,'Input LwA_XYZ'!BV45:CJ45)))</f>
        <v/>
      </c>
      <c r="G46" s="91" t="str">
        <f>IF($B46="","",IF('Input LwA_XYZ'!S45="","-",'Input LwA_XYZ'!S45))</f>
        <v/>
      </c>
      <c r="H46" s="65" t="str">
        <f>IF($B46="","",_xlfn.XLOOKUP($J$2,'Input LwA_XYZ'!$CM$1:$DA$1,'Input LwA_XYZ'!CM45:DA45))</f>
        <v/>
      </c>
      <c r="I46" s="5">
        <f t="shared" si="2"/>
        <v>0</v>
      </c>
      <c r="J46" s="107" t="str">
        <f t="shared" si="3"/>
        <v/>
      </c>
    </row>
    <row r="47" spans="2:10" ht="16.5" customHeight="1" x14ac:dyDescent="0.3">
      <c r="B47" s="195" t="str">
        <f>IF('Input LwA_XYZ'!A46 = 0, "", 'Input LwA_XYZ'!A46)</f>
        <v/>
      </c>
      <c r="C47" s="192" t="str">
        <f>IF($B47="","",_xlfn.TEXTJOIN(" - ",TRUE,'Input LwA_XYZ'!B46:C46))</f>
        <v/>
      </c>
      <c r="D47" s="64" t="str">
        <f>IF($B47="","",'Input LwA_XYZ'!Q46)</f>
        <v/>
      </c>
      <c r="E47" s="91" t="str">
        <f>IF($B47="","",-1*ROUND(_xlfn.XLOOKUP($J$2,'Input LwA_XYZ'!$AY$1:$BM$1,'Input LwA_XYZ'!AY46:BM46),0) &amp; " / " &amp; ROUND(_xlfn.XLOOKUP($J$2,'Input LwA_XYZ'!$AH$1:$AV$1,'Input LwA_XYZ'!AH46:AV46),0) &amp; " ft")</f>
        <v/>
      </c>
      <c r="F47" s="91" t="str">
        <f>IF($B47="","",IF(_xlfn.XLOOKUP($J$2,'Input LwA_XYZ'!$BV$1:$CJ$1,'Input LwA_XYZ'!BV46:CJ46)="","-",_xlfn.XLOOKUP($J$2,'Input LwA_XYZ'!$BV$1:$CJ$1,'Input LwA_XYZ'!BV46:CJ46)))</f>
        <v/>
      </c>
      <c r="G47" s="91" t="str">
        <f>IF($B47="","",IF('Input LwA_XYZ'!S46="","-",'Input LwA_XYZ'!S46))</f>
        <v/>
      </c>
      <c r="H47" s="65" t="str">
        <f>IF($B47="","",_xlfn.XLOOKUP($J$2,'Input LwA_XYZ'!$CM$1:$DA$1,'Input LwA_XYZ'!CM46:DA46))</f>
        <v/>
      </c>
      <c r="I47" s="5">
        <f t="shared" si="2"/>
        <v>0</v>
      </c>
      <c r="J47" s="107" t="str">
        <f t="shared" si="3"/>
        <v/>
      </c>
    </row>
    <row r="48" spans="2:10" ht="16.5" customHeight="1" x14ac:dyDescent="0.3">
      <c r="B48" s="195" t="str">
        <f>IF('Input LwA_XYZ'!A47 = 0, "", 'Input LwA_XYZ'!A47)</f>
        <v/>
      </c>
      <c r="C48" s="192" t="str">
        <f>IF($B48="","",_xlfn.TEXTJOIN(" - ",TRUE,'Input LwA_XYZ'!B47:C47))</f>
        <v/>
      </c>
      <c r="D48" s="64" t="str">
        <f>IF($B48="","",'Input LwA_XYZ'!Q47)</f>
        <v/>
      </c>
      <c r="E48" s="91" t="str">
        <f>IF($B48="","",-1*ROUND(_xlfn.XLOOKUP($J$2,'Input LwA_XYZ'!$AY$1:$BM$1,'Input LwA_XYZ'!AY47:BM47),0) &amp; " / " &amp; ROUND(_xlfn.XLOOKUP($J$2,'Input LwA_XYZ'!$AH$1:$AV$1,'Input LwA_XYZ'!AH47:AV47),0) &amp; " ft")</f>
        <v/>
      </c>
      <c r="F48" s="91" t="str">
        <f>IF($B48="","",IF(_xlfn.XLOOKUP($J$2,'Input LwA_XYZ'!$BV$1:$CJ$1,'Input LwA_XYZ'!BV47:CJ47)="","-",_xlfn.XLOOKUP($J$2,'Input LwA_XYZ'!$BV$1:$CJ$1,'Input LwA_XYZ'!BV47:CJ47)))</f>
        <v/>
      </c>
      <c r="G48" s="91" t="str">
        <f>IF($B48="","",IF('Input LwA_XYZ'!S47="","-",'Input LwA_XYZ'!S47))</f>
        <v/>
      </c>
      <c r="H48" s="65" t="str">
        <f>IF($B48="","",_xlfn.XLOOKUP($J$2,'Input LwA_XYZ'!$CM$1:$DA$1,'Input LwA_XYZ'!CM47:DA47))</f>
        <v/>
      </c>
      <c r="I48" s="5">
        <f t="shared" si="2"/>
        <v>0</v>
      </c>
      <c r="J48" s="107" t="str">
        <f t="shared" si="3"/>
        <v/>
      </c>
    </row>
    <row r="49" spans="2:11" ht="16.5" customHeight="1" x14ac:dyDescent="0.3">
      <c r="B49" s="195" t="str">
        <f>IF('Input LwA_XYZ'!A48 = 0, "", 'Input LwA_XYZ'!A48)</f>
        <v/>
      </c>
      <c r="C49" s="192" t="str">
        <f>IF($B49="","",_xlfn.TEXTJOIN(" - ",TRUE,'Input LwA_XYZ'!B48:C48))</f>
        <v/>
      </c>
      <c r="D49" s="64" t="str">
        <f>IF($B49="","",'Input LwA_XYZ'!Q48)</f>
        <v/>
      </c>
      <c r="E49" s="91" t="str">
        <f>IF($B49="","",-1*ROUND(_xlfn.XLOOKUP($J$2,'Input LwA_XYZ'!$AY$1:$BM$1,'Input LwA_XYZ'!AY48:BM48),0) &amp; " / " &amp; ROUND(_xlfn.XLOOKUP($J$2,'Input LwA_XYZ'!$AH$1:$AV$1,'Input LwA_XYZ'!AH48:AV48),0) &amp; " ft")</f>
        <v/>
      </c>
      <c r="F49" s="91" t="str">
        <f>IF($B49="","",IF(_xlfn.XLOOKUP($J$2,'Input LwA_XYZ'!$BV$1:$CJ$1,'Input LwA_XYZ'!BV48:CJ48)="","-",_xlfn.XLOOKUP($J$2,'Input LwA_XYZ'!$BV$1:$CJ$1,'Input LwA_XYZ'!BV48:CJ48)))</f>
        <v/>
      </c>
      <c r="G49" s="91" t="str">
        <f>IF($B49="","",IF('Input LwA_XYZ'!S48="","-",'Input LwA_XYZ'!S48))</f>
        <v/>
      </c>
      <c r="H49" s="65" t="str">
        <f>IF($B49="","",_xlfn.XLOOKUP($J$2,'Input LwA_XYZ'!$CM$1:$DA$1,'Input LwA_XYZ'!CM48:DA48))</f>
        <v/>
      </c>
      <c r="I49" s="5">
        <f t="shared" si="2"/>
        <v>0</v>
      </c>
      <c r="J49" s="107" t="str">
        <f t="shared" si="3"/>
        <v/>
      </c>
    </row>
    <row r="50" spans="2:11" ht="16.5" customHeight="1" x14ac:dyDescent="0.3">
      <c r="B50" s="195" t="str">
        <f>IF('Input LwA_XYZ'!A49 = 0, "", 'Input LwA_XYZ'!A49)</f>
        <v/>
      </c>
      <c r="C50" s="192" t="str">
        <f>IF($B50="","",_xlfn.TEXTJOIN(" - ",TRUE,'Input LwA_XYZ'!B49:C49))</f>
        <v/>
      </c>
      <c r="D50" s="64" t="str">
        <f>IF($B50="","",'Input LwA_XYZ'!Q49)</f>
        <v/>
      </c>
      <c r="E50" s="91" t="str">
        <f>IF($B50="","",-1*ROUND(_xlfn.XLOOKUP($J$2,'Input LwA_XYZ'!$AY$1:$BM$1,'Input LwA_XYZ'!AY49:BM49),0) &amp; " / " &amp; ROUND(_xlfn.XLOOKUP($J$2,'Input LwA_XYZ'!$AH$1:$AV$1,'Input LwA_XYZ'!AH49:AV49),0) &amp; " ft")</f>
        <v/>
      </c>
      <c r="F50" s="91" t="str">
        <f>IF($B50="","",IF(_xlfn.XLOOKUP($J$2,'Input LwA_XYZ'!$BV$1:$CJ$1,'Input LwA_XYZ'!BV49:CJ49)="","-",_xlfn.XLOOKUP($J$2,'Input LwA_XYZ'!$BV$1:$CJ$1,'Input LwA_XYZ'!BV49:CJ49)))</f>
        <v/>
      </c>
      <c r="G50" s="91" t="str">
        <f>IF($B50="","",IF('Input LwA_XYZ'!S49="","-",'Input LwA_XYZ'!S49))</f>
        <v/>
      </c>
      <c r="H50" s="65" t="str">
        <f>IF($B50="","",_xlfn.XLOOKUP($J$2,'Input LwA_XYZ'!$CM$1:$DA$1,'Input LwA_XYZ'!CM49:DA49))</f>
        <v/>
      </c>
      <c r="I50" s="5">
        <f t="shared" si="2"/>
        <v>0</v>
      </c>
      <c r="J50" s="107" t="str">
        <f t="shared" si="3"/>
        <v/>
      </c>
    </row>
    <row r="51" spans="2:11" ht="16.5" customHeight="1" x14ac:dyDescent="0.3">
      <c r="B51" s="195" t="str">
        <f>IF('Input LwA_XYZ'!A50 = 0, "", 'Input LwA_XYZ'!A50)</f>
        <v/>
      </c>
      <c r="C51" s="192" t="str">
        <f>IF($B51="","",_xlfn.TEXTJOIN(" - ",TRUE,'Input LwA_XYZ'!B50:C50))</f>
        <v/>
      </c>
      <c r="D51" s="64" t="str">
        <f>IF($B51="","",'Input LwA_XYZ'!Q50)</f>
        <v/>
      </c>
      <c r="E51" s="91" t="str">
        <f>IF($B51="","",-1*ROUND(_xlfn.XLOOKUP($J$2,'Input LwA_XYZ'!$AY$1:$BM$1,'Input LwA_XYZ'!AY50:BM50),0) &amp; " / " &amp; ROUND(_xlfn.XLOOKUP($J$2,'Input LwA_XYZ'!$AH$1:$AV$1,'Input LwA_XYZ'!AH50:AV50),0) &amp; " ft")</f>
        <v/>
      </c>
      <c r="F51" s="91" t="str">
        <f>IF($B51="","",IF(_xlfn.XLOOKUP($J$2,'Input LwA_XYZ'!$BV$1:$CJ$1,'Input LwA_XYZ'!BV50:CJ50)="","-",_xlfn.XLOOKUP($J$2,'Input LwA_XYZ'!$BV$1:$CJ$1,'Input LwA_XYZ'!BV50:CJ50)))</f>
        <v/>
      </c>
      <c r="G51" s="91" t="str">
        <f>IF($B51="","",IF('Input LwA_XYZ'!S50="","-",'Input LwA_XYZ'!S50))</f>
        <v/>
      </c>
      <c r="H51" s="65" t="str">
        <f>IF($B51="","",_xlfn.XLOOKUP($J$2,'Input LwA_XYZ'!$CM$1:$DA$1,'Input LwA_XYZ'!CM50:DA50))</f>
        <v/>
      </c>
      <c r="I51" s="5">
        <f t="shared" si="2"/>
        <v>0</v>
      </c>
      <c r="J51" s="107" t="str">
        <f t="shared" si="3"/>
        <v/>
      </c>
    </row>
    <row r="52" spans="2:11" ht="16.5" customHeight="1" x14ac:dyDescent="0.3">
      <c r="B52" s="195" t="str">
        <f>IF('Input LwA_XYZ'!A51 = 0, "", 'Input LwA_XYZ'!A51)</f>
        <v/>
      </c>
      <c r="C52" s="192" t="str">
        <f>IF($B52="","",_xlfn.TEXTJOIN(" - ",TRUE,'Input LwA_XYZ'!B51:C51))</f>
        <v/>
      </c>
      <c r="D52" s="64" t="str">
        <f>IF($B52="","",'Input LwA_XYZ'!Q51)</f>
        <v/>
      </c>
      <c r="E52" s="91" t="str">
        <f>IF($B52="","",-1*ROUND(_xlfn.XLOOKUP($J$2,'Input LwA_XYZ'!$AY$1:$BM$1,'Input LwA_XYZ'!AY51:BM51),0) &amp; " / " &amp; ROUND(_xlfn.XLOOKUP($J$2,'Input LwA_XYZ'!$AH$1:$AV$1,'Input LwA_XYZ'!AH51:AV51),0) &amp; " ft")</f>
        <v/>
      </c>
      <c r="F52" s="91" t="str">
        <f>IF($B52="","",IF(_xlfn.XLOOKUP($J$2,'Input LwA_XYZ'!$BV$1:$CJ$1,'Input LwA_XYZ'!BV51:CJ51)="","-",_xlfn.XLOOKUP($J$2,'Input LwA_XYZ'!$BV$1:$CJ$1,'Input LwA_XYZ'!BV51:CJ51)))</f>
        <v/>
      </c>
      <c r="G52" s="91" t="str">
        <f>IF($B52="","",IF('Input LwA_XYZ'!S51="","-",'Input LwA_XYZ'!S51))</f>
        <v/>
      </c>
      <c r="H52" s="65" t="str">
        <f>IF($B52="","",_xlfn.XLOOKUP($J$2,'Input LwA_XYZ'!$CM$1:$DA$1,'Input LwA_XYZ'!CM51:DA51))</f>
        <v/>
      </c>
      <c r="I52" s="5">
        <f t="shared" si="2"/>
        <v>0</v>
      </c>
      <c r="J52" s="107" t="str">
        <f t="shared" si="3"/>
        <v/>
      </c>
    </row>
    <row r="53" spans="2:11" ht="16.5" customHeight="1" x14ac:dyDescent="0.3">
      <c r="B53" s="195" t="str">
        <f>IF('Input LwA_XYZ'!A52 = 0, "", 'Input LwA_XYZ'!A52)</f>
        <v/>
      </c>
      <c r="C53" s="192" t="str">
        <f>IF($B53="","",_xlfn.TEXTJOIN(" - ",TRUE,'Input LwA_XYZ'!B52:C52))</f>
        <v/>
      </c>
      <c r="D53" s="64" t="str">
        <f>IF($B53="","",'Input LwA_XYZ'!Q52)</f>
        <v/>
      </c>
      <c r="E53" s="91" t="str">
        <f>IF($B53="","",-1*ROUND(_xlfn.XLOOKUP($J$2,'Input LwA_XYZ'!$AY$1:$BM$1,'Input LwA_XYZ'!AY52:BM52),0) &amp; " / " &amp; ROUND(_xlfn.XLOOKUP($J$2,'Input LwA_XYZ'!$AH$1:$AV$1,'Input LwA_XYZ'!AH52:AV52),0) &amp; " ft")</f>
        <v/>
      </c>
      <c r="F53" s="91" t="str">
        <f>IF($B53="","",IF(_xlfn.XLOOKUP($J$2,'Input LwA_XYZ'!$BV$1:$CJ$1,'Input LwA_XYZ'!BV52:CJ52)="","-",_xlfn.XLOOKUP($J$2,'Input LwA_XYZ'!$BV$1:$CJ$1,'Input LwA_XYZ'!BV52:CJ52)))</f>
        <v/>
      </c>
      <c r="G53" s="91" t="str">
        <f>IF($B53="","",IF('Input LwA_XYZ'!S52="","-",'Input LwA_XYZ'!S52))</f>
        <v/>
      </c>
      <c r="H53" s="65" t="str">
        <f>IF($B53="","",_xlfn.XLOOKUP($J$2,'Input LwA_XYZ'!$CM$1:$DA$1,'Input LwA_XYZ'!CM52:DA52))</f>
        <v/>
      </c>
      <c r="I53" s="5">
        <f t="shared" si="2"/>
        <v>0</v>
      </c>
      <c r="J53" s="107" t="str">
        <f t="shared" si="3"/>
        <v/>
      </c>
    </row>
    <row r="54" spans="2:11" ht="16.5" customHeight="1" x14ac:dyDescent="0.3">
      <c r="B54" s="195" t="str">
        <f>IF('Input LwA_XYZ'!A53 = 0, "", 'Input LwA_XYZ'!A53)</f>
        <v/>
      </c>
      <c r="C54" s="192" t="str">
        <f>IF($B54="","",_xlfn.TEXTJOIN(" - ",TRUE,'Input LwA_XYZ'!B53:C53))</f>
        <v/>
      </c>
      <c r="D54" s="64" t="str">
        <f>IF($B54="","",'Input LwA_XYZ'!Q53)</f>
        <v/>
      </c>
      <c r="E54" s="91" t="str">
        <f>IF($B54="","",-1*ROUND(_xlfn.XLOOKUP($J$2,'Input LwA_XYZ'!$AY$1:$BM$1,'Input LwA_XYZ'!AY53:BM53),0) &amp; " / " &amp; ROUND(_xlfn.XLOOKUP($J$2,'Input LwA_XYZ'!$AH$1:$AV$1,'Input LwA_XYZ'!AH53:AV53),0) &amp; " ft")</f>
        <v/>
      </c>
      <c r="F54" s="91" t="str">
        <f>IF($B54="","",IF(_xlfn.XLOOKUP($J$2,'Input LwA_XYZ'!$BV$1:$CJ$1,'Input LwA_XYZ'!BV53:CJ53)="","-",_xlfn.XLOOKUP($J$2,'Input LwA_XYZ'!$BV$1:$CJ$1,'Input LwA_XYZ'!BV53:CJ53)))</f>
        <v/>
      </c>
      <c r="G54" s="91" t="str">
        <f>IF($B54="","",IF('Input LwA_XYZ'!S53="","-",'Input LwA_XYZ'!S53))</f>
        <v/>
      </c>
      <c r="H54" s="65" t="str">
        <f>IF($B54="","",_xlfn.XLOOKUP($J$2,'Input LwA_XYZ'!$CM$1:$DA$1,'Input LwA_XYZ'!CM53:DA53))</f>
        <v/>
      </c>
      <c r="I54" s="5">
        <f t="shared" si="2"/>
        <v>0</v>
      </c>
      <c r="J54" s="107" t="str">
        <f t="shared" si="3"/>
        <v/>
      </c>
    </row>
    <row r="55" spans="2:11" ht="16.5" customHeight="1" x14ac:dyDescent="0.3">
      <c r="B55" s="195" t="str">
        <f>IF('Input LwA_XYZ'!A54 = 0, "", 'Input LwA_XYZ'!A54)</f>
        <v/>
      </c>
      <c r="C55" s="192" t="str">
        <f>IF($B55="","",_xlfn.TEXTJOIN(" - ",TRUE,'Input LwA_XYZ'!B54:C54))</f>
        <v/>
      </c>
      <c r="D55" s="64" t="str">
        <f>IF($B55="","",'Input LwA_XYZ'!Q54)</f>
        <v/>
      </c>
      <c r="E55" s="91" t="str">
        <f>IF($B55="","",-1*ROUND(_xlfn.XLOOKUP($J$2,'Input LwA_XYZ'!$AY$1:$BM$1,'Input LwA_XYZ'!AY54:BM54),0) &amp; " / " &amp; ROUND(_xlfn.XLOOKUP($J$2,'Input LwA_XYZ'!$AH$1:$AV$1,'Input LwA_XYZ'!AH54:AV54),0) &amp; " ft")</f>
        <v/>
      </c>
      <c r="F55" s="91" t="str">
        <f>IF($B55="","",IF(_xlfn.XLOOKUP($J$2,'Input LwA_XYZ'!$BV$1:$CJ$1,'Input LwA_XYZ'!BV54:CJ54)="","-",_xlfn.XLOOKUP($J$2,'Input LwA_XYZ'!$BV$1:$CJ$1,'Input LwA_XYZ'!BV54:CJ54)))</f>
        <v/>
      </c>
      <c r="G55" s="91" t="str">
        <f>IF($B55="","",IF('Input LwA_XYZ'!S54="","-",'Input LwA_XYZ'!S54))</f>
        <v/>
      </c>
      <c r="H55" s="65" t="str">
        <f>IF($B55="","",_xlfn.XLOOKUP($J$2,'Input LwA_XYZ'!$CM$1:$DA$1,'Input LwA_XYZ'!CM54:DA54))</f>
        <v/>
      </c>
      <c r="I55" s="5">
        <f t="shared" si="2"/>
        <v>0</v>
      </c>
      <c r="J55" s="107" t="str">
        <f t="shared" si="3"/>
        <v/>
      </c>
    </row>
    <row r="56" spans="2:11" ht="16.5" customHeight="1" x14ac:dyDescent="0.3">
      <c r="B56" s="195" t="str">
        <f>IF('Input LwA_XYZ'!A55 = 0, "", 'Input LwA_XYZ'!A55)</f>
        <v/>
      </c>
      <c r="C56" s="192" t="str">
        <f>IF($B56="","",_xlfn.TEXTJOIN(" - ",TRUE,'Input LwA_XYZ'!B55:C55))</f>
        <v/>
      </c>
      <c r="D56" s="64" t="str">
        <f>IF($B56="","",'Input LwA_XYZ'!Q55)</f>
        <v/>
      </c>
      <c r="E56" s="91" t="str">
        <f>IF($B56="","",-1*ROUND(_xlfn.XLOOKUP($J$2,'Input LwA_XYZ'!$AY$1:$BM$1,'Input LwA_XYZ'!AY55:BM55),0) &amp; " / " &amp; ROUND(_xlfn.XLOOKUP($J$2,'Input LwA_XYZ'!$AH$1:$AV$1,'Input LwA_XYZ'!AH55:AV55),0) &amp; " ft")</f>
        <v/>
      </c>
      <c r="F56" s="91" t="str">
        <f>IF($B56="","",IF(_xlfn.XLOOKUP($J$2,'Input LwA_XYZ'!$BV$1:$CJ$1,'Input LwA_XYZ'!BV55:CJ55)="","-",_xlfn.XLOOKUP($J$2,'Input LwA_XYZ'!$BV$1:$CJ$1,'Input LwA_XYZ'!BV55:CJ55)))</f>
        <v/>
      </c>
      <c r="G56" s="91" t="str">
        <f>IF($B56="","",IF('Input LwA_XYZ'!S55="","-",'Input LwA_XYZ'!S55))</f>
        <v/>
      </c>
      <c r="H56" s="65" t="str">
        <f>IF($B56="","",_xlfn.XLOOKUP($J$2,'Input LwA_XYZ'!$CM$1:$DA$1,'Input LwA_XYZ'!CM55:DA55))</f>
        <v/>
      </c>
      <c r="I56" s="5">
        <f t="shared" si="2"/>
        <v>0</v>
      </c>
      <c r="J56" s="107" t="str">
        <f t="shared" si="3"/>
        <v/>
      </c>
    </row>
    <row r="57" spans="2:11" ht="16.5" customHeight="1" x14ac:dyDescent="0.3">
      <c r="B57" s="195" t="str">
        <f>IF('Input LwA_XYZ'!A56 = 0, "", 'Input LwA_XYZ'!A56)</f>
        <v/>
      </c>
      <c r="C57" s="192" t="str">
        <f>IF($B57="","",_xlfn.TEXTJOIN(" - ",TRUE,'Input LwA_XYZ'!B56:C56))</f>
        <v/>
      </c>
      <c r="D57" s="64" t="str">
        <f>IF($B57="","",'Input LwA_XYZ'!Q56)</f>
        <v/>
      </c>
      <c r="E57" s="91" t="str">
        <f>IF($B57="","",-1*ROUND(_xlfn.XLOOKUP($J$2,'Input LwA_XYZ'!$AY$1:$BM$1,'Input LwA_XYZ'!AY56:BM56),0) &amp; " / " &amp; ROUND(_xlfn.XLOOKUP($J$2,'Input LwA_XYZ'!$AH$1:$AV$1,'Input LwA_XYZ'!AH56:AV56),0) &amp; " ft")</f>
        <v/>
      </c>
      <c r="F57" s="91" t="str">
        <f>IF($B57="","",IF(_xlfn.XLOOKUP($J$2,'Input LwA_XYZ'!$BV$1:$CJ$1,'Input LwA_XYZ'!BV56:CJ56)="","-",_xlfn.XLOOKUP($J$2,'Input LwA_XYZ'!$BV$1:$CJ$1,'Input LwA_XYZ'!BV56:CJ56)))</f>
        <v/>
      </c>
      <c r="G57" s="91" t="str">
        <f>IF($B57="","",IF('Input LwA_XYZ'!S56="","-",'Input LwA_XYZ'!S56))</f>
        <v/>
      </c>
      <c r="H57" s="65" t="str">
        <f>IF($B57="","",_xlfn.XLOOKUP($J$2,'Input LwA_XYZ'!$CM$1:$DA$1,'Input LwA_XYZ'!CM56:DA56))</f>
        <v/>
      </c>
      <c r="I57" s="5">
        <f t="shared" si="2"/>
        <v>0</v>
      </c>
      <c r="J57" s="107" t="str">
        <f t="shared" si="3"/>
        <v/>
      </c>
    </row>
    <row r="58" spans="2:11" ht="16.5" customHeight="1" x14ac:dyDescent="0.3">
      <c r="B58" s="195" t="str">
        <f>IF('Input LwA_XYZ'!A57 = 0, "", 'Input LwA_XYZ'!A57)</f>
        <v/>
      </c>
      <c r="C58" s="192" t="str">
        <f>IF($B58="","",_xlfn.TEXTJOIN(" - ",TRUE,'Input LwA_XYZ'!B57:C57))</f>
        <v/>
      </c>
      <c r="D58" s="64" t="str">
        <f>IF($B58="","",'Input LwA_XYZ'!Q57)</f>
        <v/>
      </c>
      <c r="E58" s="91" t="str">
        <f>IF($B58="","",-1*ROUND(_xlfn.XLOOKUP($J$2,'Input LwA_XYZ'!$AY$1:$BM$1,'Input LwA_XYZ'!AY57:BM57),0) &amp; " / " &amp; ROUND(_xlfn.XLOOKUP($J$2,'Input LwA_XYZ'!$AH$1:$AV$1,'Input LwA_XYZ'!AH57:AV57),0) &amp; " ft")</f>
        <v/>
      </c>
      <c r="F58" s="91" t="str">
        <f>IF($B58="","",IF(_xlfn.XLOOKUP($J$2,'Input LwA_XYZ'!$BV$1:$CJ$1,'Input LwA_XYZ'!BV57:CJ57)="","-",_xlfn.XLOOKUP($J$2,'Input LwA_XYZ'!$BV$1:$CJ$1,'Input LwA_XYZ'!BV57:CJ57)))</f>
        <v/>
      </c>
      <c r="G58" s="91" t="str">
        <f>IF($B58="","",IF('Input LwA_XYZ'!S57="","-",'Input LwA_XYZ'!S57))</f>
        <v/>
      </c>
      <c r="H58" s="65" t="str">
        <f>IF($B58="","",_xlfn.XLOOKUP($J$2,'Input LwA_XYZ'!$CM$1:$DA$1,'Input LwA_XYZ'!CM57:DA57))</f>
        <v/>
      </c>
      <c r="I58" s="5">
        <f t="shared" si="2"/>
        <v>0</v>
      </c>
      <c r="J58" s="107" t="str">
        <f t="shared" si="3"/>
        <v/>
      </c>
    </row>
    <row r="59" spans="2:11" ht="17.25" customHeight="1" thickBot="1" x14ac:dyDescent="0.35">
      <c r="B59" s="197" t="str">
        <f>IF('Input LwA_XYZ'!A58 = 0, "", 'Input LwA_XYZ'!A58)</f>
        <v/>
      </c>
      <c r="C59" s="198" t="str">
        <f>IF($B59="","",_xlfn.TEXTJOIN(" - ",TRUE,'Input LwA_XYZ'!B58:C58))</f>
        <v/>
      </c>
      <c r="D59" s="99" t="str">
        <f>IF($B59="","",'Input LwA_XYZ'!Q58)</f>
        <v/>
      </c>
      <c r="E59" s="100" t="str">
        <f>IF($B59="","",-1*ROUND(_xlfn.XLOOKUP($J$2,'Input LwA_XYZ'!$AY$1:$BM$1,'Input LwA_XYZ'!AY58:BM58),0) &amp; " / " &amp; ROUND(_xlfn.XLOOKUP($J$2,'Input LwA_XYZ'!$AH$1:$AV$1,'Input LwA_XYZ'!AH58:AV58),0) &amp; " ft")</f>
        <v/>
      </c>
      <c r="F59" s="91" t="str">
        <f>IF($B59="","",IF(_xlfn.XLOOKUP($J$2,'Input LwA_XYZ'!$BV$1:$CJ$1,'Input LwA_XYZ'!BV58:CJ58)="","-",_xlfn.XLOOKUP($J$2,'Input LwA_XYZ'!$BV$1:$CJ$1,'Input LwA_XYZ'!BV58:CJ58)))</f>
        <v/>
      </c>
      <c r="G59" s="91" t="str">
        <f>IF($B59="","",IF('Input LwA_XYZ'!S58="","-",'Input LwA_XYZ'!S58))</f>
        <v/>
      </c>
      <c r="H59" s="66" t="str">
        <f>IF($B59="","",_xlfn.XLOOKUP($J$2,'Input LwA_XYZ'!$CM$1:$DA$1,'Input LwA_XYZ'!CM58:DA58))</f>
        <v/>
      </c>
      <c r="I59" s="5">
        <f t="shared" si="2"/>
        <v>0</v>
      </c>
      <c r="J59" s="107" t="str">
        <f t="shared" si="3"/>
        <v/>
      </c>
    </row>
    <row r="60" spans="2:11" ht="18.75" customHeight="1" thickBot="1" x14ac:dyDescent="0.35">
      <c r="B60" s="101" t="s">
        <v>112</v>
      </c>
      <c r="C60" s="102"/>
      <c r="D60" s="102"/>
      <c r="E60" s="102"/>
      <c r="F60" s="102"/>
      <c r="G60" s="103"/>
      <c r="H60" s="80">
        <f>_xlfn.XLOOKUP($J$2,'Input LwA_XYZ'!$Z$2:$Z$16,'Input LwA_XYZ'!$AE$2:$AE$16)</f>
        <v>47</v>
      </c>
      <c r="I60" s="199">
        <f>10*LOG10(SUM(I3:I59))</f>
        <v>46.914967624468773</v>
      </c>
      <c r="J60" s="68">
        <f>_xlfn.XLOOKUP($J$2,'Input LwA_XYZ'!$Z$2:$Z$16,'Input LwA_XYZ'!$AD$2:$AD$16)</f>
        <v>40</v>
      </c>
      <c r="K60" s="77"/>
    </row>
  </sheetData>
  <conditionalFormatting sqref="H60">
    <cfRule type="expression" dxfId="3" priority="154">
      <formula>H60=J60+1</formula>
    </cfRule>
    <cfRule type="expression" dxfId="2" priority="155">
      <formula>H60&lt;=J60</formula>
    </cfRule>
  </conditionalFormatting>
  <conditionalFormatting sqref="J3:J18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7">
    <cfRule type="expression" dxfId="1" priority="1">
      <formula>S17=U17+1</formula>
    </cfRule>
    <cfRule type="expression" dxfId="0" priority="2">
      <formula>S17&lt;=U17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 LwA_XYZ</vt:lpstr>
      <vt:lpstr>Sheet1</vt:lpstr>
      <vt:lpstr>Tables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Roe</dc:creator>
  <cp:lastModifiedBy>Craig Harris</cp:lastModifiedBy>
  <dcterms:created xsi:type="dcterms:W3CDTF">2012-08-02T23:06:43Z</dcterms:created>
  <dcterms:modified xsi:type="dcterms:W3CDTF">2020-09-20T04:45:10Z</dcterms:modified>
</cp:coreProperties>
</file>