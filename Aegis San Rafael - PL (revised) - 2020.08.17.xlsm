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8F6748EA-95F2-4BAE-8C82-BCD120E43B7F}" xr6:coauthVersionLast="45" xr6:coauthVersionMax="45" xr10:uidLastSave="{00000000-0000-0000-0000-000000000000}"/>
  <bookViews>
    <workbookView xWindow="6450" yWindow="-17490" windowWidth="17145" windowHeight="1689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D3" i="1" l="1" a="1"/>
  <c r="DD3" i="1" s="1"/>
  <c r="DE3" i="1" a="1"/>
  <c r="DE3" i="1" s="1"/>
  <c r="DF3" i="1" a="1"/>
  <c r="DF3" i="1" s="1"/>
  <c r="DG3" i="1" a="1"/>
  <c r="DG3" i="1" s="1"/>
  <c r="DH3" i="1" a="1"/>
  <c r="DH3" i="1" s="1"/>
  <c r="DI3" i="1" a="1"/>
  <c r="DI3" i="1" s="1"/>
  <c r="DJ3" i="1" a="1"/>
  <c r="DJ3" i="1" s="1"/>
  <c r="DK3" i="1" a="1"/>
  <c r="DK3" i="1" s="1"/>
  <c r="DL3" i="1" a="1"/>
  <c r="DL3" i="1" s="1"/>
  <c r="DM3" i="1" a="1"/>
  <c r="DM3" i="1" s="1"/>
  <c r="DN3" i="1" a="1"/>
  <c r="DN3" i="1" s="1"/>
  <c r="DO3" i="1" a="1"/>
  <c r="DO3" i="1" s="1"/>
  <c r="DP3" i="1" a="1"/>
  <c r="DP3" i="1" s="1"/>
  <c r="DQ3" i="1" a="1"/>
  <c r="DQ3" i="1" s="1"/>
  <c r="DR3" i="1" a="1"/>
  <c r="DR3" i="1" s="1"/>
  <c r="DD4" i="1" a="1"/>
  <c r="DD4" i="1" s="1"/>
  <c r="DE4" i="1" a="1"/>
  <c r="DE4" i="1" s="1"/>
  <c r="DF4" i="1" a="1"/>
  <c r="DF4" i="1" s="1"/>
  <c r="DG4" i="1" a="1"/>
  <c r="DG4" i="1" s="1"/>
  <c r="DH4" i="1" a="1"/>
  <c r="DH4" i="1" s="1"/>
  <c r="DI4" i="1" a="1"/>
  <c r="DI4" i="1" s="1"/>
  <c r="DJ4" i="1" a="1"/>
  <c r="DJ4" i="1" s="1"/>
  <c r="DK4" i="1" a="1"/>
  <c r="DK4" i="1" s="1"/>
  <c r="DL4" i="1" a="1"/>
  <c r="DL4" i="1" s="1"/>
  <c r="DM4" i="1" a="1"/>
  <c r="DM4" i="1" s="1"/>
  <c r="DN4" i="1" a="1"/>
  <c r="DN4" i="1" s="1"/>
  <c r="DO4" i="1" a="1"/>
  <c r="DO4" i="1" s="1"/>
  <c r="DP4" i="1" a="1"/>
  <c r="DP4" i="1" s="1"/>
  <c r="DQ4" i="1" a="1"/>
  <c r="DQ4" i="1" s="1"/>
  <c r="DR4" i="1" a="1"/>
  <c r="DR4" i="1" s="1"/>
  <c r="DD5" i="1" a="1"/>
  <c r="DD5" i="1" s="1"/>
  <c r="DE5" i="1" a="1"/>
  <c r="DE5" i="1" s="1"/>
  <c r="DF5" i="1" a="1"/>
  <c r="DF5" i="1" s="1"/>
  <c r="DG5" i="1" a="1"/>
  <c r="DG5" i="1" s="1"/>
  <c r="DH5" i="1" a="1"/>
  <c r="DH5" i="1" s="1"/>
  <c r="DI5" i="1" a="1"/>
  <c r="DI5" i="1" s="1"/>
  <c r="DJ5" i="1" a="1"/>
  <c r="DJ5" i="1" s="1"/>
  <c r="DK5" i="1" a="1"/>
  <c r="DK5" i="1" s="1"/>
  <c r="DL5" i="1" a="1"/>
  <c r="DL5" i="1" s="1"/>
  <c r="DM5" i="1" a="1"/>
  <c r="DM5" i="1" s="1"/>
  <c r="DN5" i="1" a="1"/>
  <c r="DN5" i="1" s="1"/>
  <c r="DO5" i="1" a="1"/>
  <c r="DO5" i="1" s="1"/>
  <c r="DP5" i="1" a="1"/>
  <c r="DP5" i="1" s="1"/>
  <c r="DQ5" i="1" a="1"/>
  <c r="DQ5" i="1" s="1"/>
  <c r="DR5" i="1" a="1"/>
  <c r="DR5" i="1" s="1"/>
  <c r="DD6" i="1" a="1"/>
  <c r="DD6" i="1" s="1"/>
  <c r="DE6" i="1" a="1"/>
  <c r="DE6" i="1" s="1"/>
  <c r="DF6" i="1" a="1"/>
  <c r="DF6" i="1" s="1"/>
  <c r="DG6" i="1" a="1"/>
  <c r="DG6" i="1" s="1"/>
  <c r="DH6" i="1" a="1"/>
  <c r="DH6" i="1" s="1"/>
  <c r="DI6" i="1" a="1"/>
  <c r="DI6" i="1" s="1"/>
  <c r="DJ6" i="1" a="1"/>
  <c r="DJ6" i="1" s="1"/>
  <c r="DK6" i="1" a="1"/>
  <c r="DK6" i="1" s="1"/>
  <c r="DL6" i="1" a="1"/>
  <c r="DL6" i="1" s="1"/>
  <c r="DM6" i="1" a="1"/>
  <c r="DM6" i="1" s="1"/>
  <c r="DN6" i="1" a="1"/>
  <c r="DN6" i="1" s="1"/>
  <c r="DO6" i="1" a="1"/>
  <c r="DO6" i="1" s="1"/>
  <c r="DP6" i="1" a="1"/>
  <c r="DP6" i="1" s="1"/>
  <c r="DQ6" i="1" a="1"/>
  <c r="DQ6" i="1" s="1"/>
  <c r="DR6" i="1" a="1"/>
  <c r="DR6" i="1" s="1"/>
  <c r="DD7" i="1" a="1"/>
  <c r="DD7" i="1" s="1"/>
  <c r="DE7" i="1" a="1"/>
  <c r="DE7" i="1" s="1"/>
  <c r="DF7" i="1" a="1"/>
  <c r="DF7" i="1" s="1"/>
  <c r="DG7" i="1" a="1"/>
  <c r="DG7" i="1" s="1"/>
  <c r="DH7" i="1" a="1"/>
  <c r="DH7" i="1" s="1"/>
  <c r="DI7" i="1" a="1"/>
  <c r="DI7" i="1" s="1"/>
  <c r="DJ7" i="1" a="1"/>
  <c r="DJ7" i="1" s="1"/>
  <c r="DK7" i="1" a="1"/>
  <c r="DK7" i="1" s="1"/>
  <c r="DL7" i="1" a="1"/>
  <c r="DL7" i="1" s="1"/>
  <c r="DM7" i="1" a="1"/>
  <c r="DM7" i="1" s="1"/>
  <c r="DN7" i="1" a="1"/>
  <c r="DN7" i="1" s="1"/>
  <c r="DO7" i="1" a="1"/>
  <c r="DO7" i="1" s="1"/>
  <c r="DP7" i="1" a="1"/>
  <c r="DP7" i="1" s="1"/>
  <c r="DQ7" i="1" a="1"/>
  <c r="DQ7" i="1" s="1"/>
  <c r="DR7" i="1" a="1"/>
  <c r="DR7" i="1" s="1"/>
  <c r="DD8" i="1" a="1"/>
  <c r="DD8" i="1" s="1"/>
  <c r="DE8" i="1" a="1"/>
  <c r="DE8" i="1" s="1"/>
  <c r="DF8" i="1" a="1"/>
  <c r="DF8" i="1" s="1"/>
  <c r="DG8" i="1" a="1"/>
  <c r="DG8" i="1" s="1"/>
  <c r="DH8" i="1" a="1"/>
  <c r="DH8" i="1" s="1"/>
  <c r="DI8" i="1" a="1"/>
  <c r="DI8" i="1" s="1"/>
  <c r="DJ8" i="1" a="1"/>
  <c r="DJ8" i="1" s="1"/>
  <c r="DK8" i="1" a="1"/>
  <c r="DK8" i="1" s="1"/>
  <c r="DL8" i="1" a="1"/>
  <c r="DL8" i="1" s="1"/>
  <c r="DM8" i="1" a="1"/>
  <c r="DM8" i="1" s="1"/>
  <c r="DN8" i="1" a="1"/>
  <c r="DN8" i="1" s="1"/>
  <c r="DO8" i="1" a="1"/>
  <c r="DO8" i="1" s="1"/>
  <c r="DP8" i="1" a="1"/>
  <c r="DP8" i="1" s="1"/>
  <c r="DQ8" i="1" a="1"/>
  <c r="DQ8" i="1" s="1"/>
  <c r="DR8" i="1" a="1"/>
  <c r="DR8" i="1" s="1"/>
  <c r="DD9" i="1" a="1"/>
  <c r="DD9" i="1" s="1"/>
  <c r="DE9" i="1" a="1"/>
  <c r="DE9" i="1" s="1"/>
  <c r="DF9" i="1" a="1"/>
  <c r="DF9" i="1" s="1"/>
  <c r="DG9" i="1" a="1"/>
  <c r="DG9" i="1" s="1"/>
  <c r="DH9" i="1" a="1"/>
  <c r="DH9" i="1" s="1"/>
  <c r="DI9" i="1" a="1"/>
  <c r="DI9" i="1" s="1"/>
  <c r="DJ9" i="1" a="1"/>
  <c r="DJ9" i="1" s="1"/>
  <c r="DK9" i="1" a="1"/>
  <c r="DK9" i="1" s="1"/>
  <c r="DL9" i="1" a="1"/>
  <c r="DL9" i="1" s="1"/>
  <c r="DM9" i="1" a="1"/>
  <c r="DM9" i="1" s="1"/>
  <c r="DN9" i="1" a="1"/>
  <c r="DN9" i="1" s="1"/>
  <c r="DO9" i="1" a="1"/>
  <c r="DO9" i="1" s="1"/>
  <c r="DP9" i="1" a="1"/>
  <c r="DP9" i="1" s="1"/>
  <c r="DQ9" i="1" a="1"/>
  <c r="DQ9" i="1" s="1"/>
  <c r="DR9" i="1" a="1"/>
  <c r="DR9" i="1" s="1"/>
  <c r="DD10" i="1" a="1"/>
  <c r="DD10" i="1" s="1"/>
  <c r="DE10" i="1" a="1"/>
  <c r="DE10" i="1" s="1"/>
  <c r="DF10" i="1" a="1"/>
  <c r="DF10" i="1" s="1"/>
  <c r="DG10" i="1" a="1"/>
  <c r="DG10" i="1" s="1"/>
  <c r="DH10" i="1" a="1"/>
  <c r="DH10" i="1" s="1"/>
  <c r="DI10" i="1" a="1"/>
  <c r="DI10" i="1" s="1"/>
  <c r="DJ10" i="1" a="1"/>
  <c r="DJ10" i="1" s="1"/>
  <c r="DK10" i="1" a="1"/>
  <c r="DK10" i="1" s="1"/>
  <c r="DL10" i="1" a="1"/>
  <c r="DL10" i="1" s="1"/>
  <c r="DM10" i="1" a="1"/>
  <c r="DM10" i="1" s="1"/>
  <c r="DN10" i="1" a="1"/>
  <c r="DN10" i="1" s="1"/>
  <c r="DO10" i="1" a="1"/>
  <c r="DO10" i="1" s="1"/>
  <c r="DP10" i="1" a="1"/>
  <c r="DP10" i="1" s="1"/>
  <c r="DQ10" i="1" a="1"/>
  <c r="DQ10" i="1" s="1"/>
  <c r="DR10" i="1" a="1"/>
  <c r="DR10" i="1" s="1"/>
  <c r="DD11" i="1" a="1"/>
  <c r="DD11" i="1" s="1"/>
  <c r="DE11" i="1" a="1"/>
  <c r="DE11" i="1" s="1"/>
  <c r="DF11" i="1" a="1"/>
  <c r="DF11" i="1" s="1"/>
  <c r="DG11" i="1" a="1"/>
  <c r="DG11" i="1" s="1"/>
  <c r="DH11" i="1" a="1"/>
  <c r="DH11" i="1" s="1"/>
  <c r="DI11" i="1" a="1"/>
  <c r="DI11" i="1" s="1"/>
  <c r="DJ11" i="1" a="1"/>
  <c r="DJ11" i="1" s="1"/>
  <c r="DK11" i="1" a="1"/>
  <c r="DK11" i="1" s="1"/>
  <c r="DL11" i="1" a="1"/>
  <c r="DL11" i="1" s="1"/>
  <c r="DM11" i="1" a="1"/>
  <c r="DM11" i="1" s="1"/>
  <c r="DN11" i="1" a="1"/>
  <c r="DN11" i="1" s="1"/>
  <c r="DO11" i="1" a="1"/>
  <c r="DO11" i="1" s="1"/>
  <c r="DP11" i="1" a="1"/>
  <c r="DP11" i="1" s="1"/>
  <c r="DQ11" i="1" a="1"/>
  <c r="DQ11" i="1" s="1"/>
  <c r="DR11" i="1" a="1"/>
  <c r="DR11" i="1" s="1"/>
  <c r="DD12" i="1" a="1"/>
  <c r="DD12" i="1" s="1"/>
  <c r="DE12" i="1" a="1"/>
  <c r="DE12" i="1" s="1"/>
  <c r="DF12" i="1" a="1"/>
  <c r="DF12" i="1" s="1"/>
  <c r="DG12" i="1" a="1"/>
  <c r="DG12" i="1" s="1"/>
  <c r="DH12" i="1" a="1"/>
  <c r="DH12" i="1" s="1"/>
  <c r="DI12" i="1" a="1"/>
  <c r="DI12" i="1" s="1"/>
  <c r="DJ12" i="1" a="1"/>
  <c r="DJ12" i="1" s="1"/>
  <c r="DK12" i="1" a="1"/>
  <c r="DK12" i="1" s="1"/>
  <c r="DL12" i="1" a="1"/>
  <c r="DL12" i="1" s="1"/>
  <c r="DM12" i="1" a="1"/>
  <c r="DM12" i="1" s="1"/>
  <c r="DN12" i="1" a="1"/>
  <c r="DN12" i="1" s="1"/>
  <c r="DO12" i="1" a="1"/>
  <c r="DO12" i="1" s="1"/>
  <c r="DP12" i="1" a="1"/>
  <c r="DP12" i="1" s="1"/>
  <c r="DQ12" i="1" a="1"/>
  <c r="DQ12" i="1" s="1"/>
  <c r="DR12" i="1" a="1"/>
  <c r="DR12" i="1" s="1"/>
  <c r="DD13" i="1" a="1"/>
  <c r="DD13" i="1" s="1"/>
  <c r="DE13" i="1" a="1"/>
  <c r="DE13" i="1" s="1"/>
  <c r="DF13" i="1" a="1"/>
  <c r="DF13" i="1" s="1"/>
  <c r="DG13" i="1" a="1"/>
  <c r="DG13" i="1" s="1"/>
  <c r="DH13" i="1" a="1"/>
  <c r="DH13" i="1" s="1"/>
  <c r="DI13" i="1" a="1"/>
  <c r="DI13" i="1" s="1"/>
  <c r="DJ13" i="1" a="1"/>
  <c r="DJ13" i="1" s="1"/>
  <c r="DK13" i="1" a="1"/>
  <c r="DK13" i="1" s="1"/>
  <c r="DL13" i="1" a="1"/>
  <c r="DL13" i="1" s="1"/>
  <c r="DM13" i="1" a="1"/>
  <c r="DM13" i="1" s="1"/>
  <c r="DN13" i="1" a="1"/>
  <c r="DN13" i="1" s="1"/>
  <c r="DO13" i="1" a="1"/>
  <c r="DO13" i="1" s="1"/>
  <c r="DP13" i="1" a="1"/>
  <c r="DP13" i="1" s="1"/>
  <c r="DQ13" i="1" a="1"/>
  <c r="DQ13" i="1" s="1"/>
  <c r="DR13" i="1" a="1"/>
  <c r="DR13" i="1" s="1"/>
  <c r="DD14" i="1" a="1"/>
  <c r="DD14" i="1" s="1"/>
  <c r="DE14" i="1" a="1"/>
  <c r="DE14" i="1" s="1"/>
  <c r="DF14" i="1" a="1"/>
  <c r="DF14" i="1" s="1"/>
  <c r="DG14" i="1" a="1"/>
  <c r="DG14" i="1" s="1"/>
  <c r="DH14" i="1" a="1"/>
  <c r="DH14" i="1" s="1"/>
  <c r="DI14" i="1" a="1"/>
  <c r="DI14" i="1" s="1"/>
  <c r="DJ14" i="1" a="1"/>
  <c r="DJ14" i="1" s="1"/>
  <c r="DK14" i="1" a="1"/>
  <c r="DK14" i="1" s="1"/>
  <c r="DL14" i="1" a="1"/>
  <c r="DL14" i="1" s="1"/>
  <c r="DM14" i="1" a="1"/>
  <c r="DM14" i="1" s="1"/>
  <c r="DN14" i="1" a="1"/>
  <c r="DN14" i="1" s="1"/>
  <c r="DO14" i="1" a="1"/>
  <c r="DO14" i="1" s="1"/>
  <c r="DP14" i="1" a="1"/>
  <c r="DP14" i="1" s="1"/>
  <c r="DQ14" i="1" a="1"/>
  <c r="DQ14" i="1" s="1"/>
  <c r="DR14" i="1" a="1"/>
  <c r="DR14" i="1" s="1"/>
  <c r="DD15" i="1" a="1"/>
  <c r="DD15" i="1" s="1"/>
  <c r="DE15" i="1" a="1"/>
  <c r="DE15" i="1" s="1"/>
  <c r="DF15" i="1" a="1"/>
  <c r="DF15" i="1" s="1"/>
  <c r="DG15" i="1" a="1"/>
  <c r="DG15" i="1" s="1"/>
  <c r="DH15" i="1" a="1"/>
  <c r="DH15" i="1" s="1"/>
  <c r="DI15" i="1" a="1"/>
  <c r="DI15" i="1" s="1"/>
  <c r="DJ15" i="1" a="1"/>
  <c r="DJ15" i="1" s="1"/>
  <c r="DK15" i="1" a="1"/>
  <c r="DK15" i="1" s="1"/>
  <c r="DL15" i="1" a="1"/>
  <c r="DL15" i="1" s="1"/>
  <c r="DM15" i="1" a="1"/>
  <c r="DM15" i="1" s="1"/>
  <c r="DN15" i="1" a="1"/>
  <c r="DN15" i="1" s="1"/>
  <c r="DO15" i="1" a="1"/>
  <c r="DO15" i="1" s="1"/>
  <c r="DP15" i="1" a="1"/>
  <c r="DP15" i="1" s="1"/>
  <c r="DQ15" i="1" a="1"/>
  <c r="DQ15" i="1" s="1"/>
  <c r="DR15" i="1" a="1"/>
  <c r="DR15" i="1" s="1"/>
  <c r="DD16" i="1" a="1"/>
  <c r="DD16" i="1" s="1"/>
  <c r="DE16" i="1" a="1"/>
  <c r="DE16" i="1" s="1"/>
  <c r="DF16" i="1" a="1"/>
  <c r="DF16" i="1" s="1"/>
  <c r="DG16" i="1" a="1"/>
  <c r="DG16" i="1" s="1"/>
  <c r="DH16" i="1" a="1"/>
  <c r="DH16" i="1" s="1"/>
  <c r="DI16" i="1" a="1"/>
  <c r="DI16" i="1" s="1"/>
  <c r="DJ16" i="1" a="1"/>
  <c r="DJ16" i="1" s="1"/>
  <c r="DK16" i="1" a="1"/>
  <c r="DK16" i="1" s="1"/>
  <c r="DL16" i="1" a="1"/>
  <c r="DL16" i="1" s="1"/>
  <c r="DM16" i="1" a="1"/>
  <c r="DM16" i="1" s="1"/>
  <c r="DN16" i="1" a="1"/>
  <c r="DN16" i="1" s="1"/>
  <c r="DO16" i="1" a="1"/>
  <c r="DO16" i="1" s="1"/>
  <c r="DP16" i="1" a="1"/>
  <c r="DP16" i="1" s="1"/>
  <c r="DQ16" i="1" a="1"/>
  <c r="DQ16" i="1" s="1"/>
  <c r="DR16" i="1" a="1"/>
  <c r="DR16" i="1" s="1"/>
  <c r="DD17" i="1" a="1"/>
  <c r="DD17" i="1" s="1"/>
  <c r="DE17" i="1" a="1"/>
  <c r="DE17" i="1" s="1"/>
  <c r="DF17" i="1" a="1"/>
  <c r="DF17" i="1" s="1"/>
  <c r="DG17" i="1" a="1"/>
  <c r="DG17" i="1" s="1"/>
  <c r="DH17" i="1" a="1"/>
  <c r="DH17" i="1" s="1"/>
  <c r="DI17" i="1" a="1"/>
  <c r="DI17" i="1" s="1"/>
  <c r="DJ17" i="1" a="1"/>
  <c r="DJ17" i="1" s="1"/>
  <c r="DK17" i="1" a="1"/>
  <c r="DK17" i="1" s="1"/>
  <c r="DL17" i="1" a="1"/>
  <c r="DL17" i="1" s="1"/>
  <c r="DM17" i="1" a="1"/>
  <c r="DM17" i="1" s="1"/>
  <c r="DN17" i="1" a="1"/>
  <c r="DN17" i="1" s="1"/>
  <c r="DO17" i="1" a="1"/>
  <c r="DO17" i="1" s="1"/>
  <c r="DP17" i="1" a="1"/>
  <c r="DP17" i="1" s="1"/>
  <c r="DQ17" i="1" a="1"/>
  <c r="DQ17" i="1" s="1"/>
  <c r="DR17" i="1" a="1"/>
  <c r="DR17" i="1" s="1"/>
  <c r="DD18" i="1" a="1"/>
  <c r="DD18" i="1" s="1"/>
  <c r="DE18" i="1" a="1"/>
  <c r="DE18" i="1" s="1"/>
  <c r="DF18" i="1" a="1"/>
  <c r="DF18" i="1" s="1"/>
  <c r="DG18" i="1" a="1"/>
  <c r="DG18" i="1" s="1"/>
  <c r="DH18" i="1" a="1"/>
  <c r="DH18" i="1" s="1"/>
  <c r="DI18" i="1" a="1"/>
  <c r="DI18" i="1" s="1"/>
  <c r="DJ18" i="1" a="1"/>
  <c r="DJ18" i="1" s="1"/>
  <c r="DK18" i="1" a="1"/>
  <c r="DK18" i="1" s="1"/>
  <c r="DL18" i="1" a="1"/>
  <c r="DL18" i="1" s="1"/>
  <c r="DM18" i="1" a="1"/>
  <c r="DM18" i="1" s="1"/>
  <c r="DN18" i="1" a="1"/>
  <c r="DN18" i="1" s="1"/>
  <c r="DO18" i="1" a="1"/>
  <c r="DO18" i="1" s="1"/>
  <c r="DP18" i="1" a="1"/>
  <c r="DP18" i="1" s="1"/>
  <c r="DQ18" i="1" a="1"/>
  <c r="DQ18" i="1" s="1"/>
  <c r="DR18" i="1" a="1"/>
  <c r="DR18" i="1" s="1"/>
  <c r="DD19" i="1" a="1"/>
  <c r="DD19" i="1" s="1"/>
  <c r="DE19" i="1" a="1"/>
  <c r="DE19" i="1" s="1"/>
  <c r="DF19" i="1" a="1"/>
  <c r="DF19" i="1" s="1"/>
  <c r="DG19" i="1" a="1"/>
  <c r="DG19" i="1" s="1"/>
  <c r="DH19" i="1" a="1"/>
  <c r="DH19" i="1" s="1"/>
  <c r="DI19" i="1" a="1"/>
  <c r="DI19" i="1" s="1"/>
  <c r="DJ19" i="1" a="1"/>
  <c r="DJ19" i="1" s="1"/>
  <c r="DK19" i="1" a="1"/>
  <c r="DK19" i="1" s="1"/>
  <c r="DL19" i="1" a="1"/>
  <c r="DL19" i="1" s="1"/>
  <c r="DM19" i="1" a="1"/>
  <c r="DM19" i="1" s="1"/>
  <c r="DN19" i="1" a="1"/>
  <c r="DN19" i="1" s="1"/>
  <c r="DO19" i="1" a="1"/>
  <c r="DO19" i="1" s="1"/>
  <c r="DP19" i="1" a="1"/>
  <c r="DP19" i="1" s="1"/>
  <c r="DQ19" i="1" a="1"/>
  <c r="DQ19" i="1" s="1"/>
  <c r="DR19" i="1" a="1"/>
  <c r="DR19" i="1" s="1"/>
  <c r="DD20" i="1" a="1"/>
  <c r="DD20" i="1" s="1"/>
  <c r="DE20" i="1" a="1"/>
  <c r="DE20" i="1" s="1"/>
  <c r="DF20" i="1" a="1"/>
  <c r="DF20" i="1" s="1"/>
  <c r="DG20" i="1" a="1"/>
  <c r="DG20" i="1" s="1"/>
  <c r="DH20" i="1" a="1"/>
  <c r="DH20" i="1" s="1"/>
  <c r="DI20" i="1" a="1"/>
  <c r="DI20" i="1" s="1"/>
  <c r="DJ20" i="1" a="1"/>
  <c r="DJ20" i="1" s="1"/>
  <c r="DK20" i="1" a="1"/>
  <c r="DK20" i="1" s="1"/>
  <c r="DL20" i="1" a="1"/>
  <c r="DL20" i="1" s="1"/>
  <c r="DM20" i="1" a="1"/>
  <c r="DM20" i="1" s="1"/>
  <c r="DN20" i="1" a="1"/>
  <c r="DN20" i="1" s="1"/>
  <c r="DO20" i="1" a="1"/>
  <c r="DO20" i="1" s="1"/>
  <c r="DP20" i="1" a="1"/>
  <c r="DP20" i="1" s="1"/>
  <c r="DQ20" i="1" a="1"/>
  <c r="DQ20" i="1" s="1"/>
  <c r="DR20" i="1" a="1"/>
  <c r="DR20" i="1" s="1"/>
  <c r="DD21" i="1" a="1"/>
  <c r="DD21" i="1" s="1"/>
  <c r="DE21" i="1" a="1"/>
  <c r="DE21" i="1" s="1"/>
  <c r="DF21" i="1" a="1"/>
  <c r="DF21" i="1" s="1"/>
  <c r="DG21" i="1" a="1"/>
  <c r="DG21" i="1" s="1"/>
  <c r="DH21" i="1" a="1"/>
  <c r="DH21" i="1" s="1"/>
  <c r="DI21" i="1" a="1"/>
  <c r="DI21" i="1" s="1"/>
  <c r="DJ21" i="1" a="1"/>
  <c r="DJ21" i="1" s="1"/>
  <c r="DK21" i="1" a="1"/>
  <c r="DK21" i="1" s="1"/>
  <c r="DL21" i="1" a="1"/>
  <c r="DL21" i="1" s="1"/>
  <c r="DM21" i="1" a="1"/>
  <c r="DM21" i="1" s="1"/>
  <c r="DN21" i="1" a="1"/>
  <c r="DN21" i="1" s="1"/>
  <c r="DO21" i="1" a="1"/>
  <c r="DO21" i="1" s="1"/>
  <c r="DP21" i="1" a="1"/>
  <c r="DP21" i="1" s="1"/>
  <c r="DQ21" i="1" a="1"/>
  <c r="DQ21" i="1" s="1"/>
  <c r="DR21" i="1" a="1"/>
  <c r="DR21" i="1" s="1"/>
  <c r="DD22" i="1" a="1"/>
  <c r="DD22" i="1" s="1"/>
  <c r="DE22" i="1" a="1"/>
  <c r="DE22" i="1" s="1"/>
  <c r="DF22" i="1" a="1"/>
  <c r="DF22" i="1" s="1"/>
  <c r="DG22" i="1" a="1"/>
  <c r="DG22" i="1" s="1"/>
  <c r="DH22" i="1" a="1"/>
  <c r="DH22" i="1" s="1"/>
  <c r="DI22" i="1" a="1"/>
  <c r="DI22" i="1" s="1"/>
  <c r="DJ22" i="1" a="1"/>
  <c r="DJ22" i="1" s="1"/>
  <c r="DK22" i="1" a="1"/>
  <c r="DK22" i="1" s="1"/>
  <c r="DL22" i="1" a="1"/>
  <c r="DL22" i="1" s="1"/>
  <c r="DM22" i="1" a="1"/>
  <c r="DM22" i="1" s="1"/>
  <c r="DN22" i="1" a="1"/>
  <c r="DN22" i="1" s="1"/>
  <c r="DO22" i="1" a="1"/>
  <c r="DO22" i="1" s="1"/>
  <c r="DP22" i="1" a="1"/>
  <c r="DP22" i="1" s="1"/>
  <c r="DQ22" i="1" a="1"/>
  <c r="DQ22" i="1" s="1"/>
  <c r="DR22" i="1" a="1"/>
  <c r="DR22" i="1" s="1"/>
  <c r="DD23" i="1" a="1"/>
  <c r="DD23" i="1" s="1"/>
  <c r="DE23" i="1" a="1"/>
  <c r="DE23" i="1" s="1"/>
  <c r="DF23" i="1" a="1"/>
  <c r="DF23" i="1" s="1"/>
  <c r="DG23" i="1" a="1"/>
  <c r="DG23" i="1" s="1"/>
  <c r="DH23" i="1" a="1"/>
  <c r="DH23" i="1" s="1"/>
  <c r="DI23" i="1" a="1"/>
  <c r="DI23" i="1" s="1"/>
  <c r="DJ23" i="1" a="1"/>
  <c r="DJ23" i="1" s="1"/>
  <c r="DK23" i="1" a="1"/>
  <c r="DK23" i="1" s="1"/>
  <c r="DL23" i="1" a="1"/>
  <c r="DL23" i="1" s="1"/>
  <c r="DM23" i="1" a="1"/>
  <c r="DM23" i="1" s="1"/>
  <c r="DN23" i="1" a="1"/>
  <c r="DN23" i="1" s="1"/>
  <c r="DO23" i="1" a="1"/>
  <c r="DO23" i="1" s="1"/>
  <c r="DP23" i="1" a="1"/>
  <c r="DP23" i="1" s="1"/>
  <c r="DQ23" i="1" a="1"/>
  <c r="DQ23" i="1" s="1"/>
  <c r="DR23" i="1" a="1"/>
  <c r="DR23" i="1" s="1"/>
  <c r="DD24" i="1" a="1"/>
  <c r="DD24" i="1" s="1"/>
  <c r="DE24" i="1" a="1"/>
  <c r="DE24" i="1" s="1"/>
  <c r="DF24" i="1" a="1"/>
  <c r="DF24" i="1" s="1"/>
  <c r="DG24" i="1" a="1"/>
  <c r="DG24" i="1" s="1"/>
  <c r="DH24" i="1" a="1"/>
  <c r="DH24" i="1" s="1"/>
  <c r="DI24" i="1" a="1"/>
  <c r="DI24" i="1" s="1"/>
  <c r="DJ24" i="1" a="1"/>
  <c r="DJ24" i="1" s="1"/>
  <c r="DK24" i="1" a="1"/>
  <c r="DK24" i="1" s="1"/>
  <c r="DL24" i="1" a="1"/>
  <c r="DL24" i="1" s="1"/>
  <c r="DM24" i="1" a="1"/>
  <c r="DM24" i="1" s="1"/>
  <c r="DN24" i="1" a="1"/>
  <c r="DN24" i="1" s="1"/>
  <c r="DO24" i="1" a="1"/>
  <c r="DO24" i="1" s="1"/>
  <c r="DP24" i="1" a="1"/>
  <c r="DP24" i="1" s="1"/>
  <c r="DQ24" i="1" a="1"/>
  <c r="DQ24" i="1" s="1"/>
  <c r="DR24" i="1" a="1"/>
  <c r="DR24" i="1" s="1"/>
  <c r="DD25" i="1" a="1"/>
  <c r="DD25" i="1" s="1"/>
  <c r="DE25" i="1" a="1"/>
  <c r="DE25" i="1" s="1"/>
  <c r="DF25" i="1" a="1"/>
  <c r="DF25" i="1" s="1"/>
  <c r="DG25" i="1" a="1"/>
  <c r="DG25" i="1" s="1"/>
  <c r="DH25" i="1" a="1"/>
  <c r="DH25" i="1" s="1"/>
  <c r="DI25" i="1" a="1"/>
  <c r="DI25" i="1" s="1"/>
  <c r="DJ25" i="1" a="1"/>
  <c r="DJ25" i="1" s="1"/>
  <c r="DK25" i="1" a="1"/>
  <c r="DK25" i="1" s="1"/>
  <c r="DL25" i="1" a="1"/>
  <c r="DL25" i="1" s="1"/>
  <c r="DM25" i="1" a="1"/>
  <c r="DM25" i="1" s="1"/>
  <c r="DN25" i="1" a="1"/>
  <c r="DN25" i="1"/>
  <c r="DO25" i="1" a="1"/>
  <c r="DO25" i="1" s="1"/>
  <c r="DP25" i="1" a="1"/>
  <c r="DP25" i="1"/>
  <c r="DQ25" i="1" a="1"/>
  <c r="DQ25" i="1"/>
  <c r="DR25" i="1" a="1"/>
  <c r="DR25" i="1"/>
  <c r="DD26" i="1" a="1"/>
  <c r="DD26" i="1" s="1"/>
  <c r="DE26" i="1" a="1"/>
  <c r="DE26" i="1" s="1"/>
  <c r="DF26" i="1" a="1"/>
  <c r="DF26" i="1"/>
  <c r="DG26" i="1" a="1"/>
  <c r="DG26" i="1" s="1"/>
  <c r="DH26" i="1" a="1"/>
  <c r="DH26" i="1" s="1"/>
  <c r="DI26" i="1" a="1"/>
  <c r="DI26" i="1"/>
  <c r="DJ26" i="1" a="1"/>
  <c r="DJ26" i="1"/>
  <c r="DK26" i="1" a="1"/>
  <c r="DK26" i="1" s="1"/>
  <c r="DL26" i="1" a="1"/>
  <c r="DL26" i="1" s="1"/>
  <c r="DM26" i="1" a="1"/>
  <c r="DM26" i="1"/>
  <c r="DN26" i="1" a="1"/>
  <c r="DN26" i="1"/>
  <c r="DO26" i="1" a="1"/>
  <c r="DO26" i="1"/>
  <c r="DP26" i="1" a="1"/>
  <c r="DP26" i="1" s="1"/>
  <c r="DQ26" i="1" a="1"/>
  <c r="DQ26" i="1"/>
  <c r="DR26" i="1" a="1"/>
  <c r="DR26" i="1"/>
  <c r="DD27" i="1" a="1"/>
  <c r="DD27" i="1" s="1"/>
  <c r="DE27" i="1" a="1"/>
  <c r="DE27" i="1" s="1"/>
  <c r="DF27" i="1" a="1"/>
  <c r="DF27" i="1" s="1"/>
  <c r="DG27" i="1" a="1"/>
  <c r="DG27" i="1" s="1"/>
  <c r="DH27" i="1" a="1"/>
  <c r="DH27" i="1" s="1"/>
  <c r="DI27" i="1" a="1"/>
  <c r="DI27" i="1" s="1"/>
  <c r="DJ27" i="1" a="1"/>
  <c r="DJ27" i="1" s="1"/>
  <c r="DK27" i="1" a="1"/>
  <c r="DK27" i="1"/>
  <c r="DL27" i="1" a="1"/>
  <c r="DL27" i="1"/>
  <c r="DM27" i="1" a="1"/>
  <c r="DM27" i="1" s="1"/>
  <c r="DN27" i="1" a="1"/>
  <c r="DN27" i="1" s="1"/>
  <c r="DO27" i="1" a="1"/>
  <c r="DO27" i="1"/>
  <c r="DP27" i="1" a="1"/>
  <c r="DP27" i="1" s="1"/>
  <c r="DQ27" i="1" a="1"/>
  <c r="DQ27" i="1" s="1"/>
  <c r="DR27" i="1" a="1"/>
  <c r="DR27" i="1" s="1"/>
  <c r="DD28" i="1" a="1"/>
  <c r="DD28" i="1" s="1"/>
  <c r="DE28" i="1" a="1"/>
  <c r="DE28" i="1" s="1"/>
  <c r="DF28" i="1" a="1"/>
  <c r="DF28" i="1" s="1"/>
  <c r="DG28" i="1" a="1"/>
  <c r="DG28" i="1" s="1"/>
  <c r="DH28" i="1" a="1"/>
  <c r="DH28" i="1" s="1"/>
  <c r="DI28" i="1" a="1"/>
  <c r="DI28" i="1"/>
  <c r="DJ28" i="1" a="1"/>
  <c r="DJ28" i="1" s="1"/>
  <c r="DK28" i="1" a="1"/>
  <c r="DK28" i="1" s="1"/>
  <c r="DL28" i="1" a="1"/>
  <c r="DL28" i="1"/>
  <c r="DM28" i="1" a="1"/>
  <c r="DM28" i="1"/>
  <c r="DN28" i="1" a="1"/>
  <c r="DN28" i="1" s="1"/>
  <c r="DO28" i="1" a="1"/>
  <c r="DO28" i="1" s="1"/>
  <c r="DP28" i="1" a="1"/>
  <c r="DP28" i="1"/>
  <c r="DQ28" i="1" a="1"/>
  <c r="DQ28" i="1" s="1"/>
  <c r="DR28" i="1" a="1"/>
  <c r="DR28" i="1" s="1"/>
  <c r="DD29" i="1" a="1"/>
  <c r="DD29" i="1" s="1"/>
  <c r="DE29" i="1" a="1"/>
  <c r="DE29" i="1" s="1"/>
  <c r="DF29" i="1" a="1"/>
  <c r="DF29" i="1" s="1"/>
  <c r="DG29" i="1" a="1"/>
  <c r="DG29" i="1" s="1"/>
  <c r="DH29" i="1" a="1"/>
  <c r="DH29" i="1" s="1"/>
  <c r="DI29" i="1" a="1"/>
  <c r="DI29" i="1"/>
  <c r="DJ29" i="1" a="1"/>
  <c r="DJ29" i="1"/>
  <c r="DK29" i="1" a="1"/>
  <c r="DK29" i="1" s="1"/>
  <c r="DL29" i="1" a="1"/>
  <c r="DL29" i="1" s="1"/>
  <c r="DM29" i="1" a="1"/>
  <c r="DM29" i="1"/>
  <c r="DN29" i="1" a="1"/>
  <c r="DN29" i="1"/>
  <c r="DO29" i="1" a="1"/>
  <c r="DO29" i="1" s="1"/>
  <c r="DP29" i="1" a="1"/>
  <c r="DP29" i="1" s="1"/>
  <c r="DQ29" i="1" a="1"/>
  <c r="DQ29" i="1"/>
  <c r="DR29" i="1" a="1"/>
  <c r="DR29" i="1" s="1"/>
  <c r="DD30" i="1" a="1"/>
  <c r="DD30" i="1" s="1"/>
  <c r="DE30" i="1" a="1"/>
  <c r="DE30" i="1" s="1"/>
  <c r="DF30" i="1" a="1"/>
  <c r="DF30" i="1" s="1"/>
  <c r="DG30" i="1" a="1"/>
  <c r="DG30" i="1" s="1"/>
  <c r="DH30" i="1" a="1"/>
  <c r="DH30" i="1" s="1"/>
  <c r="DI30" i="1" a="1"/>
  <c r="DI30" i="1" s="1"/>
  <c r="DJ30" i="1" a="1"/>
  <c r="DJ30" i="1"/>
  <c r="DK30" i="1" a="1"/>
  <c r="DK30" i="1"/>
  <c r="DL30" i="1" a="1"/>
  <c r="DL30" i="1" s="1"/>
  <c r="DM30" i="1" a="1"/>
  <c r="DM30" i="1" s="1"/>
  <c r="DN30" i="1" a="1"/>
  <c r="DN30" i="1" s="1"/>
  <c r="DO30" i="1" a="1"/>
  <c r="DO30" i="1"/>
  <c r="DP30" i="1" a="1"/>
  <c r="DP30" i="1" s="1"/>
  <c r="DQ30" i="1" a="1"/>
  <c r="DQ30" i="1" s="1"/>
  <c r="DR30" i="1" a="1"/>
  <c r="DR30" i="1" s="1"/>
  <c r="DD31" i="1" a="1"/>
  <c r="DD31" i="1" s="1"/>
  <c r="DE31" i="1" a="1"/>
  <c r="DE31" i="1" s="1"/>
  <c r="DF31" i="1" a="1"/>
  <c r="DF31" i="1" s="1"/>
  <c r="DG31" i="1" a="1"/>
  <c r="DG31" i="1" s="1"/>
  <c r="DH31" i="1" a="1"/>
  <c r="DH31" i="1" s="1"/>
  <c r="DI31" i="1" a="1"/>
  <c r="DI31" i="1" s="1"/>
  <c r="DJ31" i="1" a="1"/>
  <c r="DJ31" i="1" s="1"/>
  <c r="DK31" i="1" a="1"/>
  <c r="DK31" i="1"/>
  <c r="DL31" i="1" a="1"/>
  <c r="DL31" i="1"/>
  <c r="DM31" i="1" a="1"/>
  <c r="DM31" i="1" s="1"/>
  <c r="DN31" i="1" a="1"/>
  <c r="DN31" i="1" s="1"/>
  <c r="DO31" i="1" a="1"/>
  <c r="DO31" i="1" s="1"/>
  <c r="DP31" i="1" a="1"/>
  <c r="DP31" i="1"/>
  <c r="DQ31" i="1" a="1"/>
  <c r="DQ31" i="1" s="1"/>
  <c r="DR31" i="1" a="1"/>
  <c r="DR31" i="1" s="1"/>
  <c r="DD32" i="1" a="1"/>
  <c r="DD32" i="1" s="1"/>
  <c r="DE32" i="1" a="1"/>
  <c r="DE32" i="1" s="1"/>
  <c r="DF32" i="1" a="1"/>
  <c r="DF32" i="1" s="1"/>
  <c r="DG32" i="1" a="1"/>
  <c r="DG32" i="1" s="1"/>
  <c r="DH32" i="1" a="1"/>
  <c r="DH32" i="1" s="1"/>
  <c r="DI32" i="1" a="1"/>
  <c r="DI32" i="1" s="1"/>
  <c r="DJ32" i="1" a="1"/>
  <c r="DJ32" i="1" s="1"/>
  <c r="DK32" i="1" a="1"/>
  <c r="DK32" i="1" s="1"/>
  <c r="DL32" i="1" a="1"/>
  <c r="DL32" i="1"/>
  <c r="DM32" i="1" a="1"/>
  <c r="DM32" i="1"/>
  <c r="DN32" i="1" a="1"/>
  <c r="DN32" i="1" s="1"/>
  <c r="DO32" i="1" a="1"/>
  <c r="DO32" i="1" s="1"/>
  <c r="DP32" i="1" a="1"/>
  <c r="DP32" i="1" s="1"/>
  <c r="DQ32" i="1" a="1"/>
  <c r="DQ32" i="1"/>
  <c r="DR32" i="1" a="1"/>
  <c r="DR32" i="1" s="1"/>
  <c r="DD33" i="1" a="1"/>
  <c r="DD33" i="1" s="1"/>
  <c r="DE33" i="1" a="1"/>
  <c r="DE33" i="1" s="1"/>
  <c r="DF33" i="1" a="1"/>
  <c r="DF33" i="1" s="1"/>
  <c r="DG33" i="1" a="1"/>
  <c r="DG33" i="1" s="1"/>
  <c r="DH33" i="1" a="1"/>
  <c r="DH33" i="1" s="1"/>
  <c r="DI33" i="1" a="1"/>
  <c r="DI33" i="1"/>
  <c r="DJ33" i="1" a="1"/>
  <c r="DJ33" i="1" s="1"/>
  <c r="DK33" i="1" a="1"/>
  <c r="DK33" i="1" s="1"/>
  <c r="DL33" i="1" a="1"/>
  <c r="DL33" i="1" s="1"/>
  <c r="DM33" i="1" a="1"/>
  <c r="DM33" i="1"/>
  <c r="DN33" i="1" a="1"/>
  <c r="DN33" i="1"/>
  <c r="DO33" i="1" a="1"/>
  <c r="DO33" i="1" s="1"/>
  <c r="DP33" i="1" a="1"/>
  <c r="DP33" i="1" s="1"/>
  <c r="DQ33" i="1" a="1"/>
  <c r="DQ33" i="1" s="1"/>
  <c r="DR33" i="1" a="1"/>
  <c r="DR33" i="1" s="1"/>
  <c r="DD34" i="1" a="1"/>
  <c r="DD34" i="1" s="1"/>
  <c r="DE34" i="1" a="1"/>
  <c r="DE34" i="1" s="1"/>
  <c r="DF34" i="1" a="1"/>
  <c r="DF34" i="1" s="1"/>
  <c r="DG34" i="1" a="1"/>
  <c r="DG34" i="1" s="1"/>
  <c r="DH34" i="1" a="1"/>
  <c r="DH34" i="1" s="1"/>
  <c r="DI34" i="1" a="1"/>
  <c r="DI34" i="1" s="1"/>
  <c r="DJ34" i="1" a="1"/>
  <c r="DJ34" i="1"/>
  <c r="DK34" i="1" a="1"/>
  <c r="DK34" i="1" s="1"/>
  <c r="DL34" i="1" a="1"/>
  <c r="DL34" i="1" s="1"/>
  <c r="DM34" i="1" a="1"/>
  <c r="DM34" i="1" s="1"/>
  <c r="DN34" i="1" a="1"/>
  <c r="DN34" i="1"/>
  <c r="DO34" i="1" a="1"/>
  <c r="DO34" i="1"/>
  <c r="DP34" i="1" a="1"/>
  <c r="DP34" i="1" s="1"/>
  <c r="DQ34" i="1" a="1"/>
  <c r="DQ34" i="1" s="1"/>
  <c r="DR34" i="1" a="1"/>
  <c r="DR34" i="1" s="1"/>
  <c r="DD35" i="1" a="1"/>
  <c r="DD35" i="1" s="1"/>
  <c r="DE35" i="1" a="1"/>
  <c r="DE35" i="1" s="1"/>
  <c r="DF35" i="1" a="1"/>
  <c r="DF35" i="1" s="1"/>
  <c r="DG35" i="1" a="1"/>
  <c r="DG35" i="1" s="1"/>
  <c r="DH35" i="1" a="1"/>
  <c r="DH35" i="1" s="1"/>
  <c r="DI35" i="1" a="1"/>
  <c r="DI35" i="1" s="1"/>
  <c r="DJ35" i="1" a="1"/>
  <c r="DJ35" i="1" s="1"/>
  <c r="DK35" i="1" a="1"/>
  <c r="DK35" i="1"/>
  <c r="DL35" i="1" a="1"/>
  <c r="DL35" i="1" s="1"/>
  <c r="DM35" i="1" a="1"/>
  <c r="DM35" i="1" s="1"/>
  <c r="DN35" i="1" a="1"/>
  <c r="DN35" i="1" s="1"/>
  <c r="DO35" i="1" a="1"/>
  <c r="DO35" i="1"/>
  <c r="DP35" i="1" a="1"/>
  <c r="DP35" i="1"/>
  <c r="DQ35" i="1" a="1"/>
  <c r="DQ35" i="1" s="1"/>
  <c r="DR35" i="1" a="1"/>
  <c r="DR35" i="1" s="1"/>
  <c r="DD36" i="1" a="1"/>
  <c r="DD36" i="1" s="1"/>
  <c r="DE36" i="1" a="1"/>
  <c r="DE36" i="1" s="1"/>
  <c r="DF36" i="1" a="1"/>
  <c r="DF36" i="1" s="1"/>
  <c r="DG36" i="1" a="1"/>
  <c r="DG36" i="1" s="1"/>
  <c r="DH36" i="1" a="1"/>
  <c r="DH36" i="1" s="1"/>
  <c r="DI36" i="1" a="1"/>
  <c r="DI36" i="1" s="1"/>
  <c r="DJ36" i="1" a="1"/>
  <c r="DJ36" i="1" s="1"/>
  <c r="DK36" i="1" a="1"/>
  <c r="DK36" i="1" s="1"/>
  <c r="DL36" i="1" a="1"/>
  <c r="DL36" i="1"/>
  <c r="DM36" i="1" a="1"/>
  <c r="DM36" i="1" s="1"/>
  <c r="DN36" i="1" a="1"/>
  <c r="DN36" i="1" s="1"/>
  <c r="DO36" i="1" a="1"/>
  <c r="DO36" i="1" s="1"/>
  <c r="DP36" i="1" a="1"/>
  <c r="DP36" i="1"/>
  <c r="DQ36" i="1" a="1"/>
  <c r="DQ36" i="1"/>
  <c r="DR36" i="1" a="1"/>
  <c r="DR36" i="1" s="1"/>
  <c r="DD37" i="1" a="1"/>
  <c r="DD37" i="1" s="1"/>
  <c r="DE37" i="1" a="1"/>
  <c r="DE37" i="1" s="1"/>
  <c r="DF37" i="1" a="1"/>
  <c r="DF37" i="1" s="1"/>
  <c r="DG37" i="1" a="1"/>
  <c r="DG37" i="1" s="1"/>
  <c r="DH37" i="1" a="1"/>
  <c r="DH37" i="1" s="1"/>
  <c r="DI37" i="1" a="1"/>
  <c r="DI37" i="1" s="1"/>
  <c r="DJ37" i="1" a="1"/>
  <c r="DJ37" i="1" s="1"/>
  <c r="DK37" i="1" a="1"/>
  <c r="DK37" i="1" s="1"/>
  <c r="DL37" i="1" a="1"/>
  <c r="DL37" i="1" s="1"/>
  <c r="DM37" i="1" a="1"/>
  <c r="DM37" i="1"/>
  <c r="DN37" i="1" a="1"/>
  <c r="DN37" i="1" s="1"/>
  <c r="DO37" i="1" a="1"/>
  <c r="DO37" i="1" s="1"/>
  <c r="DP37" i="1" a="1"/>
  <c r="DP37" i="1" s="1"/>
  <c r="DQ37" i="1" a="1"/>
  <c r="DQ37" i="1"/>
  <c r="DR37" i="1" a="1"/>
  <c r="DR37" i="1"/>
  <c r="DD38" i="1" a="1"/>
  <c r="DD38" i="1" s="1"/>
  <c r="DE38" i="1" a="1"/>
  <c r="DE38" i="1" s="1"/>
  <c r="DF38" i="1" a="1"/>
  <c r="DF38" i="1" s="1"/>
  <c r="DG38" i="1" a="1"/>
  <c r="DG38" i="1" s="1"/>
  <c r="DH38" i="1" a="1"/>
  <c r="DH38" i="1" s="1"/>
  <c r="DI38" i="1" a="1"/>
  <c r="DI38" i="1" s="1"/>
  <c r="DJ38" i="1" a="1"/>
  <c r="DJ38" i="1" s="1"/>
  <c r="DK38" i="1" a="1"/>
  <c r="DK38" i="1" s="1"/>
  <c r="DL38" i="1" a="1"/>
  <c r="DL38" i="1" s="1"/>
  <c r="DM38" i="1" a="1"/>
  <c r="DM38" i="1" s="1"/>
  <c r="DN38" i="1" a="1"/>
  <c r="DN38" i="1"/>
  <c r="DO38" i="1" a="1"/>
  <c r="DO38" i="1" s="1"/>
  <c r="DP38" i="1" a="1"/>
  <c r="DP38" i="1" s="1"/>
  <c r="DQ38" i="1" a="1"/>
  <c r="DQ38" i="1" s="1"/>
  <c r="DR38" i="1" a="1"/>
  <c r="DR38" i="1"/>
  <c r="DD39" i="1" a="1"/>
  <c r="DD39" i="1"/>
  <c r="DE39" i="1" a="1"/>
  <c r="DE39" i="1" s="1"/>
  <c r="DF39" i="1" a="1"/>
  <c r="DF39" i="1" s="1"/>
  <c r="DG39" i="1" a="1"/>
  <c r="DG39" i="1" s="1"/>
  <c r="DH39" i="1" a="1"/>
  <c r="DH39" i="1"/>
  <c r="DI39" i="1" a="1"/>
  <c r="DI39" i="1" s="1"/>
  <c r="DJ39" i="1" a="1"/>
  <c r="DJ39" i="1" s="1"/>
  <c r="DK39" i="1" a="1"/>
  <c r="DK39" i="1" s="1"/>
  <c r="DL39" i="1" a="1"/>
  <c r="DL39" i="1" s="1"/>
  <c r="DM39" i="1" a="1"/>
  <c r="DM39" i="1" s="1"/>
  <c r="DN39" i="1" a="1"/>
  <c r="DN39" i="1" s="1"/>
  <c r="DO39" i="1" a="1"/>
  <c r="DO39" i="1"/>
  <c r="DP39" i="1" a="1"/>
  <c r="DP39" i="1" s="1"/>
  <c r="DQ39" i="1" a="1"/>
  <c r="DQ39" i="1" s="1"/>
  <c r="DR39" i="1" a="1"/>
  <c r="DR39" i="1" s="1"/>
  <c r="DD40" i="1" a="1"/>
  <c r="DD40" i="1"/>
  <c r="DE40" i="1" a="1"/>
  <c r="DE40" i="1"/>
  <c r="DF40" i="1" a="1"/>
  <c r="DF40" i="1" s="1"/>
  <c r="DG40" i="1" a="1"/>
  <c r="DG40" i="1" s="1"/>
  <c r="DH40" i="1" a="1"/>
  <c r="DH40" i="1" s="1"/>
  <c r="DI40" i="1" a="1"/>
  <c r="DI40" i="1"/>
  <c r="DJ40" i="1" a="1"/>
  <c r="DJ40" i="1" s="1"/>
  <c r="DK40" i="1" a="1"/>
  <c r="DK40" i="1" s="1"/>
  <c r="DL40" i="1" a="1"/>
  <c r="DL40" i="1" s="1"/>
  <c r="DM40" i="1" a="1"/>
  <c r="DM40" i="1" s="1"/>
  <c r="DN40" i="1" a="1"/>
  <c r="DN40" i="1" s="1"/>
  <c r="DO40" i="1" a="1"/>
  <c r="DO40" i="1" s="1"/>
  <c r="DP40" i="1" a="1"/>
  <c r="DP40" i="1"/>
  <c r="DQ40" i="1" a="1"/>
  <c r="DQ40" i="1" s="1"/>
  <c r="DR40" i="1" a="1"/>
  <c r="DR40" i="1" s="1"/>
  <c r="DD41" i="1" a="1"/>
  <c r="DD41" i="1" s="1"/>
  <c r="DE41" i="1" a="1"/>
  <c r="DE41" i="1"/>
  <c r="DF41" i="1" a="1"/>
  <c r="DF41" i="1"/>
  <c r="DG41" i="1" a="1"/>
  <c r="DG41" i="1" s="1"/>
  <c r="DH41" i="1" a="1"/>
  <c r="DH41" i="1" s="1"/>
  <c r="DI41" i="1" a="1"/>
  <c r="DI41" i="1" s="1"/>
  <c r="DJ41" i="1" a="1"/>
  <c r="DJ41" i="1"/>
  <c r="DK41" i="1" a="1"/>
  <c r="DK41" i="1" s="1"/>
  <c r="DL41" i="1" a="1"/>
  <c r="DL41" i="1" s="1"/>
  <c r="DM41" i="1" a="1"/>
  <c r="DM41" i="1" s="1"/>
  <c r="DN41" i="1" a="1"/>
  <c r="DN41" i="1" s="1"/>
  <c r="DO41" i="1" a="1"/>
  <c r="DO41" i="1" s="1"/>
  <c r="DP41" i="1" a="1"/>
  <c r="DP41" i="1" s="1"/>
  <c r="DQ41" i="1" a="1"/>
  <c r="DQ41" i="1"/>
  <c r="DR41" i="1" a="1"/>
  <c r="DR41" i="1" s="1"/>
  <c r="DD42" i="1" a="1"/>
  <c r="DD42" i="1" s="1"/>
  <c r="DE42" i="1" a="1"/>
  <c r="DE42" i="1" s="1"/>
  <c r="DF42" i="1" a="1"/>
  <c r="DF42" i="1"/>
  <c r="DG42" i="1" a="1"/>
  <c r="DG42" i="1"/>
  <c r="DH42" i="1" a="1"/>
  <c r="DH42" i="1" s="1"/>
  <c r="DI42" i="1" a="1"/>
  <c r="DI42" i="1" s="1"/>
  <c r="DJ42" i="1" a="1"/>
  <c r="DJ42" i="1" s="1"/>
  <c r="DK42" i="1" a="1"/>
  <c r="DK42" i="1"/>
  <c r="DL42" i="1" a="1"/>
  <c r="DL42" i="1" s="1"/>
  <c r="DM42" i="1" a="1"/>
  <c r="DM42" i="1" s="1"/>
  <c r="DN42" i="1" a="1"/>
  <c r="DN42" i="1" s="1"/>
  <c r="DO42" i="1" a="1"/>
  <c r="DO42" i="1" s="1"/>
  <c r="DP42" i="1" a="1"/>
  <c r="DP42" i="1" s="1"/>
  <c r="DQ42" i="1" a="1"/>
  <c r="DQ42" i="1" s="1"/>
  <c r="DR42" i="1" a="1"/>
  <c r="DR42" i="1"/>
  <c r="DD43" i="1" a="1"/>
  <c r="DD43" i="1" s="1"/>
  <c r="DE43" i="1" a="1"/>
  <c r="DE43" i="1" s="1"/>
  <c r="DF43" i="1" a="1"/>
  <c r="DF43" i="1" s="1"/>
  <c r="DG43" i="1" a="1"/>
  <c r="DG43" i="1"/>
  <c r="DH43" i="1" a="1"/>
  <c r="DH43" i="1"/>
  <c r="DI43" i="1" a="1"/>
  <c r="DI43" i="1" s="1"/>
  <c r="DJ43" i="1" a="1"/>
  <c r="DJ43" i="1" s="1"/>
  <c r="DK43" i="1" a="1"/>
  <c r="DK43" i="1" s="1"/>
  <c r="DL43" i="1" a="1"/>
  <c r="DL43" i="1"/>
  <c r="DM43" i="1" a="1"/>
  <c r="DM43" i="1" s="1"/>
  <c r="DN43" i="1" a="1"/>
  <c r="DN43" i="1" s="1"/>
  <c r="DO43" i="1" a="1"/>
  <c r="DO43" i="1" s="1"/>
  <c r="DP43" i="1" a="1"/>
  <c r="DP43" i="1" s="1"/>
  <c r="DQ43" i="1" a="1"/>
  <c r="DQ43" i="1" s="1"/>
  <c r="DR43" i="1" a="1"/>
  <c r="DR43" i="1" s="1"/>
  <c r="DD44" i="1" a="1"/>
  <c r="DD44" i="1"/>
  <c r="DE44" i="1" a="1"/>
  <c r="DE44" i="1" s="1"/>
  <c r="DF44" i="1" a="1"/>
  <c r="DF44" i="1" s="1"/>
  <c r="DG44" i="1" a="1"/>
  <c r="DG44" i="1" s="1"/>
  <c r="DH44" i="1" a="1"/>
  <c r="DH44" i="1"/>
  <c r="DI44" i="1" a="1"/>
  <c r="DI44" i="1"/>
  <c r="DJ44" i="1" a="1"/>
  <c r="DJ44" i="1" s="1"/>
  <c r="DK44" i="1" a="1"/>
  <c r="DK44" i="1" s="1"/>
  <c r="DL44" i="1" a="1"/>
  <c r="DL44" i="1" s="1"/>
  <c r="DM44" i="1" a="1"/>
  <c r="DM44" i="1"/>
  <c r="DN44" i="1" a="1"/>
  <c r="DN44" i="1" s="1"/>
  <c r="DO44" i="1" a="1"/>
  <c r="DO44" i="1" s="1"/>
  <c r="DP44" i="1" a="1"/>
  <c r="DP44" i="1" s="1"/>
  <c r="DQ44" i="1" a="1"/>
  <c r="DQ44" i="1" s="1"/>
  <c r="DR44" i="1" a="1"/>
  <c r="DR44" i="1" s="1"/>
  <c r="DD45" i="1" a="1"/>
  <c r="DD45" i="1" s="1"/>
  <c r="DE45" i="1" a="1"/>
  <c r="DE45" i="1"/>
  <c r="DF45" i="1" a="1"/>
  <c r="DF45" i="1" s="1"/>
  <c r="DG45" i="1" a="1"/>
  <c r="DG45" i="1" s="1"/>
  <c r="DH45" i="1" a="1"/>
  <c r="DH45" i="1" s="1"/>
  <c r="DI45" i="1" a="1"/>
  <c r="DI45" i="1"/>
  <c r="DJ45" i="1" a="1"/>
  <c r="DJ45" i="1"/>
  <c r="DK45" i="1" a="1"/>
  <c r="DK45" i="1" s="1"/>
  <c r="DL45" i="1" a="1"/>
  <c r="DL45" i="1" s="1"/>
  <c r="DM45" i="1" a="1"/>
  <c r="DM45" i="1" s="1"/>
  <c r="DN45" i="1" a="1"/>
  <c r="DN45" i="1"/>
  <c r="DO45" i="1" a="1"/>
  <c r="DO45" i="1" s="1"/>
  <c r="DP45" i="1" a="1"/>
  <c r="DP45" i="1" s="1"/>
  <c r="DQ45" i="1" a="1"/>
  <c r="DQ45" i="1" s="1"/>
  <c r="DR45" i="1" a="1"/>
  <c r="DR45" i="1" s="1"/>
  <c r="DD46" i="1" a="1"/>
  <c r="DD46" i="1" s="1"/>
  <c r="DE46" i="1" a="1"/>
  <c r="DE46" i="1" s="1"/>
  <c r="DF46" i="1" a="1"/>
  <c r="DF46" i="1"/>
  <c r="DG46" i="1" a="1"/>
  <c r="DG46" i="1" s="1"/>
  <c r="DH46" i="1" a="1"/>
  <c r="DH46" i="1" s="1"/>
  <c r="DI46" i="1" a="1"/>
  <c r="DI46" i="1" s="1"/>
  <c r="DJ46" i="1" a="1"/>
  <c r="DJ46" i="1"/>
  <c r="DK46" i="1" a="1"/>
  <c r="DK46" i="1"/>
  <c r="DL46" i="1" a="1"/>
  <c r="DL46" i="1" s="1"/>
  <c r="DM46" i="1" a="1"/>
  <c r="DM46" i="1" s="1"/>
  <c r="DN46" i="1" a="1"/>
  <c r="DN46" i="1" s="1"/>
  <c r="DO46" i="1" a="1"/>
  <c r="DO46" i="1"/>
  <c r="DP46" i="1" a="1"/>
  <c r="DP46" i="1" s="1"/>
  <c r="DQ46" i="1" a="1"/>
  <c r="DQ46" i="1" s="1"/>
  <c r="DR46" i="1" a="1"/>
  <c r="DR46" i="1" s="1"/>
  <c r="DD47" i="1" a="1"/>
  <c r="DD47" i="1" s="1"/>
  <c r="DE47" i="1" a="1"/>
  <c r="DE47" i="1" s="1"/>
  <c r="DF47" i="1" a="1"/>
  <c r="DF47" i="1" s="1"/>
  <c r="DG47" i="1" a="1"/>
  <c r="DG47" i="1"/>
  <c r="DH47" i="1" a="1"/>
  <c r="DH47" i="1" s="1"/>
  <c r="DI47" i="1" a="1"/>
  <c r="DI47" i="1" s="1"/>
  <c r="DJ47" i="1" a="1"/>
  <c r="DJ47" i="1" s="1"/>
  <c r="DK47" i="1" a="1"/>
  <c r="DK47" i="1"/>
  <c r="DL47" i="1" a="1"/>
  <c r="DL47" i="1"/>
  <c r="DM47" i="1" a="1"/>
  <c r="DM47" i="1" s="1"/>
  <c r="DN47" i="1" a="1"/>
  <c r="DN47" i="1" s="1"/>
  <c r="DO47" i="1" a="1"/>
  <c r="DO47" i="1" s="1"/>
  <c r="DP47" i="1" a="1"/>
  <c r="DP47" i="1"/>
  <c r="DQ47" i="1" a="1"/>
  <c r="DQ47" i="1" s="1"/>
  <c r="DR47" i="1" a="1"/>
  <c r="DR47" i="1" s="1"/>
  <c r="DD48" i="1" a="1"/>
  <c r="DD48" i="1" s="1"/>
  <c r="DE48" i="1" a="1"/>
  <c r="DE48" i="1" s="1"/>
  <c r="DF48" i="1" a="1"/>
  <c r="DF48" i="1" s="1"/>
  <c r="DG48" i="1" a="1"/>
  <c r="DG48" i="1" s="1"/>
  <c r="DH48" i="1" a="1"/>
  <c r="DH48" i="1"/>
  <c r="DI48" i="1" a="1"/>
  <c r="DI48" i="1" s="1"/>
  <c r="DJ48" i="1" a="1"/>
  <c r="DJ48" i="1" s="1"/>
  <c r="DK48" i="1" a="1"/>
  <c r="DK48" i="1"/>
  <c r="DL48" i="1" a="1"/>
  <c r="DL48" i="1"/>
  <c r="DM48" i="1" a="1"/>
  <c r="DM48" i="1" s="1"/>
  <c r="DN48" i="1" a="1"/>
  <c r="DN48" i="1" s="1"/>
  <c r="DO48" i="1" a="1"/>
  <c r="DO48" i="1"/>
  <c r="DP48" i="1" a="1"/>
  <c r="DP48" i="1"/>
  <c r="DQ48" i="1" a="1"/>
  <c r="DQ48" i="1" s="1"/>
  <c r="DR48" i="1" a="1"/>
  <c r="DR48" i="1" s="1"/>
  <c r="DD49" i="1" a="1"/>
  <c r="DD49" i="1"/>
  <c r="DE49" i="1" a="1"/>
  <c r="DE49" i="1"/>
  <c r="DF49" i="1" a="1"/>
  <c r="DF49" i="1" s="1"/>
  <c r="DG49" i="1" a="1"/>
  <c r="DG49" i="1" s="1"/>
  <c r="DH49" i="1" a="1"/>
  <c r="DH49" i="1"/>
  <c r="DI49" i="1" a="1"/>
  <c r="DI49" i="1"/>
  <c r="DJ49" i="1" a="1"/>
  <c r="DJ49" i="1" s="1"/>
  <c r="DK49" i="1" a="1"/>
  <c r="DK49" i="1" s="1"/>
  <c r="DL49" i="1" a="1"/>
  <c r="DL49" i="1"/>
  <c r="DM49" i="1" a="1"/>
  <c r="DM49" i="1"/>
  <c r="DN49" i="1" a="1"/>
  <c r="DN49" i="1" s="1"/>
  <c r="DO49" i="1" a="1"/>
  <c r="DO49" i="1" s="1"/>
  <c r="DP49" i="1" a="1"/>
  <c r="DP49" i="1"/>
  <c r="DQ49" i="1" a="1"/>
  <c r="DQ49" i="1"/>
  <c r="DR49" i="1" a="1"/>
  <c r="DR49" i="1" s="1"/>
  <c r="DD50" i="1" a="1"/>
  <c r="DD50" i="1" s="1"/>
  <c r="DE50" i="1" a="1"/>
  <c r="DE50" i="1"/>
  <c r="DF50" i="1" a="1"/>
  <c r="DF50" i="1"/>
  <c r="DG50" i="1" a="1"/>
  <c r="DG50" i="1" s="1"/>
  <c r="DH50" i="1" a="1"/>
  <c r="DH50" i="1" s="1"/>
  <c r="DI50" i="1" a="1"/>
  <c r="DI50" i="1"/>
  <c r="DJ50" i="1" a="1"/>
  <c r="DJ50" i="1"/>
  <c r="DK50" i="1" a="1"/>
  <c r="DK50" i="1" s="1"/>
  <c r="DL50" i="1" a="1"/>
  <c r="DL50" i="1" s="1"/>
  <c r="DM50" i="1" a="1"/>
  <c r="DM50" i="1"/>
  <c r="DN50" i="1" a="1"/>
  <c r="DN50" i="1"/>
  <c r="DO50" i="1" a="1"/>
  <c r="DO50" i="1" s="1"/>
  <c r="DP50" i="1" a="1"/>
  <c r="DP50" i="1" s="1"/>
  <c r="DQ50" i="1" a="1"/>
  <c r="DQ50" i="1"/>
  <c r="DR50" i="1" a="1"/>
  <c r="DR50" i="1"/>
  <c r="DD51" i="1" a="1"/>
  <c r="DD51" i="1" s="1"/>
  <c r="DE51" i="1" a="1"/>
  <c r="DE51" i="1" s="1"/>
  <c r="DF51" i="1" a="1"/>
  <c r="DF51" i="1"/>
  <c r="DG51" i="1" a="1"/>
  <c r="DG51" i="1"/>
  <c r="DH51" i="1" a="1"/>
  <c r="DH51" i="1" s="1"/>
  <c r="DI51" i="1" a="1"/>
  <c r="DI51" i="1" s="1"/>
  <c r="DJ51" i="1" a="1"/>
  <c r="DJ51" i="1"/>
  <c r="DK51" i="1" a="1"/>
  <c r="DK51" i="1"/>
  <c r="DL51" i="1" a="1"/>
  <c r="DL51" i="1" s="1"/>
  <c r="DM51" i="1" a="1"/>
  <c r="DM51" i="1" s="1"/>
  <c r="DN51" i="1" a="1"/>
  <c r="DN51" i="1"/>
  <c r="DO51" i="1" a="1"/>
  <c r="DO51" i="1"/>
  <c r="DP51" i="1" a="1"/>
  <c r="DP51" i="1" s="1"/>
  <c r="DQ51" i="1" a="1"/>
  <c r="DQ51" i="1" s="1"/>
  <c r="DR51" i="1" a="1"/>
  <c r="DR51" i="1"/>
  <c r="DD52" i="1" a="1"/>
  <c r="DD52" i="1"/>
  <c r="DE52" i="1" a="1"/>
  <c r="DE52" i="1" s="1"/>
  <c r="DF52" i="1" a="1"/>
  <c r="DF52" i="1" s="1"/>
  <c r="DG52" i="1" a="1"/>
  <c r="DG52" i="1"/>
  <c r="DH52" i="1" a="1"/>
  <c r="DH52" i="1"/>
  <c r="DI52" i="1" a="1"/>
  <c r="DI52" i="1" s="1"/>
  <c r="DJ52" i="1" a="1"/>
  <c r="DJ52" i="1" s="1"/>
  <c r="DK52" i="1" a="1"/>
  <c r="DK52" i="1"/>
  <c r="DL52" i="1" a="1"/>
  <c r="DL52" i="1"/>
  <c r="DM52" i="1" a="1"/>
  <c r="DM52" i="1" s="1"/>
  <c r="DN52" i="1" a="1"/>
  <c r="DN52" i="1" s="1"/>
  <c r="DO52" i="1" a="1"/>
  <c r="DO52" i="1"/>
  <c r="DP52" i="1" a="1"/>
  <c r="DP52" i="1"/>
  <c r="DQ52" i="1" a="1"/>
  <c r="DQ52" i="1" s="1"/>
  <c r="DR52" i="1" a="1"/>
  <c r="DR52" i="1" s="1"/>
  <c r="DD53" i="1" a="1"/>
  <c r="DD53" i="1"/>
  <c r="DE53" i="1" a="1"/>
  <c r="DE53" i="1"/>
  <c r="DF53" i="1" a="1"/>
  <c r="DF53" i="1" s="1"/>
  <c r="DG53" i="1" a="1"/>
  <c r="DG53" i="1" s="1"/>
  <c r="DH53" i="1" a="1"/>
  <c r="DH53" i="1"/>
  <c r="DI53" i="1" a="1"/>
  <c r="DI53" i="1"/>
  <c r="DJ53" i="1" a="1"/>
  <c r="DJ53" i="1" s="1"/>
  <c r="DK53" i="1" a="1"/>
  <c r="DK53" i="1" s="1"/>
  <c r="DL53" i="1" a="1"/>
  <c r="DL53" i="1"/>
  <c r="DM53" i="1" a="1"/>
  <c r="DM53" i="1"/>
  <c r="DN53" i="1" a="1"/>
  <c r="DN53" i="1" s="1"/>
  <c r="DO53" i="1" a="1"/>
  <c r="DO53" i="1" s="1"/>
  <c r="DP53" i="1" a="1"/>
  <c r="DP53" i="1"/>
  <c r="DQ53" i="1" a="1"/>
  <c r="DQ53" i="1"/>
  <c r="DR53" i="1" a="1"/>
  <c r="DR53" i="1" s="1"/>
  <c r="DD54" i="1" a="1"/>
  <c r="DD54" i="1" s="1"/>
  <c r="DE54" i="1" a="1"/>
  <c r="DE54" i="1"/>
  <c r="DF54" i="1" a="1"/>
  <c r="DF54" i="1"/>
  <c r="DG54" i="1" a="1"/>
  <c r="DG54" i="1" s="1"/>
  <c r="DH54" i="1" a="1"/>
  <c r="DH54" i="1" s="1"/>
  <c r="DI54" i="1" a="1"/>
  <c r="DI54" i="1"/>
  <c r="DJ54" i="1" a="1"/>
  <c r="DJ54" i="1"/>
  <c r="DK54" i="1" a="1"/>
  <c r="DK54" i="1" s="1"/>
  <c r="DL54" i="1" a="1"/>
  <c r="DL54" i="1" s="1"/>
  <c r="DM54" i="1" a="1"/>
  <c r="DM54" i="1"/>
  <c r="DN54" i="1" a="1"/>
  <c r="DN54" i="1"/>
  <c r="DO54" i="1" a="1"/>
  <c r="DO54" i="1" s="1"/>
  <c r="DP54" i="1" a="1"/>
  <c r="DP54" i="1" s="1"/>
  <c r="DQ54" i="1" a="1"/>
  <c r="DQ54" i="1"/>
  <c r="DR54" i="1" a="1"/>
  <c r="DR54" i="1"/>
  <c r="DD55" i="1" a="1"/>
  <c r="DD55" i="1" s="1"/>
  <c r="DE55" i="1" a="1"/>
  <c r="DE55" i="1" s="1"/>
  <c r="DF55" i="1" a="1"/>
  <c r="DF55" i="1"/>
  <c r="DG55" i="1" a="1"/>
  <c r="DG55" i="1"/>
  <c r="DH55" i="1" a="1"/>
  <c r="DH55" i="1" s="1"/>
  <c r="DI55" i="1" a="1"/>
  <c r="DI55" i="1" s="1"/>
  <c r="DJ55" i="1" a="1"/>
  <c r="DJ55" i="1"/>
  <c r="DK55" i="1" a="1"/>
  <c r="DK55" i="1"/>
  <c r="DL55" i="1" a="1"/>
  <c r="DL55" i="1" s="1"/>
  <c r="DM55" i="1" a="1"/>
  <c r="DM55" i="1" s="1"/>
  <c r="DN55" i="1" a="1"/>
  <c r="DN55" i="1"/>
  <c r="DO55" i="1" a="1"/>
  <c r="DO55" i="1"/>
  <c r="DP55" i="1" a="1"/>
  <c r="DP55" i="1" s="1"/>
  <c r="DQ55" i="1" a="1"/>
  <c r="DQ55" i="1" s="1"/>
  <c r="DR55" i="1" a="1"/>
  <c r="DR55" i="1"/>
  <c r="DD56" i="1" a="1"/>
  <c r="DD56" i="1"/>
  <c r="DE56" i="1" a="1"/>
  <c r="DE56" i="1" s="1"/>
  <c r="DF56" i="1" a="1"/>
  <c r="DF56" i="1" s="1"/>
  <c r="DG56" i="1" a="1"/>
  <c r="DG56" i="1"/>
  <c r="DH56" i="1" a="1"/>
  <c r="DH56" i="1"/>
  <c r="DI56" i="1" a="1"/>
  <c r="DI56" i="1" s="1"/>
  <c r="DJ56" i="1" a="1"/>
  <c r="DJ56" i="1" s="1"/>
  <c r="DK56" i="1" a="1"/>
  <c r="DK56" i="1"/>
  <c r="DL56" i="1" a="1"/>
  <c r="DL56" i="1"/>
  <c r="DM56" i="1" a="1"/>
  <c r="DM56" i="1" s="1"/>
  <c r="DN56" i="1" a="1"/>
  <c r="DN56" i="1" s="1"/>
  <c r="DO56" i="1" a="1"/>
  <c r="DO56" i="1"/>
  <c r="DP56" i="1" a="1"/>
  <c r="DP56" i="1"/>
  <c r="DQ56" i="1" a="1"/>
  <c r="DQ56" i="1" s="1"/>
  <c r="DR56" i="1" a="1"/>
  <c r="DR56" i="1" s="1"/>
  <c r="DD57" i="1" a="1"/>
  <c r="DD57" i="1"/>
  <c r="DE57" i="1" a="1"/>
  <c r="DE57" i="1"/>
  <c r="DF57" i="1" a="1"/>
  <c r="DF57" i="1" s="1"/>
  <c r="DG57" i="1" a="1"/>
  <c r="DG57" i="1" s="1"/>
  <c r="DH57" i="1" a="1"/>
  <c r="DH57" i="1"/>
  <c r="DI57" i="1" a="1"/>
  <c r="DI57" i="1"/>
  <c r="DJ57" i="1" a="1"/>
  <c r="DJ57" i="1" s="1"/>
  <c r="DK57" i="1" a="1"/>
  <c r="DK57" i="1" s="1"/>
  <c r="DL57" i="1" a="1"/>
  <c r="DL57" i="1" s="1"/>
  <c r="DM57" i="1" a="1"/>
  <c r="DM57" i="1"/>
  <c r="DN57" i="1" a="1"/>
  <c r="DN57" i="1" s="1"/>
  <c r="DO57" i="1" a="1"/>
  <c r="DO57" i="1" s="1"/>
  <c r="DP57" i="1" a="1"/>
  <c r="DP57" i="1" s="1"/>
  <c r="DQ57" i="1" a="1"/>
  <c r="DQ57" i="1"/>
  <c r="DR57" i="1" a="1"/>
  <c r="DR57" i="1" s="1"/>
  <c r="DD58" i="1" a="1"/>
  <c r="DD58" i="1" s="1"/>
  <c r="DE58" i="1" a="1"/>
  <c r="DE58" i="1" s="1"/>
  <c r="DF58" i="1" a="1"/>
  <c r="DF58" i="1"/>
  <c r="DG58" i="1" a="1"/>
  <c r="DG58" i="1" s="1"/>
  <c r="DH58" i="1" a="1"/>
  <c r="DH58" i="1" s="1"/>
  <c r="DI58" i="1" a="1"/>
  <c r="DI58" i="1" s="1"/>
  <c r="DJ58" i="1" a="1"/>
  <c r="DJ58" i="1"/>
  <c r="DK58" i="1" a="1"/>
  <c r="DK58" i="1" s="1"/>
  <c r="DL58" i="1" a="1"/>
  <c r="DL58" i="1" s="1"/>
  <c r="DM58" i="1" a="1"/>
  <c r="DM58" i="1" s="1"/>
  <c r="DN58" i="1" a="1"/>
  <c r="DN58" i="1"/>
  <c r="DO58" i="1" a="1"/>
  <c r="DO58" i="1" s="1"/>
  <c r="DP58" i="1" a="1"/>
  <c r="DP58" i="1" s="1"/>
  <c r="DQ58" i="1" a="1"/>
  <c r="DQ58" i="1" s="1"/>
  <c r="DR58" i="1" a="1"/>
  <c r="DR58" i="1"/>
  <c r="DE2" i="1" a="1"/>
  <c r="DE2" i="1" s="1"/>
  <c r="DF2" i="1" a="1"/>
  <c r="DF2" i="1" s="1"/>
  <c r="DG2" i="1" a="1"/>
  <c r="DG2" i="1" s="1"/>
  <c r="DH2" i="1" a="1"/>
  <c r="DH2" i="1" s="1"/>
  <c r="DI2" i="1" a="1"/>
  <c r="DI2" i="1" s="1"/>
  <c r="DJ2" i="1" a="1"/>
  <c r="DJ2" i="1" s="1"/>
  <c r="DK2" i="1" a="1"/>
  <c r="DK2" i="1" s="1"/>
  <c r="DL2" i="1" a="1"/>
  <c r="DL2" i="1" s="1"/>
  <c r="DM2" i="1" a="1"/>
  <c r="DM2" i="1" s="1"/>
  <c r="DN2" i="1" a="1"/>
  <c r="DN2" i="1" s="1"/>
  <c r="DO2" i="1" a="1"/>
  <c r="DO2" i="1" s="1"/>
  <c r="DP2" i="1" a="1"/>
  <c r="DP2" i="1" s="1"/>
  <c r="DQ2" i="1" a="1"/>
  <c r="DQ2" i="1" s="1"/>
  <c r="DR2" i="1" a="1"/>
  <c r="DR2" i="1" s="1"/>
  <c r="DD2" i="1" a="1"/>
  <c r="DD2" i="1" s="1"/>
  <c r="DD1" i="1"/>
  <c r="DA1" i="1"/>
  <c r="CZ1" i="1"/>
  <c r="CY1" i="1"/>
  <c r="CX1" i="1"/>
  <c r="CW1" i="1"/>
  <c r="CV1" i="1"/>
  <c r="CU1" i="1"/>
  <c r="CT1" i="1"/>
  <c r="CS1" i="1"/>
  <c r="CR1" i="1"/>
  <c r="CQ1" i="1"/>
  <c r="CP1" i="1"/>
  <c r="CO1" i="1"/>
  <c r="CN1" i="1"/>
  <c r="CM1" i="1"/>
  <c r="DF59" i="1" l="1" a="1"/>
  <c r="DF59" i="1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H45" i="2" s="1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J45" i="2"/>
  <c r="I45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DQ1" i="1"/>
  <c r="CI1" i="1"/>
  <c r="AH55" i="1" a="1"/>
  <c r="AH55" i="1" s="1"/>
  <c r="AY55" i="1" s="1"/>
  <c r="AH50" i="1" a="1"/>
  <c r="AH50" i="1" s="1"/>
  <c r="AY50" i="1" s="1"/>
  <c r="AH49" i="1" a="1"/>
  <c r="AH49" i="1" s="1"/>
  <c r="AY49" i="1" s="1"/>
  <c r="AH48" i="1" a="1"/>
  <c r="AH48" i="1" s="1"/>
  <c r="AY48" i="1" s="1"/>
  <c r="AH51" i="1" a="1"/>
  <c r="AH51" i="1" s="1"/>
  <c r="AY51" i="1" s="1"/>
  <c r="AH56" i="1" a="1"/>
  <c r="AH56" i="1" s="1"/>
  <c r="AY56" i="1" s="1"/>
  <c r="AH52" i="1" a="1"/>
  <c r="AH52" i="1" s="1"/>
  <c r="AY52" i="1" s="1"/>
  <c r="AH57" i="1" a="1"/>
  <c r="AH57" i="1" s="1"/>
  <c r="AY57" i="1" s="1"/>
  <c r="AH58" i="1" a="1"/>
  <c r="AH58" i="1" s="1"/>
  <c r="AY58" i="1" s="1"/>
  <c r="AH43" i="1" a="1"/>
  <c r="AH43" i="1" s="1"/>
  <c r="AY43" i="1" s="1"/>
  <c r="AH44" i="1" a="1"/>
  <c r="AH44" i="1" s="1"/>
  <c r="AY44" i="1" s="1"/>
  <c r="AH40" i="1" a="1"/>
  <c r="AH40" i="1" s="1"/>
  <c r="AY40" i="1" s="1"/>
  <c r="AH54" i="1" a="1"/>
  <c r="AH54" i="1" s="1"/>
  <c r="AY54" i="1" s="1"/>
  <c r="AH53" i="1" a="1"/>
  <c r="AH53" i="1" s="1"/>
  <c r="AY53" i="1" s="1"/>
  <c r="AH45" i="1" a="1"/>
  <c r="AH45" i="1" s="1"/>
  <c r="AY45" i="1" s="1"/>
  <c r="AH41" i="1" a="1"/>
  <c r="AH41" i="1" s="1"/>
  <c r="AY41" i="1" s="1"/>
  <c r="AH47" i="1" a="1"/>
  <c r="AH47" i="1" s="1"/>
  <c r="AY47" i="1" s="1"/>
  <c r="AH46" i="1" a="1"/>
  <c r="AH46" i="1" s="1"/>
  <c r="AY46" i="1" s="1"/>
  <c r="AH39" i="1" a="1"/>
  <c r="AH39" i="1" s="1"/>
  <c r="AY39" i="1" s="1"/>
  <c r="AH35" i="1" a="1"/>
  <c r="AH35" i="1" s="1"/>
  <c r="AY35" i="1" s="1"/>
  <c r="AH36" i="1" a="1"/>
  <c r="AH36" i="1" s="1"/>
  <c r="AY36" i="1" s="1"/>
  <c r="AH42" i="1" a="1"/>
  <c r="AH42" i="1" s="1"/>
  <c r="AY42" i="1" s="1"/>
  <c r="AH37" i="1" a="1"/>
  <c r="AH37" i="1" s="1"/>
  <c r="AY37" i="1" s="1"/>
  <c r="AH32" i="1" a="1"/>
  <c r="AH32" i="1" s="1"/>
  <c r="AY32" i="1" s="1"/>
  <c r="AH31" i="1" a="1"/>
  <c r="AH31" i="1" s="1"/>
  <c r="AY31" i="1" s="1"/>
  <c r="AH33" i="1" a="1"/>
  <c r="AH33" i="1" s="1"/>
  <c r="AY33" i="1" s="1"/>
  <c r="AH38" i="1" a="1"/>
  <c r="AH38" i="1" s="1"/>
  <c r="AY38" i="1" s="1"/>
  <c r="AH34" i="1" a="1"/>
  <c r="AH34" i="1" s="1"/>
  <c r="AY34" i="1" s="1"/>
  <c r="AH25" i="1" a="1"/>
  <c r="AH25" i="1" s="1"/>
  <c r="AY25" i="1" s="1"/>
  <c r="AH30" i="1" a="1"/>
  <c r="AH30" i="1" s="1"/>
  <c r="AY30" i="1" s="1"/>
  <c r="AH29" i="1" a="1"/>
  <c r="AH29" i="1" s="1"/>
  <c r="AY29" i="1" s="1"/>
  <c r="AH26" i="1" a="1"/>
  <c r="AH26" i="1" s="1"/>
  <c r="AY26" i="1" s="1"/>
  <c r="AH22" i="1" a="1"/>
  <c r="AH22" i="1" s="1"/>
  <c r="AY22" i="1" s="1"/>
  <c r="AH28" i="1" a="1"/>
  <c r="AH28" i="1" s="1"/>
  <c r="AY28" i="1" s="1"/>
  <c r="AH27" i="1" a="1"/>
  <c r="AH27" i="1" s="1"/>
  <c r="AY27" i="1" s="1"/>
  <c r="AH23" i="1" a="1"/>
  <c r="AH23" i="1" s="1"/>
  <c r="AY23" i="1" s="1"/>
  <c r="AH24" i="1" a="1"/>
  <c r="AH24" i="1" s="1"/>
  <c r="AY24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12" i="1" a="1"/>
  <c r="AH12" i="1" s="1"/>
  <c r="AY12" i="1" s="1"/>
  <c r="AH16" i="1" a="1"/>
  <c r="AH16" i="1" s="1"/>
  <c r="AY16" i="1" s="1"/>
  <c r="AH17" i="1" a="1"/>
  <c r="AH17" i="1" s="1"/>
  <c r="AY17" i="1" s="1"/>
  <c r="AH18" i="1" a="1"/>
  <c r="AH18" i="1" s="1"/>
  <c r="AY18" i="1" s="1"/>
  <c r="AH19" i="1" a="1"/>
  <c r="AH19" i="1" s="1"/>
  <c r="AY19" i="1" s="1"/>
  <c r="AH11" i="1" a="1"/>
  <c r="AH11" i="1" s="1"/>
  <c r="AY11" i="1" s="1"/>
  <c r="AH7" i="1" a="1"/>
  <c r="AH7" i="1" s="1"/>
  <c r="AY7" i="1" s="1"/>
  <c r="BV1" i="1"/>
  <c r="AH6" i="1" a="1"/>
  <c r="AH6" i="1" s="1"/>
  <c r="AY6" i="1" s="1"/>
  <c r="AH3" i="1" a="1"/>
  <c r="AH3" i="1" s="1"/>
  <c r="AY3" i="1" s="1"/>
  <c r="AH5" i="1" a="1"/>
  <c r="AH5" i="1" s="1"/>
  <c r="AY5" i="1" s="1"/>
  <c r="AH10" i="1" a="1"/>
  <c r="AH10" i="1" s="1"/>
  <c r="AY10" i="1" s="1"/>
  <c r="AH20" i="1" a="1"/>
  <c r="AH20" i="1" s="1"/>
  <c r="AY20" i="1" s="1"/>
  <c r="AH9" i="1" a="1"/>
  <c r="AH9" i="1" s="1"/>
  <c r="AY9" i="1" s="1"/>
  <c r="AH8" i="1" a="1"/>
  <c r="AH8" i="1" s="1"/>
  <c r="AY8" i="1" s="1"/>
  <c r="AH2" i="1" a="1"/>
  <c r="AH2" i="1" s="1"/>
  <c r="AY2" i="1" s="1"/>
  <c r="AH4" i="1" a="1"/>
  <c r="AH4" i="1" s="1"/>
  <c r="AY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H18" i="2" l="1"/>
  <c r="H13" i="2"/>
  <c r="H27" i="2"/>
  <c r="H24" i="2"/>
  <c r="H12" i="2"/>
  <c r="H29" i="2"/>
  <c r="H34" i="2"/>
  <c r="H32" i="2"/>
  <c r="H38" i="2"/>
  <c r="H36" i="2"/>
  <c r="H37" i="2"/>
  <c r="H25" i="2"/>
  <c r="H3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1" i="2"/>
  <c r="H33" i="2"/>
  <c r="H30" i="2"/>
  <c r="H26" i="2"/>
  <c r="H22" i="2"/>
  <c r="H28" i="2"/>
  <c r="H23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H4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DL59" i="1" a="1"/>
  <c r="DL59" i="1" s="1"/>
  <c r="F9" i="2"/>
  <c r="F7" i="2"/>
  <c r="F4" i="2"/>
  <c r="F6" i="2"/>
  <c r="F5" i="2"/>
  <c r="F3" i="2"/>
  <c r="F8" i="2"/>
  <c r="DN59" i="1" a="1"/>
  <c r="DN59" i="1" s="1"/>
  <c r="DP59" i="1" a="1"/>
  <c r="DP59" i="1" s="1"/>
  <c r="DJ59" i="1" a="1"/>
  <c r="DJ59" i="1" s="1"/>
  <c r="DQ59" i="1" a="1"/>
  <c r="DQ59" i="1" s="1"/>
  <c r="DE59" i="1" l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J4" i="2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<sst xmlns="http://schemas.openxmlformats.org/spreadsheetml/2006/main" count="1818" uniqueCount="271">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</sst>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CC1" activePane="topRight" state="frozen"/>
      <selection pane="topRight" activeCell="CL12" sqref="CL12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7" t="s">
        <v>5</v>
      </c>
      <c r="O1" s="218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R1</v>
      </c>
      <c r="AI1" s="62" t="str">
        <v>R2</v>
      </c>
      <c r="AJ1" s="62" t="str">
        <v>R3</v>
      </c>
      <c r="AK1" s="62" t="str">
        <v>R4</v>
      </c>
      <c r="AL1" s="62" t="str">
        <v>R5</v>
      </c>
      <c r="AM1" s="62">
        <v>0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R1</v>
      </c>
      <c r="AZ1" s="62" t="str">
        <f t="shared" si="0"/>
        <v>R2</v>
      </c>
      <c r="BA1" s="62" t="str">
        <f t="shared" si="0"/>
        <v>R3</v>
      </c>
      <c r="BB1" s="62" t="str">
        <f t="shared" si="0"/>
        <v>R4</v>
      </c>
      <c r="BC1" s="62" t="str">
        <f t="shared" si="0"/>
        <v>R5</v>
      </c>
      <c r="BD1" s="62">
        <f t="shared" si="0"/>
        <v>0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R1</v>
      </c>
      <c r="BW1" s="62" t="str">
        <f t="shared" si="1"/>
        <v>R2</v>
      </c>
      <c r="BX1" s="62" t="str">
        <f t="shared" si="1"/>
        <v>R3</v>
      </c>
      <c r="BY1" s="62" t="str">
        <f t="shared" si="1"/>
        <v>R4</v>
      </c>
      <c r="BZ1" s="62" t="str">
        <f t="shared" si="1"/>
        <v>R5</v>
      </c>
      <c r="CA1" s="62">
        <f t="shared" si="1"/>
        <v>0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R1</v>
      </c>
      <c r="CN1" s="62" t="str">
        <f t="shared" ref="CN1" si="3">AZ1</f>
        <v>R2</v>
      </c>
      <c r="CO1" s="62" t="str">
        <f t="shared" ref="CO1" si="4">BA1</f>
        <v>R3</v>
      </c>
      <c r="CP1" s="62" t="str">
        <f t="shared" ref="CP1" si="5">BB1</f>
        <v>R4</v>
      </c>
      <c r="CQ1" s="62" t="str">
        <f t="shared" ref="CQ1" si="6">BC1</f>
        <v>R5</v>
      </c>
      <c r="CR1" s="62">
        <f t="shared" ref="CR1" si="7">BD1</f>
        <v>0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 t="shared" ref="DD1:DR1" si="17">AH1</f>
        <v>R1</v>
      </c>
      <c r="DE1" s="62" t="str">
        <f t="shared" si="17"/>
        <v>R2</v>
      </c>
      <c r="DF1" s="62" t="str">
        <f t="shared" si="17"/>
        <v>R3</v>
      </c>
      <c r="DG1" s="62" t="str">
        <f t="shared" si="17"/>
        <v>R4</v>
      </c>
      <c r="DH1" s="62" t="str">
        <f t="shared" si="17"/>
        <v>R5</v>
      </c>
      <c r="DI1" s="62">
        <f t="shared" si="17"/>
        <v>0</v>
      </c>
      <c r="DJ1" s="62">
        <f t="shared" si="17"/>
        <v>0</v>
      </c>
      <c r="DK1" s="62">
        <f t="shared" si="17"/>
        <v>0</v>
      </c>
      <c r="DL1" s="19">
        <f t="shared" si="17"/>
        <v>0</v>
      </c>
      <c r="DM1" s="19">
        <f t="shared" si="17"/>
        <v>0</v>
      </c>
      <c r="DN1" s="19">
        <f t="shared" si="17"/>
        <v>0</v>
      </c>
      <c r="DO1" s="19">
        <f t="shared" si="17"/>
        <v>0</v>
      </c>
      <c r="DP1" s="19">
        <f t="shared" si="17"/>
        <v>0</v>
      </c>
      <c r="DQ1" s="19">
        <f t="shared" si="17"/>
        <v>0</v>
      </c>
      <c r="DR1" s="20">
        <f t="shared" si="17"/>
        <v>0</v>
      </c>
    </row>
    <row r="2" spans="1:138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1" t="s">
        <v>116</v>
      </c>
      <c r="F2" s="207">
        <v>80</v>
      </c>
      <c r="G2" s="208">
        <v>77</v>
      </c>
      <c r="H2" s="208">
        <v>84</v>
      </c>
      <c r="I2" s="208">
        <v>87</v>
      </c>
      <c r="J2" s="208">
        <v>80</v>
      </c>
      <c r="K2" s="208">
        <v>72</v>
      </c>
      <c r="L2" s="208">
        <v>69</v>
      </c>
      <c r="M2" s="214">
        <v>61</v>
      </c>
      <c r="N2" s="20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9">
        <v>0</v>
      </c>
      <c r="P2" s="204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9">
        <v>4.25</v>
      </c>
      <c r="Z2" s="86" t="s">
        <v>171</v>
      </c>
      <c r="AA2" s="81">
        <v>33.28</v>
      </c>
      <c r="AB2" s="81">
        <v>85.62</v>
      </c>
      <c r="AC2" s="87">
        <v>65</v>
      </c>
      <c r="AD2" s="8">
        <v>40</v>
      </c>
      <c r="AE2" s="2">
        <f t="array" ref="AE2:AE16">IFERROR(TRANSPOSE(ROUND(DD59:DR59,0)), "")</f>
        <v>43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72.737805163477404</v>
      </c>
      <c r="AI2" s="131">
        <f t="array" ref="AI2">IF(AI$1=0,"",SQRT((_xlfn.XLOOKUP(AI$1,$Z$2:$Z$18,$AA$2:$AA$18)-$T2)^2+(_xlfn.XLOOKUP(AI$1,$Z$2:$Z$18,$AB$2:$AB$18)-$U2)^2+(_xlfn.XLOOKUP(AI$1,$Z$2:$Z$18,$AC$2:$AC$18-$V2)^2)))</f>
        <v>58.223371595949331</v>
      </c>
      <c r="AJ2" s="131">
        <f t="array" ref="AJ2">IF(AJ$1=0,"",SQRT((_xlfn.XLOOKUP(AJ$1,$Z$2:$Z$18,$AA$2:$AA$18)-$T2)^2+(_xlfn.XLOOKUP(AJ$1,$Z$2:$Z$18,$AB$2:$AB$18)-$U2)^2+(_xlfn.XLOOKUP(AJ$1,$Z$2:$Z$18,$AC$2:$AC$18-$V2)^2)))</f>
        <v>137.67746729221886</v>
      </c>
      <c r="AK2" s="131">
        <f t="array" ref="AK2">IF(AK$1=0,"",SQRT((_xlfn.XLOOKUP(AK$1,$Z$2:$Z$18,$AA$2:$AA$18)-$T2)^2+(_xlfn.XLOOKUP(AK$1,$Z$2:$Z$18,$AB$2:$AB$18)-$U2)^2+(_xlfn.XLOOKUP(AK$1,$Z$2:$Z$18,$AC$2:$AC$18-$V2)^2)))</f>
        <v>215.99785878568338</v>
      </c>
      <c r="AL2" s="131">
        <f t="array" ref="AL2">IF(AL$1=0,"",SQRT((_xlfn.XLOOKUP(AL$1,$Z$2:$Z$18,$AA$2:$AA$18)-$T2)^2+(_xlfn.XLOOKUP(AL$1,$Z$2:$Z$18,$AB$2:$AB$18)-$U2)^2+(_xlfn.XLOOKUP(AL$1,$Z$2:$Z$18,$AC$2:$AC$18-$V2)^2)))</f>
        <v>148.01165933804</v>
      </c>
      <c r="AM2" s="131" t="str">
        <f t="array" ref="AM2">IF(AM$1=0,"",SQRT((_xlfn.XLOOKUP(AM$1,$Z$2:$Z$18,$AA$2:$AA$18)-$T2)^2+(_xlfn.XLOOKUP(AM$1,$Z$2:$Z$18,$AB$2:$AB$18)-$U2)^2+(_xlfn.XLOOKUP(AM$1,$Z$2:$Z$18,$AC$2:$AC$18-$V2)^2)))</f>
        <v/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19">IFERROR(-ABS(10*LOG10(($R2/(4*PI()*CONVERT(AH2,"ft","m")^2)))),0)</f>
        <v>-34.897301781734754</v>
      </c>
      <c r="AZ2" s="136">
        <f t="shared" ref="AZ2:AZ33" si="20">IFERROR(-ABS(10*LOG10(($R2/(4*PI()*CONVERT(AI2,"ft","m")^2)))),0)</f>
        <v>-32.964044955593842</v>
      </c>
      <c r="BA2" s="136">
        <f t="shared" ref="BA2:BA33" si="21">IFERROR(-ABS(10*LOG10(($R2/(4*PI()*CONVERT(AJ2,"ft","m")^2)))),0)</f>
        <v>-40.439355299602148</v>
      </c>
      <c r="BB2" s="136">
        <f t="shared" ref="BB2:BB33" si="22">IFERROR(-ABS(10*LOG10(($R2/(4*PI()*CONVERT(AK2,"ft","m")^2)))),0)</f>
        <v>-44.351086856046258</v>
      </c>
      <c r="BC2" s="136">
        <f t="shared" ref="BC2:BC33" si="23">IFERROR(-ABS(10*LOG10(($R2/(4*PI()*CONVERT(AL2,"ft","m")^2)))),0)</f>
        <v>-41.068016486281692</v>
      </c>
      <c r="BD2" s="136">
        <f t="shared" ref="BD2:BD33" si="24">IFERROR(-ABS(10*LOG10(($R2/(4*PI()*CONVERT(AM2,"ft","m")^2)))),0)</f>
        <v>0</v>
      </c>
      <c r="BE2" s="136">
        <f t="shared" ref="BE2:BE33" si="25">IFERROR(-ABS(10*LOG10(($R2/(4*PI()*CONVERT(AN2,"ft","m")^2)))),0)</f>
        <v>0</v>
      </c>
      <c r="BF2" s="136">
        <f t="shared" ref="BF2:BF33" si="26">IFERROR(-ABS(10*LOG10(($R2/(4*PI()*CONVERT(AO2,"ft","m")^2)))),0)</f>
        <v>0</v>
      </c>
      <c r="BG2" s="137">
        <f t="shared" ref="BG2:BG33" si="27">IFERROR(-ABS(10*LOG10(($R2/(4*PI()*CONVERT(AP2,"ft","m")^2)))),0)</f>
        <v>0</v>
      </c>
      <c r="BH2" s="137">
        <f t="shared" ref="BH2:BH33" si="28">IFERROR(-ABS(10*LOG10(($R2/(4*PI()*CONVERT(AQ2,"ft","m")^2)))),0)</f>
        <v>0</v>
      </c>
      <c r="BI2" s="137">
        <f t="shared" ref="BI2:BI33" si="29">IFERROR(-ABS(10*LOG10(($R2/(4*PI()*CONVERT(AR2,"ft","m")^2)))),0)</f>
        <v>0</v>
      </c>
      <c r="BJ2" s="137">
        <f t="shared" ref="BJ2:BJ33" si="30">IFERROR(-ABS(10*LOG10(($R2/(4*PI()*CONVERT(AS2,"ft","m")^2)))),0)</f>
        <v>0</v>
      </c>
      <c r="BK2" s="137">
        <f t="shared" ref="BK2:BK33" si="31">IFERROR(-ABS(10*LOG10(($R2/(4*PI()*CONVERT(AT2,"ft","m")^2)))),0)</f>
        <v>0</v>
      </c>
      <c r="BL2" s="137">
        <f t="shared" ref="BL2:BL33" si="32">IFERROR(-ABS(10*LOG10(($R2/(4*PI()*CONVERT(AU2,"ft","m")^2)))),0)</f>
        <v>0</v>
      </c>
      <c r="BM2" s="138">
        <f t="shared" ref="BM2:BM33" si="33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140">
        <v>11.5</v>
      </c>
      <c r="BW2" s="140">
        <v>16.899999999999999</v>
      </c>
      <c r="BX2" s="140">
        <v>16.8</v>
      </c>
      <c r="BY2" s="140">
        <v>17.399999999999999</v>
      </c>
      <c r="BZ2" s="140">
        <v>14.3</v>
      </c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L2" s="139" t="s">
        <v>270</v>
      </c>
      <c r="CM2" s="140" t="s">
        <v>32</v>
      </c>
      <c r="CN2" s="140" t="s">
        <v>32</v>
      </c>
      <c r="CO2" s="140" t="s">
        <v>32</v>
      </c>
      <c r="CP2" s="140" t="s">
        <v>32</v>
      </c>
      <c r="CQ2" s="140" t="s">
        <v>32</v>
      </c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34"/>
      <c r="DC2" s="134" t="s">
        <v>26</v>
      </c>
      <c r="DD2" s="141" cm="1">
        <f t="array" ref="DD2">_xlfn.IFS(DD$1= 0,"", NOT(ISBLANK(CM2)), 0, ISBLANK(CM2), $Q2-$S2+AY2-BV2)</f>
        <v>0</v>
      </c>
      <c r="DE2" s="142" cm="1">
        <f t="array" ref="DE2">_xlfn.IFS(DE$1= 0,"", NOT(ISBLANK(CN2)), 0, ISBLANK(CN2), $Q2-$S2+AZ2-BW2)</f>
        <v>0</v>
      </c>
      <c r="DF2" s="142" cm="1">
        <f t="array" ref="DF2">_xlfn.IFS(DF$1= 0,"", NOT(ISBLANK(CO2)), 0, ISBLANK(CO2), $Q2-$S2+BA2-BX2)</f>
        <v>0</v>
      </c>
      <c r="DG2" s="142" cm="1">
        <f t="array" ref="DG2">_xlfn.IFS(DG$1= 0,"", NOT(ISBLANK(CP2)), 0, ISBLANK(CP2), $Q2-$S2+BB2-BY2)</f>
        <v>0</v>
      </c>
      <c r="DH2" s="142" cm="1">
        <f t="array" ref="DH2">_xlfn.IFS(DH$1= 0,"", NOT(ISBLANK(CQ2)), 0, ISBLANK(CQ2), $Q2-$S2+BC2-BZ2)</f>
        <v>0</v>
      </c>
      <c r="DI2" s="142" t="str" cm="1">
        <f t="array" ref="DI2">_xlfn.IFS(DI$1= 0,"", NOT(ISBLANK(CR2)), 0, ISBLANK(CR2), $Q2-$S2+BD2-CA2)</f>
        <v/>
      </c>
      <c r="DJ2" s="142" t="str" cm="1">
        <f t="array" ref="DJ2">_xlfn.IFS(DJ$1= 0,"", NOT(ISBLANK(CS2)), 0, ISBLANK(CS2), $Q2-$S2+BE2-CB2)</f>
        <v/>
      </c>
      <c r="DK2" s="142" t="str" cm="1">
        <f t="array" ref="DK2">_xlfn.IFS(DK$1= 0,"", NOT(ISBLANK(CT2)), 0, ISBLANK(CT2), $Q2-$S2+BF2-CC2)</f>
        <v/>
      </c>
      <c r="DL2" s="143" t="str" cm="1">
        <f t="array" ref="DL2">_xlfn.IFS(DL$1= 0,"", NOT(ISBLANK(CU2)), 0, ISBLANK(CU2), $Q2-$S2+BG2-CD2)</f>
        <v/>
      </c>
      <c r="DM2" s="143" t="str" cm="1">
        <f t="array" ref="DM2">_xlfn.IFS(DM$1= 0,"", NOT(ISBLANK(CV2)), 0, ISBLANK(CV2), $Q2-$S2+BH2-CE2)</f>
        <v/>
      </c>
      <c r="DN2" s="143" t="str" cm="1">
        <f t="array" ref="DN2">_xlfn.IFS(DN$1= 0,"", NOT(ISBLANK(CW2)), 0, ISBLANK(CW2), $Q2-$S2+BI2-CF2)</f>
        <v/>
      </c>
      <c r="DO2" s="143" t="str" cm="1">
        <f t="array" ref="DO2">_xlfn.IFS(DO$1= 0,"", NOT(ISBLANK(CX2)), 0, ISBLANK(CX2), $Q2-$S2+BJ2-CG2)</f>
        <v/>
      </c>
      <c r="DP2" s="143" t="str" cm="1">
        <f t="array" ref="DP2">_xlfn.IFS(DP$1= 0,"", NOT(ISBLANK(CY2)), 0, ISBLANK(CY2), $Q2-$S2+BK2-CH2)</f>
        <v/>
      </c>
      <c r="DQ2" s="143" t="str" cm="1">
        <f t="array" ref="DQ2">_xlfn.IFS(DQ$1= 0,"", NOT(ISBLANK(CZ2)), 0, ISBLANK(CZ2), $Q2-$S2+BL2-CI2)</f>
        <v/>
      </c>
      <c r="DR2" s="14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2" t="s">
        <v>119</v>
      </c>
      <c r="F3" s="210">
        <v>91</v>
      </c>
      <c r="G3" s="211">
        <v>92</v>
      </c>
      <c r="H3" s="211">
        <v>95</v>
      </c>
      <c r="I3" s="211">
        <v>89</v>
      </c>
      <c r="J3" s="211">
        <v>86</v>
      </c>
      <c r="K3" s="211">
        <v>76</v>
      </c>
      <c r="L3" s="211">
        <v>72</v>
      </c>
      <c r="M3" s="215">
        <v>67</v>
      </c>
      <c r="N3" s="21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2">
        <v>0</v>
      </c>
      <c r="P3" s="205">
        <v>1</v>
      </c>
      <c r="Q3" s="12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8">
        <v>2.5</v>
      </c>
      <c r="Z3" s="9" t="s">
        <v>28</v>
      </c>
      <c r="AA3" s="4">
        <v>104.62</v>
      </c>
      <c r="AB3" s="4">
        <v>52.77</v>
      </c>
      <c r="AC3" s="87">
        <v>40</v>
      </c>
      <c r="AD3" s="8">
        <v>40</v>
      </c>
      <c r="AE3" s="2">
        <v>31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126.38761371273691</v>
      </c>
      <c r="AI3" s="150">
        <f t="array" ref="AI3">IF(AI$1=0,"",SQRT((_xlfn.XLOOKUP(AI$1,$Z$2:$Z$18,$AA$2:$AA$18)-$T3)^2+(_xlfn.XLOOKUP(AI$1,$Z$2:$Z$18,$AB$2:$AB$18)-$U3)^2+(_xlfn.XLOOKUP(AI$1,$Z$2:$Z$18,$AC$2:$AC$18-$V3)^2)))</f>
        <v>91.034238613831448</v>
      </c>
      <c r="AJ3" s="150">
        <f t="array" ref="AJ3">IF(AJ$1=0,"",SQRT((_xlfn.XLOOKUP(AJ$1,$Z$2:$Z$18,$AA$2:$AA$18)-$T3)^2+(_xlfn.XLOOKUP(AJ$1,$Z$2:$Z$18,$AB$2:$AB$18)-$U3)^2+(_xlfn.XLOOKUP(AJ$1,$Z$2:$Z$18,$AC$2:$AC$18-$V3)^2)))</f>
        <v>118.30890245454903</v>
      </c>
      <c r="AK3" s="150">
        <f t="array" ref="AK3">IF(AK$1=0,"",SQRT((_xlfn.XLOOKUP(AK$1,$Z$2:$Z$18,$AA$2:$AA$18)-$T3)^2+(_xlfn.XLOOKUP(AK$1,$Z$2:$Z$18,$AB$2:$AB$18)-$U3)^2+(_xlfn.XLOOKUP(AK$1,$Z$2:$Z$18,$AC$2:$AC$18-$V3)^2)))</f>
        <v>169.69045170545101</v>
      </c>
      <c r="AL3" s="150">
        <f t="array" ref="AL3">IF(AL$1=0,"",SQRT((_xlfn.XLOOKUP(AL$1,$Z$2:$Z$18,$AA$2:$AA$18)-$T3)^2+(_xlfn.XLOOKUP(AL$1,$Z$2:$Z$18,$AB$2:$AB$18)-$U3)^2+(_xlfn.XLOOKUP(AL$1,$Z$2:$Z$18,$AC$2:$AC$18-$V3)^2)))</f>
        <v>169.61754773607595</v>
      </c>
      <c r="AM3" s="150" t="str">
        <f t="array" ref="AM3">IF(AM$1=0,"",SQRT((_xlfn.XLOOKUP(AM$1,$Z$2:$Z$18,$AA$2:$AA$18)-$T3)^2+(_xlfn.XLOOKUP(AM$1,$Z$2:$Z$18,$AB$2:$AB$18)-$U3)^2+(_xlfn.XLOOKUP(AM$1,$Z$2:$Z$18,$AC$2:$AC$18-$V3)^2)))</f>
        <v/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19"/>
        <v>-39.696188219689965</v>
      </c>
      <c r="AZ3" s="153">
        <f t="shared" si="20"/>
        <v>-36.846193221687557</v>
      </c>
      <c r="BA3" s="153">
        <f t="shared" si="21"/>
        <v>-39.122446445960684</v>
      </c>
      <c r="BB3" s="153">
        <f t="shared" si="22"/>
        <v>-42.255246051606584</v>
      </c>
      <c r="BC3" s="153">
        <f t="shared" si="23"/>
        <v>-42.251513538120584</v>
      </c>
      <c r="BD3" s="153">
        <f t="shared" si="24"/>
        <v>0</v>
      </c>
      <c r="BE3" s="153">
        <f t="shared" si="25"/>
        <v>0</v>
      </c>
      <c r="BF3" s="153">
        <f t="shared" si="26"/>
        <v>0</v>
      </c>
      <c r="BG3" s="154">
        <f t="shared" si="27"/>
        <v>0</v>
      </c>
      <c r="BH3" s="154">
        <f t="shared" si="28"/>
        <v>0</v>
      </c>
      <c r="BI3" s="154">
        <f t="shared" si="29"/>
        <v>0</v>
      </c>
      <c r="BJ3" s="154">
        <f t="shared" si="30"/>
        <v>0</v>
      </c>
      <c r="BK3" s="154">
        <f t="shared" si="31"/>
        <v>0</v>
      </c>
      <c r="BL3" s="154">
        <f t="shared" si="32"/>
        <v>0</v>
      </c>
      <c r="BM3" s="155">
        <f t="shared" si="33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140">
        <v>12.6</v>
      </c>
      <c r="BW3" s="140">
        <v>17.600000000000001</v>
      </c>
      <c r="BX3" s="140">
        <v>18.899999999999999</v>
      </c>
      <c r="BY3" s="140">
        <v>15.3</v>
      </c>
      <c r="BZ3" s="140">
        <v>12.9</v>
      </c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L3" s="134"/>
      <c r="CM3" s="140" t="s">
        <v>32</v>
      </c>
      <c r="CN3" s="140" t="s">
        <v>32</v>
      </c>
      <c r="CO3" s="140" t="s">
        <v>32</v>
      </c>
      <c r="CP3" s="140" t="s">
        <v>32</v>
      </c>
      <c r="CQ3" s="140" t="s">
        <v>32</v>
      </c>
      <c r="CR3" s="140"/>
      <c r="CS3" s="140"/>
      <c r="CT3" s="140"/>
      <c r="CU3" s="140"/>
      <c r="CV3" s="140"/>
      <c r="CW3" s="140"/>
      <c r="CX3" s="140"/>
      <c r="CY3" s="140"/>
      <c r="CZ3" s="140"/>
      <c r="DA3" s="140"/>
      <c r="DB3" s="134"/>
      <c r="DC3" s="134"/>
      <c r="DD3" s="156" cm="1">
        <f t="array" ref="DD3">_xlfn.IFS(DD$1= 0,"", NOT(ISBLANK(CM3)), 0, ISBLANK(CM3), $Q3-$S3+AY3-BV3)</f>
        <v>0</v>
      </c>
      <c r="DE3" s="157" cm="1">
        <f t="array" ref="DE3">_xlfn.IFS(DE$1= 0,"", NOT(ISBLANK(CN3)), 0, ISBLANK(CN3), $Q3-$S3+AZ3-BW3)</f>
        <v>0</v>
      </c>
      <c r="DF3" s="157" cm="1">
        <f t="array" ref="DF3">_xlfn.IFS(DF$1= 0,"", NOT(ISBLANK(CO3)), 0, ISBLANK(CO3), $Q3-$S3+BA3-BX3)</f>
        <v>0</v>
      </c>
      <c r="DG3" s="157" cm="1">
        <f t="array" ref="DG3">_xlfn.IFS(DG$1= 0,"", NOT(ISBLANK(CP3)), 0, ISBLANK(CP3), $Q3-$S3+BB3-BY3)</f>
        <v>0</v>
      </c>
      <c r="DH3" s="157" cm="1">
        <f t="array" ref="DH3">_xlfn.IFS(DH$1= 0,"", NOT(ISBLANK(CQ3)), 0, ISBLANK(CQ3), $Q3-$S3+BC3-BZ3)</f>
        <v>0</v>
      </c>
      <c r="DI3" s="157" t="str" cm="1">
        <f t="array" ref="DI3">_xlfn.IFS(DI$1= 0,"", NOT(ISBLANK(CR3)), 0, ISBLANK(CR3), $Q3-$S3+BD3-CA3)</f>
        <v/>
      </c>
      <c r="DJ3" s="157" t="str" cm="1">
        <f t="array" ref="DJ3">_xlfn.IFS(DJ$1= 0,"", NOT(ISBLANK(CS3)), 0, ISBLANK(CS3), $Q3-$S3+BE3-CB3)</f>
        <v/>
      </c>
      <c r="DK3" s="157" t="str" cm="1">
        <f t="array" ref="DK3">_xlfn.IFS(DK$1= 0,"", NOT(ISBLANK(CT3)), 0, ISBLANK(CT3), $Q3-$S3+BF3-CC3)</f>
        <v/>
      </c>
      <c r="DL3" s="158" t="str" cm="1">
        <f t="array" ref="DL3">_xlfn.IFS(DL$1= 0,"", NOT(ISBLANK(CU3)), 0, ISBLANK(CU3), $Q3-$S3+BG3-CD3)</f>
        <v/>
      </c>
      <c r="DM3" s="158" t="str" cm="1">
        <f t="array" ref="DM3">_xlfn.IFS(DM$1= 0,"", NOT(ISBLANK(CV3)), 0, ISBLANK(CV3), $Q3-$S3+BH3-CE3)</f>
        <v/>
      </c>
      <c r="DN3" s="158" t="str" cm="1">
        <f t="array" ref="DN3">_xlfn.IFS(DN$1= 0,"", NOT(ISBLANK(CW3)), 0, ISBLANK(CW3), $Q3-$S3+BI3-CF3)</f>
        <v/>
      </c>
      <c r="DO3" s="158" t="str" cm="1">
        <f t="array" ref="DO3">_xlfn.IFS(DO$1= 0,"", NOT(ISBLANK(CX3)), 0, ISBLANK(CX3), $Q3-$S3+BJ3-CG3)</f>
        <v/>
      </c>
      <c r="DP3" s="143" t="str" cm="1">
        <f t="array" ref="DP3">_xlfn.IFS(DP$1= 0,"", NOT(ISBLANK(CY3)), 0, ISBLANK(CY3), $Q3-$S3+BK3-CH3)</f>
        <v/>
      </c>
      <c r="DQ3" s="143" t="str" cm="1">
        <f t="array" ref="DQ3">_xlfn.IFS(DQ$1= 0,"", NOT(ISBLANK(CZ3)), 0, ISBLANK(CZ3), $Q3-$S3+BL3-CI3)</f>
        <v/>
      </c>
      <c r="DR3" s="144" t="str" cm="1">
        <f t="array" ref="DR3">_xlfn.IFS(DR$1= 0,"", NOT(ISBLANK(DA3)), 0, ISBLANK(DA3), $Q3-$S3+BM3-CJ3)</f>
        <v/>
      </c>
    </row>
    <row r="4" spans="1:138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2" t="s">
        <v>123</v>
      </c>
      <c r="F4" s="210">
        <v>88</v>
      </c>
      <c r="G4" s="211">
        <v>88</v>
      </c>
      <c r="H4" s="211">
        <v>83</v>
      </c>
      <c r="I4" s="211">
        <v>78</v>
      </c>
      <c r="J4" s="211">
        <v>77</v>
      </c>
      <c r="K4" s="211">
        <v>73</v>
      </c>
      <c r="L4" s="211">
        <v>65</v>
      </c>
      <c r="M4" s="215">
        <v>58</v>
      </c>
      <c r="N4" s="21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2">
        <v>0</v>
      </c>
      <c r="P4" s="205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8">
        <v>5</v>
      </c>
      <c r="Z4" s="9" t="s">
        <v>172</v>
      </c>
      <c r="AA4" s="4">
        <v>217.01</v>
      </c>
      <c r="AB4" s="4">
        <v>22.5</v>
      </c>
      <c r="AC4" s="87">
        <v>60</v>
      </c>
      <c r="AD4" s="8">
        <v>40</v>
      </c>
      <c r="AE4" s="2">
        <v>24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184.640954286962</v>
      </c>
      <c r="AI4" s="150">
        <f t="array" ref="AI4">IF(AI$1=0,"",SQRT((_xlfn.XLOOKUP(AI$1,$Z$2:$Z$18,$AA$2:$AA$18)-$T4)^2+(_xlfn.XLOOKUP(AI$1,$Z$2:$Z$18,$AB$2:$AB$18)-$U4)^2+(_xlfn.XLOOKUP(AI$1,$Z$2:$Z$18,$AC$2:$AC$18-$V4)^2)))</f>
        <v>113.24414554404125</v>
      </c>
      <c r="AJ4" s="150">
        <f t="array" ref="AJ4">IF(AJ$1=0,"",SQRT((_xlfn.XLOOKUP(AJ$1,$Z$2:$Z$18,$AA$2:$AA$18)-$T4)^2+(_xlfn.XLOOKUP(AJ$1,$Z$2:$Z$18,$AB$2:$AB$18)-$U4)^2+(_xlfn.XLOOKUP(AJ$1,$Z$2:$Z$18,$AC$2:$AC$18-$V4)^2)))</f>
        <v>21.845010872050398</v>
      </c>
      <c r="AK4" s="150">
        <f t="array" ref="AK4">IF(AK$1=0,"",SQRT((_xlfn.XLOOKUP(AK$1,$Z$2:$Z$18,$AA$2:$AA$18)-$T4)^2+(_xlfn.XLOOKUP(AK$1,$Z$2:$Z$18,$AB$2:$AB$18)-$U4)^2+(_xlfn.XLOOKUP(AK$1,$Z$2:$Z$18,$AC$2:$AC$18-$V4)^2)))</f>
        <v>121.72332767386868</v>
      </c>
      <c r="AL4" s="150">
        <f t="array" ref="AL4">IF(AL$1=0,"",SQRT((_xlfn.XLOOKUP(AL$1,$Z$2:$Z$18,$AA$2:$AA$18)-$T4)^2+(_xlfn.XLOOKUP(AL$1,$Z$2:$Z$18,$AB$2:$AB$18)-$U4)^2+(_xlfn.XLOOKUP(AL$1,$Z$2:$Z$18,$AC$2:$AC$18-$V4)^2)))</f>
        <v>266.20872149499536</v>
      </c>
      <c r="AM4" s="150" t="str">
        <f t="array" ref="AM4">IF(AM$1=0,"",SQRT((_xlfn.XLOOKUP(AM$1,$Z$2:$Z$18,$AA$2:$AA$18)-$T4)^2+(_xlfn.XLOOKUP(AM$1,$Z$2:$Z$18,$AB$2:$AB$18)-$U4)^2+(_xlfn.XLOOKUP(AM$1,$Z$2:$Z$18,$AC$2:$AC$18-$V4)^2)))</f>
        <v/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19"/>
        <v>-42.988658658179418</v>
      </c>
      <c r="AZ4" s="153">
        <f t="shared" si="20"/>
        <v>-38.742413122172678</v>
      </c>
      <c r="BA4" s="153">
        <f t="shared" si="21"/>
        <v>-24.4491432407284</v>
      </c>
      <c r="BB4" s="153">
        <f t="shared" si="22"/>
        <v>-39.369574268861413</v>
      </c>
      <c r="BC4" s="153">
        <f t="shared" si="23"/>
        <v>-46.166543530336916</v>
      </c>
      <c r="BD4" s="153">
        <f t="shared" si="24"/>
        <v>0</v>
      </c>
      <c r="BE4" s="153">
        <f t="shared" si="25"/>
        <v>0</v>
      </c>
      <c r="BF4" s="153">
        <f t="shared" si="26"/>
        <v>0</v>
      </c>
      <c r="BG4" s="154">
        <f t="shared" si="27"/>
        <v>0</v>
      </c>
      <c r="BH4" s="154">
        <f t="shared" si="28"/>
        <v>0</v>
      </c>
      <c r="BI4" s="154">
        <f t="shared" si="29"/>
        <v>0</v>
      </c>
      <c r="BJ4" s="154">
        <f t="shared" si="30"/>
        <v>0</v>
      </c>
      <c r="BK4" s="154">
        <f t="shared" si="31"/>
        <v>0</v>
      </c>
      <c r="BL4" s="154">
        <f t="shared" si="32"/>
        <v>0</v>
      </c>
      <c r="BM4" s="155">
        <f t="shared" si="33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>
        <v>7</v>
      </c>
      <c r="BW4" s="140">
        <v>15.9</v>
      </c>
      <c r="BX4" s="140">
        <v>15.3</v>
      </c>
      <c r="BY4" s="140">
        <v>13.8</v>
      </c>
      <c r="BZ4" s="140">
        <v>15</v>
      </c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L4" s="134"/>
      <c r="CM4" s="140" t="s">
        <v>32</v>
      </c>
      <c r="CN4" s="140" t="s">
        <v>32</v>
      </c>
      <c r="CO4" s="140" t="s">
        <v>32</v>
      </c>
      <c r="CP4" s="140" t="s">
        <v>32</v>
      </c>
      <c r="CQ4" s="140" t="s">
        <v>32</v>
      </c>
      <c r="CR4" s="140"/>
      <c r="CS4" s="140"/>
      <c r="CT4" s="140"/>
      <c r="CU4" s="140"/>
      <c r="CV4" s="140"/>
      <c r="CW4" s="140"/>
      <c r="CX4" s="140"/>
      <c r="CY4" s="140"/>
      <c r="CZ4" s="140"/>
      <c r="DA4" s="140"/>
      <c r="DB4" s="134"/>
      <c r="DC4" s="134"/>
      <c r="DD4" s="141" cm="1">
        <f t="array" ref="DD4">_xlfn.IFS(DD$1= 0,"", NOT(ISBLANK(CM4)), 0, ISBLANK(CM4), $Q4-$S4+AY4-BV4)</f>
        <v>0</v>
      </c>
      <c r="DE4" s="142" cm="1">
        <f t="array" ref="DE4">_xlfn.IFS(DE$1= 0,"", NOT(ISBLANK(CN4)), 0, ISBLANK(CN4), $Q4-$S4+AZ4-BW4)</f>
        <v>0</v>
      </c>
      <c r="DF4" s="142" cm="1">
        <f t="array" ref="DF4">_xlfn.IFS(DF$1= 0,"", NOT(ISBLANK(CO4)), 0, ISBLANK(CO4), $Q4-$S4+BA4-BX4)</f>
        <v>0</v>
      </c>
      <c r="DG4" s="142" cm="1">
        <f t="array" ref="DG4">_xlfn.IFS(DG$1= 0,"", NOT(ISBLANK(CP4)), 0, ISBLANK(CP4), $Q4-$S4+BB4-BY4)</f>
        <v>0</v>
      </c>
      <c r="DH4" s="142" cm="1">
        <f t="array" ref="DH4">_xlfn.IFS(DH$1= 0,"", NOT(ISBLANK(CQ4)), 0, ISBLANK(CQ4), $Q4-$S4+BC4-BZ4)</f>
        <v>0</v>
      </c>
      <c r="DI4" s="142" t="str" cm="1">
        <f t="array" ref="DI4">_xlfn.IFS(DI$1= 0,"", NOT(ISBLANK(CR4)), 0, ISBLANK(CR4), $Q4-$S4+BD4-CA4)</f>
        <v/>
      </c>
      <c r="DJ4" s="142" t="str" cm="1">
        <f t="array" ref="DJ4">_xlfn.IFS(DJ$1= 0,"", NOT(ISBLANK(CS4)), 0, ISBLANK(CS4), $Q4-$S4+BE4-CB4)</f>
        <v/>
      </c>
      <c r="DK4" s="142" t="str" cm="1">
        <f t="array" ref="DK4">_xlfn.IFS(DK$1= 0,"", NOT(ISBLANK(CT4)), 0, ISBLANK(CT4), $Q4-$S4+BF4-CC4)</f>
        <v/>
      </c>
      <c r="DL4" s="143" t="str" cm="1">
        <f t="array" ref="DL4">_xlfn.IFS(DL$1= 0,"", NOT(ISBLANK(CU4)), 0, ISBLANK(CU4), $Q4-$S4+BG4-CD4)</f>
        <v/>
      </c>
      <c r="DM4" s="143" t="str" cm="1">
        <f t="array" ref="DM4">_xlfn.IFS(DM$1= 0,"", NOT(ISBLANK(CV4)), 0, ISBLANK(CV4), $Q4-$S4+BH4-CE4)</f>
        <v/>
      </c>
      <c r="DN4" s="143" t="str" cm="1">
        <f t="array" ref="DN4">_xlfn.IFS(DN$1= 0,"", NOT(ISBLANK(CW4)), 0, ISBLANK(CW4), $Q4-$S4+BI4-CF4)</f>
        <v/>
      </c>
      <c r="DO4" s="143" t="str" cm="1">
        <f t="array" ref="DO4">_xlfn.IFS(DO$1= 0,"", NOT(ISBLANK(CX4)), 0, ISBLANK(CX4), $Q4-$S4+BJ4-CG4)</f>
        <v/>
      </c>
      <c r="DP4" s="143" t="str" cm="1">
        <f t="array" ref="DP4">_xlfn.IFS(DP$1= 0,"", NOT(ISBLANK(CY4)), 0, ISBLANK(CY4), $Q4-$S4+BK4-CH4)</f>
        <v/>
      </c>
      <c r="DQ4" s="143" t="str" cm="1">
        <f t="array" ref="DQ4">_xlfn.IFS(DQ$1= 0,"", NOT(ISBLANK(CZ4)), 0, ISBLANK(CZ4), $Q4-$S4+BL4-CI4)</f>
        <v/>
      </c>
      <c r="DR4" s="144" t="str" cm="1">
        <f t="array" ref="DR4">_xlfn.IFS(DR$1= 0,"", NOT(ISBLANK(DA4)), 0, ISBLANK(DA4), $Q4-$S4+BM4-CJ4)</f>
        <v/>
      </c>
    </row>
    <row r="5" spans="1:138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2" t="s">
        <v>126</v>
      </c>
      <c r="F5" s="210">
        <v>81</v>
      </c>
      <c r="G5" s="211">
        <v>79</v>
      </c>
      <c r="H5" s="211">
        <v>73</v>
      </c>
      <c r="I5" s="211">
        <v>66</v>
      </c>
      <c r="J5" s="211">
        <v>61</v>
      </c>
      <c r="K5" s="211">
        <v>59</v>
      </c>
      <c r="L5" s="211">
        <v>50</v>
      </c>
      <c r="M5" s="215">
        <v>43</v>
      </c>
      <c r="N5" s="21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2">
        <v>0</v>
      </c>
      <c r="P5" s="205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8">
        <v>2</v>
      </c>
      <c r="Z5" s="9" t="s">
        <v>173</v>
      </c>
      <c r="AA5" s="4">
        <v>316.86</v>
      </c>
      <c r="AB5" s="4">
        <v>86.55</v>
      </c>
      <c r="AC5" s="87">
        <v>40</v>
      </c>
      <c r="AD5" s="8">
        <v>40</v>
      </c>
      <c r="AE5" s="2">
        <v>21</v>
      </c>
      <c r="AH5" s="149">
        <f t="array" ref="AH5">IF(AH$1=0,"",SQRT((_xlfn.XLOOKUP(AH$1,$Z$2:$Z$18,$AA$2:$AA$18)-$T5)^2+(_xlfn.XLOOKUP(AH$1,$Z$2:$Z$18,$AB$2:$AB$18)-$U5)^2+(_xlfn.XLOOKUP(AH$1,$Z$2:$Z$18,$AC$2:$AC$18-$V5)^2)))</f>
        <v>141.54560996371453</v>
      </c>
      <c r="AI5" s="150">
        <f t="array" ref="AI5">IF(AI$1=0,"",SQRT((_xlfn.XLOOKUP(AI$1,$Z$2:$Z$18,$AA$2:$AA$18)-$T5)^2+(_xlfn.XLOOKUP(AI$1,$Z$2:$Z$18,$AB$2:$AB$18)-$U5)^2+(_xlfn.XLOOKUP(AI$1,$Z$2:$Z$18,$AC$2:$AC$18-$V5)^2)))</f>
        <v>100.42628440801741</v>
      </c>
      <c r="AJ5" s="150">
        <f t="array" ref="AJ5">IF(AJ$1=0,"",SQRT((_xlfn.XLOOKUP(AJ$1,$Z$2:$Z$18,$AA$2:$AA$18)-$T5)^2+(_xlfn.XLOOKUP(AJ$1,$Z$2:$Z$18,$AB$2:$AB$18)-$U5)^2+(_xlfn.XLOOKUP(AJ$1,$Z$2:$Z$18,$AC$2:$AC$18-$V5)^2)))</f>
        <v>110.82579122207972</v>
      </c>
      <c r="AK5" s="150">
        <f t="array" ref="AK5">IF(AK$1=0,"",SQRT((_xlfn.XLOOKUP(AK$1,$Z$2:$Z$18,$AA$2:$AA$18)-$T5)^2+(_xlfn.XLOOKUP(AK$1,$Z$2:$Z$18,$AB$2:$AB$18)-$U5)^2+(_xlfn.XLOOKUP(AK$1,$Z$2:$Z$18,$AC$2:$AC$18-$V5)^2)))</f>
        <v>154.57179885089002</v>
      </c>
      <c r="AL5" s="150">
        <f t="array" ref="AL5">IF(AL$1=0,"",SQRT((_xlfn.XLOOKUP(AL$1,$Z$2:$Z$18,$AA$2:$AA$18)-$T5)^2+(_xlfn.XLOOKUP(AL$1,$Z$2:$Z$18,$AB$2:$AB$18)-$U5)^2+(_xlfn.XLOOKUP(AL$1,$Z$2:$Z$18,$AC$2:$AC$18-$V5)^2)))</f>
        <v>182.67696105420632</v>
      </c>
      <c r="AM5" s="150" t="str">
        <f t="array" ref="AM5">IF(AM$1=0,"",SQRT((_xlfn.XLOOKUP(AM$1,$Z$2:$Z$18,$AA$2:$AA$18)-$T5)^2+(_xlfn.XLOOKUP(AM$1,$Z$2:$Z$18,$AB$2:$AB$18)-$U5)^2+(_xlfn.XLOOKUP(AM$1,$Z$2:$Z$18,$AC$2:$AC$18-$V5)^2)))</f>
        <v/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19"/>
        <v>-40.680026022314799</v>
      </c>
      <c r="AZ5" s="153">
        <f t="shared" si="20"/>
        <v>-37.69904583442603</v>
      </c>
      <c r="BA5" s="153">
        <f t="shared" si="21"/>
        <v>-38.554914748028075</v>
      </c>
      <c r="BB5" s="153">
        <f t="shared" si="22"/>
        <v>-41.444703159284522</v>
      </c>
      <c r="BC5" s="153">
        <f t="shared" si="23"/>
        <v>-42.895773501612965</v>
      </c>
      <c r="BD5" s="153">
        <f t="shared" si="24"/>
        <v>0</v>
      </c>
      <c r="BE5" s="153">
        <f t="shared" si="25"/>
        <v>0</v>
      </c>
      <c r="BF5" s="153">
        <f t="shared" si="26"/>
        <v>0</v>
      </c>
      <c r="BG5" s="154">
        <f t="shared" si="27"/>
        <v>0</v>
      </c>
      <c r="BH5" s="154">
        <f t="shared" si="28"/>
        <v>0</v>
      </c>
      <c r="BI5" s="154">
        <f t="shared" si="29"/>
        <v>0</v>
      </c>
      <c r="BJ5" s="154">
        <f t="shared" si="30"/>
        <v>0</v>
      </c>
      <c r="BK5" s="154">
        <f t="shared" si="31"/>
        <v>0</v>
      </c>
      <c r="BL5" s="154">
        <f t="shared" si="32"/>
        <v>0</v>
      </c>
      <c r="BM5" s="155">
        <f t="shared" si="33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>
        <v>11</v>
      </c>
      <c r="BW5" s="140">
        <v>15.3</v>
      </c>
      <c r="BX5" s="140">
        <v>17.7</v>
      </c>
      <c r="BY5" s="140">
        <v>13.1</v>
      </c>
      <c r="BZ5" s="140">
        <v>11.6</v>
      </c>
      <c r="CA5" s="140"/>
      <c r="CB5" s="140"/>
      <c r="CC5" s="140"/>
      <c r="CD5" s="140"/>
      <c r="CE5" s="140"/>
      <c r="CF5" s="140"/>
      <c r="CG5" s="140"/>
      <c r="CH5" s="140"/>
      <c r="CI5" s="140"/>
      <c r="CJ5" s="140"/>
      <c r="CL5" s="134"/>
      <c r="CM5" s="140" t="s">
        <v>32</v>
      </c>
      <c r="CN5" s="140" t="s">
        <v>32</v>
      </c>
      <c r="CO5" s="140" t="s">
        <v>32</v>
      </c>
      <c r="CP5" s="140" t="s">
        <v>32</v>
      </c>
      <c r="CQ5" s="140" t="s">
        <v>32</v>
      </c>
      <c r="CR5" s="140"/>
      <c r="CS5" s="140"/>
      <c r="CT5" s="140"/>
      <c r="CU5" s="140"/>
      <c r="CV5" s="140"/>
      <c r="CW5" s="140"/>
      <c r="CX5" s="140"/>
      <c r="CY5" s="140"/>
      <c r="CZ5" s="140"/>
      <c r="DA5" s="140"/>
      <c r="DB5" s="134"/>
      <c r="DC5" s="134"/>
      <c r="DD5" s="156" cm="1">
        <f t="array" ref="DD5">_xlfn.IFS(DD$1= 0,"", NOT(ISBLANK(CM5)), 0, ISBLANK(CM5), $Q5-$S5+AY5-BV5)</f>
        <v>0</v>
      </c>
      <c r="DE5" s="157" cm="1">
        <f t="array" ref="DE5">_xlfn.IFS(DE$1= 0,"", NOT(ISBLANK(CN5)), 0, ISBLANK(CN5), $Q5-$S5+AZ5-BW5)</f>
        <v>0</v>
      </c>
      <c r="DF5" s="157" cm="1">
        <f t="array" ref="DF5">_xlfn.IFS(DF$1= 0,"", NOT(ISBLANK(CO5)), 0, ISBLANK(CO5), $Q5-$S5+BA5-BX5)</f>
        <v>0</v>
      </c>
      <c r="DG5" s="157" cm="1">
        <f t="array" ref="DG5">_xlfn.IFS(DG$1= 0,"", NOT(ISBLANK(CP5)), 0, ISBLANK(CP5), $Q5-$S5+BB5-BY5)</f>
        <v>0</v>
      </c>
      <c r="DH5" s="157" cm="1">
        <f t="array" ref="DH5">_xlfn.IFS(DH$1= 0,"", NOT(ISBLANK(CQ5)), 0, ISBLANK(CQ5), $Q5-$S5+BC5-BZ5)</f>
        <v>0</v>
      </c>
      <c r="DI5" s="157" t="str" cm="1">
        <f t="array" ref="DI5">_xlfn.IFS(DI$1= 0,"", NOT(ISBLANK(CR5)), 0, ISBLANK(CR5), $Q5-$S5+BD5-CA5)</f>
        <v/>
      </c>
      <c r="DJ5" s="157" t="str" cm="1">
        <f t="array" ref="DJ5">_xlfn.IFS(DJ$1= 0,"", NOT(ISBLANK(CS5)), 0, ISBLANK(CS5), $Q5-$S5+BE5-CB5)</f>
        <v/>
      </c>
      <c r="DK5" s="157" t="str" cm="1">
        <f t="array" ref="DK5">_xlfn.IFS(DK$1= 0,"", NOT(ISBLANK(CT5)), 0, ISBLANK(CT5), $Q5-$S5+BF5-CC5)</f>
        <v/>
      </c>
      <c r="DL5" s="158" t="str" cm="1">
        <f t="array" ref="DL5">_xlfn.IFS(DL$1= 0,"", NOT(ISBLANK(CU5)), 0, ISBLANK(CU5), $Q5-$S5+BG5-CD5)</f>
        <v/>
      </c>
      <c r="DM5" s="158" t="str" cm="1">
        <f t="array" ref="DM5">_xlfn.IFS(DM$1= 0,"", NOT(ISBLANK(CV5)), 0, ISBLANK(CV5), $Q5-$S5+BH5-CE5)</f>
        <v/>
      </c>
      <c r="DN5" s="158" t="str" cm="1">
        <f t="array" ref="DN5">_xlfn.IFS(DN$1= 0,"", NOT(ISBLANK(CW5)), 0, ISBLANK(CW5), $Q5-$S5+BI5-CF5)</f>
        <v/>
      </c>
      <c r="DO5" s="158" t="str" cm="1">
        <f t="array" ref="DO5">_xlfn.IFS(DO$1= 0,"", NOT(ISBLANK(CX5)), 0, ISBLANK(CX5), $Q5-$S5+BJ5-CG5)</f>
        <v/>
      </c>
      <c r="DP5" s="143" t="str" cm="1">
        <f t="array" ref="DP5">_xlfn.IFS(DP$1= 0,"", NOT(ISBLANK(CY5)), 0, ISBLANK(CY5), $Q5-$S5+BK5-CH5)</f>
        <v/>
      </c>
      <c r="DQ5" s="143" t="str" cm="1">
        <f t="array" ref="DQ5">_xlfn.IFS(DQ$1= 0,"", NOT(ISBLANK(CZ5)), 0, ISBLANK(CZ5), $Q5-$S5+BL5-CI5)</f>
        <v/>
      </c>
      <c r="DR5" s="144" t="str" cm="1">
        <f t="array" ref="DR5">_xlfn.IFS(DR$1= 0,"", NOT(ISBLANK(DA5)), 0, ISBLANK(DA5), $Q5-$S5+BM5-CJ5)</f>
        <v/>
      </c>
    </row>
    <row r="6" spans="1:138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2" t="s">
        <v>128</v>
      </c>
      <c r="F6" s="210">
        <v>84</v>
      </c>
      <c r="G6" s="211">
        <v>87</v>
      </c>
      <c r="H6" s="211">
        <v>83</v>
      </c>
      <c r="I6" s="211">
        <v>78</v>
      </c>
      <c r="J6" s="211">
        <v>74</v>
      </c>
      <c r="K6" s="211">
        <v>69</v>
      </c>
      <c r="L6" s="211">
        <v>64</v>
      </c>
      <c r="M6" s="215">
        <v>60</v>
      </c>
      <c r="N6" s="21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2">
        <v>0</v>
      </c>
      <c r="P6" s="205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8">
        <v>5.5</v>
      </c>
      <c r="Z6" s="9" t="s">
        <v>174</v>
      </c>
      <c r="AA6" s="4">
        <v>14.23</v>
      </c>
      <c r="AB6" s="4">
        <v>213.83</v>
      </c>
      <c r="AC6" s="87">
        <v>45</v>
      </c>
      <c r="AD6" s="8">
        <v>40</v>
      </c>
      <c r="AE6" s="2">
        <v>31</v>
      </c>
      <c r="AH6" s="149">
        <f t="array" ref="AH6">IF(AH$1=0,"",SQRT((_xlfn.XLOOKUP(AH$1,$Z$2:$Z$18,$AA$2:$AA$18)-$T6)^2+(_xlfn.XLOOKUP(AH$1,$Z$2:$Z$18,$AB$2:$AB$18)-$U6)^2+(_xlfn.XLOOKUP(AH$1,$Z$2:$Z$18,$AC$2:$AC$18-$V6)^2)))</f>
        <v>41.23310078080474</v>
      </c>
      <c r="AI6" s="150">
        <f t="array" ref="AI6">IF(AI$1=0,"",SQRT((_xlfn.XLOOKUP(AI$1,$Z$2:$Z$18,$AA$2:$AA$18)-$T6)^2+(_xlfn.XLOOKUP(AI$1,$Z$2:$Z$18,$AB$2:$AB$18)-$U6)^2+(_xlfn.XLOOKUP(AI$1,$Z$2:$Z$18,$AC$2:$AC$18-$V6)^2)))</f>
        <v>67.636925565847534</v>
      </c>
      <c r="AJ6" s="150">
        <f t="array" ref="AJ6">IF(AJ$1=0,"",SQRT((_xlfn.XLOOKUP(AJ$1,$Z$2:$Z$18,$AA$2:$AA$18)-$T6)^2+(_xlfn.XLOOKUP(AJ$1,$Z$2:$Z$18,$AB$2:$AB$18)-$U6)^2+(_xlfn.XLOOKUP(AJ$1,$Z$2:$Z$18,$AC$2:$AC$18-$V6)^2)))</f>
        <v>165.94536600941888</v>
      </c>
      <c r="AK6" s="150">
        <f t="array" ref="AK6">IF(AK$1=0,"",SQRT((_xlfn.XLOOKUP(AK$1,$Z$2:$Z$18,$AA$2:$AA$18)-$T6)^2+(_xlfn.XLOOKUP(AK$1,$Z$2:$Z$18,$AB$2:$AB$18)-$U6)^2+(_xlfn.XLOOKUP(AK$1,$Z$2:$Z$18,$AC$2:$AC$18-$V6)^2)))</f>
        <v>249.00410538784294</v>
      </c>
      <c r="AL6" s="150">
        <f t="array" ref="AL6">IF(AL$1=0,"",SQRT((_xlfn.XLOOKUP(AL$1,$Z$2:$Z$18,$AA$2:$AA$18)-$T6)^2+(_xlfn.XLOOKUP(AL$1,$Z$2:$Z$18,$AB$2:$AB$18)-$U6)^2+(_xlfn.XLOOKUP(AL$1,$Z$2:$Z$18,$AC$2:$AC$18-$V6)^2)))</f>
        <v>131.29101416319398</v>
      </c>
      <c r="AM6" s="150" t="str">
        <f t="array" ref="AM6">IF(AM$1=0,"",SQRT((_xlfn.XLOOKUP(AM$1,$Z$2:$Z$18,$AA$2:$AA$18)-$T6)^2+(_xlfn.XLOOKUP(AM$1,$Z$2:$Z$18,$AB$2:$AB$18)-$U6)^2+(_xlfn.XLOOKUP(AM$1,$Z$2:$Z$18,$AC$2:$AC$18-$V6)^2)))</f>
        <v/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19"/>
        <v>-29.967017847297129</v>
      </c>
      <c r="AZ6" s="153">
        <f t="shared" si="20"/>
        <v>-34.265775107601165</v>
      </c>
      <c r="BA6" s="153">
        <f t="shared" si="21"/>
        <v>-42.061400523510564</v>
      </c>
      <c r="BB6" s="153">
        <f t="shared" si="22"/>
        <v>-45.586228086283938</v>
      </c>
      <c r="BC6" s="153">
        <f t="shared" si="23"/>
        <v>-40.026797998267341</v>
      </c>
      <c r="BD6" s="153">
        <f t="shared" si="24"/>
        <v>0</v>
      </c>
      <c r="BE6" s="153">
        <f t="shared" si="25"/>
        <v>0</v>
      </c>
      <c r="BF6" s="153">
        <f t="shared" si="26"/>
        <v>0</v>
      </c>
      <c r="BG6" s="154">
        <f t="shared" si="27"/>
        <v>0</v>
      </c>
      <c r="BH6" s="154">
        <f t="shared" si="28"/>
        <v>0</v>
      </c>
      <c r="BI6" s="154">
        <f t="shared" si="29"/>
        <v>0</v>
      </c>
      <c r="BJ6" s="154">
        <f t="shared" si="30"/>
        <v>0</v>
      </c>
      <c r="BK6" s="154">
        <f t="shared" si="31"/>
        <v>0</v>
      </c>
      <c r="BL6" s="154">
        <f t="shared" si="32"/>
        <v>0</v>
      </c>
      <c r="BM6" s="155">
        <f t="shared" si="33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140">
        <v>6.6</v>
      </c>
      <c r="BW6" s="140">
        <v>15.4</v>
      </c>
      <c r="BX6" s="140">
        <v>14.5</v>
      </c>
      <c r="BY6" s="140">
        <v>15.8</v>
      </c>
      <c r="BZ6" s="140">
        <v>9</v>
      </c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L6" s="134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34"/>
      <c r="DC6" s="134"/>
      <c r="DD6" s="141" cm="1">
        <f t="array" ref="DD6">_xlfn.IFS(DD$1= 0,"", NOT(ISBLANK(CM6)), 0, ISBLANK(CM6), $Q6-$S6+AY6-BV6)</f>
        <v>43.43298215270287</v>
      </c>
      <c r="DE6" s="142" cm="1">
        <f t="array" ref="DE6">_xlfn.IFS(DE$1= 0,"", NOT(ISBLANK(CN6)), 0, ISBLANK(CN6), $Q6-$S6+AZ6-BW6)</f>
        <v>30.334224892398836</v>
      </c>
      <c r="DF6" s="142" cm="1">
        <f t="array" ref="DF6">_xlfn.IFS(DF$1= 0,"", NOT(ISBLANK(CO6)), 0, ISBLANK(CO6), $Q6-$S6+BA6-BX6)</f>
        <v>23.438599476489436</v>
      </c>
      <c r="DG6" s="142" cm="1">
        <f t="array" ref="DG6">_xlfn.IFS(DG$1= 0,"", NOT(ISBLANK(CP6)), 0, ISBLANK(CP6), $Q6-$S6+BB6-BY6)</f>
        <v>18.613771913716061</v>
      </c>
      <c r="DH6" s="142" cm="1">
        <f t="array" ref="DH6">_xlfn.IFS(DH$1= 0,"", NOT(ISBLANK(CQ6)), 0, ISBLANK(CQ6), $Q6-$S6+BC6-BZ6)</f>
        <v>30.973202001732659</v>
      </c>
      <c r="DI6" s="142" t="str" cm="1">
        <f t="array" ref="DI6">_xlfn.IFS(DI$1= 0,"", NOT(ISBLANK(CR6)), 0, ISBLANK(CR6), $Q6-$S6+BD6-CA6)</f>
        <v/>
      </c>
      <c r="DJ6" s="142" t="str" cm="1">
        <f t="array" ref="DJ6">_xlfn.IFS(DJ$1= 0,"", NOT(ISBLANK(CS6)), 0, ISBLANK(CS6), $Q6-$S6+BE6-CB6)</f>
        <v/>
      </c>
      <c r="DK6" s="142" t="str" cm="1">
        <f t="array" ref="DK6">_xlfn.IFS(DK$1= 0,"", NOT(ISBLANK(CT6)), 0, ISBLANK(CT6), $Q6-$S6+BF6-CC6)</f>
        <v/>
      </c>
      <c r="DL6" s="143" t="str" cm="1">
        <f t="array" ref="DL6">_xlfn.IFS(DL$1= 0,"", NOT(ISBLANK(CU6)), 0, ISBLANK(CU6), $Q6-$S6+BG6-CD6)</f>
        <v/>
      </c>
      <c r="DM6" s="143" t="str" cm="1">
        <f t="array" ref="DM6">_xlfn.IFS(DM$1= 0,"", NOT(ISBLANK(CV6)), 0, ISBLANK(CV6), $Q6-$S6+BH6-CE6)</f>
        <v/>
      </c>
      <c r="DN6" s="143" t="str" cm="1">
        <f t="array" ref="DN6">_xlfn.IFS(DN$1= 0,"", NOT(ISBLANK(CW6)), 0, ISBLANK(CW6), $Q6-$S6+BI6-CF6)</f>
        <v/>
      </c>
      <c r="DO6" s="143" t="str" cm="1">
        <f t="array" ref="DO6">_xlfn.IFS(DO$1= 0,"", NOT(ISBLANK(CX6)), 0, ISBLANK(CX6), $Q6-$S6+BJ6-CG6)</f>
        <v/>
      </c>
      <c r="DP6" s="143" t="str" cm="1">
        <f t="array" ref="DP6">_xlfn.IFS(DP$1= 0,"", NOT(ISBLANK(CY6)), 0, ISBLANK(CY6), $Q6-$S6+BK6-CH6)</f>
        <v/>
      </c>
      <c r="DQ6" s="143" t="str" cm="1">
        <f t="array" ref="DQ6">_xlfn.IFS(DQ$1= 0,"", NOT(ISBLANK(CZ6)), 0, ISBLANK(CZ6), $Q6-$S6+BL6-CI6)</f>
        <v/>
      </c>
      <c r="DR6" s="144" t="str" cm="1">
        <f t="array" ref="DR6">_xlfn.IFS(DR$1= 0,"", NOT(ISBLANK(DA6)), 0, ISBLANK(DA6), $Q6-$S6+BM6-CJ6)</f>
        <v/>
      </c>
    </row>
    <row r="7" spans="1:138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2" t="s">
        <v>130</v>
      </c>
      <c r="F7" s="210">
        <v>73</v>
      </c>
      <c r="G7" s="211">
        <v>76</v>
      </c>
      <c r="H7" s="211">
        <v>75</v>
      </c>
      <c r="I7" s="211">
        <v>67</v>
      </c>
      <c r="J7" s="211">
        <v>61</v>
      </c>
      <c r="K7" s="211">
        <v>61</v>
      </c>
      <c r="L7" s="211">
        <v>56</v>
      </c>
      <c r="M7" s="215">
        <v>51</v>
      </c>
      <c r="N7" s="21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2">
        <v>0</v>
      </c>
      <c r="P7" s="205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8">
        <v>4</v>
      </c>
      <c r="Z7" s="9"/>
      <c r="AA7" s="4"/>
      <c r="AB7" s="4"/>
      <c r="AC7" s="87"/>
      <c r="AD7" s="8"/>
      <c r="AE7" s="2" t="str">
        <v/>
      </c>
      <c r="AH7" s="149">
        <f t="array" ref="AH7">IF(AH$1=0,"",SQRT((_xlfn.XLOOKUP(AH$1,$Z$2:$Z$18,$AA$2:$AA$18)-$T7)^2+(_xlfn.XLOOKUP(AH$1,$Z$2:$Z$18,$AB$2:$AB$18)-$U7)^2+(_xlfn.XLOOKUP(AH$1,$Z$2:$Z$18,$AC$2:$AC$18-$V7)^2)))</f>
        <v>57.696056191043077</v>
      </c>
      <c r="AI7" s="150">
        <f t="array" ref="AI7">IF(AI$1=0,"",SQRT((_xlfn.XLOOKUP(AI$1,$Z$2:$Z$18,$AA$2:$AA$18)-$T7)^2+(_xlfn.XLOOKUP(AI$1,$Z$2:$Z$18,$AB$2:$AB$18)-$U7)^2+(_xlfn.XLOOKUP(AI$1,$Z$2:$Z$18,$AC$2:$AC$18-$V7)^2)))</f>
        <v>61.644115696471793</v>
      </c>
      <c r="AJ7" s="150">
        <f t="array" ref="AJ7">IF(AJ$1=0,"",SQRT((_xlfn.XLOOKUP(AJ$1,$Z$2:$Z$18,$AA$2:$AA$18)-$T7)^2+(_xlfn.XLOOKUP(AJ$1,$Z$2:$Z$18,$AB$2:$AB$18)-$U7)^2+(_xlfn.XLOOKUP(AJ$1,$Z$2:$Z$18,$AC$2:$AC$18-$V7)^2)))</f>
        <v>151.86627011947056</v>
      </c>
      <c r="AK7" s="150">
        <f t="array" ref="AK7">IF(AK$1=0,"",SQRT((_xlfn.XLOOKUP(AK$1,$Z$2:$Z$18,$AA$2:$AA$18)-$T7)^2+(_xlfn.XLOOKUP(AK$1,$Z$2:$Z$18,$AB$2:$AB$18)-$U7)^2+(_xlfn.XLOOKUP(AK$1,$Z$2:$Z$18,$AC$2:$AC$18-$V7)^2)))</f>
        <v>231.82079501200923</v>
      </c>
      <c r="AL7" s="150">
        <f t="array" ref="AL7">IF(AL$1=0,"",SQRT((_xlfn.XLOOKUP(AL$1,$Z$2:$Z$18,$AA$2:$AA$18)-$T7)^2+(_xlfn.XLOOKUP(AL$1,$Z$2:$Z$18,$AB$2:$AB$18)-$U7)^2+(_xlfn.XLOOKUP(AL$1,$Z$2:$Z$18,$AC$2:$AC$18-$V7)^2)))</f>
        <v>137.54618169909335</v>
      </c>
      <c r="AM7" s="150" t="str">
        <f t="array" ref="AM7">IF(AM$1=0,"",SQRT((_xlfn.XLOOKUP(AM$1,$Z$2:$Z$18,$AA$2:$AA$18)-$T7)^2+(_xlfn.XLOOKUP(AM$1,$Z$2:$Z$18,$AB$2:$AB$18)-$U7)^2+(_xlfn.XLOOKUP(AM$1,$Z$2:$Z$18,$AC$2:$AC$18-$V7)^2)))</f>
        <v/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19"/>
        <v>-32.885020497099163</v>
      </c>
      <c r="AZ7" s="153">
        <f t="shared" si="20"/>
        <v>-33.45993047445851</v>
      </c>
      <c r="BA7" s="153">
        <f t="shared" si="21"/>
        <v>-41.291324470458648</v>
      </c>
      <c r="BB7" s="153">
        <f t="shared" si="22"/>
        <v>-44.965145754461844</v>
      </c>
      <c r="BC7" s="153">
        <f t="shared" si="23"/>
        <v>-40.431068713303148</v>
      </c>
      <c r="BD7" s="153">
        <f t="shared" si="24"/>
        <v>0</v>
      </c>
      <c r="BE7" s="153">
        <f t="shared" si="25"/>
        <v>0</v>
      </c>
      <c r="BF7" s="153">
        <f t="shared" si="26"/>
        <v>0</v>
      </c>
      <c r="BG7" s="154">
        <f t="shared" si="27"/>
        <v>0</v>
      </c>
      <c r="BH7" s="154">
        <f t="shared" si="28"/>
        <v>0</v>
      </c>
      <c r="BI7" s="154">
        <f t="shared" si="29"/>
        <v>0</v>
      </c>
      <c r="BJ7" s="154">
        <f t="shared" si="30"/>
        <v>0</v>
      </c>
      <c r="BK7" s="154">
        <f t="shared" si="31"/>
        <v>0</v>
      </c>
      <c r="BL7" s="154">
        <f t="shared" si="32"/>
        <v>0</v>
      </c>
      <c r="BM7" s="155">
        <f t="shared" si="33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>
        <v>9.9</v>
      </c>
      <c r="BW7" s="140">
        <v>16.100000000000001</v>
      </c>
      <c r="BX7" s="140">
        <v>14.7</v>
      </c>
      <c r="BY7" s="140">
        <v>15.6</v>
      </c>
      <c r="BZ7" s="140">
        <v>12.6</v>
      </c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L7" s="134"/>
      <c r="CM7" s="140" t="s">
        <v>32</v>
      </c>
      <c r="CN7" s="140" t="s">
        <v>32</v>
      </c>
      <c r="CO7" s="140" t="s">
        <v>32</v>
      </c>
      <c r="CP7" s="140" t="s">
        <v>32</v>
      </c>
      <c r="CQ7" s="140" t="s">
        <v>32</v>
      </c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34"/>
      <c r="DC7" s="134"/>
      <c r="DD7" s="156" cm="1">
        <f t="array" ref="DD7">_xlfn.IFS(DD$1= 0,"", NOT(ISBLANK(CM7)), 0, ISBLANK(CM7), $Q7-$S7+AY7-BV7)</f>
        <v>0</v>
      </c>
      <c r="DE7" s="157" cm="1">
        <f t="array" ref="DE7">_xlfn.IFS(DE$1= 0,"", NOT(ISBLANK(CN7)), 0, ISBLANK(CN7), $Q7-$S7+AZ7-BW7)</f>
        <v>0</v>
      </c>
      <c r="DF7" s="157" cm="1">
        <f t="array" ref="DF7">_xlfn.IFS(DF$1= 0,"", NOT(ISBLANK(CO7)), 0, ISBLANK(CO7), $Q7-$S7+BA7-BX7)</f>
        <v>0</v>
      </c>
      <c r="DG7" s="157" cm="1">
        <f t="array" ref="DG7">_xlfn.IFS(DG$1= 0,"", NOT(ISBLANK(CP7)), 0, ISBLANK(CP7), $Q7-$S7+BB7-BY7)</f>
        <v>0</v>
      </c>
      <c r="DH7" s="157" cm="1">
        <f t="array" ref="DH7">_xlfn.IFS(DH$1= 0,"", NOT(ISBLANK(CQ7)), 0, ISBLANK(CQ7), $Q7-$S7+BC7-BZ7)</f>
        <v>0</v>
      </c>
      <c r="DI7" s="157" t="str" cm="1">
        <f t="array" ref="DI7">_xlfn.IFS(DI$1= 0,"", NOT(ISBLANK(CR7)), 0, ISBLANK(CR7), $Q7-$S7+BD7-CA7)</f>
        <v/>
      </c>
      <c r="DJ7" s="157" t="str" cm="1">
        <f t="array" ref="DJ7">_xlfn.IFS(DJ$1= 0,"", NOT(ISBLANK(CS7)), 0, ISBLANK(CS7), $Q7-$S7+BE7-CB7)</f>
        <v/>
      </c>
      <c r="DK7" s="157" t="str" cm="1">
        <f t="array" ref="DK7">_xlfn.IFS(DK$1= 0,"", NOT(ISBLANK(CT7)), 0, ISBLANK(CT7), $Q7-$S7+BF7-CC7)</f>
        <v/>
      </c>
      <c r="DL7" s="158" t="str" cm="1">
        <f t="array" ref="DL7">_xlfn.IFS(DL$1= 0,"", NOT(ISBLANK(CU7)), 0, ISBLANK(CU7), $Q7-$S7+BG7-CD7)</f>
        <v/>
      </c>
      <c r="DM7" s="158" t="str" cm="1">
        <f t="array" ref="DM7">_xlfn.IFS(DM$1= 0,"", NOT(ISBLANK(CV7)), 0, ISBLANK(CV7), $Q7-$S7+BH7-CE7)</f>
        <v/>
      </c>
      <c r="DN7" s="158" t="str" cm="1">
        <f t="array" ref="DN7">_xlfn.IFS(DN$1= 0,"", NOT(ISBLANK(CW7)), 0, ISBLANK(CW7), $Q7-$S7+BI7-CF7)</f>
        <v/>
      </c>
      <c r="DO7" s="158" t="str" cm="1">
        <f t="array" ref="DO7">_xlfn.IFS(DO$1= 0,"", NOT(ISBLANK(CX7)), 0, ISBLANK(CX7), $Q7-$S7+BJ7-CG7)</f>
        <v/>
      </c>
      <c r="DP7" s="143" t="str" cm="1">
        <f t="array" ref="DP7">_xlfn.IFS(DP$1= 0,"", NOT(ISBLANK(CY7)), 0, ISBLANK(CY7), $Q7-$S7+BK7-CH7)</f>
        <v/>
      </c>
      <c r="DQ7" s="143" t="str" cm="1">
        <f t="array" ref="DQ7">_xlfn.IFS(DQ$1= 0,"", NOT(ISBLANK(CZ7)), 0, ISBLANK(CZ7), $Q7-$S7+BL7-CI7)</f>
        <v/>
      </c>
      <c r="DR7" s="144" t="str" cm="1">
        <f t="array" ref="DR7">_xlfn.IFS(DR$1= 0,"", NOT(ISBLANK(DA7)), 0, ISBLANK(DA7), $Q7-$S7+BM7-CJ7)</f>
        <v/>
      </c>
    </row>
    <row r="8" spans="1:138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2" t="s">
        <v>133</v>
      </c>
      <c r="F8" s="210"/>
      <c r="G8" s="211"/>
      <c r="H8" s="211"/>
      <c r="I8" s="211"/>
      <c r="J8" s="211"/>
      <c r="K8" s="211"/>
      <c r="L8" s="211"/>
      <c r="M8" s="215"/>
      <c r="N8" s="210">
        <v>69.5</v>
      </c>
      <c r="O8" s="212">
        <v>5</v>
      </c>
      <c r="P8" s="205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112.8729604466898</v>
      </c>
      <c r="AI8" s="150">
        <f t="array" ref="AI8">IF(AI$1=0,"",SQRT((_xlfn.XLOOKUP(AI$1,$Z$2:$Z$18,$AA$2:$AA$18)-$T8)^2+(_xlfn.XLOOKUP(AI$1,$Z$2:$Z$18,$AB$2:$AB$18)-$U8)^2+(_xlfn.XLOOKUP(AI$1,$Z$2:$Z$18,$AC$2:$AC$18-$V8)^2)))</f>
        <v>77.772311911116532</v>
      </c>
      <c r="AJ8" s="150">
        <f t="array" ref="AJ8">IF(AJ$1=0,"",SQRT((_xlfn.XLOOKUP(AJ$1,$Z$2:$Z$18,$AA$2:$AA$18)-$T8)^2+(_xlfn.XLOOKUP(AJ$1,$Z$2:$Z$18,$AB$2:$AB$18)-$U8)^2+(_xlfn.XLOOKUP(AJ$1,$Z$2:$Z$18,$AC$2:$AC$18-$V8)^2)))</f>
        <v>115.64135289765508</v>
      </c>
      <c r="AK8" s="150">
        <f t="array" ref="AK8">IF(AK$1=0,"",SQRT((_xlfn.XLOOKUP(AK$1,$Z$2:$Z$18,$AA$2:$AA$18)-$T8)^2+(_xlfn.XLOOKUP(AK$1,$Z$2:$Z$18,$AB$2:$AB$18)-$U8)^2+(_xlfn.XLOOKUP(AK$1,$Z$2:$Z$18,$AC$2:$AC$18-$V8)^2)))</f>
        <v>179.21808084007597</v>
      </c>
      <c r="AL8" s="150">
        <f t="array" ref="AL8">IF(AL$1=0,"",SQRT((_xlfn.XLOOKUP(AL$1,$Z$2:$Z$18,$AA$2:$AA$18)-$T8)^2+(_xlfn.XLOOKUP(AL$1,$Z$2:$Z$18,$AB$2:$AB$18)-$U8)^2+(_xlfn.XLOOKUP(AL$1,$Z$2:$Z$18,$AC$2:$AC$18-$V8)^2)))</f>
        <v>168.49059024171055</v>
      </c>
      <c r="AM8" s="150" t="str">
        <f t="array" ref="AM8">IF(AM$1=0,"",SQRT((_xlfn.XLOOKUP(AM$1,$Z$2:$Z$18,$AA$2:$AA$18)-$T8)^2+(_xlfn.XLOOKUP(AM$1,$Z$2:$Z$18,$AB$2:$AB$18)-$U8)^2+(_xlfn.XLOOKUP(AM$1,$Z$2:$Z$18,$AC$2:$AC$18-$V8)^2)))</f>
        <v/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19"/>
        <v>-38.71389625545654</v>
      </c>
      <c r="AZ8" s="153">
        <f t="shared" si="20"/>
        <v>-35.47859812236559</v>
      </c>
      <c r="BA8" s="153">
        <f t="shared" si="21"/>
        <v>-38.924361214433219</v>
      </c>
      <c r="BB8" s="153">
        <f t="shared" si="22"/>
        <v>-42.729734384186166</v>
      </c>
      <c r="BC8" s="153">
        <f t="shared" si="23"/>
        <v>-42.19361097043123</v>
      </c>
      <c r="BD8" s="153">
        <f t="shared" si="24"/>
        <v>0</v>
      </c>
      <c r="BE8" s="153">
        <f t="shared" si="25"/>
        <v>0</v>
      </c>
      <c r="BF8" s="153">
        <f t="shared" si="26"/>
        <v>0</v>
      </c>
      <c r="BG8" s="154">
        <f t="shared" si="27"/>
        <v>0</v>
      </c>
      <c r="BH8" s="154">
        <f t="shared" si="28"/>
        <v>0</v>
      </c>
      <c r="BI8" s="154">
        <f t="shared" si="29"/>
        <v>0</v>
      </c>
      <c r="BJ8" s="154">
        <f t="shared" si="30"/>
        <v>0</v>
      </c>
      <c r="BK8" s="154">
        <f t="shared" si="31"/>
        <v>0</v>
      </c>
      <c r="BL8" s="154">
        <f t="shared" si="32"/>
        <v>0</v>
      </c>
      <c r="BM8" s="155">
        <f t="shared" si="33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>
        <v>5</v>
      </c>
      <c r="BW8" s="140">
        <v>8</v>
      </c>
      <c r="BX8" s="140">
        <v>11</v>
      </c>
      <c r="BY8" s="140">
        <v>9</v>
      </c>
      <c r="BZ8" s="140">
        <v>5</v>
      </c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L8" s="134"/>
      <c r="CM8" s="140" t="s">
        <v>32</v>
      </c>
      <c r="CN8" s="140" t="s">
        <v>32</v>
      </c>
      <c r="CO8" s="140" t="s">
        <v>32</v>
      </c>
      <c r="CP8" s="140" t="s">
        <v>32</v>
      </c>
      <c r="CQ8" s="140" t="s">
        <v>32</v>
      </c>
      <c r="CR8" s="140"/>
      <c r="CS8" s="140"/>
      <c r="CT8" s="140"/>
      <c r="CU8" s="140"/>
      <c r="CV8" s="140"/>
      <c r="CW8" s="140"/>
      <c r="CX8" s="140"/>
      <c r="CY8" s="140"/>
      <c r="CZ8" s="140"/>
      <c r="DA8" s="140"/>
      <c r="DB8" s="134"/>
      <c r="DC8" s="134"/>
      <c r="DD8" s="156" cm="1">
        <f t="array" ref="DD8">_xlfn.IFS(DD$1= 0,"", NOT(ISBLANK(CM8)), 0, ISBLANK(CM8), $Q8-$S8+AY8-BV8)</f>
        <v>0</v>
      </c>
      <c r="DE8" s="157" cm="1">
        <f t="array" ref="DE8">_xlfn.IFS(DE$1= 0,"", NOT(ISBLANK(CN8)), 0, ISBLANK(CN8), $Q8-$S8+AZ8-BW8)</f>
        <v>0</v>
      </c>
      <c r="DF8" s="157" cm="1">
        <f t="array" ref="DF8">_xlfn.IFS(DF$1= 0,"", NOT(ISBLANK(CO8)), 0, ISBLANK(CO8), $Q8-$S8+BA8-BX8)</f>
        <v>0</v>
      </c>
      <c r="DG8" s="157" cm="1">
        <f t="array" ref="DG8">_xlfn.IFS(DG$1= 0,"", NOT(ISBLANK(CP8)), 0, ISBLANK(CP8), $Q8-$S8+BB8-BY8)</f>
        <v>0</v>
      </c>
      <c r="DH8" s="157" cm="1">
        <f t="array" ref="DH8">_xlfn.IFS(DH$1= 0,"", NOT(ISBLANK(CQ8)), 0, ISBLANK(CQ8), $Q8-$S8+BC8-BZ8)</f>
        <v>0</v>
      </c>
      <c r="DI8" s="157" t="str" cm="1">
        <f t="array" ref="DI8">_xlfn.IFS(DI$1= 0,"", NOT(ISBLANK(CR8)), 0, ISBLANK(CR8), $Q8-$S8+BD8-CA8)</f>
        <v/>
      </c>
      <c r="DJ8" s="157" t="str" cm="1">
        <f t="array" ref="DJ8">_xlfn.IFS(DJ$1= 0,"", NOT(ISBLANK(CS8)), 0, ISBLANK(CS8), $Q8-$S8+BE8-CB8)</f>
        <v/>
      </c>
      <c r="DK8" s="157" t="str" cm="1">
        <f t="array" ref="DK8">_xlfn.IFS(DK$1= 0,"", NOT(ISBLANK(CT8)), 0, ISBLANK(CT8), $Q8-$S8+BF8-CC8)</f>
        <v/>
      </c>
      <c r="DL8" s="158" t="str" cm="1">
        <f t="array" ref="DL8">_xlfn.IFS(DL$1= 0,"", NOT(ISBLANK(CU8)), 0, ISBLANK(CU8), $Q8-$S8+BG8-CD8)</f>
        <v/>
      </c>
      <c r="DM8" s="158" t="str" cm="1">
        <f t="array" ref="DM8">_xlfn.IFS(DM$1= 0,"", NOT(ISBLANK(CV8)), 0, ISBLANK(CV8), $Q8-$S8+BH8-CE8)</f>
        <v/>
      </c>
      <c r="DN8" s="158" t="str" cm="1">
        <f t="array" ref="DN8">_xlfn.IFS(DN$1= 0,"", NOT(ISBLANK(CW8)), 0, ISBLANK(CW8), $Q8-$S8+BI8-CF8)</f>
        <v/>
      </c>
      <c r="DO8" s="158" t="str" cm="1">
        <f t="array" ref="DO8">_xlfn.IFS(DO$1= 0,"", NOT(ISBLANK(CX8)), 0, ISBLANK(CX8), $Q8-$S8+BJ8-CG8)</f>
        <v/>
      </c>
      <c r="DP8" s="143" t="str" cm="1">
        <f t="array" ref="DP8">_xlfn.IFS(DP$1= 0,"", NOT(ISBLANK(CY8)), 0, ISBLANK(CY8), $Q8-$S8+BK8-CH8)</f>
        <v/>
      </c>
      <c r="DQ8" s="143" t="str" cm="1">
        <f t="array" ref="DQ8">_xlfn.IFS(DQ$1= 0,"", NOT(ISBLANK(CZ8)), 0, ISBLANK(CZ8), $Q8-$S8+BL8-CI8)</f>
        <v/>
      </c>
      <c r="DR8" s="144" t="str" cm="1">
        <f t="array" ref="DR8">_xlfn.IFS(DR$1= 0,"", NOT(ISBLANK(DA8)), 0, ISBLANK(DA8), $Q8-$S8+BM8-CJ8)</f>
        <v/>
      </c>
    </row>
    <row r="9" spans="1:138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2" t="s">
        <v>135</v>
      </c>
      <c r="F9" s="210"/>
      <c r="G9" s="211"/>
      <c r="H9" s="211"/>
      <c r="I9" s="211"/>
      <c r="J9" s="211"/>
      <c r="K9" s="211"/>
      <c r="L9" s="211"/>
      <c r="M9" s="215"/>
      <c r="N9" s="210">
        <v>66.5</v>
      </c>
      <c r="O9" s="212">
        <v>5</v>
      </c>
      <c r="P9" s="205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106.19895715118864</v>
      </c>
      <c r="AI9" s="150">
        <f t="array" ref="AI9">IF(AI$1=0,"",SQRT((_xlfn.XLOOKUP(AI$1,$Z$2:$Z$18,$AA$2:$AA$18)-$T9)^2+(_xlfn.XLOOKUP(AI$1,$Z$2:$Z$18,$AB$2:$AB$18)-$U9)^2+(_xlfn.XLOOKUP(AI$1,$Z$2:$Z$18,$AC$2:$AC$18-$V9)^2)))</f>
        <v>75.281939401160486</v>
      </c>
      <c r="AJ9" s="150">
        <f t="array" ref="AJ9">IF(AJ$1=0,"",SQRT((_xlfn.XLOOKUP(AJ$1,$Z$2:$Z$18,$AA$2:$AA$18)-$T9)^2+(_xlfn.XLOOKUP(AJ$1,$Z$2:$Z$18,$AB$2:$AB$18)-$U9)^2+(_xlfn.XLOOKUP(AJ$1,$Z$2:$Z$18,$AC$2:$AC$18-$V9)^2)))</f>
        <v>121.04597721527139</v>
      </c>
      <c r="AK9" s="150">
        <f t="array" ref="AK9">IF(AK$1=0,"",SQRT((_xlfn.XLOOKUP(AK$1,$Z$2:$Z$18,$AA$2:$AA$18)-$T9)^2+(_xlfn.XLOOKUP(AK$1,$Z$2:$Z$18,$AB$2:$AB$18)-$U9)^2+(_xlfn.XLOOKUP(AK$1,$Z$2:$Z$18,$AC$2:$AC$18-$V9)^2)))</f>
        <v>186.26156769446564</v>
      </c>
      <c r="AL9" s="150">
        <f t="array" ref="AL9">IF(AL$1=0,"",SQRT((_xlfn.XLOOKUP(AL$1,$Z$2:$Z$18,$AA$2:$AA$18)-$T9)^2+(_xlfn.XLOOKUP(AL$1,$Z$2:$Z$18,$AB$2:$AB$18)-$U9)^2+(_xlfn.XLOOKUP(AL$1,$Z$2:$Z$18,$AC$2:$AC$18-$V9)^2)))</f>
        <v>162.48650559354152</v>
      </c>
      <c r="AM9" s="150" t="str">
        <f t="array" ref="AM9">IF(AM$1=0,"",SQRT((_xlfn.XLOOKUP(AM$1,$Z$2:$Z$18,$AA$2:$AA$18)-$T9)^2+(_xlfn.XLOOKUP(AM$1,$Z$2:$Z$18,$AB$2:$AB$18)-$U9)^2+(_xlfn.XLOOKUP(AM$1,$Z$2:$Z$18,$AC$2:$AC$18-$V9)^2)))</f>
        <v/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19"/>
        <v>-38.184502978864401</v>
      </c>
      <c r="AZ9" s="153">
        <f t="shared" si="20"/>
        <v>-35.19591391268434</v>
      </c>
      <c r="BA9" s="153">
        <f t="shared" si="21"/>
        <v>-39.321105154537854</v>
      </c>
      <c r="BB9" s="153">
        <f t="shared" si="22"/>
        <v>-43.064563015526566</v>
      </c>
      <c r="BC9" s="153">
        <f t="shared" si="23"/>
        <v>-41.878443915278005</v>
      </c>
      <c r="BD9" s="153">
        <f t="shared" si="24"/>
        <v>0</v>
      </c>
      <c r="BE9" s="153">
        <f t="shared" si="25"/>
        <v>0</v>
      </c>
      <c r="BF9" s="153">
        <f t="shared" si="26"/>
        <v>0</v>
      </c>
      <c r="BG9" s="154">
        <f t="shared" si="27"/>
        <v>0</v>
      </c>
      <c r="BH9" s="154">
        <f t="shared" si="28"/>
        <v>0</v>
      </c>
      <c r="BI9" s="154">
        <f t="shared" si="29"/>
        <v>0</v>
      </c>
      <c r="BJ9" s="154">
        <f t="shared" si="30"/>
        <v>0</v>
      </c>
      <c r="BK9" s="154">
        <f t="shared" si="31"/>
        <v>0</v>
      </c>
      <c r="BL9" s="154">
        <f t="shared" si="32"/>
        <v>0</v>
      </c>
      <c r="BM9" s="155">
        <f t="shared" si="33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>
        <v>5</v>
      </c>
      <c r="BW9" s="140">
        <v>10</v>
      </c>
      <c r="BX9" s="140">
        <v>11</v>
      </c>
      <c r="BY9" s="140">
        <v>10</v>
      </c>
      <c r="BZ9" s="140">
        <v>5</v>
      </c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L9" s="134"/>
      <c r="CM9" s="140" t="s">
        <v>32</v>
      </c>
      <c r="CN9" s="140" t="s">
        <v>32</v>
      </c>
      <c r="CO9" s="140" t="s">
        <v>32</v>
      </c>
      <c r="CP9" s="140" t="s">
        <v>32</v>
      </c>
      <c r="CQ9" s="140" t="s">
        <v>32</v>
      </c>
      <c r="CR9" s="140"/>
      <c r="CS9" s="140"/>
      <c r="CT9" s="140"/>
      <c r="CU9" s="140"/>
      <c r="CV9" s="140"/>
      <c r="CW9" s="140"/>
      <c r="CX9" s="140"/>
      <c r="CY9" s="140"/>
      <c r="CZ9" s="140"/>
      <c r="DA9" s="140"/>
      <c r="DB9" s="134"/>
      <c r="DC9" s="134"/>
      <c r="DD9" s="156" cm="1">
        <f t="array" ref="DD9">_xlfn.IFS(DD$1= 0,"", NOT(ISBLANK(CM9)), 0, ISBLANK(CM9), $Q9-$S9+AY9-BV9)</f>
        <v>0</v>
      </c>
      <c r="DE9" s="157" cm="1">
        <f t="array" ref="DE9">_xlfn.IFS(DE$1= 0,"", NOT(ISBLANK(CN9)), 0, ISBLANK(CN9), $Q9-$S9+AZ9-BW9)</f>
        <v>0</v>
      </c>
      <c r="DF9" s="157" cm="1">
        <f t="array" ref="DF9">_xlfn.IFS(DF$1= 0,"", NOT(ISBLANK(CO9)), 0, ISBLANK(CO9), $Q9-$S9+BA9-BX9)</f>
        <v>0</v>
      </c>
      <c r="DG9" s="157" cm="1">
        <f t="array" ref="DG9">_xlfn.IFS(DG$1= 0,"", NOT(ISBLANK(CP9)), 0, ISBLANK(CP9), $Q9-$S9+BB9-BY9)</f>
        <v>0</v>
      </c>
      <c r="DH9" s="157" cm="1">
        <f t="array" ref="DH9">_xlfn.IFS(DH$1= 0,"", NOT(ISBLANK(CQ9)), 0, ISBLANK(CQ9), $Q9-$S9+BC9-BZ9)</f>
        <v>0</v>
      </c>
      <c r="DI9" s="157" t="str" cm="1">
        <f t="array" ref="DI9">_xlfn.IFS(DI$1= 0,"", NOT(ISBLANK(CR9)), 0, ISBLANK(CR9), $Q9-$S9+BD9-CA9)</f>
        <v/>
      </c>
      <c r="DJ9" s="157" t="str" cm="1">
        <f t="array" ref="DJ9">_xlfn.IFS(DJ$1= 0,"", NOT(ISBLANK(CS9)), 0, ISBLANK(CS9), $Q9-$S9+BE9-CB9)</f>
        <v/>
      </c>
      <c r="DK9" s="157" t="str" cm="1">
        <f t="array" ref="DK9">_xlfn.IFS(DK$1= 0,"", NOT(ISBLANK(CT9)), 0, ISBLANK(CT9), $Q9-$S9+BF9-CC9)</f>
        <v/>
      </c>
      <c r="DL9" s="158" t="str" cm="1">
        <f t="array" ref="DL9">_xlfn.IFS(DL$1= 0,"", NOT(ISBLANK(CU9)), 0, ISBLANK(CU9), $Q9-$S9+BG9-CD9)</f>
        <v/>
      </c>
      <c r="DM9" s="158" t="str" cm="1">
        <f t="array" ref="DM9">_xlfn.IFS(DM$1= 0,"", NOT(ISBLANK(CV9)), 0, ISBLANK(CV9), $Q9-$S9+BH9-CE9)</f>
        <v/>
      </c>
      <c r="DN9" s="158" t="str" cm="1">
        <f t="array" ref="DN9">_xlfn.IFS(DN$1= 0,"", NOT(ISBLANK(CW9)), 0, ISBLANK(CW9), $Q9-$S9+BI9-CF9)</f>
        <v/>
      </c>
      <c r="DO9" s="158" t="str" cm="1">
        <f t="array" ref="DO9">_xlfn.IFS(DO$1= 0,"", NOT(ISBLANK(CX9)), 0, ISBLANK(CX9), $Q9-$S9+BJ9-CG9)</f>
        <v/>
      </c>
      <c r="DP9" s="143" t="str" cm="1">
        <f t="array" ref="DP9">_xlfn.IFS(DP$1= 0,"", NOT(ISBLANK(CY9)), 0, ISBLANK(CY9), $Q9-$S9+BK9-CH9)</f>
        <v/>
      </c>
      <c r="DQ9" s="143" t="str" cm="1">
        <f t="array" ref="DQ9">_xlfn.IFS(DQ$1= 0,"", NOT(ISBLANK(CZ9)), 0, ISBLANK(CZ9), $Q9-$S9+BL9-CI9)</f>
        <v/>
      </c>
      <c r="DR9" s="14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2" t="s">
        <v>137</v>
      </c>
      <c r="F10" s="210"/>
      <c r="G10" s="211"/>
      <c r="H10" s="211"/>
      <c r="I10" s="211"/>
      <c r="J10" s="211"/>
      <c r="K10" s="211"/>
      <c r="L10" s="211"/>
      <c r="M10" s="215"/>
      <c r="N10" s="210">
        <v>58</v>
      </c>
      <c r="O10" s="212">
        <v>5</v>
      </c>
      <c r="P10" s="205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119.83147541443358</v>
      </c>
      <c r="AI10" s="150">
        <f t="array" ref="AI10">IF(AI$1=0,"",SQRT((_xlfn.XLOOKUP(AI$1,$Z$2:$Z$18,$AA$2:$AA$18)-$T10)^2+(_xlfn.XLOOKUP(AI$1,$Z$2:$Z$18,$AB$2:$AB$18)-$U10)^2+(_xlfn.XLOOKUP(AI$1,$Z$2:$Z$18,$AC$2:$AC$18-$V10)^2)))</f>
        <v>84.000240475846255</v>
      </c>
      <c r="AJ10" s="150">
        <f t="array" ref="AJ10">IF(AJ$1=0,"",SQRT((_xlfn.XLOOKUP(AJ$1,$Z$2:$Z$18,$AA$2:$AA$18)-$T10)^2+(_xlfn.XLOOKUP(AJ$1,$Z$2:$Z$18,$AB$2:$AB$18)-$U10)^2+(_xlfn.XLOOKUP(AJ$1,$Z$2:$Z$18,$AC$2:$AC$18-$V10)^2)))</f>
        <v>115.25239520287636</v>
      </c>
      <c r="AK10" s="150">
        <f t="array" ref="AK10">IF(AK$1=0,"",SQRT((_xlfn.XLOOKUP(AK$1,$Z$2:$Z$18,$AA$2:$AA$18)-$T10)^2+(_xlfn.XLOOKUP(AK$1,$Z$2:$Z$18,$AB$2:$AB$18)-$U10)^2+(_xlfn.XLOOKUP(AK$1,$Z$2:$Z$18,$AC$2:$AC$18-$V10)^2)))</f>
        <v>173.78146506460348</v>
      </c>
      <c r="AL10" s="150">
        <f t="array" ref="AL10">IF(AL$1=0,"",SQRT((_xlfn.XLOOKUP(AL$1,$Z$2:$Z$18,$AA$2:$AA$18)-$T10)^2+(_xlfn.XLOOKUP(AL$1,$Z$2:$Z$18,$AB$2:$AB$18)-$U10)^2+(_xlfn.XLOOKUP(AL$1,$Z$2:$Z$18,$AC$2:$AC$18-$V10)^2)))</f>
        <v>170.50656438976185</v>
      </c>
      <c r="AM10" s="150" t="str">
        <f t="array" ref="AM10">IF(AM$1=0,"",SQRT((_xlfn.XLOOKUP(AM$1,$Z$2:$Z$18,$AA$2:$AA$18)-$T10)^2+(_xlfn.XLOOKUP(AM$1,$Z$2:$Z$18,$AB$2:$AB$18)-$U10)^2+(_xlfn.XLOOKUP(AM$1,$Z$2:$Z$18,$AC$2:$AC$18-$V10)^2)))</f>
        <v/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19"/>
        <v>-39.233516068180428</v>
      </c>
      <c r="AZ10" s="153">
        <f t="shared" si="20"/>
        <v>-36.147708524166127</v>
      </c>
      <c r="BA10" s="153">
        <f t="shared" si="21"/>
        <v>-38.89509713228032</v>
      </c>
      <c r="BB10" s="153">
        <f t="shared" si="22"/>
        <v>-42.462167021369211</v>
      </c>
      <c r="BC10" s="153">
        <f t="shared" si="23"/>
        <v>-42.296920010936347</v>
      </c>
      <c r="BD10" s="153">
        <f t="shared" si="24"/>
        <v>0</v>
      </c>
      <c r="BE10" s="153">
        <f t="shared" si="25"/>
        <v>0</v>
      </c>
      <c r="BF10" s="153">
        <f t="shared" si="26"/>
        <v>0</v>
      </c>
      <c r="BG10" s="154">
        <f t="shared" si="27"/>
        <v>0</v>
      </c>
      <c r="BH10" s="154">
        <f t="shared" si="28"/>
        <v>0</v>
      </c>
      <c r="BI10" s="154">
        <f t="shared" si="29"/>
        <v>0</v>
      </c>
      <c r="BJ10" s="154">
        <f t="shared" si="30"/>
        <v>0</v>
      </c>
      <c r="BK10" s="154">
        <f t="shared" si="31"/>
        <v>0</v>
      </c>
      <c r="BL10" s="154">
        <f t="shared" si="32"/>
        <v>0</v>
      </c>
      <c r="BM10" s="155">
        <f t="shared" si="33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>
        <v>5</v>
      </c>
      <c r="BW10" s="140">
        <v>10</v>
      </c>
      <c r="BX10" s="140">
        <v>12</v>
      </c>
      <c r="BY10" s="140">
        <v>9</v>
      </c>
      <c r="BZ10" s="140">
        <v>5</v>
      </c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L10" s="134"/>
      <c r="CM10" s="140" t="s">
        <v>32</v>
      </c>
      <c r="CN10" s="140" t="s">
        <v>32</v>
      </c>
      <c r="CO10" s="140" t="s">
        <v>32</v>
      </c>
      <c r="CP10" s="140" t="s">
        <v>32</v>
      </c>
      <c r="CQ10" s="140" t="s">
        <v>32</v>
      </c>
      <c r="CR10" s="140"/>
      <c r="CS10" s="140"/>
      <c r="CT10" s="140"/>
      <c r="CU10" s="140"/>
      <c r="CV10" s="140"/>
      <c r="CW10" s="140"/>
      <c r="CX10" s="140"/>
      <c r="CY10" s="140"/>
      <c r="CZ10" s="140"/>
      <c r="DA10" s="140"/>
      <c r="DB10" s="134"/>
      <c r="DC10" s="134"/>
      <c r="DD10" s="156" cm="1">
        <f t="array" ref="DD10">_xlfn.IFS(DD$1= 0,"", NOT(ISBLANK(CM10)), 0, ISBLANK(CM10), $Q10-$S10+AY10-BV10)</f>
        <v>0</v>
      </c>
      <c r="DE10" s="157" cm="1">
        <f t="array" ref="DE10">_xlfn.IFS(DE$1= 0,"", NOT(ISBLANK(CN10)), 0, ISBLANK(CN10), $Q10-$S10+AZ10-BW10)</f>
        <v>0</v>
      </c>
      <c r="DF10" s="157" cm="1">
        <f t="array" ref="DF10">_xlfn.IFS(DF$1= 0,"", NOT(ISBLANK(CO10)), 0, ISBLANK(CO10), $Q10-$S10+BA10-BX10)</f>
        <v>0</v>
      </c>
      <c r="DG10" s="157" cm="1">
        <f t="array" ref="DG10">_xlfn.IFS(DG$1= 0,"", NOT(ISBLANK(CP10)), 0, ISBLANK(CP10), $Q10-$S10+BB10-BY10)</f>
        <v>0</v>
      </c>
      <c r="DH10" s="157" cm="1">
        <f t="array" ref="DH10">_xlfn.IFS(DH$1= 0,"", NOT(ISBLANK(CQ10)), 0, ISBLANK(CQ10), $Q10-$S10+BC10-BZ10)</f>
        <v>0</v>
      </c>
      <c r="DI10" s="157" t="str" cm="1">
        <f t="array" ref="DI10">_xlfn.IFS(DI$1= 0,"", NOT(ISBLANK(CR10)), 0, ISBLANK(CR10), $Q10-$S10+BD10-CA10)</f>
        <v/>
      </c>
      <c r="DJ10" s="157" t="str" cm="1">
        <f t="array" ref="DJ10">_xlfn.IFS(DJ$1= 0,"", NOT(ISBLANK(CS10)), 0, ISBLANK(CS10), $Q10-$S10+BE10-CB10)</f>
        <v/>
      </c>
      <c r="DK10" s="157" t="str" cm="1">
        <f t="array" ref="DK10">_xlfn.IFS(DK$1= 0,"", NOT(ISBLANK(CT10)), 0, ISBLANK(CT10), $Q10-$S10+BF10-CC10)</f>
        <v/>
      </c>
      <c r="DL10" s="158" t="str" cm="1">
        <f t="array" ref="DL10">_xlfn.IFS(DL$1= 0,"", NOT(ISBLANK(CU10)), 0, ISBLANK(CU10), $Q10-$S10+BG10-CD10)</f>
        <v/>
      </c>
      <c r="DM10" s="158" t="str" cm="1">
        <f t="array" ref="DM10">_xlfn.IFS(DM$1= 0,"", NOT(ISBLANK(CV10)), 0, ISBLANK(CV10), $Q10-$S10+BH10-CE10)</f>
        <v/>
      </c>
      <c r="DN10" s="158" t="str" cm="1">
        <f t="array" ref="DN10">_xlfn.IFS(DN$1= 0,"", NOT(ISBLANK(CW10)), 0, ISBLANK(CW10), $Q10-$S10+BI10-CF10)</f>
        <v/>
      </c>
      <c r="DO10" s="158" t="str" cm="1">
        <f t="array" ref="DO10">_xlfn.IFS(DO$1= 0,"", NOT(ISBLANK(CX10)), 0, ISBLANK(CX10), $Q10-$S10+BJ10-CG10)</f>
        <v/>
      </c>
      <c r="DP10" s="143" t="str" cm="1">
        <f t="array" ref="DP10">_xlfn.IFS(DP$1= 0,"", NOT(ISBLANK(CY10)), 0, ISBLANK(CY10), $Q10-$S10+BK10-CH10)</f>
        <v/>
      </c>
      <c r="DQ10" s="143" t="str" cm="1">
        <f t="array" ref="DQ10">_xlfn.IFS(DQ$1= 0,"", NOT(ISBLANK(CZ10)), 0, ISBLANK(CZ10), $Q10-$S10+BL10-CI10)</f>
        <v/>
      </c>
      <c r="DR10" s="14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2" t="s">
        <v>139</v>
      </c>
      <c r="F11" s="210"/>
      <c r="G11" s="211"/>
      <c r="H11" s="211"/>
      <c r="I11" s="211"/>
      <c r="J11" s="211"/>
      <c r="K11" s="211"/>
      <c r="L11" s="211"/>
      <c r="M11" s="215"/>
      <c r="N11" s="210">
        <v>60</v>
      </c>
      <c r="O11" s="212">
        <v>5</v>
      </c>
      <c r="P11" s="205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83.683269534596931</v>
      </c>
      <c r="AI11" s="150">
        <f t="array" ref="AI11">IF(AI$1=0,"",SQRT((_xlfn.XLOOKUP(AI$1,$Z$2:$Z$18,$AA$2:$AA$18)-$T11)^2+(_xlfn.XLOOKUP(AI$1,$Z$2:$Z$18,$AB$2:$AB$18)-$U11)^2+(_xlfn.XLOOKUP(AI$1,$Z$2:$Z$18,$AC$2:$AC$18-$V11)^2)))</f>
        <v>61.662816186093863</v>
      </c>
      <c r="AJ11" s="150">
        <f t="array" ref="AJ11">IF(AJ$1=0,"",SQRT((_xlfn.XLOOKUP(AJ$1,$Z$2:$Z$18,$AA$2:$AA$18)-$T11)^2+(_xlfn.XLOOKUP(AJ$1,$Z$2:$Z$18,$AB$2:$AB$18)-$U11)^2+(_xlfn.XLOOKUP(AJ$1,$Z$2:$Z$18,$AC$2:$AC$18-$V11)^2)))</f>
        <v>130.48861751126032</v>
      </c>
      <c r="AK11" s="150">
        <f t="array" ref="AK11">IF(AK$1=0,"",SQRT((_xlfn.XLOOKUP(AK$1,$Z$2:$Z$18,$AA$2:$AA$18)-$T11)^2+(_xlfn.XLOOKUP(AK$1,$Z$2:$Z$18,$AB$2:$AB$18)-$U11)^2+(_xlfn.XLOOKUP(AK$1,$Z$2:$Z$18,$AC$2:$AC$18-$V11)^2)))</f>
        <v>205.9662625285996</v>
      </c>
      <c r="AL11" s="150">
        <f t="array" ref="AL11">IF(AL$1=0,"",SQRT((_xlfn.XLOOKUP(AL$1,$Z$2:$Z$18,$AA$2:$AA$18)-$T11)^2+(_xlfn.XLOOKUP(AL$1,$Z$2:$Z$18,$AB$2:$AB$18)-$U11)^2+(_xlfn.XLOOKUP(AL$1,$Z$2:$Z$18,$AC$2:$AC$18-$V11)^2)))</f>
        <v>153.58843771586456</v>
      </c>
      <c r="AM11" s="150" t="str">
        <f t="array" ref="AM11">IF(AM$1=0,"",SQRT((_xlfn.XLOOKUP(AM$1,$Z$2:$Z$18,$AA$2:$AA$18)-$T11)^2+(_xlfn.XLOOKUP(AM$1,$Z$2:$Z$18,$AB$2:$AB$18)-$U11)^2+(_xlfn.XLOOKUP(AM$1,$Z$2:$Z$18,$AC$2:$AC$18-$V11)^2)))</f>
        <v/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19"/>
        <v>-36.114870734770832</v>
      </c>
      <c r="AZ11" s="153">
        <f t="shared" si="20"/>
        <v>-33.462565044758826</v>
      </c>
      <c r="BA11" s="153">
        <f t="shared" si="21"/>
        <v>-39.973550535529917</v>
      </c>
      <c r="BB11" s="153">
        <f t="shared" si="22"/>
        <v>-43.938019703771531</v>
      </c>
      <c r="BC11" s="153">
        <f t="shared" si="23"/>
        <v>-41.389268393394005</v>
      </c>
      <c r="BD11" s="153">
        <f t="shared" si="24"/>
        <v>0</v>
      </c>
      <c r="BE11" s="153">
        <f t="shared" si="25"/>
        <v>0</v>
      </c>
      <c r="BF11" s="153">
        <f t="shared" si="26"/>
        <v>0</v>
      </c>
      <c r="BG11" s="154">
        <f t="shared" si="27"/>
        <v>0</v>
      </c>
      <c r="BH11" s="154">
        <f t="shared" si="28"/>
        <v>0</v>
      </c>
      <c r="BI11" s="154">
        <f t="shared" si="29"/>
        <v>0</v>
      </c>
      <c r="BJ11" s="154">
        <f t="shared" si="30"/>
        <v>0</v>
      </c>
      <c r="BK11" s="154">
        <f t="shared" si="31"/>
        <v>0</v>
      </c>
      <c r="BL11" s="154">
        <f t="shared" si="32"/>
        <v>0</v>
      </c>
      <c r="BM11" s="155">
        <f t="shared" si="33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>
        <v>4</v>
      </c>
      <c r="BW11" s="140">
        <v>8</v>
      </c>
      <c r="BX11" s="140">
        <v>11</v>
      </c>
      <c r="BY11" s="140">
        <v>11</v>
      </c>
      <c r="BZ11" s="140">
        <v>7</v>
      </c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L11" s="134"/>
      <c r="CM11" s="140" t="s">
        <v>32</v>
      </c>
      <c r="CN11" s="140" t="s">
        <v>32</v>
      </c>
      <c r="CO11" s="140" t="s">
        <v>32</v>
      </c>
      <c r="CP11" s="140" t="s">
        <v>32</v>
      </c>
      <c r="CQ11" s="140" t="s">
        <v>32</v>
      </c>
      <c r="CR11" s="140"/>
      <c r="CS11" s="140"/>
      <c r="CT11" s="140"/>
      <c r="CU11" s="140"/>
      <c r="CV11" s="140"/>
      <c r="CW11" s="140"/>
      <c r="CX11" s="140"/>
      <c r="CY11" s="140"/>
      <c r="CZ11" s="140"/>
      <c r="DA11" s="140"/>
      <c r="DB11" s="134"/>
      <c r="DC11" s="134"/>
      <c r="DD11" s="156" cm="1">
        <f t="array" ref="DD11">_xlfn.IFS(DD$1= 0,"", NOT(ISBLANK(CM11)), 0, ISBLANK(CM11), $Q11-$S11+AY11-BV11)</f>
        <v>0</v>
      </c>
      <c r="DE11" s="157" cm="1">
        <f t="array" ref="DE11">_xlfn.IFS(DE$1= 0,"", NOT(ISBLANK(CN11)), 0, ISBLANK(CN11), $Q11-$S11+AZ11-BW11)</f>
        <v>0</v>
      </c>
      <c r="DF11" s="157" cm="1">
        <f t="array" ref="DF11">_xlfn.IFS(DF$1= 0,"", NOT(ISBLANK(CO11)), 0, ISBLANK(CO11), $Q11-$S11+BA11-BX11)</f>
        <v>0</v>
      </c>
      <c r="DG11" s="157" cm="1">
        <f t="array" ref="DG11">_xlfn.IFS(DG$1= 0,"", NOT(ISBLANK(CP11)), 0, ISBLANK(CP11), $Q11-$S11+BB11-BY11)</f>
        <v>0</v>
      </c>
      <c r="DH11" s="157" cm="1">
        <f t="array" ref="DH11">_xlfn.IFS(DH$1= 0,"", NOT(ISBLANK(CQ11)), 0, ISBLANK(CQ11), $Q11-$S11+BC11-BZ11)</f>
        <v>0</v>
      </c>
      <c r="DI11" s="157" t="str" cm="1">
        <f t="array" ref="DI11">_xlfn.IFS(DI$1= 0,"", NOT(ISBLANK(CR11)), 0, ISBLANK(CR11), $Q11-$S11+BD11-CA11)</f>
        <v/>
      </c>
      <c r="DJ11" s="157" t="str" cm="1">
        <f t="array" ref="DJ11">_xlfn.IFS(DJ$1= 0,"", NOT(ISBLANK(CS11)), 0, ISBLANK(CS11), $Q11-$S11+BE11-CB11)</f>
        <v/>
      </c>
      <c r="DK11" s="157" t="str" cm="1">
        <f t="array" ref="DK11">_xlfn.IFS(DK$1= 0,"", NOT(ISBLANK(CT11)), 0, ISBLANK(CT11), $Q11-$S11+BF11-CC11)</f>
        <v/>
      </c>
      <c r="DL11" s="158" t="str" cm="1">
        <f t="array" ref="DL11">_xlfn.IFS(DL$1= 0,"", NOT(ISBLANK(CU11)), 0, ISBLANK(CU11), $Q11-$S11+BG11-CD11)</f>
        <v/>
      </c>
      <c r="DM11" s="158" t="str" cm="1">
        <f t="array" ref="DM11">_xlfn.IFS(DM$1= 0,"", NOT(ISBLANK(CV11)), 0, ISBLANK(CV11), $Q11-$S11+BH11-CE11)</f>
        <v/>
      </c>
      <c r="DN11" s="158" t="str" cm="1">
        <f t="array" ref="DN11">_xlfn.IFS(DN$1= 0,"", NOT(ISBLANK(CW11)), 0, ISBLANK(CW11), $Q11-$S11+BI11-CF11)</f>
        <v/>
      </c>
      <c r="DO11" s="158" t="str" cm="1">
        <f t="array" ref="DO11">_xlfn.IFS(DO$1= 0,"", NOT(ISBLANK(CX11)), 0, ISBLANK(CX11), $Q11-$S11+BJ11-CG11)</f>
        <v/>
      </c>
      <c r="DP11" s="143" t="str" cm="1">
        <f t="array" ref="DP11">_xlfn.IFS(DP$1= 0,"", NOT(ISBLANK(CY11)), 0, ISBLANK(CY11), $Q11-$S11+BK11-CH11)</f>
        <v/>
      </c>
      <c r="DQ11" s="143" t="str" cm="1">
        <f t="array" ref="DQ11">_xlfn.IFS(DQ$1= 0,"", NOT(ISBLANK(CZ11)), 0, ISBLANK(CZ11), $Q11-$S11+BL11-CI11)</f>
        <v/>
      </c>
      <c r="DR11" s="14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2" t="s">
        <v>140</v>
      </c>
      <c r="F12" s="210"/>
      <c r="G12" s="211"/>
      <c r="H12" s="211"/>
      <c r="I12" s="211"/>
      <c r="J12" s="211"/>
      <c r="K12" s="211"/>
      <c r="L12" s="211"/>
      <c r="M12" s="215"/>
      <c r="N12" s="210">
        <v>58</v>
      </c>
      <c r="O12" s="212">
        <v>5</v>
      </c>
      <c r="P12" s="205">
        <v>1</v>
      </c>
      <c r="Q12" s="12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201.433798802485</v>
      </c>
      <c r="AI12" s="150">
        <f t="array" ref="AI12">IF(AI$1=0,"",SQRT((_xlfn.XLOOKUP(AI$1,$Z$2:$Z$18,$AA$2:$AA$18)-$T12)^2+(_xlfn.XLOOKUP(AI$1,$Z$2:$Z$18,$AB$2:$AB$18)-$U12)^2+(_xlfn.XLOOKUP(AI$1,$Z$2:$Z$18,$AC$2:$AC$18-$V12)^2)))</f>
        <v>130.49022951930158</v>
      </c>
      <c r="AJ12" s="150">
        <f t="array" ref="AJ12">IF(AJ$1=0,"",SQRT((_xlfn.XLOOKUP(AJ$1,$Z$2:$Z$18,$AA$2:$AA$18)-$T12)^2+(_xlfn.XLOOKUP(AJ$1,$Z$2:$Z$18,$AB$2:$AB$18)-$U12)^2+(_xlfn.XLOOKUP(AJ$1,$Z$2:$Z$18,$AC$2:$AC$18-$V12)^2)))</f>
        <v>29.634861227952474</v>
      </c>
      <c r="AK12" s="150">
        <f t="array" ref="AK12">IF(AK$1=0,"",SQRT((_xlfn.XLOOKUP(AK$1,$Z$2:$Z$18,$AA$2:$AA$18)-$T12)^2+(_xlfn.XLOOKUP(AK$1,$Z$2:$Z$18,$AB$2:$AB$18)-$U12)^2+(_xlfn.XLOOKUP(AK$1,$Z$2:$Z$18,$AC$2:$AC$18-$V12)^2)))</f>
        <v>101.82735388882497</v>
      </c>
      <c r="AL12" s="150">
        <f t="array" ref="AL12">IF(AL$1=0,"",SQRT((_xlfn.XLOOKUP(AL$1,$Z$2:$Z$18,$AA$2:$AA$18)-$T12)^2+(_xlfn.XLOOKUP(AL$1,$Z$2:$Z$18,$AB$2:$AB$18)-$U12)^2+(_xlfn.XLOOKUP(AL$1,$Z$2:$Z$18,$AC$2:$AC$18-$V12)^2)))</f>
        <v>275.81448711044897</v>
      </c>
      <c r="AM12" s="150" t="str">
        <f t="array" ref="AM12">IF(AM$1=0,"",SQRT((_xlfn.XLOOKUP(AM$1,$Z$2:$Z$18,$AA$2:$AA$18)-$T12)^2+(_xlfn.XLOOKUP(AM$1,$Z$2:$Z$18,$AB$2:$AB$18)-$U12)^2+(_xlfn.XLOOKUP(AM$1,$Z$2:$Z$18,$AC$2:$AC$18-$V12)^2)))</f>
        <v/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19"/>
        <v>-43.744744798709725</v>
      </c>
      <c r="AZ12" s="153">
        <f t="shared" si="20"/>
        <v>-39.973657837130041</v>
      </c>
      <c r="BA12" s="153">
        <f t="shared" si="21"/>
        <v>-27.098155894854209</v>
      </c>
      <c r="BB12" s="153">
        <f t="shared" si="22"/>
        <v>-37.819387101508653</v>
      </c>
      <c r="BC12" s="153">
        <f t="shared" si="23"/>
        <v>-46.474439410631803</v>
      </c>
      <c r="BD12" s="153">
        <f t="shared" si="24"/>
        <v>0</v>
      </c>
      <c r="BE12" s="153">
        <f t="shared" si="25"/>
        <v>0</v>
      </c>
      <c r="BF12" s="153">
        <f t="shared" si="26"/>
        <v>0</v>
      </c>
      <c r="BG12" s="154">
        <f t="shared" si="27"/>
        <v>0</v>
      </c>
      <c r="BH12" s="154">
        <f t="shared" si="28"/>
        <v>0</v>
      </c>
      <c r="BI12" s="154">
        <f t="shared" si="29"/>
        <v>0</v>
      </c>
      <c r="BJ12" s="154">
        <f t="shared" si="30"/>
        <v>0</v>
      </c>
      <c r="BK12" s="154">
        <f t="shared" si="31"/>
        <v>0</v>
      </c>
      <c r="BL12" s="154">
        <f t="shared" si="32"/>
        <v>0</v>
      </c>
      <c r="BM12" s="155">
        <f t="shared" si="33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>
        <v>2</v>
      </c>
      <c r="BW12" s="140">
        <v>13</v>
      </c>
      <c r="BX12" s="140">
        <v>12</v>
      </c>
      <c r="BY12" s="140">
        <v>7</v>
      </c>
      <c r="BZ12" s="140">
        <v>10</v>
      </c>
      <c r="CA12" s="140"/>
      <c r="CB12" s="140"/>
      <c r="CC12" s="140"/>
      <c r="CD12" s="140"/>
      <c r="CE12" s="140"/>
      <c r="CF12" s="140"/>
      <c r="CG12" s="140"/>
      <c r="CH12" s="140"/>
      <c r="CI12" s="140"/>
      <c r="CJ12" s="140"/>
      <c r="CL12" s="134"/>
      <c r="CM12" s="140" t="s">
        <v>32</v>
      </c>
      <c r="CN12" s="140" t="s">
        <v>32</v>
      </c>
      <c r="CO12" s="140" t="s">
        <v>32</v>
      </c>
      <c r="CP12" s="140" t="s">
        <v>32</v>
      </c>
      <c r="CQ12" s="140" t="s">
        <v>32</v>
      </c>
      <c r="CR12" s="140"/>
      <c r="CS12" s="140"/>
      <c r="CT12" s="140"/>
      <c r="CU12" s="140"/>
      <c r="CV12" s="140"/>
      <c r="CW12" s="140"/>
      <c r="CX12" s="140"/>
      <c r="CY12" s="140"/>
      <c r="CZ12" s="140"/>
      <c r="DA12" s="140"/>
      <c r="DB12" s="134"/>
      <c r="DC12" s="134"/>
      <c r="DD12" s="156" cm="1">
        <f t="array" ref="DD12">_xlfn.IFS(DD$1= 0,"", NOT(ISBLANK(CM12)), 0, ISBLANK(CM12), $Q12-$S12+AY12-BV12)</f>
        <v>0</v>
      </c>
      <c r="DE12" s="157" cm="1">
        <f t="array" ref="DE12">_xlfn.IFS(DE$1= 0,"", NOT(ISBLANK(CN12)), 0, ISBLANK(CN12), $Q12-$S12+AZ12-BW12)</f>
        <v>0</v>
      </c>
      <c r="DF12" s="157" cm="1">
        <f t="array" ref="DF12">_xlfn.IFS(DF$1= 0,"", NOT(ISBLANK(CO12)), 0, ISBLANK(CO12), $Q12-$S12+BA12-BX12)</f>
        <v>0</v>
      </c>
      <c r="DG12" s="157" cm="1">
        <f t="array" ref="DG12">_xlfn.IFS(DG$1= 0,"", NOT(ISBLANK(CP12)), 0, ISBLANK(CP12), $Q12-$S12+BB12-BY12)</f>
        <v>0</v>
      </c>
      <c r="DH12" s="157" cm="1">
        <f t="array" ref="DH12">_xlfn.IFS(DH$1= 0,"", NOT(ISBLANK(CQ12)), 0, ISBLANK(CQ12), $Q12-$S12+BC12-BZ12)</f>
        <v>0</v>
      </c>
      <c r="DI12" s="157" t="str" cm="1">
        <f t="array" ref="DI12">_xlfn.IFS(DI$1= 0,"", NOT(ISBLANK(CR12)), 0, ISBLANK(CR12), $Q12-$S12+BD12-CA12)</f>
        <v/>
      </c>
      <c r="DJ12" s="157" t="str" cm="1">
        <f t="array" ref="DJ12">_xlfn.IFS(DJ$1= 0,"", NOT(ISBLANK(CS12)), 0, ISBLANK(CS12), $Q12-$S12+BE12-CB12)</f>
        <v/>
      </c>
      <c r="DK12" s="157" t="str" cm="1">
        <f t="array" ref="DK12">_xlfn.IFS(DK$1= 0,"", NOT(ISBLANK(CT12)), 0, ISBLANK(CT12), $Q12-$S12+BF12-CC12)</f>
        <v/>
      </c>
      <c r="DL12" s="158" t="str" cm="1">
        <f t="array" ref="DL12">_xlfn.IFS(DL$1= 0,"", NOT(ISBLANK(CU12)), 0, ISBLANK(CU12), $Q12-$S12+BG12-CD12)</f>
        <v/>
      </c>
      <c r="DM12" s="158" t="str" cm="1">
        <f t="array" ref="DM12">_xlfn.IFS(DM$1= 0,"", NOT(ISBLANK(CV12)), 0, ISBLANK(CV12), $Q12-$S12+BH12-CE12)</f>
        <v/>
      </c>
      <c r="DN12" s="158" t="str" cm="1">
        <f t="array" ref="DN12">_xlfn.IFS(DN$1= 0,"", NOT(ISBLANK(CW12)), 0, ISBLANK(CW12), $Q12-$S12+BI12-CF12)</f>
        <v/>
      </c>
      <c r="DO12" s="158" t="str" cm="1">
        <f t="array" ref="DO12">_xlfn.IFS(DO$1= 0,"", NOT(ISBLANK(CX12)), 0, ISBLANK(CX12), $Q12-$S12+BJ12-CG12)</f>
        <v/>
      </c>
      <c r="DP12" s="143" t="str" cm="1">
        <f t="array" ref="DP12">_xlfn.IFS(DP$1= 0,"", NOT(ISBLANK(CY12)), 0, ISBLANK(CY12), $Q12-$S12+BK12-CH12)</f>
        <v/>
      </c>
      <c r="DQ12" s="143" t="str" cm="1">
        <f t="array" ref="DQ12">_xlfn.IFS(DQ$1= 0,"", NOT(ISBLANK(CZ12)), 0, ISBLANK(CZ12), $Q12-$S12+BL12-CI12)</f>
        <v/>
      </c>
      <c r="DR12" s="14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2" t="s">
        <v>140</v>
      </c>
      <c r="F13" s="210"/>
      <c r="G13" s="211"/>
      <c r="H13" s="211"/>
      <c r="I13" s="211"/>
      <c r="J13" s="211"/>
      <c r="K13" s="211"/>
      <c r="L13" s="211"/>
      <c r="M13" s="215"/>
      <c r="N13" s="210">
        <v>58</v>
      </c>
      <c r="O13" s="212">
        <v>5</v>
      </c>
      <c r="P13" s="205">
        <v>1</v>
      </c>
      <c r="Q13" s="12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145.92336687453454</v>
      </c>
      <c r="AI13" s="150">
        <f t="array" ref="AI13">IF(AI$1=0,"",SQRT((_xlfn.XLOOKUP(AI$1,$Z$2:$Z$18,$AA$2:$AA$18)-$T13)^2+(_xlfn.XLOOKUP(AI$1,$Z$2:$Z$18,$AB$2:$AB$18)-$U13)^2+(_xlfn.XLOOKUP(AI$1,$Z$2:$Z$18,$AC$2:$AC$18-$V13)^2)))</f>
        <v>111.76248610334328</v>
      </c>
      <c r="AJ13" s="150">
        <f t="array" ref="AJ13">IF(AJ$1=0,"",SQRT((_xlfn.XLOOKUP(AJ$1,$Z$2:$Z$18,$AA$2:$AA$18)-$T13)^2+(_xlfn.XLOOKUP(AJ$1,$Z$2:$Z$18,$AB$2:$AB$18)-$U13)^2+(_xlfn.XLOOKUP(AJ$1,$Z$2:$Z$18,$AC$2:$AC$18-$V13)^2)))</f>
        <v>124.93176737723675</v>
      </c>
      <c r="AK13" s="150">
        <f t="array" ref="AK13">IF(AK$1=0,"",SQRT((_xlfn.XLOOKUP(AK$1,$Z$2:$Z$18,$AA$2:$AA$18)-$T13)^2+(_xlfn.XLOOKUP(AK$1,$Z$2:$Z$18,$AB$2:$AB$18)-$U13)^2+(_xlfn.XLOOKUP(AK$1,$Z$2:$Z$18,$AC$2:$AC$18-$V13)^2)))</f>
        <v>159.4939701054557</v>
      </c>
      <c r="AL13" s="150">
        <f t="array" ref="AL13">IF(AL$1=0,"",SQRT((_xlfn.XLOOKUP(AL$1,$Z$2:$Z$18,$AA$2:$AA$18)-$T13)^2+(_xlfn.XLOOKUP(AL$1,$Z$2:$Z$18,$AB$2:$AB$18)-$U13)^2+(_xlfn.XLOOKUP(AL$1,$Z$2:$Z$18,$AC$2:$AC$18-$V13)^2)))</f>
        <v>175.55727612377677</v>
      </c>
      <c r="AM13" s="150" t="str">
        <f t="array" ref="AM13">IF(AM$1=0,"",SQRT((_xlfn.XLOOKUP(AM$1,$Z$2:$Z$18,$AA$2:$AA$18)-$T13)^2+(_xlfn.XLOOKUP(AM$1,$Z$2:$Z$18,$AB$2:$AB$18)-$U13)^2+(_xlfn.XLOOKUP(AM$1,$Z$2:$Z$18,$AC$2:$AC$18-$V13)^2)))</f>
        <v/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19"/>
        <v>-40.944594767551621</v>
      </c>
      <c r="AZ13" s="153">
        <f t="shared" si="20"/>
        <v>-38.628019014687453</v>
      </c>
      <c r="BA13" s="153">
        <f t="shared" si="21"/>
        <v>-39.595555614332</v>
      </c>
      <c r="BB13" s="153">
        <f t="shared" si="22"/>
        <v>-41.716983308692434</v>
      </c>
      <c r="BC13" s="153">
        <f t="shared" si="23"/>
        <v>-42.550474614659713</v>
      </c>
      <c r="BD13" s="153">
        <f t="shared" si="24"/>
        <v>0</v>
      </c>
      <c r="BE13" s="153">
        <f t="shared" si="25"/>
        <v>0</v>
      </c>
      <c r="BF13" s="153">
        <f t="shared" si="26"/>
        <v>0</v>
      </c>
      <c r="BG13" s="154">
        <f t="shared" si="27"/>
        <v>0</v>
      </c>
      <c r="BH13" s="154">
        <f t="shared" si="28"/>
        <v>0</v>
      </c>
      <c r="BI13" s="154">
        <f t="shared" si="29"/>
        <v>0</v>
      </c>
      <c r="BJ13" s="154">
        <f t="shared" si="30"/>
        <v>0</v>
      </c>
      <c r="BK13" s="154">
        <f t="shared" si="31"/>
        <v>0</v>
      </c>
      <c r="BL13" s="154">
        <f t="shared" si="32"/>
        <v>0</v>
      </c>
      <c r="BM13" s="155">
        <f t="shared" si="33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>
        <v>8</v>
      </c>
      <c r="BW13" s="140">
        <v>14</v>
      </c>
      <c r="BX13" s="140">
        <v>15</v>
      </c>
      <c r="BY13" s="140">
        <v>8</v>
      </c>
      <c r="BZ13" s="140">
        <v>4</v>
      </c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L13" s="134"/>
      <c r="CM13" s="140" t="s">
        <v>32</v>
      </c>
      <c r="CN13" s="140" t="s">
        <v>32</v>
      </c>
      <c r="CO13" s="140" t="s">
        <v>32</v>
      </c>
      <c r="CP13" s="140" t="s">
        <v>32</v>
      </c>
      <c r="CQ13" s="140" t="s">
        <v>32</v>
      </c>
      <c r="CR13" s="140"/>
      <c r="CS13" s="140"/>
      <c r="CT13" s="140"/>
      <c r="CU13" s="140"/>
      <c r="CV13" s="140"/>
      <c r="CW13" s="140"/>
      <c r="CX13" s="140"/>
      <c r="CY13" s="140"/>
      <c r="CZ13" s="140"/>
      <c r="DA13" s="140"/>
      <c r="DB13" s="134"/>
      <c r="DC13" s="134"/>
      <c r="DD13" s="156" cm="1">
        <f t="array" ref="DD13">_xlfn.IFS(DD$1= 0,"", NOT(ISBLANK(CM13)), 0, ISBLANK(CM13), $Q13-$S13+AY13-BV13)</f>
        <v>0</v>
      </c>
      <c r="DE13" s="157" cm="1">
        <f t="array" ref="DE13">_xlfn.IFS(DE$1= 0,"", NOT(ISBLANK(CN13)), 0, ISBLANK(CN13), $Q13-$S13+AZ13-BW13)</f>
        <v>0</v>
      </c>
      <c r="DF13" s="157" cm="1">
        <f t="array" ref="DF13">_xlfn.IFS(DF$1= 0,"", NOT(ISBLANK(CO13)), 0, ISBLANK(CO13), $Q13-$S13+BA13-BX13)</f>
        <v>0</v>
      </c>
      <c r="DG13" s="157" cm="1">
        <f t="array" ref="DG13">_xlfn.IFS(DG$1= 0,"", NOT(ISBLANK(CP13)), 0, ISBLANK(CP13), $Q13-$S13+BB13-BY13)</f>
        <v>0</v>
      </c>
      <c r="DH13" s="157" cm="1">
        <f t="array" ref="DH13">_xlfn.IFS(DH$1= 0,"", NOT(ISBLANK(CQ13)), 0, ISBLANK(CQ13), $Q13-$S13+BC13-BZ13)</f>
        <v>0</v>
      </c>
      <c r="DI13" s="157" t="str" cm="1">
        <f t="array" ref="DI13">_xlfn.IFS(DI$1= 0,"", NOT(ISBLANK(CR13)), 0, ISBLANK(CR13), $Q13-$S13+BD13-CA13)</f>
        <v/>
      </c>
      <c r="DJ13" s="157" t="str" cm="1">
        <f t="array" ref="DJ13">_xlfn.IFS(DJ$1= 0,"", NOT(ISBLANK(CS13)), 0, ISBLANK(CS13), $Q13-$S13+BE13-CB13)</f>
        <v/>
      </c>
      <c r="DK13" s="157" t="str" cm="1">
        <f t="array" ref="DK13">_xlfn.IFS(DK$1= 0,"", NOT(ISBLANK(CT13)), 0, ISBLANK(CT13), $Q13-$S13+BF13-CC13)</f>
        <v/>
      </c>
      <c r="DL13" s="158" t="str" cm="1">
        <f t="array" ref="DL13">_xlfn.IFS(DL$1= 0,"", NOT(ISBLANK(CU13)), 0, ISBLANK(CU13), $Q13-$S13+BG13-CD13)</f>
        <v/>
      </c>
      <c r="DM13" s="158" t="str" cm="1">
        <f t="array" ref="DM13">_xlfn.IFS(DM$1= 0,"", NOT(ISBLANK(CV13)), 0, ISBLANK(CV13), $Q13-$S13+BH13-CE13)</f>
        <v/>
      </c>
      <c r="DN13" s="158" t="str" cm="1">
        <f t="array" ref="DN13">_xlfn.IFS(DN$1= 0,"", NOT(ISBLANK(CW13)), 0, ISBLANK(CW13), $Q13-$S13+BI13-CF13)</f>
        <v/>
      </c>
      <c r="DO13" s="158" t="str" cm="1">
        <f t="array" ref="DO13">_xlfn.IFS(DO$1= 0,"", NOT(ISBLANK(CX13)), 0, ISBLANK(CX13), $Q13-$S13+BJ13-CG13)</f>
        <v/>
      </c>
      <c r="DP13" s="143" t="str" cm="1">
        <f t="array" ref="DP13">_xlfn.IFS(DP$1= 0,"", NOT(ISBLANK(CY13)), 0, ISBLANK(CY13), $Q13-$S13+BK13-CH13)</f>
        <v/>
      </c>
      <c r="DQ13" s="143" t="str" cm="1">
        <f t="array" ref="DQ13">_xlfn.IFS(DQ$1= 0,"", NOT(ISBLANK(CZ13)), 0, ISBLANK(CZ13), $Q13-$S13+BL13-CI13)</f>
        <v/>
      </c>
      <c r="DR13" s="14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2" t="s">
        <v>140</v>
      </c>
      <c r="F14" s="210"/>
      <c r="G14" s="211"/>
      <c r="H14" s="211"/>
      <c r="I14" s="211"/>
      <c r="J14" s="211"/>
      <c r="K14" s="211"/>
      <c r="L14" s="211"/>
      <c r="M14" s="215"/>
      <c r="N14" s="210">
        <v>58</v>
      </c>
      <c r="O14" s="212">
        <v>5</v>
      </c>
      <c r="P14" s="205">
        <v>1</v>
      </c>
      <c r="Q14" s="12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124.67838706046849</v>
      </c>
      <c r="AI14" s="150">
        <f t="array" ref="AI14">IF(AI$1=0,"",SQRT((_xlfn.XLOOKUP(AI$1,$Z$2:$Z$18,$AA$2:$AA$18)-$T14)^2+(_xlfn.XLOOKUP(AI$1,$Z$2:$Z$18,$AB$2:$AB$18)-$U14)^2+(_xlfn.XLOOKUP(AI$1,$Z$2:$Z$18,$AC$2:$AC$18-$V14)^2)))</f>
        <v>80.576004492652771</v>
      </c>
      <c r="AJ14" s="150">
        <f t="array" ref="AJ14">IF(AJ$1=0,"",SQRT((_xlfn.XLOOKUP(AJ$1,$Z$2:$Z$18,$AA$2:$AA$18)-$T14)^2+(_xlfn.XLOOKUP(AJ$1,$Z$2:$Z$18,$AB$2:$AB$18)-$U14)^2+(_xlfn.XLOOKUP(AJ$1,$Z$2:$Z$18,$AC$2:$AC$18-$V14)^2)))</f>
        <v>103.05684111207756</v>
      </c>
      <c r="AK14" s="150">
        <f t="array" ref="AK14">IF(AK$1=0,"",SQRT((_xlfn.XLOOKUP(AK$1,$Z$2:$Z$18,$AA$2:$AA$18)-$T14)^2+(_xlfn.XLOOKUP(AK$1,$Z$2:$Z$18,$AB$2:$AB$18)-$U14)^2+(_xlfn.XLOOKUP(AK$1,$Z$2:$Z$18,$AC$2:$AC$18-$V14)^2)))</f>
        <v>165.2071744810134</v>
      </c>
      <c r="AL14" s="150">
        <f t="array" ref="AL14">IF(AL$1=0,"",SQRT((_xlfn.XLOOKUP(AL$1,$Z$2:$Z$18,$AA$2:$AA$18)-$T14)^2+(_xlfn.XLOOKUP(AL$1,$Z$2:$Z$18,$AB$2:$AB$18)-$U14)^2+(_xlfn.XLOOKUP(AL$1,$Z$2:$Z$18,$AC$2:$AC$18-$V14)^2)))</f>
        <v>181.5062092601793</v>
      </c>
      <c r="AM14" s="150" t="str">
        <f t="array" ref="AM14">IF(AM$1=0,"",SQRT((_xlfn.XLOOKUP(AM$1,$Z$2:$Z$18,$AA$2:$AA$18)-$T14)^2+(_xlfn.XLOOKUP(AM$1,$Z$2:$Z$18,$AB$2:$AB$18)-$U14)^2+(_xlfn.XLOOKUP(AM$1,$Z$2:$Z$18,$AC$2:$AC$18-$V14)^2)))</f>
        <v/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19"/>
        <v>-39.577921442126105</v>
      </c>
      <c r="AZ14" s="153">
        <f t="shared" si="20"/>
        <v>-35.786212503064036</v>
      </c>
      <c r="BA14" s="153">
        <f t="shared" si="21"/>
        <v>-37.923634464498747</v>
      </c>
      <c r="BB14" s="153">
        <f t="shared" si="22"/>
        <v>-42.022676008466853</v>
      </c>
      <c r="BC14" s="153">
        <f t="shared" si="23"/>
        <v>-42.839927670524496</v>
      </c>
      <c r="BD14" s="153">
        <f t="shared" si="24"/>
        <v>0</v>
      </c>
      <c r="BE14" s="153">
        <f t="shared" si="25"/>
        <v>0</v>
      </c>
      <c r="BF14" s="153">
        <f t="shared" si="26"/>
        <v>0</v>
      </c>
      <c r="BG14" s="154">
        <f t="shared" si="27"/>
        <v>0</v>
      </c>
      <c r="BH14" s="154">
        <f t="shared" si="28"/>
        <v>0</v>
      </c>
      <c r="BI14" s="154">
        <f t="shared" si="29"/>
        <v>0</v>
      </c>
      <c r="BJ14" s="154">
        <f t="shared" si="30"/>
        <v>0</v>
      </c>
      <c r="BK14" s="154">
        <f t="shared" si="31"/>
        <v>0</v>
      </c>
      <c r="BL14" s="154">
        <f t="shared" si="32"/>
        <v>0</v>
      </c>
      <c r="BM14" s="155">
        <f t="shared" si="33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>
        <v>6</v>
      </c>
      <c r="BW14" s="140">
        <v>8</v>
      </c>
      <c r="BX14" s="140">
        <v>12</v>
      </c>
      <c r="BY14" s="140">
        <v>10</v>
      </c>
      <c r="BZ14" s="140">
        <v>8</v>
      </c>
      <c r="CA14" s="140"/>
      <c r="CB14" s="140"/>
      <c r="CC14" s="140"/>
      <c r="CD14" s="140"/>
      <c r="CE14" s="140"/>
      <c r="CF14" s="140"/>
      <c r="CG14" s="140"/>
      <c r="CH14" s="140"/>
      <c r="CI14" s="140"/>
      <c r="CJ14" s="140"/>
      <c r="CL14" s="134"/>
      <c r="CM14" s="140" t="s">
        <v>32</v>
      </c>
      <c r="CN14" s="140" t="s">
        <v>32</v>
      </c>
      <c r="CO14" s="140" t="s">
        <v>32</v>
      </c>
      <c r="CP14" s="140" t="s">
        <v>32</v>
      </c>
      <c r="CQ14" s="140" t="s">
        <v>32</v>
      </c>
      <c r="CR14" s="140"/>
      <c r="CS14" s="140"/>
      <c r="CT14" s="140"/>
      <c r="CU14" s="140"/>
      <c r="CV14" s="140"/>
      <c r="CW14" s="140"/>
      <c r="CX14" s="140"/>
      <c r="CY14" s="140"/>
      <c r="CZ14" s="140"/>
      <c r="DA14" s="140"/>
      <c r="DB14" s="134"/>
      <c r="DC14" s="134"/>
      <c r="DD14" s="156" cm="1">
        <f t="array" ref="DD14">_xlfn.IFS(DD$1= 0,"", NOT(ISBLANK(CM14)), 0, ISBLANK(CM14), $Q14-$S14+AY14-BV14)</f>
        <v>0</v>
      </c>
      <c r="DE14" s="157" cm="1">
        <f t="array" ref="DE14">_xlfn.IFS(DE$1= 0,"", NOT(ISBLANK(CN14)), 0, ISBLANK(CN14), $Q14-$S14+AZ14-BW14)</f>
        <v>0</v>
      </c>
      <c r="DF14" s="157" cm="1">
        <f t="array" ref="DF14">_xlfn.IFS(DF$1= 0,"", NOT(ISBLANK(CO14)), 0, ISBLANK(CO14), $Q14-$S14+BA14-BX14)</f>
        <v>0</v>
      </c>
      <c r="DG14" s="157" cm="1">
        <f t="array" ref="DG14">_xlfn.IFS(DG$1= 0,"", NOT(ISBLANK(CP14)), 0, ISBLANK(CP14), $Q14-$S14+BB14-BY14)</f>
        <v>0</v>
      </c>
      <c r="DH14" s="157" cm="1">
        <f t="array" ref="DH14">_xlfn.IFS(DH$1= 0,"", NOT(ISBLANK(CQ14)), 0, ISBLANK(CQ14), $Q14-$S14+BC14-BZ14)</f>
        <v>0</v>
      </c>
      <c r="DI14" s="157" t="str" cm="1">
        <f t="array" ref="DI14">_xlfn.IFS(DI$1= 0,"", NOT(ISBLANK(CR14)), 0, ISBLANK(CR14), $Q14-$S14+BD14-CA14)</f>
        <v/>
      </c>
      <c r="DJ14" s="157" t="str" cm="1">
        <f t="array" ref="DJ14">_xlfn.IFS(DJ$1= 0,"", NOT(ISBLANK(CS14)), 0, ISBLANK(CS14), $Q14-$S14+BE14-CB14)</f>
        <v/>
      </c>
      <c r="DK14" s="157" t="str" cm="1">
        <f t="array" ref="DK14">_xlfn.IFS(DK$1= 0,"", NOT(ISBLANK(CT14)), 0, ISBLANK(CT14), $Q14-$S14+BF14-CC14)</f>
        <v/>
      </c>
      <c r="DL14" s="158" t="str" cm="1">
        <f t="array" ref="DL14">_xlfn.IFS(DL$1= 0,"", NOT(ISBLANK(CU14)), 0, ISBLANK(CU14), $Q14-$S14+BG14-CD14)</f>
        <v/>
      </c>
      <c r="DM14" s="158" t="str" cm="1">
        <f t="array" ref="DM14">_xlfn.IFS(DM$1= 0,"", NOT(ISBLANK(CV14)), 0, ISBLANK(CV14), $Q14-$S14+BH14-CE14)</f>
        <v/>
      </c>
      <c r="DN14" s="158" t="str" cm="1">
        <f t="array" ref="DN14">_xlfn.IFS(DN$1= 0,"", NOT(ISBLANK(CW14)), 0, ISBLANK(CW14), $Q14-$S14+BI14-CF14)</f>
        <v/>
      </c>
      <c r="DO14" s="158" t="str" cm="1">
        <f t="array" ref="DO14">_xlfn.IFS(DO$1= 0,"", NOT(ISBLANK(CX14)), 0, ISBLANK(CX14), $Q14-$S14+BJ14-CG14)</f>
        <v/>
      </c>
      <c r="DP14" s="143" t="str" cm="1">
        <f t="array" ref="DP14">_xlfn.IFS(DP$1= 0,"", NOT(ISBLANK(CY14)), 0, ISBLANK(CY14), $Q14-$S14+BK14-CH14)</f>
        <v/>
      </c>
      <c r="DQ14" s="143" t="str" cm="1">
        <f t="array" ref="DQ14">_xlfn.IFS(DQ$1= 0,"", NOT(ISBLANK(CZ14)), 0, ISBLANK(CZ14), $Q14-$S14+BL14-CI14)</f>
        <v/>
      </c>
      <c r="DR14" s="14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2" t="s">
        <v>140</v>
      </c>
      <c r="F15" s="210"/>
      <c r="G15" s="211"/>
      <c r="H15" s="211"/>
      <c r="I15" s="211"/>
      <c r="J15" s="211"/>
      <c r="K15" s="211"/>
      <c r="L15" s="211"/>
      <c r="M15" s="215"/>
      <c r="N15" s="210">
        <v>58</v>
      </c>
      <c r="O15" s="212">
        <v>5</v>
      </c>
      <c r="P15" s="205">
        <v>1</v>
      </c>
      <c r="Q15" s="12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111.5124979542652</v>
      </c>
      <c r="AI15" s="150">
        <f t="array" ref="AI15">IF(AI$1=0,"",SQRT((_xlfn.XLOOKUP(AI$1,$Z$2:$Z$18,$AA$2:$AA$18)-$T15)^2+(_xlfn.XLOOKUP(AI$1,$Z$2:$Z$18,$AB$2:$AB$18)-$U15)^2+(_xlfn.XLOOKUP(AI$1,$Z$2:$Z$18,$AC$2:$AC$18-$V15)^2)))</f>
        <v>70.759523034005809</v>
      </c>
      <c r="AJ15" s="150">
        <f t="array" ref="AJ15">IF(AJ$1=0,"",SQRT((_xlfn.XLOOKUP(AJ$1,$Z$2:$Z$18,$AA$2:$AA$18)-$T15)^2+(_xlfn.XLOOKUP(AJ$1,$Z$2:$Z$18,$AB$2:$AB$18)-$U15)^2+(_xlfn.XLOOKUP(AJ$1,$Z$2:$Z$18,$AC$2:$AC$18-$V15)^2)))</f>
        <v>108.77731610956394</v>
      </c>
      <c r="AK15" s="150">
        <f t="array" ref="AK15">IF(AK$1=0,"",SQRT((_xlfn.XLOOKUP(AK$1,$Z$2:$Z$18,$AA$2:$AA$18)-$T15)^2+(_xlfn.XLOOKUP(AK$1,$Z$2:$Z$18,$AB$2:$AB$18)-$U15)^2+(_xlfn.XLOOKUP(AK$1,$Z$2:$Z$18,$AC$2:$AC$18-$V15)^2)))</f>
        <v>177.45169624435832</v>
      </c>
      <c r="AL15" s="150">
        <f t="array" ref="AL15">IF(AL$1=0,"",SQRT((_xlfn.XLOOKUP(AL$1,$Z$2:$Z$18,$AA$2:$AA$18)-$T15)^2+(_xlfn.XLOOKUP(AL$1,$Z$2:$Z$18,$AB$2:$AB$18)-$U15)^2+(_xlfn.XLOOKUP(AL$1,$Z$2:$Z$18,$AC$2:$AC$18-$V15)^2)))</f>
        <v>173.70299536853128</v>
      </c>
      <c r="AM15" s="150" t="str">
        <f t="array" ref="AM15">IF(AM$1=0,"",SQRT((_xlfn.XLOOKUP(AM$1,$Z$2:$Z$18,$AA$2:$AA$18)-$T15)^2+(_xlfn.XLOOKUP(AM$1,$Z$2:$Z$18,$AB$2:$AB$18)-$U15)^2+(_xlfn.XLOOKUP(AM$1,$Z$2:$Z$18,$AC$2:$AC$18-$V15)^2)))</f>
        <v/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19"/>
        <v>-38.608568825135549</v>
      </c>
      <c r="AZ15" s="153">
        <f t="shared" si="20"/>
        <v>-34.657795873241383</v>
      </c>
      <c r="BA15" s="153">
        <f t="shared" si="21"/>
        <v>-38.392864719991117</v>
      </c>
      <c r="BB15" s="153">
        <f t="shared" si="22"/>
        <v>-42.643701038617472</v>
      </c>
      <c r="BC15" s="153">
        <f t="shared" si="23"/>
        <v>-42.458244088350845</v>
      </c>
      <c r="BD15" s="153">
        <f t="shared" si="24"/>
        <v>0</v>
      </c>
      <c r="BE15" s="153">
        <f t="shared" si="25"/>
        <v>0</v>
      </c>
      <c r="BF15" s="153">
        <f t="shared" si="26"/>
        <v>0</v>
      </c>
      <c r="BG15" s="154">
        <f t="shared" si="27"/>
        <v>0</v>
      </c>
      <c r="BH15" s="154">
        <f t="shared" si="28"/>
        <v>0</v>
      </c>
      <c r="BI15" s="154">
        <f t="shared" si="29"/>
        <v>0</v>
      </c>
      <c r="BJ15" s="154">
        <f t="shared" si="30"/>
        <v>0</v>
      </c>
      <c r="BK15" s="154">
        <f t="shared" si="31"/>
        <v>0</v>
      </c>
      <c r="BL15" s="154">
        <f t="shared" si="32"/>
        <v>0</v>
      </c>
      <c r="BM15" s="155">
        <f t="shared" si="33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>
        <v>6</v>
      </c>
      <c r="BW15" s="140">
        <v>8</v>
      </c>
      <c r="BX15" s="140">
        <v>12</v>
      </c>
      <c r="BY15" s="140">
        <v>11</v>
      </c>
      <c r="BZ15" s="140">
        <v>8</v>
      </c>
      <c r="CA15" s="140"/>
      <c r="CB15" s="140"/>
      <c r="CC15" s="140"/>
      <c r="CD15" s="140"/>
      <c r="CE15" s="140"/>
      <c r="CF15" s="140"/>
      <c r="CG15" s="140"/>
      <c r="CH15" s="140"/>
      <c r="CI15" s="140"/>
      <c r="CJ15" s="140"/>
      <c r="CL15" s="134"/>
      <c r="CM15" s="140" t="s">
        <v>32</v>
      </c>
      <c r="CN15" s="140" t="s">
        <v>32</v>
      </c>
      <c r="CO15" s="140" t="s">
        <v>32</v>
      </c>
      <c r="CP15" s="140" t="s">
        <v>32</v>
      </c>
      <c r="CQ15" s="140" t="s">
        <v>32</v>
      </c>
      <c r="CR15" s="140"/>
      <c r="CS15" s="140"/>
      <c r="CT15" s="140"/>
      <c r="CU15" s="140"/>
      <c r="CV15" s="140"/>
      <c r="CW15" s="140"/>
      <c r="CX15" s="140"/>
      <c r="CY15" s="140"/>
      <c r="CZ15" s="140"/>
      <c r="DA15" s="140"/>
      <c r="DB15" s="134"/>
      <c r="DC15" s="134"/>
      <c r="DD15" s="156" cm="1">
        <f t="array" ref="DD15">_xlfn.IFS(DD$1= 0,"", NOT(ISBLANK(CM15)), 0, ISBLANK(CM15), $Q15-$S15+AY15-BV15)</f>
        <v>0</v>
      </c>
      <c r="DE15" s="157" cm="1">
        <f t="array" ref="DE15">_xlfn.IFS(DE$1= 0,"", NOT(ISBLANK(CN15)), 0, ISBLANK(CN15), $Q15-$S15+AZ15-BW15)</f>
        <v>0</v>
      </c>
      <c r="DF15" s="157" cm="1">
        <f t="array" ref="DF15">_xlfn.IFS(DF$1= 0,"", NOT(ISBLANK(CO15)), 0, ISBLANK(CO15), $Q15-$S15+BA15-BX15)</f>
        <v>0</v>
      </c>
      <c r="DG15" s="157" cm="1">
        <f t="array" ref="DG15">_xlfn.IFS(DG$1= 0,"", NOT(ISBLANK(CP15)), 0, ISBLANK(CP15), $Q15-$S15+BB15-BY15)</f>
        <v>0</v>
      </c>
      <c r="DH15" s="157" cm="1">
        <f t="array" ref="DH15">_xlfn.IFS(DH$1= 0,"", NOT(ISBLANK(CQ15)), 0, ISBLANK(CQ15), $Q15-$S15+BC15-BZ15)</f>
        <v>0</v>
      </c>
      <c r="DI15" s="157" t="str" cm="1">
        <f t="array" ref="DI15">_xlfn.IFS(DI$1= 0,"", NOT(ISBLANK(CR15)), 0, ISBLANK(CR15), $Q15-$S15+BD15-CA15)</f>
        <v/>
      </c>
      <c r="DJ15" s="157" t="str" cm="1">
        <f t="array" ref="DJ15">_xlfn.IFS(DJ$1= 0,"", NOT(ISBLANK(CS15)), 0, ISBLANK(CS15), $Q15-$S15+BE15-CB15)</f>
        <v/>
      </c>
      <c r="DK15" s="157" t="str" cm="1">
        <f t="array" ref="DK15">_xlfn.IFS(DK$1= 0,"", NOT(ISBLANK(CT15)), 0, ISBLANK(CT15), $Q15-$S15+BF15-CC15)</f>
        <v/>
      </c>
      <c r="DL15" s="158" t="str" cm="1">
        <f t="array" ref="DL15">_xlfn.IFS(DL$1= 0,"", NOT(ISBLANK(CU15)), 0, ISBLANK(CU15), $Q15-$S15+BG15-CD15)</f>
        <v/>
      </c>
      <c r="DM15" s="158" t="str" cm="1">
        <f t="array" ref="DM15">_xlfn.IFS(DM$1= 0,"", NOT(ISBLANK(CV15)), 0, ISBLANK(CV15), $Q15-$S15+BH15-CE15)</f>
        <v/>
      </c>
      <c r="DN15" s="158" t="str" cm="1">
        <f t="array" ref="DN15">_xlfn.IFS(DN$1= 0,"", NOT(ISBLANK(CW15)), 0, ISBLANK(CW15), $Q15-$S15+BI15-CF15)</f>
        <v/>
      </c>
      <c r="DO15" s="158" t="str" cm="1">
        <f t="array" ref="DO15">_xlfn.IFS(DO$1= 0,"", NOT(ISBLANK(CX15)), 0, ISBLANK(CX15), $Q15-$S15+BJ15-CG15)</f>
        <v/>
      </c>
      <c r="DP15" s="143" t="str" cm="1">
        <f t="array" ref="DP15">_xlfn.IFS(DP$1= 0,"", NOT(ISBLANK(CY15)), 0, ISBLANK(CY15), $Q15-$S15+BK15-CH15)</f>
        <v/>
      </c>
      <c r="DQ15" s="143" t="str" cm="1">
        <f t="array" ref="DQ15">_xlfn.IFS(DQ$1= 0,"", NOT(ISBLANK(CZ15)), 0, ISBLANK(CZ15), $Q15-$S15+BL15-CI15)</f>
        <v/>
      </c>
      <c r="DR15" s="14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2" t="s">
        <v>140</v>
      </c>
      <c r="F16" s="210"/>
      <c r="G16" s="211"/>
      <c r="H16" s="211"/>
      <c r="I16" s="211"/>
      <c r="J16" s="211"/>
      <c r="K16" s="211"/>
      <c r="L16" s="211"/>
      <c r="M16" s="215"/>
      <c r="N16" s="210">
        <v>58</v>
      </c>
      <c r="O16" s="212">
        <v>5</v>
      </c>
      <c r="P16" s="205">
        <v>1</v>
      </c>
      <c r="Q16" s="12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84.303295902354847</v>
      </c>
      <c r="AI16" s="150">
        <f t="array" ref="AI16">IF(AI$1=0,"",SQRT((_xlfn.XLOOKUP(AI$1,$Z$2:$Z$18,$AA$2:$AA$18)-$T16)^2+(_xlfn.XLOOKUP(AI$1,$Z$2:$Z$18,$AB$2:$AB$18)-$U16)^2+(_xlfn.XLOOKUP(AI$1,$Z$2:$Z$18,$AC$2:$AC$18-$V16)^2)))</f>
        <v>56.354254497775045</v>
      </c>
      <c r="AJ16" s="150">
        <f t="array" ref="AJ16">IF(AJ$1=0,"",SQRT((_xlfn.XLOOKUP(AJ$1,$Z$2:$Z$18,$AA$2:$AA$18)-$T16)^2+(_xlfn.XLOOKUP(AJ$1,$Z$2:$Z$18,$AB$2:$AB$18)-$U16)^2+(_xlfn.XLOOKUP(AJ$1,$Z$2:$Z$18,$AC$2:$AC$18-$V16)^2)))</f>
        <v>125.42608101985806</v>
      </c>
      <c r="AK16" s="150">
        <f t="array" ref="AK16">IF(AK$1=0,"",SQRT((_xlfn.XLOOKUP(AK$1,$Z$2:$Z$18,$AA$2:$AA$18)-$T16)^2+(_xlfn.XLOOKUP(AK$1,$Z$2:$Z$18,$AB$2:$AB$18)-$U16)^2+(_xlfn.XLOOKUP(AK$1,$Z$2:$Z$18,$AC$2:$AC$18-$V16)^2)))</f>
        <v>203.50909758534141</v>
      </c>
      <c r="AL16" s="150">
        <f t="array" ref="AL16">IF(AL$1=0,"",SQRT((_xlfn.XLOOKUP(AL$1,$Z$2:$Z$18,$AA$2:$AA$18)-$T16)^2+(_xlfn.XLOOKUP(AL$1,$Z$2:$Z$18,$AB$2:$AB$18)-$U16)^2+(_xlfn.XLOOKUP(AL$1,$Z$2:$Z$18,$AC$2:$AC$18-$V16)^2)))</f>
        <v>158.55968623833741</v>
      </c>
      <c r="AM16" s="150" t="str">
        <f t="array" ref="AM16">IF(AM$1=0,"",SQRT((_xlfn.XLOOKUP(AM$1,$Z$2:$Z$18,$AA$2:$AA$18)-$T16)^2+(_xlfn.XLOOKUP(AM$1,$Z$2:$Z$18,$AB$2:$AB$18)-$U16)^2+(_xlfn.XLOOKUP(AM$1,$Z$2:$Z$18,$AC$2:$AC$18-$V16)^2)))</f>
        <v/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19"/>
        <v>-36.178989017618129</v>
      </c>
      <c r="AZ16" s="153">
        <f t="shared" si="20"/>
        <v>-32.680632115704789</v>
      </c>
      <c r="BA16" s="153">
        <f t="shared" si="21"/>
        <v>-39.629854993026818</v>
      </c>
      <c r="BB16" s="153">
        <f t="shared" si="22"/>
        <v>-43.833774507203714</v>
      </c>
      <c r="BC16" s="153">
        <f t="shared" si="23"/>
        <v>-41.66595349192928</v>
      </c>
      <c r="BD16" s="153">
        <f t="shared" si="24"/>
        <v>0</v>
      </c>
      <c r="BE16" s="153">
        <f t="shared" si="25"/>
        <v>0</v>
      </c>
      <c r="BF16" s="153">
        <f t="shared" si="26"/>
        <v>0</v>
      </c>
      <c r="BG16" s="154">
        <f t="shared" si="27"/>
        <v>0</v>
      </c>
      <c r="BH16" s="154">
        <f t="shared" si="28"/>
        <v>0</v>
      </c>
      <c r="BI16" s="154">
        <f t="shared" si="29"/>
        <v>0</v>
      </c>
      <c r="BJ16" s="154">
        <f t="shared" si="30"/>
        <v>0</v>
      </c>
      <c r="BK16" s="154">
        <f t="shared" si="31"/>
        <v>0</v>
      </c>
      <c r="BL16" s="154">
        <f t="shared" si="32"/>
        <v>0</v>
      </c>
      <c r="BM16" s="155">
        <f t="shared" si="33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>
        <v>6</v>
      </c>
      <c r="BW16" s="140">
        <v>9</v>
      </c>
      <c r="BX16" s="140">
        <v>11</v>
      </c>
      <c r="BY16" s="140">
        <v>13</v>
      </c>
      <c r="BZ16" s="140">
        <v>8</v>
      </c>
      <c r="CA16" s="140"/>
      <c r="CB16" s="140"/>
      <c r="CC16" s="140"/>
      <c r="CD16" s="140"/>
      <c r="CE16" s="140"/>
      <c r="CF16" s="140"/>
      <c r="CG16" s="140"/>
      <c r="CH16" s="140"/>
      <c r="CI16" s="140"/>
      <c r="CJ16" s="140"/>
      <c r="CL16" s="134"/>
      <c r="CM16" s="140" t="s">
        <v>32</v>
      </c>
      <c r="CN16" s="140" t="s">
        <v>32</v>
      </c>
      <c r="CO16" s="140" t="s">
        <v>32</v>
      </c>
      <c r="CP16" s="140" t="s">
        <v>32</v>
      </c>
      <c r="CQ16" s="140" t="s">
        <v>32</v>
      </c>
      <c r="CR16" s="140"/>
      <c r="CS16" s="140"/>
      <c r="CT16" s="140"/>
      <c r="CU16" s="140"/>
      <c r="CV16" s="140"/>
      <c r="CW16" s="140"/>
      <c r="CX16" s="140"/>
      <c r="CY16" s="140"/>
      <c r="CZ16" s="140"/>
      <c r="DA16" s="140"/>
      <c r="DB16" s="134"/>
      <c r="DC16" s="134"/>
      <c r="DD16" s="156" cm="1">
        <f t="array" ref="DD16">_xlfn.IFS(DD$1= 0,"", NOT(ISBLANK(CM16)), 0, ISBLANK(CM16), $Q16-$S16+AY16-BV16)</f>
        <v>0</v>
      </c>
      <c r="DE16" s="157" cm="1">
        <f t="array" ref="DE16">_xlfn.IFS(DE$1= 0,"", NOT(ISBLANK(CN16)), 0, ISBLANK(CN16), $Q16-$S16+AZ16-BW16)</f>
        <v>0</v>
      </c>
      <c r="DF16" s="157" cm="1">
        <f t="array" ref="DF16">_xlfn.IFS(DF$1= 0,"", NOT(ISBLANK(CO16)), 0, ISBLANK(CO16), $Q16-$S16+BA16-BX16)</f>
        <v>0</v>
      </c>
      <c r="DG16" s="157" cm="1">
        <f t="array" ref="DG16">_xlfn.IFS(DG$1= 0,"", NOT(ISBLANK(CP16)), 0, ISBLANK(CP16), $Q16-$S16+BB16-BY16)</f>
        <v>0</v>
      </c>
      <c r="DH16" s="157" cm="1">
        <f t="array" ref="DH16">_xlfn.IFS(DH$1= 0,"", NOT(ISBLANK(CQ16)), 0, ISBLANK(CQ16), $Q16-$S16+BC16-BZ16)</f>
        <v>0</v>
      </c>
      <c r="DI16" s="157" t="str" cm="1">
        <f t="array" ref="DI16">_xlfn.IFS(DI$1= 0,"", NOT(ISBLANK(CR16)), 0, ISBLANK(CR16), $Q16-$S16+BD16-CA16)</f>
        <v/>
      </c>
      <c r="DJ16" s="157" t="str" cm="1">
        <f t="array" ref="DJ16">_xlfn.IFS(DJ$1= 0,"", NOT(ISBLANK(CS16)), 0, ISBLANK(CS16), $Q16-$S16+BE16-CB16)</f>
        <v/>
      </c>
      <c r="DK16" s="157" t="str" cm="1">
        <f t="array" ref="DK16">_xlfn.IFS(DK$1= 0,"", NOT(ISBLANK(CT16)), 0, ISBLANK(CT16), $Q16-$S16+BF16-CC16)</f>
        <v/>
      </c>
      <c r="DL16" s="158" t="str" cm="1">
        <f t="array" ref="DL16">_xlfn.IFS(DL$1= 0,"", NOT(ISBLANK(CU16)), 0, ISBLANK(CU16), $Q16-$S16+BG16-CD16)</f>
        <v/>
      </c>
      <c r="DM16" s="158" t="str" cm="1">
        <f t="array" ref="DM16">_xlfn.IFS(DM$1= 0,"", NOT(ISBLANK(CV16)), 0, ISBLANK(CV16), $Q16-$S16+BH16-CE16)</f>
        <v/>
      </c>
      <c r="DN16" s="158" t="str" cm="1">
        <f t="array" ref="DN16">_xlfn.IFS(DN$1= 0,"", NOT(ISBLANK(CW16)), 0, ISBLANK(CW16), $Q16-$S16+BI16-CF16)</f>
        <v/>
      </c>
      <c r="DO16" s="158" t="str" cm="1">
        <f t="array" ref="DO16">_xlfn.IFS(DO$1= 0,"", NOT(ISBLANK(CX16)), 0, ISBLANK(CX16), $Q16-$S16+BJ16-CG16)</f>
        <v/>
      </c>
      <c r="DP16" s="143" t="str" cm="1">
        <f t="array" ref="DP16">_xlfn.IFS(DP$1= 0,"", NOT(ISBLANK(CY16)), 0, ISBLANK(CY16), $Q16-$S16+BK16-CH16)</f>
        <v/>
      </c>
      <c r="DQ16" s="143" t="str" cm="1">
        <f t="array" ref="DQ16">_xlfn.IFS(DQ$1= 0,"", NOT(ISBLANK(CZ16)), 0, ISBLANK(CZ16), $Q16-$S16+BL16-CI16)</f>
        <v/>
      </c>
      <c r="DR16" s="14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2" t="s">
        <v>140</v>
      </c>
      <c r="F17" s="210"/>
      <c r="G17" s="211"/>
      <c r="H17" s="211"/>
      <c r="I17" s="211"/>
      <c r="J17" s="211"/>
      <c r="K17" s="211"/>
      <c r="L17" s="211"/>
      <c r="M17" s="215"/>
      <c r="N17" s="210">
        <v>58</v>
      </c>
      <c r="O17" s="212">
        <v>5</v>
      </c>
      <c r="P17" s="205">
        <v>1</v>
      </c>
      <c r="Q17" s="12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56.166197129590316</v>
      </c>
      <c r="AI17" s="150">
        <f t="array" ref="AI17">IF(AI$1=0,"",SQRT((_xlfn.XLOOKUP(AI$1,$Z$2:$Z$18,$AA$2:$AA$18)-$T17)^2+(_xlfn.XLOOKUP(AI$1,$Z$2:$Z$18,$AB$2:$AB$18)-$U17)^2+(_xlfn.XLOOKUP(AI$1,$Z$2:$Z$18,$AC$2:$AC$18-$V17)^2)))</f>
        <v>53.15979307709916</v>
      </c>
      <c r="AJ17" s="150">
        <f t="array" ref="AJ17">IF(AJ$1=0,"",SQRT((_xlfn.XLOOKUP(AJ$1,$Z$2:$Z$18,$AA$2:$AA$18)-$T17)^2+(_xlfn.XLOOKUP(AJ$1,$Z$2:$Z$18,$AB$2:$AB$18)-$U17)^2+(_xlfn.XLOOKUP(AJ$1,$Z$2:$Z$18,$AC$2:$AC$18-$V17)^2)))</f>
        <v>145.96776698983922</v>
      </c>
      <c r="AK17" s="150">
        <f t="array" ref="AK17">IF(AK$1=0,"",SQRT((_xlfn.XLOOKUP(AK$1,$Z$2:$Z$18,$AA$2:$AA$18)-$T17)^2+(_xlfn.XLOOKUP(AK$1,$Z$2:$Z$18,$AB$2:$AB$18)-$U17)^2+(_xlfn.XLOOKUP(AK$1,$Z$2:$Z$18,$AC$2:$AC$18-$V17)^2)))</f>
        <v>230.88837995880175</v>
      </c>
      <c r="AL17" s="150">
        <f t="array" ref="AL17">IF(AL$1=0,"",SQRT((_xlfn.XLOOKUP(AL$1,$Z$2:$Z$18,$AA$2:$AA$18)-$T17)^2+(_xlfn.XLOOKUP(AL$1,$Z$2:$Z$18,$AB$2:$AB$18)-$U17)^2+(_xlfn.XLOOKUP(AL$1,$Z$2:$Z$18,$AC$2:$AC$18-$V17)^2)))</f>
        <v>147.01106795068188</v>
      </c>
      <c r="AM17" s="150" t="str">
        <f t="array" ref="AM17">IF(AM$1=0,"",SQRT((_xlfn.XLOOKUP(AM$1,$Z$2:$Z$18,$AA$2:$AA$18)-$T17)^2+(_xlfn.XLOOKUP(AM$1,$Z$2:$Z$18,$AB$2:$AB$18)-$U17)^2+(_xlfn.XLOOKUP(AM$1,$Z$2:$Z$18,$AC$2:$AC$18-$V17)^2)))</f>
        <v/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19"/>
        <v>-32.651598334859486</v>
      </c>
      <c r="AZ17" s="153">
        <f t="shared" si="20"/>
        <v>-32.173763572847079</v>
      </c>
      <c r="BA17" s="153">
        <f t="shared" si="21"/>
        <v>-40.94723722194427</v>
      </c>
      <c r="BB17" s="153">
        <f t="shared" si="22"/>
        <v>-44.930139466929539</v>
      </c>
      <c r="BC17" s="153">
        <f t="shared" si="23"/>
        <v>-41.009098586856595</v>
      </c>
      <c r="BD17" s="153">
        <f t="shared" si="24"/>
        <v>0</v>
      </c>
      <c r="BE17" s="153">
        <f t="shared" si="25"/>
        <v>0</v>
      </c>
      <c r="BF17" s="153">
        <f t="shared" si="26"/>
        <v>0</v>
      </c>
      <c r="BG17" s="154">
        <f t="shared" si="27"/>
        <v>0</v>
      </c>
      <c r="BH17" s="154">
        <f t="shared" si="28"/>
        <v>0</v>
      </c>
      <c r="BI17" s="154">
        <f t="shared" si="29"/>
        <v>0</v>
      </c>
      <c r="BJ17" s="154">
        <f t="shared" si="30"/>
        <v>0</v>
      </c>
      <c r="BK17" s="154">
        <f t="shared" si="31"/>
        <v>0</v>
      </c>
      <c r="BL17" s="154">
        <f t="shared" si="32"/>
        <v>0</v>
      </c>
      <c r="BM17" s="155">
        <f t="shared" si="33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>
        <v>4</v>
      </c>
      <c r="BW17" s="140">
        <v>10</v>
      </c>
      <c r="BX17" s="140">
        <v>10</v>
      </c>
      <c r="BY17" s="140">
        <v>13</v>
      </c>
      <c r="BZ17" s="140">
        <v>8</v>
      </c>
      <c r="CA17" s="140"/>
      <c r="CB17" s="140"/>
      <c r="CC17" s="140"/>
      <c r="CD17" s="140"/>
      <c r="CE17" s="140"/>
      <c r="CF17" s="140"/>
      <c r="CG17" s="140"/>
      <c r="CH17" s="140"/>
      <c r="CI17" s="140"/>
      <c r="CJ17" s="140"/>
      <c r="CL17" s="134"/>
      <c r="CM17" s="140" t="s">
        <v>32</v>
      </c>
      <c r="CN17" s="140" t="s">
        <v>32</v>
      </c>
      <c r="CO17" s="140" t="s">
        <v>32</v>
      </c>
      <c r="CP17" s="140" t="s">
        <v>32</v>
      </c>
      <c r="CQ17" s="140" t="s">
        <v>32</v>
      </c>
      <c r="CR17" s="140"/>
      <c r="CS17" s="140"/>
      <c r="CT17" s="140"/>
      <c r="CU17" s="140"/>
      <c r="CV17" s="140"/>
      <c r="CW17" s="140"/>
      <c r="CX17" s="140"/>
      <c r="CY17" s="140"/>
      <c r="CZ17" s="140"/>
      <c r="DA17" s="140"/>
      <c r="DB17" s="134"/>
      <c r="DC17" s="134"/>
      <c r="DD17" s="156" cm="1">
        <f t="array" ref="DD17">_xlfn.IFS(DD$1= 0,"", NOT(ISBLANK(CM17)), 0, ISBLANK(CM17), $Q17-$S17+AY17-BV17)</f>
        <v>0</v>
      </c>
      <c r="DE17" s="157" cm="1">
        <f t="array" ref="DE17">_xlfn.IFS(DE$1= 0,"", NOT(ISBLANK(CN17)), 0, ISBLANK(CN17), $Q17-$S17+AZ17-BW17)</f>
        <v>0</v>
      </c>
      <c r="DF17" s="157" cm="1">
        <f t="array" ref="DF17">_xlfn.IFS(DF$1= 0,"", NOT(ISBLANK(CO17)), 0, ISBLANK(CO17), $Q17-$S17+BA17-BX17)</f>
        <v>0</v>
      </c>
      <c r="DG17" s="157" cm="1">
        <f t="array" ref="DG17">_xlfn.IFS(DG$1= 0,"", NOT(ISBLANK(CP17)), 0, ISBLANK(CP17), $Q17-$S17+BB17-BY17)</f>
        <v>0</v>
      </c>
      <c r="DH17" s="157" cm="1">
        <f t="array" ref="DH17">_xlfn.IFS(DH$1= 0,"", NOT(ISBLANK(CQ17)), 0, ISBLANK(CQ17), $Q17-$S17+BC17-BZ17)</f>
        <v>0</v>
      </c>
      <c r="DI17" s="157" t="str" cm="1">
        <f t="array" ref="DI17">_xlfn.IFS(DI$1= 0,"", NOT(ISBLANK(CR17)), 0, ISBLANK(CR17), $Q17-$S17+BD17-CA17)</f>
        <v/>
      </c>
      <c r="DJ17" s="157" t="str" cm="1">
        <f t="array" ref="DJ17">_xlfn.IFS(DJ$1= 0,"", NOT(ISBLANK(CS17)), 0, ISBLANK(CS17), $Q17-$S17+BE17-CB17)</f>
        <v/>
      </c>
      <c r="DK17" s="157" t="str" cm="1">
        <f t="array" ref="DK17">_xlfn.IFS(DK$1= 0,"", NOT(ISBLANK(CT17)), 0, ISBLANK(CT17), $Q17-$S17+BF17-CC17)</f>
        <v/>
      </c>
      <c r="DL17" s="158" t="str" cm="1">
        <f t="array" ref="DL17">_xlfn.IFS(DL$1= 0,"", NOT(ISBLANK(CU17)), 0, ISBLANK(CU17), $Q17-$S17+BG17-CD17)</f>
        <v/>
      </c>
      <c r="DM17" s="158" t="str" cm="1">
        <f t="array" ref="DM17">_xlfn.IFS(DM$1= 0,"", NOT(ISBLANK(CV17)), 0, ISBLANK(CV17), $Q17-$S17+BH17-CE17)</f>
        <v/>
      </c>
      <c r="DN17" s="158" t="str" cm="1">
        <f t="array" ref="DN17">_xlfn.IFS(DN$1= 0,"", NOT(ISBLANK(CW17)), 0, ISBLANK(CW17), $Q17-$S17+BI17-CF17)</f>
        <v/>
      </c>
      <c r="DO17" s="158" t="str" cm="1">
        <f t="array" ref="DO17">_xlfn.IFS(DO$1= 0,"", NOT(ISBLANK(CX17)), 0, ISBLANK(CX17), $Q17-$S17+BJ17-CG17)</f>
        <v/>
      </c>
      <c r="DP17" s="143" t="str" cm="1">
        <f t="array" ref="DP17">_xlfn.IFS(DP$1= 0,"", NOT(ISBLANK(CY17)), 0, ISBLANK(CY17), $Q17-$S17+BK17-CH17)</f>
        <v/>
      </c>
      <c r="DQ17" s="143" t="str" cm="1">
        <f t="array" ref="DQ17">_xlfn.IFS(DQ$1= 0,"", NOT(ISBLANK(CZ17)), 0, ISBLANK(CZ17), $Q17-$S17+BL17-CI17)</f>
        <v/>
      </c>
      <c r="DR17" s="14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2" t="s">
        <v>140</v>
      </c>
      <c r="F18" s="210"/>
      <c r="G18" s="211"/>
      <c r="H18" s="211"/>
      <c r="I18" s="211"/>
      <c r="J18" s="211"/>
      <c r="K18" s="211"/>
      <c r="L18" s="211"/>
      <c r="M18" s="215"/>
      <c r="N18" s="210">
        <v>58</v>
      </c>
      <c r="O18" s="212">
        <v>5</v>
      </c>
      <c r="P18" s="205">
        <v>1</v>
      </c>
      <c r="Q18" s="12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49.432355800629203</v>
      </c>
      <c r="AI18" s="150">
        <f t="array" ref="AI18">IF(AI$1=0,"",SQRT((_xlfn.XLOOKUP(AI$1,$Z$2:$Z$18,$AA$2:$AA$18)-$T18)^2+(_xlfn.XLOOKUP(AI$1,$Z$2:$Z$18,$AB$2:$AB$18)-$U18)^2+(_xlfn.XLOOKUP(AI$1,$Z$2:$Z$18,$AC$2:$AC$18-$V18)^2)))</f>
        <v>75.215273050092691</v>
      </c>
      <c r="AJ18" s="150">
        <f t="array" ref="AJ18">IF(AJ$1=0,"",SQRT((_xlfn.XLOOKUP(AJ$1,$Z$2:$Z$18,$AA$2:$AA$18)-$T18)^2+(_xlfn.XLOOKUP(AJ$1,$Z$2:$Z$18,$AB$2:$AB$18)-$U18)^2+(_xlfn.XLOOKUP(AJ$1,$Z$2:$Z$18,$AC$2:$AC$18-$V18)^2)))</f>
        <v>169.62015711583336</v>
      </c>
      <c r="AK18" s="150">
        <f t="array" ref="AK18">IF(AK$1=0,"",SQRT((_xlfn.XLOOKUP(AK$1,$Z$2:$Z$18,$AA$2:$AA$18)-$T18)^2+(_xlfn.XLOOKUP(AK$1,$Z$2:$Z$18,$AB$2:$AB$18)-$U18)^2+(_xlfn.XLOOKUP(AK$1,$Z$2:$Z$18,$AC$2:$AC$18-$V18)^2)))</f>
        <v>246.7337952125732</v>
      </c>
      <c r="AL18" s="150">
        <f t="array" ref="AL18">IF(AL$1=0,"",SQRT((_xlfn.XLOOKUP(AL$1,$Z$2:$Z$18,$AA$2:$AA$18)-$T18)^2+(_xlfn.XLOOKUP(AL$1,$Z$2:$Z$18,$AB$2:$AB$18)-$U18)^2+(_xlfn.XLOOKUP(AL$1,$Z$2:$Z$18,$AC$2:$AC$18-$V18)^2)))</f>
        <v>121.18423164752087</v>
      </c>
      <c r="AM18" s="150" t="str">
        <f t="array" ref="AM18">IF(AM$1=0,"",SQRT((_xlfn.XLOOKUP(AM$1,$Z$2:$Z$18,$AA$2:$AA$18)-$T18)^2+(_xlfn.XLOOKUP(AM$1,$Z$2:$Z$18,$AB$2:$AB$18)-$U18)^2+(_xlfn.XLOOKUP(AM$1,$Z$2:$Z$18,$AC$2:$AC$18-$V18)^2)))</f>
        <v/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19"/>
        <v>-31.542324099954989</v>
      </c>
      <c r="AZ18" s="153">
        <f t="shared" si="20"/>
        <v>-35.18821866575729</v>
      </c>
      <c r="BA18" s="153">
        <f t="shared" si="21"/>
        <v>-42.251647159969053</v>
      </c>
      <c r="BB18" s="153">
        <f t="shared" si="22"/>
        <v>-45.506670717495467</v>
      </c>
      <c r="BC18" s="153">
        <f t="shared" si="23"/>
        <v>-39.331020209117781</v>
      </c>
      <c r="BD18" s="153">
        <f t="shared" si="24"/>
        <v>0</v>
      </c>
      <c r="BE18" s="153">
        <f t="shared" si="25"/>
        <v>0</v>
      </c>
      <c r="BF18" s="153">
        <f t="shared" si="26"/>
        <v>0</v>
      </c>
      <c r="BG18" s="154">
        <f t="shared" si="27"/>
        <v>0</v>
      </c>
      <c r="BH18" s="154">
        <f t="shared" si="28"/>
        <v>0</v>
      </c>
      <c r="BI18" s="154">
        <f t="shared" si="29"/>
        <v>0</v>
      </c>
      <c r="BJ18" s="154">
        <f t="shared" si="30"/>
        <v>0</v>
      </c>
      <c r="BK18" s="154">
        <f t="shared" si="31"/>
        <v>0</v>
      </c>
      <c r="BL18" s="154">
        <f t="shared" si="32"/>
        <v>0</v>
      </c>
      <c r="BM18" s="155">
        <f t="shared" si="33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>
        <v>5</v>
      </c>
      <c r="BW18" s="140">
        <v>14</v>
      </c>
      <c r="BX18" s="140">
        <v>11</v>
      </c>
      <c r="BY18" s="140">
        <v>12</v>
      </c>
      <c r="BZ18" s="140">
        <v>5</v>
      </c>
      <c r="CA18" s="140"/>
      <c r="CB18" s="140"/>
      <c r="CC18" s="140"/>
      <c r="CD18" s="140"/>
      <c r="CE18" s="140"/>
      <c r="CF18" s="140"/>
      <c r="CG18" s="140"/>
      <c r="CH18" s="140"/>
      <c r="CI18" s="140"/>
      <c r="CJ18" s="140"/>
      <c r="CL18" s="134"/>
      <c r="CM18" s="140" t="s">
        <v>32</v>
      </c>
      <c r="CN18" s="140" t="s">
        <v>32</v>
      </c>
      <c r="CO18" s="140" t="s">
        <v>32</v>
      </c>
      <c r="CP18" s="140" t="s">
        <v>32</v>
      </c>
      <c r="CQ18" s="140" t="s">
        <v>32</v>
      </c>
      <c r="CR18" s="140"/>
      <c r="CS18" s="140"/>
      <c r="CT18" s="140"/>
      <c r="CU18" s="140"/>
      <c r="CV18" s="140"/>
      <c r="CW18" s="140"/>
      <c r="CX18" s="140"/>
      <c r="CY18" s="140"/>
      <c r="CZ18" s="140"/>
      <c r="DA18" s="140"/>
      <c r="DB18" s="134"/>
      <c r="DC18" s="134"/>
      <c r="DD18" s="156" cm="1">
        <f t="array" ref="DD18">_xlfn.IFS(DD$1= 0,"", NOT(ISBLANK(CM18)), 0, ISBLANK(CM18), $Q18-$S18+AY18-BV18)</f>
        <v>0</v>
      </c>
      <c r="DE18" s="157" cm="1">
        <f t="array" ref="DE18">_xlfn.IFS(DE$1= 0,"", NOT(ISBLANK(CN18)), 0, ISBLANK(CN18), $Q18-$S18+AZ18-BW18)</f>
        <v>0</v>
      </c>
      <c r="DF18" s="157" cm="1">
        <f t="array" ref="DF18">_xlfn.IFS(DF$1= 0,"", NOT(ISBLANK(CO18)), 0, ISBLANK(CO18), $Q18-$S18+BA18-BX18)</f>
        <v>0</v>
      </c>
      <c r="DG18" s="157" cm="1">
        <f t="array" ref="DG18">_xlfn.IFS(DG$1= 0,"", NOT(ISBLANK(CP18)), 0, ISBLANK(CP18), $Q18-$S18+BB18-BY18)</f>
        <v>0</v>
      </c>
      <c r="DH18" s="157" cm="1">
        <f t="array" ref="DH18">_xlfn.IFS(DH$1= 0,"", NOT(ISBLANK(CQ18)), 0, ISBLANK(CQ18), $Q18-$S18+BC18-BZ18)</f>
        <v>0</v>
      </c>
      <c r="DI18" s="157" t="str" cm="1">
        <f t="array" ref="DI18">_xlfn.IFS(DI$1= 0,"", NOT(ISBLANK(CR18)), 0, ISBLANK(CR18), $Q18-$S18+BD18-CA18)</f>
        <v/>
      </c>
      <c r="DJ18" s="157" t="str" cm="1">
        <f t="array" ref="DJ18">_xlfn.IFS(DJ$1= 0,"", NOT(ISBLANK(CS18)), 0, ISBLANK(CS18), $Q18-$S18+BE18-CB18)</f>
        <v/>
      </c>
      <c r="DK18" s="157" t="str" cm="1">
        <f t="array" ref="DK18">_xlfn.IFS(DK$1= 0,"", NOT(ISBLANK(CT18)), 0, ISBLANK(CT18), $Q18-$S18+BF18-CC18)</f>
        <v/>
      </c>
      <c r="DL18" s="158" t="str" cm="1">
        <f t="array" ref="DL18">_xlfn.IFS(DL$1= 0,"", NOT(ISBLANK(CU18)), 0, ISBLANK(CU18), $Q18-$S18+BG18-CD18)</f>
        <v/>
      </c>
      <c r="DM18" s="158" t="str" cm="1">
        <f t="array" ref="DM18">_xlfn.IFS(DM$1= 0,"", NOT(ISBLANK(CV18)), 0, ISBLANK(CV18), $Q18-$S18+BH18-CE18)</f>
        <v/>
      </c>
      <c r="DN18" s="158" t="str" cm="1">
        <f t="array" ref="DN18">_xlfn.IFS(DN$1= 0,"", NOT(ISBLANK(CW18)), 0, ISBLANK(CW18), $Q18-$S18+BI18-CF18)</f>
        <v/>
      </c>
      <c r="DO18" s="158" t="str" cm="1">
        <f t="array" ref="DO18">_xlfn.IFS(DO$1= 0,"", NOT(ISBLANK(CX18)), 0, ISBLANK(CX18), $Q18-$S18+BJ18-CG18)</f>
        <v/>
      </c>
      <c r="DP18" s="143" t="str" cm="1">
        <f t="array" ref="DP18">_xlfn.IFS(DP$1= 0,"", NOT(ISBLANK(CY18)), 0, ISBLANK(CY18), $Q18-$S18+BK18-CH18)</f>
        <v/>
      </c>
      <c r="DQ18" s="143" t="str" cm="1">
        <f t="array" ref="DQ18">_xlfn.IFS(DQ$1= 0,"", NOT(ISBLANK(CZ18)), 0, ISBLANK(CZ18), $Q18-$S18+BL18-CI18)</f>
        <v/>
      </c>
      <c r="DR18" s="14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2" t="s">
        <v>140</v>
      </c>
      <c r="F19" s="210"/>
      <c r="G19" s="211"/>
      <c r="H19" s="211"/>
      <c r="I19" s="211"/>
      <c r="J19" s="211"/>
      <c r="K19" s="211"/>
      <c r="L19" s="211"/>
      <c r="M19" s="215"/>
      <c r="N19" s="210">
        <v>58</v>
      </c>
      <c r="O19" s="212">
        <v>5</v>
      </c>
      <c r="P19" s="205">
        <v>1</v>
      </c>
      <c r="Q19" s="12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72.111608635503345</v>
      </c>
      <c r="AI19" s="150">
        <f t="array" ref="AI19">IF(AI$1=0,"",SQRT((_xlfn.XLOOKUP(AI$1,$Z$2:$Z$18,$AA$2:$AA$18)-$T19)^2+(_xlfn.XLOOKUP(AI$1,$Z$2:$Z$18,$AB$2:$AB$18)-$U19)^2+(_xlfn.XLOOKUP(AI$1,$Z$2:$Z$18,$AC$2:$AC$18-$V19)^2)))</f>
        <v>85.308195385906501</v>
      </c>
      <c r="AJ19" s="150">
        <f t="array" ref="AJ19">IF(AJ$1=0,"",SQRT((_xlfn.XLOOKUP(AJ$1,$Z$2:$Z$18,$AA$2:$AA$18)-$T19)^2+(_xlfn.XLOOKUP(AJ$1,$Z$2:$Z$18,$AB$2:$AB$18)-$U19)^2+(_xlfn.XLOOKUP(AJ$1,$Z$2:$Z$18,$AC$2:$AC$18-$V19)^2)))</f>
        <v>166.92011502512213</v>
      </c>
      <c r="AK19" s="150">
        <f t="array" ref="AK19">IF(AK$1=0,"",SQRT((_xlfn.XLOOKUP(AK$1,$Z$2:$Z$18,$AA$2:$AA$18)-$T19)^2+(_xlfn.XLOOKUP(AK$1,$Z$2:$Z$18,$AB$2:$AB$18)-$U19)^2+(_xlfn.XLOOKUP(AK$1,$Z$2:$Z$18,$AC$2:$AC$18-$V19)^2)))</f>
        <v>233.65705168044897</v>
      </c>
      <c r="AL19" s="150">
        <f t="array" ref="AL19">IF(AL$1=0,"",SQRT((_xlfn.XLOOKUP(AL$1,$Z$2:$Z$18,$AA$2:$AA$18)-$T19)^2+(_xlfn.XLOOKUP(AL$1,$Z$2:$Z$18,$AB$2:$AB$18)-$U19)^2+(_xlfn.XLOOKUP(AL$1,$Z$2:$Z$18,$AC$2:$AC$18-$V19)^2)))</f>
        <v>116.78746722144462</v>
      </c>
      <c r="AM19" s="150" t="str">
        <f t="array" ref="AM19">IF(AM$1=0,"",SQRT((_xlfn.XLOOKUP(AM$1,$Z$2:$Z$18,$AA$2:$AA$18)-$T19)^2+(_xlfn.XLOOKUP(AM$1,$Z$2:$Z$18,$AB$2:$AB$18)-$U19)^2+(_xlfn.XLOOKUP(AM$1,$Z$2:$Z$18,$AC$2:$AC$18-$V19)^2)))</f>
        <v/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19"/>
        <v>-34.82220161149305</v>
      </c>
      <c r="AZ19" s="153">
        <f t="shared" si="20"/>
        <v>-36.281913036228403</v>
      </c>
      <c r="BA19" s="153">
        <f t="shared" si="21"/>
        <v>-42.112271443198949</v>
      </c>
      <c r="BB19" s="153">
        <f t="shared" si="22"/>
        <v>-45.033675784921769</v>
      </c>
      <c r="BC19" s="153">
        <f t="shared" si="23"/>
        <v>-39.01002273619185</v>
      </c>
      <c r="BD19" s="153">
        <f t="shared" si="24"/>
        <v>0</v>
      </c>
      <c r="BE19" s="153">
        <f t="shared" si="25"/>
        <v>0</v>
      </c>
      <c r="BF19" s="153">
        <f t="shared" si="26"/>
        <v>0</v>
      </c>
      <c r="BG19" s="154">
        <f t="shared" si="27"/>
        <v>0</v>
      </c>
      <c r="BH19" s="154">
        <f t="shared" si="28"/>
        <v>0</v>
      </c>
      <c r="BI19" s="154">
        <f t="shared" si="29"/>
        <v>0</v>
      </c>
      <c r="BJ19" s="154">
        <f t="shared" si="30"/>
        <v>0</v>
      </c>
      <c r="BK19" s="154">
        <f t="shared" si="31"/>
        <v>0</v>
      </c>
      <c r="BL19" s="154">
        <f t="shared" si="32"/>
        <v>0</v>
      </c>
      <c r="BM19" s="155">
        <f t="shared" si="33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>
        <v>6</v>
      </c>
      <c r="BW19" s="140">
        <v>15</v>
      </c>
      <c r="BX19" s="140">
        <v>12</v>
      </c>
      <c r="BY19" s="140">
        <v>12</v>
      </c>
      <c r="BZ19" s="140">
        <v>6</v>
      </c>
      <c r="CA19" s="140"/>
      <c r="CB19" s="140"/>
      <c r="CC19" s="140"/>
      <c r="CD19" s="140"/>
      <c r="CE19" s="140"/>
      <c r="CF19" s="140"/>
      <c r="CG19" s="140"/>
      <c r="CH19" s="140"/>
      <c r="CI19" s="140"/>
      <c r="CJ19" s="140"/>
      <c r="CL19" s="134"/>
      <c r="CM19" s="140" t="s">
        <v>32</v>
      </c>
      <c r="CN19" s="140" t="s">
        <v>32</v>
      </c>
      <c r="CO19" s="140" t="s">
        <v>32</v>
      </c>
      <c r="CP19" s="140" t="s">
        <v>32</v>
      </c>
      <c r="CQ19" s="140" t="s">
        <v>32</v>
      </c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34"/>
      <c r="DC19" s="134"/>
      <c r="DD19" s="156" cm="1">
        <f t="array" ref="DD19">_xlfn.IFS(DD$1= 0,"", NOT(ISBLANK(CM19)), 0, ISBLANK(CM19), $Q19-$S19+AY19-BV19)</f>
        <v>0</v>
      </c>
      <c r="DE19" s="157" cm="1">
        <f t="array" ref="DE19">_xlfn.IFS(DE$1= 0,"", NOT(ISBLANK(CN19)), 0, ISBLANK(CN19), $Q19-$S19+AZ19-BW19)</f>
        <v>0</v>
      </c>
      <c r="DF19" s="157" cm="1">
        <f t="array" ref="DF19">_xlfn.IFS(DF$1= 0,"", NOT(ISBLANK(CO19)), 0, ISBLANK(CO19), $Q19-$S19+BA19-BX19)</f>
        <v>0</v>
      </c>
      <c r="DG19" s="157" cm="1">
        <f t="array" ref="DG19">_xlfn.IFS(DG$1= 0,"", NOT(ISBLANK(CP19)), 0, ISBLANK(CP19), $Q19-$S19+BB19-BY19)</f>
        <v>0</v>
      </c>
      <c r="DH19" s="157" cm="1">
        <f t="array" ref="DH19">_xlfn.IFS(DH$1= 0,"", NOT(ISBLANK(CQ19)), 0, ISBLANK(CQ19), $Q19-$S19+BC19-BZ19)</f>
        <v>0</v>
      </c>
      <c r="DI19" s="157" t="str" cm="1">
        <f t="array" ref="DI19">_xlfn.IFS(DI$1= 0,"", NOT(ISBLANK(CR19)), 0, ISBLANK(CR19), $Q19-$S19+BD19-CA19)</f>
        <v/>
      </c>
      <c r="DJ19" s="157" t="str" cm="1">
        <f t="array" ref="DJ19">_xlfn.IFS(DJ$1= 0,"", NOT(ISBLANK(CS19)), 0, ISBLANK(CS19), $Q19-$S19+BE19-CB19)</f>
        <v/>
      </c>
      <c r="DK19" s="157" t="str" cm="1">
        <f t="array" ref="DK19">_xlfn.IFS(DK$1= 0,"", NOT(ISBLANK(CT19)), 0, ISBLANK(CT19), $Q19-$S19+BF19-CC19)</f>
        <v/>
      </c>
      <c r="DL19" s="158" t="str" cm="1">
        <f t="array" ref="DL19">_xlfn.IFS(DL$1= 0,"", NOT(ISBLANK(CU19)), 0, ISBLANK(CU19), $Q19-$S19+BG19-CD19)</f>
        <v/>
      </c>
      <c r="DM19" s="158" t="str" cm="1">
        <f t="array" ref="DM19">_xlfn.IFS(DM$1= 0,"", NOT(ISBLANK(CV19)), 0, ISBLANK(CV19), $Q19-$S19+BH19-CE19)</f>
        <v/>
      </c>
      <c r="DN19" s="158" t="str" cm="1">
        <f t="array" ref="DN19">_xlfn.IFS(DN$1= 0,"", NOT(ISBLANK(CW19)), 0, ISBLANK(CW19), $Q19-$S19+BI19-CF19)</f>
        <v/>
      </c>
      <c r="DO19" s="158" t="str" cm="1">
        <f t="array" ref="DO19">_xlfn.IFS(DO$1= 0,"", NOT(ISBLANK(CX19)), 0, ISBLANK(CX19), $Q19-$S19+BJ19-CG19)</f>
        <v/>
      </c>
      <c r="DP19" s="143" t="str" cm="1">
        <f t="array" ref="DP19">_xlfn.IFS(DP$1= 0,"", NOT(ISBLANK(CY19)), 0, ISBLANK(CY19), $Q19-$S19+BK19-CH19)</f>
        <v/>
      </c>
      <c r="DQ19" s="143" t="str" cm="1">
        <f t="array" ref="DQ19">_xlfn.IFS(DQ$1= 0,"", NOT(ISBLANK(CZ19)), 0, ISBLANK(CZ19), $Q19-$S19+BL19-CI19)</f>
        <v/>
      </c>
      <c r="DR19" s="14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2" t="s">
        <v>140</v>
      </c>
      <c r="F20" s="210"/>
      <c r="G20" s="211"/>
      <c r="H20" s="211"/>
      <c r="I20" s="211"/>
      <c r="J20" s="211"/>
      <c r="K20" s="211"/>
      <c r="L20" s="211"/>
      <c r="M20" s="215"/>
      <c r="N20" s="210">
        <v>58</v>
      </c>
      <c r="O20" s="212">
        <v>5</v>
      </c>
      <c r="P20" s="205">
        <v>1</v>
      </c>
      <c r="Q20" s="12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90.535900061798699</v>
      </c>
      <c r="AI20" s="150">
        <f t="array" ref="AI20">IF(AI$1=0,"",SQRT((_xlfn.XLOOKUP(AI$1,$Z$2:$Z$18,$AA$2:$AA$18)-$T20)^2+(_xlfn.XLOOKUP(AI$1,$Z$2:$Z$18,$AB$2:$AB$18)-$U20)^2+(_xlfn.XLOOKUP(AI$1,$Z$2:$Z$18,$AC$2:$AC$18-$V20)^2)))</f>
        <v>87.809239263303041</v>
      </c>
      <c r="AJ20" s="150">
        <f t="array" ref="AJ20">IF(AJ$1=0,"",SQRT((_xlfn.XLOOKUP(AJ$1,$Z$2:$Z$18,$AA$2:$AA$18)-$T20)^2+(_xlfn.XLOOKUP(AJ$1,$Z$2:$Z$18,$AB$2:$AB$18)-$U20)^2+(_xlfn.XLOOKUP(AJ$1,$Z$2:$Z$18,$AC$2:$AC$18-$V20)^2)))</f>
        <v>155.19203362286351</v>
      </c>
      <c r="AK20" s="150">
        <f t="array" ref="AK20">IF(AK$1=0,"",SQRT((_xlfn.XLOOKUP(AK$1,$Z$2:$Z$18,$AA$2:$AA$18)-$T20)^2+(_xlfn.XLOOKUP(AK$1,$Z$2:$Z$18,$AB$2:$AB$18)-$U20)^2+(_xlfn.XLOOKUP(AK$1,$Z$2:$Z$18,$AC$2:$AC$18-$V20)^2)))</f>
        <v>215.28911560968427</v>
      </c>
      <c r="AL20" s="150">
        <f t="array" ref="AL20">IF(AL$1=0,"",SQRT((_xlfn.XLOOKUP(AL$1,$Z$2:$Z$18,$AA$2:$AA$18)-$T20)^2+(_xlfn.XLOOKUP(AL$1,$Z$2:$Z$18,$AB$2:$AB$18)-$U20)^2+(_xlfn.XLOOKUP(AL$1,$Z$2:$Z$18,$AC$2:$AC$18-$V20)^2)))</f>
        <v>127.92598875912587</v>
      </c>
      <c r="AM20" s="150" t="str">
        <f t="array" ref="AM20">IF(AM$1=0,"",SQRT((_xlfn.XLOOKUP(AM$1,$Z$2:$Z$18,$AA$2:$AA$18)-$T20)^2+(_xlfn.XLOOKUP(AM$1,$Z$2:$Z$18,$AB$2:$AB$18)-$U20)^2+(_xlfn.XLOOKUP(AM$1,$Z$2:$Z$18,$AC$2:$AC$18-$V20)^2)))</f>
        <v/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19"/>
        <v>-36.798514406595245</v>
      </c>
      <c r="AZ20" s="153">
        <f t="shared" si="20"/>
        <v>-36.532902229988785</v>
      </c>
      <c r="BA20" s="153">
        <f t="shared" si="21"/>
        <v>-41.479486419392771</v>
      </c>
      <c r="BB20" s="153">
        <f t="shared" si="22"/>
        <v>-44.322539411233699</v>
      </c>
      <c r="BC20" s="153">
        <f t="shared" si="23"/>
        <v>-39.801273584616801</v>
      </c>
      <c r="BD20" s="153">
        <f t="shared" si="24"/>
        <v>0</v>
      </c>
      <c r="BE20" s="153">
        <f t="shared" si="25"/>
        <v>0</v>
      </c>
      <c r="BF20" s="153">
        <f t="shared" si="26"/>
        <v>0</v>
      </c>
      <c r="BG20" s="154">
        <f t="shared" si="27"/>
        <v>0</v>
      </c>
      <c r="BH20" s="154">
        <f t="shared" si="28"/>
        <v>0</v>
      </c>
      <c r="BI20" s="154">
        <f t="shared" si="29"/>
        <v>0</v>
      </c>
      <c r="BJ20" s="154">
        <f t="shared" si="30"/>
        <v>0</v>
      </c>
      <c r="BK20" s="154">
        <f t="shared" si="31"/>
        <v>0</v>
      </c>
      <c r="BL20" s="154">
        <f t="shared" si="32"/>
        <v>0</v>
      </c>
      <c r="BM20" s="155">
        <f t="shared" si="33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>
        <v>7</v>
      </c>
      <c r="BW20" s="140">
        <v>15</v>
      </c>
      <c r="BX20" s="140">
        <v>12</v>
      </c>
      <c r="BY20" s="140">
        <v>11</v>
      </c>
      <c r="BZ20" s="140">
        <v>6</v>
      </c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L20" s="134"/>
      <c r="CM20" s="140" t="s">
        <v>32</v>
      </c>
      <c r="CN20" s="140" t="s">
        <v>32</v>
      </c>
      <c r="CO20" s="140" t="s">
        <v>32</v>
      </c>
      <c r="CP20" s="140" t="s">
        <v>32</v>
      </c>
      <c r="CQ20" s="140" t="s">
        <v>32</v>
      </c>
      <c r="CR20" s="140"/>
      <c r="CS20" s="140"/>
      <c r="CT20" s="140"/>
      <c r="CU20" s="140"/>
      <c r="CV20" s="140"/>
      <c r="CW20" s="140"/>
      <c r="CX20" s="140"/>
      <c r="CY20" s="140"/>
      <c r="CZ20" s="140"/>
      <c r="DA20" s="140"/>
      <c r="DB20" s="134"/>
      <c r="DC20" s="134"/>
      <c r="DD20" s="156" cm="1">
        <f t="array" ref="DD20">_xlfn.IFS(DD$1= 0,"", NOT(ISBLANK(CM20)), 0, ISBLANK(CM20), $Q20-$S20+AY20-BV20)</f>
        <v>0</v>
      </c>
      <c r="DE20" s="157" cm="1">
        <f t="array" ref="DE20">_xlfn.IFS(DE$1= 0,"", NOT(ISBLANK(CN20)), 0, ISBLANK(CN20), $Q20-$S20+AZ20-BW20)</f>
        <v>0</v>
      </c>
      <c r="DF20" s="157" cm="1">
        <f t="array" ref="DF20">_xlfn.IFS(DF$1= 0,"", NOT(ISBLANK(CO20)), 0, ISBLANK(CO20), $Q20-$S20+BA20-BX20)</f>
        <v>0</v>
      </c>
      <c r="DG20" s="157" cm="1">
        <f t="array" ref="DG20">_xlfn.IFS(DG$1= 0,"", NOT(ISBLANK(CP20)), 0, ISBLANK(CP20), $Q20-$S20+BB20-BY20)</f>
        <v>0</v>
      </c>
      <c r="DH20" s="157" cm="1">
        <f t="array" ref="DH20">_xlfn.IFS(DH$1= 0,"", NOT(ISBLANK(CQ20)), 0, ISBLANK(CQ20), $Q20-$S20+BC20-BZ20)</f>
        <v>0</v>
      </c>
      <c r="DI20" s="157" t="str" cm="1">
        <f t="array" ref="DI20">_xlfn.IFS(DI$1= 0,"", NOT(ISBLANK(CR20)), 0, ISBLANK(CR20), $Q20-$S20+BD20-CA20)</f>
        <v/>
      </c>
      <c r="DJ20" s="157" t="str" cm="1">
        <f t="array" ref="DJ20">_xlfn.IFS(DJ$1= 0,"", NOT(ISBLANK(CS20)), 0, ISBLANK(CS20), $Q20-$S20+BE20-CB20)</f>
        <v/>
      </c>
      <c r="DK20" s="157" t="str" cm="1">
        <f t="array" ref="DK20">_xlfn.IFS(DK$1= 0,"", NOT(ISBLANK(CT20)), 0, ISBLANK(CT20), $Q20-$S20+BF20-CC20)</f>
        <v/>
      </c>
      <c r="DL20" s="158" t="str" cm="1">
        <f t="array" ref="DL20">_xlfn.IFS(DL$1= 0,"", NOT(ISBLANK(CU20)), 0, ISBLANK(CU20), $Q20-$S20+BG20-CD20)</f>
        <v/>
      </c>
      <c r="DM20" s="158" t="str" cm="1">
        <f t="array" ref="DM20">_xlfn.IFS(DM$1= 0,"", NOT(ISBLANK(CV20)), 0, ISBLANK(CV20), $Q20-$S20+BH20-CE20)</f>
        <v/>
      </c>
      <c r="DN20" s="158" t="str" cm="1">
        <f t="array" ref="DN20">_xlfn.IFS(DN$1= 0,"", NOT(ISBLANK(CW20)), 0, ISBLANK(CW20), $Q20-$S20+BI20-CF20)</f>
        <v/>
      </c>
      <c r="DO20" s="158" t="str" cm="1">
        <f t="array" ref="DO20">_xlfn.IFS(DO$1= 0,"", NOT(ISBLANK(CX20)), 0, ISBLANK(CX20), $Q20-$S20+BJ20-CG20)</f>
        <v/>
      </c>
      <c r="DP20" s="143" t="str" cm="1">
        <f t="array" ref="DP20">_xlfn.IFS(DP$1= 0,"", NOT(ISBLANK(CY20)), 0, ISBLANK(CY20), $Q20-$S20+BK20-CH20)</f>
        <v/>
      </c>
      <c r="DQ20" s="143" t="str" cm="1">
        <f t="array" ref="DQ20">_xlfn.IFS(DQ$1= 0,"", NOT(ISBLANK(CZ20)), 0, ISBLANK(CZ20), $Q20-$S20+BL20-CI20)</f>
        <v/>
      </c>
      <c r="DR20" s="14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2" t="s">
        <v>140</v>
      </c>
      <c r="F21" s="210"/>
      <c r="G21" s="211"/>
      <c r="H21" s="211"/>
      <c r="I21" s="211"/>
      <c r="J21" s="211"/>
      <c r="K21" s="211"/>
      <c r="L21" s="211"/>
      <c r="M21" s="215"/>
      <c r="N21" s="210">
        <v>58</v>
      </c>
      <c r="O21" s="212">
        <v>5</v>
      </c>
      <c r="P21" s="205">
        <v>1</v>
      </c>
      <c r="Q21" s="12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109.45523696927432</v>
      </c>
      <c r="AI21" s="150">
        <f t="array" ref="AI21">IF(AI$1=0,"",SQRT((_xlfn.XLOOKUP(AI$1,$Z$2:$Z$18,$AA$2:$AA$18)-$T21)^2+(_xlfn.XLOOKUP(AI$1,$Z$2:$Z$18,$AB$2:$AB$18)-$U21)^2+(_xlfn.XLOOKUP(AI$1,$Z$2:$Z$18,$AC$2:$AC$18-$V21)^2)))</f>
        <v>94.610868297463568</v>
      </c>
      <c r="AJ21" s="150">
        <f t="array" ref="AJ21">IF(AJ$1=0,"",SQRT((_xlfn.XLOOKUP(AJ$1,$Z$2:$Z$18,$AA$2:$AA$18)-$T21)^2+(_xlfn.XLOOKUP(AJ$1,$Z$2:$Z$18,$AB$2:$AB$18)-$U21)^2+(_xlfn.XLOOKUP(AJ$1,$Z$2:$Z$18,$AC$2:$AC$18-$V21)^2)))</f>
        <v>145.42249138286692</v>
      </c>
      <c r="AK21" s="150">
        <f t="array" ref="AK21">IF(AK$1=0,"",SQRT((_xlfn.XLOOKUP(AK$1,$Z$2:$Z$18,$AA$2:$AA$18)-$T21)^2+(_xlfn.XLOOKUP(AK$1,$Z$2:$Z$18,$AB$2:$AB$18)-$U21)^2+(_xlfn.XLOOKUP(AK$1,$Z$2:$Z$18,$AC$2:$AC$18-$V21)^2)))</f>
        <v>197.42167054302828</v>
      </c>
      <c r="AL21" s="150">
        <f t="array" ref="AL21">IF(AL$1=0,"",SQRT((_xlfn.XLOOKUP(AL$1,$Z$2:$Z$18,$AA$2:$AA$18)-$T21)^2+(_xlfn.XLOOKUP(AL$1,$Z$2:$Z$18,$AB$2:$AB$18)-$U21)^2+(_xlfn.XLOOKUP(AL$1,$Z$2:$Z$18,$AC$2:$AC$18-$V21)^2)))</f>
        <v>140.97761701773794</v>
      </c>
      <c r="AM21" s="150" t="str">
        <f t="array" ref="AM21">IF(AM$1=0,"",SQRT((_xlfn.XLOOKUP(AM$1,$Z$2:$Z$18,$AA$2:$AA$18)-$T21)^2+(_xlfn.XLOOKUP(AM$1,$Z$2:$Z$18,$AB$2:$AB$18)-$U21)^2+(_xlfn.XLOOKUP(AM$1,$Z$2:$Z$18,$AC$2:$AC$18-$V21)^2)))</f>
        <v/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19"/>
        <v>-38.446828847966557</v>
      </c>
      <c r="AZ21" s="153">
        <f t="shared" si="20"/>
        <v>-37.180918502283589</v>
      </c>
      <c r="BA21" s="153">
        <f t="shared" si="21"/>
        <v>-40.914729551308696</v>
      </c>
      <c r="BB21" s="153">
        <f t="shared" si="22"/>
        <v>-43.569994386958761</v>
      </c>
      <c r="BC21" s="153">
        <f t="shared" si="23"/>
        <v>-40.645101242901127</v>
      </c>
      <c r="BD21" s="153">
        <f t="shared" si="24"/>
        <v>0</v>
      </c>
      <c r="BE21" s="153">
        <f t="shared" si="25"/>
        <v>0</v>
      </c>
      <c r="BF21" s="153">
        <f t="shared" si="26"/>
        <v>0</v>
      </c>
      <c r="BG21" s="154">
        <f t="shared" si="27"/>
        <v>0</v>
      </c>
      <c r="BH21" s="154">
        <f t="shared" si="28"/>
        <v>0</v>
      </c>
      <c r="BI21" s="154">
        <f t="shared" si="29"/>
        <v>0</v>
      </c>
      <c r="BJ21" s="154">
        <f t="shared" si="30"/>
        <v>0</v>
      </c>
      <c r="BK21" s="154">
        <f t="shared" si="31"/>
        <v>0</v>
      </c>
      <c r="BL21" s="154">
        <f t="shared" si="32"/>
        <v>0</v>
      </c>
      <c r="BM21" s="155">
        <f t="shared" si="33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>
        <v>7</v>
      </c>
      <c r="BW21" s="140">
        <v>15</v>
      </c>
      <c r="BX21" s="140">
        <v>12</v>
      </c>
      <c r="BY21" s="140">
        <v>11</v>
      </c>
      <c r="BZ21" s="140">
        <v>5</v>
      </c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L21" s="134"/>
      <c r="CM21" s="140" t="s">
        <v>32</v>
      </c>
      <c r="CN21" s="140" t="s">
        <v>32</v>
      </c>
      <c r="CO21" s="140" t="s">
        <v>32</v>
      </c>
      <c r="CP21" s="140" t="s">
        <v>32</v>
      </c>
      <c r="CQ21" s="140" t="s">
        <v>32</v>
      </c>
      <c r="CR21" s="140"/>
      <c r="CS21" s="140"/>
      <c r="CT21" s="140"/>
      <c r="CU21" s="140"/>
      <c r="CV21" s="140"/>
      <c r="CW21" s="140"/>
      <c r="CX21" s="140"/>
      <c r="CY21" s="140"/>
      <c r="CZ21" s="140"/>
      <c r="DA21" s="140"/>
      <c r="DB21" s="134"/>
      <c r="DC21" s="134"/>
      <c r="DD21" s="156" cm="1">
        <f t="array" ref="DD21">_xlfn.IFS(DD$1= 0,"", NOT(ISBLANK(CM21)), 0, ISBLANK(CM21), $Q21-$S21+AY21-BV21)</f>
        <v>0</v>
      </c>
      <c r="DE21" s="157" cm="1">
        <f t="array" ref="DE21">_xlfn.IFS(DE$1= 0,"", NOT(ISBLANK(CN21)), 0, ISBLANK(CN21), $Q21-$S21+AZ21-BW21)</f>
        <v>0</v>
      </c>
      <c r="DF21" s="157" cm="1">
        <f t="array" ref="DF21">_xlfn.IFS(DF$1= 0,"", NOT(ISBLANK(CO21)), 0, ISBLANK(CO21), $Q21-$S21+BA21-BX21)</f>
        <v>0</v>
      </c>
      <c r="DG21" s="157" cm="1">
        <f t="array" ref="DG21">_xlfn.IFS(DG$1= 0,"", NOT(ISBLANK(CP21)), 0, ISBLANK(CP21), $Q21-$S21+BB21-BY21)</f>
        <v>0</v>
      </c>
      <c r="DH21" s="157" cm="1">
        <f t="array" ref="DH21">_xlfn.IFS(DH$1= 0,"", NOT(ISBLANK(CQ21)), 0, ISBLANK(CQ21), $Q21-$S21+BC21-BZ21)</f>
        <v>0</v>
      </c>
      <c r="DI21" s="157" t="str" cm="1">
        <f t="array" ref="DI21">_xlfn.IFS(DI$1= 0,"", NOT(ISBLANK(CR21)), 0, ISBLANK(CR21), $Q21-$S21+BD21-CA21)</f>
        <v/>
      </c>
      <c r="DJ21" s="157" t="str" cm="1">
        <f t="array" ref="DJ21">_xlfn.IFS(DJ$1= 0,"", NOT(ISBLANK(CS21)), 0, ISBLANK(CS21), $Q21-$S21+BE21-CB21)</f>
        <v/>
      </c>
      <c r="DK21" s="157" t="str" cm="1">
        <f t="array" ref="DK21">_xlfn.IFS(DK$1= 0,"", NOT(ISBLANK(CT21)), 0, ISBLANK(CT21), $Q21-$S21+BF21-CC21)</f>
        <v/>
      </c>
      <c r="DL21" s="158" t="str" cm="1">
        <f t="array" ref="DL21">_xlfn.IFS(DL$1= 0,"", NOT(ISBLANK(CU21)), 0, ISBLANK(CU21), $Q21-$S21+BG21-CD21)</f>
        <v/>
      </c>
      <c r="DM21" s="158" t="str" cm="1">
        <f t="array" ref="DM21">_xlfn.IFS(DM$1= 0,"", NOT(ISBLANK(CV21)), 0, ISBLANK(CV21), $Q21-$S21+BH21-CE21)</f>
        <v/>
      </c>
      <c r="DN21" s="158" t="str" cm="1">
        <f t="array" ref="DN21">_xlfn.IFS(DN$1= 0,"", NOT(ISBLANK(CW21)), 0, ISBLANK(CW21), $Q21-$S21+BI21-CF21)</f>
        <v/>
      </c>
      <c r="DO21" s="158" t="str" cm="1">
        <f t="array" ref="DO21">_xlfn.IFS(DO$1= 0,"", NOT(ISBLANK(CX21)), 0, ISBLANK(CX21), $Q21-$S21+BJ21-CG21)</f>
        <v/>
      </c>
      <c r="DP21" s="143" t="str" cm="1">
        <f t="array" ref="DP21">_xlfn.IFS(DP$1= 0,"", NOT(ISBLANK(CY21)), 0, ISBLANK(CY21), $Q21-$S21+BK21-CH21)</f>
        <v/>
      </c>
      <c r="DQ21" s="143" t="str" cm="1">
        <f t="array" ref="DQ21">_xlfn.IFS(DQ$1= 0,"", NOT(ISBLANK(CZ21)), 0, ISBLANK(CZ21), $Q21-$S21+BL21-CI21)</f>
        <v/>
      </c>
      <c r="DR21" s="14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2" t="s">
        <v>140</v>
      </c>
      <c r="F22" s="210"/>
      <c r="G22" s="211"/>
      <c r="H22" s="211"/>
      <c r="I22" s="211"/>
      <c r="J22" s="211"/>
      <c r="K22" s="211"/>
      <c r="L22" s="211"/>
      <c r="M22" s="215"/>
      <c r="N22" s="210">
        <v>58</v>
      </c>
      <c r="O22" s="212">
        <v>5</v>
      </c>
      <c r="P22" s="205">
        <v>1</v>
      </c>
      <c r="Q22" s="12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128.59893973124349</v>
      </c>
      <c r="AI22" s="150">
        <f t="array" ref="AI22">IF(AI$1=0,"",SQRT((_xlfn.XLOOKUP(AI$1,$Z$2:$Z$18,$AA$2:$AA$18)-$T22)^2+(_xlfn.XLOOKUP(AI$1,$Z$2:$Z$18,$AB$2:$AB$18)-$U22)^2+(_xlfn.XLOOKUP(AI$1,$Z$2:$Z$18,$AC$2:$AC$18-$V22)^2)))</f>
        <v>104.64154910932845</v>
      </c>
      <c r="AJ22" s="150">
        <f t="array" ref="AJ22">IF(AJ$1=0,"",SQRT((_xlfn.XLOOKUP(AJ$1,$Z$2:$Z$18,$AA$2:$AA$18)-$T22)^2+(_xlfn.XLOOKUP(AJ$1,$Z$2:$Z$18,$AB$2:$AB$18)-$U22)^2+(_xlfn.XLOOKUP(AJ$1,$Z$2:$Z$18,$AC$2:$AC$18-$V22)^2)))</f>
        <v>137.67797790496491</v>
      </c>
      <c r="AK22" s="150">
        <f t="array" ref="AK22">IF(AK$1=0,"",SQRT((_xlfn.XLOOKUP(AK$1,$Z$2:$Z$18,$AA$2:$AA$18)-$T22)^2+(_xlfn.XLOOKUP(AK$1,$Z$2:$Z$18,$AB$2:$AB$18)-$U22)^2+(_xlfn.XLOOKUP(AK$1,$Z$2:$Z$18,$AC$2:$AC$18-$V22)^2)))</f>
        <v>179.94699941927345</v>
      </c>
      <c r="AL22" s="150">
        <f t="array" ref="AL22">IF(AL$1=0,"",SQRT((_xlfn.XLOOKUP(AL$1,$Z$2:$Z$18,$AA$2:$AA$18)-$T22)^2+(_xlfn.XLOOKUP(AL$1,$Z$2:$Z$18,$AB$2:$AB$18)-$U22)^2+(_xlfn.XLOOKUP(AL$1,$Z$2:$Z$18,$AC$2:$AC$18-$V22)^2)))</f>
        <v>155.64107844653353</v>
      </c>
      <c r="AM22" s="150" t="str">
        <f t="array" ref="AM22">IF(AM$1=0,"",SQRT((_xlfn.XLOOKUP(AM$1,$Z$2:$Z$18,$AA$2:$AA$18)-$T22)^2+(_xlfn.XLOOKUP(AM$1,$Z$2:$Z$18,$AB$2:$AB$18)-$U22)^2+(_xlfn.XLOOKUP(AM$1,$Z$2:$Z$18,$AC$2:$AC$18-$V22)^2)))</f>
        <v/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19"/>
        <v>-39.846845695824229</v>
      </c>
      <c r="AZ22" s="153">
        <f t="shared" si="20"/>
        <v>-38.056181143052562</v>
      </c>
      <c r="BA22" s="153">
        <f t="shared" si="21"/>
        <v>-40.439387513426404</v>
      </c>
      <c r="BB22" s="153">
        <f t="shared" si="22"/>
        <v>-42.764990122421842</v>
      </c>
      <c r="BC22" s="153">
        <f t="shared" si="23"/>
        <v>-41.504582564834543</v>
      </c>
      <c r="BD22" s="153">
        <f t="shared" si="24"/>
        <v>0</v>
      </c>
      <c r="BE22" s="153">
        <f t="shared" si="25"/>
        <v>0</v>
      </c>
      <c r="BF22" s="153">
        <f t="shared" si="26"/>
        <v>0</v>
      </c>
      <c r="BG22" s="154">
        <f t="shared" si="27"/>
        <v>0</v>
      </c>
      <c r="BH22" s="154">
        <f t="shared" si="28"/>
        <v>0</v>
      </c>
      <c r="BI22" s="154">
        <f t="shared" si="29"/>
        <v>0</v>
      </c>
      <c r="BJ22" s="154">
        <f t="shared" si="30"/>
        <v>0</v>
      </c>
      <c r="BK22" s="154">
        <f t="shared" si="31"/>
        <v>0</v>
      </c>
      <c r="BL22" s="154">
        <f t="shared" si="32"/>
        <v>0</v>
      </c>
      <c r="BM22" s="155">
        <f t="shared" si="33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>
        <v>7</v>
      </c>
      <c r="BW22" s="140">
        <v>15</v>
      </c>
      <c r="BX22" s="140">
        <v>15</v>
      </c>
      <c r="BY22" s="140">
        <v>10</v>
      </c>
      <c r="BZ22" s="140">
        <v>5</v>
      </c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L22" s="134"/>
      <c r="CM22" s="140" t="s">
        <v>32</v>
      </c>
      <c r="CN22" s="140" t="s">
        <v>32</v>
      </c>
      <c r="CO22" s="140" t="s">
        <v>32</v>
      </c>
      <c r="CP22" s="140" t="s">
        <v>32</v>
      </c>
      <c r="CQ22" s="140" t="s">
        <v>32</v>
      </c>
      <c r="CR22" s="140"/>
      <c r="CS22" s="140"/>
      <c r="CT22" s="140"/>
      <c r="CU22" s="140"/>
      <c r="CV22" s="140"/>
      <c r="CW22" s="140"/>
      <c r="CX22" s="140"/>
      <c r="CY22" s="140"/>
      <c r="CZ22" s="140"/>
      <c r="DA22" s="140"/>
      <c r="DB22" s="134"/>
      <c r="DC22" s="134"/>
      <c r="DD22" s="156" cm="1">
        <f t="array" ref="DD22">_xlfn.IFS(DD$1= 0,"", NOT(ISBLANK(CM22)), 0, ISBLANK(CM22), $Q22-$S22+AY22-BV22)</f>
        <v>0</v>
      </c>
      <c r="DE22" s="157" cm="1">
        <f t="array" ref="DE22">_xlfn.IFS(DE$1= 0,"", NOT(ISBLANK(CN22)), 0, ISBLANK(CN22), $Q22-$S22+AZ22-BW22)</f>
        <v>0</v>
      </c>
      <c r="DF22" s="157" cm="1">
        <f t="array" ref="DF22">_xlfn.IFS(DF$1= 0,"", NOT(ISBLANK(CO22)), 0, ISBLANK(CO22), $Q22-$S22+BA22-BX22)</f>
        <v>0</v>
      </c>
      <c r="DG22" s="157" cm="1">
        <f t="array" ref="DG22">_xlfn.IFS(DG$1= 0,"", NOT(ISBLANK(CP22)), 0, ISBLANK(CP22), $Q22-$S22+BB22-BY22)</f>
        <v>0</v>
      </c>
      <c r="DH22" s="157" cm="1">
        <f t="array" ref="DH22">_xlfn.IFS(DH$1= 0,"", NOT(ISBLANK(CQ22)), 0, ISBLANK(CQ22), $Q22-$S22+BC22-BZ22)</f>
        <v>0</v>
      </c>
      <c r="DI22" s="157" t="str" cm="1">
        <f t="array" ref="DI22">_xlfn.IFS(DI$1= 0,"", NOT(ISBLANK(CR22)), 0, ISBLANK(CR22), $Q22-$S22+BD22-CA22)</f>
        <v/>
      </c>
      <c r="DJ22" s="157" t="str" cm="1">
        <f t="array" ref="DJ22">_xlfn.IFS(DJ$1= 0,"", NOT(ISBLANK(CS22)), 0, ISBLANK(CS22), $Q22-$S22+BE22-CB22)</f>
        <v/>
      </c>
      <c r="DK22" s="157" t="str" cm="1">
        <f t="array" ref="DK22">_xlfn.IFS(DK$1= 0,"", NOT(ISBLANK(CT22)), 0, ISBLANK(CT22), $Q22-$S22+BF22-CC22)</f>
        <v/>
      </c>
      <c r="DL22" s="158" t="str" cm="1">
        <f t="array" ref="DL22">_xlfn.IFS(DL$1= 0,"", NOT(ISBLANK(CU22)), 0, ISBLANK(CU22), $Q22-$S22+BG22-CD22)</f>
        <v/>
      </c>
      <c r="DM22" s="158" t="str" cm="1">
        <f t="array" ref="DM22">_xlfn.IFS(DM$1= 0,"", NOT(ISBLANK(CV22)), 0, ISBLANK(CV22), $Q22-$S22+BH22-CE22)</f>
        <v/>
      </c>
      <c r="DN22" s="158" t="str" cm="1">
        <f t="array" ref="DN22">_xlfn.IFS(DN$1= 0,"", NOT(ISBLANK(CW22)), 0, ISBLANK(CW22), $Q22-$S22+BI22-CF22)</f>
        <v/>
      </c>
      <c r="DO22" s="158" t="str" cm="1">
        <f t="array" ref="DO22">_xlfn.IFS(DO$1= 0,"", NOT(ISBLANK(CX22)), 0, ISBLANK(CX22), $Q22-$S22+BJ22-CG22)</f>
        <v/>
      </c>
      <c r="DP22" s="143" t="str" cm="1">
        <f t="array" ref="DP22">_xlfn.IFS(DP$1= 0,"", NOT(ISBLANK(CY22)), 0, ISBLANK(CY22), $Q22-$S22+BK22-CH22)</f>
        <v/>
      </c>
      <c r="DQ22" s="143" t="str" cm="1">
        <f t="array" ref="DQ22">_xlfn.IFS(DQ$1= 0,"", NOT(ISBLANK(CZ22)), 0, ISBLANK(CZ22), $Q22-$S22+BL22-CI22)</f>
        <v/>
      </c>
      <c r="DR22" s="14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2" t="s">
        <v>141</v>
      </c>
      <c r="F23" s="210"/>
      <c r="G23" s="211"/>
      <c r="H23" s="211"/>
      <c r="I23" s="211"/>
      <c r="J23" s="211"/>
      <c r="K23" s="211"/>
      <c r="L23" s="211"/>
      <c r="M23" s="215"/>
      <c r="N23" s="210">
        <v>57.392737795737183</v>
      </c>
      <c r="O23" s="212">
        <v>0</v>
      </c>
      <c r="P23" s="205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21.422777597687933</v>
      </c>
      <c r="AI23" s="150">
        <f t="array" ref="AI23">IF(AI$1=0,"",SQRT((_xlfn.XLOOKUP(AI$1,$Z$2:$Z$18,$AA$2:$AA$18)-$T23)^2+(_xlfn.XLOOKUP(AI$1,$Z$2:$Z$18,$AB$2:$AB$18)-$U23)^2+(_xlfn.XLOOKUP(AI$1,$Z$2:$Z$18,$AC$2:$AC$18-$V23)^2)))</f>
        <v>69.948639014637024</v>
      </c>
      <c r="AJ23" s="150">
        <f t="array" ref="AJ23">IF(AJ$1=0,"",SQRT((_xlfn.XLOOKUP(AJ$1,$Z$2:$Z$18,$AA$2:$AA$18)-$T23)^2+(_xlfn.XLOOKUP(AJ$1,$Z$2:$Z$18,$AB$2:$AB$18)-$U23)^2+(_xlfn.XLOOKUP(AJ$1,$Z$2:$Z$18,$AC$2:$AC$18-$V23)^2)))</f>
        <v>176.30222034903588</v>
      </c>
      <c r="AK23" s="150">
        <f t="array" ref="AK23">IF(AK$1=0,"",SQRT((_xlfn.XLOOKUP(AK$1,$Z$2:$Z$18,$AA$2:$AA$18)-$T23)^2+(_xlfn.XLOOKUP(AK$1,$Z$2:$Z$18,$AB$2:$AB$18)-$U23)^2+(_xlfn.XLOOKUP(AK$1,$Z$2:$Z$18,$AC$2:$AC$18-$V23)^2)))</f>
        <v>267.17936091696907</v>
      </c>
      <c r="AL23" s="150">
        <f t="array" ref="AL23">IF(AL$1=0,"",SQRT((_xlfn.XLOOKUP(AL$1,$Z$2:$Z$18,$AA$2:$AA$18)-$T23)^2+(_xlfn.XLOOKUP(AL$1,$Z$2:$Z$18,$AB$2:$AB$18)-$U23)^2+(_xlfn.XLOOKUP(AL$1,$Z$2:$Z$18,$AC$2:$AC$18-$V23)^2)))</f>
        <v>139.65690817141842</v>
      </c>
      <c r="AM23" s="150" t="str">
        <f t="array" ref="AM23">IF(AM$1=0,"",SQRT((_xlfn.XLOOKUP(AM$1,$Z$2:$Z$18,$AA$2:$AA$18)-$T23)^2+(_xlfn.XLOOKUP(AM$1,$Z$2:$Z$18,$AB$2:$AB$18)-$U23)^2+(_xlfn.XLOOKUP(AM$1,$Z$2:$Z$18,$AC$2:$AC$18-$V23)^2)))</f>
        <v/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19"/>
        <v>-24.27961352001773</v>
      </c>
      <c r="AZ23" s="153">
        <f t="shared" si="20"/>
        <v>-34.557683314437661</v>
      </c>
      <c r="BA23" s="153">
        <f t="shared" si="21"/>
        <v>-42.587253573646251</v>
      </c>
      <c r="BB23" s="153">
        <f t="shared" si="22"/>
        <v>-46.198156070931674</v>
      </c>
      <c r="BC23" s="153">
        <f t="shared" si="23"/>
        <v>-40.563346398471083</v>
      </c>
      <c r="BD23" s="153">
        <f t="shared" si="24"/>
        <v>0</v>
      </c>
      <c r="BE23" s="153">
        <f t="shared" si="25"/>
        <v>0</v>
      </c>
      <c r="BF23" s="153">
        <f t="shared" si="26"/>
        <v>0</v>
      </c>
      <c r="BG23" s="154">
        <f t="shared" si="27"/>
        <v>0</v>
      </c>
      <c r="BH23" s="154">
        <f t="shared" si="28"/>
        <v>0</v>
      </c>
      <c r="BI23" s="154">
        <f t="shared" si="29"/>
        <v>0</v>
      </c>
      <c r="BJ23" s="154">
        <f t="shared" si="30"/>
        <v>0</v>
      </c>
      <c r="BK23" s="154">
        <f t="shared" si="31"/>
        <v>0</v>
      </c>
      <c r="BL23" s="154">
        <f t="shared" si="32"/>
        <v>0</v>
      </c>
      <c r="BM23" s="155">
        <f t="shared" si="33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>
        <v>0</v>
      </c>
      <c r="BW23" s="140">
        <v>0</v>
      </c>
      <c r="BX23" s="140">
        <v>0</v>
      </c>
      <c r="BY23" s="140">
        <v>13</v>
      </c>
      <c r="BZ23" s="140">
        <v>0</v>
      </c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L23" s="134"/>
      <c r="CM23" s="140" t="s">
        <v>32</v>
      </c>
      <c r="CN23" s="140" t="s">
        <v>32</v>
      </c>
      <c r="CO23" s="140" t="s">
        <v>32</v>
      </c>
      <c r="CP23" s="140" t="s">
        <v>32</v>
      </c>
      <c r="CQ23" s="140" t="s">
        <v>32</v>
      </c>
      <c r="CR23" s="140"/>
      <c r="CS23" s="140"/>
      <c r="CT23" s="140"/>
      <c r="CU23" s="140"/>
      <c r="CV23" s="140"/>
      <c r="CW23" s="140"/>
      <c r="CX23" s="140"/>
      <c r="CY23" s="140"/>
      <c r="CZ23" s="140"/>
      <c r="DA23" s="140"/>
      <c r="DB23" s="134"/>
      <c r="DC23" s="134"/>
      <c r="DD23" s="156" cm="1">
        <f t="array" ref="DD23">_xlfn.IFS(DD$1= 0,"", NOT(ISBLANK(CM23)), 0, ISBLANK(CM23), $Q23-$S23+AY23-BV23)</f>
        <v>0</v>
      </c>
      <c r="DE23" s="157" cm="1">
        <f t="array" ref="DE23">_xlfn.IFS(DE$1= 0,"", NOT(ISBLANK(CN23)), 0, ISBLANK(CN23), $Q23-$S23+AZ23-BW23)</f>
        <v>0</v>
      </c>
      <c r="DF23" s="157" cm="1">
        <f t="array" ref="DF23">_xlfn.IFS(DF$1= 0,"", NOT(ISBLANK(CO23)), 0, ISBLANK(CO23), $Q23-$S23+BA23-BX23)</f>
        <v>0</v>
      </c>
      <c r="DG23" s="157" cm="1">
        <f t="array" ref="DG23">_xlfn.IFS(DG$1= 0,"", NOT(ISBLANK(CP23)), 0, ISBLANK(CP23), $Q23-$S23+BB23-BY23)</f>
        <v>0</v>
      </c>
      <c r="DH23" s="157" cm="1">
        <f t="array" ref="DH23">_xlfn.IFS(DH$1= 0,"", NOT(ISBLANK(CQ23)), 0, ISBLANK(CQ23), $Q23-$S23+BC23-BZ23)</f>
        <v>0</v>
      </c>
      <c r="DI23" s="157" t="str" cm="1">
        <f t="array" ref="DI23">_xlfn.IFS(DI$1= 0,"", NOT(ISBLANK(CR23)), 0, ISBLANK(CR23), $Q23-$S23+BD23-CA23)</f>
        <v/>
      </c>
      <c r="DJ23" s="157" t="str" cm="1">
        <f t="array" ref="DJ23">_xlfn.IFS(DJ$1= 0,"", NOT(ISBLANK(CS23)), 0, ISBLANK(CS23), $Q23-$S23+BE23-CB23)</f>
        <v/>
      </c>
      <c r="DK23" s="157" t="str" cm="1">
        <f t="array" ref="DK23">_xlfn.IFS(DK$1= 0,"", NOT(ISBLANK(CT23)), 0, ISBLANK(CT23), $Q23-$S23+BF23-CC23)</f>
        <v/>
      </c>
      <c r="DL23" s="158" t="str" cm="1">
        <f t="array" ref="DL23">_xlfn.IFS(DL$1= 0,"", NOT(ISBLANK(CU23)), 0, ISBLANK(CU23), $Q23-$S23+BG23-CD23)</f>
        <v/>
      </c>
      <c r="DM23" s="158" t="str" cm="1">
        <f t="array" ref="DM23">_xlfn.IFS(DM$1= 0,"", NOT(ISBLANK(CV23)), 0, ISBLANK(CV23), $Q23-$S23+BH23-CE23)</f>
        <v/>
      </c>
      <c r="DN23" s="158" t="str" cm="1">
        <f t="array" ref="DN23">_xlfn.IFS(DN$1= 0,"", NOT(ISBLANK(CW23)), 0, ISBLANK(CW23), $Q23-$S23+BI23-CF23)</f>
        <v/>
      </c>
      <c r="DO23" s="158" t="str" cm="1">
        <f t="array" ref="DO23">_xlfn.IFS(DO$1= 0,"", NOT(ISBLANK(CX23)), 0, ISBLANK(CX23), $Q23-$S23+BJ23-CG23)</f>
        <v/>
      </c>
      <c r="DP23" s="143" t="str" cm="1">
        <f t="array" ref="DP23">_xlfn.IFS(DP$1= 0,"", NOT(ISBLANK(CY23)), 0, ISBLANK(CY23), $Q23-$S23+BK23-CH23)</f>
        <v/>
      </c>
      <c r="DQ23" s="143" t="str" cm="1">
        <f t="array" ref="DQ23">_xlfn.IFS(DQ$1= 0,"", NOT(ISBLANK(CZ23)), 0, ISBLANK(CZ23), $Q23-$S23+BL23-CI23)</f>
        <v/>
      </c>
      <c r="DR23" s="144" t="str" cm="1">
        <f t="array" ref="DR23">_xlfn.IFS(DR$1= 0,"", NOT(ISBLANK(DA23)), 0, ISBLANK(DA23), $Q23-$S23+BM23-CJ23)</f>
        <v/>
      </c>
    </row>
    <row r="24" spans="1:122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2" t="s">
        <v>142</v>
      </c>
      <c r="F24" s="210"/>
      <c r="G24" s="211"/>
      <c r="H24" s="211"/>
      <c r="I24" s="211"/>
      <c r="J24" s="211"/>
      <c r="K24" s="211"/>
      <c r="L24" s="211"/>
      <c r="M24" s="215"/>
      <c r="N24" s="210">
        <v>65.873120921161103</v>
      </c>
      <c r="O24" s="212">
        <v>0</v>
      </c>
      <c r="P24" s="205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43.107549222844945</v>
      </c>
      <c r="AI24" s="150">
        <f t="array" ref="AI24">IF(AI$1=0,"",SQRT((_xlfn.XLOOKUP(AI$1,$Z$2:$Z$18,$AA$2:$AA$18)-$T24)^2+(_xlfn.XLOOKUP(AI$1,$Z$2:$Z$18,$AB$2:$AB$18)-$U24)^2+(_xlfn.XLOOKUP(AI$1,$Z$2:$Z$18,$AC$2:$AC$18-$V24)^2)))</f>
        <v>57.558635320862159</v>
      </c>
      <c r="AJ24" s="150">
        <f t="array" ref="AJ24">IF(AJ$1=0,"",SQRT((_xlfn.XLOOKUP(AJ$1,$Z$2:$Z$18,$AA$2:$AA$18)-$T24)^2+(_xlfn.XLOOKUP(AJ$1,$Z$2:$Z$18,$AB$2:$AB$18)-$U24)^2+(_xlfn.XLOOKUP(AJ$1,$Z$2:$Z$18,$AC$2:$AC$18-$V24)^2)))</f>
        <v>156.83578195042099</v>
      </c>
      <c r="AK24" s="150">
        <f t="array" ref="AK24">IF(AK$1=0,"",SQRT((_xlfn.XLOOKUP(AK$1,$Z$2:$Z$18,$AA$2:$AA$18)-$T24)^2+(_xlfn.XLOOKUP(AK$1,$Z$2:$Z$18,$AB$2:$AB$18)-$U24)^2+(_xlfn.XLOOKUP(AK$1,$Z$2:$Z$18,$AC$2:$AC$18-$V24)^2)))</f>
        <v>244.22369356800746</v>
      </c>
      <c r="AL24" s="150">
        <f t="array" ref="AL24">IF(AL$1=0,"",SQRT((_xlfn.XLOOKUP(AL$1,$Z$2:$Z$18,$AA$2:$AA$18)-$T24)^2+(_xlfn.XLOOKUP(AL$1,$Z$2:$Z$18,$AB$2:$AB$18)-$U24)^2+(_xlfn.XLOOKUP(AL$1,$Z$2:$Z$18,$AC$2:$AC$18-$V24)^2)))</f>
        <v>143.25237101004646</v>
      </c>
      <c r="AM24" s="150" t="str">
        <f t="array" ref="AM24">IF(AM$1=0,"",SQRT((_xlfn.XLOOKUP(AM$1,$Z$2:$Z$18,$AA$2:$AA$18)-$T24)^2+(_xlfn.XLOOKUP(AM$1,$Z$2:$Z$18,$AB$2:$AB$18)-$U24)^2+(_xlfn.XLOOKUP(AM$1,$Z$2:$Z$18,$AC$2:$AC$18-$V24)^2)))</f>
        <v/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19"/>
        <v>-30.35316459245599</v>
      </c>
      <c r="AZ24" s="153">
        <f t="shared" si="20"/>
        <v>-32.864307707670243</v>
      </c>
      <c r="BA24" s="153">
        <f t="shared" si="21"/>
        <v>-41.571001008336623</v>
      </c>
      <c r="BB24" s="153">
        <f t="shared" si="22"/>
        <v>-45.417853838911512</v>
      </c>
      <c r="BC24" s="153">
        <f t="shared" si="23"/>
        <v>-40.784134313498711</v>
      </c>
      <c r="BD24" s="153">
        <f t="shared" si="24"/>
        <v>0</v>
      </c>
      <c r="BE24" s="153">
        <f t="shared" si="25"/>
        <v>0</v>
      </c>
      <c r="BF24" s="153">
        <f t="shared" si="26"/>
        <v>0</v>
      </c>
      <c r="BG24" s="154">
        <f t="shared" si="27"/>
        <v>0</v>
      </c>
      <c r="BH24" s="154">
        <f t="shared" si="28"/>
        <v>0</v>
      </c>
      <c r="BI24" s="154">
        <f t="shared" si="29"/>
        <v>0</v>
      </c>
      <c r="BJ24" s="154">
        <f t="shared" si="30"/>
        <v>0</v>
      </c>
      <c r="BK24" s="154">
        <f t="shared" si="31"/>
        <v>0</v>
      </c>
      <c r="BL24" s="154">
        <f t="shared" si="32"/>
        <v>0</v>
      </c>
      <c r="BM24" s="155">
        <f t="shared" si="33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>
        <v>0</v>
      </c>
      <c r="BW24" s="140">
        <v>0</v>
      </c>
      <c r="BX24" s="140">
        <v>10</v>
      </c>
      <c r="BY24" s="140">
        <v>13</v>
      </c>
      <c r="BZ24" s="140">
        <v>5</v>
      </c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L24" s="134"/>
      <c r="CM24" s="140" t="s">
        <v>32</v>
      </c>
      <c r="CN24" s="140" t="s">
        <v>32</v>
      </c>
      <c r="CO24" s="140" t="s">
        <v>32</v>
      </c>
      <c r="CP24" s="140" t="s">
        <v>32</v>
      </c>
      <c r="CQ24" s="140" t="s">
        <v>32</v>
      </c>
      <c r="CR24" s="140"/>
      <c r="CS24" s="140"/>
      <c r="CT24" s="140"/>
      <c r="CU24" s="140"/>
      <c r="CV24" s="140"/>
      <c r="CW24" s="140"/>
      <c r="CX24" s="140"/>
      <c r="CY24" s="140"/>
      <c r="CZ24" s="140"/>
      <c r="DA24" s="140"/>
      <c r="DB24" s="134"/>
      <c r="DC24" s="134"/>
      <c r="DD24" s="156" cm="1">
        <f t="array" ref="DD24">_xlfn.IFS(DD$1= 0,"", NOT(ISBLANK(CM24)), 0, ISBLANK(CM24), $Q24-$S24+AY24-BV24)</f>
        <v>0</v>
      </c>
      <c r="DE24" s="157" cm="1">
        <f t="array" ref="DE24">_xlfn.IFS(DE$1= 0,"", NOT(ISBLANK(CN24)), 0, ISBLANK(CN24), $Q24-$S24+AZ24-BW24)</f>
        <v>0</v>
      </c>
      <c r="DF24" s="157" cm="1">
        <f t="array" ref="DF24">_xlfn.IFS(DF$1= 0,"", NOT(ISBLANK(CO24)), 0, ISBLANK(CO24), $Q24-$S24+BA24-BX24)</f>
        <v>0</v>
      </c>
      <c r="DG24" s="157" cm="1">
        <f t="array" ref="DG24">_xlfn.IFS(DG$1= 0,"", NOT(ISBLANK(CP24)), 0, ISBLANK(CP24), $Q24-$S24+BB24-BY24)</f>
        <v>0</v>
      </c>
      <c r="DH24" s="157" cm="1">
        <f t="array" ref="DH24">_xlfn.IFS(DH$1= 0,"", NOT(ISBLANK(CQ24)), 0, ISBLANK(CQ24), $Q24-$S24+BC24-BZ24)</f>
        <v>0</v>
      </c>
      <c r="DI24" s="157" t="str" cm="1">
        <f t="array" ref="DI24">_xlfn.IFS(DI$1= 0,"", NOT(ISBLANK(CR24)), 0, ISBLANK(CR24), $Q24-$S24+BD24-CA24)</f>
        <v/>
      </c>
      <c r="DJ24" s="157" t="str" cm="1">
        <f t="array" ref="DJ24">_xlfn.IFS(DJ$1= 0,"", NOT(ISBLANK(CS24)), 0, ISBLANK(CS24), $Q24-$S24+BE24-CB24)</f>
        <v/>
      </c>
      <c r="DK24" s="157" t="str" cm="1">
        <f t="array" ref="DK24">_xlfn.IFS(DK$1= 0,"", NOT(ISBLANK(CT24)), 0, ISBLANK(CT24), $Q24-$S24+BF24-CC24)</f>
        <v/>
      </c>
      <c r="DL24" s="158" t="str" cm="1">
        <f t="array" ref="DL24">_xlfn.IFS(DL$1= 0,"", NOT(ISBLANK(CU24)), 0, ISBLANK(CU24), $Q24-$S24+BG24-CD24)</f>
        <v/>
      </c>
      <c r="DM24" s="158" t="str" cm="1">
        <f t="array" ref="DM24">_xlfn.IFS(DM$1= 0,"", NOT(ISBLANK(CV24)), 0, ISBLANK(CV24), $Q24-$S24+BH24-CE24)</f>
        <v/>
      </c>
      <c r="DN24" s="158" t="str" cm="1">
        <f t="array" ref="DN24">_xlfn.IFS(DN$1= 0,"", NOT(ISBLANK(CW24)), 0, ISBLANK(CW24), $Q24-$S24+BI24-CF24)</f>
        <v/>
      </c>
      <c r="DO24" s="158" t="str" cm="1">
        <f t="array" ref="DO24">_xlfn.IFS(DO$1= 0,"", NOT(ISBLANK(CX24)), 0, ISBLANK(CX24), $Q24-$S24+BJ24-CG24)</f>
        <v/>
      </c>
      <c r="DP24" s="143" t="str" cm="1">
        <f t="array" ref="DP24">_xlfn.IFS(DP$1= 0,"", NOT(ISBLANK(CY24)), 0, ISBLANK(CY24), $Q24-$S24+BK24-CH24)</f>
        <v/>
      </c>
      <c r="DQ24" s="143" t="str" cm="1">
        <f t="array" ref="DQ24">_xlfn.IFS(DQ$1= 0,"", NOT(ISBLANK(CZ24)), 0, ISBLANK(CZ24), $Q24-$S24+BL24-CI24)</f>
        <v/>
      </c>
      <c r="DR24" s="144" t="str" cm="1">
        <f t="array" ref="DR24">_xlfn.IFS(DR$1= 0,"", NOT(ISBLANK(DA24)), 0, ISBLANK(DA24), $Q24-$S24+BM24-CJ24)</f>
        <v/>
      </c>
    </row>
    <row r="25" spans="1:122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2" t="s">
        <v>142</v>
      </c>
      <c r="F25" s="210"/>
      <c r="G25" s="211"/>
      <c r="H25" s="211"/>
      <c r="I25" s="211"/>
      <c r="J25" s="211"/>
      <c r="K25" s="211"/>
      <c r="L25" s="211"/>
      <c r="M25" s="215"/>
      <c r="N25" s="210">
        <v>65.873120921161103</v>
      </c>
      <c r="O25" s="212">
        <v>0</v>
      </c>
      <c r="P25" s="205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72.210140562112201</v>
      </c>
      <c r="AI25" s="150">
        <f t="array" ref="AI25">IF(AI$1=0,"",SQRT((_xlfn.XLOOKUP(AI$1,$Z$2:$Z$18,$AA$2:$AA$18)-$T25)^2+(_xlfn.XLOOKUP(AI$1,$Z$2:$Z$18,$AB$2:$AB$18)-$U25)^2+(_xlfn.XLOOKUP(AI$1,$Z$2:$Z$18,$AC$2:$AC$18-$V25)^2)))</f>
        <v>53.415081203719986</v>
      </c>
      <c r="AJ25" s="150">
        <f t="array" ref="AJ25">IF(AJ$1=0,"",SQRT((_xlfn.XLOOKUP(AJ$1,$Z$2:$Z$18,$AA$2:$AA$18)-$T25)^2+(_xlfn.XLOOKUP(AJ$1,$Z$2:$Z$18,$AB$2:$AB$18)-$U25)^2+(_xlfn.XLOOKUP(AJ$1,$Z$2:$Z$18,$AC$2:$AC$18-$V25)^2)))</f>
        <v>133.76545331287895</v>
      </c>
      <c r="AK25" s="150">
        <f t="array" ref="AK25">IF(AK$1=0,"",SQRT((_xlfn.XLOOKUP(AK$1,$Z$2:$Z$18,$AA$2:$AA$18)-$T25)^2+(_xlfn.XLOOKUP(AK$1,$Z$2:$Z$18,$AB$2:$AB$18)-$U25)^2+(_xlfn.XLOOKUP(AK$1,$Z$2:$Z$18,$AC$2:$AC$18-$V25)^2)))</f>
        <v>215.42380671597095</v>
      </c>
      <c r="AL25" s="150">
        <f t="array" ref="AL25">IF(AL$1=0,"",SQRT((_xlfn.XLOOKUP(AL$1,$Z$2:$Z$18,$AA$2:$AA$18)-$T25)^2+(_xlfn.XLOOKUP(AL$1,$Z$2:$Z$18,$AB$2:$AB$18)-$U25)^2+(_xlfn.XLOOKUP(AL$1,$Z$2:$Z$18,$AC$2:$AC$18-$V25)^2)))</f>
        <v>153.62790436636178</v>
      </c>
      <c r="AM25" s="150" t="str">
        <f t="array" ref="AM25">IF(AM$1=0,"",SQRT((_xlfn.XLOOKUP(AM$1,$Z$2:$Z$18,$AA$2:$AA$18)-$T25)^2+(_xlfn.XLOOKUP(AM$1,$Z$2:$Z$18,$AB$2:$AB$18)-$U25)^2+(_xlfn.XLOOKUP(AM$1,$Z$2:$Z$18,$AC$2:$AC$18-$V25)^2)))</f>
        <v/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19"/>
        <v>-34.834061744537181</v>
      </c>
      <c r="AZ25" s="153">
        <f t="shared" si="20"/>
        <v>-32.215375796174257</v>
      </c>
      <c r="BA25" s="153">
        <f t="shared" si="21"/>
        <v>-40.188977249987744</v>
      </c>
      <c r="BB25" s="153">
        <f t="shared" si="22"/>
        <v>-44.327971856196129</v>
      </c>
      <c r="BC25" s="153">
        <f t="shared" si="23"/>
        <v>-41.391500064861511</v>
      </c>
      <c r="BD25" s="153">
        <f t="shared" si="24"/>
        <v>0</v>
      </c>
      <c r="BE25" s="153">
        <f t="shared" si="25"/>
        <v>0</v>
      </c>
      <c r="BF25" s="153">
        <f t="shared" si="26"/>
        <v>0</v>
      </c>
      <c r="BG25" s="154">
        <f t="shared" si="27"/>
        <v>0</v>
      </c>
      <c r="BH25" s="154">
        <f t="shared" si="28"/>
        <v>0</v>
      </c>
      <c r="BI25" s="154">
        <f t="shared" si="29"/>
        <v>0</v>
      </c>
      <c r="BJ25" s="154">
        <f t="shared" si="30"/>
        <v>0</v>
      </c>
      <c r="BK25" s="154">
        <f t="shared" si="31"/>
        <v>0</v>
      </c>
      <c r="BL25" s="154">
        <f t="shared" si="32"/>
        <v>0</v>
      </c>
      <c r="BM25" s="155">
        <f t="shared" si="33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>
        <v>4</v>
      </c>
      <c r="BW25" s="140">
        <v>5</v>
      </c>
      <c r="BX25" s="140">
        <v>11</v>
      </c>
      <c r="BY25" s="140">
        <v>13</v>
      </c>
      <c r="BZ25" s="140">
        <v>8</v>
      </c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L25" s="134"/>
      <c r="CM25" s="140" t="s">
        <v>32</v>
      </c>
      <c r="CN25" s="140" t="s">
        <v>32</v>
      </c>
      <c r="CO25" s="140" t="s">
        <v>32</v>
      </c>
      <c r="CP25" s="140" t="s">
        <v>32</v>
      </c>
      <c r="CQ25" s="140" t="s">
        <v>32</v>
      </c>
      <c r="CR25" s="140"/>
      <c r="CS25" s="140"/>
      <c r="CT25" s="140"/>
      <c r="CU25" s="140"/>
      <c r="CV25" s="140"/>
      <c r="CW25" s="140"/>
      <c r="CX25" s="140"/>
      <c r="CY25" s="140"/>
      <c r="CZ25" s="140"/>
      <c r="DA25" s="140"/>
      <c r="DB25" s="134"/>
      <c r="DC25" s="134"/>
      <c r="DD25" s="156" cm="1">
        <f t="array" ref="DD25">_xlfn.IFS(DD$1= 0,"", NOT(ISBLANK(CM25)), 0, ISBLANK(CM25), $Q25-$S25+AY25-BV25)</f>
        <v>0</v>
      </c>
      <c r="DE25" s="157" cm="1">
        <f t="array" ref="DE25">_xlfn.IFS(DE$1= 0,"", NOT(ISBLANK(CN25)), 0, ISBLANK(CN25), $Q25-$S25+AZ25-BW25)</f>
        <v>0</v>
      </c>
      <c r="DF25" s="157" cm="1">
        <f t="array" ref="DF25">_xlfn.IFS(DF$1= 0,"", NOT(ISBLANK(CO25)), 0, ISBLANK(CO25), $Q25-$S25+BA25-BX25)</f>
        <v>0</v>
      </c>
      <c r="DG25" s="157" cm="1">
        <f t="array" ref="DG25">_xlfn.IFS(DG$1= 0,"", NOT(ISBLANK(CP25)), 0, ISBLANK(CP25), $Q25-$S25+BB25-BY25)</f>
        <v>0</v>
      </c>
      <c r="DH25" s="157" cm="1">
        <f t="array" ref="DH25">_xlfn.IFS(DH$1= 0,"", NOT(ISBLANK(CQ25)), 0, ISBLANK(CQ25), $Q25-$S25+BC25-BZ25)</f>
        <v>0</v>
      </c>
      <c r="DI25" s="157" t="str" cm="1">
        <f t="array" ref="DI25">_xlfn.IFS(DI$1= 0,"", NOT(ISBLANK(CR25)), 0, ISBLANK(CR25), $Q25-$S25+BD25-CA25)</f>
        <v/>
      </c>
      <c r="DJ25" s="157" t="str" cm="1">
        <f t="array" ref="DJ25">_xlfn.IFS(DJ$1= 0,"", NOT(ISBLANK(CS25)), 0, ISBLANK(CS25), $Q25-$S25+BE25-CB25)</f>
        <v/>
      </c>
      <c r="DK25" s="157" t="str" cm="1">
        <f t="array" ref="DK25">_xlfn.IFS(DK$1= 0,"", NOT(ISBLANK(CT25)), 0, ISBLANK(CT25), $Q25-$S25+BF25-CC25)</f>
        <v/>
      </c>
      <c r="DL25" s="158" t="str" cm="1">
        <f t="array" ref="DL25">_xlfn.IFS(DL$1= 0,"", NOT(ISBLANK(CU25)), 0, ISBLANK(CU25), $Q25-$S25+BG25-CD25)</f>
        <v/>
      </c>
      <c r="DM25" s="158" t="str" cm="1">
        <f t="array" ref="DM25">_xlfn.IFS(DM$1= 0,"", NOT(ISBLANK(CV25)), 0, ISBLANK(CV25), $Q25-$S25+BH25-CE25)</f>
        <v/>
      </c>
      <c r="DN25" s="158" t="str" cm="1">
        <f t="array" ref="DN25">_xlfn.IFS(DN$1= 0,"", NOT(ISBLANK(CW25)), 0, ISBLANK(CW25), $Q25-$S25+BI25-CF25)</f>
        <v/>
      </c>
      <c r="DO25" s="158" t="str" cm="1">
        <f t="array" ref="DO25">_xlfn.IFS(DO$1= 0,"", NOT(ISBLANK(CX25)), 0, ISBLANK(CX25), $Q25-$S25+BJ25-CG25)</f>
        <v/>
      </c>
      <c r="DP25" s="143" t="str" cm="1">
        <f t="array" ref="DP25">_xlfn.IFS(DP$1= 0,"", NOT(ISBLANK(CY25)), 0, ISBLANK(CY25), $Q25-$S25+BK25-CH25)</f>
        <v/>
      </c>
      <c r="DQ25" s="143" t="str" cm="1">
        <f t="array" ref="DQ25">_xlfn.IFS(DQ$1= 0,"", NOT(ISBLANK(CZ25)), 0, ISBLANK(CZ25), $Q25-$S25+BL25-CI25)</f>
        <v/>
      </c>
      <c r="DR25" s="144" t="str" cm="1">
        <f t="array" ref="DR25">_xlfn.IFS(DR$1= 0,"", NOT(ISBLANK(DA25)), 0, ISBLANK(DA25), $Q25-$S25+BM25-CJ25)</f>
        <v/>
      </c>
    </row>
    <row r="26" spans="1:122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2" t="s">
        <v>142</v>
      </c>
      <c r="F26" s="210"/>
      <c r="G26" s="211"/>
      <c r="H26" s="211"/>
      <c r="I26" s="211"/>
      <c r="J26" s="211"/>
      <c r="K26" s="211"/>
      <c r="L26" s="211"/>
      <c r="M26" s="215"/>
      <c r="N26" s="210">
        <v>65.873120921161103</v>
      </c>
      <c r="O26" s="212">
        <v>0</v>
      </c>
      <c r="P26" s="205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99.260828628417144</v>
      </c>
      <c r="AI26" s="150">
        <f t="array" ref="AI26">IF(AI$1=0,"",SQRT((_xlfn.XLOOKUP(AI$1,$Z$2:$Z$18,$AA$2:$AA$18)-$T26)^2+(_xlfn.XLOOKUP(AI$1,$Z$2:$Z$18,$AB$2:$AB$18)-$U26)^2+(_xlfn.XLOOKUP(AI$1,$Z$2:$Z$18,$AC$2:$AC$18-$V26)^2)))</f>
        <v>64.84393109613265</v>
      </c>
      <c r="AJ26" s="150">
        <f t="array" ref="AJ26">IF(AJ$1=0,"",SQRT((_xlfn.XLOOKUP(AJ$1,$Z$2:$Z$18,$AA$2:$AA$18)-$T26)^2+(_xlfn.XLOOKUP(AJ$1,$Z$2:$Z$18,$AB$2:$AB$18)-$U26)^2+(_xlfn.XLOOKUP(AJ$1,$Z$2:$Z$18,$AC$2:$AC$18-$V26)^2)))</f>
        <v>117.23646531689702</v>
      </c>
      <c r="AK26" s="150">
        <f t="array" ref="AK26">IF(AK$1=0,"",SQRT((_xlfn.XLOOKUP(AK$1,$Z$2:$Z$18,$AA$2:$AA$18)-$T26)^2+(_xlfn.XLOOKUP(AK$1,$Z$2:$Z$18,$AB$2:$AB$18)-$U26)^2+(_xlfn.XLOOKUP(AK$1,$Z$2:$Z$18,$AC$2:$AC$18-$V26)^2)))</f>
        <v>189.7572285843151</v>
      </c>
      <c r="AL26" s="150">
        <f t="array" ref="AL26">IF(AL$1=0,"",SQRT((_xlfn.XLOOKUP(AL$1,$Z$2:$Z$18,$AA$2:$AA$18)-$T26)^2+(_xlfn.XLOOKUP(AL$1,$Z$2:$Z$18,$AB$2:$AB$18)-$U26)^2+(_xlfn.XLOOKUP(AL$1,$Z$2:$Z$18,$AC$2:$AC$18-$V26)^2)))</f>
        <v>165.30595784786462</v>
      </c>
      <c r="AM26" s="150" t="str">
        <f t="array" ref="AM26">IF(AM$1=0,"",SQRT((_xlfn.XLOOKUP(AM$1,$Z$2:$Z$18,$AA$2:$AA$18)-$T26)^2+(_xlfn.XLOOKUP(AM$1,$Z$2:$Z$18,$AB$2:$AB$18)-$U26)^2+(_xlfn.XLOOKUP(AM$1,$Z$2:$Z$18,$AC$2:$AC$18-$V26)^2)))</f>
        <v/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19"/>
        <v>-37.59765586418208</v>
      </c>
      <c r="AZ26" s="153">
        <f t="shared" si="20"/>
        <v>-33.899484649483227</v>
      </c>
      <c r="BA26" s="153">
        <f t="shared" si="21"/>
        <v>-39.043352256363363</v>
      </c>
      <c r="BB26" s="153">
        <f t="shared" si="22"/>
        <v>-43.226064513603937</v>
      </c>
      <c r="BC26" s="153">
        <f t="shared" si="23"/>
        <v>-42.027868065085286</v>
      </c>
      <c r="BD26" s="153">
        <f t="shared" si="24"/>
        <v>0</v>
      </c>
      <c r="BE26" s="153">
        <f t="shared" si="25"/>
        <v>0</v>
      </c>
      <c r="BF26" s="153">
        <f t="shared" si="26"/>
        <v>0</v>
      </c>
      <c r="BG26" s="154">
        <f t="shared" si="27"/>
        <v>0</v>
      </c>
      <c r="BH26" s="154">
        <f t="shared" si="28"/>
        <v>0</v>
      </c>
      <c r="BI26" s="154">
        <f t="shared" si="29"/>
        <v>0</v>
      </c>
      <c r="BJ26" s="154">
        <f t="shared" si="30"/>
        <v>0</v>
      </c>
      <c r="BK26" s="154">
        <f t="shared" si="31"/>
        <v>0</v>
      </c>
      <c r="BL26" s="154">
        <f t="shared" si="32"/>
        <v>0</v>
      </c>
      <c r="BM26" s="155">
        <f t="shared" si="33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>
        <v>5</v>
      </c>
      <c r="BW26" s="140">
        <v>7</v>
      </c>
      <c r="BX26" s="140">
        <v>11</v>
      </c>
      <c r="BY26" s="140">
        <v>11</v>
      </c>
      <c r="BZ26" s="140">
        <v>8</v>
      </c>
      <c r="CA26" s="140"/>
      <c r="CB26" s="140"/>
      <c r="CC26" s="140"/>
      <c r="CD26" s="140"/>
      <c r="CE26" s="140"/>
      <c r="CF26" s="140"/>
      <c r="CG26" s="140"/>
      <c r="CH26" s="140"/>
      <c r="CI26" s="140"/>
      <c r="CJ26" s="140"/>
      <c r="CL26" s="134"/>
      <c r="CM26" s="140" t="s">
        <v>32</v>
      </c>
      <c r="CN26" s="140" t="s">
        <v>32</v>
      </c>
      <c r="CO26" s="140" t="s">
        <v>32</v>
      </c>
      <c r="CP26" s="140" t="s">
        <v>32</v>
      </c>
      <c r="CQ26" s="140" t="s">
        <v>32</v>
      </c>
      <c r="CR26" s="140"/>
      <c r="CS26" s="140"/>
      <c r="CT26" s="140"/>
      <c r="CU26" s="140"/>
      <c r="CV26" s="140"/>
      <c r="CW26" s="140"/>
      <c r="CX26" s="140"/>
      <c r="CY26" s="140"/>
      <c r="CZ26" s="140"/>
      <c r="DA26" s="140"/>
      <c r="DB26" s="134"/>
      <c r="DC26" s="134"/>
      <c r="DD26" s="156" cm="1">
        <f t="array" ref="DD26">_xlfn.IFS(DD$1= 0,"", NOT(ISBLANK(CM26)), 0, ISBLANK(CM26), $Q26-$S26+AY26-BV26)</f>
        <v>0</v>
      </c>
      <c r="DE26" s="157" cm="1">
        <f t="array" ref="DE26">_xlfn.IFS(DE$1= 0,"", NOT(ISBLANK(CN26)), 0, ISBLANK(CN26), $Q26-$S26+AZ26-BW26)</f>
        <v>0</v>
      </c>
      <c r="DF26" s="157" cm="1">
        <f t="array" ref="DF26">_xlfn.IFS(DF$1= 0,"", NOT(ISBLANK(CO26)), 0, ISBLANK(CO26), $Q26-$S26+BA26-BX26)</f>
        <v>0</v>
      </c>
      <c r="DG26" s="157" cm="1">
        <f t="array" ref="DG26">_xlfn.IFS(DG$1= 0,"", NOT(ISBLANK(CP26)), 0, ISBLANK(CP26), $Q26-$S26+BB26-BY26)</f>
        <v>0</v>
      </c>
      <c r="DH26" s="157" cm="1">
        <f t="array" ref="DH26">_xlfn.IFS(DH$1= 0,"", NOT(ISBLANK(CQ26)), 0, ISBLANK(CQ26), $Q26-$S26+BC26-BZ26)</f>
        <v>0</v>
      </c>
      <c r="DI26" s="157" t="str" cm="1">
        <f t="array" ref="DI26">_xlfn.IFS(DI$1= 0,"", NOT(ISBLANK(CR26)), 0, ISBLANK(CR26), $Q26-$S26+BD26-CA26)</f>
        <v/>
      </c>
      <c r="DJ26" s="157" t="str" cm="1">
        <f t="array" ref="DJ26">_xlfn.IFS(DJ$1= 0,"", NOT(ISBLANK(CS26)), 0, ISBLANK(CS26), $Q26-$S26+BE26-CB26)</f>
        <v/>
      </c>
      <c r="DK26" s="157" t="str" cm="1">
        <f t="array" ref="DK26">_xlfn.IFS(DK$1= 0,"", NOT(ISBLANK(CT26)), 0, ISBLANK(CT26), $Q26-$S26+BF26-CC26)</f>
        <v/>
      </c>
      <c r="DL26" s="158" t="str" cm="1">
        <f t="array" ref="DL26">_xlfn.IFS(DL$1= 0,"", NOT(ISBLANK(CU26)), 0, ISBLANK(CU26), $Q26-$S26+BG26-CD26)</f>
        <v/>
      </c>
      <c r="DM26" s="158" t="str" cm="1">
        <f t="array" ref="DM26">_xlfn.IFS(DM$1= 0,"", NOT(ISBLANK(CV26)), 0, ISBLANK(CV26), $Q26-$S26+BH26-CE26)</f>
        <v/>
      </c>
      <c r="DN26" s="158" t="str" cm="1">
        <f t="array" ref="DN26">_xlfn.IFS(DN$1= 0,"", NOT(ISBLANK(CW26)), 0, ISBLANK(CW26), $Q26-$S26+BI26-CF26)</f>
        <v/>
      </c>
      <c r="DO26" s="158" t="str" cm="1">
        <f t="array" ref="DO26">_xlfn.IFS(DO$1= 0,"", NOT(ISBLANK(CX26)), 0, ISBLANK(CX26), $Q26-$S26+BJ26-CG26)</f>
        <v/>
      </c>
      <c r="DP26" s="143" t="str" cm="1">
        <f t="array" ref="DP26">_xlfn.IFS(DP$1= 0,"", NOT(ISBLANK(CY26)), 0, ISBLANK(CY26), $Q26-$S26+BK26-CH26)</f>
        <v/>
      </c>
      <c r="DQ26" s="143" t="str" cm="1">
        <f t="array" ref="DQ26">_xlfn.IFS(DQ$1= 0,"", NOT(ISBLANK(CZ26)), 0, ISBLANK(CZ26), $Q26-$S26+BL26-CI26)</f>
        <v/>
      </c>
      <c r="DR26" s="144" t="str" cm="1">
        <f t="array" ref="DR26">_xlfn.IFS(DR$1= 0,"", NOT(ISBLANK(DA26)), 0, ISBLANK(DA26), $Q26-$S26+BM26-CJ26)</f>
        <v/>
      </c>
    </row>
    <row r="27" spans="1:122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2" t="s">
        <v>142</v>
      </c>
      <c r="F27" s="210"/>
      <c r="G27" s="211"/>
      <c r="H27" s="211"/>
      <c r="I27" s="211"/>
      <c r="J27" s="211"/>
      <c r="K27" s="211"/>
      <c r="L27" s="211"/>
      <c r="M27" s="215"/>
      <c r="N27" s="210">
        <v>65.873120921161103</v>
      </c>
      <c r="O27" s="212">
        <v>0</v>
      </c>
      <c r="P27" s="205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133.16029212944827</v>
      </c>
      <c r="AI27" s="150">
        <f t="array" ref="AI27">IF(AI$1=0,"",SQRT((_xlfn.XLOOKUP(AI$1,$Z$2:$Z$18,$AA$2:$AA$18)-$T27)^2+(_xlfn.XLOOKUP(AI$1,$Z$2:$Z$18,$AB$2:$AB$18)-$U27)^2+(_xlfn.XLOOKUP(AI$1,$Z$2:$Z$18,$AC$2:$AC$18-$V27)^2)))</f>
        <v>75.541051753334756</v>
      </c>
      <c r="AJ27" s="150">
        <f t="array" ref="AJ27">IF(AJ$1=0,"",SQRT((_xlfn.XLOOKUP(AJ$1,$Z$2:$Z$18,$AA$2:$AA$18)-$T27)^2+(_xlfn.XLOOKUP(AJ$1,$Z$2:$Z$18,$AB$2:$AB$18)-$U27)^2+(_xlfn.XLOOKUP(AJ$1,$Z$2:$Z$18,$AC$2:$AC$18-$V27)^2)))</f>
        <v>78.104346229899392</v>
      </c>
      <c r="AK27" s="150">
        <f t="array" ref="AK27">IF(AK$1=0,"",SQRT((_xlfn.XLOOKUP(AK$1,$Z$2:$Z$18,$AA$2:$AA$18)-$T27)^2+(_xlfn.XLOOKUP(AK$1,$Z$2:$Z$18,$AB$2:$AB$18)-$U27)^2+(_xlfn.XLOOKUP(AK$1,$Z$2:$Z$18,$AC$2:$AC$18-$V27)^2)))</f>
        <v>155.0886033852907</v>
      </c>
      <c r="AL27" s="150">
        <f t="array" ref="AL27">IF(AL$1=0,"",SQRT((_xlfn.XLOOKUP(AL$1,$Z$2:$Z$18,$AA$2:$AA$18)-$T27)^2+(_xlfn.XLOOKUP(AL$1,$Z$2:$Z$18,$AB$2:$AB$18)-$U27)^2+(_xlfn.XLOOKUP(AL$1,$Z$2:$Z$18,$AC$2:$AC$18-$V27)^2)))</f>
        <v>204.7368125179251</v>
      </c>
      <c r="AM27" s="150" t="str">
        <f t="array" ref="AM27">IF(AM$1=0,"",SQRT((_xlfn.XLOOKUP(AM$1,$Z$2:$Z$18,$AA$2:$AA$18)-$T27)^2+(_xlfn.XLOOKUP(AM$1,$Z$2:$Z$18,$AB$2:$AB$18)-$U27)^2+(_xlfn.XLOOKUP(AM$1,$Z$2:$Z$18,$AC$2:$AC$18-$V27)^2)))</f>
        <v/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19"/>
        <v>-40.149592721907098</v>
      </c>
      <c r="AZ27" s="153">
        <f t="shared" si="20"/>
        <v>-35.225758480702112</v>
      </c>
      <c r="BA27" s="153">
        <f t="shared" si="21"/>
        <v>-35.515601966884013</v>
      </c>
      <c r="BB27" s="153">
        <f t="shared" si="22"/>
        <v>-41.473695638048923</v>
      </c>
      <c r="BC27" s="153">
        <f t="shared" si="23"/>
        <v>-43.886016689157323</v>
      </c>
      <c r="BD27" s="153">
        <f t="shared" si="24"/>
        <v>0</v>
      </c>
      <c r="BE27" s="153">
        <f t="shared" si="25"/>
        <v>0</v>
      </c>
      <c r="BF27" s="153">
        <f t="shared" si="26"/>
        <v>0</v>
      </c>
      <c r="BG27" s="154">
        <f t="shared" si="27"/>
        <v>0</v>
      </c>
      <c r="BH27" s="154">
        <f t="shared" si="28"/>
        <v>0</v>
      </c>
      <c r="BI27" s="154">
        <f t="shared" si="29"/>
        <v>0</v>
      </c>
      <c r="BJ27" s="154">
        <f t="shared" si="30"/>
        <v>0</v>
      </c>
      <c r="BK27" s="154">
        <f t="shared" si="31"/>
        <v>0</v>
      </c>
      <c r="BL27" s="154">
        <f t="shared" si="32"/>
        <v>0</v>
      </c>
      <c r="BM27" s="155">
        <f t="shared" si="33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>
        <v>0</v>
      </c>
      <c r="BW27" s="140">
        <v>0</v>
      </c>
      <c r="BX27" s="140">
        <v>11</v>
      </c>
      <c r="BY27" s="140">
        <v>11</v>
      </c>
      <c r="BZ27" s="140">
        <v>9</v>
      </c>
      <c r="CA27" s="140"/>
      <c r="CB27" s="140"/>
      <c r="CC27" s="140"/>
      <c r="CD27" s="140"/>
      <c r="CE27" s="140"/>
      <c r="CF27" s="140"/>
      <c r="CG27" s="140"/>
      <c r="CH27" s="140"/>
      <c r="CI27" s="140"/>
      <c r="CJ27" s="140"/>
      <c r="CL27" s="134"/>
      <c r="CM27" s="140" t="s">
        <v>32</v>
      </c>
      <c r="CN27" s="140" t="s">
        <v>32</v>
      </c>
      <c r="CO27" s="140" t="s">
        <v>32</v>
      </c>
      <c r="CP27" s="140" t="s">
        <v>32</v>
      </c>
      <c r="CQ27" s="140" t="s">
        <v>32</v>
      </c>
      <c r="CR27" s="140"/>
      <c r="CS27" s="140"/>
      <c r="CT27" s="140"/>
      <c r="CU27" s="140"/>
      <c r="CV27" s="140"/>
      <c r="CW27" s="140"/>
      <c r="CX27" s="140"/>
      <c r="CY27" s="140"/>
      <c r="CZ27" s="140"/>
      <c r="DA27" s="140"/>
      <c r="DB27" s="134"/>
      <c r="DC27" s="134"/>
      <c r="DD27" s="156" cm="1">
        <f t="array" ref="DD27">_xlfn.IFS(DD$1= 0,"", NOT(ISBLANK(CM27)), 0, ISBLANK(CM27), $Q27-$S27+AY27-BV27)</f>
        <v>0</v>
      </c>
      <c r="DE27" s="157" cm="1">
        <f t="array" ref="DE27">_xlfn.IFS(DE$1= 0,"", NOT(ISBLANK(CN27)), 0, ISBLANK(CN27), $Q27-$S27+AZ27-BW27)</f>
        <v>0</v>
      </c>
      <c r="DF27" s="157" cm="1">
        <f t="array" ref="DF27">_xlfn.IFS(DF$1= 0,"", NOT(ISBLANK(CO27)), 0, ISBLANK(CO27), $Q27-$S27+BA27-BX27)</f>
        <v>0</v>
      </c>
      <c r="DG27" s="157" cm="1">
        <f t="array" ref="DG27">_xlfn.IFS(DG$1= 0,"", NOT(ISBLANK(CP27)), 0, ISBLANK(CP27), $Q27-$S27+BB27-BY27)</f>
        <v>0</v>
      </c>
      <c r="DH27" s="157" cm="1">
        <f t="array" ref="DH27">_xlfn.IFS(DH$1= 0,"", NOT(ISBLANK(CQ27)), 0, ISBLANK(CQ27), $Q27-$S27+BC27-BZ27)</f>
        <v>0</v>
      </c>
      <c r="DI27" s="157" t="str" cm="1">
        <f t="array" ref="DI27">_xlfn.IFS(DI$1= 0,"", NOT(ISBLANK(CR27)), 0, ISBLANK(CR27), $Q27-$S27+BD27-CA27)</f>
        <v/>
      </c>
      <c r="DJ27" s="157" t="str" cm="1">
        <f t="array" ref="DJ27">_xlfn.IFS(DJ$1= 0,"", NOT(ISBLANK(CS27)), 0, ISBLANK(CS27), $Q27-$S27+BE27-CB27)</f>
        <v/>
      </c>
      <c r="DK27" s="157" t="str" cm="1">
        <f t="array" ref="DK27">_xlfn.IFS(DK$1= 0,"", NOT(ISBLANK(CT27)), 0, ISBLANK(CT27), $Q27-$S27+BF27-CC27)</f>
        <v/>
      </c>
      <c r="DL27" s="158" t="str" cm="1">
        <f t="array" ref="DL27">_xlfn.IFS(DL$1= 0,"", NOT(ISBLANK(CU27)), 0, ISBLANK(CU27), $Q27-$S27+BG27-CD27)</f>
        <v/>
      </c>
      <c r="DM27" s="158" t="str" cm="1">
        <f t="array" ref="DM27">_xlfn.IFS(DM$1= 0,"", NOT(ISBLANK(CV27)), 0, ISBLANK(CV27), $Q27-$S27+BH27-CE27)</f>
        <v/>
      </c>
      <c r="DN27" s="158" t="str" cm="1">
        <f t="array" ref="DN27">_xlfn.IFS(DN$1= 0,"", NOT(ISBLANK(CW27)), 0, ISBLANK(CW27), $Q27-$S27+BI27-CF27)</f>
        <v/>
      </c>
      <c r="DO27" s="158" t="str" cm="1">
        <f t="array" ref="DO27">_xlfn.IFS(DO$1= 0,"", NOT(ISBLANK(CX27)), 0, ISBLANK(CX27), $Q27-$S27+BJ27-CG27)</f>
        <v/>
      </c>
      <c r="DP27" s="143" t="str" cm="1">
        <f t="array" ref="DP27">_xlfn.IFS(DP$1= 0,"", NOT(ISBLANK(CY27)), 0, ISBLANK(CY27), $Q27-$S27+BK27-CH27)</f>
        <v/>
      </c>
      <c r="DQ27" s="143" t="str" cm="1">
        <f t="array" ref="DQ27">_xlfn.IFS(DQ$1= 0,"", NOT(ISBLANK(CZ27)), 0, ISBLANK(CZ27), $Q27-$S27+BL27-CI27)</f>
        <v/>
      </c>
      <c r="DR27" s="144" t="str" cm="1">
        <f t="array" ref="DR27">_xlfn.IFS(DR$1= 0,"", NOT(ISBLANK(DA27)), 0, ISBLANK(DA27), $Q27-$S27+BM27-CJ27)</f>
        <v/>
      </c>
    </row>
    <row r="28" spans="1:122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2" t="s">
        <v>142</v>
      </c>
      <c r="F28" s="210"/>
      <c r="G28" s="211"/>
      <c r="H28" s="211"/>
      <c r="I28" s="211"/>
      <c r="J28" s="211"/>
      <c r="K28" s="211"/>
      <c r="L28" s="211"/>
      <c r="M28" s="215"/>
      <c r="N28" s="210">
        <v>65.873120921161103</v>
      </c>
      <c r="O28" s="212">
        <v>0</v>
      </c>
      <c r="P28" s="205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142.48560243056139</v>
      </c>
      <c r="AI28" s="150">
        <f t="array" ref="AI28">IF(AI$1=0,"",SQRT((_xlfn.XLOOKUP(AI$1,$Z$2:$Z$18,$AA$2:$AA$18)-$T28)^2+(_xlfn.XLOOKUP(AI$1,$Z$2:$Z$18,$AB$2:$AB$18)-$U28)^2+(_xlfn.XLOOKUP(AI$1,$Z$2:$Z$18,$AC$2:$AC$18-$V28)^2)))</f>
        <v>75.407735677448898</v>
      </c>
      <c r="AJ28" s="150">
        <f t="array" ref="AJ28">IF(AJ$1=0,"",SQRT((_xlfn.XLOOKUP(AJ$1,$Z$2:$Z$18,$AA$2:$AA$18)-$T28)^2+(_xlfn.XLOOKUP(AJ$1,$Z$2:$Z$18,$AB$2:$AB$18)-$U28)^2+(_xlfn.XLOOKUP(AJ$1,$Z$2:$Z$18,$AC$2:$AC$18-$V28)^2)))</f>
        <v>56.406598904738082</v>
      </c>
      <c r="AK28" s="150">
        <f t="array" ref="AK28">IF(AK$1=0,"",SQRT((_xlfn.XLOOKUP(AK$1,$Z$2:$Z$18,$AA$2:$AA$18)-$T28)^2+(_xlfn.XLOOKUP(AK$1,$Z$2:$Z$18,$AB$2:$AB$18)-$U28)^2+(_xlfn.XLOOKUP(AK$1,$Z$2:$Z$18,$AC$2:$AC$18-$V28)^2)))</f>
        <v>153.51262944787314</v>
      </c>
      <c r="AL28" s="150">
        <f t="array" ref="AL28">IF(AL$1=0,"",SQRT((_xlfn.XLOOKUP(AL$1,$Z$2:$Z$18,$AA$2:$AA$18)-$T28)^2+(_xlfn.XLOOKUP(AL$1,$Z$2:$Z$18,$AB$2:$AB$18)-$U28)^2+(_xlfn.XLOOKUP(AL$1,$Z$2:$Z$18,$AC$2:$AC$18-$V28)^2)))</f>
        <v>227.49873955694787</v>
      </c>
      <c r="AM28" s="150" t="str">
        <f t="array" ref="AM28">IF(AM$1=0,"",SQRT((_xlfn.XLOOKUP(AM$1,$Z$2:$Z$18,$AA$2:$AA$18)-$T28)^2+(_xlfn.XLOOKUP(AM$1,$Z$2:$Z$18,$AB$2:$AB$18)-$U28)^2+(_xlfn.XLOOKUP(AM$1,$Z$2:$Z$18,$AC$2:$AC$18-$V28)^2)))</f>
        <v/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19"/>
        <v>-40.737517595632369</v>
      </c>
      <c r="AZ28" s="153">
        <f t="shared" si="20"/>
        <v>-35.210415939130058</v>
      </c>
      <c r="BA28" s="153">
        <f t="shared" si="21"/>
        <v>-32.688696222369288</v>
      </c>
      <c r="BB28" s="153">
        <f t="shared" si="22"/>
        <v>-41.384980148687582</v>
      </c>
      <c r="BC28" s="153">
        <f t="shared" si="23"/>
        <v>-44.801677833280422</v>
      </c>
      <c r="BD28" s="153">
        <f t="shared" si="24"/>
        <v>0</v>
      </c>
      <c r="BE28" s="153">
        <f t="shared" si="25"/>
        <v>0</v>
      </c>
      <c r="BF28" s="153">
        <f t="shared" si="26"/>
        <v>0</v>
      </c>
      <c r="BG28" s="154">
        <f t="shared" si="27"/>
        <v>0</v>
      </c>
      <c r="BH28" s="154">
        <f t="shared" si="28"/>
        <v>0</v>
      </c>
      <c r="BI28" s="154">
        <f t="shared" si="29"/>
        <v>0</v>
      </c>
      <c r="BJ28" s="154">
        <f t="shared" si="30"/>
        <v>0</v>
      </c>
      <c r="BK28" s="154">
        <f t="shared" si="31"/>
        <v>0</v>
      </c>
      <c r="BL28" s="154">
        <f t="shared" si="32"/>
        <v>0</v>
      </c>
      <c r="BM28" s="155">
        <f t="shared" si="33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>
        <v>0</v>
      </c>
      <c r="BW28" s="140">
        <v>0</v>
      </c>
      <c r="BX28" s="140">
        <v>7</v>
      </c>
      <c r="BY28" s="140">
        <v>10</v>
      </c>
      <c r="BZ28" s="140">
        <v>10</v>
      </c>
      <c r="CA28" s="140"/>
      <c r="CB28" s="140"/>
      <c r="CC28" s="140"/>
      <c r="CD28" s="140"/>
      <c r="CE28" s="140"/>
      <c r="CF28" s="140"/>
      <c r="CG28" s="140"/>
      <c r="CH28" s="140"/>
      <c r="CI28" s="140"/>
      <c r="CJ28" s="140"/>
      <c r="CL28" s="134"/>
      <c r="CM28" s="140" t="s">
        <v>32</v>
      </c>
      <c r="CN28" s="140" t="s">
        <v>32</v>
      </c>
      <c r="CO28" s="140" t="s">
        <v>32</v>
      </c>
      <c r="CP28" s="140" t="s">
        <v>32</v>
      </c>
      <c r="CQ28" s="140" t="s">
        <v>32</v>
      </c>
      <c r="CR28" s="140"/>
      <c r="CS28" s="140"/>
      <c r="CT28" s="140"/>
      <c r="CU28" s="140"/>
      <c r="CV28" s="140"/>
      <c r="CW28" s="140"/>
      <c r="CX28" s="140"/>
      <c r="CY28" s="140"/>
      <c r="CZ28" s="140"/>
      <c r="DA28" s="140"/>
      <c r="DB28" s="134"/>
      <c r="DC28" s="134"/>
      <c r="DD28" s="156" cm="1">
        <f t="array" ref="DD28">_xlfn.IFS(DD$1= 0,"", NOT(ISBLANK(CM28)), 0, ISBLANK(CM28), $Q28-$S28+AY28-BV28)</f>
        <v>0</v>
      </c>
      <c r="DE28" s="157" cm="1">
        <f t="array" ref="DE28">_xlfn.IFS(DE$1= 0,"", NOT(ISBLANK(CN28)), 0, ISBLANK(CN28), $Q28-$S28+AZ28-BW28)</f>
        <v>0</v>
      </c>
      <c r="DF28" s="157" cm="1">
        <f t="array" ref="DF28">_xlfn.IFS(DF$1= 0,"", NOT(ISBLANK(CO28)), 0, ISBLANK(CO28), $Q28-$S28+BA28-BX28)</f>
        <v>0</v>
      </c>
      <c r="DG28" s="157" cm="1">
        <f t="array" ref="DG28">_xlfn.IFS(DG$1= 0,"", NOT(ISBLANK(CP28)), 0, ISBLANK(CP28), $Q28-$S28+BB28-BY28)</f>
        <v>0</v>
      </c>
      <c r="DH28" s="157" cm="1">
        <f t="array" ref="DH28">_xlfn.IFS(DH$1= 0,"", NOT(ISBLANK(CQ28)), 0, ISBLANK(CQ28), $Q28-$S28+BC28-BZ28)</f>
        <v>0</v>
      </c>
      <c r="DI28" s="157" t="str" cm="1">
        <f t="array" ref="DI28">_xlfn.IFS(DI$1= 0,"", NOT(ISBLANK(CR28)), 0, ISBLANK(CR28), $Q28-$S28+BD28-CA28)</f>
        <v/>
      </c>
      <c r="DJ28" s="157" t="str" cm="1">
        <f t="array" ref="DJ28">_xlfn.IFS(DJ$1= 0,"", NOT(ISBLANK(CS28)), 0, ISBLANK(CS28), $Q28-$S28+BE28-CB28)</f>
        <v/>
      </c>
      <c r="DK28" s="157" t="str" cm="1">
        <f t="array" ref="DK28">_xlfn.IFS(DK$1= 0,"", NOT(ISBLANK(CT28)), 0, ISBLANK(CT28), $Q28-$S28+BF28-CC28)</f>
        <v/>
      </c>
      <c r="DL28" s="158" t="str" cm="1">
        <f t="array" ref="DL28">_xlfn.IFS(DL$1= 0,"", NOT(ISBLANK(CU28)), 0, ISBLANK(CU28), $Q28-$S28+BG28-CD28)</f>
        <v/>
      </c>
      <c r="DM28" s="158" t="str" cm="1">
        <f t="array" ref="DM28">_xlfn.IFS(DM$1= 0,"", NOT(ISBLANK(CV28)), 0, ISBLANK(CV28), $Q28-$S28+BH28-CE28)</f>
        <v/>
      </c>
      <c r="DN28" s="158" t="str" cm="1">
        <f t="array" ref="DN28">_xlfn.IFS(DN$1= 0,"", NOT(ISBLANK(CW28)), 0, ISBLANK(CW28), $Q28-$S28+BI28-CF28)</f>
        <v/>
      </c>
      <c r="DO28" s="158" t="str" cm="1">
        <f t="array" ref="DO28">_xlfn.IFS(DO$1= 0,"", NOT(ISBLANK(CX28)), 0, ISBLANK(CX28), $Q28-$S28+BJ28-CG28)</f>
        <v/>
      </c>
      <c r="DP28" s="143" t="str" cm="1">
        <f t="array" ref="DP28">_xlfn.IFS(DP$1= 0,"", NOT(ISBLANK(CY28)), 0, ISBLANK(CY28), $Q28-$S28+BK28-CH28)</f>
        <v/>
      </c>
      <c r="DQ28" s="143" t="str" cm="1">
        <f t="array" ref="DQ28">_xlfn.IFS(DQ$1= 0,"", NOT(ISBLANK(CZ28)), 0, ISBLANK(CZ28), $Q28-$S28+BL28-CI28)</f>
        <v/>
      </c>
      <c r="DR28" s="144" t="str" cm="1">
        <f t="array" ref="DR28">_xlfn.IFS(DR$1= 0,"", NOT(ISBLANK(DA28)), 0, ISBLANK(DA28), $Q28-$S28+BM28-CJ28)</f>
        <v/>
      </c>
    </row>
    <row r="29" spans="1:122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2" t="s">
        <v>141</v>
      </c>
      <c r="F29" s="210"/>
      <c r="G29" s="211"/>
      <c r="H29" s="211"/>
      <c r="I29" s="211"/>
      <c r="J29" s="211"/>
      <c r="K29" s="211"/>
      <c r="L29" s="211"/>
      <c r="M29" s="215"/>
      <c r="N29" s="210">
        <v>57.392737795737183</v>
      </c>
      <c r="O29" s="212">
        <v>0</v>
      </c>
      <c r="P29" s="205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155.90178991916673</v>
      </c>
      <c r="AI29" s="150">
        <f t="array" ref="AI29">IF(AI$1=0,"",SQRT((_xlfn.XLOOKUP(AI$1,$Z$2:$Z$18,$AA$2:$AA$18)-$T29)^2+(_xlfn.XLOOKUP(AI$1,$Z$2:$Z$18,$AB$2:$AB$18)-$U29)^2+(_xlfn.XLOOKUP(AI$1,$Z$2:$Z$18,$AC$2:$AC$18-$V29)^2)))</f>
        <v>84.775546002370277</v>
      </c>
      <c r="AJ29" s="150">
        <f t="array" ref="AJ29">IF(AJ$1=0,"",SQRT((_xlfn.XLOOKUP(AJ$1,$Z$2:$Z$18,$AA$2:$AA$18)-$T29)^2+(_xlfn.XLOOKUP(AJ$1,$Z$2:$Z$18,$AB$2:$AB$18)-$U29)^2+(_xlfn.XLOOKUP(AJ$1,$Z$2:$Z$18,$AC$2:$AC$18-$V29)^2)))</f>
        <v>42.541802970725158</v>
      </c>
      <c r="AK29" s="150">
        <f t="array" ref="AK29">IF(AK$1=0,"",SQRT((_xlfn.XLOOKUP(AK$1,$Z$2:$Z$18,$AA$2:$AA$18)-$T29)^2+(_xlfn.XLOOKUP(AK$1,$Z$2:$Z$18,$AB$2:$AB$18)-$U29)^2+(_xlfn.XLOOKUP(AK$1,$Z$2:$Z$18,$AC$2:$AC$18-$V29)^2)))</f>
        <v>155.47675067353322</v>
      </c>
      <c r="AL29" s="150">
        <f t="array" ref="AL29">IF(AL$1=0,"",SQRT((_xlfn.XLOOKUP(AL$1,$Z$2:$Z$18,$AA$2:$AA$18)-$T29)^2+(_xlfn.XLOOKUP(AL$1,$Z$2:$Z$18,$AB$2:$AB$18)-$U29)^2+(_xlfn.XLOOKUP(AL$1,$Z$2:$Z$18,$AC$2:$AC$18-$V29)^2)))</f>
        <v>249.75505380272088</v>
      </c>
      <c r="AM29" s="150" t="str">
        <f t="array" ref="AM29">IF(AM$1=0,"",SQRT((_xlfn.XLOOKUP(AM$1,$Z$2:$Z$18,$AA$2:$AA$18)-$T29)^2+(_xlfn.XLOOKUP(AM$1,$Z$2:$Z$18,$AB$2:$AB$18)-$U29)^2+(_xlfn.XLOOKUP(AM$1,$Z$2:$Z$18,$AC$2:$AC$18-$V29)^2)))</f>
        <v/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19"/>
        <v>-41.519119964577712</v>
      </c>
      <c r="AZ29" s="153">
        <f t="shared" si="20"/>
        <v>-36.227509848147307</v>
      </c>
      <c r="BA29" s="153">
        <f t="shared" si="21"/>
        <v>-30.238415774098335</v>
      </c>
      <c r="BB29" s="153">
        <f t="shared" si="22"/>
        <v>-41.495407050608833</v>
      </c>
      <c r="BC29" s="153">
        <f t="shared" si="23"/>
        <v>-45.612383635968108</v>
      </c>
      <c r="BD29" s="153">
        <f t="shared" si="24"/>
        <v>0</v>
      </c>
      <c r="BE29" s="153">
        <f t="shared" si="25"/>
        <v>0</v>
      </c>
      <c r="BF29" s="153">
        <f t="shared" si="26"/>
        <v>0</v>
      </c>
      <c r="BG29" s="154">
        <f t="shared" si="27"/>
        <v>0</v>
      </c>
      <c r="BH29" s="154">
        <f t="shared" si="28"/>
        <v>0</v>
      </c>
      <c r="BI29" s="154">
        <f t="shared" si="29"/>
        <v>0</v>
      </c>
      <c r="BJ29" s="154">
        <f t="shared" si="30"/>
        <v>0</v>
      </c>
      <c r="BK29" s="154">
        <f t="shared" si="31"/>
        <v>0</v>
      </c>
      <c r="BL29" s="154">
        <f t="shared" si="32"/>
        <v>0</v>
      </c>
      <c r="BM29" s="155">
        <f t="shared" si="33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>
        <v>0</v>
      </c>
      <c r="BW29" s="140">
        <v>0</v>
      </c>
      <c r="BX29" s="140">
        <v>0</v>
      </c>
      <c r="BY29" s="140">
        <v>11</v>
      </c>
      <c r="BZ29" s="140">
        <v>11</v>
      </c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L29" s="134"/>
      <c r="CM29" s="140" t="s">
        <v>32</v>
      </c>
      <c r="CN29" s="140" t="s">
        <v>32</v>
      </c>
      <c r="CO29" s="140" t="s">
        <v>32</v>
      </c>
      <c r="CP29" s="140" t="s">
        <v>32</v>
      </c>
      <c r="CQ29" s="140" t="s">
        <v>32</v>
      </c>
      <c r="CR29" s="140"/>
      <c r="CS29" s="140"/>
      <c r="CT29" s="140"/>
      <c r="CU29" s="140"/>
      <c r="CV29" s="140"/>
      <c r="CW29" s="140"/>
      <c r="CX29" s="140"/>
      <c r="CY29" s="140"/>
      <c r="CZ29" s="140"/>
      <c r="DA29" s="140"/>
      <c r="DB29" s="134"/>
      <c r="DC29" s="134"/>
      <c r="DD29" s="156" cm="1">
        <f t="array" ref="DD29">_xlfn.IFS(DD$1= 0,"", NOT(ISBLANK(CM29)), 0, ISBLANK(CM29), $Q29-$S29+AY29-BV29)</f>
        <v>0</v>
      </c>
      <c r="DE29" s="157" cm="1">
        <f t="array" ref="DE29">_xlfn.IFS(DE$1= 0,"", NOT(ISBLANK(CN29)), 0, ISBLANK(CN29), $Q29-$S29+AZ29-BW29)</f>
        <v>0</v>
      </c>
      <c r="DF29" s="157" cm="1">
        <f t="array" ref="DF29">_xlfn.IFS(DF$1= 0,"", NOT(ISBLANK(CO29)), 0, ISBLANK(CO29), $Q29-$S29+BA29-BX29)</f>
        <v>0</v>
      </c>
      <c r="DG29" s="157" cm="1">
        <f t="array" ref="DG29">_xlfn.IFS(DG$1= 0,"", NOT(ISBLANK(CP29)), 0, ISBLANK(CP29), $Q29-$S29+BB29-BY29)</f>
        <v>0</v>
      </c>
      <c r="DH29" s="157" cm="1">
        <f t="array" ref="DH29">_xlfn.IFS(DH$1= 0,"", NOT(ISBLANK(CQ29)), 0, ISBLANK(CQ29), $Q29-$S29+BC29-BZ29)</f>
        <v>0</v>
      </c>
      <c r="DI29" s="157" t="str" cm="1">
        <f t="array" ref="DI29">_xlfn.IFS(DI$1= 0,"", NOT(ISBLANK(CR29)), 0, ISBLANK(CR29), $Q29-$S29+BD29-CA29)</f>
        <v/>
      </c>
      <c r="DJ29" s="157" t="str" cm="1">
        <f t="array" ref="DJ29">_xlfn.IFS(DJ$1= 0,"", NOT(ISBLANK(CS29)), 0, ISBLANK(CS29), $Q29-$S29+BE29-CB29)</f>
        <v/>
      </c>
      <c r="DK29" s="157" t="str" cm="1">
        <f t="array" ref="DK29">_xlfn.IFS(DK$1= 0,"", NOT(ISBLANK(CT29)), 0, ISBLANK(CT29), $Q29-$S29+BF29-CC29)</f>
        <v/>
      </c>
      <c r="DL29" s="158" t="str" cm="1">
        <f t="array" ref="DL29">_xlfn.IFS(DL$1= 0,"", NOT(ISBLANK(CU29)), 0, ISBLANK(CU29), $Q29-$S29+BG29-CD29)</f>
        <v/>
      </c>
      <c r="DM29" s="158" t="str" cm="1">
        <f t="array" ref="DM29">_xlfn.IFS(DM$1= 0,"", NOT(ISBLANK(CV29)), 0, ISBLANK(CV29), $Q29-$S29+BH29-CE29)</f>
        <v/>
      </c>
      <c r="DN29" s="158" t="str" cm="1">
        <f t="array" ref="DN29">_xlfn.IFS(DN$1= 0,"", NOT(ISBLANK(CW29)), 0, ISBLANK(CW29), $Q29-$S29+BI29-CF29)</f>
        <v/>
      </c>
      <c r="DO29" s="158" t="str" cm="1">
        <f t="array" ref="DO29">_xlfn.IFS(DO$1= 0,"", NOT(ISBLANK(CX29)), 0, ISBLANK(CX29), $Q29-$S29+BJ29-CG29)</f>
        <v/>
      </c>
      <c r="DP29" s="143" t="str" cm="1">
        <f t="array" ref="DP29">_xlfn.IFS(DP$1= 0,"", NOT(ISBLANK(CY29)), 0, ISBLANK(CY29), $Q29-$S29+BK29-CH29)</f>
        <v/>
      </c>
      <c r="DQ29" s="143" t="str" cm="1">
        <f t="array" ref="DQ29">_xlfn.IFS(DQ$1= 0,"", NOT(ISBLANK(CZ29)), 0, ISBLANK(CZ29), $Q29-$S29+BL29-CI29)</f>
        <v/>
      </c>
      <c r="DR29" s="144" t="str" cm="1">
        <f t="array" ref="DR29">_xlfn.IFS(DR$1= 0,"", NOT(ISBLANK(DA29)), 0, ISBLANK(DA29), $Q29-$S29+BM29-CJ29)</f>
        <v/>
      </c>
    </row>
    <row r="30" spans="1:122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2" t="s">
        <v>141</v>
      </c>
      <c r="F30" s="210"/>
      <c r="G30" s="211"/>
      <c r="H30" s="211"/>
      <c r="I30" s="211"/>
      <c r="J30" s="211"/>
      <c r="K30" s="211"/>
      <c r="L30" s="211"/>
      <c r="M30" s="215"/>
      <c r="N30" s="210">
        <v>57.392737795737183</v>
      </c>
      <c r="O30" s="212">
        <v>0</v>
      </c>
      <c r="P30" s="205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193.11837535563518</v>
      </c>
      <c r="AI30" s="150">
        <f t="array" ref="AI30">IF(AI$1=0,"",SQRT((_xlfn.XLOOKUP(AI$1,$Z$2:$Z$18,$AA$2:$AA$18)-$T30)^2+(_xlfn.XLOOKUP(AI$1,$Z$2:$Z$18,$AB$2:$AB$18)-$U30)^2+(_xlfn.XLOOKUP(AI$1,$Z$2:$Z$18,$AC$2:$AC$18-$V30)^2)))</f>
        <v>121.36919708064316</v>
      </c>
      <c r="AJ30" s="150">
        <f t="array" ref="AJ30">IF(AJ$1=0,"",SQRT((_xlfn.XLOOKUP(AJ$1,$Z$2:$Z$18,$AA$2:$AA$18)-$T30)^2+(_xlfn.XLOOKUP(AJ$1,$Z$2:$Z$18,$AB$2:$AB$18)-$U30)^2+(_xlfn.XLOOKUP(AJ$1,$Z$2:$Z$18,$AC$2:$AC$18-$V30)^2)))</f>
        <v>20.178389430279118</v>
      </c>
      <c r="AK30" s="150">
        <f t="array" ref="AK30">IF(AK$1=0,"",SQRT((_xlfn.XLOOKUP(AK$1,$Z$2:$Z$18,$AA$2:$AA$18)-$T30)^2+(_xlfn.XLOOKUP(AK$1,$Z$2:$Z$18,$AB$2:$AB$18)-$U30)^2+(_xlfn.XLOOKUP(AK$1,$Z$2:$Z$18,$AC$2:$AC$18-$V30)^2)))</f>
        <v>115.191312172403</v>
      </c>
      <c r="AL30" s="150">
        <f t="array" ref="AL30">IF(AL$1=0,"",SQRT((_xlfn.XLOOKUP(AL$1,$Z$2:$Z$18,$AA$2:$AA$18)-$T30)^2+(_xlfn.XLOOKUP(AL$1,$Z$2:$Z$18,$AB$2:$AB$18)-$U30)^2+(_xlfn.XLOOKUP(AL$1,$Z$2:$Z$18,$AC$2:$AC$18-$V30)^2)))</f>
        <v>273.46134809146253</v>
      </c>
      <c r="AM30" s="150" t="str">
        <f t="array" ref="AM30">IF(AM$1=0,"",SQRT((_xlfn.XLOOKUP(AM$1,$Z$2:$Z$18,$AA$2:$AA$18)-$T30)^2+(_xlfn.XLOOKUP(AM$1,$Z$2:$Z$18,$AB$2:$AB$18)-$U30)^2+(_xlfn.XLOOKUP(AM$1,$Z$2:$Z$18,$AC$2:$AC$18-$V30)^2)))</f>
        <v/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19"/>
        <v>-43.37856992063805</v>
      </c>
      <c r="AZ30" s="153">
        <f t="shared" si="20"/>
        <v>-39.344267514330525</v>
      </c>
      <c r="BA30" s="153">
        <f t="shared" si="21"/>
        <v>-23.759827924746016</v>
      </c>
      <c r="BB30" s="153">
        <f t="shared" si="22"/>
        <v>-38.890492446130118</v>
      </c>
      <c r="BC30" s="153">
        <f t="shared" si="23"/>
        <v>-46.400016945432725</v>
      </c>
      <c r="BD30" s="153">
        <f t="shared" si="24"/>
        <v>0</v>
      </c>
      <c r="BE30" s="153">
        <f t="shared" si="25"/>
        <v>0</v>
      </c>
      <c r="BF30" s="153">
        <f t="shared" si="26"/>
        <v>0</v>
      </c>
      <c r="BG30" s="154">
        <f t="shared" si="27"/>
        <v>0</v>
      </c>
      <c r="BH30" s="154">
        <f t="shared" si="28"/>
        <v>0</v>
      </c>
      <c r="BI30" s="154">
        <f t="shared" si="29"/>
        <v>0</v>
      </c>
      <c r="BJ30" s="154">
        <f t="shared" si="30"/>
        <v>0</v>
      </c>
      <c r="BK30" s="154">
        <f t="shared" si="31"/>
        <v>0</v>
      </c>
      <c r="BL30" s="154">
        <f t="shared" si="32"/>
        <v>0</v>
      </c>
      <c r="BM30" s="155">
        <f t="shared" si="33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>
        <v>1</v>
      </c>
      <c r="BW30" s="140">
        <v>12</v>
      </c>
      <c r="BX30" s="140">
        <v>8</v>
      </c>
      <c r="BY30" s="140">
        <v>7</v>
      </c>
      <c r="BZ30" s="140">
        <v>10</v>
      </c>
      <c r="CA30" s="140"/>
      <c r="CB30" s="140"/>
      <c r="CC30" s="140"/>
      <c r="CD30" s="140"/>
      <c r="CE30" s="140"/>
      <c r="CF30" s="140"/>
      <c r="CG30" s="140"/>
      <c r="CH30" s="140"/>
      <c r="CI30" s="140"/>
      <c r="CJ30" s="140"/>
      <c r="CL30" s="134"/>
      <c r="CM30" s="140" t="s">
        <v>32</v>
      </c>
      <c r="CN30" s="140" t="s">
        <v>32</v>
      </c>
      <c r="CO30" s="140" t="s">
        <v>32</v>
      </c>
      <c r="CP30" s="140" t="s">
        <v>32</v>
      </c>
      <c r="CQ30" s="140" t="s">
        <v>32</v>
      </c>
      <c r="CR30" s="140"/>
      <c r="CS30" s="140"/>
      <c r="CT30" s="140"/>
      <c r="CU30" s="140"/>
      <c r="CV30" s="140"/>
      <c r="CW30" s="140"/>
      <c r="CX30" s="140"/>
      <c r="CY30" s="140"/>
      <c r="CZ30" s="140"/>
      <c r="DA30" s="140"/>
      <c r="DB30" s="134"/>
      <c r="DC30" s="134"/>
      <c r="DD30" s="156" cm="1">
        <f t="array" ref="DD30">_xlfn.IFS(DD$1= 0,"", NOT(ISBLANK(CM30)), 0, ISBLANK(CM30), $Q30-$S30+AY30-BV30)</f>
        <v>0</v>
      </c>
      <c r="DE30" s="157" cm="1">
        <f t="array" ref="DE30">_xlfn.IFS(DE$1= 0,"", NOT(ISBLANK(CN30)), 0, ISBLANK(CN30), $Q30-$S30+AZ30-BW30)</f>
        <v>0</v>
      </c>
      <c r="DF30" s="157" cm="1">
        <f t="array" ref="DF30">_xlfn.IFS(DF$1= 0,"", NOT(ISBLANK(CO30)), 0, ISBLANK(CO30), $Q30-$S30+BA30-BX30)</f>
        <v>0</v>
      </c>
      <c r="DG30" s="157" cm="1">
        <f t="array" ref="DG30">_xlfn.IFS(DG$1= 0,"", NOT(ISBLANK(CP30)), 0, ISBLANK(CP30), $Q30-$S30+BB30-BY30)</f>
        <v>0</v>
      </c>
      <c r="DH30" s="157" cm="1">
        <f t="array" ref="DH30">_xlfn.IFS(DH$1= 0,"", NOT(ISBLANK(CQ30)), 0, ISBLANK(CQ30), $Q30-$S30+BC30-BZ30)</f>
        <v>0</v>
      </c>
      <c r="DI30" s="157" t="str" cm="1">
        <f t="array" ref="DI30">_xlfn.IFS(DI$1= 0,"", NOT(ISBLANK(CR30)), 0, ISBLANK(CR30), $Q30-$S30+BD30-CA30)</f>
        <v/>
      </c>
      <c r="DJ30" s="157" t="str" cm="1">
        <f t="array" ref="DJ30">_xlfn.IFS(DJ$1= 0,"", NOT(ISBLANK(CS30)), 0, ISBLANK(CS30), $Q30-$S30+BE30-CB30)</f>
        <v/>
      </c>
      <c r="DK30" s="157" t="str" cm="1">
        <f t="array" ref="DK30">_xlfn.IFS(DK$1= 0,"", NOT(ISBLANK(CT30)), 0, ISBLANK(CT30), $Q30-$S30+BF30-CC30)</f>
        <v/>
      </c>
      <c r="DL30" s="158" t="str" cm="1">
        <f t="array" ref="DL30">_xlfn.IFS(DL$1= 0,"", NOT(ISBLANK(CU30)), 0, ISBLANK(CU30), $Q30-$S30+BG30-CD30)</f>
        <v/>
      </c>
      <c r="DM30" s="158" t="str" cm="1">
        <f t="array" ref="DM30">_xlfn.IFS(DM$1= 0,"", NOT(ISBLANK(CV30)), 0, ISBLANK(CV30), $Q30-$S30+BH30-CE30)</f>
        <v/>
      </c>
      <c r="DN30" s="158" t="str" cm="1">
        <f t="array" ref="DN30">_xlfn.IFS(DN$1= 0,"", NOT(ISBLANK(CW30)), 0, ISBLANK(CW30), $Q30-$S30+BI30-CF30)</f>
        <v/>
      </c>
      <c r="DO30" s="158" t="str" cm="1">
        <f t="array" ref="DO30">_xlfn.IFS(DO$1= 0,"", NOT(ISBLANK(CX30)), 0, ISBLANK(CX30), $Q30-$S30+BJ30-CG30)</f>
        <v/>
      </c>
      <c r="DP30" s="143" t="str" cm="1">
        <f t="array" ref="DP30">_xlfn.IFS(DP$1= 0,"", NOT(ISBLANK(CY30)), 0, ISBLANK(CY30), $Q30-$S30+BK30-CH30)</f>
        <v/>
      </c>
      <c r="DQ30" s="143" t="str" cm="1">
        <f t="array" ref="DQ30">_xlfn.IFS(DQ$1= 0,"", NOT(ISBLANK(CZ30)), 0, ISBLANK(CZ30), $Q30-$S30+BL30-CI30)</f>
        <v/>
      </c>
      <c r="DR30" s="144" t="str" cm="1">
        <f t="array" ref="DR30">_xlfn.IFS(DR$1= 0,"", NOT(ISBLANK(DA30)), 0, ISBLANK(DA30), $Q30-$S30+BM30-CJ30)</f>
        <v/>
      </c>
    </row>
    <row r="31" spans="1:122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2" t="s">
        <v>142</v>
      </c>
      <c r="F31" s="210"/>
      <c r="G31" s="211"/>
      <c r="H31" s="211"/>
      <c r="I31" s="211"/>
      <c r="J31" s="211"/>
      <c r="K31" s="211"/>
      <c r="L31" s="211"/>
      <c r="M31" s="215"/>
      <c r="N31" s="210">
        <v>65.873120921161103</v>
      </c>
      <c r="O31" s="212">
        <v>0</v>
      </c>
      <c r="P31" s="205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185.98129717796897</v>
      </c>
      <c r="AI31" s="150">
        <f t="array" ref="AI31">IF(AI$1=0,"",SQRT((_xlfn.XLOOKUP(AI$1,$Z$2:$Z$18,$AA$2:$AA$18)-$T31)^2+(_xlfn.XLOOKUP(AI$1,$Z$2:$Z$18,$AB$2:$AB$18)-$U31)^2+(_xlfn.XLOOKUP(AI$1,$Z$2:$Z$18,$AC$2:$AC$18-$V31)^2)))</f>
        <v>118.63071861874563</v>
      </c>
      <c r="AJ31" s="150">
        <f t="array" ref="AJ31">IF(AJ$1=0,"",SQRT((_xlfn.XLOOKUP(AJ$1,$Z$2:$Z$18,$AA$2:$AA$18)-$T31)^2+(_xlfn.XLOOKUP(AJ$1,$Z$2:$Z$18,$AB$2:$AB$18)-$U31)^2+(_xlfn.XLOOKUP(AJ$1,$Z$2:$Z$18,$AC$2:$AC$18-$V31)^2)))</f>
        <v>42.742157175322824</v>
      </c>
      <c r="AK31" s="150">
        <f t="array" ref="AK31">IF(AK$1=0,"",SQRT((_xlfn.XLOOKUP(AK$1,$Z$2:$Z$18,$AA$2:$AA$18)-$T31)^2+(_xlfn.XLOOKUP(AK$1,$Z$2:$Z$18,$AB$2:$AB$18)-$U31)^2+(_xlfn.XLOOKUP(AK$1,$Z$2:$Z$18,$AC$2:$AC$18-$V31)^2)))</f>
        <v>108.00424528693304</v>
      </c>
      <c r="AL31" s="150">
        <f t="array" ref="AL31">IF(AL$1=0,"",SQRT((_xlfn.XLOOKUP(AL$1,$Z$2:$Z$18,$AA$2:$AA$18)-$T31)^2+(_xlfn.XLOOKUP(AL$1,$Z$2:$Z$18,$AB$2:$AB$18)-$U31)^2+(_xlfn.XLOOKUP(AL$1,$Z$2:$Z$18,$AC$2:$AC$18-$V31)^2)))</f>
        <v>255.21312368293289</v>
      </c>
      <c r="AM31" s="150" t="str">
        <f t="array" ref="AM31">IF(AM$1=0,"",SQRT((_xlfn.XLOOKUP(AM$1,$Z$2:$Z$18,$AA$2:$AA$18)-$T31)^2+(_xlfn.XLOOKUP(AM$1,$Z$2:$Z$18,$AB$2:$AB$18)-$U31)^2+(_xlfn.XLOOKUP(AM$1,$Z$2:$Z$18,$AC$2:$AC$18-$V31)^2)))</f>
        <v/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19"/>
        <v>-43.051483386795766</v>
      </c>
      <c r="AZ31" s="153">
        <f t="shared" si="20"/>
        <v>-39.146041160868727</v>
      </c>
      <c r="BA31" s="153">
        <f t="shared" si="21"/>
        <v>-30.27922667706742</v>
      </c>
      <c r="BB31" s="153">
        <f t="shared" si="22"/>
        <v>-38.330914466755416</v>
      </c>
      <c r="BC31" s="153">
        <f t="shared" si="23"/>
        <v>-45.800157999085378</v>
      </c>
      <c r="BD31" s="153">
        <f t="shared" si="24"/>
        <v>0</v>
      </c>
      <c r="BE31" s="153">
        <f t="shared" si="25"/>
        <v>0</v>
      </c>
      <c r="BF31" s="153">
        <f t="shared" si="26"/>
        <v>0</v>
      </c>
      <c r="BG31" s="154">
        <f t="shared" si="27"/>
        <v>0</v>
      </c>
      <c r="BH31" s="154">
        <f t="shared" si="28"/>
        <v>0</v>
      </c>
      <c r="BI31" s="154">
        <f t="shared" si="29"/>
        <v>0</v>
      </c>
      <c r="BJ31" s="154">
        <f t="shared" si="30"/>
        <v>0</v>
      </c>
      <c r="BK31" s="154">
        <f t="shared" si="31"/>
        <v>0</v>
      </c>
      <c r="BL31" s="154">
        <f t="shared" si="32"/>
        <v>0</v>
      </c>
      <c r="BM31" s="155">
        <f t="shared" si="33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>
        <v>1</v>
      </c>
      <c r="BW31" s="140">
        <v>12</v>
      </c>
      <c r="BX31" s="140">
        <v>14</v>
      </c>
      <c r="BY31" s="140">
        <v>0</v>
      </c>
      <c r="BZ31" s="140">
        <v>9</v>
      </c>
      <c r="CA31" s="140"/>
      <c r="CB31" s="140"/>
      <c r="CC31" s="140"/>
      <c r="CD31" s="140"/>
      <c r="CE31" s="140"/>
      <c r="CF31" s="140"/>
      <c r="CG31" s="140"/>
      <c r="CH31" s="140"/>
      <c r="CI31" s="140"/>
      <c r="CJ31" s="140"/>
      <c r="CL31" s="134"/>
      <c r="CM31" s="140" t="s">
        <v>32</v>
      </c>
      <c r="CN31" s="140" t="s">
        <v>32</v>
      </c>
      <c r="CO31" s="140" t="s">
        <v>32</v>
      </c>
      <c r="CP31" s="140" t="s">
        <v>32</v>
      </c>
      <c r="CQ31" s="140" t="s">
        <v>32</v>
      </c>
      <c r="CR31" s="140"/>
      <c r="CS31" s="140"/>
      <c r="CT31" s="140"/>
      <c r="CU31" s="140"/>
      <c r="CV31" s="140"/>
      <c r="CW31" s="140"/>
      <c r="CX31" s="140"/>
      <c r="CY31" s="140"/>
      <c r="CZ31" s="140"/>
      <c r="DA31" s="140"/>
      <c r="DB31" s="134"/>
      <c r="DC31" s="134"/>
      <c r="DD31" s="156" cm="1">
        <f t="array" ref="DD31">_xlfn.IFS(DD$1= 0,"", NOT(ISBLANK(CM31)), 0, ISBLANK(CM31), $Q31-$S31+AY31-BV31)</f>
        <v>0</v>
      </c>
      <c r="DE31" s="157" cm="1">
        <f t="array" ref="DE31">_xlfn.IFS(DE$1= 0,"", NOT(ISBLANK(CN31)), 0, ISBLANK(CN31), $Q31-$S31+AZ31-BW31)</f>
        <v>0</v>
      </c>
      <c r="DF31" s="157" cm="1">
        <f t="array" ref="DF31">_xlfn.IFS(DF$1= 0,"", NOT(ISBLANK(CO31)), 0, ISBLANK(CO31), $Q31-$S31+BA31-BX31)</f>
        <v>0</v>
      </c>
      <c r="DG31" s="157" cm="1">
        <f t="array" ref="DG31">_xlfn.IFS(DG$1= 0,"", NOT(ISBLANK(CP31)), 0, ISBLANK(CP31), $Q31-$S31+BB31-BY31)</f>
        <v>0</v>
      </c>
      <c r="DH31" s="157" cm="1">
        <f t="array" ref="DH31">_xlfn.IFS(DH$1= 0,"", NOT(ISBLANK(CQ31)), 0, ISBLANK(CQ31), $Q31-$S31+BC31-BZ31)</f>
        <v>0</v>
      </c>
      <c r="DI31" s="157" t="str" cm="1">
        <f t="array" ref="DI31">_xlfn.IFS(DI$1= 0,"", NOT(ISBLANK(CR31)), 0, ISBLANK(CR31), $Q31-$S31+BD31-CA31)</f>
        <v/>
      </c>
      <c r="DJ31" s="157" t="str" cm="1">
        <f t="array" ref="DJ31">_xlfn.IFS(DJ$1= 0,"", NOT(ISBLANK(CS31)), 0, ISBLANK(CS31), $Q31-$S31+BE31-CB31)</f>
        <v/>
      </c>
      <c r="DK31" s="157" t="str" cm="1">
        <f t="array" ref="DK31">_xlfn.IFS(DK$1= 0,"", NOT(ISBLANK(CT31)), 0, ISBLANK(CT31), $Q31-$S31+BF31-CC31)</f>
        <v/>
      </c>
      <c r="DL31" s="158" t="str" cm="1">
        <f t="array" ref="DL31">_xlfn.IFS(DL$1= 0,"", NOT(ISBLANK(CU31)), 0, ISBLANK(CU31), $Q31-$S31+BG31-CD31)</f>
        <v/>
      </c>
      <c r="DM31" s="158" t="str" cm="1">
        <f t="array" ref="DM31">_xlfn.IFS(DM$1= 0,"", NOT(ISBLANK(CV31)), 0, ISBLANK(CV31), $Q31-$S31+BH31-CE31)</f>
        <v/>
      </c>
      <c r="DN31" s="158" t="str" cm="1">
        <f t="array" ref="DN31">_xlfn.IFS(DN$1= 0,"", NOT(ISBLANK(CW31)), 0, ISBLANK(CW31), $Q31-$S31+BI31-CF31)</f>
        <v/>
      </c>
      <c r="DO31" s="158" t="str" cm="1">
        <f t="array" ref="DO31">_xlfn.IFS(DO$1= 0,"", NOT(ISBLANK(CX31)), 0, ISBLANK(CX31), $Q31-$S31+BJ31-CG31)</f>
        <v/>
      </c>
      <c r="DP31" s="143" t="str" cm="1">
        <f t="array" ref="DP31">_xlfn.IFS(DP$1= 0,"", NOT(ISBLANK(CY31)), 0, ISBLANK(CY31), $Q31-$S31+BK31-CH31)</f>
        <v/>
      </c>
      <c r="DQ31" s="143" t="str" cm="1">
        <f t="array" ref="DQ31">_xlfn.IFS(DQ$1= 0,"", NOT(ISBLANK(CZ31)), 0, ISBLANK(CZ31), $Q31-$S31+BL31-CI31)</f>
        <v/>
      </c>
      <c r="DR31" s="144" t="str" cm="1">
        <f t="array" ref="DR31">_xlfn.IFS(DR$1= 0,"", NOT(ISBLANK(DA31)), 0, ISBLANK(DA31), $Q31-$S31+BM31-CJ31)</f>
        <v/>
      </c>
    </row>
    <row r="32" spans="1:122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2" t="s">
        <v>142</v>
      </c>
      <c r="F32" s="210"/>
      <c r="G32" s="211"/>
      <c r="H32" s="211"/>
      <c r="I32" s="211"/>
      <c r="J32" s="211"/>
      <c r="K32" s="211"/>
      <c r="L32" s="211"/>
      <c r="M32" s="215"/>
      <c r="N32" s="210">
        <v>65.873120921161103</v>
      </c>
      <c r="O32" s="212">
        <v>0</v>
      </c>
      <c r="P32" s="205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181.74354954165497</v>
      </c>
      <c r="AI32" s="150">
        <f t="array" ref="AI32">IF(AI$1=0,"",SQRT((_xlfn.XLOOKUP(AI$1,$Z$2:$Z$18,$AA$2:$AA$18)-$T32)^2+(_xlfn.XLOOKUP(AI$1,$Z$2:$Z$18,$AB$2:$AB$18)-$U32)^2+(_xlfn.XLOOKUP(AI$1,$Z$2:$Z$18,$AC$2:$AC$18-$V32)^2)))</f>
        <v>121.81376482155045</v>
      </c>
      <c r="AJ32" s="150">
        <f t="array" ref="AJ32">IF(AJ$1=0,"",SQRT((_xlfn.XLOOKUP(AJ$1,$Z$2:$Z$18,$AA$2:$AA$18)-$T32)^2+(_xlfn.XLOOKUP(AJ$1,$Z$2:$Z$18,$AB$2:$AB$18)-$U32)^2+(_xlfn.XLOOKUP(AJ$1,$Z$2:$Z$18,$AC$2:$AC$18-$V32)^2)))</f>
        <v>70.738940478353229</v>
      </c>
      <c r="AK32" s="150">
        <f t="array" ref="AK32">IF(AK$1=0,"",SQRT((_xlfn.XLOOKUP(AK$1,$Z$2:$Z$18,$AA$2:$AA$18)-$T32)^2+(_xlfn.XLOOKUP(AK$1,$Z$2:$Z$18,$AB$2:$AB$18)-$U32)^2+(_xlfn.XLOOKUP(AK$1,$Z$2:$Z$18,$AC$2:$AC$18-$V32)^2)))</f>
        <v>108.15399067995595</v>
      </c>
      <c r="AL32" s="150">
        <f t="array" ref="AL32">IF(AL$1=0,"",SQRT((_xlfn.XLOOKUP(AL$1,$Z$2:$Z$18,$AA$2:$AA$18)-$T32)^2+(_xlfn.XLOOKUP(AL$1,$Z$2:$Z$18,$AB$2:$AB$18)-$U32)^2+(_xlfn.XLOOKUP(AL$1,$Z$2:$Z$18,$AC$2:$AC$18-$V32)^2)))</f>
        <v>236.66599671266678</v>
      </c>
      <c r="AM32" s="150" t="str">
        <f t="array" ref="AM32">IF(AM$1=0,"",SQRT((_xlfn.XLOOKUP(AM$1,$Z$2:$Z$18,$AA$2:$AA$18)-$T32)^2+(_xlfn.XLOOKUP(AM$1,$Z$2:$Z$18,$AB$2:$AB$18)-$U32)^2+(_xlfn.XLOOKUP(AM$1,$Z$2:$Z$18,$AC$2:$AC$18-$V32)^2)))</f>
        <v/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19"/>
        <v>-42.851278052651232</v>
      </c>
      <c r="AZ32" s="153">
        <f t="shared" si="20"/>
        <v>-39.376025254310932</v>
      </c>
      <c r="BA32" s="153">
        <f t="shared" si="21"/>
        <v>-34.655268950988081</v>
      </c>
      <c r="BB32" s="153">
        <f t="shared" si="22"/>
        <v>-38.342948911428401</v>
      </c>
      <c r="BC32" s="153">
        <f t="shared" si="23"/>
        <v>-45.144815228942875</v>
      </c>
      <c r="BD32" s="153">
        <f t="shared" si="24"/>
        <v>0</v>
      </c>
      <c r="BE32" s="153">
        <f t="shared" si="25"/>
        <v>0</v>
      </c>
      <c r="BF32" s="153">
        <f t="shared" si="26"/>
        <v>0</v>
      </c>
      <c r="BG32" s="154">
        <f t="shared" si="27"/>
        <v>0</v>
      </c>
      <c r="BH32" s="154">
        <f t="shared" si="28"/>
        <v>0</v>
      </c>
      <c r="BI32" s="154">
        <f t="shared" si="29"/>
        <v>0</v>
      </c>
      <c r="BJ32" s="154">
        <f t="shared" si="30"/>
        <v>0</v>
      </c>
      <c r="BK32" s="154">
        <f t="shared" si="31"/>
        <v>0</v>
      </c>
      <c r="BL32" s="154">
        <f t="shared" si="32"/>
        <v>0</v>
      </c>
      <c r="BM32" s="155">
        <f t="shared" si="33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>
        <v>7</v>
      </c>
      <c r="BW32" s="140">
        <v>12</v>
      </c>
      <c r="BX32" s="140">
        <v>15</v>
      </c>
      <c r="BY32" s="140">
        <v>5</v>
      </c>
      <c r="BZ32" s="140">
        <v>8</v>
      </c>
      <c r="CA32" s="140"/>
      <c r="CB32" s="140"/>
      <c r="CC32" s="140"/>
      <c r="CD32" s="140"/>
      <c r="CE32" s="140"/>
      <c r="CF32" s="140"/>
      <c r="CG32" s="140"/>
      <c r="CH32" s="140"/>
      <c r="CI32" s="140"/>
      <c r="CJ32" s="140"/>
      <c r="CL32" s="134"/>
      <c r="CM32" s="140" t="s">
        <v>32</v>
      </c>
      <c r="CN32" s="140" t="s">
        <v>32</v>
      </c>
      <c r="CO32" s="140" t="s">
        <v>32</v>
      </c>
      <c r="CP32" s="140" t="s">
        <v>32</v>
      </c>
      <c r="CQ32" s="140" t="s">
        <v>32</v>
      </c>
      <c r="CR32" s="140"/>
      <c r="CS32" s="140"/>
      <c r="CT32" s="140"/>
      <c r="CU32" s="140"/>
      <c r="CV32" s="140"/>
      <c r="CW32" s="140"/>
      <c r="CX32" s="140"/>
      <c r="CY32" s="140"/>
      <c r="CZ32" s="140"/>
      <c r="DA32" s="140"/>
      <c r="DB32" s="134"/>
      <c r="DC32" s="134"/>
      <c r="DD32" s="156" cm="1">
        <f t="array" ref="DD32">_xlfn.IFS(DD$1= 0,"", NOT(ISBLANK(CM32)), 0, ISBLANK(CM32), $Q32-$S32+AY32-BV32)</f>
        <v>0</v>
      </c>
      <c r="DE32" s="157" cm="1">
        <f t="array" ref="DE32">_xlfn.IFS(DE$1= 0,"", NOT(ISBLANK(CN32)), 0, ISBLANK(CN32), $Q32-$S32+AZ32-BW32)</f>
        <v>0</v>
      </c>
      <c r="DF32" s="157" cm="1">
        <f t="array" ref="DF32">_xlfn.IFS(DF$1= 0,"", NOT(ISBLANK(CO32)), 0, ISBLANK(CO32), $Q32-$S32+BA32-BX32)</f>
        <v>0</v>
      </c>
      <c r="DG32" s="157" cm="1">
        <f t="array" ref="DG32">_xlfn.IFS(DG$1= 0,"", NOT(ISBLANK(CP32)), 0, ISBLANK(CP32), $Q32-$S32+BB32-BY32)</f>
        <v>0</v>
      </c>
      <c r="DH32" s="157" cm="1">
        <f t="array" ref="DH32">_xlfn.IFS(DH$1= 0,"", NOT(ISBLANK(CQ32)), 0, ISBLANK(CQ32), $Q32-$S32+BC32-BZ32)</f>
        <v>0</v>
      </c>
      <c r="DI32" s="157" t="str" cm="1">
        <f t="array" ref="DI32">_xlfn.IFS(DI$1= 0,"", NOT(ISBLANK(CR32)), 0, ISBLANK(CR32), $Q32-$S32+BD32-CA32)</f>
        <v/>
      </c>
      <c r="DJ32" s="157" t="str" cm="1">
        <f t="array" ref="DJ32">_xlfn.IFS(DJ$1= 0,"", NOT(ISBLANK(CS32)), 0, ISBLANK(CS32), $Q32-$S32+BE32-CB32)</f>
        <v/>
      </c>
      <c r="DK32" s="157" t="str" cm="1">
        <f t="array" ref="DK32">_xlfn.IFS(DK$1= 0,"", NOT(ISBLANK(CT32)), 0, ISBLANK(CT32), $Q32-$S32+BF32-CC32)</f>
        <v/>
      </c>
      <c r="DL32" s="158" t="str" cm="1">
        <f t="array" ref="DL32">_xlfn.IFS(DL$1= 0,"", NOT(ISBLANK(CU32)), 0, ISBLANK(CU32), $Q32-$S32+BG32-CD32)</f>
        <v/>
      </c>
      <c r="DM32" s="158" t="str" cm="1">
        <f t="array" ref="DM32">_xlfn.IFS(DM$1= 0,"", NOT(ISBLANK(CV32)), 0, ISBLANK(CV32), $Q32-$S32+BH32-CE32)</f>
        <v/>
      </c>
      <c r="DN32" s="158" t="str" cm="1">
        <f t="array" ref="DN32">_xlfn.IFS(DN$1= 0,"", NOT(ISBLANK(CW32)), 0, ISBLANK(CW32), $Q32-$S32+BI32-CF32)</f>
        <v/>
      </c>
      <c r="DO32" s="158" t="str" cm="1">
        <f t="array" ref="DO32">_xlfn.IFS(DO$1= 0,"", NOT(ISBLANK(CX32)), 0, ISBLANK(CX32), $Q32-$S32+BJ32-CG32)</f>
        <v/>
      </c>
      <c r="DP32" s="143" t="str" cm="1">
        <f t="array" ref="DP32">_xlfn.IFS(DP$1= 0,"", NOT(ISBLANK(CY32)), 0, ISBLANK(CY32), $Q32-$S32+BK32-CH32)</f>
        <v/>
      </c>
      <c r="DQ32" s="143" t="str" cm="1">
        <f t="array" ref="DQ32">_xlfn.IFS(DQ$1= 0,"", NOT(ISBLANK(CZ32)), 0, ISBLANK(CZ32), $Q32-$S32+BL32-CI32)</f>
        <v/>
      </c>
      <c r="DR32" s="144" t="str" cm="1">
        <f t="array" ref="DR32">_xlfn.IFS(DR$1= 0,"", NOT(ISBLANK(DA32)), 0, ISBLANK(DA32), $Q32-$S32+BM32-CJ32)</f>
        <v/>
      </c>
    </row>
    <row r="33" spans="1:122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2" t="s">
        <v>142</v>
      </c>
      <c r="F33" s="210"/>
      <c r="G33" s="211"/>
      <c r="H33" s="211"/>
      <c r="I33" s="211"/>
      <c r="J33" s="211"/>
      <c r="K33" s="211"/>
      <c r="L33" s="211"/>
      <c r="M33" s="215"/>
      <c r="N33" s="210">
        <v>65.873120921161103</v>
      </c>
      <c r="O33" s="212">
        <v>0</v>
      </c>
      <c r="P33" s="205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176.79754098968684</v>
      </c>
      <c r="AI33" s="150">
        <f t="array" ref="AI33">IF(AI$1=0,"",SQRT((_xlfn.XLOOKUP(AI$1,$Z$2:$Z$18,$AA$2:$AA$18)-$T33)^2+(_xlfn.XLOOKUP(AI$1,$Z$2:$Z$18,$AB$2:$AB$18)-$U33)^2+(_xlfn.XLOOKUP(AI$1,$Z$2:$Z$18,$AC$2:$AC$18-$V33)^2)))</f>
        <v>125.47121183761637</v>
      </c>
      <c r="AJ33" s="150">
        <f t="array" ref="AJ33">IF(AJ$1=0,"",SQRT((_xlfn.XLOOKUP(AJ$1,$Z$2:$Z$18,$AA$2:$AA$18)-$T33)^2+(_xlfn.XLOOKUP(AJ$1,$Z$2:$Z$18,$AB$2:$AB$18)-$U33)^2+(_xlfn.XLOOKUP(AJ$1,$Z$2:$Z$18,$AC$2:$AC$18-$V33)^2)))</f>
        <v>95.266432703234997</v>
      </c>
      <c r="AK33" s="150">
        <f t="array" ref="AK33">IF(AK$1=0,"",SQRT((_xlfn.XLOOKUP(AK$1,$Z$2:$Z$18,$AA$2:$AA$18)-$T33)^2+(_xlfn.XLOOKUP(AK$1,$Z$2:$Z$18,$AB$2:$AB$18)-$U33)^2+(_xlfn.XLOOKUP(AK$1,$Z$2:$Z$18,$AC$2:$AC$18-$V33)^2)))</f>
        <v>118.87861119646378</v>
      </c>
      <c r="AL33" s="150">
        <f t="array" ref="AL33">IF(AL$1=0,"",SQRT((_xlfn.XLOOKUP(AL$1,$Z$2:$Z$18,$AA$2:$AA$18)-$T33)^2+(_xlfn.XLOOKUP(AL$1,$Z$2:$Z$18,$AB$2:$AB$18)-$U33)^2+(_xlfn.XLOOKUP(AL$1,$Z$2:$Z$18,$AC$2:$AC$18-$V33)^2)))</f>
        <v>218.35086283319333</v>
      </c>
      <c r="AM33" s="150" t="str">
        <f t="array" ref="AM33">IF(AM$1=0,"",SQRT((_xlfn.XLOOKUP(AM$1,$Z$2:$Z$18,$AA$2:$AA$18)-$T33)^2+(_xlfn.XLOOKUP(AM$1,$Z$2:$Z$18,$AB$2:$AB$18)-$U33)^2+(_xlfn.XLOOKUP(AM$1,$Z$2:$Z$18,$AC$2:$AC$18-$V33)^2)))</f>
        <v/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19"/>
        <v>-42.611622342550788</v>
      </c>
      <c r="AZ33" s="153">
        <f t="shared" si="20"/>
        <v>-39.6329797880542</v>
      </c>
      <c r="BA33" s="153">
        <f t="shared" si="21"/>
        <v>-37.240896000115697</v>
      </c>
      <c r="BB33" s="153">
        <f t="shared" si="22"/>
        <v>-39.164172392645419</v>
      </c>
      <c r="BC33" s="153">
        <f t="shared" si="23"/>
        <v>-44.445196185226301</v>
      </c>
      <c r="BD33" s="153">
        <f t="shared" si="24"/>
        <v>0</v>
      </c>
      <c r="BE33" s="153">
        <f t="shared" si="25"/>
        <v>0</v>
      </c>
      <c r="BF33" s="153">
        <f t="shared" si="26"/>
        <v>0</v>
      </c>
      <c r="BG33" s="154">
        <f t="shared" si="27"/>
        <v>0</v>
      </c>
      <c r="BH33" s="154">
        <f t="shared" si="28"/>
        <v>0</v>
      </c>
      <c r="BI33" s="154">
        <f t="shared" si="29"/>
        <v>0</v>
      </c>
      <c r="BJ33" s="154">
        <f t="shared" si="30"/>
        <v>0</v>
      </c>
      <c r="BK33" s="154">
        <f t="shared" si="31"/>
        <v>0</v>
      </c>
      <c r="BL33" s="154">
        <f t="shared" si="32"/>
        <v>0</v>
      </c>
      <c r="BM33" s="155">
        <f t="shared" si="33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>
        <v>7</v>
      </c>
      <c r="BW33" s="140">
        <v>12</v>
      </c>
      <c r="BX33" s="140">
        <v>15</v>
      </c>
      <c r="BY33" s="140">
        <v>0</v>
      </c>
      <c r="BZ33" s="140">
        <v>6</v>
      </c>
      <c r="CA33" s="140"/>
      <c r="CB33" s="140"/>
      <c r="CC33" s="140"/>
      <c r="CD33" s="140"/>
      <c r="CE33" s="140"/>
      <c r="CF33" s="140"/>
      <c r="CG33" s="140"/>
      <c r="CH33" s="140"/>
      <c r="CI33" s="140"/>
      <c r="CJ33" s="140"/>
      <c r="CL33" s="134"/>
      <c r="CM33" s="140" t="s">
        <v>32</v>
      </c>
      <c r="CN33" s="140" t="s">
        <v>32</v>
      </c>
      <c r="CO33" s="140" t="s">
        <v>32</v>
      </c>
      <c r="CP33" s="140" t="s">
        <v>32</v>
      </c>
      <c r="CQ33" s="140" t="s">
        <v>32</v>
      </c>
      <c r="CR33" s="140"/>
      <c r="CS33" s="140"/>
      <c r="CT33" s="140"/>
      <c r="CU33" s="140"/>
      <c r="CV33" s="140"/>
      <c r="CW33" s="140"/>
      <c r="CX33" s="140"/>
      <c r="CY33" s="140"/>
      <c r="CZ33" s="140"/>
      <c r="DA33" s="140"/>
      <c r="DB33" s="134"/>
      <c r="DC33" s="134"/>
      <c r="DD33" s="156" cm="1">
        <f t="array" ref="DD33">_xlfn.IFS(DD$1= 0,"", NOT(ISBLANK(CM33)), 0, ISBLANK(CM33), $Q33-$S33+AY33-BV33)</f>
        <v>0</v>
      </c>
      <c r="DE33" s="157" cm="1">
        <f t="array" ref="DE33">_xlfn.IFS(DE$1= 0,"", NOT(ISBLANK(CN33)), 0, ISBLANK(CN33), $Q33-$S33+AZ33-BW33)</f>
        <v>0</v>
      </c>
      <c r="DF33" s="157" cm="1">
        <f t="array" ref="DF33">_xlfn.IFS(DF$1= 0,"", NOT(ISBLANK(CO33)), 0, ISBLANK(CO33), $Q33-$S33+BA33-BX33)</f>
        <v>0</v>
      </c>
      <c r="DG33" s="157" cm="1">
        <f t="array" ref="DG33">_xlfn.IFS(DG$1= 0,"", NOT(ISBLANK(CP33)), 0, ISBLANK(CP33), $Q33-$S33+BB33-BY33)</f>
        <v>0</v>
      </c>
      <c r="DH33" s="157" cm="1">
        <f t="array" ref="DH33">_xlfn.IFS(DH$1= 0,"", NOT(ISBLANK(CQ33)), 0, ISBLANK(CQ33), $Q33-$S33+BC33-BZ33)</f>
        <v>0</v>
      </c>
      <c r="DI33" s="157" t="str" cm="1">
        <f t="array" ref="DI33">_xlfn.IFS(DI$1= 0,"", NOT(ISBLANK(CR33)), 0, ISBLANK(CR33), $Q33-$S33+BD33-CA33)</f>
        <v/>
      </c>
      <c r="DJ33" s="157" t="str" cm="1">
        <f t="array" ref="DJ33">_xlfn.IFS(DJ$1= 0,"", NOT(ISBLANK(CS33)), 0, ISBLANK(CS33), $Q33-$S33+BE33-CB33)</f>
        <v/>
      </c>
      <c r="DK33" s="157" t="str" cm="1">
        <f t="array" ref="DK33">_xlfn.IFS(DK$1= 0,"", NOT(ISBLANK(CT33)), 0, ISBLANK(CT33), $Q33-$S33+BF33-CC33)</f>
        <v/>
      </c>
      <c r="DL33" s="158" t="str" cm="1">
        <f t="array" ref="DL33">_xlfn.IFS(DL$1= 0,"", NOT(ISBLANK(CU33)), 0, ISBLANK(CU33), $Q33-$S33+BG33-CD33)</f>
        <v/>
      </c>
      <c r="DM33" s="158" t="str" cm="1">
        <f t="array" ref="DM33">_xlfn.IFS(DM$1= 0,"", NOT(ISBLANK(CV33)), 0, ISBLANK(CV33), $Q33-$S33+BH33-CE33)</f>
        <v/>
      </c>
      <c r="DN33" s="158" t="str" cm="1">
        <f t="array" ref="DN33">_xlfn.IFS(DN$1= 0,"", NOT(ISBLANK(CW33)), 0, ISBLANK(CW33), $Q33-$S33+BI33-CF33)</f>
        <v/>
      </c>
      <c r="DO33" s="158" t="str" cm="1">
        <f t="array" ref="DO33">_xlfn.IFS(DO$1= 0,"", NOT(ISBLANK(CX33)), 0, ISBLANK(CX33), $Q33-$S33+BJ33-CG33)</f>
        <v/>
      </c>
      <c r="DP33" s="143" t="str" cm="1">
        <f t="array" ref="DP33">_xlfn.IFS(DP$1= 0,"", NOT(ISBLANK(CY33)), 0, ISBLANK(CY33), $Q33-$S33+BK33-CH33)</f>
        <v/>
      </c>
      <c r="DQ33" s="143" t="str" cm="1">
        <f t="array" ref="DQ33">_xlfn.IFS(DQ$1= 0,"", NOT(ISBLANK(CZ33)), 0, ISBLANK(CZ33), $Q33-$S33+BL33-CI33)</f>
        <v/>
      </c>
      <c r="DR33" s="144" t="str" cm="1">
        <f t="array" ref="DR33">_xlfn.IFS(DR$1= 0,"", NOT(ISBLANK(DA33)), 0, ISBLANK(DA33), $Q33-$S33+BM33-CJ33)</f>
        <v/>
      </c>
    </row>
    <row r="34" spans="1:122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2" t="s">
        <v>142</v>
      </c>
      <c r="F34" s="210"/>
      <c r="G34" s="211"/>
      <c r="H34" s="211"/>
      <c r="I34" s="211"/>
      <c r="J34" s="211"/>
      <c r="K34" s="211"/>
      <c r="L34" s="211"/>
      <c r="M34" s="215"/>
      <c r="N34" s="210">
        <v>65.873120921161103</v>
      </c>
      <c r="O34" s="212">
        <v>0</v>
      </c>
      <c r="P34" s="205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116.41241514546462</v>
      </c>
      <c r="AI34" s="150">
        <f t="array" ref="AI34">IF(AI$1=0,"",SQRT((_xlfn.XLOOKUP(AI$1,$Z$2:$Z$18,$AA$2:$AA$18)-$T34)^2+(_xlfn.XLOOKUP(AI$1,$Z$2:$Z$18,$AB$2:$AB$18)-$U34)^2+(_xlfn.XLOOKUP(AI$1,$Z$2:$Z$18,$AC$2:$AC$18-$V34)^2)))</f>
        <v>96.820477689381377</v>
      </c>
      <c r="AJ34" s="150">
        <f t="array" ref="AJ34">IF(AJ$1=0,"",SQRT((_xlfn.XLOOKUP(AJ$1,$Z$2:$Z$18,$AA$2:$AA$18)-$T34)^2+(_xlfn.XLOOKUP(AJ$1,$Z$2:$Z$18,$AB$2:$AB$18)-$U34)^2+(_xlfn.XLOOKUP(AJ$1,$Z$2:$Z$18,$AC$2:$AC$18-$V34)^2)))</f>
        <v>140.25198929070487</v>
      </c>
      <c r="AK34" s="150">
        <f t="array" ref="AK34">IF(AK$1=0,"",SQRT((_xlfn.XLOOKUP(AK$1,$Z$2:$Z$18,$AA$2:$AA$18)-$T34)^2+(_xlfn.XLOOKUP(AK$1,$Z$2:$Z$18,$AB$2:$AB$18)-$U34)^2+(_xlfn.XLOOKUP(AK$1,$Z$2:$Z$18,$AC$2:$AC$18-$V34)^2)))</f>
        <v>189.74701710435397</v>
      </c>
      <c r="AL34" s="150">
        <f t="array" ref="AL34">IF(AL$1=0,"",SQRT((_xlfn.XLOOKUP(AL$1,$Z$2:$Z$18,$AA$2:$AA$18)-$T34)^2+(_xlfn.XLOOKUP(AL$1,$Z$2:$Z$18,$AB$2:$AB$18)-$U34)^2+(_xlfn.XLOOKUP(AL$1,$Z$2:$Z$18,$AC$2:$AC$18-$V34)^2)))</f>
        <v>148.19370094575547</v>
      </c>
      <c r="AM34" s="150" t="str">
        <f t="array" ref="AM34">IF(AM$1=0,"",SQRT((_xlfn.XLOOKUP(AM$1,$Z$2:$Z$18,$AA$2:$AA$18)-$T34)^2+(_xlfn.XLOOKUP(AM$1,$Z$2:$Z$18,$AB$2:$AB$18)-$U34)^2+(_xlfn.XLOOKUP(AM$1,$Z$2:$Z$18,$AC$2:$AC$18-$V34)^2)))</f>
        <v/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36">IFERROR(-ABS(10*LOG10(($R34/(4*PI()*CONVERT(AH34,"ft","m")^2)))),0)</f>
        <v>-38.982083924935459</v>
      </c>
      <c r="AZ34" s="153">
        <f t="shared" ref="AZ34:AZ58" si="37">IFERROR(-ABS(10*LOG10(($R34/(4*PI()*CONVERT(AI34,"ft","m")^2)))),0)</f>
        <v>-37.381442357264618</v>
      </c>
      <c r="BA34" s="153">
        <f t="shared" ref="BA34:BA58" si="38">IFERROR(-ABS(10*LOG10(($R34/(4*PI()*CONVERT(AJ34,"ft","m")^2)))),0)</f>
        <v>-40.600278534334045</v>
      </c>
      <c r="BB34" s="153">
        <f t="shared" ref="BB34:BB58" si="39">IFERROR(-ABS(10*LOG10(($R34/(4*PI()*CONVERT(AK34,"ft","m")^2)))),0)</f>
        <v>-43.225597083850445</v>
      </c>
      <c r="BC34" s="153">
        <f t="shared" ref="BC34:BC58" si="40">IFERROR(-ABS(10*LOG10(($R34/(4*PI()*CONVERT(AL34,"ft","m")^2)))),0)</f>
        <v>-41.078692819159073</v>
      </c>
      <c r="BD34" s="153">
        <f t="shared" ref="BD34:BD58" si="41">IFERROR(-ABS(10*LOG10(($R34/(4*PI()*CONVERT(AM34,"ft","m")^2)))),0)</f>
        <v>0</v>
      </c>
      <c r="BE34" s="153">
        <f t="shared" ref="BE34:BE58" si="42">IFERROR(-ABS(10*LOG10(($R34/(4*PI()*CONVERT(AN34,"ft","m")^2)))),0)</f>
        <v>0</v>
      </c>
      <c r="BF34" s="153">
        <f t="shared" ref="BF34:BF58" si="43">IFERROR(-ABS(10*LOG10(($R34/(4*PI()*CONVERT(AO34,"ft","m")^2)))),0)</f>
        <v>0</v>
      </c>
      <c r="BG34" s="154">
        <f t="shared" ref="BG34:BG58" si="44">IFERROR(-ABS(10*LOG10(($R34/(4*PI()*CONVERT(AP34,"ft","m")^2)))),0)</f>
        <v>0</v>
      </c>
      <c r="BH34" s="154">
        <f t="shared" ref="BH34:BH58" si="45">IFERROR(-ABS(10*LOG10(($R34/(4*PI()*CONVERT(AQ34,"ft","m")^2)))),0)</f>
        <v>0</v>
      </c>
      <c r="BI34" s="154">
        <f t="shared" ref="BI34:BI58" si="46">IFERROR(-ABS(10*LOG10(($R34/(4*PI()*CONVERT(AR34,"ft","m")^2)))),0)</f>
        <v>0</v>
      </c>
      <c r="BJ34" s="154">
        <f t="shared" ref="BJ34:BJ58" si="47">IFERROR(-ABS(10*LOG10(($R34/(4*PI()*CONVERT(AS34,"ft","m")^2)))),0)</f>
        <v>0</v>
      </c>
      <c r="BK34" s="154">
        <f t="shared" ref="BK34:BK58" si="48">IFERROR(-ABS(10*LOG10(($R34/(4*PI()*CONVERT(AT34,"ft","m")^2)))),0)</f>
        <v>0</v>
      </c>
      <c r="BL34" s="154">
        <f t="shared" ref="BL34:BL58" si="49">IFERROR(-ABS(10*LOG10(($R34/(4*PI()*CONVERT(AU34,"ft","m")^2)))),0)</f>
        <v>0</v>
      </c>
      <c r="BM34" s="155">
        <f t="shared" ref="BM34:BM58" si="50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>
        <v>7</v>
      </c>
      <c r="BW34" s="140">
        <v>15</v>
      </c>
      <c r="BX34" s="140">
        <v>12</v>
      </c>
      <c r="BY34" s="140">
        <v>10</v>
      </c>
      <c r="BZ34" s="140">
        <v>2</v>
      </c>
      <c r="CA34" s="140"/>
      <c r="CB34" s="140"/>
      <c r="CC34" s="140"/>
      <c r="CD34" s="140"/>
      <c r="CE34" s="140"/>
      <c r="CF34" s="140"/>
      <c r="CG34" s="140"/>
      <c r="CH34" s="140"/>
      <c r="CI34" s="140"/>
      <c r="CJ34" s="140"/>
      <c r="CL34" s="134"/>
      <c r="CM34" s="140" t="s">
        <v>32</v>
      </c>
      <c r="CN34" s="140" t="s">
        <v>32</v>
      </c>
      <c r="CO34" s="140" t="s">
        <v>32</v>
      </c>
      <c r="CP34" s="140" t="s">
        <v>32</v>
      </c>
      <c r="CQ34" s="140" t="s">
        <v>32</v>
      </c>
      <c r="CR34" s="140"/>
      <c r="CS34" s="140"/>
      <c r="CT34" s="140"/>
      <c r="CU34" s="140"/>
      <c r="CV34" s="140"/>
      <c r="CW34" s="140"/>
      <c r="CX34" s="140"/>
      <c r="CY34" s="140"/>
      <c r="CZ34" s="140"/>
      <c r="DA34" s="140"/>
      <c r="DB34" s="134"/>
      <c r="DC34" s="134"/>
      <c r="DD34" s="156" cm="1">
        <f t="array" ref="DD34">_xlfn.IFS(DD$1= 0,"", NOT(ISBLANK(CM34)), 0, ISBLANK(CM34), $Q34-$S34+AY34-BV34)</f>
        <v>0</v>
      </c>
      <c r="DE34" s="157" cm="1">
        <f t="array" ref="DE34">_xlfn.IFS(DE$1= 0,"", NOT(ISBLANK(CN34)), 0, ISBLANK(CN34), $Q34-$S34+AZ34-BW34)</f>
        <v>0</v>
      </c>
      <c r="DF34" s="157" cm="1">
        <f t="array" ref="DF34">_xlfn.IFS(DF$1= 0,"", NOT(ISBLANK(CO34)), 0, ISBLANK(CO34), $Q34-$S34+BA34-BX34)</f>
        <v>0</v>
      </c>
      <c r="DG34" s="157" cm="1">
        <f t="array" ref="DG34">_xlfn.IFS(DG$1= 0,"", NOT(ISBLANK(CP34)), 0, ISBLANK(CP34), $Q34-$S34+BB34-BY34)</f>
        <v>0</v>
      </c>
      <c r="DH34" s="157" cm="1">
        <f t="array" ref="DH34">_xlfn.IFS(DH$1= 0,"", NOT(ISBLANK(CQ34)), 0, ISBLANK(CQ34), $Q34-$S34+BC34-BZ34)</f>
        <v>0</v>
      </c>
      <c r="DI34" s="157" t="str" cm="1">
        <f t="array" ref="DI34">_xlfn.IFS(DI$1= 0,"", NOT(ISBLANK(CR34)), 0, ISBLANK(CR34), $Q34-$S34+BD34-CA34)</f>
        <v/>
      </c>
      <c r="DJ34" s="157" t="str" cm="1">
        <f t="array" ref="DJ34">_xlfn.IFS(DJ$1= 0,"", NOT(ISBLANK(CS34)), 0, ISBLANK(CS34), $Q34-$S34+BE34-CB34)</f>
        <v/>
      </c>
      <c r="DK34" s="157" t="str" cm="1">
        <f t="array" ref="DK34">_xlfn.IFS(DK$1= 0,"", NOT(ISBLANK(CT34)), 0, ISBLANK(CT34), $Q34-$S34+BF34-CC34)</f>
        <v/>
      </c>
      <c r="DL34" s="158" t="str" cm="1">
        <f t="array" ref="DL34">_xlfn.IFS(DL$1= 0,"", NOT(ISBLANK(CU34)), 0, ISBLANK(CU34), $Q34-$S34+BG34-CD34)</f>
        <v/>
      </c>
      <c r="DM34" s="158" t="str" cm="1">
        <f t="array" ref="DM34">_xlfn.IFS(DM$1= 0,"", NOT(ISBLANK(CV34)), 0, ISBLANK(CV34), $Q34-$S34+BH34-CE34)</f>
        <v/>
      </c>
      <c r="DN34" s="158" t="str" cm="1">
        <f t="array" ref="DN34">_xlfn.IFS(DN$1= 0,"", NOT(ISBLANK(CW34)), 0, ISBLANK(CW34), $Q34-$S34+BI34-CF34)</f>
        <v/>
      </c>
      <c r="DO34" s="158" t="str" cm="1">
        <f t="array" ref="DO34">_xlfn.IFS(DO$1= 0,"", NOT(ISBLANK(CX34)), 0, ISBLANK(CX34), $Q34-$S34+BJ34-CG34)</f>
        <v/>
      </c>
      <c r="DP34" s="143" t="str" cm="1">
        <f t="array" ref="DP34">_xlfn.IFS(DP$1= 0,"", NOT(ISBLANK(CY34)), 0, ISBLANK(CY34), $Q34-$S34+BK34-CH34)</f>
        <v/>
      </c>
      <c r="DQ34" s="143" t="str" cm="1">
        <f t="array" ref="DQ34">_xlfn.IFS(DQ$1= 0,"", NOT(ISBLANK(CZ34)), 0, ISBLANK(CZ34), $Q34-$S34+BL34-CI34)</f>
        <v/>
      </c>
      <c r="DR34" s="144" t="str" cm="1">
        <f t="array" ref="DR34">_xlfn.IFS(DR$1= 0,"", NOT(ISBLANK(DA34)), 0, ISBLANK(DA34), $Q34-$S34+BM34-CJ34)</f>
        <v/>
      </c>
    </row>
    <row r="35" spans="1:122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2" t="s">
        <v>142</v>
      </c>
      <c r="F35" s="210"/>
      <c r="G35" s="211"/>
      <c r="H35" s="211"/>
      <c r="I35" s="211"/>
      <c r="J35" s="211"/>
      <c r="K35" s="211"/>
      <c r="L35" s="211"/>
      <c r="M35" s="215"/>
      <c r="N35" s="210">
        <v>65.873120921161103</v>
      </c>
      <c r="O35" s="212">
        <v>0</v>
      </c>
      <c r="P35" s="205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76.806286852053972</v>
      </c>
      <c r="AI35" s="150">
        <f t="array" ref="AI35">IF(AI$1=0,"",SQRT((_xlfn.XLOOKUP(AI$1,$Z$2:$Z$18,$AA$2:$AA$18)-$T35)^2+(_xlfn.XLOOKUP(AI$1,$Z$2:$Z$18,$AB$2:$AB$18)-$U35)^2+(_xlfn.XLOOKUP(AI$1,$Z$2:$Z$18,$AC$2:$AC$18-$V35)^2)))</f>
        <v>82.459120781148272</v>
      </c>
      <c r="AJ35" s="150">
        <f t="array" ref="AJ35">IF(AJ$1=0,"",SQRT((_xlfn.XLOOKUP(AJ$1,$Z$2:$Z$18,$AA$2:$AA$18)-$T35)^2+(_xlfn.XLOOKUP(AJ$1,$Z$2:$Z$18,$AB$2:$AB$18)-$U35)^2+(_xlfn.XLOOKUP(AJ$1,$Z$2:$Z$18,$AC$2:$AC$18-$V35)^2)))</f>
        <v>159.74798652878226</v>
      </c>
      <c r="AK35" s="150">
        <f t="array" ref="AK35">IF(AK$1=0,"",SQRT((_xlfn.XLOOKUP(AK$1,$Z$2:$Z$18,$AA$2:$AA$18)-$T35)^2+(_xlfn.XLOOKUP(AK$1,$Z$2:$Z$18,$AB$2:$AB$18)-$U35)^2+(_xlfn.XLOOKUP(AK$1,$Z$2:$Z$18,$AC$2:$AC$18-$V35)^2)))</f>
        <v>226.11889836986205</v>
      </c>
      <c r="AL35" s="150">
        <f t="array" ref="AL35">IF(AL$1=0,"",SQRT((_xlfn.XLOOKUP(AL$1,$Z$2:$Z$18,$AA$2:$AA$18)-$T35)^2+(_xlfn.XLOOKUP(AL$1,$Z$2:$Z$18,$AB$2:$AB$18)-$U35)^2+(_xlfn.XLOOKUP(AL$1,$Z$2:$Z$18,$AC$2:$AC$18-$V35)^2)))</f>
        <v>123.72581177749453</v>
      </c>
      <c r="AM35" s="150" t="str">
        <f t="array" ref="AM35">IF(AM$1=0,"",SQRT((_xlfn.XLOOKUP(AM$1,$Z$2:$Z$18,$AA$2:$AA$18)-$T35)^2+(_xlfn.XLOOKUP(AM$1,$Z$2:$Z$18,$AB$2:$AB$18)-$U35)^2+(_xlfn.XLOOKUP(AM$1,$Z$2:$Z$18,$AC$2:$AC$18-$V35)^2)))</f>
        <v/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36"/>
        <v>-35.370033335846131</v>
      </c>
      <c r="AZ35" s="153">
        <f t="shared" si="37"/>
        <v>-35.986871933595161</v>
      </c>
      <c r="BA35" s="153">
        <f t="shared" si="38"/>
        <v>-41.730805796865099</v>
      </c>
      <c r="BB35" s="153">
        <f t="shared" si="39"/>
        <v>-44.748835155954644</v>
      </c>
      <c r="BC35" s="153">
        <f t="shared" si="40"/>
        <v>-39.511304175778726</v>
      </c>
      <c r="BD35" s="153">
        <f t="shared" si="41"/>
        <v>0</v>
      </c>
      <c r="BE35" s="153">
        <f t="shared" si="42"/>
        <v>0</v>
      </c>
      <c r="BF35" s="153">
        <f t="shared" si="43"/>
        <v>0</v>
      </c>
      <c r="BG35" s="154">
        <f t="shared" si="44"/>
        <v>0</v>
      </c>
      <c r="BH35" s="154">
        <f t="shared" si="45"/>
        <v>0</v>
      </c>
      <c r="BI35" s="154">
        <f t="shared" si="46"/>
        <v>0</v>
      </c>
      <c r="BJ35" s="154">
        <f t="shared" si="47"/>
        <v>0</v>
      </c>
      <c r="BK35" s="154">
        <f t="shared" si="48"/>
        <v>0</v>
      </c>
      <c r="BL35" s="154">
        <f t="shared" si="49"/>
        <v>0</v>
      </c>
      <c r="BM35" s="155">
        <f t="shared" si="50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>
        <v>5</v>
      </c>
      <c r="BW35" s="140">
        <v>15</v>
      </c>
      <c r="BX35" s="140">
        <v>12</v>
      </c>
      <c r="BY35" s="140">
        <v>11</v>
      </c>
      <c r="BZ35" s="140">
        <v>3</v>
      </c>
      <c r="CA35" s="140"/>
      <c r="CB35" s="140"/>
      <c r="CC35" s="140"/>
      <c r="CD35" s="140"/>
      <c r="CE35" s="140"/>
      <c r="CF35" s="140"/>
      <c r="CG35" s="140"/>
      <c r="CH35" s="140"/>
      <c r="CI35" s="140"/>
      <c r="CJ35" s="140"/>
      <c r="CL35" s="134"/>
      <c r="CM35" s="140" t="s">
        <v>32</v>
      </c>
      <c r="CN35" s="140" t="s">
        <v>32</v>
      </c>
      <c r="CO35" s="140" t="s">
        <v>32</v>
      </c>
      <c r="CP35" s="140" t="s">
        <v>32</v>
      </c>
      <c r="CQ35" s="140" t="s">
        <v>32</v>
      </c>
      <c r="CR35" s="140"/>
      <c r="CS35" s="140"/>
      <c r="CT35" s="140"/>
      <c r="CU35" s="140"/>
      <c r="CV35" s="140"/>
      <c r="CW35" s="140"/>
      <c r="CX35" s="140"/>
      <c r="CY35" s="140"/>
      <c r="CZ35" s="140"/>
      <c r="DA35" s="140"/>
      <c r="DB35" s="134"/>
      <c r="DC35" s="134"/>
      <c r="DD35" s="156" cm="1">
        <f t="array" ref="DD35">_xlfn.IFS(DD$1= 0,"", NOT(ISBLANK(CM35)), 0, ISBLANK(CM35), $Q35-$S35+AY35-BV35)</f>
        <v>0</v>
      </c>
      <c r="DE35" s="157" cm="1">
        <f t="array" ref="DE35">_xlfn.IFS(DE$1= 0,"", NOT(ISBLANK(CN35)), 0, ISBLANK(CN35), $Q35-$S35+AZ35-BW35)</f>
        <v>0</v>
      </c>
      <c r="DF35" s="157" cm="1">
        <f t="array" ref="DF35">_xlfn.IFS(DF$1= 0,"", NOT(ISBLANK(CO35)), 0, ISBLANK(CO35), $Q35-$S35+BA35-BX35)</f>
        <v>0</v>
      </c>
      <c r="DG35" s="157" cm="1">
        <f t="array" ref="DG35">_xlfn.IFS(DG$1= 0,"", NOT(ISBLANK(CP35)), 0, ISBLANK(CP35), $Q35-$S35+BB35-BY35)</f>
        <v>0</v>
      </c>
      <c r="DH35" s="157" cm="1">
        <f t="array" ref="DH35">_xlfn.IFS(DH$1= 0,"", NOT(ISBLANK(CQ35)), 0, ISBLANK(CQ35), $Q35-$S35+BC35-BZ35)</f>
        <v>0</v>
      </c>
      <c r="DI35" s="157" t="str" cm="1">
        <f t="array" ref="DI35">_xlfn.IFS(DI$1= 0,"", NOT(ISBLANK(CR35)), 0, ISBLANK(CR35), $Q35-$S35+BD35-CA35)</f>
        <v/>
      </c>
      <c r="DJ35" s="157" t="str" cm="1">
        <f t="array" ref="DJ35">_xlfn.IFS(DJ$1= 0,"", NOT(ISBLANK(CS35)), 0, ISBLANK(CS35), $Q35-$S35+BE35-CB35)</f>
        <v/>
      </c>
      <c r="DK35" s="157" t="str" cm="1">
        <f t="array" ref="DK35">_xlfn.IFS(DK$1= 0,"", NOT(ISBLANK(CT35)), 0, ISBLANK(CT35), $Q35-$S35+BF35-CC35)</f>
        <v/>
      </c>
      <c r="DL35" s="158" t="str" cm="1">
        <f t="array" ref="DL35">_xlfn.IFS(DL$1= 0,"", NOT(ISBLANK(CU35)), 0, ISBLANK(CU35), $Q35-$S35+BG35-CD35)</f>
        <v/>
      </c>
      <c r="DM35" s="158" t="str" cm="1">
        <f t="array" ref="DM35">_xlfn.IFS(DM$1= 0,"", NOT(ISBLANK(CV35)), 0, ISBLANK(CV35), $Q35-$S35+BH35-CE35)</f>
        <v/>
      </c>
      <c r="DN35" s="158" t="str" cm="1">
        <f t="array" ref="DN35">_xlfn.IFS(DN$1= 0,"", NOT(ISBLANK(CW35)), 0, ISBLANK(CW35), $Q35-$S35+BI35-CF35)</f>
        <v/>
      </c>
      <c r="DO35" s="158" t="str" cm="1">
        <f t="array" ref="DO35">_xlfn.IFS(DO$1= 0,"", NOT(ISBLANK(CX35)), 0, ISBLANK(CX35), $Q35-$S35+BJ35-CG35)</f>
        <v/>
      </c>
      <c r="DP35" s="143" t="str" cm="1">
        <f t="array" ref="DP35">_xlfn.IFS(DP$1= 0,"", NOT(ISBLANK(CY35)), 0, ISBLANK(CY35), $Q35-$S35+BK35-CH35)</f>
        <v/>
      </c>
      <c r="DQ35" s="143" t="str" cm="1">
        <f t="array" ref="DQ35">_xlfn.IFS(DQ$1= 0,"", NOT(ISBLANK(CZ35)), 0, ISBLANK(CZ35), $Q35-$S35+BL35-CI35)</f>
        <v/>
      </c>
      <c r="DR35" s="144" t="str" cm="1">
        <f t="array" ref="DR35">_xlfn.IFS(DR$1= 0,"", NOT(ISBLANK(DA35)), 0, ISBLANK(DA35), $Q35-$S35+BM35-CJ35)</f>
        <v/>
      </c>
    </row>
    <row r="36" spans="1:122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2" t="s">
        <v>142</v>
      </c>
      <c r="F36" s="210"/>
      <c r="G36" s="211"/>
      <c r="H36" s="211"/>
      <c r="I36" s="211"/>
      <c r="J36" s="211"/>
      <c r="K36" s="211"/>
      <c r="L36" s="211"/>
      <c r="M36" s="215"/>
      <c r="N36" s="210">
        <v>65.873120921161103</v>
      </c>
      <c r="O36" s="212">
        <v>0</v>
      </c>
      <c r="P36" s="205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53.341992838663238</v>
      </c>
      <c r="AI36" s="150">
        <f t="array" ref="AI36">IF(AI$1=0,"",SQRT((_xlfn.XLOOKUP(AI$1,$Z$2:$Z$18,$AA$2:$AA$18)-$T36)^2+(_xlfn.XLOOKUP(AI$1,$Z$2:$Z$18,$AB$2:$AB$18)-$U36)^2+(_xlfn.XLOOKUP(AI$1,$Z$2:$Z$18,$AC$2:$AC$18-$V36)^2)))</f>
        <v>84.323330697974683</v>
      </c>
      <c r="AJ36" s="150">
        <f t="array" ref="AJ36">IF(AJ$1=0,"",SQRT((_xlfn.XLOOKUP(AJ$1,$Z$2:$Z$18,$AA$2:$AA$18)-$T36)^2+(_xlfn.XLOOKUP(AJ$1,$Z$2:$Z$18,$AB$2:$AB$18)-$U36)^2+(_xlfn.XLOOKUP(AJ$1,$Z$2:$Z$18,$AC$2:$AC$18-$V36)^2)))</f>
        <v>177.07846198789957</v>
      </c>
      <c r="AK36" s="150">
        <f t="array" ref="AK36">IF(AK$1=0,"",SQRT((_xlfn.XLOOKUP(AK$1,$Z$2:$Z$18,$AA$2:$AA$18)-$T36)^2+(_xlfn.XLOOKUP(AK$1,$Z$2:$Z$18,$AB$2:$AB$18)-$U36)^2+(_xlfn.XLOOKUP(AK$1,$Z$2:$Z$18,$AC$2:$AC$18-$V36)^2)))</f>
        <v>250.66280876907129</v>
      </c>
      <c r="AL36" s="150">
        <f t="array" ref="AL36">IF(AL$1=0,"",SQRT((_xlfn.XLOOKUP(AL$1,$Z$2:$Z$18,$AA$2:$AA$18)-$T36)^2+(_xlfn.XLOOKUP(AL$1,$Z$2:$Z$18,$AB$2:$AB$18)-$U36)^2+(_xlfn.XLOOKUP(AL$1,$Z$2:$Z$18,$AC$2:$AC$18-$V36)^2)))</f>
        <v>112.29356170324282</v>
      </c>
      <c r="AM36" s="150" t="str">
        <f t="array" ref="AM36">IF(AM$1=0,"",SQRT((_xlfn.XLOOKUP(AM$1,$Z$2:$Z$18,$AA$2:$AA$18)-$T36)^2+(_xlfn.XLOOKUP(AM$1,$Z$2:$Z$18,$AB$2:$AB$18)-$U36)^2+(_xlfn.XLOOKUP(AM$1,$Z$2:$Z$18,$AC$2:$AC$18-$V36)^2)))</f>
        <v/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36"/>
        <v>-32.203482671946404</v>
      </c>
      <c r="AZ36" s="153">
        <f t="shared" si="37"/>
        <v>-36.181052986138432</v>
      </c>
      <c r="BA36" s="153">
        <f t="shared" si="38"/>
        <v>-42.625412762243108</v>
      </c>
      <c r="BB36" s="153">
        <f t="shared" si="39"/>
        <v>-45.643895972733915</v>
      </c>
      <c r="BC36" s="153">
        <f t="shared" si="40"/>
        <v>-38.669195075178486</v>
      </c>
      <c r="BD36" s="153">
        <f t="shared" si="41"/>
        <v>0</v>
      </c>
      <c r="BE36" s="153">
        <f t="shared" si="42"/>
        <v>0</v>
      </c>
      <c r="BF36" s="153">
        <f t="shared" si="43"/>
        <v>0</v>
      </c>
      <c r="BG36" s="154">
        <f t="shared" si="44"/>
        <v>0</v>
      </c>
      <c r="BH36" s="154">
        <f t="shared" si="45"/>
        <v>0</v>
      </c>
      <c r="BI36" s="154">
        <f t="shared" si="46"/>
        <v>0</v>
      </c>
      <c r="BJ36" s="154">
        <f t="shared" si="47"/>
        <v>0</v>
      </c>
      <c r="BK36" s="154">
        <f t="shared" si="48"/>
        <v>0</v>
      </c>
      <c r="BL36" s="154">
        <f t="shared" si="49"/>
        <v>0</v>
      </c>
      <c r="BM36" s="155">
        <f t="shared" si="50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>
        <v>2</v>
      </c>
      <c r="BW36" s="140">
        <v>15</v>
      </c>
      <c r="BX36" s="140">
        <v>11</v>
      </c>
      <c r="BY36" s="140">
        <v>12</v>
      </c>
      <c r="BZ36" s="140">
        <v>2</v>
      </c>
      <c r="CA36" s="140"/>
      <c r="CB36" s="140"/>
      <c r="CC36" s="140"/>
      <c r="CD36" s="140"/>
      <c r="CE36" s="140"/>
      <c r="CF36" s="140"/>
      <c r="CG36" s="140"/>
      <c r="CH36" s="140"/>
      <c r="CI36" s="140"/>
      <c r="CJ36" s="140"/>
      <c r="CL36" s="134"/>
      <c r="CM36" s="140" t="s">
        <v>32</v>
      </c>
      <c r="CN36" s="140" t="s">
        <v>32</v>
      </c>
      <c r="CO36" s="140" t="s">
        <v>32</v>
      </c>
      <c r="CP36" s="140" t="s">
        <v>32</v>
      </c>
      <c r="CQ36" s="140" t="s">
        <v>32</v>
      </c>
      <c r="CR36" s="140"/>
      <c r="CS36" s="140"/>
      <c r="CT36" s="140"/>
      <c r="CU36" s="140"/>
      <c r="CV36" s="140"/>
      <c r="CW36" s="140"/>
      <c r="CX36" s="140"/>
      <c r="CY36" s="140"/>
      <c r="CZ36" s="140"/>
      <c r="DA36" s="140"/>
      <c r="DB36" s="134"/>
      <c r="DC36" s="134"/>
      <c r="DD36" s="156" cm="1">
        <f t="array" ref="DD36">_xlfn.IFS(DD$1= 0,"", NOT(ISBLANK(CM36)), 0, ISBLANK(CM36), $Q36-$S36+AY36-BV36)</f>
        <v>0</v>
      </c>
      <c r="DE36" s="157" cm="1">
        <f t="array" ref="DE36">_xlfn.IFS(DE$1= 0,"", NOT(ISBLANK(CN36)), 0, ISBLANK(CN36), $Q36-$S36+AZ36-BW36)</f>
        <v>0</v>
      </c>
      <c r="DF36" s="157" cm="1">
        <f t="array" ref="DF36">_xlfn.IFS(DF$1= 0,"", NOT(ISBLANK(CO36)), 0, ISBLANK(CO36), $Q36-$S36+BA36-BX36)</f>
        <v>0</v>
      </c>
      <c r="DG36" s="157" cm="1">
        <f t="array" ref="DG36">_xlfn.IFS(DG$1= 0,"", NOT(ISBLANK(CP36)), 0, ISBLANK(CP36), $Q36-$S36+BB36-BY36)</f>
        <v>0</v>
      </c>
      <c r="DH36" s="157" cm="1">
        <f t="array" ref="DH36">_xlfn.IFS(DH$1= 0,"", NOT(ISBLANK(CQ36)), 0, ISBLANK(CQ36), $Q36-$S36+BC36-BZ36)</f>
        <v>0</v>
      </c>
      <c r="DI36" s="157" t="str" cm="1">
        <f t="array" ref="DI36">_xlfn.IFS(DI$1= 0,"", NOT(ISBLANK(CR36)), 0, ISBLANK(CR36), $Q36-$S36+BD36-CA36)</f>
        <v/>
      </c>
      <c r="DJ36" s="157" t="str" cm="1">
        <f t="array" ref="DJ36">_xlfn.IFS(DJ$1= 0,"", NOT(ISBLANK(CS36)), 0, ISBLANK(CS36), $Q36-$S36+BE36-CB36)</f>
        <v/>
      </c>
      <c r="DK36" s="157" t="str" cm="1">
        <f t="array" ref="DK36">_xlfn.IFS(DK$1= 0,"", NOT(ISBLANK(CT36)), 0, ISBLANK(CT36), $Q36-$S36+BF36-CC36)</f>
        <v/>
      </c>
      <c r="DL36" s="158" t="str" cm="1">
        <f t="array" ref="DL36">_xlfn.IFS(DL$1= 0,"", NOT(ISBLANK(CU36)), 0, ISBLANK(CU36), $Q36-$S36+BG36-CD36)</f>
        <v/>
      </c>
      <c r="DM36" s="158" t="str" cm="1">
        <f t="array" ref="DM36">_xlfn.IFS(DM$1= 0,"", NOT(ISBLANK(CV36)), 0, ISBLANK(CV36), $Q36-$S36+BH36-CE36)</f>
        <v/>
      </c>
      <c r="DN36" s="158" t="str" cm="1">
        <f t="array" ref="DN36">_xlfn.IFS(DN$1= 0,"", NOT(ISBLANK(CW36)), 0, ISBLANK(CW36), $Q36-$S36+BI36-CF36)</f>
        <v/>
      </c>
      <c r="DO36" s="158" t="str" cm="1">
        <f t="array" ref="DO36">_xlfn.IFS(DO$1= 0,"", NOT(ISBLANK(CX36)), 0, ISBLANK(CX36), $Q36-$S36+BJ36-CG36)</f>
        <v/>
      </c>
      <c r="DP36" s="143" t="str" cm="1">
        <f t="array" ref="DP36">_xlfn.IFS(DP$1= 0,"", NOT(ISBLANK(CY36)), 0, ISBLANK(CY36), $Q36-$S36+BK36-CH36)</f>
        <v/>
      </c>
      <c r="DQ36" s="143" t="str" cm="1">
        <f t="array" ref="DQ36">_xlfn.IFS(DQ$1= 0,"", NOT(ISBLANK(CZ36)), 0, ISBLANK(CZ36), $Q36-$S36+BL36-CI36)</f>
        <v/>
      </c>
      <c r="DR36" s="144" t="str" cm="1">
        <f t="array" ref="DR36">_xlfn.IFS(DR$1= 0,"", NOT(ISBLANK(DA36)), 0, ISBLANK(DA36), $Q36-$S36+BM36-CJ36)</f>
        <v/>
      </c>
    </row>
    <row r="37" spans="1:122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2" t="s">
        <v>141</v>
      </c>
      <c r="F37" s="210"/>
      <c r="G37" s="211"/>
      <c r="H37" s="211"/>
      <c r="I37" s="211"/>
      <c r="J37" s="211"/>
      <c r="K37" s="211"/>
      <c r="L37" s="211"/>
      <c r="M37" s="215"/>
      <c r="N37" s="210">
        <v>57.392737795737183</v>
      </c>
      <c r="O37" s="212">
        <v>0</v>
      </c>
      <c r="P37" s="205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40.152210399926922</v>
      </c>
      <c r="AI37" s="150">
        <f t="array" ref="AI37">IF(AI$1=0,"",SQRT((_xlfn.XLOOKUP(AI$1,$Z$2:$Z$18,$AA$2:$AA$18)-$T37)^2+(_xlfn.XLOOKUP(AI$1,$Z$2:$Z$18,$AB$2:$AB$18)-$U37)^2+(_xlfn.XLOOKUP(AI$1,$Z$2:$Z$18,$AC$2:$AC$18-$V37)^2)))</f>
        <v>96.947807092270025</v>
      </c>
      <c r="AJ37" s="150">
        <f t="array" ref="AJ37">IF(AJ$1=0,"",SQRT((_xlfn.XLOOKUP(AJ$1,$Z$2:$Z$18,$AA$2:$AA$18)-$T37)^2+(_xlfn.XLOOKUP(AJ$1,$Z$2:$Z$18,$AB$2:$AB$18)-$U37)^2+(_xlfn.XLOOKUP(AJ$1,$Z$2:$Z$18,$AC$2:$AC$18-$V37)^2)))</f>
        <v>197.9370266018968</v>
      </c>
      <c r="AK37" s="150">
        <f t="array" ref="AK37">IF(AK$1=0,"",SQRT((_xlfn.XLOOKUP(AK$1,$Z$2:$Z$18,$AA$2:$AA$18)-$T37)^2+(_xlfn.XLOOKUP(AK$1,$Z$2:$Z$18,$AB$2:$AB$18)-$U37)^2+(_xlfn.XLOOKUP(AK$1,$Z$2:$Z$18,$AC$2:$AC$18-$V37)^2)))</f>
        <v>274.79173295425034</v>
      </c>
      <c r="AL37" s="150">
        <f t="array" ref="AL37">IF(AL$1=0,"",SQRT((_xlfn.XLOOKUP(AL$1,$Z$2:$Z$18,$AA$2:$AA$18)-$T37)^2+(_xlfn.XLOOKUP(AL$1,$Z$2:$Z$18,$AB$2:$AB$18)-$U37)^2+(_xlfn.XLOOKUP(AL$1,$Z$2:$Z$18,$AC$2:$AC$18-$V37)^2)))</f>
        <v>101.7716276768727</v>
      </c>
      <c r="AM37" s="150" t="str">
        <f t="array" ref="AM37">IF(AM$1=0,"",SQRT((_xlfn.XLOOKUP(AM$1,$Z$2:$Z$18,$AA$2:$AA$18)-$T37)^2+(_xlfn.XLOOKUP(AM$1,$Z$2:$Z$18,$AB$2:$AB$18)-$U37)^2+(_xlfn.XLOOKUP(AM$1,$Z$2:$Z$18,$AC$2:$AC$18-$V37)^2)))</f>
        <v/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36"/>
        <v>-29.736287105100526</v>
      </c>
      <c r="AZ37" s="153">
        <f t="shared" si="37"/>
        <v>-37.392857737254246</v>
      </c>
      <c r="BA37" s="153">
        <f t="shared" si="38"/>
        <v>-43.592638777580682</v>
      </c>
      <c r="BB37" s="153">
        <f t="shared" si="39"/>
        <v>-46.442171195631914</v>
      </c>
      <c r="BC37" s="153">
        <f t="shared" si="40"/>
        <v>-37.814632345513999</v>
      </c>
      <c r="BD37" s="153">
        <f t="shared" si="41"/>
        <v>0</v>
      </c>
      <c r="BE37" s="153">
        <f t="shared" si="42"/>
        <v>0</v>
      </c>
      <c r="BF37" s="153">
        <f t="shared" si="43"/>
        <v>0</v>
      </c>
      <c r="BG37" s="154">
        <f t="shared" si="44"/>
        <v>0</v>
      </c>
      <c r="BH37" s="154">
        <f t="shared" si="45"/>
        <v>0</v>
      </c>
      <c r="BI37" s="154">
        <f t="shared" si="46"/>
        <v>0</v>
      </c>
      <c r="BJ37" s="154">
        <f t="shared" si="47"/>
        <v>0</v>
      </c>
      <c r="BK37" s="154">
        <f t="shared" si="48"/>
        <v>0</v>
      </c>
      <c r="BL37" s="154">
        <f t="shared" si="49"/>
        <v>0</v>
      </c>
      <c r="BM37" s="155">
        <f t="shared" si="50"/>
        <v>0</v>
      </c>
      <c r="BN37" s="134"/>
      <c r="BO37" s="219" t="s">
        <v>68</v>
      </c>
      <c r="BP37" s="220"/>
      <c r="BQ37" s="21"/>
      <c r="BR37" s="134"/>
      <c r="BS37" s="134"/>
      <c r="BT37" s="134"/>
      <c r="BU37" s="134"/>
      <c r="BV37" s="140">
        <v>0</v>
      </c>
      <c r="BW37" s="140">
        <v>13</v>
      </c>
      <c r="BX37" s="140">
        <v>11</v>
      </c>
      <c r="BY37" s="140">
        <v>12</v>
      </c>
      <c r="BZ37" s="140">
        <v>0</v>
      </c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L37" s="134"/>
      <c r="CM37" s="140" t="s">
        <v>32</v>
      </c>
      <c r="CN37" s="140" t="s">
        <v>32</v>
      </c>
      <c r="CO37" s="140" t="s">
        <v>32</v>
      </c>
      <c r="CP37" s="140" t="s">
        <v>32</v>
      </c>
      <c r="CQ37" s="140" t="s">
        <v>32</v>
      </c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34"/>
      <c r="DC37" s="134"/>
      <c r="DD37" s="156" cm="1">
        <f t="array" ref="DD37">_xlfn.IFS(DD$1= 0,"", NOT(ISBLANK(CM37)), 0, ISBLANK(CM37), $Q37-$S37+AY37-BV37)</f>
        <v>0</v>
      </c>
      <c r="DE37" s="157" cm="1">
        <f t="array" ref="DE37">_xlfn.IFS(DE$1= 0,"", NOT(ISBLANK(CN37)), 0, ISBLANK(CN37), $Q37-$S37+AZ37-BW37)</f>
        <v>0</v>
      </c>
      <c r="DF37" s="157" cm="1">
        <f t="array" ref="DF37">_xlfn.IFS(DF$1= 0,"", NOT(ISBLANK(CO37)), 0, ISBLANK(CO37), $Q37-$S37+BA37-BX37)</f>
        <v>0</v>
      </c>
      <c r="DG37" s="157" cm="1">
        <f t="array" ref="DG37">_xlfn.IFS(DG$1= 0,"", NOT(ISBLANK(CP37)), 0, ISBLANK(CP37), $Q37-$S37+BB37-BY37)</f>
        <v>0</v>
      </c>
      <c r="DH37" s="157" cm="1">
        <f t="array" ref="DH37">_xlfn.IFS(DH$1= 0,"", NOT(ISBLANK(CQ37)), 0, ISBLANK(CQ37), $Q37-$S37+BC37-BZ37)</f>
        <v>0</v>
      </c>
      <c r="DI37" s="157" t="str" cm="1">
        <f t="array" ref="DI37">_xlfn.IFS(DI$1= 0,"", NOT(ISBLANK(CR37)), 0, ISBLANK(CR37), $Q37-$S37+BD37-CA37)</f>
        <v/>
      </c>
      <c r="DJ37" s="157" t="str" cm="1">
        <f t="array" ref="DJ37">_xlfn.IFS(DJ$1= 0,"", NOT(ISBLANK(CS37)), 0, ISBLANK(CS37), $Q37-$S37+BE37-CB37)</f>
        <v/>
      </c>
      <c r="DK37" s="157" t="str" cm="1">
        <f t="array" ref="DK37">_xlfn.IFS(DK$1= 0,"", NOT(ISBLANK(CT37)), 0, ISBLANK(CT37), $Q37-$S37+BF37-CC37)</f>
        <v/>
      </c>
      <c r="DL37" s="158" t="str" cm="1">
        <f t="array" ref="DL37">_xlfn.IFS(DL$1= 0,"", NOT(ISBLANK(CU37)), 0, ISBLANK(CU37), $Q37-$S37+BG37-CD37)</f>
        <v/>
      </c>
      <c r="DM37" s="158" t="str" cm="1">
        <f t="array" ref="DM37">_xlfn.IFS(DM$1= 0,"", NOT(ISBLANK(CV37)), 0, ISBLANK(CV37), $Q37-$S37+BH37-CE37)</f>
        <v/>
      </c>
      <c r="DN37" s="158" t="str" cm="1">
        <f t="array" ref="DN37">_xlfn.IFS(DN$1= 0,"", NOT(ISBLANK(CW37)), 0, ISBLANK(CW37), $Q37-$S37+BI37-CF37)</f>
        <v/>
      </c>
      <c r="DO37" s="158" t="str" cm="1">
        <f t="array" ref="DO37">_xlfn.IFS(DO$1= 0,"", NOT(ISBLANK(CX37)), 0, ISBLANK(CX37), $Q37-$S37+BJ37-CG37)</f>
        <v/>
      </c>
      <c r="DP37" s="143" t="str" cm="1">
        <f t="array" ref="DP37">_xlfn.IFS(DP$1= 0,"", NOT(ISBLANK(CY37)), 0, ISBLANK(CY37), $Q37-$S37+BK37-CH37)</f>
        <v/>
      </c>
      <c r="DQ37" s="143" t="str" cm="1">
        <f t="array" ref="DQ37">_xlfn.IFS(DQ$1= 0,"", NOT(ISBLANK(CZ37)), 0, ISBLANK(CZ37), $Q37-$S37+BL37-CI37)</f>
        <v/>
      </c>
      <c r="DR37" s="144" t="str" cm="1">
        <f t="array" ref="DR37">_xlfn.IFS(DR$1= 0,"", NOT(ISBLANK(DA37)), 0, ISBLANK(DA37), $Q37-$S37+BM37-CJ37)</f>
        <v/>
      </c>
    </row>
    <row r="38" spans="1:122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2" t="s">
        <v>141</v>
      </c>
      <c r="F38" s="210"/>
      <c r="G38" s="211"/>
      <c r="H38" s="211"/>
      <c r="I38" s="211"/>
      <c r="J38" s="211"/>
      <c r="K38" s="211"/>
      <c r="L38" s="211"/>
      <c r="M38" s="215"/>
      <c r="N38" s="210">
        <v>57.392737795737183</v>
      </c>
      <c r="O38" s="212">
        <v>0</v>
      </c>
      <c r="P38" s="205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128.25154073148593</v>
      </c>
      <c r="AI38" s="150">
        <f t="array" ref="AI38">IF(AI$1=0,"",SQRT((_xlfn.XLOOKUP(AI$1,$Z$2:$Z$18,$AA$2:$AA$18)-$T38)^2+(_xlfn.XLOOKUP(AI$1,$Z$2:$Z$18,$AB$2:$AB$18)-$U38)^2+(_xlfn.XLOOKUP(AI$1,$Z$2:$Z$18,$AC$2:$AC$18-$V38)^2)))</f>
        <v>103.54564693892253</v>
      </c>
      <c r="AJ38" s="150">
        <f t="array" ref="AJ38">IF(AJ$1=0,"",SQRT((_xlfn.XLOOKUP(AJ$1,$Z$2:$Z$18,$AA$2:$AA$18)-$T38)^2+(_xlfn.XLOOKUP(AJ$1,$Z$2:$Z$18,$AB$2:$AB$18)-$U38)^2+(_xlfn.XLOOKUP(AJ$1,$Z$2:$Z$18,$AC$2:$AC$18-$V38)^2)))</f>
        <v>135.91148884476249</v>
      </c>
      <c r="AK38" s="150">
        <f t="array" ref="AK38">IF(AK$1=0,"",SQRT((_xlfn.XLOOKUP(AK$1,$Z$2:$Z$18,$AA$2:$AA$18)-$T38)^2+(_xlfn.XLOOKUP(AK$1,$Z$2:$Z$18,$AB$2:$AB$18)-$U38)^2+(_xlfn.XLOOKUP(AK$1,$Z$2:$Z$18,$AC$2:$AC$18-$V38)^2)))</f>
        <v>179.15276665460684</v>
      </c>
      <c r="AL38" s="150">
        <f t="array" ref="AL38">IF(AL$1=0,"",SQRT((_xlfn.XLOOKUP(AL$1,$Z$2:$Z$18,$AA$2:$AA$18)-$T38)^2+(_xlfn.XLOOKUP(AL$1,$Z$2:$Z$18,$AB$2:$AB$18)-$U38)^2+(_xlfn.XLOOKUP(AL$1,$Z$2:$Z$18,$AC$2:$AC$18-$V38)^2)))</f>
        <v>157.1114448409154</v>
      </c>
      <c r="AM38" s="150" t="str">
        <f t="array" ref="AM38">IF(AM$1=0,"",SQRT((_xlfn.XLOOKUP(AM$1,$Z$2:$Z$18,$AA$2:$AA$18)-$T38)^2+(_xlfn.XLOOKUP(AM$1,$Z$2:$Z$18,$AB$2:$AB$18)-$U38)^2+(_xlfn.XLOOKUP(AM$1,$Z$2:$Z$18,$AC$2:$AC$18-$V38)^2)))</f>
        <v/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36"/>
        <v>-39.823349759925378</v>
      </c>
      <c r="AZ38" s="153">
        <f t="shared" si="37"/>
        <v>-37.964734854222307</v>
      </c>
      <c r="BA38" s="153">
        <f t="shared" si="38"/>
        <v>-40.327221336628696</v>
      </c>
      <c r="BB38" s="153">
        <f t="shared" si="39"/>
        <v>-42.726568324128365</v>
      </c>
      <c r="BC38" s="153">
        <f t="shared" si="40"/>
        <v>-41.586254387600114</v>
      </c>
      <c r="BD38" s="153">
        <f t="shared" si="41"/>
        <v>0</v>
      </c>
      <c r="BE38" s="153">
        <f t="shared" si="42"/>
        <v>0</v>
      </c>
      <c r="BF38" s="153">
        <f t="shared" si="43"/>
        <v>0</v>
      </c>
      <c r="BG38" s="154">
        <f t="shared" si="44"/>
        <v>0</v>
      </c>
      <c r="BH38" s="154">
        <f t="shared" si="45"/>
        <v>0</v>
      </c>
      <c r="BI38" s="154">
        <f t="shared" si="46"/>
        <v>0</v>
      </c>
      <c r="BJ38" s="154">
        <f t="shared" si="47"/>
        <v>0</v>
      </c>
      <c r="BK38" s="154">
        <f t="shared" si="48"/>
        <v>0</v>
      </c>
      <c r="BL38" s="154">
        <f t="shared" si="49"/>
        <v>0</v>
      </c>
      <c r="BM38" s="155">
        <f t="shared" si="50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>
        <v>7</v>
      </c>
      <c r="BW38" s="140">
        <v>14</v>
      </c>
      <c r="BX38" s="140">
        <v>15</v>
      </c>
      <c r="BY38" s="140">
        <v>9</v>
      </c>
      <c r="BZ38" s="140">
        <v>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L38" s="134"/>
      <c r="CM38" s="140" t="s">
        <v>32</v>
      </c>
      <c r="CN38" s="140" t="s">
        <v>32</v>
      </c>
      <c r="CO38" s="140" t="s">
        <v>32</v>
      </c>
      <c r="CP38" s="140" t="s">
        <v>32</v>
      </c>
      <c r="CQ38" s="140" t="s">
        <v>32</v>
      </c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34"/>
      <c r="DC38" s="134"/>
      <c r="DD38" s="156" cm="1">
        <f t="array" ref="DD38">_xlfn.IFS(DD$1= 0,"", NOT(ISBLANK(CM38)), 0, ISBLANK(CM38), $Q38-$S38+AY38-BV38)</f>
        <v>0</v>
      </c>
      <c r="DE38" s="157" cm="1">
        <f t="array" ref="DE38">_xlfn.IFS(DE$1= 0,"", NOT(ISBLANK(CN38)), 0, ISBLANK(CN38), $Q38-$S38+AZ38-BW38)</f>
        <v>0</v>
      </c>
      <c r="DF38" s="157" cm="1">
        <f t="array" ref="DF38">_xlfn.IFS(DF$1= 0,"", NOT(ISBLANK(CO38)), 0, ISBLANK(CO38), $Q38-$S38+BA38-BX38)</f>
        <v>0</v>
      </c>
      <c r="DG38" s="157" cm="1">
        <f t="array" ref="DG38">_xlfn.IFS(DG$1= 0,"", NOT(ISBLANK(CP38)), 0, ISBLANK(CP38), $Q38-$S38+BB38-BY38)</f>
        <v>0</v>
      </c>
      <c r="DH38" s="157" cm="1">
        <f t="array" ref="DH38">_xlfn.IFS(DH$1= 0,"", NOT(ISBLANK(CQ38)), 0, ISBLANK(CQ38), $Q38-$S38+BC38-BZ38)</f>
        <v>0</v>
      </c>
      <c r="DI38" s="157" t="str" cm="1">
        <f t="array" ref="DI38">_xlfn.IFS(DI$1= 0,"", NOT(ISBLANK(CR38)), 0, ISBLANK(CR38), $Q38-$S38+BD38-CA38)</f>
        <v/>
      </c>
      <c r="DJ38" s="157" t="str" cm="1">
        <f t="array" ref="DJ38">_xlfn.IFS(DJ$1= 0,"", NOT(ISBLANK(CS38)), 0, ISBLANK(CS38), $Q38-$S38+BE38-CB38)</f>
        <v/>
      </c>
      <c r="DK38" s="157" t="str" cm="1">
        <f t="array" ref="DK38">_xlfn.IFS(DK$1= 0,"", NOT(ISBLANK(CT38)), 0, ISBLANK(CT38), $Q38-$S38+BF38-CC38)</f>
        <v/>
      </c>
      <c r="DL38" s="158" t="str" cm="1">
        <f t="array" ref="DL38">_xlfn.IFS(DL$1= 0,"", NOT(ISBLANK(CU38)), 0, ISBLANK(CU38), $Q38-$S38+BG38-CD38)</f>
        <v/>
      </c>
      <c r="DM38" s="158" t="str" cm="1">
        <f t="array" ref="DM38">_xlfn.IFS(DM$1= 0,"", NOT(ISBLANK(CV38)), 0, ISBLANK(CV38), $Q38-$S38+BH38-CE38)</f>
        <v/>
      </c>
      <c r="DN38" s="158" t="str" cm="1">
        <f t="array" ref="DN38">_xlfn.IFS(DN$1= 0,"", NOT(ISBLANK(CW38)), 0, ISBLANK(CW38), $Q38-$S38+BI38-CF38)</f>
        <v/>
      </c>
      <c r="DO38" s="158" t="str" cm="1">
        <f t="array" ref="DO38">_xlfn.IFS(DO$1= 0,"", NOT(ISBLANK(CX38)), 0, ISBLANK(CX38), $Q38-$S38+BJ38-CG38)</f>
        <v/>
      </c>
      <c r="DP38" s="143" t="str" cm="1">
        <f t="array" ref="DP38">_xlfn.IFS(DP$1= 0,"", NOT(ISBLANK(CY38)), 0, ISBLANK(CY38), $Q38-$S38+BK38-CH38)</f>
        <v/>
      </c>
      <c r="DQ38" s="143" t="str" cm="1">
        <f t="array" ref="DQ38">_xlfn.IFS(DQ$1= 0,"", NOT(ISBLANK(CZ38)), 0, ISBLANK(CZ38), $Q38-$S38+BL38-CI38)</f>
        <v/>
      </c>
      <c r="DR38" s="144" t="str" cm="1">
        <f t="array" ref="DR38">_xlfn.IFS(DR$1= 0,"", NOT(ISBLANK(DA38)), 0, ISBLANK(DA38), $Q38-$S38+BM38-CJ38)</f>
        <v/>
      </c>
    </row>
    <row r="39" spans="1:122" ht="16.5" customHeight="1" x14ac:dyDescent="0.3">
      <c r="A39" s="145"/>
      <c r="B39" s="146"/>
      <c r="C39" s="146"/>
      <c r="D39" s="147"/>
      <c r="E39" s="202"/>
      <c r="F39" s="210"/>
      <c r="G39" s="211"/>
      <c r="H39" s="211"/>
      <c r="I39" s="211"/>
      <c r="J39" s="211"/>
      <c r="K39" s="211"/>
      <c r="L39" s="211"/>
      <c r="M39" s="215"/>
      <c r="N39" s="210"/>
      <c r="O39" s="212"/>
      <c r="P39" s="205"/>
      <c r="Q39" s="128">
        <f t="shared" si="34"/>
        <v>0</v>
      </c>
      <c r="R39" s="3"/>
      <c r="S39" s="3"/>
      <c r="T39" s="4"/>
      <c r="U39" s="4"/>
      <c r="V39" s="109">
        <f t="shared" si="35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112.53151914019467</v>
      </c>
      <c r="AI39" s="150">
        <f t="array" ref="AI39">IF(AI$1=0,"",SQRT((_xlfn.XLOOKUP(AI$1,$Z$2:$Z$18,$AA$2:$AA$18)-$T39)^2+(_xlfn.XLOOKUP(AI$1,$Z$2:$Z$18,$AB$2:$AB$18)-$U39)^2+(_xlfn.XLOOKUP(AI$1,$Z$2:$Z$18,$AC$2:$AC$18-$V39)^2)))</f>
        <v>123.81444705687622</v>
      </c>
      <c r="AJ39" s="150">
        <f t="array" ref="AJ39">IF(AJ$1=0,"",SQRT((_xlfn.XLOOKUP(AJ$1,$Z$2:$Z$18,$AA$2:$AA$18)-$T39)^2+(_xlfn.XLOOKUP(AJ$1,$Z$2:$Z$18,$AB$2:$AB$18)-$U39)^2+(_xlfn.XLOOKUP(AJ$1,$Z$2:$Z$18,$AC$2:$AC$18-$V39)^2)))</f>
        <v>226.27326421828982</v>
      </c>
      <c r="AK39" s="150">
        <f t="array" ref="AK39">IF(AK$1=0,"",SQRT((_xlfn.XLOOKUP(AK$1,$Z$2:$Z$18,$AA$2:$AA$18)-$T39)^2+(_xlfn.XLOOKUP(AK$1,$Z$2:$Z$18,$AB$2:$AB$18)-$U39)^2+(_xlfn.XLOOKUP(AK$1,$Z$2:$Z$18,$AC$2:$AC$18-$V39)^2)))</f>
        <v>330.89448786584524</v>
      </c>
      <c r="AL39" s="150">
        <f t="array" ref="AL39">IF(AL$1=0,"",SQRT((_xlfn.XLOOKUP(AL$1,$Z$2:$Z$18,$AA$2:$AA$18)-$T39)^2+(_xlfn.XLOOKUP(AL$1,$Z$2:$Z$18,$AB$2:$AB$18)-$U39)^2+(_xlfn.XLOOKUP(AL$1,$Z$2:$Z$18,$AC$2:$AC$18-$V39)^2)))</f>
        <v>218.97662386656708</v>
      </c>
      <c r="AM39" s="150" t="str">
        <f t="array" ref="AM39">IF(AM$1=0,"",SQRT((_xlfn.XLOOKUP(AM$1,$Z$2:$Z$18,$AA$2:$AA$18)-$T39)^2+(_xlfn.XLOOKUP(AM$1,$Z$2:$Z$18,$AB$2:$AB$18)-$U39)^2+(_xlfn.XLOOKUP(AM$1,$Z$2:$Z$18,$AC$2:$AC$18-$V39)^2)))</f>
        <v/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36"/>
        <v>0</v>
      </c>
      <c r="AZ39" s="153">
        <f t="shared" si="37"/>
        <v>0</v>
      </c>
      <c r="BA39" s="153">
        <f t="shared" si="38"/>
        <v>0</v>
      </c>
      <c r="BB39" s="153">
        <f t="shared" si="39"/>
        <v>0</v>
      </c>
      <c r="BC39" s="153">
        <f t="shared" si="40"/>
        <v>0</v>
      </c>
      <c r="BD39" s="153">
        <f t="shared" si="41"/>
        <v>0</v>
      </c>
      <c r="BE39" s="153">
        <f t="shared" si="42"/>
        <v>0</v>
      </c>
      <c r="BF39" s="153">
        <f t="shared" si="43"/>
        <v>0</v>
      </c>
      <c r="BG39" s="154">
        <f t="shared" si="44"/>
        <v>0</v>
      </c>
      <c r="BH39" s="154">
        <f t="shared" si="45"/>
        <v>0</v>
      </c>
      <c r="BI39" s="154">
        <f t="shared" si="46"/>
        <v>0</v>
      </c>
      <c r="BJ39" s="154">
        <f t="shared" si="47"/>
        <v>0</v>
      </c>
      <c r="BK39" s="154">
        <f t="shared" si="48"/>
        <v>0</v>
      </c>
      <c r="BL39" s="154">
        <f t="shared" si="49"/>
        <v>0</v>
      </c>
      <c r="BM39" s="155">
        <f t="shared" si="50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L39" s="134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34"/>
      <c r="DC39" s="134"/>
      <c r="DD39" s="169" cm="1">
        <f t="array" ref="DD39">_xlfn.IFS(DD$1= 0,"", NOT(ISBLANK(CM39)), 0, ISBLANK(CM39), $Q39-$S39+AY39-BV39)</f>
        <v>0</v>
      </c>
      <c r="DE39" s="170" cm="1">
        <f t="array" ref="DE39">_xlfn.IFS(DE$1= 0,"", NOT(ISBLANK(CN39)), 0, ISBLANK(CN39), $Q39-$S39+AZ39-BW39)</f>
        <v>0</v>
      </c>
      <c r="DF39" s="170" cm="1">
        <f t="array" ref="DF39">_xlfn.IFS(DF$1= 0,"", NOT(ISBLANK(CO39)), 0, ISBLANK(CO39), $Q39-$S39+BA39-BX39)</f>
        <v>0</v>
      </c>
      <c r="DG39" s="170" cm="1">
        <f t="array" ref="DG39">_xlfn.IFS(DG$1= 0,"", NOT(ISBLANK(CP39)), 0, ISBLANK(CP39), $Q39-$S39+BB39-BY39)</f>
        <v>0</v>
      </c>
      <c r="DH39" s="170" cm="1">
        <f t="array" ref="DH39">_xlfn.IFS(DH$1= 0,"", NOT(ISBLANK(CQ39)), 0, ISBLANK(CQ39), $Q39-$S39+BC39-BZ39)</f>
        <v>0</v>
      </c>
      <c r="DI39" s="170" t="str" cm="1">
        <f t="array" ref="DI39">_xlfn.IFS(DI$1= 0,"", NOT(ISBLANK(CR39)), 0, ISBLANK(CR39), $Q39-$S39+BD39-CA39)</f>
        <v/>
      </c>
      <c r="DJ39" s="170" t="str" cm="1">
        <f t="array" ref="DJ39">_xlfn.IFS(DJ$1= 0,"", NOT(ISBLANK(CS39)), 0, ISBLANK(CS39), $Q39-$S39+BE39-CB39)</f>
        <v/>
      </c>
      <c r="DK39" s="170" t="str" cm="1">
        <f t="array" ref="DK39">_xlfn.IFS(DK$1= 0,"", NOT(ISBLANK(CT39)), 0, ISBLANK(CT39), $Q39-$S39+BF39-CC39)</f>
        <v/>
      </c>
      <c r="DL39" s="172" t="str" cm="1">
        <f t="array" ref="DL39">_xlfn.IFS(DL$1= 0,"", NOT(ISBLANK(CU39)), 0, ISBLANK(CU39), $Q39-$S39+BG39-CD39)</f>
        <v/>
      </c>
      <c r="DM39" s="172" t="str" cm="1">
        <f t="array" ref="DM39">_xlfn.IFS(DM$1= 0,"", NOT(ISBLANK(CV39)), 0, ISBLANK(CV39), $Q39-$S39+BH39-CE39)</f>
        <v/>
      </c>
      <c r="DN39" s="172" t="str" cm="1">
        <f t="array" ref="DN39">_xlfn.IFS(DN$1= 0,"", NOT(ISBLANK(CW39)), 0, ISBLANK(CW39), $Q39-$S39+BI39-CF39)</f>
        <v/>
      </c>
      <c r="DO39" s="172" t="str" cm="1">
        <f t="array" ref="DO39">_xlfn.IFS(DO$1= 0,"", NOT(ISBLANK(CX39)), 0, ISBLANK(CX39), $Q39-$S39+BJ39-CG39)</f>
        <v/>
      </c>
      <c r="DP39" s="172" t="str" cm="1">
        <f t="array" ref="DP39">_xlfn.IFS(DP$1= 0,"", NOT(ISBLANK(CY39)), 0, ISBLANK(CY39), $Q39-$S39+BK39-CH39)</f>
        <v/>
      </c>
      <c r="DQ39" s="172" t="str" cm="1">
        <f t="array" ref="DQ39">_xlfn.IFS(DQ$1= 0,"", NOT(ISBLANK(CZ39)), 0, ISBLANK(CZ39), $Q39-$S39+BL39-CI39)</f>
        <v/>
      </c>
      <c r="DR39" s="173" t="str" cm="1">
        <f t="array" ref="DR39">_xlfn.IFS(DR$1= 0,"", NOT(ISBLANK(DA39)), 0, ISBLANK(DA39), $Q39-$S39+BM39-CJ39)</f>
        <v/>
      </c>
    </row>
    <row r="40" spans="1:122" ht="16.5" customHeight="1" x14ac:dyDescent="0.3">
      <c r="A40" s="145"/>
      <c r="B40" s="146"/>
      <c r="C40" s="146"/>
      <c r="D40" s="147"/>
      <c r="E40" s="202"/>
      <c r="F40" s="210"/>
      <c r="G40" s="211"/>
      <c r="H40" s="211"/>
      <c r="I40" s="211"/>
      <c r="J40" s="211"/>
      <c r="K40" s="211"/>
      <c r="L40" s="211"/>
      <c r="M40" s="215"/>
      <c r="N40" s="210"/>
      <c r="O40" s="212"/>
      <c r="P40" s="205"/>
      <c r="Q40" s="128">
        <f t="shared" si="34"/>
        <v>0</v>
      </c>
      <c r="R40" s="3"/>
      <c r="S40" s="3"/>
      <c r="T40" s="4"/>
      <c r="U40" s="4"/>
      <c r="V40" s="109">
        <f t="shared" si="35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112.53151914019467</v>
      </c>
      <c r="AI40" s="150">
        <f t="array" ref="AI40">IF(AI$1=0,"",SQRT((_xlfn.XLOOKUP(AI$1,$Z$2:$Z$18,$AA$2:$AA$18)-$T40)^2+(_xlfn.XLOOKUP(AI$1,$Z$2:$Z$18,$AB$2:$AB$18)-$U40)^2+(_xlfn.XLOOKUP(AI$1,$Z$2:$Z$18,$AC$2:$AC$18-$V40)^2)))</f>
        <v>123.81444705687622</v>
      </c>
      <c r="AJ40" s="150">
        <f t="array" ref="AJ40">IF(AJ$1=0,"",SQRT((_xlfn.XLOOKUP(AJ$1,$Z$2:$Z$18,$AA$2:$AA$18)-$T40)^2+(_xlfn.XLOOKUP(AJ$1,$Z$2:$Z$18,$AB$2:$AB$18)-$U40)^2+(_xlfn.XLOOKUP(AJ$1,$Z$2:$Z$18,$AC$2:$AC$18-$V40)^2)))</f>
        <v>226.27326421828982</v>
      </c>
      <c r="AK40" s="150">
        <f t="array" ref="AK40">IF(AK$1=0,"",SQRT((_xlfn.XLOOKUP(AK$1,$Z$2:$Z$18,$AA$2:$AA$18)-$T40)^2+(_xlfn.XLOOKUP(AK$1,$Z$2:$Z$18,$AB$2:$AB$18)-$U40)^2+(_xlfn.XLOOKUP(AK$1,$Z$2:$Z$18,$AC$2:$AC$18-$V40)^2)))</f>
        <v>330.89448786584524</v>
      </c>
      <c r="AL40" s="150">
        <f t="array" ref="AL40">IF(AL$1=0,"",SQRT((_xlfn.XLOOKUP(AL$1,$Z$2:$Z$18,$AA$2:$AA$18)-$T40)^2+(_xlfn.XLOOKUP(AL$1,$Z$2:$Z$18,$AB$2:$AB$18)-$U40)^2+(_xlfn.XLOOKUP(AL$1,$Z$2:$Z$18,$AC$2:$AC$18-$V40)^2)))</f>
        <v>218.97662386656708</v>
      </c>
      <c r="AM40" s="150" t="str">
        <f t="array" ref="AM40">IF(AM$1=0,"",SQRT((_xlfn.XLOOKUP(AM$1,$Z$2:$Z$18,$AA$2:$AA$18)-$T40)^2+(_xlfn.XLOOKUP(AM$1,$Z$2:$Z$18,$AB$2:$AB$18)-$U40)^2+(_xlfn.XLOOKUP(AM$1,$Z$2:$Z$18,$AC$2:$AC$18-$V40)^2)))</f>
        <v/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36"/>
        <v>0</v>
      </c>
      <c r="AZ40" s="153">
        <f t="shared" si="37"/>
        <v>0</v>
      </c>
      <c r="BA40" s="153">
        <f t="shared" si="38"/>
        <v>0</v>
      </c>
      <c r="BB40" s="153">
        <f t="shared" si="39"/>
        <v>0</v>
      </c>
      <c r="BC40" s="153">
        <f t="shared" si="40"/>
        <v>0</v>
      </c>
      <c r="BD40" s="153">
        <f t="shared" si="41"/>
        <v>0</v>
      </c>
      <c r="BE40" s="153">
        <f t="shared" si="42"/>
        <v>0</v>
      </c>
      <c r="BF40" s="153">
        <f t="shared" si="43"/>
        <v>0</v>
      </c>
      <c r="BG40" s="154">
        <f t="shared" si="44"/>
        <v>0</v>
      </c>
      <c r="BH40" s="154">
        <f t="shared" si="45"/>
        <v>0</v>
      </c>
      <c r="BI40" s="154">
        <f t="shared" si="46"/>
        <v>0</v>
      </c>
      <c r="BJ40" s="154">
        <f t="shared" si="47"/>
        <v>0</v>
      </c>
      <c r="BK40" s="154">
        <f t="shared" si="48"/>
        <v>0</v>
      </c>
      <c r="BL40" s="154">
        <f t="shared" si="49"/>
        <v>0</v>
      </c>
      <c r="BM40" s="155">
        <f t="shared" si="50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L40" s="134"/>
      <c r="CM40" s="140"/>
      <c r="CN40" s="140"/>
      <c r="CO40" s="140"/>
      <c r="CP40" s="140"/>
      <c r="CQ40" s="140"/>
      <c r="CR40" s="140"/>
      <c r="CS40" s="140"/>
      <c r="CT40" s="140"/>
      <c r="CU40" s="140"/>
      <c r="CV40" s="140"/>
      <c r="CW40" s="140"/>
      <c r="CX40" s="140"/>
      <c r="CY40" s="140"/>
      <c r="CZ40" s="140"/>
      <c r="DA40" s="140"/>
      <c r="DB40" s="134"/>
      <c r="DC40" s="134"/>
      <c r="DD40" s="169" cm="1">
        <f t="array" ref="DD40">_xlfn.IFS(DD$1= 0,"", NOT(ISBLANK(CM40)), 0, ISBLANK(CM40), $Q40-$S40+AY40-BV40)</f>
        <v>0</v>
      </c>
      <c r="DE40" s="170" cm="1">
        <f t="array" ref="DE40">_xlfn.IFS(DE$1= 0,"", NOT(ISBLANK(CN40)), 0, ISBLANK(CN40), $Q40-$S40+AZ40-BW40)</f>
        <v>0</v>
      </c>
      <c r="DF40" s="170" cm="1">
        <f t="array" ref="DF40">_xlfn.IFS(DF$1= 0,"", NOT(ISBLANK(CO40)), 0, ISBLANK(CO40), $Q40-$S40+BA40-BX40)</f>
        <v>0</v>
      </c>
      <c r="DG40" s="170" cm="1">
        <f t="array" ref="DG40">_xlfn.IFS(DG$1= 0,"", NOT(ISBLANK(CP40)), 0, ISBLANK(CP40), $Q40-$S40+BB40-BY40)</f>
        <v>0</v>
      </c>
      <c r="DH40" s="170" cm="1">
        <f t="array" ref="DH40">_xlfn.IFS(DH$1= 0,"", NOT(ISBLANK(CQ40)), 0, ISBLANK(CQ40), $Q40-$S40+BC40-BZ40)</f>
        <v>0</v>
      </c>
      <c r="DI40" s="170" t="str" cm="1">
        <f t="array" ref="DI40">_xlfn.IFS(DI$1= 0,"", NOT(ISBLANK(CR40)), 0, ISBLANK(CR40), $Q40-$S40+BD40-CA40)</f>
        <v/>
      </c>
      <c r="DJ40" s="170" t="str" cm="1">
        <f t="array" ref="DJ40">_xlfn.IFS(DJ$1= 0,"", NOT(ISBLANK(CS40)), 0, ISBLANK(CS40), $Q40-$S40+BE40-CB40)</f>
        <v/>
      </c>
      <c r="DK40" s="170" t="str" cm="1">
        <f t="array" ref="DK40">_xlfn.IFS(DK$1= 0,"", NOT(ISBLANK(CT40)), 0, ISBLANK(CT40), $Q40-$S40+BF40-CC40)</f>
        <v/>
      </c>
      <c r="DL40" s="172" t="str" cm="1">
        <f t="array" ref="DL40">_xlfn.IFS(DL$1= 0,"", NOT(ISBLANK(CU40)), 0, ISBLANK(CU40), $Q40-$S40+BG40-CD40)</f>
        <v/>
      </c>
      <c r="DM40" s="172" t="str" cm="1">
        <f t="array" ref="DM40">_xlfn.IFS(DM$1= 0,"", NOT(ISBLANK(CV40)), 0, ISBLANK(CV40), $Q40-$S40+BH40-CE40)</f>
        <v/>
      </c>
      <c r="DN40" s="172" t="str" cm="1">
        <f t="array" ref="DN40">_xlfn.IFS(DN$1= 0,"", NOT(ISBLANK(CW40)), 0, ISBLANK(CW40), $Q40-$S40+BI40-CF40)</f>
        <v/>
      </c>
      <c r="DO40" s="172" t="str" cm="1">
        <f t="array" ref="DO40">_xlfn.IFS(DO$1= 0,"", NOT(ISBLANK(CX40)), 0, ISBLANK(CX40), $Q40-$S40+BJ40-CG40)</f>
        <v/>
      </c>
      <c r="DP40" s="172" t="str" cm="1">
        <f t="array" ref="DP40">_xlfn.IFS(DP$1= 0,"", NOT(ISBLANK(CY40)), 0, ISBLANK(CY40), $Q40-$S40+BK40-CH40)</f>
        <v/>
      </c>
      <c r="DQ40" s="172" t="str" cm="1">
        <f t="array" ref="DQ40">_xlfn.IFS(DQ$1= 0,"", NOT(ISBLANK(CZ40)), 0, ISBLANK(CZ40), $Q40-$S40+BL40-CI40)</f>
        <v/>
      </c>
      <c r="DR40" s="173" t="str" cm="1">
        <f t="array" ref="DR40">_xlfn.IFS(DR$1= 0,"", NOT(ISBLANK(DA40)), 0, ISBLANK(DA40), $Q40-$S40+BM40-CJ40)</f>
        <v/>
      </c>
    </row>
    <row r="41" spans="1:122" ht="16.5" customHeight="1" x14ac:dyDescent="0.3">
      <c r="A41" s="145"/>
      <c r="B41" s="146"/>
      <c r="C41" s="146"/>
      <c r="D41" s="147"/>
      <c r="E41" s="202"/>
      <c r="F41" s="210"/>
      <c r="G41" s="211"/>
      <c r="H41" s="211"/>
      <c r="I41" s="211"/>
      <c r="J41" s="211"/>
      <c r="K41" s="211"/>
      <c r="L41" s="211"/>
      <c r="M41" s="215"/>
      <c r="N41" s="210"/>
      <c r="O41" s="212"/>
      <c r="P41" s="205"/>
      <c r="Q41" s="128">
        <f t="shared" si="34"/>
        <v>0</v>
      </c>
      <c r="R41" s="3"/>
      <c r="S41" s="3"/>
      <c r="T41" s="4"/>
      <c r="U41" s="4"/>
      <c r="V41" s="109">
        <f t="shared" si="35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112.53151914019467</v>
      </c>
      <c r="AI41" s="150">
        <f t="array" ref="AI41">IF(AI$1=0,"",SQRT((_xlfn.XLOOKUP(AI$1,$Z$2:$Z$18,$AA$2:$AA$18)-$T41)^2+(_xlfn.XLOOKUP(AI$1,$Z$2:$Z$18,$AB$2:$AB$18)-$U41)^2+(_xlfn.XLOOKUP(AI$1,$Z$2:$Z$18,$AC$2:$AC$18-$V41)^2)))</f>
        <v>123.81444705687622</v>
      </c>
      <c r="AJ41" s="150">
        <f t="array" ref="AJ41">IF(AJ$1=0,"",SQRT((_xlfn.XLOOKUP(AJ$1,$Z$2:$Z$18,$AA$2:$AA$18)-$T41)^2+(_xlfn.XLOOKUP(AJ$1,$Z$2:$Z$18,$AB$2:$AB$18)-$U41)^2+(_xlfn.XLOOKUP(AJ$1,$Z$2:$Z$18,$AC$2:$AC$18-$V41)^2)))</f>
        <v>226.27326421828982</v>
      </c>
      <c r="AK41" s="150">
        <f t="array" ref="AK41">IF(AK$1=0,"",SQRT((_xlfn.XLOOKUP(AK$1,$Z$2:$Z$18,$AA$2:$AA$18)-$T41)^2+(_xlfn.XLOOKUP(AK$1,$Z$2:$Z$18,$AB$2:$AB$18)-$U41)^2+(_xlfn.XLOOKUP(AK$1,$Z$2:$Z$18,$AC$2:$AC$18-$V41)^2)))</f>
        <v>330.89448786584524</v>
      </c>
      <c r="AL41" s="150">
        <f t="array" ref="AL41">IF(AL$1=0,"",SQRT((_xlfn.XLOOKUP(AL$1,$Z$2:$Z$18,$AA$2:$AA$18)-$T41)^2+(_xlfn.XLOOKUP(AL$1,$Z$2:$Z$18,$AB$2:$AB$18)-$U41)^2+(_xlfn.XLOOKUP(AL$1,$Z$2:$Z$18,$AC$2:$AC$18-$V41)^2)))</f>
        <v>218.97662386656708</v>
      </c>
      <c r="AM41" s="150" t="str">
        <f t="array" ref="AM41">IF(AM$1=0,"",SQRT((_xlfn.XLOOKUP(AM$1,$Z$2:$Z$18,$AA$2:$AA$18)-$T41)^2+(_xlfn.XLOOKUP(AM$1,$Z$2:$Z$18,$AB$2:$AB$18)-$U41)^2+(_xlfn.XLOOKUP(AM$1,$Z$2:$Z$18,$AC$2:$AC$18-$V41)^2)))</f>
        <v/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36"/>
        <v>0</v>
      </c>
      <c r="AZ41" s="153">
        <f t="shared" si="37"/>
        <v>0</v>
      </c>
      <c r="BA41" s="153">
        <f t="shared" si="38"/>
        <v>0</v>
      </c>
      <c r="BB41" s="153">
        <f t="shared" si="39"/>
        <v>0</v>
      </c>
      <c r="BC41" s="153">
        <f t="shared" si="40"/>
        <v>0</v>
      </c>
      <c r="BD41" s="153">
        <f t="shared" si="41"/>
        <v>0</v>
      </c>
      <c r="BE41" s="153">
        <f t="shared" si="42"/>
        <v>0</v>
      </c>
      <c r="BF41" s="153">
        <f t="shared" si="43"/>
        <v>0</v>
      </c>
      <c r="BG41" s="154">
        <f t="shared" si="44"/>
        <v>0</v>
      </c>
      <c r="BH41" s="154">
        <f t="shared" si="45"/>
        <v>0</v>
      </c>
      <c r="BI41" s="154">
        <f t="shared" si="46"/>
        <v>0</v>
      </c>
      <c r="BJ41" s="154">
        <f t="shared" si="47"/>
        <v>0</v>
      </c>
      <c r="BK41" s="154">
        <f t="shared" si="48"/>
        <v>0</v>
      </c>
      <c r="BL41" s="154">
        <f t="shared" si="49"/>
        <v>0</v>
      </c>
      <c r="BM41" s="155">
        <f t="shared" si="50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L41" s="134"/>
      <c r="CM41" s="140"/>
      <c r="CN41" s="140"/>
      <c r="CO41" s="140"/>
      <c r="CP41" s="140"/>
      <c r="CQ41" s="140"/>
      <c r="CR41" s="140"/>
      <c r="CS41" s="140"/>
      <c r="CT41" s="140"/>
      <c r="CU41" s="140"/>
      <c r="CV41" s="140"/>
      <c r="CW41" s="140"/>
      <c r="CX41" s="140"/>
      <c r="CY41" s="140"/>
      <c r="CZ41" s="140"/>
      <c r="DA41" s="140"/>
      <c r="DB41" s="134"/>
      <c r="DC41" s="134"/>
      <c r="DD41" s="169" cm="1">
        <f t="array" ref="DD41">_xlfn.IFS(DD$1= 0,"", NOT(ISBLANK(CM41)), 0, ISBLANK(CM41), $Q41-$S41+AY41-BV41)</f>
        <v>0</v>
      </c>
      <c r="DE41" s="170" cm="1">
        <f t="array" ref="DE41">_xlfn.IFS(DE$1= 0,"", NOT(ISBLANK(CN41)), 0, ISBLANK(CN41), $Q41-$S41+AZ41-BW41)</f>
        <v>0</v>
      </c>
      <c r="DF41" s="170" cm="1">
        <f t="array" ref="DF41">_xlfn.IFS(DF$1= 0,"", NOT(ISBLANK(CO41)), 0, ISBLANK(CO41), $Q41-$S41+BA41-BX41)</f>
        <v>0</v>
      </c>
      <c r="DG41" s="170" cm="1">
        <f t="array" ref="DG41">_xlfn.IFS(DG$1= 0,"", NOT(ISBLANK(CP41)), 0, ISBLANK(CP41), $Q41-$S41+BB41-BY41)</f>
        <v>0</v>
      </c>
      <c r="DH41" s="170" cm="1">
        <f t="array" ref="DH41">_xlfn.IFS(DH$1= 0,"", NOT(ISBLANK(CQ41)), 0, ISBLANK(CQ41), $Q41-$S41+BC41-BZ41)</f>
        <v>0</v>
      </c>
      <c r="DI41" s="170" t="str" cm="1">
        <f t="array" ref="DI41">_xlfn.IFS(DI$1= 0,"", NOT(ISBLANK(CR41)), 0, ISBLANK(CR41), $Q41-$S41+BD41-CA41)</f>
        <v/>
      </c>
      <c r="DJ41" s="170" t="str" cm="1">
        <f t="array" ref="DJ41">_xlfn.IFS(DJ$1= 0,"", NOT(ISBLANK(CS41)), 0, ISBLANK(CS41), $Q41-$S41+BE41-CB41)</f>
        <v/>
      </c>
      <c r="DK41" s="170" t="str" cm="1">
        <f t="array" ref="DK41">_xlfn.IFS(DK$1= 0,"", NOT(ISBLANK(CT41)), 0, ISBLANK(CT41), $Q41-$S41+BF41-CC41)</f>
        <v/>
      </c>
      <c r="DL41" s="172" t="str" cm="1">
        <f t="array" ref="DL41">_xlfn.IFS(DL$1= 0,"", NOT(ISBLANK(CU41)), 0, ISBLANK(CU41), $Q41-$S41+BG41-CD41)</f>
        <v/>
      </c>
      <c r="DM41" s="172" t="str" cm="1">
        <f t="array" ref="DM41">_xlfn.IFS(DM$1= 0,"", NOT(ISBLANK(CV41)), 0, ISBLANK(CV41), $Q41-$S41+BH41-CE41)</f>
        <v/>
      </c>
      <c r="DN41" s="172" t="str" cm="1">
        <f t="array" ref="DN41">_xlfn.IFS(DN$1= 0,"", NOT(ISBLANK(CW41)), 0, ISBLANK(CW41), $Q41-$S41+BI41-CF41)</f>
        <v/>
      </c>
      <c r="DO41" s="172" t="str" cm="1">
        <f t="array" ref="DO41">_xlfn.IFS(DO$1= 0,"", NOT(ISBLANK(CX41)), 0, ISBLANK(CX41), $Q41-$S41+BJ41-CG41)</f>
        <v/>
      </c>
      <c r="DP41" s="172" t="str" cm="1">
        <f t="array" ref="DP41">_xlfn.IFS(DP$1= 0,"", NOT(ISBLANK(CY41)), 0, ISBLANK(CY41), $Q41-$S41+BK41-CH41)</f>
        <v/>
      </c>
      <c r="DQ41" s="172" t="str" cm="1">
        <f t="array" ref="DQ41">_xlfn.IFS(DQ$1= 0,"", NOT(ISBLANK(CZ41)), 0, ISBLANK(CZ41), $Q41-$S41+BL41-CI41)</f>
        <v/>
      </c>
      <c r="DR41" s="173" t="str" cm="1">
        <f t="array" ref="DR41">_xlfn.IFS(DR$1= 0,"", NOT(ISBLANK(DA41)), 0, ISBLANK(DA41), $Q41-$S41+BM41-CJ41)</f>
        <v/>
      </c>
    </row>
    <row r="42" spans="1:122" ht="16.5" customHeight="1" x14ac:dyDescent="0.3">
      <c r="A42" s="145"/>
      <c r="B42" s="146"/>
      <c r="C42" s="146"/>
      <c r="D42" s="147"/>
      <c r="E42" s="202"/>
      <c r="F42" s="210"/>
      <c r="G42" s="211"/>
      <c r="H42" s="211"/>
      <c r="I42" s="211"/>
      <c r="J42" s="211"/>
      <c r="K42" s="211"/>
      <c r="L42" s="211"/>
      <c r="M42" s="215"/>
      <c r="N42" s="210"/>
      <c r="O42" s="212"/>
      <c r="P42" s="205"/>
      <c r="Q42" s="128">
        <f t="shared" si="34"/>
        <v>0</v>
      </c>
      <c r="R42" s="3"/>
      <c r="S42" s="3"/>
      <c r="T42" s="4"/>
      <c r="U42" s="4"/>
      <c r="V42" s="109">
        <f t="shared" si="35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112.53151914019467</v>
      </c>
      <c r="AI42" s="150">
        <f t="array" ref="AI42">IF(AI$1=0,"",SQRT((_xlfn.XLOOKUP(AI$1,$Z$2:$Z$18,$AA$2:$AA$18)-$T42)^2+(_xlfn.XLOOKUP(AI$1,$Z$2:$Z$18,$AB$2:$AB$18)-$U42)^2+(_xlfn.XLOOKUP(AI$1,$Z$2:$Z$18,$AC$2:$AC$18-$V42)^2)))</f>
        <v>123.81444705687622</v>
      </c>
      <c r="AJ42" s="150">
        <f t="array" ref="AJ42">IF(AJ$1=0,"",SQRT((_xlfn.XLOOKUP(AJ$1,$Z$2:$Z$18,$AA$2:$AA$18)-$T42)^2+(_xlfn.XLOOKUP(AJ$1,$Z$2:$Z$18,$AB$2:$AB$18)-$U42)^2+(_xlfn.XLOOKUP(AJ$1,$Z$2:$Z$18,$AC$2:$AC$18-$V42)^2)))</f>
        <v>226.27326421828982</v>
      </c>
      <c r="AK42" s="150">
        <f t="array" ref="AK42">IF(AK$1=0,"",SQRT((_xlfn.XLOOKUP(AK$1,$Z$2:$Z$18,$AA$2:$AA$18)-$T42)^2+(_xlfn.XLOOKUP(AK$1,$Z$2:$Z$18,$AB$2:$AB$18)-$U42)^2+(_xlfn.XLOOKUP(AK$1,$Z$2:$Z$18,$AC$2:$AC$18-$V42)^2)))</f>
        <v>330.89448786584524</v>
      </c>
      <c r="AL42" s="150">
        <f t="array" ref="AL42">IF(AL$1=0,"",SQRT((_xlfn.XLOOKUP(AL$1,$Z$2:$Z$18,$AA$2:$AA$18)-$T42)^2+(_xlfn.XLOOKUP(AL$1,$Z$2:$Z$18,$AB$2:$AB$18)-$U42)^2+(_xlfn.XLOOKUP(AL$1,$Z$2:$Z$18,$AC$2:$AC$18-$V42)^2)))</f>
        <v>218.97662386656708</v>
      </c>
      <c r="AM42" s="150" t="str">
        <f t="array" ref="AM42">IF(AM$1=0,"",SQRT((_xlfn.XLOOKUP(AM$1,$Z$2:$Z$18,$AA$2:$AA$18)-$T42)^2+(_xlfn.XLOOKUP(AM$1,$Z$2:$Z$18,$AB$2:$AB$18)-$U42)^2+(_xlfn.XLOOKUP(AM$1,$Z$2:$Z$18,$AC$2:$AC$18-$V42)^2)))</f>
        <v/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36"/>
        <v>0</v>
      </c>
      <c r="AZ42" s="153">
        <f t="shared" si="37"/>
        <v>0</v>
      </c>
      <c r="BA42" s="153">
        <f t="shared" si="38"/>
        <v>0</v>
      </c>
      <c r="BB42" s="153">
        <f t="shared" si="39"/>
        <v>0</v>
      </c>
      <c r="BC42" s="153">
        <f t="shared" si="40"/>
        <v>0</v>
      </c>
      <c r="BD42" s="153">
        <f t="shared" si="41"/>
        <v>0</v>
      </c>
      <c r="BE42" s="153">
        <f t="shared" si="42"/>
        <v>0</v>
      </c>
      <c r="BF42" s="153">
        <f t="shared" si="43"/>
        <v>0</v>
      </c>
      <c r="BG42" s="154">
        <f t="shared" si="44"/>
        <v>0</v>
      </c>
      <c r="BH42" s="154">
        <f t="shared" si="45"/>
        <v>0</v>
      </c>
      <c r="BI42" s="154">
        <f t="shared" si="46"/>
        <v>0</v>
      </c>
      <c r="BJ42" s="154">
        <f t="shared" si="47"/>
        <v>0</v>
      </c>
      <c r="BK42" s="154">
        <f t="shared" si="48"/>
        <v>0</v>
      </c>
      <c r="BL42" s="154">
        <f t="shared" si="49"/>
        <v>0</v>
      </c>
      <c r="BM42" s="155">
        <f t="shared" si="50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L42" s="134"/>
      <c r="CM42" s="140"/>
      <c r="CN42" s="140"/>
      <c r="CO42" s="140"/>
      <c r="CP42" s="140"/>
      <c r="CQ42" s="140"/>
      <c r="CR42" s="140"/>
      <c r="CS42" s="140"/>
      <c r="CT42" s="140"/>
      <c r="CU42" s="140"/>
      <c r="CV42" s="140"/>
      <c r="CW42" s="140"/>
      <c r="CX42" s="140"/>
      <c r="CY42" s="140"/>
      <c r="CZ42" s="140"/>
      <c r="DA42" s="140"/>
      <c r="DB42" s="134"/>
      <c r="DC42" s="134"/>
      <c r="DD42" s="169" cm="1">
        <f t="array" ref="DD42">_xlfn.IFS(DD$1= 0,"", NOT(ISBLANK(CM42)), 0, ISBLANK(CM42), $Q42-$S42+AY42-BV42)</f>
        <v>0</v>
      </c>
      <c r="DE42" s="170" cm="1">
        <f t="array" ref="DE42">_xlfn.IFS(DE$1= 0,"", NOT(ISBLANK(CN42)), 0, ISBLANK(CN42), $Q42-$S42+AZ42-BW42)</f>
        <v>0</v>
      </c>
      <c r="DF42" s="170" cm="1">
        <f t="array" ref="DF42">_xlfn.IFS(DF$1= 0,"", NOT(ISBLANK(CO42)), 0, ISBLANK(CO42), $Q42-$S42+BA42-BX42)</f>
        <v>0</v>
      </c>
      <c r="DG42" s="170" cm="1">
        <f t="array" ref="DG42">_xlfn.IFS(DG$1= 0,"", NOT(ISBLANK(CP42)), 0, ISBLANK(CP42), $Q42-$S42+BB42-BY42)</f>
        <v>0</v>
      </c>
      <c r="DH42" s="170" cm="1">
        <f t="array" ref="DH42">_xlfn.IFS(DH$1= 0,"", NOT(ISBLANK(CQ42)), 0, ISBLANK(CQ42), $Q42-$S42+BC42-BZ42)</f>
        <v>0</v>
      </c>
      <c r="DI42" s="170" t="str" cm="1">
        <f t="array" ref="DI42">_xlfn.IFS(DI$1= 0,"", NOT(ISBLANK(CR42)), 0, ISBLANK(CR42), $Q42-$S42+BD42-CA42)</f>
        <v/>
      </c>
      <c r="DJ42" s="170" t="str" cm="1">
        <f t="array" ref="DJ42">_xlfn.IFS(DJ$1= 0,"", NOT(ISBLANK(CS42)), 0, ISBLANK(CS42), $Q42-$S42+BE42-CB42)</f>
        <v/>
      </c>
      <c r="DK42" s="170" t="str" cm="1">
        <f t="array" ref="DK42">_xlfn.IFS(DK$1= 0,"", NOT(ISBLANK(CT42)), 0, ISBLANK(CT42), $Q42-$S42+BF42-CC42)</f>
        <v/>
      </c>
      <c r="DL42" s="172" t="str" cm="1">
        <f t="array" ref="DL42">_xlfn.IFS(DL$1= 0,"", NOT(ISBLANK(CU42)), 0, ISBLANK(CU42), $Q42-$S42+BG42-CD42)</f>
        <v/>
      </c>
      <c r="DM42" s="172" t="str" cm="1">
        <f t="array" ref="DM42">_xlfn.IFS(DM$1= 0,"", NOT(ISBLANK(CV42)), 0, ISBLANK(CV42), $Q42-$S42+BH42-CE42)</f>
        <v/>
      </c>
      <c r="DN42" s="172" t="str" cm="1">
        <f t="array" ref="DN42">_xlfn.IFS(DN$1= 0,"", NOT(ISBLANK(CW42)), 0, ISBLANK(CW42), $Q42-$S42+BI42-CF42)</f>
        <v/>
      </c>
      <c r="DO42" s="172" t="str" cm="1">
        <f t="array" ref="DO42">_xlfn.IFS(DO$1= 0,"", NOT(ISBLANK(CX42)), 0, ISBLANK(CX42), $Q42-$S42+BJ42-CG42)</f>
        <v/>
      </c>
      <c r="DP42" s="172" t="str" cm="1">
        <f t="array" ref="DP42">_xlfn.IFS(DP$1= 0,"", NOT(ISBLANK(CY42)), 0, ISBLANK(CY42), $Q42-$S42+BK42-CH42)</f>
        <v/>
      </c>
      <c r="DQ42" s="172" t="str" cm="1">
        <f t="array" ref="DQ42">_xlfn.IFS(DQ$1= 0,"", NOT(ISBLANK(CZ42)), 0, ISBLANK(CZ42), $Q42-$S42+BL42-CI42)</f>
        <v/>
      </c>
      <c r="DR42" s="173" t="str" cm="1">
        <f t="array" ref="DR42">_xlfn.IFS(DR$1= 0,"", NOT(ISBLANK(DA42)), 0, ISBLANK(DA42), $Q42-$S42+BM42-CJ42)</f>
        <v/>
      </c>
    </row>
    <row r="43" spans="1:122" ht="16.5" customHeight="1" x14ac:dyDescent="0.3">
      <c r="A43" s="145"/>
      <c r="B43" s="146"/>
      <c r="C43" s="146"/>
      <c r="D43" s="147"/>
      <c r="E43" s="202"/>
      <c r="F43" s="210"/>
      <c r="G43" s="211"/>
      <c r="H43" s="211"/>
      <c r="I43" s="211"/>
      <c r="J43" s="211"/>
      <c r="K43" s="211"/>
      <c r="L43" s="211"/>
      <c r="M43" s="215"/>
      <c r="N43" s="210"/>
      <c r="O43" s="212"/>
      <c r="P43" s="205"/>
      <c r="Q43" s="128">
        <f t="shared" si="34"/>
        <v>0</v>
      </c>
      <c r="R43" s="3"/>
      <c r="S43" s="3"/>
      <c r="T43" s="4"/>
      <c r="U43" s="4"/>
      <c r="V43" s="109">
        <f t="shared" si="35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112.53151914019467</v>
      </c>
      <c r="AI43" s="150">
        <f t="array" ref="AI43">IF(AI$1=0,"",SQRT((_xlfn.XLOOKUP(AI$1,$Z$2:$Z$18,$AA$2:$AA$18)-$T43)^2+(_xlfn.XLOOKUP(AI$1,$Z$2:$Z$18,$AB$2:$AB$18)-$U43)^2+(_xlfn.XLOOKUP(AI$1,$Z$2:$Z$18,$AC$2:$AC$18-$V43)^2)))</f>
        <v>123.81444705687622</v>
      </c>
      <c r="AJ43" s="150">
        <f t="array" ref="AJ43">IF(AJ$1=0,"",SQRT((_xlfn.XLOOKUP(AJ$1,$Z$2:$Z$18,$AA$2:$AA$18)-$T43)^2+(_xlfn.XLOOKUP(AJ$1,$Z$2:$Z$18,$AB$2:$AB$18)-$U43)^2+(_xlfn.XLOOKUP(AJ$1,$Z$2:$Z$18,$AC$2:$AC$18-$V43)^2)))</f>
        <v>226.27326421828982</v>
      </c>
      <c r="AK43" s="150">
        <f t="array" ref="AK43">IF(AK$1=0,"",SQRT((_xlfn.XLOOKUP(AK$1,$Z$2:$Z$18,$AA$2:$AA$18)-$T43)^2+(_xlfn.XLOOKUP(AK$1,$Z$2:$Z$18,$AB$2:$AB$18)-$U43)^2+(_xlfn.XLOOKUP(AK$1,$Z$2:$Z$18,$AC$2:$AC$18-$V43)^2)))</f>
        <v>330.89448786584524</v>
      </c>
      <c r="AL43" s="150">
        <f t="array" ref="AL43">IF(AL$1=0,"",SQRT((_xlfn.XLOOKUP(AL$1,$Z$2:$Z$18,$AA$2:$AA$18)-$T43)^2+(_xlfn.XLOOKUP(AL$1,$Z$2:$Z$18,$AB$2:$AB$18)-$U43)^2+(_xlfn.XLOOKUP(AL$1,$Z$2:$Z$18,$AC$2:$AC$18-$V43)^2)))</f>
        <v>218.97662386656708</v>
      </c>
      <c r="AM43" s="150" t="str">
        <f t="array" ref="AM43">IF(AM$1=0,"",SQRT((_xlfn.XLOOKUP(AM$1,$Z$2:$Z$18,$AA$2:$AA$18)-$T43)^2+(_xlfn.XLOOKUP(AM$1,$Z$2:$Z$18,$AB$2:$AB$18)-$U43)^2+(_xlfn.XLOOKUP(AM$1,$Z$2:$Z$18,$AC$2:$AC$18-$V43)^2)))</f>
        <v/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36"/>
        <v>0</v>
      </c>
      <c r="AZ43" s="153">
        <f t="shared" si="37"/>
        <v>0</v>
      </c>
      <c r="BA43" s="153">
        <f t="shared" si="38"/>
        <v>0</v>
      </c>
      <c r="BB43" s="153">
        <f t="shared" si="39"/>
        <v>0</v>
      </c>
      <c r="BC43" s="153">
        <f t="shared" si="40"/>
        <v>0</v>
      </c>
      <c r="BD43" s="153">
        <f t="shared" si="41"/>
        <v>0</v>
      </c>
      <c r="BE43" s="153">
        <f t="shared" si="42"/>
        <v>0</v>
      </c>
      <c r="BF43" s="153">
        <f t="shared" si="43"/>
        <v>0</v>
      </c>
      <c r="BG43" s="154">
        <f t="shared" si="44"/>
        <v>0</v>
      </c>
      <c r="BH43" s="154">
        <f t="shared" si="45"/>
        <v>0</v>
      </c>
      <c r="BI43" s="154">
        <f t="shared" si="46"/>
        <v>0</v>
      </c>
      <c r="BJ43" s="154">
        <f t="shared" si="47"/>
        <v>0</v>
      </c>
      <c r="BK43" s="154">
        <f t="shared" si="48"/>
        <v>0</v>
      </c>
      <c r="BL43" s="154">
        <f t="shared" si="49"/>
        <v>0</v>
      </c>
      <c r="BM43" s="155">
        <f t="shared" si="50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L43" s="134"/>
      <c r="CM43" s="140"/>
      <c r="CN43" s="140"/>
      <c r="CO43" s="140"/>
      <c r="CP43" s="140"/>
      <c r="CQ43" s="140"/>
      <c r="CR43" s="140"/>
      <c r="CS43" s="140"/>
      <c r="CT43" s="140"/>
      <c r="CU43" s="140"/>
      <c r="CV43" s="140"/>
      <c r="CW43" s="140"/>
      <c r="CX43" s="140"/>
      <c r="CY43" s="140"/>
      <c r="CZ43" s="140"/>
      <c r="DA43" s="140"/>
      <c r="DB43" s="134"/>
      <c r="DC43" s="134"/>
      <c r="DD43" s="169" cm="1">
        <f t="array" ref="DD43">_xlfn.IFS(DD$1= 0,"", NOT(ISBLANK(CM43)), 0, ISBLANK(CM43), $Q43-$S43+AY43-BV43)</f>
        <v>0</v>
      </c>
      <c r="DE43" s="170" cm="1">
        <f t="array" ref="DE43">_xlfn.IFS(DE$1= 0,"", NOT(ISBLANK(CN43)), 0, ISBLANK(CN43), $Q43-$S43+AZ43-BW43)</f>
        <v>0</v>
      </c>
      <c r="DF43" s="170" cm="1">
        <f t="array" ref="DF43">_xlfn.IFS(DF$1= 0,"", NOT(ISBLANK(CO43)), 0, ISBLANK(CO43), $Q43-$S43+BA43-BX43)</f>
        <v>0</v>
      </c>
      <c r="DG43" s="170" cm="1">
        <f t="array" ref="DG43">_xlfn.IFS(DG$1= 0,"", NOT(ISBLANK(CP43)), 0, ISBLANK(CP43), $Q43-$S43+BB43-BY43)</f>
        <v>0</v>
      </c>
      <c r="DH43" s="170" cm="1">
        <f t="array" ref="DH43">_xlfn.IFS(DH$1= 0,"", NOT(ISBLANK(CQ43)), 0, ISBLANK(CQ43), $Q43-$S43+BC43-BZ43)</f>
        <v>0</v>
      </c>
      <c r="DI43" s="170" t="str" cm="1">
        <f t="array" ref="DI43">_xlfn.IFS(DI$1= 0,"", NOT(ISBLANK(CR43)), 0, ISBLANK(CR43), $Q43-$S43+BD43-CA43)</f>
        <v/>
      </c>
      <c r="DJ43" s="170" t="str" cm="1">
        <f t="array" ref="DJ43">_xlfn.IFS(DJ$1= 0,"", NOT(ISBLANK(CS43)), 0, ISBLANK(CS43), $Q43-$S43+BE43-CB43)</f>
        <v/>
      </c>
      <c r="DK43" s="170" t="str" cm="1">
        <f t="array" ref="DK43">_xlfn.IFS(DK$1= 0,"", NOT(ISBLANK(CT43)), 0, ISBLANK(CT43), $Q43-$S43+BF43-CC43)</f>
        <v/>
      </c>
      <c r="DL43" s="172" t="str" cm="1">
        <f t="array" ref="DL43">_xlfn.IFS(DL$1= 0,"", NOT(ISBLANK(CU43)), 0, ISBLANK(CU43), $Q43-$S43+BG43-CD43)</f>
        <v/>
      </c>
      <c r="DM43" s="172" t="str" cm="1">
        <f t="array" ref="DM43">_xlfn.IFS(DM$1= 0,"", NOT(ISBLANK(CV43)), 0, ISBLANK(CV43), $Q43-$S43+BH43-CE43)</f>
        <v/>
      </c>
      <c r="DN43" s="172" t="str" cm="1">
        <f t="array" ref="DN43">_xlfn.IFS(DN$1= 0,"", NOT(ISBLANK(CW43)), 0, ISBLANK(CW43), $Q43-$S43+BI43-CF43)</f>
        <v/>
      </c>
      <c r="DO43" s="172" t="str" cm="1">
        <f t="array" ref="DO43">_xlfn.IFS(DO$1= 0,"", NOT(ISBLANK(CX43)), 0, ISBLANK(CX43), $Q43-$S43+BJ43-CG43)</f>
        <v/>
      </c>
      <c r="DP43" s="172" t="str" cm="1">
        <f t="array" ref="DP43">_xlfn.IFS(DP$1= 0,"", NOT(ISBLANK(CY43)), 0, ISBLANK(CY43), $Q43-$S43+BK43-CH43)</f>
        <v/>
      </c>
      <c r="DQ43" s="172" t="str" cm="1">
        <f t="array" ref="DQ43">_xlfn.IFS(DQ$1= 0,"", NOT(ISBLANK(CZ43)), 0, ISBLANK(CZ43), $Q43-$S43+BL43-CI43)</f>
        <v/>
      </c>
      <c r="DR43" s="173" t="str" cm="1">
        <f t="array" ref="DR43">_xlfn.IFS(DR$1= 0,"", NOT(ISBLANK(DA43)), 0, ISBLANK(DA43), $Q43-$S43+BM43-CJ43)</f>
        <v/>
      </c>
    </row>
    <row r="44" spans="1:122" ht="16.5" customHeight="1" x14ac:dyDescent="0.3">
      <c r="A44" s="145"/>
      <c r="B44" s="146"/>
      <c r="C44" s="146"/>
      <c r="D44" s="147"/>
      <c r="E44" s="202"/>
      <c r="F44" s="210"/>
      <c r="G44" s="211"/>
      <c r="H44" s="211"/>
      <c r="I44" s="211"/>
      <c r="J44" s="211"/>
      <c r="K44" s="211"/>
      <c r="L44" s="211"/>
      <c r="M44" s="215"/>
      <c r="N44" s="210"/>
      <c r="O44" s="212"/>
      <c r="P44" s="205"/>
      <c r="Q44" s="128">
        <f t="shared" si="34"/>
        <v>0</v>
      </c>
      <c r="R44" s="3"/>
      <c r="S44" s="3"/>
      <c r="T44" s="4"/>
      <c r="U44" s="4"/>
      <c r="V44" s="109">
        <f t="shared" si="35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112.53151914019467</v>
      </c>
      <c r="AI44" s="150">
        <f t="array" ref="AI44">IF(AI$1=0,"",SQRT((_xlfn.XLOOKUP(AI$1,$Z$2:$Z$18,$AA$2:$AA$18)-$T44)^2+(_xlfn.XLOOKUP(AI$1,$Z$2:$Z$18,$AB$2:$AB$18)-$U44)^2+(_xlfn.XLOOKUP(AI$1,$Z$2:$Z$18,$AC$2:$AC$18-$V44)^2)))</f>
        <v>123.81444705687622</v>
      </c>
      <c r="AJ44" s="150">
        <f t="array" ref="AJ44">IF(AJ$1=0,"",SQRT((_xlfn.XLOOKUP(AJ$1,$Z$2:$Z$18,$AA$2:$AA$18)-$T44)^2+(_xlfn.XLOOKUP(AJ$1,$Z$2:$Z$18,$AB$2:$AB$18)-$U44)^2+(_xlfn.XLOOKUP(AJ$1,$Z$2:$Z$18,$AC$2:$AC$18-$V44)^2)))</f>
        <v>226.27326421828982</v>
      </c>
      <c r="AK44" s="150">
        <f t="array" ref="AK44">IF(AK$1=0,"",SQRT((_xlfn.XLOOKUP(AK$1,$Z$2:$Z$18,$AA$2:$AA$18)-$T44)^2+(_xlfn.XLOOKUP(AK$1,$Z$2:$Z$18,$AB$2:$AB$18)-$U44)^2+(_xlfn.XLOOKUP(AK$1,$Z$2:$Z$18,$AC$2:$AC$18-$V44)^2)))</f>
        <v>330.89448786584524</v>
      </c>
      <c r="AL44" s="150">
        <f t="array" ref="AL44">IF(AL$1=0,"",SQRT((_xlfn.XLOOKUP(AL$1,$Z$2:$Z$18,$AA$2:$AA$18)-$T44)^2+(_xlfn.XLOOKUP(AL$1,$Z$2:$Z$18,$AB$2:$AB$18)-$U44)^2+(_xlfn.XLOOKUP(AL$1,$Z$2:$Z$18,$AC$2:$AC$18-$V44)^2)))</f>
        <v>218.97662386656708</v>
      </c>
      <c r="AM44" s="150" t="str">
        <f t="array" ref="AM44">IF(AM$1=0,"",SQRT((_xlfn.XLOOKUP(AM$1,$Z$2:$Z$18,$AA$2:$AA$18)-$T44)^2+(_xlfn.XLOOKUP(AM$1,$Z$2:$Z$18,$AB$2:$AB$18)-$U44)^2+(_xlfn.XLOOKUP(AM$1,$Z$2:$Z$18,$AC$2:$AC$18-$V44)^2)))</f>
        <v/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36"/>
        <v>0</v>
      </c>
      <c r="AZ44" s="153">
        <f t="shared" si="37"/>
        <v>0</v>
      </c>
      <c r="BA44" s="153">
        <f t="shared" si="38"/>
        <v>0</v>
      </c>
      <c r="BB44" s="153">
        <f t="shared" si="39"/>
        <v>0</v>
      </c>
      <c r="BC44" s="153">
        <f t="shared" si="40"/>
        <v>0</v>
      </c>
      <c r="BD44" s="153">
        <f t="shared" si="41"/>
        <v>0</v>
      </c>
      <c r="BE44" s="153">
        <f t="shared" si="42"/>
        <v>0</v>
      </c>
      <c r="BF44" s="153">
        <f t="shared" si="43"/>
        <v>0</v>
      </c>
      <c r="BG44" s="154">
        <f t="shared" si="44"/>
        <v>0</v>
      </c>
      <c r="BH44" s="154">
        <f t="shared" si="45"/>
        <v>0</v>
      </c>
      <c r="BI44" s="154">
        <f t="shared" si="46"/>
        <v>0</v>
      </c>
      <c r="BJ44" s="154">
        <f t="shared" si="47"/>
        <v>0</v>
      </c>
      <c r="BK44" s="154">
        <f t="shared" si="48"/>
        <v>0</v>
      </c>
      <c r="BL44" s="154">
        <f t="shared" si="49"/>
        <v>0</v>
      </c>
      <c r="BM44" s="155">
        <f t="shared" si="50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L44" s="134"/>
      <c r="CM44" s="140"/>
      <c r="CN44" s="140"/>
      <c r="CO44" s="140"/>
      <c r="CP44" s="140"/>
      <c r="CQ44" s="140"/>
      <c r="CR44" s="140"/>
      <c r="CS44" s="140"/>
      <c r="CT44" s="140"/>
      <c r="CU44" s="140"/>
      <c r="CV44" s="140"/>
      <c r="CW44" s="140"/>
      <c r="CX44" s="140"/>
      <c r="CY44" s="140"/>
      <c r="CZ44" s="140"/>
      <c r="DA44" s="140"/>
      <c r="DB44" s="134"/>
      <c r="DC44" s="134"/>
      <c r="DD44" s="169" cm="1">
        <f t="array" ref="DD44">_xlfn.IFS(DD$1= 0,"", NOT(ISBLANK(CM44)), 0, ISBLANK(CM44), $Q44-$S44+AY44-BV44)</f>
        <v>0</v>
      </c>
      <c r="DE44" s="170" cm="1">
        <f t="array" ref="DE44">_xlfn.IFS(DE$1= 0,"", NOT(ISBLANK(CN44)), 0, ISBLANK(CN44), $Q44-$S44+AZ44-BW44)</f>
        <v>0</v>
      </c>
      <c r="DF44" s="170" cm="1">
        <f t="array" ref="DF44">_xlfn.IFS(DF$1= 0,"", NOT(ISBLANK(CO44)), 0, ISBLANK(CO44), $Q44-$S44+BA44-BX44)</f>
        <v>0</v>
      </c>
      <c r="DG44" s="170" cm="1">
        <f t="array" ref="DG44">_xlfn.IFS(DG$1= 0,"", NOT(ISBLANK(CP44)), 0, ISBLANK(CP44), $Q44-$S44+BB44-BY44)</f>
        <v>0</v>
      </c>
      <c r="DH44" s="170" cm="1">
        <f t="array" ref="DH44">_xlfn.IFS(DH$1= 0,"", NOT(ISBLANK(CQ44)), 0, ISBLANK(CQ44), $Q44-$S44+BC44-BZ44)</f>
        <v>0</v>
      </c>
      <c r="DI44" s="170" t="str" cm="1">
        <f t="array" ref="DI44">_xlfn.IFS(DI$1= 0,"", NOT(ISBLANK(CR44)), 0, ISBLANK(CR44), $Q44-$S44+BD44-CA44)</f>
        <v/>
      </c>
      <c r="DJ44" s="170" t="str" cm="1">
        <f t="array" ref="DJ44">_xlfn.IFS(DJ$1= 0,"", NOT(ISBLANK(CS44)), 0, ISBLANK(CS44), $Q44-$S44+BE44-CB44)</f>
        <v/>
      </c>
      <c r="DK44" s="170" t="str" cm="1">
        <f t="array" ref="DK44">_xlfn.IFS(DK$1= 0,"", NOT(ISBLANK(CT44)), 0, ISBLANK(CT44), $Q44-$S44+BF44-CC44)</f>
        <v/>
      </c>
      <c r="DL44" s="172" t="str" cm="1">
        <f t="array" ref="DL44">_xlfn.IFS(DL$1= 0,"", NOT(ISBLANK(CU44)), 0, ISBLANK(CU44), $Q44-$S44+BG44-CD44)</f>
        <v/>
      </c>
      <c r="DM44" s="172" t="str" cm="1">
        <f t="array" ref="DM44">_xlfn.IFS(DM$1= 0,"", NOT(ISBLANK(CV44)), 0, ISBLANK(CV44), $Q44-$S44+BH44-CE44)</f>
        <v/>
      </c>
      <c r="DN44" s="172" t="str" cm="1">
        <f t="array" ref="DN44">_xlfn.IFS(DN$1= 0,"", NOT(ISBLANK(CW44)), 0, ISBLANK(CW44), $Q44-$S44+BI44-CF44)</f>
        <v/>
      </c>
      <c r="DO44" s="172" t="str" cm="1">
        <f t="array" ref="DO44">_xlfn.IFS(DO$1= 0,"", NOT(ISBLANK(CX44)), 0, ISBLANK(CX44), $Q44-$S44+BJ44-CG44)</f>
        <v/>
      </c>
      <c r="DP44" s="172" t="str" cm="1">
        <f t="array" ref="DP44">_xlfn.IFS(DP$1= 0,"", NOT(ISBLANK(CY44)), 0, ISBLANK(CY44), $Q44-$S44+BK44-CH44)</f>
        <v/>
      </c>
      <c r="DQ44" s="172" t="str" cm="1">
        <f t="array" ref="DQ44">_xlfn.IFS(DQ$1= 0,"", NOT(ISBLANK(CZ44)), 0, ISBLANK(CZ44), $Q44-$S44+BL44-CI44)</f>
        <v/>
      </c>
      <c r="DR44" s="173" t="str" cm="1">
        <f t="array" ref="DR44">_xlfn.IFS(DR$1= 0,"", NOT(ISBLANK(DA44)), 0, ISBLANK(DA44), $Q44-$S44+BM44-CJ44)</f>
        <v/>
      </c>
    </row>
    <row r="45" spans="1:122" ht="16.5" customHeight="1" x14ac:dyDescent="0.3">
      <c r="A45" s="145"/>
      <c r="B45" s="146"/>
      <c r="C45" s="146"/>
      <c r="D45" s="147"/>
      <c r="E45" s="202"/>
      <c r="F45" s="210"/>
      <c r="G45" s="211"/>
      <c r="H45" s="211"/>
      <c r="I45" s="211"/>
      <c r="J45" s="211"/>
      <c r="K45" s="211"/>
      <c r="L45" s="211"/>
      <c r="M45" s="215"/>
      <c r="N45" s="210"/>
      <c r="O45" s="212"/>
      <c r="P45" s="205"/>
      <c r="Q45" s="128">
        <f t="shared" si="34"/>
        <v>0</v>
      </c>
      <c r="R45" s="3"/>
      <c r="S45" s="3"/>
      <c r="T45" s="4"/>
      <c r="U45" s="4"/>
      <c r="V45" s="109">
        <f t="shared" si="35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112.53151914019467</v>
      </c>
      <c r="AI45" s="150">
        <f t="array" ref="AI45">IF(AI$1=0,"",SQRT((_xlfn.XLOOKUP(AI$1,$Z$2:$Z$18,$AA$2:$AA$18)-$T45)^2+(_xlfn.XLOOKUP(AI$1,$Z$2:$Z$18,$AB$2:$AB$18)-$U45)^2+(_xlfn.XLOOKUP(AI$1,$Z$2:$Z$18,$AC$2:$AC$18-$V45)^2)))</f>
        <v>123.81444705687622</v>
      </c>
      <c r="AJ45" s="150">
        <f t="array" ref="AJ45">IF(AJ$1=0,"",SQRT((_xlfn.XLOOKUP(AJ$1,$Z$2:$Z$18,$AA$2:$AA$18)-$T45)^2+(_xlfn.XLOOKUP(AJ$1,$Z$2:$Z$18,$AB$2:$AB$18)-$U45)^2+(_xlfn.XLOOKUP(AJ$1,$Z$2:$Z$18,$AC$2:$AC$18-$V45)^2)))</f>
        <v>226.27326421828982</v>
      </c>
      <c r="AK45" s="150">
        <f t="array" ref="AK45">IF(AK$1=0,"",SQRT((_xlfn.XLOOKUP(AK$1,$Z$2:$Z$18,$AA$2:$AA$18)-$T45)^2+(_xlfn.XLOOKUP(AK$1,$Z$2:$Z$18,$AB$2:$AB$18)-$U45)^2+(_xlfn.XLOOKUP(AK$1,$Z$2:$Z$18,$AC$2:$AC$18-$V45)^2)))</f>
        <v>330.89448786584524</v>
      </c>
      <c r="AL45" s="150">
        <f t="array" ref="AL45">IF(AL$1=0,"",SQRT((_xlfn.XLOOKUP(AL$1,$Z$2:$Z$18,$AA$2:$AA$18)-$T45)^2+(_xlfn.XLOOKUP(AL$1,$Z$2:$Z$18,$AB$2:$AB$18)-$U45)^2+(_xlfn.XLOOKUP(AL$1,$Z$2:$Z$18,$AC$2:$AC$18-$V45)^2)))</f>
        <v>218.97662386656708</v>
      </c>
      <c r="AM45" s="150" t="str">
        <f t="array" ref="AM45">IF(AM$1=0,"",SQRT((_xlfn.XLOOKUP(AM$1,$Z$2:$Z$18,$AA$2:$AA$18)-$T45)^2+(_xlfn.XLOOKUP(AM$1,$Z$2:$Z$18,$AB$2:$AB$18)-$U45)^2+(_xlfn.XLOOKUP(AM$1,$Z$2:$Z$18,$AC$2:$AC$18-$V45)^2)))</f>
        <v/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36"/>
        <v>0</v>
      </c>
      <c r="AZ45" s="153">
        <f t="shared" si="37"/>
        <v>0</v>
      </c>
      <c r="BA45" s="153">
        <f t="shared" si="38"/>
        <v>0</v>
      </c>
      <c r="BB45" s="153">
        <f t="shared" si="39"/>
        <v>0</v>
      </c>
      <c r="BC45" s="153">
        <f t="shared" si="40"/>
        <v>0</v>
      </c>
      <c r="BD45" s="153">
        <f t="shared" si="41"/>
        <v>0</v>
      </c>
      <c r="BE45" s="153">
        <f t="shared" si="42"/>
        <v>0</v>
      </c>
      <c r="BF45" s="153">
        <f t="shared" si="43"/>
        <v>0</v>
      </c>
      <c r="BG45" s="154">
        <f t="shared" si="44"/>
        <v>0</v>
      </c>
      <c r="BH45" s="154">
        <f t="shared" si="45"/>
        <v>0</v>
      </c>
      <c r="BI45" s="154">
        <f t="shared" si="46"/>
        <v>0</v>
      </c>
      <c r="BJ45" s="154">
        <f t="shared" si="47"/>
        <v>0</v>
      </c>
      <c r="BK45" s="154">
        <f t="shared" si="48"/>
        <v>0</v>
      </c>
      <c r="BL45" s="154">
        <f t="shared" si="49"/>
        <v>0</v>
      </c>
      <c r="BM45" s="155">
        <f t="shared" si="50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L45" s="134"/>
      <c r="CM45" s="140"/>
      <c r="CN45" s="140"/>
      <c r="CO45" s="140"/>
      <c r="CP45" s="140"/>
      <c r="CQ45" s="140"/>
      <c r="CR45" s="140"/>
      <c r="CS45" s="140"/>
      <c r="CT45" s="140"/>
      <c r="CU45" s="140"/>
      <c r="CV45" s="140"/>
      <c r="CW45" s="140"/>
      <c r="CX45" s="140"/>
      <c r="CY45" s="140"/>
      <c r="CZ45" s="140"/>
      <c r="DA45" s="140"/>
      <c r="DB45" s="134"/>
      <c r="DC45" s="134"/>
      <c r="DD45" s="169" cm="1">
        <f t="array" ref="DD45">_xlfn.IFS(DD$1= 0,"", NOT(ISBLANK(CM45)), 0, ISBLANK(CM45), $Q45-$S45+AY45-BV45)</f>
        <v>0</v>
      </c>
      <c r="DE45" s="170" cm="1">
        <f t="array" ref="DE45">_xlfn.IFS(DE$1= 0,"", NOT(ISBLANK(CN45)), 0, ISBLANK(CN45), $Q45-$S45+AZ45-BW45)</f>
        <v>0</v>
      </c>
      <c r="DF45" s="170" cm="1">
        <f t="array" ref="DF45">_xlfn.IFS(DF$1= 0,"", NOT(ISBLANK(CO45)), 0, ISBLANK(CO45), $Q45-$S45+BA45-BX45)</f>
        <v>0</v>
      </c>
      <c r="DG45" s="170" cm="1">
        <f t="array" ref="DG45">_xlfn.IFS(DG$1= 0,"", NOT(ISBLANK(CP45)), 0, ISBLANK(CP45), $Q45-$S45+BB45-BY45)</f>
        <v>0</v>
      </c>
      <c r="DH45" s="170" cm="1">
        <f t="array" ref="DH45">_xlfn.IFS(DH$1= 0,"", NOT(ISBLANK(CQ45)), 0, ISBLANK(CQ45), $Q45-$S45+BC45-BZ45)</f>
        <v>0</v>
      </c>
      <c r="DI45" s="170" t="str" cm="1">
        <f t="array" ref="DI45">_xlfn.IFS(DI$1= 0,"", NOT(ISBLANK(CR45)), 0, ISBLANK(CR45), $Q45-$S45+BD45-CA45)</f>
        <v/>
      </c>
      <c r="DJ45" s="170" t="str" cm="1">
        <f t="array" ref="DJ45">_xlfn.IFS(DJ$1= 0,"", NOT(ISBLANK(CS45)), 0, ISBLANK(CS45), $Q45-$S45+BE45-CB45)</f>
        <v/>
      </c>
      <c r="DK45" s="170" t="str" cm="1">
        <f t="array" ref="DK45">_xlfn.IFS(DK$1= 0,"", NOT(ISBLANK(CT45)), 0, ISBLANK(CT45), $Q45-$S45+BF45-CC45)</f>
        <v/>
      </c>
      <c r="DL45" s="172" t="str" cm="1">
        <f t="array" ref="DL45">_xlfn.IFS(DL$1= 0,"", NOT(ISBLANK(CU45)), 0, ISBLANK(CU45), $Q45-$S45+BG45-CD45)</f>
        <v/>
      </c>
      <c r="DM45" s="172" t="str" cm="1">
        <f t="array" ref="DM45">_xlfn.IFS(DM$1= 0,"", NOT(ISBLANK(CV45)), 0, ISBLANK(CV45), $Q45-$S45+BH45-CE45)</f>
        <v/>
      </c>
      <c r="DN45" s="172" t="str" cm="1">
        <f t="array" ref="DN45">_xlfn.IFS(DN$1= 0,"", NOT(ISBLANK(CW45)), 0, ISBLANK(CW45), $Q45-$S45+BI45-CF45)</f>
        <v/>
      </c>
      <c r="DO45" s="172" t="str" cm="1">
        <f t="array" ref="DO45">_xlfn.IFS(DO$1= 0,"", NOT(ISBLANK(CX45)), 0, ISBLANK(CX45), $Q45-$S45+BJ45-CG45)</f>
        <v/>
      </c>
      <c r="DP45" s="172" t="str" cm="1">
        <f t="array" ref="DP45">_xlfn.IFS(DP$1= 0,"", NOT(ISBLANK(CY45)), 0, ISBLANK(CY45), $Q45-$S45+BK45-CH45)</f>
        <v/>
      </c>
      <c r="DQ45" s="172" t="str" cm="1">
        <f t="array" ref="DQ45">_xlfn.IFS(DQ$1= 0,"", NOT(ISBLANK(CZ45)), 0, ISBLANK(CZ45), $Q45-$S45+BL45-CI45)</f>
        <v/>
      </c>
      <c r="DR45" s="173" t="str" cm="1">
        <f t="array" ref="DR45">_xlfn.IFS(DR$1= 0,"", NOT(ISBLANK(DA45)), 0, ISBLANK(DA45), $Q45-$S45+BM45-CJ45)</f>
        <v/>
      </c>
    </row>
    <row r="46" spans="1:122" ht="16.5" customHeight="1" x14ac:dyDescent="0.3">
      <c r="A46" s="145"/>
      <c r="B46" s="146"/>
      <c r="C46" s="146"/>
      <c r="D46" s="147"/>
      <c r="E46" s="202"/>
      <c r="F46" s="210"/>
      <c r="G46" s="211"/>
      <c r="H46" s="211"/>
      <c r="I46" s="211"/>
      <c r="J46" s="211"/>
      <c r="K46" s="211"/>
      <c r="L46" s="211"/>
      <c r="M46" s="215"/>
      <c r="N46" s="210"/>
      <c r="O46" s="212"/>
      <c r="P46" s="205"/>
      <c r="Q46" s="128">
        <f t="shared" si="34"/>
        <v>0</v>
      </c>
      <c r="R46" s="3"/>
      <c r="S46" s="3"/>
      <c r="T46" s="4"/>
      <c r="U46" s="4"/>
      <c r="V46" s="109">
        <f t="shared" si="35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112.53151914019467</v>
      </c>
      <c r="AI46" s="150">
        <f t="array" ref="AI46">IF(AI$1=0,"",SQRT((_xlfn.XLOOKUP(AI$1,$Z$2:$Z$18,$AA$2:$AA$18)-$T46)^2+(_xlfn.XLOOKUP(AI$1,$Z$2:$Z$18,$AB$2:$AB$18)-$U46)^2+(_xlfn.XLOOKUP(AI$1,$Z$2:$Z$18,$AC$2:$AC$18-$V46)^2)))</f>
        <v>123.81444705687622</v>
      </c>
      <c r="AJ46" s="150">
        <f t="array" ref="AJ46">IF(AJ$1=0,"",SQRT((_xlfn.XLOOKUP(AJ$1,$Z$2:$Z$18,$AA$2:$AA$18)-$T46)^2+(_xlfn.XLOOKUP(AJ$1,$Z$2:$Z$18,$AB$2:$AB$18)-$U46)^2+(_xlfn.XLOOKUP(AJ$1,$Z$2:$Z$18,$AC$2:$AC$18-$V46)^2)))</f>
        <v>226.27326421828982</v>
      </c>
      <c r="AK46" s="150">
        <f t="array" ref="AK46">IF(AK$1=0,"",SQRT((_xlfn.XLOOKUP(AK$1,$Z$2:$Z$18,$AA$2:$AA$18)-$T46)^2+(_xlfn.XLOOKUP(AK$1,$Z$2:$Z$18,$AB$2:$AB$18)-$U46)^2+(_xlfn.XLOOKUP(AK$1,$Z$2:$Z$18,$AC$2:$AC$18-$V46)^2)))</f>
        <v>330.89448786584524</v>
      </c>
      <c r="AL46" s="150">
        <f t="array" ref="AL46">IF(AL$1=0,"",SQRT((_xlfn.XLOOKUP(AL$1,$Z$2:$Z$18,$AA$2:$AA$18)-$T46)^2+(_xlfn.XLOOKUP(AL$1,$Z$2:$Z$18,$AB$2:$AB$18)-$U46)^2+(_xlfn.XLOOKUP(AL$1,$Z$2:$Z$18,$AC$2:$AC$18-$V46)^2)))</f>
        <v>218.97662386656708</v>
      </c>
      <c r="AM46" s="150" t="str">
        <f t="array" ref="AM46">IF(AM$1=0,"",SQRT((_xlfn.XLOOKUP(AM$1,$Z$2:$Z$18,$AA$2:$AA$18)-$T46)^2+(_xlfn.XLOOKUP(AM$1,$Z$2:$Z$18,$AB$2:$AB$18)-$U46)^2+(_xlfn.XLOOKUP(AM$1,$Z$2:$Z$18,$AC$2:$AC$18-$V46)^2)))</f>
        <v/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36"/>
        <v>0</v>
      </c>
      <c r="AZ46" s="153">
        <f t="shared" si="37"/>
        <v>0</v>
      </c>
      <c r="BA46" s="153">
        <f t="shared" si="38"/>
        <v>0</v>
      </c>
      <c r="BB46" s="153">
        <f t="shared" si="39"/>
        <v>0</v>
      </c>
      <c r="BC46" s="153">
        <f t="shared" si="40"/>
        <v>0</v>
      </c>
      <c r="BD46" s="153">
        <f t="shared" si="41"/>
        <v>0</v>
      </c>
      <c r="BE46" s="153">
        <f t="shared" si="42"/>
        <v>0</v>
      </c>
      <c r="BF46" s="153">
        <f t="shared" si="43"/>
        <v>0</v>
      </c>
      <c r="BG46" s="154">
        <f t="shared" si="44"/>
        <v>0</v>
      </c>
      <c r="BH46" s="154">
        <f t="shared" si="45"/>
        <v>0</v>
      </c>
      <c r="BI46" s="154">
        <f t="shared" si="46"/>
        <v>0</v>
      </c>
      <c r="BJ46" s="154">
        <f t="shared" si="47"/>
        <v>0</v>
      </c>
      <c r="BK46" s="154">
        <f t="shared" si="48"/>
        <v>0</v>
      </c>
      <c r="BL46" s="154">
        <f t="shared" si="49"/>
        <v>0</v>
      </c>
      <c r="BM46" s="155">
        <f t="shared" si="50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L46" s="134"/>
      <c r="CM46" s="140"/>
      <c r="CN46" s="140"/>
      <c r="CO46" s="140"/>
      <c r="CP46" s="140"/>
      <c r="CQ46" s="140"/>
      <c r="CR46" s="140"/>
      <c r="CS46" s="140"/>
      <c r="CT46" s="140"/>
      <c r="CU46" s="140"/>
      <c r="CV46" s="140"/>
      <c r="CW46" s="140"/>
      <c r="CX46" s="140"/>
      <c r="CY46" s="140"/>
      <c r="CZ46" s="140"/>
      <c r="DA46" s="140"/>
      <c r="DB46" s="134"/>
      <c r="DC46" s="134"/>
      <c r="DD46" s="169" cm="1">
        <f t="array" ref="DD46">_xlfn.IFS(DD$1= 0,"", NOT(ISBLANK(CM46)), 0, ISBLANK(CM46), $Q46-$S46+AY46-BV46)</f>
        <v>0</v>
      </c>
      <c r="DE46" s="170" cm="1">
        <f t="array" ref="DE46">_xlfn.IFS(DE$1= 0,"", NOT(ISBLANK(CN46)), 0, ISBLANK(CN46), $Q46-$S46+AZ46-BW46)</f>
        <v>0</v>
      </c>
      <c r="DF46" s="170" cm="1">
        <f t="array" ref="DF46">_xlfn.IFS(DF$1= 0,"", NOT(ISBLANK(CO46)), 0, ISBLANK(CO46), $Q46-$S46+BA46-BX46)</f>
        <v>0</v>
      </c>
      <c r="DG46" s="170" cm="1">
        <f t="array" ref="DG46">_xlfn.IFS(DG$1= 0,"", NOT(ISBLANK(CP46)), 0, ISBLANK(CP46), $Q46-$S46+BB46-BY46)</f>
        <v>0</v>
      </c>
      <c r="DH46" s="170" cm="1">
        <f t="array" ref="DH46">_xlfn.IFS(DH$1= 0,"", NOT(ISBLANK(CQ46)), 0, ISBLANK(CQ46), $Q46-$S46+BC46-BZ46)</f>
        <v>0</v>
      </c>
      <c r="DI46" s="170" t="str" cm="1">
        <f t="array" ref="DI46">_xlfn.IFS(DI$1= 0,"", NOT(ISBLANK(CR46)), 0, ISBLANK(CR46), $Q46-$S46+BD46-CA46)</f>
        <v/>
      </c>
      <c r="DJ46" s="170" t="str" cm="1">
        <f t="array" ref="DJ46">_xlfn.IFS(DJ$1= 0,"", NOT(ISBLANK(CS46)), 0, ISBLANK(CS46), $Q46-$S46+BE46-CB46)</f>
        <v/>
      </c>
      <c r="DK46" s="170" t="str" cm="1">
        <f t="array" ref="DK46">_xlfn.IFS(DK$1= 0,"", NOT(ISBLANK(CT46)), 0, ISBLANK(CT46), $Q46-$S46+BF46-CC46)</f>
        <v/>
      </c>
      <c r="DL46" s="172" t="str" cm="1">
        <f t="array" ref="DL46">_xlfn.IFS(DL$1= 0,"", NOT(ISBLANK(CU46)), 0, ISBLANK(CU46), $Q46-$S46+BG46-CD46)</f>
        <v/>
      </c>
      <c r="DM46" s="172" t="str" cm="1">
        <f t="array" ref="DM46">_xlfn.IFS(DM$1= 0,"", NOT(ISBLANK(CV46)), 0, ISBLANK(CV46), $Q46-$S46+BH46-CE46)</f>
        <v/>
      </c>
      <c r="DN46" s="172" t="str" cm="1">
        <f t="array" ref="DN46">_xlfn.IFS(DN$1= 0,"", NOT(ISBLANK(CW46)), 0, ISBLANK(CW46), $Q46-$S46+BI46-CF46)</f>
        <v/>
      </c>
      <c r="DO46" s="172" t="str" cm="1">
        <f t="array" ref="DO46">_xlfn.IFS(DO$1= 0,"", NOT(ISBLANK(CX46)), 0, ISBLANK(CX46), $Q46-$S46+BJ46-CG46)</f>
        <v/>
      </c>
      <c r="DP46" s="172" t="str" cm="1">
        <f t="array" ref="DP46">_xlfn.IFS(DP$1= 0,"", NOT(ISBLANK(CY46)), 0, ISBLANK(CY46), $Q46-$S46+BK46-CH46)</f>
        <v/>
      </c>
      <c r="DQ46" s="172" t="str" cm="1">
        <f t="array" ref="DQ46">_xlfn.IFS(DQ$1= 0,"", NOT(ISBLANK(CZ46)), 0, ISBLANK(CZ46), $Q46-$S46+BL46-CI46)</f>
        <v/>
      </c>
      <c r="DR46" s="173" t="str" cm="1">
        <f t="array" ref="DR46">_xlfn.IFS(DR$1= 0,"", NOT(ISBLANK(DA46)), 0, ISBLANK(DA46), $Q46-$S46+BM46-CJ46)</f>
        <v/>
      </c>
    </row>
    <row r="47" spans="1:122" ht="16.5" customHeight="1" x14ac:dyDescent="0.3">
      <c r="A47" s="145"/>
      <c r="B47" s="146"/>
      <c r="C47" s="146"/>
      <c r="D47" s="147"/>
      <c r="E47" s="202"/>
      <c r="F47" s="210"/>
      <c r="G47" s="211"/>
      <c r="H47" s="211"/>
      <c r="I47" s="211"/>
      <c r="J47" s="211"/>
      <c r="K47" s="211"/>
      <c r="L47" s="211"/>
      <c r="M47" s="215"/>
      <c r="N47" s="210"/>
      <c r="O47" s="212"/>
      <c r="P47" s="205"/>
      <c r="Q47" s="128">
        <f t="shared" si="34"/>
        <v>0</v>
      </c>
      <c r="R47" s="3"/>
      <c r="S47" s="3"/>
      <c r="T47" s="4"/>
      <c r="U47" s="4"/>
      <c r="V47" s="109">
        <f t="shared" si="35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112.53151914019467</v>
      </c>
      <c r="AI47" s="150">
        <f t="array" ref="AI47">IF(AI$1=0,"",SQRT((_xlfn.XLOOKUP(AI$1,$Z$2:$Z$18,$AA$2:$AA$18)-$T47)^2+(_xlfn.XLOOKUP(AI$1,$Z$2:$Z$18,$AB$2:$AB$18)-$U47)^2+(_xlfn.XLOOKUP(AI$1,$Z$2:$Z$18,$AC$2:$AC$18-$V47)^2)))</f>
        <v>123.81444705687622</v>
      </c>
      <c r="AJ47" s="150">
        <f t="array" ref="AJ47">IF(AJ$1=0,"",SQRT((_xlfn.XLOOKUP(AJ$1,$Z$2:$Z$18,$AA$2:$AA$18)-$T47)^2+(_xlfn.XLOOKUP(AJ$1,$Z$2:$Z$18,$AB$2:$AB$18)-$U47)^2+(_xlfn.XLOOKUP(AJ$1,$Z$2:$Z$18,$AC$2:$AC$18-$V47)^2)))</f>
        <v>226.27326421828982</v>
      </c>
      <c r="AK47" s="150">
        <f t="array" ref="AK47">IF(AK$1=0,"",SQRT((_xlfn.XLOOKUP(AK$1,$Z$2:$Z$18,$AA$2:$AA$18)-$T47)^2+(_xlfn.XLOOKUP(AK$1,$Z$2:$Z$18,$AB$2:$AB$18)-$U47)^2+(_xlfn.XLOOKUP(AK$1,$Z$2:$Z$18,$AC$2:$AC$18-$V47)^2)))</f>
        <v>330.89448786584524</v>
      </c>
      <c r="AL47" s="150">
        <f t="array" ref="AL47">IF(AL$1=0,"",SQRT((_xlfn.XLOOKUP(AL$1,$Z$2:$Z$18,$AA$2:$AA$18)-$T47)^2+(_xlfn.XLOOKUP(AL$1,$Z$2:$Z$18,$AB$2:$AB$18)-$U47)^2+(_xlfn.XLOOKUP(AL$1,$Z$2:$Z$18,$AC$2:$AC$18-$V47)^2)))</f>
        <v>218.97662386656708</v>
      </c>
      <c r="AM47" s="150" t="str">
        <f t="array" ref="AM47">IF(AM$1=0,"",SQRT((_xlfn.XLOOKUP(AM$1,$Z$2:$Z$18,$AA$2:$AA$18)-$T47)^2+(_xlfn.XLOOKUP(AM$1,$Z$2:$Z$18,$AB$2:$AB$18)-$U47)^2+(_xlfn.XLOOKUP(AM$1,$Z$2:$Z$18,$AC$2:$AC$18-$V47)^2)))</f>
        <v/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36"/>
        <v>0</v>
      </c>
      <c r="AZ47" s="153">
        <f t="shared" si="37"/>
        <v>0</v>
      </c>
      <c r="BA47" s="153">
        <f t="shared" si="38"/>
        <v>0</v>
      </c>
      <c r="BB47" s="153">
        <f t="shared" si="39"/>
        <v>0</v>
      </c>
      <c r="BC47" s="153">
        <f t="shared" si="40"/>
        <v>0</v>
      </c>
      <c r="BD47" s="153">
        <f t="shared" si="41"/>
        <v>0</v>
      </c>
      <c r="BE47" s="153">
        <f t="shared" si="42"/>
        <v>0</v>
      </c>
      <c r="BF47" s="153">
        <f t="shared" si="43"/>
        <v>0</v>
      </c>
      <c r="BG47" s="154">
        <f t="shared" si="44"/>
        <v>0</v>
      </c>
      <c r="BH47" s="154">
        <f t="shared" si="45"/>
        <v>0</v>
      </c>
      <c r="BI47" s="154">
        <f t="shared" si="46"/>
        <v>0</v>
      </c>
      <c r="BJ47" s="154">
        <f t="shared" si="47"/>
        <v>0</v>
      </c>
      <c r="BK47" s="154">
        <f t="shared" si="48"/>
        <v>0</v>
      </c>
      <c r="BL47" s="154">
        <f t="shared" si="49"/>
        <v>0</v>
      </c>
      <c r="BM47" s="155">
        <f t="shared" si="50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L47" s="134"/>
      <c r="CM47" s="140"/>
      <c r="CN47" s="140"/>
      <c r="CO47" s="140"/>
      <c r="CP47" s="140"/>
      <c r="CQ47" s="140"/>
      <c r="CR47" s="140"/>
      <c r="CS47" s="140"/>
      <c r="CT47" s="140"/>
      <c r="CU47" s="140"/>
      <c r="CV47" s="140"/>
      <c r="CW47" s="140"/>
      <c r="CX47" s="140"/>
      <c r="CY47" s="140"/>
      <c r="CZ47" s="140"/>
      <c r="DA47" s="140"/>
      <c r="DB47" s="134"/>
      <c r="DC47" s="134"/>
      <c r="DD47" s="169" cm="1">
        <f t="array" ref="DD47">_xlfn.IFS(DD$1= 0,"", NOT(ISBLANK(CM47)), 0, ISBLANK(CM47), $Q47-$S47+AY47-BV47)</f>
        <v>0</v>
      </c>
      <c r="DE47" s="170" cm="1">
        <f t="array" ref="DE47">_xlfn.IFS(DE$1= 0,"", NOT(ISBLANK(CN47)), 0, ISBLANK(CN47), $Q47-$S47+AZ47-BW47)</f>
        <v>0</v>
      </c>
      <c r="DF47" s="170" cm="1">
        <f t="array" ref="DF47">_xlfn.IFS(DF$1= 0,"", NOT(ISBLANK(CO47)), 0, ISBLANK(CO47), $Q47-$S47+BA47-BX47)</f>
        <v>0</v>
      </c>
      <c r="DG47" s="170" cm="1">
        <f t="array" ref="DG47">_xlfn.IFS(DG$1= 0,"", NOT(ISBLANK(CP47)), 0, ISBLANK(CP47), $Q47-$S47+BB47-BY47)</f>
        <v>0</v>
      </c>
      <c r="DH47" s="170" cm="1">
        <f t="array" ref="DH47">_xlfn.IFS(DH$1= 0,"", NOT(ISBLANK(CQ47)), 0, ISBLANK(CQ47), $Q47-$S47+BC47-BZ47)</f>
        <v>0</v>
      </c>
      <c r="DI47" s="170" t="str" cm="1">
        <f t="array" ref="DI47">_xlfn.IFS(DI$1= 0,"", NOT(ISBLANK(CR47)), 0, ISBLANK(CR47), $Q47-$S47+BD47-CA47)</f>
        <v/>
      </c>
      <c r="DJ47" s="170" t="str" cm="1">
        <f t="array" ref="DJ47">_xlfn.IFS(DJ$1= 0,"", NOT(ISBLANK(CS47)), 0, ISBLANK(CS47), $Q47-$S47+BE47-CB47)</f>
        <v/>
      </c>
      <c r="DK47" s="170" t="str" cm="1">
        <f t="array" ref="DK47">_xlfn.IFS(DK$1= 0,"", NOT(ISBLANK(CT47)), 0, ISBLANK(CT47), $Q47-$S47+BF47-CC47)</f>
        <v/>
      </c>
      <c r="DL47" s="172" t="str" cm="1">
        <f t="array" ref="DL47">_xlfn.IFS(DL$1= 0,"", NOT(ISBLANK(CU47)), 0, ISBLANK(CU47), $Q47-$S47+BG47-CD47)</f>
        <v/>
      </c>
      <c r="DM47" s="172" t="str" cm="1">
        <f t="array" ref="DM47">_xlfn.IFS(DM$1= 0,"", NOT(ISBLANK(CV47)), 0, ISBLANK(CV47), $Q47-$S47+BH47-CE47)</f>
        <v/>
      </c>
      <c r="DN47" s="172" t="str" cm="1">
        <f t="array" ref="DN47">_xlfn.IFS(DN$1= 0,"", NOT(ISBLANK(CW47)), 0, ISBLANK(CW47), $Q47-$S47+BI47-CF47)</f>
        <v/>
      </c>
      <c r="DO47" s="172" t="str" cm="1">
        <f t="array" ref="DO47">_xlfn.IFS(DO$1= 0,"", NOT(ISBLANK(CX47)), 0, ISBLANK(CX47), $Q47-$S47+BJ47-CG47)</f>
        <v/>
      </c>
      <c r="DP47" s="172" t="str" cm="1">
        <f t="array" ref="DP47">_xlfn.IFS(DP$1= 0,"", NOT(ISBLANK(CY47)), 0, ISBLANK(CY47), $Q47-$S47+BK47-CH47)</f>
        <v/>
      </c>
      <c r="DQ47" s="172" t="str" cm="1">
        <f t="array" ref="DQ47">_xlfn.IFS(DQ$1= 0,"", NOT(ISBLANK(CZ47)), 0, ISBLANK(CZ47), $Q47-$S47+BL47-CI47)</f>
        <v/>
      </c>
      <c r="DR47" s="173" t="str" cm="1">
        <f t="array" ref="DR47">_xlfn.IFS(DR$1= 0,"", NOT(ISBLANK(DA47)), 0, ISBLANK(DA47), $Q47-$S47+BM47-CJ47)</f>
        <v/>
      </c>
    </row>
    <row r="48" spans="1:122" ht="16.5" customHeight="1" x14ac:dyDescent="0.3">
      <c r="A48" s="145"/>
      <c r="B48" s="146"/>
      <c r="C48" s="146"/>
      <c r="D48" s="147"/>
      <c r="E48" s="202"/>
      <c r="F48" s="210"/>
      <c r="G48" s="211"/>
      <c r="H48" s="211"/>
      <c r="I48" s="211"/>
      <c r="J48" s="211"/>
      <c r="K48" s="211"/>
      <c r="L48" s="211"/>
      <c r="M48" s="215"/>
      <c r="N48" s="210"/>
      <c r="O48" s="212"/>
      <c r="P48" s="205"/>
      <c r="Q48" s="128">
        <f t="shared" si="34"/>
        <v>0</v>
      </c>
      <c r="R48" s="3"/>
      <c r="S48" s="3"/>
      <c r="T48" s="4"/>
      <c r="U48" s="4"/>
      <c r="V48" s="109">
        <f t="shared" si="35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112.53151914019467</v>
      </c>
      <c r="AI48" s="150">
        <f t="array" ref="AI48">IF(AI$1=0,"",SQRT((_xlfn.XLOOKUP(AI$1,$Z$2:$Z$18,$AA$2:$AA$18)-$T48)^2+(_xlfn.XLOOKUP(AI$1,$Z$2:$Z$18,$AB$2:$AB$18)-$U48)^2+(_xlfn.XLOOKUP(AI$1,$Z$2:$Z$18,$AC$2:$AC$18-$V48)^2)))</f>
        <v>123.81444705687622</v>
      </c>
      <c r="AJ48" s="150">
        <f t="array" ref="AJ48">IF(AJ$1=0,"",SQRT((_xlfn.XLOOKUP(AJ$1,$Z$2:$Z$18,$AA$2:$AA$18)-$T48)^2+(_xlfn.XLOOKUP(AJ$1,$Z$2:$Z$18,$AB$2:$AB$18)-$U48)^2+(_xlfn.XLOOKUP(AJ$1,$Z$2:$Z$18,$AC$2:$AC$18-$V48)^2)))</f>
        <v>226.27326421828982</v>
      </c>
      <c r="AK48" s="150">
        <f t="array" ref="AK48">IF(AK$1=0,"",SQRT((_xlfn.XLOOKUP(AK$1,$Z$2:$Z$18,$AA$2:$AA$18)-$T48)^2+(_xlfn.XLOOKUP(AK$1,$Z$2:$Z$18,$AB$2:$AB$18)-$U48)^2+(_xlfn.XLOOKUP(AK$1,$Z$2:$Z$18,$AC$2:$AC$18-$V48)^2)))</f>
        <v>330.89448786584524</v>
      </c>
      <c r="AL48" s="150">
        <f t="array" ref="AL48">IF(AL$1=0,"",SQRT((_xlfn.XLOOKUP(AL$1,$Z$2:$Z$18,$AA$2:$AA$18)-$T48)^2+(_xlfn.XLOOKUP(AL$1,$Z$2:$Z$18,$AB$2:$AB$18)-$U48)^2+(_xlfn.XLOOKUP(AL$1,$Z$2:$Z$18,$AC$2:$AC$18-$V48)^2)))</f>
        <v>218.97662386656708</v>
      </c>
      <c r="AM48" s="150" t="str">
        <f t="array" ref="AM48">IF(AM$1=0,"",SQRT((_xlfn.XLOOKUP(AM$1,$Z$2:$Z$18,$AA$2:$AA$18)-$T48)^2+(_xlfn.XLOOKUP(AM$1,$Z$2:$Z$18,$AB$2:$AB$18)-$U48)^2+(_xlfn.XLOOKUP(AM$1,$Z$2:$Z$18,$AC$2:$AC$18-$V48)^2)))</f>
        <v/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36"/>
        <v>0</v>
      </c>
      <c r="AZ48" s="153">
        <f t="shared" si="37"/>
        <v>0</v>
      </c>
      <c r="BA48" s="153">
        <f t="shared" si="38"/>
        <v>0</v>
      </c>
      <c r="BB48" s="153">
        <f t="shared" si="39"/>
        <v>0</v>
      </c>
      <c r="BC48" s="153">
        <f t="shared" si="40"/>
        <v>0</v>
      </c>
      <c r="BD48" s="153">
        <f t="shared" si="41"/>
        <v>0</v>
      </c>
      <c r="BE48" s="153">
        <f t="shared" si="42"/>
        <v>0</v>
      </c>
      <c r="BF48" s="153">
        <f t="shared" si="43"/>
        <v>0</v>
      </c>
      <c r="BG48" s="154">
        <f t="shared" si="44"/>
        <v>0</v>
      </c>
      <c r="BH48" s="154">
        <f t="shared" si="45"/>
        <v>0</v>
      </c>
      <c r="BI48" s="154">
        <f t="shared" si="46"/>
        <v>0</v>
      </c>
      <c r="BJ48" s="154">
        <f t="shared" si="47"/>
        <v>0</v>
      </c>
      <c r="BK48" s="154">
        <f t="shared" si="48"/>
        <v>0</v>
      </c>
      <c r="BL48" s="154">
        <f t="shared" si="49"/>
        <v>0</v>
      </c>
      <c r="BM48" s="155">
        <f t="shared" si="50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L48" s="134"/>
      <c r="CM48" s="140"/>
      <c r="CN48" s="140"/>
      <c r="CO48" s="140"/>
      <c r="CP48" s="140"/>
      <c r="CQ48" s="140"/>
      <c r="CR48" s="140"/>
      <c r="CS48" s="140"/>
      <c r="CT48" s="140"/>
      <c r="CU48" s="140"/>
      <c r="CV48" s="140"/>
      <c r="CW48" s="140"/>
      <c r="CX48" s="140"/>
      <c r="CY48" s="140"/>
      <c r="CZ48" s="140"/>
      <c r="DA48" s="140"/>
      <c r="DB48" s="134"/>
      <c r="DC48" s="134"/>
      <c r="DD48" s="169" cm="1">
        <f t="array" ref="DD48">_xlfn.IFS(DD$1= 0,"", NOT(ISBLANK(CM48)), 0, ISBLANK(CM48), $Q48-$S48+AY48-BV48)</f>
        <v>0</v>
      </c>
      <c r="DE48" s="170" cm="1">
        <f t="array" ref="DE48">_xlfn.IFS(DE$1= 0,"", NOT(ISBLANK(CN48)), 0, ISBLANK(CN48), $Q48-$S48+AZ48-BW48)</f>
        <v>0</v>
      </c>
      <c r="DF48" s="170" cm="1">
        <f t="array" ref="DF48">_xlfn.IFS(DF$1= 0,"", NOT(ISBLANK(CO48)), 0, ISBLANK(CO48), $Q48-$S48+BA48-BX48)</f>
        <v>0</v>
      </c>
      <c r="DG48" s="170" cm="1">
        <f t="array" ref="DG48">_xlfn.IFS(DG$1= 0,"", NOT(ISBLANK(CP48)), 0, ISBLANK(CP48), $Q48-$S48+BB48-BY48)</f>
        <v>0</v>
      </c>
      <c r="DH48" s="170" cm="1">
        <f t="array" ref="DH48">_xlfn.IFS(DH$1= 0,"", NOT(ISBLANK(CQ48)), 0, ISBLANK(CQ48), $Q48-$S48+BC48-BZ48)</f>
        <v>0</v>
      </c>
      <c r="DI48" s="170" t="str" cm="1">
        <f t="array" ref="DI48">_xlfn.IFS(DI$1= 0,"", NOT(ISBLANK(CR48)), 0, ISBLANK(CR48), $Q48-$S48+BD48-CA48)</f>
        <v/>
      </c>
      <c r="DJ48" s="170" t="str" cm="1">
        <f t="array" ref="DJ48">_xlfn.IFS(DJ$1= 0,"", NOT(ISBLANK(CS48)), 0, ISBLANK(CS48), $Q48-$S48+BE48-CB48)</f>
        <v/>
      </c>
      <c r="DK48" s="170" t="str" cm="1">
        <f t="array" ref="DK48">_xlfn.IFS(DK$1= 0,"", NOT(ISBLANK(CT48)), 0, ISBLANK(CT48), $Q48-$S48+BF48-CC48)</f>
        <v/>
      </c>
      <c r="DL48" s="172" t="str" cm="1">
        <f t="array" ref="DL48">_xlfn.IFS(DL$1= 0,"", NOT(ISBLANK(CU48)), 0, ISBLANK(CU48), $Q48-$S48+BG48-CD48)</f>
        <v/>
      </c>
      <c r="DM48" s="172" t="str" cm="1">
        <f t="array" ref="DM48">_xlfn.IFS(DM$1= 0,"", NOT(ISBLANK(CV48)), 0, ISBLANK(CV48), $Q48-$S48+BH48-CE48)</f>
        <v/>
      </c>
      <c r="DN48" s="172" t="str" cm="1">
        <f t="array" ref="DN48">_xlfn.IFS(DN$1= 0,"", NOT(ISBLANK(CW48)), 0, ISBLANK(CW48), $Q48-$S48+BI48-CF48)</f>
        <v/>
      </c>
      <c r="DO48" s="172" t="str" cm="1">
        <f t="array" ref="DO48">_xlfn.IFS(DO$1= 0,"", NOT(ISBLANK(CX48)), 0, ISBLANK(CX48), $Q48-$S48+BJ48-CG48)</f>
        <v/>
      </c>
      <c r="DP48" s="172" t="str" cm="1">
        <f t="array" ref="DP48">_xlfn.IFS(DP$1= 0,"", NOT(ISBLANK(CY48)), 0, ISBLANK(CY48), $Q48-$S48+BK48-CH48)</f>
        <v/>
      </c>
      <c r="DQ48" s="172" t="str" cm="1">
        <f t="array" ref="DQ48">_xlfn.IFS(DQ$1= 0,"", NOT(ISBLANK(CZ48)), 0, ISBLANK(CZ48), $Q48-$S48+BL48-CI48)</f>
        <v/>
      </c>
      <c r="DR48" s="173" t="str" cm="1">
        <f t="array" ref="DR48">_xlfn.IFS(DR$1= 0,"", NOT(ISBLANK(DA48)), 0, ISBLANK(DA48), $Q48-$S48+BM48-CJ48)</f>
        <v/>
      </c>
    </row>
    <row r="49" spans="1:122" ht="16.5" customHeight="1" x14ac:dyDescent="0.3">
      <c r="A49" s="145"/>
      <c r="B49" s="146"/>
      <c r="C49" s="146"/>
      <c r="D49" s="147"/>
      <c r="E49" s="202"/>
      <c r="F49" s="210"/>
      <c r="G49" s="211"/>
      <c r="H49" s="211"/>
      <c r="I49" s="211"/>
      <c r="J49" s="211"/>
      <c r="K49" s="211"/>
      <c r="L49" s="211"/>
      <c r="M49" s="215"/>
      <c r="N49" s="210"/>
      <c r="O49" s="212"/>
      <c r="P49" s="205"/>
      <c r="Q49" s="128">
        <f t="shared" si="34"/>
        <v>0</v>
      </c>
      <c r="R49" s="3"/>
      <c r="S49" s="3"/>
      <c r="T49" s="4"/>
      <c r="U49" s="4"/>
      <c r="V49" s="109">
        <f t="shared" si="35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112.53151914019467</v>
      </c>
      <c r="AI49" s="150">
        <f t="array" ref="AI49">IF(AI$1=0,"",SQRT((_xlfn.XLOOKUP(AI$1,$Z$2:$Z$18,$AA$2:$AA$18)-$T49)^2+(_xlfn.XLOOKUP(AI$1,$Z$2:$Z$18,$AB$2:$AB$18)-$U49)^2+(_xlfn.XLOOKUP(AI$1,$Z$2:$Z$18,$AC$2:$AC$18-$V49)^2)))</f>
        <v>123.81444705687622</v>
      </c>
      <c r="AJ49" s="150">
        <f t="array" ref="AJ49">IF(AJ$1=0,"",SQRT((_xlfn.XLOOKUP(AJ$1,$Z$2:$Z$18,$AA$2:$AA$18)-$T49)^2+(_xlfn.XLOOKUP(AJ$1,$Z$2:$Z$18,$AB$2:$AB$18)-$U49)^2+(_xlfn.XLOOKUP(AJ$1,$Z$2:$Z$18,$AC$2:$AC$18-$V49)^2)))</f>
        <v>226.27326421828982</v>
      </c>
      <c r="AK49" s="150">
        <f t="array" ref="AK49">IF(AK$1=0,"",SQRT((_xlfn.XLOOKUP(AK$1,$Z$2:$Z$18,$AA$2:$AA$18)-$T49)^2+(_xlfn.XLOOKUP(AK$1,$Z$2:$Z$18,$AB$2:$AB$18)-$U49)^2+(_xlfn.XLOOKUP(AK$1,$Z$2:$Z$18,$AC$2:$AC$18-$V49)^2)))</f>
        <v>330.89448786584524</v>
      </c>
      <c r="AL49" s="150">
        <f t="array" ref="AL49">IF(AL$1=0,"",SQRT((_xlfn.XLOOKUP(AL$1,$Z$2:$Z$18,$AA$2:$AA$18)-$T49)^2+(_xlfn.XLOOKUP(AL$1,$Z$2:$Z$18,$AB$2:$AB$18)-$U49)^2+(_xlfn.XLOOKUP(AL$1,$Z$2:$Z$18,$AC$2:$AC$18-$V49)^2)))</f>
        <v>218.97662386656708</v>
      </c>
      <c r="AM49" s="150" t="str">
        <f t="array" ref="AM49">IF(AM$1=0,"",SQRT((_xlfn.XLOOKUP(AM$1,$Z$2:$Z$18,$AA$2:$AA$18)-$T49)^2+(_xlfn.XLOOKUP(AM$1,$Z$2:$Z$18,$AB$2:$AB$18)-$U49)^2+(_xlfn.XLOOKUP(AM$1,$Z$2:$Z$18,$AC$2:$AC$18-$V49)^2)))</f>
        <v/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36"/>
        <v>0</v>
      </c>
      <c r="AZ49" s="153">
        <f t="shared" si="37"/>
        <v>0</v>
      </c>
      <c r="BA49" s="153">
        <f t="shared" si="38"/>
        <v>0</v>
      </c>
      <c r="BB49" s="153">
        <f t="shared" si="39"/>
        <v>0</v>
      </c>
      <c r="BC49" s="153">
        <f t="shared" si="40"/>
        <v>0</v>
      </c>
      <c r="BD49" s="153">
        <f t="shared" si="41"/>
        <v>0</v>
      </c>
      <c r="BE49" s="153">
        <f t="shared" si="42"/>
        <v>0</v>
      </c>
      <c r="BF49" s="153">
        <f t="shared" si="43"/>
        <v>0</v>
      </c>
      <c r="BG49" s="154">
        <f t="shared" si="44"/>
        <v>0</v>
      </c>
      <c r="BH49" s="154">
        <f t="shared" si="45"/>
        <v>0</v>
      </c>
      <c r="BI49" s="154">
        <f t="shared" si="46"/>
        <v>0</v>
      </c>
      <c r="BJ49" s="154">
        <f t="shared" si="47"/>
        <v>0</v>
      </c>
      <c r="BK49" s="154">
        <f t="shared" si="48"/>
        <v>0</v>
      </c>
      <c r="BL49" s="154">
        <f t="shared" si="49"/>
        <v>0</v>
      </c>
      <c r="BM49" s="155">
        <f t="shared" si="50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L49" s="134"/>
      <c r="CM49" s="140"/>
      <c r="CN49" s="140"/>
      <c r="CO49" s="140"/>
      <c r="CP49" s="140"/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34"/>
      <c r="DC49" s="134"/>
      <c r="DD49" s="169" cm="1">
        <f t="array" ref="DD49">_xlfn.IFS(DD$1= 0,"", NOT(ISBLANK(CM49)), 0, ISBLANK(CM49), $Q49-$S49+AY49-BV49)</f>
        <v>0</v>
      </c>
      <c r="DE49" s="170" cm="1">
        <f t="array" ref="DE49">_xlfn.IFS(DE$1= 0,"", NOT(ISBLANK(CN49)), 0, ISBLANK(CN49), $Q49-$S49+AZ49-BW49)</f>
        <v>0</v>
      </c>
      <c r="DF49" s="170" cm="1">
        <f t="array" ref="DF49">_xlfn.IFS(DF$1= 0,"", NOT(ISBLANK(CO49)), 0, ISBLANK(CO49), $Q49-$S49+BA49-BX49)</f>
        <v>0</v>
      </c>
      <c r="DG49" s="170" cm="1">
        <f t="array" ref="DG49">_xlfn.IFS(DG$1= 0,"", NOT(ISBLANK(CP49)), 0, ISBLANK(CP49), $Q49-$S49+BB49-BY49)</f>
        <v>0</v>
      </c>
      <c r="DH49" s="170" cm="1">
        <f t="array" ref="DH49">_xlfn.IFS(DH$1= 0,"", NOT(ISBLANK(CQ49)), 0, ISBLANK(CQ49), $Q49-$S49+BC49-BZ49)</f>
        <v>0</v>
      </c>
      <c r="DI49" s="170" t="str" cm="1">
        <f t="array" ref="DI49">_xlfn.IFS(DI$1= 0,"", NOT(ISBLANK(CR49)), 0, ISBLANK(CR49), $Q49-$S49+BD49-CA49)</f>
        <v/>
      </c>
      <c r="DJ49" s="170" t="str" cm="1">
        <f t="array" ref="DJ49">_xlfn.IFS(DJ$1= 0,"", NOT(ISBLANK(CS49)), 0, ISBLANK(CS49), $Q49-$S49+BE49-CB49)</f>
        <v/>
      </c>
      <c r="DK49" s="170" t="str" cm="1">
        <f t="array" ref="DK49">_xlfn.IFS(DK$1= 0,"", NOT(ISBLANK(CT49)), 0, ISBLANK(CT49), $Q49-$S49+BF49-CC49)</f>
        <v/>
      </c>
      <c r="DL49" s="172" t="str" cm="1">
        <f t="array" ref="DL49">_xlfn.IFS(DL$1= 0,"", NOT(ISBLANK(CU49)), 0, ISBLANK(CU49), $Q49-$S49+BG49-CD49)</f>
        <v/>
      </c>
      <c r="DM49" s="172" t="str" cm="1">
        <f t="array" ref="DM49">_xlfn.IFS(DM$1= 0,"", NOT(ISBLANK(CV49)), 0, ISBLANK(CV49), $Q49-$S49+BH49-CE49)</f>
        <v/>
      </c>
      <c r="DN49" s="172" t="str" cm="1">
        <f t="array" ref="DN49">_xlfn.IFS(DN$1= 0,"", NOT(ISBLANK(CW49)), 0, ISBLANK(CW49), $Q49-$S49+BI49-CF49)</f>
        <v/>
      </c>
      <c r="DO49" s="172" t="str" cm="1">
        <f t="array" ref="DO49">_xlfn.IFS(DO$1= 0,"", NOT(ISBLANK(CX49)), 0, ISBLANK(CX49), $Q49-$S49+BJ49-CG49)</f>
        <v/>
      </c>
      <c r="DP49" s="172" t="str" cm="1">
        <f t="array" ref="DP49">_xlfn.IFS(DP$1= 0,"", NOT(ISBLANK(CY49)), 0, ISBLANK(CY49), $Q49-$S49+BK49-CH49)</f>
        <v/>
      </c>
      <c r="DQ49" s="172" t="str" cm="1">
        <f t="array" ref="DQ49">_xlfn.IFS(DQ$1= 0,"", NOT(ISBLANK(CZ49)), 0, ISBLANK(CZ49), $Q49-$S49+BL49-CI49)</f>
        <v/>
      </c>
      <c r="DR49" s="17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45"/>
      <c r="B50" s="146"/>
      <c r="C50" s="146"/>
      <c r="D50" s="147"/>
      <c r="E50" s="202"/>
      <c r="F50" s="210"/>
      <c r="G50" s="211"/>
      <c r="H50" s="211"/>
      <c r="I50" s="211"/>
      <c r="J50" s="211"/>
      <c r="K50" s="211"/>
      <c r="L50" s="211"/>
      <c r="M50" s="215"/>
      <c r="N50" s="210"/>
      <c r="O50" s="212"/>
      <c r="P50" s="205"/>
      <c r="Q50" s="128">
        <f t="shared" si="34"/>
        <v>0</v>
      </c>
      <c r="R50" s="3"/>
      <c r="S50" s="3"/>
      <c r="T50" s="4"/>
      <c r="U50" s="4"/>
      <c r="V50" s="109">
        <f t="shared" si="35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112.53151914019467</v>
      </c>
      <c r="AI50" s="150">
        <f t="array" ref="AI50">IF(AI$1=0,"",SQRT((_xlfn.XLOOKUP(AI$1,$Z$2:$Z$18,$AA$2:$AA$18)-$T50)^2+(_xlfn.XLOOKUP(AI$1,$Z$2:$Z$18,$AB$2:$AB$18)-$U50)^2+(_xlfn.XLOOKUP(AI$1,$Z$2:$Z$18,$AC$2:$AC$18-$V50)^2)))</f>
        <v>123.81444705687622</v>
      </c>
      <c r="AJ50" s="150">
        <f t="array" ref="AJ50">IF(AJ$1=0,"",SQRT((_xlfn.XLOOKUP(AJ$1,$Z$2:$Z$18,$AA$2:$AA$18)-$T50)^2+(_xlfn.XLOOKUP(AJ$1,$Z$2:$Z$18,$AB$2:$AB$18)-$U50)^2+(_xlfn.XLOOKUP(AJ$1,$Z$2:$Z$18,$AC$2:$AC$18-$V50)^2)))</f>
        <v>226.27326421828982</v>
      </c>
      <c r="AK50" s="150">
        <f t="array" ref="AK50">IF(AK$1=0,"",SQRT((_xlfn.XLOOKUP(AK$1,$Z$2:$Z$18,$AA$2:$AA$18)-$T50)^2+(_xlfn.XLOOKUP(AK$1,$Z$2:$Z$18,$AB$2:$AB$18)-$U50)^2+(_xlfn.XLOOKUP(AK$1,$Z$2:$Z$18,$AC$2:$AC$18-$V50)^2)))</f>
        <v>330.89448786584524</v>
      </c>
      <c r="AL50" s="150">
        <f t="array" ref="AL50">IF(AL$1=0,"",SQRT((_xlfn.XLOOKUP(AL$1,$Z$2:$Z$18,$AA$2:$AA$18)-$T50)^2+(_xlfn.XLOOKUP(AL$1,$Z$2:$Z$18,$AB$2:$AB$18)-$U50)^2+(_xlfn.XLOOKUP(AL$1,$Z$2:$Z$18,$AC$2:$AC$18-$V50)^2)))</f>
        <v>218.97662386656708</v>
      </c>
      <c r="AM50" s="150" t="str">
        <f t="array" ref="AM50">IF(AM$1=0,"",SQRT((_xlfn.XLOOKUP(AM$1,$Z$2:$Z$18,$AA$2:$AA$18)-$T50)^2+(_xlfn.XLOOKUP(AM$1,$Z$2:$Z$18,$AB$2:$AB$18)-$U50)^2+(_xlfn.XLOOKUP(AM$1,$Z$2:$Z$18,$AC$2:$AC$18-$V50)^2)))</f>
        <v/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36"/>
        <v>0</v>
      </c>
      <c r="AZ50" s="153">
        <f t="shared" si="37"/>
        <v>0</v>
      </c>
      <c r="BA50" s="153">
        <f t="shared" si="38"/>
        <v>0</v>
      </c>
      <c r="BB50" s="153">
        <f t="shared" si="39"/>
        <v>0</v>
      </c>
      <c r="BC50" s="153">
        <f t="shared" si="40"/>
        <v>0</v>
      </c>
      <c r="BD50" s="153">
        <f t="shared" si="41"/>
        <v>0</v>
      </c>
      <c r="BE50" s="153">
        <f t="shared" si="42"/>
        <v>0</v>
      </c>
      <c r="BF50" s="153">
        <f t="shared" si="43"/>
        <v>0</v>
      </c>
      <c r="BG50" s="154">
        <f t="shared" si="44"/>
        <v>0</v>
      </c>
      <c r="BH50" s="154">
        <f t="shared" si="45"/>
        <v>0</v>
      </c>
      <c r="BI50" s="154">
        <f t="shared" si="46"/>
        <v>0</v>
      </c>
      <c r="BJ50" s="154">
        <f t="shared" si="47"/>
        <v>0</v>
      </c>
      <c r="BK50" s="154">
        <f t="shared" si="48"/>
        <v>0</v>
      </c>
      <c r="BL50" s="154">
        <f t="shared" si="49"/>
        <v>0</v>
      </c>
      <c r="BM50" s="155">
        <f t="shared" si="50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L50" s="134"/>
      <c r="CM50" s="140"/>
      <c r="CN50" s="140"/>
      <c r="CO50" s="140"/>
      <c r="CP50" s="140"/>
      <c r="CQ50" s="140"/>
      <c r="CR50" s="140"/>
      <c r="CS50" s="140"/>
      <c r="CT50" s="140"/>
      <c r="CU50" s="140"/>
      <c r="CV50" s="140"/>
      <c r="CW50" s="140"/>
      <c r="CX50" s="140"/>
      <c r="CY50" s="140"/>
      <c r="CZ50" s="140"/>
      <c r="DA50" s="140"/>
      <c r="DB50" s="134"/>
      <c r="DC50" s="134"/>
      <c r="DD50" s="169" cm="1">
        <f t="array" ref="DD50">_xlfn.IFS(DD$1= 0,"", NOT(ISBLANK(CM50)), 0, ISBLANK(CM50), $Q50-$S50+AY50-BV50)</f>
        <v>0</v>
      </c>
      <c r="DE50" s="170" cm="1">
        <f t="array" ref="DE50">_xlfn.IFS(DE$1= 0,"", NOT(ISBLANK(CN50)), 0, ISBLANK(CN50), $Q50-$S50+AZ50-BW50)</f>
        <v>0</v>
      </c>
      <c r="DF50" s="170" cm="1">
        <f t="array" ref="DF50">_xlfn.IFS(DF$1= 0,"", NOT(ISBLANK(CO50)), 0, ISBLANK(CO50), $Q50-$S50+BA50-BX50)</f>
        <v>0</v>
      </c>
      <c r="DG50" s="170" cm="1">
        <f t="array" ref="DG50">_xlfn.IFS(DG$1= 0,"", NOT(ISBLANK(CP50)), 0, ISBLANK(CP50), $Q50-$S50+BB50-BY50)</f>
        <v>0</v>
      </c>
      <c r="DH50" s="170" cm="1">
        <f t="array" ref="DH50">_xlfn.IFS(DH$1= 0,"", NOT(ISBLANK(CQ50)), 0, ISBLANK(CQ50), $Q50-$S50+BC50-BZ50)</f>
        <v>0</v>
      </c>
      <c r="DI50" s="170" t="str" cm="1">
        <f t="array" ref="DI50">_xlfn.IFS(DI$1= 0,"", NOT(ISBLANK(CR50)), 0, ISBLANK(CR50), $Q50-$S50+BD50-CA50)</f>
        <v/>
      </c>
      <c r="DJ50" s="170" t="str" cm="1">
        <f t="array" ref="DJ50">_xlfn.IFS(DJ$1= 0,"", NOT(ISBLANK(CS50)), 0, ISBLANK(CS50), $Q50-$S50+BE50-CB50)</f>
        <v/>
      </c>
      <c r="DK50" s="170" t="str" cm="1">
        <f t="array" ref="DK50">_xlfn.IFS(DK$1= 0,"", NOT(ISBLANK(CT50)), 0, ISBLANK(CT50), $Q50-$S50+BF50-CC50)</f>
        <v/>
      </c>
      <c r="DL50" s="172" t="str" cm="1">
        <f t="array" ref="DL50">_xlfn.IFS(DL$1= 0,"", NOT(ISBLANK(CU50)), 0, ISBLANK(CU50), $Q50-$S50+BG50-CD50)</f>
        <v/>
      </c>
      <c r="DM50" s="172" t="str" cm="1">
        <f t="array" ref="DM50">_xlfn.IFS(DM$1= 0,"", NOT(ISBLANK(CV50)), 0, ISBLANK(CV50), $Q50-$S50+BH50-CE50)</f>
        <v/>
      </c>
      <c r="DN50" s="172" t="str" cm="1">
        <f t="array" ref="DN50">_xlfn.IFS(DN$1= 0,"", NOT(ISBLANK(CW50)), 0, ISBLANK(CW50), $Q50-$S50+BI50-CF50)</f>
        <v/>
      </c>
      <c r="DO50" s="172" t="str" cm="1">
        <f t="array" ref="DO50">_xlfn.IFS(DO$1= 0,"", NOT(ISBLANK(CX50)), 0, ISBLANK(CX50), $Q50-$S50+BJ50-CG50)</f>
        <v/>
      </c>
      <c r="DP50" s="172" t="str" cm="1">
        <f t="array" ref="DP50">_xlfn.IFS(DP$1= 0,"", NOT(ISBLANK(CY50)), 0, ISBLANK(CY50), $Q50-$S50+BK50-CH50)</f>
        <v/>
      </c>
      <c r="DQ50" s="172" t="str" cm="1">
        <f t="array" ref="DQ50">_xlfn.IFS(DQ$1= 0,"", NOT(ISBLANK(CZ50)), 0, ISBLANK(CZ50), $Q50-$S50+BL50-CI50)</f>
        <v/>
      </c>
      <c r="DR50" s="173" t="str" cm="1">
        <f t="array" ref="DR50">_xlfn.IFS(DR$1= 0,"", NOT(ISBLANK(DA50)), 0, ISBLANK(DA50), $Q50-$S50+BM50-CJ50)</f>
        <v/>
      </c>
    </row>
    <row r="51" spans="1:122" ht="16.5" customHeight="1" x14ac:dyDescent="0.3">
      <c r="A51" s="145"/>
      <c r="B51" s="146"/>
      <c r="C51" s="146"/>
      <c r="D51" s="147"/>
      <c r="E51" s="202"/>
      <c r="F51" s="210"/>
      <c r="G51" s="211"/>
      <c r="H51" s="211"/>
      <c r="I51" s="211"/>
      <c r="J51" s="211"/>
      <c r="K51" s="211"/>
      <c r="L51" s="211"/>
      <c r="M51" s="215"/>
      <c r="N51" s="210"/>
      <c r="O51" s="212"/>
      <c r="P51" s="205"/>
      <c r="Q51" s="128">
        <f t="shared" si="34"/>
        <v>0</v>
      </c>
      <c r="R51" s="3"/>
      <c r="S51" s="3"/>
      <c r="T51" s="4"/>
      <c r="U51" s="4"/>
      <c r="V51" s="109">
        <f t="shared" si="35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112.53151914019467</v>
      </c>
      <c r="AI51" s="150">
        <f t="array" ref="AI51">IF(AI$1=0,"",SQRT((_xlfn.XLOOKUP(AI$1,$Z$2:$Z$18,$AA$2:$AA$18)-$T51)^2+(_xlfn.XLOOKUP(AI$1,$Z$2:$Z$18,$AB$2:$AB$18)-$U51)^2+(_xlfn.XLOOKUP(AI$1,$Z$2:$Z$18,$AC$2:$AC$18-$V51)^2)))</f>
        <v>123.81444705687622</v>
      </c>
      <c r="AJ51" s="150">
        <f t="array" ref="AJ51">IF(AJ$1=0,"",SQRT((_xlfn.XLOOKUP(AJ$1,$Z$2:$Z$18,$AA$2:$AA$18)-$T51)^2+(_xlfn.XLOOKUP(AJ$1,$Z$2:$Z$18,$AB$2:$AB$18)-$U51)^2+(_xlfn.XLOOKUP(AJ$1,$Z$2:$Z$18,$AC$2:$AC$18-$V51)^2)))</f>
        <v>226.27326421828982</v>
      </c>
      <c r="AK51" s="150">
        <f t="array" ref="AK51">IF(AK$1=0,"",SQRT((_xlfn.XLOOKUP(AK$1,$Z$2:$Z$18,$AA$2:$AA$18)-$T51)^2+(_xlfn.XLOOKUP(AK$1,$Z$2:$Z$18,$AB$2:$AB$18)-$U51)^2+(_xlfn.XLOOKUP(AK$1,$Z$2:$Z$18,$AC$2:$AC$18-$V51)^2)))</f>
        <v>330.89448786584524</v>
      </c>
      <c r="AL51" s="150">
        <f t="array" ref="AL51">IF(AL$1=0,"",SQRT((_xlfn.XLOOKUP(AL$1,$Z$2:$Z$18,$AA$2:$AA$18)-$T51)^2+(_xlfn.XLOOKUP(AL$1,$Z$2:$Z$18,$AB$2:$AB$18)-$U51)^2+(_xlfn.XLOOKUP(AL$1,$Z$2:$Z$18,$AC$2:$AC$18-$V51)^2)))</f>
        <v>218.97662386656708</v>
      </c>
      <c r="AM51" s="150" t="str">
        <f t="array" ref="AM51">IF(AM$1=0,"",SQRT((_xlfn.XLOOKUP(AM$1,$Z$2:$Z$18,$AA$2:$AA$18)-$T51)^2+(_xlfn.XLOOKUP(AM$1,$Z$2:$Z$18,$AB$2:$AB$18)-$U51)^2+(_xlfn.XLOOKUP(AM$1,$Z$2:$Z$18,$AC$2:$AC$18-$V51)^2)))</f>
        <v/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36"/>
        <v>0</v>
      </c>
      <c r="AZ51" s="153">
        <f t="shared" si="37"/>
        <v>0</v>
      </c>
      <c r="BA51" s="153">
        <f t="shared" si="38"/>
        <v>0</v>
      </c>
      <c r="BB51" s="153">
        <f t="shared" si="39"/>
        <v>0</v>
      </c>
      <c r="BC51" s="153">
        <f t="shared" si="40"/>
        <v>0</v>
      </c>
      <c r="BD51" s="153">
        <f t="shared" si="41"/>
        <v>0</v>
      </c>
      <c r="BE51" s="153">
        <f t="shared" si="42"/>
        <v>0</v>
      </c>
      <c r="BF51" s="153">
        <f t="shared" si="43"/>
        <v>0</v>
      </c>
      <c r="BG51" s="154">
        <f t="shared" si="44"/>
        <v>0</v>
      </c>
      <c r="BH51" s="154">
        <f t="shared" si="45"/>
        <v>0</v>
      </c>
      <c r="BI51" s="154">
        <f t="shared" si="46"/>
        <v>0</v>
      </c>
      <c r="BJ51" s="154">
        <f t="shared" si="47"/>
        <v>0</v>
      </c>
      <c r="BK51" s="154">
        <f t="shared" si="48"/>
        <v>0</v>
      </c>
      <c r="BL51" s="154">
        <f t="shared" si="49"/>
        <v>0</v>
      </c>
      <c r="BM51" s="155">
        <f t="shared" si="50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L51" s="134"/>
      <c r="CM51" s="140"/>
      <c r="CN51" s="140"/>
      <c r="CO51" s="140"/>
      <c r="CP51" s="140"/>
      <c r="CQ51" s="140"/>
      <c r="CR51" s="140"/>
      <c r="CS51" s="140"/>
      <c r="CT51" s="140"/>
      <c r="CU51" s="140"/>
      <c r="CV51" s="140"/>
      <c r="CW51" s="140"/>
      <c r="CX51" s="140"/>
      <c r="CY51" s="140"/>
      <c r="CZ51" s="140"/>
      <c r="DA51" s="140"/>
      <c r="DB51" s="134"/>
      <c r="DC51" s="134"/>
      <c r="DD51" s="169" cm="1">
        <f t="array" ref="DD51">_xlfn.IFS(DD$1= 0,"", NOT(ISBLANK(CM51)), 0, ISBLANK(CM51), $Q51-$S51+AY51-BV51)</f>
        <v>0</v>
      </c>
      <c r="DE51" s="170" cm="1">
        <f t="array" ref="DE51">_xlfn.IFS(DE$1= 0,"", NOT(ISBLANK(CN51)), 0, ISBLANK(CN51), $Q51-$S51+AZ51-BW51)</f>
        <v>0</v>
      </c>
      <c r="DF51" s="170" cm="1">
        <f t="array" ref="DF51">_xlfn.IFS(DF$1= 0,"", NOT(ISBLANK(CO51)), 0, ISBLANK(CO51), $Q51-$S51+BA51-BX51)</f>
        <v>0</v>
      </c>
      <c r="DG51" s="170" cm="1">
        <f t="array" ref="DG51">_xlfn.IFS(DG$1= 0,"", NOT(ISBLANK(CP51)), 0, ISBLANK(CP51), $Q51-$S51+BB51-BY51)</f>
        <v>0</v>
      </c>
      <c r="DH51" s="170" cm="1">
        <f t="array" ref="DH51">_xlfn.IFS(DH$1= 0,"", NOT(ISBLANK(CQ51)), 0, ISBLANK(CQ51), $Q51-$S51+BC51-BZ51)</f>
        <v>0</v>
      </c>
      <c r="DI51" s="170" t="str" cm="1">
        <f t="array" ref="DI51">_xlfn.IFS(DI$1= 0,"", NOT(ISBLANK(CR51)), 0, ISBLANK(CR51), $Q51-$S51+BD51-CA51)</f>
        <v/>
      </c>
      <c r="DJ51" s="170" t="str" cm="1">
        <f t="array" ref="DJ51">_xlfn.IFS(DJ$1= 0,"", NOT(ISBLANK(CS51)), 0, ISBLANK(CS51), $Q51-$S51+BE51-CB51)</f>
        <v/>
      </c>
      <c r="DK51" s="170" t="str" cm="1">
        <f t="array" ref="DK51">_xlfn.IFS(DK$1= 0,"", NOT(ISBLANK(CT51)), 0, ISBLANK(CT51), $Q51-$S51+BF51-CC51)</f>
        <v/>
      </c>
      <c r="DL51" s="172" t="str" cm="1">
        <f t="array" ref="DL51">_xlfn.IFS(DL$1= 0,"", NOT(ISBLANK(CU51)), 0, ISBLANK(CU51), $Q51-$S51+BG51-CD51)</f>
        <v/>
      </c>
      <c r="DM51" s="172" t="str" cm="1">
        <f t="array" ref="DM51">_xlfn.IFS(DM$1= 0,"", NOT(ISBLANK(CV51)), 0, ISBLANK(CV51), $Q51-$S51+BH51-CE51)</f>
        <v/>
      </c>
      <c r="DN51" s="172" t="str" cm="1">
        <f t="array" ref="DN51">_xlfn.IFS(DN$1= 0,"", NOT(ISBLANK(CW51)), 0, ISBLANK(CW51), $Q51-$S51+BI51-CF51)</f>
        <v/>
      </c>
      <c r="DO51" s="172" t="str" cm="1">
        <f t="array" ref="DO51">_xlfn.IFS(DO$1= 0,"", NOT(ISBLANK(CX51)), 0, ISBLANK(CX51), $Q51-$S51+BJ51-CG51)</f>
        <v/>
      </c>
      <c r="DP51" s="172" t="str" cm="1">
        <f t="array" ref="DP51">_xlfn.IFS(DP$1= 0,"", NOT(ISBLANK(CY51)), 0, ISBLANK(CY51), $Q51-$S51+BK51-CH51)</f>
        <v/>
      </c>
      <c r="DQ51" s="172" t="str" cm="1">
        <f t="array" ref="DQ51">_xlfn.IFS(DQ$1= 0,"", NOT(ISBLANK(CZ51)), 0, ISBLANK(CZ51), $Q51-$S51+BL51-CI51)</f>
        <v/>
      </c>
      <c r="DR51" s="173" t="str" cm="1">
        <f t="array" ref="DR51">_xlfn.IFS(DR$1= 0,"", NOT(ISBLANK(DA51)), 0, ISBLANK(DA51), $Q51-$S51+BM51-CJ51)</f>
        <v/>
      </c>
    </row>
    <row r="52" spans="1:122" ht="16.5" customHeight="1" x14ac:dyDescent="0.3">
      <c r="A52" s="145"/>
      <c r="B52" s="146"/>
      <c r="C52" s="146"/>
      <c r="D52" s="147"/>
      <c r="E52" s="202"/>
      <c r="F52" s="210"/>
      <c r="G52" s="211"/>
      <c r="H52" s="211"/>
      <c r="I52" s="211"/>
      <c r="J52" s="211"/>
      <c r="K52" s="211"/>
      <c r="L52" s="211"/>
      <c r="M52" s="215"/>
      <c r="N52" s="210"/>
      <c r="O52" s="212"/>
      <c r="P52" s="205"/>
      <c r="Q52" s="128">
        <f t="shared" si="34"/>
        <v>0</v>
      </c>
      <c r="R52" s="3"/>
      <c r="S52" s="3"/>
      <c r="T52" s="4"/>
      <c r="U52" s="4"/>
      <c r="V52" s="109">
        <f t="shared" si="35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112.53151914019467</v>
      </c>
      <c r="AI52" s="150">
        <f t="array" ref="AI52">IF(AI$1=0,"",SQRT((_xlfn.XLOOKUP(AI$1,$Z$2:$Z$18,$AA$2:$AA$18)-$T52)^2+(_xlfn.XLOOKUP(AI$1,$Z$2:$Z$18,$AB$2:$AB$18)-$U52)^2+(_xlfn.XLOOKUP(AI$1,$Z$2:$Z$18,$AC$2:$AC$18-$V52)^2)))</f>
        <v>123.81444705687622</v>
      </c>
      <c r="AJ52" s="150">
        <f t="array" ref="AJ52">IF(AJ$1=0,"",SQRT((_xlfn.XLOOKUP(AJ$1,$Z$2:$Z$18,$AA$2:$AA$18)-$T52)^2+(_xlfn.XLOOKUP(AJ$1,$Z$2:$Z$18,$AB$2:$AB$18)-$U52)^2+(_xlfn.XLOOKUP(AJ$1,$Z$2:$Z$18,$AC$2:$AC$18-$V52)^2)))</f>
        <v>226.27326421828982</v>
      </c>
      <c r="AK52" s="150">
        <f t="array" ref="AK52">IF(AK$1=0,"",SQRT((_xlfn.XLOOKUP(AK$1,$Z$2:$Z$18,$AA$2:$AA$18)-$T52)^2+(_xlfn.XLOOKUP(AK$1,$Z$2:$Z$18,$AB$2:$AB$18)-$U52)^2+(_xlfn.XLOOKUP(AK$1,$Z$2:$Z$18,$AC$2:$AC$18-$V52)^2)))</f>
        <v>330.89448786584524</v>
      </c>
      <c r="AL52" s="150">
        <f t="array" ref="AL52">IF(AL$1=0,"",SQRT((_xlfn.XLOOKUP(AL$1,$Z$2:$Z$18,$AA$2:$AA$18)-$T52)^2+(_xlfn.XLOOKUP(AL$1,$Z$2:$Z$18,$AB$2:$AB$18)-$U52)^2+(_xlfn.XLOOKUP(AL$1,$Z$2:$Z$18,$AC$2:$AC$18-$V52)^2)))</f>
        <v>218.97662386656708</v>
      </c>
      <c r="AM52" s="150" t="str">
        <f t="array" ref="AM52">IF(AM$1=0,"",SQRT((_xlfn.XLOOKUP(AM$1,$Z$2:$Z$18,$AA$2:$AA$18)-$T52)^2+(_xlfn.XLOOKUP(AM$1,$Z$2:$Z$18,$AB$2:$AB$18)-$U52)^2+(_xlfn.XLOOKUP(AM$1,$Z$2:$Z$18,$AC$2:$AC$18-$V52)^2)))</f>
        <v/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36"/>
        <v>0</v>
      </c>
      <c r="AZ52" s="153">
        <f t="shared" si="37"/>
        <v>0</v>
      </c>
      <c r="BA52" s="153">
        <f t="shared" si="38"/>
        <v>0</v>
      </c>
      <c r="BB52" s="153">
        <f t="shared" si="39"/>
        <v>0</v>
      </c>
      <c r="BC52" s="153">
        <f t="shared" si="40"/>
        <v>0</v>
      </c>
      <c r="BD52" s="153">
        <f t="shared" si="41"/>
        <v>0</v>
      </c>
      <c r="BE52" s="153">
        <f t="shared" si="42"/>
        <v>0</v>
      </c>
      <c r="BF52" s="153">
        <f t="shared" si="43"/>
        <v>0</v>
      </c>
      <c r="BG52" s="154">
        <f t="shared" si="44"/>
        <v>0</v>
      </c>
      <c r="BH52" s="154">
        <f t="shared" si="45"/>
        <v>0</v>
      </c>
      <c r="BI52" s="154">
        <f t="shared" si="46"/>
        <v>0</v>
      </c>
      <c r="BJ52" s="154">
        <f t="shared" si="47"/>
        <v>0</v>
      </c>
      <c r="BK52" s="154">
        <f t="shared" si="48"/>
        <v>0</v>
      </c>
      <c r="BL52" s="154">
        <f t="shared" si="49"/>
        <v>0</v>
      </c>
      <c r="BM52" s="155">
        <f t="shared" si="50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L52" s="134"/>
      <c r="CM52" s="140"/>
      <c r="CN52" s="140"/>
      <c r="CO52" s="140"/>
      <c r="CP52" s="140"/>
      <c r="CQ52" s="140"/>
      <c r="CR52" s="140"/>
      <c r="CS52" s="140"/>
      <c r="CT52" s="140"/>
      <c r="CU52" s="140"/>
      <c r="CV52" s="140"/>
      <c r="CW52" s="140"/>
      <c r="CX52" s="140"/>
      <c r="CY52" s="140"/>
      <c r="CZ52" s="140"/>
      <c r="DA52" s="140"/>
      <c r="DB52" s="134"/>
      <c r="DC52" s="134"/>
      <c r="DD52" s="169" cm="1">
        <f t="array" ref="DD52">_xlfn.IFS(DD$1= 0,"", NOT(ISBLANK(CM52)), 0, ISBLANK(CM52), $Q52-$S52+AY52-BV52)</f>
        <v>0</v>
      </c>
      <c r="DE52" s="170" cm="1">
        <f t="array" ref="DE52">_xlfn.IFS(DE$1= 0,"", NOT(ISBLANK(CN52)), 0, ISBLANK(CN52), $Q52-$S52+AZ52-BW52)</f>
        <v>0</v>
      </c>
      <c r="DF52" s="170" cm="1">
        <f t="array" ref="DF52">_xlfn.IFS(DF$1= 0,"", NOT(ISBLANK(CO52)), 0, ISBLANK(CO52), $Q52-$S52+BA52-BX52)</f>
        <v>0</v>
      </c>
      <c r="DG52" s="170" cm="1">
        <f t="array" ref="DG52">_xlfn.IFS(DG$1= 0,"", NOT(ISBLANK(CP52)), 0, ISBLANK(CP52), $Q52-$S52+BB52-BY52)</f>
        <v>0</v>
      </c>
      <c r="DH52" s="170" cm="1">
        <f t="array" ref="DH52">_xlfn.IFS(DH$1= 0,"", NOT(ISBLANK(CQ52)), 0, ISBLANK(CQ52), $Q52-$S52+BC52-BZ52)</f>
        <v>0</v>
      </c>
      <c r="DI52" s="170" t="str" cm="1">
        <f t="array" ref="DI52">_xlfn.IFS(DI$1= 0,"", NOT(ISBLANK(CR52)), 0, ISBLANK(CR52), $Q52-$S52+BD52-CA52)</f>
        <v/>
      </c>
      <c r="DJ52" s="170" t="str" cm="1">
        <f t="array" ref="DJ52">_xlfn.IFS(DJ$1= 0,"", NOT(ISBLANK(CS52)), 0, ISBLANK(CS52), $Q52-$S52+BE52-CB52)</f>
        <v/>
      </c>
      <c r="DK52" s="170" t="str" cm="1">
        <f t="array" ref="DK52">_xlfn.IFS(DK$1= 0,"", NOT(ISBLANK(CT52)), 0, ISBLANK(CT52), $Q52-$S52+BF52-CC52)</f>
        <v/>
      </c>
      <c r="DL52" s="172" t="str" cm="1">
        <f t="array" ref="DL52">_xlfn.IFS(DL$1= 0,"", NOT(ISBLANK(CU52)), 0, ISBLANK(CU52), $Q52-$S52+BG52-CD52)</f>
        <v/>
      </c>
      <c r="DM52" s="172" t="str" cm="1">
        <f t="array" ref="DM52">_xlfn.IFS(DM$1= 0,"", NOT(ISBLANK(CV52)), 0, ISBLANK(CV52), $Q52-$S52+BH52-CE52)</f>
        <v/>
      </c>
      <c r="DN52" s="172" t="str" cm="1">
        <f t="array" ref="DN52">_xlfn.IFS(DN$1= 0,"", NOT(ISBLANK(CW52)), 0, ISBLANK(CW52), $Q52-$S52+BI52-CF52)</f>
        <v/>
      </c>
      <c r="DO52" s="172" t="str" cm="1">
        <f t="array" ref="DO52">_xlfn.IFS(DO$1= 0,"", NOT(ISBLANK(CX52)), 0, ISBLANK(CX52), $Q52-$S52+BJ52-CG52)</f>
        <v/>
      </c>
      <c r="DP52" s="172" t="str" cm="1">
        <f t="array" ref="DP52">_xlfn.IFS(DP$1= 0,"", NOT(ISBLANK(CY52)), 0, ISBLANK(CY52), $Q52-$S52+BK52-CH52)</f>
        <v/>
      </c>
      <c r="DQ52" s="172" t="str" cm="1">
        <f t="array" ref="DQ52">_xlfn.IFS(DQ$1= 0,"", NOT(ISBLANK(CZ52)), 0, ISBLANK(CZ52), $Q52-$S52+BL52-CI52)</f>
        <v/>
      </c>
      <c r="DR52" s="173" t="str" cm="1">
        <f t="array" ref="DR52">_xlfn.IFS(DR$1= 0,"", NOT(ISBLANK(DA52)), 0, ISBLANK(DA52), $Q52-$S52+BM52-CJ52)</f>
        <v/>
      </c>
    </row>
    <row r="53" spans="1:122" ht="16.5" customHeight="1" x14ac:dyDescent="0.3">
      <c r="A53" s="145"/>
      <c r="B53" s="146"/>
      <c r="C53" s="146"/>
      <c r="D53" s="147"/>
      <c r="E53" s="202"/>
      <c r="F53" s="210"/>
      <c r="G53" s="211"/>
      <c r="H53" s="211"/>
      <c r="I53" s="211"/>
      <c r="J53" s="211"/>
      <c r="K53" s="211"/>
      <c r="L53" s="211"/>
      <c r="M53" s="215"/>
      <c r="N53" s="210"/>
      <c r="O53" s="212"/>
      <c r="P53" s="205"/>
      <c r="Q53" s="128">
        <f t="shared" si="34"/>
        <v>0</v>
      </c>
      <c r="R53" s="3"/>
      <c r="S53" s="3"/>
      <c r="T53" s="4"/>
      <c r="U53" s="4"/>
      <c r="V53" s="109">
        <f t="shared" si="35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112.53151914019467</v>
      </c>
      <c r="AI53" s="150">
        <f t="array" ref="AI53">IF(AI$1=0,"",SQRT((_xlfn.XLOOKUP(AI$1,$Z$2:$Z$18,$AA$2:$AA$18)-$T53)^2+(_xlfn.XLOOKUP(AI$1,$Z$2:$Z$18,$AB$2:$AB$18)-$U53)^2+(_xlfn.XLOOKUP(AI$1,$Z$2:$Z$18,$AC$2:$AC$18-$V53)^2)))</f>
        <v>123.81444705687622</v>
      </c>
      <c r="AJ53" s="150">
        <f t="array" ref="AJ53">IF(AJ$1=0,"",SQRT((_xlfn.XLOOKUP(AJ$1,$Z$2:$Z$18,$AA$2:$AA$18)-$T53)^2+(_xlfn.XLOOKUP(AJ$1,$Z$2:$Z$18,$AB$2:$AB$18)-$U53)^2+(_xlfn.XLOOKUP(AJ$1,$Z$2:$Z$18,$AC$2:$AC$18-$V53)^2)))</f>
        <v>226.27326421828982</v>
      </c>
      <c r="AK53" s="150">
        <f t="array" ref="AK53">IF(AK$1=0,"",SQRT((_xlfn.XLOOKUP(AK$1,$Z$2:$Z$18,$AA$2:$AA$18)-$T53)^2+(_xlfn.XLOOKUP(AK$1,$Z$2:$Z$18,$AB$2:$AB$18)-$U53)^2+(_xlfn.XLOOKUP(AK$1,$Z$2:$Z$18,$AC$2:$AC$18-$V53)^2)))</f>
        <v>330.89448786584524</v>
      </c>
      <c r="AL53" s="150">
        <f t="array" ref="AL53">IF(AL$1=0,"",SQRT((_xlfn.XLOOKUP(AL$1,$Z$2:$Z$18,$AA$2:$AA$18)-$T53)^2+(_xlfn.XLOOKUP(AL$1,$Z$2:$Z$18,$AB$2:$AB$18)-$U53)^2+(_xlfn.XLOOKUP(AL$1,$Z$2:$Z$18,$AC$2:$AC$18-$V53)^2)))</f>
        <v>218.97662386656708</v>
      </c>
      <c r="AM53" s="150" t="str">
        <f t="array" ref="AM53">IF(AM$1=0,"",SQRT((_xlfn.XLOOKUP(AM$1,$Z$2:$Z$18,$AA$2:$AA$18)-$T53)^2+(_xlfn.XLOOKUP(AM$1,$Z$2:$Z$18,$AB$2:$AB$18)-$U53)^2+(_xlfn.XLOOKUP(AM$1,$Z$2:$Z$18,$AC$2:$AC$18-$V53)^2)))</f>
        <v/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36"/>
        <v>0</v>
      </c>
      <c r="AZ53" s="153">
        <f t="shared" si="37"/>
        <v>0</v>
      </c>
      <c r="BA53" s="153">
        <f t="shared" si="38"/>
        <v>0</v>
      </c>
      <c r="BB53" s="153">
        <f t="shared" si="39"/>
        <v>0</v>
      </c>
      <c r="BC53" s="153">
        <f t="shared" si="40"/>
        <v>0</v>
      </c>
      <c r="BD53" s="153">
        <f t="shared" si="41"/>
        <v>0</v>
      </c>
      <c r="BE53" s="153">
        <f t="shared" si="42"/>
        <v>0</v>
      </c>
      <c r="BF53" s="153">
        <f t="shared" si="43"/>
        <v>0</v>
      </c>
      <c r="BG53" s="154">
        <f t="shared" si="44"/>
        <v>0</v>
      </c>
      <c r="BH53" s="154">
        <f t="shared" si="45"/>
        <v>0</v>
      </c>
      <c r="BI53" s="154">
        <f t="shared" si="46"/>
        <v>0</v>
      </c>
      <c r="BJ53" s="154">
        <f t="shared" si="47"/>
        <v>0</v>
      </c>
      <c r="BK53" s="154">
        <f t="shared" si="48"/>
        <v>0</v>
      </c>
      <c r="BL53" s="154">
        <f t="shared" si="49"/>
        <v>0</v>
      </c>
      <c r="BM53" s="155">
        <f t="shared" si="50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L53" s="134"/>
      <c r="CM53" s="140"/>
      <c r="CN53" s="140"/>
      <c r="CO53" s="140"/>
      <c r="CP53" s="140"/>
      <c r="CQ53" s="140"/>
      <c r="CR53" s="140"/>
      <c r="CS53" s="140"/>
      <c r="CT53" s="140"/>
      <c r="CU53" s="140"/>
      <c r="CV53" s="140"/>
      <c r="CW53" s="140"/>
      <c r="CX53" s="140"/>
      <c r="CY53" s="140"/>
      <c r="CZ53" s="140"/>
      <c r="DA53" s="140"/>
      <c r="DB53" s="134"/>
      <c r="DC53" s="134"/>
      <c r="DD53" s="169" cm="1">
        <f t="array" ref="DD53">_xlfn.IFS(DD$1= 0,"", NOT(ISBLANK(CM53)), 0, ISBLANK(CM53), $Q53-$S53+AY53-BV53)</f>
        <v>0</v>
      </c>
      <c r="DE53" s="170" cm="1">
        <f t="array" ref="DE53">_xlfn.IFS(DE$1= 0,"", NOT(ISBLANK(CN53)), 0, ISBLANK(CN53), $Q53-$S53+AZ53-BW53)</f>
        <v>0</v>
      </c>
      <c r="DF53" s="170" cm="1">
        <f t="array" ref="DF53">_xlfn.IFS(DF$1= 0,"", NOT(ISBLANK(CO53)), 0, ISBLANK(CO53), $Q53-$S53+BA53-BX53)</f>
        <v>0</v>
      </c>
      <c r="DG53" s="170" cm="1">
        <f t="array" ref="DG53">_xlfn.IFS(DG$1= 0,"", NOT(ISBLANK(CP53)), 0, ISBLANK(CP53), $Q53-$S53+BB53-BY53)</f>
        <v>0</v>
      </c>
      <c r="DH53" s="170" cm="1">
        <f t="array" ref="DH53">_xlfn.IFS(DH$1= 0,"", NOT(ISBLANK(CQ53)), 0, ISBLANK(CQ53), $Q53-$S53+BC53-BZ53)</f>
        <v>0</v>
      </c>
      <c r="DI53" s="170" t="str" cm="1">
        <f t="array" ref="DI53">_xlfn.IFS(DI$1= 0,"", NOT(ISBLANK(CR53)), 0, ISBLANK(CR53), $Q53-$S53+BD53-CA53)</f>
        <v/>
      </c>
      <c r="DJ53" s="170" t="str" cm="1">
        <f t="array" ref="DJ53">_xlfn.IFS(DJ$1= 0,"", NOT(ISBLANK(CS53)), 0, ISBLANK(CS53), $Q53-$S53+BE53-CB53)</f>
        <v/>
      </c>
      <c r="DK53" s="170" t="str" cm="1">
        <f t="array" ref="DK53">_xlfn.IFS(DK$1= 0,"", NOT(ISBLANK(CT53)), 0, ISBLANK(CT53), $Q53-$S53+BF53-CC53)</f>
        <v/>
      </c>
      <c r="DL53" s="172" t="str" cm="1">
        <f t="array" ref="DL53">_xlfn.IFS(DL$1= 0,"", NOT(ISBLANK(CU53)), 0, ISBLANK(CU53), $Q53-$S53+BG53-CD53)</f>
        <v/>
      </c>
      <c r="DM53" s="172" t="str" cm="1">
        <f t="array" ref="DM53">_xlfn.IFS(DM$1= 0,"", NOT(ISBLANK(CV53)), 0, ISBLANK(CV53), $Q53-$S53+BH53-CE53)</f>
        <v/>
      </c>
      <c r="DN53" s="172" t="str" cm="1">
        <f t="array" ref="DN53">_xlfn.IFS(DN$1= 0,"", NOT(ISBLANK(CW53)), 0, ISBLANK(CW53), $Q53-$S53+BI53-CF53)</f>
        <v/>
      </c>
      <c r="DO53" s="172" t="str" cm="1">
        <f t="array" ref="DO53">_xlfn.IFS(DO$1= 0,"", NOT(ISBLANK(CX53)), 0, ISBLANK(CX53), $Q53-$S53+BJ53-CG53)</f>
        <v/>
      </c>
      <c r="DP53" s="172" t="str" cm="1">
        <f t="array" ref="DP53">_xlfn.IFS(DP$1= 0,"", NOT(ISBLANK(CY53)), 0, ISBLANK(CY53), $Q53-$S53+BK53-CH53)</f>
        <v/>
      </c>
      <c r="DQ53" s="172" t="str" cm="1">
        <f t="array" ref="DQ53">_xlfn.IFS(DQ$1= 0,"", NOT(ISBLANK(CZ53)), 0, ISBLANK(CZ53), $Q53-$S53+BL53-CI53)</f>
        <v/>
      </c>
      <c r="DR53" s="173" t="str" cm="1">
        <f t="array" ref="DR53">_xlfn.IFS(DR$1= 0,"", NOT(ISBLANK(DA53)), 0, ISBLANK(DA53), $Q53-$S53+BM53-CJ53)</f>
        <v/>
      </c>
    </row>
    <row r="54" spans="1:122" ht="16.5" customHeight="1" x14ac:dyDescent="0.3">
      <c r="A54" s="145"/>
      <c r="B54" s="146"/>
      <c r="C54" s="146"/>
      <c r="D54" s="147"/>
      <c r="E54" s="202"/>
      <c r="F54" s="210"/>
      <c r="G54" s="211"/>
      <c r="H54" s="211"/>
      <c r="I54" s="211"/>
      <c r="J54" s="211"/>
      <c r="K54" s="211"/>
      <c r="L54" s="211"/>
      <c r="M54" s="215"/>
      <c r="N54" s="210"/>
      <c r="O54" s="212"/>
      <c r="P54" s="205"/>
      <c r="Q54" s="128">
        <f t="shared" si="34"/>
        <v>0</v>
      </c>
      <c r="R54" s="3"/>
      <c r="S54" s="3"/>
      <c r="T54" s="4"/>
      <c r="U54" s="4"/>
      <c r="V54" s="109">
        <f t="shared" si="35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112.53151914019467</v>
      </c>
      <c r="AI54" s="150">
        <f t="array" ref="AI54">IF(AI$1=0,"",SQRT((_xlfn.XLOOKUP(AI$1,$Z$2:$Z$18,$AA$2:$AA$18)-$T54)^2+(_xlfn.XLOOKUP(AI$1,$Z$2:$Z$18,$AB$2:$AB$18)-$U54)^2+(_xlfn.XLOOKUP(AI$1,$Z$2:$Z$18,$AC$2:$AC$18-$V54)^2)))</f>
        <v>123.81444705687622</v>
      </c>
      <c r="AJ54" s="150">
        <f t="array" ref="AJ54">IF(AJ$1=0,"",SQRT((_xlfn.XLOOKUP(AJ$1,$Z$2:$Z$18,$AA$2:$AA$18)-$T54)^2+(_xlfn.XLOOKUP(AJ$1,$Z$2:$Z$18,$AB$2:$AB$18)-$U54)^2+(_xlfn.XLOOKUP(AJ$1,$Z$2:$Z$18,$AC$2:$AC$18-$V54)^2)))</f>
        <v>226.27326421828982</v>
      </c>
      <c r="AK54" s="150">
        <f t="array" ref="AK54">IF(AK$1=0,"",SQRT((_xlfn.XLOOKUP(AK$1,$Z$2:$Z$18,$AA$2:$AA$18)-$T54)^2+(_xlfn.XLOOKUP(AK$1,$Z$2:$Z$18,$AB$2:$AB$18)-$U54)^2+(_xlfn.XLOOKUP(AK$1,$Z$2:$Z$18,$AC$2:$AC$18-$V54)^2)))</f>
        <v>330.89448786584524</v>
      </c>
      <c r="AL54" s="150">
        <f t="array" ref="AL54">IF(AL$1=0,"",SQRT((_xlfn.XLOOKUP(AL$1,$Z$2:$Z$18,$AA$2:$AA$18)-$T54)^2+(_xlfn.XLOOKUP(AL$1,$Z$2:$Z$18,$AB$2:$AB$18)-$U54)^2+(_xlfn.XLOOKUP(AL$1,$Z$2:$Z$18,$AC$2:$AC$18-$V54)^2)))</f>
        <v>218.97662386656708</v>
      </c>
      <c r="AM54" s="150" t="str">
        <f t="array" ref="AM54">IF(AM$1=0,"",SQRT((_xlfn.XLOOKUP(AM$1,$Z$2:$Z$18,$AA$2:$AA$18)-$T54)^2+(_xlfn.XLOOKUP(AM$1,$Z$2:$Z$18,$AB$2:$AB$18)-$U54)^2+(_xlfn.XLOOKUP(AM$1,$Z$2:$Z$18,$AC$2:$AC$18-$V54)^2)))</f>
        <v/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36"/>
        <v>0</v>
      </c>
      <c r="AZ54" s="153">
        <f t="shared" si="37"/>
        <v>0</v>
      </c>
      <c r="BA54" s="153">
        <f t="shared" si="38"/>
        <v>0</v>
      </c>
      <c r="BB54" s="153">
        <f t="shared" si="39"/>
        <v>0</v>
      </c>
      <c r="BC54" s="153">
        <f t="shared" si="40"/>
        <v>0</v>
      </c>
      <c r="BD54" s="153">
        <f t="shared" si="41"/>
        <v>0</v>
      </c>
      <c r="BE54" s="153">
        <f t="shared" si="42"/>
        <v>0</v>
      </c>
      <c r="BF54" s="153">
        <f t="shared" si="43"/>
        <v>0</v>
      </c>
      <c r="BG54" s="154">
        <f t="shared" si="44"/>
        <v>0</v>
      </c>
      <c r="BH54" s="154">
        <f t="shared" si="45"/>
        <v>0</v>
      </c>
      <c r="BI54" s="154">
        <f t="shared" si="46"/>
        <v>0</v>
      </c>
      <c r="BJ54" s="154">
        <f t="shared" si="47"/>
        <v>0</v>
      </c>
      <c r="BK54" s="154">
        <f t="shared" si="48"/>
        <v>0</v>
      </c>
      <c r="BL54" s="154">
        <f t="shared" si="49"/>
        <v>0</v>
      </c>
      <c r="BM54" s="155">
        <f t="shared" si="50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L54" s="134"/>
      <c r="CM54" s="140"/>
      <c r="CN54" s="140"/>
      <c r="CO54" s="140"/>
      <c r="CP54" s="140"/>
      <c r="CQ54" s="140"/>
      <c r="CR54" s="140"/>
      <c r="CS54" s="140"/>
      <c r="CT54" s="140"/>
      <c r="CU54" s="140"/>
      <c r="CV54" s="140"/>
      <c r="CW54" s="140"/>
      <c r="CX54" s="140"/>
      <c r="CY54" s="140"/>
      <c r="CZ54" s="140"/>
      <c r="DA54" s="140"/>
      <c r="DB54" s="134"/>
      <c r="DC54" s="134"/>
      <c r="DD54" s="169" cm="1">
        <f t="array" ref="DD54">_xlfn.IFS(DD$1= 0,"", NOT(ISBLANK(CM54)), 0, ISBLANK(CM54), $Q54-$S54+AY54-BV54)</f>
        <v>0</v>
      </c>
      <c r="DE54" s="170" cm="1">
        <f t="array" ref="DE54">_xlfn.IFS(DE$1= 0,"", NOT(ISBLANK(CN54)), 0, ISBLANK(CN54), $Q54-$S54+AZ54-BW54)</f>
        <v>0</v>
      </c>
      <c r="DF54" s="170" cm="1">
        <f t="array" ref="DF54">_xlfn.IFS(DF$1= 0,"", NOT(ISBLANK(CO54)), 0, ISBLANK(CO54), $Q54-$S54+BA54-BX54)</f>
        <v>0</v>
      </c>
      <c r="DG54" s="170" cm="1">
        <f t="array" ref="DG54">_xlfn.IFS(DG$1= 0,"", NOT(ISBLANK(CP54)), 0, ISBLANK(CP54), $Q54-$S54+BB54-BY54)</f>
        <v>0</v>
      </c>
      <c r="DH54" s="170" cm="1">
        <f t="array" ref="DH54">_xlfn.IFS(DH$1= 0,"", NOT(ISBLANK(CQ54)), 0, ISBLANK(CQ54), $Q54-$S54+BC54-BZ54)</f>
        <v>0</v>
      </c>
      <c r="DI54" s="170" t="str" cm="1">
        <f t="array" ref="DI54">_xlfn.IFS(DI$1= 0,"", NOT(ISBLANK(CR54)), 0, ISBLANK(CR54), $Q54-$S54+BD54-CA54)</f>
        <v/>
      </c>
      <c r="DJ54" s="170" t="str" cm="1">
        <f t="array" ref="DJ54">_xlfn.IFS(DJ$1= 0,"", NOT(ISBLANK(CS54)), 0, ISBLANK(CS54), $Q54-$S54+BE54-CB54)</f>
        <v/>
      </c>
      <c r="DK54" s="170" t="str" cm="1">
        <f t="array" ref="DK54">_xlfn.IFS(DK$1= 0,"", NOT(ISBLANK(CT54)), 0, ISBLANK(CT54), $Q54-$S54+BF54-CC54)</f>
        <v/>
      </c>
      <c r="DL54" s="172" t="str" cm="1">
        <f t="array" ref="DL54">_xlfn.IFS(DL$1= 0,"", NOT(ISBLANK(CU54)), 0, ISBLANK(CU54), $Q54-$S54+BG54-CD54)</f>
        <v/>
      </c>
      <c r="DM54" s="172" t="str" cm="1">
        <f t="array" ref="DM54">_xlfn.IFS(DM$1= 0,"", NOT(ISBLANK(CV54)), 0, ISBLANK(CV54), $Q54-$S54+BH54-CE54)</f>
        <v/>
      </c>
      <c r="DN54" s="172" t="str" cm="1">
        <f t="array" ref="DN54">_xlfn.IFS(DN$1= 0,"", NOT(ISBLANK(CW54)), 0, ISBLANK(CW54), $Q54-$S54+BI54-CF54)</f>
        <v/>
      </c>
      <c r="DO54" s="172" t="str" cm="1">
        <f t="array" ref="DO54">_xlfn.IFS(DO$1= 0,"", NOT(ISBLANK(CX54)), 0, ISBLANK(CX54), $Q54-$S54+BJ54-CG54)</f>
        <v/>
      </c>
      <c r="DP54" s="172" t="str" cm="1">
        <f t="array" ref="DP54">_xlfn.IFS(DP$1= 0,"", NOT(ISBLANK(CY54)), 0, ISBLANK(CY54), $Q54-$S54+BK54-CH54)</f>
        <v/>
      </c>
      <c r="DQ54" s="172" t="str" cm="1">
        <f t="array" ref="DQ54">_xlfn.IFS(DQ$1= 0,"", NOT(ISBLANK(CZ54)), 0, ISBLANK(CZ54), $Q54-$S54+BL54-CI54)</f>
        <v/>
      </c>
      <c r="DR54" s="173" t="str" cm="1">
        <f t="array" ref="DR54">_xlfn.IFS(DR$1= 0,"", NOT(ISBLANK(DA54)), 0, ISBLANK(DA54), $Q54-$S54+BM54-CJ54)</f>
        <v/>
      </c>
    </row>
    <row r="55" spans="1:122" ht="16.5" customHeight="1" x14ac:dyDescent="0.3">
      <c r="A55" s="145"/>
      <c r="B55" s="146"/>
      <c r="C55" s="146"/>
      <c r="D55" s="147"/>
      <c r="E55" s="202"/>
      <c r="F55" s="210"/>
      <c r="G55" s="211"/>
      <c r="H55" s="211"/>
      <c r="I55" s="211"/>
      <c r="J55" s="211"/>
      <c r="K55" s="211"/>
      <c r="L55" s="211"/>
      <c r="M55" s="215"/>
      <c r="N55" s="210"/>
      <c r="O55" s="212"/>
      <c r="P55" s="205"/>
      <c r="Q55" s="128">
        <f t="shared" si="34"/>
        <v>0</v>
      </c>
      <c r="R55" s="3"/>
      <c r="S55" s="3"/>
      <c r="T55" s="4"/>
      <c r="U55" s="4"/>
      <c r="V55" s="109">
        <f t="shared" si="35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112.53151914019467</v>
      </c>
      <c r="AI55" s="150">
        <f t="array" ref="AI55">IF(AI$1=0,"",SQRT((_xlfn.XLOOKUP(AI$1,$Z$2:$Z$18,$AA$2:$AA$18)-$T55)^2+(_xlfn.XLOOKUP(AI$1,$Z$2:$Z$18,$AB$2:$AB$18)-$U55)^2+(_xlfn.XLOOKUP(AI$1,$Z$2:$Z$18,$AC$2:$AC$18-$V55)^2)))</f>
        <v>123.81444705687622</v>
      </c>
      <c r="AJ55" s="150">
        <f t="array" ref="AJ55">IF(AJ$1=0,"",SQRT((_xlfn.XLOOKUP(AJ$1,$Z$2:$Z$18,$AA$2:$AA$18)-$T55)^2+(_xlfn.XLOOKUP(AJ$1,$Z$2:$Z$18,$AB$2:$AB$18)-$U55)^2+(_xlfn.XLOOKUP(AJ$1,$Z$2:$Z$18,$AC$2:$AC$18-$V55)^2)))</f>
        <v>226.27326421828982</v>
      </c>
      <c r="AK55" s="150">
        <f t="array" ref="AK55">IF(AK$1=0,"",SQRT((_xlfn.XLOOKUP(AK$1,$Z$2:$Z$18,$AA$2:$AA$18)-$T55)^2+(_xlfn.XLOOKUP(AK$1,$Z$2:$Z$18,$AB$2:$AB$18)-$U55)^2+(_xlfn.XLOOKUP(AK$1,$Z$2:$Z$18,$AC$2:$AC$18-$V55)^2)))</f>
        <v>330.89448786584524</v>
      </c>
      <c r="AL55" s="150">
        <f t="array" ref="AL55">IF(AL$1=0,"",SQRT((_xlfn.XLOOKUP(AL$1,$Z$2:$Z$18,$AA$2:$AA$18)-$T55)^2+(_xlfn.XLOOKUP(AL$1,$Z$2:$Z$18,$AB$2:$AB$18)-$U55)^2+(_xlfn.XLOOKUP(AL$1,$Z$2:$Z$18,$AC$2:$AC$18-$V55)^2)))</f>
        <v>218.97662386656708</v>
      </c>
      <c r="AM55" s="150" t="str">
        <f t="array" ref="AM55">IF(AM$1=0,"",SQRT((_xlfn.XLOOKUP(AM$1,$Z$2:$Z$18,$AA$2:$AA$18)-$T55)^2+(_xlfn.XLOOKUP(AM$1,$Z$2:$Z$18,$AB$2:$AB$18)-$U55)^2+(_xlfn.XLOOKUP(AM$1,$Z$2:$Z$18,$AC$2:$AC$18-$V55)^2)))</f>
        <v/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36"/>
        <v>0</v>
      </c>
      <c r="AZ55" s="153">
        <f t="shared" si="37"/>
        <v>0</v>
      </c>
      <c r="BA55" s="153">
        <f t="shared" si="38"/>
        <v>0</v>
      </c>
      <c r="BB55" s="153">
        <f t="shared" si="39"/>
        <v>0</v>
      </c>
      <c r="BC55" s="153">
        <f t="shared" si="40"/>
        <v>0</v>
      </c>
      <c r="BD55" s="153">
        <f t="shared" si="41"/>
        <v>0</v>
      </c>
      <c r="BE55" s="153">
        <f t="shared" si="42"/>
        <v>0</v>
      </c>
      <c r="BF55" s="153">
        <f t="shared" si="43"/>
        <v>0</v>
      </c>
      <c r="BG55" s="154">
        <f t="shared" si="44"/>
        <v>0</v>
      </c>
      <c r="BH55" s="154">
        <f t="shared" si="45"/>
        <v>0</v>
      </c>
      <c r="BI55" s="154">
        <f t="shared" si="46"/>
        <v>0</v>
      </c>
      <c r="BJ55" s="154">
        <f t="shared" si="47"/>
        <v>0</v>
      </c>
      <c r="BK55" s="154">
        <f t="shared" si="48"/>
        <v>0</v>
      </c>
      <c r="BL55" s="154">
        <f t="shared" si="49"/>
        <v>0</v>
      </c>
      <c r="BM55" s="155">
        <f t="shared" si="50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L55" s="134"/>
      <c r="CM55" s="140"/>
      <c r="CN55" s="140"/>
      <c r="CO55" s="140"/>
      <c r="CP55" s="140"/>
      <c r="CQ55" s="140"/>
      <c r="CR55" s="140"/>
      <c r="CS55" s="140"/>
      <c r="CT55" s="140"/>
      <c r="CU55" s="140"/>
      <c r="CV55" s="140"/>
      <c r="CW55" s="140"/>
      <c r="CX55" s="140"/>
      <c r="CY55" s="140"/>
      <c r="CZ55" s="140"/>
      <c r="DA55" s="140"/>
      <c r="DB55" s="134"/>
      <c r="DC55" s="134"/>
      <c r="DD55" s="169" cm="1">
        <f t="array" ref="DD55">_xlfn.IFS(DD$1= 0,"", NOT(ISBLANK(CM55)), 0, ISBLANK(CM55), $Q55-$S55+AY55-BV55)</f>
        <v>0</v>
      </c>
      <c r="DE55" s="170" cm="1">
        <f t="array" ref="DE55">_xlfn.IFS(DE$1= 0,"", NOT(ISBLANK(CN55)), 0, ISBLANK(CN55), $Q55-$S55+AZ55-BW55)</f>
        <v>0</v>
      </c>
      <c r="DF55" s="170" cm="1">
        <f t="array" ref="DF55">_xlfn.IFS(DF$1= 0,"", NOT(ISBLANK(CO55)), 0, ISBLANK(CO55), $Q55-$S55+BA55-BX55)</f>
        <v>0</v>
      </c>
      <c r="DG55" s="170" cm="1">
        <f t="array" ref="DG55">_xlfn.IFS(DG$1= 0,"", NOT(ISBLANK(CP55)), 0, ISBLANK(CP55), $Q55-$S55+BB55-BY55)</f>
        <v>0</v>
      </c>
      <c r="DH55" s="170" cm="1">
        <f t="array" ref="DH55">_xlfn.IFS(DH$1= 0,"", NOT(ISBLANK(CQ55)), 0, ISBLANK(CQ55), $Q55-$S55+BC55-BZ55)</f>
        <v>0</v>
      </c>
      <c r="DI55" s="170" t="str" cm="1">
        <f t="array" ref="DI55">_xlfn.IFS(DI$1= 0,"", NOT(ISBLANK(CR55)), 0, ISBLANK(CR55), $Q55-$S55+BD55-CA55)</f>
        <v/>
      </c>
      <c r="DJ55" s="170" t="str" cm="1">
        <f t="array" ref="DJ55">_xlfn.IFS(DJ$1= 0,"", NOT(ISBLANK(CS55)), 0, ISBLANK(CS55), $Q55-$S55+BE55-CB55)</f>
        <v/>
      </c>
      <c r="DK55" s="170" t="str" cm="1">
        <f t="array" ref="DK55">_xlfn.IFS(DK$1= 0,"", NOT(ISBLANK(CT55)), 0, ISBLANK(CT55), $Q55-$S55+BF55-CC55)</f>
        <v/>
      </c>
      <c r="DL55" s="172" t="str" cm="1">
        <f t="array" ref="DL55">_xlfn.IFS(DL$1= 0,"", NOT(ISBLANK(CU55)), 0, ISBLANK(CU55), $Q55-$S55+BG55-CD55)</f>
        <v/>
      </c>
      <c r="DM55" s="172" t="str" cm="1">
        <f t="array" ref="DM55">_xlfn.IFS(DM$1= 0,"", NOT(ISBLANK(CV55)), 0, ISBLANK(CV55), $Q55-$S55+BH55-CE55)</f>
        <v/>
      </c>
      <c r="DN55" s="172" t="str" cm="1">
        <f t="array" ref="DN55">_xlfn.IFS(DN$1= 0,"", NOT(ISBLANK(CW55)), 0, ISBLANK(CW55), $Q55-$S55+BI55-CF55)</f>
        <v/>
      </c>
      <c r="DO55" s="172" t="str" cm="1">
        <f t="array" ref="DO55">_xlfn.IFS(DO$1= 0,"", NOT(ISBLANK(CX55)), 0, ISBLANK(CX55), $Q55-$S55+BJ55-CG55)</f>
        <v/>
      </c>
      <c r="DP55" s="172" t="str" cm="1">
        <f t="array" ref="DP55">_xlfn.IFS(DP$1= 0,"", NOT(ISBLANK(CY55)), 0, ISBLANK(CY55), $Q55-$S55+BK55-CH55)</f>
        <v/>
      </c>
      <c r="DQ55" s="172" t="str" cm="1">
        <f t="array" ref="DQ55">_xlfn.IFS(DQ$1= 0,"", NOT(ISBLANK(CZ55)), 0, ISBLANK(CZ55), $Q55-$S55+BL55-CI55)</f>
        <v/>
      </c>
      <c r="DR55" s="173" t="str" cm="1">
        <f t="array" ref="DR55">_xlfn.IFS(DR$1= 0,"", NOT(ISBLANK(DA55)), 0, ISBLANK(DA55), $Q55-$S55+BM55-CJ55)</f>
        <v/>
      </c>
    </row>
    <row r="56" spans="1:122" ht="16.5" customHeight="1" x14ac:dyDescent="0.3">
      <c r="A56" s="145"/>
      <c r="B56" s="146"/>
      <c r="C56" s="146"/>
      <c r="D56" s="147"/>
      <c r="E56" s="202"/>
      <c r="F56" s="210"/>
      <c r="G56" s="211"/>
      <c r="H56" s="211"/>
      <c r="I56" s="211"/>
      <c r="J56" s="211"/>
      <c r="K56" s="211"/>
      <c r="L56" s="211"/>
      <c r="M56" s="215"/>
      <c r="N56" s="210"/>
      <c r="O56" s="212"/>
      <c r="P56" s="205"/>
      <c r="Q56" s="128">
        <f t="shared" si="34"/>
        <v>0</v>
      </c>
      <c r="R56" s="3"/>
      <c r="S56" s="3"/>
      <c r="T56" s="4"/>
      <c r="U56" s="4"/>
      <c r="V56" s="109">
        <f t="shared" si="35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112.53151914019467</v>
      </c>
      <c r="AI56" s="150">
        <f t="array" ref="AI56">IF(AI$1=0,"",SQRT((_xlfn.XLOOKUP(AI$1,$Z$2:$Z$18,$AA$2:$AA$18)-$T56)^2+(_xlfn.XLOOKUP(AI$1,$Z$2:$Z$18,$AB$2:$AB$18)-$U56)^2+(_xlfn.XLOOKUP(AI$1,$Z$2:$Z$18,$AC$2:$AC$18-$V56)^2)))</f>
        <v>123.81444705687622</v>
      </c>
      <c r="AJ56" s="150">
        <f t="array" ref="AJ56">IF(AJ$1=0,"",SQRT((_xlfn.XLOOKUP(AJ$1,$Z$2:$Z$18,$AA$2:$AA$18)-$T56)^2+(_xlfn.XLOOKUP(AJ$1,$Z$2:$Z$18,$AB$2:$AB$18)-$U56)^2+(_xlfn.XLOOKUP(AJ$1,$Z$2:$Z$18,$AC$2:$AC$18-$V56)^2)))</f>
        <v>226.27326421828982</v>
      </c>
      <c r="AK56" s="150">
        <f t="array" ref="AK56">IF(AK$1=0,"",SQRT((_xlfn.XLOOKUP(AK$1,$Z$2:$Z$18,$AA$2:$AA$18)-$T56)^2+(_xlfn.XLOOKUP(AK$1,$Z$2:$Z$18,$AB$2:$AB$18)-$U56)^2+(_xlfn.XLOOKUP(AK$1,$Z$2:$Z$18,$AC$2:$AC$18-$V56)^2)))</f>
        <v>330.89448786584524</v>
      </c>
      <c r="AL56" s="150">
        <f t="array" ref="AL56">IF(AL$1=0,"",SQRT((_xlfn.XLOOKUP(AL$1,$Z$2:$Z$18,$AA$2:$AA$18)-$T56)^2+(_xlfn.XLOOKUP(AL$1,$Z$2:$Z$18,$AB$2:$AB$18)-$U56)^2+(_xlfn.XLOOKUP(AL$1,$Z$2:$Z$18,$AC$2:$AC$18-$V56)^2)))</f>
        <v>218.97662386656708</v>
      </c>
      <c r="AM56" s="150" t="str">
        <f t="array" ref="AM56">IF(AM$1=0,"",SQRT((_xlfn.XLOOKUP(AM$1,$Z$2:$Z$18,$AA$2:$AA$18)-$T56)^2+(_xlfn.XLOOKUP(AM$1,$Z$2:$Z$18,$AB$2:$AB$18)-$U56)^2+(_xlfn.XLOOKUP(AM$1,$Z$2:$Z$18,$AC$2:$AC$18-$V56)^2)))</f>
        <v/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36"/>
        <v>0</v>
      </c>
      <c r="AZ56" s="153">
        <f t="shared" si="37"/>
        <v>0</v>
      </c>
      <c r="BA56" s="153">
        <f t="shared" si="38"/>
        <v>0</v>
      </c>
      <c r="BB56" s="153">
        <f t="shared" si="39"/>
        <v>0</v>
      </c>
      <c r="BC56" s="153">
        <f t="shared" si="40"/>
        <v>0</v>
      </c>
      <c r="BD56" s="153">
        <f t="shared" si="41"/>
        <v>0</v>
      </c>
      <c r="BE56" s="153">
        <f t="shared" si="42"/>
        <v>0</v>
      </c>
      <c r="BF56" s="153">
        <f t="shared" si="43"/>
        <v>0</v>
      </c>
      <c r="BG56" s="154">
        <f t="shared" si="44"/>
        <v>0</v>
      </c>
      <c r="BH56" s="154">
        <f t="shared" si="45"/>
        <v>0</v>
      </c>
      <c r="BI56" s="154">
        <f t="shared" si="46"/>
        <v>0</v>
      </c>
      <c r="BJ56" s="154">
        <f t="shared" si="47"/>
        <v>0</v>
      </c>
      <c r="BK56" s="154">
        <f t="shared" si="48"/>
        <v>0</v>
      </c>
      <c r="BL56" s="154">
        <f t="shared" si="49"/>
        <v>0</v>
      </c>
      <c r="BM56" s="155">
        <f t="shared" si="50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L56" s="134"/>
      <c r="CM56" s="140"/>
      <c r="CN56" s="140"/>
      <c r="CO56" s="140"/>
      <c r="CP56" s="140"/>
      <c r="CQ56" s="140"/>
      <c r="CR56" s="140"/>
      <c r="CS56" s="140"/>
      <c r="CT56" s="140"/>
      <c r="CU56" s="140"/>
      <c r="CV56" s="140"/>
      <c r="CW56" s="140"/>
      <c r="CX56" s="140"/>
      <c r="CY56" s="140"/>
      <c r="CZ56" s="140"/>
      <c r="DA56" s="140"/>
      <c r="DB56" s="134"/>
      <c r="DC56" s="134"/>
      <c r="DD56" s="169" cm="1">
        <f t="array" ref="DD56">_xlfn.IFS(DD$1= 0,"", NOT(ISBLANK(CM56)), 0, ISBLANK(CM56), $Q56-$S56+AY56-BV56)</f>
        <v>0</v>
      </c>
      <c r="DE56" s="170" cm="1">
        <f t="array" ref="DE56">_xlfn.IFS(DE$1= 0,"", NOT(ISBLANK(CN56)), 0, ISBLANK(CN56), $Q56-$S56+AZ56-BW56)</f>
        <v>0</v>
      </c>
      <c r="DF56" s="170" cm="1">
        <f t="array" ref="DF56">_xlfn.IFS(DF$1= 0,"", NOT(ISBLANK(CO56)), 0, ISBLANK(CO56), $Q56-$S56+BA56-BX56)</f>
        <v>0</v>
      </c>
      <c r="DG56" s="170" cm="1">
        <f t="array" ref="DG56">_xlfn.IFS(DG$1= 0,"", NOT(ISBLANK(CP56)), 0, ISBLANK(CP56), $Q56-$S56+BB56-BY56)</f>
        <v>0</v>
      </c>
      <c r="DH56" s="170" cm="1">
        <f t="array" ref="DH56">_xlfn.IFS(DH$1= 0,"", NOT(ISBLANK(CQ56)), 0, ISBLANK(CQ56), $Q56-$S56+BC56-BZ56)</f>
        <v>0</v>
      </c>
      <c r="DI56" s="170" t="str" cm="1">
        <f t="array" ref="DI56">_xlfn.IFS(DI$1= 0,"", NOT(ISBLANK(CR56)), 0, ISBLANK(CR56), $Q56-$S56+BD56-CA56)</f>
        <v/>
      </c>
      <c r="DJ56" s="170" t="str" cm="1">
        <f t="array" ref="DJ56">_xlfn.IFS(DJ$1= 0,"", NOT(ISBLANK(CS56)), 0, ISBLANK(CS56), $Q56-$S56+BE56-CB56)</f>
        <v/>
      </c>
      <c r="DK56" s="170" t="str" cm="1">
        <f t="array" ref="DK56">_xlfn.IFS(DK$1= 0,"", NOT(ISBLANK(CT56)), 0, ISBLANK(CT56), $Q56-$S56+BF56-CC56)</f>
        <v/>
      </c>
      <c r="DL56" s="172" t="str" cm="1">
        <f t="array" ref="DL56">_xlfn.IFS(DL$1= 0,"", NOT(ISBLANK(CU56)), 0, ISBLANK(CU56), $Q56-$S56+BG56-CD56)</f>
        <v/>
      </c>
      <c r="DM56" s="172" t="str" cm="1">
        <f t="array" ref="DM56">_xlfn.IFS(DM$1= 0,"", NOT(ISBLANK(CV56)), 0, ISBLANK(CV56), $Q56-$S56+BH56-CE56)</f>
        <v/>
      </c>
      <c r="DN56" s="172" t="str" cm="1">
        <f t="array" ref="DN56">_xlfn.IFS(DN$1= 0,"", NOT(ISBLANK(CW56)), 0, ISBLANK(CW56), $Q56-$S56+BI56-CF56)</f>
        <v/>
      </c>
      <c r="DO56" s="172" t="str" cm="1">
        <f t="array" ref="DO56">_xlfn.IFS(DO$1= 0,"", NOT(ISBLANK(CX56)), 0, ISBLANK(CX56), $Q56-$S56+BJ56-CG56)</f>
        <v/>
      </c>
      <c r="DP56" s="172" t="str" cm="1">
        <f t="array" ref="DP56">_xlfn.IFS(DP$1= 0,"", NOT(ISBLANK(CY56)), 0, ISBLANK(CY56), $Q56-$S56+BK56-CH56)</f>
        <v/>
      </c>
      <c r="DQ56" s="172" t="str" cm="1">
        <f t="array" ref="DQ56">_xlfn.IFS(DQ$1= 0,"", NOT(ISBLANK(CZ56)), 0, ISBLANK(CZ56), $Q56-$S56+BL56-CI56)</f>
        <v/>
      </c>
      <c r="DR56" s="173" t="str" cm="1">
        <f t="array" ref="DR56">_xlfn.IFS(DR$1= 0,"", NOT(ISBLANK(DA56)), 0, ISBLANK(DA56), $Q56-$S56+BM56-CJ56)</f>
        <v/>
      </c>
    </row>
    <row r="57" spans="1:122" ht="16.5" customHeight="1" x14ac:dyDescent="0.3">
      <c r="A57" s="145"/>
      <c r="B57" s="146"/>
      <c r="C57" s="146"/>
      <c r="D57" s="147"/>
      <c r="E57" s="202"/>
      <c r="F57" s="210"/>
      <c r="G57" s="211"/>
      <c r="H57" s="211"/>
      <c r="I57" s="211"/>
      <c r="J57" s="211"/>
      <c r="K57" s="211"/>
      <c r="L57" s="211"/>
      <c r="M57" s="215"/>
      <c r="N57" s="210"/>
      <c r="O57" s="212"/>
      <c r="P57" s="205"/>
      <c r="Q57" s="128">
        <f t="shared" si="34"/>
        <v>0</v>
      </c>
      <c r="R57" s="3"/>
      <c r="S57" s="3"/>
      <c r="T57" s="4"/>
      <c r="U57" s="4"/>
      <c r="V57" s="109">
        <f t="shared" si="35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112.53151914019467</v>
      </c>
      <c r="AI57" s="150">
        <f t="array" ref="AI57">IF(AI$1=0,"",SQRT((_xlfn.XLOOKUP(AI$1,$Z$2:$Z$18,$AA$2:$AA$18)-$T57)^2+(_xlfn.XLOOKUP(AI$1,$Z$2:$Z$18,$AB$2:$AB$18)-$U57)^2+(_xlfn.XLOOKUP(AI$1,$Z$2:$Z$18,$AC$2:$AC$18-$V57)^2)))</f>
        <v>123.81444705687622</v>
      </c>
      <c r="AJ57" s="150">
        <f t="array" ref="AJ57">IF(AJ$1=0,"",SQRT((_xlfn.XLOOKUP(AJ$1,$Z$2:$Z$18,$AA$2:$AA$18)-$T57)^2+(_xlfn.XLOOKUP(AJ$1,$Z$2:$Z$18,$AB$2:$AB$18)-$U57)^2+(_xlfn.XLOOKUP(AJ$1,$Z$2:$Z$18,$AC$2:$AC$18-$V57)^2)))</f>
        <v>226.27326421828982</v>
      </c>
      <c r="AK57" s="150">
        <f t="array" ref="AK57">IF(AK$1=0,"",SQRT((_xlfn.XLOOKUP(AK$1,$Z$2:$Z$18,$AA$2:$AA$18)-$T57)^2+(_xlfn.XLOOKUP(AK$1,$Z$2:$Z$18,$AB$2:$AB$18)-$U57)^2+(_xlfn.XLOOKUP(AK$1,$Z$2:$Z$18,$AC$2:$AC$18-$V57)^2)))</f>
        <v>330.89448786584524</v>
      </c>
      <c r="AL57" s="150">
        <f t="array" ref="AL57">IF(AL$1=0,"",SQRT((_xlfn.XLOOKUP(AL$1,$Z$2:$Z$18,$AA$2:$AA$18)-$T57)^2+(_xlfn.XLOOKUP(AL$1,$Z$2:$Z$18,$AB$2:$AB$18)-$U57)^2+(_xlfn.XLOOKUP(AL$1,$Z$2:$Z$18,$AC$2:$AC$18-$V57)^2)))</f>
        <v>218.97662386656708</v>
      </c>
      <c r="AM57" s="150" t="str">
        <f t="array" ref="AM57">IF(AM$1=0,"",SQRT((_xlfn.XLOOKUP(AM$1,$Z$2:$Z$18,$AA$2:$AA$18)-$T57)^2+(_xlfn.XLOOKUP(AM$1,$Z$2:$Z$18,$AB$2:$AB$18)-$U57)^2+(_xlfn.XLOOKUP(AM$1,$Z$2:$Z$18,$AC$2:$AC$18-$V57)^2)))</f>
        <v/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36"/>
        <v>0</v>
      </c>
      <c r="AZ57" s="153">
        <f t="shared" si="37"/>
        <v>0</v>
      </c>
      <c r="BA57" s="153">
        <f t="shared" si="38"/>
        <v>0</v>
      </c>
      <c r="BB57" s="153">
        <f t="shared" si="39"/>
        <v>0</v>
      </c>
      <c r="BC57" s="153">
        <f t="shared" si="40"/>
        <v>0</v>
      </c>
      <c r="BD57" s="153">
        <f t="shared" si="41"/>
        <v>0</v>
      </c>
      <c r="BE57" s="153">
        <f t="shared" si="42"/>
        <v>0</v>
      </c>
      <c r="BF57" s="153">
        <f t="shared" si="43"/>
        <v>0</v>
      </c>
      <c r="BG57" s="154">
        <f t="shared" si="44"/>
        <v>0</v>
      </c>
      <c r="BH57" s="154">
        <f t="shared" si="45"/>
        <v>0</v>
      </c>
      <c r="BI57" s="154">
        <f t="shared" si="46"/>
        <v>0</v>
      </c>
      <c r="BJ57" s="154">
        <f t="shared" si="47"/>
        <v>0</v>
      </c>
      <c r="BK57" s="154">
        <f t="shared" si="48"/>
        <v>0</v>
      </c>
      <c r="BL57" s="154">
        <f t="shared" si="49"/>
        <v>0</v>
      </c>
      <c r="BM57" s="155">
        <f t="shared" si="50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L57" s="134"/>
      <c r="CM57" s="140"/>
      <c r="CN57" s="140"/>
      <c r="CO57" s="140"/>
      <c r="CP57" s="140"/>
      <c r="CQ57" s="140"/>
      <c r="CR57" s="140"/>
      <c r="CS57" s="140"/>
      <c r="CT57" s="140"/>
      <c r="CU57" s="140"/>
      <c r="CV57" s="140"/>
      <c r="CW57" s="140"/>
      <c r="CX57" s="140"/>
      <c r="CY57" s="140"/>
      <c r="CZ57" s="140"/>
      <c r="DA57" s="140"/>
      <c r="DB57" s="134"/>
      <c r="DC57" s="134"/>
      <c r="DD57" s="169" cm="1">
        <f t="array" ref="DD57">_xlfn.IFS(DD$1= 0,"", NOT(ISBLANK(CM57)), 0, ISBLANK(CM57), $Q57-$S57+AY57-BV57)</f>
        <v>0</v>
      </c>
      <c r="DE57" s="170" cm="1">
        <f t="array" ref="DE57">_xlfn.IFS(DE$1= 0,"", NOT(ISBLANK(CN57)), 0, ISBLANK(CN57), $Q57-$S57+AZ57-BW57)</f>
        <v>0</v>
      </c>
      <c r="DF57" s="170" cm="1">
        <f t="array" ref="DF57">_xlfn.IFS(DF$1= 0,"", NOT(ISBLANK(CO57)), 0, ISBLANK(CO57), $Q57-$S57+BA57-BX57)</f>
        <v>0</v>
      </c>
      <c r="DG57" s="170" cm="1">
        <f t="array" ref="DG57">_xlfn.IFS(DG$1= 0,"", NOT(ISBLANK(CP57)), 0, ISBLANK(CP57), $Q57-$S57+BB57-BY57)</f>
        <v>0</v>
      </c>
      <c r="DH57" s="170" cm="1">
        <f t="array" ref="DH57">_xlfn.IFS(DH$1= 0,"", NOT(ISBLANK(CQ57)), 0, ISBLANK(CQ57), $Q57-$S57+BC57-BZ57)</f>
        <v>0</v>
      </c>
      <c r="DI57" s="170" t="str" cm="1">
        <f t="array" ref="DI57">_xlfn.IFS(DI$1= 0,"", NOT(ISBLANK(CR57)), 0, ISBLANK(CR57), $Q57-$S57+BD57-CA57)</f>
        <v/>
      </c>
      <c r="DJ57" s="170" t="str" cm="1">
        <f t="array" ref="DJ57">_xlfn.IFS(DJ$1= 0,"", NOT(ISBLANK(CS57)), 0, ISBLANK(CS57), $Q57-$S57+BE57-CB57)</f>
        <v/>
      </c>
      <c r="DK57" s="170" t="str" cm="1">
        <f t="array" ref="DK57">_xlfn.IFS(DK$1= 0,"", NOT(ISBLANK(CT57)), 0, ISBLANK(CT57), $Q57-$S57+BF57-CC57)</f>
        <v/>
      </c>
      <c r="DL57" s="172" t="str" cm="1">
        <f t="array" ref="DL57">_xlfn.IFS(DL$1= 0,"", NOT(ISBLANK(CU57)), 0, ISBLANK(CU57), $Q57-$S57+BG57-CD57)</f>
        <v/>
      </c>
      <c r="DM57" s="172" t="str" cm="1">
        <f t="array" ref="DM57">_xlfn.IFS(DM$1= 0,"", NOT(ISBLANK(CV57)), 0, ISBLANK(CV57), $Q57-$S57+BH57-CE57)</f>
        <v/>
      </c>
      <c r="DN57" s="172" t="str" cm="1">
        <f t="array" ref="DN57">_xlfn.IFS(DN$1= 0,"", NOT(ISBLANK(CW57)), 0, ISBLANK(CW57), $Q57-$S57+BI57-CF57)</f>
        <v/>
      </c>
      <c r="DO57" s="172" t="str" cm="1">
        <f t="array" ref="DO57">_xlfn.IFS(DO$1= 0,"", NOT(ISBLANK(CX57)), 0, ISBLANK(CX57), $Q57-$S57+BJ57-CG57)</f>
        <v/>
      </c>
      <c r="DP57" s="172" t="str" cm="1">
        <f t="array" ref="DP57">_xlfn.IFS(DP$1= 0,"", NOT(ISBLANK(CY57)), 0, ISBLANK(CY57), $Q57-$S57+BK57-CH57)</f>
        <v/>
      </c>
      <c r="DQ57" s="172" t="str" cm="1">
        <f t="array" ref="DQ57">_xlfn.IFS(DQ$1= 0,"", NOT(ISBLANK(CZ57)), 0, ISBLANK(CZ57), $Q57-$S57+BL57-CI57)</f>
        <v/>
      </c>
      <c r="DR57" s="173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174"/>
      <c r="B58" s="175"/>
      <c r="C58" s="175"/>
      <c r="D58" s="176"/>
      <c r="E58" s="203"/>
      <c r="F58" s="71"/>
      <c r="G58" s="6"/>
      <c r="H58" s="6"/>
      <c r="I58" s="6"/>
      <c r="J58" s="6"/>
      <c r="K58" s="6"/>
      <c r="L58" s="6"/>
      <c r="M58" s="216"/>
      <c r="N58" s="71"/>
      <c r="O58" s="213"/>
      <c r="P58" s="206"/>
      <c r="Q58" s="128">
        <f t="shared" si="34"/>
        <v>0</v>
      </c>
      <c r="R58" s="7"/>
      <c r="S58" s="7"/>
      <c r="T58" s="6"/>
      <c r="U58" s="6"/>
      <c r="V58" s="109">
        <f t="shared" si="35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112.53151914019467</v>
      </c>
      <c r="AI58" s="180">
        <f t="array" ref="AI58">IF(AI$1=0,"",SQRT((_xlfn.XLOOKUP(AI$1,$Z$2:$Z$18,$AA$2:$AA$18)-$T58)^2+(_xlfn.XLOOKUP(AI$1,$Z$2:$Z$18,$AB$2:$AB$18)-$U58)^2+(_xlfn.XLOOKUP(AI$1,$Z$2:$Z$18,$AC$2:$AC$18-$V58)^2)))</f>
        <v>123.81444705687622</v>
      </c>
      <c r="AJ58" s="180">
        <f t="array" ref="AJ58">IF(AJ$1=0,"",SQRT((_xlfn.XLOOKUP(AJ$1,$Z$2:$Z$18,$AA$2:$AA$18)-$T58)^2+(_xlfn.XLOOKUP(AJ$1,$Z$2:$Z$18,$AB$2:$AB$18)-$U58)^2+(_xlfn.XLOOKUP(AJ$1,$Z$2:$Z$18,$AC$2:$AC$18-$V58)^2)))</f>
        <v>226.27326421828982</v>
      </c>
      <c r="AK58" s="180">
        <f t="array" ref="AK58">IF(AK$1=0,"",SQRT((_xlfn.XLOOKUP(AK$1,$Z$2:$Z$18,$AA$2:$AA$18)-$T58)^2+(_xlfn.XLOOKUP(AK$1,$Z$2:$Z$18,$AB$2:$AB$18)-$U58)^2+(_xlfn.XLOOKUP(AK$1,$Z$2:$Z$18,$AC$2:$AC$18-$V58)^2)))</f>
        <v>330.89448786584524</v>
      </c>
      <c r="AL58" s="180">
        <f t="array" ref="AL58">IF(AL$1=0,"",SQRT((_xlfn.XLOOKUP(AL$1,$Z$2:$Z$18,$AA$2:$AA$18)-$T58)^2+(_xlfn.XLOOKUP(AL$1,$Z$2:$Z$18,$AB$2:$AB$18)-$U58)^2+(_xlfn.XLOOKUP(AL$1,$Z$2:$Z$18,$AC$2:$AC$18-$V58)^2)))</f>
        <v>218.97662386656708</v>
      </c>
      <c r="AM58" s="180" t="str">
        <f t="array" ref="AM58">IF(AM$1=0,"",SQRT((_xlfn.XLOOKUP(AM$1,$Z$2:$Z$18,$AA$2:$AA$18)-$T58)^2+(_xlfn.XLOOKUP(AM$1,$Z$2:$Z$18,$AB$2:$AB$18)-$U58)^2+(_xlfn.XLOOKUP(AM$1,$Z$2:$Z$18,$AC$2:$AC$18-$V58)^2)))</f>
        <v/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36"/>
        <v>0</v>
      </c>
      <c r="AZ58" s="183">
        <f t="shared" si="37"/>
        <v>0</v>
      </c>
      <c r="BA58" s="183">
        <f t="shared" si="38"/>
        <v>0</v>
      </c>
      <c r="BB58" s="183">
        <f t="shared" si="39"/>
        <v>0</v>
      </c>
      <c r="BC58" s="183">
        <f t="shared" si="40"/>
        <v>0</v>
      </c>
      <c r="BD58" s="183">
        <f t="shared" si="41"/>
        <v>0</v>
      </c>
      <c r="BE58" s="183">
        <f t="shared" si="42"/>
        <v>0</v>
      </c>
      <c r="BF58" s="183">
        <f t="shared" si="43"/>
        <v>0</v>
      </c>
      <c r="BG58" s="184">
        <f t="shared" si="44"/>
        <v>0</v>
      </c>
      <c r="BH58" s="184">
        <f t="shared" si="45"/>
        <v>0</v>
      </c>
      <c r="BI58" s="184">
        <f t="shared" si="46"/>
        <v>0</v>
      </c>
      <c r="BJ58" s="184">
        <f t="shared" si="47"/>
        <v>0</v>
      </c>
      <c r="BK58" s="184">
        <f t="shared" si="48"/>
        <v>0</v>
      </c>
      <c r="BL58" s="184">
        <f t="shared" si="49"/>
        <v>0</v>
      </c>
      <c r="BM58" s="185">
        <f t="shared" si="50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L58" s="134"/>
      <c r="CM58" s="140"/>
      <c r="CN58" s="140"/>
      <c r="CO58" s="140"/>
      <c r="CP58" s="140"/>
      <c r="CQ58" s="140"/>
      <c r="CR58" s="140"/>
      <c r="CS58" s="140"/>
      <c r="CT58" s="140"/>
      <c r="CU58" s="140"/>
      <c r="CV58" s="140"/>
      <c r="CW58" s="140"/>
      <c r="CX58" s="140"/>
      <c r="CY58" s="140"/>
      <c r="CZ58" s="140"/>
      <c r="DA58" s="140"/>
      <c r="DB58" s="134"/>
      <c r="DC58" s="134"/>
      <c r="DD58" s="186" cm="1">
        <f t="array" ref="DD58">_xlfn.IFS(DD$1= 0,"", NOT(ISBLANK(CM58)), 0, ISBLANK(CM58), $Q58-$S58+AY58-BV58)</f>
        <v>0</v>
      </c>
      <c r="DE58" s="187" cm="1">
        <f t="array" ref="DE58">_xlfn.IFS(DE$1= 0,"", NOT(ISBLANK(CN58)), 0, ISBLANK(CN58), $Q58-$S58+AZ58-BW58)</f>
        <v>0</v>
      </c>
      <c r="DF58" s="187" cm="1">
        <f t="array" ref="DF58">_xlfn.IFS(DF$1= 0,"", NOT(ISBLANK(CO58)), 0, ISBLANK(CO58), $Q58-$S58+BA58-BX58)</f>
        <v>0</v>
      </c>
      <c r="DG58" s="187" cm="1">
        <f t="array" ref="DG58">_xlfn.IFS(DG$1= 0,"", NOT(ISBLANK(CP58)), 0, ISBLANK(CP58), $Q58-$S58+BB58-BY58)</f>
        <v>0</v>
      </c>
      <c r="DH58" s="187" cm="1">
        <f t="array" ref="DH58">_xlfn.IFS(DH$1= 0,"", NOT(ISBLANK(CQ58)), 0, ISBLANK(CQ58), $Q58-$S58+BC58-BZ58)</f>
        <v>0</v>
      </c>
      <c r="DI58" s="187" t="str" cm="1">
        <f t="array" ref="DI58">_xlfn.IFS(DI$1= 0,"", NOT(ISBLANK(CR58)), 0, ISBLANK(CR58), $Q58-$S58+BD58-CA58)</f>
        <v/>
      </c>
      <c r="DJ58" s="187" t="str" cm="1">
        <f t="array" ref="DJ58">_xlfn.IFS(DJ$1= 0,"", NOT(ISBLANK(CS58)), 0, ISBLANK(CS58), $Q58-$S58+BE58-CB58)</f>
        <v/>
      </c>
      <c r="DK58" s="187" t="str" cm="1">
        <f t="array" ref="DK58">_xlfn.IFS(DK$1= 0,"", NOT(ISBLANK(CT58)), 0, ISBLANK(CT58), $Q58-$S58+BF58-CC58)</f>
        <v/>
      </c>
      <c r="DL58" s="188" t="str" cm="1">
        <f t="array" ref="DL58">_xlfn.IFS(DL$1= 0,"", NOT(ISBLANK(CU58)), 0, ISBLANK(CU58), $Q58-$S58+BG58-CD58)</f>
        <v/>
      </c>
      <c r="DM58" s="188" t="str" cm="1">
        <f t="array" ref="DM58">_xlfn.IFS(DM$1= 0,"", NOT(ISBLANK(CV58)), 0, ISBLANK(CV58), $Q58-$S58+BH58-CE58)</f>
        <v/>
      </c>
      <c r="DN58" s="188" t="str" cm="1">
        <f t="array" ref="DN58">_xlfn.IFS(DN$1= 0,"", NOT(ISBLANK(CW58)), 0, ISBLANK(CW58), $Q58-$S58+BI58-CF58)</f>
        <v/>
      </c>
      <c r="DO58" s="188" t="str" cm="1">
        <f t="array" ref="DO58">_xlfn.IFS(DO$1= 0,"", NOT(ISBLANK(CX58)), 0, ISBLANK(CX58), $Q58-$S58+BJ58-CG58)</f>
        <v/>
      </c>
      <c r="DP58" s="188" t="str" cm="1">
        <f t="array" ref="DP58">_xlfn.IFS(DP$1= 0,"", NOT(ISBLANK(CY58)), 0, ISBLANK(CY58), $Q58-$S58+BK58-CH58)</f>
        <v/>
      </c>
      <c r="DQ58" s="188" t="str" cm="1">
        <f t="array" ref="DQ58">_xlfn.IFS(DQ$1= 0,"", NOT(ISBLANK(CZ58)), 0, ISBLANK(CZ58), $Q58-$S58+BL58-CI58)</f>
        <v/>
      </c>
      <c r="DR58" s="189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43.44400066804706</v>
      </c>
      <c r="DE59" s="63">
        <f t="array" ref="DE59">IF(ISBLANK(_xlfn.XLOOKUP(DE$1,$Z$2:$Z$16,$AA$2:$AA$16)),"", 10*LOG10(SUM(10^(DE2:DE58/10))))</f>
        <v>30.553771275486508</v>
      </c>
      <c r="DF59" s="63">
        <f t="array" ref="DF59">IF(ISBLANK(_xlfn.XLOOKUP(DF$1,$Z$2:$Z$16,$AA$2:$AA$16)),"", 10*LOG10(SUM(10^(DF2:DF58/10))))</f>
        <v>24.420551139224443</v>
      </c>
      <c r="DG59" s="63">
        <f t="array" ref="DG59">IF(ISBLANK(_xlfn.XLOOKUP(DG$1,$Z$2:$Z$16,$AA$2:$AA$16)),"", 10*LOG10(SUM(10^(DG2:DG58/10))))</f>
        <v>21.094897438234597</v>
      </c>
      <c r="DH59" s="63">
        <f t="array" ref="DH59">IF(ISBLANK(_xlfn.XLOOKUP(DH$1,$Z$2:$Z$16,$AA$2:$AA$16)),"", 10*LOG10(SUM(10^(DH2:DH58/10))))</f>
        <v>31.163357836282511</v>
      </c>
      <c r="DI59" s="63" t="e">
        <f t="array" ref="DI59">IF(ISBLANK(_xlfn.XLOOKUP(DI$1,$Z$2:$Z$16,$AA$2:$AA$16)),"", 10*LOG10(SUM(10^(DI2:DI58/10))))</f>
        <v>#VALUE!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90">
        <f t="array" ref="DD60:DR60">TRANSPOSE(AD2:AD16)</f>
        <v>40</v>
      </c>
      <c r="DE60" s="88">
        <v>40</v>
      </c>
      <c r="DF60" s="88">
        <v>40</v>
      </c>
      <c r="DG60" s="88">
        <v>40</v>
      </c>
      <c r="DH60" s="88">
        <v>40</v>
      </c>
      <c r="DI60" s="88">
        <v>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2">
      <formula>"Rounddown($F$3)=J35"</formula>
    </cfRule>
  </conditionalFormatting>
  <conditionalFormatting sqref="BO39">
    <cfRule type="expression" dxfId="9" priority="21">
      <formula>"Rounddown($F$3)=J35"</formula>
    </cfRule>
  </conditionalFormatting>
  <conditionalFormatting sqref="DD2:DK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6">
      <formula>AE16=AD16+1</formula>
    </cfRule>
    <cfRule type="expression" dxfId="7" priority="7">
      <formula>AE16&lt;=AD16</formula>
    </cfRule>
  </conditionalFormatting>
  <conditionalFormatting sqref="AE2:AE16">
    <cfRule type="expression" dxfId="6" priority="45">
      <formula>AE2=AD2+1</formula>
    </cfRule>
    <cfRule type="expression" dxfId="5" priority="102">
      <formula>AE2&lt;=AD2</formula>
    </cfRule>
  </conditionalFormatting>
  <conditionalFormatting sqref="N2:N58">
    <cfRule type="expression" dxfId="4" priority="1">
      <formula>_xlfn.ISFORMULA(N2)</formula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9">
        <f>10*LOG10(SUM(I3:I59))</f>
        <v>30.476629692012317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2020-10-21T17:18:29Z</dcterms:modified>
</cp:coreProperties>
</file>