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_VSCode\graphical-acoustic-calcs\"/>
    </mc:Choice>
  </mc:AlternateContent>
  <xr:revisionPtr revIDLastSave="0" documentId="13_ncr:1_{FB542DD2-69F9-472C-9111-55BDACC4AAE0}" xr6:coauthVersionLast="45" xr6:coauthVersionMax="45" xr10:uidLastSave="{00000000-0000-0000-0000-000000000000}"/>
  <bookViews>
    <workbookView xWindow="-12792" yWindow="-15264" windowWidth="13932" windowHeight="16224" tabRatio="847" xr2:uid="{00000000-000D-0000-FFFF-FFFF00000000}"/>
  </bookViews>
  <sheets>
    <sheet name="Input LwA_XYZ" sheetId="1" r:id="rId1"/>
    <sheet name="Sheet1" sheetId="3" r:id="rId2"/>
    <sheet name="Tables" sheetId="2" r:id="rId3"/>
  </sheets>
  <functionGroups builtInGroupCount="19">
    <functionGroup name="xlwing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CM60" i="1" a="1"/>
  <c r="CV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A60" i="1"/>
  <c r="CO60" i="1"/>
  <c r="CP60" i="1"/>
  <c r="CQ60" i="1"/>
  <c r="CS60" i="1"/>
  <c r="CY60" i="1"/>
  <c r="CW60" i="1"/>
  <c r="CX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CR60" i="1"/>
  <c r="CZ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CM60" i="1"/>
  <c r="CT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CU60" i="1"/>
  <c r="G5" i="2"/>
  <c r="G13" i="2"/>
  <c r="G21" i="2"/>
  <c r="C25" i="2"/>
  <c r="G29" i="2"/>
  <c r="G37" i="2"/>
  <c r="H44" i="2"/>
  <c r="G45" i="2"/>
  <c r="F46" i="2"/>
  <c r="H52" i="2"/>
  <c r="F54" i="2"/>
  <c r="CN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CN21" i="1" s="1"/>
  <c r="AI14" i="1" a="1"/>
  <c r="AI14" i="1" s="1"/>
  <c r="AZ14" i="1" s="1"/>
  <c r="AI5" i="1" a="1"/>
  <c r="AI5" i="1" s="1"/>
  <c r="AZ5" i="1" s="1"/>
  <c r="CN1" i="1"/>
  <c r="AI13" i="1" a="1"/>
  <c r="AI13" i="1" s="1"/>
  <c r="AZ13" i="1" s="1"/>
  <c r="CN13" i="1" s="1"/>
  <c r="AI4" i="1" a="1"/>
  <c r="AI4" i="1" s="1"/>
  <c r="AZ4" i="1" s="1"/>
  <c r="AI10" i="1" a="1"/>
  <c r="AI10" i="1" s="1"/>
  <c r="AZ10" i="1" s="1"/>
  <c r="CN10" i="1" s="1"/>
  <c r="AI9" i="1" a="1"/>
  <c r="AI9" i="1" s="1"/>
  <c r="AZ9" i="1" s="1"/>
  <c r="AI15" i="1" a="1"/>
  <c r="AI15" i="1" s="1"/>
  <c r="AZ15" i="1" s="1"/>
  <c r="CN15" i="1" s="1"/>
  <c r="AI8" i="1" a="1"/>
  <c r="AI8" i="1" s="1"/>
  <c r="AZ8" i="1" s="1"/>
  <c r="CN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CT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CR1" i="1"/>
  <c r="CA1" i="1"/>
  <c r="BD1" i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CV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CW1" i="1"/>
  <c r="AR2" i="1" a="1"/>
  <c r="AR2" i="1" s="1"/>
  <c r="BI2" i="1" s="1"/>
  <c r="BI1" i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/>
  <c r="CI1" i="1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6" i="1" a="1"/>
  <c r="AH56" i="1" s="1"/>
  <c r="AY56" i="1" s="1"/>
  <c r="AH52" i="1" a="1"/>
  <c r="AH52" i="1" s="1"/>
  <c r="AY52" i="1" s="1"/>
  <c r="AH57" i="1" a="1"/>
  <c r="AH57" i="1" s="1"/>
  <c r="AY57" i="1" s="1"/>
  <c r="AH58" i="1" a="1"/>
  <c r="AH58" i="1" s="1"/>
  <c r="AY58" i="1" s="1"/>
  <c r="AH43" i="1" a="1"/>
  <c r="AH43" i="1" s="1"/>
  <c r="AY43" i="1" s="1"/>
  <c r="AH44" i="1" a="1"/>
  <c r="AH44" i="1" s="1"/>
  <c r="AY44" i="1" s="1"/>
  <c r="AH40" i="1" a="1"/>
  <c r="AH40" i="1" s="1"/>
  <c r="AY40" i="1" s="1"/>
  <c r="AH54" i="1" a="1"/>
  <c r="AH54" i="1" s="1"/>
  <c r="AY54" i="1" s="1"/>
  <c r="AH53" i="1" a="1"/>
  <c r="AH53" i="1" s="1"/>
  <c r="AY53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39" i="1" a="1"/>
  <c r="AH39" i="1" s="1"/>
  <c r="AY39" i="1" s="1"/>
  <c r="AH35" i="1" a="1"/>
  <c r="AH35" i="1" s="1"/>
  <c r="AY35" i="1" s="1"/>
  <c r="AH36" i="1" a="1"/>
  <c r="AH36" i="1" s="1"/>
  <c r="AY36" i="1" s="1"/>
  <c r="AH42" i="1" a="1"/>
  <c r="AH42" i="1" s="1"/>
  <c r="AY42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34" i="1" a="1"/>
  <c r="AH34" i="1" s="1"/>
  <c r="AY34" i="1" s="1"/>
  <c r="AH25" i="1" a="1"/>
  <c r="AH25" i="1" s="1"/>
  <c r="AY25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23" i="1" a="1"/>
  <c r="AH23" i="1" s="1"/>
  <c r="AY23" i="1" s="1"/>
  <c r="AH24" i="1" a="1"/>
  <c r="AH24" i="1" s="1"/>
  <c r="AY24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11" i="1" a="1"/>
  <c r="AH11" i="1" s="1"/>
  <c r="AY11" i="1" s="1"/>
  <c r="AH7" i="1" a="1"/>
  <c r="AH7" i="1" s="1"/>
  <c r="AY7" i="1" s="1"/>
  <c r="BV1" i="1"/>
  <c r="CM1" i="1"/>
  <c r="AH6" i="1" a="1"/>
  <c r="AH6" i="1" s="1"/>
  <c r="AY6" i="1" s="1"/>
  <c r="AH3" i="1" a="1"/>
  <c r="AH3" i="1" s="1"/>
  <c r="AY3" i="1" s="1"/>
  <c r="AH5" i="1" a="1"/>
  <c r="AH5" i="1" s="1"/>
  <c r="AY5" i="1" s="1"/>
  <c r="AH10" i="1" a="1"/>
  <c r="AH10" i="1" s="1"/>
  <c r="AY10" i="1" s="1"/>
  <c r="AH20" i="1" a="1"/>
  <c r="AH20" i="1" s="1"/>
  <c r="AY20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CS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CU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AK5" i="1" a="1"/>
  <c r="AK5" i="1" s="1"/>
  <c r="BB5" i="1" s="1"/>
  <c r="AK3" i="1" a="1"/>
  <c r="AK3" i="1" s="1"/>
  <c r="BB3" i="1" s="1"/>
  <c r="CP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A1" i="1"/>
  <c r="AV2" i="1" a="1"/>
  <c r="AV2" i="1" s="1"/>
  <c r="BM2" i="1" s="1"/>
  <c r="CN16" i="1" l="1"/>
  <c r="CN30" i="1"/>
  <c r="CR8" i="1"/>
  <c r="CR21" i="1"/>
  <c r="CR25" i="1"/>
  <c r="CR26" i="1"/>
  <c r="CR32" i="1"/>
  <c r="CR17" i="1"/>
  <c r="CN9" i="1"/>
  <c r="CN20" i="1"/>
  <c r="CN19" i="1"/>
  <c r="CP21" i="1"/>
  <c r="CN17" i="1"/>
  <c r="H18" i="2" s="1"/>
  <c r="CP11" i="1"/>
  <c r="CP16" i="1"/>
  <c r="CP19" i="1"/>
  <c r="CP25" i="1"/>
  <c r="CP39" i="1"/>
  <c r="CP43" i="1"/>
  <c r="CP50" i="1"/>
  <c r="CM16" i="1"/>
  <c r="CM27" i="1"/>
  <c r="CR14" i="1"/>
  <c r="CR12" i="1"/>
  <c r="CR22" i="1"/>
  <c r="CR31" i="1"/>
  <c r="CO12" i="1"/>
  <c r="CO18" i="1"/>
  <c r="CO24" i="1"/>
  <c r="CN14" i="1"/>
  <c r="CN12" i="1"/>
  <c r="H13" i="2" s="1"/>
  <c r="CN26" i="1"/>
  <c r="H27" i="2" s="1"/>
  <c r="CP12" i="1"/>
  <c r="CP23" i="1"/>
  <c r="CP32" i="1"/>
  <c r="CP34" i="1"/>
  <c r="CP42" i="1"/>
  <c r="CP55" i="1"/>
  <c r="CO11" i="1"/>
  <c r="CO13" i="1"/>
  <c r="CO17" i="1"/>
  <c r="CO23" i="1"/>
  <c r="CN29" i="1"/>
  <c r="CN25" i="1"/>
  <c r="CO8" i="1"/>
  <c r="CN18" i="1"/>
  <c r="CN23" i="1"/>
  <c r="H24" i="2" s="1"/>
  <c r="CO16" i="1"/>
  <c r="CO20" i="1"/>
  <c r="CN27" i="1"/>
  <c r="DA39" i="1"/>
  <c r="DA47" i="1"/>
  <c r="DA55" i="1"/>
  <c r="DA12" i="1"/>
  <c r="DA20" i="1"/>
  <c r="DA28" i="1"/>
  <c r="DA36" i="1"/>
  <c r="DA40" i="1"/>
  <c r="DA48" i="1"/>
  <c r="DA56" i="1"/>
  <c r="DA13" i="1"/>
  <c r="DA21" i="1"/>
  <c r="DA29" i="1"/>
  <c r="DA37" i="1"/>
  <c r="DA41" i="1"/>
  <c r="DA49" i="1"/>
  <c r="DA57" i="1"/>
  <c r="DA14" i="1"/>
  <c r="DA22" i="1"/>
  <c r="DA30" i="1"/>
  <c r="DA38" i="1"/>
  <c r="DA42" i="1"/>
  <c r="DA50" i="1"/>
  <c r="DA58" i="1"/>
  <c r="DA15" i="1"/>
  <c r="DA23" i="1"/>
  <c r="DA31" i="1"/>
  <c r="DA43" i="1"/>
  <c r="DA51" i="1"/>
  <c r="DA8" i="1"/>
  <c r="DA16" i="1"/>
  <c r="DA24" i="1"/>
  <c r="DA32" i="1"/>
  <c r="DA44" i="1"/>
  <c r="DA52" i="1"/>
  <c r="DA9" i="1"/>
  <c r="DA17" i="1"/>
  <c r="DA25" i="1"/>
  <c r="DA45" i="1"/>
  <c r="DA53" i="1"/>
  <c r="DA10" i="1"/>
  <c r="DA18" i="1"/>
  <c r="DA26" i="1"/>
  <c r="DA34" i="1"/>
  <c r="DA46" i="1"/>
  <c r="DA54" i="1"/>
  <c r="DA11" i="1"/>
  <c r="DA19" i="1"/>
  <c r="DA27" i="1"/>
  <c r="DA35" i="1"/>
  <c r="DA33" i="1"/>
  <c r="CP9" i="1"/>
  <c r="CP20" i="1"/>
  <c r="CP30" i="1"/>
  <c r="CP41" i="1"/>
  <c r="CP52" i="1"/>
  <c r="CP48" i="1"/>
  <c r="CU45" i="1"/>
  <c r="CU53" i="1"/>
  <c r="CU10" i="1"/>
  <c r="CU18" i="1"/>
  <c r="CU26" i="1"/>
  <c r="CU34" i="1"/>
  <c r="CU31" i="1"/>
  <c r="CU46" i="1"/>
  <c r="CU54" i="1"/>
  <c r="CU11" i="1"/>
  <c r="CU19" i="1"/>
  <c r="CU27" i="1"/>
  <c r="CU35" i="1"/>
  <c r="CU39" i="1"/>
  <c r="CU47" i="1"/>
  <c r="CU55" i="1"/>
  <c r="CU12" i="1"/>
  <c r="CU20" i="1"/>
  <c r="CU28" i="1"/>
  <c r="CU36" i="1"/>
  <c r="CU40" i="1"/>
  <c r="CU48" i="1"/>
  <c r="CU56" i="1"/>
  <c r="CU13" i="1"/>
  <c r="CU21" i="1"/>
  <c r="CU29" i="1"/>
  <c r="CU37" i="1"/>
  <c r="CU41" i="1"/>
  <c r="CU49" i="1"/>
  <c r="CU57" i="1"/>
  <c r="CU14" i="1"/>
  <c r="CU22" i="1"/>
  <c r="CU30" i="1"/>
  <c r="CU38" i="1"/>
  <c r="CU42" i="1"/>
  <c r="CU50" i="1"/>
  <c r="CU58" i="1"/>
  <c r="CU15" i="1"/>
  <c r="CU23" i="1"/>
  <c r="CU43" i="1"/>
  <c r="CU51" i="1"/>
  <c r="CU8" i="1"/>
  <c r="CU16" i="1"/>
  <c r="CU24" i="1"/>
  <c r="CU32" i="1"/>
  <c r="CU44" i="1"/>
  <c r="CU52" i="1"/>
  <c r="CU9" i="1"/>
  <c r="CU17" i="1"/>
  <c r="CU25" i="1"/>
  <c r="CU33" i="1"/>
  <c r="CM18" i="1"/>
  <c r="CM24" i="1"/>
  <c r="CM25" i="1"/>
  <c r="CM36" i="1"/>
  <c r="CM54" i="1"/>
  <c r="CM51" i="1"/>
  <c r="CR11" i="1"/>
  <c r="CR28" i="1"/>
  <c r="CR38" i="1"/>
  <c r="CR46" i="1"/>
  <c r="CR44" i="1"/>
  <c r="CQ20" i="1"/>
  <c r="CQ17" i="1"/>
  <c r="CQ34" i="1"/>
  <c r="CQ25" i="1"/>
  <c r="CQ35" i="1"/>
  <c r="CQ53" i="1"/>
  <c r="CQ49" i="1"/>
  <c r="CO9" i="1"/>
  <c r="CO22" i="1"/>
  <c r="CO30" i="1"/>
  <c r="CO34" i="1"/>
  <c r="CO50" i="1"/>
  <c r="CO45" i="1"/>
  <c r="CN11" i="1"/>
  <c r="H12" i="2" s="1"/>
  <c r="CN28" i="1"/>
  <c r="H29" i="2" s="1"/>
  <c r="CN33" i="1"/>
  <c r="CN49" i="1"/>
  <c r="CN40" i="1"/>
  <c r="CX42" i="1"/>
  <c r="CX50" i="1"/>
  <c r="CX58" i="1"/>
  <c r="CX15" i="1"/>
  <c r="CX23" i="1"/>
  <c r="CX31" i="1"/>
  <c r="CX43" i="1"/>
  <c r="CX51" i="1"/>
  <c r="CX8" i="1"/>
  <c r="CX16" i="1"/>
  <c r="CX24" i="1"/>
  <c r="CX32" i="1"/>
  <c r="CX44" i="1"/>
  <c r="CX52" i="1"/>
  <c r="CX9" i="1"/>
  <c r="CX17" i="1"/>
  <c r="CX25" i="1"/>
  <c r="CX33" i="1"/>
  <c r="CX45" i="1"/>
  <c r="CX53" i="1"/>
  <c r="CX10" i="1"/>
  <c r="CX18" i="1"/>
  <c r="CX26" i="1"/>
  <c r="CX34" i="1"/>
  <c r="CX46" i="1"/>
  <c r="CX54" i="1"/>
  <c r="CX11" i="1"/>
  <c r="CX19" i="1"/>
  <c r="CX27" i="1"/>
  <c r="CX35" i="1"/>
  <c r="CX39" i="1"/>
  <c r="CX47" i="1"/>
  <c r="CX55" i="1"/>
  <c r="CX12" i="1"/>
  <c r="CX20" i="1"/>
  <c r="CX40" i="1"/>
  <c r="CX48" i="1"/>
  <c r="CX56" i="1"/>
  <c r="CX13" i="1"/>
  <c r="CX21" i="1"/>
  <c r="CX29" i="1"/>
  <c r="CX37" i="1"/>
  <c r="CX28" i="1"/>
  <c r="CX41" i="1"/>
  <c r="CX49" i="1"/>
  <c r="CX57" i="1"/>
  <c r="CX14" i="1"/>
  <c r="CX22" i="1"/>
  <c r="CX30" i="1"/>
  <c r="CX38" i="1"/>
  <c r="CX36" i="1"/>
  <c r="CP10" i="1"/>
  <c r="CP17" i="1"/>
  <c r="CP22" i="1"/>
  <c r="CP31" i="1"/>
  <c r="CP35" i="1"/>
  <c r="CP53" i="1"/>
  <c r="CP49" i="1"/>
  <c r="CM17" i="1"/>
  <c r="CM23" i="1"/>
  <c r="CM34" i="1"/>
  <c r="CM35" i="1"/>
  <c r="CM40" i="1"/>
  <c r="CM48" i="1"/>
  <c r="CV44" i="1"/>
  <c r="CV52" i="1"/>
  <c r="CV9" i="1"/>
  <c r="CV17" i="1"/>
  <c r="CV25" i="1"/>
  <c r="CV33" i="1"/>
  <c r="CV45" i="1"/>
  <c r="CV53" i="1"/>
  <c r="CV10" i="1"/>
  <c r="CV18" i="1"/>
  <c r="CV26" i="1"/>
  <c r="CV34" i="1"/>
  <c r="CV46" i="1"/>
  <c r="CV54" i="1"/>
  <c r="CV11" i="1"/>
  <c r="CV19" i="1"/>
  <c r="CV27" i="1"/>
  <c r="CV35" i="1"/>
  <c r="CV38" i="1"/>
  <c r="CV39" i="1"/>
  <c r="CV47" i="1"/>
  <c r="CV55" i="1"/>
  <c r="CV12" i="1"/>
  <c r="CV20" i="1"/>
  <c r="CV28" i="1"/>
  <c r="CV36" i="1"/>
  <c r="CV30" i="1"/>
  <c r="CV40" i="1"/>
  <c r="CV48" i="1"/>
  <c r="CV56" i="1"/>
  <c r="CV13" i="1"/>
  <c r="CV21" i="1"/>
  <c r="CV29" i="1"/>
  <c r="CV37" i="1"/>
  <c r="CV41" i="1"/>
  <c r="CV49" i="1"/>
  <c r="CV57" i="1"/>
  <c r="CV14" i="1"/>
  <c r="CV22" i="1"/>
  <c r="CV42" i="1"/>
  <c r="CV50" i="1"/>
  <c r="CV58" i="1"/>
  <c r="CV15" i="1"/>
  <c r="CV23" i="1"/>
  <c r="CV31" i="1"/>
  <c r="CV43" i="1"/>
  <c r="CV51" i="1"/>
  <c r="CV8" i="1"/>
  <c r="CV16" i="1"/>
  <c r="CV24" i="1"/>
  <c r="CV32" i="1"/>
  <c r="CR13" i="1"/>
  <c r="CR16" i="1"/>
  <c r="CR30" i="1"/>
  <c r="CR33" i="1"/>
  <c r="CR47" i="1"/>
  <c r="CR54" i="1"/>
  <c r="CQ11" i="1"/>
  <c r="CQ16" i="1"/>
  <c r="CQ23" i="1"/>
  <c r="CQ38" i="1"/>
  <c r="CQ39" i="1"/>
  <c r="CQ54" i="1"/>
  <c r="CQ50" i="1"/>
  <c r="CO10" i="1"/>
  <c r="CO19" i="1"/>
  <c r="CO25" i="1"/>
  <c r="CO38" i="1"/>
  <c r="CO43" i="1"/>
  <c r="CO55" i="1"/>
  <c r="CN22" i="1"/>
  <c r="CN31" i="1"/>
  <c r="CN42" i="1"/>
  <c r="CN44" i="1"/>
  <c r="CM38" i="1"/>
  <c r="CM39" i="1"/>
  <c r="CM44" i="1"/>
  <c r="CM49" i="1"/>
  <c r="CR50" i="1"/>
  <c r="CR53" i="1"/>
  <c r="CQ12" i="1"/>
  <c r="CQ27" i="1"/>
  <c r="CQ33" i="1"/>
  <c r="CQ46" i="1"/>
  <c r="CQ43" i="1"/>
  <c r="CQ55" i="1"/>
  <c r="CO33" i="1"/>
  <c r="CO49" i="1"/>
  <c r="CO56" i="1"/>
  <c r="CT46" i="1"/>
  <c r="CT54" i="1"/>
  <c r="CT11" i="1"/>
  <c r="CT19" i="1"/>
  <c r="CT27" i="1"/>
  <c r="CT35" i="1"/>
  <c r="CT39" i="1"/>
  <c r="CT47" i="1"/>
  <c r="CT55" i="1"/>
  <c r="CT12" i="1"/>
  <c r="CT20" i="1"/>
  <c r="CT28" i="1"/>
  <c r="CT36" i="1"/>
  <c r="CT32" i="1"/>
  <c r="CT40" i="1"/>
  <c r="CT48" i="1"/>
  <c r="CT56" i="1"/>
  <c r="CT13" i="1"/>
  <c r="CT21" i="1"/>
  <c r="CT29" i="1"/>
  <c r="CT37" i="1"/>
  <c r="CT41" i="1"/>
  <c r="CT49" i="1"/>
  <c r="CT57" i="1"/>
  <c r="CT14" i="1"/>
  <c r="CT22" i="1"/>
  <c r="CT30" i="1"/>
  <c r="CT38" i="1"/>
  <c r="CT42" i="1"/>
  <c r="CT50" i="1"/>
  <c r="CT58" i="1"/>
  <c r="CT15" i="1"/>
  <c r="CT23" i="1"/>
  <c r="CT31" i="1"/>
  <c r="CT43" i="1"/>
  <c r="CT51" i="1"/>
  <c r="CT8" i="1"/>
  <c r="CT16" i="1"/>
  <c r="CT24" i="1"/>
  <c r="CT44" i="1"/>
  <c r="CT52" i="1"/>
  <c r="CT9" i="1"/>
  <c r="CT17" i="1"/>
  <c r="CT25" i="1"/>
  <c r="CT33" i="1"/>
  <c r="CT45" i="1"/>
  <c r="CT53" i="1"/>
  <c r="CT10" i="1"/>
  <c r="CT18" i="1"/>
  <c r="CT26" i="1"/>
  <c r="CT34" i="1"/>
  <c r="CN32" i="1"/>
  <c r="CN46" i="1"/>
  <c r="CN58" i="1"/>
  <c r="CM12" i="1"/>
  <c r="CM28" i="1"/>
  <c r="CM33" i="1"/>
  <c r="CM46" i="1"/>
  <c r="CM43" i="1"/>
  <c r="CM50" i="1"/>
  <c r="CR41" i="1"/>
  <c r="CR52" i="1"/>
  <c r="CQ13" i="1"/>
  <c r="CQ28" i="1"/>
  <c r="CQ31" i="1"/>
  <c r="CQ47" i="1"/>
  <c r="CQ52" i="1"/>
  <c r="CQ57" i="1"/>
  <c r="CO31" i="1"/>
  <c r="CO52" i="1"/>
  <c r="CO51" i="1"/>
  <c r="CN37" i="1"/>
  <c r="H38" i="2" s="1"/>
  <c r="CN47" i="1"/>
  <c r="CN57" i="1"/>
  <c r="CP13" i="1"/>
  <c r="CP27" i="1"/>
  <c r="CP33" i="1"/>
  <c r="CP38" i="1"/>
  <c r="CP46" i="1"/>
  <c r="CP58" i="1"/>
  <c r="CM8" i="1"/>
  <c r="CM13" i="1"/>
  <c r="CM22" i="1"/>
  <c r="CM31" i="1"/>
  <c r="CM47" i="1"/>
  <c r="CM58" i="1"/>
  <c r="CM55" i="1"/>
  <c r="CW43" i="1"/>
  <c r="CW51" i="1"/>
  <c r="CW8" i="1"/>
  <c r="CW16" i="1"/>
  <c r="CW24" i="1"/>
  <c r="CW32" i="1"/>
  <c r="CW44" i="1"/>
  <c r="CW52" i="1"/>
  <c r="CW9" i="1"/>
  <c r="CW17" i="1"/>
  <c r="CW25" i="1"/>
  <c r="CW33" i="1"/>
  <c r="CW37" i="1"/>
  <c r="CW45" i="1"/>
  <c r="CW53" i="1"/>
  <c r="CW10" i="1"/>
  <c r="CW18" i="1"/>
  <c r="CW26" i="1"/>
  <c r="CW34" i="1"/>
  <c r="CW46" i="1"/>
  <c r="CW54" i="1"/>
  <c r="CW11" i="1"/>
  <c r="CW19" i="1"/>
  <c r="CW27" i="1"/>
  <c r="CW35" i="1"/>
  <c r="CW39" i="1"/>
  <c r="CW47" i="1"/>
  <c r="CW55" i="1"/>
  <c r="CW12" i="1"/>
  <c r="CW20" i="1"/>
  <c r="CW28" i="1"/>
  <c r="CW36" i="1"/>
  <c r="CW29" i="1"/>
  <c r="CW40" i="1"/>
  <c r="CW48" i="1"/>
  <c r="CW56" i="1"/>
  <c r="CW13" i="1"/>
  <c r="CW21" i="1"/>
  <c r="CW41" i="1"/>
  <c r="CW49" i="1"/>
  <c r="CW57" i="1"/>
  <c r="CW14" i="1"/>
  <c r="CW22" i="1"/>
  <c r="CW30" i="1"/>
  <c r="CW38" i="1"/>
  <c r="CW42" i="1"/>
  <c r="CW50" i="1"/>
  <c r="CW58" i="1"/>
  <c r="CW15" i="1"/>
  <c r="CW23" i="1"/>
  <c r="CW31" i="1"/>
  <c r="CR9" i="1"/>
  <c r="CR20" i="1"/>
  <c r="CR55" i="1"/>
  <c r="CR29" i="1"/>
  <c r="CR37" i="1"/>
  <c r="CR45" i="1"/>
  <c r="CR56" i="1"/>
  <c r="CQ15" i="1"/>
  <c r="CQ22" i="1"/>
  <c r="CQ32" i="1"/>
  <c r="CQ41" i="1"/>
  <c r="CQ56" i="1"/>
  <c r="CO15" i="1"/>
  <c r="CO27" i="1"/>
  <c r="CO36" i="1"/>
  <c r="CO32" i="1"/>
  <c r="CO42" i="1"/>
  <c r="CO58" i="1"/>
  <c r="CN35" i="1"/>
  <c r="CN36" i="1"/>
  <c r="H37" i="2" s="1"/>
  <c r="CN41" i="1"/>
  <c r="CN53" i="1"/>
  <c r="CP8" i="1"/>
  <c r="CP15" i="1"/>
  <c r="CP28" i="1"/>
  <c r="CP24" i="1"/>
  <c r="CP45" i="1"/>
  <c r="CP47" i="1"/>
  <c r="CP57" i="1"/>
  <c r="CM9" i="1"/>
  <c r="CM15" i="1"/>
  <c r="CM26" i="1"/>
  <c r="CM32" i="1"/>
  <c r="CM41" i="1"/>
  <c r="CM57" i="1"/>
  <c r="CR15" i="1"/>
  <c r="CR19" i="1"/>
  <c r="CR24" i="1"/>
  <c r="CR35" i="1"/>
  <c r="CR36" i="1"/>
  <c r="CR48" i="1"/>
  <c r="CR58" i="1"/>
  <c r="CQ8" i="1"/>
  <c r="CQ14" i="1"/>
  <c r="CQ26" i="1"/>
  <c r="CQ37" i="1"/>
  <c r="CQ45" i="1"/>
  <c r="CQ51" i="1"/>
  <c r="CO14" i="1"/>
  <c r="CO28" i="1"/>
  <c r="CO35" i="1"/>
  <c r="CO37" i="1"/>
  <c r="CO46" i="1"/>
  <c r="CO54" i="1"/>
  <c r="CN24" i="1"/>
  <c r="H25" i="2" s="1"/>
  <c r="CN39" i="1"/>
  <c r="CN43" i="1"/>
  <c r="CN45" i="1"/>
  <c r="CN52" i="1"/>
  <c r="CY41" i="1"/>
  <c r="CY49" i="1"/>
  <c r="CY57" i="1"/>
  <c r="CY14" i="1"/>
  <c r="CY22" i="1"/>
  <c r="CY30" i="1"/>
  <c r="CY38" i="1"/>
  <c r="CY35" i="1"/>
  <c r="CY42" i="1"/>
  <c r="CY50" i="1"/>
  <c r="CY58" i="1"/>
  <c r="CY15" i="1"/>
  <c r="CY23" i="1"/>
  <c r="CY31" i="1"/>
  <c r="CY43" i="1"/>
  <c r="CY51" i="1"/>
  <c r="CY8" i="1"/>
  <c r="CY16" i="1"/>
  <c r="CY24" i="1"/>
  <c r="CY32" i="1"/>
  <c r="CY27" i="1"/>
  <c r="CY44" i="1"/>
  <c r="CY52" i="1"/>
  <c r="CY9" i="1"/>
  <c r="CY17" i="1"/>
  <c r="CY25" i="1"/>
  <c r="CY33" i="1"/>
  <c r="CY45" i="1"/>
  <c r="CY53" i="1"/>
  <c r="CY10" i="1"/>
  <c r="CY18" i="1"/>
  <c r="CY26" i="1"/>
  <c r="CY34" i="1"/>
  <c r="CY46" i="1"/>
  <c r="CY54" i="1"/>
  <c r="CY11" i="1"/>
  <c r="CY19" i="1"/>
  <c r="CY39" i="1"/>
  <c r="CY47" i="1"/>
  <c r="CY55" i="1"/>
  <c r="CY12" i="1"/>
  <c r="CY20" i="1"/>
  <c r="CY28" i="1"/>
  <c r="CY36" i="1"/>
  <c r="CY40" i="1"/>
  <c r="CY48" i="1"/>
  <c r="CY56" i="1"/>
  <c r="CY13" i="1"/>
  <c r="CY21" i="1"/>
  <c r="CY29" i="1"/>
  <c r="CY37" i="1"/>
  <c r="CP18" i="1"/>
  <c r="CP14" i="1"/>
  <c r="CP26" i="1"/>
  <c r="CP37" i="1"/>
  <c r="CP40" i="1"/>
  <c r="CP56" i="1"/>
  <c r="CP54" i="1"/>
  <c r="CM20" i="1"/>
  <c r="CM11" i="1"/>
  <c r="CM14" i="1"/>
  <c r="CM29" i="1"/>
  <c r="CM37" i="1"/>
  <c r="CM45" i="1"/>
  <c r="CM52" i="1"/>
  <c r="CZ40" i="1"/>
  <c r="CZ48" i="1"/>
  <c r="CZ56" i="1"/>
  <c r="CZ13" i="1"/>
  <c r="CZ21" i="1"/>
  <c r="CZ29" i="1"/>
  <c r="CZ37" i="1"/>
  <c r="CZ41" i="1"/>
  <c r="CZ49" i="1"/>
  <c r="CZ57" i="1"/>
  <c r="CZ14" i="1"/>
  <c r="CZ22" i="1"/>
  <c r="CZ30" i="1"/>
  <c r="CZ38" i="1"/>
  <c r="CZ42" i="1"/>
  <c r="CZ50" i="1"/>
  <c r="CZ58" i="1"/>
  <c r="CZ15" i="1"/>
  <c r="CZ23" i="1"/>
  <c r="CZ31" i="1"/>
  <c r="CZ43" i="1"/>
  <c r="CZ51" i="1"/>
  <c r="CZ8" i="1"/>
  <c r="CZ16" i="1"/>
  <c r="CZ24" i="1"/>
  <c r="CZ32" i="1"/>
  <c r="CZ44" i="1"/>
  <c r="CZ52" i="1"/>
  <c r="CZ9" i="1"/>
  <c r="CZ17" i="1"/>
  <c r="CZ25" i="1"/>
  <c r="CZ33" i="1"/>
  <c r="CZ45" i="1"/>
  <c r="CZ53" i="1"/>
  <c r="CZ10" i="1"/>
  <c r="CZ18" i="1"/>
  <c r="CZ26" i="1"/>
  <c r="CZ46" i="1"/>
  <c r="CZ54" i="1"/>
  <c r="CZ11" i="1"/>
  <c r="CZ19" i="1"/>
  <c r="CZ27" i="1"/>
  <c r="CZ35" i="1"/>
  <c r="CZ34" i="1"/>
  <c r="CZ39" i="1"/>
  <c r="CZ47" i="1"/>
  <c r="CZ55" i="1"/>
  <c r="CZ12" i="1"/>
  <c r="CZ20" i="1"/>
  <c r="CZ28" i="1"/>
  <c r="CZ36" i="1"/>
  <c r="CR10" i="1"/>
  <c r="CR18" i="1"/>
  <c r="CR23" i="1"/>
  <c r="CR39" i="1"/>
  <c r="CR43" i="1"/>
  <c r="CR49" i="1"/>
  <c r="CR51" i="1"/>
  <c r="CQ9" i="1"/>
  <c r="CQ19" i="1"/>
  <c r="CQ21" i="1"/>
  <c r="CQ29" i="1"/>
  <c r="CQ36" i="1"/>
  <c r="CQ40" i="1"/>
  <c r="CQ58" i="1"/>
  <c r="CO21" i="1"/>
  <c r="CO26" i="1"/>
  <c r="CO39" i="1"/>
  <c r="CO44" i="1"/>
  <c r="CO47" i="1"/>
  <c r="CO57" i="1"/>
  <c r="CN34" i="1"/>
  <c r="H35" i="2" s="1"/>
  <c r="CN48" i="1"/>
  <c r="CN54" i="1"/>
  <c r="CN56" i="1"/>
  <c r="CP29" i="1"/>
  <c r="CP36" i="1"/>
  <c r="CP44" i="1"/>
  <c r="CP51" i="1"/>
  <c r="CS39" i="1"/>
  <c r="CS47" i="1"/>
  <c r="CS55" i="1"/>
  <c r="CS12" i="1"/>
  <c r="CS20" i="1"/>
  <c r="CS28" i="1"/>
  <c r="CS36" i="1"/>
  <c r="CS40" i="1"/>
  <c r="CS48" i="1"/>
  <c r="CS56" i="1"/>
  <c r="CS13" i="1"/>
  <c r="CS21" i="1"/>
  <c r="CS29" i="1"/>
  <c r="CS37" i="1"/>
  <c r="CS41" i="1"/>
  <c r="CS49" i="1"/>
  <c r="CS57" i="1"/>
  <c r="CS14" i="1"/>
  <c r="CS22" i="1"/>
  <c r="CS30" i="1"/>
  <c r="CS38" i="1"/>
  <c r="CS42" i="1"/>
  <c r="CS50" i="1"/>
  <c r="CS58" i="1"/>
  <c r="CS15" i="1"/>
  <c r="CS23" i="1"/>
  <c r="CS31" i="1"/>
  <c r="CS43" i="1"/>
  <c r="CS51" i="1"/>
  <c r="CS8" i="1"/>
  <c r="CS16" i="1"/>
  <c r="CS24" i="1"/>
  <c r="CS32" i="1"/>
  <c r="CS44" i="1"/>
  <c r="CS52" i="1"/>
  <c r="CS9" i="1"/>
  <c r="CS17" i="1"/>
  <c r="CS25" i="1"/>
  <c r="CS45" i="1"/>
  <c r="CS53" i="1"/>
  <c r="CS10" i="1"/>
  <c r="CS18" i="1"/>
  <c r="CS26" i="1"/>
  <c r="CS34" i="1"/>
  <c r="CS46" i="1"/>
  <c r="CS54" i="1"/>
  <c r="CS11" i="1"/>
  <c r="CS19" i="1"/>
  <c r="CS27" i="1"/>
  <c r="CS35" i="1"/>
  <c r="CS33" i="1"/>
  <c r="CM10" i="1"/>
  <c r="CM19" i="1"/>
  <c r="CM21" i="1"/>
  <c r="CM30" i="1"/>
  <c r="CM42" i="1"/>
  <c r="CM53" i="1"/>
  <c r="CM56" i="1"/>
  <c r="CR27" i="1"/>
  <c r="CR34" i="1"/>
  <c r="CR42" i="1"/>
  <c r="CR40" i="1"/>
  <c r="CR57" i="1"/>
  <c r="CQ10" i="1"/>
  <c r="CQ18" i="1"/>
  <c r="CQ24" i="1"/>
  <c r="CQ30" i="1"/>
  <c r="CQ42" i="1"/>
  <c r="CQ44" i="1"/>
  <c r="CQ48" i="1"/>
  <c r="CO29" i="1"/>
  <c r="CO40" i="1"/>
  <c r="CO48" i="1"/>
  <c r="CO41" i="1"/>
  <c r="CO53" i="1"/>
  <c r="CN38" i="1"/>
  <c r="H39" i="2" s="1"/>
  <c r="CN50" i="1"/>
  <c r="CN55" i="1"/>
  <c r="CN51" i="1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6" i="2"/>
  <c r="H32" i="2"/>
  <c r="H31" i="2"/>
  <c r="H33" i="2"/>
  <c r="H30" i="2"/>
  <c r="H26" i="2"/>
  <c r="H22" i="2"/>
  <c r="H28" i="2"/>
  <c r="H23" i="2"/>
  <c r="H34" i="2"/>
  <c r="H20" i="2"/>
  <c r="H21" i="2"/>
  <c r="H14" i="2"/>
  <c r="H15" i="2"/>
  <c r="H16" i="2"/>
  <c r="H17" i="2"/>
  <c r="CN7" i="1"/>
  <c r="H8" i="2" s="1"/>
  <c r="CN6" i="1"/>
  <c r="H7" i="2" s="1"/>
  <c r="CN5" i="1"/>
  <c r="H6" i="2" s="1"/>
  <c r="CN2" i="1"/>
  <c r="CN4" i="1"/>
  <c r="H5" i="2" s="1"/>
  <c r="H19" i="2"/>
  <c r="H11" i="2"/>
  <c r="H10" i="2"/>
  <c r="H9" i="2"/>
  <c r="CN3" i="1"/>
  <c r="H4" i="2" s="1"/>
  <c r="CX5" i="1"/>
  <c r="CX2" i="1"/>
  <c r="CX59" i="1" s="1" a="1"/>
  <c r="CX59" i="1" s="1"/>
  <c r="CX4" i="1"/>
  <c r="CX3" i="1"/>
  <c r="CX7" i="1"/>
  <c r="CX6" i="1"/>
  <c r="E9" i="2"/>
  <c r="E5" i="2"/>
  <c r="E3" i="2"/>
  <c r="E8" i="2"/>
  <c r="E6" i="2"/>
  <c r="E7" i="2"/>
  <c r="E4" i="2"/>
  <c r="CV7" i="1"/>
  <c r="CV6" i="1"/>
  <c r="CV5" i="1"/>
  <c r="CV2" i="1"/>
  <c r="CV59" i="1" s="1" a="1"/>
  <c r="CV59" i="1" s="1"/>
  <c r="CV4" i="1"/>
  <c r="CV3" i="1"/>
  <c r="BR13" i="1"/>
  <c r="BP20" i="1" s="1"/>
  <c r="BP21" i="1" s="1"/>
  <c r="CM7" i="1"/>
  <c r="CM6" i="1"/>
  <c r="CM5" i="1"/>
  <c r="CM3" i="1"/>
  <c r="CM4" i="1"/>
  <c r="CM2" i="1"/>
  <c r="CR3" i="1"/>
  <c r="CR7" i="1"/>
  <c r="CR6" i="1"/>
  <c r="CR5" i="1"/>
  <c r="CR4" i="1"/>
  <c r="CR2" i="1"/>
  <c r="CT7" i="1"/>
  <c r="CT6" i="1"/>
  <c r="CT5" i="1"/>
  <c r="CT4" i="1"/>
  <c r="CT3" i="1"/>
  <c r="CT2" i="1"/>
  <c r="CT59" i="1" s="1" a="1"/>
  <c r="CT59" i="1" s="1"/>
  <c r="DA7" i="1"/>
  <c r="DA6" i="1"/>
  <c r="DA5" i="1"/>
  <c r="DA4" i="1"/>
  <c r="DA3" i="1"/>
  <c r="DA2" i="1"/>
  <c r="DA59" i="1" s="1" a="1"/>
  <c r="DA59" i="1" s="1"/>
  <c r="CU7" i="1"/>
  <c r="CU6" i="1"/>
  <c r="CU5" i="1"/>
  <c r="CU2" i="1"/>
  <c r="CU59" i="1" s="1" a="1"/>
  <c r="CU59" i="1" s="1"/>
  <c r="CU4" i="1"/>
  <c r="CU3" i="1"/>
  <c r="F9" i="2"/>
  <c r="F7" i="2"/>
  <c r="F4" i="2"/>
  <c r="F6" i="2"/>
  <c r="F5" i="2"/>
  <c r="F3" i="2"/>
  <c r="F8" i="2"/>
  <c r="CP5" i="1"/>
  <c r="CP2" i="1"/>
  <c r="CP4" i="1"/>
  <c r="CP3" i="1"/>
  <c r="CP7" i="1"/>
  <c r="CP6" i="1"/>
  <c r="CW6" i="1"/>
  <c r="CW5" i="1"/>
  <c r="CW2" i="1"/>
  <c r="CW59" i="1" s="1" a="1"/>
  <c r="CW59" i="1" s="1"/>
  <c r="CW4" i="1"/>
  <c r="CW7" i="1"/>
  <c r="CW3" i="1"/>
  <c r="CO6" i="1"/>
  <c r="CO5" i="1"/>
  <c r="CO2" i="1"/>
  <c r="CO4" i="1"/>
  <c r="CO7" i="1"/>
  <c r="CO3" i="1"/>
  <c r="CY4" i="1"/>
  <c r="CY3" i="1"/>
  <c r="CY7" i="1"/>
  <c r="CY6" i="1"/>
  <c r="CY5" i="1"/>
  <c r="CY2" i="1"/>
  <c r="CY59" i="1" s="1" a="1"/>
  <c r="CY59" i="1" s="1"/>
  <c r="CS7" i="1"/>
  <c r="CS6" i="1"/>
  <c r="CS5" i="1"/>
  <c r="CS4" i="1"/>
  <c r="CS3" i="1"/>
  <c r="CS2" i="1"/>
  <c r="CS59" i="1" s="1" a="1"/>
  <c r="CS59" i="1" s="1"/>
  <c r="CZ3" i="1"/>
  <c r="CZ7" i="1"/>
  <c r="CZ6" i="1"/>
  <c r="CZ5" i="1"/>
  <c r="CZ4" i="1"/>
  <c r="CZ2" i="1"/>
  <c r="CZ59" i="1" s="1" a="1"/>
  <c r="CZ59" i="1" s="1"/>
  <c r="CQ4" i="1"/>
  <c r="CQ3" i="1"/>
  <c r="CQ7" i="1"/>
  <c r="CQ6" i="1"/>
  <c r="CQ5" i="1"/>
  <c r="CQ2" i="1"/>
  <c r="CO59" i="1" l="1" a="1"/>
  <c r="CO59" i="1" s="1"/>
  <c r="CN59" i="1" a="1"/>
  <c r="CN59" i="1" s="1"/>
  <c r="CQ59" i="1" a="1"/>
  <c r="CQ59" i="1" s="1"/>
  <c r="CR59" i="1" a="1"/>
  <c r="CR59" i="1" s="1"/>
  <c r="CM59" i="1" a="1"/>
  <c r="CM59" i="1" s="1"/>
  <c r="CP59" i="1" a="1"/>
  <c r="CP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<sst xmlns="http://schemas.openxmlformats.org/spreadsheetml/2006/main" count="1636" uniqueCount="270">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</sst>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2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17" fillId="6" borderId="18" xfId="1" applyNumberFormat="1" applyFont="1"/>
    <xf numFmtId="0" fontId="9" fillId="11" borderId="1" xfId="4" applyFill="1" applyBorder="1" applyAlignment="1">
      <alignment horizontal="center"/>
    </xf>
    <xf numFmtId="0" fontId="0" fillId="0" borderId="2" xfId="0" applyBorder="1"/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2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0.14996795556505021"/>
        </patternFill>
      </fill>
    </dxf>
    <dxf>
      <fill>
        <patternFill patternType="solid">
          <bgColor theme="1" tint="0.14996795556505021"/>
        </patternFill>
      </fill>
    </dxf>
    <dxf>
      <font>
        <b/>
        <i val="0"/>
        <color auto="1"/>
      </font>
      <fill>
        <patternFill>
          <bgColor rgb="FFFFCC99"/>
        </patternFill>
      </fill>
    </dxf>
    <dxf>
      <fill>
        <patternFill>
          <bgColor theme="6" tint="-0.24994659260841701"/>
        </patternFill>
      </fill>
    </dxf>
    <dxf>
      <fill>
        <patternFill patternType="solid">
          <bgColor theme="1" tint="0.14996795556505021"/>
        </patternFill>
      </fill>
    </dxf>
    <dxf>
      <font>
        <b/>
        <i val="0"/>
        <color auto="1"/>
      </font>
      <fill>
        <patternFill>
          <bgColor rgb="FFFFCC99"/>
        </patternFill>
      </fill>
    </dxf>
    <dxf>
      <fill>
        <patternFill>
          <bgColor theme="6" tint="-0.24994659260841701"/>
        </patternFill>
      </fill>
    </dxf>
    <dxf>
      <fill>
        <patternFill patternType="solid">
          <bgColor theme="1" tint="0.14996795556505021"/>
        </patternFill>
      </fill>
    </dxf>
    <dxf>
      <font>
        <b/>
        <i val="0"/>
        <color auto="1"/>
      </font>
      <fill>
        <patternFill>
          <bgColor rgb="FFFFCC99"/>
        </patternFill>
      </fill>
    </dxf>
    <dxf>
      <fill>
        <patternFill>
          <bgColor theme="6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Q65"/>
  <sheetViews>
    <sheetView tabSelected="1" zoomScale="70" zoomScaleNormal="70" workbookViewId="0">
      <pane xSplit="2" topLeftCell="BF1" activePane="topRight" state="frozen"/>
      <selection pane="topRight" activeCell="BS22" sqref="BS22"/>
    </sheetView>
  </sheetViews>
  <sheetFormatPr defaultRowHeight="14.4" x14ac:dyDescent="0.3"/>
  <cols>
    <col min="1" max="1" width="8.33203125" bestFit="1" customWidth="1"/>
    <col min="2" max="2" width="11.88671875" bestFit="1" customWidth="1"/>
    <col min="3" max="3" width="9.33203125" bestFit="1" customWidth="1"/>
    <col min="4" max="4" width="8.88671875" bestFit="1" customWidth="1"/>
    <col min="5" max="5" width="10.88671875" customWidth="1"/>
    <col min="6" max="13" width="4.5546875" customWidth="1"/>
    <col min="14" max="14" width="6.33203125" bestFit="1" customWidth="1"/>
    <col min="15" max="19" width="10" customWidth="1"/>
    <col min="20" max="20" width="8.5546875" style="5" bestFit="1" customWidth="1"/>
    <col min="21" max="21" width="6.5546875" style="5" bestFit="1" customWidth="1"/>
    <col min="22" max="22" width="7" customWidth="1"/>
    <col min="23" max="23" width="8.44140625" customWidth="1"/>
    <col min="24" max="24" width="10.6640625" bestFit="1" customWidth="1"/>
    <col min="26" max="26" width="6.77734375" customWidth="1"/>
    <col min="27" max="29" width="7.109375" customWidth="1"/>
    <col min="30" max="32" width="8.44140625" customWidth="1"/>
    <col min="33" max="33" width="12.6640625" customWidth="1"/>
    <col min="34" max="48" width="5.88671875" customWidth="1"/>
    <col min="49" max="49" width="4.6640625" customWidth="1"/>
    <col min="50" max="50" width="16.44140625" customWidth="1"/>
    <col min="51" max="51" width="6.88671875" customWidth="1"/>
    <col min="52" max="64" width="3.6640625" customWidth="1"/>
    <col min="65" max="65" width="5" customWidth="1"/>
    <col min="66" max="66" width="9.109375" customWidth="1"/>
    <col min="67" max="67" width="31.44140625" customWidth="1"/>
    <col min="68" max="68" width="21.109375" customWidth="1"/>
    <col min="69" max="69" width="9" customWidth="1"/>
    <col min="70" max="70" width="8.88671875" customWidth="1"/>
    <col min="71" max="71" width="6.6640625" customWidth="1"/>
    <col min="74" max="74" width="3.33203125" bestFit="1" customWidth="1"/>
    <col min="75" max="81" width="3.33203125" customWidth="1"/>
    <col min="82" max="87" width="3.33203125" bestFit="1" customWidth="1"/>
    <col min="88" max="88" width="3.33203125" customWidth="1"/>
    <col min="91" max="91" width="4.33203125" customWidth="1"/>
    <col min="92" max="98" width="4.5546875" customWidth="1"/>
    <col min="99" max="100" width="4.5546875" bestFit="1" customWidth="1"/>
    <col min="101" max="101" width="4.33203125" bestFit="1" customWidth="1"/>
    <col min="102" max="105" width="4.5546875" bestFit="1" customWidth="1"/>
  </cols>
  <sheetData>
    <row r="1" spans="1:121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20" t="s">
        <v>5</v>
      </c>
      <c r="O1" s="221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R1</v>
      </c>
      <c r="AI1" s="62" t="str">
        <v>R2</v>
      </c>
      <c r="AJ1" s="62" t="str">
        <v>R3</v>
      </c>
      <c r="AK1" s="62" t="str">
        <v>R4</v>
      </c>
      <c r="AL1" s="62" t="str">
        <v>R5</v>
      </c>
      <c r="AM1" s="62">
        <v>0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R1</v>
      </c>
      <c r="AZ1" s="62" t="str">
        <f t="shared" si="0"/>
        <v>R2</v>
      </c>
      <c r="BA1" s="62" t="str">
        <f t="shared" si="0"/>
        <v>R3</v>
      </c>
      <c r="BB1" s="62" t="str">
        <f t="shared" si="0"/>
        <v>R4</v>
      </c>
      <c r="BC1" s="62" t="str">
        <f t="shared" si="0"/>
        <v>R5</v>
      </c>
      <c r="BD1" s="62">
        <f t="shared" si="0"/>
        <v>0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R1</v>
      </c>
      <c r="BW1" s="62" t="str">
        <f t="shared" si="1"/>
        <v>R2</v>
      </c>
      <c r="BX1" s="62" t="str">
        <f t="shared" si="1"/>
        <v>R3</v>
      </c>
      <c r="BY1" s="62" t="str">
        <f t="shared" si="1"/>
        <v>R4</v>
      </c>
      <c r="BZ1" s="62" t="str">
        <f t="shared" si="1"/>
        <v>R5</v>
      </c>
      <c r="CA1" s="62">
        <f t="shared" si="1"/>
        <v>0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:DA1" si="2">AH1</f>
        <v>R1</v>
      </c>
      <c r="CN1" s="62" t="str">
        <f t="shared" si="2"/>
        <v>R2</v>
      </c>
      <c r="CO1" s="62" t="str">
        <f t="shared" si="2"/>
        <v>R3</v>
      </c>
      <c r="CP1" s="62" t="str">
        <f t="shared" si="2"/>
        <v>R4</v>
      </c>
      <c r="CQ1" s="62" t="str">
        <f t="shared" si="2"/>
        <v>R5</v>
      </c>
      <c r="CR1" s="62">
        <f t="shared" si="2"/>
        <v>0</v>
      </c>
      <c r="CS1" s="62">
        <f t="shared" si="2"/>
        <v>0</v>
      </c>
      <c r="CT1" s="62">
        <f t="shared" si="2"/>
        <v>0</v>
      </c>
      <c r="CU1" s="19">
        <f t="shared" si="2"/>
        <v>0</v>
      </c>
      <c r="CV1" s="19">
        <f t="shared" si="2"/>
        <v>0</v>
      </c>
      <c r="CW1" s="19">
        <f t="shared" si="2"/>
        <v>0</v>
      </c>
      <c r="CX1" s="19">
        <f t="shared" si="2"/>
        <v>0</v>
      </c>
      <c r="CY1" s="19">
        <f t="shared" si="2"/>
        <v>0</v>
      </c>
      <c r="CZ1" s="19">
        <f t="shared" si="2"/>
        <v>0</v>
      </c>
      <c r="DA1" s="20">
        <f t="shared" si="2"/>
        <v>0</v>
      </c>
    </row>
    <row r="2" spans="1:121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4" t="s">
        <v>116</v>
      </c>
      <c r="F2" s="210">
        <v>79.764348624364857</v>
      </c>
      <c r="G2" s="211">
        <v>76.973227937086946</v>
      </c>
      <c r="H2" s="211">
        <v>83.764348624364843</v>
      </c>
      <c r="I2" s="211">
        <v>87.212384019142547</v>
      </c>
      <c r="J2" s="211">
        <v>80.124426027943386</v>
      </c>
      <c r="K2" s="211">
        <v>72.212384019142547</v>
      </c>
      <c r="L2" s="211">
        <v>69.068291283124537</v>
      </c>
      <c r="M2" s="217">
        <v>61.085799992300352</v>
      </c>
      <c r="N2" s="210" cm="1">
        <f t="array" ref="N2">IF(AND(F2:M2=""),"",10*LOG((10^((F2-26.2)/10))+(10^((G2-16.1)/10))+(10^((H2-8.6)/10))+(10^((I2-3.2)/10))+(10^((J2)/10))+(10^((K2+1.2)/10))+(10^((L2+1)/10))+(10^((M2-1.1)/10))))</f>
        <v>86.25518252414571</v>
      </c>
      <c r="O2" s="212">
        <v>0</v>
      </c>
      <c r="P2" s="207">
        <v>1</v>
      </c>
      <c r="Q2" s="128">
        <f>ROUND(IF(AND(A2&gt;0, O2&gt;0), N2+ABS(10*LOG10(P2/(4*PI()*CONVERT(O2,"ft", "m")^2))), N2),0)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3">SUM(W2:X2)</f>
        <v>74.25</v>
      </c>
      <c r="W2" s="81">
        <v>70</v>
      </c>
      <c r="X2" s="129">
        <v>4.25</v>
      </c>
      <c r="Z2" s="86" t="s">
        <v>171</v>
      </c>
      <c r="AA2" s="81">
        <v>33.28</v>
      </c>
      <c r="AB2" s="81">
        <v>85.62</v>
      </c>
      <c r="AC2" s="87">
        <v>65</v>
      </c>
      <c r="AD2" s="8">
        <v>40</v>
      </c>
      <c r="AE2" s="2">
        <f t="array" ref="AE2:AE16">IFERROR(TRANSPOSE(ROUND(CM59:DA59,0)), "")</f>
        <v>49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72.737805163477404</v>
      </c>
      <c r="AI2" s="131">
        <f t="array" ref="AI2">IF(AI$1=0,"",SQRT((_xlfn.XLOOKUP(AI$1,$Z$2:$Z$18,$AA$2:$AA$18)-$T2)^2+(_xlfn.XLOOKUP(AI$1,$Z$2:$Z$18,$AB$2:$AB$18)-$U2)^2+(_xlfn.XLOOKUP(AI$1,$Z$2:$Z$18,$AC$2:$AC$18-$V2)^2)))</f>
        <v>58.223371595949331</v>
      </c>
      <c r="AJ2" s="131">
        <f t="array" ref="AJ2">IF(AJ$1=0,"",SQRT((_xlfn.XLOOKUP(AJ$1,$Z$2:$Z$18,$AA$2:$AA$18)-$T2)^2+(_xlfn.XLOOKUP(AJ$1,$Z$2:$Z$18,$AB$2:$AB$18)-$U2)^2+(_xlfn.XLOOKUP(AJ$1,$Z$2:$Z$18,$AC$2:$AC$18-$V2)^2)))</f>
        <v>137.67746729221886</v>
      </c>
      <c r="AK2" s="131">
        <f t="array" ref="AK2">IF(AK$1=0,"",SQRT((_xlfn.XLOOKUP(AK$1,$Z$2:$Z$18,$AA$2:$AA$18)-$T2)^2+(_xlfn.XLOOKUP(AK$1,$Z$2:$Z$18,$AB$2:$AB$18)-$U2)^2+(_xlfn.XLOOKUP(AK$1,$Z$2:$Z$18,$AC$2:$AC$18-$V2)^2)))</f>
        <v>215.99785878568338</v>
      </c>
      <c r="AL2" s="131">
        <f t="array" ref="AL2">IF(AL$1=0,"",SQRT((_xlfn.XLOOKUP(AL$1,$Z$2:$Z$18,$AA$2:$AA$18)-$T2)^2+(_xlfn.XLOOKUP(AL$1,$Z$2:$Z$18,$AB$2:$AB$18)-$U2)^2+(_xlfn.XLOOKUP(AL$1,$Z$2:$Z$18,$AC$2:$AC$18-$V2)^2)))</f>
        <v>148.01165933804</v>
      </c>
      <c r="AM2" s="131" t="str">
        <f t="array" ref="AM2">IF(AM$1=0,"",SQRT((_xlfn.XLOOKUP(AM$1,$Z$2:$Z$18,$AA$2:$AA$18)-$T2)^2+(_xlfn.XLOOKUP(AM$1,$Z$2:$Z$18,$AB$2:$AB$18)-$U2)^2+(_xlfn.XLOOKUP(AM$1,$Z$2:$Z$18,$AC$2:$AC$18-$V2)^2)))</f>
        <v/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4">IFERROR(-ABS(10*LOG10(($R2/(4*PI()*CONVERT(AH2,"ft","m")^2)))),0)</f>
        <v>-34.897301781734754</v>
      </c>
      <c r="AZ2" s="136">
        <f t="shared" ref="AZ2:AZ33" si="5">IFERROR(-ABS(10*LOG10(($R2/(4*PI()*CONVERT(AI2,"ft","m")^2)))),0)</f>
        <v>-32.964044955593842</v>
      </c>
      <c r="BA2" s="136">
        <f t="shared" ref="BA2:BA33" si="6">IFERROR(-ABS(10*LOG10(($R2/(4*PI()*CONVERT(AJ2,"ft","m")^2)))),0)</f>
        <v>-40.439355299602148</v>
      </c>
      <c r="BB2" s="136">
        <f t="shared" ref="BB2:BB33" si="7">IFERROR(-ABS(10*LOG10(($R2/(4*PI()*CONVERT(AK2,"ft","m")^2)))),0)</f>
        <v>-44.351086856046258</v>
      </c>
      <c r="BC2" s="136">
        <f t="shared" ref="BC2:BC33" si="8">IFERROR(-ABS(10*LOG10(($R2/(4*PI()*CONVERT(AL2,"ft","m")^2)))),0)</f>
        <v>-41.068016486281692</v>
      </c>
      <c r="BD2" s="136">
        <f t="shared" ref="BD2:BD33" si="9">IFERROR(-ABS(10*LOG10(($R2/(4*PI()*CONVERT(AM2,"ft","m")^2)))),0)</f>
        <v>0</v>
      </c>
      <c r="BE2" s="136">
        <f t="shared" ref="BE2:BE33" si="10">IFERROR(-ABS(10*LOG10(($R2/(4*PI()*CONVERT(AN2,"ft","m")^2)))),0)</f>
        <v>0</v>
      </c>
      <c r="BF2" s="136">
        <f t="shared" ref="BF2:BF33" si="11">IFERROR(-ABS(10*LOG10(($R2/(4*PI()*CONVERT(AO2,"ft","m")^2)))),0)</f>
        <v>0</v>
      </c>
      <c r="BG2" s="137">
        <f t="shared" ref="BG2:BG33" si="12">IFERROR(-ABS(10*LOG10(($R2/(4*PI()*CONVERT(AP2,"ft","m")^2)))),0)</f>
        <v>0</v>
      </c>
      <c r="BH2" s="137">
        <f t="shared" ref="BH2:BH33" si="13">IFERROR(-ABS(10*LOG10(($R2/(4*PI()*CONVERT(AQ2,"ft","m")^2)))),0)</f>
        <v>0</v>
      </c>
      <c r="BI2" s="137">
        <f t="shared" ref="BI2:BI33" si="14">IFERROR(-ABS(10*LOG10(($R2/(4*PI()*CONVERT(AR2,"ft","m")^2)))),0)</f>
        <v>0</v>
      </c>
      <c r="BJ2" s="137">
        <f t="shared" ref="BJ2:BJ33" si="15">IFERROR(-ABS(10*LOG10(($R2/(4*PI()*CONVERT(AS2,"ft","m")^2)))),0)</f>
        <v>0</v>
      </c>
      <c r="BK2" s="137">
        <f t="shared" ref="BK2:BK33" si="16">IFERROR(-ABS(10*LOG10(($R2/(4*PI()*CONVERT(AT2,"ft","m")^2)))),0)</f>
        <v>0</v>
      </c>
      <c r="BL2" s="137">
        <f t="shared" ref="BL2:BL33" si="17">IFERROR(-ABS(10*LOG10(($R2/(4*PI()*CONVERT(AU2,"ft","m")^2)))),0)</f>
        <v>0</v>
      </c>
      <c r="BM2" s="138">
        <f t="shared" ref="BM2:BM33" si="18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201">
        <v>11.5</v>
      </c>
      <c r="BW2" s="201">
        <v>16.899999999999999</v>
      </c>
      <c r="BX2" s="140">
        <v>16.8</v>
      </c>
      <c r="BY2" s="140">
        <v>17.399999999999999</v>
      </c>
      <c r="BZ2" s="140">
        <v>14.3</v>
      </c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34"/>
      <c r="CL2" s="134" t="s">
        <v>26</v>
      </c>
      <c r="CM2" s="141">
        <f t="shared" ref="CM2:CM7" si="19">IF( CM$1= 0,"",$Q2-$S2+AY2-BV2)</f>
        <v>39.602698218265246</v>
      </c>
      <c r="CN2" s="142">
        <f t="shared" ref="CN2:CN7" si="20">IF( CN$1= 0,"",$Q2-$S2+AZ2-BW2)</f>
        <v>36.13595504440616</v>
      </c>
      <c r="CO2" s="142">
        <f t="shared" ref="CO2:CO7" si="21">IF( CO$1= 0,"",$Q2-$S2+BA2-BX2)</f>
        <v>28.760644700397851</v>
      </c>
      <c r="CP2" s="142">
        <f t="shared" ref="CP2:CP7" si="22">IF( CP$1= 0,"",$Q2-$S2+BB2-BY2)</f>
        <v>24.248913143953743</v>
      </c>
      <c r="CQ2" s="142">
        <f t="shared" ref="CQ2:CQ7" si="23">IF( CQ$1= 0,"",$Q2-$S2+BC2-BZ2)</f>
        <v>30.631983513718307</v>
      </c>
      <c r="CR2" s="142" t="str">
        <f t="shared" ref="CR2:CR7" si="24">IF( CR$1= 0,"",$Q2-$S2+BD2-CA2)</f>
        <v/>
      </c>
      <c r="CS2" s="142" t="str">
        <f t="shared" ref="CS2:CS7" si="25">IF( CS$1= 0,"",$Q2-$S2+BE2-CB2)</f>
        <v/>
      </c>
      <c r="CT2" s="142" t="str">
        <f t="shared" ref="CT2:CT7" si="26">IF( CT$1= 0,"",$Q2-$S2+BF2-CC2)</f>
        <v/>
      </c>
      <c r="CU2" s="143" t="str">
        <f t="shared" ref="CU2:CU7" si="27">IF( CU$1= 0,"",$Q2-$S2+BG2-CD2)</f>
        <v/>
      </c>
      <c r="CV2" s="143" t="str">
        <f t="shared" ref="CV2:CV7" si="28">IF( CV$1= 0,"",$Q2-$S2+BH2-CE2)</f>
        <v/>
      </c>
      <c r="CW2" s="143" t="str">
        <f t="shared" ref="CW2:CW7" si="29">IF( CW$1= 0,"",$Q2-$S2+BI2-CF2)</f>
        <v/>
      </c>
      <c r="CX2" s="143" t="str">
        <f t="shared" ref="CX2:CX7" si="30">IF( CX$1= 0,"",$Q2-$S2+BJ2-CG2)</f>
        <v/>
      </c>
      <c r="CY2" s="143" t="str">
        <f t="shared" ref="CY2:CY7" si="31">IF( CY$1= 0,"",$Q2-$S2+BK2-CH2)</f>
        <v/>
      </c>
      <c r="CZ2" s="143" t="str">
        <f t="shared" ref="CZ2:CZ7" si="32">IF( CZ$1= 0,"",$Q2-$S2+BL2-CI2)</f>
        <v/>
      </c>
      <c r="DA2" s="144" t="str">
        <f t="shared" ref="DA2:DA7" si="33">IF( DA$1= 0,"",$Q2-$S2+BM2-CJ2)</f>
        <v/>
      </c>
      <c r="DN2" t="s">
        <v>27</v>
      </c>
      <c r="DO2" t="s">
        <v>27</v>
      </c>
      <c r="DP2" t="s">
        <v>27</v>
      </c>
      <c r="DQ2" t="s">
        <v>27</v>
      </c>
    </row>
    <row r="3" spans="1:121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5" t="s">
        <v>119</v>
      </c>
      <c r="F3" s="213">
        <v>90.943153167275824</v>
      </c>
      <c r="G3" s="214">
        <v>91.806287222778522</v>
      </c>
      <c r="H3" s="214">
        <v>94.767790090884972</v>
      </c>
      <c r="I3" s="214">
        <v>89.223531174637657</v>
      </c>
      <c r="J3" s="214">
        <v>85.82984884856063</v>
      </c>
      <c r="K3" s="214">
        <v>76.255873654900313</v>
      </c>
      <c r="L3" s="214">
        <v>72.33095191363185</v>
      </c>
      <c r="M3" s="218">
        <v>67.382863658042623</v>
      </c>
      <c r="N3" s="213" cm="1">
        <f t="array" ref="N3">IF(AND(F3:M3=""),"",10*LOG((10^((F3-26.2)/10))+(10^((G3-16.1)/10))+(10^((H3-8.6)/10))+(10^((I3-3.2)/10))+(10^((J3)/10))+(10^((K3+1.2)/10))+(10^((L3+1)/10))+(10^((M3-1.1)/10))))</f>
        <v>91.200820366776128</v>
      </c>
      <c r="O3" s="215">
        <v>0</v>
      </c>
      <c r="P3" s="208">
        <v>1</v>
      </c>
      <c r="Q3" s="128">
        <f t="shared" ref="Q3:Q58" si="34">ROUND(IF(AND(A3&gt;0, O3&gt;0), N3+ABS(10*LOG10(P3/(4*PI()*CONVERT(O3,"ft", "m")^2))), N3),0)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3"/>
        <v>72.5</v>
      </c>
      <c r="W3" s="81">
        <v>70</v>
      </c>
      <c r="X3" s="148">
        <v>2.5</v>
      </c>
      <c r="Z3" s="9" t="s">
        <v>28</v>
      </c>
      <c r="AA3" s="4">
        <v>104.62</v>
      </c>
      <c r="AB3" s="4">
        <v>52.77</v>
      </c>
      <c r="AC3" s="87">
        <v>40</v>
      </c>
      <c r="AD3" s="8">
        <v>40</v>
      </c>
      <c r="AE3" s="2">
        <v>46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126.38761371273691</v>
      </c>
      <c r="AI3" s="150">
        <f t="array" ref="AI3">IF(AI$1=0,"",SQRT((_xlfn.XLOOKUP(AI$1,$Z$2:$Z$18,$AA$2:$AA$18)-$T3)^2+(_xlfn.XLOOKUP(AI$1,$Z$2:$Z$18,$AB$2:$AB$18)-$U3)^2+(_xlfn.XLOOKUP(AI$1,$Z$2:$Z$18,$AC$2:$AC$18-$V3)^2)))</f>
        <v>91.034238613831448</v>
      </c>
      <c r="AJ3" s="150">
        <f t="array" ref="AJ3">IF(AJ$1=0,"",SQRT((_xlfn.XLOOKUP(AJ$1,$Z$2:$Z$18,$AA$2:$AA$18)-$T3)^2+(_xlfn.XLOOKUP(AJ$1,$Z$2:$Z$18,$AB$2:$AB$18)-$U3)^2+(_xlfn.XLOOKUP(AJ$1,$Z$2:$Z$18,$AC$2:$AC$18-$V3)^2)))</f>
        <v>118.30890245454903</v>
      </c>
      <c r="AK3" s="150">
        <f t="array" ref="AK3">IF(AK$1=0,"",SQRT((_xlfn.XLOOKUP(AK$1,$Z$2:$Z$18,$AA$2:$AA$18)-$T3)^2+(_xlfn.XLOOKUP(AK$1,$Z$2:$Z$18,$AB$2:$AB$18)-$U3)^2+(_xlfn.XLOOKUP(AK$1,$Z$2:$Z$18,$AC$2:$AC$18-$V3)^2)))</f>
        <v>169.69045170545101</v>
      </c>
      <c r="AL3" s="150">
        <f t="array" ref="AL3">IF(AL$1=0,"",SQRT((_xlfn.XLOOKUP(AL$1,$Z$2:$Z$18,$AA$2:$AA$18)-$T3)^2+(_xlfn.XLOOKUP(AL$1,$Z$2:$Z$18,$AB$2:$AB$18)-$U3)^2+(_xlfn.XLOOKUP(AL$1,$Z$2:$Z$18,$AC$2:$AC$18-$V3)^2)))</f>
        <v>169.61754773607595</v>
      </c>
      <c r="AM3" s="150" t="str">
        <f t="array" ref="AM3">IF(AM$1=0,"",SQRT((_xlfn.XLOOKUP(AM$1,$Z$2:$Z$18,$AA$2:$AA$18)-$T3)^2+(_xlfn.XLOOKUP(AM$1,$Z$2:$Z$18,$AB$2:$AB$18)-$U3)^2+(_xlfn.XLOOKUP(AM$1,$Z$2:$Z$18,$AC$2:$AC$18-$V3)^2)))</f>
        <v/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4"/>
        <v>-39.696188219689965</v>
      </c>
      <c r="AZ3" s="153">
        <f t="shared" si="5"/>
        <v>-36.846193221687557</v>
      </c>
      <c r="BA3" s="153">
        <f t="shared" si="6"/>
        <v>-39.122446445960684</v>
      </c>
      <c r="BB3" s="153">
        <f t="shared" si="7"/>
        <v>-42.255246051606584</v>
      </c>
      <c r="BC3" s="153">
        <f t="shared" si="8"/>
        <v>-42.251513538120584</v>
      </c>
      <c r="BD3" s="153">
        <f t="shared" si="9"/>
        <v>0</v>
      </c>
      <c r="BE3" s="153">
        <f t="shared" si="10"/>
        <v>0</v>
      </c>
      <c r="BF3" s="153">
        <f t="shared" si="11"/>
        <v>0</v>
      </c>
      <c r="BG3" s="154">
        <f t="shared" si="12"/>
        <v>0</v>
      </c>
      <c r="BH3" s="154">
        <f t="shared" si="13"/>
        <v>0</v>
      </c>
      <c r="BI3" s="154">
        <f t="shared" si="14"/>
        <v>0</v>
      </c>
      <c r="BJ3" s="154">
        <f t="shared" si="15"/>
        <v>0</v>
      </c>
      <c r="BK3" s="154">
        <f t="shared" si="16"/>
        <v>0</v>
      </c>
      <c r="BL3" s="154">
        <f t="shared" si="17"/>
        <v>0</v>
      </c>
      <c r="BM3" s="155">
        <f t="shared" si="18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201">
        <v>12.6</v>
      </c>
      <c r="BW3" s="201">
        <v>17.600000000000001</v>
      </c>
      <c r="BX3" s="140">
        <v>18.899999999999999</v>
      </c>
      <c r="BY3" s="140">
        <v>15.3</v>
      </c>
      <c r="BZ3" s="201">
        <v>12.9</v>
      </c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K3" s="134"/>
      <c r="CL3" s="134"/>
      <c r="CM3" s="156">
        <f t="shared" si="19"/>
        <v>38.703811780310033</v>
      </c>
      <c r="CN3" s="157">
        <f t="shared" si="20"/>
        <v>36.553806778312442</v>
      </c>
      <c r="CO3" s="157">
        <f t="shared" si="21"/>
        <v>32.977553554039318</v>
      </c>
      <c r="CP3" s="157">
        <f t="shared" si="22"/>
        <v>33.444753948393412</v>
      </c>
      <c r="CQ3" s="157">
        <f t="shared" si="23"/>
        <v>35.848486461879418</v>
      </c>
      <c r="CR3" s="157" t="str">
        <f t="shared" si="24"/>
        <v/>
      </c>
      <c r="CS3" s="157" t="str">
        <f t="shared" si="25"/>
        <v/>
      </c>
      <c r="CT3" s="157" t="str">
        <f t="shared" si="26"/>
        <v/>
      </c>
      <c r="CU3" s="158" t="str">
        <f t="shared" si="27"/>
        <v/>
      </c>
      <c r="CV3" s="158" t="str">
        <f t="shared" si="28"/>
        <v/>
      </c>
      <c r="CW3" s="158" t="str">
        <f t="shared" si="29"/>
        <v/>
      </c>
      <c r="CX3" s="158" t="str">
        <f t="shared" si="30"/>
        <v/>
      </c>
      <c r="CY3" s="143" t="str">
        <f t="shared" si="31"/>
        <v/>
      </c>
      <c r="CZ3" s="143" t="str">
        <f t="shared" si="32"/>
        <v/>
      </c>
      <c r="DA3" s="144" t="str">
        <f t="shared" si="33"/>
        <v/>
      </c>
    </row>
    <row r="4" spans="1:121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5" t="s">
        <v>123</v>
      </c>
      <c r="F4" s="213">
        <v>88</v>
      </c>
      <c r="G4" s="214">
        <v>88</v>
      </c>
      <c r="H4" s="214">
        <v>83</v>
      </c>
      <c r="I4" s="214">
        <v>78</v>
      </c>
      <c r="J4" s="214">
        <v>77</v>
      </c>
      <c r="K4" s="214">
        <v>73</v>
      </c>
      <c r="L4" s="214">
        <v>65</v>
      </c>
      <c r="M4" s="218">
        <v>58</v>
      </c>
      <c r="N4" s="213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5">
        <v>0</v>
      </c>
      <c r="P4" s="208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3"/>
        <v>75</v>
      </c>
      <c r="W4" s="81">
        <v>70</v>
      </c>
      <c r="X4" s="148">
        <v>5</v>
      </c>
      <c r="Z4" s="9" t="s">
        <v>172</v>
      </c>
      <c r="AA4" s="4">
        <v>217.01</v>
      </c>
      <c r="AB4" s="4">
        <v>22.5</v>
      </c>
      <c r="AC4" s="87">
        <v>60</v>
      </c>
      <c r="AD4" s="8">
        <v>40</v>
      </c>
      <c r="AE4" s="2">
        <v>41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184.640954286962</v>
      </c>
      <c r="AI4" s="150">
        <f t="array" ref="AI4">IF(AI$1=0,"",SQRT((_xlfn.XLOOKUP(AI$1,$Z$2:$Z$18,$AA$2:$AA$18)-$T4)^2+(_xlfn.XLOOKUP(AI$1,$Z$2:$Z$18,$AB$2:$AB$18)-$U4)^2+(_xlfn.XLOOKUP(AI$1,$Z$2:$Z$18,$AC$2:$AC$18-$V4)^2)))</f>
        <v>113.24414554404125</v>
      </c>
      <c r="AJ4" s="150">
        <f t="array" ref="AJ4">IF(AJ$1=0,"",SQRT((_xlfn.XLOOKUP(AJ$1,$Z$2:$Z$18,$AA$2:$AA$18)-$T4)^2+(_xlfn.XLOOKUP(AJ$1,$Z$2:$Z$18,$AB$2:$AB$18)-$U4)^2+(_xlfn.XLOOKUP(AJ$1,$Z$2:$Z$18,$AC$2:$AC$18-$V4)^2)))</f>
        <v>21.845010872050398</v>
      </c>
      <c r="AK4" s="150">
        <f t="array" ref="AK4">IF(AK$1=0,"",SQRT((_xlfn.XLOOKUP(AK$1,$Z$2:$Z$18,$AA$2:$AA$18)-$T4)^2+(_xlfn.XLOOKUP(AK$1,$Z$2:$Z$18,$AB$2:$AB$18)-$U4)^2+(_xlfn.XLOOKUP(AK$1,$Z$2:$Z$18,$AC$2:$AC$18-$V4)^2)))</f>
        <v>121.72332767386868</v>
      </c>
      <c r="AL4" s="150">
        <f t="array" ref="AL4">IF(AL$1=0,"",SQRT((_xlfn.XLOOKUP(AL$1,$Z$2:$Z$18,$AA$2:$AA$18)-$T4)^2+(_xlfn.XLOOKUP(AL$1,$Z$2:$Z$18,$AB$2:$AB$18)-$U4)^2+(_xlfn.XLOOKUP(AL$1,$Z$2:$Z$18,$AC$2:$AC$18-$V4)^2)))</f>
        <v>266.20872149499536</v>
      </c>
      <c r="AM4" s="150" t="str">
        <f t="array" ref="AM4">IF(AM$1=0,"",SQRT((_xlfn.XLOOKUP(AM$1,$Z$2:$Z$18,$AA$2:$AA$18)-$T4)^2+(_xlfn.XLOOKUP(AM$1,$Z$2:$Z$18,$AB$2:$AB$18)-$U4)^2+(_xlfn.XLOOKUP(AM$1,$Z$2:$Z$18,$AC$2:$AC$18-$V4)^2)))</f>
        <v/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4"/>
        <v>-42.988658658179418</v>
      </c>
      <c r="AZ4" s="153">
        <f t="shared" si="5"/>
        <v>-38.742413122172678</v>
      </c>
      <c r="BA4" s="153">
        <f t="shared" si="6"/>
        <v>-24.4491432407284</v>
      </c>
      <c r="BB4" s="153">
        <f t="shared" si="7"/>
        <v>-39.369574268861413</v>
      </c>
      <c r="BC4" s="153">
        <f t="shared" si="8"/>
        <v>-46.166543530336916</v>
      </c>
      <c r="BD4" s="153">
        <f t="shared" si="9"/>
        <v>0</v>
      </c>
      <c r="BE4" s="153">
        <f t="shared" si="10"/>
        <v>0</v>
      </c>
      <c r="BF4" s="153">
        <f t="shared" si="11"/>
        <v>0</v>
      </c>
      <c r="BG4" s="154">
        <f t="shared" si="12"/>
        <v>0</v>
      </c>
      <c r="BH4" s="154">
        <f t="shared" si="13"/>
        <v>0</v>
      </c>
      <c r="BI4" s="154">
        <f t="shared" si="14"/>
        <v>0</v>
      </c>
      <c r="BJ4" s="154">
        <f t="shared" si="15"/>
        <v>0</v>
      </c>
      <c r="BK4" s="154">
        <f t="shared" si="16"/>
        <v>0</v>
      </c>
      <c r="BL4" s="154">
        <f t="shared" si="17"/>
        <v>0</v>
      </c>
      <c r="BM4" s="155">
        <f t="shared" si="18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>
        <v>7</v>
      </c>
      <c r="BW4" s="140">
        <v>15.9</v>
      </c>
      <c r="BX4" s="140">
        <v>15.3</v>
      </c>
      <c r="BY4" s="140">
        <v>13.8</v>
      </c>
      <c r="BZ4" s="140">
        <v>15</v>
      </c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K4" s="134"/>
      <c r="CL4" s="134"/>
      <c r="CM4" s="141">
        <f t="shared" si="19"/>
        <v>19.011341341820582</v>
      </c>
      <c r="CN4" s="142">
        <f t="shared" si="20"/>
        <v>14.357586877827321</v>
      </c>
      <c r="CO4" s="142">
        <f t="shared" si="21"/>
        <v>29.250856759271596</v>
      </c>
      <c r="CP4" s="142">
        <f t="shared" si="22"/>
        <v>15.830425731138586</v>
      </c>
      <c r="CQ4" s="142">
        <f t="shared" si="23"/>
        <v>7.8334564696630835</v>
      </c>
      <c r="CR4" s="142" t="str">
        <f t="shared" si="24"/>
        <v/>
      </c>
      <c r="CS4" s="142" t="str">
        <f t="shared" si="25"/>
        <v/>
      </c>
      <c r="CT4" s="142" t="str">
        <f t="shared" si="26"/>
        <v/>
      </c>
      <c r="CU4" s="143" t="str">
        <f t="shared" si="27"/>
        <v/>
      </c>
      <c r="CV4" s="143" t="str">
        <f t="shared" si="28"/>
        <v/>
      </c>
      <c r="CW4" s="143" t="str">
        <f t="shared" si="29"/>
        <v/>
      </c>
      <c r="CX4" s="143" t="str">
        <f t="shared" si="30"/>
        <v/>
      </c>
      <c r="CY4" s="143" t="str">
        <f t="shared" si="31"/>
        <v/>
      </c>
      <c r="CZ4" s="143" t="str">
        <f t="shared" si="32"/>
        <v/>
      </c>
      <c r="DA4" s="144" t="str">
        <f t="shared" si="33"/>
        <v/>
      </c>
    </row>
    <row r="5" spans="1:121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5" t="s">
        <v>126</v>
      </c>
      <c r="F5" s="213">
        <v>81</v>
      </c>
      <c r="G5" s="214">
        <v>79</v>
      </c>
      <c r="H5" s="214">
        <v>73</v>
      </c>
      <c r="I5" s="214">
        <v>66</v>
      </c>
      <c r="J5" s="214">
        <v>61</v>
      </c>
      <c r="K5" s="214">
        <v>59</v>
      </c>
      <c r="L5" s="214">
        <v>50</v>
      </c>
      <c r="M5" s="218">
        <v>43</v>
      </c>
      <c r="N5" s="213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5">
        <v>0</v>
      </c>
      <c r="P5" s="208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3"/>
        <v>72</v>
      </c>
      <c r="W5" s="81">
        <v>70</v>
      </c>
      <c r="X5" s="148">
        <v>2</v>
      </c>
      <c r="Z5" s="9" t="s">
        <v>173</v>
      </c>
      <c r="AA5" s="4">
        <v>316.86</v>
      </c>
      <c r="AB5" s="4">
        <v>86.55</v>
      </c>
      <c r="AC5" s="87">
        <v>40</v>
      </c>
      <c r="AD5" s="8">
        <v>40</v>
      </c>
      <c r="AE5" s="2">
        <v>39</v>
      </c>
      <c r="AH5" s="149">
        <f t="array" ref="AH5">IF(AH$1=0,"",SQRT((_xlfn.XLOOKUP(AH$1,$Z$2:$Z$18,$AA$2:$AA$18)-$T5)^2+(_xlfn.XLOOKUP(AH$1,$Z$2:$Z$18,$AB$2:$AB$18)-$U5)^2+(_xlfn.XLOOKUP(AH$1,$Z$2:$Z$18,$AC$2:$AC$18-$V5)^2)))</f>
        <v>141.54560996371453</v>
      </c>
      <c r="AI5" s="150">
        <f t="array" ref="AI5">IF(AI$1=0,"",SQRT((_xlfn.XLOOKUP(AI$1,$Z$2:$Z$18,$AA$2:$AA$18)-$T5)^2+(_xlfn.XLOOKUP(AI$1,$Z$2:$Z$18,$AB$2:$AB$18)-$U5)^2+(_xlfn.XLOOKUP(AI$1,$Z$2:$Z$18,$AC$2:$AC$18-$V5)^2)))</f>
        <v>100.42628440801741</v>
      </c>
      <c r="AJ5" s="150">
        <f t="array" ref="AJ5">IF(AJ$1=0,"",SQRT((_xlfn.XLOOKUP(AJ$1,$Z$2:$Z$18,$AA$2:$AA$18)-$T5)^2+(_xlfn.XLOOKUP(AJ$1,$Z$2:$Z$18,$AB$2:$AB$18)-$U5)^2+(_xlfn.XLOOKUP(AJ$1,$Z$2:$Z$18,$AC$2:$AC$18-$V5)^2)))</f>
        <v>110.82579122207972</v>
      </c>
      <c r="AK5" s="150">
        <f t="array" ref="AK5">IF(AK$1=0,"",SQRT((_xlfn.XLOOKUP(AK$1,$Z$2:$Z$18,$AA$2:$AA$18)-$T5)^2+(_xlfn.XLOOKUP(AK$1,$Z$2:$Z$18,$AB$2:$AB$18)-$U5)^2+(_xlfn.XLOOKUP(AK$1,$Z$2:$Z$18,$AC$2:$AC$18-$V5)^2)))</f>
        <v>154.57179885089002</v>
      </c>
      <c r="AL5" s="150">
        <f t="array" ref="AL5">IF(AL$1=0,"",SQRT((_xlfn.XLOOKUP(AL$1,$Z$2:$Z$18,$AA$2:$AA$18)-$T5)^2+(_xlfn.XLOOKUP(AL$1,$Z$2:$Z$18,$AB$2:$AB$18)-$U5)^2+(_xlfn.XLOOKUP(AL$1,$Z$2:$Z$18,$AC$2:$AC$18-$V5)^2)))</f>
        <v>182.67696105420632</v>
      </c>
      <c r="AM5" s="150" t="str">
        <f t="array" ref="AM5">IF(AM$1=0,"",SQRT((_xlfn.XLOOKUP(AM$1,$Z$2:$Z$18,$AA$2:$AA$18)-$T5)^2+(_xlfn.XLOOKUP(AM$1,$Z$2:$Z$18,$AB$2:$AB$18)-$U5)^2+(_xlfn.XLOOKUP(AM$1,$Z$2:$Z$18,$AC$2:$AC$18-$V5)^2)))</f>
        <v/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4"/>
        <v>-40.680026022314799</v>
      </c>
      <c r="AZ5" s="153">
        <f t="shared" si="5"/>
        <v>-37.69904583442603</v>
      </c>
      <c r="BA5" s="153">
        <f t="shared" si="6"/>
        <v>-38.554914748028075</v>
      </c>
      <c r="BB5" s="153">
        <f t="shared" si="7"/>
        <v>-41.444703159284522</v>
      </c>
      <c r="BC5" s="153">
        <f t="shared" si="8"/>
        <v>-42.895773501612965</v>
      </c>
      <c r="BD5" s="153">
        <f t="shared" si="9"/>
        <v>0</v>
      </c>
      <c r="BE5" s="153">
        <f t="shared" si="10"/>
        <v>0</v>
      </c>
      <c r="BF5" s="153">
        <f t="shared" si="11"/>
        <v>0</v>
      </c>
      <c r="BG5" s="154">
        <f t="shared" si="12"/>
        <v>0</v>
      </c>
      <c r="BH5" s="154">
        <f t="shared" si="13"/>
        <v>0</v>
      </c>
      <c r="BI5" s="154">
        <f t="shared" si="14"/>
        <v>0</v>
      </c>
      <c r="BJ5" s="154">
        <f t="shared" si="15"/>
        <v>0</v>
      </c>
      <c r="BK5" s="154">
        <f t="shared" si="16"/>
        <v>0</v>
      </c>
      <c r="BL5" s="154">
        <f t="shared" si="17"/>
        <v>0</v>
      </c>
      <c r="BM5" s="155">
        <f t="shared" si="18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>
        <v>11</v>
      </c>
      <c r="BW5" s="140">
        <v>15.3</v>
      </c>
      <c r="BX5" s="140">
        <v>17.7</v>
      </c>
      <c r="BY5" s="140">
        <v>13.1</v>
      </c>
      <c r="BZ5" s="140">
        <v>11.6</v>
      </c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K5" s="134"/>
      <c r="CL5" s="134"/>
      <c r="CM5" s="156">
        <f t="shared" si="19"/>
        <v>18.319973977685201</v>
      </c>
      <c r="CN5" s="157">
        <f t="shared" si="20"/>
        <v>17.000954165573969</v>
      </c>
      <c r="CO5" s="157">
        <f t="shared" si="21"/>
        <v>13.745085251971926</v>
      </c>
      <c r="CP5" s="157">
        <f t="shared" si="22"/>
        <v>15.455296840715478</v>
      </c>
      <c r="CQ5" s="157">
        <f t="shared" si="23"/>
        <v>15.504226498387036</v>
      </c>
      <c r="CR5" s="157" t="str">
        <f t="shared" si="24"/>
        <v/>
      </c>
      <c r="CS5" s="157" t="str">
        <f t="shared" si="25"/>
        <v/>
      </c>
      <c r="CT5" s="157" t="str">
        <f t="shared" si="26"/>
        <v/>
      </c>
      <c r="CU5" s="158" t="str">
        <f t="shared" si="27"/>
        <v/>
      </c>
      <c r="CV5" s="158" t="str">
        <f t="shared" si="28"/>
        <v/>
      </c>
      <c r="CW5" s="158" t="str">
        <f t="shared" si="29"/>
        <v/>
      </c>
      <c r="CX5" s="158" t="str">
        <f t="shared" si="30"/>
        <v/>
      </c>
      <c r="CY5" s="143" t="str">
        <f t="shared" si="31"/>
        <v/>
      </c>
      <c r="CZ5" s="143" t="str">
        <f t="shared" si="32"/>
        <v/>
      </c>
      <c r="DA5" s="144" t="str">
        <f t="shared" si="33"/>
        <v/>
      </c>
    </row>
    <row r="6" spans="1:121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5" t="s">
        <v>128</v>
      </c>
      <c r="F6" s="213">
        <v>84</v>
      </c>
      <c r="G6" s="214">
        <v>87</v>
      </c>
      <c r="H6" s="214">
        <v>83</v>
      </c>
      <c r="I6" s="214">
        <v>78</v>
      </c>
      <c r="J6" s="214">
        <v>74</v>
      </c>
      <c r="K6" s="214">
        <v>69</v>
      </c>
      <c r="L6" s="214">
        <v>64</v>
      </c>
      <c r="M6" s="218">
        <v>60</v>
      </c>
      <c r="N6" s="213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5">
        <v>0</v>
      </c>
      <c r="P6" s="208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3"/>
        <v>75.5</v>
      </c>
      <c r="W6" s="81">
        <v>70</v>
      </c>
      <c r="X6" s="148">
        <v>5.5</v>
      </c>
      <c r="Z6" s="9" t="s">
        <v>174</v>
      </c>
      <c r="AA6" s="4">
        <v>14.23</v>
      </c>
      <c r="AB6" s="4">
        <v>213.83</v>
      </c>
      <c r="AC6" s="87">
        <v>45</v>
      </c>
      <c r="AD6" s="8">
        <v>40</v>
      </c>
      <c r="AE6" s="2">
        <v>43</v>
      </c>
      <c r="AH6" s="149">
        <f t="array" ref="AH6">IF(AH$1=0,"",SQRT((_xlfn.XLOOKUP(AH$1,$Z$2:$Z$18,$AA$2:$AA$18)-$T6)^2+(_xlfn.XLOOKUP(AH$1,$Z$2:$Z$18,$AB$2:$AB$18)-$U6)^2+(_xlfn.XLOOKUP(AH$1,$Z$2:$Z$18,$AC$2:$AC$18-$V6)^2)))</f>
        <v>41.23310078080474</v>
      </c>
      <c r="AI6" s="150">
        <f t="array" ref="AI6">IF(AI$1=0,"",SQRT((_xlfn.XLOOKUP(AI$1,$Z$2:$Z$18,$AA$2:$AA$18)-$T6)^2+(_xlfn.XLOOKUP(AI$1,$Z$2:$Z$18,$AB$2:$AB$18)-$U6)^2+(_xlfn.XLOOKUP(AI$1,$Z$2:$Z$18,$AC$2:$AC$18-$V6)^2)))</f>
        <v>67.636925565847534</v>
      </c>
      <c r="AJ6" s="150">
        <f t="array" ref="AJ6">IF(AJ$1=0,"",SQRT((_xlfn.XLOOKUP(AJ$1,$Z$2:$Z$18,$AA$2:$AA$18)-$T6)^2+(_xlfn.XLOOKUP(AJ$1,$Z$2:$Z$18,$AB$2:$AB$18)-$U6)^2+(_xlfn.XLOOKUP(AJ$1,$Z$2:$Z$18,$AC$2:$AC$18-$V6)^2)))</f>
        <v>165.94536600941888</v>
      </c>
      <c r="AK6" s="150">
        <f t="array" ref="AK6">IF(AK$1=0,"",SQRT((_xlfn.XLOOKUP(AK$1,$Z$2:$Z$18,$AA$2:$AA$18)-$T6)^2+(_xlfn.XLOOKUP(AK$1,$Z$2:$Z$18,$AB$2:$AB$18)-$U6)^2+(_xlfn.XLOOKUP(AK$1,$Z$2:$Z$18,$AC$2:$AC$18-$V6)^2)))</f>
        <v>249.00410538784294</v>
      </c>
      <c r="AL6" s="150">
        <f t="array" ref="AL6">IF(AL$1=0,"",SQRT((_xlfn.XLOOKUP(AL$1,$Z$2:$Z$18,$AA$2:$AA$18)-$T6)^2+(_xlfn.XLOOKUP(AL$1,$Z$2:$Z$18,$AB$2:$AB$18)-$U6)^2+(_xlfn.XLOOKUP(AL$1,$Z$2:$Z$18,$AC$2:$AC$18-$V6)^2)))</f>
        <v>131.29101416319398</v>
      </c>
      <c r="AM6" s="150" t="str">
        <f t="array" ref="AM6">IF(AM$1=0,"",SQRT((_xlfn.XLOOKUP(AM$1,$Z$2:$Z$18,$AA$2:$AA$18)-$T6)^2+(_xlfn.XLOOKUP(AM$1,$Z$2:$Z$18,$AB$2:$AB$18)-$U6)^2+(_xlfn.XLOOKUP(AM$1,$Z$2:$Z$18,$AC$2:$AC$18-$V6)^2)))</f>
        <v/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4"/>
        <v>-29.967017847297129</v>
      </c>
      <c r="AZ6" s="153">
        <f t="shared" si="5"/>
        <v>-34.265775107601165</v>
      </c>
      <c r="BA6" s="153">
        <f t="shared" si="6"/>
        <v>-42.061400523510564</v>
      </c>
      <c r="BB6" s="153">
        <f t="shared" si="7"/>
        <v>-45.586228086283938</v>
      </c>
      <c r="BC6" s="153">
        <f t="shared" si="8"/>
        <v>-40.026797998267341</v>
      </c>
      <c r="BD6" s="153">
        <f t="shared" si="9"/>
        <v>0</v>
      </c>
      <c r="BE6" s="153">
        <f t="shared" si="10"/>
        <v>0</v>
      </c>
      <c r="BF6" s="153">
        <f t="shared" si="11"/>
        <v>0</v>
      </c>
      <c r="BG6" s="154">
        <f t="shared" si="12"/>
        <v>0</v>
      </c>
      <c r="BH6" s="154">
        <f t="shared" si="13"/>
        <v>0</v>
      </c>
      <c r="BI6" s="154">
        <f t="shared" si="14"/>
        <v>0</v>
      </c>
      <c r="BJ6" s="154">
        <f t="shared" si="15"/>
        <v>0</v>
      </c>
      <c r="BK6" s="154">
        <f t="shared" si="16"/>
        <v>0</v>
      </c>
      <c r="BL6" s="154">
        <f t="shared" si="17"/>
        <v>0</v>
      </c>
      <c r="BM6" s="155">
        <f t="shared" si="18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201">
        <v>6.6</v>
      </c>
      <c r="BW6" s="140">
        <v>15.4</v>
      </c>
      <c r="BX6" s="140">
        <v>14.5</v>
      </c>
      <c r="BY6" s="140">
        <v>15.8</v>
      </c>
      <c r="BZ6" s="140">
        <v>9</v>
      </c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34"/>
      <c r="CL6" s="134"/>
      <c r="CM6" s="141">
        <f t="shared" si="19"/>
        <v>43.43298215270287</v>
      </c>
      <c r="CN6" s="142">
        <f t="shared" si="20"/>
        <v>30.334224892398836</v>
      </c>
      <c r="CO6" s="142">
        <f t="shared" si="21"/>
        <v>23.438599476489436</v>
      </c>
      <c r="CP6" s="142">
        <f t="shared" si="22"/>
        <v>18.613771913716061</v>
      </c>
      <c r="CQ6" s="142">
        <f t="shared" si="23"/>
        <v>30.973202001732659</v>
      </c>
      <c r="CR6" s="142" t="str">
        <f t="shared" si="24"/>
        <v/>
      </c>
      <c r="CS6" s="142" t="str">
        <f t="shared" si="25"/>
        <v/>
      </c>
      <c r="CT6" s="142" t="str">
        <f t="shared" si="26"/>
        <v/>
      </c>
      <c r="CU6" s="143" t="str">
        <f t="shared" si="27"/>
        <v/>
      </c>
      <c r="CV6" s="143" t="str">
        <f t="shared" si="28"/>
        <v/>
      </c>
      <c r="CW6" s="143" t="str">
        <f t="shared" si="29"/>
        <v/>
      </c>
      <c r="CX6" s="143" t="str">
        <f t="shared" si="30"/>
        <v/>
      </c>
      <c r="CY6" s="143" t="str">
        <f t="shared" si="31"/>
        <v/>
      </c>
      <c r="CZ6" s="143" t="str">
        <f t="shared" si="32"/>
        <v/>
      </c>
      <c r="DA6" s="144" t="str">
        <f t="shared" si="33"/>
        <v/>
      </c>
    </row>
    <row r="7" spans="1:121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5" t="s">
        <v>130</v>
      </c>
      <c r="F7" s="213">
        <v>73</v>
      </c>
      <c r="G7" s="214">
        <v>76</v>
      </c>
      <c r="H7" s="214">
        <v>75</v>
      </c>
      <c r="I7" s="214">
        <v>67</v>
      </c>
      <c r="J7" s="214">
        <v>61</v>
      </c>
      <c r="K7" s="214">
        <v>61</v>
      </c>
      <c r="L7" s="214">
        <v>56</v>
      </c>
      <c r="M7" s="218">
        <v>51</v>
      </c>
      <c r="N7" s="213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5">
        <v>0</v>
      </c>
      <c r="P7" s="208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3"/>
        <v>74</v>
      </c>
      <c r="W7" s="81">
        <v>70</v>
      </c>
      <c r="X7" s="148">
        <v>4</v>
      </c>
      <c r="Z7" s="9"/>
      <c r="AA7" s="4"/>
      <c r="AB7" s="4"/>
      <c r="AC7" s="87"/>
      <c r="AD7" s="8"/>
      <c r="AE7" s="2" t="str">
        <v/>
      </c>
      <c r="AH7" s="149">
        <f t="array" ref="AH7">IF(AH$1=0,"",SQRT((_xlfn.XLOOKUP(AH$1,$Z$2:$Z$18,$AA$2:$AA$18)-$T7)^2+(_xlfn.XLOOKUP(AH$1,$Z$2:$Z$18,$AB$2:$AB$18)-$U7)^2+(_xlfn.XLOOKUP(AH$1,$Z$2:$Z$18,$AC$2:$AC$18-$V7)^2)))</f>
        <v>57.696056191043077</v>
      </c>
      <c r="AI7" s="150">
        <f t="array" ref="AI7">IF(AI$1=0,"",SQRT((_xlfn.XLOOKUP(AI$1,$Z$2:$Z$18,$AA$2:$AA$18)-$T7)^2+(_xlfn.XLOOKUP(AI$1,$Z$2:$Z$18,$AB$2:$AB$18)-$U7)^2+(_xlfn.XLOOKUP(AI$1,$Z$2:$Z$18,$AC$2:$AC$18-$V7)^2)))</f>
        <v>61.644115696471793</v>
      </c>
      <c r="AJ7" s="150">
        <f t="array" ref="AJ7">IF(AJ$1=0,"",SQRT((_xlfn.XLOOKUP(AJ$1,$Z$2:$Z$18,$AA$2:$AA$18)-$T7)^2+(_xlfn.XLOOKUP(AJ$1,$Z$2:$Z$18,$AB$2:$AB$18)-$U7)^2+(_xlfn.XLOOKUP(AJ$1,$Z$2:$Z$18,$AC$2:$AC$18-$V7)^2)))</f>
        <v>151.86627011947056</v>
      </c>
      <c r="AK7" s="150">
        <f t="array" ref="AK7">IF(AK$1=0,"",SQRT((_xlfn.XLOOKUP(AK$1,$Z$2:$Z$18,$AA$2:$AA$18)-$T7)^2+(_xlfn.XLOOKUP(AK$1,$Z$2:$Z$18,$AB$2:$AB$18)-$U7)^2+(_xlfn.XLOOKUP(AK$1,$Z$2:$Z$18,$AC$2:$AC$18-$V7)^2)))</f>
        <v>231.82079501200923</v>
      </c>
      <c r="AL7" s="150">
        <f t="array" ref="AL7">IF(AL$1=0,"",SQRT((_xlfn.XLOOKUP(AL$1,$Z$2:$Z$18,$AA$2:$AA$18)-$T7)^2+(_xlfn.XLOOKUP(AL$1,$Z$2:$Z$18,$AB$2:$AB$18)-$U7)^2+(_xlfn.XLOOKUP(AL$1,$Z$2:$Z$18,$AC$2:$AC$18-$V7)^2)))</f>
        <v>137.54618169909335</v>
      </c>
      <c r="AM7" s="150" t="str">
        <f t="array" ref="AM7">IF(AM$1=0,"",SQRT((_xlfn.XLOOKUP(AM$1,$Z$2:$Z$18,$AA$2:$AA$18)-$T7)^2+(_xlfn.XLOOKUP(AM$1,$Z$2:$Z$18,$AB$2:$AB$18)-$U7)^2+(_xlfn.XLOOKUP(AM$1,$Z$2:$Z$18,$AC$2:$AC$18-$V7)^2)))</f>
        <v/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4"/>
        <v>-32.885020497099163</v>
      </c>
      <c r="AZ7" s="153">
        <f t="shared" si="5"/>
        <v>-33.45993047445851</v>
      </c>
      <c r="BA7" s="153">
        <f t="shared" si="6"/>
        <v>-41.291324470458648</v>
      </c>
      <c r="BB7" s="153">
        <f t="shared" si="7"/>
        <v>-44.965145754461844</v>
      </c>
      <c r="BC7" s="153">
        <f t="shared" si="8"/>
        <v>-40.431068713303148</v>
      </c>
      <c r="BD7" s="153">
        <f t="shared" si="9"/>
        <v>0</v>
      </c>
      <c r="BE7" s="153">
        <f t="shared" si="10"/>
        <v>0</v>
      </c>
      <c r="BF7" s="153">
        <f t="shared" si="11"/>
        <v>0</v>
      </c>
      <c r="BG7" s="154">
        <f t="shared" si="12"/>
        <v>0</v>
      </c>
      <c r="BH7" s="154">
        <f t="shared" si="13"/>
        <v>0</v>
      </c>
      <c r="BI7" s="154">
        <f t="shared" si="14"/>
        <v>0</v>
      </c>
      <c r="BJ7" s="154">
        <f t="shared" si="15"/>
        <v>0</v>
      </c>
      <c r="BK7" s="154">
        <f t="shared" si="16"/>
        <v>0</v>
      </c>
      <c r="BL7" s="154">
        <f t="shared" si="17"/>
        <v>0</v>
      </c>
      <c r="BM7" s="155">
        <f t="shared" si="18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>
        <v>9.9</v>
      </c>
      <c r="BW7" s="140">
        <v>16.100000000000001</v>
      </c>
      <c r="BX7" s="140">
        <v>14.7</v>
      </c>
      <c r="BY7" s="140">
        <v>15.6</v>
      </c>
      <c r="BZ7" s="140">
        <v>12.6</v>
      </c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34"/>
      <c r="CL7" s="134"/>
      <c r="CM7" s="156">
        <f t="shared" si="19"/>
        <v>28.214979502900839</v>
      </c>
      <c r="CN7" s="157">
        <f t="shared" si="20"/>
        <v>21.440069525541489</v>
      </c>
      <c r="CO7" s="157">
        <f t="shared" si="21"/>
        <v>15.008675529541353</v>
      </c>
      <c r="CP7" s="157">
        <f t="shared" si="22"/>
        <v>10.434854245538157</v>
      </c>
      <c r="CQ7" s="157">
        <f t="shared" si="23"/>
        <v>17.968931286696851</v>
      </c>
      <c r="CR7" s="157" t="str">
        <f t="shared" si="24"/>
        <v/>
      </c>
      <c r="CS7" s="157" t="str">
        <f t="shared" si="25"/>
        <v/>
      </c>
      <c r="CT7" s="157" t="str">
        <f t="shared" si="26"/>
        <v/>
      </c>
      <c r="CU7" s="158" t="str">
        <f t="shared" si="27"/>
        <v/>
      </c>
      <c r="CV7" s="158" t="str">
        <f t="shared" si="28"/>
        <v/>
      </c>
      <c r="CW7" s="158" t="str">
        <f t="shared" si="29"/>
        <v/>
      </c>
      <c r="CX7" s="158" t="str">
        <f t="shared" si="30"/>
        <v/>
      </c>
      <c r="CY7" s="143" t="str">
        <f t="shared" si="31"/>
        <v/>
      </c>
      <c r="CZ7" s="143" t="str">
        <f t="shared" si="32"/>
        <v/>
      </c>
      <c r="DA7" s="144" t="str">
        <f t="shared" si="33"/>
        <v/>
      </c>
    </row>
    <row r="8" spans="1:121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5" t="s">
        <v>133</v>
      </c>
      <c r="F8" s="213"/>
      <c r="G8" s="214"/>
      <c r="H8" s="214"/>
      <c r="I8" s="214"/>
      <c r="J8" s="214"/>
      <c r="K8" s="214"/>
      <c r="L8" s="214"/>
      <c r="M8" s="218"/>
      <c r="N8" s="213">
        <v>69.5</v>
      </c>
      <c r="O8" s="215">
        <v>5</v>
      </c>
      <c r="P8" s="208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3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112.8729604466898</v>
      </c>
      <c r="AI8" s="150">
        <f t="array" ref="AI8">IF(AI$1=0,"",SQRT((_xlfn.XLOOKUP(AI$1,$Z$2:$Z$18,$AA$2:$AA$18)-$T8)^2+(_xlfn.XLOOKUP(AI$1,$Z$2:$Z$18,$AB$2:$AB$18)-$U8)^2+(_xlfn.XLOOKUP(AI$1,$Z$2:$Z$18,$AC$2:$AC$18-$V8)^2)))</f>
        <v>77.772311911116532</v>
      </c>
      <c r="AJ8" s="150">
        <f t="array" ref="AJ8">IF(AJ$1=0,"",SQRT((_xlfn.XLOOKUP(AJ$1,$Z$2:$Z$18,$AA$2:$AA$18)-$T8)^2+(_xlfn.XLOOKUP(AJ$1,$Z$2:$Z$18,$AB$2:$AB$18)-$U8)^2+(_xlfn.XLOOKUP(AJ$1,$Z$2:$Z$18,$AC$2:$AC$18-$V8)^2)))</f>
        <v>115.64135289765508</v>
      </c>
      <c r="AK8" s="150">
        <f t="array" ref="AK8">IF(AK$1=0,"",SQRT((_xlfn.XLOOKUP(AK$1,$Z$2:$Z$18,$AA$2:$AA$18)-$T8)^2+(_xlfn.XLOOKUP(AK$1,$Z$2:$Z$18,$AB$2:$AB$18)-$U8)^2+(_xlfn.XLOOKUP(AK$1,$Z$2:$Z$18,$AC$2:$AC$18-$V8)^2)))</f>
        <v>179.21808084007597</v>
      </c>
      <c r="AL8" s="150">
        <f t="array" ref="AL8">IF(AL$1=0,"",SQRT((_xlfn.XLOOKUP(AL$1,$Z$2:$Z$18,$AA$2:$AA$18)-$T8)^2+(_xlfn.XLOOKUP(AL$1,$Z$2:$Z$18,$AB$2:$AB$18)-$U8)^2+(_xlfn.XLOOKUP(AL$1,$Z$2:$Z$18,$AC$2:$AC$18-$V8)^2)))</f>
        <v>168.49059024171055</v>
      </c>
      <c r="AM8" s="150" t="str">
        <f t="array" ref="AM8">IF(AM$1=0,"",SQRT((_xlfn.XLOOKUP(AM$1,$Z$2:$Z$18,$AA$2:$AA$18)-$T8)^2+(_xlfn.XLOOKUP(AM$1,$Z$2:$Z$18,$AB$2:$AB$18)-$U8)^2+(_xlfn.XLOOKUP(AM$1,$Z$2:$Z$18,$AC$2:$AC$18-$V8)^2)))</f>
        <v/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4"/>
        <v>-38.71389625545654</v>
      </c>
      <c r="AZ8" s="153">
        <f t="shared" si="5"/>
        <v>-35.47859812236559</v>
      </c>
      <c r="BA8" s="153">
        <f t="shared" si="6"/>
        <v>-38.924361214433219</v>
      </c>
      <c r="BB8" s="153">
        <f t="shared" si="7"/>
        <v>-42.729734384186166</v>
      </c>
      <c r="BC8" s="153">
        <f t="shared" si="8"/>
        <v>-42.19361097043123</v>
      </c>
      <c r="BD8" s="153">
        <f t="shared" si="9"/>
        <v>0</v>
      </c>
      <c r="BE8" s="153">
        <f t="shared" si="10"/>
        <v>0</v>
      </c>
      <c r="BF8" s="153">
        <f t="shared" si="11"/>
        <v>0</v>
      </c>
      <c r="BG8" s="154">
        <f t="shared" si="12"/>
        <v>0</v>
      </c>
      <c r="BH8" s="154">
        <f t="shared" si="13"/>
        <v>0</v>
      </c>
      <c r="BI8" s="154">
        <f t="shared" si="14"/>
        <v>0</v>
      </c>
      <c r="BJ8" s="154">
        <f t="shared" si="15"/>
        <v>0</v>
      </c>
      <c r="BK8" s="154">
        <f t="shared" si="16"/>
        <v>0</v>
      </c>
      <c r="BL8" s="154">
        <f t="shared" si="17"/>
        <v>0</v>
      </c>
      <c r="BM8" s="155">
        <f t="shared" si="18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>
        <v>5</v>
      </c>
      <c r="BW8" s="140">
        <v>8</v>
      </c>
      <c r="BX8" s="140">
        <v>11</v>
      </c>
      <c r="BY8" s="140">
        <v>9</v>
      </c>
      <c r="BZ8" s="140">
        <v>5</v>
      </c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K8" s="134"/>
      <c r="CL8" s="134"/>
      <c r="CM8" s="156">
        <f t="shared" ref="CM8:CM38" si="35">IF( CM$1= 0,"",$Q8-$S8+AY8-BV8)</f>
        <v>40.28610374454346</v>
      </c>
      <c r="CN8" s="157">
        <f t="shared" ref="CN8:CN38" si="36">IF( CN$1= 0,"",$Q8-$S8+AZ8-BW8)</f>
        <v>40.52140187763441</v>
      </c>
      <c r="CO8" s="157">
        <f t="shared" ref="CO8:CO38" si="37">IF( CO$1= 0,"",$Q8-$S8+BA8-BX8)</f>
        <v>34.075638785566781</v>
      </c>
      <c r="CP8" s="157">
        <f t="shared" ref="CP8:CP38" si="38">IF( CP$1= 0,"",$Q8-$S8+BB8-BY8)</f>
        <v>32.270265615813834</v>
      </c>
      <c r="CQ8" s="157">
        <f t="shared" ref="CQ8:CQ38" si="39">IF( CQ$1= 0,"",$Q8-$S8+BC8-BZ8)</f>
        <v>36.80638902956877</v>
      </c>
      <c r="CR8" s="157" t="str">
        <f t="shared" ref="CR8:CR38" si="40">IF( CR$1= 0,"",$Q8-$S8+BD8-CA8)</f>
        <v/>
      </c>
      <c r="CS8" s="157" t="str">
        <f t="shared" ref="CS8:CS38" si="41">IF( CS$1= 0,"",$Q8-$S8+BE8-CB8)</f>
        <v/>
      </c>
      <c r="CT8" s="157" t="str">
        <f t="shared" ref="CT8:CT38" si="42">IF( CT$1= 0,"",$Q8-$S8+BF8-CC8)</f>
        <v/>
      </c>
      <c r="CU8" s="158" t="str">
        <f t="shared" ref="CU8:CU38" si="43">IF( CU$1= 0,"",$Q8-$S8+BG8-CD8)</f>
        <v/>
      </c>
      <c r="CV8" s="158" t="str">
        <f t="shared" ref="CV8:CV38" si="44">IF( CV$1= 0,"",$Q8-$S8+BH8-CE8)</f>
        <v/>
      </c>
      <c r="CW8" s="158" t="str">
        <f t="shared" ref="CW8:CW38" si="45">IF( CW$1= 0,"",$Q8-$S8+BI8-CF8)</f>
        <v/>
      </c>
      <c r="CX8" s="158" t="str">
        <f t="shared" ref="CX8:CX38" si="46">IF( CX$1= 0,"",$Q8-$S8+BJ8-CG8)</f>
        <v/>
      </c>
      <c r="CY8" s="143" t="str">
        <f t="shared" ref="CY8:CY38" si="47">IF( CY$1= 0,"",$Q8-$S8+BK8-CH8)</f>
        <v/>
      </c>
      <c r="CZ8" s="143" t="str">
        <f t="shared" ref="CZ8:CZ38" si="48">IF( CZ$1= 0,"",$Q8-$S8+BL8-CI8)</f>
        <v/>
      </c>
      <c r="DA8" s="144" t="str">
        <f t="shared" ref="DA8:DA38" si="49">IF( DA$1= 0,"",$Q8-$S8+BM8-CJ8)</f>
        <v/>
      </c>
    </row>
    <row r="9" spans="1:121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5" t="s">
        <v>135</v>
      </c>
      <c r="F9" s="213"/>
      <c r="G9" s="214"/>
      <c r="H9" s="214"/>
      <c r="I9" s="214"/>
      <c r="J9" s="214"/>
      <c r="K9" s="214"/>
      <c r="L9" s="214"/>
      <c r="M9" s="218"/>
      <c r="N9" s="213">
        <v>66.5</v>
      </c>
      <c r="O9" s="215">
        <v>5</v>
      </c>
      <c r="P9" s="208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3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106.19895715118864</v>
      </c>
      <c r="AI9" s="150">
        <f t="array" ref="AI9">IF(AI$1=0,"",SQRT((_xlfn.XLOOKUP(AI$1,$Z$2:$Z$18,$AA$2:$AA$18)-$T9)^2+(_xlfn.XLOOKUP(AI$1,$Z$2:$Z$18,$AB$2:$AB$18)-$U9)^2+(_xlfn.XLOOKUP(AI$1,$Z$2:$Z$18,$AC$2:$AC$18-$V9)^2)))</f>
        <v>75.281939401160486</v>
      </c>
      <c r="AJ9" s="150">
        <f t="array" ref="AJ9">IF(AJ$1=0,"",SQRT((_xlfn.XLOOKUP(AJ$1,$Z$2:$Z$18,$AA$2:$AA$18)-$T9)^2+(_xlfn.XLOOKUP(AJ$1,$Z$2:$Z$18,$AB$2:$AB$18)-$U9)^2+(_xlfn.XLOOKUP(AJ$1,$Z$2:$Z$18,$AC$2:$AC$18-$V9)^2)))</f>
        <v>121.04597721527139</v>
      </c>
      <c r="AK9" s="150">
        <f t="array" ref="AK9">IF(AK$1=0,"",SQRT((_xlfn.XLOOKUP(AK$1,$Z$2:$Z$18,$AA$2:$AA$18)-$T9)^2+(_xlfn.XLOOKUP(AK$1,$Z$2:$Z$18,$AB$2:$AB$18)-$U9)^2+(_xlfn.XLOOKUP(AK$1,$Z$2:$Z$18,$AC$2:$AC$18-$V9)^2)))</f>
        <v>186.26156769446564</v>
      </c>
      <c r="AL9" s="150">
        <f t="array" ref="AL9">IF(AL$1=0,"",SQRT((_xlfn.XLOOKUP(AL$1,$Z$2:$Z$18,$AA$2:$AA$18)-$T9)^2+(_xlfn.XLOOKUP(AL$1,$Z$2:$Z$18,$AB$2:$AB$18)-$U9)^2+(_xlfn.XLOOKUP(AL$1,$Z$2:$Z$18,$AC$2:$AC$18-$V9)^2)))</f>
        <v>162.48650559354152</v>
      </c>
      <c r="AM9" s="150" t="str">
        <f t="array" ref="AM9">IF(AM$1=0,"",SQRT((_xlfn.XLOOKUP(AM$1,$Z$2:$Z$18,$AA$2:$AA$18)-$T9)^2+(_xlfn.XLOOKUP(AM$1,$Z$2:$Z$18,$AB$2:$AB$18)-$U9)^2+(_xlfn.XLOOKUP(AM$1,$Z$2:$Z$18,$AC$2:$AC$18-$V9)^2)))</f>
        <v/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4"/>
        <v>-38.184502978864401</v>
      </c>
      <c r="AZ9" s="153">
        <f t="shared" si="5"/>
        <v>-35.19591391268434</v>
      </c>
      <c r="BA9" s="153">
        <f t="shared" si="6"/>
        <v>-39.321105154537854</v>
      </c>
      <c r="BB9" s="153">
        <f t="shared" si="7"/>
        <v>-43.064563015526566</v>
      </c>
      <c r="BC9" s="153">
        <f t="shared" si="8"/>
        <v>-41.878443915278005</v>
      </c>
      <c r="BD9" s="153">
        <f t="shared" si="9"/>
        <v>0</v>
      </c>
      <c r="BE9" s="153">
        <f t="shared" si="10"/>
        <v>0</v>
      </c>
      <c r="BF9" s="153">
        <f t="shared" si="11"/>
        <v>0</v>
      </c>
      <c r="BG9" s="154">
        <f t="shared" si="12"/>
        <v>0</v>
      </c>
      <c r="BH9" s="154">
        <f t="shared" si="13"/>
        <v>0</v>
      </c>
      <c r="BI9" s="154">
        <f t="shared" si="14"/>
        <v>0</v>
      </c>
      <c r="BJ9" s="154">
        <f t="shared" si="15"/>
        <v>0</v>
      </c>
      <c r="BK9" s="154">
        <f t="shared" si="16"/>
        <v>0</v>
      </c>
      <c r="BL9" s="154">
        <f t="shared" si="17"/>
        <v>0</v>
      </c>
      <c r="BM9" s="155">
        <f t="shared" si="18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>
        <v>5</v>
      </c>
      <c r="BW9" s="140">
        <v>10</v>
      </c>
      <c r="BX9" s="140">
        <v>11</v>
      </c>
      <c r="BY9" s="140">
        <v>10</v>
      </c>
      <c r="BZ9" s="140">
        <v>5</v>
      </c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K9" s="134"/>
      <c r="CL9" s="134"/>
      <c r="CM9" s="156">
        <f t="shared" si="35"/>
        <v>37.815497021135599</v>
      </c>
      <c r="CN9" s="157">
        <f t="shared" si="36"/>
        <v>35.80408608731566</v>
      </c>
      <c r="CO9" s="157">
        <f t="shared" si="37"/>
        <v>30.678894845462146</v>
      </c>
      <c r="CP9" s="157">
        <f t="shared" si="38"/>
        <v>27.935436984473434</v>
      </c>
      <c r="CQ9" s="157">
        <f t="shared" si="39"/>
        <v>34.121556084721995</v>
      </c>
      <c r="CR9" s="157" t="str">
        <f t="shared" si="40"/>
        <v/>
      </c>
      <c r="CS9" s="157" t="str">
        <f t="shared" si="41"/>
        <v/>
      </c>
      <c r="CT9" s="157" t="str">
        <f t="shared" si="42"/>
        <v/>
      </c>
      <c r="CU9" s="158" t="str">
        <f t="shared" si="43"/>
        <v/>
      </c>
      <c r="CV9" s="158" t="str">
        <f t="shared" si="44"/>
        <v/>
      </c>
      <c r="CW9" s="158" t="str">
        <f t="shared" si="45"/>
        <v/>
      </c>
      <c r="CX9" s="158" t="str">
        <f t="shared" si="46"/>
        <v/>
      </c>
      <c r="CY9" s="143" t="str">
        <f t="shared" si="47"/>
        <v/>
      </c>
      <c r="CZ9" s="143" t="str">
        <f t="shared" si="48"/>
        <v/>
      </c>
      <c r="DA9" s="144" t="str">
        <f t="shared" si="49"/>
        <v/>
      </c>
    </row>
    <row r="10" spans="1:121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5" t="s">
        <v>137</v>
      </c>
      <c r="F10" s="213"/>
      <c r="G10" s="214"/>
      <c r="H10" s="214"/>
      <c r="I10" s="214"/>
      <c r="J10" s="214"/>
      <c r="K10" s="214"/>
      <c r="L10" s="214"/>
      <c r="M10" s="218"/>
      <c r="N10" s="213">
        <v>58</v>
      </c>
      <c r="O10" s="215">
        <v>5</v>
      </c>
      <c r="P10" s="208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3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119.83147541443358</v>
      </c>
      <c r="AI10" s="150">
        <f t="array" ref="AI10">IF(AI$1=0,"",SQRT((_xlfn.XLOOKUP(AI$1,$Z$2:$Z$18,$AA$2:$AA$18)-$T10)^2+(_xlfn.XLOOKUP(AI$1,$Z$2:$Z$18,$AB$2:$AB$18)-$U10)^2+(_xlfn.XLOOKUP(AI$1,$Z$2:$Z$18,$AC$2:$AC$18-$V10)^2)))</f>
        <v>84.000240475846255</v>
      </c>
      <c r="AJ10" s="150">
        <f t="array" ref="AJ10">IF(AJ$1=0,"",SQRT((_xlfn.XLOOKUP(AJ$1,$Z$2:$Z$18,$AA$2:$AA$18)-$T10)^2+(_xlfn.XLOOKUP(AJ$1,$Z$2:$Z$18,$AB$2:$AB$18)-$U10)^2+(_xlfn.XLOOKUP(AJ$1,$Z$2:$Z$18,$AC$2:$AC$18-$V10)^2)))</f>
        <v>115.25239520287636</v>
      </c>
      <c r="AK10" s="150">
        <f t="array" ref="AK10">IF(AK$1=0,"",SQRT((_xlfn.XLOOKUP(AK$1,$Z$2:$Z$18,$AA$2:$AA$18)-$T10)^2+(_xlfn.XLOOKUP(AK$1,$Z$2:$Z$18,$AB$2:$AB$18)-$U10)^2+(_xlfn.XLOOKUP(AK$1,$Z$2:$Z$18,$AC$2:$AC$18-$V10)^2)))</f>
        <v>173.78146506460348</v>
      </c>
      <c r="AL10" s="150">
        <f t="array" ref="AL10">IF(AL$1=0,"",SQRT((_xlfn.XLOOKUP(AL$1,$Z$2:$Z$18,$AA$2:$AA$18)-$T10)^2+(_xlfn.XLOOKUP(AL$1,$Z$2:$Z$18,$AB$2:$AB$18)-$U10)^2+(_xlfn.XLOOKUP(AL$1,$Z$2:$Z$18,$AC$2:$AC$18-$V10)^2)))</f>
        <v>170.50656438976185</v>
      </c>
      <c r="AM10" s="150" t="str">
        <f t="array" ref="AM10">IF(AM$1=0,"",SQRT((_xlfn.XLOOKUP(AM$1,$Z$2:$Z$18,$AA$2:$AA$18)-$T10)^2+(_xlfn.XLOOKUP(AM$1,$Z$2:$Z$18,$AB$2:$AB$18)-$U10)^2+(_xlfn.XLOOKUP(AM$1,$Z$2:$Z$18,$AC$2:$AC$18-$V10)^2)))</f>
        <v/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4"/>
        <v>-39.233516068180428</v>
      </c>
      <c r="AZ10" s="153">
        <f t="shared" si="5"/>
        <v>-36.147708524166127</v>
      </c>
      <c r="BA10" s="153">
        <f t="shared" si="6"/>
        <v>-38.89509713228032</v>
      </c>
      <c r="BB10" s="153">
        <f t="shared" si="7"/>
        <v>-42.462167021369211</v>
      </c>
      <c r="BC10" s="153">
        <f t="shared" si="8"/>
        <v>-42.296920010936347</v>
      </c>
      <c r="BD10" s="153">
        <f t="shared" si="9"/>
        <v>0</v>
      </c>
      <c r="BE10" s="153">
        <f t="shared" si="10"/>
        <v>0</v>
      </c>
      <c r="BF10" s="153">
        <f t="shared" si="11"/>
        <v>0</v>
      </c>
      <c r="BG10" s="154">
        <f t="shared" si="12"/>
        <v>0</v>
      </c>
      <c r="BH10" s="154">
        <f t="shared" si="13"/>
        <v>0</v>
      </c>
      <c r="BI10" s="154">
        <f t="shared" si="14"/>
        <v>0</v>
      </c>
      <c r="BJ10" s="154">
        <f t="shared" si="15"/>
        <v>0</v>
      </c>
      <c r="BK10" s="154">
        <f t="shared" si="16"/>
        <v>0</v>
      </c>
      <c r="BL10" s="154">
        <f t="shared" si="17"/>
        <v>0</v>
      </c>
      <c r="BM10" s="155">
        <f t="shared" si="18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>
        <v>5</v>
      </c>
      <c r="BW10" s="140">
        <v>10</v>
      </c>
      <c r="BX10" s="140">
        <v>12</v>
      </c>
      <c r="BY10" s="140">
        <v>9</v>
      </c>
      <c r="BZ10" s="140">
        <v>5</v>
      </c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K10" s="134"/>
      <c r="CL10" s="134"/>
      <c r="CM10" s="156">
        <f t="shared" si="35"/>
        <v>28.766483931819572</v>
      </c>
      <c r="CN10" s="157">
        <f t="shared" si="36"/>
        <v>26.852291475833873</v>
      </c>
      <c r="CO10" s="157">
        <f t="shared" si="37"/>
        <v>22.10490286771968</v>
      </c>
      <c r="CP10" s="157">
        <f t="shared" si="38"/>
        <v>21.537832978630789</v>
      </c>
      <c r="CQ10" s="157">
        <f t="shared" si="39"/>
        <v>25.703079989063653</v>
      </c>
      <c r="CR10" s="157" t="str">
        <f t="shared" si="40"/>
        <v/>
      </c>
      <c r="CS10" s="157" t="str">
        <f t="shared" si="41"/>
        <v/>
      </c>
      <c r="CT10" s="157" t="str">
        <f t="shared" si="42"/>
        <v/>
      </c>
      <c r="CU10" s="158" t="str">
        <f t="shared" si="43"/>
        <v/>
      </c>
      <c r="CV10" s="158" t="str">
        <f t="shared" si="44"/>
        <v/>
      </c>
      <c r="CW10" s="158" t="str">
        <f t="shared" si="45"/>
        <v/>
      </c>
      <c r="CX10" s="158" t="str">
        <f t="shared" si="46"/>
        <v/>
      </c>
      <c r="CY10" s="143" t="str">
        <f t="shared" si="47"/>
        <v/>
      </c>
      <c r="CZ10" s="143" t="str">
        <f t="shared" si="48"/>
        <v/>
      </c>
      <c r="DA10" s="144" t="str">
        <f t="shared" si="49"/>
        <v/>
      </c>
    </row>
    <row r="11" spans="1:121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5" t="s">
        <v>139</v>
      </c>
      <c r="F11" s="213"/>
      <c r="G11" s="214"/>
      <c r="H11" s="214"/>
      <c r="I11" s="214"/>
      <c r="J11" s="214"/>
      <c r="K11" s="214"/>
      <c r="L11" s="214"/>
      <c r="M11" s="218"/>
      <c r="N11" s="213">
        <v>60</v>
      </c>
      <c r="O11" s="215">
        <v>5</v>
      </c>
      <c r="P11" s="208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3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83.683269534596931</v>
      </c>
      <c r="AI11" s="150">
        <f t="array" ref="AI11">IF(AI$1=0,"",SQRT((_xlfn.XLOOKUP(AI$1,$Z$2:$Z$18,$AA$2:$AA$18)-$T11)^2+(_xlfn.XLOOKUP(AI$1,$Z$2:$Z$18,$AB$2:$AB$18)-$U11)^2+(_xlfn.XLOOKUP(AI$1,$Z$2:$Z$18,$AC$2:$AC$18-$V11)^2)))</f>
        <v>61.662816186093863</v>
      </c>
      <c r="AJ11" s="150">
        <f t="array" ref="AJ11">IF(AJ$1=0,"",SQRT((_xlfn.XLOOKUP(AJ$1,$Z$2:$Z$18,$AA$2:$AA$18)-$T11)^2+(_xlfn.XLOOKUP(AJ$1,$Z$2:$Z$18,$AB$2:$AB$18)-$U11)^2+(_xlfn.XLOOKUP(AJ$1,$Z$2:$Z$18,$AC$2:$AC$18-$V11)^2)))</f>
        <v>130.48861751126032</v>
      </c>
      <c r="AK11" s="150">
        <f t="array" ref="AK11">IF(AK$1=0,"",SQRT((_xlfn.XLOOKUP(AK$1,$Z$2:$Z$18,$AA$2:$AA$18)-$T11)^2+(_xlfn.XLOOKUP(AK$1,$Z$2:$Z$18,$AB$2:$AB$18)-$U11)^2+(_xlfn.XLOOKUP(AK$1,$Z$2:$Z$18,$AC$2:$AC$18-$V11)^2)))</f>
        <v>205.9662625285996</v>
      </c>
      <c r="AL11" s="150">
        <f t="array" ref="AL11">IF(AL$1=0,"",SQRT((_xlfn.XLOOKUP(AL$1,$Z$2:$Z$18,$AA$2:$AA$18)-$T11)^2+(_xlfn.XLOOKUP(AL$1,$Z$2:$Z$18,$AB$2:$AB$18)-$U11)^2+(_xlfn.XLOOKUP(AL$1,$Z$2:$Z$18,$AC$2:$AC$18-$V11)^2)))</f>
        <v>153.58843771586456</v>
      </c>
      <c r="AM11" s="150" t="str">
        <f t="array" ref="AM11">IF(AM$1=0,"",SQRT((_xlfn.XLOOKUP(AM$1,$Z$2:$Z$18,$AA$2:$AA$18)-$T11)^2+(_xlfn.XLOOKUP(AM$1,$Z$2:$Z$18,$AB$2:$AB$18)-$U11)^2+(_xlfn.XLOOKUP(AM$1,$Z$2:$Z$18,$AC$2:$AC$18-$V11)^2)))</f>
        <v/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4"/>
        <v>-36.114870734770832</v>
      </c>
      <c r="AZ11" s="153">
        <f t="shared" si="5"/>
        <v>-33.462565044758826</v>
      </c>
      <c r="BA11" s="153">
        <f t="shared" si="6"/>
        <v>-39.973550535529917</v>
      </c>
      <c r="BB11" s="153">
        <f t="shared" si="7"/>
        <v>-43.938019703771531</v>
      </c>
      <c r="BC11" s="153">
        <f t="shared" si="8"/>
        <v>-41.389268393394005</v>
      </c>
      <c r="BD11" s="153">
        <f t="shared" si="9"/>
        <v>0</v>
      </c>
      <c r="BE11" s="153">
        <f t="shared" si="10"/>
        <v>0</v>
      </c>
      <c r="BF11" s="153">
        <f t="shared" si="11"/>
        <v>0</v>
      </c>
      <c r="BG11" s="154">
        <f t="shared" si="12"/>
        <v>0</v>
      </c>
      <c r="BH11" s="154">
        <f t="shared" si="13"/>
        <v>0</v>
      </c>
      <c r="BI11" s="154">
        <f t="shared" si="14"/>
        <v>0</v>
      </c>
      <c r="BJ11" s="154">
        <f t="shared" si="15"/>
        <v>0</v>
      </c>
      <c r="BK11" s="154">
        <f t="shared" si="16"/>
        <v>0</v>
      </c>
      <c r="BL11" s="154">
        <f t="shared" si="17"/>
        <v>0</v>
      </c>
      <c r="BM11" s="155">
        <f t="shared" si="18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>
        <v>4</v>
      </c>
      <c r="BW11" s="140">
        <v>8</v>
      </c>
      <c r="BX11" s="140">
        <v>11</v>
      </c>
      <c r="BY11" s="140">
        <v>11</v>
      </c>
      <c r="BZ11" s="140">
        <v>7</v>
      </c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K11" s="134"/>
      <c r="CL11" s="134"/>
      <c r="CM11" s="156">
        <f t="shared" si="35"/>
        <v>34.885129265229168</v>
      </c>
      <c r="CN11" s="157">
        <f t="shared" si="36"/>
        <v>33.537434955241174</v>
      </c>
      <c r="CO11" s="157">
        <f t="shared" si="37"/>
        <v>24.026449464470083</v>
      </c>
      <c r="CP11" s="157">
        <f t="shared" si="38"/>
        <v>20.061980296228469</v>
      </c>
      <c r="CQ11" s="157">
        <f t="shared" si="39"/>
        <v>26.610731606605995</v>
      </c>
      <c r="CR11" s="157" t="str">
        <f t="shared" si="40"/>
        <v/>
      </c>
      <c r="CS11" s="157" t="str">
        <f t="shared" si="41"/>
        <v/>
      </c>
      <c r="CT11" s="157" t="str">
        <f t="shared" si="42"/>
        <v/>
      </c>
      <c r="CU11" s="158" t="str">
        <f t="shared" si="43"/>
        <v/>
      </c>
      <c r="CV11" s="158" t="str">
        <f t="shared" si="44"/>
        <v/>
      </c>
      <c r="CW11" s="158" t="str">
        <f t="shared" si="45"/>
        <v/>
      </c>
      <c r="CX11" s="158" t="str">
        <f t="shared" si="46"/>
        <v/>
      </c>
      <c r="CY11" s="143" t="str">
        <f t="shared" si="47"/>
        <v/>
      </c>
      <c r="CZ11" s="143" t="str">
        <f t="shared" si="48"/>
        <v/>
      </c>
      <c r="DA11" s="144" t="str">
        <f t="shared" si="49"/>
        <v/>
      </c>
    </row>
    <row r="12" spans="1:121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5" t="s">
        <v>140</v>
      </c>
      <c r="F12" s="213"/>
      <c r="G12" s="214"/>
      <c r="H12" s="214"/>
      <c r="I12" s="214"/>
      <c r="J12" s="214"/>
      <c r="K12" s="214"/>
      <c r="L12" s="214"/>
      <c r="M12" s="218"/>
      <c r="N12" s="213">
        <v>58</v>
      </c>
      <c r="O12" s="215">
        <v>5</v>
      </c>
      <c r="P12" s="208">
        <v>1</v>
      </c>
      <c r="Q12" s="128">
        <f t="shared" si="34"/>
        <v>73</v>
      </c>
      <c r="R12" s="3">
        <v>2</v>
      </c>
      <c r="S12" s="3"/>
      <c r="T12" s="4">
        <v>230.36</v>
      </c>
      <c r="U12" s="4">
        <v>44.95</v>
      </c>
      <c r="V12" s="109">
        <f t="shared" si="3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201.433798802485</v>
      </c>
      <c r="AI12" s="150">
        <f t="array" ref="AI12">IF(AI$1=0,"",SQRT((_xlfn.XLOOKUP(AI$1,$Z$2:$Z$18,$AA$2:$AA$18)-$T12)^2+(_xlfn.XLOOKUP(AI$1,$Z$2:$Z$18,$AB$2:$AB$18)-$U12)^2+(_xlfn.XLOOKUP(AI$1,$Z$2:$Z$18,$AC$2:$AC$18-$V12)^2)))</f>
        <v>130.49022951930158</v>
      </c>
      <c r="AJ12" s="150">
        <f t="array" ref="AJ12">IF(AJ$1=0,"",SQRT((_xlfn.XLOOKUP(AJ$1,$Z$2:$Z$18,$AA$2:$AA$18)-$T12)^2+(_xlfn.XLOOKUP(AJ$1,$Z$2:$Z$18,$AB$2:$AB$18)-$U12)^2+(_xlfn.XLOOKUP(AJ$1,$Z$2:$Z$18,$AC$2:$AC$18-$V12)^2)))</f>
        <v>29.634861227952474</v>
      </c>
      <c r="AK12" s="150">
        <f t="array" ref="AK12">IF(AK$1=0,"",SQRT((_xlfn.XLOOKUP(AK$1,$Z$2:$Z$18,$AA$2:$AA$18)-$T12)^2+(_xlfn.XLOOKUP(AK$1,$Z$2:$Z$18,$AB$2:$AB$18)-$U12)^2+(_xlfn.XLOOKUP(AK$1,$Z$2:$Z$18,$AC$2:$AC$18-$V12)^2)))</f>
        <v>101.82735388882497</v>
      </c>
      <c r="AL12" s="150">
        <f t="array" ref="AL12">IF(AL$1=0,"",SQRT((_xlfn.XLOOKUP(AL$1,$Z$2:$Z$18,$AA$2:$AA$18)-$T12)^2+(_xlfn.XLOOKUP(AL$1,$Z$2:$Z$18,$AB$2:$AB$18)-$U12)^2+(_xlfn.XLOOKUP(AL$1,$Z$2:$Z$18,$AC$2:$AC$18-$V12)^2)))</f>
        <v>275.81448711044897</v>
      </c>
      <c r="AM12" s="150" t="str">
        <f t="array" ref="AM12">IF(AM$1=0,"",SQRT((_xlfn.XLOOKUP(AM$1,$Z$2:$Z$18,$AA$2:$AA$18)-$T12)^2+(_xlfn.XLOOKUP(AM$1,$Z$2:$Z$18,$AB$2:$AB$18)-$U12)^2+(_xlfn.XLOOKUP(AM$1,$Z$2:$Z$18,$AC$2:$AC$18-$V12)^2)))</f>
        <v/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4"/>
        <v>-43.744744798709725</v>
      </c>
      <c r="AZ12" s="153">
        <f t="shared" si="5"/>
        <v>-39.973657837130041</v>
      </c>
      <c r="BA12" s="153">
        <f t="shared" si="6"/>
        <v>-27.098155894854209</v>
      </c>
      <c r="BB12" s="153">
        <f t="shared" si="7"/>
        <v>-37.819387101508653</v>
      </c>
      <c r="BC12" s="153">
        <f t="shared" si="8"/>
        <v>-46.474439410631803</v>
      </c>
      <c r="BD12" s="153">
        <f t="shared" si="9"/>
        <v>0</v>
      </c>
      <c r="BE12" s="153">
        <f t="shared" si="10"/>
        <v>0</v>
      </c>
      <c r="BF12" s="153">
        <f t="shared" si="11"/>
        <v>0</v>
      </c>
      <c r="BG12" s="154">
        <f t="shared" si="12"/>
        <v>0</v>
      </c>
      <c r="BH12" s="154">
        <f t="shared" si="13"/>
        <v>0</v>
      </c>
      <c r="BI12" s="154">
        <f t="shared" si="14"/>
        <v>0</v>
      </c>
      <c r="BJ12" s="154">
        <f t="shared" si="15"/>
        <v>0</v>
      </c>
      <c r="BK12" s="154">
        <f t="shared" si="16"/>
        <v>0</v>
      </c>
      <c r="BL12" s="154">
        <f t="shared" si="17"/>
        <v>0</v>
      </c>
      <c r="BM12" s="155">
        <f t="shared" si="18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>
        <v>2</v>
      </c>
      <c r="BW12" s="140">
        <v>13</v>
      </c>
      <c r="BX12" s="140">
        <v>12</v>
      </c>
      <c r="BY12" s="140">
        <v>7</v>
      </c>
      <c r="BZ12" s="140">
        <v>10</v>
      </c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  <c r="CK12" s="134"/>
      <c r="CL12" s="134"/>
      <c r="CM12" s="156">
        <f t="shared" si="35"/>
        <v>27.255255201290275</v>
      </c>
      <c r="CN12" s="157">
        <f t="shared" si="36"/>
        <v>20.026342162869959</v>
      </c>
      <c r="CO12" s="157">
        <f t="shared" si="37"/>
        <v>33.901844105145791</v>
      </c>
      <c r="CP12" s="157">
        <f t="shared" si="38"/>
        <v>28.180612898491347</v>
      </c>
      <c r="CQ12" s="157">
        <f t="shared" si="39"/>
        <v>16.525560589368197</v>
      </c>
      <c r="CR12" s="157" t="str">
        <f t="shared" si="40"/>
        <v/>
      </c>
      <c r="CS12" s="157" t="str">
        <f t="shared" si="41"/>
        <v/>
      </c>
      <c r="CT12" s="157" t="str">
        <f t="shared" si="42"/>
        <v/>
      </c>
      <c r="CU12" s="158" t="str">
        <f t="shared" si="43"/>
        <v/>
      </c>
      <c r="CV12" s="158" t="str">
        <f t="shared" si="44"/>
        <v/>
      </c>
      <c r="CW12" s="158" t="str">
        <f t="shared" si="45"/>
        <v/>
      </c>
      <c r="CX12" s="158" t="str">
        <f t="shared" si="46"/>
        <v/>
      </c>
      <c r="CY12" s="143" t="str">
        <f t="shared" si="47"/>
        <v/>
      </c>
      <c r="CZ12" s="143" t="str">
        <f t="shared" si="48"/>
        <v/>
      </c>
      <c r="DA12" s="144" t="str">
        <f t="shared" si="49"/>
        <v/>
      </c>
    </row>
    <row r="13" spans="1:121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5" t="s">
        <v>140</v>
      </c>
      <c r="F13" s="213"/>
      <c r="G13" s="214"/>
      <c r="H13" s="214"/>
      <c r="I13" s="214"/>
      <c r="J13" s="214"/>
      <c r="K13" s="214"/>
      <c r="L13" s="214"/>
      <c r="M13" s="218"/>
      <c r="N13" s="213">
        <v>58</v>
      </c>
      <c r="O13" s="215">
        <v>5</v>
      </c>
      <c r="P13" s="208">
        <v>1</v>
      </c>
      <c r="Q13" s="128">
        <f t="shared" si="34"/>
        <v>73</v>
      </c>
      <c r="R13" s="3">
        <v>2</v>
      </c>
      <c r="S13" s="3"/>
      <c r="T13" s="4">
        <v>169.49</v>
      </c>
      <c r="U13" s="4">
        <v>137.19</v>
      </c>
      <c r="V13" s="109">
        <f t="shared" si="3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145.92336687453454</v>
      </c>
      <c r="AI13" s="150">
        <f t="array" ref="AI13">IF(AI$1=0,"",SQRT((_xlfn.XLOOKUP(AI$1,$Z$2:$Z$18,$AA$2:$AA$18)-$T13)^2+(_xlfn.XLOOKUP(AI$1,$Z$2:$Z$18,$AB$2:$AB$18)-$U13)^2+(_xlfn.XLOOKUP(AI$1,$Z$2:$Z$18,$AC$2:$AC$18-$V13)^2)))</f>
        <v>111.76248610334328</v>
      </c>
      <c r="AJ13" s="150">
        <f t="array" ref="AJ13">IF(AJ$1=0,"",SQRT((_xlfn.XLOOKUP(AJ$1,$Z$2:$Z$18,$AA$2:$AA$18)-$T13)^2+(_xlfn.XLOOKUP(AJ$1,$Z$2:$Z$18,$AB$2:$AB$18)-$U13)^2+(_xlfn.XLOOKUP(AJ$1,$Z$2:$Z$18,$AC$2:$AC$18-$V13)^2)))</f>
        <v>124.93176737723675</v>
      </c>
      <c r="AK13" s="150">
        <f t="array" ref="AK13">IF(AK$1=0,"",SQRT((_xlfn.XLOOKUP(AK$1,$Z$2:$Z$18,$AA$2:$AA$18)-$T13)^2+(_xlfn.XLOOKUP(AK$1,$Z$2:$Z$18,$AB$2:$AB$18)-$U13)^2+(_xlfn.XLOOKUP(AK$1,$Z$2:$Z$18,$AC$2:$AC$18-$V13)^2)))</f>
        <v>159.4939701054557</v>
      </c>
      <c r="AL13" s="150">
        <f t="array" ref="AL13">IF(AL$1=0,"",SQRT((_xlfn.XLOOKUP(AL$1,$Z$2:$Z$18,$AA$2:$AA$18)-$T13)^2+(_xlfn.XLOOKUP(AL$1,$Z$2:$Z$18,$AB$2:$AB$18)-$U13)^2+(_xlfn.XLOOKUP(AL$1,$Z$2:$Z$18,$AC$2:$AC$18-$V13)^2)))</f>
        <v>175.55727612377677</v>
      </c>
      <c r="AM13" s="150" t="str">
        <f t="array" ref="AM13">IF(AM$1=0,"",SQRT((_xlfn.XLOOKUP(AM$1,$Z$2:$Z$18,$AA$2:$AA$18)-$T13)^2+(_xlfn.XLOOKUP(AM$1,$Z$2:$Z$18,$AB$2:$AB$18)-$U13)^2+(_xlfn.XLOOKUP(AM$1,$Z$2:$Z$18,$AC$2:$AC$18-$V13)^2)))</f>
        <v/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4"/>
        <v>-40.944594767551621</v>
      </c>
      <c r="AZ13" s="153">
        <f t="shared" si="5"/>
        <v>-38.628019014687453</v>
      </c>
      <c r="BA13" s="153">
        <f t="shared" si="6"/>
        <v>-39.595555614332</v>
      </c>
      <c r="BB13" s="153">
        <f t="shared" si="7"/>
        <v>-41.716983308692434</v>
      </c>
      <c r="BC13" s="153">
        <f t="shared" si="8"/>
        <v>-42.550474614659713</v>
      </c>
      <c r="BD13" s="153">
        <f t="shared" si="9"/>
        <v>0</v>
      </c>
      <c r="BE13" s="153">
        <f t="shared" si="10"/>
        <v>0</v>
      </c>
      <c r="BF13" s="153">
        <f t="shared" si="11"/>
        <v>0</v>
      </c>
      <c r="BG13" s="154">
        <f t="shared" si="12"/>
        <v>0</v>
      </c>
      <c r="BH13" s="154">
        <f t="shared" si="13"/>
        <v>0</v>
      </c>
      <c r="BI13" s="154">
        <f t="shared" si="14"/>
        <v>0</v>
      </c>
      <c r="BJ13" s="154">
        <f t="shared" si="15"/>
        <v>0</v>
      </c>
      <c r="BK13" s="154">
        <f t="shared" si="16"/>
        <v>0</v>
      </c>
      <c r="BL13" s="154">
        <f t="shared" si="17"/>
        <v>0</v>
      </c>
      <c r="BM13" s="155">
        <f t="shared" si="18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>
        <v>8</v>
      </c>
      <c r="BW13" s="140">
        <v>14</v>
      </c>
      <c r="BX13" s="140">
        <v>15</v>
      </c>
      <c r="BY13" s="140">
        <v>8</v>
      </c>
      <c r="BZ13" s="140">
        <v>4</v>
      </c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K13" s="134"/>
      <c r="CL13" s="134"/>
      <c r="CM13" s="156">
        <f t="shared" si="35"/>
        <v>24.055405232448379</v>
      </c>
      <c r="CN13" s="157">
        <f t="shared" si="36"/>
        <v>20.371980985312547</v>
      </c>
      <c r="CO13" s="157">
        <f t="shared" si="37"/>
        <v>18.404444385668</v>
      </c>
      <c r="CP13" s="157">
        <f t="shared" si="38"/>
        <v>23.283016691307566</v>
      </c>
      <c r="CQ13" s="157">
        <f t="shared" si="39"/>
        <v>26.449525385340287</v>
      </c>
      <c r="CR13" s="157" t="str">
        <f t="shared" si="40"/>
        <v/>
      </c>
      <c r="CS13" s="157" t="str">
        <f t="shared" si="41"/>
        <v/>
      </c>
      <c r="CT13" s="157" t="str">
        <f t="shared" si="42"/>
        <v/>
      </c>
      <c r="CU13" s="158" t="str">
        <f t="shared" si="43"/>
        <v/>
      </c>
      <c r="CV13" s="158" t="str">
        <f t="shared" si="44"/>
        <v/>
      </c>
      <c r="CW13" s="158" t="str">
        <f t="shared" si="45"/>
        <v/>
      </c>
      <c r="CX13" s="158" t="str">
        <f t="shared" si="46"/>
        <v/>
      </c>
      <c r="CY13" s="143" t="str">
        <f t="shared" si="47"/>
        <v/>
      </c>
      <c r="CZ13" s="143" t="str">
        <f t="shared" si="48"/>
        <v/>
      </c>
      <c r="DA13" s="144" t="str">
        <f t="shared" si="49"/>
        <v/>
      </c>
    </row>
    <row r="14" spans="1:121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5" t="s">
        <v>140</v>
      </c>
      <c r="F14" s="213"/>
      <c r="G14" s="214"/>
      <c r="H14" s="214"/>
      <c r="I14" s="214"/>
      <c r="J14" s="214"/>
      <c r="K14" s="214"/>
      <c r="L14" s="214"/>
      <c r="M14" s="218"/>
      <c r="N14" s="213">
        <v>58</v>
      </c>
      <c r="O14" s="215">
        <v>5</v>
      </c>
      <c r="P14" s="208">
        <v>1</v>
      </c>
      <c r="Q14" s="128">
        <f t="shared" si="34"/>
        <v>73</v>
      </c>
      <c r="R14" s="3">
        <v>2</v>
      </c>
      <c r="S14" s="3"/>
      <c r="T14" s="4">
        <v>156.19</v>
      </c>
      <c r="U14" s="4">
        <v>104.51</v>
      </c>
      <c r="V14" s="109">
        <f t="shared" si="3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124.67838706046849</v>
      </c>
      <c r="AI14" s="150">
        <f t="array" ref="AI14">IF(AI$1=0,"",SQRT((_xlfn.XLOOKUP(AI$1,$Z$2:$Z$18,$AA$2:$AA$18)-$T14)^2+(_xlfn.XLOOKUP(AI$1,$Z$2:$Z$18,$AB$2:$AB$18)-$U14)^2+(_xlfn.XLOOKUP(AI$1,$Z$2:$Z$18,$AC$2:$AC$18-$V14)^2)))</f>
        <v>80.576004492652771</v>
      </c>
      <c r="AJ14" s="150">
        <f t="array" ref="AJ14">IF(AJ$1=0,"",SQRT((_xlfn.XLOOKUP(AJ$1,$Z$2:$Z$18,$AA$2:$AA$18)-$T14)^2+(_xlfn.XLOOKUP(AJ$1,$Z$2:$Z$18,$AB$2:$AB$18)-$U14)^2+(_xlfn.XLOOKUP(AJ$1,$Z$2:$Z$18,$AC$2:$AC$18-$V14)^2)))</f>
        <v>103.05684111207756</v>
      </c>
      <c r="AK14" s="150">
        <f t="array" ref="AK14">IF(AK$1=0,"",SQRT((_xlfn.XLOOKUP(AK$1,$Z$2:$Z$18,$AA$2:$AA$18)-$T14)^2+(_xlfn.XLOOKUP(AK$1,$Z$2:$Z$18,$AB$2:$AB$18)-$U14)^2+(_xlfn.XLOOKUP(AK$1,$Z$2:$Z$18,$AC$2:$AC$18-$V14)^2)))</f>
        <v>165.2071744810134</v>
      </c>
      <c r="AL14" s="150">
        <f t="array" ref="AL14">IF(AL$1=0,"",SQRT((_xlfn.XLOOKUP(AL$1,$Z$2:$Z$18,$AA$2:$AA$18)-$T14)^2+(_xlfn.XLOOKUP(AL$1,$Z$2:$Z$18,$AB$2:$AB$18)-$U14)^2+(_xlfn.XLOOKUP(AL$1,$Z$2:$Z$18,$AC$2:$AC$18-$V14)^2)))</f>
        <v>181.5062092601793</v>
      </c>
      <c r="AM14" s="150" t="str">
        <f t="array" ref="AM14">IF(AM$1=0,"",SQRT((_xlfn.XLOOKUP(AM$1,$Z$2:$Z$18,$AA$2:$AA$18)-$T14)^2+(_xlfn.XLOOKUP(AM$1,$Z$2:$Z$18,$AB$2:$AB$18)-$U14)^2+(_xlfn.XLOOKUP(AM$1,$Z$2:$Z$18,$AC$2:$AC$18-$V14)^2)))</f>
        <v/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4"/>
        <v>-39.577921442126105</v>
      </c>
      <c r="AZ14" s="153">
        <f t="shared" si="5"/>
        <v>-35.786212503064036</v>
      </c>
      <c r="BA14" s="153">
        <f t="shared" si="6"/>
        <v>-37.923634464498747</v>
      </c>
      <c r="BB14" s="153">
        <f t="shared" si="7"/>
        <v>-42.022676008466853</v>
      </c>
      <c r="BC14" s="153">
        <f t="shared" si="8"/>
        <v>-42.839927670524496</v>
      </c>
      <c r="BD14" s="153">
        <f t="shared" si="9"/>
        <v>0</v>
      </c>
      <c r="BE14" s="153">
        <f t="shared" si="10"/>
        <v>0</v>
      </c>
      <c r="BF14" s="153">
        <f t="shared" si="11"/>
        <v>0</v>
      </c>
      <c r="BG14" s="154">
        <f t="shared" si="12"/>
        <v>0</v>
      </c>
      <c r="BH14" s="154">
        <f t="shared" si="13"/>
        <v>0</v>
      </c>
      <c r="BI14" s="154">
        <f t="shared" si="14"/>
        <v>0</v>
      </c>
      <c r="BJ14" s="154">
        <f t="shared" si="15"/>
        <v>0</v>
      </c>
      <c r="BK14" s="154">
        <f t="shared" si="16"/>
        <v>0</v>
      </c>
      <c r="BL14" s="154">
        <f t="shared" si="17"/>
        <v>0</v>
      </c>
      <c r="BM14" s="155">
        <f t="shared" si="18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>
        <v>6</v>
      </c>
      <c r="BW14" s="140">
        <v>8</v>
      </c>
      <c r="BX14" s="140">
        <v>12</v>
      </c>
      <c r="BY14" s="140">
        <v>10</v>
      </c>
      <c r="BZ14" s="140">
        <v>8</v>
      </c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  <c r="CK14" s="134"/>
      <c r="CL14" s="134"/>
      <c r="CM14" s="156">
        <f t="shared" si="35"/>
        <v>27.422078557873895</v>
      </c>
      <c r="CN14" s="157">
        <f t="shared" si="36"/>
        <v>29.213787496935964</v>
      </c>
      <c r="CO14" s="157">
        <f t="shared" si="37"/>
        <v>23.076365535501253</v>
      </c>
      <c r="CP14" s="157">
        <f t="shared" si="38"/>
        <v>20.977323991533147</v>
      </c>
      <c r="CQ14" s="157">
        <f t="shared" si="39"/>
        <v>22.160072329475504</v>
      </c>
      <c r="CR14" s="157" t="str">
        <f t="shared" si="40"/>
        <v/>
      </c>
      <c r="CS14" s="157" t="str">
        <f t="shared" si="41"/>
        <v/>
      </c>
      <c r="CT14" s="157" t="str">
        <f t="shared" si="42"/>
        <v/>
      </c>
      <c r="CU14" s="158" t="str">
        <f t="shared" si="43"/>
        <v/>
      </c>
      <c r="CV14" s="158" t="str">
        <f t="shared" si="44"/>
        <v/>
      </c>
      <c r="CW14" s="158" t="str">
        <f t="shared" si="45"/>
        <v/>
      </c>
      <c r="CX14" s="158" t="str">
        <f t="shared" si="46"/>
        <v/>
      </c>
      <c r="CY14" s="143" t="str">
        <f t="shared" si="47"/>
        <v/>
      </c>
      <c r="CZ14" s="143" t="str">
        <f t="shared" si="48"/>
        <v/>
      </c>
      <c r="DA14" s="144" t="str">
        <f t="shared" si="49"/>
        <v/>
      </c>
    </row>
    <row r="15" spans="1:121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5" t="s">
        <v>140</v>
      </c>
      <c r="F15" s="213"/>
      <c r="G15" s="214"/>
      <c r="H15" s="214"/>
      <c r="I15" s="214"/>
      <c r="J15" s="214"/>
      <c r="K15" s="214"/>
      <c r="L15" s="214"/>
      <c r="M15" s="218"/>
      <c r="N15" s="213">
        <v>58</v>
      </c>
      <c r="O15" s="215">
        <v>5</v>
      </c>
      <c r="P15" s="208">
        <v>1</v>
      </c>
      <c r="Q15" s="128">
        <f t="shared" si="34"/>
        <v>73</v>
      </c>
      <c r="R15" s="3">
        <v>2</v>
      </c>
      <c r="S15" s="3"/>
      <c r="T15" s="4">
        <v>143.32</v>
      </c>
      <c r="U15" s="4">
        <v>101.28</v>
      </c>
      <c r="V15" s="109">
        <f t="shared" si="3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111.5124979542652</v>
      </c>
      <c r="AI15" s="150">
        <f t="array" ref="AI15">IF(AI$1=0,"",SQRT((_xlfn.XLOOKUP(AI$1,$Z$2:$Z$18,$AA$2:$AA$18)-$T15)^2+(_xlfn.XLOOKUP(AI$1,$Z$2:$Z$18,$AB$2:$AB$18)-$U15)^2+(_xlfn.XLOOKUP(AI$1,$Z$2:$Z$18,$AC$2:$AC$18-$V15)^2)))</f>
        <v>70.759523034005809</v>
      </c>
      <c r="AJ15" s="150">
        <f t="array" ref="AJ15">IF(AJ$1=0,"",SQRT((_xlfn.XLOOKUP(AJ$1,$Z$2:$Z$18,$AA$2:$AA$18)-$T15)^2+(_xlfn.XLOOKUP(AJ$1,$Z$2:$Z$18,$AB$2:$AB$18)-$U15)^2+(_xlfn.XLOOKUP(AJ$1,$Z$2:$Z$18,$AC$2:$AC$18-$V15)^2)))</f>
        <v>108.77731610956394</v>
      </c>
      <c r="AK15" s="150">
        <f t="array" ref="AK15">IF(AK$1=0,"",SQRT((_xlfn.XLOOKUP(AK$1,$Z$2:$Z$18,$AA$2:$AA$18)-$T15)^2+(_xlfn.XLOOKUP(AK$1,$Z$2:$Z$18,$AB$2:$AB$18)-$U15)^2+(_xlfn.XLOOKUP(AK$1,$Z$2:$Z$18,$AC$2:$AC$18-$V15)^2)))</f>
        <v>177.45169624435832</v>
      </c>
      <c r="AL15" s="150">
        <f t="array" ref="AL15">IF(AL$1=0,"",SQRT((_xlfn.XLOOKUP(AL$1,$Z$2:$Z$18,$AA$2:$AA$18)-$T15)^2+(_xlfn.XLOOKUP(AL$1,$Z$2:$Z$18,$AB$2:$AB$18)-$U15)^2+(_xlfn.XLOOKUP(AL$1,$Z$2:$Z$18,$AC$2:$AC$18-$V15)^2)))</f>
        <v>173.70299536853128</v>
      </c>
      <c r="AM15" s="150" t="str">
        <f t="array" ref="AM15">IF(AM$1=0,"",SQRT((_xlfn.XLOOKUP(AM$1,$Z$2:$Z$18,$AA$2:$AA$18)-$T15)^2+(_xlfn.XLOOKUP(AM$1,$Z$2:$Z$18,$AB$2:$AB$18)-$U15)^2+(_xlfn.XLOOKUP(AM$1,$Z$2:$Z$18,$AC$2:$AC$18-$V15)^2)))</f>
        <v/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4"/>
        <v>-38.608568825135549</v>
      </c>
      <c r="AZ15" s="153">
        <f t="shared" si="5"/>
        <v>-34.657795873241383</v>
      </c>
      <c r="BA15" s="153">
        <f t="shared" si="6"/>
        <v>-38.392864719991117</v>
      </c>
      <c r="BB15" s="153">
        <f t="shared" si="7"/>
        <v>-42.643701038617472</v>
      </c>
      <c r="BC15" s="153">
        <f t="shared" si="8"/>
        <v>-42.458244088350845</v>
      </c>
      <c r="BD15" s="153">
        <f t="shared" si="9"/>
        <v>0</v>
      </c>
      <c r="BE15" s="153">
        <f t="shared" si="10"/>
        <v>0</v>
      </c>
      <c r="BF15" s="153">
        <f t="shared" si="11"/>
        <v>0</v>
      </c>
      <c r="BG15" s="154">
        <f t="shared" si="12"/>
        <v>0</v>
      </c>
      <c r="BH15" s="154">
        <f t="shared" si="13"/>
        <v>0</v>
      </c>
      <c r="BI15" s="154">
        <f t="shared" si="14"/>
        <v>0</v>
      </c>
      <c r="BJ15" s="154">
        <f t="shared" si="15"/>
        <v>0</v>
      </c>
      <c r="BK15" s="154">
        <f t="shared" si="16"/>
        <v>0</v>
      </c>
      <c r="BL15" s="154">
        <f t="shared" si="17"/>
        <v>0</v>
      </c>
      <c r="BM15" s="155">
        <f t="shared" si="18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>
        <v>6</v>
      </c>
      <c r="BW15" s="140">
        <v>8</v>
      </c>
      <c r="BX15" s="140">
        <v>12</v>
      </c>
      <c r="BY15" s="140">
        <v>11</v>
      </c>
      <c r="BZ15" s="140">
        <v>8</v>
      </c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  <c r="CK15" s="134"/>
      <c r="CL15" s="134"/>
      <c r="CM15" s="156">
        <f t="shared" si="35"/>
        <v>28.391431174864451</v>
      </c>
      <c r="CN15" s="157">
        <f t="shared" si="36"/>
        <v>30.342204126758617</v>
      </c>
      <c r="CO15" s="157">
        <f t="shared" si="37"/>
        <v>22.607135280008883</v>
      </c>
      <c r="CP15" s="157">
        <f t="shared" si="38"/>
        <v>19.356298961382528</v>
      </c>
      <c r="CQ15" s="157">
        <f t="shared" si="39"/>
        <v>22.541755911649155</v>
      </c>
      <c r="CR15" s="157" t="str">
        <f t="shared" si="40"/>
        <v/>
      </c>
      <c r="CS15" s="157" t="str">
        <f t="shared" si="41"/>
        <v/>
      </c>
      <c r="CT15" s="157" t="str">
        <f t="shared" si="42"/>
        <v/>
      </c>
      <c r="CU15" s="158" t="str">
        <f t="shared" si="43"/>
        <v/>
      </c>
      <c r="CV15" s="158" t="str">
        <f t="shared" si="44"/>
        <v/>
      </c>
      <c r="CW15" s="158" t="str">
        <f t="shared" si="45"/>
        <v/>
      </c>
      <c r="CX15" s="158" t="str">
        <f t="shared" si="46"/>
        <v/>
      </c>
      <c r="CY15" s="143" t="str">
        <f t="shared" si="47"/>
        <v/>
      </c>
      <c r="CZ15" s="143" t="str">
        <f t="shared" si="48"/>
        <v/>
      </c>
      <c r="DA15" s="144" t="str">
        <f t="shared" si="49"/>
        <v/>
      </c>
    </row>
    <row r="16" spans="1:121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5" t="s">
        <v>140</v>
      </c>
      <c r="F16" s="213"/>
      <c r="G16" s="214"/>
      <c r="H16" s="214"/>
      <c r="I16" s="214"/>
      <c r="J16" s="214"/>
      <c r="K16" s="214"/>
      <c r="L16" s="214"/>
      <c r="M16" s="218"/>
      <c r="N16" s="213">
        <v>58</v>
      </c>
      <c r="O16" s="215">
        <v>5</v>
      </c>
      <c r="P16" s="208">
        <v>1</v>
      </c>
      <c r="Q16" s="128">
        <f t="shared" si="34"/>
        <v>73</v>
      </c>
      <c r="R16" s="3">
        <v>2</v>
      </c>
      <c r="S16" s="3"/>
      <c r="T16" s="4">
        <v>116.44</v>
      </c>
      <c r="U16" s="4">
        <v>96.13</v>
      </c>
      <c r="V16" s="109">
        <f t="shared" si="3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84.303295902354847</v>
      </c>
      <c r="AI16" s="150">
        <f t="array" ref="AI16">IF(AI$1=0,"",SQRT((_xlfn.XLOOKUP(AI$1,$Z$2:$Z$18,$AA$2:$AA$18)-$T16)^2+(_xlfn.XLOOKUP(AI$1,$Z$2:$Z$18,$AB$2:$AB$18)-$U16)^2+(_xlfn.XLOOKUP(AI$1,$Z$2:$Z$18,$AC$2:$AC$18-$V16)^2)))</f>
        <v>56.354254497775045</v>
      </c>
      <c r="AJ16" s="150">
        <f t="array" ref="AJ16">IF(AJ$1=0,"",SQRT((_xlfn.XLOOKUP(AJ$1,$Z$2:$Z$18,$AA$2:$AA$18)-$T16)^2+(_xlfn.XLOOKUP(AJ$1,$Z$2:$Z$18,$AB$2:$AB$18)-$U16)^2+(_xlfn.XLOOKUP(AJ$1,$Z$2:$Z$18,$AC$2:$AC$18-$V16)^2)))</f>
        <v>125.42608101985806</v>
      </c>
      <c r="AK16" s="150">
        <f t="array" ref="AK16">IF(AK$1=0,"",SQRT((_xlfn.XLOOKUP(AK$1,$Z$2:$Z$18,$AA$2:$AA$18)-$T16)^2+(_xlfn.XLOOKUP(AK$1,$Z$2:$Z$18,$AB$2:$AB$18)-$U16)^2+(_xlfn.XLOOKUP(AK$1,$Z$2:$Z$18,$AC$2:$AC$18-$V16)^2)))</f>
        <v>203.50909758534141</v>
      </c>
      <c r="AL16" s="150">
        <f t="array" ref="AL16">IF(AL$1=0,"",SQRT((_xlfn.XLOOKUP(AL$1,$Z$2:$Z$18,$AA$2:$AA$18)-$T16)^2+(_xlfn.XLOOKUP(AL$1,$Z$2:$Z$18,$AB$2:$AB$18)-$U16)^2+(_xlfn.XLOOKUP(AL$1,$Z$2:$Z$18,$AC$2:$AC$18-$V16)^2)))</f>
        <v>158.55968623833741</v>
      </c>
      <c r="AM16" s="150" t="str">
        <f t="array" ref="AM16">IF(AM$1=0,"",SQRT((_xlfn.XLOOKUP(AM$1,$Z$2:$Z$18,$AA$2:$AA$18)-$T16)^2+(_xlfn.XLOOKUP(AM$1,$Z$2:$Z$18,$AB$2:$AB$18)-$U16)^2+(_xlfn.XLOOKUP(AM$1,$Z$2:$Z$18,$AC$2:$AC$18-$V16)^2)))</f>
        <v/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4"/>
        <v>-36.178989017618129</v>
      </c>
      <c r="AZ16" s="153">
        <f t="shared" si="5"/>
        <v>-32.680632115704789</v>
      </c>
      <c r="BA16" s="153">
        <f t="shared" si="6"/>
        <v>-39.629854993026818</v>
      </c>
      <c r="BB16" s="153">
        <f t="shared" si="7"/>
        <v>-43.833774507203714</v>
      </c>
      <c r="BC16" s="153">
        <f t="shared" si="8"/>
        <v>-41.66595349192928</v>
      </c>
      <c r="BD16" s="153">
        <f t="shared" si="9"/>
        <v>0</v>
      </c>
      <c r="BE16" s="153">
        <f t="shared" si="10"/>
        <v>0</v>
      </c>
      <c r="BF16" s="153">
        <f t="shared" si="11"/>
        <v>0</v>
      </c>
      <c r="BG16" s="154">
        <f t="shared" si="12"/>
        <v>0</v>
      </c>
      <c r="BH16" s="154">
        <f t="shared" si="13"/>
        <v>0</v>
      </c>
      <c r="BI16" s="154">
        <f t="shared" si="14"/>
        <v>0</v>
      </c>
      <c r="BJ16" s="154">
        <f t="shared" si="15"/>
        <v>0</v>
      </c>
      <c r="BK16" s="154">
        <f t="shared" si="16"/>
        <v>0</v>
      </c>
      <c r="BL16" s="154">
        <f t="shared" si="17"/>
        <v>0</v>
      </c>
      <c r="BM16" s="155">
        <f t="shared" si="18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>
        <v>6</v>
      </c>
      <c r="BW16" s="140">
        <v>9</v>
      </c>
      <c r="BX16" s="140">
        <v>11</v>
      </c>
      <c r="BY16" s="140">
        <v>13</v>
      </c>
      <c r="BZ16" s="140">
        <v>8</v>
      </c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K16" s="134"/>
      <c r="CL16" s="134"/>
      <c r="CM16" s="156">
        <f t="shared" si="35"/>
        <v>30.821010982381871</v>
      </c>
      <c r="CN16" s="157">
        <f t="shared" si="36"/>
        <v>31.319367884295211</v>
      </c>
      <c r="CO16" s="157">
        <f t="shared" si="37"/>
        <v>22.370145006973182</v>
      </c>
      <c r="CP16" s="157">
        <f t="shared" si="38"/>
        <v>16.166225492796286</v>
      </c>
      <c r="CQ16" s="157">
        <f t="shared" si="39"/>
        <v>23.33404650807072</v>
      </c>
      <c r="CR16" s="157" t="str">
        <f t="shared" si="40"/>
        <v/>
      </c>
      <c r="CS16" s="157" t="str">
        <f t="shared" si="41"/>
        <v/>
      </c>
      <c r="CT16" s="157" t="str">
        <f t="shared" si="42"/>
        <v/>
      </c>
      <c r="CU16" s="158" t="str">
        <f t="shared" si="43"/>
        <v/>
      </c>
      <c r="CV16" s="158" t="str">
        <f t="shared" si="44"/>
        <v/>
      </c>
      <c r="CW16" s="158" t="str">
        <f t="shared" si="45"/>
        <v/>
      </c>
      <c r="CX16" s="158" t="str">
        <f t="shared" si="46"/>
        <v/>
      </c>
      <c r="CY16" s="143" t="str">
        <f t="shared" si="47"/>
        <v/>
      </c>
      <c r="CZ16" s="143" t="str">
        <f t="shared" si="48"/>
        <v/>
      </c>
      <c r="DA16" s="144" t="str">
        <f t="shared" si="49"/>
        <v/>
      </c>
    </row>
    <row r="17" spans="1:105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5" t="s">
        <v>140</v>
      </c>
      <c r="F17" s="213"/>
      <c r="G17" s="214"/>
      <c r="H17" s="214"/>
      <c r="I17" s="214"/>
      <c r="J17" s="214"/>
      <c r="K17" s="214"/>
      <c r="L17" s="214"/>
      <c r="M17" s="218"/>
      <c r="N17" s="213">
        <v>58</v>
      </c>
      <c r="O17" s="215">
        <v>5</v>
      </c>
      <c r="P17" s="208">
        <v>1</v>
      </c>
      <c r="Q17" s="128">
        <f t="shared" si="34"/>
        <v>73</v>
      </c>
      <c r="R17" s="3">
        <v>2</v>
      </c>
      <c r="S17" s="3"/>
      <c r="T17" s="4">
        <v>88.52</v>
      </c>
      <c r="U17" s="4">
        <v>90.33</v>
      </c>
      <c r="V17" s="109">
        <f t="shared" si="3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56.166197129590316</v>
      </c>
      <c r="AI17" s="150">
        <f t="array" ref="AI17">IF(AI$1=0,"",SQRT((_xlfn.XLOOKUP(AI$1,$Z$2:$Z$18,$AA$2:$AA$18)-$T17)^2+(_xlfn.XLOOKUP(AI$1,$Z$2:$Z$18,$AB$2:$AB$18)-$U17)^2+(_xlfn.XLOOKUP(AI$1,$Z$2:$Z$18,$AC$2:$AC$18-$V17)^2)))</f>
        <v>53.15979307709916</v>
      </c>
      <c r="AJ17" s="150">
        <f t="array" ref="AJ17">IF(AJ$1=0,"",SQRT((_xlfn.XLOOKUP(AJ$1,$Z$2:$Z$18,$AA$2:$AA$18)-$T17)^2+(_xlfn.XLOOKUP(AJ$1,$Z$2:$Z$18,$AB$2:$AB$18)-$U17)^2+(_xlfn.XLOOKUP(AJ$1,$Z$2:$Z$18,$AC$2:$AC$18-$V17)^2)))</f>
        <v>145.96776698983922</v>
      </c>
      <c r="AK17" s="150">
        <f t="array" ref="AK17">IF(AK$1=0,"",SQRT((_xlfn.XLOOKUP(AK$1,$Z$2:$Z$18,$AA$2:$AA$18)-$T17)^2+(_xlfn.XLOOKUP(AK$1,$Z$2:$Z$18,$AB$2:$AB$18)-$U17)^2+(_xlfn.XLOOKUP(AK$1,$Z$2:$Z$18,$AC$2:$AC$18-$V17)^2)))</f>
        <v>230.88837995880175</v>
      </c>
      <c r="AL17" s="150">
        <f t="array" ref="AL17">IF(AL$1=0,"",SQRT((_xlfn.XLOOKUP(AL$1,$Z$2:$Z$18,$AA$2:$AA$18)-$T17)^2+(_xlfn.XLOOKUP(AL$1,$Z$2:$Z$18,$AB$2:$AB$18)-$U17)^2+(_xlfn.XLOOKUP(AL$1,$Z$2:$Z$18,$AC$2:$AC$18-$V17)^2)))</f>
        <v>147.01106795068188</v>
      </c>
      <c r="AM17" s="150" t="str">
        <f t="array" ref="AM17">IF(AM$1=0,"",SQRT((_xlfn.XLOOKUP(AM$1,$Z$2:$Z$18,$AA$2:$AA$18)-$T17)^2+(_xlfn.XLOOKUP(AM$1,$Z$2:$Z$18,$AB$2:$AB$18)-$U17)^2+(_xlfn.XLOOKUP(AM$1,$Z$2:$Z$18,$AC$2:$AC$18-$V17)^2)))</f>
        <v/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4"/>
        <v>-32.651598334859486</v>
      </c>
      <c r="AZ17" s="153">
        <f t="shared" si="5"/>
        <v>-32.173763572847079</v>
      </c>
      <c r="BA17" s="153">
        <f t="shared" si="6"/>
        <v>-40.94723722194427</v>
      </c>
      <c r="BB17" s="153">
        <f t="shared" si="7"/>
        <v>-44.930139466929539</v>
      </c>
      <c r="BC17" s="153">
        <f t="shared" si="8"/>
        <v>-41.009098586856595</v>
      </c>
      <c r="BD17" s="153">
        <f t="shared" si="9"/>
        <v>0</v>
      </c>
      <c r="BE17" s="153">
        <f t="shared" si="10"/>
        <v>0</v>
      </c>
      <c r="BF17" s="153">
        <f t="shared" si="11"/>
        <v>0</v>
      </c>
      <c r="BG17" s="154">
        <f t="shared" si="12"/>
        <v>0</v>
      </c>
      <c r="BH17" s="154">
        <f t="shared" si="13"/>
        <v>0</v>
      </c>
      <c r="BI17" s="154">
        <f t="shared" si="14"/>
        <v>0</v>
      </c>
      <c r="BJ17" s="154">
        <f t="shared" si="15"/>
        <v>0</v>
      </c>
      <c r="BK17" s="154">
        <f t="shared" si="16"/>
        <v>0</v>
      </c>
      <c r="BL17" s="154">
        <f t="shared" si="17"/>
        <v>0</v>
      </c>
      <c r="BM17" s="155">
        <f t="shared" si="18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>
        <v>4</v>
      </c>
      <c r="BW17" s="140">
        <v>10</v>
      </c>
      <c r="BX17" s="140">
        <v>10</v>
      </c>
      <c r="BY17" s="140">
        <v>13</v>
      </c>
      <c r="BZ17" s="140">
        <v>8</v>
      </c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K17" s="134"/>
      <c r="CL17" s="134"/>
      <c r="CM17" s="156">
        <f t="shared" si="35"/>
        <v>36.348401665140514</v>
      </c>
      <c r="CN17" s="157">
        <f t="shared" si="36"/>
        <v>30.826236427152921</v>
      </c>
      <c r="CO17" s="157">
        <f t="shared" si="37"/>
        <v>22.05276277805573</v>
      </c>
      <c r="CP17" s="157">
        <f t="shared" si="38"/>
        <v>15.069860533070461</v>
      </c>
      <c r="CQ17" s="157">
        <f t="shared" si="39"/>
        <v>23.990901413143405</v>
      </c>
      <c r="CR17" s="157" t="str">
        <f t="shared" si="40"/>
        <v/>
      </c>
      <c r="CS17" s="157" t="str">
        <f t="shared" si="41"/>
        <v/>
      </c>
      <c r="CT17" s="157" t="str">
        <f t="shared" si="42"/>
        <v/>
      </c>
      <c r="CU17" s="158" t="str">
        <f t="shared" si="43"/>
        <v/>
      </c>
      <c r="CV17" s="158" t="str">
        <f t="shared" si="44"/>
        <v/>
      </c>
      <c r="CW17" s="158" t="str">
        <f t="shared" si="45"/>
        <v/>
      </c>
      <c r="CX17" s="158" t="str">
        <f t="shared" si="46"/>
        <v/>
      </c>
      <c r="CY17" s="143" t="str">
        <f t="shared" si="47"/>
        <v/>
      </c>
      <c r="CZ17" s="143" t="str">
        <f t="shared" si="48"/>
        <v/>
      </c>
      <c r="DA17" s="144" t="str">
        <f t="shared" si="49"/>
        <v/>
      </c>
    </row>
    <row r="18" spans="1:105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5" t="s">
        <v>140</v>
      </c>
      <c r="F18" s="213"/>
      <c r="G18" s="214"/>
      <c r="H18" s="214"/>
      <c r="I18" s="214"/>
      <c r="J18" s="214"/>
      <c r="K18" s="214"/>
      <c r="L18" s="214"/>
      <c r="M18" s="218"/>
      <c r="N18" s="213">
        <v>58</v>
      </c>
      <c r="O18" s="215">
        <v>5</v>
      </c>
      <c r="P18" s="208">
        <v>1</v>
      </c>
      <c r="Q18" s="128">
        <f t="shared" si="34"/>
        <v>73</v>
      </c>
      <c r="R18" s="3">
        <v>2</v>
      </c>
      <c r="S18" s="3"/>
      <c r="T18" s="4">
        <v>73.849999999999994</v>
      </c>
      <c r="U18" s="4">
        <v>112.39</v>
      </c>
      <c r="V18" s="109">
        <f t="shared" si="3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49.432355800629203</v>
      </c>
      <c r="AI18" s="150">
        <f t="array" ref="AI18">IF(AI$1=0,"",SQRT((_xlfn.XLOOKUP(AI$1,$Z$2:$Z$18,$AA$2:$AA$18)-$T18)^2+(_xlfn.XLOOKUP(AI$1,$Z$2:$Z$18,$AB$2:$AB$18)-$U18)^2+(_xlfn.XLOOKUP(AI$1,$Z$2:$Z$18,$AC$2:$AC$18-$V18)^2)))</f>
        <v>75.215273050092691</v>
      </c>
      <c r="AJ18" s="150">
        <f t="array" ref="AJ18">IF(AJ$1=0,"",SQRT((_xlfn.XLOOKUP(AJ$1,$Z$2:$Z$18,$AA$2:$AA$18)-$T18)^2+(_xlfn.XLOOKUP(AJ$1,$Z$2:$Z$18,$AB$2:$AB$18)-$U18)^2+(_xlfn.XLOOKUP(AJ$1,$Z$2:$Z$18,$AC$2:$AC$18-$V18)^2)))</f>
        <v>169.62015711583336</v>
      </c>
      <c r="AK18" s="150">
        <f t="array" ref="AK18">IF(AK$1=0,"",SQRT((_xlfn.XLOOKUP(AK$1,$Z$2:$Z$18,$AA$2:$AA$18)-$T18)^2+(_xlfn.XLOOKUP(AK$1,$Z$2:$Z$18,$AB$2:$AB$18)-$U18)^2+(_xlfn.XLOOKUP(AK$1,$Z$2:$Z$18,$AC$2:$AC$18-$V18)^2)))</f>
        <v>246.7337952125732</v>
      </c>
      <c r="AL18" s="150">
        <f t="array" ref="AL18">IF(AL$1=0,"",SQRT((_xlfn.XLOOKUP(AL$1,$Z$2:$Z$18,$AA$2:$AA$18)-$T18)^2+(_xlfn.XLOOKUP(AL$1,$Z$2:$Z$18,$AB$2:$AB$18)-$U18)^2+(_xlfn.XLOOKUP(AL$1,$Z$2:$Z$18,$AC$2:$AC$18-$V18)^2)))</f>
        <v>121.18423164752087</v>
      </c>
      <c r="AM18" s="150" t="str">
        <f t="array" ref="AM18">IF(AM$1=0,"",SQRT((_xlfn.XLOOKUP(AM$1,$Z$2:$Z$18,$AA$2:$AA$18)-$T18)^2+(_xlfn.XLOOKUP(AM$1,$Z$2:$Z$18,$AB$2:$AB$18)-$U18)^2+(_xlfn.XLOOKUP(AM$1,$Z$2:$Z$18,$AC$2:$AC$18-$V18)^2)))</f>
        <v/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4"/>
        <v>-31.542324099954989</v>
      </c>
      <c r="AZ18" s="153">
        <f t="shared" si="5"/>
        <v>-35.18821866575729</v>
      </c>
      <c r="BA18" s="153">
        <f t="shared" si="6"/>
        <v>-42.251647159969053</v>
      </c>
      <c r="BB18" s="153">
        <f t="shared" si="7"/>
        <v>-45.506670717495467</v>
      </c>
      <c r="BC18" s="153">
        <f t="shared" si="8"/>
        <v>-39.331020209117781</v>
      </c>
      <c r="BD18" s="153">
        <f t="shared" si="9"/>
        <v>0</v>
      </c>
      <c r="BE18" s="153">
        <f t="shared" si="10"/>
        <v>0</v>
      </c>
      <c r="BF18" s="153">
        <f t="shared" si="11"/>
        <v>0</v>
      </c>
      <c r="BG18" s="154">
        <f t="shared" si="12"/>
        <v>0</v>
      </c>
      <c r="BH18" s="154">
        <f t="shared" si="13"/>
        <v>0</v>
      </c>
      <c r="BI18" s="154">
        <f t="shared" si="14"/>
        <v>0</v>
      </c>
      <c r="BJ18" s="154">
        <f t="shared" si="15"/>
        <v>0</v>
      </c>
      <c r="BK18" s="154">
        <f t="shared" si="16"/>
        <v>0</v>
      </c>
      <c r="BL18" s="154">
        <f t="shared" si="17"/>
        <v>0</v>
      </c>
      <c r="BM18" s="155">
        <f t="shared" si="18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>
        <v>5</v>
      </c>
      <c r="BW18" s="140">
        <v>14</v>
      </c>
      <c r="BX18" s="140">
        <v>11</v>
      </c>
      <c r="BY18" s="140">
        <v>12</v>
      </c>
      <c r="BZ18" s="140">
        <v>5</v>
      </c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K18" s="134"/>
      <c r="CL18" s="134"/>
      <c r="CM18" s="156">
        <f t="shared" si="35"/>
        <v>36.457675900045011</v>
      </c>
      <c r="CN18" s="157">
        <f t="shared" si="36"/>
        <v>23.81178133424271</v>
      </c>
      <c r="CO18" s="157">
        <f t="shared" si="37"/>
        <v>19.748352840030947</v>
      </c>
      <c r="CP18" s="157">
        <f t="shared" si="38"/>
        <v>15.493329282504533</v>
      </c>
      <c r="CQ18" s="157">
        <f t="shared" si="39"/>
        <v>28.668979790882219</v>
      </c>
      <c r="CR18" s="157" t="str">
        <f t="shared" si="40"/>
        <v/>
      </c>
      <c r="CS18" s="157" t="str">
        <f t="shared" si="41"/>
        <v/>
      </c>
      <c r="CT18" s="157" t="str">
        <f t="shared" si="42"/>
        <v/>
      </c>
      <c r="CU18" s="158" t="str">
        <f t="shared" si="43"/>
        <v/>
      </c>
      <c r="CV18" s="158" t="str">
        <f t="shared" si="44"/>
        <v/>
      </c>
      <c r="CW18" s="158" t="str">
        <f t="shared" si="45"/>
        <v/>
      </c>
      <c r="CX18" s="158" t="str">
        <f t="shared" si="46"/>
        <v/>
      </c>
      <c r="CY18" s="143" t="str">
        <f t="shared" si="47"/>
        <v/>
      </c>
      <c r="CZ18" s="143" t="str">
        <f t="shared" si="48"/>
        <v/>
      </c>
      <c r="DA18" s="144" t="str">
        <f t="shared" si="49"/>
        <v/>
      </c>
    </row>
    <row r="19" spans="1:105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5" t="s">
        <v>140</v>
      </c>
      <c r="F19" s="213"/>
      <c r="G19" s="214"/>
      <c r="H19" s="214"/>
      <c r="I19" s="214"/>
      <c r="J19" s="214"/>
      <c r="K19" s="214"/>
      <c r="L19" s="214"/>
      <c r="M19" s="218"/>
      <c r="N19" s="213">
        <v>58</v>
      </c>
      <c r="O19" s="215">
        <v>5</v>
      </c>
      <c r="P19" s="208">
        <v>1</v>
      </c>
      <c r="Q19" s="128">
        <f t="shared" si="34"/>
        <v>73</v>
      </c>
      <c r="R19" s="3">
        <v>2</v>
      </c>
      <c r="S19" s="3"/>
      <c r="T19" s="4">
        <v>89.73</v>
      </c>
      <c r="U19" s="4">
        <v>129.58000000000001</v>
      </c>
      <c r="V19" s="109">
        <f t="shared" si="3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72.111608635503345</v>
      </c>
      <c r="AI19" s="150">
        <f t="array" ref="AI19">IF(AI$1=0,"",SQRT((_xlfn.XLOOKUP(AI$1,$Z$2:$Z$18,$AA$2:$AA$18)-$T19)^2+(_xlfn.XLOOKUP(AI$1,$Z$2:$Z$18,$AB$2:$AB$18)-$U19)^2+(_xlfn.XLOOKUP(AI$1,$Z$2:$Z$18,$AC$2:$AC$18-$V19)^2)))</f>
        <v>85.308195385906501</v>
      </c>
      <c r="AJ19" s="150">
        <f t="array" ref="AJ19">IF(AJ$1=0,"",SQRT((_xlfn.XLOOKUP(AJ$1,$Z$2:$Z$18,$AA$2:$AA$18)-$T19)^2+(_xlfn.XLOOKUP(AJ$1,$Z$2:$Z$18,$AB$2:$AB$18)-$U19)^2+(_xlfn.XLOOKUP(AJ$1,$Z$2:$Z$18,$AC$2:$AC$18-$V19)^2)))</f>
        <v>166.92011502512213</v>
      </c>
      <c r="AK19" s="150">
        <f t="array" ref="AK19">IF(AK$1=0,"",SQRT((_xlfn.XLOOKUP(AK$1,$Z$2:$Z$18,$AA$2:$AA$18)-$T19)^2+(_xlfn.XLOOKUP(AK$1,$Z$2:$Z$18,$AB$2:$AB$18)-$U19)^2+(_xlfn.XLOOKUP(AK$1,$Z$2:$Z$18,$AC$2:$AC$18-$V19)^2)))</f>
        <v>233.65705168044897</v>
      </c>
      <c r="AL19" s="150">
        <f t="array" ref="AL19">IF(AL$1=0,"",SQRT((_xlfn.XLOOKUP(AL$1,$Z$2:$Z$18,$AA$2:$AA$18)-$T19)^2+(_xlfn.XLOOKUP(AL$1,$Z$2:$Z$18,$AB$2:$AB$18)-$U19)^2+(_xlfn.XLOOKUP(AL$1,$Z$2:$Z$18,$AC$2:$AC$18-$V19)^2)))</f>
        <v>116.78746722144462</v>
      </c>
      <c r="AM19" s="150" t="str">
        <f t="array" ref="AM19">IF(AM$1=0,"",SQRT((_xlfn.XLOOKUP(AM$1,$Z$2:$Z$18,$AA$2:$AA$18)-$T19)^2+(_xlfn.XLOOKUP(AM$1,$Z$2:$Z$18,$AB$2:$AB$18)-$U19)^2+(_xlfn.XLOOKUP(AM$1,$Z$2:$Z$18,$AC$2:$AC$18-$V19)^2)))</f>
        <v/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4"/>
        <v>-34.82220161149305</v>
      </c>
      <c r="AZ19" s="153">
        <f t="shared" si="5"/>
        <v>-36.281913036228403</v>
      </c>
      <c r="BA19" s="153">
        <f t="shared" si="6"/>
        <v>-42.112271443198949</v>
      </c>
      <c r="BB19" s="153">
        <f t="shared" si="7"/>
        <v>-45.033675784921769</v>
      </c>
      <c r="BC19" s="153">
        <f t="shared" si="8"/>
        <v>-39.01002273619185</v>
      </c>
      <c r="BD19" s="153">
        <f t="shared" si="9"/>
        <v>0</v>
      </c>
      <c r="BE19" s="153">
        <f t="shared" si="10"/>
        <v>0</v>
      </c>
      <c r="BF19" s="153">
        <f t="shared" si="11"/>
        <v>0</v>
      </c>
      <c r="BG19" s="154">
        <f t="shared" si="12"/>
        <v>0</v>
      </c>
      <c r="BH19" s="154">
        <f t="shared" si="13"/>
        <v>0</v>
      </c>
      <c r="BI19" s="154">
        <f t="shared" si="14"/>
        <v>0</v>
      </c>
      <c r="BJ19" s="154">
        <f t="shared" si="15"/>
        <v>0</v>
      </c>
      <c r="BK19" s="154">
        <f t="shared" si="16"/>
        <v>0</v>
      </c>
      <c r="BL19" s="154">
        <f t="shared" si="17"/>
        <v>0</v>
      </c>
      <c r="BM19" s="155">
        <f t="shared" si="18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>
        <v>6</v>
      </c>
      <c r="BW19" s="140">
        <v>15</v>
      </c>
      <c r="BX19" s="140">
        <v>12</v>
      </c>
      <c r="BY19" s="140">
        <v>12</v>
      </c>
      <c r="BZ19" s="140">
        <v>6</v>
      </c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K19" s="134"/>
      <c r="CL19" s="134"/>
      <c r="CM19" s="156">
        <f t="shared" si="35"/>
        <v>32.17779838850695</v>
      </c>
      <c r="CN19" s="157">
        <f t="shared" si="36"/>
        <v>21.718086963771597</v>
      </c>
      <c r="CO19" s="157">
        <f t="shared" si="37"/>
        <v>18.887728556801051</v>
      </c>
      <c r="CP19" s="157">
        <f t="shared" si="38"/>
        <v>15.966324215078231</v>
      </c>
      <c r="CQ19" s="157">
        <f t="shared" si="39"/>
        <v>27.98997726380815</v>
      </c>
      <c r="CR19" s="157" t="str">
        <f t="shared" si="40"/>
        <v/>
      </c>
      <c r="CS19" s="157" t="str">
        <f t="shared" si="41"/>
        <v/>
      </c>
      <c r="CT19" s="157" t="str">
        <f t="shared" si="42"/>
        <v/>
      </c>
      <c r="CU19" s="158" t="str">
        <f t="shared" si="43"/>
        <v/>
      </c>
      <c r="CV19" s="158" t="str">
        <f t="shared" si="44"/>
        <v/>
      </c>
      <c r="CW19" s="158" t="str">
        <f t="shared" si="45"/>
        <v/>
      </c>
      <c r="CX19" s="158" t="str">
        <f t="shared" si="46"/>
        <v/>
      </c>
      <c r="CY19" s="143" t="str">
        <f t="shared" si="47"/>
        <v/>
      </c>
      <c r="CZ19" s="143" t="str">
        <f t="shared" si="48"/>
        <v/>
      </c>
      <c r="DA19" s="144" t="str">
        <f t="shared" si="49"/>
        <v/>
      </c>
    </row>
    <row r="20" spans="1:105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5" t="s">
        <v>140</v>
      </c>
      <c r="F20" s="213"/>
      <c r="G20" s="214"/>
      <c r="H20" s="214"/>
      <c r="I20" s="214"/>
      <c r="J20" s="214"/>
      <c r="K20" s="214"/>
      <c r="L20" s="214"/>
      <c r="M20" s="218"/>
      <c r="N20" s="213">
        <v>58</v>
      </c>
      <c r="O20" s="215">
        <v>5</v>
      </c>
      <c r="P20" s="208">
        <v>1</v>
      </c>
      <c r="Q20" s="128">
        <f t="shared" si="34"/>
        <v>73</v>
      </c>
      <c r="R20" s="3">
        <v>2</v>
      </c>
      <c r="S20" s="3"/>
      <c r="T20" s="4">
        <v>109.54</v>
      </c>
      <c r="U20" s="4">
        <v>133.58000000000001</v>
      </c>
      <c r="V20" s="109">
        <f t="shared" si="3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90.535900061798699</v>
      </c>
      <c r="AI20" s="150">
        <f t="array" ref="AI20">IF(AI$1=0,"",SQRT((_xlfn.XLOOKUP(AI$1,$Z$2:$Z$18,$AA$2:$AA$18)-$T20)^2+(_xlfn.XLOOKUP(AI$1,$Z$2:$Z$18,$AB$2:$AB$18)-$U20)^2+(_xlfn.XLOOKUP(AI$1,$Z$2:$Z$18,$AC$2:$AC$18-$V20)^2)))</f>
        <v>87.809239263303041</v>
      </c>
      <c r="AJ20" s="150">
        <f t="array" ref="AJ20">IF(AJ$1=0,"",SQRT((_xlfn.XLOOKUP(AJ$1,$Z$2:$Z$18,$AA$2:$AA$18)-$T20)^2+(_xlfn.XLOOKUP(AJ$1,$Z$2:$Z$18,$AB$2:$AB$18)-$U20)^2+(_xlfn.XLOOKUP(AJ$1,$Z$2:$Z$18,$AC$2:$AC$18-$V20)^2)))</f>
        <v>155.19203362286351</v>
      </c>
      <c r="AK20" s="150">
        <f t="array" ref="AK20">IF(AK$1=0,"",SQRT((_xlfn.XLOOKUP(AK$1,$Z$2:$Z$18,$AA$2:$AA$18)-$T20)^2+(_xlfn.XLOOKUP(AK$1,$Z$2:$Z$18,$AB$2:$AB$18)-$U20)^2+(_xlfn.XLOOKUP(AK$1,$Z$2:$Z$18,$AC$2:$AC$18-$V20)^2)))</f>
        <v>215.28911560968427</v>
      </c>
      <c r="AL20" s="150">
        <f t="array" ref="AL20">IF(AL$1=0,"",SQRT((_xlfn.XLOOKUP(AL$1,$Z$2:$Z$18,$AA$2:$AA$18)-$T20)^2+(_xlfn.XLOOKUP(AL$1,$Z$2:$Z$18,$AB$2:$AB$18)-$U20)^2+(_xlfn.XLOOKUP(AL$1,$Z$2:$Z$18,$AC$2:$AC$18-$V20)^2)))</f>
        <v>127.92598875912587</v>
      </c>
      <c r="AM20" s="150" t="str">
        <f t="array" ref="AM20">IF(AM$1=0,"",SQRT((_xlfn.XLOOKUP(AM$1,$Z$2:$Z$18,$AA$2:$AA$18)-$T20)^2+(_xlfn.XLOOKUP(AM$1,$Z$2:$Z$18,$AB$2:$AB$18)-$U20)^2+(_xlfn.XLOOKUP(AM$1,$Z$2:$Z$18,$AC$2:$AC$18-$V20)^2)))</f>
        <v/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4"/>
        <v>-36.798514406595245</v>
      </c>
      <c r="AZ20" s="153">
        <f t="shared" si="5"/>
        <v>-36.532902229988785</v>
      </c>
      <c r="BA20" s="153">
        <f t="shared" si="6"/>
        <v>-41.479486419392771</v>
      </c>
      <c r="BB20" s="153">
        <f t="shared" si="7"/>
        <v>-44.322539411233699</v>
      </c>
      <c r="BC20" s="153">
        <f t="shared" si="8"/>
        <v>-39.801273584616801</v>
      </c>
      <c r="BD20" s="153">
        <f t="shared" si="9"/>
        <v>0</v>
      </c>
      <c r="BE20" s="153">
        <f t="shared" si="10"/>
        <v>0</v>
      </c>
      <c r="BF20" s="153">
        <f t="shared" si="11"/>
        <v>0</v>
      </c>
      <c r="BG20" s="154">
        <f t="shared" si="12"/>
        <v>0</v>
      </c>
      <c r="BH20" s="154">
        <f t="shared" si="13"/>
        <v>0</v>
      </c>
      <c r="BI20" s="154">
        <f t="shared" si="14"/>
        <v>0</v>
      </c>
      <c r="BJ20" s="154">
        <f t="shared" si="15"/>
        <v>0</v>
      </c>
      <c r="BK20" s="154">
        <f t="shared" si="16"/>
        <v>0</v>
      </c>
      <c r="BL20" s="154">
        <f t="shared" si="17"/>
        <v>0</v>
      </c>
      <c r="BM20" s="155">
        <f t="shared" si="18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>
        <v>7</v>
      </c>
      <c r="BW20" s="140">
        <v>15</v>
      </c>
      <c r="BX20" s="140">
        <v>12</v>
      </c>
      <c r="BY20" s="140">
        <v>11</v>
      </c>
      <c r="BZ20" s="140">
        <v>6</v>
      </c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34"/>
      <c r="CL20" s="134"/>
      <c r="CM20" s="156">
        <f t="shared" si="35"/>
        <v>29.201485593404755</v>
      </c>
      <c r="CN20" s="157">
        <f t="shared" si="36"/>
        <v>21.467097770011215</v>
      </c>
      <c r="CO20" s="157">
        <f t="shared" si="37"/>
        <v>19.520513580607229</v>
      </c>
      <c r="CP20" s="157">
        <f t="shared" si="38"/>
        <v>17.677460588766301</v>
      </c>
      <c r="CQ20" s="157">
        <f t="shared" si="39"/>
        <v>27.198726415383199</v>
      </c>
      <c r="CR20" s="157" t="str">
        <f t="shared" si="40"/>
        <v/>
      </c>
      <c r="CS20" s="157" t="str">
        <f t="shared" si="41"/>
        <v/>
      </c>
      <c r="CT20" s="157" t="str">
        <f t="shared" si="42"/>
        <v/>
      </c>
      <c r="CU20" s="158" t="str">
        <f t="shared" si="43"/>
        <v/>
      </c>
      <c r="CV20" s="158" t="str">
        <f t="shared" si="44"/>
        <v/>
      </c>
      <c r="CW20" s="158" t="str">
        <f t="shared" si="45"/>
        <v/>
      </c>
      <c r="CX20" s="158" t="str">
        <f t="shared" si="46"/>
        <v/>
      </c>
      <c r="CY20" s="143" t="str">
        <f t="shared" si="47"/>
        <v/>
      </c>
      <c r="CZ20" s="143" t="str">
        <f t="shared" si="48"/>
        <v/>
      </c>
      <c r="DA20" s="144" t="str">
        <f t="shared" si="49"/>
        <v/>
      </c>
    </row>
    <row r="21" spans="1:105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5" t="s">
        <v>140</v>
      </c>
      <c r="F21" s="213"/>
      <c r="G21" s="214"/>
      <c r="H21" s="214"/>
      <c r="I21" s="214"/>
      <c r="J21" s="214"/>
      <c r="K21" s="214"/>
      <c r="L21" s="214"/>
      <c r="M21" s="218"/>
      <c r="N21" s="213">
        <v>58</v>
      </c>
      <c r="O21" s="215">
        <v>5</v>
      </c>
      <c r="P21" s="208">
        <v>1</v>
      </c>
      <c r="Q21" s="128">
        <f t="shared" si="34"/>
        <v>73</v>
      </c>
      <c r="R21" s="3">
        <v>2</v>
      </c>
      <c r="S21" s="3"/>
      <c r="T21" s="4">
        <v>129.19999999999999</v>
      </c>
      <c r="U21" s="4">
        <v>137.57</v>
      </c>
      <c r="V21" s="109">
        <f t="shared" si="3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109.45523696927432</v>
      </c>
      <c r="AI21" s="150">
        <f t="array" ref="AI21">IF(AI$1=0,"",SQRT((_xlfn.XLOOKUP(AI$1,$Z$2:$Z$18,$AA$2:$AA$18)-$T21)^2+(_xlfn.XLOOKUP(AI$1,$Z$2:$Z$18,$AB$2:$AB$18)-$U21)^2+(_xlfn.XLOOKUP(AI$1,$Z$2:$Z$18,$AC$2:$AC$18-$V21)^2)))</f>
        <v>94.610868297463568</v>
      </c>
      <c r="AJ21" s="150">
        <f t="array" ref="AJ21">IF(AJ$1=0,"",SQRT((_xlfn.XLOOKUP(AJ$1,$Z$2:$Z$18,$AA$2:$AA$18)-$T21)^2+(_xlfn.XLOOKUP(AJ$1,$Z$2:$Z$18,$AB$2:$AB$18)-$U21)^2+(_xlfn.XLOOKUP(AJ$1,$Z$2:$Z$18,$AC$2:$AC$18-$V21)^2)))</f>
        <v>145.42249138286692</v>
      </c>
      <c r="AK21" s="150">
        <f t="array" ref="AK21">IF(AK$1=0,"",SQRT((_xlfn.XLOOKUP(AK$1,$Z$2:$Z$18,$AA$2:$AA$18)-$T21)^2+(_xlfn.XLOOKUP(AK$1,$Z$2:$Z$18,$AB$2:$AB$18)-$U21)^2+(_xlfn.XLOOKUP(AK$1,$Z$2:$Z$18,$AC$2:$AC$18-$V21)^2)))</f>
        <v>197.42167054302828</v>
      </c>
      <c r="AL21" s="150">
        <f t="array" ref="AL21">IF(AL$1=0,"",SQRT((_xlfn.XLOOKUP(AL$1,$Z$2:$Z$18,$AA$2:$AA$18)-$T21)^2+(_xlfn.XLOOKUP(AL$1,$Z$2:$Z$18,$AB$2:$AB$18)-$U21)^2+(_xlfn.XLOOKUP(AL$1,$Z$2:$Z$18,$AC$2:$AC$18-$V21)^2)))</f>
        <v>140.97761701773794</v>
      </c>
      <c r="AM21" s="150" t="str">
        <f t="array" ref="AM21">IF(AM$1=0,"",SQRT((_xlfn.XLOOKUP(AM$1,$Z$2:$Z$18,$AA$2:$AA$18)-$T21)^2+(_xlfn.XLOOKUP(AM$1,$Z$2:$Z$18,$AB$2:$AB$18)-$U21)^2+(_xlfn.XLOOKUP(AM$1,$Z$2:$Z$18,$AC$2:$AC$18-$V21)^2)))</f>
        <v/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4"/>
        <v>-38.446828847966557</v>
      </c>
      <c r="AZ21" s="153">
        <f t="shared" si="5"/>
        <v>-37.180918502283589</v>
      </c>
      <c r="BA21" s="153">
        <f t="shared" si="6"/>
        <v>-40.914729551308696</v>
      </c>
      <c r="BB21" s="153">
        <f t="shared" si="7"/>
        <v>-43.569994386958761</v>
      </c>
      <c r="BC21" s="153">
        <f t="shared" si="8"/>
        <v>-40.645101242901127</v>
      </c>
      <c r="BD21" s="153">
        <f t="shared" si="9"/>
        <v>0</v>
      </c>
      <c r="BE21" s="153">
        <f t="shared" si="10"/>
        <v>0</v>
      </c>
      <c r="BF21" s="153">
        <f t="shared" si="11"/>
        <v>0</v>
      </c>
      <c r="BG21" s="154">
        <f t="shared" si="12"/>
        <v>0</v>
      </c>
      <c r="BH21" s="154">
        <f t="shared" si="13"/>
        <v>0</v>
      </c>
      <c r="BI21" s="154">
        <f t="shared" si="14"/>
        <v>0</v>
      </c>
      <c r="BJ21" s="154">
        <f t="shared" si="15"/>
        <v>0</v>
      </c>
      <c r="BK21" s="154">
        <f t="shared" si="16"/>
        <v>0</v>
      </c>
      <c r="BL21" s="154">
        <f t="shared" si="17"/>
        <v>0</v>
      </c>
      <c r="BM21" s="155">
        <f t="shared" si="18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>
        <v>7</v>
      </c>
      <c r="BW21" s="140">
        <v>15</v>
      </c>
      <c r="BX21" s="140">
        <v>12</v>
      </c>
      <c r="BY21" s="140">
        <v>11</v>
      </c>
      <c r="BZ21" s="140">
        <v>5</v>
      </c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34"/>
      <c r="CL21" s="134"/>
      <c r="CM21" s="156">
        <f t="shared" si="35"/>
        <v>27.553171152033443</v>
      </c>
      <c r="CN21" s="157">
        <f t="shared" si="36"/>
        <v>20.819081497716411</v>
      </c>
      <c r="CO21" s="157">
        <f t="shared" si="37"/>
        <v>20.085270448691304</v>
      </c>
      <c r="CP21" s="157">
        <f t="shared" si="38"/>
        <v>18.430005613041239</v>
      </c>
      <c r="CQ21" s="157">
        <f t="shared" si="39"/>
        <v>27.354898757098873</v>
      </c>
      <c r="CR21" s="157" t="str">
        <f t="shared" si="40"/>
        <v/>
      </c>
      <c r="CS21" s="157" t="str">
        <f t="shared" si="41"/>
        <v/>
      </c>
      <c r="CT21" s="157" t="str">
        <f t="shared" si="42"/>
        <v/>
      </c>
      <c r="CU21" s="158" t="str">
        <f t="shared" si="43"/>
        <v/>
      </c>
      <c r="CV21" s="158" t="str">
        <f t="shared" si="44"/>
        <v/>
      </c>
      <c r="CW21" s="158" t="str">
        <f t="shared" si="45"/>
        <v/>
      </c>
      <c r="CX21" s="158" t="str">
        <f t="shared" si="46"/>
        <v/>
      </c>
      <c r="CY21" s="143" t="str">
        <f t="shared" si="47"/>
        <v/>
      </c>
      <c r="CZ21" s="143" t="str">
        <f t="shared" si="48"/>
        <v/>
      </c>
      <c r="DA21" s="144" t="str">
        <f t="shared" si="49"/>
        <v/>
      </c>
    </row>
    <row r="22" spans="1:105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5" t="s">
        <v>140</v>
      </c>
      <c r="F22" s="213"/>
      <c r="G22" s="214"/>
      <c r="H22" s="214"/>
      <c r="I22" s="214"/>
      <c r="J22" s="214"/>
      <c r="K22" s="214"/>
      <c r="L22" s="214"/>
      <c r="M22" s="218"/>
      <c r="N22" s="213">
        <v>58</v>
      </c>
      <c r="O22" s="215">
        <v>5</v>
      </c>
      <c r="P22" s="208">
        <v>1</v>
      </c>
      <c r="Q22" s="128">
        <f t="shared" si="34"/>
        <v>73</v>
      </c>
      <c r="R22" s="3">
        <v>2</v>
      </c>
      <c r="S22" s="3"/>
      <c r="T22" s="4">
        <v>148.85</v>
      </c>
      <c r="U22" s="4">
        <v>141.30000000000001</v>
      </c>
      <c r="V22" s="109">
        <f t="shared" si="3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128.59893973124349</v>
      </c>
      <c r="AI22" s="150">
        <f t="array" ref="AI22">IF(AI$1=0,"",SQRT((_xlfn.XLOOKUP(AI$1,$Z$2:$Z$18,$AA$2:$AA$18)-$T22)^2+(_xlfn.XLOOKUP(AI$1,$Z$2:$Z$18,$AB$2:$AB$18)-$U22)^2+(_xlfn.XLOOKUP(AI$1,$Z$2:$Z$18,$AC$2:$AC$18-$V22)^2)))</f>
        <v>104.64154910932845</v>
      </c>
      <c r="AJ22" s="150">
        <f t="array" ref="AJ22">IF(AJ$1=0,"",SQRT((_xlfn.XLOOKUP(AJ$1,$Z$2:$Z$18,$AA$2:$AA$18)-$T22)^2+(_xlfn.XLOOKUP(AJ$1,$Z$2:$Z$18,$AB$2:$AB$18)-$U22)^2+(_xlfn.XLOOKUP(AJ$1,$Z$2:$Z$18,$AC$2:$AC$18-$V22)^2)))</f>
        <v>137.67797790496491</v>
      </c>
      <c r="AK22" s="150">
        <f t="array" ref="AK22">IF(AK$1=0,"",SQRT((_xlfn.XLOOKUP(AK$1,$Z$2:$Z$18,$AA$2:$AA$18)-$T22)^2+(_xlfn.XLOOKUP(AK$1,$Z$2:$Z$18,$AB$2:$AB$18)-$U22)^2+(_xlfn.XLOOKUP(AK$1,$Z$2:$Z$18,$AC$2:$AC$18-$V22)^2)))</f>
        <v>179.94699941927345</v>
      </c>
      <c r="AL22" s="150">
        <f t="array" ref="AL22">IF(AL$1=0,"",SQRT((_xlfn.XLOOKUP(AL$1,$Z$2:$Z$18,$AA$2:$AA$18)-$T22)^2+(_xlfn.XLOOKUP(AL$1,$Z$2:$Z$18,$AB$2:$AB$18)-$U22)^2+(_xlfn.XLOOKUP(AL$1,$Z$2:$Z$18,$AC$2:$AC$18-$V22)^2)))</f>
        <v>155.64107844653353</v>
      </c>
      <c r="AM22" s="150" t="str">
        <f t="array" ref="AM22">IF(AM$1=0,"",SQRT((_xlfn.XLOOKUP(AM$1,$Z$2:$Z$18,$AA$2:$AA$18)-$T22)^2+(_xlfn.XLOOKUP(AM$1,$Z$2:$Z$18,$AB$2:$AB$18)-$U22)^2+(_xlfn.XLOOKUP(AM$1,$Z$2:$Z$18,$AC$2:$AC$18-$V22)^2)))</f>
        <v/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4"/>
        <v>-39.846845695824229</v>
      </c>
      <c r="AZ22" s="153">
        <f t="shared" si="5"/>
        <v>-38.056181143052562</v>
      </c>
      <c r="BA22" s="153">
        <f t="shared" si="6"/>
        <v>-40.439387513426404</v>
      </c>
      <c r="BB22" s="153">
        <f t="shared" si="7"/>
        <v>-42.764990122421842</v>
      </c>
      <c r="BC22" s="153">
        <f t="shared" si="8"/>
        <v>-41.504582564834543</v>
      </c>
      <c r="BD22" s="153">
        <f t="shared" si="9"/>
        <v>0</v>
      </c>
      <c r="BE22" s="153">
        <f t="shared" si="10"/>
        <v>0</v>
      </c>
      <c r="BF22" s="153">
        <f t="shared" si="11"/>
        <v>0</v>
      </c>
      <c r="BG22" s="154">
        <f t="shared" si="12"/>
        <v>0</v>
      </c>
      <c r="BH22" s="154">
        <f t="shared" si="13"/>
        <v>0</v>
      </c>
      <c r="BI22" s="154">
        <f t="shared" si="14"/>
        <v>0</v>
      </c>
      <c r="BJ22" s="154">
        <f t="shared" si="15"/>
        <v>0</v>
      </c>
      <c r="BK22" s="154">
        <f t="shared" si="16"/>
        <v>0</v>
      </c>
      <c r="BL22" s="154">
        <f t="shared" si="17"/>
        <v>0</v>
      </c>
      <c r="BM22" s="155">
        <f t="shared" si="18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>
        <v>7</v>
      </c>
      <c r="BW22" s="140">
        <v>15</v>
      </c>
      <c r="BX22" s="140">
        <v>15</v>
      </c>
      <c r="BY22" s="140">
        <v>10</v>
      </c>
      <c r="BZ22" s="140">
        <v>5</v>
      </c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34"/>
      <c r="CL22" s="134"/>
      <c r="CM22" s="156">
        <f t="shared" si="35"/>
        <v>26.153154304175771</v>
      </c>
      <c r="CN22" s="157">
        <f t="shared" si="36"/>
        <v>19.943818856947438</v>
      </c>
      <c r="CO22" s="157">
        <f t="shared" si="37"/>
        <v>17.560612486573596</v>
      </c>
      <c r="CP22" s="157">
        <f t="shared" si="38"/>
        <v>20.235009877578158</v>
      </c>
      <c r="CQ22" s="157">
        <f t="shared" si="39"/>
        <v>26.495417435165457</v>
      </c>
      <c r="CR22" s="157" t="str">
        <f t="shared" si="40"/>
        <v/>
      </c>
      <c r="CS22" s="157" t="str">
        <f t="shared" si="41"/>
        <v/>
      </c>
      <c r="CT22" s="157" t="str">
        <f t="shared" si="42"/>
        <v/>
      </c>
      <c r="CU22" s="158" t="str">
        <f t="shared" si="43"/>
        <v/>
      </c>
      <c r="CV22" s="158" t="str">
        <f t="shared" si="44"/>
        <v/>
      </c>
      <c r="CW22" s="158" t="str">
        <f t="shared" si="45"/>
        <v/>
      </c>
      <c r="CX22" s="158" t="str">
        <f t="shared" si="46"/>
        <v/>
      </c>
      <c r="CY22" s="143" t="str">
        <f t="shared" si="47"/>
        <v/>
      </c>
      <c r="CZ22" s="143" t="str">
        <f t="shared" si="48"/>
        <v/>
      </c>
      <c r="DA22" s="144" t="str">
        <f t="shared" si="49"/>
        <v/>
      </c>
    </row>
    <row r="23" spans="1:105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5" t="s">
        <v>141</v>
      </c>
      <c r="F23" s="213"/>
      <c r="G23" s="214"/>
      <c r="H23" s="214"/>
      <c r="I23" s="214"/>
      <c r="J23" s="214"/>
      <c r="K23" s="214"/>
      <c r="L23" s="214"/>
      <c r="M23" s="218"/>
      <c r="N23" s="213">
        <v>57.392737795737183</v>
      </c>
      <c r="O23" s="215">
        <v>0</v>
      </c>
      <c r="P23" s="208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3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21.422777597687933</v>
      </c>
      <c r="AI23" s="150">
        <f t="array" ref="AI23">IF(AI$1=0,"",SQRT((_xlfn.XLOOKUP(AI$1,$Z$2:$Z$18,$AA$2:$AA$18)-$T23)^2+(_xlfn.XLOOKUP(AI$1,$Z$2:$Z$18,$AB$2:$AB$18)-$U23)^2+(_xlfn.XLOOKUP(AI$1,$Z$2:$Z$18,$AC$2:$AC$18-$V23)^2)))</f>
        <v>69.948639014637024</v>
      </c>
      <c r="AJ23" s="150">
        <f t="array" ref="AJ23">IF(AJ$1=0,"",SQRT((_xlfn.XLOOKUP(AJ$1,$Z$2:$Z$18,$AA$2:$AA$18)-$T23)^2+(_xlfn.XLOOKUP(AJ$1,$Z$2:$Z$18,$AB$2:$AB$18)-$U23)^2+(_xlfn.XLOOKUP(AJ$1,$Z$2:$Z$18,$AC$2:$AC$18-$V23)^2)))</f>
        <v>176.30222034903588</v>
      </c>
      <c r="AK23" s="150">
        <f t="array" ref="AK23">IF(AK$1=0,"",SQRT((_xlfn.XLOOKUP(AK$1,$Z$2:$Z$18,$AA$2:$AA$18)-$T23)^2+(_xlfn.XLOOKUP(AK$1,$Z$2:$Z$18,$AB$2:$AB$18)-$U23)^2+(_xlfn.XLOOKUP(AK$1,$Z$2:$Z$18,$AC$2:$AC$18-$V23)^2)))</f>
        <v>267.17936091696907</v>
      </c>
      <c r="AL23" s="150">
        <f t="array" ref="AL23">IF(AL$1=0,"",SQRT((_xlfn.XLOOKUP(AL$1,$Z$2:$Z$18,$AA$2:$AA$18)-$T23)^2+(_xlfn.XLOOKUP(AL$1,$Z$2:$Z$18,$AB$2:$AB$18)-$U23)^2+(_xlfn.XLOOKUP(AL$1,$Z$2:$Z$18,$AC$2:$AC$18-$V23)^2)))</f>
        <v>139.65690817141842</v>
      </c>
      <c r="AM23" s="150" t="str">
        <f t="array" ref="AM23">IF(AM$1=0,"",SQRT((_xlfn.XLOOKUP(AM$1,$Z$2:$Z$18,$AA$2:$AA$18)-$T23)^2+(_xlfn.XLOOKUP(AM$1,$Z$2:$Z$18,$AB$2:$AB$18)-$U23)^2+(_xlfn.XLOOKUP(AM$1,$Z$2:$Z$18,$AC$2:$AC$18-$V23)^2)))</f>
        <v/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4"/>
        <v>-24.27961352001773</v>
      </c>
      <c r="AZ23" s="153">
        <f t="shared" si="5"/>
        <v>-34.557683314437661</v>
      </c>
      <c r="BA23" s="153">
        <f t="shared" si="6"/>
        <v>-42.587253573646251</v>
      </c>
      <c r="BB23" s="153">
        <f t="shared" si="7"/>
        <v>-46.198156070931674</v>
      </c>
      <c r="BC23" s="153">
        <f t="shared" si="8"/>
        <v>-40.563346398471083</v>
      </c>
      <c r="BD23" s="153">
        <f t="shared" si="9"/>
        <v>0</v>
      </c>
      <c r="BE23" s="153">
        <f t="shared" si="10"/>
        <v>0</v>
      </c>
      <c r="BF23" s="153">
        <f t="shared" si="11"/>
        <v>0</v>
      </c>
      <c r="BG23" s="154">
        <f t="shared" si="12"/>
        <v>0</v>
      </c>
      <c r="BH23" s="154">
        <f t="shared" si="13"/>
        <v>0</v>
      </c>
      <c r="BI23" s="154">
        <f t="shared" si="14"/>
        <v>0</v>
      </c>
      <c r="BJ23" s="154">
        <f t="shared" si="15"/>
        <v>0</v>
      </c>
      <c r="BK23" s="154">
        <f t="shared" si="16"/>
        <v>0</v>
      </c>
      <c r="BL23" s="154">
        <f t="shared" si="17"/>
        <v>0</v>
      </c>
      <c r="BM23" s="155">
        <f t="shared" si="18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>
        <v>0</v>
      </c>
      <c r="BW23" s="140">
        <v>0</v>
      </c>
      <c r="BX23" s="140">
        <v>0</v>
      </c>
      <c r="BY23" s="140">
        <v>13</v>
      </c>
      <c r="BZ23" s="140">
        <v>0</v>
      </c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34"/>
      <c r="CL23" s="134"/>
      <c r="CM23" s="156">
        <f t="shared" si="35"/>
        <v>32.720386479982267</v>
      </c>
      <c r="CN23" s="157">
        <f t="shared" si="36"/>
        <v>22.442316685562339</v>
      </c>
      <c r="CO23" s="157">
        <f t="shared" si="37"/>
        <v>14.412746426353749</v>
      </c>
      <c r="CP23" s="157">
        <f t="shared" si="38"/>
        <v>-2.1981560709316739</v>
      </c>
      <c r="CQ23" s="157">
        <f t="shared" si="39"/>
        <v>16.436653601528917</v>
      </c>
      <c r="CR23" s="157" t="str">
        <f t="shared" si="40"/>
        <v/>
      </c>
      <c r="CS23" s="157" t="str">
        <f t="shared" si="41"/>
        <v/>
      </c>
      <c r="CT23" s="157" t="str">
        <f t="shared" si="42"/>
        <v/>
      </c>
      <c r="CU23" s="158" t="str">
        <f t="shared" si="43"/>
        <v/>
      </c>
      <c r="CV23" s="158" t="str">
        <f t="shared" si="44"/>
        <v/>
      </c>
      <c r="CW23" s="158" t="str">
        <f t="shared" si="45"/>
        <v/>
      </c>
      <c r="CX23" s="158" t="str">
        <f t="shared" si="46"/>
        <v/>
      </c>
      <c r="CY23" s="143" t="str">
        <f t="shared" si="47"/>
        <v/>
      </c>
      <c r="CZ23" s="143" t="str">
        <f t="shared" si="48"/>
        <v/>
      </c>
      <c r="DA23" s="144" t="str">
        <f t="shared" si="49"/>
        <v/>
      </c>
    </row>
    <row r="24" spans="1:105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5" t="s">
        <v>142</v>
      </c>
      <c r="F24" s="213"/>
      <c r="G24" s="214"/>
      <c r="H24" s="214"/>
      <c r="I24" s="214"/>
      <c r="J24" s="214"/>
      <c r="K24" s="214"/>
      <c r="L24" s="214"/>
      <c r="M24" s="218"/>
      <c r="N24" s="213">
        <v>65.873120921161103</v>
      </c>
      <c r="O24" s="215">
        <v>0</v>
      </c>
      <c r="P24" s="208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3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43.107549222844945</v>
      </c>
      <c r="AI24" s="150">
        <f t="array" ref="AI24">IF(AI$1=0,"",SQRT((_xlfn.XLOOKUP(AI$1,$Z$2:$Z$18,$AA$2:$AA$18)-$T24)^2+(_xlfn.XLOOKUP(AI$1,$Z$2:$Z$18,$AB$2:$AB$18)-$U24)^2+(_xlfn.XLOOKUP(AI$1,$Z$2:$Z$18,$AC$2:$AC$18-$V24)^2)))</f>
        <v>57.558635320862159</v>
      </c>
      <c r="AJ24" s="150">
        <f t="array" ref="AJ24">IF(AJ$1=0,"",SQRT((_xlfn.XLOOKUP(AJ$1,$Z$2:$Z$18,$AA$2:$AA$18)-$T24)^2+(_xlfn.XLOOKUP(AJ$1,$Z$2:$Z$18,$AB$2:$AB$18)-$U24)^2+(_xlfn.XLOOKUP(AJ$1,$Z$2:$Z$18,$AC$2:$AC$18-$V24)^2)))</f>
        <v>156.83578195042099</v>
      </c>
      <c r="AK24" s="150">
        <f t="array" ref="AK24">IF(AK$1=0,"",SQRT((_xlfn.XLOOKUP(AK$1,$Z$2:$Z$18,$AA$2:$AA$18)-$T24)^2+(_xlfn.XLOOKUP(AK$1,$Z$2:$Z$18,$AB$2:$AB$18)-$U24)^2+(_xlfn.XLOOKUP(AK$1,$Z$2:$Z$18,$AC$2:$AC$18-$V24)^2)))</f>
        <v>244.22369356800746</v>
      </c>
      <c r="AL24" s="150">
        <f t="array" ref="AL24">IF(AL$1=0,"",SQRT((_xlfn.XLOOKUP(AL$1,$Z$2:$Z$18,$AA$2:$AA$18)-$T24)^2+(_xlfn.XLOOKUP(AL$1,$Z$2:$Z$18,$AB$2:$AB$18)-$U24)^2+(_xlfn.XLOOKUP(AL$1,$Z$2:$Z$18,$AC$2:$AC$18-$V24)^2)))</f>
        <v>143.25237101004646</v>
      </c>
      <c r="AM24" s="150" t="str">
        <f t="array" ref="AM24">IF(AM$1=0,"",SQRT((_xlfn.XLOOKUP(AM$1,$Z$2:$Z$18,$AA$2:$AA$18)-$T24)^2+(_xlfn.XLOOKUP(AM$1,$Z$2:$Z$18,$AB$2:$AB$18)-$U24)^2+(_xlfn.XLOOKUP(AM$1,$Z$2:$Z$18,$AC$2:$AC$18-$V24)^2)))</f>
        <v/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4"/>
        <v>-30.35316459245599</v>
      </c>
      <c r="AZ24" s="153">
        <f t="shared" si="5"/>
        <v>-32.864307707670243</v>
      </c>
      <c r="BA24" s="153">
        <f t="shared" si="6"/>
        <v>-41.571001008336623</v>
      </c>
      <c r="BB24" s="153">
        <f t="shared" si="7"/>
        <v>-45.417853838911512</v>
      </c>
      <c r="BC24" s="153">
        <f t="shared" si="8"/>
        <v>-40.784134313498711</v>
      </c>
      <c r="BD24" s="153">
        <f t="shared" si="9"/>
        <v>0</v>
      </c>
      <c r="BE24" s="153">
        <f t="shared" si="10"/>
        <v>0</v>
      </c>
      <c r="BF24" s="153">
        <f t="shared" si="11"/>
        <v>0</v>
      </c>
      <c r="BG24" s="154">
        <f t="shared" si="12"/>
        <v>0</v>
      </c>
      <c r="BH24" s="154">
        <f t="shared" si="13"/>
        <v>0</v>
      </c>
      <c r="BI24" s="154">
        <f t="shared" si="14"/>
        <v>0</v>
      </c>
      <c r="BJ24" s="154">
        <f t="shared" si="15"/>
        <v>0</v>
      </c>
      <c r="BK24" s="154">
        <f t="shared" si="16"/>
        <v>0</v>
      </c>
      <c r="BL24" s="154">
        <f t="shared" si="17"/>
        <v>0</v>
      </c>
      <c r="BM24" s="155">
        <f t="shared" si="18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>
        <v>0</v>
      </c>
      <c r="BW24" s="140">
        <v>0</v>
      </c>
      <c r="BX24" s="140">
        <v>10</v>
      </c>
      <c r="BY24" s="140">
        <v>13</v>
      </c>
      <c r="BZ24" s="140">
        <v>5</v>
      </c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34"/>
      <c r="CL24" s="134"/>
      <c r="CM24" s="156">
        <f t="shared" si="35"/>
        <v>35.64683540754401</v>
      </c>
      <c r="CN24" s="157">
        <f t="shared" si="36"/>
        <v>33.135692292329757</v>
      </c>
      <c r="CO24" s="157">
        <f t="shared" si="37"/>
        <v>14.428998991663377</v>
      </c>
      <c r="CP24" s="157">
        <f t="shared" si="38"/>
        <v>7.5821461610884882</v>
      </c>
      <c r="CQ24" s="157">
        <f t="shared" si="39"/>
        <v>20.215865686501289</v>
      </c>
      <c r="CR24" s="157" t="str">
        <f t="shared" si="40"/>
        <v/>
      </c>
      <c r="CS24" s="157" t="str">
        <f t="shared" si="41"/>
        <v/>
      </c>
      <c r="CT24" s="157" t="str">
        <f t="shared" si="42"/>
        <v/>
      </c>
      <c r="CU24" s="158" t="str">
        <f t="shared" si="43"/>
        <v/>
      </c>
      <c r="CV24" s="158" t="str">
        <f t="shared" si="44"/>
        <v/>
      </c>
      <c r="CW24" s="158" t="str">
        <f t="shared" si="45"/>
        <v/>
      </c>
      <c r="CX24" s="158" t="str">
        <f t="shared" si="46"/>
        <v/>
      </c>
      <c r="CY24" s="143" t="str">
        <f t="shared" si="47"/>
        <v/>
      </c>
      <c r="CZ24" s="143" t="str">
        <f t="shared" si="48"/>
        <v/>
      </c>
      <c r="DA24" s="144" t="str">
        <f t="shared" si="49"/>
        <v/>
      </c>
    </row>
    <row r="25" spans="1:105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5" t="s">
        <v>142</v>
      </c>
      <c r="F25" s="213"/>
      <c r="G25" s="214"/>
      <c r="H25" s="214"/>
      <c r="I25" s="214"/>
      <c r="J25" s="214"/>
      <c r="K25" s="214"/>
      <c r="L25" s="214"/>
      <c r="M25" s="218"/>
      <c r="N25" s="213">
        <v>65.873120921161103</v>
      </c>
      <c r="O25" s="215">
        <v>0</v>
      </c>
      <c r="P25" s="208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3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72.210140562112201</v>
      </c>
      <c r="AI25" s="150">
        <f t="array" ref="AI25">IF(AI$1=0,"",SQRT((_xlfn.XLOOKUP(AI$1,$Z$2:$Z$18,$AA$2:$AA$18)-$T25)^2+(_xlfn.XLOOKUP(AI$1,$Z$2:$Z$18,$AB$2:$AB$18)-$U25)^2+(_xlfn.XLOOKUP(AI$1,$Z$2:$Z$18,$AC$2:$AC$18-$V25)^2)))</f>
        <v>53.415081203719986</v>
      </c>
      <c r="AJ25" s="150">
        <f t="array" ref="AJ25">IF(AJ$1=0,"",SQRT((_xlfn.XLOOKUP(AJ$1,$Z$2:$Z$18,$AA$2:$AA$18)-$T25)^2+(_xlfn.XLOOKUP(AJ$1,$Z$2:$Z$18,$AB$2:$AB$18)-$U25)^2+(_xlfn.XLOOKUP(AJ$1,$Z$2:$Z$18,$AC$2:$AC$18-$V25)^2)))</f>
        <v>133.76545331287895</v>
      </c>
      <c r="AK25" s="150">
        <f t="array" ref="AK25">IF(AK$1=0,"",SQRT((_xlfn.XLOOKUP(AK$1,$Z$2:$Z$18,$AA$2:$AA$18)-$T25)^2+(_xlfn.XLOOKUP(AK$1,$Z$2:$Z$18,$AB$2:$AB$18)-$U25)^2+(_xlfn.XLOOKUP(AK$1,$Z$2:$Z$18,$AC$2:$AC$18-$V25)^2)))</f>
        <v>215.42380671597095</v>
      </c>
      <c r="AL25" s="150">
        <f t="array" ref="AL25">IF(AL$1=0,"",SQRT((_xlfn.XLOOKUP(AL$1,$Z$2:$Z$18,$AA$2:$AA$18)-$T25)^2+(_xlfn.XLOOKUP(AL$1,$Z$2:$Z$18,$AB$2:$AB$18)-$U25)^2+(_xlfn.XLOOKUP(AL$1,$Z$2:$Z$18,$AC$2:$AC$18-$V25)^2)))</f>
        <v>153.62790436636178</v>
      </c>
      <c r="AM25" s="150" t="str">
        <f t="array" ref="AM25">IF(AM$1=0,"",SQRT((_xlfn.XLOOKUP(AM$1,$Z$2:$Z$18,$AA$2:$AA$18)-$T25)^2+(_xlfn.XLOOKUP(AM$1,$Z$2:$Z$18,$AB$2:$AB$18)-$U25)^2+(_xlfn.XLOOKUP(AM$1,$Z$2:$Z$18,$AC$2:$AC$18-$V25)^2)))</f>
        <v/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4"/>
        <v>-34.834061744537181</v>
      </c>
      <c r="AZ25" s="153">
        <f t="shared" si="5"/>
        <v>-32.215375796174257</v>
      </c>
      <c r="BA25" s="153">
        <f t="shared" si="6"/>
        <v>-40.188977249987744</v>
      </c>
      <c r="BB25" s="153">
        <f t="shared" si="7"/>
        <v>-44.327971856196129</v>
      </c>
      <c r="BC25" s="153">
        <f t="shared" si="8"/>
        <v>-41.391500064861511</v>
      </c>
      <c r="BD25" s="153">
        <f t="shared" si="9"/>
        <v>0</v>
      </c>
      <c r="BE25" s="153">
        <f t="shared" si="10"/>
        <v>0</v>
      </c>
      <c r="BF25" s="153">
        <f t="shared" si="11"/>
        <v>0</v>
      </c>
      <c r="BG25" s="154">
        <f t="shared" si="12"/>
        <v>0</v>
      </c>
      <c r="BH25" s="154">
        <f t="shared" si="13"/>
        <v>0</v>
      </c>
      <c r="BI25" s="154">
        <f t="shared" si="14"/>
        <v>0</v>
      </c>
      <c r="BJ25" s="154">
        <f t="shared" si="15"/>
        <v>0</v>
      </c>
      <c r="BK25" s="154">
        <f t="shared" si="16"/>
        <v>0</v>
      </c>
      <c r="BL25" s="154">
        <f t="shared" si="17"/>
        <v>0</v>
      </c>
      <c r="BM25" s="155">
        <f t="shared" si="18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>
        <v>4</v>
      </c>
      <c r="BW25" s="140">
        <v>5</v>
      </c>
      <c r="BX25" s="140">
        <v>11</v>
      </c>
      <c r="BY25" s="140">
        <v>13</v>
      </c>
      <c r="BZ25" s="140">
        <v>8</v>
      </c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34"/>
      <c r="CL25" s="134"/>
      <c r="CM25" s="156">
        <f t="shared" si="35"/>
        <v>27.165938255462819</v>
      </c>
      <c r="CN25" s="157">
        <f t="shared" si="36"/>
        <v>28.784624203825743</v>
      </c>
      <c r="CO25" s="157">
        <f t="shared" si="37"/>
        <v>14.811022750012256</v>
      </c>
      <c r="CP25" s="157">
        <f t="shared" si="38"/>
        <v>8.6720281438038711</v>
      </c>
      <c r="CQ25" s="157">
        <f t="shared" si="39"/>
        <v>16.608499935138489</v>
      </c>
      <c r="CR25" s="157" t="str">
        <f t="shared" si="40"/>
        <v/>
      </c>
      <c r="CS25" s="157" t="str">
        <f t="shared" si="41"/>
        <v/>
      </c>
      <c r="CT25" s="157" t="str">
        <f t="shared" si="42"/>
        <v/>
      </c>
      <c r="CU25" s="158" t="str">
        <f t="shared" si="43"/>
        <v/>
      </c>
      <c r="CV25" s="158" t="str">
        <f t="shared" si="44"/>
        <v/>
      </c>
      <c r="CW25" s="158" t="str">
        <f t="shared" si="45"/>
        <v/>
      </c>
      <c r="CX25" s="158" t="str">
        <f t="shared" si="46"/>
        <v/>
      </c>
      <c r="CY25" s="143" t="str">
        <f t="shared" si="47"/>
        <v/>
      </c>
      <c r="CZ25" s="143" t="str">
        <f t="shared" si="48"/>
        <v/>
      </c>
      <c r="DA25" s="144" t="str">
        <f t="shared" si="49"/>
        <v/>
      </c>
    </row>
    <row r="26" spans="1:105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5" t="s">
        <v>142</v>
      </c>
      <c r="F26" s="213"/>
      <c r="G26" s="214"/>
      <c r="H26" s="214"/>
      <c r="I26" s="214"/>
      <c r="J26" s="214"/>
      <c r="K26" s="214"/>
      <c r="L26" s="214"/>
      <c r="M26" s="218"/>
      <c r="N26" s="213">
        <v>65.873120921161103</v>
      </c>
      <c r="O26" s="215">
        <v>0</v>
      </c>
      <c r="P26" s="208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3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99.260828628417144</v>
      </c>
      <c r="AI26" s="150">
        <f t="array" ref="AI26">IF(AI$1=0,"",SQRT((_xlfn.XLOOKUP(AI$1,$Z$2:$Z$18,$AA$2:$AA$18)-$T26)^2+(_xlfn.XLOOKUP(AI$1,$Z$2:$Z$18,$AB$2:$AB$18)-$U26)^2+(_xlfn.XLOOKUP(AI$1,$Z$2:$Z$18,$AC$2:$AC$18-$V26)^2)))</f>
        <v>64.84393109613265</v>
      </c>
      <c r="AJ26" s="150">
        <f t="array" ref="AJ26">IF(AJ$1=0,"",SQRT((_xlfn.XLOOKUP(AJ$1,$Z$2:$Z$18,$AA$2:$AA$18)-$T26)^2+(_xlfn.XLOOKUP(AJ$1,$Z$2:$Z$18,$AB$2:$AB$18)-$U26)^2+(_xlfn.XLOOKUP(AJ$1,$Z$2:$Z$18,$AC$2:$AC$18-$V26)^2)))</f>
        <v>117.23646531689702</v>
      </c>
      <c r="AK26" s="150">
        <f t="array" ref="AK26">IF(AK$1=0,"",SQRT((_xlfn.XLOOKUP(AK$1,$Z$2:$Z$18,$AA$2:$AA$18)-$T26)^2+(_xlfn.XLOOKUP(AK$1,$Z$2:$Z$18,$AB$2:$AB$18)-$U26)^2+(_xlfn.XLOOKUP(AK$1,$Z$2:$Z$18,$AC$2:$AC$18-$V26)^2)))</f>
        <v>189.7572285843151</v>
      </c>
      <c r="AL26" s="150">
        <f t="array" ref="AL26">IF(AL$1=0,"",SQRT((_xlfn.XLOOKUP(AL$1,$Z$2:$Z$18,$AA$2:$AA$18)-$T26)^2+(_xlfn.XLOOKUP(AL$1,$Z$2:$Z$18,$AB$2:$AB$18)-$U26)^2+(_xlfn.XLOOKUP(AL$1,$Z$2:$Z$18,$AC$2:$AC$18-$V26)^2)))</f>
        <v>165.30595784786462</v>
      </c>
      <c r="AM26" s="150" t="str">
        <f t="array" ref="AM26">IF(AM$1=0,"",SQRT((_xlfn.XLOOKUP(AM$1,$Z$2:$Z$18,$AA$2:$AA$18)-$T26)^2+(_xlfn.XLOOKUP(AM$1,$Z$2:$Z$18,$AB$2:$AB$18)-$U26)^2+(_xlfn.XLOOKUP(AM$1,$Z$2:$Z$18,$AC$2:$AC$18-$V26)^2)))</f>
        <v/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4"/>
        <v>-37.59765586418208</v>
      </c>
      <c r="AZ26" s="153">
        <f t="shared" si="5"/>
        <v>-33.899484649483227</v>
      </c>
      <c r="BA26" s="153">
        <f t="shared" si="6"/>
        <v>-39.043352256363363</v>
      </c>
      <c r="BB26" s="153">
        <f t="shared" si="7"/>
        <v>-43.226064513603937</v>
      </c>
      <c r="BC26" s="153">
        <f t="shared" si="8"/>
        <v>-42.027868065085286</v>
      </c>
      <c r="BD26" s="153">
        <f t="shared" si="9"/>
        <v>0</v>
      </c>
      <c r="BE26" s="153">
        <f t="shared" si="10"/>
        <v>0</v>
      </c>
      <c r="BF26" s="153">
        <f t="shared" si="11"/>
        <v>0</v>
      </c>
      <c r="BG26" s="154">
        <f t="shared" si="12"/>
        <v>0</v>
      </c>
      <c r="BH26" s="154">
        <f t="shared" si="13"/>
        <v>0</v>
      </c>
      <c r="BI26" s="154">
        <f t="shared" si="14"/>
        <v>0</v>
      </c>
      <c r="BJ26" s="154">
        <f t="shared" si="15"/>
        <v>0</v>
      </c>
      <c r="BK26" s="154">
        <f t="shared" si="16"/>
        <v>0</v>
      </c>
      <c r="BL26" s="154">
        <f t="shared" si="17"/>
        <v>0</v>
      </c>
      <c r="BM26" s="155">
        <f t="shared" si="18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>
        <v>5</v>
      </c>
      <c r="BW26" s="140">
        <v>7</v>
      </c>
      <c r="BX26" s="140">
        <v>11</v>
      </c>
      <c r="BY26" s="140">
        <v>11</v>
      </c>
      <c r="BZ26" s="140">
        <v>8</v>
      </c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K26" s="134"/>
      <c r="CL26" s="134"/>
      <c r="CM26" s="156">
        <f t="shared" si="35"/>
        <v>23.40234413581792</v>
      </c>
      <c r="CN26" s="157">
        <f t="shared" si="36"/>
        <v>25.100515350516773</v>
      </c>
      <c r="CO26" s="157">
        <f t="shared" si="37"/>
        <v>15.956647743636637</v>
      </c>
      <c r="CP26" s="157">
        <f t="shared" si="38"/>
        <v>11.773935486396063</v>
      </c>
      <c r="CQ26" s="157">
        <f t="shared" si="39"/>
        <v>15.972131934914714</v>
      </c>
      <c r="CR26" s="157" t="str">
        <f t="shared" si="40"/>
        <v/>
      </c>
      <c r="CS26" s="157" t="str">
        <f t="shared" si="41"/>
        <v/>
      </c>
      <c r="CT26" s="157" t="str">
        <f t="shared" si="42"/>
        <v/>
      </c>
      <c r="CU26" s="158" t="str">
        <f t="shared" si="43"/>
        <v/>
      </c>
      <c r="CV26" s="158" t="str">
        <f t="shared" si="44"/>
        <v/>
      </c>
      <c r="CW26" s="158" t="str">
        <f t="shared" si="45"/>
        <v/>
      </c>
      <c r="CX26" s="158" t="str">
        <f t="shared" si="46"/>
        <v/>
      </c>
      <c r="CY26" s="143" t="str">
        <f t="shared" si="47"/>
        <v/>
      </c>
      <c r="CZ26" s="143" t="str">
        <f t="shared" si="48"/>
        <v/>
      </c>
      <c r="DA26" s="144" t="str">
        <f t="shared" si="49"/>
        <v/>
      </c>
    </row>
    <row r="27" spans="1:105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5" t="s">
        <v>142</v>
      </c>
      <c r="F27" s="213"/>
      <c r="G27" s="214"/>
      <c r="H27" s="214"/>
      <c r="I27" s="214"/>
      <c r="J27" s="214"/>
      <c r="K27" s="214"/>
      <c r="L27" s="214"/>
      <c r="M27" s="218"/>
      <c r="N27" s="213">
        <v>65.873120921161103</v>
      </c>
      <c r="O27" s="215">
        <v>0</v>
      </c>
      <c r="P27" s="208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3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133.16029212944827</v>
      </c>
      <c r="AI27" s="150">
        <f t="array" ref="AI27">IF(AI$1=0,"",SQRT((_xlfn.XLOOKUP(AI$1,$Z$2:$Z$18,$AA$2:$AA$18)-$T27)^2+(_xlfn.XLOOKUP(AI$1,$Z$2:$Z$18,$AB$2:$AB$18)-$U27)^2+(_xlfn.XLOOKUP(AI$1,$Z$2:$Z$18,$AC$2:$AC$18-$V27)^2)))</f>
        <v>75.541051753334756</v>
      </c>
      <c r="AJ27" s="150">
        <f t="array" ref="AJ27">IF(AJ$1=0,"",SQRT((_xlfn.XLOOKUP(AJ$1,$Z$2:$Z$18,$AA$2:$AA$18)-$T27)^2+(_xlfn.XLOOKUP(AJ$1,$Z$2:$Z$18,$AB$2:$AB$18)-$U27)^2+(_xlfn.XLOOKUP(AJ$1,$Z$2:$Z$18,$AC$2:$AC$18-$V27)^2)))</f>
        <v>78.104346229899392</v>
      </c>
      <c r="AK27" s="150">
        <f t="array" ref="AK27">IF(AK$1=0,"",SQRT((_xlfn.XLOOKUP(AK$1,$Z$2:$Z$18,$AA$2:$AA$18)-$T27)^2+(_xlfn.XLOOKUP(AK$1,$Z$2:$Z$18,$AB$2:$AB$18)-$U27)^2+(_xlfn.XLOOKUP(AK$1,$Z$2:$Z$18,$AC$2:$AC$18-$V27)^2)))</f>
        <v>155.0886033852907</v>
      </c>
      <c r="AL27" s="150">
        <f t="array" ref="AL27">IF(AL$1=0,"",SQRT((_xlfn.XLOOKUP(AL$1,$Z$2:$Z$18,$AA$2:$AA$18)-$T27)^2+(_xlfn.XLOOKUP(AL$1,$Z$2:$Z$18,$AB$2:$AB$18)-$U27)^2+(_xlfn.XLOOKUP(AL$1,$Z$2:$Z$18,$AC$2:$AC$18-$V27)^2)))</f>
        <v>204.7368125179251</v>
      </c>
      <c r="AM27" s="150" t="str">
        <f t="array" ref="AM27">IF(AM$1=0,"",SQRT((_xlfn.XLOOKUP(AM$1,$Z$2:$Z$18,$AA$2:$AA$18)-$T27)^2+(_xlfn.XLOOKUP(AM$1,$Z$2:$Z$18,$AB$2:$AB$18)-$U27)^2+(_xlfn.XLOOKUP(AM$1,$Z$2:$Z$18,$AC$2:$AC$18-$V27)^2)))</f>
        <v/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4"/>
        <v>-40.149592721907098</v>
      </c>
      <c r="AZ27" s="153">
        <f t="shared" si="5"/>
        <v>-35.225758480702112</v>
      </c>
      <c r="BA27" s="153">
        <f t="shared" si="6"/>
        <v>-35.515601966884013</v>
      </c>
      <c r="BB27" s="153">
        <f t="shared" si="7"/>
        <v>-41.473695638048923</v>
      </c>
      <c r="BC27" s="153">
        <f t="shared" si="8"/>
        <v>-43.886016689157323</v>
      </c>
      <c r="BD27" s="153">
        <f t="shared" si="9"/>
        <v>0</v>
      </c>
      <c r="BE27" s="153">
        <f t="shared" si="10"/>
        <v>0</v>
      </c>
      <c r="BF27" s="153">
        <f t="shared" si="11"/>
        <v>0</v>
      </c>
      <c r="BG27" s="154">
        <f t="shared" si="12"/>
        <v>0</v>
      </c>
      <c r="BH27" s="154">
        <f t="shared" si="13"/>
        <v>0</v>
      </c>
      <c r="BI27" s="154">
        <f t="shared" si="14"/>
        <v>0</v>
      </c>
      <c r="BJ27" s="154">
        <f t="shared" si="15"/>
        <v>0</v>
      </c>
      <c r="BK27" s="154">
        <f t="shared" si="16"/>
        <v>0</v>
      </c>
      <c r="BL27" s="154">
        <f t="shared" si="17"/>
        <v>0</v>
      </c>
      <c r="BM27" s="155">
        <f t="shared" si="18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>
        <v>0</v>
      </c>
      <c r="BW27" s="140">
        <v>0</v>
      </c>
      <c r="BX27" s="140">
        <v>11</v>
      </c>
      <c r="BY27" s="140">
        <v>11</v>
      </c>
      <c r="BZ27" s="140">
        <v>9</v>
      </c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K27" s="134"/>
      <c r="CL27" s="134"/>
      <c r="CM27" s="156">
        <f t="shared" si="35"/>
        <v>25.850407278092902</v>
      </c>
      <c r="CN27" s="157">
        <f t="shared" si="36"/>
        <v>30.774241519297888</v>
      </c>
      <c r="CO27" s="157">
        <f t="shared" si="37"/>
        <v>19.484398033115987</v>
      </c>
      <c r="CP27" s="157">
        <f t="shared" si="38"/>
        <v>13.526304361951077</v>
      </c>
      <c r="CQ27" s="157">
        <f t="shared" si="39"/>
        <v>13.113983310842677</v>
      </c>
      <c r="CR27" s="157" t="str">
        <f t="shared" si="40"/>
        <v/>
      </c>
      <c r="CS27" s="157" t="str">
        <f t="shared" si="41"/>
        <v/>
      </c>
      <c r="CT27" s="157" t="str">
        <f t="shared" si="42"/>
        <v/>
      </c>
      <c r="CU27" s="158" t="str">
        <f t="shared" si="43"/>
        <v/>
      </c>
      <c r="CV27" s="158" t="str">
        <f t="shared" si="44"/>
        <v/>
      </c>
      <c r="CW27" s="158" t="str">
        <f t="shared" si="45"/>
        <v/>
      </c>
      <c r="CX27" s="158" t="str">
        <f t="shared" si="46"/>
        <v/>
      </c>
      <c r="CY27" s="143" t="str">
        <f t="shared" si="47"/>
        <v/>
      </c>
      <c r="CZ27" s="143" t="str">
        <f t="shared" si="48"/>
        <v/>
      </c>
      <c r="DA27" s="144" t="str">
        <f t="shared" si="49"/>
        <v/>
      </c>
    </row>
    <row r="28" spans="1:105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5" t="s">
        <v>142</v>
      </c>
      <c r="F28" s="213"/>
      <c r="G28" s="214"/>
      <c r="H28" s="214"/>
      <c r="I28" s="214"/>
      <c r="J28" s="214"/>
      <c r="K28" s="214"/>
      <c r="L28" s="214"/>
      <c r="M28" s="218"/>
      <c r="N28" s="213">
        <v>65.873120921161103</v>
      </c>
      <c r="O28" s="215">
        <v>0</v>
      </c>
      <c r="P28" s="208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3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142.48560243056139</v>
      </c>
      <c r="AI28" s="150">
        <f t="array" ref="AI28">IF(AI$1=0,"",SQRT((_xlfn.XLOOKUP(AI$1,$Z$2:$Z$18,$AA$2:$AA$18)-$T28)^2+(_xlfn.XLOOKUP(AI$1,$Z$2:$Z$18,$AB$2:$AB$18)-$U28)^2+(_xlfn.XLOOKUP(AI$1,$Z$2:$Z$18,$AC$2:$AC$18-$V28)^2)))</f>
        <v>75.407735677448898</v>
      </c>
      <c r="AJ28" s="150">
        <f t="array" ref="AJ28">IF(AJ$1=0,"",SQRT((_xlfn.XLOOKUP(AJ$1,$Z$2:$Z$18,$AA$2:$AA$18)-$T28)^2+(_xlfn.XLOOKUP(AJ$1,$Z$2:$Z$18,$AB$2:$AB$18)-$U28)^2+(_xlfn.XLOOKUP(AJ$1,$Z$2:$Z$18,$AC$2:$AC$18-$V28)^2)))</f>
        <v>56.406598904738082</v>
      </c>
      <c r="AK28" s="150">
        <f t="array" ref="AK28">IF(AK$1=0,"",SQRT((_xlfn.XLOOKUP(AK$1,$Z$2:$Z$18,$AA$2:$AA$18)-$T28)^2+(_xlfn.XLOOKUP(AK$1,$Z$2:$Z$18,$AB$2:$AB$18)-$U28)^2+(_xlfn.XLOOKUP(AK$1,$Z$2:$Z$18,$AC$2:$AC$18-$V28)^2)))</f>
        <v>153.51262944787314</v>
      </c>
      <c r="AL28" s="150">
        <f t="array" ref="AL28">IF(AL$1=0,"",SQRT((_xlfn.XLOOKUP(AL$1,$Z$2:$Z$18,$AA$2:$AA$18)-$T28)^2+(_xlfn.XLOOKUP(AL$1,$Z$2:$Z$18,$AB$2:$AB$18)-$U28)^2+(_xlfn.XLOOKUP(AL$1,$Z$2:$Z$18,$AC$2:$AC$18-$V28)^2)))</f>
        <v>227.49873955694787</v>
      </c>
      <c r="AM28" s="150" t="str">
        <f t="array" ref="AM28">IF(AM$1=0,"",SQRT((_xlfn.XLOOKUP(AM$1,$Z$2:$Z$18,$AA$2:$AA$18)-$T28)^2+(_xlfn.XLOOKUP(AM$1,$Z$2:$Z$18,$AB$2:$AB$18)-$U28)^2+(_xlfn.XLOOKUP(AM$1,$Z$2:$Z$18,$AC$2:$AC$18-$V28)^2)))</f>
        <v/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4"/>
        <v>-40.737517595632369</v>
      </c>
      <c r="AZ28" s="153">
        <f t="shared" si="5"/>
        <v>-35.210415939130058</v>
      </c>
      <c r="BA28" s="153">
        <f t="shared" si="6"/>
        <v>-32.688696222369288</v>
      </c>
      <c r="BB28" s="153">
        <f t="shared" si="7"/>
        <v>-41.384980148687582</v>
      </c>
      <c r="BC28" s="153">
        <f t="shared" si="8"/>
        <v>-44.801677833280422</v>
      </c>
      <c r="BD28" s="153">
        <f t="shared" si="9"/>
        <v>0</v>
      </c>
      <c r="BE28" s="153">
        <f t="shared" si="10"/>
        <v>0</v>
      </c>
      <c r="BF28" s="153">
        <f t="shared" si="11"/>
        <v>0</v>
      </c>
      <c r="BG28" s="154">
        <f t="shared" si="12"/>
        <v>0</v>
      </c>
      <c r="BH28" s="154">
        <f t="shared" si="13"/>
        <v>0</v>
      </c>
      <c r="BI28" s="154">
        <f t="shared" si="14"/>
        <v>0</v>
      </c>
      <c r="BJ28" s="154">
        <f t="shared" si="15"/>
        <v>0</v>
      </c>
      <c r="BK28" s="154">
        <f t="shared" si="16"/>
        <v>0</v>
      </c>
      <c r="BL28" s="154">
        <f t="shared" si="17"/>
        <v>0</v>
      </c>
      <c r="BM28" s="155">
        <f t="shared" si="18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>
        <v>0</v>
      </c>
      <c r="BW28" s="140">
        <v>0</v>
      </c>
      <c r="BX28" s="140">
        <v>7</v>
      </c>
      <c r="BY28" s="140">
        <v>10</v>
      </c>
      <c r="BZ28" s="140">
        <v>10</v>
      </c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K28" s="134"/>
      <c r="CL28" s="134"/>
      <c r="CM28" s="156">
        <f t="shared" si="35"/>
        <v>25.262482404367631</v>
      </c>
      <c r="CN28" s="157">
        <f t="shared" si="36"/>
        <v>30.789584060869942</v>
      </c>
      <c r="CO28" s="157">
        <f t="shared" si="37"/>
        <v>26.311303777630712</v>
      </c>
      <c r="CP28" s="157">
        <f t="shared" si="38"/>
        <v>14.615019851312418</v>
      </c>
      <c r="CQ28" s="157">
        <f t="shared" si="39"/>
        <v>11.198322166719578</v>
      </c>
      <c r="CR28" s="157" t="str">
        <f t="shared" si="40"/>
        <v/>
      </c>
      <c r="CS28" s="157" t="str">
        <f t="shared" si="41"/>
        <v/>
      </c>
      <c r="CT28" s="157" t="str">
        <f t="shared" si="42"/>
        <v/>
      </c>
      <c r="CU28" s="158" t="str">
        <f t="shared" si="43"/>
        <v/>
      </c>
      <c r="CV28" s="158" t="str">
        <f t="shared" si="44"/>
        <v/>
      </c>
      <c r="CW28" s="158" t="str">
        <f t="shared" si="45"/>
        <v/>
      </c>
      <c r="CX28" s="158" t="str">
        <f t="shared" si="46"/>
        <v/>
      </c>
      <c r="CY28" s="143" t="str">
        <f t="shared" si="47"/>
        <v/>
      </c>
      <c r="CZ28" s="143" t="str">
        <f t="shared" si="48"/>
        <v/>
      </c>
      <c r="DA28" s="144" t="str">
        <f t="shared" si="49"/>
        <v/>
      </c>
    </row>
    <row r="29" spans="1:105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5" t="s">
        <v>141</v>
      </c>
      <c r="F29" s="213"/>
      <c r="G29" s="214"/>
      <c r="H29" s="214"/>
      <c r="I29" s="214"/>
      <c r="J29" s="214"/>
      <c r="K29" s="214"/>
      <c r="L29" s="214"/>
      <c r="M29" s="218"/>
      <c r="N29" s="213">
        <v>57.392737795737183</v>
      </c>
      <c r="O29" s="215">
        <v>0</v>
      </c>
      <c r="P29" s="208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3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155.90178991916673</v>
      </c>
      <c r="AI29" s="150">
        <f t="array" ref="AI29">IF(AI$1=0,"",SQRT((_xlfn.XLOOKUP(AI$1,$Z$2:$Z$18,$AA$2:$AA$18)-$T29)^2+(_xlfn.XLOOKUP(AI$1,$Z$2:$Z$18,$AB$2:$AB$18)-$U29)^2+(_xlfn.XLOOKUP(AI$1,$Z$2:$Z$18,$AC$2:$AC$18-$V29)^2)))</f>
        <v>84.775546002370277</v>
      </c>
      <c r="AJ29" s="150">
        <f t="array" ref="AJ29">IF(AJ$1=0,"",SQRT((_xlfn.XLOOKUP(AJ$1,$Z$2:$Z$18,$AA$2:$AA$18)-$T29)^2+(_xlfn.XLOOKUP(AJ$1,$Z$2:$Z$18,$AB$2:$AB$18)-$U29)^2+(_xlfn.XLOOKUP(AJ$1,$Z$2:$Z$18,$AC$2:$AC$18-$V29)^2)))</f>
        <v>42.541802970725158</v>
      </c>
      <c r="AK29" s="150">
        <f t="array" ref="AK29">IF(AK$1=0,"",SQRT((_xlfn.XLOOKUP(AK$1,$Z$2:$Z$18,$AA$2:$AA$18)-$T29)^2+(_xlfn.XLOOKUP(AK$1,$Z$2:$Z$18,$AB$2:$AB$18)-$U29)^2+(_xlfn.XLOOKUP(AK$1,$Z$2:$Z$18,$AC$2:$AC$18-$V29)^2)))</f>
        <v>155.47675067353322</v>
      </c>
      <c r="AL29" s="150">
        <f t="array" ref="AL29">IF(AL$1=0,"",SQRT((_xlfn.XLOOKUP(AL$1,$Z$2:$Z$18,$AA$2:$AA$18)-$T29)^2+(_xlfn.XLOOKUP(AL$1,$Z$2:$Z$18,$AB$2:$AB$18)-$U29)^2+(_xlfn.XLOOKUP(AL$1,$Z$2:$Z$18,$AC$2:$AC$18-$V29)^2)))</f>
        <v>249.75505380272088</v>
      </c>
      <c r="AM29" s="150" t="str">
        <f t="array" ref="AM29">IF(AM$1=0,"",SQRT((_xlfn.XLOOKUP(AM$1,$Z$2:$Z$18,$AA$2:$AA$18)-$T29)^2+(_xlfn.XLOOKUP(AM$1,$Z$2:$Z$18,$AB$2:$AB$18)-$U29)^2+(_xlfn.XLOOKUP(AM$1,$Z$2:$Z$18,$AC$2:$AC$18-$V29)^2)))</f>
        <v/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4"/>
        <v>-41.519119964577712</v>
      </c>
      <c r="AZ29" s="153">
        <f t="shared" si="5"/>
        <v>-36.227509848147307</v>
      </c>
      <c r="BA29" s="153">
        <f t="shared" si="6"/>
        <v>-30.238415774098335</v>
      </c>
      <c r="BB29" s="153">
        <f t="shared" si="7"/>
        <v>-41.495407050608833</v>
      </c>
      <c r="BC29" s="153">
        <f t="shared" si="8"/>
        <v>-45.612383635968108</v>
      </c>
      <c r="BD29" s="153">
        <f t="shared" si="9"/>
        <v>0</v>
      </c>
      <c r="BE29" s="153">
        <f t="shared" si="10"/>
        <v>0</v>
      </c>
      <c r="BF29" s="153">
        <f t="shared" si="11"/>
        <v>0</v>
      </c>
      <c r="BG29" s="154">
        <f t="shared" si="12"/>
        <v>0</v>
      </c>
      <c r="BH29" s="154">
        <f t="shared" si="13"/>
        <v>0</v>
      </c>
      <c r="BI29" s="154">
        <f t="shared" si="14"/>
        <v>0</v>
      </c>
      <c r="BJ29" s="154">
        <f t="shared" si="15"/>
        <v>0</v>
      </c>
      <c r="BK29" s="154">
        <f t="shared" si="16"/>
        <v>0</v>
      </c>
      <c r="BL29" s="154">
        <f t="shared" si="17"/>
        <v>0</v>
      </c>
      <c r="BM29" s="155">
        <f t="shared" si="18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>
        <v>0</v>
      </c>
      <c r="BW29" s="140">
        <v>0</v>
      </c>
      <c r="BX29" s="140">
        <v>0</v>
      </c>
      <c r="BY29" s="140">
        <v>11</v>
      </c>
      <c r="BZ29" s="140">
        <v>11</v>
      </c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34"/>
      <c r="CL29" s="134"/>
      <c r="CM29" s="156">
        <f t="shared" si="35"/>
        <v>15.480880035422288</v>
      </c>
      <c r="CN29" s="157">
        <f t="shared" si="36"/>
        <v>20.772490151852693</v>
      </c>
      <c r="CO29" s="157">
        <f t="shared" si="37"/>
        <v>26.761584225901665</v>
      </c>
      <c r="CP29" s="157">
        <f t="shared" si="38"/>
        <v>4.5045929493911672</v>
      </c>
      <c r="CQ29" s="157">
        <f t="shared" si="39"/>
        <v>0.38761636403189215</v>
      </c>
      <c r="CR29" s="157" t="str">
        <f t="shared" si="40"/>
        <v/>
      </c>
      <c r="CS29" s="157" t="str">
        <f t="shared" si="41"/>
        <v/>
      </c>
      <c r="CT29" s="157" t="str">
        <f t="shared" si="42"/>
        <v/>
      </c>
      <c r="CU29" s="158" t="str">
        <f t="shared" si="43"/>
        <v/>
      </c>
      <c r="CV29" s="158" t="str">
        <f t="shared" si="44"/>
        <v/>
      </c>
      <c r="CW29" s="158" t="str">
        <f t="shared" si="45"/>
        <v/>
      </c>
      <c r="CX29" s="158" t="str">
        <f t="shared" si="46"/>
        <v/>
      </c>
      <c r="CY29" s="143" t="str">
        <f t="shared" si="47"/>
        <v/>
      </c>
      <c r="CZ29" s="143" t="str">
        <f t="shared" si="48"/>
        <v/>
      </c>
      <c r="DA29" s="144" t="str">
        <f t="shared" si="49"/>
        <v/>
      </c>
    </row>
    <row r="30" spans="1:105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5" t="s">
        <v>141</v>
      </c>
      <c r="F30" s="213"/>
      <c r="G30" s="214"/>
      <c r="H30" s="214"/>
      <c r="I30" s="214"/>
      <c r="J30" s="214"/>
      <c r="K30" s="214"/>
      <c r="L30" s="214"/>
      <c r="M30" s="218"/>
      <c r="N30" s="213">
        <v>57.392737795737183</v>
      </c>
      <c r="O30" s="215">
        <v>0</v>
      </c>
      <c r="P30" s="208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3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193.11837535563518</v>
      </c>
      <c r="AI30" s="150">
        <f t="array" ref="AI30">IF(AI$1=0,"",SQRT((_xlfn.XLOOKUP(AI$1,$Z$2:$Z$18,$AA$2:$AA$18)-$T30)^2+(_xlfn.XLOOKUP(AI$1,$Z$2:$Z$18,$AB$2:$AB$18)-$U30)^2+(_xlfn.XLOOKUP(AI$1,$Z$2:$Z$18,$AC$2:$AC$18-$V30)^2)))</f>
        <v>121.36919708064316</v>
      </c>
      <c r="AJ30" s="150">
        <f t="array" ref="AJ30">IF(AJ$1=0,"",SQRT((_xlfn.XLOOKUP(AJ$1,$Z$2:$Z$18,$AA$2:$AA$18)-$T30)^2+(_xlfn.XLOOKUP(AJ$1,$Z$2:$Z$18,$AB$2:$AB$18)-$U30)^2+(_xlfn.XLOOKUP(AJ$1,$Z$2:$Z$18,$AC$2:$AC$18-$V30)^2)))</f>
        <v>20.178389430279118</v>
      </c>
      <c r="AK30" s="150">
        <f t="array" ref="AK30">IF(AK$1=0,"",SQRT((_xlfn.XLOOKUP(AK$1,$Z$2:$Z$18,$AA$2:$AA$18)-$T30)^2+(_xlfn.XLOOKUP(AK$1,$Z$2:$Z$18,$AB$2:$AB$18)-$U30)^2+(_xlfn.XLOOKUP(AK$1,$Z$2:$Z$18,$AC$2:$AC$18-$V30)^2)))</f>
        <v>115.191312172403</v>
      </c>
      <c r="AL30" s="150">
        <f t="array" ref="AL30">IF(AL$1=0,"",SQRT((_xlfn.XLOOKUP(AL$1,$Z$2:$Z$18,$AA$2:$AA$18)-$T30)^2+(_xlfn.XLOOKUP(AL$1,$Z$2:$Z$18,$AB$2:$AB$18)-$U30)^2+(_xlfn.XLOOKUP(AL$1,$Z$2:$Z$18,$AC$2:$AC$18-$V30)^2)))</f>
        <v>273.46134809146253</v>
      </c>
      <c r="AM30" s="150" t="str">
        <f t="array" ref="AM30">IF(AM$1=0,"",SQRT((_xlfn.XLOOKUP(AM$1,$Z$2:$Z$18,$AA$2:$AA$18)-$T30)^2+(_xlfn.XLOOKUP(AM$1,$Z$2:$Z$18,$AB$2:$AB$18)-$U30)^2+(_xlfn.XLOOKUP(AM$1,$Z$2:$Z$18,$AC$2:$AC$18-$V30)^2)))</f>
        <v/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4"/>
        <v>-43.37856992063805</v>
      </c>
      <c r="AZ30" s="153">
        <f t="shared" si="5"/>
        <v>-39.344267514330525</v>
      </c>
      <c r="BA30" s="153">
        <f t="shared" si="6"/>
        <v>-23.759827924746016</v>
      </c>
      <c r="BB30" s="153">
        <f t="shared" si="7"/>
        <v>-38.890492446130118</v>
      </c>
      <c r="BC30" s="153">
        <f t="shared" si="8"/>
        <v>-46.400016945432725</v>
      </c>
      <c r="BD30" s="153">
        <f t="shared" si="9"/>
        <v>0</v>
      </c>
      <c r="BE30" s="153">
        <f t="shared" si="10"/>
        <v>0</v>
      </c>
      <c r="BF30" s="153">
        <f t="shared" si="11"/>
        <v>0</v>
      </c>
      <c r="BG30" s="154">
        <f t="shared" si="12"/>
        <v>0</v>
      </c>
      <c r="BH30" s="154">
        <f t="shared" si="13"/>
        <v>0</v>
      </c>
      <c r="BI30" s="154">
        <f t="shared" si="14"/>
        <v>0</v>
      </c>
      <c r="BJ30" s="154">
        <f t="shared" si="15"/>
        <v>0</v>
      </c>
      <c r="BK30" s="154">
        <f t="shared" si="16"/>
        <v>0</v>
      </c>
      <c r="BL30" s="154">
        <f t="shared" si="17"/>
        <v>0</v>
      </c>
      <c r="BM30" s="155">
        <f t="shared" si="18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>
        <v>1</v>
      </c>
      <c r="BW30" s="140">
        <v>12</v>
      </c>
      <c r="BX30" s="140">
        <v>8</v>
      </c>
      <c r="BY30" s="140">
        <v>7</v>
      </c>
      <c r="BZ30" s="140">
        <v>10</v>
      </c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  <c r="CK30" s="134"/>
      <c r="CL30" s="134"/>
      <c r="CM30" s="156">
        <f t="shared" si="35"/>
        <v>12.62143007936195</v>
      </c>
      <c r="CN30" s="157">
        <f t="shared" si="36"/>
        <v>5.6557324856694748</v>
      </c>
      <c r="CO30" s="157">
        <f t="shared" si="37"/>
        <v>25.24017207525398</v>
      </c>
      <c r="CP30" s="157">
        <f t="shared" si="38"/>
        <v>11.109507553869882</v>
      </c>
      <c r="CQ30" s="157">
        <f t="shared" si="39"/>
        <v>0.59998305456727508</v>
      </c>
      <c r="CR30" s="157" t="str">
        <f t="shared" si="40"/>
        <v/>
      </c>
      <c r="CS30" s="157" t="str">
        <f t="shared" si="41"/>
        <v/>
      </c>
      <c r="CT30" s="157" t="str">
        <f t="shared" si="42"/>
        <v/>
      </c>
      <c r="CU30" s="158" t="str">
        <f t="shared" si="43"/>
        <v/>
      </c>
      <c r="CV30" s="158" t="str">
        <f t="shared" si="44"/>
        <v/>
      </c>
      <c r="CW30" s="158" t="str">
        <f t="shared" si="45"/>
        <v/>
      </c>
      <c r="CX30" s="158" t="str">
        <f t="shared" si="46"/>
        <v/>
      </c>
      <c r="CY30" s="143" t="str">
        <f t="shared" si="47"/>
        <v/>
      </c>
      <c r="CZ30" s="143" t="str">
        <f t="shared" si="48"/>
        <v/>
      </c>
      <c r="DA30" s="144" t="str">
        <f t="shared" si="49"/>
        <v/>
      </c>
    </row>
    <row r="31" spans="1:105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5" t="s">
        <v>142</v>
      </c>
      <c r="F31" s="213"/>
      <c r="G31" s="214"/>
      <c r="H31" s="214"/>
      <c r="I31" s="214"/>
      <c r="J31" s="214"/>
      <c r="K31" s="214"/>
      <c r="L31" s="214"/>
      <c r="M31" s="218"/>
      <c r="N31" s="213">
        <v>65.873120921161103</v>
      </c>
      <c r="O31" s="215">
        <v>0</v>
      </c>
      <c r="P31" s="208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3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185.98129717796897</v>
      </c>
      <c r="AI31" s="150">
        <f t="array" ref="AI31">IF(AI$1=0,"",SQRT((_xlfn.XLOOKUP(AI$1,$Z$2:$Z$18,$AA$2:$AA$18)-$T31)^2+(_xlfn.XLOOKUP(AI$1,$Z$2:$Z$18,$AB$2:$AB$18)-$U31)^2+(_xlfn.XLOOKUP(AI$1,$Z$2:$Z$18,$AC$2:$AC$18-$V31)^2)))</f>
        <v>118.63071861874563</v>
      </c>
      <c r="AJ31" s="150">
        <f t="array" ref="AJ31">IF(AJ$1=0,"",SQRT((_xlfn.XLOOKUP(AJ$1,$Z$2:$Z$18,$AA$2:$AA$18)-$T31)^2+(_xlfn.XLOOKUP(AJ$1,$Z$2:$Z$18,$AB$2:$AB$18)-$U31)^2+(_xlfn.XLOOKUP(AJ$1,$Z$2:$Z$18,$AC$2:$AC$18-$V31)^2)))</f>
        <v>42.742157175322824</v>
      </c>
      <c r="AK31" s="150">
        <f t="array" ref="AK31">IF(AK$1=0,"",SQRT((_xlfn.XLOOKUP(AK$1,$Z$2:$Z$18,$AA$2:$AA$18)-$T31)^2+(_xlfn.XLOOKUP(AK$1,$Z$2:$Z$18,$AB$2:$AB$18)-$U31)^2+(_xlfn.XLOOKUP(AK$1,$Z$2:$Z$18,$AC$2:$AC$18-$V31)^2)))</f>
        <v>108.00424528693304</v>
      </c>
      <c r="AL31" s="150">
        <f t="array" ref="AL31">IF(AL$1=0,"",SQRT((_xlfn.XLOOKUP(AL$1,$Z$2:$Z$18,$AA$2:$AA$18)-$T31)^2+(_xlfn.XLOOKUP(AL$1,$Z$2:$Z$18,$AB$2:$AB$18)-$U31)^2+(_xlfn.XLOOKUP(AL$1,$Z$2:$Z$18,$AC$2:$AC$18-$V31)^2)))</f>
        <v>255.21312368293289</v>
      </c>
      <c r="AM31" s="150" t="str">
        <f t="array" ref="AM31">IF(AM$1=0,"",SQRT((_xlfn.XLOOKUP(AM$1,$Z$2:$Z$18,$AA$2:$AA$18)-$T31)^2+(_xlfn.XLOOKUP(AM$1,$Z$2:$Z$18,$AB$2:$AB$18)-$U31)^2+(_xlfn.XLOOKUP(AM$1,$Z$2:$Z$18,$AC$2:$AC$18-$V31)^2)))</f>
        <v/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4"/>
        <v>-43.051483386795766</v>
      </c>
      <c r="AZ31" s="153">
        <f t="shared" si="5"/>
        <v>-39.146041160868727</v>
      </c>
      <c r="BA31" s="153">
        <f t="shared" si="6"/>
        <v>-30.27922667706742</v>
      </c>
      <c r="BB31" s="153">
        <f t="shared" si="7"/>
        <v>-38.330914466755416</v>
      </c>
      <c r="BC31" s="153">
        <f t="shared" si="8"/>
        <v>-45.800157999085378</v>
      </c>
      <c r="BD31" s="153">
        <f t="shared" si="9"/>
        <v>0</v>
      </c>
      <c r="BE31" s="153">
        <f t="shared" si="10"/>
        <v>0</v>
      </c>
      <c r="BF31" s="153">
        <f t="shared" si="11"/>
        <v>0</v>
      </c>
      <c r="BG31" s="154">
        <f t="shared" si="12"/>
        <v>0</v>
      </c>
      <c r="BH31" s="154">
        <f t="shared" si="13"/>
        <v>0</v>
      </c>
      <c r="BI31" s="154">
        <f t="shared" si="14"/>
        <v>0</v>
      </c>
      <c r="BJ31" s="154">
        <f t="shared" si="15"/>
        <v>0</v>
      </c>
      <c r="BK31" s="154">
        <f t="shared" si="16"/>
        <v>0</v>
      </c>
      <c r="BL31" s="154">
        <f t="shared" si="17"/>
        <v>0</v>
      </c>
      <c r="BM31" s="155">
        <f t="shared" si="18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>
        <v>1</v>
      </c>
      <c r="BW31" s="140">
        <v>12</v>
      </c>
      <c r="BX31" s="140">
        <v>14</v>
      </c>
      <c r="BY31" s="140">
        <v>0</v>
      </c>
      <c r="BZ31" s="140">
        <v>9</v>
      </c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  <c r="CK31" s="134"/>
      <c r="CL31" s="134"/>
      <c r="CM31" s="156">
        <f t="shared" si="35"/>
        <v>21.948516613204234</v>
      </c>
      <c r="CN31" s="157">
        <f t="shared" si="36"/>
        <v>14.853958839131273</v>
      </c>
      <c r="CO31" s="157">
        <f t="shared" si="37"/>
        <v>21.72077332293258</v>
      </c>
      <c r="CP31" s="157">
        <f t="shared" si="38"/>
        <v>27.669085533244584</v>
      </c>
      <c r="CQ31" s="157">
        <f t="shared" si="39"/>
        <v>11.199842000914622</v>
      </c>
      <c r="CR31" s="157" t="str">
        <f t="shared" si="40"/>
        <v/>
      </c>
      <c r="CS31" s="157" t="str">
        <f t="shared" si="41"/>
        <v/>
      </c>
      <c r="CT31" s="157" t="str">
        <f t="shared" si="42"/>
        <v/>
      </c>
      <c r="CU31" s="158" t="str">
        <f t="shared" si="43"/>
        <v/>
      </c>
      <c r="CV31" s="158" t="str">
        <f t="shared" si="44"/>
        <v/>
      </c>
      <c r="CW31" s="158" t="str">
        <f t="shared" si="45"/>
        <v/>
      </c>
      <c r="CX31" s="158" t="str">
        <f t="shared" si="46"/>
        <v/>
      </c>
      <c r="CY31" s="143" t="str">
        <f t="shared" si="47"/>
        <v/>
      </c>
      <c r="CZ31" s="143" t="str">
        <f t="shared" si="48"/>
        <v/>
      </c>
      <c r="DA31" s="144" t="str">
        <f t="shared" si="49"/>
        <v/>
      </c>
    </row>
    <row r="32" spans="1:105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5" t="s">
        <v>142</v>
      </c>
      <c r="F32" s="213"/>
      <c r="G32" s="214"/>
      <c r="H32" s="214"/>
      <c r="I32" s="214"/>
      <c r="J32" s="214"/>
      <c r="K32" s="214"/>
      <c r="L32" s="214"/>
      <c r="M32" s="218"/>
      <c r="N32" s="213">
        <v>65.873120921161103</v>
      </c>
      <c r="O32" s="215">
        <v>0</v>
      </c>
      <c r="P32" s="208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3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181.74354954165497</v>
      </c>
      <c r="AI32" s="150">
        <f t="array" ref="AI32">IF(AI$1=0,"",SQRT((_xlfn.XLOOKUP(AI$1,$Z$2:$Z$18,$AA$2:$AA$18)-$T32)^2+(_xlfn.XLOOKUP(AI$1,$Z$2:$Z$18,$AB$2:$AB$18)-$U32)^2+(_xlfn.XLOOKUP(AI$1,$Z$2:$Z$18,$AC$2:$AC$18-$V32)^2)))</f>
        <v>121.81376482155045</v>
      </c>
      <c r="AJ32" s="150">
        <f t="array" ref="AJ32">IF(AJ$1=0,"",SQRT((_xlfn.XLOOKUP(AJ$1,$Z$2:$Z$18,$AA$2:$AA$18)-$T32)^2+(_xlfn.XLOOKUP(AJ$1,$Z$2:$Z$18,$AB$2:$AB$18)-$U32)^2+(_xlfn.XLOOKUP(AJ$1,$Z$2:$Z$18,$AC$2:$AC$18-$V32)^2)))</f>
        <v>70.738940478353229</v>
      </c>
      <c r="AK32" s="150">
        <f t="array" ref="AK32">IF(AK$1=0,"",SQRT((_xlfn.XLOOKUP(AK$1,$Z$2:$Z$18,$AA$2:$AA$18)-$T32)^2+(_xlfn.XLOOKUP(AK$1,$Z$2:$Z$18,$AB$2:$AB$18)-$U32)^2+(_xlfn.XLOOKUP(AK$1,$Z$2:$Z$18,$AC$2:$AC$18-$V32)^2)))</f>
        <v>108.15399067995595</v>
      </c>
      <c r="AL32" s="150">
        <f t="array" ref="AL32">IF(AL$1=0,"",SQRT((_xlfn.XLOOKUP(AL$1,$Z$2:$Z$18,$AA$2:$AA$18)-$T32)^2+(_xlfn.XLOOKUP(AL$1,$Z$2:$Z$18,$AB$2:$AB$18)-$U32)^2+(_xlfn.XLOOKUP(AL$1,$Z$2:$Z$18,$AC$2:$AC$18-$V32)^2)))</f>
        <v>236.66599671266678</v>
      </c>
      <c r="AM32" s="150" t="str">
        <f t="array" ref="AM32">IF(AM$1=0,"",SQRT((_xlfn.XLOOKUP(AM$1,$Z$2:$Z$18,$AA$2:$AA$18)-$T32)^2+(_xlfn.XLOOKUP(AM$1,$Z$2:$Z$18,$AB$2:$AB$18)-$U32)^2+(_xlfn.XLOOKUP(AM$1,$Z$2:$Z$18,$AC$2:$AC$18-$V32)^2)))</f>
        <v/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4"/>
        <v>-42.851278052651232</v>
      </c>
      <c r="AZ32" s="153">
        <f t="shared" si="5"/>
        <v>-39.376025254310932</v>
      </c>
      <c r="BA32" s="153">
        <f t="shared" si="6"/>
        <v>-34.655268950988081</v>
      </c>
      <c r="BB32" s="153">
        <f t="shared" si="7"/>
        <v>-38.342948911428401</v>
      </c>
      <c r="BC32" s="153">
        <f t="shared" si="8"/>
        <v>-45.144815228942875</v>
      </c>
      <c r="BD32" s="153">
        <f t="shared" si="9"/>
        <v>0</v>
      </c>
      <c r="BE32" s="153">
        <f t="shared" si="10"/>
        <v>0</v>
      </c>
      <c r="BF32" s="153">
        <f t="shared" si="11"/>
        <v>0</v>
      </c>
      <c r="BG32" s="154">
        <f t="shared" si="12"/>
        <v>0</v>
      </c>
      <c r="BH32" s="154">
        <f t="shared" si="13"/>
        <v>0</v>
      </c>
      <c r="BI32" s="154">
        <f t="shared" si="14"/>
        <v>0</v>
      </c>
      <c r="BJ32" s="154">
        <f t="shared" si="15"/>
        <v>0</v>
      </c>
      <c r="BK32" s="154">
        <f t="shared" si="16"/>
        <v>0</v>
      </c>
      <c r="BL32" s="154">
        <f t="shared" si="17"/>
        <v>0</v>
      </c>
      <c r="BM32" s="155">
        <f t="shared" si="18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>
        <v>7</v>
      </c>
      <c r="BW32" s="140">
        <v>12</v>
      </c>
      <c r="BX32" s="140">
        <v>15</v>
      </c>
      <c r="BY32" s="140">
        <v>5</v>
      </c>
      <c r="BZ32" s="140">
        <v>8</v>
      </c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  <c r="CK32" s="134"/>
      <c r="CL32" s="134"/>
      <c r="CM32" s="156">
        <f t="shared" si="35"/>
        <v>16.148721947348768</v>
      </c>
      <c r="CN32" s="157">
        <f t="shared" si="36"/>
        <v>14.623974745689068</v>
      </c>
      <c r="CO32" s="157">
        <f t="shared" si="37"/>
        <v>16.344731049011919</v>
      </c>
      <c r="CP32" s="157">
        <f t="shared" si="38"/>
        <v>22.657051088571599</v>
      </c>
      <c r="CQ32" s="157">
        <f t="shared" si="39"/>
        <v>12.855184771057125</v>
      </c>
      <c r="CR32" s="157" t="str">
        <f t="shared" si="40"/>
        <v/>
      </c>
      <c r="CS32" s="157" t="str">
        <f t="shared" si="41"/>
        <v/>
      </c>
      <c r="CT32" s="157" t="str">
        <f t="shared" si="42"/>
        <v/>
      </c>
      <c r="CU32" s="158" t="str">
        <f t="shared" si="43"/>
        <v/>
      </c>
      <c r="CV32" s="158" t="str">
        <f t="shared" si="44"/>
        <v/>
      </c>
      <c r="CW32" s="158" t="str">
        <f t="shared" si="45"/>
        <v/>
      </c>
      <c r="CX32" s="158" t="str">
        <f t="shared" si="46"/>
        <v/>
      </c>
      <c r="CY32" s="143" t="str">
        <f t="shared" si="47"/>
        <v/>
      </c>
      <c r="CZ32" s="143" t="str">
        <f t="shared" si="48"/>
        <v/>
      </c>
      <c r="DA32" s="144" t="str">
        <f t="shared" si="49"/>
        <v/>
      </c>
    </row>
    <row r="33" spans="1:105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5" t="s">
        <v>142</v>
      </c>
      <c r="F33" s="213"/>
      <c r="G33" s="214"/>
      <c r="H33" s="214"/>
      <c r="I33" s="214"/>
      <c r="J33" s="214"/>
      <c r="K33" s="214"/>
      <c r="L33" s="214"/>
      <c r="M33" s="218"/>
      <c r="N33" s="213">
        <v>65.873120921161103</v>
      </c>
      <c r="O33" s="215">
        <v>0</v>
      </c>
      <c r="P33" s="208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3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176.79754098968684</v>
      </c>
      <c r="AI33" s="150">
        <f t="array" ref="AI33">IF(AI$1=0,"",SQRT((_xlfn.XLOOKUP(AI$1,$Z$2:$Z$18,$AA$2:$AA$18)-$T33)^2+(_xlfn.XLOOKUP(AI$1,$Z$2:$Z$18,$AB$2:$AB$18)-$U33)^2+(_xlfn.XLOOKUP(AI$1,$Z$2:$Z$18,$AC$2:$AC$18-$V33)^2)))</f>
        <v>125.47121183761637</v>
      </c>
      <c r="AJ33" s="150">
        <f t="array" ref="AJ33">IF(AJ$1=0,"",SQRT((_xlfn.XLOOKUP(AJ$1,$Z$2:$Z$18,$AA$2:$AA$18)-$T33)^2+(_xlfn.XLOOKUP(AJ$1,$Z$2:$Z$18,$AB$2:$AB$18)-$U33)^2+(_xlfn.XLOOKUP(AJ$1,$Z$2:$Z$18,$AC$2:$AC$18-$V33)^2)))</f>
        <v>95.266432703234997</v>
      </c>
      <c r="AK33" s="150">
        <f t="array" ref="AK33">IF(AK$1=0,"",SQRT((_xlfn.XLOOKUP(AK$1,$Z$2:$Z$18,$AA$2:$AA$18)-$T33)^2+(_xlfn.XLOOKUP(AK$1,$Z$2:$Z$18,$AB$2:$AB$18)-$U33)^2+(_xlfn.XLOOKUP(AK$1,$Z$2:$Z$18,$AC$2:$AC$18-$V33)^2)))</f>
        <v>118.87861119646378</v>
      </c>
      <c r="AL33" s="150">
        <f t="array" ref="AL33">IF(AL$1=0,"",SQRT((_xlfn.XLOOKUP(AL$1,$Z$2:$Z$18,$AA$2:$AA$18)-$T33)^2+(_xlfn.XLOOKUP(AL$1,$Z$2:$Z$18,$AB$2:$AB$18)-$U33)^2+(_xlfn.XLOOKUP(AL$1,$Z$2:$Z$18,$AC$2:$AC$18-$V33)^2)))</f>
        <v>218.35086283319333</v>
      </c>
      <c r="AM33" s="150" t="str">
        <f t="array" ref="AM33">IF(AM$1=0,"",SQRT((_xlfn.XLOOKUP(AM$1,$Z$2:$Z$18,$AA$2:$AA$18)-$T33)^2+(_xlfn.XLOOKUP(AM$1,$Z$2:$Z$18,$AB$2:$AB$18)-$U33)^2+(_xlfn.XLOOKUP(AM$1,$Z$2:$Z$18,$AC$2:$AC$18-$V33)^2)))</f>
        <v/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4"/>
        <v>-42.611622342550788</v>
      </c>
      <c r="AZ33" s="153">
        <f t="shared" si="5"/>
        <v>-39.6329797880542</v>
      </c>
      <c r="BA33" s="153">
        <f t="shared" si="6"/>
        <v>-37.240896000115697</v>
      </c>
      <c r="BB33" s="153">
        <f t="shared" si="7"/>
        <v>-39.164172392645419</v>
      </c>
      <c r="BC33" s="153">
        <f t="shared" si="8"/>
        <v>-44.445196185226301</v>
      </c>
      <c r="BD33" s="153">
        <f t="shared" si="9"/>
        <v>0</v>
      </c>
      <c r="BE33" s="153">
        <f t="shared" si="10"/>
        <v>0</v>
      </c>
      <c r="BF33" s="153">
        <f t="shared" si="11"/>
        <v>0</v>
      </c>
      <c r="BG33" s="154">
        <f t="shared" si="12"/>
        <v>0</v>
      </c>
      <c r="BH33" s="154">
        <f t="shared" si="13"/>
        <v>0</v>
      </c>
      <c r="BI33" s="154">
        <f t="shared" si="14"/>
        <v>0</v>
      </c>
      <c r="BJ33" s="154">
        <f t="shared" si="15"/>
        <v>0</v>
      </c>
      <c r="BK33" s="154">
        <f t="shared" si="16"/>
        <v>0</v>
      </c>
      <c r="BL33" s="154">
        <f t="shared" si="17"/>
        <v>0</v>
      </c>
      <c r="BM33" s="155">
        <f t="shared" si="18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>
        <v>7</v>
      </c>
      <c r="BW33" s="140">
        <v>12</v>
      </c>
      <c r="BX33" s="140">
        <v>15</v>
      </c>
      <c r="BY33" s="140">
        <v>0</v>
      </c>
      <c r="BZ33" s="140">
        <v>6</v>
      </c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K33" s="134"/>
      <c r="CL33" s="134"/>
      <c r="CM33" s="156">
        <f t="shared" si="35"/>
        <v>16.388377657449212</v>
      </c>
      <c r="CN33" s="157">
        <f t="shared" si="36"/>
        <v>14.3670202119458</v>
      </c>
      <c r="CO33" s="157">
        <f t="shared" si="37"/>
        <v>13.759103999884303</v>
      </c>
      <c r="CP33" s="157">
        <f t="shared" si="38"/>
        <v>26.835827607354581</v>
      </c>
      <c r="CQ33" s="157">
        <f t="shared" si="39"/>
        <v>15.554803814773699</v>
      </c>
      <c r="CR33" s="157" t="str">
        <f t="shared" si="40"/>
        <v/>
      </c>
      <c r="CS33" s="157" t="str">
        <f t="shared" si="41"/>
        <v/>
      </c>
      <c r="CT33" s="157" t="str">
        <f t="shared" si="42"/>
        <v/>
      </c>
      <c r="CU33" s="158" t="str">
        <f t="shared" si="43"/>
        <v/>
      </c>
      <c r="CV33" s="158" t="str">
        <f t="shared" si="44"/>
        <v/>
      </c>
      <c r="CW33" s="158" t="str">
        <f t="shared" si="45"/>
        <v/>
      </c>
      <c r="CX33" s="158" t="str">
        <f t="shared" si="46"/>
        <v/>
      </c>
      <c r="CY33" s="143" t="str">
        <f t="shared" si="47"/>
        <v/>
      </c>
      <c r="CZ33" s="143" t="str">
        <f t="shared" si="48"/>
        <v/>
      </c>
      <c r="DA33" s="144" t="str">
        <f t="shared" si="49"/>
        <v/>
      </c>
    </row>
    <row r="34" spans="1:105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5" t="s">
        <v>142</v>
      </c>
      <c r="F34" s="213"/>
      <c r="G34" s="214"/>
      <c r="H34" s="214"/>
      <c r="I34" s="214"/>
      <c r="J34" s="214"/>
      <c r="K34" s="214"/>
      <c r="L34" s="214"/>
      <c r="M34" s="218"/>
      <c r="N34" s="213">
        <v>65.873120921161103</v>
      </c>
      <c r="O34" s="215">
        <v>0</v>
      </c>
      <c r="P34" s="208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50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116.41241514546462</v>
      </c>
      <c r="AI34" s="150">
        <f t="array" ref="AI34">IF(AI$1=0,"",SQRT((_xlfn.XLOOKUP(AI$1,$Z$2:$Z$18,$AA$2:$AA$18)-$T34)^2+(_xlfn.XLOOKUP(AI$1,$Z$2:$Z$18,$AB$2:$AB$18)-$U34)^2+(_xlfn.XLOOKUP(AI$1,$Z$2:$Z$18,$AC$2:$AC$18-$V34)^2)))</f>
        <v>96.820477689381377</v>
      </c>
      <c r="AJ34" s="150">
        <f t="array" ref="AJ34">IF(AJ$1=0,"",SQRT((_xlfn.XLOOKUP(AJ$1,$Z$2:$Z$18,$AA$2:$AA$18)-$T34)^2+(_xlfn.XLOOKUP(AJ$1,$Z$2:$Z$18,$AB$2:$AB$18)-$U34)^2+(_xlfn.XLOOKUP(AJ$1,$Z$2:$Z$18,$AC$2:$AC$18-$V34)^2)))</f>
        <v>140.25198929070487</v>
      </c>
      <c r="AK34" s="150">
        <f t="array" ref="AK34">IF(AK$1=0,"",SQRT((_xlfn.XLOOKUP(AK$1,$Z$2:$Z$18,$AA$2:$AA$18)-$T34)^2+(_xlfn.XLOOKUP(AK$1,$Z$2:$Z$18,$AB$2:$AB$18)-$U34)^2+(_xlfn.XLOOKUP(AK$1,$Z$2:$Z$18,$AC$2:$AC$18-$V34)^2)))</f>
        <v>189.74701710435397</v>
      </c>
      <c r="AL34" s="150">
        <f t="array" ref="AL34">IF(AL$1=0,"",SQRT((_xlfn.XLOOKUP(AL$1,$Z$2:$Z$18,$AA$2:$AA$18)-$T34)^2+(_xlfn.XLOOKUP(AL$1,$Z$2:$Z$18,$AB$2:$AB$18)-$U34)^2+(_xlfn.XLOOKUP(AL$1,$Z$2:$Z$18,$AC$2:$AC$18-$V34)^2)))</f>
        <v>148.19370094575547</v>
      </c>
      <c r="AM34" s="150" t="str">
        <f t="array" ref="AM34">IF(AM$1=0,"",SQRT((_xlfn.XLOOKUP(AM$1,$Z$2:$Z$18,$AA$2:$AA$18)-$T34)^2+(_xlfn.XLOOKUP(AM$1,$Z$2:$Z$18,$AB$2:$AB$18)-$U34)^2+(_xlfn.XLOOKUP(AM$1,$Z$2:$Z$18,$AC$2:$AC$18-$V34)^2)))</f>
        <v/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51">IFERROR(-ABS(10*LOG10(($R34/(4*PI()*CONVERT(AH34,"ft","m")^2)))),0)</f>
        <v>-38.982083924935459</v>
      </c>
      <c r="AZ34" s="153">
        <f t="shared" ref="AZ34:AZ58" si="52">IFERROR(-ABS(10*LOG10(($R34/(4*PI()*CONVERT(AI34,"ft","m")^2)))),0)</f>
        <v>-37.381442357264618</v>
      </c>
      <c r="BA34" s="153">
        <f t="shared" ref="BA34:BA58" si="53">IFERROR(-ABS(10*LOG10(($R34/(4*PI()*CONVERT(AJ34,"ft","m")^2)))),0)</f>
        <v>-40.600278534334045</v>
      </c>
      <c r="BB34" s="153">
        <f t="shared" ref="BB34:BB58" si="54">IFERROR(-ABS(10*LOG10(($R34/(4*PI()*CONVERT(AK34,"ft","m")^2)))),0)</f>
        <v>-43.225597083850445</v>
      </c>
      <c r="BC34" s="153">
        <f t="shared" ref="BC34:BC58" si="55">IFERROR(-ABS(10*LOG10(($R34/(4*PI()*CONVERT(AL34,"ft","m")^2)))),0)</f>
        <v>-41.078692819159073</v>
      </c>
      <c r="BD34" s="153">
        <f t="shared" ref="BD34:BD58" si="56">IFERROR(-ABS(10*LOG10(($R34/(4*PI()*CONVERT(AM34,"ft","m")^2)))),0)</f>
        <v>0</v>
      </c>
      <c r="BE34" s="153">
        <f t="shared" ref="BE34:BE58" si="57">IFERROR(-ABS(10*LOG10(($R34/(4*PI()*CONVERT(AN34,"ft","m")^2)))),0)</f>
        <v>0</v>
      </c>
      <c r="BF34" s="153">
        <f t="shared" ref="BF34:BF58" si="58">IFERROR(-ABS(10*LOG10(($R34/(4*PI()*CONVERT(AO34,"ft","m")^2)))),0)</f>
        <v>0</v>
      </c>
      <c r="BG34" s="154">
        <f t="shared" ref="BG34:BG58" si="59">IFERROR(-ABS(10*LOG10(($R34/(4*PI()*CONVERT(AP34,"ft","m")^2)))),0)</f>
        <v>0</v>
      </c>
      <c r="BH34" s="154">
        <f t="shared" ref="BH34:BH58" si="60">IFERROR(-ABS(10*LOG10(($R34/(4*PI()*CONVERT(AQ34,"ft","m")^2)))),0)</f>
        <v>0</v>
      </c>
      <c r="BI34" s="154">
        <f t="shared" ref="BI34:BI58" si="61">IFERROR(-ABS(10*LOG10(($R34/(4*PI()*CONVERT(AR34,"ft","m")^2)))),0)</f>
        <v>0</v>
      </c>
      <c r="BJ34" s="154">
        <f t="shared" ref="BJ34:BJ58" si="62">IFERROR(-ABS(10*LOG10(($R34/(4*PI()*CONVERT(AS34,"ft","m")^2)))),0)</f>
        <v>0</v>
      </c>
      <c r="BK34" s="154">
        <f t="shared" ref="BK34:BK58" si="63">IFERROR(-ABS(10*LOG10(($R34/(4*PI()*CONVERT(AT34,"ft","m")^2)))),0)</f>
        <v>0</v>
      </c>
      <c r="BL34" s="154">
        <f t="shared" ref="BL34:BL58" si="64">IFERROR(-ABS(10*LOG10(($R34/(4*PI()*CONVERT(AU34,"ft","m")^2)))),0)</f>
        <v>0</v>
      </c>
      <c r="BM34" s="155">
        <f t="shared" ref="BM34:BM58" si="65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>
        <v>7</v>
      </c>
      <c r="BW34" s="140">
        <v>15</v>
      </c>
      <c r="BX34" s="140">
        <v>12</v>
      </c>
      <c r="BY34" s="140">
        <v>10</v>
      </c>
      <c r="BZ34" s="140">
        <v>2</v>
      </c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  <c r="CK34" s="134"/>
      <c r="CL34" s="134"/>
      <c r="CM34" s="156">
        <f t="shared" si="35"/>
        <v>20.017916075064541</v>
      </c>
      <c r="CN34" s="157">
        <f t="shared" si="36"/>
        <v>13.618557642735382</v>
      </c>
      <c r="CO34" s="157">
        <f t="shared" si="37"/>
        <v>13.399721465665955</v>
      </c>
      <c r="CP34" s="157">
        <f t="shared" si="38"/>
        <v>12.774402916149555</v>
      </c>
      <c r="CQ34" s="157">
        <f t="shared" si="39"/>
        <v>22.921307180840927</v>
      </c>
      <c r="CR34" s="157" t="str">
        <f t="shared" si="40"/>
        <v/>
      </c>
      <c r="CS34" s="157" t="str">
        <f t="shared" si="41"/>
        <v/>
      </c>
      <c r="CT34" s="157" t="str">
        <f t="shared" si="42"/>
        <v/>
      </c>
      <c r="CU34" s="158" t="str">
        <f t="shared" si="43"/>
        <v/>
      </c>
      <c r="CV34" s="158" t="str">
        <f t="shared" si="44"/>
        <v/>
      </c>
      <c r="CW34" s="158" t="str">
        <f t="shared" si="45"/>
        <v/>
      </c>
      <c r="CX34" s="158" t="str">
        <f t="shared" si="46"/>
        <v/>
      </c>
      <c r="CY34" s="143" t="str">
        <f t="shared" si="47"/>
        <v/>
      </c>
      <c r="CZ34" s="143" t="str">
        <f t="shared" si="48"/>
        <v/>
      </c>
      <c r="DA34" s="144" t="str">
        <f t="shared" si="49"/>
        <v/>
      </c>
    </row>
    <row r="35" spans="1:105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5" t="s">
        <v>142</v>
      </c>
      <c r="F35" s="213"/>
      <c r="G35" s="214"/>
      <c r="H35" s="214"/>
      <c r="I35" s="214"/>
      <c r="J35" s="214"/>
      <c r="K35" s="214"/>
      <c r="L35" s="214"/>
      <c r="M35" s="218"/>
      <c r="N35" s="213">
        <v>65.873120921161103</v>
      </c>
      <c r="O35" s="215">
        <v>0</v>
      </c>
      <c r="P35" s="208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50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76.806286852053972</v>
      </c>
      <c r="AI35" s="150">
        <f t="array" ref="AI35">IF(AI$1=0,"",SQRT((_xlfn.XLOOKUP(AI$1,$Z$2:$Z$18,$AA$2:$AA$18)-$T35)^2+(_xlfn.XLOOKUP(AI$1,$Z$2:$Z$18,$AB$2:$AB$18)-$U35)^2+(_xlfn.XLOOKUP(AI$1,$Z$2:$Z$18,$AC$2:$AC$18-$V35)^2)))</f>
        <v>82.459120781148272</v>
      </c>
      <c r="AJ35" s="150">
        <f t="array" ref="AJ35">IF(AJ$1=0,"",SQRT((_xlfn.XLOOKUP(AJ$1,$Z$2:$Z$18,$AA$2:$AA$18)-$T35)^2+(_xlfn.XLOOKUP(AJ$1,$Z$2:$Z$18,$AB$2:$AB$18)-$U35)^2+(_xlfn.XLOOKUP(AJ$1,$Z$2:$Z$18,$AC$2:$AC$18-$V35)^2)))</f>
        <v>159.74798652878226</v>
      </c>
      <c r="AK35" s="150">
        <f t="array" ref="AK35">IF(AK$1=0,"",SQRT((_xlfn.XLOOKUP(AK$1,$Z$2:$Z$18,$AA$2:$AA$18)-$T35)^2+(_xlfn.XLOOKUP(AK$1,$Z$2:$Z$18,$AB$2:$AB$18)-$U35)^2+(_xlfn.XLOOKUP(AK$1,$Z$2:$Z$18,$AC$2:$AC$18-$V35)^2)))</f>
        <v>226.11889836986205</v>
      </c>
      <c r="AL35" s="150">
        <f t="array" ref="AL35">IF(AL$1=0,"",SQRT((_xlfn.XLOOKUP(AL$1,$Z$2:$Z$18,$AA$2:$AA$18)-$T35)^2+(_xlfn.XLOOKUP(AL$1,$Z$2:$Z$18,$AB$2:$AB$18)-$U35)^2+(_xlfn.XLOOKUP(AL$1,$Z$2:$Z$18,$AC$2:$AC$18-$V35)^2)))</f>
        <v>123.72581177749453</v>
      </c>
      <c r="AM35" s="150" t="str">
        <f t="array" ref="AM35">IF(AM$1=0,"",SQRT((_xlfn.XLOOKUP(AM$1,$Z$2:$Z$18,$AA$2:$AA$18)-$T35)^2+(_xlfn.XLOOKUP(AM$1,$Z$2:$Z$18,$AB$2:$AB$18)-$U35)^2+(_xlfn.XLOOKUP(AM$1,$Z$2:$Z$18,$AC$2:$AC$18-$V35)^2)))</f>
        <v/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51"/>
        <v>-35.370033335846131</v>
      </c>
      <c r="AZ35" s="153">
        <f t="shared" si="52"/>
        <v>-35.986871933595161</v>
      </c>
      <c r="BA35" s="153">
        <f t="shared" si="53"/>
        <v>-41.730805796865099</v>
      </c>
      <c r="BB35" s="153">
        <f t="shared" si="54"/>
        <v>-44.748835155954644</v>
      </c>
      <c r="BC35" s="153">
        <f t="shared" si="55"/>
        <v>-39.511304175778726</v>
      </c>
      <c r="BD35" s="153">
        <f t="shared" si="56"/>
        <v>0</v>
      </c>
      <c r="BE35" s="153">
        <f t="shared" si="57"/>
        <v>0</v>
      </c>
      <c r="BF35" s="153">
        <f t="shared" si="58"/>
        <v>0</v>
      </c>
      <c r="BG35" s="154">
        <f t="shared" si="59"/>
        <v>0</v>
      </c>
      <c r="BH35" s="154">
        <f t="shared" si="60"/>
        <v>0</v>
      </c>
      <c r="BI35" s="154">
        <f t="shared" si="61"/>
        <v>0</v>
      </c>
      <c r="BJ35" s="154">
        <f t="shared" si="62"/>
        <v>0</v>
      </c>
      <c r="BK35" s="154">
        <f t="shared" si="63"/>
        <v>0</v>
      </c>
      <c r="BL35" s="154">
        <f t="shared" si="64"/>
        <v>0</v>
      </c>
      <c r="BM35" s="155">
        <f t="shared" si="65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>
        <v>5</v>
      </c>
      <c r="BW35" s="140">
        <v>15</v>
      </c>
      <c r="BX35" s="140">
        <v>12</v>
      </c>
      <c r="BY35" s="140">
        <v>11</v>
      </c>
      <c r="BZ35" s="140">
        <v>3</v>
      </c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K35" s="134"/>
      <c r="CL35" s="134"/>
      <c r="CM35" s="156">
        <f t="shared" si="35"/>
        <v>25.629966664153869</v>
      </c>
      <c r="CN35" s="157">
        <f t="shared" si="36"/>
        <v>15.013128066404839</v>
      </c>
      <c r="CO35" s="157">
        <f t="shared" si="37"/>
        <v>12.269194203134901</v>
      </c>
      <c r="CP35" s="157">
        <f t="shared" si="38"/>
        <v>10.251164844045356</v>
      </c>
      <c r="CQ35" s="157">
        <f t="shared" si="39"/>
        <v>23.488695824221274</v>
      </c>
      <c r="CR35" s="157" t="str">
        <f t="shared" si="40"/>
        <v/>
      </c>
      <c r="CS35" s="157" t="str">
        <f t="shared" si="41"/>
        <v/>
      </c>
      <c r="CT35" s="157" t="str">
        <f t="shared" si="42"/>
        <v/>
      </c>
      <c r="CU35" s="158" t="str">
        <f t="shared" si="43"/>
        <v/>
      </c>
      <c r="CV35" s="158" t="str">
        <f t="shared" si="44"/>
        <v/>
      </c>
      <c r="CW35" s="158" t="str">
        <f t="shared" si="45"/>
        <v/>
      </c>
      <c r="CX35" s="158" t="str">
        <f t="shared" si="46"/>
        <v/>
      </c>
      <c r="CY35" s="143" t="str">
        <f t="shared" si="47"/>
        <v/>
      </c>
      <c r="CZ35" s="143" t="str">
        <f t="shared" si="48"/>
        <v/>
      </c>
      <c r="DA35" s="144" t="str">
        <f t="shared" si="49"/>
        <v/>
      </c>
    </row>
    <row r="36" spans="1:105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5" t="s">
        <v>142</v>
      </c>
      <c r="F36" s="213"/>
      <c r="G36" s="214"/>
      <c r="H36" s="214"/>
      <c r="I36" s="214"/>
      <c r="J36" s="214"/>
      <c r="K36" s="214"/>
      <c r="L36" s="214"/>
      <c r="M36" s="218"/>
      <c r="N36" s="213">
        <v>65.873120921161103</v>
      </c>
      <c r="O36" s="215">
        <v>0</v>
      </c>
      <c r="P36" s="208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50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53.341992838663238</v>
      </c>
      <c r="AI36" s="150">
        <f t="array" ref="AI36">IF(AI$1=0,"",SQRT((_xlfn.XLOOKUP(AI$1,$Z$2:$Z$18,$AA$2:$AA$18)-$T36)^2+(_xlfn.XLOOKUP(AI$1,$Z$2:$Z$18,$AB$2:$AB$18)-$U36)^2+(_xlfn.XLOOKUP(AI$1,$Z$2:$Z$18,$AC$2:$AC$18-$V36)^2)))</f>
        <v>84.323330697974683</v>
      </c>
      <c r="AJ36" s="150">
        <f t="array" ref="AJ36">IF(AJ$1=0,"",SQRT((_xlfn.XLOOKUP(AJ$1,$Z$2:$Z$18,$AA$2:$AA$18)-$T36)^2+(_xlfn.XLOOKUP(AJ$1,$Z$2:$Z$18,$AB$2:$AB$18)-$U36)^2+(_xlfn.XLOOKUP(AJ$1,$Z$2:$Z$18,$AC$2:$AC$18-$V36)^2)))</f>
        <v>177.07846198789957</v>
      </c>
      <c r="AK36" s="150">
        <f t="array" ref="AK36">IF(AK$1=0,"",SQRT((_xlfn.XLOOKUP(AK$1,$Z$2:$Z$18,$AA$2:$AA$18)-$T36)^2+(_xlfn.XLOOKUP(AK$1,$Z$2:$Z$18,$AB$2:$AB$18)-$U36)^2+(_xlfn.XLOOKUP(AK$1,$Z$2:$Z$18,$AC$2:$AC$18-$V36)^2)))</f>
        <v>250.66280876907129</v>
      </c>
      <c r="AL36" s="150">
        <f t="array" ref="AL36">IF(AL$1=0,"",SQRT((_xlfn.XLOOKUP(AL$1,$Z$2:$Z$18,$AA$2:$AA$18)-$T36)^2+(_xlfn.XLOOKUP(AL$1,$Z$2:$Z$18,$AB$2:$AB$18)-$U36)^2+(_xlfn.XLOOKUP(AL$1,$Z$2:$Z$18,$AC$2:$AC$18-$V36)^2)))</f>
        <v>112.29356170324282</v>
      </c>
      <c r="AM36" s="150" t="str">
        <f t="array" ref="AM36">IF(AM$1=0,"",SQRT((_xlfn.XLOOKUP(AM$1,$Z$2:$Z$18,$AA$2:$AA$18)-$T36)^2+(_xlfn.XLOOKUP(AM$1,$Z$2:$Z$18,$AB$2:$AB$18)-$U36)^2+(_xlfn.XLOOKUP(AM$1,$Z$2:$Z$18,$AC$2:$AC$18-$V36)^2)))</f>
        <v/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51"/>
        <v>-32.203482671946404</v>
      </c>
      <c r="AZ36" s="153">
        <f t="shared" si="52"/>
        <v>-36.181052986138432</v>
      </c>
      <c r="BA36" s="153">
        <f t="shared" si="53"/>
        <v>-42.625412762243108</v>
      </c>
      <c r="BB36" s="153">
        <f t="shared" si="54"/>
        <v>-45.643895972733915</v>
      </c>
      <c r="BC36" s="153">
        <f t="shared" si="55"/>
        <v>-38.669195075178486</v>
      </c>
      <c r="BD36" s="153">
        <f t="shared" si="56"/>
        <v>0</v>
      </c>
      <c r="BE36" s="153">
        <f t="shared" si="57"/>
        <v>0</v>
      </c>
      <c r="BF36" s="153">
        <f t="shared" si="58"/>
        <v>0</v>
      </c>
      <c r="BG36" s="154">
        <f t="shared" si="59"/>
        <v>0</v>
      </c>
      <c r="BH36" s="154">
        <f t="shared" si="60"/>
        <v>0</v>
      </c>
      <c r="BI36" s="154">
        <f t="shared" si="61"/>
        <v>0</v>
      </c>
      <c r="BJ36" s="154">
        <f t="shared" si="62"/>
        <v>0</v>
      </c>
      <c r="BK36" s="154">
        <f t="shared" si="63"/>
        <v>0</v>
      </c>
      <c r="BL36" s="154">
        <f t="shared" si="64"/>
        <v>0</v>
      </c>
      <c r="BM36" s="155">
        <f t="shared" si="65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>
        <v>2</v>
      </c>
      <c r="BW36" s="140">
        <v>15</v>
      </c>
      <c r="BX36" s="140">
        <v>11</v>
      </c>
      <c r="BY36" s="140">
        <v>12</v>
      </c>
      <c r="BZ36" s="140">
        <v>2</v>
      </c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K36" s="134"/>
      <c r="CL36" s="134"/>
      <c r="CM36" s="156">
        <f t="shared" si="35"/>
        <v>31.796517328053596</v>
      </c>
      <c r="CN36" s="157">
        <f t="shared" si="36"/>
        <v>14.818947013861568</v>
      </c>
      <c r="CO36" s="157">
        <f t="shared" si="37"/>
        <v>12.374587237756892</v>
      </c>
      <c r="CP36" s="157">
        <f t="shared" si="38"/>
        <v>8.3561040272660847</v>
      </c>
      <c r="CQ36" s="157">
        <f t="shared" si="39"/>
        <v>25.330804924821514</v>
      </c>
      <c r="CR36" s="157" t="str">
        <f t="shared" si="40"/>
        <v/>
      </c>
      <c r="CS36" s="157" t="str">
        <f t="shared" si="41"/>
        <v/>
      </c>
      <c r="CT36" s="157" t="str">
        <f t="shared" si="42"/>
        <v/>
      </c>
      <c r="CU36" s="158" t="str">
        <f t="shared" si="43"/>
        <v/>
      </c>
      <c r="CV36" s="158" t="str">
        <f t="shared" si="44"/>
        <v/>
      </c>
      <c r="CW36" s="158" t="str">
        <f t="shared" si="45"/>
        <v/>
      </c>
      <c r="CX36" s="158" t="str">
        <f t="shared" si="46"/>
        <v/>
      </c>
      <c r="CY36" s="143" t="str">
        <f t="shared" si="47"/>
        <v/>
      </c>
      <c r="CZ36" s="143" t="str">
        <f t="shared" si="48"/>
        <v/>
      </c>
      <c r="DA36" s="144" t="str">
        <f t="shared" si="49"/>
        <v/>
      </c>
    </row>
    <row r="37" spans="1:105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5" t="s">
        <v>141</v>
      </c>
      <c r="F37" s="213"/>
      <c r="G37" s="214"/>
      <c r="H37" s="214"/>
      <c r="I37" s="214"/>
      <c r="J37" s="214"/>
      <c r="K37" s="214"/>
      <c r="L37" s="214"/>
      <c r="M37" s="218"/>
      <c r="N37" s="213">
        <v>57.392737795737183</v>
      </c>
      <c r="O37" s="215">
        <v>0</v>
      </c>
      <c r="P37" s="208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50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40.152210399926922</v>
      </c>
      <c r="AI37" s="150">
        <f t="array" ref="AI37">IF(AI$1=0,"",SQRT((_xlfn.XLOOKUP(AI$1,$Z$2:$Z$18,$AA$2:$AA$18)-$T37)^2+(_xlfn.XLOOKUP(AI$1,$Z$2:$Z$18,$AB$2:$AB$18)-$U37)^2+(_xlfn.XLOOKUP(AI$1,$Z$2:$Z$18,$AC$2:$AC$18-$V37)^2)))</f>
        <v>96.947807092270025</v>
      </c>
      <c r="AJ37" s="150">
        <f t="array" ref="AJ37">IF(AJ$1=0,"",SQRT((_xlfn.XLOOKUP(AJ$1,$Z$2:$Z$18,$AA$2:$AA$18)-$T37)^2+(_xlfn.XLOOKUP(AJ$1,$Z$2:$Z$18,$AB$2:$AB$18)-$U37)^2+(_xlfn.XLOOKUP(AJ$1,$Z$2:$Z$18,$AC$2:$AC$18-$V37)^2)))</f>
        <v>197.9370266018968</v>
      </c>
      <c r="AK37" s="150">
        <f t="array" ref="AK37">IF(AK$1=0,"",SQRT((_xlfn.XLOOKUP(AK$1,$Z$2:$Z$18,$AA$2:$AA$18)-$T37)^2+(_xlfn.XLOOKUP(AK$1,$Z$2:$Z$18,$AB$2:$AB$18)-$U37)^2+(_xlfn.XLOOKUP(AK$1,$Z$2:$Z$18,$AC$2:$AC$18-$V37)^2)))</f>
        <v>274.79173295425034</v>
      </c>
      <c r="AL37" s="150">
        <f t="array" ref="AL37">IF(AL$1=0,"",SQRT((_xlfn.XLOOKUP(AL$1,$Z$2:$Z$18,$AA$2:$AA$18)-$T37)^2+(_xlfn.XLOOKUP(AL$1,$Z$2:$Z$18,$AB$2:$AB$18)-$U37)^2+(_xlfn.XLOOKUP(AL$1,$Z$2:$Z$18,$AC$2:$AC$18-$V37)^2)))</f>
        <v>101.7716276768727</v>
      </c>
      <c r="AM37" s="150" t="str">
        <f t="array" ref="AM37">IF(AM$1=0,"",SQRT((_xlfn.XLOOKUP(AM$1,$Z$2:$Z$18,$AA$2:$AA$18)-$T37)^2+(_xlfn.XLOOKUP(AM$1,$Z$2:$Z$18,$AB$2:$AB$18)-$U37)^2+(_xlfn.XLOOKUP(AM$1,$Z$2:$Z$18,$AC$2:$AC$18-$V37)^2)))</f>
        <v/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51"/>
        <v>-29.736287105100526</v>
      </c>
      <c r="AZ37" s="153">
        <f t="shared" si="52"/>
        <v>-37.392857737254246</v>
      </c>
      <c r="BA37" s="153">
        <f t="shared" si="53"/>
        <v>-43.592638777580682</v>
      </c>
      <c r="BB37" s="153">
        <f t="shared" si="54"/>
        <v>-46.442171195631914</v>
      </c>
      <c r="BC37" s="153">
        <f t="shared" si="55"/>
        <v>-37.814632345513999</v>
      </c>
      <c r="BD37" s="153">
        <f t="shared" si="56"/>
        <v>0</v>
      </c>
      <c r="BE37" s="153">
        <f t="shared" si="57"/>
        <v>0</v>
      </c>
      <c r="BF37" s="153">
        <f t="shared" si="58"/>
        <v>0</v>
      </c>
      <c r="BG37" s="154">
        <f t="shared" si="59"/>
        <v>0</v>
      </c>
      <c r="BH37" s="154">
        <f t="shared" si="60"/>
        <v>0</v>
      </c>
      <c r="BI37" s="154">
        <f t="shared" si="61"/>
        <v>0</v>
      </c>
      <c r="BJ37" s="154">
        <f t="shared" si="62"/>
        <v>0</v>
      </c>
      <c r="BK37" s="154">
        <f t="shared" si="63"/>
        <v>0</v>
      </c>
      <c r="BL37" s="154">
        <f t="shared" si="64"/>
        <v>0</v>
      </c>
      <c r="BM37" s="155">
        <f t="shared" si="65"/>
        <v>0</v>
      </c>
      <c r="BN37" s="134"/>
      <c r="BO37" s="202" t="s">
        <v>68</v>
      </c>
      <c r="BP37" s="203"/>
      <c r="BQ37" s="21"/>
      <c r="BR37" s="134"/>
      <c r="BS37" s="134"/>
      <c r="BT37" s="134"/>
      <c r="BU37" s="134"/>
      <c r="BV37" s="140">
        <v>0</v>
      </c>
      <c r="BW37" s="140">
        <v>13</v>
      </c>
      <c r="BX37" s="140">
        <v>11</v>
      </c>
      <c r="BY37" s="140">
        <v>12</v>
      </c>
      <c r="BZ37" s="140">
        <v>0</v>
      </c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34"/>
      <c r="CL37" s="134"/>
      <c r="CM37" s="156">
        <f t="shared" si="35"/>
        <v>27.263712894899474</v>
      </c>
      <c r="CN37" s="157">
        <f t="shared" si="36"/>
        <v>6.6071422627457537</v>
      </c>
      <c r="CO37" s="157">
        <f t="shared" si="37"/>
        <v>2.4073612224193184</v>
      </c>
      <c r="CP37" s="157">
        <f t="shared" si="38"/>
        <v>-1.4421711956319143</v>
      </c>
      <c r="CQ37" s="157">
        <f t="shared" si="39"/>
        <v>19.185367654486001</v>
      </c>
      <c r="CR37" s="157" t="str">
        <f t="shared" si="40"/>
        <v/>
      </c>
      <c r="CS37" s="157" t="str">
        <f t="shared" si="41"/>
        <v/>
      </c>
      <c r="CT37" s="157" t="str">
        <f t="shared" si="42"/>
        <v/>
      </c>
      <c r="CU37" s="158" t="str">
        <f t="shared" si="43"/>
        <v/>
      </c>
      <c r="CV37" s="158" t="str">
        <f t="shared" si="44"/>
        <v/>
      </c>
      <c r="CW37" s="158" t="str">
        <f t="shared" si="45"/>
        <v/>
      </c>
      <c r="CX37" s="158" t="str">
        <f t="shared" si="46"/>
        <v/>
      </c>
      <c r="CY37" s="143" t="str">
        <f t="shared" si="47"/>
        <v/>
      </c>
      <c r="CZ37" s="143" t="str">
        <f t="shared" si="48"/>
        <v/>
      </c>
      <c r="DA37" s="144" t="str">
        <f t="shared" si="49"/>
        <v/>
      </c>
    </row>
    <row r="38" spans="1:105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5" t="s">
        <v>141</v>
      </c>
      <c r="F38" s="213"/>
      <c r="G38" s="214"/>
      <c r="H38" s="214"/>
      <c r="I38" s="214"/>
      <c r="J38" s="214"/>
      <c r="K38" s="214"/>
      <c r="L38" s="214"/>
      <c r="M38" s="218"/>
      <c r="N38" s="213">
        <v>57.392737795737183</v>
      </c>
      <c r="O38" s="215">
        <v>0</v>
      </c>
      <c r="P38" s="208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50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128.25154073148593</v>
      </c>
      <c r="AI38" s="150">
        <f t="array" ref="AI38">IF(AI$1=0,"",SQRT((_xlfn.XLOOKUP(AI$1,$Z$2:$Z$18,$AA$2:$AA$18)-$T38)^2+(_xlfn.XLOOKUP(AI$1,$Z$2:$Z$18,$AB$2:$AB$18)-$U38)^2+(_xlfn.XLOOKUP(AI$1,$Z$2:$Z$18,$AC$2:$AC$18-$V38)^2)))</f>
        <v>103.54564693892253</v>
      </c>
      <c r="AJ38" s="150">
        <f t="array" ref="AJ38">IF(AJ$1=0,"",SQRT((_xlfn.XLOOKUP(AJ$1,$Z$2:$Z$18,$AA$2:$AA$18)-$T38)^2+(_xlfn.XLOOKUP(AJ$1,$Z$2:$Z$18,$AB$2:$AB$18)-$U38)^2+(_xlfn.XLOOKUP(AJ$1,$Z$2:$Z$18,$AC$2:$AC$18-$V38)^2)))</f>
        <v>135.91148884476249</v>
      </c>
      <c r="AK38" s="150">
        <f t="array" ref="AK38">IF(AK$1=0,"",SQRT((_xlfn.XLOOKUP(AK$1,$Z$2:$Z$18,$AA$2:$AA$18)-$T38)^2+(_xlfn.XLOOKUP(AK$1,$Z$2:$Z$18,$AB$2:$AB$18)-$U38)^2+(_xlfn.XLOOKUP(AK$1,$Z$2:$Z$18,$AC$2:$AC$18-$V38)^2)))</f>
        <v>179.15276665460684</v>
      </c>
      <c r="AL38" s="150">
        <f t="array" ref="AL38">IF(AL$1=0,"",SQRT((_xlfn.XLOOKUP(AL$1,$Z$2:$Z$18,$AA$2:$AA$18)-$T38)^2+(_xlfn.XLOOKUP(AL$1,$Z$2:$Z$18,$AB$2:$AB$18)-$U38)^2+(_xlfn.XLOOKUP(AL$1,$Z$2:$Z$18,$AC$2:$AC$18-$V38)^2)))</f>
        <v>157.1114448409154</v>
      </c>
      <c r="AM38" s="150" t="str">
        <f t="array" ref="AM38">IF(AM$1=0,"",SQRT((_xlfn.XLOOKUP(AM$1,$Z$2:$Z$18,$AA$2:$AA$18)-$T38)^2+(_xlfn.XLOOKUP(AM$1,$Z$2:$Z$18,$AB$2:$AB$18)-$U38)^2+(_xlfn.XLOOKUP(AM$1,$Z$2:$Z$18,$AC$2:$AC$18-$V38)^2)))</f>
        <v/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51"/>
        <v>-39.823349759925378</v>
      </c>
      <c r="AZ38" s="153">
        <f t="shared" si="52"/>
        <v>-37.964734854222307</v>
      </c>
      <c r="BA38" s="153">
        <f t="shared" si="53"/>
        <v>-40.327221336628696</v>
      </c>
      <c r="BB38" s="153">
        <f t="shared" si="54"/>
        <v>-42.726568324128365</v>
      </c>
      <c r="BC38" s="153">
        <f t="shared" si="55"/>
        <v>-41.586254387600114</v>
      </c>
      <c r="BD38" s="153">
        <f t="shared" si="56"/>
        <v>0</v>
      </c>
      <c r="BE38" s="153">
        <f t="shared" si="57"/>
        <v>0</v>
      </c>
      <c r="BF38" s="153">
        <f t="shared" si="58"/>
        <v>0</v>
      </c>
      <c r="BG38" s="154">
        <f t="shared" si="59"/>
        <v>0</v>
      </c>
      <c r="BH38" s="154">
        <f t="shared" si="60"/>
        <v>0</v>
      </c>
      <c r="BI38" s="154">
        <f t="shared" si="61"/>
        <v>0</v>
      </c>
      <c r="BJ38" s="154">
        <f t="shared" si="62"/>
        <v>0</v>
      </c>
      <c r="BK38" s="154">
        <f t="shared" si="63"/>
        <v>0</v>
      </c>
      <c r="BL38" s="154">
        <f t="shared" si="64"/>
        <v>0</v>
      </c>
      <c r="BM38" s="155">
        <f t="shared" si="65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>
        <v>7</v>
      </c>
      <c r="BW38" s="140">
        <v>14</v>
      </c>
      <c r="BX38" s="140">
        <v>15</v>
      </c>
      <c r="BY38" s="140">
        <v>9</v>
      </c>
      <c r="BZ38" s="140">
        <v>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34"/>
      <c r="CL38" s="134"/>
      <c r="CM38" s="156">
        <f t="shared" si="35"/>
        <v>10.176650240074622</v>
      </c>
      <c r="CN38" s="157">
        <f t="shared" si="36"/>
        <v>5.0352651457776929</v>
      </c>
      <c r="CO38" s="157">
        <f t="shared" si="37"/>
        <v>1.6727786633713038</v>
      </c>
      <c r="CP38" s="157">
        <f t="shared" si="38"/>
        <v>5.2734316758716346</v>
      </c>
      <c r="CQ38" s="157">
        <f t="shared" si="39"/>
        <v>13.413745612399886</v>
      </c>
      <c r="CR38" s="157" t="str">
        <f t="shared" si="40"/>
        <v/>
      </c>
      <c r="CS38" s="157" t="str">
        <f t="shared" si="41"/>
        <v/>
      </c>
      <c r="CT38" s="157" t="str">
        <f t="shared" si="42"/>
        <v/>
      </c>
      <c r="CU38" s="158" t="str">
        <f t="shared" si="43"/>
        <v/>
      </c>
      <c r="CV38" s="158" t="str">
        <f t="shared" si="44"/>
        <v/>
      </c>
      <c r="CW38" s="158" t="str">
        <f t="shared" si="45"/>
        <v/>
      </c>
      <c r="CX38" s="158" t="str">
        <f t="shared" si="46"/>
        <v/>
      </c>
      <c r="CY38" s="143" t="str">
        <f t="shared" si="47"/>
        <v/>
      </c>
      <c r="CZ38" s="143" t="str">
        <f t="shared" si="48"/>
        <v/>
      </c>
      <c r="DA38" s="144" t="str">
        <f t="shared" si="49"/>
        <v/>
      </c>
    </row>
    <row r="39" spans="1:105" ht="16.5" customHeight="1" x14ac:dyDescent="0.3">
      <c r="A39" s="145"/>
      <c r="B39" s="146"/>
      <c r="C39" s="146"/>
      <c r="D39" s="147"/>
      <c r="E39" s="205"/>
      <c r="F39" s="213"/>
      <c r="G39" s="214"/>
      <c r="H39" s="214"/>
      <c r="I39" s="214"/>
      <c r="J39" s="214"/>
      <c r="K39" s="214"/>
      <c r="L39" s="214"/>
      <c r="M39" s="218"/>
      <c r="N39" s="213"/>
      <c r="O39" s="215"/>
      <c r="P39" s="208"/>
      <c r="Q39" s="128">
        <f t="shared" si="34"/>
        <v>0</v>
      </c>
      <c r="R39" s="3"/>
      <c r="S39" s="3"/>
      <c r="T39" s="4"/>
      <c r="U39" s="4"/>
      <c r="V39" s="109">
        <f t="shared" si="50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112.53151914019467</v>
      </c>
      <c r="AI39" s="150">
        <f t="array" ref="AI39">IF(AI$1=0,"",SQRT((_xlfn.XLOOKUP(AI$1,$Z$2:$Z$18,$AA$2:$AA$18)-$T39)^2+(_xlfn.XLOOKUP(AI$1,$Z$2:$Z$18,$AB$2:$AB$18)-$U39)^2+(_xlfn.XLOOKUP(AI$1,$Z$2:$Z$18,$AC$2:$AC$18-$V39)^2)))</f>
        <v>123.81444705687622</v>
      </c>
      <c r="AJ39" s="150">
        <f t="array" ref="AJ39">IF(AJ$1=0,"",SQRT((_xlfn.XLOOKUP(AJ$1,$Z$2:$Z$18,$AA$2:$AA$18)-$T39)^2+(_xlfn.XLOOKUP(AJ$1,$Z$2:$Z$18,$AB$2:$AB$18)-$U39)^2+(_xlfn.XLOOKUP(AJ$1,$Z$2:$Z$18,$AC$2:$AC$18-$V39)^2)))</f>
        <v>226.27326421828982</v>
      </c>
      <c r="AK39" s="150">
        <f t="array" ref="AK39">IF(AK$1=0,"",SQRT((_xlfn.XLOOKUP(AK$1,$Z$2:$Z$18,$AA$2:$AA$18)-$T39)^2+(_xlfn.XLOOKUP(AK$1,$Z$2:$Z$18,$AB$2:$AB$18)-$U39)^2+(_xlfn.XLOOKUP(AK$1,$Z$2:$Z$18,$AC$2:$AC$18-$V39)^2)))</f>
        <v>330.89448786584524</v>
      </c>
      <c r="AL39" s="150">
        <f t="array" ref="AL39">IF(AL$1=0,"",SQRT((_xlfn.XLOOKUP(AL$1,$Z$2:$Z$18,$AA$2:$AA$18)-$T39)^2+(_xlfn.XLOOKUP(AL$1,$Z$2:$Z$18,$AB$2:$AB$18)-$U39)^2+(_xlfn.XLOOKUP(AL$1,$Z$2:$Z$18,$AC$2:$AC$18-$V39)^2)))</f>
        <v>218.97662386656708</v>
      </c>
      <c r="AM39" s="150" t="str">
        <f t="array" ref="AM39">IF(AM$1=0,"",SQRT((_xlfn.XLOOKUP(AM$1,$Z$2:$Z$18,$AA$2:$AA$18)-$T39)^2+(_xlfn.XLOOKUP(AM$1,$Z$2:$Z$18,$AB$2:$AB$18)-$U39)^2+(_xlfn.XLOOKUP(AM$1,$Z$2:$Z$18,$AC$2:$AC$18-$V39)^2)))</f>
        <v/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51"/>
        <v>0</v>
      </c>
      <c r="AZ39" s="153">
        <f t="shared" si="52"/>
        <v>0</v>
      </c>
      <c r="BA39" s="153">
        <f t="shared" si="53"/>
        <v>0</v>
      </c>
      <c r="BB39" s="153">
        <f t="shared" si="54"/>
        <v>0</v>
      </c>
      <c r="BC39" s="153">
        <f t="shared" si="55"/>
        <v>0</v>
      </c>
      <c r="BD39" s="153">
        <f t="shared" si="56"/>
        <v>0</v>
      </c>
      <c r="BE39" s="153">
        <f t="shared" si="57"/>
        <v>0</v>
      </c>
      <c r="BF39" s="153">
        <f t="shared" si="58"/>
        <v>0</v>
      </c>
      <c r="BG39" s="154">
        <f t="shared" si="59"/>
        <v>0</v>
      </c>
      <c r="BH39" s="154">
        <f t="shared" si="60"/>
        <v>0</v>
      </c>
      <c r="BI39" s="154">
        <f t="shared" si="61"/>
        <v>0</v>
      </c>
      <c r="BJ39" s="154">
        <f t="shared" si="62"/>
        <v>0</v>
      </c>
      <c r="BK39" s="154">
        <f t="shared" si="63"/>
        <v>0</v>
      </c>
      <c r="BL39" s="154">
        <f t="shared" si="64"/>
        <v>0</v>
      </c>
      <c r="BM39" s="155">
        <f t="shared" si="65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34"/>
      <c r="CL39" s="134"/>
      <c r="CM39" s="169">
        <f t="shared" ref="CM39:CM58" si="66">IF( CM$1= 0,"",$Q39-$S39+AY39-BV39)</f>
        <v>0</v>
      </c>
      <c r="CN39" s="170">
        <f t="shared" ref="CN39:CN58" si="67">IF( CN$1= 0,"",$Q39-$S39+AZ39-BW39)</f>
        <v>0</v>
      </c>
      <c r="CO39" s="170">
        <f t="shared" ref="CO39:CO58" si="68">IF( CO$1= 0,"",$Q39-$S39+BA39-BX39)</f>
        <v>0</v>
      </c>
      <c r="CP39" s="170">
        <f t="shared" ref="CP39:CP58" si="69">IF( CP$1= 0,"",$Q39-$S39+BB39-BY39)</f>
        <v>0</v>
      </c>
      <c r="CQ39" s="170">
        <f t="shared" ref="CQ39:CQ58" si="70">IF( CQ$1= 0,"",$Q39-$S39+BC39-BZ39)</f>
        <v>0</v>
      </c>
      <c r="CR39" s="170" t="str">
        <f t="shared" ref="CR39:CR58" si="71">IF( CR$1= 0,"",$Q39-$S39+BD39-CA39)</f>
        <v/>
      </c>
      <c r="CS39" s="170" t="str">
        <f t="shared" ref="CS39:CS58" si="72">IF( CS$1= 0,"",$Q39-$S39+BE39-CB39)</f>
        <v/>
      </c>
      <c r="CT39" s="170" t="str">
        <f t="shared" ref="CT39:CT58" si="73">IF( CT$1= 0,"",$Q39-$S39+BF39-CC39)</f>
        <v/>
      </c>
      <c r="CU39" s="172" t="str">
        <f t="shared" ref="CU39:CU58" si="74">IF( CU$1= 0,"",$Q39-$S39+BG39-CD39)</f>
        <v/>
      </c>
      <c r="CV39" s="172" t="str">
        <f t="shared" ref="CV39:CV58" si="75">IF( CV$1= 0,"",$Q39-$S39+BH39-CE39)</f>
        <v/>
      </c>
      <c r="CW39" s="172" t="str">
        <f t="shared" ref="CW39:CW58" si="76">IF( CW$1= 0,"",$Q39-$S39+BI39-CF39)</f>
        <v/>
      </c>
      <c r="CX39" s="172" t="str">
        <f t="shared" ref="CX39:CX58" si="77">IF( CX$1= 0,"",$Q39-$S39+BJ39-CG39)</f>
        <v/>
      </c>
      <c r="CY39" s="172" t="str">
        <f t="shared" ref="CY39:CY58" si="78">IF( CY$1= 0,"",$Q39-$S39+BK39-CH39)</f>
        <v/>
      </c>
      <c r="CZ39" s="172" t="str">
        <f t="shared" ref="CZ39:CZ58" si="79">IF( CZ$1= 0,"",$Q39-$S39+BL39-CI39)</f>
        <v/>
      </c>
      <c r="DA39" s="173" t="str">
        <f t="shared" ref="DA39:DA58" si="80">IF( DA$1= 0,"",$Q39-$S39+BM39-CJ39)</f>
        <v/>
      </c>
    </row>
    <row r="40" spans="1:105" ht="16.5" customHeight="1" x14ac:dyDescent="0.3">
      <c r="A40" s="145"/>
      <c r="B40" s="146"/>
      <c r="C40" s="146"/>
      <c r="D40" s="147"/>
      <c r="E40" s="205"/>
      <c r="F40" s="213"/>
      <c r="G40" s="214"/>
      <c r="H40" s="214"/>
      <c r="I40" s="214"/>
      <c r="J40" s="214"/>
      <c r="K40" s="214"/>
      <c r="L40" s="214"/>
      <c r="M40" s="218"/>
      <c r="N40" s="213"/>
      <c r="O40" s="215"/>
      <c r="P40" s="208"/>
      <c r="Q40" s="128">
        <f t="shared" si="34"/>
        <v>0</v>
      </c>
      <c r="R40" s="3"/>
      <c r="S40" s="3"/>
      <c r="T40" s="4"/>
      <c r="U40" s="4"/>
      <c r="V40" s="109">
        <f t="shared" si="50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112.53151914019467</v>
      </c>
      <c r="AI40" s="150">
        <f t="array" ref="AI40">IF(AI$1=0,"",SQRT((_xlfn.XLOOKUP(AI$1,$Z$2:$Z$18,$AA$2:$AA$18)-$T40)^2+(_xlfn.XLOOKUP(AI$1,$Z$2:$Z$18,$AB$2:$AB$18)-$U40)^2+(_xlfn.XLOOKUP(AI$1,$Z$2:$Z$18,$AC$2:$AC$18-$V40)^2)))</f>
        <v>123.81444705687622</v>
      </c>
      <c r="AJ40" s="150">
        <f t="array" ref="AJ40">IF(AJ$1=0,"",SQRT((_xlfn.XLOOKUP(AJ$1,$Z$2:$Z$18,$AA$2:$AA$18)-$T40)^2+(_xlfn.XLOOKUP(AJ$1,$Z$2:$Z$18,$AB$2:$AB$18)-$U40)^2+(_xlfn.XLOOKUP(AJ$1,$Z$2:$Z$18,$AC$2:$AC$18-$V40)^2)))</f>
        <v>226.27326421828982</v>
      </c>
      <c r="AK40" s="150">
        <f t="array" ref="AK40">IF(AK$1=0,"",SQRT((_xlfn.XLOOKUP(AK$1,$Z$2:$Z$18,$AA$2:$AA$18)-$T40)^2+(_xlfn.XLOOKUP(AK$1,$Z$2:$Z$18,$AB$2:$AB$18)-$U40)^2+(_xlfn.XLOOKUP(AK$1,$Z$2:$Z$18,$AC$2:$AC$18-$V40)^2)))</f>
        <v>330.89448786584524</v>
      </c>
      <c r="AL40" s="150">
        <f t="array" ref="AL40">IF(AL$1=0,"",SQRT((_xlfn.XLOOKUP(AL$1,$Z$2:$Z$18,$AA$2:$AA$18)-$T40)^2+(_xlfn.XLOOKUP(AL$1,$Z$2:$Z$18,$AB$2:$AB$18)-$U40)^2+(_xlfn.XLOOKUP(AL$1,$Z$2:$Z$18,$AC$2:$AC$18-$V40)^2)))</f>
        <v>218.97662386656708</v>
      </c>
      <c r="AM40" s="150" t="str">
        <f t="array" ref="AM40">IF(AM$1=0,"",SQRT((_xlfn.XLOOKUP(AM$1,$Z$2:$Z$18,$AA$2:$AA$18)-$T40)^2+(_xlfn.XLOOKUP(AM$1,$Z$2:$Z$18,$AB$2:$AB$18)-$U40)^2+(_xlfn.XLOOKUP(AM$1,$Z$2:$Z$18,$AC$2:$AC$18-$V40)^2)))</f>
        <v/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51"/>
        <v>0</v>
      </c>
      <c r="AZ40" s="153">
        <f t="shared" si="52"/>
        <v>0</v>
      </c>
      <c r="BA40" s="153">
        <f t="shared" si="53"/>
        <v>0</v>
      </c>
      <c r="BB40" s="153">
        <f t="shared" si="54"/>
        <v>0</v>
      </c>
      <c r="BC40" s="153">
        <f t="shared" si="55"/>
        <v>0</v>
      </c>
      <c r="BD40" s="153">
        <f t="shared" si="56"/>
        <v>0</v>
      </c>
      <c r="BE40" s="153">
        <f t="shared" si="57"/>
        <v>0</v>
      </c>
      <c r="BF40" s="153">
        <f t="shared" si="58"/>
        <v>0</v>
      </c>
      <c r="BG40" s="154">
        <f t="shared" si="59"/>
        <v>0</v>
      </c>
      <c r="BH40" s="154">
        <f t="shared" si="60"/>
        <v>0</v>
      </c>
      <c r="BI40" s="154">
        <f t="shared" si="61"/>
        <v>0</v>
      </c>
      <c r="BJ40" s="154">
        <f t="shared" si="62"/>
        <v>0</v>
      </c>
      <c r="BK40" s="154">
        <f t="shared" si="63"/>
        <v>0</v>
      </c>
      <c r="BL40" s="154">
        <f t="shared" si="64"/>
        <v>0</v>
      </c>
      <c r="BM40" s="155">
        <f t="shared" si="65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K40" s="134"/>
      <c r="CL40" s="134"/>
      <c r="CM40" s="169">
        <f t="shared" si="66"/>
        <v>0</v>
      </c>
      <c r="CN40" s="170">
        <f t="shared" si="67"/>
        <v>0</v>
      </c>
      <c r="CO40" s="170">
        <f t="shared" si="68"/>
        <v>0</v>
      </c>
      <c r="CP40" s="170">
        <f t="shared" si="69"/>
        <v>0</v>
      </c>
      <c r="CQ40" s="170">
        <f t="shared" si="70"/>
        <v>0</v>
      </c>
      <c r="CR40" s="170" t="str">
        <f t="shared" si="71"/>
        <v/>
      </c>
      <c r="CS40" s="170" t="str">
        <f t="shared" si="72"/>
        <v/>
      </c>
      <c r="CT40" s="170" t="str">
        <f t="shared" si="73"/>
        <v/>
      </c>
      <c r="CU40" s="172" t="str">
        <f t="shared" si="74"/>
        <v/>
      </c>
      <c r="CV40" s="172" t="str">
        <f t="shared" si="75"/>
        <v/>
      </c>
      <c r="CW40" s="172" t="str">
        <f t="shared" si="76"/>
        <v/>
      </c>
      <c r="CX40" s="172" t="str">
        <f t="shared" si="77"/>
        <v/>
      </c>
      <c r="CY40" s="172" t="str">
        <f t="shared" si="78"/>
        <v/>
      </c>
      <c r="CZ40" s="172" t="str">
        <f t="shared" si="79"/>
        <v/>
      </c>
      <c r="DA40" s="173" t="str">
        <f t="shared" si="80"/>
        <v/>
      </c>
    </row>
    <row r="41" spans="1:105" ht="16.5" customHeight="1" x14ac:dyDescent="0.3">
      <c r="A41" s="145"/>
      <c r="B41" s="146"/>
      <c r="C41" s="146"/>
      <c r="D41" s="147"/>
      <c r="E41" s="205"/>
      <c r="F41" s="213"/>
      <c r="G41" s="214"/>
      <c r="H41" s="214"/>
      <c r="I41" s="214"/>
      <c r="J41" s="214"/>
      <c r="K41" s="214"/>
      <c r="L41" s="214"/>
      <c r="M41" s="218"/>
      <c r="N41" s="213"/>
      <c r="O41" s="215"/>
      <c r="P41" s="208"/>
      <c r="Q41" s="128">
        <f t="shared" si="34"/>
        <v>0</v>
      </c>
      <c r="R41" s="3"/>
      <c r="S41" s="3"/>
      <c r="T41" s="4"/>
      <c r="U41" s="4"/>
      <c r="V41" s="109">
        <f t="shared" si="50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112.53151914019467</v>
      </c>
      <c r="AI41" s="150">
        <f t="array" ref="AI41">IF(AI$1=0,"",SQRT((_xlfn.XLOOKUP(AI$1,$Z$2:$Z$18,$AA$2:$AA$18)-$T41)^2+(_xlfn.XLOOKUP(AI$1,$Z$2:$Z$18,$AB$2:$AB$18)-$U41)^2+(_xlfn.XLOOKUP(AI$1,$Z$2:$Z$18,$AC$2:$AC$18-$V41)^2)))</f>
        <v>123.81444705687622</v>
      </c>
      <c r="AJ41" s="150">
        <f t="array" ref="AJ41">IF(AJ$1=0,"",SQRT((_xlfn.XLOOKUP(AJ$1,$Z$2:$Z$18,$AA$2:$AA$18)-$T41)^2+(_xlfn.XLOOKUP(AJ$1,$Z$2:$Z$18,$AB$2:$AB$18)-$U41)^2+(_xlfn.XLOOKUP(AJ$1,$Z$2:$Z$18,$AC$2:$AC$18-$V41)^2)))</f>
        <v>226.27326421828982</v>
      </c>
      <c r="AK41" s="150">
        <f t="array" ref="AK41">IF(AK$1=0,"",SQRT((_xlfn.XLOOKUP(AK$1,$Z$2:$Z$18,$AA$2:$AA$18)-$T41)^2+(_xlfn.XLOOKUP(AK$1,$Z$2:$Z$18,$AB$2:$AB$18)-$U41)^2+(_xlfn.XLOOKUP(AK$1,$Z$2:$Z$18,$AC$2:$AC$18-$V41)^2)))</f>
        <v>330.89448786584524</v>
      </c>
      <c r="AL41" s="150">
        <f t="array" ref="AL41">IF(AL$1=0,"",SQRT((_xlfn.XLOOKUP(AL$1,$Z$2:$Z$18,$AA$2:$AA$18)-$T41)^2+(_xlfn.XLOOKUP(AL$1,$Z$2:$Z$18,$AB$2:$AB$18)-$U41)^2+(_xlfn.XLOOKUP(AL$1,$Z$2:$Z$18,$AC$2:$AC$18-$V41)^2)))</f>
        <v>218.97662386656708</v>
      </c>
      <c r="AM41" s="150" t="str">
        <f t="array" ref="AM41">IF(AM$1=0,"",SQRT((_xlfn.XLOOKUP(AM$1,$Z$2:$Z$18,$AA$2:$AA$18)-$T41)^2+(_xlfn.XLOOKUP(AM$1,$Z$2:$Z$18,$AB$2:$AB$18)-$U41)^2+(_xlfn.XLOOKUP(AM$1,$Z$2:$Z$18,$AC$2:$AC$18-$V41)^2)))</f>
        <v/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51"/>
        <v>0</v>
      </c>
      <c r="AZ41" s="153">
        <f t="shared" si="52"/>
        <v>0</v>
      </c>
      <c r="BA41" s="153">
        <f t="shared" si="53"/>
        <v>0</v>
      </c>
      <c r="BB41" s="153">
        <f t="shared" si="54"/>
        <v>0</v>
      </c>
      <c r="BC41" s="153">
        <f t="shared" si="55"/>
        <v>0</v>
      </c>
      <c r="BD41" s="153">
        <f t="shared" si="56"/>
        <v>0</v>
      </c>
      <c r="BE41" s="153">
        <f t="shared" si="57"/>
        <v>0</v>
      </c>
      <c r="BF41" s="153">
        <f t="shared" si="58"/>
        <v>0</v>
      </c>
      <c r="BG41" s="154">
        <f t="shared" si="59"/>
        <v>0</v>
      </c>
      <c r="BH41" s="154">
        <f t="shared" si="60"/>
        <v>0</v>
      </c>
      <c r="BI41" s="154">
        <f t="shared" si="61"/>
        <v>0</v>
      </c>
      <c r="BJ41" s="154">
        <f t="shared" si="62"/>
        <v>0</v>
      </c>
      <c r="BK41" s="154">
        <f t="shared" si="63"/>
        <v>0</v>
      </c>
      <c r="BL41" s="154">
        <f t="shared" si="64"/>
        <v>0</v>
      </c>
      <c r="BM41" s="155">
        <f t="shared" si="65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K41" s="134"/>
      <c r="CL41" s="134"/>
      <c r="CM41" s="169">
        <f t="shared" si="66"/>
        <v>0</v>
      </c>
      <c r="CN41" s="170">
        <f t="shared" si="67"/>
        <v>0</v>
      </c>
      <c r="CO41" s="170">
        <f t="shared" si="68"/>
        <v>0</v>
      </c>
      <c r="CP41" s="170">
        <f t="shared" si="69"/>
        <v>0</v>
      </c>
      <c r="CQ41" s="170">
        <f t="shared" si="70"/>
        <v>0</v>
      </c>
      <c r="CR41" s="170" t="str">
        <f t="shared" si="71"/>
        <v/>
      </c>
      <c r="CS41" s="170" t="str">
        <f t="shared" si="72"/>
        <v/>
      </c>
      <c r="CT41" s="170" t="str">
        <f t="shared" si="73"/>
        <v/>
      </c>
      <c r="CU41" s="172" t="str">
        <f t="shared" si="74"/>
        <v/>
      </c>
      <c r="CV41" s="172" t="str">
        <f t="shared" si="75"/>
        <v/>
      </c>
      <c r="CW41" s="172" t="str">
        <f t="shared" si="76"/>
        <v/>
      </c>
      <c r="CX41" s="172" t="str">
        <f t="shared" si="77"/>
        <v/>
      </c>
      <c r="CY41" s="172" t="str">
        <f t="shared" si="78"/>
        <v/>
      </c>
      <c r="CZ41" s="172" t="str">
        <f t="shared" si="79"/>
        <v/>
      </c>
      <c r="DA41" s="173" t="str">
        <f t="shared" si="80"/>
        <v/>
      </c>
    </row>
    <row r="42" spans="1:105" ht="16.5" customHeight="1" x14ac:dyDescent="0.3">
      <c r="A42" s="145"/>
      <c r="B42" s="146"/>
      <c r="C42" s="146"/>
      <c r="D42" s="147"/>
      <c r="E42" s="205"/>
      <c r="F42" s="213"/>
      <c r="G42" s="214"/>
      <c r="H42" s="214"/>
      <c r="I42" s="214"/>
      <c r="J42" s="214"/>
      <c r="K42" s="214"/>
      <c r="L42" s="214"/>
      <c r="M42" s="218"/>
      <c r="N42" s="213"/>
      <c r="O42" s="215"/>
      <c r="P42" s="208"/>
      <c r="Q42" s="128">
        <f t="shared" si="34"/>
        <v>0</v>
      </c>
      <c r="R42" s="3"/>
      <c r="S42" s="3"/>
      <c r="T42" s="4"/>
      <c r="U42" s="4"/>
      <c r="V42" s="109">
        <f t="shared" si="50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112.53151914019467</v>
      </c>
      <c r="AI42" s="150">
        <f t="array" ref="AI42">IF(AI$1=0,"",SQRT((_xlfn.XLOOKUP(AI$1,$Z$2:$Z$18,$AA$2:$AA$18)-$T42)^2+(_xlfn.XLOOKUP(AI$1,$Z$2:$Z$18,$AB$2:$AB$18)-$U42)^2+(_xlfn.XLOOKUP(AI$1,$Z$2:$Z$18,$AC$2:$AC$18-$V42)^2)))</f>
        <v>123.81444705687622</v>
      </c>
      <c r="AJ42" s="150">
        <f t="array" ref="AJ42">IF(AJ$1=0,"",SQRT((_xlfn.XLOOKUP(AJ$1,$Z$2:$Z$18,$AA$2:$AA$18)-$T42)^2+(_xlfn.XLOOKUP(AJ$1,$Z$2:$Z$18,$AB$2:$AB$18)-$U42)^2+(_xlfn.XLOOKUP(AJ$1,$Z$2:$Z$18,$AC$2:$AC$18-$V42)^2)))</f>
        <v>226.27326421828982</v>
      </c>
      <c r="AK42" s="150">
        <f t="array" ref="AK42">IF(AK$1=0,"",SQRT((_xlfn.XLOOKUP(AK$1,$Z$2:$Z$18,$AA$2:$AA$18)-$T42)^2+(_xlfn.XLOOKUP(AK$1,$Z$2:$Z$18,$AB$2:$AB$18)-$U42)^2+(_xlfn.XLOOKUP(AK$1,$Z$2:$Z$18,$AC$2:$AC$18-$V42)^2)))</f>
        <v>330.89448786584524</v>
      </c>
      <c r="AL42" s="150">
        <f t="array" ref="AL42">IF(AL$1=0,"",SQRT((_xlfn.XLOOKUP(AL$1,$Z$2:$Z$18,$AA$2:$AA$18)-$T42)^2+(_xlfn.XLOOKUP(AL$1,$Z$2:$Z$18,$AB$2:$AB$18)-$U42)^2+(_xlfn.XLOOKUP(AL$1,$Z$2:$Z$18,$AC$2:$AC$18-$V42)^2)))</f>
        <v>218.97662386656708</v>
      </c>
      <c r="AM42" s="150" t="str">
        <f t="array" ref="AM42">IF(AM$1=0,"",SQRT((_xlfn.XLOOKUP(AM$1,$Z$2:$Z$18,$AA$2:$AA$18)-$T42)^2+(_xlfn.XLOOKUP(AM$1,$Z$2:$Z$18,$AB$2:$AB$18)-$U42)^2+(_xlfn.XLOOKUP(AM$1,$Z$2:$Z$18,$AC$2:$AC$18-$V42)^2)))</f>
        <v/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51"/>
        <v>0</v>
      </c>
      <c r="AZ42" s="153">
        <f t="shared" si="52"/>
        <v>0</v>
      </c>
      <c r="BA42" s="153">
        <f t="shared" si="53"/>
        <v>0</v>
      </c>
      <c r="BB42" s="153">
        <f t="shared" si="54"/>
        <v>0</v>
      </c>
      <c r="BC42" s="153">
        <f t="shared" si="55"/>
        <v>0</v>
      </c>
      <c r="BD42" s="153">
        <f t="shared" si="56"/>
        <v>0</v>
      </c>
      <c r="BE42" s="153">
        <f t="shared" si="57"/>
        <v>0</v>
      </c>
      <c r="BF42" s="153">
        <f t="shared" si="58"/>
        <v>0</v>
      </c>
      <c r="BG42" s="154">
        <f t="shared" si="59"/>
        <v>0</v>
      </c>
      <c r="BH42" s="154">
        <f t="shared" si="60"/>
        <v>0</v>
      </c>
      <c r="BI42" s="154">
        <f t="shared" si="61"/>
        <v>0</v>
      </c>
      <c r="BJ42" s="154">
        <f t="shared" si="62"/>
        <v>0</v>
      </c>
      <c r="BK42" s="154">
        <f t="shared" si="63"/>
        <v>0</v>
      </c>
      <c r="BL42" s="154">
        <f t="shared" si="64"/>
        <v>0</v>
      </c>
      <c r="BM42" s="155">
        <f t="shared" si="65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K42" s="134"/>
      <c r="CL42" s="134"/>
      <c r="CM42" s="169">
        <f t="shared" si="66"/>
        <v>0</v>
      </c>
      <c r="CN42" s="170">
        <f t="shared" si="67"/>
        <v>0</v>
      </c>
      <c r="CO42" s="170">
        <f t="shared" si="68"/>
        <v>0</v>
      </c>
      <c r="CP42" s="170">
        <f t="shared" si="69"/>
        <v>0</v>
      </c>
      <c r="CQ42" s="170">
        <f t="shared" si="70"/>
        <v>0</v>
      </c>
      <c r="CR42" s="170" t="str">
        <f t="shared" si="71"/>
        <v/>
      </c>
      <c r="CS42" s="170" t="str">
        <f t="shared" si="72"/>
        <v/>
      </c>
      <c r="CT42" s="170" t="str">
        <f t="shared" si="73"/>
        <v/>
      </c>
      <c r="CU42" s="172" t="str">
        <f t="shared" si="74"/>
        <v/>
      </c>
      <c r="CV42" s="172" t="str">
        <f t="shared" si="75"/>
        <v/>
      </c>
      <c r="CW42" s="172" t="str">
        <f t="shared" si="76"/>
        <v/>
      </c>
      <c r="CX42" s="172" t="str">
        <f t="shared" si="77"/>
        <v/>
      </c>
      <c r="CY42" s="172" t="str">
        <f t="shared" si="78"/>
        <v/>
      </c>
      <c r="CZ42" s="172" t="str">
        <f t="shared" si="79"/>
        <v/>
      </c>
      <c r="DA42" s="173" t="str">
        <f t="shared" si="80"/>
        <v/>
      </c>
    </row>
    <row r="43" spans="1:105" ht="16.5" customHeight="1" x14ac:dyDescent="0.3">
      <c r="A43" s="145"/>
      <c r="B43" s="146"/>
      <c r="C43" s="146"/>
      <c r="D43" s="147"/>
      <c r="E43" s="205"/>
      <c r="F43" s="213"/>
      <c r="G43" s="214"/>
      <c r="H43" s="214"/>
      <c r="I43" s="214"/>
      <c r="J43" s="214"/>
      <c r="K43" s="214"/>
      <c r="L43" s="214"/>
      <c r="M43" s="218"/>
      <c r="N43" s="213"/>
      <c r="O43" s="215"/>
      <c r="P43" s="208"/>
      <c r="Q43" s="128">
        <f t="shared" si="34"/>
        <v>0</v>
      </c>
      <c r="R43" s="3"/>
      <c r="S43" s="3"/>
      <c r="T43" s="4"/>
      <c r="U43" s="4"/>
      <c r="V43" s="109">
        <f t="shared" si="50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112.53151914019467</v>
      </c>
      <c r="AI43" s="150">
        <f t="array" ref="AI43">IF(AI$1=0,"",SQRT((_xlfn.XLOOKUP(AI$1,$Z$2:$Z$18,$AA$2:$AA$18)-$T43)^2+(_xlfn.XLOOKUP(AI$1,$Z$2:$Z$18,$AB$2:$AB$18)-$U43)^2+(_xlfn.XLOOKUP(AI$1,$Z$2:$Z$18,$AC$2:$AC$18-$V43)^2)))</f>
        <v>123.81444705687622</v>
      </c>
      <c r="AJ43" s="150">
        <f t="array" ref="AJ43">IF(AJ$1=0,"",SQRT((_xlfn.XLOOKUP(AJ$1,$Z$2:$Z$18,$AA$2:$AA$18)-$T43)^2+(_xlfn.XLOOKUP(AJ$1,$Z$2:$Z$18,$AB$2:$AB$18)-$U43)^2+(_xlfn.XLOOKUP(AJ$1,$Z$2:$Z$18,$AC$2:$AC$18-$V43)^2)))</f>
        <v>226.27326421828982</v>
      </c>
      <c r="AK43" s="150">
        <f t="array" ref="AK43">IF(AK$1=0,"",SQRT((_xlfn.XLOOKUP(AK$1,$Z$2:$Z$18,$AA$2:$AA$18)-$T43)^2+(_xlfn.XLOOKUP(AK$1,$Z$2:$Z$18,$AB$2:$AB$18)-$U43)^2+(_xlfn.XLOOKUP(AK$1,$Z$2:$Z$18,$AC$2:$AC$18-$V43)^2)))</f>
        <v>330.89448786584524</v>
      </c>
      <c r="AL43" s="150">
        <f t="array" ref="AL43">IF(AL$1=0,"",SQRT((_xlfn.XLOOKUP(AL$1,$Z$2:$Z$18,$AA$2:$AA$18)-$T43)^2+(_xlfn.XLOOKUP(AL$1,$Z$2:$Z$18,$AB$2:$AB$18)-$U43)^2+(_xlfn.XLOOKUP(AL$1,$Z$2:$Z$18,$AC$2:$AC$18-$V43)^2)))</f>
        <v>218.97662386656708</v>
      </c>
      <c r="AM43" s="150" t="str">
        <f t="array" ref="AM43">IF(AM$1=0,"",SQRT((_xlfn.XLOOKUP(AM$1,$Z$2:$Z$18,$AA$2:$AA$18)-$T43)^2+(_xlfn.XLOOKUP(AM$1,$Z$2:$Z$18,$AB$2:$AB$18)-$U43)^2+(_xlfn.XLOOKUP(AM$1,$Z$2:$Z$18,$AC$2:$AC$18-$V43)^2)))</f>
        <v/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51"/>
        <v>0</v>
      </c>
      <c r="AZ43" s="153">
        <f t="shared" si="52"/>
        <v>0</v>
      </c>
      <c r="BA43" s="153">
        <f t="shared" si="53"/>
        <v>0</v>
      </c>
      <c r="BB43" s="153">
        <f t="shared" si="54"/>
        <v>0</v>
      </c>
      <c r="BC43" s="153">
        <f t="shared" si="55"/>
        <v>0</v>
      </c>
      <c r="BD43" s="153">
        <f t="shared" si="56"/>
        <v>0</v>
      </c>
      <c r="BE43" s="153">
        <f t="shared" si="57"/>
        <v>0</v>
      </c>
      <c r="BF43" s="153">
        <f t="shared" si="58"/>
        <v>0</v>
      </c>
      <c r="BG43" s="154">
        <f t="shared" si="59"/>
        <v>0</v>
      </c>
      <c r="BH43" s="154">
        <f t="shared" si="60"/>
        <v>0</v>
      </c>
      <c r="BI43" s="154">
        <f t="shared" si="61"/>
        <v>0</v>
      </c>
      <c r="BJ43" s="154">
        <f t="shared" si="62"/>
        <v>0</v>
      </c>
      <c r="BK43" s="154">
        <f t="shared" si="63"/>
        <v>0</v>
      </c>
      <c r="BL43" s="154">
        <f t="shared" si="64"/>
        <v>0</v>
      </c>
      <c r="BM43" s="155">
        <f t="shared" si="65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K43" s="134"/>
      <c r="CL43" s="134"/>
      <c r="CM43" s="169">
        <f t="shared" si="66"/>
        <v>0</v>
      </c>
      <c r="CN43" s="170">
        <f t="shared" si="67"/>
        <v>0</v>
      </c>
      <c r="CO43" s="170">
        <f t="shared" si="68"/>
        <v>0</v>
      </c>
      <c r="CP43" s="170">
        <f t="shared" si="69"/>
        <v>0</v>
      </c>
      <c r="CQ43" s="170">
        <f t="shared" si="70"/>
        <v>0</v>
      </c>
      <c r="CR43" s="170" t="str">
        <f t="shared" si="71"/>
        <v/>
      </c>
      <c r="CS43" s="170" t="str">
        <f t="shared" si="72"/>
        <v/>
      </c>
      <c r="CT43" s="170" t="str">
        <f t="shared" si="73"/>
        <v/>
      </c>
      <c r="CU43" s="172" t="str">
        <f t="shared" si="74"/>
        <v/>
      </c>
      <c r="CV43" s="172" t="str">
        <f t="shared" si="75"/>
        <v/>
      </c>
      <c r="CW43" s="172" t="str">
        <f t="shared" si="76"/>
        <v/>
      </c>
      <c r="CX43" s="172" t="str">
        <f t="shared" si="77"/>
        <v/>
      </c>
      <c r="CY43" s="172" t="str">
        <f t="shared" si="78"/>
        <v/>
      </c>
      <c r="CZ43" s="172" t="str">
        <f t="shared" si="79"/>
        <v/>
      </c>
      <c r="DA43" s="173" t="str">
        <f t="shared" si="80"/>
        <v/>
      </c>
    </row>
    <row r="44" spans="1:105" ht="16.5" customHeight="1" x14ac:dyDescent="0.3">
      <c r="A44" s="145"/>
      <c r="B44" s="146"/>
      <c r="C44" s="146"/>
      <c r="D44" s="147"/>
      <c r="E44" s="205"/>
      <c r="F44" s="213"/>
      <c r="G44" s="214"/>
      <c r="H44" s="214"/>
      <c r="I44" s="214"/>
      <c r="J44" s="214"/>
      <c r="K44" s="214"/>
      <c r="L44" s="214"/>
      <c r="M44" s="218"/>
      <c r="N44" s="213"/>
      <c r="O44" s="215"/>
      <c r="P44" s="208"/>
      <c r="Q44" s="128">
        <f t="shared" si="34"/>
        <v>0</v>
      </c>
      <c r="R44" s="3"/>
      <c r="S44" s="3"/>
      <c r="T44" s="4"/>
      <c r="U44" s="4"/>
      <c r="V44" s="109">
        <f t="shared" si="50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112.53151914019467</v>
      </c>
      <c r="AI44" s="150">
        <f t="array" ref="AI44">IF(AI$1=0,"",SQRT((_xlfn.XLOOKUP(AI$1,$Z$2:$Z$18,$AA$2:$AA$18)-$T44)^2+(_xlfn.XLOOKUP(AI$1,$Z$2:$Z$18,$AB$2:$AB$18)-$U44)^2+(_xlfn.XLOOKUP(AI$1,$Z$2:$Z$18,$AC$2:$AC$18-$V44)^2)))</f>
        <v>123.81444705687622</v>
      </c>
      <c r="AJ44" s="150">
        <f t="array" ref="AJ44">IF(AJ$1=0,"",SQRT((_xlfn.XLOOKUP(AJ$1,$Z$2:$Z$18,$AA$2:$AA$18)-$T44)^2+(_xlfn.XLOOKUP(AJ$1,$Z$2:$Z$18,$AB$2:$AB$18)-$U44)^2+(_xlfn.XLOOKUP(AJ$1,$Z$2:$Z$18,$AC$2:$AC$18-$V44)^2)))</f>
        <v>226.27326421828982</v>
      </c>
      <c r="AK44" s="150">
        <f t="array" ref="AK44">IF(AK$1=0,"",SQRT((_xlfn.XLOOKUP(AK$1,$Z$2:$Z$18,$AA$2:$AA$18)-$T44)^2+(_xlfn.XLOOKUP(AK$1,$Z$2:$Z$18,$AB$2:$AB$18)-$U44)^2+(_xlfn.XLOOKUP(AK$1,$Z$2:$Z$18,$AC$2:$AC$18-$V44)^2)))</f>
        <v>330.89448786584524</v>
      </c>
      <c r="AL44" s="150">
        <f t="array" ref="AL44">IF(AL$1=0,"",SQRT((_xlfn.XLOOKUP(AL$1,$Z$2:$Z$18,$AA$2:$AA$18)-$T44)^2+(_xlfn.XLOOKUP(AL$1,$Z$2:$Z$18,$AB$2:$AB$18)-$U44)^2+(_xlfn.XLOOKUP(AL$1,$Z$2:$Z$18,$AC$2:$AC$18-$V44)^2)))</f>
        <v>218.97662386656708</v>
      </c>
      <c r="AM44" s="150" t="str">
        <f t="array" ref="AM44">IF(AM$1=0,"",SQRT((_xlfn.XLOOKUP(AM$1,$Z$2:$Z$18,$AA$2:$AA$18)-$T44)^2+(_xlfn.XLOOKUP(AM$1,$Z$2:$Z$18,$AB$2:$AB$18)-$U44)^2+(_xlfn.XLOOKUP(AM$1,$Z$2:$Z$18,$AC$2:$AC$18-$V44)^2)))</f>
        <v/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51"/>
        <v>0</v>
      </c>
      <c r="AZ44" s="153">
        <f t="shared" si="52"/>
        <v>0</v>
      </c>
      <c r="BA44" s="153">
        <f t="shared" si="53"/>
        <v>0</v>
      </c>
      <c r="BB44" s="153">
        <f t="shared" si="54"/>
        <v>0</v>
      </c>
      <c r="BC44" s="153">
        <f t="shared" si="55"/>
        <v>0</v>
      </c>
      <c r="BD44" s="153">
        <f t="shared" si="56"/>
        <v>0</v>
      </c>
      <c r="BE44" s="153">
        <f t="shared" si="57"/>
        <v>0</v>
      </c>
      <c r="BF44" s="153">
        <f t="shared" si="58"/>
        <v>0</v>
      </c>
      <c r="BG44" s="154">
        <f t="shared" si="59"/>
        <v>0</v>
      </c>
      <c r="BH44" s="154">
        <f t="shared" si="60"/>
        <v>0</v>
      </c>
      <c r="BI44" s="154">
        <f t="shared" si="61"/>
        <v>0</v>
      </c>
      <c r="BJ44" s="154">
        <f t="shared" si="62"/>
        <v>0</v>
      </c>
      <c r="BK44" s="154">
        <f t="shared" si="63"/>
        <v>0</v>
      </c>
      <c r="BL44" s="154">
        <f t="shared" si="64"/>
        <v>0</v>
      </c>
      <c r="BM44" s="155">
        <f t="shared" si="65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K44" s="134"/>
      <c r="CL44" s="134"/>
      <c r="CM44" s="169">
        <f t="shared" si="66"/>
        <v>0</v>
      </c>
      <c r="CN44" s="170">
        <f t="shared" si="67"/>
        <v>0</v>
      </c>
      <c r="CO44" s="170">
        <f t="shared" si="68"/>
        <v>0</v>
      </c>
      <c r="CP44" s="170">
        <f t="shared" si="69"/>
        <v>0</v>
      </c>
      <c r="CQ44" s="170">
        <f t="shared" si="70"/>
        <v>0</v>
      </c>
      <c r="CR44" s="170" t="str">
        <f t="shared" si="71"/>
        <v/>
      </c>
      <c r="CS44" s="170" t="str">
        <f t="shared" si="72"/>
        <v/>
      </c>
      <c r="CT44" s="170" t="str">
        <f t="shared" si="73"/>
        <v/>
      </c>
      <c r="CU44" s="172" t="str">
        <f t="shared" si="74"/>
        <v/>
      </c>
      <c r="CV44" s="172" t="str">
        <f t="shared" si="75"/>
        <v/>
      </c>
      <c r="CW44" s="172" t="str">
        <f t="shared" si="76"/>
        <v/>
      </c>
      <c r="CX44" s="172" t="str">
        <f t="shared" si="77"/>
        <v/>
      </c>
      <c r="CY44" s="172" t="str">
        <f t="shared" si="78"/>
        <v/>
      </c>
      <c r="CZ44" s="172" t="str">
        <f t="shared" si="79"/>
        <v/>
      </c>
      <c r="DA44" s="173" t="str">
        <f t="shared" si="80"/>
        <v/>
      </c>
    </row>
    <row r="45" spans="1:105" ht="16.5" customHeight="1" x14ac:dyDescent="0.3">
      <c r="A45" s="145"/>
      <c r="B45" s="146"/>
      <c r="C45" s="146"/>
      <c r="D45" s="147"/>
      <c r="E45" s="205"/>
      <c r="F45" s="213"/>
      <c r="G45" s="214"/>
      <c r="H45" s="214"/>
      <c r="I45" s="214"/>
      <c r="J45" s="214"/>
      <c r="K45" s="214"/>
      <c r="L45" s="214"/>
      <c r="M45" s="218"/>
      <c r="N45" s="213"/>
      <c r="O45" s="215"/>
      <c r="P45" s="208"/>
      <c r="Q45" s="128">
        <f t="shared" si="34"/>
        <v>0</v>
      </c>
      <c r="R45" s="3"/>
      <c r="S45" s="3"/>
      <c r="T45" s="4"/>
      <c r="U45" s="4"/>
      <c r="V45" s="109">
        <f t="shared" si="50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112.53151914019467</v>
      </c>
      <c r="AI45" s="150">
        <f t="array" ref="AI45">IF(AI$1=0,"",SQRT((_xlfn.XLOOKUP(AI$1,$Z$2:$Z$18,$AA$2:$AA$18)-$T45)^2+(_xlfn.XLOOKUP(AI$1,$Z$2:$Z$18,$AB$2:$AB$18)-$U45)^2+(_xlfn.XLOOKUP(AI$1,$Z$2:$Z$18,$AC$2:$AC$18-$V45)^2)))</f>
        <v>123.81444705687622</v>
      </c>
      <c r="AJ45" s="150">
        <f t="array" ref="AJ45">IF(AJ$1=0,"",SQRT((_xlfn.XLOOKUP(AJ$1,$Z$2:$Z$18,$AA$2:$AA$18)-$T45)^2+(_xlfn.XLOOKUP(AJ$1,$Z$2:$Z$18,$AB$2:$AB$18)-$U45)^2+(_xlfn.XLOOKUP(AJ$1,$Z$2:$Z$18,$AC$2:$AC$18-$V45)^2)))</f>
        <v>226.27326421828982</v>
      </c>
      <c r="AK45" s="150">
        <f t="array" ref="AK45">IF(AK$1=0,"",SQRT((_xlfn.XLOOKUP(AK$1,$Z$2:$Z$18,$AA$2:$AA$18)-$T45)^2+(_xlfn.XLOOKUP(AK$1,$Z$2:$Z$18,$AB$2:$AB$18)-$U45)^2+(_xlfn.XLOOKUP(AK$1,$Z$2:$Z$18,$AC$2:$AC$18-$V45)^2)))</f>
        <v>330.89448786584524</v>
      </c>
      <c r="AL45" s="150">
        <f t="array" ref="AL45">IF(AL$1=0,"",SQRT((_xlfn.XLOOKUP(AL$1,$Z$2:$Z$18,$AA$2:$AA$18)-$T45)^2+(_xlfn.XLOOKUP(AL$1,$Z$2:$Z$18,$AB$2:$AB$18)-$U45)^2+(_xlfn.XLOOKUP(AL$1,$Z$2:$Z$18,$AC$2:$AC$18-$V45)^2)))</f>
        <v>218.97662386656708</v>
      </c>
      <c r="AM45" s="150" t="str">
        <f t="array" ref="AM45">IF(AM$1=0,"",SQRT((_xlfn.XLOOKUP(AM$1,$Z$2:$Z$18,$AA$2:$AA$18)-$T45)^2+(_xlfn.XLOOKUP(AM$1,$Z$2:$Z$18,$AB$2:$AB$18)-$U45)^2+(_xlfn.XLOOKUP(AM$1,$Z$2:$Z$18,$AC$2:$AC$18-$V45)^2)))</f>
        <v/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51"/>
        <v>0</v>
      </c>
      <c r="AZ45" s="153">
        <f t="shared" si="52"/>
        <v>0</v>
      </c>
      <c r="BA45" s="153">
        <f t="shared" si="53"/>
        <v>0</v>
      </c>
      <c r="BB45" s="153">
        <f t="shared" si="54"/>
        <v>0</v>
      </c>
      <c r="BC45" s="153">
        <f t="shared" si="55"/>
        <v>0</v>
      </c>
      <c r="BD45" s="153">
        <f t="shared" si="56"/>
        <v>0</v>
      </c>
      <c r="BE45" s="153">
        <f t="shared" si="57"/>
        <v>0</v>
      </c>
      <c r="BF45" s="153">
        <f t="shared" si="58"/>
        <v>0</v>
      </c>
      <c r="BG45" s="154">
        <f t="shared" si="59"/>
        <v>0</v>
      </c>
      <c r="BH45" s="154">
        <f t="shared" si="60"/>
        <v>0</v>
      </c>
      <c r="BI45" s="154">
        <f t="shared" si="61"/>
        <v>0</v>
      </c>
      <c r="BJ45" s="154">
        <f t="shared" si="62"/>
        <v>0</v>
      </c>
      <c r="BK45" s="154">
        <f t="shared" si="63"/>
        <v>0</v>
      </c>
      <c r="BL45" s="154">
        <f t="shared" si="64"/>
        <v>0</v>
      </c>
      <c r="BM45" s="155">
        <f t="shared" si="65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K45" s="134"/>
      <c r="CL45" s="134"/>
      <c r="CM45" s="169">
        <f t="shared" si="66"/>
        <v>0</v>
      </c>
      <c r="CN45" s="170">
        <f t="shared" si="67"/>
        <v>0</v>
      </c>
      <c r="CO45" s="170">
        <f t="shared" si="68"/>
        <v>0</v>
      </c>
      <c r="CP45" s="170">
        <f t="shared" si="69"/>
        <v>0</v>
      </c>
      <c r="CQ45" s="170">
        <f t="shared" si="70"/>
        <v>0</v>
      </c>
      <c r="CR45" s="170" t="str">
        <f t="shared" si="71"/>
        <v/>
      </c>
      <c r="CS45" s="170" t="str">
        <f t="shared" si="72"/>
        <v/>
      </c>
      <c r="CT45" s="170" t="str">
        <f t="shared" si="73"/>
        <v/>
      </c>
      <c r="CU45" s="172" t="str">
        <f t="shared" si="74"/>
        <v/>
      </c>
      <c r="CV45" s="172" t="str">
        <f t="shared" si="75"/>
        <v/>
      </c>
      <c r="CW45" s="172" t="str">
        <f t="shared" si="76"/>
        <v/>
      </c>
      <c r="CX45" s="172" t="str">
        <f t="shared" si="77"/>
        <v/>
      </c>
      <c r="CY45" s="172" t="str">
        <f t="shared" si="78"/>
        <v/>
      </c>
      <c r="CZ45" s="172" t="str">
        <f t="shared" si="79"/>
        <v/>
      </c>
      <c r="DA45" s="173" t="str">
        <f t="shared" si="80"/>
        <v/>
      </c>
    </row>
    <row r="46" spans="1:105" ht="16.5" customHeight="1" x14ac:dyDescent="0.3">
      <c r="A46" s="145"/>
      <c r="B46" s="146"/>
      <c r="C46" s="146"/>
      <c r="D46" s="147"/>
      <c r="E46" s="205"/>
      <c r="F46" s="213"/>
      <c r="G46" s="214"/>
      <c r="H46" s="214"/>
      <c r="I46" s="214"/>
      <c r="J46" s="214"/>
      <c r="K46" s="214"/>
      <c r="L46" s="214"/>
      <c r="M46" s="218"/>
      <c r="N46" s="213"/>
      <c r="O46" s="215"/>
      <c r="P46" s="208"/>
      <c r="Q46" s="128">
        <f t="shared" si="34"/>
        <v>0</v>
      </c>
      <c r="R46" s="3"/>
      <c r="S46" s="3"/>
      <c r="T46" s="4"/>
      <c r="U46" s="4"/>
      <c r="V46" s="109">
        <f t="shared" si="50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112.53151914019467</v>
      </c>
      <c r="AI46" s="150">
        <f t="array" ref="AI46">IF(AI$1=0,"",SQRT((_xlfn.XLOOKUP(AI$1,$Z$2:$Z$18,$AA$2:$AA$18)-$T46)^2+(_xlfn.XLOOKUP(AI$1,$Z$2:$Z$18,$AB$2:$AB$18)-$U46)^2+(_xlfn.XLOOKUP(AI$1,$Z$2:$Z$18,$AC$2:$AC$18-$V46)^2)))</f>
        <v>123.81444705687622</v>
      </c>
      <c r="AJ46" s="150">
        <f t="array" ref="AJ46">IF(AJ$1=0,"",SQRT((_xlfn.XLOOKUP(AJ$1,$Z$2:$Z$18,$AA$2:$AA$18)-$T46)^2+(_xlfn.XLOOKUP(AJ$1,$Z$2:$Z$18,$AB$2:$AB$18)-$U46)^2+(_xlfn.XLOOKUP(AJ$1,$Z$2:$Z$18,$AC$2:$AC$18-$V46)^2)))</f>
        <v>226.27326421828982</v>
      </c>
      <c r="AK46" s="150">
        <f t="array" ref="AK46">IF(AK$1=0,"",SQRT((_xlfn.XLOOKUP(AK$1,$Z$2:$Z$18,$AA$2:$AA$18)-$T46)^2+(_xlfn.XLOOKUP(AK$1,$Z$2:$Z$18,$AB$2:$AB$18)-$U46)^2+(_xlfn.XLOOKUP(AK$1,$Z$2:$Z$18,$AC$2:$AC$18-$V46)^2)))</f>
        <v>330.89448786584524</v>
      </c>
      <c r="AL46" s="150">
        <f t="array" ref="AL46">IF(AL$1=0,"",SQRT((_xlfn.XLOOKUP(AL$1,$Z$2:$Z$18,$AA$2:$AA$18)-$T46)^2+(_xlfn.XLOOKUP(AL$1,$Z$2:$Z$18,$AB$2:$AB$18)-$U46)^2+(_xlfn.XLOOKUP(AL$1,$Z$2:$Z$18,$AC$2:$AC$18-$V46)^2)))</f>
        <v>218.97662386656708</v>
      </c>
      <c r="AM46" s="150" t="str">
        <f t="array" ref="AM46">IF(AM$1=0,"",SQRT((_xlfn.XLOOKUP(AM$1,$Z$2:$Z$18,$AA$2:$AA$18)-$T46)^2+(_xlfn.XLOOKUP(AM$1,$Z$2:$Z$18,$AB$2:$AB$18)-$U46)^2+(_xlfn.XLOOKUP(AM$1,$Z$2:$Z$18,$AC$2:$AC$18-$V46)^2)))</f>
        <v/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51"/>
        <v>0</v>
      </c>
      <c r="AZ46" s="153">
        <f t="shared" si="52"/>
        <v>0</v>
      </c>
      <c r="BA46" s="153">
        <f t="shared" si="53"/>
        <v>0</v>
      </c>
      <c r="BB46" s="153">
        <f t="shared" si="54"/>
        <v>0</v>
      </c>
      <c r="BC46" s="153">
        <f t="shared" si="55"/>
        <v>0</v>
      </c>
      <c r="BD46" s="153">
        <f t="shared" si="56"/>
        <v>0</v>
      </c>
      <c r="BE46" s="153">
        <f t="shared" si="57"/>
        <v>0</v>
      </c>
      <c r="BF46" s="153">
        <f t="shared" si="58"/>
        <v>0</v>
      </c>
      <c r="BG46" s="154">
        <f t="shared" si="59"/>
        <v>0</v>
      </c>
      <c r="BH46" s="154">
        <f t="shared" si="60"/>
        <v>0</v>
      </c>
      <c r="BI46" s="154">
        <f t="shared" si="61"/>
        <v>0</v>
      </c>
      <c r="BJ46" s="154">
        <f t="shared" si="62"/>
        <v>0</v>
      </c>
      <c r="BK46" s="154">
        <f t="shared" si="63"/>
        <v>0</v>
      </c>
      <c r="BL46" s="154">
        <f t="shared" si="64"/>
        <v>0</v>
      </c>
      <c r="BM46" s="155">
        <f t="shared" si="65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K46" s="134"/>
      <c r="CL46" s="134"/>
      <c r="CM46" s="169">
        <f t="shared" si="66"/>
        <v>0</v>
      </c>
      <c r="CN46" s="170">
        <f t="shared" si="67"/>
        <v>0</v>
      </c>
      <c r="CO46" s="170">
        <f t="shared" si="68"/>
        <v>0</v>
      </c>
      <c r="CP46" s="170">
        <f t="shared" si="69"/>
        <v>0</v>
      </c>
      <c r="CQ46" s="170">
        <f t="shared" si="70"/>
        <v>0</v>
      </c>
      <c r="CR46" s="170" t="str">
        <f t="shared" si="71"/>
        <v/>
      </c>
      <c r="CS46" s="170" t="str">
        <f t="shared" si="72"/>
        <v/>
      </c>
      <c r="CT46" s="170" t="str">
        <f t="shared" si="73"/>
        <v/>
      </c>
      <c r="CU46" s="172" t="str">
        <f t="shared" si="74"/>
        <v/>
      </c>
      <c r="CV46" s="172" t="str">
        <f t="shared" si="75"/>
        <v/>
      </c>
      <c r="CW46" s="172" t="str">
        <f t="shared" si="76"/>
        <v/>
      </c>
      <c r="CX46" s="172" t="str">
        <f t="shared" si="77"/>
        <v/>
      </c>
      <c r="CY46" s="172" t="str">
        <f t="shared" si="78"/>
        <v/>
      </c>
      <c r="CZ46" s="172" t="str">
        <f t="shared" si="79"/>
        <v/>
      </c>
      <c r="DA46" s="173" t="str">
        <f t="shared" si="80"/>
        <v/>
      </c>
    </row>
    <row r="47" spans="1:105" ht="16.5" customHeight="1" x14ac:dyDescent="0.3">
      <c r="A47" s="145"/>
      <c r="B47" s="146"/>
      <c r="C47" s="146"/>
      <c r="D47" s="147"/>
      <c r="E47" s="205"/>
      <c r="F47" s="213"/>
      <c r="G47" s="214"/>
      <c r="H47" s="214"/>
      <c r="I47" s="214"/>
      <c r="J47" s="214"/>
      <c r="K47" s="214"/>
      <c r="L47" s="214"/>
      <c r="M47" s="218"/>
      <c r="N47" s="213"/>
      <c r="O47" s="215"/>
      <c r="P47" s="208"/>
      <c r="Q47" s="128">
        <f t="shared" si="34"/>
        <v>0</v>
      </c>
      <c r="R47" s="3"/>
      <c r="S47" s="3"/>
      <c r="T47" s="4"/>
      <c r="U47" s="4"/>
      <c r="V47" s="109">
        <f t="shared" si="50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112.53151914019467</v>
      </c>
      <c r="AI47" s="150">
        <f t="array" ref="AI47">IF(AI$1=0,"",SQRT((_xlfn.XLOOKUP(AI$1,$Z$2:$Z$18,$AA$2:$AA$18)-$T47)^2+(_xlfn.XLOOKUP(AI$1,$Z$2:$Z$18,$AB$2:$AB$18)-$U47)^2+(_xlfn.XLOOKUP(AI$1,$Z$2:$Z$18,$AC$2:$AC$18-$V47)^2)))</f>
        <v>123.81444705687622</v>
      </c>
      <c r="AJ47" s="150">
        <f t="array" ref="AJ47">IF(AJ$1=0,"",SQRT((_xlfn.XLOOKUP(AJ$1,$Z$2:$Z$18,$AA$2:$AA$18)-$T47)^2+(_xlfn.XLOOKUP(AJ$1,$Z$2:$Z$18,$AB$2:$AB$18)-$U47)^2+(_xlfn.XLOOKUP(AJ$1,$Z$2:$Z$18,$AC$2:$AC$18-$V47)^2)))</f>
        <v>226.27326421828982</v>
      </c>
      <c r="AK47" s="150">
        <f t="array" ref="AK47">IF(AK$1=0,"",SQRT((_xlfn.XLOOKUP(AK$1,$Z$2:$Z$18,$AA$2:$AA$18)-$T47)^2+(_xlfn.XLOOKUP(AK$1,$Z$2:$Z$18,$AB$2:$AB$18)-$U47)^2+(_xlfn.XLOOKUP(AK$1,$Z$2:$Z$18,$AC$2:$AC$18-$V47)^2)))</f>
        <v>330.89448786584524</v>
      </c>
      <c r="AL47" s="150">
        <f t="array" ref="AL47">IF(AL$1=0,"",SQRT((_xlfn.XLOOKUP(AL$1,$Z$2:$Z$18,$AA$2:$AA$18)-$T47)^2+(_xlfn.XLOOKUP(AL$1,$Z$2:$Z$18,$AB$2:$AB$18)-$U47)^2+(_xlfn.XLOOKUP(AL$1,$Z$2:$Z$18,$AC$2:$AC$18-$V47)^2)))</f>
        <v>218.97662386656708</v>
      </c>
      <c r="AM47" s="150" t="str">
        <f t="array" ref="AM47">IF(AM$1=0,"",SQRT((_xlfn.XLOOKUP(AM$1,$Z$2:$Z$18,$AA$2:$AA$18)-$T47)^2+(_xlfn.XLOOKUP(AM$1,$Z$2:$Z$18,$AB$2:$AB$18)-$U47)^2+(_xlfn.XLOOKUP(AM$1,$Z$2:$Z$18,$AC$2:$AC$18-$V47)^2)))</f>
        <v/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51"/>
        <v>0</v>
      </c>
      <c r="AZ47" s="153">
        <f t="shared" si="52"/>
        <v>0</v>
      </c>
      <c r="BA47" s="153">
        <f t="shared" si="53"/>
        <v>0</v>
      </c>
      <c r="BB47" s="153">
        <f t="shared" si="54"/>
        <v>0</v>
      </c>
      <c r="BC47" s="153">
        <f t="shared" si="55"/>
        <v>0</v>
      </c>
      <c r="BD47" s="153">
        <f t="shared" si="56"/>
        <v>0</v>
      </c>
      <c r="BE47" s="153">
        <f t="shared" si="57"/>
        <v>0</v>
      </c>
      <c r="BF47" s="153">
        <f t="shared" si="58"/>
        <v>0</v>
      </c>
      <c r="BG47" s="154">
        <f t="shared" si="59"/>
        <v>0</v>
      </c>
      <c r="BH47" s="154">
        <f t="shared" si="60"/>
        <v>0</v>
      </c>
      <c r="BI47" s="154">
        <f t="shared" si="61"/>
        <v>0</v>
      </c>
      <c r="BJ47" s="154">
        <f t="shared" si="62"/>
        <v>0</v>
      </c>
      <c r="BK47" s="154">
        <f t="shared" si="63"/>
        <v>0</v>
      </c>
      <c r="BL47" s="154">
        <f t="shared" si="64"/>
        <v>0</v>
      </c>
      <c r="BM47" s="155">
        <f t="shared" si="65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K47" s="134"/>
      <c r="CL47" s="134"/>
      <c r="CM47" s="169">
        <f t="shared" si="66"/>
        <v>0</v>
      </c>
      <c r="CN47" s="170">
        <f t="shared" si="67"/>
        <v>0</v>
      </c>
      <c r="CO47" s="170">
        <f t="shared" si="68"/>
        <v>0</v>
      </c>
      <c r="CP47" s="170">
        <f t="shared" si="69"/>
        <v>0</v>
      </c>
      <c r="CQ47" s="170">
        <f t="shared" si="70"/>
        <v>0</v>
      </c>
      <c r="CR47" s="170" t="str">
        <f t="shared" si="71"/>
        <v/>
      </c>
      <c r="CS47" s="170" t="str">
        <f t="shared" si="72"/>
        <v/>
      </c>
      <c r="CT47" s="170" t="str">
        <f t="shared" si="73"/>
        <v/>
      </c>
      <c r="CU47" s="172" t="str">
        <f t="shared" si="74"/>
        <v/>
      </c>
      <c r="CV47" s="172" t="str">
        <f t="shared" si="75"/>
        <v/>
      </c>
      <c r="CW47" s="172" t="str">
        <f t="shared" si="76"/>
        <v/>
      </c>
      <c r="CX47" s="172" t="str">
        <f t="shared" si="77"/>
        <v/>
      </c>
      <c r="CY47" s="172" t="str">
        <f t="shared" si="78"/>
        <v/>
      </c>
      <c r="CZ47" s="172" t="str">
        <f t="shared" si="79"/>
        <v/>
      </c>
      <c r="DA47" s="173" t="str">
        <f t="shared" si="80"/>
        <v/>
      </c>
    </row>
    <row r="48" spans="1:105" ht="16.5" customHeight="1" x14ac:dyDescent="0.3">
      <c r="A48" s="145"/>
      <c r="B48" s="146"/>
      <c r="C48" s="146"/>
      <c r="D48" s="147"/>
      <c r="E48" s="205"/>
      <c r="F48" s="213"/>
      <c r="G48" s="214"/>
      <c r="H48" s="214"/>
      <c r="I48" s="214"/>
      <c r="J48" s="214"/>
      <c r="K48" s="214"/>
      <c r="L48" s="214"/>
      <c r="M48" s="218"/>
      <c r="N48" s="213"/>
      <c r="O48" s="215"/>
      <c r="P48" s="208"/>
      <c r="Q48" s="128">
        <f t="shared" si="34"/>
        <v>0</v>
      </c>
      <c r="R48" s="3"/>
      <c r="S48" s="3"/>
      <c r="T48" s="4"/>
      <c r="U48" s="4"/>
      <c r="V48" s="109">
        <f t="shared" si="50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112.53151914019467</v>
      </c>
      <c r="AI48" s="150">
        <f t="array" ref="AI48">IF(AI$1=0,"",SQRT((_xlfn.XLOOKUP(AI$1,$Z$2:$Z$18,$AA$2:$AA$18)-$T48)^2+(_xlfn.XLOOKUP(AI$1,$Z$2:$Z$18,$AB$2:$AB$18)-$U48)^2+(_xlfn.XLOOKUP(AI$1,$Z$2:$Z$18,$AC$2:$AC$18-$V48)^2)))</f>
        <v>123.81444705687622</v>
      </c>
      <c r="AJ48" s="150">
        <f t="array" ref="AJ48">IF(AJ$1=0,"",SQRT((_xlfn.XLOOKUP(AJ$1,$Z$2:$Z$18,$AA$2:$AA$18)-$T48)^2+(_xlfn.XLOOKUP(AJ$1,$Z$2:$Z$18,$AB$2:$AB$18)-$U48)^2+(_xlfn.XLOOKUP(AJ$1,$Z$2:$Z$18,$AC$2:$AC$18-$V48)^2)))</f>
        <v>226.27326421828982</v>
      </c>
      <c r="AK48" s="150">
        <f t="array" ref="AK48">IF(AK$1=0,"",SQRT((_xlfn.XLOOKUP(AK$1,$Z$2:$Z$18,$AA$2:$AA$18)-$T48)^2+(_xlfn.XLOOKUP(AK$1,$Z$2:$Z$18,$AB$2:$AB$18)-$U48)^2+(_xlfn.XLOOKUP(AK$1,$Z$2:$Z$18,$AC$2:$AC$18-$V48)^2)))</f>
        <v>330.89448786584524</v>
      </c>
      <c r="AL48" s="150">
        <f t="array" ref="AL48">IF(AL$1=0,"",SQRT((_xlfn.XLOOKUP(AL$1,$Z$2:$Z$18,$AA$2:$AA$18)-$T48)^2+(_xlfn.XLOOKUP(AL$1,$Z$2:$Z$18,$AB$2:$AB$18)-$U48)^2+(_xlfn.XLOOKUP(AL$1,$Z$2:$Z$18,$AC$2:$AC$18-$V48)^2)))</f>
        <v>218.97662386656708</v>
      </c>
      <c r="AM48" s="150" t="str">
        <f t="array" ref="AM48">IF(AM$1=0,"",SQRT((_xlfn.XLOOKUP(AM$1,$Z$2:$Z$18,$AA$2:$AA$18)-$T48)^2+(_xlfn.XLOOKUP(AM$1,$Z$2:$Z$18,$AB$2:$AB$18)-$U48)^2+(_xlfn.XLOOKUP(AM$1,$Z$2:$Z$18,$AC$2:$AC$18-$V48)^2)))</f>
        <v/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51"/>
        <v>0</v>
      </c>
      <c r="AZ48" s="153">
        <f t="shared" si="52"/>
        <v>0</v>
      </c>
      <c r="BA48" s="153">
        <f t="shared" si="53"/>
        <v>0</v>
      </c>
      <c r="BB48" s="153">
        <f t="shared" si="54"/>
        <v>0</v>
      </c>
      <c r="BC48" s="153">
        <f t="shared" si="55"/>
        <v>0</v>
      </c>
      <c r="BD48" s="153">
        <f t="shared" si="56"/>
        <v>0</v>
      </c>
      <c r="BE48" s="153">
        <f t="shared" si="57"/>
        <v>0</v>
      </c>
      <c r="BF48" s="153">
        <f t="shared" si="58"/>
        <v>0</v>
      </c>
      <c r="BG48" s="154">
        <f t="shared" si="59"/>
        <v>0</v>
      </c>
      <c r="BH48" s="154">
        <f t="shared" si="60"/>
        <v>0</v>
      </c>
      <c r="BI48" s="154">
        <f t="shared" si="61"/>
        <v>0</v>
      </c>
      <c r="BJ48" s="154">
        <f t="shared" si="62"/>
        <v>0</v>
      </c>
      <c r="BK48" s="154">
        <f t="shared" si="63"/>
        <v>0</v>
      </c>
      <c r="BL48" s="154">
        <f t="shared" si="64"/>
        <v>0</v>
      </c>
      <c r="BM48" s="155">
        <f t="shared" si="65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K48" s="134"/>
      <c r="CL48" s="134"/>
      <c r="CM48" s="169">
        <f t="shared" si="66"/>
        <v>0</v>
      </c>
      <c r="CN48" s="170">
        <f t="shared" si="67"/>
        <v>0</v>
      </c>
      <c r="CO48" s="170">
        <f t="shared" si="68"/>
        <v>0</v>
      </c>
      <c r="CP48" s="170">
        <f t="shared" si="69"/>
        <v>0</v>
      </c>
      <c r="CQ48" s="170">
        <f t="shared" si="70"/>
        <v>0</v>
      </c>
      <c r="CR48" s="170" t="str">
        <f t="shared" si="71"/>
        <v/>
      </c>
      <c r="CS48" s="170" t="str">
        <f t="shared" si="72"/>
        <v/>
      </c>
      <c r="CT48" s="170" t="str">
        <f t="shared" si="73"/>
        <v/>
      </c>
      <c r="CU48" s="172" t="str">
        <f t="shared" si="74"/>
        <v/>
      </c>
      <c r="CV48" s="172" t="str">
        <f t="shared" si="75"/>
        <v/>
      </c>
      <c r="CW48" s="172" t="str">
        <f t="shared" si="76"/>
        <v/>
      </c>
      <c r="CX48" s="172" t="str">
        <f t="shared" si="77"/>
        <v/>
      </c>
      <c r="CY48" s="172" t="str">
        <f t="shared" si="78"/>
        <v/>
      </c>
      <c r="CZ48" s="172" t="str">
        <f t="shared" si="79"/>
        <v/>
      </c>
      <c r="DA48" s="173" t="str">
        <f t="shared" si="80"/>
        <v/>
      </c>
    </row>
    <row r="49" spans="1:105" ht="16.5" customHeight="1" x14ac:dyDescent="0.3">
      <c r="A49" s="145"/>
      <c r="B49" s="146"/>
      <c r="C49" s="146"/>
      <c r="D49" s="147"/>
      <c r="E49" s="205"/>
      <c r="F49" s="213"/>
      <c r="G49" s="214"/>
      <c r="H49" s="214"/>
      <c r="I49" s="214"/>
      <c r="J49" s="214"/>
      <c r="K49" s="214"/>
      <c r="L49" s="214"/>
      <c r="M49" s="218"/>
      <c r="N49" s="213"/>
      <c r="O49" s="215"/>
      <c r="P49" s="208"/>
      <c r="Q49" s="128">
        <f t="shared" si="34"/>
        <v>0</v>
      </c>
      <c r="R49" s="3"/>
      <c r="S49" s="3"/>
      <c r="T49" s="4"/>
      <c r="U49" s="4"/>
      <c r="V49" s="109">
        <f t="shared" si="50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112.53151914019467</v>
      </c>
      <c r="AI49" s="150">
        <f t="array" ref="AI49">IF(AI$1=0,"",SQRT((_xlfn.XLOOKUP(AI$1,$Z$2:$Z$18,$AA$2:$AA$18)-$T49)^2+(_xlfn.XLOOKUP(AI$1,$Z$2:$Z$18,$AB$2:$AB$18)-$U49)^2+(_xlfn.XLOOKUP(AI$1,$Z$2:$Z$18,$AC$2:$AC$18-$V49)^2)))</f>
        <v>123.81444705687622</v>
      </c>
      <c r="AJ49" s="150">
        <f t="array" ref="AJ49">IF(AJ$1=0,"",SQRT((_xlfn.XLOOKUP(AJ$1,$Z$2:$Z$18,$AA$2:$AA$18)-$T49)^2+(_xlfn.XLOOKUP(AJ$1,$Z$2:$Z$18,$AB$2:$AB$18)-$U49)^2+(_xlfn.XLOOKUP(AJ$1,$Z$2:$Z$18,$AC$2:$AC$18-$V49)^2)))</f>
        <v>226.27326421828982</v>
      </c>
      <c r="AK49" s="150">
        <f t="array" ref="AK49">IF(AK$1=0,"",SQRT((_xlfn.XLOOKUP(AK$1,$Z$2:$Z$18,$AA$2:$AA$18)-$T49)^2+(_xlfn.XLOOKUP(AK$1,$Z$2:$Z$18,$AB$2:$AB$18)-$U49)^2+(_xlfn.XLOOKUP(AK$1,$Z$2:$Z$18,$AC$2:$AC$18-$V49)^2)))</f>
        <v>330.89448786584524</v>
      </c>
      <c r="AL49" s="150">
        <f t="array" ref="AL49">IF(AL$1=0,"",SQRT((_xlfn.XLOOKUP(AL$1,$Z$2:$Z$18,$AA$2:$AA$18)-$T49)^2+(_xlfn.XLOOKUP(AL$1,$Z$2:$Z$18,$AB$2:$AB$18)-$U49)^2+(_xlfn.XLOOKUP(AL$1,$Z$2:$Z$18,$AC$2:$AC$18-$V49)^2)))</f>
        <v>218.97662386656708</v>
      </c>
      <c r="AM49" s="150" t="str">
        <f t="array" ref="AM49">IF(AM$1=0,"",SQRT((_xlfn.XLOOKUP(AM$1,$Z$2:$Z$18,$AA$2:$AA$18)-$T49)^2+(_xlfn.XLOOKUP(AM$1,$Z$2:$Z$18,$AB$2:$AB$18)-$U49)^2+(_xlfn.XLOOKUP(AM$1,$Z$2:$Z$18,$AC$2:$AC$18-$V49)^2)))</f>
        <v/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51"/>
        <v>0</v>
      </c>
      <c r="AZ49" s="153">
        <f t="shared" si="52"/>
        <v>0</v>
      </c>
      <c r="BA49" s="153">
        <f t="shared" si="53"/>
        <v>0</v>
      </c>
      <c r="BB49" s="153">
        <f t="shared" si="54"/>
        <v>0</v>
      </c>
      <c r="BC49" s="153">
        <f t="shared" si="55"/>
        <v>0</v>
      </c>
      <c r="BD49" s="153">
        <f t="shared" si="56"/>
        <v>0</v>
      </c>
      <c r="BE49" s="153">
        <f t="shared" si="57"/>
        <v>0</v>
      </c>
      <c r="BF49" s="153">
        <f t="shared" si="58"/>
        <v>0</v>
      </c>
      <c r="BG49" s="154">
        <f t="shared" si="59"/>
        <v>0</v>
      </c>
      <c r="BH49" s="154">
        <f t="shared" si="60"/>
        <v>0</v>
      </c>
      <c r="BI49" s="154">
        <f t="shared" si="61"/>
        <v>0</v>
      </c>
      <c r="BJ49" s="154">
        <f t="shared" si="62"/>
        <v>0</v>
      </c>
      <c r="BK49" s="154">
        <f t="shared" si="63"/>
        <v>0</v>
      </c>
      <c r="BL49" s="154">
        <f t="shared" si="64"/>
        <v>0</v>
      </c>
      <c r="BM49" s="155">
        <f t="shared" si="65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K49" s="134"/>
      <c r="CL49" s="134"/>
      <c r="CM49" s="169">
        <f t="shared" si="66"/>
        <v>0</v>
      </c>
      <c r="CN49" s="170">
        <f t="shared" si="67"/>
        <v>0</v>
      </c>
      <c r="CO49" s="170">
        <f t="shared" si="68"/>
        <v>0</v>
      </c>
      <c r="CP49" s="170">
        <f t="shared" si="69"/>
        <v>0</v>
      </c>
      <c r="CQ49" s="170">
        <f t="shared" si="70"/>
        <v>0</v>
      </c>
      <c r="CR49" s="170" t="str">
        <f t="shared" si="71"/>
        <v/>
      </c>
      <c r="CS49" s="170" t="str">
        <f t="shared" si="72"/>
        <v/>
      </c>
      <c r="CT49" s="170" t="str">
        <f t="shared" si="73"/>
        <v/>
      </c>
      <c r="CU49" s="172" t="str">
        <f t="shared" si="74"/>
        <v/>
      </c>
      <c r="CV49" s="172" t="str">
        <f t="shared" si="75"/>
        <v/>
      </c>
      <c r="CW49" s="172" t="str">
        <f t="shared" si="76"/>
        <v/>
      </c>
      <c r="CX49" s="172" t="str">
        <f t="shared" si="77"/>
        <v/>
      </c>
      <c r="CY49" s="172" t="str">
        <f t="shared" si="78"/>
        <v/>
      </c>
      <c r="CZ49" s="172" t="str">
        <f t="shared" si="79"/>
        <v/>
      </c>
      <c r="DA49" s="173" t="str">
        <f t="shared" si="80"/>
        <v/>
      </c>
    </row>
    <row r="50" spans="1:105" ht="17.25" customHeight="1" thickBot="1" x14ac:dyDescent="0.35">
      <c r="A50" s="145"/>
      <c r="B50" s="146"/>
      <c r="C50" s="146"/>
      <c r="D50" s="147"/>
      <c r="E50" s="205"/>
      <c r="F50" s="213"/>
      <c r="G50" s="214"/>
      <c r="H50" s="214"/>
      <c r="I50" s="214"/>
      <c r="J50" s="214"/>
      <c r="K50" s="214"/>
      <c r="L50" s="214"/>
      <c r="M50" s="218"/>
      <c r="N50" s="213"/>
      <c r="O50" s="215"/>
      <c r="P50" s="208"/>
      <c r="Q50" s="128">
        <f t="shared" si="34"/>
        <v>0</v>
      </c>
      <c r="R50" s="3"/>
      <c r="S50" s="3"/>
      <c r="T50" s="4"/>
      <c r="U50" s="4"/>
      <c r="V50" s="109">
        <f t="shared" si="50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112.53151914019467</v>
      </c>
      <c r="AI50" s="150">
        <f t="array" ref="AI50">IF(AI$1=0,"",SQRT((_xlfn.XLOOKUP(AI$1,$Z$2:$Z$18,$AA$2:$AA$18)-$T50)^2+(_xlfn.XLOOKUP(AI$1,$Z$2:$Z$18,$AB$2:$AB$18)-$U50)^2+(_xlfn.XLOOKUP(AI$1,$Z$2:$Z$18,$AC$2:$AC$18-$V50)^2)))</f>
        <v>123.81444705687622</v>
      </c>
      <c r="AJ50" s="150">
        <f t="array" ref="AJ50">IF(AJ$1=0,"",SQRT((_xlfn.XLOOKUP(AJ$1,$Z$2:$Z$18,$AA$2:$AA$18)-$T50)^2+(_xlfn.XLOOKUP(AJ$1,$Z$2:$Z$18,$AB$2:$AB$18)-$U50)^2+(_xlfn.XLOOKUP(AJ$1,$Z$2:$Z$18,$AC$2:$AC$18-$V50)^2)))</f>
        <v>226.27326421828982</v>
      </c>
      <c r="AK50" s="150">
        <f t="array" ref="AK50">IF(AK$1=0,"",SQRT((_xlfn.XLOOKUP(AK$1,$Z$2:$Z$18,$AA$2:$AA$18)-$T50)^2+(_xlfn.XLOOKUP(AK$1,$Z$2:$Z$18,$AB$2:$AB$18)-$U50)^2+(_xlfn.XLOOKUP(AK$1,$Z$2:$Z$18,$AC$2:$AC$18-$V50)^2)))</f>
        <v>330.89448786584524</v>
      </c>
      <c r="AL50" s="150">
        <f t="array" ref="AL50">IF(AL$1=0,"",SQRT((_xlfn.XLOOKUP(AL$1,$Z$2:$Z$18,$AA$2:$AA$18)-$T50)^2+(_xlfn.XLOOKUP(AL$1,$Z$2:$Z$18,$AB$2:$AB$18)-$U50)^2+(_xlfn.XLOOKUP(AL$1,$Z$2:$Z$18,$AC$2:$AC$18-$V50)^2)))</f>
        <v>218.97662386656708</v>
      </c>
      <c r="AM50" s="150" t="str">
        <f t="array" ref="AM50">IF(AM$1=0,"",SQRT((_xlfn.XLOOKUP(AM$1,$Z$2:$Z$18,$AA$2:$AA$18)-$T50)^2+(_xlfn.XLOOKUP(AM$1,$Z$2:$Z$18,$AB$2:$AB$18)-$U50)^2+(_xlfn.XLOOKUP(AM$1,$Z$2:$Z$18,$AC$2:$AC$18-$V50)^2)))</f>
        <v/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51"/>
        <v>0</v>
      </c>
      <c r="AZ50" s="153">
        <f t="shared" si="52"/>
        <v>0</v>
      </c>
      <c r="BA50" s="153">
        <f t="shared" si="53"/>
        <v>0</v>
      </c>
      <c r="BB50" s="153">
        <f t="shared" si="54"/>
        <v>0</v>
      </c>
      <c r="BC50" s="153">
        <f t="shared" si="55"/>
        <v>0</v>
      </c>
      <c r="BD50" s="153">
        <f t="shared" si="56"/>
        <v>0</v>
      </c>
      <c r="BE50" s="153">
        <f t="shared" si="57"/>
        <v>0</v>
      </c>
      <c r="BF50" s="153">
        <f t="shared" si="58"/>
        <v>0</v>
      </c>
      <c r="BG50" s="154">
        <f t="shared" si="59"/>
        <v>0</v>
      </c>
      <c r="BH50" s="154">
        <f t="shared" si="60"/>
        <v>0</v>
      </c>
      <c r="BI50" s="154">
        <f t="shared" si="61"/>
        <v>0</v>
      </c>
      <c r="BJ50" s="154">
        <f t="shared" si="62"/>
        <v>0</v>
      </c>
      <c r="BK50" s="154">
        <f t="shared" si="63"/>
        <v>0</v>
      </c>
      <c r="BL50" s="154">
        <f t="shared" si="64"/>
        <v>0</v>
      </c>
      <c r="BM50" s="155">
        <f t="shared" si="65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K50" s="134"/>
      <c r="CL50" s="134"/>
      <c r="CM50" s="169">
        <f t="shared" si="66"/>
        <v>0</v>
      </c>
      <c r="CN50" s="170">
        <f t="shared" si="67"/>
        <v>0</v>
      </c>
      <c r="CO50" s="170">
        <f t="shared" si="68"/>
        <v>0</v>
      </c>
      <c r="CP50" s="170">
        <f t="shared" si="69"/>
        <v>0</v>
      </c>
      <c r="CQ50" s="170">
        <f t="shared" si="70"/>
        <v>0</v>
      </c>
      <c r="CR50" s="170" t="str">
        <f t="shared" si="71"/>
        <v/>
      </c>
      <c r="CS50" s="170" t="str">
        <f t="shared" si="72"/>
        <v/>
      </c>
      <c r="CT50" s="170" t="str">
        <f t="shared" si="73"/>
        <v/>
      </c>
      <c r="CU50" s="172" t="str">
        <f t="shared" si="74"/>
        <v/>
      </c>
      <c r="CV50" s="172" t="str">
        <f t="shared" si="75"/>
        <v/>
      </c>
      <c r="CW50" s="172" t="str">
        <f t="shared" si="76"/>
        <v/>
      </c>
      <c r="CX50" s="172" t="str">
        <f t="shared" si="77"/>
        <v/>
      </c>
      <c r="CY50" s="172" t="str">
        <f t="shared" si="78"/>
        <v/>
      </c>
      <c r="CZ50" s="172" t="str">
        <f t="shared" si="79"/>
        <v/>
      </c>
      <c r="DA50" s="173" t="str">
        <f t="shared" si="80"/>
        <v/>
      </c>
    </row>
    <row r="51" spans="1:105" ht="16.5" customHeight="1" x14ac:dyDescent="0.3">
      <c r="A51" s="145"/>
      <c r="B51" s="146"/>
      <c r="C51" s="146"/>
      <c r="D51" s="147"/>
      <c r="E51" s="205"/>
      <c r="F51" s="213"/>
      <c r="G51" s="214"/>
      <c r="H51" s="214"/>
      <c r="I51" s="214"/>
      <c r="J51" s="214"/>
      <c r="K51" s="214"/>
      <c r="L51" s="214"/>
      <c r="M51" s="218"/>
      <c r="N51" s="213"/>
      <c r="O51" s="215"/>
      <c r="P51" s="208"/>
      <c r="Q51" s="128">
        <f t="shared" si="34"/>
        <v>0</v>
      </c>
      <c r="R51" s="3"/>
      <c r="S51" s="3"/>
      <c r="T51" s="4"/>
      <c r="U51" s="4"/>
      <c r="V51" s="109">
        <f t="shared" si="50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112.53151914019467</v>
      </c>
      <c r="AI51" s="150">
        <f t="array" ref="AI51">IF(AI$1=0,"",SQRT((_xlfn.XLOOKUP(AI$1,$Z$2:$Z$18,$AA$2:$AA$18)-$T51)^2+(_xlfn.XLOOKUP(AI$1,$Z$2:$Z$18,$AB$2:$AB$18)-$U51)^2+(_xlfn.XLOOKUP(AI$1,$Z$2:$Z$18,$AC$2:$AC$18-$V51)^2)))</f>
        <v>123.81444705687622</v>
      </c>
      <c r="AJ51" s="150">
        <f t="array" ref="AJ51">IF(AJ$1=0,"",SQRT((_xlfn.XLOOKUP(AJ$1,$Z$2:$Z$18,$AA$2:$AA$18)-$T51)^2+(_xlfn.XLOOKUP(AJ$1,$Z$2:$Z$18,$AB$2:$AB$18)-$U51)^2+(_xlfn.XLOOKUP(AJ$1,$Z$2:$Z$18,$AC$2:$AC$18-$V51)^2)))</f>
        <v>226.27326421828982</v>
      </c>
      <c r="AK51" s="150">
        <f t="array" ref="AK51">IF(AK$1=0,"",SQRT((_xlfn.XLOOKUP(AK$1,$Z$2:$Z$18,$AA$2:$AA$18)-$T51)^2+(_xlfn.XLOOKUP(AK$1,$Z$2:$Z$18,$AB$2:$AB$18)-$U51)^2+(_xlfn.XLOOKUP(AK$1,$Z$2:$Z$18,$AC$2:$AC$18-$V51)^2)))</f>
        <v>330.89448786584524</v>
      </c>
      <c r="AL51" s="150">
        <f t="array" ref="AL51">IF(AL$1=0,"",SQRT((_xlfn.XLOOKUP(AL$1,$Z$2:$Z$18,$AA$2:$AA$18)-$T51)^2+(_xlfn.XLOOKUP(AL$1,$Z$2:$Z$18,$AB$2:$AB$18)-$U51)^2+(_xlfn.XLOOKUP(AL$1,$Z$2:$Z$18,$AC$2:$AC$18-$V51)^2)))</f>
        <v>218.97662386656708</v>
      </c>
      <c r="AM51" s="150" t="str">
        <f t="array" ref="AM51">IF(AM$1=0,"",SQRT((_xlfn.XLOOKUP(AM$1,$Z$2:$Z$18,$AA$2:$AA$18)-$T51)^2+(_xlfn.XLOOKUP(AM$1,$Z$2:$Z$18,$AB$2:$AB$18)-$U51)^2+(_xlfn.XLOOKUP(AM$1,$Z$2:$Z$18,$AC$2:$AC$18-$V51)^2)))</f>
        <v/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51"/>
        <v>0</v>
      </c>
      <c r="AZ51" s="153">
        <f t="shared" si="52"/>
        <v>0</v>
      </c>
      <c r="BA51" s="153">
        <f t="shared" si="53"/>
        <v>0</v>
      </c>
      <c r="BB51" s="153">
        <f t="shared" si="54"/>
        <v>0</v>
      </c>
      <c r="BC51" s="153">
        <f t="shared" si="55"/>
        <v>0</v>
      </c>
      <c r="BD51" s="153">
        <f t="shared" si="56"/>
        <v>0</v>
      </c>
      <c r="BE51" s="153">
        <f t="shared" si="57"/>
        <v>0</v>
      </c>
      <c r="BF51" s="153">
        <f t="shared" si="58"/>
        <v>0</v>
      </c>
      <c r="BG51" s="154">
        <f t="shared" si="59"/>
        <v>0</v>
      </c>
      <c r="BH51" s="154">
        <f t="shared" si="60"/>
        <v>0</v>
      </c>
      <c r="BI51" s="154">
        <f t="shared" si="61"/>
        <v>0</v>
      </c>
      <c r="BJ51" s="154">
        <f t="shared" si="62"/>
        <v>0</v>
      </c>
      <c r="BK51" s="154">
        <f t="shared" si="63"/>
        <v>0</v>
      </c>
      <c r="BL51" s="154">
        <f t="shared" si="64"/>
        <v>0</v>
      </c>
      <c r="BM51" s="155">
        <f t="shared" si="65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K51" s="134"/>
      <c r="CL51" s="134"/>
      <c r="CM51" s="169">
        <f t="shared" si="66"/>
        <v>0</v>
      </c>
      <c r="CN51" s="170">
        <f t="shared" si="67"/>
        <v>0</v>
      </c>
      <c r="CO51" s="170">
        <f t="shared" si="68"/>
        <v>0</v>
      </c>
      <c r="CP51" s="170">
        <f t="shared" si="69"/>
        <v>0</v>
      </c>
      <c r="CQ51" s="170">
        <f t="shared" si="70"/>
        <v>0</v>
      </c>
      <c r="CR51" s="170" t="str">
        <f t="shared" si="71"/>
        <v/>
      </c>
      <c r="CS51" s="170" t="str">
        <f t="shared" si="72"/>
        <v/>
      </c>
      <c r="CT51" s="170" t="str">
        <f t="shared" si="73"/>
        <v/>
      </c>
      <c r="CU51" s="172" t="str">
        <f t="shared" si="74"/>
        <v/>
      </c>
      <c r="CV51" s="172" t="str">
        <f t="shared" si="75"/>
        <v/>
      </c>
      <c r="CW51" s="172" t="str">
        <f t="shared" si="76"/>
        <v/>
      </c>
      <c r="CX51" s="172" t="str">
        <f t="shared" si="77"/>
        <v/>
      </c>
      <c r="CY51" s="172" t="str">
        <f t="shared" si="78"/>
        <v/>
      </c>
      <c r="CZ51" s="172" t="str">
        <f t="shared" si="79"/>
        <v/>
      </c>
      <c r="DA51" s="173" t="str">
        <f t="shared" si="80"/>
        <v/>
      </c>
    </row>
    <row r="52" spans="1:105" ht="16.5" customHeight="1" x14ac:dyDescent="0.3">
      <c r="A52" s="145"/>
      <c r="B52" s="146"/>
      <c r="C52" s="146"/>
      <c r="D52" s="147"/>
      <c r="E52" s="205"/>
      <c r="F52" s="213"/>
      <c r="G52" s="214"/>
      <c r="H52" s="214"/>
      <c r="I52" s="214"/>
      <c r="J52" s="214"/>
      <c r="K52" s="214"/>
      <c r="L52" s="214"/>
      <c r="M52" s="218"/>
      <c r="N52" s="213"/>
      <c r="O52" s="215"/>
      <c r="P52" s="208"/>
      <c r="Q52" s="128">
        <f t="shared" si="34"/>
        <v>0</v>
      </c>
      <c r="R52" s="3"/>
      <c r="S52" s="3"/>
      <c r="T52" s="4"/>
      <c r="U52" s="4"/>
      <c r="V52" s="109">
        <f t="shared" si="50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112.53151914019467</v>
      </c>
      <c r="AI52" s="150">
        <f t="array" ref="AI52">IF(AI$1=0,"",SQRT((_xlfn.XLOOKUP(AI$1,$Z$2:$Z$18,$AA$2:$AA$18)-$T52)^2+(_xlfn.XLOOKUP(AI$1,$Z$2:$Z$18,$AB$2:$AB$18)-$U52)^2+(_xlfn.XLOOKUP(AI$1,$Z$2:$Z$18,$AC$2:$AC$18-$V52)^2)))</f>
        <v>123.81444705687622</v>
      </c>
      <c r="AJ52" s="150">
        <f t="array" ref="AJ52">IF(AJ$1=0,"",SQRT((_xlfn.XLOOKUP(AJ$1,$Z$2:$Z$18,$AA$2:$AA$18)-$T52)^2+(_xlfn.XLOOKUP(AJ$1,$Z$2:$Z$18,$AB$2:$AB$18)-$U52)^2+(_xlfn.XLOOKUP(AJ$1,$Z$2:$Z$18,$AC$2:$AC$18-$V52)^2)))</f>
        <v>226.27326421828982</v>
      </c>
      <c r="AK52" s="150">
        <f t="array" ref="AK52">IF(AK$1=0,"",SQRT((_xlfn.XLOOKUP(AK$1,$Z$2:$Z$18,$AA$2:$AA$18)-$T52)^2+(_xlfn.XLOOKUP(AK$1,$Z$2:$Z$18,$AB$2:$AB$18)-$U52)^2+(_xlfn.XLOOKUP(AK$1,$Z$2:$Z$18,$AC$2:$AC$18-$V52)^2)))</f>
        <v>330.89448786584524</v>
      </c>
      <c r="AL52" s="150">
        <f t="array" ref="AL52">IF(AL$1=0,"",SQRT((_xlfn.XLOOKUP(AL$1,$Z$2:$Z$18,$AA$2:$AA$18)-$T52)^2+(_xlfn.XLOOKUP(AL$1,$Z$2:$Z$18,$AB$2:$AB$18)-$U52)^2+(_xlfn.XLOOKUP(AL$1,$Z$2:$Z$18,$AC$2:$AC$18-$V52)^2)))</f>
        <v>218.97662386656708</v>
      </c>
      <c r="AM52" s="150" t="str">
        <f t="array" ref="AM52">IF(AM$1=0,"",SQRT((_xlfn.XLOOKUP(AM$1,$Z$2:$Z$18,$AA$2:$AA$18)-$T52)^2+(_xlfn.XLOOKUP(AM$1,$Z$2:$Z$18,$AB$2:$AB$18)-$U52)^2+(_xlfn.XLOOKUP(AM$1,$Z$2:$Z$18,$AC$2:$AC$18-$V52)^2)))</f>
        <v/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51"/>
        <v>0</v>
      </c>
      <c r="AZ52" s="153">
        <f t="shared" si="52"/>
        <v>0</v>
      </c>
      <c r="BA52" s="153">
        <f t="shared" si="53"/>
        <v>0</v>
      </c>
      <c r="BB52" s="153">
        <f t="shared" si="54"/>
        <v>0</v>
      </c>
      <c r="BC52" s="153">
        <f t="shared" si="55"/>
        <v>0</v>
      </c>
      <c r="BD52" s="153">
        <f t="shared" si="56"/>
        <v>0</v>
      </c>
      <c r="BE52" s="153">
        <f t="shared" si="57"/>
        <v>0</v>
      </c>
      <c r="BF52" s="153">
        <f t="shared" si="58"/>
        <v>0</v>
      </c>
      <c r="BG52" s="154">
        <f t="shared" si="59"/>
        <v>0</v>
      </c>
      <c r="BH52" s="154">
        <f t="shared" si="60"/>
        <v>0</v>
      </c>
      <c r="BI52" s="154">
        <f t="shared" si="61"/>
        <v>0</v>
      </c>
      <c r="BJ52" s="154">
        <f t="shared" si="62"/>
        <v>0</v>
      </c>
      <c r="BK52" s="154">
        <f t="shared" si="63"/>
        <v>0</v>
      </c>
      <c r="BL52" s="154">
        <f t="shared" si="64"/>
        <v>0</v>
      </c>
      <c r="BM52" s="155">
        <f t="shared" si="65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K52" s="134"/>
      <c r="CL52" s="134"/>
      <c r="CM52" s="169">
        <f t="shared" si="66"/>
        <v>0</v>
      </c>
      <c r="CN52" s="170">
        <f t="shared" si="67"/>
        <v>0</v>
      </c>
      <c r="CO52" s="170">
        <f t="shared" si="68"/>
        <v>0</v>
      </c>
      <c r="CP52" s="170">
        <f t="shared" si="69"/>
        <v>0</v>
      </c>
      <c r="CQ52" s="170">
        <f t="shared" si="70"/>
        <v>0</v>
      </c>
      <c r="CR52" s="170" t="str">
        <f t="shared" si="71"/>
        <v/>
      </c>
      <c r="CS52" s="170" t="str">
        <f t="shared" si="72"/>
        <v/>
      </c>
      <c r="CT52" s="170" t="str">
        <f t="shared" si="73"/>
        <v/>
      </c>
      <c r="CU52" s="172" t="str">
        <f t="shared" si="74"/>
        <v/>
      </c>
      <c r="CV52" s="172" t="str">
        <f t="shared" si="75"/>
        <v/>
      </c>
      <c r="CW52" s="172" t="str">
        <f t="shared" si="76"/>
        <v/>
      </c>
      <c r="CX52" s="172" t="str">
        <f t="shared" si="77"/>
        <v/>
      </c>
      <c r="CY52" s="172" t="str">
        <f t="shared" si="78"/>
        <v/>
      </c>
      <c r="CZ52" s="172" t="str">
        <f t="shared" si="79"/>
        <v/>
      </c>
      <c r="DA52" s="173" t="str">
        <f t="shared" si="80"/>
        <v/>
      </c>
    </row>
    <row r="53" spans="1:105" ht="16.5" customHeight="1" x14ac:dyDescent="0.3">
      <c r="A53" s="145"/>
      <c r="B53" s="146"/>
      <c r="C53" s="146"/>
      <c r="D53" s="147"/>
      <c r="E53" s="205"/>
      <c r="F53" s="213"/>
      <c r="G53" s="214"/>
      <c r="H53" s="214"/>
      <c r="I53" s="214"/>
      <c r="J53" s="214"/>
      <c r="K53" s="214"/>
      <c r="L53" s="214"/>
      <c r="M53" s="218"/>
      <c r="N53" s="213"/>
      <c r="O53" s="215"/>
      <c r="P53" s="208"/>
      <c r="Q53" s="128">
        <f t="shared" si="34"/>
        <v>0</v>
      </c>
      <c r="R53" s="3"/>
      <c r="S53" s="3"/>
      <c r="T53" s="4"/>
      <c r="U53" s="4"/>
      <c r="V53" s="109">
        <f t="shared" si="50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112.53151914019467</v>
      </c>
      <c r="AI53" s="150">
        <f t="array" ref="AI53">IF(AI$1=0,"",SQRT((_xlfn.XLOOKUP(AI$1,$Z$2:$Z$18,$AA$2:$AA$18)-$T53)^2+(_xlfn.XLOOKUP(AI$1,$Z$2:$Z$18,$AB$2:$AB$18)-$U53)^2+(_xlfn.XLOOKUP(AI$1,$Z$2:$Z$18,$AC$2:$AC$18-$V53)^2)))</f>
        <v>123.81444705687622</v>
      </c>
      <c r="AJ53" s="150">
        <f t="array" ref="AJ53">IF(AJ$1=0,"",SQRT((_xlfn.XLOOKUP(AJ$1,$Z$2:$Z$18,$AA$2:$AA$18)-$T53)^2+(_xlfn.XLOOKUP(AJ$1,$Z$2:$Z$18,$AB$2:$AB$18)-$U53)^2+(_xlfn.XLOOKUP(AJ$1,$Z$2:$Z$18,$AC$2:$AC$18-$V53)^2)))</f>
        <v>226.27326421828982</v>
      </c>
      <c r="AK53" s="150">
        <f t="array" ref="AK53">IF(AK$1=0,"",SQRT((_xlfn.XLOOKUP(AK$1,$Z$2:$Z$18,$AA$2:$AA$18)-$T53)^2+(_xlfn.XLOOKUP(AK$1,$Z$2:$Z$18,$AB$2:$AB$18)-$U53)^2+(_xlfn.XLOOKUP(AK$1,$Z$2:$Z$18,$AC$2:$AC$18-$V53)^2)))</f>
        <v>330.89448786584524</v>
      </c>
      <c r="AL53" s="150">
        <f t="array" ref="AL53">IF(AL$1=0,"",SQRT((_xlfn.XLOOKUP(AL$1,$Z$2:$Z$18,$AA$2:$AA$18)-$T53)^2+(_xlfn.XLOOKUP(AL$1,$Z$2:$Z$18,$AB$2:$AB$18)-$U53)^2+(_xlfn.XLOOKUP(AL$1,$Z$2:$Z$18,$AC$2:$AC$18-$V53)^2)))</f>
        <v>218.97662386656708</v>
      </c>
      <c r="AM53" s="150" t="str">
        <f t="array" ref="AM53">IF(AM$1=0,"",SQRT((_xlfn.XLOOKUP(AM$1,$Z$2:$Z$18,$AA$2:$AA$18)-$T53)^2+(_xlfn.XLOOKUP(AM$1,$Z$2:$Z$18,$AB$2:$AB$18)-$U53)^2+(_xlfn.XLOOKUP(AM$1,$Z$2:$Z$18,$AC$2:$AC$18-$V53)^2)))</f>
        <v/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51"/>
        <v>0</v>
      </c>
      <c r="AZ53" s="153">
        <f t="shared" si="52"/>
        <v>0</v>
      </c>
      <c r="BA53" s="153">
        <f t="shared" si="53"/>
        <v>0</v>
      </c>
      <c r="BB53" s="153">
        <f t="shared" si="54"/>
        <v>0</v>
      </c>
      <c r="BC53" s="153">
        <f t="shared" si="55"/>
        <v>0</v>
      </c>
      <c r="BD53" s="153">
        <f t="shared" si="56"/>
        <v>0</v>
      </c>
      <c r="BE53" s="153">
        <f t="shared" si="57"/>
        <v>0</v>
      </c>
      <c r="BF53" s="153">
        <f t="shared" si="58"/>
        <v>0</v>
      </c>
      <c r="BG53" s="154">
        <f t="shared" si="59"/>
        <v>0</v>
      </c>
      <c r="BH53" s="154">
        <f t="shared" si="60"/>
        <v>0</v>
      </c>
      <c r="BI53" s="154">
        <f t="shared" si="61"/>
        <v>0</v>
      </c>
      <c r="BJ53" s="154">
        <f t="shared" si="62"/>
        <v>0</v>
      </c>
      <c r="BK53" s="154">
        <f t="shared" si="63"/>
        <v>0</v>
      </c>
      <c r="BL53" s="154">
        <f t="shared" si="64"/>
        <v>0</v>
      </c>
      <c r="BM53" s="155">
        <f t="shared" si="65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K53" s="134"/>
      <c r="CL53" s="134"/>
      <c r="CM53" s="169">
        <f t="shared" si="66"/>
        <v>0</v>
      </c>
      <c r="CN53" s="170">
        <f t="shared" si="67"/>
        <v>0</v>
      </c>
      <c r="CO53" s="170">
        <f t="shared" si="68"/>
        <v>0</v>
      </c>
      <c r="CP53" s="170">
        <f t="shared" si="69"/>
        <v>0</v>
      </c>
      <c r="CQ53" s="170">
        <f t="shared" si="70"/>
        <v>0</v>
      </c>
      <c r="CR53" s="170" t="str">
        <f t="shared" si="71"/>
        <v/>
      </c>
      <c r="CS53" s="170" t="str">
        <f t="shared" si="72"/>
        <v/>
      </c>
      <c r="CT53" s="170" t="str">
        <f t="shared" si="73"/>
        <v/>
      </c>
      <c r="CU53" s="172" t="str">
        <f t="shared" si="74"/>
        <v/>
      </c>
      <c r="CV53" s="172" t="str">
        <f t="shared" si="75"/>
        <v/>
      </c>
      <c r="CW53" s="172" t="str">
        <f t="shared" si="76"/>
        <v/>
      </c>
      <c r="CX53" s="172" t="str">
        <f t="shared" si="77"/>
        <v/>
      </c>
      <c r="CY53" s="172" t="str">
        <f t="shared" si="78"/>
        <v/>
      </c>
      <c r="CZ53" s="172" t="str">
        <f t="shared" si="79"/>
        <v/>
      </c>
      <c r="DA53" s="173" t="str">
        <f t="shared" si="80"/>
        <v/>
      </c>
    </row>
    <row r="54" spans="1:105" ht="16.5" customHeight="1" x14ac:dyDescent="0.3">
      <c r="A54" s="145"/>
      <c r="B54" s="146"/>
      <c r="C54" s="146"/>
      <c r="D54" s="147"/>
      <c r="E54" s="205"/>
      <c r="F54" s="213"/>
      <c r="G54" s="214"/>
      <c r="H54" s="214"/>
      <c r="I54" s="214"/>
      <c r="J54" s="214"/>
      <c r="K54" s="214"/>
      <c r="L54" s="214"/>
      <c r="M54" s="218"/>
      <c r="N54" s="213"/>
      <c r="O54" s="215"/>
      <c r="P54" s="208"/>
      <c r="Q54" s="128">
        <f t="shared" si="34"/>
        <v>0</v>
      </c>
      <c r="R54" s="3"/>
      <c r="S54" s="3"/>
      <c r="T54" s="4"/>
      <c r="U54" s="4"/>
      <c r="V54" s="109">
        <f t="shared" si="50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112.53151914019467</v>
      </c>
      <c r="AI54" s="150">
        <f t="array" ref="AI54">IF(AI$1=0,"",SQRT((_xlfn.XLOOKUP(AI$1,$Z$2:$Z$18,$AA$2:$AA$18)-$T54)^2+(_xlfn.XLOOKUP(AI$1,$Z$2:$Z$18,$AB$2:$AB$18)-$U54)^2+(_xlfn.XLOOKUP(AI$1,$Z$2:$Z$18,$AC$2:$AC$18-$V54)^2)))</f>
        <v>123.81444705687622</v>
      </c>
      <c r="AJ54" s="150">
        <f t="array" ref="AJ54">IF(AJ$1=0,"",SQRT((_xlfn.XLOOKUP(AJ$1,$Z$2:$Z$18,$AA$2:$AA$18)-$T54)^2+(_xlfn.XLOOKUP(AJ$1,$Z$2:$Z$18,$AB$2:$AB$18)-$U54)^2+(_xlfn.XLOOKUP(AJ$1,$Z$2:$Z$18,$AC$2:$AC$18-$V54)^2)))</f>
        <v>226.27326421828982</v>
      </c>
      <c r="AK54" s="150">
        <f t="array" ref="AK54">IF(AK$1=0,"",SQRT((_xlfn.XLOOKUP(AK$1,$Z$2:$Z$18,$AA$2:$AA$18)-$T54)^2+(_xlfn.XLOOKUP(AK$1,$Z$2:$Z$18,$AB$2:$AB$18)-$U54)^2+(_xlfn.XLOOKUP(AK$1,$Z$2:$Z$18,$AC$2:$AC$18-$V54)^2)))</f>
        <v>330.89448786584524</v>
      </c>
      <c r="AL54" s="150">
        <f t="array" ref="AL54">IF(AL$1=0,"",SQRT((_xlfn.XLOOKUP(AL$1,$Z$2:$Z$18,$AA$2:$AA$18)-$T54)^2+(_xlfn.XLOOKUP(AL$1,$Z$2:$Z$18,$AB$2:$AB$18)-$U54)^2+(_xlfn.XLOOKUP(AL$1,$Z$2:$Z$18,$AC$2:$AC$18-$V54)^2)))</f>
        <v>218.97662386656708</v>
      </c>
      <c r="AM54" s="150" t="str">
        <f t="array" ref="AM54">IF(AM$1=0,"",SQRT((_xlfn.XLOOKUP(AM$1,$Z$2:$Z$18,$AA$2:$AA$18)-$T54)^2+(_xlfn.XLOOKUP(AM$1,$Z$2:$Z$18,$AB$2:$AB$18)-$U54)^2+(_xlfn.XLOOKUP(AM$1,$Z$2:$Z$18,$AC$2:$AC$18-$V54)^2)))</f>
        <v/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51"/>
        <v>0</v>
      </c>
      <c r="AZ54" s="153">
        <f t="shared" si="52"/>
        <v>0</v>
      </c>
      <c r="BA54" s="153">
        <f t="shared" si="53"/>
        <v>0</v>
      </c>
      <c r="BB54" s="153">
        <f t="shared" si="54"/>
        <v>0</v>
      </c>
      <c r="BC54" s="153">
        <f t="shared" si="55"/>
        <v>0</v>
      </c>
      <c r="BD54" s="153">
        <f t="shared" si="56"/>
        <v>0</v>
      </c>
      <c r="BE54" s="153">
        <f t="shared" si="57"/>
        <v>0</v>
      </c>
      <c r="BF54" s="153">
        <f t="shared" si="58"/>
        <v>0</v>
      </c>
      <c r="BG54" s="154">
        <f t="shared" si="59"/>
        <v>0</v>
      </c>
      <c r="BH54" s="154">
        <f t="shared" si="60"/>
        <v>0</v>
      </c>
      <c r="BI54" s="154">
        <f t="shared" si="61"/>
        <v>0</v>
      </c>
      <c r="BJ54" s="154">
        <f t="shared" si="62"/>
        <v>0</v>
      </c>
      <c r="BK54" s="154">
        <f t="shared" si="63"/>
        <v>0</v>
      </c>
      <c r="BL54" s="154">
        <f t="shared" si="64"/>
        <v>0</v>
      </c>
      <c r="BM54" s="155">
        <f t="shared" si="65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K54" s="134"/>
      <c r="CL54" s="134"/>
      <c r="CM54" s="169">
        <f t="shared" si="66"/>
        <v>0</v>
      </c>
      <c r="CN54" s="170">
        <f t="shared" si="67"/>
        <v>0</v>
      </c>
      <c r="CO54" s="170">
        <f t="shared" si="68"/>
        <v>0</v>
      </c>
      <c r="CP54" s="170">
        <f t="shared" si="69"/>
        <v>0</v>
      </c>
      <c r="CQ54" s="170">
        <f t="shared" si="70"/>
        <v>0</v>
      </c>
      <c r="CR54" s="170" t="str">
        <f t="shared" si="71"/>
        <v/>
      </c>
      <c r="CS54" s="170" t="str">
        <f t="shared" si="72"/>
        <v/>
      </c>
      <c r="CT54" s="170" t="str">
        <f t="shared" si="73"/>
        <v/>
      </c>
      <c r="CU54" s="172" t="str">
        <f t="shared" si="74"/>
        <v/>
      </c>
      <c r="CV54" s="172" t="str">
        <f t="shared" si="75"/>
        <v/>
      </c>
      <c r="CW54" s="172" t="str">
        <f t="shared" si="76"/>
        <v/>
      </c>
      <c r="CX54" s="172" t="str">
        <f t="shared" si="77"/>
        <v/>
      </c>
      <c r="CY54" s="172" t="str">
        <f t="shared" si="78"/>
        <v/>
      </c>
      <c r="CZ54" s="172" t="str">
        <f t="shared" si="79"/>
        <v/>
      </c>
      <c r="DA54" s="173" t="str">
        <f t="shared" si="80"/>
        <v/>
      </c>
    </row>
    <row r="55" spans="1:105" ht="16.5" customHeight="1" x14ac:dyDescent="0.3">
      <c r="A55" s="145"/>
      <c r="B55" s="146"/>
      <c r="C55" s="146"/>
      <c r="D55" s="147"/>
      <c r="E55" s="205"/>
      <c r="F55" s="213"/>
      <c r="G55" s="214"/>
      <c r="H55" s="214"/>
      <c r="I55" s="214"/>
      <c r="J55" s="214"/>
      <c r="K55" s="214"/>
      <c r="L55" s="214"/>
      <c r="M55" s="218"/>
      <c r="N55" s="213"/>
      <c r="O55" s="215"/>
      <c r="P55" s="208"/>
      <c r="Q55" s="128">
        <f t="shared" si="34"/>
        <v>0</v>
      </c>
      <c r="R55" s="3"/>
      <c r="S55" s="3"/>
      <c r="T55" s="4"/>
      <c r="U55" s="4"/>
      <c r="V55" s="109">
        <f t="shared" si="50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112.53151914019467</v>
      </c>
      <c r="AI55" s="150">
        <f t="array" ref="AI55">IF(AI$1=0,"",SQRT((_xlfn.XLOOKUP(AI$1,$Z$2:$Z$18,$AA$2:$AA$18)-$T55)^2+(_xlfn.XLOOKUP(AI$1,$Z$2:$Z$18,$AB$2:$AB$18)-$U55)^2+(_xlfn.XLOOKUP(AI$1,$Z$2:$Z$18,$AC$2:$AC$18-$V55)^2)))</f>
        <v>123.81444705687622</v>
      </c>
      <c r="AJ55" s="150">
        <f t="array" ref="AJ55">IF(AJ$1=0,"",SQRT((_xlfn.XLOOKUP(AJ$1,$Z$2:$Z$18,$AA$2:$AA$18)-$T55)^2+(_xlfn.XLOOKUP(AJ$1,$Z$2:$Z$18,$AB$2:$AB$18)-$U55)^2+(_xlfn.XLOOKUP(AJ$1,$Z$2:$Z$18,$AC$2:$AC$18-$V55)^2)))</f>
        <v>226.27326421828982</v>
      </c>
      <c r="AK55" s="150">
        <f t="array" ref="AK55">IF(AK$1=0,"",SQRT((_xlfn.XLOOKUP(AK$1,$Z$2:$Z$18,$AA$2:$AA$18)-$T55)^2+(_xlfn.XLOOKUP(AK$1,$Z$2:$Z$18,$AB$2:$AB$18)-$U55)^2+(_xlfn.XLOOKUP(AK$1,$Z$2:$Z$18,$AC$2:$AC$18-$V55)^2)))</f>
        <v>330.89448786584524</v>
      </c>
      <c r="AL55" s="150">
        <f t="array" ref="AL55">IF(AL$1=0,"",SQRT((_xlfn.XLOOKUP(AL$1,$Z$2:$Z$18,$AA$2:$AA$18)-$T55)^2+(_xlfn.XLOOKUP(AL$1,$Z$2:$Z$18,$AB$2:$AB$18)-$U55)^2+(_xlfn.XLOOKUP(AL$1,$Z$2:$Z$18,$AC$2:$AC$18-$V55)^2)))</f>
        <v>218.97662386656708</v>
      </c>
      <c r="AM55" s="150" t="str">
        <f t="array" ref="AM55">IF(AM$1=0,"",SQRT((_xlfn.XLOOKUP(AM$1,$Z$2:$Z$18,$AA$2:$AA$18)-$T55)^2+(_xlfn.XLOOKUP(AM$1,$Z$2:$Z$18,$AB$2:$AB$18)-$U55)^2+(_xlfn.XLOOKUP(AM$1,$Z$2:$Z$18,$AC$2:$AC$18-$V55)^2)))</f>
        <v/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51"/>
        <v>0</v>
      </c>
      <c r="AZ55" s="153">
        <f t="shared" si="52"/>
        <v>0</v>
      </c>
      <c r="BA55" s="153">
        <f t="shared" si="53"/>
        <v>0</v>
      </c>
      <c r="BB55" s="153">
        <f t="shared" si="54"/>
        <v>0</v>
      </c>
      <c r="BC55" s="153">
        <f t="shared" si="55"/>
        <v>0</v>
      </c>
      <c r="BD55" s="153">
        <f t="shared" si="56"/>
        <v>0</v>
      </c>
      <c r="BE55" s="153">
        <f t="shared" si="57"/>
        <v>0</v>
      </c>
      <c r="BF55" s="153">
        <f t="shared" si="58"/>
        <v>0</v>
      </c>
      <c r="BG55" s="154">
        <f t="shared" si="59"/>
        <v>0</v>
      </c>
      <c r="BH55" s="154">
        <f t="shared" si="60"/>
        <v>0</v>
      </c>
      <c r="BI55" s="154">
        <f t="shared" si="61"/>
        <v>0</v>
      </c>
      <c r="BJ55" s="154">
        <f t="shared" si="62"/>
        <v>0</v>
      </c>
      <c r="BK55" s="154">
        <f t="shared" si="63"/>
        <v>0</v>
      </c>
      <c r="BL55" s="154">
        <f t="shared" si="64"/>
        <v>0</v>
      </c>
      <c r="BM55" s="155">
        <f t="shared" si="65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34"/>
      <c r="CL55" s="134"/>
      <c r="CM55" s="169">
        <f t="shared" si="66"/>
        <v>0</v>
      </c>
      <c r="CN55" s="170">
        <f t="shared" si="67"/>
        <v>0</v>
      </c>
      <c r="CO55" s="170">
        <f t="shared" si="68"/>
        <v>0</v>
      </c>
      <c r="CP55" s="170">
        <f t="shared" si="69"/>
        <v>0</v>
      </c>
      <c r="CQ55" s="170">
        <f t="shared" si="70"/>
        <v>0</v>
      </c>
      <c r="CR55" s="170" t="str">
        <f t="shared" si="71"/>
        <v/>
      </c>
      <c r="CS55" s="170" t="str">
        <f t="shared" si="72"/>
        <v/>
      </c>
      <c r="CT55" s="170" t="str">
        <f t="shared" si="73"/>
        <v/>
      </c>
      <c r="CU55" s="172" t="str">
        <f t="shared" si="74"/>
        <v/>
      </c>
      <c r="CV55" s="172" t="str">
        <f t="shared" si="75"/>
        <v/>
      </c>
      <c r="CW55" s="172" t="str">
        <f t="shared" si="76"/>
        <v/>
      </c>
      <c r="CX55" s="172" t="str">
        <f t="shared" si="77"/>
        <v/>
      </c>
      <c r="CY55" s="172" t="str">
        <f t="shared" si="78"/>
        <v/>
      </c>
      <c r="CZ55" s="172" t="str">
        <f t="shared" si="79"/>
        <v/>
      </c>
      <c r="DA55" s="173" t="str">
        <f t="shared" si="80"/>
        <v/>
      </c>
    </row>
    <row r="56" spans="1:105" ht="16.5" customHeight="1" x14ac:dyDescent="0.3">
      <c r="A56" s="145"/>
      <c r="B56" s="146"/>
      <c r="C56" s="146"/>
      <c r="D56" s="147"/>
      <c r="E56" s="205"/>
      <c r="F56" s="213"/>
      <c r="G56" s="214"/>
      <c r="H56" s="214"/>
      <c r="I56" s="214"/>
      <c r="J56" s="214"/>
      <c r="K56" s="214"/>
      <c r="L56" s="214"/>
      <c r="M56" s="218"/>
      <c r="N56" s="213"/>
      <c r="O56" s="215"/>
      <c r="P56" s="208"/>
      <c r="Q56" s="128">
        <f t="shared" si="34"/>
        <v>0</v>
      </c>
      <c r="R56" s="3"/>
      <c r="S56" s="3"/>
      <c r="T56" s="4"/>
      <c r="U56" s="4"/>
      <c r="V56" s="109">
        <f t="shared" si="50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112.53151914019467</v>
      </c>
      <c r="AI56" s="150">
        <f t="array" ref="AI56">IF(AI$1=0,"",SQRT((_xlfn.XLOOKUP(AI$1,$Z$2:$Z$18,$AA$2:$AA$18)-$T56)^2+(_xlfn.XLOOKUP(AI$1,$Z$2:$Z$18,$AB$2:$AB$18)-$U56)^2+(_xlfn.XLOOKUP(AI$1,$Z$2:$Z$18,$AC$2:$AC$18-$V56)^2)))</f>
        <v>123.81444705687622</v>
      </c>
      <c r="AJ56" s="150">
        <f t="array" ref="AJ56">IF(AJ$1=0,"",SQRT((_xlfn.XLOOKUP(AJ$1,$Z$2:$Z$18,$AA$2:$AA$18)-$T56)^2+(_xlfn.XLOOKUP(AJ$1,$Z$2:$Z$18,$AB$2:$AB$18)-$U56)^2+(_xlfn.XLOOKUP(AJ$1,$Z$2:$Z$18,$AC$2:$AC$18-$V56)^2)))</f>
        <v>226.27326421828982</v>
      </c>
      <c r="AK56" s="150">
        <f t="array" ref="AK56">IF(AK$1=0,"",SQRT((_xlfn.XLOOKUP(AK$1,$Z$2:$Z$18,$AA$2:$AA$18)-$T56)^2+(_xlfn.XLOOKUP(AK$1,$Z$2:$Z$18,$AB$2:$AB$18)-$U56)^2+(_xlfn.XLOOKUP(AK$1,$Z$2:$Z$18,$AC$2:$AC$18-$V56)^2)))</f>
        <v>330.89448786584524</v>
      </c>
      <c r="AL56" s="150">
        <f t="array" ref="AL56">IF(AL$1=0,"",SQRT((_xlfn.XLOOKUP(AL$1,$Z$2:$Z$18,$AA$2:$AA$18)-$T56)^2+(_xlfn.XLOOKUP(AL$1,$Z$2:$Z$18,$AB$2:$AB$18)-$U56)^2+(_xlfn.XLOOKUP(AL$1,$Z$2:$Z$18,$AC$2:$AC$18-$V56)^2)))</f>
        <v>218.97662386656708</v>
      </c>
      <c r="AM56" s="150" t="str">
        <f t="array" ref="AM56">IF(AM$1=0,"",SQRT((_xlfn.XLOOKUP(AM$1,$Z$2:$Z$18,$AA$2:$AA$18)-$T56)^2+(_xlfn.XLOOKUP(AM$1,$Z$2:$Z$18,$AB$2:$AB$18)-$U56)^2+(_xlfn.XLOOKUP(AM$1,$Z$2:$Z$18,$AC$2:$AC$18-$V56)^2)))</f>
        <v/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51"/>
        <v>0</v>
      </c>
      <c r="AZ56" s="153">
        <f t="shared" si="52"/>
        <v>0</v>
      </c>
      <c r="BA56" s="153">
        <f t="shared" si="53"/>
        <v>0</v>
      </c>
      <c r="BB56" s="153">
        <f t="shared" si="54"/>
        <v>0</v>
      </c>
      <c r="BC56" s="153">
        <f t="shared" si="55"/>
        <v>0</v>
      </c>
      <c r="BD56" s="153">
        <f t="shared" si="56"/>
        <v>0</v>
      </c>
      <c r="BE56" s="153">
        <f t="shared" si="57"/>
        <v>0</v>
      </c>
      <c r="BF56" s="153">
        <f t="shared" si="58"/>
        <v>0</v>
      </c>
      <c r="BG56" s="154">
        <f t="shared" si="59"/>
        <v>0</v>
      </c>
      <c r="BH56" s="154">
        <f t="shared" si="60"/>
        <v>0</v>
      </c>
      <c r="BI56" s="154">
        <f t="shared" si="61"/>
        <v>0</v>
      </c>
      <c r="BJ56" s="154">
        <f t="shared" si="62"/>
        <v>0</v>
      </c>
      <c r="BK56" s="154">
        <f t="shared" si="63"/>
        <v>0</v>
      </c>
      <c r="BL56" s="154">
        <f t="shared" si="64"/>
        <v>0</v>
      </c>
      <c r="BM56" s="155">
        <f t="shared" si="65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K56" s="134"/>
      <c r="CL56" s="134"/>
      <c r="CM56" s="169">
        <f t="shared" si="66"/>
        <v>0</v>
      </c>
      <c r="CN56" s="170">
        <f t="shared" si="67"/>
        <v>0</v>
      </c>
      <c r="CO56" s="170">
        <f t="shared" si="68"/>
        <v>0</v>
      </c>
      <c r="CP56" s="170">
        <f t="shared" si="69"/>
        <v>0</v>
      </c>
      <c r="CQ56" s="170">
        <f t="shared" si="70"/>
        <v>0</v>
      </c>
      <c r="CR56" s="170" t="str">
        <f t="shared" si="71"/>
        <v/>
      </c>
      <c r="CS56" s="170" t="str">
        <f t="shared" si="72"/>
        <v/>
      </c>
      <c r="CT56" s="170" t="str">
        <f t="shared" si="73"/>
        <v/>
      </c>
      <c r="CU56" s="172" t="str">
        <f t="shared" si="74"/>
        <v/>
      </c>
      <c r="CV56" s="172" t="str">
        <f t="shared" si="75"/>
        <v/>
      </c>
      <c r="CW56" s="172" t="str">
        <f t="shared" si="76"/>
        <v/>
      </c>
      <c r="CX56" s="172" t="str">
        <f t="shared" si="77"/>
        <v/>
      </c>
      <c r="CY56" s="172" t="str">
        <f t="shared" si="78"/>
        <v/>
      </c>
      <c r="CZ56" s="172" t="str">
        <f t="shared" si="79"/>
        <v/>
      </c>
      <c r="DA56" s="173" t="str">
        <f t="shared" si="80"/>
        <v/>
      </c>
    </row>
    <row r="57" spans="1:105" ht="16.5" customHeight="1" x14ac:dyDescent="0.3">
      <c r="A57" s="145"/>
      <c r="B57" s="146"/>
      <c r="C57" s="146"/>
      <c r="D57" s="147"/>
      <c r="E57" s="205"/>
      <c r="F57" s="213"/>
      <c r="G57" s="214"/>
      <c r="H57" s="214"/>
      <c r="I57" s="214"/>
      <c r="J57" s="214"/>
      <c r="K57" s="214"/>
      <c r="L57" s="214"/>
      <c r="M57" s="218"/>
      <c r="N57" s="213"/>
      <c r="O57" s="215"/>
      <c r="P57" s="208"/>
      <c r="Q57" s="128">
        <f t="shared" si="34"/>
        <v>0</v>
      </c>
      <c r="R57" s="3"/>
      <c r="S57" s="3"/>
      <c r="T57" s="4"/>
      <c r="U57" s="4"/>
      <c r="V57" s="109">
        <f t="shared" si="50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112.53151914019467</v>
      </c>
      <c r="AI57" s="150">
        <f t="array" ref="AI57">IF(AI$1=0,"",SQRT((_xlfn.XLOOKUP(AI$1,$Z$2:$Z$18,$AA$2:$AA$18)-$T57)^2+(_xlfn.XLOOKUP(AI$1,$Z$2:$Z$18,$AB$2:$AB$18)-$U57)^2+(_xlfn.XLOOKUP(AI$1,$Z$2:$Z$18,$AC$2:$AC$18-$V57)^2)))</f>
        <v>123.81444705687622</v>
      </c>
      <c r="AJ57" s="150">
        <f t="array" ref="AJ57">IF(AJ$1=0,"",SQRT((_xlfn.XLOOKUP(AJ$1,$Z$2:$Z$18,$AA$2:$AA$18)-$T57)^2+(_xlfn.XLOOKUP(AJ$1,$Z$2:$Z$18,$AB$2:$AB$18)-$U57)^2+(_xlfn.XLOOKUP(AJ$1,$Z$2:$Z$18,$AC$2:$AC$18-$V57)^2)))</f>
        <v>226.27326421828982</v>
      </c>
      <c r="AK57" s="150">
        <f t="array" ref="AK57">IF(AK$1=0,"",SQRT((_xlfn.XLOOKUP(AK$1,$Z$2:$Z$18,$AA$2:$AA$18)-$T57)^2+(_xlfn.XLOOKUP(AK$1,$Z$2:$Z$18,$AB$2:$AB$18)-$U57)^2+(_xlfn.XLOOKUP(AK$1,$Z$2:$Z$18,$AC$2:$AC$18-$V57)^2)))</f>
        <v>330.89448786584524</v>
      </c>
      <c r="AL57" s="150">
        <f t="array" ref="AL57">IF(AL$1=0,"",SQRT((_xlfn.XLOOKUP(AL$1,$Z$2:$Z$18,$AA$2:$AA$18)-$T57)^2+(_xlfn.XLOOKUP(AL$1,$Z$2:$Z$18,$AB$2:$AB$18)-$U57)^2+(_xlfn.XLOOKUP(AL$1,$Z$2:$Z$18,$AC$2:$AC$18-$V57)^2)))</f>
        <v>218.97662386656708</v>
      </c>
      <c r="AM57" s="150" t="str">
        <f t="array" ref="AM57">IF(AM$1=0,"",SQRT((_xlfn.XLOOKUP(AM$1,$Z$2:$Z$18,$AA$2:$AA$18)-$T57)^2+(_xlfn.XLOOKUP(AM$1,$Z$2:$Z$18,$AB$2:$AB$18)-$U57)^2+(_xlfn.XLOOKUP(AM$1,$Z$2:$Z$18,$AC$2:$AC$18-$V57)^2)))</f>
        <v/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51"/>
        <v>0</v>
      </c>
      <c r="AZ57" s="153">
        <f t="shared" si="52"/>
        <v>0</v>
      </c>
      <c r="BA57" s="153">
        <f t="shared" si="53"/>
        <v>0</v>
      </c>
      <c r="BB57" s="153">
        <f t="shared" si="54"/>
        <v>0</v>
      </c>
      <c r="BC57" s="153">
        <f t="shared" si="55"/>
        <v>0</v>
      </c>
      <c r="BD57" s="153">
        <f t="shared" si="56"/>
        <v>0</v>
      </c>
      <c r="BE57" s="153">
        <f t="shared" si="57"/>
        <v>0</v>
      </c>
      <c r="BF57" s="153">
        <f t="shared" si="58"/>
        <v>0</v>
      </c>
      <c r="BG57" s="154">
        <f t="shared" si="59"/>
        <v>0</v>
      </c>
      <c r="BH57" s="154">
        <f t="shared" si="60"/>
        <v>0</v>
      </c>
      <c r="BI57" s="154">
        <f t="shared" si="61"/>
        <v>0</v>
      </c>
      <c r="BJ57" s="154">
        <f t="shared" si="62"/>
        <v>0</v>
      </c>
      <c r="BK57" s="154">
        <f t="shared" si="63"/>
        <v>0</v>
      </c>
      <c r="BL57" s="154">
        <f t="shared" si="64"/>
        <v>0</v>
      </c>
      <c r="BM57" s="155">
        <f t="shared" si="65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K57" s="134"/>
      <c r="CL57" s="134"/>
      <c r="CM57" s="169">
        <f t="shared" si="66"/>
        <v>0</v>
      </c>
      <c r="CN57" s="170">
        <f t="shared" si="67"/>
        <v>0</v>
      </c>
      <c r="CO57" s="170">
        <f t="shared" si="68"/>
        <v>0</v>
      </c>
      <c r="CP57" s="170">
        <f t="shared" si="69"/>
        <v>0</v>
      </c>
      <c r="CQ57" s="170">
        <f t="shared" si="70"/>
        <v>0</v>
      </c>
      <c r="CR57" s="170" t="str">
        <f t="shared" si="71"/>
        <v/>
      </c>
      <c r="CS57" s="170" t="str">
        <f t="shared" si="72"/>
        <v/>
      </c>
      <c r="CT57" s="170" t="str">
        <f t="shared" si="73"/>
        <v/>
      </c>
      <c r="CU57" s="172" t="str">
        <f t="shared" si="74"/>
        <v/>
      </c>
      <c r="CV57" s="172" t="str">
        <f t="shared" si="75"/>
        <v/>
      </c>
      <c r="CW57" s="172" t="str">
        <f t="shared" si="76"/>
        <v/>
      </c>
      <c r="CX57" s="172" t="str">
        <f t="shared" si="77"/>
        <v/>
      </c>
      <c r="CY57" s="172" t="str">
        <f t="shared" si="78"/>
        <v/>
      </c>
      <c r="CZ57" s="172" t="str">
        <f t="shared" si="79"/>
        <v/>
      </c>
      <c r="DA57" s="173" t="str">
        <f t="shared" si="80"/>
        <v/>
      </c>
    </row>
    <row r="58" spans="1:105" ht="17.25" customHeight="1" thickBot="1" x14ac:dyDescent="0.35">
      <c r="A58" s="174"/>
      <c r="B58" s="175"/>
      <c r="C58" s="175"/>
      <c r="D58" s="176"/>
      <c r="E58" s="206"/>
      <c r="F58" s="71"/>
      <c r="G58" s="6"/>
      <c r="H58" s="6"/>
      <c r="I58" s="6"/>
      <c r="J58" s="6"/>
      <c r="K58" s="6"/>
      <c r="L58" s="6"/>
      <c r="M58" s="219"/>
      <c r="N58" s="71"/>
      <c r="O58" s="216"/>
      <c r="P58" s="209"/>
      <c r="Q58" s="128">
        <f t="shared" si="34"/>
        <v>0</v>
      </c>
      <c r="R58" s="7"/>
      <c r="S58" s="7"/>
      <c r="T58" s="6"/>
      <c r="U58" s="6"/>
      <c r="V58" s="109">
        <f t="shared" si="50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112.53151914019467</v>
      </c>
      <c r="AI58" s="180">
        <f t="array" ref="AI58">IF(AI$1=0,"",SQRT((_xlfn.XLOOKUP(AI$1,$Z$2:$Z$18,$AA$2:$AA$18)-$T58)^2+(_xlfn.XLOOKUP(AI$1,$Z$2:$Z$18,$AB$2:$AB$18)-$U58)^2+(_xlfn.XLOOKUP(AI$1,$Z$2:$Z$18,$AC$2:$AC$18-$V58)^2)))</f>
        <v>123.81444705687622</v>
      </c>
      <c r="AJ58" s="180">
        <f t="array" ref="AJ58">IF(AJ$1=0,"",SQRT((_xlfn.XLOOKUP(AJ$1,$Z$2:$Z$18,$AA$2:$AA$18)-$T58)^2+(_xlfn.XLOOKUP(AJ$1,$Z$2:$Z$18,$AB$2:$AB$18)-$U58)^2+(_xlfn.XLOOKUP(AJ$1,$Z$2:$Z$18,$AC$2:$AC$18-$V58)^2)))</f>
        <v>226.27326421828982</v>
      </c>
      <c r="AK58" s="180">
        <f t="array" ref="AK58">IF(AK$1=0,"",SQRT((_xlfn.XLOOKUP(AK$1,$Z$2:$Z$18,$AA$2:$AA$18)-$T58)^2+(_xlfn.XLOOKUP(AK$1,$Z$2:$Z$18,$AB$2:$AB$18)-$U58)^2+(_xlfn.XLOOKUP(AK$1,$Z$2:$Z$18,$AC$2:$AC$18-$V58)^2)))</f>
        <v>330.89448786584524</v>
      </c>
      <c r="AL58" s="180">
        <f t="array" ref="AL58">IF(AL$1=0,"",SQRT((_xlfn.XLOOKUP(AL$1,$Z$2:$Z$18,$AA$2:$AA$18)-$T58)^2+(_xlfn.XLOOKUP(AL$1,$Z$2:$Z$18,$AB$2:$AB$18)-$U58)^2+(_xlfn.XLOOKUP(AL$1,$Z$2:$Z$18,$AC$2:$AC$18-$V58)^2)))</f>
        <v>218.97662386656708</v>
      </c>
      <c r="AM58" s="180" t="str">
        <f t="array" ref="AM58">IF(AM$1=0,"",SQRT((_xlfn.XLOOKUP(AM$1,$Z$2:$Z$18,$AA$2:$AA$18)-$T58)^2+(_xlfn.XLOOKUP(AM$1,$Z$2:$Z$18,$AB$2:$AB$18)-$U58)^2+(_xlfn.XLOOKUP(AM$1,$Z$2:$Z$18,$AC$2:$AC$18-$V58)^2)))</f>
        <v/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51"/>
        <v>0</v>
      </c>
      <c r="AZ58" s="183">
        <f t="shared" si="52"/>
        <v>0</v>
      </c>
      <c r="BA58" s="183">
        <f t="shared" si="53"/>
        <v>0</v>
      </c>
      <c r="BB58" s="183">
        <f t="shared" si="54"/>
        <v>0</v>
      </c>
      <c r="BC58" s="183">
        <f t="shared" si="55"/>
        <v>0</v>
      </c>
      <c r="BD58" s="183">
        <f t="shared" si="56"/>
        <v>0</v>
      </c>
      <c r="BE58" s="183">
        <f t="shared" si="57"/>
        <v>0</v>
      </c>
      <c r="BF58" s="183">
        <f t="shared" si="58"/>
        <v>0</v>
      </c>
      <c r="BG58" s="184">
        <f t="shared" si="59"/>
        <v>0</v>
      </c>
      <c r="BH58" s="184">
        <f t="shared" si="60"/>
        <v>0</v>
      </c>
      <c r="BI58" s="184">
        <f t="shared" si="61"/>
        <v>0</v>
      </c>
      <c r="BJ58" s="184">
        <f t="shared" si="62"/>
        <v>0</v>
      </c>
      <c r="BK58" s="184">
        <f t="shared" si="63"/>
        <v>0</v>
      </c>
      <c r="BL58" s="184">
        <f t="shared" si="64"/>
        <v>0</v>
      </c>
      <c r="BM58" s="185">
        <f t="shared" si="65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K58" s="134"/>
      <c r="CL58" s="134"/>
      <c r="CM58" s="186">
        <f t="shared" si="66"/>
        <v>0</v>
      </c>
      <c r="CN58" s="187">
        <f t="shared" si="67"/>
        <v>0</v>
      </c>
      <c r="CO58" s="187">
        <f t="shared" si="68"/>
        <v>0</v>
      </c>
      <c r="CP58" s="187">
        <f t="shared" si="69"/>
        <v>0</v>
      </c>
      <c r="CQ58" s="187">
        <f t="shared" si="70"/>
        <v>0</v>
      </c>
      <c r="CR58" s="187" t="str">
        <f t="shared" si="71"/>
        <v/>
      </c>
      <c r="CS58" s="187" t="str">
        <f t="shared" si="72"/>
        <v/>
      </c>
      <c r="CT58" s="187" t="str">
        <f t="shared" si="73"/>
        <v/>
      </c>
      <c r="CU58" s="188" t="str">
        <f t="shared" si="74"/>
        <v/>
      </c>
      <c r="CV58" s="188" t="str">
        <f t="shared" si="75"/>
        <v/>
      </c>
      <c r="CW58" s="188" t="str">
        <f t="shared" si="76"/>
        <v/>
      </c>
      <c r="CX58" s="188" t="str">
        <f t="shared" si="77"/>
        <v/>
      </c>
      <c r="CY58" s="188" t="str">
        <f t="shared" si="78"/>
        <v/>
      </c>
      <c r="CZ58" s="188" t="str">
        <f t="shared" si="79"/>
        <v/>
      </c>
      <c r="DA58" s="189" t="str">
        <f t="shared" si="80"/>
        <v/>
      </c>
    </row>
    <row r="59" spans="1:105" ht="15.75" customHeight="1" thickBot="1" x14ac:dyDescent="0.35">
      <c r="CL59" s="77" t="s">
        <v>26</v>
      </c>
      <c r="CM59" s="58">
        <f t="array" ref="CM59">IF(ISBLANK(_xlfn.XLOOKUP(CM$1,$Z$2:$Z$16,$AA$2:$AA$16)),"", 10*LOG10(SUM(10^(CM2:CM58/10))))</f>
        <v>49.306289355683376</v>
      </c>
      <c r="CN59" s="63">
        <f t="array" ref="CN59">IF(ISBLANK(_xlfn.XLOOKUP(CN$1,$Z$2:$Z$16,$AA$2:$AA$16)),"", 10*LOG10(SUM(10^(CN2:CN58/10))))</f>
        <v>45.935158706245659</v>
      </c>
      <c r="CO59" s="63">
        <f t="array" ref="CO59">IF(ISBLANK(_xlfn.XLOOKUP(CO$1,$Z$2:$Z$16,$AA$2:$AA$16)),"", 10*LOG10(SUM(10^(CO2:CO58/10))))</f>
        <v>41.2720975103013</v>
      </c>
      <c r="CP59" s="63">
        <f t="array" ref="CP59">IF(ISBLANK(_xlfn.XLOOKUP(CP$1,$Z$2:$Z$16,$AA$2:$AA$16)),"", 10*LOG10(SUM(10^(CP2:CP58/10))))</f>
        <v>39.062405165795219</v>
      </c>
      <c r="CQ59" s="63">
        <f t="array" ref="CQ59">IF(ISBLANK(_xlfn.XLOOKUP(CQ$1,$Z$2:$Z$16,$AA$2:$AA$16)),"", 10*LOG10(SUM(10^(CQ2:CQ58/10))))</f>
        <v>43.002508798175036</v>
      </c>
      <c r="CR59" s="63" t="e">
        <f t="array" ref="CR59">IF(ISBLANK(_xlfn.XLOOKUP(CR$1,$Z$2:$Z$16,$AA$2:$AA$16)),"", 10*LOG10(SUM(10^(CR2:CR58/10))))</f>
        <v>#VALUE!</v>
      </c>
      <c r="CS59" s="63" t="e">
        <f t="array" ref="CS59">IF(ISBLANK(_xlfn.XLOOKUP(CS$1,$Z$2:$Z$16,$AA$2:$AA$16)),"", 10*LOG10(SUM(10^(CS2:CS58/10))))</f>
        <v>#VALUE!</v>
      </c>
      <c r="CT59" s="63" t="e">
        <f t="array" ref="CT59">IF(ISBLANK(_xlfn.XLOOKUP(CT$1,$Z$2:$Z$16,$AA$2:$AA$16)),"", 10*LOG10(SUM(10^(CT2:CT58/10))))</f>
        <v>#VALUE!</v>
      </c>
      <c r="CU59" s="59" t="e">
        <f t="array" ref="CU59">IF(ISBLANK(_xlfn.XLOOKUP(CU$1,$Z$2:$Z$16,$AA$2:$AA$16)),"", 10*LOG10(SUM(10^(CU2:CU58/10))))</f>
        <v>#VALUE!</v>
      </c>
      <c r="CV59" s="59" t="e">
        <f t="array" ref="CV59">IF(ISBLANK(_xlfn.XLOOKUP(CV$1,$Z$2:$Z$16,$AA$2:$AA$16)),"", 10*LOG10(SUM(10^(CV2:CV58/10))))</f>
        <v>#VALUE!</v>
      </c>
      <c r="CW59" s="59" t="e">
        <f t="array" ref="CW59">IF(ISBLANK(_xlfn.XLOOKUP(CW$1,$Z$2:$Z$16,$AA$2:$AA$16)),"", 10*LOG10(SUM(10^(CW2:CW58/10))))</f>
        <v>#VALUE!</v>
      </c>
      <c r="CX59" s="59" t="e">
        <f t="array" ref="CX59">IF(ISBLANK(_xlfn.XLOOKUP(CX$1,$Z$2:$Z$16,$AA$2:$AA$16)),"", 10*LOG10(SUM(10^(CX2:CX58/10))))</f>
        <v>#VALUE!</v>
      </c>
      <c r="CY59" s="59" t="e">
        <f t="array" ref="CY59">IF(ISBLANK(_xlfn.XLOOKUP(CY$1,$Z$2:$Z$16,$AA$2:$AA$16)),"", 10*LOG10(SUM(10^(CY2:CY58/10))))</f>
        <v>#VALUE!</v>
      </c>
      <c r="CZ59" s="59" t="e">
        <f t="array" ref="CZ59">IF(ISBLANK(_xlfn.XLOOKUP(CZ$1,$Z$2:$Z$16,$AA$2:$AA$16)),"", 10*LOG10(SUM(10^(CZ2:CZ58/10))))</f>
        <v>#VALUE!</v>
      </c>
      <c r="DA59" s="60" t="e">
        <f t="array" ref="DA59">IF(ISBLANK(_xlfn.XLOOKUP(DA$1,$Z$2:$Z$16,$AA$2:$AA$16)),"", 10*LOG10(SUM(10^(DA2:DA58/10))))</f>
        <v>#VALUE!</v>
      </c>
    </row>
    <row r="60" spans="1:105" ht="17.25" customHeight="1" thickBot="1" x14ac:dyDescent="0.35">
      <c r="CL60" t="s">
        <v>77</v>
      </c>
      <c r="CM60" s="190">
        <f t="array" ref="CM60:DA60">TRANSPOSE(AD2:AD16)</f>
        <v>40</v>
      </c>
      <c r="CN60" s="88">
        <v>40</v>
      </c>
      <c r="CO60" s="88">
        <v>40</v>
      </c>
      <c r="CP60" s="88">
        <v>40</v>
      </c>
      <c r="CQ60" s="88">
        <v>40</v>
      </c>
      <c r="CR60" s="88">
        <v>0</v>
      </c>
      <c r="CS60" s="88">
        <v>0</v>
      </c>
      <c r="CT60" s="88">
        <v>0</v>
      </c>
      <c r="CU60" s="88">
        <v>0</v>
      </c>
      <c r="CV60" s="88">
        <v>0</v>
      </c>
      <c r="CW60" s="88">
        <v>0</v>
      </c>
      <c r="CX60" s="88">
        <v>0</v>
      </c>
      <c r="CY60" s="88">
        <v>0</v>
      </c>
      <c r="CZ60" s="88">
        <v>0</v>
      </c>
      <c r="DA60" s="89">
        <v>0</v>
      </c>
    </row>
    <row r="62" spans="1:105" ht="15.75" customHeight="1" thickBot="1" x14ac:dyDescent="0.35"/>
    <row r="63" spans="1:105" x14ac:dyDescent="0.3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05" x14ac:dyDescent="0.3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5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CM2:CT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:CU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:CV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2:CX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:CW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:CY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2:DA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4.4" x14ac:dyDescent="0.3"/>
  <sheetData>
    <row r="2" spans="2:17" x14ac:dyDescent="0.3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3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3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3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3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3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3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3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3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3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3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3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3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3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3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3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3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3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3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3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3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3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3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3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3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3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3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3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3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3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3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3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3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3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3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3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3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3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3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3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3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3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3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3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3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3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3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3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3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3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3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3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3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3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3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3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3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3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3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3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3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3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3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3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3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3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3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3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3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3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3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3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3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3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3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3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3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3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3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3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3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3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3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3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3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3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3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3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3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3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3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3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3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3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3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3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3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3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3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3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3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3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3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3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3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3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3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3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3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3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3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3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3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3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3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3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3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3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3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3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3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3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3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3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3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3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3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3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3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3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3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3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3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3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3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3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3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3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3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3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3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3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3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3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3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3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3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3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3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3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3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3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3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3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3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3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3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3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3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3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3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3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3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3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3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3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3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3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3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3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3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3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3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3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3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3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3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3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3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3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3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3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3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3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3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3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3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3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3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3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3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3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3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3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3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3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3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3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3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3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3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3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3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3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3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3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3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3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3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3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3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3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3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3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3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3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3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3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3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3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3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3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3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3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3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3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3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3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3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3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3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3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3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3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3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3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3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3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3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3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4.4" x14ac:dyDescent="0.3"/>
  <cols>
    <col min="1" max="1" width="9.109375" customWidth="1"/>
    <col min="2" max="2" width="9.109375" style="67" customWidth="1"/>
    <col min="3" max="3" width="23.109375" bestFit="1" customWidth="1"/>
    <col min="4" max="4" width="6.6640625" customWidth="1"/>
    <col min="5" max="5" width="15.6640625" bestFit="1" customWidth="1"/>
    <col min="6" max="6" width="9.109375" bestFit="1" customWidth="1"/>
    <col min="7" max="7" width="18" bestFit="1" customWidth="1"/>
    <col min="8" max="8" width="8.33203125" customWidth="1"/>
    <col min="14" max="14" width="8.6640625" customWidth="1"/>
    <col min="15" max="15" width="9.109375" style="67" customWidth="1"/>
    <col min="16" max="16" width="23.109375" bestFit="1" customWidth="1"/>
    <col min="17" max="17" width="6.6640625" customWidth="1"/>
    <col min="18" max="18" width="15.6640625" bestFit="1" customWidth="1"/>
    <col min="19" max="19" width="8.33203125" customWidth="1"/>
  </cols>
  <sheetData>
    <row r="1" spans="2:19" ht="15.75" customHeight="1" thickBot="1" x14ac:dyDescent="0.35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LwA_XYZ'!$CM$1:$DA$1,'Input LwA_XYZ'!CM2:DA2))</f>
        <v>36.13595504440616</v>
      </c>
      <c r="I3" s="5">
        <f t="shared" ref="I3:I34" si="0">IFERROR(10^(H3/10),0)</f>
        <v>4107.6696051497074</v>
      </c>
      <c r="J3" s="107">
        <f t="shared" ref="J3:J34" si="1">H3</f>
        <v>36.13595504440616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LwA_XYZ'!$CM$1:$DA$1,'Input LwA_XYZ'!CM3:DA3))</f>
        <v>36.553806778312442</v>
      </c>
      <c r="I4" s="5">
        <f t="shared" si="0"/>
        <v>4522.5218922238591</v>
      </c>
      <c r="J4" s="107">
        <f t="shared" si="1"/>
        <v>36.553806778312442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LwA_XYZ'!$CM$1:$DA$1,'Input LwA_XYZ'!CM4:DA4))</f>
        <v>14.357586877827321</v>
      </c>
      <c r="I5" s="5">
        <f t="shared" si="0"/>
        <v>27.2746186956036</v>
      </c>
      <c r="J5" s="107">
        <f t="shared" si="1"/>
        <v>14.357586877827321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LwA_XYZ'!$CM$1:$DA$1,'Input LwA_XYZ'!CM5:DA5))</f>
        <v>17.000954165573969</v>
      </c>
      <c r="I6" s="5">
        <f t="shared" si="0"/>
        <v>50.129735893655798</v>
      </c>
      <c r="J6" s="107">
        <f t="shared" si="1"/>
        <v>17.000954165573969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LwA_XYZ'!$CM$1:$DA$1,'Input LwA_XYZ'!CM6:DA6))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LwA_XYZ'!$CM$1:$DA$1,'Input LwA_XYZ'!CM7:DA7))</f>
        <v>21.440069525541489</v>
      </c>
      <c r="I8" s="5">
        <f t="shared" si="0"/>
        <v>139.31791059586857</v>
      </c>
      <c r="J8" s="107">
        <f t="shared" si="1"/>
        <v>21.440069525541489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LwA_XYZ'!$CM$1:$DA$1,'Input LwA_XYZ'!CM8:DA8))</f>
        <v>40.52140187763441</v>
      </c>
      <c r="I9" s="5">
        <f t="shared" si="0"/>
        <v>11275.613677689737</v>
      </c>
      <c r="J9" s="107">
        <f t="shared" si="1"/>
        <v>40.52140187763441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LwA_XYZ'!$CM$1:$DA$1,'Input LwA_XYZ'!CM9:DA9))</f>
        <v>35.80408608731566</v>
      </c>
      <c r="I10" s="5">
        <f t="shared" si="0"/>
        <v>3805.4726826413194</v>
      </c>
      <c r="J10" s="107">
        <f t="shared" si="1"/>
        <v>35.80408608731566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LwA_XYZ'!$CM$1:$DA$1,'Input LwA_XYZ'!CM10:DA10))</f>
        <v>26.852291475833873</v>
      </c>
      <c r="I11" s="5">
        <f t="shared" si="0"/>
        <v>484.42789973408503</v>
      </c>
      <c r="J11" s="107">
        <f t="shared" si="1"/>
        <v>26.852291475833873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LwA_XYZ'!$CM$1:$DA$1,'Input LwA_XYZ'!CM11:DA11))</f>
        <v>33.537434955241174</v>
      </c>
      <c r="I12" s="5">
        <f t="shared" si="0"/>
        <v>2258.1016886326061</v>
      </c>
      <c r="J12" s="107">
        <f t="shared" si="1"/>
        <v>33.537434955241174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73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LwA_XYZ'!$CM$1:$DA$1,'Input LwA_XYZ'!CM12:DA12))</f>
        <v>20.026342162869959</v>
      </c>
      <c r="I13" s="5">
        <f t="shared" si="0"/>
        <v>100.6083939591193</v>
      </c>
      <c r="J13" s="107">
        <f t="shared" si="1"/>
        <v>20.026342162869959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73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LwA_XYZ'!$CM$1:$DA$1,'Input LwA_XYZ'!CM13:DA13))</f>
        <v>20.371980985312547</v>
      </c>
      <c r="I14" s="5">
        <f t="shared" si="0"/>
        <v>108.9426909817838</v>
      </c>
      <c r="J14" s="107">
        <f t="shared" si="1"/>
        <v>20.371980985312547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73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LwA_XYZ'!$CM$1:$DA$1,'Input LwA_XYZ'!CM14:DA14))</f>
        <v>29.213787496935964</v>
      </c>
      <c r="I15" s="5">
        <f t="shared" si="0"/>
        <v>834.40855794023719</v>
      </c>
      <c r="J15" s="107">
        <f t="shared" si="1"/>
        <v>29.213787496935964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LwA_XYZ'!$CM$1:$DA$1,'Input LwA_XYZ'!CM15:DA15))</f>
        <v>30.342204126758617</v>
      </c>
      <c r="I16" s="5">
        <f t="shared" si="0"/>
        <v>1081.982938811467</v>
      </c>
      <c r="J16" s="107">
        <f t="shared" si="1"/>
        <v>30.342204126758617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LwA_XYZ'!$CM$1:$DA$1,'Input LwA_XYZ'!CM16:DA16))</f>
        <v>31.319367884295211</v>
      </c>
      <c r="I17" s="5">
        <f t="shared" si="0"/>
        <v>1354.9921788591337</v>
      </c>
      <c r="J17" s="107">
        <f t="shared" si="1"/>
        <v>31.319367884295211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73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LwA_XYZ'!$CM$1:$DA$1,'Input LwA_XYZ'!CM17:DA17))</f>
        <v>30.826236427152921</v>
      </c>
      <c r="I18" s="5">
        <f t="shared" si="0"/>
        <v>1209.5494900963527</v>
      </c>
      <c r="J18" s="107">
        <f t="shared" si="1"/>
        <v>30.826236427152921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LwA_XYZ'!$CM$1:$DA$1,'Input LwA_XYZ'!CM18:DA18))</f>
        <v>23.81178133424271</v>
      </c>
      <c r="I19" s="5">
        <f t="shared" si="0"/>
        <v>240.53491934459944</v>
      </c>
      <c r="J19" s="107">
        <f t="shared" si="1"/>
        <v>23.81178133424271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LwA_XYZ'!$CM$1:$DA$1,'Input LwA_XYZ'!CM19:DA19))</f>
        <v>21.718086963771597</v>
      </c>
      <c r="I20" s="5">
        <f t="shared" si="0"/>
        <v>148.52812423708522</v>
      </c>
      <c r="J20" s="107">
        <f t="shared" si="1"/>
        <v>21.718086963771597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LwA_XYZ'!$CM$1:$DA$1,'Input LwA_XYZ'!CM20:DA20))</f>
        <v>21.467097770011215</v>
      </c>
      <c r="I21" s="5">
        <f t="shared" si="0"/>
        <v>140.18765690171281</v>
      </c>
      <c r="J21" s="107">
        <f t="shared" si="1"/>
        <v>21.467097770011215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LwA_XYZ'!$CM$1:$DA$1,'Input LwA_XYZ'!CM21:DA21))</f>
        <v>20.819081497716411</v>
      </c>
      <c r="I22" s="5">
        <f t="shared" si="0"/>
        <v>120.75584179860986</v>
      </c>
      <c r="J22" s="107">
        <f t="shared" si="1"/>
        <v>20.819081497716411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LwA_XYZ'!$CM$1:$DA$1,'Input LwA_XYZ'!CM22:DA22))</f>
        <v>19.943818856947438</v>
      </c>
      <c r="I23" s="5">
        <f t="shared" si="0"/>
        <v>98.714712657033189</v>
      </c>
      <c r="J23" s="107">
        <f t="shared" si="1"/>
        <v>19.943818856947438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LwA_XYZ'!$CM$1:$DA$1,'Input LwA_XYZ'!CM23:DA23))</f>
        <v>22.442316685562339</v>
      </c>
      <c r="I24" s="5">
        <f t="shared" si="0"/>
        <v>175.48163354122372</v>
      </c>
      <c r="J24" s="107">
        <f t="shared" si="1"/>
        <v>22.442316685562339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LwA_XYZ'!$CM$1:$DA$1,'Input LwA_XYZ'!CM24:DA24))</f>
        <v>33.135692292329757</v>
      </c>
      <c r="I25" s="5">
        <f t="shared" si="0"/>
        <v>2058.5870159220208</v>
      </c>
      <c r="J25" s="107">
        <f t="shared" si="1"/>
        <v>33.135692292329757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LwA_XYZ'!$CM$1:$DA$1,'Input LwA_XYZ'!CM25:DA25))</f>
        <v>28.784624203825743</v>
      </c>
      <c r="I26" s="5">
        <f t="shared" si="0"/>
        <v>755.89664957013224</v>
      </c>
      <c r="J26" s="107">
        <f t="shared" si="1"/>
        <v>28.784624203825743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LwA_XYZ'!$CM$1:$DA$1,'Input LwA_XYZ'!CM26:DA26))</f>
        <v>25.100515350516773</v>
      </c>
      <c r="I27" s="5">
        <f t="shared" si="0"/>
        <v>323.63205807449725</v>
      </c>
      <c r="J27" s="107">
        <f t="shared" si="1"/>
        <v>25.100515350516773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LwA_XYZ'!$CM$1:$DA$1,'Input LwA_XYZ'!CM27:DA27))</f>
        <v>30.774241519297888</v>
      </c>
      <c r="I28" s="5">
        <f t="shared" si="0"/>
        <v>1195.1547776844998</v>
      </c>
      <c r="J28" s="107">
        <f t="shared" si="1"/>
        <v>30.774241519297888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LwA_XYZ'!$CM$1:$DA$1,'Input LwA_XYZ'!CM28:DA28))</f>
        <v>30.789584060869942</v>
      </c>
      <c r="I29" s="5">
        <f t="shared" si="0"/>
        <v>1199.3844283750948</v>
      </c>
      <c r="J29" s="107">
        <f t="shared" si="1"/>
        <v>30.789584060869942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LwA_XYZ'!$CM$1:$DA$1,'Input LwA_XYZ'!CM29:DA29))</f>
        <v>20.772490151852693</v>
      </c>
      <c r="I30" s="5">
        <f t="shared" si="0"/>
        <v>119.46729080630632</v>
      </c>
      <c r="J30" s="107">
        <f t="shared" si="1"/>
        <v>20.772490151852693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LwA_XYZ'!$CM$1:$DA$1,'Input LwA_XYZ'!CM30:DA30))</f>
        <v>5.6557324856694748</v>
      </c>
      <c r="I31" s="5">
        <f t="shared" si="0"/>
        <v>3.6776741618928752</v>
      </c>
      <c r="J31" s="107">
        <f t="shared" si="1"/>
        <v>5.6557324856694748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LwA_XYZ'!$CM$1:$DA$1,'Input LwA_XYZ'!CM31:DA31))</f>
        <v>14.853958839131273</v>
      </c>
      <c r="I32" s="5">
        <f t="shared" si="0"/>
        <v>30.577071157046415</v>
      </c>
      <c r="J32" s="107">
        <f t="shared" si="1"/>
        <v>14.853958839131273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LwA_XYZ'!$CM$1:$DA$1,'Input LwA_XYZ'!CM32:DA32))</f>
        <v>14.623974745689068</v>
      </c>
      <c r="I33" s="5">
        <f t="shared" si="0"/>
        <v>28.999965054673922</v>
      </c>
      <c r="J33" s="107">
        <f t="shared" si="1"/>
        <v>14.623974745689068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LwA_XYZ'!$CM$1:$DA$1,'Input LwA_XYZ'!CM33:DA33))</f>
        <v>14.3670202119458</v>
      </c>
      <c r="I34" s="5">
        <f t="shared" si="0"/>
        <v>27.333926431579581</v>
      </c>
      <c r="J34" s="107">
        <f t="shared" si="1"/>
        <v>14.3670202119458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LwA_XYZ'!$CM$1:$DA$1,'Input LwA_XYZ'!CM34:DA34))</f>
        <v>13.618557642735382</v>
      </c>
      <c r="I35" s="5">
        <f t="shared" ref="I35:I59" si="2">IFERROR(10^(H35/10),0)</f>
        <v>23.006776008928487</v>
      </c>
      <c r="J35" s="107">
        <f t="shared" ref="J35:J59" si="3">H35</f>
        <v>13.618557642735382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LwA_XYZ'!$CM$1:$DA$1,'Input LwA_XYZ'!CM35:DA35))</f>
        <v>15.013128066404839</v>
      </c>
      <c r="I36" s="5">
        <f t="shared" si="2"/>
        <v>31.718512104407719</v>
      </c>
      <c r="J36" s="107">
        <f t="shared" si="3"/>
        <v>15.013128066404839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LwA_XYZ'!$CM$1:$DA$1,'Input LwA_XYZ'!CM36:DA36))</f>
        <v>14.818947013861568</v>
      </c>
      <c r="I37" s="5">
        <f t="shared" si="2"/>
        <v>30.33155679083896</v>
      </c>
      <c r="J37" s="107">
        <f t="shared" si="3"/>
        <v>14.818947013861568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LwA_XYZ'!$CM$1:$DA$1,'Input LwA_XYZ'!CM37:DA37))</f>
        <v>6.6071422627457537</v>
      </c>
      <c r="I38" s="5">
        <f t="shared" si="2"/>
        <v>4.5784052012309848</v>
      </c>
      <c r="J38" s="107">
        <f t="shared" si="3"/>
        <v>6.6071422627457537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LwA_XYZ'!$CM$1:$DA$1,'Input LwA_XYZ'!CM38:DA38))</f>
        <v>5.0352651457776929</v>
      </c>
      <c r="I39" s="5">
        <f t="shared" si="2"/>
        <v>3.1880602074342956</v>
      </c>
      <c r="J39" s="107">
        <f t="shared" si="3"/>
        <v>5.0352651457776929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LwA_XYZ'!$CM$1:$DA$1,'Input LwA_XYZ'!CM39:DA39))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LwA_XYZ'!$CM$1:$DA$1,'Input LwA_XYZ'!CM40:DA40))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LwA_XYZ'!$CM$1:$DA$1,'Input LwA_XYZ'!CM41:DA41))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LwA_XYZ'!$CM$1:$DA$1,'Input LwA_XYZ'!CM42:DA42))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LwA_XYZ'!$CM$1:$DA$1,'Input LwA_XYZ'!CM43:DA43))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LwA_XYZ'!$CM$1:$DA$1,'Input LwA_XYZ'!CM44:DA44))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LwA_XYZ'!$CM$1:$DA$1,'Input LwA_XYZ'!CM45:DA45))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LwA_XYZ'!$CM$1:$DA$1,'Input LwA_XYZ'!CM46:DA46))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LwA_XYZ'!$CM$1:$DA$1,'Input LwA_XYZ'!CM47:DA47))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LwA_XYZ'!$CM$1:$DA$1,'Input LwA_XYZ'!CM48:DA48))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LwA_XYZ'!$CM$1:$DA$1,'Input LwA_XYZ'!CM49:DA49))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LwA_XYZ'!$CM$1:$DA$1,'Input LwA_XYZ'!CM50:DA50))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LwA_XYZ'!$CM$1:$DA$1,'Input LwA_XYZ'!CM51:DA51))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LwA_XYZ'!$CM$1:$DA$1,'Input LwA_XYZ'!CM52:DA52))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LwA_XYZ'!$CM$1:$DA$1,'Input LwA_XYZ'!CM53:DA53))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LwA_XYZ'!$CM$1:$DA$1,'Input LwA_XYZ'!CM54:DA54))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LwA_XYZ'!$CM$1:$DA$1,'Input LwA_XYZ'!CM55:DA55))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LwA_XYZ'!$CM$1:$DA$1,'Input LwA_XYZ'!CM56:DA56))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LwA_XYZ'!$CM$1:$DA$1,'Input LwA_XYZ'!CM57:DA57))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LwA_XYZ'!$CM$1:$DA$1,'Input LwA_XYZ'!CM58:DA58))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46</v>
      </c>
      <c r="I60" s="199">
        <f>10*LOG10(SUM(I3:I59))</f>
        <v>45.932943525383678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2020-09-09T21:35:10Z</dcterms:modified>
</cp:coreProperties>
</file>