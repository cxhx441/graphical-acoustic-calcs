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raig\Documents\GitHub\graphical-acoustic-calcs\"/>
    </mc:Choice>
  </mc:AlternateContent>
  <xr:revisionPtr revIDLastSave="0" documentId="13_ncr:1_{25DACE73-1FA9-45A9-B1E2-52468DBF8349}" xr6:coauthVersionLast="47" xr6:coauthVersionMax="47" xr10:uidLastSave="{00000000-0000-0000-0000-000000000000}"/>
  <bookViews>
    <workbookView xWindow="28800" yWindow="0" windowWidth="28800" windowHeight="23400" tabRatio="847" activeTab="2" xr2:uid="{00000000-000D-0000-FFFF-FFFF00000000}"/>
  </bookViews>
  <sheets>
    <sheet name="Input LwA_XYZ" sheetId="1" r:id="rId1"/>
    <sheet name="Sheet1" sheetId="3" r:id="rId2"/>
    <sheet name="Tables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2" i="1" l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N2" i="1" a="1"/>
  <c r="N2" i="1" s="1"/>
  <c r="N3" i="1" a="1"/>
  <c r="N3" i="1" s="1"/>
  <c r="N783" i="2"/>
  <c r="N723" i="2"/>
  <c r="N663" i="2"/>
  <c r="N603" i="2"/>
  <c r="N543" i="2"/>
  <c r="N483" i="2"/>
  <c r="N423" i="2"/>
  <c r="N363" i="2"/>
  <c r="N303" i="2"/>
  <c r="N243" i="2"/>
  <c r="N183" i="2"/>
  <c r="N63" i="2"/>
  <c r="N3" i="2"/>
  <c r="DD1" i="1" a="1"/>
  <c r="DD1" i="1" s="1"/>
  <c r="CM1" i="1" a="1"/>
  <c r="CM1" i="1" s="1"/>
  <c r="BV1" i="1" a="1"/>
  <c r="BV1" i="1" s="1"/>
  <c r="V40" i="1"/>
  <c r="V41" i="1"/>
  <c r="V42" i="1"/>
  <c r="V43" i="1"/>
  <c r="V44" i="1"/>
  <c r="V45" i="1"/>
  <c r="V46" i="1"/>
  <c r="V47" i="1"/>
  <c r="V48" i="1"/>
  <c r="Q28" i="1"/>
  <c r="Q29" i="1"/>
  <c r="Q30" i="1"/>
  <c r="Q31" i="1"/>
  <c r="Q32" i="1"/>
  <c r="Q33" i="1"/>
  <c r="Q34" i="1"/>
  <c r="Q35" i="1"/>
  <c r="Q36" i="1"/>
  <c r="Q11" i="1"/>
  <c r="Q12" i="1"/>
  <c r="Q13" i="1"/>
  <c r="Q14" i="1"/>
  <c r="Q15" i="1"/>
  <c r="G83" i="1"/>
  <c r="H83" i="1" s="1"/>
  <c r="G84" i="1"/>
  <c r="H84" i="1" s="1"/>
  <c r="G85" i="1"/>
  <c r="H85" i="1" s="1"/>
  <c r="G82" i="1"/>
  <c r="H82" i="1" s="1"/>
  <c r="H88" i="1"/>
  <c r="G89" i="1"/>
  <c r="H89" i="1" s="1"/>
  <c r="G90" i="1"/>
  <c r="H90" i="1" s="1"/>
  <c r="G91" i="1"/>
  <c r="H91" i="1" s="1"/>
  <c r="G92" i="1"/>
  <c r="H92" i="1" s="1"/>
  <c r="G88" i="1"/>
  <c r="P783" i="2" l="1"/>
  <c r="P790" i="2"/>
  <c r="P796" i="2"/>
  <c r="P809" i="2"/>
  <c r="P811" i="2"/>
  <c r="P818" i="2"/>
  <c r="P828" i="2"/>
  <c r="X828" i="2" s="1"/>
  <c r="P725" i="2"/>
  <c r="P732" i="2"/>
  <c r="W732" i="2" s="1" a="1"/>
  <c r="W732" i="2" s="1"/>
  <c r="P737" i="2"/>
  <c r="U737" i="2" s="1"/>
  <c r="P743" i="2"/>
  <c r="Q743" i="2" s="1"/>
  <c r="P749" i="2"/>
  <c r="P754" i="2"/>
  <c r="R754" i="2" s="1"/>
  <c r="P778" i="2"/>
  <c r="R778" i="2" s="1"/>
  <c r="P668" i="2"/>
  <c r="P674" i="2"/>
  <c r="P682" i="2"/>
  <c r="R682" i="2" s="1"/>
  <c r="P689" i="2"/>
  <c r="P697" i="2"/>
  <c r="P705" i="2"/>
  <c r="V705" i="2" s="1"/>
  <c r="P713" i="2"/>
  <c r="T713" i="2" s="1"/>
  <c r="P718" i="2"/>
  <c r="R718" i="2" s="1"/>
  <c r="P608" i="2"/>
  <c r="W608" i="2" s="1" a="1"/>
  <c r="W608" i="2" s="1"/>
  <c r="P616" i="2"/>
  <c r="P631" i="2"/>
  <c r="Q631" i="2" s="1"/>
  <c r="P639" i="2"/>
  <c r="Q639" i="2" s="1"/>
  <c r="P647" i="2"/>
  <c r="Q647" i="2" s="1"/>
  <c r="P655" i="2"/>
  <c r="Q655" i="2" s="1"/>
  <c r="P545" i="2"/>
  <c r="T545" i="2" s="1"/>
  <c r="P553" i="2"/>
  <c r="T553" i="2" s="1"/>
  <c r="P561" i="2"/>
  <c r="P569" i="2"/>
  <c r="V569" i="2" s="1"/>
  <c r="P577" i="2"/>
  <c r="P585" i="2"/>
  <c r="T585" i="2" s="1"/>
  <c r="P593" i="2"/>
  <c r="T593" i="2" s="1"/>
  <c r="P483" i="2"/>
  <c r="Q483" i="2" s="1"/>
  <c r="P491" i="2"/>
  <c r="Q491" i="2" s="1"/>
  <c r="P499" i="2"/>
  <c r="Q499" i="2" s="1"/>
  <c r="P507" i="2"/>
  <c r="Q507" i="2" s="1"/>
  <c r="P515" i="2"/>
  <c r="P523" i="2"/>
  <c r="Q523" i="2" s="1"/>
  <c r="P531" i="2"/>
  <c r="Q531" i="2" s="1"/>
  <c r="P539" i="2"/>
  <c r="Q539" i="2" s="1"/>
  <c r="P429" i="2"/>
  <c r="U429" i="2" s="1"/>
  <c r="P437" i="2"/>
  <c r="U437" i="2" s="1"/>
  <c r="P445" i="2"/>
  <c r="U445" i="2" s="1"/>
  <c r="P453" i="2"/>
  <c r="U453" i="2" s="1"/>
  <c r="P461" i="2"/>
  <c r="P469" i="2"/>
  <c r="U469" i="2" s="1"/>
  <c r="P477" i="2"/>
  <c r="U477" i="2" s="1"/>
  <c r="P367" i="2"/>
  <c r="P375" i="2"/>
  <c r="Q375" i="2" s="1"/>
  <c r="P383" i="2"/>
  <c r="Q383" i="2" s="1"/>
  <c r="P391" i="2"/>
  <c r="Q391" i="2" s="1"/>
  <c r="P399" i="2"/>
  <c r="Q399" i="2" s="1"/>
  <c r="P407" i="2"/>
  <c r="P415" i="2"/>
  <c r="P305" i="2"/>
  <c r="W305" i="2" s="1" a="1"/>
  <c r="W305" i="2" s="1"/>
  <c r="P313" i="2"/>
  <c r="W313" i="2" s="1" a="1"/>
  <c r="W313" i="2" s="1"/>
  <c r="P321" i="2"/>
  <c r="W321" i="2" s="1" a="1"/>
  <c r="W321" i="2" s="1"/>
  <c r="P786" i="2"/>
  <c r="W786" i="2" s="1" a="1"/>
  <c r="W786" i="2" s="1"/>
  <c r="P792" i="2"/>
  <c r="Q792" i="2" s="1"/>
  <c r="P805" i="2"/>
  <c r="P807" i="2"/>
  <c r="P814" i="2"/>
  <c r="P824" i="2"/>
  <c r="P837" i="2"/>
  <c r="P839" i="2"/>
  <c r="P733" i="2"/>
  <c r="W733" i="2" s="1" a="1"/>
  <c r="W733" i="2" s="1"/>
  <c r="P738" i="2"/>
  <c r="Q738" i="2" s="1"/>
  <c r="P744" i="2"/>
  <c r="Q744" i="2" s="1"/>
  <c r="P759" i="2"/>
  <c r="P764" i="2"/>
  <c r="P769" i="2"/>
  <c r="P773" i="2"/>
  <c r="U773" i="2" s="1"/>
  <c r="P779" i="2"/>
  <c r="P675" i="2"/>
  <c r="Q675" i="2" s="1"/>
  <c r="P683" i="2"/>
  <c r="Q683" i="2" s="1"/>
  <c r="P690" i="2"/>
  <c r="R690" i="2" s="1"/>
  <c r="P698" i="2"/>
  <c r="P706" i="2"/>
  <c r="R706" i="2" s="1"/>
  <c r="P714" i="2"/>
  <c r="R714" i="2" s="1"/>
  <c r="P719" i="2"/>
  <c r="P609" i="2"/>
  <c r="P617" i="2"/>
  <c r="P624" i="2"/>
  <c r="W624" i="2" s="1" a="1"/>
  <c r="W624" i="2" s="1"/>
  <c r="P632" i="2"/>
  <c r="W632" i="2" s="1" a="1"/>
  <c r="W632" i="2" s="1"/>
  <c r="P640" i="2"/>
  <c r="P648" i="2"/>
  <c r="W648" i="2" s="1" a="1"/>
  <c r="W648" i="2" s="1"/>
  <c r="P656" i="2"/>
  <c r="W656" i="2" s="1" a="1"/>
  <c r="W656" i="2" s="1"/>
  <c r="P546" i="2"/>
  <c r="S546" i="2" s="1"/>
  <c r="P554" i="2"/>
  <c r="S554" i="2" s="1"/>
  <c r="P562" i="2"/>
  <c r="P570" i="2"/>
  <c r="V570" i="2" s="1"/>
  <c r="P578" i="2"/>
  <c r="P586" i="2"/>
  <c r="W586" i="2" s="1" a="1"/>
  <c r="W586" i="2" s="1"/>
  <c r="P594" i="2"/>
  <c r="S594" i="2" s="1"/>
  <c r="P484" i="2"/>
  <c r="W484" i="2" s="1" a="1"/>
  <c r="W484" i="2" s="1"/>
  <c r="P492" i="2"/>
  <c r="W492" i="2" s="1" a="1"/>
  <c r="W492" i="2" s="1"/>
  <c r="P500" i="2"/>
  <c r="W500" i="2" s="1" a="1"/>
  <c r="W500" i="2" s="1"/>
  <c r="P508" i="2"/>
  <c r="W508" i="2" s="1" a="1"/>
  <c r="W508" i="2" s="1"/>
  <c r="P516" i="2"/>
  <c r="W516" i="2" s="1" a="1"/>
  <c r="W516" i="2" s="1"/>
  <c r="P524" i="2"/>
  <c r="V524" i="2" s="1"/>
  <c r="P532" i="2"/>
  <c r="P430" i="2"/>
  <c r="W430" i="2" s="1" a="1"/>
  <c r="W430" i="2" s="1"/>
  <c r="P438" i="2"/>
  <c r="Q438" i="2" s="1"/>
  <c r="P446" i="2"/>
  <c r="Q446" i="2" s="1"/>
  <c r="P454" i="2"/>
  <c r="Q454" i="2" s="1"/>
  <c r="P462" i="2"/>
  <c r="Q462" i="2" s="1"/>
  <c r="P470" i="2"/>
  <c r="Q470" i="2" s="1"/>
  <c r="P478" i="2"/>
  <c r="Q478" i="2" s="1"/>
  <c r="P368" i="2"/>
  <c r="P376" i="2"/>
  <c r="V376" i="2" s="1"/>
  <c r="P384" i="2"/>
  <c r="V384" i="2" s="1"/>
  <c r="P392" i="2"/>
  <c r="V392" i="2" s="1"/>
  <c r="P400" i="2"/>
  <c r="V400" i="2" s="1"/>
  <c r="P408" i="2"/>
  <c r="V408" i="2" s="1"/>
  <c r="P416" i="2"/>
  <c r="V416" i="2" s="1"/>
  <c r="P306" i="2"/>
  <c r="R306" i="2" s="1"/>
  <c r="P314" i="2"/>
  <c r="P788" i="2"/>
  <c r="P801" i="2"/>
  <c r="P803" i="2"/>
  <c r="P810" i="2"/>
  <c r="P820" i="2"/>
  <c r="T820" i="2" s="1"/>
  <c r="P833" i="2"/>
  <c r="P835" i="2"/>
  <c r="S835" i="2" s="1"/>
  <c r="P726" i="2"/>
  <c r="P739" i="2"/>
  <c r="P755" i="2"/>
  <c r="V755" i="2" s="1"/>
  <c r="P760" i="2"/>
  <c r="P774" i="2"/>
  <c r="R774" i="2" s="1"/>
  <c r="P669" i="2"/>
  <c r="V669" i="2" s="1"/>
  <c r="P676" i="2"/>
  <c r="V676" i="2" s="1"/>
  <c r="P684" i="2"/>
  <c r="Q684" i="2" s="1"/>
  <c r="P691" i="2"/>
  <c r="P699" i="2"/>
  <c r="Q699" i="2" s="1"/>
  <c r="P707" i="2"/>
  <c r="Q707" i="2" s="1"/>
  <c r="P715" i="2"/>
  <c r="P610" i="2"/>
  <c r="R610" i="2" s="1"/>
  <c r="P618" i="2"/>
  <c r="R618" i="2" s="1"/>
  <c r="P625" i="2"/>
  <c r="Q625" i="2" s="1"/>
  <c r="P633" i="2"/>
  <c r="R633" i="2" s="1"/>
  <c r="P641" i="2"/>
  <c r="P649" i="2"/>
  <c r="T649" i="2" s="1"/>
  <c r="P657" i="2"/>
  <c r="T657" i="2" s="1"/>
  <c r="P547" i="2"/>
  <c r="Q547" i="2" s="1"/>
  <c r="P555" i="2"/>
  <c r="Q555" i="2" s="1"/>
  <c r="P563" i="2"/>
  <c r="Q563" i="2" s="1"/>
  <c r="P571" i="2"/>
  <c r="Q571" i="2" s="1"/>
  <c r="P579" i="2"/>
  <c r="Q579" i="2" s="1"/>
  <c r="P587" i="2"/>
  <c r="P595" i="2"/>
  <c r="Q595" i="2" s="1"/>
  <c r="P485" i="2"/>
  <c r="U485" i="2" s="1"/>
  <c r="P493" i="2"/>
  <c r="U493" i="2" s="1"/>
  <c r="P501" i="2"/>
  <c r="U501" i="2" s="1"/>
  <c r="P509" i="2"/>
  <c r="U509" i="2" s="1"/>
  <c r="P517" i="2"/>
  <c r="U517" i="2" s="1"/>
  <c r="P525" i="2"/>
  <c r="U525" i="2" s="1"/>
  <c r="P533" i="2"/>
  <c r="P423" i="2"/>
  <c r="Q423" i="2" s="1"/>
  <c r="P431" i="2"/>
  <c r="Q431" i="2" s="1"/>
  <c r="P439" i="2"/>
  <c r="Q439" i="2" s="1"/>
  <c r="P447" i="2"/>
  <c r="Q447" i="2" s="1"/>
  <c r="P455" i="2"/>
  <c r="Q455" i="2" s="1"/>
  <c r="P463" i="2"/>
  <c r="Q463" i="2" s="1"/>
  <c r="P471" i="2"/>
  <c r="Q471" i="2" s="1"/>
  <c r="P479" i="2"/>
  <c r="P784" i="2"/>
  <c r="P797" i="2"/>
  <c r="P799" i="2"/>
  <c r="P806" i="2"/>
  <c r="P816" i="2"/>
  <c r="W816" i="2" s="1" a="1"/>
  <c r="W816" i="2" s="1"/>
  <c r="P829" i="2"/>
  <c r="P831" i="2"/>
  <c r="U831" i="2" s="1"/>
  <c r="P838" i="2"/>
  <c r="P727" i="2"/>
  <c r="Q727" i="2" s="1"/>
  <c r="P745" i="2"/>
  <c r="U745" i="2" s="1"/>
  <c r="P750" i="2"/>
  <c r="R750" i="2" s="1"/>
  <c r="P765" i="2"/>
  <c r="P775" i="2"/>
  <c r="V775" i="2" s="1"/>
  <c r="P663" i="2"/>
  <c r="Q663" i="2" s="1"/>
  <c r="P670" i="2"/>
  <c r="R670" i="2" s="1"/>
  <c r="P677" i="2"/>
  <c r="P685" i="2"/>
  <c r="V685" i="2" s="1"/>
  <c r="P692" i="2"/>
  <c r="P700" i="2"/>
  <c r="T700" i="2" s="1"/>
  <c r="P708" i="2"/>
  <c r="V708" i="2" s="1"/>
  <c r="P603" i="2"/>
  <c r="Q603" i="2" s="1"/>
  <c r="P611" i="2"/>
  <c r="Q611" i="2" s="1"/>
  <c r="P619" i="2"/>
  <c r="Q619" i="2" s="1"/>
  <c r="P626" i="2"/>
  <c r="P634" i="2"/>
  <c r="R634" i="2" s="1"/>
  <c r="P642" i="2"/>
  <c r="R642" i="2" s="1"/>
  <c r="P650" i="2"/>
  <c r="R650" i="2" s="1"/>
  <c r="P658" i="2"/>
  <c r="R658" i="2" s="1"/>
  <c r="P548" i="2"/>
  <c r="V548" i="2" s="1"/>
  <c r="P556" i="2"/>
  <c r="V556" i="2" s="1"/>
  <c r="P564" i="2"/>
  <c r="V564" i="2" s="1"/>
  <c r="P572" i="2"/>
  <c r="P580" i="2"/>
  <c r="V580" i="2" s="1"/>
  <c r="P588" i="2"/>
  <c r="V588" i="2" s="1"/>
  <c r="P596" i="2"/>
  <c r="V596" i="2" s="1"/>
  <c r="P486" i="2"/>
  <c r="R486" i="2" s="1"/>
  <c r="P494" i="2"/>
  <c r="R494" i="2" s="1"/>
  <c r="P502" i="2"/>
  <c r="U502" i="2" s="1"/>
  <c r="P510" i="2"/>
  <c r="R510" i="2" s="1"/>
  <c r="P518" i="2"/>
  <c r="P526" i="2"/>
  <c r="R526" i="2" s="1"/>
  <c r="P534" i="2"/>
  <c r="R534" i="2" s="1"/>
  <c r="P424" i="2"/>
  <c r="W424" i="2" s="1" a="1"/>
  <c r="W424" i="2" s="1"/>
  <c r="P432" i="2"/>
  <c r="W432" i="2" s="1" a="1"/>
  <c r="W432" i="2" s="1"/>
  <c r="P440" i="2"/>
  <c r="W440" i="2" s="1" a="1"/>
  <c r="W440" i="2" s="1"/>
  <c r="P448" i="2"/>
  <c r="W448" i="2" s="1" a="1"/>
  <c r="W448" i="2" s="1"/>
  <c r="P456" i="2"/>
  <c r="W456" i="2" s="1" a="1"/>
  <c r="W456" i="2" s="1"/>
  <c r="P464" i="2"/>
  <c r="P472" i="2"/>
  <c r="W472" i="2" s="1" a="1"/>
  <c r="W472" i="2" s="1"/>
  <c r="P370" i="2"/>
  <c r="R370" i="2" s="1"/>
  <c r="P378" i="2"/>
  <c r="P386" i="2"/>
  <c r="P394" i="2"/>
  <c r="R394" i="2" s="1"/>
  <c r="P402" i="2"/>
  <c r="R402" i="2" s="1"/>
  <c r="P410" i="2"/>
  <c r="Q410" i="2" s="1"/>
  <c r="P418" i="2"/>
  <c r="P308" i="2"/>
  <c r="Q308" i="2" s="1"/>
  <c r="P316" i="2"/>
  <c r="Q316" i="2" s="1"/>
  <c r="P324" i="2"/>
  <c r="P802" i="2"/>
  <c r="P812" i="2"/>
  <c r="W812" i="2" s="1" a="1"/>
  <c r="W812" i="2" s="1"/>
  <c r="P825" i="2"/>
  <c r="P827" i="2"/>
  <c r="V827" i="2" s="1"/>
  <c r="P834" i="2"/>
  <c r="P728" i="2"/>
  <c r="W728" i="2" s="1" a="1"/>
  <c r="W728" i="2" s="1"/>
  <c r="P734" i="2"/>
  <c r="P740" i="2"/>
  <c r="W740" i="2" s="1" a="1"/>
  <c r="W740" i="2" s="1"/>
  <c r="P746" i="2"/>
  <c r="P751" i="2"/>
  <c r="P756" i="2"/>
  <c r="W756" i="2" s="1" a="1"/>
  <c r="W756" i="2" s="1"/>
  <c r="P761" i="2"/>
  <c r="W761" i="2" s="1" a="1"/>
  <c r="W761" i="2" s="1"/>
  <c r="P776" i="2"/>
  <c r="P664" i="2"/>
  <c r="V664" i="2" s="1"/>
  <c r="P671" i="2"/>
  <c r="Q671" i="2" s="1"/>
  <c r="P678" i="2"/>
  <c r="R678" i="2" s="1"/>
  <c r="P686" i="2"/>
  <c r="R686" i="2" s="1"/>
  <c r="P693" i="2"/>
  <c r="P701" i="2"/>
  <c r="S701" i="2" s="1"/>
  <c r="P709" i="2"/>
  <c r="T709" i="2" s="1"/>
  <c r="P604" i="2"/>
  <c r="P612" i="2"/>
  <c r="W612" i="2" s="1" a="1"/>
  <c r="W612" i="2" s="1"/>
  <c r="P620" i="2"/>
  <c r="W620" i="2" s="1" a="1"/>
  <c r="W620" i="2" s="1"/>
  <c r="P627" i="2"/>
  <c r="Q627" i="2" s="1"/>
  <c r="P635" i="2"/>
  <c r="Q635" i="2" s="1"/>
  <c r="P643" i="2"/>
  <c r="Q643" i="2" s="1"/>
  <c r="P651" i="2"/>
  <c r="Q651" i="2" s="1"/>
  <c r="P659" i="2"/>
  <c r="Q659" i="2" s="1"/>
  <c r="P549" i="2"/>
  <c r="W549" i="2" s="1" a="1"/>
  <c r="W549" i="2" s="1"/>
  <c r="P557" i="2"/>
  <c r="P565" i="2"/>
  <c r="P573" i="2"/>
  <c r="P581" i="2"/>
  <c r="T581" i="2" s="1"/>
  <c r="P589" i="2"/>
  <c r="T589" i="2" s="1"/>
  <c r="P597" i="2"/>
  <c r="T597" i="2" s="1"/>
  <c r="P487" i="2"/>
  <c r="Q487" i="2" s="1"/>
  <c r="P495" i="2"/>
  <c r="P503" i="2"/>
  <c r="Q503" i="2" s="1"/>
  <c r="P511" i="2"/>
  <c r="Q511" i="2" s="1"/>
  <c r="P519" i="2"/>
  <c r="Q519" i="2" s="1"/>
  <c r="P527" i="2"/>
  <c r="Q527" i="2" s="1"/>
  <c r="P535" i="2"/>
  <c r="Q535" i="2" s="1"/>
  <c r="P425" i="2"/>
  <c r="U425" i="2" s="1"/>
  <c r="P433" i="2"/>
  <c r="U433" i="2" s="1"/>
  <c r="P441" i="2"/>
  <c r="P449" i="2"/>
  <c r="U449" i="2" s="1"/>
  <c r="P457" i="2"/>
  <c r="U457" i="2" s="1"/>
  <c r="P465" i="2"/>
  <c r="U465" i="2" s="1"/>
  <c r="P473" i="2"/>
  <c r="U473" i="2" s="1"/>
  <c r="P363" i="2"/>
  <c r="Q363" i="2" s="1"/>
  <c r="P371" i="2"/>
  <c r="Q371" i="2" s="1"/>
  <c r="P793" i="2"/>
  <c r="W793" i="2" s="1" a="1"/>
  <c r="W793" i="2" s="1"/>
  <c r="P795" i="2"/>
  <c r="P798" i="2"/>
  <c r="P808" i="2"/>
  <c r="P821" i="2"/>
  <c r="P823" i="2"/>
  <c r="P830" i="2"/>
  <c r="W830" i="2" s="1" a="1"/>
  <c r="W830" i="2" s="1"/>
  <c r="P729" i="2"/>
  <c r="U729" i="2" s="1"/>
  <c r="P735" i="2"/>
  <c r="U735" i="2" s="1"/>
  <c r="P741" i="2"/>
  <c r="P747" i="2"/>
  <c r="V747" i="2" s="1"/>
  <c r="P752" i="2"/>
  <c r="W752" i="2" s="1" a="1"/>
  <c r="W752" i="2" s="1"/>
  <c r="P757" i="2"/>
  <c r="P766" i="2"/>
  <c r="R766" i="2" s="1"/>
  <c r="P770" i="2"/>
  <c r="R770" i="2" s="1"/>
  <c r="P665" i="2"/>
  <c r="U665" i="2" s="1"/>
  <c r="P672" i="2"/>
  <c r="V672" i="2" s="1"/>
  <c r="P679" i="2"/>
  <c r="P687" i="2"/>
  <c r="P694" i="2"/>
  <c r="R694" i="2" s="1"/>
  <c r="P702" i="2"/>
  <c r="R702" i="2" s="1"/>
  <c r="P710" i="2"/>
  <c r="R710" i="2" s="1"/>
  <c r="P716" i="2"/>
  <c r="V716" i="2" s="1"/>
  <c r="P605" i="2"/>
  <c r="R605" i="2" s="1"/>
  <c r="P613" i="2"/>
  <c r="R613" i="2" s="1"/>
  <c r="P621" i="2"/>
  <c r="P628" i="2"/>
  <c r="W628" i="2" s="1" a="1"/>
  <c r="W628" i="2" s="1"/>
  <c r="P636" i="2"/>
  <c r="W636" i="2" s="1" a="1"/>
  <c r="W636" i="2" s="1"/>
  <c r="P644" i="2"/>
  <c r="W644" i="2" s="1" a="1"/>
  <c r="W644" i="2" s="1"/>
  <c r="P652" i="2"/>
  <c r="W652" i="2" s="1" a="1"/>
  <c r="W652" i="2" s="1"/>
  <c r="P550" i="2"/>
  <c r="P558" i="2"/>
  <c r="V558" i="2" s="1"/>
  <c r="P566" i="2"/>
  <c r="Q566" i="2" s="1"/>
  <c r="P574" i="2"/>
  <c r="P789" i="2"/>
  <c r="P791" i="2"/>
  <c r="P804" i="2"/>
  <c r="P817" i="2"/>
  <c r="P819" i="2"/>
  <c r="V819" i="2" s="1"/>
  <c r="P826" i="2"/>
  <c r="P836" i="2"/>
  <c r="Q836" i="2" s="1"/>
  <c r="P723" i="2"/>
  <c r="P730" i="2"/>
  <c r="P748" i="2"/>
  <c r="P753" i="2"/>
  <c r="P762" i="2"/>
  <c r="R762" i="2" s="1"/>
  <c r="P767" i="2"/>
  <c r="V767" i="2" s="1"/>
  <c r="P771" i="2"/>
  <c r="V771" i="2" s="1"/>
  <c r="P777" i="2"/>
  <c r="X777" i="2" s="1"/>
  <c r="P666" i="2"/>
  <c r="P673" i="2"/>
  <c r="P680" i="2"/>
  <c r="V680" i="2" s="1"/>
  <c r="P695" i="2"/>
  <c r="P703" i="2"/>
  <c r="P711" i="2"/>
  <c r="V711" i="2" s="1"/>
  <c r="P717" i="2"/>
  <c r="S717" i="2" s="1"/>
  <c r="P606" i="2"/>
  <c r="R606" i="2" s="1"/>
  <c r="P614" i="2"/>
  <c r="P622" i="2"/>
  <c r="R622" i="2" s="1"/>
  <c r="P629" i="2"/>
  <c r="P637" i="2"/>
  <c r="P645" i="2"/>
  <c r="T645" i="2" s="1"/>
  <c r="P785" i="2"/>
  <c r="W785" i="2" s="1" a="1"/>
  <c r="W785" i="2" s="1"/>
  <c r="P758" i="2"/>
  <c r="R758" i="2" s="1"/>
  <c r="P688" i="2"/>
  <c r="V688" i="2" s="1"/>
  <c r="P630" i="2"/>
  <c r="P552" i="2"/>
  <c r="V552" i="2" s="1"/>
  <c r="P583" i="2"/>
  <c r="Q583" i="2" s="1"/>
  <c r="P488" i="2"/>
  <c r="V488" i="2" s="1"/>
  <c r="P506" i="2"/>
  <c r="P529" i="2"/>
  <c r="U529" i="2" s="1"/>
  <c r="P434" i="2"/>
  <c r="V434" i="2" s="1"/>
  <c r="P452" i="2"/>
  <c r="W452" i="2" s="1" a="1"/>
  <c r="W452" i="2" s="1"/>
  <c r="P475" i="2"/>
  <c r="P374" i="2"/>
  <c r="R374" i="2" s="1"/>
  <c r="P388" i="2"/>
  <c r="V388" i="2" s="1"/>
  <c r="P401" i="2"/>
  <c r="P413" i="2"/>
  <c r="U413" i="2" s="1"/>
  <c r="P309" i="2"/>
  <c r="U309" i="2" s="1"/>
  <c r="P320" i="2"/>
  <c r="Q320" i="2" s="1"/>
  <c r="P330" i="2"/>
  <c r="R330" i="2" s="1"/>
  <c r="P338" i="2"/>
  <c r="P346" i="2"/>
  <c r="R346" i="2" s="1"/>
  <c r="P354" i="2"/>
  <c r="R354" i="2" s="1"/>
  <c r="P244" i="2"/>
  <c r="W244" i="2" s="1" a="1"/>
  <c r="W244" i="2" s="1"/>
  <c r="P252" i="2"/>
  <c r="W252" i="2" s="1" a="1"/>
  <c r="W252" i="2" s="1"/>
  <c r="P260" i="2"/>
  <c r="W260" i="2" s="1" a="1"/>
  <c r="W260" i="2" s="1"/>
  <c r="P268" i="2"/>
  <c r="W268" i="2" s="1" a="1"/>
  <c r="W268" i="2" s="1"/>
  <c r="P276" i="2"/>
  <c r="W276" i="2" s="1" a="1"/>
  <c r="W276" i="2" s="1"/>
  <c r="P284" i="2"/>
  <c r="P292" i="2"/>
  <c r="W292" i="2" s="1" a="1"/>
  <c r="W292" i="2" s="1"/>
  <c r="P190" i="2"/>
  <c r="P198" i="2"/>
  <c r="U198" i="2" s="1"/>
  <c r="P206" i="2"/>
  <c r="U206" i="2" s="1"/>
  <c r="P214" i="2"/>
  <c r="Q214" i="2" s="1"/>
  <c r="P222" i="2"/>
  <c r="X222" i="2" s="1"/>
  <c r="P230" i="2"/>
  <c r="U230" i="2" s="1"/>
  <c r="P238" i="2"/>
  <c r="V238" i="2" s="1"/>
  <c r="P128" i="2"/>
  <c r="P136" i="2"/>
  <c r="W136" i="2" s="1" a="1"/>
  <c r="W136" i="2" s="1"/>
  <c r="P144" i="2"/>
  <c r="U144" i="2" s="1"/>
  <c r="P152" i="2"/>
  <c r="Q152" i="2" s="1"/>
  <c r="P160" i="2"/>
  <c r="Q160" i="2" s="1"/>
  <c r="P168" i="2"/>
  <c r="Q168" i="2" s="1"/>
  <c r="P176" i="2"/>
  <c r="Q176" i="2" s="1"/>
  <c r="P65" i="2"/>
  <c r="U65" i="2" s="1"/>
  <c r="P73" i="2"/>
  <c r="P81" i="2"/>
  <c r="P89" i="2"/>
  <c r="P97" i="2"/>
  <c r="P105" i="2"/>
  <c r="T105" i="2" s="1"/>
  <c r="P113" i="2"/>
  <c r="T113" i="2" s="1"/>
  <c r="P10" i="2"/>
  <c r="R10" i="2" s="1"/>
  <c r="P18" i="2"/>
  <c r="W18" i="2" s="1" a="1"/>
  <c r="W18" i="2" s="1"/>
  <c r="P26" i="2"/>
  <c r="P34" i="2"/>
  <c r="R34" i="2" s="1"/>
  <c r="P42" i="2"/>
  <c r="R42" i="2" s="1"/>
  <c r="P50" i="2"/>
  <c r="R50" i="2" s="1"/>
  <c r="P58" i="2"/>
  <c r="R58" i="2" s="1"/>
  <c r="P787" i="2"/>
  <c r="V787" i="2" s="1"/>
  <c r="P822" i="2"/>
  <c r="U822" i="2" s="1"/>
  <c r="P763" i="2"/>
  <c r="V763" i="2" s="1"/>
  <c r="P696" i="2"/>
  <c r="P638" i="2"/>
  <c r="R638" i="2" s="1"/>
  <c r="P559" i="2"/>
  <c r="Q559" i="2" s="1"/>
  <c r="P584" i="2"/>
  <c r="P489" i="2"/>
  <c r="U489" i="2" s="1"/>
  <c r="P512" i="2"/>
  <c r="W512" i="2" s="1" a="1"/>
  <c r="W512" i="2" s="1"/>
  <c r="P530" i="2"/>
  <c r="R530" i="2" s="1"/>
  <c r="P435" i="2"/>
  <c r="P458" i="2"/>
  <c r="Q458" i="2" s="1"/>
  <c r="P476" i="2"/>
  <c r="W476" i="2" s="1" a="1"/>
  <c r="W476" i="2" s="1"/>
  <c r="P377" i="2"/>
  <c r="U377" i="2" s="1"/>
  <c r="P389" i="2"/>
  <c r="P403" i="2"/>
  <c r="Q403" i="2" s="1"/>
  <c r="P414" i="2"/>
  <c r="P310" i="2"/>
  <c r="R310" i="2" s="1"/>
  <c r="P322" i="2"/>
  <c r="P331" i="2"/>
  <c r="Q331" i="2" s="1"/>
  <c r="P339" i="2"/>
  <c r="Q339" i="2" s="1"/>
  <c r="P347" i="2"/>
  <c r="Q347" i="2" s="1"/>
  <c r="P355" i="2"/>
  <c r="P245" i="2"/>
  <c r="T245" i="2" s="1"/>
  <c r="P253" i="2"/>
  <c r="T253" i="2" s="1"/>
  <c r="P261" i="2"/>
  <c r="U261" i="2" s="1"/>
  <c r="P269" i="2"/>
  <c r="P277" i="2"/>
  <c r="U277" i="2" s="1"/>
  <c r="P285" i="2"/>
  <c r="U285" i="2" s="1"/>
  <c r="P293" i="2"/>
  <c r="U293" i="2" s="1"/>
  <c r="P183" i="2"/>
  <c r="Q183" i="2" s="1"/>
  <c r="P191" i="2"/>
  <c r="Q191" i="2" s="1"/>
  <c r="P199" i="2"/>
  <c r="Q199" i="2" s="1"/>
  <c r="P207" i="2"/>
  <c r="Q207" i="2" s="1"/>
  <c r="P215" i="2"/>
  <c r="P223" i="2"/>
  <c r="Q223" i="2" s="1"/>
  <c r="P231" i="2"/>
  <c r="Q231" i="2" s="1"/>
  <c r="P239" i="2"/>
  <c r="W239" i="2" s="1" a="1"/>
  <c r="W239" i="2" s="1"/>
  <c r="P129" i="2"/>
  <c r="R129" i="2" s="1"/>
  <c r="P137" i="2"/>
  <c r="U137" i="2" s="1"/>
  <c r="P145" i="2"/>
  <c r="W145" i="2" s="1" a="1"/>
  <c r="W145" i="2" s="1"/>
  <c r="P153" i="2"/>
  <c r="Q153" i="2" s="1"/>
  <c r="P161" i="2"/>
  <c r="W161" i="2" s="1" a="1"/>
  <c r="W161" i="2" s="1"/>
  <c r="P169" i="2"/>
  <c r="W169" i="2" s="1" a="1"/>
  <c r="W169" i="2" s="1"/>
  <c r="P177" i="2"/>
  <c r="W177" i="2" s="1" a="1"/>
  <c r="W177" i="2" s="1"/>
  <c r="P66" i="2"/>
  <c r="P74" i="2"/>
  <c r="R74" i="2" s="1"/>
  <c r="P82" i="2"/>
  <c r="P90" i="2"/>
  <c r="R90" i="2" s="1"/>
  <c r="P98" i="2"/>
  <c r="P106" i="2"/>
  <c r="R106" i="2" s="1"/>
  <c r="P114" i="2"/>
  <c r="R114" i="2" s="1"/>
  <c r="P3" i="2"/>
  <c r="Q3" i="2" s="1"/>
  <c r="P11" i="2"/>
  <c r="Q11" i="2" s="1"/>
  <c r="P19" i="2"/>
  <c r="Q19" i="2" s="1"/>
  <c r="P27" i="2"/>
  <c r="Q27" i="2" s="1"/>
  <c r="P35" i="2"/>
  <c r="Q35" i="2" s="1"/>
  <c r="P43" i="2"/>
  <c r="Q43" i="2" s="1"/>
  <c r="P724" i="2"/>
  <c r="P768" i="2"/>
  <c r="P704" i="2"/>
  <c r="P646" i="2"/>
  <c r="R646" i="2" s="1"/>
  <c r="P560" i="2"/>
  <c r="P590" i="2"/>
  <c r="S590" i="2" s="1"/>
  <c r="P490" i="2"/>
  <c r="R490" i="2" s="1"/>
  <c r="P513" i="2"/>
  <c r="U513" i="2" s="1"/>
  <c r="P536" i="2"/>
  <c r="V536" i="2" s="1"/>
  <c r="P436" i="2"/>
  <c r="W436" i="2" s="1" a="1"/>
  <c r="W436" i="2" s="1"/>
  <c r="P459" i="2"/>
  <c r="Q459" i="2" s="1"/>
  <c r="P364" i="2"/>
  <c r="V364" i="2" s="1"/>
  <c r="P379" i="2"/>
  <c r="P390" i="2"/>
  <c r="R390" i="2" s="1"/>
  <c r="P404" i="2"/>
  <c r="V404" i="2" s="1"/>
  <c r="P417" i="2"/>
  <c r="Q417" i="2" s="1"/>
  <c r="P311" i="2"/>
  <c r="P323" i="2"/>
  <c r="P332" i="2"/>
  <c r="Q332" i="2" s="1"/>
  <c r="P340" i="2"/>
  <c r="Q340" i="2" s="1"/>
  <c r="P348" i="2"/>
  <c r="P356" i="2"/>
  <c r="W356" i="2" s="1" a="1"/>
  <c r="W356" i="2" s="1"/>
  <c r="P246" i="2"/>
  <c r="R246" i="2" s="1"/>
  <c r="P254" i="2"/>
  <c r="R254" i="2" s="1"/>
  <c r="P262" i="2"/>
  <c r="P270" i="2"/>
  <c r="R270" i="2" s="1"/>
  <c r="P278" i="2"/>
  <c r="P286" i="2"/>
  <c r="R286" i="2" s="1"/>
  <c r="P294" i="2"/>
  <c r="T294" i="2" s="1"/>
  <c r="P184" i="2"/>
  <c r="W184" i="2" s="1" a="1"/>
  <c r="W184" i="2" s="1"/>
  <c r="P192" i="2"/>
  <c r="W192" i="2" s="1" a="1"/>
  <c r="W192" i="2" s="1"/>
  <c r="P200" i="2"/>
  <c r="W200" i="2" s="1" a="1"/>
  <c r="W200" i="2" s="1"/>
  <c r="P208" i="2"/>
  <c r="P216" i="2"/>
  <c r="W216" i="2" s="1" a="1"/>
  <c r="W216" i="2" s="1"/>
  <c r="P224" i="2"/>
  <c r="W224" i="2" s="1" a="1"/>
  <c r="W224" i="2" s="1"/>
  <c r="P232" i="2"/>
  <c r="W232" i="2" s="1" a="1"/>
  <c r="W232" i="2" s="1"/>
  <c r="P130" i="2"/>
  <c r="R130" i="2" s="1"/>
  <c r="P138" i="2"/>
  <c r="P146" i="2"/>
  <c r="W146" i="2" s="1" a="1"/>
  <c r="W146" i="2" s="1"/>
  <c r="P154" i="2"/>
  <c r="R154" i="2" s="1"/>
  <c r="P162" i="2"/>
  <c r="R162" i="2" s="1"/>
  <c r="P170" i="2"/>
  <c r="R170" i="2" s="1"/>
  <c r="P178" i="2"/>
  <c r="R178" i="2" s="1"/>
  <c r="P67" i="2"/>
  <c r="Q67" i="2" s="1"/>
  <c r="P75" i="2"/>
  <c r="Q75" i="2" s="1"/>
  <c r="P83" i="2"/>
  <c r="Q83" i="2" s="1"/>
  <c r="P91" i="2"/>
  <c r="Q91" i="2" s="1"/>
  <c r="P99" i="2"/>
  <c r="Q99" i="2" s="1"/>
  <c r="P107" i="2"/>
  <c r="Q107" i="2" s="1"/>
  <c r="P115" i="2"/>
  <c r="Q115" i="2" s="1"/>
  <c r="P4" i="2"/>
  <c r="W4" i="2" s="1" a="1"/>
  <c r="W4" i="2" s="1"/>
  <c r="P12" i="2"/>
  <c r="W12" i="2" s="1" a="1"/>
  <c r="W12" i="2" s="1"/>
  <c r="P20" i="2"/>
  <c r="W20" i="2" s="1" a="1"/>
  <c r="W20" i="2" s="1"/>
  <c r="P28" i="2"/>
  <c r="W28" i="2" s="1" a="1"/>
  <c r="W28" i="2" s="1"/>
  <c r="P36" i="2"/>
  <c r="W36" i="2" s="1" a="1"/>
  <c r="W36" i="2" s="1"/>
  <c r="P44" i="2"/>
  <c r="W44" i="2" s="1" a="1"/>
  <c r="W44" i="2" s="1"/>
  <c r="P52" i="2"/>
  <c r="W52" i="2" s="1" a="1"/>
  <c r="W52" i="2" s="1"/>
  <c r="P731" i="2"/>
  <c r="Q731" i="2" s="1"/>
  <c r="P772" i="2"/>
  <c r="W772" i="2" s="1" a="1"/>
  <c r="W772" i="2" s="1"/>
  <c r="P712" i="2"/>
  <c r="V712" i="2" s="1"/>
  <c r="P653" i="2"/>
  <c r="T653" i="2" s="1"/>
  <c r="P567" i="2"/>
  <c r="Q567" i="2" s="1"/>
  <c r="P591" i="2"/>
  <c r="P496" i="2"/>
  <c r="W496" i="2" s="1" a="1"/>
  <c r="W496" i="2" s="1"/>
  <c r="P514" i="2"/>
  <c r="P537" i="2"/>
  <c r="U537" i="2" s="1"/>
  <c r="P442" i="2"/>
  <c r="P460" i="2"/>
  <c r="W460" i="2" s="1" a="1"/>
  <c r="W460" i="2" s="1"/>
  <c r="P365" i="2"/>
  <c r="U365" i="2" s="1"/>
  <c r="P380" i="2"/>
  <c r="V380" i="2" s="1"/>
  <c r="P393" i="2"/>
  <c r="P405" i="2"/>
  <c r="U405" i="2" s="1"/>
  <c r="P419" i="2"/>
  <c r="Q419" i="2" s="1"/>
  <c r="P312" i="2"/>
  <c r="Q312" i="2" s="1"/>
  <c r="P325" i="2"/>
  <c r="W325" i="2" s="1" a="1"/>
  <c r="W325" i="2" s="1"/>
  <c r="P333" i="2"/>
  <c r="W333" i="2" s="1" a="1"/>
  <c r="W333" i="2" s="1"/>
  <c r="P341" i="2"/>
  <c r="V341" i="2" s="1"/>
  <c r="P349" i="2"/>
  <c r="U349" i="2" s="1"/>
  <c r="P357" i="2"/>
  <c r="P247" i="2"/>
  <c r="Q247" i="2" s="1"/>
  <c r="P255" i="2"/>
  <c r="P263" i="2"/>
  <c r="Q263" i="2" s="1"/>
  <c r="P271" i="2"/>
  <c r="Q271" i="2" s="1"/>
  <c r="P279" i="2"/>
  <c r="Q279" i="2" s="1"/>
  <c r="P287" i="2"/>
  <c r="Q287" i="2" s="1"/>
  <c r="P295" i="2"/>
  <c r="Q295" i="2" s="1"/>
  <c r="P185" i="2"/>
  <c r="R185" i="2" s="1"/>
  <c r="P193" i="2"/>
  <c r="R193" i="2" s="1"/>
  <c r="P201" i="2"/>
  <c r="U201" i="2" s="1"/>
  <c r="P209" i="2"/>
  <c r="P217" i="2"/>
  <c r="R217" i="2" s="1"/>
  <c r="P225" i="2"/>
  <c r="R225" i="2" s="1"/>
  <c r="P233" i="2"/>
  <c r="P123" i="2"/>
  <c r="P131" i="2"/>
  <c r="T131" i="2" s="1"/>
  <c r="P139" i="2"/>
  <c r="V139" i="2" s="1"/>
  <c r="P147" i="2"/>
  <c r="P155" i="2"/>
  <c r="Q155" i="2" s="1"/>
  <c r="P163" i="2"/>
  <c r="R163" i="2" s="1"/>
  <c r="P171" i="2"/>
  <c r="R171" i="2" s="1"/>
  <c r="P179" i="2"/>
  <c r="R179" i="2" s="1"/>
  <c r="P68" i="2"/>
  <c r="W68" i="2" s="1" a="1"/>
  <c r="W68" i="2" s="1"/>
  <c r="P76" i="2"/>
  <c r="W76" i="2" s="1" a="1"/>
  <c r="W76" i="2" s="1"/>
  <c r="P84" i="2"/>
  <c r="W84" i="2" s="1" a="1"/>
  <c r="W84" i="2" s="1"/>
  <c r="P92" i="2"/>
  <c r="W92" i="2" s="1" a="1"/>
  <c r="W92" i="2" s="1"/>
  <c r="P100" i="2"/>
  <c r="W100" i="2" s="1" a="1"/>
  <c r="W100" i="2" s="1"/>
  <c r="P108" i="2"/>
  <c r="V108" i="2" s="1"/>
  <c r="P116" i="2"/>
  <c r="W116" i="2" s="1" a="1"/>
  <c r="W116" i="2" s="1"/>
  <c r="P5" i="2"/>
  <c r="U5" i="2" s="1"/>
  <c r="P13" i="2"/>
  <c r="U13" i="2" s="1"/>
  <c r="P21" i="2"/>
  <c r="W21" i="2" s="1" a="1"/>
  <c r="W21" i="2" s="1"/>
  <c r="P29" i="2"/>
  <c r="V29" i="2" s="1"/>
  <c r="P37" i="2"/>
  <c r="V37" i="2" s="1"/>
  <c r="P45" i="2"/>
  <c r="T45" i="2" s="1"/>
  <c r="P53" i="2"/>
  <c r="T53" i="2" s="1"/>
  <c r="P813" i="2"/>
  <c r="P742" i="2"/>
  <c r="P667" i="2"/>
  <c r="Q667" i="2" s="1"/>
  <c r="P607" i="2"/>
  <c r="Q607" i="2" s="1"/>
  <c r="P543" i="2"/>
  <c r="Q543" i="2" s="1"/>
  <c r="P575" i="2"/>
  <c r="R575" i="2" s="1"/>
  <c r="P598" i="2"/>
  <c r="S598" i="2" s="1"/>
  <c r="P498" i="2"/>
  <c r="P521" i="2"/>
  <c r="U521" i="2" s="1"/>
  <c r="P426" i="2"/>
  <c r="P444" i="2"/>
  <c r="W444" i="2" s="1" a="1"/>
  <c r="W444" i="2" s="1"/>
  <c r="P467" i="2"/>
  <c r="Q467" i="2" s="1"/>
  <c r="P369" i="2"/>
  <c r="U369" i="2" s="1"/>
  <c r="P382" i="2"/>
  <c r="P396" i="2"/>
  <c r="V396" i="2" s="1"/>
  <c r="P409" i="2"/>
  <c r="Q409" i="2" s="1"/>
  <c r="P303" i="2"/>
  <c r="Q303" i="2" s="1"/>
  <c r="P317" i="2"/>
  <c r="P327" i="2"/>
  <c r="P335" i="2"/>
  <c r="Q335" i="2" s="1"/>
  <c r="P343" i="2"/>
  <c r="Q343" i="2" s="1"/>
  <c r="P351" i="2"/>
  <c r="Q351" i="2" s="1"/>
  <c r="P359" i="2"/>
  <c r="Q359" i="2" s="1"/>
  <c r="P249" i="2"/>
  <c r="T249" i="2" s="1"/>
  <c r="P257" i="2"/>
  <c r="U257" i="2" s="1"/>
  <c r="P265" i="2"/>
  <c r="P273" i="2"/>
  <c r="U273" i="2" s="1"/>
  <c r="P281" i="2"/>
  <c r="U281" i="2" s="1"/>
  <c r="P289" i="2"/>
  <c r="U289" i="2" s="1"/>
  <c r="P297" i="2"/>
  <c r="U297" i="2" s="1"/>
  <c r="P187" i="2"/>
  <c r="Q187" i="2" s="1"/>
  <c r="P195" i="2"/>
  <c r="Q195" i="2" s="1"/>
  <c r="P203" i="2"/>
  <c r="Q203" i="2" s="1"/>
  <c r="P211" i="2"/>
  <c r="Q211" i="2" s="1"/>
  <c r="P219" i="2"/>
  <c r="Q219" i="2" s="1"/>
  <c r="P227" i="2"/>
  <c r="Q227" i="2" s="1"/>
  <c r="P235" i="2"/>
  <c r="T235" i="2" s="1"/>
  <c r="P125" i="2"/>
  <c r="P133" i="2"/>
  <c r="P141" i="2"/>
  <c r="P149" i="2"/>
  <c r="R149" i="2" s="1"/>
  <c r="P157" i="2"/>
  <c r="P165" i="2"/>
  <c r="W165" i="2" s="1" a="1"/>
  <c r="W165" i="2" s="1"/>
  <c r="P173" i="2"/>
  <c r="W173" i="2" s="1" a="1"/>
  <c r="W173" i="2" s="1"/>
  <c r="P70" i="2"/>
  <c r="R70" i="2" s="1"/>
  <c r="P78" i="2"/>
  <c r="V78" i="2" s="1"/>
  <c r="P86" i="2"/>
  <c r="P94" i="2"/>
  <c r="R94" i="2" s="1"/>
  <c r="P102" i="2"/>
  <c r="R102" i="2" s="1"/>
  <c r="P110" i="2"/>
  <c r="R110" i="2" s="1"/>
  <c r="P118" i="2"/>
  <c r="R118" i="2" s="1"/>
  <c r="P7" i="2"/>
  <c r="Q7" i="2" s="1"/>
  <c r="P15" i="2"/>
  <c r="Q15" i="2" s="1"/>
  <c r="P23" i="2"/>
  <c r="Q23" i="2" s="1"/>
  <c r="P31" i="2"/>
  <c r="Q31" i="2" s="1"/>
  <c r="P39" i="2"/>
  <c r="Q39" i="2" s="1"/>
  <c r="P47" i="2"/>
  <c r="Q47" i="2" s="1"/>
  <c r="P55" i="2"/>
  <c r="Q55" i="2" s="1"/>
  <c r="P815" i="2"/>
  <c r="P832" i="2"/>
  <c r="S832" i="2" s="1"/>
  <c r="P615" i="2"/>
  <c r="Q615" i="2" s="1"/>
  <c r="P544" i="2"/>
  <c r="P576" i="2"/>
  <c r="V576" i="2" s="1"/>
  <c r="P599" i="2"/>
  <c r="P504" i="2"/>
  <c r="W504" i="2" s="1" a="1"/>
  <c r="W504" i="2" s="1"/>
  <c r="P522" i="2"/>
  <c r="R522" i="2" s="1"/>
  <c r="P427" i="2"/>
  <c r="Q427" i="2" s="1"/>
  <c r="P450" i="2"/>
  <c r="R450" i="2" s="1"/>
  <c r="P468" i="2"/>
  <c r="W468" i="2" s="1" a="1"/>
  <c r="W468" i="2" s="1"/>
  <c r="P372" i="2"/>
  <c r="P385" i="2"/>
  <c r="U385" i="2" s="1"/>
  <c r="P397" i="2"/>
  <c r="P411" i="2"/>
  <c r="Q411" i="2" s="1"/>
  <c r="P304" i="2"/>
  <c r="Q304" i="2" s="1"/>
  <c r="P318" i="2"/>
  <c r="P328" i="2"/>
  <c r="Q328" i="2" s="1"/>
  <c r="P336" i="2"/>
  <c r="Q336" i="2" s="1"/>
  <c r="P344" i="2"/>
  <c r="W344" i="2" s="1" a="1"/>
  <c r="W344" i="2" s="1"/>
  <c r="P352" i="2"/>
  <c r="W352" i="2" s="1" a="1"/>
  <c r="W352" i="2" s="1"/>
  <c r="P250" i="2"/>
  <c r="P258" i="2"/>
  <c r="P266" i="2"/>
  <c r="P274" i="2"/>
  <c r="R274" i="2" s="1"/>
  <c r="P282" i="2"/>
  <c r="R282" i="2" s="1"/>
  <c r="P290" i="2"/>
  <c r="R290" i="2" s="1"/>
  <c r="P298" i="2"/>
  <c r="R298" i="2" s="1"/>
  <c r="P188" i="2"/>
  <c r="W188" i="2" s="1" a="1"/>
  <c r="W188" i="2" s="1"/>
  <c r="P196" i="2"/>
  <c r="W196" i="2" s="1" a="1"/>
  <c r="W196" i="2" s="1"/>
  <c r="P204" i="2"/>
  <c r="W204" i="2" s="1" a="1"/>
  <c r="W204" i="2" s="1"/>
  <c r="P212" i="2"/>
  <c r="W212" i="2" s="1" a="1"/>
  <c r="W212" i="2" s="1"/>
  <c r="P220" i="2"/>
  <c r="W220" i="2" s="1" a="1"/>
  <c r="W220" i="2" s="1"/>
  <c r="P228" i="2"/>
  <c r="W228" i="2" s="1" a="1"/>
  <c r="W228" i="2" s="1"/>
  <c r="P236" i="2"/>
  <c r="R236" i="2" s="1"/>
  <c r="P126" i="2"/>
  <c r="R126" i="2" s="1"/>
  <c r="P134" i="2"/>
  <c r="R134" i="2" s="1"/>
  <c r="P142" i="2"/>
  <c r="P150" i="2"/>
  <c r="R150" i="2" s="1"/>
  <c r="P158" i="2"/>
  <c r="P166" i="2"/>
  <c r="R166" i="2" s="1"/>
  <c r="P174" i="2"/>
  <c r="R174" i="2" s="1"/>
  <c r="P63" i="2"/>
  <c r="Q63" i="2" s="1"/>
  <c r="P71" i="2"/>
  <c r="Q71" i="2" s="1"/>
  <c r="P79" i="2"/>
  <c r="Q79" i="2" s="1"/>
  <c r="P87" i="2"/>
  <c r="Q87" i="2" s="1"/>
  <c r="P95" i="2"/>
  <c r="Q95" i="2" s="1"/>
  <c r="P103" i="2"/>
  <c r="Q103" i="2" s="1"/>
  <c r="P111" i="2"/>
  <c r="Q111" i="2" s="1"/>
  <c r="P119" i="2"/>
  <c r="Q119" i="2" s="1"/>
  <c r="P8" i="2"/>
  <c r="W8" i="2" s="1" a="1"/>
  <c r="W8" i="2" s="1"/>
  <c r="P16" i="2"/>
  <c r="W16" i="2" s="1" a="1"/>
  <c r="W16" i="2" s="1"/>
  <c r="P24" i="2"/>
  <c r="W24" i="2" s="1" a="1"/>
  <c r="W24" i="2" s="1"/>
  <c r="P32" i="2"/>
  <c r="W32" i="2" s="1" a="1"/>
  <c r="W32" i="2" s="1"/>
  <c r="P40" i="2"/>
  <c r="W40" i="2" s="1" a="1"/>
  <c r="W40" i="2" s="1"/>
  <c r="P48" i="2"/>
  <c r="W48" i="2" s="1" a="1"/>
  <c r="W48" i="2" s="1"/>
  <c r="P56" i="2"/>
  <c r="W56" i="2" s="1" a="1"/>
  <c r="W56" i="2" s="1"/>
  <c r="P794" i="2"/>
  <c r="W794" i="2" s="1" a="1"/>
  <c r="W794" i="2" s="1"/>
  <c r="P592" i="2"/>
  <c r="P443" i="2"/>
  <c r="P395" i="2"/>
  <c r="Q395" i="2" s="1"/>
  <c r="P326" i="2"/>
  <c r="P358" i="2"/>
  <c r="R358" i="2" s="1"/>
  <c r="P272" i="2"/>
  <c r="W272" i="2" s="1" a="1"/>
  <c r="W272" i="2" s="1"/>
  <c r="P186" i="2"/>
  <c r="U186" i="2" s="1"/>
  <c r="P218" i="2"/>
  <c r="U218" i="2" s="1"/>
  <c r="P132" i="2"/>
  <c r="U132" i="2" s="1"/>
  <c r="P164" i="2"/>
  <c r="Q164" i="2" s="1"/>
  <c r="P72" i="2"/>
  <c r="W72" i="2" s="1" a="1"/>
  <c r="W72" i="2" s="1"/>
  <c r="P104" i="2"/>
  <c r="W104" i="2" s="1" a="1"/>
  <c r="W104" i="2" s="1"/>
  <c r="P14" i="2"/>
  <c r="R14" i="2" s="1"/>
  <c r="P46" i="2"/>
  <c r="R46" i="2" s="1"/>
  <c r="P800" i="2"/>
  <c r="P681" i="2"/>
  <c r="P451" i="2"/>
  <c r="Q451" i="2" s="1"/>
  <c r="P398" i="2"/>
  <c r="P329" i="2"/>
  <c r="P243" i="2"/>
  <c r="Q243" i="2" s="1"/>
  <c r="P275" i="2"/>
  <c r="Q275" i="2" s="1"/>
  <c r="P189" i="2"/>
  <c r="R189" i="2" s="1"/>
  <c r="P221" i="2"/>
  <c r="R221" i="2" s="1"/>
  <c r="P135" i="2"/>
  <c r="Q135" i="2" s="1"/>
  <c r="P167" i="2"/>
  <c r="R167" i="2" s="1"/>
  <c r="P77" i="2"/>
  <c r="P109" i="2"/>
  <c r="T109" i="2" s="1"/>
  <c r="P17" i="2"/>
  <c r="U17" i="2" s="1"/>
  <c r="P49" i="2"/>
  <c r="T49" i="2" s="1"/>
  <c r="P497" i="2"/>
  <c r="U497" i="2" s="1"/>
  <c r="P466" i="2"/>
  <c r="X466" i="2" s="1"/>
  <c r="P406" i="2"/>
  <c r="P334" i="2"/>
  <c r="R334" i="2" s="1"/>
  <c r="P248" i="2"/>
  <c r="P280" i="2"/>
  <c r="W280" i="2" s="1" a="1"/>
  <c r="W280" i="2" s="1"/>
  <c r="P194" i="2"/>
  <c r="P226" i="2"/>
  <c r="Q226" i="2" s="1"/>
  <c r="P140" i="2"/>
  <c r="U140" i="2" s="1"/>
  <c r="P172" i="2"/>
  <c r="Q172" i="2" s="1"/>
  <c r="P80" i="2"/>
  <c r="W80" i="2" s="1" a="1"/>
  <c r="W80" i="2" s="1"/>
  <c r="P112" i="2"/>
  <c r="W112" i="2" s="1" a="1"/>
  <c r="W112" i="2" s="1"/>
  <c r="P22" i="2"/>
  <c r="V22" i="2" s="1"/>
  <c r="P51" i="2"/>
  <c r="Q51" i="2" s="1"/>
  <c r="P623" i="2"/>
  <c r="W623" i="2" s="1" a="1"/>
  <c r="W623" i="2" s="1"/>
  <c r="P505" i="2"/>
  <c r="U505" i="2" s="1"/>
  <c r="P474" i="2"/>
  <c r="Q474" i="2" s="1"/>
  <c r="P412" i="2"/>
  <c r="V412" i="2" s="1"/>
  <c r="P337" i="2"/>
  <c r="V337" i="2" s="1"/>
  <c r="P251" i="2"/>
  <c r="P283" i="2"/>
  <c r="Q283" i="2" s="1"/>
  <c r="P197" i="2"/>
  <c r="P229" i="2"/>
  <c r="S229" i="2" s="1"/>
  <c r="P143" i="2"/>
  <c r="W143" i="2" s="1" a="1"/>
  <c r="W143" i="2" s="1"/>
  <c r="P175" i="2"/>
  <c r="R175" i="2" s="1"/>
  <c r="P85" i="2"/>
  <c r="P117" i="2"/>
  <c r="T117" i="2" s="1"/>
  <c r="P25" i="2"/>
  <c r="P54" i="2"/>
  <c r="R54" i="2" s="1"/>
  <c r="P654" i="2"/>
  <c r="R654" i="2" s="1"/>
  <c r="P520" i="2"/>
  <c r="V520" i="2" s="1"/>
  <c r="P366" i="2"/>
  <c r="P342" i="2"/>
  <c r="R342" i="2" s="1"/>
  <c r="P256" i="2"/>
  <c r="W256" i="2" s="1" a="1"/>
  <c r="W256" i="2" s="1"/>
  <c r="P288" i="2"/>
  <c r="W288" i="2" s="1" a="1"/>
  <c r="W288" i="2" s="1"/>
  <c r="P202" i="2"/>
  <c r="Q202" i="2" s="1"/>
  <c r="P234" i="2"/>
  <c r="Q234" i="2" s="1"/>
  <c r="P148" i="2"/>
  <c r="Q148" i="2" s="1"/>
  <c r="P88" i="2"/>
  <c r="W88" i="2" s="1" a="1"/>
  <c r="W88" i="2" s="1"/>
  <c r="P30" i="2"/>
  <c r="R30" i="2" s="1"/>
  <c r="P57" i="2"/>
  <c r="T57" i="2" s="1"/>
  <c r="P551" i="2"/>
  <c r="P528" i="2"/>
  <c r="V528" i="2" s="1"/>
  <c r="P373" i="2"/>
  <c r="U373" i="2" s="1"/>
  <c r="P307" i="2"/>
  <c r="P345" i="2"/>
  <c r="U345" i="2" s="1"/>
  <c r="P259" i="2"/>
  <c r="Q259" i="2" s="1"/>
  <c r="P291" i="2"/>
  <c r="Q291" i="2" s="1"/>
  <c r="P205" i="2"/>
  <c r="P237" i="2"/>
  <c r="R237" i="2" s="1"/>
  <c r="P151" i="2"/>
  <c r="Q151" i="2" s="1"/>
  <c r="P93" i="2"/>
  <c r="P33" i="2"/>
  <c r="Q33" i="2" s="1"/>
  <c r="P59" i="2"/>
  <c r="Q59" i="2" s="1"/>
  <c r="P582" i="2"/>
  <c r="S582" i="2" s="1"/>
  <c r="P428" i="2"/>
  <c r="W428" i="2" s="1" a="1"/>
  <c r="W428" i="2" s="1"/>
  <c r="P387" i="2"/>
  <c r="Q387" i="2" s="1"/>
  <c r="P319" i="2"/>
  <c r="Q319" i="2" s="1"/>
  <c r="P353" i="2"/>
  <c r="U353" i="2" s="1"/>
  <c r="P267" i="2"/>
  <c r="Q267" i="2" s="1"/>
  <c r="P299" i="2"/>
  <c r="Q299" i="2" s="1"/>
  <c r="P213" i="2"/>
  <c r="R213" i="2" s="1"/>
  <c r="P127" i="2"/>
  <c r="W127" i="2" s="1" a="1"/>
  <c r="W127" i="2" s="1"/>
  <c r="P159" i="2"/>
  <c r="P69" i="2"/>
  <c r="T69" i="2" s="1"/>
  <c r="P101" i="2"/>
  <c r="T101" i="2" s="1"/>
  <c r="P9" i="2"/>
  <c r="U9" i="2" s="1"/>
  <c r="P41" i="2"/>
  <c r="T41" i="2" s="1"/>
  <c r="P736" i="2"/>
  <c r="P210" i="2"/>
  <c r="Q210" i="2" s="1"/>
  <c r="P38" i="2"/>
  <c r="P568" i="2"/>
  <c r="V568" i="2" s="1"/>
  <c r="P124" i="2"/>
  <c r="P538" i="2"/>
  <c r="R538" i="2" s="1"/>
  <c r="P156" i="2"/>
  <c r="Q156" i="2" s="1"/>
  <c r="P381" i="2"/>
  <c r="U381" i="2" s="1"/>
  <c r="P315" i="2"/>
  <c r="P64" i="2"/>
  <c r="W64" i="2" s="1" a="1"/>
  <c r="W64" i="2" s="1"/>
  <c r="P350" i="2"/>
  <c r="R350" i="2" s="1"/>
  <c r="P96" i="2"/>
  <c r="W96" i="2" s="1" a="1"/>
  <c r="W96" i="2" s="1"/>
  <c r="P264" i="2"/>
  <c r="W264" i="2" s="1" a="1"/>
  <c r="W264" i="2" s="1"/>
  <c r="P296" i="2"/>
  <c r="W296" i="2" s="1" a="1"/>
  <c r="W296" i="2" s="1"/>
  <c r="P6" i="2"/>
  <c r="R6" i="2" s="1"/>
  <c r="T761" i="2"/>
  <c r="V839" i="2"/>
  <c r="R837" i="2"/>
  <c r="R833" i="2"/>
  <c r="R829" i="2"/>
  <c r="R825" i="2"/>
  <c r="T824" i="2"/>
  <c r="V823" i="2"/>
  <c r="R821" i="2"/>
  <c r="R817" i="2"/>
  <c r="R813" i="2"/>
  <c r="V811" i="2"/>
  <c r="R809" i="2"/>
  <c r="V803" i="2"/>
  <c r="R801" i="2"/>
  <c r="V799" i="2"/>
  <c r="R797" i="2"/>
  <c r="V791" i="2"/>
  <c r="R789" i="2"/>
  <c r="V783" i="2"/>
  <c r="X717" i="2"/>
  <c r="V673" i="2"/>
  <c r="V757" i="2"/>
  <c r="U839" i="2"/>
  <c r="X837" i="2"/>
  <c r="Q837" i="2"/>
  <c r="X833" i="2"/>
  <c r="Q833" i="2"/>
  <c r="X829" i="2"/>
  <c r="Q829" i="2"/>
  <c r="W826" i="2" a="1"/>
  <c r="W826" i="2" s="1"/>
  <c r="X825" i="2"/>
  <c r="Q825" i="2"/>
  <c r="S824" i="2"/>
  <c r="U823" i="2"/>
  <c r="X821" i="2"/>
  <c r="Q821" i="2"/>
  <c r="S820" i="2"/>
  <c r="W818" i="2" a="1"/>
  <c r="W818" i="2" s="1"/>
  <c r="Q817" i="2"/>
  <c r="W814" i="2" a="1"/>
  <c r="W814" i="2" s="1"/>
  <c r="Q813" i="2"/>
  <c r="U811" i="2"/>
  <c r="W810" i="2" a="1"/>
  <c r="W810" i="2" s="1"/>
  <c r="Q809" i="2"/>
  <c r="W806" i="2" a="1"/>
  <c r="W806" i="2" s="1"/>
  <c r="U803" i="2"/>
  <c r="W802" i="2" a="1"/>
  <c r="W802" i="2" s="1"/>
  <c r="Q801" i="2"/>
  <c r="U799" i="2"/>
  <c r="W798" i="2" a="1"/>
  <c r="W798" i="2" s="1"/>
  <c r="Q797" i="2"/>
  <c r="U791" i="2"/>
  <c r="W790" i="2" a="1"/>
  <c r="W790" i="2" s="1"/>
  <c r="Q789" i="2"/>
  <c r="U787" i="2"/>
  <c r="Q785" i="2"/>
  <c r="U783" i="2"/>
  <c r="R673" i="2"/>
  <c r="V760" i="2"/>
  <c r="R757" i="2"/>
  <c r="V737" i="2"/>
  <c r="V728" i="2"/>
  <c r="S839" i="2"/>
  <c r="W837" i="2" a="1"/>
  <c r="W837" i="2" s="1"/>
  <c r="W833" i="2" a="1"/>
  <c r="W833" i="2" s="1"/>
  <c r="U830" i="2"/>
  <c r="W829" i="2" a="1"/>
  <c r="W829" i="2" s="1"/>
  <c r="U826" i="2"/>
  <c r="W825" i="2" a="1"/>
  <c r="W825" i="2" s="1"/>
  <c r="X824" i="2"/>
  <c r="Q824" i="2"/>
  <c r="S823" i="2"/>
  <c r="W821" i="2" a="1"/>
  <c r="W821" i="2" s="1"/>
  <c r="X820" i="2"/>
  <c r="U818" i="2"/>
  <c r="W817" i="2" a="1"/>
  <c r="W817" i="2" s="1"/>
  <c r="U814" i="2"/>
  <c r="W813" i="2" a="1"/>
  <c r="W813" i="2" s="1"/>
  <c r="Q812" i="2"/>
  <c r="U810" i="2"/>
  <c r="W809" i="2" a="1"/>
  <c r="W809" i="2" s="1"/>
  <c r="Q808" i="2"/>
  <c r="U806" i="2"/>
  <c r="Q804" i="2"/>
  <c r="U802" i="2"/>
  <c r="W801" i="2" a="1"/>
  <c r="W801" i="2" s="1"/>
  <c r="U798" i="2"/>
  <c r="W797" i="2" a="1"/>
  <c r="W797" i="2" s="1"/>
  <c r="Q796" i="2"/>
  <c r="U790" i="2"/>
  <c r="W789" i="2" a="1"/>
  <c r="W789" i="2" s="1"/>
  <c r="Q788" i="2"/>
  <c r="U786" i="2"/>
  <c r="Q784" i="2"/>
  <c r="V837" i="2"/>
  <c r="V833" i="2"/>
  <c r="V829" i="2"/>
  <c r="V825" i="2"/>
  <c r="V821" i="2"/>
  <c r="V817" i="2"/>
  <c r="V813" i="2"/>
  <c r="V809" i="2"/>
  <c r="V801" i="2"/>
  <c r="V797" i="2"/>
  <c r="R791" i="2"/>
  <c r="V789" i="2"/>
  <c r="R783" i="2"/>
  <c r="S716" i="2"/>
  <c r="W711" i="2" a="1"/>
  <c r="W711" i="2" s="1"/>
  <c r="Q689" i="2"/>
  <c r="R753" i="2"/>
  <c r="V740" i="2"/>
  <c r="V727" i="2"/>
  <c r="X839" i="2"/>
  <c r="U837" i="2"/>
  <c r="U833" i="2"/>
  <c r="U829" i="2"/>
  <c r="U825" i="2"/>
  <c r="W824" i="2" a="1"/>
  <c r="W824" i="2" s="1"/>
  <c r="X823" i="2"/>
  <c r="U821" i="2"/>
  <c r="U817" i="2"/>
  <c r="U813" i="2"/>
  <c r="U809" i="2"/>
  <c r="W808" i="2" a="1"/>
  <c r="W808" i="2" s="1"/>
  <c r="W804" i="2" a="1"/>
  <c r="W804" i="2" s="1"/>
  <c r="U801" i="2"/>
  <c r="U797" i="2"/>
  <c r="W796" i="2" a="1"/>
  <c r="W796" i="2" s="1"/>
  <c r="U789" i="2"/>
  <c r="U785" i="2"/>
  <c r="V671" i="2"/>
  <c r="V748" i="2"/>
  <c r="V743" i="2"/>
  <c r="R685" i="2"/>
  <c r="R773" i="2"/>
  <c r="R745" i="2"/>
  <c r="V732" i="2"/>
  <c r="R729" i="2"/>
  <c r="T648" i="2"/>
  <c r="V707" i="2"/>
  <c r="W675" i="2" a="1"/>
  <c r="W675" i="2" s="1"/>
  <c r="T778" i="2"/>
  <c r="V772" i="2"/>
  <c r="T765" i="2"/>
  <c r="V753" i="2"/>
  <c r="V731" i="2"/>
  <c r="R707" i="2"/>
  <c r="U675" i="2"/>
  <c r="T774" i="2"/>
  <c r="V768" i="2"/>
  <c r="R765" i="2"/>
  <c r="R737" i="2"/>
  <c r="V631" i="2"/>
  <c r="R609" i="2"/>
  <c r="S713" i="2"/>
  <c r="V773" i="2"/>
  <c r="V745" i="2"/>
  <c r="T773" i="2"/>
  <c r="T764" i="2"/>
  <c r="V752" i="2"/>
  <c r="V648" i="2"/>
  <c r="Q719" i="2"/>
  <c r="U719" i="2"/>
  <c r="U716" i="2"/>
  <c r="Q695" i="2"/>
  <c r="R695" i="2"/>
  <c r="S763" i="2"/>
  <c r="U758" i="2"/>
  <c r="V758" i="2"/>
  <c r="W758" i="2" a="1"/>
  <c r="W758" i="2" s="1"/>
  <c r="Q758" i="2"/>
  <c r="R734" i="2"/>
  <c r="U734" i="2"/>
  <c r="V734" i="2"/>
  <c r="W734" i="2" a="1"/>
  <c r="W734" i="2" s="1"/>
  <c r="Q734" i="2"/>
  <c r="V696" i="2"/>
  <c r="U696" i="2"/>
  <c r="T770" i="2"/>
  <c r="W770" i="2" a="1"/>
  <c r="W770" i="2" s="1"/>
  <c r="Q685" i="2"/>
  <c r="Q755" i="2"/>
  <c r="R755" i="2"/>
  <c r="U755" i="2"/>
  <c r="W755" i="2" a="1"/>
  <c r="W755" i="2" s="1"/>
  <c r="U750" i="2"/>
  <c r="V750" i="2"/>
  <c r="W750" i="2" a="1"/>
  <c r="W750" i="2" s="1"/>
  <c r="Q750" i="2"/>
  <c r="Q751" i="2"/>
  <c r="T705" i="2"/>
  <c r="R705" i="2"/>
  <c r="X705" i="2"/>
  <c r="V700" i="2"/>
  <c r="S700" i="2"/>
  <c r="U700" i="2"/>
  <c r="S778" i="2"/>
  <c r="U778" i="2"/>
  <c r="V778" i="2"/>
  <c r="W778" i="2" a="1"/>
  <c r="W778" i="2" s="1"/>
  <c r="Q778" i="2"/>
  <c r="X778" i="2"/>
  <c r="S774" i="2"/>
  <c r="U774" i="2"/>
  <c r="V774" i="2"/>
  <c r="W774" i="2" a="1"/>
  <c r="W774" i="2" s="1"/>
  <c r="Q774" i="2"/>
  <c r="X774" i="2"/>
  <c r="R767" i="2"/>
  <c r="S762" i="2"/>
  <c r="T762" i="2"/>
  <c r="U762" i="2"/>
  <c r="V762" i="2"/>
  <c r="W762" i="2" a="1"/>
  <c r="W762" i="2" s="1"/>
  <c r="Q762" i="2"/>
  <c r="X762" i="2"/>
  <c r="R730" i="2"/>
  <c r="U730" i="2"/>
  <c r="V730" i="2"/>
  <c r="W730" i="2" a="1"/>
  <c r="W730" i="2" s="1"/>
  <c r="Q730" i="2"/>
  <c r="U746" i="2"/>
  <c r="V746" i="2"/>
  <c r="W746" i="2" a="1"/>
  <c r="W746" i="2" s="1"/>
  <c r="Q746" i="2"/>
  <c r="V704" i="2"/>
  <c r="S704" i="2"/>
  <c r="V692" i="2"/>
  <c r="U692" i="2"/>
  <c r="Q747" i="2"/>
  <c r="R747" i="2"/>
  <c r="U747" i="2"/>
  <c r="W747" i="2" a="1"/>
  <c r="W747" i="2" s="1"/>
  <c r="Q779" i="2"/>
  <c r="X779" i="2"/>
  <c r="S779" i="2"/>
  <c r="T779" i="2"/>
  <c r="U779" i="2"/>
  <c r="W779" i="2" a="1"/>
  <c r="W779" i="2" s="1"/>
  <c r="Q711" i="2"/>
  <c r="T711" i="2"/>
  <c r="Q703" i="2"/>
  <c r="V703" i="2"/>
  <c r="V779" i="2"/>
  <c r="U754" i="2"/>
  <c r="Q754" i="2"/>
  <c r="U738" i="2"/>
  <c r="V738" i="2"/>
  <c r="T775" i="2"/>
  <c r="R644" i="2"/>
  <c r="R617" i="2"/>
  <c r="Q715" i="2"/>
  <c r="W715" i="2" a="1"/>
  <c r="W715" i="2" s="1"/>
  <c r="R715" i="2"/>
  <c r="V697" i="2"/>
  <c r="R779" i="2"/>
  <c r="Q771" i="2"/>
  <c r="X771" i="2"/>
  <c r="R771" i="2"/>
  <c r="S771" i="2"/>
  <c r="T771" i="2"/>
  <c r="U771" i="2"/>
  <c r="W771" i="2" a="1"/>
  <c r="W771" i="2" s="1"/>
  <c r="S766" i="2"/>
  <c r="T766" i="2"/>
  <c r="U766" i="2"/>
  <c r="V766" i="2"/>
  <c r="W766" i="2" a="1"/>
  <c r="W766" i="2" s="1"/>
  <c r="Q766" i="2"/>
  <c r="X766" i="2"/>
  <c r="R746" i="2"/>
  <c r="V675" i="2"/>
  <c r="S773" i="2"/>
  <c r="U772" i="2"/>
  <c r="S769" i="2"/>
  <c r="U768" i="2"/>
  <c r="S765" i="2"/>
  <c r="U764" i="2"/>
  <c r="U760" i="2"/>
  <c r="U752" i="2"/>
  <c r="U748" i="2"/>
  <c r="W743" i="2" a="1"/>
  <c r="W743" i="2" s="1"/>
  <c r="U740" i="2"/>
  <c r="W739" i="2" a="1"/>
  <c r="W739" i="2" s="1"/>
  <c r="U732" i="2"/>
  <c r="W731" i="2" a="1"/>
  <c r="W731" i="2" s="1"/>
  <c r="U728" i="2"/>
  <c r="W727" i="2" a="1"/>
  <c r="W727" i="2" s="1"/>
  <c r="U664" i="2"/>
  <c r="X773" i="2"/>
  <c r="Q773" i="2"/>
  <c r="S772" i="2"/>
  <c r="X769" i="2"/>
  <c r="Q769" i="2"/>
  <c r="S768" i="2"/>
  <c r="X765" i="2"/>
  <c r="Q765" i="2"/>
  <c r="S764" i="2"/>
  <c r="S760" i="2"/>
  <c r="Q757" i="2"/>
  <c r="Q753" i="2"/>
  <c r="Q749" i="2"/>
  <c r="Q745" i="2"/>
  <c r="U743" i="2"/>
  <c r="U739" i="2"/>
  <c r="Q737" i="2"/>
  <c r="U731" i="2"/>
  <c r="U727" i="2"/>
  <c r="R772" i="2"/>
  <c r="R768" i="2"/>
  <c r="R764" i="2"/>
  <c r="R760" i="2"/>
  <c r="R752" i="2"/>
  <c r="R748" i="2"/>
  <c r="R740" i="2"/>
  <c r="R732" i="2"/>
  <c r="R728" i="2"/>
  <c r="W707" i="2" a="1"/>
  <c r="W707" i="2" s="1"/>
  <c r="W773" i="2" a="1"/>
  <c r="W773" i="2" s="1"/>
  <c r="Q772" i="2"/>
  <c r="W769" i="2" a="1"/>
  <c r="W769" i="2" s="1"/>
  <c r="X768" i="2"/>
  <c r="Q768" i="2"/>
  <c r="W765" i="2" a="1"/>
  <c r="W765" i="2" s="1"/>
  <c r="X764" i="2"/>
  <c r="Q764" i="2"/>
  <c r="X760" i="2"/>
  <c r="Q760" i="2"/>
  <c r="W757" i="2" a="1"/>
  <c r="W757" i="2" s="1"/>
  <c r="W753" i="2" a="1"/>
  <c r="W753" i="2" s="1"/>
  <c r="Q752" i="2"/>
  <c r="W749" i="2" a="1"/>
  <c r="W749" i="2" s="1"/>
  <c r="Q748" i="2"/>
  <c r="W745" i="2" a="1"/>
  <c r="W745" i="2" s="1"/>
  <c r="Q740" i="2"/>
  <c r="W737" i="2" a="1"/>
  <c r="W737" i="2" s="1"/>
  <c r="Q732" i="2"/>
  <c r="Q728" i="2"/>
  <c r="R743" i="2"/>
  <c r="R739" i="2"/>
  <c r="R731" i="2"/>
  <c r="R727" i="2"/>
  <c r="U707" i="2"/>
  <c r="V639" i="2"/>
  <c r="T719" i="2"/>
  <c r="R713" i="2"/>
  <c r="R681" i="2"/>
  <c r="T644" i="2"/>
  <c r="R628" i="2"/>
  <c r="R719" i="2"/>
  <c r="Q713" i="2"/>
  <c r="U711" i="2"/>
  <c r="S705" i="2"/>
  <c r="W703" i="2" a="1"/>
  <c r="W703" i="2" s="1"/>
  <c r="R687" i="2"/>
  <c r="W671" i="2" a="1"/>
  <c r="W671" i="2" s="1"/>
  <c r="W699" i="2" a="1"/>
  <c r="W699" i="2" s="1"/>
  <c r="W667" i="2" a="1"/>
  <c r="W667" i="2" s="1"/>
  <c r="T716" i="2"/>
  <c r="U712" i="2"/>
  <c r="R711" i="2"/>
  <c r="T707" i="2"/>
  <c r="Q705" i="2"/>
  <c r="U703" i="2"/>
  <c r="V699" i="2"/>
  <c r="W695" i="2" a="1"/>
  <c r="W695" i="2" s="1"/>
  <c r="V693" i="2"/>
  <c r="U680" i="2"/>
  <c r="Q673" i="2"/>
  <c r="U671" i="2"/>
  <c r="R669" i="2"/>
  <c r="V667" i="2"/>
  <c r="T712" i="2"/>
  <c r="U708" i="2"/>
  <c r="T703" i="2"/>
  <c r="U699" i="2"/>
  <c r="R697" i="2"/>
  <c r="V695" i="2"/>
  <c r="V689" i="2"/>
  <c r="R675" i="2"/>
  <c r="Q669" i="2"/>
  <c r="U667" i="2"/>
  <c r="V511" i="2"/>
  <c r="R653" i="2"/>
  <c r="W719" i="2" a="1"/>
  <c r="W719" i="2" s="1"/>
  <c r="X713" i="2"/>
  <c r="S712" i="2"/>
  <c r="T708" i="2"/>
  <c r="U704" i="2"/>
  <c r="R703" i="2"/>
  <c r="Q697" i="2"/>
  <c r="U695" i="2"/>
  <c r="R693" i="2"/>
  <c r="W687" i="2" a="1"/>
  <c r="W687" i="2" s="1"/>
  <c r="R671" i="2"/>
  <c r="V719" i="2"/>
  <c r="V713" i="2"/>
  <c r="S708" i="2"/>
  <c r="T704" i="2"/>
  <c r="R699" i="2"/>
  <c r="Q693" i="2"/>
  <c r="R689" i="2"/>
  <c r="V687" i="2"/>
  <c r="R667" i="2"/>
  <c r="V611" i="2"/>
  <c r="X718" i="2"/>
  <c r="Q718" i="2"/>
  <c r="X714" i="2"/>
  <c r="Q714" i="2"/>
  <c r="X710" i="2"/>
  <c r="Q710" i="2"/>
  <c r="X706" i="2"/>
  <c r="Q706" i="2"/>
  <c r="X702" i="2"/>
  <c r="Q702" i="2"/>
  <c r="Q694" i="2"/>
  <c r="Q686" i="2"/>
  <c r="Q682" i="2"/>
  <c r="Q678" i="2"/>
  <c r="W718" i="2" a="1"/>
  <c r="W718" i="2" s="1"/>
  <c r="W714" i="2" a="1"/>
  <c r="W714" i="2" s="1"/>
  <c r="W710" i="2" a="1"/>
  <c r="W710" i="2" s="1"/>
  <c r="W706" i="2" a="1"/>
  <c r="W706" i="2" s="1"/>
  <c r="W702" i="2" a="1"/>
  <c r="W702" i="2" s="1"/>
  <c r="W694" i="2" a="1"/>
  <c r="W694" i="2" s="1"/>
  <c r="W686" i="2" a="1"/>
  <c r="W686" i="2" s="1"/>
  <c r="W682" i="2" a="1"/>
  <c r="W682" i="2" s="1"/>
  <c r="W678" i="2" a="1"/>
  <c r="W678" i="2" s="1"/>
  <c r="V647" i="2"/>
  <c r="V718" i="2"/>
  <c r="R716" i="2"/>
  <c r="V714" i="2"/>
  <c r="R712" i="2"/>
  <c r="V710" i="2"/>
  <c r="R708" i="2"/>
  <c r="V706" i="2"/>
  <c r="R704" i="2"/>
  <c r="V702" i="2"/>
  <c r="R700" i="2"/>
  <c r="R696" i="2"/>
  <c r="V694" i="2"/>
  <c r="R692" i="2"/>
  <c r="V686" i="2"/>
  <c r="V682" i="2"/>
  <c r="R680" i="2"/>
  <c r="V678" i="2"/>
  <c r="R664" i="2"/>
  <c r="T583" i="2"/>
  <c r="V656" i="2"/>
  <c r="T647" i="2"/>
  <c r="R637" i="2"/>
  <c r="V612" i="2"/>
  <c r="S719" i="2"/>
  <c r="U718" i="2"/>
  <c r="X716" i="2"/>
  <c r="Q716" i="2"/>
  <c r="S715" i="2"/>
  <c r="U714" i="2"/>
  <c r="W713" i="2" a="1"/>
  <c r="W713" i="2" s="1"/>
  <c r="X712" i="2"/>
  <c r="Q712" i="2"/>
  <c r="S711" i="2"/>
  <c r="U710" i="2"/>
  <c r="X708" i="2"/>
  <c r="Q708" i="2"/>
  <c r="S707" i="2"/>
  <c r="U706" i="2"/>
  <c r="W705" i="2" a="1"/>
  <c r="W705" i="2" s="1"/>
  <c r="X704" i="2"/>
  <c r="Q704" i="2"/>
  <c r="S703" i="2"/>
  <c r="U702" i="2"/>
  <c r="W701" i="2" a="1"/>
  <c r="W701" i="2" s="1"/>
  <c r="X700" i="2"/>
  <c r="Q700" i="2"/>
  <c r="W697" i="2" a="1"/>
  <c r="W697" i="2" s="1"/>
  <c r="Q696" i="2"/>
  <c r="U694" i="2"/>
  <c r="W693" i="2" a="1"/>
  <c r="W693" i="2" s="1"/>
  <c r="Q692" i="2"/>
  <c r="W689" i="2" a="1"/>
  <c r="W689" i="2" s="1"/>
  <c r="U686" i="2"/>
  <c r="W685" i="2" a="1"/>
  <c r="W685" i="2" s="1"/>
  <c r="U682" i="2"/>
  <c r="Q680" i="2"/>
  <c r="U678" i="2"/>
  <c r="W673" i="2" a="1"/>
  <c r="W673" i="2" s="1"/>
  <c r="W669" i="2" a="1"/>
  <c r="W669" i="2" s="1"/>
  <c r="Q664" i="2"/>
  <c r="T718" i="2"/>
  <c r="T714" i="2"/>
  <c r="T710" i="2"/>
  <c r="T706" i="2"/>
  <c r="T702" i="2"/>
  <c r="V655" i="2"/>
  <c r="R612" i="2"/>
  <c r="X719" i="2"/>
  <c r="S718" i="2"/>
  <c r="W716" i="2" a="1"/>
  <c r="W716" i="2" s="1"/>
  <c r="X715" i="2"/>
  <c r="S714" i="2"/>
  <c r="U713" i="2"/>
  <c r="W712" i="2" a="1"/>
  <c r="W712" i="2" s="1"/>
  <c r="X711" i="2"/>
  <c r="S710" i="2"/>
  <c r="W708" i="2" a="1"/>
  <c r="W708" i="2" s="1"/>
  <c r="X707" i="2"/>
  <c r="S706" i="2"/>
  <c r="U705" i="2"/>
  <c r="W704" i="2" a="1"/>
  <c r="W704" i="2" s="1"/>
  <c r="X703" i="2"/>
  <c r="S702" i="2"/>
  <c r="U701" i="2"/>
  <c r="W700" i="2" a="1"/>
  <c r="W700" i="2" s="1"/>
  <c r="U697" i="2"/>
  <c r="W696" i="2" a="1"/>
  <c r="W696" i="2" s="1"/>
  <c r="U693" i="2"/>
  <c r="W692" i="2" a="1"/>
  <c r="W692" i="2" s="1"/>
  <c r="U689" i="2"/>
  <c r="U685" i="2"/>
  <c r="W680" i="2" a="1"/>
  <c r="W680" i="2" s="1"/>
  <c r="W676" i="2" a="1"/>
  <c r="W676" i="2" s="1"/>
  <c r="U673" i="2"/>
  <c r="U669" i="2"/>
  <c r="W664" i="2" a="1"/>
  <c r="W664" i="2" s="1"/>
  <c r="T655" i="2"/>
  <c r="R657" i="2"/>
  <c r="V651" i="2"/>
  <c r="R648" i="2"/>
  <c r="V644" i="2"/>
  <c r="V635" i="2"/>
  <c r="V628" i="2"/>
  <c r="R460" i="2"/>
  <c r="S597" i="2"/>
  <c r="Q550" i="2"/>
  <c r="T651" i="2"/>
  <c r="T656" i="2"/>
  <c r="U588" i="2"/>
  <c r="V554" i="2"/>
  <c r="R656" i="2"/>
  <c r="V652" i="2"/>
  <c r="R649" i="2"/>
  <c r="V643" i="2"/>
  <c r="V636" i="2"/>
  <c r="V627" i="2"/>
  <c r="V620" i="2"/>
  <c r="V594" i="2"/>
  <c r="T547" i="2"/>
  <c r="T652" i="2"/>
  <c r="T643" i="2"/>
  <c r="V607" i="2"/>
  <c r="V603" i="2"/>
  <c r="R652" i="2"/>
  <c r="R645" i="2"/>
  <c r="R636" i="2"/>
  <c r="R629" i="2"/>
  <c r="R620" i="2"/>
  <c r="X658" i="2"/>
  <c r="Q658" i="2"/>
  <c r="S657" i="2"/>
  <c r="U656" i="2"/>
  <c r="W655" i="2" a="1"/>
  <c r="W655" i="2" s="1"/>
  <c r="X654" i="2"/>
  <c r="Q654" i="2"/>
  <c r="S653" i="2"/>
  <c r="U652" i="2"/>
  <c r="W651" i="2" a="1"/>
  <c r="W651" i="2" s="1"/>
  <c r="X650" i="2"/>
  <c r="Q650" i="2"/>
  <c r="S649" i="2"/>
  <c r="U648" i="2"/>
  <c r="W647" i="2" a="1"/>
  <c r="W647" i="2" s="1"/>
  <c r="X646" i="2"/>
  <c r="Q646" i="2"/>
  <c r="S645" i="2"/>
  <c r="U644" i="2"/>
  <c r="W643" i="2" a="1"/>
  <c r="W643" i="2" s="1"/>
  <c r="X642" i="2"/>
  <c r="Q642" i="2"/>
  <c r="W639" i="2" a="1"/>
  <c r="W639" i="2" s="1"/>
  <c r="Q638" i="2"/>
  <c r="U636" i="2"/>
  <c r="W635" i="2" a="1"/>
  <c r="W635" i="2" s="1"/>
  <c r="Q634" i="2"/>
  <c r="W631" i="2" a="1"/>
  <c r="W631" i="2" s="1"/>
  <c r="U628" i="2"/>
  <c r="W627" i="2" a="1"/>
  <c r="W627" i="2" s="1"/>
  <c r="Q622" i="2"/>
  <c r="U620" i="2"/>
  <c r="Q618" i="2"/>
  <c r="U612" i="2"/>
  <c r="Q610" i="2"/>
  <c r="W603" i="2" a="1"/>
  <c r="W603" i="2" s="1"/>
  <c r="W658" i="2" a="1"/>
  <c r="W658" i="2" s="1"/>
  <c r="X657" i="2"/>
  <c r="Q657" i="2"/>
  <c r="S656" i="2"/>
  <c r="U655" i="2"/>
  <c r="W654" i="2" a="1"/>
  <c r="W654" i="2" s="1"/>
  <c r="X653" i="2"/>
  <c r="Q653" i="2"/>
  <c r="S652" i="2"/>
  <c r="U651" i="2"/>
  <c r="W650" i="2" a="1"/>
  <c r="W650" i="2" s="1"/>
  <c r="X649" i="2"/>
  <c r="Q649" i="2"/>
  <c r="S648" i="2"/>
  <c r="U647" i="2"/>
  <c r="W646" i="2" a="1"/>
  <c r="W646" i="2" s="1"/>
  <c r="X645" i="2"/>
  <c r="Q645" i="2"/>
  <c r="S644" i="2"/>
  <c r="U643" i="2"/>
  <c r="W642" i="2" a="1"/>
  <c r="W642" i="2" s="1"/>
  <c r="U639" i="2"/>
  <c r="W638" i="2" a="1"/>
  <c r="W638" i="2" s="1"/>
  <c r="Q637" i="2"/>
  <c r="U635" i="2"/>
  <c r="W634" i="2" a="1"/>
  <c r="W634" i="2" s="1"/>
  <c r="U631" i="2"/>
  <c r="Q629" i="2"/>
  <c r="U627" i="2"/>
  <c r="W622" i="2" a="1"/>
  <c r="W622" i="2" s="1"/>
  <c r="W618" i="2" a="1"/>
  <c r="W618" i="2" s="1"/>
  <c r="Q617" i="2"/>
  <c r="W610" i="2" a="1"/>
  <c r="W610" i="2" s="1"/>
  <c r="Q609" i="2"/>
  <c r="U603" i="2"/>
  <c r="V658" i="2"/>
  <c r="V654" i="2"/>
  <c r="V650" i="2"/>
  <c r="V646" i="2"/>
  <c r="V642" i="2"/>
  <c r="V638" i="2"/>
  <c r="V634" i="2"/>
  <c r="V622" i="2"/>
  <c r="V618" i="2"/>
  <c r="V610" i="2"/>
  <c r="R477" i="2"/>
  <c r="Q449" i="2"/>
  <c r="T521" i="2"/>
  <c r="T554" i="2"/>
  <c r="U658" i="2"/>
  <c r="W657" i="2" a="1"/>
  <c r="W657" i="2" s="1"/>
  <c r="X656" i="2"/>
  <c r="Q656" i="2"/>
  <c r="S655" i="2"/>
  <c r="U654" i="2"/>
  <c r="W653" i="2" a="1"/>
  <c r="W653" i="2" s="1"/>
  <c r="X652" i="2"/>
  <c r="Q652" i="2"/>
  <c r="S651" i="2"/>
  <c r="U650" i="2"/>
  <c r="W649" i="2" a="1"/>
  <c r="W649" i="2" s="1"/>
  <c r="X648" i="2"/>
  <c r="Q648" i="2"/>
  <c r="S647" i="2"/>
  <c r="U646" i="2"/>
  <c r="W645" i="2" a="1"/>
  <c r="W645" i="2" s="1"/>
  <c r="X644" i="2"/>
  <c r="Q644" i="2"/>
  <c r="S643" i="2"/>
  <c r="U642" i="2"/>
  <c r="U638" i="2"/>
  <c r="W637" i="2" a="1"/>
  <c r="W637" i="2" s="1"/>
  <c r="Q636" i="2"/>
  <c r="U634" i="2"/>
  <c r="W629" i="2" a="1"/>
  <c r="W629" i="2" s="1"/>
  <c r="Q628" i="2"/>
  <c r="U622" i="2"/>
  <c r="Q620" i="2"/>
  <c r="U618" i="2"/>
  <c r="W617" i="2" a="1"/>
  <c r="W617" i="2" s="1"/>
  <c r="Q612" i="2"/>
  <c r="U610" i="2"/>
  <c r="W609" i="2" a="1"/>
  <c r="W609" i="2" s="1"/>
  <c r="T658" i="2"/>
  <c r="V657" i="2"/>
  <c r="R655" i="2"/>
  <c r="T654" i="2"/>
  <c r="V653" i="2"/>
  <c r="R651" i="2"/>
  <c r="T650" i="2"/>
  <c r="V649" i="2"/>
  <c r="R647" i="2"/>
  <c r="T646" i="2"/>
  <c r="V645" i="2"/>
  <c r="R643" i="2"/>
  <c r="T642" i="2"/>
  <c r="R639" i="2"/>
  <c r="V637" i="2"/>
  <c r="R635" i="2"/>
  <c r="R631" i="2"/>
  <c r="V629" i="2"/>
  <c r="R627" i="2"/>
  <c r="V617" i="2"/>
  <c r="V609" i="2"/>
  <c r="V605" i="2"/>
  <c r="R603" i="2"/>
  <c r="S581" i="2"/>
  <c r="S658" i="2"/>
  <c r="U657" i="2"/>
  <c r="X655" i="2"/>
  <c r="S654" i="2"/>
  <c r="U653" i="2"/>
  <c r="X651" i="2"/>
  <c r="S650" i="2"/>
  <c r="U649" i="2"/>
  <c r="X647" i="2"/>
  <c r="S646" i="2"/>
  <c r="U645" i="2"/>
  <c r="X643" i="2"/>
  <c r="S642" i="2"/>
  <c r="U637" i="2"/>
  <c r="U629" i="2"/>
  <c r="U617" i="2"/>
  <c r="U609" i="2"/>
  <c r="V305" i="2"/>
  <c r="V539" i="2"/>
  <c r="R596" i="2"/>
  <c r="U568" i="2"/>
  <c r="W547" i="2" a="1"/>
  <c r="W547" i="2" s="1"/>
  <c r="X594" i="2"/>
  <c r="R588" i="2"/>
  <c r="W583" i="2" a="1"/>
  <c r="W583" i="2" s="1"/>
  <c r="U556" i="2"/>
  <c r="R554" i="2"/>
  <c r="X590" i="2"/>
  <c r="V562" i="2"/>
  <c r="S545" i="2"/>
  <c r="T594" i="2"/>
  <c r="V590" i="2"/>
  <c r="Q594" i="2"/>
  <c r="T590" i="2"/>
  <c r="W555" i="2" a="1"/>
  <c r="W555" i="2" s="1"/>
  <c r="U548" i="2"/>
  <c r="U596" i="2"/>
  <c r="R590" i="2"/>
  <c r="S585" i="2"/>
  <c r="Q562" i="2"/>
  <c r="T555" i="2"/>
  <c r="X598" i="2"/>
  <c r="Q554" i="2"/>
  <c r="V598" i="2"/>
  <c r="V546" i="2"/>
  <c r="T598" i="2"/>
  <c r="R594" i="2"/>
  <c r="Q590" i="2"/>
  <c r="R583" i="2"/>
  <c r="W559" i="2" a="1"/>
  <c r="W559" i="2" s="1"/>
  <c r="T546" i="2"/>
  <c r="R598" i="2"/>
  <c r="W595" i="2" a="1"/>
  <c r="W595" i="2" s="1"/>
  <c r="U576" i="2"/>
  <c r="W563" i="2" a="1"/>
  <c r="W563" i="2" s="1"/>
  <c r="V550" i="2"/>
  <c r="R548" i="2"/>
  <c r="R546" i="2"/>
  <c r="Q598" i="2"/>
  <c r="T595" i="2"/>
  <c r="S589" i="2"/>
  <c r="U580" i="2"/>
  <c r="R576" i="2"/>
  <c r="W567" i="2" a="1"/>
  <c r="W567" i="2" s="1"/>
  <c r="U552" i="2"/>
  <c r="Q546" i="2"/>
  <c r="R595" i="2"/>
  <c r="S593" i="2"/>
  <c r="R580" i="2"/>
  <c r="R552" i="2"/>
  <c r="R597" i="2"/>
  <c r="T596" i="2"/>
  <c r="V595" i="2"/>
  <c r="R593" i="2"/>
  <c r="R589" i="2"/>
  <c r="T588" i="2"/>
  <c r="R585" i="2"/>
  <c r="V583" i="2"/>
  <c r="R581" i="2"/>
  <c r="T580" i="2"/>
  <c r="R577" i="2"/>
  <c r="R573" i="2"/>
  <c r="V567" i="2"/>
  <c r="V563" i="2"/>
  <c r="V559" i="2"/>
  <c r="V555" i="2"/>
  <c r="T552" i="2"/>
  <c r="T548" i="2"/>
  <c r="V547" i="2"/>
  <c r="R545" i="2"/>
  <c r="R313" i="2"/>
  <c r="S476" i="2"/>
  <c r="V521" i="2"/>
  <c r="V517" i="2"/>
  <c r="V492" i="2"/>
  <c r="W598" i="2" a="1"/>
  <c r="W598" i="2" s="1"/>
  <c r="X597" i="2"/>
  <c r="Q597" i="2"/>
  <c r="S596" i="2"/>
  <c r="U595" i="2"/>
  <c r="W594" i="2" a="1"/>
  <c r="W594" i="2" s="1"/>
  <c r="X593" i="2"/>
  <c r="Q593" i="2"/>
  <c r="W590" i="2" a="1"/>
  <c r="W590" i="2" s="1"/>
  <c r="X589" i="2"/>
  <c r="Q589" i="2"/>
  <c r="S588" i="2"/>
  <c r="X585" i="2"/>
  <c r="Q585" i="2"/>
  <c r="U583" i="2"/>
  <c r="X581" i="2"/>
  <c r="Q581" i="2"/>
  <c r="S580" i="2"/>
  <c r="Q577" i="2"/>
  <c r="Q573" i="2"/>
  <c r="U567" i="2"/>
  <c r="Q565" i="2"/>
  <c r="U563" i="2"/>
  <c r="W562" i="2" a="1"/>
  <c r="W562" i="2" s="1"/>
  <c r="U559" i="2"/>
  <c r="Q557" i="2"/>
  <c r="U555" i="2"/>
  <c r="W554" i="2" a="1"/>
  <c r="W554" i="2" s="1"/>
  <c r="S552" i="2"/>
  <c r="W550" i="2" a="1"/>
  <c r="W550" i="2" s="1"/>
  <c r="S548" i="2"/>
  <c r="U547" i="2"/>
  <c r="W546" i="2" a="1"/>
  <c r="W546" i="2" s="1"/>
  <c r="Q545" i="2"/>
  <c r="W462" i="2" a="1"/>
  <c r="W462" i="2" s="1"/>
  <c r="R521" i="2"/>
  <c r="U598" i="2"/>
  <c r="W597" i="2" a="1"/>
  <c r="W597" i="2" s="1"/>
  <c r="X596" i="2"/>
  <c r="Q596" i="2"/>
  <c r="S595" i="2"/>
  <c r="U594" i="2"/>
  <c r="W593" i="2" a="1"/>
  <c r="W593" i="2" s="1"/>
  <c r="U590" i="2"/>
  <c r="W589" i="2" a="1"/>
  <c r="W589" i="2" s="1"/>
  <c r="X588" i="2"/>
  <c r="Q588" i="2"/>
  <c r="W585" i="2" a="1"/>
  <c r="W585" i="2" s="1"/>
  <c r="S583" i="2"/>
  <c r="U582" i="2"/>
  <c r="W581" i="2" a="1"/>
  <c r="W581" i="2" s="1"/>
  <c r="X580" i="2"/>
  <c r="Q580" i="2"/>
  <c r="W577" i="2" a="1"/>
  <c r="W577" i="2" s="1"/>
  <c r="Q576" i="2"/>
  <c r="W573" i="2" a="1"/>
  <c r="W573" i="2" s="1"/>
  <c r="U570" i="2"/>
  <c r="Q568" i="2"/>
  <c r="W565" i="2" a="1"/>
  <c r="W565" i="2" s="1"/>
  <c r="U562" i="2"/>
  <c r="W557" i="2" a="1"/>
  <c r="W557" i="2" s="1"/>
  <c r="S555" i="2"/>
  <c r="U554" i="2"/>
  <c r="W553" i="2" a="1"/>
  <c r="W553" i="2" s="1"/>
  <c r="Q552" i="2"/>
  <c r="U550" i="2"/>
  <c r="Q548" i="2"/>
  <c r="S547" i="2"/>
  <c r="U546" i="2"/>
  <c r="W545" i="2" a="1"/>
  <c r="W545" i="2" s="1"/>
  <c r="V597" i="2"/>
  <c r="V593" i="2"/>
  <c r="V589" i="2"/>
  <c r="V585" i="2"/>
  <c r="V581" i="2"/>
  <c r="V577" i="2"/>
  <c r="V573" i="2"/>
  <c r="V565" i="2"/>
  <c r="V557" i="2"/>
  <c r="R555" i="2"/>
  <c r="R547" i="2"/>
  <c r="V545" i="2"/>
  <c r="R539" i="2"/>
  <c r="U597" i="2"/>
  <c r="W596" i="2" a="1"/>
  <c r="W596" i="2" s="1"/>
  <c r="X595" i="2"/>
  <c r="U593" i="2"/>
  <c r="U589" i="2"/>
  <c r="W588" i="2" a="1"/>
  <c r="W588" i="2" s="1"/>
  <c r="U585" i="2"/>
  <c r="X583" i="2"/>
  <c r="U581" i="2"/>
  <c r="W580" i="2" a="1"/>
  <c r="W580" i="2" s="1"/>
  <c r="U577" i="2"/>
  <c r="W576" i="2" a="1"/>
  <c r="W576" i="2" s="1"/>
  <c r="U573" i="2"/>
  <c r="W568" i="2" a="1"/>
  <c r="W568" i="2" s="1"/>
  <c r="U565" i="2"/>
  <c r="U557" i="2"/>
  <c r="W552" i="2" a="1"/>
  <c r="W552" i="2" s="1"/>
  <c r="W548" i="2" a="1"/>
  <c r="W548" i="2" s="1"/>
  <c r="U545" i="2"/>
  <c r="T412" i="2"/>
  <c r="S472" i="2"/>
  <c r="W466" i="2" a="1"/>
  <c r="W466" i="2" s="1"/>
  <c r="U460" i="2"/>
  <c r="V501" i="2"/>
  <c r="V531" i="2"/>
  <c r="T492" i="2"/>
  <c r="V485" i="2"/>
  <c r="R411" i="2"/>
  <c r="V460" i="2"/>
  <c r="V491" i="2"/>
  <c r="V519" i="2"/>
  <c r="V504" i="2"/>
  <c r="V537" i="2"/>
  <c r="T528" i="2"/>
  <c r="V508" i="2"/>
  <c r="V403" i="2"/>
  <c r="S473" i="2"/>
  <c r="U463" i="2"/>
  <c r="T537" i="2"/>
  <c r="T493" i="2"/>
  <c r="S477" i="2"/>
  <c r="R537" i="2"/>
  <c r="V527" i="2"/>
  <c r="V503" i="2"/>
  <c r="R535" i="2"/>
  <c r="R489" i="2"/>
  <c r="R531" i="2"/>
  <c r="R517" i="2"/>
  <c r="V497" i="2"/>
  <c r="V484" i="2"/>
  <c r="V523" i="2"/>
  <c r="V509" i="2"/>
  <c r="V500" i="2"/>
  <c r="V493" i="2"/>
  <c r="T484" i="2"/>
  <c r="V529" i="2"/>
  <c r="T529" i="2"/>
  <c r="R509" i="2"/>
  <c r="V505" i="2"/>
  <c r="R493" i="2"/>
  <c r="V489" i="2"/>
  <c r="V483" i="2"/>
  <c r="V535" i="2"/>
  <c r="R529" i="2"/>
  <c r="T489" i="2"/>
  <c r="S460" i="2"/>
  <c r="W539" i="2" a="1"/>
  <c r="W539" i="2" s="1"/>
  <c r="X538" i="2"/>
  <c r="Q538" i="2"/>
  <c r="S537" i="2"/>
  <c r="W535" i="2" a="1"/>
  <c r="W535" i="2" s="1"/>
  <c r="X534" i="2"/>
  <c r="Q534" i="2"/>
  <c r="W531" i="2" a="1"/>
  <c r="W531" i="2" s="1"/>
  <c r="S529" i="2"/>
  <c r="U528" i="2"/>
  <c r="W527" i="2" a="1"/>
  <c r="W527" i="2" s="1"/>
  <c r="X526" i="2"/>
  <c r="Q526" i="2"/>
  <c r="W523" i="2" a="1"/>
  <c r="W523" i="2" s="1"/>
  <c r="X522" i="2"/>
  <c r="Q522" i="2"/>
  <c r="S521" i="2"/>
  <c r="W519" i="2" a="1"/>
  <c r="W519" i="2" s="1"/>
  <c r="U516" i="2"/>
  <c r="U512" i="2"/>
  <c r="W511" i="2" a="1"/>
  <c r="W511" i="2" s="1"/>
  <c r="U508" i="2"/>
  <c r="Q506" i="2"/>
  <c r="U504" i="2"/>
  <c r="W503" i="2" a="1"/>
  <c r="W503" i="2" s="1"/>
  <c r="U500" i="2"/>
  <c r="W499" i="2" a="1"/>
  <c r="W499" i="2" s="1"/>
  <c r="Q498" i="2"/>
  <c r="Q494" i="2"/>
  <c r="S493" i="2"/>
  <c r="U492" i="2"/>
  <c r="W491" i="2" a="1"/>
  <c r="W491" i="2" s="1"/>
  <c r="Q490" i="2"/>
  <c r="S489" i="2"/>
  <c r="U488" i="2"/>
  <c r="Q486" i="2"/>
  <c r="U484" i="2"/>
  <c r="W483" i="2" a="1"/>
  <c r="W483" i="2" s="1"/>
  <c r="Q466" i="2"/>
  <c r="U439" i="2"/>
  <c r="U539" i="2"/>
  <c r="W538" i="2" a="1"/>
  <c r="W538" i="2" s="1"/>
  <c r="X537" i="2"/>
  <c r="Q537" i="2"/>
  <c r="U535" i="2"/>
  <c r="W534" i="2" a="1"/>
  <c r="W534" i="2" s="1"/>
  <c r="U531" i="2"/>
  <c r="X529" i="2"/>
  <c r="Q529" i="2"/>
  <c r="S528" i="2"/>
  <c r="U527" i="2"/>
  <c r="W526" i="2" a="1"/>
  <c r="W526" i="2" s="1"/>
  <c r="U523" i="2"/>
  <c r="W522" i="2" a="1"/>
  <c r="W522" i="2" s="1"/>
  <c r="X521" i="2"/>
  <c r="Q521" i="2"/>
  <c r="U519" i="2"/>
  <c r="Q517" i="2"/>
  <c r="U511" i="2"/>
  <c r="Q509" i="2"/>
  <c r="W506" i="2" a="1"/>
  <c r="W506" i="2" s="1"/>
  <c r="Q505" i="2"/>
  <c r="U503" i="2"/>
  <c r="W502" i="2" a="1"/>
  <c r="W502" i="2" s="1"/>
  <c r="Q501" i="2"/>
  <c r="W498" i="2" a="1"/>
  <c r="W498" i="2" s="1"/>
  <c r="Q497" i="2"/>
  <c r="W494" i="2" a="1"/>
  <c r="W494" i="2" s="1"/>
  <c r="Q493" i="2"/>
  <c r="S492" i="2"/>
  <c r="U491" i="2"/>
  <c r="Q489" i="2"/>
  <c r="W486" i="2" a="1"/>
  <c r="W486" i="2" s="1"/>
  <c r="Q485" i="2"/>
  <c r="S484" i="2"/>
  <c r="U483" i="2"/>
  <c r="V383" i="2"/>
  <c r="V472" i="2"/>
  <c r="T539" i="2"/>
  <c r="V538" i="2"/>
  <c r="T535" i="2"/>
  <c r="V534" i="2"/>
  <c r="T531" i="2"/>
  <c r="T527" i="2"/>
  <c r="V526" i="2"/>
  <c r="T523" i="2"/>
  <c r="V522" i="2"/>
  <c r="V506" i="2"/>
  <c r="V502" i="2"/>
  <c r="V498" i="2"/>
  <c r="V494" i="2"/>
  <c r="R492" i="2"/>
  <c r="T491" i="2"/>
  <c r="V486" i="2"/>
  <c r="R484" i="2"/>
  <c r="U472" i="2"/>
  <c r="R465" i="2"/>
  <c r="R449" i="2"/>
  <c r="S429" i="2"/>
  <c r="S539" i="2"/>
  <c r="U538" i="2"/>
  <c r="W537" i="2" a="1"/>
  <c r="W537" i="2" s="1"/>
  <c r="X536" i="2"/>
  <c r="S535" i="2"/>
  <c r="U534" i="2"/>
  <c r="S531" i="2"/>
  <c r="W529" i="2" a="1"/>
  <c r="W529" i="2" s="1"/>
  <c r="S527" i="2"/>
  <c r="U526" i="2"/>
  <c r="S523" i="2"/>
  <c r="U522" i="2"/>
  <c r="W521" i="2" a="1"/>
  <c r="W521" i="2" s="1"/>
  <c r="X520" i="2"/>
  <c r="W517" i="2" a="1"/>
  <c r="W517" i="2" s="1"/>
  <c r="W509" i="2" a="1"/>
  <c r="W509" i="2" s="1"/>
  <c r="Q508" i="2"/>
  <c r="U506" i="2"/>
  <c r="W505" i="2" a="1"/>
  <c r="W505" i="2" s="1"/>
  <c r="Q504" i="2"/>
  <c r="W501" i="2" a="1"/>
  <c r="W501" i="2" s="1"/>
  <c r="Q500" i="2"/>
  <c r="U498" i="2"/>
  <c r="W497" i="2" a="1"/>
  <c r="W497" i="2" s="1"/>
  <c r="U494" i="2"/>
  <c r="W493" i="2" a="1"/>
  <c r="W493" i="2" s="1"/>
  <c r="Q492" i="2"/>
  <c r="S491" i="2"/>
  <c r="W489" i="2" a="1"/>
  <c r="W489" i="2" s="1"/>
  <c r="Q488" i="2"/>
  <c r="U486" i="2"/>
  <c r="W485" i="2" a="1"/>
  <c r="W485" i="2" s="1"/>
  <c r="Q484" i="2"/>
  <c r="T538" i="2"/>
  <c r="T534" i="2"/>
  <c r="R527" i="2"/>
  <c r="T526" i="2"/>
  <c r="R523" i="2"/>
  <c r="T522" i="2"/>
  <c r="R511" i="2"/>
  <c r="T494" i="2"/>
  <c r="R491" i="2"/>
  <c r="T486" i="2"/>
  <c r="U375" i="2"/>
  <c r="R472" i="2"/>
  <c r="X539" i="2"/>
  <c r="S538" i="2"/>
  <c r="X535" i="2"/>
  <c r="S534" i="2"/>
  <c r="X531" i="2"/>
  <c r="X527" i="2"/>
  <c r="S526" i="2"/>
  <c r="X523" i="2"/>
  <c r="S522" i="2"/>
  <c r="S494" i="2"/>
  <c r="W488" i="2" a="1"/>
  <c r="W488" i="2" s="1"/>
  <c r="S486" i="2"/>
  <c r="V359" i="2"/>
  <c r="U411" i="2"/>
  <c r="S404" i="2"/>
  <c r="T477" i="2"/>
  <c r="X473" i="2"/>
  <c r="X462" i="2"/>
  <c r="T460" i="2"/>
  <c r="V447" i="2"/>
  <c r="V444" i="2"/>
  <c r="Q430" i="2"/>
  <c r="W439" i="2" a="1"/>
  <c r="W439" i="2" s="1"/>
  <c r="U313" i="2"/>
  <c r="T409" i="2"/>
  <c r="W463" i="2" a="1"/>
  <c r="W463" i="2" s="1"/>
  <c r="V459" i="2"/>
  <c r="W455" i="2" a="1"/>
  <c r="W455" i="2" s="1"/>
  <c r="V424" i="2"/>
  <c r="V339" i="2"/>
  <c r="T472" i="2"/>
  <c r="T469" i="2"/>
  <c r="V463" i="2"/>
  <c r="U459" i="2"/>
  <c r="U455" i="2"/>
  <c r="V431" i="2"/>
  <c r="T424" i="2"/>
  <c r="W331" i="2" a="1"/>
  <c r="W331" i="2" s="1"/>
  <c r="S408" i="2"/>
  <c r="X477" i="2"/>
  <c r="T476" i="2"/>
  <c r="U467" i="2"/>
  <c r="S465" i="2"/>
  <c r="Q457" i="2"/>
  <c r="V455" i="2"/>
  <c r="W447" i="2" a="1"/>
  <c r="W447" i="2" s="1"/>
  <c r="S432" i="2"/>
  <c r="U428" i="2"/>
  <c r="U424" i="2"/>
  <c r="R476" i="2"/>
  <c r="T473" i="2"/>
  <c r="X469" i="2"/>
  <c r="Q465" i="2"/>
  <c r="U447" i="2"/>
  <c r="V439" i="2"/>
  <c r="Q437" i="2"/>
  <c r="W431" i="2" a="1"/>
  <c r="W431" i="2" s="1"/>
  <c r="T429" i="2"/>
  <c r="S424" i="2"/>
  <c r="Q477" i="2"/>
  <c r="R473" i="2"/>
  <c r="S469" i="2"/>
  <c r="U448" i="2"/>
  <c r="U444" i="2"/>
  <c r="V440" i="2"/>
  <c r="V436" i="2"/>
  <c r="U431" i="2"/>
  <c r="R429" i="2"/>
  <c r="W427" i="2" a="1"/>
  <c r="W427" i="2" s="1"/>
  <c r="W423" i="2" a="1"/>
  <c r="W423" i="2" s="1"/>
  <c r="Q473" i="2"/>
  <c r="R469" i="2"/>
  <c r="W459" i="2" a="1"/>
  <c r="W459" i="2" s="1"/>
  <c r="U440" i="2"/>
  <c r="U436" i="2"/>
  <c r="V432" i="2"/>
  <c r="Q429" i="2"/>
  <c r="V427" i="2"/>
  <c r="Q425" i="2"/>
  <c r="V423" i="2"/>
  <c r="V476" i="2"/>
  <c r="Q469" i="2"/>
  <c r="W467" i="2" a="1"/>
  <c r="W467" i="2" s="1"/>
  <c r="X465" i="2"/>
  <c r="U432" i="2"/>
  <c r="U427" i="2"/>
  <c r="U423" i="2"/>
  <c r="U476" i="2"/>
  <c r="V467" i="2"/>
  <c r="T465" i="2"/>
  <c r="R457" i="2"/>
  <c r="T432" i="2"/>
  <c r="V428" i="2"/>
  <c r="R356" i="2"/>
  <c r="X474" i="2"/>
  <c r="U458" i="2"/>
  <c r="V458" i="2"/>
  <c r="V450" i="2"/>
  <c r="U442" i="2"/>
  <c r="V442" i="2"/>
  <c r="T281" i="2"/>
  <c r="Q415" i="2"/>
  <c r="R415" i="2"/>
  <c r="U403" i="2"/>
  <c r="W474" i="2" a="1"/>
  <c r="W474" i="2" s="1"/>
  <c r="W454" i="2" a="1"/>
  <c r="W454" i="2" s="1"/>
  <c r="W446" i="2" a="1"/>
  <c r="W446" i="2" s="1"/>
  <c r="W438" i="2" a="1"/>
  <c r="W438" i="2" s="1"/>
  <c r="W319" i="2" a="1"/>
  <c r="W319" i="2" s="1"/>
  <c r="U340" i="2"/>
  <c r="W329" i="2" a="1"/>
  <c r="W329" i="2" s="1"/>
  <c r="U329" i="2"/>
  <c r="V387" i="2"/>
  <c r="R462" i="2"/>
  <c r="S462" i="2"/>
  <c r="T462" i="2"/>
  <c r="U462" i="2"/>
  <c r="V462" i="2"/>
  <c r="R474" i="2"/>
  <c r="S474" i="2"/>
  <c r="T474" i="2"/>
  <c r="U474" i="2"/>
  <c r="V474" i="2"/>
  <c r="R454" i="2"/>
  <c r="U454" i="2"/>
  <c r="V454" i="2"/>
  <c r="U446" i="2"/>
  <c r="V446" i="2"/>
  <c r="U438" i="2"/>
  <c r="V438" i="2"/>
  <c r="R430" i="2"/>
  <c r="S430" i="2"/>
  <c r="T430" i="2"/>
  <c r="U430" i="2"/>
  <c r="V430" i="2"/>
  <c r="R470" i="2"/>
  <c r="S470" i="2"/>
  <c r="T470" i="2"/>
  <c r="U470" i="2"/>
  <c r="V470" i="2"/>
  <c r="U409" i="2"/>
  <c r="X409" i="2"/>
  <c r="U401" i="2"/>
  <c r="Q401" i="2"/>
  <c r="R401" i="2"/>
  <c r="V401" i="2"/>
  <c r="X401" i="2"/>
  <c r="X470" i="2"/>
  <c r="Q367" i="2"/>
  <c r="R367" i="2"/>
  <c r="V367" i="2"/>
  <c r="U344" i="2"/>
  <c r="R466" i="2"/>
  <c r="S466" i="2"/>
  <c r="T466" i="2"/>
  <c r="U466" i="2"/>
  <c r="V466" i="2"/>
  <c r="W458" i="2" a="1"/>
  <c r="W458" i="2" s="1"/>
  <c r="W442" i="2" a="1"/>
  <c r="W442" i="2" s="1"/>
  <c r="Q327" i="2"/>
  <c r="V327" i="2"/>
  <c r="W309" i="2" a="1"/>
  <c r="W309" i="2" s="1"/>
  <c r="V309" i="2"/>
  <c r="W470" i="2" a="1"/>
  <c r="W470" i="2" s="1"/>
  <c r="Q442" i="2"/>
  <c r="V385" i="2"/>
  <c r="T467" i="2"/>
  <c r="T463" i="2"/>
  <c r="R436" i="2"/>
  <c r="R432" i="2"/>
  <c r="T431" i="2"/>
  <c r="R424" i="2"/>
  <c r="T404" i="2"/>
  <c r="W477" i="2" a="1"/>
  <c r="W477" i="2" s="1"/>
  <c r="X476" i="2"/>
  <c r="Q476" i="2"/>
  <c r="W473" i="2" a="1"/>
  <c r="W473" i="2" s="1"/>
  <c r="X472" i="2"/>
  <c r="Q472" i="2"/>
  <c r="W469" i="2" a="1"/>
  <c r="W469" i="2" s="1"/>
  <c r="S467" i="2"/>
  <c r="W465" i="2" a="1"/>
  <c r="W465" i="2" s="1"/>
  <c r="S463" i="2"/>
  <c r="X460" i="2"/>
  <c r="Q460" i="2"/>
  <c r="W457" i="2" a="1"/>
  <c r="W457" i="2" s="1"/>
  <c r="W449" i="2" a="1"/>
  <c r="W449" i="2" s="1"/>
  <c r="Q444" i="2"/>
  <c r="Q440" i="2"/>
  <c r="W437" i="2" a="1"/>
  <c r="W437" i="2" s="1"/>
  <c r="Q436" i="2"/>
  <c r="Q432" i="2"/>
  <c r="S431" i="2"/>
  <c r="W429" i="2" a="1"/>
  <c r="W429" i="2" s="1"/>
  <c r="Q428" i="2"/>
  <c r="Q424" i="2"/>
  <c r="V477" i="2"/>
  <c r="V473" i="2"/>
  <c r="V469" i="2"/>
  <c r="R467" i="2"/>
  <c r="V465" i="2"/>
  <c r="R463" i="2"/>
  <c r="V457" i="2"/>
  <c r="R455" i="2"/>
  <c r="V449" i="2"/>
  <c r="V437" i="2"/>
  <c r="R431" i="2"/>
  <c r="V429" i="2"/>
  <c r="V425" i="2"/>
  <c r="R395" i="2"/>
  <c r="X467" i="2"/>
  <c r="X463" i="2"/>
  <c r="S349" i="2"/>
  <c r="W339" i="2" a="1"/>
  <c r="W339" i="2" s="1"/>
  <c r="W327" i="2" a="1"/>
  <c r="W327" i="2" s="1"/>
  <c r="V323" i="2"/>
  <c r="U415" i="2"/>
  <c r="Q413" i="2"/>
  <c r="T408" i="2"/>
  <c r="T401" i="2"/>
  <c r="U383" i="2"/>
  <c r="U367" i="2"/>
  <c r="Q365" i="2"/>
  <c r="U387" i="2"/>
  <c r="Q385" i="2"/>
  <c r="T364" i="2"/>
  <c r="T341" i="2"/>
  <c r="R329" i="2"/>
  <c r="U321" i="2"/>
  <c r="V319" i="2"/>
  <c r="S412" i="2"/>
  <c r="V409" i="2"/>
  <c r="R403" i="2"/>
  <c r="V377" i="2"/>
  <c r="V375" i="2"/>
  <c r="R371" i="2"/>
  <c r="S364" i="2"/>
  <c r="V304" i="2"/>
  <c r="T416" i="2"/>
  <c r="X413" i="2"/>
  <c r="T400" i="2"/>
  <c r="R345" i="2"/>
  <c r="V340" i="2"/>
  <c r="U304" i="2"/>
  <c r="S416" i="2"/>
  <c r="V413" i="2"/>
  <c r="V411" i="2"/>
  <c r="R409" i="2"/>
  <c r="S400" i="2"/>
  <c r="V395" i="2"/>
  <c r="R375" i="2"/>
  <c r="V365" i="2"/>
  <c r="V363" i="2"/>
  <c r="T413" i="2"/>
  <c r="U395" i="2"/>
  <c r="Q377" i="2"/>
  <c r="T365" i="2"/>
  <c r="U363" i="2"/>
  <c r="W323" i="2" a="1"/>
  <c r="W323" i="2" s="1"/>
  <c r="U320" i="2"/>
  <c r="V415" i="2"/>
  <c r="R413" i="2"/>
  <c r="R365" i="2"/>
  <c r="R414" i="2"/>
  <c r="S414" i="2"/>
  <c r="T414" i="2"/>
  <c r="U414" i="2"/>
  <c r="V414" i="2"/>
  <c r="W414" i="2" a="1"/>
  <c r="W414" i="2" s="1"/>
  <c r="Q414" i="2"/>
  <c r="X414" i="2"/>
  <c r="Q324" i="2"/>
  <c r="V324" i="2"/>
  <c r="W359" i="2" a="1"/>
  <c r="W359" i="2" s="1"/>
  <c r="V329" i="2"/>
  <c r="U308" i="2"/>
  <c r="W304" i="2" a="1"/>
  <c r="W304" i="2" s="1"/>
  <c r="W419" i="2" a="1"/>
  <c r="W419" i="2" s="1"/>
  <c r="U416" i="2"/>
  <c r="W415" i="2" a="1"/>
  <c r="W415" i="2" s="1"/>
  <c r="S413" i="2"/>
  <c r="U412" i="2"/>
  <c r="W411" i="2" a="1"/>
  <c r="W411" i="2" s="1"/>
  <c r="S409" i="2"/>
  <c r="U408" i="2"/>
  <c r="U404" i="2"/>
  <c r="W403" i="2" a="1"/>
  <c r="W403" i="2" s="1"/>
  <c r="X402" i="2"/>
  <c r="Q402" i="2"/>
  <c r="S401" i="2"/>
  <c r="U400" i="2"/>
  <c r="U396" i="2"/>
  <c r="W395" i="2" a="1"/>
  <c r="W395" i="2" s="1"/>
  <c r="Q394" i="2"/>
  <c r="U392" i="2"/>
  <c r="Q390" i="2"/>
  <c r="U388" i="2"/>
  <c r="W387" i="2" a="1"/>
  <c r="W387" i="2" s="1"/>
  <c r="Q386" i="2"/>
  <c r="U384" i="2"/>
  <c r="W383" i="2" a="1"/>
  <c r="W383" i="2" s="1"/>
  <c r="U380" i="2"/>
  <c r="Q378" i="2"/>
  <c r="U376" i="2"/>
  <c r="W375" i="2" a="1"/>
  <c r="W375" i="2" s="1"/>
  <c r="Q374" i="2"/>
  <c r="Q370" i="2"/>
  <c r="W367" i="2" a="1"/>
  <c r="W367" i="2" s="1"/>
  <c r="Q366" i="2"/>
  <c r="S365" i="2"/>
  <c r="U364" i="2"/>
  <c r="W363" i="2" a="1"/>
  <c r="W363" i="2" s="1"/>
  <c r="W402" i="2" a="1"/>
  <c r="W402" i="2" s="1"/>
  <c r="W394" i="2" a="1"/>
  <c r="W394" i="2" s="1"/>
  <c r="W390" i="2" a="1"/>
  <c r="W390" i="2" s="1"/>
  <c r="W386" i="2" a="1"/>
  <c r="W386" i="2" s="1"/>
  <c r="W378" i="2" a="1"/>
  <c r="W378" i="2" s="1"/>
  <c r="W374" i="2" a="1"/>
  <c r="W374" i="2" s="1"/>
  <c r="W370" i="2" a="1"/>
  <c r="W370" i="2" s="1"/>
  <c r="W366" i="2" a="1"/>
  <c r="W366" i="2" s="1"/>
  <c r="R416" i="2"/>
  <c r="T415" i="2"/>
  <c r="R412" i="2"/>
  <c r="T411" i="2"/>
  <c r="R408" i="2"/>
  <c r="R404" i="2"/>
  <c r="T403" i="2"/>
  <c r="V402" i="2"/>
  <c r="R400" i="2"/>
  <c r="R396" i="2"/>
  <c r="V394" i="2"/>
  <c r="R392" i="2"/>
  <c r="V390" i="2"/>
  <c r="V386" i="2"/>
  <c r="V378" i="2"/>
  <c r="R376" i="2"/>
  <c r="T375" i="2"/>
  <c r="V374" i="2"/>
  <c r="V370" i="2"/>
  <c r="T367" i="2"/>
  <c r="V366" i="2"/>
  <c r="R364" i="2"/>
  <c r="T363" i="2"/>
  <c r="V288" i="2"/>
  <c r="X416" i="2"/>
  <c r="Q416" i="2"/>
  <c r="S415" i="2"/>
  <c r="W413" i="2" a="1"/>
  <c r="W413" i="2" s="1"/>
  <c r="X412" i="2"/>
  <c r="Q412" i="2"/>
  <c r="S411" i="2"/>
  <c r="W409" i="2" a="1"/>
  <c r="W409" i="2" s="1"/>
  <c r="X408" i="2"/>
  <c r="Q408" i="2"/>
  <c r="X404" i="2"/>
  <c r="Q404" i="2"/>
  <c r="S403" i="2"/>
  <c r="U402" i="2"/>
  <c r="W401" i="2" a="1"/>
  <c r="W401" i="2" s="1"/>
  <c r="X400" i="2"/>
  <c r="Q400" i="2"/>
  <c r="Q396" i="2"/>
  <c r="U394" i="2"/>
  <c r="Q392" i="2"/>
  <c r="U390" i="2"/>
  <c r="Q388" i="2"/>
  <c r="U386" i="2"/>
  <c r="W385" i="2" a="1"/>
  <c r="W385" i="2" s="1"/>
  <c r="Q384" i="2"/>
  <c r="Q380" i="2"/>
  <c r="U378" i="2"/>
  <c r="W377" i="2" a="1"/>
  <c r="W377" i="2" s="1"/>
  <c r="Q376" i="2"/>
  <c r="S375" i="2"/>
  <c r="U374" i="2"/>
  <c r="U370" i="2"/>
  <c r="S367" i="2"/>
  <c r="U366" i="2"/>
  <c r="W365" i="2" a="1"/>
  <c r="W365" i="2" s="1"/>
  <c r="Q364" i="2"/>
  <c r="S363" i="2"/>
  <c r="T402" i="2"/>
  <c r="T374" i="2"/>
  <c r="T370" i="2"/>
  <c r="R363" i="2"/>
  <c r="U352" i="2"/>
  <c r="V347" i="2"/>
  <c r="V335" i="2"/>
  <c r="V321" i="2"/>
  <c r="V313" i="2"/>
  <c r="W308" i="2" a="1"/>
  <c r="W308" i="2" s="1"/>
  <c r="X419" i="2"/>
  <c r="W416" i="2" a="1"/>
  <c r="W416" i="2" s="1"/>
  <c r="X415" i="2"/>
  <c r="W412" i="2" a="1"/>
  <c r="W412" i="2" s="1"/>
  <c r="X411" i="2"/>
  <c r="W408" i="2" a="1"/>
  <c r="W408" i="2" s="1"/>
  <c r="W404" i="2" a="1"/>
  <c r="W404" i="2" s="1"/>
  <c r="X403" i="2"/>
  <c r="S402" i="2"/>
  <c r="W400" i="2" a="1"/>
  <c r="W400" i="2" s="1"/>
  <c r="W396" i="2" a="1"/>
  <c r="W396" i="2" s="1"/>
  <c r="W392" i="2" a="1"/>
  <c r="W392" i="2" s="1"/>
  <c r="W388" i="2" a="1"/>
  <c r="W388" i="2" s="1"/>
  <c r="W384" i="2" a="1"/>
  <c r="W384" i="2" s="1"/>
  <c r="W380" i="2" a="1"/>
  <c r="W380" i="2" s="1"/>
  <c r="W376" i="2" a="1"/>
  <c r="W376" i="2" s="1"/>
  <c r="S374" i="2"/>
  <c r="S370" i="2"/>
  <c r="W364" i="2" a="1"/>
  <c r="W364" i="2" s="1"/>
  <c r="V308" i="2"/>
  <c r="R293" i="2"/>
  <c r="V352" i="2"/>
  <c r="T349" i="2"/>
  <c r="W347" i="2" a="1"/>
  <c r="W347" i="2" s="1"/>
  <c r="U341" i="2"/>
  <c r="T340" i="2"/>
  <c r="W335" i="2" a="1"/>
  <c r="W335" i="2" s="1"/>
  <c r="R333" i="2"/>
  <c r="V331" i="2"/>
  <c r="W324" i="2" a="1"/>
  <c r="W324" i="2" s="1"/>
  <c r="Q323" i="2"/>
  <c r="U305" i="2"/>
  <c r="T352" i="2"/>
  <c r="R349" i="2"/>
  <c r="T344" i="2"/>
  <c r="S341" i="2"/>
  <c r="W332" i="2" a="1"/>
  <c r="W332" i="2" s="1"/>
  <c r="V325" i="2"/>
  <c r="U324" i="2"/>
  <c r="V320" i="2"/>
  <c r="W316" i="2" a="1"/>
  <c r="W316" i="2" s="1"/>
  <c r="V356" i="2"/>
  <c r="R341" i="2"/>
  <c r="V332" i="2"/>
  <c r="U325" i="2"/>
  <c r="V316" i="2"/>
  <c r="W312" i="2" a="1"/>
  <c r="W312" i="2" s="1"/>
  <c r="R305" i="2"/>
  <c r="W303" i="2" a="1"/>
  <c r="W303" i="2" s="1"/>
  <c r="U356" i="2"/>
  <c r="T353" i="2"/>
  <c r="T345" i="2"/>
  <c r="V333" i="2"/>
  <c r="U332" i="2"/>
  <c r="U316" i="2"/>
  <c r="V312" i="2"/>
  <c r="V303" i="2"/>
  <c r="T356" i="2"/>
  <c r="S353" i="2"/>
  <c r="S345" i="2"/>
  <c r="W340" i="2" a="1"/>
  <c r="W340" i="2" s="1"/>
  <c r="U333" i="2"/>
  <c r="U312" i="2"/>
  <c r="X358" i="2"/>
  <c r="Q358" i="2"/>
  <c r="X354" i="2"/>
  <c r="Q354" i="2"/>
  <c r="X350" i="2"/>
  <c r="Q350" i="2"/>
  <c r="X346" i="2"/>
  <c r="Q346" i="2"/>
  <c r="X342" i="2"/>
  <c r="Q342" i="2"/>
  <c r="Q326" i="2"/>
  <c r="Q318" i="2"/>
  <c r="T173" i="2"/>
  <c r="V263" i="2"/>
  <c r="U359" i="2"/>
  <c r="W358" i="2" a="1"/>
  <c r="W358" i="2" s="1"/>
  <c r="S356" i="2"/>
  <c r="W354" i="2" a="1"/>
  <c r="W354" i="2" s="1"/>
  <c r="X353" i="2"/>
  <c r="Q353" i="2"/>
  <c r="S352" i="2"/>
  <c r="W350" i="2" a="1"/>
  <c r="W350" i="2" s="1"/>
  <c r="X349" i="2"/>
  <c r="Q349" i="2"/>
  <c r="U347" i="2"/>
  <c r="W346" i="2" a="1"/>
  <c r="W346" i="2" s="1"/>
  <c r="X345" i="2"/>
  <c r="Q345" i="2"/>
  <c r="W342" i="2" a="1"/>
  <c r="W342" i="2" s="1"/>
  <c r="X341" i="2"/>
  <c r="Q341" i="2"/>
  <c r="S340" i="2"/>
  <c r="U339" i="2"/>
  <c r="Q337" i="2"/>
  <c r="Q333" i="2"/>
  <c r="U331" i="2"/>
  <c r="Q329" i="2"/>
  <c r="U327" i="2"/>
  <c r="W326" i="2" a="1"/>
  <c r="W326" i="2" s="1"/>
  <c r="Q325" i="2"/>
  <c r="U323" i="2"/>
  <c r="Q321" i="2"/>
  <c r="U319" i="2"/>
  <c r="W318" i="2" a="1"/>
  <c r="W318" i="2" s="1"/>
  <c r="Q313" i="2"/>
  <c r="Q309" i="2"/>
  <c r="Q305" i="2"/>
  <c r="U303" i="2"/>
  <c r="T359" i="2"/>
  <c r="V358" i="2"/>
  <c r="V354" i="2"/>
  <c r="R352" i="2"/>
  <c r="T347" i="2"/>
  <c r="V346" i="2"/>
  <c r="V342" i="2"/>
  <c r="R340" i="2"/>
  <c r="R332" i="2"/>
  <c r="V326" i="2"/>
  <c r="V318" i="2"/>
  <c r="R316" i="2"/>
  <c r="R312" i="2"/>
  <c r="R308" i="2"/>
  <c r="R304" i="2"/>
  <c r="V210" i="2"/>
  <c r="X249" i="2"/>
  <c r="S359" i="2"/>
  <c r="U358" i="2"/>
  <c r="X356" i="2"/>
  <c r="Q356" i="2"/>
  <c r="U354" i="2"/>
  <c r="W353" i="2" a="1"/>
  <c r="W353" i="2" s="1"/>
  <c r="X352" i="2"/>
  <c r="Q352" i="2"/>
  <c r="W349" i="2" a="1"/>
  <c r="W349" i="2" s="1"/>
  <c r="S347" i="2"/>
  <c r="U346" i="2"/>
  <c r="W345" i="2" a="1"/>
  <c r="W345" i="2" s="1"/>
  <c r="X344" i="2"/>
  <c r="U342" i="2"/>
  <c r="W341" i="2" a="1"/>
  <c r="W341" i="2" s="1"/>
  <c r="X340" i="2"/>
  <c r="W337" i="2" a="1"/>
  <c r="W337" i="2" s="1"/>
  <c r="U326" i="2"/>
  <c r="U318" i="2"/>
  <c r="U210" i="2"/>
  <c r="X285" i="2"/>
  <c r="R359" i="2"/>
  <c r="T358" i="2"/>
  <c r="R355" i="2"/>
  <c r="T354" i="2"/>
  <c r="V353" i="2"/>
  <c r="V349" i="2"/>
  <c r="R347" i="2"/>
  <c r="T346" i="2"/>
  <c r="V345" i="2"/>
  <c r="T342" i="2"/>
  <c r="R331" i="2"/>
  <c r="R303" i="2"/>
  <c r="T285" i="2"/>
  <c r="X359" i="2"/>
  <c r="S358" i="2"/>
  <c r="S354" i="2"/>
  <c r="X347" i="2"/>
  <c r="S346" i="2"/>
  <c r="S342" i="2"/>
  <c r="X228" i="2"/>
  <c r="T296" i="2"/>
  <c r="R285" i="2"/>
  <c r="S173" i="2"/>
  <c r="T168" i="2"/>
  <c r="V137" i="2"/>
  <c r="X220" i="2"/>
  <c r="T292" i="2"/>
  <c r="T288" i="2"/>
  <c r="Q285" i="2"/>
  <c r="T280" i="2"/>
  <c r="R249" i="2"/>
  <c r="R288" i="2"/>
  <c r="Q249" i="2"/>
  <c r="Q245" i="2"/>
  <c r="V260" i="2"/>
  <c r="X171" i="2"/>
  <c r="V128" i="2"/>
  <c r="V264" i="2"/>
  <c r="V244" i="2"/>
  <c r="X175" i="2"/>
  <c r="Q171" i="2"/>
  <c r="V271" i="2"/>
  <c r="V296" i="2"/>
  <c r="T293" i="2"/>
  <c r="V291" i="2"/>
  <c r="S288" i="2"/>
  <c r="V280" i="2"/>
  <c r="Q273" i="2"/>
  <c r="V256" i="2"/>
  <c r="R252" i="2"/>
  <c r="S296" i="2"/>
  <c r="S280" i="2"/>
  <c r="R277" i="2"/>
  <c r="V275" i="2"/>
  <c r="V272" i="2"/>
  <c r="U263" i="2"/>
  <c r="T244" i="2"/>
  <c r="R296" i="2"/>
  <c r="V292" i="2"/>
  <c r="V287" i="2"/>
  <c r="X281" i="2"/>
  <c r="R280" i="2"/>
  <c r="Q277" i="2"/>
  <c r="R256" i="2"/>
  <c r="S244" i="2"/>
  <c r="V295" i="2"/>
  <c r="S292" i="2"/>
  <c r="R281" i="2"/>
  <c r="V279" i="2"/>
  <c r="R272" i="2"/>
  <c r="V252" i="2"/>
  <c r="X245" i="2"/>
  <c r="V243" i="2"/>
  <c r="R292" i="2"/>
  <c r="Q281" i="2"/>
  <c r="Q257" i="2"/>
  <c r="R245" i="2"/>
  <c r="U243" i="2"/>
  <c r="R273" i="2"/>
  <c r="S223" i="2"/>
  <c r="S297" i="2"/>
  <c r="U296" i="2"/>
  <c r="W295" i="2" a="1"/>
  <c r="W295" i="2" s="1"/>
  <c r="S293" i="2"/>
  <c r="U292" i="2"/>
  <c r="W291" i="2" a="1"/>
  <c r="W291" i="2" s="1"/>
  <c r="U288" i="2"/>
  <c r="W287" i="2" a="1"/>
  <c r="W287" i="2" s="1"/>
  <c r="X286" i="2"/>
  <c r="Q286" i="2"/>
  <c r="S285" i="2"/>
  <c r="X282" i="2"/>
  <c r="Q282" i="2"/>
  <c r="S281" i="2"/>
  <c r="U280" i="2"/>
  <c r="W279" i="2" a="1"/>
  <c r="W279" i="2" s="1"/>
  <c r="Q278" i="2"/>
  <c r="W275" i="2" a="1"/>
  <c r="W275" i="2" s="1"/>
  <c r="Q274" i="2"/>
  <c r="U272" i="2"/>
  <c r="W271" i="2" a="1"/>
  <c r="W271" i="2" s="1"/>
  <c r="Q270" i="2"/>
  <c r="Q266" i="2"/>
  <c r="U264" i="2"/>
  <c r="W263" i="2" a="1"/>
  <c r="W263" i="2" s="1"/>
  <c r="U260" i="2"/>
  <c r="W259" i="2" a="1"/>
  <c r="W259" i="2" s="1"/>
  <c r="Q258" i="2"/>
  <c r="U256" i="2"/>
  <c r="U252" i="2"/>
  <c r="S249" i="2"/>
  <c r="X246" i="2"/>
  <c r="S245" i="2"/>
  <c r="U244" i="2"/>
  <c r="W243" i="2" a="1"/>
  <c r="W243" i="2" s="1"/>
  <c r="U299" i="2"/>
  <c r="U295" i="2"/>
  <c r="X293" i="2"/>
  <c r="Q293" i="2"/>
  <c r="U291" i="2"/>
  <c r="U287" i="2"/>
  <c r="W286" i="2" a="1"/>
  <c r="W286" i="2" s="1"/>
  <c r="W282" i="2" a="1"/>
  <c r="W282" i="2" s="1"/>
  <c r="U279" i="2"/>
  <c r="W278" i="2" a="1"/>
  <c r="W278" i="2" s="1"/>
  <c r="U275" i="2"/>
  <c r="W274" i="2" a="1"/>
  <c r="W274" i="2" s="1"/>
  <c r="U271" i="2"/>
  <c r="W270" i="2" a="1"/>
  <c r="W270" i="2" s="1"/>
  <c r="W266" i="2" a="1"/>
  <c r="W266" i="2" s="1"/>
  <c r="W258" i="2" a="1"/>
  <c r="W258" i="2" s="1"/>
  <c r="W250" i="2" a="1"/>
  <c r="W250" i="2" s="1"/>
  <c r="W246" i="2" a="1"/>
  <c r="W246" i="2" s="1"/>
  <c r="V298" i="2"/>
  <c r="T295" i="2"/>
  <c r="T291" i="2"/>
  <c r="T287" i="2"/>
  <c r="V286" i="2"/>
  <c r="V282" i="2"/>
  <c r="V278" i="2"/>
  <c r="V274" i="2"/>
  <c r="V270" i="2"/>
  <c r="V266" i="2"/>
  <c r="V258" i="2"/>
  <c r="R244" i="2"/>
  <c r="T243" i="2"/>
  <c r="S299" i="2"/>
  <c r="X296" i="2"/>
  <c r="Q296" i="2"/>
  <c r="S295" i="2"/>
  <c r="W293" i="2" a="1"/>
  <c r="W293" i="2" s="1"/>
  <c r="X292" i="2"/>
  <c r="Q292" i="2"/>
  <c r="S291" i="2"/>
  <c r="X288" i="2"/>
  <c r="Q288" i="2"/>
  <c r="S287" i="2"/>
  <c r="U286" i="2"/>
  <c r="W285" i="2" a="1"/>
  <c r="W285" i="2" s="1"/>
  <c r="U282" i="2"/>
  <c r="W281" i="2" a="1"/>
  <c r="W281" i="2" s="1"/>
  <c r="X280" i="2"/>
  <c r="Q280" i="2"/>
  <c r="U278" i="2"/>
  <c r="W277" i="2" a="1"/>
  <c r="W277" i="2" s="1"/>
  <c r="U274" i="2"/>
  <c r="W273" i="2" a="1"/>
  <c r="W273" i="2" s="1"/>
  <c r="Q272" i="2"/>
  <c r="U270" i="2"/>
  <c r="U266" i="2"/>
  <c r="Q264" i="2"/>
  <c r="Q260" i="2"/>
  <c r="U258" i="2"/>
  <c r="W257" i="2" a="1"/>
  <c r="W257" i="2" s="1"/>
  <c r="Q256" i="2"/>
  <c r="Q252" i="2"/>
  <c r="W249" i="2" a="1"/>
  <c r="W249" i="2" s="1"/>
  <c r="U246" i="2"/>
  <c r="W245" i="2" a="1"/>
  <c r="W245" i="2" s="1"/>
  <c r="X244" i="2"/>
  <c r="Q244" i="2"/>
  <c r="S243" i="2"/>
  <c r="R295" i="2"/>
  <c r="V293" i="2"/>
  <c r="R291" i="2"/>
  <c r="R287" i="2"/>
  <c r="T286" i="2"/>
  <c r="V285" i="2"/>
  <c r="T282" i="2"/>
  <c r="V281" i="2"/>
  <c r="V277" i="2"/>
  <c r="R275" i="2"/>
  <c r="V273" i="2"/>
  <c r="R271" i="2"/>
  <c r="V257" i="2"/>
  <c r="T250" i="2"/>
  <c r="V249" i="2"/>
  <c r="V245" i="2"/>
  <c r="R243" i="2"/>
  <c r="V133" i="2"/>
  <c r="U224" i="2"/>
  <c r="Q188" i="2"/>
  <c r="X295" i="2"/>
  <c r="X291" i="2"/>
  <c r="X287" i="2"/>
  <c r="S286" i="2"/>
  <c r="S282" i="2"/>
  <c r="U253" i="2"/>
  <c r="U249" i="2"/>
  <c r="U245" i="2"/>
  <c r="X243" i="2"/>
  <c r="Q179" i="2"/>
  <c r="Q206" i="2"/>
  <c r="V173" i="2"/>
  <c r="V228" i="2"/>
  <c r="U220" i="2"/>
  <c r="R216" i="2"/>
  <c r="T177" i="2"/>
  <c r="U173" i="2"/>
  <c r="U165" i="2"/>
  <c r="U228" i="2"/>
  <c r="T220" i="2"/>
  <c r="Q216" i="2"/>
  <c r="U212" i="2"/>
  <c r="Q204" i="2"/>
  <c r="S177" i="2"/>
  <c r="Q232" i="2"/>
  <c r="Q228" i="2"/>
  <c r="W219" i="2" a="1"/>
  <c r="W219" i="2" s="1"/>
  <c r="W203" i="2" a="1"/>
  <c r="W203" i="2" s="1"/>
  <c r="T160" i="2"/>
  <c r="S227" i="2"/>
  <c r="X179" i="2"/>
  <c r="V214" i="2"/>
  <c r="W195" i="2" a="1"/>
  <c r="W195" i="2" s="1"/>
  <c r="T228" i="2"/>
  <c r="W225" i="2" a="1"/>
  <c r="W225" i="2" s="1"/>
  <c r="V219" i="2"/>
  <c r="V203" i="2"/>
  <c r="V195" i="2"/>
  <c r="Q186" i="2"/>
  <c r="R228" i="2"/>
  <c r="R212" i="2"/>
  <c r="T192" i="2"/>
  <c r="W189" i="2" a="1"/>
  <c r="W189" i="2" s="1"/>
  <c r="W229" i="2" a="1"/>
  <c r="W229" i="2" s="1"/>
  <c r="T232" i="2"/>
  <c r="R229" i="2"/>
  <c r="T224" i="2"/>
  <c r="V220" i="2"/>
  <c r="W217" i="2" a="1"/>
  <c r="W217" i="2" s="1"/>
  <c r="W191" i="2" a="1"/>
  <c r="W191" i="2" s="1"/>
  <c r="R232" i="2"/>
  <c r="T227" i="2"/>
  <c r="V191" i="2"/>
  <c r="T191" i="2"/>
  <c r="W187" i="2" a="1"/>
  <c r="W187" i="2" s="1"/>
  <c r="X192" i="2"/>
  <c r="S191" i="2"/>
  <c r="V187" i="2"/>
  <c r="T165" i="2"/>
  <c r="V141" i="2"/>
  <c r="S189" i="2"/>
  <c r="Q184" i="2"/>
  <c r="S165" i="2"/>
  <c r="R224" i="2"/>
  <c r="Q159" i="2"/>
  <c r="Q224" i="2"/>
  <c r="Q212" i="2"/>
  <c r="X188" i="2"/>
  <c r="V169" i="2"/>
  <c r="W148" i="2" a="1"/>
  <c r="W148" i="2" s="1"/>
  <c r="W231" i="2" a="1"/>
  <c r="W231" i="2" s="1"/>
  <c r="V204" i="2"/>
  <c r="V188" i="2"/>
  <c r="U169" i="2"/>
  <c r="V148" i="2"/>
  <c r="X232" i="2"/>
  <c r="V231" i="2"/>
  <c r="W223" i="2" a="1"/>
  <c r="W223" i="2" s="1"/>
  <c r="R220" i="2"/>
  <c r="U204" i="2"/>
  <c r="U188" i="2"/>
  <c r="V184" i="2"/>
  <c r="Q175" i="2"/>
  <c r="T172" i="2"/>
  <c r="T169" i="2"/>
  <c r="X163" i="2"/>
  <c r="U148" i="2"/>
  <c r="V136" i="2"/>
  <c r="V232" i="2"/>
  <c r="T231" i="2"/>
  <c r="W227" i="2" a="1"/>
  <c r="W227" i="2" s="1"/>
  <c r="X224" i="2"/>
  <c r="V223" i="2"/>
  <c r="S221" i="2"/>
  <c r="Q220" i="2"/>
  <c r="V218" i="2"/>
  <c r="V216" i="2"/>
  <c r="V206" i="2"/>
  <c r="Q198" i="2"/>
  <c r="Q192" i="2"/>
  <c r="T188" i="2"/>
  <c r="U184" i="2"/>
  <c r="S183" i="2"/>
  <c r="U177" i="2"/>
  <c r="S169" i="2"/>
  <c r="V165" i="2"/>
  <c r="Q163" i="2"/>
  <c r="U160" i="2"/>
  <c r="U136" i="2"/>
  <c r="U232" i="2"/>
  <c r="S231" i="2"/>
  <c r="V227" i="2"/>
  <c r="V224" i="2"/>
  <c r="T223" i="2"/>
  <c r="Q218" i="2"/>
  <c r="U216" i="2"/>
  <c r="V212" i="2"/>
  <c r="R209" i="2"/>
  <c r="R188" i="2"/>
  <c r="X186" i="2"/>
  <c r="U205" i="2"/>
  <c r="V205" i="2"/>
  <c r="Q205" i="2"/>
  <c r="V177" i="2"/>
  <c r="U172" i="2"/>
  <c r="U168" i="2"/>
  <c r="U149" i="2"/>
  <c r="Q123" i="2"/>
  <c r="W123" i="2" a="1"/>
  <c r="W123" i="2" s="1"/>
  <c r="Q239" i="2"/>
  <c r="X239" i="2"/>
  <c r="U239" i="2"/>
  <c r="T233" i="2"/>
  <c r="U233" i="2"/>
  <c r="V233" i="2"/>
  <c r="Q233" i="2"/>
  <c r="X233" i="2"/>
  <c r="R222" i="2"/>
  <c r="S222" i="2"/>
  <c r="T222" i="2"/>
  <c r="W222" i="2" a="1"/>
  <c r="W222" i="2" s="1"/>
  <c r="Q194" i="2"/>
  <c r="W190" i="2" a="1"/>
  <c r="W190" i="2" s="1"/>
  <c r="Q143" i="2"/>
  <c r="V143" i="2"/>
  <c r="W140" i="2" a="1"/>
  <c r="W140" i="2" s="1"/>
  <c r="V140" i="2"/>
  <c r="U209" i="2"/>
  <c r="V209" i="2"/>
  <c r="Q209" i="2"/>
  <c r="W198" i="2" a="1"/>
  <c r="W198" i="2" s="1"/>
  <c r="R226" i="2"/>
  <c r="S226" i="2"/>
  <c r="T226" i="2"/>
  <c r="W226" i="2" a="1"/>
  <c r="W226" i="2" s="1"/>
  <c r="W149" i="2" a="1"/>
  <c r="W149" i="2" s="1"/>
  <c r="S234" i="2"/>
  <c r="V179" i="2"/>
  <c r="R177" i="2"/>
  <c r="V175" i="2"/>
  <c r="R173" i="2"/>
  <c r="V171" i="2"/>
  <c r="R169" i="2"/>
  <c r="R165" i="2"/>
  <c r="V163" i="2"/>
  <c r="W159" i="2" a="1"/>
  <c r="W159" i="2" s="1"/>
  <c r="V155" i="2"/>
  <c r="W144" i="2" a="1"/>
  <c r="W144" i="2" s="1"/>
  <c r="W128" i="2" a="1"/>
  <c r="W128" i="2" s="1"/>
  <c r="U128" i="2"/>
  <c r="U124" i="2"/>
  <c r="V239" i="2"/>
  <c r="X226" i="2"/>
  <c r="S225" i="2"/>
  <c r="U217" i="2"/>
  <c r="V217" i="2"/>
  <c r="Q217" i="2"/>
  <c r="U214" i="2"/>
  <c r="W206" i="2" a="1"/>
  <c r="W206" i="2" s="1"/>
  <c r="W197" i="2" a="1"/>
  <c r="W197" i="2" s="1"/>
  <c r="V186" i="2"/>
  <c r="V159" i="2"/>
  <c r="W152" i="2" a="1"/>
  <c r="W152" i="2" s="1"/>
  <c r="R151" i="2"/>
  <c r="V144" i="2"/>
  <c r="T239" i="2"/>
  <c r="W233" i="2" a="1"/>
  <c r="W233" i="2" s="1"/>
  <c r="V222" i="2"/>
  <c r="Q221" i="2"/>
  <c r="R210" i="2"/>
  <c r="W210" i="2" a="1"/>
  <c r="W210" i="2" s="1"/>
  <c r="V190" i="2"/>
  <c r="T189" i="2"/>
  <c r="U189" i="2"/>
  <c r="V189" i="2"/>
  <c r="Q189" i="2"/>
  <c r="X189" i="2"/>
  <c r="R194" i="2"/>
  <c r="W194" i="2" a="1"/>
  <c r="W194" i="2" s="1"/>
  <c r="W172" i="2" a="1"/>
  <c r="W172" i="2" s="1"/>
  <c r="W168" i="2" a="1"/>
  <c r="W168" i="2" s="1"/>
  <c r="W160" i="2" a="1"/>
  <c r="W160" i="2" s="1"/>
  <c r="R155" i="2"/>
  <c r="W155" i="2" a="1"/>
  <c r="W155" i="2" s="1"/>
  <c r="V152" i="2"/>
  <c r="U133" i="2"/>
  <c r="R133" i="2"/>
  <c r="Q127" i="2"/>
  <c r="V127" i="2"/>
  <c r="W124" i="2" a="1"/>
  <c r="W124" i="2" s="1"/>
  <c r="V124" i="2"/>
  <c r="S239" i="2"/>
  <c r="S233" i="2"/>
  <c r="V226" i="2"/>
  <c r="T225" i="2"/>
  <c r="U225" i="2"/>
  <c r="V225" i="2"/>
  <c r="Q225" i="2"/>
  <c r="X225" i="2"/>
  <c r="U222" i="2"/>
  <c r="R214" i="2"/>
  <c r="W214" i="2" a="1"/>
  <c r="W214" i="2" s="1"/>
  <c r="W205" i="2" a="1"/>
  <c r="W205" i="2" s="1"/>
  <c r="V194" i="2"/>
  <c r="U190" i="2"/>
  <c r="V172" i="2"/>
  <c r="V168" i="2"/>
  <c r="V160" i="2"/>
  <c r="U152" i="2"/>
  <c r="V149" i="2"/>
  <c r="Q144" i="2"/>
  <c r="U141" i="2"/>
  <c r="V123" i="2"/>
  <c r="R239" i="2"/>
  <c r="Q237" i="2"/>
  <c r="R233" i="2"/>
  <c r="T229" i="2"/>
  <c r="U229" i="2"/>
  <c r="V229" i="2"/>
  <c r="Q229" i="2"/>
  <c r="X229" i="2"/>
  <c r="U226" i="2"/>
  <c r="Q222" i="2"/>
  <c r="W218" i="2" a="1"/>
  <c r="W218" i="2" s="1"/>
  <c r="W209" i="2" a="1"/>
  <c r="W209" i="2" s="1"/>
  <c r="V198" i="2"/>
  <c r="U197" i="2"/>
  <c r="V197" i="2"/>
  <c r="Q197" i="2"/>
  <c r="U194" i="2"/>
  <c r="Q190" i="2"/>
  <c r="R186" i="2"/>
  <c r="S186" i="2"/>
  <c r="T186" i="2"/>
  <c r="W186" i="2" a="1"/>
  <c r="W186" i="2" s="1"/>
  <c r="S232" i="2"/>
  <c r="U231" i="2"/>
  <c r="S228" i="2"/>
  <c r="U227" i="2"/>
  <c r="S224" i="2"/>
  <c r="U223" i="2"/>
  <c r="S220" i="2"/>
  <c r="U219" i="2"/>
  <c r="U203" i="2"/>
  <c r="U195" i="2"/>
  <c r="U191" i="2"/>
  <c r="S188" i="2"/>
  <c r="U187" i="2"/>
  <c r="R231" i="2"/>
  <c r="R227" i="2"/>
  <c r="R223" i="2"/>
  <c r="R195" i="2"/>
  <c r="R191" i="2"/>
  <c r="R187" i="2"/>
  <c r="X231" i="2"/>
  <c r="X227" i="2"/>
  <c r="X223" i="2"/>
  <c r="X191" i="2"/>
  <c r="T56" i="2"/>
  <c r="R5" i="2"/>
  <c r="W179" i="2" a="1"/>
  <c r="W179" i="2" s="1"/>
  <c r="X178" i="2"/>
  <c r="Q178" i="2"/>
  <c r="W175" i="2" a="1"/>
  <c r="W175" i="2" s="1"/>
  <c r="X174" i="2"/>
  <c r="Q174" i="2"/>
  <c r="W171" i="2" a="1"/>
  <c r="W171" i="2" s="1"/>
  <c r="X170" i="2"/>
  <c r="Q170" i="2"/>
  <c r="X166" i="2"/>
  <c r="Q166" i="2"/>
  <c r="W163" i="2" a="1"/>
  <c r="W163" i="2" s="1"/>
  <c r="Q158" i="2"/>
  <c r="Q150" i="2"/>
  <c r="Q142" i="2"/>
  <c r="Q138" i="2"/>
  <c r="Q134" i="2"/>
  <c r="R49" i="2"/>
  <c r="U179" i="2"/>
  <c r="W178" i="2" a="1"/>
  <c r="W178" i="2" s="1"/>
  <c r="X177" i="2"/>
  <c r="Q177" i="2"/>
  <c r="U175" i="2"/>
  <c r="W174" i="2" a="1"/>
  <c r="W174" i="2" s="1"/>
  <c r="X173" i="2"/>
  <c r="Q173" i="2"/>
  <c r="S172" i="2"/>
  <c r="U171" i="2"/>
  <c r="W170" i="2" a="1"/>
  <c r="W170" i="2" s="1"/>
  <c r="X169" i="2"/>
  <c r="Q169" i="2"/>
  <c r="S168" i="2"/>
  <c r="W166" i="2" a="1"/>
  <c r="W166" i="2" s="1"/>
  <c r="X165" i="2"/>
  <c r="Q165" i="2"/>
  <c r="U163" i="2"/>
  <c r="S160" i="2"/>
  <c r="U159" i="2"/>
  <c r="W158" i="2" a="1"/>
  <c r="W158" i="2" s="1"/>
  <c r="Q157" i="2"/>
  <c r="U155" i="2"/>
  <c r="U151" i="2"/>
  <c r="W150" i="2" a="1"/>
  <c r="W150" i="2" s="1"/>
  <c r="Q149" i="2"/>
  <c r="U143" i="2"/>
  <c r="Q141" i="2"/>
  <c r="W138" i="2" a="1"/>
  <c r="W138" i="2" s="1"/>
  <c r="Q137" i="2"/>
  <c r="W134" i="2" a="1"/>
  <c r="W134" i="2" s="1"/>
  <c r="Q133" i="2"/>
  <c r="U127" i="2"/>
  <c r="U123" i="2"/>
  <c r="T179" i="2"/>
  <c r="V178" i="2"/>
  <c r="T175" i="2"/>
  <c r="V174" i="2"/>
  <c r="R172" i="2"/>
  <c r="T171" i="2"/>
  <c r="V170" i="2"/>
  <c r="R168" i="2"/>
  <c r="V166" i="2"/>
  <c r="T163" i="2"/>
  <c r="R160" i="2"/>
  <c r="V158" i="2"/>
  <c r="R152" i="2"/>
  <c r="V150" i="2"/>
  <c r="V142" i="2"/>
  <c r="V138" i="2"/>
  <c r="R136" i="2"/>
  <c r="V134" i="2"/>
  <c r="V13" i="2"/>
  <c r="S179" i="2"/>
  <c r="U178" i="2"/>
  <c r="S175" i="2"/>
  <c r="U174" i="2"/>
  <c r="X172" i="2"/>
  <c r="S171" i="2"/>
  <c r="U170" i="2"/>
  <c r="X168" i="2"/>
  <c r="U166" i="2"/>
  <c r="S163" i="2"/>
  <c r="X160" i="2"/>
  <c r="U158" i="2"/>
  <c r="U150" i="2"/>
  <c r="W141" i="2" a="1"/>
  <c r="W141" i="2" s="1"/>
  <c r="Q140" i="2"/>
  <c r="U138" i="2"/>
  <c r="W137" i="2" a="1"/>
  <c r="W137" i="2" s="1"/>
  <c r="Q136" i="2"/>
  <c r="U134" i="2"/>
  <c r="W133" i="2" a="1"/>
  <c r="W133" i="2" s="1"/>
  <c r="Q128" i="2"/>
  <c r="Q124" i="2"/>
  <c r="R13" i="2"/>
  <c r="T178" i="2"/>
  <c r="T174" i="2"/>
  <c r="T170" i="2"/>
  <c r="T166" i="2"/>
  <c r="V67" i="2"/>
  <c r="S178" i="2"/>
  <c r="S174" i="2"/>
  <c r="S170" i="2"/>
  <c r="S166" i="2"/>
  <c r="Q101" i="2"/>
  <c r="V48" i="2"/>
  <c r="R45" i="2"/>
  <c r="V68" i="2"/>
  <c r="R101" i="2"/>
  <c r="T104" i="2"/>
  <c r="U67" i="2"/>
  <c r="V100" i="2"/>
  <c r="U103" i="2"/>
  <c r="S100" i="2"/>
  <c r="R108" i="2"/>
  <c r="R100" i="2"/>
  <c r="V83" i="2"/>
  <c r="X101" i="2"/>
  <c r="V79" i="2"/>
  <c r="R113" i="2"/>
  <c r="S108" i="2"/>
  <c r="V95" i="2"/>
  <c r="R73" i="2"/>
  <c r="R69" i="2"/>
  <c r="X65" i="2"/>
  <c r="T103" i="2"/>
  <c r="T100" i="2"/>
  <c r="R97" i="2"/>
  <c r="V72" i="2"/>
  <c r="S72" i="2"/>
  <c r="V64" i="2"/>
  <c r="T115" i="2"/>
  <c r="Q85" i="2"/>
  <c r="U83" i="2"/>
  <c r="T119" i="2"/>
  <c r="R116" i="2"/>
  <c r="T111" i="2"/>
  <c r="V104" i="2"/>
  <c r="V88" i="2"/>
  <c r="T72" i="2"/>
  <c r="X69" i="2"/>
  <c r="V115" i="2"/>
  <c r="S104" i="2"/>
  <c r="Q97" i="2"/>
  <c r="U95" i="2"/>
  <c r="Q81" i="2"/>
  <c r="U79" i="2"/>
  <c r="R72" i="2"/>
  <c r="Q69" i="2"/>
  <c r="R117" i="2"/>
  <c r="U115" i="2"/>
  <c r="S112" i="2"/>
  <c r="R109" i="2"/>
  <c r="R104" i="2"/>
  <c r="V116" i="2"/>
  <c r="T108" i="2"/>
  <c r="V103" i="2"/>
  <c r="R89" i="2"/>
  <c r="V87" i="2"/>
  <c r="Q73" i="2"/>
  <c r="T68" i="2"/>
  <c r="T116" i="2"/>
  <c r="V111" i="2"/>
  <c r="R105" i="2"/>
  <c r="Q89" i="2"/>
  <c r="S68" i="2"/>
  <c r="V119" i="2"/>
  <c r="S116" i="2"/>
  <c r="U111" i="2"/>
  <c r="V39" i="2"/>
  <c r="W119" i="2" a="1"/>
  <c r="W119" i="2" s="1"/>
  <c r="X118" i="2"/>
  <c r="Q118" i="2"/>
  <c r="S117" i="2"/>
  <c r="U116" i="2"/>
  <c r="W115" i="2" a="1"/>
  <c r="W115" i="2" s="1"/>
  <c r="X114" i="2"/>
  <c r="Q114" i="2"/>
  <c r="S113" i="2"/>
  <c r="W111" i="2" a="1"/>
  <c r="W111" i="2" s="1"/>
  <c r="Q110" i="2"/>
  <c r="S109" i="2"/>
  <c r="U108" i="2"/>
  <c r="S105" i="2"/>
  <c r="U104" i="2"/>
  <c r="W103" i="2" a="1"/>
  <c r="W103" i="2" s="1"/>
  <c r="X102" i="2"/>
  <c r="Q102" i="2"/>
  <c r="S101" i="2"/>
  <c r="U100" i="2"/>
  <c r="W95" i="2" a="1"/>
  <c r="W95" i="2" s="1"/>
  <c r="Q94" i="2"/>
  <c r="U88" i="2"/>
  <c r="Q86" i="2"/>
  <c r="W83" i="2" a="1"/>
  <c r="W83" i="2" s="1"/>
  <c r="Q82" i="2"/>
  <c r="W79" i="2" a="1"/>
  <c r="W79" i="2" s="1"/>
  <c r="U72" i="2"/>
  <c r="S69" i="2"/>
  <c r="U68" i="2"/>
  <c r="W67" i="2" a="1"/>
  <c r="W67" i="2" s="1"/>
  <c r="Q66" i="2"/>
  <c r="U64" i="2"/>
  <c r="R56" i="2"/>
  <c r="T48" i="2"/>
  <c r="V11" i="2"/>
  <c r="U119" i="2"/>
  <c r="W118" i="2" a="1"/>
  <c r="W118" i="2" s="1"/>
  <c r="X117" i="2"/>
  <c r="Q117" i="2"/>
  <c r="W114" i="2" a="1"/>
  <c r="W114" i="2" s="1"/>
  <c r="X113" i="2"/>
  <c r="Q113" i="2"/>
  <c r="W110" i="2" a="1"/>
  <c r="W110" i="2" s="1"/>
  <c r="X109" i="2"/>
  <c r="Q109" i="2"/>
  <c r="X105" i="2"/>
  <c r="Q105" i="2"/>
  <c r="W102" i="2" a="1"/>
  <c r="W102" i="2" s="1"/>
  <c r="W94" i="2" a="1"/>
  <c r="W94" i="2" s="1"/>
  <c r="W86" i="2" a="1"/>
  <c r="W86" i="2" s="1"/>
  <c r="W82" i="2" a="1"/>
  <c r="W82" i="2" s="1"/>
  <c r="W66" i="2" a="1"/>
  <c r="W66" i="2" s="1"/>
  <c r="V118" i="2"/>
  <c r="V114" i="2"/>
  <c r="V102" i="2"/>
  <c r="V94" i="2"/>
  <c r="V86" i="2"/>
  <c r="V82" i="2"/>
  <c r="R68" i="2"/>
  <c r="V66" i="2"/>
  <c r="T51" i="2"/>
  <c r="T47" i="2"/>
  <c r="S119" i="2"/>
  <c r="U118" i="2"/>
  <c r="W117" i="2" a="1"/>
  <c r="W117" i="2" s="1"/>
  <c r="X116" i="2"/>
  <c r="Q116" i="2"/>
  <c r="S115" i="2"/>
  <c r="U114" i="2"/>
  <c r="W113" i="2" a="1"/>
  <c r="W113" i="2" s="1"/>
  <c r="S111" i="2"/>
  <c r="W109" i="2" a="1"/>
  <c r="W109" i="2" s="1"/>
  <c r="X108" i="2"/>
  <c r="Q108" i="2"/>
  <c r="U106" i="2"/>
  <c r="W105" i="2" a="1"/>
  <c r="W105" i="2" s="1"/>
  <c r="X104" i="2"/>
  <c r="Q104" i="2"/>
  <c r="S103" i="2"/>
  <c r="U102" i="2"/>
  <c r="W101" i="2" a="1"/>
  <c r="W101" i="2" s="1"/>
  <c r="X100" i="2"/>
  <c r="Q100" i="2"/>
  <c r="W97" i="2" a="1"/>
  <c r="W97" i="2" s="1"/>
  <c r="U94" i="2"/>
  <c r="W89" i="2" a="1"/>
  <c r="W89" i="2" s="1"/>
  <c r="Q88" i="2"/>
  <c r="U86" i="2"/>
  <c r="W85" i="2" a="1"/>
  <c r="W85" i="2" s="1"/>
  <c r="U82" i="2"/>
  <c r="W81" i="2" a="1"/>
  <c r="W81" i="2" s="1"/>
  <c r="W73" i="2" a="1"/>
  <c r="W73" i="2" s="1"/>
  <c r="X72" i="2"/>
  <c r="Q72" i="2"/>
  <c r="W69" i="2" a="1"/>
  <c r="W69" i="2" s="1"/>
  <c r="X68" i="2"/>
  <c r="Q68" i="2"/>
  <c r="U66" i="2"/>
  <c r="Q64" i="2"/>
  <c r="T40" i="2"/>
  <c r="R119" i="2"/>
  <c r="T118" i="2"/>
  <c r="V117" i="2"/>
  <c r="R115" i="2"/>
  <c r="T114" i="2"/>
  <c r="V113" i="2"/>
  <c r="R111" i="2"/>
  <c r="V109" i="2"/>
  <c r="T106" i="2"/>
  <c r="V105" i="2"/>
  <c r="R103" i="2"/>
  <c r="T102" i="2"/>
  <c r="V101" i="2"/>
  <c r="V97" i="2"/>
  <c r="R95" i="2"/>
  <c r="V89" i="2"/>
  <c r="V85" i="2"/>
  <c r="V81" i="2"/>
  <c r="V73" i="2"/>
  <c r="V69" i="2"/>
  <c r="R67" i="2"/>
  <c r="R40" i="2"/>
  <c r="V17" i="2"/>
  <c r="X119" i="2"/>
  <c r="S118" i="2"/>
  <c r="U117" i="2"/>
  <c r="X115" i="2"/>
  <c r="S114" i="2"/>
  <c r="U113" i="2"/>
  <c r="X111" i="2"/>
  <c r="S110" i="2"/>
  <c r="U109" i="2"/>
  <c r="W108" i="2" a="1"/>
  <c r="W108" i="2" s="1"/>
  <c r="U105" i="2"/>
  <c r="X103" i="2"/>
  <c r="S102" i="2"/>
  <c r="U101" i="2"/>
  <c r="U97" i="2"/>
  <c r="U89" i="2"/>
  <c r="U85" i="2"/>
  <c r="U81" i="2"/>
  <c r="U73" i="2"/>
  <c r="U69" i="2"/>
  <c r="V59" i="2"/>
  <c r="V27" i="2"/>
  <c r="T59" i="2"/>
  <c r="V4" i="2"/>
  <c r="R57" i="2"/>
  <c r="V51" i="2"/>
  <c r="R48" i="2"/>
  <c r="V28" i="2"/>
  <c r="V3" i="2"/>
  <c r="V12" i="2"/>
  <c r="V5" i="2"/>
  <c r="V56" i="2"/>
  <c r="R53" i="2"/>
  <c r="V47" i="2"/>
  <c r="V40" i="2"/>
  <c r="V31" i="2"/>
  <c r="V24" i="2"/>
  <c r="W59" i="2" a="1"/>
  <c r="W59" i="2" s="1"/>
  <c r="X58" i="2"/>
  <c r="Q58" i="2"/>
  <c r="S57" i="2"/>
  <c r="U56" i="2"/>
  <c r="S53" i="2"/>
  <c r="W51" i="2" a="1"/>
  <c r="W51" i="2" s="1"/>
  <c r="X50" i="2"/>
  <c r="Q50" i="2"/>
  <c r="S49" i="2"/>
  <c r="U48" i="2"/>
  <c r="W47" i="2" a="1"/>
  <c r="W47" i="2" s="1"/>
  <c r="X46" i="2"/>
  <c r="Q46" i="2"/>
  <c r="S45" i="2"/>
  <c r="X42" i="2"/>
  <c r="Q42" i="2"/>
  <c r="U40" i="2"/>
  <c r="W39" i="2" a="1"/>
  <c r="W39" i="2" s="1"/>
  <c r="Q38" i="2"/>
  <c r="Q34" i="2"/>
  <c r="W31" i="2" a="1"/>
  <c r="W31" i="2" s="1"/>
  <c r="Q30" i="2"/>
  <c r="U28" i="2"/>
  <c r="W27" i="2" a="1"/>
  <c r="W27" i="2" s="1"/>
  <c r="Q26" i="2"/>
  <c r="U24" i="2"/>
  <c r="Q14" i="2"/>
  <c r="U12" i="2"/>
  <c r="W11" i="2" a="1"/>
  <c r="W11" i="2" s="1"/>
  <c r="W7" i="2" a="1"/>
  <c r="W7" i="2" s="1"/>
  <c r="Q6" i="2"/>
  <c r="U4" i="2"/>
  <c r="W3" i="2" a="1"/>
  <c r="W3" i="2" s="1"/>
  <c r="U59" i="2"/>
  <c r="W58" i="2" a="1"/>
  <c r="W58" i="2" s="1"/>
  <c r="X57" i="2"/>
  <c r="Q57" i="2"/>
  <c r="S56" i="2"/>
  <c r="U55" i="2"/>
  <c r="X53" i="2"/>
  <c r="Q53" i="2"/>
  <c r="U51" i="2"/>
  <c r="W50" i="2" a="1"/>
  <c r="W50" i="2" s="1"/>
  <c r="X49" i="2"/>
  <c r="Q49" i="2"/>
  <c r="S48" i="2"/>
  <c r="U47" i="2"/>
  <c r="W46" i="2" a="1"/>
  <c r="W46" i="2" s="1"/>
  <c r="X45" i="2"/>
  <c r="Q45" i="2"/>
  <c r="W42" i="2" a="1"/>
  <c r="W42" i="2" s="1"/>
  <c r="S40" i="2"/>
  <c r="U39" i="2"/>
  <c r="W38" i="2" a="1"/>
  <c r="W38" i="2" s="1"/>
  <c r="Q37" i="2"/>
  <c r="W34" i="2" a="1"/>
  <c r="W34" i="2" s="1"/>
  <c r="U31" i="2"/>
  <c r="W30" i="2" a="1"/>
  <c r="W30" i="2" s="1"/>
  <c r="U27" i="2"/>
  <c r="W26" i="2" a="1"/>
  <c r="W26" i="2" s="1"/>
  <c r="W22" i="2" a="1"/>
  <c r="W22" i="2" s="1"/>
  <c r="Q17" i="2"/>
  <c r="W14" i="2" a="1"/>
  <c r="W14" i="2" s="1"/>
  <c r="Q13" i="2"/>
  <c r="U11" i="2"/>
  <c r="U7" i="2"/>
  <c r="W6" i="2" a="1"/>
  <c r="W6" i="2" s="1"/>
  <c r="Q5" i="2"/>
  <c r="U3" i="2"/>
  <c r="V58" i="2"/>
  <c r="V50" i="2"/>
  <c r="V46" i="2"/>
  <c r="V42" i="2"/>
  <c r="V38" i="2"/>
  <c r="V34" i="2"/>
  <c r="V30" i="2"/>
  <c r="V26" i="2"/>
  <c r="V14" i="2"/>
  <c r="R12" i="2"/>
  <c r="S59" i="2"/>
  <c r="U58" i="2"/>
  <c r="W57" i="2" a="1"/>
  <c r="W57" i="2" s="1"/>
  <c r="X56" i="2"/>
  <c r="Q56" i="2"/>
  <c r="W53" i="2" a="1"/>
  <c r="W53" i="2" s="1"/>
  <c r="S51" i="2"/>
  <c r="U50" i="2"/>
  <c r="W49" i="2" a="1"/>
  <c r="W49" i="2" s="1"/>
  <c r="X48" i="2"/>
  <c r="Q48" i="2"/>
  <c r="S47" i="2"/>
  <c r="U46" i="2"/>
  <c r="W45" i="2" a="1"/>
  <c r="W45" i="2" s="1"/>
  <c r="X44" i="2"/>
  <c r="U42" i="2"/>
  <c r="X40" i="2"/>
  <c r="Q40" i="2"/>
  <c r="U38" i="2"/>
  <c r="U34" i="2"/>
  <c r="U30" i="2"/>
  <c r="Q28" i="2"/>
  <c r="U26" i="2"/>
  <c r="Q24" i="2"/>
  <c r="W17" i="2" a="1"/>
  <c r="W17" i="2" s="1"/>
  <c r="U14" i="2"/>
  <c r="W13" i="2" a="1"/>
  <c r="W13" i="2" s="1"/>
  <c r="Q12" i="2"/>
  <c r="W9" i="2" a="1"/>
  <c r="W9" i="2" s="1"/>
  <c r="W5" i="2" a="1"/>
  <c r="W5" i="2" s="1"/>
  <c r="Q4" i="2"/>
  <c r="R59" i="2"/>
  <c r="T58" i="2"/>
  <c r="V57" i="2"/>
  <c r="V53" i="2"/>
  <c r="R51" i="2"/>
  <c r="T50" i="2"/>
  <c r="V49" i="2"/>
  <c r="R47" i="2"/>
  <c r="T46" i="2"/>
  <c r="V45" i="2"/>
  <c r="T42" i="2"/>
  <c r="R35" i="2"/>
  <c r="R31" i="2"/>
  <c r="R3" i="2"/>
  <c r="X59" i="2"/>
  <c r="S58" i="2"/>
  <c r="U57" i="2"/>
  <c r="U53" i="2"/>
  <c r="X51" i="2"/>
  <c r="S50" i="2"/>
  <c r="U49" i="2"/>
  <c r="X47" i="2"/>
  <c r="S46" i="2"/>
  <c r="U45" i="2"/>
  <c r="S42" i="2"/>
  <c r="H93" i="1" a="1"/>
  <c r="H93" i="1" s="1"/>
  <c r="H86" i="1" a="1"/>
  <c r="H86" i="1" s="1"/>
  <c r="F79" i="1"/>
  <c r="F78" i="1"/>
  <c r="F76" i="1"/>
  <c r="G77" i="1" s="1"/>
  <c r="G80" i="1" s="1" a="1"/>
  <c r="G80" i="1" s="1"/>
  <c r="Q8" i="1"/>
  <c r="R309" i="2" s="1"/>
  <c r="Q9" i="1"/>
  <c r="R550" i="2" s="1"/>
  <c r="Q10" i="1"/>
  <c r="R11" i="2" s="1"/>
  <c r="Q16" i="1"/>
  <c r="R17" i="2" s="1"/>
  <c r="Q17" i="1"/>
  <c r="Q18" i="1"/>
  <c r="R259" i="2" s="1"/>
  <c r="Q19" i="1"/>
  <c r="R140" i="2" s="1"/>
  <c r="Q20" i="1"/>
  <c r="R81" i="2" s="1"/>
  <c r="Q21" i="1"/>
  <c r="Q22" i="1"/>
  <c r="R203" i="2" s="1"/>
  <c r="Q23" i="1"/>
  <c r="R444" i="2" s="1"/>
  <c r="Q24" i="1"/>
  <c r="Q25" i="1"/>
  <c r="Q26" i="1"/>
  <c r="R87" i="2" s="1"/>
  <c r="Q27" i="1"/>
  <c r="R508" i="2" s="1"/>
  <c r="F71" i="1"/>
  <c r="F72" i="1"/>
  <c r="F68" i="1"/>
  <c r="G69" i="1" s="1"/>
  <c r="G73" i="1" s="1" a="1"/>
  <c r="G73" i="1" s="1"/>
  <c r="F70" i="1"/>
  <c r="N123" i="2"/>
  <c r="Q37" i="1"/>
  <c r="R458" i="2" s="1"/>
  <c r="Q38" i="1"/>
  <c r="R219" i="2" s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S43" i="2" l="1"/>
  <c r="R112" i="2"/>
  <c r="X176" i="2"/>
  <c r="T290" i="2"/>
  <c r="T350" i="2"/>
  <c r="S530" i="2"/>
  <c r="R520" i="2"/>
  <c r="S761" i="2"/>
  <c r="X417" i="2"/>
  <c r="T405" i="2"/>
  <c r="R777" i="2"/>
  <c r="R235" i="2"/>
  <c r="V43" i="2"/>
  <c r="U167" i="2"/>
  <c r="V259" i="2"/>
  <c r="U259" i="2"/>
  <c r="V350" i="2"/>
  <c r="W520" i="2" a="1"/>
  <c r="W520" i="2" s="1"/>
  <c r="S525" i="2"/>
  <c r="X761" i="2"/>
  <c r="U41" i="2"/>
  <c r="R176" i="2"/>
  <c r="S350" i="2"/>
  <c r="U350" i="2"/>
  <c r="R468" i="2"/>
  <c r="T520" i="2"/>
  <c r="Q520" i="2"/>
  <c r="V582" i="2"/>
  <c r="W343" i="2" a="1"/>
  <c r="W343" i="2" s="1"/>
  <c r="V410" i="2"/>
  <c r="W777" i="2" a="1"/>
  <c r="W777" i="2" s="1"/>
  <c r="U36" i="2"/>
  <c r="U90" i="2"/>
  <c r="V7" i="2"/>
  <c r="R131" i="2"/>
  <c r="U146" i="2"/>
  <c r="Q146" i="2"/>
  <c r="R7" i="2"/>
  <c r="U15" i="2"/>
  <c r="U35" i="2"/>
  <c r="Q80" i="2"/>
  <c r="V90" i="2"/>
  <c r="R135" i="2"/>
  <c r="V253" i="2"/>
  <c r="R335" i="2"/>
  <c r="W371" i="2" a="1"/>
  <c r="W371" i="2" s="1"/>
  <c r="R434" i="2"/>
  <c r="V516" i="2"/>
  <c r="U6" i="2"/>
  <c r="U135" i="2"/>
  <c r="W135" i="2" a="1"/>
  <c r="W135" i="2" s="1"/>
  <c r="V151" i="2"/>
  <c r="Q246" i="2"/>
  <c r="U328" i="2"/>
  <c r="V371" i="2"/>
  <c r="R451" i="2"/>
  <c r="W453" i="2" a="1"/>
  <c r="W453" i="2" s="1"/>
  <c r="Q450" i="2"/>
  <c r="W450" i="2" a="1"/>
  <c r="W450" i="2" s="1"/>
  <c r="V499" i="2"/>
  <c r="V512" i="2"/>
  <c r="W556" i="2" a="1"/>
  <c r="W556" i="2" s="1"/>
  <c r="Q553" i="2"/>
  <c r="V571" i="2"/>
  <c r="Q605" i="2"/>
  <c r="R676" i="2"/>
  <c r="U676" i="2"/>
  <c r="W663" i="2" a="1"/>
  <c r="W663" i="2" s="1"/>
  <c r="R756" i="2"/>
  <c r="W738" i="2" a="1"/>
  <c r="W738" i="2" s="1"/>
  <c r="V91" i="2"/>
  <c r="V192" i="2"/>
  <c r="W391" i="2" a="1"/>
  <c r="W391" i="2" s="1"/>
  <c r="R391" i="2"/>
  <c r="W425" i="2" a="1"/>
  <c r="W425" i="2" s="1"/>
  <c r="U450" i="2"/>
  <c r="S490" i="2"/>
  <c r="R512" i="2"/>
  <c r="Q502" i="2"/>
  <c r="U391" i="2"/>
  <c r="W570" i="2" a="1"/>
  <c r="W570" i="2" s="1"/>
  <c r="R553" i="2"/>
  <c r="R571" i="2"/>
  <c r="R607" i="2"/>
  <c r="W571" i="2" a="1"/>
  <c r="W571" i="2" s="1"/>
  <c r="U611" i="2"/>
  <c r="R624" i="2"/>
  <c r="V663" i="2"/>
  <c r="R738" i="2"/>
  <c r="V135" i="2"/>
  <c r="R36" i="2"/>
  <c r="R91" i="2"/>
  <c r="V36" i="2"/>
  <c r="V70" i="2"/>
  <c r="Q90" i="2"/>
  <c r="U91" i="2"/>
  <c r="T246" i="2"/>
  <c r="Q268" i="2"/>
  <c r="V199" i="2"/>
  <c r="S253" i="2"/>
  <c r="U268" i="2"/>
  <c r="U434" i="2"/>
  <c r="W328" i="2" a="1"/>
  <c r="W328" i="2" s="1"/>
  <c r="T490" i="2"/>
  <c r="U490" i="2"/>
  <c r="Q512" i="2"/>
  <c r="V490" i="2"/>
  <c r="R516" i="2"/>
  <c r="Q556" i="2"/>
  <c r="U571" i="2"/>
  <c r="Q445" i="2"/>
  <c r="Q558" i="2"/>
  <c r="U605" i="2"/>
  <c r="W605" i="2" a="1"/>
  <c r="W605" i="2" s="1"/>
  <c r="Q624" i="2"/>
  <c r="U624" i="2"/>
  <c r="V624" i="2"/>
  <c r="R665" i="2"/>
  <c r="W729" i="2" a="1"/>
  <c r="W729" i="2" s="1"/>
  <c r="U756" i="2"/>
  <c r="V6" i="2"/>
  <c r="Q9" i="2"/>
  <c r="V146" i="2"/>
  <c r="U145" i="2"/>
  <c r="W199" i="2" a="1"/>
  <c r="W199" i="2" s="1"/>
  <c r="Q36" i="2"/>
  <c r="W35" i="2" a="1"/>
  <c r="W35" i="2" s="1"/>
  <c r="W91" i="2" a="1"/>
  <c r="W91" i="2" s="1"/>
  <c r="V9" i="2"/>
  <c r="U131" i="2"/>
  <c r="Q145" i="2"/>
  <c r="S192" i="2"/>
  <c r="W253" i="2" a="1"/>
  <c r="W253" i="2" s="1"/>
  <c r="V268" i="2"/>
  <c r="Q253" i="2"/>
  <c r="V328" i="2"/>
  <c r="V391" i="2"/>
  <c r="X253" i="2"/>
  <c r="W445" i="2" a="1"/>
  <c r="W445" i="2" s="1"/>
  <c r="T434" i="2"/>
  <c r="Q516" i="2"/>
  <c r="V448" i="2"/>
  <c r="W558" i="2" a="1"/>
  <c r="W558" i="2" s="1"/>
  <c r="R611" i="2"/>
  <c r="W625" i="2" a="1"/>
  <c r="W625" i="2" s="1"/>
  <c r="R625" i="2"/>
  <c r="U663" i="2"/>
  <c r="Q756" i="2"/>
  <c r="V35" i="2"/>
  <c r="U192" i="2"/>
  <c r="V246" i="2"/>
  <c r="R253" i="2"/>
  <c r="U335" i="2"/>
  <c r="S371" i="2"/>
  <c r="T371" i="2"/>
  <c r="V445" i="2"/>
  <c r="Q448" i="2"/>
  <c r="Q434" i="2"/>
  <c r="W434" i="2" a="1"/>
  <c r="W434" i="2" s="1"/>
  <c r="S434" i="2"/>
  <c r="U553" i="2"/>
  <c r="V553" i="2"/>
  <c r="U558" i="2"/>
  <c r="Q570" i="2"/>
  <c r="R570" i="2"/>
  <c r="R556" i="2"/>
  <c r="R663" i="2"/>
  <c r="Q729" i="2"/>
  <c r="R683" i="2"/>
  <c r="V729" i="2"/>
  <c r="U794" i="2"/>
  <c r="W90" i="2" a="1"/>
  <c r="W90" i="2" s="1"/>
  <c r="U199" i="2"/>
  <c r="V145" i="2"/>
  <c r="W151" i="2" a="1"/>
  <c r="W151" i="2" s="1"/>
  <c r="R192" i="2"/>
  <c r="S185" i="2"/>
  <c r="S246" i="2"/>
  <c r="W320" i="2" a="1"/>
  <c r="W320" i="2" s="1"/>
  <c r="U371" i="2"/>
  <c r="W490" i="2" a="1"/>
  <c r="W490" i="2" s="1"/>
  <c r="U499" i="2"/>
  <c r="U625" i="2"/>
  <c r="S553" i="2"/>
  <c r="V625" i="2"/>
  <c r="W611" i="2" a="1"/>
  <c r="W611" i="2" s="1"/>
  <c r="Q676" i="2"/>
  <c r="V756" i="2"/>
  <c r="Q10" i="2"/>
  <c r="W153" i="2" a="1"/>
  <c r="W153" i="2" s="1"/>
  <c r="Q306" i="2"/>
  <c r="W381" i="2" a="1"/>
  <c r="W381" i="2" s="1"/>
  <c r="U452" i="2"/>
  <c r="U543" i="2"/>
  <c r="U139" i="2"/>
  <c r="U267" i="2"/>
  <c r="V452" i="2"/>
  <c r="U207" i="2"/>
  <c r="Q513" i="2"/>
  <c r="V154" i="2"/>
  <c r="R744" i="2"/>
  <c r="U154" i="2"/>
  <c r="V433" i="2"/>
  <c r="V451" i="2"/>
  <c r="Q510" i="2"/>
  <c r="W619" i="2" a="1"/>
  <c r="W619" i="2" s="1"/>
  <c r="V510" i="2"/>
  <c r="U615" i="2"/>
  <c r="Q369" i="2"/>
  <c r="U336" i="2"/>
  <c r="V543" i="2"/>
  <c r="R234" i="2"/>
  <c r="U234" i="2"/>
  <c r="S283" i="2"/>
  <c r="T164" i="2"/>
  <c r="T299" i="2"/>
  <c r="Q298" i="2"/>
  <c r="T419" i="2"/>
  <c r="R107" i="2"/>
  <c r="Q162" i="2"/>
  <c r="U37" i="2"/>
  <c r="V107" i="2"/>
  <c r="Q161" i="2"/>
  <c r="X126" i="2"/>
  <c r="X162" i="2"/>
  <c r="V164" i="2"/>
  <c r="X234" i="2"/>
  <c r="X298" i="2"/>
  <c r="V351" i="2"/>
  <c r="U52" i="2"/>
  <c r="R52" i="2"/>
  <c r="R33" i="2"/>
  <c r="X161" i="2"/>
  <c r="V234" i="2"/>
  <c r="S298" i="2"/>
  <c r="T283" i="2"/>
  <c r="W299" i="2" a="1"/>
  <c r="W299" i="2" s="1"/>
  <c r="R344" i="2"/>
  <c r="W536" i="2" a="1"/>
  <c r="W536" i="2" s="1"/>
  <c r="T536" i="2"/>
  <c r="T162" i="2"/>
  <c r="S71" i="2"/>
  <c r="U107" i="2"/>
  <c r="U164" i="2"/>
  <c r="S54" i="2"/>
  <c r="W37" i="2" a="1"/>
  <c r="W37" i="2" s="1"/>
  <c r="X52" i="2"/>
  <c r="T52" i="2"/>
  <c r="S106" i="2"/>
  <c r="V23" i="2"/>
  <c r="W162" i="2" a="1"/>
  <c r="W162" i="2" s="1"/>
  <c r="U161" i="2"/>
  <c r="X299" i="2"/>
  <c r="W351" i="2" a="1"/>
  <c r="W351" i="2" s="1"/>
  <c r="V344" i="2"/>
  <c r="R787" i="2"/>
  <c r="Q52" i="2"/>
  <c r="Q18" i="2"/>
  <c r="V106" i="2"/>
  <c r="Q54" i="2"/>
  <c r="X107" i="2"/>
  <c r="Q106" i="2"/>
  <c r="V52" i="2"/>
  <c r="U162" i="2"/>
  <c r="R161" i="2"/>
  <c r="T161" i="2"/>
  <c r="R283" i="2"/>
  <c r="V297" i="2"/>
  <c r="Q297" i="2"/>
  <c r="W283" i="2" a="1"/>
  <c r="W283" i="2" s="1"/>
  <c r="V161" i="2"/>
  <c r="R351" i="2"/>
  <c r="S419" i="2"/>
  <c r="R536" i="2"/>
  <c r="R16" i="2"/>
  <c r="S107" i="2"/>
  <c r="S52" i="2"/>
  <c r="X106" i="2"/>
  <c r="T126" i="2"/>
  <c r="S164" i="2"/>
  <c r="W164" i="2" a="1"/>
  <c r="W164" i="2" s="1"/>
  <c r="W234" i="2" a="1"/>
  <c r="W234" i="2" s="1"/>
  <c r="S161" i="2"/>
  <c r="X283" i="2"/>
  <c r="T298" i="2"/>
  <c r="W297" i="2" a="1"/>
  <c r="W297" i="2" s="1"/>
  <c r="U283" i="2"/>
  <c r="X297" i="2"/>
  <c r="R297" i="2"/>
  <c r="S351" i="2"/>
  <c r="S344" i="2"/>
  <c r="U351" i="2"/>
  <c r="V299" i="2"/>
  <c r="U419" i="2"/>
  <c r="V419" i="2"/>
  <c r="U536" i="2"/>
  <c r="W54" i="2" a="1"/>
  <c r="W54" i="2" s="1"/>
  <c r="R65" i="2"/>
  <c r="R164" i="2"/>
  <c r="V54" i="2"/>
  <c r="U16" i="2"/>
  <c r="W71" i="2" a="1"/>
  <c r="W71" i="2" s="1"/>
  <c r="U54" i="2"/>
  <c r="X54" i="2"/>
  <c r="W106" i="2" a="1"/>
  <c r="W106" i="2" s="1"/>
  <c r="S65" i="2"/>
  <c r="T54" i="2"/>
  <c r="W107" i="2" a="1"/>
  <c r="W107" i="2" s="1"/>
  <c r="T107" i="2"/>
  <c r="S162" i="2"/>
  <c r="X164" i="2"/>
  <c r="V162" i="2"/>
  <c r="T234" i="2"/>
  <c r="R299" i="2"/>
  <c r="U298" i="2"/>
  <c r="W298" i="2" a="1"/>
  <c r="W298" i="2" s="1"/>
  <c r="T297" i="2"/>
  <c r="V283" i="2"/>
  <c r="X351" i="2"/>
  <c r="Q344" i="2"/>
  <c r="T351" i="2"/>
  <c r="R419" i="2"/>
  <c r="Q536" i="2"/>
  <c r="S536" i="2"/>
  <c r="W582" i="2" a="1"/>
  <c r="W582" i="2" s="1"/>
  <c r="U607" i="2"/>
  <c r="V623" i="2"/>
  <c r="U337" i="2"/>
  <c r="X582" i="2"/>
  <c r="Q582" i="2"/>
  <c r="U623" i="2"/>
  <c r="W607" i="2" a="1"/>
  <c r="W607" i="2" s="1"/>
  <c r="V681" i="2"/>
  <c r="Q528" i="2"/>
  <c r="W832" i="2" a="1"/>
  <c r="W832" i="2" s="1"/>
  <c r="Q832" i="2"/>
  <c r="R353" i="2"/>
  <c r="X528" i="2"/>
  <c r="R528" i="2"/>
  <c r="U520" i="2"/>
  <c r="R623" i="2"/>
  <c r="X832" i="2"/>
  <c r="T832" i="2"/>
  <c r="R337" i="2"/>
  <c r="W528" i="2" a="1"/>
  <c r="W528" i="2" s="1"/>
  <c r="S520" i="2"/>
  <c r="T582" i="2"/>
  <c r="R582" i="2"/>
  <c r="U681" i="2"/>
  <c r="X772" i="2"/>
  <c r="T772" i="2"/>
  <c r="R83" i="2"/>
  <c r="R88" i="2"/>
  <c r="R22" i="2"/>
  <c r="R28" i="2"/>
  <c r="R499" i="2"/>
  <c r="R315" i="2"/>
  <c r="W315" i="2" a="1"/>
  <c r="W315" i="2" s="1"/>
  <c r="Q315" i="2"/>
  <c r="U315" i="2"/>
  <c r="W736" i="2" a="1"/>
  <c r="W736" i="2" s="1"/>
  <c r="Q736" i="2"/>
  <c r="R307" i="2"/>
  <c r="V307" i="2"/>
  <c r="U307" i="2"/>
  <c r="Q307" i="2"/>
  <c r="W248" i="2" a="1"/>
  <c r="W248" i="2" s="1"/>
  <c r="Q248" i="2"/>
  <c r="T248" i="2"/>
  <c r="S248" i="2"/>
  <c r="V248" i="2"/>
  <c r="R248" i="2"/>
  <c r="U248" i="2"/>
  <c r="R398" i="2"/>
  <c r="W398" i="2" a="1"/>
  <c r="W398" i="2" s="1"/>
  <c r="U398" i="2"/>
  <c r="Q398" i="2"/>
  <c r="V398" i="2"/>
  <c r="Q443" i="2"/>
  <c r="R443" i="2"/>
  <c r="W443" i="2" a="1"/>
  <c r="W443" i="2" s="1"/>
  <c r="V443" i="2"/>
  <c r="U443" i="2"/>
  <c r="V372" i="2"/>
  <c r="T372" i="2"/>
  <c r="S372" i="2"/>
  <c r="U372" i="2"/>
  <c r="R372" i="2"/>
  <c r="Q372" i="2"/>
  <c r="V544" i="2"/>
  <c r="W544" i="2" a="1"/>
  <c r="W544" i="2" s="1"/>
  <c r="U544" i="2"/>
  <c r="Q544" i="2"/>
  <c r="T544" i="2"/>
  <c r="R78" i="2"/>
  <c r="V125" i="2"/>
  <c r="U125" i="2"/>
  <c r="R382" i="2"/>
  <c r="U382" i="2"/>
  <c r="Q382" i="2"/>
  <c r="W382" i="2" a="1"/>
  <c r="W382" i="2" s="1"/>
  <c r="Q575" i="2"/>
  <c r="W575" i="2" a="1"/>
  <c r="W575" i="2" s="1"/>
  <c r="U575" i="2"/>
  <c r="V575" i="2"/>
  <c r="R147" i="2"/>
  <c r="W147" i="2" a="1"/>
  <c r="W147" i="2" s="1"/>
  <c r="V147" i="2"/>
  <c r="W201" i="2" a="1"/>
  <c r="W201" i="2" s="1"/>
  <c r="V201" i="2"/>
  <c r="Q201" i="2"/>
  <c r="Q255" i="2"/>
  <c r="V255" i="2"/>
  <c r="T255" i="2"/>
  <c r="W255" i="2" a="1"/>
  <c r="W255" i="2" s="1"/>
  <c r="R255" i="2"/>
  <c r="S255" i="2"/>
  <c r="U255" i="2"/>
  <c r="R514" i="2"/>
  <c r="Q514" i="2"/>
  <c r="W514" i="2" a="1"/>
  <c r="W514" i="2" s="1"/>
  <c r="V514" i="2"/>
  <c r="U514" i="2"/>
  <c r="W208" i="2" a="1"/>
  <c r="W208" i="2" s="1"/>
  <c r="R208" i="2"/>
  <c r="Q208" i="2"/>
  <c r="V208" i="2"/>
  <c r="R262" i="2"/>
  <c r="W262" i="2" a="1"/>
  <c r="W262" i="2" s="1"/>
  <c r="Q262" i="2"/>
  <c r="U262" i="2"/>
  <c r="V262" i="2"/>
  <c r="R311" i="2"/>
  <c r="Q311" i="2"/>
  <c r="W311" i="2" a="1"/>
  <c r="W311" i="2" s="1"/>
  <c r="U311" i="2"/>
  <c r="V311" i="2"/>
  <c r="W724" i="2" a="1"/>
  <c r="W724" i="2" s="1"/>
  <c r="U724" i="2"/>
  <c r="Q215" i="2"/>
  <c r="V215" i="2"/>
  <c r="W215" i="2" a="1"/>
  <c r="W215" i="2" s="1"/>
  <c r="U269" i="2"/>
  <c r="V269" i="2"/>
  <c r="R269" i="2"/>
  <c r="W269" i="2" a="1"/>
  <c r="W269" i="2" s="1"/>
  <c r="Q269" i="2"/>
  <c r="R322" i="2"/>
  <c r="U322" i="2"/>
  <c r="Q322" i="2"/>
  <c r="V322" i="2"/>
  <c r="W322" i="2" a="1"/>
  <c r="W322" i="2" s="1"/>
  <c r="Q435" i="2"/>
  <c r="V435" i="2"/>
  <c r="S435" i="2"/>
  <c r="T435" i="2"/>
  <c r="R435" i="2"/>
  <c r="U435" i="2"/>
  <c r="R18" i="2"/>
  <c r="R205" i="2"/>
  <c r="R565" i="2"/>
  <c r="R505" i="2"/>
  <c r="R385" i="2"/>
  <c r="R325" i="2"/>
  <c r="R445" i="2"/>
  <c r="R145" i="2"/>
  <c r="R437" i="2"/>
  <c r="R257" i="2"/>
  <c r="R137" i="2"/>
  <c r="R197" i="2"/>
  <c r="R557" i="2"/>
  <c r="R497" i="2"/>
  <c r="U22" i="2"/>
  <c r="U23" i="2"/>
  <c r="R37" i="2"/>
  <c r="R71" i="2"/>
  <c r="W78" i="2" a="1"/>
  <c r="W78" i="2" s="1"/>
  <c r="U92" i="2"/>
  <c r="R77" i="2"/>
  <c r="W125" i="2" a="1"/>
  <c r="W125" i="2" s="1"/>
  <c r="U147" i="2"/>
  <c r="U215" i="2"/>
  <c r="R218" i="2"/>
  <c r="R327" i="2"/>
  <c r="V315" i="2"/>
  <c r="R447" i="2"/>
  <c r="R319" i="2"/>
  <c r="R438" i="2"/>
  <c r="R558" i="2"/>
  <c r="R199" i="2"/>
  <c r="R504" i="2"/>
  <c r="R204" i="2"/>
  <c r="R324" i="2"/>
  <c r="R264" i="2"/>
  <c r="R384" i="2"/>
  <c r="V33" i="2"/>
  <c r="Q78" i="2"/>
  <c r="R92" i="2"/>
  <c r="R9" i="2"/>
  <c r="U126" i="2"/>
  <c r="V126" i="2"/>
  <c r="R215" i="2"/>
  <c r="X248" i="2"/>
  <c r="W435" i="2" a="1"/>
  <c r="W435" i="2" s="1"/>
  <c r="S544" i="2"/>
  <c r="R439" i="2"/>
  <c r="R559" i="2"/>
  <c r="R39" i="2"/>
  <c r="R503" i="2"/>
  <c r="R263" i="2"/>
  <c r="R383" i="2"/>
  <c r="W33" i="2" a="1"/>
  <c r="W33" i="2" s="1"/>
  <c r="Q22" i="2"/>
  <c r="X71" i="2"/>
  <c r="V77" i="2"/>
  <c r="Q92" i="2"/>
  <c r="R85" i="2"/>
  <c r="S126" i="2"/>
  <c r="R144" i="2"/>
  <c r="R563" i="2"/>
  <c r="R544" i="2"/>
  <c r="R562" i="2"/>
  <c r="R442" i="2"/>
  <c r="U33" i="2"/>
  <c r="R23" i="2"/>
  <c r="W77" i="2" a="1"/>
  <c r="W77" i="2" s="1"/>
  <c r="V92" i="2"/>
  <c r="Q77" i="2"/>
  <c r="R198" i="2"/>
  <c r="U208" i="2"/>
  <c r="R387" i="2"/>
  <c r="R567" i="2"/>
  <c r="R206" i="2"/>
  <c r="R446" i="2"/>
  <c r="R321" i="2"/>
  <c r="R501" i="2"/>
  <c r="Q16" i="2"/>
  <c r="W23" i="2" a="1"/>
  <c r="W23" i="2" s="1"/>
  <c r="R21" i="2"/>
  <c r="U77" i="2"/>
  <c r="R79" i="2"/>
  <c r="U78" i="2"/>
  <c r="R24" i="2"/>
  <c r="V16" i="2"/>
  <c r="U71" i="2"/>
  <c r="V71" i="2"/>
  <c r="R143" i="2"/>
  <c r="Q125" i="2"/>
  <c r="R190" i="2"/>
  <c r="R377" i="2"/>
  <c r="R519" i="2"/>
  <c r="R459" i="2"/>
  <c r="R279" i="2"/>
  <c r="R339" i="2"/>
  <c r="R328" i="2"/>
  <c r="R388" i="2"/>
  <c r="R568" i="2"/>
  <c r="R448" i="2"/>
  <c r="R268" i="2"/>
  <c r="R380" i="2"/>
  <c r="R200" i="2"/>
  <c r="R440" i="2"/>
  <c r="R260" i="2"/>
  <c r="R500" i="2"/>
  <c r="R320" i="2"/>
  <c r="R27" i="2"/>
  <c r="T71" i="2"/>
  <c r="R148" i="2"/>
  <c r="W126" i="2" a="1"/>
  <c r="W126" i="2" s="1"/>
  <c r="Q126" i="2"/>
  <c r="R201" i="2"/>
  <c r="X255" i="2"/>
  <c r="Q147" i="2"/>
  <c r="W307" i="2" a="1"/>
  <c r="W307" i="2" s="1"/>
  <c r="W372" i="2" a="1"/>
  <c r="W372" i="2" s="1"/>
  <c r="V382" i="2"/>
  <c r="R251" i="2"/>
  <c r="R98" i="2"/>
  <c r="R146" i="2"/>
  <c r="R502" i="2"/>
  <c r="R318" i="2"/>
  <c r="R138" i="2"/>
  <c r="R82" i="2"/>
  <c r="R158" i="2"/>
  <c r="R266" i="2"/>
  <c r="R506" i="2"/>
  <c r="R386" i="2"/>
  <c r="R159" i="2"/>
  <c r="R258" i="2"/>
  <c r="R378" i="2"/>
  <c r="R38" i="2"/>
  <c r="R326" i="2"/>
  <c r="R142" i="2"/>
  <c r="R141" i="2"/>
  <c r="R498" i="2"/>
  <c r="R278" i="2"/>
  <c r="R86" i="2"/>
  <c r="R323" i="2"/>
  <c r="R26" i="2"/>
  <c r="U29" i="2"/>
  <c r="U10" i="2"/>
  <c r="W29" i="2" a="1"/>
  <c r="W29" i="2" s="1"/>
  <c r="Q44" i="2"/>
  <c r="V10" i="2"/>
  <c r="U8" i="2"/>
  <c r="S41" i="2"/>
  <c r="V15" i="2"/>
  <c r="R25" i="2"/>
  <c r="T70" i="2"/>
  <c r="Q84" i="2"/>
  <c r="X112" i="2"/>
  <c r="V98" i="2"/>
  <c r="W63" i="2" a="1"/>
  <c r="W63" i="2" s="1"/>
  <c r="X70" i="2"/>
  <c r="V112" i="2"/>
  <c r="V230" i="2"/>
  <c r="U235" i="2"/>
  <c r="R230" i="2"/>
  <c r="V235" i="2"/>
  <c r="W235" i="2" a="1"/>
  <c r="W235" i="2" s="1"/>
  <c r="U153" i="2"/>
  <c r="Q230" i="2"/>
  <c r="S290" i="2"/>
  <c r="R267" i="2"/>
  <c r="V289" i="2"/>
  <c r="T289" i="2"/>
  <c r="V334" i="2"/>
  <c r="W310" i="2" a="1"/>
  <c r="W310" i="2" s="1"/>
  <c r="R153" i="2"/>
  <c r="V336" i="2"/>
  <c r="W373" i="2" a="1"/>
  <c r="W373" i="2" s="1"/>
  <c r="W410" i="2" a="1"/>
  <c r="W410" i="2" s="1"/>
  <c r="R456" i="2"/>
  <c r="R453" i="2"/>
  <c r="R433" i="2"/>
  <c r="Q373" i="2"/>
  <c r="W525" i="2" a="1"/>
  <c r="W525" i="2" s="1"/>
  <c r="U496" i="2"/>
  <c r="U524" i="2"/>
  <c r="X530" i="2"/>
  <c r="V496" i="2"/>
  <c r="V487" i="2"/>
  <c r="R405" i="2"/>
  <c r="U566" i="2"/>
  <c r="R369" i="2"/>
  <c r="Q578" i="2"/>
  <c r="X659" i="2"/>
  <c r="R619" i="2"/>
  <c r="Q608" i="2"/>
  <c r="U456" i="2"/>
  <c r="Q613" i="2"/>
  <c r="U659" i="2"/>
  <c r="U608" i="2"/>
  <c r="Q761" i="2"/>
  <c r="U744" i="2"/>
  <c r="S777" i="2"/>
  <c r="V41" i="2"/>
  <c r="Q41" i="2"/>
  <c r="Q98" i="2"/>
  <c r="R93" i="2"/>
  <c r="S167" i="2"/>
  <c r="T167" i="2"/>
  <c r="R207" i="2"/>
  <c r="S236" i="2"/>
  <c r="V176" i="2"/>
  <c r="X235" i="2"/>
  <c r="X236" i="2"/>
  <c r="R276" i="2"/>
  <c r="V247" i="2"/>
  <c r="R343" i="2"/>
  <c r="R336" i="2"/>
  <c r="S369" i="2"/>
  <c r="U410" i="2"/>
  <c r="U399" i="2"/>
  <c r="V453" i="2"/>
  <c r="R471" i="2"/>
  <c r="V478" i="2"/>
  <c r="X478" i="2"/>
  <c r="U417" i="2"/>
  <c r="W471" i="2" a="1"/>
  <c r="W471" i="2" s="1"/>
  <c r="Q453" i="2"/>
  <c r="V468" i="2"/>
  <c r="U451" i="2"/>
  <c r="Q433" i="2"/>
  <c r="R524" i="2"/>
  <c r="U507" i="2"/>
  <c r="T525" i="2"/>
  <c r="S468" i="2"/>
  <c r="T468" i="2"/>
  <c r="W561" i="2" a="1"/>
  <c r="W561" i="2" s="1"/>
  <c r="W566" i="2" a="1"/>
  <c r="W566" i="2" s="1"/>
  <c r="T543" i="2"/>
  <c r="R566" i="2"/>
  <c r="U564" i="2"/>
  <c r="V507" i="2"/>
  <c r="R659" i="2"/>
  <c r="W606" i="2" a="1"/>
  <c r="W606" i="2" s="1"/>
  <c r="Q633" i="2"/>
  <c r="R608" i="2"/>
  <c r="R632" i="2"/>
  <c r="R668" i="2"/>
  <c r="V615" i="2"/>
  <c r="T777" i="2"/>
  <c r="X43" i="2"/>
  <c r="X41" i="2"/>
  <c r="R41" i="2"/>
  <c r="W236" i="2" a="1"/>
  <c r="W236" i="2" s="1"/>
  <c r="X167" i="2"/>
  <c r="W207" i="2" a="1"/>
  <c r="W207" i="2" s="1"/>
  <c r="R247" i="2"/>
  <c r="U254" i="2"/>
  <c r="Q254" i="2"/>
  <c r="W267" i="2" a="1"/>
  <c r="W267" i="2" s="1"/>
  <c r="U247" i="2"/>
  <c r="X343" i="2"/>
  <c r="U306" i="2"/>
  <c r="W334" i="2" a="1"/>
  <c r="W334" i="2" s="1"/>
  <c r="Q310" i="2"/>
  <c r="Q330" i="2"/>
  <c r="V343" i="2"/>
  <c r="W369" i="2" a="1"/>
  <c r="W369" i="2" s="1"/>
  <c r="S405" i="2"/>
  <c r="S417" i="2"/>
  <c r="T410" i="2"/>
  <c r="R381" i="2"/>
  <c r="T373" i="2"/>
  <c r="T369" i="2"/>
  <c r="X405" i="2"/>
  <c r="Q456" i="2"/>
  <c r="U478" i="2"/>
  <c r="W513" i="2" a="1"/>
  <c r="W513" i="2" s="1"/>
  <c r="U487" i="2"/>
  <c r="R525" i="2"/>
  <c r="V369" i="2"/>
  <c r="U578" i="2"/>
  <c r="Q561" i="2"/>
  <c r="R579" i="2"/>
  <c r="U613" i="2"/>
  <c r="V606" i="2"/>
  <c r="R578" i="2"/>
  <c r="W688" i="2" a="1"/>
  <c r="W688" i="2" s="1"/>
  <c r="V632" i="2"/>
  <c r="R735" i="2"/>
  <c r="Q777" i="2"/>
  <c r="W735" i="2" a="1"/>
  <c r="W735" i="2" s="1"/>
  <c r="W43" i="2" a="1"/>
  <c r="W43" i="2" s="1"/>
  <c r="X63" i="2"/>
  <c r="W93" i="2" a="1"/>
  <c r="W93" i="2" s="1"/>
  <c r="U112" i="2"/>
  <c r="V84" i="2"/>
  <c r="Q235" i="2"/>
  <c r="R15" i="2"/>
  <c r="R43" i="2"/>
  <c r="Q29" i="2"/>
  <c r="U44" i="2"/>
  <c r="V44" i="2"/>
  <c r="T43" i="2"/>
  <c r="U93" i="2"/>
  <c r="R99" i="2"/>
  <c r="U70" i="2"/>
  <c r="T63" i="2"/>
  <c r="W98" i="2" a="1"/>
  <c r="W98" i="2" s="1"/>
  <c r="W99" i="2" a="1"/>
  <c r="W99" i="2" s="1"/>
  <c r="R84" i="2"/>
  <c r="V8" i="2"/>
  <c r="S176" i="2"/>
  <c r="Q154" i="2"/>
  <c r="Q193" i="2"/>
  <c r="U176" i="2"/>
  <c r="Q236" i="2"/>
  <c r="V261" i="2"/>
  <c r="W261" i="2" a="1"/>
  <c r="W261" i="2" s="1"/>
  <c r="W289" i="2" a="1"/>
  <c r="W289" i="2" s="1"/>
  <c r="V254" i="2"/>
  <c r="Q289" i="2"/>
  <c r="X254" i="2"/>
  <c r="R261" i="2"/>
  <c r="V267" i="2"/>
  <c r="V207" i="2"/>
  <c r="U330" i="2"/>
  <c r="V306" i="2"/>
  <c r="W306" i="2" a="1"/>
  <c r="W306" i="2" s="1"/>
  <c r="W405" i="2" a="1"/>
  <c r="W405" i="2" s="1"/>
  <c r="W399" i="2" a="1"/>
  <c r="W399" i="2" s="1"/>
  <c r="S410" i="2"/>
  <c r="V399" i="2"/>
  <c r="Q468" i="2"/>
  <c r="T471" i="2"/>
  <c r="T478" i="2"/>
  <c r="W478" i="2" a="1"/>
  <c r="W478" i="2" s="1"/>
  <c r="V417" i="2"/>
  <c r="R399" i="2"/>
  <c r="W451" i="2" a="1"/>
  <c r="W451" i="2" s="1"/>
  <c r="U468" i="2"/>
  <c r="V471" i="2"/>
  <c r="V525" i="2"/>
  <c r="Q405" i="2"/>
  <c r="V561" i="2"/>
  <c r="R561" i="2"/>
  <c r="W543" i="2" a="1"/>
  <c r="W543" i="2" s="1"/>
  <c r="V566" i="2"/>
  <c r="V613" i="2"/>
  <c r="S659" i="2"/>
  <c r="U632" i="2"/>
  <c r="W659" i="2" a="1"/>
  <c r="W659" i="2" s="1"/>
  <c r="T659" i="2"/>
  <c r="U84" i="2"/>
  <c r="V99" i="2"/>
  <c r="Q8" i="2"/>
  <c r="W41" i="2" a="1"/>
  <c r="W41" i="2" s="1"/>
  <c r="W10" i="2" a="1"/>
  <c r="W10" i="2" s="1"/>
  <c r="U43" i="2"/>
  <c r="R63" i="2"/>
  <c r="S63" i="2"/>
  <c r="W167" i="2" a="1"/>
  <c r="W167" i="2" s="1"/>
  <c r="V193" i="2"/>
  <c r="W176" i="2" a="1"/>
  <c r="W176" i="2" s="1"/>
  <c r="W139" i="2" a="1"/>
  <c r="W139" i="2" s="1"/>
  <c r="W230" i="2" a="1"/>
  <c r="W230" i="2" s="1"/>
  <c r="W193" i="2" a="1"/>
  <c r="W193" i="2" s="1"/>
  <c r="V200" i="2"/>
  <c r="T236" i="2"/>
  <c r="U236" i="2"/>
  <c r="S235" i="2"/>
  <c r="Q276" i="2"/>
  <c r="U290" i="2"/>
  <c r="W254" i="2" a="1"/>
  <c r="W254" i="2" s="1"/>
  <c r="X289" i="2"/>
  <c r="S289" i="2"/>
  <c r="V330" i="2"/>
  <c r="U343" i="2"/>
  <c r="Q334" i="2"/>
  <c r="R410" i="2"/>
  <c r="V381" i="2"/>
  <c r="X468" i="2"/>
  <c r="S478" i="2"/>
  <c r="V373" i="2"/>
  <c r="W524" i="2" a="1"/>
  <c r="W524" i="2" s="1"/>
  <c r="R507" i="2"/>
  <c r="Q496" i="2"/>
  <c r="S524" i="2"/>
  <c r="W530" i="2" a="1"/>
  <c r="W530" i="2" s="1"/>
  <c r="R513" i="2"/>
  <c r="V513" i="2"/>
  <c r="U561" i="2"/>
  <c r="Q564" i="2"/>
  <c r="W578" i="2" a="1"/>
  <c r="W578" i="2" s="1"/>
  <c r="W579" i="2" a="1"/>
  <c r="W579" i="2" s="1"/>
  <c r="U633" i="2"/>
  <c r="R615" i="2"/>
  <c r="W613" i="2" a="1"/>
  <c r="W613" i="2" s="1"/>
  <c r="Q632" i="2"/>
  <c r="U619" i="2"/>
  <c r="Q606" i="2"/>
  <c r="W615" i="2" a="1"/>
  <c r="W615" i="2" s="1"/>
  <c r="Q668" i="2"/>
  <c r="R761" i="2"/>
  <c r="W154" i="2" a="1"/>
  <c r="W154" i="2" s="1"/>
  <c r="S44" i="2"/>
  <c r="W15" i="2" a="1"/>
  <c r="W15" i="2" s="1"/>
  <c r="T44" i="2"/>
  <c r="S70" i="2"/>
  <c r="W70" i="2" a="1"/>
  <c r="W70" i="2" s="1"/>
  <c r="U63" i="2"/>
  <c r="T112" i="2"/>
  <c r="Q93" i="2"/>
  <c r="U99" i="2"/>
  <c r="R29" i="2"/>
  <c r="R139" i="2"/>
  <c r="U193" i="2"/>
  <c r="X230" i="2"/>
  <c r="Q139" i="2"/>
  <c r="T230" i="2"/>
  <c r="Q200" i="2"/>
  <c r="U200" i="2"/>
  <c r="T176" i="2"/>
  <c r="V236" i="2"/>
  <c r="Q167" i="2"/>
  <c r="S254" i="2"/>
  <c r="V290" i="2"/>
  <c r="W290" i="2" a="1"/>
  <c r="W290" i="2" s="1"/>
  <c r="W247" i="2" a="1"/>
  <c r="W247" i="2" s="1"/>
  <c r="U276" i="2"/>
  <c r="Q290" i="2"/>
  <c r="R289" i="2"/>
  <c r="U310" i="2"/>
  <c r="T343" i="2"/>
  <c r="W330" i="2" a="1"/>
  <c r="W330" i="2" s="1"/>
  <c r="V153" i="2"/>
  <c r="W336" i="2" a="1"/>
  <c r="W336" i="2" s="1"/>
  <c r="X410" i="2"/>
  <c r="Q381" i="2"/>
  <c r="X471" i="2"/>
  <c r="W433" i="2" a="1"/>
  <c r="W433" i="2" s="1"/>
  <c r="R452" i="2"/>
  <c r="R478" i="2"/>
  <c r="R417" i="2"/>
  <c r="V456" i="2"/>
  <c r="T433" i="2"/>
  <c r="T530" i="2"/>
  <c r="Q524" i="2"/>
  <c r="U530" i="2"/>
  <c r="V530" i="2"/>
  <c r="W510" i="2" a="1"/>
  <c r="W510" i="2" s="1"/>
  <c r="Q525" i="2"/>
  <c r="W487" i="2" a="1"/>
  <c r="W487" i="2" s="1"/>
  <c r="W507" i="2" a="1"/>
  <c r="W507" i="2" s="1"/>
  <c r="R543" i="2"/>
  <c r="S543" i="2"/>
  <c r="U579" i="2"/>
  <c r="V578" i="2"/>
  <c r="R564" i="2"/>
  <c r="U606" i="2"/>
  <c r="U471" i="2"/>
  <c r="V608" i="2"/>
  <c r="R8" i="2"/>
  <c r="R44" i="2"/>
  <c r="V93" i="2"/>
  <c r="U98" i="2"/>
  <c r="Q112" i="2"/>
  <c r="Q70" i="2"/>
  <c r="V63" i="2"/>
  <c r="V167" i="2"/>
  <c r="W132" i="2" a="1"/>
  <c r="W132" i="2" s="1"/>
  <c r="S230" i="2"/>
  <c r="T254" i="2"/>
  <c r="X290" i="2"/>
  <c r="V276" i="2"/>
  <c r="Q261" i="2"/>
  <c r="U334" i="2"/>
  <c r="S343" i="2"/>
  <c r="V310" i="2"/>
  <c r="W417" i="2" a="1"/>
  <c r="W417" i="2" s="1"/>
  <c r="S373" i="2"/>
  <c r="R373" i="2"/>
  <c r="T417" i="2"/>
  <c r="Q452" i="2"/>
  <c r="S471" i="2"/>
  <c r="U510" i="2"/>
  <c r="X524" i="2"/>
  <c r="V405" i="2"/>
  <c r="R496" i="2"/>
  <c r="X525" i="2"/>
  <c r="Q530" i="2"/>
  <c r="T524" i="2"/>
  <c r="S433" i="2"/>
  <c r="W564" i="2" a="1"/>
  <c r="W564" i="2" s="1"/>
  <c r="V579" i="2"/>
  <c r="V633" i="2"/>
  <c r="W633" i="2" a="1"/>
  <c r="W633" i="2" s="1"/>
  <c r="V659" i="2"/>
  <c r="V619" i="2"/>
  <c r="W836" i="2" a="1"/>
  <c r="W836" i="2" s="1"/>
  <c r="U827" i="2"/>
  <c r="R793" i="2"/>
  <c r="V793" i="2"/>
  <c r="W820" i="2" a="1"/>
  <c r="W820" i="2" s="1"/>
  <c r="Q820" i="2"/>
  <c r="U819" i="2"/>
  <c r="R785" i="2"/>
  <c r="V815" i="2"/>
  <c r="Q816" i="2"/>
  <c r="U815" i="2"/>
  <c r="V785" i="2"/>
  <c r="X835" i="2"/>
  <c r="X836" i="2"/>
  <c r="R805" i="2"/>
  <c r="T828" i="2"/>
  <c r="X827" i="2"/>
  <c r="S831" i="2"/>
  <c r="Q793" i="2"/>
  <c r="S828" i="2"/>
  <c r="U835" i="2"/>
  <c r="V831" i="2"/>
  <c r="U805" i="2"/>
  <c r="W828" i="2" a="1"/>
  <c r="W828" i="2" s="1"/>
  <c r="W805" i="2" a="1"/>
  <c r="W805" i="2" s="1"/>
  <c r="W822" i="2" a="1"/>
  <c r="W822" i="2" s="1"/>
  <c r="S836" i="2"/>
  <c r="U793" i="2"/>
  <c r="V805" i="2"/>
  <c r="X831" i="2"/>
  <c r="S827" i="2"/>
  <c r="V835" i="2"/>
  <c r="Q828" i="2"/>
  <c r="Q805" i="2"/>
  <c r="T836" i="2"/>
  <c r="Q724" i="2"/>
  <c r="R724" i="2"/>
  <c r="W775" i="2" a="1"/>
  <c r="W775" i="2" s="1"/>
  <c r="W754" i="2" a="1"/>
  <c r="W754" i="2" s="1"/>
  <c r="X767" i="2"/>
  <c r="R751" i="2"/>
  <c r="V770" i="2"/>
  <c r="R763" i="2"/>
  <c r="R733" i="2"/>
  <c r="U775" i="2"/>
  <c r="V754" i="2"/>
  <c r="Q767" i="2"/>
  <c r="U770" i="2"/>
  <c r="X763" i="2"/>
  <c r="Q763" i="2"/>
  <c r="S775" i="2"/>
  <c r="W767" i="2" a="1"/>
  <c r="W767" i="2" s="1"/>
  <c r="S770" i="2"/>
  <c r="V736" i="2"/>
  <c r="R736" i="2"/>
  <c r="Q733" i="2"/>
  <c r="R775" i="2"/>
  <c r="X775" i="2"/>
  <c r="U767" i="2"/>
  <c r="W751" i="2" a="1"/>
  <c r="W751" i="2" s="1"/>
  <c r="W763" i="2" a="1"/>
  <c r="W763" i="2" s="1"/>
  <c r="U736" i="2"/>
  <c r="V751" i="2"/>
  <c r="Q775" i="2"/>
  <c r="T767" i="2"/>
  <c r="U751" i="2"/>
  <c r="X770" i="2"/>
  <c r="U763" i="2"/>
  <c r="S767" i="2"/>
  <c r="Q770" i="2"/>
  <c r="T763" i="2"/>
  <c r="V724" i="2"/>
  <c r="R684" i="2"/>
  <c r="U683" i="2"/>
  <c r="Q717" i="2"/>
  <c r="W668" i="2" a="1"/>
  <c r="W668" i="2" s="1"/>
  <c r="V670" i="2"/>
  <c r="R688" i="2"/>
  <c r="W670" i="2" a="1"/>
  <c r="W670" i="2" s="1"/>
  <c r="U668" i="2"/>
  <c r="S709" i="2"/>
  <c r="R672" i="2"/>
  <c r="V690" i="2"/>
  <c r="Q681" i="2"/>
  <c r="V683" i="2"/>
  <c r="U709" i="2"/>
  <c r="U717" i="2"/>
  <c r="U670" i="2"/>
  <c r="W681" i="2" a="1"/>
  <c r="W681" i="2" s="1"/>
  <c r="Q688" i="2"/>
  <c r="Q665" i="2"/>
  <c r="V668" i="2"/>
  <c r="U684" i="2"/>
  <c r="V701" i="2"/>
  <c r="W672" i="2" a="1"/>
  <c r="W672" i="2" s="1"/>
  <c r="W684" i="2" a="1"/>
  <c r="W684" i="2" s="1"/>
  <c r="Q672" i="2"/>
  <c r="W709" i="2" a="1"/>
  <c r="W709" i="2" s="1"/>
  <c r="Q670" i="2"/>
  <c r="Q690" i="2"/>
  <c r="U688" i="2"/>
  <c r="V684" i="2"/>
  <c r="Q701" i="2"/>
  <c r="R709" i="2"/>
  <c r="X701" i="2"/>
  <c r="W690" i="2" a="1"/>
  <c r="W690" i="2" s="1"/>
  <c r="T701" i="2"/>
  <c r="V665" i="2"/>
  <c r="V709" i="2"/>
  <c r="X709" i="2"/>
  <c r="W665" i="2" a="1"/>
  <c r="W665" i="2" s="1"/>
  <c r="U690" i="2"/>
  <c r="W717" i="2" a="1"/>
  <c r="W717" i="2" s="1"/>
  <c r="U672" i="2"/>
  <c r="R701" i="2"/>
  <c r="W683" i="2" a="1"/>
  <c r="W683" i="2" s="1"/>
  <c r="R717" i="2"/>
  <c r="Q709" i="2"/>
  <c r="V592" i="2"/>
  <c r="S592" i="2"/>
  <c r="X592" i="2"/>
  <c r="U592" i="2"/>
  <c r="Q592" i="2"/>
  <c r="W592" i="2" a="1"/>
  <c r="W592" i="2" s="1"/>
  <c r="R592" i="2"/>
  <c r="T592" i="2"/>
  <c r="U397" i="2"/>
  <c r="Q397" i="2"/>
  <c r="W397" i="2" a="1"/>
  <c r="W397" i="2" s="1"/>
  <c r="V397" i="2"/>
  <c r="R397" i="2"/>
  <c r="Q599" i="2"/>
  <c r="R599" i="2"/>
  <c r="S599" i="2"/>
  <c r="T599" i="2"/>
  <c r="X599" i="2"/>
  <c r="W599" i="2" a="1"/>
  <c r="W599" i="2" s="1"/>
  <c r="V599" i="2"/>
  <c r="U265" i="2"/>
  <c r="R265" i="2"/>
  <c r="Q265" i="2"/>
  <c r="U317" i="2"/>
  <c r="R317" i="2"/>
  <c r="Q317" i="2"/>
  <c r="W317" i="2" a="1"/>
  <c r="W317" i="2" s="1"/>
  <c r="V317" i="2"/>
  <c r="U426" i="2"/>
  <c r="V426" i="2"/>
  <c r="R426" i="2"/>
  <c r="Q426" i="2"/>
  <c r="S426" i="2"/>
  <c r="W426" i="2" a="1"/>
  <c r="W426" i="2" s="1"/>
  <c r="U742" i="2"/>
  <c r="V742" i="2"/>
  <c r="W742" i="2" a="1"/>
  <c r="W742" i="2" s="1"/>
  <c r="Q742" i="2"/>
  <c r="R742" i="2"/>
  <c r="Q131" i="2"/>
  <c r="V131" i="2"/>
  <c r="U357" i="2"/>
  <c r="Q357" i="2"/>
  <c r="T357" i="2"/>
  <c r="W357" i="2" a="1"/>
  <c r="W357" i="2" s="1"/>
  <c r="V357" i="2"/>
  <c r="S357" i="2"/>
  <c r="U393" i="2"/>
  <c r="V393" i="2"/>
  <c r="Q393" i="2"/>
  <c r="R393" i="2"/>
  <c r="W393" i="2" a="1"/>
  <c r="W393" i="2" s="1"/>
  <c r="Q591" i="2"/>
  <c r="R591" i="2"/>
  <c r="U591" i="2"/>
  <c r="T591" i="2"/>
  <c r="S591" i="2"/>
  <c r="X591" i="2"/>
  <c r="V591" i="2"/>
  <c r="W591" i="2" a="1"/>
  <c r="W591" i="2" s="1"/>
  <c r="W348" i="2" a="1"/>
  <c r="W348" i="2" s="1"/>
  <c r="V348" i="2"/>
  <c r="S348" i="2"/>
  <c r="R348" i="2"/>
  <c r="T348" i="2"/>
  <c r="X348" i="2"/>
  <c r="Q348" i="2"/>
  <c r="Q355" i="2"/>
  <c r="X355" i="2"/>
  <c r="U355" i="2"/>
  <c r="V355" i="2"/>
  <c r="W355" i="2" a="1"/>
  <c r="W355" i="2" s="1"/>
  <c r="S355" i="2"/>
  <c r="T355" i="2"/>
  <c r="U389" i="2"/>
  <c r="R389" i="2"/>
  <c r="Q389" i="2"/>
  <c r="W389" i="2" a="1"/>
  <c r="W389" i="2" s="1"/>
  <c r="V389" i="2"/>
  <c r="V584" i="2"/>
  <c r="W584" i="2" a="1"/>
  <c r="W584" i="2" s="1"/>
  <c r="T584" i="2"/>
  <c r="S584" i="2"/>
  <c r="X584" i="2"/>
  <c r="Q584" i="2"/>
  <c r="R584" i="2"/>
  <c r="U584" i="2"/>
  <c r="W284" i="2" a="1"/>
  <c r="W284" i="2" s="1"/>
  <c r="R284" i="2"/>
  <c r="T284" i="2"/>
  <c r="R338" i="2"/>
  <c r="Q338" i="2"/>
  <c r="U338" i="2"/>
  <c r="V338" i="2"/>
  <c r="Q475" i="2"/>
  <c r="T475" i="2"/>
  <c r="X475" i="2"/>
  <c r="U475" i="2"/>
  <c r="V475" i="2"/>
  <c r="W475" i="2" a="1"/>
  <c r="W475" i="2" s="1"/>
  <c r="R630" i="2"/>
  <c r="Q630" i="2"/>
  <c r="W630" i="2" a="1"/>
  <c r="W630" i="2" s="1"/>
  <c r="U630" i="2"/>
  <c r="V630" i="2"/>
  <c r="R614" i="2"/>
  <c r="V614" i="2"/>
  <c r="Q614" i="2"/>
  <c r="W614" i="2" a="1"/>
  <c r="W614" i="2" s="1"/>
  <c r="R666" i="2"/>
  <c r="U666" i="2"/>
  <c r="W666" i="2" a="1"/>
  <c r="W666" i="2" s="1"/>
  <c r="Q666" i="2"/>
  <c r="Q723" i="2"/>
  <c r="V723" i="2"/>
  <c r="W723" i="2" a="1"/>
  <c r="W723" i="2" s="1"/>
  <c r="U723" i="2"/>
  <c r="R723" i="2"/>
  <c r="R574" i="2"/>
  <c r="U574" i="2"/>
  <c r="Q574" i="2"/>
  <c r="V574" i="2"/>
  <c r="W574" i="2" a="1"/>
  <c r="W574" i="2" s="1"/>
  <c r="V621" i="2"/>
  <c r="U621" i="2"/>
  <c r="Q621" i="2"/>
  <c r="W621" i="2" a="1"/>
  <c r="W621" i="2" s="1"/>
  <c r="Q679" i="2"/>
  <c r="U679" i="2"/>
  <c r="R679" i="2"/>
  <c r="W679" i="2" a="1"/>
  <c r="W679" i="2" s="1"/>
  <c r="V679" i="2"/>
  <c r="U741" i="2"/>
  <c r="V741" i="2"/>
  <c r="Q741" i="2"/>
  <c r="W741" i="2" a="1"/>
  <c r="W741" i="2" s="1"/>
  <c r="R741" i="2"/>
  <c r="Q795" i="2"/>
  <c r="W795" i="2" a="1"/>
  <c r="W795" i="2" s="1"/>
  <c r="U795" i="2"/>
  <c r="V795" i="2"/>
  <c r="R795" i="2"/>
  <c r="U441" i="2"/>
  <c r="R441" i="2"/>
  <c r="W441" i="2" a="1"/>
  <c r="W441" i="2" s="1"/>
  <c r="V441" i="2"/>
  <c r="Q441" i="2"/>
  <c r="Q495" i="2"/>
  <c r="U495" i="2"/>
  <c r="S495" i="2"/>
  <c r="V495" i="2"/>
  <c r="W495" i="2" a="1"/>
  <c r="W495" i="2" s="1"/>
  <c r="R495" i="2"/>
  <c r="T549" i="2"/>
  <c r="U549" i="2"/>
  <c r="S549" i="2"/>
  <c r="R549" i="2"/>
  <c r="Q549" i="2"/>
  <c r="V549" i="2"/>
  <c r="W604" i="2" a="1"/>
  <c r="W604" i="2" s="1"/>
  <c r="U604" i="2"/>
  <c r="V604" i="2"/>
  <c r="Q604" i="2"/>
  <c r="R604" i="2"/>
  <c r="T776" i="2"/>
  <c r="V776" i="2"/>
  <c r="X776" i="2"/>
  <c r="R776" i="2"/>
  <c r="S776" i="2"/>
  <c r="U776" i="2"/>
  <c r="W776" i="2" a="1"/>
  <c r="W776" i="2" s="1"/>
  <c r="S834" i="2"/>
  <c r="V834" i="2"/>
  <c r="X834" i="2"/>
  <c r="Q834" i="2"/>
  <c r="R834" i="2"/>
  <c r="T834" i="2"/>
  <c r="W834" i="2" a="1"/>
  <c r="W834" i="2" s="1"/>
  <c r="V418" i="2"/>
  <c r="W418" i="2" a="1"/>
  <c r="W418" i="2" s="1"/>
  <c r="Q418" i="2"/>
  <c r="X418" i="2"/>
  <c r="R418" i="2"/>
  <c r="S418" i="2"/>
  <c r="T418" i="2"/>
  <c r="W464" i="2" a="1"/>
  <c r="W464" i="2" s="1"/>
  <c r="X464" i="2"/>
  <c r="V464" i="2"/>
  <c r="S464" i="2"/>
  <c r="Q464" i="2"/>
  <c r="T464" i="2"/>
  <c r="R464" i="2"/>
  <c r="U464" i="2"/>
  <c r="R518" i="2"/>
  <c r="Q518" i="2"/>
  <c r="W518" i="2" a="1"/>
  <c r="W518" i="2" s="1"/>
  <c r="V518" i="2"/>
  <c r="U518" i="2"/>
  <c r="V572" i="2"/>
  <c r="W572" i="2" a="1"/>
  <c r="W572" i="2" s="1"/>
  <c r="Q572" i="2"/>
  <c r="R572" i="2"/>
  <c r="R626" i="2"/>
  <c r="U626" i="2"/>
  <c r="Q626" i="2"/>
  <c r="V626" i="2"/>
  <c r="V677" i="2"/>
  <c r="W677" i="2" a="1"/>
  <c r="W677" i="2" s="1"/>
  <c r="R677" i="2"/>
  <c r="U677" i="2"/>
  <c r="Q677" i="2"/>
  <c r="S838" i="2"/>
  <c r="X838" i="2"/>
  <c r="Q838" i="2"/>
  <c r="R838" i="2"/>
  <c r="T838" i="2"/>
  <c r="V838" i="2"/>
  <c r="U838" i="2"/>
  <c r="W838" i="2" a="1"/>
  <c r="W838" i="2" s="1"/>
  <c r="Q479" i="2"/>
  <c r="U479" i="2"/>
  <c r="S479" i="2"/>
  <c r="V479" i="2"/>
  <c r="R479" i="2"/>
  <c r="U533" i="2"/>
  <c r="X533" i="2"/>
  <c r="Q533" i="2"/>
  <c r="W533" i="2" a="1"/>
  <c r="W533" i="2" s="1"/>
  <c r="V533" i="2"/>
  <c r="R533" i="2"/>
  <c r="T533" i="2"/>
  <c r="Q587" i="2"/>
  <c r="S587" i="2"/>
  <c r="R587" i="2"/>
  <c r="W587" i="2" a="1"/>
  <c r="W587" i="2" s="1"/>
  <c r="T587" i="2"/>
  <c r="U587" i="2"/>
  <c r="X587" i="2"/>
  <c r="T641" i="2"/>
  <c r="S641" i="2"/>
  <c r="R641" i="2"/>
  <c r="X641" i="2"/>
  <c r="Q641" i="2"/>
  <c r="W641" i="2" a="1"/>
  <c r="W641" i="2" s="1"/>
  <c r="V641" i="2"/>
  <c r="U641" i="2"/>
  <c r="Q691" i="2"/>
  <c r="R691" i="2"/>
  <c r="V691" i="2"/>
  <c r="U691" i="2"/>
  <c r="W691" i="2" a="1"/>
  <c r="W691" i="2" s="1"/>
  <c r="R726" i="2"/>
  <c r="U726" i="2"/>
  <c r="V726" i="2"/>
  <c r="W726" i="2" a="1"/>
  <c r="W726" i="2" s="1"/>
  <c r="R314" i="2"/>
  <c r="U314" i="2"/>
  <c r="Q314" i="2"/>
  <c r="W314" i="2" a="1"/>
  <c r="W314" i="2" s="1"/>
  <c r="V314" i="2"/>
  <c r="V368" i="2"/>
  <c r="U368" i="2"/>
  <c r="T368" i="2"/>
  <c r="S368" i="2"/>
  <c r="W368" i="2" a="1"/>
  <c r="W368" i="2" s="1"/>
  <c r="R368" i="2"/>
  <c r="Q368" i="2"/>
  <c r="V532" i="2"/>
  <c r="U532" i="2"/>
  <c r="T532" i="2"/>
  <c r="R532" i="2"/>
  <c r="S532" i="2"/>
  <c r="X532" i="2"/>
  <c r="W532" i="2" a="1"/>
  <c r="W532" i="2" s="1"/>
  <c r="Q532" i="2"/>
  <c r="S586" i="2"/>
  <c r="U586" i="2"/>
  <c r="X586" i="2"/>
  <c r="Q586" i="2"/>
  <c r="T586" i="2"/>
  <c r="V586" i="2"/>
  <c r="R586" i="2"/>
  <c r="W640" i="2" a="1"/>
  <c r="W640" i="2" s="1"/>
  <c r="R640" i="2"/>
  <c r="U640" i="2"/>
  <c r="T640" i="2"/>
  <c r="V640" i="2"/>
  <c r="S640" i="2"/>
  <c r="X640" i="2"/>
  <c r="R698" i="2"/>
  <c r="U698" i="2"/>
  <c r="W698" i="2" a="1"/>
  <c r="W698" i="2" s="1"/>
  <c r="Q698" i="2"/>
  <c r="V759" i="2"/>
  <c r="R759" i="2"/>
  <c r="U759" i="2"/>
  <c r="W759" i="2" a="1"/>
  <c r="W759" i="2" s="1"/>
  <c r="Q759" i="2"/>
  <c r="Q807" i="2"/>
  <c r="R807" i="2"/>
  <c r="W807" i="2" a="1"/>
  <c r="W807" i="2" s="1"/>
  <c r="V807" i="2"/>
  <c r="U807" i="2"/>
  <c r="Q407" i="2"/>
  <c r="X407" i="2"/>
  <c r="U407" i="2"/>
  <c r="R407" i="2"/>
  <c r="W407" i="2" a="1"/>
  <c r="W407" i="2" s="1"/>
  <c r="T407" i="2"/>
  <c r="V407" i="2"/>
  <c r="S407" i="2"/>
  <c r="U461" i="2"/>
  <c r="R461" i="2"/>
  <c r="W461" i="2" a="1"/>
  <c r="W461" i="2" s="1"/>
  <c r="X461" i="2"/>
  <c r="T461" i="2"/>
  <c r="V461" i="2"/>
  <c r="Q515" i="2"/>
  <c r="U515" i="2"/>
  <c r="R515" i="2"/>
  <c r="W515" i="2" a="1"/>
  <c r="W515" i="2" s="1"/>
  <c r="V515" i="2"/>
  <c r="U569" i="2"/>
  <c r="R569" i="2"/>
  <c r="Q569" i="2"/>
  <c r="W569" i="2" a="1"/>
  <c r="W569" i="2" s="1"/>
  <c r="W616" i="2" a="1"/>
  <c r="W616" i="2" s="1"/>
  <c r="V616" i="2"/>
  <c r="R616" i="2"/>
  <c r="U616" i="2"/>
  <c r="Q616" i="2"/>
  <c r="R674" i="2"/>
  <c r="Q674" i="2"/>
  <c r="W674" i="2" a="1"/>
  <c r="W674" i="2" s="1"/>
  <c r="V674" i="2"/>
  <c r="U725" i="2"/>
  <c r="R725" i="2"/>
  <c r="Q725" i="2"/>
  <c r="W725" i="2" a="1"/>
  <c r="W725" i="2" s="1"/>
  <c r="V725" i="2"/>
  <c r="T110" i="2"/>
  <c r="U74" i="2"/>
  <c r="R20" i="2"/>
  <c r="X110" i="2"/>
  <c r="V75" i="2"/>
  <c r="T65" i="2"/>
  <c r="V80" i="2"/>
  <c r="U87" i="2"/>
  <c r="S130" i="2"/>
  <c r="R132" i="2"/>
  <c r="S132" i="2"/>
  <c r="R211" i="2"/>
  <c r="U237" i="2"/>
  <c r="V129" i="2"/>
  <c r="S129" i="2"/>
  <c r="V221" i="2"/>
  <c r="X185" i="2"/>
  <c r="W213" i="2" a="1"/>
  <c r="W213" i="2" s="1"/>
  <c r="U156" i="2"/>
  <c r="Q284" i="2"/>
  <c r="U418" i="2"/>
  <c r="R475" i="2"/>
  <c r="S461" i="2"/>
  <c r="U572" i="2"/>
  <c r="U834" i="2"/>
  <c r="Q551" i="2"/>
  <c r="T551" i="2"/>
  <c r="V551" i="2"/>
  <c r="W551" i="2" a="1"/>
  <c r="W551" i="2" s="1"/>
  <c r="U551" i="2"/>
  <c r="S551" i="2"/>
  <c r="R551" i="2"/>
  <c r="Q406" i="2"/>
  <c r="X406" i="2"/>
  <c r="R406" i="2"/>
  <c r="S406" i="2"/>
  <c r="T406" i="2"/>
  <c r="U406" i="2"/>
  <c r="V406" i="2"/>
  <c r="V800" i="2"/>
  <c r="R800" i="2"/>
  <c r="U800" i="2"/>
  <c r="W800" i="2" a="1"/>
  <c r="W800" i="2" s="1"/>
  <c r="Q800" i="2"/>
  <c r="R250" i="2"/>
  <c r="X250" i="2"/>
  <c r="Q250" i="2"/>
  <c r="V250" i="2"/>
  <c r="R294" i="2"/>
  <c r="V294" i="2"/>
  <c r="U294" i="2"/>
  <c r="X294" i="2"/>
  <c r="W294" i="2" a="1"/>
  <c r="W294" i="2" s="1"/>
  <c r="R19" i="2"/>
  <c r="Q238" i="2"/>
  <c r="R202" i="2"/>
  <c r="W183" i="2" a="1"/>
  <c r="W183" i="2" s="1"/>
  <c r="W265" i="2" a="1"/>
  <c r="W265" i="2" s="1"/>
  <c r="X284" i="2"/>
  <c r="S475" i="2"/>
  <c r="S533" i="2"/>
  <c r="V21" i="2"/>
  <c r="V18" i="2"/>
  <c r="U19" i="2"/>
  <c r="U20" i="2"/>
  <c r="Q76" i="2"/>
  <c r="W74" i="2" a="1"/>
  <c r="W74" i="2" s="1"/>
  <c r="Q74" i="2"/>
  <c r="U80" i="2"/>
  <c r="R96" i="2"/>
  <c r="U130" i="2"/>
  <c r="R156" i="2"/>
  <c r="X130" i="2"/>
  <c r="R238" i="2"/>
  <c r="T221" i="2"/>
  <c r="S237" i="2"/>
  <c r="R157" i="2"/>
  <c r="W185" i="2" a="1"/>
  <c r="W185" i="2" s="1"/>
  <c r="U196" i="2"/>
  <c r="W237" i="2" a="1"/>
  <c r="W237" i="2" s="1"/>
  <c r="V265" i="2"/>
  <c r="X479" i="2"/>
  <c r="Q461" i="2"/>
  <c r="W479" i="2" a="1"/>
  <c r="W479" i="2" s="1"/>
  <c r="U614" i="2"/>
  <c r="R621" i="2"/>
  <c r="U674" i="2"/>
  <c r="Q251" i="2"/>
  <c r="U251" i="2"/>
  <c r="V251" i="2"/>
  <c r="W19" i="2" a="1"/>
  <c r="W19" i="2" s="1"/>
  <c r="U32" i="2"/>
  <c r="R32" i="2"/>
  <c r="X131" i="2"/>
  <c r="V32" i="2"/>
  <c r="W129" i="2" a="1"/>
  <c r="W129" i="2" s="1"/>
  <c r="U142" i="2"/>
  <c r="R183" i="2"/>
  <c r="U129" i="2"/>
  <c r="V211" i="2"/>
  <c r="V157" i="2"/>
  <c r="T426" i="2"/>
  <c r="U21" i="2"/>
  <c r="U18" i="2"/>
  <c r="Q96" i="2"/>
  <c r="V74" i="2"/>
  <c r="W87" i="2" a="1"/>
  <c r="W87" i="2" s="1"/>
  <c r="V20" i="2"/>
  <c r="S131" i="2"/>
  <c r="X183" i="2"/>
  <c r="T238" i="2"/>
  <c r="W157" i="2" a="1"/>
  <c r="W157" i="2" s="1"/>
  <c r="V185" i="2"/>
  <c r="Q213" i="2"/>
  <c r="W238" i="2" a="1"/>
  <c r="W238" i="2" s="1"/>
  <c r="R196" i="2"/>
  <c r="V196" i="2"/>
  <c r="S294" i="2"/>
  <c r="U348" i="2"/>
  <c r="W626" i="2" a="1"/>
  <c r="W626" i="2" s="1"/>
  <c r="Q726" i="2"/>
  <c r="R55" i="2"/>
  <c r="W25" i="2" a="1"/>
  <c r="W25" i="2" s="1"/>
  <c r="Q32" i="2"/>
  <c r="Q21" i="2"/>
  <c r="W75" i="2" a="1"/>
  <c r="W75" i="2" s="1"/>
  <c r="R76" i="2"/>
  <c r="V76" i="2"/>
  <c r="V55" i="2"/>
  <c r="Q132" i="2"/>
  <c r="Q129" i="2"/>
  <c r="U211" i="2"/>
  <c r="T129" i="2"/>
  <c r="U185" i="2"/>
  <c r="V213" i="2"/>
  <c r="S238" i="2"/>
  <c r="Q196" i="2"/>
  <c r="W131" i="2" a="1"/>
  <c r="W131" i="2" s="1"/>
  <c r="S250" i="2"/>
  <c r="W251" i="2" a="1"/>
  <c r="W251" i="2" s="1"/>
  <c r="W338" i="2" a="1"/>
  <c r="W338" i="2" s="1"/>
  <c r="W406" i="2" a="1"/>
  <c r="W406" i="2" s="1"/>
  <c r="T479" i="2"/>
  <c r="U599" i="2"/>
  <c r="Q640" i="2"/>
  <c r="V698" i="2"/>
  <c r="Q379" i="2"/>
  <c r="V379" i="2"/>
  <c r="R379" i="2"/>
  <c r="U379" i="2"/>
  <c r="W379" i="2" a="1"/>
  <c r="W379" i="2" s="1"/>
  <c r="Q25" i="2"/>
  <c r="U75" i="2"/>
  <c r="Q130" i="2"/>
  <c r="U221" i="2"/>
  <c r="Q185" i="2"/>
  <c r="U157" i="2"/>
  <c r="W211" i="2" a="1"/>
  <c r="W211" i="2" s="1"/>
  <c r="Q294" i="2"/>
  <c r="S284" i="2"/>
  <c r="X357" i="2"/>
  <c r="X55" i="2"/>
  <c r="V25" i="2"/>
  <c r="Q20" i="2"/>
  <c r="W65" i="2" a="1"/>
  <c r="W65" i="2" s="1"/>
  <c r="U110" i="2"/>
  <c r="V110" i="2"/>
  <c r="U76" i="2"/>
  <c r="V96" i="2"/>
  <c r="X132" i="2"/>
  <c r="X129" i="2"/>
  <c r="W142" i="2" a="1"/>
  <c r="W142" i="2" s="1"/>
  <c r="V132" i="2"/>
  <c r="V156" i="2"/>
  <c r="R80" i="2"/>
  <c r="T237" i="2"/>
  <c r="T185" i="2"/>
  <c r="U213" i="2"/>
  <c r="X238" i="2"/>
  <c r="U284" i="2"/>
  <c r="V284" i="2"/>
  <c r="R357" i="2"/>
  <c r="T495" i="2"/>
  <c r="V666" i="2"/>
  <c r="Q776" i="2"/>
  <c r="V560" i="2"/>
  <c r="R560" i="2"/>
  <c r="Q560" i="2"/>
  <c r="W560" i="2" a="1"/>
  <c r="W560" i="2" s="1"/>
  <c r="U560" i="2"/>
  <c r="S55" i="2"/>
  <c r="U25" i="2"/>
  <c r="W55" i="2" a="1"/>
  <c r="W55" i="2" s="1"/>
  <c r="V19" i="2"/>
  <c r="V65" i="2"/>
  <c r="R75" i="2"/>
  <c r="U96" i="2"/>
  <c r="Q65" i="2"/>
  <c r="T130" i="2"/>
  <c r="V130" i="2"/>
  <c r="W130" i="2" a="1"/>
  <c r="W130" i="2" s="1"/>
  <c r="T55" i="2"/>
  <c r="U183" i="2"/>
  <c r="X237" i="2"/>
  <c r="W156" i="2" a="1"/>
  <c r="W156" i="2" s="1"/>
  <c r="X221" i="2"/>
  <c r="U238" i="2"/>
  <c r="T132" i="2"/>
  <c r="W202" i="2" a="1"/>
  <c r="W202" i="2" s="1"/>
  <c r="V202" i="2"/>
  <c r="U202" i="2"/>
  <c r="T183" i="2"/>
  <c r="W221" i="2" a="1"/>
  <c r="W221" i="2" s="1"/>
  <c r="V183" i="2"/>
  <c r="V237" i="2"/>
  <c r="U250" i="2"/>
  <c r="V587" i="2"/>
  <c r="Q794" i="2"/>
  <c r="R794" i="2"/>
  <c r="V794" i="2"/>
  <c r="U777" i="2"/>
  <c r="V777" i="2"/>
  <c r="V836" i="2"/>
  <c r="U836" i="2"/>
  <c r="R836" i="2"/>
  <c r="Q735" i="2"/>
  <c r="V735" i="2"/>
  <c r="U761" i="2"/>
  <c r="V761" i="2"/>
  <c r="Q827" i="2"/>
  <c r="R827" i="2"/>
  <c r="T827" i="2"/>
  <c r="W827" i="2" a="1"/>
  <c r="W827" i="2" s="1"/>
  <c r="Q831" i="2"/>
  <c r="R831" i="2"/>
  <c r="T831" i="2"/>
  <c r="W831" i="2" a="1"/>
  <c r="W831" i="2" s="1"/>
  <c r="Q835" i="2"/>
  <c r="R835" i="2"/>
  <c r="T835" i="2"/>
  <c r="W835" i="2" a="1"/>
  <c r="W835" i="2" s="1"/>
  <c r="W744" i="2" a="1"/>
  <c r="W744" i="2" s="1"/>
  <c r="V744" i="2"/>
  <c r="V828" i="2"/>
  <c r="R828" i="2"/>
  <c r="U828" i="2"/>
  <c r="T717" i="2"/>
  <c r="V717" i="2"/>
  <c r="S826" i="2"/>
  <c r="R826" i="2"/>
  <c r="T826" i="2"/>
  <c r="V826" i="2"/>
  <c r="X826" i="2"/>
  <c r="Q826" i="2"/>
  <c r="T825" i="2"/>
  <c r="S825" i="2"/>
  <c r="T829" i="2"/>
  <c r="S829" i="2"/>
  <c r="T833" i="2"/>
  <c r="S833" i="2"/>
  <c r="W792" i="2" a="1"/>
  <c r="W792" i="2" s="1"/>
  <c r="R792" i="2"/>
  <c r="U792" i="2"/>
  <c r="V792" i="2"/>
  <c r="Q818" i="2"/>
  <c r="R818" i="2"/>
  <c r="V818" i="2"/>
  <c r="W768" i="2" a="1"/>
  <c r="W768" i="2" s="1"/>
  <c r="T768" i="2"/>
  <c r="Q819" i="2"/>
  <c r="W819" i="2" a="1"/>
  <c r="W819" i="2" s="1"/>
  <c r="R819" i="2"/>
  <c r="S830" i="2"/>
  <c r="T830" i="2"/>
  <c r="V830" i="2"/>
  <c r="X830" i="2"/>
  <c r="Q830" i="2"/>
  <c r="R830" i="2"/>
  <c r="V812" i="2"/>
  <c r="R812" i="2"/>
  <c r="U812" i="2"/>
  <c r="V816" i="2"/>
  <c r="R816" i="2"/>
  <c r="U816" i="2"/>
  <c r="V820" i="2"/>
  <c r="R820" i="2"/>
  <c r="U820" i="2"/>
  <c r="U733" i="2"/>
  <c r="V733" i="2"/>
  <c r="Q786" i="2"/>
  <c r="R786" i="2"/>
  <c r="V786" i="2"/>
  <c r="Q811" i="2"/>
  <c r="R811" i="2"/>
  <c r="W811" i="2" a="1"/>
  <c r="W811" i="2" s="1"/>
  <c r="V832" i="2"/>
  <c r="R832" i="2"/>
  <c r="U832" i="2"/>
  <c r="Q823" i="2"/>
  <c r="W823" i="2" a="1"/>
  <c r="W823" i="2" s="1"/>
  <c r="R823" i="2"/>
  <c r="T823" i="2"/>
  <c r="V802" i="2"/>
  <c r="Q802" i="2"/>
  <c r="R802" i="2"/>
  <c r="U765" i="2"/>
  <c r="V765" i="2"/>
  <c r="Q806" i="2"/>
  <c r="R806" i="2"/>
  <c r="V806" i="2"/>
  <c r="Q810" i="2"/>
  <c r="R810" i="2"/>
  <c r="V810" i="2"/>
  <c r="Q839" i="2"/>
  <c r="R839" i="2"/>
  <c r="T839" i="2"/>
  <c r="W839" i="2" a="1"/>
  <c r="W839" i="2" s="1"/>
  <c r="U749" i="2"/>
  <c r="R749" i="2"/>
  <c r="V749" i="2"/>
  <c r="Q623" i="2"/>
  <c r="Q815" i="2"/>
  <c r="R815" i="2"/>
  <c r="W815" i="2" a="1"/>
  <c r="W815" i="2" s="1"/>
  <c r="S822" i="2"/>
  <c r="Q822" i="2"/>
  <c r="R822" i="2"/>
  <c r="T822" i="2"/>
  <c r="V822" i="2"/>
  <c r="X822" i="2"/>
  <c r="U753" i="2"/>
  <c r="V804" i="2"/>
  <c r="U804" i="2"/>
  <c r="R804" i="2"/>
  <c r="U757" i="2"/>
  <c r="T821" i="2"/>
  <c r="S821" i="2"/>
  <c r="Q799" i="2"/>
  <c r="R799" i="2"/>
  <c r="W799" i="2" a="1"/>
  <c r="W799" i="2" s="1"/>
  <c r="T715" i="2"/>
  <c r="U715" i="2"/>
  <c r="V715" i="2"/>
  <c r="W760" i="2" a="1"/>
  <c r="W760" i="2" s="1"/>
  <c r="T760" i="2"/>
  <c r="Q803" i="2"/>
  <c r="R803" i="2"/>
  <c r="W803" i="2" a="1"/>
  <c r="W803" i="2" s="1"/>
  <c r="T837" i="2"/>
  <c r="S837" i="2"/>
  <c r="V796" i="2"/>
  <c r="R796" i="2"/>
  <c r="U796" i="2"/>
  <c r="Q787" i="2"/>
  <c r="W787" i="2" a="1"/>
  <c r="W787" i="2" s="1"/>
  <c r="W748" i="2" a="1"/>
  <c r="W748" i="2" s="1"/>
  <c r="Q791" i="2"/>
  <c r="W791" i="2" a="1"/>
  <c r="W791" i="2" s="1"/>
  <c r="V808" i="2"/>
  <c r="R808" i="2"/>
  <c r="U808" i="2"/>
  <c r="U769" i="2"/>
  <c r="R769" i="2"/>
  <c r="T769" i="2"/>
  <c r="V769" i="2"/>
  <c r="V824" i="2"/>
  <c r="R824" i="2"/>
  <c r="U824" i="2"/>
  <c r="Q790" i="2"/>
  <c r="R790" i="2"/>
  <c r="V790" i="2"/>
  <c r="Q687" i="2"/>
  <c r="U687" i="2"/>
  <c r="V798" i="2"/>
  <c r="Q798" i="2"/>
  <c r="R798" i="2"/>
  <c r="W784" i="2" a="1"/>
  <c r="W784" i="2" s="1"/>
  <c r="R784" i="2"/>
  <c r="U784" i="2"/>
  <c r="V784" i="2"/>
  <c r="Q739" i="2"/>
  <c r="V739" i="2"/>
  <c r="W788" i="2" a="1"/>
  <c r="W788" i="2" s="1"/>
  <c r="R788" i="2"/>
  <c r="U788" i="2"/>
  <c r="V788" i="2"/>
  <c r="W764" i="2" a="1"/>
  <c r="W764" i="2" s="1"/>
  <c r="V764" i="2"/>
  <c r="Q814" i="2"/>
  <c r="R814" i="2"/>
  <c r="V814" i="2"/>
  <c r="Q783" i="2"/>
  <c r="W783" i="2" a="1"/>
  <c r="W783" i="2" s="1"/>
  <c r="N77" i="1"/>
  <c r="N80" i="1" s="1" a="1"/>
  <c r="N80" i="1" s="1"/>
  <c r="H69" i="1"/>
  <c r="H73" i="1" s="1" a="1"/>
  <c r="H73" i="1" s="1"/>
  <c r="I69" i="1"/>
  <c r="I73" i="1" s="1" a="1"/>
  <c r="I73" i="1" s="1"/>
  <c r="L77" i="1"/>
  <c r="L80" i="1" s="1" a="1"/>
  <c r="L80" i="1" s="1"/>
  <c r="J69" i="1"/>
  <c r="J73" i="1" s="1" a="1"/>
  <c r="J73" i="1" s="1"/>
  <c r="K69" i="1"/>
  <c r="K73" i="1" s="1" a="1"/>
  <c r="K73" i="1" s="1"/>
  <c r="M77" i="1"/>
  <c r="M80" i="1" s="1" a="1"/>
  <c r="M80" i="1" s="1"/>
  <c r="K77" i="1"/>
  <c r="K80" i="1" s="1" a="1"/>
  <c r="K80" i="1" s="1"/>
  <c r="L69" i="1"/>
  <c r="L73" i="1" s="1" a="1"/>
  <c r="L73" i="1" s="1"/>
  <c r="J77" i="1"/>
  <c r="J80" i="1" s="1" a="1"/>
  <c r="J80" i="1" s="1"/>
  <c r="M69" i="1"/>
  <c r="M73" i="1" s="1" a="1"/>
  <c r="M73" i="1" s="1"/>
  <c r="I77" i="1"/>
  <c r="I80" i="1" s="1" a="1"/>
  <c r="I80" i="1" s="1"/>
  <c r="N69" i="1"/>
  <c r="N73" i="1" s="1" a="1"/>
  <c r="N73" i="1" s="1"/>
  <c r="H77" i="1"/>
  <c r="H80" i="1" s="1" a="1"/>
  <c r="H80" i="1" s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3" i="3"/>
  <c r="N7" i="1" a="1"/>
  <c r="N7" i="1" s="1"/>
  <c r="Q7" i="1" s="1"/>
  <c r="N6" i="1" a="1"/>
  <c r="N6" i="1" s="1"/>
  <c r="Q6" i="1" s="1"/>
  <c r="R487" i="2" s="1"/>
  <c r="N5" i="1" a="1"/>
  <c r="N5" i="1" s="1"/>
  <c r="Q5" i="1" s="1"/>
  <c r="R366" i="2" s="1"/>
  <c r="N4" i="1" a="1"/>
  <c r="N4" i="1" s="1"/>
  <c r="Q4" i="1" s="1"/>
  <c r="Q3" i="1"/>
  <c r="Q2" i="1"/>
  <c r="R488" i="2" l="1"/>
  <c r="R428" i="2"/>
  <c r="R128" i="2"/>
  <c r="R66" i="2"/>
  <c r="R423" i="2"/>
  <c r="R483" i="2"/>
  <c r="R123" i="2"/>
  <c r="R427" i="2"/>
  <c r="R127" i="2"/>
  <c r="R184" i="2"/>
  <c r="R4" i="2"/>
  <c r="R124" i="2"/>
  <c r="R64" i="2"/>
  <c r="R425" i="2"/>
  <c r="R485" i="2"/>
  <c r="R125" i="2"/>
  <c r="N4" i="3"/>
  <c r="O4" i="3"/>
  <c r="P4" i="3"/>
  <c r="N5" i="3"/>
  <c r="O5" i="3"/>
  <c r="P5" i="3"/>
  <c r="N6" i="3"/>
  <c r="O6" i="3"/>
  <c r="P6" i="3"/>
  <c r="N7" i="3"/>
  <c r="O7" i="3"/>
  <c r="P7" i="3"/>
  <c r="N8" i="3"/>
  <c r="O8" i="3"/>
  <c r="P8" i="3"/>
  <c r="N9" i="3"/>
  <c r="O9" i="3"/>
  <c r="P9" i="3"/>
  <c r="N10" i="3"/>
  <c r="O10" i="3"/>
  <c r="P10" i="3"/>
  <c r="N11" i="3"/>
  <c r="O11" i="3"/>
  <c r="P11" i="3"/>
  <c r="N12" i="3"/>
  <c r="O12" i="3"/>
  <c r="P12" i="3"/>
  <c r="N13" i="3"/>
  <c r="O13" i="3"/>
  <c r="P13" i="3"/>
  <c r="N14" i="3"/>
  <c r="O14" i="3"/>
  <c r="P14" i="3"/>
  <c r="N15" i="3"/>
  <c r="O15" i="3"/>
  <c r="P15" i="3"/>
  <c r="N16" i="3"/>
  <c r="O16" i="3"/>
  <c r="P16" i="3"/>
  <c r="N17" i="3"/>
  <c r="O17" i="3"/>
  <c r="P17" i="3"/>
  <c r="N18" i="3"/>
  <c r="O18" i="3"/>
  <c r="P18" i="3"/>
  <c r="N19" i="3"/>
  <c r="O19" i="3"/>
  <c r="P19" i="3"/>
  <c r="N20" i="3"/>
  <c r="O20" i="3"/>
  <c r="P20" i="3"/>
  <c r="N21" i="3"/>
  <c r="O21" i="3"/>
  <c r="P21" i="3"/>
  <c r="N22" i="3"/>
  <c r="O22" i="3"/>
  <c r="P22" i="3"/>
  <c r="N23" i="3"/>
  <c r="O23" i="3"/>
  <c r="P23" i="3"/>
  <c r="N24" i="3"/>
  <c r="O24" i="3"/>
  <c r="P24" i="3"/>
  <c r="N25" i="3"/>
  <c r="O25" i="3"/>
  <c r="P25" i="3"/>
  <c r="N26" i="3"/>
  <c r="O26" i="3"/>
  <c r="P26" i="3"/>
  <c r="N27" i="3"/>
  <c r="O27" i="3"/>
  <c r="P27" i="3"/>
  <c r="N28" i="3"/>
  <c r="O28" i="3"/>
  <c r="P28" i="3"/>
  <c r="N29" i="3"/>
  <c r="O29" i="3"/>
  <c r="P29" i="3"/>
  <c r="N30" i="3"/>
  <c r="O30" i="3"/>
  <c r="P30" i="3"/>
  <c r="N31" i="3"/>
  <c r="O31" i="3"/>
  <c r="P31" i="3"/>
  <c r="N32" i="3"/>
  <c r="O32" i="3"/>
  <c r="P32" i="3"/>
  <c r="N33" i="3"/>
  <c r="O33" i="3"/>
  <c r="P33" i="3"/>
  <c r="N34" i="3"/>
  <c r="O34" i="3"/>
  <c r="P34" i="3"/>
  <c r="N35" i="3"/>
  <c r="O35" i="3"/>
  <c r="P35" i="3"/>
  <c r="N36" i="3"/>
  <c r="O36" i="3"/>
  <c r="P36" i="3"/>
  <c r="N37" i="3"/>
  <c r="O37" i="3"/>
  <c r="P37" i="3"/>
  <c r="N38" i="3"/>
  <c r="O38" i="3"/>
  <c r="P38" i="3"/>
  <c r="N39" i="3"/>
  <c r="O39" i="3"/>
  <c r="P39" i="3"/>
  <c r="N40" i="3"/>
  <c r="O40" i="3"/>
  <c r="P40" i="3"/>
  <c r="N41" i="3"/>
  <c r="O41" i="3"/>
  <c r="P41" i="3"/>
  <c r="N42" i="3"/>
  <c r="O42" i="3"/>
  <c r="P42" i="3"/>
  <c r="N43" i="3"/>
  <c r="O43" i="3"/>
  <c r="P43" i="3"/>
  <c r="N44" i="3"/>
  <c r="O44" i="3"/>
  <c r="P44" i="3"/>
  <c r="N45" i="3"/>
  <c r="O45" i="3"/>
  <c r="P45" i="3"/>
  <c r="N46" i="3"/>
  <c r="O46" i="3"/>
  <c r="P46" i="3"/>
  <c r="N47" i="3"/>
  <c r="O47" i="3"/>
  <c r="P47" i="3"/>
  <c r="N48" i="3"/>
  <c r="O48" i="3"/>
  <c r="P48" i="3"/>
  <c r="N49" i="3"/>
  <c r="O49" i="3"/>
  <c r="P49" i="3"/>
  <c r="N50" i="3"/>
  <c r="O50" i="3"/>
  <c r="P50" i="3"/>
  <c r="N51" i="3"/>
  <c r="O51" i="3"/>
  <c r="P51" i="3"/>
  <c r="N52" i="3"/>
  <c r="O52" i="3"/>
  <c r="P52" i="3"/>
  <c r="N53" i="3"/>
  <c r="O53" i="3"/>
  <c r="P53" i="3"/>
  <c r="N54" i="3"/>
  <c r="O54" i="3"/>
  <c r="P54" i="3"/>
  <c r="N55" i="3"/>
  <c r="O55" i="3"/>
  <c r="P55" i="3"/>
  <c r="N56" i="3"/>
  <c r="O56" i="3"/>
  <c r="P56" i="3"/>
  <c r="N57" i="3"/>
  <c r="O57" i="3"/>
  <c r="P57" i="3"/>
  <c r="N58" i="3"/>
  <c r="O58" i="3"/>
  <c r="P58" i="3"/>
  <c r="N59" i="3"/>
  <c r="O59" i="3"/>
  <c r="P59" i="3"/>
  <c r="N60" i="3"/>
  <c r="O60" i="3"/>
  <c r="P60" i="3"/>
  <c r="N61" i="3"/>
  <c r="O61" i="3"/>
  <c r="P61" i="3"/>
  <c r="N62" i="3"/>
  <c r="O62" i="3"/>
  <c r="P62" i="3"/>
  <c r="N63" i="3"/>
  <c r="O63" i="3"/>
  <c r="P63" i="3"/>
  <c r="N64" i="3"/>
  <c r="O64" i="3"/>
  <c r="P64" i="3"/>
  <c r="N65" i="3"/>
  <c r="O65" i="3"/>
  <c r="P65" i="3"/>
  <c r="N66" i="3"/>
  <c r="O66" i="3"/>
  <c r="P66" i="3"/>
  <c r="N67" i="3"/>
  <c r="O67" i="3"/>
  <c r="P67" i="3"/>
  <c r="N68" i="3"/>
  <c r="O68" i="3"/>
  <c r="P68" i="3"/>
  <c r="N69" i="3"/>
  <c r="O69" i="3"/>
  <c r="P69" i="3"/>
  <c r="N70" i="3"/>
  <c r="O70" i="3"/>
  <c r="P70" i="3"/>
  <c r="N71" i="3"/>
  <c r="O71" i="3"/>
  <c r="P71" i="3"/>
  <c r="N72" i="3"/>
  <c r="O72" i="3"/>
  <c r="P72" i="3"/>
  <c r="N73" i="3"/>
  <c r="O73" i="3"/>
  <c r="P73" i="3"/>
  <c r="N74" i="3"/>
  <c r="O74" i="3"/>
  <c r="P74" i="3"/>
  <c r="N75" i="3"/>
  <c r="O75" i="3"/>
  <c r="P75" i="3"/>
  <c r="N76" i="3"/>
  <c r="O76" i="3"/>
  <c r="P76" i="3"/>
  <c r="N77" i="3"/>
  <c r="O77" i="3"/>
  <c r="P77" i="3"/>
  <c r="N78" i="3"/>
  <c r="O78" i="3"/>
  <c r="P78" i="3"/>
  <c r="N79" i="3"/>
  <c r="O79" i="3"/>
  <c r="P79" i="3"/>
  <c r="N80" i="3"/>
  <c r="O80" i="3"/>
  <c r="P80" i="3"/>
  <c r="N81" i="3"/>
  <c r="O81" i="3"/>
  <c r="P81" i="3"/>
  <c r="N82" i="3"/>
  <c r="O82" i="3"/>
  <c r="P82" i="3"/>
  <c r="N83" i="3"/>
  <c r="O83" i="3"/>
  <c r="P83" i="3"/>
  <c r="N84" i="3"/>
  <c r="O84" i="3"/>
  <c r="P84" i="3"/>
  <c r="N85" i="3"/>
  <c r="O85" i="3"/>
  <c r="P85" i="3"/>
  <c r="N86" i="3"/>
  <c r="O86" i="3"/>
  <c r="P86" i="3"/>
  <c r="N87" i="3"/>
  <c r="O87" i="3"/>
  <c r="P87" i="3"/>
  <c r="N88" i="3"/>
  <c r="O88" i="3"/>
  <c r="P88" i="3"/>
  <c r="N89" i="3"/>
  <c r="O89" i="3"/>
  <c r="P89" i="3"/>
  <c r="N90" i="3"/>
  <c r="O90" i="3"/>
  <c r="P90" i="3"/>
  <c r="N91" i="3"/>
  <c r="O91" i="3"/>
  <c r="P91" i="3"/>
  <c r="N92" i="3"/>
  <c r="O92" i="3"/>
  <c r="P92" i="3"/>
  <c r="N93" i="3"/>
  <c r="O93" i="3"/>
  <c r="P93" i="3"/>
  <c r="N94" i="3"/>
  <c r="O94" i="3"/>
  <c r="P94" i="3"/>
  <c r="N95" i="3"/>
  <c r="O95" i="3"/>
  <c r="P95" i="3"/>
  <c r="N96" i="3"/>
  <c r="O96" i="3"/>
  <c r="P96" i="3"/>
  <c r="N97" i="3"/>
  <c r="O97" i="3"/>
  <c r="P97" i="3"/>
  <c r="N98" i="3"/>
  <c r="O98" i="3"/>
  <c r="P98" i="3"/>
  <c r="N99" i="3"/>
  <c r="O99" i="3"/>
  <c r="P99" i="3"/>
  <c r="N100" i="3"/>
  <c r="O100" i="3"/>
  <c r="P100" i="3"/>
  <c r="N101" i="3"/>
  <c r="O101" i="3"/>
  <c r="P101" i="3"/>
  <c r="N102" i="3"/>
  <c r="O102" i="3"/>
  <c r="P102" i="3"/>
  <c r="N103" i="3"/>
  <c r="O103" i="3"/>
  <c r="P103" i="3"/>
  <c r="N104" i="3"/>
  <c r="O104" i="3"/>
  <c r="P104" i="3"/>
  <c r="N105" i="3"/>
  <c r="O105" i="3"/>
  <c r="P105" i="3"/>
  <c r="N106" i="3"/>
  <c r="O106" i="3"/>
  <c r="P106" i="3"/>
  <c r="N107" i="3"/>
  <c r="O107" i="3"/>
  <c r="P107" i="3"/>
  <c r="N108" i="3"/>
  <c r="O108" i="3"/>
  <c r="P108" i="3"/>
  <c r="N109" i="3"/>
  <c r="O109" i="3"/>
  <c r="P109" i="3"/>
  <c r="N110" i="3"/>
  <c r="O110" i="3"/>
  <c r="P110" i="3"/>
  <c r="N111" i="3"/>
  <c r="O111" i="3"/>
  <c r="P111" i="3"/>
  <c r="N112" i="3"/>
  <c r="O112" i="3"/>
  <c r="P112" i="3"/>
  <c r="N113" i="3"/>
  <c r="O113" i="3"/>
  <c r="P113" i="3"/>
  <c r="N114" i="3"/>
  <c r="O114" i="3"/>
  <c r="P114" i="3"/>
  <c r="N115" i="3"/>
  <c r="O115" i="3"/>
  <c r="P115" i="3"/>
  <c r="N116" i="3"/>
  <c r="O116" i="3"/>
  <c r="P116" i="3"/>
  <c r="N117" i="3"/>
  <c r="O117" i="3"/>
  <c r="P117" i="3"/>
  <c r="N118" i="3"/>
  <c r="O118" i="3"/>
  <c r="P118" i="3"/>
  <c r="N119" i="3"/>
  <c r="O119" i="3"/>
  <c r="P119" i="3"/>
  <c r="N120" i="3"/>
  <c r="O120" i="3"/>
  <c r="P120" i="3"/>
  <c r="N121" i="3"/>
  <c r="O121" i="3"/>
  <c r="P121" i="3"/>
  <c r="N122" i="3"/>
  <c r="O122" i="3"/>
  <c r="P122" i="3"/>
  <c r="N123" i="3"/>
  <c r="O123" i="3"/>
  <c r="P123" i="3"/>
  <c r="N124" i="3"/>
  <c r="O124" i="3"/>
  <c r="P124" i="3"/>
  <c r="N125" i="3"/>
  <c r="O125" i="3"/>
  <c r="P125" i="3"/>
  <c r="N126" i="3"/>
  <c r="O126" i="3"/>
  <c r="P126" i="3"/>
  <c r="N127" i="3"/>
  <c r="O127" i="3"/>
  <c r="P127" i="3"/>
  <c r="N128" i="3"/>
  <c r="O128" i="3"/>
  <c r="P128" i="3"/>
  <c r="N129" i="3"/>
  <c r="O129" i="3"/>
  <c r="P129" i="3"/>
  <c r="N130" i="3"/>
  <c r="O130" i="3"/>
  <c r="P130" i="3"/>
  <c r="N131" i="3"/>
  <c r="O131" i="3"/>
  <c r="P131" i="3"/>
  <c r="N132" i="3"/>
  <c r="O132" i="3"/>
  <c r="P132" i="3"/>
  <c r="N133" i="3"/>
  <c r="O133" i="3"/>
  <c r="P133" i="3"/>
  <c r="N134" i="3"/>
  <c r="O134" i="3"/>
  <c r="P134" i="3"/>
  <c r="N135" i="3"/>
  <c r="O135" i="3"/>
  <c r="P135" i="3"/>
  <c r="N136" i="3"/>
  <c r="O136" i="3"/>
  <c r="P136" i="3"/>
  <c r="N137" i="3"/>
  <c r="O137" i="3"/>
  <c r="P137" i="3"/>
  <c r="N138" i="3"/>
  <c r="O138" i="3"/>
  <c r="P138" i="3"/>
  <c r="N139" i="3"/>
  <c r="O139" i="3"/>
  <c r="P139" i="3"/>
  <c r="N140" i="3"/>
  <c r="O140" i="3"/>
  <c r="P140" i="3"/>
  <c r="N141" i="3"/>
  <c r="O141" i="3"/>
  <c r="P141" i="3"/>
  <c r="N142" i="3"/>
  <c r="O142" i="3"/>
  <c r="P142" i="3"/>
  <c r="N143" i="3"/>
  <c r="O143" i="3"/>
  <c r="P143" i="3"/>
  <c r="N144" i="3"/>
  <c r="O144" i="3"/>
  <c r="P144" i="3"/>
  <c r="N145" i="3"/>
  <c r="O145" i="3"/>
  <c r="P145" i="3"/>
  <c r="N146" i="3"/>
  <c r="O146" i="3"/>
  <c r="P146" i="3"/>
  <c r="N147" i="3"/>
  <c r="O147" i="3"/>
  <c r="P147" i="3"/>
  <c r="N148" i="3"/>
  <c r="O148" i="3"/>
  <c r="P148" i="3"/>
  <c r="N149" i="3"/>
  <c r="O149" i="3"/>
  <c r="P149" i="3"/>
  <c r="N150" i="3"/>
  <c r="O150" i="3"/>
  <c r="P150" i="3"/>
  <c r="N151" i="3"/>
  <c r="O151" i="3"/>
  <c r="P151" i="3"/>
  <c r="N152" i="3"/>
  <c r="O152" i="3"/>
  <c r="P152" i="3"/>
  <c r="N153" i="3"/>
  <c r="O153" i="3"/>
  <c r="P153" i="3"/>
  <c r="N154" i="3"/>
  <c r="O154" i="3"/>
  <c r="P154" i="3"/>
  <c r="N155" i="3"/>
  <c r="O155" i="3"/>
  <c r="P155" i="3"/>
  <c r="N156" i="3"/>
  <c r="O156" i="3"/>
  <c r="P156" i="3"/>
  <c r="N157" i="3"/>
  <c r="O157" i="3"/>
  <c r="P157" i="3"/>
  <c r="N158" i="3"/>
  <c r="O158" i="3"/>
  <c r="P158" i="3"/>
  <c r="N159" i="3"/>
  <c r="O159" i="3"/>
  <c r="P159" i="3"/>
  <c r="N160" i="3"/>
  <c r="O160" i="3"/>
  <c r="P160" i="3"/>
  <c r="N161" i="3"/>
  <c r="O161" i="3"/>
  <c r="P161" i="3"/>
  <c r="N162" i="3"/>
  <c r="O162" i="3"/>
  <c r="P162" i="3"/>
  <c r="N163" i="3"/>
  <c r="O163" i="3"/>
  <c r="P163" i="3"/>
  <c r="N164" i="3"/>
  <c r="O164" i="3"/>
  <c r="P164" i="3"/>
  <c r="N165" i="3"/>
  <c r="O165" i="3"/>
  <c r="P165" i="3"/>
  <c r="N166" i="3"/>
  <c r="O166" i="3"/>
  <c r="P166" i="3"/>
  <c r="N167" i="3"/>
  <c r="O167" i="3"/>
  <c r="P167" i="3"/>
  <c r="N168" i="3"/>
  <c r="O168" i="3"/>
  <c r="P168" i="3"/>
  <c r="N169" i="3"/>
  <c r="O169" i="3"/>
  <c r="P169" i="3"/>
  <c r="N170" i="3"/>
  <c r="O170" i="3"/>
  <c r="P170" i="3"/>
  <c r="N171" i="3"/>
  <c r="O171" i="3"/>
  <c r="P171" i="3"/>
  <c r="N172" i="3"/>
  <c r="O172" i="3"/>
  <c r="P172" i="3"/>
  <c r="N173" i="3"/>
  <c r="O173" i="3"/>
  <c r="P173" i="3"/>
  <c r="N174" i="3"/>
  <c r="O174" i="3"/>
  <c r="P174" i="3"/>
  <c r="N175" i="3"/>
  <c r="O175" i="3"/>
  <c r="P175" i="3"/>
  <c r="N176" i="3"/>
  <c r="O176" i="3"/>
  <c r="P176" i="3"/>
  <c r="N177" i="3"/>
  <c r="O177" i="3"/>
  <c r="P177" i="3"/>
  <c r="N178" i="3"/>
  <c r="O178" i="3"/>
  <c r="P178" i="3"/>
  <c r="N179" i="3"/>
  <c r="O179" i="3"/>
  <c r="P179" i="3"/>
  <c r="N180" i="3"/>
  <c r="O180" i="3"/>
  <c r="P180" i="3"/>
  <c r="N181" i="3"/>
  <c r="O181" i="3"/>
  <c r="P181" i="3"/>
  <c r="N182" i="3"/>
  <c r="O182" i="3"/>
  <c r="P182" i="3"/>
  <c r="N183" i="3"/>
  <c r="O183" i="3"/>
  <c r="P183" i="3"/>
  <c r="N184" i="3"/>
  <c r="O184" i="3"/>
  <c r="P184" i="3"/>
  <c r="N185" i="3"/>
  <c r="O185" i="3"/>
  <c r="P185" i="3"/>
  <c r="N186" i="3"/>
  <c r="O186" i="3"/>
  <c r="P186" i="3"/>
  <c r="N187" i="3"/>
  <c r="O187" i="3"/>
  <c r="P187" i="3"/>
  <c r="N188" i="3"/>
  <c r="O188" i="3"/>
  <c r="P188" i="3"/>
  <c r="N189" i="3"/>
  <c r="O189" i="3"/>
  <c r="P189" i="3"/>
  <c r="N190" i="3"/>
  <c r="O190" i="3"/>
  <c r="P190" i="3"/>
  <c r="N191" i="3"/>
  <c r="O191" i="3"/>
  <c r="P191" i="3"/>
  <c r="N192" i="3"/>
  <c r="O192" i="3"/>
  <c r="P192" i="3"/>
  <c r="N193" i="3"/>
  <c r="O193" i="3"/>
  <c r="P193" i="3"/>
  <c r="N194" i="3"/>
  <c r="O194" i="3"/>
  <c r="P194" i="3"/>
  <c r="N195" i="3"/>
  <c r="O195" i="3"/>
  <c r="P195" i="3"/>
  <c r="N196" i="3"/>
  <c r="O196" i="3"/>
  <c r="P196" i="3"/>
  <c r="N197" i="3"/>
  <c r="O197" i="3"/>
  <c r="P197" i="3"/>
  <c r="N198" i="3"/>
  <c r="O198" i="3"/>
  <c r="P198" i="3"/>
  <c r="N199" i="3"/>
  <c r="O199" i="3"/>
  <c r="P199" i="3"/>
  <c r="N200" i="3"/>
  <c r="O200" i="3"/>
  <c r="P200" i="3"/>
  <c r="N201" i="3"/>
  <c r="O201" i="3"/>
  <c r="P201" i="3"/>
  <c r="N202" i="3"/>
  <c r="O202" i="3"/>
  <c r="P202" i="3"/>
  <c r="N203" i="3"/>
  <c r="O203" i="3"/>
  <c r="P203" i="3"/>
  <c r="N204" i="3"/>
  <c r="O204" i="3"/>
  <c r="P204" i="3"/>
  <c r="N205" i="3"/>
  <c r="O205" i="3"/>
  <c r="P205" i="3"/>
  <c r="N206" i="3"/>
  <c r="O206" i="3"/>
  <c r="P206" i="3"/>
  <c r="N207" i="3"/>
  <c r="O207" i="3"/>
  <c r="P207" i="3"/>
  <c r="N208" i="3"/>
  <c r="O208" i="3"/>
  <c r="P208" i="3"/>
  <c r="N209" i="3"/>
  <c r="O209" i="3"/>
  <c r="P209" i="3"/>
  <c r="N210" i="3"/>
  <c r="O210" i="3"/>
  <c r="P210" i="3"/>
  <c r="N211" i="3"/>
  <c r="O211" i="3"/>
  <c r="P211" i="3"/>
  <c r="N212" i="3"/>
  <c r="O212" i="3"/>
  <c r="P212" i="3"/>
  <c r="N213" i="3"/>
  <c r="O213" i="3"/>
  <c r="P213" i="3"/>
  <c r="N214" i="3"/>
  <c r="O214" i="3"/>
  <c r="P214" i="3"/>
  <c r="N215" i="3"/>
  <c r="O215" i="3"/>
  <c r="P215" i="3"/>
  <c r="N216" i="3"/>
  <c r="O216" i="3"/>
  <c r="P216" i="3"/>
  <c r="N217" i="3"/>
  <c r="O217" i="3"/>
  <c r="P217" i="3"/>
  <c r="N218" i="3"/>
  <c r="O218" i="3"/>
  <c r="P218" i="3"/>
  <c r="N219" i="3"/>
  <c r="O219" i="3"/>
  <c r="P219" i="3"/>
  <c r="N220" i="3"/>
  <c r="O220" i="3"/>
  <c r="P220" i="3"/>
  <c r="N221" i="3"/>
  <c r="O221" i="3"/>
  <c r="P221" i="3"/>
  <c r="N222" i="3"/>
  <c r="O222" i="3"/>
  <c r="P222" i="3"/>
  <c r="N223" i="3"/>
  <c r="O223" i="3"/>
  <c r="P223" i="3"/>
  <c r="N224" i="3"/>
  <c r="O224" i="3"/>
  <c r="P224" i="3"/>
  <c r="N225" i="3"/>
  <c r="O225" i="3"/>
  <c r="P225" i="3"/>
  <c r="N226" i="3"/>
  <c r="O226" i="3"/>
  <c r="P226" i="3"/>
  <c r="N227" i="3"/>
  <c r="O227" i="3"/>
  <c r="P227" i="3"/>
  <c r="N228" i="3"/>
  <c r="O228" i="3"/>
  <c r="P228" i="3"/>
  <c r="N229" i="3"/>
  <c r="O229" i="3"/>
  <c r="P229" i="3"/>
  <c r="N230" i="3"/>
  <c r="O230" i="3"/>
  <c r="P230" i="3"/>
  <c r="N231" i="3"/>
  <c r="O231" i="3"/>
  <c r="P231" i="3"/>
  <c r="N232" i="3"/>
  <c r="O232" i="3"/>
  <c r="P232" i="3"/>
  <c r="N233" i="3"/>
  <c r="O233" i="3"/>
  <c r="P233" i="3"/>
  <c r="N234" i="3"/>
  <c r="O234" i="3"/>
  <c r="P234" i="3"/>
  <c r="N235" i="3"/>
  <c r="O235" i="3"/>
  <c r="P235" i="3"/>
  <c r="N236" i="3"/>
  <c r="O236" i="3"/>
  <c r="P236" i="3"/>
  <c r="N237" i="3"/>
  <c r="O237" i="3"/>
  <c r="P237" i="3"/>
  <c r="N238" i="3"/>
  <c r="O238" i="3"/>
  <c r="P238" i="3"/>
  <c r="N239" i="3"/>
  <c r="O239" i="3"/>
  <c r="P239" i="3"/>
  <c r="N240" i="3"/>
  <c r="O240" i="3"/>
  <c r="P240" i="3"/>
  <c r="N241" i="3"/>
  <c r="O241" i="3"/>
  <c r="P241" i="3"/>
  <c r="P3" i="3"/>
  <c r="O3" i="3"/>
  <c r="N3" i="3"/>
  <c r="L60" i="2" l="1"/>
  <c r="U65" i="1" a="1"/>
  <c r="U65" i="1" s="1"/>
  <c r="DU60" i="1" a="1"/>
  <c r="ED60" i="1" s="1"/>
  <c r="V58" i="1"/>
  <c r="V57" i="1"/>
  <c r="V56" i="1"/>
  <c r="V55" i="1"/>
  <c r="V54" i="1"/>
  <c r="V53" i="1"/>
  <c r="V52" i="1"/>
  <c r="V51" i="1"/>
  <c r="V50" i="1"/>
  <c r="V49" i="1"/>
  <c r="BO33" i="1"/>
  <c r="BR31" i="1" s="1"/>
  <c r="BP31" i="1"/>
  <c r="BS7" i="1"/>
  <c r="BR7" i="1"/>
  <c r="BQ7" i="1"/>
  <c r="BS6" i="1"/>
  <c r="BR6" i="1"/>
  <c r="BQ6" i="1"/>
  <c r="BS5" i="1"/>
  <c r="BR5" i="1"/>
  <c r="BQ5" i="1"/>
  <c r="BS4" i="1"/>
  <c r="BR4" i="1"/>
  <c r="BQ4" i="1"/>
  <c r="AH1" i="1" a="1"/>
  <c r="BQ27" i="1" l="1"/>
  <c r="BQ30" i="1" s="1"/>
  <c r="BR28" i="1" s="1"/>
  <c r="BQ29" i="1"/>
  <c r="BS11" i="1"/>
  <c r="EI60" i="1"/>
  <c r="DW60" i="1"/>
  <c r="DX60" i="1"/>
  <c r="DY60" i="1"/>
  <c r="EA60" i="1"/>
  <c r="EG60" i="1"/>
  <c r="EE60" i="1"/>
  <c r="EF60" i="1"/>
  <c r="BP17" i="1"/>
  <c r="BR8" i="1"/>
  <c r="BR10" i="1" s="1"/>
  <c r="BR9" i="1"/>
  <c r="BR11" i="1" s="1"/>
  <c r="BP8" i="1"/>
  <c r="AV1" i="1"/>
  <c r="AN1" i="1"/>
  <c r="AU1" i="1"/>
  <c r="AM1" i="1"/>
  <c r="AS1" i="1"/>
  <c r="AK1" i="1"/>
  <c r="AR1" i="1"/>
  <c r="AL1" i="1"/>
  <c r="AJ1" i="1"/>
  <c r="AO1" i="1"/>
  <c r="AI1" i="1"/>
  <c r="AT1" i="1"/>
  <c r="AP1" i="1"/>
  <c r="AH1" i="1"/>
  <c r="AQ1" i="1"/>
  <c r="BS10" i="1"/>
  <c r="BP16" i="1"/>
  <c r="BP18" i="1"/>
  <c r="BS8" i="1"/>
  <c r="BS9" i="1"/>
  <c r="DZ60" i="1"/>
  <c r="EH60" i="1"/>
  <c r="DU60" i="1"/>
  <c r="EB60" i="1"/>
  <c r="EC60" i="1"/>
  <c r="DV60" i="1"/>
  <c r="S67" i="2" l="1"/>
  <c r="S620" i="2"/>
  <c r="S752" i="2"/>
  <c r="S637" i="2"/>
  <c r="S618" i="2"/>
  <c r="S750" i="2"/>
  <c r="S748" i="2"/>
  <c r="S804" i="2"/>
  <c r="S783" i="2"/>
  <c r="S680" i="2"/>
  <c r="S624" i="2"/>
  <c r="S816" i="2"/>
  <c r="S742" i="2"/>
  <c r="S741" i="2"/>
  <c r="S801" i="2"/>
  <c r="S670" i="2"/>
  <c r="S812" i="2"/>
  <c r="S797" i="2"/>
  <c r="S813" i="2"/>
  <c r="S623" i="2"/>
  <c r="S666" i="2"/>
  <c r="S806" i="2"/>
  <c r="AQ4" i="1" a="1"/>
  <c r="AQ4" i="1" s="1"/>
  <c r="BH4" i="1" s="1"/>
  <c r="AQ16" i="1" a="1"/>
  <c r="AQ16" i="1" s="1"/>
  <c r="S497" i="2" s="1"/>
  <c r="AQ17" i="1" a="1"/>
  <c r="AQ17" i="1" s="1"/>
  <c r="S498" i="2" s="1"/>
  <c r="AQ3" i="1" a="1"/>
  <c r="AQ3" i="1" s="1"/>
  <c r="AQ15" i="1" a="1"/>
  <c r="AQ15" i="1" s="1"/>
  <c r="AQ14" i="1" a="1"/>
  <c r="AQ14" i="1" s="1"/>
  <c r="BH14" i="1" s="1"/>
  <c r="AQ33" i="1" a="1"/>
  <c r="AQ33" i="1" s="1"/>
  <c r="AQ34" i="1" a="1"/>
  <c r="AQ34" i="1" s="1"/>
  <c r="AQ35" i="1" a="1"/>
  <c r="AQ35" i="1" s="1"/>
  <c r="S516" i="2" s="1"/>
  <c r="AQ38" i="1" a="1"/>
  <c r="AQ38" i="1" s="1"/>
  <c r="S519" i="2" s="1"/>
  <c r="AQ12" i="1" a="1"/>
  <c r="AQ12" i="1" s="1"/>
  <c r="AQ13" i="1" a="1"/>
  <c r="AQ13" i="1" s="1"/>
  <c r="AQ11" i="1" a="1"/>
  <c r="AQ11" i="1" s="1"/>
  <c r="BH11" i="1" s="1"/>
  <c r="AQ10" i="1" a="1"/>
  <c r="AQ10" i="1" s="1"/>
  <c r="BH10" i="1" s="1"/>
  <c r="AQ20" i="1" a="1"/>
  <c r="AQ20" i="1" s="1"/>
  <c r="AQ23" i="1" a="1"/>
  <c r="AQ23" i="1" s="1"/>
  <c r="AQ24" i="1" a="1"/>
  <c r="AQ24" i="1" s="1"/>
  <c r="S505" i="2" s="1"/>
  <c r="AQ25" i="1" a="1"/>
  <c r="AQ25" i="1" s="1"/>
  <c r="S506" i="2" s="1"/>
  <c r="AQ5" i="1" a="1"/>
  <c r="AQ5" i="1" s="1"/>
  <c r="BH5" i="1" s="1"/>
  <c r="AQ6" i="1" a="1"/>
  <c r="AQ6" i="1" s="1"/>
  <c r="BH6" i="1" s="1"/>
  <c r="AQ7" i="1" a="1"/>
  <c r="AQ7" i="1" s="1"/>
  <c r="S488" i="2" s="1"/>
  <c r="AQ8" i="1" a="1"/>
  <c r="AQ8" i="1" s="1"/>
  <c r="BH8" i="1" s="1"/>
  <c r="AQ29" i="1" a="1"/>
  <c r="AQ29" i="1" s="1"/>
  <c r="AQ45" i="1" a="1"/>
  <c r="AQ45" i="1" s="1"/>
  <c r="BH45" i="1" s="1"/>
  <c r="AQ46" i="1" a="1"/>
  <c r="AQ46" i="1" s="1"/>
  <c r="AQ56" i="1" a="1"/>
  <c r="AQ56" i="1" s="1"/>
  <c r="AQ18" i="1" a="1"/>
  <c r="AQ18" i="1" s="1"/>
  <c r="S499" i="2" s="1"/>
  <c r="AQ42" i="1" a="1"/>
  <c r="AQ42" i="1" s="1"/>
  <c r="BH42" i="1" s="1"/>
  <c r="AQ43" i="1" a="1"/>
  <c r="AQ43" i="1" s="1"/>
  <c r="BH43" i="1" s="1"/>
  <c r="AQ44" i="1" a="1"/>
  <c r="AQ44" i="1" s="1"/>
  <c r="BH44" i="1" s="1"/>
  <c r="AQ55" i="1" a="1"/>
  <c r="AQ55" i="1" s="1"/>
  <c r="BH55" i="1" s="1"/>
  <c r="AQ47" i="1" a="1"/>
  <c r="AQ47" i="1" s="1"/>
  <c r="BH47" i="1" s="1"/>
  <c r="AQ57" i="1" a="1"/>
  <c r="AQ57" i="1" s="1"/>
  <c r="AQ9" i="1" a="1"/>
  <c r="AQ9" i="1" s="1"/>
  <c r="BH9" i="1" s="1"/>
  <c r="AQ22" i="1" a="1"/>
  <c r="AQ22" i="1" s="1"/>
  <c r="S503" i="2" s="1"/>
  <c r="AQ26" i="1" a="1"/>
  <c r="AQ26" i="1" s="1"/>
  <c r="AQ30" i="1" a="1"/>
  <c r="AQ30" i="1" s="1"/>
  <c r="AQ41" i="1" a="1"/>
  <c r="AQ41" i="1" s="1"/>
  <c r="AQ54" i="1" a="1"/>
  <c r="AQ54" i="1" s="1"/>
  <c r="BH54" i="1" s="1"/>
  <c r="AQ27" i="1" a="1"/>
  <c r="AQ27" i="1" s="1"/>
  <c r="AQ31" i="1" a="1"/>
  <c r="AQ31" i="1" s="1"/>
  <c r="S512" i="2" s="1"/>
  <c r="AQ37" i="1" a="1"/>
  <c r="AQ37" i="1" s="1"/>
  <c r="S518" i="2" s="1"/>
  <c r="AQ40" i="1" a="1"/>
  <c r="AQ40" i="1" s="1"/>
  <c r="AQ53" i="1" a="1"/>
  <c r="AQ53" i="1" s="1"/>
  <c r="BH53" i="1" s="1"/>
  <c r="AQ19" i="1" a="1"/>
  <c r="AQ19" i="1" s="1"/>
  <c r="S500" i="2" s="1"/>
  <c r="AQ21" i="1" a="1"/>
  <c r="AQ21" i="1" s="1"/>
  <c r="AQ39" i="1" a="1"/>
  <c r="AQ39" i="1" s="1"/>
  <c r="BH39" i="1" s="1"/>
  <c r="AQ52" i="1" a="1"/>
  <c r="AQ52" i="1" s="1"/>
  <c r="BH52" i="1" s="1"/>
  <c r="AQ2" i="1" a="1"/>
  <c r="AQ2" i="1" s="1"/>
  <c r="BH2" i="1" s="1"/>
  <c r="AQ28" i="1" a="1"/>
  <c r="AQ28" i="1" s="1"/>
  <c r="S509" i="2" s="1"/>
  <c r="AQ32" i="1" a="1"/>
  <c r="AQ32" i="1" s="1"/>
  <c r="S513" i="2" s="1"/>
  <c r="AQ51" i="1" a="1"/>
  <c r="AQ51" i="1" s="1"/>
  <c r="AQ36" i="1" a="1"/>
  <c r="AQ36" i="1" s="1"/>
  <c r="AQ48" i="1" a="1"/>
  <c r="AQ48" i="1" s="1"/>
  <c r="BH48" i="1" s="1"/>
  <c r="AQ50" i="1" a="1"/>
  <c r="AQ50" i="1" s="1"/>
  <c r="BH50" i="1" s="1"/>
  <c r="AQ58" i="1" a="1"/>
  <c r="AQ58" i="1" s="1"/>
  <c r="BH58" i="1" s="1"/>
  <c r="AQ49" i="1" a="1"/>
  <c r="AQ49" i="1" s="1"/>
  <c r="AR6" i="1" a="1"/>
  <c r="AR6" i="1" s="1"/>
  <c r="BI6" i="1" s="1"/>
  <c r="AR7" i="1" a="1"/>
  <c r="AR7" i="1" s="1"/>
  <c r="AR18" i="1" a="1"/>
  <c r="AR18" i="1" s="1"/>
  <c r="S559" i="2" s="1"/>
  <c r="AR4" i="1" a="1"/>
  <c r="AR4" i="1" s="1"/>
  <c r="BI4" i="1" s="1"/>
  <c r="AR5" i="1" a="1"/>
  <c r="AR5" i="1" s="1"/>
  <c r="AR16" i="1" a="1"/>
  <c r="AR16" i="1" s="1"/>
  <c r="S557" i="2" s="1"/>
  <c r="AR17" i="1" a="1"/>
  <c r="AR17" i="1" s="1"/>
  <c r="S558" i="2" s="1"/>
  <c r="AR3" i="1" a="1"/>
  <c r="AR3" i="1" s="1"/>
  <c r="AR15" i="1" a="1"/>
  <c r="AR15" i="1" s="1"/>
  <c r="S556" i="2" s="1"/>
  <c r="AR36" i="1" a="1"/>
  <c r="AR36" i="1" s="1"/>
  <c r="S577" i="2" s="1"/>
  <c r="AR37" i="1" a="1"/>
  <c r="AR37" i="1" s="1"/>
  <c r="AR14" i="1" a="1"/>
  <c r="AR14" i="1" s="1"/>
  <c r="BI14" i="1" s="1"/>
  <c r="AR12" i="1" a="1"/>
  <c r="AR12" i="1" s="1"/>
  <c r="BI12" i="1" s="1"/>
  <c r="AR13" i="1" a="1"/>
  <c r="AR13" i="1" s="1"/>
  <c r="AR11" i="1" a="1"/>
  <c r="AR11" i="1" s="1"/>
  <c r="AR8" i="1" a="1"/>
  <c r="AR8" i="1" s="1"/>
  <c r="AR9" i="1" a="1"/>
  <c r="AR9" i="1" s="1"/>
  <c r="S550" i="2" s="1"/>
  <c r="AR20" i="1" a="1"/>
  <c r="AR20" i="1" s="1"/>
  <c r="S561" i="2" s="1"/>
  <c r="AR28" i="1" a="1"/>
  <c r="AR28" i="1" s="1"/>
  <c r="AR38" i="1" a="1"/>
  <c r="AR38" i="1" s="1"/>
  <c r="S579" i="2" s="1"/>
  <c r="AR47" i="1" a="1"/>
  <c r="AR47" i="1" s="1"/>
  <c r="BI47" i="1" s="1"/>
  <c r="AR48" i="1" a="1"/>
  <c r="AR48" i="1" s="1"/>
  <c r="BI48" i="1" s="1"/>
  <c r="AR49" i="1" a="1"/>
  <c r="AR49" i="1" s="1"/>
  <c r="BI49" i="1" s="1"/>
  <c r="AR57" i="1" a="1"/>
  <c r="AR57" i="1" s="1"/>
  <c r="AR29" i="1" a="1"/>
  <c r="AR29" i="1" s="1"/>
  <c r="S570" i="2" s="1"/>
  <c r="AR34" i="1" a="1"/>
  <c r="AR34" i="1" s="1"/>
  <c r="S575" i="2" s="1"/>
  <c r="AR45" i="1" a="1"/>
  <c r="AR45" i="1" s="1"/>
  <c r="BI45" i="1" s="1"/>
  <c r="AR46" i="1" a="1"/>
  <c r="AR46" i="1" s="1"/>
  <c r="BI46" i="1" s="1"/>
  <c r="AR56" i="1" a="1"/>
  <c r="AR56" i="1" s="1"/>
  <c r="BI56" i="1" s="1"/>
  <c r="AR24" i="1" a="1"/>
  <c r="AR24" i="1" s="1"/>
  <c r="AR25" i="1" a="1"/>
  <c r="AR25" i="1" s="1"/>
  <c r="AR42" i="1" a="1"/>
  <c r="AR42" i="1" s="1"/>
  <c r="AR44" i="1" a="1"/>
  <c r="AR44" i="1" s="1"/>
  <c r="AR55" i="1" a="1"/>
  <c r="AR55" i="1" s="1"/>
  <c r="AR22" i="1" a="1"/>
  <c r="AR22" i="1" s="1"/>
  <c r="AR23" i="1" a="1"/>
  <c r="AR23" i="1" s="1"/>
  <c r="AR26" i="1" a="1"/>
  <c r="AR26" i="1" s="1"/>
  <c r="S567" i="2" s="1"/>
  <c r="AR30" i="1" a="1"/>
  <c r="AR30" i="1" s="1"/>
  <c r="AR41" i="1" a="1"/>
  <c r="AR41" i="1" s="1"/>
  <c r="BI41" i="1" s="1"/>
  <c r="AR43" i="1" a="1"/>
  <c r="AR43" i="1" s="1"/>
  <c r="AR54" i="1" a="1"/>
  <c r="AR54" i="1" s="1"/>
  <c r="BI54" i="1" s="1"/>
  <c r="AR10" i="1" a="1"/>
  <c r="AR10" i="1" s="1"/>
  <c r="BI10" i="1" s="1"/>
  <c r="AR31" i="1" a="1"/>
  <c r="AR31" i="1" s="1"/>
  <c r="AR35" i="1" a="1"/>
  <c r="AR35" i="1" s="1"/>
  <c r="AR40" i="1" a="1"/>
  <c r="AR40" i="1" s="1"/>
  <c r="BI40" i="1" s="1"/>
  <c r="AR53" i="1" a="1"/>
  <c r="AR53" i="1" s="1"/>
  <c r="BI53" i="1" s="1"/>
  <c r="AR19" i="1" a="1"/>
  <c r="AR19" i="1" s="1"/>
  <c r="S560" i="2" s="1"/>
  <c r="AR21" i="1" a="1"/>
  <c r="AR21" i="1" s="1"/>
  <c r="S562" i="2" s="1"/>
  <c r="AR27" i="1" a="1"/>
  <c r="AR27" i="1" s="1"/>
  <c r="S568" i="2" s="1"/>
  <c r="AR39" i="1" a="1"/>
  <c r="AR39" i="1" s="1"/>
  <c r="AR52" i="1" a="1"/>
  <c r="AR52" i="1" s="1"/>
  <c r="BI52" i="1" s="1"/>
  <c r="AR2" i="1" a="1"/>
  <c r="AR2" i="1" s="1"/>
  <c r="BI2" i="1" s="1"/>
  <c r="AR32" i="1" a="1"/>
  <c r="AR32" i="1" s="1"/>
  <c r="AR51" i="1" a="1"/>
  <c r="AR51" i="1" s="1"/>
  <c r="BI51" i="1" s="1"/>
  <c r="AR33" i="1" a="1"/>
  <c r="AR33" i="1" s="1"/>
  <c r="AR50" i="1" a="1"/>
  <c r="AR50" i="1" s="1"/>
  <c r="BI50" i="1" s="1"/>
  <c r="AR58" i="1" a="1"/>
  <c r="AR58" i="1" s="1"/>
  <c r="BI58" i="1" s="1"/>
  <c r="AK8" i="1" a="1"/>
  <c r="AK8" i="1" s="1"/>
  <c r="AK9" i="1" a="1"/>
  <c r="AK9" i="1" s="1"/>
  <c r="BB9" i="1" s="1"/>
  <c r="AK19" i="1" a="1"/>
  <c r="AK19" i="1" s="1"/>
  <c r="AK22" i="1" a="1"/>
  <c r="AK22" i="1" s="1"/>
  <c r="AK5" i="1" a="1"/>
  <c r="AK5" i="1" s="1"/>
  <c r="BB5" i="1" s="1"/>
  <c r="AK6" i="1" a="1"/>
  <c r="AK6" i="1" s="1"/>
  <c r="BB6" i="1" s="1"/>
  <c r="AK7" i="1" a="1"/>
  <c r="AK7" i="1" s="1"/>
  <c r="BB7" i="1" s="1"/>
  <c r="AK18" i="1" a="1"/>
  <c r="AK18" i="1" s="1"/>
  <c r="S139" i="2" s="1"/>
  <c r="AK4" i="1" a="1"/>
  <c r="AK4" i="1" s="1"/>
  <c r="S125" i="2" s="1"/>
  <c r="AK16" i="1" a="1"/>
  <c r="AK16" i="1" s="1"/>
  <c r="AK17" i="1" a="1"/>
  <c r="AK17" i="1" s="1"/>
  <c r="AK3" i="1" a="1"/>
  <c r="AK3" i="1" s="1"/>
  <c r="S124" i="2" s="1"/>
  <c r="AK15" i="1" a="1"/>
  <c r="AK15" i="1" s="1"/>
  <c r="AK14" i="1" a="1"/>
  <c r="AK14" i="1" s="1"/>
  <c r="BB14" i="1" s="1"/>
  <c r="AK12" i="1" a="1"/>
  <c r="AK12" i="1" s="1"/>
  <c r="BB12" i="1" s="1"/>
  <c r="AK13" i="1" a="1"/>
  <c r="AK13" i="1" s="1"/>
  <c r="S134" i="2" s="1"/>
  <c r="AK10" i="1" a="1"/>
  <c r="AK10" i="1" s="1"/>
  <c r="BB10" i="1" s="1"/>
  <c r="AK27" i="1" a="1"/>
  <c r="AK27" i="1" s="1"/>
  <c r="AK31" i="1" a="1"/>
  <c r="AK31" i="1" s="1"/>
  <c r="AK50" i="1" a="1"/>
  <c r="AK50" i="1" s="1"/>
  <c r="AK58" i="1" a="1"/>
  <c r="AK58" i="1" s="1"/>
  <c r="BB58" i="1" s="1"/>
  <c r="AK51" i="1" a="1"/>
  <c r="AK51" i="1" s="1"/>
  <c r="BB51" i="1" s="1"/>
  <c r="AK47" i="1" a="1"/>
  <c r="AK47" i="1" s="1"/>
  <c r="AK48" i="1" a="1"/>
  <c r="AK48" i="1" s="1"/>
  <c r="BB48" i="1" s="1"/>
  <c r="AK49" i="1" a="1"/>
  <c r="AK49" i="1" s="1"/>
  <c r="AK57" i="1" a="1"/>
  <c r="AK57" i="1" s="1"/>
  <c r="BB57" i="1" s="1"/>
  <c r="AK26" i="1" a="1"/>
  <c r="AK26" i="1" s="1"/>
  <c r="AK32" i="1" a="1"/>
  <c r="AK32" i="1" s="1"/>
  <c r="AK36" i="1" a="1"/>
  <c r="AK36" i="1" s="1"/>
  <c r="AK38" i="1" a="1"/>
  <c r="AK38" i="1" s="1"/>
  <c r="AK43" i="1" a="1"/>
  <c r="AK43" i="1" s="1"/>
  <c r="BB43" i="1" s="1"/>
  <c r="AK45" i="1" a="1"/>
  <c r="AK45" i="1" s="1"/>
  <c r="AK46" i="1" a="1"/>
  <c r="AK46" i="1" s="1"/>
  <c r="AK56" i="1" a="1"/>
  <c r="AK56" i="1" s="1"/>
  <c r="AK24" i="1" a="1"/>
  <c r="AK24" i="1" s="1"/>
  <c r="AK30" i="1" a="1"/>
  <c r="AK30" i="1" s="1"/>
  <c r="AK35" i="1" a="1"/>
  <c r="AK35" i="1" s="1"/>
  <c r="AK21" i="1" a="1"/>
  <c r="AK21" i="1" s="1"/>
  <c r="AK28" i="1" a="1"/>
  <c r="AK28" i="1" s="1"/>
  <c r="AK33" i="1" a="1"/>
  <c r="AK33" i="1" s="1"/>
  <c r="S154" i="2" s="1"/>
  <c r="AK42" i="1" a="1"/>
  <c r="AK42" i="1" s="1"/>
  <c r="AK44" i="1" a="1"/>
  <c r="AK44" i="1" s="1"/>
  <c r="BB44" i="1" s="1"/>
  <c r="AK55" i="1" a="1"/>
  <c r="AK55" i="1" s="1"/>
  <c r="BB55" i="1" s="1"/>
  <c r="AK20" i="1" a="1"/>
  <c r="AK20" i="1" s="1"/>
  <c r="AK41" i="1" a="1"/>
  <c r="AK41" i="1" s="1"/>
  <c r="BB41" i="1" s="1"/>
  <c r="AK54" i="1" a="1"/>
  <c r="AK54" i="1" s="1"/>
  <c r="BB54" i="1" s="1"/>
  <c r="AK11" i="1" a="1"/>
  <c r="AK11" i="1" s="1"/>
  <c r="BB11" i="1" s="1"/>
  <c r="AK29" i="1" a="1"/>
  <c r="AK29" i="1" s="1"/>
  <c r="AK34" i="1" a="1"/>
  <c r="AK34" i="1" s="1"/>
  <c r="S155" i="2" s="1"/>
  <c r="AK40" i="1" a="1"/>
  <c r="AK40" i="1" s="1"/>
  <c r="BB40" i="1" s="1"/>
  <c r="AK53" i="1" a="1"/>
  <c r="AK53" i="1" s="1"/>
  <c r="BB53" i="1" s="1"/>
  <c r="AK25" i="1" a="1"/>
  <c r="AK25" i="1" s="1"/>
  <c r="AK37" i="1" a="1"/>
  <c r="AK37" i="1" s="1"/>
  <c r="AK39" i="1" a="1"/>
  <c r="AK39" i="1" s="1"/>
  <c r="BB39" i="1" s="1"/>
  <c r="AK52" i="1" a="1"/>
  <c r="AK52" i="1" s="1"/>
  <c r="BB52" i="1" s="1"/>
  <c r="AK2" i="1" a="1"/>
  <c r="AK2" i="1" s="1"/>
  <c r="S123" i="2" s="1"/>
  <c r="AK23" i="1" a="1"/>
  <c r="AK23" i="1" s="1"/>
  <c r="S144" i="2" s="1"/>
  <c r="AH3" i="1" a="1"/>
  <c r="AH3" i="1" s="1"/>
  <c r="AY3" i="1" s="1"/>
  <c r="AH15" i="1" a="1"/>
  <c r="AH15" i="1" s="1"/>
  <c r="AY15" i="1" s="1"/>
  <c r="AH34" i="1" a="1"/>
  <c r="AH34" i="1" s="1"/>
  <c r="AY34" i="1" s="1"/>
  <c r="AH36" i="1" a="1"/>
  <c r="AH36" i="1" s="1"/>
  <c r="AY36" i="1" s="1"/>
  <c r="AH38" i="1" a="1"/>
  <c r="AH38" i="1" s="1"/>
  <c r="AY38" i="1" s="1"/>
  <c r="AH39" i="1" a="1"/>
  <c r="AH39" i="1" s="1"/>
  <c r="AY39" i="1" s="1"/>
  <c r="AH13" i="1" a="1"/>
  <c r="AH13" i="1" s="1"/>
  <c r="AY13" i="1" s="1"/>
  <c r="AH14" i="1" a="1"/>
  <c r="AH14" i="1" s="1"/>
  <c r="AH33" i="1" a="1"/>
  <c r="AH33" i="1" s="1"/>
  <c r="AY33" i="1" s="1"/>
  <c r="AH35" i="1" a="1"/>
  <c r="AH35" i="1" s="1"/>
  <c r="AY35" i="1" s="1"/>
  <c r="AH12" i="1" a="1"/>
  <c r="AH12" i="1" s="1"/>
  <c r="AY12" i="1" s="1"/>
  <c r="AH27" i="1" a="1"/>
  <c r="AH27" i="1" s="1"/>
  <c r="AY27" i="1" s="1"/>
  <c r="AH30" i="1" a="1"/>
  <c r="AH30" i="1" s="1"/>
  <c r="AY30" i="1" s="1"/>
  <c r="AH31" i="1" a="1"/>
  <c r="AH31" i="1" s="1"/>
  <c r="AH32" i="1" a="1"/>
  <c r="AH32" i="1" s="1"/>
  <c r="AH11" i="1" a="1"/>
  <c r="AH11" i="1" s="1"/>
  <c r="AH10" i="1" a="1"/>
  <c r="AH10" i="1" s="1"/>
  <c r="AY10" i="1" s="1"/>
  <c r="AH20" i="1" a="1"/>
  <c r="AH20" i="1" s="1"/>
  <c r="AY20" i="1" s="1"/>
  <c r="AH21" i="1" a="1"/>
  <c r="AH21" i="1" s="1"/>
  <c r="AY21" i="1" s="1"/>
  <c r="AH8" i="1" a="1"/>
  <c r="AH8" i="1" s="1"/>
  <c r="AY8" i="1" s="1"/>
  <c r="AH9" i="1" a="1"/>
  <c r="AH9" i="1" s="1"/>
  <c r="AY9" i="1" s="1"/>
  <c r="AH19" i="1" a="1"/>
  <c r="AH19" i="1" s="1"/>
  <c r="AY19" i="1" s="1"/>
  <c r="AH22" i="1" a="1"/>
  <c r="AH22" i="1" s="1"/>
  <c r="AY22" i="1" s="1"/>
  <c r="AH4" i="1" a="1"/>
  <c r="AH4" i="1" s="1"/>
  <c r="AH28" i="1" a="1"/>
  <c r="AH28" i="1" s="1"/>
  <c r="AY28" i="1" s="1"/>
  <c r="AH42" i="1" a="1"/>
  <c r="AH42" i="1" s="1"/>
  <c r="AY42" i="1" s="1"/>
  <c r="AH44" i="1" a="1"/>
  <c r="AH44" i="1" s="1"/>
  <c r="AY44" i="1" s="1"/>
  <c r="AH55" i="1" a="1"/>
  <c r="AH55" i="1" s="1"/>
  <c r="AY55" i="1" s="1"/>
  <c r="AH56" i="1" a="1"/>
  <c r="AH56" i="1" s="1"/>
  <c r="AY56" i="1" s="1"/>
  <c r="AH5" i="1" a="1"/>
  <c r="AH5" i="1" s="1"/>
  <c r="AY5" i="1" s="1"/>
  <c r="AH41" i="1" a="1"/>
  <c r="AH41" i="1" s="1"/>
  <c r="AY41" i="1" s="1"/>
  <c r="AH54" i="1" a="1"/>
  <c r="AH54" i="1" s="1"/>
  <c r="AH16" i="1" a="1"/>
  <c r="AH16" i="1" s="1"/>
  <c r="AY16" i="1" s="1"/>
  <c r="AH29" i="1" a="1"/>
  <c r="AH29" i="1" s="1"/>
  <c r="AY29" i="1" s="1"/>
  <c r="AH40" i="1" a="1"/>
  <c r="AH40" i="1" s="1"/>
  <c r="AY40" i="1" s="1"/>
  <c r="AH53" i="1" a="1"/>
  <c r="AH53" i="1" s="1"/>
  <c r="AY53" i="1" s="1"/>
  <c r="AH2" i="1" a="1"/>
  <c r="AH2" i="1" s="1"/>
  <c r="AY2" i="1" s="1"/>
  <c r="AH6" i="1" a="1"/>
  <c r="AH6" i="1" s="1"/>
  <c r="AY6" i="1" s="1"/>
  <c r="AH17" i="1" a="1"/>
  <c r="AH17" i="1" s="1"/>
  <c r="AY17" i="1" s="1"/>
  <c r="AH52" i="1" a="1"/>
  <c r="AH52" i="1" s="1"/>
  <c r="AH25" i="1" a="1"/>
  <c r="AH25" i="1" s="1"/>
  <c r="AY25" i="1" s="1"/>
  <c r="AH26" i="1" a="1"/>
  <c r="AH26" i="1" s="1"/>
  <c r="AY26" i="1" s="1"/>
  <c r="AH37" i="1" a="1"/>
  <c r="AH37" i="1" s="1"/>
  <c r="AY37" i="1" s="1"/>
  <c r="AH51" i="1" a="1"/>
  <c r="AH51" i="1" s="1"/>
  <c r="AY51" i="1" s="1"/>
  <c r="AH45" i="1" a="1"/>
  <c r="AH45" i="1" s="1"/>
  <c r="AY45" i="1" s="1"/>
  <c r="AH7" i="1" a="1"/>
  <c r="AH7" i="1" s="1"/>
  <c r="AY7" i="1" s="1"/>
  <c r="AH23" i="1" a="1"/>
  <c r="AH23" i="1" s="1"/>
  <c r="AY23" i="1" s="1"/>
  <c r="AH24" i="1" a="1"/>
  <c r="AH24" i="1" s="1"/>
  <c r="AH49" i="1" a="1"/>
  <c r="AH49" i="1" s="1"/>
  <c r="AY49" i="1" s="1"/>
  <c r="AH50" i="1" a="1"/>
  <c r="AH50" i="1" s="1"/>
  <c r="AY50" i="1" s="1"/>
  <c r="AH58" i="1" a="1"/>
  <c r="AH58" i="1" s="1"/>
  <c r="AY58" i="1" s="1"/>
  <c r="AH18" i="1" a="1"/>
  <c r="AH18" i="1" s="1"/>
  <c r="AY18" i="1" s="1"/>
  <c r="AH47" i="1" a="1"/>
  <c r="AH47" i="1" s="1"/>
  <c r="AY47" i="1" s="1"/>
  <c r="AH48" i="1" a="1"/>
  <c r="AH48" i="1" s="1"/>
  <c r="AY48" i="1" s="1"/>
  <c r="AH57" i="1" a="1"/>
  <c r="AH57" i="1" s="1"/>
  <c r="AY57" i="1" s="1"/>
  <c r="AH43" i="1" a="1"/>
  <c r="AH43" i="1" s="1"/>
  <c r="AH46" i="1" a="1"/>
  <c r="AH46" i="1" s="1"/>
  <c r="AY46" i="1" s="1"/>
  <c r="AJ5" i="1" a="1"/>
  <c r="AJ5" i="1" s="1"/>
  <c r="BA5" i="1" s="1"/>
  <c r="AJ6" i="1" a="1"/>
  <c r="AJ6" i="1" s="1"/>
  <c r="BA6" i="1" s="1"/>
  <c r="AJ7" i="1" a="1"/>
  <c r="AJ7" i="1" s="1"/>
  <c r="BA7" i="1" s="1"/>
  <c r="AJ18" i="1" a="1"/>
  <c r="AJ18" i="1" s="1"/>
  <c r="AJ4" i="1" a="1"/>
  <c r="AJ4" i="1" s="1"/>
  <c r="BA4" i="1" s="1"/>
  <c r="AJ16" i="1" a="1"/>
  <c r="AJ16" i="1" s="1"/>
  <c r="AJ17" i="1" a="1"/>
  <c r="AJ17" i="1" s="1"/>
  <c r="S78" i="2" s="1"/>
  <c r="AJ3" i="1" a="1"/>
  <c r="AJ3" i="1" s="1"/>
  <c r="BA3" i="1" s="1"/>
  <c r="AJ15" i="1" a="1"/>
  <c r="AJ15" i="1" s="1"/>
  <c r="AJ36" i="1" a="1"/>
  <c r="AJ36" i="1" s="1"/>
  <c r="S97" i="2" s="1"/>
  <c r="AJ37" i="1" a="1"/>
  <c r="AJ37" i="1" s="1"/>
  <c r="AJ38" i="1" a="1"/>
  <c r="AJ38" i="1" s="1"/>
  <c r="AJ39" i="1" a="1"/>
  <c r="AJ39" i="1" s="1"/>
  <c r="BA39" i="1" s="1"/>
  <c r="AJ14" i="1" a="1"/>
  <c r="AJ14" i="1" s="1"/>
  <c r="S75" i="2" s="1"/>
  <c r="AJ12" i="1" a="1"/>
  <c r="AJ12" i="1" s="1"/>
  <c r="S73" i="2" s="1"/>
  <c r="AJ13" i="1" a="1"/>
  <c r="AJ13" i="1" s="1"/>
  <c r="BA13" i="1" s="1"/>
  <c r="AJ11" i="1" a="1"/>
  <c r="AJ11" i="1" s="1"/>
  <c r="BA11" i="1" s="1"/>
  <c r="AJ25" i="1" a="1"/>
  <c r="AJ25" i="1" s="1"/>
  <c r="AJ8" i="1" a="1"/>
  <c r="AJ8" i="1" s="1"/>
  <c r="BA8" i="1" s="1"/>
  <c r="AJ9" i="1" a="1"/>
  <c r="AJ9" i="1" s="1"/>
  <c r="BA9" i="1" s="1"/>
  <c r="AJ47" i="1" a="1"/>
  <c r="AJ47" i="1" s="1"/>
  <c r="AJ48" i="1" a="1"/>
  <c r="AJ48" i="1" s="1"/>
  <c r="BA48" i="1" s="1"/>
  <c r="AJ57" i="1" a="1"/>
  <c r="AJ57" i="1" s="1"/>
  <c r="AJ22" i="1" a="1"/>
  <c r="AJ22" i="1" s="1"/>
  <c r="AJ50" i="1" a="1"/>
  <c r="AJ50" i="1" s="1"/>
  <c r="BA50" i="1" s="1"/>
  <c r="AJ58" i="1" a="1"/>
  <c r="AJ58" i="1" s="1"/>
  <c r="AJ32" i="1" a="1"/>
  <c r="AJ32" i="1" s="1"/>
  <c r="AJ43" i="1" a="1"/>
  <c r="AJ43" i="1" s="1"/>
  <c r="BA43" i="1" s="1"/>
  <c r="AJ45" i="1" a="1"/>
  <c r="AJ45" i="1" s="1"/>
  <c r="BA45" i="1" s="1"/>
  <c r="AJ46" i="1" a="1"/>
  <c r="AJ46" i="1" s="1"/>
  <c r="BA46" i="1" s="1"/>
  <c r="AJ56" i="1" a="1"/>
  <c r="AJ56" i="1" s="1"/>
  <c r="AJ21" i="1" a="1"/>
  <c r="AJ21" i="1" s="1"/>
  <c r="AJ28" i="1" a="1"/>
  <c r="AJ28" i="1" s="1"/>
  <c r="AJ33" i="1" a="1"/>
  <c r="AJ33" i="1" s="1"/>
  <c r="AJ42" i="1" a="1"/>
  <c r="AJ42" i="1" s="1"/>
  <c r="BA42" i="1" s="1"/>
  <c r="AJ44" i="1" a="1"/>
  <c r="AJ44" i="1" s="1"/>
  <c r="BA44" i="1" s="1"/>
  <c r="AJ55" i="1" a="1"/>
  <c r="AJ55" i="1" s="1"/>
  <c r="BA55" i="1" s="1"/>
  <c r="AJ10" i="1" a="1"/>
  <c r="AJ10" i="1" s="1"/>
  <c r="BA10" i="1" s="1"/>
  <c r="AJ19" i="1" a="1"/>
  <c r="AJ19" i="1" s="1"/>
  <c r="S80" i="2" s="1"/>
  <c r="AJ41" i="1" a="1"/>
  <c r="AJ41" i="1" s="1"/>
  <c r="BA41" i="1" s="1"/>
  <c r="AJ54" i="1" a="1"/>
  <c r="AJ54" i="1" s="1"/>
  <c r="BA54" i="1" s="1"/>
  <c r="AJ29" i="1" a="1"/>
  <c r="AJ29" i="1" s="1"/>
  <c r="AJ34" i="1" a="1"/>
  <c r="AJ34" i="1" s="1"/>
  <c r="AJ40" i="1" a="1"/>
  <c r="AJ40" i="1" s="1"/>
  <c r="BA40" i="1" s="1"/>
  <c r="AJ53" i="1" a="1"/>
  <c r="AJ53" i="1" s="1"/>
  <c r="BA53" i="1" s="1"/>
  <c r="AJ49" i="1" a="1"/>
  <c r="AJ49" i="1" s="1"/>
  <c r="BA49" i="1" s="1"/>
  <c r="AJ52" i="1" a="1"/>
  <c r="AJ52" i="1" s="1"/>
  <c r="AJ2" i="1" a="1"/>
  <c r="AJ2" i="1" s="1"/>
  <c r="BA2" i="1" s="1"/>
  <c r="AJ20" i="1" a="1"/>
  <c r="AJ20" i="1" s="1"/>
  <c r="AJ23" i="1" a="1"/>
  <c r="AJ23" i="1" s="1"/>
  <c r="AJ24" i="1" a="1"/>
  <c r="AJ24" i="1" s="1"/>
  <c r="AJ26" i="1" a="1"/>
  <c r="AJ26" i="1" s="1"/>
  <c r="AJ30" i="1" a="1"/>
  <c r="AJ30" i="1" s="1"/>
  <c r="AJ35" i="1" a="1"/>
  <c r="AJ35" i="1" s="1"/>
  <c r="AJ51" i="1" a="1"/>
  <c r="AJ51" i="1" s="1"/>
  <c r="AJ27" i="1" a="1"/>
  <c r="AJ27" i="1" s="1"/>
  <c r="AJ31" i="1" a="1"/>
  <c r="AJ31" i="1" s="1"/>
  <c r="S92" i="2" s="1"/>
  <c r="AV12" i="1" a="1"/>
  <c r="AV12" i="1" s="1"/>
  <c r="BM12" i="1" s="1"/>
  <c r="AV13" i="1" a="1"/>
  <c r="AV13" i="1" s="1"/>
  <c r="AV31" i="1" a="1"/>
  <c r="AV31" i="1" s="1"/>
  <c r="BM31" i="1" s="1"/>
  <c r="AV32" i="1" a="1"/>
  <c r="AV32" i="1" s="1"/>
  <c r="BM32" i="1" s="1"/>
  <c r="AV34" i="1" a="1"/>
  <c r="AV34" i="1" s="1"/>
  <c r="BM34" i="1" s="1"/>
  <c r="AV11" i="1" a="1"/>
  <c r="AV11" i="1" s="1"/>
  <c r="AV26" i="1" a="1"/>
  <c r="AV26" i="1" s="1"/>
  <c r="BM26" i="1" s="1"/>
  <c r="AV29" i="1" a="1"/>
  <c r="AV29" i="1" s="1"/>
  <c r="BM29" i="1" s="1"/>
  <c r="AV30" i="1" a="1"/>
  <c r="AV30" i="1" s="1"/>
  <c r="BM30" i="1" s="1"/>
  <c r="AV10" i="1" a="1"/>
  <c r="AV10" i="1" s="1"/>
  <c r="AV24" i="1" a="1"/>
  <c r="AV24" i="1" s="1"/>
  <c r="BM24" i="1" s="1"/>
  <c r="AV25" i="1" a="1"/>
  <c r="AV25" i="1" s="1"/>
  <c r="AV27" i="1" a="1"/>
  <c r="AV27" i="1" s="1"/>
  <c r="BM27" i="1" s="1"/>
  <c r="AV28" i="1" a="1"/>
  <c r="AV28" i="1" s="1"/>
  <c r="S809" i="2" s="1"/>
  <c r="AV9" i="1" a="1"/>
  <c r="AV9" i="1" s="1"/>
  <c r="S790" i="2" s="1"/>
  <c r="AV19" i="1" a="1"/>
  <c r="AV19" i="1" s="1"/>
  <c r="BM19" i="1" s="1"/>
  <c r="AV20" i="1" a="1"/>
  <c r="AV20" i="1" s="1"/>
  <c r="BM20" i="1" s="1"/>
  <c r="AV7" i="1" a="1"/>
  <c r="AV7" i="1" s="1"/>
  <c r="S788" i="2" s="1"/>
  <c r="AV8" i="1" a="1"/>
  <c r="AV8" i="1" s="1"/>
  <c r="AV18" i="1" a="1"/>
  <c r="AV18" i="1" s="1"/>
  <c r="BM18" i="1" s="1"/>
  <c r="AV21" i="1" a="1"/>
  <c r="AV21" i="1" s="1"/>
  <c r="BM21" i="1" s="1"/>
  <c r="AV4" i="1" a="1"/>
  <c r="AV4" i="1" s="1"/>
  <c r="S785" i="2" s="1"/>
  <c r="AV5" i="1" a="1"/>
  <c r="AV5" i="1" s="1"/>
  <c r="S786" i="2" s="1"/>
  <c r="AV6" i="1" a="1"/>
  <c r="AV6" i="1" s="1"/>
  <c r="S787" i="2" s="1"/>
  <c r="AV17" i="1" a="1"/>
  <c r="AV17" i="1" s="1"/>
  <c r="BM17" i="1" s="1"/>
  <c r="AV14" i="1" a="1"/>
  <c r="AV14" i="1" s="1"/>
  <c r="S795" i="2" s="1"/>
  <c r="AV35" i="1" a="1"/>
  <c r="AV35" i="1" s="1"/>
  <c r="BM35" i="1" s="1"/>
  <c r="AV37" i="1" a="1"/>
  <c r="AV37" i="1" s="1"/>
  <c r="BM37" i="1" s="1"/>
  <c r="AV40" i="1" a="1"/>
  <c r="AV40" i="1" s="1"/>
  <c r="AV53" i="1" a="1"/>
  <c r="AV53" i="1" s="1"/>
  <c r="AV39" i="1" a="1"/>
  <c r="AV39" i="1" s="1"/>
  <c r="BM39" i="1" s="1"/>
  <c r="AV52" i="1" a="1"/>
  <c r="AV52" i="1" s="1"/>
  <c r="BM52" i="1" s="1"/>
  <c r="AV2" i="1" a="1"/>
  <c r="AV2" i="1" s="1"/>
  <c r="BM2" i="1" s="1"/>
  <c r="AV43" i="1" a="1"/>
  <c r="AV43" i="1" s="1"/>
  <c r="BM43" i="1" s="1"/>
  <c r="AV16" i="1" a="1"/>
  <c r="AV16" i="1" s="1"/>
  <c r="AV51" i="1" a="1"/>
  <c r="AV51" i="1" s="1"/>
  <c r="BM51" i="1" s="1"/>
  <c r="AV33" i="1" a="1"/>
  <c r="AV33" i="1" s="1"/>
  <c r="BM33" i="1" s="1"/>
  <c r="AV36" i="1" a="1"/>
  <c r="AV36" i="1" s="1"/>
  <c r="S817" i="2" s="1"/>
  <c r="AV50" i="1" a="1"/>
  <c r="AV50" i="1" s="1"/>
  <c r="BM50" i="1" s="1"/>
  <c r="AV58" i="1" a="1"/>
  <c r="AV58" i="1" s="1"/>
  <c r="BM58" i="1" s="1"/>
  <c r="AV22" i="1" a="1"/>
  <c r="AV22" i="1" s="1"/>
  <c r="BM22" i="1" s="1"/>
  <c r="AV23" i="1" a="1"/>
  <c r="AV23" i="1" s="1"/>
  <c r="BM23" i="1" s="1"/>
  <c r="AV38" i="1" a="1"/>
  <c r="AV38" i="1" s="1"/>
  <c r="BM38" i="1" s="1"/>
  <c r="AV48" i="1" a="1"/>
  <c r="AV48" i="1" s="1"/>
  <c r="BM48" i="1" s="1"/>
  <c r="AV49" i="1" a="1"/>
  <c r="AV49" i="1" s="1"/>
  <c r="BM49" i="1" s="1"/>
  <c r="AV57" i="1" a="1"/>
  <c r="AV57" i="1" s="1"/>
  <c r="AV54" i="1" a="1"/>
  <c r="AV54" i="1" s="1"/>
  <c r="BM54" i="1" s="1"/>
  <c r="AV46" i="1" a="1"/>
  <c r="AV46" i="1" s="1"/>
  <c r="BM46" i="1" s="1"/>
  <c r="AV47" i="1" a="1"/>
  <c r="AV47" i="1" s="1"/>
  <c r="BM47" i="1" s="1"/>
  <c r="AV56" i="1" a="1"/>
  <c r="AV56" i="1" s="1"/>
  <c r="BM56" i="1" s="1"/>
  <c r="AV3" i="1" a="1"/>
  <c r="AV3" i="1" s="1"/>
  <c r="AV15" i="1" a="1"/>
  <c r="AV15" i="1" s="1"/>
  <c r="BM15" i="1" s="1"/>
  <c r="AV42" i="1" a="1"/>
  <c r="AV42" i="1" s="1"/>
  <c r="BM42" i="1" s="1"/>
  <c r="AV44" i="1" a="1"/>
  <c r="AV44" i="1" s="1"/>
  <c r="AV45" i="1" a="1"/>
  <c r="AV45" i="1" s="1"/>
  <c r="BM45" i="1" s="1"/>
  <c r="AV55" i="1" a="1"/>
  <c r="AV55" i="1" s="1"/>
  <c r="BM55" i="1" s="1"/>
  <c r="AV41" i="1" a="1"/>
  <c r="AV41" i="1" s="1"/>
  <c r="BM41" i="1" s="1"/>
  <c r="AL10" i="1" a="1"/>
  <c r="AL10" i="1" s="1"/>
  <c r="BC10" i="1" s="1"/>
  <c r="AL20" i="1" a="1"/>
  <c r="AL20" i="1" s="1"/>
  <c r="AL21" i="1" a="1"/>
  <c r="AL21" i="1" s="1"/>
  <c r="AL23" i="1" a="1"/>
  <c r="AL23" i="1" s="1"/>
  <c r="AL24" i="1" a="1"/>
  <c r="AL24" i="1" s="1"/>
  <c r="S205" i="2" s="1"/>
  <c r="AL25" i="1" a="1"/>
  <c r="AL25" i="1" s="1"/>
  <c r="AL8" i="1" a="1"/>
  <c r="AL8" i="1" s="1"/>
  <c r="BC8" i="1" s="1"/>
  <c r="AL9" i="1" a="1"/>
  <c r="AL9" i="1" s="1"/>
  <c r="BC9" i="1" s="1"/>
  <c r="AL19" i="1" a="1"/>
  <c r="AL19" i="1" s="1"/>
  <c r="AL22" i="1" a="1"/>
  <c r="AL22" i="1" s="1"/>
  <c r="AL5" i="1" a="1"/>
  <c r="AL5" i="1" s="1"/>
  <c r="BC5" i="1" s="1"/>
  <c r="AL6" i="1" a="1"/>
  <c r="AL6" i="1" s="1"/>
  <c r="BC6" i="1" s="1"/>
  <c r="AL7" i="1" a="1"/>
  <c r="AL7" i="1" s="1"/>
  <c r="BC7" i="1" s="1"/>
  <c r="AL18" i="1" a="1"/>
  <c r="AL18" i="1" s="1"/>
  <c r="AL4" i="1" a="1"/>
  <c r="AL4" i="1" s="1"/>
  <c r="BC4" i="1" s="1"/>
  <c r="AL16" i="1" a="1"/>
  <c r="AL16" i="1" s="1"/>
  <c r="AL17" i="1" a="1"/>
  <c r="AL17" i="1" s="1"/>
  <c r="AL3" i="1" a="1"/>
  <c r="AL3" i="1" s="1"/>
  <c r="BC3" i="1" s="1"/>
  <c r="AL15" i="1" a="1"/>
  <c r="AL15" i="1" s="1"/>
  <c r="S196" i="2" s="1"/>
  <c r="AL14" i="1" a="1"/>
  <c r="AL14" i="1" s="1"/>
  <c r="BC14" i="1" s="1"/>
  <c r="AL11" i="1" a="1"/>
  <c r="AL11" i="1" s="1"/>
  <c r="AL26" i="1" a="1"/>
  <c r="AL26" i="1" s="1"/>
  <c r="AL30" i="1" a="1"/>
  <c r="AL30" i="1" s="1"/>
  <c r="AL35" i="1" a="1"/>
  <c r="AL35" i="1" s="1"/>
  <c r="AL51" i="1" a="1"/>
  <c r="AL51" i="1" s="1"/>
  <c r="BC51" i="1" s="1"/>
  <c r="AL12" i="1" a="1"/>
  <c r="AL12" i="1" s="1"/>
  <c r="BC12" i="1" s="1"/>
  <c r="AL13" i="1" a="1"/>
  <c r="AL13" i="1" s="1"/>
  <c r="BC13" i="1" s="1"/>
  <c r="AL27" i="1" a="1"/>
  <c r="AL27" i="1" s="1"/>
  <c r="AL31" i="1" a="1"/>
  <c r="AL31" i="1" s="1"/>
  <c r="S212" i="2" s="1"/>
  <c r="AL50" i="1" a="1"/>
  <c r="AL50" i="1" s="1"/>
  <c r="BC50" i="1" s="1"/>
  <c r="AL58" i="1" a="1"/>
  <c r="AL58" i="1" s="1"/>
  <c r="BC58" i="1" s="1"/>
  <c r="AL47" i="1" a="1"/>
  <c r="AL47" i="1" s="1"/>
  <c r="BC47" i="1" s="1"/>
  <c r="AL48" i="1" a="1"/>
  <c r="AL48" i="1" s="1"/>
  <c r="BC48" i="1" s="1"/>
  <c r="AL49" i="1" a="1"/>
  <c r="AL49" i="1" s="1"/>
  <c r="BC49" i="1" s="1"/>
  <c r="AL57" i="1" a="1"/>
  <c r="AL57" i="1" s="1"/>
  <c r="AL32" i="1" a="1"/>
  <c r="AL32" i="1" s="1"/>
  <c r="AL36" i="1" a="1"/>
  <c r="AL36" i="1" s="1"/>
  <c r="S217" i="2" s="1"/>
  <c r="AL38" i="1" a="1"/>
  <c r="AL38" i="1" s="1"/>
  <c r="AL45" i="1" a="1"/>
  <c r="AL45" i="1" s="1"/>
  <c r="BC45" i="1" s="1"/>
  <c r="AL46" i="1" a="1"/>
  <c r="AL46" i="1" s="1"/>
  <c r="BC46" i="1" s="1"/>
  <c r="AL56" i="1" a="1"/>
  <c r="AL56" i="1" s="1"/>
  <c r="BC56" i="1" s="1"/>
  <c r="AL28" i="1" a="1"/>
  <c r="AL28" i="1" s="1"/>
  <c r="AL33" i="1" a="1"/>
  <c r="AL33" i="1" s="1"/>
  <c r="AL42" i="1" a="1"/>
  <c r="AL42" i="1" s="1"/>
  <c r="BC42" i="1" s="1"/>
  <c r="AL43" i="1" a="1"/>
  <c r="AL43" i="1" s="1"/>
  <c r="AL44" i="1" a="1"/>
  <c r="AL44" i="1" s="1"/>
  <c r="BC44" i="1" s="1"/>
  <c r="AL55" i="1" a="1"/>
  <c r="AL55" i="1" s="1"/>
  <c r="BC55" i="1" s="1"/>
  <c r="AL39" i="1" a="1"/>
  <c r="AL39" i="1" s="1"/>
  <c r="BC39" i="1" s="1"/>
  <c r="AL41" i="1" a="1"/>
  <c r="AL41" i="1" s="1"/>
  <c r="BC41" i="1" s="1"/>
  <c r="AL54" i="1" a="1"/>
  <c r="AL54" i="1" s="1"/>
  <c r="BC54" i="1" s="1"/>
  <c r="AL52" i="1" a="1"/>
  <c r="AL52" i="1" s="1"/>
  <c r="BC52" i="1" s="1"/>
  <c r="AL29" i="1" a="1"/>
  <c r="AL29" i="1" s="1"/>
  <c r="AL34" i="1" a="1"/>
  <c r="AL34" i="1" s="1"/>
  <c r="S215" i="2" s="1"/>
  <c r="AL40" i="1" a="1"/>
  <c r="AL40" i="1" s="1"/>
  <c r="BC40" i="1" s="1"/>
  <c r="AL53" i="1" a="1"/>
  <c r="AL53" i="1" s="1"/>
  <c r="BC53" i="1" s="1"/>
  <c r="AL37" i="1" a="1"/>
  <c r="AL37" i="1" s="1"/>
  <c r="S218" i="2" s="1"/>
  <c r="AL2" i="1" a="1"/>
  <c r="AL2" i="1" s="1"/>
  <c r="BC2" i="1" s="1"/>
  <c r="AP3" i="1" a="1"/>
  <c r="AP3" i="1" s="1"/>
  <c r="BG3" i="1" s="1"/>
  <c r="AP15" i="1" a="1"/>
  <c r="AP15" i="1" s="1"/>
  <c r="AP36" i="1" a="1"/>
  <c r="AP36" i="1" s="1"/>
  <c r="AP37" i="1" a="1"/>
  <c r="AP37" i="1" s="1"/>
  <c r="S458" i="2" s="1"/>
  <c r="AP14" i="1" a="1"/>
  <c r="AP14" i="1" s="1"/>
  <c r="BG14" i="1" s="1"/>
  <c r="AP33" i="1" a="1"/>
  <c r="AP33" i="1" s="1"/>
  <c r="AP34" i="1" a="1"/>
  <c r="AP34" i="1" s="1"/>
  <c r="AP12" i="1" a="1"/>
  <c r="AP12" i="1" s="1"/>
  <c r="BG12" i="1" s="1"/>
  <c r="AP13" i="1" a="1"/>
  <c r="AP13" i="1" s="1"/>
  <c r="BG13" i="1" s="1"/>
  <c r="AP27" i="1" a="1"/>
  <c r="AP27" i="1" s="1"/>
  <c r="AP31" i="1" a="1"/>
  <c r="AP31" i="1" s="1"/>
  <c r="S452" i="2" s="1"/>
  <c r="AP32" i="1" a="1"/>
  <c r="AP32" i="1" s="1"/>
  <c r="S453" i="2" s="1"/>
  <c r="AP11" i="1" a="1"/>
  <c r="AP11" i="1" s="1"/>
  <c r="BG11" i="1" s="1"/>
  <c r="AP10" i="1" a="1"/>
  <c r="AP10" i="1" s="1"/>
  <c r="BG10" i="1" s="1"/>
  <c r="AP20" i="1" a="1"/>
  <c r="AP20" i="1" s="1"/>
  <c r="AP8" i="1" a="1"/>
  <c r="AP8" i="1" s="1"/>
  <c r="BG8" i="1" s="1"/>
  <c r="AP9" i="1" a="1"/>
  <c r="AP9" i="1" s="1"/>
  <c r="BG9" i="1" s="1"/>
  <c r="AP19" i="1" a="1"/>
  <c r="AP19" i="1" s="1"/>
  <c r="AP21" i="1" a="1"/>
  <c r="AP21" i="1" s="1"/>
  <c r="AP22" i="1" a="1"/>
  <c r="AP22" i="1" s="1"/>
  <c r="S443" i="2" s="1"/>
  <c r="AP4" i="1" a="1"/>
  <c r="AP4" i="1" s="1"/>
  <c r="BG4" i="1" s="1"/>
  <c r="AP18" i="1" a="1"/>
  <c r="AP18" i="1" s="1"/>
  <c r="AP42" i="1" a="1"/>
  <c r="AP42" i="1" s="1"/>
  <c r="BG42" i="1" s="1"/>
  <c r="AP43" i="1" a="1"/>
  <c r="AP43" i="1" s="1"/>
  <c r="BG43" i="1" s="1"/>
  <c r="AP44" i="1" a="1"/>
  <c r="AP44" i="1" s="1"/>
  <c r="BG44" i="1" s="1"/>
  <c r="AP55" i="1" a="1"/>
  <c r="AP55" i="1" s="1"/>
  <c r="BG55" i="1" s="1"/>
  <c r="AP45" i="1" a="1"/>
  <c r="AP45" i="1" s="1"/>
  <c r="BG45" i="1" s="1"/>
  <c r="AP16" i="1" a="1"/>
  <c r="AP16" i="1" s="1"/>
  <c r="S437" i="2" s="1"/>
  <c r="AP23" i="1" a="1"/>
  <c r="AP23" i="1" s="1"/>
  <c r="AP24" i="1" a="1"/>
  <c r="AP24" i="1" s="1"/>
  <c r="AP25" i="1" a="1"/>
  <c r="AP25" i="1" s="1"/>
  <c r="AP26" i="1" a="1"/>
  <c r="AP26" i="1" s="1"/>
  <c r="AP30" i="1" a="1"/>
  <c r="AP30" i="1" s="1"/>
  <c r="AP41" i="1" a="1"/>
  <c r="AP41" i="1" s="1"/>
  <c r="AP54" i="1" a="1"/>
  <c r="AP54" i="1" s="1"/>
  <c r="BG54" i="1" s="1"/>
  <c r="AP38" i="1" a="1"/>
  <c r="AP38" i="1" s="1"/>
  <c r="S459" i="2" s="1"/>
  <c r="AP5" i="1" a="1"/>
  <c r="AP5" i="1" s="1"/>
  <c r="BG5" i="1" s="1"/>
  <c r="AP40" i="1" a="1"/>
  <c r="AP40" i="1" s="1"/>
  <c r="BG40" i="1" s="1"/>
  <c r="AP53" i="1" a="1"/>
  <c r="AP53" i="1" s="1"/>
  <c r="BG53" i="1" s="1"/>
  <c r="AP46" i="1" a="1"/>
  <c r="AP46" i="1" s="1"/>
  <c r="BG46" i="1" s="1"/>
  <c r="AP35" i="1" a="1"/>
  <c r="AP35" i="1" s="1"/>
  <c r="AP39" i="1" a="1"/>
  <c r="AP39" i="1" s="1"/>
  <c r="BG39" i="1" s="1"/>
  <c r="AP52" i="1" a="1"/>
  <c r="AP52" i="1" s="1"/>
  <c r="BG52" i="1" s="1"/>
  <c r="AP2" i="1" a="1"/>
  <c r="AP2" i="1" s="1"/>
  <c r="S423" i="2" s="1"/>
  <c r="AP6" i="1" a="1"/>
  <c r="AP6" i="1" s="1"/>
  <c r="BG6" i="1" s="1"/>
  <c r="AP51" i="1" a="1"/>
  <c r="AP51" i="1" s="1"/>
  <c r="BG51" i="1" s="1"/>
  <c r="AP17" i="1" a="1"/>
  <c r="AP17" i="1" s="1"/>
  <c r="AP50" i="1" a="1"/>
  <c r="AP50" i="1" s="1"/>
  <c r="BG50" i="1" s="1"/>
  <c r="AP58" i="1" a="1"/>
  <c r="AP58" i="1" s="1"/>
  <c r="BG58" i="1" s="1"/>
  <c r="AP29" i="1" a="1"/>
  <c r="AP29" i="1" s="1"/>
  <c r="AP56" i="1" a="1"/>
  <c r="AP56" i="1" s="1"/>
  <c r="BG56" i="1" s="1"/>
  <c r="AP7" i="1" a="1"/>
  <c r="AP7" i="1" s="1"/>
  <c r="S428" i="2" s="1"/>
  <c r="AP28" i="1" a="1"/>
  <c r="AP28" i="1" s="1"/>
  <c r="AP47" i="1" a="1"/>
  <c r="AP47" i="1" s="1"/>
  <c r="BG47" i="1" s="1"/>
  <c r="AP48" i="1" a="1"/>
  <c r="AP48" i="1" s="1"/>
  <c r="AP49" i="1" a="1"/>
  <c r="AP49" i="1" s="1"/>
  <c r="BG49" i="1" s="1"/>
  <c r="AP57" i="1" a="1"/>
  <c r="AP57" i="1" s="1"/>
  <c r="BG57" i="1" s="1"/>
  <c r="AS8" i="1" a="1"/>
  <c r="AS8" i="1" s="1"/>
  <c r="AS9" i="1" a="1"/>
  <c r="AS9" i="1" s="1"/>
  <c r="S610" i="2" s="1"/>
  <c r="AS19" i="1" a="1"/>
  <c r="AS19" i="1" s="1"/>
  <c r="AS20" i="1" a="1"/>
  <c r="AS20" i="1" s="1"/>
  <c r="BJ20" i="1" s="1"/>
  <c r="AS21" i="1" a="1"/>
  <c r="AS21" i="1" s="1"/>
  <c r="BJ21" i="1" s="1"/>
  <c r="AS22" i="1" a="1"/>
  <c r="AS22" i="1" s="1"/>
  <c r="BJ22" i="1" s="1"/>
  <c r="AS23" i="1" a="1"/>
  <c r="AS23" i="1" s="1"/>
  <c r="BJ23" i="1" s="1"/>
  <c r="AS7" i="1" a="1"/>
  <c r="AS7" i="1" s="1"/>
  <c r="S608" i="2" s="1"/>
  <c r="AS18" i="1" a="1"/>
  <c r="AS18" i="1" s="1"/>
  <c r="BJ18" i="1" s="1"/>
  <c r="AS4" i="1" a="1"/>
  <c r="AS4" i="1" s="1"/>
  <c r="S605" i="2" s="1"/>
  <c r="AS5" i="1" a="1"/>
  <c r="AS5" i="1" s="1"/>
  <c r="BJ5" i="1" s="1"/>
  <c r="AS6" i="1" a="1"/>
  <c r="AS6" i="1" s="1"/>
  <c r="S607" i="2" s="1"/>
  <c r="AS16" i="1" a="1"/>
  <c r="AS16" i="1" s="1"/>
  <c r="S617" i="2" s="1"/>
  <c r="AS17" i="1" a="1"/>
  <c r="AS17" i="1" s="1"/>
  <c r="BJ17" i="1" s="1"/>
  <c r="AS3" i="1" a="1"/>
  <c r="AS3" i="1" s="1"/>
  <c r="AS15" i="1" a="1"/>
  <c r="AS15" i="1" s="1"/>
  <c r="S616" i="2" s="1"/>
  <c r="AS14" i="1" a="1"/>
  <c r="AS14" i="1" s="1"/>
  <c r="AS12" i="1" a="1"/>
  <c r="AS12" i="1" s="1"/>
  <c r="AS13" i="1" a="1"/>
  <c r="AS13" i="1" s="1"/>
  <c r="BJ13" i="1" s="1"/>
  <c r="AS10" i="1" a="1"/>
  <c r="AS10" i="1" s="1"/>
  <c r="AS33" i="1" a="1"/>
  <c r="AS33" i="1" s="1"/>
  <c r="BJ33" i="1" s="1"/>
  <c r="AS36" i="1" a="1"/>
  <c r="AS36" i="1" s="1"/>
  <c r="BJ36" i="1" s="1"/>
  <c r="AS50" i="1" a="1"/>
  <c r="AS50" i="1" s="1"/>
  <c r="BJ50" i="1" s="1"/>
  <c r="AS58" i="1" a="1"/>
  <c r="AS58" i="1" s="1"/>
  <c r="BJ58" i="1" s="1"/>
  <c r="AS27" i="1" a="1"/>
  <c r="AS27" i="1" s="1"/>
  <c r="BJ27" i="1" s="1"/>
  <c r="AS28" i="1" a="1"/>
  <c r="AS28" i="1" s="1"/>
  <c r="BJ28" i="1" s="1"/>
  <c r="AS38" i="1" a="1"/>
  <c r="AS38" i="1" s="1"/>
  <c r="S639" i="2" s="1"/>
  <c r="AS47" i="1" a="1"/>
  <c r="AS47" i="1" s="1"/>
  <c r="BJ47" i="1" s="1"/>
  <c r="AS48" i="1" a="1"/>
  <c r="AS48" i="1" s="1"/>
  <c r="BJ48" i="1" s="1"/>
  <c r="AS49" i="1" a="1"/>
  <c r="AS49" i="1" s="1"/>
  <c r="AS57" i="1" a="1"/>
  <c r="AS57" i="1" s="1"/>
  <c r="BJ57" i="1" s="1"/>
  <c r="AS32" i="1" a="1"/>
  <c r="AS32" i="1" s="1"/>
  <c r="BJ32" i="1" s="1"/>
  <c r="AS29" i="1" a="1"/>
  <c r="AS29" i="1" s="1"/>
  <c r="BJ29" i="1" s="1"/>
  <c r="AS34" i="1" a="1"/>
  <c r="AS34" i="1" s="1"/>
  <c r="BJ34" i="1" s="1"/>
  <c r="AS46" i="1" a="1"/>
  <c r="AS46" i="1" s="1"/>
  <c r="AS56" i="1" a="1"/>
  <c r="AS56" i="1" s="1"/>
  <c r="BJ56" i="1" s="1"/>
  <c r="AS51" i="1" a="1"/>
  <c r="AS51" i="1" s="1"/>
  <c r="BJ51" i="1" s="1"/>
  <c r="AS24" i="1" a="1"/>
  <c r="AS24" i="1" s="1"/>
  <c r="BJ24" i="1" s="1"/>
  <c r="AS25" i="1" a="1"/>
  <c r="AS25" i="1" s="1"/>
  <c r="BJ25" i="1" s="1"/>
  <c r="AS42" i="1" a="1"/>
  <c r="AS42" i="1" s="1"/>
  <c r="BJ42" i="1" s="1"/>
  <c r="AS44" i="1" a="1"/>
  <c r="AS44" i="1" s="1"/>
  <c r="BJ44" i="1" s="1"/>
  <c r="AS45" i="1" a="1"/>
  <c r="AS45" i="1" s="1"/>
  <c r="BJ45" i="1" s="1"/>
  <c r="AS55" i="1" a="1"/>
  <c r="AS55" i="1" s="1"/>
  <c r="AS26" i="1" a="1"/>
  <c r="AS26" i="1" s="1"/>
  <c r="BJ26" i="1" s="1"/>
  <c r="AS30" i="1" a="1"/>
  <c r="AS30" i="1" s="1"/>
  <c r="BJ30" i="1" s="1"/>
  <c r="AS37" i="1" a="1"/>
  <c r="AS37" i="1" s="1"/>
  <c r="BJ37" i="1" s="1"/>
  <c r="AS41" i="1" a="1"/>
  <c r="AS41" i="1" s="1"/>
  <c r="BJ41" i="1" s="1"/>
  <c r="AS43" i="1" a="1"/>
  <c r="AS43" i="1" s="1"/>
  <c r="BJ43" i="1" s="1"/>
  <c r="AS54" i="1" a="1"/>
  <c r="AS54" i="1" s="1"/>
  <c r="BJ54" i="1" s="1"/>
  <c r="AS31" i="1" a="1"/>
  <c r="AS31" i="1" s="1"/>
  <c r="BJ31" i="1" s="1"/>
  <c r="AS35" i="1" a="1"/>
  <c r="AS35" i="1" s="1"/>
  <c r="S636" i="2" s="1"/>
  <c r="AS40" i="1" a="1"/>
  <c r="AS40" i="1" s="1"/>
  <c r="BJ40" i="1" s="1"/>
  <c r="AS53" i="1" a="1"/>
  <c r="AS53" i="1" s="1"/>
  <c r="BJ53" i="1" s="1"/>
  <c r="AS11" i="1" a="1"/>
  <c r="AS11" i="1" s="1"/>
  <c r="BJ11" i="1" s="1"/>
  <c r="AS39" i="1" a="1"/>
  <c r="AS39" i="1" s="1"/>
  <c r="BJ39" i="1" s="1"/>
  <c r="AS52" i="1" a="1"/>
  <c r="AS52" i="1" s="1"/>
  <c r="BJ52" i="1" s="1"/>
  <c r="AS2" i="1" a="1"/>
  <c r="AS2" i="1" s="1"/>
  <c r="BJ2" i="1" s="1"/>
  <c r="AT10" i="1" a="1"/>
  <c r="AT10" i="1" s="1"/>
  <c r="AT24" i="1" a="1"/>
  <c r="AT24" i="1" s="1"/>
  <c r="S685" i="2" s="1"/>
  <c r="AT25" i="1" a="1"/>
  <c r="AT25" i="1" s="1"/>
  <c r="BK25" i="1" s="1"/>
  <c r="AT27" i="1" a="1"/>
  <c r="AT27" i="1" s="1"/>
  <c r="BK27" i="1" s="1"/>
  <c r="AT28" i="1" a="1"/>
  <c r="AT28" i="1" s="1"/>
  <c r="BK28" i="1" s="1"/>
  <c r="AT8" i="1" a="1"/>
  <c r="AT8" i="1" s="1"/>
  <c r="AT9" i="1" a="1"/>
  <c r="AT9" i="1" s="1"/>
  <c r="AT19" i="1" a="1"/>
  <c r="AT19" i="1" s="1"/>
  <c r="AT20" i="1" a="1"/>
  <c r="AT20" i="1" s="1"/>
  <c r="BK20" i="1" s="1"/>
  <c r="AT22" i="1" a="1"/>
  <c r="AT22" i="1" s="1"/>
  <c r="BK22" i="1" s="1"/>
  <c r="AT23" i="1" a="1"/>
  <c r="AT23" i="1" s="1"/>
  <c r="BK23" i="1" s="1"/>
  <c r="AT7" i="1" a="1"/>
  <c r="AT7" i="1" s="1"/>
  <c r="S668" i="2" s="1"/>
  <c r="AT18" i="1" a="1"/>
  <c r="AT18" i="1" s="1"/>
  <c r="BK18" i="1" s="1"/>
  <c r="AT21" i="1" a="1"/>
  <c r="AT21" i="1" s="1"/>
  <c r="BK21" i="1" s="1"/>
  <c r="AT4" i="1" a="1"/>
  <c r="AT4" i="1" s="1"/>
  <c r="S665" i="2" s="1"/>
  <c r="AT5" i="1" a="1"/>
  <c r="AT5" i="1" s="1"/>
  <c r="BK5" i="1" s="1"/>
  <c r="AT6" i="1" a="1"/>
  <c r="AT6" i="1" s="1"/>
  <c r="S667" i="2" s="1"/>
  <c r="AT16" i="1" a="1"/>
  <c r="AT16" i="1" s="1"/>
  <c r="S677" i="2" s="1"/>
  <c r="AT17" i="1" a="1"/>
  <c r="AT17" i="1" s="1"/>
  <c r="S678" i="2" s="1"/>
  <c r="AT3" i="1" a="1"/>
  <c r="AT3" i="1" s="1"/>
  <c r="BK3" i="1" s="1"/>
  <c r="AT15" i="1" a="1"/>
  <c r="AT15" i="1" s="1"/>
  <c r="BK15" i="1" s="1"/>
  <c r="AT14" i="1" a="1"/>
  <c r="AT14" i="1" s="1"/>
  <c r="AT11" i="1" a="1"/>
  <c r="AT11" i="1" s="1"/>
  <c r="AT12" i="1" a="1"/>
  <c r="AT12" i="1" s="1"/>
  <c r="BK12" i="1" s="1"/>
  <c r="AT32" i="1" a="1"/>
  <c r="AT32" i="1" s="1"/>
  <c r="BK32" i="1" s="1"/>
  <c r="AT51" i="1" a="1"/>
  <c r="AT51" i="1" s="1"/>
  <c r="AT33" i="1" a="1"/>
  <c r="AT33" i="1" s="1"/>
  <c r="BK33" i="1" s="1"/>
  <c r="AT36" i="1" a="1"/>
  <c r="AT36" i="1" s="1"/>
  <c r="BK36" i="1" s="1"/>
  <c r="AT50" i="1" a="1"/>
  <c r="AT50" i="1" s="1"/>
  <c r="BK50" i="1" s="1"/>
  <c r="AT58" i="1" a="1"/>
  <c r="AT58" i="1" s="1"/>
  <c r="BK58" i="1" s="1"/>
  <c r="AT52" i="1" a="1"/>
  <c r="AT52" i="1" s="1"/>
  <c r="BK52" i="1" s="1"/>
  <c r="AT13" i="1" a="1"/>
  <c r="AT13" i="1" s="1"/>
  <c r="BK13" i="1" s="1"/>
  <c r="AT38" i="1" a="1"/>
  <c r="AT38" i="1" s="1"/>
  <c r="BK38" i="1" s="1"/>
  <c r="AT47" i="1" a="1"/>
  <c r="AT47" i="1" s="1"/>
  <c r="AT48" i="1" a="1"/>
  <c r="AT48" i="1" s="1"/>
  <c r="BK48" i="1" s="1"/>
  <c r="AT49" i="1" a="1"/>
  <c r="AT49" i="1" s="1"/>
  <c r="BK49" i="1" s="1"/>
  <c r="AT57" i="1" a="1"/>
  <c r="AT57" i="1" s="1"/>
  <c r="BK57" i="1" s="1"/>
  <c r="AT39" i="1" a="1"/>
  <c r="AT39" i="1" s="1"/>
  <c r="BK39" i="1" s="1"/>
  <c r="AT29" i="1" a="1"/>
  <c r="AT29" i="1" s="1"/>
  <c r="BK29" i="1" s="1"/>
  <c r="AT34" i="1" a="1"/>
  <c r="AT34" i="1" s="1"/>
  <c r="BK34" i="1" s="1"/>
  <c r="AT46" i="1" a="1"/>
  <c r="AT46" i="1" s="1"/>
  <c r="BK46" i="1" s="1"/>
  <c r="AT56" i="1" a="1"/>
  <c r="AT56" i="1" s="1"/>
  <c r="AT42" i="1" a="1"/>
  <c r="AT42" i="1" s="1"/>
  <c r="BK42" i="1" s="1"/>
  <c r="AT44" i="1" a="1"/>
  <c r="AT44" i="1" s="1"/>
  <c r="BK44" i="1" s="1"/>
  <c r="AT45" i="1" a="1"/>
  <c r="AT45" i="1" s="1"/>
  <c r="AT55" i="1" a="1"/>
  <c r="AT55" i="1" s="1"/>
  <c r="BK55" i="1" s="1"/>
  <c r="AT26" i="1" a="1"/>
  <c r="AT26" i="1" s="1"/>
  <c r="BK26" i="1" s="1"/>
  <c r="AT30" i="1" a="1"/>
  <c r="AT30" i="1" s="1"/>
  <c r="BK30" i="1" s="1"/>
  <c r="AT37" i="1" a="1"/>
  <c r="AT37" i="1" s="1"/>
  <c r="BK37" i="1" s="1"/>
  <c r="AT41" i="1" a="1"/>
  <c r="AT41" i="1" s="1"/>
  <c r="BK41" i="1" s="1"/>
  <c r="AT43" i="1" a="1"/>
  <c r="AT43" i="1" s="1"/>
  <c r="BK43" i="1" s="1"/>
  <c r="AT54" i="1" a="1"/>
  <c r="AT54" i="1" s="1"/>
  <c r="BK54" i="1" s="1"/>
  <c r="AT31" i="1" a="1"/>
  <c r="AT31" i="1" s="1"/>
  <c r="BK31" i="1" s="1"/>
  <c r="AT35" i="1" a="1"/>
  <c r="AT35" i="1" s="1"/>
  <c r="BK35" i="1" s="1"/>
  <c r="AT40" i="1" a="1"/>
  <c r="AT40" i="1" s="1"/>
  <c r="BK40" i="1" s="1"/>
  <c r="AT53" i="1" a="1"/>
  <c r="AT53" i="1" s="1"/>
  <c r="BK53" i="1" s="1"/>
  <c r="AT2" i="1" a="1"/>
  <c r="AT2" i="1" s="1"/>
  <c r="S663" i="2" s="1"/>
  <c r="AM11" i="1" a="1"/>
  <c r="AM11" i="1" s="1"/>
  <c r="BD11" i="1" s="1"/>
  <c r="AM26" i="1" a="1"/>
  <c r="AM26" i="1" s="1"/>
  <c r="AM28" i="1" a="1"/>
  <c r="AM28" i="1" s="1"/>
  <c r="AM29" i="1" a="1"/>
  <c r="AM29" i="1" s="1"/>
  <c r="AM30" i="1" a="1"/>
  <c r="AM30" i="1" s="1"/>
  <c r="AM10" i="1" a="1"/>
  <c r="AM10" i="1" s="1"/>
  <c r="BD10" i="1" s="1"/>
  <c r="AM20" i="1" a="1"/>
  <c r="AM20" i="1" s="1"/>
  <c r="AM21" i="1" a="1"/>
  <c r="AM21" i="1" s="1"/>
  <c r="AM23" i="1" a="1"/>
  <c r="AM23" i="1" s="1"/>
  <c r="AM24" i="1" a="1"/>
  <c r="AM24" i="1" s="1"/>
  <c r="AM25" i="1" a="1"/>
  <c r="AM25" i="1" s="1"/>
  <c r="AM8" i="1" a="1"/>
  <c r="AM8" i="1" s="1"/>
  <c r="BD8" i="1" s="1"/>
  <c r="AM9" i="1" a="1"/>
  <c r="AM9" i="1" s="1"/>
  <c r="BD9" i="1" s="1"/>
  <c r="AM19" i="1" a="1"/>
  <c r="AM19" i="1" s="1"/>
  <c r="AM22" i="1" a="1"/>
  <c r="AM22" i="1" s="1"/>
  <c r="AM5" i="1" a="1"/>
  <c r="AM5" i="1" s="1"/>
  <c r="BD5" i="1" s="1"/>
  <c r="AM6" i="1" a="1"/>
  <c r="AM6" i="1" s="1"/>
  <c r="S247" i="2" s="1"/>
  <c r="AM7" i="1" a="1"/>
  <c r="AM7" i="1" s="1"/>
  <c r="BD7" i="1" s="1"/>
  <c r="AM18" i="1" a="1"/>
  <c r="AM18" i="1" s="1"/>
  <c r="AM4" i="1" a="1"/>
  <c r="AM4" i="1" s="1"/>
  <c r="BD4" i="1" s="1"/>
  <c r="AM16" i="1" a="1"/>
  <c r="AM16" i="1" s="1"/>
  <c r="AM17" i="1" a="1"/>
  <c r="AM17" i="1" s="1"/>
  <c r="AM3" i="1" a="1"/>
  <c r="AM3" i="1" s="1"/>
  <c r="BD3" i="1" s="1"/>
  <c r="AM15" i="1" a="1"/>
  <c r="AM15" i="1" s="1"/>
  <c r="AM12" i="1" a="1"/>
  <c r="AM12" i="1" s="1"/>
  <c r="BD12" i="1" s="1"/>
  <c r="AM13" i="1" a="1"/>
  <c r="AM13" i="1" s="1"/>
  <c r="BD13" i="1" s="1"/>
  <c r="AM37" i="1" a="1"/>
  <c r="AM37" i="1" s="1"/>
  <c r="AM39" i="1" a="1"/>
  <c r="AM39" i="1" s="1"/>
  <c r="BD39" i="1" s="1"/>
  <c r="AM52" i="1" a="1"/>
  <c r="AM52" i="1" s="1"/>
  <c r="BD52" i="1" s="1"/>
  <c r="AM2" i="1" a="1"/>
  <c r="AM2" i="1" s="1"/>
  <c r="AM35" i="1" a="1"/>
  <c r="AM35" i="1" s="1"/>
  <c r="AM51" i="1" a="1"/>
  <c r="AM51" i="1" s="1"/>
  <c r="BD51" i="1" s="1"/>
  <c r="AM27" i="1" a="1"/>
  <c r="AM27" i="1" s="1"/>
  <c r="S268" i="2" s="1"/>
  <c r="AM31" i="1" a="1"/>
  <c r="AM31" i="1" s="1"/>
  <c r="AM50" i="1" a="1"/>
  <c r="AM50" i="1" s="1"/>
  <c r="BD50" i="1" s="1"/>
  <c r="AM58" i="1" a="1"/>
  <c r="AM58" i="1" s="1"/>
  <c r="AM14" i="1" a="1"/>
  <c r="AM14" i="1" s="1"/>
  <c r="BD14" i="1" s="1"/>
  <c r="AM47" i="1" a="1"/>
  <c r="AM47" i="1" s="1"/>
  <c r="BD47" i="1" s="1"/>
  <c r="AM48" i="1" a="1"/>
  <c r="AM48" i="1" s="1"/>
  <c r="BD48" i="1" s="1"/>
  <c r="AM49" i="1" a="1"/>
  <c r="AM49" i="1" s="1"/>
  <c r="BD49" i="1" s="1"/>
  <c r="AM57" i="1" a="1"/>
  <c r="AM57" i="1" s="1"/>
  <c r="BD57" i="1" s="1"/>
  <c r="AM32" i="1" a="1"/>
  <c r="AM32" i="1" s="1"/>
  <c r="AM36" i="1" a="1"/>
  <c r="AM36" i="1" s="1"/>
  <c r="AM38" i="1" a="1"/>
  <c r="AM38" i="1" s="1"/>
  <c r="AM45" i="1" a="1"/>
  <c r="AM45" i="1" s="1"/>
  <c r="BD45" i="1" s="1"/>
  <c r="AM46" i="1" a="1"/>
  <c r="AM46" i="1" s="1"/>
  <c r="BD46" i="1" s="1"/>
  <c r="AM56" i="1" a="1"/>
  <c r="AM56" i="1" s="1"/>
  <c r="BD56" i="1" s="1"/>
  <c r="AM34" i="1" a="1"/>
  <c r="AM34" i="1" s="1"/>
  <c r="AM33" i="1" a="1"/>
  <c r="AM33" i="1" s="1"/>
  <c r="AM42" i="1" a="1"/>
  <c r="AM42" i="1" s="1"/>
  <c r="BD42" i="1" s="1"/>
  <c r="AM43" i="1" a="1"/>
  <c r="AM43" i="1" s="1"/>
  <c r="BD43" i="1" s="1"/>
  <c r="AM44" i="1" a="1"/>
  <c r="AM44" i="1" s="1"/>
  <c r="BD44" i="1" s="1"/>
  <c r="AM55" i="1" a="1"/>
  <c r="AM55" i="1" s="1"/>
  <c r="BD55" i="1" s="1"/>
  <c r="AM41" i="1" a="1"/>
  <c r="AM41" i="1" s="1"/>
  <c r="BD41" i="1" s="1"/>
  <c r="AM54" i="1" a="1"/>
  <c r="AM54" i="1" s="1"/>
  <c r="AM40" i="1" a="1"/>
  <c r="AM40" i="1" s="1"/>
  <c r="BD40" i="1" s="1"/>
  <c r="AM53" i="1" a="1"/>
  <c r="AM53" i="1" s="1"/>
  <c r="AI4" i="1" a="1"/>
  <c r="AI4" i="1" s="1"/>
  <c r="S5" i="2" s="1"/>
  <c r="AI16" i="1" a="1"/>
  <c r="AI16" i="1" s="1"/>
  <c r="AI17" i="1" a="1"/>
  <c r="AI17" i="1" s="1"/>
  <c r="AI3" i="1" a="1"/>
  <c r="AI3" i="1" s="1"/>
  <c r="AI15" i="1" a="1"/>
  <c r="AI15" i="1" s="1"/>
  <c r="S16" i="2" s="1"/>
  <c r="AI13" i="1" a="1"/>
  <c r="AI13" i="1" s="1"/>
  <c r="AZ13" i="1" s="1"/>
  <c r="AI14" i="1" a="1"/>
  <c r="AI14" i="1" s="1"/>
  <c r="S735" i="2" s="1"/>
  <c r="AI33" i="1" a="1"/>
  <c r="AI33" i="1" s="1"/>
  <c r="AI34" i="1" a="1"/>
  <c r="AI34" i="1" s="1"/>
  <c r="AI35" i="1" a="1"/>
  <c r="AI35" i="1" s="1"/>
  <c r="AI12" i="1" a="1"/>
  <c r="AI12" i="1" s="1"/>
  <c r="S793" i="2" s="1"/>
  <c r="AI11" i="1" a="1"/>
  <c r="AI11" i="1" s="1"/>
  <c r="S612" i="2" s="1"/>
  <c r="AI10" i="1" a="1"/>
  <c r="AI10" i="1" s="1"/>
  <c r="S791" i="2" s="1"/>
  <c r="AI20" i="1" a="1"/>
  <c r="AI20" i="1" s="1"/>
  <c r="AI21" i="1" a="1"/>
  <c r="AI21" i="1" s="1"/>
  <c r="AI23" i="1" a="1"/>
  <c r="AI23" i="1" s="1"/>
  <c r="S24" i="2" s="1"/>
  <c r="AI24" i="1" a="1"/>
  <c r="AI24" i="1" s="1"/>
  <c r="AI5" i="1" a="1"/>
  <c r="AI5" i="1" s="1"/>
  <c r="S6" i="2" s="1"/>
  <c r="AI6" i="1" a="1"/>
  <c r="AI6" i="1" s="1"/>
  <c r="AZ6" i="1" s="1"/>
  <c r="AI7" i="1" a="1"/>
  <c r="AI7" i="1" s="1"/>
  <c r="S8" i="2" s="1"/>
  <c r="AI32" i="1" a="1"/>
  <c r="AI32" i="1" s="1"/>
  <c r="AI43" i="1" a="1"/>
  <c r="AI43" i="1" s="1"/>
  <c r="AZ43" i="1" s="1"/>
  <c r="AI45" i="1" a="1"/>
  <c r="AI45" i="1" s="1"/>
  <c r="AZ45" i="1" s="1"/>
  <c r="AI46" i="1" a="1"/>
  <c r="AI46" i="1" s="1"/>
  <c r="AZ46" i="1" s="1"/>
  <c r="AI56" i="1" a="1"/>
  <c r="AI56" i="1" s="1"/>
  <c r="AZ56" i="1" s="1"/>
  <c r="AI47" i="1" a="1"/>
  <c r="AI47" i="1" s="1"/>
  <c r="AZ47" i="1" s="1"/>
  <c r="AI9" i="1" a="1"/>
  <c r="AI9" i="1" s="1"/>
  <c r="S10" i="2" s="1"/>
  <c r="AI28" i="1" a="1"/>
  <c r="AI28" i="1" s="1"/>
  <c r="AI36" i="1" a="1"/>
  <c r="AI36" i="1" s="1"/>
  <c r="AI38" i="1" a="1"/>
  <c r="AI38" i="1" s="1"/>
  <c r="AI42" i="1" a="1"/>
  <c r="AI42" i="1" s="1"/>
  <c r="AZ42" i="1" s="1"/>
  <c r="AI44" i="1" a="1"/>
  <c r="AI44" i="1" s="1"/>
  <c r="AZ44" i="1" s="1"/>
  <c r="AI55" i="1" a="1"/>
  <c r="AI55" i="1" s="1"/>
  <c r="AZ55" i="1" s="1"/>
  <c r="AI19" i="1" a="1"/>
  <c r="AI19" i="1" s="1"/>
  <c r="S20" i="2" s="1"/>
  <c r="AI41" i="1" a="1"/>
  <c r="AI41" i="1" s="1"/>
  <c r="AZ41" i="1" s="1"/>
  <c r="AI54" i="1" a="1"/>
  <c r="AI54" i="1" s="1"/>
  <c r="AZ54" i="1" s="1"/>
  <c r="AI18" i="1" a="1"/>
  <c r="AI18" i="1" s="1"/>
  <c r="S19" i="2" s="1"/>
  <c r="AI57" i="1" a="1"/>
  <c r="AI57" i="1" s="1"/>
  <c r="AZ57" i="1" s="1"/>
  <c r="AI29" i="1" a="1"/>
  <c r="AI29" i="1" s="1"/>
  <c r="AI40" i="1" a="1"/>
  <c r="AI40" i="1" s="1"/>
  <c r="AZ40" i="1" s="1"/>
  <c r="AI53" i="1" a="1"/>
  <c r="AI53" i="1" s="1"/>
  <c r="AZ53" i="1" s="1"/>
  <c r="AI52" i="1" a="1"/>
  <c r="AI52" i="1" s="1"/>
  <c r="AZ52" i="1" s="1"/>
  <c r="AI2" i="1" a="1"/>
  <c r="AI2" i="1" s="1"/>
  <c r="AZ2" i="1" s="1"/>
  <c r="AI8" i="1" a="1"/>
  <c r="AI8" i="1" s="1"/>
  <c r="S609" i="2" s="1"/>
  <c r="AI25" i="1" a="1"/>
  <c r="AI25" i="1" s="1"/>
  <c r="AI26" i="1" a="1"/>
  <c r="AI26" i="1" s="1"/>
  <c r="AI30" i="1" a="1"/>
  <c r="AI30" i="1" s="1"/>
  <c r="AI37" i="1" a="1"/>
  <c r="AI37" i="1" s="1"/>
  <c r="AI39" i="1" a="1"/>
  <c r="AI39" i="1" s="1"/>
  <c r="AZ39" i="1" s="1"/>
  <c r="AI51" i="1" a="1"/>
  <c r="AI51" i="1" s="1"/>
  <c r="AZ51" i="1" s="1"/>
  <c r="AI22" i="1" a="1"/>
  <c r="AI22" i="1" s="1"/>
  <c r="AI27" i="1" a="1"/>
  <c r="AI27" i="1" s="1"/>
  <c r="AI31" i="1" a="1"/>
  <c r="AI31" i="1" s="1"/>
  <c r="AI49" i="1" a="1"/>
  <c r="AI49" i="1" s="1"/>
  <c r="AZ49" i="1" s="1"/>
  <c r="AI50" i="1" a="1"/>
  <c r="AI50" i="1" s="1"/>
  <c r="AZ50" i="1" s="1"/>
  <c r="AI58" i="1" a="1"/>
  <c r="AI58" i="1" s="1"/>
  <c r="AZ58" i="1" s="1"/>
  <c r="AI48" i="1" a="1"/>
  <c r="AI48" i="1" s="1"/>
  <c r="AZ48" i="1" s="1"/>
  <c r="AU11" i="1" a="1"/>
  <c r="AU11" i="1" s="1"/>
  <c r="S732" i="2" s="1"/>
  <c r="AU26" i="1" a="1"/>
  <c r="AU26" i="1" s="1"/>
  <c r="BL26" i="1" s="1"/>
  <c r="AU29" i="1" a="1"/>
  <c r="AU29" i="1" s="1"/>
  <c r="BL29" i="1" s="1"/>
  <c r="AU30" i="1" a="1"/>
  <c r="AU30" i="1" s="1"/>
  <c r="BL30" i="1" s="1"/>
  <c r="AU10" i="1" a="1"/>
  <c r="AU10" i="1" s="1"/>
  <c r="BL10" i="1" s="1"/>
  <c r="AU24" i="1" a="1"/>
  <c r="AU24" i="1" s="1"/>
  <c r="BL24" i="1" s="1"/>
  <c r="AU25" i="1" a="1"/>
  <c r="AU25" i="1" s="1"/>
  <c r="BL25" i="1" s="1"/>
  <c r="AU27" i="1" a="1"/>
  <c r="AU27" i="1" s="1"/>
  <c r="BL27" i="1" s="1"/>
  <c r="AU28" i="1" a="1"/>
  <c r="AU28" i="1" s="1"/>
  <c r="BL28" i="1" s="1"/>
  <c r="AU9" i="1" a="1"/>
  <c r="AU9" i="1" s="1"/>
  <c r="BL9" i="1" s="1"/>
  <c r="AU19" i="1" a="1"/>
  <c r="AU19" i="1" s="1"/>
  <c r="S740" i="2" s="1"/>
  <c r="AU20" i="1" a="1"/>
  <c r="AU20" i="1" s="1"/>
  <c r="BL20" i="1" s="1"/>
  <c r="AU22" i="1" a="1"/>
  <c r="AU22" i="1" s="1"/>
  <c r="BL22" i="1" s="1"/>
  <c r="AU23" i="1" a="1"/>
  <c r="AU23" i="1" s="1"/>
  <c r="BL23" i="1" s="1"/>
  <c r="AU7" i="1" a="1"/>
  <c r="AU7" i="1" s="1"/>
  <c r="S728" i="2" s="1"/>
  <c r="AU8" i="1" a="1"/>
  <c r="AU8" i="1" s="1"/>
  <c r="AU18" i="1" a="1"/>
  <c r="AU18" i="1" s="1"/>
  <c r="BL18" i="1" s="1"/>
  <c r="AU21" i="1" a="1"/>
  <c r="AU21" i="1" s="1"/>
  <c r="BL21" i="1" s="1"/>
  <c r="AU4" i="1" a="1"/>
  <c r="AU4" i="1" s="1"/>
  <c r="S725" i="2" s="1"/>
  <c r="AU5" i="1" a="1"/>
  <c r="AU5" i="1" s="1"/>
  <c r="S726" i="2" s="1"/>
  <c r="AU6" i="1" a="1"/>
  <c r="AU6" i="1" s="1"/>
  <c r="BL6" i="1" s="1"/>
  <c r="AU17" i="1" a="1"/>
  <c r="AU17" i="1" s="1"/>
  <c r="S738" i="2" s="1"/>
  <c r="AU3" i="1" a="1"/>
  <c r="AU3" i="1" s="1"/>
  <c r="AU15" i="1" a="1"/>
  <c r="AU15" i="1" s="1"/>
  <c r="S736" i="2" s="1"/>
  <c r="AU16" i="1" a="1"/>
  <c r="AU16" i="1" s="1"/>
  <c r="S737" i="2" s="1"/>
  <c r="AU12" i="1" a="1"/>
  <c r="AU12" i="1" s="1"/>
  <c r="BL12" i="1" s="1"/>
  <c r="AU13" i="1" a="1"/>
  <c r="AU13" i="1" s="1"/>
  <c r="AU39" i="1" a="1"/>
  <c r="AU39" i="1" s="1"/>
  <c r="BL39" i="1" s="1"/>
  <c r="AU52" i="1" a="1"/>
  <c r="AU52" i="1" s="1"/>
  <c r="BL52" i="1" s="1"/>
  <c r="AU2" i="1" a="1"/>
  <c r="AU2" i="1" s="1"/>
  <c r="S723" i="2" s="1"/>
  <c r="AU31" i="1" a="1"/>
  <c r="AU31" i="1" s="1"/>
  <c r="BL31" i="1" s="1"/>
  <c r="AU35" i="1" a="1"/>
  <c r="AU35" i="1" s="1"/>
  <c r="BL35" i="1" s="1"/>
  <c r="AU37" i="1" a="1"/>
  <c r="AU37" i="1" s="1"/>
  <c r="BL37" i="1" s="1"/>
  <c r="AU53" i="1" a="1"/>
  <c r="AU53" i="1" s="1"/>
  <c r="BL53" i="1" s="1"/>
  <c r="AU32" i="1" a="1"/>
  <c r="AU32" i="1" s="1"/>
  <c r="BL32" i="1" s="1"/>
  <c r="AU51" i="1" a="1"/>
  <c r="AU51" i="1" s="1"/>
  <c r="BL51" i="1" s="1"/>
  <c r="AU33" i="1" a="1"/>
  <c r="AU33" i="1" s="1"/>
  <c r="BL33" i="1" s="1"/>
  <c r="AU36" i="1" a="1"/>
  <c r="AU36" i="1" s="1"/>
  <c r="BL36" i="1" s="1"/>
  <c r="AU50" i="1" a="1"/>
  <c r="AU50" i="1" s="1"/>
  <c r="BL50" i="1" s="1"/>
  <c r="AU58" i="1" a="1"/>
  <c r="AU58" i="1" s="1"/>
  <c r="BL58" i="1" s="1"/>
  <c r="AU38" i="1" a="1"/>
  <c r="AU38" i="1" s="1"/>
  <c r="BL38" i="1" s="1"/>
  <c r="AU48" i="1" a="1"/>
  <c r="AU48" i="1" s="1"/>
  <c r="BL48" i="1" s="1"/>
  <c r="AU49" i="1" a="1"/>
  <c r="AU49" i="1" s="1"/>
  <c r="BL49" i="1" s="1"/>
  <c r="AU57" i="1" a="1"/>
  <c r="AU57" i="1" s="1"/>
  <c r="BL57" i="1" s="1"/>
  <c r="AU14" i="1" a="1"/>
  <c r="AU14" i="1" s="1"/>
  <c r="BL14" i="1" s="1"/>
  <c r="AU34" i="1" a="1"/>
  <c r="AU34" i="1" s="1"/>
  <c r="BL34" i="1" s="1"/>
  <c r="AU46" i="1" a="1"/>
  <c r="AU46" i="1" s="1"/>
  <c r="BL46" i="1" s="1"/>
  <c r="AU47" i="1" a="1"/>
  <c r="AU47" i="1" s="1"/>
  <c r="BL47" i="1" s="1"/>
  <c r="AU56" i="1" a="1"/>
  <c r="AU56" i="1" s="1"/>
  <c r="BL56" i="1" s="1"/>
  <c r="AU42" i="1" a="1"/>
  <c r="AU42" i="1" s="1"/>
  <c r="BL42" i="1" s="1"/>
  <c r="AU44" i="1" a="1"/>
  <c r="AU44" i="1" s="1"/>
  <c r="BL44" i="1" s="1"/>
  <c r="AU45" i="1" a="1"/>
  <c r="AU45" i="1" s="1"/>
  <c r="BL45" i="1" s="1"/>
  <c r="AU55" i="1" a="1"/>
  <c r="AU55" i="1" s="1"/>
  <c r="BL55" i="1" s="1"/>
  <c r="AU40" i="1" a="1"/>
  <c r="AU40" i="1" s="1"/>
  <c r="BL40" i="1" s="1"/>
  <c r="AU41" i="1" a="1"/>
  <c r="AU41" i="1" s="1"/>
  <c r="BL41" i="1" s="1"/>
  <c r="AU43" i="1" a="1"/>
  <c r="AU43" i="1" s="1"/>
  <c r="BL43" i="1" s="1"/>
  <c r="AU54" i="1" a="1"/>
  <c r="AU54" i="1" s="1"/>
  <c r="BL54" i="1" s="1"/>
  <c r="AO14" i="1" a="1"/>
  <c r="AO14" i="1" s="1"/>
  <c r="BF14" i="1" s="1"/>
  <c r="AO33" i="1" a="1"/>
  <c r="AO33" i="1" s="1"/>
  <c r="AO34" i="1" a="1"/>
  <c r="AO34" i="1" s="1"/>
  <c r="AO35" i="1" a="1"/>
  <c r="AO35" i="1" s="1"/>
  <c r="AO38" i="1" a="1"/>
  <c r="AO38" i="1" s="1"/>
  <c r="AO12" i="1" a="1"/>
  <c r="AO12" i="1" s="1"/>
  <c r="BF12" i="1" s="1"/>
  <c r="AO13" i="1" a="1"/>
  <c r="AO13" i="1" s="1"/>
  <c r="BF13" i="1" s="1"/>
  <c r="AO27" i="1" a="1"/>
  <c r="AO27" i="1" s="1"/>
  <c r="AO31" i="1" a="1"/>
  <c r="AO31" i="1" s="1"/>
  <c r="AO32" i="1" a="1"/>
  <c r="AO32" i="1" s="1"/>
  <c r="AO11" i="1" a="1"/>
  <c r="AO11" i="1" s="1"/>
  <c r="BF11" i="1" s="1"/>
  <c r="AO26" i="1" a="1"/>
  <c r="AO26" i="1" s="1"/>
  <c r="AO28" i="1" a="1"/>
  <c r="AO28" i="1" s="1"/>
  <c r="AO29" i="1" a="1"/>
  <c r="AO29" i="1" s="1"/>
  <c r="AO30" i="1" a="1"/>
  <c r="AO30" i="1" s="1"/>
  <c r="AO10" i="1" a="1"/>
  <c r="AO10" i="1" s="1"/>
  <c r="BF10" i="1" s="1"/>
  <c r="AO20" i="1" a="1"/>
  <c r="AO20" i="1" s="1"/>
  <c r="AO21" i="1" a="1"/>
  <c r="AO21" i="1" s="1"/>
  <c r="AO8" i="1" a="1"/>
  <c r="AO8" i="1" s="1"/>
  <c r="BF8" i="1" s="1"/>
  <c r="AO9" i="1" a="1"/>
  <c r="AO9" i="1" s="1"/>
  <c r="BF9" i="1" s="1"/>
  <c r="AO19" i="1" a="1"/>
  <c r="AO19" i="1" s="1"/>
  <c r="AO5" i="1" a="1"/>
  <c r="AO5" i="1" s="1"/>
  <c r="BF5" i="1" s="1"/>
  <c r="AO6" i="1" a="1"/>
  <c r="AO6" i="1" s="1"/>
  <c r="BF6" i="1" s="1"/>
  <c r="AO7" i="1" a="1"/>
  <c r="AO7" i="1" s="1"/>
  <c r="BF7" i="1" s="1"/>
  <c r="AO18" i="1" a="1"/>
  <c r="AO18" i="1" s="1"/>
  <c r="AO3" i="1" a="1"/>
  <c r="AO3" i="1" s="1"/>
  <c r="BF3" i="1" s="1"/>
  <c r="AO15" i="1" a="1"/>
  <c r="AO15" i="1" s="1"/>
  <c r="AO4" i="1" a="1"/>
  <c r="AO4" i="1" s="1"/>
  <c r="BF4" i="1" s="1"/>
  <c r="AO16" i="1" a="1"/>
  <c r="AO16" i="1" s="1"/>
  <c r="AO23" i="1" a="1"/>
  <c r="AO23" i="1" s="1"/>
  <c r="AO24" i="1" a="1"/>
  <c r="AO24" i="1" s="1"/>
  <c r="AO25" i="1" a="1"/>
  <c r="AO25" i="1" s="1"/>
  <c r="AO41" i="1" a="1"/>
  <c r="AO41" i="1" s="1"/>
  <c r="BF41" i="1" s="1"/>
  <c r="AO54" i="1" a="1"/>
  <c r="AO54" i="1" s="1"/>
  <c r="BF54" i="1" s="1"/>
  <c r="AO42" i="1" a="1"/>
  <c r="AO42" i="1" s="1"/>
  <c r="BF42" i="1" s="1"/>
  <c r="AO22" i="1" a="1"/>
  <c r="AO22" i="1" s="1"/>
  <c r="AO40" i="1" a="1"/>
  <c r="AO40" i="1" s="1"/>
  <c r="BF40" i="1" s="1"/>
  <c r="AO53" i="1" a="1"/>
  <c r="AO53" i="1" s="1"/>
  <c r="BF53" i="1" s="1"/>
  <c r="AO37" i="1" a="1"/>
  <c r="AO37" i="1" s="1"/>
  <c r="AO39" i="1" a="1"/>
  <c r="AO39" i="1" s="1"/>
  <c r="BF39" i="1" s="1"/>
  <c r="AO52" i="1" a="1"/>
  <c r="AO52" i="1" s="1"/>
  <c r="BF52" i="1" s="1"/>
  <c r="AO2" i="1" a="1"/>
  <c r="AO2" i="1" s="1"/>
  <c r="BF2" i="1" s="1"/>
  <c r="AO43" i="1" a="1"/>
  <c r="AO43" i="1" s="1"/>
  <c r="BF43" i="1" s="1"/>
  <c r="AO51" i="1" a="1"/>
  <c r="AO51" i="1" s="1"/>
  <c r="BF51" i="1" s="1"/>
  <c r="AO17" i="1" a="1"/>
  <c r="AO17" i="1" s="1"/>
  <c r="AO50" i="1" a="1"/>
  <c r="AO50" i="1" s="1"/>
  <c r="BF50" i="1" s="1"/>
  <c r="AO58" i="1" a="1"/>
  <c r="AO58" i="1" s="1"/>
  <c r="BF58" i="1" s="1"/>
  <c r="AO47" i="1" a="1"/>
  <c r="AO47" i="1" s="1"/>
  <c r="BF47" i="1" s="1"/>
  <c r="AO48" i="1" a="1"/>
  <c r="AO48" i="1" s="1"/>
  <c r="BF48" i="1" s="1"/>
  <c r="AO49" i="1" a="1"/>
  <c r="AO49" i="1" s="1"/>
  <c r="BF49" i="1" s="1"/>
  <c r="AO57" i="1" a="1"/>
  <c r="AO57" i="1" s="1"/>
  <c r="BF57" i="1" s="1"/>
  <c r="AO44" i="1" a="1"/>
  <c r="AO44" i="1" s="1"/>
  <c r="BF44" i="1" s="1"/>
  <c r="AO36" i="1" a="1"/>
  <c r="AO36" i="1" s="1"/>
  <c r="AO45" i="1" a="1"/>
  <c r="AO45" i="1" s="1"/>
  <c r="BF45" i="1" s="1"/>
  <c r="AO46" i="1" a="1"/>
  <c r="AO46" i="1" s="1"/>
  <c r="BF46" i="1" s="1"/>
  <c r="AO56" i="1" a="1"/>
  <c r="AO56" i="1" s="1"/>
  <c r="BF56" i="1" s="1"/>
  <c r="AO55" i="1" a="1"/>
  <c r="AO55" i="1" s="1"/>
  <c r="BF55" i="1" s="1"/>
  <c r="AN12" i="1" a="1"/>
  <c r="AN12" i="1" s="1"/>
  <c r="BE12" i="1" s="1"/>
  <c r="AN13" i="1" a="1"/>
  <c r="AN13" i="1" s="1"/>
  <c r="BE13" i="1" s="1"/>
  <c r="AN27" i="1" a="1"/>
  <c r="AN27" i="1" s="1"/>
  <c r="AN31" i="1" a="1"/>
  <c r="AN31" i="1" s="1"/>
  <c r="AN32" i="1" a="1"/>
  <c r="AN32" i="1" s="1"/>
  <c r="AN11" i="1" a="1"/>
  <c r="AN11" i="1" s="1"/>
  <c r="BE11" i="1" s="1"/>
  <c r="AN26" i="1" a="1"/>
  <c r="AN26" i="1" s="1"/>
  <c r="AN28" i="1" a="1"/>
  <c r="AN28" i="1" s="1"/>
  <c r="AN29" i="1" a="1"/>
  <c r="AN29" i="1" s="1"/>
  <c r="AN30" i="1" a="1"/>
  <c r="AN30" i="1" s="1"/>
  <c r="AN10" i="1" a="1"/>
  <c r="AN10" i="1" s="1"/>
  <c r="BE10" i="1" s="1"/>
  <c r="AN20" i="1" a="1"/>
  <c r="AN20" i="1" s="1"/>
  <c r="AN21" i="1" a="1"/>
  <c r="AN21" i="1" s="1"/>
  <c r="AN23" i="1" a="1"/>
  <c r="AN23" i="1" s="1"/>
  <c r="AN24" i="1" a="1"/>
  <c r="AN24" i="1" s="1"/>
  <c r="AN25" i="1" a="1"/>
  <c r="AN25" i="1" s="1"/>
  <c r="AN8" i="1" a="1"/>
  <c r="AN8" i="1" s="1"/>
  <c r="BE8" i="1" s="1"/>
  <c r="AN9" i="1" a="1"/>
  <c r="AN9" i="1" s="1"/>
  <c r="BE9" i="1" s="1"/>
  <c r="AN19" i="1" a="1"/>
  <c r="AN19" i="1" s="1"/>
  <c r="AN5" i="1" a="1"/>
  <c r="AN5" i="1" s="1"/>
  <c r="BE5" i="1" s="1"/>
  <c r="AN6" i="1" a="1"/>
  <c r="AN6" i="1" s="1"/>
  <c r="BE6" i="1" s="1"/>
  <c r="AN7" i="1" a="1"/>
  <c r="AN7" i="1" s="1"/>
  <c r="BE7" i="1" s="1"/>
  <c r="AN18" i="1" a="1"/>
  <c r="AN18" i="1" s="1"/>
  <c r="AN4" i="1" a="1"/>
  <c r="AN4" i="1" s="1"/>
  <c r="BE4" i="1" s="1"/>
  <c r="AN16" i="1" a="1"/>
  <c r="AN16" i="1" s="1"/>
  <c r="AN17" i="1" a="1"/>
  <c r="AN17" i="1" s="1"/>
  <c r="AN14" i="1" a="1"/>
  <c r="AN14" i="1" s="1"/>
  <c r="BE14" i="1" s="1"/>
  <c r="AN22" i="1" a="1"/>
  <c r="AN22" i="1" s="1"/>
  <c r="AN34" i="1" a="1"/>
  <c r="AN34" i="1" s="1"/>
  <c r="AN40" i="1" a="1"/>
  <c r="AN40" i="1" s="1"/>
  <c r="BE40" i="1" s="1"/>
  <c r="AN53" i="1" a="1"/>
  <c r="AN53" i="1" s="1"/>
  <c r="BE53" i="1" s="1"/>
  <c r="AN41" i="1" a="1"/>
  <c r="AN41" i="1" s="1"/>
  <c r="BE41" i="1" s="1"/>
  <c r="AN54" i="1" a="1"/>
  <c r="AN54" i="1" s="1"/>
  <c r="BE54" i="1" s="1"/>
  <c r="AN37" i="1" a="1"/>
  <c r="AN37" i="1" s="1"/>
  <c r="AN39" i="1" a="1"/>
  <c r="AN39" i="1" s="1"/>
  <c r="BE39" i="1" s="1"/>
  <c r="AN52" i="1" a="1"/>
  <c r="AN52" i="1" s="1"/>
  <c r="BE52" i="1" s="1"/>
  <c r="AN2" i="1" a="1"/>
  <c r="AN2" i="1" s="1"/>
  <c r="BE2" i="1" s="1"/>
  <c r="AN35" i="1" a="1"/>
  <c r="AN35" i="1" s="1"/>
  <c r="AN51" i="1" a="1"/>
  <c r="AN51" i="1" s="1"/>
  <c r="BE51" i="1" s="1"/>
  <c r="AN50" i="1" a="1"/>
  <c r="AN50" i="1" s="1"/>
  <c r="BE50" i="1" s="1"/>
  <c r="AN58" i="1" a="1"/>
  <c r="AN58" i="1" s="1"/>
  <c r="BE58" i="1" s="1"/>
  <c r="AN47" i="1" a="1"/>
  <c r="AN47" i="1" s="1"/>
  <c r="BE47" i="1" s="1"/>
  <c r="AN48" i="1" a="1"/>
  <c r="AN48" i="1" s="1"/>
  <c r="BE48" i="1" s="1"/>
  <c r="AN49" i="1" a="1"/>
  <c r="AN49" i="1" s="1"/>
  <c r="BE49" i="1" s="1"/>
  <c r="AN57" i="1" a="1"/>
  <c r="AN57" i="1" s="1"/>
  <c r="BE57" i="1" s="1"/>
  <c r="AN15" i="1" a="1"/>
  <c r="AN15" i="1" s="1"/>
  <c r="AN36" i="1" a="1"/>
  <c r="AN36" i="1" s="1"/>
  <c r="AN38" i="1" a="1"/>
  <c r="AN38" i="1" s="1"/>
  <c r="AN45" i="1" a="1"/>
  <c r="AN45" i="1" s="1"/>
  <c r="BE45" i="1" s="1"/>
  <c r="AN46" i="1" a="1"/>
  <c r="AN46" i="1" s="1"/>
  <c r="BE46" i="1" s="1"/>
  <c r="AN56" i="1" a="1"/>
  <c r="AN56" i="1" s="1"/>
  <c r="BE56" i="1" s="1"/>
  <c r="AN3" i="1" a="1"/>
  <c r="AN3" i="1" s="1"/>
  <c r="BE3" i="1" s="1"/>
  <c r="AN33" i="1" a="1"/>
  <c r="AN33" i="1" s="1"/>
  <c r="AN42" i="1" a="1"/>
  <c r="AN42" i="1" s="1"/>
  <c r="BE42" i="1" s="1"/>
  <c r="AN43" i="1" a="1"/>
  <c r="AN43" i="1" s="1"/>
  <c r="BE43" i="1" s="1"/>
  <c r="AN44" i="1" a="1"/>
  <c r="AN44" i="1" s="1"/>
  <c r="BE44" i="1" s="1"/>
  <c r="AN55" i="1" a="1"/>
  <c r="AN55" i="1" s="1"/>
  <c r="BE55" i="1" s="1"/>
  <c r="DU1" i="1"/>
  <c r="BK19" i="1"/>
  <c r="BH16" i="1"/>
  <c r="BH12" i="1"/>
  <c r="BI39" i="1"/>
  <c r="BI9" i="1"/>
  <c r="BP29" i="1"/>
  <c r="BR30" i="1" s="1"/>
  <c r="BP19" i="1"/>
  <c r="BP11" i="1"/>
  <c r="BS12" i="1"/>
  <c r="BS13" i="1" s="1"/>
  <c r="BK51" i="1"/>
  <c r="BK56" i="1"/>
  <c r="BK45" i="1"/>
  <c r="BK47" i="1"/>
  <c r="BK24" i="1"/>
  <c r="BK16" i="1"/>
  <c r="BK1" i="1"/>
  <c r="EG1" i="1"/>
  <c r="BJ55" i="1"/>
  <c r="BJ49" i="1"/>
  <c r="BJ46" i="1"/>
  <c r="BJ38" i="1"/>
  <c r="BJ35" i="1"/>
  <c r="BJ19" i="1"/>
  <c r="BJ14" i="1"/>
  <c r="BJ1" i="1"/>
  <c r="EF1" i="1"/>
  <c r="DV1" i="1"/>
  <c r="AZ1" i="1"/>
  <c r="BF1" i="1"/>
  <c r="EB1" i="1"/>
  <c r="BA57" i="1"/>
  <c r="BA58" i="1"/>
  <c r="BA51" i="1"/>
  <c r="BA56" i="1"/>
  <c r="BA47" i="1"/>
  <c r="BA52" i="1"/>
  <c r="BA36" i="1"/>
  <c r="BA17" i="1"/>
  <c r="BA19" i="1"/>
  <c r="BA12" i="1"/>
  <c r="BA1" i="1"/>
  <c r="DW1" i="1"/>
  <c r="BC57" i="1"/>
  <c r="BC43" i="1"/>
  <c r="BC36" i="1"/>
  <c r="BC37" i="1"/>
  <c r="BC31" i="1"/>
  <c r="BC34" i="1"/>
  <c r="BC24" i="1"/>
  <c r="BC15" i="1"/>
  <c r="BC11" i="1"/>
  <c r="BC1" i="1"/>
  <c r="DY1" i="1"/>
  <c r="BD58" i="1"/>
  <c r="BD53" i="1"/>
  <c r="BD54" i="1"/>
  <c r="BD27" i="1"/>
  <c r="BD6" i="1"/>
  <c r="DZ1" i="1"/>
  <c r="BD1" i="1"/>
  <c r="BR12" i="1"/>
  <c r="BH51" i="1"/>
  <c r="BH57" i="1"/>
  <c r="BH56" i="1"/>
  <c r="BH40" i="1"/>
  <c r="BH41" i="1"/>
  <c r="BH46" i="1"/>
  <c r="BH49" i="1"/>
  <c r="BH32" i="1"/>
  <c r="BH31" i="1"/>
  <c r="BH38" i="1"/>
  <c r="BH35" i="1"/>
  <c r="BH22" i="1"/>
  <c r="BH24" i="1"/>
  <c r="BH17" i="1"/>
  <c r="BH18" i="1"/>
  <c r="ED1" i="1"/>
  <c r="BH1" i="1"/>
  <c r="BI57" i="1"/>
  <c r="BI42" i="1"/>
  <c r="BI55" i="1"/>
  <c r="BI43" i="1"/>
  <c r="BI44" i="1"/>
  <c r="BI34" i="1"/>
  <c r="BI36" i="1"/>
  <c r="BI26" i="1"/>
  <c r="BI20" i="1"/>
  <c r="BI15" i="1"/>
  <c r="BI21" i="1"/>
  <c r="BI8" i="1"/>
  <c r="BI7" i="1"/>
  <c r="BI5" i="1"/>
  <c r="EE1" i="1"/>
  <c r="BI1" i="1"/>
  <c r="BI3" i="1"/>
  <c r="BL1" i="1"/>
  <c r="EH1" i="1"/>
  <c r="AY52" i="1"/>
  <c r="AY43" i="1"/>
  <c r="AY54" i="1"/>
  <c r="AY32" i="1"/>
  <c r="AY31" i="1"/>
  <c r="AY24" i="1"/>
  <c r="AY14" i="1"/>
  <c r="AY11" i="1"/>
  <c r="AY4" i="1"/>
  <c r="AY1" i="1"/>
  <c r="BE1" i="1"/>
  <c r="EA1" i="1"/>
  <c r="BG48" i="1"/>
  <c r="BG41" i="1"/>
  <c r="BG37" i="1"/>
  <c r="BG32" i="1"/>
  <c r="BG38" i="1"/>
  <c r="BG22" i="1"/>
  <c r="BG16" i="1"/>
  <c r="BG7" i="1"/>
  <c r="EC1" i="1"/>
  <c r="BG2" i="1"/>
  <c r="BG1" i="1"/>
  <c r="BB50" i="1"/>
  <c r="BB49" i="1"/>
  <c r="BB56" i="1"/>
  <c r="BB47" i="1"/>
  <c r="BB46" i="1"/>
  <c r="BB42" i="1"/>
  <c r="BB45" i="1"/>
  <c r="BB34" i="1"/>
  <c r="BB23" i="1"/>
  <c r="BB8" i="1"/>
  <c r="BB4" i="1"/>
  <c r="BB1" i="1"/>
  <c r="DX1" i="1"/>
  <c r="BM53" i="1"/>
  <c r="BM57" i="1"/>
  <c r="BM44" i="1"/>
  <c r="BM40" i="1"/>
  <c r="BM36" i="1"/>
  <c r="BM25" i="1"/>
  <c r="BM28" i="1"/>
  <c r="BM1" i="1"/>
  <c r="BM11" i="1"/>
  <c r="BM4" i="1"/>
  <c r="EI1" i="1"/>
  <c r="S305" i="2" l="1"/>
  <c r="S311" i="2"/>
  <c r="S306" i="2"/>
  <c r="S308" i="2"/>
  <c r="T303" i="2"/>
  <c r="T312" i="2"/>
  <c r="T305" i="2"/>
  <c r="T187" i="2"/>
  <c r="T304" i="2"/>
  <c r="T308" i="2"/>
  <c r="T313" i="2"/>
  <c r="T67" i="2"/>
  <c r="T3" i="2"/>
  <c r="T247" i="2"/>
  <c r="T315" i="2"/>
  <c r="T314" i="2"/>
  <c r="T310" i="2"/>
  <c r="T7" i="2"/>
  <c r="T307" i="2"/>
  <c r="T311" i="2"/>
  <c r="T306" i="2"/>
  <c r="S315" i="2"/>
  <c r="S307" i="2"/>
  <c r="S187" i="2"/>
  <c r="S312" i="2"/>
  <c r="S314" i="2"/>
  <c r="S304" i="2"/>
  <c r="S7" i="2"/>
  <c r="S303" i="2"/>
  <c r="S310" i="2"/>
  <c r="S313" i="2"/>
  <c r="S3" i="2"/>
  <c r="S744" i="2"/>
  <c r="S749" i="2"/>
  <c r="S635" i="2"/>
  <c r="S622" i="2"/>
  <c r="BB33" i="1"/>
  <c r="DX33" i="1" s="1" a="1"/>
  <c r="DX33" i="1" s="1"/>
  <c r="X154" i="2" s="1"/>
  <c r="S802" i="2"/>
  <c r="S630" i="2"/>
  <c r="S619" i="2"/>
  <c r="S815" i="2"/>
  <c r="S814" i="2"/>
  <c r="S632" i="2"/>
  <c r="S796" i="2"/>
  <c r="S747" i="2"/>
  <c r="S687" i="2"/>
  <c r="S753" i="2"/>
  <c r="S627" i="2"/>
  <c r="S638" i="2"/>
  <c r="T155" i="2"/>
  <c r="T443" i="2"/>
  <c r="S805" i="2"/>
  <c r="S798" i="2"/>
  <c r="S754" i="2"/>
  <c r="S684" i="2"/>
  <c r="S695" i="2"/>
  <c r="S803" i="2"/>
  <c r="S689" i="2"/>
  <c r="S751" i="2"/>
  <c r="S628" i="2"/>
  <c r="S688" i="2"/>
  <c r="S629" i="2"/>
  <c r="S681" i="2"/>
  <c r="S745" i="2"/>
  <c r="BA14" i="1"/>
  <c r="S759" i="2"/>
  <c r="S698" i="2"/>
  <c r="S690" i="2"/>
  <c r="S606" i="2"/>
  <c r="S691" i="2"/>
  <c r="S819" i="2"/>
  <c r="S727" i="2"/>
  <c r="S682" i="2"/>
  <c r="S696" i="2"/>
  <c r="S693" i="2"/>
  <c r="S686" i="2"/>
  <c r="S757" i="2"/>
  <c r="S739" i="2"/>
  <c r="T745" i="2"/>
  <c r="T685" i="2"/>
  <c r="T755" i="2"/>
  <c r="T730" i="2"/>
  <c r="T743" i="2"/>
  <c r="T628" i="2"/>
  <c r="T699" i="2"/>
  <c r="T694" i="2"/>
  <c r="T624" i="2"/>
  <c r="T627" i="2"/>
  <c r="T638" i="2"/>
  <c r="T622" i="2"/>
  <c r="T639" i="2"/>
  <c r="T796" i="2"/>
  <c r="T758" i="2"/>
  <c r="T680" i="2"/>
  <c r="T686" i="2"/>
  <c r="T620" i="2"/>
  <c r="T618" i="2"/>
  <c r="T749" i="2"/>
  <c r="T752" i="2"/>
  <c r="T739" i="2"/>
  <c r="T682" i="2"/>
  <c r="T695" i="2"/>
  <c r="T808" i="2"/>
  <c r="T696" i="2"/>
  <c r="T634" i="2"/>
  <c r="T746" i="2"/>
  <c r="T631" i="2"/>
  <c r="T804" i="2"/>
  <c r="T756" i="2"/>
  <c r="T750" i="2"/>
  <c r="T697" i="2"/>
  <c r="T687" i="2"/>
  <c r="T737" i="2"/>
  <c r="T727" i="2"/>
  <c r="T635" i="2"/>
  <c r="T603" i="2"/>
  <c r="T636" i="2"/>
  <c r="T747" i="2"/>
  <c r="T681" i="2"/>
  <c r="T689" i="2"/>
  <c r="T619" i="2"/>
  <c r="T817" i="2"/>
  <c r="T753" i="2"/>
  <c r="T798" i="2"/>
  <c r="T783" i="2"/>
  <c r="T813" i="2"/>
  <c r="T623" i="2"/>
  <c r="T633" i="2"/>
  <c r="T693" i="2"/>
  <c r="T684" i="2"/>
  <c r="T698" i="2"/>
  <c r="T809" i="2"/>
  <c r="T814" i="2"/>
  <c r="T692" i="2"/>
  <c r="T679" i="2"/>
  <c r="T744" i="2"/>
  <c r="T751" i="2"/>
  <c r="T632" i="2"/>
  <c r="T690" i="2"/>
  <c r="T806" i="2"/>
  <c r="T799" i="2"/>
  <c r="T801" i="2"/>
  <c r="T810" i="2"/>
  <c r="T625" i="2"/>
  <c r="T816" i="2"/>
  <c r="T754" i="2"/>
  <c r="T626" i="2"/>
  <c r="T677" i="2"/>
  <c r="T811" i="2"/>
  <c r="T802" i="2"/>
  <c r="T803" i="2"/>
  <c r="T748" i="2"/>
  <c r="T676" i="2"/>
  <c r="T815" i="2"/>
  <c r="T683" i="2"/>
  <c r="T606" i="2"/>
  <c r="T812" i="2"/>
  <c r="T785" i="2"/>
  <c r="T621" i="2"/>
  <c r="T759" i="2"/>
  <c r="T670" i="2"/>
  <c r="T688" i="2"/>
  <c r="T742" i="2"/>
  <c r="T726" i="2"/>
  <c r="T807" i="2"/>
  <c r="T805" i="2"/>
  <c r="T757" i="2"/>
  <c r="T741" i="2"/>
  <c r="T819" i="2"/>
  <c r="T629" i="2"/>
  <c r="T630" i="2"/>
  <c r="T691" i="2"/>
  <c r="T800" i="2"/>
  <c r="T637" i="2"/>
  <c r="T666" i="2"/>
  <c r="T818" i="2"/>
  <c r="BG31" i="1"/>
  <c r="BB18" i="1"/>
  <c r="T139" i="2" s="1"/>
  <c r="BI27" i="1"/>
  <c r="EE27" i="1" s="1" a="1"/>
  <c r="EE27" i="1" s="1"/>
  <c r="X568" i="2" s="1"/>
  <c r="BH25" i="1"/>
  <c r="BH37" i="1"/>
  <c r="X743" i="2"/>
  <c r="X816" i="2"/>
  <c r="S800" i="2"/>
  <c r="S811" i="2"/>
  <c r="S818" i="2"/>
  <c r="S810" i="2"/>
  <c r="S683" i="2"/>
  <c r="S694" i="2"/>
  <c r="S808" i="2"/>
  <c r="S692" i="2"/>
  <c r="S664" i="2"/>
  <c r="S674" i="2"/>
  <c r="S676" i="2"/>
  <c r="S633" i="2"/>
  <c r="S807" i="2"/>
  <c r="S756" i="2"/>
  <c r="S697" i="2"/>
  <c r="S699" i="2"/>
  <c r="S755" i="2"/>
  <c r="S758" i="2"/>
  <c r="BB2" i="1"/>
  <c r="DX2" i="1" s="1" a="1"/>
  <c r="DX2" i="1" s="1"/>
  <c r="X123" i="2" s="1"/>
  <c r="BB13" i="1"/>
  <c r="BI29" i="1"/>
  <c r="EE29" i="1" s="1" a="1"/>
  <c r="EE29" i="1" s="1"/>
  <c r="X570" i="2" s="1"/>
  <c r="BH28" i="1"/>
  <c r="S679" i="2"/>
  <c r="S626" i="2"/>
  <c r="S621" i="2"/>
  <c r="S631" i="2"/>
  <c r="S746" i="2"/>
  <c r="S743" i="2"/>
  <c r="S634" i="2"/>
  <c r="S625" i="2"/>
  <c r="S730" i="2"/>
  <c r="S603" i="2"/>
  <c r="S799" i="2"/>
  <c r="AZ23" i="1"/>
  <c r="T24" i="2" s="1"/>
  <c r="T575" i="2"/>
  <c r="T516" i="2"/>
  <c r="T562" i="2"/>
  <c r="T512" i="2"/>
  <c r="T268" i="2"/>
  <c r="T459" i="2"/>
  <c r="T452" i="2"/>
  <c r="T212" i="2"/>
  <c r="T561" i="2"/>
  <c r="T513" i="2"/>
  <c r="T218" i="2"/>
  <c r="T497" i="2"/>
  <c r="T453" i="2"/>
  <c r="T458" i="2"/>
  <c r="T568" i="2"/>
  <c r="T506" i="2"/>
  <c r="T518" i="2"/>
  <c r="T217" i="2"/>
  <c r="T80" i="2"/>
  <c r="T519" i="2"/>
  <c r="T499" i="2"/>
  <c r="T498" i="2"/>
  <c r="T567" i="2"/>
  <c r="T505" i="2"/>
  <c r="T78" i="2"/>
  <c r="T205" i="2"/>
  <c r="T215" i="2"/>
  <c r="T556" i="2"/>
  <c r="T144" i="2"/>
  <c r="T509" i="2"/>
  <c r="T97" i="2"/>
  <c r="T154" i="2"/>
  <c r="T437" i="2"/>
  <c r="T577" i="2"/>
  <c r="T503" i="2"/>
  <c r="T196" i="2"/>
  <c r="BE36" i="1"/>
  <c r="T337" i="2" s="1"/>
  <c r="S337" i="2"/>
  <c r="BF25" i="1"/>
  <c r="T386" i="2" s="1"/>
  <c r="S386" i="2"/>
  <c r="BD25" i="1"/>
  <c r="T266" i="2" s="1"/>
  <c r="S266" i="2"/>
  <c r="BB31" i="1"/>
  <c r="T152" i="2" s="1"/>
  <c r="S152" i="2"/>
  <c r="BB19" i="1"/>
  <c r="T140" i="2" s="1"/>
  <c r="S140" i="2"/>
  <c r="BI23" i="1"/>
  <c r="T564" i="2" s="1"/>
  <c r="S564" i="2"/>
  <c r="BE15" i="1"/>
  <c r="T316" i="2" s="1"/>
  <c r="S316" i="2"/>
  <c r="BF37" i="1"/>
  <c r="T398" i="2" s="1"/>
  <c r="S398" i="2"/>
  <c r="BC25" i="1"/>
  <c r="T206" i="2" s="1"/>
  <c r="S206" i="2"/>
  <c r="BA22" i="1"/>
  <c r="T83" i="2" s="1"/>
  <c r="S83" i="2"/>
  <c r="BI22" i="1"/>
  <c r="T563" i="2" s="1"/>
  <c r="S563" i="2"/>
  <c r="BE21" i="1"/>
  <c r="T322" i="2" s="1"/>
  <c r="S322" i="2"/>
  <c r="BE32" i="1"/>
  <c r="T333" i="2" s="1"/>
  <c r="S333" i="2"/>
  <c r="BF23" i="1"/>
  <c r="T384" i="2" s="1"/>
  <c r="S384" i="2"/>
  <c r="BF29" i="1"/>
  <c r="T390" i="2" s="1"/>
  <c r="S390" i="2"/>
  <c r="AZ37" i="1"/>
  <c r="T38" i="2" s="1"/>
  <c r="S38" i="2"/>
  <c r="AZ33" i="1"/>
  <c r="T34" i="2" s="1"/>
  <c r="S34" i="2"/>
  <c r="BD33" i="1"/>
  <c r="T274" i="2" s="1"/>
  <c r="S274" i="2"/>
  <c r="BD23" i="1"/>
  <c r="T264" i="2" s="1"/>
  <c r="S264" i="2"/>
  <c r="BE24" i="1"/>
  <c r="T325" i="2" s="1"/>
  <c r="S325" i="2"/>
  <c r="BD18" i="1"/>
  <c r="T259" i="2" s="1"/>
  <c r="S259" i="2"/>
  <c r="BE35" i="1"/>
  <c r="T336" i="2" s="1"/>
  <c r="S336" i="2"/>
  <c r="BF24" i="1"/>
  <c r="T385" i="2" s="1"/>
  <c r="S385" i="2"/>
  <c r="BD32" i="1"/>
  <c r="T273" i="2" s="1"/>
  <c r="S273" i="2"/>
  <c r="BC38" i="1"/>
  <c r="T219" i="2" s="1"/>
  <c r="S219" i="2"/>
  <c r="BA27" i="1"/>
  <c r="T88" i="2" s="1"/>
  <c r="S88" i="2"/>
  <c r="BB16" i="1"/>
  <c r="T137" i="2" s="1"/>
  <c r="S137" i="2"/>
  <c r="BE33" i="1"/>
  <c r="T334" i="2" s="1"/>
  <c r="S334" i="2"/>
  <c r="BE31" i="1"/>
  <c r="T332" i="2" s="1"/>
  <c r="S332" i="2"/>
  <c r="BF17" i="1"/>
  <c r="T378" i="2" s="1"/>
  <c r="S378" i="2"/>
  <c r="BF19" i="1"/>
  <c r="T380" i="2" s="1"/>
  <c r="S380" i="2"/>
  <c r="BF28" i="1"/>
  <c r="T389" i="2" s="1"/>
  <c r="S389" i="2"/>
  <c r="BF38" i="1"/>
  <c r="T399" i="2" s="1"/>
  <c r="S399" i="2"/>
  <c r="AZ30" i="1"/>
  <c r="T31" i="2" s="1"/>
  <c r="S31" i="2"/>
  <c r="AZ29" i="1"/>
  <c r="T30" i="2" s="1"/>
  <c r="S30" i="2"/>
  <c r="AZ21" i="1"/>
  <c r="T22" i="2" s="1"/>
  <c r="S22" i="2"/>
  <c r="BD34" i="1"/>
  <c r="T275" i="2" s="1"/>
  <c r="S275" i="2"/>
  <c r="BD15" i="1"/>
  <c r="T256" i="2" s="1"/>
  <c r="S256" i="2"/>
  <c r="BD21" i="1"/>
  <c r="T262" i="2" s="1"/>
  <c r="S262" i="2"/>
  <c r="BG21" i="1"/>
  <c r="T442" i="2" s="1"/>
  <c r="S442" i="2"/>
  <c r="BG36" i="1"/>
  <c r="T457" i="2" s="1"/>
  <c r="S457" i="2"/>
  <c r="BC29" i="1"/>
  <c r="T210" i="2" s="1"/>
  <c r="S210" i="2"/>
  <c r="BC32" i="1"/>
  <c r="T213" i="2" s="1"/>
  <c r="S213" i="2"/>
  <c r="BC27" i="1"/>
  <c r="T208" i="2" s="1"/>
  <c r="S208" i="2"/>
  <c r="BC23" i="1"/>
  <c r="T204" i="2" s="1"/>
  <c r="S204" i="2"/>
  <c r="BA35" i="1"/>
  <c r="T96" i="2" s="1"/>
  <c r="S96" i="2"/>
  <c r="BA16" i="1"/>
  <c r="T77" i="2" s="1"/>
  <c r="S77" i="2"/>
  <c r="BB29" i="1"/>
  <c r="T150" i="2" s="1"/>
  <c r="S150" i="2"/>
  <c r="BD37" i="1"/>
  <c r="T278" i="2" s="1"/>
  <c r="S278" i="2"/>
  <c r="BA28" i="1"/>
  <c r="T89" i="2" s="1"/>
  <c r="S89" i="2"/>
  <c r="BB24" i="1"/>
  <c r="T145" i="2" s="1"/>
  <c r="S145" i="2"/>
  <c r="BD26" i="1"/>
  <c r="T267" i="2" s="1"/>
  <c r="S267" i="2"/>
  <c r="BG28" i="1"/>
  <c r="T449" i="2" s="1"/>
  <c r="S449" i="2"/>
  <c r="BI31" i="1"/>
  <c r="T572" i="2" s="1"/>
  <c r="S572" i="2"/>
  <c r="BE22" i="1"/>
  <c r="T323" i="2" s="1"/>
  <c r="S323" i="2"/>
  <c r="BE20" i="1"/>
  <c r="T321" i="2" s="1"/>
  <c r="S321" i="2"/>
  <c r="BF36" i="1"/>
  <c r="T397" i="2" s="1"/>
  <c r="S397" i="2"/>
  <c r="BF16" i="1"/>
  <c r="T377" i="2" s="1"/>
  <c r="S377" i="2"/>
  <c r="BE19" i="1"/>
  <c r="T320" i="2" s="1"/>
  <c r="S320" i="2"/>
  <c r="BE27" i="1"/>
  <c r="T328" i="2" s="1"/>
  <c r="S328" i="2"/>
  <c r="BF22" i="1"/>
  <c r="T383" i="2" s="1"/>
  <c r="S383" i="2"/>
  <c r="BF26" i="1"/>
  <c r="T387" i="2" s="1"/>
  <c r="S387" i="2"/>
  <c r="BF35" i="1"/>
  <c r="T396" i="2" s="1"/>
  <c r="S396" i="2"/>
  <c r="AZ26" i="1"/>
  <c r="T27" i="2" s="1"/>
  <c r="S27" i="2"/>
  <c r="AZ38" i="1"/>
  <c r="T39" i="2" s="1"/>
  <c r="S39" i="2"/>
  <c r="AZ20" i="1"/>
  <c r="T21" i="2" s="1"/>
  <c r="S21" i="2"/>
  <c r="BD35" i="1"/>
  <c r="T276" i="2" s="1"/>
  <c r="S276" i="2"/>
  <c r="BD22" i="1"/>
  <c r="T263" i="2" s="1"/>
  <c r="S263" i="2"/>
  <c r="BD20" i="1"/>
  <c r="T261" i="2" s="1"/>
  <c r="S261" i="2"/>
  <c r="BG29" i="1"/>
  <c r="T450" i="2" s="1"/>
  <c r="S450" i="2"/>
  <c r="BG19" i="1"/>
  <c r="T440" i="2" s="1"/>
  <c r="S440" i="2"/>
  <c r="BG27" i="1"/>
  <c r="T448" i="2" s="1"/>
  <c r="S448" i="2"/>
  <c r="BG15" i="1"/>
  <c r="T436" i="2" s="1"/>
  <c r="S436" i="2"/>
  <c r="BC33" i="1"/>
  <c r="T214" i="2" s="1"/>
  <c r="S214" i="2"/>
  <c r="BC21" i="1"/>
  <c r="T202" i="2" s="1"/>
  <c r="S202" i="2"/>
  <c r="BA30" i="1"/>
  <c r="T91" i="2" s="1"/>
  <c r="S91" i="2"/>
  <c r="BB28" i="1"/>
  <c r="T149" i="2" s="1"/>
  <c r="S149" i="2"/>
  <c r="BD36" i="1"/>
  <c r="T277" i="2" s="1"/>
  <c r="S277" i="2"/>
  <c r="BG33" i="1"/>
  <c r="T454" i="2" s="1"/>
  <c r="S454" i="2"/>
  <c r="BB26" i="1"/>
  <c r="T147" i="2" s="1"/>
  <c r="S147" i="2"/>
  <c r="BB17" i="1"/>
  <c r="T138" i="2" s="1"/>
  <c r="S138" i="2"/>
  <c r="BH30" i="1"/>
  <c r="T511" i="2" s="1"/>
  <c r="S511" i="2"/>
  <c r="AZ34" i="1"/>
  <c r="T35" i="2" s="1"/>
  <c r="S35" i="2"/>
  <c r="BD31" i="1"/>
  <c r="T272" i="2" s="1"/>
  <c r="S272" i="2"/>
  <c r="BA21" i="1"/>
  <c r="T82" i="2" s="1"/>
  <c r="S82" i="2"/>
  <c r="BB27" i="1"/>
  <c r="T148" i="2" s="1"/>
  <c r="S148" i="2"/>
  <c r="BE34" i="1"/>
  <c r="T335" i="2" s="1"/>
  <c r="S335" i="2"/>
  <c r="BE37" i="1"/>
  <c r="T338" i="2" s="1"/>
  <c r="S338" i="2"/>
  <c r="BE17" i="1"/>
  <c r="T318" i="2" s="1"/>
  <c r="S318" i="2"/>
  <c r="BE30" i="1"/>
  <c r="T331" i="2" s="1"/>
  <c r="S331" i="2"/>
  <c r="BF15" i="1"/>
  <c r="T376" i="2" s="1"/>
  <c r="S376" i="2"/>
  <c r="BF34" i="1"/>
  <c r="T395" i="2" s="1"/>
  <c r="S395" i="2"/>
  <c r="AZ31" i="1"/>
  <c r="T32" i="2" s="1"/>
  <c r="S32" i="2"/>
  <c r="AZ25" i="1"/>
  <c r="T26" i="2" s="1"/>
  <c r="S26" i="2"/>
  <c r="AZ36" i="1"/>
  <c r="T37" i="2" s="1"/>
  <c r="S37" i="2"/>
  <c r="AZ32" i="1"/>
  <c r="T33" i="2" s="1"/>
  <c r="S33" i="2"/>
  <c r="BD17" i="1"/>
  <c r="T258" i="2" s="1"/>
  <c r="S258" i="2"/>
  <c r="BD19" i="1"/>
  <c r="T260" i="2" s="1"/>
  <c r="S260" i="2"/>
  <c r="BG35" i="1"/>
  <c r="T456" i="2" s="1"/>
  <c r="S456" i="2"/>
  <c r="BG30" i="1"/>
  <c r="T451" i="2" s="1"/>
  <c r="S451" i="2"/>
  <c r="BC28" i="1"/>
  <c r="T209" i="2" s="1"/>
  <c r="S209" i="2"/>
  <c r="BC22" i="1"/>
  <c r="T203" i="2" s="1"/>
  <c r="S203" i="2"/>
  <c r="BC20" i="1"/>
  <c r="T201" i="2" s="1"/>
  <c r="S201" i="2"/>
  <c r="BA26" i="1"/>
  <c r="T87" i="2" s="1"/>
  <c r="S87" i="2"/>
  <c r="BA38" i="1"/>
  <c r="T99" i="2" s="1"/>
  <c r="S99" i="2"/>
  <c r="BA18" i="1"/>
  <c r="T79" i="2" s="1"/>
  <c r="S79" i="2"/>
  <c r="BB21" i="1"/>
  <c r="T142" i="2" s="1"/>
  <c r="S142" i="2"/>
  <c r="BB38" i="1"/>
  <c r="T159" i="2" s="1"/>
  <c r="S159" i="2"/>
  <c r="BI33" i="1"/>
  <c r="T574" i="2" s="1"/>
  <c r="S574" i="2"/>
  <c r="BI25" i="1"/>
  <c r="T566" i="2" s="1"/>
  <c r="S566" i="2"/>
  <c r="BH27" i="1"/>
  <c r="T508" i="2" s="1"/>
  <c r="S508" i="2"/>
  <c r="BH23" i="1"/>
  <c r="T504" i="2" s="1"/>
  <c r="S504" i="2"/>
  <c r="BH34" i="1"/>
  <c r="T515" i="2" s="1"/>
  <c r="S515" i="2"/>
  <c r="BE26" i="1"/>
  <c r="T327" i="2" s="1"/>
  <c r="S327" i="2"/>
  <c r="AZ16" i="1"/>
  <c r="T17" i="2" s="1"/>
  <c r="S17" i="2"/>
  <c r="BG18" i="1"/>
  <c r="T439" i="2" s="1"/>
  <c r="S439" i="2"/>
  <c r="BA15" i="1"/>
  <c r="T76" i="2" s="1"/>
  <c r="S76" i="2"/>
  <c r="BD24" i="1"/>
  <c r="T265" i="2" s="1"/>
  <c r="S265" i="2"/>
  <c r="BC26" i="1"/>
  <c r="T207" i="2" s="1"/>
  <c r="S207" i="2"/>
  <c r="BI37" i="1"/>
  <c r="T578" i="2" s="1"/>
  <c r="S578" i="2"/>
  <c r="BA31" i="1"/>
  <c r="T92" i="2" s="1"/>
  <c r="BE16" i="1"/>
  <c r="T317" i="2" s="1"/>
  <c r="S317" i="2"/>
  <c r="BE29" i="1"/>
  <c r="T330" i="2" s="1"/>
  <c r="S330" i="2"/>
  <c r="BF21" i="1"/>
  <c r="T382" i="2" s="1"/>
  <c r="S382" i="2"/>
  <c r="BF32" i="1"/>
  <c r="T393" i="2" s="1"/>
  <c r="S393" i="2"/>
  <c r="BF33" i="1"/>
  <c r="T394" i="2" s="1"/>
  <c r="S394" i="2"/>
  <c r="AZ27" i="1"/>
  <c r="T28" i="2" s="1"/>
  <c r="S28" i="2"/>
  <c r="AZ28" i="1"/>
  <c r="T29" i="2" s="1"/>
  <c r="S29" i="2"/>
  <c r="BD16" i="1"/>
  <c r="T257" i="2" s="1"/>
  <c r="S257" i="2"/>
  <c r="BD30" i="1"/>
  <c r="T271" i="2" s="1"/>
  <c r="S271" i="2"/>
  <c r="BG26" i="1"/>
  <c r="T447" i="2" s="1"/>
  <c r="S447" i="2"/>
  <c r="BC17" i="1"/>
  <c r="T198" i="2" s="1"/>
  <c r="S198" i="2"/>
  <c r="BC19" i="1"/>
  <c r="T200" i="2" s="1"/>
  <c r="S200" i="2"/>
  <c r="BA24" i="1"/>
  <c r="T85" i="2" s="1"/>
  <c r="S85" i="2"/>
  <c r="BA34" i="1"/>
  <c r="T95" i="2" s="1"/>
  <c r="S95" i="2"/>
  <c r="BA32" i="1"/>
  <c r="T93" i="2" s="1"/>
  <c r="S93" i="2"/>
  <c r="BA37" i="1"/>
  <c r="T98" i="2" s="1"/>
  <c r="S98" i="2"/>
  <c r="BB37" i="1"/>
  <c r="T158" i="2" s="1"/>
  <c r="S158" i="2"/>
  <c r="BB35" i="1"/>
  <c r="T156" i="2" s="1"/>
  <c r="S156" i="2"/>
  <c r="BB36" i="1"/>
  <c r="T157" i="2" s="1"/>
  <c r="S157" i="2"/>
  <c r="BB15" i="1"/>
  <c r="T136" i="2" s="1"/>
  <c r="S136" i="2"/>
  <c r="BI30" i="1"/>
  <c r="T571" i="2" s="1"/>
  <c r="S571" i="2"/>
  <c r="BI24" i="1"/>
  <c r="T565" i="2" s="1"/>
  <c r="S565" i="2"/>
  <c r="BH29" i="1"/>
  <c r="T510" i="2" s="1"/>
  <c r="S510" i="2"/>
  <c r="BH20" i="1"/>
  <c r="T501" i="2" s="1"/>
  <c r="S501" i="2"/>
  <c r="BH33" i="1"/>
  <c r="T514" i="2" s="1"/>
  <c r="S514" i="2"/>
  <c r="BE18" i="1"/>
  <c r="T319" i="2" s="1"/>
  <c r="S319" i="2"/>
  <c r="BF27" i="1"/>
  <c r="T388" i="2" s="1"/>
  <c r="S388" i="2"/>
  <c r="AZ35" i="1"/>
  <c r="T36" i="2" s="1"/>
  <c r="S36" i="2"/>
  <c r="BD28" i="1"/>
  <c r="T269" i="2" s="1"/>
  <c r="S269" i="2"/>
  <c r="BG24" i="1"/>
  <c r="T445" i="2" s="1"/>
  <c r="S445" i="2"/>
  <c r="BC30" i="1"/>
  <c r="T211" i="2" s="1"/>
  <c r="S211" i="2"/>
  <c r="BA20" i="1"/>
  <c r="T81" i="2" s="1"/>
  <c r="S81" i="2"/>
  <c r="BI35" i="1"/>
  <c r="T576" i="2" s="1"/>
  <c r="S576" i="2"/>
  <c r="BH36" i="1"/>
  <c r="T517" i="2" s="1"/>
  <c r="S517" i="2"/>
  <c r="BH15" i="1"/>
  <c r="T496" i="2" s="1"/>
  <c r="S496" i="2"/>
  <c r="BE23" i="1"/>
  <c r="T324" i="2" s="1"/>
  <c r="S324" i="2"/>
  <c r="BF30" i="1"/>
  <c r="T391" i="2" s="1"/>
  <c r="S391" i="2"/>
  <c r="AZ24" i="1"/>
  <c r="T25" i="2" s="1"/>
  <c r="S25" i="2"/>
  <c r="BG23" i="1"/>
  <c r="T444" i="2" s="1"/>
  <c r="S444" i="2"/>
  <c r="BC18" i="1"/>
  <c r="T199" i="2" s="1"/>
  <c r="S199" i="2"/>
  <c r="BI28" i="1"/>
  <c r="T569" i="2" s="1"/>
  <c r="S569" i="2"/>
  <c r="BH26" i="1"/>
  <c r="T507" i="2" s="1"/>
  <c r="S507" i="2"/>
  <c r="BI38" i="1"/>
  <c r="T579" i="2" s="1"/>
  <c r="BE38" i="1"/>
  <c r="T339" i="2" s="1"/>
  <c r="S339" i="2"/>
  <c r="BE25" i="1"/>
  <c r="T326" i="2" s="1"/>
  <c r="S326" i="2"/>
  <c r="BE28" i="1"/>
  <c r="T329" i="2" s="1"/>
  <c r="S329" i="2"/>
  <c r="BF18" i="1"/>
  <c r="T379" i="2" s="1"/>
  <c r="S379" i="2"/>
  <c r="BF20" i="1"/>
  <c r="T381" i="2" s="1"/>
  <c r="S381" i="2"/>
  <c r="BF31" i="1"/>
  <c r="T392" i="2" s="1"/>
  <c r="S392" i="2"/>
  <c r="AZ22" i="1"/>
  <c r="T23" i="2" s="1"/>
  <c r="S23" i="2"/>
  <c r="AZ17" i="1"/>
  <c r="T18" i="2" s="1"/>
  <c r="S18" i="2"/>
  <c r="BD38" i="1"/>
  <c r="T279" i="2" s="1"/>
  <c r="S279" i="2"/>
  <c r="BD29" i="1"/>
  <c r="T270" i="2" s="1"/>
  <c r="S270" i="2"/>
  <c r="BG17" i="1"/>
  <c r="T438" i="2" s="1"/>
  <c r="S438" i="2"/>
  <c r="BG25" i="1"/>
  <c r="T446" i="2" s="1"/>
  <c r="S446" i="2"/>
  <c r="BG20" i="1"/>
  <c r="T441" i="2" s="1"/>
  <c r="S441" i="2"/>
  <c r="BG34" i="1"/>
  <c r="T455" i="2" s="1"/>
  <c r="S455" i="2"/>
  <c r="BC35" i="1"/>
  <c r="T216" i="2" s="1"/>
  <c r="S216" i="2"/>
  <c r="BC16" i="1"/>
  <c r="T197" i="2" s="1"/>
  <c r="S197" i="2"/>
  <c r="BA23" i="1"/>
  <c r="T84" i="2" s="1"/>
  <c r="S84" i="2"/>
  <c r="BA29" i="1"/>
  <c r="T90" i="2" s="1"/>
  <c r="S90" i="2"/>
  <c r="BA33" i="1"/>
  <c r="T94" i="2" s="1"/>
  <c r="S94" i="2"/>
  <c r="BA25" i="1"/>
  <c r="T86" i="2" s="1"/>
  <c r="S86" i="2"/>
  <c r="BB25" i="1"/>
  <c r="T146" i="2" s="1"/>
  <c r="S146" i="2"/>
  <c r="BB20" i="1"/>
  <c r="T141" i="2" s="1"/>
  <c r="S141" i="2"/>
  <c r="BB30" i="1"/>
  <c r="T151" i="2" s="1"/>
  <c r="S151" i="2"/>
  <c r="BB32" i="1"/>
  <c r="T153" i="2" s="1"/>
  <c r="S153" i="2"/>
  <c r="BB22" i="1"/>
  <c r="T143" i="2" s="1"/>
  <c r="S143" i="2"/>
  <c r="BI32" i="1"/>
  <c r="T573" i="2" s="1"/>
  <c r="S573" i="2"/>
  <c r="BH21" i="1"/>
  <c r="T502" i="2" s="1"/>
  <c r="S502" i="2"/>
  <c r="S135" i="2"/>
  <c r="S66" i="2"/>
  <c r="S427" i="2"/>
  <c r="S487" i="2"/>
  <c r="EH12" i="1" a="1"/>
  <c r="EH12" i="1" s="1"/>
  <c r="EH14" i="1" a="1"/>
  <c r="EH14" i="1" s="1"/>
  <c r="EH18" i="1" a="1"/>
  <c r="EH18" i="1" s="1"/>
  <c r="X739" i="2" s="1"/>
  <c r="EH21" i="1" a="1"/>
  <c r="EH21" i="1" s="1"/>
  <c r="X742" i="2" s="1"/>
  <c r="EH6" i="1" a="1"/>
  <c r="EH6" i="1" s="1"/>
  <c r="X727" i="2" s="1"/>
  <c r="EH10" i="1" a="1"/>
  <c r="EH10" i="1" s="1"/>
  <c r="EH47" i="1" a="1"/>
  <c r="EH47" i="1" s="1"/>
  <c r="EH27" i="1" a="1"/>
  <c r="EH27" i="1" s="1"/>
  <c r="X748" i="2" s="1"/>
  <c r="EH36" i="1" a="1"/>
  <c r="EH36" i="1" s="1"/>
  <c r="X757" i="2" s="1"/>
  <c r="EH37" i="1" a="1"/>
  <c r="EH37" i="1" s="1"/>
  <c r="X758" i="2" s="1"/>
  <c r="EH42" i="1" a="1"/>
  <c r="EH42" i="1" s="1"/>
  <c r="EH28" i="1" a="1"/>
  <c r="EH28" i="1" s="1"/>
  <c r="X749" i="2" s="1"/>
  <c r="EH29" i="1" a="1"/>
  <c r="EH29" i="1" s="1"/>
  <c r="X750" i="2" s="1"/>
  <c r="EH39" i="1" a="1"/>
  <c r="EH39" i="1" s="1"/>
  <c r="EH40" i="1" a="1"/>
  <c r="EH40" i="1" s="1"/>
  <c r="EH48" i="1" a="1"/>
  <c r="EH48" i="1" s="1"/>
  <c r="EH23" i="1" a="1"/>
  <c r="EH23" i="1" s="1"/>
  <c r="X744" i="2" s="1"/>
  <c r="EH30" i="1" a="1"/>
  <c r="EH30" i="1" s="1"/>
  <c r="X751" i="2" s="1"/>
  <c r="EH31" i="1" a="1"/>
  <c r="EH31" i="1" s="1"/>
  <c r="X752" i="2" s="1"/>
  <c r="EH43" i="1" a="1"/>
  <c r="EH43" i="1" s="1"/>
  <c r="EH9" i="1" a="1"/>
  <c r="EH9" i="1" s="1"/>
  <c r="X730" i="2" s="1"/>
  <c r="EH20" i="1" a="1"/>
  <c r="EH20" i="1" s="1"/>
  <c r="X741" i="2" s="1"/>
  <c r="EH22" i="1" a="1"/>
  <c r="EH22" i="1" s="1"/>
  <c r="EH24" i="1" a="1"/>
  <c r="EH24" i="1" s="1"/>
  <c r="X745" i="2" s="1"/>
  <c r="EH26" i="1" a="1"/>
  <c r="EH26" i="1" s="1"/>
  <c r="X747" i="2" s="1"/>
  <c r="EH32" i="1" a="1"/>
  <c r="EH32" i="1" s="1"/>
  <c r="X753" i="2" s="1"/>
  <c r="EH33" i="1" a="1"/>
  <c r="EH33" i="1" s="1"/>
  <c r="X754" i="2" s="1"/>
  <c r="EH46" i="1" a="1"/>
  <c r="EH46" i="1" s="1"/>
  <c r="EH49" i="1" a="1"/>
  <c r="EH49" i="1" s="1"/>
  <c r="EH35" i="1" a="1"/>
  <c r="EH35" i="1" s="1"/>
  <c r="X756" i="2" s="1"/>
  <c r="EH51" i="1" a="1"/>
  <c r="EH51" i="1" s="1"/>
  <c r="EH54" i="1" a="1"/>
  <c r="EH54" i="1" s="1"/>
  <c r="EH57" i="1" a="1"/>
  <c r="EH57" i="1" s="1"/>
  <c r="EH34" i="1" a="1"/>
  <c r="EH34" i="1" s="1"/>
  <c r="X755" i="2" s="1"/>
  <c r="EH56" i="1" a="1"/>
  <c r="EH56" i="1" s="1"/>
  <c r="EH38" i="1" a="1"/>
  <c r="EH38" i="1" s="1"/>
  <c r="X759" i="2" s="1"/>
  <c r="EH44" i="1" a="1"/>
  <c r="EH44" i="1" s="1"/>
  <c r="EH45" i="1" a="1"/>
  <c r="EH45" i="1" s="1"/>
  <c r="EH52" i="1" a="1"/>
  <c r="EH52" i="1" s="1"/>
  <c r="EH55" i="1" a="1"/>
  <c r="EH55" i="1" s="1"/>
  <c r="EH58" i="1" a="1"/>
  <c r="EH58" i="1" s="1"/>
  <c r="EH25" i="1" a="1"/>
  <c r="EH25" i="1" s="1"/>
  <c r="X746" i="2" s="1"/>
  <c r="EH50" i="1" a="1"/>
  <c r="EH50" i="1" s="1"/>
  <c r="EH53" i="1" a="1"/>
  <c r="EH53" i="1" s="1"/>
  <c r="EH41" i="1" a="1"/>
  <c r="EH41" i="1" s="1"/>
  <c r="EE3" i="1" a="1"/>
  <c r="EE3" i="1" s="1"/>
  <c r="X544" i="2" s="1"/>
  <c r="EE6" i="1" a="1"/>
  <c r="EE6" i="1" s="1"/>
  <c r="X547" i="2" s="1"/>
  <c r="EE8" i="1" a="1"/>
  <c r="EE8" i="1" s="1"/>
  <c r="X549" i="2" s="1"/>
  <c r="EE10" i="1" a="1"/>
  <c r="EE10" i="1" s="1"/>
  <c r="X551" i="2" s="1"/>
  <c r="EE12" i="1" a="1"/>
  <c r="EE12" i="1" s="1"/>
  <c r="X553" i="2" s="1"/>
  <c r="EE15" i="1" a="1"/>
  <c r="EE15" i="1" s="1"/>
  <c r="X556" i="2" s="1"/>
  <c r="EE4" i="1" a="1"/>
  <c r="EE4" i="1" s="1"/>
  <c r="X545" i="2" s="1"/>
  <c r="EE39" i="1" a="1"/>
  <c r="EE39" i="1" s="1"/>
  <c r="EE40" i="1" a="1"/>
  <c r="EE40" i="1" s="1"/>
  <c r="EE43" i="1" a="1"/>
  <c r="EE43" i="1" s="1"/>
  <c r="EE14" i="1" a="1"/>
  <c r="EE14" i="1" s="1"/>
  <c r="X555" i="2" s="1"/>
  <c r="EE23" i="1" a="1"/>
  <c r="EE23" i="1" s="1"/>
  <c r="X564" i="2" s="1"/>
  <c r="EE26" i="1" a="1"/>
  <c r="EE26" i="1" s="1"/>
  <c r="X567" i="2" s="1"/>
  <c r="EE31" i="1" a="1"/>
  <c r="EE31" i="1" s="1"/>
  <c r="X572" i="2" s="1"/>
  <c r="EE46" i="1" a="1"/>
  <c r="EE46" i="1" s="1"/>
  <c r="EE44" i="1" a="1"/>
  <c r="EE44" i="1" s="1"/>
  <c r="EE5" i="1" a="1"/>
  <c r="EE5" i="1" s="1"/>
  <c r="X546" i="2" s="1"/>
  <c r="EE7" i="1" a="1"/>
  <c r="EE7" i="1" s="1"/>
  <c r="X548" i="2" s="1"/>
  <c r="EE9" i="1" a="1"/>
  <c r="EE9" i="1" s="1"/>
  <c r="X550" i="2" s="1"/>
  <c r="EE34" i="1" a="1"/>
  <c r="EE34" i="1" s="1"/>
  <c r="X575" i="2" s="1"/>
  <c r="EE47" i="1" a="1"/>
  <c r="EE47" i="1" s="1"/>
  <c r="EE36" i="1" a="1"/>
  <c r="EE36" i="1" s="1"/>
  <c r="X577" i="2" s="1"/>
  <c r="EE42" i="1" a="1"/>
  <c r="EE42" i="1" s="1"/>
  <c r="EE20" i="1" a="1"/>
  <c r="EE20" i="1" s="1"/>
  <c r="X561" i="2" s="1"/>
  <c r="EE50" i="1" a="1"/>
  <c r="EE50" i="1" s="1"/>
  <c r="EE45" i="1" a="1"/>
  <c r="EE45" i="1" s="1"/>
  <c r="EE48" i="1" a="1"/>
  <c r="EE48" i="1" s="1"/>
  <c r="EE53" i="1" a="1"/>
  <c r="EE53" i="1" s="1"/>
  <c r="EE56" i="1" a="1"/>
  <c r="EE56" i="1" s="1"/>
  <c r="EE52" i="1" a="1"/>
  <c r="EE52" i="1" s="1"/>
  <c r="EE49" i="1" a="1"/>
  <c r="EE49" i="1" s="1"/>
  <c r="EE51" i="1" a="1"/>
  <c r="EE51" i="1" s="1"/>
  <c r="EE54" i="1" a="1"/>
  <c r="EE54" i="1" s="1"/>
  <c r="EE55" i="1" a="1"/>
  <c r="EE55" i="1" s="1"/>
  <c r="EE21" i="1" a="1"/>
  <c r="EE21" i="1" s="1"/>
  <c r="X562" i="2" s="1"/>
  <c r="EE41" i="1" a="1"/>
  <c r="EE41" i="1" s="1"/>
  <c r="EE57" i="1" a="1"/>
  <c r="EE57" i="1" s="1"/>
  <c r="EE58" i="1" a="1"/>
  <c r="EE58" i="1" s="1"/>
  <c r="EE2" i="1" a="1"/>
  <c r="EE2" i="1" s="1"/>
  <c r="X543" i="2" s="1"/>
  <c r="EF14" i="1" a="1"/>
  <c r="EF14" i="1" s="1"/>
  <c r="EF17" i="1" a="1"/>
  <c r="EF17" i="1" s="1"/>
  <c r="X618" i="2" s="1"/>
  <c r="EF5" i="1" a="1"/>
  <c r="EF5" i="1" s="1"/>
  <c r="X606" i="2" s="1"/>
  <c r="EF11" i="1" a="1"/>
  <c r="EF11" i="1" s="1"/>
  <c r="EF28" i="1" a="1"/>
  <c r="EF28" i="1" s="1"/>
  <c r="X629" i="2" s="1"/>
  <c r="EF38" i="1" a="1"/>
  <c r="EF38" i="1" s="1"/>
  <c r="X639" i="2" s="1"/>
  <c r="EF45" i="1" a="1"/>
  <c r="EF45" i="1" s="1"/>
  <c r="EF48" i="1" a="1"/>
  <c r="EF48" i="1" s="1"/>
  <c r="EF29" i="1" a="1"/>
  <c r="EF29" i="1" s="1"/>
  <c r="X630" i="2" s="1"/>
  <c r="EF39" i="1" a="1"/>
  <c r="EF39" i="1" s="1"/>
  <c r="EF40" i="1" a="1"/>
  <c r="EF40" i="1" s="1"/>
  <c r="EF43" i="1" a="1"/>
  <c r="EF43" i="1" s="1"/>
  <c r="EF18" i="1" a="1"/>
  <c r="EF18" i="1" s="1"/>
  <c r="X619" i="2" s="1"/>
  <c r="EF20" i="1" a="1"/>
  <c r="EF20" i="1" s="1"/>
  <c r="X621" i="2" s="1"/>
  <c r="EF32" i="1" a="1"/>
  <c r="EF32" i="1" s="1"/>
  <c r="X633" i="2" s="1"/>
  <c r="EF33" i="1" a="1"/>
  <c r="EF33" i="1" s="1"/>
  <c r="X634" i="2" s="1"/>
  <c r="EF46" i="1" a="1"/>
  <c r="EF46" i="1" s="1"/>
  <c r="EF49" i="1" a="1"/>
  <c r="EF49" i="1" s="1"/>
  <c r="EF22" i="1" a="1"/>
  <c r="EF22" i="1" s="1"/>
  <c r="X623" i="2" s="1"/>
  <c r="EF25" i="1" a="1"/>
  <c r="EF25" i="1" s="1"/>
  <c r="X626" i="2" s="1"/>
  <c r="EF41" i="1" a="1"/>
  <c r="EF41" i="1" s="1"/>
  <c r="EF44" i="1" a="1"/>
  <c r="EF44" i="1" s="1"/>
  <c r="EF13" i="1" a="1"/>
  <c r="EF13" i="1" s="1"/>
  <c r="EF34" i="1" a="1"/>
  <c r="EF34" i="1" s="1"/>
  <c r="X635" i="2" s="1"/>
  <c r="EF35" i="1" a="1"/>
  <c r="EF35" i="1" s="1"/>
  <c r="X636" i="2" s="1"/>
  <c r="EF47" i="1" a="1"/>
  <c r="EF47" i="1" s="1"/>
  <c r="EF23" i="1" a="1"/>
  <c r="EF23" i="1" s="1"/>
  <c r="X624" i="2" s="1"/>
  <c r="EF30" i="1" a="1"/>
  <c r="EF30" i="1" s="1"/>
  <c r="X631" i="2" s="1"/>
  <c r="EF52" i="1" a="1"/>
  <c r="EF52" i="1" s="1"/>
  <c r="EF55" i="1" a="1"/>
  <c r="EF55" i="1" s="1"/>
  <c r="EF2" i="1" a="1"/>
  <c r="EF2" i="1" s="1"/>
  <c r="X603" i="2" s="1"/>
  <c r="EF21" i="1" a="1"/>
  <c r="EF21" i="1" s="1"/>
  <c r="X622" i="2" s="1"/>
  <c r="EF50" i="1" a="1"/>
  <c r="EF50" i="1" s="1"/>
  <c r="EF53" i="1" a="1"/>
  <c r="EF53" i="1" s="1"/>
  <c r="EF56" i="1" a="1"/>
  <c r="EF56" i="1" s="1"/>
  <c r="EF57" i="1" a="1"/>
  <c r="EF57" i="1" s="1"/>
  <c r="EF19" i="1" a="1"/>
  <c r="EF19" i="1" s="1"/>
  <c r="X620" i="2" s="1"/>
  <c r="EF37" i="1" a="1"/>
  <c r="EF37" i="1" s="1"/>
  <c r="X638" i="2" s="1"/>
  <c r="EF42" i="1" a="1"/>
  <c r="EF42" i="1" s="1"/>
  <c r="EF26" i="1" a="1"/>
  <c r="EF26" i="1" s="1"/>
  <c r="X627" i="2" s="1"/>
  <c r="EF27" i="1" a="1"/>
  <c r="EF27" i="1" s="1"/>
  <c r="X628" i="2" s="1"/>
  <c r="EF36" i="1" a="1"/>
  <c r="EF36" i="1" s="1"/>
  <c r="X637" i="2" s="1"/>
  <c r="EF51" i="1" a="1"/>
  <c r="EF51" i="1" s="1"/>
  <c r="EF24" i="1" a="1"/>
  <c r="EF24" i="1" s="1"/>
  <c r="X625" i="2" s="1"/>
  <c r="EF31" i="1" a="1"/>
  <c r="EF31" i="1" s="1"/>
  <c r="X632" i="2" s="1"/>
  <c r="EF54" i="1" a="1"/>
  <c r="EF54" i="1" s="1"/>
  <c r="EF58" i="1" a="1"/>
  <c r="EF58" i="1" s="1"/>
  <c r="S4" i="2"/>
  <c r="S251" i="2"/>
  <c r="S190" i="2"/>
  <c r="S252" i="2"/>
  <c r="S724" i="2"/>
  <c r="DY15" i="1" a="1"/>
  <c r="DY15" i="1" s="1"/>
  <c r="X196" i="2" s="1"/>
  <c r="DY4" i="1" a="1"/>
  <c r="DY4" i="1" s="1"/>
  <c r="DY5" i="1" a="1"/>
  <c r="DY5" i="1" s="1"/>
  <c r="DY7" i="1" a="1"/>
  <c r="DY7" i="1" s="1"/>
  <c r="DY9" i="1" a="1"/>
  <c r="DY9" i="1" s="1"/>
  <c r="X190" i="2" s="1"/>
  <c r="DY11" i="1" a="1"/>
  <c r="DY11" i="1" s="1"/>
  <c r="DY12" i="1" a="1"/>
  <c r="DY12" i="1" s="1"/>
  <c r="X193" i="2" s="1"/>
  <c r="DY14" i="1" a="1"/>
  <c r="DY14" i="1" s="1"/>
  <c r="X195" i="2" s="1"/>
  <c r="DY39" i="1" a="1"/>
  <c r="DY39" i="1" s="1"/>
  <c r="DY40" i="1" a="1"/>
  <c r="DY40" i="1" s="1"/>
  <c r="DY43" i="1" a="1"/>
  <c r="DY43" i="1" s="1"/>
  <c r="DY3" i="1" a="1"/>
  <c r="DY3" i="1" s="1"/>
  <c r="X184" i="2" s="1"/>
  <c r="DY13" i="1" a="1"/>
  <c r="DY13" i="1" s="1"/>
  <c r="DY23" i="1" a="1"/>
  <c r="DY23" i="1" s="1"/>
  <c r="X204" i="2" s="1"/>
  <c r="DY24" i="1" a="1"/>
  <c r="DY24" i="1" s="1"/>
  <c r="X205" i="2" s="1"/>
  <c r="DY31" i="1" a="1"/>
  <c r="DY31" i="1" s="1"/>
  <c r="X212" i="2" s="1"/>
  <c r="DY33" i="1" a="1"/>
  <c r="DY33" i="1" s="1"/>
  <c r="X214" i="2" s="1"/>
  <c r="DY34" i="1" a="1"/>
  <c r="DY34" i="1" s="1"/>
  <c r="X215" i="2" s="1"/>
  <c r="DY41" i="1" a="1"/>
  <c r="DY41" i="1" s="1"/>
  <c r="DY44" i="1" a="1"/>
  <c r="DY44" i="1" s="1"/>
  <c r="DY47" i="1" a="1"/>
  <c r="DY47" i="1" s="1"/>
  <c r="DY8" i="1" a="1"/>
  <c r="DY8" i="1" s="1"/>
  <c r="DY22" i="1" a="1"/>
  <c r="DY22" i="1" s="1"/>
  <c r="X203" i="2" s="1"/>
  <c r="DY49" i="1" a="1"/>
  <c r="DY49" i="1" s="1"/>
  <c r="DY55" i="1" a="1"/>
  <c r="DY55" i="1" s="1"/>
  <c r="DY58" i="1" a="1"/>
  <c r="DY58" i="1" s="1"/>
  <c r="DY37" i="1" a="1"/>
  <c r="DY37" i="1" s="1"/>
  <c r="X218" i="2" s="1"/>
  <c r="DY10" i="1" a="1"/>
  <c r="DY10" i="1" s="1"/>
  <c r="DY36" i="1" a="1"/>
  <c r="DY36" i="1" s="1"/>
  <c r="X217" i="2" s="1"/>
  <c r="DY42" i="1" a="1"/>
  <c r="DY42" i="1" s="1"/>
  <c r="DY50" i="1" a="1"/>
  <c r="DY50" i="1" s="1"/>
  <c r="DY53" i="1" a="1"/>
  <c r="DY53" i="1" s="1"/>
  <c r="DY56" i="1" a="1"/>
  <c r="DY56" i="1" s="1"/>
  <c r="DY6" i="1" a="1"/>
  <c r="DY6" i="1" s="1"/>
  <c r="X187" i="2" s="1"/>
  <c r="DY46" i="1" a="1"/>
  <c r="DY46" i="1" s="1"/>
  <c r="DY52" i="1" a="1"/>
  <c r="DY52" i="1" s="1"/>
  <c r="DY45" i="1" a="1"/>
  <c r="DY45" i="1" s="1"/>
  <c r="DY51" i="1" a="1"/>
  <c r="DY51" i="1" s="1"/>
  <c r="DY54" i="1" a="1"/>
  <c r="DY54" i="1" s="1"/>
  <c r="DY57" i="1" a="1"/>
  <c r="DY57" i="1" s="1"/>
  <c r="DY48" i="1" a="1"/>
  <c r="DY48" i="1" s="1"/>
  <c r="DY29" i="1" a="1"/>
  <c r="DY29" i="1" s="1"/>
  <c r="X210" i="2" s="1"/>
  <c r="DY2" i="1" a="1"/>
  <c r="DY2" i="1" s="1"/>
  <c r="DW3" i="1" a="1"/>
  <c r="DW3" i="1" s="1"/>
  <c r="X64" i="2" s="1"/>
  <c r="DW4" i="1" a="1"/>
  <c r="DW4" i="1" s="1"/>
  <c r="DW5" i="1" a="1"/>
  <c r="DW5" i="1" s="1"/>
  <c r="X66" i="2" s="1"/>
  <c r="DW8" i="1" a="1"/>
  <c r="DW8" i="1" s="1"/>
  <c r="DW13" i="1" a="1"/>
  <c r="DW13" i="1" s="1"/>
  <c r="X74" i="2" s="1"/>
  <c r="DW14" i="1" a="1"/>
  <c r="DW14" i="1" s="1"/>
  <c r="X75" i="2" s="1"/>
  <c r="DW17" i="1" a="1"/>
  <c r="DW17" i="1" s="1"/>
  <c r="X78" i="2" s="1"/>
  <c r="DW18" i="1" a="1"/>
  <c r="DW18" i="1" s="1"/>
  <c r="X79" i="2" s="1"/>
  <c r="DW49" i="1" a="1"/>
  <c r="DW49" i="1" s="1"/>
  <c r="DW31" i="1" a="1"/>
  <c r="DW31" i="1" s="1"/>
  <c r="X92" i="2" s="1"/>
  <c r="DW41" i="1" a="1"/>
  <c r="DW41" i="1" s="1"/>
  <c r="DW44" i="1" a="1"/>
  <c r="DW44" i="1" s="1"/>
  <c r="DW7" i="1" a="1"/>
  <c r="DW7" i="1" s="1"/>
  <c r="DW9" i="1" a="1"/>
  <c r="DW9" i="1" s="1"/>
  <c r="DW11" i="1" a="1"/>
  <c r="DW11" i="1" s="1"/>
  <c r="DW27" i="1" a="1"/>
  <c r="DW27" i="1" s="1"/>
  <c r="X88" i="2" s="1"/>
  <c r="DW35" i="1" a="1"/>
  <c r="DW35" i="1" s="1"/>
  <c r="X96" i="2" s="1"/>
  <c r="DW36" i="1" a="1"/>
  <c r="DW36" i="1" s="1"/>
  <c r="X97" i="2" s="1"/>
  <c r="DW45" i="1" a="1"/>
  <c r="DW45" i="1" s="1"/>
  <c r="DW22" i="1" a="1"/>
  <c r="DW22" i="1" s="1"/>
  <c r="X83" i="2" s="1"/>
  <c r="DW42" i="1" a="1"/>
  <c r="DW42" i="1" s="1"/>
  <c r="DW26" i="1" a="1"/>
  <c r="DW26" i="1" s="1"/>
  <c r="X87" i="2" s="1"/>
  <c r="DW48" i="1" a="1"/>
  <c r="DW48" i="1" s="1"/>
  <c r="DW50" i="1" a="1"/>
  <c r="DW50" i="1" s="1"/>
  <c r="DW53" i="1" a="1"/>
  <c r="DW53" i="1" s="1"/>
  <c r="DW56" i="1" a="1"/>
  <c r="DW56" i="1" s="1"/>
  <c r="DW10" i="1" a="1"/>
  <c r="DW10" i="1" s="1"/>
  <c r="DW19" i="1" a="1"/>
  <c r="DW19" i="1" s="1"/>
  <c r="X80" i="2" s="1"/>
  <c r="DW51" i="1" a="1"/>
  <c r="DW51" i="1" s="1"/>
  <c r="DW54" i="1" a="1"/>
  <c r="DW54" i="1" s="1"/>
  <c r="DW28" i="1" a="1"/>
  <c r="DW28" i="1" s="1"/>
  <c r="X89" i="2" s="1"/>
  <c r="DW33" i="1" a="1"/>
  <c r="DW33" i="1" s="1"/>
  <c r="X94" i="2" s="1"/>
  <c r="DW43" i="1" a="1"/>
  <c r="DW43" i="1" s="1"/>
  <c r="DW2" i="1" a="1"/>
  <c r="DW2" i="1" s="1"/>
  <c r="DW12" i="1" a="1"/>
  <c r="DW12" i="1" s="1"/>
  <c r="DW40" i="1" a="1"/>
  <c r="DW40" i="1" s="1"/>
  <c r="DW57" i="1" a="1"/>
  <c r="DW57" i="1" s="1"/>
  <c r="DW47" i="1" a="1"/>
  <c r="DW47" i="1" s="1"/>
  <c r="DW6" i="1" a="1"/>
  <c r="DW6" i="1" s="1"/>
  <c r="X67" i="2" s="1"/>
  <c r="DW39" i="1" a="1"/>
  <c r="DW39" i="1" s="1"/>
  <c r="DW46" i="1" a="1"/>
  <c r="DW46" i="1" s="1"/>
  <c r="DW52" i="1" a="1"/>
  <c r="DW52" i="1" s="1"/>
  <c r="DW55" i="1" a="1"/>
  <c r="DW55" i="1" s="1"/>
  <c r="DW58" i="1" a="1"/>
  <c r="DW58" i="1" s="1"/>
  <c r="EB7" i="1" a="1"/>
  <c r="EB7" i="1" s="1"/>
  <c r="X368" i="2" s="1"/>
  <c r="EB9" i="1" a="1"/>
  <c r="EB9" i="1" s="1"/>
  <c r="X370" i="2" s="1"/>
  <c r="EB11" i="1" a="1"/>
  <c r="EB11" i="1" s="1"/>
  <c r="X372" i="2" s="1"/>
  <c r="EB6" i="1" a="1"/>
  <c r="EB6" i="1" s="1"/>
  <c r="X367" i="2" s="1"/>
  <c r="EB8" i="1" a="1"/>
  <c r="EB8" i="1" s="1"/>
  <c r="X369" i="2" s="1"/>
  <c r="EB10" i="1" a="1"/>
  <c r="EB10" i="1" s="1"/>
  <c r="X371" i="2" s="1"/>
  <c r="EB12" i="1" a="1"/>
  <c r="EB12" i="1" s="1"/>
  <c r="X373" i="2" s="1"/>
  <c r="EB13" i="1" a="1"/>
  <c r="EB13" i="1" s="1"/>
  <c r="X374" i="2" s="1"/>
  <c r="EB16" i="1" a="1"/>
  <c r="EB16" i="1" s="1"/>
  <c r="X377" i="2" s="1"/>
  <c r="EB17" i="1" a="1"/>
  <c r="EB17" i="1" s="1"/>
  <c r="X378" i="2" s="1"/>
  <c r="EB4" i="1" a="1"/>
  <c r="EB4" i="1" s="1"/>
  <c r="X365" i="2" s="1"/>
  <c r="EB5" i="1" a="1"/>
  <c r="EB5" i="1" s="1"/>
  <c r="X366" i="2" s="1"/>
  <c r="EB14" i="1" a="1"/>
  <c r="EB14" i="1" s="1"/>
  <c r="X375" i="2" s="1"/>
  <c r="EB34" i="1" a="1"/>
  <c r="EB34" i="1" s="1"/>
  <c r="X395" i="2" s="1"/>
  <c r="EB44" i="1" a="1"/>
  <c r="EB44" i="1" s="1"/>
  <c r="EB47" i="1" a="1"/>
  <c r="EB47" i="1" s="1"/>
  <c r="EB3" i="1" a="1"/>
  <c r="EB3" i="1" s="1"/>
  <c r="X364" i="2" s="1"/>
  <c r="EB37" i="1" a="1"/>
  <c r="EB37" i="1" s="1"/>
  <c r="X398" i="2" s="1"/>
  <c r="EB45" i="1" a="1"/>
  <c r="EB45" i="1" s="1"/>
  <c r="EB48" i="1" a="1"/>
  <c r="EB48" i="1" s="1"/>
  <c r="EB26" i="1" a="1"/>
  <c r="EB26" i="1" s="1"/>
  <c r="X387" i="2" s="1"/>
  <c r="EB28" i="1" a="1"/>
  <c r="EB28" i="1" s="1"/>
  <c r="X389" i="2" s="1"/>
  <c r="EB40" i="1" a="1"/>
  <c r="EB40" i="1" s="1"/>
  <c r="EB39" i="1" a="1"/>
  <c r="EB39" i="1" s="1"/>
  <c r="EB43" i="1" a="1"/>
  <c r="EB43" i="1" s="1"/>
  <c r="EB51" i="1" a="1"/>
  <c r="EB51" i="1" s="1"/>
  <c r="EB49" i="1" a="1"/>
  <c r="EB49" i="1" s="1"/>
  <c r="EB54" i="1" a="1"/>
  <c r="EB54" i="1" s="1"/>
  <c r="EB46" i="1" a="1"/>
  <c r="EB46" i="1" s="1"/>
  <c r="EB25" i="1" a="1"/>
  <c r="EB25" i="1" s="1"/>
  <c r="X386" i="2" s="1"/>
  <c r="EB42" i="1" a="1"/>
  <c r="EB42" i="1" s="1"/>
  <c r="EB52" i="1" a="1"/>
  <c r="EB52" i="1" s="1"/>
  <c r="EB55" i="1" a="1"/>
  <c r="EB55" i="1" s="1"/>
  <c r="EB50" i="1" a="1"/>
  <c r="EB50" i="1" s="1"/>
  <c r="EB53" i="1" a="1"/>
  <c r="EB53" i="1" s="1"/>
  <c r="EB41" i="1" a="1"/>
  <c r="EB41" i="1" s="1"/>
  <c r="EB58" i="1" a="1"/>
  <c r="EB58" i="1" s="1"/>
  <c r="EB23" i="1" a="1"/>
  <c r="EB23" i="1" s="1"/>
  <c r="X384" i="2" s="1"/>
  <c r="EB2" i="1" a="1"/>
  <c r="EB2" i="1" s="1"/>
  <c r="X363" i="2" s="1"/>
  <c r="EB56" i="1" a="1"/>
  <c r="EB56" i="1" s="1"/>
  <c r="EB57" i="1" a="1"/>
  <c r="EB57" i="1" s="1"/>
  <c r="S794" i="2"/>
  <c r="S789" i="2"/>
  <c r="S64" i="2"/>
  <c r="S15" i="2"/>
  <c r="S784" i="2"/>
  <c r="S613" i="2"/>
  <c r="S485" i="2"/>
  <c r="S733" i="2"/>
  <c r="EA6" i="1" a="1"/>
  <c r="EA6" i="1" s="1"/>
  <c r="X307" i="2" s="1"/>
  <c r="EA8" i="1" a="1"/>
  <c r="EA8" i="1" s="1"/>
  <c r="EA10" i="1" a="1"/>
  <c r="EA10" i="1" s="1"/>
  <c r="X311" i="2" s="1"/>
  <c r="EA12" i="1" a="1"/>
  <c r="EA12" i="1" s="1"/>
  <c r="X313" i="2" s="1"/>
  <c r="EA13" i="1" a="1"/>
  <c r="EA13" i="1" s="1"/>
  <c r="X314" i="2" s="1"/>
  <c r="EA14" i="1" a="1"/>
  <c r="EA14" i="1" s="1"/>
  <c r="X315" i="2" s="1"/>
  <c r="EA20" i="1" a="1"/>
  <c r="EA20" i="1" s="1"/>
  <c r="X321" i="2" s="1"/>
  <c r="EA3" i="1" a="1"/>
  <c r="EA3" i="1" s="1"/>
  <c r="X304" i="2" s="1"/>
  <c r="EA7" i="1" a="1"/>
  <c r="EA7" i="1" s="1"/>
  <c r="X308" i="2" s="1"/>
  <c r="EA9" i="1" a="1"/>
  <c r="EA9" i="1" s="1"/>
  <c r="X310" i="2" s="1"/>
  <c r="EA11" i="1" a="1"/>
  <c r="EA11" i="1" s="1"/>
  <c r="X312" i="2" s="1"/>
  <c r="EA16" i="1" a="1"/>
  <c r="EA16" i="1" s="1"/>
  <c r="X317" i="2" s="1"/>
  <c r="EA27" i="1" a="1"/>
  <c r="EA27" i="1" s="1"/>
  <c r="X328" i="2" s="1"/>
  <c r="EA35" i="1" a="1"/>
  <c r="EA35" i="1" s="1"/>
  <c r="X336" i="2" s="1"/>
  <c r="EA42" i="1" a="1"/>
  <c r="EA42" i="1" s="1"/>
  <c r="EA45" i="1" a="1"/>
  <c r="EA45" i="1" s="1"/>
  <c r="EA5" i="1" a="1"/>
  <c r="EA5" i="1" s="1"/>
  <c r="X306" i="2" s="1"/>
  <c r="EA21" i="1" a="1"/>
  <c r="EA21" i="1" s="1"/>
  <c r="X322" i="2" s="1"/>
  <c r="EA26" i="1" a="1"/>
  <c r="EA26" i="1" s="1"/>
  <c r="X327" i="2" s="1"/>
  <c r="EA28" i="1" a="1"/>
  <c r="EA28" i="1" s="1"/>
  <c r="X329" i="2" s="1"/>
  <c r="EA39" i="1" a="1"/>
  <c r="EA39" i="1" s="1"/>
  <c r="EA40" i="1" a="1"/>
  <c r="EA40" i="1" s="1"/>
  <c r="EA29" i="1" a="1"/>
  <c r="EA29" i="1" s="1"/>
  <c r="X330" i="2" s="1"/>
  <c r="EA43" i="1" a="1"/>
  <c r="EA43" i="1" s="1"/>
  <c r="EA46" i="1" a="1"/>
  <c r="EA46" i="1" s="1"/>
  <c r="EA24" i="1" a="1"/>
  <c r="EA24" i="1" s="1"/>
  <c r="X325" i="2" s="1"/>
  <c r="EA30" i="1" a="1"/>
  <c r="EA30" i="1" s="1"/>
  <c r="X331" i="2" s="1"/>
  <c r="EA31" i="1" a="1"/>
  <c r="EA31" i="1" s="1"/>
  <c r="X332" i="2" s="1"/>
  <c r="EA49" i="1" a="1"/>
  <c r="EA49" i="1" s="1"/>
  <c r="EA33" i="1" a="1"/>
  <c r="EA33" i="1" s="1"/>
  <c r="X334" i="2" s="1"/>
  <c r="EA38" i="1" a="1"/>
  <c r="EA38" i="1" s="1"/>
  <c r="X339" i="2" s="1"/>
  <c r="EA48" i="1" a="1"/>
  <c r="EA48" i="1" s="1"/>
  <c r="EA57" i="1" a="1"/>
  <c r="EA57" i="1" s="1"/>
  <c r="EA44" i="1" a="1"/>
  <c r="EA44" i="1" s="1"/>
  <c r="EA25" i="1" a="1"/>
  <c r="EA25" i="1" s="1"/>
  <c r="X326" i="2" s="1"/>
  <c r="EA37" i="1" a="1"/>
  <c r="EA37" i="1" s="1"/>
  <c r="X338" i="2" s="1"/>
  <c r="EA52" i="1" a="1"/>
  <c r="EA52" i="1" s="1"/>
  <c r="EA55" i="1" a="1"/>
  <c r="EA55" i="1" s="1"/>
  <c r="EA58" i="1" a="1"/>
  <c r="EA58" i="1" s="1"/>
  <c r="EA47" i="1" a="1"/>
  <c r="EA47" i="1" s="1"/>
  <c r="EA51" i="1" a="1"/>
  <c r="EA51" i="1" s="1"/>
  <c r="EA41" i="1" a="1"/>
  <c r="EA41" i="1" s="1"/>
  <c r="EA4" i="1" a="1"/>
  <c r="EA4" i="1" s="1"/>
  <c r="X305" i="2" s="1"/>
  <c r="EA50" i="1" a="1"/>
  <c r="EA50" i="1" s="1"/>
  <c r="EA2" i="1" a="1"/>
  <c r="EA2" i="1" s="1"/>
  <c r="X303" i="2" s="1"/>
  <c r="EA53" i="1" a="1"/>
  <c r="EA53" i="1" s="1"/>
  <c r="EA56" i="1" a="1"/>
  <c r="EA56" i="1" s="1"/>
  <c r="EA54" i="1" a="1"/>
  <c r="EA54" i="1" s="1"/>
  <c r="DZ14" i="1" a="1"/>
  <c r="DZ14" i="1" s="1"/>
  <c r="DZ15" i="1" a="1"/>
  <c r="DZ15" i="1" s="1"/>
  <c r="X256" i="2" s="1"/>
  <c r="DZ18" i="1" a="1"/>
  <c r="DZ18" i="1" s="1"/>
  <c r="X259" i="2" s="1"/>
  <c r="DZ3" i="1" a="1"/>
  <c r="DZ3" i="1" s="1"/>
  <c r="DZ22" i="1" a="1"/>
  <c r="DZ22" i="1" s="1"/>
  <c r="X263" i="2" s="1"/>
  <c r="DZ4" i="1" a="1"/>
  <c r="DZ4" i="1" s="1"/>
  <c r="DZ5" i="1" a="1"/>
  <c r="DZ5" i="1" s="1"/>
  <c r="DZ6" i="1" a="1"/>
  <c r="DZ6" i="1" s="1"/>
  <c r="X247" i="2" s="1"/>
  <c r="DZ8" i="1" a="1"/>
  <c r="DZ8" i="1" s="1"/>
  <c r="DZ10" i="1" a="1"/>
  <c r="DZ10" i="1" s="1"/>
  <c r="X251" i="2" s="1"/>
  <c r="DZ12" i="1" a="1"/>
  <c r="DZ12" i="1" s="1"/>
  <c r="DZ13" i="1" a="1"/>
  <c r="DZ13" i="1" s="1"/>
  <c r="DZ42" i="1" a="1"/>
  <c r="DZ42" i="1" s="1"/>
  <c r="DZ45" i="1" a="1"/>
  <c r="DZ45" i="1" s="1"/>
  <c r="DZ26" i="1" a="1"/>
  <c r="DZ26" i="1" s="1"/>
  <c r="X267" i="2" s="1"/>
  <c r="DZ37" i="1" a="1"/>
  <c r="DZ37" i="1" s="1"/>
  <c r="X278" i="2" s="1"/>
  <c r="DZ7" i="1" a="1"/>
  <c r="DZ7" i="1" s="1"/>
  <c r="DZ9" i="1" a="1"/>
  <c r="DZ9" i="1" s="1"/>
  <c r="DZ11" i="1" a="1"/>
  <c r="DZ11" i="1" s="1"/>
  <c r="X252" i="2" s="1"/>
  <c r="DZ43" i="1" a="1"/>
  <c r="DZ43" i="1" s="1"/>
  <c r="DZ46" i="1" a="1"/>
  <c r="DZ46" i="1" s="1"/>
  <c r="DZ49" i="1" a="1"/>
  <c r="DZ49" i="1" s="1"/>
  <c r="DZ24" i="1" a="1"/>
  <c r="DZ24" i="1" s="1"/>
  <c r="X265" i="2" s="1"/>
  <c r="DZ31" i="1" a="1"/>
  <c r="DZ31" i="1" s="1"/>
  <c r="X272" i="2" s="1"/>
  <c r="DZ32" i="1" a="1"/>
  <c r="DZ32" i="1" s="1"/>
  <c r="X273" i="2" s="1"/>
  <c r="DZ33" i="1" a="1"/>
  <c r="DZ33" i="1" s="1"/>
  <c r="X274" i="2" s="1"/>
  <c r="DZ41" i="1" a="1"/>
  <c r="DZ41" i="1" s="1"/>
  <c r="DZ44" i="1" a="1"/>
  <c r="DZ44" i="1" s="1"/>
  <c r="DZ52" i="1" a="1"/>
  <c r="DZ52" i="1" s="1"/>
  <c r="DZ27" i="1" a="1"/>
  <c r="DZ27" i="1" s="1"/>
  <c r="X268" i="2" s="1"/>
  <c r="DZ39" i="1" a="1"/>
  <c r="DZ39" i="1" s="1"/>
  <c r="DZ51" i="1" a="1"/>
  <c r="DZ51" i="1" s="1"/>
  <c r="DZ54" i="1" a="1"/>
  <c r="DZ54" i="1" s="1"/>
  <c r="DZ19" i="1" a="1"/>
  <c r="DZ19" i="1" s="1"/>
  <c r="X260" i="2" s="1"/>
  <c r="DZ36" i="1" a="1"/>
  <c r="DZ36" i="1" s="1"/>
  <c r="X277" i="2" s="1"/>
  <c r="DZ50" i="1" a="1"/>
  <c r="DZ50" i="1" s="1"/>
  <c r="DZ53" i="1" a="1"/>
  <c r="DZ53" i="1" s="1"/>
  <c r="DZ40" i="1" a="1"/>
  <c r="DZ40" i="1" s="1"/>
  <c r="DZ56" i="1" a="1"/>
  <c r="DZ56" i="1" s="1"/>
  <c r="DZ47" i="1" a="1"/>
  <c r="DZ47" i="1" s="1"/>
  <c r="DZ57" i="1" a="1"/>
  <c r="DZ57" i="1" s="1"/>
  <c r="DZ48" i="1" a="1"/>
  <c r="DZ48" i="1" s="1"/>
  <c r="DZ55" i="1" a="1"/>
  <c r="DZ55" i="1" s="1"/>
  <c r="DZ58" i="1" a="1"/>
  <c r="DZ58" i="1" s="1"/>
  <c r="ED5" i="1" a="1"/>
  <c r="ED5" i="1" s="1"/>
  <c r="X486" i="2" s="1"/>
  <c r="ED4" i="1" a="1"/>
  <c r="ED4" i="1" s="1"/>
  <c r="ED9" i="1" a="1"/>
  <c r="ED9" i="1" s="1"/>
  <c r="X490" i="2" s="1"/>
  <c r="ED11" i="1" a="1"/>
  <c r="ED11" i="1" s="1"/>
  <c r="X492" i="2" s="1"/>
  <c r="ED12" i="1" a="1"/>
  <c r="ED12" i="1" s="1"/>
  <c r="X493" i="2" s="1"/>
  <c r="ED14" i="1" a="1"/>
  <c r="ED14" i="1" s="1"/>
  <c r="X495" i="2" s="1"/>
  <c r="ED16" i="1" a="1"/>
  <c r="ED16" i="1" s="1"/>
  <c r="X497" i="2" s="1"/>
  <c r="ED18" i="1" a="1"/>
  <c r="ED18" i="1" s="1"/>
  <c r="X499" i="2" s="1"/>
  <c r="ED6" i="1" a="1"/>
  <c r="ED6" i="1" s="1"/>
  <c r="X487" i="2" s="1"/>
  <c r="ED8" i="1" a="1"/>
  <c r="ED8" i="1" s="1"/>
  <c r="X489" i="2" s="1"/>
  <c r="ED10" i="1" a="1"/>
  <c r="ED10" i="1" s="1"/>
  <c r="X491" i="2" s="1"/>
  <c r="ED17" i="1" a="1"/>
  <c r="ED17" i="1" s="1"/>
  <c r="X498" i="2" s="1"/>
  <c r="ED23" i="1" a="1"/>
  <c r="ED23" i="1" s="1"/>
  <c r="X504" i="2" s="1"/>
  <c r="ED24" i="1" a="1"/>
  <c r="ED24" i="1" s="1"/>
  <c r="X505" i="2" s="1"/>
  <c r="ED30" i="1" a="1"/>
  <c r="ED30" i="1" s="1"/>
  <c r="X511" i="2" s="1"/>
  <c r="ED31" i="1" a="1"/>
  <c r="ED31" i="1" s="1"/>
  <c r="X512" i="2" s="1"/>
  <c r="ED46" i="1" a="1"/>
  <c r="ED46" i="1" s="1"/>
  <c r="ED49" i="1" a="1"/>
  <c r="ED49" i="1" s="1"/>
  <c r="ED22" i="1" a="1"/>
  <c r="ED22" i="1" s="1"/>
  <c r="X503" i="2" s="1"/>
  <c r="ED25" i="1" a="1"/>
  <c r="ED25" i="1" s="1"/>
  <c r="X506" i="2" s="1"/>
  <c r="ED32" i="1" a="1"/>
  <c r="ED32" i="1" s="1"/>
  <c r="X513" i="2" s="1"/>
  <c r="ED41" i="1" a="1"/>
  <c r="ED41" i="1" s="1"/>
  <c r="ED35" i="1" a="1"/>
  <c r="ED35" i="1" s="1"/>
  <c r="X516" i="2" s="1"/>
  <c r="ED47" i="1" a="1"/>
  <c r="ED47" i="1" s="1"/>
  <c r="ED42" i="1" a="1"/>
  <c r="ED42" i="1" s="1"/>
  <c r="ED21" i="1" a="1"/>
  <c r="ED21" i="1" s="1"/>
  <c r="X502" i="2" s="1"/>
  <c r="ED37" i="1" a="1"/>
  <c r="ED37" i="1" s="1"/>
  <c r="X518" i="2" s="1"/>
  <c r="ED38" i="1" a="1"/>
  <c r="ED38" i="1" s="1"/>
  <c r="X519" i="2" s="1"/>
  <c r="ED45" i="1" a="1"/>
  <c r="ED45" i="1" s="1"/>
  <c r="ED39" i="1" a="1"/>
  <c r="ED39" i="1" s="1"/>
  <c r="ED50" i="1" a="1"/>
  <c r="ED50" i="1" s="1"/>
  <c r="ED53" i="1" a="1"/>
  <c r="ED53" i="1" s="1"/>
  <c r="ED2" i="1" a="1"/>
  <c r="ED2" i="1" s="1"/>
  <c r="X483" i="2" s="1"/>
  <c r="ED48" i="1" a="1"/>
  <c r="ED48" i="1" s="1"/>
  <c r="ED28" i="1" a="1"/>
  <c r="ED28" i="1" s="1"/>
  <c r="X509" i="2" s="1"/>
  <c r="ED44" i="1" a="1"/>
  <c r="ED44" i="1" s="1"/>
  <c r="ED55" i="1" a="1"/>
  <c r="ED55" i="1" s="1"/>
  <c r="ED43" i="1" a="1"/>
  <c r="ED43" i="1" s="1"/>
  <c r="ED51" i="1" a="1"/>
  <c r="ED51" i="1" s="1"/>
  <c r="ED54" i="1" a="1"/>
  <c r="ED54" i="1" s="1"/>
  <c r="ED57" i="1" a="1"/>
  <c r="ED57" i="1" s="1"/>
  <c r="ED52" i="1" a="1"/>
  <c r="ED52" i="1" s="1"/>
  <c r="ED56" i="1" a="1"/>
  <c r="ED56" i="1" s="1"/>
  <c r="ED40" i="1" a="1"/>
  <c r="ED40" i="1" s="1"/>
  <c r="ED58" i="1" a="1"/>
  <c r="ED58" i="1" s="1"/>
  <c r="BB3" i="1"/>
  <c r="DX3" i="1" s="1" a="1"/>
  <c r="DX3" i="1" s="1"/>
  <c r="X124" i="2" s="1"/>
  <c r="EG15" i="1" a="1"/>
  <c r="EG15" i="1" s="1"/>
  <c r="X676" i="2" s="1"/>
  <c r="EG16" i="1" a="1"/>
  <c r="EG16" i="1" s="1"/>
  <c r="X677" i="2" s="1"/>
  <c r="EG22" i="1" a="1"/>
  <c r="EG22" i="1" s="1"/>
  <c r="X683" i="2" s="1"/>
  <c r="EG3" i="1" a="1"/>
  <c r="EG3" i="1" s="1"/>
  <c r="EG5" i="1" a="1"/>
  <c r="EG5" i="1" s="1"/>
  <c r="X666" i="2" s="1"/>
  <c r="EG12" i="1" a="1"/>
  <c r="EG12" i="1" s="1"/>
  <c r="EG13" i="1" a="1"/>
  <c r="EG13" i="1" s="1"/>
  <c r="EG19" i="1" a="1"/>
  <c r="EG19" i="1" s="1"/>
  <c r="X680" i="2" s="1"/>
  <c r="EG21" i="1" a="1"/>
  <c r="EG21" i="1" s="1"/>
  <c r="X682" i="2" s="1"/>
  <c r="EG27" i="1" a="1"/>
  <c r="EG27" i="1" s="1"/>
  <c r="X688" i="2" s="1"/>
  <c r="EG36" i="1" a="1"/>
  <c r="EG36" i="1" s="1"/>
  <c r="X697" i="2" s="1"/>
  <c r="EG37" i="1" a="1"/>
  <c r="EG37" i="1" s="1"/>
  <c r="X698" i="2" s="1"/>
  <c r="EG42" i="1" a="1"/>
  <c r="EG42" i="1" s="1"/>
  <c r="EG38" i="1" a="1"/>
  <c r="EG38" i="1" s="1"/>
  <c r="X699" i="2" s="1"/>
  <c r="EG45" i="1" a="1"/>
  <c r="EG45" i="1" s="1"/>
  <c r="EG23" i="1" a="1"/>
  <c r="EG23" i="1" s="1"/>
  <c r="X684" i="2" s="1"/>
  <c r="EG24" i="1" a="1"/>
  <c r="EG24" i="1" s="1"/>
  <c r="X685" i="2" s="1"/>
  <c r="EG30" i="1" a="1"/>
  <c r="EG30" i="1" s="1"/>
  <c r="X691" i="2" s="1"/>
  <c r="EG31" i="1" a="1"/>
  <c r="EG31" i="1" s="1"/>
  <c r="X692" i="2" s="1"/>
  <c r="EG18" i="1" a="1"/>
  <c r="EG18" i="1" s="1"/>
  <c r="X679" i="2" s="1"/>
  <c r="EG20" i="1" a="1"/>
  <c r="EG20" i="1" s="1"/>
  <c r="X681" i="2" s="1"/>
  <c r="EG26" i="1" a="1"/>
  <c r="EG26" i="1" s="1"/>
  <c r="X687" i="2" s="1"/>
  <c r="EG32" i="1" a="1"/>
  <c r="EG32" i="1" s="1"/>
  <c r="X693" i="2" s="1"/>
  <c r="EG33" i="1" a="1"/>
  <c r="EG33" i="1" s="1"/>
  <c r="X694" i="2" s="1"/>
  <c r="EG46" i="1" a="1"/>
  <c r="EG46" i="1" s="1"/>
  <c r="EG49" i="1" a="1"/>
  <c r="EG49" i="1" s="1"/>
  <c r="EG25" i="1" a="1"/>
  <c r="EG25" i="1" s="1"/>
  <c r="X686" i="2" s="1"/>
  <c r="EG41" i="1" a="1"/>
  <c r="EG41" i="1" s="1"/>
  <c r="EG44" i="1" a="1"/>
  <c r="EG44" i="1" s="1"/>
  <c r="EG34" i="1" a="1"/>
  <c r="EG34" i="1" s="1"/>
  <c r="X695" i="2" s="1"/>
  <c r="EG39" i="1" a="1"/>
  <c r="EG39" i="1" s="1"/>
  <c r="EG52" i="1" a="1"/>
  <c r="EG52" i="1" s="1"/>
  <c r="EG29" i="1" a="1"/>
  <c r="EG29" i="1" s="1"/>
  <c r="X690" i="2" s="1"/>
  <c r="EG47" i="1" a="1"/>
  <c r="EG47" i="1" s="1"/>
  <c r="EG55" i="1" a="1"/>
  <c r="EG55" i="1" s="1"/>
  <c r="EG58" i="1" a="1"/>
  <c r="EG58" i="1" s="1"/>
  <c r="EG35" i="1" a="1"/>
  <c r="EG35" i="1" s="1"/>
  <c r="X696" i="2" s="1"/>
  <c r="EG40" i="1" a="1"/>
  <c r="EG40" i="1" s="1"/>
  <c r="EG48" i="1" a="1"/>
  <c r="EG48" i="1" s="1"/>
  <c r="EG54" i="1" a="1"/>
  <c r="EG54" i="1" s="1"/>
  <c r="EG57" i="1" a="1"/>
  <c r="EG57" i="1" s="1"/>
  <c r="EG28" i="1" a="1"/>
  <c r="EG28" i="1" s="1"/>
  <c r="X689" i="2" s="1"/>
  <c r="EG43" i="1" a="1"/>
  <c r="EG43" i="1" s="1"/>
  <c r="EG50" i="1" a="1"/>
  <c r="EG50" i="1" s="1"/>
  <c r="EG53" i="1" a="1"/>
  <c r="EG53" i="1" s="1"/>
  <c r="EG56" i="1" a="1"/>
  <c r="EG56" i="1" s="1"/>
  <c r="EG51" i="1" a="1"/>
  <c r="EG51" i="1" s="1"/>
  <c r="S673" i="2"/>
  <c r="S604" i="2"/>
  <c r="S13" i="2"/>
  <c r="S128" i="2"/>
  <c r="S12" i="2"/>
  <c r="S731" i="2"/>
  <c r="S611" i="2"/>
  <c r="S672" i="2"/>
  <c r="DX7" i="1" a="1"/>
  <c r="DX7" i="1" s="1"/>
  <c r="X128" i="2" s="1"/>
  <c r="DX9" i="1" a="1"/>
  <c r="DX9" i="1" s="1"/>
  <c r="DX11" i="1" a="1"/>
  <c r="DX11" i="1" s="1"/>
  <c r="DX12" i="1" a="1"/>
  <c r="DX12" i="1" s="1"/>
  <c r="X133" i="2" s="1"/>
  <c r="DX6" i="1" a="1"/>
  <c r="DX6" i="1" s="1"/>
  <c r="X127" i="2" s="1"/>
  <c r="DX8" i="1" a="1"/>
  <c r="DX8" i="1" s="1"/>
  <c r="DX10" i="1" a="1"/>
  <c r="DX10" i="1" s="1"/>
  <c r="DX13" i="1" a="1"/>
  <c r="DX13" i="1" s="1"/>
  <c r="X134" i="2" s="1"/>
  <c r="DX39" i="1" a="1"/>
  <c r="DX39" i="1" s="1"/>
  <c r="DX40" i="1" a="1"/>
  <c r="DX40" i="1" s="1"/>
  <c r="DX43" i="1" a="1"/>
  <c r="DX43" i="1" s="1"/>
  <c r="DX29" i="1" a="1"/>
  <c r="DX29" i="1" s="1"/>
  <c r="X150" i="2" s="1"/>
  <c r="DX30" i="1" a="1"/>
  <c r="DX30" i="1" s="1"/>
  <c r="X151" i="2" s="1"/>
  <c r="DX46" i="1" a="1"/>
  <c r="DX46" i="1" s="1"/>
  <c r="DX5" i="1" a="1"/>
  <c r="DX5" i="1" s="1"/>
  <c r="DX34" i="1" a="1"/>
  <c r="DX34" i="1" s="1"/>
  <c r="X155" i="2" s="1"/>
  <c r="DX41" i="1" a="1"/>
  <c r="DX41" i="1" s="1"/>
  <c r="DX47" i="1" a="1"/>
  <c r="DX47" i="1" s="1"/>
  <c r="DX22" i="1" a="1"/>
  <c r="DX22" i="1" s="1"/>
  <c r="X143" i="2" s="1"/>
  <c r="DX27" i="1" a="1"/>
  <c r="DX27" i="1" s="1"/>
  <c r="X148" i="2" s="1"/>
  <c r="DX35" i="1" a="1"/>
  <c r="DX35" i="1" s="1"/>
  <c r="X156" i="2" s="1"/>
  <c r="DX42" i="1" a="1"/>
  <c r="DX42" i="1" s="1"/>
  <c r="DX45" i="1" a="1"/>
  <c r="DX45" i="1" s="1"/>
  <c r="DX26" i="1" a="1"/>
  <c r="DX26" i="1" s="1"/>
  <c r="X147" i="2" s="1"/>
  <c r="DX37" i="1" a="1"/>
  <c r="DX37" i="1" s="1"/>
  <c r="X158" i="2" s="1"/>
  <c r="DX50" i="1" a="1"/>
  <c r="DX50" i="1" s="1"/>
  <c r="DX53" i="1" a="1"/>
  <c r="DX53" i="1" s="1"/>
  <c r="DX49" i="1" a="1"/>
  <c r="DX49" i="1" s="1"/>
  <c r="DX4" i="1" a="1"/>
  <c r="DX4" i="1" s="1"/>
  <c r="X125" i="2" s="1"/>
  <c r="DX31" i="1" a="1"/>
  <c r="DX31" i="1" s="1"/>
  <c r="X152" i="2" s="1"/>
  <c r="DX51" i="1" a="1"/>
  <c r="DX51" i="1" s="1"/>
  <c r="DX38" i="1" a="1"/>
  <c r="DX38" i="1" s="1"/>
  <c r="X159" i="2" s="1"/>
  <c r="DX56" i="1" a="1"/>
  <c r="DX56" i="1" s="1"/>
  <c r="DX54" i="1" a="1"/>
  <c r="DX54" i="1" s="1"/>
  <c r="DX57" i="1" a="1"/>
  <c r="DX57" i="1" s="1"/>
  <c r="DX14" i="1" a="1"/>
  <c r="DX14" i="1" s="1"/>
  <c r="X135" i="2" s="1"/>
  <c r="DX55" i="1" a="1"/>
  <c r="DX55" i="1" s="1"/>
  <c r="DX44" i="1" a="1"/>
  <c r="DX44" i="1" s="1"/>
  <c r="DX58" i="1" a="1"/>
  <c r="DX58" i="1" s="1"/>
  <c r="DX23" i="1" a="1"/>
  <c r="DX23" i="1" s="1"/>
  <c r="X144" i="2" s="1"/>
  <c r="DX48" i="1" a="1"/>
  <c r="DX48" i="1" s="1"/>
  <c r="DX52" i="1" a="1"/>
  <c r="DX52" i="1" s="1"/>
  <c r="EC3" i="1" a="1"/>
  <c r="EC3" i="1" s="1"/>
  <c r="X424" i="2" s="1"/>
  <c r="EC4" i="1" a="1"/>
  <c r="EC4" i="1" s="1"/>
  <c r="X425" i="2" s="1"/>
  <c r="EC5" i="1" a="1"/>
  <c r="EC5" i="1" s="1"/>
  <c r="X426" i="2" s="1"/>
  <c r="EC7" i="1" a="1"/>
  <c r="EC7" i="1" s="1"/>
  <c r="X428" i="2" s="1"/>
  <c r="EC9" i="1" a="1"/>
  <c r="EC9" i="1" s="1"/>
  <c r="X430" i="2" s="1"/>
  <c r="EC11" i="1" a="1"/>
  <c r="EC11" i="1" s="1"/>
  <c r="X432" i="2" s="1"/>
  <c r="EC6" i="1" a="1"/>
  <c r="EC6" i="1" s="1"/>
  <c r="X427" i="2" s="1"/>
  <c r="EC8" i="1" a="1"/>
  <c r="EC8" i="1" s="1"/>
  <c r="X429" i="2" s="1"/>
  <c r="EC10" i="1" a="1"/>
  <c r="EC10" i="1" s="1"/>
  <c r="X431" i="2" s="1"/>
  <c r="EC12" i="1" a="1"/>
  <c r="EC12" i="1" s="1"/>
  <c r="X433" i="2" s="1"/>
  <c r="EC14" i="1" a="1"/>
  <c r="EC14" i="1" s="1"/>
  <c r="X435" i="2" s="1"/>
  <c r="EC16" i="1" a="1"/>
  <c r="EC16" i="1" s="1"/>
  <c r="X437" i="2" s="1"/>
  <c r="EC21" i="1" a="1"/>
  <c r="EC21" i="1" s="1"/>
  <c r="X442" i="2" s="1"/>
  <c r="EC22" i="1" a="1"/>
  <c r="EC22" i="1" s="1"/>
  <c r="X443" i="2" s="1"/>
  <c r="EC18" i="1" a="1"/>
  <c r="EC18" i="1" s="1"/>
  <c r="X439" i="2" s="1"/>
  <c r="EC20" i="1" a="1"/>
  <c r="EC20" i="1" s="1"/>
  <c r="X441" i="2" s="1"/>
  <c r="EC32" i="1" a="1"/>
  <c r="EC32" i="1" s="1"/>
  <c r="X453" i="2" s="1"/>
  <c r="EC41" i="1" a="1"/>
  <c r="EC41" i="1" s="1"/>
  <c r="EC44" i="1" a="1"/>
  <c r="EC44" i="1" s="1"/>
  <c r="EC27" i="1" a="1"/>
  <c r="EC27" i="1" s="1"/>
  <c r="X448" i="2" s="1"/>
  <c r="EC42" i="1" a="1"/>
  <c r="EC42" i="1" s="1"/>
  <c r="EC13" i="1" a="1"/>
  <c r="EC13" i="1" s="1"/>
  <c r="X434" i="2" s="1"/>
  <c r="EC37" i="1" a="1"/>
  <c r="EC37" i="1" s="1"/>
  <c r="X458" i="2" s="1"/>
  <c r="EC38" i="1" a="1"/>
  <c r="EC38" i="1" s="1"/>
  <c r="X459" i="2" s="1"/>
  <c r="EC45" i="1" a="1"/>
  <c r="EC45" i="1" s="1"/>
  <c r="EC48" i="1" a="1"/>
  <c r="EC48" i="1" s="1"/>
  <c r="EC28" i="1" a="1"/>
  <c r="EC28" i="1" s="1"/>
  <c r="X449" i="2" s="1"/>
  <c r="EC40" i="1" a="1"/>
  <c r="EC40" i="1" s="1"/>
  <c r="EC29" i="1" a="1"/>
  <c r="EC29" i="1" s="1"/>
  <c r="X450" i="2" s="1"/>
  <c r="EC46" i="1" a="1"/>
  <c r="EC46" i="1" s="1"/>
  <c r="EC47" i="1" a="1"/>
  <c r="EC47" i="1" s="1"/>
  <c r="EC43" i="1" a="1"/>
  <c r="EC43" i="1" s="1"/>
  <c r="EC49" i="1" a="1"/>
  <c r="EC49" i="1" s="1"/>
  <c r="EC51" i="1" a="1"/>
  <c r="EC51" i="1" s="1"/>
  <c r="EC54" i="1" a="1"/>
  <c r="EC54" i="1" s="1"/>
  <c r="EC57" i="1" a="1"/>
  <c r="EC57" i="1" s="1"/>
  <c r="EC56" i="1" a="1"/>
  <c r="EC56" i="1" s="1"/>
  <c r="EC26" i="1" a="1"/>
  <c r="EC26" i="1" s="1"/>
  <c r="X447" i="2" s="1"/>
  <c r="EC17" i="1" a="1"/>
  <c r="EC17" i="1" s="1"/>
  <c r="X438" i="2" s="1"/>
  <c r="EC52" i="1" a="1"/>
  <c r="EC52" i="1" s="1"/>
  <c r="EC30" i="1" a="1"/>
  <c r="EC30" i="1" s="1"/>
  <c r="X451" i="2" s="1"/>
  <c r="EC31" i="1" a="1"/>
  <c r="EC31" i="1" s="1"/>
  <c r="X452" i="2" s="1"/>
  <c r="EC55" i="1" a="1"/>
  <c r="EC55" i="1" s="1"/>
  <c r="EC58" i="1" a="1"/>
  <c r="EC58" i="1" s="1"/>
  <c r="EC2" i="1" a="1"/>
  <c r="EC2" i="1" s="1"/>
  <c r="X423" i="2" s="1"/>
  <c r="EC39" i="1" a="1"/>
  <c r="EC39" i="1" s="1"/>
  <c r="EC50" i="1" a="1"/>
  <c r="EC50" i="1" s="1"/>
  <c r="EC53" i="1" a="1"/>
  <c r="EC53" i="1" s="1"/>
  <c r="T612" i="2"/>
  <c r="T615" i="2"/>
  <c r="T550" i="2"/>
  <c r="T483" i="2"/>
  <c r="T675" i="2"/>
  <c r="T428" i="2"/>
  <c r="T425" i="2"/>
  <c r="T309" i="2"/>
  <c r="T427" i="2"/>
  <c r="T252" i="2"/>
  <c r="T487" i="2"/>
  <c r="T423" i="2"/>
  <c r="T366" i="2"/>
  <c r="T14" i="2"/>
  <c r="T195" i="2"/>
  <c r="T190" i="2"/>
  <c r="T194" i="2"/>
  <c r="T485" i="2"/>
  <c r="T127" i="2"/>
  <c r="T125" i="2"/>
  <c r="T133" i="2"/>
  <c r="T123" i="2"/>
  <c r="T64" i="2"/>
  <c r="T135" i="2"/>
  <c r="T184" i="2"/>
  <c r="T193" i="2"/>
  <c r="T134" i="2"/>
  <c r="T66" i="2"/>
  <c r="T73" i="2"/>
  <c r="T793" i="2"/>
  <c r="T674" i="2"/>
  <c r="T251" i="2"/>
  <c r="T128" i="2"/>
  <c r="T614" i="2"/>
  <c r="T74" i="2"/>
  <c r="T75" i="2"/>
  <c r="S133" i="2"/>
  <c r="S9" i="2"/>
  <c r="S366" i="2"/>
  <c r="S729" i="2"/>
  <c r="S671" i="2"/>
  <c r="S309" i="2"/>
  <c r="EI12" i="1" a="1"/>
  <c r="EI12" i="1" s="1"/>
  <c r="EI17" i="1" a="1"/>
  <c r="EI17" i="1" s="1"/>
  <c r="X798" i="2" s="1"/>
  <c r="EI4" i="1" a="1"/>
  <c r="EI4" i="1" s="1"/>
  <c r="X785" i="2" s="1"/>
  <c r="EI11" i="1" a="1"/>
  <c r="EI11" i="1" s="1"/>
  <c r="EI25" i="1" a="1"/>
  <c r="EI25" i="1" s="1"/>
  <c r="X806" i="2" s="1"/>
  <c r="EI34" i="1" a="1"/>
  <c r="EI34" i="1" s="1"/>
  <c r="X815" i="2" s="1"/>
  <c r="EI35" i="1" a="1"/>
  <c r="EI35" i="1" s="1"/>
  <c r="EI44" i="1" a="1"/>
  <c r="EI44" i="1" s="1"/>
  <c r="EI19" i="1" a="1"/>
  <c r="EI19" i="1" s="1"/>
  <c r="X800" i="2" s="1"/>
  <c r="EI28" i="1" a="1"/>
  <c r="EI28" i="1" s="1"/>
  <c r="X809" i="2" s="1"/>
  <c r="EI29" i="1" a="1"/>
  <c r="EI29" i="1" s="1"/>
  <c r="X810" i="2" s="1"/>
  <c r="EI38" i="1" a="1"/>
  <c r="EI38" i="1" s="1"/>
  <c r="X819" i="2" s="1"/>
  <c r="EI39" i="1" a="1"/>
  <c r="EI39" i="1" s="1"/>
  <c r="EI45" i="1" a="1"/>
  <c r="EI45" i="1" s="1"/>
  <c r="EI48" i="1" a="1"/>
  <c r="EI48" i="1" s="1"/>
  <c r="EI18" i="1" a="1"/>
  <c r="EI18" i="1" s="1"/>
  <c r="X799" i="2" s="1"/>
  <c r="EI23" i="1" a="1"/>
  <c r="EI23" i="1" s="1"/>
  <c r="X804" i="2" s="1"/>
  <c r="EI31" i="1" a="1"/>
  <c r="EI31" i="1" s="1"/>
  <c r="X812" i="2" s="1"/>
  <c r="EI40" i="1" a="1"/>
  <c r="EI40" i="1" s="1"/>
  <c r="EI43" i="1" a="1"/>
  <c r="EI43" i="1" s="1"/>
  <c r="EI15" i="1" a="1"/>
  <c r="EI15" i="1" s="1"/>
  <c r="X796" i="2" s="1"/>
  <c r="EI30" i="1" a="1"/>
  <c r="EI30" i="1" s="1"/>
  <c r="X811" i="2" s="1"/>
  <c r="EI51" i="1" a="1"/>
  <c r="EI51" i="1" s="1"/>
  <c r="EI54" i="1" a="1"/>
  <c r="EI54" i="1" s="1"/>
  <c r="EI20" i="1" a="1"/>
  <c r="EI20" i="1" s="1"/>
  <c r="X801" i="2" s="1"/>
  <c r="EI46" i="1" a="1"/>
  <c r="EI46" i="1" s="1"/>
  <c r="EI57" i="1" a="1"/>
  <c r="EI57" i="1" s="1"/>
  <c r="EI42" i="1" a="1"/>
  <c r="EI42" i="1" s="1"/>
  <c r="EI21" i="1" a="1"/>
  <c r="EI21" i="1" s="1"/>
  <c r="X802" i="2" s="1"/>
  <c r="EI24" i="1" a="1"/>
  <c r="EI24" i="1" s="1"/>
  <c r="X805" i="2" s="1"/>
  <c r="EI53" i="1" a="1"/>
  <c r="EI53" i="1" s="1"/>
  <c r="EI22" i="1" a="1"/>
  <c r="EI22" i="1" s="1"/>
  <c r="X803" i="2" s="1"/>
  <c r="EI33" i="1" a="1"/>
  <c r="EI33" i="1" s="1"/>
  <c r="X814" i="2" s="1"/>
  <c r="EI47" i="1" a="1"/>
  <c r="EI47" i="1" s="1"/>
  <c r="EI26" i="1" a="1"/>
  <c r="EI26" i="1" s="1"/>
  <c r="X807" i="2" s="1"/>
  <c r="EI36" i="1" a="1"/>
  <c r="EI36" i="1" s="1"/>
  <c r="X817" i="2" s="1"/>
  <c r="EI52" i="1" a="1"/>
  <c r="EI52" i="1" s="1"/>
  <c r="EI55" i="1" a="1"/>
  <c r="EI55" i="1" s="1"/>
  <c r="EI58" i="1" a="1"/>
  <c r="EI58" i="1" s="1"/>
  <c r="EI27" i="1" a="1"/>
  <c r="EI27" i="1" s="1"/>
  <c r="X808" i="2" s="1"/>
  <c r="EI49" i="1" a="1"/>
  <c r="EI49" i="1" s="1"/>
  <c r="EI32" i="1" a="1"/>
  <c r="EI32" i="1" s="1"/>
  <c r="X813" i="2" s="1"/>
  <c r="EI37" i="1" a="1"/>
  <c r="EI37" i="1" s="1"/>
  <c r="X818" i="2" s="1"/>
  <c r="EI2" i="1" a="1"/>
  <c r="EI2" i="1" s="1"/>
  <c r="X783" i="2" s="1"/>
  <c r="EI50" i="1" a="1"/>
  <c r="EI50" i="1" s="1"/>
  <c r="EI41" i="1" a="1"/>
  <c r="EI41" i="1" s="1"/>
  <c r="EI56" i="1" a="1"/>
  <c r="EI56" i="1" s="1"/>
  <c r="S74" i="2"/>
  <c r="S184" i="2"/>
  <c r="S11" i="2"/>
  <c r="S669" i="2"/>
  <c r="S127" i="2"/>
  <c r="S615" i="2"/>
  <c r="S734" i="2"/>
  <c r="DV6" i="1" a="1"/>
  <c r="DV6" i="1" s="1"/>
  <c r="X7" i="2" s="1"/>
  <c r="DV16" i="1" a="1"/>
  <c r="DV16" i="1" s="1"/>
  <c r="X17" i="2" s="1"/>
  <c r="DV20" i="1" a="1"/>
  <c r="DV20" i="1" s="1"/>
  <c r="X21" i="2" s="1"/>
  <c r="DV24" i="1" a="1"/>
  <c r="DV24" i="1" s="1"/>
  <c r="X25" i="2" s="1"/>
  <c r="DV25" i="1" a="1"/>
  <c r="DV25" i="1" s="1"/>
  <c r="X26" i="2" s="1"/>
  <c r="DV41" i="1" a="1"/>
  <c r="DV41" i="1" s="1"/>
  <c r="DV47" i="1" a="1"/>
  <c r="DV47" i="1" s="1"/>
  <c r="DV13" i="1" a="1"/>
  <c r="DV13" i="1" s="1"/>
  <c r="X734" i="2" s="1"/>
  <c r="DV22" i="1" a="1"/>
  <c r="DV22" i="1" s="1"/>
  <c r="X23" i="2" s="1"/>
  <c r="DV26" i="1" a="1"/>
  <c r="DV26" i="1" s="1"/>
  <c r="X27" i="2" s="1"/>
  <c r="DV37" i="1" a="1"/>
  <c r="DV37" i="1" s="1"/>
  <c r="X38" i="2" s="1"/>
  <c r="DV48" i="1" a="1"/>
  <c r="DV48" i="1" s="1"/>
  <c r="DV28" i="1" a="1"/>
  <c r="DV28" i="1" s="1"/>
  <c r="X29" i="2" s="1"/>
  <c r="DV43" i="1" a="1"/>
  <c r="DV43" i="1" s="1"/>
  <c r="DV32" i="1" a="1"/>
  <c r="DV32" i="1" s="1"/>
  <c r="X33" i="2" s="1"/>
  <c r="DV42" i="1" a="1"/>
  <c r="DV42" i="1" s="1"/>
  <c r="DV51" i="1" a="1"/>
  <c r="DV51" i="1" s="1"/>
  <c r="DV54" i="1" a="1"/>
  <c r="DV54" i="1" s="1"/>
  <c r="DV40" i="1" a="1"/>
  <c r="DV40" i="1" s="1"/>
  <c r="DV53" i="1" a="1"/>
  <c r="DV53" i="1" s="1"/>
  <c r="DV2" i="1" a="1"/>
  <c r="DV2" i="1" s="1"/>
  <c r="X3" i="2" s="1"/>
  <c r="DV21" i="1" a="1"/>
  <c r="DV21" i="1" s="1"/>
  <c r="X22" i="2" s="1"/>
  <c r="DV30" i="1" a="1"/>
  <c r="DV30" i="1" s="1"/>
  <c r="X31" i="2" s="1"/>
  <c r="DV39" i="1" a="1"/>
  <c r="DV39" i="1" s="1"/>
  <c r="DV46" i="1" a="1"/>
  <c r="DV46" i="1" s="1"/>
  <c r="DV52" i="1" a="1"/>
  <c r="DV52" i="1" s="1"/>
  <c r="DV55" i="1" a="1"/>
  <c r="DV55" i="1" s="1"/>
  <c r="DV58" i="1" a="1"/>
  <c r="DV58" i="1" s="1"/>
  <c r="DV50" i="1" a="1"/>
  <c r="DV50" i="1" s="1"/>
  <c r="DV45" i="1" a="1"/>
  <c r="DV45" i="1" s="1"/>
  <c r="DV49" i="1" a="1"/>
  <c r="DV49" i="1" s="1"/>
  <c r="DV44" i="1" a="1"/>
  <c r="DV44" i="1" s="1"/>
  <c r="DV56" i="1" a="1"/>
  <c r="DV56" i="1" s="1"/>
  <c r="DV57" i="1" a="1"/>
  <c r="DV57" i="1" s="1"/>
  <c r="S14" i="2"/>
  <c r="S675" i="2"/>
  <c r="S792" i="2"/>
  <c r="S483" i="2"/>
  <c r="DU4" i="1" a="1"/>
  <c r="DU4" i="1" s="1"/>
  <c r="DU5" i="1" a="1"/>
  <c r="DU5" i="1" s="1"/>
  <c r="DU12" i="1" a="1"/>
  <c r="DU12" i="1" s="1"/>
  <c r="DU6" i="1" a="1"/>
  <c r="DU6" i="1" s="1"/>
  <c r="DU7" i="1" a="1"/>
  <c r="DU7" i="1" s="1"/>
  <c r="DU8" i="1" a="1"/>
  <c r="DU8" i="1" s="1"/>
  <c r="DU9" i="1" a="1"/>
  <c r="DU9" i="1" s="1"/>
  <c r="DU10" i="1" a="1"/>
  <c r="DU10" i="1" s="1"/>
  <c r="DU11" i="1" a="1"/>
  <c r="DU11" i="1" s="1"/>
  <c r="DU13" i="1" a="1"/>
  <c r="DU13" i="1" s="1"/>
  <c r="DU14" i="1" a="1"/>
  <c r="DU14" i="1" s="1"/>
  <c r="DU15" i="1" a="1"/>
  <c r="DU15" i="1" s="1"/>
  <c r="DU16" i="1" a="1"/>
  <c r="DU16" i="1" s="1"/>
  <c r="DU21" i="1" a="1"/>
  <c r="DU21" i="1" s="1"/>
  <c r="DU22" i="1" a="1"/>
  <c r="DU22" i="1" s="1"/>
  <c r="DU27" i="1" a="1"/>
  <c r="DU27" i="1" s="1"/>
  <c r="DU47" i="1" a="1"/>
  <c r="DU47" i="1" s="1"/>
  <c r="DU50" i="1" a="1"/>
  <c r="DU50" i="1" s="1"/>
  <c r="DU3" i="1" a="1"/>
  <c r="DU3" i="1" s="1"/>
  <c r="DU35" i="1" a="1"/>
  <c r="DU35" i="1" s="1"/>
  <c r="DU36" i="1" a="1"/>
  <c r="DU36" i="1" s="1"/>
  <c r="DU42" i="1" a="1"/>
  <c r="DU42" i="1" s="1"/>
  <c r="DU45" i="1" a="1"/>
  <c r="DU45" i="1" s="1"/>
  <c r="DU17" i="1" a="1"/>
  <c r="DU17" i="1" s="1"/>
  <c r="DU18" i="1" a="1"/>
  <c r="DU18" i="1" s="1"/>
  <c r="DU37" i="1" a="1"/>
  <c r="DU37" i="1" s="1"/>
  <c r="DU38" i="1" a="1"/>
  <c r="DU38" i="1" s="1"/>
  <c r="DU43" i="1" a="1"/>
  <c r="DU43" i="1" s="1"/>
  <c r="DU28" i="1" a="1"/>
  <c r="DU28" i="1" s="1"/>
  <c r="DU29" i="1" a="1"/>
  <c r="DU29" i="1" s="1"/>
  <c r="DU30" i="1" a="1"/>
  <c r="DU30" i="1" s="1"/>
  <c r="DU39" i="1" a="1"/>
  <c r="DU39" i="1" s="1"/>
  <c r="DU40" i="1" a="1"/>
  <c r="DU40" i="1" s="1"/>
  <c r="DU46" i="1" a="1"/>
  <c r="DU46" i="1" s="1"/>
  <c r="DU49" i="1" a="1"/>
  <c r="DU49" i="1" s="1"/>
  <c r="DU25" i="1" a="1"/>
  <c r="DU25" i="1" s="1"/>
  <c r="DU41" i="1" a="1"/>
  <c r="DU41" i="1" s="1"/>
  <c r="DU51" i="1" a="1"/>
  <c r="DU51" i="1" s="1"/>
  <c r="DU54" i="1" a="1"/>
  <c r="DU54" i="1" s="1"/>
  <c r="DU57" i="1" a="1"/>
  <c r="DU57" i="1" s="1"/>
  <c r="DU19" i="1" a="1"/>
  <c r="DU19" i="1" s="1"/>
  <c r="DU24" i="1" a="1"/>
  <c r="DU24" i="1" s="1"/>
  <c r="DU31" i="1" a="1"/>
  <c r="DU31" i="1" s="1"/>
  <c r="DU52" i="1" a="1"/>
  <c r="DU52" i="1" s="1"/>
  <c r="DU2" i="1" a="1"/>
  <c r="DU2" i="1" s="1"/>
  <c r="DU26" i="1" a="1"/>
  <c r="DU26" i="1" s="1"/>
  <c r="DU55" i="1" a="1"/>
  <c r="DU55" i="1" s="1"/>
  <c r="DU58" i="1" a="1"/>
  <c r="DU58" i="1" s="1"/>
  <c r="DU20" i="1" a="1"/>
  <c r="DU20" i="1" s="1"/>
  <c r="DU32" i="1" a="1"/>
  <c r="DU32" i="1" s="1"/>
  <c r="DU23" i="1" a="1"/>
  <c r="DU23" i="1" s="1"/>
  <c r="DU34" i="1" a="1"/>
  <c r="DU34" i="1" s="1"/>
  <c r="DU48" i="1" a="1"/>
  <c r="DU48" i="1" s="1"/>
  <c r="DU44" i="1" a="1"/>
  <c r="DU44" i="1" s="1"/>
  <c r="DU53" i="1" a="1"/>
  <c r="DU53" i="1" s="1"/>
  <c r="DU56" i="1" a="1"/>
  <c r="DU56" i="1" s="1"/>
  <c r="DU33" i="1" a="1"/>
  <c r="DU33" i="1" s="1"/>
  <c r="X735" i="2"/>
  <c r="X309" i="2"/>
  <c r="X73" i="2"/>
  <c r="X485" i="2"/>
  <c r="X674" i="2"/>
  <c r="X194" i="2"/>
  <c r="S614" i="2"/>
  <c r="S195" i="2"/>
  <c r="S193" i="2"/>
  <c r="S194" i="2"/>
  <c r="S425" i="2"/>
  <c r="EL1" i="1" a="1"/>
  <c r="EL1" i="1" s="1"/>
  <c r="AZ12" i="1"/>
  <c r="T613" i="2" s="1"/>
  <c r="AZ18" i="1"/>
  <c r="AZ15" i="1"/>
  <c r="BJ15" i="1"/>
  <c r="EF15" i="1" s="1" a="1"/>
  <c r="EF15" i="1" s="1"/>
  <c r="X616" i="2" s="1"/>
  <c r="BM16" i="1"/>
  <c r="EI16" i="1" s="1" a="1"/>
  <c r="EI16" i="1" s="1"/>
  <c r="X797" i="2" s="1"/>
  <c r="BI19" i="1"/>
  <c r="BI17" i="1"/>
  <c r="T558" i="2" s="1"/>
  <c r="BL13" i="1"/>
  <c r="EH13" i="1" s="1" a="1"/>
  <c r="EH13" i="1" s="1"/>
  <c r="BL19" i="1"/>
  <c r="EH19" i="1" s="1" a="1"/>
  <c r="EH19" i="1" s="1"/>
  <c r="X740" i="2" s="1"/>
  <c r="BK14" i="1"/>
  <c r="EG14" i="1" s="1" a="1"/>
  <c r="EG14" i="1" s="1"/>
  <c r="BM14" i="1"/>
  <c r="EI14" i="1" s="1" a="1"/>
  <c r="EI14" i="1" s="1"/>
  <c r="BM13" i="1"/>
  <c r="EI13" i="1" s="1" a="1"/>
  <c r="EI13" i="1" s="1"/>
  <c r="X794" i="2" s="1"/>
  <c r="BI13" i="1"/>
  <c r="EE13" i="1" s="1" a="1"/>
  <c r="EE13" i="1" s="1"/>
  <c r="X554" i="2" s="1"/>
  <c r="BI16" i="1"/>
  <c r="BL16" i="1"/>
  <c r="EH16" i="1" s="1" a="1"/>
  <c r="EH16" i="1" s="1"/>
  <c r="X737" i="2" s="1"/>
  <c r="AZ19" i="1"/>
  <c r="T20" i="2" s="1"/>
  <c r="BJ16" i="1"/>
  <c r="EF16" i="1" s="1" a="1"/>
  <c r="EF16" i="1" s="1"/>
  <c r="X617" i="2" s="1"/>
  <c r="BH19" i="1"/>
  <c r="ED19" i="1" s="1" a="1"/>
  <c r="ED19" i="1" s="1"/>
  <c r="BL15" i="1"/>
  <c r="EH15" i="1" s="1" a="1"/>
  <c r="EH15" i="1" s="1"/>
  <c r="X736" i="2" s="1"/>
  <c r="BK17" i="1"/>
  <c r="EG17" i="1" s="1" a="1"/>
  <c r="EG17" i="1" s="1"/>
  <c r="X678" i="2" s="1"/>
  <c r="BI18" i="1"/>
  <c r="BH13" i="1"/>
  <c r="ED13" i="1" s="1" a="1"/>
  <c r="ED13" i="1" s="1"/>
  <c r="X494" i="2" s="1"/>
  <c r="BL17" i="1"/>
  <c r="EH17" i="1" s="1" a="1"/>
  <c r="EH17" i="1" s="1"/>
  <c r="X738" i="2" s="1"/>
  <c r="AZ14" i="1"/>
  <c r="BJ12" i="1"/>
  <c r="EF12" i="1" s="1" a="1"/>
  <c r="EF12" i="1" s="1"/>
  <c r="AZ10" i="1"/>
  <c r="DV10" i="1" s="1" a="1"/>
  <c r="DV10" i="1" s="1"/>
  <c r="BK11" i="1"/>
  <c r="EG11" i="1" s="1" a="1"/>
  <c r="EG11" i="1" s="1"/>
  <c r="BI11" i="1"/>
  <c r="EE11" i="1" s="1" a="1"/>
  <c r="EE11" i="1" s="1"/>
  <c r="X552" i="2" s="1"/>
  <c r="BM10" i="1"/>
  <c r="EI10" i="1" s="1" a="1"/>
  <c r="EI10" i="1" s="1"/>
  <c r="AZ11" i="1"/>
  <c r="BL11" i="1"/>
  <c r="EH11" i="1" s="1" a="1"/>
  <c r="EH11" i="1" s="1"/>
  <c r="BJ10" i="1"/>
  <c r="EF10" i="1" s="1" a="1"/>
  <c r="EF10" i="1" s="1"/>
  <c r="BK10" i="1"/>
  <c r="EG10" i="1" s="1" a="1"/>
  <c r="EG10" i="1" s="1"/>
  <c r="BK9" i="1"/>
  <c r="EG9" i="1" s="1" a="1"/>
  <c r="EG9" i="1" s="1"/>
  <c r="X670" i="2" s="1"/>
  <c r="AZ9" i="1"/>
  <c r="DV9" i="1" s="1" a="1"/>
  <c r="DV9" i="1" s="1"/>
  <c r="X10" i="2" s="1"/>
  <c r="BM9" i="1"/>
  <c r="EI9" i="1" s="1" a="1"/>
  <c r="EI9" i="1" s="1"/>
  <c r="X790" i="2" s="1"/>
  <c r="BJ9" i="1"/>
  <c r="EF9" i="1" s="1" a="1"/>
  <c r="EF9" i="1" s="1"/>
  <c r="X610" i="2" s="1"/>
  <c r="BJ8" i="1"/>
  <c r="EF8" i="1" s="1" a="1"/>
  <c r="EF8" i="1" s="1"/>
  <c r="BK8" i="1"/>
  <c r="EG8" i="1" s="1" a="1"/>
  <c r="EG8" i="1" s="1"/>
  <c r="AZ8" i="1"/>
  <c r="T9" i="2" s="1"/>
  <c r="BL8" i="1"/>
  <c r="EH8" i="1" s="1" a="1"/>
  <c r="EH8" i="1" s="1"/>
  <c r="BM8" i="1"/>
  <c r="EI8" i="1" s="1" a="1"/>
  <c r="EI8" i="1" s="1"/>
  <c r="BM7" i="1"/>
  <c r="EI7" i="1" s="1" a="1"/>
  <c r="EI7" i="1" s="1"/>
  <c r="X788" i="2" s="1"/>
  <c r="BK7" i="1"/>
  <c r="EG7" i="1" s="1" a="1"/>
  <c r="EG7" i="1" s="1"/>
  <c r="X668" i="2" s="1"/>
  <c r="BH7" i="1"/>
  <c r="ED7" i="1" s="1" a="1"/>
  <c r="ED7" i="1" s="1"/>
  <c r="X488" i="2" s="1"/>
  <c r="BJ7" i="1"/>
  <c r="EF7" i="1" s="1" a="1"/>
  <c r="EF7" i="1" s="1"/>
  <c r="X608" i="2" s="1"/>
  <c r="BL7" i="1"/>
  <c r="EH7" i="1" s="1" a="1"/>
  <c r="EH7" i="1" s="1"/>
  <c r="X728" i="2" s="1"/>
  <c r="AZ7" i="1"/>
  <c r="DV7" i="1" s="1" a="1"/>
  <c r="DV7" i="1" s="1"/>
  <c r="X8" i="2" s="1"/>
  <c r="BM6" i="1"/>
  <c r="EI6" i="1" s="1" a="1"/>
  <c r="EI6" i="1" s="1"/>
  <c r="X787" i="2" s="1"/>
  <c r="BJ6" i="1"/>
  <c r="EF6" i="1" s="1" a="1"/>
  <c r="EF6" i="1" s="1"/>
  <c r="X607" i="2" s="1"/>
  <c r="BK6" i="1"/>
  <c r="EG6" i="1" s="1" a="1"/>
  <c r="EG6" i="1" s="1"/>
  <c r="X667" i="2" s="1"/>
  <c r="AZ5" i="1"/>
  <c r="DV5" i="1" s="1" a="1"/>
  <c r="DV5" i="1" s="1"/>
  <c r="X6" i="2" s="1"/>
  <c r="BM5" i="1"/>
  <c r="EI5" i="1" s="1" a="1"/>
  <c r="EI5" i="1" s="1"/>
  <c r="X786" i="2" s="1"/>
  <c r="BL5" i="1"/>
  <c r="EH5" i="1" s="1" a="1"/>
  <c r="EH5" i="1" s="1"/>
  <c r="X726" i="2" s="1"/>
  <c r="BK4" i="1"/>
  <c r="EG4" i="1" s="1" a="1"/>
  <c r="EG4" i="1" s="1"/>
  <c r="X665" i="2" s="1"/>
  <c r="BL4" i="1"/>
  <c r="EH4" i="1" s="1" a="1"/>
  <c r="EH4" i="1" s="1"/>
  <c r="X725" i="2" s="1"/>
  <c r="AZ4" i="1"/>
  <c r="DV4" i="1" s="1" a="1"/>
  <c r="DV4" i="1" s="1"/>
  <c r="X5" i="2" s="1"/>
  <c r="BJ4" i="1"/>
  <c r="EF4" i="1" s="1" a="1"/>
  <c r="EF4" i="1" s="1"/>
  <c r="X605" i="2" s="1"/>
  <c r="BM3" i="1"/>
  <c r="EI3" i="1" s="1" a="1"/>
  <c r="EI3" i="1" s="1"/>
  <c r="BJ3" i="1"/>
  <c r="EF3" i="1" s="1" a="1"/>
  <c r="EF3" i="1" s="1"/>
  <c r="X604" i="2" s="1"/>
  <c r="BL3" i="1"/>
  <c r="EH3" i="1" s="1" a="1"/>
  <c r="EH3" i="1" s="1"/>
  <c r="BH3" i="1"/>
  <c r="ED3" i="1" s="1" a="1"/>
  <c r="ED3" i="1" s="1"/>
  <c r="X484" i="2" s="1"/>
  <c r="AZ3" i="1"/>
  <c r="BK2" i="1"/>
  <c r="EG2" i="1" s="1" a="1"/>
  <c r="EG2" i="1" s="1"/>
  <c r="X663" i="2" s="1"/>
  <c r="BR13" i="1"/>
  <c r="BP20" i="1" s="1"/>
  <c r="BP21" i="1" s="1"/>
  <c r="EB18" i="1" l="1" a="1"/>
  <c r="EB18" i="1" s="1"/>
  <c r="X379" i="2" s="1"/>
  <c r="DY32" i="1" a="1"/>
  <c r="DY32" i="1" s="1"/>
  <c r="X213" i="2" s="1"/>
  <c r="DY17" i="1" a="1"/>
  <c r="DY17" i="1" s="1"/>
  <c r="X198" i="2" s="1"/>
  <c r="T10" i="2"/>
  <c r="EB21" i="1" a="1"/>
  <c r="EB21" i="1" s="1"/>
  <c r="X382" i="2" s="1"/>
  <c r="DY30" i="1" a="1"/>
  <c r="DY30" i="1" s="1"/>
  <c r="X211" i="2" s="1"/>
  <c r="EC23" i="1" a="1"/>
  <c r="EC23" i="1" s="1"/>
  <c r="X444" i="2" s="1"/>
  <c r="DX18" i="1" a="1"/>
  <c r="DX18" i="1" s="1"/>
  <c r="X139" i="2" s="1"/>
  <c r="ED29" i="1" a="1"/>
  <c r="ED29" i="1" s="1"/>
  <c r="X510" i="2" s="1"/>
  <c r="DW32" i="1" a="1"/>
  <c r="DW32" i="1" s="1"/>
  <c r="X93" i="2" s="1"/>
  <c r="T6" i="2"/>
  <c r="DX36" i="1" a="1"/>
  <c r="DX36" i="1" s="1"/>
  <c r="X157" i="2" s="1"/>
  <c r="ED15" i="1" a="1"/>
  <c r="ED15" i="1" s="1"/>
  <c r="X496" i="2" s="1"/>
  <c r="EE38" i="1" a="1"/>
  <c r="EE38" i="1" s="1"/>
  <c r="X579" i="2" s="1"/>
  <c r="T5" i="2"/>
  <c r="EB27" i="1" a="1"/>
  <c r="EB27" i="1" s="1"/>
  <c r="X388" i="2" s="1"/>
  <c r="EB19" i="1" a="1"/>
  <c r="EB19" i="1" s="1"/>
  <c r="X380" i="2" s="1"/>
  <c r="T8" i="2"/>
  <c r="DZ17" i="1" a="1"/>
  <c r="DZ17" i="1" s="1"/>
  <c r="X258" i="2" s="1"/>
  <c r="EA36" i="1" a="1"/>
  <c r="EA36" i="1" s="1"/>
  <c r="X337" i="2" s="1"/>
  <c r="EE24" i="1" a="1"/>
  <c r="EE24" i="1" s="1"/>
  <c r="X565" i="2" s="1"/>
  <c r="T607" i="2"/>
  <c r="T617" i="2"/>
  <c r="T736" i="2"/>
  <c r="T790" i="2"/>
  <c r="T610" i="2"/>
  <c r="T667" i="2"/>
  <c r="T787" i="2"/>
  <c r="DV38" i="1" a="1"/>
  <c r="DV38" i="1" s="1"/>
  <c r="X39" i="2" s="1"/>
  <c r="DV31" i="1" a="1"/>
  <c r="DV31" i="1" s="1"/>
  <c r="X32" i="2" s="1"/>
  <c r="T672" i="2"/>
  <c r="DX19" i="1" a="1"/>
  <c r="DX19" i="1" s="1"/>
  <c r="X140" i="2" s="1"/>
  <c r="T734" i="2"/>
  <c r="EC36" i="1" a="1"/>
  <c r="EC36" i="1" s="1"/>
  <c r="X457" i="2" s="1"/>
  <c r="EA32" i="1" a="1"/>
  <c r="EA32" i="1" s="1"/>
  <c r="X333" i="2" s="1"/>
  <c r="EB38" i="1" a="1"/>
  <c r="EB38" i="1" s="1"/>
  <c r="X399" i="2" s="1"/>
  <c r="EB22" i="1" a="1"/>
  <c r="EB22" i="1" s="1"/>
  <c r="X383" i="2" s="1"/>
  <c r="T668" i="2"/>
  <c r="ED36" i="1" a="1"/>
  <c r="ED36" i="1" s="1"/>
  <c r="X517" i="2" s="1"/>
  <c r="T678" i="2"/>
  <c r="T740" i="2"/>
  <c r="T728" i="2"/>
  <c r="T795" i="2"/>
  <c r="DV23" i="1" a="1"/>
  <c r="DV23" i="1" s="1"/>
  <c r="X24" i="2" s="1"/>
  <c r="DX28" i="1" a="1"/>
  <c r="DX28" i="1" s="1"/>
  <c r="X149" i="2" s="1"/>
  <c r="DX17" i="1" a="1"/>
  <c r="DX17" i="1" s="1"/>
  <c r="X138" i="2" s="1"/>
  <c r="ED34" i="1" a="1"/>
  <c r="ED34" i="1" s="1"/>
  <c r="X515" i="2" s="1"/>
  <c r="EA18" i="1" a="1"/>
  <c r="EA18" i="1" s="1"/>
  <c r="X319" i="2" s="1"/>
  <c r="EA17" i="1" a="1"/>
  <c r="EA17" i="1" s="1"/>
  <c r="X318" i="2" s="1"/>
  <c r="DY25" i="1" a="1"/>
  <c r="DY25" i="1" s="1"/>
  <c r="X206" i="2" s="1"/>
  <c r="EE25" i="1" a="1"/>
  <c r="EE25" i="1" s="1"/>
  <c r="X566" i="2" s="1"/>
  <c r="T725" i="2"/>
  <c r="T665" i="2"/>
  <c r="EC24" i="1" a="1"/>
  <c r="EC24" i="1" s="1"/>
  <c r="X445" i="2" s="1"/>
  <c r="DV27" i="1" a="1"/>
  <c r="DV27" i="1" s="1"/>
  <c r="X28" i="2" s="1"/>
  <c r="DW34" i="1" a="1"/>
  <c r="DW34" i="1" s="1"/>
  <c r="X95" i="2" s="1"/>
  <c r="DY38" i="1" a="1"/>
  <c r="DY38" i="1" s="1"/>
  <c r="X219" i="2" s="1"/>
  <c r="T786" i="2"/>
  <c r="T608" i="2"/>
  <c r="T616" i="2"/>
  <c r="T738" i="2"/>
  <c r="T570" i="2"/>
  <c r="T604" i="2"/>
  <c r="T794" i="2"/>
  <c r="EC34" i="1" a="1"/>
  <c r="EC34" i="1" s="1"/>
  <c r="X455" i="2" s="1"/>
  <c r="EC15" i="1" a="1"/>
  <c r="EC15" i="1" s="1"/>
  <c r="X436" i="2" s="1"/>
  <c r="T732" i="2"/>
  <c r="T611" i="2"/>
  <c r="ED26" i="1" a="1"/>
  <c r="ED26" i="1" s="1"/>
  <c r="X507" i="2" s="1"/>
  <c r="EB36" i="1" a="1"/>
  <c r="EB36" i="1" s="1"/>
  <c r="X397" i="2" s="1"/>
  <c r="T663" i="2"/>
  <c r="T788" i="2"/>
  <c r="DV33" i="1" a="1"/>
  <c r="DV33" i="1" s="1"/>
  <c r="X34" i="2" s="1"/>
  <c r="DZ20" i="1" a="1"/>
  <c r="DZ20" i="1" s="1"/>
  <c r="X261" i="2" s="1"/>
  <c r="DZ34" i="1" a="1"/>
  <c r="DZ34" i="1" s="1"/>
  <c r="X275" i="2" s="1"/>
  <c r="DZ29" i="1" a="1"/>
  <c r="DZ29" i="1" s="1"/>
  <c r="X270" i="2" s="1"/>
  <c r="DY35" i="1" a="1"/>
  <c r="DY35" i="1" s="1"/>
  <c r="X216" i="2" s="1"/>
  <c r="T797" i="2"/>
  <c r="T605" i="2"/>
  <c r="EB30" i="1" a="1"/>
  <c r="EB30" i="1" s="1"/>
  <c r="X391" i="2" s="1"/>
  <c r="DX20" i="1" a="1"/>
  <c r="DX20" i="1" s="1"/>
  <c r="X141" i="2" s="1"/>
  <c r="DW38" i="1" a="1"/>
  <c r="DW38" i="1" s="1"/>
  <c r="X99" i="2" s="1"/>
  <c r="DW15" i="1" a="1"/>
  <c r="DW15" i="1" s="1"/>
  <c r="X76" i="2" s="1"/>
  <c r="DZ28" i="1" a="1"/>
  <c r="DZ28" i="1" s="1"/>
  <c r="X269" i="2" s="1"/>
  <c r="EB33" i="1" a="1"/>
  <c r="EB33" i="1" s="1"/>
  <c r="X394" i="2" s="1"/>
  <c r="DW24" i="1" a="1"/>
  <c r="DW24" i="1" s="1"/>
  <c r="X85" i="2" s="1"/>
  <c r="ED33" i="1" a="1"/>
  <c r="ED33" i="1" s="1"/>
  <c r="X514" i="2" s="1"/>
  <c r="DW29" i="1" a="1"/>
  <c r="DW29" i="1" s="1"/>
  <c r="X90" i="2" s="1"/>
  <c r="EE35" i="1" a="1"/>
  <c r="EE35" i="1" s="1"/>
  <c r="X576" i="2" s="1"/>
  <c r="EE30" i="1" a="1"/>
  <c r="EE30" i="1" s="1"/>
  <c r="X571" i="2" s="1"/>
  <c r="DW21" i="1" a="1"/>
  <c r="DW21" i="1" s="1"/>
  <c r="X82" i="2" s="1"/>
  <c r="EE33" i="1" a="1"/>
  <c r="EE33" i="1" s="1"/>
  <c r="X574" i="2" s="1"/>
  <c r="DZ30" i="1" a="1"/>
  <c r="DZ30" i="1" s="1"/>
  <c r="X271" i="2" s="1"/>
  <c r="EB31" i="1" a="1"/>
  <c r="EB31" i="1" s="1"/>
  <c r="X392" i="2" s="1"/>
  <c r="DY28" i="1" a="1"/>
  <c r="DY28" i="1" s="1"/>
  <c r="X209" i="2" s="1"/>
  <c r="EE28" i="1" a="1"/>
  <c r="EE28" i="1" s="1"/>
  <c r="X569" i="2" s="1"/>
  <c r="DW16" i="1" a="1"/>
  <c r="DW16" i="1" s="1"/>
  <c r="X77" i="2" s="1"/>
  <c r="DV29" i="1" a="1"/>
  <c r="DV29" i="1" s="1"/>
  <c r="X30" i="2" s="1"/>
  <c r="EC35" i="1" a="1"/>
  <c r="EC35" i="1" s="1"/>
  <c r="X456" i="2" s="1"/>
  <c r="DX16" i="1" a="1"/>
  <c r="DX16" i="1" s="1"/>
  <c r="X137" i="2" s="1"/>
  <c r="DZ23" i="1" a="1"/>
  <c r="DZ23" i="1" s="1"/>
  <c r="X264" i="2" s="1"/>
  <c r="EB29" i="1" a="1"/>
  <c r="EB29" i="1" s="1"/>
  <c r="X390" i="2" s="1"/>
  <c r="DZ35" i="1" a="1"/>
  <c r="DZ35" i="1" s="1"/>
  <c r="X276" i="2" s="1"/>
  <c r="EA15" i="1" a="1"/>
  <c r="EA15" i="1" s="1"/>
  <c r="X316" i="2" s="1"/>
  <c r="DV34" i="1" a="1"/>
  <c r="DV34" i="1" s="1"/>
  <c r="X35" i="2" s="1"/>
  <c r="ED27" i="1" a="1"/>
  <c r="ED27" i="1" s="1"/>
  <c r="X508" i="2" s="1"/>
  <c r="DY21" i="1" a="1"/>
  <c r="DY21" i="1" s="1"/>
  <c r="X202" i="2" s="1"/>
  <c r="DY16" i="1" a="1"/>
  <c r="DY16" i="1" s="1"/>
  <c r="X197" i="2" s="1"/>
  <c r="DV36" i="1" a="1"/>
  <c r="DV36" i="1" s="1"/>
  <c r="X37" i="2" s="1"/>
  <c r="EC19" i="1" a="1"/>
  <c r="EC19" i="1" s="1"/>
  <c r="X440" i="2" s="1"/>
  <c r="DZ25" i="1" a="1"/>
  <c r="DZ25" i="1" s="1"/>
  <c r="X266" i="2" s="1"/>
  <c r="EA34" i="1" a="1"/>
  <c r="EA34" i="1" s="1"/>
  <c r="X335" i="2" s="1"/>
  <c r="EA22" i="1" a="1"/>
  <c r="EA22" i="1" s="1"/>
  <c r="X323" i="2" s="1"/>
  <c r="DX15" i="1" a="1"/>
  <c r="DX15" i="1" s="1"/>
  <c r="X136" i="2" s="1"/>
  <c r="DV35" i="1" a="1"/>
  <c r="DV35" i="1" s="1"/>
  <c r="X36" i="2" s="1"/>
  <c r="EE32" i="1" a="1"/>
  <c r="EE32" i="1" s="1"/>
  <c r="X573" i="2" s="1"/>
  <c r="DW23" i="1" a="1"/>
  <c r="DW23" i="1" s="1"/>
  <c r="X84" i="2" s="1"/>
  <c r="EE37" i="1" a="1"/>
  <c r="EE37" i="1" s="1"/>
  <c r="X578" i="2" s="1"/>
  <c r="EB32" i="1" a="1"/>
  <c r="EB32" i="1" s="1"/>
  <c r="X393" i="2" s="1"/>
  <c r="T4" i="2"/>
  <c r="T488" i="2"/>
  <c r="EE16" i="1" a="1"/>
  <c r="EE16" i="1" s="1"/>
  <c r="X557" i="2" s="1"/>
  <c r="T557" i="2"/>
  <c r="EE19" i="1" a="1"/>
  <c r="EE19" i="1" s="1"/>
  <c r="X560" i="2" s="1"/>
  <c r="T560" i="2"/>
  <c r="DV17" i="1" a="1"/>
  <c r="DV17" i="1" s="1"/>
  <c r="X18" i="2" s="1"/>
  <c r="DX21" i="1" a="1"/>
  <c r="DX21" i="1" s="1"/>
  <c r="X142" i="2" s="1"/>
  <c r="EA23" i="1" a="1"/>
  <c r="EA23" i="1" s="1"/>
  <c r="X324" i="2" s="1"/>
  <c r="DW25" i="1" a="1"/>
  <c r="DW25" i="1" s="1"/>
  <c r="X86" i="2" s="1"/>
  <c r="DW37" i="1" a="1"/>
  <c r="DW37" i="1" s="1"/>
  <c r="X98" i="2" s="1"/>
  <c r="DW20" i="1" a="1"/>
  <c r="DW20" i="1" s="1"/>
  <c r="X81" i="2" s="1"/>
  <c r="EE22" i="1" a="1"/>
  <c r="EE22" i="1" s="1"/>
  <c r="X563" i="2" s="1"/>
  <c r="ED20" i="1" a="1"/>
  <c r="ED20" i="1" s="1"/>
  <c r="X501" i="2" s="1"/>
  <c r="DX25" i="1" a="1"/>
  <c r="DX25" i="1" s="1"/>
  <c r="X146" i="2" s="1"/>
  <c r="DV15" i="1" a="1"/>
  <c r="DV15" i="1" s="1"/>
  <c r="X16" i="2" s="1"/>
  <c r="T16" i="2"/>
  <c r="EC33" i="1" a="1"/>
  <c r="EC33" i="1" s="1"/>
  <c r="X454" i="2" s="1"/>
  <c r="DY20" i="1" a="1"/>
  <c r="DY20" i="1" s="1"/>
  <c r="X201" i="2" s="1"/>
  <c r="DY19" i="1" a="1"/>
  <c r="DY19" i="1" s="1"/>
  <c r="X200" i="2" s="1"/>
  <c r="EE17" i="1" a="1"/>
  <c r="EE17" i="1" s="1"/>
  <c r="X558" i="2" s="1"/>
  <c r="EE18" i="1" a="1"/>
  <c r="EE18" i="1" s="1"/>
  <c r="X559" i="2" s="1"/>
  <c r="T559" i="2"/>
  <c r="DZ16" i="1" a="1"/>
  <c r="DZ16" i="1" s="1"/>
  <c r="X257" i="2" s="1"/>
  <c r="X500" i="2"/>
  <c r="T500" i="2"/>
  <c r="DV18" i="1" a="1"/>
  <c r="DV18" i="1" s="1"/>
  <c r="X19" i="2" s="1"/>
  <c r="T19" i="2"/>
  <c r="DX24" i="1" a="1"/>
  <c r="DX24" i="1" s="1"/>
  <c r="X145" i="2" s="1"/>
  <c r="DZ38" i="1" a="1"/>
  <c r="DZ38" i="1" s="1"/>
  <c r="X279" i="2" s="1"/>
  <c r="EB24" i="1" a="1"/>
  <c r="EB24" i="1" s="1"/>
  <c r="X385" i="2" s="1"/>
  <c r="EB20" i="1" a="1"/>
  <c r="EB20" i="1" s="1"/>
  <c r="X381" i="2" s="1"/>
  <c r="EB15" i="1" a="1"/>
  <c r="EB15" i="1" s="1"/>
  <c r="X376" i="2" s="1"/>
  <c r="EB35" i="1" a="1"/>
  <c r="EB35" i="1" s="1"/>
  <c r="X396" i="2" s="1"/>
  <c r="DW30" i="1" a="1"/>
  <c r="DW30" i="1" s="1"/>
  <c r="X91" i="2" s="1"/>
  <c r="DY27" i="1" a="1"/>
  <c r="DY27" i="1" s="1"/>
  <c r="X208" i="2" s="1"/>
  <c r="DY26" i="1" a="1"/>
  <c r="DY26" i="1" s="1"/>
  <c r="X207" i="2" s="1"/>
  <c r="DY18" i="1" a="1"/>
  <c r="DY18" i="1" s="1"/>
  <c r="X199" i="2" s="1"/>
  <c r="DV19" i="1" a="1"/>
  <c r="DV19" i="1" s="1"/>
  <c r="X20" i="2" s="1"/>
  <c r="EC25" i="1" a="1"/>
  <c r="EC25" i="1" s="1"/>
  <c r="X446" i="2" s="1"/>
  <c r="DX32" i="1" a="1"/>
  <c r="DX32" i="1" s="1"/>
  <c r="X153" i="2" s="1"/>
  <c r="DZ21" i="1" a="1"/>
  <c r="DZ21" i="1" s="1"/>
  <c r="X262" i="2" s="1"/>
  <c r="EA19" i="1" a="1"/>
  <c r="EA19" i="1" s="1"/>
  <c r="X320" i="2" s="1"/>
  <c r="X14" i="2"/>
  <c r="DV3" i="1" a="1"/>
  <c r="DV3" i="1" s="1"/>
  <c r="DV14" i="1" a="1"/>
  <c r="DV14" i="1" s="1"/>
  <c r="DV12" i="1" a="1"/>
  <c r="DV12" i="1" s="1"/>
  <c r="X793" i="2" s="1"/>
  <c r="T15" i="2"/>
  <c r="X791" i="2"/>
  <c r="X731" i="2"/>
  <c r="X611" i="2"/>
  <c r="X671" i="2"/>
  <c r="X11" i="2"/>
  <c r="X733" i="2"/>
  <c r="X784" i="2"/>
  <c r="X615" i="2"/>
  <c r="T609" i="2"/>
  <c r="T789" i="2"/>
  <c r="T13" i="2"/>
  <c r="T792" i="2"/>
  <c r="T731" i="2"/>
  <c r="T735" i="2"/>
  <c r="T791" i="2"/>
  <c r="T11" i="2"/>
  <c r="T729" i="2"/>
  <c r="T724" i="2"/>
  <c r="X795" i="2"/>
  <c r="X664" i="2"/>
  <c r="X4" i="2"/>
  <c r="X724" i="2"/>
  <c r="DV11" i="1" a="1"/>
  <c r="DV11" i="1" s="1"/>
  <c r="T673" i="2"/>
  <c r="T12" i="2"/>
  <c r="T671" i="2"/>
  <c r="T664" i="2"/>
  <c r="T784" i="2"/>
  <c r="T733" i="2"/>
  <c r="T124" i="2"/>
  <c r="T669" i="2"/>
  <c r="X614" i="2"/>
  <c r="X613" i="2"/>
  <c r="DV8" i="1" a="1"/>
  <c r="DV8" i="1" s="1"/>
  <c r="X673" i="2"/>
  <c r="EX3" i="1" a="1"/>
  <c r="EX3" i="1" s="1"/>
  <c r="EX2" i="1" a="1"/>
  <c r="EX2" i="1" s="1"/>
  <c r="EZ2" i="1" a="1"/>
  <c r="EZ2" i="1" s="1"/>
  <c r="EZ3" i="1" a="1"/>
  <c r="EZ3" i="1" s="1"/>
  <c r="EW2" i="1" a="1"/>
  <c r="EW2" i="1" s="1"/>
  <c r="EW3" i="1" a="1"/>
  <c r="EW3" i="1" s="1"/>
  <c r="EG59" i="1" a="1"/>
  <c r="EG59" i="1" s="1"/>
  <c r="EF59" i="1" a="1"/>
  <c r="EF59" i="1" s="1"/>
  <c r="B11" i="2"/>
  <c r="I11" i="2" s="1" a="1"/>
  <c r="I11" i="2" s="1"/>
  <c r="B19" i="2"/>
  <c r="I19" i="2" s="1" a="1"/>
  <c r="I19" i="2" s="1"/>
  <c r="B27" i="2"/>
  <c r="I27" i="2" s="1" a="1"/>
  <c r="I27" i="2" s="1"/>
  <c r="B35" i="2"/>
  <c r="I35" i="2" s="1" a="1"/>
  <c r="I35" i="2" s="1"/>
  <c r="B43" i="2"/>
  <c r="I43" i="2" s="1" a="1"/>
  <c r="I43" i="2" s="1"/>
  <c r="B51" i="2"/>
  <c r="I51" i="2" s="1" a="1"/>
  <c r="I51" i="2" s="1"/>
  <c r="B59" i="2"/>
  <c r="I59" i="2" s="1" a="1"/>
  <c r="I59" i="2" s="1"/>
  <c r="B23" i="2"/>
  <c r="I23" i="2" s="1" a="1"/>
  <c r="I23" i="2" s="1"/>
  <c r="B55" i="2"/>
  <c r="I55" i="2" s="1" a="1"/>
  <c r="I55" i="2" s="1"/>
  <c r="B4" i="2"/>
  <c r="B12" i="2"/>
  <c r="I12" i="2" s="1" a="1"/>
  <c r="I12" i="2" s="1"/>
  <c r="B20" i="2"/>
  <c r="I20" i="2" s="1" a="1"/>
  <c r="I20" i="2" s="1"/>
  <c r="B28" i="2"/>
  <c r="I28" i="2" s="1" a="1"/>
  <c r="I28" i="2" s="1"/>
  <c r="B36" i="2"/>
  <c r="I36" i="2" s="1" a="1"/>
  <c r="I36" i="2" s="1"/>
  <c r="B44" i="2"/>
  <c r="I44" i="2" s="1" a="1"/>
  <c r="I44" i="2" s="1"/>
  <c r="B52" i="2"/>
  <c r="I52" i="2" s="1" a="1"/>
  <c r="I52" i="2" s="1"/>
  <c r="B3" i="2"/>
  <c r="I3" i="2" s="1" a="1"/>
  <c r="I3" i="2" s="1"/>
  <c r="B7" i="2"/>
  <c r="I7" i="2" s="1" a="1"/>
  <c r="I7" i="2" s="1"/>
  <c r="B5" i="2"/>
  <c r="I5" i="2" s="1" a="1"/>
  <c r="I5" i="2" s="1"/>
  <c r="B13" i="2"/>
  <c r="I13" i="2" s="1" a="1"/>
  <c r="I13" i="2" s="1"/>
  <c r="B21" i="2"/>
  <c r="I21" i="2" s="1" a="1"/>
  <c r="I21" i="2" s="1"/>
  <c r="B29" i="2"/>
  <c r="I29" i="2" s="1" a="1"/>
  <c r="I29" i="2" s="1"/>
  <c r="B37" i="2"/>
  <c r="I37" i="2" s="1" a="1"/>
  <c r="I37" i="2" s="1"/>
  <c r="B45" i="2"/>
  <c r="I45" i="2" s="1" a="1"/>
  <c r="I45" i="2" s="1"/>
  <c r="B53" i="2"/>
  <c r="I53" i="2" s="1" a="1"/>
  <c r="I53" i="2" s="1"/>
  <c r="B6" i="2"/>
  <c r="I6" i="2" s="1" a="1"/>
  <c r="I6" i="2" s="1"/>
  <c r="B14" i="2"/>
  <c r="I14" i="2" s="1" a="1"/>
  <c r="I14" i="2" s="1"/>
  <c r="B22" i="2"/>
  <c r="I22" i="2" s="1" a="1"/>
  <c r="I22" i="2" s="1"/>
  <c r="B30" i="2"/>
  <c r="I30" i="2" s="1" a="1"/>
  <c r="I30" i="2" s="1"/>
  <c r="B38" i="2"/>
  <c r="I38" i="2" s="1" a="1"/>
  <c r="I38" i="2" s="1"/>
  <c r="B46" i="2"/>
  <c r="I46" i="2" s="1" a="1"/>
  <c r="I46" i="2" s="1"/>
  <c r="B54" i="2"/>
  <c r="I54" i="2" s="1" a="1"/>
  <c r="I54" i="2" s="1"/>
  <c r="B15" i="2"/>
  <c r="I15" i="2" s="1" a="1"/>
  <c r="I15" i="2" s="1"/>
  <c r="B39" i="2"/>
  <c r="I39" i="2" s="1" a="1"/>
  <c r="I39" i="2" s="1"/>
  <c r="B10" i="2"/>
  <c r="I10" i="2" s="1" a="1"/>
  <c r="I10" i="2" s="1"/>
  <c r="B18" i="2"/>
  <c r="I18" i="2" s="1" a="1"/>
  <c r="I18" i="2" s="1"/>
  <c r="B26" i="2"/>
  <c r="I26" i="2" s="1" a="1"/>
  <c r="I26" i="2" s="1"/>
  <c r="B34" i="2"/>
  <c r="I34" i="2" s="1" a="1"/>
  <c r="I34" i="2" s="1"/>
  <c r="B42" i="2"/>
  <c r="I42" i="2" s="1" a="1"/>
  <c r="I42" i="2" s="1"/>
  <c r="B50" i="2"/>
  <c r="I50" i="2" s="1" a="1"/>
  <c r="I50" i="2" s="1"/>
  <c r="B58" i="2"/>
  <c r="I58" i="2" s="1" a="1"/>
  <c r="I58" i="2" s="1"/>
  <c r="B31" i="2"/>
  <c r="I31" i="2" s="1" a="1"/>
  <c r="I31" i="2" s="1"/>
  <c r="B47" i="2"/>
  <c r="I47" i="2" s="1" a="1"/>
  <c r="I47" i="2" s="1"/>
  <c r="B9" i="2"/>
  <c r="I9" i="2" s="1" a="1"/>
  <c r="I9" i="2" s="1"/>
  <c r="B41" i="2"/>
  <c r="I41" i="2" s="1" a="1"/>
  <c r="I41" i="2" s="1"/>
  <c r="B33" i="2"/>
  <c r="I33" i="2" s="1" a="1"/>
  <c r="I33" i="2" s="1"/>
  <c r="B16" i="2"/>
  <c r="I16" i="2" s="1" a="1"/>
  <c r="I16" i="2" s="1"/>
  <c r="B48" i="2"/>
  <c r="I48" i="2" s="1" a="1"/>
  <c r="I48" i="2" s="1"/>
  <c r="B17" i="2"/>
  <c r="I17" i="2" s="1" a="1"/>
  <c r="I17" i="2" s="1"/>
  <c r="B49" i="2"/>
  <c r="I49" i="2" s="1" a="1"/>
  <c r="I49" i="2" s="1"/>
  <c r="B57" i="2"/>
  <c r="I57" i="2" s="1" a="1"/>
  <c r="I57" i="2" s="1"/>
  <c r="B24" i="2"/>
  <c r="I24" i="2" s="1" a="1"/>
  <c r="I24" i="2" s="1"/>
  <c r="B56" i="2"/>
  <c r="I56" i="2" s="1" a="1"/>
  <c r="I56" i="2" s="1"/>
  <c r="B40" i="2"/>
  <c r="I40" i="2" s="1" a="1"/>
  <c r="I40" i="2" s="1"/>
  <c r="B25" i="2"/>
  <c r="I25" i="2" s="1" a="1"/>
  <c r="I25" i="2" s="1"/>
  <c r="B32" i="2"/>
  <c r="I32" i="2" s="1" a="1"/>
  <c r="I32" i="2" s="1"/>
  <c r="B8" i="2"/>
  <c r="I8" i="2" s="1" a="1"/>
  <c r="I8" i="2" s="1"/>
  <c r="EI59" i="1" a="1"/>
  <c r="EI59" i="1" s="1"/>
  <c r="DU59" i="1" a="1"/>
  <c r="DU59" i="1" s="1"/>
  <c r="BQ28" i="1"/>
  <c r="BP9" i="1"/>
  <c r="ER2" i="1" l="1" a="1"/>
  <c r="ER2" i="1" s="1"/>
  <c r="EC59" i="1" a="1"/>
  <c r="EC59" i="1" s="1"/>
  <c r="EU2" i="1" a="1"/>
  <c r="EU2" i="1" s="1"/>
  <c r="ED59" i="1" a="1"/>
  <c r="ED59" i="1" s="1"/>
  <c r="EE59" i="1" a="1"/>
  <c r="EE59" i="1" s="1"/>
  <c r="EU3" i="1" a="1"/>
  <c r="EU3" i="1" s="1"/>
  <c r="ET3" i="1" a="1"/>
  <c r="ET3" i="1" s="1"/>
  <c r="ET2" i="1" a="1"/>
  <c r="ET2" i="1" s="1"/>
  <c r="ES3" i="1" a="1"/>
  <c r="ES3" i="1" s="1"/>
  <c r="ER3" i="1" a="1"/>
  <c r="ER3" i="1" s="1"/>
  <c r="DW59" i="1" a="1"/>
  <c r="DW59" i="1" s="1"/>
  <c r="EV3" i="1" a="1"/>
  <c r="EV3" i="1" s="1"/>
  <c r="EP3" i="1" a="1"/>
  <c r="EP3" i="1" s="1"/>
  <c r="EA59" i="1" a="1"/>
  <c r="EA59" i="1" s="1"/>
  <c r="EV2" i="1" a="1"/>
  <c r="EV2" i="1" s="1"/>
  <c r="EP2" i="1" a="1"/>
  <c r="EP2" i="1" s="1"/>
  <c r="DY59" i="1" a="1"/>
  <c r="DY59" i="1" s="1"/>
  <c r="EN3" i="1" a="1"/>
  <c r="EN3" i="1" s="1"/>
  <c r="EN2" i="1" a="1"/>
  <c r="EN2" i="1" s="1"/>
  <c r="DX59" i="1" a="1"/>
  <c r="DX59" i="1" s="1"/>
  <c r="EO3" i="1" a="1"/>
  <c r="EO3" i="1" s="1"/>
  <c r="X13" i="2"/>
  <c r="EB59" i="1" a="1"/>
  <c r="EB59" i="1" s="1"/>
  <c r="EO2" i="1" a="1"/>
  <c r="EO2" i="1" s="1"/>
  <c r="DV59" i="1" a="1"/>
  <c r="DV59" i="1" s="1"/>
  <c r="ES2" i="1" a="1"/>
  <c r="ES2" i="1" s="1"/>
  <c r="EM2" i="1" a="1"/>
  <c r="EM2" i="1" s="1"/>
  <c r="EM3" i="1" a="1"/>
  <c r="EM3" i="1" s="1"/>
  <c r="X675" i="2"/>
  <c r="X15" i="2"/>
  <c r="X792" i="2"/>
  <c r="X12" i="2"/>
  <c r="X612" i="2"/>
  <c r="X732" i="2"/>
  <c r="X672" i="2"/>
  <c r="X729" i="2"/>
  <c r="X609" i="2"/>
  <c r="X669" i="2"/>
  <c r="X9" i="2"/>
  <c r="X789" i="2"/>
  <c r="J4" i="2"/>
  <c r="L4" i="2" s="1"/>
  <c r="I4" i="2" a="1"/>
  <c r="I4" i="2" s="1"/>
  <c r="F54" i="2"/>
  <c r="E54" i="2"/>
  <c r="F52" i="2"/>
  <c r="E52" i="2"/>
  <c r="E55" i="2"/>
  <c r="F55" i="2"/>
  <c r="E16" i="2"/>
  <c r="F16" i="2"/>
  <c r="E41" i="2"/>
  <c r="F41" i="2"/>
  <c r="E50" i="2"/>
  <c r="F50" i="2"/>
  <c r="F46" i="2"/>
  <c r="E46" i="2"/>
  <c r="E13" i="2"/>
  <c r="F13" i="2"/>
  <c r="F44" i="2"/>
  <c r="E44" i="2"/>
  <c r="E23" i="2"/>
  <c r="F23" i="2"/>
  <c r="E31" i="2"/>
  <c r="F31" i="2"/>
  <c r="E49" i="2"/>
  <c r="F49" i="2"/>
  <c r="F21" i="2"/>
  <c r="E21" i="2"/>
  <c r="E11" i="2"/>
  <c r="F11" i="2"/>
  <c r="E8" i="2"/>
  <c r="F8" i="2"/>
  <c r="E25" i="2"/>
  <c r="F25" i="2"/>
  <c r="E17" i="2"/>
  <c r="F17" i="2"/>
  <c r="E56" i="2"/>
  <c r="F56" i="2"/>
  <c r="E9" i="2"/>
  <c r="F9" i="2"/>
  <c r="E42" i="2"/>
  <c r="F42" i="2"/>
  <c r="E39" i="2"/>
  <c r="F39" i="2"/>
  <c r="F38" i="2"/>
  <c r="E38" i="2"/>
  <c r="E5" i="2"/>
  <c r="F5" i="2"/>
  <c r="F36" i="2"/>
  <c r="E36" i="2"/>
  <c r="E59" i="2"/>
  <c r="F59" i="2"/>
  <c r="F3" i="2"/>
  <c r="E3" i="2"/>
  <c r="F30" i="2"/>
  <c r="E30" i="2"/>
  <c r="F28" i="2"/>
  <c r="E28" i="2"/>
  <c r="E51" i="2"/>
  <c r="F51" i="2"/>
  <c r="E33" i="2"/>
  <c r="F33" i="2"/>
  <c r="E15" i="2"/>
  <c r="F15" i="2"/>
  <c r="F22" i="2"/>
  <c r="E22" i="2"/>
  <c r="E53" i="2"/>
  <c r="F53" i="2"/>
  <c r="E20" i="2"/>
  <c r="F20" i="2"/>
  <c r="E43" i="2"/>
  <c r="F43" i="2"/>
  <c r="E26" i="2"/>
  <c r="F26" i="2"/>
  <c r="E32" i="2"/>
  <c r="F32" i="2"/>
  <c r="E18" i="2"/>
  <c r="F18" i="2"/>
  <c r="F14" i="2"/>
  <c r="E14" i="2"/>
  <c r="E45" i="2"/>
  <c r="F45" i="2"/>
  <c r="F12" i="2"/>
  <c r="E12" i="2"/>
  <c r="E35" i="2"/>
  <c r="F35" i="2"/>
  <c r="E29" i="2"/>
  <c r="F29" i="2"/>
  <c r="E19" i="2"/>
  <c r="F19" i="2"/>
  <c r="E48" i="2"/>
  <c r="F48" i="2"/>
  <c r="E58" i="2"/>
  <c r="F58" i="2"/>
  <c r="E24" i="2"/>
  <c r="F24" i="2"/>
  <c r="E34" i="2"/>
  <c r="F34" i="2"/>
  <c r="E40" i="2"/>
  <c r="F40" i="2"/>
  <c r="E57" i="2"/>
  <c r="F57" i="2"/>
  <c r="E47" i="2"/>
  <c r="F47" i="2"/>
  <c r="E10" i="2"/>
  <c r="F10" i="2"/>
  <c r="E6" i="2"/>
  <c r="F6" i="2"/>
  <c r="E37" i="2"/>
  <c r="F37" i="2"/>
  <c r="E7" i="2"/>
  <c r="F7" i="2"/>
  <c r="E4" i="2"/>
  <c r="F4" i="2"/>
  <c r="E27" i="2"/>
  <c r="F27" i="2"/>
  <c r="C3" i="2"/>
  <c r="D3" i="2"/>
  <c r="H3" i="2"/>
  <c r="G3" i="2"/>
  <c r="J5" i="2"/>
  <c r="L5" i="2" s="1"/>
  <c r="J3" i="2"/>
  <c r="L3" i="2" s="1"/>
  <c r="C4" i="2"/>
  <c r="D4" i="2"/>
  <c r="H4" i="2"/>
  <c r="G4" i="2"/>
  <c r="D6" i="2"/>
  <c r="H6" i="2"/>
  <c r="C6" i="2"/>
  <c r="G6" i="2"/>
  <c r="J6" i="2"/>
  <c r="K6" i="2" s="1"/>
  <c r="C5" i="2"/>
  <c r="D5" i="2"/>
  <c r="H5" i="2"/>
  <c r="G5" i="2"/>
  <c r="BP28" i="1"/>
  <c r="BR29" i="1" s="1"/>
  <c r="BP10" i="1"/>
  <c r="BP14" i="1" s="1"/>
  <c r="BP13" i="1"/>
  <c r="K4" i="2" l="1"/>
  <c r="K3" i="2"/>
  <c r="K5" i="2"/>
  <c r="L6" i="2"/>
  <c r="C7" i="2"/>
  <c r="H7" i="2"/>
  <c r="D7" i="2"/>
  <c r="G7" i="2"/>
  <c r="J7" i="2"/>
  <c r="BR27" i="1"/>
  <c r="BP12" i="1"/>
  <c r="L7" i="2" l="1"/>
  <c r="K7" i="2"/>
  <c r="BP47" i="1"/>
  <c r="BR26" i="1"/>
  <c r="D8" i="2" l="1"/>
  <c r="C8" i="2"/>
  <c r="H8" i="2"/>
  <c r="G8" i="2"/>
  <c r="J8" i="2"/>
  <c r="BP49" i="1"/>
  <c r="BP48" i="1"/>
  <c r="BQ46" i="1" s="1"/>
  <c r="K8" i="2" l="1"/>
  <c r="L8" i="2"/>
  <c r="BP50" i="1"/>
  <c r="BP51" i="1" s="1"/>
  <c r="BQ47" i="1"/>
  <c r="BQ48" i="1" s="1"/>
  <c r="C9" i="2" l="1"/>
  <c r="D9" i="2"/>
  <c r="H9" i="2"/>
  <c r="G9" i="2"/>
  <c r="J9" i="2"/>
  <c r="BQ49" i="1"/>
  <c r="BP46" i="1" s="1"/>
  <c r="BR32" i="1" s="1"/>
  <c r="AX22" i="1" s="1"/>
  <c r="L9" i="2" l="1"/>
  <c r="K9" i="2"/>
  <c r="H10" i="2" l="1"/>
  <c r="C10" i="2"/>
  <c r="D10" i="2"/>
  <c r="G10" i="2"/>
  <c r="J10" i="2"/>
  <c r="L10" i="2" l="1"/>
  <c r="K10" i="2"/>
  <c r="H11" i="2" l="1"/>
  <c r="C11" i="2"/>
  <c r="D11" i="2"/>
  <c r="G11" i="2"/>
  <c r="J11" i="2"/>
  <c r="K11" i="2" l="1"/>
  <c r="L11" i="2"/>
  <c r="D12" i="2" l="1"/>
  <c r="H12" i="2"/>
  <c r="C12" i="2"/>
  <c r="G12" i="2"/>
  <c r="J12" i="2"/>
  <c r="L12" i="2" l="1"/>
  <c r="K12" i="2"/>
  <c r="H13" i="2" l="1"/>
  <c r="D13" i="2"/>
  <c r="C13" i="2"/>
  <c r="G13" i="2"/>
  <c r="J13" i="2"/>
  <c r="L13" i="2" l="1"/>
  <c r="K13" i="2"/>
  <c r="H14" i="2" l="1"/>
  <c r="C14" i="2"/>
  <c r="D14" i="2"/>
  <c r="G14" i="2"/>
  <c r="J14" i="2"/>
  <c r="K14" i="2" l="1"/>
  <c r="L14" i="2"/>
  <c r="H15" i="2" l="1"/>
  <c r="C15" i="2"/>
  <c r="D15" i="2"/>
  <c r="J15" i="2"/>
  <c r="G15" i="2"/>
  <c r="L15" i="2" l="1"/>
  <c r="K15" i="2"/>
  <c r="C16" i="2" l="1"/>
  <c r="D16" i="2"/>
  <c r="H16" i="2"/>
  <c r="G16" i="2"/>
  <c r="J16" i="2"/>
  <c r="K16" i="2" l="1"/>
  <c r="L16" i="2"/>
  <c r="C17" i="2" l="1"/>
  <c r="D17" i="2"/>
  <c r="H17" i="2"/>
  <c r="G17" i="2"/>
  <c r="J17" i="2"/>
  <c r="K17" i="2" l="1"/>
  <c r="L17" i="2"/>
  <c r="C18" i="2" l="1"/>
  <c r="H18" i="2"/>
  <c r="D18" i="2"/>
  <c r="G18" i="2"/>
  <c r="J18" i="2"/>
  <c r="L18" i="2" l="1"/>
  <c r="K18" i="2"/>
  <c r="H19" i="2" l="1"/>
  <c r="C19" i="2"/>
  <c r="D19" i="2"/>
  <c r="G19" i="2"/>
  <c r="J19" i="2"/>
  <c r="L19" i="2" l="1"/>
  <c r="K19" i="2"/>
  <c r="C20" i="2" l="1"/>
  <c r="H20" i="2"/>
  <c r="D20" i="2"/>
  <c r="G20" i="2"/>
  <c r="J20" i="2"/>
  <c r="K20" i="2" l="1"/>
  <c r="L20" i="2"/>
  <c r="C21" i="2" l="1"/>
  <c r="D21" i="2"/>
  <c r="H21" i="2"/>
  <c r="G21" i="2"/>
  <c r="J21" i="2"/>
  <c r="L21" i="2" l="1"/>
  <c r="K21" i="2"/>
  <c r="H22" i="2" l="1"/>
  <c r="C22" i="2"/>
  <c r="D22" i="2"/>
  <c r="G22" i="2"/>
  <c r="J22" i="2"/>
  <c r="K22" i="2" l="1"/>
  <c r="L22" i="2"/>
  <c r="D23" i="2" l="1"/>
  <c r="C23" i="2"/>
  <c r="H23" i="2"/>
  <c r="G23" i="2"/>
  <c r="J23" i="2"/>
  <c r="K23" i="2" l="1"/>
  <c r="L23" i="2"/>
  <c r="H24" i="2" l="1"/>
  <c r="D24" i="2"/>
  <c r="C24" i="2"/>
  <c r="G24" i="2"/>
  <c r="J24" i="2"/>
  <c r="K24" i="2" l="1"/>
  <c r="L24" i="2"/>
  <c r="D25" i="2" l="1"/>
  <c r="C25" i="2"/>
  <c r="H25" i="2"/>
  <c r="G25" i="2"/>
  <c r="J25" i="2"/>
  <c r="L25" i="2" l="1"/>
  <c r="K25" i="2"/>
  <c r="C26" i="2" l="1"/>
  <c r="H26" i="2"/>
  <c r="D26" i="2"/>
  <c r="G26" i="2"/>
  <c r="J26" i="2"/>
  <c r="L26" i="2" l="1"/>
  <c r="K26" i="2"/>
  <c r="C27" i="2" l="1"/>
  <c r="D27" i="2"/>
  <c r="H27" i="2"/>
  <c r="G27" i="2"/>
  <c r="J27" i="2"/>
  <c r="L27" i="2" l="1"/>
  <c r="K27" i="2"/>
  <c r="C28" i="2" l="1"/>
  <c r="H28" i="2"/>
  <c r="D28" i="2"/>
  <c r="G28" i="2"/>
  <c r="J28" i="2"/>
  <c r="K28" i="2" l="1"/>
  <c r="L28" i="2"/>
  <c r="C29" i="2" l="1"/>
  <c r="H29" i="2"/>
  <c r="D29" i="2"/>
  <c r="G29" i="2"/>
  <c r="J29" i="2"/>
  <c r="L29" i="2" l="1"/>
  <c r="K29" i="2"/>
  <c r="D30" i="2" l="1"/>
  <c r="H30" i="2"/>
  <c r="C30" i="2"/>
  <c r="G30" i="2"/>
  <c r="J30" i="2"/>
  <c r="K30" i="2" l="1"/>
  <c r="L30" i="2"/>
  <c r="D31" i="2" l="1"/>
  <c r="C31" i="2"/>
  <c r="H31" i="2"/>
  <c r="G31" i="2"/>
  <c r="J31" i="2"/>
  <c r="L31" i="2" l="1"/>
  <c r="K31" i="2"/>
  <c r="C32" i="2" l="1"/>
  <c r="D32" i="2"/>
  <c r="H32" i="2"/>
  <c r="G32" i="2"/>
  <c r="J32" i="2"/>
  <c r="K32" i="2" l="1"/>
  <c r="L32" i="2"/>
  <c r="C33" i="2" l="1"/>
  <c r="H33" i="2"/>
  <c r="D33" i="2"/>
  <c r="G33" i="2"/>
  <c r="J33" i="2"/>
  <c r="K33" i="2" l="1"/>
  <c r="L33" i="2"/>
  <c r="C34" i="2" l="1"/>
  <c r="D34" i="2"/>
  <c r="H34" i="2"/>
  <c r="G34" i="2"/>
  <c r="J34" i="2"/>
  <c r="K34" i="2" l="1"/>
  <c r="L34" i="2"/>
  <c r="D35" i="2" l="1"/>
  <c r="H35" i="2"/>
  <c r="C35" i="2"/>
  <c r="G35" i="2"/>
  <c r="J35" i="2"/>
  <c r="K35" i="2" l="1"/>
  <c r="L35" i="2"/>
  <c r="C36" i="2" l="1"/>
  <c r="H36" i="2"/>
  <c r="D36" i="2"/>
  <c r="G36" i="2"/>
  <c r="J36" i="2"/>
  <c r="L36" i="2" l="1"/>
  <c r="K36" i="2"/>
  <c r="C37" i="2" l="1"/>
  <c r="D37" i="2"/>
  <c r="H37" i="2"/>
  <c r="G37" i="2"/>
  <c r="J37" i="2"/>
  <c r="L37" i="2" l="1"/>
  <c r="K37" i="2"/>
  <c r="H38" i="2" l="1"/>
  <c r="D38" i="2"/>
  <c r="C38" i="2"/>
  <c r="G38" i="2"/>
  <c r="J38" i="2"/>
  <c r="L38" i="2" l="1"/>
  <c r="K38" i="2"/>
  <c r="C39" i="2" l="1"/>
  <c r="H39" i="2"/>
  <c r="D39" i="2"/>
  <c r="G39" i="2"/>
  <c r="J39" i="2"/>
  <c r="K39" i="2" l="1"/>
  <c r="L39" i="2"/>
  <c r="D40" i="2" l="1"/>
  <c r="C40" i="2"/>
  <c r="G40" i="2"/>
  <c r="J40" i="2"/>
  <c r="H40" i="2"/>
  <c r="K40" i="2" l="1"/>
  <c r="L40" i="2"/>
  <c r="D41" i="2" l="1"/>
  <c r="J41" i="2"/>
  <c r="H41" i="2"/>
  <c r="C41" i="2"/>
  <c r="G41" i="2"/>
  <c r="L41" i="2" l="1"/>
  <c r="K41" i="2"/>
  <c r="C42" i="2" l="1"/>
  <c r="J42" i="2"/>
  <c r="H42" i="2"/>
  <c r="G42" i="2"/>
  <c r="D42" i="2"/>
  <c r="L42" i="2" l="1"/>
  <c r="K42" i="2"/>
  <c r="J43" i="2" l="1"/>
  <c r="D43" i="2"/>
  <c r="G43" i="2"/>
  <c r="C43" i="2"/>
  <c r="H43" i="2"/>
  <c r="L43" i="2" l="1"/>
  <c r="K43" i="2"/>
  <c r="C44" i="2" l="1"/>
  <c r="H44" i="2"/>
  <c r="D44" i="2"/>
  <c r="J44" i="2"/>
  <c r="G44" i="2"/>
  <c r="L44" i="2" l="1"/>
  <c r="K44" i="2"/>
  <c r="D45" i="2" l="1"/>
  <c r="G45" i="2"/>
  <c r="H45" i="2"/>
  <c r="C45" i="2"/>
  <c r="J45" i="2"/>
  <c r="L45" i="2" l="1"/>
  <c r="K45" i="2"/>
  <c r="J46" i="2" l="1"/>
  <c r="G46" i="2"/>
  <c r="C46" i="2"/>
  <c r="D46" i="2"/>
  <c r="H46" i="2"/>
  <c r="K46" i="2" l="1"/>
  <c r="L46" i="2"/>
  <c r="G47" i="2" l="1"/>
  <c r="H47" i="2"/>
  <c r="D47" i="2"/>
  <c r="J47" i="2"/>
  <c r="C47" i="2"/>
  <c r="L47" i="2" l="1"/>
  <c r="K47" i="2"/>
  <c r="J48" i="2" l="1"/>
  <c r="H48" i="2"/>
  <c r="G48" i="2"/>
  <c r="D48" i="2"/>
  <c r="C48" i="2"/>
  <c r="K48" i="2" l="1"/>
  <c r="L48" i="2"/>
  <c r="D49" i="2" l="1"/>
  <c r="J49" i="2"/>
  <c r="G49" i="2"/>
  <c r="H49" i="2"/>
  <c r="C49" i="2"/>
  <c r="L49" i="2" l="1"/>
  <c r="K49" i="2"/>
  <c r="C50" i="2" l="1"/>
  <c r="D50" i="2"/>
  <c r="H50" i="2"/>
  <c r="G50" i="2"/>
  <c r="J50" i="2"/>
  <c r="L50" i="2" l="1"/>
  <c r="K50" i="2"/>
  <c r="J51" i="2" l="1"/>
  <c r="H51" i="2"/>
  <c r="D51" i="2"/>
  <c r="G51" i="2"/>
  <c r="C51" i="2"/>
  <c r="L51" i="2" l="1"/>
  <c r="K51" i="2"/>
  <c r="C52" i="2" l="1"/>
  <c r="G52" i="2"/>
  <c r="J52" i="2"/>
  <c r="H52" i="2"/>
  <c r="D52" i="2"/>
  <c r="L52" i="2" l="1"/>
  <c r="K52" i="2"/>
  <c r="J53" i="2" l="1"/>
  <c r="G53" i="2"/>
  <c r="H53" i="2"/>
  <c r="C53" i="2"/>
  <c r="D53" i="2"/>
  <c r="L53" i="2" l="1"/>
  <c r="K53" i="2"/>
  <c r="J54" i="2" l="1"/>
  <c r="D54" i="2"/>
  <c r="H54" i="2"/>
  <c r="G54" i="2"/>
  <c r="C54" i="2"/>
  <c r="L54" i="2" l="1"/>
  <c r="K54" i="2"/>
  <c r="J55" i="2" l="1"/>
  <c r="H55" i="2"/>
  <c r="G55" i="2"/>
  <c r="C55" i="2"/>
  <c r="D55" i="2"/>
  <c r="K55" i="2" l="1"/>
  <c r="L55" i="2"/>
  <c r="G56" i="2" l="1"/>
  <c r="J56" i="2"/>
  <c r="H56" i="2"/>
  <c r="D56" i="2"/>
  <c r="C56" i="2"/>
  <c r="K56" i="2" l="1"/>
  <c r="L56" i="2"/>
  <c r="G57" i="2" l="1"/>
  <c r="D57" i="2"/>
  <c r="C57" i="2"/>
  <c r="J57" i="2"/>
  <c r="H57" i="2"/>
  <c r="L57" i="2" l="1"/>
  <c r="K57" i="2"/>
  <c r="H58" i="2" l="1"/>
  <c r="C58" i="2"/>
  <c r="J58" i="2"/>
  <c r="G58" i="2"/>
  <c r="D58" i="2"/>
  <c r="L58" i="2" l="1"/>
  <c r="K58" i="2"/>
  <c r="D59" i="2" l="1"/>
  <c r="G59" i="2"/>
  <c r="H59" i="2"/>
  <c r="C59" i="2"/>
  <c r="J59" i="2"/>
  <c r="L59" i="2" l="1"/>
  <c r="K59" i="2"/>
  <c r="K60" i="2" s="1"/>
  <c r="BL2" i="1" l="1"/>
  <c r="BD2" i="1"/>
  <c r="DZ2" i="1" s="1" a="1"/>
  <c r="DZ2" i="1" s="1"/>
  <c r="EH2" i="1" l="1" a="1"/>
  <c r="EH2" i="1" s="1"/>
  <c r="X723" i="2" s="1"/>
  <c r="T723" i="2"/>
  <c r="EQ2" i="1" a="1"/>
  <c r="EQ2" i="1" s="1"/>
  <c r="EQ3" i="1" a="1"/>
  <c r="EQ3" i="1" s="1"/>
  <c r="EH59" i="1" a="1"/>
  <c r="EH59" i="1" s="1"/>
  <c r="EY3" i="1" l="1" a="1"/>
  <c r="EY3" i="1" s="1"/>
  <c r="EY2" i="1" a="1"/>
  <c r="EY2" i="1" s="1"/>
  <c r="DZ59" i="1" a="1"/>
  <c r="DZ59" i="1" s="1"/>
  <c r="AE2" i="1" s="1" a="1"/>
  <c r="AE3" i="1" l="1"/>
  <c r="AE10" i="1"/>
  <c r="X480" i="2" s="1"/>
  <c r="AE12" i="1"/>
  <c r="X600" i="2" s="1"/>
  <c r="AE14" i="1"/>
  <c r="AE9" i="1"/>
  <c r="X420" i="2" s="1"/>
  <c r="AE13" i="1"/>
  <c r="AE5" i="1"/>
  <c r="X180" i="2" s="1"/>
  <c r="AE2" i="1"/>
  <c r="AE7" i="1"/>
  <c r="X300" i="2" s="1"/>
  <c r="AE15" i="1"/>
  <c r="AE8" i="1"/>
  <c r="X360" i="2" s="1"/>
  <c r="AE11" i="1"/>
  <c r="X540" i="2" s="1"/>
  <c r="AE4" i="1"/>
  <c r="X120" i="2" s="1"/>
  <c r="AE6" i="1"/>
  <c r="X240" i="2" s="1"/>
  <c r="AE16" i="1"/>
  <c r="X780" i="2" l="1"/>
  <c r="X720" i="2"/>
  <c r="X840" i="2"/>
  <c r="X660" i="2"/>
  <c r="X60" i="2"/>
  <c r="J60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<sst xmlns="http://schemas.openxmlformats.org/spreadsheetml/2006/main" count="1986" uniqueCount="275">
  <si>
    <t>Number of Units</t>
  </si>
  <si>
    <t>Tag</t>
  </si>
  <si>
    <t>Path</t>
  </si>
  <si>
    <t>Make</t>
  </si>
  <si>
    <t>Model</t>
  </si>
  <si>
    <t>Lw/Lp (A)</t>
  </si>
  <si>
    <t>Ref. Dist.
(0 = LwA,
dist. = Lp)</t>
  </si>
  <si>
    <t>Tested Q</t>
  </si>
  <si>
    <t>Sound Power 
(estimated if SPL provided)</t>
  </si>
  <si>
    <t>Installed Q</t>
  </si>
  <si>
    <t>IL (duct, silencer, 
louver, etc)</t>
  </si>
  <si>
    <t>X</t>
  </si>
  <si>
    <t>Y</t>
  </si>
  <si>
    <t>Z</t>
  </si>
  <si>
    <t>building height</t>
  </si>
  <si>
    <t>unit height</t>
  </si>
  <si>
    <t>R#</t>
  </si>
  <si>
    <t>Lim. (dBA)</t>
  </si>
  <si>
    <t>Est. Level</t>
  </si>
  <si>
    <t>Distance (ft)</t>
  </si>
  <si>
    <t>Attenuation (dB)</t>
  </si>
  <si>
    <t>Source</t>
  </si>
  <si>
    <t>Receiver</t>
  </si>
  <si>
    <t>Barrier (start)</t>
  </si>
  <si>
    <t>Barrier (end)</t>
  </si>
  <si>
    <t>Barrier IL (dB)</t>
  </si>
  <si>
    <t>Total</t>
  </si>
  <si>
    <t>bumper</t>
  </si>
  <si>
    <t>R2</t>
  </si>
  <si>
    <t>Name</t>
  </si>
  <si>
    <t>Barrier (X0, Y1, Z0)</t>
  </si>
  <si>
    <t>Barrier (X1, Y1, Z1)</t>
  </si>
  <si>
    <t>x</t>
  </si>
  <si>
    <t>Distance: Source - Receiver (Horizontal line)</t>
  </si>
  <si>
    <t>m: S to R</t>
  </si>
  <si>
    <t>Distance: Source - Barrier (Horizontal line)</t>
  </si>
  <si>
    <t>m: bar S to bar E</t>
  </si>
  <si>
    <t>Distance: Barrier - Receiver (straight line)</t>
  </si>
  <si>
    <t>b: S to R</t>
  </si>
  <si>
    <t>Distance: Source - Receiver Propogation</t>
  </si>
  <si>
    <t>b: bar S to bar E</t>
  </si>
  <si>
    <t>delta (a+b-r) - figure 5.4</t>
  </si>
  <si>
    <t>intersection: X</t>
  </si>
  <si>
    <t>distance: source - top of barrier</t>
  </si>
  <si>
    <t>intersection: Y</t>
  </si>
  <si>
    <t>distance: receiver - top of barrier</t>
  </si>
  <si>
    <t>used^</t>
  </si>
  <si>
    <t>test^</t>
  </si>
  <si>
    <t>min(height)</t>
  </si>
  <si>
    <t>height difference</t>
  </si>
  <si>
    <t>Master_Scale</t>
  </si>
  <si>
    <t>len barrier</t>
  </si>
  <si>
    <t>Know Distance (ft)</t>
  </si>
  <si>
    <t>Image Distance (px)</t>
  </si>
  <si>
    <t>slope</t>
  </si>
  <si>
    <t>dist to x</t>
  </si>
  <si>
    <t>Bar Height to Use</t>
  </si>
  <si>
    <t>Barriers</t>
  </si>
  <si>
    <t>new barrier height q^</t>
  </si>
  <si>
    <t>X0</t>
  </si>
  <si>
    <t>Y0</t>
  </si>
  <si>
    <t>Z0</t>
  </si>
  <si>
    <t>X1</t>
  </si>
  <si>
    <t>Y1</t>
  </si>
  <si>
    <t>Z1</t>
  </si>
  <si>
    <t>y</t>
  </si>
  <si>
    <t>Barrier - Min 4lb/ft2, unperforated</t>
  </si>
  <si>
    <t>Measurement</t>
  </si>
  <si>
    <t>ARI</t>
  </si>
  <si>
    <t>Path 
Length (ft)</t>
  </si>
  <si>
    <t>Barrier 
Reduction (dB)</t>
  </si>
  <si>
    <t xml:space="preserve">Barrier Reduction per ARI: </t>
  </si>
  <si>
    <t>PLD</t>
  </si>
  <si>
    <t>First Lower</t>
  </si>
  <si>
    <t>First Greater</t>
  </si>
  <si>
    <t>difference in adjency</t>
  </si>
  <si>
    <t xml:space="preserve">difference in reduction </t>
  </si>
  <si>
    <t>Limit</t>
  </si>
  <si>
    <t>dBA</t>
  </si>
  <si>
    <t>Count</t>
  </si>
  <si>
    <t>Source - Path</t>
  </si>
  <si>
    <t>LwA</t>
  </si>
  <si>
    <t>Barrier IL</t>
  </si>
  <si>
    <t>IL
 (duct, silencer, etc)</t>
  </si>
  <si>
    <t>MAU-R1</t>
  </si>
  <si>
    <t>ERV-R.1</t>
  </si>
  <si>
    <t>Greenheck</t>
  </si>
  <si>
    <t>Inlet</t>
  </si>
  <si>
    <t>DWEF-R1</t>
  </si>
  <si>
    <t>CU-R1</t>
  </si>
  <si>
    <t>CU-R2</t>
  </si>
  <si>
    <t>CU-R4</t>
  </si>
  <si>
    <t>CU-R5</t>
  </si>
  <si>
    <t>Radiated</t>
  </si>
  <si>
    <t>RCU-R(2p)</t>
  </si>
  <si>
    <t>bar1</t>
  </si>
  <si>
    <t>bar2</t>
  </si>
  <si>
    <t>bar3</t>
  </si>
  <si>
    <t>bar4</t>
  </si>
  <si>
    <t>bar6</t>
  </si>
  <si>
    <t>bar7</t>
  </si>
  <si>
    <t>bar8</t>
  </si>
  <si>
    <t>bar9</t>
  </si>
  <si>
    <t>bar10</t>
  </si>
  <si>
    <t>R1</t>
  </si>
  <si>
    <t>R3</t>
  </si>
  <si>
    <t>R4</t>
  </si>
  <si>
    <t>R5</t>
  </si>
  <si>
    <t>RCU-R(4p)1</t>
  </si>
  <si>
    <t>RCU-R(4p)2</t>
  </si>
  <si>
    <t>RCU-R(4p)3</t>
  </si>
  <si>
    <t>RCU-R(4p)4</t>
  </si>
  <si>
    <t>RCU-R(2p)1</t>
  </si>
  <si>
    <t>RCU-R(2p)2</t>
  </si>
  <si>
    <t>RCU-R(2p)3</t>
  </si>
  <si>
    <t>RCU-R(2p)4</t>
  </si>
  <si>
    <t>RCU-R(2p)5</t>
  </si>
  <si>
    <t>RCU-R(2p)6</t>
  </si>
  <si>
    <t>bar11</t>
  </si>
  <si>
    <t>bar12</t>
  </si>
  <si>
    <t>bar13</t>
  </si>
  <si>
    <t>bar14</t>
  </si>
  <si>
    <t>bar15</t>
  </si>
  <si>
    <t>bar16</t>
  </si>
  <si>
    <t>bar17</t>
  </si>
  <si>
    <t>bar18</t>
  </si>
  <si>
    <t>bar19</t>
  </si>
  <si>
    <t>bar20</t>
  </si>
  <si>
    <t>bar21</t>
  </si>
  <si>
    <t>bar22</t>
  </si>
  <si>
    <t>bar23</t>
  </si>
  <si>
    <t>bar24</t>
  </si>
  <si>
    <t>(2039,</t>
  </si>
  <si>
    <t>1314)</t>
  </si>
  <si>
    <t>eqmt</t>
  </si>
  <si>
    <t>rcvr</t>
  </si>
  <si>
    <t>bar</t>
  </si>
  <si>
    <t>barrier IL</t>
  </si>
  <si>
    <t>r_name: R1 x: 33.28</t>
  </si>
  <si>
    <t xml:space="preserve"> y: 85.62</t>
  </si>
  <si>
    <t xml:space="preserve"> z: 65</t>
  </si>
  <si>
    <t>r_name: R2 x: 104.62</t>
  </si>
  <si>
    <t xml:space="preserve"> y: 52.77</t>
  </si>
  <si>
    <t xml:space="preserve"> z: 40</t>
  </si>
  <si>
    <t>r_name: R3 x: 217.01</t>
  </si>
  <si>
    <t xml:space="preserve"> y: 22.5</t>
  </si>
  <si>
    <t xml:space="preserve"> z: 60</t>
  </si>
  <si>
    <t>r_name: R4 x: 316.86</t>
  </si>
  <si>
    <t xml:space="preserve"> y: 86.55</t>
  </si>
  <si>
    <t>r_name: R5 x: 14.23</t>
  </si>
  <si>
    <t xml:space="preserve"> y: 213.83</t>
  </si>
  <si>
    <t xml:space="preserve"> z: 45</t>
  </si>
  <si>
    <t xml:space="preserve">eqmt: </t>
  </si>
  <si>
    <t xml:space="preserve"> rcvr: </t>
  </si>
  <si>
    <t xml:space="preserve"> bar: </t>
  </si>
  <si>
    <t>bar22 - OB_fresnel</t>
  </si>
  <si>
    <t xml:space="preserve"> barrier IL: </t>
  </si>
  <si>
    <t>bar21 - OB_fresnel</t>
  </si>
  <si>
    <t>GEF-R1-</t>
  </si>
  <si>
    <t>bar2 - OB_fresnel</t>
  </si>
  <si>
    <t>DEF-R1</t>
  </si>
  <si>
    <t>KEF-R1-</t>
  </si>
  <si>
    <t>bar20 - OB_fresnel</t>
  </si>
  <si>
    <t>bar22 - ari</t>
  </si>
  <si>
    <t>bar2 - ari</t>
  </si>
  <si>
    <t>bar20 - ari</t>
  </si>
  <si>
    <t>BEF-R01-</t>
  </si>
  <si>
    <t>None</t>
  </si>
  <si>
    <t>BEF-R02-</t>
  </si>
  <si>
    <t>BEF-R03-</t>
  </si>
  <si>
    <t>BEF-R04-</t>
  </si>
  <si>
    <t>BEF-R05-</t>
  </si>
  <si>
    <t>BEF-R06-</t>
  </si>
  <si>
    <t>BEF-R07-</t>
  </si>
  <si>
    <t>BEF-R08-</t>
  </si>
  <si>
    <t>BEF-R09-</t>
  </si>
  <si>
    <t>BEF-R10-</t>
  </si>
  <si>
    <t>BEF-R11-</t>
  </si>
  <si>
    <t>BEF-R12-</t>
  </si>
  <si>
    <t>BEF-R13-</t>
  </si>
  <si>
    <t>BEF-R14-</t>
  </si>
  <si>
    <t>bar18 - ari</t>
  </si>
  <si>
    <t>BEF-R15-</t>
  </si>
  <si>
    <t>BEF-R16-</t>
  </si>
  <si>
    <t>bar1 - OB_fresnel</t>
  </si>
  <si>
    <t>bar1 - ari</t>
  </si>
  <si>
    <t>bar21 - ari</t>
  </si>
  <si>
    <t>bar3 - OB_fresnel</t>
  </si>
  <si>
    <t>bar4 - OB_fresnel</t>
  </si>
  <si>
    <t>bar5 - OB_fresnel</t>
  </si>
  <si>
    <t>bar3 - ari</t>
  </si>
  <si>
    <t>bar5 - ari</t>
  </si>
  <si>
    <t>bar4 - ari</t>
  </si>
  <si>
    <t>bar12 - OB_fresnel</t>
  </si>
  <si>
    <t>bar6 - OB_fresnel</t>
  </si>
  <si>
    <t>bar12 - ari</t>
  </si>
  <si>
    <t>bar6 - ari</t>
  </si>
  <si>
    <t>bar11 - ari</t>
  </si>
  <si>
    <t>bar10 - ari</t>
  </si>
  <si>
    <t>bar8 - ari</t>
  </si>
  <si>
    <t>bar7 - ari</t>
  </si>
  <si>
    <t>bar17 - OB_fresnel</t>
  </si>
  <si>
    <t>bar17 - ari</t>
  </si>
  <si>
    <t>Ignore Matrix</t>
  </si>
  <si>
    <t>Err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</si>
  <si>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</si>
  <si>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</si>
  <si>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</si>
  <si>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</si>
  <si>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</si>
  <si>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</si>
  <si>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</si>
  <si>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</si>
  <si>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</si>
  <si>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descriptor</t>
  </si>
  <si>
    <t>Combined LpA at Property Line (dBA)</t>
  </si>
  <si>
    <t>Distance Loss</t>
  </si>
  <si>
    <t>ARUM144DTE5</t>
  </si>
  <si>
    <t>ARUM241DTE5</t>
  </si>
  <si>
    <t>ARUM168DTE5</t>
  </si>
  <si>
    <t>ARUM121DTE5</t>
  </si>
  <si>
    <t>ARUM192DTE5</t>
  </si>
  <si>
    <t>ARUM144</t>
  </si>
  <si>
    <t>ARUM241</t>
  </si>
  <si>
    <t>ARUM168</t>
  </si>
  <si>
    <t>ARUM192</t>
  </si>
  <si>
    <t>GEF-2, 3, 4, 5</t>
  </si>
  <si>
    <t>GEF-1</t>
  </si>
  <si>
    <t>count</t>
  </si>
  <si>
    <t>tag</t>
  </si>
  <si>
    <t>GEF-6</t>
  </si>
  <si>
    <t>GEF-7</t>
  </si>
  <si>
    <t>GSF-04AB, 05AB</t>
  </si>
  <si>
    <t>GSF-6AB</t>
  </si>
  <si>
    <t>min</t>
  </si>
  <si>
    <t>median</t>
  </si>
  <si>
    <t>Directivity Loss</t>
  </si>
  <si>
    <t>Ducted Inlet</t>
  </si>
  <si>
    <t>Trane</t>
  </si>
  <si>
    <t>UCCA</t>
  </si>
  <si>
    <t>Outdoor+Casing+Exhaust</t>
  </si>
  <si>
    <t>CSAA</t>
  </si>
  <si>
    <t xml:space="preserve">GEF-R1 </t>
  </si>
  <si>
    <t>Inlet (plus ductwork lined)</t>
  </si>
  <si>
    <t>USF-336 BL</t>
  </si>
  <si>
    <t>DEF-R1, R2</t>
  </si>
  <si>
    <t>G-095-VG</t>
  </si>
  <si>
    <t xml:space="preserve">KEF-R1 </t>
  </si>
  <si>
    <t>USF-324-BL</t>
  </si>
  <si>
    <t>G-99-VG</t>
  </si>
  <si>
    <t>Mitsubishi</t>
  </si>
  <si>
    <t>TURYE3363BN40AN</t>
  </si>
  <si>
    <t>TURYE1683AN40AN</t>
  </si>
  <si>
    <t>PUHY-P96YLMU-A</t>
  </si>
  <si>
    <t>PUHY-P120YLMU-A</t>
  </si>
  <si>
    <t>MXZ-5C42</t>
  </si>
  <si>
    <t xml:space="preserve">BEF-R01 </t>
  </si>
  <si>
    <t>CUE-70VG</t>
  </si>
  <si>
    <t xml:space="preserve">BEF-R02 </t>
  </si>
  <si>
    <t>CUE-80VG</t>
  </si>
  <si>
    <t xml:space="preserve">BEF-R03 </t>
  </si>
  <si>
    <t xml:space="preserve">BEF-R04 </t>
  </si>
  <si>
    <t xml:space="preserve">BEF-R05 </t>
  </si>
  <si>
    <t xml:space="preserve">BEF-R06 </t>
  </si>
  <si>
    <t xml:space="preserve">BEF-R07 </t>
  </si>
  <si>
    <t xml:space="preserve">BEF-R08 </t>
  </si>
  <si>
    <t xml:space="preserve">BEF-R09 </t>
  </si>
  <si>
    <t xml:space="preserve">BEF-R10 </t>
  </si>
  <si>
    <t xml:space="preserve">BEF-R11 </t>
  </si>
  <si>
    <t xml:space="preserve">BEF-R12 </t>
  </si>
  <si>
    <t xml:space="preserve">BEF-R13 </t>
  </si>
  <si>
    <t xml:space="preserve">BEF-R14 </t>
  </si>
  <si>
    <t xml:space="preserve">BEF-R15 </t>
  </si>
  <si>
    <t xml:space="preserve">BEF-R16 </t>
  </si>
  <si>
    <t>bar5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</si>
</sst>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;;;@"/>
    <numFmt numFmtId="165" formatCode="0;\-0;;@"/>
    <numFmt numFmtId="166" formatCode="0.0"/>
    <numFmt numFmtId="167" formatCode="0.0;\-0.0;;@"/>
    <numFmt numFmtId="168" formatCode="0;[Red]0;[Red]&quot;0&quot;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name val="Arial Narrow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theme="1"/>
      <name val="Arial Narrow"/>
      <family val="2"/>
    </font>
    <font>
      <b/>
      <sz val="11"/>
      <color indexed="8"/>
      <name val="Arial Narrow"/>
      <family val="2"/>
    </font>
    <font>
      <b/>
      <sz val="11"/>
      <color theme="1"/>
      <name val="Arial Narrow"/>
      <family val="2"/>
    </font>
    <font>
      <b/>
      <sz val="11"/>
      <color rgb="FFC00000"/>
      <name val="Arial Narrow"/>
      <family val="2"/>
    </font>
    <font>
      <sz val="11"/>
      <color rgb="FF3F3F76"/>
      <name val="Arial Narrow"/>
      <family val="2"/>
    </font>
    <font>
      <b/>
      <sz val="11"/>
      <color rgb="FFFA7D00"/>
      <name val="Arial Narrow"/>
      <family val="2"/>
    </font>
    <font>
      <b/>
      <sz val="11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Arial Narrow"/>
      <family val="2"/>
    </font>
    <font>
      <b/>
      <sz val="11"/>
      <color rgb="FF00B050"/>
      <name val="Arial Narrow"/>
      <family val="2"/>
    </font>
    <font>
      <sz val="11"/>
      <color rgb="FF00B050"/>
      <name val="Arial Narrow"/>
      <family val="2"/>
    </font>
    <font>
      <b/>
      <sz val="11"/>
      <color theme="0"/>
      <name val="Arial Narrow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0.499984740745262"/>
      </bottom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0" fontId="6" fillId="6" borderId="18"/>
    <xf numFmtId="0" fontId="7" fillId="7" borderId="18"/>
    <xf numFmtId="0" fontId="13" fillId="10" borderId="18"/>
    <xf numFmtId="0" fontId="9" fillId="0" borderId="0"/>
    <xf numFmtId="0" fontId="13" fillId="12" borderId="18"/>
    <xf numFmtId="0" fontId="13" fillId="4" borderId="18"/>
    <xf numFmtId="2" fontId="14" fillId="7" borderId="18"/>
    <xf numFmtId="0" fontId="13" fillId="6" borderId="18"/>
    <xf numFmtId="168" fontId="21" fillId="13" borderId="18"/>
  </cellStyleXfs>
  <cellXfs count="249">
    <xf numFmtId="0" fontId="0" fillId="0" borderId="0" xfId="0"/>
    <xf numFmtId="0" fontId="1" fillId="0" borderId="5" xfId="0" applyFont="1" applyBorder="1" applyAlignment="1">
      <alignment horizontal="center"/>
    </xf>
    <xf numFmtId="0" fontId="12" fillId="2" borderId="18" xfId="0" applyFont="1" applyFill="1" applyBorder="1" applyAlignment="1">
      <alignment horizontal="center"/>
    </xf>
    <xf numFmtId="1" fontId="6" fillId="6" borderId="18" xfId="1" applyNumberFormat="1" applyAlignment="1">
      <alignment horizontal="left"/>
    </xf>
    <xf numFmtId="1" fontId="0" fillId="0" borderId="0" xfId="0" applyNumberFormat="1"/>
    <xf numFmtId="1" fontId="6" fillId="6" borderId="32" xfId="1" applyNumberFormat="1" applyBorder="1" applyAlignment="1">
      <alignment horizontal="left"/>
    </xf>
    <xf numFmtId="0" fontId="12" fillId="2" borderId="32" xfId="0" applyFont="1" applyFill="1" applyBorder="1" applyAlignment="1">
      <alignment horizontal="center"/>
    </xf>
    <xf numFmtId="0" fontId="6" fillId="6" borderId="28" xfId="1" applyBorder="1" applyAlignment="1">
      <alignment horizontal="left"/>
    </xf>
    <xf numFmtId="0" fontId="1" fillId="0" borderId="4" xfId="0" applyFont="1" applyBorder="1" applyAlignment="1">
      <alignment wrapText="1"/>
    </xf>
    <xf numFmtId="0" fontId="1" fillId="0" borderId="4" xfId="0" applyFont="1" applyBorder="1" applyAlignment="1">
      <alignment horizontal="left" wrapText="1"/>
    </xf>
    <xf numFmtId="49" fontId="10" fillId="2" borderId="4" xfId="0" applyNumberFormat="1" applyFont="1" applyFill="1" applyBorder="1" applyAlignment="1">
      <alignment horizontal="center" wrapText="1"/>
    </xf>
    <xf numFmtId="1" fontId="1" fillId="0" borderId="4" xfId="0" applyNumberFormat="1" applyFont="1" applyBorder="1" applyAlignment="1">
      <alignment horizontal="left" wrapText="1"/>
    </xf>
    <xf numFmtId="49" fontId="1" fillId="0" borderId="4" xfId="0" applyNumberFormat="1" applyFont="1" applyBorder="1" applyAlignment="1">
      <alignment horizontal="left" wrapText="1"/>
    </xf>
    <xf numFmtId="0" fontId="1" fillId="0" borderId="4" xfId="0" applyFont="1" applyBorder="1"/>
    <xf numFmtId="0" fontId="1" fillId="0" borderId="22" xfId="0" applyFont="1" applyBorder="1"/>
    <xf numFmtId="0" fontId="13" fillId="10" borderId="35" xfId="3" applyBorder="1" applyAlignment="1">
      <alignment horizontal="left"/>
    </xf>
    <xf numFmtId="0" fontId="13" fillId="10" borderId="39" xfId="3" applyBorder="1" applyAlignment="1">
      <alignment horizontal="left"/>
    </xf>
    <xf numFmtId="0" fontId="13" fillId="10" borderId="40" xfId="3" applyBorder="1" applyAlignment="1">
      <alignment horizontal="left"/>
    </xf>
    <xf numFmtId="0" fontId="9" fillId="0" borderId="0" xfId="4"/>
    <xf numFmtId="0" fontId="11" fillId="0" borderId="0" xfId="4" applyFont="1"/>
    <xf numFmtId="0" fontId="9" fillId="0" borderId="3" xfId="4" applyBorder="1"/>
    <xf numFmtId="0" fontId="11" fillId="0" borderId="5" xfId="4" applyFont="1" applyBorder="1"/>
    <xf numFmtId="0" fontId="11" fillId="0" borderId="10" xfId="4" applyFont="1" applyBorder="1"/>
    <xf numFmtId="0" fontId="11" fillId="0" borderId="11" xfId="4" applyFont="1" applyBorder="1"/>
    <xf numFmtId="0" fontId="11" fillId="0" borderId="12" xfId="4" applyFont="1" applyBorder="1"/>
    <xf numFmtId="0" fontId="11" fillId="0" borderId="19" xfId="4" applyFont="1" applyBorder="1"/>
    <xf numFmtId="0" fontId="13" fillId="12" borderId="41" xfId="5" applyBorder="1"/>
    <xf numFmtId="0" fontId="13" fillId="4" borderId="42" xfId="6" applyBorder="1"/>
    <xf numFmtId="0" fontId="13" fillId="4" borderId="13" xfId="6" applyBorder="1"/>
    <xf numFmtId="0" fontId="13" fillId="4" borderId="14" xfId="6" applyBorder="1"/>
    <xf numFmtId="0" fontId="13" fillId="12" borderId="43" xfId="5" applyBorder="1"/>
    <xf numFmtId="0" fontId="13" fillId="4" borderId="2" xfId="6" applyBorder="1"/>
    <xf numFmtId="0" fontId="13" fillId="4" borderId="1" xfId="6" applyBorder="1"/>
    <xf numFmtId="0" fontId="13" fillId="4" borderId="7" xfId="6" applyBorder="1"/>
    <xf numFmtId="0" fontId="9" fillId="0" borderId="0" xfId="4" applyAlignment="1">
      <alignment horizontal="center"/>
    </xf>
    <xf numFmtId="0" fontId="11" fillId="0" borderId="20" xfId="4" applyFont="1" applyBorder="1"/>
    <xf numFmtId="0" fontId="13" fillId="4" borderId="44" xfId="6" applyBorder="1"/>
    <xf numFmtId="0" fontId="9" fillId="0" borderId="0" xfId="4" applyAlignment="1">
      <alignment horizontal="right"/>
    </xf>
    <xf numFmtId="0" fontId="9" fillId="0" borderId="23" xfId="4" applyBorder="1"/>
    <xf numFmtId="0" fontId="11" fillId="0" borderId="46" xfId="4" applyFont="1" applyBorder="1"/>
    <xf numFmtId="2" fontId="9" fillId="0" borderId="0" xfId="4" applyNumberFormat="1"/>
    <xf numFmtId="0" fontId="11" fillId="0" borderId="23" xfId="4" applyFont="1" applyBorder="1"/>
    <xf numFmtId="2" fontId="14" fillId="7" borderId="50" xfId="7" applyBorder="1"/>
    <xf numFmtId="0" fontId="11" fillId="0" borderId="21" xfId="4" applyFont="1" applyBorder="1"/>
    <xf numFmtId="2" fontId="14" fillId="7" borderId="5" xfId="7" applyBorder="1"/>
    <xf numFmtId="2" fontId="14" fillId="7" borderId="18" xfId="7"/>
    <xf numFmtId="0" fontId="9" fillId="0" borderId="21" xfId="4" applyBorder="1"/>
    <xf numFmtId="0" fontId="11" fillId="0" borderId="4" xfId="4" applyFont="1" applyBorder="1"/>
    <xf numFmtId="0" fontId="11" fillId="0" borderId="22" xfId="4" applyFont="1" applyBorder="1"/>
    <xf numFmtId="0" fontId="13" fillId="6" borderId="1" xfId="8" applyBorder="1"/>
    <xf numFmtId="0" fontId="13" fillId="6" borderId="7" xfId="8" applyBorder="1"/>
    <xf numFmtId="0" fontId="13" fillId="6" borderId="15" xfId="8" applyBorder="1"/>
    <xf numFmtId="0" fontId="13" fillId="6" borderId="9" xfId="8" applyBorder="1"/>
    <xf numFmtId="0" fontId="3" fillId="11" borderId="1" xfId="4" applyFont="1" applyFill="1" applyBorder="1" applyAlignment="1">
      <alignment horizontal="center"/>
    </xf>
    <xf numFmtId="0" fontId="4" fillId="11" borderId="1" xfId="4" applyFont="1" applyFill="1" applyBorder="1" applyAlignment="1">
      <alignment horizontal="center"/>
    </xf>
    <xf numFmtId="1" fontId="7" fillId="7" borderId="35" xfId="2" applyNumberFormat="1" applyBorder="1"/>
    <xf numFmtId="1" fontId="7" fillId="7" borderId="39" xfId="2" applyNumberFormat="1" applyBorder="1"/>
    <xf numFmtId="1" fontId="7" fillId="7" borderId="40" xfId="2" applyNumberFormat="1" applyBorder="1"/>
    <xf numFmtId="0" fontId="1" fillId="0" borderId="0" xfId="0" applyFont="1" applyAlignment="1">
      <alignment horizontal="left"/>
    </xf>
    <xf numFmtId="0" fontId="13" fillId="10" borderId="36" xfId="3" applyBorder="1" applyAlignment="1">
      <alignment horizontal="left"/>
    </xf>
    <xf numFmtId="1" fontId="7" fillId="7" borderId="36" xfId="2" applyNumberFormat="1" applyBorder="1"/>
    <xf numFmtId="1" fontId="20" fillId="14" borderId="1" xfId="0" applyNumberFormat="1" applyFont="1" applyFill="1" applyBorder="1" applyAlignment="1">
      <alignment horizontal="center" vertical="center"/>
    </xf>
    <xf numFmtId="1" fontId="5" fillId="9" borderId="7" xfId="0" applyNumberFormat="1" applyFont="1" applyFill="1" applyBorder="1" applyAlignment="1">
      <alignment horizontal="center" vertical="center"/>
    </xf>
    <xf numFmtId="1" fontId="5" fillId="9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3" fillId="10" borderId="5" xfId="3" applyBorder="1"/>
    <xf numFmtId="0" fontId="13" fillId="12" borderId="5" xfId="5" applyBorder="1" applyAlignment="1">
      <alignment horizontal="center"/>
    </xf>
    <xf numFmtId="0" fontId="7" fillId="7" borderId="33" xfId="2" applyBorder="1"/>
    <xf numFmtId="1" fontId="6" fillId="6" borderId="30" xfId="1" applyNumberFormat="1" applyBorder="1" applyAlignment="1">
      <alignment horizontal="left"/>
    </xf>
    <xf numFmtId="0" fontId="1" fillId="0" borderId="53" xfId="0" applyFont="1" applyBorder="1"/>
    <xf numFmtId="0" fontId="1" fillId="0" borderId="54" xfId="0" applyFont="1" applyBorder="1"/>
    <xf numFmtId="1" fontId="1" fillId="0" borderId="54" xfId="0" applyNumberFormat="1" applyFont="1" applyBorder="1"/>
    <xf numFmtId="0" fontId="1" fillId="0" borderId="55" xfId="0" applyFont="1" applyBorder="1"/>
    <xf numFmtId="0" fontId="1" fillId="0" borderId="19" xfId="0" applyFont="1" applyBorder="1"/>
    <xf numFmtId="0" fontId="1" fillId="0" borderId="0" xfId="0" applyFont="1"/>
    <xf numFmtId="1" fontId="1" fillId="0" borderId="0" xfId="0" applyNumberFormat="1" applyFont="1"/>
    <xf numFmtId="0" fontId="1" fillId="0" borderId="56" xfId="0" applyFont="1" applyBorder="1"/>
    <xf numFmtId="1" fontId="11" fillId="8" borderId="5" xfId="0" applyNumberFormat="1" applyFont="1" applyFill="1" applyBorder="1" applyAlignment="1">
      <alignment horizontal="center"/>
    </xf>
    <xf numFmtId="1" fontId="6" fillId="6" borderId="37" xfId="1" applyNumberFormat="1" applyBorder="1" applyAlignment="1">
      <alignment horizontal="left"/>
    </xf>
    <xf numFmtId="0" fontId="12" fillId="2" borderId="37" xfId="0" applyFont="1" applyFill="1" applyBorder="1" applyAlignment="1">
      <alignment horizontal="center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2" xfId="0" applyFont="1" applyBorder="1" applyAlignment="1">
      <alignment horizontal="left"/>
    </xf>
    <xf numFmtId="1" fontId="6" fillId="6" borderId="38" xfId="1" applyNumberFormat="1" applyBorder="1" applyAlignment="1">
      <alignment horizontal="left"/>
    </xf>
    <xf numFmtId="0" fontId="13" fillId="10" borderId="4" xfId="3" applyBorder="1"/>
    <xf numFmtId="0" fontId="13" fillId="10" borderId="22" xfId="3" applyBorder="1"/>
    <xf numFmtId="1" fontId="20" fillId="14" borderId="13" xfId="0" applyNumberFormat="1" applyFont="1" applyFill="1" applyBorder="1" applyAlignment="1">
      <alignment horizontal="center" vertical="center"/>
    </xf>
    <xf numFmtId="0" fontId="19" fillId="14" borderId="13" xfId="0" quotePrefix="1" applyFont="1" applyFill="1" applyBorder="1" applyAlignment="1">
      <alignment horizontal="center" vertical="center"/>
    </xf>
    <xf numFmtId="1" fontId="5" fillId="9" borderId="14" xfId="0" applyNumberFormat="1" applyFont="1" applyFill="1" applyBorder="1" applyAlignment="1">
      <alignment horizontal="center" vertical="center"/>
    </xf>
    <xf numFmtId="0" fontId="22" fillId="5" borderId="10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 wrapText="1"/>
    </xf>
    <xf numFmtId="0" fontId="22" fillId="5" borderId="11" xfId="0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/>
    </xf>
    <xf numFmtId="49" fontId="22" fillId="5" borderId="11" xfId="0" applyNumberFormat="1" applyFont="1" applyFill="1" applyBorder="1" applyAlignment="1">
      <alignment horizontal="center" vertical="center" wrapText="1"/>
    </xf>
    <xf numFmtId="0" fontId="22" fillId="5" borderId="12" xfId="0" applyFont="1" applyFill="1" applyBorder="1" applyAlignment="1">
      <alignment horizontal="center" vertical="center"/>
    </xf>
    <xf numFmtId="1" fontId="20" fillId="14" borderId="59" xfId="0" applyNumberFormat="1" applyFont="1" applyFill="1" applyBorder="1" applyAlignment="1">
      <alignment horizontal="center" vertical="center"/>
    </xf>
    <xf numFmtId="0" fontId="19" fillId="14" borderId="58" xfId="0" quotePrefix="1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left" vertical="center"/>
    </xf>
    <xf numFmtId="0" fontId="5" fillId="9" borderId="4" xfId="0" applyFont="1" applyFill="1" applyBorder="1" applyAlignment="1">
      <alignment vertical="center"/>
    </xf>
    <xf numFmtId="0" fontId="5" fillId="9" borderId="22" xfId="0" applyFont="1" applyFill="1" applyBorder="1" applyAlignment="1">
      <alignment vertical="center"/>
    </xf>
    <xf numFmtId="1" fontId="6" fillId="6" borderId="60" xfId="1" applyNumberFormat="1" applyBorder="1" applyAlignment="1">
      <alignment horizontal="left"/>
    </xf>
    <xf numFmtId="0" fontId="13" fillId="6" borderId="13" xfId="8" applyBorder="1"/>
    <xf numFmtId="0" fontId="13" fillId="6" borderId="14" xfId="8" applyBorder="1"/>
    <xf numFmtId="1" fontId="0" fillId="0" borderId="0" xfId="0" applyNumberFormat="1" applyAlignment="1">
      <alignment horizontal="center"/>
    </xf>
    <xf numFmtId="1" fontId="7" fillId="7" borderId="18" xfId="2" applyNumberFormat="1" applyAlignment="1">
      <alignment horizontal="left"/>
    </xf>
    <xf numFmtId="0" fontId="0" fillId="0" borderId="3" xfId="0" applyBorder="1"/>
    <xf numFmtId="0" fontId="0" fillId="0" borderId="22" xfId="0" applyBorder="1"/>
    <xf numFmtId="0" fontId="13" fillId="6" borderId="42" xfId="8" applyBorder="1"/>
    <xf numFmtId="0" fontId="13" fillId="6" borderId="2" xfId="8" applyBorder="1"/>
    <xf numFmtId="0" fontId="13" fillId="6" borderId="44" xfId="8" applyBorder="1"/>
    <xf numFmtId="0" fontId="13" fillId="6" borderId="61" xfId="8" applyBorder="1"/>
    <xf numFmtId="0" fontId="13" fillId="6" borderId="43" xfId="8" applyBorder="1"/>
    <xf numFmtId="0" fontId="13" fillId="6" borderId="62" xfId="8" applyBorder="1"/>
    <xf numFmtId="0" fontId="13" fillId="5" borderId="43" xfId="6" applyFill="1" applyBorder="1"/>
    <xf numFmtId="2" fontId="14" fillId="7" borderId="16" xfId="7" applyBorder="1"/>
    <xf numFmtId="2" fontId="14" fillId="7" borderId="6" xfId="7" applyBorder="1"/>
    <xf numFmtId="2" fontId="14" fillId="7" borderId="8" xfId="7" applyBorder="1"/>
    <xf numFmtId="164" fontId="15" fillId="3" borderId="35" xfId="0" applyNumberFormat="1" applyFont="1" applyFill="1" applyBorder="1" applyAlignment="1">
      <alignment wrapText="1"/>
    </xf>
    <xf numFmtId="164" fontId="15" fillId="4" borderId="36" xfId="0" applyNumberFormat="1" applyFont="1" applyFill="1" applyBorder="1"/>
    <xf numFmtId="164" fontId="15" fillId="9" borderId="36" xfId="0" applyNumberFormat="1" applyFont="1" applyFill="1" applyBorder="1"/>
    <xf numFmtId="164" fontId="2" fillId="4" borderId="52" xfId="0" applyNumberFormat="1" applyFont="1" applyFill="1" applyBorder="1"/>
    <xf numFmtId="164" fontId="2" fillId="9" borderId="52" xfId="0" applyNumberFormat="1" applyFont="1" applyFill="1" applyBorder="1"/>
    <xf numFmtId="165" fontId="7" fillId="7" borderId="18" xfId="2" applyNumberFormat="1" applyAlignment="1">
      <alignment horizontal="left"/>
    </xf>
    <xf numFmtId="166" fontId="6" fillId="6" borderId="38" xfId="1" applyNumberFormat="1" applyBorder="1" applyAlignment="1">
      <alignment horizontal="left"/>
    </xf>
    <xf numFmtId="164" fontId="16" fillId="7" borderId="52" xfId="2" applyNumberFormat="1" applyFont="1" applyBorder="1" applyAlignment="1">
      <alignment horizontal="left"/>
    </xf>
    <xf numFmtId="164" fontId="16" fillId="7" borderId="37" xfId="2" applyNumberFormat="1" applyFont="1" applyBorder="1" applyAlignment="1">
      <alignment horizontal="left"/>
    </xf>
    <xf numFmtId="164" fontId="16" fillId="7" borderId="38" xfId="2" applyNumberFormat="1" applyFont="1" applyBorder="1" applyAlignment="1">
      <alignment horizontal="left"/>
    </xf>
    <xf numFmtId="164" fontId="0" fillId="0" borderId="0" xfId="0" applyNumberFormat="1"/>
    <xf numFmtId="167" fontId="17" fillId="7" borderId="28" xfId="2" applyNumberFormat="1" applyFont="1" applyBorder="1" applyAlignment="1">
      <alignment horizontal="left"/>
    </xf>
    <xf numFmtId="165" fontId="17" fillId="7" borderId="25" xfId="2" applyNumberFormat="1" applyFont="1" applyBorder="1" applyAlignment="1">
      <alignment horizontal="left"/>
    </xf>
    <xf numFmtId="165" fontId="17" fillId="7" borderId="26" xfId="2" applyNumberFormat="1" applyFont="1" applyBorder="1" applyAlignment="1">
      <alignment horizontal="left"/>
    </xf>
    <xf numFmtId="165" fontId="17" fillId="7" borderId="27" xfId="2" applyNumberFormat="1" applyFont="1" applyBorder="1" applyAlignment="1">
      <alignment horizontal="left"/>
    </xf>
    <xf numFmtId="164" fontId="0" fillId="0" borderId="0" xfId="0" applyNumberFormat="1" applyAlignment="1">
      <alignment horizontal="right"/>
    </xf>
    <xf numFmtId="164" fontId="6" fillId="6" borderId="18" xfId="1" applyNumberFormat="1"/>
    <xf numFmtId="164" fontId="2" fillId="4" borderId="24" xfId="0" applyNumberFormat="1" applyFont="1" applyFill="1" applyBorder="1"/>
    <xf numFmtId="164" fontId="2" fillId="9" borderId="24" xfId="0" applyNumberFormat="1" applyFont="1" applyFill="1" applyBorder="1"/>
    <xf numFmtId="166" fontId="6" fillId="6" borderId="29" xfId="1" applyNumberFormat="1" applyBorder="1" applyAlignment="1">
      <alignment horizontal="left"/>
    </xf>
    <xf numFmtId="165" fontId="17" fillId="7" borderId="24" xfId="2" applyNumberFormat="1" applyFont="1" applyBorder="1" applyAlignment="1">
      <alignment horizontal="left"/>
    </xf>
    <xf numFmtId="165" fontId="17" fillId="7" borderId="18" xfId="2" applyNumberFormat="1" applyFont="1" applyAlignment="1">
      <alignment horizontal="left"/>
    </xf>
    <xf numFmtId="165" fontId="17" fillId="7" borderId="29" xfId="2" applyNumberFormat="1" applyFont="1" applyBorder="1" applyAlignment="1">
      <alignment horizontal="left"/>
    </xf>
    <xf numFmtId="164" fontId="1" fillId="0" borderId="0" xfId="0" applyNumberFormat="1" applyFont="1" applyAlignment="1">
      <alignment horizontal="left"/>
    </xf>
    <xf numFmtId="166" fontId="14" fillId="7" borderId="45" xfId="7" applyNumberFormat="1" applyBorder="1"/>
    <xf numFmtId="166" fontId="14" fillId="7" borderId="17" xfId="7" applyNumberFormat="1" applyBorder="1"/>
    <xf numFmtId="166" fontId="14" fillId="7" borderId="47" xfId="7" applyNumberFormat="1" applyBorder="1"/>
    <xf numFmtId="166" fontId="14" fillId="7" borderId="7" xfId="7" applyNumberFormat="1" applyBorder="1"/>
    <xf numFmtId="166" fontId="14" fillId="7" borderId="48" xfId="7" applyNumberFormat="1" applyBorder="1"/>
    <xf numFmtId="166" fontId="14" fillId="7" borderId="49" xfId="7" applyNumberFormat="1" applyBorder="1"/>
    <xf numFmtId="166" fontId="14" fillId="7" borderId="51" xfId="7" applyNumberFormat="1" applyBorder="1"/>
    <xf numFmtId="166" fontId="14" fillId="7" borderId="9" xfId="7" applyNumberFormat="1" applyBorder="1"/>
    <xf numFmtId="166" fontId="6" fillId="6" borderId="18" xfId="1" applyNumberFormat="1" applyAlignment="1">
      <alignment horizontal="left"/>
    </xf>
    <xf numFmtId="164" fontId="2" fillId="4" borderId="31" xfId="0" applyNumberFormat="1" applyFont="1" applyFill="1" applyBorder="1"/>
    <xf numFmtId="164" fontId="2" fillId="9" borderId="31" xfId="0" applyNumberFormat="1" applyFont="1" applyFill="1" applyBorder="1"/>
    <xf numFmtId="166" fontId="6" fillId="6" borderId="32" xfId="1" applyNumberFormat="1" applyBorder="1" applyAlignment="1">
      <alignment horizontal="left"/>
    </xf>
    <xf numFmtId="166" fontId="6" fillId="6" borderId="33" xfId="1" applyNumberFormat="1" applyBorder="1" applyAlignment="1">
      <alignment horizontal="left"/>
    </xf>
    <xf numFmtId="165" fontId="18" fillId="7" borderId="31" xfId="2" applyNumberFormat="1" applyFont="1" applyBorder="1" applyAlignment="1">
      <alignment horizontal="left"/>
    </xf>
    <xf numFmtId="165" fontId="18" fillId="7" borderId="32" xfId="2" applyNumberFormat="1" applyFont="1" applyBorder="1" applyAlignment="1">
      <alignment horizontal="left"/>
    </xf>
    <xf numFmtId="165" fontId="18" fillId="7" borderId="33" xfId="2" applyNumberFormat="1" applyFont="1" applyBorder="1" applyAlignment="1">
      <alignment horizontal="left"/>
    </xf>
    <xf numFmtId="164" fontId="13" fillId="10" borderId="35" xfId="3" applyNumberFormat="1" applyBorder="1" applyAlignment="1">
      <alignment horizontal="left"/>
    </xf>
    <xf numFmtId="164" fontId="12" fillId="3" borderId="57" xfId="0" applyNumberFormat="1" applyFont="1" applyFill="1" applyBorder="1" applyAlignment="1">
      <alignment horizontal="center"/>
    </xf>
    <xf numFmtId="164" fontId="12" fillId="4" borderId="13" xfId="0" applyNumberFormat="1" applyFont="1" applyFill="1" applyBorder="1"/>
    <xf numFmtId="164" fontId="12" fillId="3" borderId="6" xfId="0" applyNumberFormat="1" applyFont="1" applyFill="1" applyBorder="1" applyAlignment="1">
      <alignment horizontal="center"/>
    </xf>
    <xf numFmtId="164" fontId="12" fillId="3" borderId="50" xfId="0" applyNumberFormat="1" applyFont="1" applyFill="1" applyBorder="1" applyAlignment="1">
      <alignment horizontal="center"/>
    </xf>
    <xf numFmtId="164" fontId="12" fillId="4" borderId="58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right"/>
    </xf>
    <xf numFmtId="164" fontId="2" fillId="9" borderId="63" xfId="0" applyNumberFormat="1" applyFont="1" applyFill="1" applyBorder="1"/>
    <xf numFmtId="164" fontId="2" fillId="9" borderId="64" xfId="0" applyNumberFormat="1" applyFont="1" applyFill="1" applyBorder="1"/>
    <xf numFmtId="164" fontId="2" fillId="9" borderId="65" xfId="0" applyNumberFormat="1" applyFont="1" applyFill="1" applyBorder="1"/>
    <xf numFmtId="0" fontId="12" fillId="2" borderId="52" xfId="0" applyFont="1" applyFill="1" applyBorder="1" applyAlignment="1">
      <alignment horizontal="center"/>
    </xf>
    <xf numFmtId="0" fontId="12" fillId="2" borderId="24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" fontId="6" fillId="6" borderId="66" xfId="1" applyNumberFormat="1" applyBorder="1" applyAlignment="1">
      <alignment horizontal="left"/>
    </xf>
    <xf numFmtId="1" fontId="6" fillId="6" borderId="26" xfId="1" applyNumberFormat="1" applyBorder="1" applyAlignment="1">
      <alignment horizontal="left"/>
    </xf>
    <xf numFmtId="1" fontId="6" fillId="6" borderId="27" xfId="1" applyNumberFormat="1" applyBorder="1" applyAlignment="1">
      <alignment horizontal="left"/>
    </xf>
    <xf numFmtId="1" fontId="6" fillId="6" borderId="28" xfId="1" applyNumberFormat="1" applyBorder="1" applyAlignment="1">
      <alignment horizontal="left"/>
    </xf>
    <xf numFmtId="1" fontId="6" fillId="6" borderId="29" xfId="1" applyNumberFormat="1" applyBorder="1" applyAlignment="1">
      <alignment horizontal="left"/>
    </xf>
    <xf numFmtId="1" fontId="6" fillId="6" borderId="33" xfId="1" applyNumberFormat="1" applyBorder="1" applyAlignment="1">
      <alignment horizontal="left"/>
    </xf>
    <xf numFmtId="1" fontId="6" fillId="6" borderId="67" xfId="1" applyNumberFormat="1" applyBorder="1" applyAlignment="1">
      <alignment horizontal="left"/>
    </xf>
    <xf numFmtId="1" fontId="6" fillId="6" borderId="68" xfId="1" applyNumberFormat="1" applyBorder="1" applyAlignment="1">
      <alignment horizontal="left"/>
    </xf>
    <xf numFmtId="1" fontId="6" fillId="6" borderId="69" xfId="1" applyNumberFormat="1" applyBorder="1" applyAlignment="1">
      <alignment horizontal="left"/>
    </xf>
    <xf numFmtId="0" fontId="1" fillId="0" borderId="3" xfId="0" applyFont="1" applyBorder="1" applyAlignment="1">
      <alignment wrapText="1"/>
    </xf>
    <xf numFmtId="0" fontId="1" fillId="0" borderId="22" xfId="0" applyFont="1" applyBorder="1" applyAlignment="1">
      <alignment horizontal="left" wrapText="1"/>
    </xf>
    <xf numFmtId="164" fontId="15" fillId="3" borderId="34" xfId="0" applyNumberFormat="1" applyFont="1" applyFill="1" applyBorder="1"/>
    <xf numFmtId="164" fontId="15" fillId="3" borderId="28" xfId="0" applyNumberFormat="1" applyFont="1" applyFill="1" applyBorder="1"/>
    <xf numFmtId="164" fontId="15" fillId="3" borderId="30" xfId="0" applyNumberFormat="1" applyFont="1" applyFill="1" applyBorder="1"/>
    <xf numFmtId="164" fontId="16" fillId="7" borderId="34" xfId="2" applyNumberFormat="1" applyFont="1" applyBorder="1" applyAlignment="1">
      <alignment horizontal="left"/>
    </xf>
    <xf numFmtId="1" fontId="20" fillId="14" borderId="58" xfId="0" applyNumberFormat="1" applyFont="1" applyFill="1" applyBorder="1" applyAlignment="1">
      <alignment horizontal="center" vertical="center"/>
    </xf>
    <xf numFmtId="0" fontId="0" fillId="0" borderId="4" xfId="0" applyBorder="1"/>
    <xf numFmtId="164" fontId="15" fillId="7" borderId="16" xfId="2" applyNumberFormat="1" applyFont="1" applyBorder="1" applyAlignment="1">
      <alignment horizontal="left"/>
    </xf>
    <xf numFmtId="164" fontId="15" fillId="7" borderId="70" xfId="2" applyNumberFormat="1" applyFont="1" applyBorder="1" applyAlignment="1">
      <alignment horizontal="left"/>
    </xf>
    <xf numFmtId="164" fontId="15" fillId="7" borderId="17" xfId="2" applyNumberFormat="1" applyFont="1" applyBorder="1" applyAlignment="1">
      <alignment horizontal="left"/>
    </xf>
    <xf numFmtId="164" fontId="15" fillId="7" borderId="6" xfId="2" applyNumberFormat="1" applyFont="1" applyBorder="1" applyAlignment="1">
      <alignment horizontal="left"/>
    </xf>
    <xf numFmtId="164" fontId="15" fillId="7" borderId="1" xfId="2" applyNumberFormat="1" applyFont="1" applyBorder="1" applyAlignment="1">
      <alignment horizontal="left"/>
    </xf>
    <xf numFmtId="164" fontId="15" fillId="7" borderId="7" xfId="2" applyNumberFormat="1" applyFont="1" applyBorder="1" applyAlignment="1">
      <alignment horizontal="left"/>
    </xf>
    <xf numFmtId="164" fontId="15" fillId="7" borderId="8" xfId="2" applyNumberFormat="1" applyFont="1" applyBorder="1" applyAlignment="1">
      <alignment horizontal="left"/>
    </xf>
    <xf numFmtId="164" fontId="15" fillId="7" borderId="15" xfId="2" applyNumberFormat="1" applyFont="1" applyBorder="1" applyAlignment="1">
      <alignment horizontal="left"/>
    </xf>
    <xf numFmtId="164" fontId="15" fillId="7" borderId="9" xfId="2" applyNumberFormat="1" applyFont="1" applyBorder="1" applyAlignment="1">
      <alignment horizontal="left"/>
    </xf>
    <xf numFmtId="0" fontId="0" fillId="0" borderId="53" xfId="0" applyBorder="1"/>
    <xf numFmtId="0" fontId="0" fillId="0" borderId="54" xfId="0" applyBorder="1"/>
    <xf numFmtId="0" fontId="0" fillId="0" borderId="55" xfId="0" applyBorder="1"/>
    <xf numFmtId="164" fontId="0" fillId="0" borderId="56" xfId="0" applyNumberFormat="1" applyBorder="1"/>
    <xf numFmtId="0" fontId="1" fillId="0" borderId="20" xfId="0" applyFont="1" applyBorder="1"/>
    <xf numFmtId="0" fontId="0" fillId="0" borderId="71" xfId="0" applyBorder="1"/>
    <xf numFmtId="164" fontId="0" fillId="0" borderId="71" xfId="0" applyNumberFormat="1" applyBorder="1"/>
    <xf numFmtId="164" fontId="0" fillId="0" borderId="72" xfId="0" applyNumberFormat="1" applyBorder="1"/>
    <xf numFmtId="0" fontId="0" fillId="0" borderId="73" xfId="0" applyBorder="1"/>
    <xf numFmtId="1" fontId="1" fillId="16" borderId="41" xfId="0" applyNumberFormat="1" applyFont="1" applyFill="1" applyBorder="1" applyAlignment="1">
      <alignment horizontal="center"/>
    </xf>
    <xf numFmtId="1" fontId="1" fillId="16" borderId="43" xfId="0" applyNumberFormat="1" applyFont="1" applyFill="1" applyBorder="1" applyAlignment="1">
      <alignment horizontal="center"/>
    </xf>
    <xf numFmtId="1" fontId="1" fillId="16" borderId="62" xfId="0" applyNumberFormat="1" applyFont="1" applyFill="1" applyBorder="1" applyAlignment="1">
      <alignment horizontal="center"/>
    </xf>
    <xf numFmtId="1" fontId="8" fillId="6" borderId="52" xfId="1" applyNumberFormat="1" applyFont="1" applyBorder="1" applyAlignment="1">
      <alignment horizontal="center"/>
    </xf>
    <xf numFmtId="1" fontId="8" fillId="6" borderId="24" xfId="1" applyNumberFormat="1" applyFont="1" applyBorder="1" applyAlignment="1">
      <alignment horizontal="center"/>
    </xf>
    <xf numFmtId="1" fontId="8" fillId="6" borderId="31" xfId="1" applyNumberFormat="1" applyFont="1" applyBorder="1" applyAlignment="1">
      <alignment horizontal="center"/>
    </xf>
    <xf numFmtId="0" fontId="6" fillId="6" borderId="66" xfId="1" applyBorder="1" applyAlignment="1">
      <alignment horizontal="left"/>
    </xf>
    <xf numFmtId="0" fontId="6" fillId="6" borderId="30" xfId="1" applyBorder="1" applyAlignment="1">
      <alignment horizontal="left"/>
    </xf>
    <xf numFmtId="49" fontId="22" fillId="5" borderId="74" xfId="0" applyNumberFormat="1" applyFont="1" applyFill="1" applyBorder="1" applyAlignment="1">
      <alignment horizontal="center" vertical="center" wrapText="1"/>
    </xf>
    <xf numFmtId="0" fontId="19" fillId="14" borderId="75" xfId="0" quotePrefix="1" applyFont="1" applyFill="1" applyBorder="1" applyAlignment="1">
      <alignment horizontal="center" vertical="center"/>
    </xf>
    <xf numFmtId="0" fontId="9" fillId="11" borderId="1" xfId="4" applyFill="1" applyBorder="1" applyAlignment="1">
      <alignment horizontal="center"/>
    </xf>
    <xf numFmtId="0" fontId="0" fillId="0" borderId="2" xfId="0" applyBorder="1"/>
    <xf numFmtId="0" fontId="24" fillId="0" borderId="0" xfId="0" applyFont="1"/>
    <xf numFmtId="1" fontId="5" fillId="15" borderId="5" xfId="0" applyNumberFormat="1" applyFont="1" applyFill="1" applyBorder="1" applyAlignment="1">
      <alignment horizontal="center"/>
    </xf>
    <xf numFmtId="0" fontId="24" fillId="17" borderId="0" xfId="0" applyFont="1" applyFill="1" applyAlignment="1">
      <alignment horizontal="center"/>
    </xf>
    <xf numFmtId="0" fontId="24" fillId="17" borderId="0" xfId="0" applyFont="1" applyFill="1"/>
    <xf numFmtId="0" fontId="25" fillId="17" borderId="0" xfId="0" applyFont="1" applyFill="1"/>
    <xf numFmtId="0" fontId="17" fillId="17" borderId="0" xfId="0" applyFont="1" applyFill="1"/>
    <xf numFmtId="164" fontId="5" fillId="17" borderId="57" xfId="0" applyNumberFormat="1" applyFont="1" applyFill="1" applyBorder="1" applyAlignment="1">
      <alignment horizontal="center"/>
    </xf>
    <xf numFmtId="164" fontId="5" fillId="17" borderId="13" xfId="0" applyNumberFormat="1" applyFont="1" applyFill="1" applyBorder="1"/>
    <xf numFmtId="1" fontId="20" fillId="17" borderId="13" xfId="0" applyNumberFormat="1" applyFont="1" applyFill="1" applyBorder="1" applyAlignment="1">
      <alignment horizontal="center" vertical="center"/>
    </xf>
    <xf numFmtId="1" fontId="5" fillId="17" borderId="13" xfId="0" applyNumberFormat="1" applyFont="1" applyFill="1" applyBorder="1" applyAlignment="1">
      <alignment horizontal="center" vertical="center"/>
    </xf>
    <xf numFmtId="0" fontId="19" fillId="17" borderId="13" xfId="0" quotePrefix="1" applyFont="1" applyFill="1" applyBorder="1" applyAlignment="1">
      <alignment horizontal="center" vertical="center"/>
    </xf>
    <xf numFmtId="0" fontId="19" fillId="17" borderId="75" xfId="0" quotePrefix="1" applyFont="1" applyFill="1" applyBorder="1" applyAlignment="1">
      <alignment horizontal="center" vertical="center"/>
    </xf>
    <xf numFmtId="164" fontId="5" fillId="17" borderId="6" xfId="0" applyNumberFormat="1" applyFont="1" applyFill="1" applyBorder="1" applyAlignment="1">
      <alignment horizontal="center"/>
    </xf>
    <xf numFmtId="1" fontId="20" fillId="17" borderId="1" xfId="0" applyNumberFormat="1" applyFont="1" applyFill="1" applyBorder="1" applyAlignment="1">
      <alignment horizontal="center" vertical="center"/>
    </xf>
    <xf numFmtId="164" fontId="5" fillId="17" borderId="50" xfId="0" applyNumberFormat="1" applyFont="1" applyFill="1" applyBorder="1" applyAlignment="1">
      <alignment horizontal="center"/>
    </xf>
    <xf numFmtId="164" fontId="5" fillId="17" borderId="58" xfId="0" applyNumberFormat="1" applyFont="1" applyFill="1" applyBorder="1"/>
    <xf numFmtId="1" fontId="20" fillId="17" borderId="59" xfId="0" applyNumberFormat="1" applyFont="1" applyFill="1" applyBorder="1" applyAlignment="1">
      <alignment horizontal="center" vertical="center"/>
    </xf>
    <xf numFmtId="1" fontId="5" fillId="17" borderId="58" xfId="0" applyNumberFormat="1" applyFont="1" applyFill="1" applyBorder="1" applyAlignment="1">
      <alignment horizontal="center" vertical="center"/>
    </xf>
    <xf numFmtId="0" fontId="19" fillId="17" borderId="58" xfId="0" quotePrefix="1" applyFont="1" applyFill="1" applyBorder="1" applyAlignment="1">
      <alignment horizontal="center" vertical="center"/>
    </xf>
    <xf numFmtId="0" fontId="5" fillId="17" borderId="3" xfId="0" applyFont="1" applyFill="1" applyBorder="1" applyAlignment="1">
      <alignment horizontal="left" vertical="center"/>
    </xf>
    <xf numFmtId="0" fontId="5" fillId="17" borderId="4" xfId="0" applyFont="1" applyFill="1" applyBorder="1" applyAlignment="1">
      <alignment vertical="center"/>
    </xf>
    <xf numFmtId="0" fontId="20" fillId="17" borderId="4" xfId="0" applyFont="1" applyFill="1" applyBorder="1" applyAlignment="1">
      <alignment vertical="center"/>
    </xf>
    <xf numFmtId="0" fontId="19" fillId="17" borderId="4" xfId="0" applyFont="1" applyFill="1" applyBorder="1" applyAlignment="1">
      <alignment vertical="center"/>
    </xf>
    <xf numFmtId="0" fontId="19" fillId="17" borderId="22" xfId="0" applyFont="1" applyFill="1" applyBorder="1" applyAlignment="1">
      <alignment vertical="center"/>
    </xf>
    <xf numFmtId="0" fontId="22" fillId="18" borderId="10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 wrapText="1"/>
    </xf>
    <xf numFmtId="0" fontId="22" fillId="18" borderId="11" xfId="0" applyFont="1" applyFill="1" applyBorder="1" applyAlignment="1">
      <alignment horizontal="center" vertical="center"/>
    </xf>
    <xf numFmtId="0" fontId="22" fillId="18" borderId="12" xfId="0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/>
    </xf>
    <xf numFmtId="49" fontId="22" fillId="18" borderId="11" xfId="0" applyNumberFormat="1" applyFont="1" applyFill="1" applyBorder="1" applyAlignment="1">
      <alignment horizontal="center" vertical="center" wrapText="1"/>
    </xf>
    <xf numFmtId="49" fontId="22" fillId="18" borderId="74" xfId="0" applyNumberFormat="1" applyFont="1" applyFill="1" applyBorder="1" applyAlignment="1">
      <alignment horizontal="center" vertical="center" wrapText="1"/>
    </xf>
  </cellXfs>
  <cellStyles count="10">
    <cellStyle name="Calculation" xfId="2" builtinId="22"/>
    <cellStyle name="Calculation (RG)" xfId="9" xr:uid="{00000000-0005-0000-0000-000009000000}"/>
    <cellStyle name="Calculation 2" xfId="7" xr:uid="{00000000-0005-0000-0000-000007000000}"/>
    <cellStyle name="Input" xfId="1" builtinId="20"/>
    <cellStyle name="Input 2" xfId="8" xr:uid="{00000000-0005-0000-0000-000008000000}"/>
    <cellStyle name="List" xfId="5" xr:uid="{00000000-0005-0000-0000-000005000000}"/>
    <cellStyle name="Normal" xfId="0" builtinId="0"/>
    <cellStyle name="Normal 2" xfId="4" xr:uid="{00000000-0005-0000-0000-000004000000}"/>
    <cellStyle name="Reference" xfId="3" xr:uid="{00000000-0005-0000-0000-000003000000}"/>
    <cellStyle name="Reference 2" xfId="6" xr:uid="{00000000-0005-0000-0000-000006000000}"/>
  </cellStyles>
  <dxfs count="52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  <color theme="9"/>
      </font>
      <fill>
        <patternFill>
          <bgColor theme="0" tint="-4.9989318521683403E-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800" b="1" i="0" baseline="0">
                <a:latin typeface="Arial Narrow" panose="020B0606020202030204" pitchFamily="34" charset="0"/>
              </a:rPr>
              <a:t>Noise Barrier - Geometry</a:t>
            </a:r>
            <a:endParaRPr lang="en-US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37378672753816211"/>
          <c:y val="1.618056013724514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26192038495188"/>
          <c:y val="0.1158583545780197"/>
          <c:w val="0.84087445319335097"/>
          <c:h val="0.641227530224675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'Input LwA_XYZ'!$BO$27</c:f>
              <c:strCache>
                <c:ptCount val="1"/>
                <c:pt idx="0">
                  <c:v>Path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80"/>
                </a:solidFill>
                <a:ln>
                  <a:solidFill>
                    <a:srgbClr val="1F497D"/>
                  </a:solidFill>
                  <a:prstDash val="lgDash"/>
                </a:ln>
              </c:spPr>
            </c:marker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6AA-4F32-8F2B-6C4D12F1BA00}"/>
              </c:ext>
            </c:extLst>
          </c:dPt>
          <c:dPt>
            <c:idx val="3"/>
            <c:bubble3D val="0"/>
            <c:spPr>
              <a:ln w="3175">
                <a:solidFill>
                  <a:srgbClr val="3366FF"/>
                </a:solidFill>
                <a:prstDash val="sysDash"/>
              </a:ln>
            </c:spPr>
            <c:extLst>
              <c:ext xmlns:c16="http://schemas.microsoft.com/office/drawing/2014/chart" uri="{C3380CC4-5D6E-409C-BE32-E72D297353CC}">
                <c16:uniqueId val="{00000003-D6AA-4F32-8F2B-6C4D12F1BA00}"/>
              </c:ext>
            </c:extLst>
          </c:dPt>
          <c:xVal>
            <c:numRef>
              <c:f>'Input LwA_XYZ'!$BP$27:$BP$30</c:f>
              <c:numCache>
                <c:formatCode>General</c:formatCode>
                <c:ptCount val="4"/>
                <c:pt idx="0">
                  <c:v>0</c:v>
                </c:pt>
                <c:pt idx="1">
                  <c:v>28.221749697515794</c:v>
                </c:pt>
                <c:pt idx="2">
                  <c:v>72.147250813873711</c:v>
                </c:pt>
                <c:pt idx="3">
                  <c:v>0</c:v>
                </c:pt>
              </c:numCache>
            </c:numRef>
          </c:xVal>
          <c:yVal>
            <c:numRef>
              <c:f>'Input LwA_XYZ'!$BQ$27:$BQ$30</c:f>
              <c:numCache>
                <c:formatCode>0.00</c:formatCode>
                <c:ptCount val="4"/>
                <c:pt idx="0" formatCode="General">
                  <c:v>74.25</c:v>
                </c:pt>
                <c:pt idx="1">
                  <c:v>75.400000000000006</c:v>
                </c:pt>
                <c:pt idx="2" formatCode="General">
                  <c:v>65</c:v>
                </c:pt>
                <c:pt idx="3" formatCode="General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6AA-4F32-8F2B-6C4D12F1BA00}"/>
            </c:ext>
          </c:extLst>
        </c:ser>
        <c:ser>
          <c:idx val="1"/>
          <c:order val="1"/>
          <c:tx>
            <c:strRef>
              <c:f>'Input LwA_XYZ'!$BO$28</c:f>
              <c:strCache>
                <c:ptCount val="1"/>
                <c:pt idx="0">
                  <c:v>Barrier - Min 4lb/ft2, unperforated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errBars>
            <c:errDir val="y"/>
            <c:errBarType val="minus"/>
            <c:errValType val="cust"/>
            <c:noEndCap val="1"/>
            <c:minus>
              <c:numRef>
                <c:f>'Input LwA_XYZ'!$BS$6</c:f>
                <c:numCache>
                  <c:formatCode>General</c:formatCode>
                  <c:ptCount val="1"/>
                  <c:pt idx="0">
                    <c:v>75.400000000000006</c:v>
                  </c:pt>
                </c:numCache>
              </c:numRef>
            </c:minus>
            <c:spPr>
              <a:ln w="25400">
                <a:solidFill>
                  <a:srgbClr val="FF00FF"/>
                </a:solidFill>
                <a:prstDash val="solid"/>
              </a:ln>
            </c:spPr>
          </c:errBars>
          <c:xVal>
            <c:numRef>
              <c:f>'Input LwA_XYZ'!$BP$28</c:f>
              <c:numCache>
                <c:formatCode>General</c:formatCode>
                <c:ptCount val="1"/>
                <c:pt idx="0">
                  <c:v>28.221749697515794</c:v>
                </c:pt>
              </c:numCache>
            </c:numRef>
          </c:xVal>
          <c:yVal>
            <c:numRef>
              <c:f>'Input LwA_XYZ'!$BQ$28</c:f>
              <c:numCache>
                <c:formatCode>0.00</c:formatCode>
                <c:ptCount val="1"/>
                <c:pt idx="0">
                  <c:v>75.400000000000006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6AA-4F32-8F2B-6C4D12F1BA00}"/>
            </c:ext>
          </c:extLst>
        </c:ser>
        <c:ser>
          <c:idx val="2"/>
          <c:order val="2"/>
          <c:tx>
            <c:strRef>
              <c:f>'Input LwA_XYZ'!$BO$29</c:f>
              <c:strCache>
                <c:ptCount val="1"/>
                <c:pt idx="0">
                  <c:v>Receiver</c:v>
                </c:pt>
              </c:strCache>
            </c:strRef>
          </c:tx>
          <c:spPr>
            <a:ln w="38100"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solidFill>
                <a:srgbClr val="008000"/>
              </a:solidFill>
              <a:ln w="6350">
                <a:solidFill>
                  <a:srgbClr val="008000"/>
                </a:solidFill>
                <a:prstDash val="solid"/>
              </a:ln>
            </c:spPr>
          </c:marker>
          <c:dLbls>
            <c:spPr>
              <a:solidFill>
                <a:srgbClr val="008000"/>
              </a:solidFill>
              <a:ln w="25400">
                <a:noFill/>
                <a:prstDash val="solid"/>
              </a:ln>
            </c:spPr>
            <c:txPr>
              <a:bodyPr/>
              <a:lstStyle/>
              <a:p>
                <a:pPr>
                  <a:defRPr sz="1000" b="1" i="0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'Input LwA_XYZ'!$BP$29</c:f>
              <c:numCache>
                <c:formatCode>General</c:formatCode>
                <c:ptCount val="1"/>
                <c:pt idx="0">
                  <c:v>72.147250813873711</c:v>
                </c:pt>
              </c:numCache>
            </c:numRef>
          </c:xVal>
          <c:yVal>
            <c:numRef>
              <c:f>'Input LwA_XYZ'!$BQ$29</c:f>
              <c:numCache>
                <c:formatCode>General</c:formatCode>
                <c:ptCount val="1"/>
                <c:pt idx="0">
                  <c:v>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D6AA-4F32-8F2B-6C4D12F1BA00}"/>
            </c:ext>
          </c:extLst>
        </c:ser>
        <c:ser>
          <c:idx val="3"/>
          <c:order val="3"/>
          <c:tx>
            <c:strRef>
              <c:f>'Input LwA_XYZ'!$BO$30</c:f>
              <c:strCache>
                <c:ptCount val="1"/>
                <c:pt idx="0">
                  <c:v>Source</c:v>
                </c:pt>
              </c:strCache>
            </c:strRef>
          </c:tx>
          <c:spPr>
            <a:ln>
              <a:solidFill>
                <a:srgbClr val="00206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2060"/>
              </a:solidFill>
              <a:ln>
                <a:solidFill>
                  <a:srgbClr val="002060"/>
                </a:solidFill>
                <a:prstDash val="solid"/>
              </a:ln>
            </c:spPr>
          </c:marke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8-D6AA-4F32-8F2B-6C4D12F1BA00}"/>
              </c:ext>
            </c:extLst>
          </c:dPt>
          <c:xVal>
            <c:numRef>
              <c:f>'Input LwA_XYZ'!$BP$30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'Input LwA_XYZ'!$BQ$30</c:f>
              <c:numCache>
                <c:formatCode>General</c:formatCode>
                <c:ptCount val="1"/>
                <c:pt idx="0">
                  <c:v>74.25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6AA-4F32-8F2B-6C4D12F1BA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238784"/>
        <c:axId val="69240704"/>
      </c:scatterChart>
      <c:valAx>
        <c:axId val="69238784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40704"/>
        <c:crosses val="autoZero"/>
        <c:crossBetween val="midCat"/>
      </c:valAx>
      <c:valAx>
        <c:axId val="69240704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923878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74419752738716283"/>
          <c:y val="0.84873629040810739"/>
          <c:w val="0.242609263548837"/>
          <c:h val="0.1397594104654874"/>
        </c:manualLayout>
      </c:layout>
      <c:overlay val="0"/>
      <c:txPr>
        <a:bodyPr/>
        <a:lstStyle/>
        <a:p>
          <a:pPr>
            <a:defRPr>
              <a:latin typeface="Arial Narrow" panose="020B0606020202030204" pitchFamily="34" charset="0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65</xdr:col>
      <xdr:colOff>70957</xdr:colOff>
      <xdr:row>51</xdr:row>
      <xdr:rowOff>153069</xdr:rowOff>
    </xdr:from>
    <xdr:to>
      <xdr:col>73</xdr:col>
      <xdr:colOff>163286</xdr:colOff>
      <xdr:row>79</xdr:row>
      <xdr:rowOff>108509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7350557" y="11713698"/>
          <a:ext cx="7396642" cy="53904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56</xdr:col>
      <xdr:colOff>155541</xdr:colOff>
      <xdr:row>42</xdr:row>
      <xdr:rowOff>135652</xdr:rowOff>
    </xdr:from>
    <xdr:to>
      <xdr:col>64</xdr:col>
      <xdr:colOff>301285</xdr:colOff>
      <xdr:row>48</xdr:row>
      <xdr:rowOff>201019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/>
        <a:srcRect r="15475"/>
        <a:stretch>
          <a:fillRect/>
        </a:stretch>
      </xdr:blipFill>
      <xdr:spPr>
        <a:xfrm>
          <a:off x="24393003" y="9983037"/>
          <a:ext cx="2138668" cy="1340251"/>
        </a:xfrm>
        <a:prstGeom prst="rect">
          <a:avLst/>
        </a:prstGeom>
        <a:ln>
          <a:solidFill>
            <a:sysClr val="windowText" lastClr="000000"/>
          </a:solidFill>
          <a:prstDash val="solid"/>
        </a:ln>
      </xdr:spPr>
    </xdr:pic>
    <xdr:clientData/>
  </xdr:twoCellAnchor>
  <xdr:absoluteAnchor>
    <xdr:pos x="27762885" y="5787813"/>
    <xdr:ext cx="5373229" cy="390047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theme="9" tint="0.59999389629810485"/>
  </sheetPr>
  <dimension ref="A1:FF93"/>
  <sheetViews>
    <sheetView zoomScale="70" zoomScaleNormal="70" workbookViewId="0">
      <pane xSplit="2" topLeftCell="CB1" activePane="topRight" state="frozen"/>
      <selection pane="topRight" activeCell="DI25" sqref="DI25"/>
    </sheetView>
  </sheetViews>
  <sheetFormatPr defaultRowHeight="15" x14ac:dyDescent="0.25"/>
  <cols>
    <col min="1" max="1" width="8.28515625" bestFit="1" customWidth="1"/>
    <col min="2" max="2" width="11.85546875" bestFit="1" customWidth="1"/>
    <col min="3" max="3" width="9.28515625" bestFit="1" customWidth="1"/>
    <col min="4" max="4" width="8.85546875" bestFit="1" customWidth="1"/>
    <col min="5" max="5" width="10.85546875" customWidth="1"/>
    <col min="6" max="13" width="4.5703125" customWidth="1"/>
    <col min="14" max="14" width="6.28515625" bestFit="1" customWidth="1"/>
    <col min="15" max="19" width="10" customWidth="1"/>
    <col min="20" max="20" width="8.5703125" style="4" bestFit="1" customWidth="1"/>
    <col min="21" max="21" width="6.5703125" style="4" bestFit="1" customWidth="1"/>
    <col min="22" max="22" width="7" customWidth="1"/>
    <col min="23" max="23" width="8.42578125" customWidth="1"/>
    <col min="24" max="24" width="10.7109375" bestFit="1" customWidth="1"/>
    <col min="26" max="26" width="6.7109375" customWidth="1"/>
    <col min="27" max="29" width="7.140625" customWidth="1"/>
    <col min="30" max="32" width="8.42578125" customWidth="1"/>
    <col min="33" max="33" width="12.7109375" customWidth="1"/>
    <col min="34" max="48" width="5.85546875" customWidth="1"/>
    <col min="49" max="49" width="4.7109375" customWidth="1"/>
    <col min="50" max="50" width="16.42578125" customWidth="1"/>
    <col min="51" max="51" width="6.85546875" customWidth="1"/>
    <col min="52" max="64" width="3.7109375" customWidth="1"/>
    <col min="65" max="65" width="5" customWidth="1"/>
    <col min="66" max="66" width="9.140625" customWidth="1"/>
    <col min="67" max="67" width="31.42578125" customWidth="1"/>
    <col min="68" max="68" width="21.140625" customWidth="1"/>
    <col min="69" max="69" width="9" customWidth="1"/>
    <col min="70" max="70" width="8.85546875" customWidth="1"/>
    <col min="71" max="71" width="6.7109375" customWidth="1"/>
    <col min="72" max="72" width="11.5703125" customWidth="1"/>
    <col min="74" max="74" width="3.28515625" bestFit="1" customWidth="1"/>
    <col min="75" max="81" width="3.28515625" customWidth="1"/>
    <col min="82" max="87" width="3.28515625" bestFit="1" customWidth="1"/>
    <col min="88" max="88" width="3.28515625" customWidth="1"/>
    <col min="89" max="89" width="9" customWidth="1"/>
    <col min="91" max="91" width="3.28515625" bestFit="1" customWidth="1"/>
    <col min="92" max="98" width="3.28515625" customWidth="1"/>
    <col min="99" max="104" width="3.28515625" bestFit="1" customWidth="1"/>
    <col min="105" max="105" width="3.28515625" customWidth="1"/>
    <col min="108" max="108" width="3.28515625" bestFit="1" customWidth="1"/>
    <col min="109" max="115" width="3.28515625" customWidth="1"/>
    <col min="116" max="121" width="3.28515625" bestFit="1" customWidth="1"/>
    <col min="122" max="123" width="3.28515625" customWidth="1"/>
    <col min="125" max="125" width="4.28515625" customWidth="1"/>
    <col min="126" max="132" width="4.5703125" customWidth="1"/>
    <col min="133" max="134" width="4.5703125" bestFit="1" customWidth="1"/>
    <col min="135" max="135" width="4.28515625" bestFit="1" customWidth="1"/>
    <col min="136" max="139" width="4.5703125" bestFit="1" customWidth="1"/>
  </cols>
  <sheetData>
    <row r="1" spans="1:162" ht="76.5" customHeight="1" thickBot="1" x14ac:dyDescent="0.35">
      <c r="A1" s="117" t="s">
        <v>0</v>
      </c>
      <c r="B1" s="118" t="s">
        <v>1</v>
      </c>
      <c r="C1" s="118" t="s">
        <v>2</v>
      </c>
      <c r="D1" s="119" t="s">
        <v>3</v>
      </c>
      <c r="E1" s="119" t="s">
        <v>4</v>
      </c>
      <c r="F1" s="8">
        <v>63</v>
      </c>
      <c r="G1" s="8">
        <v>125</v>
      </c>
      <c r="H1" s="8">
        <v>250</v>
      </c>
      <c r="I1" s="8">
        <v>500</v>
      </c>
      <c r="J1" s="8">
        <v>1000</v>
      </c>
      <c r="K1" s="8">
        <v>2000</v>
      </c>
      <c r="L1" s="8">
        <v>4000</v>
      </c>
      <c r="M1" s="8">
        <v>8000</v>
      </c>
      <c r="N1" s="180" t="s">
        <v>5</v>
      </c>
      <c r="O1" s="181" t="s">
        <v>6</v>
      </c>
      <c r="P1" s="10" t="s">
        <v>7</v>
      </c>
      <c r="Q1" s="9" t="s">
        <v>8</v>
      </c>
      <c r="R1" s="10" t="s">
        <v>9</v>
      </c>
      <c r="S1" s="10" t="s">
        <v>10</v>
      </c>
      <c r="T1" s="11" t="s">
        <v>11</v>
      </c>
      <c r="U1" s="11" t="s">
        <v>12</v>
      </c>
      <c r="V1" s="12" t="s">
        <v>13</v>
      </c>
      <c r="W1" s="13" t="s">
        <v>14</v>
      </c>
      <c r="X1" s="14" t="s">
        <v>15</v>
      </c>
      <c r="Z1" s="80" t="s">
        <v>16</v>
      </c>
      <c r="AA1" s="81" t="s">
        <v>11</v>
      </c>
      <c r="AB1" s="81" t="s">
        <v>12</v>
      </c>
      <c r="AC1" s="82" t="s">
        <v>13</v>
      </c>
      <c r="AD1" s="81" t="s">
        <v>17</v>
      </c>
      <c r="AE1" s="1" t="s">
        <v>18</v>
      </c>
      <c r="AF1" s="82" t="s">
        <v>214</v>
      </c>
      <c r="AG1" s="58" t="s">
        <v>16</v>
      </c>
      <c r="AH1" s="15" t="str">
        <f t="array" ref="AH1:AV1">TRANSPOSE(Z2:Z16)</f>
        <v>Err</v>
      </c>
      <c r="AI1" s="59" t="str">
        <v>R1</v>
      </c>
      <c r="AJ1" s="59" t="str">
        <v>R2</v>
      </c>
      <c r="AK1" s="59" t="str">
        <v>R3</v>
      </c>
      <c r="AL1" s="59" t="str">
        <v>R4</v>
      </c>
      <c r="AM1" s="59" t="str">
        <v>R5</v>
      </c>
      <c r="AN1" s="59" t="str">
        <v>R6</v>
      </c>
      <c r="AO1" s="59">
        <v>0</v>
      </c>
      <c r="AP1" s="16">
        <v>0</v>
      </c>
      <c r="AQ1" s="16">
        <v>0</v>
      </c>
      <c r="AR1" s="16">
        <v>0</v>
      </c>
      <c r="AS1" s="16">
        <v>0</v>
      </c>
      <c r="AT1" s="16">
        <v>0</v>
      </c>
      <c r="AU1" s="16">
        <v>0</v>
      </c>
      <c r="AV1" s="17">
        <v>0</v>
      </c>
      <c r="AX1" s="58" t="s">
        <v>16</v>
      </c>
      <c r="AY1" s="15" t="str">
        <f t="shared" ref="AY1:BM1" si="0">AH1</f>
        <v>Err</v>
      </c>
      <c r="AZ1" s="59" t="str">
        <f t="shared" si="0"/>
        <v>R1</v>
      </c>
      <c r="BA1" s="59" t="str">
        <f t="shared" si="0"/>
        <v>R2</v>
      </c>
      <c r="BB1" s="59" t="str">
        <f t="shared" si="0"/>
        <v>R3</v>
      </c>
      <c r="BC1" s="59" t="str">
        <f t="shared" si="0"/>
        <v>R4</v>
      </c>
      <c r="BD1" s="59" t="str">
        <f t="shared" si="0"/>
        <v>R5</v>
      </c>
      <c r="BE1" s="59" t="str">
        <f t="shared" si="0"/>
        <v>R6</v>
      </c>
      <c r="BF1" s="59">
        <f t="shared" si="0"/>
        <v>0</v>
      </c>
      <c r="BG1" s="16">
        <f t="shared" si="0"/>
        <v>0</v>
      </c>
      <c r="BH1" s="16">
        <f t="shared" si="0"/>
        <v>0</v>
      </c>
      <c r="BI1" s="16">
        <f t="shared" si="0"/>
        <v>0</v>
      </c>
      <c r="BJ1" s="16">
        <f t="shared" si="0"/>
        <v>0</v>
      </c>
      <c r="BK1" s="16">
        <f t="shared" si="0"/>
        <v>0</v>
      </c>
      <c r="BL1" s="16">
        <f t="shared" si="0"/>
        <v>0</v>
      </c>
      <c r="BM1" s="17">
        <f t="shared" si="0"/>
        <v>0</v>
      </c>
      <c r="BU1" t="s">
        <v>16</v>
      </c>
      <c r="BV1" s="15" t="str" cm="1">
        <f t="array" ref="BV1:CJ1">TRANSPOSE(Z2:Z16)</f>
        <v>Err</v>
      </c>
      <c r="BW1" s="59" t="str">
        <v>R1</v>
      </c>
      <c r="BX1" s="59" t="str">
        <v>R2</v>
      </c>
      <c r="BY1" s="59" t="str">
        <v>R3</v>
      </c>
      <c r="BZ1" s="59" t="str">
        <v>R4</v>
      </c>
      <c r="CA1" s="59" t="str">
        <v>R5</v>
      </c>
      <c r="CB1" s="59" t="str">
        <v>R6</v>
      </c>
      <c r="CC1" s="59">
        <v>0</v>
      </c>
      <c r="CD1" s="16">
        <v>0</v>
      </c>
      <c r="CE1" s="16">
        <v>0</v>
      </c>
      <c r="CF1" s="16">
        <v>0</v>
      </c>
      <c r="CG1" s="16">
        <v>0</v>
      </c>
      <c r="CH1" s="16">
        <v>0</v>
      </c>
      <c r="CI1" s="16">
        <v>0</v>
      </c>
      <c r="CJ1" s="17">
        <v>0</v>
      </c>
      <c r="CL1" t="s">
        <v>16</v>
      </c>
      <c r="CM1" s="15" t="str" cm="1">
        <f t="array" ref="CM1:DA1">TRANSPOSE(Z2:Z16)</f>
        <v>Err</v>
      </c>
      <c r="CN1" s="59" t="str">
        <v>R1</v>
      </c>
      <c r="CO1" s="59" t="str">
        <v>R2</v>
      </c>
      <c r="CP1" s="59" t="str">
        <v>R3</v>
      </c>
      <c r="CQ1" s="59" t="str">
        <v>R4</v>
      </c>
      <c r="CR1" s="59" t="str">
        <v>R5</v>
      </c>
      <c r="CS1" s="59" t="str">
        <v>R6</v>
      </c>
      <c r="CT1" s="59">
        <v>0</v>
      </c>
      <c r="CU1" s="16">
        <v>0</v>
      </c>
      <c r="CV1" s="16">
        <v>0</v>
      </c>
      <c r="CW1" s="16">
        <v>0</v>
      </c>
      <c r="CX1" s="16">
        <v>0</v>
      </c>
      <c r="CY1" s="16">
        <v>0</v>
      </c>
      <c r="CZ1" s="16">
        <v>0</v>
      </c>
      <c r="DA1" s="17">
        <v>0</v>
      </c>
      <c r="DC1" t="s">
        <v>16</v>
      </c>
      <c r="DD1" s="15" t="str" cm="1">
        <f t="array" ref="DD1:DR1">TRANSPOSE(Z2:Z16)</f>
        <v>Err</v>
      </c>
      <c r="DE1" s="59" t="str">
        <v>R1</v>
      </c>
      <c r="DF1" s="59" t="str">
        <v>R2</v>
      </c>
      <c r="DG1" s="59" t="str">
        <v>R3</v>
      </c>
      <c r="DH1" s="59" t="str">
        <v>R4</v>
      </c>
      <c r="DI1" s="59" t="str">
        <v>R5</v>
      </c>
      <c r="DJ1" s="59" t="str">
        <v>R6</v>
      </c>
      <c r="DK1" s="59">
        <v>0</v>
      </c>
      <c r="DL1" s="16">
        <v>0</v>
      </c>
      <c r="DM1" s="16">
        <v>0</v>
      </c>
      <c r="DN1" s="16">
        <v>0</v>
      </c>
      <c r="DO1" s="16">
        <v>0</v>
      </c>
      <c r="DP1" s="16">
        <v>0</v>
      </c>
      <c r="DQ1" s="16">
        <v>0</v>
      </c>
      <c r="DR1" s="17">
        <v>0</v>
      </c>
      <c r="DT1" t="s">
        <v>16</v>
      </c>
      <c r="DU1" s="15" t="str">
        <f t="shared" ref="DU1:EI1" si="1">AH1</f>
        <v>Err</v>
      </c>
      <c r="DV1" s="59" t="str">
        <f t="shared" si="1"/>
        <v>R1</v>
      </c>
      <c r="DW1" s="59" t="str">
        <f t="shared" si="1"/>
        <v>R2</v>
      </c>
      <c r="DX1" s="59" t="str">
        <f t="shared" si="1"/>
        <v>R3</v>
      </c>
      <c r="DY1" s="59" t="str">
        <f t="shared" si="1"/>
        <v>R4</v>
      </c>
      <c r="DZ1" s="59" t="str">
        <f t="shared" si="1"/>
        <v>R5</v>
      </c>
      <c r="EA1" s="59" t="str">
        <f t="shared" si="1"/>
        <v>R6</v>
      </c>
      <c r="EB1" s="59">
        <f t="shared" si="1"/>
        <v>0</v>
      </c>
      <c r="EC1" s="16">
        <f t="shared" si="1"/>
        <v>0</v>
      </c>
      <c r="ED1" s="16">
        <f t="shared" si="1"/>
        <v>0</v>
      </c>
      <c r="EE1" s="16">
        <f t="shared" si="1"/>
        <v>0</v>
      </c>
      <c r="EF1" s="16">
        <f t="shared" si="1"/>
        <v>0</v>
      </c>
      <c r="EG1" s="16">
        <f t="shared" si="1"/>
        <v>0</v>
      </c>
      <c r="EH1" s="16">
        <f t="shared" si="1"/>
        <v>0</v>
      </c>
      <c r="EI1" s="17">
        <f t="shared" si="1"/>
        <v>0</v>
      </c>
      <c r="EK1" s="197"/>
      <c r="EL1" s="198" t="str" cm="1">
        <f t="array" ref="EL1:EZ1">DU1:EI1</f>
        <v>Err</v>
      </c>
      <c r="EM1" s="198" t="str">
        <v>R1</v>
      </c>
      <c r="EN1" s="198" t="str">
        <v>R2</v>
      </c>
      <c r="EO1" s="198" t="str">
        <v>R3</v>
      </c>
      <c r="EP1" s="198" t="str">
        <v>R4</v>
      </c>
      <c r="EQ1" s="198" t="str">
        <v>R5</v>
      </c>
      <c r="ER1" s="198" t="str">
        <v>R6</v>
      </c>
      <c r="ES1" s="198">
        <v>0</v>
      </c>
      <c r="ET1" s="198">
        <v>0</v>
      </c>
      <c r="EU1" s="198">
        <v>0</v>
      </c>
      <c r="EV1" s="198">
        <v>0</v>
      </c>
      <c r="EW1" s="198">
        <v>0</v>
      </c>
      <c r="EX1" s="198">
        <v>0</v>
      </c>
      <c r="EY1" s="198">
        <v>0</v>
      </c>
      <c r="EZ1" s="199">
        <v>0</v>
      </c>
    </row>
    <row r="2" spans="1:162" ht="17.25" customHeight="1" thickBot="1" x14ac:dyDescent="0.35">
      <c r="A2" s="182">
        <v>1</v>
      </c>
      <c r="B2" s="120" t="s">
        <v>84</v>
      </c>
      <c r="C2" s="120" t="s">
        <v>237</v>
      </c>
      <c r="D2" s="121" t="s">
        <v>238</v>
      </c>
      <c r="E2" s="165" t="s">
        <v>239</v>
      </c>
      <c r="F2" s="171">
        <v>80</v>
      </c>
      <c r="G2" s="172">
        <v>77</v>
      </c>
      <c r="H2" s="172">
        <v>84</v>
      </c>
      <c r="I2" s="172">
        <v>87</v>
      </c>
      <c r="J2" s="172">
        <v>80</v>
      </c>
      <c r="K2" s="172">
        <v>72</v>
      </c>
      <c r="L2" s="172">
        <v>69</v>
      </c>
      <c r="M2" s="177">
        <v>61</v>
      </c>
      <c r="N2" s="174" cm="1">
        <f t="array" ref="N2">IF(AND(F2:M2=""),"",10*LOG((10^((F2-26.2)/10))+(10^((G2-16.1)/10))+(10^((H2-8.6)/10))+(10^((I2-3.2)/10))+(10^((J2)/10))+(10^((K2+1.2)/10))+(10^((L2+1)/10))+(10^((M2-1.1)/10))))</f>
        <v>86.10550859917025</v>
      </c>
      <c r="O2" s="173">
        <v>0</v>
      </c>
      <c r="P2" s="168">
        <v>1</v>
      </c>
      <c r="Q2" s="122">
        <f>IFERROR(10*LOG10(A2)+ROUND(IF(AND(A2&gt;0, O2&gt;0), N2+ABS(10*LOG10(P2/(4*PI()*CONVERT(O2,"ft", "m")^2))), N2),0), 0)</f>
        <v>86</v>
      </c>
      <c r="R2" s="79">
        <v>2</v>
      </c>
      <c r="S2" s="79"/>
      <c r="T2" s="78">
        <v>104.01</v>
      </c>
      <c r="U2" s="78">
        <v>99.85</v>
      </c>
      <c r="V2" s="104">
        <f t="shared" ref="V2:V48" si="2">SUM(W2:X2)</f>
        <v>74.25</v>
      </c>
      <c r="W2" s="78">
        <v>70</v>
      </c>
      <c r="X2" s="123">
        <v>4.25</v>
      </c>
      <c r="Z2" s="212" t="s">
        <v>204</v>
      </c>
      <c r="AA2" s="172">
        <v>0</v>
      </c>
      <c r="AB2" s="172">
        <v>0</v>
      </c>
      <c r="AC2" s="173">
        <v>0</v>
      </c>
      <c r="AD2" s="209">
        <v>404</v>
      </c>
      <c r="AE2" s="206">
        <f t="array" ref="AE2:AE16">IFERROR(TRANSPOSE(ROUND(DU59:EI59,0)), "")</f>
        <v>18</v>
      </c>
      <c r="AF2" s="83"/>
      <c r="AG2" t="s">
        <v>19</v>
      </c>
      <c r="AH2" s="185" cm="1">
        <f t="array" ref="AH2">IF(OR(AH$1=0, $A2="", _xlfn.XLOOKUP(AH$1, $Z$2:$Z$18, $AD$2:$AD$18, "")=""),"",SQRT((_xlfn.XLOOKUP(AH$1,$Z$2:$Z$18,$AA$2:$AA$18)-$T2)^2+(_xlfn.XLOOKUP(AH$1,$Z$2:$Z$18,$AB$2:$AB$18)-$U2)^2+(_xlfn.XLOOKUP(AH$1,$Z$2:$Z$18,$AC$2:$AC$18-$V2)^2)))</f>
        <v>162.17633951967221</v>
      </c>
      <c r="AI2" s="124" cm="1">
        <f t="array" ref="AI2">IF(OR(AI$1=0, $A2="", _xlfn.XLOOKUP(AI$1, $Z$2:$Z$18, $AD$2:$AD$18, "")=""),"",SQRT((_xlfn.XLOOKUP(AI$1,$Z$2:$Z$18,$AA$2:$AA$18)-$T2)^2+(_xlfn.XLOOKUP(AI$1,$Z$2:$Z$18,$AB$2:$AB$18)-$U2)^2+(_xlfn.XLOOKUP(AI$1,$Z$2:$Z$18,$AC$2:$AC$18-$V2)^2)))</f>
        <v>72.737805163477404</v>
      </c>
      <c r="AJ2" s="124" cm="1">
        <f t="array" ref="AJ2">IF(OR(AJ$1=0, $A2="", _xlfn.XLOOKUP(AJ$1, $Z$2:$Z$18, $AD$2:$AD$18, "")=""),"",SQRT((_xlfn.XLOOKUP(AJ$1,$Z$2:$Z$18,$AA$2:$AA$18)-$T2)^2+(_xlfn.XLOOKUP(AJ$1,$Z$2:$Z$18,$AB$2:$AB$18)-$U2)^2+(_xlfn.XLOOKUP(AJ$1,$Z$2:$Z$18,$AC$2:$AC$18-$V2)^2)))</f>
        <v>58.223371595949331</v>
      </c>
      <c r="AK2" s="124" cm="1">
        <f t="array" ref="AK2">IF(OR(AK$1=0, $A2="", _xlfn.XLOOKUP(AK$1, $Z$2:$Z$18, $AD$2:$AD$18, "")=""),"",SQRT((_xlfn.XLOOKUP(AK$1,$Z$2:$Z$18,$AA$2:$AA$18)-$T2)^2+(_xlfn.XLOOKUP(AK$1,$Z$2:$Z$18,$AB$2:$AB$18)-$U2)^2+(_xlfn.XLOOKUP(AK$1,$Z$2:$Z$18,$AC$2:$AC$18-$V2)^2)))</f>
        <v>137.67746729221886</v>
      </c>
      <c r="AL2" s="124" cm="1">
        <f t="array" ref="AL2">IF(OR(AL$1=0, $A2="", _xlfn.XLOOKUP(AL$1, $Z$2:$Z$18, $AD$2:$AD$18, "")=""),"",SQRT((_xlfn.XLOOKUP(AL$1,$Z$2:$Z$18,$AA$2:$AA$18)-$T2)^2+(_xlfn.XLOOKUP(AL$1,$Z$2:$Z$18,$AB$2:$AB$18)-$U2)^2+(_xlfn.XLOOKUP(AL$1,$Z$2:$Z$18,$AC$2:$AC$18-$V2)^2)))</f>
        <v>215.99785878568338</v>
      </c>
      <c r="AM2" s="124" cm="1">
        <f t="array" ref="AM2">IF(OR(AM$1=0, $A2="", _xlfn.XLOOKUP(AM$1, $Z$2:$Z$18, $AD$2:$AD$18, "")=""),"",SQRT((_xlfn.XLOOKUP(AM$1,$Z$2:$Z$18,$AA$2:$AA$18)-$T2)^2+(_xlfn.XLOOKUP(AM$1,$Z$2:$Z$18,$AB$2:$AB$18)-$U2)^2+(_xlfn.XLOOKUP(AM$1,$Z$2:$Z$18,$AC$2:$AC$18-$V2)^2)))</f>
        <v>148.01165933804</v>
      </c>
      <c r="AN2" s="124" cm="1">
        <f t="array" ref="AN2">IF(OR(AN$1=0, $A2="", _xlfn.XLOOKUP(AN$1, $Z$2:$Z$18, $AD$2:$AD$18, "")=""),"",SQRT((_xlfn.XLOOKUP(AN$1,$Z$2:$Z$18,$AA$2:$AA$18)-$T2)^2+(_xlfn.XLOOKUP(AN$1,$Z$2:$Z$18,$AB$2:$AB$18)-$U2)^2+(_xlfn.XLOOKUP(AN$1,$Z$2:$Z$18,$AC$2:$AC$18-$V2)^2)))</f>
        <v>148.01165933804</v>
      </c>
      <c r="AO2" s="124" t="str" cm="1">
        <f t="array" ref="AO2">IF(OR(AO$1=0, $A2="", _xlfn.XLOOKUP(AO$1, $Z$2:$Z$18, $AD$2:$AD$18, "")=""),"",SQRT((_xlfn.XLOOKUP(AO$1,$Z$2:$Z$18,$AA$2:$AA$18)-$T2)^2+(_xlfn.XLOOKUP(AO$1,$Z$2:$Z$18,$AB$2:$AB$18)-$U2)^2+(_xlfn.XLOOKUP(AO$1,$Z$2:$Z$18,$AC$2:$AC$18-$V2)^2)))</f>
        <v/>
      </c>
      <c r="AP2" s="125" t="str" cm="1">
        <f t="array" ref="AP2">IF(OR(AP$1=0, $A2="", _xlfn.XLOOKUP(AP$1, $Z$2:$Z$18, $AD$2:$AD$18, "")=""),"",SQRT((_xlfn.XLOOKUP(AP$1,$Z$2:$Z$18,$AA$2:$AA$18)-$T2)^2+(_xlfn.XLOOKUP(AP$1,$Z$2:$Z$18,$AB$2:$AB$18)-$U2)^2+(_xlfn.XLOOKUP(AP$1,$Z$2:$Z$18,$AC$2:$AC$18-$V2)^2)))</f>
        <v/>
      </c>
      <c r="AQ2" s="125" t="str" cm="1">
        <f t="array" ref="AQ2">IF(OR(AQ$1=0, $A2="", _xlfn.XLOOKUP(AQ$1, $Z$2:$Z$18, $AD$2:$AD$18, "")=""),"",SQRT((_xlfn.XLOOKUP(AQ$1,$Z$2:$Z$18,$AA$2:$AA$18)-$T2)^2+(_xlfn.XLOOKUP(AQ$1,$Z$2:$Z$18,$AB$2:$AB$18)-$U2)^2+(_xlfn.XLOOKUP(AQ$1,$Z$2:$Z$18,$AC$2:$AC$18-$V2)^2)))</f>
        <v/>
      </c>
      <c r="AR2" s="125" t="str" cm="1">
        <f t="array" ref="AR2">IF(OR(AR$1=0, $A2="", _xlfn.XLOOKUP(AR$1, $Z$2:$Z$18, $AD$2:$AD$18, "")=""),"",SQRT((_xlfn.XLOOKUP(AR$1,$Z$2:$Z$18,$AA$2:$AA$18)-$T2)^2+(_xlfn.XLOOKUP(AR$1,$Z$2:$Z$18,$AB$2:$AB$18)-$U2)^2+(_xlfn.XLOOKUP(AR$1,$Z$2:$Z$18,$AC$2:$AC$18-$V2)^2)))</f>
        <v/>
      </c>
      <c r="AS2" s="125" t="str" cm="1">
        <f t="array" ref="AS2">IF(OR(AS$1=0, $A2="", _xlfn.XLOOKUP(AS$1, $Z$2:$Z$18, $AD$2:$AD$18, "")=""),"",SQRT((_xlfn.XLOOKUP(AS$1,$Z$2:$Z$18,$AA$2:$AA$18)-$T2)^2+(_xlfn.XLOOKUP(AS$1,$Z$2:$Z$18,$AB$2:$AB$18)-$U2)^2+(_xlfn.XLOOKUP(AS$1,$Z$2:$Z$18,$AC$2:$AC$18-$V2)^2)))</f>
        <v/>
      </c>
      <c r="AT2" s="125" t="str" cm="1">
        <f t="array" ref="AT2">IF(OR(AT$1=0, $A2="", _xlfn.XLOOKUP(AT$1, $Z$2:$Z$18, $AD$2:$AD$18, "")=""),"",SQRT((_xlfn.XLOOKUP(AT$1,$Z$2:$Z$18,$AA$2:$AA$18)-$T2)^2+(_xlfn.XLOOKUP(AT$1,$Z$2:$Z$18,$AB$2:$AB$18)-$U2)^2+(_xlfn.XLOOKUP(AT$1,$Z$2:$Z$18,$AC$2:$AC$18-$V2)^2)))</f>
        <v/>
      </c>
      <c r="AU2" s="125" t="str" cm="1">
        <f t="array" ref="AU2">IF(OR(AU$1=0, $A2="", _xlfn.XLOOKUP(AU$1, $Z$2:$Z$18, $AD$2:$AD$18, "")=""),"",SQRT((_xlfn.XLOOKUP(AU$1,$Z$2:$Z$18,$AA$2:$AA$18)-$T2)^2+(_xlfn.XLOOKUP(AU$1,$Z$2:$Z$18,$AB$2:$AB$18)-$U2)^2+(_xlfn.XLOOKUP(AU$1,$Z$2:$Z$18,$AC$2:$AC$18-$V2)^2)))</f>
        <v/>
      </c>
      <c r="AV2" s="126" t="str" cm="1">
        <f t="array" ref="AV2">IF(OR(AV$1=0, $A2="", _xlfn.XLOOKUP(AV$1, $Z$2:$Z$18, $AD$2:$AD$18, "")=""),"",SQRT((_xlfn.XLOOKUP(AV$1,$Z$2:$Z$18,$AA$2:$AA$18)-$T2)^2+(_xlfn.XLOOKUP(AV$1,$Z$2:$Z$18,$AB$2:$AB$18)-$U2)^2+(_xlfn.XLOOKUP(AV$1,$Z$2:$Z$18,$AC$2:$AC$18-$V2)^2)))</f>
        <v/>
      </c>
      <c r="AW2" s="127"/>
      <c r="AX2" s="127" t="s">
        <v>20</v>
      </c>
      <c r="AY2" s="128">
        <f t="shared" ref="AY2:AY33" si="3">IFERROR(-ABS(10*LOG10(($R2/(4*PI()*CONVERT(AH2,"ft","m")^2)))),0)</f>
        <v>-41.861847811675339</v>
      </c>
      <c r="AZ2" s="129">
        <f t="shared" ref="AZ2:AZ33" si="4">IFERROR(-ABS(10*LOG10(($R2/(4*PI()*CONVERT(AI2,"ft","m")^2)))),0)</f>
        <v>-34.897301781734754</v>
      </c>
      <c r="BA2" s="129">
        <f t="shared" ref="BA2:BA33" si="5">IFERROR(-ABS(10*LOG10(($R2/(4*PI()*CONVERT(AJ2,"ft","m")^2)))),0)</f>
        <v>-32.964044955593842</v>
      </c>
      <c r="BB2" s="129">
        <f t="shared" ref="BB2:BB33" si="6">IFERROR(-ABS(10*LOG10(($R2/(4*PI()*CONVERT(AK2,"ft","m")^2)))),0)</f>
        <v>-40.439355299602148</v>
      </c>
      <c r="BC2" s="129">
        <f t="shared" ref="BC2:BC33" si="7">IFERROR(-ABS(10*LOG10(($R2/(4*PI()*CONVERT(AL2,"ft","m")^2)))),0)</f>
        <v>-44.351086856046258</v>
      </c>
      <c r="BD2" s="129">
        <f t="shared" ref="BD2:BD33" si="8">IFERROR(-ABS(10*LOG10(($R2/(4*PI()*CONVERT(AM2,"ft","m")^2)))),0)</f>
        <v>-41.068016486281692</v>
      </c>
      <c r="BE2" s="129">
        <f t="shared" ref="BE2:BE33" si="9">IFERROR(-ABS(10*LOG10(($R2/(4*PI()*CONVERT(AN2,"ft","m")^2)))),0)</f>
        <v>-41.068016486281692</v>
      </c>
      <c r="BF2" s="129">
        <f t="shared" ref="BF2:BF33" si="10">IFERROR(-ABS(10*LOG10(($R2/(4*PI()*CONVERT(AO2,"ft","m")^2)))),0)</f>
        <v>0</v>
      </c>
      <c r="BG2" s="130">
        <f t="shared" ref="BG2:BG33" si="11">IFERROR(-ABS(10*LOG10(($R2/(4*PI()*CONVERT(AP2,"ft","m")^2)))),0)</f>
        <v>0</v>
      </c>
      <c r="BH2" s="130">
        <f t="shared" ref="BH2:BH33" si="12">IFERROR(-ABS(10*LOG10(($R2/(4*PI()*CONVERT(AQ2,"ft","m")^2)))),0)</f>
        <v>0</v>
      </c>
      <c r="BI2" s="130">
        <f t="shared" ref="BI2:BI33" si="13">IFERROR(-ABS(10*LOG10(($R2/(4*PI()*CONVERT(AR2,"ft","m")^2)))),0)</f>
        <v>0</v>
      </c>
      <c r="BJ2" s="130">
        <f t="shared" ref="BJ2:BJ33" si="14">IFERROR(-ABS(10*LOG10(($R2/(4*PI()*CONVERT(AS2,"ft","m")^2)))),0)</f>
        <v>0</v>
      </c>
      <c r="BK2" s="130">
        <f t="shared" ref="BK2:BK33" si="15">IFERROR(-ABS(10*LOG10(($R2/(4*PI()*CONVERT(AT2,"ft","m")^2)))),0)</f>
        <v>0</v>
      </c>
      <c r="BL2" s="130">
        <f t="shared" ref="BL2:BL33" si="16">IFERROR(-ABS(10*LOG10(($R2/(4*PI()*CONVERT(AU2,"ft","m")^2)))),0)</f>
        <v>0</v>
      </c>
      <c r="BM2" s="131">
        <f t="shared" ref="BM2:BM33" si="17">IFERROR(-ABS(10*LOG10(($R2/(4*PI()*CONVERT(AV2,"ft","m")^2)))),0)</f>
        <v>0</v>
      </c>
      <c r="BN2" s="127"/>
      <c r="BO2" s="18"/>
      <c r="BP2" s="19" t="s">
        <v>21</v>
      </c>
      <c r="BQ2" s="19" t="s">
        <v>22</v>
      </c>
      <c r="BR2" s="19" t="s">
        <v>23</v>
      </c>
      <c r="BS2" s="19" t="s">
        <v>24</v>
      </c>
      <c r="BT2" s="127"/>
      <c r="BU2" s="132" t="s">
        <v>25</v>
      </c>
      <c r="BV2" s="133"/>
      <c r="BW2" s="133">
        <v>11.5</v>
      </c>
      <c r="BX2" s="133">
        <v>16.899999999999999</v>
      </c>
      <c r="BY2" s="133">
        <v>16.8</v>
      </c>
      <c r="BZ2" s="133">
        <v>17.399999999999999</v>
      </c>
      <c r="CA2" s="133">
        <v>14.3</v>
      </c>
      <c r="CB2" s="133"/>
      <c r="CC2" s="133"/>
      <c r="CD2" s="133"/>
      <c r="CE2" s="133"/>
      <c r="CF2" s="133"/>
      <c r="CG2" s="133"/>
      <c r="CH2" s="133"/>
      <c r="CI2" s="133"/>
      <c r="CJ2" s="133"/>
      <c r="CL2" s="132" t="s">
        <v>203</v>
      </c>
      <c r="CM2" s="133" t="s">
        <v>32</v>
      </c>
      <c r="CN2" s="133"/>
      <c r="CO2" s="133" t="s">
        <v>32</v>
      </c>
      <c r="CP2" s="133" t="s">
        <v>32</v>
      </c>
      <c r="CQ2" s="133" t="s">
        <v>32</v>
      </c>
      <c r="CR2" s="133" t="s">
        <v>32</v>
      </c>
      <c r="CS2" s="133"/>
      <c r="CT2" s="133"/>
      <c r="CU2" s="133"/>
      <c r="CV2" s="133"/>
      <c r="CW2" s="133"/>
      <c r="CX2" s="133"/>
      <c r="CY2" s="133"/>
      <c r="CZ2" s="133"/>
      <c r="DA2" s="133"/>
      <c r="DC2" s="132" t="s">
        <v>236</v>
      </c>
      <c r="DD2" s="133"/>
      <c r="DE2" s="133"/>
      <c r="DF2" s="133"/>
      <c r="DG2" s="133"/>
      <c r="DH2" s="133"/>
      <c r="DI2" s="133"/>
      <c r="DJ2" s="133"/>
      <c r="DK2" s="133"/>
      <c r="DL2" s="133"/>
      <c r="DM2" s="133"/>
      <c r="DN2" s="133"/>
      <c r="DO2" s="133"/>
      <c r="DP2" s="133"/>
      <c r="DQ2" s="133"/>
      <c r="DR2" s="133"/>
      <c r="DT2" s="127" t="s">
        <v>26</v>
      </c>
      <c r="DU2" s="188" cm="1">
        <f t="array" ref="DU2">_xlfn.IFS(DU$1= 0,"", NOT(ISBLANK(CM2)), 0, ISBLANK(CM2), $Q2-$S2+AY2-BV2-DD2)</f>
        <v>0</v>
      </c>
      <c r="DV2" s="189" cm="1">
        <f t="array" ref="DV2">_xlfn.IFS(DV$1= 0,"", NOT(ISBLANK(CN2)), 0, ISBLANK(CN2), $Q2-$S2+AZ2-BW2-DE2)</f>
        <v>39.602698218265246</v>
      </c>
      <c r="DW2" s="189" cm="1">
        <f t="array" ref="DW2">_xlfn.IFS(DW$1= 0,"", NOT(ISBLANK(CO2)), 0, ISBLANK(CO2), $Q2-$S2+BA2-BX2-DF2)</f>
        <v>0</v>
      </c>
      <c r="DX2" s="189" cm="1">
        <f t="array" ref="DX2">_xlfn.IFS(DX$1= 0,"", NOT(ISBLANK(CP2)), 0, ISBLANK(CP2), $Q2-$S2+BB2-BY2-DG2)</f>
        <v>0</v>
      </c>
      <c r="DY2" s="189" cm="1">
        <f t="array" ref="DY2">_xlfn.IFS(DY$1= 0,"", NOT(ISBLANK(CQ2)), 0, ISBLANK(CQ2), $Q2-$S2+BC2-BZ2-DH2)</f>
        <v>0</v>
      </c>
      <c r="DZ2" s="189" cm="1">
        <f t="array" ref="DZ2">_xlfn.IFS(DZ$1= 0,"", NOT(ISBLANK(CR2)), 0, ISBLANK(CR2), $Q2-$S2+BD2-CA2-DI2)</f>
        <v>0</v>
      </c>
      <c r="EA2" s="189" cm="1">
        <f t="array" ref="EA2">_xlfn.IFS(EA$1= 0,"", NOT(ISBLANK(CS2)), 0, ISBLANK(CS2), $Q2-$S2+BE2-CB2-DJ2)</f>
        <v>44.931983513718308</v>
      </c>
      <c r="EB2" s="189" t="str" cm="1">
        <f t="array" ref="EB2">_xlfn.IFS(EB$1= 0,"", NOT(ISBLANK(CT2)), 0, ISBLANK(CT2), $Q2-$S2+BF2-CC2-DK2)</f>
        <v/>
      </c>
      <c r="EC2" s="189" t="str" cm="1">
        <f t="array" ref="EC2">_xlfn.IFS(EC$1= 0,"", NOT(ISBLANK(CU2)), 0, ISBLANK(CU2), $Q2-$S2+BG2-CD2-DL2)</f>
        <v/>
      </c>
      <c r="ED2" s="189" t="str" cm="1">
        <f t="array" ref="ED2">_xlfn.IFS(ED$1= 0,"", NOT(ISBLANK(CV2)), 0, ISBLANK(CV2), $Q2-$S2+BH2-CE2-DM2)</f>
        <v/>
      </c>
      <c r="EE2" s="189" t="str" cm="1">
        <f t="array" ref="EE2">_xlfn.IFS(EE$1= 0,"", NOT(ISBLANK(CW2)), 0, ISBLANK(CW2), $Q2-$S2+BI2-CF2-DN2)</f>
        <v/>
      </c>
      <c r="EF2" s="189" t="str" cm="1">
        <f t="array" ref="EF2">_xlfn.IFS(EF$1= 0,"", NOT(ISBLANK(CX2)), 0, ISBLANK(CX2), $Q2-$S2+BJ2-CG2-DO2)</f>
        <v/>
      </c>
      <c r="EG2" s="189" t="str" cm="1">
        <f t="array" ref="EG2">_xlfn.IFS(EG$1= 0,"", NOT(ISBLANK(CY2)), 0, ISBLANK(CY2), $Q2-$S2+BK2-CH2-DP2)</f>
        <v/>
      </c>
      <c r="EH2" s="189" t="str" cm="1">
        <f t="array" ref="EH2">_xlfn.IFS(EH$1= 0,"", NOT(ISBLANK(CZ2)), 0, ISBLANK(CZ2), $Q2-$S2+BL2-CI2-DQ2)</f>
        <v/>
      </c>
      <c r="EI2" s="190" t="str" cm="1">
        <f t="array" ref="EI2">_xlfn.IFS(EI$1= 0,"", NOT(ISBLANK(DA2)), 0, ISBLANK(DA2), $Q2-$S2+BM2-CJ2-DR2)</f>
        <v/>
      </c>
      <c r="EK2" s="73" t="s">
        <v>234</v>
      </c>
      <c r="EM2" s="127">
        <f t="array" ref="EM2">MIN(IF(DV2:DV58&lt;&gt;0,DV2:DV58,FALSE))</f>
        <v>10.176650240074622</v>
      </c>
      <c r="EN2" s="127">
        <f t="array" ref="EN2">MIN(IF(DW2:DW58&lt;&gt;0,DW2:DW58,FALSE))</f>
        <v>30.334224892398836</v>
      </c>
      <c r="EO2" s="127">
        <f t="array" ref="EO2">MIN(IF(DX2:DX58&lt;&gt;0,DX2:DX58,FALSE))</f>
        <v>23.438599476489436</v>
      </c>
      <c r="EP2" s="127">
        <f t="array" ref="EP2">MIN(IF(DY2:DY58&lt;&gt;0,DY2:DY58,FALSE))</f>
        <v>18.613771913716061</v>
      </c>
      <c r="EQ2" s="127">
        <f t="array" ref="EQ2">MIN(IF(DZ2:DZ58&lt;&gt;0,DZ2:DZ58,FALSE))</f>
        <v>30.973202001732659</v>
      </c>
      <c r="ER2" s="127">
        <f t="array" ref="ER2">MIN(IF(EA2:EA58&lt;&gt;0,EA2:EA58,FALSE))</f>
        <v>10.599983054567275</v>
      </c>
      <c r="ES2" s="127">
        <f t="array" ref="ES2">MIN(IF(EB2:EB58&lt;&gt;0,EB2:EB58,FALSE))</f>
        <v>0</v>
      </c>
      <c r="ET2" s="127">
        <f t="array" ref="ET2">MIN(IF(EC2:EC58&lt;&gt;0,EC2:EC58,FALSE))</f>
        <v>0</v>
      </c>
      <c r="EU2" s="127">
        <f t="array" ref="EU2">MIN(IF(ED2:ED58&lt;&gt;0,ED2:ED58,FALSE))</f>
        <v>0</v>
      </c>
      <c r="EV2" s="127">
        <f t="array" ref="EV2">MIN(IF(EE2:EE58&lt;&gt;0,EE2:EE58,FALSE))</f>
        <v>0</v>
      </c>
      <c r="EW2" s="127">
        <f t="array" ref="EW2">MIN(IF(EF2:EF58&lt;&gt;0,EF2:EF58,FALSE))</f>
        <v>0</v>
      </c>
      <c r="EX2" s="127">
        <f t="array" ref="EX2">MIN(IF(EG2:EG58&lt;&gt;0,EG2:EG58,FALSE))</f>
        <v>0</v>
      </c>
      <c r="EY2" s="127">
        <f t="array" ref="EY2">MIN(IF(EH2:EH58&lt;&gt;0,EH2:EH58,FALSE))</f>
        <v>0</v>
      </c>
      <c r="EZ2" s="200">
        <f t="array" ref="EZ2">MIN(IF(EI2:EI58&lt;&gt;0,EI2:EI58,FALSE))</f>
        <v>0</v>
      </c>
      <c r="FC2" t="s">
        <v>27</v>
      </c>
      <c r="FD2" t="s">
        <v>27</v>
      </c>
      <c r="FE2" t="s">
        <v>27</v>
      </c>
      <c r="FF2" t="s">
        <v>27</v>
      </c>
    </row>
    <row r="3" spans="1:162" ht="17.25" customHeight="1" thickBot="1" x14ac:dyDescent="0.35">
      <c r="A3" s="183">
        <v>1</v>
      </c>
      <c r="B3" s="120" t="s">
        <v>85</v>
      </c>
      <c r="C3" s="134" t="s">
        <v>240</v>
      </c>
      <c r="D3" s="121" t="s">
        <v>238</v>
      </c>
      <c r="E3" s="166" t="s">
        <v>241</v>
      </c>
      <c r="F3" s="174">
        <v>91</v>
      </c>
      <c r="G3" s="3">
        <v>92</v>
      </c>
      <c r="H3" s="3">
        <v>95</v>
      </c>
      <c r="I3" s="3">
        <v>89</v>
      </c>
      <c r="J3" s="3">
        <v>86</v>
      </c>
      <c r="K3" s="3">
        <v>76</v>
      </c>
      <c r="L3" s="3">
        <v>72</v>
      </c>
      <c r="M3" s="178">
        <v>67</v>
      </c>
      <c r="N3" s="174" cm="1">
        <f t="array" ref="N3">IF(AND(F3:M3=""),"",10*LOG((10^((F3-26.2)/10))+(10^((G3-16.1)/10))+(10^((H3-8.6)/10))+(10^((I3-3.2)/10))+(10^((J3)/10))+(10^((K3+1.2)/10))+(10^((L3+1)/10))+(10^((M3-1.1)/10))))</f>
        <v>91.248499205894532</v>
      </c>
      <c r="O3" s="175">
        <v>0</v>
      </c>
      <c r="P3" s="169">
        <v>1</v>
      </c>
      <c r="Q3" s="122">
        <f t="shared" ref="Q3:Q58" si="18">IFERROR(10*LOG10(A3)+ROUND(IF(AND(A3&gt;0, O3&gt;0), N3+ABS(10*LOG10(P3/(4*PI()*CONVERT(O3,"ft", "m")^2))), N3),0), 0)</f>
        <v>91</v>
      </c>
      <c r="R3" s="2">
        <v>2</v>
      </c>
      <c r="S3" s="2"/>
      <c r="T3" s="3">
        <v>154.11000000000001</v>
      </c>
      <c r="U3" s="3">
        <v>121.92</v>
      </c>
      <c r="V3" s="104">
        <f t="shared" si="2"/>
        <v>72.5</v>
      </c>
      <c r="W3" s="78">
        <v>70</v>
      </c>
      <c r="X3" s="136">
        <v>2.5</v>
      </c>
      <c r="Z3" s="7" t="s">
        <v>104</v>
      </c>
      <c r="AA3" s="3">
        <v>33.28</v>
      </c>
      <c r="AB3" s="3">
        <v>85.62</v>
      </c>
      <c r="AC3" s="83">
        <v>65</v>
      </c>
      <c r="AD3" s="210">
        <v>40</v>
      </c>
      <c r="AE3" s="207">
        <v>50</v>
      </c>
      <c r="AF3" s="83"/>
      <c r="AG3" s="58"/>
      <c r="AH3" s="185" cm="1">
        <f t="array" ref="AH3">IF(OR(AH$1=0, $A3="", _xlfn.XLOOKUP(AH$1, $Z$2:$Z$18, $AD$2:$AD$18, "")=""),"",SQRT((_xlfn.XLOOKUP(AH$1,$Z$2:$Z$18,$AA$2:$AA$18)-$T3)^2+(_xlfn.XLOOKUP(AH$1,$Z$2:$Z$18,$AB$2:$AB$18)-$U3)^2+(_xlfn.XLOOKUP(AH$1,$Z$2:$Z$18,$AC$2:$AC$18-$V3)^2)))</f>
        <v>209.45316540935829</v>
      </c>
      <c r="AI3" s="124" cm="1">
        <f t="array" ref="AI3">IF(OR(AI$1=0, $A3="", _xlfn.XLOOKUP(AI$1, $Z$2:$Z$18, $AD$2:$AD$18, "")=""),"",SQRT((_xlfn.XLOOKUP(AI$1,$Z$2:$Z$18,$AA$2:$AA$18)-$T3)^2+(_xlfn.XLOOKUP(AI$1,$Z$2:$Z$18,$AB$2:$AB$18)-$U3)^2+(_xlfn.XLOOKUP(AI$1,$Z$2:$Z$18,$AC$2:$AC$18-$V3)^2)))</f>
        <v>126.38761371273691</v>
      </c>
      <c r="AJ3" s="124" cm="1">
        <f t="array" ref="AJ3">IF(OR(AJ$1=0, $A3="", _xlfn.XLOOKUP(AJ$1, $Z$2:$Z$18, $AD$2:$AD$18, "")=""),"",SQRT((_xlfn.XLOOKUP(AJ$1,$Z$2:$Z$18,$AA$2:$AA$18)-$T3)^2+(_xlfn.XLOOKUP(AJ$1,$Z$2:$Z$18,$AB$2:$AB$18)-$U3)^2+(_xlfn.XLOOKUP(AJ$1,$Z$2:$Z$18,$AC$2:$AC$18-$V3)^2)))</f>
        <v>91.034238613831448</v>
      </c>
      <c r="AK3" s="124" cm="1">
        <f t="array" ref="AK3">IF(OR(AK$1=0, $A3="", _xlfn.XLOOKUP(AK$1, $Z$2:$Z$18, $AD$2:$AD$18, "")=""),"",SQRT((_xlfn.XLOOKUP(AK$1,$Z$2:$Z$18,$AA$2:$AA$18)-$T3)^2+(_xlfn.XLOOKUP(AK$1,$Z$2:$Z$18,$AB$2:$AB$18)-$U3)^2+(_xlfn.XLOOKUP(AK$1,$Z$2:$Z$18,$AC$2:$AC$18-$V3)^2)))</f>
        <v>118.30890245454903</v>
      </c>
      <c r="AL3" s="124" cm="1">
        <f t="array" ref="AL3">IF(OR(AL$1=0, $A3="", _xlfn.XLOOKUP(AL$1, $Z$2:$Z$18, $AD$2:$AD$18, "")=""),"",SQRT((_xlfn.XLOOKUP(AL$1,$Z$2:$Z$18,$AA$2:$AA$18)-$T3)^2+(_xlfn.XLOOKUP(AL$1,$Z$2:$Z$18,$AB$2:$AB$18)-$U3)^2+(_xlfn.XLOOKUP(AL$1,$Z$2:$Z$18,$AC$2:$AC$18-$V3)^2)))</f>
        <v>169.69045170545101</v>
      </c>
      <c r="AM3" s="124" cm="1">
        <f t="array" ref="AM3">IF(OR(AM$1=0, $A3="", _xlfn.XLOOKUP(AM$1, $Z$2:$Z$18, $AD$2:$AD$18, "")=""),"",SQRT((_xlfn.XLOOKUP(AM$1,$Z$2:$Z$18,$AA$2:$AA$18)-$T3)^2+(_xlfn.XLOOKUP(AM$1,$Z$2:$Z$18,$AB$2:$AB$18)-$U3)^2+(_xlfn.XLOOKUP(AM$1,$Z$2:$Z$18,$AC$2:$AC$18-$V3)^2)))</f>
        <v>169.61754773607595</v>
      </c>
      <c r="AN3" s="124" cm="1">
        <f t="array" ref="AN3">IF(OR(AN$1=0, $A3="", _xlfn.XLOOKUP(AN$1, $Z$2:$Z$18, $AD$2:$AD$18, "")=""),"",SQRT((_xlfn.XLOOKUP(AN$1,$Z$2:$Z$18,$AA$2:$AA$18)-$T3)^2+(_xlfn.XLOOKUP(AN$1,$Z$2:$Z$18,$AB$2:$AB$18)-$U3)^2+(_xlfn.XLOOKUP(AN$1,$Z$2:$Z$18,$AC$2:$AC$18-$V3)^2)))</f>
        <v>169.61754773607595</v>
      </c>
      <c r="AO3" s="124" t="str" cm="1">
        <f t="array" ref="AO3">IF(OR(AO$1=0, $A3="", _xlfn.XLOOKUP(AO$1, $Z$2:$Z$18, $AD$2:$AD$18, "")=""),"",SQRT((_xlfn.XLOOKUP(AO$1,$Z$2:$Z$18,$AA$2:$AA$18)-$T3)^2+(_xlfn.XLOOKUP(AO$1,$Z$2:$Z$18,$AB$2:$AB$18)-$U3)^2+(_xlfn.XLOOKUP(AO$1,$Z$2:$Z$18,$AC$2:$AC$18-$V3)^2)))</f>
        <v/>
      </c>
      <c r="AP3" s="125" t="str" cm="1">
        <f t="array" ref="AP3">IF(OR(AP$1=0, $A3="", _xlfn.XLOOKUP(AP$1, $Z$2:$Z$18, $AD$2:$AD$18, "")=""),"",SQRT((_xlfn.XLOOKUP(AP$1,$Z$2:$Z$18,$AA$2:$AA$18)-$T3)^2+(_xlfn.XLOOKUP(AP$1,$Z$2:$Z$18,$AB$2:$AB$18)-$U3)^2+(_xlfn.XLOOKUP(AP$1,$Z$2:$Z$18,$AC$2:$AC$18-$V3)^2)))</f>
        <v/>
      </c>
      <c r="AQ3" s="125" t="str" cm="1">
        <f t="array" ref="AQ3">IF(OR(AQ$1=0, $A3="", _xlfn.XLOOKUP(AQ$1, $Z$2:$Z$18, $AD$2:$AD$18, "")=""),"",SQRT((_xlfn.XLOOKUP(AQ$1,$Z$2:$Z$18,$AA$2:$AA$18)-$T3)^2+(_xlfn.XLOOKUP(AQ$1,$Z$2:$Z$18,$AB$2:$AB$18)-$U3)^2+(_xlfn.XLOOKUP(AQ$1,$Z$2:$Z$18,$AC$2:$AC$18-$V3)^2)))</f>
        <v/>
      </c>
      <c r="AR3" s="125" t="str" cm="1">
        <f t="array" ref="AR3">IF(OR(AR$1=0, $A3="", _xlfn.XLOOKUP(AR$1, $Z$2:$Z$18, $AD$2:$AD$18, "")=""),"",SQRT((_xlfn.XLOOKUP(AR$1,$Z$2:$Z$18,$AA$2:$AA$18)-$T3)^2+(_xlfn.XLOOKUP(AR$1,$Z$2:$Z$18,$AB$2:$AB$18)-$U3)^2+(_xlfn.XLOOKUP(AR$1,$Z$2:$Z$18,$AC$2:$AC$18-$V3)^2)))</f>
        <v/>
      </c>
      <c r="AS3" s="125" t="str" cm="1">
        <f t="array" ref="AS3">IF(OR(AS$1=0, $A3="", _xlfn.XLOOKUP(AS$1, $Z$2:$Z$18, $AD$2:$AD$18, "")=""),"",SQRT((_xlfn.XLOOKUP(AS$1,$Z$2:$Z$18,$AA$2:$AA$18)-$T3)^2+(_xlfn.XLOOKUP(AS$1,$Z$2:$Z$18,$AB$2:$AB$18)-$U3)^2+(_xlfn.XLOOKUP(AS$1,$Z$2:$Z$18,$AC$2:$AC$18-$V3)^2)))</f>
        <v/>
      </c>
      <c r="AT3" s="125" t="str" cm="1">
        <f t="array" ref="AT3">IF(OR(AT$1=0, $A3="", _xlfn.XLOOKUP(AT$1, $Z$2:$Z$18, $AD$2:$AD$18, "")=""),"",SQRT((_xlfn.XLOOKUP(AT$1,$Z$2:$Z$18,$AA$2:$AA$18)-$T3)^2+(_xlfn.XLOOKUP(AT$1,$Z$2:$Z$18,$AB$2:$AB$18)-$U3)^2+(_xlfn.XLOOKUP(AT$1,$Z$2:$Z$18,$AC$2:$AC$18-$V3)^2)))</f>
        <v/>
      </c>
      <c r="AU3" s="125" t="str" cm="1">
        <f t="array" ref="AU3">IF(OR(AU$1=0, $A3="", _xlfn.XLOOKUP(AU$1, $Z$2:$Z$18, $AD$2:$AD$18, "")=""),"",SQRT((_xlfn.XLOOKUP(AU$1,$Z$2:$Z$18,$AA$2:$AA$18)-$T3)^2+(_xlfn.XLOOKUP(AU$1,$Z$2:$Z$18,$AB$2:$AB$18)-$U3)^2+(_xlfn.XLOOKUP(AU$1,$Z$2:$Z$18,$AC$2:$AC$18-$V3)^2)))</f>
        <v/>
      </c>
      <c r="AV3" s="126" t="str" cm="1">
        <f t="array" ref="AV3">IF(OR(AV$1=0, $A3="", _xlfn.XLOOKUP(AV$1, $Z$2:$Z$18, $AD$2:$AD$18, "")=""),"",SQRT((_xlfn.XLOOKUP(AV$1,$Z$2:$Z$18,$AA$2:$AA$18)-$T3)^2+(_xlfn.XLOOKUP(AV$1,$Z$2:$Z$18,$AB$2:$AB$18)-$U3)^2+(_xlfn.XLOOKUP(AV$1,$Z$2:$Z$18,$AC$2:$AC$18-$V3)^2)))</f>
        <v/>
      </c>
      <c r="AW3" s="127"/>
      <c r="AX3" s="58"/>
      <c r="AY3" s="128">
        <f t="shared" si="3"/>
        <v>-44.083836499383196</v>
      </c>
      <c r="AZ3" s="137">
        <f t="shared" si="4"/>
        <v>-39.696188219689965</v>
      </c>
      <c r="BA3" s="137">
        <f t="shared" si="5"/>
        <v>-36.846193221687557</v>
      </c>
      <c r="BB3" s="137">
        <f t="shared" si="6"/>
        <v>-39.122446445960684</v>
      </c>
      <c r="BC3" s="137">
        <f t="shared" si="7"/>
        <v>-42.255246051606584</v>
      </c>
      <c r="BD3" s="137">
        <f t="shared" si="8"/>
        <v>-42.251513538120584</v>
      </c>
      <c r="BE3" s="137">
        <f t="shared" si="9"/>
        <v>-42.251513538120584</v>
      </c>
      <c r="BF3" s="137">
        <f t="shared" si="10"/>
        <v>0</v>
      </c>
      <c r="BG3" s="138">
        <f t="shared" si="11"/>
        <v>0</v>
      </c>
      <c r="BH3" s="138">
        <f t="shared" si="12"/>
        <v>0</v>
      </c>
      <c r="BI3" s="138">
        <f t="shared" si="13"/>
        <v>0</v>
      </c>
      <c r="BJ3" s="138">
        <f t="shared" si="14"/>
        <v>0</v>
      </c>
      <c r="BK3" s="138">
        <f t="shared" si="15"/>
        <v>0</v>
      </c>
      <c r="BL3" s="138">
        <f t="shared" si="16"/>
        <v>0</v>
      </c>
      <c r="BM3" s="139">
        <f t="shared" si="17"/>
        <v>0</v>
      </c>
      <c r="BN3" s="127"/>
      <c r="BO3" s="20"/>
      <c r="BP3" s="21" t="s">
        <v>29</v>
      </c>
      <c r="BQ3" s="22" t="s">
        <v>11</v>
      </c>
      <c r="BR3" s="23" t="s">
        <v>12</v>
      </c>
      <c r="BS3" s="24" t="s">
        <v>13</v>
      </c>
      <c r="BT3" s="127"/>
      <c r="BU3" s="127"/>
      <c r="BV3" s="133"/>
      <c r="BW3" s="133">
        <v>12.6</v>
      </c>
      <c r="BX3" s="133">
        <v>17.600000000000001</v>
      </c>
      <c r="BY3" s="133">
        <v>18.899999999999999</v>
      </c>
      <c r="BZ3" s="133">
        <v>15.3</v>
      </c>
      <c r="CA3" s="133">
        <v>12.9</v>
      </c>
      <c r="CB3" s="133"/>
      <c r="CC3" s="133"/>
      <c r="CD3" s="133"/>
      <c r="CE3" s="133"/>
      <c r="CF3" s="133"/>
      <c r="CG3" s="133"/>
      <c r="CH3" s="133"/>
      <c r="CI3" s="133"/>
      <c r="CJ3" s="133"/>
      <c r="CL3" s="127"/>
      <c r="CM3" s="133" t="s">
        <v>32</v>
      </c>
      <c r="CN3" s="133"/>
      <c r="CO3" s="133" t="s">
        <v>32</v>
      </c>
      <c r="CP3" s="133" t="s">
        <v>32</v>
      </c>
      <c r="CQ3" s="133" t="s">
        <v>32</v>
      </c>
      <c r="CR3" s="133" t="s">
        <v>32</v>
      </c>
      <c r="CS3" s="133"/>
      <c r="CT3" s="133"/>
      <c r="CU3" s="133"/>
      <c r="CV3" s="133"/>
      <c r="CW3" s="133"/>
      <c r="CX3" s="133"/>
      <c r="CY3" s="133"/>
      <c r="CZ3" s="133"/>
      <c r="DA3" s="133"/>
      <c r="DC3" s="127"/>
      <c r="DD3" s="133"/>
      <c r="DE3" s="133">
        <v>3</v>
      </c>
      <c r="DF3" s="133">
        <v>3</v>
      </c>
      <c r="DG3" s="133"/>
      <c r="DH3" s="133"/>
      <c r="DI3" s="133"/>
      <c r="DJ3" s="133"/>
      <c r="DK3" s="133"/>
      <c r="DL3" s="133"/>
      <c r="DM3" s="133"/>
      <c r="DN3" s="133"/>
      <c r="DO3" s="133"/>
      <c r="DP3" s="133"/>
      <c r="DQ3" s="133"/>
      <c r="DR3" s="133"/>
      <c r="DT3" s="127"/>
      <c r="DU3" s="191" cm="1">
        <f t="array" ref="DU3">_xlfn.IFS(DU$1= 0,"", NOT(ISBLANK(CM3)), 0, ISBLANK(CM3), $Q3-$S3+AY3-BV3-DD3)</f>
        <v>0</v>
      </c>
      <c r="DV3" s="192" cm="1">
        <f t="array" ref="DV3">_xlfn.IFS(DV$1= 0,"", NOT(ISBLANK(CN3)), 0, ISBLANK(CN3), $Q3-$S3+AZ3-BW3-DE3)</f>
        <v>35.703811780310033</v>
      </c>
      <c r="DW3" s="192" cm="1">
        <f t="array" ref="DW3">_xlfn.IFS(DW$1= 0,"", NOT(ISBLANK(CO3)), 0, ISBLANK(CO3), $Q3-$S3+BA3-BX3-DF3)</f>
        <v>0</v>
      </c>
      <c r="DX3" s="192" cm="1">
        <f t="array" ref="DX3">_xlfn.IFS(DX$1= 0,"", NOT(ISBLANK(CP3)), 0, ISBLANK(CP3), $Q3-$S3+BB3-BY3-DG3)</f>
        <v>0</v>
      </c>
      <c r="DY3" s="192" cm="1">
        <f t="array" ref="DY3">_xlfn.IFS(DY$1= 0,"", NOT(ISBLANK(CQ3)), 0, ISBLANK(CQ3), $Q3-$S3+BC3-BZ3-DH3)</f>
        <v>0</v>
      </c>
      <c r="DZ3" s="192" cm="1">
        <f t="array" ref="DZ3">_xlfn.IFS(DZ$1= 0,"", NOT(ISBLANK(CR3)), 0, ISBLANK(CR3), $Q3-$S3+BD3-CA3-DI3)</f>
        <v>0</v>
      </c>
      <c r="EA3" s="192" cm="1">
        <f t="array" ref="EA3">_xlfn.IFS(EA$1= 0,"", NOT(ISBLANK(CS3)), 0, ISBLANK(CS3), $Q3-$S3+BE3-CB3-DJ3)</f>
        <v>48.748486461879416</v>
      </c>
      <c r="EB3" s="192" t="str" cm="1">
        <f t="array" ref="EB3">_xlfn.IFS(EB$1= 0,"", NOT(ISBLANK(CT3)), 0, ISBLANK(CT3), $Q3-$S3+BF3-CC3-DK3)</f>
        <v/>
      </c>
      <c r="EC3" s="192" t="str" cm="1">
        <f t="array" ref="EC3">_xlfn.IFS(EC$1= 0,"", NOT(ISBLANK(CU3)), 0, ISBLANK(CU3), $Q3-$S3+BG3-CD3-DL3)</f>
        <v/>
      </c>
      <c r="ED3" s="192" t="str" cm="1">
        <f t="array" ref="ED3">_xlfn.IFS(ED$1= 0,"", NOT(ISBLANK(CV3)), 0, ISBLANK(CV3), $Q3-$S3+BH3-CE3-DM3)</f>
        <v/>
      </c>
      <c r="EE3" s="192" t="str" cm="1">
        <f t="array" ref="EE3">_xlfn.IFS(EE$1= 0,"", NOT(ISBLANK(CW3)), 0, ISBLANK(CW3), $Q3-$S3+BI3-CF3-DN3)</f>
        <v/>
      </c>
      <c r="EF3" s="192" t="str" cm="1">
        <f t="array" ref="EF3">_xlfn.IFS(EF$1= 0,"", NOT(ISBLANK(CX3)), 0, ISBLANK(CX3), $Q3-$S3+BJ3-CG3-DO3)</f>
        <v/>
      </c>
      <c r="EG3" s="192" t="str" cm="1">
        <f t="array" ref="EG3">_xlfn.IFS(EG$1= 0,"", NOT(ISBLANK(CY3)), 0, ISBLANK(CY3), $Q3-$S3+BK3-CH3-DP3)</f>
        <v/>
      </c>
      <c r="EH3" s="192" t="str" cm="1">
        <f t="array" ref="EH3">_xlfn.IFS(EH$1= 0,"", NOT(ISBLANK(CZ3)), 0, ISBLANK(CZ3), $Q3-$S3+BL3-CI3-DQ3)</f>
        <v/>
      </c>
      <c r="EI3" s="193" t="str" cm="1">
        <f t="array" ref="EI3">_xlfn.IFS(EI$1= 0,"", NOT(ISBLANK(DA3)), 0, ISBLANK(DA3), $Q3-$S3+BM3-CJ3-DR3)</f>
        <v/>
      </c>
      <c r="EK3" s="201" t="s">
        <v>235</v>
      </c>
      <c r="EL3" s="202"/>
      <c r="EM3" s="203">
        <f t="array" ref="EM3">MEDIAN(IF(DV2:DV58 &lt;&gt; 0, DV2:DV58,FALSE))</f>
        <v>29.163454260815584</v>
      </c>
      <c r="EN3" s="203">
        <f t="array" ref="EN3">MEDIAN(IF(DW2:DW58 &lt;&gt; 0, DW2:DW58,FALSE))</f>
        <v>30.334224892398836</v>
      </c>
      <c r="EO3" s="203">
        <f t="array" ref="EO3">MEDIAN(IF(DX2:DX58 &lt;&gt; 0, DX2:DX58,FALSE))</f>
        <v>23.438599476489436</v>
      </c>
      <c r="EP3" s="203">
        <f t="array" ref="EP3">MEDIAN(IF(DY2:DY58 &lt;&gt; 0, DY2:DY58,FALSE))</f>
        <v>18.613771913716061</v>
      </c>
      <c r="EQ3" s="203">
        <f t="array" ref="EQ3">MEDIAN(IF(DZ2:DZ58 &lt;&gt; 0, DZ2:DZ58,FALSE))</f>
        <v>30.973202001732659</v>
      </c>
      <c r="ER3" s="203">
        <f t="array" ref="ER3">MEDIAN(IF(EA2:EA58 &lt;&gt; 0, EA2:EA58,FALSE))</f>
        <v>30.568931286696852</v>
      </c>
      <c r="ES3" s="203" t="e">
        <f t="array" ref="ES3">MEDIAN(IF(EB2:EB58 &lt;&gt; 0, EB2:EB58,FALSE))</f>
        <v>#NUM!</v>
      </c>
      <c r="ET3" s="203" t="e">
        <f t="array" ref="ET3">MEDIAN(IF(EC2:EC58 &lt;&gt; 0, EC2:EC58,FALSE))</f>
        <v>#NUM!</v>
      </c>
      <c r="EU3" s="203" t="e">
        <f t="array" ref="EU3">MEDIAN(IF(ED2:ED58 &lt;&gt; 0, ED2:ED58,FALSE))</f>
        <v>#NUM!</v>
      </c>
      <c r="EV3" s="203" t="e">
        <f t="array" ref="EV3">MEDIAN(IF(EE2:EE58 &lt;&gt; 0, EE2:EE58,FALSE))</f>
        <v>#NUM!</v>
      </c>
      <c r="EW3" s="203" t="e">
        <f t="array" ref="EW3">MEDIAN(IF(EF2:EF58 &lt;&gt; 0, EF2:EF58,FALSE))</f>
        <v>#NUM!</v>
      </c>
      <c r="EX3" s="203" t="e">
        <f t="array" ref="EX3">MEDIAN(IF(EG2:EG58 &lt;&gt; 0, EG2:EG58,FALSE))</f>
        <v>#NUM!</v>
      </c>
      <c r="EY3" s="203" t="e">
        <f t="array" ref="EY3">MEDIAN(IF(EH2:EH58 &lt;&gt; 0, EH2:EH58,FALSE))</f>
        <v>#NUM!</v>
      </c>
      <c r="EZ3" s="204" t="e">
        <f t="array" ref="EZ3">MEDIAN(IF(EI2:EI58 &lt;&gt; 0, EI2:EI58,FALSE))</f>
        <v>#NUM!</v>
      </c>
    </row>
    <row r="4" spans="1:162" ht="17.25" customHeight="1" x14ac:dyDescent="0.3">
      <c r="A4" s="183">
        <v>1</v>
      </c>
      <c r="B4" s="120" t="s">
        <v>242</v>
      </c>
      <c r="C4" s="134" t="s">
        <v>243</v>
      </c>
      <c r="D4" s="135" t="s">
        <v>86</v>
      </c>
      <c r="E4" s="166" t="s">
        <v>244</v>
      </c>
      <c r="F4" s="174">
        <v>88</v>
      </c>
      <c r="G4" s="3">
        <v>88</v>
      </c>
      <c r="H4" s="3">
        <v>83</v>
      </c>
      <c r="I4" s="3">
        <v>78</v>
      </c>
      <c r="J4" s="3">
        <v>77</v>
      </c>
      <c r="K4" s="3">
        <v>73</v>
      </c>
      <c r="L4" s="3">
        <v>65</v>
      </c>
      <c r="M4" s="178">
        <v>58</v>
      </c>
      <c r="N4" s="174" cm="1">
        <f t="array" ref="N4">IF(AND(F4:M4=""),"",10*LOG((10^((F4-26.2)/10))+(10^((G4-16.1)/10))+(10^((H4-8.6)/10))+(10^((I4-3.2)/10))+(10^((J4)/10))+(10^((K4+1.2)/10))+(10^((L4+1)/10))+(10^((M4-1.1)/10))))</f>
        <v>81.921094618715543</v>
      </c>
      <c r="O4" s="175">
        <v>0</v>
      </c>
      <c r="P4" s="169">
        <v>1</v>
      </c>
      <c r="Q4" s="122">
        <f t="shared" si="18"/>
        <v>82</v>
      </c>
      <c r="R4" s="2">
        <v>2</v>
      </c>
      <c r="S4" s="2">
        <v>13</v>
      </c>
      <c r="T4" s="3">
        <v>211.2</v>
      </c>
      <c r="U4" s="3">
        <v>37.28</v>
      </c>
      <c r="V4" s="104">
        <f t="shared" si="2"/>
        <v>75</v>
      </c>
      <c r="W4" s="78">
        <v>70</v>
      </c>
      <c r="X4" s="136">
        <v>5</v>
      </c>
      <c r="Z4" s="7" t="s">
        <v>28</v>
      </c>
      <c r="AA4" s="3">
        <v>104.62</v>
      </c>
      <c r="AB4" s="3">
        <v>52.77</v>
      </c>
      <c r="AC4" s="83">
        <v>40</v>
      </c>
      <c r="AD4" s="210">
        <v>40</v>
      </c>
      <c r="AE4" s="207">
        <v>31</v>
      </c>
      <c r="AF4" s="83"/>
      <c r="AG4" s="58"/>
      <c r="AH4" s="185" cm="1">
        <f t="array" ref="AH4">IF(OR(AH$1=0, $A4="", _xlfn.XLOOKUP(AH$1, $Z$2:$Z$18, $AD$2:$AD$18, "")=""),"",SQRT((_xlfn.XLOOKUP(AH$1,$Z$2:$Z$18,$AA$2:$AA$18)-$T4)^2+(_xlfn.XLOOKUP(AH$1,$Z$2:$Z$18,$AB$2:$AB$18)-$U4)^2+(_xlfn.XLOOKUP(AH$1,$Z$2:$Z$18,$AC$2:$AC$18-$V4)^2)))</f>
        <v>227.20087675887169</v>
      </c>
      <c r="AI4" s="124" cm="1">
        <f t="array" ref="AI4">IF(OR(AI$1=0, $A4="", _xlfn.XLOOKUP(AI$1, $Z$2:$Z$18, $AD$2:$AD$18, "")=""),"",SQRT((_xlfn.XLOOKUP(AI$1,$Z$2:$Z$18,$AA$2:$AA$18)-$T4)^2+(_xlfn.XLOOKUP(AI$1,$Z$2:$Z$18,$AB$2:$AB$18)-$U4)^2+(_xlfn.XLOOKUP(AI$1,$Z$2:$Z$18,$AC$2:$AC$18-$V4)^2)))</f>
        <v>184.640954286962</v>
      </c>
      <c r="AJ4" s="124" cm="1">
        <f t="array" ref="AJ4">IF(OR(AJ$1=0, $A4="", _xlfn.XLOOKUP(AJ$1, $Z$2:$Z$18, $AD$2:$AD$18, "")=""),"",SQRT((_xlfn.XLOOKUP(AJ$1,$Z$2:$Z$18,$AA$2:$AA$18)-$T4)^2+(_xlfn.XLOOKUP(AJ$1,$Z$2:$Z$18,$AB$2:$AB$18)-$U4)^2+(_xlfn.XLOOKUP(AJ$1,$Z$2:$Z$18,$AC$2:$AC$18-$V4)^2)))</f>
        <v>113.24414554404125</v>
      </c>
      <c r="AK4" s="124" cm="1">
        <f t="array" ref="AK4">IF(OR(AK$1=0, $A4="", _xlfn.XLOOKUP(AK$1, $Z$2:$Z$18, $AD$2:$AD$18, "")=""),"",SQRT((_xlfn.XLOOKUP(AK$1,$Z$2:$Z$18,$AA$2:$AA$18)-$T4)^2+(_xlfn.XLOOKUP(AK$1,$Z$2:$Z$18,$AB$2:$AB$18)-$U4)^2+(_xlfn.XLOOKUP(AK$1,$Z$2:$Z$18,$AC$2:$AC$18-$V4)^2)))</f>
        <v>21.845010872050398</v>
      </c>
      <c r="AL4" s="124" cm="1">
        <f t="array" ref="AL4">IF(OR(AL$1=0, $A4="", _xlfn.XLOOKUP(AL$1, $Z$2:$Z$18, $AD$2:$AD$18, "")=""),"",SQRT((_xlfn.XLOOKUP(AL$1,$Z$2:$Z$18,$AA$2:$AA$18)-$T4)^2+(_xlfn.XLOOKUP(AL$1,$Z$2:$Z$18,$AB$2:$AB$18)-$U4)^2+(_xlfn.XLOOKUP(AL$1,$Z$2:$Z$18,$AC$2:$AC$18-$V4)^2)))</f>
        <v>121.72332767386868</v>
      </c>
      <c r="AM4" s="124" cm="1">
        <f t="array" ref="AM4">IF(OR(AM$1=0, $A4="", _xlfn.XLOOKUP(AM$1, $Z$2:$Z$18, $AD$2:$AD$18, "")=""),"",SQRT((_xlfn.XLOOKUP(AM$1,$Z$2:$Z$18,$AA$2:$AA$18)-$T4)^2+(_xlfn.XLOOKUP(AM$1,$Z$2:$Z$18,$AB$2:$AB$18)-$U4)^2+(_xlfn.XLOOKUP(AM$1,$Z$2:$Z$18,$AC$2:$AC$18-$V4)^2)))</f>
        <v>266.20872149499536</v>
      </c>
      <c r="AN4" s="124" cm="1">
        <f t="array" ref="AN4">IF(OR(AN$1=0, $A4="", _xlfn.XLOOKUP(AN$1, $Z$2:$Z$18, $AD$2:$AD$18, "")=""),"",SQRT((_xlfn.XLOOKUP(AN$1,$Z$2:$Z$18,$AA$2:$AA$18)-$T4)^2+(_xlfn.XLOOKUP(AN$1,$Z$2:$Z$18,$AB$2:$AB$18)-$U4)^2+(_xlfn.XLOOKUP(AN$1,$Z$2:$Z$18,$AC$2:$AC$18-$V4)^2)))</f>
        <v>266.20872149499536</v>
      </c>
      <c r="AO4" s="124" t="str" cm="1">
        <f t="array" ref="AO4">IF(OR(AO$1=0, $A4="", _xlfn.XLOOKUP(AO$1, $Z$2:$Z$18, $AD$2:$AD$18, "")=""),"",SQRT((_xlfn.XLOOKUP(AO$1,$Z$2:$Z$18,$AA$2:$AA$18)-$T4)^2+(_xlfn.XLOOKUP(AO$1,$Z$2:$Z$18,$AB$2:$AB$18)-$U4)^2+(_xlfn.XLOOKUP(AO$1,$Z$2:$Z$18,$AC$2:$AC$18-$V4)^2)))</f>
        <v/>
      </c>
      <c r="AP4" s="125" t="str" cm="1">
        <f t="array" ref="AP4">IF(OR(AP$1=0, $A4="", _xlfn.XLOOKUP(AP$1, $Z$2:$Z$18, $AD$2:$AD$18, "")=""),"",SQRT((_xlfn.XLOOKUP(AP$1,$Z$2:$Z$18,$AA$2:$AA$18)-$T4)^2+(_xlfn.XLOOKUP(AP$1,$Z$2:$Z$18,$AB$2:$AB$18)-$U4)^2+(_xlfn.XLOOKUP(AP$1,$Z$2:$Z$18,$AC$2:$AC$18-$V4)^2)))</f>
        <v/>
      </c>
      <c r="AQ4" s="125" t="str" cm="1">
        <f t="array" ref="AQ4">IF(OR(AQ$1=0, $A4="", _xlfn.XLOOKUP(AQ$1, $Z$2:$Z$18, $AD$2:$AD$18, "")=""),"",SQRT((_xlfn.XLOOKUP(AQ$1,$Z$2:$Z$18,$AA$2:$AA$18)-$T4)^2+(_xlfn.XLOOKUP(AQ$1,$Z$2:$Z$18,$AB$2:$AB$18)-$U4)^2+(_xlfn.XLOOKUP(AQ$1,$Z$2:$Z$18,$AC$2:$AC$18-$V4)^2)))</f>
        <v/>
      </c>
      <c r="AR4" s="125" t="str" cm="1">
        <f t="array" ref="AR4">IF(OR(AR$1=0, $A4="", _xlfn.XLOOKUP(AR$1, $Z$2:$Z$18, $AD$2:$AD$18, "")=""),"",SQRT((_xlfn.XLOOKUP(AR$1,$Z$2:$Z$18,$AA$2:$AA$18)-$T4)^2+(_xlfn.XLOOKUP(AR$1,$Z$2:$Z$18,$AB$2:$AB$18)-$U4)^2+(_xlfn.XLOOKUP(AR$1,$Z$2:$Z$18,$AC$2:$AC$18-$V4)^2)))</f>
        <v/>
      </c>
      <c r="AS4" s="125" t="str" cm="1">
        <f t="array" ref="AS4">IF(OR(AS$1=0, $A4="", _xlfn.XLOOKUP(AS$1, $Z$2:$Z$18, $AD$2:$AD$18, "")=""),"",SQRT((_xlfn.XLOOKUP(AS$1,$Z$2:$Z$18,$AA$2:$AA$18)-$T4)^2+(_xlfn.XLOOKUP(AS$1,$Z$2:$Z$18,$AB$2:$AB$18)-$U4)^2+(_xlfn.XLOOKUP(AS$1,$Z$2:$Z$18,$AC$2:$AC$18-$V4)^2)))</f>
        <v/>
      </c>
      <c r="AT4" s="125" t="str" cm="1">
        <f t="array" ref="AT4">IF(OR(AT$1=0, $A4="", _xlfn.XLOOKUP(AT$1, $Z$2:$Z$18, $AD$2:$AD$18, "")=""),"",SQRT((_xlfn.XLOOKUP(AT$1,$Z$2:$Z$18,$AA$2:$AA$18)-$T4)^2+(_xlfn.XLOOKUP(AT$1,$Z$2:$Z$18,$AB$2:$AB$18)-$U4)^2+(_xlfn.XLOOKUP(AT$1,$Z$2:$Z$18,$AC$2:$AC$18-$V4)^2)))</f>
        <v/>
      </c>
      <c r="AU4" s="125" t="str" cm="1">
        <f t="array" ref="AU4">IF(OR(AU$1=0, $A4="", _xlfn.XLOOKUP(AU$1, $Z$2:$Z$18, $AD$2:$AD$18, "")=""),"",SQRT((_xlfn.XLOOKUP(AU$1,$Z$2:$Z$18,$AA$2:$AA$18)-$T4)^2+(_xlfn.XLOOKUP(AU$1,$Z$2:$Z$18,$AB$2:$AB$18)-$U4)^2+(_xlfn.XLOOKUP(AU$1,$Z$2:$Z$18,$AC$2:$AC$18-$V4)^2)))</f>
        <v/>
      </c>
      <c r="AV4" s="126" t="str" cm="1">
        <f t="array" ref="AV4">IF(OR(AV$1=0, $A4="", _xlfn.XLOOKUP(AV$1, $Z$2:$Z$18, $AD$2:$AD$18, "")=""),"",SQRT((_xlfn.XLOOKUP(AV$1,$Z$2:$Z$18,$AA$2:$AA$18)-$T4)^2+(_xlfn.XLOOKUP(AV$1,$Z$2:$Z$18,$AB$2:$AB$18)-$U4)^2+(_xlfn.XLOOKUP(AV$1,$Z$2:$Z$18,$AC$2:$AC$18-$V4)^2)))</f>
        <v/>
      </c>
      <c r="AW4" s="127"/>
      <c r="AX4" s="140"/>
      <c r="AY4" s="128">
        <f t="shared" si="3"/>
        <v>-44.790297996268833</v>
      </c>
      <c r="AZ4" s="137">
        <f t="shared" si="4"/>
        <v>-42.988658658179418</v>
      </c>
      <c r="BA4" s="137">
        <f t="shared" si="5"/>
        <v>-38.742413122172678</v>
      </c>
      <c r="BB4" s="137">
        <f t="shared" si="6"/>
        <v>-24.4491432407284</v>
      </c>
      <c r="BC4" s="137">
        <f t="shared" si="7"/>
        <v>-39.369574268861413</v>
      </c>
      <c r="BD4" s="137">
        <f t="shared" si="8"/>
        <v>-46.166543530336916</v>
      </c>
      <c r="BE4" s="137">
        <f t="shared" si="9"/>
        <v>-46.166543530336916</v>
      </c>
      <c r="BF4" s="137">
        <f t="shared" si="10"/>
        <v>0</v>
      </c>
      <c r="BG4" s="138">
        <f t="shared" si="11"/>
        <v>0</v>
      </c>
      <c r="BH4" s="138">
        <f t="shared" si="12"/>
        <v>0</v>
      </c>
      <c r="BI4" s="138">
        <f t="shared" si="13"/>
        <v>0</v>
      </c>
      <c r="BJ4" s="138">
        <f t="shared" si="14"/>
        <v>0</v>
      </c>
      <c r="BK4" s="138">
        <f t="shared" si="15"/>
        <v>0</v>
      </c>
      <c r="BL4" s="138">
        <f t="shared" si="16"/>
        <v>0</v>
      </c>
      <c r="BM4" s="139">
        <f t="shared" si="17"/>
        <v>0</v>
      </c>
      <c r="BN4" s="127"/>
      <c r="BO4" s="25" t="s">
        <v>21</v>
      </c>
      <c r="BP4" s="26" t="s">
        <v>84</v>
      </c>
      <c r="BQ4" s="27">
        <f>_xlfn.XLOOKUP($BP$4,$B$2:$B$58,T2:T58,"not found",0,1)</f>
        <v>104.01</v>
      </c>
      <c r="BR4" s="28">
        <f>_xlfn.XLOOKUP($BP$4,$B$2:$B$58,U2:U58,"not found",0,1)</f>
        <v>99.85</v>
      </c>
      <c r="BS4" s="29">
        <f>_xlfn.XLOOKUP($BP$4,$B$2:$B$58,V2:V58,"not found",0,1)</f>
        <v>74.25</v>
      </c>
      <c r="BT4" s="127"/>
      <c r="BU4" s="127"/>
      <c r="BV4" s="133"/>
      <c r="BW4" s="133">
        <v>7</v>
      </c>
      <c r="BX4" s="133">
        <v>15.9</v>
      </c>
      <c r="BY4" s="133">
        <v>15.3</v>
      </c>
      <c r="BZ4" s="133">
        <v>13.8</v>
      </c>
      <c r="CA4" s="133">
        <v>15</v>
      </c>
      <c r="CB4" s="133"/>
      <c r="CC4" s="133"/>
      <c r="CD4" s="133"/>
      <c r="CE4" s="133"/>
      <c r="CF4" s="133"/>
      <c r="CG4" s="133"/>
      <c r="CH4" s="133"/>
      <c r="CI4" s="133"/>
      <c r="CJ4" s="133"/>
      <c r="CL4" s="127"/>
      <c r="CM4" s="133" t="s">
        <v>32</v>
      </c>
      <c r="CN4" s="133"/>
      <c r="CO4" s="133" t="s">
        <v>32</v>
      </c>
      <c r="CP4" s="133" t="s">
        <v>32</v>
      </c>
      <c r="CQ4" s="133" t="s">
        <v>32</v>
      </c>
      <c r="CR4" s="133" t="s">
        <v>32</v>
      </c>
      <c r="CS4" s="133"/>
      <c r="CT4" s="133"/>
      <c r="CU4" s="133"/>
      <c r="CV4" s="133"/>
      <c r="CW4" s="133"/>
      <c r="CX4" s="133"/>
      <c r="CY4" s="133"/>
      <c r="CZ4" s="133"/>
      <c r="DA4" s="133"/>
      <c r="DB4" s="127"/>
      <c r="DC4" s="127"/>
      <c r="DD4" s="133"/>
      <c r="DE4" s="133"/>
      <c r="DF4" s="133"/>
      <c r="DG4" s="133"/>
      <c r="DH4" s="133"/>
      <c r="DI4" s="133"/>
      <c r="DJ4" s="133"/>
      <c r="DK4" s="133"/>
      <c r="DL4" s="133"/>
      <c r="DM4" s="133"/>
      <c r="DN4" s="133"/>
      <c r="DO4" s="133"/>
      <c r="DP4" s="133"/>
      <c r="DQ4" s="133"/>
      <c r="DR4" s="133"/>
      <c r="DT4" s="127"/>
      <c r="DU4" s="191" cm="1">
        <f t="array" ref="DU4">_xlfn.IFS(DU$1= 0,"", NOT(ISBLANK(CM4)), 0, ISBLANK(CM4), $Q4-$S4+AY4-BV4-DD4)</f>
        <v>0</v>
      </c>
      <c r="DV4" s="192" cm="1">
        <f t="array" ref="DV4">_xlfn.IFS(DV$1= 0,"", NOT(ISBLANK(CN4)), 0, ISBLANK(CN4), $Q4-$S4+AZ4-BW4-DE4)</f>
        <v>19.011341341820582</v>
      </c>
      <c r="DW4" s="192" cm="1">
        <f t="array" ref="DW4">_xlfn.IFS(DW$1= 0,"", NOT(ISBLANK(CO4)), 0, ISBLANK(CO4), $Q4-$S4+BA4-BX4-DF4)</f>
        <v>0</v>
      </c>
      <c r="DX4" s="192" cm="1">
        <f t="array" ref="DX4">_xlfn.IFS(DX$1= 0,"", NOT(ISBLANK(CP4)), 0, ISBLANK(CP4), $Q4-$S4+BB4-BY4-DG4)</f>
        <v>0</v>
      </c>
      <c r="DY4" s="192" cm="1">
        <f t="array" ref="DY4">_xlfn.IFS(DY$1= 0,"", NOT(ISBLANK(CQ4)), 0, ISBLANK(CQ4), $Q4-$S4+BC4-BZ4-DH4)</f>
        <v>0</v>
      </c>
      <c r="DZ4" s="192" cm="1">
        <f t="array" ref="DZ4">_xlfn.IFS(DZ$1= 0,"", NOT(ISBLANK(CR4)), 0, ISBLANK(CR4), $Q4-$S4+BD4-CA4-DI4)</f>
        <v>0</v>
      </c>
      <c r="EA4" s="192" cm="1">
        <f t="array" ref="EA4">_xlfn.IFS(EA$1= 0,"", NOT(ISBLANK(CS4)), 0, ISBLANK(CS4), $Q4-$S4+BE4-CB4-DJ4)</f>
        <v>22.833456469663084</v>
      </c>
      <c r="EB4" s="192" t="str" cm="1">
        <f t="array" ref="EB4">_xlfn.IFS(EB$1= 0,"", NOT(ISBLANK(CT4)), 0, ISBLANK(CT4), $Q4-$S4+BF4-CC4-DK4)</f>
        <v/>
      </c>
      <c r="EC4" s="192" t="str" cm="1">
        <f t="array" ref="EC4">_xlfn.IFS(EC$1= 0,"", NOT(ISBLANK(CU4)), 0, ISBLANK(CU4), $Q4-$S4+BG4-CD4-DL4)</f>
        <v/>
      </c>
      <c r="ED4" s="192" t="str" cm="1">
        <f t="array" ref="ED4">_xlfn.IFS(ED$1= 0,"", NOT(ISBLANK(CV4)), 0, ISBLANK(CV4), $Q4-$S4+BH4-CE4-DM4)</f>
        <v/>
      </c>
      <c r="EE4" s="192" t="str" cm="1">
        <f t="array" ref="EE4">_xlfn.IFS(EE$1= 0,"", NOT(ISBLANK(CW4)), 0, ISBLANK(CW4), $Q4-$S4+BI4-CF4-DN4)</f>
        <v/>
      </c>
      <c r="EF4" s="192" t="str" cm="1">
        <f t="array" ref="EF4">_xlfn.IFS(EF$1= 0,"", NOT(ISBLANK(CX4)), 0, ISBLANK(CX4), $Q4-$S4+BJ4-CG4-DO4)</f>
        <v/>
      </c>
      <c r="EG4" s="192" t="str" cm="1">
        <f t="array" ref="EG4">_xlfn.IFS(EG$1= 0,"", NOT(ISBLANK(CY4)), 0, ISBLANK(CY4), $Q4-$S4+BK4-CH4-DP4)</f>
        <v/>
      </c>
      <c r="EH4" s="192" t="str" cm="1">
        <f t="array" ref="EH4">_xlfn.IFS(EH$1= 0,"", NOT(ISBLANK(CZ4)), 0, ISBLANK(CZ4), $Q4-$S4+BL4-CI4-DQ4)</f>
        <v/>
      </c>
      <c r="EI4" s="193" t="str" cm="1">
        <f t="array" ref="EI4">_xlfn.IFS(EI$1= 0,"", NOT(ISBLANK(DA4)), 0, ISBLANK(DA4), $Q4-$S4+BM4-CJ4-DR4)</f>
        <v/>
      </c>
    </row>
    <row r="5" spans="1:162" ht="17.25" customHeight="1" x14ac:dyDescent="0.3">
      <c r="A5" s="183">
        <v>1</v>
      </c>
      <c r="B5" s="120" t="s">
        <v>245</v>
      </c>
      <c r="C5" s="134" t="s">
        <v>87</v>
      </c>
      <c r="D5" s="135" t="s">
        <v>86</v>
      </c>
      <c r="E5" s="166" t="s">
        <v>246</v>
      </c>
      <c r="F5" s="174">
        <v>81</v>
      </c>
      <c r="G5" s="3">
        <v>79</v>
      </c>
      <c r="H5" s="3">
        <v>73</v>
      </c>
      <c r="I5" s="3">
        <v>66</v>
      </c>
      <c r="J5" s="3">
        <v>61</v>
      </c>
      <c r="K5" s="3">
        <v>59</v>
      </c>
      <c r="L5" s="3">
        <v>50</v>
      </c>
      <c r="M5" s="178">
        <v>43</v>
      </c>
      <c r="N5" s="174" cm="1">
        <f t="array" ref="N5">IF(AND(F5:M5=""),"",10*LOG((10^((F5-26.2)/10))+(10^((G5-16.1)/10))+(10^((H5-8.6)/10))+(10^((I5-3.2)/10))+(10^((J5)/10))+(10^((K5+1.2)/10))+(10^((L5+1)/10))+(10^((M5-1.1)/10))))</f>
        <v>69.712277702491207</v>
      </c>
      <c r="O5" s="175">
        <v>0</v>
      </c>
      <c r="P5" s="169">
        <v>1</v>
      </c>
      <c r="Q5" s="122">
        <f t="shared" si="18"/>
        <v>70</v>
      </c>
      <c r="R5" s="2">
        <v>2</v>
      </c>
      <c r="S5" s="2"/>
      <c r="T5" s="3">
        <v>169.87</v>
      </c>
      <c r="U5" s="3">
        <v>122.08</v>
      </c>
      <c r="V5" s="104">
        <f t="shared" si="2"/>
        <v>72</v>
      </c>
      <c r="W5" s="78">
        <v>70</v>
      </c>
      <c r="X5" s="136">
        <v>2</v>
      </c>
      <c r="Z5" s="7" t="s">
        <v>105</v>
      </c>
      <c r="AA5" s="3">
        <v>217.01</v>
      </c>
      <c r="AB5" s="3">
        <v>22.5</v>
      </c>
      <c r="AC5" s="83">
        <v>60</v>
      </c>
      <c r="AD5" s="210">
        <v>40</v>
      </c>
      <c r="AE5" s="207">
        <v>24</v>
      </c>
      <c r="AF5" s="83"/>
      <c r="AH5" s="185" cm="1">
        <f t="array" ref="AH5">IF(OR(AH$1=0, $A5="", _xlfn.XLOOKUP(AH$1, $Z$2:$Z$18, $AD$2:$AD$18, "")=""),"",SQRT((_xlfn.XLOOKUP(AH$1,$Z$2:$Z$18,$AA$2:$AA$18)-$T5)^2+(_xlfn.XLOOKUP(AH$1,$Z$2:$Z$18,$AB$2:$AB$18)-$U5)^2+(_xlfn.XLOOKUP(AH$1,$Z$2:$Z$18,$AC$2:$AC$18-$V5)^2)))</f>
        <v>221.23142475697253</v>
      </c>
      <c r="AI5" s="124" cm="1">
        <f t="array" ref="AI5">IF(OR(AI$1=0, $A5="", _xlfn.XLOOKUP(AI$1, $Z$2:$Z$18, $AD$2:$AD$18, "")=""),"",SQRT((_xlfn.XLOOKUP(AI$1,$Z$2:$Z$18,$AA$2:$AA$18)-$T5)^2+(_xlfn.XLOOKUP(AI$1,$Z$2:$Z$18,$AB$2:$AB$18)-$U5)^2+(_xlfn.XLOOKUP(AI$1,$Z$2:$Z$18,$AC$2:$AC$18-$V5)^2)))</f>
        <v>141.54560996371453</v>
      </c>
      <c r="AJ5" s="124" cm="1">
        <f t="array" ref="AJ5">IF(OR(AJ$1=0, $A5="", _xlfn.XLOOKUP(AJ$1, $Z$2:$Z$18, $AD$2:$AD$18, "")=""),"",SQRT((_xlfn.XLOOKUP(AJ$1,$Z$2:$Z$18,$AA$2:$AA$18)-$T5)^2+(_xlfn.XLOOKUP(AJ$1,$Z$2:$Z$18,$AB$2:$AB$18)-$U5)^2+(_xlfn.XLOOKUP(AJ$1,$Z$2:$Z$18,$AC$2:$AC$18-$V5)^2)))</f>
        <v>100.42628440801741</v>
      </c>
      <c r="AK5" s="124" cm="1">
        <f t="array" ref="AK5">IF(OR(AK$1=0, $A5="", _xlfn.XLOOKUP(AK$1, $Z$2:$Z$18, $AD$2:$AD$18, "")=""),"",SQRT((_xlfn.XLOOKUP(AK$1,$Z$2:$Z$18,$AA$2:$AA$18)-$T5)^2+(_xlfn.XLOOKUP(AK$1,$Z$2:$Z$18,$AB$2:$AB$18)-$U5)^2+(_xlfn.XLOOKUP(AK$1,$Z$2:$Z$18,$AC$2:$AC$18-$V5)^2)))</f>
        <v>110.82579122207972</v>
      </c>
      <c r="AL5" s="124" cm="1">
        <f t="array" ref="AL5">IF(OR(AL$1=0, $A5="", _xlfn.XLOOKUP(AL$1, $Z$2:$Z$18, $AD$2:$AD$18, "")=""),"",SQRT((_xlfn.XLOOKUP(AL$1,$Z$2:$Z$18,$AA$2:$AA$18)-$T5)^2+(_xlfn.XLOOKUP(AL$1,$Z$2:$Z$18,$AB$2:$AB$18)-$U5)^2+(_xlfn.XLOOKUP(AL$1,$Z$2:$Z$18,$AC$2:$AC$18-$V5)^2)))</f>
        <v>154.57179885089002</v>
      </c>
      <c r="AM5" s="124" cm="1">
        <f t="array" ref="AM5">IF(OR(AM$1=0, $A5="", _xlfn.XLOOKUP(AM$1, $Z$2:$Z$18, $AD$2:$AD$18, "")=""),"",SQRT((_xlfn.XLOOKUP(AM$1,$Z$2:$Z$18,$AA$2:$AA$18)-$T5)^2+(_xlfn.XLOOKUP(AM$1,$Z$2:$Z$18,$AB$2:$AB$18)-$U5)^2+(_xlfn.XLOOKUP(AM$1,$Z$2:$Z$18,$AC$2:$AC$18-$V5)^2)))</f>
        <v>182.67696105420632</v>
      </c>
      <c r="AN5" s="124" cm="1">
        <f t="array" ref="AN5">IF(OR(AN$1=0, $A5="", _xlfn.XLOOKUP(AN$1, $Z$2:$Z$18, $AD$2:$AD$18, "")=""),"",SQRT((_xlfn.XLOOKUP(AN$1,$Z$2:$Z$18,$AA$2:$AA$18)-$T5)^2+(_xlfn.XLOOKUP(AN$1,$Z$2:$Z$18,$AB$2:$AB$18)-$U5)^2+(_xlfn.XLOOKUP(AN$1,$Z$2:$Z$18,$AC$2:$AC$18-$V5)^2)))</f>
        <v>182.67696105420632</v>
      </c>
      <c r="AO5" s="124" t="str" cm="1">
        <f t="array" ref="AO5">IF(OR(AO$1=0, $A5="", _xlfn.XLOOKUP(AO$1, $Z$2:$Z$18, $AD$2:$AD$18, "")=""),"",SQRT((_xlfn.XLOOKUP(AO$1,$Z$2:$Z$18,$AA$2:$AA$18)-$T5)^2+(_xlfn.XLOOKUP(AO$1,$Z$2:$Z$18,$AB$2:$AB$18)-$U5)^2+(_xlfn.XLOOKUP(AO$1,$Z$2:$Z$18,$AC$2:$AC$18-$V5)^2)))</f>
        <v/>
      </c>
      <c r="AP5" s="125" t="str" cm="1">
        <f t="array" ref="AP5">IF(OR(AP$1=0, $A5="", _xlfn.XLOOKUP(AP$1, $Z$2:$Z$18, $AD$2:$AD$18, "")=""),"",SQRT((_xlfn.XLOOKUP(AP$1,$Z$2:$Z$18,$AA$2:$AA$18)-$T5)^2+(_xlfn.XLOOKUP(AP$1,$Z$2:$Z$18,$AB$2:$AB$18)-$U5)^2+(_xlfn.XLOOKUP(AP$1,$Z$2:$Z$18,$AC$2:$AC$18-$V5)^2)))</f>
        <v/>
      </c>
      <c r="AQ5" s="125" t="str" cm="1">
        <f t="array" ref="AQ5">IF(OR(AQ$1=0, $A5="", _xlfn.XLOOKUP(AQ$1, $Z$2:$Z$18, $AD$2:$AD$18, "")=""),"",SQRT((_xlfn.XLOOKUP(AQ$1,$Z$2:$Z$18,$AA$2:$AA$18)-$T5)^2+(_xlfn.XLOOKUP(AQ$1,$Z$2:$Z$18,$AB$2:$AB$18)-$U5)^2+(_xlfn.XLOOKUP(AQ$1,$Z$2:$Z$18,$AC$2:$AC$18-$V5)^2)))</f>
        <v/>
      </c>
      <c r="AR5" s="125" t="str" cm="1">
        <f t="array" ref="AR5">IF(OR(AR$1=0, $A5="", _xlfn.XLOOKUP(AR$1, $Z$2:$Z$18, $AD$2:$AD$18, "")=""),"",SQRT((_xlfn.XLOOKUP(AR$1,$Z$2:$Z$18,$AA$2:$AA$18)-$T5)^2+(_xlfn.XLOOKUP(AR$1,$Z$2:$Z$18,$AB$2:$AB$18)-$U5)^2+(_xlfn.XLOOKUP(AR$1,$Z$2:$Z$18,$AC$2:$AC$18-$V5)^2)))</f>
        <v/>
      </c>
      <c r="AS5" s="125" t="str" cm="1">
        <f t="array" ref="AS5">IF(OR(AS$1=0, $A5="", _xlfn.XLOOKUP(AS$1, $Z$2:$Z$18, $AD$2:$AD$18, "")=""),"",SQRT((_xlfn.XLOOKUP(AS$1,$Z$2:$Z$18,$AA$2:$AA$18)-$T5)^2+(_xlfn.XLOOKUP(AS$1,$Z$2:$Z$18,$AB$2:$AB$18)-$U5)^2+(_xlfn.XLOOKUP(AS$1,$Z$2:$Z$18,$AC$2:$AC$18-$V5)^2)))</f>
        <v/>
      </c>
      <c r="AT5" s="125" t="str" cm="1">
        <f t="array" ref="AT5">IF(OR(AT$1=0, $A5="", _xlfn.XLOOKUP(AT$1, $Z$2:$Z$18, $AD$2:$AD$18, "")=""),"",SQRT((_xlfn.XLOOKUP(AT$1,$Z$2:$Z$18,$AA$2:$AA$18)-$T5)^2+(_xlfn.XLOOKUP(AT$1,$Z$2:$Z$18,$AB$2:$AB$18)-$U5)^2+(_xlfn.XLOOKUP(AT$1,$Z$2:$Z$18,$AC$2:$AC$18-$V5)^2)))</f>
        <v/>
      </c>
      <c r="AU5" s="125" t="str" cm="1">
        <f t="array" ref="AU5">IF(OR(AU$1=0, $A5="", _xlfn.XLOOKUP(AU$1, $Z$2:$Z$18, $AD$2:$AD$18, "")=""),"",SQRT((_xlfn.XLOOKUP(AU$1,$Z$2:$Z$18,$AA$2:$AA$18)-$T5)^2+(_xlfn.XLOOKUP(AU$1,$Z$2:$Z$18,$AB$2:$AB$18)-$U5)^2+(_xlfn.XLOOKUP(AU$1,$Z$2:$Z$18,$AC$2:$AC$18-$V5)^2)))</f>
        <v/>
      </c>
      <c r="AV5" s="126" t="str" cm="1">
        <f t="array" ref="AV5">IF(OR(AV$1=0, $A5="", _xlfn.XLOOKUP(AV$1, $Z$2:$Z$18, $AD$2:$AD$18, "")=""),"",SQRT((_xlfn.XLOOKUP(AV$1,$Z$2:$Z$18,$AA$2:$AA$18)-$T5)^2+(_xlfn.XLOOKUP(AV$1,$Z$2:$Z$18,$AB$2:$AB$18)-$U5)^2+(_xlfn.XLOOKUP(AV$1,$Z$2:$Z$18,$AC$2:$AC$18-$V5)^2)))</f>
        <v/>
      </c>
      <c r="AW5" s="127"/>
      <c r="AX5" s="127"/>
      <c r="AY5" s="128">
        <f t="shared" si="3"/>
        <v>-44.559034262028455</v>
      </c>
      <c r="AZ5" s="137">
        <f t="shared" si="4"/>
        <v>-40.680026022314799</v>
      </c>
      <c r="BA5" s="137">
        <f t="shared" si="5"/>
        <v>-37.69904583442603</v>
      </c>
      <c r="BB5" s="137">
        <f t="shared" si="6"/>
        <v>-38.554914748028075</v>
      </c>
      <c r="BC5" s="137">
        <f t="shared" si="7"/>
        <v>-41.444703159284522</v>
      </c>
      <c r="BD5" s="137">
        <f t="shared" si="8"/>
        <v>-42.895773501612965</v>
      </c>
      <c r="BE5" s="137">
        <f t="shared" si="9"/>
        <v>-42.895773501612965</v>
      </c>
      <c r="BF5" s="137">
        <f t="shared" si="10"/>
        <v>0</v>
      </c>
      <c r="BG5" s="138">
        <f t="shared" si="11"/>
        <v>0</v>
      </c>
      <c r="BH5" s="138">
        <f t="shared" si="12"/>
        <v>0</v>
      </c>
      <c r="BI5" s="138">
        <f t="shared" si="13"/>
        <v>0</v>
      </c>
      <c r="BJ5" s="138">
        <f t="shared" si="14"/>
        <v>0</v>
      </c>
      <c r="BK5" s="138">
        <f t="shared" si="15"/>
        <v>0</v>
      </c>
      <c r="BL5" s="138">
        <f t="shared" si="16"/>
        <v>0</v>
      </c>
      <c r="BM5" s="139">
        <f t="shared" si="17"/>
        <v>0</v>
      </c>
      <c r="BN5" s="127"/>
      <c r="BO5" s="25" t="s">
        <v>22</v>
      </c>
      <c r="BP5" s="30" t="s">
        <v>104</v>
      </c>
      <c r="BQ5" s="31">
        <f>_xlfn.XLOOKUP($BP$5,$Z$2:$Z$18,AA2:AA18,"not found",0,1)</f>
        <v>33.28</v>
      </c>
      <c r="BR5" s="31">
        <f>_xlfn.XLOOKUP($BP$5,$Z$2:$Z$18,AB2:AB18,"not found",0,1)</f>
        <v>85.62</v>
      </c>
      <c r="BS5" s="31">
        <f>_xlfn.XLOOKUP($BP$5,$Z$2:$Z$18,AC2:AC18,"not found",0,1)</f>
        <v>65</v>
      </c>
      <c r="BT5" s="127"/>
      <c r="BU5" s="127"/>
      <c r="BV5" s="133"/>
      <c r="BW5" s="133">
        <v>11</v>
      </c>
      <c r="BX5" s="133">
        <v>15.3</v>
      </c>
      <c r="BY5" s="133">
        <v>17.7</v>
      </c>
      <c r="BZ5" s="133">
        <v>13.1</v>
      </c>
      <c r="CA5" s="133">
        <v>11.6</v>
      </c>
      <c r="CB5" s="133"/>
      <c r="CC5" s="133"/>
      <c r="CD5" s="133"/>
      <c r="CE5" s="133"/>
      <c r="CF5" s="133"/>
      <c r="CG5" s="133"/>
      <c r="CH5" s="133"/>
      <c r="CI5" s="133"/>
      <c r="CJ5" s="133"/>
      <c r="CL5" s="127"/>
      <c r="CM5" s="133" t="s">
        <v>32</v>
      </c>
      <c r="CN5" s="133"/>
      <c r="CO5" s="133" t="s">
        <v>32</v>
      </c>
      <c r="CP5" s="133" t="s">
        <v>32</v>
      </c>
      <c r="CQ5" s="133" t="s">
        <v>32</v>
      </c>
      <c r="CR5" s="133" t="s">
        <v>32</v>
      </c>
      <c r="CS5" s="133"/>
      <c r="CT5" s="133"/>
      <c r="CU5" s="133"/>
      <c r="CV5" s="133"/>
      <c r="CW5" s="133"/>
      <c r="CX5" s="133"/>
      <c r="CY5" s="133"/>
      <c r="CZ5" s="133"/>
      <c r="DA5" s="133"/>
      <c r="DB5" s="127"/>
      <c r="DC5" s="127"/>
      <c r="DD5" s="133"/>
      <c r="DE5" s="133"/>
      <c r="DF5" s="133"/>
      <c r="DG5" s="133"/>
      <c r="DH5" s="133"/>
      <c r="DI5" s="133"/>
      <c r="DJ5" s="133"/>
      <c r="DK5" s="133"/>
      <c r="DL5" s="133"/>
      <c r="DM5" s="133"/>
      <c r="DN5" s="133"/>
      <c r="DO5" s="133"/>
      <c r="DP5" s="133"/>
      <c r="DQ5" s="133"/>
      <c r="DR5" s="133"/>
      <c r="DT5" s="127"/>
      <c r="DU5" s="191" cm="1">
        <f t="array" ref="DU5">_xlfn.IFS(DU$1= 0,"", NOT(ISBLANK(CM5)), 0, ISBLANK(CM5), $Q5-$S5+AY5-BV5-DD5)</f>
        <v>0</v>
      </c>
      <c r="DV5" s="192" cm="1">
        <f t="array" ref="DV5">_xlfn.IFS(DV$1= 0,"", NOT(ISBLANK(CN5)), 0, ISBLANK(CN5), $Q5-$S5+AZ5-BW5-DE5)</f>
        <v>18.319973977685201</v>
      </c>
      <c r="DW5" s="192" cm="1">
        <f t="array" ref="DW5">_xlfn.IFS(DW$1= 0,"", NOT(ISBLANK(CO5)), 0, ISBLANK(CO5), $Q5-$S5+BA5-BX5-DF5)</f>
        <v>0</v>
      </c>
      <c r="DX5" s="192" cm="1">
        <f t="array" ref="DX5">_xlfn.IFS(DX$1= 0,"", NOT(ISBLANK(CP5)), 0, ISBLANK(CP5), $Q5-$S5+BB5-BY5-DG5)</f>
        <v>0</v>
      </c>
      <c r="DY5" s="192" cm="1">
        <f t="array" ref="DY5">_xlfn.IFS(DY$1= 0,"", NOT(ISBLANK(CQ5)), 0, ISBLANK(CQ5), $Q5-$S5+BC5-BZ5-DH5)</f>
        <v>0</v>
      </c>
      <c r="DZ5" s="192" cm="1">
        <f t="array" ref="DZ5">_xlfn.IFS(DZ$1= 0,"", NOT(ISBLANK(CR5)), 0, ISBLANK(CR5), $Q5-$S5+BD5-CA5-DI5)</f>
        <v>0</v>
      </c>
      <c r="EA5" s="192" cm="1">
        <f t="array" ref="EA5">_xlfn.IFS(EA$1= 0,"", NOT(ISBLANK(CS5)), 0, ISBLANK(CS5), $Q5-$S5+BE5-CB5-DJ5)</f>
        <v>27.104226498387035</v>
      </c>
      <c r="EB5" s="192" t="str" cm="1">
        <f t="array" ref="EB5">_xlfn.IFS(EB$1= 0,"", NOT(ISBLANK(CT5)), 0, ISBLANK(CT5), $Q5-$S5+BF5-CC5-DK5)</f>
        <v/>
      </c>
      <c r="EC5" s="192" t="str" cm="1">
        <f t="array" ref="EC5">_xlfn.IFS(EC$1= 0,"", NOT(ISBLANK(CU5)), 0, ISBLANK(CU5), $Q5-$S5+BG5-CD5-DL5)</f>
        <v/>
      </c>
      <c r="ED5" s="192" t="str" cm="1">
        <f t="array" ref="ED5">_xlfn.IFS(ED$1= 0,"", NOT(ISBLANK(CV5)), 0, ISBLANK(CV5), $Q5-$S5+BH5-CE5-DM5)</f>
        <v/>
      </c>
      <c r="EE5" s="192" t="str" cm="1">
        <f t="array" ref="EE5">_xlfn.IFS(EE$1= 0,"", NOT(ISBLANK(CW5)), 0, ISBLANK(CW5), $Q5-$S5+BI5-CF5-DN5)</f>
        <v/>
      </c>
      <c r="EF5" s="192" t="str" cm="1">
        <f t="array" ref="EF5">_xlfn.IFS(EF$1= 0,"", NOT(ISBLANK(CX5)), 0, ISBLANK(CX5), $Q5-$S5+BJ5-CG5-DO5)</f>
        <v/>
      </c>
      <c r="EG5" s="192" t="str" cm="1">
        <f t="array" ref="EG5">_xlfn.IFS(EG$1= 0,"", NOT(ISBLANK(CY5)), 0, ISBLANK(CY5), $Q5-$S5+BK5-CH5-DP5)</f>
        <v/>
      </c>
      <c r="EH5" s="192" t="str" cm="1">
        <f t="array" ref="EH5">_xlfn.IFS(EH$1= 0,"", NOT(ISBLANK(CZ5)), 0, ISBLANK(CZ5), $Q5-$S5+BL5-CI5-DQ5)</f>
        <v/>
      </c>
      <c r="EI5" s="193" t="str" cm="1">
        <f t="array" ref="EI5">_xlfn.IFS(EI$1= 0,"", NOT(ISBLANK(DA5)), 0, ISBLANK(DA5), $Q5-$S5+BM5-CJ5-DR5)</f>
        <v/>
      </c>
    </row>
    <row r="6" spans="1:162" ht="17.25" customHeight="1" x14ac:dyDescent="0.3">
      <c r="A6" s="183">
        <v>1</v>
      </c>
      <c r="B6" s="120" t="s">
        <v>247</v>
      </c>
      <c r="C6" s="134" t="s">
        <v>87</v>
      </c>
      <c r="D6" s="135" t="s">
        <v>86</v>
      </c>
      <c r="E6" s="166" t="s">
        <v>248</v>
      </c>
      <c r="F6" s="174">
        <v>84</v>
      </c>
      <c r="G6" s="3">
        <v>87</v>
      </c>
      <c r="H6" s="3">
        <v>83</v>
      </c>
      <c r="I6" s="3">
        <v>78</v>
      </c>
      <c r="J6" s="3">
        <v>74</v>
      </c>
      <c r="K6" s="3">
        <v>69</v>
      </c>
      <c r="L6" s="3">
        <v>64</v>
      </c>
      <c r="M6" s="178">
        <v>60</v>
      </c>
      <c r="N6" s="174" cm="1">
        <f t="array" ref="N6">IF(AND(F6:M6=""),"",10*LOG((10^((F6-26.2)/10))+(10^((G6-16.1)/10))+(10^((H6-8.6)/10))+(10^((I6-3.2)/10))+(10^((J6)/10))+(10^((K6+1.2)/10))+(10^((L6+1)/10))+(10^((M6-1.1)/10))))</f>
        <v>80.420859213732172</v>
      </c>
      <c r="O6" s="175">
        <v>0</v>
      </c>
      <c r="P6" s="169">
        <v>1</v>
      </c>
      <c r="Q6" s="122">
        <f t="shared" si="18"/>
        <v>80</v>
      </c>
      <c r="R6" s="2">
        <v>2</v>
      </c>
      <c r="S6" s="2"/>
      <c r="T6" s="3">
        <v>70.73</v>
      </c>
      <c r="U6" s="3">
        <v>99.31</v>
      </c>
      <c r="V6" s="104">
        <f t="shared" si="2"/>
        <v>75.5</v>
      </c>
      <c r="W6" s="78">
        <v>70</v>
      </c>
      <c r="X6" s="136">
        <v>5.5</v>
      </c>
      <c r="Z6" s="7" t="s">
        <v>106</v>
      </c>
      <c r="AA6" s="3">
        <v>316.86</v>
      </c>
      <c r="AB6" s="3">
        <v>86.55</v>
      </c>
      <c r="AC6" s="83">
        <v>40</v>
      </c>
      <c r="AD6" s="210">
        <v>40</v>
      </c>
      <c r="AE6" s="207">
        <v>21</v>
      </c>
      <c r="AF6" s="83"/>
      <c r="AH6" s="185" cm="1">
        <f t="array" ref="AH6">IF(OR(AH$1=0, $A6="", _xlfn.XLOOKUP(AH$1, $Z$2:$Z$18, $AD$2:$AD$18, "")=""),"",SQRT((_xlfn.XLOOKUP(AH$1,$Z$2:$Z$18,$AA$2:$AA$18)-$T6)^2+(_xlfn.XLOOKUP(AH$1,$Z$2:$Z$18,$AB$2:$AB$18)-$U6)^2+(_xlfn.XLOOKUP(AH$1,$Z$2:$Z$18,$AC$2:$AC$18-$V6)^2)))</f>
        <v>143.40662118605263</v>
      </c>
      <c r="AI6" s="124" cm="1">
        <f t="array" ref="AI6">IF(OR(AI$1=0, $A6="", _xlfn.XLOOKUP(AI$1, $Z$2:$Z$18, $AD$2:$AD$18, "")=""),"",SQRT((_xlfn.XLOOKUP(AI$1,$Z$2:$Z$18,$AA$2:$AA$18)-$T6)^2+(_xlfn.XLOOKUP(AI$1,$Z$2:$Z$18,$AB$2:$AB$18)-$U6)^2+(_xlfn.XLOOKUP(AI$1,$Z$2:$Z$18,$AC$2:$AC$18-$V6)^2)))</f>
        <v>41.23310078080474</v>
      </c>
      <c r="AJ6" s="124" cm="1">
        <f t="array" ref="AJ6">IF(OR(AJ$1=0, $A6="", _xlfn.XLOOKUP(AJ$1, $Z$2:$Z$18, $AD$2:$AD$18, "")=""),"",SQRT((_xlfn.XLOOKUP(AJ$1,$Z$2:$Z$18,$AA$2:$AA$18)-$T6)^2+(_xlfn.XLOOKUP(AJ$1,$Z$2:$Z$18,$AB$2:$AB$18)-$U6)^2+(_xlfn.XLOOKUP(AJ$1,$Z$2:$Z$18,$AC$2:$AC$18-$V6)^2)))</f>
        <v>67.636925565847534</v>
      </c>
      <c r="AK6" s="124" cm="1">
        <f t="array" ref="AK6">IF(OR(AK$1=0, $A6="", _xlfn.XLOOKUP(AK$1, $Z$2:$Z$18, $AD$2:$AD$18, "")=""),"",SQRT((_xlfn.XLOOKUP(AK$1,$Z$2:$Z$18,$AA$2:$AA$18)-$T6)^2+(_xlfn.XLOOKUP(AK$1,$Z$2:$Z$18,$AB$2:$AB$18)-$U6)^2+(_xlfn.XLOOKUP(AK$1,$Z$2:$Z$18,$AC$2:$AC$18-$V6)^2)))</f>
        <v>165.94536600941888</v>
      </c>
      <c r="AL6" s="124" cm="1">
        <f t="array" ref="AL6">IF(OR(AL$1=0, $A6="", _xlfn.XLOOKUP(AL$1, $Z$2:$Z$18, $AD$2:$AD$18, "")=""),"",SQRT((_xlfn.XLOOKUP(AL$1,$Z$2:$Z$18,$AA$2:$AA$18)-$T6)^2+(_xlfn.XLOOKUP(AL$1,$Z$2:$Z$18,$AB$2:$AB$18)-$U6)^2+(_xlfn.XLOOKUP(AL$1,$Z$2:$Z$18,$AC$2:$AC$18-$V6)^2)))</f>
        <v>249.00410538784294</v>
      </c>
      <c r="AM6" s="124" cm="1">
        <f t="array" ref="AM6">IF(OR(AM$1=0, $A6="", _xlfn.XLOOKUP(AM$1, $Z$2:$Z$18, $AD$2:$AD$18, "")=""),"",SQRT((_xlfn.XLOOKUP(AM$1,$Z$2:$Z$18,$AA$2:$AA$18)-$T6)^2+(_xlfn.XLOOKUP(AM$1,$Z$2:$Z$18,$AB$2:$AB$18)-$U6)^2+(_xlfn.XLOOKUP(AM$1,$Z$2:$Z$18,$AC$2:$AC$18-$V6)^2)))</f>
        <v>131.29101416319398</v>
      </c>
      <c r="AN6" s="124" cm="1">
        <f t="array" ref="AN6">IF(OR(AN$1=0, $A6="", _xlfn.XLOOKUP(AN$1, $Z$2:$Z$18, $AD$2:$AD$18, "")=""),"",SQRT((_xlfn.XLOOKUP(AN$1,$Z$2:$Z$18,$AA$2:$AA$18)-$T6)^2+(_xlfn.XLOOKUP(AN$1,$Z$2:$Z$18,$AB$2:$AB$18)-$U6)^2+(_xlfn.XLOOKUP(AN$1,$Z$2:$Z$18,$AC$2:$AC$18-$V6)^2)))</f>
        <v>131.29101416319398</v>
      </c>
      <c r="AO6" s="124" t="str" cm="1">
        <f t="array" ref="AO6">IF(OR(AO$1=0, $A6="", _xlfn.XLOOKUP(AO$1, $Z$2:$Z$18, $AD$2:$AD$18, "")=""),"",SQRT((_xlfn.XLOOKUP(AO$1,$Z$2:$Z$18,$AA$2:$AA$18)-$T6)^2+(_xlfn.XLOOKUP(AO$1,$Z$2:$Z$18,$AB$2:$AB$18)-$U6)^2+(_xlfn.XLOOKUP(AO$1,$Z$2:$Z$18,$AC$2:$AC$18-$V6)^2)))</f>
        <v/>
      </c>
      <c r="AP6" s="125" t="str" cm="1">
        <f t="array" ref="AP6">IF(OR(AP$1=0, $A6="", _xlfn.XLOOKUP(AP$1, $Z$2:$Z$18, $AD$2:$AD$18, "")=""),"",SQRT((_xlfn.XLOOKUP(AP$1,$Z$2:$Z$18,$AA$2:$AA$18)-$T6)^2+(_xlfn.XLOOKUP(AP$1,$Z$2:$Z$18,$AB$2:$AB$18)-$U6)^2+(_xlfn.XLOOKUP(AP$1,$Z$2:$Z$18,$AC$2:$AC$18-$V6)^2)))</f>
        <v/>
      </c>
      <c r="AQ6" s="125" t="str" cm="1">
        <f t="array" ref="AQ6">IF(OR(AQ$1=0, $A6="", _xlfn.XLOOKUP(AQ$1, $Z$2:$Z$18, $AD$2:$AD$18, "")=""),"",SQRT((_xlfn.XLOOKUP(AQ$1,$Z$2:$Z$18,$AA$2:$AA$18)-$T6)^2+(_xlfn.XLOOKUP(AQ$1,$Z$2:$Z$18,$AB$2:$AB$18)-$U6)^2+(_xlfn.XLOOKUP(AQ$1,$Z$2:$Z$18,$AC$2:$AC$18-$V6)^2)))</f>
        <v/>
      </c>
      <c r="AR6" s="125" t="str" cm="1">
        <f t="array" ref="AR6">IF(OR(AR$1=0, $A6="", _xlfn.XLOOKUP(AR$1, $Z$2:$Z$18, $AD$2:$AD$18, "")=""),"",SQRT((_xlfn.XLOOKUP(AR$1,$Z$2:$Z$18,$AA$2:$AA$18)-$T6)^2+(_xlfn.XLOOKUP(AR$1,$Z$2:$Z$18,$AB$2:$AB$18)-$U6)^2+(_xlfn.XLOOKUP(AR$1,$Z$2:$Z$18,$AC$2:$AC$18-$V6)^2)))</f>
        <v/>
      </c>
      <c r="AS6" s="125" t="str" cm="1">
        <f t="array" ref="AS6">IF(OR(AS$1=0, $A6="", _xlfn.XLOOKUP(AS$1, $Z$2:$Z$18, $AD$2:$AD$18, "")=""),"",SQRT((_xlfn.XLOOKUP(AS$1,$Z$2:$Z$18,$AA$2:$AA$18)-$T6)^2+(_xlfn.XLOOKUP(AS$1,$Z$2:$Z$18,$AB$2:$AB$18)-$U6)^2+(_xlfn.XLOOKUP(AS$1,$Z$2:$Z$18,$AC$2:$AC$18-$V6)^2)))</f>
        <v/>
      </c>
      <c r="AT6" s="125" t="str" cm="1">
        <f t="array" ref="AT6">IF(OR(AT$1=0, $A6="", _xlfn.XLOOKUP(AT$1, $Z$2:$Z$18, $AD$2:$AD$18, "")=""),"",SQRT((_xlfn.XLOOKUP(AT$1,$Z$2:$Z$18,$AA$2:$AA$18)-$T6)^2+(_xlfn.XLOOKUP(AT$1,$Z$2:$Z$18,$AB$2:$AB$18)-$U6)^2+(_xlfn.XLOOKUP(AT$1,$Z$2:$Z$18,$AC$2:$AC$18-$V6)^2)))</f>
        <v/>
      </c>
      <c r="AU6" s="125" t="str" cm="1">
        <f t="array" ref="AU6">IF(OR(AU$1=0, $A6="", _xlfn.XLOOKUP(AU$1, $Z$2:$Z$18, $AD$2:$AD$18, "")=""),"",SQRT((_xlfn.XLOOKUP(AU$1,$Z$2:$Z$18,$AA$2:$AA$18)-$T6)^2+(_xlfn.XLOOKUP(AU$1,$Z$2:$Z$18,$AB$2:$AB$18)-$U6)^2+(_xlfn.XLOOKUP(AU$1,$Z$2:$Z$18,$AC$2:$AC$18-$V6)^2)))</f>
        <v/>
      </c>
      <c r="AV6" s="126" t="str" cm="1">
        <f t="array" ref="AV6">IF(OR(AV$1=0, $A6="", _xlfn.XLOOKUP(AV$1, $Z$2:$Z$18, $AD$2:$AD$18, "")=""),"",SQRT((_xlfn.XLOOKUP(AV$1,$Z$2:$Z$18,$AA$2:$AA$18)-$T6)^2+(_xlfn.XLOOKUP(AV$1,$Z$2:$Z$18,$AB$2:$AB$18)-$U6)^2+(_xlfn.XLOOKUP(AV$1,$Z$2:$Z$18,$AC$2:$AC$18-$V6)^2)))</f>
        <v/>
      </c>
      <c r="AW6" s="127"/>
      <c r="AX6" s="127"/>
      <c r="AY6" s="128">
        <f t="shared" si="3"/>
        <v>-40.793482006550228</v>
      </c>
      <c r="AZ6" s="137">
        <f t="shared" si="4"/>
        <v>-29.967017847297129</v>
      </c>
      <c r="BA6" s="137">
        <f t="shared" si="5"/>
        <v>-34.265775107601165</v>
      </c>
      <c r="BB6" s="137">
        <f t="shared" si="6"/>
        <v>-42.061400523510564</v>
      </c>
      <c r="BC6" s="137">
        <f t="shared" si="7"/>
        <v>-45.586228086283938</v>
      </c>
      <c r="BD6" s="137">
        <f t="shared" si="8"/>
        <v>-40.026797998267341</v>
      </c>
      <c r="BE6" s="137">
        <f t="shared" si="9"/>
        <v>-40.026797998267341</v>
      </c>
      <c r="BF6" s="137">
        <f t="shared" si="10"/>
        <v>0</v>
      </c>
      <c r="BG6" s="138">
        <f t="shared" si="11"/>
        <v>0</v>
      </c>
      <c r="BH6" s="138">
        <f t="shared" si="12"/>
        <v>0</v>
      </c>
      <c r="BI6" s="138">
        <f t="shared" si="13"/>
        <v>0</v>
      </c>
      <c r="BJ6" s="138">
        <f t="shared" si="14"/>
        <v>0</v>
      </c>
      <c r="BK6" s="138">
        <f t="shared" si="15"/>
        <v>0</v>
      </c>
      <c r="BL6" s="138">
        <f t="shared" si="16"/>
        <v>0</v>
      </c>
      <c r="BM6" s="139">
        <f t="shared" si="17"/>
        <v>0</v>
      </c>
      <c r="BN6" s="127"/>
      <c r="BO6" s="25" t="s">
        <v>30</v>
      </c>
      <c r="BP6" s="30" t="s">
        <v>129</v>
      </c>
      <c r="BQ6" s="31">
        <f>_xlfn.XLOOKUP($BP$6,$Z$24:$Z$50,AA24:AA50,"error",0,1)</f>
        <v>75.569999999999993</v>
      </c>
      <c r="BR6" s="32">
        <f>_xlfn.XLOOKUP($BP$6,$Z$24:$Z$50,AB24:AB50,"error",0,1)</f>
        <v>98.34</v>
      </c>
      <c r="BS6" s="33">
        <f>_xlfn.XLOOKUP($BP$6,$Z$24:$Z$50,AC24:AC50,"error",0,1)</f>
        <v>75.400000000000006</v>
      </c>
      <c r="BT6" s="127"/>
      <c r="BU6" s="127"/>
      <c r="BV6" s="133"/>
      <c r="BW6" s="133">
        <v>6.6</v>
      </c>
      <c r="BX6" s="133">
        <v>15.4</v>
      </c>
      <c r="BY6" s="133">
        <v>14.5</v>
      </c>
      <c r="BZ6" s="133">
        <v>15.8</v>
      </c>
      <c r="CA6" s="133">
        <v>9</v>
      </c>
      <c r="CB6" s="133"/>
      <c r="CC6" s="133"/>
      <c r="CD6" s="133"/>
      <c r="CE6" s="133"/>
      <c r="CF6" s="133"/>
      <c r="CG6" s="133"/>
      <c r="CH6" s="133"/>
      <c r="CI6" s="133"/>
      <c r="CJ6" s="133"/>
      <c r="CL6" s="127"/>
      <c r="CM6" s="133" t="s">
        <v>32</v>
      </c>
      <c r="CN6" s="133"/>
      <c r="CO6" s="133"/>
      <c r="CP6" s="133"/>
      <c r="CQ6" s="133"/>
      <c r="CR6" s="133"/>
      <c r="CS6" s="133"/>
      <c r="CT6" s="133"/>
      <c r="CU6" s="133"/>
      <c r="CV6" s="133"/>
      <c r="CW6" s="133"/>
      <c r="CX6" s="133"/>
      <c r="CY6" s="133"/>
      <c r="CZ6" s="133"/>
      <c r="DA6" s="133"/>
      <c r="DB6" s="127"/>
      <c r="DC6" s="127"/>
      <c r="DD6" s="133"/>
      <c r="DE6" s="133"/>
      <c r="DF6" s="133"/>
      <c r="DG6" s="133"/>
      <c r="DH6" s="133"/>
      <c r="DI6" s="133"/>
      <c r="DJ6" s="133"/>
      <c r="DK6" s="133"/>
      <c r="DL6" s="133"/>
      <c r="DM6" s="133"/>
      <c r="DN6" s="133"/>
      <c r="DO6" s="133"/>
      <c r="DP6" s="133"/>
      <c r="DQ6" s="133"/>
      <c r="DR6" s="133"/>
      <c r="DT6" s="127"/>
      <c r="DU6" s="191" cm="1">
        <f t="array" ref="DU6">_xlfn.IFS(DU$1= 0,"", NOT(ISBLANK(CM6)), 0, ISBLANK(CM6), $Q6-$S6+AY6-BV6-DD6)</f>
        <v>0</v>
      </c>
      <c r="DV6" s="192" cm="1">
        <f t="array" ref="DV6">_xlfn.IFS(DV$1= 0,"", NOT(ISBLANK(CN6)), 0, ISBLANK(CN6), $Q6-$S6+AZ6-BW6-DE6)</f>
        <v>43.43298215270287</v>
      </c>
      <c r="DW6" s="192" cm="1">
        <f t="array" ref="DW6">_xlfn.IFS(DW$1= 0,"", NOT(ISBLANK(CO6)), 0, ISBLANK(CO6), $Q6-$S6+BA6-BX6-DF6)</f>
        <v>30.334224892398836</v>
      </c>
      <c r="DX6" s="192" cm="1">
        <f t="array" ref="DX6">_xlfn.IFS(DX$1= 0,"", NOT(ISBLANK(CP6)), 0, ISBLANK(CP6), $Q6-$S6+BB6-BY6-DG6)</f>
        <v>23.438599476489436</v>
      </c>
      <c r="DY6" s="192" cm="1">
        <f t="array" ref="DY6">_xlfn.IFS(DY$1= 0,"", NOT(ISBLANK(CQ6)), 0, ISBLANK(CQ6), $Q6-$S6+BC6-BZ6-DH6)</f>
        <v>18.613771913716061</v>
      </c>
      <c r="DZ6" s="192" cm="1">
        <f t="array" ref="DZ6">_xlfn.IFS(DZ$1= 0,"", NOT(ISBLANK(CR6)), 0, ISBLANK(CR6), $Q6-$S6+BD6-CA6-DI6)</f>
        <v>30.973202001732659</v>
      </c>
      <c r="EA6" s="192" cm="1">
        <f t="array" ref="EA6">_xlfn.IFS(EA$1= 0,"", NOT(ISBLANK(CS6)), 0, ISBLANK(CS6), $Q6-$S6+BE6-CB6-DJ6)</f>
        <v>39.973202001732659</v>
      </c>
      <c r="EB6" s="192" t="str" cm="1">
        <f t="array" ref="EB6">_xlfn.IFS(EB$1= 0,"", NOT(ISBLANK(CT6)), 0, ISBLANK(CT6), $Q6-$S6+BF6-CC6-DK6)</f>
        <v/>
      </c>
      <c r="EC6" s="192" t="str" cm="1">
        <f t="array" ref="EC6">_xlfn.IFS(EC$1= 0,"", NOT(ISBLANK(CU6)), 0, ISBLANK(CU6), $Q6-$S6+BG6-CD6-DL6)</f>
        <v/>
      </c>
      <c r="ED6" s="192" t="str" cm="1">
        <f t="array" ref="ED6">_xlfn.IFS(ED$1= 0,"", NOT(ISBLANK(CV6)), 0, ISBLANK(CV6), $Q6-$S6+BH6-CE6-DM6)</f>
        <v/>
      </c>
      <c r="EE6" s="192" t="str" cm="1">
        <f t="array" ref="EE6">_xlfn.IFS(EE$1= 0,"", NOT(ISBLANK(CW6)), 0, ISBLANK(CW6), $Q6-$S6+BI6-CF6-DN6)</f>
        <v/>
      </c>
      <c r="EF6" s="192" t="str" cm="1">
        <f t="array" ref="EF6">_xlfn.IFS(EF$1= 0,"", NOT(ISBLANK(CX6)), 0, ISBLANK(CX6), $Q6-$S6+BJ6-CG6-DO6)</f>
        <v/>
      </c>
      <c r="EG6" s="192" t="str" cm="1">
        <f t="array" ref="EG6">_xlfn.IFS(EG$1= 0,"", NOT(ISBLANK(CY6)), 0, ISBLANK(CY6), $Q6-$S6+BK6-CH6-DP6)</f>
        <v/>
      </c>
      <c r="EH6" s="192" t="str" cm="1">
        <f t="array" ref="EH6">_xlfn.IFS(EH$1= 0,"", NOT(ISBLANK(CZ6)), 0, ISBLANK(CZ6), $Q6-$S6+BL6-CI6-DQ6)</f>
        <v/>
      </c>
      <c r="EI6" s="193" t="str" cm="1">
        <f t="array" ref="EI6">_xlfn.IFS(EI$1= 0,"", NOT(ISBLANK(DA6)), 0, ISBLANK(DA6), $Q6-$S6+BM6-CJ6-DR6)</f>
        <v/>
      </c>
    </row>
    <row r="7" spans="1:162" ht="17.25" customHeight="1" thickBot="1" x14ac:dyDescent="0.35">
      <c r="A7" s="183">
        <v>1</v>
      </c>
      <c r="B7" s="120" t="s">
        <v>88</v>
      </c>
      <c r="C7" s="134" t="s">
        <v>87</v>
      </c>
      <c r="D7" s="135" t="s">
        <v>86</v>
      </c>
      <c r="E7" s="166" t="s">
        <v>249</v>
      </c>
      <c r="F7" s="174">
        <v>73</v>
      </c>
      <c r="G7" s="3">
        <v>76</v>
      </c>
      <c r="H7" s="3">
        <v>75</v>
      </c>
      <c r="I7" s="3">
        <v>67</v>
      </c>
      <c r="J7" s="3">
        <v>61</v>
      </c>
      <c r="K7" s="3">
        <v>61</v>
      </c>
      <c r="L7" s="3">
        <v>56</v>
      </c>
      <c r="M7" s="178">
        <v>51</v>
      </c>
      <c r="N7" s="174" cm="1">
        <f t="array" ref="N7">IF(AND(F7:M7=""),"",10*LOG((10^((F7-26.2)/10))+(10^((G7-16.1)/10))+(10^((H7-8.6)/10))+(10^((I7-3.2)/10))+(10^((J7)/10))+(10^((K7+1.2)/10))+(10^((L7+1)/10))+(10^((M7-1.1)/10))))</f>
        <v>70.533287535018999</v>
      </c>
      <c r="O7" s="175">
        <v>0</v>
      </c>
      <c r="P7" s="169">
        <v>1</v>
      </c>
      <c r="Q7" s="122">
        <f t="shared" si="18"/>
        <v>71</v>
      </c>
      <c r="R7" s="2">
        <v>2</v>
      </c>
      <c r="S7" s="2"/>
      <c r="T7" s="3">
        <v>88.03</v>
      </c>
      <c r="U7" s="3">
        <v>101.44</v>
      </c>
      <c r="V7" s="104">
        <f t="shared" si="2"/>
        <v>74</v>
      </c>
      <c r="W7" s="78">
        <v>70</v>
      </c>
      <c r="X7" s="136">
        <v>4</v>
      </c>
      <c r="Z7" s="7" t="s">
        <v>107</v>
      </c>
      <c r="AA7" s="3">
        <v>14.23</v>
      </c>
      <c r="AB7" s="3">
        <v>213.83</v>
      </c>
      <c r="AC7" s="83">
        <v>45</v>
      </c>
      <c r="AD7" s="210">
        <v>40</v>
      </c>
      <c r="AE7" s="207">
        <v>31</v>
      </c>
      <c r="AF7" s="83"/>
      <c r="AH7" s="185" cm="1">
        <f t="array" ref="AH7">IF(OR(AH$1=0, $A7="", _xlfn.XLOOKUP(AH$1, $Z$2:$Z$18, $AD$2:$AD$18, "")=""),"",SQRT((_xlfn.XLOOKUP(AH$1,$Z$2:$Z$18,$AA$2:$AA$18)-$T7)^2+(_xlfn.XLOOKUP(AH$1,$Z$2:$Z$18,$AB$2:$AB$18)-$U7)^2+(_xlfn.XLOOKUP(AH$1,$Z$2:$Z$18,$AC$2:$AC$18-$V7)^2)))</f>
        <v>153.34716984672394</v>
      </c>
      <c r="AI7" s="124" cm="1">
        <f t="array" ref="AI7">IF(OR(AI$1=0, $A7="", _xlfn.XLOOKUP(AI$1, $Z$2:$Z$18, $AD$2:$AD$18, "")=""),"",SQRT((_xlfn.XLOOKUP(AI$1,$Z$2:$Z$18,$AA$2:$AA$18)-$T7)^2+(_xlfn.XLOOKUP(AI$1,$Z$2:$Z$18,$AB$2:$AB$18)-$U7)^2+(_xlfn.XLOOKUP(AI$1,$Z$2:$Z$18,$AC$2:$AC$18-$V7)^2)))</f>
        <v>57.696056191043077</v>
      </c>
      <c r="AJ7" s="124" cm="1">
        <f t="array" ref="AJ7">IF(OR(AJ$1=0, $A7="", _xlfn.XLOOKUP(AJ$1, $Z$2:$Z$18, $AD$2:$AD$18, "")=""),"",SQRT((_xlfn.XLOOKUP(AJ$1,$Z$2:$Z$18,$AA$2:$AA$18)-$T7)^2+(_xlfn.XLOOKUP(AJ$1,$Z$2:$Z$18,$AB$2:$AB$18)-$U7)^2+(_xlfn.XLOOKUP(AJ$1,$Z$2:$Z$18,$AC$2:$AC$18-$V7)^2)))</f>
        <v>61.644115696471793</v>
      </c>
      <c r="AK7" s="124" cm="1">
        <f t="array" ref="AK7">IF(OR(AK$1=0, $A7="", _xlfn.XLOOKUP(AK$1, $Z$2:$Z$18, $AD$2:$AD$18, "")=""),"",SQRT((_xlfn.XLOOKUP(AK$1,$Z$2:$Z$18,$AA$2:$AA$18)-$T7)^2+(_xlfn.XLOOKUP(AK$1,$Z$2:$Z$18,$AB$2:$AB$18)-$U7)^2+(_xlfn.XLOOKUP(AK$1,$Z$2:$Z$18,$AC$2:$AC$18-$V7)^2)))</f>
        <v>151.86627011947056</v>
      </c>
      <c r="AL7" s="124" cm="1">
        <f t="array" ref="AL7">IF(OR(AL$1=0, $A7="", _xlfn.XLOOKUP(AL$1, $Z$2:$Z$18, $AD$2:$AD$18, "")=""),"",SQRT((_xlfn.XLOOKUP(AL$1,$Z$2:$Z$18,$AA$2:$AA$18)-$T7)^2+(_xlfn.XLOOKUP(AL$1,$Z$2:$Z$18,$AB$2:$AB$18)-$U7)^2+(_xlfn.XLOOKUP(AL$1,$Z$2:$Z$18,$AC$2:$AC$18-$V7)^2)))</f>
        <v>231.82079501200923</v>
      </c>
      <c r="AM7" s="124" cm="1">
        <f t="array" ref="AM7">IF(OR(AM$1=0, $A7="", _xlfn.XLOOKUP(AM$1, $Z$2:$Z$18, $AD$2:$AD$18, "")=""),"",SQRT((_xlfn.XLOOKUP(AM$1,$Z$2:$Z$18,$AA$2:$AA$18)-$T7)^2+(_xlfn.XLOOKUP(AM$1,$Z$2:$Z$18,$AB$2:$AB$18)-$U7)^2+(_xlfn.XLOOKUP(AM$1,$Z$2:$Z$18,$AC$2:$AC$18-$V7)^2)))</f>
        <v>137.54618169909335</v>
      </c>
      <c r="AN7" s="124" cm="1">
        <f t="array" ref="AN7">IF(OR(AN$1=0, $A7="", _xlfn.XLOOKUP(AN$1, $Z$2:$Z$18, $AD$2:$AD$18, "")=""),"",SQRT((_xlfn.XLOOKUP(AN$1,$Z$2:$Z$18,$AA$2:$AA$18)-$T7)^2+(_xlfn.XLOOKUP(AN$1,$Z$2:$Z$18,$AB$2:$AB$18)-$U7)^2+(_xlfn.XLOOKUP(AN$1,$Z$2:$Z$18,$AC$2:$AC$18-$V7)^2)))</f>
        <v>137.54618169909335</v>
      </c>
      <c r="AO7" s="124" t="str" cm="1">
        <f t="array" ref="AO7">IF(OR(AO$1=0, $A7="", _xlfn.XLOOKUP(AO$1, $Z$2:$Z$18, $AD$2:$AD$18, "")=""),"",SQRT((_xlfn.XLOOKUP(AO$1,$Z$2:$Z$18,$AA$2:$AA$18)-$T7)^2+(_xlfn.XLOOKUP(AO$1,$Z$2:$Z$18,$AB$2:$AB$18)-$U7)^2+(_xlfn.XLOOKUP(AO$1,$Z$2:$Z$18,$AC$2:$AC$18-$V7)^2)))</f>
        <v/>
      </c>
      <c r="AP7" s="125" t="str" cm="1">
        <f t="array" ref="AP7">IF(OR(AP$1=0, $A7="", _xlfn.XLOOKUP(AP$1, $Z$2:$Z$18, $AD$2:$AD$18, "")=""),"",SQRT((_xlfn.XLOOKUP(AP$1,$Z$2:$Z$18,$AA$2:$AA$18)-$T7)^2+(_xlfn.XLOOKUP(AP$1,$Z$2:$Z$18,$AB$2:$AB$18)-$U7)^2+(_xlfn.XLOOKUP(AP$1,$Z$2:$Z$18,$AC$2:$AC$18-$V7)^2)))</f>
        <v/>
      </c>
      <c r="AQ7" s="125" t="str" cm="1">
        <f t="array" ref="AQ7">IF(OR(AQ$1=0, $A7="", _xlfn.XLOOKUP(AQ$1, $Z$2:$Z$18, $AD$2:$AD$18, "")=""),"",SQRT((_xlfn.XLOOKUP(AQ$1,$Z$2:$Z$18,$AA$2:$AA$18)-$T7)^2+(_xlfn.XLOOKUP(AQ$1,$Z$2:$Z$18,$AB$2:$AB$18)-$U7)^2+(_xlfn.XLOOKUP(AQ$1,$Z$2:$Z$18,$AC$2:$AC$18-$V7)^2)))</f>
        <v/>
      </c>
      <c r="AR7" s="125" t="str" cm="1">
        <f t="array" ref="AR7">IF(OR(AR$1=0, $A7="", _xlfn.XLOOKUP(AR$1, $Z$2:$Z$18, $AD$2:$AD$18, "")=""),"",SQRT((_xlfn.XLOOKUP(AR$1,$Z$2:$Z$18,$AA$2:$AA$18)-$T7)^2+(_xlfn.XLOOKUP(AR$1,$Z$2:$Z$18,$AB$2:$AB$18)-$U7)^2+(_xlfn.XLOOKUP(AR$1,$Z$2:$Z$18,$AC$2:$AC$18-$V7)^2)))</f>
        <v/>
      </c>
      <c r="AS7" s="125" t="str" cm="1">
        <f t="array" ref="AS7">IF(OR(AS$1=0, $A7="", _xlfn.XLOOKUP(AS$1, $Z$2:$Z$18, $AD$2:$AD$18, "")=""),"",SQRT((_xlfn.XLOOKUP(AS$1,$Z$2:$Z$18,$AA$2:$AA$18)-$T7)^2+(_xlfn.XLOOKUP(AS$1,$Z$2:$Z$18,$AB$2:$AB$18)-$U7)^2+(_xlfn.XLOOKUP(AS$1,$Z$2:$Z$18,$AC$2:$AC$18-$V7)^2)))</f>
        <v/>
      </c>
      <c r="AT7" s="125" t="str" cm="1">
        <f t="array" ref="AT7">IF(OR(AT$1=0, $A7="", _xlfn.XLOOKUP(AT$1, $Z$2:$Z$18, $AD$2:$AD$18, "")=""),"",SQRT((_xlfn.XLOOKUP(AT$1,$Z$2:$Z$18,$AA$2:$AA$18)-$T7)^2+(_xlfn.XLOOKUP(AT$1,$Z$2:$Z$18,$AB$2:$AB$18)-$U7)^2+(_xlfn.XLOOKUP(AT$1,$Z$2:$Z$18,$AC$2:$AC$18-$V7)^2)))</f>
        <v/>
      </c>
      <c r="AU7" s="125" t="str" cm="1">
        <f t="array" ref="AU7">IF(OR(AU$1=0, $A7="", _xlfn.XLOOKUP(AU$1, $Z$2:$Z$18, $AD$2:$AD$18, "")=""),"",SQRT((_xlfn.XLOOKUP(AU$1,$Z$2:$Z$18,$AA$2:$AA$18)-$T7)^2+(_xlfn.XLOOKUP(AU$1,$Z$2:$Z$18,$AB$2:$AB$18)-$U7)^2+(_xlfn.XLOOKUP(AU$1,$Z$2:$Z$18,$AC$2:$AC$18-$V7)^2)))</f>
        <v/>
      </c>
      <c r="AV7" s="126" t="str" cm="1">
        <f t="array" ref="AV7">IF(OR(AV$1=0, $A7="", _xlfn.XLOOKUP(AV$1, $Z$2:$Z$18, $AD$2:$AD$18, "")=""),"",SQRT((_xlfn.XLOOKUP(AV$1,$Z$2:$Z$18,$AA$2:$AA$18)-$T7)^2+(_xlfn.XLOOKUP(AV$1,$Z$2:$Z$18,$AB$2:$AB$18)-$U7)^2+(_xlfn.XLOOKUP(AV$1,$Z$2:$Z$18,$AC$2:$AC$18-$V7)^2)))</f>
        <v/>
      </c>
      <c r="AW7" s="127"/>
      <c r="AX7" s="127"/>
      <c r="AY7" s="128">
        <f t="shared" si="3"/>
        <v>-41.375613239253859</v>
      </c>
      <c r="AZ7" s="137">
        <f t="shared" si="4"/>
        <v>-32.885020497099163</v>
      </c>
      <c r="BA7" s="137">
        <f t="shared" si="5"/>
        <v>-33.45993047445851</v>
      </c>
      <c r="BB7" s="137">
        <f t="shared" si="6"/>
        <v>-41.291324470458648</v>
      </c>
      <c r="BC7" s="137">
        <f t="shared" si="7"/>
        <v>-44.965145754461844</v>
      </c>
      <c r="BD7" s="137">
        <f t="shared" si="8"/>
        <v>-40.431068713303148</v>
      </c>
      <c r="BE7" s="137">
        <f t="shared" si="9"/>
        <v>-40.431068713303148</v>
      </c>
      <c r="BF7" s="137">
        <f t="shared" si="10"/>
        <v>0</v>
      </c>
      <c r="BG7" s="138">
        <f t="shared" si="11"/>
        <v>0</v>
      </c>
      <c r="BH7" s="138">
        <f t="shared" si="12"/>
        <v>0</v>
      </c>
      <c r="BI7" s="138">
        <f t="shared" si="13"/>
        <v>0</v>
      </c>
      <c r="BJ7" s="138">
        <f t="shared" si="14"/>
        <v>0</v>
      </c>
      <c r="BK7" s="138">
        <f t="shared" si="15"/>
        <v>0</v>
      </c>
      <c r="BL7" s="138">
        <f t="shared" si="16"/>
        <v>0</v>
      </c>
      <c r="BM7" s="139">
        <f t="shared" si="17"/>
        <v>0</v>
      </c>
      <c r="BN7" s="127"/>
      <c r="BO7" s="35" t="s">
        <v>31</v>
      </c>
      <c r="BP7" s="113"/>
      <c r="BQ7" s="36">
        <f>_xlfn.XLOOKUP($BP$6,$Z$24:$Z$50,AD24:AD50,"error",0,1)</f>
        <v>77.77</v>
      </c>
      <c r="BR7" s="36">
        <f>_xlfn.XLOOKUP($BP$6,$Z$24:$Z$50,AE24:AE50,"error",0,1)</f>
        <v>86.79</v>
      </c>
      <c r="BS7" s="36">
        <f>_xlfn.XLOOKUP($BP$6,$Z$24:$Z$50,AF24:AF50,"error",0,1)</f>
        <v>75.400000000000006</v>
      </c>
      <c r="BT7" s="127"/>
      <c r="BU7" s="127"/>
      <c r="BV7" s="133"/>
      <c r="BW7" s="133">
        <v>9.9</v>
      </c>
      <c r="BX7" s="133">
        <v>16.100000000000001</v>
      </c>
      <c r="BY7" s="133">
        <v>14.7</v>
      </c>
      <c r="BZ7" s="133">
        <v>15.6</v>
      </c>
      <c r="CA7" s="133">
        <v>12.6</v>
      </c>
      <c r="CB7" s="133"/>
      <c r="CC7" s="133"/>
      <c r="CD7" s="133"/>
      <c r="CE7" s="133"/>
      <c r="CF7" s="133"/>
      <c r="CG7" s="133"/>
      <c r="CH7" s="133"/>
      <c r="CI7" s="133"/>
      <c r="CJ7" s="133"/>
      <c r="CL7" s="127"/>
      <c r="CM7" s="133" t="s">
        <v>32</v>
      </c>
      <c r="CN7" s="133"/>
      <c r="CO7" s="133" t="s">
        <v>32</v>
      </c>
      <c r="CP7" s="133" t="s">
        <v>32</v>
      </c>
      <c r="CQ7" s="133" t="s">
        <v>32</v>
      </c>
      <c r="CR7" s="133" t="s">
        <v>32</v>
      </c>
      <c r="CS7" s="133"/>
      <c r="CT7" s="133"/>
      <c r="CU7" s="133"/>
      <c r="CV7" s="133"/>
      <c r="CW7" s="133"/>
      <c r="CX7" s="133"/>
      <c r="CY7" s="133"/>
      <c r="CZ7" s="133"/>
      <c r="DA7" s="133"/>
      <c r="DB7" s="127"/>
      <c r="DC7" s="127"/>
      <c r="DD7" s="133"/>
      <c r="DE7" s="133"/>
      <c r="DF7" s="133"/>
      <c r="DG7" s="133"/>
      <c r="DH7" s="133"/>
      <c r="DI7" s="133"/>
      <c r="DJ7" s="133"/>
      <c r="DK7" s="133"/>
      <c r="DL7" s="133"/>
      <c r="DM7" s="133"/>
      <c r="DN7" s="133"/>
      <c r="DO7" s="133"/>
      <c r="DP7" s="133"/>
      <c r="DQ7" s="133"/>
      <c r="DR7" s="133"/>
      <c r="DT7" s="127"/>
      <c r="DU7" s="191" cm="1">
        <f t="array" ref="DU7">_xlfn.IFS(DU$1= 0,"", NOT(ISBLANK(CM7)), 0, ISBLANK(CM7), $Q7-$S7+AY7-BV7-DD7)</f>
        <v>0</v>
      </c>
      <c r="DV7" s="192" cm="1">
        <f t="array" ref="DV7">_xlfn.IFS(DV$1= 0,"", NOT(ISBLANK(CN7)), 0, ISBLANK(CN7), $Q7-$S7+AZ7-BW7-DE7)</f>
        <v>28.214979502900839</v>
      </c>
      <c r="DW7" s="192" cm="1">
        <f t="array" ref="DW7">_xlfn.IFS(DW$1= 0,"", NOT(ISBLANK(CO7)), 0, ISBLANK(CO7), $Q7-$S7+BA7-BX7-DF7)</f>
        <v>0</v>
      </c>
      <c r="DX7" s="192" cm="1">
        <f t="array" ref="DX7">_xlfn.IFS(DX$1= 0,"", NOT(ISBLANK(CP7)), 0, ISBLANK(CP7), $Q7-$S7+BB7-BY7-DG7)</f>
        <v>0</v>
      </c>
      <c r="DY7" s="192" cm="1">
        <f t="array" ref="DY7">_xlfn.IFS(DY$1= 0,"", NOT(ISBLANK(CQ7)), 0, ISBLANK(CQ7), $Q7-$S7+BC7-BZ7-DH7)</f>
        <v>0</v>
      </c>
      <c r="DZ7" s="192" cm="1">
        <f t="array" ref="DZ7">_xlfn.IFS(DZ$1= 0,"", NOT(ISBLANK(CR7)), 0, ISBLANK(CR7), $Q7-$S7+BD7-CA7-DI7)</f>
        <v>0</v>
      </c>
      <c r="EA7" s="192" cm="1">
        <f t="array" ref="EA7">_xlfn.IFS(EA$1= 0,"", NOT(ISBLANK(CS7)), 0, ISBLANK(CS7), $Q7-$S7+BE7-CB7-DJ7)</f>
        <v>30.568931286696852</v>
      </c>
      <c r="EB7" s="192" t="str" cm="1">
        <f t="array" ref="EB7">_xlfn.IFS(EB$1= 0,"", NOT(ISBLANK(CT7)), 0, ISBLANK(CT7), $Q7-$S7+BF7-CC7-DK7)</f>
        <v/>
      </c>
      <c r="EC7" s="192" t="str" cm="1">
        <f t="array" ref="EC7">_xlfn.IFS(EC$1= 0,"", NOT(ISBLANK(CU7)), 0, ISBLANK(CU7), $Q7-$S7+BG7-CD7-DL7)</f>
        <v/>
      </c>
      <c r="ED7" s="192" t="str" cm="1">
        <f t="array" ref="ED7">_xlfn.IFS(ED$1= 0,"", NOT(ISBLANK(CV7)), 0, ISBLANK(CV7), $Q7-$S7+BH7-CE7-DM7)</f>
        <v/>
      </c>
      <c r="EE7" s="192" t="str" cm="1">
        <f t="array" ref="EE7">_xlfn.IFS(EE$1= 0,"", NOT(ISBLANK(CW7)), 0, ISBLANK(CW7), $Q7-$S7+BI7-CF7-DN7)</f>
        <v/>
      </c>
      <c r="EF7" s="192" t="str" cm="1">
        <f t="array" ref="EF7">_xlfn.IFS(EF$1= 0,"", NOT(ISBLANK(CX7)), 0, ISBLANK(CX7), $Q7-$S7+BJ7-CG7-DO7)</f>
        <v/>
      </c>
      <c r="EG7" s="192" t="str" cm="1">
        <f t="array" ref="EG7">_xlfn.IFS(EG$1= 0,"", NOT(ISBLANK(CY7)), 0, ISBLANK(CY7), $Q7-$S7+BK7-CH7-DP7)</f>
        <v/>
      </c>
      <c r="EH7" s="192" t="str" cm="1">
        <f t="array" ref="EH7">_xlfn.IFS(EH$1= 0,"", NOT(ISBLANK(CZ7)), 0, ISBLANK(CZ7), $Q7-$S7+BL7-CI7-DQ7)</f>
        <v/>
      </c>
      <c r="EI7" s="193" t="str" cm="1">
        <f t="array" ref="EI7">_xlfn.IFS(EI$1= 0,"", NOT(ISBLANK(DA7)), 0, ISBLANK(DA7), $Q7-$S7+BM7-CJ7-DR7)</f>
        <v/>
      </c>
    </row>
    <row r="8" spans="1:162" ht="17.25" customHeight="1" x14ac:dyDescent="0.3">
      <c r="A8" s="183">
        <v>1</v>
      </c>
      <c r="B8" s="134" t="s">
        <v>89</v>
      </c>
      <c r="C8" s="134" t="s">
        <v>93</v>
      </c>
      <c r="D8" s="135" t="s">
        <v>250</v>
      </c>
      <c r="E8" s="166" t="s">
        <v>251</v>
      </c>
      <c r="F8" s="174"/>
      <c r="G8" s="3"/>
      <c r="H8" s="3"/>
      <c r="I8" s="3"/>
      <c r="J8" s="3"/>
      <c r="K8" s="3"/>
      <c r="L8" s="3"/>
      <c r="M8" s="178"/>
      <c r="N8" s="174">
        <v>69.5</v>
      </c>
      <c r="O8" s="175">
        <v>5</v>
      </c>
      <c r="P8" s="169">
        <v>1</v>
      </c>
      <c r="Q8" s="122">
        <f t="shared" si="18"/>
        <v>84</v>
      </c>
      <c r="R8" s="2">
        <v>2</v>
      </c>
      <c r="S8" s="2"/>
      <c r="T8" s="3">
        <v>142.94</v>
      </c>
      <c r="U8" s="3">
        <v>109.76</v>
      </c>
      <c r="V8" s="104">
        <f t="shared" si="2"/>
        <v>76.5</v>
      </c>
      <c r="W8" s="78">
        <v>70</v>
      </c>
      <c r="X8" s="136">
        <v>6.5</v>
      </c>
      <c r="Z8" s="7" t="s">
        <v>205</v>
      </c>
      <c r="AA8" s="3">
        <v>14.23</v>
      </c>
      <c r="AB8" s="3">
        <v>213.83</v>
      </c>
      <c r="AC8" s="83">
        <v>45</v>
      </c>
      <c r="AD8" s="210">
        <v>40</v>
      </c>
      <c r="AE8" s="207">
        <v>53</v>
      </c>
      <c r="AF8" s="83"/>
      <c r="AH8" s="185" cm="1">
        <f t="array" ref="AH8">IF(OR(AH$1=0, $A8="", _xlfn.XLOOKUP(AH$1, $Z$2:$Z$18, $AD$2:$AD$18, "")=""),"",SQRT((_xlfn.XLOOKUP(AH$1,$Z$2:$Z$18,$AA$2:$AA$18)-$T8)^2+(_xlfn.XLOOKUP(AH$1,$Z$2:$Z$18,$AB$2:$AB$18)-$U8)^2+(_xlfn.XLOOKUP(AH$1,$Z$2:$Z$18,$AC$2:$AC$18-$V8)^2)))</f>
        <v>195.78394009724087</v>
      </c>
      <c r="AI8" s="124" cm="1">
        <f t="array" ref="AI8">IF(OR(AI$1=0, $A8="", _xlfn.XLOOKUP(AI$1, $Z$2:$Z$18, $AD$2:$AD$18, "")=""),"",SQRT((_xlfn.XLOOKUP(AI$1,$Z$2:$Z$18,$AA$2:$AA$18)-$T8)^2+(_xlfn.XLOOKUP(AI$1,$Z$2:$Z$18,$AB$2:$AB$18)-$U8)^2+(_xlfn.XLOOKUP(AI$1,$Z$2:$Z$18,$AC$2:$AC$18-$V8)^2)))</f>
        <v>112.8729604466898</v>
      </c>
      <c r="AJ8" s="124" cm="1">
        <f t="array" ref="AJ8">IF(OR(AJ$1=0, $A8="", _xlfn.XLOOKUP(AJ$1, $Z$2:$Z$18, $AD$2:$AD$18, "")=""),"",SQRT((_xlfn.XLOOKUP(AJ$1,$Z$2:$Z$18,$AA$2:$AA$18)-$T8)^2+(_xlfn.XLOOKUP(AJ$1,$Z$2:$Z$18,$AB$2:$AB$18)-$U8)^2+(_xlfn.XLOOKUP(AJ$1,$Z$2:$Z$18,$AC$2:$AC$18-$V8)^2)))</f>
        <v>77.772311911116532</v>
      </c>
      <c r="AK8" s="124" cm="1">
        <f t="array" ref="AK8">IF(OR(AK$1=0, $A8="", _xlfn.XLOOKUP(AK$1, $Z$2:$Z$18, $AD$2:$AD$18, "")=""),"",SQRT((_xlfn.XLOOKUP(AK$1,$Z$2:$Z$18,$AA$2:$AA$18)-$T8)^2+(_xlfn.XLOOKUP(AK$1,$Z$2:$Z$18,$AB$2:$AB$18)-$U8)^2+(_xlfn.XLOOKUP(AK$1,$Z$2:$Z$18,$AC$2:$AC$18-$V8)^2)))</f>
        <v>115.64135289765508</v>
      </c>
      <c r="AL8" s="124" cm="1">
        <f t="array" ref="AL8">IF(OR(AL$1=0, $A8="", _xlfn.XLOOKUP(AL$1, $Z$2:$Z$18, $AD$2:$AD$18, "")=""),"",SQRT((_xlfn.XLOOKUP(AL$1,$Z$2:$Z$18,$AA$2:$AA$18)-$T8)^2+(_xlfn.XLOOKUP(AL$1,$Z$2:$Z$18,$AB$2:$AB$18)-$U8)^2+(_xlfn.XLOOKUP(AL$1,$Z$2:$Z$18,$AC$2:$AC$18-$V8)^2)))</f>
        <v>179.21808084007597</v>
      </c>
      <c r="AM8" s="124" cm="1">
        <f t="array" ref="AM8">IF(OR(AM$1=0, $A8="", _xlfn.XLOOKUP(AM$1, $Z$2:$Z$18, $AD$2:$AD$18, "")=""),"",SQRT((_xlfn.XLOOKUP(AM$1,$Z$2:$Z$18,$AA$2:$AA$18)-$T8)^2+(_xlfn.XLOOKUP(AM$1,$Z$2:$Z$18,$AB$2:$AB$18)-$U8)^2+(_xlfn.XLOOKUP(AM$1,$Z$2:$Z$18,$AC$2:$AC$18-$V8)^2)))</f>
        <v>168.49059024171055</v>
      </c>
      <c r="AN8" s="124" cm="1">
        <f t="array" ref="AN8">IF(OR(AN$1=0, $A8="", _xlfn.XLOOKUP(AN$1, $Z$2:$Z$18, $AD$2:$AD$18, "")=""),"",SQRT((_xlfn.XLOOKUP(AN$1,$Z$2:$Z$18,$AA$2:$AA$18)-$T8)^2+(_xlfn.XLOOKUP(AN$1,$Z$2:$Z$18,$AB$2:$AB$18)-$U8)^2+(_xlfn.XLOOKUP(AN$1,$Z$2:$Z$18,$AC$2:$AC$18-$V8)^2)))</f>
        <v>168.49059024171055</v>
      </c>
      <c r="AO8" s="124" t="str" cm="1">
        <f t="array" ref="AO8">IF(OR(AO$1=0, $A8="", _xlfn.XLOOKUP(AO$1, $Z$2:$Z$18, $AD$2:$AD$18, "")=""),"",SQRT((_xlfn.XLOOKUP(AO$1,$Z$2:$Z$18,$AA$2:$AA$18)-$T8)^2+(_xlfn.XLOOKUP(AO$1,$Z$2:$Z$18,$AB$2:$AB$18)-$U8)^2+(_xlfn.XLOOKUP(AO$1,$Z$2:$Z$18,$AC$2:$AC$18-$V8)^2)))</f>
        <v/>
      </c>
      <c r="AP8" s="125" t="str" cm="1">
        <f t="array" ref="AP8">IF(OR(AP$1=0, $A8="", _xlfn.XLOOKUP(AP$1, $Z$2:$Z$18, $AD$2:$AD$18, "")=""),"",SQRT((_xlfn.XLOOKUP(AP$1,$Z$2:$Z$18,$AA$2:$AA$18)-$T8)^2+(_xlfn.XLOOKUP(AP$1,$Z$2:$Z$18,$AB$2:$AB$18)-$U8)^2+(_xlfn.XLOOKUP(AP$1,$Z$2:$Z$18,$AC$2:$AC$18-$V8)^2)))</f>
        <v/>
      </c>
      <c r="AQ8" s="125" t="str" cm="1">
        <f t="array" ref="AQ8">IF(OR(AQ$1=0, $A8="", _xlfn.XLOOKUP(AQ$1, $Z$2:$Z$18, $AD$2:$AD$18, "")=""),"",SQRT((_xlfn.XLOOKUP(AQ$1,$Z$2:$Z$18,$AA$2:$AA$18)-$T8)^2+(_xlfn.XLOOKUP(AQ$1,$Z$2:$Z$18,$AB$2:$AB$18)-$U8)^2+(_xlfn.XLOOKUP(AQ$1,$Z$2:$Z$18,$AC$2:$AC$18-$V8)^2)))</f>
        <v/>
      </c>
      <c r="AR8" s="125" t="str" cm="1">
        <f t="array" ref="AR8">IF(OR(AR$1=0, $A8="", _xlfn.XLOOKUP(AR$1, $Z$2:$Z$18, $AD$2:$AD$18, "")=""),"",SQRT((_xlfn.XLOOKUP(AR$1,$Z$2:$Z$18,$AA$2:$AA$18)-$T8)^2+(_xlfn.XLOOKUP(AR$1,$Z$2:$Z$18,$AB$2:$AB$18)-$U8)^2+(_xlfn.XLOOKUP(AR$1,$Z$2:$Z$18,$AC$2:$AC$18-$V8)^2)))</f>
        <v/>
      </c>
      <c r="AS8" s="125" t="str" cm="1">
        <f t="array" ref="AS8">IF(OR(AS$1=0, $A8="", _xlfn.XLOOKUP(AS$1, $Z$2:$Z$18, $AD$2:$AD$18, "")=""),"",SQRT((_xlfn.XLOOKUP(AS$1,$Z$2:$Z$18,$AA$2:$AA$18)-$T8)^2+(_xlfn.XLOOKUP(AS$1,$Z$2:$Z$18,$AB$2:$AB$18)-$U8)^2+(_xlfn.XLOOKUP(AS$1,$Z$2:$Z$18,$AC$2:$AC$18-$V8)^2)))</f>
        <v/>
      </c>
      <c r="AT8" s="125" t="str" cm="1">
        <f t="array" ref="AT8">IF(OR(AT$1=0, $A8="", _xlfn.XLOOKUP(AT$1, $Z$2:$Z$18, $AD$2:$AD$18, "")=""),"",SQRT((_xlfn.XLOOKUP(AT$1,$Z$2:$Z$18,$AA$2:$AA$18)-$T8)^2+(_xlfn.XLOOKUP(AT$1,$Z$2:$Z$18,$AB$2:$AB$18)-$U8)^2+(_xlfn.XLOOKUP(AT$1,$Z$2:$Z$18,$AC$2:$AC$18-$V8)^2)))</f>
        <v/>
      </c>
      <c r="AU8" s="125" t="str" cm="1">
        <f t="array" ref="AU8">IF(OR(AU$1=0, $A8="", _xlfn.XLOOKUP(AU$1, $Z$2:$Z$18, $AD$2:$AD$18, "")=""),"",SQRT((_xlfn.XLOOKUP(AU$1,$Z$2:$Z$18,$AA$2:$AA$18)-$T8)^2+(_xlfn.XLOOKUP(AU$1,$Z$2:$Z$18,$AB$2:$AB$18)-$U8)^2+(_xlfn.XLOOKUP(AU$1,$Z$2:$Z$18,$AC$2:$AC$18-$V8)^2)))</f>
        <v/>
      </c>
      <c r="AV8" s="126" t="str" cm="1">
        <f t="array" ref="AV8">IF(OR(AV$1=0, $A8="", _xlfn.XLOOKUP(AV$1, $Z$2:$Z$18, $AD$2:$AD$18, "")=""),"",SQRT((_xlfn.XLOOKUP(AV$1,$Z$2:$Z$18,$AA$2:$AA$18)-$T8)^2+(_xlfn.XLOOKUP(AV$1,$Z$2:$Z$18,$AB$2:$AB$18)-$U8)^2+(_xlfn.XLOOKUP(AV$1,$Z$2:$Z$18,$AC$2:$AC$18-$V8)^2)))</f>
        <v/>
      </c>
      <c r="AW8" s="127"/>
      <c r="AX8" s="127"/>
      <c r="AY8" s="128">
        <f t="shared" si="3"/>
        <v>-43.497639223230429</v>
      </c>
      <c r="AZ8" s="137">
        <f t="shared" si="4"/>
        <v>-38.71389625545654</v>
      </c>
      <c r="BA8" s="137">
        <f t="shared" si="5"/>
        <v>-35.47859812236559</v>
      </c>
      <c r="BB8" s="137">
        <f t="shared" si="6"/>
        <v>-38.924361214433219</v>
      </c>
      <c r="BC8" s="137">
        <f t="shared" si="7"/>
        <v>-42.729734384186166</v>
      </c>
      <c r="BD8" s="137">
        <f t="shared" si="8"/>
        <v>-42.19361097043123</v>
      </c>
      <c r="BE8" s="137">
        <f t="shared" si="9"/>
        <v>-42.19361097043123</v>
      </c>
      <c r="BF8" s="137">
        <f t="shared" si="10"/>
        <v>0</v>
      </c>
      <c r="BG8" s="138">
        <f t="shared" si="11"/>
        <v>0</v>
      </c>
      <c r="BH8" s="138">
        <f t="shared" si="12"/>
        <v>0</v>
      </c>
      <c r="BI8" s="138">
        <f t="shared" si="13"/>
        <v>0</v>
      </c>
      <c r="BJ8" s="138">
        <f t="shared" si="14"/>
        <v>0</v>
      </c>
      <c r="BK8" s="138">
        <f t="shared" si="15"/>
        <v>0</v>
      </c>
      <c r="BL8" s="138">
        <f t="shared" si="16"/>
        <v>0</v>
      </c>
      <c r="BM8" s="139">
        <f t="shared" si="17"/>
        <v>0</v>
      </c>
      <c r="BN8" s="127"/>
      <c r="BO8" s="38" t="s">
        <v>33</v>
      </c>
      <c r="BP8" s="141">
        <f>SQRT((BQ5-BQ4)^2+(BR5-BR4)^2)</f>
        <v>72.147250813873711</v>
      </c>
      <c r="BQ8" s="39" t="s">
        <v>34</v>
      </c>
      <c r="BR8" s="114">
        <f>(BR5-BR4)/(BQ5-BQ4)</f>
        <v>0.20118761487346232</v>
      </c>
      <c r="BS8" s="142">
        <f>SLOPE(BR4:BR5,BQ4:BQ5)</f>
        <v>0.20118761487346232</v>
      </c>
      <c r="BT8" s="127"/>
      <c r="BU8" s="127"/>
      <c r="BV8" s="133"/>
      <c r="BW8" s="133">
        <v>5</v>
      </c>
      <c r="BX8" s="133">
        <v>8</v>
      </c>
      <c r="BY8" s="133">
        <v>11</v>
      </c>
      <c r="BZ8" s="133">
        <v>9</v>
      </c>
      <c r="CA8" s="133">
        <v>5</v>
      </c>
      <c r="CB8" s="133"/>
      <c r="CC8" s="133"/>
      <c r="CD8" s="133"/>
      <c r="CE8" s="133"/>
      <c r="CF8" s="133"/>
      <c r="CG8" s="133"/>
      <c r="CH8" s="133"/>
      <c r="CI8" s="133"/>
      <c r="CJ8" s="133"/>
      <c r="CL8" s="127"/>
      <c r="CM8" s="133" t="s">
        <v>32</v>
      </c>
      <c r="CN8" s="133"/>
      <c r="CO8" s="133" t="s">
        <v>32</v>
      </c>
      <c r="CP8" s="133" t="s">
        <v>32</v>
      </c>
      <c r="CQ8" s="133" t="s">
        <v>32</v>
      </c>
      <c r="CR8" s="133" t="s">
        <v>32</v>
      </c>
      <c r="CS8" s="133"/>
      <c r="CT8" s="133"/>
      <c r="CU8" s="133"/>
      <c r="CV8" s="133"/>
      <c r="CW8" s="133"/>
      <c r="CX8" s="133"/>
      <c r="CY8" s="133"/>
      <c r="CZ8" s="133"/>
      <c r="DA8" s="133"/>
      <c r="DB8" s="127"/>
      <c r="DC8" s="127"/>
      <c r="DD8" s="133"/>
      <c r="DE8" s="133"/>
      <c r="DF8" s="133"/>
      <c r="DG8" s="133"/>
      <c r="DH8" s="133"/>
      <c r="DI8" s="133"/>
      <c r="DJ8" s="133">
        <v>3</v>
      </c>
      <c r="DK8" s="133"/>
      <c r="DL8" s="133"/>
      <c r="DM8" s="133"/>
      <c r="DN8" s="133"/>
      <c r="DO8" s="133"/>
      <c r="DP8" s="133"/>
      <c r="DQ8" s="133"/>
      <c r="DR8" s="133"/>
      <c r="DT8" s="127"/>
      <c r="DU8" s="191" cm="1">
        <f t="array" ref="DU8">_xlfn.IFS(DU$1= 0,"", NOT(ISBLANK(CM8)), 0, ISBLANK(CM8), $Q8-$S8+AY8-BV8-DD8)</f>
        <v>0</v>
      </c>
      <c r="DV8" s="192" cm="1">
        <f t="array" ref="DV8">_xlfn.IFS(DV$1= 0,"", NOT(ISBLANK(CN8)), 0, ISBLANK(CN8), $Q8-$S8+AZ8-BW8-DE8)</f>
        <v>40.28610374454346</v>
      </c>
      <c r="DW8" s="192" cm="1">
        <f t="array" ref="DW8">_xlfn.IFS(DW$1= 0,"", NOT(ISBLANK(CO8)), 0, ISBLANK(CO8), $Q8-$S8+BA8-BX8-DF8)</f>
        <v>0</v>
      </c>
      <c r="DX8" s="192" cm="1">
        <f t="array" ref="DX8">_xlfn.IFS(DX$1= 0,"", NOT(ISBLANK(CP8)), 0, ISBLANK(CP8), $Q8-$S8+BB8-BY8-DG8)</f>
        <v>0</v>
      </c>
      <c r="DY8" s="192" cm="1">
        <f t="array" ref="DY8">_xlfn.IFS(DY$1= 0,"", NOT(ISBLANK(CQ8)), 0, ISBLANK(CQ8), $Q8-$S8+BC8-BZ8-DH8)</f>
        <v>0</v>
      </c>
      <c r="DZ8" s="192" cm="1">
        <f t="array" ref="DZ8">_xlfn.IFS(DZ$1= 0,"", NOT(ISBLANK(CR8)), 0, ISBLANK(CR8), $Q8-$S8+BD8-CA8-DI8)</f>
        <v>0</v>
      </c>
      <c r="EA8" s="192" cm="1">
        <f t="array" ref="EA8">_xlfn.IFS(EA$1= 0,"", NOT(ISBLANK(CS8)), 0, ISBLANK(CS8), $Q8-$S8+BE8-CB8-DJ8)</f>
        <v>38.80638902956877</v>
      </c>
      <c r="EB8" s="192" t="str" cm="1">
        <f t="array" ref="EB8">_xlfn.IFS(EB$1= 0,"", NOT(ISBLANK(CT8)), 0, ISBLANK(CT8), $Q8-$S8+BF8-CC8-DK8)</f>
        <v/>
      </c>
      <c r="EC8" s="192" t="str" cm="1">
        <f t="array" ref="EC8">_xlfn.IFS(EC$1= 0,"", NOT(ISBLANK(CU8)), 0, ISBLANK(CU8), $Q8-$S8+BG8-CD8-DL8)</f>
        <v/>
      </c>
      <c r="ED8" s="192" t="str" cm="1">
        <f t="array" ref="ED8">_xlfn.IFS(ED$1= 0,"", NOT(ISBLANK(CV8)), 0, ISBLANK(CV8), $Q8-$S8+BH8-CE8-DM8)</f>
        <v/>
      </c>
      <c r="EE8" s="192" t="str" cm="1">
        <f t="array" ref="EE8">_xlfn.IFS(EE$1= 0,"", NOT(ISBLANK(CW8)), 0, ISBLANK(CW8), $Q8-$S8+BI8-CF8-DN8)</f>
        <v/>
      </c>
      <c r="EF8" s="192" t="str" cm="1">
        <f t="array" ref="EF8">_xlfn.IFS(EF$1= 0,"", NOT(ISBLANK(CX8)), 0, ISBLANK(CX8), $Q8-$S8+BJ8-CG8-DO8)</f>
        <v/>
      </c>
      <c r="EG8" s="192" t="str" cm="1">
        <f t="array" ref="EG8">_xlfn.IFS(EG$1= 0,"", NOT(ISBLANK(CY8)), 0, ISBLANK(CY8), $Q8-$S8+BK8-CH8-DP8)</f>
        <v/>
      </c>
      <c r="EH8" s="192" t="str" cm="1">
        <f t="array" ref="EH8">_xlfn.IFS(EH$1= 0,"", NOT(ISBLANK(CZ8)), 0, ISBLANK(CZ8), $Q8-$S8+BL8-CI8-DQ8)</f>
        <v/>
      </c>
      <c r="EI8" s="193" t="str" cm="1">
        <f t="array" ref="EI8">_xlfn.IFS(EI$1= 0,"", NOT(ISBLANK(DA8)), 0, ISBLANK(DA8), $Q8-$S8+BM8-CJ8-DR8)</f>
        <v/>
      </c>
    </row>
    <row r="9" spans="1:162" ht="17.25" customHeight="1" thickBot="1" x14ac:dyDescent="0.35">
      <c r="A9" s="183">
        <v>1</v>
      </c>
      <c r="B9" s="134" t="s">
        <v>90</v>
      </c>
      <c r="C9" s="134" t="s">
        <v>93</v>
      </c>
      <c r="D9" s="135" t="s">
        <v>250</v>
      </c>
      <c r="E9" s="166" t="s">
        <v>252</v>
      </c>
      <c r="F9" s="174"/>
      <c r="G9" s="3"/>
      <c r="H9" s="3"/>
      <c r="I9" s="3"/>
      <c r="J9" s="3"/>
      <c r="K9" s="3"/>
      <c r="L9" s="3"/>
      <c r="M9" s="178"/>
      <c r="N9" s="174">
        <v>66.5</v>
      </c>
      <c r="O9" s="175">
        <v>5</v>
      </c>
      <c r="P9" s="169">
        <v>1</v>
      </c>
      <c r="Q9" s="122">
        <f t="shared" si="18"/>
        <v>81</v>
      </c>
      <c r="R9" s="2">
        <v>2</v>
      </c>
      <c r="S9" s="2"/>
      <c r="T9" s="3">
        <v>135.82</v>
      </c>
      <c r="U9" s="3">
        <v>110.75</v>
      </c>
      <c r="V9" s="104">
        <f t="shared" si="2"/>
        <v>76.5</v>
      </c>
      <c r="W9" s="78">
        <v>70</v>
      </c>
      <c r="X9" s="136">
        <v>6.5</v>
      </c>
      <c r="Z9" s="7"/>
      <c r="AA9" s="3"/>
      <c r="AB9" s="3"/>
      <c r="AC9" s="83"/>
      <c r="AD9" s="210"/>
      <c r="AE9" s="207" t="str">
        <v/>
      </c>
      <c r="AF9" s="83"/>
      <c r="AH9" s="185" cm="1">
        <f t="array" ref="AH9">IF(OR(AH$1=0, $A9="", _xlfn.XLOOKUP(AH$1, $Z$2:$Z$18, $AD$2:$AD$18, "")=""),"",SQRT((_xlfn.XLOOKUP(AH$1,$Z$2:$Z$18,$AA$2:$AA$18)-$T9)^2+(_xlfn.XLOOKUP(AH$1,$Z$2:$Z$18,$AB$2:$AB$18)-$U9)^2+(_xlfn.XLOOKUP(AH$1,$Z$2:$Z$18,$AC$2:$AC$18-$V9)^2)))</f>
        <v>191.21946788964766</v>
      </c>
      <c r="AI9" s="124" cm="1">
        <f t="array" ref="AI9">IF(OR(AI$1=0, $A9="", _xlfn.XLOOKUP(AI$1, $Z$2:$Z$18, $AD$2:$AD$18, "")=""),"",SQRT((_xlfn.XLOOKUP(AI$1,$Z$2:$Z$18,$AA$2:$AA$18)-$T9)^2+(_xlfn.XLOOKUP(AI$1,$Z$2:$Z$18,$AB$2:$AB$18)-$U9)^2+(_xlfn.XLOOKUP(AI$1,$Z$2:$Z$18,$AC$2:$AC$18-$V9)^2)))</f>
        <v>106.19895715118864</v>
      </c>
      <c r="AJ9" s="124" cm="1">
        <f t="array" ref="AJ9">IF(OR(AJ$1=0, $A9="", _xlfn.XLOOKUP(AJ$1, $Z$2:$Z$18, $AD$2:$AD$18, "")=""),"",SQRT((_xlfn.XLOOKUP(AJ$1,$Z$2:$Z$18,$AA$2:$AA$18)-$T9)^2+(_xlfn.XLOOKUP(AJ$1,$Z$2:$Z$18,$AB$2:$AB$18)-$U9)^2+(_xlfn.XLOOKUP(AJ$1,$Z$2:$Z$18,$AC$2:$AC$18-$V9)^2)))</f>
        <v>75.281939401160486</v>
      </c>
      <c r="AK9" s="124" cm="1">
        <f t="array" ref="AK9">IF(OR(AK$1=0, $A9="", _xlfn.XLOOKUP(AK$1, $Z$2:$Z$18, $AD$2:$AD$18, "")=""),"",SQRT((_xlfn.XLOOKUP(AK$1,$Z$2:$Z$18,$AA$2:$AA$18)-$T9)^2+(_xlfn.XLOOKUP(AK$1,$Z$2:$Z$18,$AB$2:$AB$18)-$U9)^2+(_xlfn.XLOOKUP(AK$1,$Z$2:$Z$18,$AC$2:$AC$18-$V9)^2)))</f>
        <v>121.04597721527139</v>
      </c>
      <c r="AL9" s="124" cm="1">
        <f t="array" ref="AL9">IF(OR(AL$1=0, $A9="", _xlfn.XLOOKUP(AL$1, $Z$2:$Z$18, $AD$2:$AD$18, "")=""),"",SQRT((_xlfn.XLOOKUP(AL$1,$Z$2:$Z$18,$AA$2:$AA$18)-$T9)^2+(_xlfn.XLOOKUP(AL$1,$Z$2:$Z$18,$AB$2:$AB$18)-$U9)^2+(_xlfn.XLOOKUP(AL$1,$Z$2:$Z$18,$AC$2:$AC$18-$V9)^2)))</f>
        <v>186.26156769446564</v>
      </c>
      <c r="AM9" s="124" cm="1">
        <f t="array" ref="AM9">IF(OR(AM$1=0, $A9="", _xlfn.XLOOKUP(AM$1, $Z$2:$Z$18, $AD$2:$AD$18, "")=""),"",SQRT((_xlfn.XLOOKUP(AM$1,$Z$2:$Z$18,$AA$2:$AA$18)-$T9)^2+(_xlfn.XLOOKUP(AM$1,$Z$2:$Z$18,$AB$2:$AB$18)-$U9)^2+(_xlfn.XLOOKUP(AM$1,$Z$2:$Z$18,$AC$2:$AC$18-$V9)^2)))</f>
        <v>162.48650559354152</v>
      </c>
      <c r="AN9" s="124" cm="1">
        <f t="array" ref="AN9">IF(OR(AN$1=0, $A9="", _xlfn.XLOOKUP(AN$1, $Z$2:$Z$18, $AD$2:$AD$18, "")=""),"",SQRT((_xlfn.XLOOKUP(AN$1,$Z$2:$Z$18,$AA$2:$AA$18)-$T9)^2+(_xlfn.XLOOKUP(AN$1,$Z$2:$Z$18,$AB$2:$AB$18)-$U9)^2+(_xlfn.XLOOKUP(AN$1,$Z$2:$Z$18,$AC$2:$AC$18-$V9)^2)))</f>
        <v>162.48650559354152</v>
      </c>
      <c r="AO9" s="124" t="str" cm="1">
        <f t="array" ref="AO9">IF(OR(AO$1=0, $A9="", _xlfn.XLOOKUP(AO$1, $Z$2:$Z$18, $AD$2:$AD$18, "")=""),"",SQRT((_xlfn.XLOOKUP(AO$1,$Z$2:$Z$18,$AA$2:$AA$18)-$T9)^2+(_xlfn.XLOOKUP(AO$1,$Z$2:$Z$18,$AB$2:$AB$18)-$U9)^2+(_xlfn.XLOOKUP(AO$1,$Z$2:$Z$18,$AC$2:$AC$18-$V9)^2)))</f>
        <v/>
      </c>
      <c r="AP9" s="125" t="str" cm="1">
        <f t="array" ref="AP9">IF(OR(AP$1=0, $A9="", _xlfn.XLOOKUP(AP$1, $Z$2:$Z$18, $AD$2:$AD$18, "")=""),"",SQRT((_xlfn.XLOOKUP(AP$1,$Z$2:$Z$18,$AA$2:$AA$18)-$T9)^2+(_xlfn.XLOOKUP(AP$1,$Z$2:$Z$18,$AB$2:$AB$18)-$U9)^2+(_xlfn.XLOOKUP(AP$1,$Z$2:$Z$18,$AC$2:$AC$18-$V9)^2)))</f>
        <v/>
      </c>
      <c r="AQ9" s="125" t="str" cm="1">
        <f t="array" ref="AQ9">IF(OR(AQ$1=0, $A9="", _xlfn.XLOOKUP(AQ$1, $Z$2:$Z$18, $AD$2:$AD$18, "")=""),"",SQRT((_xlfn.XLOOKUP(AQ$1,$Z$2:$Z$18,$AA$2:$AA$18)-$T9)^2+(_xlfn.XLOOKUP(AQ$1,$Z$2:$Z$18,$AB$2:$AB$18)-$U9)^2+(_xlfn.XLOOKUP(AQ$1,$Z$2:$Z$18,$AC$2:$AC$18-$V9)^2)))</f>
        <v/>
      </c>
      <c r="AR9" s="125" t="str" cm="1">
        <f t="array" ref="AR9">IF(OR(AR$1=0, $A9="", _xlfn.XLOOKUP(AR$1, $Z$2:$Z$18, $AD$2:$AD$18, "")=""),"",SQRT((_xlfn.XLOOKUP(AR$1,$Z$2:$Z$18,$AA$2:$AA$18)-$T9)^2+(_xlfn.XLOOKUP(AR$1,$Z$2:$Z$18,$AB$2:$AB$18)-$U9)^2+(_xlfn.XLOOKUP(AR$1,$Z$2:$Z$18,$AC$2:$AC$18-$V9)^2)))</f>
        <v/>
      </c>
      <c r="AS9" s="125" t="str" cm="1">
        <f t="array" ref="AS9">IF(OR(AS$1=0, $A9="", _xlfn.XLOOKUP(AS$1, $Z$2:$Z$18, $AD$2:$AD$18, "")=""),"",SQRT((_xlfn.XLOOKUP(AS$1,$Z$2:$Z$18,$AA$2:$AA$18)-$T9)^2+(_xlfn.XLOOKUP(AS$1,$Z$2:$Z$18,$AB$2:$AB$18)-$U9)^2+(_xlfn.XLOOKUP(AS$1,$Z$2:$Z$18,$AC$2:$AC$18-$V9)^2)))</f>
        <v/>
      </c>
      <c r="AT9" s="125" t="str" cm="1">
        <f t="array" ref="AT9">IF(OR(AT$1=0, $A9="", _xlfn.XLOOKUP(AT$1, $Z$2:$Z$18, $AD$2:$AD$18, "")=""),"",SQRT((_xlfn.XLOOKUP(AT$1,$Z$2:$Z$18,$AA$2:$AA$18)-$T9)^2+(_xlfn.XLOOKUP(AT$1,$Z$2:$Z$18,$AB$2:$AB$18)-$U9)^2+(_xlfn.XLOOKUP(AT$1,$Z$2:$Z$18,$AC$2:$AC$18-$V9)^2)))</f>
        <v/>
      </c>
      <c r="AU9" s="125" t="str" cm="1">
        <f t="array" ref="AU9">IF(OR(AU$1=0, $A9="", _xlfn.XLOOKUP(AU$1, $Z$2:$Z$18, $AD$2:$AD$18, "")=""),"",SQRT((_xlfn.XLOOKUP(AU$1,$Z$2:$Z$18,$AA$2:$AA$18)-$T9)^2+(_xlfn.XLOOKUP(AU$1,$Z$2:$Z$18,$AB$2:$AB$18)-$U9)^2+(_xlfn.XLOOKUP(AU$1,$Z$2:$Z$18,$AC$2:$AC$18-$V9)^2)))</f>
        <v/>
      </c>
      <c r="AV9" s="126" t="str" cm="1">
        <f t="array" ref="AV9">IF(OR(AV$1=0, $A9="", _xlfn.XLOOKUP(AV$1, $Z$2:$Z$18, $AD$2:$AD$18, "")=""),"",SQRT((_xlfn.XLOOKUP(AV$1,$Z$2:$Z$18,$AA$2:$AA$18)-$T9)^2+(_xlfn.XLOOKUP(AV$1,$Z$2:$Z$18,$AB$2:$AB$18)-$U9)^2+(_xlfn.XLOOKUP(AV$1,$Z$2:$Z$18,$AC$2:$AC$18-$V9)^2)))</f>
        <v/>
      </c>
      <c r="AW9" s="127"/>
      <c r="AX9" s="127"/>
      <c r="AY9" s="128">
        <f t="shared" si="3"/>
        <v>-43.292740043709543</v>
      </c>
      <c r="AZ9" s="137">
        <f t="shared" si="4"/>
        <v>-38.184502978864401</v>
      </c>
      <c r="BA9" s="137">
        <f t="shared" si="5"/>
        <v>-35.19591391268434</v>
      </c>
      <c r="BB9" s="137">
        <f t="shared" si="6"/>
        <v>-39.321105154537854</v>
      </c>
      <c r="BC9" s="137">
        <f t="shared" si="7"/>
        <v>-43.064563015526566</v>
      </c>
      <c r="BD9" s="137">
        <f t="shared" si="8"/>
        <v>-41.878443915278005</v>
      </c>
      <c r="BE9" s="137">
        <f t="shared" si="9"/>
        <v>-41.878443915278005</v>
      </c>
      <c r="BF9" s="137">
        <f t="shared" si="10"/>
        <v>0</v>
      </c>
      <c r="BG9" s="138">
        <f t="shared" si="11"/>
        <v>0</v>
      </c>
      <c r="BH9" s="138">
        <f t="shared" si="12"/>
        <v>0</v>
      </c>
      <c r="BI9" s="138">
        <f t="shared" si="13"/>
        <v>0</v>
      </c>
      <c r="BJ9" s="138">
        <f t="shared" si="14"/>
        <v>0</v>
      </c>
      <c r="BK9" s="138">
        <f t="shared" si="15"/>
        <v>0</v>
      </c>
      <c r="BL9" s="138">
        <f t="shared" si="16"/>
        <v>0</v>
      </c>
      <c r="BM9" s="139">
        <f t="shared" si="17"/>
        <v>0</v>
      </c>
      <c r="BN9" s="127"/>
      <c r="BO9" s="38" t="s">
        <v>35</v>
      </c>
      <c r="BP9" s="143">
        <f>SQRT((BR12-BQ4)^2+(BR13-BR4)^2)</f>
        <v>28.221749697515794</v>
      </c>
      <c r="BQ9" s="41" t="s">
        <v>36</v>
      </c>
      <c r="BR9" s="115">
        <f>(BR7-BR6)/(BQ7-BQ6)</f>
        <v>-5.249999999999992</v>
      </c>
      <c r="BS9" s="144">
        <f>SLOPE(BR6:BR7,BQ6:BQ7)</f>
        <v>-5.249999999999992</v>
      </c>
      <c r="BT9" s="127"/>
      <c r="BU9" s="127"/>
      <c r="BV9" s="133"/>
      <c r="BW9" s="133">
        <v>5</v>
      </c>
      <c r="BX9" s="133">
        <v>10</v>
      </c>
      <c r="BY9" s="133">
        <v>11</v>
      </c>
      <c r="BZ9" s="133">
        <v>10</v>
      </c>
      <c r="CA9" s="133">
        <v>5</v>
      </c>
      <c r="CB9" s="133"/>
      <c r="CC9" s="133"/>
      <c r="CD9" s="133"/>
      <c r="CE9" s="133"/>
      <c r="CF9" s="133"/>
      <c r="CG9" s="133"/>
      <c r="CH9" s="133"/>
      <c r="CI9" s="133"/>
      <c r="CJ9" s="133"/>
      <c r="CL9" s="127"/>
      <c r="CM9" s="133" t="s">
        <v>32</v>
      </c>
      <c r="CN9" s="133"/>
      <c r="CO9" s="133" t="s">
        <v>32</v>
      </c>
      <c r="CP9" s="133" t="s">
        <v>32</v>
      </c>
      <c r="CQ9" s="133" t="s">
        <v>32</v>
      </c>
      <c r="CR9" s="133" t="s">
        <v>32</v>
      </c>
      <c r="CS9" s="133"/>
      <c r="CT9" s="133"/>
      <c r="CU9" s="133"/>
      <c r="CV9" s="133"/>
      <c r="CW9" s="133"/>
      <c r="CX9" s="133"/>
      <c r="CY9" s="133"/>
      <c r="CZ9" s="133"/>
      <c r="DA9" s="133"/>
      <c r="DB9" s="127"/>
      <c r="DC9" s="127"/>
      <c r="DD9" s="133"/>
      <c r="DE9" s="133"/>
      <c r="DF9" s="133"/>
      <c r="DG9" s="133"/>
      <c r="DH9" s="133"/>
      <c r="DI9" s="133"/>
      <c r="DJ9" s="133"/>
      <c r="DK9" s="133"/>
      <c r="DL9" s="133"/>
      <c r="DM9" s="133"/>
      <c r="DN9" s="133"/>
      <c r="DO9" s="133"/>
      <c r="DP9" s="133"/>
      <c r="DQ9" s="133"/>
      <c r="DR9" s="133"/>
      <c r="DT9" s="127"/>
      <c r="DU9" s="191" cm="1">
        <f t="array" ref="DU9">_xlfn.IFS(DU$1= 0,"", NOT(ISBLANK(CM9)), 0, ISBLANK(CM9), $Q9-$S9+AY9-BV9-DD9)</f>
        <v>0</v>
      </c>
      <c r="DV9" s="192" cm="1">
        <f t="array" ref="DV9">_xlfn.IFS(DV$1= 0,"", NOT(ISBLANK(CN9)), 0, ISBLANK(CN9), $Q9-$S9+AZ9-BW9-DE9)</f>
        <v>37.815497021135599</v>
      </c>
      <c r="DW9" s="192" cm="1">
        <f t="array" ref="DW9">_xlfn.IFS(DW$1= 0,"", NOT(ISBLANK(CO9)), 0, ISBLANK(CO9), $Q9-$S9+BA9-BX9-DF9)</f>
        <v>0</v>
      </c>
      <c r="DX9" s="192" cm="1">
        <f t="array" ref="DX9">_xlfn.IFS(DX$1= 0,"", NOT(ISBLANK(CP9)), 0, ISBLANK(CP9), $Q9-$S9+BB9-BY9-DG9)</f>
        <v>0</v>
      </c>
      <c r="DY9" s="192" cm="1">
        <f t="array" ref="DY9">_xlfn.IFS(DY$1= 0,"", NOT(ISBLANK(CQ9)), 0, ISBLANK(CQ9), $Q9-$S9+BC9-BZ9-DH9)</f>
        <v>0</v>
      </c>
      <c r="DZ9" s="192" cm="1">
        <f t="array" ref="DZ9">_xlfn.IFS(DZ$1= 0,"", NOT(ISBLANK(CR9)), 0, ISBLANK(CR9), $Q9-$S9+BD9-CA9-DI9)</f>
        <v>0</v>
      </c>
      <c r="EA9" s="192" cm="1">
        <f t="array" ref="EA9">_xlfn.IFS(EA$1= 0,"", NOT(ISBLANK(CS9)), 0, ISBLANK(CS9), $Q9-$S9+BE9-CB9-DJ9)</f>
        <v>39.121556084721995</v>
      </c>
      <c r="EB9" s="192" t="str" cm="1">
        <f t="array" ref="EB9">_xlfn.IFS(EB$1= 0,"", NOT(ISBLANK(CT9)), 0, ISBLANK(CT9), $Q9-$S9+BF9-CC9-DK9)</f>
        <v/>
      </c>
      <c r="EC9" s="192" t="str" cm="1">
        <f t="array" ref="EC9">_xlfn.IFS(EC$1= 0,"", NOT(ISBLANK(CU9)), 0, ISBLANK(CU9), $Q9-$S9+BG9-CD9-DL9)</f>
        <v/>
      </c>
      <c r="ED9" s="192" t="str" cm="1">
        <f t="array" ref="ED9">_xlfn.IFS(ED$1= 0,"", NOT(ISBLANK(CV9)), 0, ISBLANK(CV9), $Q9-$S9+BH9-CE9-DM9)</f>
        <v/>
      </c>
      <c r="EE9" s="192" t="str" cm="1">
        <f t="array" ref="EE9">_xlfn.IFS(EE$1= 0,"", NOT(ISBLANK(CW9)), 0, ISBLANK(CW9), $Q9-$S9+BI9-CF9-DN9)</f>
        <v/>
      </c>
      <c r="EF9" s="192" t="str" cm="1">
        <f t="array" ref="EF9">_xlfn.IFS(EF$1= 0,"", NOT(ISBLANK(CX9)), 0, ISBLANK(CX9), $Q9-$S9+BJ9-CG9-DO9)</f>
        <v/>
      </c>
      <c r="EG9" s="192" t="str" cm="1">
        <f t="array" ref="EG9">_xlfn.IFS(EG$1= 0,"", NOT(ISBLANK(CY9)), 0, ISBLANK(CY9), $Q9-$S9+BK9-CH9-DP9)</f>
        <v/>
      </c>
      <c r="EH9" s="192" t="str" cm="1">
        <f t="array" ref="EH9">_xlfn.IFS(EH$1= 0,"", NOT(ISBLANK(CZ9)), 0, ISBLANK(CZ9), $Q9-$S9+BL9-CI9-DQ9)</f>
        <v/>
      </c>
      <c r="EI9" s="193" t="str" cm="1">
        <f t="array" ref="EI9">_xlfn.IFS(EI$1= 0,"", NOT(ISBLANK(DA9)), 0, ISBLANK(DA9), $Q9-$S9+BM9-CJ9-DR9)</f>
        <v/>
      </c>
    </row>
    <row r="10" spans="1:162" ht="17.25" customHeight="1" x14ac:dyDescent="0.3">
      <c r="A10" s="183">
        <v>1</v>
      </c>
      <c r="B10" s="120" t="s">
        <v>91</v>
      </c>
      <c r="C10" s="134" t="s">
        <v>93</v>
      </c>
      <c r="D10" s="135" t="s">
        <v>250</v>
      </c>
      <c r="E10" s="166" t="s">
        <v>253</v>
      </c>
      <c r="F10" s="174"/>
      <c r="G10" s="3"/>
      <c r="H10" s="3"/>
      <c r="I10" s="3"/>
      <c r="J10" s="3"/>
      <c r="K10" s="3"/>
      <c r="L10" s="3"/>
      <c r="M10" s="178"/>
      <c r="N10" s="174">
        <v>58</v>
      </c>
      <c r="O10" s="175">
        <v>5</v>
      </c>
      <c r="P10" s="169">
        <v>1</v>
      </c>
      <c r="Q10" s="122">
        <f t="shared" si="18"/>
        <v>73</v>
      </c>
      <c r="R10" s="2">
        <v>2</v>
      </c>
      <c r="S10" s="2"/>
      <c r="T10" s="3">
        <v>149.12</v>
      </c>
      <c r="U10" s="3">
        <v>114.25</v>
      </c>
      <c r="V10" s="104">
        <f t="shared" si="2"/>
        <v>76</v>
      </c>
      <c r="W10" s="78">
        <v>70</v>
      </c>
      <c r="X10" s="136">
        <v>6</v>
      </c>
      <c r="Z10" s="7"/>
      <c r="AA10" s="3"/>
      <c r="AB10" s="3"/>
      <c r="AC10" s="83"/>
      <c r="AD10" s="210"/>
      <c r="AE10" s="207" t="str">
        <v/>
      </c>
      <c r="AF10" s="83"/>
      <c r="AH10" s="185" cm="1">
        <f t="array" ref="AH10">IF(OR(AH$1=0, $A10="", _xlfn.XLOOKUP(AH$1, $Z$2:$Z$18, $AD$2:$AD$18, "")=""),"",SQRT((_xlfn.XLOOKUP(AH$1,$Z$2:$Z$18,$AA$2:$AA$18)-$T10)^2+(_xlfn.XLOOKUP(AH$1,$Z$2:$Z$18,$AB$2:$AB$18)-$U10)^2+(_xlfn.XLOOKUP(AH$1,$Z$2:$Z$18,$AC$2:$AC$18-$V10)^2)))</f>
        <v>202.64707473832431</v>
      </c>
      <c r="AI10" s="124" cm="1">
        <f t="array" ref="AI10">IF(OR(AI$1=0, $A10="", _xlfn.XLOOKUP(AI$1, $Z$2:$Z$18, $AD$2:$AD$18, "")=""),"",SQRT((_xlfn.XLOOKUP(AI$1,$Z$2:$Z$18,$AA$2:$AA$18)-$T10)^2+(_xlfn.XLOOKUP(AI$1,$Z$2:$Z$18,$AB$2:$AB$18)-$U10)^2+(_xlfn.XLOOKUP(AI$1,$Z$2:$Z$18,$AC$2:$AC$18-$V10)^2)))</f>
        <v>119.83147541443358</v>
      </c>
      <c r="AJ10" s="124" cm="1">
        <f t="array" ref="AJ10">IF(OR(AJ$1=0, $A10="", _xlfn.XLOOKUP(AJ$1, $Z$2:$Z$18, $AD$2:$AD$18, "")=""),"",SQRT((_xlfn.XLOOKUP(AJ$1,$Z$2:$Z$18,$AA$2:$AA$18)-$T10)^2+(_xlfn.XLOOKUP(AJ$1,$Z$2:$Z$18,$AB$2:$AB$18)-$U10)^2+(_xlfn.XLOOKUP(AJ$1,$Z$2:$Z$18,$AC$2:$AC$18-$V10)^2)))</f>
        <v>84.000240475846255</v>
      </c>
      <c r="AK10" s="124" cm="1">
        <f t="array" ref="AK10">IF(OR(AK$1=0, $A10="", _xlfn.XLOOKUP(AK$1, $Z$2:$Z$18, $AD$2:$AD$18, "")=""),"",SQRT((_xlfn.XLOOKUP(AK$1,$Z$2:$Z$18,$AA$2:$AA$18)-$T10)^2+(_xlfn.XLOOKUP(AK$1,$Z$2:$Z$18,$AB$2:$AB$18)-$U10)^2+(_xlfn.XLOOKUP(AK$1,$Z$2:$Z$18,$AC$2:$AC$18-$V10)^2)))</f>
        <v>115.25239520287636</v>
      </c>
      <c r="AL10" s="124" cm="1">
        <f t="array" ref="AL10">IF(OR(AL$1=0, $A10="", _xlfn.XLOOKUP(AL$1, $Z$2:$Z$18, $AD$2:$AD$18, "")=""),"",SQRT((_xlfn.XLOOKUP(AL$1,$Z$2:$Z$18,$AA$2:$AA$18)-$T10)^2+(_xlfn.XLOOKUP(AL$1,$Z$2:$Z$18,$AB$2:$AB$18)-$U10)^2+(_xlfn.XLOOKUP(AL$1,$Z$2:$Z$18,$AC$2:$AC$18-$V10)^2)))</f>
        <v>173.78146506460348</v>
      </c>
      <c r="AM10" s="124" cm="1">
        <f t="array" ref="AM10">IF(OR(AM$1=0, $A10="", _xlfn.XLOOKUP(AM$1, $Z$2:$Z$18, $AD$2:$AD$18, "")=""),"",SQRT((_xlfn.XLOOKUP(AM$1,$Z$2:$Z$18,$AA$2:$AA$18)-$T10)^2+(_xlfn.XLOOKUP(AM$1,$Z$2:$Z$18,$AB$2:$AB$18)-$U10)^2+(_xlfn.XLOOKUP(AM$1,$Z$2:$Z$18,$AC$2:$AC$18-$V10)^2)))</f>
        <v>170.50656438976185</v>
      </c>
      <c r="AN10" s="124" cm="1">
        <f t="array" ref="AN10">IF(OR(AN$1=0, $A10="", _xlfn.XLOOKUP(AN$1, $Z$2:$Z$18, $AD$2:$AD$18, "")=""),"",SQRT((_xlfn.XLOOKUP(AN$1,$Z$2:$Z$18,$AA$2:$AA$18)-$T10)^2+(_xlfn.XLOOKUP(AN$1,$Z$2:$Z$18,$AB$2:$AB$18)-$U10)^2+(_xlfn.XLOOKUP(AN$1,$Z$2:$Z$18,$AC$2:$AC$18-$V10)^2)))</f>
        <v>170.50656438976185</v>
      </c>
      <c r="AO10" s="124" t="str" cm="1">
        <f t="array" ref="AO10">IF(OR(AO$1=0, $A10="", _xlfn.XLOOKUP(AO$1, $Z$2:$Z$18, $AD$2:$AD$18, "")=""),"",SQRT((_xlfn.XLOOKUP(AO$1,$Z$2:$Z$18,$AA$2:$AA$18)-$T10)^2+(_xlfn.XLOOKUP(AO$1,$Z$2:$Z$18,$AB$2:$AB$18)-$U10)^2+(_xlfn.XLOOKUP(AO$1,$Z$2:$Z$18,$AC$2:$AC$18-$V10)^2)))</f>
        <v/>
      </c>
      <c r="AP10" s="125" t="str" cm="1">
        <f t="array" ref="AP10">IF(OR(AP$1=0, $A10="", _xlfn.XLOOKUP(AP$1, $Z$2:$Z$18, $AD$2:$AD$18, "")=""),"",SQRT((_xlfn.XLOOKUP(AP$1,$Z$2:$Z$18,$AA$2:$AA$18)-$T10)^2+(_xlfn.XLOOKUP(AP$1,$Z$2:$Z$18,$AB$2:$AB$18)-$U10)^2+(_xlfn.XLOOKUP(AP$1,$Z$2:$Z$18,$AC$2:$AC$18-$V10)^2)))</f>
        <v/>
      </c>
      <c r="AQ10" s="125" t="str" cm="1">
        <f t="array" ref="AQ10">IF(OR(AQ$1=0, $A10="", _xlfn.XLOOKUP(AQ$1, $Z$2:$Z$18, $AD$2:$AD$18, "")=""),"",SQRT((_xlfn.XLOOKUP(AQ$1,$Z$2:$Z$18,$AA$2:$AA$18)-$T10)^2+(_xlfn.XLOOKUP(AQ$1,$Z$2:$Z$18,$AB$2:$AB$18)-$U10)^2+(_xlfn.XLOOKUP(AQ$1,$Z$2:$Z$18,$AC$2:$AC$18-$V10)^2)))</f>
        <v/>
      </c>
      <c r="AR10" s="125" t="str" cm="1">
        <f t="array" ref="AR10">IF(OR(AR$1=0, $A10="", _xlfn.XLOOKUP(AR$1, $Z$2:$Z$18, $AD$2:$AD$18, "")=""),"",SQRT((_xlfn.XLOOKUP(AR$1,$Z$2:$Z$18,$AA$2:$AA$18)-$T10)^2+(_xlfn.XLOOKUP(AR$1,$Z$2:$Z$18,$AB$2:$AB$18)-$U10)^2+(_xlfn.XLOOKUP(AR$1,$Z$2:$Z$18,$AC$2:$AC$18-$V10)^2)))</f>
        <v/>
      </c>
      <c r="AS10" s="125" t="str" cm="1">
        <f t="array" ref="AS10">IF(OR(AS$1=0, $A10="", _xlfn.XLOOKUP(AS$1, $Z$2:$Z$18, $AD$2:$AD$18, "")=""),"",SQRT((_xlfn.XLOOKUP(AS$1,$Z$2:$Z$18,$AA$2:$AA$18)-$T10)^2+(_xlfn.XLOOKUP(AS$1,$Z$2:$Z$18,$AB$2:$AB$18)-$U10)^2+(_xlfn.XLOOKUP(AS$1,$Z$2:$Z$18,$AC$2:$AC$18-$V10)^2)))</f>
        <v/>
      </c>
      <c r="AT10" s="125" t="str" cm="1">
        <f t="array" ref="AT10">IF(OR(AT$1=0, $A10="", _xlfn.XLOOKUP(AT$1, $Z$2:$Z$18, $AD$2:$AD$18, "")=""),"",SQRT((_xlfn.XLOOKUP(AT$1,$Z$2:$Z$18,$AA$2:$AA$18)-$T10)^2+(_xlfn.XLOOKUP(AT$1,$Z$2:$Z$18,$AB$2:$AB$18)-$U10)^2+(_xlfn.XLOOKUP(AT$1,$Z$2:$Z$18,$AC$2:$AC$18-$V10)^2)))</f>
        <v/>
      </c>
      <c r="AU10" s="125" t="str" cm="1">
        <f t="array" ref="AU10">IF(OR(AU$1=0, $A10="", _xlfn.XLOOKUP(AU$1, $Z$2:$Z$18, $AD$2:$AD$18, "")=""),"",SQRT((_xlfn.XLOOKUP(AU$1,$Z$2:$Z$18,$AA$2:$AA$18)-$T10)^2+(_xlfn.XLOOKUP(AU$1,$Z$2:$Z$18,$AB$2:$AB$18)-$U10)^2+(_xlfn.XLOOKUP(AU$1,$Z$2:$Z$18,$AC$2:$AC$18-$V10)^2)))</f>
        <v/>
      </c>
      <c r="AV10" s="126" t="str" cm="1">
        <f t="array" ref="AV10">IF(OR(AV$1=0, $A10="", _xlfn.XLOOKUP(AV$1, $Z$2:$Z$18, $AD$2:$AD$18, "")=""),"",SQRT((_xlfn.XLOOKUP(AV$1,$Z$2:$Z$18,$AA$2:$AA$18)-$T10)^2+(_xlfn.XLOOKUP(AV$1,$Z$2:$Z$18,$AB$2:$AB$18)-$U10)^2+(_xlfn.XLOOKUP(AV$1,$Z$2:$Z$18,$AC$2:$AC$18-$V10)^2)))</f>
        <v/>
      </c>
      <c r="AW10" s="127"/>
      <c r="AX10" s="127"/>
      <c r="AY10" s="128">
        <f t="shared" si="3"/>
        <v>-43.796904716382201</v>
      </c>
      <c r="AZ10" s="137">
        <f t="shared" si="4"/>
        <v>-39.233516068180428</v>
      </c>
      <c r="BA10" s="137">
        <f t="shared" si="5"/>
        <v>-36.147708524166127</v>
      </c>
      <c r="BB10" s="137">
        <f t="shared" si="6"/>
        <v>-38.89509713228032</v>
      </c>
      <c r="BC10" s="137">
        <f t="shared" si="7"/>
        <v>-42.462167021369211</v>
      </c>
      <c r="BD10" s="137">
        <f t="shared" si="8"/>
        <v>-42.296920010936347</v>
      </c>
      <c r="BE10" s="137">
        <f t="shared" si="9"/>
        <v>-42.296920010936347</v>
      </c>
      <c r="BF10" s="137">
        <f t="shared" si="10"/>
        <v>0</v>
      </c>
      <c r="BG10" s="138">
        <f t="shared" si="11"/>
        <v>0</v>
      </c>
      <c r="BH10" s="138">
        <f t="shared" si="12"/>
        <v>0</v>
      </c>
      <c r="BI10" s="138">
        <f t="shared" si="13"/>
        <v>0</v>
      </c>
      <c r="BJ10" s="138">
        <f t="shared" si="14"/>
        <v>0</v>
      </c>
      <c r="BK10" s="138">
        <f t="shared" si="15"/>
        <v>0</v>
      </c>
      <c r="BL10" s="138">
        <f t="shared" si="16"/>
        <v>0</v>
      </c>
      <c r="BM10" s="139">
        <f t="shared" si="17"/>
        <v>0</v>
      </c>
      <c r="BN10" s="127"/>
      <c r="BO10" s="38" t="s">
        <v>37</v>
      </c>
      <c r="BP10" s="145">
        <f>BP8-BP9</f>
        <v>43.925501116357921</v>
      </c>
      <c r="BQ10" s="41" t="s">
        <v>38</v>
      </c>
      <c r="BR10" s="115">
        <f>BR4-(BR8*BQ4)</f>
        <v>78.924476177011172</v>
      </c>
      <c r="BS10" s="144">
        <f>INTERCEPT(BR4:BR5,BQ4:BQ5)</f>
        <v>78.924476177011172</v>
      </c>
      <c r="BT10" s="127"/>
      <c r="BU10" s="127"/>
      <c r="BV10" s="133"/>
      <c r="BW10" s="133">
        <v>5</v>
      </c>
      <c r="BX10" s="133">
        <v>10</v>
      </c>
      <c r="BY10" s="133">
        <v>12</v>
      </c>
      <c r="BZ10" s="133">
        <v>9</v>
      </c>
      <c r="CA10" s="133">
        <v>5</v>
      </c>
      <c r="CB10" s="133"/>
      <c r="CC10" s="133"/>
      <c r="CD10" s="133"/>
      <c r="CE10" s="133"/>
      <c r="CF10" s="133"/>
      <c r="CG10" s="133"/>
      <c r="CH10" s="133"/>
      <c r="CI10" s="133"/>
      <c r="CJ10" s="133"/>
      <c r="CL10" s="127"/>
      <c r="CM10" s="133" t="s">
        <v>32</v>
      </c>
      <c r="CN10" s="133"/>
      <c r="CO10" s="133" t="s">
        <v>32</v>
      </c>
      <c r="CP10" s="133" t="s">
        <v>32</v>
      </c>
      <c r="CQ10" s="133" t="s">
        <v>32</v>
      </c>
      <c r="CR10" s="133" t="s">
        <v>32</v>
      </c>
      <c r="CS10" s="133"/>
      <c r="CT10" s="133"/>
      <c r="CU10" s="133"/>
      <c r="CV10" s="133"/>
      <c r="CW10" s="133"/>
      <c r="CX10" s="133"/>
      <c r="CY10" s="133"/>
      <c r="CZ10" s="133"/>
      <c r="DA10" s="133"/>
      <c r="DB10" s="127"/>
      <c r="DC10" s="127"/>
      <c r="DD10" s="133"/>
      <c r="DE10" s="133"/>
      <c r="DF10" s="133"/>
      <c r="DG10" s="133"/>
      <c r="DH10" s="133"/>
      <c r="DI10" s="133"/>
      <c r="DJ10" s="133"/>
      <c r="DK10" s="133"/>
      <c r="DL10" s="133"/>
      <c r="DM10" s="133"/>
      <c r="DN10" s="133"/>
      <c r="DO10" s="133"/>
      <c r="DP10" s="133"/>
      <c r="DQ10" s="133"/>
      <c r="DR10" s="133"/>
      <c r="DT10" s="127"/>
      <c r="DU10" s="191" cm="1">
        <f t="array" ref="DU10">_xlfn.IFS(DU$1= 0,"", NOT(ISBLANK(CM10)), 0, ISBLANK(CM10), $Q10-$S10+AY10-BV10-DD10)</f>
        <v>0</v>
      </c>
      <c r="DV10" s="192" cm="1">
        <f t="array" ref="DV10">_xlfn.IFS(DV$1= 0,"", NOT(ISBLANK(CN10)), 0, ISBLANK(CN10), $Q10-$S10+AZ10-BW10-DE10)</f>
        <v>28.766483931819572</v>
      </c>
      <c r="DW10" s="192" cm="1">
        <f t="array" ref="DW10">_xlfn.IFS(DW$1= 0,"", NOT(ISBLANK(CO10)), 0, ISBLANK(CO10), $Q10-$S10+BA10-BX10-DF10)</f>
        <v>0</v>
      </c>
      <c r="DX10" s="192" cm="1">
        <f t="array" ref="DX10">_xlfn.IFS(DX$1= 0,"", NOT(ISBLANK(CP10)), 0, ISBLANK(CP10), $Q10-$S10+BB10-BY10-DG10)</f>
        <v>0</v>
      </c>
      <c r="DY10" s="192" cm="1">
        <f t="array" ref="DY10">_xlfn.IFS(DY$1= 0,"", NOT(ISBLANK(CQ10)), 0, ISBLANK(CQ10), $Q10-$S10+BC10-BZ10-DH10)</f>
        <v>0</v>
      </c>
      <c r="DZ10" s="192" cm="1">
        <f t="array" ref="DZ10">_xlfn.IFS(DZ$1= 0,"", NOT(ISBLANK(CR10)), 0, ISBLANK(CR10), $Q10-$S10+BD10-CA10-DI10)</f>
        <v>0</v>
      </c>
      <c r="EA10" s="192" cm="1">
        <f t="array" ref="EA10">_xlfn.IFS(EA$1= 0,"", NOT(ISBLANK(CS10)), 0, ISBLANK(CS10), $Q10-$S10+BE10-CB10-DJ10)</f>
        <v>30.703079989063653</v>
      </c>
      <c r="EB10" s="192" t="str" cm="1">
        <f t="array" ref="EB10">_xlfn.IFS(EB$1= 0,"", NOT(ISBLANK(CT10)), 0, ISBLANK(CT10), $Q10-$S10+BF10-CC10-DK10)</f>
        <v/>
      </c>
      <c r="EC10" s="192" t="str" cm="1">
        <f t="array" ref="EC10">_xlfn.IFS(EC$1= 0,"", NOT(ISBLANK(CU10)), 0, ISBLANK(CU10), $Q10-$S10+BG10-CD10-DL10)</f>
        <v/>
      </c>
      <c r="ED10" s="192" t="str" cm="1">
        <f t="array" ref="ED10">_xlfn.IFS(ED$1= 0,"", NOT(ISBLANK(CV10)), 0, ISBLANK(CV10), $Q10-$S10+BH10-CE10-DM10)</f>
        <v/>
      </c>
      <c r="EE10" s="192" t="str" cm="1">
        <f t="array" ref="EE10">_xlfn.IFS(EE$1= 0,"", NOT(ISBLANK(CW10)), 0, ISBLANK(CW10), $Q10-$S10+BI10-CF10-DN10)</f>
        <v/>
      </c>
      <c r="EF10" s="192" t="str" cm="1">
        <f t="array" ref="EF10">_xlfn.IFS(EF$1= 0,"", NOT(ISBLANK(CX10)), 0, ISBLANK(CX10), $Q10-$S10+BJ10-CG10-DO10)</f>
        <v/>
      </c>
      <c r="EG10" s="192" t="str" cm="1">
        <f t="array" ref="EG10">_xlfn.IFS(EG$1= 0,"", NOT(ISBLANK(CY10)), 0, ISBLANK(CY10), $Q10-$S10+BK10-CH10-DP10)</f>
        <v/>
      </c>
      <c r="EH10" s="192" t="str" cm="1">
        <f t="array" ref="EH10">_xlfn.IFS(EH$1= 0,"", NOT(ISBLANK(CZ10)), 0, ISBLANK(CZ10), $Q10-$S10+BL10-CI10-DQ10)</f>
        <v/>
      </c>
      <c r="EI10" s="193" t="str" cm="1">
        <f t="array" ref="EI10">_xlfn.IFS(EI$1= 0,"", NOT(ISBLANK(DA10)), 0, ISBLANK(DA10), $Q10-$S10+BM10-CJ10-DR10)</f>
        <v/>
      </c>
    </row>
    <row r="11" spans="1:162" ht="17.25" customHeight="1" thickBot="1" x14ac:dyDescent="0.35">
      <c r="A11" s="183">
        <v>1</v>
      </c>
      <c r="B11" s="134" t="s">
        <v>92</v>
      </c>
      <c r="C11" s="134" t="s">
        <v>93</v>
      </c>
      <c r="D11" s="135" t="s">
        <v>250</v>
      </c>
      <c r="E11" s="166" t="s">
        <v>254</v>
      </c>
      <c r="F11" s="174"/>
      <c r="G11" s="3"/>
      <c r="H11" s="3"/>
      <c r="I11" s="3"/>
      <c r="J11" s="3"/>
      <c r="K11" s="3"/>
      <c r="L11" s="3"/>
      <c r="M11" s="178"/>
      <c r="N11" s="174">
        <v>60</v>
      </c>
      <c r="O11" s="175">
        <v>5</v>
      </c>
      <c r="P11" s="169">
        <v>1</v>
      </c>
      <c r="Q11" s="122">
        <f t="shared" si="18"/>
        <v>75</v>
      </c>
      <c r="R11" s="2">
        <v>2</v>
      </c>
      <c r="S11" s="2"/>
      <c r="T11" s="3">
        <v>114.64</v>
      </c>
      <c r="U11" s="3">
        <v>101.82</v>
      </c>
      <c r="V11" s="104">
        <f t="shared" si="2"/>
        <v>76</v>
      </c>
      <c r="W11" s="78">
        <v>70</v>
      </c>
      <c r="X11" s="136">
        <v>6</v>
      </c>
      <c r="Z11" s="7"/>
      <c r="AA11" s="3"/>
      <c r="AB11" s="3"/>
      <c r="AC11" s="83"/>
      <c r="AD11" s="210"/>
      <c r="AE11" s="207" t="str">
        <v/>
      </c>
      <c r="AF11" s="83"/>
      <c r="AH11" s="185" cm="1">
        <f t="array" ref="AH11">IF(OR(AH$1=0, $A11="", _xlfn.XLOOKUP(AH$1, $Z$2:$Z$18, $AD$2:$AD$18, "")=""),"",SQRT((_xlfn.XLOOKUP(AH$1,$Z$2:$Z$18,$AA$2:$AA$18)-$T11)^2+(_xlfn.XLOOKUP(AH$1,$Z$2:$Z$18,$AB$2:$AB$18)-$U11)^2+(_xlfn.XLOOKUP(AH$1,$Z$2:$Z$18,$AC$2:$AC$18-$V11)^2)))</f>
        <v>171.13048238113512</v>
      </c>
      <c r="AI11" s="124" cm="1">
        <f t="array" ref="AI11">IF(OR(AI$1=0, $A11="", _xlfn.XLOOKUP(AI$1, $Z$2:$Z$18, $AD$2:$AD$18, "")=""),"",SQRT((_xlfn.XLOOKUP(AI$1,$Z$2:$Z$18,$AA$2:$AA$18)-$T11)^2+(_xlfn.XLOOKUP(AI$1,$Z$2:$Z$18,$AB$2:$AB$18)-$U11)^2+(_xlfn.XLOOKUP(AI$1,$Z$2:$Z$18,$AC$2:$AC$18-$V11)^2)))</f>
        <v>83.683269534596931</v>
      </c>
      <c r="AJ11" s="124" cm="1">
        <f t="array" ref="AJ11">IF(OR(AJ$1=0, $A11="", _xlfn.XLOOKUP(AJ$1, $Z$2:$Z$18, $AD$2:$AD$18, "")=""),"",SQRT((_xlfn.XLOOKUP(AJ$1,$Z$2:$Z$18,$AA$2:$AA$18)-$T11)^2+(_xlfn.XLOOKUP(AJ$1,$Z$2:$Z$18,$AB$2:$AB$18)-$U11)^2+(_xlfn.XLOOKUP(AJ$1,$Z$2:$Z$18,$AC$2:$AC$18-$V11)^2)))</f>
        <v>61.662816186093863</v>
      </c>
      <c r="AK11" s="124" cm="1">
        <f t="array" ref="AK11">IF(OR(AK$1=0, $A11="", _xlfn.XLOOKUP(AK$1, $Z$2:$Z$18, $AD$2:$AD$18, "")=""),"",SQRT((_xlfn.XLOOKUP(AK$1,$Z$2:$Z$18,$AA$2:$AA$18)-$T11)^2+(_xlfn.XLOOKUP(AK$1,$Z$2:$Z$18,$AB$2:$AB$18)-$U11)^2+(_xlfn.XLOOKUP(AK$1,$Z$2:$Z$18,$AC$2:$AC$18-$V11)^2)))</f>
        <v>130.48861751126032</v>
      </c>
      <c r="AL11" s="124" cm="1">
        <f t="array" ref="AL11">IF(OR(AL$1=0, $A11="", _xlfn.XLOOKUP(AL$1, $Z$2:$Z$18, $AD$2:$AD$18, "")=""),"",SQRT((_xlfn.XLOOKUP(AL$1,$Z$2:$Z$18,$AA$2:$AA$18)-$T11)^2+(_xlfn.XLOOKUP(AL$1,$Z$2:$Z$18,$AB$2:$AB$18)-$U11)^2+(_xlfn.XLOOKUP(AL$1,$Z$2:$Z$18,$AC$2:$AC$18-$V11)^2)))</f>
        <v>205.9662625285996</v>
      </c>
      <c r="AM11" s="124" cm="1">
        <f t="array" ref="AM11">IF(OR(AM$1=0, $A11="", _xlfn.XLOOKUP(AM$1, $Z$2:$Z$18, $AD$2:$AD$18, "")=""),"",SQRT((_xlfn.XLOOKUP(AM$1,$Z$2:$Z$18,$AA$2:$AA$18)-$T11)^2+(_xlfn.XLOOKUP(AM$1,$Z$2:$Z$18,$AB$2:$AB$18)-$U11)^2+(_xlfn.XLOOKUP(AM$1,$Z$2:$Z$18,$AC$2:$AC$18-$V11)^2)))</f>
        <v>153.58843771586456</v>
      </c>
      <c r="AN11" s="124" cm="1">
        <f t="array" ref="AN11">IF(OR(AN$1=0, $A11="", _xlfn.XLOOKUP(AN$1, $Z$2:$Z$18, $AD$2:$AD$18, "")=""),"",SQRT((_xlfn.XLOOKUP(AN$1,$Z$2:$Z$18,$AA$2:$AA$18)-$T11)^2+(_xlfn.XLOOKUP(AN$1,$Z$2:$Z$18,$AB$2:$AB$18)-$U11)^2+(_xlfn.XLOOKUP(AN$1,$Z$2:$Z$18,$AC$2:$AC$18-$V11)^2)))</f>
        <v>153.58843771586456</v>
      </c>
      <c r="AO11" s="124" t="str" cm="1">
        <f t="array" ref="AO11">IF(OR(AO$1=0, $A11="", _xlfn.XLOOKUP(AO$1, $Z$2:$Z$18, $AD$2:$AD$18, "")=""),"",SQRT((_xlfn.XLOOKUP(AO$1,$Z$2:$Z$18,$AA$2:$AA$18)-$T11)^2+(_xlfn.XLOOKUP(AO$1,$Z$2:$Z$18,$AB$2:$AB$18)-$U11)^2+(_xlfn.XLOOKUP(AO$1,$Z$2:$Z$18,$AC$2:$AC$18-$V11)^2)))</f>
        <v/>
      </c>
      <c r="AP11" s="125" t="str" cm="1">
        <f t="array" ref="AP11">IF(OR(AP$1=0, $A11="", _xlfn.XLOOKUP(AP$1, $Z$2:$Z$18, $AD$2:$AD$18, "")=""),"",SQRT((_xlfn.XLOOKUP(AP$1,$Z$2:$Z$18,$AA$2:$AA$18)-$T11)^2+(_xlfn.XLOOKUP(AP$1,$Z$2:$Z$18,$AB$2:$AB$18)-$U11)^2+(_xlfn.XLOOKUP(AP$1,$Z$2:$Z$18,$AC$2:$AC$18-$V11)^2)))</f>
        <v/>
      </c>
      <c r="AQ11" s="125" t="str" cm="1">
        <f t="array" ref="AQ11">IF(OR(AQ$1=0, $A11="", _xlfn.XLOOKUP(AQ$1, $Z$2:$Z$18, $AD$2:$AD$18, "")=""),"",SQRT((_xlfn.XLOOKUP(AQ$1,$Z$2:$Z$18,$AA$2:$AA$18)-$T11)^2+(_xlfn.XLOOKUP(AQ$1,$Z$2:$Z$18,$AB$2:$AB$18)-$U11)^2+(_xlfn.XLOOKUP(AQ$1,$Z$2:$Z$18,$AC$2:$AC$18-$V11)^2)))</f>
        <v/>
      </c>
      <c r="AR11" s="125" t="str" cm="1">
        <f t="array" ref="AR11">IF(OR(AR$1=0, $A11="", _xlfn.XLOOKUP(AR$1, $Z$2:$Z$18, $AD$2:$AD$18, "")=""),"",SQRT((_xlfn.XLOOKUP(AR$1,$Z$2:$Z$18,$AA$2:$AA$18)-$T11)^2+(_xlfn.XLOOKUP(AR$1,$Z$2:$Z$18,$AB$2:$AB$18)-$U11)^2+(_xlfn.XLOOKUP(AR$1,$Z$2:$Z$18,$AC$2:$AC$18-$V11)^2)))</f>
        <v/>
      </c>
      <c r="AS11" s="125" t="str" cm="1">
        <f t="array" ref="AS11">IF(OR(AS$1=0, $A11="", _xlfn.XLOOKUP(AS$1, $Z$2:$Z$18, $AD$2:$AD$18, "")=""),"",SQRT((_xlfn.XLOOKUP(AS$1,$Z$2:$Z$18,$AA$2:$AA$18)-$T11)^2+(_xlfn.XLOOKUP(AS$1,$Z$2:$Z$18,$AB$2:$AB$18)-$U11)^2+(_xlfn.XLOOKUP(AS$1,$Z$2:$Z$18,$AC$2:$AC$18-$V11)^2)))</f>
        <v/>
      </c>
      <c r="AT11" s="125" t="str" cm="1">
        <f t="array" ref="AT11">IF(OR(AT$1=0, $A11="", _xlfn.XLOOKUP(AT$1, $Z$2:$Z$18, $AD$2:$AD$18, "")=""),"",SQRT((_xlfn.XLOOKUP(AT$1,$Z$2:$Z$18,$AA$2:$AA$18)-$T11)^2+(_xlfn.XLOOKUP(AT$1,$Z$2:$Z$18,$AB$2:$AB$18)-$U11)^2+(_xlfn.XLOOKUP(AT$1,$Z$2:$Z$18,$AC$2:$AC$18-$V11)^2)))</f>
        <v/>
      </c>
      <c r="AU11" s="125" t="str" cm="1">
        <f t="array" ref="AU11">IF(OR(AU$1=0, $A11="", _xlfn.XLOOKUP(AU$1, $Z$2:$Z$18, $AD$2:$AD$18, "")=""),"",SQRT((_xlfn.XLOOKUP(AU$1,$Z$2:$Z$18,$AA$2:$AA$18)-$T11)^2+(_xlfn.XLOOKUP(AU$1,$Z$2:$Z$18,$AB$2:$AB$18)-$U11)^2+(_xlfn.XLOOKUP(AU$1,$Z$2:$Z$18,$AC$2:$AC$18-$V11)^2)))</f>
        <v/>
      </c>
      <c r="AV11" s="126" t="str" cm="1">
        <f t="array" ref="AV11">IF(OR(AV$1=0, $A11="", _xlfn.XLOOKUP(AV$1, $Z$2:$Z$18, $AD$2:$AD$18, "")=""),"",SQRT((_xlfn.XLOOKUP(AV$1,$Z$2:$Z$18,$AA$2:$AA$18)-$T11)^2+(_xlfn.XLOOKUP(AV$1,$Z$2:$Z$18,$AB$2:$AB$18)-$U11)^2+(_xlfn.XLOOKUP(AV$1,$Z$2:$Z$18,$AC$2:$AC$18-$V11)^2)))</f>
        <v/>
      </c>
      <c r="AW11" s="127"/>
      <c r="AX11" s="127"/>
      <c r="AY11" s="128">
        <f t="shared" si="3"/>
        <v>-42.328645427675234</v>
      </c>
      <c r="AZ11" s="137">
        <f t="shared" si="4"/>
        <v>-36.114870734770832</v>
      </c>
      <c r="BA11" s="137">
        <f t="shared" si="5"/>
        <v>-33.462565044758826</v>
      </c>
      <c r="BB11" s="137">
        <f t="shared" si="6"/>
        <v>-39.973550535529917</v>
      </c>
      <c r="BC11" s="137">
        <f t="shared" si="7"/>
        <v>-43.938019703771531</v>
      </c>
      <c r="BD11" s="137">
        <f t="shared" si="8"/>
        <v>-41.389268393394005</v>
      </c>
      <c r="BE11" s="137">
        <f t="shared" si="9"/>
        <v>-41.389268393394005</v>
      </c>
      <c r="BF11" s="137">
        <f t="shared" si="10"/>
        <v>0</v>
      </c>
      <c r="BG11" s="138">
        <f t="shared" si="11"/>
        <v>0</v>
      </c>
      <c r="BH11" s="138">
        <f t="shared" si="12"/>
        <v>0</v>
      </c>
      <c r="BI11" s="138">
        <f t="shared" si="13"/>
        <v>0</v>
      </c>
      <c r="BJ11" s="138">
        <f t="shared" si="14"/>
        <v>0</v>
      </c>
      <c r="BK11" s="138">
        <f t="shared" si="15"/>
        <v>0</v>
      </c>
      <c r="BL11" s="138">
        <f t="shared" si="16"/>
        <v>0</v>
      </c>
      <c r="BM11" s="139">
        <f t="shared" si="17"/>
        <v>0</v>
      </c>
      <c r="BN11" s="127"/>
      <c r="BO11" s="38" t="s">
        <v>39</v>
      </c>
      <c r="BP11" s="146">
        <f>SQRT(BP8^2+(BS5-BS4)^2)</f>
        <v>72.737805163477404</v>
      </c>
      <c r="BQ11" s="41" t="s">
        <v>40</v>
      </c>
      <c r="BR11" s="115">
        <f>BR6-(BR9*BQ6)</f>
        <v>495.08249999999941</v>
      </c>
      <c r="BS11" s="144">
        <f>INTERCEPT(BR6:BR7,BQ6:BQ7)</f>
        <v>495.0824999999993</v>
      </c>
      <c r="BT11" s="127"/>
      <c r="BU11" s="127"/>
      <c r="BV11" s="133"/>
      <c r="BW11" s="133">
        <v>4</v>
      </c>
      <c r="BX11" s="133">
        <v>8</v>
      </c>
      <c r="BY11" s="133">
        <v>11</v>
      </c>
      <c r="BZ11" s="133">
        <v>11</v>
      </c>
      <c r="CA11" s="133">
        <v>7</v>
      </c>
      <c r="CB11" s="133"/>
      <c r="CC11" s="133"/>
      <c r="CD11" s="133"/>
      <c r="CE11" s="133"/>
      <c r="CF11" s="133"/>
      <c r="CG11" s="133"/>
      <c r="CH11" s="133"/>
      <c r="CI11" s="133"/>
      <c r="CJ11" s="133"/>
      <c r="CL11" s="127"/>
      <c r="CM11" s="133" t="s">
        <v>32</v>
      </c>
      <c r="CN11" s="133"/>
      <c r="CO11" s="133" t="s">
        <v>32</v>
      </c>
      <c r="CP11" s="133" t="s">
        <v>32</v>
      </c>
      <c r="CQ11" s="133" t="s">
        <v>32</v>
      </c>
      <c r="CR11" s="133" t="s">
        <v>32</v>
      </c>
      <c r="CS11" s="133"/>
      <c r="CT11" s="133"/>
      <c r="CU11" s="133"/>
      <c r="CV11" s="133"/>
      <c r="CW11" s="133"/>
      <c r="CX11" s="133"/>
      <c r="CY11" s="133"/>
      <c r="CZ11" s="133"/>
      <c r="DA11" s="133"/>
      <c r="DB11" s="127"/>
      <c r="DC11" s="127"/>
      <c r="DD11" s="133"/>
      <c r="DE11" s="133"/>
      <c r="DF11" s="133"/>
      <c r="DG11" s="133"/>
      <c r="DH11" s="133"/>
      <c r="DI11" s="133"/>
      <c r="DJ11" s="133"/>
      <c r="DK11" s="133"/>
      <c r="DL11" s="133"/>
      <c r="DM11" s="133"/>
      <c r="DN11" s="133"/>
      <c r="DO11" s="133"/>
      <c r="DP11" s="133"/>
      <c r="DQ11" s="133"/>
      <c r="DR11" s="133"/>
      <c r="DT11" s="127"/>
      <c r="DU11" s="191" cm="1">
        <f t="array" ref="DU11">_xlfn.IFS(DU$1= 0,"", NOT(ISBLANK(CM11)), 0, ISBLANK(CM11), $Q11-$S11+AY11-BV11-DD11)</f>
        <v>0</v>
      </c>
      <c r="DV11" s="192" cm="1">
        <f t="array" ref="DV11">_xlfn.IFS(DV$1= 0,"", NOT(ISBLANK(CN11)), 0, ISBLANK(CN11), $Q11-$S11+AZ11-BW11-DE11)</f>
        <v>34.885129265229168</v>
      </c>
      <c r="DW11" s="192" cm="1">
        <f t="array" ref="DW11">_xlfn.IFS(DW$1= 0,"", NOT(ISBLANK(CO11)), 0, ISBLANK(CO11), $Q11-$S11+BA11-BX11-DF11)</f>
        <v>0</v>
      </c>
      <c r="DX11" s="192" cm="1">
        <f t="array" ref="DX11">_xlfn.IFS(DX$1= 0,"", NOT(ISBLANK(CP11)), 0, ISBLANK(CP11), $Q11-$S11+BB11-BY11-DG11)</f>
        <v>0</v>
      </c>
      <c r="DY11" s="192" cm="1">
        <f t="array" ref="DY11">_xlfn.IFS(DY$1= 0,"", NOT(ISBLANK(CQ11)), 0, ISBLANK(CQ11), $Q11-$S11+BC11-BZ11-DH11)</f>
        <v>0</v>
      </c>
      <c r="DZ11" s="192" cm="1">
        <f t="array" ref="DZ11">_xlfn.IFS(DZ$1= 0,"", NOT(ISBLANK(CR11)), 0, ISBLANK(CR11), $Q11-$S11+BD11-CA11-DI11)</f>
        <v>0</v>
      </c>
      <c r="EA11" s="192" cm="1">
        <f t="array" ref="EA11">_xlfn.IFS(EA$1= 0,"", NOT(ISBLANK(CS11)), 0, ISBLANK(CS11), $Q11-$S11+BE11-CB11-DJ11)</f>
        <v>33.610731606605995</v>
      </c>
      <c r="EB11" s="192" t="str" cm="1">
        <f t="array" ref="EB11">_xlfn.IFS(EB$1= 0,"", NOT(ISBLANK(CT11)), 0, ISBLANK(CT11), $Q11-$S11+BF11-CC11-DK11)</f>
        <v/>
      </c>
      <c r="EC11" s="192" t="str" cm="1">
        <f t="array" ref="EC11">_xlfn.IFS(EC$1= 0,"", NOT(ISBLANK(CU11)), 0, ISBLANK(CU11), $Q11-$S11+BG11-CD11-DL11)</f>
        <v/>
      </c>
      <c r="ED11" s="192" t="str" cm="1">
        <f t="array" ref="ED11">_xlfn.IFS(ED$1= 0,"", NOT(ISBLANK(CV11)), 0, ISBLANK(CV11), $Q11-$S11+BH11-CE11-DM11)</f>
        <v/>
      </c>
      <c r="EE11" s="192" t="str" cm="1">
        <f t="array" ref="EE11">_xlfn.IFS(EE$1= 0,"", NOT(ISBLANK(CW11)), 0, ISBLANK(CW11), $Q11-$S11+BI11-CF11-DN11)</f>
        <v/>
      </c>
      <c r="EF11" s="192" t="str" cm="1">
        <f t="array" ref="EF11">_xlfn.IFS(EF$1= 0,"", NOT(ISBLANK(CX11)), 0, ISBLANK(CX11), $Q11-$S11+BJ11-CG11-DO11)</f>
        <v/>
      </c>
      <c r="EG11" s="192" t="str" cm="1">
        <f t="array" ref="EG11">_xlfn.IFS(EG$1= 0,"", NOT(ISBLANK(CY11)), 0, ISBLANK(CY11), $Q11-$S11+BK11-CH11-DP11)</f>
        <v/>
      </c>
      <c r="EH11" s="192" t="str" cm="1">
        <f t="array" ref="EH11">_xlfn.IFS(EH$1= 0,"", NOT(ISBLANK(CZ11)), 0, ISBLANK(CZ11), $Q11-$S11+BL11-CI11-DQ11)</f>
        <v/>
      </c>
      <c r="EI11" s="193" t="str" cm="1">
        <f t="array" ref="EI11">_xlfn.IFS(EI$1= 0,"", NOT(ISBLANK(DA11)), 0, ISBLANK(DA11), $Q11-$S11+BM11-CJ11-DR11)</f>
        <v/>
      </c>
    </row>
    <row r="12" spans="1:162" ht="17.25" customHeight="1" x14ac:dyDescent="0.3">
      <c r="A12" s="183">
        <v>4</v>
      </c>
      <c r="B12" s="134" t="s">
        <v>108</v>
      </c>
      <c r="C12" s="134" t="s">
        <v>93</v>
      </c>
      <c r="D12" s="135" t="s">
        <v>86</v>
      </c>
      <c r="E12" s="166" t="s">
        <v>255</v>
      </c>
      <c r="F12" s="174"/>
      <c r="G12" s="3"/>
      <c r="H12" s="3"/>
      <c r="I12" s="3"/>
      <c r="J12" s="3"/>
      <c r="K12" s="3"/>
      <c r="L12" s="3"/>
      <c r="M12" s="178"/>
      <c r="N12" s="174">
        <v>58</v>
      </c>
      <c r="O12" s="175">
        <v>5</v>
      </c>
      <c r="P12" s="169">
        <v>1</v>
      </c>
      <c r="Q12" s="122">
        <f t="shared" si="18"/>
        <v>79.020599913279625</v>
      </c>
      <c r="R12" s="2">
        <v>2</v>
      </c>
      <c r="S12" s="2"/>
      <c r="T12" s="3">
        <v>230.36</v>
      </c>
      <c r="U12" s="3">
        <v>44.95</v>
      </c>
      <c r="V12" s="104">
        <f t="shared" si="2"/>
        <v>74</v>
      </c>
      <c r="W12" s="78">
        <v>70</v>
      </c>
      <c r="X12" s="136">
        <v>4</v>
      </c>
      <c r="Z12" s="7"/>
      <c r="AA12" s="3"/>
      <c r="AB12" s="3"/>
      <c r="AC12" s="83"/>
      <c r="AD12" s="210"/>
      <c r="AE12" s="207" t="str">
        <v/>
      </c>
      <c r="AF12" s="83"/>
      <c r="AH12" s="185" cm="1">
        <f t="array" ref="AH12">IF(OR(AH$1=0, $A12="", _xlfn.XLOOKUP(AH$1, $Z$2:$Z$18, $AD$2:$AD$18, "")=""),"",SQRT((_xlfn.XLOOKUP(AH$1,$Z$2:$Z$18,$AA$2:$AA$18)-$T12)^2+(_xlfn.XLOOKUP(AH$1,$Z$2:$Z$18,$AB$2:$AB$18)-$U12)^2+(_xlfn.XLOOKUP(AH$1,$Z$2:$Z$18,$AC$2:$AC$18-$V12)^2)))</f>
        <v>246.09394974277609</v>
      </c>
      <c r="AI12" s="124" cm="1">
        <f t="array" ref="AI12">IF(OR(AI$1=0, $A12="", _xlfn.XLOOKUP(AI$1, $Z$2:$Z$18, $AD$2:$AD$18, "")=""),"",SQRT((_xlfn.XLOOKUP(AI$1,$Z$2:$Z$18,$AA$2:$AA$18)-$T12)^2+(_xlfn.XLOOKUP(AI$1,$Z$2:$Z$18,$AB$2:$AB$18)-$U12)^2+(_xlfn.XLOOKUP(AI$1,$Z$2:$Z$18,$AC$2:$AC$18-$V12)^2)))</f>
        <v>201.433798802485</v>
      </c>
      <c r="AJ12" s="124" cm="1">
        <f t="array" ref="AJ12">IF(OR(AJ$1=0, $A12="", _xlfn.XLOOKUP(AJ$1, $Z$2:$Z$18, $AD$2:$AD$18, "")=""),"",SQRT((_xlfn.XLOOKUP(AJ$1,$Z$2:$Z$18,$AA$2:$AA$18)-$T12)^2+(_xlfn.XLOOKUP(AJ$1,$Z$2:$Z$18,$AB$2:$AB$18)-$U12)^2+(_xlfn.XLOOKUP(AJ$1,$Z$2:$Z$18,$AC$2:$AC$18-$V12)^2)))</f>
        <v>130.49022951930158</v>
      </c>
      <c r="AK12" s="124" cm="1">
        <f t="array" ref="AK12">IF(OR(AK$1=0, $A12="", _xlfn.XLOOKUP(AK$1, $Z$2:$Z$18, $AD$2:$AD$18, "")=""),"",SQRT((_xlfn.XLOOKUP(AK$1,$Z$2:$Z$18,$AA$2:$AA$18)-$T12)^2+(_xlfn.XLOOKUP(AK$1,$Z$2:$Z$18,$AB$2:$AB$18)-$U12)^2+(_xlfn.XLOOKUP(AK$1,$Z$2:$Z$18,$AC$2:$AC$18-$V12)^2)))</f>
        <v>29.634861227952474</v>
      </c>
      <c r="AL12" s="124" cm="1">
        <f t="array" ref="AL12">IF(OR(AL$1=0, $A12="", _xlfn.XLOOKUP(AL$1, $Z$2:$Z$18, $AD$2:$AD$18, "")=""),"",SQRT((_xlfn.XLOOKUP(AL$1,$Z$2:$Z$18,$AA$2:$AA$18)-$T12)^2+(_xlfn.XLOOKUP(AL$1,$Z$2:$Z$18,$AB$2:$AB$18)-$U12)^2+(_xlfn.XLOOKUP(AL$1,$Z$2:$Z$18,$AC$2:$AC$18-$V12)^2)))</f>
        <v>101.82735388882497</v>
      </c>
      <c r="AM12" s="124" cm="1">
        <f t="array" ref="AM12">IF(OR(AM$1=0, $A12="", _xlfn.XLOOKUP(AM$1, $Z$2:$Z$18, $AD$2:$AD$18, "")=""),"",SQRT((_xlfn.XLOOKUP(AM$1,$Z$2:$Z$18,$AA$2:$AA$18)-$T12)^2+(_xlfn.XLOOKUP(AM$1,$Z$2:$Z$18,$AB$2:$AB$18)-$U12)^2+(_xlfn.XLOOKUP(AM$1,$Z$2:$Z$18,$AC$2:$AC$18-$V12)^2)))</f>
        <v>275.81448711044897</v>
      </c>
      <c r="AN12" s="124" cm="1">
        <f t="array" ref="AN12">IF(OR(AN$1=0, $A12="", _xlfn.XLOOKUP(AN$1, $Z$2:$Z$18, $AD$2:$AD$18, "")=""),"",SQRT((_xlfn.XLOOKUP(AN$1,$Z$2:$Z$18,$AA$2:$AA$18)-$T12)^2+(_xlfn.XLOOKUP(AN$1,$Z$2:$Z$18,$AB$2:$AB$18)-$U12)^2+(_xlfn.XLOOKUP(AN$1,$Z$2:$Z$18,$AC$2:$AC$18-$V12)^2)))</f>
        <v>275.81448711044897</v>
      </c>
      <c r="AO12" s="124" t="str" cm="1">
        <f t="array" ref="AO12">IF(OR(AO$1=0, $A12="", _xlfn.XLOOKUP(AO$1, $Z$2:$Z$18, $AD$2:$AD$18, "")=""),"",SQRT((_xlfn.XLOOKUP(AO$1,$Z$2:$Z$18,$AA$2:$AA$18)-$T12)^2+(_xlfn.XLOOKUP(AO$1,$Z$2:$Z$18,$AB$2:$AB$18)-$U12)^2+(_xlfn.XLOOKUP(AO$1,$Z$2:$Z$18,$AC$2:$AC$18-$V12)^2)))</f>
        <v/>
      </c>
      <c r="AP12" s="125" t="str" cm="1">
        <f t="array" ref="AP12">IF(OR(AP$1=0, $A12="", _xlfn.XLOOKUP(AP$1, $Z$2:$Z$18, $AD$2:$AD$18, "")=""),"",SQRT((_xlfn.XLOOKUP(AP$1,$Z$2:$Z$18,$AA$2:$AA$18)-$T12)^2+(_xlfn.XLOOKUP(AP$1,$Z$2:$Z$18,$AB$2:$AB$18)-$U12)^2+(_xlfn.XLOOKUP(AP$1,$Z$2:$Z$18,$AC$2:$AC$18-$V12)^2)))</f>
        <v/>
      </c>
      <c r="AQ12" s="125" t="str" cm="1">
        <f t="array" ref="AQ12">IF(OR(AQ$1=0, $A12="", _xlfn.XLOOKUP(AQ$1, $Z$2:$Z$18, $AD$2:$AD$18, "")=""),"",SQRT((_xlfn.XLOOKUP(AQ$1,$Z$2:$Z$18,$AA$2:$AA$18)-$T12)^2+(_xlfn.XLOOKUP(AQ$1,$Z$2:$Z$18,$AB$2:$AB$18)-$U12)^2+(_xlfn.XLOOKUP(AQ$1,$Z$2:$Z$18,$AC$2:$AC$18-$V12)^2)))</f>
        <v/>
      </c>
      <c r="AR12" s="125" t="str" cm="1">
        <f t="array" ref="AR12">IF(OR(AR$1=0, $A12="", _xlfn.XLOOKUP(AR$1, $Z$2:$Z$18, $AD$2:$AD$18, "")=""),"",SQRT((_xlfn.XLOOKUP(AR$1,$Z$2:$Z$18,$AA$2:$AA$18)-$T12)^2+(_xlfn.XLOOKUP(AR$1,$Z$2:$Z$18,$AB$2:$AB$18)-$U12)^2+(_xlfn.XLOOKUP(AR$1,$Z$2:$Z$18,$AC$2:$AC$18-$V12)^2)))</f>
        <v/>
      </c>
      <c r="AS12" s="125" t="str" cm="1">
        <f t="array" ref="AS12">IF(OR(AS$1=0, $A12="", _xlfn.XLOOKUP(AS$1, $Z$2:$Z$18, $AD$2:$AD$18, "")=""),"",SQRT((_xlfn.XLOOKUP(AS$1,$Z$2:$Z$18,$AA$2:$AA$18)-$T12)^2+(_xlfn.XLOOKUP(AS$1,$Z$2:$Z$18,$AB$2:$AB$18)-$U12)^2+(_xlfn.XLOOKUP(AS$1,$Z$2:$Z$18,$AC$2:$AC$18-$V12)^2)))</f>
        <v/>
      </c>
      <c r="AT12" s="125" t="str" cm="1">
        <f t="array" ref="AT12">IF(OR(AT$1=0, $A12="", _xlfn.XLOOKUP(AT$1, $Z$2:$Z$18, $AD$2:$AD$18, "")=""),"",SQRT((_xlfn.XLOOKUP(AT$1,$Z$2:$Z$18,$AA$2:$AA$18)-$T12)^2+(_xlfn.XLOOKUP(AT$1,$Z$2:$Z$18,$AB$2:$AB$18)-$U12)^2+(_xlfn.XLOOKUP(AT$1,$Z$2:$Z$18,$AC$2:$AC$18-$V12)^2)))</f>
        <v/>
      </c>
      <c r="AU12" s="125" t="str" cm="1">
        <f t="array" ref="AU12">IF(OR(AU$1=0, $A12="", _xlfn.XLOOKUP(AU$1, $Z$2:$Z$18, $AD$2:$AD$18, "")=""),"",SQRT((_xlfn.XLOOKUP(AU$1,$Z$2:$Z$18,$AA$2:$AA$18)-$T12)^2+(_xlfn.XLOOKUP(AU$1,$Z$2:$Z$18,$AB$2:$AB$18)-$U12)^2+(_xlfn.XLOOKUP(AU$1,$Z$2:$Z$18,$AC$2:$AC$18-$V12)^2)))</f>
        <v/>
      </c>
      <c r="AV12" s="126" t="str" cm="1">
        <f t="array" ref="AV12">IF(OR(AV$1=0, $A12="", _xlfn.XLOOKUP(AV$1, $Z$2:$Z$18, $AD$2:$AD$18, "")=""),"",SQRT((_xlfn.XLOOKUP(AV$1,$Z$2:$Z$18,$AA$2:$AA$18)-$T12)^2+(_xlfn.XLOOKUP(AV$1,$Z$2:$Z$18,$AB$2:$AB$18)-$U12)^2+(_xlfn.XLOOKUP(AV$1,$Z$2:$Z$18,$AC$2:$AC$18-$V12)^2)))</f>
        <v/>
      </c>
      <c r="AW12" s="127"/>
      <c r="AX12" s="127"/>
      <c r="AY12" s="128">
        <f t="shared" si="3"/>
        <v>-45.484116669694181</v>
      </c>
      <c r="AZ12" s="137">
        <f t="shared" si="4"/>
        <v>-43.744744798709725</v>
      </c>
      <c r="BA12" s="137">
        <f t="shared" si="5"/>
        <v>-39.973657837130041</v>
      </c>
      <c r="BB12" s="137">
        <f t="shared" si="6"/>
        <v>-27.098155894854209</v>
      </c>
      <c r="BC12" s="137">
        <f t="shared" si="7"/>
        <v>-37.819387101508653</v>
      </c>
      <c r="BD12" s="137">
        <f t="shared" si="8"/>
        <v>-46.474439410631803</v>
      </c>
      <c r="BE12" s="137">
        <f t="shared" si="9"/>
        <v>-46.474439410631803</v>
      </c>
      <c r="BF12" s="137">
        <f t="shared" si="10"/>
        <v>0</v>
      </c>
      <c r="BG12" s="138">
        <f t="shared" si="11"/>
        <v>0</v>
      </c>
      <c r="BH12" s="138">
        <f t="shared" si="12"/>
        <v>0</v>
      </c>
      <c r="BI12" s="138">
        <f t="shared" si="13"/>
        <v>0</v>
      </c>
      <c r="BJ12" s="138">
        <f t="shared" si="14"/>
        <v>0</v>
      </c>
      <c r="BK12" s="138">
        <f t="shared" si="15"/>
        <v>0</v>
      </c>
      <c r="BL12" s="138">
        <f t="shared" si="16"/>
        <v>0</v>
      </c>
      <c r="BM12" s="139">
        <f t="shared" si="17"/>
        <v>0</v>
      </c>
      <c r="BN12" s="127"/>
      <c r="BO12" s="38" t="s">
        <v>41</v>
      </c>
      <c r="BP12" s="145">
        <f>BP13+BP14-BP11</f>
        <v>0.6472550947896849</v>
      </c>
      <c r="BQ12" s="41" t="s">
        <v>42</v>
      </c>
      <c r="BR12" s="115">
        <f>(BR11-BR10)/(BR8-BR9)</f>
        <v>76.342634527476093</v>
      </c>
      <c r="BS12" s="144">
        <f>(BS11-BS10)/(BS8-BS9)</f>
        <v>76.342634527476079</v>
      </c>
      <c r="BT12" s="127"/>
      <c r="BU12" s="127"/>
      <c r="BV12" s="133"/>
      <c r="BW12" s="133">
        <v>2</v>
      </c>
      <c r="BX12" s="133">
        <v>13</v>
      </c>
      <c r="BY12" s="133">
        <v>12</v>
      </c>
      <c r="BZ12" s="133">
        <v>7</v>
      </c>
      <c r="CA12" s="133">
        <v>10</v>
      </c>
      <c r="CB12" s="133"/>
      <c r="CC12" s="133"/>
      <c r="CD12" s="133"/>
      <c r="CE12" s="133"/>
      <c r="CF12" s="133"/>
      <c r="CG12" s="133"/>
      <c r="CH12" s="133"/>
      <c r="CI12" s="133"/>
      <c r="CJ12" s="133"/>
      <c r="CL12" s="127"/>
      <c r="CM12" s="133" t="s">
        <v>32</v>
      </c>
      <c r="CN12" s="133"/>
      <c r="CO12" s="133" t="s">
        <v>32</v>
      </c>
      <c r="CP12" s="133" t="s">
        <v>32</v>
      </c>
      <c r="CQ12" s="133" t="s">
        <v>32</v>
      </c>
      <c r="CR12" s="133" t="s">
        <v>32</v>
      </c>
      <c r="CS12" s="133"/>
      <c r="CT12" s="133"/>
      <c r="CU12" s="133"/>
      <c r="CV12" s="133"/>
      <c r="CW12" s="133"/>
      <c r="CX12" s="133"/>
      <c r="CY12" s="133"/>
      <c r="CZ12" s="133"/>
      <c r="DA12" s="133"/>
      <c r="DB12" s="127"/>
      <c r="DC12" s="127"/>
      <c r="DD12" s="133"/>
      <c r="DE12" s="133"/>
      <c r="DF12" s="133">
        <v>3</v>
      </c>
      <c r="DG12" s="133"/>
      <c r="DH12" s="133"/>
      <c r="DI12" s="133"/>
      <c r="DJ12" s="133"/>
      <c r="DK12" s="133"/>
      <c r="DL12" s="133"/>
      <c r="DM12" s="133"/>
      <c r="DN12" s="133"/>
      <c r="DO12" s="133"/>
      <c r="DP12" s="133"/>
      <c r="DQ12" s="133"/>
      <c r="DR12" s="133"/>
      <c r="DT12" s="127"/>
      <c r="DU12" s="191" cm="1">
        <f t="array" ref="DU12">_xlfn.IFS(DU$1= 0,"", NOT(ISBLANK(CM12)), 0, ISBLANK(CM12), $Q12-$S12+AY12-BV12-DD12)</f>
        <v>0</v>
      </c>
      <c r="DV12" s="192" cm="1">
        <f t="array" ref="DV12">_xlfn.IFS(DV$1= 0,"", NOT(ISBLANK(CN12)), 0, ISBLANK(CN12), $Q12-$S12+AZ12-BW12-DE12)</f>
        <v>33.2758551145699</v>
      </c>
      <c r="DW12" s="192" cm="1">
        <f t="array" ref="DW12">_xlfn.IFS(DW$1= 0,"", NOT(ISBLANK(CO12)), 0, ISBLANK(CO12), $Q12-$S12+BA12-BX12-DF12)</f>
        <v>0</v>
      </c>
      <c r="DX12" s="192" cm="1">
        <f t="array" ref="DX12">_xlfn.IFS(DX$1= 0,"", NOT(ISBLANK(CP12)), 0, ISBLANK(CP12), $Q12-$S12+BB12-BY12-DG12)</f>
        <v>0</v>
      </c>
      <c r="DY12" s="192" cm="1">
        <f t="array" ref="DY12">_xlfn.IFS(DY$1= 0,"", NOT(ISBLANK(CQ12)), 0, ISBLANK(CQ12), $Q12-$S12+BC12-BZ12-DH12)</f>
        <v>0</v>
      </c>
      <c r="DZ12" s="192" cm="1">
        <f t="array" ref="DZ12">_xlfn.IFS(DZ$1= 0,"", NOT(ISBLANK(CR12)), 0, ISBLANK(CR12), $Q12-$S12+BD12-CA12-DI12)</f>
        <v>0</v>
      </c>
      <c r="EA12" s="192" cm="1">
        <f t="array" ref="EA12">_xlfn.IFS(EA$1= 0,"", NOT(ISBLANK(CS12)), 0, ISBLANK(CS12), $Q12-$S12+BE12-CB12-DJ12)</f>
        <v>32.546160502647822</v>
      </c>
      <c r="EB12" s="192" t="str" cm="1">
        <f t="array" ref="EB12">_xlfn.IFS(EB$1= 0,"", NOT(ISBLANK(CT12)), 0, ISBLANK(CT12), $Q12-$S12+BF12-CC12-DK12)</f>
        <v/>
      </c>
      <c r="EC12" s="192" t="str" cm="1">
        <f t="array" ref="EC12">_xlfn.IFS(EC$1= 0,"", NOT(ISBLANK(CU12)), 0, ISBLANK(CU12), $Q12-$S12+BG12-CD12-DL12)</f>
        <v/>
      </c>
      <c r="ED12" s="192" t="str" cm="1">
        <f t="array" ref="ED12">_xlfn.IFS(ED$1= 0,"", NOT(ISBLANK(CV12)), 0, ISBLANK(CV12), $Q12-$S12+BH12-CE12-DM12)</f>
        <v/>
      </c>
      <c r="EE12" s="192" t="str" cm="1">
        <f t="array" ref="EE12">_xlfn.IFS(EE$1= 0,"", NOT(ISBLANK(CW12)), 0, ISBLANK(CW12), $Q12-$S12+BI12-CF12-DN12)</f>
        <v/>
      </c>
      <c r="EF12" s="192" t="str" cm="1">
        <f t="array" ref="EF12">_xlfn.IFS(EF$1= 0,"", NOT(ISBLANK(CX12)), 0, ISBLANK(CX12), $Q12-$S12+BJ12-CG12-DO12)</f>
        <v/>
      </c>
      <c r="EG12" s="192" t="str" cm="1">
        <f t="array" ref="EG12">_xlfn.IFS(EG$1= 0,"", NOT(ISBLANK(CY12)), 0, ISBLANK(CY12), $Q12-$S12+BK12-CH12-DP12)</f>
        <v/>
      </c>
      <c r="EH12" s="192" t="str" cm="1">
        <f t="array" ref="EH12">_xlfn.IFS(EH$1= 0,"", NOT(ISBLANK(CZ12)), 0, ISBLANK(CZ12), $Q12-$S12+BL12-CI12-DQ12)</f>
        <v/>
      </c>
      <c r="EI12" s="193" t="str" cm="1">
        <f t="array" ref="EI12">_xlfn.IFS(EI$1= 0,"", NOT(ISBLANK(DA12)), 0, ISBLANK(DA12), $Q12-$S12+BM12-CJ12-DR12)</f>
        <v/>
      </c>
    </row>
    <row r="13" spans="1:162" ht="17.25" customHeight="1" thickBot="1" x14ac:dyDescent="0.35">
      <c r="A13" s="183">
        <v>4</v>
      </c>
      <c r="B13" s="134" t="s">
        <v>109</v>
      </c>
      <c r="C13" s="134" t="s">
        <v>93</v>
      </c>
      <c r="D13" s="135" t="s">
        <v>86</v>
      </c>
      <c r="E13" s="166" t="s">
        <v>255</v>
      </c>
      <c r="F13" s="174"/>
      <c r="G13" s="3"/>
      <c r="H13" s="3"/>
      <c r="I13" s="3"/>
      <c r="J13" s="3"/>
      <c r="K13" s="3"/>
      <c r="L13" s="3"/>
      <c r="M13" s="178"/>
      <c r="N13" s="174">
        <v>58</v>
      </c>
      <c r="O13" s="175">
        <v>5</v>
      </c>
      <c r="P13" s="169">
        <v>1</v>
      </c>
      <c r="Q13" s="122">
        <f t="shared" si="18"/>
        <v>79.020599913279625</v>
      </c>
      <c r="R13" s="2">
        <v>2</v>
      </c>
      <c r="S13" s="2"/>
      <c r="T13" s="3">
        <v>169.49</v>
      </c>
      <c r="U13" s="3">
        <v>137.19</v>
      </c>
      <c r="V13" s="104">
        <f t="shared" si="2"/>
        <v>74</v>
      </c>
      <c r="W13" s="78">
        <v>70</v>
      </c>
      <c r="X13" s="136">
        <v>4</v>
      </c>
      <c r="Z13" s="7"/>
      <c r="AA13" s="3"/>
      <c r="AB13" s="3"/>
      <c r="AC13" s="83"/>
      <c r="AD13" s="210"/>
      <c r="AE13" s="207" t="str">
        <v/>
      </c>
      <c r="AF13" s="83"/>
      <c r="AH13" s="185" cm="1">
        <f t="array" ref="AH13">IF(OR(AH$1=0, $A13="", _xlfn.XLOOKUP(AH$1, $Z$2:$Z$18, $AD$2:$AD$18, "")=""),"",SQRT((_xlfn.XLOOKUP(AH$1,$Z$2:$Z$18,$AA$2:$AA$18)-$T13)^2+(_xlfn.XLOOKUP(AH$1,$Z$2:$Z$18,$AB$2:$AB$18)-$U13)^2+(_xlfn.XLOOKUP(AH$1,$Z$2:$Z$18,$AC$2:$AC$18-$V13)^2)))</f>
        <v>230.26931232797827</v>
      </c>
      <c r="AI13" s="124" cm="1">
        <f t="array" ref="AI13">IF(OR(AI$1=0, $A13="", _xlfn.XLOOKUP(AI$1, $Z$2:$Z$18, $AD$2:$AD$18, "")=""),"",SQRT((_xlfn.XLOOKUP(AI$1,$Z$2:$Z$18,$AA$2:$AA$18)-$T13)^2+(_xlfn.XLOOKUP(AI$1,$Z$2:$Z$18,$AB$2:$AB$18)-$U13)^2+(_xlfn.XLOOKUP(AI$1,$Z$2:$Z$18,$AC$2:$AC$18-$V13)^2)))</f>
        <v>145.92336687453454</v>
      </c>
      <c r="AJ13" s="124" cm="1">
        <f t="array" ref="AJ13">IF(OR(AJ$1=0, $A13="", _xlfn.XLOOKUP(AJ$1, $Z$2:$Z$18, $AD$2:$AD$18, "")=""),"",SQRT((_xlfn.XLOOKUP(AJ$1,$Z$2:$Z$18,$AA$2:$AA$18)-$T13)^2+(_xlfn.XLOOKUP(AJ$1,$Z$2:$Z$18,$AB$2:$AB$18)-$U13)^2+(_xlfn.XLOOKUP(AJ$1,$Z$2:$Z$18,$AC$2:$AC$18-$V13)^2)))</f>
        <v>111.76248610334328</v>
      </c>
      <c r="AK13" s="124" cm="1">
        <f t="array" ref="AK13">IF(OR(AK$1=0, $A13="", _xlfn.XLOOKUP(AK$1, $Z$2:$Z$18, $AD$2:$AD$18, "")=""),"",SQRT((_xlfn.XLOOKUP(AK$1,$Z$2:$Z$18,$AA$2:$AA$18)-$T13)^2+(_xlfn.XLOOKUP(AK$1,$Z$2:$Z$18,$AB$2:$AB$18)-$U13)^2+(_xlfn.XLOOKUP(AK$1,$Z$2:$Z$18,$AC$2:$AC$18-$V13)^2)))</f>
        <v>124.93176737723675</v>
      </c>
      <c r="AL13" s="124" cm="1">
        <f t="array" ref="AL13">IF(OR(AL$1=0, $A13="", _xlfn.XLOOKUP(AL$1, $Z$2:$Z$18, $AD$2:$AD$18, "")=""),"",SQRT((_xlfn.XLOOKUP(AL$1,$Z$2:$Z$18,$AA$2:$AA$18)-$T13)^2+(_xlfn.XLOOKUP(AL$1,$Z$2:$Z$18,$AB$2:$AB$18)-$U13)^2+(_xlfn.XLOOKUP(AL$1,$Z$2:$Z$18,$AC$2:$AC$18-$V13)^2)))</f>
        <v>159.4939701054557</v>
      </c>
      <c r="AM13" s="124" cm="1">
        <f t="array" ref="AM13">IF(OR(AM$1=0, $A13="", _xlfn.XLOOKUP(AM$1, $Z$2:$Z$18, $AD$2:$AD$18, "")=""),"",SQRT((_xlfn.XLOOKUP(AM$1,$Z$2:$Z$18,$AA$2:$AA$18)-$T13)^2+(_xlfn.XLOOKUP(AM$1,$Z$2:$Z$18,$AB$2:$AB$18)-$U13)^2+(_xlfn.XLOOKUP(AM$1,$Z$2:$Z$18,$AC$2:$AC$18-$V13)^2)))</f>
        <v>175.55727612377677</v>
      </c>
      <c r="AN13" s="124" cm="1">
        <f t="array" ref="AN13">IF(OR(AN$1=0, $A13="", _xlfn.XLOOKUP(AN$1, $Z$2:$Z$18, $AD$2:$AD$18, "")=""),"",SQRT((_xlfn.XLOOKUP(AN$1,$Z$2:$Z$18,$AA$2:$AA$18)-$T13)^2+(_xlfn.XLOOKUP(AN$1,$Z$2:$Z$18,$AB$2:$AB$18)-$U13)^2+(_xlfn.XLOOKUP(AN$1,$Z$2:$Z$18,$AC$2:$AC$18-$V13)^2)))</f>
        <v>175.55727612377677</v>
      </c>
      <c r="AO13" s="124" t="str" cm="1">
        <f t="array" ref="AO13">IF(OR(AO$1=0, $A13="", _xlfn.XLOOKUP(AO$1, $Z$2:$Z$18, $AD$2:$AD$18, "")=""),"",SQRT((_xlfn.XLOOKUP(AO$1,$Z$2:$Z$18,$AA$2:$AA$18)-$T13)^2+(_xlfn.XLOOKUP(AO$1,$Z$2:$Z$18,$AB$2:$AB$18)-$U13)^2+(_xlfn.XLOOKUP(AO$1,$Z$2:$Z$18,$AC$2:$AC$18-$V13)^2)))</f>
        <v/>
      </c>
      <c r="AP13" s="125" t="str" cm="1">
        <f t="array" ref="AP13">IF(OR(AP$1=0, $A13="", _xlfn.XLOOKUP(AP$1, $Z$2:$Z$18, $AD$2:$AD$18, "")=""),"",SQRT((_xlfn.XLOOKUP(AP$1,$Z$2:$Z$18,$AA$2:$AA$18)-$T13)^2+(_xlfn.XLOOKUP(AP$1,$Z$2:$Z$18,$AB$2:$AB$18)-$U13)^2+(_xlfn.XLOOKUP(AP$1,$Z$2:$Z$18,$AC$2:$AC$18-$V13)^2)))</f>
        <v/>
      </c>
      <c r="AQ13" s="125" t="str" cm="1">
        <f t="array" ref="AQ13">IF(OR(AQ$1=0, $A13="", _xlfn.XLOOKUP(AQ$1, $Z$2:$Z$18, $AD$2:$AD$18, "")=""),"",SQRT((_xlfn.XLOOKUP(AQ$1,$Z$2:$Z$18,$AA$2:$AA$18)-$T13)^2+(_xlfn.XLOOKUP(AQ$1,$Z$2:$Z$18,$AB$2:$AB$18)-$U13)^2+(_xlfn.XLOOKUP(AQ$1,$Z$2:$Z$18,$AC$2:$AC$18-$V13)^2)))</f>
        <v/>
      </c>
      <c r="AR13" s="125" t="str" cm="1">
        <f t="array" ref="AR13">IF(OR(AR$1=0, $A13="", _xlfn.XLOOKUP(AR$1, $Z$2:$Z$18, $AD$2:$AD$18, "")=""),"",SQRT((_xlfn.XLOOKUP(AR$1,$Z$2:$Z$18,$AA$2:$AA$18)-$T13)^2+(_xlfn.XLOOKUP(AR$1,$Z$2:$Z$18,$AB$2:$AB$18)-$U13)^2+(_xlfn.XLOOKUP(AR$1,$Z$2:$Z$18,$AC$2:$AC$18-$V13)^2)))</f>
        <v/>
      </c>
      <c r="AS13" s="125" t="str" cm="1">
        <f t="array" ref="AS13">IF(OR(AS$1=0, $A13="", _xlfn.XLOOKUP(AS$1, $Z$2:$Z$18, $AD$2:$AD$18, "")=""),"",SQRT((_xlfn.XLOOKUP(AS$1,$Z$2:$Z$18,$AA$2:$AA$18)-$T13)^2+(_xlfn.XLOOKUP(AS$1,$Z$2:$Z$18,$AB$2:$AB$18)-$U13)^2+(_xlfn.XLOOKUP(AS$1,$Z$2:$Z$18,$AC$2:$AC$18-$V13)^2)))</f>
        <v/>
      </c>
      <c r="AT13" s="125" t="str" cm="1">
        <f t="array" ref="AT13">IF(OR(AT$1=0, $A13="", _xlfn.XLOOKUP(AT$1, $Z$2:$Z$18, $AD$2:$AD$18, "")=""),"",SQRT((_xlfn.XLOOKUP(AT$1,$Z$2:$Z$18,$AA$2:$AA$18)-$T13)^2+(_xlfn.XLOOKUP(AT$1,$Z$2:$Z$18,$AB$2:$AB$18)-$U13)^2+(_xlfn.XLOOKUP(AT$1,$Z$2:$Z$18,$AC$2:$AC$18-$V13)^2)))</f>
        <v/>
      </c>
      <c r="AU13" s="125" t="str" cm="1">
        <f t="array" ref="AU13">IF(OR(AU$1=0, $A13="", _xlfn.XLOOKUP(AU$1, $Z$2:$Z$18, $AD$2:$AD$18, "")=""),"",SQRT((_xlfn.XLOOKUP(AU$1,$Z$2:$Z$18,$AA$2:$AA$18)-$T13)^2+(_xlfn.XLOOKUP(AU$1,$Z$2:$Z$18,$AB$2:$AB$18)-$U13)^2+(_xlfn.XLOOKUP(AU$1,$Z$2:$Z$18,$AC$2:$AC$18-$V13)^2)))</f>
        <v/>
      </c>
      <c r="AV13" s="126" t="str" cm="1">
        <f t="array" ref="AV13">IF(OR(AV$1=0, $A13="", _xlfn.XLOOKUP(AV$1, $Z$2:$Z$18, $AD$2:$AD$18, "")=""),"",SQRT((_xlfn.XLOOKUP(AV$1,$Z$2:$Z$18,$AA$2:$AA$18)-$T13)^2+(_xlfn.XLOOKUP(AV$1,$Z$2:$Z$18,$AB$2:$AB$18)-$U13)^2+(_xlfn.XLOOKUP(AV$1,$Z$2:$Z$18,$AC$2:$AC$18-$V13)^2)))</f>
        <v/>
      </c>
      <c r="AW13" s="127"/>
      <c r="AX13" s="127"/>
      <c r="AY13" s="128">
        <f t="shared" si="3"/>
        <v>-44.906819216872705</v>
      </c>
      <c r="AZ13" s="137">
        <f t="shared" si="4"/>
        <v>-40.944594767551621</v>
      </c>
      <c r="BA13" s="137">
        <f t="shared" si="5"/>
        <v>-38.628019014687453</v>
      </c>
      <c r="BB13" s="137">
        <f t="shared" si="6"/>
        <v>-39.595555614332</v>
      </c>
      <c r="BC13" s="137">
        <f t="shared" si="7"/>
        <v>-41.716983308692434</v>
      </c>
      <c r="BD13" s="137">
        <f t="shared" si="8"/>
        <v>-42.550474614659713</v>
      </c>
      <c r="BE13" s="137">
        <f t="shared" si="9"/>
        <v>-42.550474614659713</v>
      </c>
      <c r="BF13" s="137">
        <f t="shared" si="10"/>
        <v>0</v>
      </c>
      <c r="BG13" s="138">
        <f t="shared" si="11"/>
        <v>0</v>
      </c>
      <c r="BH13" s="138">
        <f t="shared" si="12"/>
        <v>0</v>
      </c>
      <c r="BI13" s="138">
        <f t="shared" si="13"/>
        <v>0</v>
      </c>
      <c r="BJ13" s="138">
        <f t="shared" si="14"/>
        <v>0</v>
      </c>
      <c r="BK13" s="138">
        <f t="shared" si="15"/>
        <v>0</v>
      </c>
      <c r="BL13" s="138">
        <f t="shared" si="16"/>
        <v>0</v>
      </c>
      <c r="BM13" s="139">
        <f t="shared" si="17"/>
        <v>0</v>
      </c>
      <c r="BN13" s="127"/>
      <c r="BO13" s="38" t="s">
        <v>43</v>
      </c>
      <c r="BP13" s="147">
        <f>SQRT((BP21-BS4)^2+(BP9)^2)</f>
        <v>28.245170489647123</v>
      </c>
      <c r="BQ13" s="43" t="s">
        <v>44</v>
      </c>
      <c r="BR13" s="116">
        <f>(BR8*BR12)+BR10</f>
        <v>94.28366873075052</v>
      </c>
      <c r="BS13" s="148">
        <f>(BS8*BS12)+BS10</f>
        <v>94.28366873075052</v>
      </c>
      <c r="BT13" s="127"/>
      <c r="BU13" s="127"/>
      <c r="BV13" s="133"/>
      <c r="BW13" s="133">
        <v>8</v>
      </c>
      <c r="BX13" s="133">
        <v>14</v>
      </c>
      <c r="BY13" s="133">
        <v>15</v>
      </c>
      <c r="BZ13" s="133">
        <v>8</v>
      </c>
      <c r="CA13" s="133">
        <v>4</v>
      </c>
      <c r="CB13" s="133"/>
      <c r="CC13" s="133"/>
      <c r="CD13" s="133"/>
      <c r="CE13" s="133"/>
      <c r="CF13" s="133"/>
      <c r="CG13" s="133"/>
      <c r="CH13" s="133"/>
      <c r="CI13" s="133"/>
      <c r="CJ13" s="133"/>
      <c r="CL13" s="127"/>
      <c r="CM13" s="133" t="s">
        <v>32</v>
      </c>
      <c r="CN13" s="133"/>
      <c r="CO13" s="133" t="s">
        <v>32</v>
      </c>
      <c r="CP13" s="133" t="s">
        <v>32</v>
      </c>
      <c r="CQ13" s="133" t="s">
        <v>32</v>
      </c>
      <c r="CR13" s="133" t="s">
        <v>32</v>
      </c>
      <c r="CS13" s="133"/>
      <c r="CT13" s="133"/>
      <c r="CU13" s="133"/>
      <c r="CV13" s="133"/>
      <c r="CW13" s="133"/>
      <c r="CX13" s="133"/>
      <c r="CY13" s="133"/>
      <c r="CZ13" s="133"/>
      <c r="DA13" s="133"/>
      <c r="DB13" s="127"/>
      <c r="DC13" s="127"/>
      <c r="DD13" s="133"/>
      <c r="DE13" s="133">
        <v>3</v>
      </c>
      <c r="DF13" s="133">
        <v>3</v>
      </c>
      <c r="DG13" s="133"/>
      <c r="DH13" s="133"/>
      <c r="DI13" s="133"/>
      <c r="DJ13" s="133"/>
      <c r="DK13" s="133"/>
      <c r="DL13" s="133"/>
      <c r="DM13" s="133"/>
      <c r="DN13" s="133"/>
      <c r="DO13" s="133"/>
      <c r="DP13" s="133"/>
      <c r="DQ13" s="133"/>
      <c r="DR13" s="133"/>
      <c r="DT13" s="127"/>
      <c r="DU13" s="191" cm="1">
        <f t="array" ref="DU13">_xlfn.IFS(DU$1= 0,"", NOT(ISBLANK(CM13)), 0, ISBLANK(CM13), $Q13-$S13+AY13-BV13-DD13)</f>
        <v>0</v>
      </c>
      <c r="DV13" s="192" cm="1">
        <f t="array" ref="DV13">_xlfn.IFS(DV$1= 0,"", NOT(ISBLANK(CN13)), 0, ISBLANK(CN13), $Q13-$S13+AZ13-BW13-DE13)</f>
        <v>27.076005145728004</v>
      </c>
      <c r="DW13" s="192" cm="1">
        <f t="array" ref="DW13">_xlfn.IFS(DW$1= 0,"", NOT(ISBLANK(CO13)), 0, ISBLANK(CO13), $Q13-$S13+BA13-BX13-DF13)</f>
        <v>0</v>
      </c>
      <c r="DX13" s="192" cm="1">
        <f t="array" ref="DX13">_xlfn.IFS(DX$1= 0,"", NOT(ISBLANK(CP13)), 0, ISBLANK(CP13), $Q13-$S13+BB13-BY13-DG13)</f>
        <v>0</v>
      </c>
      <c r="DY13" s="192" cm="1">
        <f t="array" ref="DY13">_xlfn.IFS(DY$1= 0,"", NOT(ISBLANK(CQ13)), 0, ISBLANK(CQ13), $Q13-$S13+BC13-BZ13-DH13)</f>
        <v>0</v>
      </c>
      <c r="DZ13" s="192" cm="1">
        <f t="array" ref="DZ13">_xlfn.IFS(DZ$1= 0,"", NOT(ISBLANK(CR13)), 0, ISBLANK(CR13), $Q13-$S13+BD13-CA13-DI13)</f>
        <v>0</v>
      </c>
      <c r="EA13" s="192" cm="1">
        <f t="array" ref="EA13">_xlfn.IFS(EA$1= 0,"", NOT(ISBLANK(CS13)), 0, ISBLANK(CS13), $Q13-$S13+BE13-CB13-DJ13)</f>
        <v>36.470125298619912</v>
      </c>
      <c r="EB13" s="192" t="str" cm="1">
        <f t="array" ref="EB13">_xlfn.IFS(EB$1= 0,"", NOT(ISBLANK(CT13)), 0, ISBLANK(CT13), $Q13-$S13+BF13-CC13-DK13)</f>
        <v/>
      </c>
      <c r="EC13" s="192" t="str" cm="1">
        <f t="array" ref="EC13">_xlfn.IFS(EC$1= 0,"", NOT(ISBLANK(CU13)), 0, ISBLANK(CU13), $Q13-$S13+BG13-CD13-DL13)</f>
        <v/>
      </c>
      <c r="ED13" s="192" t="str" cm="1">
        <f t="array" ref="ED13">_xlfn.IFS(ED$1= 0,"", NOT(ISBLANK(CV13)), 0, ISBLANK(CV13), $Q13-$S13+BH13-CE13-DM13)</f>
        <v/>
      </c>
      <c r="EE13" s="192" t="str" cm="1">
        <f t="array" ref="EE13">_xlfn.IFS(EE$1= 0,"", NOT(ISBLANK(CW13)), 0, ISBLANK(CW13), $Q13-$S13+BI13-CF13-DN13)</f>
        <v/>
      </c>
      <c r="EF13" s="192" t="str" cm="1">
        <f t="array" ref="EF13">_xlfn.IFS(EF$1= 0,"", NOT(ISBLANK(CX13)), 0, ISBLANK(CX13), $Q13-$S13+BJ13-CG13-DO13)</f>
        <v/>
      </c>
      <c r="EG13" s="192" t="str" cm="1">
        <f t="array" ref="EG13">_xlfn.IFS(EG$1= 0,"", NOT(ISBLANK(CY13)), 0, ISBLANK(CY13), $Q13-$S13+BK13-CH13-DP13)</f>
        <v/>
      </c>
      <c r="EH13" s="192" t="str" cm="1">
        <f t="array" ref="EH13">_xlfn.IFS(EH$1= 0,"", NOT(ISBLANK(CZ13)), 0, ISBLANK(CZ13), $Q13-$S13+BL13-CI13-DQ13)</f>
        <v/>
      </c>
      <c r="EI13" s="193" t="str" cm="1">
        <f t="array" ref="EI13">_xlfn.IFS(EI$1= 0,"", NOT(ISBLANK(DA13)), 0, ISBLANK(DA13), $Q13-$S13+BM13-CJ13-DR13)</f>
        <v/>
      </c>
    </row>
    <row r="14" spans="1:162" ht="17.25" customHeight="1" thickBot="1" x14ac:dyDescent="0.35">
      <c r="A14" s="183">
        <v>4</v>
      </c>
      <c r="B14" s="134" t="s">
        <v>110</v>
      </c>
      <c r="C14" s="134" t="s">
        <v>93</v>
      </c>
      <c r="D14" s="135" t="s">
        <v>86</v>
      </c>
      <c r="E14" s="166" t="s">
        <v>255</v>
      </c>
      <c r="F14" s="174"/>
      <c r="G14" s="3"/>
      <c r="H14" s="3"/>
      <c r="I14" s="3"/>
      <c r="J14" s="3"/>
      <c r="K14" s="3"/>
      <c r="L14" s="3"/>
      <c r="M14" s="178"/>
      <c r="N14" s="174">
        <v>58</v>
      </c>
      <c r="O14" s="175">
        <v>5</v>
      </c>
      <c r="P14" s="169">
        <v>1</v>
      </c>
      <c r="Q14" s="122">
        <f t="shared" si="18"/>
        <v>79.020599913279625</v>
      </c>
      <c r="R14" s="2">
        <v>2</v>
      </c>
      <c r="S14" s="2"/>
      <c r="T14" s="3">
        <v>156.19</v>
      </c>
      <c r="U14" s="3">
        <v>104.51</v>
      </c>
      <c r="V14" s="104">
        <f t="shared" si="2"/>
        <v>74</v>
      </c>
      <c r="W14" s="78">
        <v>70</v>
      </c>
      <c r="X14" s="136">
        <v>4</v>
      </c>
      <c r="Z14" s="7"/>
      <c r="AA14" s="3"/>
      <c r="AB14" s="3"/>
      <c r="AC14" s="83"/>
      <c r="AD14" s="210"/>
      <c r="AE14" s="207" t="str">
        <v/>
      </c>
      <c r="AF14" s="83"/>
      <c r="AH14" s="185" cm="1">
        <f t="array" ref="AH14">IF(OR(AH$1=0, $A14="", _xlfn.XLOOKUP(AH$1, $Z$2:$Z$18, $AD$2:$AD$18, "")=""),"",SQRT((_xlfn.XLOOKUP(AH$1,$Z$2:$Z$18,$AA$2:$AA$18)-$T14)^2+(_xlfn.XLOOKUP(AH$1,$Z$2:$Z$18,$AB$2:$AB$18)-$U14)^2+(_xlfn.XLOOKUP(AH$1,$Z$2:$Z$18,$AC$2:$AC$18-$V14)^2)))</f>
        <v>201.97439491183033</v>
      </c>
      <c r="AI14" s="124" cm="1">
        <f t="array" ref="AI14">IF(OR(AI$1=0, $A14="", _xlfn.XLOOKUP(AI$1, $Z$2:$Z$18, $AD$2:$AD$18, "")=""),"",SQRT((_xlfn.XLOOKUP(AI$1,$Z$2:$Z$18,$AA$2:$AA$18)-$T14)^2+(_xlfn.XLOOKUP(AI$1,$Z$2:$Z$18,$AB$2:$AB$18)-$U14)^2+(_xlfn.XLOOKUP(AI$1,$Z$2:$Z$18,$AC$2:$AC$18-$V14)^2)))</f>
        <v>124.67838706046849</v>
      </c>
      <c r="AJ14" s="124" cm="1">
        <f t="array" ref="AJ14">IF(OR(AJ$1=0, $A14="", _xlfn.XLOOKUP(AJ$1, $Z$2:$Z$18, $AD$2:$AD$18, "")=""),"",SQRT((_xlfn.XLOOKUP(AJ$1,$Z$2:$Z$18,$AA$2:$AA$18)-$T14)^2+(_xlfn.XLOOKUP(AJ$1,$Z$2:$Z$18,$AB$2:$AB$18)-$U14)^2+(_xlfn.XLOOKUP(AJ$1,$Z$2:$Z$18,$AC$2:$AC$18-$V14)^2)))</f>
        <v>80.576004492652771</v>
      </c>
      <c r="AK14" s="124" cm="1">
        <f t="array" ref="AK14">IF(OR(AK$1=0, $A14="", _xlfn.XLOOKUP(AK$1, $Z$2:$Z$18, $AD$2:$AD$18, "")=""),"",SQRT((_xlfn.XLOOKUP(AK$1,$Z$2:$Z$18,$AA$2:$AA$18)-$T14)^2+(_xlfn.XLOOKUP(AK$1,$Z$2:$Z$18,$AB$2:$AB$18)-$U14)^2+(_xlfn.XLOOKUP(AK$1,$Z$2:$Z$18,$AC$2:$AC$18-$V14)^2)))</f>
        <v>103.05684111207756</v>
      </c>
      <c r="AL14" s="124" cm="1">
        <f t="array" ref="AL14">IF(OR(AL$1=0, $A14="", _xlfn.XLOOKUP(AL$1, $Z$2:$Z$18, $AD$2:$AD$18, "")=""),"",SQRT((_xlfn.XLOOKUP(AL$1,$Z$2:$Z$18,$AA$2:$AA$18)-$T14)^2+(_xlfn.XLOOKUP(AL$1,$Z$2:$Z$18,$AB$2:$AB$18)-$U14)^2+(_xlfn.XLOOKUP(AL$1,$Z$2:$Z$18,$AC$2:$AC$18-$V14)^2)))</f>
        <v>165.2071744810134</v>
      </c>
      <c r="AM14" s="124" cm="1">
        <f t="array" ref="AM14">IF(OR(AM$1=0, $A14="", _xlfn.XLOOKUP(AM$1, $Z$2:$Z$18, $AD$2:$AD$18, "")=""),"",SQRT((_xlfn.XLOOKUP(AM$1,$Z$2:$Z$18,$AA$2:$AA$18)-$T14)^2+(_xlfn.XLOOKUP(AM$1,$Z$2:$Z$18,$AB$2:$AB$18)-$U14)^2+(_xlfn.XLOOKUP(AM$1,$Z$2:$Z$18,$AC$2:$AC$18-$V14)^2)))</f>
        <v>181.5062092601793</v>
      </c>
      <c r="AN14" s="124" cm="1">
        <f t="array" ref="AN14">IF(OR(AN$1=0, $A14="", _xlfn.XLOOKUP(AN$1, $Z$2:$Z$18, $AD$2:$AD$18, "")=""),"",SQRT((_xlfn.XLOOKUP(AN$1,$Z$2:$Z$18,$AA$2:$AA$18)-$T14)^2+(_xlfn.XLOOKUP(AN$1,$Z$2:$Z$18,$AB$2:$AB$18)-$U14)^2+(_xlfn.XLOOKUP(AN$1,$Z$2:$Z$18,$AC$2:$AC$18-$V14)^2)))</f>
        <v>181.5062092601793</v>
      </c>
      <c r="AO14" s="124" t="str" cm="1">
        <f t="array" ref="AO14">IF(OR(AO$1=0, $A14="", _xlfn.XLOOKUP(AO$1, $Z$2:$Z$18, $AD$2:$AD$18, "")=""),"",SQRT((_xlfn.XLOOKUP(AO$1,$Z$2:$Z$18,$AA$2:$AA$18)-$T14)^2+(_xlfn.XLOOKUP(AO$1,$Z$2:$Z$18,$AB$2:$AB$18)-$U14)^2+(_xlfn.XLOOKUP(AO$1,$Z$2:$Z$18,$AC$2:$AC$18-$V14)^2)))</f>
        <v/>
      </c>
      <c r="AP14" s="125" t="str" cm="1">
        <f t="array" ref="AP14">IF(OR(AP$1=0, $A14="", _xlfn.XLOOKUP(AP$1, $Z$2:$Z$18, $AD$2:$AD$18, "")=""),"",SQRT((_xlfn.XLOOKUP(AP$1,$Z$2:$Z$18,$AA$2:$AA$18)-$T14)^2+(_xlfn.XLOOKUP(AP$1,$Z$2:$Z$18,$AB$2:$AB$18)-$U14)^2+(_xlfn.XLOOKUP(AP$1,$Z$2:$Z$18,$AC$2:$AC$18-$V14)^2)))</f>
        <v/>
      </c>
      <c r="AQ14" s="125" t="str" cm="1">
        <f t="array" ref="AQ14">IF(OR(AQ$1=0, $A14="", _xlfn.XLOOKUP(AQ$1, $Z$2:$Z$18, $AD$2:$AD$18, "")=""),"",SQRT((_xlfn.XLOOKUP(AQ$1,$Z$2:$Z$18,$AA$2:$AA$18)-$T14)^2+(_xlfn.XLOOKUP(AQ$1,$Z$2:$Z$18,$AB$2:$AB$18)-$U14)^2+(_xlfn.XLOOKUP(AQ$1,$Z$2:$Z$18,$AC$2:$AC$18-$V14)^2)))</f>
        <v/>
      </c>
      <c r="AR14" s="125" t="str" cm="1">
        <f t="array" ref="AR14">IF(OR(AR$1=0, $A14="", _xlfn.XLOOKUP(AR$1, $Z$2:$Z$18, $AD$2:$AD$18, "")=""),"",SQRT((_xlfn.XLOOKUP(AR$1,$Z$2:$Z$18,$AA$2:$AA$18)-$T14)^2+(_xlfn.XLOOKUP(AR$1,$Z$2:$Z$18,$AB$2:$AB$18)-$U14)^2+(_xlfn.XLOOKUP(AR$1,$Z$2:$Z$18,$AC$2:$AC$18-$V14)^2)))</f>
        <v/>
      </c>
      <c r="AS14" s="125" t="str" cm="1">
        <f t="array" ref="AS14">IF(OR(AS$1=0, $A14="", _xlfn.XLOOKUP(AS$1, $Z$2:$Z$18, $AD$2:$AD$18, "")=""),"",SQRT((_xlfn.XLOOKUP(AS$1,$Z$2:$Z$18,$AA$2:$AA$18)-$T14)^2+(_xlfn.XLOOKUP(AS$1,$Z$2:$Z$18,$AB$2:$AB$18)-$U14)^2+(_xlfn.XLOOKUP(AS$1,$Z$2:$Z$18,$AC$2:$AC$18-$V14)^2)))</f>
        <v/>
      </c>
      <c r="AT14" s="125" t="str" cm="1">
        <f t="array" ref="AT14">IF(OR(AT$1=0, $A14="", _xlfn.XLOOKUP(AT$1, $Z$2:$Z$18, $AD$2:$AD$18, "")=""),"",SQRT((_xlfn.XLOOKUP(AT$1,$Z$2:$Z$18,$AA$2:$AA$18)-$T14)^2+(_xlfn.XLOOKUP(AT$1,$Z$2:$Z$18,$AB$2:$AB$18)-$U14)^2+(_xlfn.XLOOKUP(AT$1,$Z$2:$Z$18,$AC$2:$AC$18-$V14)^2)))</f>
        <v/>
      </c>
      <c r="AU14" s="125" t="str" cm="1">
        <f t="array" ref="AU14">IF(OR(AU$1=0, $A14="", _xlfn.XLOOKUP(AU$1, $Z$2:$Z$18, $AD$2:$AD$18, "")=""),"",SQRT((_xlfn.XLOOKUP(AU$1,$Z$2:$Z$18,$AA$2:$AA$18)-$T14)^2+(_xlfn.XLOOKUP(AU$1,$Z$2:$Z$18,$AB$2:$AB$18)-$U14)^2+(_xlfn.XLOOKUP(AU$1,$Z$2:$Z$18,$AC$2:$AC$18-$V14)^2)))</f>
        <v/>
      </c>
      <c r="AV14" s="126" t="str" cm="1">
        <f t="array" ref="AV14">IF(OR(AV$1=0, $A14="", _xlfn.XLOOKUP(AV$1, $Z$2:$Z$18, $AD$2:$AD$18, "")=""),"",SQRT((_xlfn.XLOOKUP(AV$1,$Z$2:$Z$18,$AA$2:$AA$18)-$T14)^2+(_xlfn.XLOOKUP(AV$1,$Z$2:$Z$18,$AB$2:$AB$18)-$U14)^2+(_xlfn.XLOOKUP(AV$1,$Z$2:$Z$18,$AC$2:$AC$18-$V14)^2)))</f>
        <v/>
      </c>
      <c r="AW14" s="127"/>
      <c r="AX14" s="127"/>
      <c r="AY14" s="128">
        <f t="shared" si="3"/>
        <v>-43.768024251276422</v>
      </c>
      <c r="AZ14" s="137">
        <f t="shared" si="4"/>
        <v>-39.577921442126105</v>
      </c>
      <c r="BA14" s="137">
        <f t="shared" si="5"/>
        <v>-35.786212503064036</v>
      </c>
      <c r="BB14" s="137">
        <f t="shared" si="6"/>
        <v>-37.923634464498747</v>
      </c>
      <c r="BC14" s="137">
        <f t="shared" si="7"/>
        <v>-42.022676008466853</v>
      </c>
      <c r="BD14" s="137">
        <f t="shared" si="8"/>
        <v>-42.839927670524496</v>
      </c>
      <c r="BE14" s="137">
        <f t="shared" si="9"/>
        <v>-42.839927670524496</v>
      </c>
      <c r="BF14" s="137">
        <f t="shared" si="10"/>
        <v>0</v>
      </c>
      <c r="BG14" s="138">
        <f t="shared" si="11"/>
        <v>0</v>
      </c>
      <c r="BH14" s="138">
        <f t="shared" si="12"/>
        <v>0</v>
      </c>
      <c r="BI14" s="138">
        <f t="shared" si="13"/>
        <v>0</v>
      </c>
      <c r="BJ14" s="138">
        <f t="shared" si="14"/>
        <v>0</v>
      </c>
      <c r="BK14" s="138">
        <f t="shared" si="15"/>
        <v>0</v>
      </c>
      <c r="BL14" s="138">
        <f t="shared" si="16"/>
        <v>0</v>
      </c>
      <c r="BM14" s="139">
        <f t="shared" si="17"/>
        <v>0</v>
      </c>
      <c r="BN14" s="127"/>
      <c r="BO14" s="46" t="s">
        <v>45</v>
      </c>
      <c r="BP14" s="146">
        <f>SQRT((BP21-BS5)^2+(BP10)^2)</f>
        <v>45.139889768619959</v>
      </c>
      <c r="BQ14" s="18"/>
      <c r="BR14" s="18" t="s">
        <v>46</v>
      </c>
      <c r="BS14" s="18" t="s">
        <v>47</v>
      </c>
      <c r="BT14" s="127"/>
      <c r="BU14" s="127"/>
      <c r="BV14" s="133"/>
      <c r="BW14" s="133">
        <v>6</v>
      </c>
      <c r="BX14" s="133">
        <v>8</v>
      </c>
      <c r="BY14" s="133">
        <v>12</v>
      </c>
      <c r="BZ14" s="133">
        <v>10</v>
      </c>
      <c r="CA14" s="133">
        <v>8</v>
      </c>
      <c r="CB14" s="133"/>
      <c r="CC14" s="133"/>
      <c r="CD14" s="133"/>
      <c r="CE14" s="133"/>
      <c r="CF14" s="133"/>
      <c r="CG14" s="133"/>
      <c r="CH14" s="133"/>
      <c r="CI14" s="133"/>
      <c r="CJ14" s="133"/>
      <c r="CL14" s="127"/>
      <c r="CM14" s="133" t="s">
        <v>32</v>
      </c>
      <c r="CN14" s="133"/>
      <c r="CO14" s="133" t="s">
        <v>32</v>
      </c>
      <c r="CP14" s="133" t="s">
        <v>32</v>
      </c>
      <c r="CQ14" s="133" t="s">
        <v>32</v>
      </c>
      <c r="CR14" s="133" t="s">
        <v>32</v>
      </c>
      <c r="CS14" s="133"/>
      <c r="CT14" s="133"/>
      <c r="CU14" s="133"/>
      <c r="CV14" s="133"/>
      <c r="CW14" s="133"/>
      <c r="CX14" s="133"/>
      <c r="CY14" s="133"/>
      <c r="CZ14" s="133"/>
      <c r="DA14" s="133"/>
      <c r="DB14" s="127"/>
      <c r="DC14" s="127"/>
      <c r="DD14" s="133"/>
      <c r="DE14" s="133"/>
      <c r="DF14" s="133">
        <v>3</v>
      </c>
      <c r="DG14" s="133"/>
      <c r="DH14" s="133"/>
      <c r="DI14" s="133"/>
      <c r="DJ14" s="133"/>
      <c r="DK14" s="133"/>
      <c r="DL14" s="133"/>
      <c r="DM14" s="133"/>
      <c r="DN14" s="133"/>
      <c r="DO14" s="133"/>
      <c r="DP14" s="133"/>
      <c r="DQ14" s="133"/>
      <c r="DR14" s="133"/>
      <c r="DT14" s="127"/>
      <c r="DU14" s="191" cm="1">
        <f t="array" ref="DU14">_xlfn.IFS(DU$1= 0,"", NOT(ISBLANK(CM14)), 0, ISBLANK(CM14), $Q14-$S14+AY14-BV14-DD14)</f>
        <v>0</v>
      </c>
      <c r="DV14" s="192" cm="1">
        <f t="array" ref="DV14">_xlfn.IFS(DV$1= 0,"", NOT(ISBLANK(CN14)), 0, ISBLANK(CN14), $Q14-$S14+AZ14-BW14-DE14)</f>
        <v>33.442678471153521</v>
      </c>
      <c r="DW14" s="192" cm="1">
        <f t="array" ref="DW14">_xlfn.IFS(DW$1= 0,"", NOT(ISBLANK(CO14)), 0, ISBLANK(CO14), $Q14-$S14+BA14-BX14-DF14)</f>
        <v>0</v>
      </c>
      <c r="DX14" s="192" cm="1">
        <f t="array" ref="DX14">_xlfn.IFS(DX$1= 0,"", NOT(ISBLANK(CP14)), 0, ISBLANK(CP14), $Q14-$S14+BB14-BY14-DG14)</f>
        <v>0</v>
      </c>
      <c r="DY14" s="192" cm="1">
        <f t="array" ref="DY14">_xlfn.IFS(DY$1= 0,"", NOT(ISBLANK(CQ14)), 0, ISBLANK(CQ14), $Q14-$S14+BC14-BZ14-DH14)</f>
        <v>0</v>
      </c>
      <c r="DZ14" s="192" cm="1">
        <f t="array" ref="DZ14">_xlfn.IFS(DZ$1= 0,"", NOT(ISBLANK(CR14)), 0, ISBLANK(CR14), $Q14-$S14+BD14-CA14-DI14)</f>
        <v>0</v>
      </c>
      <c r="EA14" s="192" cm="1">
        <f t="array" ref="EA14">_xlfn.IFS(EA$1= 0,"", NOT(ISBLANK(CS14)), 0, ISBLANK(CS14), $Q14-$S14+BE14-CB14-DJ14)</f>
        <v>36.180672242755129</v>
      </c>
      <c r="EB14" s="192" t="str" cm="1">
        <f t="array" ref="EB14">_xlfn.IFS(EB$1= 0,"", NOT(ISBLANK(CT14)), 0, ISBLANK(CT14), $Q14-$S14+BF14-CC14-DK14)</f>
        <v/>
      </c>
      <c r="EC14" s="192" t="str" cm="1">
        <f t="array" ref="EC14">_xlfn.IFS(EC$1= 0,"", NOT(ISBLANK(CU14)), 0, ISBLANK(CU14), $Q14-$S14+BG14-CD14-DL14)</f>
        <v/>
      </c>
      <c r="ED14" s="192" t="str" cm="1">
        <f t="array" ref="ED14">_xlfn.IFS(ED$1= 0,"", NOT(ISBLANK(CV14)), 0, ISBLANK(CV14), $Q14-$S14+BH14-CE14-DM14)</f>
        <v/>
      </c>
      <c r="EE14" s="192" t="str" cm="1">
        <f t="array" ref="EE14">_xlfn.IFS(EE$1= 0,"", NOT(ISBLANK(CW14)), 0, ISBLANK(CW14), $Q14-$S14+BI14-CF14-DN14)</f>
        <v/>
      </c>
      <c r="EF14" s="192" t="str" cm="1">
        <f t="array" ref="EF14">_xlfn.IFS(EF$1= 0,"", NOT(ISBLANK(CX14)), 0, ISBLANK(CX14), $Q14-$S14+BJ14-CG14-DO14)</f>
        <v/>
      </c>
      <c r="EG14" s="192" t="str" cm="1">
        <f t="array" ref="EG14">_xlfn.IFS(EG$1= 0,"", NOT(ISBLANK(CY14)), 0, ISBLANK(CY14), $Q14-$S14+BK14-CH14-DP14)</f>
        <v/>
      </c>
      <c r="EH14" s="192" t="str" cm="1">
        <f t="array" ref="EH14">_xlfn.IFS(EH$1= 0,"", NOT(ISBLANK(CZ14)), 0, ISBLANK(CZ14), $Q14-$S14+BL14-CI14-DQ14)</f>
        <v/>
      </c>
      <c r="EI14" s="193" t="str" cm="1">
        <f t="array" ref="EI14">_xlfn.IFS(EI$1= 0,"", NOT(ISBLANK(DA14)), 0, ISBLANK(DA14), $Q14-$S14+BM14-CJ14-DR14)</f>
        <v/>
      </c>
      <c r="EN14" s="205"/>
    </row>
    <row r="15" spans="1:162" ht="17.25" customHeight="1" thickBot="1" x14ac:dyDescent="0.35">
      <c r="A15" s="183">
        <v>2</v>
      </c>
      <c r="B15" s="134" t="s">
        <v>94</v>
      </c>
      <c r="C15" s="134" t="s">
        <v>93</v>
      </c>
      <c r="D15" s="135" t="s">
        <v>86</v>
      </c>
      <c r="E15" s="166" t="s">
        <v>255</v>
      </c>
      <c r="F15" s="174"/>
      <c r="G15" s="3"/>
      <c r="H15" s="3"/>
      <c r="I15" s="3"/>
      <c r="J15" s="3"/>
      <c r="K15" s="3"/>
      <c r="L15" s="3"/>
      <c r="M15" s="178"/>
      <c r="N15" s="174">
        <v>58</v>
      </c>
      <c r="O15" s="175">
        <v>5</v>
      </c>
      <c r="P15" s="169">
        <v>1</v>
      </c>
      <c r="Q15" s="122">
        <f t="shared" si="18"/>
        <v>76.010299956639813</v>
      </c>
      <c r="R15" s="2">
        <v>2</v>
      </c>
      <c r="S15" s="2"/>
      <c r="T15" s="3">
        <v>143.32</v>
      </c>
      <c r="U15" s="3">
        <v>101.28</v>
      </c>
      <c r="V15" s="104">
        <f t="shared" si="2"/>
        <v>74</v>
      </c>
      <c r="W15" s="78">
        <v>70</v>
      </c>
      <c r="X15" s="136">
        <v>4</v>
      </c>
      <c r="Z15" s="7"/>
      <c r="AA15" s="3"/>
      <c r="AB15" s="3"/>
      <c r="AC15" s="83"/>
      <c r="AD15" s="210"/>
      <c r="AE15" s="207" t="str">
        <v/>
      </c>
      <c r="AF15" s="83"/>
      <c r="AH15" s="185" cm="1">
        <f t="array" ref="AH15">IF(OR(AH$1=0, $A15="", _xlfn.XLOOKUP(AH$1, $Z$2:$Z$18, $AD$2:$AD$18, "")=""),"",SQRT((_xlfn.XLOOKUP(AH$1,$Z$2:$Z$18,$AA$2:$AA$18)-$T15)^2+(_xlfn.XLOOKUP(AH$1,$Z$2:$Z$18,$AB$2:$AB$18)-$U15)^2+(_xlfn.XLOOKUP(AH$1,$Z$2:$Z$18,$AC$2:$AC$18-$V15)^2)))</f>
        <v>190.45802897226463</v>
      </c>
      <c r="AI15" s="124" cm="1">
        <f t="array" ref="AI15">IF(OR(AI$1=0, $A15="", _xlfn.XLOOKUP(AI$1, $Z$2:$Z$18, $AD$2:$AD$18, "")=""),"",SQRT((_xlfn.XLOOKUP(AI$1,$Z$2:$Z$18,$AA$2:$AA$18)-$T15)^2+(_xlfn.XLOOKUP(AI$1,$Z$2:$Z$18,$AB$2:$AB$18)-$U15)^2+(_xlfn.XLOOKUP(AI$1,$Z$2:$Z$18,$AC$2:$AC$18-$V15)^2)))</f>
        <v>111.5124979542652</v>
      </c>
      <c r="AJ15" s="124" cm="1">
        <f t="array" ref="AJ15">IF(OR(AJ$1=0, $A15="", _xlfn.XLOOKUP(AJ$1, $Z$2:$Z$18, $AD$2:$AD$18, "")=""),"",SQRT((_xlfn.XLOOKUP(AJ$1,$Z$2:$Z$18,$AA$2:$AA$18)-$T15)^2+(_xlfn.XLOOKUP(AJ$1,$Z$2:$Z$18,$AB$2:$AB$18)-$U15)^2+(_xlfn.XLOOKUP(AJ$1,$Z$2:$Z$18,$AC$2:$AC$18-$V15)^2)))</f>
        <v>70.759523034005809</v>
      </c>
      <c r="AK15" s="124" cm="1">
        <f t="array" ref="AK15">IF(OR(AK$1=0, $A15="", _xlfn.XLOOKUP(AK$1, $Z$2:$Z$18, $AD$2:$AD$18, "")=""),"",SQRT((_xlfn.XLOOKUP(AK$1,$Z$2:$Z$18,$AA$2:$AA$18)-$T15)^2+(_xlfn.XLOOKUP(AK$1,$Z$2:$Z$18,$AB$2:$AB$18)-$U15)^2+(_xlfn.XLOOKUP(AK$1,$Z$2:$Z$18,$AC$2:$AC$18-$V15)^2)))</f>
        <v>108.77731610956394</v>
      </c>
      <c r="AL15" s="124" cm="1">
        <f t="array" ref="AL15">IF(OR(AL$1=0, $A15="", _xlfn.XLOOKUP(AL$1, $Z$2:$Z$18, $AD$2:$AD$18, "")=""),"",SQRT((_xlfn.XLOOKUP(AL$1,$Z$2:$Z$18,$AA$2:$AA$18)-$T15)^2+(_xlfn.XLOOKUP(AL$1,$Z$2:$Z$18,$AB$2:$AB$18)-$U15)^2+(_xlfn.XLOOKUP(AL$1,$Z$2:$Z$18,$AC$2:$AC$18-$V15)^2)))</f>
        <v>177.45169624435832</v>
      </c>
      <c r="AM15" s="124" cm="1">
        <f t="array" ref="AM15">IF(OR(AM$1=0, $A15="", _xlfn.XLOOKUP(AM$1, $Z$2:$Z$18, $AD$2:$AD$18, "")=""),"",SQRT((_xlfn.XLOOKUP(AM$1,$Z$2:$Z$18,$AA$2:$AA$18)-$T15)^2+(_xlfn.XLOOKUP(AM$1,$Z$2:$Z$18,$AB$2:$AB$18)-$U15)^2+(_xlfn.XLOOKUP(AM$1,$Z$2:$Z$18,$AC$2:$AC$18-$V15)^2)))</f>
        <v>173.70299536853128</v>
      </c>
      <c r="AN15" s="124" cm="1">
        <f t="array" ref="AN15">IF(OR(AN$1=0, $A15="", _xlfn.XLOOKUP(AN$1, $Z$2:$Z$18, $AD$2:$AD$18, "")=""),"",SQRT((_xlfn.XLOOKUP(AN$1,$Z$2:$Z$18,$AA$2:$AA$18)-$T15)^2+(_xlfn.XLOOKUP(AN$1,$Z$2:$Z$18,$AB$2:$AB$18)-$U15)^2+(_xlfn.XLOOKUP(AN$1,$Z$2:$Z$18,$AC$2:$AC$18-$V15)^2)))</f>
        <v>173.70299536853128</v>
      </c>
      <c r="AO15" s="124" t="str" cm="1">
        <f t="array" ref="AO15">IF(OR(AO$1=0, $A15="", _xlfn.XLOOKUP(AO$1, $Z$2:$Z$18, $AD$2:$AD$18, "")=""),"",SQRT((_xlfn.XLOOKUP(AO$1,$Z$2:$Z$18,$AA$2:$AA$18)-$T15)^2+(_xlfn.XLOOKUP(AO$1,$Z$2:$Z$18,$AB$2:$AB$18)-$U15)^2+(_xlfn.XLOOKUP(AO$1,$Z$2:$Z$18,$AC$2:$AC$18-$V15)^2)))</f>
        <v/>
      </c>
      <c r="AP15" s="125" t="str" cm="1">
        <f t="array" ref="AP15">IF(OR(AP$1=0, $A15="", _xlfn.XLOOKUP(AP$1, $Z$2:$Z$18, $AD$2:$AD$18, "")=""),"",SQRT((_xlfn.XLOOKUP(AP$1,$Z$2:$Z$18,$AA$2:$AA$18)-$T15)^2+(_xlfn.XLOOKUP(AP$1,$Z$2:$Z$18,$AB$2:$AB$18)-$U15)^2+(_xlfn.XLOOKUP(AP$1,$Z$2:$Z$18,$AC$2:$AC$18-$V15)^2)))</f>
        <v/>
      </c>
      <c r="AQ15" s="125" t="str" cm="1">
        <f t="array" ref="AQ15">IF(OR(AQ$1=0, $A15="", _xlfn.XLOOKUP(AQ$1, $Z$2:$Z$18, $AD$2:$AD$18, "")=""),"",SQRT((_xlfn.XLOOKUP(AQ$1,$Z$2:$Z$18,$AA$2:$AA$18)-$T15)^2+(_xlfn.XLOOKUP(AQ$1,$Z$2:$Z$18,$AB$2:$AB$18)-$U15)^2+(_xlfn.XLOOKUP(AQ$1,$Z$2:$Z$18,$AC$2:$AC$18-$V15)^2)))</f>
        <v/>
      </c>
      <c r="AR15" s="125" t="str" cm="1">
        <f t="array" ref="AR15">IF(OR(AR$1=0, $A15="", _xlfn.XLOOKUP(AR$1, $Z$2:$Z$18, $AD$2:$AD$18, "")=""),"",SQRT((_xlfn.XLOOKUP(AR$1,$Z$2:$Z$18,$AA$2:$AA$18)-$T15)^2+(_xlfn.XLOOKUP(AR$1,$Z$2:$Z$18,$AB$2:$AB$18)-$U15)^2+(_xlfn.XLOOKUP(AR$1,$Z$2:$Z$18,$AC$2:$AC$18-$V15)^2)))</f>
        <v/>
      </c>
      <c r="AS15" s="125" t="str" cm="1">
        <f t="array" ref="AS15">IF(OR(AS$1=0, $A15="", _xlfn.XLOOKUP(AS$1, $Z$2:$Z$18, $AD$2:$AD$18, "")=""),"",SQRT((_xlfn.XLOOKUP(AS$1,$Z$2:$Z$18,$AA$2:$AA$18)-$T15)^2+(_xlfn.XLOOKUP(AS$1,$Z$2:$Z$18,$AB$2:$AB$18)-$U15)^2+(_xlfn.XLOOKUP(AS$1,$Z$2:$Z$18,$AC$2:$AC$18-$V15)^2)))</f>
        <v/>
      </c>
      <c r="AT15" s="125" t="str" cm="1">
        <f t="array" ref="AT15">IF(OR(AT$1=0, $A15="", _xlfn.XLOOKUP(AT$1, $Z$2:$Z$18, $AD$2:$AD$18, "")=""),"",SQRT((_xlfn.XLOOKUP(AT$1,$Z$2:$Z$18,$AA$2:$AA$18)-$T15)^2+(_xlfn.XLOOKUP(AT$1,$Z$2:$Z$18,$AB$2:$AB$18)-$U15)^2+(_xlfn.XLOOKUP(AT$1,$Z$2:$Z$18,$AC$2:$AC$18-$V15)^2)))</f>
        <v/>
      </c>
      <c r="AU15" s="125" t="str" cm="1">
        <f t="array" ref="AU15">IF(OR(AU$1=0, $A15="", _xlfn.XLOOKUP(AU$1, $Z$2:$Z$18, $AD$2:$AD$18, "")=""),"",SQRT((_xlfn.XLOOKUP(AU$1,$Z$2:$Z$18,$AA$2:$AA$18)-$T15)^2+(_xlfn.XLOOKUP(AU$1,$Z$2:$Z$18,$AB$2:$AB$18)-$U15)^2+(_xlfn.XLOOKUP(AU$1,$Z$2:$Z$18,$AC$2:$AC$18-$V15)^2)))</f>
        <v/>
      </c>
      <c r="AV15" s="126" t="str" cm="1">
        <f t="array" ref="AV15">IF(OR(AV$1=0, $A15="", _xlfn.XLOOKUP(AV$1, $Z$2:$Z$18, $AD$2:$AD$18, "")=""),"",SQRT((_xlfn.XLOOKUP(AV$1,$Z$2:$Z$18,$AA$2:$AA$18)-$T15)^2+(_xlfn.XLOOKUP(AV$1,$Z$2:$Z$18,$AB$2:$AB$18)-$U15)^2+(_xlfn.XLOOKUP(AV$1,$Z$2:$Z$18,$AC$2:$AC$18-$V15)^2)))</f>
        <v/>
      </c>
      <c r="AW15" s="127"/>
      <c r="AX15" s="127"/>
      <c r="AY15" s="128">
        <f t="shared" si="3"/>
        <v>-43.258083648029597</v>
      </c>
      <c r="AZ15" s="137">
        <f t="shared" si="4"/>
        <v>-38.608568825135549</v>
      </c>
      <c r="BA15" s="137">
        <f t="shared" si="5"/>
        <v>-34.657795873241383</v>
      </c>
      <c r="BB15" s="137">
        <f t="shared" si="6"/>
        <v>-38.392864719991117</v>
      </c>
      <c r="BC15" s="137">
        <f t="shared" si="7"/>
        <v>-42.643701038617472</v>
      </c>
      <c r="BD15" s="137">
        <f t="shared" si="8"/>
        <v>-42.458244088350845</v>
      </c>
      <c r="BE15" s="137">
        <f t="shared" si="9"/>
        <v>-42.458244088350845</v>
      </c>
      <c r="BF15" s="137">
        <f t="shared" si="10"/>
        <v>0</v>
      </c>
      <c r="BG15" s="138">
        <f t="shared" si="11"/>
        <v>0</v>
      </c>
      <c r="BH15" s="138">
        <f t="shared" si="12"/>
        <v>0</v>
      </c>
      <c r="BI15" s="138">
        <f t="shared" si="13"/>
        <v>0</v>
      </c>
      <c r="BJ15" s="138">
        <f t="shared" si="14"/>
        <v>0</v>
      </c>
      <c r="BK15" s="138">
        <f t="shared" si="15"/>
        <v>0</v>
      </c>
      <c r="BL15" s="138">
        <f t="shared" si="16"/>
        <v>0</v>
      </c>
      <c r="BM15" s="139">
        <f t="shared" si="17"/>
        <v>0</v>
      </c>
      <c r="BN15" s="127"/>
      <c r="BO15" s="127"/>
      <c r="BP15" s="127"/>
      <c r="BQ15" s="127"/>
      <c r="BR15" s="127"/>
      <c r="BS15" s="127"/>
      <c r="BT15" s="127"/>
      <c r="BU15" s="127"/>
      <c r="BV15" s="133"/>
      <c r="BW15" s="133">
        <v>6</v>
      </c>
      <c r="BX15" s="133">
        <v>8</v>
      </c>
      <c r="BY15" s="133">
        <v>12</v>
      </c>
      <c r="BZ15" s="133">
        <v>11</v>
      </c>
      <c r="CA15" s="133">
        <v>8</v>
      </c>
      <c r="CB15" s="133"/>
      <c r="CC15" s="133"/>
      <c r="CD15" s="133"/>
      <c r="CE15" s="133"/>
      <c r="CF15" s="133"/>
      <c r="CG15" s="133"/>
      <c r="CH15" s="133"/>
      <c r="CI15" s="133"/>
      <c r="CJ15" s="133"/>
      <c r="CL15" s="127"/>
      <c r="CM15" s="133" t="s">
        <v>32</v>
      </c>
      <c r="CN15" s="133"/>
      <c r="CO15" s="133" t="s">
        <v>32</v>
      </c>
      <c r="CP15" s="133" t="s">
        <v>32</v>
      </c>
      <c r="CQ15" s="133" t="s">
        <v>32</v>
      </c>
      <c r="CR15" s="133" t="s">
        <v>32</v>
      </c>
      <c r="CS15" s="133"/>
      <c r="CT15" s="133"/>
      <c r="CU15" s="133"/>
      <c r="CV15" s="133"/>
      <c r="CW15" s="133"/>
      <c r="CX15" s="133"/>
      <c r="CY15" s="133"/>
      <c r="CZ15" s="133"/>
      <c r="DA15" s="133"/>
      <c r="DB15" s="127"/>
      <c r="DC15" s="127"/>
      <c r="DD15" s="133"/>
      <c r="DE15" s="133"/>
      <c r="DF15" s="133"/>
      <c r="DG15" s="133"/>
      <c r="DH15" s="133"/>
      <c r="DI15" s="133"/>
      <c r="DJ15" s="133"/>
      <c r="DK15" s="133"/>
      <c r="DL15" s="133"/>
      <c r="DM15" s="133"/>
      <c r="DN15" s="133"/>
      <c r="DO15" s="133"/>
      <c r="DP15" s="133"/>
      <c r="DQ15" s="133"/>
      <c r="DR15" s="133"/>
      <c r="DT15" s="127"/>
      <c r="DU15" s="191" cm="1">
        <f t="array" ref="DU15">_xlfn.IFS(DU$1= 0,"", NOT(ISBLANK(CM15)), 0, ISBLANK(CM15), $Q15-$S15+AY15-BV15-DD15)</f>
        <v>0</v>
      </c>
      <c r="DV15" s="192" cm="1">
        <f t="array" ref="DV15">_xlfn.IFS(DV$1= 0,"", NOT(ISBLANK(CN15)), 0, ISBLANK(CN15), $Q15-$S15+AZ15-BW15-DE15)</f>
        <v>31.401731131504263</v>
      </c>
      <c r="DW15" s="192" cm="1">
        <f t="array" ref="DW15">_xlfn.IFS(DW$1= 0,"", NOT(ISBLANK(CO15)), 0, ISBLANK(CO15), $Q15-$S15+BA15-BX15-DF15)</f>
        <v>0</v>
      </c>
      <c r="DX15" s="192" cm="1">
        <f t="array" ref="DX15">_xlfn.IFS(DX$1= 0,"", NOT(ISBLANK(CP15)), 0, ISBLANK(CP15), $Q15-$S15+BB15-BY15-DG15)</f>
        <v>0</v>
      </c>
      <c r="DY15" s="192" cm="1">
        <f t="array" ref="DY15">_xlfn.IFS(DY$1= 0,"", NOT(ISBLANK(CQ15)), 0, ISBLANK(CQ15), $Q15-$S15+BC15-BZ15-DH15)</f>
        <v>0</v>
      </c>
      <c r="DZ15" s="192" cm="1">
        <f t="array" ref="DZ15">_xlfn.IFS(DZ$1= 0,"", NOT(ISBLANK(CR15)), 0, ISBLANK(CR15), $Q15-$S15+BD15-CA15-DI15)</f>
        <v>0</v>
      </c>
      <c r="EA15" s="192" cm="1">
        <f t="array" ref="EA15">_xlfn.IFS(EA$1= 0,"", NOT(ISBLANK(CS15)), 0, ISBLANK(CS15), $Q15-$S15+BE15-CB15-DJ15)</f>
        <v>33.552055868288967</v>
      </c>
      <c r="EB15" s="192" t="str" cm="1">
        <f t="array" ref="EB15">_xlfn.IFS(EB$1= 0,"", NOT(ISBLANK(CT15)), 0, ISBLANK(CT15), $Q15-$S15+BF15-CC15-DK15)</f>
        <v/>
      </c>
      <c r="EC15" s="192" t="str" cm="1">
        <f t="array" ref="EC15">_xlfn.IFS(EC$1= 0,"", NOT(ISBLANK(CU15)), 0, ISBLANK(CU15), $Q15-$S15+BG15-CD15-DL15)</f>
        <v/>
      </c>
      <c r="ED15" s="192" t="str" cm="1">
        <f t="array" ref="ED15">_xlfn.IFS(ED$1= 0,"", NOT(ISBLANK(CV15)), 0, ISBLANK(CV15), $Q15-$S15+BH15-CE15-DM15)</f>
        <v/>
      </c>
      <c r="EE15" s="192" t="str" cm="1">
        <f t="array" ref="EE15">_xlfn.IFS(EE$1= 0,"", NOT(ISBLANK(CW15)), 0, ISBLANK(CW15), $Q15-$S15+BI15-CF15-DN15)</f>
        <v/>
      </c>
      <c r="EF15" s="192" t="str" cm="1">
        <f t="array" ref="EF15">_xlfn.IFS(EF$1= 0,"", NOT(ISBLANK(CX15)), 0, ISBLANK(CX15), $Q15-$S15+BJ15-CG15-DO15)</f>
        <v/>
      </c>
      <c r="EG15" s="192" t="str" cm="1">
        <f t="array" ref="EG15">_xlfn.IFS(EG$1= 0,"", NOT(ISBLANK(CY15)), 0, ISBLANK(CY15), $Q15-$S15+BK15-CH15-DP15)</f>
        <v/>
      </c>
      <c r="EH15" s="192" t="str" cm="1">
        <f t="array" ref="EH15">_xlfn.IFS(EH$1= 0,"", NOT(ISBLANK(CZ15)), 0, ISBLANK(CZ15), $Q15-$S15+BL15-CI15-DQ15)</f>
        <v/>
      </c>
      <c r="EI15" s="193" t="str" cm="1">
        <f t="array" ref="EI15">_xlfn.IFS(EI$1= 0,"", NOT(ISBLANK(DA15)), 0, ISBLANK(DA15), $Q15-$S15+BM15-CJ15-DR15)</f>
        <v/>
      </c>
    </row>
    <row r="16" spans="1:162" ht="17.25" customHeight="1" thickBot="1" x14ac:dyDescent="0.35">
      <c r="A16" s="183">
        <v>2</v>
      </c>
      <c r="B16" s="134" t="s">
        <v>112</v>
      </c>
      <c r="C16" s="134" t="s">
        <v>93</v>
      </c>
      <c r="D16" s="135" t="s">
        <v>86</v>
      </c>
      <c r="E16" s="166" t="s">
        <v>255</v>
      </c>
      <c r="F16" s="174"/>
      <c r="G16" s="3"/>
      <c r="H16" s="3"/>
      <c r="I16" s="3"/>
      <c r="J16" s="3"/>
      <c r="K16" s="3"/>
      <c r="L16" s="3"/>
      <c r="M16" s="178"/>
      <c r="N16" s="174">
        <v>58</v>
      </c>
      <c r="O16" s="175">
        <v>5</v>
      </c>
      <c r="P16" s="169">
        <v>1</v>
      </c>
      <c r="Q16" s="122">
        <f t="shared" si="18"/>
        <v>76.010299956639813</v>
      </c>
      <c r="R16" s="2">
        <v>2</v>
      </c>
      <c r="S16" s="2"/>
      <c r="T16" s="3">
        <v>116.44</v>
      </c>
      <c r="U16" s="3">
        <v>96.13</v>
      </c>
      <c r="V16" s="104">
        <f t="shared" si="2"/>
        <v>74</v>
      </c>
      <c r="W16" s="78">
        <v>70</v>
      </c>
      <c r="X16" s="136">
        <v>4</v>
      </c>
      <c r="Z16" s="213"/>
      <c r="AA16" s="5"/>
      <c r="AB16" s="5"/>
      <c r="AC16" s="100"/>
      <c r="AD16" s="211"/>
      <c r="AE16" s="208" t="str">
        <v/>
      </c>
      <c r="AF16" s="100"/>
      <c r="AH16" s="185" cm="1">
        <f t="array" ref="AH16">IF(OR(AH$1=0, $A16="", _xlfn.XLOOKUP(AH$1, $Z$2:$Z$18, $AD$2:$AD$18, "")=""),"",SQRT((_xlfn.XLOOKUP(AH$1,$Z$2:$Z$18,$AA$2:$AA$18)-$T16)^2+(_xlfn.XLOOKUP(AH$1,$Z$2:$Z$18,$AB$2:$AB$18)-$U16)^2+(_xlfn.XLOOKUP(AH$1,$Z$2:$Z$18,$AC$2:$AC$18-$V16)^2)))</f>
        <v>168.15246206939702</v>
      </c>
      <c r="AI16" s="124" cm="1">
        <f t="array" ref="AI16">IF(OR(AI$1=0, $A16="", _xlfn.XLOOKUP(AI$1, $Z$2:$Z$18, $AD$2:$AD$18, "")=""),"",SQRT((_xlfn.XLOOKUP(AI$1,$Z$2:$Z$18,$AA$2:$AA$18)-$T16)^2+(_xlfn.XLOOKUP(AI$1,$Z$2:$Z$18,$AB$2:$AB$18)-$U16)^2+(_xlfn.XLOOKUP(AI$1,$Z$2:$Z$18,$AC$2:$AC$18-$V16)^2)))</f>
        <v>84.303295902354847</v>
      </c>
      <c r="AJ16" s="124" cm="1">
        <f t="array" ref="AJ16">IF(OR(AJ$1=0, $A16="", _xlfn.XLOOKUP(AJ$1, $Z$2:$Z$18, $AD$2:$AD$18, "")=""),"",SQRT((_xlfn.XLOOKUP(AJ$1,$Z$2:$Z$18,$AA$2:$AA$18)-$T16)^2+(_xlfn.XLOOKUP(AJ$1,$Z$2:$Z$18,$AB$2:$AB$18)-$U16)^2+(_xlfn.XLOOKUP(AJ$1,$Z$2:$Z$18,$AC$2:$AC$18-$V16)^2)))</f>
        <v>56.354254497775045</v>
      </c>
      <c r="AK16" s="124" cm="1">
        <f t="array" ref="AK16">IF(OR(AK$1=0, $A16="", _xlfn.XLOOKUP(AK$1, $Z$2:$Z$18, $AD$2:$AD$18, "")=""),"",SQRT((_xlfn.XLOOKUP(AK$1,$Z$2:$Z$18,$AA$2:$AA$18)-$T16)^2+(_xlfn.XLOOKUP(AK$1,$Z$2:$Z$18,$AB$2:$AB$18)-$U16)^2+(_xlfn.XLOOKUP(AK$1,$Z$2:$Z$18,$AC$2:$AC$18-$V16)^2)))</f>
        <v>125.42608101985806</v>
      </c>
      <c r="AL16" s="124" cm="1">
        <f t="array" ref="AL16">IF(OR(AL$1=0, $A16="", _xlfn.XLOOKUP(AL$1, $Z$2:$Z$18, $AD$2:$AD$18, "")=""),"",SQRT((_xlfn.XLOOKUP(AL$1,$Z$2:$Z$18,$AA$2:$AA$18)-$T16)^2+(_xlfn.XLOOKUP(AL$1,$Z$2:$Z$18,$AB$2:$AB$18)-$U16)^2+(_xlfn.XLOOKUP(AL$1,$Z$2:$Z$18,$AC$2:$AC$18-$V16)^2)))</f>
        <v>203.50909758534141</v>
      </c>
      <c r="AM16" s="124" cm="1">
        <f t="array" ref="AM16">IF(OR(AM$1=0, $A16="", _xlfn.XLOOKUP(AM$1, $Z$2:$Z$18, $AD$2:$AD$18, "")=""),"",SQRT((_xlfn.XLOOKUP(AM$1,$Z$2:$Z$18,$AA$2:$AA$18)-$T16)^2+(_xlfn.XLOOKUP(AM$1,$Z$2:$Z$18,$AB$2:$AB$18)-$U16)^2+(_xlfn.XLOOKUP(AM$1,$Z$2:$Z$18,$AC$2:$AC$18-$V16)^2)))</f>
        <v>158.55968623833741</v>
      </c>
      <c r="AN16" s="124" cm="1">
        <f t="array" ref="AN16">IF(OR(AN$1=0, $A16="", _xlfn.XLOOKUP(AN$1, $Z$2:$Z$18, $AD$2:$AD$18, "")=""),"",SQRT((_xlfn.XLOOKUP(AN$1,$Z$2:$Z$18,$AA$2:$AA$18)-$T16)^2+(_xlfn.XLOOKUP(AN$1,$Z$2:$Z$18,$AB$2:$AB$18)-$U16)^2+(_xlfn.XLOOKUP(AN$1,$Z$2:$Z$18,$AC$2:$AC$18-$V16)^2)))</f>
        <v>158.55968623833741</v>
      </c>
      <c r="AO16" s="124" t="str" cm="1">
        <f t="array" ref="AO16">IF(OR(AO$1=0, $A16="", _xlfn.XLOOKUP(AO$1, $Z$2:$Z$18, $AD$2:$AD$18, "")=""),"",SQRT((_xlfn.XLOOKUP(AO$1,$Z$2:$Z$18,$AA$2:$AA$18)-$T16)^2+(_xlfn.XLOOKUP(AO$1,$Z$2:$Z$18,$AB$2:$AB$18)-$U16)^2+(_xlfn.XLOOKUP(AO$1,$Z$2:$Z$18,$AC$2:$AC$18-$V16)^2)))</f>
        <v/>
      </c>
      <c r="AP16" s="125" t="str" cm="1">
        <f t="array" ref="AP16">IF(OR(AP$1=0, $A16="", _xlfn.XLOOKUP(AP$1, $Z$2:$Z$18, $AD$2:$AD$18, "")=""),"",SQRT((_xlfn.XLOOKUP(AP$1,$Z$2:$Z$18,$AA$2:$AA$18)-$T16)^2+(_xlfn.XLOOKUP(AP$1,$Z$2:$Z$18,$AB$2:$AB$18)-$U16)^2+(_xlfn.XLOOKUP(AP$1,$Z$2:$Z$18,$AC$2:$AC$18-$V16)^2)))</f>
        <v/>
      </c>
      <c r="AQ16" s="125" t="str" cm="1">
        <f t="array" ref="AQ16">IF(OR(AQ$1=0, $A16="", _xlfn.XLOOKUP(AQ$1, $Z$2:$Z$18, $AD$2:$AD$18, "")=""),"",SQRT((_xlfn.XLOOKUP(AQ$1,$Z$2:$Z$18,$AA$2:$AA$18)-$T16)^2+(_xlfn.XLOOKUP(AQ$1,$Z$2:$Z$18,$AB$2:$AB$18)-$U16)^2+(_xlfn.XLOOKUP(AQ$1,$Z$2:$Z$18,$AC$2:$AC$18-$V16)^2)))</f>
        <v/>
      </c>
      <c r="AR16" s="125" t="str" cm="1">
        <f t="array" ref="AR16">IF(OR(AR$1=0, $A16="", _xlfn.XLOOKUP(AR$1, $Z$2:$Z$18, $AD$2:$AD$18, "")=""),"",SQRT((_xlfn.XLOOKUP(AR$1,$Z$2:$Z$18,$AA$2:$AA$18)-$T16)^2+(_xlfn.XLOOKUP(AR$1,$Z$2:$Z$18,$AB$2:$AB$18)-$U16)^2+(_xlfn.XLOOKUP(AR$1,$Z$2:$Z$18,$AC$2:$AC$18-$V16)^2)))</f>
        <v/>
      </c>
      <c r="AS16" s="125" t="str" cm="1">
        <f t="array" ref="AS16">IF(OR(AS$1=0, $A16="", _xlfn.XLOOKUP(AS$1, $Z$2:$Z$18, $AD$2:$AD$18, "")=""),"",SQRT((_xlfn.XLOOKUP(AS$1,$Z$2:$Z$18,$AA$2:$AA$18)-$T16)^2+(_xlfn.XLOOKUP(AS$1,$Z$2:$Z$18,$AB$2:$AB$18)-$U16)^2+(_xlfn.XLOOKUP(AS$1,$Z$2:$Z$18,$AC$2:$AC$18-$V16)^2)))</f>
        <v/>
      </c>
      <c r="AT16" s="125" t="str" cm="1">
        <f t="array" ref="AT16">IF(OR(AT$1=0, $A16="", _xlfn.XLOOKUP(AT$1, $Z$2:$Z$18, $AD$2:$AD$18, "")=""),"",SQRT((_xlfn.XLOOKUP(AT$1,$Z$2:$Z$18,$AA$2:$AA$18)-$T16)^2+(_xlfn.XLOOKUP(AT$1,$Z$2:$Z$18,$AB$2:$AB$18)-$U16)^2+(_xlfn.XLOOKUP(AT$1,$Z$2:$Z$18,$AC$2:$AC$18-$V16)^2)))</f>
        <v/>
      </c>
      <c r="AU16" s="125" t="str" cm="1">
        <f t="array" ref="AU16">IF(OR(AU$1=0, $A16="", _xlfn.XLOOKUP(AU$1, $Z$2:$Z$18, $AD$2:$AD$18, "")=""),"",SQRT((_xlfn.XLOOKUP(AU$1,$Z$2:$Z$18,$AA$2:$AA$18)-$T16)^2+(_xlfn.XLOOKUP(AU$1,$Z$2:$Z$18,$AB$2:$AB$18)-$U16)^2+(_xlfn.XLOOKUP(AU$1,$Z$2:$Z$18,$AC$2:$AC$18-$V16)^2)))</f>
        <v/>
      </c>
      <c r="AV16" s="126" t="str" cm="1">
        <f t="array" ref="AV16">IF(OR(AV$1=0, $A16="", _xlfn.XLOOKUP(AV$1, $Z$2:$Z$18, $AD$2:$AD$18, "")=""),"",SQRT((_xlfn.XLOOKUP(AV$1,$Z$2:$Z$18,$AA$2:$AA$18)-$T16)^2+(_xlfn.XLOOKUP(AV$1,$Z$2:$Z$18,$AB$2:$AB$18)-$U16)^2+(_xlfn.XLOOKUP(AV$1,$Z$2:$Z$18,$AC$2:$AC$18-$V16)^2)))</f>
        <v/>
      </c>
      <c r="AW16" s="127"/>
      <c r="AX16" s="127"/>
      <c r="AY16" s="128">
        <f t="shared" si="3"/>
        <v>-42.176162548693654</v>
      </c>
      <c r="AZ16" s="137">
        <f t="shared" si="4"/>
        <v>-36.178989017618129</v>
      </c>
      <c r="BA16" s="137">
        <f t="shared" si="5"/>
        <v>-32.680632115704789</v>
      </c>
      <c r="BB16" s="137">
        <f t="shared" si="6"/>
        <v>-39.629854993026818</v>
      </c>
      <c r="BC16" s="137">
        <f t="shared" si="7"/>
        <v>-43.833774507203714</v>
      </c>
      <c r="BD16" s="137">
        <f t="shared" si="8"/>
        <v>-41.66595349192928</v>
      </c>
      <c r="BE16" s="137">
        <f t="shared" si="9"/>
        <v>-41.66595349192928</v>
      </c>
      <c r="BF16" s="137">
        <f t="shared" si="10"/>
        <v>0</v>
      </c>
      <c r="BG16" s="138">
        <f t="shared" si="11"/>
        <v>0</v>
      </c>
      <c r="BH16" s="138">
        <f t="shared" si="12"/>
        <v>0</v>
      </c>
      <c r="BI16" s="138">
        <f t="shared" si="13"/>
        <v>0</v>
      </c>
      <c r="BJ16" s="138">
        <f t="shared" si="14"/>
        <v>0</v>
      </c>
      <c r="BK16" s="138">
        <f t="shared" si="15"/>
        <v>0</v>
      </c>
      <c r="BL16" s="138">
        <f t="shared" si="16"/>
        <v>0</v>
      </c>
      <c r="BM16" s="139">
        <f t="shared" si="17"/>
        <v>0</v>
      </c>
      <c r="BN16" s="127"/>
      <c r="BO16" s="39" t="s">
        <v>48</v>
      </c>
      <c r="BP16" s="114">
        <f>MIN(BS6:BS7)</f>
        <v>75.400000000000006</v>
      </c>
      <c r="BQ16" s="127"/>
      <c r="BR16" s="127"/>
      <c r="BS16" s="127"/>
      <c r="BT16" s="127"/>
      <c r="BU16" s="127"/>
      <c r="BV16" s="133"/>
      <c r="BW16" s="133">
        <v>6</v>
      </c>
      <c r="BX16" s="133">
        <v>9</v>
      </c>
      <c r="BY16" s="133">
        <v>11</v>
      </c>
      <c r="BZ16" s="133">
        <v>13</v>
      </c>
      <c r="CA16" s="133">
        <v>8</v>
      </c>
      <c r="CB16" s="133"/>
      <c r="CC16" s="133"/>
      <c r="CD16" s="133"/>
      <c r="CE16" s="133"/>
      <c r="CF16" s="133"/>
      <c r="CG16" s="133"/>
      <c r="CH16" s="133"/>
      <c r="CI16" s="133"/>
      <c r="CJ16" s="133"/>
      <c r="CL16" s="127"/>
      <c r="CM16" s="133" t="s">
        <v>32</v>
      </c>
      <c r="CN16" s="133"/>
      <c r="CO16" s="133" t="s">
        <v>32</v>
      </c>
      <c r="CP16" s="133" t="s">
        <v>32</v>
      </c>
      <c r="CQ16" s="133" t="s">
        <v>32</v>
      </c>
      <c r="CR16" s="133" t="s">
        <v>32</v>
      </c>
      <c r="CS16" s="133"/>
      <c r="CT16" s="133"/>
      <c r="CU16" s="133"/>
      <c r="CV16" s="133"/>
      <c r="CW16" s="133"/>
      <c r="CX16" s="133"/>
      <c r="CY16" s="133"/>
      <c r="CZ16" s="133"/>
      <c r="DA16" s="133"/>
      <c r="DB16" s="127"/>
      <c r="DC16" s="127"/>
      <c r="DD16" s="133"/>
      <c r="DE16" s="133"/>
      <c r="DF16" s="133"/>
      <c r="DG16" s="133"/>
      <c r="DH16" s="133"/>
      <c r="DI16" s="133"/>
      <c r="DJ16" s="133"/>
      <c r="DK16" s="133"/>
      <c r="DL16" s="133"/>
      <c r="DM16" s="133"/>
      <c r="DN16" s="133"/>
      <c r="DO16" s="133"/>
      <c r="DP16" s="133"/>
      <c r="DQ16" s="133"/>
      <c r="DR16" s="133"/>
      <c r="DT16" s="127"/>
      <c r="DU16" s="191" cm="1">
        <f t="array" ref="DU16">_xlfn.IFS(DU$1= 0,"", NOT(ISBLANK(CM16)), 0, ISBLANK(CM16), $Q16-$S16+AY16-BV16-DD16)</f>
        <v>0</v>
      </c>
      <c r="DV16" s="192" cm="1">
        <f t="array" ref="DV16">_xlfn.IFS(DV$1= 0,"", NOT(ISBLANK(CN16)), 0, ISBLANK(CN16), $Q16-$S16+AZ16-BW16-DE16)</f>
        <v>33.831310939021684</v>
      </c>
      <c r="DW16" s="192" cm="1">
        <f t="array" ref="DW16">_xlfn.IFS(DW$1= 0,"", NOT(ISBLANK(CO16)), 0, ISBLANK(CO16), $Q16-$S16+BA16-BX16-DF16)</f>
        <v>0</v>
      </c>
      <c r="DX16" s="192" cm="1">
        <f t="array" ref="DX16">_xlfn.IFS(DX$1= 0,"", NOT(ISBLANK(CP16)), 0, ISBLANK(CP16), $Q16-$S16+BB16-BY16-DG16)</f>
        <v>0</v>
      </c>
      <c r="DY16" s="192" cm="1">
        <f t="array" ref="DY16">_xlfn.IFS(DY$1= 0,"", NOT(ISBLANK(CQ16)), 0, ISBLANK(CQ16), $Q16-$S16+BC16-BZ16-DH16)</f>
        <v>0</v>
      </c>
      <c r="DZ16" s="192" cm="1">
        <f t="array" ref="DZ16">_xlfn.IFS(DZ$1= 0,"", NOT(ISBLANK(CR16)), 0, ISBLANK(CR16), $Q16-$S16+BD16-CA16-DI16)</f>
        <v>0</v>
      </c>
      <c r="EA16" s="192" cm="1">
        <f t="array" ref="EA16">_xlfn.IFS(EA$1= 0,"", NOT(ISBLANK(CS16)), 0, ISBLANK(CS16), $Q16-$S16+BE16-CB16-DJ16)</f>
        <v>34.344346464710533</v>
      </c>
      <c r="EB16" s="192" t="str" cm="1">
        <f t="array" ref="EB16">_xlfn.IFS(EB$1= 0,"", NOT(ISBLANK(CT16)), 0, ISBLANK(CT16), $Q16-$S16+BF16-CC16-DK16)</f>
        <v/>
      </c>
      <c r="EC16" s="192" t="str" cm="1">
        <f t="array" ref="EC16">_xlfn.IFS(EC$1= 0,"", NOT(ISBLANK(CU16)), 0, ISBLANK(CU16), $Q16-$S16+BG16-CD16-DL16)</f>
        <v/>
      </c>
      <c r="ED16" s="192" t="str" cm="1">
        <f t="array" ref="ED16">_xlfn.IFS(ED$1= 0,"", NOT(ISBLANK(CV16)), 0, ISBLANK(CV16), $Q16-$S16+BH16-CE16-DM16)</f>
        <v/>
      </c>
      <c r="EE16" s="192" t="str" cm="1">
        <f t="array" ref="EE16">_xlfn.IFS(EE$1= 0,"", NOT(ISBLANK(CW16)), 0, ISBLANK(CW16), $Q16-$S16+BI16-CF16-DN16)</f>
        <v/>
      </c>
      <c r="EF16" s="192" t="str" cm="1">
        <f t="array" ref="EF16">_xlfn.IFS(EF$1= 0,"", NOT(ISBLANK(CX16)), 0, ISBLANK(CX16), $Q16-$S16+BJ16-CG16-DO16)</f>
        <v/>
      </c>
      <c r="EG16" s="192" t="str" cm="1">
        <f t="array" ref="EG16">_xlfn.IFS(EG$1= 0,"", NOT(ISBLANK(CY16)), 0, ISBLANK(CY16), $Q16-$S16+BK16-CH16-DP16)</f>
        <v/>
      </c>
      <c r="EH16" s="192" t="str" cm="1">
        <f t="array" ref="EH16">_xlfn.IFS(EH$1= 0,"", NOT(ISBLANK(CZ16)), 0, ISBLANK(CZ16), $Q16-$S16+BL16-CI16-DQ16)</f>
        <v/>
      </c>
      <c r="EI16" s="193" t="str" cm="1">
        <f t="array" ref="EI16">_xlfn.IFS(EI$1= 0,"", NOT(ISBLANK(DA16)), 0, ISBLANK(DA16), $Q16-$S16+BM16-CJ16-DR16)</f>
        <v/>
      </c>
    </row>
    <row r="17" spans="1:139" ht="17.25" customHeight="1" thickBot="1" x14ac:dyDescent="0.35">
      <c r="A17" s="183">
        <v>4</v>
      </c>
      <c r="B17" s="134" t="s">
        <v>111</v>
      </c>
      <c r="C17" s="134" t="s">
        <v>93</v>
      </c>
      <c r="D17" s="135" t="s">
        <v>86</v>
      </c>
      <c r="E17" s="166" t="s">
        <v>255</v>
      </c>
      <c r="F17" s="174"/>
      <c r="G17" s="3"/>
      <c r="H17" s="3"/>
      <c r="I17" s="3"/>
      <c r="J17" s="3"/>
      <c r="K17" s="3"/>
      <c r="L17" s="3"/>
      <c r="M17" s="178"/>
      <c r="N17" s="174">
        <v>58</v>
      </c>
      <c r="O17" s="175">
        <v>5</v>
      </c>
      <c r="P17" s="169">
        <v>1</v>
      </c>
      <c r="Q17" s="122">
        <f t="shared" si="18"/>
        <v>79.020599913279625</v>
      </c>
      <c r="R17" s="2">
        <v>2</v>
      </c>
      <c r="S17" s="2"/>
      <c r="T17" s="3">
        <v>88.52</v>
      </c>
      <c r="U17" s="3">
        <v>90.33</v>
      </c>
      <c r="V17" s="104">
        <f t="shared" si="2"/>
        <v>74</v>
      </c>
      <c r="W17" s="78">
        <v>70</v>
      </c>
      <c r="X17" s="136">
        <v>4</v>
      </c>
      <c r="AH17" s="185" cm="1">
        <f t="array" ref="AH17">IF(OR(AH$1=0, $A17="", _xlfn.XLOOKUP(AH$1, $Z$2:$Z$18, $AD$2:$AD$18, "")=""),"",SQRT((_xlfn.XLOOKUP(AH$1,$Z$2:$Z$18,$AA$2:$AA$18)-$T17)^2+(_xlfn.XLOOKUP(AH$1,$Z$2:$Z$18,$AB$2:$AB$18)-$U17)^2+(_xlfn.XLOOKUP(AH$1,$Z$2:$Z$18,$AC$2:$AC$18-$V17)^2)))</f>
        <v>146.53088172805076</v>
      </c>
      <c r="AI17" s="124" cm="1">
        <f t="array" ref="AI17">IF(OR(AI$1=0, $A17="", _xlfn.XLOOKUP(AI$1, $Z$2:$Z$18, $AD$2:$AD$18, "")=""),"",SQRT((_xlfn.XLOOKUP(AI$1,$Z$2:$Z$18,$AA$2:$AA$18)-$T17)^2+(_xlfn.XLOOKUP(AI$1,$Z$2:$Z$18,$AB$2:$AB$18)-$U17)^2+(_xlfn.XLOOKUP(AI$1,$Z$2:$Z$18,$AC$2:$AC$18-$V17)^2)))</f>
        <v>56.166197129590316</v>
      </c>
      <c r="AJ17" s="124" cm="1">
        <f t="array" ref="AJ17">IF(OR(AJ$1=0, $A17="", _xlfn.XLOOKUP(AJ$1, $Z$2:$Z$18, $AD$2:$AD$18, "")=""),"",SQRT((_xlfn.XLOOKUP(AJ$1,$Z$2:$Z$18,$AA$2:$AA$18)-$T17)^2+(_xlfn.XLOOKUP(AJ$1,$Z$2:$Z$18,$AB$2:$AB$18)-$U17)^2+(_xlfn.XLOOKUP(AJ$1,$Z$2:$Z$18,$AC$2:$AC$18-$V17)^2)))</f>
        <v>53.15979307709916</v>
      </c>
      <c r="AK17" s="124" cm="1">
        <f t="array" ref="AK17">IF(OR(AK$1=0, $A17="", _xlfn.XLOOKUP(AK$1, $Z$2:$Z$18, $AD$2:$AD$18, "")=""),"",SQRT((_xlfn.XLOOKUP(AK$1,$Z$2:$Z$18,$AA$2:$AA$18)-$T17)^2+(_xlfn.XLOOKUP(AK$1,$Z$2:$Z$18,$AB$2:$AB$18)-$U17)^2+(_xlfn.XLOOKUP(AK$1,$Z$2:$Z$18,$AC$2:$AC$18-$V17)^2)))</f>
        <v>145.96776698983922</v>
      </c>
      <c r="AL17" s="124" cm="1">
        <f t="array" ref="AL17">IF(OR(AL$1=0, $A17="", _xlfn.XLOOKUP(AL$1, $Z$2:$Z$18, $AD$2:$AD$18, "")=""),"",SQRT((_xlfn.XLOOKUP(AL$1,$Z$2:$Z$18,$AA$2:$AA$18)-$T17)^2+(_xlfn.XLOOKUP(AL$1,$Z$2:$Z$18,$AB$2:$AB$18)-$U17)^2+(_xlfn.XLOOKUP(AL$1,$Z$2:$Z$18,$AC$2:$AC$18-$V17)^2)))</f>
        <v>230.88837995880175</v>
      </c>
      <c r="AM17" s="124" cm="1">
        <f t="array" ref="AM17">IF(OR(AM$1=0, $A17="", _xlfn.XLOOKUP(AM$1, $Z$2:$Z$18, $AD$2:$AD$18, "")=""),"",SQRT((_xlfn.XLOOKUP(AM$1,$Z$2:$Z$18,$AA$2:$AA$18)-$T17)^2+(_xlfn.XLOOKUP(AM$1,$Z$2:$Z$18,$AB$2:$AB$18)-$U17)^2+(_xlfn.XLOOKUP(AM$1,$Z$2:$Z$18,$AC$2:$AC$18-$V17)^2)))</f>
        <v>147.01106795068188</v>
      </c>
      <c r="AN17" s="124" cm="1">
        <f t="array" ref="AN17">IF(OR(AN$1=0, $A17="", _xlfn.XLOOKUP(AN$1, $Z$2:$Z$18, $AD$2:$AD$18, "")=""),"",SQRT((_xlfn.XLOOKUP(AN$1,$Z$2:$Z$18,$AA$2:$AA$18)-$T17)^2+(_xlfn.XLOOKUP(AN$1,$Z$2:$Z$18,$AB$2:$AB$18)-$U17)^2+(_xlfn.XLOOKUP(AN$1,$Z$2:$Z$18,$AC$2:$AC$18-$V17)^2)))</f>
        <v>147.01106795068188</v>
      </c>
      <c r="AO17" s="124" t="str" cm="1">
        <f t="array" ref="AO17">IF(OR(AO$1=0, $A17="", _xlfn.XLOOKUP(AO$1, $Z$2:$Z$18, $AD$2:$AD$18, "")=""),"",SQRT((_xlfn.XLOOKUP(AO$1,$Z$2:$Z$18,$AA$2:$AA$18)-$T17)^2+(_xlfn.XLOOKUP(AO$1,$Z$2:$Z$18,$AB$2:$AB$18)-$U17)^2+(_xlfn.XLOOKUP(AO$1,$Z$2:$Z$18,$AC$2:$AC$18-$V17)^2)))</f>
        <v/>
      </c>
      <c r="AP17" s="125" t="str" cm="1">
        <f t="array" ref="AP17">IF(OR(AP$1=0, $A17="", _xlfn.XLOOKUP(AP$1, $Z$2:$Z$18, $AD$2:$AD$18, "")=""),"",SQRT((_xlfn.XLOOKUP(AP$1,$Z$2:$Z$18,$AA$2:$AA$18)-$T17)^2+(_xlfn.XLOOKUP(AP$1,$Z$2:$Z$18,$AB$2:$AB$18)-$U17)^2+(_xlfn.XLOOKUP(AP$1,$Z$2:$Z$18,$AC$2:$AC$18-$V17)^2)))</f>
        <v/>
      </c>
      <c r="AQ17" s="125" t="str" cm="1">
        <f t="array" ref="AQ17">IF(OR(AQ$1=0, $A17="", _xlfn.XLOOKUP(AQ$1, $Z$2:$Z$18, $AD$2:$AD$18, "")=""),"",SQRT((_xlfn.XLOOKUP(AQ$1,$Z$2:$Z$18,$AA$2:$AA$18)-$T17)^2+(_xlfn.XLOOKUP(AQ$1,$Z$2:$Z$18,$AB$2:$AB$18)-$U17)^2+(_xlfn.XLOOKUP(AQ$1,$Z$2:$Z$18,$AC$2:$AC$18-$V17)^2)))</f>
        <v/>
      </c>
      <c r="AR17" s="125" t="str" cm="1">
        <f t="array" ref="AR17">IF(OR(AR$1=0, $A17="", _xlfn.XLOOKUP(AR$1, $Z$2:$Z$18, $AD$2:$AD$18, "")=""),"",SQRT((_xlfn.XLOOKUP(AR$1,$Z$2:$Z$18,$AA$2:$AA$18)-$T17)^2+(_xlfn.XLOOKUP(AR$1,$Z$2:$Z$18,$AB$2:$AB$18)-$U17)^2+(_xlfn.XLOOKUP(AR$1,$Z$2:$Z$18,$AC$2:$AC$18-$V17)^2)))</f>
        <v/>
      </c>
      <c r="AS17" s="125" t="str" cm="1">
        <f t="array" ref="AS17">IF(OR(AS$1=0, $A17="", _xlfn.XLOOKUP(AS$1, $Z$2:$Z$18, $AD$2:$AD$18, "")=""),"",SQRT((_xlfn.XLOOKUP(AS$1,$Z$2:$Z$18,$AA$2:$AA$18)-$T17)^2+(_xlfn.XLOOKUP(AS$1,$Z$2:$Z$18,$AB$2:$AB$18)-$U17)^2+(_xlfn.XLOOKUP(AS$1,$Z$2:$Z$18,$AC$2:$AC$18-$V17)^2)))</f>
        <v/>
      </c>
      <c r="AT17" s="125" t="str" cm="1">
        <f t="array" ref="AT17">IF(OR(AT$1=0, $A17="", _xlfn.XLOOKUP(AT$1, $Z$2:$Z$18, $AD$2:$AD$18, "")=""),"",SQRT((_xlfn.XLOOKUP(AT$1,$Z$2:$Z$18,$AA$2:$AA$18)-$T17)^2+(_xlfn.XLOOKUP(AT$1,$Z$2:$Z$18,$AB$2:$AB$18)-$U17)^2+(_xlfn.XLOOKUP(AT$1,$Z$2:$Z$18,$AC$2:$AC$18-$V17)^2)))</f>
        <v/>
      </c>
      <c r="AU17" s="125" t="str" cm="1">
        <f t="array" ref="AU17">IF(OR(AU$1=0, $A17="", _xlfn.XLOOKUP(AU$1, $Z$2:$Z$18, $AD$2:$AD$18, "")=""),"",SQRT((_xlfn.XLOOKUP(AU$1,$Z$2:$Z$18,$AA$2:$AA$18)-$T17)^2+(_xlfn.XLOOKUP(AU$1,$Z$2:$Z$18,$AB$2:$AB$18)-$U17)^2+(_xlfn.XLOOKUP(AU$1,$Z$2:$Z$18,$AC$2:$AC$18-$V17)^2)))</f>
        <v/>
      </c>
      <c r="AV17" s="126" t="str" cm="1">
        <f t="array" ref="AV17">IF(OR(AV$1=0, $A17="", _xlfn.XLOOKUP(AV$1, $Z$2:$Z$18, $AD$2:$AD$18, "")=""),"",SQRT((_xlfn.XLOOKUP(AV$1,$Z$2:$Z$18,$AA$2:$AA$18)-$T17)^2+(_xlfn.XLOOKUP(AV$1,$Z$2:$Z$18,$AB$2:$AB$18)-$U17)^2+(_xlfn.XLOOKUP(AV$1,$Z$2:$Z$18,$AC$2:$AC$18-$V17)^2)))</f>
        <v/>
      </c>
      <c r="AW17" s="127"/>
      <c r="AX17" s="127"/>
      <c r="AY17" s="128">
        <f t="shared" si="3"/>
        <v>-40.980681195336253</v>
      </c>
      <c r="AZ17" s="137">
        <f t="shared" si="4"/>
        <v>-32.651598334859486</v>
      </c>
      <c r="BA17" s="137">
        <f t="shared" si="5"/>
        <v>-32.173763572847079</v>
      </c>
      <c r="BB17" s="137">
        <f t="shared" si="6"/>
        <v>-40.94723722194427</v>
      </c>
      <c r="BC17" s="137">
        <f t="shared" si="7"/>
        <v>-44.930139466929539</v>
      </c>
      <c r="BD17" s="137">
        <f t="shared" si="8"/>
        <v>-41.009098586856595</v>
      </c>
      <c r="BE17" s="137">
        <f t="shared" si="9"/>
        <v>-41.009098586856595</v>
      </c>
      <c r="BF17" s="137">
        <f t="shared" si="10"/>
        <v>0</v>
      </c>
      <c r="BG17" s="138">
        <f t="shared" si="11"/>
        <v>0</v>
      </c>
      <c r="BH17" s="138">
        <f t="shared" si="12"/>
        <v>0</v>
      </c>
      <c r="BI17" s="138">
        <f t="shared" si="13"/>
        <v>0</v>
      </c>
      <c r="BJ17" s="138">
        <f t="shared" si="14"/>
        <v>0</v>
      </c>
      <c r="BK17" s="138">
        <f t="shared" si="15"/>
        <v>0</v>
      </c>
      <c r="BL17" s="138">
        <f t="shared" si="16"/>
        <v>0</v>
      </c>
      <c r="BM17" s="139">
        <f t="shared" si="17"/>
        <v>0</v>
      </c>
      <c r="BN17" s="127"/>
      <c r="BO17" s="41" t="s">
        <v>49</v>
      </c>
      <c r="BP17" s="115">
        <f>ABS(BS6-BS7)</f>
        <v>0</v>
      </c>
      <c r="BQ17" s="127"/>
      <c r="BR17" s="127"/>
      <c r="BS17" s="127"/>
      <c r="BT17" s="127"/>
      <c r="BU17" s="127"/>
      <c r="BV17" s="133"/>
      <c r="BW17" s="133">
        <v>4</v>
      </c>
      <c r="BX17" s="133">
        <v>10</v>
      </c>
      <c r="BY17" s="133">
        <v>10</v>
      </c>
      <c r="BZ17" s="133">
        <v>13</v>
      </c>
      <c r="CA17" s="133">
        <v>8</v>
      </c>
      <c r="CB17" s="133"/>
      <c r="CC17" s="133"/>
      <c r="CD17" s="133"/>
      <c r="CE17" s="133"/>
      <c r="CF17" s="133"/>
      <c r="CG17" s="133"/>
      <c r="CH17" s="133"/>
      <c r="CI17" s="133"/>
      <c r="CJ17" s="133"/>
      <c r="CL17" s="127"/>
      <c r="CM17" s="133" t="s">
        <v>32</v>
      </c>
      <c r="CN17" s="133"/>
      <c r="CO17" s="133" t="s">
        <v>32</v>
      </c>
      <c r="CP17" s="133" t="s">
        <v>32</v>
      </c>
      <c r="CQ17" s="133" t="s">
        <v>32</v>
      </c>
      <c r="CR17" s="133" t="s">
        <v>32</v>
      </c>
      <c r="CS17" s="133"/>
      <c r="CT17" s="133"/>
      <c r="CU17" s="133"/>
      <c r="CV17" s="133"/>
      <c r="CW17" s="133"/>
      <c r="CX17" s="133"/>
      <c r="CY17" s="133"/>
      <c r="CZ17" s="133"/>
      <c r="DA17" s="133"/>
      <c r="DB17" s="127"/>
      <c r="DC17" s="127"/>
      <c r="DD17" s="133"/>
      <c r="DE17" s="133"/>
      <c r="DF17" s="133"/>
      <c r="DG17" s="133"/>
      <c r="DH17" s="133"/>
      <c r="DI17" s="133"/>
      <c r="DJ17" s="133"/>
      <c r="DK17" s="133"/>
      <c r="DL17" s="133"/>
      <c r="DM17" s="133"/>
      <c r="DN17" s="133"/>
      <c r="DO17" s="133"/>
      <c r="DP17" s="133"/>
      <c r="DQ17" s="133"/>
      <c r="DR17" s="133"/>
      <c r="DT17" s="127"/>
      <c r="DU17" s="191" cm="1">
        <f t="array" ref="DU17">_xlfn.IFS(DU$1= 0,"", NOT(ISBLANK(CM17)), 0, ISBLANK(CM17), $Q17-$S17+AY17-BV17-DD17)</f>
        <v>0</v>
      </c>
      <c r="DV17" s="192" cm="1">
        <f t="array" ref="DV17">_xlfn.IFS(DV$1= 0,"", NOT(ISBLANK(CN17)), 0, ISBLANK(CN17), $Q17-$S17+AZ17-BW17-DE17)</f>
        <v>42.369001578420139</v>
      </c>
      <c r="DW17" s="192" cm="1">
        <f t="array" ref="DW17">_xlfn.IFS(DW$1= 0,"", NOT(ISBLANK(CO17)), 0, ISBLANK(CO17), $Q17-$S17+BA17-BX17-DF17)</f>
        <v>0</v>
      </c>
      <c r="DX17" s="192" cm="1">
        <f t="array" ref="DX17">_xlfn.IFS(DX$1= 0,"", NOT(ISBLANK(CP17)), 0, ISBLANK(CP17), $Q17-$S17+BB17-BY17-DG17)</f>
        <v>0</v>
      </c>
      <c r="DY17" s="192" cm="1">
        <f t="array" ref="DY17">_xlfn.IFS(DY$1= 0,"", NOT(ISBLANK(CQ17)), 0, ISBLANK(CQ17), $Q17-$S17+BC17-BZ17-DH17)</f>
        <v>0</v>
      </c>
      <c r="DZ17" s="192" cm="1">
        <f t="array" ref="DZ17">_xlfn.IFS(DZ$1= 0,"", NOT(ISBLANK(CR17)), 0, ISBLANK(CR17), $Q17-$S17+BD17-CA17-DI17)</f>
        <v>0</v>
      </c>
      <c r="EA17" s="192" cm="1">
        <f t="array" ref="EA17">_xlfn.IFS(EA$1= 0,"", NOT(ISBLANK(CS17)), 0, ISBLANK(CS17), $Q17-$S17+BE17-CB17-DJ17)</f>
        <v>38.01150132642303</v>
      </c>
      <c r="EB17" s="192" t="str" cm="1">
        <f t="array" ref="EB17">_xlfn.IFS(EB$1= 0,"", NOT(ISBLANK(CT17)), 0, ISBLANK(CT17), $Q17-$S17+BF17-CC17-DK17)</f>
        <v/>
      </c>
      <c r="EC17" s="192" t="str" cm="1">
        <f t="array" ref="EC17">_xlfn.IFS(EC$1= 0,"", NOT(ISBLANK(CU17)), 0, ISBLANK(CU17), $Q17-$S17+BG17-CD17-DL17)</f>
        <v/>
      </c>
      <c r="ED17" s="192" t="str" cm="1">
        <f t="array" ref="ED17">_xlfn.IFS(ED$1= 0,"", NOT(ISBLANK(CV17)), 0, ISBLANK(CV17), $Q17-$S17+BH17-CE17-DM17)</f>
        <v/>
      </c>
      <c r="EE17" s="192" t="str" cm="1">
        <f t="array" ref="EE17">_xlfn.IFS(EE$1= 0,"", NOT(ISBLANK(CW17)), 0, ISBLANK(CW17), $Q17-$S17+BI17-CF17-DN17)</f>
        <v/>
      </c>
      <c r="EF17" s="192" t="str" cm="1">
        <f t="array" ref="EF17">_xlfn.IFS(EF$1= 0,"", NOT(ISBLANK(CX17)), 0, ISBLANK(CX17), $Q17-$S17+BJ17-CG17-DO17)</f>
        <v/>
      </c>
      <c r="EG17" s="192" t="str" cm="1">
        <f t="array" ref="EG17">_xlfn.IFS(EG$1= 0,"", NOT(ISBLANK(CY17)), 0, ISBLANK(CY17), $Q17-$S17+BK17-CH17-DP17)</f>
        <v/>
      </c>
      <c r="EH17" s="192" t="str" cm="1">
        <f t="array" ref="EH17">_xlfn.IFS(EH$1= 0,"", NOT(ISBLANK(CZ17)), 0, ISBLANK(CZ17), $Q17-$S17+BL17-CI17-DQ17)</f>
        <v/>
      </c>
      <c r="EI17" s="193" t="str" cm="1">
        <f t="array" ref="EI17">_xlfn.IFS(EI$1= 0,"", NOT(ISBLANK(DA17)), 0, ISBLANK(DA17), $Q17-$S17+BM17-CJ17-DR17)</f>
        <v/>
      </c>
    </row>
    <row r="18" spans="1:139" ht="17.25" customHeight="1" thickBot="1" x14ac:dyDescent="0.35">
      <c r="A18" s="183">
        <v>2</v>
      </c>
      <c r="B18" s="134" t="s">
        <v>113</v>
      </c>
      <c r="C18" s="134" t="s">
        <v>93</v>
      </c>
      <c r="D18" s="135" t="s">
        <v>86</v>
      </c>
      <c r="E18" s="166" t="s">
        <v>255</v>
      </c>
      <c r="F18" s="174"/>
      <c r="G18" s="3"/>
      <c r="H18" s="3"/>
      <c r="I18" s="3"/>
      <c r="J18" s="3"/>
      <c r="K18" s="3"/>
      <c r="L18" s="3"/>
      <c r="M18" s="178"/>
      <c r="N18" s="174">
        <v>58</v>
      </c>
      <c r="O18" s="175">
        <v>5</v>
      </c>
      <c r="P18" s="169">
        <v>1</v>
      </c>
      <c r="Q18" s="122">
        <f t="shared" si="18"/>
        <v>76.010299956639813</v>
      </c>
      <c r="R18" s="2">
        <v>2</v>
      </c>
      <c r="S18" s="2"/>
      <c r="T18" s="3">
        <v>73.849999999999994</v>
      </c>
      <c r="U18" s="3">
        <v>112.39</v>
      </c>
      <c r="V18" s="104">
        <f t="shared" si="2"/>
        <v>74</v>
      </c>
      <c r="W18" s="78">
        <v>70</v>
      </c>
      <c r="X18" s="136">
        <v>4</v>
      </c>
      <c r="AE18" s="21" t="s">
        <v>50</v>
      </c>
      <c r="AH18" s="185" cm="1">
        <f t="array" ref="AH18">IF(OR(AH$1=0, $A18="", _xlfn.XLOOKUP(AH$1, $Z$2:$Z$18, $AD$2:$AD$18, "")=""),"",SQRT((_xlfn.XLOOKUP(AH$1,$Z$2:$Z$18,$AA$2:$AA$18)-$T18)^2+(_xlfn.XLOOKUP(AH$1,$Z$2:$Z$18,$AB$2:$AB$18)-$U18)^2+(_xlfn.XLOOKUP(AH$1,$Z$2:$Z$18,$AC$2:$AC$18-$V18)^2)))</f>
        <v>153.49701821208123</v>
      </c>
      <c r="AI18" s="124" cm="1">
        <f t="array" ref="AI18">IF(OR(AI$1=0, $A18="", _xlfn.XLOOKUP(AI$1, $Z$2:$Z$18, $AD$2:$AD$18, "")=""),"",SQRT((_xlfn.XLOOKUP(AI$1,$Z$2:$Z$18,$AA$2:$AA$18)-$T18)^2+(_xlfn.XLOOKUP(AI$1,$Z$2:$Z$18,$AB$2:$AB$18)-$U18)^2+(_xlfn.XLOOKUP(AI$1,$Z$2:$Z$18,$AC$2:$AC$18-$V18)^2)))</f>
        <v>49.432355800629203</v>
      </c>
      <c r="AJ18" s="124" cm="1">
        <f t="array" ref="AJ18">IF(OR(AJ$1=0, $A18="", _xlfn.XLOOKUP(AJ$1, $Z$2:$Z$18, $AD$2:$AD$18, "")=""),"",SQRT((_xlfn.XLOOKUP(AJ$1,$Z$2:$Z$18,$AA$2:$AA$18)-$T18)^2+(_xlfn.XLOOKUP(AJ$1,$Z$2:$Z$18,$AB$2:$AB$18)-$U18)^2+(_xlfn.XLOOKUP(AJ$1,$Z$2:$Z$18,$AC$2:$AC$18-$V18)^2)))</f>
        <v>75.215273050092691</v>
      </c>
      <c r="AK18" s="124" cm="1">
        <f t="array" ref="AK18">IF(OR(AK$1=0, $A18="", _xlfn.XLOOKUP(AK$1, $Z$2:$Z$18, $AD$2:$AD$18, "")=""),"",SQRT((_xlfn.XLOOKUP(AK$1,$Z$2:$Z$18,$AA$2:$AA$18)-$T18)^2+(_xlfn.XLOOKUP(AK$1,$Z$2:$Z$18,$AB$2:$AB$18)-$U18)^2+(_xlfn.XLOOKUP(AK$1,$Z$2:$Z$18,$AC$2:$AC$18-$V18)^2)))</f>
        <v>169.62015711583336</v>
      </c>
      <c r="AL18" s="124" cm="1">
        <f t="array" ref="AL18">IF(OR(AL$1=0, $A18="", _xlfn.XLOOKUP(AL$1, $Z$2:$Z$18, $AD$2:$AD$18, "")=""),"",SQRT((_xlfn.XLOOKUP(AL$1,$Z$2:$Z$18,$AA$2:$AA$18)-$T18)^2+(_xlfn.XLOOKUP(AL$1,$Z$2:$Z$18,$AB$2:$AB$18)-$U18)^2+(_xlfn.XLOOKUP(AL$1,$Z$2:$Z$18,$AC$2:$AC$18-$V18)^2)))</f>
        <v>246.7337952125732</v>
      </c>
      <c r="AM18" s="124" cm="1">
        <f t="array" ref="AM18">IF(OR(AM$1=0, $A18="", _xlfn.XLOOKUP(AM$1, $Z$2:$Z$18, $AD$2:$AD$18, "")=""),"",SQRT((_xlfn.XLOOKUP(AM$1,$Z$2:$Z$18,$AA$2:$AA$18)-$T18)^2+(_xlfn.XLOOKUP(AM$1,$Z$2:$Z$18,$AB$2:$AB$18)-$U18)^2+(_xlfn.XLOOKUP(AM$1,$Z$2:$Z$18,$AC$2:$AC$18-$V18)^2)))</f>
        <v>121.18423164752087</v>
      </c>
      <c r="AN18" s="124" cm="1">
        <f t="array" ref="AN18">IF(OR(AN$1=0, $A18="", _xlfn.XLOOKUP(AN$1, $Z$2:$Z$18, $AD$2:$AD$18, "")=""),"",SQRT((_xlfn.XLOOKUP(AN$1,$Z$2:$Z$18,$AA$2:$AA$18)-$T18)^2+(_xlfn.XLOOKUP(AN$1,$Z$2:$Z$18,$AB$2:$AB$18)-$U18)^2+(_xlfn.XLOOKUP(AN$1,$Z$2:$Z$18,$AC$2:$AC$18-$V18)^2)))</f>
        <v>121.18423164752087</v>
      </c>
      <c r="AO18" s="124" t="str" cm="1">
        <f t="array" ref="AO18">IF(OR(AO$1=0, $A18="", _xlfn.XLOOKUP(AO$1, $Z$2:$Z$18, $AD$2:$AD$18, "")=""),"",SQRT((_xlfn.XLOOKUP(AO$1,$Z$2:$Z$18,$AA$2:$AA$18)-$T18)^2+(_xlfn.XLOOKUP(AO$1,$Z$2:$Z$18,$AB$2:$AB$18)-$U18)^2+(_xlfn.XLOOKUP(AO$1,$Z$2:$Z$18,$AC$2:$AC$18-$V18)^2)))</f>
        <v/>
      </c>
      <c r="AP18" s="125" t="str" cm="1">
        <f t="array" ref="AP18">IF(OR(AP$1=0, $A18="", _xlfn.XLOOKUP(AP$1, $Z$2:$Z$18, $AD$2:$AD$18, "")=""),"",SQRT((_xlfn.XLOOKUP(AP$1,$Z$2:$Z$18,$AA$2:$AA$18)-$T18)^2+(_xlfn.XLOOKUP(AP$1,$Z$2:$Z$18,$AB$2:$AB$18)-$U18)^2+(_xlfn.XLOOKUP(AP$1,$Z$2:$Z$18,$AC$2:$AC$18-$V18)^2)))</f>
        <v/>
      </c>
      <c r="AQ18" s="125" t="str" cm="1">
        <f t="array" ref="AQ18">IF(OR(AQ$1=0, $A18="", _xlfn.XLOOKUP(AQ$1, $Z$2:$Z$18, $AD$2:$AD$18, "")=""),"",SQRT((_xlfn.XLOOKUP(AQ$1,$Z$2:$Z$18,$AA$2:$AA$18)-$T18)^2+(_xlfn.XLOOKUP(AQ$1,$Z$2:$Z$18,$AB$2:$AB$18)-$U18)^2+(_xlfn.XLOOKUP(AQ$1,$Z$2:$Z$18,$AC$2:$AC$18-$V18)^2)))</f>
        <v/>
      </c>
      <c r="AR18" s="125" t="str" cm="1">
        <f t="array" ref="AR18">IF(OR(AR$1=0, $A18="", _xlfn.XLOOKUP(AR$1, $Z$2:$Z$18, $AD$2:$AD$18, "")=""),"",SQRT((_xlfn.XLOOKUP(AR$1,$Z$2:$Z$18,$AA$2:$AA$18)-$T18)^2+(_xlfn.XLOOKUP(AR$1,$Z$2:$Z$18,$AB$2:$AB$18)-$U18)^2+(_xlfn.XLOOKUP(AR$1,$Z$2:$Z$18,$AC$2:$AC$18-$V18)^2)))</f>
        <v/>
      </c>
      <c r="AS18" s="125" t="str" cm="1">
        <f t="array" ref="AS18">IF(OR(AS$1=0, $A18="", _xlfn.XLOOKUP(AS$1, $Z$2:$Z$18, $AD$2:$AD$18, "")=""),"",SQRT((_xlfn.XLOOKUP(AS$1,$Z$2:$Z$18,$AA$2:$AA$18)-$T18)^2+(_xlfn.XLOOKUP(AS$1,$Z$2:$Z$18,$AB$2:$AB$18)-$U18)^2+(_xlfn.XLOOKUP(AS$1,$Z$2:$Z$18,$AC$2:$AC$18-$V18)^2)))</f>
        <v/>
      </c>
      <c r="AT18" s="125" t="str" cm="1">
        <f t="array" ref="AT18">IF(OR(AT$1=0, $A18="", _xlfn.XLOOKUP(AT$1, $Z$2:$Z$18, $AD$2:$AD$18, "")=""),"",SQRT((_xlfn.XLOOKUP(AT$1,$Z$2:$Z$18,$AA$2:$AA$18)-$T18)^2+(_xlfn.XLOOKUP(AT$1,$Z$2:$Z$18,$AB$2:$AB$18)-$U18)^2+(_xlfn.XLOOKUP(AT$1,$Z$2:$Z$18,$AC$2:$AC$18-$V18)^2)))</f>
        <v/>
      </c>
      <c r="AU18" s="125" t="str" cm="1">
        <f t="array" ref="AU18">IF(OR(AU$1=0, $A18="", _xlfn.XLOOKUP(AU$1, $Z$2:$Z$18, $AD$2:$AD$18, "")=""),"",SQRT((_xlfn.XLOOKUP(AU$1,$Z$2:$Z$18,$AA$2:$AA$18)-$T18)^2+(_xlfn.XLOOKUP(AU$1,$Z$2:$Z$18,$AB$2:$AB$18)-$U18)^2+(_xlfn.XLOOKUP(AU$1,$Z$2:$Z$18,$AC$2:$AC$18-$V18)^2)))</f>
        <v/>
      </c>
      <c r="AV18" s="126" t="str" cm="1">
        <f t="array" ref="AV18">IF(OR(AV$1=0, $A18="", _xlfn.XLOOKUP(AV$1, $Z$2:$Z$18, $AD$2:$AD$18, "")=""),"",SQRT((_xlfn.XLOOKUP(AV$1,$Z$2:$Z$18,$AA$2:$AA$18)-$T18)^2+(_xlfn.XLOOKUP(AV$1,$Z$2:$Z$18,$AB$2:$AB$18)-$U18)^2+(_xlfn.XLOOKUP(AV$1,$Z$2:$Z$18,$AC$2:$AC$18-$V18)^2)))</f>
        <v/>
      </c>
      <c r="AW18" s="127"/>
      <c r="AX18" s="127"/>
      <c r="AY18" s="128">
        <f t="shared" si="3"/>
        <v>-41.384096805298512</v>
      </c>
      <c r="AZ18" s="137">
        <f t="shared" si="4"/>
        <v>-31.542324099954989</v>
      </c>
      <c r="BA18" s="137">
        <f t="shared" si="5"/>
        <v>-35.18821866575729</v>
      </c>
      <c r="BB18" s="137">
        <f t="shared" si="6"/>
        <v>-42.251647159969053</v>
      </c>
      <c r="BC18" s="137">
        <f t="shared" si="7"/>
        <v>-45.506670717495467</v>
      </c>
      <c r="BD18" s="137">
        <f t="shared" si="8"/>
        <v>-39.331020209117781</v>
      </c>
      <c r="BE18" s="137">
        <f t="shared" si="9"/>
        <v>-39.331020209117781</v>
      </c>
      <c r="BF18" s="137">
        <f t="shared" si="10"/>
        <v>0</v>
      </c>
      <c r="BG18" s="138">
        <f t="shared" si="11"/>
        <v>0</v>
      </c>
      <c r="BH18" s="138">
        <f t="shared" si="12"/>
        <v>0</v>
      </c>
      <c r="BI18" s="138">
        <f t="shared" si="13"/>
        <v>0</v>
      </c>
      <c r="BJ18" s="138">
        <f t="shared" si="14"/>
        <v>0</v>
      </c>
      <c r="BK18" s="138">
        <f t="shared" si="15"/>
        <v>0</v>
      </c>
      <c r="BL18" s="138">
        <f t="shared" si="16"/>
        <v>0</v>
      </c>
      <c r="BM18" s="139">
        <f t="shared" si="17"/>
        <v>0</v>
      </c>
      <c r="BN18" s="127"/>
      <c r="BO18" s="41" t="s">
        <v>51</v>
      </c>
      <c r="BP18" s="115">
        <f>SQRT((BQ7-BQ6)^2+(BR7-BR6)^2)</f>
        <v>11.757657079537571</v>
      </c>
      <c r="BQ18" s="127"/>
      <c r="BR18" s="127"/>
      <c r="BS18" s="127"/>
      <c r="BT18" s="127"/>
      <c r="BU18" s="127"/>
      <c r="BV18" s="133"/>
      <c r="BW18" s="133">
        <v>5</v>
      </c>
      <c r="BX18" s="133">
        <v>14</v>
      </c>
      <c r="BY18" s="133">
        <v>11</v>
      </c>
      <c r="BZ18" s="133">
        <v>12</v>
      </c>
      <c r="CA18" s="133">
        <v>5</v>
      </c>
      <c r="CB18" s="133"/>
      <c r="CC18" s="133"/>
      <c r="CD18" s="133"/>
      <c r="CE18" s="133"/>
      <c r="CF18" s="133"/>
      <c r="CG18" s="133"/>
      <c r="CH18" s="133"/>
      <c r="CI18" s="133"/>
      <c r="CJ18" s="133"/>
      <c r="CL18" s="127"/>
      <c r="CM18" s="133" t="s">
        <v>32</v>
      </c>
      <c r="CN18" s="133"/>
      <c r="CO18" s="133" t="s">
        <v>32</v>
      </c>
      <c r="CP18" s="133" t="s">
        <v>32</v>
      </c>
      <c r="CQ18" s="133" t="s">
        <v>32</v>
      </c>
      <c r="CR18" s="133" t="s">
        <v>32</v>
      </c>
      <c r="CS18" s="133"/>
      <c r="CT18" s="133"/>
      <c r="CU18" s="133"/>
      <c r="CV18" s="133"/>
      <c r="CW18" s="133"/>
      <c r="CX18" s="133"/>
      <c r="CY18" s="133"/>
      <c r="CZ18" s="133"/>
      <c r="DA18" s="133"/>
      <c r="DB18" s="127"/>
      <c r="DC18" s="127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T18" s="127"/>
      <c r="DU18" s="191" cm="1">
        <f t="array" ref="DU18">_xlfn.IFS(DU$1= 0,"", NOT(ISBLANK(CM18)), 0, ISBLANK(CM18), $Q18-$S18+AY18-BV18-DD18)</f>
        <v>0</v>
      </c>
      <c r="DV18" s="192" cm="1">
        <f t="array" ref="DV18">_xlfn.IFS(DV$1= 0,"", NOT(ISBLANK(CN18)), 0, ISBLANK(CN18), $Q18-$S18+AZ18-BW18-DE18)</f>
        <v>39.467975856684824</v>
      </c>
      <c r="DW18" s="192" cm="1">
        <f t="array" ref="DW18">_xlfn.IFS(DW$1= 0,"", NOT(ISBLANK(CO18)), 0, ISBLANK(CO18), $Q18-$S18+BA18-BX18-DF18)</f>
        <v>0</v>
      </c>
      <c r="DX18" s="192" cm="1">
        <f t="array" ref="DX18">_xlfn.IFS(DX$1= 0,"", NOT(ISBLANK(CP18)), 0, ISBLANK(CP18), $Q18-$S18+BB18-BY18-DG18)</f>
        <v>0</v>
      </c>
      <c r="DY18" s="192" cm="1">
        <f t="array" ref="DY18">_xlfn.IFS(DY$1= 0,"", NOT(ISBLANK(CQ18)), 0, ISBLANK(CQ18), $Q18-$S18+BC18-BZ18-DH18)</f>
        <v>0</v>
      </c>
      <c r="DZ18" s="192" cm="1">
        <f t="array" ref="DZ18">_xlfn.IFS(DZ$1= 0,"", NOT(ISBLANK(CR18)), 0, ISBLANK(CR18), $Q18-$S18+BD18-CA18-DI18)</f>
        <v>0</v>
      </c>
      <c r="EA18" s="192" cm="1">
        <f t="array" ref="EA18">_xlfn.IFS(EA$1= 0,"", NOT(ISBLANK(CS18)), 0, ISBLANK(CS18), $Q18-$S18+BE18-CB18-DJ18)</f>
        <v>36.679279747522031</v>
      </c>
      <c r="EB18" s="192" t="str" cm="1">
        <f t="array" ref="EB18">_xlfn.IFS(EB$1= 0,"", NOT(ISBLANK(CT18)), 0, ISBLANK(CT18), $Q18-$S18+BF18-CC18-DK18)</f>
        <v/>
      </c>
      <c r="EC18" s="192" t="str" cm="1">
        <f t="array" ref="EC18">_xlfn.IFS(EC$1= 0,"", NOT(ISBLANK(CU18)), 0, ISBLANK(CU18), $Q18-$S18+BG18-CD18-DL18)</f>
        <v/>
      </c>
      <c r="ED18" s="192" t="str" cm="1">
        <f t="array" ref="ED18">_xlfn.IFS(ED$1= 0,"", NOT(ISBLANK(CV18)), 0, ISBLANK(CV18), $Q18-$S18+BH18-CE18-DM18)</f>
        <v/>
      </c>
      <c r="EE18" s="192" t="str" cm="1">
        <f t="array" ref="EE18">_xlfn.IFS(EE$1= 0,"", NOT(ISBLANK(CW18)), 0, ISBLANK(CW18), $Q18-$S18+BI18-CF18-DN18)</f>
        <v/>
      </c>
      <c r="EF18" s="192" t="str" cm="1">
        <f t="array" ref="EF18">_xlfn.IFS(EF$1= 0,"", NOT(ISBLANK(CX18)), 0, ISBLANK(CX18), $Q18-$S18+BJ18-CG18-DO18)</f>
        <v/>
      </c>
      <c r="EG18" s="192" t="str" cm="1">
        <f t="array" ref="EG18">_xlfn.IFS(EG$1= 0,"", NOT(ISBLANK(CY18)), 0, ISBLANK(CY18), $Q18-$S18+BK18-CH18-DP18)</f>
        <v/>
      </c>
      <c r="EH18" s="192" t="str" cm="1">
        <f t="array" ref="EH18">_xlfn.IFS(EH$1= 0,"", NOT(ISBLANK(CZ18)), 0, ISBLANK(CZ18), $Q18-$S18+BL18-CI18-DQ18)</f>
        <v/>
      </c>
      <c r="EI18" s="193" t="str" cm="1">
        <f t="array" ref="EI18">_xlfn.IFS(EI$1= 0,"", NOT(ISBLANK(DA18)), 0, ISBLANK(DA18), $Q18-$S18+BM18-CJ18-DR18)</f>
        <v/>
      </c>
    </row>
    <row r="19" spans="1:139" ht="17.25" customHeight="1" thickBot="1" x14ac:dyDescent="0.35">
      <c r="A19" s="183">
        <v>2</v>
      </c>
      <c r="B19" s="134" t="s">
        <v>114</v>
      </c>
      <c r="C19" s="134" t="s">
        <v>93</v>
      </c>
      <c r="D19" s="135" t="s">
        <v>86</v>
      </c>
      <c r="E19" s="166" t="s">
        <v>255</v>
      </c>
      <c r="F19" s="174"/>
      <c r="G19" s="3"/>
      <c r="H19" s="3"/>
      <c r="I19" s="3"/>
      <c r="J19" s="3"/>
      <c r="K19" s="3"/>
      <c r="L19" s="3"/>
      <c r="M19" s="178"/>
      <c r="N19" s="174">
        <v>58</v>
      </c>
      <c r="O19" s="175">
        <v>5</v>
      </c>
      <c r="P19" s="169">
        <v>1</v>
      </c>
      <c r="Q19" s="122">
        <f t="shared" si="18"/>
        <v>76.010299956639813</v>
      </c>
      <c r="R19" s="2">
        <v>2</v>
      </c>
      <c r="S19" s="2"/>
      <c r="T19" s="3">
        <v>89.73</v>
      </c>
      <c r="U19" s="3">
        <v>129.58000000000001</v>
      </c>
      <c r="V19" s="104">
        <f t="shared" si="2"/>
        <v>74</v>
      </c>
      <c r="W19" s="78">
        <v>70</v>
      </c>
      <c r="X19" s="136">
        <v>4</v>
      </c>
      <c r="AE19" s="21" t="s">
        <v>52</v>
      </c>
      <c r="AF19" s="21" t="s">
        <v>53</v>
      </c>
      <c r="AH19" s="185" cm="1">
        <f t="array" ref="AH19">IF(OR(AH$1=0, $A19="", _xlfn.XLOOKUP(AH$1, $Z$2:$Z$18, $AD$2:$AD$18, "")=""),"",SQRT((_xlfn.XLOOKUP(AH$1,$Z$2:$Z$18,$AA$2:$AA$18)-$T19)^2+(_xlfn.XLOOKUP(AH$1,$Z$2:$Z$18,$AB$2:$AB$18)-$U19)^2+(_xlfn.XLOOKUP(AH$1,$Z$2:$Z$18,$AC$2:$AC$18-$V19)^2)))</f>
        <v>174.12193802045738</v>
      </c>
      <c r="AI19" s="124" cm="1">
        <f t="array" ref="AI19">IF(OR(AI$1=0, $A19="", _xlfn.XLOOKUP(AI$1, $Z$2:$Z$18, $AD$2:$AD$18, "")=""),"",SQRT((_xlfn.XLOOKUP(AI$1,$Z$2:$Z$18,$AA$2:$AA$18)-$T19)^2+(_xlfn.XLOOKUP(AI$1,$Z$2:$Z$18,$AB$2:$AB$18)-$U19)^2+(_xlfn.XLOOKUP(AI$1,$Z$2:$Z$18,$AC$2:$AC$18-$V19)^2)))</f>
        <v>72.111608635503345</v>
      </c>
      <c r="AJ19" s="124" cm="1">
        <f t="array" ref="AJ19">IF(OR(AJ$1=0, $A19="", _xlfn.XLOOKUP(AJ$1, $Z$2:$Z$18, $AD$2:$AD$18, "")=""),"",SQRT((_xlfn.XLOOKUP(AJ$1,$Z$2:$Z$18,$AA$2:$AA$18)-$T19)^2+(_xlfn.XLOOKUP(AJ$1,$Z$2:$Z$18,$AB$2:$AB$18)-$U19)^2+(_xlfn.XLOOKUP(AJ$1,$Z$2:$Z$18,$AC$2:$AC$18-$V19)^2)))</f>
        <v>85.308195385906501</v>
      </c>
      <c r="AK19" s="124" cm="1">
        <f t="array" ref="AK19">IF(OR(AK$1=0, $A19="", _xlfn.XLOOKUP(AK$1, $Z$2:$Z$18, $AD$2:$AD$18, "")=""),"",SQRT((_xlfn.XLOOKUP(AK$1,$Z$2:$Z$18,$AA$2:$AA$18)-$T19)^2+(_xlfn.XLOOKUP(AK$1,$Z$2:$Z$18,$AB$2:$AB$18)-$U19)^2+(_xlfn.XLOOKUP(AK$1,$Z$2:$Z$18,$AC$2:$AC$18-$V19)^2)))</f>
        <v>166.92011502512213</v>
      </c>
      <c r="AL19" s="124" cm="1">
        <f t="array" ref="AL19">IF(OR(AL$1=0, $A19="", _xlfn.XLOOKUP(AL$1, $Z$2:$Z$18, $AD$2:$AD$18, "")=""),"",SQRT((_xlfn.XLOOKUP(AL$1,$Z$2:$Z$18,$AA$2:$AA$18)-$T19)^2+(_xlfn.XLOOKUP(AL$1,$Z$2:$Z$18,$AB$2:$AB$18)-$U19)^2+(_xlfn.XLOOKUP(AL$1,$Z$2:$Z$18,$AC$2:$AC$18-$V19)^2)))</f>
        <v>233.65705168044897</v>
      </c>
      <c r="AM19" s="124" cm="1">
        <f t="array" ref="AM19">IF(OR(AM$1=0, $A19="", _xlfn.XLOOKUP(AM$1, $Z$2:$Z$18, $AD$2:$AD$18, "")=""),"",SQRT((_xlfn.XLOOKUP(AM$1,$Z$2:$Z$18,$AA$2:$AA$18)-$T19)^2+(_xlfn.XLOOKUP(AM$1,$Z$2:$Z$18,$AB$2:$AB$18)-$U19)^2+(_xlfn.XLOOKUP(AM$1,$Z$2:$Z$18,$AC$2:$AC$18-$V19)^2)))</f>
        <v>116.78746722144462</v>
      </c>
      <c r="AN19" s="124" cm="1">
        <f t="array" ref="AN19">IF(OR(AN$1=0, $A19="", _xlfn.XLOOKUP(AN$1, $Z$2:$Z$18, $AD$2:$AD$18, "")=""),"",SQRT((_xlfn.XLOOKUP(AN$1,$Z$2:$Z$18,$AA$2:$AA$18)-$T19)^2+(_xlfn.XLOOKUP(AN$1,$Z$2:$Z$18,$AB$2:$AB$18)-$U19)^2+(_xlfn.XLOOKUP(AN$1,$Z$2:$Z$18,$AC$2:$AC$18-$V19)^2)))</f>
        <v>116.78746722144462</v>
      </c>
      <c r="AO19" s="124" t="str" cm="1">
        <f t="array" ref="AO19">IF(OR(AO$1=0, $A19="", _xlfn.XLOOKUP(AO$1, $Z$2:$Z$18, $AD$2:$AD$18, "")=""),"",SQRT((_xlfn.XLOOKUP(AO$1,$Z$2:$Z$18,$AA$2:$AA$18)-$T19)^2+(_xlfn.XLOOKUP(AO$1,$Z$2:$Z$18,$AB$2:$AB$18)-$U19)^2+(_xlfn.XLOOKUP(AO$1,$Z$2:$Z$18,$AC$2:$AC$18-$V19)^2)))</f>
        <v/>
      </c>
      <c r="AP19" s="125" t="str" cm="1">
        <f t="array" ref="AP19">IF(OR(AP$1=0, $A19="", _xlfn.XLOOKUP(AP$1, $Z$2:$Z$18, $AD$2:$AD$18, "")=""),"",SQRT((_xlfn.XLOOKUP(AP$1,$Z$2:$Z$18,$AA$2:$AA$18)-$T19)^2+(_xlfn.XLOOKUP(AP$1,$Z$2:$Z$18,$AB$2:$AB$18)-$U19)^2+(_xlfn.XLOOKUP(AP$1,$Z$2:$Z$18,$AC$2:$AC$18-$V19)^2)))</f>
        <v/>
      </c>
      <c r="AQ19" s="125" t="str" cm="1">
        <f t="array" ref="AQ19">IF(OR(AQ$1=0, $A19="", _xlfn.XLOOKUP(AQ$1, $Z$2:$Z$18, $AD$2:$AD$18, "")=""),"",SQRT((_xlfn.XLOOKUP(AQ$1,$Z$2:$Z$18,$AA$2:$AA$18)-$T19)^2+(_xlfn.XLOOKUP(AQ$1,$Z$2:$Z$18,$AB$2:$AB$18)-$U19)^2+(_xlfn.XLOOKUP(AQ$1,$Z$2:$Z$18,$AC$2:$AC$18-$V19)^2)))</f>
        <v/>
      </c>
      <c r="AR19" s="125" t="str" cm="1">
        <f t="array" ref="AR19">IF(OR(AR$1=0, $A19="", _xlfn.XLOOKUP(AR$1, $Z$2:$Z$18, $AD$2:$AD$18, "")=""),"",SQRT((_xlfn.XLOOKUP(AR$1,$Z$2:$Z$18,$AA$2:$AA$18)-$T19)^2+(_xlfn.XLOOKUP(AR$1,$Z$2:$Z$18,$AB$2:$AB$18)-$U19)^2+(_xlfn.XLOOKUP(AR$1,$Z$2:$Z$18,$AC$2:$AC$18-$V19)^2)))</f>
        <v/>
      </c>
      <c r="AS19" s="125" t="str" cm="1">
        <f t="array" ref="AS19">IF(OR(AS$1=0, $A19="", _xlfn.XLOOKUP(AS$1, $Z$2:$Z$18, $AD$2:$AD$18, "")=""),"",SQRT((_xlfn.XLOOKUP(AS$1,$Z$2:$Z$18,$AA$2:$AA$18)-$T19)^2+(_xlfn.XLOOKUP(AS$1,$Z$2:$Z$18,$AB$2:$AB$18)-$U19)^2+(_xlfn.XLOOKUP(AS$1,$Z$2:$Z$18,$AC$2:$AC$18-$V19)^2)))</f>
        <v/>
      </c>
      <c r="AT19" s="125" t="str" cm="1">
        <f t="array" ref="AT19">IF(OR(AT$1=0, $A19="", _xlfn.XLOOKUP(AT$1, $Z$2:$Z$18, $AD$2:$AD$18, "")=""),"",SQRT((_xlfn.XLOOKUP(AT$1,$Z$2:$Z$18,$AA$2:$AA$18)-$T19)^2+(_xlfn.XLOOKUP(AT$1,$Z$2:$Z$18,$AB$2:$AB$18)-$U19)^2+(_xlfn.XLOOKUP(AT$1,$Z$2:$Z$18,$AC$2:$AC$18-$V19)^2)))</f>
        <v/>
      </c>
      <c r="AU19" s="125" t="str" cm="1">
        <f t="array" ref="AU19">IF(OR(AU$1=0, $A19="", _xlfn.XLOOKUP(AU$1, $Z$2:$Z$18, $AD$2:$AD$18, "")=""),"",SQRT((_xlfn.XLOOKUP(AU$1,$Z$2:$Z$18,$AA$2:$AA$18)-$T19)^2+(_xlfn.XLOOKUP(AU$1,$Z$2:$Z$18,$AB$2:$AB$18)-$U19)^2+(_xlfn.XLOOKUP(AU$1,$Z$2:$Z$18,$AC$2:$AC$18-$V19)^2)))</f>
        <v/>
      </c>
      <c r="AV19" s="126" t="str" cm="1">
        <f t="array" ref="AV19">IF(OR(AV$1=0, $A19="", _xlfn.XLOOKUP(AV$1, $Z$2:$Z$18, $AD$2:$AD$18, "")=""),"",SQRT((_xlfn.XLOOKUP(AV$1,$Z$2:$Z$18,$AA$2:$AA$18)-$T19)^2+(_xlfn.XLOOKUP(AV$1,$Z$2:$Z$18,$AB$2:$AB$18)-$U19)^2+(_xlfn.XLOOKUP(AV$1,$Z$2:$Z$18,$AC$2:$AC$18-$V19)^2)))</f>
        <v/>
      </c>
      <c r="AW19" s="127"/>
      <c r="AX19" s="127"/>
      <c r="AY19" s="128">
        <f t="shared" si="3"/>
        <v>-42.479167783288645</v>
      </c>
      <c r="AZ19" s="137">
        <f t="shared" si="4"/>
        <v>-34.82220161149305</v>
      </c>
      <c r="BA19" s="137">
        <f t="shared" si="5"/>
        <v>-36.281913036228403</v>
      </c>
      <c r="BB19" s="137">
        <f t="shared" si="6"/>
        <v>-42.112271443198949</v>
      </c>
      <c r="BC19" s="137">
        <f t="shared" si="7"/>
        <v>-45.033675784921769</v>
      </c>
      <c r="BD19" s="137">
        <f t="shared" si="8"/>
        <v>-39.01002273619185</v>
      </c>
      <c r="BE19" s="137">
        <f t="shared" si="9"/>
        <v>-39.01002273619185</v>
      </c>
      <c r="BF19" s="137">
        <f t="shared" si="10"/>
        <v>0</v>
      </c>
      <c r="BG19" s="138">
        <f t="shared" si="11"/>
        <v>0</v>
      </c>
      <c r="BH19" s="138">
        <f t="shared" si="12"/>
        <v>0</v>
      </c>
      <c r="BI19" s="138">
        <f t="shared" si="13"/>
        <v>0</v>
      </c>
      <c r="BJ19" s="138">
        <f t="shared" si="14"/>
        <v>0</v>
      </c>
      <c r="BK19" s="138">
        <f t="shared" si="15"/>
        <v>0</v>
      </c>
      <c r="BL19" s="138">
        <f t="shared" si="16"/>
        <v>0</v>
      </c>
      <c r="BM19" s="139">
        <f t="shared" si="17"/>
        <v>0</v>
      </c>
      <c r="BN19" s="127"/>
      <c r="BO19" s="41" t="s">
        <v>54</v>
      </c>
      <c r="BP19" s="115">
        <f>BP17/BP18</f>
        <v>0</v>
      </c>
      <c r="BQ19" s="127"/>
      <c r="BR19" s="127"/>
      <c r="BS19" s="127"/>
      <c r="BT19" s="127"/>
      <c r="BU19" s="127"/>
      <c r="BV19" s="133"/>
      <c r="BW19" s="133">
        <v>6</v>
      </c>
      <c r="BX19" s="133">
        <v>15</v>
      </c>
      <c r="BY19" s="133">
        <v>12</v>
      </c>
      <c r="BZ19" s="133">
        <v>12</v>
      </c>
      <c r="CA19" s="133">
        <v>6</v>
      </c>
      <c r="CB19" s="133"/>
      <c r="CC19" s="133"/>
      <c r="CD19" s="133"/>
      <c r="CE19" s="133"/>
      <c r="CF19" s="133"/>
      <c r="CG19" s="133"/>
      <c r="CH19" s="133"/>
      <c r="CI19" s="133"/>
      <c r="CJ19" s="133"/>
      <c r="CL19" s="127"/>
      <c r="CM19" s="133" t="s">
        <v>32</v>
      </c>
      <c r="CN19" s="133"/>
      <c r="CO19" s="133" t="s">
        <v>32</v>
      </c>
      <c r="CP19" s="133" t="s">
        <v>32</v>
      </c>
      <c r="CQ19" s="133" t="s">
        <v>32</v>
      </c>
      <c r="CR19" s="133" t="s">
        <v>32</v>
      </c>
      <c r="CS19" s="133"/>
      <c r="CT19" s="133"/>
      <c r="CU19" s="133"/>
      <c r="CV19" s="133"/>
      <c r="CW19" s="133"/>
      <c r="CX19" s="133"/>
      <c r="CY19" s="133"/>
      <c r="CZ19" s="133"/>
      <c r="DA19" s="133"/>
      <c r="DB19" s="127"/>
      <c r="DC19" s="127"/>
      <c r="DD19" s="133"/>
      <c r="DE19" s="133"/>
      <c r="DF19" s="133"/>
      <c r="DG19" s="133"/>
      <c r="DH19" s="133"/>
      <c r="DI19" s="133"/>
      <c r="DJ19" s="133"/>
      <c r="DK19" s="133"/>
      <c r="DL19" s="133"/>
      <c r="DM19" s="133"/>
      <c r="DN19" s="133"/>
      <c r="DO19" s="133"/>
      <c r="DP19" s="133"/>
      <c r="DQ19" s="133"/>
      <c r="DR19" s="133"/>
      <c r="DT19" s="127"/>
      <c r="DU19" s="191" cm="1">
        <f t="array" ref="DU19">_xlfn.IFS(DU$1= 0,"", NOT(ISBLANK(CM19)), 0, ISBLANK(CM19), $Q19-$S19+AY19-BV19-DD19)</f>
        <v>0</v>
      </c>
      <c r="DV19" s="192" cm="1">
        <f t="array" ref="DV19">_xlfn.IFS(DV$1= 0,"", NOT(ISBLANK(CN19)), 0, ISBLANK(CN19), $Q19-$S19+AZ19-BW19-DE19)</f>
        <v>35.188098345146763</v>
      </c>
      <c r="DW19" s="192" cm="1">
        <f t="array" ref="DW19">_xlfn.IFS(DW$1= 0,"", NOT(ISBLANK(CO19)), 0, ISBLANK(CO19), $Q19-$S19+BA19-BX19-DF19)</f>
        <v>0</v>
      </c>
      <c r="DX19" s="192" cm="1">
        <f t="array" ref="DX19">_xlfn.IFS(DX$1= 0,"", NOT(ISBLANK(CP19)), 0, ISBLANK(CP19), $Q19-$S19+BB19-BY19-DG19)</f>
        <v>0</v>
      </c>
      <c r="DY19" s="192" cm="1">
        <f t="array" ref="DY19">_xlfn.IFS(DY$1= 0,"", NOT(ISBLANK(CQ19)), 0, ISBLANK(CQ19), $Q19-$S19+BC19-BZ19-DH19)</f>
        <v>0</v>
      </c>
      <c r="DZ19" s="192" cm="1">
        <f t="array" ref="DZ19">_xlfn.IFS(DZ$1= 0,"", NOT(ISBLANK(CR19)), 0, ISBLANK(CR19), $Q19-$S19+BD19-CA19-DI19)</f>
        <v>0</v>
      </c>
      <c r="EA19" s="192" cm="1">
        <f t="array" ref="EA19">_xlfn.IFS(EA$1= 0,"", NOT(ISBLANK(CS19)), 0, ISBLANK(CS19), $Q19-$S19+BE19-CB19-DJ19)</f>
        <v>37.000277220447963</v>
      </c>
      <c r="EB19" s="192" t="str" cm="1">
        <f t="array" ref="EB19">_xlfn.IFS(EB$1= 0,"", NOT(ISBLANK(CT19)), 0, ISBLANK(CT19), $Q19-$S19+BF19-CC19-DK19)</f>
        <v/>
      </c>
      <c r="EC19" s="192" t="str" cm="1">
        <f t="array" ref="EC19">_xlfn.IFS(EC$1= 0,"", NOT(ISBLANK(CU19)), 0, ISBLANK(CU19), $Q19-$S19+BG19-CD19-DL19)</f>
        <v/>
      </c>
      <c r="ED19" s="192" t="str" cm="1">
        <f t="array" ref="ED19">_xlfn.IFS(ED$1= 0,"", NOT(ISBLANK(CV19)), 0, ISBLANK(CV19), $Q19-$S19+BH19-CE19-DM19)</f>
        <v/>
      </c>
      <c r="EE19" s="192" t="str" cm="1">
        <f t="array" ref="EE19">_xlfn.IFS(EE$1= 0,"", NOT(ISBLANK(CW19)), 0, ISBLANK(CW19), $Q19-$S19+BI19-CF19-DN19)</f>
        <v/>
      </c>
      <c r="EF19" s="192" t="str" cm="1">
        <f t="array" ref="EF19">_xlfn.IFS(EF$1= 0,"", NOT(ISBLANK(CX19)), 0, ISBLANK(CX19), $Q19-$S19+BJ19-CG19-DO19)</f>
        <v/>
      </c>
      <c r="EG19" s="192" t="str" cm="1">
        <f t="array" ref="EG19">_xlfn.IFS(EG$1= 0,"", NOT(ISBLANK(CY19)), 0, ISBLANK(CY19), $Q19-$S19+BK19-CH19-DP19)</f>
        <v/>
      </c>
      <c r="EH19" s="192" t="str" cm="1">
        <f t="array" ref="EH19">_xlfn.IFS(EH$1= 0,"", NOT(ISBLANK(CZ19)), 0, ISBLANK(CZ19), $Q19-$S19+BL19-CI19-DQ19)</f>
        <v/>
      </c>
      <c r="EI19" s="193" t="str" cm="1">
        <f t="array" ref="EI19">_xlfn.IFS(EI$1= 0,"", NOT(ISBLANK(DA19)), 0, ISBLANK(DA19), $Q19-$S19+BM19-CJ19-DR19)</f>
        <v/>
      </c>
    </row>
    <row r="20" spans="1:139" ht="17.25" customHeight="1" thickBot="1" x14ac:dyDescent="0.35">
      <c r="A20" s="183">
        <v>2</v>
      </c>
      <c r="B20" s="134" t="s">
        <v>115</v>
      </c>
      <c r="C20" s="134" t="s">
        <v>93</v>
      </c>
      <c r="D20" s="135" t="s">
        <v>86</v>
      </c>
      <c r="E20" s="166" t="s">
        <v>255</v>
      </c>
      <c r="F20" s="174"/>
      <c r="G20" s="3"/>
      <c r="H20" s="3"/>
      <c r="I20" s="3"/>
      <c r="J20" s="3"/>
      <c r="K20" s="3"/>
      <c r="L20" s="3"/>
      <c r="M20" s="178"/>
      <c r="N20" s="174">
        <v>58</v>
      </c>
      <c r="O20" s="175">
        <v>5</v>
      </c>
      <c r="P20" s="169">
        <v>1</v>
      </c>
      <c r="Q20" s="122">
        <f t="shared" si="18"/>
        <v>76.010299956639813</v>
      </c>
      <c r="R20" s="2">
        <v>2</v>
      </c>
      <c r="S20" s="2"/>
      <c r="T20" s="3">
        <v>109.54</v>
      </c>
      <c r="U20" s="3">
        <v>133.58000000000001</v>
      </c>
      <c r="V20" s="104">
        <f t="shared" si="2"/>
        <v>74</v>
      </c>
      <c r="W20" s="78">
        <v>70</v>
      </c>
      <c r="X20" s="136">
        <v>4</v>
      </c>
      <c r="AE20" s="105">
        <v>150</v>
      </c>
      <c r="AF20" s="106">
        <v>1370</v>
      </c>
      <c r="AH20" s="185" cm="1">
        <f t="array" ref="AH20">IF(OR(AH$1=0, $A20="", _xlfn.XLOOKUP(AH$1, $Z$2:$Z$18, $AD$2:$AD$18, "")=""),"",SQRT((_xlfn.XLOOKUP(AH$1,$Z$2:$Z$18,$AA$2:$AA$18)-$T20)^2+(_xlfn.XLOOKUP(AH$1,$Z$2:$Z$18,$AB$2:$AB$18)-$U20)^2+(_xlfn.XLOOKUP(AH$1,$Z$2:$Z$18,$AC$2:$AC$18-$V20)^2)))</f>
        <v>187.93250916219898</v>
      </c>
      <c r="AI20" s="124" cm="1">
        <f t="array" ref="AI20">IF(OR(AI$1=0, $A20="", _xlfn.XLOOKUP(AI$1, $Z$2:$Z$18, $AD$2:$AD$18, "")=""),"",SQRT((_xlfn.XLOOKUP(AI$1,$Z$2:$Z$18,$AA$2:$AA$18)-$T20)^2+(_xlfn.XLOOKUP(AI$1,$Z$2:$Z$18,$AB$2:$AB$18)-$U20)^2+(_xlfn.XLOOKUP(AI$1,$Z$2:$Z$18,$AC$2:$AC$18-$V20)^2)))</f>
        <v>90.535900061798699</v>
      </c>
      <c r="AJ20" s="124" cm="1">
        <f t="array" ref="AJ20">IF(OR(AJ$1=0, $A20="", _xlfn.XLOOKUP(AJ$1, $Z$2:$Z$18, $AD$2:$AD$18, "")=""),"",SQRT((_xlfn.XLOOKUP(AJ$1,$Z$2:$Z$18,$AA$2:$AA$18)-$T20)^2+(_xlfn.XLOOKUP(AJ$1,$Z$2:$Z$18,$AB$2:$AB$18)-$U20)^2+(_xlfn.XLOOKUP(AJ$1,$Z$2:$Z$18,$AC$2:$AC$18-$V20)^2)))</f>
        <v>87.809239263303041</v>
      </c>
      <c r="AK20" s="124" cm="1">
        <f t="array" ref="AK20">IF(OR(AK$1=0, $A20="", _xlfn.XLOOKUP(AK$1, $Z$2:$Z$18, $AD$2:$AD$18, "")=""),"",SQRT((_xlfn.XLOOKUP(AK$1,$Z$2:$Z$18,$AA$2:$AA$18)-$T20)^2+(_xlfn.XLOOKUP(AK$1,$Z$2:$Z$18,$AB$2:$AB$18)-$U20)^2+(_xlfn.XLOOKUP(AK$1,$Z$2:$Z$18,$AC$2:$AC$18-$V20)^2)))</f>
        <v>155.19203362286351</v>
      </c>
      <c r="AL20" s="124" cm="1">
        <f t="array" ref="AL20">IF(OR(AL$1=0, $A20="", _xlfn.XLOOKUP(AL$1, $Z$2:$Z$18, $AD$2:$AD$18, "")=""),"",SQRT((_xlfn.XLOOKUP(AL$1,$Z$2:$Z$18,$AA$2:$AA$18)-$T20)^2+(_xlfn.XLOOKUP(AL$1,$Z$2:$Z$18,$AB$2:$AB$18)-$U20)^2+(_xlfn.XLOOKUP(AL$1,$Z$2:$Z$18,$AC$2:$AC$18-$V20)^2)))</f>
        <v>215.28911560968427</v>
      </c>
      <c r="AM20" s="124" cm="1">
        <f t="array" ref="AM20">IF(OR(AM$1=0, $A20="", _xlfn.XLOOKUP(AM$1, $Z$2:$Z$18, $AD$2:$AD$18, "")=""),"",SQRT((_xlfn.XLOOKUP(AM$1,$Z$2:$Z$18,$AA$2:$AA$18)-$T20)^2+(_xlfn.XLOOKUP(AM$1,$Z$2:$Z$18,$AB$2:$AB$18)-$U20)^2+(_xlfn.XLOOKUP(AM$1,$Z$2:$Z$18,$AC$2:$AC$18-$V20)^2)))</f>
        <v>127.92598875912587</v>
      </c>
      <c r="AN20" s="124" cm="1">
        <f t="array" ref="AN20">IF(OR(AN$1=0, $A20="", _xlfn.XLOOKUP(AN$1, $Z$2:$Z$18, $AD$2:$AD$18, "")=""),"",SQRT((_xlfn.XLOOKUP(AN$1,$Z$2:$Z$18,$AA$2:$AA$18)-$T20)^2+(_xlfn.XLOOKUP(AN$1,$Z$2:$Z$18,$AB$2:$AB$18)-$U20)^2+(_xlfn.XLOOKUP(AN$1,$Z$2:$Z$18,$AC$2:$AC$18-$V20)^2)))</f>
        <v>127.92598875912587</v>
      </c>
      <c r="AO20" s="124" t="str" cm="1">
        <f t="array" ref="AO20">IF(OR(AO$1=0, $A20="", _xlfn.XLOOKUP(AO$1, $Z$2:$Z$18, $AD$2:$AD$18, "")=""),"",SQRT((_xlfn.XLOOKUP(AO$1,$Z$2:$Z$18,$AA$2:$AA$18)-$T20)^2+(_xlfn.XLOOKUP(AO$1,$Z$2:$Z$18,$AB$2:$AB$18)-$U20)^2+(_xlfn.XLOOKUP(AO$1,$Z$2:$Z$18,$AC$2:$AC$18-$V20)^2)))</f>
        <v/>
      </c>
      <c r="AP20" s="125" t="str" cm="1">
        <f t="array" ref="AP20">IF(OR(AP$1=0, $A20="", _xlfn.XLOOKUP(AP$1, $Z$2:$Z$18, $AD$2:$AD$18, "")=""),"",SQRT((_xlfn.XLOOKUP(AP$1,$Z$2:$Z$18,$AA$2:$AA$18)-$T20)^2+(_xlfn.XLOOKUP(AP$1,$Z$2:$Z$18,$AB$2:$AB$18)-$U20)^2+(_xlfn.XLOOKUP(AP$1,$Z$2:$Z$18,$AC$2:$AC$18-$V20)^2)))</f>
        <v/>
      </c>
      <c r="AQ20" s="125" t="str" cm="1">
        <f t="array" ref="AQ20">IF(OR(AQ$1=0, $A20="", _xlfn.XLOOKUP(AQ$1, $Z$2:$Z$18, $AD$2:$AD$18, "")=""),"",SQRT((_xlfn.XLOOKUP(AQ$1,$Z$2:$Z$18,$AA$2:$AA$18)-$T20)^2+(_xlfn.XLOOKUP(AQ$1,$Z$2:$Z$18,$AB$2:$AB$18)-$U20)^2+(_xlfn.XLOOKUP(AQ$1,$Z$2:$Z$18,$AC$2:$AC$18-$V20)^2)))</f>
        <v/>
      </c>
      <c r="AR20" s="125" t="str" cm="1">
        <f t="array" ref="AR20">IF(OR(AR$1=0, $A20="", _xlfn.XLOOKUP(AR$1, $Z$2:$Z$18, $AD$2:$AD$18, "")=""),"",SQRT((_xlfn.XLOOKUP(AR$1,$Z$2:$Z$18,$AA$2:$AA$18)-$T20)^2+(_xlfn.XLOOKUP(AR$1,$Z$2:$Z$18,$AB$2:$AB$18)-$U20)^2+(_xlfn.XLOOKUP(AR$1,$Z$2:$Z$18,$AC$2:$AC$18-$V20)^2)))</f>
        <v/>
      </c>
      <c r="AS20" s="125" t="str" cm="1">
        <f t="array" ref="AS20">IF(OR(AS$1=0, $A20="", _xlfn.XLOOKUP(AS$1, $Z$2:$Z$18, $AD$2:$AD$18, "")=""),"",SQRT((_xlfn.XLOOKUP(AS$1,$Z$2:$Z$18,$AA$2:$AA$18)-$T20)^2+(_xlfn.XLOOKUP(AS$1,$Z$2:$Z$18,$AB$2:$AB$18)-$U20)^2+(_xlfn.XLOOKUP(AS$1,$Z$2:$Z$18,$AC$2:$AC$18-$V20)^2)))</f>
        <v/>
      </c>
      <c r="AT20" s="125" t="str" cm="1">
        <f t="array" ref="AT20">IF(OR(AT$1=0, $A20="", _xlfn.XLOOKUP(AT$1, $Z$2:$Z$18, $AD$2:$AD$18, "")=""),"",SQRT((_xlfn.XLOOKUP(AT$1,$Z$2:$Z$18,$AA$2:$AA$18)-$T20)^2+(_xlfn.XLOOKUP(AT$1,$Z$2:$Z$18,$AB$2:$AB$18)-$U20)^2+(_xlfn.XLOOKUP(AT$1,$Z$2:$Z$18,$AC$2:$AC$18-$V20)^2)))</f>
        <v/>
      </c>
      <c r="AU20" s="125" t="str" cm="1">
        <f t="array" ref="AU20">IF(OR(AU$1=0, $A20="", _xlfn.XLOOKUP(AU$1, $Z$2:$Z$18, $AD$2:$AD$18, "")=""),"",SQRT((_xlfn.XLOOKUP(AU$1,$Z$2:$Z$18,$AA$2:$AA$18)-$T20)^2+(_xlfn.XLOOKUP(AU$1,$Z$2:$Z$18,$AB$2:$AB$18)-$U20)^2+(_xlfn.XLOOKUP(AU$1,$Z$2:$Z$18,$AC$2:$AC$18-$V20)^2)))</f>
        <v/>
      </c>
      <c r="AV20" s="126" t="str" cm="1">
        <f t="array" ref="AV20">IF(OR(AV$1=0, $A20="", _xlfn.XLOOKUP(AV$1, $Z$2:$Z$18, $AD$2:$AD$18, "")=""),"",SQRT((_xlfn.XLOOKUP(AV$1,$Z$2:$Z$18,$AA$2:$AA$18)-$T20)^2+(_xlfn.XLOOKUP(AV$1,$Z$2:$Z$18,$AB$2:$AB$18)-$U20)^2+(_xlfn.XLOOKUP(AV$1,$Z$2:$Z$18,$AC$2:$AC$18-$V20)^2)))</f>
        <v/>
      </c>
      <c r="AW20" s="127"/>
      <c r="AX20" s="127"/>
      <c r="AY20" s="128">
        <f t="shared" si="3"/>
        <v>-43.142136181683533</v>
      </c>
      <c r="AZ20" s="137">
        <f t="shared" si="4"/>
        <v>-36.798514406595245</v>
      </c>
      <c r="BA20" s="137">
        <f t="shared" si="5"/>
        <v>-36.532902229988785</v>
      </c>
      <c r="BB20" s="137">
        <f t="shared" si="6"/>
        <v>-41.479486419392771</v>
      </c>
      <c r="BC20" s="137">
        <f t="shared" si="7"/>
        <v>-44.322539411233699</v>
      </c>
      <c r="BD20" s="137">
        <f t="shared" si="8"/>
        <v>-39.801273584616801</v>
      </c>
      <c r="BE20" s="137">
        <f t="shared" si="9"/>
        <v>-39.801273584616801</v>
      </c>
      <c r="BF20" s="137">
        <f t="shared" si="10"/>
        <v>0</v>
      </c>
      <c r="BG20" s="138">
        <f t="shared" si="11"/>
        <v>0</v>
      </c>
      <c r="BH20" s="138">
        <f t="shared" si="12"/>
        <v>0</v>
      </c>
      <c r="BI20" s="138">
        <f t="shared" si="13"/>
        <v>0</v>
      </c>
      <c r="BJ20" s="138">
        <f t="shared" si="14"/>
        <v>0</v>
      </c>
      <c r="BK20" s="138">
        <f t="shared" si="15"/>
        <v>0</v>
      </c>
      <c r="BL20" s="138">
        <f t="shared" si="16"/>
        <v>0</v>
      </c>
      <c r="BM20" s="139">
        <f t="shared" si="17"/>
        <v>0</v>
      </c>
      <c r="BN20" s="127"/>
      <c r="BO20" s="41" t="s">
        <v>55</v>
      </c>
      <c r="BP20" s="42">
        <f>SQRT((BR12-_xlfn.XLOOKUP(MIN(BS6:BS7),BS6:BS7,BQ6:BQ7))^2+(BR13-_xlfn.XLOOKUP(MIN(BS6:BS7),BS6:BS7,BR6:BR7))^2)</f>
        <v>4.1292599190338386</v>
      </c>
      <c r="BQ20" s="127"/>
      <c r="BR20" s="127"/>
      <c r="BS20" s="127"/>
      <c r="BT20" s="127"/>
      <c r="BU20" s="127"/>
      <c r="BV20" s="133"/>
      <c r="BW20" s="133">
        <v>7</v>
      </c>
      <c r="BX20" s="133">
        <v>15</v>
      </c>
      <c r="BY20" s="133">
        <v>12</v>
      </c>
      <c r="BZ20" s="133">
        <v>11</v>
      </c>
      <c r="CA20" s="133">
        <v>6</v>
      </c>
      <c r="CB20" s="133"/>
      <c r="CC20" s="133"/>
      <c r="CD20" s="133"/>
      <c r="CE20" s="133"/>
      <c r="CF20" s="133"/>
      <c r="CG20" s="133"/>
      <c r="CH20" s="133"/>
      <c r="CI20" s="133"/>
      <c r="CJ20" s="133"/>
      <c r="CL20" s="127"/>
      <c r="CM20" s="133" t="s">
        <v>32</v>
      </c>
      <c r="CN20" s="133"/>
      <c r="CO20" s="133" t="s">
        <v>32</v>
      </c>
      <c r="CP20" s="133" t="s">
        <v>32</v>
      </c>
      <c r="CQ20" s="133" t="s">
        <v>32</v>
      </c>
      <c r="CR20" s="133" t="s">
        <v>32</v>
      </c>
      <c r="CS20" s="133"/>
      <c r="CT20" s="133"/>
      <c r="CU20" s="133"/>
      <c r="CV20" s="133"/>
      <c r="CW20" s="133"/>
      <c r="CX20" s="133"/>
      <c r="CY20" s="133"/>
      <c r="CZ20" s="133"/>
      <c r="DA20" s="133"/>
      <c r="DB20" s="127"/>
      <c r="DC20" s="127"/>
      <c r="DD20" s="133"/>
      <c r="DE20" s="133"/>
      <c r="DF20" s="133"/>
      <c r="DG20" s="133"/>
      <c r="DH20" s="133"/>
      <c r="DI20" s="133"/>
      <c r="DJ20" s="133"/>
      <c r="DK20" s="133"/>
      <c r="DL20" s="133"/>
      <c r="DM20" s="133"/>
      <c r="DN20" s="133"/>
      <c r="DO20" s="133"/>
      <c r="DP20" s="133"/>
      <c r="DQ20" s="133"/>
      <c r="DR20" s="133"/>
      <c r="DT20" s="127"/>
      <c r="DU20" s="191" cm="1">
        <f t="array" ref="DU20">_xlfn.IFS(DU$1= 0,"", NOT(ISBLANK(CM20)), 0, ISBLANK(CM20), $Q20-$S20+AY20-BV20-DD20)</f>
        <v>0</v>
      </c>
      <c r="DV20" s="192" cm="1">
        <f t="array" ref="DV20">_xlfn.IFS(DV$1= 0,"", NOT(ISBLANK(CN20)), 0, ISBLANK(CN20), $Q20-$S20+AZ20-BW20-DE20)</f>
        <v>32.211785550044567</v>
      </c>
      <c r="DW20" s="192" cm="1">
        <f t="array" ref="DW20">_xlfn.IFS(DW$1= 0,"", NOT(ISBLANK(CO20)), 0, ISBLANK(CO20), $Q20-$S20+BA20-BX20-DF20)</f>
        <v>0</v>
      </c>
      <c r="DX20" s="192" cm="1">
        <f t="array" ref="DX20">_xlfn.IFS(DX$1= 0,"", NOT(ISBLANK(CP20)), 0, ISBLANK(CP20), $Q20-$S20+BB20-BY20-DG20)</f>
        <v>0</v>
      </c>
      <c r="DY20" s="192" cm="1">
        <f t="array" ref="DY20">_xlfn.IFS(DY$1= 0,"", NOT(ISBLANK(CQ20)), 0, ISBLANK(CQ20), $Q20-$S20+BC20-BZ20-DH20)</f>
        <v>0</v>
      </c>
      <c r="DZ20" s="192" cm="1">
        <f t="array" ref="DZ20">_xlfn.IFS(DZ$1= 0,"", NOT(ISBLANK(CR20)), 0, ISBLANK(CR20), $Q20-$S20+BD20-CA20-DI20)</f>
        <v>0</v>
      </c>
      <c r="EA20" s="192" cm="1">
        <f t="array" ref="EA20">_xlfn.IFS(EA$1= 0,"", NOT(ISBLANK(CS20)), 0, ISBLANK(CS20), $Q20-$S20+BE20-CB20-DJ20)</f>
        <v>36.209026372023011</v>
      </c>
      <c r="EB20" s="192" t="str" cm="1">
        <f t="array" ref="EB20">_xlfn.IFS(EB$1= 0,"", NOT(ISBLANK(CT20)), 0, ISBLANK(CT20), $Q20-$S20+BF20-CC20-DK20)</f>
        <v/>
      </c>
      <c r="EC20" s="192" t="str" cm="1">
        <f t="array" ref="EC20">_xlfn.IFS(EC$1= 0,"", NOT(ISBLANK(CU20)), 0, ISBLANK(CU20), $Q20-$S20+BG20-CD20-DL20)</f>
        <v/>
      </c>
      <c r="ED20" s="192" t="str" cm="1">
        <f t="array" ref="ED20">_xlfn.IFS(ED$1= 0,"", NOT(ISBLANK(CV20)), 0, ISBLANK(CV20), $Q20-$S20+BH20-CE20-DM20)</f>
        <v/>
      </c>
      <c r="EE20" s="192" t="str" cm="1">
        <f t="array" ref="EE20">_xlfn.IFS(EE$1= 0,"", NOT(ISBLANK(CW20)), 0, ISBLANK(CW20), $Q20-$S20+BI20-CF20-DN20)</f>
        <v/>
      </c>
      <c r="EF20" s="192" t="str" cm="1">
        <f t="array" ref="EF20">_xlfn.IFS(EF$1= 0,"", NOT(ISBLANK(CX20)), 0, ISBLANK(CX20), $Q20-$S20+BJ20-CG20-DO20)</f>
        <v/>
      </c>
      <c r="EG20" s="192" t="str" cm="1">
        <f t="array" ref="EG20">_xlfn.IFS(EG$1= 0,"", NOT(ISBLANK(CY20)), 0, ISBLANK(CY20), $Q20-$S20+BK20-CH20-DP20)</f>
        <v/>
      </c>
      <c r="EH20" s="192" t="str" cm="1">
        <f t="array" ref="EH20">_xlfn.IFS(EH$1= 0,"", NOT(ISBLANK(CZ20)), 0, ISBLANK(CZ20), $Q20-$S20+BL20-CI20-DQ20)</f>
        <v/>
      </c>
      <c r="EI20" s="193" t="str" cm="1">
        <f t="array" ref="EI20">_xlfn.IFS(EI$1= 0,"", NOT(ISBLANK(DA20)), 0, ISBLANK(DA20), $Q20-$S20+BM20-CJ20-DR20)</f>
        <v/>
      </c>
    </row>
    <row r="21" spans="1:139" ht="17.25" customHeight="1" thickBot="1" x14ac:dyDescent="0.35">
      <c r="A21" s="183">
        <v>2</v>
      </c>
      <c r="B21" s="134" t="s">
        <v>116</v>
      </c>
      <c r="C21" s="134" t="s">
        <v>93</v>
      </c>
      <c r="D21" s="135" t="s">
        <v>86</v>
      </c>
      <c r="E21" s="166" t="s">
        <v>255</v>
      </c>
      <c r="F21" s="174"/>
      <c r="G21" s="3"/>
      <c r="H21" s="3"/>
      <c r="I21" s="3"/>
      <c r="J21" s="3"/>
      <c r="K21" s="3"/>
      <c r="L21" s="3"/>
      <c r="M21" s="178"/>
      <c r="N21" s="174">
        <v>58</v>
      </c>
      <c r="O21" s="175">
        <v>5</v>
      </c>
      <c r="P21" s="169">
        <v>1</v>
      </c>
      <c r="Q21" s="122">
        <f t="shared" si="18"/>
        <v>76.010299956639813</v>
      </c>
      <c r="R21" s="2">
        <v>2</v>
      </c>
      <c r="S21" s="2"/>
      <c r="T21" s="3">
        <v>129.19999999999999</v>
      </c>
      <c r="U21" s="3">
        <v>137.57</v>
      </c>
      <c r="V21" s="104">
        <f t="shared" si="2"/>
        <v>74</v>
      </c>
      <c r="W21" s="78">
        <v>70</v>
      </c>
      <c r="X21" s="136">
        <v>4</v>
      </c>
      <c r="AH21" s="185" cm="1">
        <f t="array" ref="AH21">IF(OR(AH$1=0, $A21="", _xlfn.XLOOKUP(AH$1, $Z$2:$Z$18, $AD$2:$AD$18, "")=""),"",SQRT((_xlfn.XLOOKUP(AH$1,$Z$2:$Z$18,$AA$2:$AA$18)-$T21)^2+(_xlfn.XLOOKUP(AH$1,$Z$2:$Z$18,$AB$2:$AB$18)-$U21)^2+(_xlfn.XLOOKUP(AH$1,$Z$2:$Z$18,$AC$2:$AC$18-$V21)^2)))</f>
        <v>202.71690827358233</v>
      </c>
      <c r="AI21" s="124" cm="1">
        <f t="array" ref="AI21">IF(OR(AI$1=0, $A21="", _xlfn.XLOOKUP(AI$1, $Z$2:$Z$18, $AD$2:$AD$18, "")=""),"",SQRT((_xlfn.XLOOKUP(AI$1,$Z$2:$Z$18,$AA$2:$AA$18)-$T21)^2+(_xlfn.XLOOKUP(AI$1,$Z$2:$Z$18,$AB$2:$AB$18)-$U21)^2+(_xlfn.XLOOKUP(AI$1,$Z$2:$Z$18,$AC$2:$AC$18-$V21)^2)))</f>
        <v>109.45523696927432</v>
      </c>
      <c r="AJ21" s="124" cm="1">
        <f t="array" ref="AJ21">IF(OR(AJ$1=0, $A21="", _xlfn.XLOOKUP(AJ$1, $Z$2:$Z$18, $AD$2:$AD$18, "")=""),"",SQRT((_xlfn.XLOOKUP(AJ$1,$Z$2:$Z$18,$AA$2:$AA$18)-$T21)^2+(_xlfn.XLOOKUP(AJ$1,$Z$2:$Z$18,$AB$2:$AB$18)-$U21)^2+(_xlfn.XLOOKUP(AJ$1,$Z$2:$Z$18,$AC$2:$AC$18-$V21)^2)))</f>
        <v>94.610868297463568</v>
      </c>
      <c r="AK21" s="124" cm="1">
        <f t="array" ref="AK21">IF(OR(AK$1=0, $A21="", _xlfn.XLOOKUP(AK$1, $Z$2:$Z$18, $AD$2:$AD$18, "")=""),"",SQRT((_xlfn.XLOOKUP(AK$1,$Z$2:$Z$18,$AA$2:$AA$18)-$T21)^2+(_xlfn.XLOOKUP(AK$1,$Z$2:$Z$18,$AB$2:$AB$18)-$U21)^2+(_xlfn.XLOOKUP(AK$1,$Z$2:$Z$18,$AC$2:$AC$18-$V21)^2)))</f>
        <v>145.42249138286692</v>
      </c>
      <c r="AL21" s="124" cm="1">
        <f t="array" ref="AL21">IF(OR(AL$1=0, $A21="", _xlfn.XLOOKUP(AL$1, $Z$2:$Z$18, $AD$2:$AD$18, "")=""),"",SQRT((_xlfn.XLOOKUP(AL$1,$Z$2:$Z$18,$AA$2:$AA$18)-$T21)^2+(_xlfn.XLOOKUP(AL$1,$Z$2:$Z$18,$AB$2:$AB$18)-$U21)^2+(_xlfn.XLOOKUP(AL$1,$Z$2:$Z$18,$AC$2:$AC$18-$V21)^2)))</f>
        <v>197.42167054302828</v>
      </c>
      <c r="AM21" s="124" cm="1">
        <f t="array" ref="AM21">IF(OR(AM$1=0, $A21="", _xlfn.XLOOKUP(AM$1, $Z$2:$Z$18, $AD$2:$AD$18, "")=""),"",SQRT((_xlfn.XLOOKUP(AM$1,$Z$2:$Z$18,$AA$2:$AA$18)-$T21)^2+(_xlfn.XLOOKUP(AM$1,$Z$2:$Z$18,$AB$2:$AB$18)-$U21)^2+(_xlfn.XLOOKUP(AM$1,$Z$2:$Z$18,$AC$2:$AC$18-$V21)^2)))</f>
        <v>140.97761701773794</v>
      </c>
      <c r="AN21" s="124" cm="1">
        <f t="array" ref="AN21">IF(OR(AN$1=0, $A21="", _xlfn.XLOOKUP(AN$1, $Z$2:$Z$18, $AD$2:$AD$18, "")=""),"",SQRT((_xlfn.XLOOKUP(AN$1,$Z$2:$Z$18,$AA$2:$AA$18)-$T21)^2+(_xlfn.XLOOKUP(AN$1,$Z$2:$Z$18,$AB$2:$AB$18)-$U21)^2+(_xlfn.XLOOKUP(AN$1,$Z$2:$Z$18,$AC$2:$AC$18-$V21)^2)))</f>
        <v>140.97761701773794</v>
      </c>
      <c r="AO21" s="124" t="str" cm="1">
        <f t="array" ref="AO21">IF(OR(AO$1=0, $A21="", _xlfn.XLOOKUP(AO$1, $Z$2:$Z$18, $AD$2:$AD$18, "")=""),"",SQRT((_xlfn.XLOOKUP(AO$1,$Z$2:$Z$18,$AA$2:$AA$18)-$T21)^2+(_xlfn.XLOOKUP(AO$1,$Z$2:$Z$18,$AB$2:$AB$18)-$U21)^2+(_xlfn.XLOOKUP(AO$1,$Z$2:$Z$18,$AC$2:$AC$18-$V21)^2)))</f>
        <v/>
      </c>
      <c r="AP21" s="125" t="str" cm="1">
        <f t="array" ref="AP21">IF(OR(AP$1=0, $A21="", _xlfn.XLOOKUP(AP$1, $Z$2:$Z$18, $AD$2:$AD$18, "")=""),"",SQRT((_xlfn.XLOOKUP(AP$1,$Z$2:$Z$18,$AA$2:$AA$18)-$T21)^2+(_xlfn.XLOOKUP(AP$1,$Z$2:$Z$18,$AB$2:$AB$18)-$U21)^2+(_xlfn.XLOOKUP(AP$1,$Z$2:$Z$18,$AC$2:$AC$18-$V21)^2)))</f>
        <v/>
      </c>
      <c r="AQ21" s="125" t="str" cm="1">
        <f t="array" ref="AQ21">IF(OR(AQ$1=0, $A21="", _xlfn.XLOOKUP(AQ$1, $Z$2:$Z$18, $AD$2:$AD$18, "")=""),"",SQRT((_xlfn.XLOOKUP(AQ$1,$Z$2:$Z$18,$AA$2:$AA$18)-$T21)^2+(_xlfn.XLOOKUP(AQ$1,$Z$2:$Z$18,$AB$2:$AB$18)-$U21)^2+(_xlfn.XLOOKUP(AQ$1,$Z$2:$Z$18,$AC$2:$AC$18-$V21)^2)))</f>
        <v/>
      </c>
      <c r="AR21" s="125" t="str" cm="1">
        <f t="array" ref="AR21">IF(OR(AR$1=0, $A21="", _xlfn.XLOOKUP(AR$1, $Z$2:$Z$18, $AD$2:$AD$18, "")=""),"",SQRT((_xlfn.XLOOKUP(AR$1,$Z$2:$Z$18,$AA$2:$AA$18)-$T21)^2+(_xlfn.XLOOKUP(AR$1,$Z$2:$Z$18,$AB$2:$AB$18)-$U21)^2+(_xlfn.XLOOKUP(AR$1,$Z$2:$Z$18,$AC$2:$AC$18-$V21)^2)))</f>
        <v/>
      </c>
      <c r="AS21" s="125" t="str" cm="1">
        <f t="array" ref="AS21">IF(OR(AS$1=0, $A21="", _xlfn.XLOOKUP(AS$1, $Z$2:$Z$18, $AD$2:$AD$18, "")=""),"",SQRT((_xlfn.XLOOKUP(AS$1,$Z$2:$Z$18,$AA$2:$AA$18)-$T21)^2+(_xlfn.XLOOKUP(AS$1,$Z$2:$Z$18,$AB$2:$AB$18)-$U21)^2+(_xlfn.XLOOKUP(AS$1,$Z$2:$Z$18,$AC$2:$AC$18-$V21)^2)))</f>
        <v/>
      </c>
      <c r="AT21" s="125" t="str" cm="1">
        <f t="array" ref="AT21">IF(OR(AT$1=0, $A21="", _xlfn.XLOOKUP(AT$1, $Z$2:$Z$18, $AD$2:$AD$18, "")=""),"",SQRT((_xlfn.XLOOKUP(AT$1,$Z$2:$Z$18,$AA$2:$AA$18)-$T21)^2+(_xlfn.XLOOKUP(AT$1,$Z$2:$Z$18,$AB$2:$AB$18)-$U21)^2+(_xlfn.XLOOKUP(AT$1,$Z$2:$Z$18,$AC$2:$AC$18-$V21)^2)))</f>
        <v/>
      </c>
      <c r="AU21" s="125" t="str" cm="1">
        <f t="array" ref="AU21">IF(OR(AU$1=0, $A21="", _xlfn.XLOOKUP(AU$1, $Z$2:$Z$18, $AD$2:$AD$18, "")=""),"",SQRT((_xlfn.XLOOKUP(AU$1,$Z$2:$Z$18,$AA$2:$AA$18)-$T21)^2+(_xlfn.XLOOKUP(AU$1,$Z$2:$Z$18,$AB$2:$AB$18)-$U21)^2+(_xlfn.XLOOKUP(AU$1,$Z$2:$Z$18,$AC$2:$AC$18-$V21)^2)))</f>
        <v/>
      </c>
      <c r="AV21" s="126" t="str" cm="1">
        <f t="array" ref="AV21">IF(OR(AV$1=0, $A21="", _xlfn.XLOOKUP(AV$1, $Z$2:$Z$18, $AD$2:$AD$18, "")=""),"",SQRT((_xlfn.XLOOKUP(AV$1,$Z$2:$Z$18,$AA$2:$AA$18)-$T21)^2+(_xlfn.XLOOKUP(AV$1,$Z$2:$Z$18,$AB$2:$AB$18)-$U21)^2+(_xlfn.XLOOKUP(AV$1,$Z$2:$Z$18,$AC$2:$AC$18-$V21)^2)))</f>
        <v/>
      </c>
      <c r="AW21" s="127"/>
      <c r="AX21" s="127"/>
      <c r="AY21" s="128">
        <f t="shared" si="3"/>
        <v>-43.799897416334382</v>
      </c>
      <c r="AZ21" s="137">
        <f t="shared" si="4"/>
        <v>-38.446828847966557</v>
      </c>
      <c r="BA21" s="137">
        <f t="shared" si="5"/>
        <v>-37.180918502283589</v>
      </c>
      <c r="BB21" s="137">
        <f t="shared" si="6"/>
        <v>-40.914729551308696</v>
      </c>
      <c r="BC21" s="137">
        <f t="shared" si="7"/>
        <v>-43.569994386958761</v>
      </c>
      <c r="BD21" s="137">
        <f t="shared" si="8"/>
        <v>-40.645101242901127</v>
      </c>
      <c r="BE21" s="137">
        <f t="shared" si="9"/>
        <v>-40.645101242901127</v>
      </c>
      <c r="BF21" s="137">
        <f t="shared" si="10"/>
        <v>0</v>
      </c>
      <c r="BG21" s="138">
        <f t="shared" si="11"/>
        <v>0</v>
      </c>
      <c r="BH21" s="138">
        <f t="shared" si="12"/>
        <v>0</v>
      </c>
      <c r="BI21" s="138">
        <f t="shared" si="13"/>
        <v>0</v>
      </c>
      <c r="BJ21" s="138">
        <f t="shared" si="14"/>
        <v>0</v>
      </c>
      <c r="BK21" s="138">
        <f t="shared" si="15"/>
        <v>0</v>
      </c>
      <c r="BL21" s="138">
        <f t="shared" si="16"/>
        <v>0</v>
      </c>
      <c r="BM21" s="139">
        <f t="shared" si="17"/>
        <v>0</v>
      </c>
      <c r="BN21" s="127"/>
      <c r="BO21" s="43" t="s">
        <v>56</v>
      </c>
      <c r="BP21" s="44">
        <f>BP19*BP20+BP16</f>
        <v>75.400000000000006</v>
      </c>
      <c r="BQ21" s="127"/>
      <c r="BR21" s="127"/>
      <c r="BS21" s="127"/>
      <c r="BT21" s="127"/>
      <c r="BU21" s="127"/>
      <c r="BV21" s="133"/>
      <c r="BW21" s="133">
        <v>7</v>
      </c>
      <c r="BX21" s="133">
        <v>15</v>
      </c>
      <c r="BY21" s="133">
        <v>12</v>
      </c>
      <c r="BZ21" s="133">
        <v>11</v>
      </c>
      <c r="CA21" s="133">
        <v>5</v>
      </c>
      <c r="CB21" s="133"/>
      <c r="CC21" s="133"/>
      <c r="CD21" s="133"/>
      <c r="CE21" s="133"/>
      <c r="CF21" s="133"/>
      <c r="CG21" s="133"/>
      <c r="CH21" s="133"/>
      <c r="CI21" s="133"/>
      <c r="CJ21" s="133"/>
      <c r="CL21" s="127"/>
      <c r="CM21" s="133" t="s">
        <v>32</v>
      </c>
      <c r="CN21" s="133"/>
      <c r="CO21" s="133" t="s">
        <v>32</v>
      </c>
      <c r="CP21" s="133" t="s">
        <v>32</v>
      </c>
      <c r="CQ21" s="133" t="s">
        <v>32</v>
      </c>
      <c r="CR21" s="133" t="s">
        <v>32</v>
      </c>
      <c r="CS21" s="133"/>
      <c r="CT21" s="133"/>
      <c r="CU21" s="133"/>
      <c r="CV21" s="133"/>
      <c r="CW21" s="133"/>
      <c r="CX21" s="133"/>
      <c r="CY21" s="133"/>
      <c r="CZ21" s="133"/>
      <c r="DA21" s="133"/>
      <c r="DB21" s="127"/>
      <c r="DC21" s="127"/>
      <c r="DD21" s="133"/>
      <c r="DE21" s="133"/>
      <c r="DF21" s="133"/>
      <c r="DG21" s="133"/>
      <c r="DH21" s="133"/>
      <c r="DI21" s="133"/>
      <c r="DJ21" s="133"/>
      <c r="DK21" s="133"/>
      <c r="DL21" s="133"/>
      <c r="DM21" s="133"/>
      <c r="DN21" s="133"/>
      <c r="DO21" s="133"/>
      <c r="DP21" s="133"/>
      <c r="DQ21" s="133"/>
      <c r="DR21" s="133"/>
      <c r="DT21" s="127"/>
      <c r="DU21" s="191" cm="1">
        <f t="array" ref="DU21">_xlfn.IFS(DU$1= 0,"", NOT(ISBLANK(CM21)), 0, ISBLANK(CM21), $Q21-$S21+AY21-BV21-DD21)</f>
        <v>0</v>
      </c>
      <c r="DV21" s="192" cm="1">
        <f t="array" ref="DV21">_xlfn.IFS(DV$1= 0,"", NOT(ISBLANK(CN21)), 0, ISBLANK(CN21), $Q21-$S21+AZ21-BW21-DE21)</f>
        <v>30.563471108673255</v>
      </c>
      <c r="DW21" s="192" cm="1">
        <f t="array" ref="DW21">_xlfn.IFS(DW$1= 0,"", NOT(ISBLANK(CO21)), 0, ISBLANK(CO21), $Q21-$S21+BA21-BX21-DF21)</f>
        <v>0</v>
      </c>
      <c r="DX21" s="192" cm="1">
        <f t="array" ref="DX21">_xlfn.IFS(DX$1= 0,"", NOT(ISBLANK(CP21)), 0, ISBLANK(CP21), $Q21-$S21+BB21-BY21-DG21)</f>
        <v>0</v>
      </c>
      <c r="DY21" s="192" cm="1">
        <f t="array" ref="DY21">_xlfn.IFS(DY$1= 0,"", NOT(ISBLANK(CQ21)), 0, ISBLANK(CQ21), $Q21-$S21+BC21-BZ21-DH21)</f>
        <v>0</v>
      </c>
      <c r="DZ21" s="192" cm="1">
        <f t="array" ref="DZ21">_xlfn.IFS(DZ$1= 0,"", NOT(ISBLANK(CR21)), 0, ISBLANK(CR21), $Q21-$S21+BD21-CA21-DI21)</f>
        <v>0</v>
      </c>
      <c r="EA21" s="192" cm="1">
        <f t="array" ref="EA21">_xlfn.IFS(EA$1= 0,"", NOT(ISBLANK(CS21)), 0, ISBLANK(CS21), $Q21-$S21+BE21-CB21-DJ21)</f>
        <v>35.365198713738685</v>
      </c>
      <c r="EB21" s="192" t="str" cm="1">
        <f t="array" ref="EB21">_xlfn.IFS(EB$1= 0,"", NOT(ISBLANK(CT21)), 0, ISBLANK(CT21), $Q21-$S21+BF21-CC21-DK21)</f>
        <v/>
      </c>
      <c r="EC21" s="192" t="str" cm="1">
        <f t="array" ref="EC21">_xlfn.IFS(EC$1= 0,"", NOT(ISBLANK(CU21)), 0, ISBLANK(CU21), $Q21-$S21+BG21-CD21-DL21)</f>
        <v/>
      </c>
      <c r="ED21" s="192" t="str" cm="1">
        <f t="array" ref="ED21">_xlfn.IFS(ED$1= 0,"", NOT(ISBLANK(CV21)), 0, ISBLANK(CV21), $Q21-$S21+BH21-CE21-DM21)</f>
        <v/>
      </c>
      <c r="EE21" s="192" t="str" cm="1">
        <f t="array" ref="EE21">_xlfn.IFS(EE$1= 0,"", NOT(ISBLANK(CW21)), 0, ISBLANK(CW21), $Q21-$S21+BI21-CF21-DN21)</f>
        <v/>
      </c>
      <c r="EF21" s="192" t="str" cm="1">
        <f t="array" ref="EF21">_xlfn.IFS(EF$1= 0,"", NOT(ISBLANK(CX21)), 0, ISBLANK(CX21), $Q21-$S21+BJ21-CG21-DO21)</f>
        <v/>
      </c>
      <c r="EG21" s="192" t="str" cm="1">
        <f t="array" ref="EG21">_xlfn.IFS(EG$1= 0,"", NOT(ISBLANK(CY21)), 0, ISBLANK(CY21), $Q21-$S21+BK21-CH21-DP21)</f>
        <v/>
      </c>
      <c r="EH21" s="192" t="str" cm="1">
        <f t="array" ref="EH21">_xlfn.IFS(EH$1= 0,"", NOT(ISBLANK(CZ21)), 0, ISBLANK(CZ21), $Q21-$S21+BL21-CI21-DQ21)</f>
        <v/>
      </c>
      <c r="EI21" s="193" t="str" cm="1">
        <f t="array" ref="EI21">_xlfn.IFS(EI$1= 0,"", NOT(ISBLANK(DA21)), 0, ISBLANK(DA21), $Q21-$S21+BM21-CJ21-DR21)</f>
        <v/>
      </c>
    </row>
    <row r="22" spans="1:139" ht="17.25" customHeight="1" thickBot="1" x14ac:dyDescent="0.35">
      <c r="A22" s="183">
        <v>2</v>
      </c>
      <c r="B22" s="134" t="s">
        <v>117</v>
      </c>
      <c r="C22" s="134" t="s">
        <v>93</v>
      </c>
      <c r="D22" s="135" t="s">
        <v>86</v>
      </c>
      <c r="E22" s="166" t="s">
        <v>255</v>
      </c>
      <c r="F22" s="174"/>
      <c r="G22" s="3"/>
      <c r="H22" s="3"/>
      <c r="I22" s="3"/>
      <c r="J22" s="3"/>
      <c r="K22" s="3"/>
      <c r="L22" s="3"/>
      <c r="M22" s="178"/>
      <c r="N22" s="174">
        <v>58</v>
      </c>
      <c r="O22" s="175">
        <v>5</v>
      </c>
      <c r="P22" s="169">
        <v>1</v>
      </c>
      <c r="Q22" s="122">
        <f t="shared" si="18"/>
        <v>76.010299956639813</v>
      </c>
      <c r="R22" s="2">
        <v>2</v>
      </c>
      <c r="S22" s="2"/>
      <c r="T22" s="3">
        <v>148.85</v>
      </c>
      <c r="U22" s="3">
        <v>141.30000000000001</v>
      </c>
      <c r="V22" s="104">
        <f t="shared" si="2"/>
        <v>74</v>
      </c>
      <c r="W22" s="78">
        <v>70</v>
      </c>
      <c r="X22" s="136">
        <v>4</v>
      </c>
      <c r="Z22" s="21" t="s">
        <v>57</v>
      </c>
      <c r="AA22" s="18"/>
      <c r="AB22" s="18"/>
      <c r="AC22" s="18"/>
      <c r="AH22" s="185" cm="1">
        <f t="array" ref="AH22">IF(OR(AH$1=0, $A22="", _xlfn.XLOOKUP(AH$1, $Z$2:$Z$18, $AD$2:$AD$18, "")=""),"",SQRT((_xlfn.XLOOKUP(AH$1,$Z$2:$Z$18,$AA$2:$AA$18)-$T22)^2+(_xlfn.XLOOKUP(AH$1,$Z$2:$Z$18,$AB$2:$AB$18)-$U22)^2+(_xlfn.XLOOKUP(AH$1,$Z$2:$Z$18,$AC$2:$AC$18-$V22)^2)))</f>
        <v>218.1696873995102</v>
      </c>
      <c r="AI22" s="124" cm="1">
        <f t="array" ref="AI22">IF(OR(AI$1=0, $A22="", _xlfn.XLOOKUP(AI$1, $Z$2:$Z$18, $AD$2:$AD$18, "")=""),"",SQRT((_xlfn.XLOOKUP(AI$1,$Z$2:$Z$18,$AA$2:$AA$18)-$T22)^2+(_xlfn.XLOOKUP(AI$1,$Z$2:$Z$18,$AB$2:$AB$18)-$U22)^2+(_xlfn.XLOOKUP(AI$1,$Z$2:$Z$18,$AC$2:$AC$18-$V22)^2)))</f>
        <v>128.59893973124349</v>
      </c>
      <c r="AJ22" s="124" cm="1">
        <f t="array" ref="AJ22">IF(OR(AJ$1=0, $A22="", _xlfn.XLOOKUP(AJ$1, $Z$2:$Z$18, $AD$2:$AD$18, "")=""),"",SQRT((_xlfn.XLOOKUP(AJ$1,$Z$2:$Z$18,$AA$2:$AA$18)-$T22)^2+(_xlfn.XLOOKUP(AJ$1,$Z$2:$Z$18,$AB$2:$AB$18)-$U22)^2+(_xlfn.XLOOKUP(AJ$1,$Z$2:$Z$18,$AC$2:$AC$18-$V22)^2)))</f>
        <v>104.64154910932845</v>
      </c>
      <c r="AK22" s="124" cm="1">
        <f t="array" ref="AK22">IF(OR(AK$1=0, $A22="", _xlfn.XLOOKUP(AK$1, $Z$2:$Z$18, $AD$2:$AD$18, "")=""),"",SQRT((_xlfn.XLOOKUP(AK$1,$Z$2:$Z$18,$AA$2:$AA$18)-$T22)^2+(_xlfn.XLOOKUP(AK$1,$Z$2:$Z$18,$AB$2:$AB$18)-$U22)^2+(_xlfn.XLOOKUP(AK$1,$Z$2:$Z$18,$AC$2:$AC$18-$V22)^2)))</f>
        <v>137.67797790496491</v>
      </c>
      <c r="AL22" s="124" cm="1">
        <f t="array" ref="AL22">IF(OR(AL$1=0, $A22="", _xlfn.XLOOKUP(AL$1, $Z$2:$Z$18, $AD$2:$AD$18, "")=""),"",SQRT((_xlfn.XLOOKUP(AL$1,$Z$2:$Z$18,$AA$2:$AA$18)-$T22)^2+(_xlfn.XLOOKUP(AL$1,$Z$2:$Z$18,$AB$2:$AB$18)-$U22)^2+(_xlfn.XLOOKUP(AL$1,$Z$2:$Z$18,$AC$2:$AC$18-$V22)^2)))</f>
        <v>179.94699941927345</v>
      </c>
      <c r="AM22" s="124" cm="1">
        <f t="array" ref="AM22">IF(OR(AM$1=0, $A22="", _xlfn.XLOOKUP(AM$1, $Z$2:$Z$18, $AD$2:$AD$18, "")=""),"",SQRT((_xlfn.XLOOKUP(AM$1,$Z$2:$Z$18,$AA$2:$AA$18)-$T22)^2+(_xlfn.XLOOKUP(AM$1,$Z$2:$Z$18,$AB$2:$AB$18)-$U22)^2+(_xlfn.XLOOKUP(AM$1,$Z$2:$Z$18,$AC$2:$AC$18-$V22)^2)))</f>
        <v>155.64107844653353</v>
      </c>
      <c r="AN22" s="124" cm="1">
        <f t="array" ref="AN22">IF(OR(AN$1=0, $A22="", _xlfn.XLOOKUP(AN$1, $Z$2:$Z$18, $AD$2:$AD$18, "")=""),"",SQRT((_xlfn.XLOOKUP(AN$1,$Z$2:$Z$18,$AA$2:$AA$18)-$T22)^2+(_xlfn.XLOOKUP(AN$1,$Z$2:$Z$18,$AB$2:$AB$18)-$U22)^2+(_xlfn.XLOOKUP(AN$1,$Z$2:$Z$18,$AC$2:$AC$18-$V22)^2)))</f>
        <v>155.64107844653353</v>
      </c>
      <c r="AO22" s="124" t="str" cm="1">
        <f t="array" ref="AO22">IF(OR(AO$1=0, $A22="", _xlfn.XLOOKUP(AO$1, $Z$2:$Z$18, $AD$2:$AD$18, "")=""),"",SQRT((_xlfn.XLOOKUP(AO$1,$Z$2:$Z$18,$AA$2:$AA$18)-$T22)^2+(_xlfn.XLOOKUP(AO$1,$Z$2:$Z$18,$AB$2:$AB$18)-$U22)^2+(_xlfn.XLOOKUP(AO$1,$Z$2:$Z$18,$AC$2:$AC$18-$V22)^2)))</f>
        <v/>
      </c>
      <c r="AP22" s="125" t="str" cm="1">
        <f t="array" ref="AP22">IF(OR(AP$1=0, $A22="", _xlfn.XLOOKUP(AP$1, $Z$2:$Z$18, $AD$2:$AD$18, "")=""),"",SQRT((_xlfn.XLOOKUP(AP$1,$Z$2:$Z$18,$AA$2:$AA$18)-$T22)^2+(_xlfn.XLOOKUP(AP$1,$Z$2:$Z$18,$AB$2:$AB$18)-$U22)^2+(_xlfn.XLOOKUP(AP$1,$Z$2:$Z$18,$AC$2:$AC$18-$V22)^2)))</f>
        <v/>
      </c>
      <c r="AQ22" s="125" t="str" cm="1">
        <f t="array" ref="AQ22">IF(OR(AQ$1=0, $A22="", _xlfn.XLOOKUP(AQ$1, $Z$2:$Z$18, $AD$2:$AD$18, "")=""),"",SQRT((_xlfn.XLOOKUP(AQ$1,$Z$2:$Z$18,$AA$2:$AA$18)-$T22)^2+(_xlfn.XLOOKUP(AQ$1,$Z$2:$Z$18,$AB$2:$AB$18)-$U22)^2+(_xlfn.XLOOKUP(AQ$1,$Z$2:$Z$18,$AC$2:$AC$18-$V22)^2)))</f>
        <v/>
      </c>
      <c r="AR22" s="125" t="str" cm="1">
        <f t="array" ref="AR22">IF(OR(AR$1=0, $A22="", _xlfn.XLOOKUP(AR$1, $Z$2:$Z$18, $AD$2:$AD$18, "")=""),"",SQRT((_xlfn.XLOOKUP(AR$1,$Z$2:$Z$18,$AA$2:$AA$18)-$T22)^2+(_xlfn.XLOOKUP(AR$1,$Z$2:$Z$18,$AB$2:$AB$18)-$U22)^2+(_xlfn.XLOOKUP(AR$1,$Z$2:$Z$18,$AC$2:$AC$18-$V22)^2)))</f>
        <v/>
      </c>
      <c r="AS22" s="125" t="str" cm="1">
        <f t="array" ref="AS22">IF(OR(AS$1=0, $A22="", _xlfn.XLOOKUP(AS$1, $Z$2:$Z$18, $AD$2:$AD$18, "")=""),"",SQRT((_xlfn.XLOOKUP(AS$1,$Z$2:$Z$18,$AA$2:$AA$18)-$T22)^2+(_xlfn.XLOOKUP(AS$1,$Z$2:$Z$18,$AB$2:$AB$18)-$U22)^2+(_xlfn.XLOOKUP(AS$1,$Z$2:$Z$18,$AC$2:$AC$18-$V22)^2)))</f>
        <v/>
      </c>
      <c r="AT22" s="125" t="str" cm="1">
        <f t="array" ref="AT22">IF(OR(AT$1=0, $A22="", _xlfn.XLOOKUP(AT$1, $Z$2:$Z$18, $AD$2:$AD$18, "")=""),"",SQRT((_xlfn.XLOOKUP(AT$1,$Z$2:$Z$18,$AA$2:$AA$18)-$T22)^2+(_xlfn.XLOOKUP(AT$1,$Z$2:$Z$18,$AB$2:$AB$18)-$U22)^2+(_xlfn.XLOOKUP(AT$1,$Z$2:$Z$18,$AC$2:$AC$18-$V22)^2)))</f>
        <v/>
      </c>
      <c r="AU22" s="125" t="str" cm="1">
        <f t="array" ref="AU22">IF(OR(AU$1=0, $A22="", _xlfn.XLOOKUP(AU$1, $Z$2:$Z$18, $AD$2:$AD$18, "")=""),"",SQRT((_xlfn.XLOOKUP(AU$1,$Z$2:$Z$18,$AA$2:$AA$18)-$T22)^2+(_xlfn.XLOOKUP(AU$1,$Z$2:$Z$18,$AB$2:$AB$18)-$U22)^2+(_xlfn.XLOOKUP(AU$1,$Z$2:$Z$18,$AC$2:$AC$18-$V22)^2)))</f>
        <v/>
      </c>
      <c r="AV22" s="126" t="str" cm="1">
        <f t="array" ref="AV22">IF(OR(AV$1=0, $A22="", _xlfn.XLOOKUP(AV$1, $Z$2:$Z$18, $AD$2:$AD$18, "")=""),"",SQRT((_xlfn.XLOOKUP(AV$1,$Z$2:$Z$18,$AA$2:$AA$18)-$T22)^2+(_xlfn.XLOOKUP(AV$1,$Z$2:$Z$18,$AB$2:$AB$18)-$U22)^2+(_xlfn.XLOOKUP(AV$1,$Z$2:$Z$18,$AC$2:$AC$18-$V22)^2)))</f>
        <v/>
      </c>
      <c r="AW22" s="127"/>
      <c r="AX22" s="164" t="str">
        <f>BR32</f>
        <v>Barrier Reduction per ARI: 5 dB</v>
      </c>
      <c r="AY22" s="128">
        <f t="shared" si="3"/>
        <v>-44.437986124157604</v>
      </c>
      <c r="AZ22" s="137">
        <f t="shared" si="4"/>
        <v>-39.846845695824229</v>
      </c>
      <c r="BA22" s="137">
        <f t="shared" si="5"/>
        <v>-38.056181143052562</v>
      </c>
      <c r="BB22" s="137">
        <f t="shared" si="6"/>
        <v>-40.439387513426404</v>
      </c>
      <c r="BC22" s="137">
        <f t="shared" si="7"/>
        <v>-42.764990122421842</v>
      </c>
      <c r="BD22" s="137">
        <f t="shared" si="8"/>
        <v>-41.504582564834543</v>
      </c>
      <c r="BE22" s="137">
        <f t="shared" si="9"/>
        <v>-41.504582564834543</v>
      </c>
      <c r="BF22" s="137">
        <f t="shared" si="10"/>
        <v>0</v>
      </c>
      <c r="BG22" s="138">
        <f t="shared" si="11"/>
        <v>0</v>
      </c>
      <c r="BH22" s="138">
        <f t="shared" si="12"/>
        <v>0</v>
      </c>
      <c r="BI22" s="138">
        <f t="shared" si="13"/>
        <v>0</v>
      </c>
      <c r="BJ22" s="138">
        <f t="shared" si="14"/>
        <v>0</v>
      </c>
      <c r="BK22" s="138">
        <f t="shared" si="15"/>
        <v>0</v>
      </c>
      <c r="BL22" s="138">
        <f t="shared" si="16"/>
        <v>0</v>
      </c>
      <c r="BM22" s="139">
        <f t="shared" si="17"/>
        <v>0</v>
      </c>
      <c r="BN22" s="127"/>
      <c r="BO22" s="18" t="s">
        <v>58</v>
      </c>
      <c r="BP22" s="18"/>
      <c r="BQ22" s="127"/>
      <c r="BR22" s="127"/>
      <c r="BS22" s="127"/>
      <c r="BT22" s="127"/>
      <c r="BU22" s="127"/>
      <c r="BV22" s="133"/>
      <c r="BW22" s="133">
        <v>7</v>
      </c>
      <c r="BX22" s="133">
        <v>15</v>
      </c>
      <c r="BY22" s="133">
        <v>15</v>
      </c>
      <c r="BZ22" s="133">
        <v>10</v>
      </c>
      <c r="CA22" s="133">
        <v>5</v>
      </c>
      <c r="CB22" s="133"/>
      <c r="CC22" s="133"/>
      <c r="CD22" s="133"/>
      <c r="CE22" s="133"/>
      <c r="CF22" s="133"/>
      <c r="CG22" s="133"/>
      <c r="CH22" s="133"/>
      <c r="CI22" s="133"/>
      <c r="CJ22" s="133"/>
      <c r="CL22" s="127"/>
      <c r="CM22" s="133" t="s">
        <v>32</v>
      </c>
      <c r="CN22" s="133"/>
      <c r="CO22" s="133" t="s">
        <v>32</v>
      </c>
      <c r="CP22" s="133" t="s">
        <v>32</v>
      </c>
      <c r="CQ22" s="133" t="s">
        <v>32</v>
      </c>
      <c r="CR22" s="133" t="s">
        <v>32</v>
      </c>
      <c r="CS22" s="133"/>
      <c r="CT22" s="133"/>
      <c r="CU22" s="133"/>
      <c r="CV22" s="133"/>
      <c r="CW22" s="133"/>
      <c r="CX22" s="133"/>
      <c r="CY22" s="133"/>
      <c r="CZ22" s="133"/>
      <c r="DA22" s="133"/>
      <c r="DB22" s="127"/>
      <c r="DC22" s="127"/>
      <c r="DD22" s="133"/>
      <c r="DE22" s="133"/>
      <c r="DF22" s="133"/>
      <c r="DG22" s="133"/>
      <c r="DH22" s="133"/>
      <c r="DI22" s="133"/>
      <c r="DJ22" s="133"/>
      <c r="DK22" s="133"/>
      <c r="DL22" s="133"/>
      <c r="DM22" s="133"/>
      <c r="DN22" s="133"/>
      <c r="DO22" s="133"/>
      <c r="DP22" s="133"/>
      <c r="DQ22" s="133"/>
      <c r="DR22" s="133"/>
      <c r="DT22" s="127"/>
      <c r="DU22" s="191" cm="1">
        <f t="array" ref="DU22">_xlfn.IFS(DU$1= 0,"", NOT(ISBLANK(CM22)), 0, ISBLANK(CM22), $Q22-$S22+AY22-BV22-DD22)</f>
        <v>0</v>
      </c>
      <c r="DV22" s="192" cm="1">
        <f t="array" ref="DV22">_xlfn.IFS(DV$1= 0,"", NOT(ISBLANK(CN22)), 0, ISBLANK(CN22), $Q22-$S22+AZ22-BW22-DE22)</f>
        <v>29.163454260815584</v>
      </c>
      <c r="DW22" s="192" cm="1">
        <f t="array" ref="DW22">_xlfn.IFS(DW$1= 0,"", NOT(ISBLANK(CO22)), 0, ISBLANK(CO22), $Q22-$S22+BA22-BX22-DF22)</f>
        <v>0</v>
      </c>
      <c r="DX22" s="192" cm="1">
        <f t="array" ref="DX22">_xlfn.IFS(DX$1= 0,"", NOT(ISBLANK(CP22)), 0, ISBLANK(CP22), $Q22-$S22+BB22-BY22-DG22)</f>
        <v>0</v>
      </c>
      <c r="DY22" s="192" cm="1">
        <f t="array" ref="DY22">_xlfn.IFS(DY$1= 0,"", NOT(ISBLANK(CQ22)), 0, ISBLANK(CQ22), $Q22-$S22+BC22-BZ22-DH22)</f>
        <v>0</v>
      </c>
      <c r="DZ22" s="192" cm="1">
        <f t="array" ref="DZ22">_xlfn.IFS(DZ$1= 0,"", NOT(ISBLANK(CR22)), 0, ISBLANK(CR22), $Q22-$S22+BD22-CA22-DI22)</f>
        <v>0</v>
      </c>
      <c r="EA22" s="192" cm="1">
        <f t="array" ref="EA22">_xlfn.IFS(EA$1= 0,"", NOT(ISBLANK(CS22)), 0, ISBLANK(CS22), $Q22-$S22+BE22-CB22-DJ22)</f>
        <v>34.50571739180527</v>
      </c>
      <c r="EB22" s="192" t="str" cm="1">
        <f t="array" ref="EB22">_xlfn.IFS(EB$1= 0,"", NOT(ISBLANK(CT22)), 0, ISBLANK(CT22), $Q22-$S22+BF22-CC22-DK22)</f>
        <v/>
      </c>
      <c r="EC22" s="192" t="str" cm="1">
        <f t="array" ref="EC22">_xlfn.IFS(EC$1= 0,"", NOT(ISBLANK(CU22)), 0, ISBLANK(CU22), $Q22-$S22+BG22-CD22-DL22)</f>
        <v/>
      </c>
      <c r="ED22" s="192" t="str" cm="1">
        <f t="array" ref="ED22">_xlfn.IFS(ED$1= 0,"", NOT(ISBLANK(CV22)), 0, ISBLANK(CV22), $Q22-$S22+BH22-CE22-DM22)</f>
        <v/>
      </c>
      <c r="EE22" s="192" t="str" cm="1">
        <f t="array" ref="EE22">_xlfn.IFS(EE$1= 0,"", NOT(ISBLANK(CW22)), 0, ISBLANK(CW22), $Q22-$S22+BI22-CF22-DN22)</f>
        <v/>
      </c>
      <c r="EF22" s="192" t="str" cm="1">
        <f t="array" ref="EF22">_xlfn.IFS(EF$1= 0,"", NOT(ISBLANK(CX22)), 0, ISBLANK(CX22), $Q22-$S22+BJ22-CG22-DO22)</f>
        <v/>
      </c>
      <c r="EG22" s="192" t="str" cm="1">
        <f t="array" ref="EG22">_xlfn.IFS(EG$1= 0,"", NOT(ISBLANK(CY22)), 0, ISBLANK(CY22), $Q22-$S22+BK22-CH22-DP22)</f>
        <v/>
      </c>
      <c r="EH22" s="192" t="str" cm="1">
        <f t="array" ref="EH22">_xlfn.IFS(EH$1= 0,"", NOT(ISBLANK(CZ22)), 0, ISBLANK(CZ22), $Q22-$S22+BL22-CI22-DQ22)</f>
        <v/>
      </c>
      <c r="EI22" s="193" t="str" cm="1">
        <f t="array" ref="EI22">_xlfn.IFS(EI$1= 0,"", NOT(ISBLANK(DA22)), 0, ISBLANK(DA22), $Q22-$S22+BM22-CJ22-DR22)</f>
        <v/>
      </c>
    </row>
    <row r="23" spans="1:139" ht="17.25" customHeight="1" thickBot="1" x14ac:dyDescent="0.35">
      <c r="A23" s="183">
        <v>1</v>
      </c>
      <c r="B23" s="134" t="s">
        <v>256</v>
      </c>
      <c r="C23" s="134" t="s">
        <v>87</v>
      </c>
      <c r="D23" s="135" t="s">
        <v>86</v>
      </c>
      <c r="E23" s="166" t="s">
        <v>257</v>
      </c>
      <c r="F23" s="174"/>
      <c r="G23" s="3"/>
      <c r="H23" s="3"/>
      <c r="I23" s="3"/>
      <c r="J23" s="3"/>
      <c r="K23" s="3"/>
      <c r="L23" s="3"/>
      <c r="M23" s="178"/>
      <c r="N23" s="174">
        <v>57.392737795737183</v>
      </c>
      <c r="O23" s="175">
        <v>0</v>
      </c>
      <c r="P23" s="169">
        <v>1</v>
      </c>
      <c r="Q23" s="122">
        <f t="shared" si="18"/>
        <v>57</v>
      </c>
      <c r="R23" s="2">
        <v>2</v>
      </c>
      <c r="S23" s="2"/>
      <c r="T23" s="3">
        <v>52.01</v>
      </c>
      <c r="U23" s="3">
        <v>82.77</v>
      </c>
      <c r="V23" s="104">
        <f t="shared" si="2"/>
        <v>75</v>
      </c>
      <c r="W23" s="78">
        <v>73</v>
      </c>
      <c r="X23" s="136">
        <v>2</v>
      </c>
      <c r="Z23" s="21"/>
      <c r="AA23" s="47" t="s">
        <v>59</v>
      </c>
      <c r="AB23" s="47" t="s">
        <v>60</v>
      </c>
      <c r="AC23" s="48" t="s">
        <v>61</v>
      </c>
      <c r="AD23" s="47" t="s">
        <v>62</v>
      </c>
      <c r="AE23" s="47" t="s">
        <v>63</v>
      </c>
      <c r="AF23" s="48" t="s">
        <v>64</v>
      </c>
      <c r="AH23" s="185" cm="1">
        <f t="array" ref="AH23">IF(OR(AH$1=0, $A23="", _xlfn.XLOOKUP(AH$1, $Z$2:$Z$18, $AD$2:$AD$18, "")=""),"",SQRT((_xlfn.XLOOKUP(AH$1,$Z$2:$Z$18,$AA$2:$AA$18)-$T23)^2+(_xlfn.XLOOKUP(AH$1,$Z$2:$Z$18,$AB$2:$AB$18)-$U23)^2+(_xlfn.XLOOKUP(AH$1,$Z$2:$Z$18,$AC$2:$AC$18-$V23)^2)))</f>
        <v>123.21084773671512</v>
      </c>
      <c r="AI23" s="124" cm="1">
        <f t="array" ref="AI23">IF(OR(AI$1=0, $A23="", _xlfn.XLOOKUP(AI$1, $Z$2:$Z$18, $AD$2:$AD$18, "")=""),"",SQRT((_xlfn.XLOOKUP(AI$1,$Z$2:$Z$18,$AA$2:$AA$18)-$T23)^2+(_xlfn.XLOOKUP(AI$1,$Z$2:$Z$18,$AB$2:$AB$18)-$U23)^2+(_xlfn.XLOOKUP(AI$1,$Z$2:$Z$18,$AC$2:$AC$18-$V23)^2)))</f>
        <v>21.422777597687933</v>
      </c>
      <c r="AJ23" s="124" cm="1">
        <f t="array" ref="AJ23">IF(OR(AJ$1=0, $A23="", _xlfn.XLOOKUP(AJ$1, $Z$2:$Z$18, $AD$2:$AD$18, "")=""),"",SQRT((_xlfn.XLOOKUP(AJ$1,$Z$2:$Z$18,$AA$2:$AA$18)-$T23)^2+(_xlfn.XLOOKUP(AJ$1,$Z$2:$Z$18,$AB$2:$AB$18)-$U23)^2+(_xlfn.XLOOKUP(AJ$1,$Z$2:$Z$18,$AC$2:$AC$18-$V23)^2)))</f>
        <v>69.948639014637024</v>
      </c>
      <c r="AK23" s="124" cm="1">
        <f t="array" ref="AK23">IF(OR(AK$1=0, $A23="", _xlfn.XLOOKUP(AK$1, $Z$2:$Z$18, $AD$2:$AD$18, "")=""),"",SQRT((_xlfn.XLOOKUP(AK$1,$Z$2:$Z$18,$AA$2:$AA$18)-$T23)^2+(_xlfn.XLOOKUP(AK$1,$Z$2:$Z$18,$AB$2:$AB$18)-$U23)^2+(_xlfn.XLOOKUP(AK$1,$Z$2:$Z$18,$AC$2:$AC$18-$V23)^2)))</f>
        <v>176.30222034903588</v>
      </c>
      <c r="AL23" s="124" cm="1">
        <f t="array" ref="AL23">IF(OR(AL$1=0, $A23="", _xlfn.XLOOKUP(AL$1, $Z$2:$Z$18, $AD$2:$AD$18, "")=""),"",SQRT((_xlfn.XLOOKUP(AL$1,$Z$2:$Z$18,$AA$2:$AA$18)-$T23)^2+(_xlfn.XLOOKUP(AL$1,$Z$2:$Z$18,$AB$2:$AB$18)-$U23)^2+(_xlfn.XLOOKUP(AL$1,$Z$2:$Z$18,$AC$2:$AC$18-$V23)^2)))</f>
        <v>267.17936091696907</v>
      </c>
      <c r="AM23" s="124" cm="1">
        <f t="array" ref="AM23">IF(OR(AM$1=0, $A23="", _xlfn.XLOOKUP(AM$1, $Z$2:$Z$18, $AD$2:$AD$18, "")=""),"",SQRT((_xlfn.XLOOKUP(AM$1,$Z$2:$Z$18,$AA$2:$AA$18)-$T23)^2+(_xlfn.XLOOKUP(AM$1,$Z$2:$Z$18,$AB$2:$AB$18)-$U23)^2+(_xlfn.XLOOKUP(AM$1,$Z$2:$Z$18,$AC$2:$AC$18-$V23)^2)))</f>
        <v>139.65690817141842</v>
      </c>
      <c r="AN23" s="124" cm="1">
        <f t="array" ref="AN23">IF(OR(AN$1=0, $A23="", _xlfn.XLOOKUP(AN$1, $Z$2:$Z$18, $AD$2:$AD$18, "")=""),"",SQRT((_xlfn.XLOOKUP(AN$1,$Z$2:$Z$18,$AA$2:$AA$18)-$T23)^2+(_xlfn.XLOOKUP(AN$1,$Z$2:$Z$18,$AB$2:$AB$18)-$U23)^2+(_xlfn.XLOOKUP(AN$1,$Z$2:$Z$18,$AC$2:$AC$18-$V23)^2)))</f>
        <v>139.65690817141842</v>
      </c>
      <c r="AO23" s="124" t="str" cm="1">
        <f t="array" ref="AO23">IF(OR(AO$1=0, $A23="", _xlfn.XLOOKUP(AO$1, $Z$2:$Z$18, $AD$2:$AD$18, "")=""),"",SQRT((_xlfn.XLOOKUP(AO$1,$Z$2:$Z$18,$AA$2:$AA$18)-$T23)^2+(_xlfn.XLOOKUP(AO$1,$Z$2:$Z$18,$AB$2:$AB$18)-$U23)^2+(_xlfn.XLOOKUP(AO$1,$Z$2:$Z$18,$AC$2:$AC$18-$V23)^2)))</f>
        <v/>
      </c>
      <c r="AP23" s="125" t="str" cm="1">
        <f t="array" ref="AP23">IF(OR(AP$1=0, $A23="", _xlfn.XLOOKUP(AP$1, $Z$2:$Z$18, $AD$2:$AD$18, "")=""),"",SQRT((_xlfn.XLOOKUP(AP$1,$Z$2:$Z$18,$AA$2:$AA$18)-$T23)^2+(_xlfn.XLOOKUP(AP$1,$Z$2:$Z$18,$AB$2:$AB$18)-$U23)^2+(_xlfn.XLOOKUP(AP$1,$Z$2:$Z$18,$AC$2:$AC$18-$V23)^2)))</f>
        <v/>
      </c>
      <c r="AQ23" s="125" t="str" cm="1">
        <f t="array" ref="AQ23">IF(OR(AQ$1=0, $A23="", _xlfn.XLOOKUP(AQ$1, $Z$2:$Z$18, $AD$2:$AD$18, "")=""),"",SQRT((_xlfn.XLOOKUP(AQ$1,$Z$2:$Z$18,$AA$2:$AA$18)-$T23)^2+(_xlfn.XLOOKUP(AQ$1,$Z$2:$Z$18,$AB$2:$AB$18)-$U23)^2+(_xlfn.XLOOKUP(AQ$1,$Z$2:$Z$18,$AC$2:$AC$18-$V23)^2)))</f>
        <v/>
      </c>
      <c r="AR23" s="125" t="str" cm="1">
        <f t="array" ref="AR23">IF(OR(AR$1=0, $A23="", _xlfn.XLOOKUP(AR$1, $Z$2:$Z$18, $AD$2:$AD$18, "")=""),"",SQRT((_xlfn.XLOOKUP(AR$1,$Z$2:$Z$18,$AA$2:$AA$18)-$T23)^2+(_xlfn.XLOOKUP(AR$1,$Z$2:$Z$18,$AB$2:$AB$18)-$U23)^2+(_xlfn.XLOOKUP(AR$1,$Z$2:$Z$18,$AC$2:$AC$18-$V23)^2)))</f>
        <v/>
      </c>
      <c r="AS23" s="125" t="str" cm="1">
        <f t="array" ref="AS23">IF(OR(AS$1=0, $A23="", _xlfn.XLOOKUP(AS$1, $Z$2:$Z$18, $AD$2:$AD$18, "")=""),"",SQRT((_xlfn.XLOOKUP(AS$1,$Z$2:$Z$18,$AA$2:$AA$18)-$T23)^2+(_xlfn.XLOOKUP(AS$1,$Z$2:$Z$18,$AB$2:$AB$18)-$U23)^2+(_xlfn.XLOOKUP(AS$1,$Z$2:$Z$18,$AC$2:$AC$18-$V23)^2)))</f>
        <v/>
      </c>
      <c r="AT23" s="125" t="str" cm="1">
        <f t="array" ref="AT23">IF(OR(AT$1=0, $A23="", _xlfn.XLOOKUP(AT$1, $Z$2:$Z$18, $AD$2:$AD$18, "")=""),"",SQRT((_xlfn.XLOOKUP(AT$1,$Z$2:$Z$18,$AA$2:$AA$18)-$T23)^2+(_xlfn.XLOOKUP(AT$1,$Z$2:$Z$18,$AB$2:$AB$18)-$U23)^2+(_xlfn.XLOOKUP(AT$1,$Z$2:$Z$18,$AC$2:$AC$18-$V23)^2)))</f>
        <v/>
      </c>
      <c r="AU23" s="125" t="str" cm="1">
        <f t="array" ref="AU23">IF(OR(AU$1=0, $A23="", _xlfn.XLOOKUP(AU$1, $Z$2:$Z$18, $AD$2:$AD$18, "")=""),"",SQRT((_xlfn.XLOOKUP(AU$1,$Z$2:$Z$18,$AA$2:$AA$18)-$T23)^2+(_xlfn.XLOOKUP(AU$1,$Z$2:$Z$18,$AB$2:$AB$18)-$U23)^2+(_xlfn.XLOOKUP(AU$1,$Z$2:$Z$18,$AC$2:$AC$18-$V23)^2)))</f>
        <v/>
      </c>
      <c r="AV23" s="126" t="str" cm="1">
        <f t="array" ref="AV23">IF(OR(AV$1=0, $A23="", _xlfn.XLOOKUP(AV$1, $Z$2:$Z$18, $AD$2:$AD$18, "")=""),"",SQRT((_xlfn.XLOOKUP(AV$1,$Z$2:$Z$18,$AA$2:$AA$18)-$T23)^2+(_xlfn.XLOOKUP(AV$1,$Z$2:$Z$18,$AB$2:$AB$18)-$U23)^2+(_xlfn.XLOOKUP(AV$1,$Z$2:$Z$18,$AC$2:$AC$18-$V23)^2)))</f>
        <v/>
      </c>
      <c r="AW23" s="127"/>
      <c r="AX23" s="127"/>
      <c r="AY23" s="128">
        <f t="shared" si="3"/>
        <v>-39.475076850773661</v>
      </c>
      <c r="AZ23" s="137">
        <f t="shared" si="4"/>
        <v>-24.27961352001773</v>
      </c>
      <c r="BA23" s="137">
        <f t="shared" si="5"/>
        <v>-34.557683314437661</v>
      </c>
      <c r="BB23" s="137">
        <f t="shared" si="6"/>
        <v>-42.587253573646251</v>
      </c>
      <c r="BC23" s="137">
        <f t="shared" si="7"/>
        <v>-46.198156070931674</v>
      </c>
      <c r="BD23" s="137">
        <f t="shared" si="8"/>
        <v>-40.563346398471083</v>
      </c>
      <c r="BE23" s="137">
        <f t="shared" si="9"/>
        <v>-40.563346398471083</v>
      </c>
      <c r="BF23" s="137">
        <f t="shared" si="10"/>
        <v>0</v>
      </c>
      <c r="BG23" s="138">
        <f t="shared" si="11"/>
        <v>0</v>
      </c>
      <c r="BH23" s="138">
        <f t="shared" si="12"/>
        <v>0</v>
      </c>
      <c r="BI23" s="138">
        <f t="shared" si="13"/>
        <v>0</v>
      </c>
      <c r="BJ23" s="138">
        <f t="shared" si="14"/>
        <v>0</v>
      </c>
      <c r="BK23" s="138">
        <f t="shared" si="15"/>
        <v>0</v>
      </c>
      <c r="BL23" s="138">
        <f t="shared" si="16"/>
        <v>0</v>
      </c>
      <c r="BM23" s="139">
        <f t="shared" si="17"/>
        <v>0</v>
      </c>
      <c r="BN23" s="127"/>
      <c r="BO23" s="127"/>
      <c r="BP23" s="127"/>
      <c r="BQ23" s="127"/>
      <c r="BR23" s="127"/>
      <c r="BS23" s="127"/>
      <c r="BT23" s="127"/>
      <c r="BU23" s="127"/>
      <c r="BV23" s="133"/>
      <c r="BW23" s="133">
        <v>0</v>
      </c>
      <c r="BX23" s="133">
        <v>0</v>
      </c>
      <c r="BY23" s="133">
        <v>0</v>
      </c>
      <c r="BZ23" s="133">
        <v>13</v>
      </c>
      <c r="CA23" s="133">
        <v>0</v>
      </c>
      <c r="CB23" s="133"/>
      <c r="CC23" s="133"/>
      <c r="CD23" s="133"/>
      <c r="CE23" s="133"/>
      <c r="CF23" s="133"/>
      <c r="CG23" s="133"/>
      <c r="CH23" s="133"/>
      <c r="CI23" s="133"/>
      <c r="CJ23" s="133"/>
      <c r="CL23" s="127"/>
      <c r="CM23" s="133" t="s">
        <v>32</v>
      </c>
      <c r="CN23" s="133"/>
      <c r="CO23" s="133" t="s">
        <v>32</v>
      </c>
      <c r="CP23" s="133" t="s">
        <v>32</v>
      </c>
      <c r="CQ23" s="133" t="s">
        <v>32</v>
      </c>
      <c r="CR23" s="133" t="s">
        <v>32</v>
      </c>
      <c r="CS23" s="133"/>
      <c r="CT23" s="133"/>
      <c r="CU23" s="133"/>
      <c r="CV23" s="133"/>
      <c r="CW23" s="133"/>
      <c r="CX23" s="133"/>
      <c r="CY23" s="133"/>
      <c r="CZ23" s="133"/>
      <c r="DA23" s="133"/>
      <c r="DB23" s="127"/>
      <c r="DC23" s="127"/>
      <c r="DD23" s="133"/>
      <c r="DE23" s="133"/>
      <c r="DF23" s="133"/>
      <c r="DG23" s="133"/>
      <c r="DH23" s="133"/>
      <c r="DI23" s="133"/>
      <c r="DJ23" s="133"/>
      <c r="DK23" s="133"/>
      <c r="DL23" s="133"/>
      <c r="DM23" s="133"/>
      <c r="DN23" s="133"/>
      <c r="DO23" s="133"/>
      <c r="DP23" s="133"/>
      <c r="DQ23" s="133"/>
      <c r="DR23" s="133"/>
      <c r="DT23" s="127"/>
      <c r="DU23" s="191" cm="1">
        <f t="array" ref="DU23">_xlfn.IFS(DU$1= 0,"", NOT(ISBLANK(CM23)), 0, ISBLANK(CM23), $Q23-$S23+AY23-BV23-DD23)</f>
        <v>0</v>
      </c>
      <c r="DV23" s="192" cm="1">
        <f t="array" ref="DV23">_xlfn.IFS(DV$1= 0,"", NOT(ISBLANK(CN23)), 0, ISBLANK(CN23), $Q23-$S23+AZ23-BW23-DE23)</f>
        <v>32.720386479982267</v>
      </c>
      <c r="DW23" s="192" cm="1">
        <f t="array" ref="DW23">_xlfn.IFS(DW$1= 0,"", NOT(ISBLANK(CO23)), 0, ISBLANK(CO23), $Q23-$S23+BA23-BX23-DF23)</f>
        <v>0</v>
      </c>
      <c r="DX23" s="192" cm="1">
        <f t="array" ref="DX23">_xlfn.IFS(DX$1= 0,"", NOT(ISBLANK(CP23)), 0, ISBLANK(CP23), $Q23-$S23+BB23-BY23-DG23)</f>
        <v>0</v>
      </c>
      <c r="DY23" s="192" cm="1">
        <f t="array" ref="DY23">_xlfn.IFS(DY$1= 0,"", NOT(ISBLANK(CQ23)), 0, ISBLANK(CQ23), $Q23-$S23+BC23-BZ23-DH23)</f>
        <v>0</v>
      </c>
      <c r="DZ23" s="192" cm="1">
        <f t="array" ref="DZ23">_xlfn.IFS(DZ$1= 0,"", NOT(ISBLANK(CR23)), 0, ISBLANK(CR23), $Q23-$S23+BD23-CA23-DI23)</f>
        <v>0</v>
      </c>
      <c r="EA23" s="192" cm="1">
        <f t="array" ref="EA23">_xlfn.IFS(EA$1= 0,"", NOT(ISBLANK(CS23)), 0, ISBLANK(CS23), $Q23-$S23+BE23-CB23-DJ23)</f>
        <v>16.436653601528917</v>
      </c>
      <c r="EB23" s="192" t="str" cm="1">
        <f t="array" ref="EB23">_xlfn.IFS(EB$1= 0,"", NOT(ISBLANK(CT23)), 0, ISBLANK(CT23), $Q23-$S23+BF23-CC23-DK23)</f>
        <v/>
      </c>
      <c r="EC23" s="192" t="str" cm="1">
        <f t="array" ref="EC23">_xlfn.IFS(EC$1= 0,"", NOT(ISBLANK(CU23)), 0, ISBLANK(CU23), $Q23-$S23+BG23-CD23-DL23)</f>
        <v/>
      </c>
      <c r="ED23" s="192" t="str" cm="1">
        <f t="array" ref="ED23">_xlfn.IFS(ED$1= 0,"", NOT(ISBLANK(CV23)), 0, ISBLANK(CV23), $Q23-$S23+BH23-CE23-DM23)</f>
        <v/>
      </c>
      <c r="EE23" s="192" t="str" cm="1">
        <f t="array" ref="EE23">_xlfn.IFS(EE$1= 0,"", NOT(ISBLANK(CW23)), 0, ISBLANK(CW23), $Q23-$S23+BI23-CF23-DN23)</f>
        <v/>
      </c>
      <c r="EF23" s="192" t="str" cm="1">
        <f t="array" ref="EF23">_xlfn.IFS(EF$1= 0,"", NOT(ISBLANK(CX23)), 0, ISBLANK(CX23), $Q23-$S23+BJ23-CG23-DO23)</f>
        <v/>
      </c>
      <c r="EG23" s="192" t="str" cm="1">
        <f t="array" ref="EG23">_xlfn.IFS(EG$1= 0,"", NOT(ISBLANK(CY23)), 0, ISBLANK(CY23), $Q23-$S23+BK23-CH23-DP23)</f>
        <v/>
      </c>
      <c r="EH23" s="192" t="str" cm="1">
        <f t="array" ref="EH23">_xlfn.IFS(EH$1= 0,"", NOT(ISBLANK(CZ23)), 0, ISBLANK(CZ23), $Q23-$S23+BL23-CI23-DQ23)</f>
        <v/>
      </c>
      <c r="EI23" s="193" t="str" cm="1">
        <f t="array" ref="EI23">_xlfn.IFS(EI$1= 0,"", NOT(ISBLANK(DA23)), 0, ISBLANK(DA23), $Q23-$S23+BM23-CJ23-DR23)</f>
        <v/>
      </c>
    </row>
    <row r="24" spans="1:139" ht="16.5" customHeight="1" x14ac:dyDescent="0.3">
      <c r="A24" s="183">
        <v>1</v>
      </c>
      <c r="B24" s="134" t="s">
        <v>258</v>
      </c>
      <c r="C24" s="134" t="s">
        <v>87</v>
      </c>
      <c r="D24" s="135" t="s">
        <v>86</v>
      </c>
      <c r="E24" s="166" t="s">
        <v>259</v>
      </c>
      <c r="F24" s="174"/>
      <c r="G24" s="3"/>
      <c r="H24" s="3"/>
      <c r="I24" s="3"/>
      <c r="J24" s="3"/>
      <c r="K24" s="3"/>
      <c r="L24" s="3"/>
      <c r="M24" s="178"/>
      <c r="N24" s="174">
        <v>65.873120921161103</v>
      </c>
      <c r="O24" s="175">
        <v>0</v>
      </c>
      <c r="P24" s="169">
        <v>1</v>
      </c>
      <c r="Q24" s="122">
        <f t="shared" si="18"/>
        <v>66</v>
      </c>
      <c r="R24" s="2">
        <v>2</v>
      </c>
      <c r="S24" s="2"/>
      <c r="T24" s="3">
        <v>75.16</v>
      </c>
      <c r="U24" s="3">
        <v>87.7</v>
      </c>
      <c r="V24" s="104">
        <f t="shared" si="2"/>
        <v>75</v>
      </c>
      <c r="W24" s="78">
        <v>73</v>
      </c>
      <c r="X24" s="136">
        <v>2</v>
      </c>
      <c r="Z24" s="110" t="s">
        <v>95</v>
      </c>
      <c r="AA24" s="107">
        <v>77.77</v>
      </c>
      <c r="AB24" s="101">
        <v>86.9</v>
      </c>
      <c r="AC24" s="102">
        <v>75.400000000000006</v>
      </c>
      <c r="AD24" s="101">
        <v>163.68</v>
      </c>
      <c r="AE24" s="101">
        <v>103.73</v>
      </c>
      <c r="AF24" s="102">
        <v>75.400000000000006</v>
      </c>
      <c r="AH24" s="185" cm="1">
        <f t="array" ref="AH24">IF(OR(AH$1=0, $A24="", _xlfn.XLOOKUP(AH$1, $Z$2:$Z$18, $AD$2:$AD$18, "")=""),"",SQRT((_xlfn.XLOOKUP(AH$1,$Z$2:$Z$18,$AA$2:$AA$18)-$T24)^2+(_xlfn.XLOOKUP(AH$1,$Z$2:$Z$18,$AB$2:$AB$18)-$U24)^2+(_xlfn.XLOOKUP(AH$1,$Z$2:$Z$18,$AC$2:$AC$18-$V24)^2)))</f>
        <v>137.71461650819785</v>
      </c>
      <c r="AI24" s="124" cm="1">
        <f t="array" ref="AI24">IF(OR(AI$1=0, $A24="", _xlfn.XLOOKUP(AI$1, $Z$2:$Z$18, $AD$2:$AD$18, "")=""),"",SQRT((_xlfn.XLOOKUP(AI$1,$Z$2:$Z$18,$AA$2:$AA$18)-$T24)^2+(_xlfn.XLOOKUP(AI$1,$Z$2:$Z$18,$AB$2:$AB$18)-$U24)^2+(_xlfn.XLOOKUP(AI$1,$Z$2:$Z$18,$AC$2:$AC$18-$V24)^2)))</f>
        <v>43.107549222844945</v>
      </c>
      <c r="AJ24" s="124" cm="1">
        <f t="array" ref="AJ24">IF(OR(AJ$1=0, $A24="", _xlfn.XLOOKUP(AJ$1, $Z$2:$Z$18, $AD$2:$AD$18, "")=""),"",SQRT((_xlfn.XLOOKUP(AJ$1,$Z$2:$Z$18,$AA$2:$AA$18)-$T24)^2+(_xlfn.XLOOKUP(AJ$1,$Z$2:$Z$18,$AB$2:$AB$18)-$U24)^2+(_xlfn.XLOOKUP(AJ$1,$Z$2:$Z$18,$AC$2:$AC$18-$V24)^2)))</f>
        <v>57.558635320862159</v>
      </c>
      <c r="AK24" s="124" cm="1">
        <f t="array" ref="AK24">IF(OR(AK$1=0, $A24="", _xlfn.XLOOKUP(AK$1, $Z$2:$Z$18, $AD$2:$AD$18, "")=""),"",SQRT((_xlfn.XLOOKUP(AK$1,$Z$2:$Z$18,$AA$2:$AA$18)-$T24)^2+(_xlfn.XLOOKUP(AK$1,$Z$2:$Z$18,$AB$2:$AB$18)-$U24)^2+(_xlfn.XLOOKUP(AK$1,$Z$2:$Z$18,$AC$2:$AC$18-$V24)^2)))</f>
        <v>156.83578195042099</v>
      </c>
      <c r="AL24" s="124" cm="1">
        <f t="array" ref="AL24">IF(OR(AL$1=0, $A24="", _xlfn.XLOOKUP(AL$1, $Z$2:$Z$18, $AD$2:$AD$18, "")=""),"",SQRT((_xlfn.XLOOKUP(AL$1,$Z$2:$Z$18,$AA$2:$AA$18)-$T24)^2+(_xlfn.XLOOKUP(AL$1,$Z$2:$Z$18,$AB$2:$AB$18)-$U24)^2+(_xlfn.XLOOKUP(AL$1,$Z$2:$Z$18,$AC$2:$AC$18-$V24)^2)))</f>
        <v>244.22369356800746</v>
      </c>
      <c r="AM24" s="124" cm="1">
        <f t="array" ref="AM24">IF(OR(AM$1=0, $A24="", _xlfn.XLOOKUP(AM$1, $Z$2:$Z$18, $AD$2:$AD$18, "")=""),"",SQRT((_xlfn.XLOOKUP(AM$1,$Z$2:$Z$18,$AA$2:$AA$18)-$T24)^2+(_xlfn.XLOOKUP(AM$1,$Z$2:$Z$18,$AB$2:$AB$18)-$U24)^2+(_xlfn.XLOOKUP(AM$1,$Z$2:$Z$18,$AC$2:$AC$18-$V24)^2)))</f>
        <v>143.25237101004646</v>
      </c>
      <c r="AN24" s="124" cm="1">
        <f t="array" ref="AN24">IF(OR(AN$1=0, $A24="", _xlfn.XLOOKUP(AN$1, $Z$2:$Z$18, $AD$2:$AD$18, "")=""),"",SQRT((_xlfn.XLOOKUP(AN$1,$Z$2:$Z$18,$AA$2:$AA$18)-$T24)^2+(_xlfn.XLOOKUP(AN$1,$Z$2:$Z$18,$AB$2:$AB$18)-$U24)^2+(_xlfn.XLOOKUP(AN$1,$Z$2:$Z$18,$AC$2:$AC$18-$V24)^2)))</f>
        <v>143.25237101004646</v>
      </c>
      <c r="AO24" s="124" t="str" cm="1">
        <f t="array" ref="AO24">IF(OR(AO$1=0, $A24="", _xlfn.XLOOKUP(AO$1, $Z$2:$Z$18, $AD$2:$AD$18, "")=""),"",SQRT((_xlfn.XLOOKUP(AO$1,$Z$2:$Z$18,$AA$2:$AA$18)-$T24)^2+(_xlfn.XLOOKUP(AO$1,$Z$2:$Z$18,$AB$2:$AB$18)-$U24)^2+(_xlfn.XLOOKUP(AO$1,$Z$2:$Z$18,$AC$2:$AC$18-$V24)^2)))</f>
        <v/>
      </c>
      <c r="AP24" s="125" t="str" cm="1">
        <f t="array" ref="AP24">IF(OR(AP$1=0, $A24="", _xlfn.XLOOKUP(AP$1, $Z$2:$Z$18, $AD$2:$AD$18, "")=""),"",SQRT((_xlfn.XLOOKUP(AP$1,$Z$2:$Z$18,$AA$2:$AA$18)-$T24)^2+(_xlfn.XLOOKUP(AP$1,$Z$2:$Z$18,$AB$2:$AB$18)-$U24)^2+(_xlfn.XLOOKUP(AP$1,$Z$2:$Z$18,$AC$2:$AC$18-$V24)^2)))</f>
        <v/>
      </c>
      <c r="AQ24" s="125" t="str" cm="1">
        <f t="array" ref="AQ24">IF(OR(AQ$1=0, $A24="", _xlfn.XLOOKUP(AQ$1, $Z$2:$Z$18, $AD$2:$AD$18, "")=""),"",SQRT((_xlfn.XLOOKUP(AQ$1,$Z$2:$Z$18,$AA$2:$AA$18)-$T24)^2+(_xlfn.XLOOKUP(AQ$1,$Z$2:$Z$18,$AB$2:$AB$18)-$U24)^2+(_xlfn.XLOOKUP(AQ$1,$Z$2:$Z$18,$AC$2:$AC$18-$V24)^2)))</f>
        <v/>
      </c>
      <c r="AR24" s="125" t="str" cm="1">
        <f t="array" ref="AR24">IF(OR(AR$1=0, $A24="", _xlfn.XLOOKUP(AR$1, $Z$2:$Z$18, $AD$2:$AD$18, "")=""),"",SQRT((_xlfn.XLOOKUP(AR$1,$Z$2:$Z$18,$AA$2:$AA$18)-$T24)^2+(_xlfn.XLOOKUP(AR$1,$Z$2:$Z$18,$AB$2:$AB$18)-$U24)^2+(_xlfn.XLOOKUP(AR$1,$Z$2:$Z$18,$AC$2:$AC$18-$V24)^2)))</f>
        <v/>
      </c>
      <c r="AS24" s="125" t="str" cm="1">
        <f t="array" ref="AS24">IF(OR(AS$1=0, $A24="", _xlfn.XLOOKUP(AS$1, $Z$2:$Z$18, $AD$2:$AD$18, "")=""),"",SQRT((_xlfn.XLOOKUP(AS$1,$Z$2:$Z$18,$AA$2:$AA$18)-$T24)^2+(_xlfn.XLOOKUP(AS$1,$Z$2:$Z$18,$AB$2:$AB$18)-$U24)^2+(_xlfn.XLOOKUP(AS$1,$Z$2:$Z$18,$AC$2:$AC$18-$V24)^2)))</f>
        <v/>
      </c>
      <c r="AT24" s="125" t="str" cm="1">
        <f t="array" ref="AT24">IF(OR(AT$1=0, $A24="", _xlfn.XLOOKUP(AT$1, $Z$2:$Z$18, $AD$2:$AD$18, "")=""),"",SQRT((_xlfn.XLOOKUP(AT$1,$Z$2:$Z$18,$AA$2:$AA$18)-$T24)^2+(_xlfn.XLOOKUP(AT$1,$Z$2:$Z$18,$AB$2:$AB$18)-$U24)^2+(_xlfn.XLOOKUP(AT$1,$Z$2:$Z$18,$AC$2:$AC$18-$V24)^2)))</f>
        <v/>
      </c>
      <c r="AU24" s="125" t="str" cm="1">
        <f t="array" ref="AU24">IF(OR(AU$1=0, $A24="", _xlfn.XLOOKUP(AU$1, $Z$2:$Z$18, $AD$2:$AD$18, "")=""),"",SQRT((_xlfn.XLOOKUP(AU$1,$Z$2:$Z$18,$AA$2:$AA$18)-$T24)^2+(_xlfn.XLOOKUP(AU$1,$Z$2:$Z$18,$AB$2:$AB$18)-$U24)^2+(_xlfn.XLOOKUP(AU$1,$Z$2:$Z$18,$AC$2:$AC$18-$V24)^2)))</f>
        <v/>
      </c>
      <c r="AV24" s="126" t="str" cm="1">
        <f t="array" ref="AV24">IF(OR(AV$1=0, $A24="", _xlfn.XLOOKUP(AV$1, $Z$2:$Z$18, $AD$2:$AD$18, "")=""),"",SQRT((_xlfn.XLOOKUP(AV$1,$Z$2:$Z$18,$AA$2:$AA$18)-$T24)^2+(_xlfn.XLOOKUP(AV$1,$Z$2:$Z$18,$AB$2:$AB$18)-$U24)^2+(_xlfn.XLOOKUP(AV$1,$Z$2:$Z$18,$AC$2:$AC$18-$V24)^2)))</f>
        <v/>
      </c>
      <c r="AW24" s="127"/>
      <c r="AX24" s="127"/>
      <c r="AY24" s="128">
        <f t="shared" si="3"/>
        <v>-40.441698678450507</v>
      </c>
      <c r="AZ24" s="137">
        <f t="shared" si="4"/>
        <v>-30.35316459245599</v>
      </c>
      <c r="BA24" s="137">
        <f t="shared" si="5"/>
        <v>-32.864307707670243</v>
      </c>
      <c r="BB24" s="137">
        <f t="shared" si="6"/>
        <v>-41.571001008336623</v>
      </c>
      <c r="BC24" s="137">
        <f t="shared" si="7"/>
        <v>-45.417853838911512</v>
      </c>
      <c r="BD24" s="137">
        <f t="shared" si="8"/>
        <v>-40.784134313498711</v>
      </c>
      <c r="BE24" s="137">
        <f t="shared" si="9"/>
        <v>-40.784134313498711</v>
      </c>
      <c r="BF24" s="137">
        <f t="shared" si="10"/>
        <v>0</v>
      </c>
      <c r="BG24" s="138">
        <f t="shared" si="11"/>
        <v>0</v>
      </c>
      <c r="BH24" s="138">
        <f t="shared" si="12"/>
        <v>0</v>
      </c>
      <c r="BI24" s="138">
        <f t="shared" si="13"/>
        <v>0</v>
      </c>
      <c r="BJ24" s="138">
        <f t="shared" si="14"/>
        <v>0</v>
      </c>
      <c r="BK24" s="138">
        <f t="shared" si="15"/>
        <v>0</v>
      </c>
      <c r="BL24" s="138">
        <f t="shared" si="16"/>
        <v>0</v>
      </c>
      <c r="BM24" s="139">
        <f t="shared" si="17"/>
        <v>0</v>
      </c>
      <c r="BN24" s="127"/>
      <c r="BO24" s="127"/>
      <c r="BP24" s="127"/>
      <c r="BQ24" s="127"/>
      <c r="BR24" s="127"/>
      <c r="BS24" s="127"/>
      <c r="BT24" s="127"/>
      <c r="BU24" s="127"/>
      <c r="BV24" s="133"/>
      <c r="BW24" s="133">
        <v>0</v>
      </c>
      <c r="BX24" s="133">
        <v>0</v>
      </c>
      <c r="BY24" s="133">
        <v>10</v>
      </c>
      <c r="BZ24" s="133">
        <v>13</v>
      </c>
      <c r="CA24" s="133">
        <v>5</v>
      </c>
      <c r="CB24" s="133"/>
      <c r="CC24" s="133"/>
      <c r="CD24" s="133"/>
      <c r="CE24" s="133"/>
      <c r="CF24" s="133"/>
      <c r="CG24" s="133"/>
      <c r="CH24" s="133"/>
      <c r="CI24" s="133"/>
      <c r="CJ24" s="133"/>
      <c r="CL24" s="127"/>
      <c r="CM24" s="133" t="s">
        <v>32</v>
      </c>
      <c r="CN24" s="133"/>
      <c r="CO24" s="133" t="s">
        <v>32</v>
      </c>
      <c r="CP24" s="133" t="s">
        <v>32</v>
      </c>
      <c r="CQ24" s="133" t="s">
        <v>32</v>
      </c>
      <c r="CR24" s="133" t="s">
        <v>32</v>
      </c>
      <c r="CS24" s="133"/>
      <c r="CT24" s="133"/>
      <c r="CU24" s="133"/>
      <c r="CV24" s="133"/>
      <c r="CW24" s="133"/>
      <c r="CX24" s="133"/>
      <c r="CY24" s="133"/>
      <c r="CZ24" s="133"/>
      <c r="DA24" s="133"/>
      <c r="DB24" s="127"/>
      <c r="DC24" s="127"/>
      <c r="DD24" s="133"/>
      <c r="DE24" s="133"/>
      <c r="DF24" s="133"/>
      <c r="DG24" s="133"/>
      <c r="DH24" s="133"/>
      <c r="DI24" s="133"/>
      <c r="DJ24" s="133"/>
      <c r="DK24" s="133"/>
      <c r="DL24" s="133"/>
      <c r="DM24" s="133"/>
      <c r="DN24" s="133"/>
      <c r="DO24" s="133"/>
      <c r="DP24" s="133"/>
      <c r="DQ24" s="133"/>
      <c r="DR24" s="133"/>
      <c r="DT24" s="127"/>
      <c r="DU24" s="191" cm="1">
        <f t="array" ref="DU24">_xlfn.IFS(DU$1= 0,"", NOT(ISBLANK(CM24)), 0, ISBLANK(CM24), $Q24-$S24+AY24-BV24-DD24)</f>
        <v>0</v>
      </c>
      <c r="DV24" s="192" cm="1">
        <f t="array" ref="DV24">_xlfn.IFS(DV$1= 0,"", NOT(ISBLANK(CN24)), 0, ISBLANK(CN24), $Q24-$S24+AZ24-BW24-DE24)</f>
        <v>35.64683540754401</v>
      </c>
      <c r="DW24" s="192" cm="1">
        <f t="array" ref="DW24">_xlfn.IFS(DW$1= 0,"", NOT(ISBLANK(CO24)), 0, ISBLANK(CO24), $Q24-$S24+BA24-BX24-DF24)</f>
        <v>0</v>
      </c>
      <c r="DX24" s="192" cm="1">
        <f t="array" ref="DX24">_xlfn.IFS(DX$1= 0,"", NOT(ISBLANK(CP24)), 0, ISBLANK(CP24), $Q24-$S24+BB24-BY24-DG24)</f>
        <v>0</v>
      </c>
      <c r="DY24" s="192" cm="1">
        <f t="array" ref="DY24">_xlfn.IFS(DY$1= 0,"", NOT(ISBLANK(CQ24)), 0, ISBLANK(CQ24), $Q24-$S24+BC24-BZ24-DH24)</f>
        <v>0</v>
      </c>
      <c r="DZ24" s="192" cm="1">
        <f t="array" ref="DZ24">_xlfn.IFS(DZ$1= 0,"", NOT(ISBLANK(CR24)), 0, ISBLANK(CR24), $Q24-$S24+BD24-CA24-DI24)</f>
        <v>0</v>
      </c>
      <c r="EA24" s="192" cm="1">
        <f t="array" ref="EA24">_xlfn.IFS(EA$1= 0,"", NOT(ISBLANK(CS24)), 0, ISBLANK(CS24), $Q24-$S24+BE24-CB24-DJ24)</f>
        <v>25.215865686501289</v>
      </c>
      <c r="EB24" s="192" t="str" cm="1">
        <f t="array" ref="EB24">_xlfn.IFS(EB$1= 0,"", NOT(ISBLANK(CT24)), 0, ISBLANK(CT24), $Q24-$S24+BF24-CC24-DK24)</f>
        <v/>
      </c>
      <c r="EC24" s="192" t="str" cm="1">
        <f t="array" ref="EC24">_xlfn.IFS(EC$1= 0,"", NOT(ISBLANK(CU24)), 0, ISBLANK(CU24), $Q24-$S24+BG24-CD24-DL24)</f>
        <v/>
      </c>
      <c r="ED24" s="192" t="str" cm="1">
        <f t="array" ref="ED24">_xlfn.IFS(ED$1= 0,"", NOT(ISBLANK(CV24)), 0, ISBLANK(CV24), $Q24-$S24+BH24-CE24-DM24)</f>
        <v/>
      </c>
      <c r="EE24" s="192" t="str" cm="1">
        <f t="array" ref="EE24">_xlfn.IFS(EE$1= 0,"", NOT(ISBLANK(CW24)), 0, ISBLANK(CW24), $Q24-$S24+BI24-CF24-DN24)</f>
        <v/>
      </c>
      <c r="EF24" s="192" t="str" cm="1">
        <f t="array" ref="EF24">_xlfn.IFS(EF$1= 0,"", NOT(ISBLANK(CX24)), 0, ISBLANK(CX24), $Q24-$S24+BJ24-CG24-DO24)</f>
        <v/>
      </c>
      <c r="EG24" s="192" t="str" cm="1">
        <f t="array" ref="EG24">_xlfn.IFS(EG$1= 0,"", NOT(ISBLANK(CY24)), 0, ISBLANK(CY24), $Q24-$S24+BK24-CH24-DP24)</f>
        <v/>
      </c>
      <c r="EH24" s="192" t="str" cm="1">
        <f t="array" ref="EH24">_xlfn.IFS(EH$1= 0,"", NOT(ISBLANK(CZ24)), 0, ISBLANK(CZ24), $Q24-$S24+BL24-CI24-DQ24)</f>
        <v/>
      </c>
      <c r="EI24" s="193" t="str" cm="1">
        <f t="array" ref="EI24">_xlfn.IFS(EI$1= 0,"", NOT(ISBLANK(DA24)), 0, ISBLANK(DA24), $Q24-$S24+BM24-CJ24-DR24)</f>
        <v/>
      </c>
    </row>
    <row r="25" spans="1:139" ht="16.5" customHeight="1" x14ac:dyDescent="0.3">
      <c r="A25" s="183">
        <v>1</v>
      </c>
      <c r="B25" s="134" t="s">
        <v>260</v>
      </c>
      <c r="C25" s="134" t="s">
        <v>87</v>
      </c>
      <c r="D25" s="135" t="s">
        <v>86</v>
      </c>
      <c r="E25" s="166" t="s">
        <v>259</v>
      </c>
      <c r="F25" s="174"/>
      <c r="G25" s="3"/>
      <c r="H25" s="3"/>
      <c r="I25" s="3"/>
      <c r="J25" s="3"/>
      <c r="K25" s="3"/>
      <c r="L25" s="3"/>
      <c r="M25" s="178"/>
      <c r="N25" s="174">
        <v>65.873120921161103</v>
      </c>
      <c r="O25" s="175">
        <v>0</v>
      </c>
      <c r="P25" s="169">
        <v>1</v>
      </c>
      <c r="Q25" s="122">
        <f t="shared" si="18"/>
        <v>66</v>
      </c>
      <c r="R25" s="2">
        <v>2</v>
      </c>
      <c r="S25" s="2"/>
      <c r="T25" s="3">
        <v>104.4</v>
      </c>
      <c r="U25" s="3">
        <v>93.12</v>
      </c>
      <c r="V25" s="104">
        <f t="shared" si="2"/>
        <v>75</v>
      </c>
      <c r="W25" s="78">
        <v>73</v>
      </c>
      <c r="X25" s="136">
        <v>2</v>
      </c>
      <c r="Z25" s="110" t="s">
        <v>96</v>
      </c>
      <c r="AA25" s="108">
        <v>163.68</v>
      </c>
      <c r="AB25" s="49">
        <v>103.84</v>
      </c>
      <c r="AC25" s="102">
        <v>75.400000000000006</v>
      </c>
      <c r="AD25" s="49">
        <v>176.44</v>
      </c>
      <c r="AE25" s="49">
        <v>39.71</v>
      </c>
      <c r="AF25" s="50">
        <v>75.400000000000006</v>
      </c>
      <c r="AH25" s="185" cm="1">
        <f t="array" ref="AH25">IF(OR(AH$1=0, $A25="", _xlfn.XLOOKUP(AH$1, $Z$2:$Z$18, $AD$2:$AD$18, "")=""),"",SQRT((_xlfn.XLOOKUP(AH$1,$Z$2:$Z$18,$AA$2:$AA$18)-$T25)^2+(_xlfn.XLOOKUP(AH$1,$Z$2:$Z$18,$AB$2:$AB$18)-$U25)^2+(_xlfn.XLOOKUP(AH$1,$Z$2:$Z$18,$AC$2:$AC$18-$V25)^2)))</f>
        <v>158.73151671927033</v>
      </c>
      <c r="AI25" s="124" cm="1">
        <f t="array" ref="AI25">IF(OR(AI$1=0, $A25="", _xlfn.XLOOKUP(AI$1, $Z$2:$Z$18, $AD$2:$AD$18, "")=""),"",SQRT((_xlfn.XLOOKUP(AI$1,$Z$2:$Z$18,$AA$2:$AA$18)-$T25)^2+(_xlfn.XLOOKUP(AI$1,$Z$2:$Z$18,$AB$2:$AB$18)-$U25)^2+(_xlfn.XLOOKUP(AI$1,$Z$2:$Z$18,$AC$2:$AC$18-$V25)^2)))</f>
        <v>72.210140562112201</v>
      </c>
      <c r="AJ25" s="124" cm="1">
        <f t="array" ref="AJ25">IF(OR(AJ$1=0, $A25="", _xlfn.XLOOKUP(AJ$1, $Z$2:$Z$18, $AD$2:$AD$18, "")=""),"",SQRT((_xlfn.XLOOKUP(AJ$1,$Z$2:$Z$18,$AA$2:$AA$18)-$T25)^2+(_xlfn.XLOOKUP(AJ$1,$Z$2:$Z$18,$AB$2:$AB$18)-$U25)^2+(_xlfn.XLOOKUP(AJ$1,$Z$2:$Z$18,$AC$2:$AC$18-$V25)^2)))</f>
        <v>53.415081203719986</v>
      </c>
      <c r="AK25" s="124" cm="1">
        <f t="array" ref="AK25">IF(OR(AK$1=0, $A25="", _xlfn.XLOOKUP(AK$1, $Z$2:$Z$18, $AD$2:$AD$18, "")=""),"",SQRT((_xlfn.XLOOKUP(AK$1,$Z$2:$Z$18,$AA$2:$AA$18)-$T25)^2+(_xlfn.XLOOKUP(AK$1,$Z$2:$Z$18,$AB$2:$AB$18)-$U25)^2+(_xlfn.XLOOKUP(AK$1,$Z$2:$Z$18,$AC$2:$AC$18-$V25)^2)))</f>
        <v>133.76545331287895</v>
      </c>
      <c r="AL25" s="124" cm="1">
        <f t="array" ref="AL25">IF(OR(AL$1=0, $A25="", _xlfn.XLOOKUP(AL$1, $Z$2:$Z$18, $AD$2:$AD$18, "")=""),"",SQRT((_xlfn.XLOOKUP(AL$1,$Z$2:$Z$18,$AA$2:$AA$18)-$T25)^2+(_xlfn.XLOOKUP(AL$1,$Z$2:$Z$18,$AB$2:$AB$18)-$U25)^2+(_xlfn.XLOOKUP(AL$1,$Z$2:$Z$18,$AC$2:$AC$18-$V25)^2)))</f>
        <v>215.42380671597095</v>
      </c>
      <c r="AM25" s="124" cm="1">
        <f t="array" ref="AM25">IF(OR(AM$1=0, $A25="", _xlfn.XLOOKUP(AM$1, $Z$2:$Z$18, $AD$2:$AD$18, "")=""),"",SQRT((_xlfn.XLOOKUP(AM$1,$Z$2:$Z$18,$AA$2:$AA$18)-$T25)^2+(_xlfn.XLOOKUP(AM$1,$Z$2:$Z$18,$AB$2:$AB$18)-$U25)^2+(_xlfn.XLOOKUP(AM$1,$Z$2:$Z$18,$AC$2:$AC$18-$V25)^2)))</f>
        <v>153.62790436636178</v>
      </c>
      <c r="AN25" s="124" cm="1">
        <f t="array" ref="AN25">IF(OR(AN$1=0, $A25="", _xlfn.XLOOKUP(AN$1, $Z$2:$Z$18, $AD$2:$AD$18, "")=""),"",SQRT((_xlfn.XLOOKUP(AN$1,$Z$2:$Z$18,$AA$2:$AA$18)-$T25)^2+(_xlfn.XLOOKUP(AN$1,$Z$2:$Z$18,$AB$2:$AB$18)-$U25)^2+(_xlfn.XLOOKUP(AN$1,$Z$2:$Z$18,$AC$2:$AC$18-$V25)^2)))</f>
        <v>153.62790436636178</v>
      </c>
      <c r="AO25" s="124" t="str" cm="1">
        <f t="array" ref="AO25">IF(OR(AO$1=0, $A25="", _xlfn.XLOOKUP(AO$1, $Z$2:$Z$18, $AD$2:$AD$18, "")=""),"",SQRT((_xlfn.XLOOKUP(AO$1,$Z$2:$Z$18,$AA$2:$AA$18)-$T25)^2+(_xlfn.XLOOKUP(AO$1,$Z$2:$Z$18,$AB$2:$AB$18)-$U25)^2+(_xlfn.XLOOKUP(AO$1,$Z$2:$Z$18,$AC$2:$AC$18-$V25)^2)))</f>
        <v/>
      </c>
      <c r="AP25" s="125" t="str" cm="1">
        <f t="array" ref="AP25">IF(OR(AP$1=0, $A25="", _xlfn.XLOOKUP(AP$1, $Z$2:$Z$18, $AD$2:$AD$18, "")=""),"",SQRT((_xlfn.XLOOKUP(AP$1,$Z$2:$Z$18,$AA$2:$AA$18)-$T25)^2+(_xlfn.XLOOKUP(AP$1,$Z$2:$Z$18,$AB$2:$AB$18)-$U25)^2+(_xlfn.XLOOKUP(AP$1,$Z$2:$Z$18,$AC$2:$AC$18-$V25)^2)))</f>
        <v/>
      </c>
      <c r="AQ25" s="125" t="str" cm="1">
        <f t="array" ref="AQ25">IF(OR(AQ$1=0, $A25="", _xlfn.XLOOKUP(AQ$1, $Z$2:$Z$18, $AD$2:$AD$18, "")=""),"",SQRT((_xlfn.XLOOKUP(AQ$1,$Z$2:$Z$18,$AA$2:$AA$18)-$T25)^2+(_xlfn.XLOOKUP(AQ$1,$Z$2:$Z$18,$AB$2:$AB$18)-$U25)^2+(_xlfn.XLOOKUP(AQ$1,$Z$2:$Z$18,$AC$2:$AC$18-$V25)^2)))</f>
        <v/>
      </c>
      <c r="AR25" s="125" t="str" cm="1">
        <f t="array" ref="AR25">IF(OR(AR$1=0, $A25="", _xlfn.XLOOKUP(AR$1, $Z$2:$Z$18, $AD$2:$AD$18, "")=""),"",SQRT((_xlfn.XLOOKUP(AR$1,$Z$2:$Z$18,$AA$2:$AA$18)-$T25)^2+(_xlfn.XLOOKUP(AR$1,$Z$2:$Z$18,$AB$2:$AB$18)-$U25)^2+(_xlfn.XLOOKUP(AR$1,$Z$2:$Z$18,$AC$2:$AC$18-$V25)^2)))</f>
        <v/>
      </c>
      <c r="AS25" s="125" t="str" cm="1">
        <f t="array" ref="AS25">IF(OR(AS$1=0, $A25="", _xlfn.XLOOKUP(AS$1, $Z$2:$Z$18, $AD$2:$AD$18, "")=""),"",SQRT((_xlfn.XLOOKUP(AS$1,$Z$2:$Z$18,$AA$2:$AA$18)-$T25)^2+(_xlfn.XLOOKUP(AS$1,$Z$2:$Z$18,$AB$2:$AB$18)-$U25)^2+(_xlfn.XLOOKUP(AS$1,$Z$2:$Z$18,$AC$2:$AC$18-$V25)^2)))</f>
        <v/>
      </c>
      <c r="AT25" s="125" t="str" cm="1">
        <f t="array" ref="AT25">IF(OR(AT$1=0, $A25="", _xlfn.XLOOKUP(AT$1, $Z$2:$Z$18, $AD$2:$AD$18, "")=""),"",SQRT((_xlfn.XLOOKUP(AT$1,$Z$2:$Z$18,$AA$2:$AA$18)-$T25)^2+(_xlfn.XLOOKUP(AT$1,$Z$2:$Z$18,$AB$2:$AB$18)-$U25)^2+(_xlfn.XLOOKUP(AT$1,$Z$2:$Z$18,$AC$2:$AC$18-$V25)^2)))</f>
        <v/>
      </c>
      <c r="AU25" s="125" t="str" cm="1">
        <f t="array" ref="AU25">IF(OR(AU$1=0, $A25="", _xlfn.XLOOKUP(AU$1, $Z$2:$Z$18, $AD$2:$AD$18, "")=""),"",SQRT((_xlfn.XLOOKUP(AU$1,$Z$2:$Z$18,$AA$2:$AA$18)-$T25)^2+(_xlfn.XLOOKUP(AU$1,$Z$2:$Z$18,$AB$2:$AB$18)-$U25)^2+(_xlfn.XLOOKUP(AU$1,$Z$2:$Z$18,$AC$2:$AC$18-$V25)^2)))</f>
        <v/>
      </c>
      <c r="AV25" s="126" t="str" cm="1">
        <f t="array" ref="AV25">IF(OR(AV$1=0, $A25="", _xlfn.XLOOKUP(AV$1, $Z$2:$Z$18, $AD$2:$AD$18, "")=""),"",SQRT((_xlfn.XLOOKUP(AV$1,$Z$2:$Z$18,$AA$2:$AA$18)-$T25)^2+(_xlfn.XLOOKUP(AV$1,$Z$2:$Z$18,$AB$2:$AB$18)-$U25)^2+(_xlfn.XLOOKUP(AV$1,$Z$2:$Z$18,$AC$2:$AC$18-$V25)^2)))</f>
        <v/>
      </c>
      <c r="AW25" s="127"/>
      <c r="AX25" s="127"/>
      <c r="AY25" s="128">
        <f t="shared" si="3"/>
        <v>-41.675361258207282</v>
      </c>
      <c r="AZ25" s="137">
        <f t="shared" si="4"/>
        <v>-34.834061744537181</v>
      </c>
      <c r="BA25" s="137">
        <f t="shared" si="5"/>
        <v>-32.215375796174257</v>
      </c>
      <c r="BB25" s="137">
        <f t="shared" si="6"/>
        <v>-40.188977249987744</v>
      </c>
      <c r="BC25" s="137">
        <f t="shared" si="7"/>
        <v>-44.327971856196129</v>
      </c>
      <c r="BD25" s="137">
        <f t="shared" si="8"/>
        <v>-41.391500064861511</v>
      </c>
      <c r="BE25" s="137">
        <f t="shared" si="9"/>
        <v>-41.391500064861511</v>
      </c>
      <c r="BF25" s="137">
        <f t="shared" si="10"/>
        <v>0</v>
      </c>
      <c r="BG25" s="138">
        <f t="shared" si="11"/>
        <v>0</v>
      </c>
      <c r="BH25" s="138">
        <f t="shared" si="12"/>
        <v>0</v>
      </c>
      <c r="BI25" s="138">
        <f t="shared" si="13"/>
        <v>0</v>
      </c>
      <c r="BJ25" s="138">
        <f t="shared" si="14"/>
        <v>0</v>
      </c>
      <c r="BK25" s="138">
        <f t="shared" si="15"/>
        <v>0</v>
      </c>
      <c r="BL25" s="138">
        <f t="shared" si="16"/>
        <v>0</v>
      </c>
      <c r="BM25" s="139">
        <f t="shared" si="17"/>
        <v>0</v>
      </c>
      <c r="BN25" s="127"/>
      <c r="BO25" s="127"/>
      <c r="BP25" s="127"/>
      <c r="BQ25" s="127"/>
      <c r="BR25" s="127"/>
      <c r="BS25" s="127"/>
      <c r="BT25" s="127"/>
      <c r="BU25" s="127"/>
      <c r="BV25" s="133"/>
      <c r="BW25" s="133">
        <v>4</v>
      </c>
      <c r="BX25" s="133">
        <v>5</v>
      </c>
      <c r="BY25" s="133">
        <v>11</v>
      </c>
      <c r="BZ25" s="133">
        <v>13</v>
      </c>
      <c r="CA25" s="133">
        <v>8</v>
      </c>
      <c r="CB25" s="133"/>
      <c r="CC25" s="133"/>
      <c r="CD25" s="133"/>
      <c r="CE25" s="133"/>
      <c r="CF25" s="133"/>
      <c r="CG25" s="133"/>
      <c r="CH25" s="133"/>
      <c r="CI25" s="133"/>
      <c r="CJ25" s="133"/>
      <c r="CL25" s="127"/>
      <c r="CM25" s="133" t="s">
        <v>32</v>
      </c>
      <c r="CN25" s="133"/>
      <c r="CO25" s="133" t="s">
        <v>32</v>
      </c>
      <c r="CP25" s="133" t="s">
        <v>32</v>
      </c>
      <c r="CQ25" s="133" t="s">
        <v>32</v>
      </c>
      <c r="CR25" s="133" t="s">
        <v>32</v>
      </c>
      <c r="CS25" s="133"/>
      <c r="CT25" s="133"/>
      <c r="CU25" s="133"/>
      <c r="CV25" s="133"/>
      <c r="CW25" s="133"/>
      <c r="CX25" s="133"/>
      <c r="CY25" s="133"/>
      <c r="CZ25" s="133"/>
      <c r="DA25" s="133"/>
      <c r="DB25" s="127"/>
      <c r="DC25" s="127"/>
      <c r="DD25" s="133"/>
      <c r="DE25" s="133"/>
      <c r="DF25" s="133"/>
      <c r="DG25" s="133"/>
      <c r="DH25" s="133"/>
      <c r="DI25" s="133"/>
      <c r="DJ25" s="133"/>
      <c r="DK25" s="133"/>
      <c r="DL25" s="133"/>
      <c r="DM25" s="133"/>
      <c r="DN25" s="133"/>
      <c r="DO25" s="133"/>
      <c r="DP25" s="133"/>
      <c r="DQ25" s="133"/>
      <c r="DR25" s="133"/>
      <c r="DT25" s="127"/>
      <c r="DU25" s="191" cm="1">
        <f t="array" ref="DU25">_xlfn.IFS(DU$1= 0,"", NOT(ISBLANK(CM25)), 0, ISBLANK(CM25), $Q25-$S25+AY25-BV25-DD25)</f>
        <v>0</v>
      </c>
      <c r="DV25" s="192" cm="1">
        <f t="array" ref="DV25">_xlfn.IFS(DV$1= 0,"", NOT(ISBLANK(CN25)), 0, ISBLANK(CN25), $Q25-$S25+AZ25-BW25-DE25)</f>
        <v>27.165938255462819</v>
      </c>
      <c r="DW25" s="192" cm="1">
        <f t="array" ref="DW25">_xlfn.IFS(DW$1= 0,"", NOT(ISBLANK(CO25)), 0, ISBLANK(CO25), $Q25-$S25+BA25-BX25-DF25)</f>
        <v>0</v>
      </c>
      <c r="DX25" s="192" cm="1">
        <f t="array" ref="DX25">_xlfn.IFS(DX$1= 0,"", NOT(ISBLANK(CP25)), 0, ISBLANK(CP25), $Q25-$S25+BB25-BY25-DG25)</f>
        <v>0</v>
      </c>
      <c r="DY25" s="192" cm="1">
        <f t="array" ref="DY25">_xlfn.IFS(DY$1= 0,"", NOT(ISBLANK(CQ25)), 0, ISBLANK(CQ25), $Q25-$S25+BC25-BZ25-DH25)</f>
        <v>0</v>
      </c>
      <c r="DZ25" s="192" cm="1">
        <f t="array" ref="DZ25">_xlfn.IFS(DZ$1= 0,"", NOT(ISBLANK(CR25)), 0, ISBLANK(CR25), $Q25-$S25+BD25-CA25-DI25)</f>
        <v>0</v>
      </c>
      <c r="EA25" s="192" cm="1">
        <f t="array" ref="EA25">_xlfn.IFS(EA$1= 0,"", NOT(ISBLANK(CS25)), 0, ISBLANK(CS25), $Q25-$S25+BE25-CB25-DJ25)</f>
        <v>24.608499935138489</v>
      </c>
      <c r="EB25" s="192" t="str" cm="1">
        <f t="array" ref="EB25">_xlfn.IFS(EB$1= 0,"", NOT(ISBLANK(CT25)), 0, ISBLANK(CT25), $Q25-$S25+BF25-CC25-DK25)</f>
        <v/>
      </c>
      <c r="EC25" s="192" t="str" cm="1">
        <f t="array" ref="EC25">_xlfn.IFS(EC$1= 0,"", NOT(ISBLANK(CU25)), 0, ISBLANK(CU25), $Q25-$S25+BG25-CD25-DL25)</f>
        <v/>
      </c>
      <c r="ED25" s="192" t="str" cm="1">
        <f t="array" ref="ED25">_xlfn.IFS(ED$1= 0,"", NOT(ISBLANK(CV25)), 0, ISBLANK(CV25), $Q25-$S25+BH25-CE25-DM25)</f>
        <v/>
      </c>
      <c r="EE25" s="192" t="str" cm="1">
        <f t="array" ref="EE25">_xlfn.IFS(EE$1= 0,"", NOT(ISBLANK(CW25)), 0, ISBLANK(CW25), $Q25-$S25+BI25-CF25-DN25)</f>
        <v/>
      </c>
      <c r="EF25" s="192" t="str" cm="1">
        <f t="array" ref="EF25">_xlfn.IFS(EF$1= 0,"", NOT(ISBLANK(CX25)), 0, ISBLANK(CX25), $Q25-$S25+BJ25-CG25-DO25)</f>
        <v/>
      </c>
      <c r="EG25" s="192" t="str" cm="1">
        <f t="array" ref="EG25">_xlfn.IFS(EG$1= 0,"", NOT(ISBLANK(CY25)), 0, ISBLANK(CY25), $Q25-$S25+BK25-CH25-DP25)</f>
        <v/>
      </c>
      <c r="EH25" s="192" t="str" cm="1">
        <f t="array" ref="EH25">_xlfn.IFS(EH$1= 0,"", NOT(ISBLANK(CZ25)), 0, ISBLANK(CZ25), $Q25-$S25+BL25-CI25-DQ25)</f>
        <v/>
      </c>
      <c r="EI25" s="193" t="str" cm="1">
        <f t="array" ref="EI25">_xlfn.IFS(EI$1= 0,"", NOT(ISBLANK(DA25)), 0, ISBLANK(DA25), $Q25-$S25+BM25-CJ25-DR25)</f>
        <v/>
      </c>
    </row>
    <row r="26" spans="1:139" ht="16.5" customHeight="1" x14ac:dyDescent="0.3">
      <c r="A26" s="183">
        <v>1</v>
      </c>
      <c r="B26" s="134" t="s">
        <v>261</v>
      </c>
      <c r="C26" s="134" t="s">
        <v>87</v>
      </c>
      <c r="D26" s="135" t="s">
        <v>86</v>
      </c>
      <c r="E26" s="166" t="s">
        <v>259</v>
      </c>
      <c r="F26" s="174"/>
      <c r="G26" s="3"/>
      <c r="H26" s="3"/>
      <c r="I26" s="3"/>
      <c r="J26" s="3"/>
      <c r="K26" s="3"/>
      <c r="L26" s="3"/>
      <c r="M26" s="178"/>
      <c r="N26" s="174">
        <v>65.873120921161103</v>
      </c>
      <c r="O26" s="175">
        <v>0</v>
      </c>
      <c r="P26" s="169">
        <v>1</v>
      </c>
      <c r="Q26" s="122">
        <f t="shared" si="18"/>
        <v>66</v>
      </c>
      <c r="R26" s="2">
        <v>2</v>
      </c>
      <c r="S26" s="2"/>
      <c r="T26" s="3">
        <v>130.88999999999999</v>
      </c>
      <c r="U26" s="3">
        <v>100.62</v>
      </c>
      <c r="V26" s="104">
        <f t="shared" si="2"/>
        <v>75</v>
      </c>
      <c r="W26" s="78">
        <v>73</v>
      </c>
      <c r="X26" s="136">
        <v>2</v>
      </c>
      <c r="Z26" s="110" t="s">
        <v>97</v>
      </c>
      <c r="AA26" s="108">
        <v>176.56</v>
      </c>
      <c r="AB26" s="49">
        <v>40.15</v>
      </c>
      <c r="AC26" s="102">
        <v>75.400000000000006</v>
      </c>
      <c r="AD26" s="49">
        <v>208.02</v>
      </c>
      <c r="AE26" s="49">
        <v>46.53</v>
      </c>
      <c r="AF26" s="50">
        <v>75.400000000000006</v>
      </c>
      <c r="AH26" s="185" cm="1">
        <f t="array" ref="AH26">IF(OR(AH$1=0, $A26="", _xlfn.XLOOKUP(AH$1, $Z$2:$Z$18, $AD$2:$AD$18, "")=""),"",SQRT((_xlfn.XLOOKUP(AH$1,$Z$2:$Z$18,$AA$2:$AA$18)-$T26)^2+(_xlfn.XLOOKUP(AH$1,$Z$2:$Z$18,$AB$2:$AB$18)-$U26)^2+(_xlfn.XLOOKUP(AH$1,$Z$2:$Z$18,$AC$2:$AC$18-$V26)^2)))</f>
        <v>181.33277833861146</v>
      </c>
      <c r="AI26" s="124" cm="1">
        <f t="array" ref="AI26">IF(OR(AI$1=0, $A26="", _xlfn.XLOOKUP(AI$1, $Z$2:$Z$18, $AD$2:$AD$18, "")=""),"",SQRT((_xlfn.XLOOKUP(AI$1,$Z$2:$Z$18,$AA$2:$AA$18)-$T26)^2+(_xlfn.XLOOKUP(AI$1,$Z$2:$Z$18,$AB$2:$AB$18)-$U26)^2+(_xlfn.XLOOKUP(AI$1,$Z$2:$Z$18,$AC$2:$AC$18-$V26)^2)))</f>
        <v>99.260828628417144</v>
      </c>
      <c r="AJ26" s="124" cm="1">
        <f t="array" ref="AJ26">IF(OR(AJ$1=0, $A26="", _xlfn.XLOOKUP(AJ$1, $Z$2:$Z$18, $AD$2:$AD$18, "")=""),"",SQRT((_xlfn.XLOOKUP(AJ$1,$Z$2:$Z$18,$AA$2:$AA$18)-$T26)^2+(_xlfn.XLOOKUP(AJ$1,$Z$2:$Z$18,$AB$2:$AB$18)-$U26)^2+(_xlfn.XLOOKUP(AJ$1,$Z$2:$Z$18,$AC$2:$AC$18-$V26)^2)))</f>
        <v>64.84393109613265</v>
      </c>
      <c r="AK26" s="124" cm="1">
        <f t="array" ref="AK26">IF(OR(AK$1=0, $A26="", _xlfn.XLOOKUP(AK$1, $Z$2:$Z$18, $AD$2:$AD$18, "")=""),"",SQRT((_xlfn.XLOOKUP(AK$1,$Z$2:$Z$18,$AA$2:$AA$18)-$T26)^2+(_xlfn.XLOOKUP(AK$1,$Z$2:$Z$18,$AB$2:$AB$18)-$U26)^2+(_xlfn.XLOOKUP(AK$1,$Z$2:$Z$18,$AC$2:$AC$18-$V26)^2)))</f>
        <v>117.23646531689702</v>
      </c>
      <c r="AL26" s="124" cm="1">
        <f t="array" ref="AL26">IF(OR(AL$1=0, $A26="", _xlfn.XLOOKUP(AL$1, $Z$2:$Z$18, $AD$2:$AD$18, "")=""),"",SQRT((_xlfn.XLOOKUP(AL$1,$Z$2:$Z$18,$AA$2:$AA$18)-$T26)^2+(_xlfn.XLOOKUP(AL$1,$Z$2:$Z$18,$AB$2:$AB$18)-$U26)^2+(_xlfn.XLOOKUP(AL$1,$Z$2:$Z$18,$AC$2:$AC$18-$V26)^2)))</f>
        <v>189.7572285843151</v>
      </c>
      <c r="AM26" s="124" cm="1">
        <f t="array" ref="AM26">IF(OR(AM$1=0, $A26="", _xlfn.XLOOKUP(AM$1, $Z$2:$Z$18, $AD$2:$AD$18, "")=""),"",SQRT((_xlfn.XLOOKUP(AM$1,$Z$2:$Z$18,$AA$2:$AA$18)-$T26)^2+(_xlfn.XLOOKUP(AM$1,$Z$2:$Z$18,$AB$2:$AB$18)-$U26)^2+(_xlfn.XLOOKUP(AM$1,$Z$2:$Z$18,$AC$2:$AC$18-$V26)^2)))</f>
        <v>165.30595784786462</v>
      </c>
      <c r="AN26" s="124" cm="1">
        <f t="array" ref="AN26">IF(OR(AN$1=0, $A26="", _xlfn.XLOOKUP(AN$1, $Z$2:$Z$18, $AD$2:$AD$18, "")=""),"",SQRT((_xlfn.XLOOKUP(AN$1,$Z$2:$Z$18,$AA$2:$AA$18)-$T26)^2+(_xlfn.XLOOKUP(AN$1,$Z$2:$Z$18,$AB$2:$AB$18)-$U26)^2+(_xlfn.XLOOKUP(AN$1,$Z$2:$Z$18,$AC$2:$AC$18-$V26)^2)))</f>
        <v>165.30595784786462</v>
      </c>
      <c r="AO26" s="124" t="str" cm="1">
        <f t="array" ref="AO26">IF(OR(AO$1=0, $A26="", _xlfn.XLOOKUP(AO$1, $Z$2:$Z$18, $AD$2:$AD$18, "")=""),"",SQRT((_xlfn.XLOOKUP(AO$1,$Z$2:$Z$18,$AA$2:$AA$18)-$T26)^2+(_xlfn.XLOOKUP(AO$1,$Z$2:$Z$18,$AB$2:$AB$18)-$U26)^2+(_xlfn.XLOOKUP(AO$1,$Z$2:$Z$18,$AC$2:$AC$18-$V26)^2)))</f>
        <v/>
      </c>
      <c r="AP26" s="125" t="str" cm="1">
        <f t="array" ref="AP26">IF(OR(AP$1=0, $A26="", _xlfn.XLOOKUP(AP$1, $Z$2:$Z$18, $AD$2:$AD$18, "")=""),"",SQRT((_xlfn.XLOOKUP(AP$1,$Z$2:$Z$18,$AA$2:$AA$18)-$T26)^2+(_xlfn.XLOOKUP(AP$1,$Z$2:$Z$18,$AB$2:$AB$18)-$U26)^2+(_xlfn.XLOOKUP(AP$1,$Z$2:$Z$18,$AC$2:$AC$18-$V26)^2)))</f>
        <v/>
      </c>
      <c r="AQ26" s="125" t="str" cm="1">
        <f t="array" ref="AQ26">IF(OR(AQ$1=0, $A26="", _xlfn.XLOOKUP(AQ$1, $Z$2:$Z$18, $AD$2:$AD$18, "")=""),"",SQRT((_xlfn.XLOOKUP(AQ$1,$Z$2:$Z$18,$AA$2:$AA$18)-$T26)^2+(_xlfn.XLOOKUP(AQ$1,$Z$2:$Z$18,$AB$2:$AB$18)-$U26)^2+(_xlfn.XLOOKUP(AQ$1,$Z$2:$Z$18,$AC$2:$AC$18-$V26)^2)))</f>
        <v/>
      </c>
      <c r="AR26" s="125" t="str" cm="1">
        <f t="array" ref="AR26">IF(OR(AR$1=0, $A26="", _xlfn.XLOOKUP(AR$1, $Z$2:$Z$18, $AD$2:$AD$18, "")=""),"",SQRT((_xlfn.XLOOKUP(AR$1,$Z$2:$Z$18,$AA$2:$AA$18)-$T26)^2+(_xlfn.XLOOKUP(AR$1,$Z$2:$Z$18,$AB$2:$AB$18)-$U26)^2+(_xlfn.XLOOKUP(AR$1,$Z$2:$Z$18,$AC$2:$AC$18-$V26)^2)))</f>
        <v/>
      </c>
      <c r="AS26" s="125" t="str" cm="1">
        <f t="array" ref="AS26">IF(OR(AS$1=0, $A26="", _xlfn.XLOOKUP(AS$1, $Z$2:$Z$18, $AD$2:$AD$18, "")=""),"",SQRT((_xlfn.XLOOKUP(AS$1,$Z$2:$Z$18,$AA$2:$AA$18)-$T26)^2+(_xlfn.XLOOKUP(AS$1,$Z$2:$Z$18,$AB$2:$AB$18)-$U26)^2+(_xlfn.XLOOKUP(AS$1,$Z$2:$Z$18,$AC$2:$AC$18-$V26)^2)))</f>
        <v/>
      </c>
      <c r="AT26" s="125" t="str" cm="1">
        <f t="array" ref="AT26">IF(OR(AT$1=0, $A26="", _xlfn.XLOOKUP(AT$1, $Z$2:$Z$18, $AD$2:$AD$18, "")=""),"",SQRT((_xlfn.XLOOKUP(AT$1,$Z$2:$Z$18,$AA$2:$AA$18)-$T26)^2+(_xlfn.XLOOKUP(AT$1,$Z$2:$Z$18,$AB$2:$AB$18)-$U26)^2+(_xlfn.XLOOKUP(AT$1,$Z$2:$Z$18,$AC$2:$AC$18-$V26)^2)))</f>
        <v/>
      </c>
      <c r="AU26" s="125" t="str" cm="1">
        <f t="array" ref="AU26">IF(OR(AU$1=0, $A26="", _xlfn.XLOOKUP(AU$1, $Z$2:$Z$18, $AD$2:$AD$18, "")=""),"",SQRT((_xlfn.XLOOKUP(AU$1,$Z$2:$Z$18,$AA$2:$AA$18)-$T26)^2+(_xlfn.XLOOKUP(AU$1,$Z$2:$Z$18,$AB$2:$AB$18)-$U26)^2+(_xlfn.XLOOKUP(AU$1,$Z$2:$Z$18,$AC$2:$AC$18-$V26)^2)))</f>
        <v/>
      </c>
      <c r="AV26" s="126" t="str" cm="1">
        <f t="array" ref="AV26">IF(OR(AV$1=0, $A26="", _xlfn.XLOOKUP(AV$1, $Z$2:$Z$18, $AD$2:$AD$18, "")=""),"",SQRT((_xlfn.XLOOKUP(AV$1,$Z$2:$Z$18,$AA$2:$AA$18)-$T26)^2+(_xlfn.XLOOKUP(AV$1,$Z$2:$Z$18,$AB$2:$AB$18)-$U26)^2+(_xlfn.XLOOKUP(AV$1,$Z$2:$Z$18,$AC$2:$AC$18-$V26)^2)))</f>
        <v/>
      </c>
      <c r="AW26" s="127"/>
      <c r="AX26" s="127"/>
      <c r="AY26" s="128">
        <f t="shared" si="3"/>
        <v>-42.831624252144593</v>
      </c>
      <c r="AZ26" s="137">
        <f t="shared" si="4"/>
        <v>-37.59765586418208</v>
      </c>
      <c r="BA26" s="137">
        <f t="shared" si="5"/>
        <v>-33.899484649483227</v>
      </c>
      <c r="BB26" s="137">
        <f t="shared" si="6"/>
        <v>-39.043352256363363</v>
      </c>
      <c r="BC26" s="137">
        <f t="shared" si="7"/>
        <v>-43.226064513603937</v>
      </c>
      <c r="BD26" s="137">
        <f t="shared" si="8"/>
        <v>-42.027868065085286</v>
      </c>
      <c r="BE26" s="137">
        <f t="shared" si="9"/>
        <v>-42.027868065085286</v>
      </c>
      <c r="BF26" s="137">
        <f t="shared" si="10"/>
        <v>0</v>
      </c>
      <c r="BG26" s="138">
        <f t="shared" si="11"/>
        <v>0</v>
      </c>
      <c r="BH26" s="138">
        <f t="shared" si="12"/>
        <v>0</v>
      </c>
      <c r="BI26" s="138">
        <f t="shared" si="13"/>
        <v>0</v>
      </c>
      <c r="BJ26" s="138">
        <f t="shared" si="14"/>
        <v>0</v>
      </c>
      <c r="BK26" s="138">
        <f t="shared" si="15"/>
        <v>0</v>
      </c>
      <c r="BL26" s="138">
        <f t="shared" si="16"/>
        <v>0</v>
      </c>
      <c r="BM26" s="139">
        <f t="shared" si="17"/>
        <v>0</v>
      </c>
      <c r="BN26" s="127"/>
      <c r="BO26" s="18"/>
      <c r="BP26" s="34" t="s">
        <v>32</v>
      </c>
      <c r="BQ26" s="34" t="s">
        <v>65</v>
      </c>
      <c r="BR26" s="18" t="str">
        <f>"Path-Length Difference (L) = " &amp;ROUND('Input LwA_XYZ'!BP12,1) &amp;" ft"</f>
        <v>Path-Length Difference (L) = 0.6 ft</v>
      </c>
      <c r="BT26" s="127"/>
      <c r="BU26" s="127"/>
      <c r="BV26" s="133"/>
      <c r="BW26" s="133">
        <v>5</v>
      </c>
      <c r="BX26" s="133">
        <v>7</v>
      </c>
      <c r="BY26" s="133">
        <v>11</v>
      </c>
      <c r="BZ26" s="133">
        <v>11</v>
      </c>
      <c r="CA26" s="133">
        <v>8</v>
      </c>
      <c r="CB26" s="133"/>
      <c r="CC26" s="133"/>
      <c r="CD26" s="133"/>
      <c r="CE26" s="133"/>
      <c r="CF26" s="133"/>
      <c r="CG26" s="133"/>
      <c r="CH26" s="133"/>
      <c r="CI26" s="133"/>
      <c r="CJ26" s="133"/>
      <c r="CL26" s="127"/>
      <c r="CM26" s="133" t="s">
        <v>32</v>
      </c>
      <c r="CN26" s="133"/>
      <c r="CO26" s="133" t="s">
        <v>32</v>
      </c>
      <c r="CP26" s="133" t="s">
        <v>32</v>
      </c>
      <c r="CQ26" s="133" t="s">
        <v>32</v>
      </c>
      <c r="CR26" s="133" t="s">
        <v>32</v>
      </c>
      <c r="CS26" s="133"/>
      <c r="CT26" s="133"/>
      <c r="CU26" s="133"/>
      <c r="CV26" s="133"/>
      <c r="CW26" s="133"/>
      <c r="CX26" s="133"/>
      <c r="CY26" s="133"/>
      <c r="CZ26" s="133"/>
      <c r="DA26" s="133"/>
      <c r="DB26" s="127"/>
      <c r="DC26" s="127"/>
      <c r="DD26" s="133"/>
      <c r="DE26" s="133"/>
      <c r="DF26" s="133"/>
      <c r="DG26" s="133"/>
      <c r="DH26" s="133"/>
      <c r="DI26" s="133"/>
      <c r="DJ26" s="133"/>
      <c r="DK26" s="133"/>
      <c r="DL26" s="133"/>
      <c r="DM26" s="133"/>
      <c r="DN26" s="133"/>
      <c r="DO26" s="133"/>
      <c r="DP26" s="133"/>
      <c r="DQ26" s="133"/>
      <c r="DR26" s="133"/>
      <c r="DT26" s="127"/>
      <c r="DU26" s="191" cm="1">
        <f t="array" ref="DU26">_xlfn.IFS(DU$1= 0,"", NOT(ISBLANK(CM26)), 0, ISBLANK(CM26), $Q26-$S26+AY26-BV26-DD26)</f>
        <v>0</v>
      </c>
      <c r="DV26" s="192" cm="1">
        <f t="array" ref="DV26">_xlfn.IFS(DV$1= 0,"", NOT(ISBLANK(CN26)), 0, ISBLANK(CN26), $Q26-$S26+AZ26-BW26-DE26)</f>
        <v>23.40234413581792</v>
      </c>
      <c r="DW26" s="192" cm="1">
        <f t="array" ref="DW26">_xlfn.IFS(DW$1= 0,"", NOT(ISBLANK(CO26)), 0, ISBLANK(CO26), $Q26-$S26+BA26-BX26-DF26)</f>
        <v>0</v>
      </c>
      <c r="DX26" s="192" cm="1">
        <f t="array" ref="DX26">_xlfn.IFS(DX$1= 0,"", NOT(ISBLANK(CP26)), 0, ISBLANK(CP26), $Q26-$S26+BB26-BY26-DG26)</f>
        <v>0</v>
      </c>
      <c r="DY26" s="192" cm="1">
        <f t="array" ref="DY26">_xlfn.IFS(DY$1= 0,"", NOT(ISBLANK(CQ26)), 0, ISBLANK(CQ26), $Q26-$S26+BC26-BZ26-DH26)</f>
        <v>0</v>
      </c>
      <c r="DZ26" s="192" cm="1">
        <f t="array" ref="DZ26">_xlfn.IFS(DZ$1= 0,"", NOT(ISBLANK(CR26)), 0, ISBLANK(CR26), $Q26-$S26+BD26-CA26-DI26)</f>
        <v>0</v>
      </c>
      <c r="EA26" s="192" cm="1">
        <f t="array" ref="EA26">_xlfn.IFS(EA$1= 0,"", NOT(ISBLANK(CS26)), 0, ISBLANK(CS26), $Q26-$S26+BE26-CB26-DJ26)</f>
        <v>23.972131934914714</v>
      </c>
      <c r="EB26" s="192" t="str" cm="1">
        <f t="array" ref="EB26">_xlfn.IFS(EB$1= 0,"", NOT(ISBLANK(CT26)), 0, ISBLANK(CT26), $Q26-$S26+BF26-CC26-DK26)</f>
        <v/>
      </c>
      <c r="EC26" s="192" t="str" cm="1">
        <f t="array" ref="EC26">_xlfn.IFS(EC$1= 0,"", NOT(ISBLANK(CU26)), 0, ISBLANK(CU26), $Q26-$S26+BG26-CD26-DL26)</f>
        <v/>
      </c>
      <c r="ED26" s="192" t="str" cm="1">
        <f t="array" ref="ED26">_xlfn.IFS(ED$1= 0,"", NOT(ISBLANK(CV26)), 0, ISBLANK(CV26), $Q26-$S26+BH26-CE26-DM26)</f>
        <v/>
      </c>
      <c r="EE26" s="192" t="str" cm="1">
        <f t="array" ref="EE26">_xlfn.IFS(EE$1= 0,"", NOT(ISBLANK(CW26)), 0, ISBLANK(CW26), $Q26-$S26+BI26-CF26-DN26)</f>
        <v/>
      </c>
      <c r="EF26" s="192" t="str" cm="1">
        <f t="array" ref="EF26">_xlfn.IFS(EF$1= 0,"", NOT(ISBLANK(CX26)), 0, ISBLANK(CX26), $Q26-$S26+BJ26-CG26-DO26)</f>
        <v/>
      </c>
      <c r="EG26" s="192" t="str" cm="1">
        <f t="array" ref="EG26">_xlfn.IFS(EG$1= 0,"", NOT(ISBLANK(CY26)), 0, ISBLANK(CY26), $Q26-$S26+BK26-CH26-DP26)</f>
        <v/>
      </c>
      <c r="EH26" s="192" t="str" cm="1">
        <f t="array" ref="EH26">_xlfn.IFS(EH$1= 0,"", NOT(ISBLANK(CZ26)), 0, ISBLANK(CZ26), $Q26-$S26+BL26-CI26-DQ26)</f>
        <v/>
      </c>
      <c r="EI26" s="193" t="str" cm="1">
        <f t="array" ref="EI26">_xlfn.IFS(EI$1= 0,"", NOT(ISBLANK(DA26)), 0, ISBLANK(DA26), $Q26-$S26+BM26-CJ26-DR26)</f>
        <v/>
      </c>
    </row>
    <row r="27" spans="1:139" ht="16.5" customHeight="1" x14ac:dyDescent="0.3">
      <c r="A27" s="183">
        <v>1</v>
      </c>
      <c r="B27" s="134" t="s">
        <v>262</v>
      </c>
      <c r="C27" s="134" t="s">
        <v>87</v>
      </c>
      <c r="D27" s="135" t="s">
        <v>86</v>
      </c>
      <c r="E27" s="166" t="s">
        <v>259</v>
      </c>
      <c r="F27" s="174"/>
      <c r="G27" s="3"/>
      <c r="H27" s="3"/>
      <c r="I27" s="3"/>
      <c r="J27" s="3"/>
      <c r="K27" s="3"/>
      <c r="L27" s="3"/>
      <c r="M27" s="178"/>
      <c r="N27" s="174">
        <v>65.873120921161103</v>
      </c>
      <c r="O27" s="175">
        <v>0</v>
      </c>
      <c r="P27" s="169">
        <v>1</v>
      </c>
      <c r="Q27" s="122">
        <f t="shared" si="18"/>
        <v>66</v>
      </c>
      <c r="R27" s="2">
        <v>2</v>
      </c>
      <c r="S27" s="2"/>
      <c r="T27" s="3">
        <v>165.93</v>
      </c>
      <c r="U27" s="3">
        <v>79.650000000000006</v>
      </c>
      <c r="V27" s="104">
        <f t="shared" si="2"/>
        <v>75</v>
      </c>
      <c r="W27" s="78">
        <v>73</v>
      </c>
      <c r="X27" s="136">
        <v>2</v>
      </c>
      <c r="Z27" s="110" t="s">
        <v>98</v>
      </c>
      <c r="AA27" s="107">
        <v>207.91</v>
      </c>
      <c r="AB27" s="101">
        <v>46.31</v>
      </c>
      <c r="AC27" s="102">
        <v>75.400000000000006</v>
      </c>
      <c r="AD27" s="101">
        <v>210.77</v>
      </c>
      <c r="AE27" s="101">
        <v>31.57</v>
      </c>
      <c r="AF27" s="102">
        <v>75.400000000000006</v>
      </c>
      <c r="AH27" s="185" cm="1">
        <f t="array" ref="AH27">IF(OR(AH$1=0, $A27="", _xlfn.XLOOKUP(AH$1, $Z$2:$Z$18, $AD$2:$AD$18, "")=""),"",SQRT((_xlfn.XLOOKUP(AH$1,$Z$2:$Z$18,$AA$2:$AA$18)-$T27)^2+(_xlfn.XLOOKUP(AH$1,$Z$2:$Z$18,$AB$2:$AB$18)-$U27)^2+(_xlfn.XLOOKUP(AH$1,$Z$2:$Z$18,$AC$2:$AC$18-$V27)^2)))</f>
        <v>198.7508173568099</v>
      </c>
      <c r="AI27" s="124" cm="1">
        <f t="array" ref="AI27">IF(OR(AI$1=0, $A27="", _xlfn.XLOOKUP(AI$1, $Z$2:$Z$18, $AD$2:$AD$18, "")=""),"",SQRT((_xlfn.XLOOKUP(AI$1,$Z$2:$Z$18,$AA$2:$AA$18)-$T27)^2+(_xlfn.XLOOKUP(AI$1,$Z$2:$Z$18,$AB$2:$AB$18)-$U27)^2+(_xlfn.XLOOKUP(AI$1,$Z$2:$Z$18,$AC$2:$AC$18-$V27)^2)))</f>
        <v>133.16029212944827</v>
      </c>
      <c r="AJ27" s="124" cm="1">
        <f t="array" ref="AJ27">IF(OR(AJ$1=0, $A27="", _xlfn.XLOOKUP(AJ$1, $Z$2:$Z$18, $AD$2:$AD$18, "")=""),"",SQRT((_xlfn.XLOOKUP(AJ$1,$Z$2:$Z$18,$AA$2:$AA$18)-$T27)^2+(_xlfn.XLOOKUP(AJ$1,$Z$2:$Z$18,$AB$2:$AB$18)-$U27)^2+(_xlfn.XLOOKUP(AJ$1,$Z$2:$Z$18,$AC$2:$AC$18-$V27)^2)))</f>
        <v>75.541051753334756</v>
      </c>
      <c r="AK27" s="124" cm="1">
        <f t="array" ref="AK27">IF(OR(AK$1=0, $A27="", _xlfn.XLOOKUP(AK$1, $Z$2:$Z$18, $AD$2:$AD$18, "")=""),"",SQRT((_xlfn.XLOOKUP(AK$1,$Z$2:$Z$18,$AA$2:$AA$18)-$T27)^2+(_xlfn.XLOOKUP(AK$1,$Z$2:$Z$18,$AB$2:$AB$18)-$U27)^2+(_xlfn.XLOOKUP(AK$1,$Z$2:$Z$18,$AC$2:$AC$18-$V27)^2)))</f>
        <v>78.104346229899392</v>
      </c>
      <c r="AL27" s="124" cm="1">
        <f t="array" ref="AL27">IF(OR(AL$1=0, $A27="", _xlfn.XLOOKUP(AL$1, $Z$2:$Z$18, $AD$2:$AD$18, "")=""),"",SQRT((_xlfn.XLOOKUP(AL$1,$Z$2:$Z$18,$AA$2:$AA$18)-$T27)^2+(_xlfn.XLOOKUP(AL$1,$Z$2:$Z$18,$AB$2:$AB$18)-$U27)^2+(_xlfn.XLOOKUP(AL$1,$Z$2:$Z$18,$AC$2:$AC$18-$V27)^2)))</f>
        <v>155.0886033852907</v>
      </c>
      <c r="AM27" s="124" cm="1">
        <f t="array" ref="AM27">IF(OR(AM$1=0, $A27="", _xlfn.XLOOKUP(AM$1, $Z$2:$Z$18, $AD$2:$AD$18, "")=""),"",SQRT((_xlfn.XLOOKUP(AM$1,$Z$2:$Z$18,$AA$2:$AA$18)-$T27)^2+(_xlfn.XLOOKUP(AM$1,$Z$2:$Z$18,$AB$2:$AB$18)-$U27)^2+(_xlfn.XLOOKUP(AM$1,$Z$2:$Z$18,$AC$2:$AC$18-$V27)^2)))</f>
        <v>204.7368125179251</v>
      </c>
      <c r="AN27" s="124" cm="1">
        <f t="array" ref="AN27">IF(OR(AN$1=0, $A27="", _xlfn.XLOOKUP(AN$1, $Z$2:$Z$18, $AD$2:$AD$18, "")=""),"",SQRT((_xlfn.XLOOKUP(AN$1,$Z$2:$Z$18,$AA$2:$AA$18)-$T27)^2+(_xlfn.XLOOKUP(AN$1,$Z$2:$Z$18,$AB$2:$AB$18)-$U27)^2+(_xlfn.XLOOKUP(AN$1,$Z$2:$Z$18,$AC$2:$AC$18-$V27)^2)))</f>
        <v>204.7368125179251</v>
      </c>
      <c r="AO27" s="124" t="str" cm="1">
        <f t="array" ref="AO27">IF(OR(AO$1=0, $A27="", _xlfn.XLOOKUP(AO$1, $Z$2:$Z$18, $AD$2:$AD$18, "")=""),"",SQRT((_xlfn.XLOOKUP(AO$1,$Z$2:$Z$18,$AA$2:$AA$18)-$T27)^2+(_xlfn.XLOOKUP(AO$1,$Z$2:$Z$18,$AB$2:$AB$18)-$U27)^2+(_xlfn.XLOOKUP(AO$1,$Z$2:$Z$18,$AC$2:$AC$18-$V27)^2)))</f>
        <v/>
      </c>
      <c r="AP27" s="125" t="str" cm="1">
        <f t="array" ref="AP27">IF(OR(AP$1=0, $A27="", _xlfn.XLOOKUP(AP$1, $Z$2:$Z$18, $AD$2:$AD$18, "")=""),"",SQRT((_xlfn.XLOOKUP(AP$1,$Z$2:$Z$18,$AA$2:$AA$18)-$T27)^2+(_xlfn.XLOOKUP(AP$1,$Z$2:$Z$18,$AB$2:$AB$18)-$U27)^2+(_xlfn.XLOOKUP(AP$1,$Z$2:$Z$18,$AC$2:$AC$18-$V27)^2)))</f>
        <v/>
      </c>
      <c r="AQ27" s="125" t="str" cm="1">
        <f t="array" ref="AQ27">IF(OR(AQ$1=0, $A27="", _xlfn.XLOOKUP(AQ$1, $Z$2:$Z$18, $AD$2:$AD$18, "")=""),"",SQRT((_xlfn.XLOOKUP(AQ$1,$Z$2:$Z$18,$AA$2:$AA$18)-$T27)^2+(_xlfn.XLOOKUP(AQ$1,$Z$2:$Z$18,$AB$2:$AB$18)-$U27)^2+(_xlfn.XLOOKUP(AQ$1,$Z$2:$Z$18,$AC$2:$AC$18-$V27)^2)))</f>
        <v/>
      </c>
      <c r="AR27" s="125" t="str" cm="1">
        <f t="array" ref="AR27">IF(OR(AR$1=0, $A27="", _xlfn.XLOOKUP(AR$1, $Z$2:$Z$18, $AD$2:$AD$18, "")=""),"",SQRT((_xlfn.XLOOKUP(AR$1,$Z$2:$Z$18,$AA$2:$AA$18)-$T27)^2+(_xlfn.XLOOKUP(AR$1,$Z$2:$Z$18,$AB$2:$AB$18)-$U27)^2+(_xlfn.XLOOKUP(AR$1,$Z$2:$Z$18,$AC$2:$AC$18-$V27)^2)))</f>
        <v/>
      </c>
      <c r="AS27" s="125" t="str" cm="1">
        <f t="array" ref="AS27">IF(OR(AS$1=0, $A27="", _xlfn.XLOOKUP(AS$1, $Z$2:$Z$18, $AD$2:$AD$18, "")=""),"",SQRT((_xlfn.XLOOKUP(AS$1,$Z$2:$Z$18,$AA$2:$AA$18)-$T27)^2+(_xlfn.XLOOKUP(AS$1,$Z$2:$Z$18,$AB$2:$AB$18)-$U27)^2+(_xlfn.XLOOKUP(AS$1,$Z$2:$Z$18,$AC$2:$AC$18-$V27)^2)))</f>
        <v/>
      </c>
      <c r="AT27" s="125" t="str" cm="1">
        <f t="array" ref="AT27">IF(OR(AT$1=0, $A27="", _xlfn.XLOOKUP(AT$1, $Z$2:$Z$18, $AD$2:$AD$18, "")=""),"",SQRT((_xlfn.XLOOKUP(AT$1,$Z$2:$Z$18,$AA$2:$AA$18)-$T27)^2+(_xlfn.XLOOKUP(AT$1,$Z$2:$Z$18,$AB$2:$AB$18)-$U27)^2+(_xlfn.XLOOKUP(AT$1,$Z$2:$Z$18,$AC$2:$AC$18-$V27)^2)))</f>
        <v/>
      </c>
      <c r="AU27" s="125" t="str" cm="1">
        <f t="array" ref="AU27">IF(OR(AU$1=0, $A27="", _xlfn.XLOOKUP(AU$1, $Z$2:$Z$18, $AD$2:$AD$18, "")=""),"",SQRT((_xlfn.XLOOKUP(AU$1,$Z$2:$Z$18,$AA$2:$AA$18)-$T27)^2+(_xlfn.XLOOKUP(AU$1,$Z$2:$Z$18,$AB$2:$AB$18)-$U27)^2+(_xlfn.XLOOKUP(AU$1,$Z$2:$Z$18,$AC$2:$AC$18-$V27)^2)))</f>
        <v/>
      </c>
      <c r="AV27" s="126" t="str" cm="1">
        <f t="array" ref="AV27">IF(OR(AV$1=0, $A27="", _xlfn.XLOOKUP(AV$1, $Z$2:$Z$18, $AD$2:$AD$18, "")=""),"",SQRT((_xlfn.XLOOKUP(AV$1,$Z$2:$Z$18,$AA$2:$AA$18)-$T27)^2+(_xlfn.XLOOKUP(AV$1,$Z$2:$Z$18,$AB$2:$AB$18)-$U27)^2+(_xlfn.XLOOKUP(AV$1,$Z$2:$Z$18,$AC$2:$AC$18-$V27)^2)))</f>
        <v/>
      </c>
      <c r="AW27" s="127"/>
      <c r="AX27" s="127"/>
      <c r="AY27" s="128">
        <f t="shared" si="3"/>
        <v>-43.628276404038154</v>
      </c>
      <c r="AZ27" s="137">
        <f t="shared" si="4"/>
        <v>-40.149592721907098</v>
      </c>
      <c r="BA27" s="137">
        <f t="shared" si="5"/>
        <v>-35.225758480702112</v>
      </c>
      <c r="BB27" s="137">
        <f t="shared" si="6"/>
        <v>-35.515601966884013</v>
      </c>
      <c r="BC27" s="137">
        <f t="shared" si="7"/>
        <v>-41.473695638048923</v>
      </c>
      <c r="BD27" s="137">
        <f t="shared" si="8"/>
        <v>-43.886016689157323</v>
      </c>
      <c r="BE27" s="137">
        <f t="shared" si="9"/>
        <v>-43.886016689157323</v>
      </c>
      <c r="BF27" s="137">
        <f t="shared" si="10"/>
        <v>0</v>
      </c>
      <c r="BG27" s="138">
        <f t="shared" si="11"/>
        <v>0</v>
      </c>
      <c r="BH27" s="138">
        <f t="shared" si="12"/>
        <v>0</v>
      </c>
      <c r="BI27" s="138">
        <f t="shared" si="13"/>
        <v>0</v>
      </c>
      <c r="BJ27" s="138">
        <f t="shared" si="14"/>
        <v>0</v>
      </c>
      <c r="BK27" s="138">
        <f t="shared" si="15"/>
        <v>0</v>
      </c>
      <c r="BL27" s="138">
        <f t="shared" si="16"/>
        <v>0</v>
      </c>
      <c r="BM27" s="139">
        <f t="shared" si="17"/>
        <v>0</v>
      </c>
      <c r="BN27" s="127"/>
      <c r="BO27" s="37" t="s">
        <v>2</v>
      </c>
      <c r="BP27" s="18">
        <v>0</v>
      </c>
      <c r="BQ27" s="18">
        <f>'Input LwA_XYZ'!BS4</f>
        <v>74.25</v>
      </c>
      <c r="BR27" s="18" t="str">
        <f>"A = " &amp; ROUND('Input LwA_XYZ'!BP13,1) &amp; ", B = " &amp;ROUND('Input LwA_XYZ'!BP14,1) &amp;", D = " &amp;ROUND('Input LwA_XYZ'!BP11,1)</f>
        <v>A = 28.2, B = 45.1, D = 72.7</v>
      </c>
      <c r="BT27" s="127"/>
      <c r="BU27" s="127"/>
      <c r="BV27" s="133"/>
      <c r="BW27" s="133">
        <v>0</v>
      </c>
      <c r="BX27" s="133">
        <v>0</v>
      </c>
      <c r="BY27" s="133">
        <v>11</v>
      </c>
      <c r="BZ27" s="133">
        <v>11</v>
      </c>
      <c r="CA27" s="133">
        <v>9</v>
      </c>
      <c r="CB27" s="133"/>
      <c r="CC27" s="133"/>
      <c r="CD27" s="133"/>
      <c r="CE27" s="133"/>
      <c r="CF27" s="133"/>
      <c r="CG27" s="133"/>
      <c r="CH27" s="133"/>
      <c r="CI27" s="133"/>
      <c r="CJ27" s="133"/>
      <c r="CL27" s="127"/>
      <c r="CM27" s="133" t="s">
        <v>32</v>
      </c>
      <c r="CN27" s="133"/>
      <c r="CO27" s="133" t="s">
        <v>32</v>
      </c>
      <c r="CP27" s="133" t="s">
        <v>32</v>
      </c>
      <c r="CQ27" s="133" t="s">
        <v>32</v>
      </c>
      <c r="CR27" s="133" t="s">
        <v>32</v>
      </c>
      <c r="CS27" s="133"/>
      <c r="CT27" s="133"/>
      <c r="CU27" s="133"/>
      <c r="CV27" s="133"/>
      <c r="CW27" s="133"/>
      <c r="CX27" s="133"/>
      <c r="CY27" s="133"/>
      <c r="CZ27" s="133"/>
      <c r="DA27" s="133"/>
      <c r="DB27" s="127"/>
      <c r="DC27" s="127"/>
      <c r="DD27" s="133"/>
      <c r="DE27" s="133"/>
      <c r="DF27" s="133"/>
      <c r="DG27" s="133"/>
      <c r="DH27" s="133"/>
      <c r="DI27" s="133"/>
      <c r="DJ27" s="133"/>
      <c r="DK27" s="133"/>
      <c r="DL27" s="133"/>
      <c r="DM27" s="133"/>
      <c r="DN27" s="133"/>
      <c r="DO27" s="133"/>
      <c r="DP27" s="133"/>
      <c r="DQ27" s="133"/>
      <c r="DR27" s="133"/>
      <c r="DT27" s="127"/>
      <c r="DU27" s="191" cm="1">
        <f t="array" ref="DU27">_xlfn.IFS(DU$1= 0,"", NOT(ISBLANK(CM27)), 0, ISBLANK(CM27), $Q27-$S27+AY27-BV27-DD27)</f>
        <v>0</v>
      </c>
      <c r="DV27" s="192" cm="1">
        <f t="array" ref="DV27">_xlfn.IFS(DV$1= 0,"", NOT(ISBLANK(CN27)), 0, ISBLANK(CN27), $Q27-$S27+AZ27-BW27-DE27)</f>
        <v>25.850407278092902</v>
      </c>
      <c r="DW27" s="192" cm="1">
        <f t="array" ref="DW27">_xlfn.IFS(DW$1= 0,"", NOT(ISBLANK(CO27)), 0, ISBLANK(CO27), $Q27-$S27+BA27-BX27-DF27)</f>
        <v>0</v>
      </c>
      <c r="DX27" s="192" cm="1">
        <f t="array" ref="DX27">_xlfn.IFS(DX$1= 0,"", NOT(ISBLANK(CP27)), 0, ISBLANK(CP27), $Q27-$S27+BB27-BY27-DG27)</f>
        <v>0</v>
      </c>
      <c r="DY27" s="192" cm="1">
        <f t="array" ref="DY27">_xlfn.IFS(DY$1= 0,"", NOT(ISBLANK(CQ27)), 0, ISBLANK(CQ27), $Q27-$S27+BC27-BZ27-DH27)</f>
        <v>0</v>
      </c>
      <c r="DZ27" s="192" cm="1">
        <f t="array" ref="DZ27">_xlfn.IFS(DZ$1= 0,"", NOT(ISBLANK(CR27)), 0, ISBLANK(CR27), $Q27-$S27+BD27-CA27-DI27)</f>
        <v>0</v>
      </c>
      <c r="EA27" s="192" cm="1">
        <f t="array" ref="EA27">_xlfn.IFS(EA$1= 0,"", NOT(ISBLANK(CS27)), 0, ISBLANK(CS27), $Q27-$S27+BE27-CB27-DJ27)</f>
        <v>22.113983310842677</v>
      </c>
      <c r="EB27" s="192" t="str" cm="1">
        <f t="array" ref="EB27">_xlfn.IFS(EB$1= 0,"", NOT(ISBLANK(CT27)), 0, ISBLANK(CT27), $Q27-$S27+BF27-CC27-DK27)</f>
        <v/>
      </c>
      <c r="EC27" s="192" t="str" cm="1">
        <f t="array" ref="EC27">_xlfn.IFS(EC$1= 0,"", NOT(ISBLANK(CU27)), 0, ISBLANK(CU27), $Q27-$S27+BG27-CD27-DL27)</f>
        <v/>
      </c>
      <c r="ED27" s="192" t="str" cm="1">
        <f t="array" ref="ED27">_xlfn.IFS(ED$1= 0,"", NOT(ISBLANK(CV27)), 0, ISBLANK(CV27), $Q27-$S27+BH27-CE27-DM27)</f>
        <v/>
      </c>
      <c r="EE27" s="192" t="str" cm="1">
        <f t="array" ref="EE27">_xlfn.IFS(EE$1= 0,"", NOT(ISBLANK(CW27)), 0, ISBLANK(CW27), $Q27-$S27+BI27-CF27-DN27)</f>
        <v/>
      </c>
      <c r="EF27" s="192" t="str" cm="1">
        <f t="array" ref="EF27">_xlfn.IFS(EF$1= 0,"", NOT(ISBLANK(CX27)), 0, ISBLANK(CX27), $Q27-$S27+BJ27-CG27-DO27)</f>
        <v/>
      </c>
      <c r="EG27" s="192" t="str" cm="1">
        <f t="array" ref="EG27">_xlfn.IFS(EG$1= 0,"", NOT(ISBLANK(CY27)), 0, ISBLANK(CY27), $Q27-$S27+BK27-CH27-DP27)</f>
        <v/>
      </c>
      <c r="EH27" s="192" t="str" cm="1">
        <f t="array" ref="EH27">_xlfn.IFS(EH$1= 0,"", NOT(ISBLANK(CZ27)), 0, ISBLANK(CZ27), $Q27-$S27+BL27-CI27-DQ27)</f>
        <v/>
      </c>
      <c r="EI27" s="193" t="str" cm="1">
        <f t="array" ref="EI27">_xlfn.IFS(EI$1= 0,"", NOT(ISBLANK(DA27)), 0, ISBLANK(DA27), $Q27-$S27+BM27-CJ27-DR27)</f>
        <v/>
      </c>
    </row>
    <row r="28" spans="1:139" ht="16.5" customHeight="1" x14ac:dyDescent="0.3">
      <c r="A28" s="183">
        <v>1</v>
      </c>
      <c r="B28" s="134" t="s">
        <v>263</v>
      </c>
      <c r="C28" s="134" t="s">
        <v>87</v>
      </c>
      <c r="D28" s="135" t="s">
        <v>86</v>
      </c>
      <c r="E28" s="166" t="s">
        <v>259</v>
      </c>
      <c r="F28" s="174"/>
      <c r="G28" s="3"/>
      <c r="H28" s="3"/>
      <c r="I28" s="3"/>
      <c r="J28" s="3"/>
      <c r="K28" s="3"/>
      <c r="L28" s="3"/>
      <c r="M28" s="178"/>
      <c r="N28" s="174">
        <v>65.873120921161103</v>
      </c>
      <c r="O28" s="175">
        <v>0</v>
      </c>
      <c r="P28" s="169">
        <v>1</v>
      </c>
      <c r="Q28" s="122">
        <f t="shared" si="18"/>
        <v>66</v>
      </c>
      <c r="R28" s="2">
        <v>2</v>
      </c>
      <c r="S28" s="2"/>
      <c r="T28" s="3">
        <v>171.41</v>
      </c>
      <c r="U28" s="3">
        <v>52.12</v>
      </c>
      <c r="V28" s="104">
        <f t="shared" si="2"/>
        <v>75</v>
      </c>
      <c r="W28" s="78">
        <v>73</v>
      </c>
      <c r="X28" s="136">
        <v>2</v>
      </c>
      <c r="Z28" s="110" t="s">
        <v>274</v>
      </c>
      <c r="AA28" s="108">
        <v>211.31</v>
      </c>
      <c r="AB28" s="49">
        <v>31.68</v>
      </c>
      <c r="AC28" s="102">
        <v>75.400000000000006</v>
      </c>
      <c r="AD28" s="49">
        <v>236.06</v>
      </c>
      <c r="AE28" s="49">
        <v>36.96</v>
      </c>
      <c r="AF28" s="50">
        <v>75.400000000000006</v>
      </c>
      <c r="AH28" s="185" cm="1">
        <f t="array" ref="AH28">IF(OR(AH$1=0, $A28="", _xlfn.XLOOKUP(AH$1, $Z$2:$Z$18, $AD$2:$AD$18, "")=""),"",SQRT((_xlfn.XLOOKUP(AH$1,$Z$2:$Z$18,$AA$2:$AA$18)-$T28)^2+(_xlfn.XLOOKUP(AH$1,$Z$2:$Z$18,$AB$2:$AB$18)-$U28)^2+(_xlfn.XLOOKUP(AH$1,$Z$2:$Z$18,$AC$2:$AC$18-$V28)^2)))</f>
        <v>194.22379488620851</v>
      </c>
      <c r="AI28" s="124" cm="1">
        <f t="array" ref="AI28">IF(OR(AI$1=0, $A28="", _xlfn.XLOOKUP(AI$1, $Z$2:$Z$18, $AD$2:$AD$18, "")=""),"",SQRT((_xlfn.XLOOKUP(AI$1,$Z$2:$Z$18,$AA$2:$AA$18)-$T28)^2+(_xlfn.XLOOKUP(AI$1,$Z$2:$Z$18,$AB$2:$AB$18)-$U28)^2+(_xlfn.XLOOKUP(AI$1,$Z$2:$Z$18,$AC$2:$AC$18-$V28)^2)))</f>
        <v>142.48560243056139</v>
      </c>
      <c r="AJ28" s="124" cm="1">
        <f t="array" ref="AJ28">IF(OR(AJ$1=0, $A28="", _xlfn.XLOOKUP(AJ$1, $Z$2:$Z$18, $AD$2:$AD$18, "")=""),"",SQRT((_xlfn.XLOOKUP(AJ$1,$Z$2:$Z$18,$AA$2:$AA$18)-$T28)^2+(_xlfn.XLOOKUP(AJ$1,$Z$2:$Z$18,$AB$2:$AB$18)-$U28)^2+(_xlfn.XLOOKUP(AJ$1,$Z$2:$Z$18,$AC$2:$AC$18-$V28)^2)))</f>
        <v>75.407735677448898</v>
      </c>
      <c r="AK28" s="124" cm="1">
        <f t="array" ref="AK28">IF(OR(AK$1=0, $A28="", _xlfn.XLOOKUP(AK$1, $Z$2:$Z$18, $AD$2:$AD$18, "")=""),"",SQRT((_xlfn.XLOOKUP(AK$1,$Z$2:$Z$18,$AA$2:$AA$18)-$T28)^2+(_xlfn.XLOOKUP(AK$1,$Z$2:$Z$18,$AB$2:$AB$18)-$U28)^2+(_xlfn.XLOOKUP(AK$1,$Z$2:$Z$18,$AC$2:$AC$18-$V28)^2)))</f>
        <v>56.406598904738082</v>
      </c>
      <c r="AL28" s="124" cm="1">
        <f t="array" ref="AL28">IF(OR(AL$1=0, $A28="", _xlfn.XLOOKUP(AL$1, $Z$2:$Z$18, $AD$2:$AD$18, "")=""),"",SQRT((_xlfn.XLOOKUP(AL$1,$Z$2:$Z$18,$AA$2:$AA$18)-$T28)^2+(_xlfn.XLOOKUP(AL$1,$Z$2:$Z$18,$AB$2:$AB$18)-$U28)^2+(_xlfn.XLOOKUP(AL$1,$Z$2:$Z$18,$AC$2:$AC$18-$V28)^2)))</f>
        <v>153.51262944787314</v>
      </c>
      <c r="AM28" s="124" cm="1">
        <f t="array" ref="AM28">IF(OR(AM$1=0, $A28="", _xlfn.XLOOKUP(AM$1, $Z$2:$Z$18, $AD$2:$AD$18, "")=""),"",SQRT((_xlfn.XLOOKUP(AM$1,$Z$2:$Z$18,$AA$2:$AA$18)-$T28)^2+(_xlfn.XLOOKUP(AM$1,$Z$2:$Z$18,$AB$2:$AB$18)-$U28)^2+(_xlfn.XLOOKUP(AM$1,$Z$2:$Z$18,$AC$2:$AC$18-$V28)^2)))</f>
        <v>227.49873955694787</v>
      </c>
      <c r="AN28" s="124" cm="1">
        <f t="array" ref="AN28">IF(OR(AN$1=0, $A28="", _xlfn.XLOOKUP(AN$1, $Z$2:$Z$18, $AD$2:$AD$18, "")=""),"",SQRT((_xlfn.XLOOKUP(AN$1,$Z$2:$Z$18,$AA$2:$AA$18)-$T28)^2+(_xlfn.XLOOKUP(AN$1,$Z$2:$Z$18,$AB$2:$AB$18)-$U28)^2+(_xlfn.XLOOKUP(AN$1,$Z$2:$Z$18,$AC$2:$AC$18-$V28)^2)))</f>
        <v>227.49873955694787</v>
      </c>
      <c r="AO28" s="124" t="str" cm="1">
        <f t="array" ref="AO28">IF(OR(AO$1=0, $A28="", _xlfn.XLOOKUP(AO$1, $Z$2:$Z$18, $AD$2:$AD$18, "")=""),"",SQRT((_xlfn.XLOOKUP(AO$1,$Z$2:$Z$18,$AA$2:$AA$18)-$T28)^2+(_xlfn.XLOOKUP(AO$1,$Z$2:$Z$18,$AB$2:$AB$18)-$U28)^2+(_xlfn.XLOOKUP(AO$1,$Z$2:$Z$18,$AC$2:$AC$18-$V28)^2)))</f>
        <v/>
      </c>
      <c r="AP28" s="125" t="str" cm="1">
        <f t="array" ref="AP28">IF(OR(AP$1=0, $A28="", _xlfn.XLOOKUP(AP$1, $Z$2:$Z$18, $AD$2:$AD$18, "")=""),"",SQRT((_xlfn.XLOOKUP(AP$1,$Z$2:$Z$18,$AA$2:$AA$18)-$T28)^2+(_xlfn.XLOOKUP(AP$1,$Z$2:$Z$18,$AB$2:$AB$18)-$U28)^2+(_xlfn.XLOOKUP(AP$1,$Z$2:$Z$18,$AC$2:$AC$18-$V28)^2)))</f>
        <v/>
      </c>
      <c r="AQ28" s="125" t="str" cm="1">
        <f t="array" ref="AQ28">IF(OR(AQ$1=0, $A28="", _xlfn.XLOOKUP(AQ$1, $Z$2:$Z$18, $AD$2:$AD$18, "")=""),"",SQRT((_xlfn.XLOOKUP(AQ$1,$Z$2:$Z$18,$AA$2:$AA$18)-$T28)^2+(_xlfn.XLOOKUP(AQ$1,$Z$2:$Z$18,$AB$2:$AB$18)-$U28)^2+(_xlfn.XLOOKUP(AQ$1,$Z$2:$Z$18,$AC$2:$AC$18-$V28)^2)))</f>
        <v/>
      </c>
      <c r="AR28" s="125" t="str" cm="1">
        <f t="array" ref="AR28">IF(OR(AR$1=0, $A28="", _xlfn.XLOOKUP(AR$1, $Z$2:$Z$18, $AD$2:$AD$18, "")=""),"",SQRT((_xlfn.XLOOKUP(AR$1,$Z$2:$Z$18,$AA$2:$AA$18)-$T28)^2+(_xlfn.XLOOKUP(AR$1,$Z$2:$Z$18,$AB$2:$AB$18)-$U28)^2+(_xlfn.XLOOKUP(AR$1,$Z$2:$Z$18,$AC$2:$AC$18-$V28)^2)))</f>
        <v/>
      </c>
      <c r="AS28" s="125" t="str" cm="1">
        <f t="array" ref="AS28">IF(OR(AS$1=0, $A28="", _xlfn.XLOOKUP(AS$1, $Z$2:$Z$18, $AD$2:$AD$18, "")=""),"",SQRT((_xlfn.XLOOKUP(AS$1,$Z$2:$Z$18,$AA$2:$AA$18)-$T28)^2+(_xlfn.XLOOKUP(AS$1,$Z$2:$Z$18,$AB$2:$AB$18)-$U28)^2+(_xlfn.XLOOKUP(AS$1,$Z$2:$Z$18,$AC$2:$AC$18-$V28)^2)))</f>
        <v/>
      </c>
      <c r="AT28" s="125" t="str" cm="1">
        <f t="array" ref="AT28">IF(OR(AT$1=0, $A28="", _xlfn.XLOOKUP(AT$1, $Z$2:$Z$18, $AD$2:$AD$18, "")=""),"",SQRT((_xlfn.XLOOKUP(AT$1,$Z$2:$Z$18,$AA$2:$AA$18)-$T28)^2+(_xlfn.XLOOKUP(AT$1,$Z$2:$Z$18,$AB$2:$AB$18)-$U28)^2+(_xlfn.XLOOKUP(AT$1,$Z$2:$Z$18,$AC$2:$AC$18-$V28)^2)))</f>
        <v/>
      </c>
      <c r="AU28" s="125" t="str" cm="1">
        <f t="array" ref="AU28">IF(OR(AU$1=0, $A28="", _xlfn.XLOOKUP(AU$1, $Z$2:$Z$18, $AD$2:$AD$18, "")=""),"",SQRT((_xlfn.XLOOKUP(AU$1,$Z$2:$Z$18,$AA$2:$AA$18)-$T28)^2+(_xlfn.XLOOKUP(AU$1,$Z$2:$Z$18,$AB$2:$AB$18)-$U28)^2+(_xlfn.XLOOKUP(AU$1,$Z$2:$Z$18,$AC$2:$AC$18-$V28)^2)))</f>
        <v/>
      </c>
      <c r="AV28" s="126" t="str" cm="1">
        <f t="array" ref="AV28">IF(OR(AV$1=0, $A28="", _xlfn.XLOOKUP(AV$1, $Z$2:$Z$18, $AD$2:$AD$18, "")=""),"",SQRT((_xlfn.XLOOKUP(AV$1,$Z$2:$Z$18,$AA$2:$AA$18)-$T28)^2+(_xlfn.XLOOKUP(AV$1,$Z$2:$Z$18,$AB$2:$AB$18)-$U28)^2+(_xlfn.XLOOKUP(AV$1,$Z$2:$Z$18,$AC$2:$AC$18-$V28)^2)))</f>
        <v/>
      </c>
      <c r="AW28" s="127"/>
      <c r="AX28" s="127"/>
      <c r="AY28" s="128">
        <f t="shared" si="3"/>
        <v>-43.428146645563636</v>
      </c>
      <c r="AZ28" s="137">
        <f t="shared" si="4"/>
        <v>-40.737517595632369</v>
      </c>
      <c r="BA28" s="137">
        <f t="shared" si="5"/>
        <v>-35.210415939130058</v>
      </c>
      <c r="BB28" s="137">
        <f t="shared" si="6"/>
        <v>-32.688696222369288</v>
      </c>
      <c r="BC28" s="137">
        <f t="shared" si="7"/>
        <v>-41.384980148687582</v>
      </c>
      <c r="BD28" s="137">
        <f t="shared" si="8"/>
        <v>-44.801677833280422</v>
      </c>
      <c r="BE28" s="137">
        <f t="shared" si="9"/>
        <v>-44.801677833280422</v>
      </c>
      <c r="BF28" s="137">
        <f t="shared" si="10"/>
        <v>0</v>
      </c>
      <c r="BG28" s="138">
        <f t="shared" si="11"/>
        <v>0</v>
      </c>
      <c r="BH28" s="138">
        <f t="shared" si="12"/>
        <v>0</v>
      </c>
      <c r="BI28" s="138">
        <f t="shared" si="13"/>
        <v>0</v>
      </c>
      <c r="BJ28" s="138">
        <f t="shared" si="14"/>
        <v>0</v>
      </c>
      <c r="BK28" s="138">
        <f t="shared" si="15"/>
        <v>0</v>
      </c>
      <c r="BL28" s="138">
        <f t="shared" si="16"/>
        <v>0</v>
      </c>
      <c r="BM28" s="139">
        <f t="shared" si="17"/>
        <v>0</v>
      </c>
      <c r="BN28" s="127"/>
      <c r="BO28" s="37" t="s">
        <v>66</v>
      </c>
      <c r="BP28" s="18">
        <f>'Input LwA_XYZ'!BP9</f>
        <v>28.221749697515794</v>
      </c>
      <c r="BQ28" s="40">
        <f>'Input LwA_XYZ'!BP21</f>
        <v>75.400000000000006</v>
      </c>
      <c r="BR28" s="18" t="str">
        <f>"Source Height: " &amp; ROUND(BQ30,1) &amp; " ft"</f>
        <v>Source Height: 74.3 ft</v>
      </c>
      <c r="BT28" s="127"/>
      <c r="BU28" s="127"/>
      <c r="BV28" s="133"/>
      <c r="BW28" s="133">
        <v>0</v>
      </c>
      <c r="BX28" s="133">
        <v>0</v>
      </c>
      <c r="BY28" s="133">
        <v>7</v>
      </c>
      <c r="BZ28" s="133">
        <v>10</v>
      </c>
      <c r="CA28" s="133">
        <v>10</v>
      </c>
      <c r="CB28" s="133"/>
      <c r="CC28" s="133"/>
      <c r="CD28" s="133"/>
      <c r="CE28" s="133"/>
      <c r="CF28" s="133"/>
      <c r="CG28" s="133"/>
      <c r="CH28" s="133"/>
      <c r="CI28" s="133"/>
      <c r="CJ28" s="133"/>
      <c r="CL28" s="127"/>
      <c r="CM28" s="133" t="s">
        <v>32</v>
      </c>
      <c r="CN28" s="133"/>
      <c r="CO28" s="133" t="s">
        <v>32</v>
      </c>
      <c r="CP28" s="133" t="s">
        <v>32</v>
      </c>
      <c r="CQ28" s="133" t="s">
        <v>32</v>
      </c>
      <c r="CR28" s="133" t="s">
        <v>32</v>
      </c>
      <c r="CS28" s="133"/>
      <c r="CT28" s="133"/>
      <c r="CU28" s="133"/>
      <c r="CV28" s="133"/>
      <c r="CW28" s="133"/>
      <c r="CX28" s="133"/>
      <c r="CY28" s="133"/>
      <c r="CZ28" s="133"/>
      <c r="DA28" s="133"/>
      <c r="DB28" s="127"/>
      <c r="DC28" s="127"/>
      <c r="DD28" s="133"/>
      <c r="DE28" s="133"/>
      <c r="DF28" s="133"/>
      <c r="DG28" s="133"/>
      <c r="DH28" s="133"/>
      <c r="DI28" s="133"/>
      <c r="DJ28" s="133"/>
      <c r="DK28" s="133"/>
      <c r="DL28" s="133"/>
      <c r="DM28" s="133"/>
      <c r="DN28" s="133"/>
      <c r="DO28" s="133"/>
      <c r="DP28" s="133"/>
      <c r="DQ28" s="133"/>
      <c r="DR28" s="133"/>
      <c r="DT28" s="127"/>
      <c r="DU28" s="191" cm="1">
        <f t="array" ref="DU28">_xlfn.IFS(DU$1= 0,"", NOT(ISBLANK(CM28)), 0, ISBLANK(CM28), $Q28-$S28+AY28-BV28-DD28)</f>
        <v>0</v>
      </c>
      <c r="DV28" s="192" cm="1">
        <f t="array" ref="DV28">_xlfn.IFS(DV$1= 0,"", NOT(ISBLANK(CN28)), 0, ISBLANK(CN28), $Q28-$S28+AZ28-BW28-DE28)</f>
        <v>25.262482404367631</v>
      </c>
      <c r="DW28" s="192" cm="1">
        <f t="array" ref="DW28">_xlfn.IFS(DW$1= 0,"", NOT(ISBLANK(CO28)), 0, ISBLANK(CO28), $Q28-$S28+BA28-BX28-DF28)</f>
        <v>0</v>
      </c>
      <c r="DX28" s="192" cm="1">
        <f t="array" ref="DX28">_xlfn.IFS(DX$1= 0,"", NOT(ISBLANK(CP28)), 0, ISBLANK(CP28), $Q28-$S28+BB28-BY28-DG28)</f>
        <v>0</v>
      </c>
      <c r="DY28" s="192" cm="1">
        <f t="array" ref="DY28">_xlfn.IFS(DY$1= 0,"", NOT(ISBLANK(CQ28)), 0, ISBLANK(CQ28), $Q28-$S28+BC28-BZ28-DH28)</f>
        <v>0</v>
      </c>
      <c r="DZ28" s="192" cm="1">
        <f t="array" ref="DZ28">_xlfn.IFS(DZ$1= 0,"", NOT(ISBLANK(CR28)), 0, ISBLANK(CR28), $Q28-$S28+BD28-CA28-DI28)</f>
        <v>0</v>
      </c>
      <c r="EA28" s="192" cm="1">
        <f t="array" ref="EA28">_xlfn.IFS(EA$1= 0,"", NOT(ISBLANK(CS28)), 0, ISBLANK(CS28), $Q28-$S28+BE28-CB28-DJ28)</f>
        <v>21.198322166719578</v>
      </c>
      <c r="EB28" s="192" t="str" cm="1">
        <f t="array" ref="EB28">_xlfn.IFS(EB$1= 0,"", NOT(ISBLANK(CT28)), 0, ISBLANK(CT28), $Q28-$S28+BF28-CC28-DK28)</f>
        <v/>
      </c>
      <c r="EC28" s="192" t="str" cm="1">
        <f t="array" ref="EC28">_xlfn.IFS(EC$1= 0,"", NOT(ISBLANK(CU28)), 0, ISBLANK(CU28), $Q28-$S28+BG28-CD28-DL28)</f>
        <v/>
      </c>
      <c r="ED28" s="192" t="str" cm="1">
        <f t="array" ref="ED28">_xlfn.IFS(ED$1= 0,"", NOT(ISBLANK(CV28)), 0, ISBLANK(CV28), $Q28-$S28+BH28-CE28-DM28)</f>
        <v/>
      </c>
      <c r="EE28" s="192" t="str" cm="1">
        <f t="array" ref="EE28">_xlfn.IFS(EE$1= 0,"", NOT(ISBLANK(CW28)), 0, ISBLANK(CW28), $Q28-$S28+BI28-CF28-DN28)</f>
        <v/>
      </c>
      <c r="EF28" s="192" t="str" cm="1">
        <f t="array" ref="EF28">_xlfn.IFS(EF$1= 0,"", NOT(ISBLANK(CX28)), 0, ISBLANK(CX28), $Q28-$S28+BJ28-CG28-DO28)</f>
        <v/>
      </c>
      <c r="EG28" s="192" t="str" cm="1">
        <f t="array" ref="EG28">_xlfn.IFS(EG$1= 0,"", NOT(ISBLANK(CY28)), 0, ISBLANK(CY28), $Q28-$S28+BK28-CH28-DP28)</f>
        <v/>
      </c>
      <c r="EH28" s="192" t="str" cm="1">
        <f t="array" ref="EH28">_xlfn.IFS(EH$1= 0,"", NOT(ISBLANK(CZ28)), 0, ISBLANK(CZ28), $Q28-$S28+BL28-CI28-DQ28)</f>
        <v/>
      </c>
      <c r="EI28" s="193" t="str" cm="1">
        <f t="array" ref="EI28">_xlfn.IFS(EI$1= 0,"", NOT(ISBLANK(DA28)), 0, ISBLANK(DA28), $Q28-$S28+BM28-CJ28-DR28)</f>
        <v/>
      </c>
    </row>
    <row r="29" spans="1:139" ht="16.5" customHeight="1" x14ac:dyDescent="0.3">
      <c r="A29" s="183">
        <v>1</v>
      </c>
      <c r="B29" s="134" t="s">
        <v>264</v>
      </c>
      <c r="C29" s="134" t="s">
        <v>87</v>
      </c>
      <c r="D29" s="135" t="s">
        <v>86</v>
      </c>
      <c r="E29" s="166" t="s">
        <v>257</v>
      </c>
      <c r="F29" s="174"/>
      <c r="G29" s="3"/>
      <c r="H29" s="3"/>
      <c r="I29" s="3"/>
      <c r="J29" s="3"/>
      <c r="K29" s="3"/>
      <c r="L29" s="3"/>
      <c r="M29" s="178"/>
      <c r="N29" s="174">
        <v>57.392737795737183</v>
      </c>
      <c r="O29" s="175">
        <v>0</v>
      </c>
      <c r="P29" s="169">
        <v>1</v>
      </c>
      <c r="Q29" s="122">
        <f t="shared" si="18"/>
        <v>57</v>
      </c>
      <c r="R29" s="2">
        <v>2</v>
      </c>
      <c r="S29" s="2"/>
      <c r="T29" s="3">
        <v>177.48</v>
      </c>
      <c r="U29" s="3">
        <v>27.21</v>
      </c>
      <c r="V29" s="104">
        <f t="shared" si="2"/>
        <v>75</v>
      </c>
      <c r="W29" s="78">
        <v>73</v>
      </c>
      <c r="X29" s="136">
        <v>2</v>
      </c>
      <c r="Z29" s="110" t="s">
        <v>99</v>
      </c>
      <c r="AA29" s="108">
        <v>236.29</v>
      </c>
      <c r="AB29" s="49">
        <v>37.729999999999997</v>
      </c>
      <c r="AC29" s="102">
        <v>75.400000000000006</v>
      </c>
      <c r="AD29" s="49">
        <v>233.65</v>
      </c>
      <c r="AE29" s="49">
        <v>50.6</v>
      </c>
      <c r="AF29" s="50">
        <v>75.400000000000006</v>
      </c>
      <c r="AH29" s="185" cm="1">
        <f t="array" ref="AH29">IF(OR(AH$1=0, $A29="", _xlfn.XLOOKUP(AH$1, $Z$2:$Z$18, $AD$2:$AD$18, "")=""),"",SQRT((_xlfn.XLOOKUP(AH$1,$Z$2:$Z$18,$AA$2:$AA$18)-$T29)^2+(_xlfn.XLOOKUP(AH$1,$Z$2:$Z$18,$AB$2:$AB$18)-$U29)^2+(_xlfn.XLOOKUP(AH$1,$Z$2:$Z$18,$AC$2:$AC$18-$V29)^2)))</f>
        <v>194.58811500191885</v>
      </c>
      <c r="AI29" s="124" cm="1">
        <f t="array" ref="AI29">IF(OR(AI$1=0, $A29="", _xlfn.XLOOKUP(AI$1, $Z$2:$Z$18, $AD$2:$AD$18, "")=""),"",SQRT((_xlfn.XLOOKUP(AI$1,$Z$2:$Z$18,$AA$2:$AA$18)-$T29)^2+(_xlfn.XLOOKUP(AI$1,$Z$2:$Z$18,$AB$2:$AB$18)-$U29)^2+(_xlfn.XLOOKUP(AI$1,$Z$2:$Z$18,$AC$2:$AC$18-$V29)^2)))</f>
        <v>155.90178991916673</v>
      </c>
      <c r="AJ29" s="124" cm="1">
        <f t="array" ref="AJ29">IF(OR(AJ$1=0, $A29="", _xlfn.XLOOKUP(AJ$1, $Z$2:$Z$18, $AD$2:$AD$18, "")=""),"",SQRT((_xlfn.XLOOKUP(AJ$1,$Z$2:$Z$18,$AA$2:$AA$18)-$T29)^2+(_xlfn.XLOOKUP(AJ$1,$Z$2:$Z$18,$AB$2:$AB$18)-$U29)^2+(_xlfn.XLOOKUP(AJ$1,$Z$2:$Z$18,$AC$2:$AC$18-$V29)^2)))</f>
        <v>84.775546002370277</v>
      </c>
      <c r="AK29" s="124" cm="1">
        <f t="array" ref="AK29">IF(OR(AK$1=0, $A29="", _xlfn.XLOOKUP(AK$1, $Z$2:$Z$18, $AD$2:$AD$18, "")=""),"",SQRT((_xlfn.XLOOKUP(AK$1,$Z$2:$Z$18,$AA$2:$AA$18)-$T29)^2+(_xlfn.XLOOKUP(AK$1,$Z$2:$Z$18,$AB$2:$AB$18)-$U29)^2+(_xlfn.XLOOKUP(AK$1,$Z$2:$Z$18,$AC$2:$AC$18-$V29)^2)))</f>
        <v>42.541802970725158</v>
      </c>
      <c r="AL29" s="124" cm="1">
        <f t="array" ref="AL29">IF(OR(AL$1=0, $A29="", _xlfn.XLOOKUP(AL$1, $Z$2:$Z$18, $AD$2:$AD$18, "")=""),"",SQRT((_xlfn.XLOOKUP(AL$1,$Z$2:$Z$18,$AA$2:$AA$18)-$T29)^2+(_xlfn.XLOOKUP(AL$1,$Z$2:$Z$18,$AB$2:$AB$18)-$U29)^2+(_xlfn.XLOOKUP(AL$1,$Z$2:$Z$18,$AC$2:$AC$18-$V29)^2)))</f>
        <v>155.47675067353322</v>
      </c>
      <c r="AM29" s="124" cm="1">
        <f t="array" ref="AM29">IF(OR(AM$1=0, $A29="", _xlfn.XLOOKUP(AM$1, $Z$2:$Z$18, $AD$2:$AD$18, "")=""),"",SQRT((_xlfn.XLOOKUP(AM$1,$Z$2:$Z$18,$AA$2:$AA$18)-$T29)^2+(_xlfn.XLOOKUP(AM$1,$Z$2:$Z$18,$AB$2:$AB$18)-$U29)^2+(_xlfn.XLOOKUP(AM$1,$Z$2:$Z$18,$AC$2:$AC$18-$V29)^2)))</f>
        <v>249.75505380272088</v>
      </c>
      <c r="AN29" s="124" cm="1">
        <f t="array" ref="AN29">IF(OR(AN$1=0, $A29="", _xlfn.XLOOKUP(AN$1, $Z$2:$Z$18, $AD$2:$AD$18, "")=""),"",SQRT((_xlfn.XLOOKUP(AN$1,$Z$2:$Z$18,$AA$2:$AA$18)-$T29)^2+(_xlfn.XLOOKUP(AN$1,$Z$2:$Z$18,$AB$2:$AB$18)-$U29)^2+(_xlfn.XLOOKUP(AN$1,$Z$2:$Z$18,$AC$2:$AC$18-$V29)^2)))</f>
        <v>249.75505380272088</v>
      </c>
      <c r="AO29" s="124" t="str" cm="1">
        <f t="array" ref="AO29">IF(OR(AO$1=0, $A29="", _xlfn.XLOOKUP(AO$1, $Z$2:$Z$18, $AD$2:$AD$18, "")=""),"",SQRT((_xlfn.XLOOKUP(AO$1,$Z$2:$Z$18,$AA$2:$AA$18)-$T29)^2+(_xlfn.XLOOKUP(AO$1,$Z$2:$Z$18,$AB$2:$AB$18)-$U29)^2+(_xlfn.XLOOKUP(AO$1,$Z$2:$Z$18,$AC$2:$AC$18-$V29)^2)))</f>
        <v/>
      </c>
      <c r="AP29" s="125" t="str" cm="1">
        <f t="array" ref="AP29">IF(OR(AP$1=0, $A29="", _xlfn.XLOOKUP(AP$1, $Z$2:$Z$18, $AD$2:$AD$18, "")=""),"",SQRT((_xlfn.XLOOKUP(AP$1,$Z$2:$Z$18,$AA$2:$AA$18)-$T29)^2+(_xlfn.XLOOKUP(AP$1,$Z$2:$Z$18,$AB$2:$AB$18)-$U29)^2+(_xlfn.XLOOKUP(AP$1,$Z$2:$Z$18,$AC$2:$AC$18-$V29)^2)))</f>
        <v/>
      </c>
      <c r="AQ29" s="125" t="str" cm="1">
        <f t="array" ref="AQ29">IF(OR(AQ$1=0, $A29="", _xlfn.XLOOKUP(AQ$1, $Z$2:$Z$18, $AD$2:$AD$18, "")=""),"",SQRT((_xlfn.XLOOKUP(AQ$1,$Z$2:$Z$18,$AA$2:$AA$18)-$T29)^2+(_xlfn.XLOOKUP(AQ$1,$Z$2:$Z$18,$AB$2:$AB$18)-$U29)^2+(_xlfn.XLOOKUP(AQ$1,$Z$2:$Z$18,$AC$2:$AC$18-$V29)^2)))</f>
        <v/>
      </c>
      <c r="AR29" s="125" t="str" cm="1">
        <f t="array" ref="AR29">IF(OR(AR$1=0, $A29="", _xlfn.XLOOKUP(AR$1, $Z$2:$Z$18, $AD$2:$AD$18, "")=""),"",SQRT((_xlfn.XLOOKUP(AR$1,$Z$2:$Z$18,$AA$2:$AA$18)-$T29)^2+(_xlfn.XLOOKUP(AR$1,$Z$2:$Z$18,$AB$2:$AB$18)-$U29)^2+(_xlfn.XLOOKUP(AR$1,$Z$2:$Z$18,$AC$2:$AC$18-$V29)^2)))</f>
        <v/>
      </c>
      <c r="AS29" s="125" t="str" cm="1">
        <f t="array" ref="AS29">IF(OR(AS$1=0, $A29="", _xlfn.XLOOKUP(AS$1, $Z$2:$Z$18, $AD$2:$AD$18, "")=""),"",SQRT((_xlfn.XLOOKUP(AS$1,$Z$2:$Z$18,$AA$2:$AA$18)-$T29)^2+(_xlfn.XLOOKUP(AS$1,$Z$2:$Z$18,$AB$2:$AB$18)-$U29)^2+(_xlfn.XLOOKUP(AS$1,$Z$2:$Z$18,$AC$2:$AC$18-$V29)^2)))</f>
        <v/>
      </c>
      <c r="AT29" s="125" t="str" cm="1">
        <f t="array" ref="AT29">IF(OR(AT$1=0, $A29="", _xlfn.XLOOKUP(AT$1, $Z$2:$Z$18, $AD$2:$AD$18, "")=""),"",SQRT((_xlfn.XLOOKUP(AT$1,$Z$2:$Z$18,$AA$2:$AA$18)-$T29)^2+(_xlfn.XLOOKUP(AT$1,$Z$2:$Z$18,$AB$2:$AB$18)-$U29)^2+(_xlfn.XLOOKUP(AT$1,$Z$2:$Z$18,$AC$2:$AC$18-$V29)^2)))</f>
        <v/>
      </c>
      <c r="AU29" s="125" t="str" cm="1">
        <f t="array" ref="AU29">IF(OR(AU$1=0, $A29="", _xlfn.XLOOKUP(AU$1, $Z$2:$Z$18, $AD$2:$AD$18, "")=""),"",SQRT((_xlfn.XLOOKUP(AU$1,$Z$2:$Z$18,$AA$2:$AA$18)-$T29)^2+(_xlfn.XLOOKUP(AU$1,$Z$2:$Z$18,$AB$2:$AB$18)-$U29)^2+(_xlfn.XLOOKUP(AU$1,$Z$2:$Z$18,$AC$2:$AC$18-$V29)^2)))</f>
        <v/>
      </c>
      <c r="AV29" s="126" t="str" cm="1">
        <f t="array" ref="AV29">IF(OR(AV$1=0, $A29="", _xlfn.XLOOKUP(AV$1, $Z$2:$Z$18, $AD$2:$AD$18, "")=""),"",SQRT((_xlfn.XLOOKUP(AV$1,$Z$2:$Z$18,$AA$2:$AA$18)-$T29)^2+(_xlfn.XLOOKUP(AV$1,$Z$2:$Z$18,$AB$2:$AB$18)-$U29)^2+(_xlfn.XLOOKUP(AV$1,$Z$2:$Z$18,$AC$2:$AC$18-$V29)^2)))</f>
        <v/>
      </c>
      <c r="AW29" s="127"/>
      <c r="AX29" s="127"/>
      <c r="AY29" s="128">
        <f t="shared" si="3"/>
        <v>-43.444424157458826</v>
      </c>
      <c r="AZ29" s="137">
        <f t="shared" si="4"/>
        <v>-41.519119964577712</v>
      </c>
      <c r="BA29" s="137">
        <f t="shared" si="5"/>
        <v>-36.227509848147307</v>
      </c>
      <c r="BB29" s="137">
        <f t="shared" si="6"/>
        <v>-30.238415774098335</v>
      </c>
      <c r="BC29" s="137">
        <f t="shared" si="7"/>
        <v>-41.495407050608833</v>
      </c>
      <c r="BD29" s="137">
        <f t="shared" si="8"/>
        <v>-45.612383635968108</v>
      </c>
      <c r="BE29" s="137">
        <f t="shared" si="9"/>
        <v>-45.612383635968108</v>
      </c>
      <c r="BF29" s="137">
        <f t="shared" si="10"/>
        <v>0</v>
      </c>
      <c r="BG29" s="138">
        <f t="shared" si="11"/>
        <v>0</v>
      </c>
      <c r="BH29" s="138">
        <f t="shared" si="12"/>
        <v>0</v>
      </c>
      <c r="BI29" s="138">
        <f t="shared" si="13"/>
        <v>0</v>
      </c>
      <c r="BJ29" s="138">
        <f t="shared" si="14"/>
        <v>0</v>
      </c>
      <c r="BK29" s="138">
        <f t="shared" si="15"/>
        <v>0</v>
      </c>
      <c r="BL29" s="138">
        <f t="shared" si="16"/>
        <v>0</v>
      </c>
      <c r="BM29" s="139">
        <f t="shared" si="17"/>
        <v>0</v>
      </c>
      <c r="BN29" s="127"/>
      <c r="BO29" s="37" t="s">
        <v>22</v>
      </c>
      <c r="BP29" s="18">
        <f>'Input LwA_XYZ'!BP8</f>
        <v>72.147250813873711</v>
      </c>
      <c r="BQ29" s="18">
        <f>'Input LwA_XYZ'!BS5</f>
        <v>65</v>
      </c>
      <c r="BR29" s="18" t="str">
        <f>"Barrier Location: X = " &amp; ROUND(BP28,1) &amp; " ft, Y = " &amp; ROUND(BQ28,1) &amp; " ft"</f>
        <v>Barrier Location: X = 28.2 ft, Y = 75.4 ft</v>
      </c>
      <c r="BT29" s="127"/>
      <c r="BU29" s="127"/>
      <c r="BV29" s="133"/>
      <c r="BW29" s="133">
        <v>0</v>
      </c>
      <c r="BX29" s="133">
        <v>0</v>
      </c>
      <c r="BY29" s="133">
        <v>0</v>
      </c>
      <c r="BZ29" s="133">
        <v>11</v>
      </c>
      <c r="CA29" s="133">
        <v>11</v>
      </c>
      <c r="CB29" s="133"/>
      <c r="CC29" s="133"/>
      <c r="CD29" s="133"/>
      <c r="CE29" s="133"/>
      <c r="CF29" s="133"/>
      <c r="CG29" s="133"/>
      <c r="CH29" s="133"/>
      <c r="CI29" s="133"/>
      <c r="CJ29" s="133"/>
      <c r="CL29" s="127"/>
      <c r="CM29" s="133" t="s">
        <v>32</v>
      </c>
      <c r="CN29" s="133"/>
      <c r="CO29" s="133" t="s">
        <v>32</v>
      </c>
      <c r="CP29" s="133" t="s">
        <v>32</v>
      </c>
      <c r="CQ29" s="133" t="s">
        <v>32</v>
      </c>
      <c r="CR29" s="133" t="s">
        <v>32</v>
      </c>
      <c r="CS29" s="133"/>
      <c r="CT29" s="133"/>
      <c r="CU29" s="133"/>
      <c r="CV29" s="133"/>
      <c r="CW29" s="133"/>
      <c r="CX29" s="133"/>
      <c r="CY29" s="133"/>
      <c r="CZ29" s="133"/>
      <c r="DA29" s="133"/>
      <c r="DB29" s="127"/>
      <c r="DC29" s="127"/>
      <c r="DD29" s="133"/>
      <c r="DE29" s="133"/>
      <c r="DF29" s="133"/>
      <c r="DG29" s="133"/>
      <c r="DH29" s="133"/>
      <c r="DI29" s="133"/>
      <c r="DJ29" s="133"/>
      <c r="DK29" s="133"/>
      <c r="DL29" s="133"/>
      <c r="DM29" s="133"/>
      <c r="DN29" s="133"/>
      <c r="DO29" s="133"/>
      <c r="DP29" s="133"/>
      <c r="DQ29" s="133"/>
      <c r="DR29" s="133"/>
      <c r="DT29" s="127"/>
      <c r="DU29" s="191" cm="1">
        <f t="array" ref="DU29">_xlfn.IFS(DU$1= 0,"", NOT(ISBLANK(CM29)), 0, ISBLANK(CM29), $Q29-$S29+AY29-BV29-DD29)</f>
        <v>0</v>
      </c>
      <c r="DV29" s="192" cm="1">
        <f t="array" ref="DV29">_xlfn.IFS(DV$1= 0,"", NOT(ISBLANK(CN29)), 0, ISBLANK(CN29), $Q29-$S29+AZ29-BW29-DE29)</f>
        <v>15.480880035422288</v>
      </c>
      <c r="DW29" s="192" cm="1">
        <f t="array" ref="DW29">_xlfn.IFS(DW$1= 0,"", NOT(ISBLANK(CO29)), 0, ISBLANK(CO29), $Q29-$S29+BA29-BX29-DF29)</f>
        <v>0</v>
      </c>
      <c r="DX29" s="192" cm="1">
        <f t="array" ref="DX29">_xlfn.IFS(DX$1= 0,"", NOT(ISBLANK(CP29)), 0, ISBLANK(CP29), $Q29-$S29+BB29-BY29-DG29)</f>
        <v>0</v>
      </c>
      <c r="DY29" s="192" cm="1">
        <f t="array" ref="DY29">_xlfn.IFS(DY$1= 0,"", NOT(ISBLANK(CQ29)), 0, ISBLANK(CQ29), $Q29-$S29+BC29-BZ29-DH29)</f>
        <v>0</v>
      </c>
      <c r="DZ29" s="192" cm="1">
        <f t="array" ref="DZ29">_xlfn.IFS(DZ$1= 0,"", NOT(ISBLANK(CR29)), 0, ISBLANK(CR29), $Q29-$S29+BD29-CA29-DI29)</f>
        <v>0</v>
      </c>
      <c r="EA29" s="192" cm="1">
        <f t="array" ref="EA29">_xlfn.IFS(EA$1= 0,"", NOT(ISBLANK(CS29)), 0, ISBLANK(CS29), $Q29-$S29+BE29-CB29-DJ29)</f>
        <v>11.387616364031892</v>
      </c>
      <c r="EB29" s="192" t="str" cm="1">
        <f t="array" ref="EB29">_xlfn.IFS(EB$1= 0,"", NOT(ISBLANK(CT29)), 0, ISBLANK(CT29), $Q29-$S29+BF29-CC29-DK29)</f>
        <v/>
      </c>
      <c r="EC29" s="192" t="str" cm="1">
        <f t="array" ref="EC29">_xlfn.IFS(EC$1= 0,"", NOT(ISBLANK(CU29)), 0, ISBLANK(CU29), $Q29-$S29+BG29-CD29-DL29)</f>
        <v/>
      </c>
      <c r="ED29" s="192" t="str" cm="1">
        <f t="array" ref="ED29">_xlfn.IFS(ED$1= 0,"", NOT(ISBLANK(CV29)), 0, ISBLANK(CV29), $Q29-$S29+BH29-CE29-DM29)</f>
        <v/>
      </c>
      <c r="EE29" s="192" t="str" cm="1">
        <f t="array" ref="EE29">_xlfn.IFS(EE$1= 0,"", NOT(ISBLANK(CW29)), 0, ISBLANK(CW29), $Q29-$S29+BI29-CF29-DN29)</f>
        <v/>
      </c>
      <c r="EF29" s="192" t="str" cm="1">
        <f t="array" ref="EF29">_xlfn.IFS(EF$1= 0,"", NOT(ISBLANK(CX29)), 0, ISBLANK(CX29), $Q29-$S29+BJ29-CG29-DO29)</f>
        <v/>
      </c>
      <c r="EG29" s="192" t="str" cm="1">
        <f t="array" ref="EG29">_xlfn.IFS(EG$1= 0,"", NOT(ISBLANK(CY29)), 0, ISBLANK(CY29), $Q29-$S29+BK29-CH29-DP29)</f>
        <v/>
      </c>
      <c r="EH29" s="192" t="str" cm="1">
        <f t="array" ref="EH29">_xlfn.IFS(EH$1= 0,"", NOT(ISBLANK(CZ29)), 0, ISBLANK(CZ29), $Q29-$S29+BL29-CI29-DQ29)</f>
        <v/>
      </c>
      <c r="EI29" s="193" t="str" cm="1">
        <f t="array" ref="EI29">_xlfn.IFS(EI$1= 0,"", NOT(ISBLANK(DA29)), 0, ISBLANK(DA29), $Q29-$S29+BM29-CJ29-DR29)</f>
        <v/>
      </c>
    </row>
    <row r="30" spans="1:139" ht="16.5" customHeight="1" x14ac:dyDescent="0.3">
      <c r="A30" s="183">
        <v>1</v>
      </c>
      <c r="B30" s="134" t="s">
        <v>265</v>
      </c>
      <c r="C30" s="134" t="s">
        <v>87</v>
      </c>
      <c r="D30" s="135" t="s">
        <v>86</v>
      </c>
      <c r="E30" s="166" t="s">
        <v>257</v>
      </c>
      <c r="F30" s="174"/>
      <c r="G30" s="3"/>
      <c r="H30" s="3"/>
      <c r="I30" s="3"/>
      <c r="J30" s="3"/>
      <c r="K30" s="3"/>
      <c r="L30" s="3"/>
      <c r="M30" s="178"/>
      <c r="N30" s="174">
        <v>57.392737795737183</v>
      </c>
      <c r="O30" s="175">
        <v>0</v>
      </c>
      <c r="P30" s="169">
        <v>1</v>
      </c>
      <c r="Q30" s="122">
        <f t="shared" si="18"/>
        <v>57</v>
      </c>
      <c r="R30" s="2">
        <v>2</v>
      </c>
      <c r="S30" s="2"/>
      <c r="T30" s="3">
        <v>219.58</v>
      </c>
      <c r="U30" s="3">
        <v>35.75</v>
      </c>
      <c r="V30" s="104">
        <f t="shared" si="2"/>
        <v>75</v>
      </c>
      <c r="W30" s="78">
        <v>73</v>
      </c>
      <c r="X30" s="136">
        <v>2</v>
      </c>
      <c r="Z30" s="110" t="s">
        <v>100</v>
      </c>
      <c r="AA30" s="108">
        <v>219.02</v>
      </c>
      <c r="AB30" s="49">
        <v>47.74</v>
      </c>
      <c r="AC30" s="102">
        <v>75.400000000000006</v>
      </c>
      <c r="AD30" s="49">
        <v>233.1</v>
      </c>
      <c r="AE30" s="49">
        <v>50.6</v>
      </c>
      <c r="AF30" s="50">
        <v>75.400000000000006</v>
      </c>
      <c r="AH30" s="185" cm="1">
        <f t="array" ref="AH30">IF(OR(AH$1=0, $A30="", _xlfn.XLOOKUP(AH$1, $Z$2:$Z$18, $AD$2:$AD$18, "")=""),"",SQRT((_xlfn.XLOOKUP(AH$1,$Z$2:$Z$18,$AA$2:$AA$18)-$T30)^2+(_xlfn.XLOOKUP(AH$1,$Z$2:$Z$18,$AB$2:$AB$18)-$U30)^2+(_xlfn.XLOOKUP(AH$1,$Z$2:$Z$18,$AC$2:$AC$18-$V30)^2)))</f>
        <v>234.77316477825997</v>
      </c>
      <c r="AI30" s="124" cm="1">
        <f t="array" ref="AI30">IF(OR(AI$1=0, $A30="", _xlfn.XLOOKUP(AI$1, $Z$2:$Z$18, $AD$2:$AD$18, "")=""),"",SQRT((_xlfn.XLOOKUP(AI$1,$Z$2:$Z$18,$AA$2:$AA$18)-$T30)^2+(_xlfn.XLOOKUP(AI$1,$Z$2:$Z$18,$AB$2:$AB$18)-$U30)^2+(_xlfn.XLOOKUP(AI$1,$Z$2:$Z$18,$AC$2:$AC$18-$V30)^2)))</f>
        <v>193.11837535563518</v>
      </c>
      <c r="AJ30" s="124" cm="1">
        <f t="array" ref="AJ30">IF(OR(AJ$1=0, $A30="", _xlfn.XLOOKUP(AJ$1, $Z$2:$Z$18, $AD$2:$AD$18, "")=""),"",SQRT((_xlfn.XLOOKUP(AJ$1,$Z$2:$Z$18,$AA$2:$AA$18)-$T30)^2+(_xlfn.XLOOKUP(AJ$1,$Z$2:$Z$18,$AB$2:$AB$18)-$U30)^2+(_xlfn.XLOOKUP(AJ$1,$Z$2:$Z$18,$AC$2:$AC$18-$V30)^2)))</f>
        <v>121.36919708064316</v>
      </c>
      <c r="AK30" s="124" cm="1">
        <f t="array" ref="AK30">IF(OR(AK$1=0, $A30="", _xlfn.XLOOKUP(AK$1, $Z$2:$Z$18, $AD$2:$AD$18, "")=""),"",SQRT((_xlfn.XLOOKUP(AK$1,$Z$2:$Z$18,$AA$2:$AA$18)-$T30)^2+(_xlfn.XLOOKUP(AK$1,$Z$2:$Z$18,$AB$2:$AB$18)-$U30)^2+(_xlfn.XLOOKUP(AK$1,$Z$2:$Z$18,$AC$2:$AC$18-$V30)^2)))</f>
        <v>20.178389430279118</v>
      </c>
      <c r="AL30" s="124" cm="1">
        <f t="array" ref="AL30">IF(OR(AL$1=0, $A30="", _xlfn.XLOOKUP(AL$1, $Z$2:$Z$18, $AD$2:$AD$18, "")=""),"",SQRT((_xlfn.XLOOKUP(AL$1,$Z$2:$Z$18,$AA$2:$AA$18)-$T30)^2+(_xlfn.XLOOKUP(AL$1,$Z$2:$Z$18,$AB$2:$AB$18)-$U30)^2+(_xlfn.XLOOKUP(AL$1,$Z$2:$Z$18,$AC$2:$AC$18-$V30)^2)))</f>
        <v>115.191312172403</v>
      </c>
      <c r="AM30" s="124" cm="1">
        <f t="array" ref="AM30">IF(OR(AM$1=0, $A30="", _xlfn.XLOOKUP(AM$1, $Z$2:$Z$18, $AD$2:$AD$18, "")=""),"",SQRT((_xlfn.XLOOKUP(AM$1,$Z$2:$Z$18,$AA$2:$AA$18)-$T30)^2+(_xlfn.XLOOKUP(AM$1,$Z$2:$Z$18,$AB$2:$AB$18)-$U30)^2+(_xlfn.XLOOKUP(AM$1,$Z$2:$Z$18,$AC$2:$AC$18-$V30)^2)))</f>
        <v>273.46134809146253</v>
      </c>
      <c r="AN30" s="124" cm="1">
        <f t="array" ref="AN30">IF(OR(AN$1=0, $A30="", _xlfn.XLOOKUP(AN$1, $Z$2:$Z$18, $AD$2:$AD$18, "")=""),"",SQRT((_xlfn.XLOOKUP(AN$1,$Z$2:$Z$18,$AA$2:$AA$18)-$T30)^2+(_xlfn.XLOOKUP(AN$1,$Z$2:$Z$18,$AB$2:$AB$18)-$U30)^2+(_xlfn.XLOOKUP(AN$1,$Z$2:$Z$18,$AC$2:$AC$18-$V30)^2)))</f>
        <v>273.46134809146253</v>
      </c>
      <c r="AO30" s="124" t="str" cm="1">
        <f t="array" ref="AO30">IF(OR(AO$1=0, $A30="", _xlfn.XLOOKUP(AO$1, $Z$2:$Z$18, $AD$2:$AD$18, "")=""),"",SQRT((_xlfn.XLOOKUP(AO$1,$Z$2:$Z$18,$AA$2:$AA$18)-$T30)^2+(_xlfn.XLOOKUP(AO$1,$Z$2:$Z$18,$AB$2:$AB$18)-$U30)^2+(_xlfn.XLOOKUP(AO$1,$Z$2:$Z$18,$AC$2:$AC$18-$V30)^2)))</f>
        <v/>
      </c>
      <c r="AP30" s="125" t="str" cm="1">
        <f t="array" ref="AP30">IF(OR(AP$1=0, $A30="", _xlfn.XLOOKUP(AP$1, $Z$2:$Z$18, $AD$2:$AD$18, "")=""),"",SQRT((_xlfn.XLOOKUP(AP$1,$Z$2:$Z$18,$AA$2:$AA$18)-$T30)^2+(_xlfn.XLOOKUP(AP$1,$Z$2:$Z$18,$AB$2:$AB$18)-$U30)^2+(_xlfn.XLOOKUP(AP$1,$Z$2:$Z$18,$AC$2:$AC$18-$V30)^2)))</f>
        <v/>
      </c>
      <c r="AQ30" s="125" t="str" cm="1">
        <f t="array" ref="AQ30">IF(OR(AQ$1=0, $A30="", _xlfn.XLOOKUP(AQ$1, $Z$2:$Z$18, $AD$2:$AD$18, "")=""),"",SQRT((_xlfn.XLOOKUP(AQ$1,$Z$2:$Z$18,$AA$2:$AA$18)-$T30)^2+(_xlfn.XLOOKUP(AQ$1,$Z$2:$Z$18,$AB$2:$AB$18)-$U30)^2+(_xlfn.XLOOKUP(AQ$1,$Z$2:$Z$18,$AC$2:$AC$18-$V30)^2)))</f>
        <v/>
      </c>
      <c r="AR30" s="125" t="str" cm="1">
        <f t="array" ref="AR30">IF(OR(AR$1=0, $A30="", _xlfn.XLOOKUP(AR$1, $Z$2:$Z$18, $AD$2:$AD$18, "")=""),"",SQRT((_xlfn.XLOOKUP(AR$1,$Z$2:$Z$18,$AA$2:$AA$18)-$T30)^2+(_xlfn.XLOOKUP(AR$1,$Z$2:$Z$18,$AB$2:$AB$18)-$U30)^2+(_xlfn.XLOOKUP(AR$1,$Z$2:$Z$18,$AC$2:$AC$18-$V30)^2)))</f>
        <v/>
      </c>
      <c r="AS30" s="125" t="str" cm="1">
        <f t="array" ref="AS30">IF(OR(AS$1=0, $A30="", _xlfn.XLOOKUP(AS$1, $Z$2:$Z$18, $AD$2:$AD$18, "")=""),"",SQRT((_xlfn.XLOOKUP(AS$1,$Z$2:$Z$18,$AA$2:$AA$18)-$T30)^2+(_xlfn.XLOOKUP(AS$1,$Z$2:$Z$18,$AB$2:$AB$18)-$U30)^2+(_xlfn.XLOOKUP(AS$1,$Z$2:$Z$18,$AC$2:$AC$18-$V30)^2)))</f>
        <v/>
      </c>
      <c r="AT30" s="125" t="str" cm="1">
        <f t="array" ref="AT30">IF(OR(AT$1=0, $A30="", _xlfn.XLOOKUP(AT$1, $Z$2:$Z$18, $AD$2:$AD$18, "")=""),"",SQRT((_xlfn.XLOOKUP(AT$1,$Z$2:$Z$18,$AA$2:$AA$18)-$T30)^2+(_xlfn.XLOOKUP(AT$1,$Z$2:$Z$18,$AB$2:$AB$18)-$U30)^2+(_xlfn.XLOOKUP(AT$1,$Z$2:$Z$18,$AC$2:$AC$18-$V30)^2)))</f>
        <v/>
      </c>
      <c r="AU30" s="125" t="str" cm="1">
        <f t="array" ref="AU30">IF(OR(AU$1=0, $A30="", _xlfn.XLOOKUP(AU$1, $Z$2:$Z$18, $AD$2:$AD$18, "")=""),"",SQRT((_xlfn.XLOOKUP(AU$1,$Z$2:$Z$18,$AA$2:$AA$18)-$T30)^2+(_xlfn.XLOOKUP(AU$1,$Z$2:$Z$18,$AB$2:$AB$18)-$U30)^2+(_xlfn.XLOOKUP(AU$1,$Z$2:$Z$18,$AC$2:$AC$18-$V30)^2)))</f>
        <v/>
      </c>
      <c r="AV30" s="126" t="str" cm="1">
        <f t="array" ref="AV30">IF(OR(AV$1=0, $A30="", _xlfn.XLOOKUP(AV$1, $Z$2:$Z$18, $AD$2:$AD$18, "")=""),"",SQRT((_xlfn.XLOOKUP(AV$1,$Z$2:$Z$18,$AA$2:$AA$18)-$T30)^2+(_xlfn.XLOOKUP(AV$1,$Z$2:$Z$18,$AB$2:$AB$18)-$U30)^2+(_xlfn.XLOOKUP(AV$1,$Z$2:$Z$18,$AC$2:$AC$18-$V30)^2)))</f>
        <v/>
      </c>
      <c r="AW30" s="127"/>
      <c r="AX30" s="127"/>
      <c r="AY30" s="128">
        <f t="shared" si="3"/>
        <v>-45.075067023983863</v>
      </c>
      <c r="AZ30" s="137">
        <f t="shared" si="4"/>
        <v>-43.37856992063805</v>
      </c>
      <c r="BA30" s="137">
        <f t="shared" si="5"/>
        <v>-39.344267514330525</v>
      </c>
      <c r="BB30" s="137">
        <f t="shared" si="6"/>
        <v>-23.759827924746016</v>
      </c>
      <c r="BC30" s="137">
        <f t="shared" si="7"/>
        <v>-38.890492446130118</v>
      </c>
      <c r="BD30" s="137">
        <f t="shared" si="8"/>
        <v>-46.400016945432725</v>
      </c>
      <c r="BE30" s="137">
        <f t="shared" si="9"/>
        <v>-46.400016945432725</v>
      </c>
      <c r="BF30" s="137">
        <f t="shared" si="10"/>
        <v>0</v>
      </c>
      <c r="BG30" s="138">
        <f t="shared" si="11"/>
        <v>0</v>
      </c>
      <c r="BH30" s="138">
        <f t="shared" si="12"/>
        <v>0</v>
      </c>
      <c r="BI30" s="138">
        <f t="shared" si="13"/>
        <v>0</v>
      </c>
      <c r="BJ30" s="138">
        <f t="shared" si="14"/>
        <v>0</v>
      </c>
      <c r="BK30" s="138">
        <f t="shared" si="15"/>
        <v>0</v>
      </c>
      <c r="BL30" s="138">
        <f t="shared" si="16"/>
        <v>0</v>
      </c>
      <c r="BM30" s="139">
        <f t="shared" si="17"/>
        <v>0</v>
      </c>
      <c r="BN30" s="127"/>
      <c r="BO30" s="37" t="s">
        <v>21</v>
      </c>
      <c r="BP30" s="18">
        <v>0</v>
      </c>
      <c r="BQ30" s="18">
        <f>BQ27</f>
        <v>74.25</v>
      </c>
      <c r="BR30" s="18" t="str">
        <f>"Receiver Location: X = " &amp; ROUND(BP29,1) &amp; " ft, Y = " &amp; ROUND(BQ29,1) &amp; " ft"</f>
        <v>Receiver Location: X = 72.1 ft, Y = 65 ft</v>
      </c>
      <c r="BT30" s="127"/>
      <c r="BU30" s="127"/>
      <c r="BV30" s="133"/>
      <c r="BW30" s="133">
        <v>1</v>
      </c>
      <c r="BX30" s="133">
        <v>12</v>
      </c>
      <c r="BY30" s="133">
        <v>8</v>
      </c>
      <c r="BZ30" s="133">
        <v>7</v>
      </c>
      <c r="CA30" s="133">
        <v>10</v>
      </c>
      <c r="CB30" s="133"/>
      <c r="CC30" s="133"/>
      <c r="CD30" s="133"/>
      <c r="CE30" s="133"/>
      <c r="CF30" s="133"/>
      <c r="CG30" s="133"/>
      <c r="CH30" s="133"/>
      <c r="CI30" s="133"/>
      <c r="CJ30" s="133"/>
      <c r="CL30" s="127"/>
      <c r="CM30" s="133" t="s">
        <v>32</v>
      </c>
      <c r="CN30" s="133"/>
      <c r="CO30" s="133" t="s">
        <v>32</v>
      </c>
      <c r="CP30" s="133" t="s">
        <v>32</v>
      </c>
      <c r="CQ30" s="133" t="s">
        <v>32</v>
      </c>
      <c r="CR30" s="133" t="s">
        <v>32</v>
      </c>
      <c r="CS30" s="133"/>
      <c r="CT30" s="133"/>
      <c r="CU30" s="133"/>
      <c r="CV30" s="133"/>
      <c r="CW30" s="133"/>
      <c r="CX30" s="133"/>
      <c r="CY30" s="133"/>
      <c r="CZ30" s="133"/>
      <c r="DA30" s="133"/>
      <c r="DB30" s="127"/>
      <c r="DC30" s="127"/>
      <c r="DD30" s="133"/>
      <c r="DE30" s="133"/>
      <c r="DF30" s="133"/>
      <c r="DG30" s="133"/>
      <c r="DH30" s="133"/>
      <c r="DI30" s="133"/>
      <c r="DJ30" s="133"/>
      <c r="DK30" s="133"/>
      <c r="DL30" s="133"/>
      <c r="DM30" s="133"/>
      <c r="DN30" s="133"/>
      <c r="DO30" s="133"/>
      <c r="DP30" s="133"/>
      <c r="DQ30" s="133"/>
      <c r="DR30" s="133"/>
      <c r="DT30" s="127"/>
      <c r="DU30" s="191" cm="1">
        <f t="array" ref="DU30">_xlfn.IFS(DU$1= 0,"", NOT(ISBLANK(CM30)), 0, ISBLANK(CM30), $Q30-$S30+AY30-BV30-DD30)</f>
        <v>0</v>
      </c>
      <c r="DV30" s="192" cm="1">
        <f t="array" ref="DV30">_xlfn.IFS(DV$1= 0,"", NOT(ISBLANK(CN30)), 0, ISBLANK(CN30), $Q30-$S30+AZ30-BW30-DE30)</f>
        <v>12.62143007936195</v>
      </c>
      <c r="DW30" s="192" cm="1">
        <f t="array" ref="DW30">_xlfn.IFS(DW$1= 0,"", NOT(ISBLANK(CO30)), 0, ISBLANK(CO30), $Q30-$S30+BA30-BX30-DF30)</f>
        <v>0</v>
      </c>
      <c r="DX30" s="192" cm="1">
        <f t="array" ref="DX30">_xlfn.IFS(DX$1= 0,"", NOT(ISBLANK(CP30)), 0, ISBLANK(CP30), $Q30-$S30+BB30-BY30-DG30)</f>
        <v>0</v>
      </c>
      <c r="DY30" s="192" cm="1">
        <f t="array" ref="DY30">_xlfn.IFS(DY$1= 0,"", NOT(ISBLANK(CQ30)), 0, ISBLANK(CQ30), $Q30-$S30+BC30-BZ30-DH30)</f>
        <v>0</v>
      </c>
      <c r="DZ30" s="192" cm="1">
        <f t="array" ref="DZ30">_xlfn.IFS(DZ$1= 0,"", NOT(ISBLANK(CR30)), 0, ISBLANK(CR30), $Q30-$S30+BD30-CA30-DI30)</f>
        <v>0</v>
      </c>
      <c r="EA30" s="192" cm="1">
        <f t="array" ref="EA30">_xlfn.IFS(EA$1= 0,"", NOT(ISBLANK(CS30)), 0, ISBLANK(CS30), $Q30-$S30+BE30-CB30-DJ30)</f>
        <v>10.599983054567275</v>
      </c>
      <c r="EB30" s="192" t="str" cm="1">
        <f t="array" ref="EB30">_xlfn.IFS(EB$1= 0,"", NOT(ISBLANK(CT30)), 0, ISBLANK(CT30), $Q30-$S30+BF30-CC30-DK30)</f>
        <v/>
      </c>
      <c r="EC30" s="192" t="str" cm="1">
        <f t="array" ref="EC30">_xlfn.IFS(EC$1= 0,"", NOT(ISBLANK(CU30)), 0, ISBLANK(CU30), $Q30-$S30+BG30-CD30-DL30)</f>
        <v/>
      </c>
      <c r="ED30" s="192" t="str" cm="1">
        <f t="array" ref="ED30">_xlfn.IFS(ED$1= 0,"", NOT(ISBLANK(CV30)), 0, ISBLANK(CV30), $Q30-$S30+BH30-CE30-DM30)</f>
        <v/>
      </c>
      <c r="EE30" s="192" t="str" cm="1">
        <f t="array" ref="EE30">_xlfn.IFS(EE$1= 0,"", NOT(ISBLANK(CW30)), 0, ISBLANK(CW30), $Q30-$S30+BI30-CF30-DN30)</f>
        <v/>
      </c>
      <c r="EF30" s="192" t="str" cm="1">
        <f t="array" ref="EF30">_xlfn.IFS(EF$1= 0,"", NOT(ISBLANK(CX30)), 0, ISBLANK(CX30), $Q30-$S30+BJ30-CG30-DO30)</f>
        <v/>
      </c>
      <c r="EG30" s="192" t="str" cm="1">
        <f t="array" ref="EG30">_xlfn.IFS(EG$1= 0,"", NOT(ISBLANK(CY30)), 0, ISBLANK(CY30), $Q30-$S30+BK30-CH30-DP30)</f>
        <v/>
      </c>
      <c r="EH30" s="192" t="str" cm="1">
        <f t="array" ref="EH30">_xlfn.IFS(EH$1= 0,"", NOT(ISBLANK(CZ30)), 0, ISBLANK(CZ30), $Q30-$S30+BL30-CI30-DQ30)</f>
        <v/>
      </c>
      <c r="EI30" s="193" t="str" cm="1">
        <f t="array" ref="EI30">_xlfn.IFS(EI$1= 0,"", NOT(ISBLANK(DA30)), 0, ISBLANK(DA30), $Q30-$S30+BM30-CJ30-DR30)</f>
        <v/>
      </c>
    </row>
    <row r="31" spans="1:139" ht="16.5" customHeight="1" x14ac:dyDescent="0.3">
      <c r="A31" s="183">
        <v>1</v>
      </c>
      <c r="B31" s="134" t="s">
        <v>266</v>
      </c>
      <c r="C31" s="134" t="s">
        <v>87</v>
      </c>
      <c r="D31" s="135" t="s">
        <v>86</v>
      </c>
      <c r="E31" s="166" t="s">
        <v>259</v>
      </c>
      <c r="F31" s="174"/>
      <c r="G31" s="3"/>
      <c r="H31" s="3"/>
      <c r="I31" s="3"/>
      <c r="J31" s="3"/>
      <c r="K31" s="3"/>
      <c r="L31" s="3"/>
      <c r="M31" s="178"/>
      <c r="N31" s="174">
        <v>65.873120921161103</v>
      </c>
      <c r="O31" s="175">
        <v>0</v>
      </c>
      <c r="P31" s="169">
        <v>1</v>
      </c>
      <c r="Q31" s="122">
        <f t="shared" si="18"/>
        <v>66</v>
      </c>
      <c r="R31" s="2">
        <v>2</v>
      </c>
      <c r="S31" s="2"/>
      <c r="T31" s="3">
        <v>217.55</v>
      </c>
      <c r="U31" s="3">
        <v>62.52</v>
      </c>
      <c r="V31" s="104">
        <f t="shared" si="2"/>
        <v>75</v>
      </c>
      <c r="W31" s="78">
        <v>73</v>
      </c>
      <c r="X31" s="136">
        <v>2</v>
      </c>
      <c r="Z31" s="110" t="s">
        <v>101</v>
      </c>
      <c r="AA31" s="108">
        <v>219.34</v>
      </c>
      <c r="AB31" s="49">
        <v>48.62</v>
      </c>
      <c r="AC31" s="102">
        <v>75.400000000000006</v>
      </c>
      <c r="AD31" s="49">
        <v>214.39</v>
      </c>
      <c r="AE31" s="49">
        <v>74.8</v>
      </c>
      <c r="AF31" s="50">
        <v>75.400000000000006</v>
      </c>
      <c r="AH31" s="185" cm="1">
        <f t="array" ref="AH31">IF(OR(AH$1=0, $A31="", _xlfn.XLOOKUP(AH$1, $Z$2:$Z$18, $AD$2:$AD$18, "")=""),"",SQRT((_xlfn.XLOOKUP(AH$1,$Z$2:$Z$18,$AA$2:$AA$18)-$T31)^2+(_xlfn.XLOOKUP(AH$1,$Z$2:$Z$18,$AB$2:$AB$18)-$U31)^2+(_xlfn.XLOOKUP(AH$1,$Z$2:$Z$18,$AC$2:$AC$18-$V31)^2)))</f>
        <v>238.45702526870539</v>
      </c>
      <c r="AI31" s="124" cm="1">
        <f t="array" ref="AI31">IF(OR(AI$1=0, $A31="", _xlfn.XLOOKUP(AI$1, $Z$2:$Z$18, $AD$2:$AD$18, "")=""),"",SQRT((_xlfn.XLOOKUP(AI$1,$Z$2:$Z$18,$AA$2:$AA$18)-$T31)^2+(_xlfn.XLOOKUP(AI$1,$Z$2:$Z$18,$AB$2:$AB$18)-$U31)^2+(_xlfn.XLOOKUP(AI$1,$Z$2:$Z$18,$AC$2:$AC$18-$V31)^2)))</f>
        <v>185.98129717796897</v>
      </c>
      <c r="AJ31" s="124" cm="1">
        <f t="array" ref="AJ31">IF(OR(AJ$1=0, $A31="", _xlfn.XLOOKUP(AJ$1, $Z$2:$Z$18, $AD$2:$AD$18, "")=""),"",SQRT((_xlfn.XLOOKUP(AJ$1,$Z$2:$Z$18,$AA$2:$AA$18)-$T31)^2+(_xlfn.XLOOKUP(AJ$1,$Z$2:$Z$18,$AB$2:$AB$18)-$U31)^2+(_xlfn.XLOOKUP(AJ$1,$Z$2:$Z$18,$AC$2:$AC$18-$V31)^2)))</f>
        <v>118.63071861874563</v>
      </c>
      <c r="AK31" s="124" cm="1">
        <f t="array" ref="AK31">IF(OR(AK$1=0, $A31="", _xlfn.XLOOKUP(AK$1, $Z$2:$Z$18, $AD$2:$AD$18, "")=""),"",SQRT((_xlfn.XLOOKUP(AK$1,$Z$2:$Z$18,$AA$2:$AA$18)-$T31)^2+(_xlfn.XLOOKUP(AK$1,$Z$2:$Z$18,$AB$2:$AB$18)-$U31)^2+(_xlfn.XLOOKUP(AK$1,$Z$2:$Z$18,$AC$2:$AC$18-$V31)^2)))</f>
        <v>42.742157175322824</v>
      </c>
      <c r="AL31" s="124" cm="1">
        <f t="array" ref="AL31">IF(OR(AL$1=0, $A31="", _xlfn.XLOOKUP(AL$1, $Z$2:$Z$18, $AD$2:$AD$18, "")=""),"",SQRT((_xlfn.XLOOKUP(AL$1,$Z$2:$Z$18,$AA$2:$AA$18)-$T31)^2+(_xlfn.XLOOKUP(AL$1,$Z$2:$Z$18,$AB$2:$AB$18)-$U31)^2+(_xlfn.XLOOKUP(AL$1,$Z$2:$Z$18,$AC$2:$AC$18-$V31)^2)))</f>
        <v>108.00424528693304</v>
      </c>
      <c r="AM31" s="124" cm="1">
        <f t="array" ref="AM31">IF(OR(AM$1=0, $A31="", _xlfn.XLOOKUP(AM$1, $Z$2:$Z$18, $AD$2:$AD$18, "")=""),"",SQRT((_xlfn.XLOOKUP(AM$1,$Z$2:$Z$18,$AA$2:$AA$18)-$T31)^2+(_xlfn.XLOOKUP(AM$1,$Z$2:$Z$18,$AB$2:$AB$18)-$U31)^2+(_xlfn.XLOOKUP(AM$1,$Z$2:$Z$18,$AC$2:$AC$18-$V31)^2)))</f>
        <v>255.21312368293289</v>
      </c>
      <c r="AN31" s="124" cm="1">
        <f t="array" ref="AN31">IF(OR(AN$1=0, $A31="", _xlfn.XLOOKUP(AN$1, $Z$2:$Z$18, $AD$2:$AD$18, "")=""),"",SQRT((_xlfn.XLOOKUP(AN$1,$Z$2:$Z$18,$AA$2:$AA$18)-$T31)^2+(_xlfn.XLOOKUP(AN$1,$Z$2:$Z$18,$AB$2:$AB$18)-$U31)^2+(_xlfn.XLOOKUP(AN$1,$Z$2:$Z$18,$AC$2:$AC$18-$V31)^2)))</f>
        <v>255.21312368293289</v>
      </c>
      <c r="AO31" s="124" t="str" cm="1">
        <f t="array" ref="AO31">IF(OR(AO$1=0, $A31="", _xlfn.XLOOKUP(AO$1, $Z$2:$Z$18, $AD$2:$AD$18, "")=""),"",SQRT((_xlfn.XLOOKUP(AO$1,$Z$2:$Z$18,$AA$2:$AA$18)-$T31)^2+(_xlfn.XLOOKUP(AO$1,$Z$2:$Z$18,$AB$2:$AB$18)-$U31)^2+(_xlfn.XLOOKUP(AO$1,$Z$2:$Z$18,$AC$2:$AC$18-$V31)^2)))</f>
        <v/>
      </c>
      <c r="AP31" s="125" t="str" cm="1">
        <f t="array" ref="AP31">IF(OR(AP$1=0, $A31="", _xlfn.XLOOKUP(AP$1, $Z$2:$Z$18, $AD$2:$AD$18, "")=""),"",SQRT((_xlfn.XLOOKUP(AP$1,$Z$2:$Z$18,$AA$2:$AA$18)-$T31)^2+(_xlfn.XLOOKUP(AP$1,$Z$2:$Z$18,$AB$2:$AB$18)-$U31)^2+(_xlfn.XLOOKUP(AP$1,$Z$2:$Z$18,$AC$2:$AC$18-$V31)^2)))</f>
        <v/>
      </c>
      <c r="AQ31" s="125" t="str" cm="1">
        <f t="array" ref="AQ31">IF(OR(AQ$1=0, $A31="", _xlfn.XLOOKUP(AQ$1, $Z$2:$Z$18, $AD$2:$AD$18, "")=""),"",SQRT((_xlfn.XLOOKUP(AQ$1,$Z$2:$Z$18,$AA$2:$AA$18)-$T31)^2+(_xlfn.XLOOKUP(AQ$1,$Z$2:$Z$18,$AB$2:$AB$18)-$U31)^2+(_xlfn.XLOOKUP(AQ$1,$Z$2:$Z$18,$AC$2:$AC$18-$V31)^2)))</f>
        <v/>
      </c>
      <c r="AR31" s="125" t="str" cm="1">
        <f t="array" ref="AR31">IF(OR(AR$1=0, $A31="", _xlfn.XLOOKUP(AR$1, $Z$2:$Z$18, $AD$2:$AD$18, "")=""),"",SQRT((_xlfn.XLOOKUP(AR$1,$Z$2:$Z$18,$AA$2:$AA$18)-$T31)^2+(_xlfn.XLOOKUP(AR$1,$Z$2:$Z$18,$AB$2:$AB$18)-$U31)^2+(_xlfn.XLOOKUP(AR$1,$Z$2:$Z$18,$AC$2:$AC$18-$V31)^2)))</f>
        <v/>
      </c>
      <c r="AS31" s="125" t="str" cm="1">
        <f t="array" ref="AS31">IF(OR(AS$1=0, $A31="", _xlfn.XLOOKUP(AS$1, $Z$2:$Z$18, $AD$2:$AD$18, "")=""),"",SQRT((_xlfn.XLOOKUP(AS$1,$Z$2:$Z$18,$AA$2:$AA$18)-$T31)^2+(_xlfn.XLOOKUP(AS$1,$Z$2:$Z$18,$AB$2:$AB$18)-$U31)^2+(_xlfn.XLOOKUP(AS$1,$Z$2:$Z$18,$AC$2:$AC$18-$V31)^2)))</f>
        <v/>
      </c>
      <c r="AT31" s="125" t="str" cm="1">
        <f t="array" ref="AT31">IF(OR(AT$1=0, $A31="", _xlfn.XLOOKUP(AT$1, $Z$2:$Z$18, $AD$2:$AD$18, "")=""),"",SQRT((_xlfn.XLOOKUP(AT$1,$Z$2:$Z$18,$AA$2:$AA$18)-$T31)^2+(_xlfn.XLOOKUP(AT$1,$Z$2:$Z$18,$AB$2:$AB$18)-$U31)^2+(_xlfn.XLOOKUP(AT$1,$Z$2:$Z$18,$AC$2:$AC$18-$V31)^2)))</f>
        <v/>
      </c>
      <c r="AU31" s="125" t="str" cm="1">
        <f t="array" ref="AU31">IF(OR(AU$1=0, $A31="", _xlfn.XLOOKUP(AU$1, $Z$2:$Z$18, $AD$2:$AD$18, "")=""),"",SQRT((_xlfn.XLOOKUP(AU$1,$Z$2:$Z$18,$AA$2:$AA$18)-$T31)^2+(_xlfn.XLOOKUP(AU$1,$Z$2:$Z$18,$AB$2:$AB$18)-$U31)^2+(_xlfn.XLOOKUP(AU$1,$Z$2:$Z$18,$AC$2:$AC$18-$V31)^2)))</f>
        <v/>
      </c>
      <c r="AV31" s="126" t="str" cm="1">
        <f t="array" ref="AV31">IF(OR(AV$1=0, $A31="", _xlfn.XLOOKUP(AV$1, $Z$2:$Z$18, $AD$2:$AD$18, "")=""),"",SQRT((_xlfn.XLOOKUP(AV$1,$Z$2:$Z$18,$AA$2:$AA$18)-$T31)^2+(_xlfn.XLOOKUP(AV$1,$Z$2:$Z$18,$AB$2:$AB$18)-$U31)^2+(_xlfn.XLOOKUP(AV$1,$Z$2:$Z$18,$AC$2:$AC$18-$V31)^2)))</f>
        <v/>
      </c>
      <c r="AW31" s="127"/>
      <c r="AX31" s="127"/>
      <c r="AY31" s="128">
        <f t="shared" si="3"/>
        <v>-45.210300374237306</v>
      </c>
      <c r="AZ31" s="137">
        <f t="shared" si="4"/>
        <v>-43.051483386795766</v>
      </c>
      <c r="BA31" s="137">
        <f t="shared" si="5"/>
        <v>-39.146041160868727</v>
      </c>
      <c r="BB31" s="137">
        <f t="shared" si="6"/>
        <v>-30.27922667706742</v>
      </c>
      <c r="BC31" s="137">
        <f t="shared" si="7"/>
        <v>-38.330914466755416</v>
      </c>
      <c r="BD31" s="137">
        <f t="shared" si="8"/>
        <v>-45.800157999085378</v>
      </c>
      <c r="BE31" s="137">
        <f t="shared" si="9"/>
        <v>-45.800157999085378</v>
      </c>
      <c r="BF31" s="137">
        <f t="shared" si="10"/>
        <v>0</v>
      </c>
      <c r="BG31" s="138">
        <f t="shared" si="11"/>
        <v>0</v>
      </c>
      <c r="BH31" s="138">
        <f t="shared" si="12"/>
        <v>0</v>
      </c>
      <c r="BI31" s="138">
        <f t="shared" si="13"/>
        <v>0</v>
      </c>
      <c r="BJ31" s="138">
        <f t="shared" si="14"/>
        <v>0</v>
      </c>
      <c r="BK31" s="138">
        <f t="shared" si="15"/>
        <v>0</v>
      </c>
      <c r="BL31" s="138">
        <f t="shared" si="16"/>
        <v>0</v>
      </c>
      <c r="BM31" s="139">
        <f t="shared" si="17"/>
        <v>0</v>
      </c>
      <c r="BN31" s="127"/>
      <c r="BO31" s="37" t="s">
        <v>67</v>
      </c>
      <c r="BP31" s="18" t="e">
        <f>#REF!</f>
        <v>#REF!</v>
      </c>
      <c r="BQ31" s="18">
        <v>3.28</v>
      </c>
      <c r="BR31" s="18" t="str">
        <f>BO33</f>
        <v>MAU-R1 to R1</v>
      </c>
      <c r="BT31" s="127"/>
      <c r="BU31" s="127"/>
      <c r="BV31" s="133"/>
      <c r="BW31" s="133">
        <v>1</v>
      </c>
      <c r="BX31" s="133">
        <v>12</v>
      </c>
      <c r="BY31" s="133">
        <v>14</v>
      </c>
      <c r="BZ31" s="133">
        <v>0</v>
      </c>
      <c r="CA31" s="133">
        <v>9</v>
      </c>
      <c r="CB31" s="133"/>
      <c r="CC31" s="133"/>
      <c r="CD31" s="133"/>
      <c r="CE31" s="133"/>
      <c r="CF31" s="133"/>
      <c r="CG31" s="133"/>
      <c r="CH31" s="133"/>
      <c r="CI31" s="133"/>
      <c r="CJ31" s="133"/>
      <c r="CL31" s="127"/>
      <c r="CM31" s="133" t="s">
        <v>32</v>
      </c>
      <c r="CN31" s="133"/>
      <c r="CO31" s="133" t="s">
        <v>32</v>
      </c>
      <c r="CP31" s="133" t="s">
        <v>32</v>
      </c>
      <c r="CQ31" s="133" t="s">
        <v>32</v>
      </c>
      <c r="CR31" s="133" t="s">
        <v>32</v>
      </c>
      <c r="CS31" s="133"/>
      <c r="CT31" s="133"/>
      <c r="CU31" s="133"/>
      <c r="CV31" s="133"/>
      <c r="CW31" s="133"/>
      <c r="CX31" s="133"/>
      <c r="CY31" s="133"/>
      <c r="CZ31" s="133"/>
      <c r="DA31" s="133"/>
      <c r="DB31" s="127"/>
      <c r="DC31" s="127"/>
      <c r="DD31" s="133"/>
      <c r="DE31" s="133"/>
      <c r="DF31" s="133"/>
      <c r="DG31" s="133"/>
      <c r="DH31" s="133"/>
      <c r="DI31" s="133"/>
      <c r="DJ31" s="133"/>
      <c r="DK31" s="133"/>
      <c r="DL31" s="133"/>
      <c r="DM31" s="133"/>
      <c r="DN31" s="133"/>
      <c r="DO31" s="133"/>
      <c r="DP31" s="133"/>
      <c r="DQ31" s="133"/>
      <c r="DR31" s="133"/>
      <c r="DT31" s="127"/>
      <c r="DU31" s="191" cm="1">
        <f t="array" ref="DU31">_xlfn.IFS(DU$1= 0,"", NOT(ISBLANK(CM31)), 0, ISBLANK(CM31), $Q31-$S31+AY31-BV31-DD31)</f>
        <v>0</v>
      </c>
      <c r="DV31" s="192" cm="1">
        <f t="array" ref="DV31">_xlfn.IFS(DV$1= 0,"", NOT(ISBLANK(CN31)), 0, ISBLANK(CN31), $Q31-$S31+AZ31-BW31-DE31)</f>
        <v>21.948516613204234</v>
      </c>
      <c r="DW31" s="192" cm="1">
        <f t="array" ref="DW31">_xlfn.IFS(DW$1= 0,"", NOT(ISBLANK(CO31)), 0, ISBLANK(CO31), $Q31-$S31+BA31-BX31-DF31)</f>
        <v>0</v>
      </c>
      <c r="DX31" s="192" cm="1">
        <f t="array" ref="DX31">_xlfn.IFS(DX$1= 0,"", NOT(ISBLANK(CP31)), 0, ISBLANK(CP31), $Q31-$S31+BB31-BY31-DG31)</f>
        <v>0</v>
      </c>
      <c r="DY31" s="192" cm="1">
        <f t="array" ref="DY31">_xlfn.IFS(DY$1= 0,"", NOT(ISBLANK(CQ31)), 0, ISBLANK(CQ31), $Q31-$S31+BC31-BZ31-DH31)</f>
        <v>0</v>
      </c>
      <c r="DZ31" s="192" cm="1">
        <f t="array" ref="DZ31">_xlfn.IFS(DZ$1= 0,"", NOT(ISBLANK(CR31)), 0, ISBLANK(CR31), $Q31-$S31+BD31-CA31-DI31)</f>
        <v>0</v>
      </c>
      <c r="EA31" s="192" cm="1">
        <f t="array" ref="EA31">_xlfn.IFS(EA$1= 0,"", NOT(ISBLANK(CS31)), 0, ISBLANK(CS31), $Q31-$S31+BE31-CB31-DJ31)</f>
        <v>20.199842000914622</v>
      </c>
      <c r="EB31" s="192" t="str" cm="1">
        <f t="array" ref="EB31">_xlfn.IFS(EB$1= 0,"", NOT(ISBLANK(CT31)), 0, ISBLANK(CT31), $Q31-$S31+BF31-CC31-DK31)</f>
        <v/>
      </c>
      <c r="EC31" s="192" t="str" cm="1">
        <f t="array" ref="EC31">_xlfn.IFS(EC$1= 0,"", NOT(ISBLANK(CU31)), 0, ISBLANK(CU31), $Q31-$S31+BG31-CD31-DL31)</f>
        <v/>
      </c>
      <c r="ED31" s="192" t="str" cm="1">
        <f t="array" ref="ED31">_xlfn.IFS(ED$1= 0,"", NOT(ISBLANK(CV31)), 0, ISBLANK(CV31), $Q31-$S31+BH31-CE31-DM31)</f>
        <v/>
      </c>
      <c r="EE31" s="192" t="str" cm="1">
        <f t="array" ref="EE31">_xlfn.IFS(EE$1= 0,"", NOT(ISBLANK(CW31)), 0, ISBLANK(CW31), $Q31-$S31+BI31-CF31-DN31)</f>
        <v/>
      </c>
      <c r="EF31" s="192" t="str" cm="1">
        <f t="array" ref="EF31">_xlfn.IFS(EF$1= 0,"", NOT(ISBLANK(CX31)), 0, ISBLANK(CX31), $Q31-$S31+BJ31-CG31-DO31)</f>
        <v/>
      </c>
      <c r="EG31" s="192" t="str" cm="1">
        <f t="array" ref="EG31">_xlfn.IFS(EG$1= 0,"", NOT(ISBLANK(CY31)), 0, ISBLANK(CY31), $Q31-$S31+BK31-CH31-DP31)</f>
        <v/>
      </c>
      <c r="EH31" s="192" t="str" cm="1">
        <f t="array" ref="EH31">_xlfn.IFS(EH$1= 0,"", NOT(ISBLANK(CZ31)), 0, ISBLANK(CZ31), $Q31-$S31+BL31-CI31-DQ31)</f>
        <v/>
      </c>
      <c r="EI31" s="193" t="str" cm="1">
        <f t="array" ref="EI31">_xlfn.IFS(EI$1= 0,"", NOT(ISBLANK(DA31)), 0, ISBLANK(DA31), $Q31-$S31+BM31-CJ31-DR31)</f>
        <v/>
      </c>
    </row>
    <row r="32" spans="1:139" ht="16.5" customHeight="1" x14ac:dyDescent="0.3">
      <c r="A32" s="183">
        <v>1</v>
      </c>
      <c r="B32" s="134" t="s">
        <v>267</v>
      </c>
      <c r="C32" s="134" t="s">
        <v>87</v>
      </c>
      <c r="D32" s="135" t="s">
        <v>86</v>
      </c>
      <c r="E32" s="166" t="s">
        <v>259</v>
      </c>
      <c r="F32" s="174"/>
      <c r="G32" s="3"/>
      <c r="H32" s="3"/>
      <c r="I32" s="3"/>
      <c r="J32" s="3"/>
      <c r="K32" s="3"/>
      <c r="L32" s="3"/>
      <c r="M32" s="178"/>
      <c r="N32" s="174">
        <v>65.873120921161103</v>
      </c>
      <c r="O32" s="175">
        <v>0</v>
      </c>
      <c r="P32" s="169">
        <v>1</v>
      </c>
      <c r="Q32" s="122">
        <f t="shared" si="18"/>
        <v>66</v>
      </c>
      <c r="R32" s="2">
        <v>2</v>
      </c>
      <c r="S32" s="2"/>
      <c r="T32" s="3">
        <v>214.65</v>
      </c>
      <c r="U32" s="3">
        <v>91.59</v>
      </c>
      <c r="V32" s="104">
        <f t="shared" si="2"/>
        <v>75</v>
      </c>
      <c r="W32" s="78">
        <v>73</v>
      </c>
      <c r="X32" s="136">
        <v>2</v>
      </c>
      <c r="Z32" s="110" t="s">
        <v>102</v>
      </c>
      <c r="AA32" s="108">
        <v>213.85</v>
      </c>
      <c r="AB32" s="49">
        <v>75.13</v>
      </c>
      <c r="AC32" s="102">
        <v>75.400000000000006</v>
      </c>
      <c r="AD32" s="49">
        <v>227.71</v>
      </c>
      <c r="AE32" s="49">
        <v>77.77</v>
      </c>
      <c r="AF32" s="50">
        <v>75.400000000000006</v>
      </c>
      <c r="AH32" s="185" cm="1">
        <f t="array" ref="AH32">IF(OR(AH$1=0, $A32="", _xlfn.XLOOKUP(AH$1, $Z$2:$Z$18, $AD$2:$AD$18, "")=""),"",SQRT((_xlfn.XLOOKUP(AH$1,$Z$2:$Z$18,$AA$2:$AA$18)-$T32)^2+(_xlfn.XLOOKUP(AH$1,$Z$2:$Z$18,$AB$2:$AB$18)-$U32)^2+(_xlfn.XLOOKUP(AH$1,$Z$2:$Z$18,$AC$2:$AC$18-$V32)^2)))</f>
        <v>245.12925284429031</v>
      </c>
      <c r="AI32" s="124" cm="1">
        <f t="array" ref="AI32">IF(OR(AI$1=0, $A32="", _xlfn.XLOOKUP(AI$1, $Z$2:$Z$18, $AD$2:$AD$18, "")=""),"",SQRT((_xlfn.XLOOKUP(AI$1,$Z$2:$Z$18,$AA$2:$AA$18)-$T32)^2+(_xlfn.XLOOKUP(AI$1,$Z$2:$Z$18,$AB$2:$AB$18)-$U32)^2+(_xlfn.XLOOKUP(AI$1,$Z$2:$Z$18,$AC$2:$AC$18-$V32)^2)))</f>
        <v>181.74354954165497</v>
      </c>
      <c r="AJ32" s="124" cm="1">
        <f t="array" ref="AJ32">IF(OR(AJ$1=0, $A32="", _xlfn.XLOOKUP(AJ$1, $Z$2:$Z$18, $AD$2:$AD$18, "")=""),"",SQRT((_xlfn.XLOOKUP(AJ$1,$Z$2:$Z$18,$AA$2:$AA$18)-$T32)^2+(_xlfn.XLOOKUP(AJ$1,$Z$2:$Z$18,$AB$2:$AB$18)-$U32)^2+(_xlfn.XLOOKUP(AJ$1,$Z$2:$Z$18,$AC$2:$AC$18-$V32)^2)))</f>
        <v>121.81376482155045</v>
      </c>
      <c r="AK32" s="124" cm="1">
        <f t="array" ref="AK32">IF(OR(AK$1=0, $A32="", _xlfn.XLOOKUP(AK$1, $Z$2:$Z$18, $AD$2:$AD$18, "")=""),"",SQRT((_xlfn.XLOOKUP(AK$1,$Z$2:$Z$18,$AA$2:$AA$18)-$T32)^2+(_xlfn.XLOOKUP(AK$1,$Z$2:$Z$18,$AB$2:$AB$18)-$U32)^2+(_xlfn.XLOOKUP(AK$1,$Z$2:$Z$18,$AC$2:$AC$18-$V32)^2)))</f>
        <v>70.738940478353229</v>
      </c>
      <c r="AL32" s="124" cm="1">
        <f t="array" ref="AL32">IF(OR(AL$1=0, $A32="", _xlfn.XLOOKUP(AL$1, $Z$2:$Z$18, $AD$2:$AD$18, "")=""),"",SQRT((_xlfn.XLOOKUP(AL$1,$Z$2:$Z$18,$AA$2:$AA$18)-$T32)^2+(_xlfn.XLOOKUP(AL$1,$Z$2:$Z$18,$AB$2:$AB$18)-$U32)^2+(_xlfn.XLOOKUP(AL$1,$Z$2:$Z$18,$AC$2:$AC$18-$V32)^2)))</f>
        <v>108.15399067995595</v>
      </c>
      <c r="AM32" s="124" cm="1">
        <f t="array" ref="AM32">IF(OR(AM$1=0, $A32="", _xlfn.XLOOKUP(AM$1, $Z$2:$Z$18, $AD$2:$AD$18, "")=""),"",SQRT((_xlfn.XLOOKUP(AM$1,$Z$2:$Z$18,$AA$2:$AA$18)-$T32)^2+(_xlfn.XLOOKUP(AM$1,$Z$2:$Z$18,$AB$2:$AB$18)-$U32)^2+(_xlfn.XLOOKUP(AM$1,$Z$2:$Z$18,$AC$2:$AC$18-$V32)^2)))</f>
        <v>236.66599671266678</v>
      </c>
      <c r="AN32" s="124" cm="1">
        <f t="array" ref="AN32">IF(OR(AN$1=0, $A32="", _xlfn.XLOOKUP(AN$1, $Z$2:$Z$18, $AD$2:$AD$18, "")=""),"",SQRT((_xlfn.XLOOKUP(AN$1,$Z$2:$Z$18,$AA$2:$AA$18)-$T32)^2+(_xlfn.XLOOKUP(AN$1,$Z$2:$Z$18,$AB$2:$AB$18)-$U32)^2+(_xlfn.XLOOKUP(AN$1,$Z$2:$Z$18,$AC$2:$AC$18-$V32)^2)))</f>
        <v>236.66599671266678</v>
      </c>
      <c r="AO32" s="124" t="str" cm="1">
        <f t="array" ref="AO32">IF(OR(AO$1=0, $A32="", _xlfn.XLOOKUP(AO$1, $Z$2:$Z$18, $AD$2:$AD$18, "")=""),"",SQRT((_xlfn.XLOOKUP(AO$1,$Z$2:$Z$18,$AA$2:$AA$18)-$T32)^2+(_xlfn.XLOOKUP(AO$1,$Z$2:$Z$18,$AB$2:$AB$18)-$U32)^2+(_xlfn.XLOOKUP(AO$1,$Z$2:$Z$18,$AC$2:$AC$18-$V32)^2)))</f>
        <v/>
      </c>
      <c r="AP32" s="125" t="str" cm="1">
        <f t="array" ref="AP32">IF(OR(AP$1=0, $A32="", _xlfn.XLOOKUP(AP$1, $Z$2:$Z$18, $AD$2:$AD$18, "")=""),"",SQRT((_xlfn.XLOOKUP(AP$1,$Z$2:$Z$18,$AA$2:$AA$18)-$T32)^2+(_xlfn.XLOOKUP(AP$1,$Z$2:$Z$18,$AB$2:$AB$18)-$U32)^2+(_xlfn.XLOOKUP(AP$1,$Z$2:$Z$18,$AC$2:$AC$18-$V32)^2)))</f>
        <v/>
      </c>
      <c r="AQ32" s="125" t="str" cm="1">
        <f t="array" ref="AQ32">IF(OR(AQ$1=0, $A32="", _xlfn.XLOOKUP(AQ$1, $Z$2:$Z$18, $AD$2:$AD$18, "")=""),"",SQRT((_xlfn.XLOOKUP(AQ$1,$Z$2:$Z$18,$AA$2:$AA$18)-$T32)^2+(_xlfn.XLOOKUP(AQ$1,$Z$2:$Z$18,$AB$2:$AB$18)-$U32)^2+(_xlfn.XLOOKUP(AQ$1,$Z$2:$Z$18,$AC$2:$AC$18-$V32)^2)))</f>
        <v/>
      </c>
      <c r="AR32" s="125" t="str" cm="1">
        <f t="array" ref="AR32">IF(OR(AR$1=0, $A32="", _xlfn.XLOOKUP(AR$1, $Z$2:$Z$18, $AD$2:$AD$18, "")=""),"",SQRT((_xlfn.XLOOKUP(AR$1,$Z$2:$Z$18,$AA$2:$AA$18)-$T32)^2+(_xlfn.XLOOKUP(AR$1,$Z$2:$Z$18,$AB$2:$AB$18)-$U32)^2+(_xlfn.XLOOKUP(AR$1,$Z$2:$Z$18,$AC$2:$AC$18-$V32)^2)))</f>
        <v/>
      </c>
      <c r="AS32" s="125" t="str" cm="1">
        <f t="array" ref="AS32">IF(OR(AS$1=0, $A32="", _xlfn.XLOOKUP(AS$1, $Z$2:$Z$18, $AD$2:$AD$18, "")=""),"",SQRT((_xlfn.XLOOKUP(AS$1,$Z$2:$Z$18,$AA$2:$AA$18)-$T32)^2+(_xlfn.XLOOKUP(AS$1,$Z$2:$Z$18,$AB$2:$AB$18)-$U32)^2+(_xlfn.XLOOKUP(AS$1,$Z$2:$Z$18,$AC$2:$AC$18-$V32)^2)))</f>
        <v/>
      </c>
      <c r="AT32" s="125" t="str" cm="1">
        <f t="array" ref="AT32">IF(OR(AT$1=0, $A32="", _xlfn.XLOOKUP(AT$1, $Z$2:$Z$18, $AD$2:$AD$18, "")=""),"",SQRT((_xlfn.XLOOKUP(AT$1,$Z$2:$Z$18,$AA$2:$AA$18)-$T32)^2+(_xlfn.XLOOKUP(AT$1,$Z$2:$Z$18,$AB$2:$AB$18)-$U32)^2+(_xlfn.XLOOKUP(AT$1,$Z$2:$Z$18,$AC$2:$AC$18-$V32)^2)))</f>
        <v/>
      </c>
      <c r="AU32" s="125" t="str" cm="1">
        <f t="array" ref="AU32">IF(OR(AU$1=0, $A32="", _xlfn.XLOOKUP(AU$1, $Z$2:$Z$18, $AD$2:$AD$18, "")=""),"",SQRT((_xlfn.XLOOKUP(AU$1,$Z$2:$Z$18,$AA$2:$AA$18)-$T32)^2+(_xlfn.XLOOKUP(AU$1,$Z$2:$Z$18,$AB$2:$AB$18)-$U32)^2+(_xlfn.XLOOKUP(AU$1,$Z$2:$Z$18,$AC$2:$AC$18-$V32)^2)))</f>
        <v/>
      </c>
      <c r="AV32" s="126" t="str" cm="1">
        <f t="array" ref="AV32">IF(OR(AV$1=0, $A32="", _xlfn.XLOOKUP(AV$1, $Z$2:$Z$18, $AD$2:$AD$18, "")=""),"",SQRT((_xlfn.XLOOKUP(AV$1,$Z$2:$Z$18,$AA$2:$AA$18)-$T32)^2+(_xlfn.XLOOKUP(AV$1,$Z$2:$Z$18,$AB$2:$AB$18)-$U32)^2+(_xlfn.XLOOKUP(AV$1,$Z$2:$Z$18,$AC$2:$AC$18-$V32)^2)))</f>
        <v/>
      </c>
      <c r="AW32" s="127"/>
      <c r="AX32" s="127"/>
      <c r="AY32" s="128">
        <f t="shared" si="3"/>
        <v>-45.450000766688731</v>
      </c>
      <c r="AZ32" s="137">
        <f t="shared" si="4"/>
        <v>-42.851278052651232</v>
      </c>
      <c r="BA32" s="137">
        <f t="shared" si="5"/>
        <v>-39.376025254310932</v>
      </c>
      <c r="BB32" s="137">
        <f t="shared" si="6"/>
        <v>-34.655268950988081</v>
      </c>
      <c r="BC32" s="137">
        <f t="shared" si="7"/>
        <v>-38.342948911428401</v>
      </c>
      <c r="BD32" s="137">
        <f t="shared" si="8"/>
        <v>-45.144815228942875</v>
      </c>
      <c r="BE32" s="137">
        <f t="shared" si="9"/>
        <v>-45.144815228942875</v>
      </c>
      <c r="BF32" s="137">
        <f t="shared" si="10"/>
        <v>0</v>
      </c>
      <c r="BG32" s="138">
        <f t="shared" si="11"/>
        <v>0</v>
      </c>
      <c r="BH32" s="138">
        <f t="shared" si="12"/>
        <v>0</v>
      </c>
      <c r="BI32" s="138">
        <f t="shared" si="13"/>
        <v>0</v>
      </c>
      <c r="BJ32" s="138">
        <f t="shared" si="14"/>
        <v>0</v>
      </c>
      <c r="BK32" s="138">
        <f t="shared" si="15"/>
        <v>0</v>
      </c>
      <c r="BL32" s="138">
        <f t="shared" si="16"/>
        <v>0</v>
      </c>
      <c r="BM32" s="139">
        <f t="shared" si="17"/>
        <v>0</v>
      </c>
      <c r="BN32" s="127"/>
      <c r="BO32" s="18"/>
      <c r="BP32" s="18"/>
      <c r="BQ32" s="18"/>
      <c r="BR32" s="18" t="str">
        <f>"Barrier Reduction per ARI: " &amp; 'Input LwA_XYZ'!BP46 &amp; " dB"</f>
        <v>Barrier Reduction per ARI: 5 dB</v>
      </c>
      <c r="BT32" s="127"/>
      <c r="BU32" s="127"/>
      <c r="BV32" s="133"/>
      <c r="BW32" s="133">
        <v>7</v>
      </c>
      <c r="BX32" s="133">
        <v>12</v>
      </c>
      <c r="BY32" s="133">
        <v>15</v>
      </c>
      <c r="BZ32" s="133">
        <v>5</v>
      </c>
      <c r="CA32" s="133">
        <v>8</v>
      </c>
      <c r="CB32" s="133"/>
      <c r="CC32" s="133"/>
      <c r="CD32" s="133"/>
      <c r="CE32" s="133"/>
      <c r="CF32" s="133"/>
      <c r="CG32" s="133"/>
      <c r="CH32" s="133"/>
      <c r="CI32" s="133"/>
      <c r="CJ32" s="133"/>
      <c r="CL32" s="127"/>
      <c r="CM32" s="133" t="s">
        <v>32</v>
      </c>
      <c r="CN32" s="133"/>
      <c r="CO32" s="133" t="s">
        <v>32</v>
      </c>
      <c r="CP32" s="133" t="s">
        <v>32</v>
      </c>
      <c r="CQ32" s="133" t="s">
        <v>32</v>
      </c>
      <c r="CR32" s="133" t="s">
        <v>32</v>
      </c>
      <c r="CS32" s="133"/>
      <c r="CT32" s="133"/>
      <c r="CU32" s="133"/>
      <c r="CV32" s="133"/>
      <c r="CW32" s="133"/>
      <c r="CX32" s="133"/>
      <c r="CY32" s="133"/>
      <c r="CZ32" s="133"/>
      <c r="DA32" s="133"/>
      <c r="DB32" s="127"/>
      <c r="DC32" s="127"/>
      <c r="DD32" s="133"/>
      <c r="DE32" s="133"/>
      <c r="DF32" s="133"/>
      <c r="DG32" s="133"/>
      <c r="DH32" s="133"/>
      <c r="DI32" s="133"/>
      <c r="DJ32" s="133"/>
      <c r="DK32" s="133"/>
      <c r="DL32" s="133"/>
      <c r="DM32" s="133"/>
      <c r="DN32" s="133"/>
      <c r="DO32" s="133"/>
      <c r="DP32" s="133"/>
      <c r="DQ32" s="133"/>
      <c r="DR32" s="133"/>
      <c r="DT32" s="127"/>
      <c r="DU32" s="191" cm="1">
        <f t="array" ref="DU32">_xlfn.IFS(DU$1= 0,"", NOT(ISBLANK(CM32)), 0, ISBLANK(CM32), $Q32-$S32+AY32-BV32-DD32)</f>
        <v>0</v>
      </c>
      <c r="DV32" s="192" cm="1">
        <f t="array" ref="DV32">_xlfn.IFS(DV$1= 0,"", NOT(ISBLANK(CN32)), 0, ISBLANK(CN32), $Q32-$S32+AZ32-BW32-DE32)</f>
        <v>16.148721947348768</v>
      </c>
      <c r="DW32" s="192" cm="1">
        <f t="array" ref="DW32">_xlfn.IFS(DW$1= 0,"", NOT(ISBLANK(CO32)), 0, ISBLANK(CO32), $Q32-$S32+BA32-BX32-DF32)</f>
        <v>0</v>
      </c>
      <c r="DX32" s="192" cm="1">
        <f t="array" ref="DX32">_xlfn.IFS(DX$1= 0,"", NOT(ISBLANK(CP32)), 0, ISBLANK(CP32), $Q32-$S32+BB32-BY32-DG32)</f>
        <v>0</v>
      </c>
      <c r="DY32" s="192" cm="1">
        <f t="array" ref="DY32">_xlfn.IFS(DY$1= 0,"", NOT(ISBLANK(CQ32)), 0, ISBLANK(CQ32), $Q32-$S32+BC32-BZ32-DH32)</f>
        <v>0</v>
      </c>
      <c r="DZ32" s="192" cm="1">
        <f t="array" ref="DZ32">_xlfn.IFS(DZ$1= 0,"", NOT(ISBLANK(CR32)), 0, ISBLANK(CR32), $Q32-$S32+BD32-CA32-DI32)</f>
        <v>0</v>
      </c>
      <c r="EA32" s="192" cm="1">
        <f t="array" ref="EA32">_xlfn.IFS(EA$1= 0,"", NOT(ISBLANK(CS32)), 0, ISBLANK(CS32), $Q32-$S32+BE32-CB32-DJ32)</f>
        <v>20.855184771057125</v>
      </c>
      <c r="EB32" s="192" t="str" cm="1">
        <f t="array" ref="EB32">_xlfn.IFS(EB$1= 0,"", NOT(ISBLANK(CT32)), 0, ISBLANK(CT32), $Q32-$S32+BF32-CC32-DK32)</f>
        <v/>
      </c>
      <c r="EC32" s="192" t="str" cm="1">
        <f t="array" ref="EC32">_xlfn.IFS(EC$1= 0,"", NOT(ISBLANK(CU32)), 0, ISBLANK(CU32), $Q32-$S32+BG32-CD32-DL32)</f>
        <v/>
      </c>
      <c r="ED32" s="192" t="str" cm="1">
        <f t="array" ref="ED32">_xlfn.IFS(ED$1= 0,"", NOT(ISBLANK(CV32)), 0, ISBLANK(CV32), $Q32-$S32+BH32-CE32-DM32)</f>
        <v/>
      </c>
      <c r="EE32" s="192" t="str" cm="1">
        <f t="array" ref="EE32">_xlfn.IFS(EE$1= 0,"", NOT(ISBLANK(CW32)), 0, ISBLANK(CW32), $Q32-$S32+BI32-CF32-DN32)</f>
        <v/>
      </c>
      <c r="EF32" s="192" t="str" cm="1">
        <f t="array" ref="EF32">_xlfn.IFS(EF$1= 0,"", NOT(ISBLANK(CX32)), 0, ISBLANK(CX32), $Q32-$S32+BJ32-CG32-DO32)</f>
        <v/>
      </c>
      <c r="EG32" s="192" t="str" cm="1">
        <f t="array" ref="EG32">_xlfn.IFS(EG$1= 0,"", NOT(ISBLANK(CY32)), 0, ISBLANK(CY32), $Q32-$S32+BK32-CH32-DP32)</f>
        <v/>
      </c>
      <c r="EH32" s="192" t="str" cm="1">
        <f t="array" ref="EH32">_xlfn.IFS(EH$1= 0,"", NOT(ISBLANK(CZ32)), 0, ISBLANK(CZ32), $Q32-$S32+BL32-CI32-DQ32)</f>
        <v/>
      </c>
      <c r="EI32" s="193" t="str" cm="1">
        <f t="array" ref="EI32">_xlfn.IFS(EI$1= 0,"", NOT(ISBLANK(DA32)), 0, ISBLANK(DA32), $Q32-$S32+BM32-CJ32-DR32)</f>
        <v/>
      </c>
    </row>
    <row r="33" spans="1:139" ht="16.5" customHeight="1" x14ac:dyDescent="0.3">
      <c r="A33" s="183">
        <v>1</v>
      </c>
      <c r="B33" s="134" t="s">
        <v>268</v>
      </c>
      <c r="C33" s="134" t="s">
        <v>87</v>
      </c>
      <c r="D33" s="135" t="s">
        <v>86</v>
      </c>
      <c r="E33" s="166" t="s">
        <v>259</v>
      </c>
      <c r="F33" s="174"/>
      <c r="G33" s="3"/>
      <c r="H33" s="3"/>
      <c r="I33" s="3"/>
      <c r="J33" s="3"/>
      <c r="K33" s="3"/>
      <c r="L33" s="3"/>
      <c r="M33" s="178"/>
      <c r="N33" s="174">
        <v>65.873120921161103</v>
      </c>
      <c r="O33" s="175">
        <v>0</v>
      </c>
      <c r="P33" s="169">
        <v>1</v>
      </c>
      <c r="Q33" s="122">
        <f t="shared" si="18"/>
        <v>66</v>
      </c>
      <c r="R33" s="2">
        <v>2</v>
      </c>
      <c r="S33" s="2"/>
      <c r="T33" s="3">
        <v>207.15</v>
      </c>
      <c r="U33" s="3">
        <v>116.06</v>
      </c>
      <c r="V33" s="104">
        <f t="shared" si="2"/>
        <v>75</v>
      </c>
      <c r="W33" s="78">
        <v>73</v>
      </c>
      <c r="X33" s="136">
        <v>2</v>
      </c>
      <c r="Z33" s="110" t="s">
        <v>103</v>
      </c>
      <c r="AA33" s="108">
        <v>225.28</v>
      </c>
      <c r="AB33" s="49">
        <v>90.65</v>
      </c>
      <c r="AC33" s="102">
        <v>75.400000000000006</v>
      </c>
      <c r="AD33" s="49">
        <v>227.92</v>
      </c>
      <c r="AE33" s="49">
        <v>77.78</v>
      </c>
      <c r="AF33" s="50">
        <v>75.400000000000006</v>
      </c>
      <c r="AH33" s="185" cm="1">
        <f t="array" ref="AH33">IF(OR(AH$1=0, $A33="", _xlfn.XLOOKUP(AH$1, $Z$2:$Z$18, $AD$2:$AD$18, "")=""),"",SQRT((_xlfn.XLOOKUP(AH$1,$Z$2:$Z$18,$AA$2:$AA$18)-$T33)^2+(_xlfn.XLOOKUP(AH$1,$Z$2:$Z$18,$AB$2:$AB$18)-$U33)^2+(_xlfn.XLOOKUP(AH$1,$Z$2:$Z$18,$AC$2:$AC$18-$V33)^2)))</f>
        <v>249.01013252476295</v>
      </c>
      <c r="AI33" s="124" cm="1">
        <f t="array" ref="AI33">IF(OR(AI$1=0, $A33="", _xlfn.XLOOKUP(AI$1, $Z$2:$Z$18, $AD$2:$AD$18, "")=""),"",SQRT((_xlfn.XLOOKUP(AI$1,$Z$2:$Z$18,$AA$2:$AA$18)-$T33)^2+(_xlfn.XLOOKUP(AI$1,$Z$2:$Z$18,$AB$2:$AB$18)-$U33)^2+(_xlfn.XLOOKUP(AI$1,$Z$2:$Z$18,$AC$2:$AC$18-$V33)^2)))</f>
        <v>176.79754098968684</v>
      </c>
      <c r="AJ33" s="124" cm="1">
        <f t="array" ref="AJ33">IF(OR(AJ$1=0, $A33="", _xlfn.XLOOKUP(AJ$1, $Z$2:$Z$18, $AD$2:$AD$18, "")=""),"",SQRT((_xlfn.XLOOKUP(AJ$1,$Z$2:$Z$18,$AA$2:$AA$18)-$T33)^2+(_xlfn.XLOOKUP(AJ$1,$Z$2:$Z$18,$AB$2:$AB$18)-$U33)^2+(_xlfn.XLOOKUP(AJ$1,$Z$2:$Z$18,$AC$2:$AC$18-$V33)^2)))</f>
        <v>125.47121183761637</v>
      </c>
      <c r="AK33" s="124" cm="1">
        <f t="array" ref="AK33">IF(OR(AK$1=0, $A33="", _xlfn.XLOOKUP(AK$1, $Z$2:$Z$18, $AD$2:$AD$18, "")=""),"",SQRT((_xlfn.XLOOKUP(AK$1,$Z$2:$Z$18,$AA$2:$AA$18)-$T33)^2+(_xlfn.XLOOKUP(AK$1,$Z$2:$Z$18,$AB$2:$AB$18)-$U33)^2+(_xlfn.XLOOKUP(AK$1,$Z$2:$Z$18,$AC$2:$AC$18-$V33)^2)))</f>
        <v>95.266432703234997</v>
      </c>
      <c r="AL33" s="124" cm="1">
        <f t="array" ref="AL33">IF(OR(AL$1=0, $A33="", _xlfn.XLOOKUP(AL$1, $Z$2:$Z$18, $AD$2:$AD$18, "")=""),"",SQRT((_xlfn.XLOOKUP(AL$1,$Z$2:$Z$18,$AA$2:$AA$18)-$T33)^2+(_xlfn.XLOOKUP(AL$1,$Z$2:$Z$18,$AB$2:$AB$18)-$U33)^2+(_xlfn.XLOOKUP(AL$1,$Z$2:$Z$18,$AC$2:$AC$18-$V33)^2)))</f>
        <v>118.87861119646378</v>
      </c>
      <c r="AM33" s="124" cm="1">
        <f t="array" ref="AM33">IF(OR(AM$1=0, $A33="", _xlfn.XLOOKUP(AM$1, $Z$2:$Z$18, $AD$2:$AD$18, "")=""),"",SQRT((_xlfn.XLOOKUP(AM$1,$Z$2:$Z$18,$AA$2:$AA$18)-$T33)^2+(_xlfn.XLOOKUP(AM$1,$Z$2:$Z$18,$AB$2:$AB$18)-$U33)^2+(_xlfn.XLOOKUP(AM$1,$Z$2:$Z$18,$AC$2:$AC$18-$V33)^2)))</f>
        <v>218.35086283319333</v>
      </c>
      <c r="AN33" s="124" cm="1">
        <f t="array" ref="AN33">IF(OR(AN$1=0, $A33="", _xlfn.XLOOKUP(AN$1, $Z$2:$Z$18, $AD$2:$AD$18, "")=""),"",SQRT((_xlfn.XLOOKUP(AN$1,$Z$2:$Z$18,$AA$2:$AA$18)-$T33)^2+(_xlfn.XLOOKUP(AN$1,$Z$2:$Z$18,$AB$2:$AB$18)-$U33)^2+(_xlfn.XLOOKUP(AN$1,$Z$2:$Z$18,$AC$2:$AC$18-$V33)^2)))</f>
        <v>218.35086283319333</v>
      </c>
      <c r="AO33" s="124" t="str" cm="1">
        <f t="array" ref="AO33">IF(OR(AO$1=0, $A33="", _xlfn.XLOOKUP(AO$1, $Z$2:$Z$18, $AD$2:$AD$18, "")=""),"",SQRT((_xlfn.XLOOKUP(AO$1,$Z$2:$Z$18,$AA$2:$AA$18)-$T33)^2+(_xlfn.XLOOKUP(AO$1,$Z$2:$Z$18,$AB$2:$AB$18)-$U33)^2+(_xlfn.XLOOKUP(AO$1,$Z$2:$Z$18,$AC$2:$AC$18-$V33)^2)))</f>
        <v/>
      </c>
      <c r="AP33" s="125" t="str" cm="1">
        <f t="array" ref="AP33">IF(OR(AP$1=0, $A33="", _xlfn.XLOOKUP(AP$1, $Z$2:$Z$18, $AD$2:$AD$18, "")=""),"",SQRT((_xlfn.XLOOKUP(AP$1,$Z$2:$Z$18,$AA$2:$AA$18)-$T33)^2+(_xlfn.XLOOKUP(AP$1,$Z$2:$Z$18,$AB$2:$AB$18)-$U33)^2+(_xlfn.XLOOKUP(AP$1,$Z$2:$Z$18,$AC$2:$AC$18-$V33)^2)))</f>
        <v/>
      </c>
      <c r="AQ33" s="125" t="str" cm="1">
        <f t="array" ref="AQ33">IF(OR(AQ$1=0, $A33="", _xlfn.XLOOKUP(AQ$1, $Z$2:$Z$18, $AD$2:$AD$18, "")=""),"",SQRT((_xlfn.XLOOKUP(AQ$1,$Z$2:$Z$18,$AA$2:$AA$18)-$T33)^2+(_xlfn.XLOOKUP(AQ$1,$Z$2:$Z$18,$AB$2:$AB$18)-$U33)^2+(_xlfn.XLOOKUP(AQ$1,$Z$2:$Z$18,$AC$2:$AC$18-$V33)^2)))</f>
        <v/>
      </c>
      <c r="AR33" s="125" t="str" cm="1">
        <f t="array" ref="AR33">IF(OR(AR$1=0, $A33="", _xlfn.XLOOKUP(AR$1, $Z$2:$Z$18, $AD$2:$AD$18, "")=""),"",SQRT((_xlfn.XLOOKUP(AR$1,$Z$2:$Z$18,$AA$2:$AA$18)-$T33)^2+(_xlfn.XLOOKUP(AR$1,$Z$2:$Z$18,$AB$2:$AB$18)-$U33)^2+(_xlfn.XLOOKUP(AR$1,$Z$2:$Z$18,$AC$2:$AC$18-$V33)^2)))</f>
        <v/>
      </c>
      <c r="AS33" s="125" t="str" cm="1">
        <f t="array" ref="AS33">IF(OR(AS$1=0, $A33="", _xlfn.XLOOKUP(AS$1, $Z$2:$Z$18, $AD$2:$AD$18, "")=""),"",SQRT((_xlfn.XLOOKUP(AS$1,$Z$2:$Z$18,$AA$2:$AA$18)-$T33)^2+(_xlfn.XLOOKUP(AS$1,$Z$2:$Z$18,$AB$2:$AB$18)-$U33)^2+(_xlfn.XLOOKUP(AS$1,$Z$2:$Z$18,$AC$2:$AC$18-$V33)^2)))</f>
        <v/>
      </c>
      <c r="AT33" s="125" t="str" cm="1">
        <f t="array" ref="AT33">IF(OR(AT$1=0, $A33="", _xlfn.XLOOKUP(AT$1, $Z$2:$Z$18, $AD$2:$AD$18, "")=""),"",SQRT((_xlfn.XLOOKUP(AT$1,$Z$2:$Z$18,$AA$2:$AA$18)-$T33)^2+(_xlfn.XLOOKUP(AT$1,$Z$2:$Z$18,$AB$2:$AB$18)-$U33)^2+(_xlfn.XLOOKUP(AT$1,$Z$2:$Z$18,$AC$2:$AC$18-$V33)^2)))</f>
        <v/>
      </c>
      <c r="AU33" s="125" t="str" cm="1">
        <f t="array" ref="AU33">IF(OR(AU$1=0, $A33="", _xlfn.XLOOKUP(AU$1, $Z$2:$Z$18, $AD$2:$AD$18, "")=""),"",SQRT((_xlfn.XLOOKUP(AU$1,$Z$2:$Z$18,$AA$2:$AA$18)-$T33)^2+(_xlfn.XLOOKUP(AU$1,$Z$2:$Z$18,$AB$2:$AB$18)-$U33)^2+(_xlfn.XLOOKUP(AU$1,$Z$2:$Z$18,$AC$2:$AC$18-$V33)^2)))</f>
        <v/>
      </c>
      <c r="AV33" s="126" t="str" cm="1">
        <f t="array" ref="AV33">IF(OR(AV$1=0, $A33="", _xlfn.XLOOKUP(AV$1, $Z$2:$Z$18, $AD$2:$AD$18, "")=""),"",SQRT((_xlfn.XLOOKUP(AV$1,$Z$2:$Z$18,$AA$2:$AA$18)-$T33)^2+(_xlfn.XLOOKUP(AV$1,$Z$2:$Z$18,$AB$2:$AB$18)-$U33)^2+(_xlfn.XLOOKUP(AV$1,$Z$2:$Z$18,$AC$2:$AC$18-$V33)^2)))</f>
        <v/>
      </c>
      <c r="AW33" s="127"/>
      <c r="AX33" s="127"/>
      <c r="AY33" s="128">
        <f t="shared" si="3"/>
        <v>-45.586438325438323</v>
      </c>
      <c r="AZ33" s="137">
        <f t="shared" si="4"/>
        <v>-42.611622342550788</v>
      </c>
      <c r="BA33" s="137">
        <f t="shared" si="5"/>
        <v>-39.6329797880542</v>
      </c>
      <c r="BB33" s="137">
        <f t="shared" si="6"/>
        <v>-37.240896000115697</v>
      </c>
      <c r="BC33" s="137">
        <f t="shared" si="7"/>
        <v>-39.164172392645419</v>
      </c>
      <c r="BD33" s="137">
        <f t="shared" si="8"/>
        <v>-44.445196185226301</v>
      </c>
      <c r="BE33" s="137">
        <f t="shared" si="9"/>
        <v>-44.445196185226301</v>
      </c>
      <c r="BF33" s="137">
        <f t="shared" si="10"/>
        <v>0</v>
      </c>
      <c r="BG33" s="138">
        <f t="shared" si="11"/>
        <v>0</v>
      </c>
      <c r="BH33" s="138">
        <f t="shared" si="12"/>
        <v>0</v>
      </c>
      <c r="BI33" s="138">
        <f t="shared" si="13"/>
        <v>0</v>
      </c>
      <c r="BJ33" s="138">
        <f t="shared" si="14"/>
        <v>0</v>
      </c>
      <c r="BK33" s="138">
        <f t="shared" si="15"/>
        <v>0</v>
      </c>
      <c r="BL33" s="138">
        <f t="shared" si="16"/>
        <v>0</v>
      </c>
      <c r="BM33" s="139">
        <f t="shared" si="17"/>
        <v>0</v>
      </c>
      <c r="BN33" s="127"/>
      <c r="BO33" s="45" t="str">
        <f>_xlfn.TEXTJOIN(" to ",TRUE,'Input LwA_XYZ'!BP4:BP5)</f>
        <v>MAU-R1 to R1</v>
      </c>
      <c r="BP33" s="18"/>
      <c r="BQ33" s="18"/>
      <c r="BR33" s="18"/>
      <c r="BS33" s="18"/>
      <c r="BT33" s="127"/>
      <c r="BU33" s="127"/>
      <c r="BV33" s="133"/>
      <c r="BW33" s="133">
        <v>7</v>
      </c>
      <c r="BX33" s="133">
        <v>12</v>
      </c>
      <c r="BY33" s="133">
        <v>15</v>
      </c>
      <c r="BZ33" s="133">
        <v>0</v>
      </c>
      <c r="CA33" s="133">
        <v>6</v>
      </c>
      <c r="CB33" s="133"/>
      <c r="CC33" s="133"/>
      <c r="CD33" s="133"/>
      <c r="CE33" s="133"/>
      <c r="CF33" s="133"/>
      <c r="CG33" s="133"/>
      <c r="CH33" s="133"/>
      <c r="CI33" s="133"/>
      <c r="CJ33" s="133"/>
      <c r="CL33" s="127"/>
      <c r="CM33" s="133" t="s">
        <v>32</v>
      </c>
      <c r="CN33" s="133"/>
      <c r="CO33" s="133" t="s">
        <v>32</v>
      </c>
      <c r="CP33" s="133" t="s">
        <v>32</v>
      </c>
      <c r="CQ33" s="133" t="s">
        <v>32</v>
      </c>
      <c r="CR33" s="133" t="s">
        <v>32</v>
      </c>
      <c r="CS33" s="133"/>
      <c r="CT33" s="133"/>
      <c r="CU33" s="133"/>
      <c r="CV33" s="133"/>
      <c r="CW33" s="133"/>
      <c r="CX33" s="133"/>
      <c r="CY33" s="133"/>
      <c r="CZ33" s="133"/>
      <c r="DA33" s="133"/>
      <c r="DB33" s="127"/>
      <c r="DC33" s="127"/>
      <c r="DD33" s="133"/>
      <c r="DE33" s="133"/>
      <c r="DF33" s="133"/>
      <c r="DG33" s="133"/>
      <c r="DH33" s="133"/>
      <c r="DI33" s="133"/>
      <c r="DJ33" s="133"/>
      <c r="DK33" s="133"/>
      <c r="DL33" s="133"/>
      <c r="DM33" s="133"/>
      <c r="DN33" s="133"/>
      <c r="DO33" s="133"/>
      <c r="DP33" s="133"/>
      <c r="DQ33" s="133"/>
      <c r="DR33" s="133"/>
      <c r="DT33" s="127"/>
      <c r="DU33" s="191" cm="1">
        <f t="array" ref="DU33">_xlfn.IFS(DU$1= 0,"", NOT(ISBLANK(CM33)), 0, ISBLANK(CM33), $Q33-$S33+AY33-BV33-DD33)</f>
        <v>0</v>
      </c>
      <c r="DV33" s="192" cm="1">
        <f t="array" ref="DV33">_xlfn.IFS(DV$1= 0,"", NOT(ISBLANK(CN33)), 0, ISBLANK(CN33), $Q33-$S33+AZ33-BW33-DE33)</f>
        <v>16.388377657449212</v>
      </c>
      <c r="DW33" s="192" cm="1">
        <f t="array" ref="DW33">_xlfn.IFS(DW$1= 0,"", NOT(ISBLANK(CO33)), 0, ISBLANK(CO33), $Q33-$S33+BA33-BX33-DF33)</f>
        <v>0</v>
      </c>
      <c r="DX33" s="192" cm="1">
        <f t="array" ref="DX33">_xlfn.IFS(DX$1= 0,"", NOT(ISBLANK(CP33)), 0, ISBLANK(CP33), $Q33-$S33+BB33-BY33-DG33)</f>
        <v>0</v>
      </c>
      <c r="DY33" s="192" cm="1">
        <f t="array" ref="DY33">_xlfn.IFS(DY$1= 0,"", NOT(ISBLANK(CQ33)), 0, ISBLANK(CQ33), $Q33-$S33+BC33-BZ33-DH33)</f>
        <v>0</v>
      </c>
      <c r="DZ33" s="192" cm="1">
        <f t="array" ref="DZ33">_xlfn.IFS(DZ$1= 0,"", NOT(ISBLANK(CR33)), 0, ISBLANK(CR33), $Q33-$S33+BD33-CA33-DI33)</f>
        <v>0</v>
      </c>
      <c r="EA33" s="192" cm="1">
        <f t="array" ref="EA33">_xlfn.IFS(EA$1= 0,"", NOT(ISBLANK(CS33)), 0, ISBLANK(CS33), $Q33-$S33+BE33-CB33-DJ33)</f>
        <v>21.554803814773699</v>
      </c>
      <c r="EB33" s="192" t="str" cm="1">
        <f t="array" ref="EB33">_xlfn.IFS(EB$1= 0,"", NOT(ISBLANK(CT33)), 0, ISBLANK(CT33), $Q33-$S33+BF33-CC33-DK33)</f>
        <v/>
      </c>
      <c r="EC33" s="192" t="str" cm="1">
        <f t="array" ref="EC33">_xlfn.IFS(EC$1= 0,"", NOT(ISBLANK(CU33)), 0, ISBLANK(CU33), $Q33-$S33+BG33-CD33-DL33)</f>
        <v/>
      </c>
      <c r="ED33" s="192" t="str" cm="1">
        <f t="array" ref="ED33">_xlfn.IFS(ED$1= 0,"", NOT(ISBLANK(CV33)), 0, ISBLANK(CV33), $Q33-$S33+BH33-CE33-DM33)</f>
        <v/>
      </c>
      <c r="EE33" s="192" t="str" cm="1">
        <f t="array" ref="EE33">_xlfn.IFS(EE$1= 0,"", NOT(ISBLANK(CW33)), 0, ISBLANK(CW33), $Q33-$S33+BI33-CF33-DN33)</f>
        <v/>
      </c>
      <c r="EF33" s="192" t="str" cm="1">
        <f t="array" ref="EF33">_xlfn.IFS(EF$1= 0,"", NOT(ISBLANK(CX33)), 0, ISBLANK(CX33), $Q33-$S33+BJ33-CG33-DO33)</f>
        <v/>
      </c>
      <c r="EG33" s="192" t="str" cm="1">
        <f t="array" ref="EG33">_xlfn.IFS(EG$1= 0,"", NOT(ISBLANK(CY33)), 0, ISBLANK(CY33), $Q33-$S33+BK33-CH33-DP33)</f>
        <v/>
      </c>
      <c r="EH33" s="192" t="str" cm="1">
        <f t="array" ref="EH33">_xlfn.IFS(EH$1= 0,"", NOT(ISBLANK(CZ33)), 0, ISBLANK(CZ33), $Q33-$S33+BL33-CI33-DQ33)</f>
        <v/>
      </c>
      <c r="EI33" s="193" t="str" cm="1">
        <f t="array" ref="EI33">_xlfn.IFS(EI$1= 0,"", NOT(ISBLANK(DA33)), 0, ISBLANK(DA33), $Q33-$S33+BM33-CJ33-DR33)</f>
        <v/>
      </c>
    </row>
    <row r="34" spans="1:139" ht="16.5" customHeight="1" x14ac:dyDescent="0.3">
      <c r="A34" s="183">
        <v>1</v>
      </c>
      <c r="B34" s="134" t="s">
        <v>269</v>
      </c>
      <c r="C34" s="134" t="s">
        <v>87</v>
      </c>
      <c r="D34" s="135" t="s">
        <v>86</v>
      </c>
      <c r="E34" s="166" t="s">
        <v>259</v>
      </c>
      <c r="F34" s="174"/>
      <c r="G34" s="3"/>
      <c r="H34" s="3"/>
      <c r="I34" s="3"/>
      <c r="J34" s="3"/>
      <c r="K34" s="3"/>
      <c r="L34" s="3"/>
      <c r="M34" s="178"/>
      <c r="N34" s="174">
        <v>65.873120921161103</v>
      </c>
      <c r="O34" s="175">
        <v>0</v>
      </c>
      <c r="P34" s="169">
        <v>1</v>
      </c>
      <c r="Q34" s="122">
        <f t="shared" si="18"/>
        <v>66</v>
      </c>
      <c r="R34" s="2">
        <v>2</v>
      </c>
      <c r="S34" s="2"/>
      <c r="T34" s="3">
        <v>137.30000000000001</v>
      </c>
      <c r="U34" s="3">
        <v>136.91999999999999</v>
      </c>
      <c r="V34" s="104">
        <f t="shared" si="2"/>
        <v>75</v>
      </c>
      <c r="W34" s="78">
        <v>73</v>
      </c>
      <c r="X34" s="136">
        <v>2</v>
      </c>
      <c r="Z34" s="110" t="s">
        <v>118</v>
      </c>
      <c r="AA34" s="108">
        <v>209.12</v>
      </c>
      <c r="AB34" s="49">
        <v>88.44</v>
      </c>
      <c r="AC34" s="102">
        <v>75.400000000000006</v>
      </c>
      <c r="AD34" s="49">
        <v>224.19</v>
      </c>
      <c r="AE34" s="49">
        <v>91.3</v>
      </c>
      <c r="AF34" s="50">
        <v>75.400000000000006</v>
      </c>
      <c r="AH34" s="185" cm="1">
        <f t="array" ref="AH34">IF(OR(AH$1=0, $A34="", _xlfn.XLOOKUP(AH$1, $Z$2:$Z$18, $AD$2:$AD$18, "")=""),"",SQRT((_xlfn.XLOOKUP(AH$1,$Z$2:$Z$18,$AA$2:$AA$18)-$T34)^2+(_xlfn.XLOOKUP(AH$1,$Z$2:$Z$18,$AB$2:$AB$18)-$U34)^2+(_xlfn.XLOOKUP(AH$1,$Z$2:$Z$18,$AC$2:$AC$18-$V34)^2)))</f>
        <v>207.9023241813328</v>
      </c>
      <c r="AI34" s="124" cm="1">
        <f t="array" ref="AI34">IF(OR(AI$1=0, $A34="", _xlfn.XLOOKUP(AI$1, $Z$2:$Z$18, $AD$2:$AD$18, "")=""),"",SQRT((_xlfn.XLOOKUP(AI$1,$Z$2:$Z$18,$AA$2:$AA$18)-$T34)^2+(_xlfn.XLOOKUP(AI$1,$Z$2:$Z$18,$AB$2:$AB$18)-$U34)^2+(_xlfn.XLOOKUP(AI$1,$Z$2:$Z$18,$AC$2:$AC$18-$V34)^2)))</f>
        <v>116.41241514546462</v>
      </c>
      <c r="AJ34" s="124" cm="1">
        <f t="array" ref="AJ34">IF(OR(AJ$1=0, $A34="", _xlfn.XLOOKUP(AJ$1, $Z$2:$Z$18, $AD$2:$AD$18, "")=""),"",SQRT((_xlfn.XLOOKUP(AJ$1,$Z$2:$Z$18,$AA$2:$AA$18)-$T34)^2+(_xlfn.XLOOKUP(AJ$1,$Z$2:$Z$18,$AB$2:$AB$18)-$U34)^2+(_xlfn.XLOOKUP(AJ$1,$Z$2:$Z$18,$AC$2:$AC$18-$V34)^2)))</f>
        <v>96.820477689381377</v>
      </c>
      <c r="AK34" s="124" cm="1">
        <f t="array" ref="AK34">IF(OR(AK$1=0, $A34="", _xlfn.XLOOKUP(AK$1, $Z$2:$Z$18, $AD$2:$AD$18, "")=""),"",SQRT((_xlfn.XLOOKUP(AK$1,$Z$2:$Z$18,$AA$2:$AA$18)-$T34)^2+(_xlfn.XLOOKUP(AK$1,$Z$2:$Z$18,$AB$2:$AB$18)-$U34)^2+(_xlfn.XLOOKUP(AK$1,$Z$2:$Z$18,$AC$2:$AC$18-$V34)^2)))</f>
        <v>140.25198929070487</v>
      </c>
      <c r="AL34" s="124" cm="1">
        <f t="array" ref="AL34">IF(OR(AL$1=0, $A34="", _xlfn.XLOOKUP(AL$1, $Z$2:$Z$18, $AD$2:$AD$18, "")=""),"",SQRT((_xlfn.XLOOKUP(AL$1,$Z$2:$Z$18,$AA$2:$AA$18)-$T34)^2+(_xlfn.XLOOKUP(AL$1,$Z$2:$Z$18,$AB$2:$AB$18)-$U34)^2+(_xlfn.XLOOKUP(AL$1,$Z$2:$Z$18,$AC$2:$AC$18-$V34)^2)))</f>
        <v>189.74701710435397</v>
      </c>
      <c r="AM34" s="124" cm="1">
        <f t="array" ref="AM34">IF(OR(AM$1=0, $A34="", _xlfn.XLOOKUP(AM$1, $Z$2:$Z$18, $AD$2:$AD$18, "")=""),"",SQRT((_xlfn.XLOOKUP(AM$1,$Z$2:$Z$18,$AA$2:$AA$18)-$T34)^2+(_xlfn.XLOOKUP(AM$1,$Z$2:$Z$18,$AB$2:$AB$18)-$U34)^2+(_xlfn.XLOOKUP(AM$1,$Z$2:$Z$18,$AC$2:$AC$18-$V34)^2)))</f>
        <v>148.19370094575547</v>
      </c>
      <c r="AN34" s="124" cm="1">
        <f t="array" ref="AN34">IF(OR(AN$1=0, $A34="", _xlfn.XLOOKUP(AN$1, $Z$2:$Z$18, $AD$2:$AD$18, "")=""),"",SQRT((_xlfn.XLOOKUP(AN$1,$Z$2:$Z$18,$AA$2:$AA$18)-$T34)^2+(_xlfn.XLOOKUP(AN$1,$Z$2:$Z$18,$AB$2:$AB$18)-$U34)^2+(_xlfn.XLOOKUP(AN$1,$Z$2:$Z$18,$AC$2:$AC$18-$V34)^2)))</f>
        <v>148.19370094575547</v>
      </c>
      <c r="AO34" s="124" t="str" cm="1">
        <f t="array" ref="AO34">IF(OR(AO$1=0, $A34="", _xlfn.XLOOKUP(AO$1, $Z$2:$Z$18, $AD$2:$AD$18, "")=""),"",SQRT((_xlfn.XLOOKUP(AO$1,$Z$2:$Z$18,$AA$2:$AA$18)-$T34)^2+(_xlfn.XLOOKUP(AO$1,$Z$2:$Z$18,$AB$2:$AB$18)-$U34)^2+(_xlfn.XLOOKUP(AO$1,$Z$2:$Z$18,$AC$2:$AC$18-$V34)^2)))</f>
        <v/>
      </c>
      <c r="AP34" s="125" t="str" cm="1">
        <f t="array" ref="AP34">IF(OR(AP$1=0, $A34="", _xlfn.XLOOKUP(AP$1, $Z$2:$Z$18, $AD$2:$AD$18, "")=""),"",SQRT((_xlfn.XLOOKUP(AP$1,$Z$2:$Z$18,$AA$2:$AA$18)-$T34)^2+(_xlfn.XLOOKUP(AP$1,$Z$2:$Z$18,$AB$2:$AB$18)-$U34)^2+(_xlfn.XLOOKUP(AP$1,$Z$2:$Z$18,$AC$2:$AC$18-$V34)^2)))</f>
        <v/>
      </c>
      <c r="AQ34" s="125" t="str" cm="1">
        <f t="array" ref="AQ34">IF(OR(AQ$1=0, $A34="", _xlfn.XLOOKUP(AQ$1, $Z$2:$Z$18, $AD$2:$AD$18, "")=""),"",SQRT((_xlfn.XLOOKUP(AQ$1,$Z$2:$Z$18,$AA$2:$AA$18)-$T34)^2+(_xlfn.XLOOKUP(AQ$1,$Z$2:$Z$18,$AB$2:$AB$18)-$U34)^2+(_xlfn.XLOOKUP(AQ$1,$Z$2:$Z$18,$AC$2:$AC$18-$V34)^2)))</f>
        <v/>
      </c>
      <c r="AR34" s="125" t="str" cm="1">
        <f t="array" ref="AR34">IF(OR(AR$1=0, $A34="", _xlfn.XLOOKUP(AR$1, $Z$2:$Z$18, $AD$2:$AD$18, "")=""),"",SQRT((_xlfn.XLOOKUP(AR$1,$Z$2:$Z$18,$AA$2:$AA$18)-$T34)^2+(_xlfn.XLOOKUP(AR$1,$Z$2:$Z$18,$AB$2:$AB$18)-$U34)^2+(_xlfn.XLOOKUP(AR$1,$Z$2:$Z$18,$AC$2:$AC$18-$V34)^2)))</f>
        <v/>
      </c>
      <c r="AS34" s="125" t="str" cm="1">
        <f t="array" ref="AS34">IF(OR(AS$1=0, $A34="", _xlfn.XLOOKUP(AS$1, $Z$2:$Z$18, $AD$2:$AD$18, "")=""),"",SQRT((_xlfn.XLOOKUP(AS$1,$Z$2:$Z$18,$AA$2:$AA$18)-$T34)^2+(_xlfn.XLOOKUP(AS$1,$Z$2:$Z$18,$AB$2:$AB$18)-$U34)^2+(_xlfn.XLOOKUP(AS$1,$Z$2:$Z$18,$AC$2:$AC$18-$V34)^2)))</f>
        <v/>
      </c>
      <c r="AT34" s="125" t="str" cm="1">
        <f t="array" ref="AT34">IF(OR(AT$1=0, $A34="", _xlfn.XLOOKUP(AT$1, $Z$2:$Z$18, $AD$2:$AD$18, "")=""),"",SQRT((_xlfn.XLOOKUP(AT$1,$Z$2:$Z$18,$AA$2:$AA$18)-$T34)^2+(_xlfn.XLOOKUP(AT$1,$Z$2:$Z$18,$AB$2:$AB$18)-$U34)^2+(_xlfn.XLOOKUP(AT$1,$Z$2:$Z$18,$AC$2:$AC$18-$V34)^2)))</f>
        <v/>
      </c>
      <c r="AU34" s="125" t="str" cm="1">
        <f t="array" ref="AU34">IF(OR(AU$1=0, $A34="", _xlfn.XLOOKUP(AU$1, $Z$2:$Z$18, $AD$2:$AD$18, "")=""),"",SQRT((_xlfn.XLOOKUP(AU$1,$Z$2:$Z$18,$AA$2:$AA$18)-$T34)^2+(_xlfn.XLOOKUP(AU$1,$Z$2:$Z$18,$AB$2:$AB$18)-$U34)^2+(_xlfn.XLOOKUP(AU$1,$Z$2:$Z$18,$AC$2:$AC$18-$V34)^2)))</f>
        <v/>
      </c>
      <c r="AV34" s="126" t="str" cm="1">
        <f t="array" ref="AV34">IF(OR(AV$1=0, $A34="", _xlfn.XLOOKUP(AV$1, $Z$2:$Z$18, $AD$2:$AD$18, "")=""),"",SQRT((_xlfn.XLOOKUP(AV$1,$Z$2:$Z$18,$AA$2:$AA$18)-$T34)^2+(_xlfn.XLOOKUP(AV$1,$Z$2:$Z$18,$AB$2:$AB$18)-$U34)^2+(_xlfn.XLOOKUP(AV$1,$Z$2:$Z$18,$AC$2:$AC$18-$V34)^2)))</f>
        <v/>
      </c>
      <c r="AW34" s="127"/>
      <c r="AX34" s="127"/>
      <c r="AY34" s="128">
        <f t="shared" ref="AY34:AY58" si="19">IFERROR(-ABS(10*LOG10(($R34/(4*PI()*CONVERT(AH34,"ft","m")^2)))),0)</f>
        <v>-44.019284825388219</v>
      </c>
      <c r="AZ34" s="137">
        <f t="shared" ref="AZ34:AZ58" si="20">IFERROR(-ABS(10*LOG10(($R34/(4*PI()*CONVERT(AI34,"ft","m")^2)))),0)</f>
        <v>-38.982083924935459</v>
      </c>
      <c r="BA34" s="137">
        <f t="shared" ref="BA34:BA58" si="21">IFERROR(-ABS(10*LOG10(($R34/(4*PI()*CONVERT(AJ34,"ft","m")^2)))),0)</f>
        <v>-37.381442357264618</v>
      </c>
      <c r="BB34" s="137">
        <f t="shared" ref="BB34:BB58" si="22">IFERROR(-ABS(10*LOG10(($R34/(4*PI()*CONVERT(AK34,"ft","m")^2)))),0)</f>
        <v>-40.600278534334045</v>
      </c>
      <c r="BC34" s="137">
        <f t="shared" ref="BC34:BC58" si="23">IFERROR(-ABS(10*LOG10(($R34/(4*PI()*CONVERT(AL34,"ft","m")^2)))),0)</f>
        <v>-43.225597083850445</v>
      </c>
      <c r="BD34" s="137">
        <f t="shared" ref="BD34:BD58" si="24">IFERROR(-ABS(10*LOG10(($R34/(4*PI()*CONVERT(AM34,"ft","m")^2)))),0)</f>
        <v>-41.078692819159073</v>
      </c>
      <c r="BE34" s="137">
        <f t="shared" ref="BE34:BE58" si="25">IFERROR(-ABS(10*LOG10(($R34/(4*PI()*CONVERT(AN34,"ft","m")^2)))),0)</f>
        <v>-41.078692819159073</v>
      </c>
      <c r="BF34" s="137">
        <f t="shared" ref="BF34:BF58" si="26">IFERROR(-ABS(10*LOG10(($R34/(4*PI()*CONVERT(AO34,"ft","m")^2)))),0)</f>
        <v>0</v>
      </c>
      <c r="BG34" s="138">
        <f t="shared" ref="BG34:BG58" si="27">IFERROR(-ABS(10*LOG10(($R34/(4*PI()*CONVERT(AP34,"ft","m")^2)))),0)</f>
        <v>0</v>
      </c>
      <c r="BH34" s="138">
        <f t="shared" ref="BH34:BH58" si="28">IFERROR(-ABS(10*LOG10(($R34/(4*PI()*CONVERT(AQ34,"ft","m")^2)))),0)</f>
        <v>0</v>
      </c>
      <c r="BI34" s="138">
        <f t="shared" ref="BI34:BI58" si="29">IFERROR(-ABS(10*LOG10(($R34/(4*PI()*CONVERT(AR34,"ft","m")^2)))),0)</f>
        <v>0</v>
      </c>
      <c r="BJ34" s="138">
        <f t="shared" ref="BJ34:BJ58" si="30">IFERROR(-ABS(10*LOG10(($R34/(4*PI()*CONVERT(AS34,"ft","m")^2)))),0)</f>
        <v>0</v>
      </c>
      <c r="BK34" s="138">
        <f t="shared" ref="BK34:BK58" si="31">IFERROR(-ABS(10*LOG10(($R34/(4*PI()*CONVERT(AT34,"ft","m")^2)))),0)</f>
        <v>0</v>
      </c>
      <c r="BL34" s="138">
        <f t="shared" ref="BL34:BL58" si="32">IFERROR(-ABS(10*LOG10(($R34/(4*PI()*CONVERT(AU34,"ft","m")^2)))),0)</f>
        <v>0</v>
      </c>
      <c r="BM34" s="139">
        <f t="shared" ref="BM34:BM58" si="33">IFERROR(-ABS(10*LOG10(($R34/(4*PI()*CONVERT(AV34,"ft","m")^2)))),0)</f>
        <v>0</v>
      </c>
      <c r="BN34" s="127"/>
      <c r="BO34" s="127"/>
      <c r="BP34" s="127"/>
      <c r="BQ34" s="127"/>
      <c r="BR34" s="127"/>
      <c r="BS34" s="127"/>
      <c r="BT34" s="127"/>
      <c r="BU34" s="127"/>
      <c r="BV34" s="133"/>
      <c r="BW34" s="133">
        <v>7</v>
      </c>
      <c r="BX34" s="133">
        <v>15</v>
      </c>
      <c r="BY34" s="133">
        <v>12</v>
      </c>
      <c r="BZ34" s="133">
        <v>10</v>
      </c>
      <c r="CA34" s="133">
        <v>2</v>
      </c>
      <c r="CB34" s="133"/>
      <c r="CC34" s="133"/>
      <c r="CD34" s="133"/>
      <c r="CE34" s="133"/>
      <c r="CF34" s="133"/>
      <c r="CG34" s="133"/>
      <c r="CH34" s="133"/>
      <c r="CI34" s="133"/>
      <c r="CJ34" s="133"/>
      <c r="CL34" s="127"/>
      <c r="CM34" s="133" t="s">
        <v>32</v>
      </c>
      <c r="CN34" s="133"/>
      <c r="CO34" s="133" t="s">
        <v>32</v>
      </c>
      <c r="CP34" s="133" t="s">
        <v>32</v>
      </c>
      <c r="CQ34" s="133" t="s">
        <v>32</v>
      </c>
      <c r="CR34" s="133" t="s">
        <v>32</v>
      </c>
      <c r="CS34" s="133"/>
      <c r="CT34" s="133"/>
      <c r="CU34" s="133"/>
      <c r="CV34" s="133"/>
      <c r="CW34" s="133"/>
      <c r="CX34" s="133"/>
      <c r="CY34" s="133"/>
      <c r="CZ34" s="133"/>
      <c r="DA34" s="133"/>
      <c r="DB34" s="127"/>
      <c r="DC34" s="127"/>
      <c r="DD34" s="133"/>
      <c r="DE34" s="133"/>
      <c r="DF34" s="133"/>
      <c r="DG34" s="133"/>
      <c r="DH34" s="133"/>
      <c r="DI34" s="133"/>
      <c r="DJ34" s="133"/>
      <c r="DK34" s="133"/>
      <c r="DL34" s="133"/>
      <c r="DM34" s="133"/>
      <c r="DN34" s="133"/>
      <c r="DO34" s="133"/>
      <c r="DP34" s="133"/>
      <c r="DQ34" s="133"/>
      <c r="DR34" s="133"/>
      <c r="DT34" s="127"/>
      <c r="DU34" s="191" cm="1">
        <f t="array" ref="DU34">_xlfn.IFS(DU$1= 0,"", NOT(ISBLANK(CM34)), 0, ISBLANK(CM34), $Q34-$S34+AY34-BV34-DD34)</f>
        <v>0</v>
      </c>
      <c r="DV34" s="192" cm="1">
        <f t="array" ref="DV34">_xlfn.IFS(DV$1= 0,"", NOT(ISBLANK(CN34)), 0, ISBLANK(CN34), $Q34-$S34+AZ34-BW34-DE34)</f>
        <v>20.017916075064541</v>
      </c>
      <c r="DW34" s="192" cm="1">
        <f t="array" ref="DW34">_xlfn.IFS(DW$1= 0,"", NOT(ISBLANK(CO34)), 0, ISBLANK(CO34), $Q34-$S34+BA34-BX34-DF34)</f>
        <v>0</v>
      </c>
      <c r="DX34" s="192" cm="1">
        <f t="array" ref="DX34">_xlfn.IFS(DX$1= 0,"", NOT(ISBLANK(CP34)), 0, ISBLANK(CP34), $Q34-$S34+BB34-BY34-DG34)</f>
        <v>0</v>
      </c>
      <c r="DY34" s="192" cm="1">
        <f t="array" ref="DY34">_xlfn.IFS(DY$1= 0,"", NOT(ISBLANK(CQ34)), 0, ISBLANK(CQ34), $Q34-$S34+BC34-BZ34-DH34)</f>
        <v>0</v>
      </c>
      <c r="DZ34" s="192" cm="1">
        <f t="array" ref="DZ34">_xlfn.IFS(DZ$1= 0,"", NOT(ISBLANK(CR34)), 0, ISBLANK(CR34), $Q34-$S34+BD34-CA34-DI34)</f>
        <v>0</v>
      </c>
      <c r="EA34" s="192" cm="1">
        <f t="array" ref="EA34">_xlfn.IFS(EA$1= 0,"", NOT(ISBLANK(CS34)), 0, ISBLANK(CS34), $Q34-$S34+BE34-CB34-DJ34)</f>
        <v>24.921307180840927</v>
      </c>
      <c r="EB34" s="192" t="str" cm="1">
        <f t="array" ref="EB34">_xlfn.IFS(EB$1= 0,"", NOT(ISBLANK(CT34)), 0, ISBLANK(CT34), $Q34-$S34+BF34-CC34-DK34)</f>
        <v/>
      </c>
      <c r="EC34" s="192" t="str" cm="1">
        <f t="array" ref="EC34">_xlfn.IFS(EC$1= 0,"", NOT(ISBLANK(CU34)), 0, ISBLANK(CU34), $Q34-$S34+BG34-CD34-DL34)</f>
        <v/>
      </c>
      <c r="ED34" s="192" t="str" cm="1">
        <f t="array" ref="ED34">_xlfn.IFS(ED$1= 0,"", NOT(ISBLANK(CV34)), 0, ISBLANK(CV34), $Q34-$S34+BH34-CE34-DM34)</f>
        <v/>
      </c>
      <c r="EE34" s="192" t="str" cm="1">
        <f t="array" ref="EE34">_xlfn.IFS(EE$1= 0,"", NOT(ISBLANK(CW34)), 0, ISBLANK(CW34), $Q34-$S34+BI34-CF34-DN34)</f>
        <v/>
      </c>
      <c r="EF34" s="192" t="str" cm="1">
        <f t="array" ref="EF34">_xlfn.IFS(EF$1= 0,"", NOT(ISBLANK(CX34)), 0, ISBLANK(CX34), $Q34-$S34+BJ34-CG34-DO34)</f>
        <v/>
      </c>
      <c r="EG34" s="192" t="str" cm="1">
        <f t="array" ref="EG34">_xlfn.IFS(EG$1= 0,"", NOT(ISBLANK(CY34)), 0, ISBLANK(CY34), $Q34-$S34+BK34-CH34-DP34)</f>
        <v/>
      </c>
      <c r="EH34" s="192" t="str" cm="1">
        <f t="array" ref="EH34">_xlfn.IFS(EH$1= 0,"", NOT(ISBLANK(CZ34)), 0, ISBLANK(CZ34), $Q34-$S34+BL34-CI34-DQ34)</f>
        <v/>
      </c>
      <c r="EI34" s="193" t="str" cm="1">
        <f t="array" ref="EI34">_xlfn.IFS(EI$1= 0,"", NOT(ISBLANK(DA34)), 0, ISBLANK(DA34), $Q34-$S34+BM34-CJ34-DR34)</f>
        <v/>
      </c>
    </row>
    <row r="35" spans="1:139" ht="16.5" customHeight="1" x14ac:dyDescent="0.3">
      <c r="A35" s="183">
        <v>1</v>
      </c>
      <c r="B35" s="134" t="s">
        <v>270</v>
      </c>
      <c r="C35" s="134" t="s">
        <v>87</v>
      </c>
      <c r="D35" s="135" t="s">
        <v>86</v>
      </c>
      <c r="E35" s="166" t="s">
        <v>259</v>
      </c>
      <c r="F35" s="174"/>
      <c r="G35" s="3"/>
      <c r="H35" s="3"/>
      <c r="I35" s="3"/>
      <c r="J35" s="3"/>
      <c r="K35" s="3"/>
      <c r="L35" s="3"/>
      <c r="M35" s="178"/>
      <c r="N35" s="174">
        <v>65.873120921161103</v>
      </c>
      <c r="O35" s="175">
        <v>0</v>
      </c>
      <c r="P35" s="169">
        <v>1</v>
      </c>
      <c r="Q35" s="122">
        <f t="shared" si="18"/>
        <v>66</v>
      </c>
      <c r="R35" s="2">
        <v>2</v>
      </c>
      <c r="S35" s="2"/>
      <c r="T35" s="3">
        <v>97.17</v>
      </c>
      <c r="U35" s="3">
        <v>127.06</v>
      </c>
      <c r="V35" s="104">
        <f t="shared" si="2"/>
        <v>75</v>
      </c>
      <c r="W35" s="78">
        <v>73</v>
      </c>
      <c r="X35" s="136">
        <v>2</v>
      </c>
      <c r="Z35" s="110" t="s">
        <v>119</v>
      </c>
      <c r="AA35" s="108">
        <v>209.22</v>
      </c>
      <c r="AB35" s="49">
        <v>88.44</v>
      </c>
      <c r="AC35" s="102">
        <v>75.400000000000006</v>
      </c>
      <c r="AD35" s="49">
        <v>200.97</v>
      </c>
      <c r="AE35" s="49">
        <v>131.56</v>
      </c>
      <c r="AF35" s="50">
        <v>75.400000000000006</v>
      </c>
      <c r="AH35" s="185" cm="1">
        <f t="array" ref="AH35">IF(OR(AH$1=0, $A35="", _xlfn.XLOOKUP(AH$1, $Z$2:$Z$18, $AD$2:$AD$18, "")=""),"",SQRT((_xlfn.XLOOKUP(AH$1,$Z$2:$Z$18,$AA$2:$AA$18)-$T35)^2+(_xlfn.XLOOKUP(AH$1,$Z$2:$Z$18,$AB$2:$AB$18)-$U35)^2+(_xlfn.XLOOKUP(AH$1,$Z$2:$Z$18,$AC$2:$AC$18-$V35)^2)))</f>
        <v>176.66706682344619</v>
      </c>
      <c r="AI35" s="124" cm="1">
        <f t="array" ref="AI35">IF(OR(AI$1=0, $A35="", _xlfn.XLOOKUP(AI$1, $Z$2:$Z$18, $AD$2:$AD$18, "")=""),"",SQRT((_xlfn.XLOOKUP(AI$1,$Z$2:$Z$18,$AA$2:$AA$18)-$T35)^2+(_xlfn.XLOOKUP(AI$1,$Z$2:$Z$18,$AB$2:$AB$18)-$U35)^2+(_xlfn.XLOOKUP(AI$1,$Z$2:$Z$18,$AC$2:$AC$18-$V35)^2)))</f>
        <v>76.806286852053972</v>
      </c>
      <c r="AJ35" s="124" cm="1">
        <f t="array" ref="AJ35">IF(OR(AJ$1=0, $A35="", _xlfn.XLOOKUP(AJ$1, $Z$2:$Z$18, $AD$2:$AD$18, "")=""),"",SQRT((_xlfn.XLOOKUP(AJ$1,$Z$2:$Z$18,$AA$2:$AA$18)-$T35)^2+(_xlfn.XLOOKUP(AJ$1,$Z$2:$Z$18,$AB$2:$AB$18)-$U35)^2+(_xlfn.XLOOKUP(AJ$1,$Z$2:$Z$18,$AC$2:$AC$18-$V35)^2)))</f>
        <v>82.459120781148272</v>
      </c>
      <c r="AK35" s="124" cm="1">
        <f t="array" ref="AK35">IF(OR(AK$1=0, $A35="", _xlfn.XLOOKUP(AK$1, $Z$2:$Z$18, $AD$2:$AD$18, "")=""),"",SQRT((_xlfn.XLOOKUP(AK$1,$Z$2:$Z$18,$AA$2:$AA$18)-$T35)^2+(_xlfn.XLOOKUP(AK$1,$Z$2:$Z$18,$AB$2:$AB$18)-$U35)^2+(_xlfn.XLOOKUP(AK$1,$Z$2:$Z$18,$AC$2:$AC$18-$V35)^2)))</f>
        <v>159.74798652878226</v>
      </c>
      <c r="AL35" s="124" cm="1">
        <f t="array" ref="AL35">IF(OR(AL$1=0, $A35="", _xlfn.XLOOKUP(AL$1, $Z$2:$Z$18, $AD$2:$AD$18, "")=""),"",SQRT((_xlfn.XLOOKUP(AL$1,$Z$2:$Z$18,$AA$2:$AA$18)-$T35)^2+(_xlfn.XLOOKUP(AL$1,$Z$2:$Z$18,$AB$2:$AB$18)-$U35)^2+(_xlfn.XLOOKUP(AL$1,$Z$2:$Z$18,$AC$2:$AC$18-$V35)^2)))</f>
        <v>226.11889836986205</v>
      </c>
      <c r="AM35" s="124" cm="1">
        <f t="array" ref="AM35">IF(OR(AM$1=0, $A35="", _xlfn.XLOOKUP(AM$1, $Z$2:$Z$18, $AD$2:$AD$18, "")=""),"",SQRT((_xlfn.XLOOKUP(AM$1,$Z$2:$Z$18,$AA$2:$AA$18)-$T35)^2+(_xlfn.XLOOKUP(AM$1,$Z$2:$Z$18,$AB$2:$AB$18)-$U35)^2+(_xlfn.XLOOKUP(AM$1,$Z$2:$Z$18,$AC$2:$AC$18-$V35)^2)))</f>
        <v>123.72581177749453</v>
      </c>
      <c r="AN35" s="124" cm="1">
        <f t="array" ref="AN35">IF(OR(AN$1=0, $A35="", _xlfn.XLOOKUP(AN$1, $Z$2:$Z$18, $AD$2:$AD$18, "")=""),"",SQRT((_xlfn.XLOOKUP(AN$1,$Z$2:$Z$18,$AA$2:$AA$18)-$T35)^2+(_xlfn.XLOOKUP(AN$1,$Z$2:$Z$18,$AB$2:$AB$18)-$U35)^2+(_xlfn.XLOOKUP(AN$1,$Z$2:$Z$18,$AC$2:$AC$18-$V35)^2)))</f>
        <v>123.72581177749453</v>
      </c>
      <c r="AO35" s="124" t="str" cm="1">
        <f t="array" ref="AO35">IF(OR(AO$1=0, $A35="", _xlfn.XLOOKUP(AO$1, $Z$2:$Z$18, $AD$2:$AD$18, "")=""),"",SQRT((_xlfn.XLOOKUP(AO$1,$Z$2:$Z$18,$AA$2:$AA$18)-$T35)^2+(_xlfn.XLOOKUP(AO$1,$Z$2:$Z$18,$AB$2:$AB$18)-$U35)^2+(_xlfn.XLOOKUP(AO$1,$Z$2:$Z$18,$AC$2:$AC$18-$V35)^2)))</f>
        <v/>
      </c>
      <c r="AP35" s="125" t="str" cm="1">
        <f t="array" ref="AP35">IF(OR(AP$1=0, $A35="", _xlfn.XLOOKUP(AP$1, $Z$2:$Z$18, $AD$2:$AD$18, "")=""),"",SQRT((_xlfn.XLOOKUP(AP$1,$Z$2:$Z$18,$AA$2:$AA$18)-$T35)^2+(_xlfn.XLOOKUP(AP$1,$Z$2:$Z$18,$AB$2:$AB$18)-$U35)^2+(_xlfn.XLOOKUP(AP$1,$Z$2:$Z$18,$AC$2:$AC$18-$V35)^2)))</f>
        <v/>
      </c>
      <c r="AQ35" s="125" t="str" cm="1">
        <f t="array" ref="AQ35">IF(OR(AQ$1=0, $A35="", _xlfn.XLOOKUP(AQ$1, $Z$2:$Z$18, $AD$2:$AD$18, "")=""),"",SQRT((_xlfn.XLOOKUP(AQ$1,$Z$2:$Z$18,$AA$2:$AA$18)-$T35)^2+(_xlfn.XLOOKUP(AQ$1,$Z$2:$Z$18,$AB$2:$AB$18)-$U35)^2+(_xlfn.XLOOKUP(AQ$1,$Z$2:$Z$18,$AC$2:$AC$18-$V35)^2)))</f>
        <v/>
      </c>
      <c r="AR35" s="125" t="str" cm="1">
        <f t="array" ref="AR35">IF(OR(AR$1=0, $A35="", _xlfn.XLOOKUP(AR$1, $Z$2:$Z$18, $AD$2:$AD$18, "")=""),"",SQRT((_xlfn.XLOOKUP(AR$1,$Z$2:$Z$18,$AA$2:$AA$18)-$T35)^2+(_xlfn.XLOOKUP(AR$1,$Z$2:$Z$18,$AB$2:$AB$18)-$U35)^2+(_xlfn.XLOOKUP(AR$1,$Z$2:$Z$18,$AC$2:$AC$18-$V35)^2)))</f>
        <v/>
      </c>
      <c r="AS35" s="125" t="str" cm="1">
        <f t="array" ref="AS35">IF(OR(AS$1=0, $A35="", _xlfn.XLOOKUP(AS$1, $Z$2:$Z$18, $AD$2:$AD$18, "")=""),"",SQRT((_xlfn.XLOOKUP(AS$1,$Z$2:$Z$18,$AA$2:$AA$18)-$T35)^2+(_xlfn.XLOOKUP(AS$1,$Z$2:$Z$18,$AB$2:$AB$18)-$U35)^2+(_xlfn.XLOOKUP(AS$1,$Z$2:$Z$18,$AC$2:$AC$18-$V35)^2)))</f>
        <v/>
      </c>
      <c r="AT35" s="125" t="str" cm="1">
        <f t="array" ref="AT35">IF(OR(AT$1=0, $A35="", _xlfn.XLOOKUP(AT$1, $Z$2:$Z$18, $AD$2:$AD$18, "")=""),"",SQRT((_xlfn.XLOOKUP(AT$1,$Z$2:$Z$18,$AA$2:$AA$18)-$T35)^2+(_xlfn.XLOOKUP(AT$1,$Z$2:$Z$18,$AB$2:$AB$18)-$U35)^2+(_xlfn.XLOOKUP(AT$1,$Z$2:$Z$18,$AC$2:$AC$18-$V35)^2)))</f>
        <v/>
      </c>
      <c r="AU35" s="125" t="str" cm="1">
        <f t="array" ref="AU35">IF(OR(AU$1=0, $A35="", _xlfn.XLOOKUP(AU$1, $Z$2:$Z$18, $AD$2:$AD$18, "")=""),"",SQRT((_xlfn.XLOOKUP(AU$1,$Z$2:$Z$18,$AA$2:$AA$18)-$T35)^2+(_xlfn.XLOOKUP(AU$1,$Z$2:$Z$18,$AB$2:$AB$18)-$U35)^2+(_xlfn.XLOOKUP(AU$1,$Z$2:$Z$18,$AC$2:$AC$18-$V35)^2)))</f>
        <v/>
      </c>
      <c r="AV35" s="126" t="str" cm="1">
        <f t="array" ref="AV35">IF(OR(AV$1=0, $A35="", _xlfn.XLOOKUP(AV$1, $Z$2:$Z$18, $AD$2:$AD$18, "")=""),"",SQRT((_xlfn.XLOOKUP(AV$1,$Z$2:$Z$18,$AA$2:$AA$18)-$T35)^2+(_xlfn.XLOOKUP(AV$1,$Z$2:$Z$18,$AB$2:$AB$18)-$U35)^2+(_xlfn.XLOOKUP(AV$1,$Z$2:$Z$18,$AC$2:$AC$18-$V35)^2)))</f>
        <v/>
      </c>
      <c r="AW35" s="127"/>
      <c r="AX35" s="127"/>
      <c r="AY35" s="128">
        <f t="shared" si="19"/>
        <v>-42.60520990840601</v>
      </c>
      <c r="AZ35" s="137">
        <f t="shared" si="20"/>
        <v>-35.370033335846131</v>
      </c>
      <c r="BA35" s="137">
        <f t="shared" si="21"/>
        <v>-35.986871933595161</v>
      </c>
      <c r="BB35" s="137">
        <f t="shared" si="22"/>
        <v>-41.730805796865099</v>
      </c>
      <c r="BC35" s="137">
        <f t="shared" si="23"/>
        <v>-44.748835155954644</v>
      </c>
      <c r="BD35" s="137">
        <f t="shared" si="24"/>
        <v>-39.511304175778726</v>
      </c>
      <c r="BE35" s="137">
        <f t="shared" si="25"/>
        <v>-39.511304175778726</v>
      </c>
      <c r="BF35" s="137">
        <f t="shared" si="26"/>
        <v>0</v>
      </c>
      <c r="BG35" s="138">
        <f t="shared" si="27"/>
        <v>0</v>
      </c>
      <c r="BH35" s="138">
        <f t="shared" si="28"/>
        <v>0</v>
      </c>
      <c r="BI35" s="138">
        <f t="shared" si="29"/>
        <v>0</v>
      </c>
      <c r="BJ35" s="138">
        <f t="shared" si="30"/>
        <v>0</v>
      </c>
      <c r="BK35" s="138">
        <f t="shared" si="31"/>
        <v>0</v>
      </c>
      <c r="BL35" s="138">
        <f t="shared" si="32"/>
        <v>0</v>
      </c>
      <c r="BM35" s="139">
        <f t="shared" si="33"/>
        <v>0</v>
      </c>
      <c r="BN35" s="127"/>
      <c r="BO35" s="127"/>
      <c r="BP35" s="127"/>
      <c r="BQ35" s="127"/>
      <c r="BR35" s="127"/>
      <c r="BS35" s="127"/>
      <c r="BT35" s="127"/>
      <c r="BU35" s="127"/>
      <c r="BV35" s="133"/>
      <c r="BW35" s="133">
        <v>5</v>
      </c>
      <c r="BX35" s="133">
        <v>15</v>
      </c>
      <c r="BY35" s="133">
        <v>12</v>
      </c>
      <c r="BZ35" s="133">
        <v>11</v>
      </c>
      <c r="CA35" s="133">
        <v>3</v>
      </c>
      <c r="CB35" s="133"/>
      <c r="CC35" s="133"/>
      <c r="CD35" s="133"/>
      <c r="CE35" s="133"/>
      <c r="CF35" s="133"/>
      <c r="CG35" s="133"/>
      <c r="CH35" s="133"/>
      <c r="CI35" s="133"/>
      <c r="CJ35" s="133"/>
      <c r="CL35" s="127"/>
      <c r="CM35" s="133" t="s">
        <v>32</v>
      </c>
      <c r="CN35" s="133"/>
      <c r="CO35" s="133" t="s">
        <v>32</v>
      </c>
      <c r="CP35" s="133" t="s">
        <v>32</v>
      </c>
      <c r="CQ35" s="133" t="s">
        <v>32</v>
      </c>
      <c r="CR35" s="133" t="s">
        <v>32</v>
      </c>
      <c r="CS35" s="133"/>
      <c r="CT35" s="133"/>
      <c r="CU35" s="133"/>
      <c r="CV35" s="133"/>
      <c r="CW35" s="133"/>
      <c r="CX35" s="133"/>
      <c r="CY35" s="133"/>
      <c r="CZ35" s="133"/>
      <c r="DA35" s="133"/>
      <c r="DB35" s="127"/>
      <c r="DC35" s="127"/>
      <c r="DD35" s="133"/>
      <c r="DE35" s="133"/>
      <c r="DF35" s="133"/>
      <c r="DG35" s="133"/>
      <c r="DH35" s="133"/>
      <c r="DI35" s="133"/>
      <c r="DJ35" s="133"/>
      <c r="DK35" s="133"/>
      <c r="DL35" s="133"/>
      <c r="DM35" s="133"/>
      <c r="DN35" s="133"/>
      <c r="DO35" s="133"/>
      <c r="DP35" s="133"/>
      <c r="DQ35" s="133"/>
      <c r="DR35" s="133"/>
      <c r="DT35" s="127"/>
      <c r="DU35" s="191" cm="1">
        <f t="array" ref="DU35">_xlfn.IFS(DU$1= 0,"", NOT(ISBLANK(CM35)), 0, ISBLANK(CM35), $Q35-$S35+AY35-BV35-DD35)</f>
        <v>0</v>
      </c>
      <c r="DV35" s="192" cm="1">
        <f t="array" ref="DV35">_xlfn.IFS(DV$1= 0,"", NOT(ISBLANK(CN35)), 0, ISBLANK(CN35), $Q35-$S35+AZ35-BW35-DE35)</f>
        <v>25.629966664153869</v>
      </c>
      <c r="DW35" s="192" cm="1">
        <f t="array" ref="DW35">_xlfn.IFS(DW$1= 0,"", NOT(ISBLANK(CO35)), 0, ISBLANK(CO35), $Q35-$S35+BA35-BX35-DF35)</f>
        <v>0</v>
      </c>
      <c r="DX35" s="192" cm="1">
        <f t="array" ref="DX35">_xlfn.IFS(DX$1= 0,"", NOT(ISBLANK(CP35)), 0, ISBLANK(CP35), $Q35-$S35+BB35-BY35-DG35)</f>
        <v>0</v>
      </c>
      <c r="DY35" s="192" cm="1">
        <f t="array" ref="DY35">_xlfn.IFS(DY$1= 0,"", NOT(ISBLANK(CQ35)), 0, ISBLANK(CQ35), $Q35-$S35+BC35-BZ35-DH35)</f>
        <v>0</v>
      </c>
      <c r="DZ35" s="192" cm="1">
        <f t="array" ref="DZ35">_xlfn.IFS(DZ$1= 0,"", NOT(ISBLANK(CR35)), 0, ISBLANK(CR35), $Q35-$S35+BD35-CA35-DI35)</f>
        <v>0</v>
      </c>
      <c r="EA35" s="192" cm="1">
        <f t="array" ref="EA35">_xlfn.IFS(EA$1= 0,"", NOT(ISBLANK(CS35)), 0, ISBLANK(CS35), $Q35-$S35+BE35-CB35-DJ35)</f>
        <v>26.488695824221274</v>
      </c>
      <c r="EB35" s="192" t="str" cm="1">
        <f t="array" ref="EB35">_xlfn.IFS(EB$1= 0,"", NOT(ISBLANK(CT35)), 0, ISBLANK(CT35), $Q35-$S35+BF35-CC35-DK35)</f>
        <v/>
      </c>
      <c r="EC35" s="192" t="str" cm="1">
        <f t="array" ref="EC35">_xlfn.IFS(EC$1= 0,"", NOT(ISBLANK(CU35)), 0, ISBLANK(CU35), $Q35-$S35+BG35-CD35-DL35)</f>
        <v/>
      </c>
      <c r="ED35" s="192" t="str" cm="1">
        <f t="array" ref="ED35">_xlfn.IFS(ED$1= 0,"", NOT(ISBLANK(CV35)), 0, ISBLANK(CV35), $Q35-$S35+BH35-CE35-DM35)</f>
        <v/>
      </c>
      <c r="EE35" s="192" t="str" cm="1">
        <f t="array" ref="EE35">_xlfn.IFS(EE$1= 0,"", NOT(ISBLANK(CW35)), 0, ISBLANK(CW35), $Q35-$S35+BI35-CF35-DN35)</f>
        <v/>
      </c>
      <c r="EF35" s="192" t="str" cm="1">
        <f t="array" ref="EF35">_xlfn.IFS(EF$1= 0,"", NOT(ISBLANK(CX35)), 0, ISBLANK(CX35), $Q35-$S35+BJ35-CG35-DO35)</f>
        <v/>
      </c>
      <c r="EG35" s="192" t="str" cm="1">
        <f t="array" ref="EG35">_xlfn.IFS(EG$1= 0,"", NOT(ISBLANK(CY35)), 0, ISBLANK(CY35), $Q35-$S35+BK35-CH35-DP35)</f>
        <v/>
      </c>
      <c r="EH35" s="192" t="str" cm="1">
        <f t="array" ref="EH35">_xlfn.IFS(EH$1= 0,"", NOT(ISBLANK(CZ35)), 0, ISBLANK(CZ35), $Q35-$S35+BL35-CI35-DQ35)</f>
        <v/>
      </c>
      <c r="EI35" s="193" t="str" cm="1">
        <f t="array" ref="EI35">_xlfn.IFS(EI$1= 0,"", NOT(ISBLANK(DA35)), 0, ISBLANK(DA35), $Q35-$S35+BM35-CJ35-DR35)</f>
        <v/>
      </c>
    </row>
    <row r="36" spans="1:139" ht="16.5" customHeight="1" x14ac:dyDescent="0.3">
      <c r="A36" s="183">
        <v>1</v>
      </c>
      <c r="B36" s="134" t="s">
        <v>271</v>
      </c>
      <c r="C36" s="134" t="s">
        <v>87</v>
      </c>
      <c r="D36" s="135" t="s">
        <v>86</v>
      </c>
      <c r="E36" s="166" t="s">
        <v>259</v>
      </c>
      <c r="F36" s="174"/>
      <c r="G36" s="3"/>
      <c r="H36" s="3"/>
      <c r="I36" s="3"/>
      <c r="J36" s="3"/>
      <c r="K36" s="3"/>
      <c r="L36" s="3"/>
      <c r="M36" s="178"/>
      <c r="N36" s="174">
        <v>65.873120921161103</v>
      </c>
      <c r="O36" s="175">
        <v>0</v>
      </c>
      <c r="P36" s="169">
        <v>1</v>
      </c>
      <c r="Q36" s="122">
        <f t="shared" si="18"/>
        <v>66</v>
      </c>
      <c r="R36" s="2">
        <v>2</v>
      </c>
      <c r="S36" s="2"/>
      <c r="T36" s="3">
        <v>71.17</v>
      </c>
      <c r="U36" s="3">
        <v>121.81</v>
      </c>
      <c r="V36" s="104">
        <f t="shared" si="2"/>
        <v>75</v>
      </c>
      <c r="W36" s="78">
        <v>73</v>
      </c>
      <c r="X36" s="136">
        <v>2</v>
      </c>
      <c r="Z36" s="110" t="s">
        <v>120</v>
      </c>
      <c r="AA36" s="108">
        <v>176.66</v>
      </c>
      <c r="AB36" s="49">
        <v>127.16</v>
      </c>
      <c r="AC36" s="102">
        <v>75.400000000000006</v>
      </c>
      <c r="AD36" s="49">
        <v>200.64</v>
      </c>
      <c r="AE36" s="49">
        <v>132</v>
      </c>
      <c r="AF36" s="50">
        <v>75.400000000000006</v>
      </c>
      <c r="AH36" s="185" cm="1">
        <f t="array" ref="AH36">IF(OR(AH$1=0, $A36="", _xlfn.XLOOKUP(AH$1, $Z$2:$Z$18, $AD$2:$AD$18, "")=""),"",SQRT((_xlfn.XLOOKUP(AH$1,$Z$2:$Z$18,$AA$2:$AA$18)-$T36)^2+(_xlfn.XLOOKUP(AH$1,$Z$2:$Z$18,$AB$2:$AB$18)-$U36)^2+(_xlfn.XLOOKUP(AH$1,$Z$2:$Z$18,$AC$2:$AC$18-$V36)^2)))</f>
        <v>159.77435651568121</v>
      </c>
      <c r="AI36" s="124" cm="1">
        <f t="array" ref="AI36">IF(OR(AI$1=0, $A36="", _xlfn.XLOOKUP(AI$1, $Z$2:$Z$18, $AD$2:$AD$18, "")=""),"",SQRT((_xlfn.XLOOKUP(AI$1,$Z$2:$Z$18,$AA$2:$AA$18)-$T36)^2+(_xlfn.XLOOKUP(AI$1,$Z$2:$Z$18,$AB$2:$AB$18)-$U36)^2+(_xlfn.XLOOKUP(AI$1,$Z$2:$Z$18,$AC$2:$AC$18-$V36)^2)))</f>
        <v>53.341992838663238</v>
      </c>
      <c r="AJ36" s="124" cm="1">
        <f t="array" ref="AJ36">IF(OR(AJ$1=0, $A36="", _xlfn.XLOOKUP(AJ$1, $Z$2:$Z$18, $AD$2:$AD$18, "")=""),"",SQRT((_xlfn.XLOOKUP(AJ$1,$Z$2:$Z$18,$AA$2:$AA$18)-$T36)^2+(_xlfn.XLOOKUP(AJ$1,$Z$2:$Z$18,$AB$2:$AB$18)-$U36)^2+(_xlfn.XLOOKUP(AJ$1,$Z$2:$Z$18,$AC$2:$AC$18-$V36)^2)))</f>
        <v>84.323330697974683</v>
      </c>
      <c r="AK36" s="124" cm="1">
        <f t="array" ref="AK36">IF(OR(AK$1=0, $A36="", _xlfn.XLOOKUP(AK$1, $Z$2:$Z$18, $AD$2:$AD$18, "")=""),"",SQRT((_xlfn.XLOOKUP(AK$1,$Z$2:$Z$18,$AA$2:$AA$18)-$T36)^2+(_xlfn.XLOOKUP(AK$1,$Z$2:$Z$18,$AB$2:$AB$18)-$U36)^2+(_xlfn.XLOOKUP(AK$1,$Z$2:$Z$18,$AC$2:$AC$18-$V36)^2)))</f>
        <v>177.07846198789957</v>
      </c>
      <c r="AL36" s="124" cm="1">
        <f t="array" ref="AL36">IF(OR(AL$1=0, $A36="", _xlfn.XLOOKUP(AL$1, $Z$2:$Z$18, $AD$2:$AD$18, "")=""),"",SQRT((_xlfn.XLOOKUP(AL$1,$Z$2:$Z$18,$AA$2:$AA$18)-$T36)^2+(_xlfn.XLOOKUP(AL$1,$Z$2:$Z$18,$AB$2:$AB$18)-$U36)^2+(_xlfn.XLOOKUP(AL$1,$Z$2:$Z$18,$AC$2:$AC$18-$V36)^2)))</f>
        <v>250.66280876907129</v>
      </c>
      <c r="AM36" s="124" cm="1">
        <f t="array" ref="AM36">IF(OR(AM$1=0, $A36="", _xlfn.XLOOKUP(AM$1, $Z$2:$Z$18, $AD$2:$AD$18, "")=""),"",SQRT((_xlfn.XLOOKUP(AM$1,$Z$2:$Z$18,$AA$2:$AA$18)-$T36)^2+(_xlfn.XLOOKUP(AM$1,$Z$2:$Z$18,$AB$2:$AB$18)-$U36)^2+(_xlfn.XLOOKUP(AM$1,$Z$2:$Z$18,$AC$2:$AC$18-$V36)^2)))</f>
        <v>112.29356170324282</v>
      </c>
      <c r="AN36" s="124" cm="1">
        <f t="array" ref="AN36">IF(OR(AN$1=0, $A36="", _xlfn.XLOOKUP(AN$1, $Z$2:$Z$18, $AD$2:$AD$18, "")=""),"",SQRT((_xlfn.XLOOKUP(AN$1,$Z$2:$Z$18,$AA$2:$AA$18)-$T36)^2+(_xlfn.XLOOKUP(AN$1,$Z$2:$Z$18,$AB$2:$AB$18)-$U36)^2+(_xlfn.XLOOKUP(AN$1,$Z$2:$Z$18,$AC$2:$AC$18-$V36)^2)))</f>
        <v>112.29356170324282</v>
      </c>
      <c r="AO36" s="124" t="str" cm="1">
        <f t="array" ref="AO36">IF(OR(AO$1=0, $A36="", _xlfn.XLOOKUP(AO$1, $Z$2:$Z$18, $AD$2:$AD$18, "")=""),"",SQRT((_xlfn.XLOOKUP(AO$1,$Z$2:$Z$18,$AA$2:$AA$18)-$T36)^2+(_xlfn.XLOOKUP(AO$1,$Z$2:$Z$18,$AB$2:$AB$18)-$U36)^2+(_xlfn.XLOOKUP(AO$1,$Z$2:$Z$18,$AC$2:$AC$18-$V36)^2)))</f>
        <v/>
      </c>
      <c r="AP36" s="125" t="str" cm="1">
        <f t="array" ref="AP36">IF(OR(AP$1=0, $A36="", _xlfn.XLOOKUP(AP$1, $Z$2:$Z$18, $AD$2:$AD$18, "")=""),"",SQRT((_xlfn.XLOOKUP(AP$1,$Z$2:$Z$18,$AA$2:$AA$18)-$T36)^2+(_xlfn.XLOOKUP(AP$1,$Z$2:$Z$18,$AB$2:$AB$18)-$U36)^2+(_xlfn.XLOOKUP(AP$1,$Z$2:$Z$18,$AC$2:$AC$18-$V36)^2)))</f>
        <v/>
      </c>
      <c r="AQ36" s="125" t="str" cm="1">
        <f t="array" ref="AQ36">IF(OR(AQ$1=0, $A36="", _xlfn.XLOOKUP(AQ$1, $Z$2:$Z$18, $AD$2:$AD$18, "")=""),"",SQRT((_xlfn.XLOOKUP(AQ$1,$Z$2:$Z$18,$AA$2:$AA$18)-$T36)^2+(_xlfn.XLOOKUP(AQ$1,$Z$2:$Z$18,$AB$2:$AB$18)-$U36)^2+(_xlfn.XLOOKUP(AQ$1,$Z$2:$Z$18,$AC$2:$AC$18-$V36)^2)))</f>
        <v/>
      </c>
      <c r="AR36" s="125" t="str" cm="1">
        <f t="array" ref="AR36">IF(OR(AR$1=0, $A36="", _xlfn.XLOOKUP(AR$1, $Z$2:$Z$18, $AD$2:$AD$18, "")=""),"",SQRT((_xlfn.XLOOKUP(AR$1,$Z$2:$Z$18,$AA$2:$AA$18)-$T36)^2+(_xlfn.XLOOKUP(AR$1,$Z$2:$Z$18,$AB$2:$AB$18)-$U36)^2+(_xlfn.XLOOKUP(AR$1,$Z$2:$Z$18,$AC$2:$AC$18-$V36)^2)))</f>
        <v/>
      </c>
      <c r="AS36" s="125" t="str" cm="1">
        <f t="array" ref="AS36">IF(OR(AS$1=0, $A36="", _xlfn.XLOOKUP(AS$1, $Z$2:$Z$18, $AD$2:$AD$18, "")=""),"",SQRT((_xlfn.XLOOKUP(AS$1,$Z$2:$Z$18,$AA$2:$AA$18)-$T36)^2+(_xlfn.XLOOKUP(AS$1,$Z$2:$Z$18,$AB$2:$AB$18)-$U36)^2+(_xlfn.XLOOKUP(AS$1,$Z$2:$Z$18,$AC$2:$AC$18-$V36)^2)))</f>
        <v/>
      </c>
      <c r="AT36" s="125" t="str" cm="1">
        <f t="array" ref="AT36">IF(OR(AT$1=0, $A36="", _xlfn.XLOOKUP(AT$1, $Z$2:$Z$18, $AD$2:$AD$18, "")=""),"",SQRT((_xlfn.XLOOKUP(AT$1,$Z$2:$Z$18,$AA$2:$AA$18)-$T36)^2+(_xlfn.XLOOKUP(AT$1,$Z$2:$Z$18,$AB$2:$AB$18)-$U36)^2+(_xlfn.XLOOKUP(AT$1,$Z$2:$Z$18,$AC$2:$AC$18-$V36)^2)))</f>
        <v/>
      </c>
      <c r="AU36" s="125" t="str" cm="1">
        <f t="array" ref="AU36">IF(OR(AU$1=0, $A36="", _xlfn.XLOOKUP(AU$1, $Z$2:$Z$18, $AD$2:$AD$18, "")=""),"",SQRT((_xlfn.XLOOKUP(AU$1,$Z$2:$Z$18,$AA$2:$AA$18)-$T36)^2+(_xlfn.XLOOKUP(AU$1,$Z$2:$Z$18,$AB$2:$AB$18)-$U36)^2+(_xlfn.XLOOKUP(AU$1,$Z$2:$Z$18,$AC$2:$AC$18-$V36)^2)))</f>
        <v/>
      </c>
      <c r="AV36" s="126" t="str" cm="1">
        <f t="array" ref="AV36">IF(OR(AV$1=0, $A36="", _xlfn.XLOOKUP(AV$1, $Z$2:$Z$18, $AD$2:$AD$18, "")=""),"",SQRT((_xlfn.XLOOKUP(AV$1,$Z$2:$Z$18,$AA$2:$AA$18)-$T36)^2+(_xlfn.XLOOKUP(AV$1,$Z$2:$Z$18,$AB$2:$AB$18)-$U36)^2+(_xlfn.XLOOKUP(AV$1,$Z$2:$Z$18,$AC$2:$AC$18-$V36)^2)))</f>
        <v/>
      </c>
      <c r="AW36" s="127"/>
      <c r="AX36" s="127"/>
      <c r="AY36" s="128">
        <f t="shared" si="19"/>
        <v>-41.732239479369426</v>
      </c>
      <c r="AZ36" s="137">
        <f t="shared" si="20"/>
        <v>-32.203482671946404</v>
      </c>
      <c r="BA36" s="137">
        <f t="shared" si="21"/>
        <v>-36.181052986138432</v>
      </c>
      <c r="BB36" s="137">
        <f t="shared" si="22"/>
        <v>-42.625412762243108</v>
      </c>
      <c r="BC36" s="137">
        <f t="shared" si="23"/>
        <v>-45.643895972733915</v>
      </c>
      <c r="BD36" s="137">
        <f t="shared" si="24"/>
        <v>-38.669195075178486</v>
      </c>
      <c r="BE36" s="137">
        <f t="shared" si="25"/>
        <v>-38.669195075178486</v>
      </c>
      <c r="BF36" s="137">
        <f t="shared" si="26"/>
        <v>0</v>
      </c>
      <c r="BG36" s="138">
        <f t="shared" si="27"/>
        <v>0</v>
      </c>
      <c r="BH36" s="138">
        <f t="shared" si="28"/>
        <v>0</v>
      </c>
      <c r="BI36" s="138">
        <f t="shared" si="29"/>
        <v>0</v>
      </c>
      <c r="BJ36" s="138">
        <f t="shared" si="30"/>
        <v>0</v>
      </c>
      <c r="BK36" s="138">
        <f t="shared" si="31"/>
        <v>0</v>
      </c>
      <c r="BL36" s="138">
        <f t="shared" si="32"/>
        <v>0</v>
      </c>
      <c r="BM36" s="139">
        <f t="shared" si="33"/>
        <v>0</v>
      </c>
      <c r="BN36" s="127"/>
      <c r="BO36" s="127"/>
      <c r="BP36" s="127"/>
      <c r="BQ36" s="127"/>
      <c r="BR36" s="127"/>
      <c r="BS36" s="127"/>
      <c r="BT36" s="127"/>
      <c r="BU36" s="127"/>
      <c r="BV36" s="133"/>
      <c r="BW36" s="133">
        <v>2</v>
      </c>
      <c r="BX36" s="133">
        <v>15</v>
      </c>
      <c r="BY36" s="133">
        <v>11</v>
      </c>
      <c r="BZ36" s="133">
        <v>12</v>
      </c>
      <c r="CA36" s="133">
        <v>2</v>
      </c>
      <c r="CB36" s="133"/>
      <c r="CC36" s="133"/>
      <c r="CD36" s="133"/>
      <c r="CE36" s="133"/>
      <c r="CF36" s="133"/>
      <c r="CG36" s="133"/>
      <c r="CH36" s="133"/>
      <c r="CI36" s="133"/>
      <c r="CJ36" s="133"/>
      <c r="CL36" s="127"/>
      <c r="CM36" s="133" t="s">
        <v>32</v>
      </c>
      <c r="CN36" s="133"/>
      <c r="CO36" s="133" t="s">
        <v>32</v>
      </c>
      <c r="CP36" s="133" t="s">
        <v>32</v>
      </c>
      <c r="CQ36" s="133" t="s">
        <v>32</v>
      </c>
      <c r="CR36" s="133" t="s">
        <v>32</v>
      </c>
      <c r="CS36" s="133"/>
      <c r="CT36" s="133"/>
      <c r="CU36" s="133"/>
      <c r="CV36" s="133"/>
      <c r="CW36" s="133"/>
      <c r="CX36" s="133"/>
      <c r="CY36" s="133"/>
      <c r="CZ36" s="133"/>
      <c r="DA36" s="133"/>
      <c r="DB36" s="127"/>
      <c r="DC36" s="127"/>
      <c r="DD36" s="133"/>
      <c r="DE36" s="133"/>
      <c r="DF36" s="133"/>
      <c r="DG36" s="133"/>
      <c r="DH36" s="133"/>
      <c r="DI36" s="133"/>
      <c r="DJ36" s="133"/>
      <c r="DK36" s="133"/>
      <c r="DL36" s="133"/>
      <c r="DM36" s="133"/>
      <c r="DN36" s="133"/>
      <c r="DO36" s="133"/>
      <c r="DP36" s="133"/>
      <c r="DQ36" s="133"/>
      <c r="DR36" s="133"/>
      <c r="DT36" s="127"/>
      <c r="DU36" s="191" cm="1">
        <f t="array" ref="DU36">_xlfn.IFS(DU$1= 0,"", NOT(ISBLANK(CM36)), 0, ISBLANK(CM36), $Q36-$S36+AY36-BV36-DD36)</f>
        <v>0</v>
      </c>
      <c r="DV36" s="192" cm="1">
        <f t="array" ref="DV36">_xlfn.IFS(DV$1= 0,"", NOT(ISBLANK(CN36)), 0, ISBLANK(CN36), $Q36-$S36+AZ36-BW36-DE36)</f>
        <v>31.796517328053596</v>
      </c>
      <c r="DW36" s="192" cm="1">
        <f t="array" ref="DW36">_xlfn.IFS(DW$1= 0,"", NOT(ISBLANK(CO36)), 0, ISBLANK(CO36), $Q36-$S36+BA36-BX36-DF36)</f>
        <v>0</v>
      </c>
      <c r="DX36" s="192" cm="1">
        <f t="array" ref="DX36">_xlfn.IFS(DX$1= 0,"", NOT(ISBLANK(CP36)), 0, ISBLANK(CP36), $Q36-$S36+BB36-BY36-DG36)</f>
        <v>0</v>
      </c>
      <c r="DY36" s="192" cm="1">
        <f t="array" ref="DY36">_xlfn.IFS(DY$1= 0,"", NOT(ISBLANK(CQ36)), 0, ISBLANK(CQ36), $Q36-$S36+BC36-BZ36-DH36)</f>
        <v>0</v>
      </c>
      <c r="DZ36" s="192" cm="1">
        <f t="array" ref="DZ36">_xlfn.IFS(DZ$1= 0,"", NOT(ISBLANK(CR36)), 0, ISBLANK(CR36), $Q36-$S36+BD36-CA36-DI36)</f>
        <v>0</v>
      </c>
      <c r="EA36" s="192" cm="1">
        <f t="array" ref="EA36">_xlfn.IFS(EA$1= 0,"", NOT(ISBLANK(CS36)), 0, ISBLANK(CS36), $Q36-$S36+BE36-CB36-DJ36)</f>
        <v>27.330804924821514</v>
      </c>
      <c r="EB36" s="192" t="str" cm="1">
        <f t="array" ref="EB36">_xlfn.IFS(EB$1= 0,"", NOT(ISBLANK(CT36)), 0, ISBLANK(CT36), $Q36-$S36+BF36-CC36-DK36)</f>
        <v/>
      </c>
      <c r="EC36" s="192" t="str" cm="1">
        <f t="array" ref="EC36">_xlfn.IFS(EC$1= 0,"", NOT(ISBLANK(CU36)), 0, ISBLANK(CU36), $Q36-$S36+BG36-CD36-DL36)</f>
        <v/>
      </c>
      <c r="ED36" s="192" t="str" cm="1">
        <f t="array" ref="ED36">_xlfn.IFS(ED$1= 0,"", NOT(ISBLANK(CV36)), 0, ISBLANK(CV36), $Q36-$S36+BH36-CE36-DM36)</f>
        <v/>
      </c>
      <c r="EE36" s="192" t="str" cm="1">
        <f t="array" ref="EE36">_xlfn.IFS(EE$1= 0,"", NOT(ISBLANK(CW36)), 0, ISBLANK(CW36), $Q36-$S36+BI36-CF36-DN36)</f>
        <v/>
      </c>
      <c r="EF36" s="192" t="str" cm="1">
        <f t="array" ref="EF36">_xlfn.IFS(EF$1= 0,"", NOT(ISBLANK(CX36)), 0, ISBLANK(CX36), $Q36-$S36+BJ36-CG36-DO36)</f>
        <v/>
      </c>
      <c r="EG36" s="192" t="str" cm="1">
        <f t="array" ref="EG36">_xlfn.IFS(EG$1= 0,"", NOT(ISBLANK(CY36)), 0, ISBLANK(CY36), $Q36-$S36+BK36-CH36-DP36)</f>
        <v/>
      </c>
      <c r="EH36" s="192" t="str" cm="1">
        <f t="array" ref="EH36">_xlfn.IFS(EH$1= 0,"", NOT(ISBLANK(CZ36)), 0, ISBLANK(CZ36), $Q36-$S36+BL36-CI36-DQ36)</f>
        <v/>
      </c>
      <c r="EI36" s="193" t="str" cm="1">
        <f t="array" ref="EI36">_xlfn.IFS(EI$1= 0,"", NOT(ISBLANK(DA36)), 0, ISBLANK(DA36), $Q36-$S36+BM36-CJ36-DR36)</f>
        <v/>
      </c>
    </row>
    <row r="37" spans="1:139" ht="16.5" customHeight="1" x14ac:dyDescent="0.3">
      <c r="A37" s="183">
        <v>1</v>
      </c>
      <c r="B37" s="134" t="s">
        <v>272</v>
      </c>
      <c r="C37" s="134" t="s">
        <v>87</v>
      </c>
      <c r="D37" s="135" t="s">
        <v>86</v>
      </c>
      <c r="E37" s="166" t="s">
        <v>257</v>
      </c>
      <c r="F37" s="174"/>
      <c r="G37" s="3"/>
      <c r="H37" s="3"/>
      <c r="I37" s="3"/>
      <c r="J37" s="3"/>
      <c r="K37" s="3"/>
      <c r="L37" s="3"/>
      <c r="M37" s="178"/>
      <c r="N37" s="174">
        <v>57.392737795737183</v>
      </c>
      <c r="O37" s="175">
        <v>0</v>
      </c>
      <c r="P37" s="169">
        <v>1</v>
      </c>
      <c r="Q37" s="122">
        <f t="shared" si="18"/>
        <v>57</v>
      </c>
      <c r="R37" s="2">
        <v>2</v>
      </c>
      <c r="S37" s="2"/>
      <c r="T37" s="3">
        <v>46.64</v>
      </c>
      <c r="U37" s="3">
        <v>122.14</v>
      </c>
      <c r="V37" s="104">
        <f t="shared" si="2"/>
        <v>75</v>
      </c>
      <c r="W37" s="78">
        <v>73</v>
      </c>
      <c r="X37" s="136">
        <v>2</v>
      </c>
      <c r="Z37" s="110" t="s">
        <v>121</v>
      </c>
      <c r="AA37" s="108">
        <v>176.77</v>
      </c>
      <c r="AB37" s="49">
        <v>127.38</v>
      </c>
      <c r="AC37" s="102">
        <v>75.400000000000006</v>
      </c>
      <c r="AD37" s="49">
        <v>173.91</v>
      </c>
      <c r="AE37" s="49">
        <v>142.34</v>
      </c>
      <c r="AF37" s="50">
        <v>75.400000000000006</v>
      </c>
      <c r="AH37" s="185" cm="1">
        <f t="array" ref="AH37">IF(OR(AH$1=0, $A37="", _xlfn.XLOOKUP(AH$1, $Z$2:$Z$18, $AD$2:$AD$18, "")=""),"",SQRT((_xlfn.XLOOKUP(AH$1,$Z$2:$Z$18,$AA$2:$AA$18)-$T37)^2+(_xlfn.XLOOKUP(AH$1,$Z$2:$Z$18,$AB$2:$AB$18)-$U37)^2+(_xlfn.XLOOKUP(AH$1,$Z$2:$Z$18,$AC$2:$AC$18-$V37)^2)))</f>
        <v>150.72647146403978</v>
      </c>
      <c r="AI37" s="124" cm="1">
        <f t="array" ref="AI37">IF(OR(AI$1=0, $A37="", _xlfn.XLOOKUP(AI$1, $Z$2:$Z$18, $AD$2:$AD$18, "")=""),"",SQRT((_xlfn.XLOOKUP(AI$1,$Z$2:$Z$18,$AA$2:$AA$18)-$T37)^2+(_xlfn.XLOOKUP(AI$1,$Z$2:$Z$18,$AB$2:$AB$18)-$U37)^2+(_xlfn.XLOOKUP(AI$1,$Z$2:$Z$18,$AC$2:$AC$18-$V37)^2)))</f>
        <v>40.152210399926922</v>
      </c>
      <c r="AJ37" s="124" cm="1">
        <f t="array" ref="AJ37">IF(OR(AJ$1=0, $A37="", _xlfn.XLOOKUP(AJ$1, $Z$2:$Z$18, $AD$2:$AD$18, "")=""),"",SQRT((_xlfn.XLOOKUP(AJ$1,$Z$2:$Z$18,$AA$2:$AA$18)-$T37)^2+(_xlfn.XLOOKUP(AJ$1,$Z$2:$Z$18,$AB$2:$AB$18)-$U37)^2+(_xlfn.XLOOKUP(AJ$1,$Z$2:$Z$18,$AC$2:$AC$18-$V37)^2)))</f>
        <v>96.947807092270025</v>
      </c>
      <c r="AK37" s="124" cm="1">
        <f t="array" ref="AK37">IF(OR(AK$1=0, $A37="", _xlfn.XLOOKUP(AK$1, $Z$2:$Z$18, $AD$2:$AD$18, "")=""),"",SQRT((_xlfn.XLOOKUP(AK$1,$Z$2:$Z$18,$AA$2:$AA$18)-$T37)^2+(_xlfn.XLOOKUP(AK$1,$Z$2:$Z$18,$AB$2:$AB$18)-$U37)^2+(_xlfn.XLOOKUP(AK$1,$Z$2:$Z$18,$AC$2:$AC$18-$V37)^2)))</f>
        <v>197.9370266018968</v>
      </c>
      <c r="AL37" s="124" cm="1">
        <f t="array" ref="AL37">IF(OR(AL$1=0, $A37="", _xlfn.XLOOKUP(AL$1, $Z$2:$Z$18, $AD$2:$AD$18, "")=""),"",SQRT((_xlfn.XLOOKUP(AL$1,$Z$2:$Z$18,$AA$2:$AA$18)-$T37)^2+(_xlfn.XLOOKUP(AL$1,$Z$2:$Z$18,$AB$2:$AB$18)-$U37)^2+(_xlfn.XLOOKUP(AL$1,$Z$2:$Z$18,$AC$2:$AC$18-$V37)^2)))</f>
        <v>274.79173295425034</v>
      </c>
      <c r="AM37" s="124" cm="1">
        <f t="array" ref="AM37">IF(OR(AM$1=0, $A37="", _xlfn.XLOOKUP(AM$1, $Z$2:$Z$18, $AD$2:$AD$18, "")=""),"",SQRT((_xlfn.XLOOKUP(AM$1,$Z$2:$Z$18,$AA$2:$AA$18)-$T37)^2+(_xlfn.XLOOKUP(AM$1,$Z$2:$Z$18,$AB$2:$AB$18)-$U37)^2+(_xlfn.XLOOKUP(AM$1,$Z$2:$Z$18,$AC$2:$AC$18-$V37)^2)))</f>
        <v>101.7716276768727</v>
      </c>
      <c r="AN37" s="124" cm="1">
        <f t="array" ref="AN37">IF(OR(AN$1=0, $A37="", _xlfn.XLOOKUP(AN$1, $Z$2:$Z$18, $AD$2:$AD$18, "")=""),"",SQRT((_xlfn.XLOOKUP(AN$1,$Z$2:$Z$18,$AA$2:$AA$18)-$T37)^2+(_xlfn.XLOOKUP(AN$1,$Z$2:$Z$18,$AB$2:$AB$18)-$U37)^2+(_xlfn.XLOOKUP(AN$1,$Z$2:$Z$18,$AC$2:$AC$18-$V37)^2)))</f>
        <v>101.7716276768727</v>
      </c>
      <c r="AO37" s="124" t="str" cm="1">
        <f t="array" ref="AO37">IF(OR(AO$1=0, $A37="", _xlfn.XLOOKUP(AO$1, $Z$2:$Z$18, $AD$2:$AD$18, "")=""),"",SQRT((_xlfn.XLOOKUP(AO$1,$Z$2:$Z$18,$AA$2:$AA$18)-$T37)^2+(_xlfn.XLOOKUP(AO$1,$Z$2:$Z$18,$AB$2:$AB$18)-$U37)^2+(_xlfn.XLOOKUP(AO$1,$Z$2:$Z$18,$AC$2:$AC$18-$V37)^2)))</f>
        <v/>
      </c>
      <c r="AP37" s="125" t="str" cm="1">
        <f t="array" ref="AP37">IF(OR(AP$1=0, $A37="", _xlfn.XLOOKUP(AP$1, $Z$2:$Z$18, $AD$2:$AD$18, "")=""),"",SQRT((_xlfn.XLOOKUP(AP$1,$Z$2:$Z$18,$AA$2:$AA$18)-$T37)^2+(_xlfn.XLOOKUP(AP$1,$Z$2:$Z$18,$AB$2:$AB$18)-$U37)^2+(_xlfn.XLOOKUP(AP$1,$Z$2:$Z$18,$AC$2:$AC$18-$V37)^2)))</f>
        <v/>
      </c>
      <c r="AQ37" s="125" t="str" cm="1">
        <f t="array" ref="AQ37">IF(OR(AQ$1=0, $A37="", _xlfn.XLOOKUP(AQ$1, $Z$2:$Z$18, $AD$2:$AD$18, "")=""),"",SQRT((_xlfn.XLOOKUP(AQ$1,$Z$2:$Z$18,$AA$2:$AA$18)-$T37)^2+(_xlfn.XLOOKUP(AQ$1,$Z$2:$Z$18,$AB$2:$AB$18)-$U37)^2+(_xlfn.XLOOKUP(AQ$1,$Z$2:$Z$18,$AC$2:$AC$18-$V37)^2)))</f>
        <v/>
      </c>
      <c r="AR37" s="125" t="str" cm="1">
        <f t="array" ref="AR37">IF(OR(AR$1=0, $A37="", _xlfn.XLOOKUP(AR$1, $Z$2:$Z$18, $AD$2:$AD$18, "")=""),"",SQRT((_xlfn.XLOOKUP(AR$1,$Z$2:$Z$18,$AA$2:$AA$18)-$T37)^2+(_xlfn.XLOOKUP(AR$1,$Z$2:$Z$18,$AB$2:$AB$18)-$U37)^2+(_xlfn.XLOOKUP(AR$1,$Z$2:$Z$18,$AC$2:$AC$18-$V37)^2)))</f>
        <v/>
      </c>
      <c r="AS37" s="125" t="str" cm="1">
        <f t="array" ref="AS37">IF(OR(AS$1=0, $A37="", _xlfn.XLOOKUP(AS$1, $Z$2:$Z$18, $AD$2:$AD$18, "")=""),"",SQRT((_xlfn.XLOOKUP(AS$1,$Z$2:$Z$18,$AA$2:$AA$18)-$T37)^2+(_xlfn.XLOOKUP(AS$1,$Z$2:$Z$18,$AB$2:$AB$18)-$U37)^2+(_xlfn.XLOOKUP(AS$1,$Z$2:$Z$18,$AC$2:$AC$18-$V37)^2)))</f>
        <v/>
      </c>
      <c r="AT37" s="125" t="str" cm="1">
        <f t="array" ref="AT37">IF(OR(AT$1=0, $A37="", _xlfn.XLOOKUP(AT$1, $Z$2:$Z$18, $AD$2:$AD$18, "")=""),"",SQRT((_xlfn.XLOOKUP(AT$1,$Z$2:$Z$18,$AA$2:$AA$18)-$T37)^2+(_xlfn.XLOOKUP(AT$1,$Z$2:$Z$18,$AB$2:$AB$18)-$U37)^2+(_xlfn.XLOOKUP(AT$1,$Z$2:$Z$18,$AC$2:$AC$18-$V37)^2)))</f>
        <v/>
      </c>
      <c r="AU37" s="125" t="str" cm="1">
        <f t="array" ref="AU37">IF(OR(AU$1=0, $A37="", _xlfn.XLOOKUP(AU$1, $Z$2:$Z$18, $AD$2:$AD$18, "")=""),"",SQRT((_xlfn.XLOOKUP(AU$1,$Z$2:$Z$18,$AA$2:$AA$18)-$T37)^2+(_xlfn.XLOOKUP(AU$1,$Z$2:$Z$18,$AB$2:$AB$18)-$U37)^2+(_xlfn.XLOOKUP(AU$1,$Z$2:$Z$18,$AC$2:$AC$18-$V37)^2)))</f>
        <v/>
      </c>
      <c r="AV37" s="126" t="str" cm="1">
        <f t="array" ref="AV37">IF(OR(AV$1=0, $A37="", _xlfn.XLOOKUP(AV$1, $Z$2:$Z$18, $AD$2:$AD$18, "")=""),"",SQRT((_xlfn.XLOOKUP(AV$1,$Z$2:$Z$18,$AA$2:$AA$18)-$T37)^2+(_xlfn.XLOOKUP(AV$1,$Z$2:$Z$18,$AB$2:$AB$18)-$U37)^2+(_xlfn.XLOOKUP(AV$1,$Z$2:$Z$18,$AC$2:$AC$18-$V37)^2)))</f>
        <v/>
      </c>
      <c r="AW37" s="127"/>
      <c r="AX37" s="127"/>
      <c r="AY37" s="128">
        <f t="shared" si="19"/>
        <v>-41.225888583910894</v>
      </c>
      <c r="AZ37" s="137">
        <f t="shared" si="20"/>
        <v>-29.736287105100526</v>
      </c>
      <c r="BA37" s="137">
        <f t="shared" si="21"/>
        <v>-37.392857737254246</v>
      </c>
      <c r="BB37" s="137">
        <f t="shared" si="22"/>
        <v>-43.592638777580682</v>
      </c>
      <c r="BC37" s="137">
        <f t="shared" si="23"/>
        <v>-46.442171195631914</v>
      </c>
      <c r="BD37" s="137">
        <f t="shared" si="24"/>
        <v>-37.814632345513999</v>
      </c>
      <c r="BE37" s="137">
        <f t="shared" si="25"/>
        <v>-37.814632345513999</v>
      </c>
      <c r="BF37" s="137">
        <f t="shared" si="26"/>
        <v>0</v>
      </c>
      <c r="BG37" s="138">
        <f t="shared" si="27"/>
        <v>0</v>
      </c>
      <c r="BH37" s="138">
        <f t="shared" si="28"/>
        <v>0</v>
      </c>
      <c r="BI37" s="138">
        <f t="shared" si="29"/>
        <v>0</v>
      </c>
      <c r="BJ37" s="138">
        <f t="shared" si="30"/>
        <v>0</v>
      </c>
      <c r="BK37" s="138">
        <f t="shared" si="31"/>
        <v>0</v>
      </c>
      <c r="BL37" s="138">
        <f t="shared" si="32"/>
        <v>0</v>
      </c>
      <c r="BM37" s="139">
        <f t="shared" si="33"/>
        <v>0</v>
      </c>
      <c r="BN37" s="127"/>
      <c r="BO37" s="216" t="s">
        <v>68</v>
      </c>
      <c r="BP37" s="217"/>
      <c r="BQ37" s="18"/>
      <c r="BR37" s="127"/>
      <c r="BS37" s="127"/>
      <c r="BT37" s="127"/>
      <c r="BU37" s="127"/>
      <c r="BV37" s="133"/>
      <c r="BW37" s="133">
        <v>0</v>
      </c>
      <c r="BX37" s="133">
        <v>13</v>
      </c>
      <c r="BY37" s="133">
        <v>11</v>
      </c>
      <c r="BZ37" s="133">
        <v>12</v>
      </c>
      <c r="CA37" s="133">
        <v>0</v>
      </c>
      <c r="CB37" s="133"/>
      <c r="CC37" s="133"/>
      <c r="CD37" s="133"/>
      <c r="CE37" s="133"/>
      <c r="CF37" s="133"/>
      <c r="CG37" s="133"/>
      <c r="CH37" s="133"/>
      <c r="CI37" s="133"/>
      <c r="CJ37" s="133"/>
      <c r="CL37" s="127"/>
      <c r="CM37" s="133" t="s">
        <v>32</v>
      </c>
      <c r="CN37" s="133"/>
      <c r="CO37" s="133" t="s">
        <v>32</v>
      </c>
      <c r="CP37" s="133" t="s">
        <v>32</v>
      </c>
      <c r="CQ37" s="133" t="s">
        <v>32</v>
      </c>
      <c r="CR37" s="133" t="s">
        <v>32</v>
      </c>
      <c r="CS37" s="133"/>
      <c r="CT37" s="133"/>
      <c r="CU37" s="133"/>
      <c r="CV37" s="133"/>
      <c r="CW37" s="133"/>
      <c r="CX37" s="133"/>
      <c r="CY37" s="133"/>
      <c r="CZ37" s="133"/>
      <c r="DA37" s="133"/>
      <c r="DB37" s="127"/>
      <c r="DC37" s="127"/>
      <c r="DD37" s="133"/>
      <c r="DE37" s="133"/>
      <c r="DF37" s="133"/>
      <c r="DG37" s="133"/>
      <c r="DH37" s="133"/>
      <c r="DI37" s="133"/>
      <c r="DJ37" s="133"/>
      <c r="DK37" s="133"/>
      <c r="DL37" s="133"/>
      <c r="DM37" s="133"/>
      <c r="DN37" s="133"/>
      <c r="DO37" s="133"/>
      <c r="DP37" s="133"/>
      <c r="DQ37" s="133"/>
      <c r="DR37" s="133"/>
      <c r="DT37" s="127"/>
      <c r="DU37" s="191" cm="1">
        <f t="array" ref="DU37">_xlfn.IFS(DU$1= 0,"", NOT(ISBLANK(CM37)), 0, ISBLANK(CM37), $Q37-$S37+AY37-BV37-DD37)</f>
        <v>0</v>
      </c>
      <c r="DV37" s="192" cm="1">
        <f t="array" ref="DV37">_xlfn.IFS(DV$1= 0,"", NOT(ISBLANK(CN37)), 0, ISBLANK(CN37), $Q37-$S37+AZ37-BW37-DE37)</f>
        <v>27.263712894899474</v>
      </c>
      <c r="DW37" s="192" cm="1">
        <f t="array" ref="DW37">_xlfn.IFS(DW$1= 0,"", NOT(ISBLANK(CO37)), 0, ISBLANK(CO37), $Q37-$S37+BA37-BX37-DF37)</f>
        <v>0</v>
      </c>
      <c r="DX37" s="192" cm="1">
        <f t="array" ref="DX37">_xlfn.IFS(DX$1= 0,"", NOT(ISBLANK(CP37)), 0, ISBLANK(CP37), $Q37-$S37+BB37-BY37-DG37)</f>
        <v>0</v>
      </c>
      <c r="DY37" s="192" cm="1">
        <f t="array" ref="DY37">_xlfn.IFS(DY$1= 0,"", NOT(ISBLANK(CQ37)), 0, ISBLANK(CQ37), $Q37-$S37+BC37-BZ37-DH37)</f>
        <v>0</v>
      </c>
      <c r="DZ37" s="192" cm="1">
        <f t="array" ref="DZ37">_xlfn.IFS(DZ$1= 0,"", NOT(ISBLANK(CR37)), 0, ISBLANK(CR37), $Q37-$S37+BD37-CA37-DI37)</f>
        <v>0</v>
      </c>
      <c r="EA37" s="192" cm="1">
        <f t="array" ref="EA37">_xlfn.IFS(EA$1= 0,"", NOT(ISBLANK(CS37)), 0, ISBLANK(CS37), $Q37-$S37+BE37-CB37-DJ37)</f>
        <v>19.185367654486001</v>
      </c>
      <c r="EB37" s="192" t="str" cm="1">
        <f t="array" ref="EB37">_xlfn.IFS(EB$1= 0,"", NOT(ISBLANK(CT37)), 0, ISBLANK(CT37), $Q37-$S37+BF37-CC37-DK37)</f>
        <v/>
      </c>
      <c r="EC37" s="192" t="str" cm="1">
        <f t="array" ref="EC37">_xlfn.IFS(EC$1= 0,"", NOT(ISBLANK(CU37)), 0, ISBLANK(CU37), $Q37-$S37+BG37-CD37-DL37)</f>
        <v/>
      </c>
      <c r="ED37" s="192" t="str" cm="1">
        <f t="array" ref="ED37">_xlfn.IFS(ED$1= 0,"", NOT(ISBLANK(CV37)), 0, ISBLANK(CV37), $Q37-$S37+BH37-CE37-DM37)</f>
        <v/>
      </c>
      <c r="EE37" s="192" t="str" cm="1">
        <f t="array" ref="EE37">_xlfn.IFS(EE$1= 0,"", NOT(ISBLANK(CW37)), 0, ISBLANK(CW37), $Q37-$S37+BI37-CF37-DN37)</f>
        <v/>
      </c>
      <c r="EF37" s="192" t="str" cm="1">
        <f t="array" ref="EF37">_xlfn.IFS(EF$1= 0,"", NOT(ISBLANK(CX37)), 0, ISBLANK(CX37), $Q37-$S37+BJ37-CG37-DO37)</f>
        <v/>
      </c>
      <c r="EG37" s="192" t="str" cm="1">
        <f t="array" ref="EG37">_xlfn.IFS(EG$1= 0,"", NOT(ISBLANK(CY37)), 0, ISBLANK(CY37), $Q37-$S37+BK37-CH37-DP37)</f>
        <v/>
      </c>
      <c r="EH37" s="192" t="str" cm="1">
        <f t="array" ref="EH37">_xlfn.IFS(EH$1= 0,"", NOT(ISBLANK(CZ37)), 0, ISBLANK(CZ37), $Q37-$S37+BL37-CI37-DQ37)</f>
        <v/>
      </c>
      <c r="EI37" s="193" t="str" cm="1">
        <f t="array" ref="EI37">_xlfn.IFS(EI$1= 0,"", NOT(ISBLANK(DA37)), 0, ISBLANK(DA37), $Q37-$S37+BM37-CJ37-DR37)</f>
        <v/>
      </c>
    </row>
    <row r="38" spans="1:139" ht="16.5" customHeight="1" x14ac:dyDescent="0.3">
      <c r="A38" s="183">
        <v>1</v>
      </c>
      <c r="B38" s="134" t="s">
        <v>273</v>
      </c>
      <c r="C38" s="134" t="s">
        <v>87</v>
      </c>
      <c r="D38" s="135" t="s">
        <v>86</v>
      </c>
      <c r="E38" s="166" t="s">
        <v>257</v>
      </c>
      <c r="F38" s="174"/>
      <c r="G38" s="3"/>
      <c r="H38" s="3"/>
      <c r="I38" s="3"/>
      <c r="J38" s="3"/>
      <c r="K38" s="3"/>
      <c r="L38" s="3"/>
      <c r="M38" s="178"/>
      <c r="N38" s="174">
        <v>57.392737795737183</v>
      </c>
      <c r="O38" s="175">
        <v>0</v>
      </c>
      <c r="P38" s="169">
        <v>1</v>
      </c>
      <c r="Q38" s="122">
        <f t="shared" si="18"/>
        <v>57</v>
      </c>
      <c r="R38" s="2">
        <v>2</v>
      </c>
      <c r="S38" s="2"/>
      <c r="T38" s="3">
        <v>149.29</v>
      </c>
      <c r="U38" s="3">
        <v>139.38</v>
      </c>
      <c r="V38" s="104">
        <f t="shared" si="2"/>
        <v>75</v>
      </c>
      <c r="W38" s="78">
        <v>73</v>
      </c>
      <c r="X38" s="136">
        <v>2</v>
      </c>
      <c r="Z38" s="110" t="s">
        <v>122</v>
      </c>
      <c r="AA38" s="108">
        <v>162.91</v>
      </c>
      <c r="AB38" s="49">
        <v>140.80000000000001</v>
      </c>
      <c r="AC38" s="102">
        <v>75.400000000000006</v>
      </c>
      <c r="AD38" s="49">
        <v>173.14</v>
      </c>
      <c r="AE38" s="49">
        <v>143</v>
      </c>
      <c r="AF38" s="50">
        <v>75.400000000000006</v>
      </c>
      <c r="AH38" s="185" cm="1">
        <f t="array" ref="AH38">IF(OR(AH$1=0, $A38="", _xlfn.XLOOKUP(AH$1, $Z$2:$Z$18, $AD$2:$AD$18, "")=""),"",SQRT((_xlfn.XLOOKUP(AH$1,$Z$2:$Z$18,$AA$2:$AA$18)-$T38)^2+(_xlfn.XLOOKUP(AH$1,$Z$2:$Z$18,$AB$2:$AB$18)-$U38)^2+(_xlfn.XLOOKUP(AH$1,$Z$2:$Z$18,$AC$2:$AC$18-$V38)^2)))</f>
        <v>217.5759373184452</v>
      </c>
      <c r="AI38" s="124" cm="1">
        <f t="array" ref="AI38">IF(OR(AI$1=0, $A38="", _xlfn.XLOOKUP(AI$1, $Z$2:$Z$18, $AD$2:$AD$18, "")=""),"",SQRT((_xlfn.XLOOKUP(AI$1,$Z$2:$Z$18,$AA$2:$AA$18)-$T38)^2+(_xlfn.XLOOKUP(AI$1,$Z$2:$Z$18,$AB$2:$AB$18)-$U38)^2+(_xlfn.XLOOKUP(AI$1,$Z$2:$Z$18,$AC$2:$AC$18-$V38)^2)))</f>
        <v>128.25154073148593</v>
      </c>
      <c r="AJ38" s="124" cm="1">
        <f t="array" ref="AJ38">IF(OR(AJ$1=0, $A38="", _xlfn.XLOOKUP(AJ$1, $Z$2:$Z$18, $AD$2:$AD$18, "")=""),"",SQRT((_xlfn.XLOOKUP(AJ$1,$Z$2:$Z$18,$AA$2:$AA$18)-$T38)^2+(_xlfn.XLOOKUP(AJ$1,$Z$2:$Z$18,$AB$2:$AB$18)-$U38)^2+(_xlfn.XLOOKUP(AJ$1,$Z$2:$Z$18,$AC$2:$AC$18-$V38)^2)))</f>
        <v>103.54564693892253</v>
      </c>
      <c r="AK38" s="124" cm="1">
        <f t="array" ref="AK38">IF(OR(AK$1=0, $A38="", _xlfn.XLOOKUP(AK$1, $Z$2:$Z$18, $AD$2:$AD$18, "")=""),"",SQRT((_xlfn.XLOOKUP(AK$1,$Z$2:$Z$18,$AA$2:$AA$18)-$T38)^2+(_xlfn.XLOOKUP(AK$1,$Z$2:$Z$18,$AB$2:$AB$18)-$U38)^2+(_xlfn.XLOOKUP(AK$1,$Z$2:$Z$18,$AC$2:$AC$18-$V38)^2)))</f>
        <v>135.91148884476249</v>
      </c>
      <c r="AL38" s="124" cm="1">
        <f t="array" ref="AL38">IF(OR(AL$1=0, $A38="", _xlfn.XLOOKUP(AL$1, $Z$2:$Z$18, $AD$2:$AD$18, "")=""),"",SQRT((_xlfn.XLOOKUP(AL$1,$Z$2:$Z$18,$AA$2:$AA$18)-$T38)^2+(_xlfn.XLOOKUP(AL$1,$Z$2:$Z$18,$AB$2:$AB$18)-$U38)^2+(_xlfn.XLOOKUP(AL$1,$Z$2:$Z$18,$AC$2:$AC$18-$V38)^2)))</f>
        <v>179.15276665460684</v>
      </c>
      <c r="AM38" s="124" cm="1">
        <f t="array" ref="AM38">IF(OR(AM$1=0, $A38="", _xlfn.XLOOKUP(AM$1, $Z$2:$Z$18, $AD$2:$AD$18, "")=""),"",SQRT((_xlfn.XLOOKUP(AM$1,$Z$2:$Z$18,$AA$2:$AA$18)-$T38)^2+(_xlfn.XLOOKUP(AM$1,$Z$2:$Z$18,$AB$2:$AB$18)-$U38)^2+(_xlfn.XLOOKUP(AM$1,$Z$2:$Z$18,$AC$2:$AC$18-$V38)^2)))</f>
        <v>157.1114448409154</v>
      </c>
      <c r="AN38" s="124" cm="1">
        <f t="array" ref="AN38">IF(OR(AN$1=0, $A38="", _xlfn.XLOOKUP(AN$1, $Z$2:$Z$18, $AD$2:$AD$18, "")=""),"",SQRT((_xlfn.XLOOKUP(AN$1,$Z$2:$Z$18,$AA$2:$AA$18)-$T38)^2+(_xlfn.XLOOKUP(AN$1,$Z$2:$Z$18,$AB$2:$AB$18)-$U38)^2+(_xlfn.XLOOKUP(AN$1,$Z$2:$Z$18,$AC$2:$AC$18-$V38)^2)))</f>
        <v>157.1114448409154</v>
      </c>
      <c r="AO38" s="124" t="str" cm="1">
        <f t="array" ref="AO38">IF(OR(AO$1=0, $A38="", _xlfn.XLOOKUP(AO$1, $Z$2:$Z$18, $AD$2:$AD$18, "")=""),"",SQRT((_xlfn.XLOOKUP(AO$1,$Z$2:$Z$18,$AA$2:$AA$18)-$T38)^2+(_xlfn.XLOOKUP(AO$1,$Z$2:$Z$18,$AB$2:$AB$18)-$U38)^2+(_xlfn.XLOOKUP(AO$1,$Z$2:$Z$18,$AC$2:$AC$18-$V38)^2)))</f>
        <v/>
      </c>
      <c r="AP38" s="125" t="str" cm="1">
        <f t="array" ref="AP38">IF(OR(AP$1=0, $A38="", _xlfn.XLOOKUP(AP$1, $Z$2:$Z$18, $AD$2:$AD$18, "")=""),"",SQRT((_xlfn.XLOOKUP(AP$1,$Z$2:$Z$18,$AA$2:$AA$18)-$T38)^2+(_xlfn.XLOOKUP(AP$1,$Z$2:$Z$18,$AB$2:$AB$18)-$U38)^2+(_xlfn.XLOOKUP(AP$1,$Z$2:$Z$18,$AC$2:$AC$18-$V38)^2)))</f>
        <v/>
      </c>
      <c r="AQ38" s="125" t="str" cm="1">
        <f t="array" ref="AQ38">IF(OR(AQ$1=0, $A38="", _xlfn.XLOOKUP(AQ$1, $Z$2:$Z$18, $AD$2:$AD$18, "")=""),"",SQRT((_xlfn.XLOOKUP(AQ$1,$Z$2:$Z$18,$AA$2:$AA$18)-$T38)^2+(_xlfn.XLOOKUP(AQ$1,$Z$2:$Z$18,$AB$2:$AB$18)-$U38)^2+(_xlfn.XLOOKUP(AQ$1,$Z$2:$Z$18,$AC$2:$AC$18-$V38)^2)))</f>
        <v/>
      </c>
      <c r="AR38" s="125" t="str" cm="1">
        <f t="array" ref="AR38">IF(OR(AR$1=0, $A38="", _xlfn.XLOOKUP(AR$1, $Z$2:$Z$18, $AD$2:$AD$18, "")=""),"",SQRT((_xlfn.XLOOKUP(AR$1,$Z$2:$Z$18,$AA$2:$AA$18)-$T38)^2+(_xlfn.XLOOKUP(AR$1,$Z$2:$Z$18,$AB$2:$AB$18)-$U38)^2+(_xlfn.XLOOKUP(AR$1,$Z$2:$Z$18,$AC$2:$AC$18-$V38)^2)))</f>
        <v/>
      </c>
      <c r="AS38" s="125" t="str" cm="1">
        <f t="array" ref="AS38">IF(OR(AS$1=0, $A38="", _xlfn.XLOOKUP(AS$1, $Z$2:$Z$18, $AD$2:$AD$18, "")=""),"",SQRT((_xlfn.XLOOKUP(AS$1,$Z$2:$Z$18,$AA$2:$AA$18)-$T38)^2+(_xlfn.XLOOKUP(AS$1,$Z$2:$Z$18,$AB$2:$AB$18)-$U38)^2+(_xlfn.XLOOKUP(AS$1,$Z$2:$Z$18,$AC$2:$AC$18-$V38)^2)))</f>
        <v/>
      </c>
      <c r="AT38" s="125" t="str" cm="1">
        <f t="array" ref="AT38">IF(OR(AT$1=0, $A38="", _xlfn.XLOOKUP(AT$1, $Z$2:$Z$18, $AD$2:$AD$18, "")=""),"",SQRT((_xlfn.XLOOKUP(AT$1,$Z$2:$Z$18,$AA$2:$AA$18)-$T38)^2+(_xlfn.XLOOKUP(AT$1,$Z$2:$Z$18,$AB$2:$AB$18)-$U38)^2+(_xlfn.XLOOKUP(AT$1,$Z$2:$Z$18,$AC$2:$AC$18-$V38)^2)))</f>
        <v/>
      </c>
      <c r="AU38" s="125" t="str" cm="1">
        <f t="array" ref="AU38">IF(OR(AU$1=0, $A38="", _xlfn.XLOOKUP(AU$1, $Z$2:$Z$18, $AD$2:$AD$18, "")=""),"",SQRT((_xlfn.XLOOKUP(AU$1,$Z$2:$Z$18,$AA$2:$AA$18)-$T38)^2+(_xlfn.XLOOKUP(AU$1,$Z$2:$Z$18,$AB$2:$AB$18)-$U38)^2+(_xlfn.XLOOKUP(AU$1,$Z$2:$Z$18,$AC$2:$AC$18-$V38)^2)))</f>
        <v/>
      </c>
      <c r="AV38" s="126" t="str" cm="1">
        <f t="array" ref="AV38">IF(OR(AV$1=0, $A38="", _xlfn.XLOOKUP(AV$1, $Z$2:$Z$18, $AD$2:$AD$18, "")=""),"",SQRT((_xlfn.XLOOKUP(AV$1,$Z$2:$Z$18,$AA$2:$AA$18)-$T38)^2+(_xlfn.XLOOKUP(AV$1,$Z$2:$Z$18,$AB$2:$AB$18)-$U38)^2+(_xlfn.XLOOKUP(AV$1,$Z$2:$Z$18,$AC$2:$AC$18-$V38)^2)))</f>
        <v/>
      </c>
      <c r="AW38" s="127"/>
      <c r="AX38" s="127"/>
      <c r="AY38" s="128">
        <f t="shared" si="19"/>
        <v>-44.414315199765042</v>
      </c>
      <c r="AZ38" s="137">
        <f t="shared" si="20"/>
        <v>-39.823349759925378</v>
      </c>
      <c r="BA38" s="137">
        <f t="shared" si="21"/>
        <v>-37.964734854222307</v>
      </c>
      <c r="BB38" s="137">
        <f t="shared" si="22"/>
        <v>-40.327221336628696</v>
      </c>
      <c r="BC38" s="137">
        <f t="shared" si="23"/>
        <v>-42.726568324128365</v>
      </c>
      <c r="BD38" s="137">
        <f t="shared" si="24"/>
        <v>-41.586254387600114</v>
      </c>
      <c r="BE38" s="137">
        <f t="shared" si="25"/>
        <v>-41.586254387600114</v>
      </c>
      <c r="BF38" s="137">
        <f t="shared" si="26"/>
        <v>0</v>
      </c>
      <c r="BG38" s="138">
        <f t="shared" si="27"/>
        <v>0</v>
      </c>
      <c r="BH38" s="138">
        <f t="shared" si="28"/>
        <v>0</v>
      </c>
      <c r="BI38" s="138">
        <f t="shared" si="29"/>
        <v>0</v>
      </c>
      <c r="BJ38" s="138">
        <f t="shared" si="30"/>
        <v>0</v>
      </c>
      <c r="BK38" s="138">
        <f t="shared" si="31"/>
        <v>0</v>
      </c>
      <c r="BL38" s="138">
        <f t="shared" si="32"/>
        <v>0</v>
      </c>
      <c r="BM38" s="139">
        <f t="shared" si="33"/>
        <v>0</v>
      </c>
      <c r="BN38" s="127"/>
      <c r="BO38" s="54" t="s">
        <v>69</v>
      </c>
      <c r="BP38" s="54" t="s">
        <v>70</v>
      </c>
      <c r="BQ38" s="18"/>
      <c r="BR38" s="127"/>
      <c r="BS38" s="127"/>
      <c r="BT38" s="127"/>
      <c r="BU38" s="127"/>
      <c r="BV38" s="133"/>
      <c r="BW38" s="133">
        <v>7</v>
      </c>
      <c r="BX38" s="133">
        <v>14</v>
      </c>
      <c r="BY38" s="133">
        <v>15</v>
      </c>
      <c r="BZ38" s="133">
        <v>9</v>
      </c>
      <c r="CA38" s="133">
        <v>2</v>
      </c>
      <c r="CB38" s="133"/>
      <c r="CC38" s="133"/>
      <c r="CD38" s="133"/>
      <c r="CE38" s="133"/>
      <c r="CF38" s="133"/>
      <c r="CG38" s="133"/>
      <c r="CH38" s="133"/>
      <c r="CI38" s="133"/>
      <c r="CJ38" s="133"/>
      <c r="CL38" s="127"/>
      <c r="CM38" s="133" t="s">
        <v>32</v>
      </c>
      <c r="CN38" s="133"/>
      <c r="CO38" s="133" t="s">
        <v>32</v>
      </c>
      <c r="CP38" s="133" t="s">
        <v>32</v>
      </c>
      <c r="CQ38" s="133" t="s">
        <v>32</v>
      </c>
      <c r="CR38" s="133" t="s">
        <v>32</v>
      </c>
      <c r="CS38" s="133"/>
      <c r="CT38" s="133"/>
      <c r="CU38" s="133"/>
      <c r="CV38" s="133"/>
      <c r="CW38" s="133"/>
      <c r="CX38" s="133"/>
      <c r="CY38" s="133"/>
      <c r="CZ38" s="133"/>
      <c r="DA38" s="133"/>
      <c r="DB38" s="127"/>
      <c r="DC38" s="127"/>
      <c r="DD38" s="133"/>
      <c r="DE38" s="133"/>
      <c r="DF38" s="133"/>
      <c r="DG38" s="133"/>
      <c r="DH38" s="133"/>
      <c r="DI38" s="133"/>
      <c r="DJ38" s="133"/>
      <c r="DK38" s="133"/>
      <c r="DL38" s="133"/>
      <c r="DM38" s="133"/>
      <c r="DN38" s="133"/>
      <c r="DO38" s="133"/>
      <c r="DP38" s="133"/>
      <c r="DQ38" s="133"/>
      <c r="DR38" s="133"/>
      <c r="DT38" s="127"/>
      <c r="DU38" s="191" cm="1">
        <f t="array" ref="DU38">_xlfn.IFS(DU$1= 0,"", NOT(ISBLANK(CM38)), 0, ISBLANK(CM38), $Q38-$S38+AY38-BV38-DD38)</f>
        <v>0</v>
      </c>
      <c r="DV38" s="192" cm="1">
        <f t="array" ref="DV38">_xlfn.IFS(DV$1= 0,"", NOT(ISBLANK(CN38)), 0, ISBLANK(CN38), $Q38-$S38+AZ38-BW38-DE38)</f>
        <v>10.176650240074622</v>
      </c>
      <c r="DW38" s="192" cm="1">
        <f t="array" ref="DW38">_xlfn.IFS(DW$1= 0,"", NOT(ISBLANK(CO38)), 0, ISBLANK(CO38), $Q38-$S38+BA38-BX38-DF38)</f>
        <v>0</v>
      </c>
      <c r="DX38" s="192" cm="1">
        <f t="array" ref="DX38">_xlfn.IFS(DX$1= 0,"", NOT(ISBLANK(CP38)), 0, ISBLANK(CP38), $Q38-$S38+BB38-BY38-DG38)</f>
        <v>0</v>
      </c>
      <c r="DY38" s="192" cm="1">
        <f t="array" ref="DY38">_xlfn.IFS(DY$1= 0,"", NOT(ISBLANK(CQ38)), 0, ISBLANK(CQ38), $Q38-$S38+BC38-BZ38-DH38)</f>
        <v>0</v>
      </c>
      <c r="DZ38" s="192" cm="1">
        <f t="array" ref="DZ38">_xlfn.IFS(DZ$1= 0,"", NOT(ISBLANK(CR38)), 0, ISBLANK(CR38), $Q38-$S38+BD38-CA38-DI38)</f>
        <v>0</v>
      </c>
      <c r="EA38" s="192" cm="1">
        <f t="array" ref="EA38">_xlfn.IFS(EA$1= 0,"", NOT(ISBLANK(CS38)), 0, ISBLANK(CS38), $Q38-$S38+BE38-CB38-DJ38)</f>
        <v>15.413745612399886</v>
      </c>
      <c r="EB38" s="192" t="str" cm="1">
        <f t="array" ref="EB38">_xlfn.IFS(EB$1= 0,"", NOT(ISBLANK(CT38)), 0, ISBLANK(CT38), $Q38-$S38+BF38-CC38-DK38)</f>
        <v/>
      </c>
      <c r="EC38" s="192" t="str" cm="1">
        <f t="array" ref="EC38">_xlfn.IFS(EC$1= 0,"", NOT(ISBLANK(CU38)), 0, ISBLANK(CU38), $Q38-$S38+BG38-CD38-DL38)</f>
        <v/>
      </c>
      <c r="ED38" s="192" t="str" cm="1">
        <f t="array" ref="ED38">_xlfn.IFS(ED$1= 0,"", NOT(ISBLANK(CV38)), 0, ISBLANK(CV38), $Q38-$S38+BH38-CE38-DM38)</f>
        <v/>
      </c>
      <c r="EE38" s="192" t="str" cm="1">
        <f t="array" ref="EE38">_xlfn.IFS(EE$1= 0,"", NOT(ISBLANK(CW38)), 0, ISBLANK(CW38), $Q38-$S38+BI38-CF38-DN38)</f>
        <v/>
      </c>
      <c r="EF38" s="192" t="str" cm="1">
        <f t="array" ref="EF38">_xlfn.IFS(EF$1= 0,"", NOT(ISBLANK(CX38)), 0, ISBLANK(CX38), $Q38-$S38+BJ38-CG38-DO38)</f>
        <v/>
      </c>
      <c r="EG38" s="192" t="str" cm="1">
        <f t="array" ref="EG38">_xlfn.IFS(EG$1= 0,"", NOT(ISBLANK(CY38)), 0, ISBLANK(CY38), $Q38-$S38+BK38-CH38-DP38)</f>
        <v/>
      </c>
      <c r="EH38" s="192" t="str" cm="1">
        <f t="array" ref="EH38">_xlfn.IFS(EH$1= 0,"", NOT(ISBLANK(CZ38)), 0, ISBLANK(CZ38), $Q38-$S38+BL38-CI38-DQ38)</f>
        <v/>
      </c>
      <c r="EI38" s="193" t="str" cm="1">
        <f t="array" ref="EI38">_xlfn.IFS(EI$1= 0,"", NOT(ISBLANK(DA38)), 0, ISBLANK(DA38), $Q38-$S38+BM38-CJ38-DR38)</f>
        <v/>
      </c>
    </row>
    <row r="39" spans="1:139" ht="16.5" customHeight="1" x14ac:dyDescent="0.3">
      <c r="A39" s="183"/>
      <c r="B39" s="134"/>
      <c r="C39" s="134"/>
      <c r="D39" s="135"/>
      <c r="E39" s="166"/>
      <c r="F39" s="174"/>
      <c r="G39" s="3"/>
      <c r="H39" s="3"/>
      <c r="I39" s="3"/>
      <c r="J39" s="3"/>
      <c r="K39" s="3"/>
      <c r="L39" s="3"/>
      <c r="M39" s="178"/>
      <c r="N39" s="174"/>
      <c r="O39" s="175"/>
      <c r="P39" s="169"/>
      <c r="Q39" s="122">
        <f t="shared" si="18"/>
        <v>0</v>
      </c>
      <c r="R39" s="2"/>
      <c r="S39" s="2"/>
      <c r="T39" s="3"/>
      <c r="U39" s="3"/>
      <c r="V39" s="104">
        <f t="shared" si="2"/>
        <v>0</v>
      </c>
      <c r="W39" s="149"/>
      <c r="X39" s="136"/>
      <c r="Z39" s="110" t="s">
        <v>123</v>
      </c>
      <c r="AA39" s="108">
        <v>162.13999999999999</v>
      </c>
      <c r="AB39" s="49">
        <v>146.19</v>
      </c>
      <c r="AC39" s="102">
        <v>75.400000000000006</v>
      </c>
      <c r="AD39" s="49">
        <v>163.24</v>
      </c>
      <c r="AE39" s="49">
        <v>141.24</v>
      </c>
      <c r="AF39" s="50">
        <v>75.400000000000006</v>
      </c>
      <c r="AH39" s="185" t="str" cm="1">
        <f t="array" ref="AH39">IF(OR(AH$1=0, $A39="", _xlfn.XLOOKUP(AH$1, $Z$2:$Z$18, $AD$2:$AD$18, "")=""),"",SQRT((_xlfn.XLOOKUP(AH$1,$Z$2:$Z$18,$AA$2:$AA$18)-$T39)^2+(_xlfn.XLOOKUP(AH$1,$Z$2:$Z$18,$AB$2:$AB$18)-$U39)^2+(_xlfn.XLOOKUP(AH$1,$Z$2:$Z$18,$AC$2:$AC$18-$V39)^2)))</f>
        <v/>
      </c>
      <c r="AI39" s="124" t="str" cm="1">
        <f t="array" ref="AI39">IF(OR(AI$1=0, $A39="", _xlfn.XLOOKUP(AI$1, $Z$2:$Z$18, $AD$2:$AD$18, "")=""),"",SQRT((_xlfn.XLOOKUP(AI$1,$Z$2:$Z$18,$AA$2:$AA$18)-$T39)^2+(_xlfn.XLOOKUP(AI$1,$Z$2:$Z$18,$AB$2:$AB$18)-$U39)^2+(_xlfn.XLOOKUP(AI$1,$Z$2:$Z$18,$AC$2:$AC$18-$V39)^2)))</f>
        <v/>
      </c>
      <c r="AJ39" s="124" t="str" cm="1">
        <f t="array" ref="AJ39">IF(OR(AJ$1=0, $A39="", _xlfn.XLOOKUP(AJ$1, $Z$2:$Z$18, $AD$2:$AD$18, "")=""),"",SQRT((_xlfn.XLOOKUP(AJ$1,$Z$2:$Z$18,$AA$2:$AA$18)-$T39)^2+(_xlfn.XLOOKUP(AJ$1,$Z$2:$Z$18,$AB$2:$AB$18)-$U39)^2+(_xlfn.XLOOKUP(AJ$1,$Z$2:$Z$18,$AC$2:$AC$18-$V39)^2)))</f>
        <v/>
      </c>
      <c r="AK39" s="124" t="str" cm="1">
        <f t="array" ref="AK39">IF(OR(AK$1=0, $A39="", _xlfn.XLOOKUP(AK$1, $Z$2:$Z$18, $AD$2:$AD$18, "")=""),"",SQRT((_xlfn.XLOOKUP(AK$1,$Z$2:$Z$18,$AA$2:$AA$18)-$T39)^2+(_xlfn.XLOOKUP(AK$1,$Z$2:$Z$18,$AB$2:$AB$18)-$U39)^2+(_xlfn.XLOOKUP(AK$1,$Z$2:$Z$18,$AC$2:$AC$18-$V39)^2)))</f>
        <v/>
      </c>
      <c r="AL39" s="124" t="str" cm="1">
        <f t="array" ref="AL39">IF(OR(AL$1=0, $A39="", _xlfn.XLOOKUP(AL$1, $Z$2:$Z$18, $AD$2:$AD$18, "")=""),"",SQRT((_xlfn.XLOOKUP(AL$1,$Z$2:$Z$18,$AA$2:$AA$18)-$T39)^2+(_xlfn.XLOOKUP(AL$1,$Z$2:$Z$18,$AB$2:$AB$18)-$U39)^2+(_xlfn.XLOOKUP(AL$1,$Z$2:$Z$18,$AC$2:$AC$18-$V39)^2)))</f>
        <v/>
      </c>
      <c r="AM39" s="124" t="str" cm="1">
        <f t="array" ref="AM39">IF(OR(AM$1=0, $A39="", _xlfn.XLOOKUP(AM$1, $Z$2:$Z$18, $AD$2:$AD$18, "")=""),"",SQRT((_xlfn.XLOOKUP(AM$1,$Z$2:$Z$18,$AA$2:$AA$18)-$T39)^2+(_xlfn.XLOOKUP(AM$1,$Z$2:$Z$18,$AB$2:$AB$18)-$U39)^2+(_xlfn.XLOOKUP(AM$1,$Z$2:$Z$18,$AC$2:$AC$18-$V39)^2)))</f>
        <v/>
      </c>
      <c r="AN39" s="124" t="str" cm="1">
        <f t="array" ref="AN39">IF(OR(AN$1=0, $A39="", _xlfn.XLOOKUP(AN$1, $Z$2:$Z$18, $AD$2:$AD$18, "")=""),"",SQRT((_xlfn.XLOOKUP(AN$1,$Z$2:$Z$18,$AA$2:$AA$18)-$T39)^2+(_xlfn.XLOOKUP(AN$1,$Z$2:$Z$18,$AB$2:$AB$18)-$U39)^2+(_xlfn.XLOOKUP(AN$1,$Z$2:$Z$18,$AC$2:$AC$18-$V39)^2)))</f>
        <v/>
      </c>
      <c r="AO39" s="124" t="str" cm="1">
        <f t="array" ref="AO39">IF(OR(AO$1=0, $A39="", _xlfn.XLOOKUP(AO$1, $Z$2:$Z$18, $AD$2:$AD$18, "")=""),"",SQRT((_xlfn.XLOOKUP(AO$1,$Z$2:$Z$18,$AA$2:$AA$18)-$T39)^2+(_xlfn.XLOOKUP(AO$1,$Z$2:$Z$18,$AB$2:$AB$18)-$U39)^2+(_xlfn.XLOOKUP(AO$1,$Z$2:$Z$18,$AC$2:$AC$18-$V39)^2)))</f>
        <v/>
      </c>
      <c r="AP39" s="125" t="str" cm="1">
        <f t="array" ref="AP39">IF(OR(AP$1=0, $A39="", _xlfn.XLOOKUP(AP$1, $Z$2:$Z$18, $AD$2:$AD$18, "")=""),"",SQRT((_xlfn.XLOOKUP(AP$1,$Z$2:$Z$18,$AA$2:$AA$18)-$T39)^2+(_xlfn.XLOOKUP(AP$1,$Z$2:$Z$18,$AB$2:$AB$18)-$U39)^2+(_xlfn.XLOOKUP(AP$1,$Z$2:$Z$18,$AC$2:$AC$18-$V39)^2)))</f>
        <v/>
      </c>
      <c r="AQ39" s="125" t="str" cm="1">
        <f t="array" ref="AQ39">IF(OR(AQ$1=0, $A39="", _xlfn.XLOOKUP(AQ$1, $Z$2:$Z$18, $AD$2:$AD$18, "")=""),"",SQRT((_xlfn.XLOOKUP(AQ$1,$Z$2:$Z$18,$AA$2:$AA$18)-$T39)^2+(_xlfn.XLOOKUP(AQ$1,$Z$2:$Z$18,$AB$2:$AB$18)-$U39)^2+(_xlfn.XLOOKUP(AQ$1,$Z$2:$Z$18,$AC$2:$AC$18-$V39)^2)))</f>
        <v/>
      </c>
      <c r="AR39" s="125" t="str" cm="1">
        <f t="array" ref="AR39">IF(OR(AR$1=0, $A39="", _xlfn.XLOOKUP(AR$1, $Z$2:$Z$18, $AD$2:$AD$18, "")=""),"",SQRT((_xlfn.XLOOKUP(AR$1,$Z$2:$Z$18,$AA$2:$AA$18)-$T39)^2+(_xlfn.XLOOKUP(AR$1,$Z$2:$Z$18,$AB$2:$AB$18)-$U39)^2+(_xlfn.XLOOKUP(AR$1,$Z$2:$Z$18,$AC$2:$AC$18-$V39)^2)))</f>
        <v/>
      </c>
      <c r="AS39" s="125" t="str" cm="1">
        <f t="array" ref="AS39">IF(OR(AS$1=0, $A39="", _xlfn.XLOOKUP(AS$1, $Z$2:$Z$18, $AD$2:$AD$18, "")=""),"",SQRT((_xlfn.XLOOKUP(AS$1,$Z$2:$Z$18,$AA$2:$AA$18)-$T39)^2+(_xlfn.XLOOKUP(AS$1,$Z$2:$Z$18,$AB$2:$AB$18)-$U39)^2+(_xlfn.XLOOKUP(AS$1,$Z$2:$Z$18,$AC$2:$AC$18-$V39)^2)))</f>
        <v/>
      </c>
      <c r="AT39" s="125" t="str" cm="1">
        <f t="array" ref="AT39">IF(OR(AT$1=0, $A39="", _xlfn.XLOOKUP(AT$1, $Z$2:$Z$18, $AD$2:$AD$18, "")=""),"",SQRT((_xlfn.XLOOKUP(AT$1,$Z$2:$Z$18,$AA$2:$AA$18)-$T39)^2+(_xlfn.XLOOKUP(AT$1,$Z$2:$Z$18,$AB$2:$AB$18)-$U39)^2+(_xlfn.XLOOKUP(AT$1,$Z$2:$Z$18,$AC$2:$AC$18-$V39)^2)))</f>
        <v/>
      </c>
      <c r="AU39" s="125" t="str" cm="1">
        <f t="array" ref="AU39">IF(OR(AU$1=0, $A39="", _xlfn.XLOOKUP(AU$1, $Z$2:$Z$18, $AD$2:$AD$18, "")=""),"",SQRT((_xlfn.XLOOKUP(AU$1,$Z$2:$Z$18,$AA$2:$AA$18)-$T39)^2+(_xlfn.XLOOKUP(AU$1,$Z$2:$Z$18,$AB$2:$AB$18)-$U39)^2+(_xlfn.XLOOKUP(AU$1,$Z$2:$Z$18,$AC$2:$AC$18-$V39)^2)))</f>
        <v/>
      </c>
      <c r="AV39" s="126" t="str" cm="1">
        <f t="array" ref="AV39">IF(OR(AV$1=0, $A39="", _xlfn.XLOOKUP(AV$1, $Z$2:$Z$18, $AD$2:$AD$18, "")=""),"",SQRT((_xlfn.XLOOKUP(AV$1,$Z$2:$Z$18,$AA$2:$AA$18)-$T39)^2+(_xlfn.XLOOKUP(AV$1,$Z$2:$Z$18,$AB$2:$AB$18)-$U39)^2+(_xlfn.XLOOKUP(AV$1,$Z$2:$Z$18,$AC$2:$AC$18-$V39)^2)))</f>
        <v/>
      </c>
      <c r="AW39" s="127"/>
      <c r="AX39" s="127"/>
      <c r="AY39" s="128">
        <f t="shared" si="19"/>
        <v>0</v>
      </c>
      <c r="AZ39" s="137">
        <f t="shared" si="20"/>
        <v>0</v>
      </c>
      <c r="BA39" s="137">
        <f t="shared" si="21"/>
        <v>0</v>
      </c>
      <c r="BB39" s="137">
        <f t="shared" si="22"/>
        <v>0</v>
      </c>
      <c r="BC39" s="137">
        <f t="shared" si="23"/>
        <v>0</v>
      </c>
      <c r="BD39" s="137">
        <f t="shared" si="24"/>
        <v>0</v>
      </c>
      <c r="BE39" s="137">
        <f t="shared" si="25"/>
        <v>0</v>
      </c>
      <c r="BF39" s="137">
        <f t="shared" si="26"/>
        <v>0</v>
      </c>
      <c r="BG39" s="138">
        <f t="shared" si="27"/>
        <v>0</v>
      </c>
      <c r="BH39" s="138">
        <f t="shared" si="28"/>
        <v>0</v>
      </c>
      <c r="BI39" s="138">
        <f t="shared" si="29"/>
        <v>0</v>
      </c>
      <c r="BJ39" s="138">
        <f t="shared" si="30"/>
        <v>0</v>
      </c>
      <c r="BK39" s="138">
        <f t="shared" si="31"/>
        <v>0</v>
      </c>
      <c r="BL39" s="138">
        <f t="shared" si="32"/>
        <v>0</v>
      </c>
      <c r="BM39" s="139">
        <f t="shared" si="33"/>
        <v>0</v>
      </c>
      <c r="BN39" s="127"/>
      <c r="BO39" s="53">
        <v>0</v>
      </c>
      <c r="BP39" s="53">
        <v>0</v>
      </c>
      <c r="BQ39" s="18"/>
      <c r="BR39" s="127"/>
      <c r="BS39" s="127"/>
      <c r="BT39" s="127"/>
      <c r="BU39" s="127"/>
      <c r="BV39" s="133"/>
      <c r="BW39" s="133"/>
      <c r="BX39" s="133"/>
      <c r="BY39" s="133"/>
      <c r="BZ39" s="133"/>
      <c r="CA39" s="133"/>
      <c r="CB39" s="133"/>
      <c r="CC39" s="133"/>
      <c r="CD39" s="133"/>
      <c r="CE39" s="133"/>
      <c r="CF39" s="133"/>
      <c r="CG39" s="133"/>
      <c r="CH39" s="133"/>
      <c r="CI39" s="133"/>
      <c r="CJ39" s="133"/>
      <c r="CL39" s="127"/>
      <c r="CM39" s="133" t="s">
        <v>32</v>
      </c>
      <c r="CN39" s="133"/>
      <c r="CO39" s="133"/>
      <c r="CP39" s="133"/>
      <c r="CQ39" s="133"/>
      <c r="CR39" s="133"/>
      <c r="CS39" s="133"/>
      <c r="CT39" s="133"/>
      <c r="CU39" s="133"/>
      <c r="CV39" s="133"/>
      <c r="CW39" s="133"/>
      <c r="CX39" s="133"/>
      <c r="CY39" s="133"/>
      <c r="CZ39" s="133"/>
      <c r="DA39" s="133"/>
      <c r="DB39" s="127"/>
      <c r="DC39" s="127"/>
      <c r="DD39" s="133"/>
      <c r="DE39" s="133"/>
      <c r="DF39" s="133"/>
      <c r="DG39" s="133"/>
      <c r="DH39" s="133"/>
      <c r="DI39" s="133"/>
      <c r="DJ39" s="133"/>
      <c r="DK39" s="133"/>
      <c r="DL39" s="133"/>
      <c r="DM39" s="133"/>
      <c r="DN39" s="133"/>
      <c r="DO39" s="133"/>
      <c r="DP39" s="133"/>
      <c r="DQ39" s="133"/>
      <c r="DR39" s="133"/>
      <c r="DT39" s="127"/>
      <c r="DU39" s="191" cm="1">
        <f t="array" ref="DU39">_xlfn.IFS(DU$1= 0,"", NOT(ISBLANK(CM39)), 0, ISBLANK(CM39), $Q39-$S39+AY39-BV39-DD39)</f>
        <v>0</v>
      </c>
      <c r="DV39" s="192" cm="1">
        <f t="array" ref="DV39">_xlfn.IFS(DV$1= 0,"", NOT(ISBLANK(CN39)), 0, ISBLANK(CN39), $Q39-$S39+AZ39-BW39-DE39)</f>
        <v>0</v>
      </c>
      <c r="DW39" s="192" cm="1">
        <f t="array" ref="DW39">_xlfn.IFS(DW$1= 0,"", NOT(ISBLANK(CO39)), 0, ISBLANK(CO39), $Q39-$S39+BA39-BX39-DF39)</f>
        <v>0</v>
      </c>
      <c r="DX39" s="192" cm="1">
        <f t="array" ref="DX39">_xlfn.IFS(DX$1= 0,"", NOT(ISBLANK(CP39)), 0, ISBLANK(CP39), $Q39-$S39+BB39-BY39-DG39)</f>
        <v>0</v>
      </c>
      <c r="DY39" s="192" cm="1">
        <f t="array" ref="DY39">_xlfn.IFS(DY$1= 0,"", NOT(ISBLANK(CQ39)), 0, ISBLANK(CQ39), $Q39-$S39+BC39-BZ39-DH39)</f>
        <v>0</v>
      </c>
      <c r="DZ39" s="192" cm="1">
        <f t="array" ref="DZ39">_xlfn.IFS(DZ$1= 0,"", NOT(ISBLANK(CR39)), 0, ISBLANK(CR39), $Q39-$S39+BD39-CA39-DI39)</f>
        <v>0</v>
      </c>
      <c r="EA39" s="192" cm="1">
        <f t="array" ref="EA39">_xlfn.IFS(EA$1= 0,"", NOT(ISBLANK(CS39)), 0, ISBLANK(CS39), $Q39-$S39+BE39-CB39-DJ39)</f>
        <v>0</v>
      </c>
      <c r="EB39" s="192" t="str" cm="1">
        <f t="array" ref="EB39">_xlfn.IFS(EB$1= 0,"", NOT(ISBLANK(CT39)), 0, ISBLANK(CT39), $Q39-$S39+BF39-CC39-DK39)</f>
        <v/>
      </c>
      <c r="EC39" s="192" t="str" cm="1">
        <f t="array" ref="EC39">_xlfn.IFS(EC$1= 0,"", NOT(ISBLANK(CU39)), 0, ISBLANK(CU39), $Q39-$S39+BG39-CD39-DL39)</f>
        <v/>
      </c>
      <c r="ED39" s="192" t="str" cm="1">
        <f t="array" ref="ED39">_xlfn.IFS(ED$1= 0,"", NOT(ISBLANK(CV39)), 0, ISBLANK(CV39), $Q39-$S39+BH39-CE39-DM39)</f>
        <v/>
      </c>
      <c r="EE39" s="192" t="str" cm="1">
        <f t="array" ref="EE39">_xlfn.IFS(EE$1= 0,"", NOT(ISBLANK(CW39)), 0, ISBLANK(CW39), $Q39-$S39+BI39-CF39-DN39)</f>
        <v/>
      </c>
      <c r="EF39" s="192" t="str" cm="1">
        <f t="array" ref="EF39">_xlfn.IFS(EF$1= 0,"", NOT(ISBLANK(CX39)), 0, ISBLANK(CX39), $Q39-$S39+BJ39-CG39-DO39)</f>
        <v/>
      </c>
      <c r="EG39" s="192" t="str" cm="1">
        <f t="array" ref="EG39">_xlfn.IFS(EG$1= 0,"", NOT(ISBLANK(CY39)), 0, ISBLANK(CY39), $Q39-$S39+BK39-CH39-DP39)</f>
        <v/>
      </c>
      <c r="EH39" s="192" t="str" cm="1">
        <f t="array" ref="EH39">_xlfn.IFS(EH$1= 0,"", NOT(ISBLANK(CZ39)), 0, ISBLANK(CZ39), $Q39-$S39+BL39-CI39-DQ39)</f>
        <v/>
      </c>
      <c r="EI39" s="193" t="str" cm="1">
        <f t="array" ref="EI39">_xlfn.IFS(EI$1= 0,"", NOT(ISBLANK(DA39)), 0, ISBLANK(DA39), $Q39-$S39+BM39-CJ39-DR39)</f>
        <v/>
      </c>
    </row>
    <row r="40" spans="1:139" ht="16.5" customHeight="1" x14ac:dyDescent="0.3">
      <c r="A40" s="183"/>
      <c r="B40" s="134"/>
      <c r="C40" s="134"/>
      <c r="D40" s="135"/>
      <c r="E40" s="166"/>
      <c r="F40" s="174"/>
      <c r="G40" s="3"/>
      <c r="H40" s="3"/>
      <c r="I40" s="3"/>
      <c r="J40" s="3"/>
      <c r="K40" s="3"/>
      <c r="L40" s="3"/>
      <c r="M40" s="178"/>
      <c r="N40" s="174"/>
      <c r="O40" s="175"/>
      <c r="P40" s="169"/>
      <c r="Q40" s="122">
        <f t="shared" si="18"/>
        <v>0</v>
      </c>
      <c r="R40" s="2"/>
      <c r="S40" s="2"/>
      <c r="T40" s="3"/>
      <c r="U40" s="3"/>
      <c r="V40" s="104">
        <f t="shared" si="2"/>
        <v>0</v>
      </c>
      <c r="W40" s="149"/>
      <c r="X40" s="136"/>
      <c r="Z40" s="110" t="s">
        <v>124</v>
      </c>
      <c r="AA40" s="108">
        <v>162.36000000000001</v>
      </c>
      <c r="AB40" s="49">
        <v>146.08000000000001</v>
      </c>
      <c r="AC40" s="102">
        <v>75.400000000000006</v>
      </c>
      <c r="AD40" s="49">
        <v>69.52</v>
      </c>
      <c r="AE40" s="49">
        <v>127.6</v>
      </c>
      <c r="AF40" s="50">
        <v>75.400000000000006</v>
      </c>
      <c r="AH40" s="185" t="str" cm="1">
        <f t="array" ref="AH40">IF(OR(AH$1=0, $A40="", _xlfn.XLOOKUP(AH$1, $Z$2:$Z$18, $AD$2:$AD$18, "")=""),"",SQRT((_xlfn.XLOOKUP(AH$1,$Z$2:$Z$18,$AA$2:$AA$18)-$T40)^2+(_xlfn.XLOOKUP(AH$1,$Z$2:$Z$18,$AB$2:$AB$18)-$U40)^2+(_xlfn.XLOOKUP(AH$1,$Z$2:$Z$18,$AC$2:$AC$18-$V40)^2)))</f>
        <v/>
      </c>
      <c r="AI40" s="124" t="str" cm="1">
        <f t="array" ref="AI40">IF(OR(AI$1=0, $A40="", _xlfn.XLOOKUP(AI$1, $Z$2:$Z$18, $AD$2:$AD$18, "")=""),"",SQRT((_xlfn.XLOOKUP(AI$1,$Z$2:$Z$18,$AA$2:$AA$18)-$T40)^2+(_xlfn.XLOOKUP(AI$1,$Z$2:$Z$18,$AB$2:$AB$18)-$U40)^2+(_xlfn.XLOOKUP(AI$1,$Z$2:$Z$18,$AC$2:$AC$18-$V40)^2)))</f>
        <v/>
      </c>
      <c r="AJ40" s="124" t="str" cm="1">
        <f t="array" ref="AJ40">IF(OR(AJ$1=0, $A40="", _xlfn.XLOOKUP(AJ$1, $Z$2:$Z$18, $AD$2:$AD$18, "")=""),"",SQRT((_xlfn.XLOOKUP(AJ$1,$Z$2:$Z$18,$AA$2:$AA$18)-$T40)^2+(_xlfn.XLOOKUP(AJ$1,$Z$2:$Z$18,$AB$2:$AB$18)-$U40)^2+(_xlfn.XLOOKUP(AJ$1,$Z$2:$Z$18,$AC$2:$AC$18-$V40)^2)))</f>
        <v/>
      </c>
      <c r="AK40" s="124" t="str" cm="1">
        <f t="array" ref="AK40">IF(OR(AK$1=0, $A40="", _xlfn.XLOOKUP(AK$1, $Z$2:$Z$18, $AD$2:$AD$18, "")=""),"",SQRT((_xlfn.XLOOKUP(AK$1,$Z$2:$Z$18,$AA$2:$AA$18)-$T40)^2+(_xlfn.XLOOKUP(AK$1,$Z$2:$Z$18,$AB$2:$AB$18)-$U40)^2+(_xlfn.XLOOKUP(AK$1,$Z$2:$Z$18,$AC$2:$AC$18-$V40)^2)))</f>
        <v/>
      </c>
      <c r="AL40" s="124" t="str" cm="1">
        <f t="array" ref="AL40">IF(OR(AL$1=0, $A40="", _xlfn.XLOOKUP(AL$1, $Z$2:$Z$18, $AD$2:$AD$18, "")=""),"",SQRT((_xlfn.XLOOKUP(AL$1,$Z$2:$Z$18,$AA$2:$AA$18)-$T40)^2+(_xlfn.XLOOKUP(AL$1,$Z$2:$Z$18,$AB$2:$AB$18)-$U40)^2+(_xlfn.XLOOKUP(AL$1,$Z$2:$Z$18,$AC$2:$AC$18-$V40)^2)))</f>
        <v/>
      </c>
      <c r="AM40" s="124" t="str" cm="1">
        <f t="array" ref="AM40">IF(OR(AM$1=0, $A40="", _xlfn.XLOOKUP(AM$1, $Z$2:$Z$18, $AD$2:$AD$18, "")=""),"",SQRT((_xlfn.XLOOKUP(AM$1,$Z$2:$Z$18,$AA$2:$AA$18)-$T40)^2+(_xlfn.XLOOKUP(AM$1,$Z$2:$Z$18,$AB$2:$AB$18)-$U40)^2+(_xlfn.XLOOKUP(AM$1,$Z$2:$Z$18,$AC$2:$AC$18-$V40)^2)))</f>
        <v/>
      </c>
      <c r="AN40" s="124" t="str" cm="1">
        <f t="array" ref="AN40">IF(OR(AN$1=0, $A40="", _xlfn.XLOOKUP(AN$1, $Z$2:$Z$18, $AD$2:$AD$18, "")=""),"",SQRT((_xlfn.XLOOKUP(AN$1,$Z$2:$Z$18,$AA$2:$AA$18)-$T40)^2+(_xlfn.XLOOKUP(AN$1,$Z$2:$Z$18,$AB$2:$AB$18)-$U40)^2+(_xlfn.XLOOKUP(AN$1,$Z$2:$Z$18,$AC$2:$AC$18-$V40)^2)))</f>
        <v/>
      </c>
      <c r="AO40" s="124" t="str" cm="1">
        <f t="array" ref="AO40">IF(OR(AO$1=0, $A40="", _xlfn.XLOOKUP(AO$1, $Z$2:$Z$18, $AD$2:$AD$18, "")=""),"",SQRT((_xlfn.XLOOKUP(AO$1,$Z$2:$Z$18,$AA$2:$AA$18)-$T40)^2+(_xlfn.XLOOKUP(AO$1,$Z$2:$Z$18,$AB$2:$AB$18)-$U40)^2+(_xlfn.XLOOKUP(AO$1,$Z$2:$Z$18,$AC$2:$AC$18-$V40)^2)))</f>
        <v/>
      </c>
      <c r="AP40" s="125" t="str" cm="1">
        <f t="array" ref="AP40">IF(OR(AP$1=0, $A40="", _xlfn.XLOOKUP(AP$1, $Z$2:$Z$18, $AD$2:$AD$18, "")=""),"",SQRT((_xlfn.XLOOKUP(AP$1,$Z$2:$Z$18,$AA$2:$AA$18)-$T40)^2+(_xlfn.XLOOKUP(AP$1,$Z$2:$Z$18,$AB$2:$AB$18)-$U40)^2+(_xlfn.XLOOKUP(AP$1,$Z$2:$Z$18,$AC$2:$AC$18-$V40)^2)))</f>
        <v/>
      </c>
      <c r="AQ40" s="125" t="str" cm="1">
        <f t="array" ref="AQ40">IF(OR(AQ$1=0, $A40="", _xlfn.XLOOKUP(AQ$1, $Z$2:$Z$18, $AD$2:$AD$18, "")=""),"",SQRT((_xlfn.XLOOKUP(AQ$1,$Z$2:$Z$18,$AA$2:$AA$18)-$T40)^2+(_xlfn.XLOOKUP(AQ$1,$Z$2:$Z$18,$AB$2:$AB$18)-$U40)^2+(_xlfn.XLOOKUP(AQ$1,$Z$2:$Z$18,$AC$2:$AC$18-$V40)^2)))</f>
        <v/>
      </c>
      <c r="AR40" s="125" t="str" cm="1">
        <f t="array" ref="AR40">IF(OR(AR$1=0, $A40="", _xlfn.XLOOKUP(AR$1, $Z$2:$Z$18, $AD$2:$AD$18, "")=""),"",SQRT((_xlfn.XLOOKUP(AR$1,$Z$2:$Z$18,$AA$2:$AA$18)-$T40)^2+(_xlfn.XLOOKUP(AR$1,$Z$2:$Z$18,$AB$2:$AB$18)-$U40)^2+(_xlfn.XLOOKUP(AR$1,$Z$2:$Z$18,$AC$2:$AC$18-$V40)^2)))</f>
        <v/>
      </c>
      <c r="AS40" s="125" t="str" cm="1">
        <f t="array" ref="AS40">IF(OR(AS$1=0, $A40="", _xlfn.XLOOKUP(AS$1, $Z$2:$Z$18, $AD$2:$AD$18, "")=""),"",SQRT((_xlfn.XLOOKUP(AS$1,$Z$2:$Z$18,$AA$2:$AA$18)-$T40)^2+(_xlfn.XLOOKUP(AS$1,$Z$2:$Z$18,$AB$2:$AB$18)-$U40)^2+(_xlfn.XLOOKUP(AS$1,$Z$2:$Z$18,$AC$2:$AC$18-$V40)^2)))</f>
        <v/>
      </c>
      <c r="AT40" s="125" t="str" cm="1">
        <f t="array" ref="AT40">IF(OR(AT$1=0, $A40="", _xlfn.XLOOKUP(AT$1, $Z$2:$Z$18, $AD$2:$AD$18, "")=""),"",SQRT((_xlfn.XLOOKUP(AT$1,$Z$2:$Z$18,$AA$2:$AA$18)-$T40)^2+(_xlfn.XLOOKUP(AT$1,$Z$2:$Z$18,$AB$2:$AB$18)-$U40)^2+(_xlfn.XLOOKUP(AT$1,$Z$2:$Z$18,$AC$2:$AC$18-$V40)^2)))</f>
        <v/>
      </c>
      <c r="AU40" s="125" t="str" cm="1">
        <f t="array" ref="AU40">IF(OR(AU$1=0, $A40="", _xlfn.XLOOKUP(AU$1, $Z$2:$Z$18, $AD$2:$AD$18, "")=""),"",SQRT((_xlfn.XLOOKUP(AU$1,$Z$2:$Z$18,$AA$2:$AA$18)-$T40)^2+(_xlfn.XLOOKUP(AU$1,$Z$2:$Z$18,$AB$2:$AB$18)-$U40)^2+(_xlfn.XLOOKUP(AU$1,$Z$2:$Z$18,$AC$2:$AC$18-$V40)^2)))</f>
        <v/>
      </c>
      <c r="AV40" s="126" t="str" cm="1">
        <f t="array" ref="AV40">IF(OR(AV$1=0, $A40="", _xlfn.XLOOKUP(AV$1, $Z$2:$Z$18, $AD$2:$AD$18, "")=""),"",SQRT((_xlfn.XLOOKUP(AV$1,$Z$2:$Z$18,$AA$2:$AA$18)-$T40)^2+(_xlfn.XLOOKUP(AV$1,$Z$2:$Z$18,$AB$2:$AB$18)-$U40)^2+(_xlfn.XLOOKUP(AV$1,$Z$2:$Z$18,$AC$2:$AC$18-$V40)^2)))</f>
        <v/>
      </c>
      <c r="AW40" s="127"/>
      <c r="AX40" s="127"/>
      <c r="AY40" s="128">
        <f t="shared" si="19"/>
        <v>0</v>
      </c>
      <c r="AZ40" s="137">
        <f t="shared" si="20"/>
        <v>0</v>
      </c>
      <c r="BA40" s="137">
        <f t="shared" si="21"/>
        <v>0</v>
      </c>
      <c r="BB40" s="137">
        <f t="shared" si="22"/>
        <v>0</v>
      </c>
      <c r="BC40" s="137">
        <f t="shared" si="23"/>
        <v>0</v>
      </c>
      <c r="BD40" s="137">
        <f t="shared" si="24"/>
        <v>0</v>
      </c>
      <c r="BE40" s="137">
        <f t="shared" si="25"/>
        <v>0</v>
      </c>
      <c r="BF40" s="137">
        <f t="shared" si="26"/>
        <v>0</v>
      </c>
      <c r="BG40" s="138">
        <f t="shared" si="27"/>
        <v>0</v>
      </c>
      <c r="BH40" s="138">
        <f t="shared" si="28"/>
        <v>0</v>
      </c>
      <c r="BI40" s="138">
        <f t="shared" si="29"/>
        <v>0</v>
      </c>
      <c r="BJ40" s="138">
        <f t="shared" si="30"/>
        <v>0</v>
      </c>
      <c r="BK40" s="138">
        <f t="shared" si="31"/>
        <v>0</v>
      </c>
      <c r="BL40" s="138">
        <f t="shared" si="32"/>
        <v>0</v>
      </c>
      <c r="BM40" s="139">
        <f t="shared" si="33"/>
        <v>0</v>
      </c>
      <c r="BN40" s="127"/>
      <c r="BO40" s="53">
        <v>0.5</v>
      </c>
      <c r="BP40" s="53">
        <v>4</v>
      </c>
      <c r="BQ40" s="18"/>
      <c r="BR40" s="127"/>
      <c r="BS40" s="127"/>
      <c r="BT40" s="127"/>
      <c r="BU40" s="127"/>
      <c r="BV40" s="133"/>
      <c r="BW40" s="133"/>
      <c r="BX40" s="133"/>
      <c r="BY40" s="133"/>
      <c r="BZ40" s="133"/>
      <c r="CA40" s="133"/>
      <c r="CB40" s="133"/>
      <c r="CC40" s="133"/>
      <c r="CD40" s="133"/>
      <c r="CE40" s="133"/>
      <c r="CF40" s="133"/>
      <c r="CG40" s="133"/>
      <c r="CH40" s="133"/>
      <c r="CI40" s="133"/>
      <c r="CJ40" s="133"/>
      <c r="CL40" s="127"/>
      <c r="CM40" s="133" t="s">
        <v>32</v>
      </c>
      <c r="CN40" s="133"/>
      <c r="CO40" s="133"/>
      <c r="CP40" s="133"/>
      <c r="CQ40" s="133"/>
      <c r="CR40" s="133"/>
      <c r="CS40" s="133"/>
      <c r="CT40" s="133"/>
      <c r="CU40" s="133"/>
      <c r="CV40" s="133"/>
      <c r="CW40" s="133"/>
      <c r="CX40" s="133"/>
      <c r="CY40" s="133"/>
      <c r="CZ40" s="133"/>
      <c r="DA40" s="133"/>
      <c r="DB40" s="127"/>
      <c r="DC40" s="127"/>
      <c r="DD40" s="133"/>
      <c r="DE40" s="133"/>
      <c r="DF40" s="133"/>
      <c r="DG40" s="133"/>
      <c r="DH40" s="133"/>
      <c r="DI40" s="133"/>
      <c r="DJ40" s="133"/>
      <c r="DK40" s="133"/>
      <c r="DL40" s="133"/>
      <c r="DM40" s="133"/>
      <c r="DN40" s="133"/>
      <c r="DO40" s="133"/>
      <c r="DP40" s="133"/>
      <c r="DQ40" s="133"/>
      <c r="DR40" s="133"/>
      <c r="DT40" s="127"/>
      <c r="DU40" s="191" cm="1">
        <f t="array" ref="DU40">_xlfn.IFS(DU$1= 0,"", NOT(ISBLANK(CM40)), 0, ISBLANK(CM40), $Q40-$S40+AY40-BV40-DD40)</f>
        <v>0</v>
      </c>
      <c r="DV40" s="192" cm="1">
        <f t="array" ref="DV40">_xlfn.IFS(DV$1= 0,"", NOT(ISBLANK(CN40)), 0, ISBLANK(CN40), $Q40-$S40+AZ40-BW40-DE40)</f>
        <v>0</v>
      </c>
      <c r="DW40" s="192" cm="1">
        <f t="array" ref="DW40">_xlfn.IFS(DW$1= 0,"", NOT(ISBLANK(CO40)), 0, ISBLANK(CO40), $Q40-$S40+BA40-BX40-DF40)</f>
        <v>0</v>
      </c>
      <c r="DX40" s="192" cm="1">
        <f t="array" ref="DX40">_xlfn.IFS(DX$1= 0,"", NOT(ISBLANK(CP40)), 0, ISBLANK(CP40), $Q40-$S40+BB40-BY40-DG40)</f>
        <v>0</v>
      </c>
      <c r="DY40" s="192" cm="1">
        <f t="array" ref="DY40">_xlfn.IFS(DY$1= 0,"", NOT(ISBLANK(CQ40)), 0, ISBLANK(CQ40), $Q40-$S40+BC40-BZ40-DH40)</f>
        <v>0</v>
      </c>
      <c r="DZ40" s="192" cm="1">
        <f t="array" ref="DZ40">_xlfn.IFS(DZ$1= 0,"", NOT(ISBLANK(CR40)), 0, ISBLANK(CR40), $Q40-$S40+BD40-CA40-DI40)</f>
        <v>0</v>
      </c>
      <c r="EA40" s="192" cm="1">
        <f t="array" ref="EA40">_xlfn.IFS(EA$1= 0,"", NOT(ISBLANK(CS40)), 0, ISBLANK(CS40), $Q40-$S40+BE40-CB40-DJ40)</f>
        <v>0</v>
      </c>
      <c r="EB40" s="192" t="str" cm="1">
        <f t="array" ref="EB40">_xlfn.IFS(EB$1= 0,"", NOT(ISBLANK(CT40)), 0, ISBLANK(CT40), $Q40-$S40+BF40-CC40-DK40)</f>
        <v/>
      </c>
      <c r="EC40" s="192" t="str" cm="1">
        <f t="array" ref="EC40">_xlfn.IFS(EC$1= 0,"", NOT(ISBLANK(CU40)), 0, ISBLANK(CU40), $Q40-$S40+BG40-CD40-DL40)</f>
        <v/>
      </c>
      <c r="ED40" s="192" t="str" cm="1">
        <f t="array" ref="ED40">_xlfn.IFS(ED$1= 0,"", NOT(ISBLANK(CV40)), 0, ISBLANK(CV40), $Q40-$S40+BH40-CE40-DM40)</f>
        <v/>
      </c>
      <c r="EE40" s="192" t="str" cm="1">
        <f t="array" ref="EE40">_xlfn.IFS(EE$1= 0,"", NOT(ISBLANK(CW40)), 0, ISBLANK(CW40), $Q40-$S40+BI40-CF40-DN40)</f>
        <v/>
      </c>
      <c r="EF40" s="192" t="str" cm="1">
        <f t="array" ref="EF40">_xlfn.IFS(EF$1= 0,"", NOT(ISBLANK(CX40)), 0, ISBLANK(CX40), $Q40-$S40+BJ40-CG40-DO40)</f>
        <v/>
      </c>
      <c r="EG40" s="192" t="str" cm="1">
        <f t="array" ref="EG40">_xlfn.IFS(EG$1= 0,"", NOT(ISBLANK(CY40)), 0, ISBLANK(CY40), $Q40-$S40+BK40-CH40-DP40)</f>
        <v/>
      </c>
      <c r="EH40" s="192" t="str" cm="1">
        <f t="array" ref="EH40">_xlfn.IFS(EH$1= 0,"", NOT(ISBLANK(CZ40)), 0, ISBLANK(CZ40), $Q40-$S40+BL40-CI40-DQ40)</f>
        <v/>
      </c>
      <c r="EI40" s="193" t="str" cm="1">
        <f t="array" ref="EI40">_xlfn.IFS(EI$1= 0,"", NOT(ISBLANK(DA40)), 0, ISBLANK(DA40), $Q40-$S40+BM40-CJ40-DR40)</f>
        <v/>
      </c>
    </row>
    <row r="41" spans="1:139" ht="16.5" customHeight="1" x14ac:dyDescent="0.3">
      <c r="A41" s="183"/>
      <c r="B41" s="134"/>
      <c r="C41" s="134"/>
      <c r="D41" s="135"/>
      <c r="E41" s="166"/>
      <c r="F41" s="174"/>
      <c r="G41" s="3"/>
      <c r="H41" s="3"/>
      <c r="I41" s="3"/>
      <c r="J41" s="3"/>
      <c r="K41" s="3"/>
      <c r="L41" s="3"/>
      <c r="M41" s="178"/>
      <c r="N41" s="174"/>
      <c r="O41" s="175"/>
      <c r="P41" s="169"/>
      <c r="Q41" s="122">
        <f t="shared" si="18"/>
        <v>0</v>
      </c>
      <c r="R41" s="2"/>
      <c r="S41" s="2"/>
      <c r="T41" s="3"/>
      <c r="U41" s="3"/>
      <c r="V41" s="104">
        <f t="shared" si="2"/>
        <v>0</v>
      </c>
      <c r="W41" s="149"/>
      <c r="X41" s="136"/>
      <c r="Z41" s="110" t="s">
        <v>125</v>
      </c>
      <c r="AA41" s="108">
        <v>71.94</v>
      </c>
      <c r="AB41" s="49">
        <v>115.39</v>
      </c>
      <c r="AC41" s="102">
        <v>75.400000000000006</v>
      </c>
      <c r="AD41" s="49">
        <v>69.52</v>
      </c>
      <c r="AE41" s="49">
        <v>127.16</v>
      </c>
      <c r="AF41" s="50">
        <v>75.400000000000006</v>
      </c>
      <c r="AH41" s="185" t="str" cm="1">
        <f t="array" ref="AH41">IF(OR(AH$1=0, $A41="", _xlfn.XLOOKUP(AH$1, $Z$2:$Z$18, $AD$2:$AD$18, "")=""),"",SQRT((_xlfn.XLOOKUP(AH$1,$Z$2:$Z$18,$AA$2:$AA$18)-$T41)^2+(_xlfn.XLOOKUP(AH$1,$Z$2:$Z$18,$AB$2:$AB$18)-$U41)^2+(_xlfn.XLOOKUP(AH$1,$Z$2:$Z$18,$AC$2:$AC$18-$V41)^2)))</f>
        <v/>
      </c>
      <c r="AI41" s="124" t="str" cm="1">
        <f t="array" ref="AI41">IF(OR(AI$1=0, $A41="", _xlfn.XLOOKUP(AI$1, $Z$2:$Z$18, $AD$2:$AD$18, "")=""),"",SQRT((_xlfn.XLOOKUP(AI$1,$Z$2:$Z$18,$AA$2:$AA$18)-$T41)^2+(_xlfn.XLOOKUP(AI$1,$Z$2:$Z$18,$AB$2:$AB$18)-$U41)^2+(_xlfn.XLOOKUP(AI$1,$Z$2:$Z$18,$AC$2:$AC$18-$V41)^2)))</f>
        <v/>
      </c>
      <c r="AJ41" s="124" t="str" cm="1">
        <f t="array" ref="AJ41">IF(OR(AJ$1=0, $A41="", _xlfn.XLOOKUP(AJ$1, $Z$2:$Z$18, $AD$2:$AD$18, "")=""),"",SQRT((_xlfn.XLOOKUP(AJ$1,$Z$2:$Z$18,$AA$2:$AA$18)-$T41)^2+(_xlfn.XLOOKUP(AJ$1,$Z$2:$Z$18,$AB$2:$AB$18)-$U41)^2+(_xlfn.XLOOKUP(AJ$1,$Z$2:$Z$18,$AC$2:$AC$18-$V41)^2)))</f>
        <v/>
      </c>
      <c r="AK41" s="124" t="str" cm="1">
        <f t="array" ref="AK41">IF(OR(AK$1=0, $A41="", _xlfn.XLOOKUP(AK$1, $Z$2:$Z$18, $AD$2:$AD$18, "")=""),"",SQRT((_xlfn.XLOOKUP(AK$1,$Z$2:$Z$18,$AA$2:$AA$18)-$T41)^2+(_xlfn.XLOOKUP(AK$1,$Z$2:$Z$18,$AB$2:$AB$18)-$U41)^2+(_xlfn.XLOOKUP(AK$1,$Z$2:$Z$18,$AC$2:$AC$18-$V41)^2)))</f>
        <v/>
      </c>
      <c r="AL41" s="124" t="str" cm="1">
        <f t="array" ref="AL41">IF(OR(AL$1=0, $A41="", _xlfn.XLOOKUP(AL$1, $Z$2:$Z$18, $AD$2:$AD$18, "")=""),"",SQRT((_xlfn.XLOOKUP(AL$1,$Z$2:$Z$18,$AA$2:$AA$18)-$T41)^2+(_xlfn.XLOOKUP(AL$1,$Z$2:$Z$18,$AB$2:$AB$18)-$U41)^2+(_xlfn.XLOOKUP(AL$1,$Z$2:$Z$18,$AC$2:$AC$18-$V41)^2)))</f>
        <v/>
      </c>
      <c r="AM41" s="124" t="str" cm="1">
        <f t="array" ref="AM41">IF(OR(AM$1=0, $A41="", _xlfn.XLOOKUP(AM$1, $Z$2:$Z$18, $AD$2:$AD$18, "")=""),"",SQRT((_xlfn.XLOOKUP(AM$1,$Z$2:$Z$18,$AA$2:$AA$18)-$T41)^2+(_xlfn.XLOOKUP(AM$1,$Z$2:$Z$18,$AB$2:$AB$18)-$U41)^2+(_xlfn.XLOOKUP(AM$1,$Z$2:$Z$18,$AC$2:$AC$18-$V41)^2)))</f>
        <v/>
      </c>
      <c r="AN41" s="124" t="str" cm="1">
        <f t="array" ref="AN41">IF(OR(AN$1=0, $A41="", _xlfn.XLOOKUP(AN$1, $Z$2:$Z$18, $AD$2:$AD$18, "")=""),"",SQRT((_xlfn.XLOOKUP(AN$1,$Z$2:$Z$18,$AA$2:$AA$18)-$T41)^2+(_xlfn.XLOOKUP(AN$1,$Z$2:$Z$18,$AB$2:$AB$18)-$U41)^2+(_xlfn.XLOOKUP(AN$1,$Z$2:$Z$18,$AC$2:$AC$18-$V41)^2)))</f>
        <v/>
      </c>
      <c r="AO41" s="124" t="str" cm="1">
        <f t="array" ref="AO41">IF(OR(AO$1=0, $A41="", _xlfn.XLOOKUP(AO$1, $Z$2:$Z$18, $AD$2:$AD$18, "")=""),"",SQRT((_xlfn.XLOOKUP(AO$1,$Z$2:$Z$18,$AA$2:$AA$18)-$T41)^2+(_xlfn.XLOOKUP(AO$1,$Z$2:$Z$18,$AB$2:$AB$18)-$U41)^2+(_xlfn.XLOOKUP(AO$1,$Z$2:$Z$18,$AC$2:$AC$18-$V41)^2)))</f>
        <v/>
      </c>
      <c r="AP41" s="125" t="str" cm="1">
        <f t="array" ref="AP41">IF(OR(AP$1=0, $A41="", _xlfn.XLOOKUP(AP$1, $Z$2:$Z$18, $AD$2:$AD$18, "")=""),"",SQRT((_xlfn.XLOOKUP(AP$1,$Z$2:$Z$18,$AA$2:$AA$18)-$T41)^2+(_xlfn.XLOOKUP(AP$1,$Z$2:$Z$18,$AB$2:$AB$18)-$U41)^2+(_xlfn.XLOOKUP(AP$1,$Z$2:$Z$18,$AC$2:$AC$18-$V41)^2)))</f>
        <v/>
      </c>
      <c r="AQ41" s="125" t="str" cm="1">
        <f t="array" ref="AQ41">IF(OR(AQ$1=0, $A41="", _xlfn.XLOOKUP(AQ$1, $Z$2:$Z$18, $AD$2:$AD$18, "")=""),"",SQRT((_xlfn.XLOOKUP(AQ$1,$Z$2:$Z$18,$AA$2:$AA$18)-$T41)^2+(_xlfn.XLOOKUP(AQ$1,$Z$2:$Z$18,$AB$2:$AB$18)-$U41)^2+(_xlfn.XLOOKUP(AQ$1,$Z$2:$Z$18,$AC$2:$AC$18-$V41)^2)))</f>
        <v/>
      </c>
      <c r="AR41" s="125" t="str" cm="1">
        <f t="array" ref="AR41">IF(OR(AR$1=0, $A41="", _xlfn.XLOOKUP(AR$1, $Z$2:$Z$18, $AD$2:$AD$18, "")=""),"",SQRT((_xlfn.XLOOKUP(AR$1,$Z$2:$Z$18,$AA$2:$AA$18)-$T41)^2+(_xlfn.XLOOKUP(AR$1,$Z$2:$Z$18,$AB$2:$AB$18)-$U41)^2+(_xlfn.XLOOKUP(AR$1,$Z$2:$Z$18,$AC$2:$AC$18-$V41)^2)))</f>
        <v/>
      </c>
      <c r="AS41" s="125" t="str" cm="1">
        <f t="array" ref="AS41">IF(OR(AS$1=0, $A41="", _xlfn.XLOOKUP(AS$1, $Z$2:$Z$18, $AD$2:$AD$18, "")=""),"",SQRT((_xlfn.XLOOKUP(AS$1,$Z$2:$Z$18,$AA$2:$AA$18)-$T41)^2+(_xlfn.XLOOKUP(AS$1,$Z$2:$Z$18,$AB$2:$AB$18)-$U41)^2+(_xlfn.XLOOKUP(AS$1,$Z$2:$Z$18,$AC$2:$AC$18-$V41)^2)))</f>
        <v/>
      </c>
      <c r="AT41" s="125" t="str" cm="1">
        <f t="array" ref="AT41">IF(OR(AT$1=0, $A41="", _xlfn.XLOOKUP(AT$1, $Z$2:$Z$18, $AD$2:$AD$18, "")=""),"",SQRT((_xlfn.XLOOKUP(AT$1,$Z$2:$Z$18,$AA$2:$AA$18)-$T41)^2+(_xlfn.XLOOKUP(AT$1,$Z$2:$Z$18,$AB$2:$AB$18)-$U41)^2+(_xlfn.XLOOKUP(AT$1,$Z$2:$Z$18,$AC$2:$AC$18-$V41)^2)))</f>
        <v/>
      </c>
      <c r="AU41" s="125" t="str" cm="1">
        <f t="array" ref="AU41">IF(OR(AU$1=0, $A41="", _xlfn.XLOOKUP(AU$1, $Z$2:$Z$18, $AD$2:$AD$18, "")=""),"",SQRT((_xlfn.XLOOKUP(AU$1,$Z$2:$Z$18,$AA$2:$AA$18)-$T41)^2+(_xlfn.XLOOKUP(AU$1,$Z$2:$Z$18,$AB$2:$AB$18)-$U41)^2+(_xlfn.XLOOKUP(AU$1,$Z$2:$Z$18,$AC$2:$AC$18-$V41)^2)))</f>
        <v/>
      </c>
      <c r="AV41" s="126" t="str" cm="1">
        <f t="array" ref="AV41">IF(OR(AV$1=0, $A41="", _xlfn.XLOOKUP(AV$1, $Z$2:$Z$18, $AD$2:$AD$18, "")=""),"",SQRT((_xlfn.XLOOKUP(AV$1,$Z$2:$Z$18,$AA$2:$AA$18)-$T41)^2+(_xlfn.XLOOKUP(AV$1,$Z$2:$Z$18,$AB$2:$AB$18)-$U41)^2+(_xlfn.XLOOKUP(AV$1,$Z$2:$Z$18,$AC$2:$AC$18-$V41)^2)))</f>
        <v/>
      </c>
      <c r="AW41" s="127"/>
      <c r="AX41" s="127"/>
      <c r="AY41" s="128">
        <f t="shared" si="19"/>
        <v>0</v>
      </c>
      <c r="AZ41" s="137">
        <f t="shared" si="20"/>
        <v>0</v>
      </c>
      <c r="BA41" s="137">
        <f t="shared" si="21"/>
        <v>0</v>
      </c>
      <c r="BB41" s="137">
        <f t="shared" si="22"/>
        <v>0</v>
      </c>
      <c r="BC41" s="137">
        <f t="shared" si="23"/>
        <v>0</v>
      </c>
      <c r="BD41" s="137">
        <f t="shared" si="24"/>
        <v>0</v>
      </c>
      <c r="BE41" s="137">
        <f t="shared" si="25"/>
        <v>0</v>
      </c>
      <c r="BF41" s="137">
        <f t="shared" si="26"/>
        <v>0</v>
      </c>
      <c r="BG41" s="138">
        <f t="shared" si="27"/>
        <v>0</v>
      </c>
      <c r="BH41" s="138">
        <f t="shared" si="28"/>
        <v>0</v>
      </c>
      <c r="BI41" s="138">
        <f t="shared" si="29"/>
        <v>0</v>
      </c>
      <c r="BJ41" s="138">
        <f t="shared" si="30"/>
        <v>0</v>
      </c>
      <c r="BK41" s="138">
        <f t="shared" si="31"/>
        <v>0</v>
      </c>
      <c r="BL41" s="138">
        <f t="shared" si="32"/>
        <v>0</v>
      </c>
      <c r="BM41" s="139">
        <f t="shared" si="33"/>
        <v>0</v>
      </c>
      <c r="BN41" s="127"/>
      <c r="BO41" s="53">
        <v>1</v>
      </c>
      <c r="BP41" s="53">
        <v>7</v>
      </c>
      <c r="BQ41" s="18"/>
      <c r="BR41" s="127"/>
      <c r="BS41" s="127"/>
      <c r="BT41" s="127"/>
      <c r="BU41" s="127"/>
      <c r="BV41" s="133"/>
      <c r="BW41" s="133"/>
      <c r="BX41" s="133"/>
      <c r="BY41" s="133"/>
      <c r="BZ41" s="133"/>
      <c r="CA41" s="133"/>
      <c r="CB41" s="133"/>
      <c r="CC41" s="133"/>
      <c r="CD41" s="133"/>
      <c r="CE41" s="133"/>
      <c r="CF41" s="133"/>
      <c r="CG41" s="133"/>
      <c r="CH41" s="133"/>
      <c r="CI41" s="133"/>
      <c r="CJ41" s="133"/>
      <c r="CL41" s="127"/>
      <c r="CM41" s="133" t="s">
        <v>32</v>
      </c>
      <c r="CN41" s="133"/>
      <c r="CO41" s="133"/>
      <c r="CP41" s="133"/>
      <c r="CQ41" s="133"/>
      <c r="CR41" s="133"/>
      <c r="CS41" s="133"/>
      <c r="CT41" s="133"/>
      <c r="CU41" s="133"/>
      <c r="CV41" s="133"/>
      <c r="CW41" s="133"/>
      <c r="CX41" s="133"/>
      <c r="CY41" s="133"/>
      <c r="CZ41" s="133"/>
      <c r="DA41" s="133"/>
      <c r="DB41" s="127"/>
      <c r="DC41" s="127"/>
      <c r="DD41" s="133"/>
      <c r="DE41" s="133"/>
      <c r="DF41" s="133"/>
      <c r="DG41" s="133"/>
      <c r="DH41" s="133"/>
      <c r="DI41" s="133"/>
      <c r="DJ41" s="133"/>
      <c r="DK41" s="133"/>
      <c r="DL41" s="133"/>
      <c r="DM41" s="133"/>
      <c r="DN41" s="133"/>
      <c r="DO41" s="133"/>
      <c r="DP41" s="133"/>
      <c r="DQ41" s="133"/>
      <c r="DR41" s="133"/>
      <c r="DT41" s="127"/>
      <c r="DU41" s="191" cm="1">
        <f t="array" ref="DU41">_xlfn.IFS(DU$1= 0,"", NOT(ISBLANK(CM41)), 0, ISBLANK(CM41), $Q41-$S41+AY41-BV41-DD41)</f>
        <v>0</v>
      </c>
      <c r="DV41" s="192" cm="1">
        <f t="array" ref="DV41">_xlfn.IFS(DV$1= 0,"", NOT(ISBLANK(CN41)), 0, ISBLANK(CN41), $Q41-$S41+AZ41-BW41-DE41)</f>
        <v>0</v>
      </c>
      <c r="DW41" s="192" cm="1">
        <f t="array" ref="DW41">_xlfn.IFS(DW$1= 0,"", NOT(ISBLANK(CO41)), 0, ISBLANK(CO41), $Q41-$S41+BA41-BX41-DF41)</f>
        <v>0</v>
      </c>
      <c r="DX41" s="192" cm="1">
        <f t="array" ref="DX41">_xlfn.IFS(DX$1= 0,"", NOT(ISBLANK(CP41)), 0, ISBLANK(CP41), $Q41-$S41+BB41-BY41-DG41)</f>
        <v>0</v>
      </c>
      <c r="DY41" s="192" cm="1">
        <f t="array" ref="DY41">_xlfn.IFS(DY$1= 0,"", NOT(ISBLANK(CQ41)), 0, ISBLANK(CQ41), $Q41-$S41+BC41-BZ41-DH41)</f>
        <v>0</v>
      </c>
      <c r="DZ41" s="192" cm="1">
        <f t="array" ref="DZ41">_xlfn.IFS(DZ$1= 0,"", NOT(ISBLANK(CR41)), 0, ISBLANK(CR41), $Q41-$S41+BD41-CA41-DI41)</f>
        <v>0</v>
      </c>
      <c r="EA41" s="192" cm="1">
        <f t="array" ref="EA41">_xlfn.IFS(EA$1= 0,"", NOT(ISBLANK(CS41)), 0, ISBLANK(CS41), $Q41-$S41+BE41-CB41-DJ41)</f>
        <v>0</v>
      </c>
      <c r="EB41" s="192" t="str" cm="1">
        <f t="array" ref="EB41">_xlfn.IFS(EB$1= 0,"", NOT(ISBLANK(CT41)), 0, ISBLANK(CT41), $Q41-$S41+BF41-CC41-DK41)</f>
        <v/>
      </c>
      <c r="EC41" s="192" t="str" cm="1">
        <f t="array" ref="EC41">_xlfn.IFS(EC$1= 0,"", NOT(ISBLANK(CU41)), 0, ISBLANK(CU41), $Q41-$S41+BG41-CD41-DL41)</f>
        <v/>
      </c>
      <c r="ED41" s="192" t="str" cm="1">
        <f t="array" ref="ED41">_xlfn.IFS(ED$1= 0,"", NOT(ISBLANK(CV41)), 0, ISBLANK(CV41), $Q41-$S41+BH41-CE41-DM41)</f>
        <v/>
      </c>
      <c r="EE41" s="192" t="str" cm="1">
        <f t="array" ref="EE41">_xlfn.IFS(EE$1= 0,"", NOT(ISBLANK(CW41)), 0, ISBLANK(CW41), $Q41-$S41+BI41-CF41-DN41)</f>
        <v/>
      </c>
      <c r="EF41" s="192" t="str" cm="1">
        <f t="array" ref="EF41">_xlfn.IFS(EF$1= 0,"", NOT(ISBLANK(CX41)), 0, ISBLANK(CX41), $Q41-$S41+BJ41-CG41-DO41)</f>
        <v/>
      </c>
      <c r="EG41" s="192" t="str" cm="1">
        <f t="array" ref="EG41">_xlfn.IFS(EG$1= 0,"", NOT(ISBLANK(CY41)), 0, ISBLANK(CY41), $Q41-$S41+BK41-CH41-DP41)</f>
        <v/>
      </c>
      <c r="EH41" s="192" t="str" cm="1">
        <f t="array" ref="EH41">_xlfn.IFS(EH$1= 0,"", NOT(ISBLANK(CZ41)), 0, ISBLANK(CZ41), $Q41-$S41+BL41-CI41-DQ41)</f>
        <v/>
      </c>
      <c r="EI41" s="193" t="str" cm="1">
        <f t="array" ref="EI41">_xlfn.IFS(EI$1= 0,"", NOT(ISBLANK(DA41)), 0, ISBLANK(DA41), $Q41-$S41+BM41-CJ41-DR41)</f>
        <v/>
      </c>
    </row>
    <row r="42" spans="1:139" ht="16.5" customHeight="1" x14ac:dyDescent="0.3">
      <c r="A42" s="183"/>
      <c r="B42" s="134"/>
      <c r="C42" s="134"/>
      <c r="D42" s="135"/>
      <c r="E42" s="166"/>
      <c r="F42" s="174"/>
      <c r="G42" s="3"/>
      <c r="H42" s="3"/>
      <c r="I42" s="3"/>
      <c r="J42" s="3"/>
      <c r="K42" s="3"/>
      <c r="L42" s="3"/>
      <c r="M42" s="178"/>
      <c r="N42" s="174"/>
      <c r="O42" s="175"/>
      <c r="P42" s="169"/>
      <c r="Q42" s="122">
        <f t="shared" si="18"/>
        <v>0</v>
      </c>
      <c r="R42" s="2"/>
      <c r="S42" s="2"/>
      <c r="T42" s="3"/>
      <c r="U42" s="3"/>
      <c r="V42" s="104">
        <f t="shared" si="2"/>
        <v>0</v>
      </c>
      <c r="W42" s="149"/>
      <c r="X42" s="136"/>
      <c r="Z42" s="110" t="s">
        <v>126</v>
      </c>
      <c r="AA42" s="108">
        <v>64.459999999999994</v>
      </c>
      <c r="AB42" s="49">
        <v>114.18</v>
      </c>
      <c r="AC42" s="102">
        <v>75.400000000000006</v>
      </c>
      <c r="AD42" s="49">
        <v>71.83</v>
      </c>
      <c r="AE42" s="49">
        <v>115.72</v>
      </c>
      <c r="AF42" s="50">
        <v>75.400000000000006</v>
      </c>
      <c r="AH42" s="185" t="str" cm="1">
        <f t="array" ref="AH42">IF(OR(AH$1=0, $A42="", _xlfn.XLOOKUP(AH$1, $Z$2:$Z$18, $AD$2:$AD$18, "")=""),"",SQRT((_xlfn.XLOOKUP(AH$1,$Z$2:$Z$18,$AA$2:$AA$18)-$T42)^2+(_xlfn.XLOOKUP(AH$1,$Z$2:$Z$18,$AB$2:$AB$18)-$U42)^2+(_xlfn.XLOOKUP(AH$1,$Z$2:$Z$18,$AC$2:$AC$18-$V42)^2)))</f>
        <v/>
      </c>
      <c r="AI42" s="124" t="str" cm="1">
        <f t="array" ref="AI42">IF(OR(AI$1=0, $A42="", _xlfn.XLOOKUP(AI$1, $Z$2:$Z$18, $AD$2:$AD$18, "")=""),"",SQRT((_xlfn.XLOOKUP(AI$1,$Z$2:$Z$18,$AA$2:$AA$18)-$T42)^2+(_xlfn.XLOOKUP(AI$1,$Z$2:$Z$18,$AB$2:$AB$18)-$U42)^2+(_xlfn.XLOOKUP(AI$1,$Z$2:$Z$18,$AC$2:$AC$18-$V42)^2)))</f>
        <v/>
      </c>
      <c r="AJ42" s="124" t="str" cm="1">
        <f t="array" ref="AJ42">IF(OR(AJ$1=0, $A42="", _xlfn.XLOOKUP(AJ$1, $Z$2:$Z$18, $AD$2:$AD$18, "")=""),"",SQRT((_xlfn.XLOOKUP(AJ$1,$Z$2:$Z$18,$AA$2:$AA$18)-$T42)^2+(_xlfn.XLOOKUP(AJ$1,$Z$2:$Z$18,$AB$2:$AB$18)-$U42)^2+(_xlfn.XLOOKUP(AJ$1,$Z$2:$Z$18,$AC$2:$AC$18-$V42)^2)))</f>
        <v/>
      </c>
      <c r="AK42" s="124" t="str" cm="1">
        <f t="array" ref="AK42">IF(OR(AK$1=0, $A42="", _xlfn.XLOOKUP(AK$1, $Z$2:$Z$18, $AD$2:$AD$18, "")=""),"",SQRT((_xlfn.XLOOKUP(AK$1,$Z$2:$Z$18,$AA$2:$AA$18)-$T42)^2+(_xlfn.XLOOKUP(AK$1,$Z$2:$Z$18,$AB$2:$AB$18)-$U42)^2+(_xlfn.XLOOKUP(AK$1,$Z$2:$Z$18,$AC$2:$AC$18-$V42)^2)))</f>
        <v/>
      </c>
      <c r="AL42" s="124" t="str" cm="1">
        <f t="array" ref="AL42">IF(OR(AL$1=0, $A42="", _xlfn.XLOOKUP(AL$1, $Z$2:$Z$18, $AD$2:$AD$18, "")=""),"",SQRT((_xlfn.XLOOKUP(AL$1,$Z$2:$Z$18,$AA$2:$AA$18)-$T42)^2+(_xlfn.XLOOKUP(AL$1,$Z$2:$Z$18,$AB$2:$AB$18)-$U42)^2+(_xlfn.XLOOKUP(AL$1,$Z$2:$Z$18,$AC$2:$AC$18-$V42)^2)))</f>
        <v/>
      </c>
      <c r="AM42" s="124" t="str" cm="1">
        <f t="array" ref="AM42">IF(OR(AM$1=0, $A42="", _xlfn.XLOOKUP(AM$1, $Z$2:$Z$18, $AD$2:$AD$18, "")=""),"",SQRT((_xlfn.XLOOKUP(AM$1,$Z$2:$Z$18,$AA$2:$AA$18)-$T42)^2+(_xlfn.XLOOKUP(AM$1,$Z$2:$Z$18,$AB$2:$AB$18)-$U42)^2+(_xlfn.XLOOKUP(AM$1,$Z$2:$Z$18,$AC$2:$AC$18-$V42)^2)))</f>
        <v/>
      </c>
      <c r="AN42" s="124" t="str" cm="1">
        <f t="array" ref="AN42">IF(OR(AN$1=0, $A42="", _xlfn.XLOOKUP(AN$1, $Z$2:$Z$18, $AD$2:$AD$18, "")=""),"",SQRT((_xlfn.XLOOKUP(AN$1,$Z$2:$Z$18,$AA$2:$AA$18)-$T42)^2+(_xlfn.XLOOKUP(AN$1,$Z$2:$Z$18,$AB$2:$AB$18)-$U42)^2+(_xlfn.XLOOKUP(AN$1,$Z$2:$Z$18,$AC$2:$AC$18-$V42)^2)))</f>
        <v/>
      </c>
      <c r="AO42" s="124" t="str" cm="1">
        <f t="array" ref="AO42">IF(OR(AO$1=0, $A42="", _xlfn.XLOOKUP(AO$1, $Z$2:$Z$18, $AD$2:$AD$18, "")=""),"",SQRT((_xlfn.XLOOKUP(AO$1,$Z$2:$Z$18,$AA$2:$AA$18)-$T42)^2+(_xlfn.XLOOKUP(AO$1,$Z$2:$Z$18,$AB$2:$AB$18)-$U42)^2+(_xlfn.XLOOKUP(AO$1,$Z$2:$Z$18,$AC$2:$AC$18-$V42)^2)))</f>
        <v/>
      </c>
      <c r="AP42" s="125" t="str" cm="1">
        <f t="array" ref="AP42">IF(OR(AP$1=0, $A42="", _xlfn.XLOOKUP(AP$1, $Z$2:$Z$18, $AD$2:$AD$18, "")=""),"",SQRT((_xlfn.XLOOKUP(AP$1,$Z$2:$Z$18,$AA$2:$AA$18)-$T42)^2+(_xlfn.XLOOKUP(AP$1,$Z$2:$Z$18,$AB$2:$AB$18)-$U42)^2+(_xlfn.XLOOKUP(AP$1,$Z$2:$Z$18,$AC$2:$AC$18-$V42)^2)))</f>
        <v/>
      </c>
      <c r="AQ42" s="125" t="str" cm="1">
        <f t="array" ref="AQ42">IF(OR(AQ$1=0, $A42="", _xlfn.XLOOKUP(AQ$1, $Z$2:$Z$18, $AD$2:$AD$18, "")=""),"",SQRT((_xlfn.XLOOKUP(AQ$1,$Z$2:$Z$18,$AA$2:$AA$18)-$T42)^2+(_xlfn.XLOOKUP(AQ$1,$Z$2:$Z$18,$AB$2:$AB$18)-$U42)^2+(_xlfn.XLOOKUP(AQ$1,$Z$2:$Z$18,$AC$2:$AC$18-$V42)^2)))</f>
        <v/>
      </c>
      <c r="AR42" s="125" t="str" cm="1">
        <f t="array" ref="AR42">IF(OR(AR$1=0, $A42="", _xlfn.XLOOKUP(AR$1, $Z$2:$Z$18, $AD$2:$AD$18, "")=""),"",SQRT((_xlfn.XLOOKUP(AR$1,$Z$2:$Z$18,$AA$2:$AA$18)-$T42)^2+(_xlfn.XLOOKUP(AR$1,$Z$2:$Z$18,$AB$2:$AB$18)-$U42)^2+(_xlfn.XLOOKUP(AR$1,$Z$2:$Z$18,$AC$2:$AC$18-$V42)^2)))</f>
        <v/>
      </c>
      <c r="AS42" s="125" t="str" cm="1">
        <f t="array" ref="AS42">IF(OR(AS$1=0, $A42="", _xlfn.XLOOKUP(AS$1, $Z$2:$Z$18, $AD$2:$AD$18, "")=""),"",SQRT((_xlfn.XLOOKUP(AS$1,$Z$2:$Z$18,$AA$2:$AA$18)-$T42)^2+(_xlfn.XLOOKUP(AS$1,$Z$2:$Z$18,$AB$2:$AB$18)-$U42)^2+(_xlfn.XLOOKUP(AS$1,$Z$2:$Z$18,$AC$2:$AC$18-$V42)^2)))</f>
        <v/>
      </c>
      <c r="AT42" s="125" t="str" cm="1">
        <f t="array" ref="AT42">IF(OR(AT$1=0, $A42="", _xlfn.XLOOKUP(AT$1, $Z$2:$Z$18, $AD$2:$AD$18, "")=""),"",SQRT((_xlfn.XLOOKUP(AT$1,$Z$2:$Z$18,$AA$2:$AA$18)-$T42)^2+(_xlfn.XLOOKUP(AT$1,$Z$2:$Z$18,$AB$2:$AB$18)-$U42)^2+(_xlfn.XLOOKUP(AT$1,$Z$2:$Z$18,$AC$2:$AC$18-$V42)^2)))</f>
        <v/>
      </c>
      <c r="AU42" s="125" t="str" cm="1">
        <f t="array" ref="AU42">IF(OR(AU$1=0, $A42="", _xlfn.XLOOKUP(AU$1, $Z$2:$Z$18, $AD$2:$AD$18, "")=""),"",SQRT((_xlfn.XLOOKUP(AU$1,$Z$2:$Z$18,$AA$2:$AA$18)-$T42)^2+(_xlfn.XLOOKUP(AU$1,$Z$2:$Z$18,$AB$2:$AB$18)-$U42)^2+(_xlfn.XLOOKUP(AU$1,$Z$2:$Z$18,$AC$2:$AC$18-$V42)^2)))</f>
        <v/>
      </c>
      <c r="AV42" s="126" t="str" cm="1">
        <f t="array" ref="AV42">IF(OR(AV$1=0, $A42="", _xlfn.XLOOKUP(AV$1, $Z$2:$Z$18, $AD$2:$AD$18, "")=""),"",SQRT((_xlfn.XLOOKUP(AV$1,$Z$2:$Z$18,$AA$2:$AA$18)-$T42)^2+(_xlfn.XLOOKUP(AV$1,$Z$2:$Z$18,$AB$2:$AB$18)-$U42)^2+(_xlfn.XLOOKUP(AV$1,$Z$2:$Z$18,$AC$2:$AC$18-$V42)^2)))</f>
        <v/>
      </c>
      <c r="AW42" s="127"/>
      <c r="AX42" s="127"/>
      <c r="AY42" s="128">
        <f t="shared" si="19"/>
        <v>0</v>
      </c>
      <c r="AZ42" s="137">
        <f t="shared" si="20"/>
        <v>0</v>
      </c>
      <c r="BA42" s="137">
        <f t="shared" si="21"/>
        <v>0</v>
      </c>
      <c r="BB42" s="137">
        <f t="shared" si="22"/>
        <v>0</v>
      </c>
      <c r="BC42" s="137">
        <f t="shared" si="23"/>
        <v>0</v>
      </c>
      <c r="BD42" s="137">
        <f t="shared" si="24"/>
        <v>0</v>
      </c>
      <c r="BE42" s="137">
        <f t="shared" si="25"/>
        <v>0</v>
      </c>
      <c r="BF42" s="137">
        <f t="shared" si="26"/>
        <v>0</v>
      </c>
      <c r="BG42" s="138">
        <f t="shared" si="27"/>
        <v>0</v>
      </c>
      <c r="BH42" s="138">
        <f t="shared" si="28"/>
        <v>0</v>
      </c>
      <c r="BI42" s="138">
        <f t="shared" si="29"/>
        <v>0</v>
      </c>
      <c r="BJ42" s="138">
        <f t="shared" si="30"/>
        <v>0</v>
      </c>
      <c r="BK42" s="138">
        <f t="shared" si="31"/>
        <v>0</v>
      </c>
      <c r="BL42" s="138">
        <f t="shared" si="32"/>
        <v>0</v>
      </c>
      <c r="BM42" s="139">
        <f t="shared" si="33"/>
        <v>0</v>
      </c>
      <c r="BN42" s="127"/>
      <c r="BO42" s="53">
        <v>2</v>
      </c>
      <c r="BP42" s="53">
        <v>10</v>
      </c>
      <c r="BQ42" s="18"/>
      <c r="BR42" s="127"/>
      <c r="BS42" s="127"/>
      <c r="BT42" s="127"/>
      <c r="BU42" s="127"/>
      <c r="BV42" s="133"/>
      <c r="BW42" s="133"/>
      <c r="BX42" s="133"/>
      <c r="BY42" s="133"/>
      <c r="BZ42" s="133"/>
      <c r="CA42" s="133"/>
      <c r="CB42" s="133"/>
      <c r="CC42" s="133"/>
      <c r="CD42" s="133"/>
      <c r="CE42" s="133"/>
      <c r="CF42" s="133"/>
      <c r="CG42" s="133"/>
      <c r="CH42" s="133"/>
      <c r="CI42" s="133"/>
      <c r="CJ42" s="133"/>
      <c r="CL42" s="127"/>
      <c r="CM42" s="133" t="s">
        <v>32</v>
      </c>
      <c r="CN42" s="133"/>
      <c r="CO42" s="133"/>
      <c r="CP42" s="133"/>
      <c r="CQ42" s="133"/>
      <c r="CR42" s="133"/>
      <c r="CS42" s="133"/>
      <c r="CT42" s="133"/>
      <c r="CU42" s="133"/>
      <c r="CV42" s="133"/>
      <c r="CW42" s="133"/>
      <c r="CX42" s="133"/>
      <c r="CY42" s="133"/>
      <c r="CZ42" s="133"/>
      <c r="DA42" s="133"/>
      <c r="DB42" s="127"/>
      <c r="DC42" s="127"/>
      <c r="DD42" s="133"/>
      <c r="DE42" s="133"/>
      <c r="DF42" s="133"/>
      <c r="DG42" s="133"/>
      <c r="DH42" s="133"/>
      <c r="DI42" s="133"/>
      <c r="DJ42" s="133"/>
      <c r="DK42" s="133"/>
      <c r="DL42" s="133"/>
      <c r="DM42" s="133"/>
      <c r="DN42" s="133"/>
      <c r="DO42" s="133"/>
      <c r="DP42" s="133"/>
      <c r="DQ42" s="133"/>
      <c r="DR42" s="133"/>
      <c r="DT42" s="127"/>
      <c r="DU42" s="191" cm="1">
        <f t="array" ref="DU42">_xlfn.IFS(DU$1= 0,"", NOT(ISBLANK(CM42)), 0, ISBLANK(CM42), $Q42-$S42+AY42-BV42-DD42)</f>
        <v>0</v>
      </c>
      <c r="DV42" s="192" cm="1">
        <f t="array" ref="DV42">_xlfn.IFS(DV$1= 0,"", NOT(ISBLANK(CN42)), 0, ISBLANK(CN42), $Q42-$S42+AZ42-BW42-DE42)</f>
        <v>0</v>
      </c>
      <c r="DW42" s="192" cm="1">
        <f t="array" ref="DW42">_xlfn.IFS(DW$1= 0,"", NOT(ISBLANK(CO42)), 0, ISBLANK(CO42), $Q42-$S42+BA42-BX42-DF42)</f>
        <v>0</v>
      </c>
      <c r="DX42" s="192" cm="1">
        <f t="array" ref="DX42">_xlfn.IFS(DX$1= 0,"", NOT(ISBLANK(CP42)), 0, ISBLANK(CP42), $Q42-$S42+BB42-BY42-DG42)</f>
        <v>0</v>
      </c>
      <c r="DY42" s="192" cm="1">
        <f t="array" ref="DY42">_xlfn.IFS(DY$1= 0,"", NOT(ISBLANK(CQ42)), 0, ISBLANK(CQ42), $Q42-$S42+BC42-BZ42-DH42)</f>
        <v>0</v>
      </c>
      <c r="DZ42" s="192" cm="1">
        <f t="array" ref="DZ42">_xlfn.IFS(DZ$1= 0,"", NOT(ISBLANK(CR42)), 0, ISBLANK(CR42), $Q42-$S42+BD42-CA42-DI42)</f>
        <v>0</v>
      </c>
      <c r="EA42" s="192" cm="1">
        <f t="array" ref="EA42">_xlfn.IFS(EA$1= 0,"", NOT(ISBLANK(CS42)), 0, ISBLANK(CS42), $Q42-$S42+BE42-CB42-DJ42)</f>
        <v>0</v>
      </c>
      <c r="EB42" s="192" t="str" cm="1">
        <f t="array" ref="EB42">_xlfn.IFS(EB$1= 0,"", NOT(ISBLANK(CT42)), 0, ISBLANK(CT42), $Q42-$S42+BF42-CC42-DK42)</f>
        <v/>
      </c>
      <c r="EC42" s="192" t="str" cm="1">
        <f t="array" ref="EC42">_xlfn.IFS(EC$1= 0,"", NOT(ISBLANK(CU42)), 0, ISBLANK(CU42), $Q42-$S42+BG42-CD42-DL42)</f>
        <v/>
      </c>
      <c r="ED42" s="192" t="str" cm="1">
        <f t="array" ref="ED42">_xlfn.IFS(ED$1= 0,"", NOT(ISBLANK(CV42)), 0, ISBLANK(CV42), $Q42-$S42+BH42-CE42-DM42)</f>
        <v/>
      </c>
      <c r="EE42" s="192" t="str" cm="1">
        <f t="array" ref="EE42">_xlfn.IFS(EE$1= 0,"", NOT(ISBLANK(CW42)), 0, ISBLANK(CW42), $Q42-$S42+BI42-CF42-DN42)</f>
        <v/>
      </c>
      <c r="EF42" s="192" t="str" cm="1">
        <f t="array" ref="EF42">_xlfn.IFS(EF$1= 0,"", NOT(ISBLANK(CX42)), 0, ISBLANK(CX42), $Q42-$S42+BJ42-CG42-DO42)</f>
        <v/>
      </c>
      <c r="EG42" s="192" t="str" cm="1">
        <f t="array" ref="EG42">_xlfn.IFS(EG$1= 0,"", NOT(ISBLANK(CY42)), 0, ISBLANK(CY42), $Q42-$S42+BK42-CH42-DP42)</f>
        <v/>
      </c>
      <c r="EH42" s="192" t="str" cm="1">
        <f t="array" ref="EH42">_xlfn.IFS(EH$1= 0,"", NOT(ISBLANK(CZ42)), 0, ISBLANK(CZ42), $Q42-$S42+BL42-CI42-DQ42)</f>
        <v/>
      </c>
      <c r="EI42" s="193" t="str" cm="1">
        <f t="array" ref="EI42">_xlfn.IFS(EI$1= 0,"", NOT(ISBLANK(DA42)), 0, ISBLANK(DA42), $Q42-$S42+BM42-CJ42-DR42)</f>
        <v/>
      </c>
    </row>
    <row r="43" spans="1:139" ht="16.5" customHeight="1" x14ac:dyDescent="0.3">
      <c r="A43" s="183"/>
      <c r="B43" s="134"/>
      <c r="C43" s="134"/>
      <c r="D43" s="135"/>
      <c r="E43" s="166"/>
      <c r="F43" s="174"/>
      <c r="G43" s="3"/>
      <c r="H43" s="3"/>
      <c r="I43" s="3"/>
      <c r="J43" s="3"/>
      <c r="K43" s="3"/>
      <c r="L43" s="3"/>
      <c r="M43" s="178"/>
      <c r="N43" s="174"/>
      <c r="O43" s="175"/>
      <c r="P43" s="169"/>
      <c r="Q43" s="122">
        <f t="shared" si="18"/>
        <v>0</v>
      </c>
      <c r="R43" s="2"/>
      <c r="S43" s="2"/>
      <c r="T43" s="3"/>
      <c r="U43" s="3"/>
      <c r="V43" s="104">
        <f t="shared" si="2"/>
        <v>0</v>
      </c>
      <c r="W43" s="149"/>
      <c r="X43" s="136"/>
      <c r="Z43" s="110" t="s">
        <v>127</v>
      </c>
      <c r="AA43" s="108">
        <v>64.239999999999995</v>
      </c>
      <c r="AB43" s="49">
        <v>114.29</v>
      </c>
      <c r="AC43" s="102">
        <v>75.400000000000006</v>
      </c>
      <c r="AD43" s="49">
        <v>67.760000000000005</v>
      </c>
      <c r="AE43" s="49">
        <v>96.8</v>
      </c>
      <c r="AF43" s="50">
        <v>75.400000000000006</v>
      </c>
      <c r="AH43" s="185" t="str" cm="1">
        <f t="array" ref="AH43">IF(OR(AH$1=0, $A43="", _xlfn.XLOOKUP(AH$1, $Z$2:$Z$18, $AD$2:$AD$18, "")=""),"",SQRT((_xlfn.XLOOKUP(AH$1,$Z$2:$Z$18,$AA$2:$AA$18)-$T43)^2+(_xlfn.XLOOKUP(AH$1,$Z$2:$Z$18,$AB$2:$AB$18)-$U43)^2+(_xlfn.XLOOKUP(AH$1,$Z$2:$Z$18,$AC$2:$AC$18-$V43)^2)))</f>
        <v/>
      </c>
      <c r="AI43" s="124" t="str" cm="1">
        <f t="array" ref="AI43">IF(OR(AI$1=0, $A43="", _xlfn.XLOOKUP(AI$1, $Z$2:$Z$18, $AD$2:$AD$18, "")=""),"",SQRT((_xlfn.XLOOKUP(AI$1,$Z$2:$Z$18,$AA$2:$AA$18)-$T43)^2+(_xlfn.XLOOKUP(AI$1,$Z$2:$Z$18,$AB$2:$AB$18)-$U43)^2+(_xlfn.XLOOKUP(AI$1,$Z$2:$Z$18,$AC$2:$AC$18-$V43)^2)))</f>
        <v/>
      </c>
      <c r="AJ43" s="124" t="str" cm="1">
        <f t="array" ref="AJ43">IF(OR(AJ$1=0, $A43="", _xlfn.XLOOKUP(AJ$1, $Z$2:$Z$18, $AD$2:$AD$18, "")=""),"",SQRT((_xlfn.XLOOKUP(AJ$1,$Z$2:$Z$18,$AA$2:$AA$18)-$T43)^2+(_xlfn.XLOOKUP(AJ$1,$Z$2:$Z$18,$AB$2:$AB$18)-$U43)^2+(_xlfn.XLOOKUP(AJ$1,$Z$2:$Z$18,$AC$2:$AC$18-$V43)^2)))</f>
        <v/>
      </c>
      <c r="AK43" s="124" t="str" cm="1">
        <f t="array" ref="AK43">IF(OR(AK$1=0, $A43="", _xlfn.XLOOKUP(AK$1, $Z$2:$Z$18, $AD$2:$AD$18, "")=""),"",SQRT((_xlfn.XLOOKUP(AK$1,$Z$2:$Z$18,$AA$2:$AA$18)-$T43)^2+(_xlfn.XLOOKUP(AK$1,$Z$2:$Z$18,$AB$2:$AB$18)-$U43)^2+(_xlfn.XLOOKUP(AK$1,$Z$2:$Z$18,$AC$2:$AC$18-$V43)^2)))</f>
        <v/>
      </c>
      <c r="AL43" s="124" t="str" cm="1">
        <f t="array" ref="AL43">IF(OR(AL$1=0, $A43="", _xlfn.XLOOKUP(AL$1, $Z$2:$Z$18, $AD$2:$AD$18, "")=""),"",SQRT((_xlfn.XLOOKUP(AL$1,$Z$2:$Z$18,$AA$2:$AA$18)-$T43)^2+(_xlfn.XLOOKUP(AL$1,$Z$2:$Z$18,$AB$2:$AB$18)-$U43)^2+(_xlfn.XLOOKUP(AL$1,$Z$2:$Z$18,$AC$2:$AC$18-$V43)^2)))</f>
        <v/>
      </c>
      <c r="AM43" s="124" t="str" cm="1">
        <f t="array" ref="AM43">IF(OR(AM$1=0, $A43="", _xlfn.XLOOKUP(AM$1, $Z$2:$Z$18, $AD$2:$AD$18, "")=""),"",SQRT((_xlfn.XLOOKUP(AM$1,$Z$2:$Z$18,$AA$2:$AA$18)-$T43)^2+(_xlfn.XLOOKUP(AM$1,$Z$2:$Z$18,$AB$2:$AB$18)-$U43)^2+(_xlfn.XLOOKUP(AM$1,$Z$2:$Z$18,$AC$2:$AC$18-$V43)^2)))</f>
        <v/>
      </c>
      <c r="AN43" s="124" t="str" cm="1">
        <f t="array" ref="AN43">IF(OR(AN$1=0, $A43="", _xlfn.XLOOKUP(AN$1, $Z$2:$Z$18, $AD$2:$AD$18, "")=""),"",SQRT((_xlfn.XLOOKUP(AN$1,$Z$2:$Z$18,$AA$2:$AA$18)-$T43)^2+(_xlfn.XLOOKUP(AN$1,$Z$2:$Z$18,$AB$2:$AB$18)-$U43)^2+(_xlfn.XLOOKUP(AN$1,$Z$2:$Z$18,$AC$2:$AC$18-$V43)^2)))</f>
        <v/>
      </c>
      <c r="AO43" s="124" t="str" cm="1">
        <f t="array" ref="AO43">IF(OR(AO$1=0, $A43="", _xlfn.XLOOKUP(AO$1, $Z$2:$Z$18, $AD$2:$AD$18, "")=""),"",SQRT((_xlfn.XLOOKUP(AO$1,$Z$2:$Z$18,$AA$2:$AA$18)-$T43)^2+(_xlfn.XLOOKUP(AO$1,$Z$2:$Z$18,$AB$2:$AB$18)-$U43)^2+(_xlfn.XLOOKUP(AO$1,$Z$2:$Z$18,$AC$2:$AC$18-$V43)^2)))</f>
        <v/>
      </c>
      <c r="AP43" s="125" t="str" cm="1">
        <f t="array" ref="AP43">IF(OR(AP$1=0, $A43="", _xlfn.XLOOKUP(AP$1, $Z$2:$Z$18, $AD$2:$AD$18, "")=""),"",SQRT((_xlfn.XLOOKUP(AP$1,$Z$2:$Z$18,$AA$2:$AA$18)-$T43)^2+(_xlfn.XLOOKUP(AP$1,$Z$2:$Z$18,$AB$2:$AB$18)-$U43)^2+(_xlfn.XLOOKUP(AP$1,$Z$2:$Z$18,$AC$2:$AC$18-$V43)^2)))</f>
        <v/>
      </c>
      <c r="AQ43" s="125" t="str" cm="1">
        <f t="array" ref="AQ43">IF(OR(AQ$1=0, $A43="", _xlfn.XLOOKUP(AQ$1, $Z$2:$Z$18, $AD$2:$AD$18, "")=""),"",SQRT((_xlfn.XLOOKUP(AQ$1,$Z$2:$Z$18,$AA$2:$AA$18)-$T43)^2+(_xlfn.XLOOKUP(AQ$1,$Z$2:$Z$18,$AB$2:$AB$18)-$U43)^2+(_xlfn.XLOOKUP(AQ$1,$Z$2:$Z$18,$AC$2:$AC$18-$V43)^2)))</f>
        <v/>
      </c>
      <c r="AR43" s="125" t="str" cm="1">
        <f t="array" ref="AR43">IF(OR(AR$1=0, $A43="", _xlfn.XLOOKUP(AR$1, $Z$2:$Z$18, $AD$2:$AD$18, "")=""),"",SQRT((_xlfn.XLOOKUP(AR$1,$Z$2:$Z$18,$AA$2:$AA$18)-$T43)^2+(_xlfn.XLOOKUP(AR$1,$Z$2:$Z$18,$AB$2:$AB$18)-$U43)^2+(_xlfn.XLOOKUP(AR$1,$Z$2:$Z$18,$AC$2:$AC$18-$V43)^2)))</f>
        <v/>
      </c>
      <c r="AS43" s="125" t="str" cm="1">
        <f t="array" ref="AS43">IF(OR(AS$1=0, $A43="", _xlfn.XLOOKUP(AS$1, $Z$2:$Z$18, $AD$2:$AD$18, "")=""),"",SQRT((_xlfn.XLOOKUP(AS$1,$Z$2:$Z$18,$AA$2:$AA$18)-$T43)^2+(_xlfn.XLOOKUP(AS$1,$Z$2:$Z$18,$AB$2:$AB$18)-$U43)^2+(_xlfn.XLOOKUP(AS$1,$Z$2:$Z$18,$AC$2:$AC$18-$V43)^2)))</f>
        <v/>
      </c>
      <c r="AT43" s="125" t="str" cm="1">
        <f t="array" ref="AT43">IF(OR(AT$1=0, $A43="", _xlfn.XLOOKUP(AT$1, $Z$2:$Z$18, $AD$2:$AD$18, "")=""),"",SQRT((_xlfn.XLOOKUP(AT$1,$Z$2:$Z$18,$AA$2:$AA$18)-$T43)^2+(_xlfn.XLOOKUP(AT$1,$Z$2:$Z$18,$AB$2:$AB$18)-$U43)^2+(_xlfn.XLOOKUP(AT$1,$Z$2:$Z$18,$AC$2:$AC$18-$V43)^2)))</f>
        <v/>
      </c>
      <c r="AU43" s="125" t="str" cm="1">
        <f t="array" ref="AU43">IF(OR(AU$1=0, $A43="", _xlfn.XLOOKUP(AU$1, $Z$2:$Z$18, $AD$2:$AD$18, "")=""),"",SQRT((_xlfn.XLOOKUP(AU$1,$Z$2:$Z$18,$AA$2:$AA$18)-$T43)^2+(_xlfn.XLOOKUP(AU$1,$Z$2:$Z$18,$AB$2:$AB$18)-$U43)^2+(_xlfn.XLOOKUP(AU$1,$Z$2:$Z$18,$AC$2:$AC$18-$V43)^2)))</f>
        <v/>
      </c>
      <c r="AV43" s="126" t="str" cm="1">
        <f t="array" ref="AV43">IF(OR(AV$1=0, $A43="", _xlfn.XLOOKUP(AV$1, $Z$2:$Z$18, $AD$2:$AD$18, "")=""),"",SQRT((_xlfn.XLOOKUP(AV$1,$Z$2:$Z$18,$AA$2:$AA$18)-$T43)^2+(_xlfn.XLOOKUP(AV$1,$Z$2:$Z$18,$AB$2:$AB$18)-$U43)^2+(_xlfn.XLOOKUP(AV$1,$Z$2:$Z$18,$AC$2:$AC$18-$V43)^2)))</f>
        <v/>
      </c>
      <c r="AW43" s="127"/>
      <c r="AX43" s="127"/>
      <c r="AY43" s="128">
        <f t="shared" si="19"/>
        <v>0</v>
      </c>
      <c r="AZ43" s="137">
        <f t="shared" si="20"/>
        <v>0</v>
      </c>
      <c r="BA43" s="137">
        <f t="shared" si="21"/>
        <v>0</v>
      </c>
      <c r="BB43" s="137">
        <f t="shared" si="22"/>
        <v>0</v>
      </c>
      <c r="BC43" s="137">
        <f t="shared" si="23"/>
        <v>0</v>
      </c>
      <c r="BD43" s="137">
        <f t="shared" si="24"/>
        <v>0</v>
      </c>
      <c r="BE43" s="137">
        <f t="shared" si="25"/>
        <v>0</v>
      </c>
      <c r="BF43" s="137">
        <f t="shared" si="26"/>
        <v>0</v>
      </c>
      <c r="BG43" s="138">
        <f t="shared" si="27"/>
        <v>0</v>
      </c>
      <c r="BH43" s="138">
        <f t="shared" si="28"/>
        <v>0</v>
      </c>
      <c r="BI43" s="138">
        <f t="shared" si="29"/>
        <v>0</v>
      </c>
      <c r="BJ43" s="138">
        <f t="shared" si="30"/>
        <v>0</v>
      </c>
      <c r="BK43" s="138">
        <f t="shared" si="31"/>
        <v>0</v>
      </c>
      <c r="BL43" s="138">
        <f t="shared" si="32"/>
        <v>0</v>
      </c>
      <c r="BM43" s="139">
        <f t="shared" si="33"/>
        <v>0</v>
      </c>
      <c r="BN43" s="127"/>
      <c r="BO43" s="53">
        <v>3</v>
      </c>
      <c r="BP43" s="53">
        <v>12</v>
      </c>
      <c r="BQ43" s="18"/>
      <c r="BR43" s="127"/>
      <c r="BS43" s="127"/>
      <c r="BT43" s="127"/>
      <c r="BU43" s="127"/>
      <c r="BV43" s="133"/>
      <c r="BW43" s="133"/>
      <c r="BX43" s="133"/>
      <c r="BY43" s="133"/>
      <c r="BZ43" s="133"/>
      <c r="CA43" s="133"/>
      <c r="CB43" s="133"/>
      <c r="CC43" s="133"/>
      <c r="CD43" s="133"/>
      <c r="CE43" s="133"/>
      <c r="CF43" s="133"/>
      <c r="CG43" s="133"/>
      <c r="CH43" s="133"/>
      <c r="CI43" s="133"/>
      <c r="CJ43" s="133"/>
      <c r="CL43" s="127"/>
      <c r="CM43" s="133" t="s">
        <v>32</v>
      </c>
      <c r="CN43" s="133"/>
      <c r="CO43" s="133"/>
      <c r="CP43" s="133"/>
      <c r="CQ43" s="133"/>
      <c r="CR43" s="133"/>
      <c r="CS43" s="133"/>
      <c r="CT43" s="133"/>
      <c r="CU43" s="133"/>
      <c r="CV43" s="133"/>
      <c r="CW43" s="133"/>
      <c r="CX43" s="133"/>
      <c r="CY43" s="133"/>
      <c r="CZ43" s="133"/>
      <c r="DA43" s="133"/>
      <c r="DB43" s="127"/>
      <c r="DC43" s="127"/>
      <c r="DD43" s="133"/>
      <c r="DE43" s="133"/>
      <c r="DF43" s="133"/>
      <c r="DG43" s="133"/>
      <c r="DH43" s="133"/>
      <c r="DI43" s="133"/>
      <c r="DJ43" s="133"/>
      <c r="DK43" s="133"/>
      <c r="DL43" s="133"/>
      <c r="DM43" s="133"/>
      <c r="DN43" s="133"/>
      <c r="DO43" s="133"/>
      <c r="DP43" s="133"/>
      <c r="DQ43" s="133"/>
      <c r="DR43" s="133"/>
      <c r="DT43" s="127"/>
      <c r="DU43" s="191" cm="1">
        <f t="array" ref="DU43">_xlfn.IFS(DU$1= 0,"", NOT(ISBLANK(CM43)), 0, ISBLANK(CM43), $Q43-$S43+AY43-BV43-DD43)</f>
        <v>0</v>
      </c>
      <c r="DV43" s="192" cm="1">
        <f t="array" ref="DV43">_xlfn.IFS(DV$1= 0,"", NOT(ISBLANK(CN43)), 0, ISBLANK(CN43), $Q43-$S43+AZ43-BW43-DE43)</f>
        <v>0</v>
      </c>
      <c r="DW43" s="192" cm="1">
        <f t="array" ref="DW43">_xlfn.IFS(DW$1= 0,"", NOT(ISBLANK(CO43)), 0, ISBLANK(CO43), $Q43-$S43+BA43-BX43-DF43)</f>
        <v>0</v>
      </c>
      <c r="DX43" s="192" cm="1">
        <f t="array" ref="DX43">_xlfn.IFS(DX$1= 0,"", NOT(ISBLANK(CP43)), 0, ISBLANK(CP43), $Q43-$S43+BB43-BY43-DG43)</f>
        <v>0</v>
      </c>
      <c r="DY43" s="192" cm="1">
        <f t="array" ref="DY43">_xlfn.IFS(DY$1= 0,"", NOT(ISBLANK(CQ43)), 0, ISBLANK(CQ43), $Q43-$S43+BC43-BZ43-DH43)</f>
        <v>0</v>
      </c>
      <c r="DZ43" s="192" cm="1">
        <f t="array" ref="DZ43">_xlfn.IFS(DZ$1= 0,"", NOT(ISBLANK(CR43)), 0, ISBLANK(CR43), $Q43-$S43+BD43-CA43-DI43)</f>
        <v>0</v>
      </c>
      <c r="EA43" s="192" cm="1">
        <f t="array" ref="EA43">_xlfn.IFS(EA$1= 0,"", NOT(ISBLANK(CS43)), 0, ISBLANK(CS43), $Q43-$S43+BE43-CB43-DJ43)</f>
        <v>0</v>
      </c>
      <c r="EB43" s="192" t="str" cm="1">
        <f t="array" ref="EB43">_xlfn.IFS(EB$1= 0,"", NOT(ISBLANK(CT43)), 0, ISBLANK(CT43), $Q43-$S43+BF43-CC43-DK43)</f>
        <v/>
      </c>
      <c r="EC43" s="192" t="str" cm="1">
        <f t="array" ref="EC43">_xlfn.IFS(EC$1= 0,"", NOT(ISBLANK(CU43)), 0, ISBLANK(CU43), $Q43-$S43+BG43-CD43-DL43)</f>
        <v/>
      </c>
      <c r="ED43" s="192" t="str" cm="1">
        <f t="array" ref="ED43">_xlfn.IFS(ED$1= 0,"", NOT(ISBLANK(CV43)), 0, ISBLANK(CV43), $Q43-$S43+BH43-CE43-DM43)</f>
        <v/>
      </c>
      <c r="EE43" s="192" t="str" cm="1">
        <f t="array" ref="EE43">_xlfn.IFS(EE$1= 0,"", NOT(ISBLANK(CW43)), 0, ISBLANK(CW43), $Q43-$S43+BI43-CF43-DN43)</f>
        <v/>
      </c>
      <c r="EF43" s="192" t="str" cm="1">
        <f t="array" ref="EF43">_xlfn.IFS(EF$1= 0,"", NOT(ISBLANK(CX43)), 0, ISBLANK(CX43), $Q43-$S43+BJ43-CG43-DO43)</f>
        <v/>
      </c>
      <c r="EG43" s="192" t="str" cm="1">
        <f t="array" ref="EG43">_xlfn.IFS(EG$1= 0,"", NOT(ISBLANK(CY43)), 0, ISBLANK(CY43), $Q43-$S43+BK43-CH43-DP43)</f>
        <v/>
      </c>
      <c r="EH43" s="192" t="str" cm="1">
        <f t="array" ref="EH43">_xlfn.IFS(EH$1= 0,"", NOT(ISBLANK(CZ43)), 0, ISBLANK(CZ43), $Q43-$S43+BL43-CI43-DQ43)</f>
        <v/>
      </c>
      <c r="EI43" s="193" t="str" cm="1">
        <f t="array" ref="EI43">_xlfn.IFS(EI$1= 0,"", NOT(ISBLANK(DA43)), 0, ISBLANK(DA43), $Q43-$S43+BM43-CJ43-DR43)</f>
        <v/>
      </c>
    </row>
    <row r="44" spans="1:139" ht="16.5" customHeight="1" x14ac:dyDescent="0.3">
      <c r="A44" s="183"/>
      <c r="B44" s="134"/>
      <c r="C44" s="134"/>
      <c r="D44" s="135"/>
      <c r="E44" s="166"/>
      <c r="F44" s="174"/>
      <c r="G44" s="3"/>
      <c r="H44" s="3"/>
      <c r="I44" s="3"/>
      <c r="J44" s="3"/>
      <c r="K44" s="3"/>
      <c r="L44" s="3"/>
      <c r="M44" s="178"/>
      <c r="N44" s="174"/>
      <c r="O44" s="175"/>
      <c r="P44" s="169"/>
      <c r="Q44" s="122">
        <f t="shared" si="18"/>
        <v>0</v>
      </c>
      <c r="R44" s="2"/>
      <c r="S44" s="2"/>
      <c r="T44" s="3"/>
      <c r="U44" s="3"/>
      <c r="V44" s="104">
        <f t="shared" si="2"/>
        <v>0</v>
      </c>
      <c r="W44" s="149"/>
      <c r="X44" s="136"/>
      <c r="Z44" s="110" t="s">
        <v>128</v>
      </c>
      <c r="AA44" s="108">
        <v>67.760000000000005</v>
      </c>
      <c r="AB44" s="49">
        <v>96.47</v>
      </c>
      <c r="AC44" s="102">
        <v>75.400000000000006</v>
      </c>
      <c r="AD44" s="49">
        <v>75.349999999999994</v>
      </c>
      <c r="AE44" s="49">
        <v>97.79</v>
      </c>
      <c r="AF44" s="50">
        <v>75.400000000000006</v>
      </c>
      <c r="AH44" s="185" t="str" cm="1">
        <f t="array" ref="AH44">IF(OR(AH$1=0, $A44="", _xlfn.XLOOKUP(AH$1, $Z$2:$Z$18, $AD$2:$AD$18, "")=""),"",SQRT((_xlfn.XLOOKUP(AH$1,$Z$2:$Z$18,$AA$2:$AA$18)-$T44)^2+(_xlfn.XLOOKUP(AH$1,$Z$2:$Z$18,$AB$2:$AB$18)-$U44)^2+(_xlfn.XLOOKUP(AH$1,$Z$2:$Z$18,$AC$2:$AC$18-$V44)^2)))</f>
        <v/>
      </c>
      <c r="AI44" s="124" t="str" cm="1">
        <f t="array" ref="AI44">IF(OR(AI$1=0, $A44="", _xlfn.XLOOKUP(AI$1, $Z$2:$Z$18, $AD$2:$AD$18, "")=""),"",SQRT((_xlfn.XLOOKUP(AI$1,$Z$2:$Z$18,$AA$2:$AA$18)-$T44)^2+(_xlfn.XLOOKUP(AI$1,$Z$2:$Z$18,$AB$2:$AB$18)-$U44)^2+(_xlfn.XLOOKUP(AI$1,$Z$2:$Z$18,$AC$2:$AC$18-$V44)^2)))</f>
        <v/>
      </c>
      <c r="AJ44" s="124" t="str" cm="1">
        <f t="array" ref="AJ44">IF(OR(AJ$1=0, $A44="", _xlfn.XLOOKUP(AJ$1, $Z$2:$Z$18, $AD$2:$AD$18, "")=""),"",SQRT((_xlfn.XLOOKUP(AJ$1,$Z$2:$Z$18,$AA$2:$AA$18)-$T44)^2+(_xlfn.XLOOKUP(AJ$1,$Z$2:$Z$18,$AB$2:$AB$18)-$U44)^2+(_xlfn.XLOOKUP(AJ$1,$Z$2:$Z$18,$AC$2:$AC$18-$V44)^2)))</f>
        <v/>
      </c>
      <c r="AK44" s="124" t="str" cm="1">
        <f t="array" ref="AK44">IF(OR(AK$1=0, $A44="", _xlfn.XLOOKUP(AK$1, $Z$2:$Z$18, $AD$2:$AD$18, "")=""),"",SQRT((_xlfn.XLOOKUP(AK$1,$Z$2:$Z$18,$AA$2:$AA$18)-$T44)^2+(_xlfn.XLOOKUP(AK$1,$Z$2:$Z$18,$AB$2:$AB$18)-$U44)^2+(_xlfn.XLOOKUP(AK$1,$Z$2:$Z$18,$AC$2:$AC$18-$V44)^2)))</f>
        <v/>
      </c>
      <c r="AL44" s="124" t="str" cm="1">
        <f t="array" ref="AL44">IF(OR(AL$1=0, $A44="", _xlfn.XLOOKUP(AL$1, $Z$2:$Z$18, $AD$2:$AD$18, "")=""),"",SQRT((_xlfn.XLOOKUP(AL$1,$Z$2:$Z$18,$AA$2:$AA$18)-$T44)^2+(_xlfn.XLOOKUP(AL$1,$Z$2:$Z$18,$AB$2:$AB$18)-$U44)^2+(_xlfn.XLOOKUP(AL$1,$Z$2:$Z$18,$AC$2:$AC$18-$V44)^2)))</f>
        <v/>
      </c>
      <c r="AM44" s="124" t="str" cm="1">
        <f t="array" ref="AM44">IF(OR(AM$1=0, $A44="", _xlfn.XLOOKUP(AM$1, $Z$2:$Z$18, $AD$2:$AD$18, "")=""),"",SQRT((_xlfn.XLOOKUP(AM$1,$Z$2:$Z$18,$AA$2:$AA$18)-$T44)^2+(_xlfn.XLOOKUP(AM$1,$Z$2:$Z$18,$AB$2:$AB$18)-$U44)^2+(_xlfn.XLOOKUP(AM$1,$Z$2:$Z$18,$AC$2:$AC$18-$V44)^2)))</f>
        <v/>
      </c>
      <c r="AN44" s="124" t="str" cm="1">
        <f t="array" ref="AN44">IF(OR(AN$1=0, $A44="", _xlfn.XLOOKUP(AN$1, $Z$2:$Z$18, $AD$2:$AD$18, "")=""),"",SQRT((_xlfn.XLOOKUP(AN$1,$Z$2:$Z$18,$AA$2:$AA$18)-$T44)^2+(_xlfn.XLOOKUP(AN$1,$Z$2:$Z$18,$AB$2:$AB$18)-$U44)^2+(_xlfn.XLOOKUP(AN$1,$Z$2:$Z$18,$AC$2:$AC$18-$V44)^2)))</f>
        <v/>
      </c>
      <c r="AO44" s="124" t="str" cm="1">
        <f t="array" ref="AO44">IF(OR(AO$1=0, $A44="", _xlfn.XLOOKUP(AO$1, $Z$2:$Z$18, $AD$2:$AD$18, "")=""),"",SQRT((_xlfn.XLOOKUP(AO$1,$Z$2:$Z$18,$AA$2:$AA$18)-$T44)^2+(_xlfn.XLOOKUP(AO$1,$Z$2:$Z$18,$AB$2:$AB$18)-$U44)^2+(_xlfn.XLOOKUP(AO$1,$Z$2:$Z$18,$AC$2:$AC$18-$V44)^2)))</f>
        <v/>
      </c>
      <c r="AP44" s="125" t="str" cm="1">
        <f t="array" ref="AP44">IF(OR(AP$1=0, $A44="", _xlfn.XLOOKUP(AP$1, $Z$2:$Z$18, $AD$2:$AD$18, "")=""),"",SQRT((_xlfn.XLOOKUP(AP$1,$Z$2:$Z$18,$AA$2:$AA$18)-$T44)^2+(_xlfn.XLOOKUP(AP$1,$Z$2:$Z$18,$AB$2:$AB$18)-$U44)^2+(_xlfn.XLOOKUP(AP$1,$Z$2:$Z$18,$AC$2:$AC$18-$V44)^2)))</f>
        <v/>
      </c>
      <c r="AQ44" s="125" t="str" cm="1">
        <f t="array" ref="AQ44">IF(OR(AQ$1=0, $A44="", _xlfn.XLOOKUP(AQ$1, $Z$2:$Z$18, $AD$2:$AD$18, "")=""),"",SQRT((_xlfn.XLOOKUP(AQ$1,$Z$2:$Z$18,$AA$2:$AA$18)-$T44)^2+(_xlfn.XLOOKUP(AQ$1,$Z$2:$Z$18,$AB$2:$AB$18)-$U44)^2+(_xlfn.XLOOKUP(AQ$1,$Z$2:$Z$18,$AC$2:$AC$18-$V44)^2)))</f>
        <v/>
      </c>
      <c r="AR44" s="125" t="str" cm="1">
        <f t="array" ref="AR44">IF(OR(AR$1=0, $A44="", _xlfn.XLOOKUP(AR$1, $Z$2:$Z$18, $AD$2:$AD$18, "")=""),"",SQRT((_xlfn.XLOOKUP(AR$1,$Z$2:$Z$18,$AA$2:$AA$18)-$T44)^2+(_xlfn.XLOOKUP(AR$1,$Z$2:$Z$18,$AB$2:$AB$18)-$U44)^2+(_xlfn.XLOOKUP(AR$1,$Z$2:$Z$18,$AC$2:$AC$18-$V44)^2)))</f>
        <v/>
      </c>
      <c r="AS44" s="125" t="str" cm="1">
        <f t="array" ref="AS44">IF(OR(AS$1=0, $A44="", _xlfn.XLOOKUP(AS$1, $Z$2:$Z$18, $AD$2:$AD$18, "")=""),"",SQRT((_xlfn.XLOOKUP(AS$1,$Z$2:$Z$18,$AA$2:$AA$18)-$T44)^2+(_xlfn.XLOOKUP(AS$1,$Z$2:$Z$18,$AB$2:$AB$18)-$U44)^2+(_xlfn.XLOOKUP(AS$1,$Z$2:$Z$18,$AC$2:$AC$18-$V44)^2)))</f>
        <v/>
      </c>
      <c r="AT44" s="125" t="str" cm="1">
        <f t="array" ref="AT44">IF(OR(AT$1=0, $A44="", _xlfn.XLOOKUP(AT$1, $Z$2:$Z$18, $AD$2:$AD$18, "")=""),"",SQRT((_xlfn.XLOOKUP(AT$1,$Z$2:$Z$18,$AA$2:$AA$18)-$T44)^2+(_xlfn.XLOOKUP(AT$1,$Z$2:$Z$18,$AB$2:$AB$18)-$U44)^2+(_xlfn.XLOOKUP(AT$1,$Z$2:$Z$18,$AC$2:$AC$18-$V44)^2)))</f>
        <v/>
      </c>
      <c r="AU44" s="125" t="str" cm="1">
        <f t="array" ref="AU44">IF(OR(AU$1=0, $A44="", _xlfn.XLOOKUP(AU$1, $Z$2:$Z$18, $AD$2:$AD$18, "")=""),"",SQRT((_xlfn.XLOOKUP(AU$1,$Z$2:$Z$18,$AA$2:$AA$18)-$T44)^2+(_xlfn.XLOOKUP(AU$1,$Z$2:$Z$18,$AB$2:$AB$18)-$U44)^2+(_xlfn.XLOOKUP(AU$1,$Z$2:$Z$18,$AC$2:$AC$18-$V44)^2)))</f>
        <v/>
      </c>
      <c r="AV44" s="126" t="str" cm="1">
        <f t="array" ref="AV44">IF(OR(AV$1=0, $A44="", _xlfn.XLOOKUP(AV$1, $Z$2:$Z$18, $AD$2:$AD$18, "")=""),"",SQRT((_xlfn.XLOOKUP(AV$1,$Z$2:$Z$18,$AA$2:$AA$18)-$T44)^2+(_xlfn.XLOOKUP(AV$1,$Z$2:$Z$18,$AB$2:$AB$18)-$U44)^2+(_xlfn.XLOOKUP(AV$1,$Z$2:$Z$18,$AC$2:$AC$18-$V44)^2)))</f>
        <v/>
      </c>
      <c r="AW44" s="127"/>
      <c r="AX44" s="127"/>
      <c r="AY44" s="128">
        <f t="shared" si="19"/>
        <v>0</v>
      </c>
      <c r="AZ44" s="137">
        <f t="shared" si="20"/>
        <v>0</v>
      </c>
      <c r="BA44" s="137">
        <f t="shared" si="21"/>
        <v>0</v>
      </c>
      <c r="BB44" s="137">
        <f t="shared" si="22"/>
        <v>0</v>
      </c>
      <c r="BC44" s="137">
        <f t="shared" si="23"/>
        <v>0</v>
      </c>
      <c r="BD44" s="137">
        <f t="shared" si="24"/>
        <v>0</v>
      </c>
      <c r="BE44" s="137">
        <f t="shared" si="25"/>
        <v>0</v>
      </c>
      <c r="BF44" s="137">
        <f t="shared" si="26"/>
        <v>0</v>
      </c>
      <c r="BG44" s="138">
        <f t="shared" si="27"/>
        <v>0</v>
      </c>
      <c r="BH44" s="138">
        <f t="shared" si="28"/>
        <v>0</v>
      </c>
      <c r="BI44" s="138">
        <f t="shared" si="29"/>
        <v>0</v>
      </c>
      <c r="BJ44" s="138">
        <f t="shared" si="30"/>
        <v>0</v>
      </c>
      <c r="BK44" s="138">
        <f t="shared" si="31"/>
        <v>0</v>
      </c>
      <c r="BL44" s="138">
        <f t="shared" si="32"/>
        <v>0</v>
      </c>
      <c r="BM44" s="139">
        <f t="shared" si="33"/>
        <v>0</v>
      </c>
      <c r="BN44" s="127"/>
      <c r="BO44" s="53">
        <v>6</v>
      </c>
      <c r="BP44" s="53">
        <v>15</v>
      </c>
      <c r="BQ44" s="18"/>
      <c r="BR44" s="127"/>
      <c r="BS44" s="127"/>
      <c r="BT44" s="127"/>
      <c r="BU44" s="127"/>
      <c r="BV44" s="133"/>
      <c r="BW44" s="133"/>
      <c r="BX44" s="133"/>
      <c r="BY44" s="133"/>
      <c r="BZ44" s="133"/>
      <c r="CA44" s="133"/>
      <c r="CB44" s="133"/>
      <c r="CC44" s="133"/>
      <c r="CD44" s="133"/>
      <c r="CE44" s="133"/>
      <c r="CF44" s="133"/>
      <c r="CG44" s="133"/>
      <c r="CH44" s="133"/>
      <c r="CI44" s="133"/>
      <c r="CJ44" s="133"/>
      <c r="CL44" s="127"/>
      <c r="CM44" s="133" t="s">
        <v>32</v>
      </c>
      <c r="CN44" s="133"/>
      <c r="CO44" s="133"/>
      <c r="CP44" s="133"/>
      <c r="CQ44" s="133"/>
      <c r="CR44" s="133"/>
      <c r="CS44" s="133"/>
      <c r="CT44" s="133"/>
      <c r="CU44" s="133"/>
      <c r="CV44" s="133"/>
      <c r="CW44" s="133"/>
      <c r="CX44" s="133"/>
      <c r="CY44" s="133"/>
      <c r="CZ44" s="133"/>
      <c r="DA44" s="133"/>
      <c r="DB44" s="127"/>
      <c r="DC44" s="127"/>
      <c r="DD44" s="133"/>
      <c r="DE44" s="133"/>
      <c r="DF44" s="133"/>
      <c r="DG44" s="133"/>
      <c r="DH44" s="133"/>
      <c r="DI44" s="133"/>
      <c r="DJ44" s="133"/>
      <c r="DK44" s="133"/>
      <c r="DL44" s="133"/>
      <c r="DM44" s="133"/>
      <c r="DN44" s="133"/>
      <c r="DO44" s="133"/>
      <c r="DP44" s="133"/>
      <c r="DQ44" s="133"/>
      <c r="DR44" s="133"/>
      <c r="DT44" s="127"/>
      <c r="DU44" s="191" cm="1">
        <f t="array" ref="DU44">_xlfn.IFS(DU$1= 0,"", NOT(ISBLANK(CM44)), 0, ISBLANK(CM44), $Q44-$S44+AY44-BV44-DD44)</f>
        <v>0</v>
      </c>
      <c r="DV44" s="192" cm="1">
        <f t="array" ref="DV44">_xlfn.IFS(DV$1= 0,"", NOT(ISBLANK(CN44)), 0, ISBLANK(CN44), $Q44-$S44+AZ44-BW44-DE44)</f>
        <v>0</v>
      </c>
      <c r="DW44" s="192" cm="1">
        <f t="array" ref="DW44">_xlfn.IFS(DW$1= 0,"", NOT(ISBLANK(CO44)), 0, ISBLANK(CO44), $Q44-$S44+BA44-BX44-DF44)</f>
        <v>0</v>
      </c>
      <c r="DX44" s="192" cm="1">
        <f t="array" ref="DX44">_xlfn.IFS(DX$1= 0,"", NOT(ISBLANK(CP44)), 0, ISBLANK(CP44), $Q44-$S44+BB44-BY44-DG44)</f>
        <v>0</v>
      </c>
      <c r="DY44" s="192" cm="1">
        <f t="array" ref="DY44">_xlfn.IFS(DY$1= 0,"", NOT(ISBLANK(CQ44)), 0, ISBLANK(CQ44), $Q44-$S44+BC44-BZ44-DH44)</f>
        <v>0</v>
      </c>
      <c r="DZ44" s="192" cm="1">
        <f t="array" ref="DZ44">_xlfn.IFS(DZ$1= 0,"", NOT(ISBLANK(CR44)), 0, ISBLANK(CR44), $Q44-$S44+BD44-CA44-DI44)</f>
        <v>0</v>
      </c>
      <c r="EA44" s="192" cm="1">
        <f t="array" ref="EA44">_xlfn.IFS(EA$1= 0,"", NOT(ISBLANK(CS44)), 0, ISBLANK(CS44), $Q44-$S44+BE44-CB44-DJ44)</f>
        <v>0</v>
      </c>
      <c r="EB44" s="192" t="str" cm="1">
        <f t="array" ref="EB44">_xlfn.IFS(EB$1= 0,"", NOT(ISBLANK(CT44)), 0, ISBLANK(CT44), $Q44-$S44+BF44-CC44-DK44)</f>
        <v/>
      </c>
      <c r="EC44" s="192" t="str" cm="1">
        <f t="array" ref="EC44">_xlfn.IFS(EC$1= 0,"", NOT(ISBLANK(CU44)), 0, ISBLANK(CU44), $Q44-$S44+BG44-CD44-DL44)</f>
        <v/>
      </c>
      <c r="ED44" s="192" t="str" cm="1">
        <f t="array" ref="ED44">_xlfn.IFS(ED$1= 0,"", NOT(ISBLANK(CV44)), 0, ISBLANK(CV44), $Q44-$S44+BH44-CE44-DM44)</f>
        <v/>
      </c>
      <c r="EE44" s="192" t="str" cm="1">
        <f t="array" ref="EE44">_xlfn.IFS(EE$1= 0,"", NOT(ISBLANK(CW44)), 0, ISBLANK(CW44), $Q44-$S44+BI44-CF44-DN44)</f>
        <v/>
      </c>
      <c r="EF44" s="192" t="str" cm="1">
        <f t="array" ref="EF44">_xlfn.IFS(EF$1= 0,"", NOT(ISBLANK(CX44)), 0, ISBLANK(CX44), $Q44-$S44+BJ44-CG44-DO44)</f>
        <v/>
      </c>
      <c r="EG44" s="192" t="str" cm="1">
        <f t="array" ref="EG44">_xlfn.IFS(EG$1= 0,"", NOT(ISBLANK(CY44)), 0, ISBLANK(CY44), $Q44-$S44+BK44-CH44-DP44)</f>
        <v/>
      </c>
      <c r="EH44" s="192" t="str" cm="1">
        <f t="array" ref="EH44">_xlfn.IFS(EH$1= 0,"", NOT(ISBLANK(CZ44)), 0, ISBLANK(CZ44), $Q44-$S44+BL44-CI44-DQ44)</f>
        <v/>
      </c>
      <c r="EI44" s="193" t="str" cm="1">
        <f t="array" ref="EI44">_xlfn.IFS(EI$1= 0,"", NOT(ISBLANK(DA44)), 0, ISBLANK(DA44), $Q44-$S44+BM44-CJ44-DR44)</f>
        <v/>
      </c>
    </row>
    <row r="45" spans="1:139" ht="16.5" customHeight="1" x14ac:dyDescent="0.3">
      <c r="A45" s="183"/>
      <c r="B45" s="134"/>
      <c r="C45" s="134"/>
      <c r="D45" s="135"/>
      <c r="E45" s="166"/>
      <c r="F45" s="174"/>
      <c r="G45" s="3"/>
      <c r="H45" s="3"/>
      <c r="I45" s="3"/>
      <c r="J45" s="3"/>
      <c r="K45" s="3"/>
      <c r="L45" s="3"/>
      <c r="M45" s="178"/>
      <c r="N45" s="174"/>
      <c r="O45" s="175"/>
      <c r="P45" s="169"/>
      <c r="Q45" s="122">
        <f t="shared" si="18"/>
        <v>0</v>
      </c>
      <c r="R45" s="2"/>
      <c r="S45" s="2"/>
      <c r="T45" s="3"/>
      <c r="U45" s="3"/>
      <c r="V45" s="104">
        <f t="shared" si="2"/>
        <v>0</v>
      </c>
      <c r="W45" s="149"/>
      <c r="X45" s="136"/>
      <c r="Z45" s="110" t="s">
        <v>129</v>
      </c>
      <c r="AA45" s="108">
        <v>75.569999999999993</v>
      </c>
      <c r="AB45" s="49">
        <v>98.34</v>
      </c>
      <c r="AC45" s="102">
        <v>75.400000000000006</v>
      </c>
      <c r="AD45" s="49">
        <v>77.77</v>
      </c>
      <c r="AE45" s="49">
        <v>86.79</v>
      </c>
      <c r="AF45" s="50">
        <v>75.400000000000006</v>
      </c>
      <c r="AH45" s="185" t="str" cm="1">
        <f t="array" ref="AH45">IF(OR(AH$1=0, $A45="", _xlfn.XLOOKUP(AH$1, $Z$2:$Z$18, $AD$2:$AD$18, "")=""),"",SQRT((_xlfn.XLOOKUP(AH$1,$Z$2:$Z$18,$AA$2:$AA$18)-$T45)^2+(_xlfn.XLOOKUP(AH$1,$Z$2:$Z$18,$AB$2:$AB$18)-$U45)^2+(_xlfn.XLOOKUP(AH$1,$Z$2:$Z$18,$AC$2:$AC$18-$V45)^2)))</f>
        <v/>
      </c>
      <c r="AI45" s="124" t="str" cm="1">
        <f t="array" ref="AI45">IF(OR(AI$1=0, $A45="", _xlfn.XLOOKUP(AI$1, $Z$2:$Z$18, $AD$2:$AD$18, "")=""),"",SQRT((_xlfn.XLOOKUP(AI$1,$Z$2:$Z$18,$AA$2:$AA$18)-$T45)^2+(_xlfn.XLOOKUP(AI$1,$Z$2:$Z$18,$AB$2:$AB$18)-$U45)^2+(_xlfn.XLOOKUP(AI$1,$Z$2:$Z$18,$AC$2:$AC$18-$V45)^2)))</f>
        <v/>
      </c>
      <c r="AJ45" s="124" t="str" cm="1">
        <f t="array" ref="AJ45">IF(OR(AJ$1=0, $A45="", _xlfn.XLOOKUP(AJ$1, $Z$2:$Z$18, $AD$2:$AD$18, "")=""),"",SQRT((_xlfn.XLOOKUP(AJ$1,$Z$2:$Z$18,$AA$2:$AA$18)-$T45)^2+(_xlfn.XLOOKUP(AJ$1,$Z$2:$Z$18,$AB$2:$AB$18)-$U45)^2+(_xlfn.XLOOKUP(AJ$1,$Z$2:$Z$18,$AC$2:$AC$18-$V45)^2)))</f>
        <v/>
      </c>
      <c r="AK45" s="124" t="str" cm="1">
        <f t="array" ref="AK45">IF(OR(AK$1=0, $A45="", _xlfn.XLOOKUP(AK$1, $Z$2:$Z$18, $AD$2:$AD$18, "")=""),"",SQRT((_xlfn.XLOOKUP(AK$1,$Z$2:$Z$18,$AA$2:$AA$18)-$T45)^2+(_xlfn.XLOOKUP(AK$1,$Z$2:$Z$18,$AB$2:$AB$18)-$U45)^2+(_xlfn.XLOOKUP(AK$1,$Z$2:$Z$18,$AC$2:$AC$18-$V45)^2)))</f>
        <v/>
      </c>
      <c r="AL45" s="124" t="str" cm="1">
        <f t="array" ref="AL45">IF(OR(AL$1=0, $A45="", _xlfn.XLOOKUP(AL$1, $Z$2:$Z$18, $AD$2:$AD$18, "")=""),"",SQRT((_xlfn.XLOOKUP(AL$1,$Z$2:$Z$18,$AA$2:$AA$18)-$T45)^2+(_xlfn.XLOOKUP(AL$1,$Z$2:$Z$18,$AB$2:$AB$18)-$U45)^2+(_xlfn.XLOOKUP(AL$1,$Z$2:$Z$18,$AC$2:$AC$18-$V45)^2)))</f>
        <v/>
      </c>
      <c r="AM45" s="124" t="str" cm="1">
        <f t="array" ref="AM45">IF(OR(AM$1=0, $A45="", _xlfn.XLOOKUP(AM$1, $Z$2:$Z$18, $AD$2:$AD$18, "")=""),"",SQRT((_xlfn.XLOOKUP(AM$1,$Z$2:$Z$18,$AA$2:$AA$18)-$T45)^2+(_xlfn.XLOOKUP(AM$1,$Z$2:$Z$18,$AB$2:$AB$18)-$U45)^2+(_xlfn.XLOOKUP(AM$1,$Z$2:$Z$18,$AC$2:$AC$18-$V45)^2)))</f>
        <v/>
      </c>
      <c r="AN45" s="124" t="str" cm="1">
        <f t="array" ref="AN45">IF(OR(AN$1=0, $A45="", _xlfn.XLOOKUP(AN$1, $Z$2:$Z$18, $AD$2:$AD$18, "")=""),"",SQRT((_xlfn.XLOOKUP(AN$1,$Z$2:$Z$18,$AA$2:$AA$18)-$T45)^2+(_xlfn.XLOOKUP(AN$1,$Z$2:$Z$18,$AB$2:$AB$18)-$U45)^2+(_xlfn.XLOOKUP(AN$1,$Z$2:$Z$18,$AC$2:$AC$18-$V45)^2)))</f>
        <v/>
      </c>
      <c r="AO45" s="124" t="str" cm="1">
        <f t="array" ref="AO45">IF(OR(AO$1=0, $A45="", _xlfn.XLOOKUP(AO$1, $Z$2:$Z$18, $AD$2:$AD$18, "")=""),"",SQRT((_xlfn.XLOOKUP(AO$1,$Z$2:$Z$18,$AA$2:$AA$18)-$T45)^2+(_xlfn.XLOOKUP(AO$1,$Z$2:$Z$18,$AB$2:$AB$18)-$U45)^2+(_xlfn.XLOOKUP(AO$1,$Z$2:$Z$18,$AC$2:$AC$18-$V45)^2)))</f>
        <v/>
      </c>
      <c r="AP45" s="125" t="str" cm="1">
        <f t="array" ref="AP45">IF(OR(AP$1=0, $A45="", _xlfn.XLOOKUP(AP$1, $Z$2:$Z$18, $AD$2:$AD$18, "")=""),"",SQRT((_xlfn.XLOOKUP(AP$1,$Z$2:$Z$18,$AA$2:$AA$18)-$T45)^2+(_xlfn.XLOOKUP(AP$1,$Z$2:$Z$18,$AB$2:$AB$18)-$U45)^2+(_xlfn.XLOOKUP(AP$1,$Z$2:$Z$18,$AC$2:$AC$18-$V45)^2)))</f>
        <v/>
      </c>
      <c r="AQ45" s="125" t="str" cm="1">
        <f t="array" ref="AQ45">IF(OR(AQ$1=0, $A45="", _xlfn.XLOOKUP(AQ$1, $Z$2:$Z$18, $AD$2:$AD$18, "")=""),"",SQRT((_xlfn.XLOOKUP(AQ$1,$Z$2:$Z$18,$AA$2:$AA$18)-$T45)^2+(_xlfn.XLOOKUP(AQ$1,$Z$2:$Z$18,$AB$2:$AB$18)-$U45)^2+(_xlfn.XLOOKUP(AQ$1,$Z$2:$Z$18,$AC$2:$AC$18-$V45)^2)))</f>
        <v/>
      </c>
      <c r="AR45" s="125" t="str" cm="1">
        <f t="array" ref="AR45">IF(OR(AR$1=0, $A45="", _xlfn.XLOOKUP(AR$1, $Z$2:$Z$18, $AD$2:$AD$18, "")=""),"",SQRT((_xlfn.XLOOKUP(AR$1,$Z$2:$Z$18,$AA$2:$AA$18)-$T45)^2+(_xlfn.XLOOKUP(AR$1,$Z$2:$Z$18,$AB$2:$AB$18)-$U45)^2+(_xlfn.XLOOKUP(AR$1,$Z$2:$Z$18,$AC$2:$AC$18-$V45)^2)))</f>
        <v/>
      </c>
      <c r="AS45" s="125" t="str" cm="1">
        <f t="array" ref="AS45">IF(OR(AS$1=0, $A45="", _xlfn.XLOOKUP(AS$1, $Z$2:$Z$18, $AD$2:$AD$18, "")=""),"",SQRT((_xlfn.XLOOKUP(AS$1,$Z$2:$Z$18,$AA$2:$AA$18)-$T45)^2+(_xlfn.XLOOKUP(AS$1,$Z$2:$Z$18,$AB$2:$AB$18)-$U45)^2+(_xlfn.XLOOKUP(AS$1,$Z$2:$Z$18,$AC$2:$AC$18-$V45)^2)))</f>
        <v/>
      </c>
      <c r="AT45" s="125" t="str" cm="1">
        <f t="array" ref="AT45">IF(OR(AT$1=0, $A45="", _xlfn.XLOOKUP(AT$1, $Z$2:$Z$18, $AD$2:$AD$18, "")=""),"",SQRT((_xlfn.XLOOKUP(AT$1,$Z$2:$Z$18,$AA$2:$AA$18)-$T45)^2+(_xlfn.XLOOKUP(AT$1,$Z$2:$Z$18,$AB$2:$AB$18)-$U45)^2+(_xlfn.XLOOKUP(AT$1,$Z$2:$Z$18,$AC$2:$AC$18-$V45)^2)))</f>
        <v/>
      </c>
      <c r="AU45" s="125" t="str" cm="1">
        <f t="array" ref="AU45">IF(OR(AU$1=0, $A45="", _xlfn.XLOOKUP(AU$1, $Z$2:$Z$18, $AD$2:$AD$18, "")=""),"",SQRT((_xlfn.XLOOKUP(AU$1,$Z$2:$Z$18,$AA$2:$AA$18)-$T45)^2+(_xlfn.XLOOKUP(AU$1,$Z$2:$Z$18,$AB$2:$AB$18)-$U45)^2+(_xlfn.XLOOKUP(AU$1,$Z$2:$Z$18,$AC$2:$AC$18-$V45)^2)))</f>
        <v/>
      </c>
      <c r="AV45" s="126" t="str" cm="1">
        <f t="array" ref="AV45">IF(OR(AV$1=0, $A45="", _xlfn.XLOOKUP(AV$1, $Z$2:$Z$18, $AD$2:$AD$18, "")=""),"",SQRT((_xlfn.XLOOKUP(AV$1,$Z$2:$Z$18,$AA$2:$AA$18)-$T45)^2+(_xlfn.XLOOKUP(AV$1,$Z$2:$Z$18,$AB$2:$AB$18)-$U45)^2+(_xlfn.XLOOKUP(AV$1,$Z$2:$Z$18,$AC$2:$AC$18-$V45)^2)))</f>
        <v/>
      </c>
      <c r="AW45" s="127"/>
      <c r="AX45" s="127"/>
      <c r="AY45" s="128">
        <f t="shared" si="19"/>
        <v>0</v>
      </c>
      <c r="AZ45" s="137">
        <f t="shared" si="20"/>
        <v>0</v>
      </c>
      <c r="BA45" s="137">
        <f t="shared" si="21"/>
        <v>0</v>
      </c>
      <c r="BB45" s="137">
        <f t="shared" si="22"/>
        <v>0</v>
      </c>
      <c r="BC45" s="137">
        <f t="shared" si="23"/>
        <v>0</v>
      </c>
      <c r="BD45" s="137">
        <f t="shared" si="24"/>
        <v>0</v>
      </c>
      <c r="BE45" s="137">
        <f t="shared" si="25"/>
        <v>0</v>
      </c>
      <c r="BF45" s="137">
        <f t="shared" si="26"/>
        <v>0</v>
      </c>
      <c r="BG45" s="138">
        <f t="shared" si="27"/>
        <v>0</v>
      </c>
      <c r="BH45" s="138">
        <f t="shared" si="28"/>
        <v>0</v>
      </c>
      <c r="BI45" s="138">
        <f t="shared" si="29"/>
        <v>0</v>
      </c>
      <c r="BJ45" s="138">
        <f t="shared" si="30"/>
        <v>0</v>
      </c>
      <c r="BK45" s="138">
        <f t="shared" si="31"/>
        <v>0</v>
      </c>
      <c r="BL45" s="138">
        <f t="shared" si="32"/>
        <v>0</v>
      </c>
      <c r="BM45" s="139">
        <f t="shared" si="33"/>
        <v>0</v>
      </c>
      <c r="BN45" s="127"/>
      <c r="BO45" s="53">
        <v>12</v>
      </c>
      <c r="BP45" s="53">
        <v>17</v>
      </c>
      <c r="BQ45" s="18"/>
      <c r="BR45" s="127"/>
      <c r="BS45" s="127"/>
      <c r="BT45" s="127"/>
      <c r="BU45" s="127"/>
      <c r="BV45" s="133"/>
      <c r="BW45" s="133"/>
      <c r="BX45" s="133"/>
      <c r="BY45" s="133"/>
      <c r="BZ45" s="133"/>
      <c r="CA45" s="133"/>
      <c r="CB45" s="133"/>
      <c r="CC45" s="133"/>
      <c r="CD45" s="133"/>
      <c r="CE45" s="133"/>
      <c r="CF45" s="133"/>
      <c r="CG45" s="133"/>
      <c r="CH45" s="133"/>
      <c r="CI45" s="133"/>
      <c r="CJ45" s="133"/>
      <c r="CL45" s="127"/>
      <c r="CM45" s="133" t="s">
        <v>32</v>
      </c>
      <c r="CN45" s="133"/>
      <c r="CO45" s="133"/>
      <c r="CP45" s="133"/>
      <c r="CQ45" s="133"/>
      <c r="CR45" s="133"/>
      <c r="CS45" s="133"/>
      <c r="CT45" s="133"/>
      <c r="CU45" s="133"/>
      <c r="CV45" s="133"/>
      <c r="CW45" s="133"/>
      <c r="CX45" s="133"/>
      <c r="CY45" s="133"/>
      <c r="CZ45" s="133"/>
      <c r="DA45" s="133"/>
      <c r="DB45" s="127"/>
      <c r="DC45" s="127"/>
      <c r="DD45" s="133"/>
      <c r="DE45" s="133"/>
      <c r="DF45" s="133"/>
      <c r="DG45" s="133"/>
      <c r="DH45" s="133"/>
      <c r="DI45" s="133"/>
      <c r="DJ45" s="133"/>
      <c r="DK45" s="133"/>
      <c r="DL45" s="133"/>
      <c r="DM45" s="133"/>
      <c r="DN45" s="133"/>
      <c r="DO45" s="133"/>
      <c r="DP45" s="133"/>
      <c r="DQ45" s="133"/>
      <c r="DR45" s="133"/>
      <c r="DT45" s="127"/>
      <c r="DU45" s="191" cm="1">
        <f t="array" ref="DU45">_xlfn.IFS(DU$1= 0,"", NOT(ISBLANK(CM45)), 0, ISBLANK(CM45), $Q45-$S45+AY45-BV45-DD45)</f>
        <v>0</v>
      </c>
      <c r="DV45" s="192" cm="1">
        <f t="array" ref="DV45">_xlfn.IFS(DV$1= 0,"", NOT(ISBLANK(CN45)), 0, ISBLANK(CN45), $Q45-$S45+AZ45-BW45-DE45)</f>
        <v>0</v>
      </c>
      <c r="DW45" s="192" cm="1">
        <f t="array" ref="DW45">_xlfn.IFS(DW$1= 0,"", NOT(ISBLANK(CO45)), 0, ISBLANK(CO45), $Q45-$S45+BA45-BX45-DF45)</f>
        <v>0</v>
      </c>
      <c r="DX45" s="192" cm="1">
        <f t="array" ref="DX45">_xlfn.IFS(DX$1= 0,"", NOT(ISBLANK(CP45)), 0, ISBLANK(CP45), $Q45-$S45+BB45-BY45-DG45)</f>
        <v>0</v>
      </c>
      <c r="DY45" s="192" cm="1">
        <f t="array" ref="DY45">_xlfn.IFS(DY$1= 0,"", NOT(ISBLANK(CQ45)), 0, ISBLANK(CQ45), $Q45-$S45+BC45-BZ45-DH45)</f>
        <v>0</v>
      </c>
      <c r="DZ45" s="192" cm="1">
        <f t="array" ref="DZ45">_xlfn.IFS(DZ$1= 0,"", NOT(ISBLANK(CR45)), 0, ISBLANK(CR45), $Q45-$S45+BD45-CA45-DI45)</f>
        <v>0</v>
      </c>
      <c r="EA45" s="192" cm="1">
        <f t="array" ref="EA45">_xlfn.IFS(EA$1= 0,"", NOT(ISBLANK(CS45)), 0, ISBLANK(CS45), $Q45-$S45+BE45-CB45-DJ45)</f>
        <v>0</v>
      </c>
      <c r="EB45" s="192" t="str" cm="1">
        <f t="array" ref="EB45">_xlfn.IFS(EB$1= 0,"", NOT(ISBLANK(CT45)), 0, ISBLANK(CT45), $Q45-$S45+BF45-CC45-DK45)</f>
        <v/>
      </c>
      <c r="EC45" s="192" t="str" cm="1">
        <f t="array" ref="EC45">_xlfn.IFS(EC$1= 0,"", NOT(ISBLANK(CU45)), 0, ISBLANK(CU45), $Q45-$S45+BG45-CD45-DL45)</f>
        <v/>
      </c>
      <c r="ED45" s="192" t="str" cm="1">
        <f t="array" ref="ED45">_xlfn.IFS(ED$1= 0,"", NOT(ISBLANK(CV45)), 0, ISBLANK(CV45), $Q45-$S45+BH45-CE45-DM45)</f>
        <v/>
      </c>
      <c r="EE45" s="192" t="str" cm="1">
        <f t="array" ref="EE45">_xlfn.IFS(EE$1= 0,"", NOT(ISBLANK(CW45)), 0, ISBLANK(CW45), $Q45-$S45+BI45-CF45-DN45)</f>
        <v/>
      </c>
      <c r="EF45" s="192" t="str" cm="1">
        <f t="array" ref="EF45">_xlfn.IFS(EF$1= 0,"", NOT(ISBLANK(CX45)), 0, ISBLANK(CX45), $Q45-$S45+BJ45-CG45-DO45)</f>
        <v/>
      </c>
      <c r="EG45" s="192" t="str" cm="1">
        <f t="array" ref="EG45">_xlfn.IFS(EG$1= 0,"", NOT(ISBLANK(CY45)), 0, ISBLANK(CY45), $Q45-$S45+BK45-CH45-DP45)</f>
        <v/>
      </c>
      <c r="EH45" s="192" t="str" cm="1">
        <f t="array" ref="EH45">_xlfn.IFS(EH$1= 0,"", NOT(ISBLANK(CZ45)), 0, ISBLANK(CZ45), $Q45-$S45+BL45-CI45-DQ45)</f>
        <v/>
      </c>
      <c r="EI45" s="193" t="str" cm="1">
        <f t="array" ref="EI45">_xlfn.IFS(EI$1= 0,"", NOT(ISBLANK(DA45)), 0, ISBLANK(DA45), $Q45-$S45+BM45-CJ45-DR45)</f>
        <v/>
      </c>
    </row>
    <row r="46" spans="1:139" ht="16.5" customHeight="1" x14ac:dyDescent="0.3">
      <c r="A46" s="183"/>
      <c r="B46" s="134"/>
      <c r="C46" s="134"/>
      <c r="D46" s="135"/>
      <c r="E46" s="166"/>
      <c r="F46" s="174"/>
      <c r="G46" s="3"/>
      <c r="H46" s="3"/>
      <c r="I46" s="3"/>
      <c r="J46" s="3"/>
      <c r="K46" s="3"/>
      <c r="L46" s="3"/>
      <c r="M46" s="178"/>
      <c r="N46" s="174"/>
      <c r="O46" s="175"/>
      <c r="P46" s="169"/>
      <c r="Q46" s="122">
        <f t="shared" si="18"/>
        <v>0</v>
      </c>
      <c r="R46" s="2"/>
      <c r="S46" s="2"/>
      <c r="T46" s="3"/>
      <c r="U46" s="3"/>
      <c r="V46" s="104">
        <f t="shared" si="2"/>
        <v>0</v>
      </c>
      <c r="W46" s="149"/>
      <c r="X46" s="136"/>
      <c r="Z46" s="110" t="s">
        <v>130</v>
      </c>
      <c r="AA46" s="108">
        <v>0</v>
      </c>
      <c r="AB46" s="49">
        <v>0</v>
      </c>
      <c r="AC46" s="102">
        <v>75.400000000000006</v>
      </c>
      <c r="AD46" s="49">
        <v>0</v>
      </c>
      <c r="AE46" s="49">
        <v>0</v>
      </c>
      <c r="AF46" s="50">
        <v>75.400000000000006</v>
      </c>
      <c r="AH46" s="185" t="str" cm="1">
        <f t="array" ref="AH46">IF(OR(AH$1=0, $A46="", _xlfn.XLOOKUP(AH$1, $Z$2:$Z$18, $AD$2:$AD$18, "")=""),"",SQRT((_xlfn.XLOOKUP(AH$1,$Z$2:$Z$18,$AA$2:$AA$18)-$T46)^2+(_xlfn.XLOOKUP(AH$1,$Z$2:$Z$18,$AB$2:$AB$18)-$U46)^2+(_xlfn.XLOOKUP(AH$1,$Z$2:$Z$18,$AC$2:$AC$18-$V46)^2)))</f>
        <v/>
      </c>
      <c r="AI46" s="124" t="str" cm="1">
        <f t="array" ref="AI46">IF(OR(AI$1=0, $A46="", _xlfn.XLOOKUP(AI$1, $Z$2:$Z$18, $AD$2:$AD$18, "")=""),"",SQRT((_xlfn.XLOOKUP(AI$1,$Z$2:$Z$18,$AA$2:$AA$18)-$T46)^2+(_xlfn.XLOOKUP(AI$1,$Z$2:$Z$18,$AB$2:$AB$18)-$U46)^2+(_xlfn.XLOOKUP(AI$1,$Z$2:$Z$18,$AC$2:$AC$18-$V46)^2)))</f>
        <v/>
      </c>
      <c r="AJ46" s="124" t="str" cm="1">
        <f t="array" ref="AJ46">IF(OR(AJ$1=0, $A46="", _xlfn.XLOOKUP(AJ$1, $Z$2:$Z$18, $AD$2:$AD$18, "")=""),"",SQRT((_xlfn.XLOOKUP(AJ$1,$Z$2:$Z$18,$AA$2:$AA$18)-$T46)^2+(_xlfn.XLOOKUP(AJ$1,$Z$2:$Z$18,$AB$2:$AB$18)-$U46)^2+(_xlfn.XLOOKUP(AJ$1,$Z$2:$Z$18,$AC$2:$AC$18-$V46)^2)))</f>
        <v/>
      </c>
      <c r="AK46" s="124" t="str" cm="1">
        <f t="array" ref="AK46">IF(OR(AK$1=0, $A46="", _xlfn.XLOOKUP(AK$1, $Z$2:$Z$18, $AD$2:$AD$18, "")=""),"",SQRT((_xlfn.XLOOKUP(AK$1,$Z$2:$Z$18,$AA$2:$AA$18)-$T46)^2+(_xlfn.XLOOKUP(AK$1,$Z$2:$Z$18,$AB$2:$AB$18)-$U46)^2+(_xlfn.XLOOKUP(AK$1,$Z$2:$Z$18,$AC$2:$AC$18-$V46)^2)))</f>
        <v/>
      </c>
      <c r="AL46" s="124" t="str" cm="1">
        <f t="array" ref="AL46">IF(OR(AL$1=0, $A46="", _xlfn.XLOOKUP(AL$1, $Z$2:$Z$18, $AD$2:$AD$18, "")=""),"",SQRT((_xlfn.XLOOKUP(AL$1,$Z$2:$Z$18,$AA$2:$AA$18)-$T46)^2+(_xlfn.XLOOKUP(AL$1,$Z$2:$Z$18,$AB$2:$AB$18)-$U46)^2+(_xlfn.XLOOKUP(AL$1,$Z$2:$Z$18,$AC$2:$AC$18-$V46)^2)))</f>
        <v/>
      </c>
      <c r="AM46" s="124" t="str" cm="1">
        <f t="array" ref="AM46">IF(OR(AM$1=0, $A46="", _xlfn.XLOOKUP(AM$1, $Z$2:$Z$18, $AD$2:$AD$18, "")=""),"",SQRT((_xlfn.XLOOKUP(AM$1,$Z$2:$Z$18,$AA$2:$AA$18)-$T46)^2+(_xlfn.XLOOKUP(AM$1,$Z$2:$Z$18,$AB$2:$AB$18)-$U46)^2+(_xlfn.XLOOKUP(AM$1,$Z$2:$Z$18,$AC$2:$AC$18-$V46)^2)))</f>
        <v/>
      </c>
      <c r="AN46" s="124" t="str" cm="1">
        <f t="array" ref="AN46">IF(OR(AN$1=0, $A46="", _xlfn.XLOOKUP(AN$1, $Z$2:$Z$18, $AD$2:$AD$18, "")=""),"",SQRT((_xlfn.XLOOKUP(AN$1,$Z$2:$Z$18,$AA$2:$AA$18)-$T46)^2+(_xlfn.XLOOKUP(AN$1,$Z$2:$Z$18,$AB$2:$AB$18)-$U46)^2+(_xlfn.XLOOKUP(AN$1,$Z$2:$Z$18,$AC$2:$AC$18-$V46)^2)))</f>
        <v/>
      </c>
      <c r="AO46" s="124" t="str" cm="1">
        <f t="array" ref="AO46">IF(OR(AO$1=0, $A46="", _xlfn.XLOOKUP(AO$1, $Z$2:$Z$18, $AD$2:$AD$18, "")=""),"",SQRT((_xlfn.XLOOKUP(AO$1,$Z$2:$Z$18,$AA$2:$AA$18)-$T46)^2+(_xlfn.XLOOKUP(AO$1,$Z$2:$Z$18,$AB$2:$AB$18)-$U46)^2+(_xlfn.XLOOKUP(AO$1,$Z$2:$Z$18,$AC$2:$AC$18-$V46)^2)))</f>
        <v/>
      </c>
      <c r="AP46" s="125" t="str" cm="1">
        <f t="array" ref="AP46">IF(OR(AP$1=0, $A46="", _xlfn.XLOOKUP(AP$1, $Z$2:$Z$18, $AD$2:$AD$18, "")=""),"",SQRT((_xlfn.XLOOKUP(AP$1,$Z$2:$Z$18,$AA$2:$AA$18)-$T46)^2+(_xlfn.XLOOKUP(AP$1,$Z$2:$Z$18,$AB$2:$AB$18)-$U46)^2+(_xlfn.XLOOKUP(AP$1,$Z$2:$Z$18,$AC$2:$AC$18-$V46)^2)))</f>
        <v/>
      </c>
      <c r="AQ46" s="125" t="str" cm="1">
        <f t="array" ref="AQ46">IF(OR(AQ$1=0, $A46="", _xlfn.XLOOKUP(AQ$1, $Z$2:$Z$18, $AD$2:$AD$18, "")=""),"",SQRT((_xlfn.XLOOKUP(AQ$1,$Z$2:$Z$18,$AA$2:$AA$18)-$T46)^2+(_xlfn.XLOOKUP(AQ$1,$Z$2:$Z$18,$AB$2:$AB$18)-$U46)^2+(_xlfn.XLOOKUP(AQ$1,$Z$2:$Z$18,$AC$2:$AC$18-$V46)^2)))</f>
        <v/>
      </c>
      <c r="AR46" s="125" t="str" cm="1">
        <f t="array" ref="AR46">IF(OR(AR$1=0, $A46="", _xlfn.XLOOKUP(AR$1, $Z$2:$Z$18, $AD$2:$AD$18, "")=""),"",SQRT((_xlfn.XLOOKUP(AR$1,$Z$2:$Z$18,$AA$2:$AA$18)-$T46)^2+(_xlfn.XLOOKUP(AR$1,$Z$2:$Z$18,$AB$2:$AB$18)-$U46)^2+(_xlfn.XLOOKUP(AR$1,$Z$2:$Z$18,$AC$2:$AC$18-$V46)^2)))</f>
        <v/>
      </c>
      <c r="AS46" s="125" t="str" cm="1">
        <f t="array" ref="AS46">IF(OR(AS$1=0, $A46="", _xlfn.XLOOKUP(AS$1, $Z$2:$Z$18, $AD$2:$AD$18, "")=""),"",SQRT((_xlfn.XLOOKUP(AS$1,$Z$2:$Z$18,$AA$2:$AA$18)-$T46)^2+(_xlfn.XLOOKUP(AS$1,$Z$2:$Z$18,$AB$2:$AB$18)-$U46)^2+(_xlfn.XLOOKUP(AS$1,$Z$2:$Z$18,$AC$2:$AC$18-$V46)^2)))</f>
        <v/>
      </c>
      <c r="AT46" s="125" t="str" cm="1">
        <f t="array" ref="AT46">IF(OR(AT$1=0, $A46="", _xlfn.XLOOKUP(AT$1, $Z$2:$Z$18, $AD$2:$AD$18, "")=""),"",SQRT((_xlfn.XLOOKUP(AT$1,$Z$2:$Z$18,$AA$2:$AA$18)-$T46)^2+(_xlfn.XLOOKUP(AT$1,$Z$2:$Z$18,$AB$2:$AB$18)-$U46)^2+(_xlfn.XLOOKUP(AT$1,$Z$2:$Z$18,$AC$2:$AC$18-$V46)^2)))</f>
        <v/>
      </c>
      <c r="AU46" s="125" t="str" cm="1">
        <f t="array" ref="AU46">IF(OR(AU$1=0, $A46="", _xlfn.XLOOKUP(AU$1, $Z$2:$Z$18, $AD$2:$AD$18, "")=""),"",SQRT((_xlfn.XLOOKUP(AU$1,$Z$2:$Z$18,$AA$2:$AA$18)-$T46)^2+(_xlfn.XLOOKUP(AU$1,$Z$2:$Z$18,$AB$2:$AB$18)-$U46)^2+(_xlfn.XLOOKUP(AU$1,$Z$2:$Z$18,$AC$2:$AC$18-$V46)^2)))</f>
        <v/>
      </c>
      <c r="AV46" s="126" t="str" cm="1">
        <f t="array" ref="AV46">IF(OR(AV$1=0, $A46="", _xlfn.XLOOKUP(AV$1, $Z$2:$Z$18, $AD$2:$AD$18, "")=""),"",SQRT((_xlfn.XLOOKUP(AV$1,$Z$2:$Z$18,$AA$2:$AA$18)-$T46)^2+(_xlfn.XLOOKUP(AV$1,$Z$2:$Z$18,$AB$2:$AB$18)-$U46)^2+(_xlfn.XLOOKUP(AV$1,$Z$2:$Z$18,$AC$2:$AC$18-$V46)^2)))</f>
        <v/>
      </c>
      <c r="AW46" s="127"/>
      <c r="AX46" s="127"/>
      <c r="AY46" s="128">
        <f t="shared" si="19"/>
        <v>0</v>
      </c>
      <c r="AZ46" s="137">
        <f t="shared" si="20"/>
        <v>0</v>
      </c>
      <c r="BA46" s="137">
        <f t="shared" si="21"/>
        <v>0</v>
      </c>
      <c r="BB46" s="137">
        <f t="shared" si="22"/>
        <v>0</v>
      </c>
      <c r="BC46" s="137">
        <f t="shared" si="23"/>
        <v>0</v>
      </c>
      <c r="BD46" s="137">
        <f t="shared" si="24"/>
        <v>0</v>
      </c>
      <c r="BE46" s="137">
        <f t="shared" si="25"/>
        <v>0</v>
      </c>
      <c r="BF46" s="137">
        <f t="shared" si="26"/>
        <v>0</v>
      </c>
      <c r="BG46" s="138">
        <f t="shared" si="27"/>
        <v>0</v>
      </c>
      <c r="BH46" s="138">
        <f t="shared" si="28"/>
        <v>0</v>
      </c>
      <c r="BI46" s="138">
        <f t="shared" si="29"/>
        <v>0</v>
      </c>
      <c r="BJ46" s="138">
        <f t="shared" si="30"/>
        <v>0</v>
      </c>
      <c r="BK46" s="138">
        <f t="shared" si="31"/>
        <v>0</v>
      </c>
      <c r="BL46" s="138">
        <f t="shared" si="32"/>
        <v>0</v>
      </c>
      <c r="BM46" s="139">
        <f t="shared" si="33"/>
        <v>0</v>
      </c>
      <c r="BN46" s="127"/>
      <c r="BO46" s="18" t="s">
        <v>71</v>
      </c>
      <c r="BP46" s="18">
        <f>ROUND(BQ49,0)</f>
        <v>5</v>
      </c>
      <c r="BQ46" s="18">
        <f>_xlfn.XLOOKUP(BP48,BO39:BO45,BP39:BP45,"error",0,1)</f>
        <v>4</v>
      </c>
      <c r="BR46" s="127"/>
      <c r="BS46" s="127"/>
      <c r="BT46" s="127"/>
      <c r="BU46" s="127"/>
      <c r="BV46" s="133"/>
      <c r="BW46" s="133"/>
      <c r="BX46" s="133"/>
      <c r="BY46" s="133"/>
      <c r="BZ46" s="133"/>
      <c r="CA46" s="133"/>
      <c r="CB46" s="133"/>
      <c r="CC46" s="133"/>
      <c r="CD46" s="133"/>
      <c r="CE46" s="133"/>
      <c r="CF46" s="133"/>
      <c r="CG46" s="133"/>
      <c r="CH46" s="133"/>
      <c r="CI46" s="133"/>
      <c r="CJ46" s="133"/>
      <c r="CL46" s="127"/>
      <c r="CM46" s="133" t="s">
        <v>32</v>
      </c>
      <c r="CN46" s="133"/>
      <c r="CO46" s="133"/>
      <c r="CP46" s="133"/>
      <c r="CQ46" s="133"/>
      <c r="CR46" s="133"/>
      <c r="CS46" s="133"/>
      <c r="CT46" s="133"/>
      <c r="CU46" s="133"/>
      <c r="CV46" s="133"/>
      <c r="CW46" s="133"/>
      <c r="CX46" s="133"/>
      <c r="CY46" s="133"/>
      <c r="CZ46" s="133"/>
      <c r="DA46" s="133"/>
      <c r="DB46" s="127"/>
      <c r="DC46" s="127"/>
      <c r="DD46" s="133"/>
      <c r="DE46" s="133"/>
      <c r="DF46" s="133"/>
      <c r="DG46" s="133"/>
      <c r="DH46" s="133"/>
      <c r="DI46" s="133"/>
      <c r="DJ46" s="133"/>
      <c r="DK46" s="133"/>
      <c r="DL46" s="133"/>
      <c r="DM46" s="133"/>
      <c r="DN46" s="133"/>
      <c r="DO46" s="133"/>
      <c r="DP46" s="133"/>
      <c r="DQ46" s="133"/>
      <c r="DR46" s="133"/>
      <c r="DT46" s="127"/>
      <c r="DU46" s="191" cm="1">
        <f t="array" ref="DU46">_xlfn.IFS(DU$1= 0,"", NOT(ISBLANK(CM46)), 0, ISBLANK(CM46), $Q46-$S46+AY46-BV46-DD46)</f>
        <v>0</v>
      </c>
      <c r="DV46" s="192" cm="1">
        <f t="array" ref="DV46">_xlfn.IFS(DV$1= 0,"", NOT(ISBLANK(CN46)), 0, ISBLANK(CN46), $Q46-$S46+AZ46-BW46-DE46)</f>
        <v>0</v>
      </c>
      <c r="DW46" s="192" cm="1">
        <f t="array" ref="DW46">_xlfn.IFS(DW$1= 0,"", NOT(ISBLANK(CO46)), 0, ISBLANK(CO46), $Q46-$S46+BA46-BX46-DF46)</f>
        <v>0</v>
      </c>
      <c r="DX46" s="192" cm="1">
        <f t="array" ref="DX46">_xlfn.IFS(DX$1= 0,"", NOT(ISBLANK(CP46)), 0, ISBLANK(CP46), $Q46-$S46+BB46-BY46-DG46)</f>
        <v>0</v>
      </c>
      <c r="DY46" s="192" cm="1">
        <f t="array" ref="DY46">_xlfn.IFS(DY$1= 0,"", NOT(ISBLANK(CQ46)), 0, ISBLANK(CQ46), $Q46-$S46+BC46-BZ46-DH46)</f>
        <v>0</v>
      </c>
      <c r="DZ46" s="192" cm="1">
        <f t="array" ref="DZ46">_xlfn.IFS(DZ$1= 0,"", NOT(ISBLANK(CR46)), 0, ISBLANK(CR46), $Q46-$S46+BD46-CA46-DI46)</f>
        <v>0</v>
      </c>
      <c r="EA46" s="192" cm="1">
        <f t="array" ref="EA46">_xlfn.IFS(EA$1= 0,"", NOT(ISBLANK(CS46)), 0, ISBLANK(CS46), $Q46-$S46+BE46-CB46-DJ46)</f>
        <v>0</v>
      </c>
      <c r="EB46" s="192" t="str" cm="1">
        <f t="array" ref="EB46">_xlfn.IFS(EB$1= 0,"", NOT(ISBLANK(CT46)), 0, ISBLANK(CT46), $Q46-$S46+BF46-CC46-DK46)</f>
        <v/>
      </c>
      <c r="EC46" s="192" t="str" cm="1">
        <f t="array" ref="EC46">_xlfn.IFS(EC$1= 0,"", NOT(ISBLANK(CU46)), 0, ISBLANK(CU46), $Q46-$S46+BG46-CD46-DL46)</f>
        <v/>
      </c>
      <c r="ED46" s="192" t="str" cm="1">
        <f t="array" ref="ED46">_xlfn.IFS(ED$1= 0,"", NOT(ISBLANK(CV46)), 0, ISBLANK(CV46), $Q46-$S46+BH46-CE46-DM46)</f>
        <v/>
      </c>
      <c r="EE46" s="192" t="str" cm="1">
        <f t="array" ref="EE46">_xlfn.IFS(EE$1= 0,"", NOT(ISBLANK(CW46)), 0, ISBLANK(CW46), $Q46-$S46+BI46-CF46-DN46)</f>
        <v/>
      </c>
      <c r="EF46" s="192" t="str" cm="1">
        <f t="array" ref="EF46">_xlfn.IFS(EF$1= 0,"", NOT(ISBLANK(CX46)), 0, ISBLANK(CX46), $Q46-$S46+BJ46-CG46-DO46)</f>
        <v/>
      </c>
      <c r="EG46" s="192" t="str" cm="1">
        <f t="array" ref="EG46">_xlfn.IFS(EG$1= 0,"", NOT(ISBLANK(CY46)), 0, ISBLANK(CY46), $Q46-$S46+BK46-CH46-DP46)</f>
        <v/>
      </c>
      <c r="EH46" s="192" t="str" cm="1">
        <f t="array" ref="EH46">_xlfn.IFS(EH$1= 0,"", NOT(ISBLANK(CZ46)), 0, ISBLANK(CZ46), $Q46-$S46+BL46-CI46-DQ46)</f>
        <v/>
      </c>
      <c r="EI46" s="193" t="str" cm="1">
        <f t="array" ref="EI46">_xlfn.IFS(EI$1= 0,"", NOT(ISBLANK(DA46)), 0, ISBLANK(DA46), $Q46-$S46+BM46-CJ46-DR46)</f>
        <v/>
      </c>
    </row>
    <row r="47" spans="1:139" ht="16.5" customHeight="1" x14ac:dyDescent="0.3">
      <c r="A47" s="183"/>
      <c r="B47" s="134"/>
      <c r="C47" s="134"/>
      <c r="D47" s="135"/>
      <c r="E47" s="166"/>
      <c r="F47" s="174"/>
      <c r="G47" s="3"/>
      <c r="H47" s="3"/>
      <c r="I47" s="3"/>
      <c r="J47" s="3"/>
      <c r="K47" s="3"/>
      <c r="L47" s="3"/>
      <c r="M47" s="178"/>
      <c r="N47" s="174"/>
      <c r="O47" s="175"/>
      <c r="P47" s="169"/>
      <c r="Q47" s="122">
        <f t="shared" si="18"/>
        <v>0</v>
      </c>
      <c r="R47" s="2"/>
      <c r="S47" s="2"/>
      <c r="T47" s="3"/>
      <c r="U47" s="3"/>
      <c r="V47" s="104">
        <f t="shared" si="2"/>
        <v>0</v>
      </c>
      <c r="W47" s="149"/>
      <c r="X47" s="136"/>
      <c r="Z47" s="110" t="s">
        <v>131</v>
      </c>
      <c r="AA47" s="108">
        <v>0</v>
      </c>
      <c r="AB47" s="49">
        <v>0</v>
      </c>
      <c r="AC47" s="102">
        <v>75.400000000000006</v>
      </c>
      <c r="AD47" s="49">
        <v>0</v>
      </c>
      <c r="AE47" s="49">
        <v>0</v>
      </c>
      <c r="AF47" s="50">
        <v>75.400000000000006</v>
      </c>
      <c r="AH47" s="185" t="str" cm="1">
        <f t="array" ref="AH47">IF(OR(AH$1=0, $A47="", _xlfn.XLOOKUP(AH$1, $Z$2:$Z$18, $AD$2:$AD$18, "")=""),"",SQRT((_xlfn.XLOOKUP(AH$1,$Z$2:$Z$18,$AA$2:$AA$18)-$T47)^2+(_xlfn.XLOOKUP(AH$1,$Z$2:$Z$18,$AB$2:$AB$18)-$U47)^2+(_xlfn.XLOOKUP(AH$1,$Z$2:$Z$18,$AC$2:$AC$18-$V47)^2)))</f>
        <v/>
      </c>
      <c r="AI47" s="124" t="str" cm="1">
        <f t="array" ref="AI47">IF(OR(AI$1=0, $A47="", _xlfn.XLOOKUP(AI$1, $Z$2:$Z$18, $AD$2:$AD$18, "")=""),"",SQRT((_xlfn.XLOOKUP(AI$1,$Z$2:$Z$18,$AA$2:$AA$18)-$T47)^2+(_xlfn.XLOOKUP(AI$1,$Z$2:$Z$18,$AB$2:$AB$18)-$U47)^2+(_xlfn.XLOOKUP(AI$1,$Z$2:$Z$18,$AC$2:$AC$18-$V47)^2)))</f>
        <v/>
      </c>
      <c r="AJ47" s="124" t="str" cm="1">
        <f t="array" ref="AJ47">IF(OR(AJ$1=0, $A47="", _xlfn.XLOOKUP(AJ$1, $Z$2:$Z$18, $AD$2:$AD$18, "")=""),"",SQRT((_xlfn.XLOOKUP(AJ$1,$Z$2:$Z$18,$AA$2:$AA$18)-$T47)^2+(_xlfn.XLOOKUP(AJ$1,$Z$2:$Z$18,$AB$2:$AB$18)-$U47)^2+(_xlfn.XLOOKUP(AJ$1,$Z$2:$Z$18,$AC$2:$AC$18-$V47)^2)))</f>
        <v/>
      </c>
      <c r="AK47" s="124" t="str" cm="1">
        <f t="array" ref="AK47">IF(OR(AK$1=0, $A47="", _xlfn.XLOOKUP(AK$1, $Z$2:$Z$18, $AD$2:$AD$18, "")=""),"",SQRT((_xlfn.XLOOKUP(AK$1,$Z$2:$Z$18,$AA$2:$AA$18)-$T47)^2+(_xlfn.XLOOKUP(AK$1,$Z$2:$Z$18,$AB$2:$AB$18)-$U47)^2+(_xlfn.XLOOKUP(AK$1,$Z$2:$Z$18,$AC$2:$AC$18-$V47)^2)))</f>
        <v/>
      </c>
      <c r="AL47" s="124" t="str" cm="1">
        <f t="array" ref="AL47">IF(OR(AL$1=0, $A47="", _xlfn.XLOOKUP(AL$1, $Z$2:$Z$18, $AD$2:$AD$18, "")=""),"",SQRT((_xlfn.XLOOKUP(AL$1,$Z$2:$Z$18,$AA$2:$AA$18)-$T47)^2+(_xlfn.XLOOKUP(AL$1,$Z$2:$Z$18,$AB$2:$AB$18)-$U47)^2+(_xlfn.XLOOKUP(AL$1,$Z$2:$Z$18,$AC$2:$AC$18-$V47)^2)))</f>
        <v/>
      </c>
      <c r="AM47" s="124" t="str" cm="1">
        <f t="array" ref="AM47">IF(OR(AM$1=0, $A47="", _xlfn.XLOOKUP(AM$1, $Z$2:$Z$18, $AD$2:$AD$18, "")=""),"",SQRT((_xlfn.XLOOKUP(AM$1,$Z$2:$Z$18,$AA$2:$AA$18)-$T47)^2+(_xlfn.XLOOKUP(AM$1,$Z$2:$Z$18,$AB$2:$AB$18)-$U47)^2+(_xlfn.XLOOKUP(AM$1,$Z$2:$Z$18,$AC$2:$AC$18-$V47)^2)))</f>
        <v/>
      </c>
      <c r="AN47" s="124" t="str" cm="1">
        <f t="array" ref="AN47">IF(OR(AN$1=0, $A47="", _xlfn.XLOOKUP(AN$1, $Z$2:$Z$18, $AD$2:$AD$18, "")=""),"",SQRT((_xlfn.XLOOKUP(AN$1,$Z$2:$Z$18,$AA$2:$AA$18)-$T47)^2+(_xlfn.XLOOKUP(AN$1,$Z$2:$Z$18,$AB$2:$AB$18)-$U47)^2+(_xlfn.XLOOKUP(AN$1,$Z$2:$Z$18,$AC$2:$AC$18-$V47)^2)))</f>
        <v/>
      </c>
      <c r="AO47" s="124" t="str" cm="1">
        <f t="array" ref="AO47">IF(OR(AO$1=0, $A47="", _xlfn.XLOOKUP(AO$1, $Z$2:$Z$18, $AD$2:$AD$18, "")=""),"",SQRT((_xlfn.XLOOKUP(AO$1,$Z$2:$Z$18,$AA$2:$AA$18)-$T47)^2+(_xlfn.XLOOKUP(AO$1,$Z$2:$Z$18,$AB$2:$AB$18)-$U47)^2+(_xlfn.XLOOKUP(AO$1,$Z$2:$Z$18,$AC$2:$AC$18-$V47)^2)))</f>
        <v/>
      </c>
      <c r="AP47" s="125" t="str" cm="1">
        <f t="array" ref="AP47">IF(OR(AP$1=0, $A47="", _xlfn.XLOOKUP(AP$1, $Z$2:$Z$18, $AD$2:$AD$18, "")=""),"",SQRT((_xlfn.XLOOKUP(AP$1,$Z$2:$Z$18,$AA$2:$AA$18)-$T47)^2+(_xlfn.XLOOKUP(AP$1,$Z$2:$Z$18,$AB$2:$AB$18)-$U47)^2+(_xlfn.XLOOKUP(AP$1,$Z$2:$Z$18,$AC$2:$AC$18-$V47)^2)))</f>
        <v/>
      </c>
      <c r="AQ47" s="125" t="str" cm="1">
        <f t="array" ref="AQ47">IF(OR(AQ$1=0, $A47="", _xlfn.XLOOKUP(AQ$1, $Z$2:$Z$18, $AD$2:$AD$18, "")=""),"",SQRT((_xlfn.XLOOKUP(AQ$1,$Z$2:$Z$18,$AA$2:$AA$18)-$T47)^2+(_xlfn.XLOOKUP(AQ$1,$Z$2:$Z$18,$AB$2:$AB$18)-$U47)^2+(_xlfn.XLOOKUP(AQ$1,$Z$2:$Z$18,$AC$2:$AC$18-$V47)^2)))</f>
        <v/>
      </c>
      <c r="AR47" s="125" t="str" cm="1">
        <f t="array" ref="AR47">IF(OR(AR$1=0, $A47="", _xlfn.XLOOKUP(AR$1, $Z$2:$Z$18, $AD$2:$AD$18, "")=""),"",SQRT((_xlfn.XLOOKUP(AR$1,$Z$2:$Z$18,$AA$2:$AA$18)-$T47)^2+(_xlfn.XLOOKUP(AR$1,$Z$2:$Z$18,$AB$2:$AB$18)-$U47)^2+(_xlfn.XLOOKUP(AR$1,$Z$2:$Z$18,$AC$2:$AC$18-$V47)^2)))</f>
        <v/>
      </c>
      <c r="AS47" s="125" t="str" cm="1">
        <f t="array" ref="AS47">IF(OR(AS$1=0, $A47="", _xlfn.XLOOKUP(AS$1, $Z$2:$Z$18, $AD$2:$AD$18, "")=""),"",SQRT((_xlfn.XLOOKUP(AS$1,$Z$2:$Z$18,$AA$2:$AA$18)-$T47)^2+(_xlfn.XLOOKUP(AS$1,$Z$2:$Z$18,$AB$2:$AB$18)-$U47)^2+(_xlfn.XLOOKUP(AS$1,$Z$2:$Z$18,$AC$2:$AC$18-$V47)^2)))</f>
        <v/>
      </c>
      <c r="AT47" s="125" t="str" cm="1">
        <f t="array" ref="AT47">IF(OR(AT$1=0, $A47="", _xlfn.XLOOKUP(AT$1, $Z$2:$Z$18, $AD$2:$AD$18, "")=""),"",SQRT((_xlfn.XLOOKUP(AT$1,$Z$2:$Z$18,$AA$2:$AA$18)-$T47)^2+(_xlfn.XLOOKUP(AT$1,$Z$2:$Z$18,$AB$2:$AB$18)-$U47)^2+(_xlfn.XLOOKUP(AT$1,$Z$2:$Z$18,$AC$2:$AC$18-$V47)^2)))</f>
        <v/>
      </c>
      <c r="AU47" s="125" t="str" cm="1">
        <f t="array" ref="AU47">IF(OR(AU$1=0, $A47="", _xlfn.XLOOKUP(AU$1, $Z$2:$Z$18, $AD$2:$AD$18, "")=""),"",SQRT((_xlfn.XLOOKUP(AU$1,$Z$2:$Z$18,$AA$2:$AA$18)-$T47)^2+(_xlfn.XLOOKUP(AU$1,$Z$2:$Z$18,$AB$2:$AB$18)-$U47)^2+(_xlfn.XLOOKUP(AU$1,$Z$2:$Z$18,$AC$2:$AC$18-$V47)^2)))</f>
        <v/>
      </c>
      <c r="AV47" s="126" t="str" cm="1">
        <f t="array" ref="AV47">IF(OR(AV$1=0, $A47="", _xlfn.XLOOKUP(AV$1, $Z$2:$Z$18, $AD$2:$AD$18, "")=""),"",SQRT((_xlfn.XLOOKUP(AV$1,$Z$2:$Z$18,$AA$2:$AA$18)-$T47)^2+(_xlfn.XLOOKUP(AV$1,$Z$2:$Z$18,$AB$2:$AB$18)-$U47)^2+(_xlfn.XLOOKUP(AV$1,$Z$2:$Z$18,$AC$2:$AC$18-$V47)^2)))</f>
        <v/>
      </c>
      <c r="AW47" s="127"/>
      <c r="AX47" s="127"/>
      <c r="AY47" s="128">
        <f t="shared" si="19"/>
        <v>0</v>
      </c>
      <c r="AZ47" s="137">
        <f t="shared" si="20"/>
        <v>0</v>
      </c>
      <c r="BA47" s="137">
        <f t="shared" si="21"/>
        <v>0</v>
      </c>
      <c r="BB47" s="137">
        <f t="shared" si="22"/>
        <v>0</v>
      </c>
      <c r="BC47" s="137">
        <f t="shared" si="23"/>
        <v>0</v>
      </c>
      <c r="BD47" s="137">
        <f t="shared" si="24"/>
        <v>0</v>
      </c>
      <c r="BE47" s="137">
        <f t="shared" si="25"/>
        <v>0</v>
      </c>
      <c r="BF47" s="137">
        <f t="shared" si="26"/>
        <v>0</v>
      </c>
      <c r="BG47" s="138">
        <f t="shared" si="27"/>
        <v>0</v>
      </c>
      <c r="BH47" s="138">
        <f t="shared" si="28"/>
        <v>0</v>
      </c>
      <c r="BI47" s="138">
        <f t="shared" si="29"/>
        <v>0</v>
      </c>
      <c r="BJ47" s="138">
        <f t="shared" si="30"/>
        <v>0</v>
      </c>
      <c r="BK47" s="138">
        <f t="shared" si="31"/>
        <v>0</v>
      </c>
      <c r="BL47" s="138">
        <f t="shared" si="32"/>
        <v>0</v>
      </c>
      <c r="BM47" s="139">
        <f t="shared" si="33"/>
        <v>0</v>
      </c>
      <c r="BN47" s="127"/>
      <c r="BO47" s="18" t="s">
        <v>72</v>
      </c>
      <c r="BP47" s="40">
        <f>'Input LwA_XYZ'!BP12</f>
        <v>0.6472550947896849</v>
      </c>
      <c r="BQ47" s="18">
        <f>_xlfn.XLOOKUP(BP49,BO39:BO45,BP39:BP45,"error",0,1)</f>
        <v>7</v>
      </c>
      <c r="BR47" s="127"/>
      <c r="BS47" s="127"/>
      <c r="BT47" s="127"/>
      <c r="BU47" s="127"/>
      <c r="BV47" s="133"/>
      <c r="BW47" s="133"/>
      <c r="BX47" s="133"/>
      <c r="BY47" s="133"/>
      <c r="BZ47" s="133"/>
      <c r="CA47" s="133"/>
      <c r="CB47" s="133"/>
      <c r="CC47" s="133"/>
      <c r="CD47" s="133"/>
      <c r="CE47" s="133"/>
      <c r="CF47" s="133"/>
      <c r="CG47" s="133"/>
      <c r="CH47" s="133"/>
      <c r="CI47" s="133"/>
      <c r="CJ47" s="133"/>
      <c r="CL47" s="127"/>
      <c r="CM47" s="133" t="s">
        <v>32</v>
      </c>
      <c r="CN47" s="133"/>
      <c r="CO47" s="133"/>
      <c r="CP47" s="133"/>
      <c r="CQ47" s="133"/>
      <c r="CR47" s="133"/>
      <c r="CS47" s="133"/>
      <c r="CT47" s="133"/>
      <c r="CU47" s="133"/>
      <c r="CV47" s="133"/>
      <c r="CW47" s="133"/>
      <c r="CX47" s="133"/>
      <c r="CY47" s="133"/>
      <c r="CZ47" s="133"/>
      <c r="DA47" s="133"/>
      <c r="DB47" s="127"/>
      <c r="DC47" s="127"/>
      <c r="DD47" s="133"/>
      <c r="DE47" s="133"/>
      <c r="DF47" s="133"/>
      <c r="DG47" s="133"/>
      <c r="DH47" s="133"/>
      <c r="DI47" s="133"/>
      <c r="DJ47" s="133"/>
      <c r="DK47" s="133"/>
      <c r="DL47" s="133"/>
      <c r="DM47" s="133"/>
      <c r="DN47" s="133"/>
      <c r="DO47" s="133"/>
      <c r="DP47" s="133"/>
      <c r="DQ47" s="133"/>
      <c r="DR47" s="133"/>
      <c r="DT47" s="127"/>
      <c r="DU47" s="191" cm="1">
        <f t="array" ref="DU47">_xlfn.IFS(DU$1= 0,"", NOT(ISBLANK(CM47)), 0, ISBLANK(CM47), $Q47-$S47+AY47-BV47-DD47)</f>
        <v>0</v>
      </c>
      <c r="DV47" s="192" cm="1">
        <f t="array" ref="DV47">_xlfn.IFS(DV$1= 0,"", NOT(ISBLANK(CN47)), 0, ISBLANK(CN47), $Q47-$S47+AZ47-BW47-DE47)</f>
        <v>0</v>
      </c>
      <c r="DW47" s="192" cm="1">
        <f t="array" ref="DW47">_xlfn.IFS(DW$1= 0,"", NOT(ISBLANK(CO47)), 0, ISBLANK(CO47), $Q47-$S47+BA47-BX47-DF47)</f>
        <v>0</v>
      </c>
      <c r="DX47" s="192" cm="1">
        <f t="array" ref="DX47">_xlfn.IFS(DX$1= 0,"", NOT(ISBLANK(CP47)), 0, ISBLANK(CP47), $Q47-$S47+BB47-BY47-DG47)</f>
        <v>0</v>
      </c>
      <c r="DY47" s="192" cm="1">
        <f t="array" ref="DY47">_xlfn.IFS(DY$1= 0,"", NOT(ISBLANK(CQ47)), 0, ISBLANK(CQ47), $Q47-$S47+BC47-BZ47-DH47)</f>
        <v>0</v>
      </c>
      <c r="DZ47" s="192" cm="1">
        <f t="array" ref="DZ47">_xlfn.IFS(DZ$1= 0,"", NOT(ISBLANK(CR47)), 0, ISBLANK(CR47), $Q47-$S47+BD47-CA47-DI47)</f>
        <v>0</v>
      </c>
      <c r="EA47" s="192" cm="1">
        <f t="array" ref="EA47">_xlfn.IFS(EA$1= 0,"", NOT(ISBLANK(CS47)), 0, ISBLANK(CS47), $Q47-$S47+BE47-CB47-DJ47)</f>
        <v>0</v>
      </c>
      <c r="EB47" s="192" t="str" cm="1">
        <f t="array" ref="EB47">_xlfn.IFS(EB$1= 0,"", NOT(ISBLANK(CT47)), 0, ISBLANK(CT47), $Q47-$S47+BF47-CC47-DK47)</f>
        <v/>
      </c>
      <c r="EC47" s="192" t="str" cm="1">
        <f t="array" ref="EC47">_xlfn.IFS(EC$1= 0,"", NOT(ISBLANK(CU47)), 0, ISBLANK(CU47), $Q47-$S47+BG47-CD47-DL47)</f>
        <v/>
      </c>
      <c r="ED47" s="192" t="str" cm="1">
        <f t="array" ref="ED47">_xlfn.IFS(ED$1= 0,"", NOT(ISBLANK(CV47)), 0, ISBLANK(CV47), $Q47-$S47+BH47-CE47-DM47)</f>
        <v/>
      </c>
      <c r="EE47" s="192" t="str" cm="1">
        <f t="array" ref="EE47">_xlfn.IFS(EE$1= 0,"", NOT(ISBLANK(CW47)), 0, ISBLANK(CW47), $Q47-$S47+BI47-CF47-DN47)</f>
        <v/>
      </c>
      <c r="EF47" s="192" t="str" cm="1">
        <f t="array" ref="EF47">_xlfn.IFS(EF$1= 0,"", NOT(ISBLANK(CX47)), 0, ISBLANK(CX47), $Q47-$S47+BJ47-CG47-DO47)</f>
        <v/>
      </c>
      <c r="EG47" s="192" t="str" cm="1">
        <f t="array" ref="EG47">_xlfn.IFS(EG$1= 0,"", NOT(ISBLANK(CY47)), 0, ISBLANK(CY47), $Q47-$S47+BK47-CH47-DP47)</f>
        <v/>
      </c>
      <c r="EH47" s="192" t="str" cm="1">
        <f t="array" ref="EH47">_xlfn.IFS(EH$1= 0,"", NOT(ISBLANK(CZ47)), 0, ISBLANK(CZ47), $Q47-$S47+BL47-CI47-DQ47)</f>
        <v/>
      </c>
      <c r="EI47" s="193" t="str" cm="1">
        <f t="array" ref="EI47">_xlfn.IFS(EI$1= 0,"", NOT(ISBLANK(DA47)), 0, ISBLANK(DA47), $Q47-$S47+BM47-CJ47-DR47)</f>
        <v/>
      </c>
    </row>
    <row r="48" spans="1:139" ht="16.5" customHeight="1" x14ac:dyDescent="0.3">
      <c r="A48" s="183"/>
      <c r="B48" s="134"/>
      <c r="C48" s="134"/>
      <c r="D48" s="135"/>
      <c r="E48" s="166"/>
      <c r="F48" s="174"/>
      <c r="G48" s="3"/>
      <c r="H48" s="3"/>
      <c r="I48" s="3"/>
      <c r="J48" s="3"/>
      <c r="K48" s="3"/>
      <c r="L48" s="3"/>
      <c r="M48" s="178"/>
      <c r="N48" s="174"/>
      <c r="O48" s="175"/>
      <c r="P48" s="169"/>
      <c r="Q48" s="122">
        <f t="shared" si="18"/>
        <v>0</v>
      </c>
      <c r="R48" s="2"/>
      <c r="S48" s="2"/>
      <c r="T48" s="3"/>
      <c r="U48" s="3"/>
      <c r="V48" s="104">
        <f t="shared" si="2"/>
        <v>0</v>
      </c>
      <c r="W48" s="149"/>
      <c r="X48" s="136"/>
      <c r="Z48" s="111"/>
      <c r="AA48" s="108"/>
      <c r="AB48" s="49"/>
      <c r="AC48" s="50"/>
      <c r="AD48" s="49"/>
      <c r="AE48" s="49"/>
      <c r="AF48" s="50"/>
      <c r="AH48" s="185" t="str" cm="1">
        <f t="array" ref="AH48">IF(OR(AH$1=0, $A48="", _xlfn.XLOOKUP(AH$1, $Z$2:$Z$18, $AD$2:$AD$18, "")=""),"",SQRT((_xlfn.XLOOKUP(AH$1,$Z$2:$Z$18,$AA$2:$AA$18)-$T48)^2+(_xlfn.XLOOKUP(AH$1,$Z$2:$Z$18,$AB$2:$AB$18)-$U48)^2+(_xlfn.XLOOKUP(AH$1,$Z$2:$Z$18,$AC$2:$AC$18-$V48)^2)))</f>
        <v/>
      </c>
      <c r="AI48" s="124" t="str" cm="1">
        <f t="array" ref="AI48">IF(OR(AI$1=0, $A48="", _xlfn.XLOOKUP(AI$1, $Z$2:$Z$18, $AD$2:$AD$18, "")=""),"",SQRT((_xlfn.XLOOKUP(AI$1,$Z$2:$Z$18,$AA$2:$AA$18)-$T48)^2+(_xlfn.XLOOKUP(AI$1,$Z$2:$Z$18,$AB$2:$AB$18)-$U48)^2+(_xlfn.XLOOKUP(AI$1,$Z$2:$Z$18,$AC$2:$AC$18-$V48)^2)))</f>
        <v/>
      </c>
      <c r="AJ48" s="124" t="str" cm="1">
        <f t="array" ref="AJ48">IF(OR(AJ$1=0, $A48="", _xlfn.XLOOKUP(AJ$1, $Z$2:$Z$18, $AD$2:$AD$18, "")=""),"",SQRT((_xlfn.XLOOKUP(AJ$1,$Z$2:$Z$18,$AA$2:$AA$18)-$T48)^2+(_xlfn.XLOOKUP(AJ$1,$Z$2:$Z$18,$AB$2:$AB$18)-$U48)^2+(_xlfn.XLOOKUP(AJ$1,$Z$2:$Z$18,$AC$2:$AC$18-$V48)^2)))</f>
        <v/>
      </c>
      <c r="AK48" s="124" t="str" cm="1">
        <f t="array" ref="AK48">IF(OR(AK$1=0, $A48="", _xlfn.XLOOKUP(AK$1, $Z$2:$Z$18, $AD$2:$AD$18, "")=""),"",SQRT((_xlfn.XLOOKUP(AK$1,$Z$2:$Z$18,$AA$2:$AA$18)-$T48)^2+(_xlfn.XLOOKUP(AK$1,$Z$2:$Z$18,$AB$2:$AB$18)-$U48)^2+(_xlfn.XLOOKUP(AK$1,$Z$2:$Z$18,$AC$2:$AC$18-$V48)^2)))</f>
        <v/>
      </c>
      <c r="AL48" s="124" t="str" cm="1">
        <f t="array" ref="AL48">IF(OR(AL$1=0, $A48="", _xlfn.XLOOKUP(AL$1, $Z$2:$Z$18, $AD$2:$AD$18, "")=""),"",SQRT((_xlfn.XLOOKUP(AL$1,$Z$2:$Z$18,$AA$2:$AA$18)-$T48)^2+(_xlfn.XLOOKUP(AL$1,$Z$2:$Z$18,$AB$2:$AB$18)-$U48)^2+(_xlfn.XLOOKUP(AL$1,$Z$2:$Z$18,$AC$2:$AC$18-$V48)^2)))</f>
        <v/>
      </c>
      <c r="AM48" s="124" t="str" cm="1">
        <f t="array" ref="AM48">IF(OR(AM$1=0, $A48="", _xlfn.XLOOKUP(AM$1, $Z$2:$Z$18, $AD$2:$AD$18, "")=""),"",SQRT((_xlfn.XLOOKUP(AM$1,$Z$2:$Z$18,$AA$2:$AA$18)-$T48)^2+(_xlfn.XLOOKUP(AM$1,$Z$2:$Z$18,$AB$2:$AB$18)-$U48)^2+(_xlfn.XLOOKUP(AM$1,$Z$2:$Z$18,$AC$2:$AC$18-$V48)^2)))</f>
        <v/>
      </c>
      <c r="AN48" s="124" t="str" cm="1">
        <f t="array" ref="AN48">IF(OR(AN$1=0, $A48="", _xlfn.XLOOKUP(AN$1, $Z$2:$Z$18, $AD$2:$AD$18, "")=""),"",SQRT((_xlfn.XLOOKUP(AN$1,$Z$2:$Z$18,$AA$2:$AA$18)-$T48)^2+(_xlfn.XLOOKUP(AN$1,$Z$2:$Z$18,$AB$2:$AB$18)-$U48)^2+(_xlfn.XLOOKUP(AN$1,$Z$2:$Z$18,$AC$2:$AC$18-$V48)^2)))</f>
        <v/>
      </c>
      <c r="AO48" s="124" t="str" cm="1">
        <f t="array" ref="AO48">IF(OR(AO$1=0, $A48="", _xlfn.XLOOKUP(AO$1, $Z$2:$Z$18, $AD$2:$AD$18, "")=""),"",SQRT((_xlfn.XLOOKUP(AO$1,$Z$2:$Z$18,$AA$2:$AA$18)-$T48)^2+(_xlfn.XLOOKUP(AO$1,$Z$2:$Z$18,$AB$2:$AB$18)-$U48)^2+(_xlfn.XLOOKUP(AO$1,$Z$2:$Z$18,$AC$2:$AC$18-$V48)^2)))</f>
        <v/>
      </c>
      <c r="AP48" s="125" t="str" cm="1">
        <f t="array" ref="AP48">IF(OR(AP$1=0, $A48="", _xlfn.XLOOKUP(AP$1, $Z$2:$Z$18, $AD$2:$AD$18, "")=""),"",SQRT((_xlfn.XLOOKUP(AP$1,$Z$2:$Z$18,$AA$2:$AA$18)-$T48)^2+(_xlfn.XLOOKUP(AP$1,$Z$2:$Z$18,$AB$2:$AB$18)-$U48)^2+(_xlfn.XLOOKUP(AP$1,$Z$2:$Z$18,$AC$2:$AC$18-$V48)^2)))</f>
        <v/>
      </c>
      <c r="AQ48" s="125" t="str" cm="1">
        <f t="array" ref="AQ48">IF(OR(AQ$1=0, $A48="", _xlfn.XLOOKUP(AQ$1, $Z$2:$Z$18, $AD$2:$AD$18, "")=""),"",SQRT((_xlfn.XLOOKUP(AQ$1,$Z$2:$Z$18,$AA$2:$AA$18)-$T48)^2+(_xlfn.XLOOKUP(AQ$1,$Z$2:$Z$18,$AB$2:$AB$18)-$U48)^2+(_xlfn.XLOOKUP(AQ$1,$Z$2:$Z$18,$AC$2:$AC$18-$V48)^2)))</f>
        <v/>
      </c>
      <c r="AR48" s="125" t="str" cm="1">
        <f t="array" ref="AR48">IF(OR(AR$1=0, $A48="", _xlfn.XLOOKUP(AR$1, $Z$2:$Z$18, $AD$2:$AD$18, "")=""),"",SQRT((_xlfn.XLOOKUP(AR$1,$Z$2:$Z$18,$AA$2:$AA$18)-$T48)^2+(_xlfn.XLOOKUP(AR$1,$Z$2:$Z$18,$AB$2:$AB$18)-$U48)^2+(_xlfn.XLOOKUP(AR$1,$Z$2:$Z$18,$AC$2:$AC$18-$V48)^2)))</f>
        <v/>
      </c>
      <c r="AS48" s="125" t="str" cm="1">
        <f t="array" ref="AS48">IF(OR(AS$1=0, $A48="", _xlfn.XLOOKUP(AS$1, $Z$2:$Z$18, $AD$2:$AD$18, "")=""),"",SQRT((_xlfn.XLOOKUP(AS$1,$Z$2:$Z$18,$AA$2:$AA$18)-$T48)^2+(_xlfn.XLOOKUP(AS$1,$Z$2:$Z$18,$AB$2:$AB$18)-$U48)^2+(_xlfn.XLOOKUP(AS$1,$Z$2:$Z$18,$AC$2:$AC$18-$V48)^2)))</f>
        <v/>
      </c>
      <c r="AT48" s="125" t="str" cm="1">
        <f t="array" ref="AT48">IF(OR(AT$1=0, $A48="", _xlfn.XLOOKUP(AT$1, $Z$2:$Z$18, $AD$2:$AD$18, "")=""),"",SQRT((_xlfn.XLOOKUP(AT$1,$Z$2:$Z$18,$AA$2:$AA$18)-$T48)^2+(_xlfn.XLOOKUP(AT$1,$Z$2:$Z$18,$AB$2:$AB$18)-$U48)^2+(_xlfn.XLOOKUP(AT$1,$Z$2:$Z$18,$AC$2:$AC$18-$V48)^2)))</f>
        <v/>
      </c>
      <c r="AU48" s="125" t="str" cm="1">
        <f t="array" ref="AU48">IF(OR(AU$1=0, $A48="", _xlfn.XLOOKUP(AU$1, $Z$2:$Z$18, $AD$2:$AD$18, "")=""),"",SQRT((_xlfn.XLOOKUP(AU$1,$Z$2:$Z$18,$AA$2:$AA$18)-$T48)^2+(_xlfn.XLOOKUP(AU$1,$Z$2:$Z$18,$AB$2:$AB$18)-$U48)^2+(_xlfn.XLOOKUP(AU$1,$Z$2:$Z$18,$AC$2:$AC$18-$V48)^2)))</f>
        <v/>
      </c>
      <c r="AV48" s="126" t="str" cm="1">
        <f t="array" ref="AV48">IF(OR(AV$1=0, $A48="", _xlfn.XLOOKUP(AV$1, $Z$2:$Z$18, $AD$2:$AD$18, "")=""),"",SQRT((_xlfn.XLOOKUP(AV$1,$Z$2:$Z$18,$AA$2:$AA$18)-$T48)^2+(_xlfn.XLOOKUP(AV$1,$Z$2:$Z$18,$AB$2:$AB$18)-$U48)^2+(_xlfn.XLOOKUP(AV$1,$Z$2:$Z$18,$AC$2:$AC$18-$V48)^2)))</f>
        <v/>
      </c>
      <c r="AW48" s="127"/>
      <c r="AX48" s="127"/>
      <c r="AY48" s="128">
        <f t="shared" si="19"/>
        <v>0</v>
      </c>
      <c r="AZ48" s="137">
        <f t="shared" si="20"/>
        <v>0</v>
      </c>
      <c r="BA48" s="137">
        <f t="shared" si="21"/>
        <v>0</v>
      </c>
      <c r="BB48" s="137">
        <f t="shared" si="22"/>
        <v>0</v>
      </c>
      <c r="BC48" s="137">
        <f t="shared" si="23"/>
        <v>0</v>
      </c>
      <c r="BD48" s="137">
        <f t="shared" si="24"/>
        <v>0</v>
      </c>
      <c r="BE48" s="137">
        <f t="shared" si="25"/>
        <v>0</v>
      </c>
      <c r="BF48" s="137">
        <f t="shared" si="26"/>
        <v>0</v>
      </c>
      <c r="BG48" s="138">
        <f t="shared" si="27"/>
        <v>0</v>
      </c>
      <c r="BH48" s="138">
        <f t="shared" si="28"/>
        <v>0</v>
      </c>
      <c r="BI48" s="138">
        <f t="shared" si="29"/>
        <v>0</v>
      </c>
      <c r="BJ48" s="138">
        <f t="shared" si="30"/>
        <v>0</v>
      </c>
      <c r="BK48" s="138">
        <f t="shared" si="31"/>
        <v>0</v>
      </c>
      <c r="BL48" s="138">
        <f t="shared" si="32"/>
        <v>0</v>
      </c>
      <c r="BM48" s="139">
        <f t="shared" si="33"/>
        <v>0</v>
      </c>
      <c r="BN48" s="127"/>
      <c r="BO48" s="18" t="s">
        <v>73</v>
      </c>
      <c r="BP48" s="18">
        <f>_xlfn.XLOOKUP(BP47,BO39:BO45,BO39:BO45,"error",-1,1)</f>
        <v>0.5</v>
      </c>
      <c r="BQ48" s="18">
        <f>BQ47-BQ46</f>
        <v>3</v>
      </c>
      <c r="BR48" s="127"/>
      <c r="BS48" s="127"/>
      <c r="BT48" s="127"/>
      <c r="BU48" s="127"/>
      <c r="BV48" s="133"/>
      <c r="BW48" s="133"/>
      <c r="BX48" s="133"/>
      <c r="BY48" s="133"/>
      <c r="BZ48" s="133"/>
      <c r="CA48" s="133"/>
      <c r="CB48" s="133"/>
      <c r="CC48" s="133"/>
      <c r="CD48" s="133"/>
      <c r="CE48" s="133"/>
      <c r="CF48" s="133"/>
      <c r="CG48" s="133"/>
      <c r="CH48" s="133"/>
      <c r="CI48" s="133"/>
      <c r="CJ48" s="133"/>
      <c r="CL48" s="127"/>
      <c r="CM48" s="133" t="s">
        <v>32</v>
      </c>
      <c r="CN48" s="133"/>
      <c r="CO48" s="133"/>
      <c r="CP48" s="133"/>
      <c r="CQ48" s="133"/>
      <c r="CR48" s="133"/>
      <c r="CS48" s="133"/>
      <c r="CT48" s="133"/>
      <c r="CU48" s="133"/>
      <c r="CV48" s="133"/>
      <c r="CW48" s="133"/>
      <c r="CX48" s="133"/>
      <c r="CY48" s="133"/>
      <c r="CZ48" s="133"/>
      <c r="DA48" s="133"/>
      <c r="DB48" s="127"/>
      <c r="DC48" s="127"/>
      <c r="DD48" s="133"/>
      <c r="DE48" s="133"/>
      <c r="DF48" s="133"/>
      <c r="DG48" s="133"/>
      <c r="DH48" s="133"/>
      <c r="DI48" s="133"/>
      <c r="DJ48" s="133"/>
      <c r="DK48" s="133"/>
      <c r="DL48" s="133"/>
      <c r="DM48" s="133"/>
      <c r="DN48" s="133"/>
      <c r="DO48" s="133"/>
      <c r="DP48" s="133"/>
      <c r="DQ48" s="133"/>
      <c r="DR48" s="133"/>
      <c r="DT48" s="127"/>
      <c r="DU48" s="191" cm="1">
        <f t="array" ref="DU48">_xlfn.IFS(DU$1= 0,"", NOT(ISBLANK(CM48)), 0, ISBLANK(CM48), $Q48-$S48+AY48-BV48-DD48)</f>
        <v>0</v>
      </c>
      <c r="DV48" s="192" cm="1">
        <f t="array" ref="DV48">_xlfn.IFS(DV$1= 0,"", NOT(ISBLANK(CN48)), 0, ISBLANK(CN48), $Q48-$S48+AZ48-BW48-DE48)</f>
        <v>0</v>
      </c>
      <c r="DW48" s="192" cm="1">
        <f t="array" ref="DW48">_xlfn.IFS(DW$1= 0,"", NOT(ISBLANK(CO48)), 0, ISBLANK(CO48), $Q48-$S48+BA48-BX48-DF48)</f>
        <v>0</v>
      </c>
      <c r="DX48" s="192" cm="1">
        <f t="array" ref="DX48">_xlfn.IFS(DX$1= 0,"", NOT(ISBLANK(CP48)), 0, ISBLANK(CP48), $Q48-$S48+BB48-BY48-DG48)</f>
        <v>0</v>
      </c>
      <c r="DY48" s="192" cm="1">
        <f t="array" ref="DY48">_xlfn.IFS(DY$1= 0,"", NOT(ISBLANK(CQ48)), 0, ISBLANK(CQ48), $Q48-$S48+BC48-BZ48-DH48)</f>
        <v>0</v>
      </c>
      <c r="DZ48" s="192" cm="1">
        <f t="array" ref="DZ48">_xlfn.IFS(DZ$1= 0,"", NOT(ISBLANK(CR48)), 0, ISBLANK(CR48), $Q48-$S48+BD48-CA48-DI48)</f>
        <v>0</v>
      </c>
      <c r="EA48" s="192" cm="1">
        <f t="array" ref="EA48">_xlfn.IFS(EA$1= 0,"", NOT(ISBLANK(CS48)), 0, ISBLANK(CS48), $Q48-$S48+BE48-CB48-DJ48)</f>
        <v>0</v>
      </c>
      <c r="EB48" s="192" t="str" cm="1">
        <f t="array" ref="EB48">_xlfn.IFS(EB$1= 0,"", NOT(ISBLANK(CT48)), 0, ISBLANK(CT48), $Q48-$S48+BF48-CC48-DK48)</f>
        <v/>
      </c>
      <c r="EC48" s="192" t="str" cm="1">
        <f t="array" ref="EC48">_xlfn.IFS(EC$1= 0,"", NOT(ISBLANK(CU48)), 0, ISBLANK(CU48), $Q48-$S48+BG48-CD48-DL48)</f>
        <v/>
      </c>
      <c r="ED48" s="192" t="str" cm="1">
        <f t="array" ref="ED48">_xlfn.IFS(ED$1= 0,"", NOT(ISBLANK(CV48)), 0, ISBLANK(CV48), $Q48-$S48+BH48-CE48-DM48)</f>
        <v/>
      </c>
      <c r="EE48" s="192" t="str" cm="1">
        <f t="array" ref="EE48">_xlfn.IFS(EE$1= 0,"", NOT(ISBLANK(CW48)), 0, ISBLANK(CW48), $Q48-$S48+BI48-CF48-DN48)</f>
        <v/>
      </c>
      <c r="EF48" s="192" t="str" cm="1">
        <f t="array" ref="EF48">_xlfn.IFS(EF$1= 0,"", NOT(ISBLANK(CX48)), 0, ISBLANK(CX48), $Q48-$S48+BJ48-CG48-DO48)</f>
        <v/>
      </c>
      <c r="EG48" s="192" t="str" cm="1">
        <f t="array" ref="EG48">_xlfn.IFS(EG$1= 0,"", NOT(ISBLANK(CY48)), 0, ISBLANK(CY48), $Q48-$S48+BK48-CH48-DP48)</f>
        <v/>
      </c>
      <c r="EH48" s="192" t="str" cm="1">
        <f t="array" ref="EH48">_xlfn.IFS(EH$1= 0,"", NOT(ISBLANK(CZ48)), 0, ISBLANK(CZ48), $Q48-$S48+BL48-CI48-DQ48)</f>
        <v/>
      </c>
      <c r="EI48" s="193" t="str" cm="1">
        <f t="array" ref="EI48">_xlfn.IFS(EI$1= 0,"", NOT(ISBLANK(DA48)), 0, ISBLANK(DA48), $Q48-$S48+BM48-CJ48-DR48)</f>
        <v/>
      </c>
    </row>
    <row r="49" spans="1:139" ht="16.5" customHeight="1" x14ac:dyDescent="0.3">
      <c r="A49" s="183"/>
      <c r="B49" s="134"/>
      <c r="C49" s="134"/>
      <c r="D49" s="135"/>
      <c r="E49" s="166"/>
      <c r="F49" s="174"/>
      <c r="G49" s="3"/>
      <c r="H49" s="3"/>
      <c r="I49" s="3"/>
      <c r="J49" s="3"/>
      <c r="K49" s="3"/>
      <c r="L49" s="3"/>
      <c r="M49" s="178"/>
      <c r="N49" s="174"/>
      <c r="O49" s="175"/>
      <c r="P49" s="169"/>
      <c r="Q49" s="122">
        <f t="shared" si="18"/>
        <v>0</v>
      </c>
      <c r="R49" s="2"/>
      <c r="S49" s="2"/>
      <c r="T49" s="3"/>
      <c r="U49" s="3"/>
      <c r="V49" s="104">
        <f t="shared" ref="V49:V58" si="34">SUM(W49:X49)</f>
        <v>0</v>
      </c>
      <c r="W49" s="149"/>
      <c r="X49" s="136"/>
      <c r="Z49" s="111"/>
      <c r="AA49" s="108"/>
      <c r="AB49" s="49"/>
      <c r="AC49" s="50"/>
      <c r="AD49" s="49"/>
      <c r="AE49" s="49"/>
      <c r="AF49" s="50"/>
      <c r="AH49" s="185" t="str" cm="1">
        <f t="array" ref="AH49">IF(OR(AH$1=0, $A49="", _xlfn.XLOOKUP(AH$1, $Z$2:$Z$18, $AD$2:$AD$18, "")=""),"",SQRT((_xlfn.XLOOKUP(AH$1,$Z$2:$Z$18,$AA$2:$AA$18)-$T49)^2+(_xlfn.XLOOKUP(AH$1,$Z$2:$Z$18,$AB$2:$AB$18)-$U49)^2+(_xlfn.XLOOKUP(AH$1,$Z$2:$Z$18,$AC$2:$AC$18-$V49)^2)))</f>
        <v/>
      </c>
      <c r="AI49" s="124" t="str" cm="1">
        <f t="array" ref="AI49">IF(OR(AI$1=0, $A49="", _xlfn.XLOOKUP(AI$1, $Z$2:$Z$18, $AD$2:$AD$18, "")=""),"",SQRT((_xlfn.XLOOKUP(AI$1,$Z$2:$Z$18,$AA$2:$AA$18)-$T49)^2+(_xlfn.XLOOKUP(AI$1,$Z$2:$Z$18,$AB$2:$AB$18)-$U49)^2+(_xlfn.XLOOKUP(AI$1,$Z$2:$Z$18,$AC$2:$AC$18-$V49)^2)))</f>
        <v/>
      </c>
      <c r="AJ49" s="124" t="str" cm="1">
        <f t="array" ref="AJ49">IF(OR(AJ$1=0, $A49="", _xlfn.XLOOKUP(AJ$1, $Z$2:$Z$18, $AD$2:$AD$18, "")=""),"",SQRT((_xlfn.XLOOKUP(AJ$1,$Z$2:$Z$18,$AA$2:$AA$18)-$T49)^2+(_xlfn.XLOOKUP(AJ$1,$Z$2:$Z$18,$AB$2:$AB$18)-$U49)^2+(_xlfn.XLOOKUP(AJ$1,$Z$2:$Z$18,$AC$2:$AC$18-$V49)^2)))</f>
        <v/>
      </c>
      <c r="AK49" s="124" t="str" cm="1">
        <f t="array" ref="AK49">IF(OR(AK$1=0, $A49="", _xlfn.XLOOKUP(AK$1, $Z$2:$Z$18, $AD$2:$AD$18, "")=""),"",SQRT((_xlfn.XLOOKUP(AK$1,$Z$2:$Z$18,$AA$2:$AA$18)-$T49)^2+(_xlfn.XLOOKUP(AK$1,$Z$2:$Z$18,$AB$2:$AB$18)-$U49)^2+(_xlfn.XLOOKUP(AK$1,$Z$2:$Z$18,$AC$2:$AC$18-$V49)^2)))</f>
        <v/>
      </c>
      <c r="AL49" s="124" t="str" cm="1">
        <f t="array" ref="AL49">IF(OR(AL$1=0, $A49="", _xlfn.XLOOKUP(AL$1, $Z$2:$Z$18, $AD$2:$AD$18, "")=""),"",SQRT((_xlfn.XLOOKUP(AL$1,$Z$2:$Z$18,$AA$2:$AA$18)-$T49)^2+(_xlfn.XLOOKUP(AL$1,$Z$2:$Z$18,$AB$2:$AB$18)-$U49)^2+(_xlfn.XLOOKUP(AL$1,$Z$2:$Z$18,$AC$2:$AC$18-$V49)^2)))</f>
        <v/>
      </c>
      <c r="AM49" s="124" t="str" cm="1">
        <f t="array" ref="AM49">IF(OR(AM$1=0, $A49="", _xlfn.XLOOKUP(AM$1, $Z$2:$Z$18, $AD$2:$AD$18, "")=""),"",SQRT((_xlfn.XLOOKUP(AM$1,$Z$2:$Z$18,$AA$2:$AA$18)-$T49)^2+(_xlfn.XLOOKUP(AM$1,$Z$2:$Z$18,$AB$2:$AB$18)-$U49)^2+(_xlfn.XLOOKUP(AM$1,$Z$2:$Z$18,$AC$2:$AC$18-$V49)^2)))</f>
        <v/>
      </c>
      <c r="AN49" s="124" t="str" cm="1">
        <f t="array" ref="AN49">IF(OR(AN$1=0, $A49="", _xlfn.XLOOKUP(AN$1, $Z$2:$Z$18, $AD$2:$AD$18, "")=""),"",SQRT((_xlfn.XLOOKUP(AN$1,$Z$2:$Z$18,$AA$2:$AA$18)-$T49)^2+(_xlfn.XLOOKUP(AN$1,$Z$2:$Z$18,$AB$2:$AB$18)-$U49)^2+(_xlfn.XLOOKUP(AN$1,$Z$2:$Z$18,$AC$2:$AC$18-$V49)^2)))</f>
        <v/>
      </c>
      <c r="AO49" s="124" t="str" cm="1">
        <f t="array" ref="AO49">IF(OR(AO$1=0, $A49="", _xlfn.XLOOKUP(AO$1, $Z$2:$Z$18, $AD$2:$AD$18, "")=""),"",SQRT((_xlfn.XLOOKUP(AO$1,$Z$2:$Z$18,$AA$2:$AA$18)-$T49)^2+(_xlfn.XLOOKUP(AO$1,$Z$2:$Z$18,$AB$2:$AB$18)-$U49)^2+(_xlfn.XLOOKUP(AO$1,$Z$2:$Z$18,$AC$2:$AC$18-$V49)^2)))</f>
        <v/>
      </c>
      <c r="AP49" s="125" t="str" cm="1">
        <f t="array" ref="AP49">IF(OR(AP$1=0, $A49="", _xlfn.XLOOKUP(AP$1, $Z$2:$Z$18, $AD$2:$AD$18, "")=""),"",SQRT((_xlfn.XLOOKUP(AP$1,$Z$2:$Z$18,$AA$2:$AA$18)-$T49)^2+(_xlfn.XLOOKUP(AP$1,$Z$2:$Z$18,$AB$2:$AB$18)-$U49)^2+(_xlfn.XLOOKUP(AP$1,$Z$2:$Z$18,$AC$2:$AC$18-$V49)^2)))</f>
        <v/>
      </c>
      <c r="AQ49" s="125" t="str" cm="1">
        <f t="array" ref="AQ49">IF(OR(AQ$1=0, $A49="", _xlfn.XLOOKUP(AQ$1, $Z$2:$Z$18, $AD$2:$AD$18, "")=""),"",SQRT((_xlfn.XLOOKUP(AQ$1,$Z$2:$Z$18,$AA$2:$AA$18)-$T49)^2+(_xlfn.XLOOKUP(AQ$1,$Z$2:$Z$18,$AB$2:$AB$18)-$U49)^2+(_xlfn.XLOOKUP(AQ$1,$Z$2:$Z$18,$AC$2:$AC$18-$V49)^2)))</f>
        <v/>
      </c>
      <c r="AR49" s="125" t="str" cm="1">
        <f t="array" ref="AR49">IF(OR(AR$1=0, $A49="", _xlfn.XLOOKUP(AR$1, $Z$2:$Z$18, $AD$2:$AD$18, "")=""),"",SQRT((_xlfn.XLOOKUP(AR$1,$Z$2:$Z$18,$AA$2:$AA$18)-$T49)^2+(_xlfn.XLOOKUP(AR$1,$Z$2:$Z$18,$AB$2:$AB$18)-$U49)^2+(_xlfn.XLOOKUP(AR$1,$Z$2:$Z$18,$AC$2:$AC$18-$V49)^2)))</f>
        <v/>
      </c>
      <c r="AS49" s="125" t="str" cm="1">
        <f t="array" ref="AS49">IF(OR(AS$1=0, $A49="", _xlfn.XLOOKUP(AS$1, $Z$2:$Z$18, $AD$2:$AD$18, "")=""),"",SQRT((_xlfn.XLOOKUP(AS$1,$Z$2:$Z$18,$AA$2:$AA$18)-$T49)^2+(_xlfn.XLOOKUP(AS$1,$Z$2:$Z$18,$AB$2:$AB$18)-$U49)^2+(_xlfn.XLOOKUP(AS$1,$Z$2:$Z$18,$AC$2:$AC$18-$V49)^2)))</f>
        <v/>
      </c>
      <c r="AT49" s="125" t="str" cm="1">
        <f t="array" ref="AT49">IF(OR(AT$1=0, $A49="", _xlfn.XLOOKUP(AT$1, $Z$2:$Z$18, $AD$2:$AD$18, "")=""),"",SQRT((_xlfn.XLOOKUP(AT$1,$Z$2:$Z$18,$AA$2:$AA$18)-$T49)^2+(_xlfn.XLOOKUP(AT$1,$Z$2:$Z$18,$AB$2:$AB$18)-$U49)^2+(_xlfn.XLOOKUP(AT$1,$Z$2:$Z$18,$AC$2:$AC$18-$V49)^2)))</f>
        <v/>
      </c>
      <c r="AU49" s="125" t="str" cm="1">
        <f t="array" ref="AU49">IF(OR(AU$1=0, $A49="", _xlfn.XLOOKUP(AU$1, $Z$2:$Z$18, $AD$2:$AD$18, "")=""),"",SQRT((_xlfn.XLOOKUP(AU$1,$Z$2:$Z$18,$AA$2:$AA$18)-$T49)^2+(_xlfn.XLOOKUP(AU$1,$Z$2:$Z$18,$AB$2:$AB$18)-$U49)^2+(_xlfn.XLOOKUP(AU$1,$Z$2:$Z$18,$AC$2:$AC$18-$V49)^2)))</f>
        <v/>
      </c>
      <c r="AV49" s="126" t="str" cm="1">
        <f t="array" ref="AV49">IF(OR(AV$1=0, $A49="", _xlfn.XLOOKUP(AV$1, $Z$2:$Z$18, $AD$2:$AD$18, "")=""),"",SQRT((_xlfn.XLOOKUP(AV$1,$Z$2:$Z$18,$AA$2:$AA$18)-$T49)^2+(_xlfn.XLOOKUP(AV$1,$Z$2:$Z$18,$AB$2:$AB$18)-$U49)^2+(_xlfn.XLOOKUP(AV$1,$Z$2:$Z$18,$AC$2:$AC$18-$V49)^2)))</f>
        <v/>
      </c>
      <c r="AW49" s="127"/>
      <c r="AX49" s="127"/>
      <c r="AY49" s="128">
        <f t="shared" si="19"/>
        <v>0</v>
      </c>
      <c r="AZ49" s="137">
        <f t="shared" si="20"/>
        <v>0</v>
      </c>
      <c r="BA49" s="137">
        <f t="shared" si="21"/>
        <v>0</v>
      </c>
      <c r="BB49" s="137">
        <f t="shared" si="22"/>
        <v>0</v>
      </c>
      <c r="BC49" s="137">
        <f t="shared" si="23"/>
        <v>0</v>
      </c>
      <c r="BD49" s="137">
        <f t="shared" si="24"/>
        <v>0</v>
      </c>
      <c r="BE49" s="137">
        <f t="shared" si="25"/>
        <v>0</v>
      </c>
      <c r="BF49" s="137">
        <f t="shared" si="26"/>
        <v>0</v>
      </c>
      <c r="BG49" s="138">
        <f t="shared" si="27"/>
        <v>0</v>
      </c>
      <c r="BH49" s="138">
        <f t="shared" si="28"/>
        <v>0</v>
      </c>
      <c r="BI49" s="138">
        <f t="shared" si="29"/>
        <v>0</v>
      </c>
      <c r="BJ49" s="138">
        <f t="shared" si="30"/>
        <v>0</v>
      </c>
      <c r="BK49" s="138">
        <f t="shared" si="31"/>
        <v>0</v>
      </c>
      <c r="BL49" s="138">
        <f t="shared" si="32"/>
        <v>0</v>
      </c>
      <c r="BM49" s="139">
        <f t="shared" si="33"/>
        <v>0</v>
      </c>
      <c r="BN49" s="127"/>
      <c r="BO49" s="18" t="s">
        <v>74</v>
      </c>
      <c r="BP49" s="18">
        <f>_xlfn.XLOOKUP(BP47,BO39:BO45,BO39:BO45,12,1,1)</f>
        <v>1</v>
      </c>
      <c r="BQ49" s="18">
        <f>BQ46+(BQ48*BP51)</f>
        <v>4.8835305687381094</v>
      </c>
      <c r="BR49" s="127"/>
      <c r="BS49" s="127"/>
      <c r="BT49" s="127"/>
      <c r="BU49" s="127"/>
      <c r="BV49" s="133"/>
      <c r="BW49" s="133"/>
      <c r="BX49" s="133"/>
      <c r="BY49" s="133"/>
      <c r="BZ49" s="133"/>
      <c r="CA49" s="133"/>
      <c r="CB49" s="133"/>
      <c r="CC49" s="133"/>
      <c r="CD49" s="133"/>
      <c r="CE49" s="133"/>
      <c r="CF49" s="133"/>
      <c r="CG49" s="133"/>
      <c r="CH49" s="133"/>
      <c r="CI49" s="133"/>
      <c r="CJ49" s="133"/>
      <c r="CL49" s="127"/>
      <c r="CM49" s="133" t="s">
        <v>32</v>
      </c>
      <c r="CN49" s="133"/>
      <c r="CO49" s="133"/>
      <c r="CP49" s="133"/>
      <c r="CQ49" s="133"/>
      <c r="CR49" s="133"/>
      <c r="CS49" s="133"/>
      <c r="CT49" s="133"/>
      <c r="CU49" s="133"/>
      <c r="CV49" s="133"/>
      <c r="CW49" s="133"/>
      <c r="CX49" s="133"/>
      <c r="CY49" s="133"/>
      <c r="CZ49" s="133"/>
      <c r="DA49" s="133"/>
      <c r="DB49" s="127"/>
      <c r="DC49" s="127"/>
      <c r="DD49" s="133"/>
      <c r="DE49" s="133"/>
      <c r="DF49" s="133"/>
      <c r="DG49" s="133"/>
      <c r="DH49" s="133"/>
      <c r="DI49" s="133"/>
      <c r="DJ49" s="133"/>
      <c r="DK49" s="133"/>
      <c r="DL49" s="133"/>
      <c r="DM49" s="133"/>
      <c r="DN49" s="133"/>
      <c r="DO49" s="133"/>
      <c r="DP49" s="133"/>
      <c r="DQ49" s="133"/>
      <c r="DR49" s="133"/>
      <c r="DT49" s="127"/>
      <c r="DU49" s="191" cm="1">
        <f t="array" ref="DU49">_xlfn.IFS(DU$1= 0,"", NOT(ISBLANK(CM49)), 0, ISBLANK(CM49), $Q49-$S49+AY49-BV49-DD49)</f>
        <v>0</v>
      </c>
      <c r="DV49" s="192" cm="1">
        <f t="array" ref="DV49">_xlfn.IFS(DV$1= 0,"", NOT(ISBLANK(CN49)), 0, ISBLANK(CN49), $Q49-$S49+AZ49-BW49-DE49)</f>
        <v>0</v>
      </c>
      <c r="DW49" s="192" cm="1">
        <f t="array" ref="DW49">_xlfn.IFS(DW$1= 0,"", NOT(ISBLANK(CO49)), 0, ISBLANK(CO49), $Q49-$S49+BA49-BX49-DF49)</f>
        <v>0</v>
      </c>
      <c r="DX49" s="192" cm="1">
        <f t="array" ref="DX49">_xlfn.IFS(DX$1= 0,"", NOT(ISBLANK(CP49)), 0, ISBLANK(CP49), $Q49-$S49+BB49-BY49-DG49)</f>
        <v>0</v>
      </c>
      <c r="DY49" s="192" cm="1">
        <f t="array" ref="DY49">_xlfn.IFS(DY$1= 0,"", NOT(ISBLANK(CQ49)), 0, ISBLANK(CQ49), $Q49-$S49+BC49-BZ49-DH49)</f>
        <v>0</v>
      </c>
      <c r="DZ49" s="192" cm="1">
        <f t="array" ref="DZ49">_xlfn.IFS(DZ$1= 0,"", NOT(ISBLANK(CR49)), 0, ISBLANK(CR49), $Q49-$S49+BD49-CA49-DI49)</f>
        <v>0</v>
      </c>
      <c r="EA49" s="192" cm="1">
        <f t="array" ref="EA49">_xlfn.IFS(EA$1= 0,"", NOT(ISBLANK(CS49)), 0, ISBLANK(CS49), $Q49-$S49+BE49-CB49-DJ49)</f>
        <v>0</v>
      </c>
      <c r="EB49" s="192" t="str" cm="1">
        <f t="array" ref="EB49">_xlfn.IFS(EB$1= 0,"", NOT(ISBLANK(CT49)), 0, ISBLANK(CT49), $Q49-$S49+BF49-CC49-DK49)</f>
        <v/>
      </c>
      <c r="EC49" s="192" t="str" cm="1">
        <f t="array" ref="EC49">_xlfn.IFS(EC$1= 0,"", NOT(ISBLANK(CU49)), 0, ISBLANK(CU49), $Q49-$S49+BG49-CD49-DL49)</f>
        <v/>
      </c>
      <c r="ED49" s="192" t="str" cm="1">
        <f t="array" ref="ED49">_xlfn.IFS(ED$1= 0,"", NOT(ISBLANK(CV49)), 0, ISBLANK(CV49), $Q49-$S49+BH49-CE49-DM49)</f>
        <v/>
      </c>
      <c r="EE49" s="192" t="str" cm="1">
        <f t="array" ref="EE49">_xlfn.IFS(EE$1= 0,"", NOT(ISBLANK(CW49)), 0, ISBLANK(CW49), $Q49-$S49+BI49-CF49-DN49)</f>
        <v/>
      </c>
      <c r="EF49" s="192" t="str" cm="1">
        <f t="array" ref="EF49">_xlfn.IFS(EF$1= 0,"", NOT(ISBLANK(CX49)), 0, ISBLANK(CX49), $Q49-$S49+BJ49-CG49-DO49)</f>
        <v/>
      </c>
      <c r="EG49" s="192" t="str" cm="1">
        <f t="array" ref="EG49">_xlfn.IFS(EG$1= 0,"", NOT(ISBLANK(CY49)), 0, ISBLANK(CY49), $Q49-$S49+BK49-CH49-DP49)</f>
        <v/>
      </c>
      <c r="EH49" s="192" t="str" cm="1">
        <f t="array" ref="EH49">_xlfn.IFS(EH$1= 0,"", NOT(ISBLANK(CZ49)), 0, ISBLANK(CZ49), $Q49-$S49+BL49-CI49-DQ49)</f>
        <v/>
      </c>
      <c r="EI49" s="193" t="str" cm="1">
        <f t="array" ref="EI49">_xlfn.IFS(EI$1= 0,"", NOT(ISBLANK(DA49)), 0, ISBLANK(DA49), $Q49-$S49+BM49-CJ49-DR49)</f>
        <v/>
      </c>
    </row>
    <row r="50" spans="1:139" ht="17.25" customHeight="1" thickBot="1" x14ac:dyDescent="0.35">
      <c r="A50" s="183"/>
      <c r="B50" s="134"/>
      <c r="C50" s="134"/>
      <c r="D50" s="135"/>
      <c r="E50" s="166"/>
      <c r="F50" s="174"/>
      <c r="G50" s="3"/>
      <c r="H50" s="3"/>
      <c r="I50" s="3"/>
      <c r="J50" s="3"/>
      <c r="K50" s="3"/>
      <c r="L50" s="3"/>
      <c r="M50" s="178"/>
      <c r="N50" s="174"/>
      <c r="O50" s="175"/>
      <c r="P50" s="169"/>
      <c r="Q50" s="122">
        <f t="shared" si="18"/>
        <v>0</v>
      </c>
      <c r="R50" s="2"/>
      <c r="S50" s="2"/>
      <c r="T50" s="3"/>
      <c r="U50" s="3"/>
      <c r="V50" s="104">
        <f t="shared" si="34"/>
        <v>0</v>
      </c>
      <c r="W50" s="149"/>
      <c r="X50" s="136"/>
      <c r="Z50" s="112"/>
      <c r="AA50" s="109"/>
      <c r="AB50" s="51"/>
      <c r="AC50" s="52"/>
      <c r="AD50" s="51"/>
      <c r="AE50" s="51"/>
      <c r="AF50" s="52"/>
      <c r="AH50" s="185" t="str" cm="1">
        <f t="array" ref="AH50">IF(OR(AH$1=0, $A50="", _xlfn.XLOOKUP(AH$1, $Z$2:$Z$18, $AD$2:$AD$18, "")=""),"",SQRT((_xlfn.XLOOKUP(AH$1,$Z$2:$Z$18,$AA$2:$AA$18)-$T50)^2+(_xlfn.XLOOKUP(AH$1,$Z$2:$Z$18,$AB$2:$AB$18)-$U50)^2+(_xlfn.XLOOKUP(AH$1,$Z$2:$Z$18,$AC$2:$AC$18-$V50)^2)))</f>
        <v/>
      </c>
      <c r="AI50" s="124" t="str" cm="1">
        <f t="array" ref="AI50">IF(OR(AI$1=0, $A50="", _xlfn.XLOOKUP(AI$1, $Z$2:$Z$18, $AD$2:$AD$18, "")=""),"",SQRT((_xlfn.XLOOKUP(AI$1,$Z$2:$Z$18,$AA$2:$AA$18)-$T50)^2+(_xlfn.XLOOKUP(AI$1,$Z$2:$Z$18,$AB$2:$AB$18)-$U50)^2+(_xlfn.XLOOKUP(AI$1,$Z$2:$Z$18,$AC$2:$AC$18-$V50)^2)))</f>
        <v/>
      </c>
      <c r="AJ50" s="124" t="str" cm="1">
        <f t="array" ref="AJ50">IF(OR(AJ$1=0, $A50="", _xlfn.XLOOKUP(AJ$1, $Z$2:$Z$18, $AD$2:$AD$18, "")=""),"",SQRT((_xlfn.XLOOKUP(AJ$1,$Z$2:$Z$18,$AA$2:$AA$18)-$T50)^2+(_xlfn.XLOOKUP(AJ$1,$Z$2:$Z$18,$AB$2:$AB$18)-$U50)^2+(_xlfn.XLOOKUP(AJ$1,$Z$2:$Z$18,$AC$2:$AC$18-$V50)^2)))</f>
        <v/>
      </c>
      <c r="AK50" s="124" t="str" cm="1">
        <f t="array" ref="AK50">IF(OR(AK$1=0, $A50="", _xlfn.XLOOKUP(AK$1, $Z$2:$Z$18, $AD$2:$AD$18, "")=""),"",SQRT((_xlfn.XLOOKUP(AK$1,$Z$2:$Z$18,$AA$2:$AA$18)-$T50)^2+(_xlfn.XLOOKUP(AK$1,$Z$2:$Z$18,$AB$2:$AB$18)-$U50)^2+(_xlfn.XLOOKUP(AK$1,$Z$2:$Z$18,$AC$2:$AC$18-$V50)^2)))</f>
        <v/>
      </c>
      <c r="AL50" s="124" t="str" cm="1">
        <f t="array" ref="AL50">IF(OR(AL$1=0, $A50="", _xlfn.XLOOKUP(AL$1, $Z$2:$Z$18, $AD$2:$AD$18, "")=""),"",SQRT((_xlfn.XLOOKUP(AL$1,$Z$2:$Z$18,$AA$2:$AA$18)-$T50)^2+(_xlfn.XLOOKUP(AL$1,$Z$2:$Z$18,$AB$2:$AB$18)-$U50)^2+(_xlfn.XLOOKUP(AL$1,$Z$2:$Z$18,$AC$2:$AC$18-$V50)^2)))</f>
        <v/>
      </c>
      <c r="AM50" s="124" t="str" cm="1">
        <f t="array" ref="AM50">IF(OR(AM$1=0, $A50="", _xlfn.XLOOKUP(AM$1, $Z$2:$Z$18, $AD$2:$AD$18, "")=""),"",SQRT((_xlfn.XLOOKUP(AM$1,$Z$2:$Z$18,$AA$2:$AA$18)-$T50)^2+(_xlfn.XLOOKUP(AM$1,$Z$2:$Z$18,$AB$2:$AB$18)-$U50)^2+(_xlfn.XLOOKUP(AM$1,$Z$2:$Z$18,$AC$2:$AC$18-$V50)^2)))</f>
        <v/>
      </c>
      <c r="AN50" s="124" t="str" cm="1">
        <f t="array" ref="AN50">IF(OR(AN$1=0, $A50="", _xlfn.XLOOKUP(AN$1, $Z$2:$Z$18, $AD$2:$AD$18, "")=""),"",SQRT((_xlfn.XLOOKUP(AN$1,$Z$2:$Z$18,$AA$2:$AA$18)-$T50)^2+(_xlfn.XLOOKUP(AN$1,$Z$2:$Z$18,$AB$2:$AB$18)-$U50)^2+(_xlfn.XLOOKUP(AN$1,$Z$2:$Z$18,$AC$2:$AC$18-$V50)^2)))</f>
        <v/>
      </c>
      <c r="AO50" s="124" t="str" cm="1">
        <f t="array" ref="AO50">IF(OR(AO$1=0, $A50="", _xlfn.XLOOKUP(AO$1, $Z$2:$Z$18, $AD$2:$AD$18, "")=""),"",SQRT((_xlfn.XLOOKUP(AO$1,$Z$2:$Z$18,$AA$2:$AA$18)-$T50)^2+(_xlfn.XLOOKUP(AO$1,$Z$2:$Z$18,$AB$2:$AB$18)-$U50)^2+(_xlfn.XLOOKUP(AO$1,$Z$2:$Z$18,$AC$2:$AC$18-$V50)^2)))</f>
        <v/>
      </c>
      <c r="AP50" s="125" t="str" cm="1">
        <f t="array" ref="AP50">IF(OR(AP$1=0, $A50="", _xlfn.XLOOKUP(AP$1, $Z$2:$Z$18, $AD$2:$AD$18, "")=""),"",SQRT((_xlfn.XLOOKUP(AP$1,$Z$2:$Z$18,$AA$2:$AA$18)-$T50)^2+(_xlfn.XLOOKUP(AP$1,$Z$2:$Z$18,$AB$2:$AB$18)-$U50)^2+(_xlfn.XLOOKUP(AP$1,$Z$2:$Z$18,$AC$2:$AC$18-$V50)^2)))</f>
        <v/>
      </c>
      <c r="AQ50" s="125" t="str" cm="1">
        <f t="array" ref="AQ50">IF(OR(AQ$1=0, $A50="", _xlfn.XLOOKUP(AQ$1, $Z$2:$Z$18, $AD$2:$AD$18, "")=""),"",SQRT((_xlfn.XLOOKUP(AQ$1,$Z$2:$Z$18,$AA$2:$AA$18)-$T50)^2+(_xlfn.XLOOKUP(AQ$1,$Z$2:$Z$18,$AB$2:$AB$18)-$U50)^2+(_xlfn.XLOOKUP(AQ$1,$Z$2:$Z$18,$AC$2:$AC$18-$V50)^2)))</f>
        <v/>
      </c>
      <c r="AR50" s="125" t="str" cm="1">
        <f t="array" ref="AR50">IF(OR(AR$1=0, $A50="", _xlfn.XLOOKUP(AR$1, $Z$2:$Z$18, $AD$2:$AD$18, "")=""),"",SQRT((_xlfn.XLOOKUP(AR$1,$Z$2:$Z$18,$AA$2:$AA$18)-$T50)^2+(_xlfn.XLOOKUP(AR$1,$Z$2:$Z$18,$AB$2:$AB$18)-$U50)^2+(_xlfn.XLOOKUP(AR$1,$Z$2:$Z$18,$AC$2:$AC$18-$V50)^2)))</f>
        <v/>
      </c>
      <c r="AS50" s="125" t="str" cm="1">
        <f t="array" ref="AS50">IF(OR(AS$1=0, $A50="", _xlfn.XLOOKUP(AS$1, $Z$2:$Z$18, $AD$2:$AD$18, "")=""),"",SQRT((_xlfn.XLOOKUP(AS$1,$Z$2:$Z$18,$AA$2:$AA$18)-$T50)^2+(_xlfn.XLOOKUP(AS$1,$Z$2:$Z$18,$AB$2:$AB$18)-$U50)^2+(_xlfn.XLOOKUP(AS$1,$Z$2:$Z$18,$AC$2:$AC$18-$V50)^2)))</f>
        <v/>
      </c>
      <c r="AT50" s="125" t="str" cm="1">
        <f t="array" ref="AT50">IF(OR(AT$1=0, $A50="", _xlfn.XLOOKUP(AT$1, $Z$2:$Z$18, $AD$2:$AD$18, "")=""),"",SQRT((_xlfn.XLOOKUP(AT$1,$Z$2:$Z$18,$AA$2:$AA$18)-$T50)^2+(_xlfn.XLOOKUP(AT$1,$Z$2:$Z$18,$AB$2:$AB$18)-$U50)^2+(_xlfn.XLOOKUP(AT$1,$Z$2:$Z$18,$AC$2:$AC$18-$V50)^2)))</f>
        <v/>
      </c>
      <c r="AU50" s="125" t="str" cm="1">
        <f t="array" ref="AU50">IF(OR(AU$1=0, $A50="", _xlfn.XLOOKUP(AU$1, $Z$2:$Z$18, $AD$2:$AD$18, "")=""),"",SQRT((_xlfn.XLOOKUP(AU$1,$Z$2:$Z$18,$AA$2:$AA$18)-$T50)^2+(_xlfn.XLOOKUP(AU$1,$Z$2:$Z$18,$AB$2:$AB$18)-$U50)^2+(_xlfn.XLOOKUP(AU$1,$Z$2:$Z$18,$AC$2:$AC$18-$V50)^2)))</f>
        <v/>
      </c>
      <c r="AV50" s="126" t="str" cm="1">
        <f t="array" ref="AV50">IF(OR(AV$1=0, $A50="", _xlfn.XLOOKUP(AV$1, $Z$2:$Z$18, $AD$2:$AD$18, "")=""),"",SQRT((_xlfn.XLOOKUP(AV$1,$Z$2:$Z$18,$AA$2:$AA$18)-$T50)^2+(_xlfn.XLOOKUP(AV$1,$Z$2:$Z$18,$AB$2:$AB$18)-$U50)^2+(_xlfn.XLOOKUP(AV$1,$Z$2:$Z$18,$AC$2:$AC$18-$V50)^2)))</f>
        <v/>
      </c>
      <c r="AW50" s="127"/>
      <c r="AX50" s="127"/>
      <c r="AY50" s="128">
        <f t="shared" si="19"/>
        <v>0</v>
      </c>
      <c r="AZ50" s="137">
        <f t="shared" si="20"/>
        <v>0</v>
      </c>
      <c r="BA50" s="137">
        <f t="shared" si="21"/>
        <v>0</v>
      </c>
      <c r="BB50" s="137">
        <f t="shared" si="22"/>
        <v>0</v>
      </c>
      <c r="BC50" s="137">
        <f t="shared" si="23"/>
        <v>0</v>
      </c>
      <c r="BD50" s="137">
        <f t="shared" si="24"/>
        <v>0</v>
      </c>
      <c r="BE50" s="137">
        <f t="shared" si="25"/>
        <v>0</v>
      </c>
      <c r="BF50" s="137">
        <f t="shared" si="26"/>
        <v>0</v>
      </c>
      <c r="BG50" s="138">
        <f t="shared" si="27"/>
        <v>0</v>
      </c>
      <c r="BH50" s="138">
        <f t="shared" si="28"/>
        <v>0</v>
      </c>
      <c r="BI50" s="138">
        <f t="shared" si="29"/>
        <v>0</v>
      </c>
      <c r="BJ50" s="138">
        <f t="shared" si="30"/>
        <v>0</v>
      </c>
      <c r="BK50" s="138">
        <f t="shared" si="31"/>
        <v>0</v>
      </c>
      <c r="BL50" s="138">
        <f t="shared" si="32"/>
        <v>0</v>
      </c>
      <c r="BM50" s="139">
        <f t="shared" si="33"/>
        <v>0</v>
      </c>
      <c r="BN50" s="127"/>
      <c r="BO50" s="18" t="s">
        <v>75</v>
      </c>
      <c r="BP50" s="18">
        <f>BP49-BP48</f>
        <v>0.5</v>
      </c>
      <c r="BQ50" s="18"/>
      <c r="BR50" s="127"/>
      <c r="BS50" s="127"/>
      <c r="BT50" s="127"/>
      <c r="BU50" s="127"/>
      <c r="BV50" s="133"/>
      <c r="BW50" s="133"/>
      <c r="BX50" s="133"/>
      <c r="BY50" s="133"/>
      <c r="BZ50" s="133"/>
      <c r="CA50" s="133"/>
      <c r="CB50" s="133"/>
      <c r="CC50" s="133"/>
      <c r="CD50" s="133"/>
      <c r="CE50" s="133"/>
      <c r="CF50" s="133"/>
      <c r="CG50" s="133"/>
      <c r="CH50" s="133"/>
      <c r="CI50" s="133"/>
      <c r="CJ50" s="133"/>
      <c r="CL50" s="127"/>
      <c r="CM50" s="133" t="s">
        <v>32</v>
      </c>
      <c r="CN50" s="133"/>
      <c r="CO50" s="133"/>
      <c r="CP50" s="133"/>
      <c r="CQ50" s="133"/>
      <c r="CR50" s="133"/>
      <c r="CS50" s="133"/>
      <c r="CT50" s="133"/>
      <c r="CU50" s="133"/>
      <c r="CV50" s="133"/>
      <c r="CW50" s="133"/>
      <c r="CX50" s="133"/>
      <c r="CY50" s="133"/>
      <c r="CZ50" s="133"/>
      <c r="DA50" s="133"/>
      <c r="DB50" s="127"/>
      <c r="DC50" s="127"/>
      <c r="DD50" s="133"/>
      <c r="DE50" s="133"/>
      <c r="DF50" s="133"/>
      <c r="DG50" s="133"/>
      <c r="DH50" s="133"/>
      <c r="DI50" s="133"/>
      <c r="DJ50" s="133"/>
      <c r="DK50" s="133"/>
      <c r="DL50" s="133"/>
      <c r="DM50" s="133"/>
      <c r="DN50" s="133"/>
      <c r="DO50" s="133"/>
      <c r="DP50" s="133"/>
      <c r="DQ50" s="133"/>
      <c r="DR50" s="133"/>
      <c r="DT50" s="127"/>
      <c r="DU50" s="191" cm="1">
        <f t="array" ref="DU50">_xlfn.IFS(DU$1= 0,"", NOT(ISBLANK(CM50)), 0, ISBLANK(CM50), $Q50-$S50+AY50-BV50-DD50)</f>
        <v>0</v>
      </c>
      <c r="DV50" s="192" cm="1">
        <f t="array" ref="DV50">_xlfn.IFS(DV$1= 0,"", NOT(ISBLANK(CN50)), 0, ISBLANK(CN50), $Q50-$S50+AZ50-BW50-DE50)</f>
        <v>0</v>
      </c>
      <c r="DW50" s="192" cm="1">
        <f t="array" ref="DW50">_xlfn.IFS(DW$1= 0,"", NOT(ISBLANK(CO50)), 0, ISBLANK(CO50), $Q50-$S50+BA50-BX50-DF50)</f>
        <v>0</v>
      </c>
      <c r="DX50" s="192" cm="1">
        <f t="array" ref="DX50">_xlfn.IFS(DX$1= 0,"", NOT(ISBLANK(CP50)), 0, ISBLANK(CP50), $Q50-$S50+BB50-BY50-DG50)</f>
        <v>0</v>
      </c>
      <c r="DY50" s="192" cm="1">
        <f t="array" ref="DY50">_xlfn.IFS(DY$1= 0,"", NOT(ISBLANK(CQ50)), 0, ISBLANK(CQ50), $Q50-$S50+BC50-BZ50-DH50)</f>
        <v>0</v>
      </c>
      <c r="DZ50" s="192" cm="1">
        <f t="array" ref="DZ50">_xlfn.IFS(DZ$1= 0,"", NOT(ISBLANK(CR50)), 0, ISBLANK(CR50), $Q50-$S50+BD50-CA50-DI50)</f>
        <v>0</v>
      </c>
      <c r="EA50" s="192" cm="1">
        <f t="array" ref="EA50">_xlfn.IFS(EA$1= 0,"", NOT(ISBLANK(CS50)), 0, ISBLANK(CS50), $Q50-$S50+BE50-CB50-DJ50)</f>
        <v>0</v>
      </c>
      <c r="EB50" s="192" t="str" cm="1">
        <f t="array" ref="EB50">_xlfn.IFS(EB$1= 0,"", NOT(ISBLANK(CT50)), 0, ISBLANK(CT50), $Q50-$S50+BF50-CC50-DK50)</f>
        <v/>
      </c>
      <c r="EC50" s="192" t="str" cm="1">
        <f t="array" ref="EC50">_xlfn.IFS(EC$1= 0,"", NOT(ISBLANK(CU50)), 0, ISBLANK(CU50), $Q50-$S50+BG50-CD50-DL50)</f>
        <v/>
      </c>
      <c r="ED50" s="192" t="str" cm="1">
        <f t="array" ref="ED50">_xlfn.IFS(ED$1= 0,"", NOT(ISBLANK(CV50)), 0, ISBLANK(CV50), $Q50-$S50+BH50-CE50-DM50)</f>
        <v/>
      </c>
      <c r="EE50" s="192" t="str" cm="1">
        <f t="array" ref="EE50">_xlfn.IFS(EE$1= 0,"", NOT(ISBLANK(CW50)), 0, ISBLANK(CW50), $Q50-$S50+BI50-CF50-DN50)</f>
        <v/>
      </c>
      <c r="EF50" s="192" t="str" cm="1">
        <f t="array" ref="EF50">_xlfn.IFS(EF$1= 0,"", NOT(ISBLANK(CX50)), 0, ISBLANK(CX50), $Q50-$S50+BJ50-CG50-DO50)</f>
        <v/>
      </c>
      <c r="EG50" s="192" t="str" cm="1">
        <f t="array" ref="EG50">_xlfn.IFS(EG$1= 0,"", NOT(ISBLANK(CY50)), 0, ISBLANK(CY50), $Q50-$S50+BK50-CH50-DP50)</f>
        <v/>
      </c>
      <c r="EH50" s="192" t="str" cm="1">
        <f t="array" ref="EH50">_xlfn.IFS(EH$1= 0,"", NOT(ISBLANK(CZ50)), 0, ISBLANK(CZ50), $Q50-$S50+BL50-CI50-DQ50)</f>
        <v/>
      </c>
      <c r="EI50" s="193" t="str" cm="1">
        <f t="array" ref="EI50">_xlfn.IFS(EI$1= 0,"", NOT(ISBLANK(DA50)), 0, ISBLANK(DA50), $Q50-$S50+BM50-CJ50-DR50)</f>
        <v/>
      </c>
    </row>
    <row r="51" spans="1:139" ht="16.5" customHeight="1" x14ac:dyDescent="0.3">
      <c r="A51" s="183"/>
      <c r="B51" s="134"/>
      <c r="C51" s="134"/>
      <c r="D51" s="135"/>
      <c r="E51" s="166"/>
      <c r="F51" s="174"/>
      <c r="G51" s="3"/>
      <c r="H51" s="3"/>
      <c r="I51" s="3"/>
      <c r="J51" s="3"/>
      <c r="K51" s="3"/>
      <c r="L51" s="3"/>
      <c r="M51" s="178"/>
      <c r="N51" s="174"/>
      <c r="O51" s="175"/>
      <c r="P51" s="169"/>
      <c r="Q51" s="122">
        <f t="shared" si="18"/>
        <v>0</v>
      </c>
      <c r="R51" s="2"/>
      <c r="S51" s="2"/>
      <c r="T51" s="3"/>
      <c r="U51" s="3"/>
      <c r="V51" s="104">
        <f t="shared" si="34"/>
        <v>0</v>
      </c>
      <c r="W51" s="149"/>
      <c r="X51" s="136"/>
      <c r="AH51" s="185" t="str" cm="1">
        <f t="array" ref="AH51">IF(OR(AH$1=0, $A51="", _xlfn.XLOOKUP(AH$1, $Z$2:$Z$18, $AD$2:$AD$18, "")=""),"",SQRT((_xlfn.XLOOKUP(AH$1,$Z$2:$Z$18,$AA$2:$AA$18)-$T51)^2+(_xlfn.XLOOKUP(AH$1,$Z$2:$Z$18,$AB$2:$AB$18)-$U51)^2+(_xlfn.XLOOKUP(AH$1,$Z$2:$Z$18,$AC$2:$AC$18-$V51)^2)))</f>
        <v/>
      </c>
      <c r="AI51" s="124" t="str" cm="1">
        <f t="array" ref="AI51">IF(OR(AI$1=0, $A51="", _xlfn.XLOOKUP(AI$1, $Z$2:$Z$18, $AD$2:$AD$18, "")=""),"",SQRT((_xlfn.XLOOKUP(AI$1,$Z$2:$Z$18,$AA$2:$AA$18)-$T51)^2+(_xlfn.XLOOKUP(AI$1,$Z$2:$Z$18,$AB$2:$AB$18)-$U51)^2+(_xlfn.XLOOKUP(AI$1,$Z$2:$Z$18,$AC$2:$AC$18-$V51)^2)))</f>
        <v/>
      </c>
      <c r="AJ51" s="124" t="str" cm="1">
        <f t="array" ref="AJ51">IF(OR(AJ$1=0, $A51="", _xlfn.XLOOKUP(AJ$1, $Z$2:$Z$18, $AD$2:$AD$18, "")=""),"",SQRT((_xlfn.XLOOKUP(AJ$1,$Z$2:$Z$18,$AA$2:$AA$18)-$T51)^2+(_xlfn.XLOOKUP(AJ$1,$Z$2:$Z$18,$AB$2:$AB$18)-$U51)^2+(_xlfn.XLOOKUP(AJ$1,$Z$2:$Z$18,$AC$2:$AC$18-$V51)^2)))</f>
        <v/>
      </c>
      <c r="AK51" s="124" t="str" cm="1">
        <f t="array" ref="AK51">IF(OR(AK$1=0, $A51="", _xlfn.XLOOKUP(AK$1, $Z$2:$Z$18, $AD$2:$AD$18, "")=""),"",SQRT((_xlfn.XLOOKUP(AK$1,$Z$2:$Z$18,$AA$2:$AA$18)-$T51)^2+(_xlfn.XLOOKUP(AK$1,$Z$2:$Z$18,$AB$2:$AB$18)-$U51)^2+(_xlfn.XLOOKUP(AK$1,$Z$2:$Z$18,$AC$2:$AC$18-$V51)^2)))</f>
        <v/>
      </c>
      <c r="AL51" s="124" t="str" cm="1">
        <f t="array" ref="AL51">IF(OR(AL$1=0, $A51="", _xlfn.XLOOKUP(AL$1, $Z$2:$Z$18, $AD$2:$AD$18, "")=""),"",SQRT((_xlfn.XLOOKUP(AL$1,$Z$2:$Z$18,$AA$2:$AA$18)-$T51)^2+(_xlfn.XLOOKUP(AL$1,$Z$2:$Z$18,$AB$2:$AB$18)-$U51)^2+(_xlfn.XLOOKUP(AL$1,$Z$2:$Z$18,$AC$2:$AC$18-$V51)^2)))</f>
        <v/>
      </c>
      <c r="AM51" s="124" t="str" cm="1">
        <f t="array" ref="AM51">IF(OR(AM$1=0, $A51="", _xlfn.XLOOKUP(AM$1, $Z$2:$Z$18, $AD$2:$AD$18, "")=""),"",SQRT((_xlfn.XLOOKUP(AM$1,$Z$2:$Z$18,$AA$2:$AA$18)-$T51)^2+(_xlfn.XLOOKUP(AM$1,$Z$2:$Z$18,$AB$2:$AB$18)-$U51)^2+(_xlfn.XLOOKUP(AM$1,$Z$2:$Z$18,$AC$2:$AC$18-$V51)^2)))</f>
        <v/>
      </c>
      <c r="AN51" s="124" t="str" cm="1">
        <f t="array" ref="AN51">IF(OR(AN$1=0, $A51="", _xlfn.XLOOKUP(AN$1, $Z$2:$Z$18, $AD$2:$AD$18, "")=""),"",SQRT((_xlfn.XLOOKUP(AN$1,$Z$2:$Z$18,$AA$2:$AA$18)-$T51)^2+(_xlfn.XLOOKUP(AN$1,$Z$2:$Z$18,$AB$2:$AB$18)-$U51)^2+(_xlfn.XLOOKUP(AN$1,$Z$2:$Z$18,$AC$2:$AC$18-$V51)^2)))</f>
        <v/>
      </c>
      <c r="AO51" s="124" t="str" cm="1">
        <f t="array" ref="AO51">IF(OR(AO$1=0, $A51="", _xlfn.XLOOKUP(AO$1, $Z$2:$Z$18, $AD$2:$AD$18, "")=""),"",SQRT((_xlfn.XLOOKUP(AO$1,$Z$2:$Z$18,$AA$2:$AA$18)-$T51)^2+(_xlfn.XLOOKUP(AO$1,$Z$2:$Z$18,$AB$2:$AB$18)-$U51)^2+(_xlfn.XLOOKUP(AO$1,$Z$2:$Z$18,$AC$2:$AC$18-$V51)^2)))</f>
        <v/>
      </c>
      <c r="AP51" s="125" t="str" cm="1">
        <f t="array" ref="AP51">IF(OR(AP$1=0, $A51="", _xlfn.XLOOKUP(AP$1, $Z$2:$Z$18, $AD$2:$AD$18, "")=""),"",SQRT((_xlfn.XLOOKUP(AP$1,$Z$2:$Z$18,$AA$2:$AA$18)-$T51)^2+(_xlfn.XLOOKUP(AP$1,$Z$2:$Z$18,$AB$2:$AB$18)-$U51)^2+(_xlfn.XLOOKUP(AP$1,$Z$2:$Z$18,$AC$2:$AC$18-$V51)^2)))</f>
        <v/>
      </c>
      <c r="AQ51" s="125" t="str" cm="1">
        <f t="array" ref="AQ51">IF(OR(AQ$1=0, $A51="", _xlfn.XLOOKUP(AQ$1, $Z$2:$Z$18, $AD$2:$AD$18, "")=""),"",SQRT((_xlfn.XLOOKUP(AQ$1,$Z$2:$Z$18,$AA$2:$AA$18)-$T51)^2+(_xlfn.XLOOKUP(AQ$1,$Z$2:$Z$18,$AB$2:$AB$18)-$U51)^2+(_xlfn.XLOOKUP(AQ$1,$Z$2:$Z$18,$AC$2:$AC$18-$V51)^2)))</f>
        <v/>
      </c>
      <c r="AR51" s="125" t="str" cm="1">
        <f t="array" ref="AR51">IF(OR(AR$1=0, $A51="", _xlfn.XLOOKUP(AR$1, $Z$2:$Z$18, $AD$2:$AD$18, "")=""),"",SQRT((_xlfn.XLOOKUP(AR$1,$Z$2:$Z$18,$AA$2:$AA$18)-$T51)^2+(_xlfn.XLOOKUP(AR$1,$Z$2:$Z$18,$AB$2:$AB$18)-$U51)^2+(_xlfn.XLOOKUP(AR$1,$Z$2:$Z$18,$AC$2:$AC$18-$V51)^2)))</f>
        <v/>
      </c>
      <c r="AS51" s="125" t="str" cm="1">
        <f t="array" ref="AS51">IF(OR(AS$1=0, $A51="", _xlfn.XLOOKUP(AS$1, $Z$2:$Z$18, $AD$2:$AD$18, "")=""),"",SQRT((_xlfn.XLOOKUP(AS$1,$Z$2:$Z$18,$AA$2:$AA$18)-$T51)^2+(_xlfn.XLOOKUP(AS$1,$Z$2:$Z$18,$AB$2:$AB$18)-$U51)^2+(_xlfn.XLOOKUP(AS$1,$Z$2:$Z$18,$AC$2:$AC$18-$V51)^2)))</f>
        <v/>
      </c>
      <c r="AT51" s="125" t="str" cm="1">
        <f t="array" ref="AT51">IF(OR(AT$1=0, $A51="", _xlfn.XLOOKUP(AT$1, $Z$2:$Z$18, $AD$2:$AD$18, "")=""),"",SQRT((_xlfn.XLOOKUP(AT$1,$Z$2:$Z$18,$AA$2:$AA$18)-$T51)^2+(_xlfn.XLOOKUP(AT$1,$Z$2:$Z$18,$AB$2:$AB$18)-$U51)^2+(_xlfn.XLOOKUP(AT$1,$Z$2:$Z$18,$AC$2:$AC$18-$V51)^2)))</f>
        <v/>
      </c>
      <c r="AU51" s="125" t="str" cm="1">
        <f t="array" ref="AU51">IF(OR(AU$1=0, $A51="", _xlfn.XLOOKUP(AU$1, $Z$2:$Z$18, $AD$2:$AD$18, "")=""),"",SQRT((_xlfn.XLOOKUP(AU$1,$Z$2:$Z$18,$AA$2:$AA$18)-$T51)^2+(_xlfn.XLOOKUP(AU$1,$Z$2:$Z$18,$AB$2:$AB$18)-$U51)^2+(_xlfn.XLOOKUP(AU$1,$Z$2:$Z$18,$AC$2:$AC$18-$V51)^2)))</f>
        <v/>
      </c>
      <c r="AV51" s="126" t="str" cm="1">
        <f t="array" ref="AV51">IF(OR(AV$1=0, $A51="", _xlfn.XLOOKUP(AV$1, $Z$2:$Z$18, $AD$2:$AD$18, "")=""),"",SQRT((_xlfn.XLOOKUP(AV$1,$Z$2:$Z$18,$AA$2:$AA$18)-$T51)^2+(_xlfn.XLOOKUP(AV$1,$Z$2:$Z$18,$AB$2:$AB$18)-$U51)^2+(_xlfn.XLOOKUP(AV$1,$Z$2:$Z$18,$AC$2:$AC$18-$V51)^2)))</f>
        <v/>
      </c>
      <c r="AW51" s="127"/>
      <c r="AX51" s="127"/>
      <c r="AY51" s="128">
        <f t="shared" si="19"/>
        <v>0</v>
      </c>
      <c r="AZ51" s="137">
        <f t="shared" si="20"/>
        <v>0</v>
      </c>
      <c r="BA51" s="137">
        <f t="shared" si="21"/>
        <v>0</v>
      </c>
      <c r="BB51" s="137">
        <f t="shared" si="22"/>
        <v>0</v>
      </c>
      <c r="BC51" s="137">
        <f t="shared" si="23"/>
        <v>0</v>
      </c>
      <c r="BD51" s="137">
        <f t="shared" si="24"/>
        <v>0</v>
      </c>
      <c r="BE51" s="137">
        <f t="shared" si="25"/>
        <v>0</v>
      </c>
      <c r="BF51" s="137">
        <f t="shared" si="26"/>
        <v>0</v>
      </c>
      <c r="BG51" s="138">
        <f t="shared" si="27"/>
        <v>0</v>
      </c>
      <c r="BH51" s="138">
        <f t="shared" si="28"/>
        <v>0</v>
      </c>
      <c r="BI51" s="138">
        <f t="shared" si="29"/>
        <v>0</v>
      </c>
      <c r="BJ51" s="138">
        <f t="shared" si="30"/>
        <v>0</v>
      </c>
      <c r="BK51" s="138">
        <f t="shared" si="31"/>
        <v>0</v>
      </c>
      <c r="BL51" s="138">
        <f t="shared" si="32"/>
        <v>0</v>
      </c>
      <c r="BM51" s="139">
        <f t="shared" si="33"/>
        <v>0</v>
      </c>
      <c r="BN51" s="127"/>
      <c r="BO51" s="18" t="s">
        <v>76</v>
      </c>
      <c r="BP51" s="18">
        <f>IFERROR((BP47-BP48)/BP50,0)</f>
        <v>0.29451018957936981</v>
      </c>
      <c r="BQ51" s="18"/>
      <c r="BR51" s="127"/>
      <c r="BS51" s="127"/>
      <c r="BT51" s="127"/>
      <c r="BU51" s="127"/>
      <c r="BV51" s="133"/>
      <c r="BW51" s="133"/>
      <c r="BX51" s="133"/>
      <c r="BY51" s="133"/>
      <c r="BZ51" s="133"/>
      <c r="CA51" s="133"/>
      <c r="CB51" s="133"/>
      <c r="CC51" s="133"/>
      <c r="CD51" s="133"/>
      <c r="CE51" s="133"/>
      <c r="CF51" s="133"/>
      <c r="CG51" s="133"/>
      <c r="CH51" s="133"/>
      <c r="CI51" s="133"/>
      <c r="CJ51" s="133"/>
      <c r="CL51" s="127"/>
      <c r="CM51" s="133" t="s">
        <v>32</v>
      </c>
      <c r="CN51" s="133"/>
      <c r="CO51" s="133"/>
      <c r="CP51" s="133"/>
      <c r="CQ51" s="133"/>
      <c r="CR51" s="133"/>
      <c r="CS51" s="133"/>
      <c r="CT51" s="133"/>
      <c r="CU51" s="133"/>
      <c r="CV51" s="133"/>
      <c r="CW51" s="133"/>
      <c r="CX51" s="133"/>
      <c r="CY51" s="133"/>
      <c r="CZ51" s="133"/>
      <c r="DA51" s="133"/>
      <c r="DB51" s="127"/>
      <c r="DC51" s="127"/>
      <c r="DD51" s="133"/>
      <c r="DE51" s="133"/>
      <c r="DF51" s="133"/>
      <c r="DG51" s="133"/>
      <c r="DH51" s="133"/>
      <c r="DI51" s="133"/>
      <c r="DJ51" s="133"/>
      <c r="DK51" s="133"/>
      <c r="DL51" s="133"/>
      <c r="DM51" s="133"/>
      <c r="DN51" s="133"/>
      <c r="DO51" s="133"/>
      <c r="DP51" s="133"/>
      <c r="DQ51" s="133"/>
      <c r="DR51" s="133"/>
      <c r="DT51" s="127"/>
      <c r="DU51" s="191" cm="1">
        <f t="array" ref="DU51">_xlfn.IFS(DU$1= 0,"", NOT(ISBLANK(CM51)), 0, ISBLANK(CM51), $Q51-$S51+AY51-BV51-DD51)</f>
        <v>0</v>
      </c>
      <c r="DV51" s="192" cm="1">
        <f t="array" ref="DV51">_xlfn.IFS(DV$1= 0,"", NOT(ISBLANK(CN51)), 0, ISBLANK(CN51), $Q51-$S51+AZ51-BW51-DE51)</f>
        <v>0</v>
      </c>
      <c r="DW51" s="192" cm="1">
        <f t="array" ref="DW51">_xlfn.IFS(DW$1= 0,"", NOT(ISBLANK(CO51)), 0, ISBLANK(CO51), $Q51-$S51+BA51-BX51-DF51)</f>
        <v>0</v>
      </c>
      <c r="DX51" s="192" cm="1">
        <f t="array" ref="DX51">_xlfn.IFS(DX$1= 0,"", NOT(ISBLANK(CP51)), 0, ISBLANK(CP51), $Q51-$S51+BB51-BY51-DG51)</f>
        <v>0</v>
      </c>
      <c r="DY51" s="192" cm="1">
        <f t="array" ref="DY51">_xlfn.IFS(DY$1= 0,"", NOT(ISBLANK(CQ51)), 0, ISBLANK(CQ51), $Q51-$S51+BC51-BZ51-DH51)</f>
        <v>0</v>
      </c>
      <c r="DZ51" s="192" cm="1">
        <f t="array" ref="DZ51">_xlfn.IFS(DZ$1= 0,"", NOT(ISBLANK(CR51)), 0, ISBLANK(CR51), $Q51-$S51+BD51-CA51-DI51)</f>
        <v>0</v>
      </c>
      <c r="EA51" s="192" cm="1">
        <f t="array" ref="EA51">_xlfn.IFS(EA$1= 0,"", NOT(ISBLANK(CS51)), 0, ISBLANK(CS51), $Q51-$S51+BE51-CB51-DJ51)</f>
        <v>0</v>
      </c>
      <c r="EB51" s="192" t="str" cm="1">
        <f t="array" ref="EB51">_xlfn.IFS(EB$1= 0,"", NOT(ISBLANK(CT51)), 0, ISBLANK(CT51), $Q51-$S51+BF51-CC51-DK51)</f>
        <v/>
      </c>
      <c r="EC51" s="192" t="str" cm="1">
        <f t="array" ref="EC51">_xlfn.IFS(EC$1= 0,"", NOT(ISBLANK(CU51)), 0, ISBLANK(CU51), $Q51-$S51+BG51-CD51-DL51)</f>
        <v/>
      </c>
      <c r="ED51" s="192" t="str" cm="1">
        <f t="array" ref="ED51">_xlfn.IFS(ED$1= 0,"", NOT(ISBLANK(CV51)), 0, ISBLANK(CV51), $Q51-$S51+BH51-CE51-DM51)</f>
        <v/>
      </c>
      <c r="EE51" s="192" t="str" cm="1">
        <f t="array" ref="EE51">_xlfn.IFS(EE$1= 0,"", NOT(ISBLANK(CW51)), 0, ISBLANK(CW51), $Q51-$S51+BI51-CF51-DN51)</f>
        <v/>
      </c>
      <c r="EF51" s="192" t="str" cm="1">
        <f t="array" ref="EF51">_xlfn.IFS(EF$1= 0,"", NOT(ISBLANK(CX51)), 0, ISBLANK(CX51), $Q51-$S51+BJ51-CG51-DO51)</f>
        <v/>
      </c>
      <c r="EG51" s="192" t="str" cm="1">
        <f t="array" ref="EG51">_xlfn.IFS(EG$1= 0,"", NOT(ISBLANK(CY51)), 0, ISBLANK(CY51), $Q51-$S51+BK51-CH51-DP51)</f>
        <v/>
      </c>
      <c r="EH51" s="192" t="str" cm="1">
        <f t="array" ref="EH51">_xlfn.IFS(EH$1= 0,"", NOT(ISBLANK(CZ51)), 0, ISBLANK(CZ51), $Q51-$S51+BL51-CI51-DQ51)</f>
        <v/>
      </c>
      <c r="EI51" s="193" t="str" cm="1">
        <f t="array" ref="EI51">_xlfn.IFS(EI$1= 0,"", NOT(ISBLANK(DA51)), 0, ISBLANK(DA51), $Q51-$S51+BM51-CJ51-DR51)</f>
        <v/>
      </c>
    </row>
    <row r="52" spans="1:139" ht="16.5" customHeight="1" x14ac:dyDescent="0.3">
      <c r="A52" s="183"/>
      <c r="B52" s="134"/>
      <c r="C52" s="134"/>
      <c r="D52" s="135"/>
      <c r="E52" s="166"/>
      <c r="F52" s="174"/>
      <c r="G52" s="3"/>
      <c r="H52" s="3"/>
      <c r="I52" s="3"/>
      <c r="J52" s="3"/>
      <c r="K52" s="3"/>
      <c r="L52" s="3"/>
      <c r="M52" s="178"/>
      <c r="N52" s="174"/>
      <c r="O52" s="175"/>
      <c r="P52" s="169"/>
      <c r="Q52" s="122">
        <f t="shared" si="18"/>
        <v>0</v>
      </c>
      <c r="R52" s="2"/>
      <c r="S52" s="2"/>
      <c r="T52" s="3"/>
      <c r="U52" s="3"/>
      <c r="V52" s="104">
        <f t="shared" si="34"/>
        <v>0</v>
      </c>
      <c r="W52" s="149"/>
      <c r="X52" s="136"/>
      <c r="AH52" s="185" t="str" cm="1">
        <f t="array" ref="AH52">IF(OR(AH$1=0, $A52="", _xlfn.XLOOKUP(AH$1, $Z$2:$Z$18, $AD$2:$AD$18, "")=""),"",SQRT((_xlfn.XLOOKUP(AH$1,$Z$2:$Z$18,$AA$2:$AA$18)-$T52)^2+(_xlfn.XLOOKUP(AH$1,$Z$2:$Z$18,$AB$2:$AB$18)-$U52)^2+(_xlfn.XLOOKUP(AH$1,$Z$2:$Z$18,$AC$2:$AC$18-$V52)^2)))</f>
        <v/>
      </c>
      <c r="AI52" s="124" t="str" cm="1">
        <f t="array" ref="AI52">IF(OR(AI$1=0, $A52="", _xlfn.XLOOKUP(AI$1, $Z$2:$Z$18, $AD$2:$AD$18, "")=""),"",SQRT((_xlfn.XLOOKUP(AI$1,$Z$2:$Z$18,$AA$2:$AA$18)-$T52)^2+(_xlfn.XLOOKUP(AI$1,$Z$2:$Z$18,$AB$2:$AB$18)-$U52)^2+(_xlfn.XLOOKUP(AI$1,$Z$2:$Z$18,$AC$2:$AC$18-$V52)^2)))</f>
        <v/>
      </c>
      <c r="AJ52" s="124" t="str" cm="1">
        <f t="array" ref="AJ52">IF(OR(AJ$1=0, $A52="", _xlfn.XLOOKUP(AJ$1, $Z$2:$Z$18, $AD$2:$AD$18, "")=""),"",SQRT((_xlfn.XLOOKUP(AJ$1,$Z$2:$Z$18,$AA$2:$AA$18)-$T52)^2+(_xlfn.XLOOKUP(AJ$1,$Z$2:$Z$18,$AB$2:$AB$18)-$U52)^2+(_xlfn.XLOOKUP(AJ$1,$Z$2:$Z$18,$AC$2:$AC$18-$V52)^2)))</f>
        <v/>
      </c>
      <c r="AK52" s="124" t="str" cm="1">
        <f t="array" ref="AK52">IF(OR(AK$1=0, $A52="", _xlfn.XLOOKUP(AK$1, $Z$2:$Z$18, $AD$2:$AD$18, "")=""),"",SQRT((_xlfn.XLOOKUP(AK$1,$Z$2:$Z$18,$AA$2:$AA$18)-$T52)^2+(_xlfn.XLOOKUP(AK$1,$Z$2:$Z$18,$AB$2:$AB$18)-$U52)^2+(_xlfn.XLOOKUP(AK$1,$Z$2:$Z$18,$AC$2:$AC$18-$V52)^2)))</f>
        <v/>
      </c>
      <c r="AL52" s="124" t="str" cm="1">
        <f t="array" ref="AL52">IF(OR(AL$1=0, $A52="", _xlfn.XLOOKUP(AL$1, $Z$2:$Z$18, $AD$2:$AD$18, "")=""),"",SQRT((_xlfn.XLOOKUP(AL$1,$Z$2:$Z$18,$AA$2:$AA$18)-$T52)^2+(_xlfn.XLOOKUP(AL$1,$Z$2:$Z$18,$AB$2:$AB$18)-$U52)^2+(_xlfn.XLOOKUP(AL$1,$Z$2:$Z$18,$AC$2:$AC$18-$V52)^2)))</f>
        <v/>
      </c>
      <c r="AM52" s="124" t="str" cm="1">
        <f t="array" ref="AM52">IF(OR(AM$1=0, $A52="", _xlfn.XLOOKUP(AM$1, $Z$2:$Z$18, $AD$2:$AD$18, "")=""),"",SQRT((_xlfn.XLOOKUP(AM$1,$Z$2:$Z$18,$AA$2:$AA$18)-$T52)^2+(_xlfn.XLOOKUP(AM$1,$Z$2:$Z$18,$AB$2:$AB$18)-$U52)^2+(_xlfn.XLOOKUP(AM$1,$Z$2:$Z$18,$AC$2:$AC$18-$V52)^2)))</f>
        <v/>
      </c>
      <c r="AN52" s="124" t="str" cm="1">
        <f t="array" ref="AN52">IF(OR(AN$1=0, $A52="", _xlfn.XLOOKUP(AN$1, $Z$2:$Z$18, $AD$2:$AD$18, "")=""),"",SQRT((_xlfn.XLOOKUP(AN$1,$Z$2:$Z$18,$AA$2:$AA$18)-$T52)^2+(_xlfn.XLOOKUP(AN$1,$Z$2:$Z$18,$AB$2:$AB$18)-$U52)^2+(_xlfn.XLOOKUP(AN$1,$Z$2:$Z$18,$AC$2:$AC$18-$V52)^2)))</f>
        <v/>
      </c>
      <c r="AO52" s="124" t="str" cm="1">
        <f t="array" ref="AO52">IF(OR(AO$1=0, $A52="", _xlfn.XLOOKUP(AO$1, $Z$2:$Z$18, $AD$2:$AD$18, "")=""),"",SQRT((_xlfn.XLOOKUP(AO$1,$Z$2:$Z$18,$AA$2:$AA$18)-$T52)^2+(_xlfn.XLOOKUP(AO$1,$Z$2:$Z$18,$AB$2:$AB$18)-$U52)^2+(_xlfn.XLOOKUP(AO$1,$Z$2:$Z$18,$AC$2:$AC$18-$V52)^2)))</f>
        <v/>
      </c>
      <c r="AP52" s="125" t="str" cm="1">
        <f t="array" ref="AP52">IF(OR(AP$1=0, $A52="", _xlfn.XLOOKUP(AP$1, $Z$2:$Z$18, $AD$2:$AD$18, "")=""),"",SQRT((_xlfn.XLOOKUP(AP$1,$Z$2:$Z$18,$AA$2:$AA$18)-$T52)^2+(_xlfn.XLOOKUP(AP$1,$Z$2:$Z$18,$AB$2:$AB$18)-$U52)^2+(_xlfn.XLOOKUP(AP$1,$Z$2:$Z$18,$AC$2:$AC$18-$V52)^2)))</f>
        <v/>
      </c>
      <c r="AQ52" s="125" t="str" cm="1">
        <f t="array" ref="AQ52">IF(OR(AQ$1=0, $A52="", _xlfn.XLOOKUP(AQ$1, $Z$2:$Z$18, $AD$2:$AD$18, "")=""),"",SQRT((_xlfn.XLOOKUP(AQ$1,$Z$2:$Z$18,$AA$2:$AA$18)-$T52)^2+(_xlfn.XLOOKUP(AQ$1,$Z$2:$Z$18,$AB$2:$AB$18)-$U52)^2+(_xlfn.XLOOKUP(AQ$1,$Z$2:$Z$18,$AC$2:$AC$18-$V52)^2)))</f>
        <v/>
      </c>
      <c r="AR52" s="125" t="str" cm="1">
        <f t="array" ref="AR52">IF(OR(AR$1=0, $A52="", _xlfn.XLOOKUP(AR$1, $Z$2:$Z$18, $AD$2:$AD$18, "")=""),"",SQRT((_xlfn.XLOOKUP(AR$1,$Z$2:$Z$18,$AA$2:$AA$18)-$T52)^2+(_xlfn.XLOOKUP(AR$1,$Z$2:$Z$18,$AB$2:$AB$18)-$U52)^2+(_xlfn.XLOOKUP(AR$1,$Z$2:$Z$18,$AC$2:$AC$18-$V52)^2)))</f>
        <v/>
      </c>
      <c r="AS52" s="125" t="str" cm="1">
        <f t="array" ref="AS52">IF(OR(AS$1=0, $A52="", _xlfn.XLOOKUP(AS$1, $Z$2:$Z$18, $AD$2:$AD$18, "")=""),"",SQRT((_xlfn.XLOOKUP(AS$1,$Z$2:$Z$18,$AA$2:$AA$18)-$T52)^2+(_xlfn.XLOOKUP(AS$1,$Z$2:$Z$18,$AB$2:$AB$18)-$U52)^2+(_xlfn.XLOOKUP(AS$1,$Z$2:$Z$18,$AC$2:$AC$18-$V52)^2)))</f>
        <v/>
      </c>
      <c r="AT52" s="125" t="str" cm="1">
        <f t="array" ref="AT52">IF(OR(AT$1=0, $A52="", _xlfn.XLOOKUP(AT$1, $Z$2:$Z$18, $AD$2:$AD$18, "")=""),"",SQRT((_xlfn.XLOOKUP(AT$1,$Z$2:$Z$18,$AA$2:$AA$18)-$T52)^2+(_xlfn.XLOOKUP(AT$1,$Z$2:$Z$18,$AB$2:$AB$18)-$U52)^2+(_xlfn.XLOOKUP(AT$1,$Z$2:$Z$18,$AC$2:$AC$18-$V52)^2)))</f>
        <v/>
      </c>
      <c r="AU52" s="125" t="str" cm="1">
        <f t="array" ref="AU52">IF(OR(AU$1=0, $A52="", _xlfn.XLOOKUP(AU$1, $Z$2:$Z$18, $AD$2:$AD$18, "")=""),"",SQRT((_xlfn.XLOOKUP(AU$1,$Z$2:$Z$18,$AA$2:$AA$18)-$T52)^2+(_xlfn.XLOOKUP(AU$1,$Z$2:$Z$18,$AB$2:$AB$18)-$U52)^2+(_xlfn.XLOOKUP(AU$1,$Z$2:$Z$18,$AC$2:$AC$18-$V52)^2)))</f>
        <v/>
      </c>
      <c r="AV52" s="126" t="str" cm="1">
        <f t="array" ref="AV52">IF(OR(AV$1=0, $A52="", _xlfn.XLOOKUP(AV$1, $Z$2:$Z$18, $AD$2:$AD$18, "")=""),"",SQRT((_xlfn.XLOOKUP(AV$1,$Z$2:$Z$18,$AA$2:$AA$18)-$T52)^2+(_xlfn.XLOOKUP(AV$1,$Z$2:$Z$18,$AB$2:$AB$18)-$U52)^2+(_xlfn.XLOOKUP(AV$1,$Z$2:$Z$18,$AC$2:$AC$18-$V52)^2)))</f>
        <v/>
      </c>
      <c r="AW52" s="127"/>
      <c r="AX52" s="127"/>
      <c r="AY52" s="128">
        <f t="shared" si="19"/>
        <v>0</v>
      </c>
      <c r="AZ52" s="137">
        <f t="shared" si="20"/>
        <v>0</v>
      </c>
      <c r="BA52" s="137">
        <f t="shared" si="21"/>
        <v>0</v>
      </c>
      <c r="BB52" s="137">
        <f t="shared" si="22"/>
        <v>0</v>
      </c>
      <c r="BC52" s="137">
        <f t="shared" si="23"/>
        <v>0</v>
      </c>
      <c r="BD52" s="137">
        <f t="shared" si="24"/>
        <v>0</v>
      </c>
      <c r="BE52" s="137">
        <f t="shared" si="25"/>
        <v>0</v>
      </c>
      <c r="BF52" s="137">
        <f t="shared" si="26"/>
        <v>0</v>
      </c>
      <c r="BG52" s="138">
        <f t="shared" si="27"/>
        <v>0</v>
      </c>
      <c r="BH52" s="138">
        <f t="shared" si="28"/>
        <v>0</v>
      </c>
      <c r="BI52" s="138">
        <f t="shared" si="29"/>
        <v>0</v>
      </c>
      <c r="BJ52" s="138">
        <f t="shared" si="30"/>
        <v>0</v>
      </c>
      <c r="BK52" s="138">
        <f t="shared" si="31"/>
        <v>0</v>
      </c>
      <c r="BL52" s="138">
        <f t="shared" si="32"/>
        <v>0</v>
      </c>
      <c r="BM52" s="139">
        <f t="shared" si="33"/>
        <v>0</v>
      </c>
      <c r="BN52" s="127"/>
      <c r="BO52" s="127"/>
      <c r="BP52" s="127"/>
      <c r="BQ52" s="127"/>
      <c r="BR52" s="127"/>
      <c r="BS52" s="127"/>
      <c r="BT52" s="127"/>
      <c r="BU52" s="127"/>
      <c r="BV52" s="133"/>
      <c r="BW52" s="133"/>
      <c r="BX52" s="133"/>
      <c r="BY52" s="133"/>
      <c r="BZ52" s="133"/>
      <c r="CA52" s="133"/>
      <c r="CB52" s="133"/>
      <c r="CC52" s="133"/>
      <c r="CD52" s="133"/>
      <c r="CE52" s="133"/>
      <c r="CF52" s="133"/>
      <c r="CG52" s="133"/>
      <c r="CH52" s="133"/>
      <c r="CI52" s="133"/>
      <c r="CJ52" s="133"/>
      <c r="CL52" s="127"/>
      <c r="CM52" s="133" t="s">
        <v>32</v>
      </c>
      <c r="CN52" s="133"/>
      <c r="CO52" s="133"/>
      <c r="CP52" s="133"/>
      <c r="CQ52" s="133"/>
      <c r="CR52" s="133"/>
      <c r="CS52" s="133"/>
      <c r="CT52" s="133"/>
      <c r="CU52" s="133"/>
      <c r="CV52" s="133"/>
      <c r="CW52" s="133"/>
      <c r="CX52" s="133"/>
      <c r="CY52" s="133"/>
      <c r="CZ52" s="133"/>
      <c r="DA52" s="133"/>
      <c r="DB52" s="127"/>
      <c r="DC52" s="127"/>
      <c r="DD52" s="133"/>
      <c r="DE52" s="133"/>
      <c r="DF52" s="133"/>
      <c r="DG52" s="133"/>
      <c r="DH52" s="133"/>
      <c r="DI52" s="133"/>
      <c r="DJ52" s="133"/>
      <c r="DK52" s="133"/>
      <c r="DL52" s="133"/>
      <c r="DM52" s="133"/>
      <c r="DN52" s="133"/>
      <c r="DO52" s="133"/>
      <c r="DP52" s="133"/>
      <c r="DQ52" s="133"/>
      <c r="DR52" s="133"/>
      <c r="DT52" s="127"/>
      <c r="DU52" s="191" cm="1">
        <f t="array" ref="DU52">_xlfn.IFS(DU$1= 0,"", NOT(ISBLANK(CM52)), 0, ISBLANK(CM52), $Q52-$S52+AY52-BV52-DD52)</f>
        <v>0</v>
      </c>
      <c r="DV52" s="192" cm="1">
        <f t="array" ref="DV52">_xlfn.IFS(DV$1= 0,"", NOT(ISBLANK(CN52)), 0, ISBLANK(CN52), $Q52-$S52+AZ52-BW52-DE52)</f>
        <v>0</v>
      </c>
      <c r="DW52" s="192" cm="1">
        <f t="array" ref="DW52">_xlfn.IFS(DW$1= 0,"", NOT(ISBLANK(CO52)), 0, ISBLANK(CO52), $Q52-$S52+BA52-BX52-DF52)</f>
        <v>0</v>
      </c>
      <c r="DX52" s="192" cm="1">
        <f t="array" ref="DX52">_xlfn.IFS(DX$1= 0,"", NOT(ISBLANK(CP52)), 0, ISBLANK(CP52), $Q52-$S52+BB52-BY52-DG52)</f>
        <v>0</v>
      </c>
      <c r="DY52" s="192" cm="1">
        <f t="array" ref="DY52">_xlfn.IFS(DY$1= 0,"", NOT(ISBLANK(CQ52)), 0, ISBLANK(CQ52), $Q52-$S52+BC52-BZ52-DH52)</f>
        <v>0</v>
      </c>
      <c r="DZ52" s="192" cm="1">
        <f t="array" ref="DZ52">_xlfn.IFS(DZ$1= 0,"", NOT(ISBLANK(CR52)), 0, ISBLANK(CR52), $Q52-$S52+BD52-CA52-DI52)</f>
        <v>0</v>
      </c>
      <c r="EA52" s="192" cm="1">
        <f t="array" ref="EA52">_xlfn.IFS(EA$1= 0,"", NOT(ISBLANK(CS52)), 0, ISBLANK(CS52), $Q52-$S52+BE52-CB52-DJ52)</f>
        <v>0</v>
      </c>
      <c r="EB52" s="192" t="str" cm="1">
        <f t="array" ref="EB52">_xlfn.IFS(EB$1= 0,"", NOT(ISBLANK(CT52)), 0, ISBLANK(CT52), $Q52-$S52+BF52-CC52-DK52)</f>
        <v/>
      </c>
      <c r="EC52" s="192" t="str" cm="1">
        <f t="array" ref="EC52">_xlfn.IFS(EC$1= 0,"", NOT(ISBLANK(CU52)), 0, ISBLANK(CU52), $Q52-$S52+BG52-CD52-DL52)</f>
        <v/>
      </c>
      <c r="ED52" s="192" t="str" cm="1">
        <f t="array" ref="ED52">_xlfn.IFS(ED$1= 0,"", NOT(ISBLANK(CV52)), 0, ISBLANK(CV52), $Q52-$S52+BH52-CE52-DM52)</f>
        <v/>
      </c>
      <c r="EE52" s="192" t="str" cm="1">
        <f t="array" ref="EE52">_xlfn.IFS(EE$1= 0,"", NOT(ISBLANK(CW52)), 0, ISBLANK(CW52), $Q52-$S52+BI52-CF52-DN52)</f>
        <v/>
      </c>
      <c r="EF52" s="192" t="str" cm="1">
        <f t="array" ref="EF52">_xlfn.IFS(EF$1= 0,"", NOT(ISBLANK(CX52)), 0, ISBLANK(CX52), $Q52-$S52+BJ52-CG52-DO52)</f>
        <v/>
      </c>
      <c r="EG52" s="192" t="str" cm="1">
        <f t="array" ref="EG52">_xlfn.IFS(EG$1= 0,"", NOT(ISBLANK(CY52)), 0, ISBLANK(CY52), $Q52-$S52+BK52-CH52-DP52)</f>
        <v/>
      </c>
      <c r="EH52" s="192" t="str" cm="1">
        <f t="array" ref="EH52">_xlfn.IFS(EH$1= 0,"", NOT(ISBLANK(CZ52)), 0, ISBLANK(CZ52), $Q52-$S52+BL52-CI52-DQ52)</f>
        <v/>
      </c>
      <c r="EI52" s="193" t="str" cm="1">
        <f t="array" ref="EI52">_xlfn.IFS(EI$1= 0,"", NOT(ISBLANK(DA52)), 0, ISBLANK(DA52), $Q52-$S52+BM52-CJ52-DR52)</f>
        <v/>
      </c>
    </row>
    <row r="53" spans="1:139" ht="16.5" customHeight="1" x14ac:dyDescent="0.3">
      <c r="A53" s="183"/>
      <c r="B53" s="134"/>
      <c r="C53" s="134"/>
      <c r="D53" s="135"/>
      <c r="E53" s="166"/>
      <c r="F53" s="174"/>
      <c r="G53" s="3"/>
      <c r="H53" s="3"/>
      <c r="I53" s="3"/>
      <c r="J53" s="3"/>
      <c r="K53" s="3"/>
      <c r="L53" s="3"/>
      <c r="M53" s="178"/>
      <c r="N53" s="174"/>
      <c r="O53" s="175"/>
      <c r="P53" s="169"/>
      <c r="Q53" s="122">
        <f t="shared" si="18"/>
        <v>0</v>
      </c>
      <c r="R53" s="2"/>
      <c r="S53" s="2"/>
      <c r="T53" s="3"/>
      <c r="U53" s="3"/>
      <c r="V53" s="104">
        <f t="shared" si="34"/>
        <v>0</v>
      </c>
      <c r="W53" s="149"/>
      <c r="X53" s="136"/>
      <c r="AH53" s="185" t="str" cm="1">
        <f t="array" ref="AH53">IF(OR(AH$1=0, $A53="", _xlfn.XLOOKUP(AH$1, $Z$2:$Z$18, $AD$2:$AD$18, "")=""),"",SQRT((_xlfn.XLOOKUP(AH$1,$Z$2:$Z$18,$AA$2:$AA$18)-$T53)^2+(_xlfn.XLOOKUP(AH$1,$Z$2:$Z$18,$AB$2:$AB$18)-$U53)^2+(_xlfn.XLOOKUP(AH$1,$Z$2:$Z$18,$AC$2:$AC$18-$V53)^2)))</f>
        <v/>
      </c>
      <c r="AI53" s="124" t="str" cm="1">
        <f t="array" ref="AI53">IF(OR(AI$1=0, $A53="", _xlfn.XLOOKUP(AI$1, $Z$2:$Z$18, $AD$2:$AD$18, "")=""),"",SQRT((_xlfn.XLOOKUP(AI$1,$Z$2:$Z$18,$AA$2:$AA$18)-$T53)^2+(_xlfn.XLOOKUP(AI$1,$Z$2:$Z$18,$AB$2:$AB$18)-$U53)^2+(_xlfn.XLOOKUP(AI$1,$Z$2:$Z$18,$AC$2:$AC$18-$V53)^2)))</f>
        <v/>
      </c>
      <c r="AJ53" s="124" t="str" cm="1">
        <f t="array" ref="AJ53">IF(OR(AJ$1=0, $A53="", _xlfn.XLOOKUP(AJ$1, $Z$2:$Z$18, $AD$2:$AD$18, "")=""),"",SQRT((_xlfn.XLOOKUP(AJ$1,$Z$2:$Z$18,$AA$2:$AA$18)-$T53)^2+(_xlfn.XLOOKUP(AJ$1,$Z$2:$Z$18,$AB$2:$AB$18)-$U53)^2+(_xlfn.XLOOKUP(AJ$1,$Z$2:$Z$18,$AC$2:$AC$18-$V53)^2)))</f>
        <v/>
      </c>
      <c r="AK53" s="124" t="str" cm="1">
        <f t="array" ref="AK53">IF(OR(AK$1=0, $A53="", _xlfn.XLOOKUP(AK$1, $Z$2:$Z$18, $AD$2:$AD$18, "")=""),"",SQRT((_xlfn.XLOOKUP(AK$1,$Z$2:$Z$18,$AA$2:$AA$18)-$T53)^2+(_xlfn.XLOOKUP(AK$1,$Z$2:$Z$18,$AB$2:$AB$18)-$U53)^2+(_xlfn.XLOOKUP(AK$1,$Z$2:$Z$18,$AC$2:$AC$18-$V53)^2)))</f>
        <v/>
      </c>
      <c r="AL53" s="124" t="str" cm="1">
        <f t="array" ref="AL53">IF(OR(AL$1=0, $A53="", _xlfn.XLOOKUP(AL$1, $Z$2:$Z$18, $AD$2:$AD$18, "")=""),"",SQRT((_xlfn.XLOOKUP(AL$1,$Z$2:$Z$18,$AA$2:$AA$18)-$T53)^2+(_xlfn.XLOOKUP(AL$1,$Z$2:$Z$18,$AB$2:$AB$18)-$U53)^2+(_xlfn.XLOOKUP(AL$1,$Z$2:$Z$18,$AC$2:$AC$18-$V53)^2)))</f>
        <v/>
      </c>
      <c r="AM53" s="124" t="str" cm="1">
        <f t="array" ref="AM53">IF(OR(AM$1=0, $A53="", _xlfn.XLOOKUP(AM$1, $Z$2:$Z$18, $AD$2:$AD$18, "")=""),"",SQRT((_xlfn.XLOOKUP(AM$1,$Z$2:$Z$18,$AA$2:$AA$18)-$T53)^2+(_xlfn.XLOOKUP(AM$1,$Z$2:$Z$18,$AB$2:$AB$18)-$U53)^2+(_xlfn.XLOOKUP(AM$1,$Z$2:$Z$18,$AC$2:$AC$18-$V53)^2)))</f>
        <v/>
      </c>
      <c r="AN53" s="124" t="str" cm="1">
        <f t="array" ref="AN53">IF(OR(AN$1=0, $A53="", _xlfn.XLOOKUP(AN$1, $Z$2:$Z$18, $AD$2:$AD$18, "")=""),"",SQRT((_xlfn.XLOOKUP(AN$1,$Z$2:$Z$18,$AA$2:$AA$18)-$T53)^2+(_xlfn.XLOOKUP(AN$1,$Z$2:$Z$18,$AB$2:$AB$18)-$U53)^2+(_xlfn.XLOOKUP(AN$1,$Z$2:$Z$18,$AC$2:$AC$18-$V53)^2)))</f>
        <v/>
      </c>
      <c r="AO53" s="124" t="str" cm="1">
        <f t="array" ref="AO53">IF(OR(AO$1=0, $A53="", _xlfn.XLOOKUP(AO$1, $Z$2:$Z$18, $AD$2:$AD$18, "")=""),"",SQRT((_xlfn.XLOOKUP(AO$1,$Z$2:$Z$18,$AA$2:$AA$18)-$T53)^2+(_xlfn.XLOOKUP(AO$1,$Z$2:$Z$18,$AB$2:$AB$18)-$U53)^2+(_xlfn.XLOOKUP(AO$1,$Z$2:$Z$18,$AC$2:$AC$18-$V53)^2)))</f>
        <v/>
      </c>
      <c r="AP53" s="125" t="str" cm="1">
        <f t="array" ref="AP53">IF(OR(AP$1=0, $A53="", _xlfn.XLOOKUP(AP$1, $Z$2:$Z$18, $AD$2:$AD$18, "")=""),"",SQRT((_xlfn.XLOOKUP(AP$1,$Z$2:$Z$18,$AA$2:$AA$18)-$T53)^2+(_xlfn.XLOOKUP(AP$1,$Z$2:$Z$18,$AB$2:$AB$18)-$U53)^2+(_xlfn.XLOOKUP(AP$1,$Z$2:$Z$18,$AC$2:$AC$18-$V53)^2)))</f>
        <v/>
      </c>
      <c r="AQ53" s="125" t="str" cm="1">
        <f t="array" ref="AQ53">IF(OR(AQ$1=0, $A53="", _xlfn.XLOOKUP(AQ$1, $Z$2:$Z$18, $AD$2:$AD$18, "")=""),"",SQRT((_xlfn.XLOOKUP(AQ$1,$Z$2:$Z$18,$AA$2:$AA$18)-$T53)^2+(_xlfn.XLOOKUP(AQ$1,$Z$2:$Z$18,$AB$2:$AB$18)-$U53)^2+(_xlfn.XLOOKUP(AQ$1,$Z$2:$Z$18,$AC$2:$AC$18-$V53)^2)))</f>
        <v/>
      </c>
      <c r="AR53" s="125" t="str" cm="1">
        <f t="array" ref="AR53">IF(OR(AR$1=0, $A53="", _xlfn.XLOOKUP(AR$1, $Z$2:$Z$18, $AD$2:$AD$18, "")=""),"",SQRT((_xlfn.XLOOKUP(AR$1,$Z$2:$Z$18,$AA$2:$AA$18)-$T53)^2+(_xlfn.XLOOKUP(AR$1,$Z$2:$Z$18,$AB$2:$AB$18)-$U53)^2+(_xlfn.XLOOKUP(AR$1,$Z$2:$Z$18,$AC$2:$AC$18-$V53)^2)))</f>
        <v/>
      </c>
      <c r="AS53" s="125" t="str" cm="1">
        <f t="array" ref="AS53">IF(OR(AS$1=0, $A53="", _xlfn.XLOOKUP(AS$1, $Z$2:$Z$18, $AD$2:$AD$18, "")=""),"",SQRT((_xlfn.XLOOKUP(AS$1,$Z$2:$Z$18,$AA$2:$AA$18)-$T53)^2+(_xlfn.XLOOKUP(AS$1,$Z$2:$Z$18,$AB$2:$AB$18)-$U53)^2+(_xlfn.XLOOKUP(AS$1,$Z$2:$Z$18,$AC$2:$AC$18-$V53)^2)))</f>
        <v/>
      </c>
      <c r="AT53" s="125" t="str" cm="1">
        <f t="array" ref="AT53">IF(OR(AT$1=0, $A53="", _xlfn.XLOOKUP(AT$1, $Z$2:$Z$18, $AD$2:$AD$18, "")=""),"",SQRT((_xlfn.XLOOKUP(AT$1,$Z$2:$Z$18,$AA$2:$AA$18)-$T53)^2+(_xlfn.XLOOKUP(AT$1,$Z$2:$Z$18,$AB$2:$AB$18)-$U53)^2+(_xlfn.XLOOKUP(AT$1,$Z$2:$Z$18,$AC$2:$AC$18-$V53)^2)))</f>
        <v/>
      </c>
      <c r="AU53" s="125" t="str" cm="1">
        <f t="array" ref="AU53">IF(OR(AU$1=0, $A53="", _xlfn.XLOOKUP(AU$1, $Z$2:$Z$18, $AD$2:$AD$18, "")=""),"",SQRT((_xlfn.XLOOKUP(AU$1,$Z$2:$Z$18,$AA$2:$AA$18)-$T53)^2+(_xlfn.XLOOKUP(AU$1,$Z$2:$Z$18,$AB$2:$AB$18)-$U53)^2+(_xlfn.XLOOKUP(AU$1,$Z$2:$Z$18,$AC$2:$AC$18-$V53)^2)))</f>
        <v/>
      </c>
      <c r="AV53" s="126" t="str" cm="1">
        <f t="array" ref="AV53">IF(OR(AV$1=0, $A53="", _xlfn.XLOOKUP(AV$1, $Z$2:$Z$18, $AD$2:$AD$18, "")=""),"",SQRT((_xlfn.XLOOKUP(AV$1,$Z$2:$Z$18,$AA$2:$AA$18)-$T53)^2+(_xlfn.XLOOKUP(AV$1,$Z$2:$Z$18,$AB$2:$AB$18)-$U53)^2+(_xlfn.XLOOKUP(AV$1,$Z$2:$Z$18,$AC$2:$AC$18-$V53)^2)))</f>
        <v/>
      </c>
      <c r="AW53" s="127"/>
      <c r="AX53" s="127"/>
      <c r="AY53" s="128">
        <f t="shared" si="19"/>
        <v>0</v>
      </c>
      <c r="AZ53" s="137">
        <f t="shared" si="20"/>
        <v>0</v>
      </c>
      <c r="BA53" s="137">
        <f t="shared" si="21"/>
        <v>0</v>
      </c>
      <c r="BB53" s="137">
        <f t="shared" si="22"/>
        <v>0</v>
      </c>
      <c r="BC53" s="137">
        <f t="shared" si="23"/>
        <v>0</v>
      </c>
      <c r="BD53" s="137">
        <f t="shared" si="24"/>
        <v>0</v>
      </c>
      <c r="BE53" s="137">
        <f t="shared" si="25"/>
        <v>0</v>
      </c>
      <c r="BF53" s="137">
        <f t="shared" si="26"/>
        <v>0</v>
      </c>
      <c r="BG53" s="138">
        <f t="shared" si="27"/>
        <v>0</v>
      </c>
      <c r="BH53" s="138">
        <f t="shared" si="28"/>
        <v>0</v>
      </c>
      <c r="BI53" s="138">
        <f t="shared" si="29"/>
        <v>0</v>
      </c>
      <c r="BJ53" s="138">
        <f t="shared" si="30"/>
        <v>0</v>
      </c>
      <c r="BK53" s="138">
        <f t="shared" si="31"/>
        <v>0</v>
      </c>
      <c r="BL53" s="138">
        <f t="shared" si="32"/>
        <v>0</v>
      </c>
      <c r="BM53" s="139">
        <f t="shared" si="33"/>
        <v>0</v>
      </c>
      <c r="BN53" s="127"/>
      <c r="BO53" s="127"/>
      <c r="BP53" s="127"/>
      <c r="BQ53" s="127"/>
      <c r="BR53" s="127"/>
      <c r="BS53" s="127"/>
      <c r="BT53" s="127"/>
      <c r="BU53" s="127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L53" s="127"/>
      <c r="CM53" s="133" t="s">
        <v>32</v>
      </c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  <c r="CZ53" s="133"/>
      <c r="DA53" s="133"/>
      <c r="DB53" s="127"/>
      <c r="DC53" s="127"/>
      <c r="DD53" s="133"/>
      <c r="DE53" s="133"/>
      <c r="DF53" s="133"/>
      <c r="DG53" s="133"/>
      <c r="DH53" s="133"/>
      <c r="DI53" s="133"/>
      <c r="DJ53" s="133"/>
      <c r="DK53" s="133"/>
      <c r="DL53" s="133"/>
      <c r="DM53" s="133"/>
      <c r="DN53" s="133"/>
      <c r="DO53" s="133"/>
      <c r="DP53" s="133"/>
      <c r="DQ53" s="133"/>
      <c r="DR53" s="133"/>
      <c r="DT53" s="127"/>
      <c r="DU53" s="191" cm="1">
        <f t="array" ref="DU53">_xlfn.IFS(DU$1= 0,"", NOT(ISBLANK(CM53)), 0, ISBLANK(CM53), $Q53-$S53+AY53-BV53-DD53)</f>
        <v>0</v>
      </c>
      <c r="DV53" s="192" cm="1">
        <f t="array" ref="DV53">_xlfn.IFS(DV$1= 0,"", NOT(ISBLANK(CN53)), 0, ISBLANK(CN53), $Q53-$S53+AZ53-BW53-DE53)</f>
        <v>0</v>
      </c>
      <c r="DW53" s="192" cm="1">
        <f t="array" ref="DW53">_xlfn.IFS(DW$1= 0,"", NOT(ISBLANK(CO53)), 0, ISBLANK(CO53), $Q53-$S53+BA53-BX53-DF53)</f>
        <v>0</v>
      </c>
      <c r="DX53" s="192" cm="1">
        <f t="array" ref="DX53">_xlfn.IFS(DX$1= 0,"", NOT(ISBLANK(CP53)), 0, ISBLANK(CP53), $Q53-$S53+BB53-BY53-DG53)</f>
        <v>0</v>
      </c>
      <c r="DY53" s="192" cm="1">
        <f t="array" ref="DY53">_xlfn.IFS(DY$1= 0,"", NOT(ISBLANK(CQ53)), 0, ISBLANK(CQ53), $Q53-$S53+BC53-BZ53-DH53)</f>
        <v>0</v>
      </c>
      <c r="DZ53" s="192" cm="1">
        <f t="array" ref="DZ53">_xlfn.IFS(DZ$1= 0,"", NOT(ISBLANK(CR53)), 0, ISBLANK(CR53), $Q53-$S53+BD53-CA53-DI53)</f>
        <v>0</v>
      </c>
      <c r="EA53" s="192" cm="1">
        <f t="array" ref="EA53">_xlfn.IFS(EA$1= 0,"", NOT(ISBLANK(CS53)), 0, ISBLANK(CS53), $Q53-$S53+BE53-CB53-DJ53)</f>
        <v>0</v>
      </c>
      <c r="EB53" s="192" t="str" cm="1">
        <f t="array" ref="EB53">_xlfn.IFS(EB$1= 0,"", NOT(ISBLANK(CT53)), 0, ISBLANK(CT53), $Q53-$S53+BF53-CC53-DK53)</f>
        <v/>
      </c>
      <c r="EC53" s="192" t="str" cm="1">
        <f t="array" ref="EC53">_xlfn.IFS(EC$1= 0,"", NOT(ISBLANK(CU53)), 0, ISBLANK(CU53), $Q53-$S53+BG53-CD53-DL53)</f>
        <v/>
      </c>
      <c r="ED53" s="192" t="str" cm="1">
        <f t="array" ref="ED53">_xlfn.IFS(ED$1= 0,"", NOT(ISBLANK(CV53)), 0, ISBLANK(CV53), $Q53-$S53+BH53-CE53-DM53)</f>
        <v/>
      </c>
      <c r="EE53" s="192" t="str" cm="1">
        <f t="array" ref="EE53">_xlfn.IFS(EE$1= 0,"", NOT(ISBLANK(CW53)), 0, ISBLANK(CW53), $Q53-$S53+BI53-CF53-DN53)</f>
        <v/>
      </c>
      <c r="EF53" s="192" t="str" cm="1">
        <f t="array" ref="EF53">_xlfn.IFS(EF$1= 0,"", NOT(ISBLANK(CX53)), 0, ISBLANK(CX53), $Q53-$S53+BJ53-CG53-DO53)</f>
        <v/>
      </c>
      <c r="EG53" s="192" t="str" cm="1">
        <f t="array" ref="EG53">_xlfn.IFS(EG$1= 0,"", NOT(ISBLANK(CY53)), 0, ISBLANK(CY53), $Q53-$S53+BK53-CH53-DP53)</f>
        <v/>
      </c>
      <c r="EH53" s="192" t="str" cm="1">
        <f t="array" ref="EH53">_xlfn.IFS(EH$1= 0,"", NOT(ISBLANK(CZ53)), 0, ISBLANK(CZ53), $Q53-$S53+BL53-CI53-DQ53)</f>
        <v/>
      </c>
      <c r="EI53" s="193" t="str" cm="1">
        <f t="array" ref="EI53">_xlfn.IFS(EI$1= 0,"", NOT(ISBLANK(DA53)), 0, ISBLANK(DA53), $Q53-$S53+BM53-CJ53-DR53)</f>
        <v/>
      </c>
    </row>
    <row r="54" spans="1:139" ht="16.5" customHeight="1" x14ac:dyDescent="0.3">
      <c r="A54" s="183"/>
      <c r="B54" s="134"/>
      <c r="C54" s="134"/>
      <c r="D54" s="135"/>
      <c r="E54" s="166"/>
      <c r="F54" s="174"/>
      <c r="G54" s="3"/>
      <c r="H54" s="3"/>
      <c r="I54" s="3"/>
      <c r="J54" s="3"/>
      <c r="K54" s="3"/>
      <c r="L54" s="3"/>
      <c r="M54" s="178"/>
      <c r="N54" s="174"/>
      <c r="O54" s="175"/>
      <c r="P54" s="169"/>
      <c r="Q54" s="122">
        <f t="shared" si="18"/>
        <v>0</v>
      </c>
      <c r="R54" s="2"/>
      <c r="S54" s="2"/>
      <c r="T54" s="3"/>
      <c r="U54" s="3"/>
      <c r="V54" s="104">
        <f t="shared" si="34"/>
        <v>0</v>
      </c>
      <c r="W54" s="149"/>
      <c r="X54" s="136"/>
      <c r="AH54" s="185" t="str" cm="1">
        <f t="array" ref="AH54">IF(OR(AH$1=0, $A54="", _xlfn.XLOOKUP(AH$1, $Z$2:$Z$18, $AD$2:$AD$18, "")=""),"",SQRT((_xlfn.XLOOKUP(AH$1,$Z$2:$Z$18,$AA$2:$AA$18)-$T54)^2+(_xlfn.XLOOKUP(AH$1,$Z$2:$Z$18,$AB$2:$AB$18)-$U54)^2+(_xlfn.XLOOKUP(AH$1,$Z$2:$Z$18,$AC$2:$AC$18-$V54)^2)))</f>
        <v/>
      </c>
      <c r="AI54" s="124" t="str" cm="1">
        <f t="array" ref="AI54">IF(OR(AI$1=0, $A54="", _xlfn.XLOOKUP(AI$1, $Z$2:$Z$18, $AD$2:$AD$18, "")=""),"",SQRT((_xlfn.XLOOKUP(AI$1,$Z$2:$Z$18,$AA$2:$AA$18)-$T54)^2+(_xlfn.XLOOKUP(AI$1,$Z$2:$Z$18,$AB$2:$AB$18)-$U54)^2+(_xlfn.XLOOKUP(AI$1,$Z$2:$Z$18,$AC$2:$AC$18-$V54)^2)))</f>
        <v/>
      </c>
      <c r="AJ54" s="124" t="str" cm="1">
        <f t="array" ref="AJ54">IF(OR(AJ$1=0, $A54="", _xlfn.XLOOKUP(AJ$1, $Z$2:$Z$18, $AD$2:$AD$18, "")=""),"",SQRT((_xlfn.XLOOKUP(AJ$1,$Z$2:$Z$18,$AA$2:$AA$18)-$T54)^2+(_xlfn.XLOOKUP(AJ$1,$Z$2:$Z$18,$AB$2:$AB$18)-$U54)^2+(_xlfn.XLOOKUP(AJ$1,$Z$2:$Z$18,$AC$2:$AC$18-$V54)^2)))</f>
        <v/>
      </c>
      <c r="AK54" s="124" t="str" cm="1">
        <f t="array" ref="AK54">IF(OR(AK$1=0, $A54="", _xlfn.XLOOKUP(AK$1, $Z$2:$Z$18, $AD$2:$AD$18, "")=""),"",SQRT((_xlfn.XLOOKUP(AK$1,$Z$2:$Z$18,$AA$2:$AA$18)-$T54)^2+(_xlfn.XLOOKUP(AK$1,$Z$2:$Z$18,$AB$2:$AB$18)-$U54)^2+(_xlfn.XLOOKUP(AK$1,$Z$2:$Z$18,$AC$2:$AC$18-$V54)^2)))</f>
        <v/>
      </c>
      <c r="AL54" s="124" t="str" cm="1">
        <f t="array" ref="AL54">IF(OR(AL$1=0, $A54="", _xlfn.XLOOKUP(AL$1, $Z$2:$Z$18, $AD$2:$AD$18, "")=""),"",SQRT((_xlfn.XLOOKUP(AL$1,$Z$2:$Z$18,$AA$2:$AA$18)-$T54)^2+(_xlfn.XLOOKUP(AL$1,$Z$2:$Z$18,$AB$2:$AB$18)-$U54)^2+(_xlfn.XLOOKUP(AL$1,$Z$2:$Z$18,$AC$2:$AC$18-$V54)^2)))</f>
        <v/>
      </c>
      <c r="AM54" s="124" t="str" cm="1">
        <f t="array" ref="AM54">IF(OR(AM$1=0, $A54="", _xlfn.XLOOKUP(AM$1, $Z$2:$Z$18, $AD$2:$AD$18, "")=""),"",SQRT((_xlfn.XLOOKUP(AM$1,$Z$2:$Z$18,$AA$2:$AA$18)-$T54)^2+(_xlfn.XLOOKUP(AM$1,$Z$2:$Z$18,$AB$2:$AB$18)-$U54)^2+(_xlfn.XLOOKUP(AM$1,$Z$2:$Z$18,$AC$2:$AC$18-$V54)^2)))</f>
        <v/>
      </c>
      <c r="AN54" s="124" t="str" cm="1">
        <f t="array" ref="AN54">IF(OR(AN$1=0, $A54="", _xlfn.XLOOKUP(AN$1, $Z$2:$Z$18, $AD$2:$AD$18, "")=""),"",SQRT((_xlfn.XLOOKUP(AN$1,$Z$2:$Z$18,$AA$2:$AA$18)-$T54)^2+(_xlfn.XLOOKUP(AN$1,$Z$2:$Z$18,$AB$2:$AB$18)-$U54)^2+(_xlfn.XLOOKUP(AN$1,$Z$2:$Z$18,$AC$2:$AC$18-$V54)^2)))</f>
        <v/>
      </c>
      <c r="AO54" s="124" t="str" cm="1">
        <f t="array" ref="AO54">IF(OR(AO$1=0, $A54="", _xlfn.XLOOKUP(AO$1, $Z$2:$Z$18, $AD$2:$AD$18, "")=""),"",SQRT((_xlfn.XLOOKUP(AO$1,$Z$2:$Z$18,$AA$2:$AA$18)-$T54)^2+(_xlfn.XLOOKUP(AO$1,$Z$2:$Z$18,$AB$2:$AB$18)-$U54)^2+(_xlfn.XLOOKUP(AO$1,$Z$2:$Z$18,$AC$2:$AC$18-$V54)^2)))</f>
        <v/>
      </c>
      <c r="AP54" s="125" t="str" cm="1">
        <f t="array" ref="AP54">IF(OR(AP$1=0, $A54="", _xlfn.XLOOKUP(AP$1, $Z$2:$Z$18, $AD$2:$AD$18, "")=""),"",SQRT((_xlfn.XLOOKUP(AP$1,$Z$2:$Z$18,$AA$2:$AA$18)-$T54)^2+(_xlfn.XLOOKUP(AP$1,$Z$2:$Z$18,$AB$2:$AB$18)-$U54)^2+(_xlfn.XLOOKUP(AP$1,$Z$2:$Z$18,$AC$2:$AC$18-$V54)^2)))</f>
        <v/>
      </c>
      <c r="AQ54" s="125" t="str" cm="1">
        <f t="array" ref="AQ54">IF(OR(AQ$1=0, $A54="", _xlfn.XLOOKUP(AQ$1, $Z$2:$Z$18, $AD$2:$AD$18, "")=""),"",SQRT((_xlfn.XLOOKUP(AQ$1,$Z$2:$Z$18,$AA$2:$AA$18)-$T54)^2+(_xlfn.XLOOKUP(AQ$1,$Z$2:$Z$18,$AB$2:$AB$18)-$U54)^2+(_xlfn.XLOOKUP(AQ$1,$Z$2:$Z$18,$AC$2:$AC$18-$V54)^2)))</f>
        <v/>
      </c>
      <c r="AR54" s="125" t="str" cm="1">
        <f t="array" ref="AR54">IF(OR(AR$1=0, $A54="", _xlfn.XLOOKUP(AR$1, $Z$2:$Z$18, $AD$2:$AD$18, "")=""),"",SQRT((_xlfn.XLOOKUP(AR$1,$Z$2:$Z$18,$AA$2:$AA$18)-$T54)^2+(_xlfn.XLOOKUP(AR$1,$Z$2:$Z$18,$AB$2:$AB$18)-$U54)^2+(_xlfn.XLOOKUP(AR$1,$Z$2:$Z$18,$AC$2:$AC$18-$V54)^2)))</f>
        <v/>
      </c>
      <c r="AS54" s="125" t="str" cm="1">
        <f t="array" ref="AS54">IF(OR(AS$1=0, $A54="", _xlfn.XLOOKUP(AS$1, $Z$2:$Z$18, $AD$2:$AD$18, "")=""),"",SQRT((_xlfn.XLOOKUP(AS$1,$Z$2:$Z$18,$AA$2:$AA$18)-$T54)^2+(_xlfn.XLOOKUP(AS$1,$Z$2:$Z$18,$AB$2:$AB$18)-$U54)^2+(_xlfn.XLOOKUP(AS$1,$Z$2:$Z$18,$AC$2:$AC$18-$V54)^2)))</f>
        <v/>
      </c>
      <c r="AT54" s="125" t="str" cm="1">
        <f t="array" ref="AT54">IF(OR(AT$1=0, $A54="", _xlfn.XLOOKUP(AT$1, $Z$2:$Z$18, $AD$2:$AD$18, "")=""),"",SQRT((_xlfn.XLOOKUP(AT$1,$Z$2:$Z$18,$AA$2:$AA$18)-$T54)^2+(_xlfn.XLOOKUP(AT$1,$Z$2:$Z$18,$AB$2:$AB$18)-$U54)^2+(_xlfn.XLOOKUP(AT$1,$Z$2:$Z$18,$AC$2:$AC$18-$V54)^2)))</f>
        <v/>
      </c>
      <c r="AU54" s="125" t="str" cm="1">
        <f t="array" ref="AU54">IF(OR(AU$1=0, $A54="", _xlfn.XLOOKUP(AU$1, $Z$2:$Z$18, $AD$2:$AD$18, "")=""),"",SQRT((_xlfn.XLOOKUP(AU$1,$Z$2:$Z$18,$AA$2:$AA$18)-$T54)^2+(_xlfn.XLOOKUP(AU$1,$Z$2:$Z$18,$AB$2:$AB$18)-$U54)^2+(_xlfn.XLOOKUP(AU$1,$Z$2:$Z$18,$AC$2:$AC$18-$V54)^2)))</f>
        <v/>
      </c>
      <c r="AV54" s="126" t="str" cm="1">
        <f t="array" ref="AV54">IF(OR(AV$1=0, $A54="", _xlfn.XLOOKUP(AV$1, $Z$2:$Z$18, $AD$2:$AD$18, "")=""),"",SQRT((_xlfn.XLOOKUP(AV$1,$Z$2:$Z$18,$AA$2:$AA$18)-$T54)^2+(_xlfn.XLOOKUP(AV$1,$Z$2:$Z$18,$AB$2:$AB$18)-$U54)^2+(_xlfn.XLOOKUP(AV$1,$Z$2:$Z$18,$AC$2:$AC$18-$V54)^2)))</f>
        <v/>
      </c>
      <c r="AW54" s="127"/>
      <c r="AX54" s="127"/>
      <c r="AY54" s="128">
        <f t="shared" si="19"/>
        <v>0</v>
      </c>
      <c r="AZ54" s="137">
        <f t="shared" si="20"/>
        <v>0</v>
      </c>
      <c r="BA54" s="137">
        <f t="shared" si="21"/>
        <v>0</v>
      </c>
      <c r="BB54" s="137">
        <f t="shared" si="22"/>
        <v>0</v>
      </c>
      <c r="BC54" s="137">
        <f t="shared" si="23"/>
        <v>0</v>
      </c>
      <c r="BD54" s="137">
        <f t="shared" si="24"/>
        <v>0</v>
      </c>
      <c r="BE54" s="137">
        <f t="shared" si="25"/>
        <v>0</v>
      </c>
      <c r="BF54" s="137">
        <f t="shared" si="26"/>
        <v>0</v>
      </c>
      <c r="BG54" s="138">
        <f t="shared" si="27"/>
        <v>0</v>
      </c>
      <c r="BH54" s="138">
        <f t="shared" si="28"/>
        <v>0</v>
      </c>
      <c r="BI54" s="138">
        <f t="shared" si="29"/>
        <v>0</v>
      </c>
      <c r="BJ54" s="138">
        <f t="shared" si="30"/>
        <v>0</v>
      </c>
      <c r="BK54" s="138">
        <f t="shared" si="31"/>
        <v>0</v>
      </c>
      <c r="BL54" s="138">
        <f t="shared" si="32"/>
        <v>0</v>
      </c>
      <c r="BM54" s="139">
        <f t="shared" si="33"/>
        <v>0</v>
      </c>
      <c r="BN54" s="127"/>
      <c r="BO54" s="127"/>
      <c r="BP54" s="127"/>
      <c r="BQ54" s="127"/>
      <c r="BR54" s="127"/>
      <c r="BS54" s="127"/>
      <c r="BT54" s="127"/>
      <c r="BU54" s="127"/>
      <c r="BV54" s="133"/>
      <c r="BW54" s="133"/>
      <c r="BX54" s="133"/>
      <c r="BY54" s="133"/>
      <c r="BZ54" s="133"/>
      <c r="CA54" s="133"/>
      <c r="CB54" s="133"/>
      <c r="CC54" s="133"/>
      <c r="CD54" s="133"/>
      <c r="CE54" s="133"/>
      <c r="CF54" s="133"/>
      <c r="CG54" s="133"/>
      <c r="CH54" s="133"/>
      <c r="CI54" s="133"/>
      <c r="CJ54" s="133"/>
      <c r="CL54" s="127"/>
      <c r="CM54" s="133" t="s">
        <v>32</v>
      </c>
      <c r="CN54" s="133"/>
      <c r="CO54" s="133"/>
      <c r="CP54" s="133"/>
      <c r="CQ54" s="133"/>
      <c r="CR54" s="133"/>
      <c r="CS54" s="133"/>
      <c r="CT54" s="133"/>
      <c r="CU54" s="133"/>
      <c r="CV54" s="133"/>
      <c r="CW54" s="133"/>
      <c r="CX54" s="133"/>
      <c r="CY54" s="133"/>
      <c r="CZ54" s="133"/>
      <c r="DA54" s="133"/>
      <c r="DB54" s="127"/>
      <c r="DC54" s="127"/>
      <c r="DD54" s="133"/>
      <c r="DE54" s="133"/>
      <c r="DF54" s="133"/>
      <c r="DG54" s="133"/>
      <c r="DH54" s="133"/>
      <c r="DI54" s="133"/>
      <c r="DJ54" s="133"/>
      <c r="DK54" s="133"/>
      <c r="DL54" s="133"/>
      <c r="DM54" s="133"/>
      <c r="DN54" s="133"/>
      <c r="DO54" s="133"/>
      <c r="DP54" s="133"/>
      <c r="DQ54" s="133"/>
      <c r="DR54" s="133"/>
      <c r="DT54" s="127"/>
      <c r="DU54" s="191" cm="1">
        <f t="array" ref="DU54">_xlfn.IFS(DU$1= 0,"", NOT(ISBLANK(CM54)), 0, ISBLANK(CM54), $Q54-$S54+AY54-BV54-DD54)</f>
        <v>0</v>
      </c>
      <c r="DV54" s="192" cm="1">
        <f t="array" ref="DV54">_xlfn.IFS(DV$1= 0,"", NOT(ISBLANK(CN54)), 0, ISBLANK(CN54), $Q54-$S54+AZ54-BW54-DE54)</f>
        <v>0</v>
      </c>
      <c r="DW54" s="192" cm="1">
        <f t="array" ref="DW54">_xlfn.IFS(DW$1= 0,"", NOT(ISBLANK(CO54)), 0, ISBLANK(CO54), $Q54-$S54+BA54-BX54-DF54)</f>
        <v>0</v>
      </c>
      <c r="DX54" s="192" cm="1">
        <f t="array" ref="DX54">_xlfn.IFS(DX$1= 0,"", NOT(ISBLANK(CP54)), 0, ISBLANK(CP54), $Q54-$S54+BB54-BY54-DG54)</f>
        <v>0</v>
      </c>
      <c r="DY54" s="192" cm="1">
        <f t="array" ref="DY54">_xlfn.IFS(DY$1= 0,"", NOT(ISBLANK(CQ54)), 0, ISBLANK(CQ54), $Q54-$S54+BC54-BZ54-DH54)</f>
        <v>0</v>
      </c>
      <c r="DZ54" s="192" cm="1">
        <f t="array" ref="DZ54">_xlfn.IFS(DZ$1= 0,"", NOT(ISBLANK(CR54)), 0, ISBLANK(CR54), $Q54-$S54+BD54-CA54-DI54)</f>
        <v>0</v>
      </c>
      <c r="EA54" s="192" cm="1">
        <f t="array" ref="EA54">_xlfn.IFS(EA$1= 0,"", NOT(ISBLANK(CS54)), 0, ISBLANK(CS54), $Q54-$S54+BE54-CB54-DJ54)</f>
        <v>0</v>
      </c>
      <c r="EB54" s="192" t="str" cm="1">
        <f t="array" ref="EB54">_xlfn.IFS(EB$1= 0,"", NOT(ISBLANK(CT54)), 0, ISBLANK(CT54), $Q54-$S54+BF54-CC54-DK54)</f>
        <v/>
      </c>
      <c r="EC54" s="192" t="str" cm="1">
        <f t="array" ref="EC54">_xlfn.IFS(EC$1= 0,"", NOT(ISBLANK(CU54)), 0, ISBLANK(CU54), $Q54-$S54+BG54-CD54-DL54)</f>
        <v/>
      </c>
      <c r="ED54" s="192" t="str" cm="1">
        <f t="array" ref="ED54">_xlfn.IFS(ED$1= 0,"", NOT(ISBLANK(CV54)), 0, ISBLANK(CV54), $Q54-$S54+BH54-CE54-DM54)</f>
        <v/>
      </c>
      <c r="EE54" s="192" t="str" cm="1">
        <f t="array" ref="EE54">_xlfn.IFS(EE$1= 0,"", NOT(ISBLANK(CW54)), 0, ISBLANK(CW54), $Q54-$S54+BI54-CF54-DN54)</f>
        <v/>
      </c>
      <c r="EF54" s="192" t="str" cm="1">
        <f t="array" ref="EF54">_xlfn.IFS(EF$1= 0,"", NOT(ISBLANK(CX54)), 0, ISBLANK(CX54), $Q54-$S54+BJ54-CG54-DO54)</f>
        <v/>
      </c>
      <c r="EG54" s="192" t="str" cm="1">
        <f t="array" ref="EG54">_xlfn.IFS(EG$1= 0,"", NOT(ISBLANK(CY54)), 0, ISBLANK(CY54), $Q54-$S54+BK54-CH54-DP54)</f>
        <v/>
      </c>
      <c r="EH54" s="192" t="str" cm="1">
        <f t="array" ref="EH54">_xlfn.IFS(EH$1= 0,"", NOT(ISBLANK(CZ54)), 0, ISBLANK(CZ54), $Q54-$S54+BL54-CI54-DQ54)</f>
        <v/>
      </c>
      <c r="EI54" s="193" t="str" cm="1">
        <f t="array" ref="EI54">_xlfn.IFS(EI$1= 0,"", NOT(ISBLANK(DA54)), 0, ISBLANK(DA54), $Q54-$S54+BM54-CJ54-DR54)</f>
        <v/>
      </c>
    </row>
    <row r="55" spans="1:139" ht="16.5" customHeight="1" x14ac:dyDescent="0.3">
      <c r="A55" s="183"/>
      <c r="B55" s="134"/>
      <c r="C55" s="134"/>
      <c r="D55" s="135"/>
      <c r="E55" s="166"/>
      <c r="F55" s="174"/>
      <c r="G55" s="3"/>
      <c r="H55" s="3"/>
      <c r="I55" s="3"/>
      <c r="J55" s="3"/>
      <c r="K55" s="3"/>
      <c r="L55" s="3"/>
      <c r="M55" s="178"/>
      <c r="N55" s="174"/>
      <c r="O55" s="175"/>
      <c r="P55" s="169"/>
      <c r="Q55" s="122">
        <f t="shared" si="18"/>
        <v>0</v>
      </c>
      <c r="R55" s="2"/>
      <c r="S55" s="2"/>
      <c r="T55" s="3"/>
      <c r="U55" s="3"/>
      <c r="V55" s="104">
        <f t="shared" si="34"/>
        <v>0</v>
      </c>
      <c r="W55" s="149"/>
      <c r="X55" s="136"/>
      <c r="AH55" s="185" t="str" cm="1">
        <f t="array" ref="AH55">IF(OR(AH$1=0, $A55="", _xlfn.XLOOKUP(AH$1, $Z$2:$Z$18, $AD$2:$AD$18, "")=""),"",SQRT((_xlfn.XLOOKUP(AH$1,$Z$2:$Z$18,$AA$2:$AA$18)-$T55)^2+(_xlfn.XLOOKUP(AH$1,$Z$2:$Z$18,$AB$2:$AB$18)-$U55)^2+(_xlfn.XLOOKUP(AH$1,$Z$2:$Z$18,$AC$2:$AC$18-$V55)^2)))</f>
        <v/>
      </c>
      <c r="AI55" s="124" t="str" cm="1">
        <f t="array" ref="AI55">IF(OR(AI$1=0, $A55="", _xlfn.XLOOKUP(AI$1, $Z$2:$Z$18, $AD$2:$AD$18, "")=""),"",SQRT((_xlfn.XLOOKUP(AI$1,$Z$2:$Z$18,$AA$2:$AA$18)-$T55)^2+(_xlfn.XLOOKUP(AI$1,$Z$2:$Z$18,$AB$2:$AB$18)-$U55)^2+(_xlfn.XLOOKUP(AI$1,$Z$2:$Z$18,$AC$2:$AC$18-$V55)^2)))</f>
        <v/>
      </c>
      <c r="AJ55" s="124" t="str" cm="1">
        <f t="array" ref="AJ55">IF(OR(AJ$1=0, $A55="", _xlfn.XLOOKUP(AJ$1, $Z$2:$Z$18, $AD$2:$AD$18, "")=""),"",SQRT((_xlfn.XLOOKUP(AJ$1,$Z$2:$Z$18,$AA$2:$AA$18)-$T55)^2+(_xlfn.XLOOKUP(AJ$1,$Z$2:$Z$18,$AB$2:$AB$18)-$U55)^2+(_xlfn.XLOOKUP(AJ$1,$Z$2:$Z$18,$AC$2:$AC$18-$V55)^2)))</f>
        <v/>
      </c>
      <c r="AK55" s="124" t="str" cm="1">
        <f t="array" ref="AK55">IF(OR(AK$1=0, $A55="", _xlfn.XLOOKUP(AK$1, $Z$2:$Z$18, $AD$2:$AD$18, "")=""),"",SQRT((_xlfn.XLOOKUP(AK$1,$Z$2:$Z$18,$AA$2:$AA$18)-$T55)^2+(_xlfn.XLOOKUP(AK$1,$Z$2:$Z$18,$AB$2:$AB$18)-$U55)^2+(_xlfn.XLOOKUP(AK$1,$Z$2:$Z$18,$AC$2:$AC$18-$V55)^2)))</f>
        <v/>
      </c>
      <c r="AL55" s="124" t="str" cm="1">
        <f t="array" ref="AL55">IF(OR(AL$1=0, $A55="", _xlfn.XLOOKUP(AL$1, $Z$2:$Z$18, $AD$2:$AD$18, "")=""),"",SQRT((_xlfn.XLOOKUP(AL$1,$Z$2:$Z$18,$AA$2:$AA$18)-$T55)^2+(_xlfn.XLOOKUP(AL$1,$Z$2:$Z$18,$AB$2:$AB$18)-$U55)^2+(_xlfn.XLOOKUP(AL$1,$Z$2:$Z$18,$AC$2:$AC$18-$V55)^2)))</f>
        <v/>
      </c>
      <c r="AM55" s="124" t="str" cm="1">
        <f t="array" ref="AM55">IF(OR(AM$1=0, $A55="", _xlfn.XLOOKUP(AM$1, $Z$2:$Z$18, $AD$2:$AD$18, "")=""),"",SQRT((_xlfn.XLOOKUP(AM$1,$Z$2:$Z$18,$AA$2:$AA$18)-$T55)^2+(_xlfn.XLOOKUP(AM$1,$Z$2:$Z$18,$AB$2:$AB$18)-$U55)^2+(_xlfn.XLOOKUP(AM$1,$Z$2:$Z$18,$AC$2:$AC$18-$V55)^2)))</f>
        <v/>
      </c>
      <c r="AN55" s="124" t="str" cm="1">
        <f t="array" ref="AN55">IF(OR(AN$1=0, $A55="", _xlfn.XLOOKUP(AN$1, $Z$2:$Z$18, $AD$2:$AD$18, "")=""),"",SQRT((_xlfn.XLOOKUP(AN$1,$Z$2:$Z$18,$AA$2:$AA$18)-$T55)^2+(_xlfn.XLOOKUP(AN$1,$Z$2:$Z$18,$AB$2:$AB$18)-$U55)^2+(_xlfn.XLOOKUP(AN$1,$Z$2:$Z$18,$AC$2:$AC$18-$V55)^2)))</f>
        <v/>
      </c>
      <c r="AO55" s="124" t="str" cm="1">
        <f t="array" ref="AO55">IF(OR(AO$1=0, $A55="", _xlfn.XLOOKUP(AO$1, $Z$2:$Z$18, $AD$2:$AD$18, "")=""),"",SQRT((_xlfn.XLOOKUP(AO$1,$Z$2:$Z$18,$AA$2:$AA$18)-$T55)^2+(_xlfn.XLOOKUP(AO$1,$Z$2:$Z$18,$AB$2:$AB$18)-$U55)^2+(_xlfn.XLOOKUP(AO$1,$Z$2:$Z$18,$AC$2:$AC$18-$V55)^2)))</f>
        <v/>
      </c>
      <c r="AP55" s="125" t="str" cm="1">
        <f t="array" ref="AP55">IF(OR(AP$1=0, $A55="", _xlfn.XLOOKUP(AP$1, $Z$2:$Z$18, $AD$2:$AD$18, "")=""),"",SQRT((_xlfn.XLOOKUP(AP$1,$Z$2:$Z$18,$AA$2:$AA$18)-$T55)^2+(_xlfn.XLOOKUP(AP$1,$Z$2:$Z$18,$AB$2:$AB$18)-$U55)^2+(_xlfn.XLOOKUP(AP$1,$Z$2:$Z$18,$AC$2:$AC$18-$V55)^2)))</f>
        <v/>
      </c>
      <c r="AQ55" s="125" t="str" cm="1">
        <f t="array" ref="AQ55">IF(OR(AQ$1=0, $A55="", _xlfn.XLOOKUP(AQ$1, $Z$2:$Z$18, $AD$2:$AD$18, "")=""),"",SQRT((_xlfn.XLOOKUP(AQ$1,$Z$2:$Z$18,$AA$2:$AA$18)-$T55)^2+(_xlfn.XLOOKUP(AQ$1,$Z$2:$Z$18,$AB$2:$AB$18)-$U55)^2+(_xlfn.XLOOKUP(AQ$1,$Z$2:$Z$18,$AC$2:$AC$18-$V55)^2)))</f>
        <v/>
      </c>
      <c r="AR55" s="125" t="str" cm="1">
        <f t="array" ref="AR55">IF(OR(AR$1=0, $A55="", _xlfn.XLOOKUP(AR$1, $Z$2:$Z$18, $AD$2:$AD$18, "")=""),"",SQRT((_xlfn.XLOOKUP(AR$1,$Z$2:$Z$18,$AA$2:$AA$18)-$T55)^2+(_xlfn.XLOOKUP(AR$1,$Z$2:$Z$18,$AB$2:$AB$18)-$U55)^2+(_xlfn.XLOOKUP(AR$1,$Z$2:$Z$18,$AC$2:$AC$18-$V55)^2)))</f>
        <v/>
      </c>
      <c r="AS55" s="125" t="str" cm="1">
        <f t="array" ref="AS55">IF(OR(AS$1=0, $A55="", _xlfn.XLOOKUP(AS$1, $Z$2:$Z$18, $AD$2:$AD$18, "")=""),"",SQRT((_xlfn.XLOOKUP(AS$1,$Z$2:$Z$18,$AA$2:$AA$18)-$T55)^2+(_xlfn.XLOOKUP(AS$1,$Z$2:$Z$18,$AB$2:$AB$18)-$U55)^2+(_xlfn.XLOOKUP(AS$1,$Z$2:$Z$18,$AC$2:$AC$18-$V55)^2)))</f>
        <v/>
      </c>
      <c r="AT55" s="125" t="str" cm="1">
        <f t="array" ref="AT55">IF(OR(AT$1=0, $A55="", _xlfn.XLOOKUP(AT$1, $Z$2:$Z$18, $AD$2:$AD$18, "")=""),"",SQRT((_xlfn.XLOOKUP(AT$1,$Z$2:$Z$18,$AA$2:$AA$18)-$T55)^2+(_xlfn.XLOOKUP(AT$1,$Z$2:$Z$18,$AB$2:$AB$18)-$U55)^2+(_xlfn.XLOOKUP(AT$1,$Z$2:$Z$18,$AC$2:$AC$18-$V55)^2)))</f>
        <v/>
      </c>
      <c r="AU55" s="125" t="str" cm="1">
        <f t="array" ref="AU55">IF(OR(AU$1=0, $A55="", _xlfn.XLOOKUP(AU$1, $Z$2:$Z$18, $AD$2:$AD$18, "")=""),"",SQRT((_xlfn.XLOOKUP(AU$1,$Z$2:$Z$18,$AA$2:$AA$18)-$T55)^2+(_xlfn.XLOOKUP(AU$1,$Z$2:$Z$18,$AB$2:$AB$18)-$U55)^2+(_xlfn.XLOOKUP(AU$1,$Z$2:$Z$18,$AC$2:$AC$18-$V55)^2)))</f>
        <v/>
      </c>
      <c r="AV55" s="126" t="str" cm="1">
        <f t="array" ref="AV55">IF(OR(AV$1=0, $A55="", _xlfn.XLOOKUP(AV$1, $Z$2:$Z$18, $AD$2:$AD$18, "")=""),"",SQRT((_xlfn.XLOOKUP(AV$1,$Z$2:$Z$18,$AA$2:$AA$18)-$T55)^2+(_xlfn.XLOOKUP(AV$1,$Z$2:$Z$18,$AB$2:$AB$18)-$U55)^2+(_xlfn.XLOOKUP(AV$1,$Z$2:$Z$18,$AC$2:$AC$18-$V55)^2)))</f>
        <v/>
      </c>
      <c r="AW55" s="127"/>
      <c r="AX55" s="127"/>
      <c r="AY55" s="128">
        <f t="shared" si="19"/>
        <v>0</v>
      </c>
      <c r="AZ55" s="137">
        <f t="shared" si="20"/>
        <v>0</v>
      </c>
      <c r="BA55" s="137">
        <f t="shared" si="21"/>
        <v>0</v>
      </c>
      <c r="BB55" s="137">
        <f t="shared" si="22"/>
        <v>0</v>
      </c>
      <c r="BC55" s="137">
        <f t="shared" si="23"/>
        <v>0</v>
      </c>
      <c r="BD55" s="137">
        <f t="shared" si="24"/>
        <v>0</v>
      </c>
      <c r="BE55" s="137">
        <f t="shared" si="25"/>
        <v>0</v>
      </c>
      <c r="BF55" s="137">
        <f t="shared" si="26"/>
        <v>0</v>
      </c>
      <c r="BG55" s="138">
        <f t="shared" si="27"/>
        <v>0</v>
      </c>
      <c r="BH55" s="138">
        <f t="shared" si="28"/>
        <v>0</v>
      </c>
      <c r="BI55" s="138">
        <f t="shared" si="29"/>
        <v>0</v>
      </c>
      <c r="BJ55" s="138">
        <f t="shared" si="30"/>
        <v>0</v>
      </c>
      <c r="BK55" s="138">
        <f t="shared" si="31"/>
        <v>0</v>
      </c>
      <c r="BL55" s="138">
        <f t="shared" si="32"/>
        <v>0</v>
      </c>
      <c r="BM55" s="139">
        <f t="shared" si="33"/>
        <v>0</v>
      </c>
      <c r="BN55" s="127"/>
      <c r="BO55" s="127"/>
      <c r="BP55" s="127"/>
      <c r="BQ55" s="127"/>
      <c r="BR55" s="127"/>
      <c r="BS55" s="127"/>
      <c r="BT55" s="127"/>
      <c r="BU55" s="127"/>
      <c r="BV55" s="133"/>
      <c r="BW55" s="133"/>
      <c r="BX55" s="133"/>
      <c r="BY55" s="133"/>
      <c r="BZ55" s="133"/>
      <c r="CA55" s="133"/>
      <c r="CB55" s="133"/>
      <c r="CC55" s="133"/>
      <c r="CD55" s="133"/>
      <c r="CE55" s="133"/>
      <c r="CF55" s="133"/>
      <c r="CG55" s="133"/>
      <c r="CH55" s="133"/>
      <c r="CI55" s="133"/>
      <c r="CJ55" s="133"/>
      <c r="CL55" s="127"/>
      <c r="CM55" s="133" t="s">
        <v>32</v>
      </c>
      <c r="CN55" s="133"/>
      <c r="CO55" s="133"/>
      <c r="CP55" s="133"/>
      <c r="CQ55" s="133"/>
      <c r="CR55" s="133"/>
      <c r="CS55" s="133"/>
      <c r="CT55" s="133"/>
      <c r="CU55" s="133"/>
      <c r="CV55" s="133"/>
      <c r="CW55" s="133"/>
      <c r="CX55" s="133"/>
      <c r="CY55" s="133"/>
      <c r="CZ55" s="133"/>
      <c r="DA55" s="133"/>
      <c r="DB55" s="127"/>
      <c r="DC55" s="127"/>
      <c r="DD55" s="133"/>
      <c r="DE55" s="133"/>
      <c r="DF55" s="133"/>
      <c r="DG55" s="133"/>
      <c r="DH55" s="133"/>
      <c r="DI55" s="133"/>
      <c r="DJ55" s="133"/>
      <c r="DK55" s="133"/>
      <c r="DL55" s="133"/>
      <c r="DM55" s="133"/>
      <c r="DN55" s="133"/>
      <c r="DO55" s="133"/>
      <c r="DP55" s="133"/>
      <c r="DQ55" s="133"/>
      <c r="DR55" s="133"/>
      <c r="DT55" s="127"/>
      <c r="DU55" s="191" cm="1">
        <f t="array" ref="DU55">_xlfn.IFS(DU$1= 0,"", NOT(ISBLANK(CM55)), 0, ISBLANK(CM55), $Q55-$S55+AY55-BV55-DD55)</f>
        <v>0</v>
      </c>
      <c r="DV55" s="192" cm="1">
        <f t="array" ref="DV55">_xlfn.IFS(DV$1= 0,"", NOT(ISBLANK(CN55)), 0, ISBLANK(CN55), $Q55-$S55+AZ55-BW55-DE55)</f>
        <v>0</v>
      </c>
      <c r="DW55" s="192" cm="1">
        <f t="array" ref="DW55">_xlfn.IFS(DW$1= 0,"", NOT(ISBLANK(CO55)), 0, ISBLANK(CO55), $Q55-$S55+BA55-BX55-DF55)</f>
        <v>0</v>
      </c>
      <c r="DX55" s="192" cm="1">
        <f t="array" ref="DX55">_xlfn.IFS(DX$1= 0,"", NOT(ISBLANK(CP55)), 0, ISBLANK(CP55), $Q55-$S55+BB55-BY55-DG55)</f>
        <v>0</v>
      </c>
      <c r="DY55" s="192" cm="1">
        <f t="array" ref="DY55">_xlfn.IFS(DY$1= 0,"", NOT(ISBLANK(CQ55)), 0, ISBLANK(CQ55), $Q55-$S55+BC55-BZ55-DH55)</f>
        <v>0</v>
      </c>
      <c r="DZ55" s="192" cm="1">
        <f t="array" ref="DZ55">_xlfn.IFS(DZ$1= 0,"", NOT(ISBLANK(CR55)), 0, ISBLANK(CR55), $Q55-$S55+BD55-CA55-DI55)</f>
        <v>0</v>
      </c>
      <c r="EA55" s="192" cm="1">
        <f t="array" ref="EA55">_xlfn.IFS(EA$1= 0,"", NOT(ISBLANK(CS55)), 0, ISBLANK(CS55), $Q55-$S55+BE55-CB55-DJ55)</f>
        <v>0</v>
      </c>
      <c r="EB55" s="192" t="str" cm="1">
        <f t="array" ref="EB55">_xlfn.IFS(EB$1= 0,"", NOT(ISBLANK(CT55)), 0, ISBLANK(CT55), $Q55-$S55+BF55-CC55-DK55)</f>
        <v/>
      </c>
      <c r="EC55" s="192" t="str" cm="1">
        <f t="array" ref="EC55">_xlfn.IFS(EC$1= 0,"", NOT(ISBLANK(CU55)), 0, ISBLANK(CU55), $Q55-$S55+BG55-CD55-DL55)</f>
        <v/>
      </c>
      <c r="ED55" s="192" t="str" cm="1">
        <f t="array" ref="ED55">_xlfn.IFS(ED$1= 0,"", NOT(ISBLANK(CV55)), 0, ISBLANK(CV55), $Q55-$S55+BH55-CE55-DM55)</f>
        <v/>
      </c>
      <c r="EE55" s="192" t="str" cm="1">
        <f t="array" ref="EE55">_xlfn.IFS(EE$1= 0,"", NOT(ISBLANK(CW55)), 0, ISBLANK(CW55), $Q55-$S55+BI55-CF55-DN55)</f>
        <v/>
      </c>
      <c r="EF55" s="192" t="str" cm="1">
        <f t="array" ref="EF55">_xlfn.IFS(EF$1= 0,"", NOT(ISBLANK(CX55)), 0, ISBLANK(CX55), $Q55-$S55+BJ55-CG55-DO55)</f>
        <v/>
      </c>
      <c r="EG55" s="192" t="str" cm="1">
        <f t="array" ref="EG55">_xlfn.IFS(EG$1= 0,"", NOT(ISBLANK(CY55)), 0, ISBLANK(CY55), $Q55-$S55+BK55-CH55-DP55)</f>
        <v/>
      </c>
      <c r="EH55" s="192" t="str" cm="1">
        <f t="array" ref="EH55">_xlfn.IFS(EH$1= 0,"", NOT(ISBLANK(CZ55)), 0, ISBLANK(CZ55), $Q55-$S55+BL55-CI55-DQ55)</f>
        <v/>
      </c>
      <c r="EI55" s="193" t="str" cm="1">
        <f t="array" ref="EI55">_xlfn.IFS(EI$1= 0,"", NOT(ISBLANK(DA55)), 0, ISBLANK(DA55), $Q55-$S55+BM55-CJ55-DR55)</f>
        <v/>
      </c>
    </row>
    <row r="56" spans="1:139" ht="16.5" customHeight="1" x14ac:dyDescent="0.3">
      <c r="A56" s="183"/>
      <c r="B56" s="134"/>
      <c r="C56" s="134"/>
      <c r="D56" s="135"/>
      <c r="E56" s="166"/>
      <c r="F56" s="174"/>
      <c r="G56" s="3"/>
      <c r="H56" s="3"/>
      <c r="I56" s="3"/>
      <c r="J56" s="3"/>
      <c r="K56" s="3"/>
      <c r="L56" s="3"/>
      <c r="M56" s="178"/>
      <c r="N56" s="174"/>
      <c r="O56" s="175"/>
      <c r="P56" s="169"/>
      <c r="Q56" s="122">
        <f t="shared" si="18"/>
        <v>0</v>
      </c>
      <c r="R56" s="2"/>
      <c r="S56" s="2"/>
      <c r="T56" s="3"/>
      <c r="U56" s="3"/>
      <c r="V56" s="104">
        <f t="shared" si="34"/>
        <v>0</v>
      </c>
      <c r="W56" s="149"/>
      <c r="X56" s="136"/>
      <c r="AH56" s="185" t="str" cm="1">
        <f t="array" ref="AH56">IF(OR(AH$1=0, $A56="", _xlfn.XLOOKUP(AH$1, $Z$2:$Z$18, $AD$2:$AD$18, "")=""),"",SQRT((_xlfn.XLOOKUP(AH$1,$Z$2:$Z$18,$AA$2:$AA$18)-$T56)^2+(_xlfn.XLOOKUP(AH$1,$Z$2:$Z$18,$AB$2:$AB$18)-$U56)^2+(_xlfn.XLOOKUP(AH$1,$Z$2:$Z$18,$AC$2:$AC$18-$V56)^2)))</f>
        <v/>
      </c>
      <c r="AI56" s="124" t="str" cm="1">
        <f t="array" ref="AI56">IF(OR(AI$1=0, $A56="", _xlfn.XLOOKUP(AI$1, $Z$2:$Z$18, $AD$2:$AD$18, "")=""),"",SQRT((_xlfn.XLOOKUP(AI$1,$Z$2:$Z$18,$AA$2:$AA$18)-$T56)^2+(_xlfn.XLOOKUP(AI$1,$Z$2:$Z$18,$AB$2:$AB$18)-$U56)^2+(_xlfn.XLOOKUP(AI$1,$Z$2:$Z$18,$AC$2:$AC$18-$V56)^2)))</f>
        <v/>
      </c>
      <c r="AJ56" s="124" t="str" cm="1">
        <f t="array" ref="AJ56">IF(OR(AJ$1=0, $A56="", _xlfn.XLOOKUP(AJ$1, $Z$2:$Z$18, $AD$2:$AD$18, "")=""),"",SQRT((_xlfn.XLOOKUP(AJ$1,$Z$2:$Z$18,$AA$2:$AA$18)-$T56)^2+(_xlfn.XLOOKUP(AJ$1,$Z$2:$Z$18,$AB$2:$AB$18)-$U56)^2+(_xlfn.XLOOKUP(AJ$1,$Z$2:$Z$18,$AC$2:$AC$18-$V56)^2)))</f>
        <v/>
      </c>
      <c r="AK56" s="124" t="str" cm="1">
        <f t="array" ref="AK56">IF(OR(AK$1=0, $A56="", _xlfn.XLOOKUP(AK$1, $Z$2:$Z$18, $AD$2:$AD$18, "")=""),"",SQRT((_xlfn.XLOOKUP(AK$1,$Z$2:$Z$18,$AA$2:$AA$18)-$T56)^2+(_xlfn.XLOOKUP(AK$1,$Z$2:$Z$18,$AB$2:$AB$18)-$U56)^2+(_xlfn.XLOOKUP(AK$1,$Z$2:$Z$18,$AC$2:$AC$18-$V56)^2)))</f>
        <v/>
      </c>
      <c r="AL56" s="124" t="str" cm="1">
        <f t="array" ref="AL56">IF(OR(AL$1=0, $A56="", _xlfn.XLOOKUP(AL$1, $Z$2:$Z$18, $AD$2:$AD$18, "")=""),"",SQRT((_xlfn.XLOOKUP(AL$1,$Z$2:$Z$18,$AA$2:$AA$18)-$T56)^2+(_xlfn.XLOOKUP(AL$1,$Z$2:$Z$18,$AB$2:$AB$18)-$U56)^2+(_xlfn.XLOOKUP(AL$1,$Z$2:$Z$18,$AC$2:$AC$18-$V56)^2)))</f>
        <v/>
      </c>
      <c r="AM56" s="124" t="str" cm="1">
        <f t="array" ref="AM56">IF(OR(AM$1=0, $A56="", _xlfn.XLOOKUP(AM$1, $Z$2:$Z$18, $AD$2:$AD$18, "")=""),"",SQRT((_xlfn.XLOOKUP(AM$1,$Z$2:$Z$18,$AA$2:$AA$18)-$T56)^2+(_xlfn.XLOOKUP(AM$1,$Z$2:$Z$18,$AB$2:$AB$18)-$U56)^2+(_xlfn.XLOOKUP(AM$1,$Z$2:$Z$18,$AC$2:$AC$18-$V56)^2)))</f>
        <v/>
      </c>
      <c r="AN56" s="124" t="str" cm="1">
        <f t="array" ref="AN56">IF(OR(AN$1=0, $A56="", _xlfn.XLOOKUP(AN$1, $Z$2:$Z$18, $AD$2:$AD$18, "")=""),"",SQRT((_xlfn.XLOOKUP(AN$1,$Z$2:$Z$18,$AA$2:$AA$18)-$T56)^2+(_xlfn.XLOOKUP(AN$1,$Z$2:$Z$18,$AB$2:$AB$18)-$U56)^2+(_xlfn.XLOOKUP(AN$1,$Z$2:$Z$18,$AC$2:$AC$18-$V56)^2)))</f>
        <v/>
      </c>
      <c r="AO56" s="124" t="str" cm="1">
        <f t="array" ref="AO56">IF(OR(AO$1=0, $A56="", _xlfn.XLOOKUP(AO$1, $Z$2:$Z$18, $AD$2:$AD$18, "")=""),"",SQRT((_xlfn.XLOOKUP(AO$1,$Z$2:$Z$18,$AA$2:$AA$18)-$T56)^2+(_xlfn.XLOOKUP(AO$1,$Z$2:$Z$18,$AB$2:$AB$18)-$U56)^2+(_xlfn.XLOOKUP(AO$1,$Z$2:$Z$18,$AC$2:$AC$18-$V56)^2)))</f>
        <v/>
      </c>
      <c r="AP56" s="125" t="str" cm="1">
        <f t="array" ref="AP56">IF(OR(AP$1=0, $A56="", _xlfn.XLOOKUP(AP$1, $Z$2:$Z$18, $AD$2:$AD$18, "")=""),"",SQRT((_xlfn.XLOOKUP(AP$1,$Z$2:$Z$18,$AA$2:$AA$18)-$T56)^2+(_xlfn.XLOOKUP(AP$1,$Z$2:$Z$18,$AB$2:$AB$18)-$U56)^2+(_xlfn.XLOOKUP(AP$1,$Z$2:$Z$18,$AC$2:$AC$18-$V56)^2)))</f>
        <v/>
      </c>
      <c r="AQ56" s="125" t="str" cm="1">
        <f t="array" ref="AQ56">IF(OR(AQ$1=0, $A56="", _xlfn.XLOOKUP(AQ$1, $Z$2:$Z$18, $AD$2:$AD$18, "")=""),"",SQRT((_xlfn.XLOOKUP(AQ$1,$Z$2:$Z$18,$AA$2:$AA$18)-$T56)^2+(_xlfn.XLOOKUP(AQ$1,$Z$2:$Z$18,$AB$2:$AB$18)-$U56)^2+(_xlfn.XLOOKUP(AQ$1,$Z$2:$Z$18,$AC$2:$AC$18-$V56)^2)))</f>
        <v/>
      </c>
      <c r="AR56" s="125" t="str" cm="1">
        <f t="array" ref="AR56">IF(OR(AR$1=0, $A56="", _xlfn.XLOOKUP(AR$1, $Z$2:$Z$18, $AD$2:$AD$18, "")=""),"",SQRT((_xlfn.XLOOKUP(AR$1,$Z$2:$Z$18,$AA$2:$AA$18)-$T56)^2+(_xlfn.XLOOKUP(AR$1,$Z$2:$Z$18,$AB$2:$AB$18)-$U56)^2+(_xlfn.XLOOKUP(AR$1,$Z$2:$Z$18,$AC$2:$AC$18-$V56)^2)))</f>
        <v/>
      </c>
      <c r="AS56" s="125" t="str" cm="1">
        <f t="array" ref="AS56">IF(OR(AS$1=0, $A56="", _xlfn.XLOOKUP(AS$1, $Z$2:$Z$18, $AD$2:$AD$18, "")=""),"",SQRT((_xlfn.XLOOKUP(AS$1,$Z$2:$Z$18,$AA$2:$AA$18)-$T56)^2+(_xlfn.XLOOKUP(AS$1,$Z$2:$Z$18,$AB$2:$AB$18)-$U56)^2+(_xlfn.XLOOKUP(AS$1,$Z$2:$Z$18,$AC$2:$AC$18-$V56)^2)))</f>
        <v/>
      </c>
      <c r="AT56" s="125" t="str" cm="1">
        <f t="array" ref="AT56">IF(OR(AT$1=0, $A56="", _xlfn.XLOOKUP(AT$1, $Z$2:$Z$18, $AD$2:$AD$18, "")=""),"",SQRT((_xlfn.XLOOKUP(AT$1,$Z$2:$Z$18,$AA$2:$AA$18)-$T56)^2+(_xlfn.XLOOKUP(AT$1,$Z$2:$Z$18,$AB$2:$AB$18)-$U56)^2+(_xlfn.XLOOKUP(AT$1,$Z$2:$Z$18,$AC$2:$AC$18-$V56)^2)))</f>
        <v/>
      </c>
      <c r="AU56" s="125" t="str" cm="1">
        <f t="array" ref="AU56">IF(OR(AU$1=0, $A56="", _xlfn.XLOOKUP(AU$1, $Z$2:$Z$18, $AD$2:$AD$18, "")=""),"",SQRT((_xlfn.XLOOKUP(AU$1,$Z$2:$Z$18,$AA$2:$AA$18)-$T56)^2+(_xlfn.XLOOKUP(AU$1,$Z$2:$Z$18,$AB$2:$AB$18)-$U56)^2+(_xlfn.XLOOKUP(AU$1,$Z$2:$Z$18,$AC$2:$AC$18-$V56)^2)))</f>
        <v/>
      </c>
      <c r="AV56" s="126" t="str" cm="1">
        <f t="array" ref="AV56">IF(OR(AV$1=0, $A56="", _xlfn.XLOOKUP(AV$1, $Z$2:$Z$18, $AD$2:$AD$18, "")=""),"",SQRT((_xlfn.XLOOKUP(AV$1,$Z$2:$Z$18,$AA$2:$AA$18)-$T56)^2+(_xlfn.XLOOKUP(AV$1,$Z$2:$Z$18,$AB$2:$AB$18)-$U56)^2+(_xlfn.XLOOKUP(AV$1,$Z$2:$Z$18,$AC$2:$AC$18-$V56)^2)))</f>
        <v/>
      </c>
      <c r="AW56" s="127"/>
      <c r="AX56" s="127"/>
      <c r="AY56" s="128">
        <f t="shared" si="19"/>
        <v>0</v>
      </c>
      <c r="AZ56" s="137">
        <f t="shared" si="20"/>
        <v>0</v>
      </c>
      <c r="BA56" s="137">
        <f t="shared" si="21"/>
        <v>0</v>
      </c>
      <c r="BB56" s="137">
        <f t="shared" si="22"/>
        <v>0</v>
      </c>
      <c r="BC56" s="137">
        <f t="shared" si="23"/>
        <v>0</v>
      </c>
      <c r="BD56" s="137">
        <f t="shared" si="24"/>
        <v>0</v>
      </c>
      <c r="BE56" s="137">
        <f t="shared" si="25"/>
        <v>0</v>
      </c>
      <c r="BF56" s="137">
        <f t="shared" si="26"/>
        <v>0</v>
      </c>
      <c r="BG56" s="138">
        <f t="shared" si="27"/>
        <v>0</v>
      </c>
      <c r="BH56" s="138">
        <f t="shared" si="28"/>
        <v>0</v>
      </c>
      <c r="BI56" s="138">
        <f t="shared" si="29"/>
        <v>0</v>
      </c>
      <c r="BJ56" s="138">
        <f t="shared" si="30"/>
        <v>0</v>
      </c>
      <c r="BK56" s="138">
        <f t="shared" si="31"/>
        <v>0</v>
      </c>
      <c r="BL56" s="138">
        <f t="shared" si="32"/>
        <v>0</v>
      </c>
      <c r="BM56" s="139">
        <f t="shared" si="33"/>
        <v>0</v>
      </c>
      <c r="BN56" s="127"/>
      <c r="BO56" s="127"/>
      <c r="BP56" s="127"/>
      <c r="BQ56" s="127"/>
      <c r="BR56" s="127"/>
      <c r="BS56" s="127"/>
      <c r="BT56" s="127"/>
      <c r="BU56" s="127"/>
      <c r="BV56" s="133"/>
      <c r="BW56" s="133"/>
      <c r="BX56" s="133"/>
      <c r="BY56" s="133"/>
      <c r="BZ56" s="133"/>
      <c r="CA56" s="133"/>
      <c r="CB56" s="133"/>
      <c r="CC56" s="133"/>
      <c r="CD56" s="133"/>
      <c r="CE56" s="133"/>
      <c r="CF56" s="133"/>
      <c r="CG56" s="133"/>
      <c r="CH56" s="133"/>
      <c r="CI56" s="133"/>
      <c r="CJ56" s="133"/>
      <c r="CL56" s="127"/>
      <c r="CM56" s="133" t="s">
        <v>32</v>
      </c>
      <c r="CN56" s="133"/>
      <c r="CO56" s="133"/>
      <c r="CP56" s="133"/>
      <c r="CQ56" s="133"/>
      <c r="CR56" s="133"/>
      <c r="CS56" s="133"/>
      <c r="CT56" s="133"/>
      <c r="CU56" s="133"/>
      <c r="CV56" s="133"/>
      <c r="CW56" s="133"/>
      <c r="CX56" s="133"/>
      <c r="CY56" s="133"/>
      <c r="CZ56" s="133"/>
      <c r="DA56" s="133"/>
      <c r="DB56" s="127"/>
      <c r="DC56" s="127"/>
      <c r="DD56" s="133"/>
      <c r="DE56" s="133"/>
      <c r="DF56" s="133"/>
      <c r="DG56" s="133"/>
      <c r="DH56" s="133"/>
      <c r="DI56" s="133"/>
      <c r="DJ56" s="133"/>
      <c r="DK56" s="133"/>
      <c r="DL56" s="133"/>
      <c r="DM56" s="133"/>
      <c r="DN56" s="133"/>
      <c r="DO56" s="133"/>
      <c r="DP56" s="133"/>
      <c r="DQ56" s="133"/>
      <c r="DR56" s="133"/>
      <c r="DT56" s="127"/>
      <c r="DU56" s="191" cm="1">
        <f t="array" ref="DU56">_xlfn.IFS(DU$1= 0,"", NOT(ISBLANK(CM56)), 0, ISBLANK(CM56), $Q56-$S56+AY56-BV56-DD56)</f>
        <v>0</v>
      </c>
      <c r="DV56" s="192" cm="1">
        <f t="array" ref="DV56">_xlfn.IFS(DV$1= 0,"", NOT(ISBLANK(CN56)), 0, ISBLANK(CN56), $Q56-$S56+AZ56-BW56-DE56)</f>
        <v>0</v>
      </c>
      <c r="DW56" s="192" cm="1">
        <f t="array" ref="DW56">_xlfn.IFS(DW$1= 0,"", NOT(ISBLANK(CO56)), 0, ISBLANK(CO56), $Q56-$S56+BA56-BX56-DF56)</f>
        <v>0</v>
      </c>
      <c r="DX56" s="192" cm="1">
        <f t="array" ref="DX56">_xlfn.IFS(DX$1= 0,"", NOT(ISBLANK(CP56)), 0, ISBLANK(CP56), $Q56-$S56+BB56-BY56-DG56)</f>
        <v>0</v>
      </c>
      <c r="DY56" s="192" cm="1">
        <f t="array" ref="DY56">_xlfn.IFS(DY$1= 0,"", NOT(ISBLANK(CQ56)), 0, ISBLANK(CQ56), $Q56-$S56+BC56-BZ56-DH56)</f>
        <v>0</v>
      </c>
      <c r="DZ56" s="192" cm="1">
        <f t="array" ref="DZ56">_xlfn.IFS(DZ$1= 0,"", NOT(ISBLANK(CR56)), 0, ISBLANK(CR56), $Q56-$S56+BD56-CA56-DI56)</f>
        <v>0</v>
      </c>
      <c r="EA56" s="192" cm="1">
        <f t="array" ref="EA56">_xlfn.IFS(EA$1= 0,"", NOT(ISBLANK(CS56)), 0, ISBLANK(CS56), $Q56-$S56+BE56-CB56-DJ56)</f>
        <v>0</v>
      </c>
      <c r="EB56" s="192" t="str" cm="1">
        <f t="array" ref="EB56">_xlfn.IFS(EB$1= 0,"", NOT(ISBLANK(CT56)), 0, ISBLANK(CT56), $Q56-$S56+BF56-CC56-DK56)</f>
        <v/>
      </c>
      <c r="EC56" s="192" t="str" cm="1">
        <f t="array" ref="EC56">_xlfn.IFS(EC$1= 0,"", NOT(ISBLANK(CU56)), 0, ISBLANK(CU56), $Q56-$S56+BG56-CD56-DL56)</f>
        <v/>
      </c>
      <c r="ED56" s="192" t="str" cm="1">
        <f t="array" ref="ED56">_xlfn.IFS(ED$1= 0,"", NOT(ISBLANK(CV56)), 0, ISBLANK(CV56), $Q56-$S56+BH56-CE56-DM56)</f>
        <v/>
      </c>
      <c r="EE56" s="192" t="str" cm="1">
        <f t="array" ref="EE56">_xlfn.IFS(EE$1= 0,"", NOT(ISBLANK(CW56)), 0, ISBLANK(CW56), $Q56-$S56+BI56-CF56-DN56)</f>
        <v/>
      </c>
      <c r="EF56" s="192" t="str" cm="1">
        <f t="array" ref="EF56">_xlfn.IFS(EF$1= 0,"", NOT(ISBLANK(CX56)), 0, ISBLANK(CX56), $Q56-$S56+BJ56-CG56-DO56)</f>
        <v/>
      </c>
      <c r="EG56" s="192" t="str" cm="1">
        <f t="array" ref="EG56">_xlfn.IFS(EG$1= 0,"", NOT(ISBLANK(CY56)), 0, ISBLANK(CY56), $Q56-$S56+BK56-CH56-DP56)</f>
        <v/>
      </c>
      <c r="EH56" s="192" t="str" cm="1">
        <f t="array" ref="EH56">_xlfn.IFS(EH$1= 0,"", NOT(ISBLANK(CZ56)), 0, ISBLANK(CZ56), $Q56-$S56+BL56-CI56-DQ56)</f>
        <v/>
      </c>
      <c r="EI56" s="193" t="str" cm="1">
        <f t="array" ref="EI56">_xlfn.IFS(EI$1= 0,"", NOT(ISBLANK(DA56)), 0, ISBLANK(DA56), $Q56-$S56+BM56-CJ56-DR56)</f>
        <v/>
      </c>
    </row>
    <row r="57" spans="1:139" ht="16.5" customHeight="1" x14ac:dyDescent="0.3">
      <c r="A57" s="183"/>
      <c r="B57" s="134"/>
      <c r="C57" s="134"/>
      <c r="D57" s="135"/>
      <c r="E57" s="166"/>
      <c r="F57" s="174"/>
      <c r="G57" s="3"/>
      <c r="H57" s="3"/>
      <c r="I57" s="3"/>
      <c r="J57" s="3"/>
      <c r="K57" s="3"/>
      <c r="L57" s="3"/>
      <c r="M57" s="178"/>
      <c r="N57" s="174"/>
      <c r="O57" s="175"/>
      <c r="P57" s="169"/>
      <c r="Q57" s="122">
        <f t="shared" si="18"/>
        <v>0</v>
      </c>
      <c r="R57" s="2"/>
      <c r="S57" s="2"/>
      <c r="T57" s="3"/>
      <c r="U57" s="3"/>
      <c r="V57" s="104">
        <f t="shared" si="34"/>
        <v>0</v>
      </c>
      <c r="W57" s="149"/>
      <c r="X57" s="136"/>
      <c r="AH57" s="185" t="str" cm="1">
        <f t="array" ref="AH57">IF(OR(AH$1=0, $A57="", _xlfn.XLOOKUP(AH$1, $Z$2:$Z$18, $AD$2:$AD$18, "")=""),"",SQRT((_xlfn.XLOOKUP(AH$1,$Z$2:$Z$18,$AA$2:$AA$18)-$T57)^2+(_xlfn.XLOOKUP(AH$1,$Z$2:$Z$18,$AB$2:$AB$18)-$U57)^2+(_xlfn.XLOOKUP(AH$1,$Z$2:$Z$18,$AC$2:$AC$18-$V57)^2)))</f>
        <v/>
      </c>
      <c r="AI57" s="124" t="str" cm="1">
        <f t="array" ref="AI57">IF(OR(AI$1=0, $A57="", _xlfn.XLOOKUP(AI$1, $Z$2:$Z$18, $AD$2:$AD$18, "")=""),"",SQRT((_xlfn.XLOOKUP(AI$1,$Z$2:$Z$18,$AA$2:$AA$18)-$T57)^2+(_xlfn.XLOOKUP(AI$1,$Z$2:$Z$18,$AB$2:$AB$18)-$U57)^2+(_xlfn.XLOOKUP(AI$1,$Z$2:$Z$18,$AC$2:$AC$18-$V57)^2)))</f>
        <v/>
      </c>
      <c r="AJ57" s="124" t="str" cm="1">
        <f t="array" ref="AJ57">IF(OR(AJ$1=0, $A57="", _xlfn.XLOOKUP(AJ$1, $Z$2:$Z$18, $AD$2:$AD$18, "")=""),"",SQRT((_xlfn.XLOOKUP(AJ$1,$Z$2:$Z$18,$AA$2:$AA$18)-$T57)^2+(_xlfn.XLOOKUP(AJ$1,$Z$2:$Z$18,$AB$2:$AB$18)-$U57)^2+(_xlfn.XLOOKUP(AJ$1,$Z$2:$Z$18,$AC$2:$AC$18-$V57)^2)))</f>
        <v/>
      </c>
      <c r="AK57" s="124" t="str" cm="1">
        <f t="array" ref="AK57">IF(OR(AK$1=0, $A57="", _xlfn.XLOOKUP(AK$1, $Z$2:$Z$18, $AD$2:$AD$18, "")=""),"",SQRT((_xlfn.XLOOKUP(AK$1,$Z$2:$Z$18,$AA$2:$AA$18)-$T57)^2+(_xlfn.XLOOKUP(AK$1,$Z$2:$Z$18,$AB$2:$AB$18)-$U57)^2+(_xlfn.XLOOKUP(AK$1,$Z$2:$Z$18,$AC$2:$AC$18-$V57)^2)))</f>
        <v/>
      </c>
      <c r="AL57" s="124" t="str" cm="1">
        <f t="array" ref="AL57">IF(OR(AL$1=0, $A57="", _xlfn.XLOOKUP(AL$1, $Z$2:$Z$18, $AD$2:$AD$18, "")=""),"",SQRT((_xlfn.XLOOKUP(AL$1,$Z$2:$Z$18,$AA$2:$AA$18)-$T57)^2+(_xlfn.XLOOKUP(AL$1,$Z$2:$Z$18,$AB$2:$AB$18)-$U57)^2+(_xlfn.XLOOKUP(AL$1,$Z$2:$Z$18,$AC$2:$AC$18-$V57)^2)))</f>
        <v/>
      </c>
      <c r="AM57" s="124" t="str" cm="1">
        <f t="array" ref="AM57">IF(OR(AM$1=0, $A57="", _xlfn.XLOOKUP(AM$1, $Z$2:$Z$18, $AD$2:$AD$18, "")=""),"",SQRT((_xlfn.XLOOKUP(AM$1,$Z$2:$Z$18,$AA$2:$AA$18)-$T57)^2+(_xlfn.XLOOKUP(AM$1,$Z$2:$Z$18,$AB$2:$AB$18)-$U57)^2+(_xlfn.XLOOKUP(AM$1,$Z$2:$Z$18,$AC$2:$AC$18-$V57)^2)))</f>
        <v/>
      </c>
      <c r="AN57" s="124" t="str" cm="1">
        <f t="array" ref="AN57">IF(OR(AN$1=0, $A57="", _xlfn.XLOOKUP(AN$1, $Z$2:$Z$18, $AD$2:$AD$18, "")=""),"",SQRT((_xlfn.XLOOKUP(AN$1,$Z$2:$Z$18,$AA$2:$AA$18)-$T57)^2+(_xlfn.XLOOKUP(AN$1,$Z$2:$Z$18,$AB$2:$AB$18)-$U57)^2+(_xlfn.XLOOKUP(AN$1,$Z$2:$Z$18,$AC$2:$AC$18-$V57)^2)))</f>
        <v/>
      </c>
      <c r="AO57" s="124" t="str" cm="1">
        <f t="array" ref="AO57">IF(OR(AO$1=0, $A57="", _xlfn.XLOOKUP(AO$1, $Z$2:$Z$18, $AD$2:$AD$18, "")=""),"",SQRT((_xlfn.XLOOKUP(AO$1,$Z$2:$Z$18,$AA$2:$AA$18)-$T57)^2+(_xlfn.XLOOKUP(AO$1,$Z$2:$Z$18,$AB$2:$AB$18)-$U57)^2+(_xlfn.XLOOKUP(AO$1,$Z$2:$Z$18,$AC$2:$AC$18-$V57)^2)))</f>
        <v/>
      </c>
      <c r="AP57" s="125" t="str" cm="1">
        <f t="array" ref="AP57">IF(OR(AP$1=0, $A57="", _xlfn.XLOOKUP(AP$1, $Z$2:$Z$18, $AD$2:$AD$18, "")=""),"",SQRT((_xlfn.XLOOKUP(AP$1,$Z$2:$Z$18,$AA$2:$AA$18)-$T57)^2+(_xlfn.XLOOKUP(AP$1,$Z$2:$Z$18,$AB$2:$AB$18)-$U57)^2+(_xlfn.XLOOKUP(AP$1,$Z$2:$Z$18,$AC$2:$AC$18-$V57)^2)))</f>
        <v/>
      </c>
      <c r="AQ57" s="125" t="str" cm="1">
        <f t="array" ref="AQ57">IF(OR(AQ$1=0, $A57="", _xlfn.XLOOKUP(AQ$1, $Z$2:$Z$18, $AD$2:$AD$18, "")=""),"",SQRT((_xlfn.XLOOKUP(AQ$1,$Z$2:$Z$18,$AA$2:$AA$18)-$T57)^2+(_xlfn.XLOOKUP(AQ$1,$Z$2:$Z$18,$AB$2:$AB$18)-$U57)^2+(_xlfn.XLOOKUP(AQ$1,$Z$2:$Z$18,$AC$2:$AC$18-$V57)^2)))</f>
        <v/>
      </c>
      <c r="AR57" s="125" t="str" cm="1">
        <f t="array" ref="AR57">IF(OR(AR$1=0, $A57="", _xlfn.XLOOKUP(AR$1, $Z$2:$Z$18, $AD$2:$AD$18, "")=""),"",SQRT((_xlfn.XLOOKUP(AR$1,$Z$2:$Z$18,$AA$2:$AA$18)-$T57)^2+(_xlfn.XLOOKUP(AR$1,$Z$2:$Z$18,$AB$2:$AB$18)-$U57)^2+(_xlfn.XLOOKUP(AR$1,$Z$2:$Z$18,$AC$2:$AC$18-$V57)^2)))</f>
        <v/>
      </c>
      <c r="AS57" s="125" t="str" cm="1">
        <f t="array" ref="AS57">IF(OR(AS$1=0, $A57="", _xlfn.XLOOKUP(AS$1, $Z$2:$Z$18, $AD$2:$AD$18, "")=""),"",SQRT((_xlfn.XLOOKUP(AS$1,$Z$2:$Z$18,$AA$2:$AA$18)-$T57)^2+(_xlfn.XLOOKUP(AS$1,$Z$2:$Z$18,$AB$2:$AB$18)-$U57)^2+(_xlfn.XLOOKUP(AS$1,$Z$2:$Z$18,$AC$2:$AC$18-$V57)^2)))</f>
        <v/>
      </c>
      <c r="AT57" s="125" t="str" cm="1">
        <f t="array" ref="AT57">IF(OR(AT$1=0, $A57="", _xlfn.XLOOKUP(AT$1, $Z$2:$Z$18, $AD$2:$AD$18, "")=""),"",SQRT((_xlfn.XLOOKUP(AT$1,$Z$2:$Z$18,$AA$2:$AA$18)-$T57)^2+(_xlfn.XLOOKUP(AT$1,$Z$2:$Z$18,$AB$2:$AB$18)-$U57)^2+(_xlfn.XLOOKUP(AT$1,$Z$2:$Z$18,$AC$2:$AC$18-$V57)^2)))</f>
        <v/>
      </c>
      <c r="AU57" s="125" t="str" cm="1">
        <f t="array" ref="AU57">IF(OR(AU$1=0, $A57="", _xlfn.XLOOKUP(AU$1, $Z$2:$Z$18, $AD$2:$AD$18, "")=""),"",SQRT((_xlfn.XLOOKUP(AU$1,$Z$2:$Z$18,$AA$2:$AA$18)-$T57)^2+(_xlfn.XLOOKUP(AU$1,$Z$2:$Z$18,$AB$2:$AB$18)-$U57)^2+(_xlfn.XLOOKUP(AU$1,$Z$2:$Z$18,$AC$2:$AC$18-$V57)^2)))</f>
        <v/>
      </c>
      <c r="AV57" s="126" t="str" cm="1">
        <f t="array" ref="AV57">IF(OR(AV$1=0, $A57="", _xlfn.XLOOKUP(AV$1, $Z$2:$Z$18, $AD$2:$AD$18, "")=""),"",SQRT((_xlfn.XLOOKUP(AV$1,$Z$2:$Z$18,$AA$2:$AA$18)-$T57)^2+(_xlfn.XLOOKUP(AV$1,$Z$2:$Z$18,$AB$2:$AB$18)-$U57)^2+(_xlfn.XLOOKUP(AV$1,$Z$2:$Z$18,$AC$2:$AC$18-$V57)^2)))</f>
        <v/>
      </c>
      <c r="AW57" s="127"/>
      <c r="AX57" s="127"/>
      <c r="AY57" s="128">
        <f t="shared" si="19"/>
        <v>0</v>
      </c>
      <c r="AZ57" s="137">
        <f t="shared" si="20"/>
        <v>0</v>
      </c>
      <c r="BA57" s="137">
        <f t="shared" si="21"/>
        <v>0</v>
      </c>
      <c r="BB57" s="137">
        <f t="shared" si="22"/>
        <v>0</v>
      </c>
      <c r="BC57" s="137">
        <f t="shared" si="23"/>
        <v>0</v>
      </c>
      <c r="BD57" s="137">
        <f t="shared" si="24"/>
        <v>0</v>
      </c>
      <c r="BE57" s="137">
        <f t="shared" si="25"/>
        <v>0</v>
      </c>
      <c r="BF57" s="137">
        <f t="shared" si="26"/>
        <v>0</v>
      </c>
      <c r="BG57" s="138">
        <f t="shared" si="27"/>
        <v>0</v>
      </c>
      <c r="BH57" s="138">
        <f t="shared" si="28"/>
        <v>0</v>
      </c>
      <c r="BI57" s="138">
        <f t="shared" si="29"/>
        <v>0</v>
      </c>
      <c r="BJ57" s="138">
        <f t="shared" si="30"/>
        <v>0</v>
      </c>
      <c r="BK57" s="138">
        <f t="shared" si="31"/>
        <v>0</v>
      </c>
      <c r="BL57" s="138">
        <f t="shared" si="32"/>
        <v>0</v>
      </c>
      <c r="BM57" s="139">
        <f t="shared" si="33"/>
        <v>0</v>
      </c>
      <c r="BN57" s="127"/>
      <c r="BO57" s="127"/>
      <c r="BP57" s="127"/>
      <c r="BQ57" s="127"/>
      <c r="BR57" s="127"/>
      <c r="BS57" s="127"/>
      <c r="BT57" s="127"/>
      <c r="BU57" s="127"/>
      <c r="BV57" s="133"/>
      <c r="BW57" s="133"/>
      <c r="BX57" s="133"/>
      <c r="BY57" s="133"/>
      <c r="BZ57" s="133"/>
      <c r="CA57" s="133"/>
      <c r="CB57" s="133"/>
      <c r="CC57" s="133"/>
      <c r="CD57" s="133"/>
      <c r="CE57" s="133"/>
      <c r="CF57" s="133"/>
      <c r="CG57" s="133"/>
      <c r="CH57" s="133"/>
      <c r="CI57" s="133"/>
      <c r="CJ57" s="133"/>
      <c r="CL57" s="127"/>
      <c r="CM57" s="133" t="s">
        <v>32</v>
      </c>
      <c r="CN57" s="133"/>
      <c r="CO57" s="133"/>
      <c r="CP57" s="133"/>
      <c r="CQ57" s="133"/>
      <c r="CR57" s="133"/>
      <c r="CS57" s="133"/>
      <c r="CT57" s="133"/>
      <c r="CU57" s="133"/>
      <c r="CV57" s="133"/>
      <c r="CW57" s="133"/>
      <c r="CX57" s="133"/>
      <c r="CY57" s="133"/>
      <c r="CZ57" s="133"/>
      <c r="DA57" s="133"/>
      <c r="DB57" s="127"/>
      <c r="DC57" s="127"/>
      <c r="DD57" s="133"/>
      <c r="DE57" s="133"/>
      <c r="DF57" s="133"/>
      <c r="DG57" s="133"/>
      <c r="DH57" s="133"/>
      <c r="DI57" s="133"/>
      <c r="DJ57" s="133"/>
      <c r="DK57" s="133"/>
      <c r="DL57" s="133"/>
      <c r="DM57" s="133"/>
      <c r="DN57" s="133"/>
      <c r="DO57" s="133"/>
      <c r="DP57" s="133"/>
      <c r="DQ57" s="133"/>
      <c r="DR57" s="133"/>
      <c r="DT57" s="127"/>
      <c r="DU57" s="191" cm="1">
        <f t="array" ref="DU57">_xlfn.IFS(DU$1= 0,"", NOT(ISBLANK(CM57)), 0, ISBLANK(CM57), $Q57-$S57+AY57-BV57-DD57)</f>
        <v>0</v>
      </c>
      <c r="DV57" s="192" cm="1">
        <f t="array" ref="DV57">_xlfn.IFS(DV$1= 0,"", NOT(ISBLANK(CN57)), 0, ISBLANK(CN57), $Q57-$S57+AZ57-BW57-DE57)</f>
        <v>0</v>
      </c>
      <c r="DW57" s="192" cm="1">
        <f t="array" ref="DW57">_xlfn.IFS(DW$1= 0,"", NOT(ISBLANK(CO57)), 0, ISBLANK(CO57), $Q57-$S57+BA57-BX57-DF57)</f>
        <v>0</v>
      </c>
      <c r="DX57" s="192" cm="1">
        <f t="array" ref="DX57">_xlfn.IFS(DX$1= 0,"", NOT(ISBLANK(CP57)), 0, ISBLANK(CP57), $Q57-$S57+BB57-BY57-DG57)</f>
        <v>0</v>
      </c>
      <c r="DY57" s="192" cm="1">
        <f t="array" ref="DY57">_xlfn.IFS(DY$1= 0,"", NOT(ISBLANK(CQ57)), 0, ISBLANK(CQ57), $Q57-$S57+BC57-BZ57-DH57)</f>
        <v>0</v>
      </c>
      <c r="DZ57" s="192" cm="1">
        <f t="array" ref="DZ57">_xlfn.IFS(DZ$1= 0,"", NOT(ISBLANK(CR57)), 0, ISBLANK(CR57), $Q57-$S57+BD57-CA57-DI57)</f>
        <v>0</v>
      </c>
      <c r="EA57" s="192" cm="1">
        <f t="array" ref="EA57">_xlfn.IFS(EA$1= 0,"", NOT(ISBLANK(CS57)), 0, ISBLANK(CS57), $Q57-$S57+BE57-CB57-DJ57)</f>
        <v>0</v>
      </c>
      <c r="EB57" s="192" t="str" cm="1">
        <f t="array" ref="EB57">_xlfn.IFS(EB$1= 0,"", NOT(ISBLANK(CT57)), 0, ISBLANK(CT57), $Q57-$S57+BF57-CC57-DK57)</f>
        <v/>
      </c>
      <c r="EC57" s="192" t="str" cm="1">
        <f t="array" ref="EC57">_xlfn.IFS(EC$1= 0,"", NOT(ISBLANK(CU57)), 0, ISBLANK(CU57), $Q57-$S57+BG57-CD57-DL57)</f>
        <v/>
      </c>
      <c r="ED57" s="192" t="str" cm="1">
        <f t="array" ref="ED57">_xlfn.IFS(ED$1= 0,"", NOT(ISBLANK(CV57)), 0, ISBLANK(CV57), $Q57-$S57+BH57-CE57-DM57)</f>
        <v/>
      </c>
      <c r="EE57" s="192" t="str" cm="1">
        <f t="array" ref="EE57">_xlfn.IFS(EE$1= 0,"", NOT(ISBLANK(CW57)), 0, ISBLANK(CW57), $Q57-$S57+BI57-CF57-DN57)</f>
        <v/>
      </c>
      <c r="EF57" s="192" t="str" cm="1">
        <f t="array" ref="EF57">_xlfn.IFS(EF$1= 0,"", NOT(ISBLANK(CX57)), 0, ISBLANK(CX57), $Q57-$S57+BJ57-CG57-DO57)</f>
        <v/>
      </c>
      <c r="EG57" s="192" t="str" cm="1">
        <f t="array" ref="EG57">_xlfn.IFS(EG$1= 0,"", NOT(ISBLANK(CY57)), 0, ISBLANK(CY57), $Q57-$S57+BK57-CH57-DP57)</f>
        <v/>
      </c>
      <c r="EH57" s="192" t="str" cm="1">
        <f t="array" ref="EH57">_xlfn.IFS(EH$1= 0,"", NOT(ISBLANK(CZ57)), 0, ISBLANK(CZ57), $Q57-$S57+BL57-CI57-DQ57)</f>
        <v/>
      </c>
      <c r="EI57" s="193" t="str" cm="1">
        <f t="array" ref="EI57">_xlfn.IFS(EI$1= 0,"", NOT(ISBLANK(DA57)), 0, ISBLANK(DA57), $Q57-$S57+BM57-CJ57-DR57)</f>
        <v/>
      </c>
    </row>
    <row r="58" spans="1:139" ht="17.25" customHeight="1" thickBot="1" x14ac:dyDescent="0.35">
      <c r="A58" s="184"/>
      <c r="B58" s="150"/>
      <c r="C58" s="150"/>
      <c r="D58" s="151"/>
      <c r="E58" s="167"/>
      <c r="F58" s="68"/>
      <c r="G58" s="5"/>
      <c r="H58" s="5"/>
      <c r="I58" s="5"/>
      <c r="J58" s="5"/>
      <c r="K58" s="5"/>
      <c r="L58" s="5"/>
      <c r="M58" s="179"/>
      <c r="N58" s="68"/>
      <c r="O58" s="176"/>
      <c r="P58" s="170"/>
      <c r="Q58" s="122">
        <f t="shared" si="18"/>
        <v>0</v>
      </c>
      <c r="R58" s="6"/>
      <c r="S58" s="6"/>
      <c r="T58" s="5"/>
      <c r="U58" s="5"/>
      <c r="V58" s="104">
        <f t="shared" si="34"/>
        <v>0</v>
      </c>
      <c r="W58" s="152"/>
      <c r="X58" s="153"/>
      <c r="AH58" s="185" t="str" cm="1">
        <f t="array" ref="AH58">IF(OR(AH$1=0, $A58="", _xlfn.XLOOKUP(AH$1, $Z$2:$Z$18, $AD$2:$AD$18, "")=""),"",SQRT((_xlfn.XLOOKUP(AH$1,$Z$2:$Z$18,$AA$2:$AA$18)-$T58)^2+(_xlfn.XLOOKUP(AH$1,$Z$2:$Z$18,$AB$2:$AB$18)-$U58)^2+(_xlfn.XLOOKUP(AH$1,$Z$2:$Z$18,$AC$2:$AC$18-$V58)^2)))</f>
        <v/>
      </c>
      <c r="AI58" s="124" t="str" cm="1">
        <f t="array" ref="AI58">IF(OR(AI$1=0, $A58="", _xlfn.XLOOKUP(AI$1, $Z$2:$Z$18, $AD$2:$AD$18, "")=""),"",SQRT((_xlfn.XLOOKUP(AI$1,$Z$2:$Z$18,$AA$2:$AA$18)-$T58)^2+(_xlfn.XLOOKUP(AI$1,$Z$2:$Z$18,$AB$2:$AB$18)-$U58)^2+(_xlfn.XLOOKUP(AI$1,$Z$2:$Z$18,$AC$2:$AC$18-$V58)^2)))</f>
        <v/>
      </c>
      <c r="AJ58" s="124" t="str" cm="1">
        <f t="array" ref="AJ58">IF(OR(AJ$1=0, $A58="", _xlfn.XLOOKUP(AJ$1, $Z$2:$Z$18, $AD$2:$AD$18, "")=""),"",SQRT((_xlfn.XLOOKUP(AJ$1,$Z$2:$Z$18,$AA$2:$AA$18)-$T58)^2+(_xlfn.XLOOKUP(AJ$1,$Z$2:$Z$18,$AB$2:$AB$18)-$U58)^2+(_xlfn.XLOOKUP(AJ$1,$Z$2:$Z$18,$AC$2:$AC$18-$V58)^2)))</f>
        <v/>
      </c>
      <c r="AK58" s="124" t="str" cm="1">
        <f t="array" ref="AK58">IF(OR(AK$1=0, $A58="", _xlfn.XLOOKUP(AK$1, $Z$2:$Z$18, $AD$2:$AD$18, "")=""),"",SQRT((_xlfn.XLOOKUP(AK$1,$Z$2:$Z$18,$AA$2:$AA$18)-$T58)^2+(_xlfn.XLOOKUP(AK$1,$Z$2:$Z$18,$AB$2:$AB$18)-$U58)^2+(_xlfn.XLOOKUP(AK$1,$Z$2:$Z$18,$AC$2:$AC$18-$V58)^2)))</f>
        <v/>
      </c>
      <c r="AL58" s="124" t="str" cm="1">
        <f t="array" ref="AL58">IF(OR(AL$1=0, $A58="", _xlfn.XLOOKUP(AL$1, $Z$2:$Z$18, $AD$2:$AD$18, "")=""),"",SQRT((_xlfn.XLOOKUP(AL$1,$Z$2:$Z$18,$AA$2:$AA$18)-$T58)^2+(_xlfn.XLOOKUP(AL$1,$Z$2:$Z$18,$AB$2:$AB$18)-$U58)^2+(_xlfn.XLOOKUP(AL$1,$Z$2:$Z$18,$AC$2:$AC$18-$V58)^2)))</f>
        <v/>
      </c>
      <c r="AM58" s="124" t="str" cm="1">
        <f t="array" ref="AM58">IF(OR(AM$1=0, $A58="", _xlfn.XLOOKUP(AM$1, $Z$2:$Z$18, $AD$2:$AD$18, "")=""),"",SQRT((_xlfn.XLOOKUP(AM$1,$Z$2:$Z$18,$AA$2:$AA$18)-$T58)^2+(_xlfn.XLOOKUP(AM$1,$Z$2:$Z$18,$AB$2:$AB$18)-$U58)^2+(_xlfn.XLOOKUP(AM$1,$Z$2:$Z$18,$AC$2:$AC$18-$V58)^2)))</f>
        <v/>
      </c>
      <c r="AN58" s="124" t="str" cm="1">
        <f t="array" ref="AN58">IF(OR(AN$1=0, $A58="", _xlfn.XLOOKUP(AN$1, $Z$2:$Z$18, $AD$2:$AD$18, "")=""),"",SQRT((_xlfn.XLOOKUP(AN$1,$Z$2:$Z$18,$AA$2:$AA$18)-$T58)^2+(_xlfn.XLOOKUP(AN$1,$Z$2:$Z$18,$AB$2:$AB$18)-$U58)^2+(_xlfn.XLOOKUP(AN$1,$Z$2:$Z$18,$AC$2:$AC$18-$V58)^2)))</f>
        <v/>
      </c>
      <c r="AO58" s="124" t="str" cm="1">
        <f t="array" ref="AO58">IF(OR(AO$1=0, $A58="", _xlfn.XLOOKUP(AO$1, $Z$2:$Z$18, $AD$2:$AD$18, "")=""),"",SQRT((_xlfn.XLOOKUP(AO$1,$Z$2:$Z$18,$AA$2:$AA$18)-$T58)^2+(_xlfn.XLOOKUP(AO$1,$Z$2:$Z$18,$AB$2:$AB$18)-$U58)^2+(_xlfn.XLOOKUP(AO$1,$Z$2:$Z$18,$AC$2:$AC$18-$V58)^2)))</f>
        <v/>
      </c>
      <c r="AP58" s="125" t="str" cm="1">
        <f t="array" ref="AP58">IF(OR(AP$1=0, $A58="", _xlfn.XLOOKUP(AP$1, $Z$2:$Z$18, $AD$2:$AD$18, "")=""),"",SQRT((_xlfn.XLOOKUP(AP$1,$Z$2:$Z$18,$AA$2:$AA$18)-$T58)^2+(_xlfn.XLOOKUP(AP$1,$Z$2:$Z$18,$AB$2:$AB$18)-$U58)^2+(_xlfn.XLOOKUP(AP$1,$Z$2:$Z$18,$AC$2:$AC$18-$V58)^2)))</f>
        <v/>
      </c>
      <c r="AQ58" s="125" t="str" cm="1">
        <f t="array" ref="AQ58">IF(OR(AQ$1=0, $A58="", _xlfn.XLOOKUP(AQ$1, $Z$2:$Z$18, $AD$2:$AD$18, "")=""),"",SQRT((_xlfn.XLOOKUP(AQ$1,$Z$2:$Z$18,$AA$2:$AA$18)-$T58)^2+(_xlfn.XLOOKUP(AQ$1,$Z$2:$Z$18,$AB$2:$AB$18)-$U58)^2+(_xlfn.XLOOKUP(AQ$1,$Z$2:$Z$18,$AC$2:$AC$18-$V58)^2)))</f>
        <v/>
      </c>
      <c r="AR58" s="125" t="str" cm="1">
        <f t="array" ref="AR58">IF(OR(AR$1=0, $A58="", _xlfn.XLOOKUP(AR$1, $Z$2:$Z$18, $AD$2:$AD$18, "")=""),"",SQRT((_xlfn.XLOOKUP(AR$1,$Z$2:$Z$18,$AA$2:$AA$18)-$T58)^2+(_xlfn.XLOOKUP(AR$1,$Z$2:$Z$18,$AB$2:$AB$18)-$U58)^2+(_xlfn.XLOOKUP(AR$1,$Z$2:$Z$18,$AC$2:$AC$18-$V58)^2)))</f>
        <v/>
      </c>
      <c r="AS58" s="125" t="str" cm="1">
        <f t="array" ref="AS58">IF(OR(AS$1=0, $A58="", _xlfn.XLOOKUP(AS$1, $Z$2:$Z$18, $AD$2:$AD$18, "")=""),"",SQRT((_xlfn.XLOOKUP(AS$1,$Z$2:$Z$18,$AA$2:$AA$18)-$T58)^2+(_xlfn.XLOOKUP(AS$1,$Z$2:$Z$18,$AB$2:$AB$18)-$U58)^2+(_xlfn.XLOOKUP(AS$1,$Z$2:$Z$18,$AC$2:$AC$18-$V58)^2)))</f>
        <v/>
      </c>
      <c r="AT58" s="125" t="str" cm="1">
        <f t="array" ref="AT58">IF(OR(AT$1=0, $A58="", _xlfn.XLOOKUP(AT$1, $Z$2:$Z$18, $AD$2:$AD$18, "")=""),"",SQRT((_xlfn.XLOOKUP(AT$1,$Z$2:$Z$18,$AA$2:$AA$18)-$T58)^2+(_xlfn.XLOOKUP(AT$1,$Z$2:$Z$18,$AB$2:$AB$18)-$U58)^2+(_xlfn.XLOOKUP(AT$1,$Z$2:$Z$18,$AC$2:$AC$18-$V58)^2)))</f>
        <v/>
      </c>
      <c r="AU58" s="125" t="str" cm="1">
        <f t="array" ref="AU58">IF(OR(AU$1=0, $A58="", _xlfn.XLOOKUP(AU$1, $Z$2:$Z$18, $AD$2:$AD$18, "")=""),"",SQRT((_xlfn.XLOOKUP(AU$1,$Z$2:$Z$18,$AA$2:$AA$18)-$T58)^2+(_xlfn.XLOOKUP(AU$1,$Z$2:$Z$18,$AB$2:$AB$18)-$U58)^2+(_xlfn.XLOOKUP(AU$1,$Z$2:$Z$18,$AC$2:$AC$18-$V58)^2)))</f>
        <v/>
      </c>
      <c r="AV58" s="126" t="str" cm="1">
        <f t="array" ref="AV58">IF(OR(AV$1=0, $A58="", _xlfn.XLOOKUP(AV$1, $Z$2:$Z$18, $AD$2:$AD$18, "")=""),"",SQRT((_xlfn.XLOOKUP(AV$1,$Z$2:$Z$18,$AA$2:$AA$18)-$T58)^2+(_xlfn.XLOOKUP(AV$1,$Z$2:$Z$18,$AB$2:$AB$18)-$U58)^2+(_xlfn.XLOOKUP(AV$1,$Z$2:$Z$18,$AC$2:$AC$18-$V58)^2)))</f>
        <v/>
      </c>
      <c r="AW58" s="127"/>
      <c r="AX58" s="127"/>
      <c r="AY58" s="128">
        <f t="shared" si="19"/>
        <v>0</v>
      </c>
      <c r="AZ58" s="154">
        <f t="shared" si="20"/>
        <v>0</v>
      </c>
      <c r="BA58" s="154">
        <f t="shared" si="21"/>
        <v>0</v>
      </c>
      <c r="BB58" s="154">
        <f t="shared" si="22"/>
        <v>0</v>
      </c>
      <c r="BC58" s="154">
        <f t="shared" si="23"/>
        <v>0</v>
      </c>
      <c r="BD58" s="154">
        <f t="shared" si="24"/>
        <v>0</v>
      </c>
      <c r="BE58" s="154">
        <f t="shared" si="25"/>
        <v>0</v>
      </c>
      <c r="BF58" s="154">
        <f t="shared" si="26"/>
        <v>0</v>
      </c>
      <c r="BG58" s="155">
        <f t="shared" si="27"/>
        <v>0</v>
      </c>
      <c r="BH58" s="155">
        <f t="shared" si="28"/>
        <v>0</v>
      </c>
      <c r="BI58" s="155">
        <f t="shared" si="29"/>
        <v>0</v>
      </c>
      <c r="BJ58" s="155">
        <f t="shared" si="30"/>
        <v>0</v>
      </c>
      <c r="BK58" s="155">
        <f t="shared" si="31"/>
        <v>0</v>
      </c>
      <c r="BL58" s="155">
        <f t="shared" si="32"/>
        <v>0</v>
      </c>
      <c r="BM58" s="156">
        <f t="shared" si="33"/>
        <v>0</v>
      </c>
      <c r="BN58" s="127"/>
      <c r="BO58" s="127"/>
      <c r="BP58" s="127"/>
      <c r="BQ58" s="127"/>
      <c r="BR58" s="127"/>
      <c r="BS58" s="127"/>
      <c r="BT58" s="127"/>
      <c r="BU58" s="127"/>
      <c r="BV58" s="133"/>
      <c r="BW58" s="133"/>
      <c r="BX58" s="133"/>
      <c r="BY58" s="133"/>
      <c r="BZ58" s="133"/>
      <c r="CA58" s="133"/>
      <c r="CB58" s="133"/>
      <c r="CC58" s="133"/>
      <c r="CD58" s="133"/>
      <c r="CE58" s="133"/>
      <c r="CF58" s="133"/>
      <c r="CG58" s="133"/>
      <c r="CH58" s="133"/>
      <c r="CI58" s="133"/>
      <c r="CJ58" s="133"/>
      <c r="CL58" s="127"/>
      <c r="CM58" s="133" t="s">
        <v>32</v>
      </c>
      <c r="CN58" s="133"/>
      <c r="CO58" s="133"/>
      <c r="CP58" s="133"/>
      <c r="CQ58" s="133"/>
      <c r="CR58" s="133"/>
      <c r="CS58" s="133"/>
      <c r="CT58" s="133"/>
      <c r="CU58" s="133"/>
      <c r="CV58" s="133"/>
      <c r="CW58" s="133"/>
      <c r="CX58" s="133"/>
      <c r="CY58" s="133"/>
      <c r="CZ58" s="133"/>
      <c r="DA58" s="133"/>
      <c r="DB58" s="127"/>
      <c r="DC58" s="127"/>
      <c r="DD58" s="133"/>
      <c r="DE58" s="133"/>
      <c r="DF58" s="133"/>
      <c r="DG58" s="133"/>
      <c r="DH58" s="133"/>
      <c r="DI58" s="133"/>
      <c r="DJ58" s="133"/>
      <c r="DK58" s="133"/>
      <c r="DL58" s="133"/>
      <c r="DM58" s="133"/>
      <c r="DN58" s="133"/>
      <c r="DO58" s="133"/>
      <c r="DP58" s="133"/>
      <c r="DQ58" s="133"/>
      <c r="DR58" s="133"/>
      <c r="DT58" s="127"/>
      <c r="DU58" s="194" cm="1">
        <f t="array" ref="DU58">_xlfn.IFS(DU$1= 0,"", NOT(ISBLANK(CM58)), 0, ISBLANK(CM58), $Q58-$S58+AY58-BV58-DD58)</f>
        <v>0</v>
      </c>
      <c r="DV58" s="195" cm="1">
        <f t="array" ref="DV58">_xlfn.IFS(DV$1= 0,"", NOT(ISBLANK(CN58)), 0, ISBLANK(CN58), $Q58-$S58+AZ58-BW58-DE58)</f>
        <v>0</v>
      </c>
      <c r="DW58" s="195" cm="1">
        <f t="array" ref="DW58">_xlfn.IFS(DW$1= 0,"", NOT(ISBLANK(CO58)), 0, ISBLANK(CO58), $Q58-$S58+BA58-BX58-DF58)</f>
        <v>0</v>
      </c>
      <c r="DX58" s="195" cm="1">
        <f t="array" ref="DX58">_xlfn.IFS(DX$1= 0,"", NOT(ISBLANK(CP58)), 0, ISBLANK(CP58), $Q58-$S58+BB58-BY58-DG58)</f>
        <v>0</v>
      </c>
      <c r="DY58" s="195" cm="1">
        <f t="array" ref="DY58">_xlfn.IFS(DY$1= 0,"", NOT(ISBLANK(CQ58)), 0, ISBLANK(CQ58), $Q58-$S58+BC58-BZ58-DH58)</f>
        <v>0</v>
      </c>
      <c r="DZ58" s="195" cm="1">
        <f t="array" ref="DZ58">_xlfn.IFS(DZ$1= 0,"", NOT(ISBLANK(CR58)), 0, ISBLANK(CR58), $Q58-$S58+BD58-CA58-DI58)</f>
        <v>0</v>
      </c>
      <c r="EA58" s="195" cm="1">
        <f t="array" ref="EA58">_xlfn.IFS(EA$1= 0,"", NOT(ISBLANK(CS58)), 0, ISBLANK(CS58), $Q58-$S58+BE58-CB58-DJ58)</f>
        <v>0</v>
      </c>
      <c r="EB58" s="195" t="str" cm="1">
        <f t="array" ref="EB58">_xlfn.IFS(EB$1= 0,"", NOT(ISBLANK(CT58)), 0, ISBLANK(CT58), $Q58-$S58+BF58-CC58-DK58)</f>
        <v/>
      </c>
      <c r="EC58" s="195" t="str" cm="1">
        <f t="array" ref="EC58">_xlfn.IFS(EC$1= 0,"", NOT(ISBLANK(CU58)), 0, ISBLANK(CU58), $Q58-$S58+BG58-CD58-DL58)</f>
        <v/>
      </c>
      <c r="ED58" s="195" t="str" cm="1">
        <f t="array" ref="ED58">_xlfn.IFS(ED$1= 0,"", NOT(ISBLANK(CV58)), 0, ISBLANK(CV58), $Q58-$S58+BH58-CE58-DM58)</f>
        <v/>
      </c>
      <c r="EE58" s="195" t="str" cm="1">
        <f t="array" ref="EE58">_xlfn.IFS(EE$1= 0,"", NOT(ISBLANK(CW58)), 0, ISBLANK(CW58), $Q58-$S58+BI58-CF58-DN58)</f>
        <v/>
      </c>
      <c r="EF58" s="195" t="str" cm="1">
        <f t="array" ref="EF58">_xlfn.IFS(EF$1= 0,"", NOT(ISBLANK(CX58)), 0, ISBLANK(CX58), $Q58-$S58+BJ58-CG58-DO58)</f>
        <v/>
      </c>
      <c r="EG58" s="195" t="str" cm="1">
        <f t="array" ref="EG58">_xlfn.IFS(EG$1= 0,"", NOT(ISBLANK(CY58)), 0, ISBLANK(CY58), $Q58-$S58+BK58-CH58-DP58)</f>
        <v/>
      </c>
      <c r="EH58" s="195" t="str" cm="1">
        <f t="array" ref="EH58">_xlfn.IFS(EH$1= 0,"", NOT(ISBLANK(CZ58)), 0, ISBLANK(CZ58), $Q58-$S58+BL58-CI58-DQ58)</f>
        <v/>
      </c>
      <c r="EI58" s="196" t="str" cm="1">
        <f t="array" ref="EI58">_xlfn.IFS(EI$1= 0,"", NOT(ISBLANK(DA58)), 0, ISBLANK(DA58), $Q58-$S58+BM58-CJ58-DR58)</f>
        <v/>
      </c>
    </row>
    <row r="59" spans="1:139" ht="15.75" customHeight="1" thickBot="1" x14ac:dyDescent="0.3">
      <c r="T59"/>
      <c r="U59"/>
      <c r="DT59" s="74" t="s">
        <v>26</v>
      </c>
      <c r="DU59" s="55">
        <f t="array" ref="DU59">IF(ISBLANK(_xlfn.XLOOKUP(DU$1,$Z$2:$Z$16,$AA$2:$AA$16)),"", 10*LOG10(SUM(10^(DU2:DU58/10))))</f>
        <v>17.558748556724915</v>
      </c>
      <c r="DV59" s="60">
        <f t="array" ref="DV59">IF(ISBLANK(_xlfn.XLOOKUP(DV$1,$Z$2:$Z$16,$AA$2:$AA$16)),"", 10*LOG10(SUM(10^(DV2:DV58/10))))</f>
        <v>50.325023563459375</v>
      </c>
      <c r="DW59" s="60" cm="1">
        <f t="array" ref="DW59">IF(ISBLANK(_xlfn.XLOOKUP(DW$1,$Z$2:$Z$16,$AA$2:$AA$16)),"", 10*LOG10(SUM(10^(DW2:DW58/10))))</f>
        <v>30.553771275486508</v>
      </c>
      <c r="DX59" s="60">
        <f t="array" ref="DX59">IF(ISBLANK(_xlfn.XLOOKUP(DX$1,$Z$2:$Z$16,$AA$2:$AA$16)),"", 10*LOG10(SUM(10^(DX2:DX58/10))))</f>
        <v>24.420551139224443</v>
      </c>
      <c r="DY59" s="60">
        <f t="array" ref="DY59">IF(ISBLANK(_xlfn.XLOOKUP(DY$1,$Z$2:$Z$16,$AA$2:$AA$16)),"", 10*LOG10(SUM(10^(DY2:DY58/10))))</f>
        <v>21.094897438234597</v>
      </c>
      <c r="DZ59" s="60">
        <f t="array" ref="DZ59">IF(ISBLANK(_xlfn.XLOOKUP(DZ$1,$Z$2:$Z$16,$AA$2:$AA$16)),"", 10*LOG10(SUM(10^(DZ2:DZ58/10))))</f>
        <v>31.163357836282511</v>
      </c>
      <c r="EA59" s="60">
        <f t="array" ref="EA59">IF(ISBLANK(_xlfn.XLOOKUP(EA$1,$Z$2:$Z$16,$AA$2:$AA$16)),"", 10*LOG10(SUM(10^(EA2:EA58/10))))</f>
        <v>52.599676445419483</v>
      </c>
      <c r="EB59" s="60" t="e">
        <f t="array" ref="EB59">IF(ISBLANK(_xlfn.XLOOKUP(EB$1,$Z$2:$Z$16,$AA$2:$AA$16)),"", 10*LOG10(SUM(10^(EB2:EB58/10))))</f>
        <v>#VALUE!</v>
      </c>
      <c r="EC59" s="56" t="e">
        <f t="array" ref="EC59">IF(ISBLANK(_xlfn.XLOOKUP(EC$1,$Z$2:$Z$16,$AA$2:$AA$16)),"", 10*LOG10(SUM(10^(EC2:EC58/10))))</f>
        <v>#VALUE!</v>
      </c>
      <c r="ED59" s="56" t="e">
        <f t="array" ref="ED59">IF(ISBLANK(_xlfn.XLOOKUP(ED$1,$Z$2:$Z$16,$AA$2:$AA$16)),"", 10*LOG10(SUM(10^(ED2:ED58/10))))</f>
        <v>#VALUE!</v>
      </c>
      <c r="EE59" s="56" t="e">
        <f t="array" ref="EE59">IF(ISBLANK(_xlfn.XLOOKUP(EE$1,$Z$2:$Z$16,$AA$2:$AA$16)),"", 10*LOG10(SUM(10^(EE2:EE58/10))))</f>
        <v>#VALUE!</v>
      </c>
      <c r="EF59" s="56" t="e">
        <f t="array" ref="EF59">IF(ISBLANK(_xlfn.XLOOKUP(EF$1,$Z$2:$Z$16,$AA$2:$AA$16)),"", 10*LOG10(SUM(10^(EF2:EF58/10))))</f>
        <v>#VALUE!</v>
      </c>
      <c r="EG59" s="56" t="e">
        <f t="array" ref="EG59">IF(ISBLANK(_xlfn.XLOOKUP(EG$1,$Z$2:$Z$16,$AA$2:$AA$16)),"", 10*LOG10(SUM(10^(EG2:EG58/10))))</f>
        <v>#VALUE!</v>
      </c>
      <c r="EH59" s="56" t="e">
        <f t="array" ref="EH59">IF(ISBLANK(_xlfn.XLOOKUP(EH$1,$Z$2:$Z$16,$AA$2:$AA$16)),"", 10*LOG10(SUM(10^(EH2:EH58/10))))</f>
        <v>#VALUE!</v>
      </c>
      <c r="EI59" s="57" t="e">
        <f t="array" ref="EI59">IF(ISBLANK(_xlfn.XLOOKUP(EI$1,$Z$2:$Z$16,$AA$2:$AA$16)),"", 10*LOG10(SUM(10^(EI2:EI58/10))))</f>
        <v>#VALUE!</v>
      </c>
    </row>
    <row r="60" spans="1:139" ht="17.25" customHeight="1" thickBot="1" x14ac:dyDescent="0.35">
      <c r="DT60" t="s">
        <v>77</v>
      </c>
      <c r="DU60" s="157">
        <f t="array" ref="DU60:EI60">TRANSPOSE(AD2:AD16)</f>
        <v>404</v>
      </c>
      <c r="DV60" s="84">
        <v>40</v>
      </c>
      <c r="DW60" s="84">
        <v>40</v>
      </c>
      <c r="DX60" s="84">
        <v>40</v>
      </c>
      <c r="DY60" s="84">
        <v>40</v>
      </c>
      <c r="DZ60" s="84">
        <v>40</v>
      </c>
      <c r="EA60" s="84">
        <v>40</v>
      </c>
      <c r="EB60" s="84">
        <v>0</v>
      </c>
      <c r="EC60" s="84">
        <v>0</v>
      </c>
      <c r="ED60" s="84">
        <v>0</v>
      </c>
      <c r="EE60" s="84">
        <v>0</v>
      </c>
      <c r="EF60" s="84">
        <v>0</v>
      </c>
      <c r="EG60" s="84">
        <v>0</v>
      </c>
      <c r="EH60" s="84">
        <v>0</v>
      </c>
      <c r="EI60" s="85">
        <v>0</v>
      </c>
    </row>
    <row r="62" spans="1:139" ht="15.75" customHeight="1" thickBot="1" x14ac:dyDescent="0.3"/>
    <row r="63" spans="1:139" x14ac:dyDescent="0.25">
      <c r="C63" s="69">
        <v>-26.2</v>
      </c>
      <c r="D63" s="70">
        <v>-16.100000000000001</v>
      </c>
      <c r="E63" s="70">
        <v>-8.6</v>
      </c>
      <c r="F63" s="70"/>
      <c r="G63" s="70"/>
      <c r="H63" s="70"/>
      <c r="I63" s="70"/>
      <c r="J63" s="70"/>
      <c r="K63" s="70"/>
      <c r="L63" s="70"/>
      <c r="M63" s="70"/>
      <c r="N63" s="70">
        <v>-3.2</v>
      </c>
      <c r="O63" s="71">
        <v>0</v>
      </c>
      <c r="P63" s="70"/>
      <c r="Q63" s="70">
        <v>1.2</v>
      </c>
      <c r="R63" s="70"/>
      <c r="S63" s="70">
        <v>1</v>
      </c>
      <c r="T63" s="70">
        <v>-1.1000000000000001</v>
      </c>
      <c r="U63" s="72"/>
    </row>
    <row r="64" spans="1:139" x14ac:dyDescent="0.25">
      <c r="C64" s="73">
        <v>63</v>
      </c>
      <c r="D64" s="74">
        <v>125</v>
      </c>
      <c r="E64" s="74">
        <v>250</v>
      </c>
      <c r="F64" s="74"/>
      <c r="G64" s="74"/>
      <c r="H64" s="74"/>
      <c r="I64" s="74"/>
      <c r="J64" s="74"/>
      <c r="K64" s="74"/>
      <c r="L64" s="74"/>
      <c r="M64" s="74"/>
      <c r="N64" s="74">
        <v>500</v>
      </c>
      <c r="O64" s="75">
        <v>1000</v>
      </c>
      <c r="P64" s="74"/>
      <c r="Q64" s="74">
        <v>2000</v>
      </c>
      <c r="R64" s="74"/>
      <c r="S64" s="74">
        <v>4000</v>
      </c>
      <c r="T64" s="74">
        <v>8000</v>
      </c>
      <c r="U64" s="76" t="s">
        <v>78</v>
      </c>
    </row>
    <row r="65" spans="3:21" ht="15.75" customHeight="1" thickBot="1" x14ac:dyDescent="0.3">
      <c r="C65" s="68">
        <v>83</v>
      </c>
      <c r="D65" s="5">
        <v>88</v>
      </c>
      <c r="E65" s="5">
        <v>84</v>
      </c>
      <c r="F65" s="5"/>
      <c r="G65" s="5"/>
      <c r="H65" s="5"/>
      <c r="I65" s="5"/>
      <c r="J65" s="5"/>
      <c r="K65" s="5"/>
      <c r="L65" s="5"/>
      <c r="M65" s="5"/>
      <c r="N65" s="5">
        <v>77</v>
      </c>
      <c r="O65" s="5">
        <v>73</v>
      </c>
      <c r="P65" s="5"/>
      <c r="Q65" s="5">
        <v>64</v>
      </c>
      <c r="R65" s="5"/>
      <c r="S65" s="5">
        <v>61</v>
      </c>
      <c r="T65" s="5">
        <v>59</v>
      </c>
      <c r="U65" s="67">
        <f t="array" ref="U65">IF(AND(C65:T65=""),"",10*LOG((10^((C65-26.2)/10))+(10^((D65-16.1)/10))+(10^((E65-8.6)/10))+(10^((N65-3.2)/10))+(10^((O65)/10))+(10^((Q65+1.2)/10))+(10^((S65+1)/10))+(10^((T65-1.1)/10))))</f>
        <v>80.004090563451044</v>
      </c>
    </row>
    <row r="67" spans="3:21" x14ac:dyDescent="0.25">
      <c r="C67" t="s">
        <v>229</v>
      </c>
      <c r="E67" t="s">
        <v>228</v>
      </c>
    </row>
    <row r="68" spans="3:21" x14ac:dyDescent="0.25">
      <c r="C68" t="s">
        <v>226</v>
      </c>
      <c r="E68">
        <v>4</v>
      </c>
      <c r="F68">
        <f>10*LOG10(E68)</f>
        <v>6.0205999132796242</v>
      </c>
      <c r="G68">
        <v>88</v>
      </c>
      <c r="H68">
        <v>92</v>
      </c>
      <c r="I68">
        <v>95</v>
      </c>
      <c r="J68">
        <v>94</v>
      </c>
      <c r="K68">
        <v>88</v>
      </c>
      <c r="L68">
        <v>83</v>
      </c>
      <c r="M68">
        <v>79</v>
      </c>
      <c r="N68">
        <v>75</v>
      </c>
    </row>
    <row r="69" spans="3:21" x14ac:dyDescent="0.25">
      <c r="G69">
        <f>G68+$F$68</f>
        <v>94.020599913279625</v>
      </c>
      <c r="H69">
        <f t="shared" ref="H69:N69" si="35">H68+$F$68</f>
        <v>98.020599913279625</v>
      </c>
      <c r="I69">
        <f t="shared" si="35"/>
        <v>101.02059991327963</v>
      </c>
      <c r="J69">
        <f t="shared" si="35"/>
        <v>100.02059991327963</v>
      </c>
      <c r="K69">
        <f t="shared" si="35"/>
        <v>94.020599913279625</v>
      </c>
      <c r="L69">
        <f t="shared" si="35"/>
        <v>89.020599913279625</v>
      </c>
      <c r="M69">
        <f t="shared" si="35"/>
        <v>85.020599913279625</v>
      </c>
      <c r="N69">
        <f t="shared" si="35"/>
        <v>81.020599913279625</v>
      </c>
    </row>
    <row r="70" spans="3:21" x14ac:dyDescent="0.25">
      <c r="C70" t="s">
        <v>227</v>
      </c>
      <c r="E70">
        <v>1</v>
      </c>
      <c r="F70">
        <f>10*LOG10(E70)</f>
        <v>0</v>
      </c>
      <c r="G70">
        <v>88</v>
      </c>
      <c r="H70">
        <v>91</v>
      </c>
      <c r="I70">
        <v>96</v>
      </c>
      <c r="J70">
        <v>93</v>
      </c>
      <c r="K70">
        <v>87</v>
      </c>
      <c r="L70">
        <v>82</v>
      </c>
      <c r="M70">
        <v>78</v>
      </c>
      <c r="N70">
        <v>74</v>
      </c>
    </row>
    <row r="71" spans="3:21" x14ac:dyDescent="0.25">
      <c r="C71" t="s">
        <v>230</v>
      </c>
      <c r="E71">
        <v>1</v>
      </c>
      <c r="F71">
        <f t="shared" ref="F71:F72" si="36">10*LOG10(E71)</f>
        <v>0</v>
      </c>
      <c r="G71">
        <v>88</v>
      </c>
      <c r="H71">
        <v>91</v>
      </c>
      <c r="I71">
        <v>96</v>
      </c>
      <c r="J71">
        <v>94</v>
      </c>
      <c r="K71">
        <v>88</v>
      </c>
      <c r="L71">
        <v>83</v>
      </c>
      <c r="M71">
        <v>79</v>
      </c>
      <c r="N71">
        <v>75</v>
      </c>
    </row>
    <row r="72" spans="3:21" ht="15.75" thickBot="1" x14ac:dyDescent="0.3">
      <c r="C72" t="s">
        <v>231</v>
      </c>
      <c r="E72">
        <v>1</v>
      </c>
      <c r="F72">
        <f t="shared" si="36"/>
        <v>0</v>
      </c>
      <c r="G72">
        <v>95</v>
      </c>
      <c r="H72">
        <v>95</v>
      </c>
      <c r="I72">
        <v>93</v>
      </c>
      <c r="J72">
        <v>89</v>
      </c>
      <c r="K72">
        <v>85</v>
      </c>
      <c r="L72">
        <v>79</v>
      </c>
      <c r="M72">
        <v>74</v>
      </c>
      <c r="N72">
        <v>70</v>
      </c>
    </row>
    <row r="73" spans="3:21" ht="15.75" thickBot="1" x14ac:dyDescent="0.3">
      <c r="G73" s="105" cm="1">
        <f t="array" ref="G73">10*LOG10(SUM(10^(G69:G72/10)))</f>
        <v>98.418611678526347</v>
      </c>
      <c r="H73" s="187" cm="1">
        <f t="array" ref="H73">10*LOG10(SUM(10^(H69:H72/10)))</f>
        <v>100.79893673529878</v>
      </c>
      <c r="I73" s="187" cm="1">
        <f t="array" ref="I73">10*LOG10(SUM(10^(I69:I72/10)))</f>
        <v>103.54233643314954</v>
      </c>
      <c r="J73" s="187" cm="1">
        <f t="array" ref="J73">10*LOG10(SUM(10^(J69:J72/10)))</f>
        <v>101.86080728584267</v>
      </c>
      <c r="K73" s="187" cm="1">
        <f t="array" ref="K73">10*LOG10(SUM(10^(K69:K72/10)))</f>
        <v>95.990312953486551</v>
      </c>
      <c r="L73" s="187" cm="1">
        <f t="array" ref="L73">10*LOG10(SUM(10^(L69:L72/10)))</f>
        <v>90.91861485055577</v>
      </c>
      <c r="M73" s="187" cm="1">
        <f t="array" ref="M73">10*LOG10(SUM(10^(M69:M72/10)))</f>
        <v>86.860807285842668</v>
      </c>
      <c r="N73" s="106" cm="1">
        <f t="array" ref="N73">10*LOG10(SUM(10^(N69:N72/10)))</f>
        <v>82.860807285842668</v>
      </c>
    </row>
    <row r="76" spans="3:21" x14ac:dyDescent="0.25">
      <c r="C76" t="s">
        <v>232</v>
      </c>
      <c r="E76">
        <v>2</v>
      </c>
      <c r="F76">
        <f>10*LOG10(E76)</f>
        <v>3.0102999566398121</v>
      </c>
      <c r="G76">
        <v>88</v>
      </c>
      <c r="H76">
        <v>89</v>
      </c>
      <c r="I76">
        <v>92</v>
      </c>
      <c r="J76">
        <v>90</v>
      </c>
      <c r="K76">
        <v>85</v>
      </c>
      <c r="L76">
        <v>81</v>
      </c>
      <c r="M76">
        <v>77</v>
      </c>
      <c r="N76">
        <v>74</v>
      </c>
    </row>
    <row r="77" spans="3:21" x14ac:dyDescent="0.25">
      <c r="G77">
        <f>G76+$F$76</f>
        <v>91.010299956639813</v>
      </c>
      <c r="H77">
        <f t="shared" ref="H77:N77" si="37">H76+$F$76</f>
        <v>92.010299956639813</v>
      </c>
      <c r="I77">
        <f t="shared" si="37"/>
        <v>95.010299956639813</v>
      </c>
      <c r="J77">
        <f t="shared" si="37"/>
        <v>93.010299956639813</v>
      </c>
      <c r="K77">
        <f t="shared" si="37"/>
        <v>88.010299956639813</v>
      </c>
      <c r="L77">
        <f t="shared" si="37"/>
        <v>84.010299956639813</v>
      </c>
      <c r="M77">
        <f t="shared" si="37"/>
        <v>80.010299956639813</v>
      </c>
      <c r="N77">
        <f t="shared" si="37"/>
        <v>77.010299956639813</v>
      </c>
    </row>
    <row r="78" spans="3:21" x14ac:dyDescent="0.25">
      <c r="C78" t="s">
        <v>233</v>
      </c>
      <c r="E78">
        <v>1</v>
      </c>
      <c r="F78">
        <f>10*LOG10(E78)</f>
        <v>0</v>
      </c>
      <c r="G78">
        <v>88</v>
      </c>
      <c r="H78">
        <v>89</v>
      </c>
      <c r="I78">
        <v>92</v>
      </c>
      <c r="J78">
        <v>91</v>
      </c>
      <c r="K78">
        <v>85</v>
      </c>
      <c r="L78">
        <v>81</v>
      </c>
      <c r="M78">
        <v>76</v>
      </c>
      <c r="N78">
        <v>73</v>
      </c>
    </row>
    <row r="79" spans="3:21" ht="15.75" thickBot="1" x14ac:dyDescent="0.3">
      <c r="C79" t="s">
        <v>233</v>
      </c>
      <c r="E79">
        <v>1</v>
      </c>
      <c r="F79">
        <f>10*LOG10(E79)</f>
        <v>0</v>
      </c>
      <c r="G79">
        <v>88</v>
      </c>
      <c r="H79">
        <v>83</v>
      </c>
      <c r="I79">
        <v>83</v>
      </c>
      <c r="J79">
        <v>85</v>
      </c>
      <c r="K79">
        <v>82</v>
      </c>
      <c r="L79">
        <v>78</v>
      </c>
      <c r="M79">
        <v>74</v>
      </c>
      <c r="N79">
        <v>70</v>
      </c>
    </row>
    <row r="80" spans="3:21" ht="15.75" thickBot="1" x14ac:dyDescent="0.3">
      <c r="G80" s="105" cm="1">
        <f t="array" ref="G80">10*LOG10(SUM(10^(G77:G79/10)))</f>
        <v>94.020599913279653</v>
      </c>
      <c r="H80" s="187" cm="1">
        <f t="array" ref="H80">10*LOG10(SUM(10^(H77:H79/10)))</f>
        <v>94.120421692201063</v>
      </c>
      <c r="I80" s="187" cm="1">
        <f t="array" ref="I80">10*LOG10(SUM(10^(I77:I79/10)))</f>
        <v>96.949740441966142</v>
      </c>
      <c r="J80" s="187" cm="1">
        <f t="array" ref="J80">10*LOG10(SUM(10^(J77:J79/10)))</f>
        <v>95.532946539281284</v>
      </c>
      <c r="K80" s="187" cm="1">
        <f t="array" ref="K80">10*LOG10(SUM(10^(K77:K79/10)))</f>
        <v>90.442153362311501</v>
      </c>
      <c r="L80" s="187" cm="1">
        <f t="array" ref="L80">10*LOG10(SUM(10^(L77:L79/10)))</f>
        <v>86.442153362311501</v>
      </c>
      <c r="M80" s="187" cm="1">
        <f t="array" ref="M80">10*LOG10(SUM(10^(M77:M79/10)))</f>
        <v>82.179233544541034</v>
      </c>
      <c r="N80" s="106" cm="1">
        <f t="array" ref="N80">10*LOG10(SUM(10^(N77:N79/10)))</f>
        <v>79.041221186479902</v>
      </c>
    </row>
    <row r="82" spans="3:8" x14ac:dyDescent="0.25">
      <c r="C82" t="s">
        <v>223</v>
      </c>
      <c r="D82">
        <v>65</v>
      </c>
      <c r="E82">
        <v>3.28</v>
      </c>
      <c r="F82">
        <v>1</v>
      </c>
      <c r="G82">
        <f>10*LOG10(F82)</f>
        <v>0</v>
      </c>
      <c r="H82">
        <f>D82+G82</f>
        <v>65</v>
      </c>
    </row>
    <row r="83" spans="3:8" x14ac:dyDescent="0.25">
      <c r="C83" t="s">
        <v>225</v>
      </c>
      <c r="D83">
        <v>62</v>
      </c>
      <c r="E83">
        <v>3.28</v>
      </c>
      <c r="F83">
        <v>5</v>
      </c>
      <c r="G83">
        <f t="shared" ref="G83:G85" si="38">10*LOG10(F83)</f>
        <v>6.9897000433601884</v>
      </c>
      <c r="H83">
        <f t="shared" ref="H83:H85" si="39">D83+G83</f>
        <v>68.989700043360187</v>
      </c>
    </row>
    <row r="84" spans="3:8" x14ac:dyDescent="0.25">
      <c r="C84" t="s">
        <v>224</v>
      </c>
      <c r="D84">
        <v>61</v>
      </c>
      <c r="E84">
        <v>3.28</v>
      </c>
      <c r="F84">
        <v>2</v>
      </c>
      <c r="G84">
        <f t="shared" si="38"/>
        <v>3.0102999566398121</v>
      </c>
      <c r="H84">
        <f t="shared" si="39"/>
        <v>64.010299956639813</v>
      </c>
    </row>
    <row r="85" spans="3:8" ht="15.75" thickBot="1" x14ac:dyDescent="0.3">
      <c r="C85" t="s">
        <v>222</v>
      </c>
      <c r="D85">
        <v>60</v>
      </c>
      <c r="E85">
        <v>3.28</v>
      </c>
      <c r="F85">
        <v>1</v>
      </c>
      <c r="G85">
        <f t="shared" si="38"/>
        <v>0</v>
      </c>
      <c r="H85">
        <f t="shared" si="39"/>
        <v>60</v>
      </c>
    </row>
    <row r="86" spans="3:8" ht="15.75" thickBot="1" x14ac:dyDescent="0.3">
      <c r="H86" s="187" cm="1">
        <f t="array" ref="H86">10*LOG10(SUM(10^(H82:H85/10)))</f>
        <v>71.644895015846316</v>
      </c>
    </row>
    <row r="88" spans="3:8" x14ac:dyDescent="0.25">
      <c r="C88" t="s">
        <v>218</v>
      </c>
      <c r="D88">
        <v>65</v>
      </c>
      <c r="E88">
        <v>3.28</v>
      </c>
      <c r="F88">
        <v>16</v>
      </c>
      <c r="G88">
        <f>10*LOG10(F88)</f>
        <v>12.041199826559248</v>
      </c>
      <c r="H88">
        <f>D88+G88</f>
        <v>77.04119982655925</v>
      </c>
    </row>
    <row r="89" spans="3:8" x14ac:dyDescent="0.25">
      <c r="C89" t="s">
        <v>221</v>
      </c>
      <c r="D89">
        <v>62</v>
      </c>
      <c r="E89">
        <v>3.28</v>
      </c>
      <c r="F89">
        <v>2</v>
      </c>
      <c r="G89">
        <f t="shared" ref="G89:G92" si="40">10*LOG10(F89)</f>
        <v>3.0102999566398121</v>
      </c>
      <c r="H89">
        <f t="shared" ref="H89:H92" si="41">D89+G89</f>
        <v>65.010299956639813</v>
      </c>
    </row>
    <row r="90" spans="3:8" x14ac:dyDescent="0.25">
      <c r="C90" t="s">
        <v>219</v>
      </c>
      <c r="D90">
        <v>61</v>
      </c>
      <c r="E90">
        <v>3.28</v>
      </c>
      <c r="F90">
        <v>1</v>
      </c>
      <c r="G90">
        <f t="shared" si="40"/>
        <v>0</v>
      </c>
      <c r="H90">
        <f t="shared" si="41"/>
        <v>61</v>
      </c>
    </row>
    <row r="91" spans="3:8" x14ac:dyDescent="0.25">
      <c r="C91" t="s">
        <v>217</v>
      </c>
      <c r="D91">
        <v>60</v>
      </c>
      <c r="E91">
        <v>3.28</v>
      </c>
      <c r="F91">
        <v>1</v>
      </c>
      <c r="G91">
        <f t="shared" si="40"/>
        <v>0</v>
      </c>
      <c r="H91">
        <f t="shared" si="41"/>
        <v>60</v>
      </c>
    </row>
    <row r="92" spans="3:8" ht="15.75" thickBot="1" x14ac:dyDescent="0.3">
      <c r="C92" t="s">
        <v>220</v>
      </c>
      <c r="D92">
        <v>59</v>
      </c>
      <c r="E92">
        <v>3.28</v>
      </c>
      <c r="F92">
        <v>1</v>
      </c>
      <c r="G92">
        <f t="shared" si="40"/>
        <v>0</v>
      </c>
      <c r="H92">
        <f t="shared" si="41"/>
        <v>59</v>
      </c>
    </row>
    <row r="93" spans="3:8" ht="15.75" thickBot="1" x14ac:dyDescent="0.3">
      <c r="H93" s="187" cm="1">
        <f t="array" ref="H93">10*LOG10(SUM(10^(H88:H92/10)))</f>
        <v>77.544972746608479</v>
      </c>
    </row>
  </sheetData>
  <sortState xmlns:xlrd2="http://schemas.microsoft.com/office/spreadsheetml/2017/richdata2" ref="L73:L88">
    <sortCondition ref="L73:L88"/>
  </sortState>
  <mergeCells count="1">
    <mergeCell ref="BO37:BP37"/>
  </mergeCells>
  <phoneticPr fontId="23" type="noConversion"/>
  <conditionalFormatting sqref="BO40:BO45">
    <cfRule type="expression" dxfId="51" priority="58">
      <formula>"Rounddown($F$3)=J35"</formula>
    </cfRule>
  </conditionalFormatting>
  <conditionalFormatting sqref="BO39">
    <cfRule type="expression" dxfId="50" priority="57">
      <formula>"Rounddown($F$3)=J35"</formula>
    </cfRule>
  </conditionalFormatting>
  <conditionalFormatting sqref="AE16">
    <cfRule type="expression" dxfId="49" priority="42">
      <formula>AE16=AD16+1</formula>
    </cfRule>
    <cfRule type="expression" dxfId="48" priority="43">
      <formula>AE16&lt;=AD16</formula>
    </cfRule>
  </conditionalFormatting>
  <conditionalFormatting sqref="AE2:AE16">
    <cfRule type="expression" dxfId="47" priority="81">
      <formula>AE2=AD2+1</formula>
    </cfRule>
    <cfRule type="expression" dxfId="46" priority="138">
      <formula>AE2&lt;=AD2</formula>
    </cfRule>
  </conditionalFormatting>
  <conditionalFormatting sqref="N2:N58">
    <cfRule type="expression" dxfId="45" priority="37">
      <formula>_xlfn.ISFORMULA(N2)</formula>
    </cfRule>
  </conditionalFormatting>
  <conditionalFormatting sqref="A2:A5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6">
      <colorScale>
        <cfvo type="min"/>
        <cfvo type="max"/>
        <color rgb="FF63BE7B"/>
        <color rgb="FFFFEF9C"/>
      </colorScale>
    </cfRule>
  </conditionalFormatting>
  <conditionalFormatting sqref="DV2:DV58">
    <cfRule type="cellIs" dxfId="44" priority="29" stopIfTrue="1" operator="equal">
      <formula>0</formula>
    </cfRule>
    <cfRule type="colorScale" priority="30">
      <colorScale>
        <cfvo type="formula" val="$EM$2"/>
        <cfvo type="formula" val="$EM$3"/>
        <cfvo type="max"/>
        <color rgb="FF00B050"/>
        <color rgb="FFFFEB84"/>
        <color rgb="FFFF7171"/>
      </colorScale>
    </cfRule>
  </conditionalFormatting>
  <conditionalFormatting sqref="DU2:DU58">
    <cfRule type="cellIs" dxfId="43" priority="27" stopIfTrue="1" operator="equal">
      <formula>0</formula>
    </cfRule>
    <cfRule type="colorScale" priority="28">
      <colorScale>
        <cfvo type="formula" val="$EL$2"/>
        <cfvo type="formula" val="$EL$3"/>
        <cfvo type="max"/>
        <color rgb="FF00B050"/>
        <color rgb="FFFFEB84"/>
        <color rgb="FFFF7171"/>
      </colorScale>
    </cfRule>
  </conditionalFormatting>
  <conditionalFormatting sqref="DW2:DW58">
    <cfRule type="cellIs" dxfId="42" priority="25" stopIfTrue="1" operator="equal">
      <formula>0</formula>
    </cfRule>
    <cfRule type="colorScale" priority="26">
      <colorScale>
        <cfvo type="formula" val="$EN$2"/>
        <cfvo type="formula" val="$EN$3"/>
        <cfvo type="max"/>
        <color rgb="FF00B050"/>
        <color rgb="FFFFEB84"/>
        <color rgb="FFFF7171"/>
      </colorScale>
    </cfRule>
  </conditionalFormatting>
  <conditionalFormatting sqref="DX2:DX58">
    <cfRule type="cellIs" dxfId="41" priority="23" stopIfTrue="1" operator="equal">
      <formula>0</formula>
    </cfRule>
    <cfRule type="colorScale" priority="24">
      <colorScale>
        <cfvo type="formula" val="$EO$2"/>
        <cfvo type="formula" val="$EO$3"/>
        <cfvo type="max"/>
        <color rgb="FF00B050"/>
        <color rgb="FFFFEB84"/>
        <color rgb="FFFF7171"/>
      </colorScale>
    </cfRule>
  </conditionalFormatting>
  <conditionalFormatting sqref="DY2:DY58">
    <cfRule type="cellIs" dxfId="40" priority="21" stopIfTrue="1" operator="equal">
      <formula>0</formula>
    </cfRule>
    <cfRule type="colorScale" priority="22">
      <colorScale>
        <cfvo type="formula" val="$EP$2"/>
        <cfvo type="formula" val="$EP$3"/>
        <cfvo type="max"/>
        <color rgb="FF00B050"/>
        <color rgb="FFFFEB84"/>
        <color rgb="FFFF7171"/>
      </colorScale>
    </cfRule>
  </conditionalFormatting>
  <conditionalFormatting sqref="DZ2:DZ58">
    <cfRule type="cellIs" dxfId="39" priority="19" stopIfTrue="1" operator="equal">
      <formula>0</formula>
    </cfRule>
    <cfRule type="colorScale" priority="20">
      <colorScale>
        <cfvo type="formula" val="$EQ$2"/>
        <cfvo type="formula" val="$EQ$3"/>
        <cfvo type="max"/>
        <color rgb="FF00B050"/>
        <color rgb="FFFFEB84"/>
        <color rgb="FFFF7171"/>
      </colorScale>
    </cfRule>
  </conditionalFormatting>
  <conditionalFormatting sqref="EA2:EA58">
    <cfRule type="cellIs" dxfId="38" priority="17" stopIfTrue="1" operator="equal">
      <formula>0</formula>
    </cfRule>
    <cfRule type="colorScale" priority="18">
      <colorScale>
        <cfvo type="formula" val="$ER$2"/>
        <cfvo type="formula" val="$ER$3"/>
        <cfvo type="max"/>
        <color rgb="FF00B050"/>
        <color rgb="FFFFEB84"/>
        <color rgb="FFFF7171"/>
      </colorScale>
    </cfRule>
  </conditionalFormatting>
  <conditionalFormatting sqref="EB2:EB58">
    <cfRule type="cellIs" dxfId="37" priority="15" stopIfTrue="1" operator="equal">
      <formula>0</formula>
    </cfRule>
    <cfRule type="colorScale" priority="16">
      <colorScale>
        <cfvo type="formula" val="$ES$2"/>
        <cfvo type="formula" val="$ES$3"/>
        <cfvo type="max"/>
        <color rgb="FF00B050"/>
        <color rgb="FFFFEB84"/>
        <color rgb="FFFF7171"/>
      </colorScale>
    </cfRule>
  </conditionalFormatting>
  <conditionalFormatting sqref="EC2:EC58">
    <cfRule type="cellIs" dxfId="36" priority="13" stopIfTrue="1" operator="equal">
      <formula>0</formula>
    </cfRule>
    <cfRule type="colorScale" priority="14">
      <colorScale>
        <cfvo type="formula" val="$ET$2"/>
        <cfvo type="formula" val="$ET$3"/>
        <cfvo type="max"/>
        <color rgb="FF00B050"/>
        <color rgb="FFFFEB84"/>
        <color rgb="FFFF7171"/>
      </colorScale>
    </cfRule>
  </conditionalFormatting>
  <conditionalFormatting sqref="ED2:ED58">
    <cfRule type="cellIs" dxfId="35" priority="11" stopIfTrue="1" operator="equal">
      <formula>0</formula>
    </cfRule>
    <cfRule type="colorScale" priority="12">
      <colorScale>
        <cfvo type="formula" val="$EU$2"/>
        <cfvo type="formula" val="$EU$3"/>
        <cfvo type="max"/>
        <color rgb="FF00B050"/>
        <color rgb="FFFFEB84"/>
        <color rgb="FFFF7171"/>
      </colorScale>
    </cfRule>
  </conditionalFormatting>
  <conditionalFormatting sqref="EE2:EE58">
    <cfRule type="cellIs" dxfId="34" priority="9" stopIfTrue="1" operator="equal">
      <formula>0</formula>
    </cfRule>
    <cfRule type="colorScale" priority="10">
      <colorScale>
        <cfvo type="formula" val="$EV$2"/>
        <cfvo type="formula" val="$EV$3"/>
        <cfvo type="max"/>
        <color rgb="FF00B050"/>
        <color rgb="FFFFEB84"/>
        <color rgb="FFFF7171"/>
      </colorScale>
    </cfRule>
  </conditionalFormatting>
  <conditionalFormatting sqref="EF2:EF58">
    <cfRule type="cellIs" dxfId="33" priority="7" stopIfTrue="1" operator="equal">
      <formula>0</formula>
    </cfRule>
    <cfRule type="colorScale" priority="8">
      <colorScale>
        <cfvo type="formula" val="$EW$2"/>
        <cfvo type="formula" val="$EW$3"/>
        <cfvo type="max"/>
        <color rgb="FF00B050"/>
        <color rgb="FFFFEB84"/>
        <color rgb="FFFF7171"/>
      </colorScale>
    </cfRule>
  </conditionalFormatting>
  <conditionalFormatting sqref="EG2:EG58">
    <cfRule type="cellIs" dxfId="32" priority="5" stopIfTrue="1" operator="equal">
      <formula>0</formula>
    </cfRule>
    <cfRule type="colorScale" priority="6">
      <colorScale>
        <cfvo type="formula" val="$EX$2"/>
        <cfvo type="formula" val="$EX$3"/>
        <cfvo type="max"/>
        <color rgb="FF00B050"/>
        <color rgb="FFFFEB84"/>
        <color rgb="FFFF7171"/>
      </colorScale>
    </cfRule>
  </conditionalFormatting>
  <conditionalFormatting sqref="EH2:EH58">
    <cfRule type="cellIs" dxfId="31" priority="3" stopIfTrue="1" operator="equal">
      <formula>0</formula>
    </cfRule>
    <cfRule type="colorScale" priority="4">
      <colorScale>
        <cfvo type="formula" val="$EY$2"/>
        <cfvo type="formula" val="$EY$3"/>
        <cfvo type="max"/>
        <color rgb="FF00B050"/>
        <color rgb="FFFFEB84"/>
        <color rgb="FFFF7171"/>
      </colorScale>
    </cfRule>
  </conditionalFormatting>
  <conditionalFormatting sqref="EI2:EI58">
    <cfRule type="cellIs" dxfId="30" priority="1" stopIfTrue="1" operator="equal">
      <formula>0</formula>
    </cfRule>
    <cfRule type="colorScale" priority="2">
      <colorScale>
        <cfvo type="formula" val="$EZ$2"/>
        <cfvo type="formula" val="$EZ$3"/>
        <cfvo type="max"/>
        <color rgb="FF00B050"/>
        <color rgb="FFFFEB84"/>
        <color rgb="FFFF7171"/>
      </colorScale>
    </cfRule>
  </conditionalFormatting>
  <dataValidations disablePrompts="1" count="3">
    <dataValidation type="list" showInputMessage="1" showErrorMessage="1" sqref="BP4" xr:uid="{00000000-0002-0000-0000-000000000000}">
      <formula1>$B$2:$B$58</formula1>
    </dataValidation>
    <dataValidation type="list" showInputMessage="1" showErrorMessage="1" sqref="BP5" xr:uid="{00000000-0002-0000-0000-000001000000}">
      <formula1>$Z$2:$Z$18</formula1>
    </dataValidation>
    <dataValidation type="list" showInputMessage="1" showErrorMessage="1" sqref="BP6:BP7" xr:uid="{00000000-0002-0000-0000-000002000000}">
      <formula1>$Z$24:$Z$50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2F742-3F91-42B7-AEF4-9EF8D2454BC5}">
  <sheetPr codeName="Sheet2"/>
  <dimension ref="B2:Q241"/>
  <sheetViews>
    <sheetView topLeftCell="C1" workbookViewId="0">
      <selection activeCell="N47" sqref="N47"/>
    </sheetView>
  </sheetViews>
  <sheetFormatPr defaultRowHeight="15" x14ac:dyDescent="0.25"/>
  <sheetData>
    <row r="2" spans="2:17" x14ac:dyDescent="0.25">
      <c r="B2">
        <v>75</v>
      </c>
      <c r="N2" t="s">
        <v>134</v>
      </c>
      <c r="O2" t="s">
        <v>135</v>
      </c>
      <c r="P2" t="s">
        <v>136</v>
      </c>
      <c r="Q2" t="s">
        <v>137</v>
      </c>
    </row>
    <row r="3" spans="2:17" x14ac:dyDescent="0.25">
      <c r="B3">
        <v>75</v>
      </c>
      <c r="N3">
        <f>C2</f>
        <v>0</v>
      </c>
      <c r="O3">
        <f>E2</f>
        <v>0</v>
      </c>
      <c r="P3">
        <f>G2</f>
        <v>0</v>
      </c>
      <c r="Q3">
        <f>I2</f>
        <v>0</v>
      </c>
    </row>
    <row r="4" spans="2:17" x14ac:dyDescent="0.25">
      <c r="B4">
        <v>75</v>
      </c>
      <c r="N4">
        <f t="shared" ref="N4:N67" si="0">C3</f>
        <v>0</v>
      </c>
      <c r="O4">
        <f t="shared" ref="O4:O67" si="1">E3</f>
        <v>0</v>
      </c>
      <c r="P4">
        <f t="shared" ref="P4:P67" si="2">G3</f>
        <v>0</v>
      </c>
      <c r="Q4">
        <f t="shared" ref="Q4:Q67" si="3">I3</f>
        <v>0</v>
      </c>
    </row>
    <row r="5" spans="2:17" x14ac:dyDescent="0.25">
      <c r="B5">
        <v>75</v>
      </c>
      <c r="N5">
        <f t="shared" si="0"/>
        <v>0</v>
      </c>
      <c r="O5">
        <f t="shared" si="1"/>
        <v>0</v>
      </c>
      <c r="P5">
        <f t="shared" si="2"/>
        <v>0</v>
      </c>
      <c r="Q5">
        <f t="shared" si="3"/>
        <v>0</v>
      </c>
    </row>
    <row r="6" spans="2:17" x14ac:dyDescent="0.25">
      <c r="B6">
        <v>75</v>
      </c>
      <c r="N6">
        <f t="shared" si="0"/>
        <v>0</v>
      </c>
      <c r="O6">
        <f t="shared" si="1"/>
        <v>0</v>
      </c>
      <c r="P6">
        <f t="shared" si="2"/>
        <v>0</v>
      </c>
      <c r="Q6">
        <f t="shared" si="3"/>
        <v>0</v>
      </c>
    </row>
    <row r="7" spans="2:17" x14ac:dyDescent="0.25">
      <c r="B7">
        <v>75</v>
      </c>
      <c r="N7">
        <f t="shared" si="0"/>
        <v>0</v>
      </c>
      <c r="O7">
        <f t="shared" si="1"/>
        <v>0</v>
      </c>
      <c r="P7">
        <f t="shared" si="2"/>
        <v>0</v>
      </c>
      <c r="Q7">
        <f t="shared" si="3"/>
        <v>0</v>
      </c>
    </row>
    <row r="8" spans="2:17" x14ac:dyDescent="0.25">
      <c r="B8">
        <v>75</v>
      </c>
      <c r="N8">
        <f t="shared" si="0"/>
        <v>0</v>
      </c>
      <c r="O8">
        <f t="shared" si="1"/>
        <v>0</v>
      </c>
      <c r="P8">
        <f t="shared" si="2"/>
        <v>0</v>
      </c>
      <c r="Q8">
        <f t="shared" si="3"/>
        <v>0</v>
      </c>
    </row>
    <row r="9" spans="2:17" x14ac:dyDescent="0.25">
      <c r="B9">
        <v>75</v>
      </c>
      <c r="N9">
        <f t="shared" si="0"/>
        <v>0</v>
      </c>
      <c r="O9">
        <f t="shared" si="1"/>
        <v>0</v>
      </c>
      <c r="P9">
        <f t="shared" si="2"/>
        <v>0</v>
      </c>
      <c r="Q9">
        <f t="shared" si="3"/>
        <v>0</v>
      </c>
    </row>
    <row r="10" spans="2:17" x14ac:dyDescent="0.25">
      <c r="B10" t="s">
        <v>132</v>
      </c>
      <c r="C10" t="s">
        <v>133</v>
      </c>
      <c r="N10">
        <f t="shared" si="0"/>
        <v>0</v>
      </c>
      <c r="O10">
        <f t="shared" si="1"/>
        <v>0</v>
      </c>
      <c r="P10">
        <f t="shared" si="2"/>
        <v>0</v>
      </c>
      <c r="Q10">
        <f t="shared" si="3"/>
        <v>0</v>
      </c>
    </row>
    <row r="11" spans="2:17" x14ac:dyDescent="0.25">
      <c r="B11" t="s">
        <v>138</v>
      </c>
      <c r="C11" t="s">
        <v>139</v>
      </c>
      <c r="D11" t="s">
        <v>140</v>
      </c>
      <c r="N11" t="str">
        <f t="shared" si="0"/>
        <v>1314)</v>
      </c>
      <c r="O11">
        <f t="shared" si="1"/>
        <v>0</v>
      </c>
      <c r="P11">
        <f t="shared" si="2"/>
        <v>0</v>
      </c>
      <c r="Q11">
        <f t="shared" si="3"/>
        <v>0</v>
      </c>
    </row>
    <row r="12" spans="2:17" x14ac:dyDescent="0.25">
      <c r="B12" t="s">
        <v>152</v>
      </c>
      <c r="C12" t="s">
        <v>84</v>
      </c>
      <c r="D12" t="s">
        <v>153</v>
      </c>
      <c r="E12" t="s">
        <v>104</v>
      </c>
      <c r="F12" t="s">
        <v>154</v>
      </c>
      <c r="G12" t="s">
        <v>155</v>
      </c>
      <c r="H12" t="s">
        <v>156</v>
      </c>
      <c r="I12">
        <v>11.5</v>
      </c>
      <c r="N12" s="74" t="str">
        <f t="shared" si="0"/>
        <v xml:space="preserve"> y: 85.62</v>
      </c>
      <c r="O12">
        <f t="shared" si="1"/>
        <v>0</v>
      </c>
      <c r="P12">
        <f t="shared" si="2"/>
        <v>0</v>
      </c>
      <c r="Q12">
        <f t="shared" si="3"/>
        <v>0</v>
      </c>
    </row>
    <row r="13" spans="2:17" x14ac:dyDescent="0.25">
      <c r="B13" t="s">
        <v>152</v>
      </c>
      <c r="C13" t="s">
        <v>85</v>
      </c>
      <c r="D13" t="s">
        <v>153</v>
      </c>
      <c r="E13" t="s">
        <v>104</v>
      </c>
      <c r="F13" t="s">
        <v>154</v>
      </c>
      <c r="G13" t="s">
        <v>157</v>
      </c>
      <c r="H13" t="s">
        <v>156</v>
      </c>
      <c r="I13">
        <v>12.6</v>
      </c>
      <c r="N13" t="str">
        <f t="shared" si="0"/>
        <v>MAU-R1</v>
      </c>
      <c r="O13" t="str">
        <f t="shared" si="1"/>
        <v>R1</v>
      </c>
      <c r="P13" t="str">
        <f t="shared" si="2"/>
        <v>bar22 - OB_fresnel</v>
      </c>
      <c r="Q13">
        <f t="shared" si="3"/>
        <v>11.5</v>
      </c>
    </row>
    <row r="14" spans="2:17" x14ac:dyDescent="0.25">
      <c r="B14" t="s">
        <v>152</v>
      </c>
      <c r="C14" t="s">
        <v>158</v>
      </c>
      <c r="D14" t="s">
        <v>153</v>
      </c>
      <c r="E14" t="s">
        <v>104</v>
      </c>
      <c r="F14" t="s">
        <v>154</v>
      </c>
      <c r="G14" t="s">
        <v>159</v>
      </c>
      <c r="H14" t="s">
        <v>156</v>
      </c>
      <c r="I14">
        <v>7</v>
      </c>
      <c r="N14" t="str">
        <f t="shared" si="0"/>
        <v>ERV-R.1</v>
      </c>
      <c r="O14" t="str">
        <f t="shared" si="1"/>
        <v>R1</v>
      </c>
      <c r="P14" t="str">
        <f t="shared" si="2"/>
        <v>bar21 - OB_fresnel</v>
      </c>
      <c r="Q14">
        <f t="shared" si="3"/>
        <v>12.6</v>
      </c>
    </row>
    <row r="15" spans="2:17" x14ac:dyDescent="0.25">
      <c r="B15" t="s">
        <v>152</v>
      </c>
      <c r="C15" t="s">
        <v>160</v>
      </c>
      <c r="D15" t="s">
        <v>153</v>
      </c>
      <c r="E15" t="s">
        <v>104</v>
      </c>
      <c r="F15" t="s">
        <v>154</v>
      </c>
      <c r="G15" t="s">
        <v>155</v>
      </c>
      <c r="H15" t="s">
        <v>156</v>
      </c>
      <c r="I15">
        <v>11</v>
      </c>
      <c r="N15" t="str">
        <f t="shared" si="0"/>
        <v>GEF-R1-</v>
      </c>
      <c r="O15" t="str">
        <f t="shared" si="1"/>
        <v>R1</v>
      </c>
      <c r="P15" t="str">
        <f t="shared" si="2"/>
        <v>bar2 - OB_fresnel</v>
      </c>
      <c r="Q15">
        <f t="shared" si="3"/>
        <v>7</v>
      </c>
    </row>
    <row r="16" spans="2:17" x14ac:dyDescent="0.25">
      <c r="B16" t="s">
        <v>152</v>
      </c>
      <c r="C16" t="s">
        <v>161</v>
      </c>
      <c r="D16" t="s">
        <v>153</v>
      </c>
      <c r="E16" t="s">
        <v>104</v>
      </c>
      <c r="F16" t="s">
        <v>154</v>
      </c>
      <c r="G16" t="s">
        <v>162</v>
      </c>
      <c r="H16" t="s">
        <v>156</v>
      </c>
      <c r="I16">
        <v>6.6</v>
      </c>
      <c r="N16" t="str">
        <f t="shared" si="0"/>
        <v>DEF-R1</v>
      </c>
      <c r="O16" t="str">
        <f>D15</f>
        <v xml:space="preserve"> rcvr: </v>
      </c>
      <c r="P16" t="str">
        <f>F15</f>
        <v xml:space="preserve"> bar: </v>
      </c>
      <c r="Q16">
        <f t="shared" si="3"/>
        <v>11</v>
      </c>
    </row>
    <row r="17" spans="2:17" x14ac:dyDescent="0.25">
      <c r="B17" t="s">
        <v>152</v>
      </c>
      <c r="C17" t="s">
        <v>88</v>
      </c>
      <c r="D17" t="s">
        <v>153</v>
      </c>
      <c r="E17" t="s">
        <v>104</v>
      </c>
      <c r="F17" t="s">
        <v>154</v>
      </c>
      <c r="G17" t="s">
        <v>155</v>
      </c>
      <c r="H17" t="s">
        <v>156</v>
      </c>
      <c r="I17">
        <v>9.9</v>
      </c>
      <c r="N17" t="str">
        <f t="shared" si="0"/>
        <v>KEF-R1-</v>
      </c>
      <c r="O17" t="str">
        <f t="shared" si="1"/>
        <v>R1</v>
      </c>
      <c r="P17" t="str">
        <f t="shared" si="2"/>
        <v>bar20 - OB_fresnel</v>
      </c>
      <c r="Q17">
        <f t="shared" si="3"/>
        <v>6.6</v>
      </c>
    </row>
    <row r="18" spans="2:17" x14ac:dyDescent="0.25">
      <c r="B18" t="s">
        <v>152</v>
      </c>
      <c r="C18" t="s">
        <v>89</v>
      </c>
      <c r="D18" t="s">
        <v>153</v>
      </c>
      <c r="E18" t="s">
        <v>104</v>
      </c>
      <c r="F18" t="s">
        <v>154</v>
      </c>
      <c r="G18" t="s">
        <v>163</v>
      </c>
      <c r="H18" t="s">
        <v>156</v>
      </c>
      <c r="I18">
        <v>5</v>
      </c>
      <c r="N18" t="str">
        <f t="shared" si="0"/>
        <v>DWEF-R1</v>
      </c>
      <c r="O18" t="str">
        <f t="shared" si="1"/>
        <v>R1</v>
      </c>
      <c r="P18" t="str">
        <f t="shared" si="2"/>
        <v>bar22 - OB_fresnel</v>
      </c>
      <c r="Q18">
        <f t="shared" si="3"/>
        <v>9.9</v>
      </c>
    </row>
    <row r="19" spans="2:17" x14ac:dyDescent="0.25">
      <c r="B19" t="s">
        <v>152</v>
      </c>
      <c r="C19" t="s">
        <v>90</v>
      </c>
      <c r="D19" t="s">
        <v>153</v>
      </c>
      <c r="E19" t="s">
        <v>104</v>
      </c>
      <c r="F19" t="s">
        <v>154</v>
      </c>
      <c r="G19" t="s">
        <v>163</v>
      </c>
      <c r="H19" t="s">
        <v>156</v>
      </c>
      <c r="I19">
        <v>5</v>
      </c>
      <c r="N19" t="str">
        <f t="shared" si="0"/>
        <v>CU-R1</v>
      </c>
      <c r="O19" t="str">
        <f t="shared" si="1"/>
        <v>R1</v>
      </c>
      <c r="P19" t="str">
        <f t="shared" si="2"/>
        <v>bar22 - ari</v>
      </c>
      <c r="Q19">
        <f t="shared" si="3"/>
        <v>5</v>
      </c>
    </row>
    <row r="20" spans="2:17" x14ac:dyDescent="0.25">
      <c r="B20" t="s">
        <v>152</v>
      </c>
      <c r="C20" t="s">
        <v>91</v>
      </c>
      <c r="D20" t="s">
        <v>153</v>
      </c>
      <c r="E20" t="s">
        <v>104</v>
      </c>
      <c r="F20" t="s">
        <v>154</v>
      </c>
      <c r="G20" t="s">
        <v>163</v>
      </c>
      <c r="H20" t="s">
        <v>156</v>
      </c>
      <c r="I20">
        <v>5</v>
      </c>
      <c r="N20" t="str">
        <f t="shared" si="0"/>
        <v>CU-R2</v>
      </c>
      <c r="O20" t="str">
        <f t="shared" si="1"/>
        <v>R1</v>
      </c>
      <c r="P20" t="str">
        <f t="shared" si="2"/>
        <v>bar22 - ari</v>
      </c>
      <c r="Q20">
        <f t="shared" si="3"/>
        <v>5</v>
      </c>
    </row>
    <row r="21" spans="2:17" x14ac:dyDescent="0.25">
      <c r="B21" t="s">
        <v>152</v>
      </c>
      <c r="C21" t="s">
        <v>92</v>
      </c>
      <c r="D21" t="s">
        <v>153</v>
      </c>
      <c r="E21" t="s">
        <v>104</v>
      </c>
      <c r="F21" t="s">
        <v>154</v>
      </c>
      <c r="G21" t="s">
        <v>163</v>
      </c>
      <c r="H21" t="s">
        <v>156</v>
      </c>
      <c r="I21">
        <v>4</v>
      </c>
      <c r="N21" t="str">
        <f t="shared" si="0"/>
        <v>CU-R4</v>
      </c>
      <c r="O21" t="str">
        <f t="shared" si="1"/>
        <v>R1</v>
      </c>
      <c r="P21" t="str">
        <f t="shared" si="2"/>
        <v>bar22 - ari</v>
      </c>
      <c r="Q21">
        <f t="shared" si="3"/>
        <v>5</v>
      </c>
    </row>
    <row r="22" spans="2:17" x14ac:dyDescent="0.25">
      <c r="B22" t="s">
        <v>152</v>
      </c>
      <c r="C22" t="s">
        <v>108</v>
      </c>
      <c r="D22" t="s">
        <v>153</v>
      </c>
      <c r="E22" t="s">
        <v>104</v>
      </c>
      <c r="F22" t="s">
        <v>154</v>
      </c>
      <c r="G22" t="s">
        <v>164</v>
      </c>
      <c r="H22" t="s">
        <v>156</v>
      </c>
      <c r="I22">
        <v>2</v>
      </c>
      <c r="N22" t="str">
        <f t="shared" si="0"/>
        <v>CU-R5</v>
      </c>
      <c r="O22" t="str">
        <f t="shared" si="1"/>
        <v>R1</v>
      </c>
      <c r="P22" t="str">
        <f t="shared" si="2"/>
        <v>bar22 - ari</v>
      </c>
      <c r="Q22">
        <f t="shared" si="3"/>
        <v>4</v>
      </c>
    </row>
    <row r="23" spans="2:17" x14ac:dyDescent="0.25">
      <c r="B23" t="s">
        <v>152</v>
      </c>
      <c r="C23" t="s">
        <v>109</v>
      </c>
      <c r="D23" t="s">
        <v>153</v>
      </c>
      <c r="E23" t="s">
        <v>104</v>
      </c>
      <c r="F23" t="s">
        <v>154</v>
      </c>
      <c r="G23" t="s">
        <v>165</v>
      </c>
      <c r="H23" t="s">
        <v>156</v>
      </c>
      <c r="I23">
        <v>8</v>
      </c>
      <c r="N23" t="str">
        <f t="shared" si="0"/>
        <v>RCU-R(4p)1</v>
      </c>
      <c r="O23" t="str">
        <f t="shared" si="1"/>
        <v>R1</v>
      </c>
      <c r="P23" t="str">
        <f t="shared" si="2"/>
        <v>bar2 - ari</v>
      </c>
      <c r="Q23">
        <f t="shared" si="3"/>
        <v>2</v>
      </c>
    </row>
    <row r="24" spans="2:17" x14ac:dyDescent="0.25">
      <c r="B24" t="s">
        <v>152</v>
      </c>
      <c r="C24" t="s">
        <v>110</v>
      </c>
      <c r="D24" t="s">
        <v>153</v>
      </c>
      <c r="E24" t="s">
        <v>104</v>
      </c>
      <c r="F24" t="s">
        <v>154</v>
      </c>
      <c r="G24" t="s">
        <v>163</v>
      </c>
      <c r="H24" t="s">
        <v>156</v>
      </c>
      <c r="I24">
        <v>6</v>
      </c>
      <c r="N24" t="str">
        <f t="shared" si="0"/>
        <v>RCU-R(4p)2</v>
      </c>
      <c r="O24" t="str">
        <f t="shared" si="1"/>
        <v>R1</v>
      </c>
      <c r="P24" t="str">
        <f t="shared" si="2"/>
        <v>bar20 - ari</v>
      </c>
      <c r="Q24">
        <f t="shared" si="3"/>
        <v>8</v>
      </c>
    </row>
    <row r="25" spans="2:17" x14ac:dyDescent="0.25">
      <c r="B25" t="s">
        <v>152</v>
      </c>
      <c r="C25" t="s">
        <v>94</v>
      </c>
      <c r="D25" t="s">
        <v>153</v>
      </c>
      <c r="E25" t="s">
        <v>104</v>
      </c>
      <c r="F25" t="s">
        <v>154</v>
      </c>
      <c r="G25" t="s">
        <v>163</v>
      </c>
      <c r="H25" t="s">
        <v>156</v>
      </c>
      <c r="I25">
        <v>6</v>
      </c>
      <c r="N25" t="str">
        <f t="shared" si="0"/>
        <v>RCU-R(4p)3</v>
      </c>
      <c r="O25" t="str">
        <f t="shared" si="1"/>
        <v>R1</v>
      </c>
      <c r="P25" t="str">
        <f t="shared" si="2"/>
        <v>bar22 - ari</v>
      </c>
      <c r="Q25">
        <f t="shared" si="3"/>
        <v>6</v>
      </c>
    </row>
    <row r="26" spans="2:17" x14ac:dyDescent="0.25">
      <c r="B26" t="s">
        <v>152</v>
      </c>
      <c r="C26" t="s">
        <v>112</v>
      </c>
      <c r="D26" t="s">
        <v>153</v>
      </c>
      <c r="E26" t="s">
        <v>104</v>
      </c>
      <c r="F26" t="s">
        <v>154</v>
      </c>
      <c r="G26" t="s">
        <v>163</v>
      </c>
      <c r="H26" t="s">
        <v>156</v>
      </c>
      <c r="I26">
        <v>6</v>
      </c>
      <c r="N26" t="str">
        <f t="shared" si="0"/>
        <v>RCU-R(2p)</v>
      </c>
      <c r="O26" t="str">
        <f t="shared" si="1"/>
        <v>R1</v>
      </c>
      <c r="P26" t="str">
        <f t="shared" si="2"/>
        <v>bar22 - ari</v>
      </c>
      <c r="Q26">
        <f t="shared" si="3"/>
        <v>6</v>
      </c>
    </row>
    <row r="27" spans="2:17" x14ac:dyDescent="0.25">
      <c r="B27" t="s">
        <v>152</v>
      </c>
      <c r="C27" t="s">
        <v>111</v>
      </c>
      <c r="D27" t="s">
        <v>153</v>
      </c>
      <c r="E27" t="s">
        <v>104</v>
      </c>
      <c r="F27" t="s">
        <v>154</v>
      </c>
      <c r="G27" t="s">
        <v>163</v>
      </c>
      <c r="H27" t="s">
        <v>156</v>
      </c>
      <c r="I27">
        <v>4</v>
      </c>
      <c r="N27" t="str">
        <f t="shared" si="0"/>
        <v>RCU-R(2p)1</v>
      </c>
      <c r="O27" t="str">
        <f t="shared" si="1"/>
        <v>R1</v>
      </c>
      <c r="P27" t="str">
        <f t="shared" si="2"/>
        <v>bar22 - ari</v>
      </c>
      <c r="Q27">
        <f t="shared" si="3"/>
        <v>6</v>
      </c>
    </row>
    <row r="28" spans="2:17" x14ac:dyDescent="0.25">
      <c r="B28" t="s">
        <v>152</v>
      </c>
      <c r="C28" t="s">
        <v>113</v>
      </c>
      <c r="D28" t="s">
        <v>153</v>
      </c>
      <c r="E28" t="s">
        <v>104</v>
      </c>
      <c r="F28" t="s">
        <v>154</v>
      </c>
      <c r="G28" t="s">
        <v>165</v>
      </c>
      <c r="H28" t="s">
        <v>156</v>
      </c>
      <c r="I28">
        <v>5</v>
      </c>
      <c r="N28" t="str">
        <f t="shared" si="0"/>
        <v>RCU-R(4p)4</v>
      </c>
      <c r="O28" t="str">
        <f t="shared" si="1"/>
        <v>R1</v>
      </c>
      <c r="P28" t="str">
        <f t="shared" si="2"/>
        <v>bar22 - ari</v>
      </c>
      <c r="Q28">
        <f t="shared" si="3"/>
        <v>4</v>
      </c>
    </row>
    <row r="29" spans="2:17" x14ac:dyDescent="0.25">
      <c r="B29" t="s">
        <v>152</v>
      </c>
      <c r="C29" t="s">
        <v>114</v>
      </c>
      <c r="D29" t="s">
        <v>153</v>
      </c>
      <c r="E29" t="s">
        <v>104</v>
      </c>
      <c r="F29" t="s">
        <v>154</v>
      </c>
      <c r="G29" t="s">
        <v>165</v>
      </c>
      <c r="H29" t="s">
        <v>156</v>
      </c>
      <c r="I29">
        <v>6</v>
      </c>
      <c r="N29" t="str">
        <f t="shared" si="0"/>
        <v>RCU-R(2p)2</v>
      </c>
      <c r="O29" t="str">
        <f t="shared" si="1"/>
        <v>R1</v>
      </c>
      <c r="P29" t="str">
        <f t="shared" si="2"/>
        <v>bar20 - ari</v>
      </c>
      <c r="Q29">
        <f t="shared" si="3"/>
        <v>5</v>
      </c>
    </row>
    <row r="30" spans="2:17" x14ac:dyDescent="0.25">
      <c r="B30" t="s">
        <v>152</v>
      </c>
      <c r="C30" t="s">
        <v>115</v>
      </c>
      <c r="D30" t="s">
        <v>153</v>
      </c>
      <c r="E30" t="s">
        <v>104</v>
      </c>
      <c r="F30" t="s">
        <v>154</v>
      </c>
      <c r="G30" t="s">
        <v>165</v>
      </c>
      <c r="H30" t="s">
        <v>156</v>
      </c>
      <c r="I30">
        <v>7</v>
      </c>
      <c r="N30" t="str">
        <f t="shared" si="0"/>
        <v>RCU-R(2p)3</v>
      </c>
      <c r="O30" t="str">
        <f t="shared" si="1"/>
        <v>R1</v>
      </c>
      <c r="P30" t="str">
        <f t="shared" si="2"/>
        <v>bar20 - ari</v>
      </c>
      <c r="Q30">
        <f t="shared" si="3"/>
        <v>6</v>
      </c>
    </row>
    <row r="31" spans="2:17" x14ac:dyDescent="0.25">
      <c r="B31" t="s">
        <v>152</v>
      </c>
      <c r="C31" t="s">
        <v>116</v>
      </c>
      <c r="D31" t="s">
        <v>153</v>
      </c>
      <c r="E31" t="s">
        <v>104</v>
      </c>
      <c r="F31" t="s">
        <v>154</v>
      </c>
      <c r="G31" t="s">
        <v>165</v>
      </c>
      <c r="H31" t="s">
        <v>156</v>
      </c>
      <c r="I31">
        <v>7</v>
      </c>
      <c r="N31" t="str">
        <f t="shared" si="0"/>
        <v>RCU-R(2p)4</v>
      </c>
      <c r="O31" t="str">
        <f t="shared" si="1"/>
        <v>R1</v>
      </c>
      <c r="P31" t="str">
        <f t="shared" si="2"/>
        <v>bar20 - ari</v>
      </c>
      <c r="Q31">
        <f t="shared" si="3"/>
        <v>7</v>
      </c>
    </row>
    <row r="32" spans="2:17" x14ac:dyDescent="0.25">
      <c r="B32" t="s">
        <v>152</v>
      </c>
      <c r="C32" t="s">
        <v>117</v>
      </c>
      <c r="D32" t="s">
        <v>153</v>
      </c>
      <c r="E32" t="s">
        <v>104</v>
      </c>
      <c r="F32" t="s">
        <v>154</v>
      </c>
      <c r="G32" t="s">
        <v>165</v>
      </c>
      <c r="H32" t="s">
        <v>156</v>
      </c>
      <c r="I32">
        <v>7</v>
      </c>
      <c r="N32" t="str">
        <f t="shared" si="0"/>
        <v>RCU-R(2p)5</v>
      </c>
      <c r="O32" t="str">
        <f t="shared" si="1"/>
        <v>R1</v>
      </c>
      <c r="P32" t="str">
        <f t="shared" si="2"/>
        <v>bar20 - ari</v>
      </c>
      <c r="Q32">
        <f t="shared" si="3"/>
        <v>7</v>
      </c>
    </row>
    <row r="33" spans="2:17" x14ac:dyDescent="0.25">
      <c r="B33" t="s">
        <v>152</v>
      </c>
      <c r="C33" t="s">
        <v>166</v>
      </c>
      <c r="D33" t="s">
        <v>153</v>
      </c>
      <c r="E33" t="s">
        <v>104</v>
      </c>
      <c r="F33" t="s">
        <v>154</v>
      </c>
      <c r="G33" t="s">
        <v>167</v>
      </c>
      <c r="H33" t="s">
        <v>156</v>
      </c>
      <c r="I33">
        <v>0</v>
      </c>
      <c r="N33" t="str">
        <f t="shared" si="0"/>
        <v>RCU-R(2p)6</v>
      </c>
      <c r="O33" t="str">
        <f t="shared" si="1"/>
        <v>R1</v>
      </c>
      <c r="P33" t="str">
        <f t="shared" si="2"/>
        <v>bar20 - ari</v>
      </c>
      <c r="Q33">
        <f t="shared" si="3"/>
        <v>7</v>
      </c>
    </row>
    <row r="34" spans="2:17" x14ac:dyDescent="0.25">
      <c r="B34" t="s">
        <v>152</v>
      </c>
      <c r="C34" t="s">
        <v>168</v>
      </c>
      <c r="D34" t="s">
        <v>153</v>
      </c>
      <c r="E34" t="s">
        <v>104</v>
      </c>
      <c r="F34" t="s">
        <v>154</v>
      </c>
      <c r="G34" t="s">
        <v>167</v>
      </c>
      <c r="H34" t="s">
        <v>156</v>
      </c>
      <c r="I34">
        <v>0</v>
      </c>
      <c r="N34" t="str">
        <f t="shared" si="0"/>
        <v>BEF-R01-</v>
      </c>
      <c r="O34" t="str">
        <f t="shared" si="1"/>
        <v>R1</v>
      </c>
      <c r="P34" t="str">
        <f t="shared" si="2"/>
        <v>None</v>
      </c>
      <c r="Q34">
        <f t="shared" si="3"/>
        <v>0</v>
      </c>
    </row>
    <row r="35" spans="2:17" x14ac:dyDescent="0.25">
      <c r="B35" t="s">
        <v>152</v>
      </c>
      <c r="C35" t="s">
        <v>169</v>
      </c>
      <c r="D35" t="s">
        <v>153</v>
      </c>
      <c r="E35" t="s">
        <v>104</v>
      </c>
      <c r="F35" t="s">
        <v>154</v>
      </c>
      <c r="G35" t="s">
        <v>163</v>
      </c>
      <c r="H35" t="s">
        <v>156</v>
      </c>
      <c r="I35">
        <v>4</v>
      </c>
      <c r="N35" t="str">
        <f t="shared" si="0"/>
        <v>BEF-R02-</v>
      </c>
      <c r="O35" t="str">
        <f t="shared" si="1"/>
        <v>R1</v>
      </c>
      <c r="P35" t="str">
        <f t="shared" si="2"/>
        <v>None</v>
      </c>
      <c r="Q35">
        <f t="shared" si="3"/>
        <v>0</v>
      </c>
    </row>
    <row r="36" spans="2:17" x14ac:dyDescent="0.25">
      <c r="B36" t="s">
        <v>152</v>
      </c>
      <c r="C36" t="s">
        <v>170</v>
      </c>
      <c r="D36" t="s">
        <v>153</v>
      </c>
      <c r="E36" t="s">
        <v>104</v>
      </c>
      <c r="F36" t="s">
        <v>154</v>
      </c>
      <c r="G36" t="s">
        <v>163</v>
      </c>
      <c r="H36" t="s">
        <v>156</v>
      </c>
      <c r="I36">
        <v>5</v>
      </c>
      <c r="N36" t="str">
        <f t="shared" si="0"/>
        <v>BEF-R03-</v>
      </c>
      <c r="O36" t="str">
        <f t="shared" si="1"/>
        <v>R1</v>
      </c>
      <c r="P36" t="str">
        <f t="shared" si="2"/>
        <v>bar22 - ari</v>
      </c>
      <c r="Q36">
        <f t="shared" si="3"/>
        <v>4</v>
      </c>
    </row>
    <row r="37" spans="2:17" x14ac:dyDescent="0.25">
      <c r="B37" t="s">
        <v>152</v>
      </c>
      <c r="C37" t="s">
        <v>171</v>
      </c>
      <c r="D37" t="s">
        <v>153</v>
      </c>
      <c r="E37" t="s">
        <v>104</v>
      </c>
      <c r="F37" t="s">
        <v>154</v>
      </c>
      <c r="G37" t="s">
        <v>167</v>
      </c>
      <c r="H37" t="s">
        <v>156</v>
      </c>
      <c r="I37">
        <v>0</v>
      </c>
      <c r="N37" t="str">
        <f t="shared" si="0"/>
        <v>BEF-R04-</v>
      </c>
      <c r="O37" t="str">
        <f t="shared" si="1"/>
        <v>R1</v>
      </c>
      <c r="P37" t="str">
        <f t="shared" si="2"/>
        <v>bar22 - ari</v>
      </c>
      <c r="Q37">
        <f t="shared" si="3"/>
        <v>5</v>
      </c>
    </row>
    <row r="38" spans="2:17" x14ac:dyDescent="0.25">
      <c r="B38" t="s">
        <v>152</v>
      </c>
      <c r="C38" t="s">
        <v>172</v>
      </c>
      <c r="D38" t="s">
        <v>153</v>
      </c>
      <c r="E38" t="s">
        <v>104</v>
      </c>
      <c r="F38" t="s">
        <v>154</v>
      </c>
      <c r="G38" t="s">
        <v>167</v>
      </c>
      <c r="H38" t="s">
        <v>156</v>
      </c>
      <c r="I38">
        <v>0</v>
      </c>
      <c r="N38" t="str">
        <f t="shared" si="0"/>
        <v>BEF-R05-</v>
      </c>
      <c r="O38" t="str">
        <f t="shared" si="1"/>
        <v>R1</v>
      </c>
      <c r="P38" t="str">
        <f t="shared" si="2"/>
        <v>None</v>
      </c>
      <c r="Q38">
        <f t="shared" si="3"/>
        <v>0</v>
      </c>
    </row>
    <row r="39" spans="2:17" x14ac:dyDescent="0.25">
      <c r="B39" t="s">
        <v>152</v>
      </c>
      <c r="C39" t="s">
        <v>173</v>
      </c>
      <c r="D39" t="s">
        <v>153</v>
      </c>
      <c r="E39" t="s">
        <v>104</v>
      </c>
      <c r="F39" t="s">
        <v>154</v>
      </c>
      <c r="G39" t="s">
        <v>167</v>
      </c>
      <c r="H39" t="s">
        <v>156</v>
      </c>
      <c r="I39">
        <v>0</v>
      </c>
      <c r="N39" t="str">
        <f t="shared" si="0"/>
        <v>BEF-R06-</v>
      </c>
      <c r="O39" t="str">
        <f t="shared" si="1"/>
        <v>R1</v>
      </c>
      <c r="P39" t="str">
        <f t="shared" si="2"/>
        <v>None</v>
      </c>
      <c r="Q39">
        <f t="shared" si="3"/>
        <v>0</v>
      </c>
    </row>
    <row r="40" spans="2:17" x14ac:dyDescent="0.25">
      <c r="B40" t="s">
        <v>152</v>
      </c>
      <c r="C40" t="s">
        <v>174</v>
      </c>
      <c r="D40" t="s">
        <v>153</v>
      </c>
      <c r="E40" t="s">
        <v>104</v>
      </c>
      <c r="F40" t="s">
        <v>154</v>
      </c>
      <c r="G40" t="s">
        <v>164</v>
      </c>
      <c r="H40" t="s">
        <v>156</v>
      </c>
      <c r="I40">
        <v>1</v>
      </c>
      <c r="N40" t="str">
        <f t="shared" si="0"/>
        <v>BEF-R07-</v>
      </c>
      <c r="O40" t="str">
        <f t="shared" si="1"/>
        <v>R1</v>
      </c>
      <c r="P40" t="str">
        <f t="shared" si="2"/>
        <v>None</v>
      </c>
      <c r="Q40">
        <f t="shared" si="3"/>
        <v>0</v>
      </c>
    </row>
    <row r="41" spans="2:17" x14ac:dyDescent="0.25">
      <c r="B41" t="s">
        <v>152</v>
      </c>
      <c r="C41" t="s">
        <v>175</v>
      </c>
      <c r="D41" t="s">
        <v>153</v>
      </c>
      <c r="E41" t="s">
        <v>104</v>
      </c>
      <c r="F41" t="s">
        <v>154</v>
      </c>
      <c r="G41" t="s">
        <v>164</v>
      </c>
      <c r="H41" t="s">
        <v>156</v>
      </c>
      <c r="I41">
        <v>1</v>
      </c>
      <c r="N41" t="str">
        <f t="shared" si="0"/>
        <v>BEF-R08-</v>
      </c>
      <c r="O41" t="str">
        <f t="shared" si="1"/>
        <v>R1</v>
      </c>
      <c r="P41" t="str">
        <f t="shared" si="2"/>
        <v>bar2 - ari</v>
      </c>
      <c r="Q41">
        <f t="shared" si="3"/>
        <v>1</v>
      </c>
    </row>
    <row r="42" spans="2:17" x14ac:dyDescent="0.25">
      <c r="B42" t="s">
        <v>152</v>
      </c>
      <c r="C42" t="s">
        <v>176</v>
      </c>
      <c r="D42" t="s">
        <v>153</v>
      </c>
      <c r="E42" t="s">
        <v>104</v>
      </c>
      <c r="F42" t="s">
        <v>154</v>
      </c>
      <c r="G42" t="s">
        <v>163</v>
      </c>
      <c r="H42" t="s">
        <v>156</v>
      </c>
      <c r="I42">
        <v>7</v>
      </c>
      <c r="N42" t="str">
        <f t="shared" si="0"/>
        <v>BEF-R09-</v>
      </c>
      <c r="O42" t="str">
        <f t="shared" si="1"/>
        <v>R1</v>
      </c>
      <c r="P42" t="str">
        <f t="shared" si="2"/>
        <v>bar2 - ari</v>
      </c>
      <c r="Q42">
        <f t="shared" si="3"/>
        <v>1</v>
      </c>
    </row>
    <row r="43" spans="2:17" x14ac:dyDescent="0.25">
      <c r="B43" t="s">
        <v>152</v>
      </c>
      <c r="C43" t="s">
        <v>177</v>
      </c>
      <c r="D43" t="s">
        <v>153</v>
      </c>
      <c r="E43" t="s">
        <v>104</v>
      </c>
      <c r="F43" t="s">
        <v>154</v>
      </c>
      <c r="G43" t="s">
        <v>163</v>
      </c>
      <c r="H43" t="s">
        <v>156</v>
      </c>
      <c r="I43">
        <v>7</v>
      </c>
      <c r="N43" t="str">
        <f t="shared" si="0"/>
        <v>BEF-R10-</v>
      </c>
      <c r="O43" t="str">
        <f t="shared" si="1"/>
        <v>R1</v>
      </c>
      <c r="P43" t="str">
        <f t="shared" si="2"/>
        <v>bar22 - ari</v>
      </c>
      <c r="Q43">
        <f t="shared" si="3"/>
        <v>7</v>
      </c>
    </row>
    <row r="44" spans="2:17" x14ac:dyDescent="0.25">
      <c r="B44" t="s">
        <v>152</v>
      </c>
      <c r="C44" t="s">
        <v>178</v>
      </c>
      <c r="D44" t="s">
        <v>153</v>
      </c>
      <c r="E44" t="s">
        <v>104</v>
      </c>
      <c r="F44" t="s">
        <v>154</v>
      </c>
      <c r="G44" t="s">
        <v>165</v>
      </c>
      <c r="H44" t="s">
        <v>156</v>
      </c>
      <c r="I44">
        <v>7</v>
      </c>
      <c r="N44" t="str">
        <f t="shared" si="0"/>
        <v>BEF-R11-</v>
      </c>
      <c r="O44" t="str">
        <f t="shared" si="1"/>
        <v>R1</v>
      </c>
      <c r="P44" t="str">
        <f t="shared" si="2"/>
        <v>bar22 - ari</v>
      </c>
      <c r="Q44">
        <f t="shared" si="3"/>
        <v>7</v>
      </c>
    </row>
    <row r="45" spans="2:17" x14ac:dyDescent="0.25">
      <c r="B45" t="s">
        <v>152</v>
      </c>
      <c r="C45" t="s">
        <v>179</v>
      </c>
      <c r="D45" t="s">
        <v>153</v>
      </c>
      <c r="E45" t="s">
        <v>104</v>
      </c>
      <c r="F45" t="s">
        <v>154</v>
      </c>
      <c r="G45" t="s">
        <v>165</v>
      </c>
      <c r="H45" t="s">
        <v>156</v>
      </c>
      <c r="I45">
        <v>5</v>
      </c>
      <c r="N45" t="str">
        <f t="shared" si="0"/>
        <v>BEF-R12-</v>
      </c>
      <c r="O45" t="str">
        <f t="shared" si="1"/>
        <v>R1</v>
      </c>
      <c r="P45" t="str">
        <f t="shared" si="2"/>
        <v>bar20 - ari</v>
      </c>
      <c r="Q45">
        <f t="shared" si="3"/>
        <v>7</v>
      </c>
    </row>
    <row r="46" spans="2:17" x14ac:dyDescent="0.25">
      <c r="B46" t="s">
        <v>152</v>
      </c>
      <c r="C46" t="s">
        <v>180</v>
      </c>
      <c r="D46" t="s">
        <v>153</v>
      </c>
      <c r="E46" t="s">
        <v>104</v>
      </c>
      <c r="F46" t="s">
        <v>154</v>
      </c>
      <c r="G46" t="s">
        <v>181</v>
      </c>
      <c r="H46" t="s">
        <v>156</v>
      </c>
      <c r="I46">
        <v>2</v>
      </c>
      <c r="N46" t="str">
        <f t="shared" si="0"/>
        <v>BEF-R13-</v>
      </c>
      <c r="O46" t="str">
        <f t="shared" si="1"/>
        <v>R1</v>
      </c>
      <c r="P46" t="str">
        <f t="shared" si="2"/>
        <v>bar20 - ari</v>
      </c>
      <c r="Q46">
        <f t="shared" si="3"/>
        <v>5</v>
      </c>
    </row>
    <row r="47" spans="2:17" x14ac:dyDescent="0.25">
      <c r="B47" t="s">
        <v>152</v>
      </c>
      <c r="C47" t="s">
        <v>182</v>
      </c>
      <c r="D47" t="s">
        <v>153</v>
      </c>
      <c r="E47" t="s">
        <v>104</v>
      </c>
      <c r="F47" t="s">
        <v>154</v>
      </c>
      <c r="G47" t="s">
        <v>167</v>
      </c>
      <c r="H47" t="s">
        <v>156</v>
      </c>
      <c r="I47">
        <v>0</v>
      </c>
      <c r="N47" t="str">
        <f t="shared" si="0"/>
        <v>BEF-R14-</v>
      </c>
      <c r="O47" t="str">
        <f t="shared" si="1"/>
        <v>R1</v>
      </c>
      <c r="P47" t="str">
        <f t="shared" si="2"/>
        <v>bar18 - ari</v>
      </c>
      <c r="Q47">
        <f t="shared" si="3"/>
        <v>2</v>
      </c>
    </row>
    <row r="48" spans="2:17" x14ac:dyDescent="0.25">
      <c r="B48" t="s">
        <v>152</v>
      </c>
      <c r="C48" t="s">
        <v>183</v>
      </c>
      <c r="D48" t="s">
        <v>153</v>
      </c>
      <c r="E48" t="s">
        <v>104</v>
      </c>
      <c r="F48" t="s">
        <v>154</v>
      </c>
      <c r="G48" t="s">
        <v>165</v>
      </c>
      <c r="H48" t="s">
        <v>156</v>
      </c>
      <c r="I48">
        <v>7</v>
      </c>
      <c r="N48" t="str">
        <f t="shared" si="0"/>
        <v>BEF-R15-</v>
      </c>
      <c r="O48" t="str">
        <f t="shared" si="1"/>
        <v>R1</v>
      </c>
      <c r="P48" t="str">
        <f t="shared" si="2"/>
        <v>None</v>
      </c>
      <c r="Q48">
        <f t="shared" si="3"/>
        <v>0</v>
      </c>
    </row>
    <row r="49" spans="2:17" x14ac:dyDescent="0.25">
      <c r="B49" t="s">
        <v>141</v>
      </c>
      <c r="C49" t="s">
        <v>142</v>
      </c>
      <c r="D49" t="s">
        <v>143</v>
      </c>
      <c r="N49" t="str">
        <f t="shared" si="0"/>
        <v>BEF-R16-</v>
      </c>
      <c r="O49" t="str">
        <f t="shared" si="1"/>
        <v>R1</v>
      </c>
      <c r="P49" t="str">
        <f t="shared" si="2"/>
        <v>bar20 - ari</v>
      </c>
      <c r="Q49">
        <f t="shared" si="3"/>
        <v>7</v>
      </c>
    </row>
    <row r="50" spans="2:17" x14ac:dyDescent="0.25">
      <c r="B50" t="s">
        <v>152</v>
      </c>
      <c r="C50" t="s">
        <v>84</v>
      </c>
      <c r="D50" t="s">
        <v>153</v>
      </c>
      <c r="E50" t="s">
        <v>28</v>
      </c>
      <c r="F50" t="s">
        <v>154</v>
      </c>
      <c r="G50" t="s">
        <v>184</v>
      </c>
      <c r="H50" t="s">
        <v>156</v>
      </c>
      <c r="I50">
        <v>16.899999999999999</v>
      </c>
      <c r="N50" s="74" t="str">
        <f t="shared" si="0"/>
        <v xml:space="preserve"> y: 52.77</v>
      </c>
      <c r="O50">
        <f t="shared" si="1"/>
        <v>0</v>
      </c>
      <c r="P50">
        <f t="shared" si="2"/>
        <v>0</v>
      </c>
      <c r="Q50">
        <f t="shared" si="3"/>
        <v>0</v>
      </c>
    </row>
    <row r="51" spans="2:17" x14ac:dyDescent="0.25">
      <c r="B51" t="s">
        <v>152</v>
      </c>
      <c r="C51" t="s">
        <v>85</v>
      </c>
      <c r="D51" t="s">
        <v>153</v>
      </c>
      <c r="E51" t="s">
        <v>28</v>
      </c>
      <c r="F51" t="s">
        <v>154</v>
      </c>
      <c r="G51" t="s">
        <v>184</v>
      </c>
      <c r="H51" t="s">
        <v>156</v>
      </c>
      <c r="I51">
        <v>17.600000000000001</v>
      </c>
      <c r="N51" t="str">
        <f t="shared" si="0"/>
        <v>MAU-R1</v>
      </c>
      <c r="O51" t="str">
        <f t="shared" si="1"/>
        <v>R2</v>
      </c>
      <c r="P51" t="str">
        <f t="shared" si="2"/>
        <v>bar1 - OB_fresnel</v>
      </c>
      <c r="Q51">
        <f t="shared" si="3"/>
        <v>16.899999999999999</v>
      </c>
    </row>
    <row r="52" spans="2:17" x14ac:dyDescent="0.25">
      <c r="B52" t="s">
        <v>152</v>
      </c>
      <c r="C52" t="s">
        <v>158</v>
      </c>
      <c r="D52" t="s">
        <v>153</v>
      </c>
      <c r="E52" t="s">
        <v>28</v>
      </c>
      <c r="F52" t="s">
        <v>154</v>
      </c>
      <c r="G52" t="s">
        <v>159</v>
      </c>
      <c r="H52" t="s">
        <v>156</v>
      </c>
      <c r="I52">
        <v>15.9</v>
      </c>
      <c r="N52" t="str">
        <f t="shared" si="0"/>
        <v>ERV-R.1</v>
      </c>
      <c r="O52" t="str">
        <f t="shared" si="1"/>
        <v>R2</v>
      </c>
      <c r="P52" t="str">
        <f t="shared" si="2"/>
        <v>bar1 - OB_fresnel</v>
      </c>
      <c r="Q52">
        <f t="shared" si="3"/>
        <v>17.600000000000001</v>
      </c>
    </row>
    <row r="53" spans="2:17" x14ac:dyDescent="0.25">
      <c r="B53" t="s">
        <v>152</v>
      </c>
      <c r="C53" t="s">
        <v>160</v>
      </c>
      <c r="D53" t="s">
        <v>153</v>
      </c>
      <c r="E53" t="s">
        <v>28</v>
      </c>
      <c r="F53" t="s">
        <v>154</v>
      </c>
      <c r="G53" t="s">
        <v>184</v>
      </c>
      <c r="H53" t="s">
        <v>156</v>
      </c>
      <c r="I53">
        <v>15.3</v>
      </c>
      <c r="N53" t="str">
        <f t="shared" si="0"/>
        <v>GEF-R1-</v>
      </c>
      <c r="O53" t="str">
        <f t="shared" si="1"/>
        <v>R2</v>
      </c>
      <c r="P53" t="str">
        <f t="shared" si="2"/>
        <v>bar2 - OB_fresnel</v>
      </c>
      <c r="Q53">
        <f t="shared" si="3"/>
        <v>15.9</v>
      </c>
    </row>
    <row r="54" spans="2:17" x14ac:dyDescent="0.25">
      <c r="B54" t="s">
        <v>152</v>
      </c>
      <c r="C54" t="s">
        <v>161</v>
      </c>
      <c r="D54" t="s">
        <v>153</v>
      </c>
      <c r="E54" t="s">
        <v>28</v>
      </c>
      <c r="F54" t="s">
        <v>154</v>
      </c>
      <c r="G54" t="s">
        <v>184</v>
      </c>
      <c r="H54" t="s">
        <v>156</v>
      </c>
      <c r="I54">
        <v>15.4</v>
      </c>
      <c r="N54" t="str">
        <f t="shared" si="0"/>
        <v>DEF-R1</v>
      </c>
      <c r="O54" t="str">
        <f>D53</f>
        <v xml:space="preserve"> rcvr: </v>
      </c>
      <c r="P54" t="str">
        <f>F53</f>
        <v xml:space="preserve"> bar: </v>
      </c>
      <c r="Q54">
        <f t="shared" si="3"/>
        <v>15.3</v>
      </c>
    </row>
    <row r="55" spans="2:17" x14ac:dyDescent="0.25">
      <c r="B55" t="s">
        <v>152</v>
      </c>
      <c r="C55" t="s">
        <v>88</v>
      </c>
      <c r="D55" t="s">
        <v>153</v>
      </c>
      <c r="E55" t="s">
        <v>28</v>
      </c>
      <c r="F55" t="s">
        <v>154</v>
      </c>
      <c r="G55" t="s">
        <v>184</v>
      </c>
      <c r="H55" t="s">
        <v>156</v>
      </c>
      <c r="I55">
        <v>16.100000000000001</v>
      </c>
      <c r="N55" t="str">
        <f t="shared" si="0"/>
        <v>KEF-R1-</v>
      </c>
      <c r="O55" t="str">
        <f t="shared" si="1"/>
        <v>R2</v>
      </c>
      <c r="P55" t="str">
        <f t="shared" si="2"/>
        <v>bar1 - OB_fresnel</v>
      </c>
      <c r="Q55">
        <f t="shared" si="3"/>
        <v>15.4</v>
      </c>
    </row>
    <row r="56" spans="2:17" x14ac:dyDescent="0.25">
      <c r="B56" t="s">
        <v>152</v>
      </c>
      <c r="C56" t="s">
        <v>89</v>
      </c>
      <c r="D56" t="s">
        <v>153</v>
      </c>
      <c r="E56" t="s">
        <v>28</v>
      </c>
      <c r="F56" t="s">
        <v>154</v>
      </c>
      <c r="G56" t="s">
        <v>185</v>
      </c>
      <c r="H56" t="s">
        <v>156</v>
      </c>
      <c r="I56">
        <v>8</v>
      </c>
      <c r="N56" t="str">
        <f t="shared" si="0"/>
        <v>DWEF-R1</v>
      </c>
      <c r="O56" t="str">
        <f t="shared" si="1"/>
        <v>R2</v>
      </c>
      <c r="P56" t="str">
        <f t="shared" si="2"/>
        <v>bar1 - OB_fresnel</v>
      </c>
      <c r="Q56">
        <f t="shared" si="3"/>
        <v>16.100000000000001</v>
      </c>
    </row>
    <row r="57" spans="2:17" x14ac:dyDescent="0.25">
      <c r="B57" t="s">
        <v>152</v>
      </c>
      <c r="C57" t="s">
        <v>90</v>
      </c>
      <c r="D57" t="s">
        <v>153</v>
      </c>
      <c r="E57" t="s">
        <v>28</v>
      </c>
      <c r="F57" t="s">
        <v>154</v>
      </c>
      <c r="G57" t="s">
        <v>185</v>
      </c>
      <c r="H57" t="s">
        <v>156</v>
      </c>
      <c r="I57">
        <v>10</v>
      </c>
      <c r="N57" t="str">
        <f t="shared" si="0"/>
        <v>CU-R1</v>
      </c>
      <c r="O57" t="str">
        <f t="shared" si="1"/>
        <v>R2</v>
      </c>
      <c r="P57" t="str">
        <f t="shared" si="2"/>
        <v>bar1 - ari</v>
      </c>
      <c r="Q57">
        <f t="shared" si="3"/>
        <v>8</v>
      </c>
    </row>
    <row r="58" spans="2:17" x14ac:dyDescent="0.25">
      <c r="B58" t="s">
        <v>152</v>
      </c>
      <c r="C58" t="s">
        <v>91</v>
      </c>
      <c r="D58" t="s">
        <v>153</v>
      </c>
      <c r="E58" t="s">
        <v>28</v>
      </c>
      <c r="F58" t="s">
        <v>154</v>
      </c>
      <c r="G58" t="s">
        <v>185</v>
      </c>
      <c r="H58" t="s">
        <v>156</v>
      </c>
      <c r="I58">
        <v>10</v>
      </c>
      <c r="N58" t="str">
        <f t="shared" si="0"/>
        <v>CU-R2</v>
      </c>
      <c r="O58" t="str">
        <f t="shared" si="1"/>
        <v>R2</v>
      </c>
      <c r="P58" t="str">
        <f t="shared" si="2"/>
        <v>bar1 - ari</v>
      </c>
      <c r="Q58">
        <f t="shared" si="3"/>
        <v>10</v>
      </c>
    </row>
    <row r="59" spans="2:17" x14ac:dyDescent="0.25">
      <c r="B59" t="s">
        <v>152</v>
      </c>
      <c r="C59" t="s">
        <v>92</v>
      </c>
      <c r="D59" t="s">
        <v>153</v>
      </c>
      <c r="E59" t="s">
        <v>28</v>
      </c>
      <c r="F59" t="s">
        <v>154</v>
      </c>
      <c r="G59" t="s">
        <v>185</v>
      </c>
      <c r="H59" t="s">
        <v>156</v>
      </c>
      <c r="I59">
        <v>8</v>
      </c>
      <c r="N59" t="str">
        <f t="shared" si="0"/>
        <v>CU-R4</v>
      </c>
      <c r="O59" t="str">
        <f t="shared" si="1"/>
        <v>R2</v>
      </c>
      <c r="P59" t="str">
        <f t="shared" si="2"/>
        <v>bar1 - ari</v>
      </c>
      <c r="Q59">
        <f t="shared" si="3"/>
        <v>10</v>
      </c>
    </row>
    <row r="60" spans="2:17" x14ac:dyDescent="0.25">
      <c r="B60" t="s">
        <v>152</v>
      </c>
      <c r="C60" t="s">
        <v>108</v>
      </c>
      <c r="D60" t="s">
        <v>153</v>
      </c>
      <c r="E60" t="s">
        <v>28</v>
      </c>
      <c r="F60" t="s">
        <v>154</v>
      </c>
      <c r="G60" t="s">
        <v>164</v>
      </c>
      <c r="H60" t="s">
        <v>156</v>
      </c>
      <c r="I60">
        <v>13</v>
      </c>
      <c r="N60" t="str">
        <f t="shared" si="0"/>
        <v>CU-R5</v>
      </c>
      <c r="O60" t="str">
        <f t="shared" si="1"/>
        <v>R2</v>
      </c>
      <c r="P60" t="str">
        <f t="shared" si="2"/>
        <v>bar1 - ari</v>
      </c>
      <c r="Q60">
        <f t="shared" si="3"/>
        <v>8</v>
      </c>
    </row>
    <row r="61" spans="2:17" x14ac:dyDescent="0.25">
      <c r="B61" t="s">
        <v>152</v>
      </c>
      <c r="C61" t="s">
        <v>109</v>
      </c>
      <c r="D61" t="s">
        <v>153</v>
      </c>
      <c r="E61" t="s">
        <v>28</v>
      </c>
      <c r="F61" t="s">
        <v>154</v>
      </c>
      <c r="G61" t="s">
        <v>185</v>
      </c>
      <c r="H61" t="s">
        <v>156</v>
      </c>
      <c r="I61">
        <v>14</v>
      </c>
      <c r="N61" t="str">
        <f t="shared" si="0"/>
        <v>RCU-R(4p)1</v>
      </c>
      <c r="O61" t="str">
        <f t="shared" si="1"/>
        <v>R2</v>
      </c>
      <c r="P61" t="str">
        <f t="shared" si="2"/>
        <v>bar2 - ari</v>
      </c>
      <c r="Q61">
        <f t="shared" si="3"/>
        <v>13</v>
      </c>
    </row>
    <row r="62" spans="2:17" x14ac:dyDescent="0.25">
      <c r="B62" t="s">
        <v>152</v>
      </c>
      <c r="C62" t="s">
        <v>110</v>
      </c>
      <c r="D62" t="s">
        <v>153</v>
      </c>
      <c r="E62" t="s">
        <v>28</v>
      </c>
      <c r="F62" t="s">
        <v>154</v>
      </c>
      <c r="G62" t="s">
        <v>185</v>
      </c>
      <c r="H62" t="s">
        <v>156</v>
      </c>
      <c r="I62">
        <v>8</v>
      </c>
      <c r="N62" t="str">
        <f t="shared" si="0"/>
        <v>RCU-R(4p)2</v>
      </c>
      <c r="O62" t="str">
        <f t="shared" si="1"/>
        <v>R2</v>
      </c>
      <c r="P62" t="str">
        <f t="shared" si="2"/>
        <v>bar1 - ari</v>
      </c>
      <c r="Q62">
        <f t="shared" si="3"/>
        <v>14</v>
      </c>
    </row>
    <row r="63" spans="2:17" x14ac:dyDescent="0.25">
      <c r="B63" t="s">
        <v>152</v>
      </c>
      <c r="C63" t="s">
        <v>94</v>
      </c>
      <c r="D63" t="s">
        <v>153</v>
      </c>
      <c r="E63" t="s">
        <v>28</v>
      </c>
      <c r="F63" t="s">
        <v>154</v>
      </c>
      <c r="G63" t="s">
        <v>185</v>
      </c>
      <c r="H63" t="s">
        <v>156</v>
      </c>
      <c r="I63">
        <v>8</v>
      </c>
      <c r="N63" t="str">
        <f t="shared" si="0"/>
        <v>RCU-R(4p)3</v>
      </c>
      <c r="O63" t="str">
        <f t="shared" si="1"/>
        <v>R2</v>
      </c>
      <c r="P63" t="str">
        <f t="shared" si="2"/>
        <v>bar1 - ari</v>
      </c>
      <c r="Q63">
        <f t="shared" si="3"/>
        <v>8</v>
      </c>
    </row>
    <row r="64" spans="2:17" x14ac:dyDescent="0.25">
      <c r="B64" t="s">
        <v>152</v>
      </c>
      <c r="C64" t="s">
        <v>112</v>
      </c>
      <c r="D64" t="s">
        <v>153</v>
      </c>
      <c r="E64" t="s">
        <v>28</v>
      </c>
      <c r="F64" t="s">
        <v>154</v>
      </c>
      <c r="G64" t="s">
        <v>185</v>
      </c>
      <c r="H64" t="s">
        <v>156</v>
      </c>
      <c r="I64">
        <v>9</v>
      </c>
      <c r="N64" t="str">
        <f t="shared" si="0"/>
        <v>RCU-R(2p)</v>
      </c>
      <c r="O64" t="str">
        <f t="shared" si="1"/>
        <v>R2</v>
      </c>
      <c r="P64" t="str">
        <f t="shared" si="2"/>
        <v>bar1 - ari</v>
      </c>
      <c r="Q64">
        <f t="shared" si="3"/>
        <v>8</v>
      </c>
    </row>
    <row r="65" spans="2:17" x14ac:dyDescent="0.25">
      <c r="B65" t="s">
        <v>152</v>
      </c>
      <c r="C65" t="s">
        <v>111</v>
      </c>
      <c r="D65" t="s">
        <v>153</v>
      </c>
      <c r="E65" t="s">
        <v>28</v>
      </c>
      <c r="F65" t="s">
        <v>154</v>
      </c>
      <c r="G65" t="s">
        <v>185</v>
      </c>
      <c r="H65" t="s">
        <v>156</v>
      </c>
      <c r="I65">
        <v>10</v>
      </c>
      <c r="N65" t="str">
        <f t="shared" si="0"/>
        <v>RCU-R(2p)1</v>
      </c>
      <c r="O65" t="str">
        <f t="shared" si="1"/>
        <v>R2</v>
      </c>
      <c r="P65" t="str">
        <f t="shared" si="2"/>
        <v>bar1 - ari</v>
      </c>
      <c r="Q65">
        <f t="shared" si="3"/>
        <v>9</v>
      </c>
    </row>
    <row r="66" spans="2:17" x14ac:dyDescent="0.25">
      <c r="B66" t="s">
        <v>152</v>
      </c>
      <c r="C66" t="s">
        <v>113</v>
      </c>
      <c r="D66" t="s">
        <v>153</v>
      </c>
      <c r="E66" t="s">
        <v>28</v>
      </c>
      <c r="F66" t="s">
        <v>154</v>
      </c>
      <c r="G66" t="s">
        <v>185</v>
      </c>
      <c r="H66" t="s">
        <v>156</v>
      </c>
      <c r="I66">
        <v>14</v>
      </c>
      <c r="N66" t="str">
        <f t="shared" si="0"/>
        <v>RCU-R(4p)4</v>
      </c>
      <c r="O66" t="str">
        <f t="shared" si="1"/>
        <v>R2</v>
      </c>
      <c r="P66" t="str">
        <f t="shared" si="2"/>
        <v>bar1 - ari</v>
      </c>
      <c r="Q66">
        <f t="shared" si="3"/>
        <v>10</v>
      </c>
    </row>
    <row r="67" spans="2:17" x14ac:dyDescent="0.25">
      <c r="B67" t="s">
        <v>152</v>
      </c>
      <c r="C67" t="s">
        <v>114</v>
      </c>
      <c r="D67" t="s">
        <v>153</v>
      </c>
      <c r="E67" t="s">
        <v>28</v>
      </c>
      <c r="F67" t="s">
        <v>154</v>
      </c>
      <c r="G67" t="s">
        <v>185</v>
      </c>
      <c r="H67" t="s">
        <v>156</v>
      </c>
      <c r="I67">
        <v>15</v>
      </c>
      <c r="N67" t="str">
        <f t="shared" si="0"/>
        <v>RCU-R(2p)2</v>
      </c>
      <c r="O67" t="str">
        <f t="shared" si="1"/>
        <v>R2</v>
      </c>
      <c r="P67" t="str">
        <f t="shared" si="2"/>
        <v>bar1 - ari</v>
      </c>
      <c r="Q67">
        <f t="shared" si="3"/>
        <v>14</v>
      </c>
    </row>
    <row r="68" spans="2:17" x14ac:dyDescent="0.25">
      <c r="B68" t="s">
        <v>152</v>
      </c>
      <c r="C68" t="s">
        <v>115</v>
      </c>
      <c r="D68" t="s">
        <v>153</v>
      </c>
      <c r="E68" t="s">
        <v>28</v>
      </c>
      <c r="F68" t="s">
        <v>154</v>
      </c>
      <c r="G68" t="s">
        <v>185</v>
      </c>
      <c r="H68" t="s">
        <v>156</v>
      </c>
      <c r="I68">
        <v>15</v>
      </c>
      <c r="N68" t="str">
        <f t="shared" ref="N68:N131" si="4">C67</f>
        <v>RCU-R(2p)3</v>
      </c>
      <c r="O68" t="str">
        <f t="shared" ref="O68:O131" si="5">E67</f>
        <v>R2</v>
      </c>
      <c r="P68" t="str">
        <f t="shared" ref="P68:P131" si="6">G67</f>
        <v>bar1 - ari</v>
      </c>
      <c r="Q68">
        <f t="shared" ref="Q68:Q131" si="7">I67</f>
        <v>15</v>
      </c>
    </row>
    <row r="69" spans="2:17" x14ac:dyDescent="0.25">
      <c r="B69" t="s">
        <v>152</v>
      </c>
      <c r="C69" t="s">
        <v>116</v>
      </c>
      <c r="D69" t="s">
        <v>153</v>
      </c>
      <c r="E69" t="s">
        <v>28</v>
      </c>
      <c r="F69" t="s">
        <v>154</v>
      </c>
      <c r="G69" t="s">
        <v>185</v>
      </c>
      <c r="H69" t="s">
        <v>156</v>
      </c>
      <c r="I69">
        <v>15</v>
      </c>
      <c r="N69" t="str">
        <f t="shared" si="4"/>
        <v>RCU-R(2p)4</v>
      </c>
      <c r="O69" t="str">
        <f t="shared" si="5"/>
        <v>R2</v>
      </c>
      <c r="P69" t="str">
        <f t="shared" si="6"/>
        <v>bar1 - ari</v>
      </c>
      <c r="Q69">
        <f t="shared" si="7"/>
        <v>15</v>
      </c>
    </row>
    <row r="70" spans="2:17" x14ac:dyDescent="0.25">
      <c r="B70" t="s">
        <v>152</v>
      </c>
      <c r="C70" t="s">
        <v>117</v>
      </c>
      <c r="D70" t="s">
        <v>153</v>
      </c>
      <c r="E70" t="s">
        <v>28</v>
      </c>
      <c r="F70" t="s">
        <v>154</v>
      </c>
      <c r="G70" t="s">
        <v>185</v>
      </c>
      <c r="H70" t="s">
        <v>156</v>
      </c>
      <c r="I70">
        <v>15</v>
      </c>
      <c r="N70" t="str">
        <f t="shared" si="4"/>
        <v>RCU-R(2p)5</v>
      </c>
      <c r="O70" t="str">
        <f t="shared" si="5"/>
        <v>R2</v>
      </c>
      <c r="P70" t="str">
        <f t="shared" si="6"/>
        <v>bar1 - ari</v>
      </c>
      <c r="Q70">
        <f t="shared" si="7"/>
        <v>15</v>
      </c>
    </row>
    <row r="71" spans="2:17" x14ac:dyDescent="0.25">
      <c r="B71" t="s">
        <v>152</v>
      </c>
      <c r="C71" t="s">
        <v>166</v>
      </c>
      <c r="D71" t="s">
        <v>153</v>
      </c>
      <c r="E71" t="s">
        <v>28</v>
      </c>
      <c r="F71" t="s">
        <v>154</v>
      </c>
      <c r="G71" t="s">
        <v>167</v>
      </c>
      <c r="H71" t="s">
        <v>156</v>
      </c>
      <c r="I71">
        <v>0</v>
      </c>
      <c r="N71" t="str">
        <f t="shared" si="4"/>
        <v>RCU-R(2p)6</v>
      </c>
      <c r="O71" t="str">
        <f t="shared" si="5"/>
        <v>R2</v>
      </c>
      <c r="P71" t="str">
        <f t="shared" si="6"/>
        <v>bar1 - ari</v>
      </c>
      <c r="Q71">
        <f t="shared" si="7"/>
        <v>15</v>
      </c>
    </row>
    <row r="72" spans="2:17" x14ac:dyDescent="0.25">
      <c r="B72" t="s">
        <v>152</v>
      </c>
      <c r="C72" t="s">
        <v>168</v>
      </c>
      <c r="D72" t="s">
        <v>153</v>
      </c>
      <c r="E72" t="s">
        <v>28</v>
      </c>
      <c r="F72" t="s">
        <v>154</v>
      </c>
      <c r="G72" t="s">
        <v>167</v>
      </c>
      <c r="H72" t="s">
        <v>156</v>
      </c>
      <c r="I72">
        <v>0</v>
      </c>
      <c r="N72" t="str">
        <f t="shared" si="4"/>
        <v>BEF-R01-</v>
      </c>
      <c r="O72" t="str">
        <f t="shared" si="5"/>
        <v>R2</v>
      </c>
      <c r="P72" t="str">
        <f t="shared" si="6"/>
        <v>None</v>
      </c>
      <c r="Q72">
        <f t="shared" si="7"/>
        <v>0</v>
      </c>
    </row>
    <row r="73" spans="2:17" x14ac:dyDescent="0.25">
      <c r="B73" t="s">
        <v>152</v>
      </c>
      <c r="C73" t="s">
        <v>169</v>
      </c>
      <c r="D73" t="s">
        <v>153</v>
      </c>
      <c r="E73" t="s">
        <v>28</v>
      </c>
      <c r="F73" t="s">
        <v>154</v>
      </c>
      <c r="G73" t="s">
        <v>185</v>
      </c>
      <c r="H73" t="s">
        <v>156</v>
      </c>
      <c r="I73">
        <v>5</v>
      </c>
      <c r="N73" t="str">
        <f t="shared" si="4"/>
        <v>BEF-R02-</v>
      </c>
      <c r="O73" t="str">
        <f t="shared" si="5"/>
        <v>R2</v>
      </c>
      <c r="P73" t="str">
        <f t="shared" si="6"/>
        <v>None</v>
      </c>
      <c r="Q73">
        <f t="shared" si="7"/>
        <v>0</v>
      </c>
    </row>
    <row r="74" spans="2:17" x14ac:dyDescent="0.25">
      <c r="B74" t="s">
        <v>152</v>
      </c>
      <c r="C74" t="s">
        <v>170</v>
      </c>
      <c r="D74" t="s">
        <v>153</v>
      </c>
      <c r="E74" t="s">
        <v>28</v>
      </c>
      <c r="F74" t="s">
        <v>154</v>
      </c>
      <c r="G74" t="s">
        <v>185</v>
      </c>
      <c r="H74" t="s">
        <v>156</v>
      </c>
      <c r="I74">
        <v>7</v>
      </c>
      <c r="N74" t="str">
        <f t="shared" si="4"/>
        <v>BEF-R03-</v>
      </c>
      <c r="O74" t="str">
        <f t="shared" si="5"/>
        <v>R2</v>
      </c>
      <c r="P74" t="str">
        <f t="shared" si="6"/>
        <v>bar1 - ari</v>
      </c>
      <c r="Q74">
        <f t="shared" si="7"/>
        <v>5</v>
      </c>
    </row>
    <row r="75" spans="2:17" x14ac:dyDescent="0.25">
      <c r="B75" t="s">
        <v>152</v>
      </c>
      <c r="C75" t="s">
        <v>171</v>
      </c>
      <c r="D75" t="s">
        <v>153</v>
      </c>
      <c r="E75" t="s">
        <v>28</v>
      </c>
      <c r="F75" t="s">
        <v>154</v>
      </c>
      <c r="G75" t="s">
        <v>167</v>
      </c>
      <c r="H75" t="s">
        <v>156</v>
      </c>
      <c r="I75">
        <v>0</v>
      </c>
      <c r="N75" t="str">
        <f t="shared" si="4"/>
        <v>BEF-R04-</v>
      </c>
      <c r="O75" t="str">
        <f t="shared" si="5"/>
        <v>R2</v>
      </c>
      <c r="P75" t="str">
        <f t="shared" si="6"/>
        <v>bar1 - ari</v>
      </c>
      <c r="Q75">
        <f t="shared" si="7"/>
        <v>7</v>
      </c>
    </row>
    <row r="76" spans="2:17" x14ac:dyDescent="0.25">
      <c r="B76" t="s">
        <v>152</v>
      </c>
      <c r="C76" t="s">
        <v>172</v>
      </c>
      <c r="D76" t="s">
        <v>153</v>
      </c>
      <c r="E76" t="s">
        <v>28</v>
      </c>
      <c r="F76" t="s">
        <v>154</v>
      </c>
      <c r="G76" t="s">
        <v>167</v>
      </c>
      <c r="H76" t="s">
        <v>156</v>
      </c>
      <c r="I76">
        <v>0</v>
      </c>
      <c r="N76" t="str">
        <f t="shared" si="4"/>
        <v>BEF-R05-</v>
      </c>
      <c r="O76" t="str">
        <f t="shared" si="5"/>
        <v>R2</v>
      </c>
      <c r="P76" t="str">
        <f t="shared" si="6"/>
        <v>None</v>
      </c>
      <c r="Q76">
        <f t="shared" si="7"/>
        <v>0</v>
      </c>
    </row>
    <row r="77" spans="2:17" x14ac:dyDescent="0.25">
      <c r="B77" t="s">
        <v>152</v>
      </c>
      <c r="C77" t="s">
        <v>173</v>
      </c>
      <c r="D77" t="s">
        <v>153</v>
      </c>
      <c r="E77" t="s">
        <v>28</v>
      </c>
      <c r="F77" t="s">
        <v>154</v>
      </c>
      <c r="G77" t="s">
        <v>167</v>
      </c>
      <c r="H77" t="s">
        <v>156</v>
      </c>
      <c r="I77">
        <v>0</v>
      </c>
      <c r="N77" t="str">
        <f t="shared" si="4"/>
        <v>BEF-R06-</v>
      </c>
      <c r="O77" t="str">
        <f t="shared" si="5"/>
        <v>R2</v>
      </c>
      <c r="P77" t="str">
        <f t="shared" si="6"/>
        <v>None</v>
      </c>
      <c r="Q77">
        <f t="shared" si="7"/>
        <v>0</v>
      </c>
    </row>
    <row r="78" spans="2:17" x14ac:dyDescent="0.25">
      <c r="B78" t="s">
        <v>152</v>
      </c>
      <c r="C78" t="s">
        <v>174</v>
      </c>
      <c r="D78" t="s">
        <v>153</v>
      </c>
      <c r="E78" t="s">
        <v>28</v>
      </c>
      <c r="F78" t="s">
        <v>154</v>
      </c>
      <c r="G78" t="s">
        <v>164</v>
      </c>
      <c r="H78" t="s">
        <v>156</v>
      </c>
      <c r="I78">
        <v>12</v>
      </c>
      <c r="N78" t="str">
        <f t="shared" si="4"/>
        <v>BEF-R07-</v>
      </c>
      <c r="O78" t="str">
        <f t="shared" si="5"/>
        <v>R2</v>
      </c>
      <c r="P78" t="str">
        <f t="shared" si="6"/>
        <v>None</v>
      </c>
      <c r="Q78">
        <f t="shared" si="7"/>
        <v>0</v>
      </c>
    </row>
    <row r="79" spans="2:17" x14ac:dyDescent="0.25">
      <c r="B79" t="s">
        <v>152</v>
      </c>
      <c r="C79" t="s">
        <v>175</v>
      </c>
      <c r="D79" t="s">
        <v>153</v>
      </c>
      <c r="E79" t="s">
        <v>28</v>
      </c>
      <c r="F79" t="s">
        <v>154</v>
      </c>
      <c r="G79" t="s">
        <v>164</v>
      </c>
      <c r="H79" t="s">
        <v>156</v>
      </c>
      <c r="I79">
        <v>12</v>
      </c>
      <c r="N79" t="str">
        <f t="shared" si="4"/>
        <v>BEF-R08-</v>
      </c>
      <c r="O79" t="str">
        <f t="shared" si="5"/>
        <v>R2</v>
      </c>
      <c r="P79" t="str">
        <f t="shared" si="6"/>
        <v>bar2 - ari</v>
      </c>
      <c r="Q79">
        <f t="shared" si="7"/>
        <v>12</v>
      </c>
    </row>
    <row r="80" spans="2:17" x14ac:dyDescent="0.25">
      <c r="B80" t="s">
        <v>152</v>
      </c>
      <c r="C80" t="s">
        <v>176</v>
      </c>
      <c r="D80" t="s">
        <v>153</v>
      </c>
      <c r="E80" t="s">
        <v>28</v>
      </c>
      <c r="F80" t="s">
        <v>154</v>
      </c>
      <c r="G80" t="s">
        <v>164</v>
      </c>
      <c r="H80" t="s">
        <v>156</v>
      </c>
      <c r="I80">
        <v>12</v>
      </c>
      <c r="N80" t="str">
        <f t="shared" si="4"/>
        <v>BEF-R09-</v>
      </c>
      <c r="O80" t="str">
        <f t="shared" si="5"/>
        <v>R2</v>
      </c>
      <c r="P80" t="str">
        <f t="shared" si="6"/>
        <v>bar2 - ari</v>
      </c>
      <c r="Q80">
        <f t="shared" si="7"/>
        <v>12</v>
      </c>
    </row>
    <row r="81" spans="2:17" x14ac:dyDescent="0.25">
      <c r="B81" t="s">
        <v>152</v>
      </c>
      <c r="C81" t="s">
        <v>177</v>
      </c>
      <c r="D81" t="s">
        <v>153</v>
      </c>
      <c r="E81" t="s">
        <v>28</v>
      </c>
      <c r="F81" t="s">
        <v>154</v>
      </c>
      <c r="G81" t="s">
        <v>164</v>
      </c>
      <c r="H81" t="s">
        <v>156</v>
      </c>
      <c r="I81">
        <v>12</v>
      </c>
      <c r="N81" t="str">
        <f t="shared" si="4"/>
        <v>BEF-R10-</v>
      </c>
      <c r="O81" t="str">
        <f t="shared" si="5"/>
        <v>R2</v>
      </c>
      <c r="P81" t="str">
        <f t="shared" si="6"/>
        <v>bar2 - ari</v>
      </c>
      <c r="Q81">
        <f t="shared" si="7"/>
        <v>12</v>
      </c>
    </row>
    <row r="82" spans="2:17" x14ac:dyDescent="0.25">
      <c r="B82" t="s">
        <v>152</v>
      </c>
      <c r="C82" t="s">
        <v>178</v>
      </c>
      <c r="D82" t="s">
        <v>153</v>
      </c>
      <c r="E82" t="s">
        <v>28</v>
      </c>
      <c r="F82" t="s">
        <v>154</v>
      </c>
      <c r="G82" t="s">
        <v>185</v>
      </c>
      <c r="H82" t="s">
        <v>156</v>
      </c>
      <c r="I82">
        <v>15</v>
      </c>
      <c r="N82" t="str">
        <f t="shared" si="4"/>
        <v>BEF-R11-</v>
      </c>
      <c r="O82" t="str">
        <f t="shared" si="5"/>
        <v>R2</v>
      </c>
      <c r="P82" t="str">
        <f t="shared" si="6"/>
        <v>bar2 - ari</v>
      </c>
      <c r="Q82">
        <f t="shared" si="7"/>
        <v>12</v>
      </c>
    </row>
    <row r="83" spans="2:17" x14ac:dyDescent="0.25">
      <c r="B83" t="s">
        <v>152</v>
      </c>
      <c r="C83" t="s">
        <v>179</v>
      </c>
      <c r="D83" t="s">
        <v>153</v>
      </c>
      <c r="E83" t="s">
        <v>28</v>
      </c>
      <c r="F83" t="s">
        <v>154</v>
      </c>
      <c r="G83" t="s">
        <v>185</v>
      </c>
      <c r="H83" t="s">
        <v>156</v>
      </c>
      <c r="I83">
        <v>15</v>
      </c>
      <c r="N83" t="str">
        <f t="shared" si="4"/>
        <v>BEF-R12-</v>
      </c>
      <c r="O83" t="str">
        <f t="shared" si="5"/>
        <v>R2</v>
      </c>
      <c r="P83" t="str">
        <f t="shared" si="6"/>
        <v>bar1 - ari</v>
      </c>
      <c r="Q83">
        <f t="shared" si="7"/>
        <v>15</v>
      </c>
    </row>
    <row r="84" spans="2:17" x14ac:dyDescent="0.25">
      <c r="B84" t="s">
        <v>152</v>
      </c>
      <c r="C84" t="s">
        <v>180</v>
      </c>
      <c r="D84" t="s">
        <v>153</v>
      </c>
      <c r="E84" t="s">
        <v>28</v>
      </c>
      <c r="F84" t="s">
        <v>154</v>
      </c>
      <c r="G84" t="s">
        <v>185</v>
      </c>
      <c r="H84" t="s">
        <v>156</v>
      </c>
      <c r="I84">
        <v>15</v>
      </c>
      <c r="N84" t="str">
        <f t="shared" si="4"/>
        <v>BEF-R13-</v>
      </c>
      <c r="O84" t="str">
        <f t="shared" si="5"/>
        <v>R2</v>
      </c>
      <c r="P84" t="str">
        <f t="shared" si="6"/>
        <v>bar1 - ari</v>
      </c>
      <c r="Q84">
        <f t="shared" si="7"/>
        <v>15</v>
      </c>
    </row>
    <row r="85" spans="2:17" x14ac:dyDescent="0.25">
      <c r="B85" t="s">
        <v>152</v>
      </c>
      <c r="C85" t="s">
        <v>182</v>
      </c>
      <c r="D85" t="s">
        <v>153</v>
      </c>
      <c r="E85" t="s">
        <v>28</v>
      </c>
      <c r="F85" t="s">
        <v>154</v>
      </c>
      <c r="G85" t="s">
        <v>186</v>
      </c>
      <c r="H85" t="s">
        <v>156</v>
      </c>
      <c r="I85">
        <v>13</v>
      </c>
      <c r="N85" t="str">
        <f t="shared" si="4"/>
        <v>BEF-R14-</v>
      </c>
      <c r="O85" t="str">
        <f t="shared" si="5"/>
        <v>R2</v>
      </c>
      <c r="P85" t="str">
        <f t="shared" si="6"/>
        <v>bar1 - ari</v>
      </c>
      <c r="Q85">
        <f t="shared" si="7"/>
        <v>15</v>
      </c>
    </row>
    <row r="86" spans="2:17" x14ac:dyDescent="0.25">
      <c r="B86" t="s">
        <v>152</v>
      </c>
      <c r="C86" t="s">
        <v>183</v>
      </c>
      <c r="D86" t="s">
        <v>153</v>
      </c>
      <c r="E86" t="s">
        <v>28</v>
      </c>
      <c r="F86" t="s">
        <v>154</v>
      </c>
      <c r="G86" t="s">
        <v>185</v>
      </c>
      <c r="H86" t="s">
        <v>156</v>
      </c>
      <c r="I86">
        <v>14</v>
      </c>
      <c r="N86" t="str">
        <f t="shared" si="4"/>
        <v>BEF-R15-</v>
      </c>
      <c r="O86" t="str">
        <f t="shared" si="5"/>
        <v>R2</v>
      </c>
      <c r="P86" t="str">
        <f t="shared" si="6"/>
        <v>bar21 - ari</v>
      </c>
      <c r="Q86">
        <f t="shared" si="7"/>
        <v>13</v>
      </c>
    </row>
    <row r="87" spans="2:17" x14ac:dyDescent="0.25">
      <c r="B87" t="s">
        <v>144</v>
      </c>
      <c r="C87" t="s">
        <v>145</v>
      </c>
      <c r="D87" t="s">
        <v>146</v>
      </c>
      <c r="N87" t="str">
        <f t="shared" si="4"/>
        <v>BEF-R16-</v>
      </c>
      <c r="O87" t="str">
        <f t="shared" si="5"/>
        <v>R2</v>
      </c>
      <c r="P87" t="str">
        <f t="shared" si="6"/>
        <v>bar1 - ari</v>
      </c>
      <c r="Q87">
        <f t="shared" si="7"/>
        <v>14</v>
      </c>
    </row>
    <row r="88" spans="2:17" x14ac:dyDescent="0.25">
      <c r="B88" t="s">
        <v>152</v>
      </c>
      <c r="C88" t="s">
        <v>84</v>
      </c>
      <c r="D88" t="s">
        <v>153</v>
      </c>
      <c r="E88" t="s">
        <v>105</v>
      </c>
      <c r="F88" t="s">
        <v>154</v>
      </c>
      <c r="G88" t="s">
        <v>187</v>
      </c>
      <c r="H88" t="s">
        <v>156</v>
      </c>
      <c r="I88">
        <v>16.8</v>
      </c>
      <c r="N88" s="74" t="str">
        <f t="shared" si="4"/>
        <v xml:space="preserve"> y: 22.5</v>
      </c>
      <c r="O88">
        <f t="shared" si="5"/>
        <v>0</v>
      </c>
      <c r="P88">
        <f t="shared" si="6"/>
        <v>0</v>
      </c>
      <c r="Q88">
        <f t="shared" si="7"/>
        <v>0</v>
      </c>
    </row>
    <row r="89" spans="2:17" x14ac:dyDescent="0.25">
      <c r="B89" t="s">
        <v>152</v>
      </c>
      <c r="C89" t="s">
        <v>85</v>
      </c>
      <c r="D89" t="s">
        <v>153</v>
      </c>
      <c r="E89" t="s">
        <v>105</v>
      </c>
      <c r="F89" t="s">
        <v>154</v>
      </c>
      <c r="G89" t="s">
        <v>188</v>
      </c>
      <c r="H89" t="s">
        <v>156</v>
      </c>
      <c r="I89">
        <v>18.899999999999999</v>
      </c>
      <c r="N89" t="str">
        <f t="shared" si="4"/>
        <v>MAU-R1</v>
      </c>
      <c r="O89" t="str">
        <f t="shared" si="5"/>
        <v>R3</v>
      </c>
      <c r="P89" t="str">
        <f t="shared" si="6"/>
        <v>bar3 - OB_fresnel</v>
      </c>
      <c r="Q89">
        <f t="shared" si="7"/>
        <v>16.8</v>
      </c>
    </row>
    <row r="90" spans="2:17" x14ac:dyDescent="0.25">
      <c r="B90" t="s">
        <v>152</v>
      </c>
      <c r="C90" t="s">
        <v>158</v>
      </c>
      <c r="D90" t="s">
        <v>153</v>
      </c>
      <c r="E90" t="s">
        <v>105</v>
      </c>
      <c r="F90" t="s">
        <v>154</v>
      </c>
      <c r="G90" t="s">
        <v>189</v>
      </c>
      <c r="H90" t="s">
        <v>156</v>
      </c>
      <c r="I90">
        <v>15.3</v>
      </c>
      <c r="N90" t="str">
        <f t="shared" si="4"/>
        <v>ERV-R.1</v>
      </c>
      <c r="O90" t="str">
        <f t="shared" si="5"/>
        <v>R3</v>
      </c>
      <c r="P90" t="str">
        <f t="shared" si="6"/>
        <v>bar4 - OB_fresnel</v>
      </c>
      <c r="Q90">
        <f t="shared" si="7"/>
        <v>18.899999999999999</v>
      </c>
    </row>
    <row r="91" spans="2:17" x14ac:dyDescent="0.25">
      <c r="B91" t="s">
        <v>152</v>
      </c>
      <c r="C91" t="s">
        <v>160</v>
      </c>
      <c r="D91" t="s">
        <v>153</v>
      </c>
      <c r="E91" t="s">
        <v>105</v>
      </c>
      <c r="F91" t="s">
        <v>154</v>
      </c>
      <c r="G91" t="s">
        <v>189</v>
      </c>
      <c r="H91" t="s">
        <v>156</v>
      </c>
      <c r="I91">
        <v>17.7</v>
      </c>
      <c r="N91" t="str">
        <f t="shared" si="4"/>
        <v>GEF-R1-</v>
      </c>
      <c r="O91" t="str">
        <f t="shared" si="5"/>
        <v>R3</v>
      </c>
      <c r="P91" t="str">
        <f t="shared" si="6"/>
        <v>bar5 - OB_fresnel</v>
      </c>
      <c r="Q91">
        <f t="shared" si="7"/>
        <v>15.3</v>
      </c>
    </row>
    <row r="92" spans="2:17" x14ac:dyDescent="0.25">
      <c r="B92" t="s">
        <v>152</v>
      </c>
      <c r="C92" t="s">
        <v>161</v>
      </c>
      <c r="D92" t="s">
        <v>153</v>
      </c>
      <c r="E92" t="s">
        <v>105</v>
      </c>
      <c r="F92" t="s">
        <v>154</v>
      </c>
      <c r="G92" t="s">
        <v>187</v>
      </c>
      <c r="H92" t="s">
        <v>156</v>
      </c>
      <c r="I92">
        <v>14.5</v>
      </c>
      <c r="N92" t="str">
        <f t="shared" si="4"/>
        <v>DEF-R1</v>
      </c>
      <c r="O92" t="str">
        <f>D91</f>
        <v xml:space="preserve"> rcvr: </v>
      </c>
      <c r="P92" t="str">
        <f>F91</f>
        <v xml:space="preserve"> bar: </v>
      </c>
      <c r="Q92">
        <f t="shared" si="7"/>
        <v>17.7</v>
      </c>
    </row>
    <row r="93" spans="2:17" x14ac:dyDescent="0.25">
      <c r="B93" t="s">
        <v>152</v>
      </c>
      <c r="C93" t="s">
        <v>88</v>
      </c>
      <c r="D93" t="s">
        <v>153</v>
      </c>
      <c r="E93" t="s">
        <v>105</v>
      </c>
      <c r="F93" t="s">
        <v>154</v>
      </c>
      <c r="G93" t="s">
        <v>187</v>
      </c>
      <c r="H93" t="s">
        <v>156</v>
      </c>
      <c r="I93">
        <v>14.7</v>
      </c>
      <c r="N93" t="str">
        <f t="shared" si="4"/>
        <v>KEF-R1-</v>
      </c>
      <c r="O93" t="str">
        <f t="shared" si="5"/>
        <v>R3</v>
      </c>
      <c r="P93" t="str">
        <f t="shared" si="6"/>
        <v>bar3 - OB_fresnel</v>
      </c>
      <c r="Q93">
        <f t="shared" si="7"/>
        <v>14.5</v>
      </c>
    </row>
    <row r="94" spans="2:17" x14ac:dyDescent="0.25">
      <c r="B94" t="s">
        <v>152</v>
      </c>
      <c r="C94" t="s">
        <v>89</v>
      </c>
      <c r="D94" t="s">
        <v>153</v>
      </c>
      <c r="E94" t="s">
        <v>105</v>
      </c>
      <c r="F94" t="s">
        <v>154</v>
      </c>
      <c r="G94" t="s">
        <v>190</v>
      </c>
      <c r="H94" t="s">
        <v>156</v>
      </c>
      <c r="I94">
        <v>11</v>
      </c>
      <c r="N94" t="str">
        <f t="shared" si="4"/>
        <v>DWEF-R1</v>
      </c>
      <c r="O94" t="str">
        <f t="shared" si="5"/>
        <v>R3</v>
      </c>
      <c r="P94" t="str">
        <f t="shared" si="6"/>
        <v>bar3 - OB_fresnel</v>
      </c>
      <c r="Q94">
        <f t="shared" si="7"/>
        <v>14.7</v>
      </c>
    </row>
    <row r="95" spans="2:17" x14ac:dyDescent="0.25">
      <c r="B95" t="s">
        <v>152</v>
      </c>
      <c r="C95" t="s">
        <v>90</v>
      </c>
      <c r="D95" t="s">
        <v>153</v>
      </c>
      <c r="E95" t="s">
        <v>105</v>
      </c>
      <c r="F95" t="s">
        <v>154</v>
      </c>
      <c r="G95" t="s">
        <v>190</v>
      </c>
      <c r="H95" t="s">
        <v>156</v>
      </c>
      <c r="I95">
        <v>11</v>
      </c>
      <c r="N95" t="str">
        <f t="shared" si="4"/>
        <v>CU-R1</v>
      </c>
      <c r="O95" t="str">
        <f t="shared" si="5"/>
        <v>R3</v>
      </c>
      <c r="P95" t="str">
        <f t="shared" si="6"/>
        <v>bar3 - ari</v>
      </c>
      <c r="Q95">
        <f t="shared" si="7"/>
        <v>11</v>
      </c>
    </row>
    <row r="96" spans="2:17" x14ac:dyDescent="0.25">
      <c r="B96" t="s">
        <v>152</v>
      </c>
      <c r="C96" t="s">
        <v>91</v>
      </c>
      <c r="D96" t="s">
        <v>153</v>
      </c>
      <c r="E96" t="s">
        <v>105</v>
      </c>
      <c r="F96" t="s">
        <v>154</v>
      </c>
      <c r="G96" t="s">
        <v>190</v>
      </c>
      <c r="H96" t="s">
        <v>156</v>
      </c>
      <c r="I96">
        <v>12</v>
      </c>
      <c r="N96" t="str">
        <f t="shared" si="4"/>
        <v>CU-R2</v>
      </c>
      <c r="O96" t="str">
        <f t="shared" si="5"/>
        <v>R3</v>
      </c>
      <c r="P96" t="str">
        <f t="shared" si="6"/>
        <v>bar3 - ari</v>
      </c>
      <c r="Q96">
        <f t="shared" si="7"/>
        <v>11</v>
      </c>
    </row>
    <row r="97" spans="2:17" x14ac:dyDescent="0.25">
      <c r="B97" t="s">
        <v>152</v>
      </c>
      <c r="C97" t="s">
        <v>92</v>
      </c>
      <c r="D97" t="s">
        <v>153</v>
      </c>
      <c r="E97" t="s">
        <v>105</v>
      </c>
      <c r="F97" t="s">
        <v>154</v>
      </c>
      <c r="G97" t="s">
        <v>190</v>
      </c>
      <c r="H97" t="s">
        <v>156</v>
      </c>
      <c r="I97">
        <v>11</v>
      </c>
      <c r="N97" t="str">
        <f t="shared" si="4"/>
        <v>CU-R4</v>
      </c>
      <c r="O97" t="str">
        <f t="shared" si="5"/>
        <v>R3</v>
      </c>
      <c r="P97" t="str">
        <f t="shared" si="6"/>
        <v>bar3 - ari</v>
      </c>
      <c r="Q97">
        <f t="shared" si="7"/>
        <v>12</v>
      </c>
    </row>
    <row r="98" spans="2:17" x14ac:dyDescent="0.25">
      <c r="B98" t="s">
        <v>152</v>
      </c>
      <c r="C98" t="s">
        <v>108</v>
      </c>
      <c r="D98" t="s">
        <v>153</v>
      </c>
      <c r="E98" t="s">
        <v>105</v>
      </c>
      <c r="F98" t="s">
        <v>154</v>
      </c>
      <c r="G98" t="s">
        <v>191</v>
      </c>
      <c r="H98" t="s">
        <v>156</v>
      </c>
      <c r="I98">
        <v>12</v>
      </c>
      <c r="N98" t="str">
        <f t="shared" si="4"/>
        <v>CU-R5</v>
      </c>
      <c r="O98" t="str">
        <f t="shared" si="5"/>
        <v>R3</v>
      </c>
      <c r="P98" t="str">
        <f t="shared" si="6"/>
        <v>bar3 - ari</v>
      </c>
      <c r="Q98">
        <f t="shared" si="7"/>
        <v>11</v>
      </c>
    </row>
    <row r="99" spans="2:17" x14ac:dyDescent="0.25">
      <c r="B99" t="s">
        <v>152</v>
      </c>
      <c r="C99" t="s">
        <v>109</v>
      </c>
      <c r="D99" t="s">
        <v>153</v>
      </c>
      <c r="E99" t="s">
        <v>105</v>
      </c>
      <c r="F99" t="s">
        <v>154</v>
      </c>
      <c r="G99" t="s">
        <v>191</v>
      </c>
      <c r="H99" t="s">
        <v>156</v>
      </c>
      <c r="I99">
        <v>15</v>
      </c>
      <c r="N99" t="str">
        <f t="shared" si="4"/>
        <v>RCU-R(4p)1</v>
      </c>
      <c r="O99" t="str">
        <f t="shared" si="5"/>
        <v>R3</v>
      </c>
      <c r="P99" t="str">
        <f t="shared" si="6"/>
        <v>bar5 - ari</v>
      </c>
      <c r="Q99">
        <f t="shared" si="7"/>
        <v>12</v>
      </c>
    </row>
    <row r="100" spans="2:17" x14ac:dyDescent="0.25">
      <c r="B100" t="s">
        <v>152</v>
      </c>
      <c r="C100" t="s">
        <v>110</v>
      </c>
      <c r="D100" t="s">
        <v>153</v>
      </c>
      <c r="E100" t="s">
        <v>105</v>
      </c>
      <c r="F100" t="s">
        <v>154</v>
      </c>
      <c r="G100" t="s">
        <v>190</v>
      </c>
      <c r="H100" t="s">
        <v>156</v>
      </c>
      <c r="I100">
        <v>12</v>
      </c>
      <c r="N100" t="str">
        <f t="shared" si="4"/>
        <v>RCU-R(4p)2</v>
      </c>
      <c r="O100" t="str">
        <f t="shared" si="5"/>
        <v>R3</v>
      </c>
      <c r="P100" t="str">
        <f t="shared" si="6"/>
        <v>bar5 - ari</v>
      </c>
      <c r="Q100">
        <f t="shared" si="7"/>
        <v>15</v>
      </c>
    </row>
    <row r="101" spans="2:17" x14ac:dyDescent="0.25">
      <c r="B101" t="s">
        <v>152</v>
      </c>
      <c r="C101" t="s">
        <v>94</v>
      </c>
      <c r="D101" t="s">
        <v>153</v>
      </c>
      <c r="E101" t="s">
        <v>105</v>
      </c>
      <c r="F101" t="s">
        <v>154</v>
      </c>
      <c r="G101" t="s">
        <v>190</v>
      </c>
      <c r="H101" t="s">
        <v>156</v>
      </c>
      <c r="I101">
        <v>12</v>
      </c>
      <c r="N101" t="str">
        <f t="shared" si="4"/>
        <v>RCU-R(4p)3</v>
      </c>
      <c r="O101" t="str">
        <f t="shared" si="5"/>
        <v>R3</v>
      </c>
      <c r="P101" t="str">
        <f t="shared" si="6"/>
        <v>bar3 - ari</v>
      </c>
      <c r="Q101">
        <f t="shared" si="7"/>
        <v>12</v>
      </c>
    </row>
    <row r="102" spans="2:17" x14ac:dyDescent="0.25">
      <c r="B102" t="s">
        <v>152</v>
      </c>
      <c r="C102" t="s">
        <v>112</v>
      </c>
      <c r="D102" t="s">
        <v>153</v>
      </c>
      <c r="E102" t="s">
        <v>105</v>
      </c>
      <c r="F102" t="s">
        <v>154</v>
      </c>
      <c r="G102" t="s">
        <v>190</v>
      </c>
      <c r="H102" t="s">
        <v>156</v>
      </c>
      <c r="I102">
        <v>11</v>
      </c>
      <c r="N102" t="str">
        <f t="shared" si="4"/>
        <v>RCU-R(2p)</v>
      </c>
      <c r="O102" t="str">
        <f t="shared" si="5"/>
        <v>R3</v>
      </c>
      <c r="P102" t="str">
        <f t="shared" si="6"/>
        <v>bar3 - ari</v>
      </c>
      <c r="Q102">
        <f t="shared" si="7"/>
        <v>12</v>
      </c>
    </row>
    <row r="103" spans="2:17" x14ac:dyDescent="0.25">
      <c r="B103" t="s">
        <v>152</v>
      </c>
      <c r="C103" t="s">
        <v>111</v>
      </c>
      <c r="D103" t="s">
        <v>153</v>
      </c>
      <c r="E103" t="s">
        <v>105</v>
      </c>
      <c r="F103" t="s">
        <v>154</v>
      </c>
      <c r="G103" t="s">
        <v>190</v>
      </c>
      <c r="H103" t="s">
        <v>156</v>
      </c>
      <c r="I103">
        <v>10</v>
      </c>
      <c r="N103" t="str">
        <f t="shared" si="4"/>
        <v>RCU-R(2p)1</v>
      </c>
      <c r="O103" t="str">
        <f t="shared" si="5"/>
        <v>R3</v>
      </c>
      <c r="P103" t="str">
        <f t="shared" si="6"/>
        <v>bar3 - ari</v>
      </c>
      <c r="Q103">
        <f t="shared" si="7"/>
        <v>11</v>
      </c>
    </row>
    <row r="104" spans="2:17" x14ac:dyDescent="0.25">
      <c r="B104" t="s">
        <v>152</v>
      </c>
      <c r="C104" t="s">
        <v>113</v>
      </c>
      <c r="D104" t="s">
        <v>153</v>
      </c>
      <c r="E104" t="s">
        <v>105</v>
      </c>
      <c r="F104" t="s">
        <v>154</v>
      </c>
      <c r="G104" t="s">
        <v>190</v>
      </c>
      <c r="H104" t="s">
        <v>156</v>
      </c>
      <c r="I104">
        <v>11</v>
      </c>
      <c r="N104" t="str">
        <f t="shared" si="4"/>
        <v>RCU-R(4p)4</v>
      </c>
      <c r="O104" t="str">
        <f t="shared" si="5"/>
        <v>R3</v>
      </c>
      <c r="P104" t="str">
        <f t="shared" si="6"/>
        <v>bar3 - ari</v>
      </c>
      <c r="Q104">
        <f t="shared" si="7"/>
        <v>10</v>
      </c>
    </row>
    <row r="105" spans="2:17" x14ac:dyDescent="0.25">
      <c r="B105" t="s">
        <v>152</v>
      </c>
      <c r="C105" t="s">
        <v>114</v>
      </c>
      <c r="D105" t="s">
        <v>153</v>
      </c>
      <c r="E105" t="s">
        <v>105</v>
      </c>
      <c r="F105" t="s">
        <v>154</v>
      </c>
      <c r="G105" t="s">
        <v>190</v>
      </c>
      <c r="H105" t="s">
        <v>156</v>
      </c>
      <c r="I105">
        <v>12</v>
      </c>
      <c r="N105" t="str">
        <f t="shared" si="4"/>
        <v>RCU-R(2p)2</v>
      </c>
      <c r="O105" t="str">
        <f t="shared" si="5"/>
        <v>R3</v>
      </c>
      <c r="P105" t="str">
        <f t="shared" si="6"/>
        <v>bar3 - ari</v>
      </c>
      <c r="Q105">
        <f t="shared" si="7"/>
        <v>11</v>
      </c>
    </row>
    <row r="106" spans="2:17" x14ac:dyDescent="0.25">
      <c r="B106" t="s">
        <v>152</v>
      </c>
      <c r="C106" t="s">
        <v>115</v>
      </c>
      <c r="D106" t="s">
        <v>153</v>
      </c>
      <c r="E106" t="s">
        <v>105</v>
      </c>
      <c r="F106" t="s">
        <v>154</v>
      </c>
      <c r="G106" t="s">
        <v>190</v>
      </c>
      <c r="H106" t="s">
        <v>156</v>
      </c>
      <c r="I106">
        <v>12</v>
      </c>
      <c r="N106" t="str">
        <f t="shared" si="4"/>
        <v>RCU-R(2p)3</v>
      </c>
      <c r="O106" t="str">
        <f t="shared" si="5"/>
        <v>R3</v>
      </c>
      <c r="P106" t="str">
        <f t="shared" si="6"/>
        <v>bar3 - ari</v>
      </c>
      <c r="Q106">
        <f t="shared" si="7"/>
        <v>12</v>
      </c>
    </row>
    <row r="107" spans="2:17" x14ac:dyDescent="0.25">
      <c r="B107" t="s">
        <v>152</v>
      </c>
      <c r="C107" t="s">
        <v>116</v>
      </c>
      <c r="D107" t="s">
        <v>153</v>
      </c>
      <c r="E107" t="s">
        <v>105</v>
      </c>
      <c r="F107" t="s">
        <v>154</v>
      </c>
      <c r="G107" t="s">
        <v>190</v>
      </c>
      <c r="H107" t="s">
        <v>156</v>
      </c>
      <c r="I107">
        <v>12</v>
      </c>
      <c r="N107" t="str">
        <f t="shared" si="4"/>
        <v>RCU-R(2p)4</v>
      </c>
      <c r="O107" t="str">
        <f t="shared" si="5"/>
        <v>R3</v>
      </c>
      <c r="P107" t="str">
        <f t="shared" si="6"/>
        <v>bar3 - ari</v>
      </c>
      <c r="Q107">
        <f t="shared" si="7"/>
        <v>12</v>
      </c>
    </row>
    <row r="108" spans="2:17" x14ac:dyDescent="0.25">
      <c r="B108" t="s">
        <v>152</v>
      </c>
      <c r="C108" t="s">
        <v>117</v>
      </c>
      <c r="D108" t="s">
        <v>153</v>
      </c>
      <c r="E108" t="s">
        <v>105</v>
      </c>
      <c r="F108" t="s">
        <v>154</v>
      </c>
      <c r="G108" t="s">
        <v>192</v>
      </c>
      <c r="H108" t="s">
        <v>156</v>
      </c>
      <c r="I108">
        <v>15</v>
      </c>
      <c r="N108" t="str">
        <f t="shared" si="4"/>
        <v>RCU-R(2p)5</v>
      </c>
      <c r="O108" t="str">
        <f t="shared" si="5"/>
        <v>R3</v>
      </c>
      <c r="P108" t="str">
        <f t="shared" si="6"/>
        <v>bar3 - ari</v>
      </c>
      <c r="Q108">
        <f t="shared" si="7"/>
        <v>12</v>
      </c>
    </row>
    <row r="109" spans="2:17" x14ac:dyDescent="0.25">
      <c r="B109" t="s">
        <v>152</v>
      </c>
      <c r="C109" t="s">
        <v>166</v>
      </c>
      <c r="D109" t="s">
        <v>153</v>
      </c>
      <c r="E109" t="s">
        <v>105</v>
      </c>
      <c r="F109" t="s">
        <v>154</v>
      </c>
      <c r="G109" t="s">
        <v>167</v>
      </c>
      <c r="H109" t="s">
        <v>156</v>
      </c>
      <c r="I109">
        <v>0</v>
      </c>
      <c r="N109" t="str">
        <f t="shared" si="4"/>
        <v>RCU-R(2p)6</v>
      </c>
      <c r="O109" t="str">
        <f t="shared" si="5"/>
        <v>R3</v>
      </c>
      <c r="P109" t="str">
        <f t="shared" si="6"/>
        <v>bar4 - ari</v>
      </c>
      <c r="Q109">
        <f t="shared" si="7"/>
        <v>15</v>
      </c>
    </row>
    <row r="110" spans="2:17" x14ac:dyDescent="0.25">
      <c r="B110" t="s">
        <v>152</v>
      </c>
      <c r="C110" t="s">
        <v>168</v>
      </c>
      <c r="D110" t="s">
        <v>153</v>
      </c>
      <c r="E110" t="s">
        <v>105</v>
      </c>
      <c r="F110" t="s">
        <v>154</v>
      </c>
      <c r="G110" t="s">
        <v>164</v>
      </c>
      <c r="H110" t="s">
        <v>156</v>
      </c>
      <c r="I110">
        <v>10</v>
      </c>
      <c r="N110" t="str">
        <f t="shared" si="4"/>
        <v>BEF-R01-</v>
      </c>
      <c r="O110" t="str">
        <f t="shared" si="5"/>
        <v>R3</v>
      </c>
      <c r="P110" t="str">
        <f t="shared" si="6"/>
        <v>None</v>
      </c>
      <c r="Q110">
        <f t="shared" si="7"/>
        <v>0</v>
      </c>
    </row>
    <row r="111" spans="2:17" x14ac:dyDescent="0.25">
      <c r="B111" t="s">
        <v>152</v>
      </c>
      <c r="C111" t="s">
        <v>169</v>
      </c>
      <c r="D111" t="s">
        <v>153</v>
      </c>
      <c r="E111" t="s">
        <v>105</v>
      </c>
      <c r="F111" t="s">
        <v>154</v>
      </c>
      <c r="G111" t="s">
        <v>190</v>
      </c>
      <c r="H111" t="s">
        <v>156</v>
      </c>
      <c r="I111">
        <v>11</v>
      </c>
      <c r="N111" t="str">
        <f t="shared" si="4"/>
        <v>BEF-R02-</v>
      </c>
      <c r="O111" t="str">
        <f t="shared" si="5"/>
        <v>R3</v>
      </c>
      <c r="P111" t="str">
        <f t="shared" si="6"/>
        <v>bar2 - ari</v>
      </c>
      <c r="Q111">
        <f t="shared" si="7"/>
        <v>10</v>
      </c>
    </row>
    <row r="112" spans="2:17" x14ac:dyDescent="0.25">
      <c r="B112" t="s">
        <v>152</v>
      </c>
      <c r="C112" t="s">
        <v>170</v>
      </c>
      <c r="D112" t="s">
        <v>153</v>
      </c>
      <c r="E112" t="s">
        <v>105</v>
      </c>
      <c r="F112" t="s">
        <v>154</v>
      </c>
      <c r="G112" t="s">
        <v>190</v>
      </c>
      <c r="H112" t="s">
        <v>156</v>
      </c>
      <c r="I112">
        <v>11</v>
      </c>
      <c r="N112" t="str">
        <f t="shared" si="4"/>
        <v>BEF-R03-</v>
      </c>
      <c r="O112" t="str">
        <f t="shared" si="5"/>
        <v>R3</v>
      </c>
      <c r="P112" t="str">
        <f t="shared" si="6"/>
        <v>bar3 - ari</v>
      </c>
      <c r="Q112">
        <f t="shared" si="7"/>
        <v>11</v>
      </c>
    </row>
    <row r="113" spans="2:17" x14ac:dyDescent="0.25">
      <c r="B113" t="s">
        <v>152</v>
      </c>
      <c r="C113" t="s">
        <v>171</v>
      </c>
      <c r="D113" t="s">
        <v>153</v>
      </c>
      <c r="E113" t="s">
        <v>105</v>
      </c>
      <c r="F113" t="s">
        <v>154</v>
      </c>
      <c r="G113" t="s">
        <v>190</v>
      </c>
      <c r="H113" t="s">
        <v>156</v>
      </c>
      <c r="I113">
        <v>11</v>
      </c>
      <c r="N113" t="str">
        <f t="shared" si="4"/>
        <v>BEF-R04-</v>
      </c>
      <c r="O113" t="str">
        <f t="shared" si="5"/>
        <v>R3</v>
      </c>
      <c r="P113" t="str">
        <f t="shared" si="6"/>
        <v>bar3 - ari</v>
      </c>
      <c r="Q113">
        <f t="shared" si="7"/>
        <v>11</v>
      </c>
    </row>
    <row r="114" spans="2:17" x14ac:dyDescent="0.25">
      <c r="B114" t="s">
        <v>152</v>
      </c>
      <c r="C114" t="s">
        <v>172</v>
      </c>
      <c r="D114" t="s">
        <v>153</v>
      </c>
      <c r="E114" t="s">
        <v>105</v>
      </c>
      <c r="F114" t="s">
        <v>154</v>
      </c>
      <c r="G114" t="s">
        <v>190</v>
      </c>
      <c r="H114" t="s">
        <v>156</v>
      </c>
      <c r="I114">
        <v>7</v>
      </c>
      <c r="N114" t="str">
        <f t="shared" si="4"/>
        <v>BEF-R05-</v>
      </c>
      <c r="O114" t="str">
        <f t="shared" si="5"/>
        <v>R3</v>
      </c>
      <c r="P114" t="str">
        <f t="shared" si="6"/>
        <v>bar3 - ari</v>
      </c>
      <c r="Q114">
        <f t="shared" si="7"/>
        <v>11</v>
      </c>
    </row>
    <row r="115" spans="2:17" x14ac:dyDescent="0.25">
      <c r="B115" t="s">
        <v>152</v>
      </c>
      <c r="C115" t="s">
        <v>173</v>
      </c>
      <c r="D115" t="s">
        <v>153</v>
      </c>
      <c r="E115" t="s">
        <v>105</v>
      </c>
      <c r="F115" t="s">
        <v>154</v>
      </c>
      <c r="G115" t="s">
        <v>167</v>
      </c>
      <c r="H115" t="s">
        <v>156</v>
      </c>
      <c r="I115">
        <v>0</v>
      </c>
      <c r="N115" t="str">
        <f t="shared" si="4"/>
        <v>BEF-R06-</v>
      </c>
      <c r="O115" t="str">
        <f t="shared" si="5"/>
        <v>R3</v>
      </c>
      <c r="P115" t="str">
        <f t="shared" si="6"/>
        <v>bar3 - ari</v>
      </c>
      <c r="Q115">
        <f t="shared" si="7"/>
        <v>7</v>
      </c>
    </row>
    <row r="116" spans="2:17" x14ac:dyDescent="0.25">
      <c r="B116" t="s">
        <v>152</v>
      </c>
      <c r="C116" t="s">
        <v>174</v>
      </c>
      <c r="D116" t="s">
        <v>153</v>
      </c>
      <c r="E116" t="s">
        <v>105</v>
      </c>
      <c r="F116" t="s">
        <v>154</v>
      </c>
      <c r="G116" t="s">
        <v>191</v>
      </c>
      <c r="H116" t="s">
        <v>156</v>
      </c>
      <c r="I116">
        <v>8</v>
      </c>
      <c r="N116" t="str">
        <f t="shared" si="4"/>
        <v>BEF-R07-</v>
      </c>
      <c r="O116" t="str">
        <f t="shared" si="5"/>
        <v>R3</v>
      </c>
      <c r="P116" t="str">
        <f t="shared" si="6"/>
        <v>None</v>
      </c>
      <c r="Q116">
        <f t="shared" si="7"/>
        <v>0</v>
      </c>
    </row>
    <row r="117" spans="2:17" x14ac:dyDescent="0.25">
      <c r="B117" t="s">
        <v>152</v>
      </c>
      <c r="C117" t="s">
        <v>175</v>
      </c>
      <c r="D117" t="s">
        <v>153</v>
      </c>
      <c r="E117" t="s">
        <v>105</v>
      </c>
      <c r="F117" t="s">
        <v>154</v>
      </c>
      <c r="G117" t="s">
        <v>191</v>
      </c>
      <c r="H117" t="s">
        <v>156</v>
      </c>
      <c r="I117">
        <v>14</v>
      </c>
      <c r="N117" t="str">
        <f t="shared" si="4"/>
        <v>BEF-R08-</v>
      </c>
      <c r="O117" t="str">
        <f t="shared" si="5"/>
        <v>R3</v>
      </c>
      <c r="P117" t="str">
        <f t="shared" si="6"/>
        <v>bar5 - ari</v>
      </c>
      <c r="Q117">
        <f t="shared" si="7"/>
        <v>8</v>
      </c>
    </row>
    <row r="118" spans="2:17" x14ac:dyDescent="0.25">
      <c r="B118" t="s">
        <v>152</v>
      </c>
      <c r="C118" t="s">
        <v>176</v>
      </c>
      <c r="D118" t="s">
        <v>153</v>
      </c>
      <c r="E118" t="s">
        <v>105</v>
      </c>
      <c r="F118" t="s">
        <v>154</v>
      </c>
      <c r="G118" t="s">
        <v>191</v>
      </c>
      <c r="H118" t="s">
        <v>156</v>
      </c>
      <c r="I118">
        <v>15</v>
      </c>
      <c r="N118" t="str">
        <f t="shared" si="4"/>
        <v>BEF-R09-</v>
      </c>
      <c r="O118" t="str">
        <f t="shared" si="5"/>
        <v>R3</v>
      </c>
      <c r="P118" t="str">
        <f t="shared" si="6"/>
        <v>bar5 - ari</v>
      </c>
      <c r="Q118">
        <f t="shared" si="7"/>
        <v>14</v>
      </c>
    </row>
    <row r="119" spans="2:17" x14ac:dyDescent="0.25">
      <c r="B119" t="s">
        <v>152</v>
      </c>
      <c r="C119" t="s">
        <v>177</v>
      </c>
      <c r="D119" t="s">
        <v>153</v>
      </c>
      <c r="E119" t="s">
        <v>105</v>
      </c>
      <c r="F119" t="s">
        <v>154</v>
      </c>
      <c r="G119" t="s">
        <v>191</v>
      </c>
      <c r="H119" t="s">
        <v>156</v>
      </c>
      <c r="I119">
        <v>15</v>
      </c>
      <c r="N119" t="str">
        <f t="shared" si="4"/>
        <v>BEF-R10-</v>
      </c>
      <c r="O119" t="str">
        <f t="shared" si="5"/>
        <v>R3</v>
      </c>
      <c r="P119" t="str">
        <f t="shared" si="6"/>
        <v>bar5 - ari</v>
      </c>
      <c r="Q119">
        <f t="shared" si="7"/>
        <v>15</v>
      </c>
    </row>
    <row r="120" spans="2:17" x14ac:dyDescent="0.25">
      <c r="B120" t="s">
        <v>152</v>
      </c>
      <c r="C120" t="s">
        <v>178</v>
      </c>
      <c r="D120" t="s">
        <v>153</v>
      </c>
      <c r="E120" t="s">
        <v>105</v>
      </c>
      <c r="F120" t="s">
        <v>154</v>
      </c>
      <c r="G120" t="s">
        <v>190</v>
      </c>
      <c r="H120" t="s">
        <v>156</v>
      </c>
      <c r="I120">
        <v>12</v>
      </c>
      <c r="N120" t="str">
        <f t="shared" si="4"/>
        <v>BEF-R11-</v>
      </c>
      <c r="O120" t="str">
        <f t="shared" si="5"/>
        <v>R3</v>
      </c>
      <c r="P120" t="str">
        <f t="shared" si="6"/>
        <v>bar5 - ari</v>
      </c>
      <c r="Q120">
        <f t="shared" si="7"/>
        <v>15</v>
      </c>
    </row>
    <row r="121" spans="2:17" x14ac:dyDescent="0.25">
      <c r="B121" t="s">
        <v>152</v>
      </c>
      <c r="C121" t="s">
        <v>179</v>
      </c>
      <c r="D121" t="s">
        <v>153</v>
      </c>
      <c r="E121" t="s">
        <v>105</v>
      </c>
      <c r="F121" t="s">
        <v>154</v>
      </c>
      <c r="G121" t="s">
        <v>190</v>
      </c>
      <c r="H121" t="s">
        <v>156</v>
      </c>
      <c r="I121">
        <v>12</v>
      </c>
      <c r="N121" t="str">
        <f t="shared" si="4"/>
        <v>BEF-R12-</v>
      </c>
      <c r="O121" t="str">
        <f t="shared" si="5"/>
        <v>R3</v>
      </c>
      <c r="P121" t="str">
        <f t="shared" si="6"/>
        <v>bar3 - ari</v>
      </c>
      <c r="Q121">
        <f t="shared" si="7"/>
        <v>12</v>
      </c>
    </row>
    <row r="122" spans="2:17" x14ac:dyDescent="0.25">
      <c r="B122" t="s">
        <v>152</v>
      </c>
      <c r="C122" t="s">
        <v>180</v>
      </c>
      <c r="D122" t="s">
        <v>153</v>
      </c>
      <c r="E122" t="s">
        <v>105</v>
      </c>
      <c r="F122" t="s">
        <v>154</v>
      </c>
      <c r="G122" t="s">
        <v>190</v>
      </c>
      <c r="H122" t="s">
        <v>156</v>
      </c>
      <c r="I122">
        <v>11</v>
      </c>
      <c r="N122" t="str">
        <f t="shared" si="4"/>
        <v>BEF-R13-</v>
      </c>
      <c r="O122" t="str">
        <f t="shared" si="5"/>
        <v>R3</v>
      </c>
      <c r="P122" t="str">
        <f t="shared" si="6"/>
        <v>bar3 - ari</v>
      </c>
      <c r="Q122">
        <f t="shared" si="7"/>
        <v>12</v>
      </c>
    </row>
    <row r="123" spans="2:17" x14ac:dyDescent="0.25">
      <c r="B123" t="s">
        <v>152</v>
      </c>
      <c r="C123" t="s">
        <v>182</v>
      </c>
      <c r="D123" t="s">
        <v>153</v>
      </c>
      <c r="E123" t="s">
        <v>105</v>
      </c>
      <c r="F123" t="s">
        <v>154</v>
      </c>
      <c r="G123" t="s">
        <v>190</v>
      </c>
      <c r="H123" t="s">
        <v>156</v>
      </c>
      <c r="I123">
        <v>11</v>
      </c>
      <c r="N123" t="str">
        <f t="shared" si="4"/>
        <v>BEF-R14-</v>
      </c>
      <c r="O123" t="str">
        <f t="shared" si="5"/>
        <v>R3</v>
      </c>
      <c r="P123" t="str">
        <f t="shared" si="6"/>
        <v>bar3 - ari</v>
      </c>
      <c r="Q123">
        <f t="shared" si="7"/>
        <v>11</v>
      </c>
    </row>
    <row r="124" spans="2:17" x14ac:dyDescent="0.25">
      <c r="B124" t="s">
        <v>152</v>
      </c>
      <c r="C124" t="s">
        <v>183</v>
      </c>
      <c r="D124" t="s">
        <v>153</v>
      </c>
      <c r="E124" t="s">
        <v>105</v>
      </c>
      <c r="F124" t="s">
        <v>154</v>
      </c>
      <c r="G124" t="s">
        <v>192</v>
      </c>
      <c r="H124" t="s">
        <v>156</v>
      </c>
      <c r="I124">
        <v>15</v>
      </c>
      <c r="N124" t="str">
        <f t="shared" si="4"/>
        <v>BEF-R15-</v>
      </c>
      <c r="O124" t="str">
        <f t="shared" si="5"/>
        <v>R3</v>
      </c>
      <c r="P124" t="str">
        <f t="shared" si="6"/>
        <v>bar3 - ari</v>
      </c>
      <c r="Q124">
        <f t="shared" si="7"/>
        <v>11</v>
      </c>
    </row>
    <row r="125" spans="2:17" x14ac:dyDescent="0.25">
      <c r="B125" t="s">
        <v>147</v>
      </c>
      <c r="C125" t="s">
        <v>148</v>
      </c>
      <c r="D125" t="s">
        <v>143</v>
      </c>
      <c r="N125" t="str">
        <f t="shared" si="4"/>
        <v>BEF-R16-</v>
      </c>
      <c r="O125" t="str">
        <f t="shared" si="5"/>
        <v>R3</v>
      </c>
      <c r="P125" t="str">
        <f t="shared" si="6"/>
        <v>bar4 - ari</v>
      </c>
      <c r="Q125">
        <f t="shared" si="7"/>
        <v>15</v>
      </c>
    </row>
    <row r="126" spans="2:17" x14ac:dyDescent="0.25">
      <c r="B126" t="s">
        <v>152</v>
      </c>
      <c r="C126" t="s">
        <v>84</v>
      </c>
      <c r="D126" t="s">
        <v>153</v>
      </c>
      <c r="E126" t="s">
        <v>106</v>
      </c>
      <c r="F126" t="s">
        <v>154</v>
      </c>
      <c r="G126" t="s">
        <v>193</v>
      </c>
      <c r="H126" t="s">
        <v>156</v>
      </c>
      <c r="I126">
        <v>17.399999999999999</v>
      </c>
      <c r="N126" s="74" t="str">
        <f t="shared" si="4"/>
        <v xml:space="preserve"> y: 86.55</v>
      </c>
      <c r="O126">
        <f t="shared" si="5"/>
        <v>0</v>
      </c>
      <c r="P126">
        <f t="shared" si="6"/>
        <v>0</v>
      </c>
      <c r="Q126">
        <f t="shared" si="7"/>
        <v>0</v>
      </c>
    </row>
    <row r="127" spans="2:17" x14ac:dyDescent="0.25">
      <c r="B127" t="s">
        <v>152</v>
      </c>
      <c r="C127" t="s">
        <v>85</v>
      </c>
      <c r="D127" t="s">
        <v>153</v>
      </c>
      <c r="E127" t="s">
        <v>106</v>
      </c>
      <c r="F127" t="s">
        <v>154</v>
      </c>
      <c r="G127" t="s">
        <v>193</v>
      </c>
      <c r="H127" t="s">
        <v>156</v>
      </c>
      <c r="I127">
        <v>15.3</v>
      </c>
      <c r="N127" t="str">
        <f t="shared" si="4"/>
        <v>MAU-R1</v>
      </c>
      <c r="O127" t="str">
        <f t="shared" si="5"/>
        <v>R4</v>
      </c>
      <c r="P127" t="str">
        <f t="shared" si="6"/>
        <v>bar12 - OB_fresnel</v>
      </c>
      <c r="Q127">
        <f t="shared" si="7"/>
        <v>17.399999999999999</v>
      </c>
    </row>
    <row r="128" spans="2:17" x14ac:dyDescent="0.25">
      <c r="B128" t="s">
        <v>152</v>
      </c>
      <c r="C128" t="s">
        <v>158</v>
      </c>
      <c r="D128" t="s">
        <v>153</v>
      </c>
      <c r="E128" t="s">
        <v>106</v>
      </c>
      <c r="F128" t="s">
        <v>154</v>
      </c>
      <c r="G128" t="s">
        <v>194</v>
      </c>
      <c r="H128" t="s">
        <v>156</v>
      </c>
      <c r="I128">
        <v>13.8</v>
      </c>
      <c r="N128" t="str">
        <f t="shared" si="4"/>
        <v>ERV-R.1</v>
      </c>
      <c r="O128" t="str">
        <f t="shared" si="5"/>
        <v>R4</v>
      </c>
      <c r="P128" t="str">
        <f t="shared" si="6"/>
        <v>bar12 - OB_fresnel</v>
      </c>
      <c r="Q128">
        <f t="shared" si="7"/>
        <v>15.3</v>
      </c>
    </row>
    <row r="129" spans="2:17" x14ac:dyDescent="0.25">
      <c r="B129" t="s">
        <v>152</v>
      </c>
      <c r="C129" t="s">
        <v>160</v>
      </c>
      <c r="D129" t="s">
        <v>153</v>
      </c>
      <c r="E129" t="s">
        <v>106</v>
      </c>
      <c r="F129" t="s">
        <v>154</v>
      </c>
      <c r="G129" t="s">
        <v>193</v>
      </c>
      <c r="H129" t="s">
        <v>156</v>
      </c>
      <c r="I129">
        <v>13.1</v>
      </c>
      <c r="N129" t="str">
        <f t="shared" si="4"/>
        <v>GEF-R1-</v>
      </c>
      <c r="O129" t="str">
        <f t="shared" si="5"/>
        <v>R4</v>
      </c>
      <c r="P129" t="str">
        <f t="shared" si="6"/>
        <v>bar6 - OB_fresnel</v>
      </c>
      <c r="Q129">
        <f t="shared" si="7"/>
        <v>13.8</v>
      </c>
    </row>
    <row r="130" spans="2:17" x14ac:dyDescent="0.25">
      <c r="B130" t="s">
        <v>152</v>
      </c>
      <c r="C130" t="s">
        <v>161</v>
      </c>
      <c r="D130" t="s">
        <v>153</v>
      </c>
      <c r="E130" t="s">
        <v>106</v>
      </c>
      <c r="F130" t="s">
        <v>154</v>
      </c>
      <c r="G130" t="s">
        <v>193</v>
      </c>
      <c r="H130" t="s">
        <v>156</v>
      </c>
      <c r="I130">
        <v>15.8</v>
      </c>
      <c r="N130" t="str">
        <f t="shared" si="4"/>
        <v>DEF-R1</v>
      </c>
      <c r="O130" t="str">
        <f>D129</f>
        <v xml:space="preserve"> rcvr: </v>
      </c>
      <c r="P130" t="str">
        <f>F129</f>
        <v xml:space="preserve"> bar: </v>
      </c>
      <c r="Q130">
        <f t="shared" si="7"/>
        <v>13.1</v>
      </c>
    </row>
    <row r="131" spans="2:17" x14ac:dyDescent="0.25">
      <c r="B131" t="s">
        <v>152</v>
      </c>
      <c r="C131" t="s">
        <v>88</v>
      </c>
      <c r="D131" t="s">
        <v>153</v>
      </c>
      <c r="E131" t="s">
        <v>106</v>
      </c>
      <c r="F131" t="s">
        <v>154</v>
      </c>
      <c r="G131" t="s">
        <v>193</v>
      </c>
      <c r="H131" t="s">
        <v>156</v>
      </c>
      <c r="I131">
        <v>15.6</v>
      </c>
      <c r="N131" t="str">
        <f t="shared" si="4"/>
        <v>KEF-R1-</v>
      </c>
      <c r="O131" t="str">
        <f t="shared" si="5"/>
        <v>R4</v>
      </c>
      <c r="P131" t="str">
        <f t="shared" si="6"/>
        <v>bar12 - OB_fresnel</v>
      </c>
      <c r="Q131">
        <f t="shared" si="7"/>
        <v>15.8</v>
      </c>
    </row>
    <row r="132" spans="2:17" x14ac:dyDescent="0.25">
      <c r="B132" t="s">
        <v>152</v>
      </c>
      <c r="C132" t="s">
        <v>89</v>
      </c>
      <c r="D132" t="s">
        <v>153</v>
      </c>
      <c r="E132" t="s">
        <v>106</v>
      </c>
      <c r="F132" t="s">
        <v>154</v>
      </c>
      <c r="G132" t="s">
        <v>195</v>
      </c>
      <c r="H132" t="s">
        <v>156</v>
      </c>
      <c r="I132">
        <v>9</v>
      </c>
      <c r="N132" t="str">
        <f t="shared" ref="N132:N195" si="8">C131</f>
        <v>DWEF-R1</v>
      </c>
      <c r="O132" t="str">
        <f t="shared" ref="O132:O195" si="9">E131</f>
        <v>R4</v>
      </c>
      <c r="P132" t="str">
        <f t="shared" ref="P132:P195" si="10">G131</f>
        <v>bar12 - OB_fresnel</v>
      </c>
      <c r="Q132">
        <f t="shared" ref="Q132:Q195" si="11">I131</f>
        <v>15.6</v>
      </c>
    </row>
    <row r="133" spans="2:17" x14ac:dyDescent="0.25">
      <c r="B133" t="s">
        <v>152</v>
      </c>
      <c r="C133" t="s">
        <v>90</v>
      </c>
      <c r="D133" t="s">
        <v>153</v>
      </c>
      <c r="E133" t="s">
        <v>106</v>
      </c>
      <c r="F133" t="s">
        <v>154</v>
      </c>
      <c r="G133" t="s">
        <v>195</v>
      </c>
      <c r="H133" t="s">
        <v>156</v>
      </c>
      <c r="I133">
        <v>10</v>
      </c>
      <c r="N133" t="str">
        <f t="shared" si="8"/>
        <v>CU-R1</v>
      </c>
      <c r="O133" t="str">
        <f t="shared" si="9"/>
        <v>R4</v>
      </c>
      <c r="P133" t="str">
        <f t="shared" si="10"/>
        <v>bar12 - ari</v>
      </c>
      <c r="Q133">
        <f t="shared" si="11"/>
        <v>9</v>
      </c>
    </row>
    <row r="134" spans="2:17" x14ac:dyDescent="0.25">
      <c r="B134" t="s">
        <v>152</v>
      </c>
      <c r="C134" t="s">
        <v>91</v>
      </c>
      <c r="D134" t="s">
        <v>153</v>
      </c>
      <c r="E134" t="s">
        <v>106</v>
      </c>
      <c r="F134" t="s">
        <v>154</v>
      </c>
      <c r="G134" t="s">
        <v>195</v>
      </c>
      <c r="H134" t="s">
        <v>156</v>
      </c>
      <c r="I134">
        <v>9</v>
      </c>
      <c r="N134" t="str">
        <f t="shared" si="8"/>
        <v>CU-R2</v>
      </c>
      <c r="O134" t="str">
        <f t="shared" si="9"/>
        <v>R4</v>
      </c>
      <c r="P134" t="str">
        <f t="shared" si="10"/>
        <v>bar12 - ari</v>
      </c>
      <c r="Q134">
        <f t="shared" si="11"/>
        <v>10</v>
      </c>
    </row>
    <row r="135" spans="2:17" x14ac:dyDescent="0.25">
      <c r="B135" t="s">
        <v>152</v>
      </c>
      <c r="C135" t="s">
        <v>92</v>
      </c>
      <c r="D135" t="s">
        <v>153</v>
      </c>
      <c r="E135" t="s">
        <v>106</v>
      </c>
      <c r="F135" t="s">
        <v>154</v>
      </c>
      <c r="G135" t="s">
        <v>195</v>
      </c>
      <c r="H135" t="s">
        <v>156</v>
      </c>
      <c r="I135">
        <v>11</v>
      </c>
      <c r="N135" t="str">
        <f t="shared" si="8"/>
        <v>CU-R4</v>
      </c>
      <c r="O135" t="str">
        <f t="shared" si="9"/>
        <v>R4</v>
      </c>
      <c r="P135" t="str">
        <f t="shared" si="10"/>
        <v>bar12 - ari</v>
      </c>
      <c r="Q135">
        <f t="shared" si="11"/>
        <v>9</v>
      </c>
    </row>
    <row r="136" spans="2:17" x14ac:dyDescent="0.25">
      <c r="B136" t="s">
        <v>152</v>
      </c>
      <c r="C136" t="s">
        <v>108</v>
      </c>
      <c r="D136" t="s">
        <v>153</v>
      </c>
      <c r="E136" t="s">
        <v>106</v>
      </c>
      <c r="F136" t="s">
        <v>154</v>
      </c>
      <c r="G136" t="s">
        <v>196</v>
      </c>
      <c r="H136" t="s">
        <v>156</v>
      </c>
      <c r="I136">
        <v>7</v>
      </c>
      <c r="N136" t="str">
        <f t="shared" si="8"/>
        <v>CU-R5</v>
      </c>
      <c r="O136" t="str">
        <f t="shared" si="9"/>
        <v>R4</v>
      </c>
      <c r="P136" t="str">
        <f t="shared" si="10"/>
        <v>bar12 - ari</v>
      </c>
      <c r="Q136">
        <f t="shared" si="11"/>
        <v>11</v>
      </c>
    </row>
    <row r="137" spans="2:17" x14ac:dyDescent="0.25">
      <c r="B137" t="s">
        <v>152</v>
      </c>
      <c r="C137" t="s">
        <v>109</v>
      </c>
      <c r="D137" t="s">
        <v>153</v>
      </c>
      <c r="E137" t="s">
        <v>106</v>
      </c>
      <c r="F137" t="s">
        <v>154</v>
      </c>
      <c r="G137" t="s">
        <v>195</v>
      </c>
      <c r="H137" t="s">
        <v>156</v>
      </c>
      <c r="I137">
        <v>8</v>
      </c>
      <c r="N137" t="str">
        <f t="shared" si="8"/>
        <v>RCU-R(4p)1</v>
      </c>
      <c r="O137" t="str">
        <f t="shared" si="9"/>
        <v>R4</v>
      </c>
      <c r="P137" t="str">
        <f t="shared" si="10"/>
        <v>bar6 - ari</v>
      </c>
      <c r="Q137">
        <f t="shared" si="11"/>
        <v>7</v>
      </c>
    </row>
    <row r="138" spans="2:17" x14ac:dyDescent="0.25">
      <c r="B138" t="s">
        <v>152</v>
      </c>
      <c r="C138" t="s">
        <v>110</v>
      </c>
      <c r="D138" t="s">
        <v>153</v>
      </c>
      <c r="E138" t="s">
        <v>106</v>
      </c>
      <c r="F138" t="s">
        <v>154</v>
      </c>
      <c r="G138" t="s">
        <v>195</v>
      </c>
      <c r="H138" t="s">
        <v>156</v>
      </c>
      <c r="I138">
        <v>10</v>
      </c>
      <c r="N138" t="str">
        <f t="shared" si="8"/>
        <v>RCU-R(4p)2</v>
      </c>
      <c r="O138" t="str">
        <f t="shared" si="9"/>
        <v>R4</v>
      </c>
      <c r="P138" t="str">
        <f t="shared" si="10"/>
        <v>bar12 - ari</v>
      </c>
      <c r="Q138">
        <f t="shared" si="11"/>
        <v>8</v>
      </c>
    </row>
    <row r="139" spans="2:17" x14ac:dyDescent="0.25">
      <c r="B139" t="s">
        <v>152</v>
      </c>
      <c r="C139" t="s">
        <v>94</v>
      </c>
      <c r="D139" t="s">
        <v>153</v>
      </c>
      <c r="E139" t="s">
        <v>106</v>
      </c>
      <c r="F139" t="s">
        <v>154</v>
      </c>
      <c r="G139" t="s">
        <v>195</v>
      </c>
      <c r="H139" t="s">
        <v>156</v>
      </c>
      <c r="I139">
        <v>11</v>
      </c>
      <c r="N139" t="str">
        <f t="shared" si="8"/>
        <v>RCU-R(4p)3</v>
      </c>
      <c r="O139" t="str">
        <f t="shared" si="9"/>
        <v>R4</v>
      </c>
      <c r="P139" t="str">
        <f t="shared" si="10"/>
        <v>bar12 - ari</v>
      </c>
      <c r="Q139">
        <f t="shared" si="11"/>
        <v>10</v>
      </c>
    </row>
    <row r="140" spans="2:17" x14ac:dyDescent="0.25">
      <c r="B140" t="s">
        <v>152</v>
      </c>
      <c r="C140" t="s">
        <v>112</v>
      </c>
      <c r="D140" t="s">
        <v>153</v>
      </c>
      <c r="E140" t="s">
        <v>106</v>
      </c>
      <c r="F140" t="s">
        <v>154</v>
      </c>
      <c r="G140" t="s">
        <v>197</v>
      </c>
      <c r="H140" t="s">
        <v>156</v>
      </c>
      <c r="I140">
        <v>13</v>
      </c>
      <c r="N140" t="str">
        <f t="shared" si="8"/>
        <v>RCU-R(2p)</v>
      </c>
      <c r="O140" t="str">
        <f t="shared" si="9"/>
        <v>R4</v>
      </c>
      <c r="P140" t="str">
        <f t="shared" si="10"/>
        <v>bar12 - ari</v>
      </c>
      <c r="Q140">
        <f t="shared" si="11"/>
        <v>11</v>
      </c>
    </row>
    <row r="141" spans="2:17" x14ac:dyDescent="0.25">
      <c r="B141" t="s">
        <v>152</v>
      </c>
      <c r="C141" t="s">
        <v>111</v>
      </c>
      <c r="D141" t="s">
        <v>153</v>
      </c>
      <c r="E141" t="s">
        <v>106</v>
      </c>
      <c r="F141" t="s">
        <v>154</v>
      </c>
      <c r="G141" t="s">
        <v>198</v>
      </c>
      <c r="H141" t="s">
        <v>156</v>
      </c>
      <c r="I141">
        <v>13</v>
      </c>
      <c r="N141" t="str">
        <f t="shared" si="8"/>
        <v>RCU-R(2p)1</v>
      </c>
      <c r="O141" t="str">
        <f t="shared" si="9"/>
        <v>R4</v>
      </c>
      <c r="P141" t="str">
        <f t="shared" si="10"/>
        <v>bar11 - ari</v>
      </c>
      <c r="Q141">
        <f t="shared" si="11"/>
        <v>13</v>
      </c>
    </row>
    <row r="142" spans="2:17" x14ac:dyDescent="0.25">
      <c r="B142" t="s">
        <v>152</v>
      </c>
      <c r="C142" t="s">
        <v>113</v>
      </c>
      <c r="D142" t="s">
        <v>153</v>
      </c>
      <c r="E142" t="s">
        <v>106</v>
      </c>
      <c r="F142" t="s">
        <v>154</v>
      </c>
      <c r="G142" t="s">
        <v>195</v>
      </c>
      <c r="H142" t="s">
        <v>156</v>
      </c>
      <c r="I142">
        <v>12</v>
      </c>
      <c r="N142" t="str">
        <f t="shared" si="8"/>
        <v>RCU-R(4p)4</v>
      </c>
      <c r="O142" t="str">
        <f t="shared" si="9"/>
        <v>R4</v>
      </c>
      <c r="P142" t="str">
        <f t="shared" si="10"/>
        <v>bar10 - ari</v>
      </c>
      <c r="Q142">
        <f t="shared" si="11"/>
        <v>13</v>
      </c>
    </row>
    <row r="143" spans="2:17" x14ac:dyDescent="0.25">
      <c r="B143" t="s">
        <v>152</v>
      </c>
      <c r="C143" t="s">
        <v>114</v>
      </c>
      <c r="D143" t="s">
        <v>153</v>
      </c>
      <c r="E143" t="s">
        <v>106</v>
      </c>
      <c r="F143" t="s">
        <v>154</v>
      </c>
      <c r="G143" t="s">
        <v>195</v>
      </c>
      <c r="H143" t="s">
        <v>156</v>
      </c>
      <c r="I143">
        <v>12</v>
      </c>
      <c r="N143" t="str">
        <f t="shared" si="8"/>
        <v>RCU-R(2p)2</v>
      </c>
      <c r="O143" t="str">
        <f t="shared" si="9"/>
        <v>R4</v>
      </c>
      <c r="P143" t="str">
        <f t="shared" si="10"/>
        <v>bar12 - ari</v>
      </c>
      <c r="Q143">
        <f t="shared" si="11"/>
        <v>12</v>
      </c>
    </row>
    <row r="144" spans="2:17" x14ac:dyDescent="0.25">
      <c r="B144" t="s">
        <v>152</v>
      </c>
      <c r="C144" t="s">
        <v>115</v>
      </c>
      <c r="D144" t="s">
        <v>153</v>
      </c>
      <c r="E144" t="s">
        <v>106</v>
      </c>
      <c r="F144" t="s">
        <v>154</v>
      </c>
      <c r="G144" t="s">
        <v>195</v>
      </c>
      <c r="H144" t="s">
        <v>156</v>
      </c>
      <c r="I144">
        <v>11</v>
      </c>
      <c r="N144" t="str">
        <f t="shared" si="8"/>
        <v>RCU-R(2p)3</v>
      </c>
      <c r="O144" t="str">
        <f t="shared" si="9"/>
        <v>R4</v>
      </c>
      <c r="P144" t="str">
        <f t="shared" si="10"/>
        <v>bar12 - ari</v>
      </c>
      <c r="Q144">
        <f t="shared" si="11"/>
        <v>12</v>
      </c>
    </row>
    <row r="145" spans="2:17" x14ac:dyDescent="0.25">
      <c r="B145" t="s">
        <v>152</v>
      </c>
      <c r="C145" t="s">
        <v>116</v>
      </c>
      <c r="D145" t="s">
        <v>153</v>
      </c>
      <c r="E145" t="s">
        <v>106</v>
      </c>
      <c r="F145" t="s">
        <v>154</v>
      </c>
      <c r="G145" t="s">
        <v>195</v>
      </c>
      <c r="H145" t="s">
        <v>156</v>
      </c>
      <c r="I145">
        <v>11</v>
      </c>
      <c r="N145" t="str">
        <f t="shared" si="8"/>
        <v>RCU-R(2p)4</v>
      </c>
      <c r="O145" t="str">
        <f t="shared" si="9"/>
        <v>R4</v>
      </c>
      <c r="P145" t="str">
        <f t="shared" si="10"/>
        <v>bar12 - ari</v>
      </c>
      <c r="Q145">
        <f t="shared" si="11"/>
        <v>11</v>
      </c>
    </row>
    <row r="146" spans="2:17" x14ac:dyDescent="0.25">
      <c r="B146" t="s">
        <v>152</v>
      </c>
      <c r="C146" t="s">
        <v>117</v>
      </c>
      <c r="D146" t="s">
        <v>153</v>
      </c>
      <c r="E146" t="s">
        <v>106</v>
      </c>
      <c r="F146" t="s">
        <v>154</v>
      </c>
      <c r="G146" t="s">
        <v>195</v>
      </c>
      <c r="H146" t="s">
        <v>156</v>
      </c>
      <c r="I146">
        <v>10</v>
      </c>
      <c r="N146" t="str">
        <f t="shared" si="8"/>
        <v>RCU-R(2p)5</v>
      </c>
      <c r="O146" t="str">
        <f t="shared" si="9"/>
        <v>R4</v>
      </c>
      <c r="P146" t="str">
        <f t="shared" si="10"/>
        <v>bar12 - ari</v>
      </c>
      <c r="Q146">
        <f t="shared" si="11"/>
        <v>11</v>
      </c>
    </row>
    <row r="147" spans="2:17" x14ac:dyDescent="0.25">
      <c r="B147" t="s">
        <v>152</v>
      </c>
      <c r="C147" t="s">
        <v>166</v>
      </c>
      <c r="D147" t="s">
        <v>153</v>
      </c>
      <c r="E147" t="s">
        <v>106</v>
      </c>
      <c r="F147" t="s">
        <v>154</v>
      </c>
      <c r="G147" t="s">
        <v>198</v>
      </c>
      <c r="H147" t="s">
        <v>156</v>
      </c>
      <c r="I147">
        <v>13</v>
      </c>
      <c r="N147" t="str">
        <f t="shared" si="8"/>
        <v>RCU-R(2p)6</v>
      </c>
      <c r="O147" t="str">
        <f t="shared" si="9"/>
        <v>R4</v>
      </c>
      <c r="P147" t="str">
        <f t="shared" si="10"/>
        <v>bar12 - ari</v>
      </c>
      <c r="Q147">
        <f t="shared" si="11"/>
        <v>10</v>
      </c>
    </row>
    <row r="148" spans="2:17" x14ac:dyDescent="0.25">
      <c r="B148" t="s">
        <v>152</v>
      </c>
      <c r="C148" t="s">
        <v>168</v>
      </c>
      <c r="D148" t="s">
        <v>153</v>
      </c>
      <c r="E148" t="s">
        <v>106</v>
      </c>
      <c r="F148" t="s">
        <v>154</v>
      </c>
      <c r="G148" t="s">
        <v>198</v>
      </c>
      <c r="H148" t="s">
        <v>156</v>
      </c>
      <c r="I148">
        <v>13</v>
      </c>
      <c r="N148" t="str">
        <f t="shared" si="8"/>
        <v>BEF-R01-</v>
      </c>
      <c r="O148" t="str">
        <f t="shared" si="9"/>
        <v>R4</v>
      </c>
      <c r="P148" t="str">
        <f t="shared" si="10"/>
        <v>bar10 - ari</v>
      </c>
      <c r="Q148">
        <f t="shared" si="11"/>
        <v>13</v>
      </c>
    </row>
    <row r="149" spans="2:17" x14ac:dyDescent="0.25">
      <c r="B149" t="s">
        <v>152</v>
      </c>
      <c r="C149" t="s">
        <v>169</v>
      </c>
      <c r="D149" t="s">
        <v>153</v>
      </c>
      <c r="E149" t="s">
        <v>106</v>
      </c>
      <c r="F149" t="s">
        <v>154</v>
      </c>
      <c r="G149" t="s">
        <v>198</v>
      </c>
      <c r="H149" t="s">
        <v>156</v>
      </c>
      <c r="I149">
        <v>13</v>
      </c>
      <c r="N149" t="str">
        <f t="shared" si="8"/>
        <v>BEF-R02-</v>
      </c>
      <c r="O149" t="str">
        <f t="shared" si="9"/>
        <v>R4</v>
      </c>
      <c r="P149" t="str">
        <f t="shared" si="10"/>
        <v>bar10 - ari</v>
      </c>
      <c r="Q149">
        <f t="shared" si="11"/>
        <v>13</v>
      </c>
    </row>
    <row r="150" spans="2:17" x14ac:dyDescent="0.25">
      <c r="B150" t="s">
        <v>152</v>
      </c>
      <c r="C150" t="s">
        <v>170</v>
      </c>
      <c r="D150" t="s">
        <v>153</v>
      </c>
      <c r="E150" t="s">
        <v>106</v>
      </c>
      <c r="F150" t="s">
        <v>154</v>
      </c>
      <c r="G150" t="s">
        <v>195</v>
      </c>
      <c r="H150" t="s">
        <v>156</v>
      </c>
      <c r="I150">
        <v>11</v>
      </c>
      <c r="N150" t="str">
        <f t="shared" si="8"/>
        <v>BEF-R03-</v>
      </c>
      <c r="O150" t="str">
        <f t="shared" si="9"/>
        <v>R4</v>
      </c>
      <c r="P150" t="str">
        <f t="shared" si="10"/>
        <v>bar10 - ari</v>
      </c>
      <c r="Q150">
        <f t="shared" si="11"/>
        <v>13</v>
      </c>
    </row>
    <row r="151" spans="2:17" x14ac:dyDescent="0.25">
      <c r="B151" t="s">
        <v>152</v>
      </c>
      <c r="C151" t="s">
        <v>171</v>
      </c>
      <c r="D151" t="s">
        <v>153</v>
      </c>
      <c r="E151" t="s">
        <v>106</v>
      </c>
      <c r="F151" t="s">
        <v>154</v>
      </c>
      <c r="G151" t="s">
        <v>198</v>
      </c>
      <c r="H151" t="s">
        <v>156</v>
      </c>
      <c r="I151">
        <v>11</v>
      </c>
      <c r="N151" t="str">
        <f t="shared" si="8"/>
        <v>BEF-R04-</v>
      </c>
      <c r="O151" t="str">
        <f t="shared" si="9"/>
        <v>R4</v>
      </c>
      <c r="P151" t="str">
        <f t="shared" si="10"/>
        <v>bar12 - ari</v>
      </c>
      <c r="Q151">
        <f t="shared" si="11"/>
        <v>11</v>
      </c>
    </row>
    <row r="152" spans="2:17" x14ac:dyDescent="0.25">
      <c r="B152" t="s">
        <v>152</v>
      </c>
      <c r="C152" t="s">
        <v>172</v>
      </c>
      <c r="D152" t="s">
        <v>153</v>
      </c>
      <c r="E152" t="s">
        <v>106</v>
      </c>
      <c r="F152" t="s">
        <v>154</v>
      </c>
      <c r="G152" t="s">
        <v>199</v>
      </c>
      <c r="H152" t="s">
        <v>156</v>
      </c>
      <c r="I152">
        <v>10</v>
      </c>
      <c r="N152" t="str">
        <f t="shared" si="8"/>
        <v>BEF-R05-</v>
      </c>
      <c r="O152" t="str">
        <f t="shared" si="9"/>
        <v>R4</v>
      </c>
      <c r="P152" t="str">
        <f t="shared" si="10"/>
        <v>bar10 - ari</v>
      </c>
      <c r="Q152">
        <f t="shared" si="11"/>
        <v>11</v>
      </c>
    </row>
    <row r="153" spans="2:17" x14ac:dyDescent="0.25">
      <c r="B153" t="s">
        <v>152</v>
      </c>
      <c r="C153" t="s">
        <v>173</v>
      </c>
      <c r="D153" t="s">
        <v>153</v>
      </c>
      <c r="E153" t="s">
        <v>106</v>
      </c>
      <c r="F153" t="s">
        <v>154</v>
      </c>
      <c r="G153" t="s">
        <v>200</v>
      </c>
      <c r="H153" t="s">
        <v>156</v>
      </c>
      <c r="I153">
        <v>11</v>
      </c>
      <c r="N153" t="str">
        <f t="shared" si="8"/>
        <v>BEF-R06-</v>
      </c>
      <c r="O153" t="str">
        <f t="shared" si="9"/>
        <v>R4</v>
      </c>
      <c r="P153" t="str">
        <f t="shared" si="10"/>
        <v>bar8 - ari</v>
      </c>
      <c r="Q153">
        <f t="shared" si="11"/>
        <v>10</v>
      </c>
    </row>
    <row r="154" spans="2:17" x14ac:dyDescent="0.25">
      <c r="B154" t="s">
        <v>152</v>
      </c>
      <c r="C154" t="s">
        <v>174</v>
      </c>
      <c r="D154" t="s">
        <v>153</v>
      </c>
      <c r="E154" t="s">
        <v>106</v>
      </c>
      <c r="F154" t="s">
        <v>154</v>
      </c>
      <c r="G154" t="s">
        <v>196</v>
      </c>
      <c r="H154" t="s">
        <v>156</v>
      </c>
      <c r="I154">
        <v>7</v>
      </c>
      <c r="N154" t="str">
        <f t="shared" si="8"/>
        <v>BEF-R07-</v>
      </c>
      <c r="O154" t="str">
        <f t="shared" si="9"/>
        <v>R4</v>
      </c>
      <c r="P154" t="str">
        <f t="shared" si="10"/>
        <v>bar7 - ari</v>
      </c>
      <c r="Q154">
        <f t="shared" si="11"/>
        <v>11</v>
      </c>
    </row>
    <row r="155" spans="2:17" x14ac:dyDescent="0.25">
      <c r="B155" t="s">
        <v>152</v>
      </c>
      <c r="C155" t="s">
        <v>175</v>
      </c>
      <c r="D155" t="s">
        <v>153</v>
      </c>
      <c r="E155" t="s">
        <v>106</v>
      </c>
      <c r="F155" t="s">
        <v>154</v>
      </c>
      <c r="G155" t="s">
        <v>167</v>
      </c>
      <c r="H155" t="s">
        <v>156</v>
      </c>
      <c r="I155">
        <v>0</v>
      </c>
      <c r="N155" t="str">
        <f t="shared" si="8"/>
        <v>BEF-R08-</v>
      </c>
      <c r="O155" t="str">
        <f t="shared" si="9"/>
        <v>R4</v>
      </c>
      <c r="P155" t="str">
        <f t="shared" si="10"/>
        <v>bar6 - ari</v>
      </c>
      <c r="Q155">
        <f t="shared" si="11"/>
        <v>7</v>
      </c>
    </row>
    <row r="156" spans="2:17" x14ac:dyDescent="0.25">
      <c r="B156" t="s">
        <v>152</v>
      </c>
      <c r="C156" t="s">
        <v>176</v>
      </c>
      <c r="D156" t="s">
        <v>153</v>
      </c>
      <c r="E156" t="s">
        <v>106</v>
      </c>
      <c r="F156" t="s">
        <v>154</v>
      </c>
      <c r="G156" t="s">
        <v>197</v>
      </c>
      <c r="H156" t="s">
        <v>156</v>
      </c>
      <c r="I156">
        <v>5</v>
      </c>
      <c r="N156" t="str">
        <f t="shared" si="8"/>
        <v>BEF-R09-</v>
      </c>
      <c r="O156" t="str">
        <f t="shared" si="9"/>
        <v>R4</v>
      </c>
      <c r="P156" t="str">
        <f t="shared" si="10"/>
        <v>None</v>
      </c>
      <c r="Q156">
        <f t="shared" si="11"/>
        <v>0</v>
      </c>
    </row>
    <row r="157" spans="2:17" x14ac:dyDescent="0.25">
      <c r="B157" t="s">
        <v>152</v>
      </c>
      <c r="C157" t="s">
        <v>177</v>
      </c>
      <c r="D157" t="s">
        <v>153</v>
      </c>
      <c r="E157" t="s">
        <v>106</v>
      </c>
      <c r="F157" t="s">
        <v>154</v>
      </c>
      <c r="G157" t="s">
        <v>167</v>
      </c>
      <c r="H157" t="s">
        <v>156</v>
      </c>
      <c r="I157">
        <v>0</v>
      </c>
      <c r="N157" t="str">
        <f t="shared" si="8"/>
        <v>BEF-R10-</v>
      </c>
      <c r="O157" t="str">
        <f t="shared" si="9"/>
        <v>R4</v>
      </c>
      <c r="P157" t="str">
        <f t="shared" si="10"/>
        <v>bar11 - ari</v>
      </c>
      <c r="Q157">
        <f t="shared" si="11"/>
        <v>5</v>
      </c>
    </row>
    <row r="158" spans="2:17" x14ac:dyDescent="0.25">
      <c r="B158" t="s">
        <v>152</v>
      </c>
      <c r="C158" t="s">
        <v>178</v>
      </c>
      <c r="D158" t="s">
        <v>153</v>
      </c>
      <c r="E158" t="s">
        <v>106</v>
      </c>
      <c r="F158" t="s">
        <v>154</v>
      </c>
      <c r="G158" t="s">
        <v>195</v>
      </c>
      <c r="H158" t="s">
        <v>156</v>
      </c>
      <c r="I158">
        <v>10</v>
      </c>
      <c r="N158" t="str">
        <f t="shared" si="8"/>
        <v>BEF-R11-</v>
      </c>
      <c r="O158" t="str">
        <f t="shared" si="9"/>
        <v>R4</v>
      </c>
      <c r="P158" t="str">
        <f t="shared" si="10"/>
        <v>None</v>
      </c>
      <c r="Q158">
        <f t="shared" si="11"/>
        <v>0</v>
      </c>
    </row>
    <row r="159" spans="2:17" x14ac:dyDescent="0.25">
      <c r="B159" t="s">
        <v>152</v>
      </c>
      <c r="C159" t="s">
        <v>179</v>
      </c>
      <c r="D159" t="s">
        <v>153</v>
      </c>
      <c r="E159" t="s">
        <v>106</v>
      </c>
      <c r="F159" t="s">
        <v>154</v>
      </c>
      <c r="G159" t="s">
        <v>195</v>
      </c>
      <c r="H159" t="s">
        <v>156</v>
      </c>
      <c r="I159">
        <v>11</v>
      </c>
      <c r="N159" t="str">
        <f t="shared" si="8"/>
        <v>BEF-R12-</v>
      </c>
      <c r="O159" t="str">
        <f t="shared" si="9"/>
        <v>R4</v>
      </c>
      <c r="P159" t="str">
        <f t="shared" si="10"/>
        <v>bar12 - ari</v>
      </c>
      <c r="Q159">
        <f t="shared" si="11"/>
        <v>10</v>
      </c>
    </row>
    <row r="160" spans="2:17" x14ac:dyDescent="0.25">
      <c r="B160" t="s">
        <v>152</v>
      </c>
      <c r="C160" t="s">
        <v>180</v>
      </c>
      <c r="D160" t="s">
        <v>153</v>
      </c>
      <c r="E160" t="s">
        <v>106</v>
      </c>
      <c r="F160" t="s">
        <v>154</v>
      </c>
      <c r="G160" t="s">
        <v>195</v>
      </c>
      <c r="H160" t="s">
        <v>156</v>
      </c>
      <c r="I160">
        <v>12</v>
      </c>
      <c r="N160" t="str">
        <f t="shared" si="8"/>
        <v>BEF-R13-</v>
      </c>
      <c r="O160" t="str">
        <f t="shared" si="9"/>
        <v>R4</v>
      </c>
      <c r="P160" t="str">
        <f t="shared" si="10"/>
        <v>bar12 - ari</v>
      </c>
      <c r="Q160">
        <f t="shared" si="11"/>
        <v>11</v>
      </c>
    </row>
    <row r="161" spans="2:17" x14ac:dyDescent="0.25">
      <c r="B161" t="s">
        <v>152</v>
      </c>
      <c r="C161" t="s">
        <v>182</v>
      </c>
      <c r="D161" t="s">
        <v>153</v>
      </c>
      <c r="E161" t="s">
        <v>106</v>
      </c>
      <c r="F161" t="s">
        <v>154</v>
      </c>
      <c r="G161" t="s">
        <v>195</v>
      </c>
      <c r="H161" t="s">
        <v>156</v>
      </c>
      <c r="I161">
        <v>12</v>
      </c>
      <c r="N161" t="str">
        <f t="shared" si="8"/>
        <v>BEF-R14-</v>
      </c>
      <c r="O161" t="str">
        <f t="shared" si="9"/>
        <v>R4</v>
      </c>
      <c r="P161" t="str">
        <f t="shared" si="10"/>
        <v>bar12 - ari</v>
      </c>
      <c r="Q161">
        <f t="shared" si="11"/>
        <v>12</v>
      </c>
    </row>
    <row r="162" spans="2:17" x14ac:dyDescent="0.25">
      <c r="B162" t="s">
        <v>152</v>
      </c>
      <c r="C162" t="s">
        <v>183</v>
      </c>
      <c r="D162" t="s">
        <v>153</v>
      </c>
      <c r="E162" t="s">
        <v>106</v>
      </c>
      <c r="F162" t="s">
        <v>154</v>
      </c>
      <c r="G162" t="s">
        <v>195</v>
      </c>
      <c r="H162" t="s">
        <v>156</v>
      </c>
      <c r="I162">
        <v>9</v>
      </c>
      <c r="N162" t="str">
        <f t="shared" si="8"/>
        <v>BEF-R15-</v>
      </c>
      <c r="O162" t="str">
        <f t="shared" si="9"/>
        <v>R4</v>
      </c>
      <c r="P162" t="str">
        <f t="shared" si="10"/>
        <v>bar12 - ari</v>
      </c>
      <c r="Q162">
        <f t="shared" si="11"/>
        <v>12</v>
      </c>
    </row>
    <row r="163" spans="2:17" x14ac:dyDescent="0.25">
      <c r="B163" t="s">
        <v>149</v>
      </c>
      <c r="C163" t="s">
        <v>150</v>
      </c>
      <c r="D163" t="s">
        <v>151</v>
      </c>
      <c r="N163" t="str">
        <f t="shared" si="8"/>
        <v>BEF-R16-</v>
      </c>
      <c r="O163" t="str">
        <f t="shared" si="9"/>
        <v>R4</v>
      </c>
      <c r="P163" t="str">
        <f t="shared" si="10"/>
        <v>bar12 - ari</v>
      </c>
      <c r="Q163">
        <f t="shared" si="11"/>
        <v>9</v>
      </c>
    </row>
    <row r="164" spans="2:17" x14ac:dyDescent="0.25">
      <c r="B164" t="s">
        <v>152</v>
      </c>
      <c r="C164" t="s">
        <v>84</v>
      </c>
      <c r="D164" t="s">
        <v>153</v>
      </c>
      <c r="E164" t="s">
        <v>107</v>
      </c>
      <c r="F164" t="s">
        <v>154</v>
      </c>
      <c r="G164" t="s">
        <v>201</v>
      </c>
      <c r="H164" t="s">
        <v>156</v>
      </c>
      <c r="I164">
        <v>14.3</v>
      </c>
      <c r="N164" s="74" t="str">
        <f t="shared" si="8"/>
        <v xml:space="preserve"> y: 213.83</v>
      </c>
      <c r="O164">
        <f t="shared" si="9"/>
        <v>0</v>
      </c>
      <c r="P164">
        <f t="shared" si="10"/>
        <v>0</v>
      </c>
      <c r="Q164">
        <f t="shared" si="11"/>
        <v>0</v>
      </c>
    </row>
    <row r="165" spans="2:17" x14ac:dyDescent="0.25">
      <c r="B165" t="s">
        <v>152</v>
      </c>
      <c r="C165" t="s">
        <v>85</v>
      </c>
      <c r="D165" t="s">
        <v>153</v>
      </c>
      <c r="E165" t="s">
        <v>107</v>
      </c>
      <c r="F165" t="s">
        <v>154</v>
      </c>
      <c r="G165" t="s">
        <v>201</v>
      </c>
      <c r="H165" t="s">
        <v>156</v>
      </c>
      <c r="I165">
        <v>12.9</v>
      </c>
      <c r="N165" t="str">
        <f t="shared" si="8"/>
        <v>MAU-R1</v>
      </c>
      <c r="O165" t="str">
        <f t="shared" si="9"/>
        <v>R5</v>
      </c>
      <c r="P165" t="str">
        <f t="shared" si="10"/>
        <v>bar17 - OB_fresnel</v>
      </c>
      <c r="Q165">
        <f t="shared" si="11"/>
        <v>14.3</v>
      </c>
    </row>
    <row r="166" spans="2:17" x14ac:dyDescent="0.25">
      <c r="B166" t="s">
        <v>152</v>
      </c>
      <c r="C166" t="s">
        <v>158</v>
      </c>
      <c r="D166" t="s">
        <v>153</v>
      </c>
      <c r="E166" t="s">
        <v>107</v>
      </c>
      <c r="F166" t="s">
        <v>154</v>
      </c>
      <c r="G166" t="s">
        <v>201</v>
      </c>
      <c r="H166" t="s">
        <v>156</v>
      </c>
      <c r="I166">
        <v>15</v>
      </c>
      <c r="N166" t="str">
        <f t="shared" si="8"/>
        <v>ERV-R.1</v>
      </c>
      <c r="O166" t="str">
        <f t="shared" si="9"/>
        <v>R5</v>
      </c>
      <c r="P166" t="str">
        <f t="shared" si="10"/>
        <v>bar17 - OB_fresnel</v>
      </c>
      <c r="Q166">
        <f t="shared" si="11"/>
        <v>12.9</v>
      </c>
    </row>
    <row r="167" spans="2:17" x14ac:dyDescent="0.25">
      <c r="B167" t="s">
        <v>152</v>
      </c>
      <c r="C167" t="s">
        <v>160</v>
      </c>
      <c r="D167" t="s">
        <v>153</v>
      </c>
      <c r="E167" t="s">
        <v>107</v>
      </c>
      <c r="F167" t="s">
        <v>154</v>
      </c>
      <c r="G167" t="s">
        <v>201</v>
      </c>
      <c r="H167" t="s">
        <v>156</v>
      </c>
      <c r="I167">
        <v>11.6</v>
      </c>
      <c r="N167" t="str">
        <f t="shared" si="8"/>
        <v>GEF-R1-</v>
      </c>
      <c r="O167" t="str">
        <f t="shared" si="9"/>
        <v>R5</v>
      </c>
      <c r="P167" t="str">
        <f t="shared" si="10"/>
        <v>bar17 - OB_fresnel</v>
      </c>
      <c r="Q167">
        <f t="shared" si="11"/>
        <v>15</v>
      </c>
    </row>
    <row r="168" spans="2:17" x14ac:dyDescent="0.25">
      <c r="B168" t="s">
        <v>152</v>
      </c>
      <c r="C168" t="s">
        <v>161</v>
      </c>
      <c r="D168" t="s">
        <v>153</v>
      </c>
      <c r="E168" t="s">
        <v>107</v>
      </c>
      <c r="F168" t="s">
        <v>154</v>
      </c>
      <c r="G168" t="s">
        <v>162</v>
      </c>
      <c r="H168" t="s">
        <v>156</v>
      </c>
      <c r="I168">
        <v>9</v>
      </c>
      <c r="N168" t="str">
        <f t="shared" si="8"/>
        <v>DEF-R1</v>
      </c>
      <c r="O168" t="str">
        <f>D167</f>
        <v xml:space="preserve"> rcvr: </v>
      </c>
      <c r="P168" t="str">
        <f>F167</f>
        <v xml:space="preserve"> bar: </v>
      </c>
      <c r="Q168">
        <f t="shared" si="11"/>
        <v>11.6</v>
      </c>
    </row>
    <row r="169" spans="2:17" x14ac:dyDescent="0.25">
      <c r="B169" t="s">
        <v>152</v>
      </c>
      <c r="C169" t="s">
        <v>88</v>
      </c>
      <c r="D169" t="s">
        <v>153</v>
      </c>
      <c r="E169" t="s">
        <v>107</v>
      </c>
      <c r="F169" t="s">
        <v>154</v>
      </c>
      <c r="G169" t="s">
        <v>201</v>
      </c>
      <c r="H169" t="s">
        <v>156</v>
      </c>
      <c r="I169">
        <v>12.6</v>
      </c>
      <c r="N169" t="str">
        <f t="shared" si="8"/>
        <v>KEF-R1-</v>
      </c>
      <c r="O169" t="str">
        <f t="shared" si="9"/>
        <v>R5</v>
      </c>
      <c r="P169" t="str">
        <f t="shared" si="10"/>
        <v>bar20 - OB_fresnel</v>
      </c>
      <c r="Q169">
        <f t="shared" si="11"/>
        <v>9</v>
      </c>
    </row>
    <row r="170" spans="2:17" x14ac:dyDescent="0.25">
      <c r="B170" t="s">
        <v>152</v>
      </c>
      <c r="C170" t="s">
        <v>89</v>
      </c>
      <c r="D170" t="s">
        <v>153</v>
      </c>
      <c r="E170" t="s">
        <v>107</v>
      </c>
      <c r="F170" t="s">
        <v>154</v>
      </c>
      <c r="G170" t="s">
        <v>202</v>
      </c>
      <c r="H170" t="s">
        <v>156</v>
      </c>
      <c r="I170">
        <v>5</v>
      </c>
      <c r="N170" t="str">
        <f t="shared" si="8"/>
        <v>DWEF-R1</v>
      </c>
      <c r="O170" t="str">
        <f t="shared" si="9"/>
        <v>R5</v>
      </c>
      <c r="P170" t="str">
        <f t="shared" si="10"/>
        <v>bar17 - OB_fresnel</v>
      </c>
      <c r="Q170">
        <f t="shared" si="11"/>
        <v>12.6</v>
      </c>
    </row>
    <row r="171" spans="2:17" x14ac:dyDescent="0.25">
      <c r="B171" t="s">
        <v>152</v>
      </c>
      <c r="C171" t="s">
        <v>90</v>
      </c>
      <c r="D171" t="s">
        <v>153</v>
      </c>
      <c r="E171" t="s">
        <v>107</v>
      </c>
      <c r="F171" t="s">
        <v>154</v>
      </c>
      <c r="G171" t="s">
        <v>202</v>
      </c>
      <c r="H171" t="s">
        <v>156</v>
      </c>
      <c r="I171">
        <v>5</v>
      </c>
      <c r="N171" t="str">
        <f t="shared" si="8"/>
        <v>CU-R1</v>
      </c>
      <c r="O171" t="str">
        <f t="shared" si="9"/>
        <v>R5</v>
      </c>
      <c r="P171" t="str">
        <f t="shared" si="10"/>
        <v>bar17 - ari</v>
      </c>
      <c r="Q171">
        <f t="shared" si="11"/>
        <v>5</v>
      </c>
    </row>
    <row r="172" spans="2:17" x14ac:dyDescent="0.25">
      <c r="B172" t="s">
        <v>152</v>
      </c>
      <c r="C172" t="s">
        <v>91</v>
      </c>
      <c r="D172" t="s">
        <v>153</v>
      </c>
      <c r="E172" t="s">
        <v>107</v>
      </c>
      <c r="F172" t="s">
        <v>154</v>
      </c>
      <c r="G172" t="s">
        <v>202</v>
      </c>
      <c r="H172" t="s">
        <v>156</v>
      </c>
      <c r="I172">
        <v>5</v>
      </c>
      <c r="N172" t="str">
        <f t="shared" si="8"/>
        <v>CU-R2</v>
      </c>
      <c r="O172" t="str">
        <f t="shared" si="9"/>
        <v>R5</v>
      </c>
      <c r="P172" t="str">
        <f t="shared" si="10"/>
        <v>bar17 - ari</v>
      </c>
      <c r="Q172">
        <f t="shared" si="11"/>
        <v>5</v>
      </c>
    </row>
    <row r="173" spans="2:17" x14ac:dyDescent="0.25">
      <c r="B173" t="s">
        <v>152</v>
      </c>
      <c r="C173" t="s">
        <v>92</v>
      </c>
      <c r="D173" t="s">
        <v>153</v>
      </c>
      <c r="E173" t="s">
        <v>107</v>
      </c>
      <c r="F173" t="s">
        <v>154</v>
      </c>
      <c r="G173" t="s">
        <v>202</v>
      </c>
      <c r="H173" t="s">
        <v>156</v>
      </c>
      <c r="I173">
        <v>7</v>
      </c>
      <c r="N173" t="str">
        <f t="shared" si="8"/>
        <v>CU-R4</v>
      </c>
      <c r="O173" t="str">
        <f t="shared" si="9"/>
        <v>R5</v>
      </c>
      <c r="P173" t="str">
        <f t="shared" si="10"/>
        <v>bar17 - ari</v>
      </c>
      <c r="Q173">
        <f t="shared" si="11"/>
        <v>5</v>
      </c>
    </row>
    <row r="174" spans="2:17" x14ac:dyDescent="0.25">
      <c r="B174" t="s">
        <v>152</v>
      </c>
      <c r="C174" t="s">
        <v>108</v>
      </c>
      <c r="D174" t="s">
        <v>153</v>
      </c>
      <c r="E174" t="s">
        <v>107</v>
      </c>
      <c r="F174" t="s">
        <v>154</v>
      </c>
      <c r="G174" t="s">
        <v>202</v>
      </c>
      <c r="H174" t="s">
        <v>156</v>
      </c>
      <c r="I174">
        <v>10</v>
      </c>
      <c r="N174" t="str">
        <f t="shared" si="8"/>
        <v>CU-R5</v>
      </c>
      <c r="O174" t="str">
        <f t="shared" si="9"/>
        <v>R5</v>
      </c>
      <c r="P174" t="str">
        <f t="shared" si="10"/>
        <v>bar17 - ari</v>
      </c>
      <c r="Q174">
        <f t="shared" si="11"/>
        <v>7</v>
      </c>
    </row>
    <row r="175" spans="2:17" x14ac:dyDescent="0.25">
      <c r="B175" t="s">
        <v>152</v>
      </c>
      <c r="C175" t="s">
        <v>109</v>
      </c>
      <c r="D175" t="s">
        <v>153</v>
      </c>
      <c r="E175" t="s">
        <v>107</v>
      </c>
      <c r="F175" t="s">
        <v>154</v>
      </c>
      <c r="G175" t="s">
        <v>202</v>
      </c>
      <c r="H175" t="s">
        <v>156</v>
      </c>
      <c r="I175">
        <v>4</v>
      </c>
      <c r="N175" t="str">
        <f t="shared" si="8"/>
        <v>RCU-R(4p)1</v>
      </c>
      <c r="O175" t="str">
        <f t="shared" si="9"/>
        <v>R5</v>
      </c>
      <c r="P175" t="str">
        <f t="shared" si="10"/>
        <v>bar17 - ari</v>
      </c>
      <c r="Q175">
        <f t="shared" si="11"/>
        <v>10</v>
      </c>
    </row>
    <row r="176" spans="2:17" x14ac:dyDescent="0.25">
      <c r="B176" t="s">
        <v>152</v>
      </c>
      <c r="C176" t="s">
        <v>110</v>
      </c>
      <c r="D176" t="s">
        <v>153</v>
      </c>
      <c r="E176" t="s">
        <v>107</v>
      </c>
      <c r="F176" t="s">
        <v>154</v>
      </c>
      <c r="G176" t="s">
        <v>202</v>
      </c>
      <c r="H176" t="s">
        <v>156</v>
      </c>
      <c r="I176">
        <v>8</v>
      </c>
      <c r="N176" t="str">
        <f t="shared" si="8"/>
        <v>RCU-R(4p)2</v>
      </c>
      <c r="O176" t="str">
        <f t="shared" si="9"/>
        <v>R5</v>
      </c>
      <c r="P176" t="str">
        <f t="shared" si="10"/>
        <v>bar17 - ari</v>
      </c>
      <c r="Q176">
        <f t="shared" si="11"/>
        <v>4</v>
      </c>
    </row>
    <row r="177" spans="2:17" x14ac:dyDescent="0.25">
      <c r="B177" t="s">
        <v>152</v>
      </c>
      <c r="C177" t="s">
        <v>94</v>
      </c>
      <c r="D177" t="s">
        <v>153</v>
      </c>
      <c r="E177" t="s">
        <v>107</v>
      </c>
      <c r="F177" t="s">
        <v>154</v>
      </c>
      <c r="G177" t="s">
        <v>202</v>
      </c>
      <c r="H177" t="s">
        <v>156</v>
      </c>
      <c r="I177">
        <v>8</v>
      </c>
      <c r="N177" t="str">
        <f t="shared" si="8"/>
        <v>RCU-R(4p)3</v>
      </c>
      <c r="O177" t="str">
        <f t="shared" si="9"/>
        <v>R5</v>
      </c>
      <c r="P177" t="str">
        <f t="shared" si="10"/>
        <v>bar17 - ari</v>
      </c>
      <c r="Q177">
        <f t="shared" si="11"/>
        <v>8</v>
      </c>
    </row>
    <row r="178" spans="2:17" x14ac:dyDescent="0.25">
      <c r="B178" t="s">
        <v>152</v>
      </c>
      <c r="C178" t="s">
        <v>112</v>
      </c>
      <c r="D178" t="s">
        <v>153</v>
      </c>
      <c r="E178" t="s">
        <v>107</v>
      </c>
      <c r="F178" t="s">
        <v>154</v>
      </c>
      <c r="G178" t="s">
        <v>202</v>
      </c>
      <c r="H178" t="s">
        <v>156</v>
      </c>
      <c r="I178">
        <v>8</v>
      </c>
      <c r="N178" t="str">
        <f t="shared" si="8"/>
        <v>RCU-R(2p)</v>
      </c>
      <c r="O178" t="str">
        <f t="shared" si="9"/>
        <v>R5</v>
      </c>
      <c r="P178" t="str">
        <f t="shared" si="10"/>
        <v>bar17 - ari</v>
      </c>
      <c r="Q178">
        <f t="shared" si="11"/>
        <v>8</v>
      </c>
    </row>
    <row r="179" spans="2:17" x14ac:dyDescent="0.25">
      <c r="B179" t="s">
        <v>152</v>
      </c>
      <c r="C179" t="s">
        <v>111</v>
      </c>
      <c r="D179" t="s">
        <v>153</v>
      </c>
      <c r="E179" t="s">
        <v>107</v>
      </c>
      <c r="F179" t="s">
        <v>154</v>
      </c>
      <c r="G179" t="s">
        <v>181</v>
      </c>
      <c r="H179" t="s">
        <v>156</v>
      </c>
      <c r="I179">
        <v>8</v>
      </c>
      <c r="N179" t="str">
        <f t="shared" si="8"/>
        <v>RCU-R(2p)1</v>
      </c>
      <c r="O179" t="str">
        <f t="shared" si="9"/>
        <v>R5</v>
      </c>
      <c r="P179" t="str">
        <f t="shared" si="10"/>
        <v>bar17 - ari</v>
      </c>
      <c r="Q179">
        <f t="shared" si="11"/>
        <v>8</v>
      </c>
    </row>
    <row r="180" spans="2:17" x14ac:dyDescent="0.25">
      <c r="B180" t="s">
        <v>152</v>
      </c>
      <c r="C180" t="s">
        <v>113</v>
      </c>
      <c r="D180" t="s">
        <v>153</v>
      </c>
      <c r="E180" t="s">
        <v>107</v>
      </c>
      <c r="F180" t="s">
        <v>154</v>
      </c>
      <c r="G180" t="s">
        <v>181</v>
      </c>
      <c r="H180" t="s">
        <v>156</v>
      </c>
      <c r="I180">
        <v>5</v>
      </c>
      <c r="N180" t="str">
        <f t="shared" si="8"/>
        <v>RCU-R(4p)4</v>
      </c>
      <c r="O180" t="str">
        <f t="shared" si="9"/>
        <v>R5</v>
      </c>
      <c r="P180" t="str">
        <f t="shared" si="10"/>
        <v>bar18 - ari</v>
      </c>
      <c r="Q180">
        <f t="shared" si="11"/>
        <v>8</v>
      </c>
    </row>
    <row r="181" spans="2:17" x14ac:dyDescent="0.25">
      <c r="B181" t="s">
        <v>152</v>
      </c>
      <c r="C181" t="s">
        <v>114</v>
      </c>
      <c r="D181" t="s">
        <v>153</v>
      </c>
      <c r="E181" t="s">
        <v>107</v>
      </c>
      <c r="F181" t="s">
        <v>154</v>
      </c>
      <c r="G181" t="s">
        <v>202</v>
      </c>
      <c r="H181" t="s">
        <v>156</v>
      </c>
      <c r="I181">
        <v>6</v>
      </c>
      <c r="N181" t="str">
        <f t="shared" si="8"/>
        <v>RCU-R(2p)2</v>
      </c>
      <c r="O181" t="str">
        <f t="shared" si="9"/>
        <v>R5</v>
      </c>
      <c r="P181" t="str">
        <f t="shared" si="10"/>
        <v>bar18 - ari</v>
      </c>
      <c r="Q181">
        <f t="shared" si="11"/>
        <v>5</v>
      </c>
    </row>
    <row r="182" spans="2:17" x14ac:dyDescent="0.25">
      <c r="B182" t="s">
        <v>152</v>
      </c>
      <c r="C182" t="s">
        <v>115</v>
      </c>
      <c r="D182" t="s">
        <v>153</v>
      </c>
      <c r="E182" t="s">
        <v>107</v>
      </c>
      <c r="F182" t="s">
        <v>154</v>
      </c>
      <c r="G182" t="s">
        <v>202</v>
      </c>
      <c r="H182" t="s">
        <v>156</v>
      </c>
      <c r="I182">
        <v>6</v>
      </c>
      <c r="N182" t="str">
        <f t="shared" si="8"/>
        <v>RCU-R(2p)3</v>
      </c>
      <c r="O182" t="str">
        <f t="shared" si="9"/>
        <v>R5</v>
      </c>
      <c r="P182" t="str">
        <f t="shared" si="10"/>
        <v>bar17 - ari</v>
      </c>
      <c r="Q182">
        <f t="shared" si="11"/>
        <v>6</v>
      </c>
    </row>
    <row r="183" spans="2:17" x14ac:dyDescent="0.25">
      <c r="B183" t="s">
        <v>152</v>
      </c>
      <c r="C183" t="s">
        <v>116</v>
      </c>
      <c r="D183" t="s">
        <v>153</v>
      </c>
      <c r="E183" t="s">
        <v>107</v>
      </c>
      <c r="F183" t="s">
        <v>154</v>
      </c>
      <c r="G183" t="s">
        <v>202</v>
      </c>
      <c r="H183" t="s">
        <v>156</v>
      </c>
      <c r="I183">
        <v>5</v>
      </c>
      <c r="N183" t="str">
        <f t="shared" si="8"/>
        <v>RCU-R(2p)4</v>
      </c>
      <c r="O183" t="str">
        <f t="shared" si="9"/>
        <v>R5</v>
      </c>
      <c r="P183" t="str">
        <f t="shared" si="10"/>
        <v>bar17 - ari</v>
      </c>
      <c r="Q183">
        <f t="shared" si="11"/>
        <v>6</v>
      </c>
    </row>
    <row r="184" spans="2:17" x14ac:dyDescent="0.25">
      <c r="B184" t="s">
        <v>152</v>
      </c>
      <c r="C184" t="s">
        <v>117</v>
      </c>
      <c r="D184" t="s">
        <v>153</v>
      </c>
      <c r="E184" t="s">
        <v>107</v>
      </c>
      <c r="F184" t="s">
        <v>154</v>
      </c>
      <c r="G184" t="s">
        <v>202</v>
      </c>
      <c r="H184" t="s">
        <v>156</v>
      </c>
      <c r="I184">
        <v>5</v>
      </c>
      <c r="N184" t="str">
        <f t="shared" si="8"/>
        <v>RCU-R(2p)5</v>
      </c>
      <c r="O184" t="str">
        <f t="shared" si="9"/>
        <v>R5</v>
      </c>
      <c r="P184" t="str">
        <f t="shared" si="10"/>
        <v>bar17 - ari</v>
      </c>
      <c r="Q184">
        <f t="shared" si="11"/>
        <v>5</v>
      </c>
    </row>
    <row r="185" spans="2:17" x14ac:dyDescent="0.25">
      <c r="B185" t="s">
        <v>152</v>
      </c>
      <c r="C185" t="s">
        <v>166</v>
      </c>
      <c r="D185" t="s">
        <v>153</v>
      </c>
      <c r="E185" t="s">
        <v>107</v>
      </c>
      <c r="F185" t="s">
        <v>154</v>
      </c>
      <c r="G185" t="s">
        <v>167</v>
      </c>
      <c r="H185" t="s">
        <v>156</v>
      </c>
      <c r="I185">
        <v>0</v>
      </c>
      <c r="N185" t="str">
        <f t="shared" si="8"/>
        <v>RCU-R(2p)6</v>
      </c>
      <c r="O185" t="str">
        <f t="shared" si="9"/>
        <v>R5</v>
      </c>
      <c r="P185" t="str">
        <f t="shared" si="10"/>
        <v>bar17 - ari</v>
      </c>
      <c r="Q185">
        <f t="shared" si="11"/>
        <v>5</v>
      </c>
    </row>
    <row r="186" spans="2:17" x14ac:dyDescent="0.25">
      <c r="B186" t="s">
        <v>152</v>
      </c>
      <c r="C186" t="s">
        <v>168</v>
      </c>
      <c r="D186" t="s">
        <v>153</v>
      </c>
      <c r="E186" t="s">
        <v>107</v>
      </c>
      <c r="F186" t="s">
        <v>154</v>
      </c>
      <c r="G186" t="s">
        <v>165</v>
      </c>
      <c r="H186" t="s">
        <v>156</v>
      </c>
      <c r="I186">
        <v>5</v>
      </c>
      <c r="N186" t="str">
        <f t="shared" si="8"/>
        <v>BEF-R01-</v>
      </c>
      <c r="O186" t="str">
        <f t="shared" si="9"/>
        <v>R5</v>
      </c>
      <c r="P186" t="str">
        <f t="shared" si="10"/>
        <v>None</v>
      </c>
      <c r="Q186">
        <f t="shared" si="11"/>
        <v>0</v>
      </c>
    </row>
    <row r="187" spans="2:17" x14ac:dyDescent="0.25">
      <c r="B187" t="s">
        <v>152</v>
      </c>
      <c r="C187" t="s">
        <v>169</v>
      </c>
      <c r="D187" t="s">
        <v>153</v>
      </c>
      <c r="E187" t="s">
        <v>107</v>
      </c>
      <c r="F187" t="s">
        <v>154</v>
      </c>
      <c r="G187" t="s">
        <v>202</v>
      </c>
      <c r="H187" t="s">
        <v>156</v>
      </c>
      <c r="I187">
        <v>8</v>
      </c>
      <c r="N187" t="str">
        <f t="shared" si="8"/>
        <v>BEF-R02-</v>
      </c>
      <c r="O187" t="str">
        <f t="shared" si="9"/>
        <v>R5</v>
      </c>
      <c r="P187" t="str">
        <f t="shared" si="10"/>
        <v>bar20 - ari</v>
      </c>
      <c r="Q187">
        <f t="shared" si="11"/>
        <v>5</v>
      </c>
    </row>
    <row r="188" spans="2:17" x14ac:dyDescent="0.25">
      <c r="B188" t="s">
        <v>152</v>
      </c>
      <c r="C188" t="s">
        <v>170</v>
      </c>
      <c r="D188" t="s">
        <v>153</v>
      </c>
      <c r="E188" t="s">
        <v>107</v>
      </c>
      <c r="F188" t="s">
        <v>154</v>
      </c>
      <c r="G188" t="s">
        <v>202</v>
      </c>
      <c r="H188" t="s">
        <v>156</v>
      </c>
      <c r="I188">
        <v>8</v>
      </c>
      <c r="N188" t="str">
        <f t="shared" si="8"/>
        <v>BEF-R03-</v>
      </c>
      <c r="O188" t="str">
        <f t="shared" si="9"/>
        <v>R5</v>
      </c>
      <c r="P188" t="str">
        <f t="shared" si="10"/>
        <v>bar17 - ari</v>
      </c>
      <c r="Q188">
        <f t="shared" si="11"/>
        <v>8</v>
      </c>
    </row>
    <row r="189" spans="2:17" x14ac:dyDescent="0.25">
      <c r="B189" t="s">
        <v>152</v>
      </c>
      <c r="C189" t="s">
        <v>171</v>
      </c>
      <c r="D189" t="s">
        <v>153</v>
      </c>
      <c r="E189" t="s">
        <v>107</v>
      </c>
      <c r="F189" t="s">
        <v>154</v>
      </c>
      <c r="G189" t="s">
        <v>202</v>
      </c>
      <c r="H189" t="s">
        <v>156</v>
      </c>
      <c r="I189">
        <v>9</v>
      </c>
      <c r="N189" t="str">
        <f t="shared" si="8"/>
        <v>BEF-R04-</v>
      </c>
      <c r="O189" t="str">
        <f t="shared" si="9"/>
        <v>R5</v>
      </c>
      <c r="P189" t="str">
        <f t="shared" si="10"/>
        <v>bar17 - ari</v>
      </c>
      <c r="Q189">
        <f t="shared" si="11"/>
        <v>8</v>
      </c>
    </row>
    <row r="190" spans="2:17" x14ac:dyDescent="0.25">
      <c r="B190" t="s">
        <v>152</v>
      </c>
      <c r="C190" t="s">
        <v>172</v>
      </c>
      <c r="D190" t="s">
        <v>153</v>
      </c>
      <c r="E190" t="s">
        <v>107</v>
      </c>
      <c r="F190" t="s">
        <v>154</v>
      </c>
      <c r="G190" t="s">
        <v>202</v>
      </c>
      <c r="H190" t="s">
        <v>156</v>
      </c>
      <c r="I190">
        <v>10</v>
      </c>
      <c r="N190" t="str">
        <f t="shared" si="8"/>
        <v>BEF-R05-</v>
      </c>
      <c r="O190" t="str">
        <f t="shared" si="9"/>
        <v>R5</v>
      </c>
      <c r="P190" t="str">
        <f t="shared" si="10"/>
        <v>bar17 - ari</v>
      </c>
      <c r="Q190">
        <f t="shared" si="11"/>
        <v>9</v>
      </c>
    </row>
    <row r="191" spans="2:17" x14ac:dyDescent="0.25">
      <c r="B191" t="s">
        <v>152</v>
      </c>
      <c r="C191" t="s">
        <v>173</v>
      </c>
      <c r="D191" t="s">
        <v>153</v>
      </c>
      <c r="E191" t="s">
        <v>107</v>
      </c>
      <c r="F191" t="s">
        <v>154</v>
      </c>
      <c r="G191" t="s">
        <v>202</v>
      </c>
      <c r="H191" t="s">
        <v>156</v>
      </c>
      <c r="I191">
        <v>11</v>
      </c>
      <c r="N191" t="str">
        <f t="shared" si="8"/>
        <v>BEF-R06-</v>
      </c>
      <c r="O191" t="str">
        <f t="shared" si="9"/>
        <v>R5</v>
      </c>
      <c r="P191" t="str">
        <f t="shared" si="10"/>
        <v>bar17 - ari</v>
      </c>
      <c r="Q191">
        <f t="shared" si="11"/>
        <v>10</v>
      </c>
    </row>
    <row r="192" spans="2:17" x14ac:dyDescent="0.25">
      <c r="B192" t="s">
        <v>152</v>
      </c>
      <c r="C192" t="s">
        <v>174</v>
      </c>
      <c r="D192" t="s">
        <v>153</v>
      </c>
      <c r="E192" t="s">
        <v>107</v>
      </c>
      <c r="F192" t="s">
        <v>154</v>
      </c>
      <c r="G192" t="s">
        <v>202</v>
      </c>
      <c r="H192" t="s">
        <v>156</v>
      </c>
      <c r="I192">
        <v>10</v>
      </c>
      <c r="N192" t="str">
        <f t="shared" si="8"/>
        <v>BEF-R07-</v>
      </c>
      <c r="O192" t="str">
        <f t="shared" si="9"/>
        <v>R5</v>
      </c>
      <c r="P192" t="str">
        <f t="shared" si="10"/>
        <v>bar17 - ari</v>
      </c>
      <c r="Q192">
        <f t="shared" si="11"/>
        <v>11</v>
      </c>
    </row>
    <row r="193" spans="2:17" x14ac:dyDescent="0.25">
      <c r="B193" t="s">
        <v>152</v>
      </c>
      <c r="C193" t="s">
        <v>175</v>
      </c>
      <c r="D193" t="s">
        <v>153</v>
      </c>
      <c r="E193" t="s">
        <v>107</v>
      </c>
      <c r="F193" t="s">
        <v>154</v>
      </c>
      <c r="G193" t="s">
        <v>202</v>
      </c>
      <c r="H193" t="s">
        <v>156</v>
      </c>
      <c r="I193">
        <v>9</v>
      </c>
      <c r="N193" t="str">
        <f t="shared" si="8"/>
        <v>BEF-R08-</v>
      </c>
      <c r="O193" t="str">
        <f t="shared" si="9"/>
        <v>R5</v>
      </c>
      <c r="P193" t="str">
        <f t="shared" si="10"/>
        <v>bar17 - ari</v>
      </c>
      <c r="Q193">
        <f t="shared" si="11"/>
        <v>10</v>
      </c>
    </row>
    <row r="194" spans="2:17" x14ac:dyDescent="0.25">
      <c r="B194" t="s">
        <v>152</v>
      </c>
      <c r="C194" t="s">
        <v>176</v>
      </c>
      <c r="D194" t="s">
        <v>153</v>
      </c>
      <c r="E194" t="s">
        <v>107</v>
      </c>
      <c r="F194" t="s">
        <v>154</v>
      </c>
      <c r="G194" t="s">
        <v>202</v>
      </c>
      <c r="H194" t="s">
        <v>156</v>
      </c>
      <c r="I194">
        <v>8</v>
      </c>
      <c r="N194" t="str">
        <f t="shared" si="8"/>
        <v>BEF-R09-</v>
      </c>
      <c r="O194" t="str">
        <f t="shared" si="9"/>
        <v>R5</v>
      </c>
      <c r="P194" t="str">
        <f t="shared" si="10"/>
        <v>bar17 - ari</v>
      </c>
      <c r="Q194">
        <f t="shared" si="11"/>
        <v>9</v>
      </c>
    </row>
    <row r="195" spans="2:17" x14ac:dyDescent="0.25">
      <c r="B195" t="s">
        <v>152</v>
      </c>
      <c r="C195" t="s">
        <v>177</v>
      </c>
      <c r="D195" t="s">
        <v>153</v>
      </c>
      <c r="E195" t="s">
        <v>107</v>
      </c>
      <c r="F195" t="s">
        <v>154</v>
      </c>
      <c r="G195" t="s">
        <v>202</v>
      </c>
      <c r="H195" t="s">
        <v>156</v>
      </c>
      <c r="I195">
        <v>6</v>
      </c>
      <c r="N195" t="str">
        <f t="shared" si="8"/>
        <v>BEF-R10-</v>
      </c>
      <c r="O195" t="str">
        <f t="shared" si="9"/>
        <v>R5</v>
      </c>
      <c r="P195" t="str">
        <f t="shared" si="10"/>
        <v>bar17 - ari</v>
      </c>
      <c r="Q195">
        <f t="shared" si="11"/>
        <v>8</v>
      </c>
    </row>
    <row r="196" spans="2:17" x14ac:dyDescent="0.25">
      <c r="B196" t="s">
        <v>152</v>
      </c>
      <c r="C196" t="s">
        <v>178</v>
      </c>
      <c r="D196" t="s">
        <v>153</v>
      </c>
      <c r="E196" t="s">
        <v>107</v>
      </c>
      <c r="F196" t="s">
        <v>154</v>
      </c>
      <c r="G196" t="s">
        <v>202</v>
      </c>
      <c r="H196" t="s">
        <v>156</v>
      </c>
      <c r="I196">
        <v>2</v>
      </c>
      <c r="N196" t="str">
        <f t="shared" ref="N196:N241" si="12">C195</f>
        <v>BEF-R11-</v>
      </c>
      <c r="O196" t="str">
        <f t="shared" ref="O196:O241" si="13">E195</f>
        <v>R5</v>
      </c>
      <c r="P196" t="str">
        <f t="shared" ref="P196:P241" si="14">G195</f>
        <v>bar17 - ari</v>
      </c>
      <c r="Q196">
        <f t="shared" ref="Q196:Q241" si="15">I195</f>
        <v>6</v>
      </c>
    </row>
    <row r="197" spans="2:17" x14ac:dyDescent="0.25">
      <c r="B197" t="s">
        <v>152</v>
      </c>
      <c r="C197" t="s">
        <v>179</v>
      </c>
      <c r="D197" t="s">
        <v>153</v>
      </c>
      <c r="E197" t="s">
        <v>107</v>
      </c>
      <c r="F197" t="s">
        <v>154</v>
      </c>
      <c r="G197" t="s">
        <v>202</v>
      </c>
      <c r="H197" t="s">
        <v>156</v>
      </c>
      <c r="I197">
        <v>3</v>
      </c>
      <c r="N197" t="str">
        <f t="shared" si="12"/>
        <v>BEF-R12-</v>
      </c>
      <c r="O197" t="str">
        <f t="shared" si="13"/>
        <v>R5</v>
      </c>
      <c r="P197" t="str">
        <f t="shared" si="14"/>
        <v>bar17 - ari</v>
      </c>
      <c r="Q197">
        <f t="shared" si="15"/>
        <v>2</v>
      </c>
    </row>
    <row r="198" spans="2:17" x14ac:dyDescent="0.25">
      <c r="B198" t="s">
        <v>152</v>
      </c>
      <c r="C198" t="s">
        <v>180</v>
      </c>
      <c r="D198" t="s">
        <v>153</v>
      </c>
      <c r="E198" t="s">
        <v>107</v>
      </c>
      <c r="F198" t="s">
        <v>154</v>
      </c>
      <c r="G198" t="s">
        <v>181</v>
      </c>
      <c r="H198" t="s">
        <v>156</v>
      </c>
      <c r="I198">
        <v>2</v>
      </c>
      <c r="N198" t="str">
        <f t="shared" si="12"/>
        <v>BEF-R13-</v>
      </c>
      <c r="O198" t="str">
        <f t="shared" si="13"/>
        <v>R5</v>
      </c>
      <c r="P198" t="str">
        <f t="shared" si="14"/>
        <v>bar17 - ari</v>
      </c>
      <c r="Q198">
        <f t="shared" si="15"/>
        <v>3</v>
      </c>
    </row>
    <row r="199" spans="2:17" x14ac:dyDescent="0.25">
      <c r="B199" t="s">
        <v>152</v>
      </c>
      <c r="C199" t="s">
        <v>182</v>
      </c>
      <c r="D199" t="s">
        <v>153</v>
      </c>
      <c r="E199" t="s">
        <v>107</v>
      </c>
      <c r="F199" t="s">
        <v>154</v>
      </c>
      <c r="G199" t="s">
        <v>167</v>
      </c>
      <c r="H199" t="s">
        <v>156</v>
      </c>
      <c r="I199">
        <v>0</v>
      </c>
      <c r="N199" t="str">
        <f t="shared" si="12"/>
        <v>BEF-R14-</v>
      </c>
      <c r="O199" t="str">
        <f t="shared" si="13"/>
        <v>R5</v>
      </c>
      <c r="P199" t="str">
        <f t="shared" si="14"/>
        <v>bar18 - ari</v>
      </c>
      <c r="Q199">
        <f t="shared" si="15"/>
        <v>2</v>
      </c>
    </row>
    <row r="200" spans="2:17" x14ac:dyDescent="0.25">
      <c r="B200" t="s">
        <v>152</v>
      </c>
      <c r="C200" t="s">
        <v>183</v>
      </c>
      <c r="D200" t="s">
        <v>153</v>
      </c>
      <c r="E200" t="s">
        <v>107</v>
      </c>
      <c r="F200" t="s">
        <v>154</v>
      </c>
      <c r="G200" t="s">
        <v>202</v>
      </c>
      <c r="H200" t="s">
        <v>156</v>
      </c>
      <c r="I200">
        <v>2</v>
      </c>
      <c r="N200" t="str">
        <f t="shared" si="12"/>
        <v>BEF-R15-</v>
      </c>
      <c r="O200" t="str">
        <f t="shared" si="13"/>
        <v>R5</v>
      </c>
      <c r="P200" t="str">
        <f t="shared" si="14"/>
        <v>None</v>
      </c>
      <c r="Q200">
        <f t="shared" si="15"/>
        <v>0</v>
      </c>
    </row>
    <row r="201" spans="2:17" x14ac:dyDescent="0.25">
      <c r="N201" t="str">
        <f t="shared" si="12"/>
        <v>BEF-R16-</v>
      </c>
      <c r="O201" t="str">
        <f t="shared" si="13"/>
        <v>R5</v>
      </c>
      <c r="P201" t="str">
        <f t="shared" si="14"/>
        <v>bar17 - ari</v>
      </c>
      <c r="Q201">
        <f t="shared" si="15"/>
        <v>2</v>
      </c>
    </row>
    <row r="202" spans="2:17" x14ac:dyDescent="0.25">
      <c r="N202">
        <f t="shared" si="12"/>
        <v>0</v>
      </c>
      <c r="O202">
        <f t="shared" si="13"/>
        <v>0</v>
      </c>
      <c r="P202">
        <f t="shared" si="14"/>
        <v>0</v>
      </c>
      <c r="Q202">
        <f t="shared" si="15"/>
        <v>0</v>
      </c>
    </row>
    <row r="203" spans="2:17" x14ac:dyDescent="0.25">
      <c r="N203">
        <f t="shared" si="12"/>
        <v>0</v>
      </c>
      <c r="O203">
        <f t="shared" si="13"/>
        <v>0</v>
      </c>
      <c r="P203">
        <f t="shared" si="14"/>
        <v>0</v>
      </c>
      <c r="Q203">
        <f t="shared" si="15"/>
        <v>0</v>
      </c>
    </row>
    <row r="204" spans="2:17" x14ac:dyDescent="0.25">
      <c r="N204">
        <f t="shared" si="12"/>
        <v>0</v>
      </c>
      <c r="O204">
        <f t="shared" si="13"/>
        <v>0</v>
      </c>
      <c r="P204">
        <f t="shared" si="14"/>
        <v>0</v>
      </c>
      <c r="Q204">
        <f t="shared" si="15"/>
        <v>0</v>
      </c>
    </row>
    <row r="205" spans="2:17" x14ac:dyDescent="0.25">
      <c r="N205">
        <f t="shared" si="12"/>
        <v>0</v>
      </c>
      <c r="O205">
        <f t="shared" si="13"/>
        <v>0</v>
      </c>
      <c r="P205">
        <f t="shared" si="14"/>
        <v>0</v>
      </c>
      <c r="Q205">
        <f t="shared" si="15"/>
        <v>0</v>
      </c>
    </row>
    <row r="206" spans="2:17" x14ac:dyDescent="0.25">
      <c r="N206">
        <f t="shared" si="12"/>
        <v>0</v>
      </c>
      <c r="O206">
        <f t="shared" si="13"/>
        <v>0</v>
      </c>
      <c r="P206">
        <f t="shared" si="14"/>
        <v>0</v>
      </c>
      <c r="Q206">
        <f t="shared" si="15"/>
        <v>0</v>
      </c>
    </row>
    <row r="207" spans="2:17" x14ac:dyDescent="0.25">
      <c r="N207">
        <f t="shared" si="12"/>
        <v>0</v>
      </c>
      <c r="O207">
        <f t="shared" si="13"/>
        <v>0</v>
      </c>
      <c r="P207">
        <f t="shared" si="14"/>
        <v>0</v>
      </c>
      <c r="Q207">
        <f t="shared" si="15"/>
        <v>0</v>
      </c>
    </row>
    <row r="208" spans="2:17" x14ac:dyDescent="0.25">
      <c r="N208">
        <f t="shared" si="12"/>
        <v>0</v>
      </c>
      <c r="O208">
        <f t="shared" si="13"/>
        <v>0</v>
      </c>
      <c r="P208">
        <f t="shared" si="14"/>
        <v>0</v>
      </c>
      <c r="Q208">
        <f t="shared" si="15"/>
        <v>0</v>
      </c>
    </row>
    <row r="209" spans="14:17" x14ac:dyDescent="0.25">
      <c r="N209">
        <f t="shared" si="12"/>
        <v>0</v>
      </c>
      <c r="O209">
        <f t="shared" si="13"/>
        <v>0</v>
      </c>
      <c r="P209">
        <f t="shared" si="14"/>
        <v>0</v>
      </c>
      <c r="Q209">
        <f t="shared" si="15"/>
        <v>0</v>
      </c>
    </row>
    <row r="210" spans="14:17" x14ac:dyDescent="0.25">
      <c r="N210">
        <f t="shared" si="12"/>
        <v>0</v>
      </c>
      <c r="O210">
        <f t="shared" si="13"/>
        <v>0</v>
      </c>
      <c r="P210">
        <f t="shared" si="14"/>
        <v>0</v>
      </c>
      <c r="Q210">
        <f t="shared" si="15"/>
        <v>0</v>
      </c>
    </row>
    <row r="211" spans="14:17" x14ac:dyDescent="0.25">
      <c r="N211">
        <f t="shared" si="12"/>
        <v>0</v>
      </c>
      <c r="O211">
        <f t="shared" si="13"/>
        <v>0</v>
      </c>
      <c r="P211">
        <f t="shared" si="14"/>
        <v>0</v>
      </c>
      <c r="Q211">
        <f t="shared" si="15"/>
        <v>0</v>
      </c>
    </row>
    <row r="212" spans="14:17" x14ac:dyDescent="0.25">
      <c r="N212">
        <f t="shared" si="12"/>
        <v>0</v>
      </c>
      <c r="O212">
        <f t="shared" si="13"/>
        <v>0</v>
      </c>
      <c r="P212">
        <f t="shared" si="14"/>
        <v>0</v>
      </c>
      <c r="Q212">
        <f t="shared" si="15"/>
        <v>0</v>
      </c>
    </row>
    <row r="213" spans="14:17" x14ac:dyDescent="0.25">
      <c r="N213">
        <f t="shared" si="12"/>
        <v>0</v>
      </c>
      <c r="O213">
        <f t="shared" si="13"/>
        <v>0</v>
      </c>
      <c r="P213">
        <f t="shared" si="14"/>
        <v>0</v>
      </c>
      <c r="Q213">
        <f t="shared" si="15"/>
        <v>0</v>
      </c>
    </row>
    <row r="214" spans="14:17" x14ac:dyDescent="0.25">
      <c r="N214">
        <f t="shared" si="12"/>
        <v>0</v>
      </c>
      <c r="O214">
        <f t="shared" si="13"/>
        <v>0</v>
      </c>
      <c r="P214">
        <f t="shared" si="14"/>
        <v>0</v>
      </c>
      <c r="Q214">
        <f t="shared" si="15"/>
        <v>0</v>
      </c>
    </row>
    <row r="215" spans="14:17" x14ac:dyDescent="0.25">
      <c r="N215">
        <f t="shared" si="12"/>
        <v>0</v>
      </c>
      <c r="O215">
        <f t="shared" si="13"/>
        <v>0</v>
      </c>
      <c r="P215">
        <f t="shared" si="14"/>
        <v>0</v>
      </c>
      <c r="Q215">
        <f t="shared" si="15"/>
        <v>0</v>
      </c>
    </row>
    <row r="216" spans="14:17" x14ac:dyDescent="0.25">
      <c r="N216">
        <f t="shared" si="12"/>
        <v>0</v>
      </c>
      <c r="O216">
        <f t="shared" si="13"/>
        <v>0</v>
      </c>
      <c r="P216">
        <f t="shared" si="14"/>
        <v>0</v>
      </c>
      <c r="Q216">
        <f t="shared" si="15"/>
        <v>0</v>
      </c>
    </row>
    <row r="217" spans="14:17" x14ac:dyDescent="0.25">
      <c r="N217">
        <f t="shared" si="12"/>
        <v>0</v>
      </c>
      <c r="O217">
        <f t="shared" si="13"/>
        <v>0</v>
      </c>
      <c r="P217">
        <f t="shared" si="14"/>
        <v>0</v>
      </c>
      <c r="Q217">
        <f t="shared" si="15"/>
        <v>0</v>
      </c>
    </row>
    <row r="218" spans="14:17" x14ac:dyDescent="0.25">
      <c r="N218">
        <f t="shared" si="12"/>
        <v>0</v>
      </c>
      <c r="O218">
        <f t="shared" si="13"/>
        <v>0</v>
      </c>
      <c r="P218">
        <f t="shared" si="14"/>
        <v>0</v>
      </c>
      <c r="Q218">
        <f t="shared" si="15"/>
        <v>0</v>
      </c>
    </row>
    <row r="219" spans="14:17" x14ac:dyDescent="0.25">
      <c r="N219">
        <f t="shared" si="12"/>
        <v>0</v>
      </c>
      <c r="O219">
        <f t="shared" si="13"/>
        <v>0</v>
      </c>
      <c r="P219">
        <f t="shared" si="14"/>
        <v>0</v>
      </c>
      <c r="Q219">
        <f t="shared" si="15"/>
        <v>0</v>
      </c>
    </row>
    <row r="220" spans="14:17" x14ac:dyDescent="0.25">
      <c r="N220">
        <f t="shared" si="12"/>
        <v>0</v>
      </c>
      <c r="O220">
        <f t="shared" si="13"/>
        <v>0</v>
      </c>
      <c r="P220">
        <f t="shared" si="14"/>
        <v>0</v>
      </c>
      <c r="Q220">
        <f t="shared" si="15"/>
        <v>0</v>
      </c>
    </row>
    <row r="221" spans="14:17" x14ac:dyDescent="0.25">
      <c r="N221">
        <f t="shared" si="12"/>
        <v>0</v>
      </c>
      <c r="O221">
        <f t="shared" si="13"/>
        <v>0</v>
      </c>
      <c r="P221">
        <f t="shared" si="14"/>
        <v>0</v>
      </c>
      <c r="Q221">
        <f t="shared" si="15"/>
        <v>0</v>
      </c>
    </row>
    <row r="222" spans="14:17" x14ac:dyDescent="0.25">
      <c r="N222">
        <f t="shared" si="12"/>
        <v>0</v>
      </c>
      <c r="O222">
        <f t="shared" si="13"/>
        <v>0</v>
      </c>
      <c r="P222">
        <f t="shared" si="14"/>
        <v>0</v>
      </c>
      <c r="Q222">
        <f t="shared" si="15"/>
        <v>0</v>
      </c>
    </row>
    <row r="223" spans="14:17" x14ac:dyDescent="0.25">
      <c r="N223">
        <f t="shared" si="12"/>
        <v>0</v>
      </c>
      <c r="O223">
        <f t="shared" si="13"/>
        <v>0</v>
      </c>
      <c r="P223">
        <f t="shared" si="14"/>
        <v>0</v>
      </c>
      <c r="Q223">
        <f t="shared" si="15"/>
        <v>0</v>
      </c>
    </row>
    <row r="224" spans="14:17" x14ac:dyDescent="0.25">
      <c r="N224">
        <f t="shared" si="12"/>
        <v>0</v>
      </c>
      <c r="O224">
        <f t="shared" si="13"/>
        <v>0</v>
      </c>
      <c r="P224">
        <f t="shared" si="14"/>
        <v>0</v>
      </c>
      <c r="Q224">
        <f t="shared" si="15"/>
        <v>0</v>
      </c>
    </row>
    <row r="225" spans="14:17" x14ac:dyDescent="0.25">
      <c r="N225">
        <f t="shared" si="12"/>
        <v>0</v>
      </c>
      <c r="O225">
        <f t="shared" si="13"/>
        <v>0</v>
      </c>
      <c r="P225">
        <f t="shared" si="14"/>
        <v>0</v>
      </c>
      <c r="Q225">
        <f t="shared" si="15"/>
        <v>0</v>
      </c>
    </row>
    <row r="226" spans="14:17" x14ac:dyDescent="0.25">
      <c r="N226">
        <f t="shared" si="12"/>
        <v>0</v>
      </c>
      <c r="O226">
        <f t="shared" si="13"/>
        <v>0</v>
      </c>
      <c r="P226">
        <f t="shared" si="14"/>
        <v>0</v>
      </c>
      <c r="Q226">
        <f t="shared" si="15"/>
        <v>0</v>
      </c>
    </row>
    <row r="227" spans="14:17" x14ac:dyDescent="0.25">
      <c r="N227">
        <f t="shared" si="12"/>
        <v>0</v>
      </c>
      <c r="O227">
        <f t="shared" si="13"/>
        <v>0</v>
      </c>
      <c r="P227">
        <f t="shared" si="14"/>
        <v>0</v>
      </c>
      <c r="Q227">
        <f t="shared" si="15"/>
        <v>0</v>
      </c>
    </row>
    <row r="228" spans="14:17" x14ac:dyDescent="0.25">
      <c r="N228">
        <f t="shared" si="12"/>
        <v>0</v>
      </c>
      <c r="O228">
        <f t="shared" si="13"/>
        <v>0</v>
      </c>
      <c r="P228">
        <f t="shared" si="14"/>
        <v>0</v>
      </c>
      <c r="Q228">
        <f t="shared" si="15"/>
        <v>0</v>
      </c>
    </row>
    <row r="229" spans="14:17" x14ac:dyDescent="0.25">
      <c r="N229">
        <f t="shared" si="12"/>
        <v>0</v>
      </c>
      <c r="O229">
        <f t="shared" si="13"/>
        <v>0</v>
      </c>
      <c r="P229">
        <f t="shared" si="14"/>
        <v>0</v>
      </c>
      <c r="Q229">
        <f t="shared" si="15"/>
        <v>0</v>
      </c>
    </row>
    <row r="230" spans="14:17" x14ac:dyDescent="0.25">
      <c r="N230">
        <f t="shared" si="12"/>
        <v>0</v>
      </c>
      <c r="O230">
        <f t="shared" si="13"/>
        <v>0</v>
      </c>
      <c r="P230">
        <f t="shared" si="14"/>
        <v>0</v>
      </c>
      <c r="Q230">
        <f t="shared" si="15"/>
        <v>0</v>
      </c>
    </row>
    <row r="231" spans="14:17" x14ac:dyDescent="0.25">
      <c r="N231">
        <f t="shared" si="12"/>
        <v>0</v>
      </c>
      <c r="O231">
        <f t="shared" si="13"/>
        <v>0</v>
      </c>
      <c r="P231">
        <f t="shared" si="14"/>
        <v>0</v>
      </c>
      <c r="Q231">
        <f t="shared" si="15"/>
        <v>0</v>
      </c>
    </row>
    <row r="232" spans="14:17" x14ac:dyDescent="0.25">
      <c r="N232">
        <f t="shared" si="12"/>
        <v>0</v>
      </c>
      <c r="O232">
        <f t="shared" si="13"/>
        <v>0</v>
      </c>
      <c r="P232">
        <f t="shared" si="14"/>
        <v>0</v>
      </c>
      <c r="Q232">
        <f t="shared" si="15"/>
        <v>0</v>
      </c>
    </row>
    <row r="233" spans="14:17" x14ac:dyDescent="0.25">
      <c r="N233">
        <f t="shared" si="12"/>
        <v>0</v>
      </c>
      <c r="O233">
        <f t="shared" si="13"/>
        <v>0</v>
      </c>
      <c r="P233">
        <f t="shared" si="14"/>
        <v>0</v>
      </c>
      <c r="Q233">
        <f t="shared" si="15"/>
        <v>0</v>
      </c>
    </row>
    <row r="234" spans="14:17" x14ac:dyDescent="0.25">
      <c r="N234">
        <f t="shared" si="12"/>
        <v>0</v>
      </c>
      <c r="O234">
        <f t="shared" si="13"/>
        <v>0</v>
      </c>
      <c r="P234">
        <f t="shared" si="14"/>
        <v>0</v>
      </c>
      <c r="Q234">
        <f t="shared" si="15"/>
        <v>0</v>
      </c>
    </row>
    <row r="235" spans="14:17" x14ac:dyDescent="0.25">
      <c r="N235">
        <f t="shared" si="12"/>
        <v>0</v>
      </c>
      <c r="O235">
        <f t="shared" si="13"/>
        <v>0</v>
      </c>
      <c r="P235">
        <f t="shared" si="14"/>
        <v>0</v>
      </c>
      <c r="Q235">
        <f t="shared" si="15"/>
        <v>0</v>
      </c>
    </row>
    <row r="236" spans="14:17" x14ac:dyDescent="0.25">
      <c r="N236">
        <f t="shared" si="12"/>
        <v>0</v>
      </c>
      <c r="O236">
        <f t="shared" si="13"/>
        <v>0</v>
      </c>
      <c r="P236">
        <f t="shared" si="14"/>
        <v>0</v>
      </c>
      <c r="Q236">
        <f t="shared" si="15"/>
        <v>0</v>
      </c>
    </row>
    <row r="237" spans="14:17" x14ac:dyDescent="0.25">
      <c r="N237">
        <f t="shared" si="12"/>
        <v>0</v>
      </c>
      <c r="O237">
        <f t="shared" si="13"/>
        <v>0</v>
      </c>
      <c r="P237">
        <f t="shared" si="14"/>
        <v>0</v>
      </c>
      <c r="Q237">
        <f t="shared" si="15"/>
        <v>0</v>
      </c>
    </row>
    <row r="238" spans="14:17" x14ac:dyDescent="0.25">
      <c r="N238">
        <f t="shared" si="12"/>
        <v>0</v>
      </c>
      <c r="O238">
        <f t="shared" si="13"/>
        <v>0</v>
      </c>
      <c r="P238">
        <f t="shared" si="14"/>
        <v>0</v>
      </c>
      <c r="Q238">
        <f t="shared" si="15"/>
        <v>0</v>
      </c>
    </row>
    <row r="239" spans="14:17" x14ac:dyDescent="0.25">
      <c r="N239">
        <f t="shared" si="12"/>
        <v>0</v>
      </c>
      <c r="O239">
        <f t="shared" si="13"/>
        <v>0</v>
      </c>
      <c r="P239">
        <f t="shared" si="14"/>
        <v>0</v>
      </c>
      <c r="Q239">
        <f t="shared" si="15"/>
        <v>0</v>
      </c>
    </row>
    <row r="240" spans="14:17" x14ac:dyDescent="0.25">
      <c r="N240">
        <f t="shared" si="12"/>
        <v>0</v>
      </c>
      <c r="O240">
        <f t="shared" si="13"/>
        <v>0</v>
      </c>
      <c r="P240">
        <f t="shared" si="14"/>
        <v>0</v>
      </c>
      <c r="Q240">
        <f t="shared" si="15"/>
        <v>0</v>
      </c>
    </row>
    <row r="241" spans="14:17" x14ac:dyDescent="0.25">
      <c r="N241">
        <f t="shared" si="12"/>
        <v>0</v>
      </c>
      <c r="O241">
        <f t="shared" si="13"/>
        <v>0</v>
      </c>
      <c r="P241">
        <f t="shared" si="14"/>
        <v>0</v>
      </c>
      <c r="Q241">
        <f t="shared" si="15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1:X977"/>
  <sheetViews>
    <sheetView tabSelected="1" topLeftCell="E1" zoomScale="85" zoomScaleNormal="85" workbookViewId="0">
      <selection activeCell="AA18" sqref="AA18"/>
    </sheetView>
  </sheetViews>
  <sheetFormatPr defaultRowHeight="15" x14ac:dyDescent="0.25"/>
  <cols>
    <col min="1" max="1" width="9.140625" customWidth="1"/>
    <col min="2" max="2" width="9.140625" style="64" customWidth="1"/>
    <col min="3" max="3" width="23.140625" bestFit="1" customWidth="1"/>
    <col min="4" max="5" width="6.7109375" customWidth="1"/>
    <col min="6" max="6" width="15.7109375" bestFit="1" customWidth="1"/>
    <col min="7" max="7" width="9.140625" bestFit="1" customWidth="1"/>
    <col min="8" max="8" width="18" bestFit="1" customWidth="1"/>
    <col min="9" max="9" width="18" customWidth="1"/>
    <col min="10" max="10" width="8.28515625" customWidth="1"/>
    <col min="16" max="16" width="9.140625" style="220"/>
    <col min="17" max="17" width="23.140625" style="221" bestFit="1" customWidth="1"/>
    <col min="18" max="18" width="6.7109375" style="222" customWidth="1"/>
    <col min="19" max="19" width="6.7109375" style="221" customWidth="1"/>
    <col min="20" max="20" width="13.42578125" style="223" bestFit="1" customWidth="1"/>
    <col min="21" max="21" width="9.140625" style="223" bestFit="1" customWidth="1"/>
    <col min="22" max="22" width="18" style="223" bestFit="1" customWidth="1"/>
    <col min="23" max="23" width="18" style="223" customWidth="1"/>
    <col min="24" max="24" width="8.28515625" style="218" customWidth="1"/>
    <col min="25" max="25" width="8.28515625" customWidth="1"/>
    <col min="27" max="27" width="23.140625" bestFit="1" customWidth="1"/>
    <col min="28" max="28" width="6.7109375" customWidth="1"/>
    <col min="29" max="29" width="15.7109375" bestFit="1" customWidth="1"/>
    <col min="31" max="31" width="18" bestFit="1" customWidth="1"/>
    <col min="32" max="32" width="8.28515625" customWidth="1"/>
  </cols>
  <sheetData>
    <row r="1" spans="2:24" ht="15.75" customHeight="1" thickBot="1" x14ac:dyDescent="0.3"/>
    <row r="2" spans="2:24" ht="33.75" customHeight="1" thickBot="1" x14ac:dyDescent="0.35">
      <c r="B2" s="89" t="s">
        <v>79</v>
      </c>
      <c r="C2" s="90" t="s">
        <v>80</v>
      </c>
      <c r="D2" s="91" t="s">
        <v>81</v>
      </c>
      <c r="E2" s="91" t="s">
        <v>19</v>
      </c>
      <c r="F2" s="91" t="s">
        <v>216</v>
      </c>
      <c r="G2" s="92" t="s">
        <v>82</v>
      </c>
      <c r="H2" s="93" t="s">
        <v>83</v>
      </c>
      <c r="I2" s="214" t="s">
        <v>236</v>
      </c>
      <c r="J2" s="94" t="s">
        <v>78</v>
      </c>
      <c r="L2" s="66" t="s">
        <v>104</v>
      </c>
      <c r="N2" s="66" t="s">
        <v>104</v>
      </c>
      <c r="P2" s="242" t="s">
        <v>79</v>
      </c>
      <c r="Q2" s="243" t="s">
        <v>80</v>
      </c>
      <c r="R2" s="244" t="s">
        <v>81</v>
      </c>
      <c r="S2" s="244" t="s">
        <v>19</v>
      </c>
      <c r="T2" s="244" t="s">
        <v>216</v>
      </c>
      <c r="U2" s="246" t="s">
        <v>82</v>
      </c>
      <c r="V2" s="247" t="s">
        <v>83</v>
      </c>
      <c r="W2" s="248" t="s">
        <v>236</v>
      </c>
      <c r="X2" s="245" t="s">
        <v>78</v>
      </c>
    </row>
    <row r="3" spans="2:24" ht="16.5" customHeight="1" thickBot="1" x14ac:dyDescent="0.35">
      <c r="B3" s="158">
        <f>IF(OR('Input LwA_XYZ'!A2 = 0, NOT(ISBLANK(_xlfn.XLOOKUP(L$2, 'Input LwA_XYZ'!CM$1:DA$1, 'Input LwA_XYZ'!CM2:DA2)))), "", 'Input LwA_XYZ'!A2)</f>
        <v>1</v>
      </c>
      <c r="C3" s="159" t="str">
        <f>IF($B3="","",_xlfn.TEXTJOIN(" - ",TRUE,'Input LwA_XYZ'!B2:C2))</f>
        <v>MAU-R1 - Ducted Inlet</v>
      </c>
      <c r="D3" s="86">
        <f>IF($B3="","",'Input LwA_XYZ'!Q2)</f>
        <v>86</v>
      </c>
      <c r="E3" s="86">
        <f>IF($B3="","",ROUND(_xlfn.XLOOKUP($L$2,'Input LwA_XYZ'!$AH$1:$AV$1,'Input LwA_XYZ'!AH2:AV2),0))</f>
        <v>73</v>
      </c>
      <c r="F3" s="87">
        <f>IF($B3="","",-1*ROUND(_xlfn.XLOOKUP($L$2,'Input LwA_XYZ'!$AY$1:$BM$1,'Input LwA_XYZ'!AY2:BM2),0))</f>
        <v>35</v>
      </c>
      <c r="G3" s="87">
        <f>IF($B3="","",IF(_xlfn.XLOOKUP($L$2,'Input LwA_XYZ'!$BV$1:$CJ$1,'Input LwA_XYZ'!BV2:CJ2)="","-",_xlfn.XLOOKUP($L$2,'Input LwA_XYZ'!$BV$1:$CJ$1,'Input LwA_XYZ'!BV2:CJ2)))</f>
        <v>11.5</v>
      </c>
      <c r="H3" s="87" t="str">
        <f>IF($B3="","",IF('Input LwA_XYZ'!S2="","-",'Input LwA_XYZ'!S2))</f>
        <v>-</v>
      </c>
      <c r="I3" s="215" t="str" cm="1">
        <f t="array" ref="I3">IF($B3="","",IF(_xlfn.XLOOKUP($L$2,_xlfn.ANCHORARRAY('Input LwA_XYZ'!$DD$1),'Input LwA_XYZ'!DD2:DR2)="","-",_xlfn.XLOOKUP($L$2,_xlfn.ANCHORARRAY('Input LwA_XYZ'!$DD$1),'Input LwA_XYZ'!DD2:DR2)))</f>
        <v>-</v>
      </c>
      <c r="J3" s="88">
        <f>IF($B3="","",_xlfn.XLOOKUP($L$2,'Input LwA_XYZ'!$DU$1:$EI$1,'Input LwA_XYZ'!DU2:EI2))</f>
        <v>39.602698218265246</v>
      </c>
      <c r="K3" s="4">
        <f t="shared" ref="K3:K34" si="0">IFERROR(10^(J3/10),0)</f>
        <v>9125.7763654065566</v>
      </c>
      <c r="L3" s="103">
        <f t="shared" ref="L3:L34" si="1">J3</f>
        <v>39.602698218265246</v>
      </c>
      <c r="N3" s="66">
        <f>_xlfn.XLOOKUP(N2, 'Input LwA_XYZ'!$Z$2:$Z$16, 'Input LwA_XYZ'!$AF$2:$AF$16, "")</f>
        <v>0</v>
      </c>
      <c r="P3" s="224">
        <f>IF(OR('Input LwA_XYZ'!A2 = 0, NOT(ISBLANK(_xlfn.XLOOKUP(Tables!N$2, 'Input LwA_XYZ'!CM$1:DA$1, 'Input LwA_XYZ'!CM2:DA2)))), "", 'Input LwA_XYZ'!A2)</f>
        <v>1</v>
      </c>
      <c r="Q3" s="225" t="str">
        <f>IF($P3="","",_xlfn.TEXTJOIN(" - ",TRUE,'Input LwA_XYZ'!B2:C2))</f>
        <v>MAU-R1 - Ducted Inlet</v>
      </c>
      <c r="R3" s="226">
        <f>IF($P3="","",'Input LwA_XYZ'!Q2)</f>
        <v>86</v>
      </c>
      <c r="S3" s="227">
        <f>IF($P3="","",ROUND(_xlfn.XLOOKUP(Tables!$N$2,'Input LwA_XYZ'!$AH$1:$AV$1,'Input LwA_XYZ'!AH2:AV2),0))</f>
        <v>73</v>
      </c>
      <c r="T3" s="228">
        <f>IF($P3="","",-1*ROUND(_xlfn.XLOOKUP(Tables!$N$2,'Input LwA_XYZ'!$AY$1:$BM$1,'Input LwA_XYZ'!AY2:BM2),0))</f>
        <v>35</v>
      </c>
      <c r="U3" s="228">
        <f>IF($P3="","",IF(_xlfn.XLOOKUP(Tables!$N$2,'Input LwA_XYZ'!$BV$1:$CJ$1,'Input LwA_XYZ'!BV2:CJ2)="","-",_xlfn.XLOOKUP(Tables!$N$2,'Input LwA_XYZ'!$BV$1:$CJ$1,'Input LwA_XYZ'!BV2:CJ2)))</f>
        <v>11.5</v>
      </c>
      <c r="V3" s="228" t="str">
        <f>IF($P3="","",IF('Input LwA_XYZ'!S2="","-",'Input LwA_XYZ'!S2))</f>
        <v>-</v>
      </c>
      <c r="W3" s="229" t="str" cm="1">
        <f t="array" ref="W3">IF($P3="","",IF(_xlfn.XLOOKUP(Tables!$N$2,_xlfn.ANCHORARRAY('Input LwA_XYZ'!$DD$1),'Input LwA_XYZ'!DD2:DR2)="","-",_xlfn.XLOOKUP(Tables!$N$2,_xlfn.ANCHORARRAY('Input LwA_XYZ'!$DD$1),'Input LwA_XYZ'!DD2:DR2)))</f>
        <v>-</v>
      </c>
      <c r="X3" s="88">
        <f>IF($P3="","",_xlfn.XLOOKUP(Tables!$N$2,'Input LwA_XYZ'!$DU$1:$EI$1,'Input LwA_XYZ'!DU2:EI2))</f>
        <v>39.602698218265246</v>
      </c>
    </row>
    <row r="4" spans="2:24" ht="16.5" customHeight="1" x14ac:dyDescent="0.3">
      <c r="B4" s="160">
        <f>IF(OR('Input LwA_XYZ'!A3 = 0, NOT(ISBLANK(_xlfn.XLOOKUP(L$2, 'Input LwA_XYZ'!CM$1:DA$1, 'Input LwA_XYZ'!CM3:DA3)))), "", 'Input LwA_XYZ'!A3)</f>
        <v>1</v>
      </c>
      <c r="C4" s="159" t="str">
        <f>IF($B4="","",_xlfn.TEXTJOIN(" - ",TRUE,'Input LwA_XYZ'!B3:C3))</f>
        <v>ERV-R.1 - Outdoor+Casing+Exhaust</v>
      </c>
      <c r="D4" s="61">
        <f>IF($B4="","",'Input LwA_XYZ'!Q3)</f>
        <v>91</v>
      </c>
      <c r="E4" s="86">
        <f>IF($B4="","",ROUND(_xlfn.XLOOKUP($L$2,'Input LwA_XYZ'!$AH$1:$AV$1,'Input LwA_XYZ'!AH3:AV3),0))</f>
        <v>126</v>
      </c>
      <c r="F4" s="87">
        <f>IF($B4="","",-1*ROUND(_xlfn.XLOOKUP($L$2,'Input LwA_XYZ'!$AY$1:$BM$1,'Input LwA_XYZ'!AY3:BM3),0))</f>
        <v>40</v>
      </c>
      <c r="G4" s="87">
        <f>IF($B4="","",IF(_xlfn.XLOOKUP($L$2,'Input LwA_XYZ'!$BV$1:$CJ$1,'Input LwA_XYZ'!BV3:CJ3)="","-",_xlfn.XLOOKUP($L$2,'Input LwA_XYZ'!$BV$1:$CJ$1,'Input LwA_XYZ'!BV3:CJ3)))</f>
        <v>12.6</v>
      </c>
      <c r="H4" s="87" t="str">
        <f>IF($B4="","",IF('Input LwA_XYZ'!S3="","-",'Input LwA_XYZ'!S3))</f>
        <v>-</v>
      </c>
      <c r="I4" s="215" cm="1">
        <f t="array" ref="I4">IF($B4="","",IF(_xlfn.XLOOKUP($L$2,_xlfn.ANCHORARRAY('Input LwA_XYZ'!$DD$1),'Input LwA_XYZ'!DD3:DR3)="","-",_xlfn.XLOOKUP($L$2,_xlfn.ANCHORARRAY('Input LwA_XYZ'!$DD$1),'Input LwA_XYZ'!DD3:DR3)))</f>
        <v>3</v>
      </c>
      <c r="J4" s="62">
        <f>IF($B4="","",_xlfn.XLOOKUP($L$2,'Input LwA_XYZ'!$DU$1:$EI$1,'Input LwA_XYZ'!DU3:EI3))</f>
        <v>35.703811780310033</v>
      </c>
      <c r="K4" s="4">
        <f t="shared" si="0"/>
        <v>3718.6146680270967</v>
      </c>
      <c r="L4" s="103">
        <f t="shared" si="1"/>
        <v>35.703811780310033</v>
      </c>
      <c r="P4" s="230">
        <f>IF(OR('Input LwA_XYZ'!A3 = 0, NOT(ISBLANK(_xlfn.XLOOKUP(Tables!N$2, 'Input LwA_XYZ'!CM$1:DA$1, 'Input LwA_XYZ'!CM3:DA3)))), "", 'Input LwA_XYZ'!A3)</f>
        <v>1</v>
      </c>
      <c r="Q4" s="225" t="str">
        <f>IF($P4="","",_xlfn.TEXTJOIN(" - ",TRUE,'Input LwA_XYZ'!B3:C3))</f>
        <v>ERV-R.1 - Outdoor+Casing+Exhaust</v>
      </c>
      <c r="R4" s="231">
        <f>IF($P4="","",'Input LwA_XYZ'!Q3)</f>
        <v>91</v>
      </c>
      <c r="S4" s="227">
        <f>IF($P4="","",ROUND(_xlfn.XLOOKUP(Tables!$N$2,'Input LwA_XYZ'!$AH$1:$AV$1,'Input LwA_XYZ'!AH3:AV3),0))</f>
        <v>126</v>
      </c>
      <c r="T4" s="228">
        <f>IF($P4="","",-1*ROUND(_xlfn.XLOOKUP(Tables!$N$2,'Input LwA_XYZ'!$AY$1:$BM$1,'Input LwA_XYZ'!AY3:BM3),0))</f>
        <v>40</v>
      </c>
      <c r="U4" s="228">
        <f>IF($P4="","",IF(_xlfn.XLOOKUP(Tables!$N$2,'Input LwA_XYZ'!$BV$1:$CJ$1,'Input LwA_XYZ'!BV3:CJ3)="","-",_xlfn.XLOOKUP(Tables!$N$2,'Input LwA_XYZ'!$BV$1:$CJ$1,'Input LwA_XYZ'!BV3:CJ3)))</f>
        <v>12.6</v>
      </c>
      <c r="V4" s="228" t="str">
        <f>IF($P4="","",IF('Input LwA_XYZ'!S3="","-",'Input LwA_XYZ'!S3))</f>
        <v>-</v>
      </c>
      <c r="W4" s="229" cm="1">
        <f t="array" ref="W4">IF($P4="","",IF(_xlfn.XLOOKUP(Tables!$N$2,_xlfn.ANCHORARRAY('Input LwA_XYZ'!$DD$1),'Input LwA_XYZ'!DD3:DR3)="","-",_xlfn.XLOOKUP(Tables!$N$2,_xlfn.ANCHORARRAY('Input LwA_XYZ'!$DD$1),'Input LwA_XYZ'!DD3:DR3)))</f>
        <v>3</v>
      </c>
      <c r="X4" s="62">
        <f>IF($P4="","",_xlfn.XLOOKUP(Tables!$N$2,'Input LwA_XYZ'!$DU$1:$EI$1,'Input LwA_XYZ'!DU3:EI3))</f>
        <v>35.703811780310033</v>
      </c>
    </row>
    <row r="5" spans="2:24" ht="16.5" customHeight="1" x14ac:dyDescent="0.3">
      <c r="B5" s="160">
        <f>IF(OR('Input LwA_XYZ'!A4 = 0, NOT(ISBLANK(_xlfn.XLOOKUP(L$2, 'Input LwA_XYZ'!CM$1:DA$1, 'Input LwA_XYZ'!CM4:DA4)))), "", 'Input LwA_XYZ'!A4)</f>
        <v>1</v>
      </c>
      <c r="C5" s="159" t="str">
        <f>IF($B5="","",_xlfn.TEXTJOIN(" - ",TRUE,'Input LwA_XYZ'!B4:C4))</f>
        <v>GEF-R1  - Inlet (plus ductwork lined)</v>
      </c>
      <c r="D5" s="61">
        <f>IF($B5="","",'Input LwA_XYZ'!Q4)</f>
        <v>82</v>
      </c>
      <c r="E5" s="86">
        <f>IF($B5="","",ROUND(_xlfn.XLOOKUP($L$2,'Input LwA_XYZ'!$AH$1:$AV$1,'Input LwA_XYZ'!AH4:AV4),0))</f>
        <v>185</v>
      </c>
      <c r="F5" s="87">
        <f>IF($B5="","",-1*ROUND(_xlfn.XLOOKUP($L$2,'Input LwA_XYZ'!$AY$1:$BM$1,'Input LwA_XYZ'!AY4:BM4),0))</f>
        <v>43</v>
      </c>
      <c r="G5" s="87">
        <f>IF($B5="","",IF(_xlfn.XLOOKUP($L$2,'Input LwA_XYZ'!$BV$1:$CJ$1,'Input LwA_XYZ'!BV4:CJ4)="","-",_xlfn.XLOOKUP($L$2,'Input LwA_XYZ'!$BV$1:$CJ$1,'Input LwA_XYZ'!BV4:CJ4)))</f>
        <v>7</v>
      </c>
      <c r="H5" s="87">
        <f>IF($B5="","",IF('Input LwA_XYZ'!S4="","-",'Input LwA_XYZ'!S4))</f>
        <v>13</v>
      </c>
      <c r="I5" s="215" t="str" cm="1">
        <f t="array" ref="I5">IF($B5="","",IF(_xlfn.XLOOKUP($L$2,_xlfn.ANCHORARRAY('Input LwA_XYZ'!$DD$1),'Input LwA_XYZ'!DD4:DR4)="","-",_xlfn.XLOOKUP($L$2,_xlfn.ANCHORARRAY('Input LwA_XYZ'!$DD$1),'Input LwA_XYZ'!DD4:DR4)))</f>
        <v>-</v>
      </c>
      <c r="J5" s="62">
        <f>IF($B5="","",_xlfn.XLOOKUP($L$2,'Input LwA_XYZ'!$DU$1:$EI$1,'Input LwA_XYZ'!DU4:EI4))</f>
        <v>19.011341341820582</v>
      </c>
      <c r="K5" s="4">
        <f t="shared" si="0"/>
        <v>79.640528648391538</v>
      </c>
      <c r="L5" s="103">
        <f t="shared" si="1"/>
        <v>19.011341341820582</v>
      </c>
      <c r="P5" s="230">
        <f>IF(OR('Input LwA_XYZ'!A4 = 0, NOT(ISBLANK(_xlfn.XLOOKUP(Tables!N$2, 'Input LwA_XYZ'!CM$1:DA$1, 'Input LwA_XYZ'!CM4:DA4)))), "", 'Input LwA_XYZ'!A4)</f>
        <v>1</v>
      </c>
      <c r="Q5" s="225" t="str">
        <f>IF($P5="","",_xlfn.TEXTJOIN(" - ",TRUE,'Input LwA_XYZ'!B4:C4))</f>
        <v>GEF-R1  - Inlet (plus ductwork lined)</v>
      </c>
      <c r="R5" s="231">
        <f>IF($P5="","",'Input LwA_XYZ'!Q4)</f>
        <v>82</v>
      </c>
      <c r="S5" s="227">
        <f>IF($P5="","",ROUND(_xlfn.XLOOKUP(Tables!$N$2,'Input LwA_XYZ'!$AH$1:$AV$1,'Input LwA_XYZ'!AH4:AV4),0))</f>
        <v>185</v>
      </c>
      <c r="T5" s="228">
        <f>IF($P5="","",-1*ROUND(_xlfn.XLOOKUP(Tables!$N$2,'Input LwA_XYZ'!$AY$1:$BM$1,'Input LwA_XYZ'!AY4:BM4),0))</f>
        <v>43</v>
      </c>
      <c r="U5" s="228">
        <f>IF($P5="","",IF(_xlfn.XLOOKUP(Tables!$N$2,'Input LwA_XYZ'!$BV$1:$CJ$1,'Input LwA_XYZ'!BV4:CJ4)="","-",_xlfn.XLOOKUP(Tables!$N$2,'Input LwA_XYZ'!$BV$1:$CJ$1,'Input LwA_XYZ'!BV4:CJ4)))</f>
        <v>7</v>
      </c>
      <c r="V5" s="228">
        <f>IF($P5="","",IF('Input LwA_XYZ'!S4="","-",'Input LwA_XYZ'!S4))</f>
        <v>13</v>
      </c>
      <c r="W5" s="229" t="str" cm="1">
        <f t="array" ref="W5">IF($P5="","",IF(_xlfn.XLOOKUP(Tables!$N$2,_xlfn.ANCHORARRAY('Input LwA_XYZ'!$DD$1),'Input LwA_XYZ'!DD4:DR4)="","-",_xlfn.XLOOKUP(Tables!$N$2,_xlfn.ANCHORARRAY('Input LwA_XYZ'!$DD$1),'Input LwA_XYZ'!DD4:DR4)))</f>
        <v>-</v>
      </c>
      <c r="X5" s="62">
        <f>IF($P5="","",_xlfn.XLOOKUP(Tables!$N$2,'Input LwA_XYZ'!$DU$1:$EI$1,'Input LwA_XYZ'!DU4:EI4))</f>
        <v>19.011341341820582</v>
      </c>
    </row>
    <row r="6" spans="2:24" ht="16.5" customHeight="1" x14ac:dyDescent="0.3">
      <c r="B6" s="160">
        <f>IF(OR('Input LwA_XYZ'!A5 = 0, NOT(ISBLANK(_xlfn.XLOOKUP(L$2, 'Input LwA_XYZ'!CM$1:DA$1, 'Input LwA_XYZ'!CM5:DA5)))), "", 'Input LwA_XYZ'!A5)</f>
        <v>1</v>
      </c>
      <c r="C6" s="159" t="str">
        <f>IF($B6="","",_xlfn.TEXTJOIN(" - ",TRUE,'Input LwA_XYZ'!B5:C5))</f>
        <v>DEF-R1, R2 - Inlet</v>
      </c>
      <c r="D6" s="61">
        <f>IF($B6="","",'Input LwA_XYZ'!Q5)</f>
        <v>70</v>
      </c>
      <c r="E6" s="86">
        <f>IF($B6="","",ROUND(_xlfn.XLOOKUP($L$2,'Input LwA_XYZ'!$AH$1:$AV$1,'Input LwA_XYZ'!AH5:AV5),0))</f>
        <v>142</v>
      </c>
      <c r="F6" s="87">
        <f>IF($B6="","",-1*ROUND(_xlfn.XLOOKUP($L$2,'Input LwA_XYZ'!$AY$1:$BM$1,'Input LwA_XYZ'!AY5:BM5),0))</f>
        <v>41</v>
      </c>
      <c r="G6" s="87">
        <f>IF($B6="","",IF(_xlfn.XLOOKUP($L$2,'Input LwA_XYZ'!$BV$1:$CJ$1,'Input LwA_XYZ'!BV5:CJ5)="","-",_xlfn.XLOOKUP($L$2,'Input LwA_XYZ'!$BV$1:$CJ$1,'Input LwA_XYZ'!BV5:CJ5)))</f>
        <v>11</v>
      </c>
      <c r="H6" s="87" t="str">
        <f>IF($B6="","",IF('Input LwA_XYZ'!S5="","-",'Input LwA_XYZ'!S5))</f>
        <v>-</v>
      </c>
      <c r="I6" s="215" t="str" cm="1">
        <f t="array" ref="I6">IF($B6="","",IF(_xlfn.XLOOKUP($L$2,_xlfn.ANCHORARRAY('Input LwA_XYZ'!$DD$1),'Input LwA_XYZ'!DD5:DR5)="","-",_xlfn.XLOOKUP($L$2,_xlfn.ANCHORARRAY('Input LwA_XYZ'!$DD$1),'Input LwA_XYZ'!DD5:DR5)))</f>
        <v>-</v>
      </c>
      <c r="J6" s="62">
        <f>IF($B6="","",_xlfn.XLOOKUP($L$2,'Input LwA_XYZ'!$DU$1:$EI$1,'Input LwA_XYZ'!DU5:EI5))</f>
        <v>18.319973977685201</v>
      </c>
      <c r="K6" s="4">
        <f t="shared" si="0"/>
        <v>67.919956293669742</v>
      </c>
      <c r="L6" s="103">
        <f t="shared" si="1"/>
        <v>18.319973977685201</v>
      </c>
      <c r="P6" s="230">
        <f>IF(OR('Input LwA_XYZ'!A5 = 0, NOT(ISBLANK(_xlfn.XLOOKUP(Tables!N$2, 'Input LwA_XYZ'!CM$1:DA$1, 'Input LwA_XYZ'!CM5:DA5)))), "", 'Input LwA_XYZ'!A5)</f>
        <v>1</v>
      </c>
      <c r="Q6" s="225" t="str">
        <f>IF($P6="","",_xlfn.TEXTJOIN(" - ",TRUE,'Input LwA_XYZ'!B5:C5))</f>
        <v>DEF-R1, R2 - Inlet</v>
      </c>
      <c r="R6" s="231">
        <f>IF($P6="","",'Input LwA_XYZ'!Q5)</f>
        <v>70</v>
      </c>
      <c r="S6" s="227">
        <f>IF($P6="","",ROUND(_xlfn.XLOOKUP(Tables!$N$2,'Input LwA_XYZ'!$AH$1:$AV$1,'Input LwA_XYZ'!AH5:AV5),0))</f>
        <v>142</v>
      </c>
      <c r="T6" s="228">
        <f>IF($P6="","",-1*ROUND(_xlfn.XLOOKUP(Tables!$N$2,'Input LwA_XYZ'!$AY$1:$BM$1,'Input LwA_XYZ'!AY5:BM5),0))</f>
        <v>41</v>
      </c>
      <c r="U6" s="228">
        <f>IF($P6="","",IF(_xlfn.XLOOKUP(Tables!$N$2,'Input LwA_XYZ'!$BV$1:$CJ$1,'Input LwA_XYZ'!BV5:CJ5)="","-",_xlfn.XLOOKUP(Tables!$N$2,'Input LwA_XYZ'!$BV$1:$CJ$1,'Input LwA_XYZ'!BV5:CJ5)))</f>
        <v>11</v>
      </c>
      <c r="V6" s="228" t="str">
        <f>IF($P6="","",IF('Input LwA_XYZ'!S5="","-",'Input LwA_XYZ'!S5))</f>
        <v>-</v>
      </c>
      <c r="W6" s="229" t="str" cm="1">
        <f t="array" ref="W6">IF($P6="","",IF(_xlfn.XLOOKUP(Tables!$N$2,_xlfn.ANCHORARRAY('Input LwA_XYZ'!$DD$1),'Input LwA_XYZ'!DD5:DR5)="","-",_xlfn.XLOOKUP(Tables!$N$2,_xlfn.ANCHORARRAY('Input LwA_XYZ'!$DD$1),'Input LwA_XYZ'!DD5:DR5)))</f>
        <v>-</v>
      </c>
      <c r="X6" s="62">
        <f>IF($P6="","",_xlfn.XLOOKUP(Tables!$N$2,'Input LwA_XYZ'!$DU$1:$EI$1,'Input LwA_XYZ'!DU5:EI5))</f>
        <v>18.319973977685201</v>
      </c>
    </row>
    <row r="7" spans="2:24" ht="16.5" customHeight="1" x14ac:dyDescent="0.3">
      <c r="B7" s="160">
        <f>IF(OR('Input LwA_XYZ'!A6 = 0, NOT(ISBLANK(_xlfn.XLOOKUP(L$2, 'Input LwA_XYZ'!CM$1:DA$1, 'Input LwA_XYZ'!CM6:DA6)))), "", 'Input LwA_XYZ'!A6)</f>
        <v>1</v>
      </c>
      <c r="C7" s="159" t="str">
        <f>IF($B7="","",_xlfn.TEXTJOIN(" - ",TRUE,'Input LwA_XYZ'!B6:C6))</f>
        <v>KEF-R1  - Inlet</v>
      </c>
      <c r="D7" s="61">
        <f>IF($B7="","",'Input LwA_XYZ'!Q6)</f>
        <v>80</v>
      </c>
      <c r="E7" s="86">
        <f>IF($B7="","",ROUND(_xlfn.XLOOKUP($L$2,'Input LwA_XYZ'!$AH$1:$AV$1,'Input LwA_XYZ'!AH6:AV6),0))</f>
        <v>41</v>
      </c>
      <c r="F7" s="87">
        <f>IF($B7="","",-1*ROUND(_xlfn.XLOOKUP($L$2,'Input LwA_XYZ'!$AY$1:$BM$1,'Input LwA_XYZ'!AY6:BM6),0))</f>
        <v>30</v>
      </c>
      <c r="G7" s="87">
        <f>IF($B7="","",IF(_xlfn.XLOOKUP($L$2,'Input LwA_XYZ'!$BV$1:$CJ$1,'Input LwA_XYZ'!BV6:CJ6)="","-",_xlfn.XLOOKUP($L$2,'Input LwA_XYZ'!$BV$1:$CJ$1,'Input LwA_XYZ'!BV6:CJ6)))</f>
        <v>6.6</v>
      </c>
      <c r="H7" s="87" t="str">
        <f>IF($B7="","",IF('Input LwA_XYZ'!S6="","-",'Input LwA_XYZ'!S6))</f>
        <v>-</v>
      </c>
      <c r="I7" s="215" t="str" cm="1">
        <f t="array" ref="I7">IF($B7="","",IF(_xlfn.XLOOKUP($L$2,_xlfn.ANCHORARRAY('Input LwA_XYZ'!$DD$1),'Input LwA_XYZ'!DD6:DR6)="","-",_xlfn.XLOOKUP($L$2,_xlfn.ANCHORARRAY('Input LwA_XYZ'!$DD$1),'Input LwA_XYZ'!DD6:DR6)))</f>
        <v>-</v>
      </c>
      <c r="J7" s="62">
        <f>IF($B7="","",_xlfn.XLOOKUP($L$2,'Input LwA_XYZ'!$DU$1:$EI$1,'Input LwA_XYZ'!DU6:EI6))</f>
        <v>43.43298215270287</v>
      </c>
      <c r="K7" s="4">
        <f t="shared" si="0"/>
        <v>22044.396573052378</v>
      </c>
      <c r="L7" s="103">
        <f t="shared" si="1"/>
        <v>43.43298215270287</v>
      </c>
      <c r="P7" s="230">
        <f>IF(OR('Input LwA_XYZ'!A6 = 0, NOT(ISBLANK(_xlfn.XLOOKUP(Tables!N$2, 'Input LwA_XYZ'!CM$1:DA$1, 'Input LwA_XYZ'!CM6:DA6)))), "", 'Input LwA_XYZ'!A6)</f>
        <v>1</v>
      </c>
      <c r="Q7" s="225" t="str">
        <f>IF($P7="","",_xlfn.TEXTJOIN(" - ",TRUE,'Input LwA_XYZ'!B6:C6))</f>
        <v>KEF-R1  - Inlet</v>
      </c>
      <c r="R7" s="231">
        <f>IF($P7="","",'Input LwA_XYZ'!Q6)</f>
        <v>80</v>
      </c>
      <c r="S7" s="227">
        <f>IF($P7="","",ROUND(_xlfn.XLOOKUP(Tables!$N$2,'Input LwA_XYZ'!$AH$1:$AV$1,'Input LwA_XYZ'!AH6:AV6),0))</f>
        <v>41</v>
      </c>
      <c r="T7" s="228">
        <f>IF($P7="","",-1*ROUND(_xlfn.XLOOKUP(Tables!$N$2,'Input LwA_XYZ'!$AY$1:$BM$1,'Input LwA_XYZ'!AY6:BM6),0))</f>
        <v>30</v>
      </c>
      <c r="U7" s="228">
        <f>IF($P7="","",IF(_xlfn.XLOOKUP(Tables!$N$2,'Input LwA_XYZ'!$BV$1:$CJ$1,'Input LwA_XYZ'!BV6:CJ6)="","-",_xlfn.XLOOKUP(Tables!$N$2,'Input LwA_XYZ'!$BV$1:$CJ$1,'Input LwA_XYZ'!BV6:CJ6)))</f>
        <v>6.6</v>
      </c>
      <c r="V7" s="228" t="str">
        <f>IF($P7="","",IF('Input LwA_XYZ'!S6="","-",'Input LwA_XYZ'!S6))</f>
        <v>-</v>
      </c>
      <c r="W7" s="229" t="str" cm="1">
        <f t="array" ref="W7">IF($P7="","",IF(_xlfn.XLOOKUP(Tables!$N$2,_xlfn.ANCHORARRAY('Input LwA_XYZ'!$DD$1),'Input LwA_XYZ'!DD6:DR6)="","-",_xlfn.XLOOKUP(Tables!$N$2,_xlfn.ANCHORARRAY('Input LwA_XYZ'!$DD$1),'Input LwA_XYZ'!DD6:DR6)))</f>
        <v>-</v>
      </c>
      <c r="X7" s="62">
        <f>IF($P7="","",_xlfn.XLOOKUP(Tables!$N$2,'Input LwA_XYZ'!$DU$1:$EI$1,'Input LwA_XYZ'!DU6:EI6))</f>
        <v>43.43298215270287</v>
      </c>
    </row>
    <row r="8" spans="2:24" ht="16.5" customHeight="1" x14ac:dyDescent="0.3">
      <c r="B8" s="160">
        <f>IF(OR('Input LwA_XYZ'!A7 = 0, NOT(ISBLANK(_xlfn.XLOOKUP(L$2, 'Input LwA_XYZ'!CM$1:DA$1, 'Input LwA_XYZ'!CM7:DA7)))), "", 'Input LwA_XYZ'!A7)</f>
        <v>1</v>
      </c>
      <c r="C8" s="159" t="str">
        <f>IF($B8="","",_xlfn.TEXTJOIN(" - ",TRUE,'Input LwA_XYZ'!B7:C7))</f>
        <v>DWEF-R1 - Inlet</v>
      </c>
      <c r="D8" s="61">
        <f>IF($B8="","",'Input LwA_XYZ'!Q7)</f>
        <v>71</v>
      </c>
      <c r="E8" s="86">
        <f>IF($B8="","",ROUND(_xlfn.XLOOKUP($L$2,'Input LwA_XYZ'!$AH$1:$AV$1,'Input LwA_XYZ'!AH7:AV7),0))</f>
        <v>58</v>
      </c>
      <c r="F8" s="87">
        <f>IF($B8="","",-1*ROUND(_xlfn.XLOOKUP($L$2,'Input LwA_XYZ'!$AY$1:$BM$1,'Input LwA_XYZ'!AY7:BM7),0))</f>
        <v>33</v>
      </c>
      <c r="G8" s="87">
        <f>IF($B8="","",IF(_xlfn.XLOOKUP($L$2,'Input LwA_XYZ'!$BV$1:$CJ$1,'Input LwA_XYZ'!BV7:CJ7)="","-",_xlfn.XLOOKUP($L$2,'Input LwA_XYZ'!$BV$1:$CJ$1,'Input LwA_XYZ'!BV7:CJ7)))</f>
        <v>9.9</v>
      </c>
      <c r="H8" s="87" t="str">
        <f>IF($B8="","",IF('Input LwA_XYZ'!S7="","-",'Input LwA_XYZ'!S7))</f>
        <v>-</v>
      </c>
      <c r="I8" s="215" t="str" cm="1">
        <f t="array" ref="I8">IF($B8="","",IF(_xlfn.XLOOKUP($L$2,_xlfn.ANCHORARRAY('Input LwA_XYZ'!$DD$1),'Input LwA_XYZ'!DD7:DR7)="","-",_xlfn.XLOOKUP($L$2,_xlfn.ANCHORARRAY('Input LwA_XYZ'!$DD$1),'Input LwA_XYZ'!DD7:DR7)))</f>
        <v>-</v>
      </c>
      <c r="J8" s="62">
        <f>IF($B8="","",_xlfn.XLOOKUP($L$2,'Input LwA_XYZ'!$DU$1:$EI$1,'Input LwA_XYZ'!DU7:EI7))</f>
        <v>28.214979502900839</v>
      </c>
      <c r="K8" s="4">
        <f t="shared" si="0"/>
        <v>662.97621865984058</v>
      </c>
      <c r="L8" s="103">
        <f t="shared" si="1"/>
        <v>28.214979502900839</v>
      </c>
      <c r="P8" s="230">
        <f>IF(OR('Input LwA_XYZ'!A7 = 0, NOT(ISBLANK(_xlfn.XLOOKUP(Tables!N$2, 'Input LwA_XYZ'!CM$1:DA$1, 'Input LwA_XYZ'!CM7:DA7)))), "", 'Input LwA_XYZ'!A7)</f>
        <v>1</v>
      </c>
      <c r="Q8" s="225" t="str">
        <f>IF($P8="","",_xlfn.TEXTJOIN(" - ",TRUE,'Input LwA_XYZ'!B7:C7))</f>
        <v>DWEF-R1 - Inlet</v>
      </c>
      <c r="R8" s="231">
        <f>IF($P8="","",'Input LwA_XYZ'!Q7)</f>
        <v>71</v>
      </c>
      <c r="S8" s="227">
        <f>IF($P8="","",ROUND(_xlfn.XLOOKUP(Tables!$N$2,'Input LwA_XYZ'!$AH$1:$AV$1,'Input LwA_XYZ'!AH7:AV7),0))</f>
        <v>58</v>
      </c>
      <c r="T8" s="228">
        <f>IF($P8="","",-1*ROUND(_xlfn.XLOOKUP(Tables!$N$2,'Input LwA_XYZ'!$AY$1:$BM$1,'Input LwA_XYZ'!AY7:BM7),0))</f>
        <v>33</v>
      </c>
      <c r="U8" s="228">
        <f>IF($P8="","",IF(_xlfn.XLOOKUP(Tables!$N$2,'Input LwA_XYZ'!$BV$1:$CJ$1,'Input LwA_XYZ'!BV7:CJ7)="","-",_xlfn.XLOOKUP(Tables!$N$2,'Input LwA_XYZ'!$BV$1:$CJ$1,'Input LwA_XYZ'!BV7:CJ7)))</f>
        <v>9.9</v>
      </c>
      <c r="V8" s="228" t="str">
        <f>IF($P8="","",IF('Input LwA_XYZ'!S7="","-",'Input LwA_XYZ'!S7))</f>
        <v>-</v>
      </c>
      <c r="W8" s="229" t="str" cm="1">
        <f t="array" ref="W8">IF($P8="","",IF(_xlfn.XLOOKUP(Tables!$N$2,_xlfn.ANCHORARRAY('Input LwA_XYZ'!$DD$1),'Input LwA_XYZ'!DD7:DR7)="","-",_xlfn.XLOOKUP(Tables!$N$2,_xlfn.ANCHORARRAY('Input LwA_XYZ'!$DD$1),'Input LwA_XYZ'!DD7:DR7)))</f>
        <v>-</v>
      </c>
      <c r="X8" s="62">
        <f>IF($P8="","",_xlfn.XLOOKUP(Tables!$N$2,'Input LwA_XYZ'!$DU$1:$EI$1,'Input LwA_XYZ'!DU7:EI7))</f>
        <v>28.214979502900839</v>
      </c>
    </row>
    <row r="9" spans="2:24" ht="16.5" customHeight="1" x14ac:dyDescent="0.3">
      <c r="B9" s="160">
        <f>IF(OR('Input LwA_XYZ'!A8 = 0, NOT(ISBLANK(_xlfn.XLOOKUP(L$2, 'Input LwA_XYZ'!CM$1:DA$1, 'Input LwA_XYZ'!CM8:DA8)))), "", 'Input LwA_XYZ'!A8)</f>
        <v>1</v>
      </c>
      <c r="C9" s="159" t="str">
        <f>IF($B9="","",_xlfn.TEXTJOIN(" - ",TRUE,'Input LwA_XYZ'!B8:C8))</f>
        <v>CU-R1 - Radiated</v>
      </c>
      <c r="D9" s="61">
        <f>IF($B9="","",'Input LwA_XYZ'!Q8)</f>
        <v>84</v>
      </c>
      <c r="E9" s="86">
        <f>IF($B9="","",ROUND(_xlfn.XLOOKUP($L$2,'Input LwA_XYZ'!$AH$1:$AV$1,'Input LwA_XYZ'!AH8:AV8),0))</f>
        <v>113</v>
      </c>
      <c r="F9" s="87">
        <f>IF($B9="","",-1*ROUND(_xlfn.XLOOKUP($L$2,'Input LwA_XYZ'!$AY$1:$BM$1,'Input LwA_XYZ'!AY8:BM8),0))</f>
        <v>39</v>
      </c>
      <c r="G9" s="87">
        <f>IF($B9="","",IF(_xlfn.XLOOKUP($L$2,'Input LwA_XYZ'!$BV$1:$CJ$1,'Input LwA_XYZ'!BV8:CJ8)="","-",_xlfn.XLOOKUP($L$2,'Input LwA_XYZ'!$BV$1:$CJ$1,'Input LwA_XYZ'!BV8:CJ8)))</f>
        <v>5</v>
      </c>
      <c r="H9" s="87" t="str">
        <f>IF($B9="","",IF('Input LwA_XYZ'!S8="","-",'Input LwA_XYZ'!S8))</f>
        <v>-</v>
      </c>
      <c r="I9" s="215" t="str" cm="1">
        <f t="array" ref="I9">IF($B9="","",IF(_xlfn.XLOOKUP($L$2,_xlfn.ANCHORARRAY('Input LwA_XYZ'!$DD$1),'Input LwA_XYZ'!DD8:DR8)="","-",_xlfn.XLOOKUP($L$2,_xlfn.ANCHORARRAY('Input LwA_XYZ'!$DD$1),'Input LwA_XYZ'!DD8:DR8)))</f>
        <v>-</v>
      </c>
      <c r="J9" s="62">
        <f>IF($B9="","",_xlfn.XLOOKUP($L$2,'Input LwA_XYZ'!$DU$1:$EI$1,'Input LwA_XYZ'!DU8:EI8))</f>
        <v>40.28610374454346</v>
      </c>
      <c r="K9" s="4">
        <f t="shared" si="0"/>
        <v>10680.962110395079</v>
      </c>
      <c r="L9" s="103">
        <f t="shared" si="1"/>
        <v>40.28610374454346</v>
      </c>
      <c r="P9" s="230">
        <f>IF(OR('Input LwA_XYZ'!A8 = 0, NOT(ISBLANK(_xlfn.XLOOKUP(Tables!N$2, 'Input LwA_XYZ'!CM$1:DA$1, 'Input LwA_XYZ'!CM8:DA8)))), "", 'Input LwA_XYZ'!A8)</f>
        <v>1</v>
      </c>
      <c r="Q9" s="225" t="str">
        <f>IF($P9="","",_xlfn.TEXTJOIN(" - ",TRUE,'Input LwA_XYZ'!B8:C8))</f>
        <v>CU-R1 - Radiated</v>
      </c>
      <c r="R9" s="231">
        <f>IF($P9="","",'Input LwA_XYZ'!Q8)</f>
        <v>84</v>
      </c>
      <c r="S9" s="227">
        <f>IF($P9="","",ROUND(_xlfn.XLOOKUP(Tables!$N$2,'Input LwA_XYZ'!$AH$1:$AV$1,'Input LwA_XYZ'!AH8:AV8),0))</f>
        <v>113</v>
      </c>
      <c r="T9" s="228">
        <f>IF($P9="","",-1*ROUND(_xlfn.XLOOKUP(Tables!$N$2,'Input LwA_XYZ'!$AY$1:$BM$1,'Input LwA_XYZ'!AY8:BM8),0))</f>
        <v>39</v>
      </c>
      <c r="U9" s="228">
        <f>IF($P9="","",IF(_xlfn.XLOOKUP(Tables!$N$2,'Input LwA_XYZ'!$BV$1:$CJ$1,'Input LwA_XYZ'!BV8:CJ8)="","-",_xlfn.XLOOKUP(Tables!$N$2,'Input LwA_XYZ'!$BV$1:$CJ$1,'Input LwA_XYZ'!BV8:CJ8)))</f>
        <v>5</v>
      </c>
      <c r="V9" s="228" t="str">
        <f>IF($P9="","",IF('Input LwA_XYZ'!S8="","-",'Input LwA_XYZ'!S8))</f>
        <v>-</v>
      </c>
      <c r="W9" s="229" t="str" cm="1">
        <f t="array" ref="W9">IF($P9="","",IF(_xlfn.XLOOKUP(Tables!$N$2,_xlfn.ANCHORARRAY('Input LwA_XYZ'!$DD$1),'Input LwA_XYZ'!DD8:DR8)="","-",_xlfn.XLOOKUP(Tables!$N$2,_xlfn.ANCHORARRAY('Input LwA_XYZ'!$DD$1),'Input LwA_XYZ'!DD8:DR8)))</f>
        <v>-</v>
      </c>
      <c r="X9" s="62">
        <f>IF($P9="","",_xlfn.XLOOKUP(Tables!$N$2,'Input LwA_XYZ'!$DU$1:$EI$1,'Input LwA_XYZ'!DU8:EI8))</f>
        <v>40.28610374454346</v>
      </c>
    </row>
    <row r="10" spans="2:24" ht="16.5" customHeight="1" x14ac:dyDescent="0.3">
      <c r="B10" s="160">
        <f>IF(OR('Input LwA_XYZ'!A9 = 0, NOT(ISBLANK(_xlfn.XLOOKUP(L$2, 'Input LwA_XYZ'!CM$1:DA$1, 'Input LwA_XYZ'!CM9:DA9)))), "", 'Input LwA_XYZ'!A9)</f>
        <v>1</v>
      </c>
      <c r="C10" s="159" t="str">
        <f>IF($B10="","",_xlfn.TEXTJOIN(" - ",TRUE,'Input LwA_XYZ'!B9:C9))</f>
        <v>CU-R2 - Radiated</v>
      </c>
      <c r="D10" s="61">
        <f>IF($B10="","",'Input LwA_XYZ'!Q9)</f>
        <v>81</v>
      </c>
      <c r="E10" s="86">
        <f>IF($B10="","",ROUND(_xlfn.XLOOKUP($L$2,'Input LwA_XYZ'!$AH$1:$AV$1,'Input LwA_XYZ'!AH9:AV9),0))</f>
        <v>106</v>
      </c>
      <c r="F10" s="87">
        <f>IF($B10="","",-1*ROUND(_xlfn.XLOOKUP($L$2,'Input LwA_XYZ'!$AY$1:$BM$1,'Input LwA_XYZ'!AY9:BM9),0))</f>
        <v>38</v>
      </c>
      <c r="G10" s="87">
        <f>IF($B10="","",IF(_xlfn.XLOOKUP($L$2,'Input LwA_XYZ'!$BV$1:$CJ$1,'Input LwA_XYZ'!BV9:CJ9)="","-",_xlfn.XLOOKUP($L$2,'Input LwA_XYZ'!$BV$1:$CJ$1,'Input LwA_XYZ'!BV9:CJ9)))</f>
        <v>5</v>
      </c>
      <c r="H10" s="87" t="str">
        <f>IF($B10="","",IF('Input LwA_XYZ'!S9="","-",'Input LwA_XYZ'!S9))</f>
        <v>-</v>
      </c>
      <c r="I10" s="215" t="str" cm="1">
        <f t="array" ref="I10">IF($B10="","",IF(_xlfn.XLOOKUP($L$2,_xlfn.ANCHORARRAY('Input LwA_XYZ'!$DD$1),'Input LwA_XYZ'!DD9:DR9)="","-",_xlfn.XLOOKUP($L$2,_xlfn.ANCHORARRAY('Input LwA_XYZ'!$DD$1),'Input LwA_XYZ'!DD9:DR9)))</f>
        <v>-</v>
      </c>
      <c r="J10" s="62">
        <f>IF($B10="","",_xlfn.XLOOKUP($L$2,'Input LwA_XYZ'!$DU$1:$EI$1,'Input LwA_XYZ'!DU9:EI9))</f>
        <v>37.815497021135599</v>
      </c>
      <c r="K10" s="4">
        <f t="shared" si="0"/>
        <v>6047.1355282708018</v>
      </c>
      <c r="L10" s="103">
        <f t="shared" si="1"/>
        <v>37.815497021135599</v>
      </c>
      <c r="P10" s="230">
        <f>IF(OR('Input LwA_XYZ'!A9 = 0, NOT(ISBLANK(_xlfn.XLOOKUP(Tables!N$2, 'Input LwA_XYZ'!CM$1:DA$1, 'Input LwA_XYZ'!CM9:DA9)))), "", 'Input LwA_XYZ'!A9)</f>
        <v>1</v>
      </c>
      <c r="Q10" s="225" t="str">
        <f>IF($P10="","",_xlfn.TEXTJOIN(" - ",TRUE,'Input LwA_XYZ'!B9:C9))</f>
        <v>CU-R2 - Radiated</v>
      </c>
      <c r="R10" s="231">
        <f>IF($P10="","",'Input LwA_XYZ'!Q9)</f>
        <v>81</v>
      </c>
      <c r="S10" s="227">
        <f>IF($P10="","",ROUND(_xlfn.XLOOKUP(Tables!$N$2,'Input LwA_XYZ'!$AH$1:$AV$1,'Input LwA_XYZ'!AH9:AV9),0))</f>
        <v>106</v>
      </c>
      <c r="T10" s="228">
        <f>IF($P10="","",-1*ROUND(_xlfn.XLOOKUP(Tables!$N$2,'Input LwA_XYZ'!$AY$1:$BM$1,'Input LwA_XYZ'!AY9:BM9),0))</f>
        <v>38</v>
      </c>
      <c r="U10" s="228">
        <f>IF($P10="","",IF(_xlfn.XLOOKUP(Tables!$N$2,'Input LwA_XYZ'!$BV$1:$CJ$1,'Input LwA_XYZ'!BV9:CJ9)="","-",_xlfn.XLOOKUP(Tables!$N$2,'Input LwA_XYZ'!$BV$1:$CJ$1,'Input LwA_XYZ'!BV9:CJ9)))</f>
        <v>5</v>
      </c>
      <c r="V10" s="228" t="str">
        <f>IF($P10="","",IF('Input LwA_XYZ'!S9="","-",'Input LwA_XYZ'!S9))</f>
        <v>-</v>
      </c>
      <c r="W10" s="229" t="str" cm="1">
        <f t="array" ref="W10">IF($P10="","",IF(_xlfn.XLOOKUP(Tables!$N$2,_xlfn.ANCHORARRAY('Input LwA_XYZ'!$DD$1),'Input LwA_XYZ'!DD9:DR9)="","-",_xlfn.XLOOKUP(Tables!$N$2,_xlfn.ANCHORARRAY('Input LwA_XYZ'!$DD$1),'Input LwA_XYZ'!DD9:DR9)))</f>
        <v>-</v>
      </c>
      <c r="X10" s="62">
        <f>IF($P10="","",_xlfn.XLOOKUP(Tables!$N$2,'Input LwA_XYZ'!$DU$1:$EI$1,'Input LwA_XYZ'!DU9:EI9))</f>
        <v>37.815497021135599</v>
      </c>
    </row>
    <row r="11" spans="2:24" ht="16.5" customHeight="1" x14ac:dyDescent="0.3">
      <c r="B11" s="160">
        <f>IF(OR('Input LwA_XYZ'!A10 = 0, NOT(ISBLANK(_xlfn.XLOOKUP(L$2, 'Input LwA_XYZ'!CM$1:DA$1, 'Input LwA_XYZ'!CM10:DA10)))), "", 'Input LwA_XYZ'!A10)</f>
        <v>1</v>
      </c>
      <c r="C11" s="159" t="str">
        <f>IF($B11="","",_xlfn.TEXTJOIN(" - ",TRUE,'Input LwA_XYZ'!B10:C10))</f>
        <v>CU-R4 - Radiated</v>
      </c>
      <c r="D11" s="61">
        <f>IF($B11="","",'Input LwA_XYZ'!Q10)</f>
        <v>73</v>
      </c>
      <c r="E11" s="86">
        <f>IF($B11="","",ROUND(_xlfn.XLOOKUP($L$2,'Input LwA_XYZ'!$AH$1:$AV$1,'Input LwA_XYZ'!AH10:AV10),0))</f>
        <v>120</v>
      </c>
      <c r="F11" s="87">
        <f>IF($B11="","",-1*ROUND(_xlfn.XLOOKUP($L$2,'Input LwA_XYZ'!$AY$1:$BM$1,'Input LwA_XYZ'!AY10:BM10),0))</f>
        <v>39</v>
      </c>
      <c r="G11" s="87">
        <f>IF($B11="","",IF(_xlfn.XLOOKUP($L$2,'Input LwA_XYZ'!$BV$1:$CJ$1,'Input LwA_XYZ'!BV10:CJ10)="","-",_xlfn.XLOOKUP($L$2,'Input LwA_XYZ'!$BV$1:$CJ$1,'Input LwA_XYZ'!BV10:CJ10)))</f>
        <v>5</v>
      </c>
      <c r="H11" s="87" t="str">
        <f>IF($B11="","",IF('Input LwA_XYZ'!S10="","-",'Input LwA_XYZ'!S10))</f>
        <v>-</v>
      </c>
      <c r="I11" s="215" t="str" cm="1">
        <f t="array" ref="I11">IF($B11="","",IF(_xlfn.XLOOKUP($L$2,_xlfn.ANCHORARRAY('Input LwA_XYZ'!$DD$1),'Input LwA_XYZ'!DD10:DR10)="","-",_xlfn.XLOOKUP($L$2,_xlfn.ANCHORARRAY('Input LwA_XYZ'!$DD$1),'Input LwA_XYZ'!DD10:DR10)))</f>
        <v>-</v>
      </c>
      <c r="J11" s="62">
        <f>IF($B11="","",_xlfn.XLOOKUP($L$2,'Input LwA_XYZ'!$DU$1:$EI$1,'Input LwA_XYZ'!DU10:EI10))</f>
        <v>28.766483931819572</v>
      </c>
      <c r="K11" s="4">
        <f t="shared" si="0"/>
        <v>752.74589042092396</v>
      </c>
      <c r="L11" s="103">
        <f t="shared" si="1"/>
        <v>28.766483931819572</v>
      </c>
      <c r="P11" s="230">
        <f>IF(OR('Input LwA_XYZ'!A10 = 0, NOT(ISBLANK(_xlfn.XLOOKUP(Tables!N$2, 'Input LwA_XYZ'!CM$1:DA$1, 'Input LwA_XYZ'!CM10:DA10)))), "", 'Input LwA_XYZ'!A10)</f>
        <v>1</v>
      </c>
      <c r="Q11" s="225" t="str">
        <f>IF($P11="","",_xlfn.TEXTJOIN(" - ",TRUE,'Input LwA_XYZ'!B10:C10))</f>
        <v>CU-R4 - Radiated</v>
      </c>
      <c r="R11" s="231">
        <f>IF($P11="","",'Input LwA_XYZ'!Q10)</f>
        <v>73</v>
      </c>
      <c r="S11" s="227">
        <f>IF($P11="","",ROUND(_xlfn.XLOOKUP(Tables!$N$2,'Input LwA_XYZ'!$AH$1:$AV$1,'Input LwA_XYZ'!AH10:AV10),0))</f>
        <v>120</v>
      </c>
      <c r="T11" s="228">
        <f>IF($P11="","",-1*ROUND(_xlfn.XLOOKUP(Tables!$N$2,'Input LwA_XYZ'!$AY$1:$BM$1,'Input LwA_XYZ'!AY10:BM10),0))</f>
        <v>39</v>
      </c>
      <c r="U11" s="228">
        <f>IF($P11="","",IF(_xlfn.XLOOKUP(Tables!$N$2,'Input LwA_XYZ'!$BV$1:$CJ$1,'Input LwA_XYZ'!BV10:CJ10)="","-",_xlfn.XLOOKUP(Tables!$N$2,'Input LwA_XYZ'!$BV$1:$CJ$1,'Input LwA_XYZ'!BV10:CJ10)))</f>
        <v>5</v>
      </c>
      <c r="V11" s="228" t="str">
        <f>IF($P11="","",IF('Input LwA_XYZ'!S10="","-",'Input LwA_XYZ'!S10))</f>
        <v>-</v>
      </c>
      <c r="W11" s="229" t="str" cm="1">
        <f t="array" ref="W11">IF($P11="","",IF(_xlfn.XLOOKUP(Tables!$N$2,_xlfn.ANCHORARRAY('Input LwA_XYZ'!$DD$1),'Input LwA_XYZ'!DD10:DR10)="","-",_xlfn.XLOOKUP(Tables!$N$2,_xlfn.ANCHORARRAY('Input LwA_XYZ'!$DD$1),'Input LwA_XYZ'!DD10:DR10)))</f>
        <v>-</v>
      </c>
      <c r="X11" s="62">
        <f>IF($P11="","",_xlfn.XLOOKUP(Tables!$N$2,'Input LwA_XYZ'!$DU$1:$EI$1,'Input LwA_XYZ'!DU10:EI10))</f>
        <v>28.766483931819572</v>
      </c>
    </row>
    <row r="12" spans="2:24" ht="16.5" customHeight="1" x14ac:dyDescent="0.3">
      <c r="B12" s="160">
        <f>IF(OR('Input LwA_XYZ'!A11 = 0, NOT(ISBLANK(_xlfn.XLOOKUP(L$2, 'Input LwA_XYZ'!CM$1:DA$1, 'Input LwA_XYZ'!CM11:DA11)))), "", 'Input LwA_XYZ'!A11)</f>
        <v>1</v>
      </c>
      <c r="C12" s="159" t="str">
        <f>IF($B12="","",_xlfn.TEXTJOIN(" - ",TRUE,'Input LwA_XYZ'!B11:C11))</f>
        <v>CU-R5 - Radiated</v>
      </c>
      <c r="D12" s="61">
        <f>IF($B12="","",'Input LwA_XYZ'!Q11)</f>
        <v>75</v>
      </c>
      <c r="E12" s="86">
        <f>IF($B12="","",ROUND(_xlfn.XLOOKUP($L$2,'Input LwA_XYZ'!$AH$1:$AV$1,'Input LwA_XYZ'!AH11:AV11),0))</f>
        <v>84</v>
      </c>
      <c r="F12" s="87">
        <f>IF($B12="","",-1*ROUND(_xlfn.XLOOKUP($L$2,'Input LwA_XYZ'!$AY$1:$BM$1,'Input LwA_XYZ'!AY11:BM11),0))</f>
        <v>36</v>
      </c>
      <c r="G12" s="87">
        <f>IF($B12="","",IF(_xlfn.XLOOKUP($L$2,'Input LwA_XYZ'!$BV$1:$CJ$1,'Input LwA_XYZ'!BV11:CJ11)="","-",_xlfn.XLOOKUP($L$2,'Input LwA_XYZ'!$BV$1:$CJ$1,'Input LwA_XYZ'!BV11:CJ11)))</f>
        <v>4</v>
      </c>
      <c r="H12" s="87" t="str">
        <f>IF($B12="","",IF('Input LwA_XYZ'!S11="","-",'Input LwA_XYZ'!S11))</f>
        <v>-</v>
      </c>
      <c r="I12" s="215" t="str" cm="1">
        <f t="array" ref="I12">IF($B12="","",IF(_xlfn.XLOOKUP($L$2,_xlfn.ANCHORARRAY('Input LwA_XYZ'!$DD$1),'Input LwA_XYZ'!DD11:DR11)="","-",_xlfn.XLOOKUP($L$2,_xlfn.ANCHORARRAY('Input LwA_XYZ'!$DD$1),'Input LwA_XYZ'!DD11:DR11)))</f>
        <v>-</v>
      </c>
      <c r="J12" s="62">
        <f>IF($B12="","",_xlfn.XLOOKUP($L$2,'Input LwA_XYZ'!$DU$1:$EI$1,'Input LwA_XYZ'!DU11:EI11))</f>
        <v>34.885129265229168</v>
      </c>
      <c r="K12" s="4">
        <f t="shared" si="0"/>
        <v>3079.7320065719759</v>
      </c>
      <c r="L12" s="103">
        <f t="shared" si="1"/>
        <v>34.885129265229168</v>
      </c>
      <c r="P12" s="230">
        <f>IF(OR('Input LwA_XYZ'!A11 = 0, NOT(ISBLANK(_xlfn.XLOOKUP(Tables!N$2, 'Input LwA_XYZ'!CM$1:DA$1, 'Input LwA_XYZ'!CM11:DA11)))), "", 'Input LwA_XYZ'!A11)</f>
        <v>1</v>
      </c>
      <c r="Q12" s="225" t="str">
        <f>IF($P12="","",_xlfn.TEXTJOIN(" - ",TRUE,'Input LwA_XYZ'!B11:C11))</f>
        <v>CU-R5 - Radiated</v>
      </c>
      <c r="R12" s="231">
        <f>IF($P12="","",'Input LwA_XYZ'!Q11)</f>
        <v>75</v>
      </c>
      <c r="S12" s="227">
        <f>IF($P12="","",ROUND(_xlfn.XLOOKUP(Tables!$N$2,'Input LwA_XYZ'!$AH$1:$AV$1,'Input LwA_XYZ'!AH11:AV11),0))</f>
        <v>84</v>
      </c>
      <c r="T12" s="228">
        <f>IF($P12="","",-1*ROUND(_xlfn.XLOOKUP(Tables!$N$2,'Input LwA_XYZ'!$AY$1:$BM$1,'Input LwA_XYZ'!AY11:BM11),0))</f>
        <v>36</v>
      </c>
      <c r="U12" s="228">
        <f>IF($P12="","",IF(_xlfn.XLOOKUP(Tables!$N$2,'Input LwA_XYZ'!$BV$1:$CJ$1,'Input LwA_XYZ'!BV11:CJ11)="","-",_xlfn.XLOOKUP(Tables!$N$2,'Input LwA_XYZ'!$BV$1:$CJ$1,'Input LwA_XYZ'!BV11:CJ11)))</f>
        <v>4</v>
      </c>
      <c r="V12" s="228" t="str">
        <f>IF($P12="","",IF('Input LwA_XYZ'!S11="","-",'Input LwA_XYZ'!S11))</f>
        <v>-</v>
      </c>
      <c r="W12" s="229" t="str" cm="1">
        <f t="array" ref="W12">IF($P12="","",IF(_xlfn.XLOOKUP(Tables!$N$2,_xlfn.ANCHORARRAY('Input LwA_XYZ'!$DD$1),'Input LwA_XYZ'!DD11:DR11)="","-",_xlfn.XLOOKUP(Tables!$N$2,_xlfn.ANCHORARRAY('Input LwA_XYZ'!$DD$1),'Input LwA_XYZ'!DD11:DR11)))</f>
        <v>-</v>
      </c>
      <c r="X12" s="62">
        <f>IF($P12="","",_xlfn.XLOOKUP(Tables!$N$2,'Input LwA_XYZ'!$DU$1:$EI$1,'Input LwA_XYZ'!DU11:EI11))</f>
        <v>34.885129265229168</v>
      </c>
    </row>
    <row r="13" spans="2:24" ht="16.5" customHeight="1" x14ac:dyDescent="0.3">
      <c r="B13" s="160">
        <f>IF(OR('Input LwA_XYZ'!A12 = 0, NOT(ISBLANK(_xlfn.XLOOKUP(L$2, 'Input LwA_XYZ'!CM$1:DA$1, 'Input LwA_XYZ'!CM12:DA12)))), "", 'Input LwA_XYZ'!A12)</f>
        <v>4</v>
      </c>
      <c r="C13" s="159" t="str">
        <f>IF($B13="","",_xlfn.TEXTJOIN(" - ",TRUE,'Input LwA_XYZ'!B12:C12))</f>
        <v>RCU-R(4p)1 - Radiated</v>
      </c>
      <c r="D13" s="61">
        <f>IF($B13="","",'Input LwA_XYZ'!Q12)</f>
        <v>79.020599913279625</v>
      </c>
      <c r="E13" s="86">
        <f>IF($B13="","",ROUND(_xlfn.XLOOKUP($L$2,'Input LwA_XYZ'!$AH$1:$AV$1,'Input LwA_XYZ'!AH12:AV12),0))</f>
        <v>201</v>
      </c>
      <c r="F13" s="87">
        <f>IF($B13="","",-1*ROUND(_xlfn.XLOOKUP($L$2,'Input LwA_XYZ'!$AY$1:$BM$1,'Input LwA_XYZ'!AY12:BM12),0))</f>
        <v>44</v>
      </c>
      <c r="G13" s="87">
        <f>IF($B13="","",IF(_xlfn.XLOOKUP($L$2,'Input LwA_XYZ'!$BV$1:$CJ$1,'Input LwA_XYZ'!BV12:CJ12)="","-",_xlfn.XLOOKUP($L$2,'Input LwA_XYZ'!$BV$1:$CJ$1,'Input LwA_XYZ'!BV12:CJ12)))</f>
        <v>2</v>
      </c>
      <c r="H13" s="87" t="str">
        <f>IF($B13="","",IF('Input LwA_XYZ'!S12="","-",'Input LwA_XYZ'!S12))</f>
        <v>-</v>
      </c>
      <c r="I13" s="215" t="str" cm="1">
        <f t="array" ref="I13">IF($B13="","",IF(_xlfn.XLOOKUP($L$2,_xlfn.ANCHORARRAY('Input LwA_XYZ'!$DD$1),'Input LwA_XYZ'!DD12:DR12)="","-",_xlfn.XLOOKUP($L$2,_xlfn.ANCHORARRAY('Input LwA_XYZ'!$DD$1),'Input LwA_XYZ'!DD12:DR12)))</f>
        <v>-</v>
      </c>
      <c r="J13" s="62">
        <f>IF($B13="","",_xlfn.XLOOKUP($L$2,'Input LwA_XYZ'!$DU$1:$EI$1,'Input LwA_XYZ'!DU12:EI12))</f>
        <v>33.2758551145699</v>
      </c>
      <c r="K13" s="4">
        <f t="shared" si="0"/>
        <v>2126.1089293400632</v>
      </c>
      <c r="L13" s="103">
        <f t="shared" si="1"/>
        <v>33.2758551145699</v>
      </c>
      <c r="P13" s="230">
        <f>IF(OR('Input LwA_XYZ'!A12 = 0, NOT(ISBLANK(_xlfn.XLOOKUP(Tables!N$2, 'Input LwA_XYZ'!CM$1:DA$1, 'Input LwA_XYZ'!CM12:DA12)))), "", 'Input LwA_XYZ'!A12)</f>
        <v>4</v>
      </c>
      <c r="Q13" s="225" t="str">
        <f>IF($P13="","",_xlfn.TEXTJOIN(" - ",TRUE,'Input LwA_XYZ'!B12:C12))</f>
        <v>RCU-R(4p)1 - Radiated</v>
      </c>
      <c r="R13" s="231">
        <f>IF($P13="","",'Input LwA_XYZ'!Q12)</f>
        <v>79.020599913279625</v>
      </c>
      <c r="S13" s="227">
        <f>IF($P13="","",ROUND(_xlfn.XLOOKUP(Tables!$N$2,'Input LwA_XYZ'!$AH$1:$AV$1,'Input LwA_XYZ'!AH12:AV12),0))</f>
        <v>201</v>
      </c>
      <c r="T13" s="228">
        <f>IF($P13="","",-1*ROUND(_xlfn.XLOOKUP(Tables!$N$2,'Input LwA_XYZ'!$AY$1:$BM$1,'Input LwA_XYZ'!AY12:BM12),0))</f>
        <v>44</v>
      </c>
      <c r="U13" s="228">
        <f>IF($P13="","",IF(_xlfn.XLOOKUP(Tables!$N$2,'Input LwA_XYZ'!$BV$1:$CJ$1,'Input LwA_XYZ'!BV12:CJ12)="","-",_xlfn.XLOOKUP(Tables!$N$2,'Input LwA_XYZ'!$BV$1:$CJ$1,'Input LwA_XYZ'!BV12:CJ12)))</f>
        <v>2</v>
      </c>
      <c r="V13" s="228" t="str">
        <f>IF($P13="","",IF('Input LwA_XYZ'!S12="","-",'Input LwA_XYZ'!S12))</f>
        <v>-</v>
      </c>
      <c r="W13" s="229" t="str" cm="1">
        <f t="array" ref="W13">IF($P13="","",IF(_xlfn.XLOOKUP(Tables!$N$2,_xlfn.ANCHORARRAY('Input LwA_XYZ'!$DD$1),'Input LwA_XYZ'!DD12:DR12)="","-",_xlfn.XLOOKUP(Tables!$N$2,_xlfn.ANCHORARRAY('Input LwA_XYZ'!$DD$1),'Input LwA_XYZ'!DD12:DR12)))</f>
        <v>-</v>
      </c>
      <c r="X13" s="62">
        <f>IF($P13="","",_xlfn.XLOOKUP(Tables!$N$2,'Input LwA_XYZ'!$DU$1:$EI$1,'Input LwA_XYZ'!DU12:EI12))</f>
        <v>33.2758551145699</v>
      </c>
    </row>
    <row r="14" spans="2:24" ht="16.5" customHeight="1" x14ac:dyDescent="0.3">
      <c r="B14" s="160">
        <f>IF(OR('Input LwA_XYZ'!A13 = 0, NOT(ISBLANK(_xlfn.XLOOKUP(L$2, 'Input LwA_XYZ'!CM$1:DA$1, 'Input LwA_XYZ'!CM13:DA13)))), "", 'Input LwA_XYZ'!A13)</f>
        <v>4</v>
      </c>
      <c r="C14" s="159" t="str">
        <f>IF($B14="","",_xlfn.TEXTJOIN(" - ",TRUE,'Input LwA_XYZ'!B13:C13))</f>
        <v>RCU-R(4p)2 - Radiated</v>
      </c>
      <c r="D14" s="61">
        <f>IF($B14="","",'Input LwA_XYZ'!Q13)</f>
        <v>79.020599913279625</v>
      </c>
      <c r="E14" s="86">
        <f>IF($B14="","",ROUND(_xlfn.XLOOKUP($L$2,'Input LwA_XYZ'!$AH$1:$AV$1,'Input LwA_XYZ'!AH13:AV13),0))</f>
        <v>146</v>
      </c>
      <c r="F14" s="87">
        <f>IF($B14="","",-1*ROUND(_xlfn.XLOOKUP($L$2,'Input LwA_XYZ'!$AY$1:$BM$1,'Input LwA_XYZ'!AY13:BM13),0))</f>
        <v>41</v>
      </c>
      <c r="G14" s="87">
        <f>IF($B14="","",IF(_xlfn.XLOOKUP($L$2,'Input LwA_XYZ'!$BV$1:$CJ$1,'Input LwA_XYZ'!BV13:CJ13)="","-",_xlfn.XLOOKUP($L$2,'Input LwA_XYZ'!$BV$1:$CJ$1,'Input LwA_XYZ'!BV13:CJ13)))</f>
        <v>8</v>
      </c>
      <c r="H14" s="87" t="str">
        <f>IF($B14="","",IF('Input LwA_XYZ'!S13="","-",'Input LwA_XYZ'!S13))</f>
        <v>-</v>
      </c>
      <c r="I14" s="215" cm="1">
        <f t="array" ref="I14">IF($B14="","",IF(_xlfn.XLOOKUP($L$2,_xlfn.ANCHORARRAY('Input LwA_XYZ'!$DD$1),'Input LwA_XYZ'!DD13:DR13)="","-",_xlfn.XLOOKUP($L$2,_xlfn.ANCHORARRAY('Input LwA_XYZ'!$DD$1),'Input LwA_XYZ'!DD13:DR13)))</f>
        <v>3</v>
      </c>
      <c r="J14" s="62">
        <f>IF($B14="","",_xlfn.XLOOKUP($L$2,'Input LwA_XYZ'!$DU$1:$EI$1,'Input LwA_XYZ'!DU13:EI13))</f>
        <v>27.076005145728004</v>
      </c>
      <c r="K14" s="4">
        <f t="shared" si="0"/>
        <v>510.03562827360963</v>
      </c>
      <c r="L14" s="103">
        <f t="shared" si="1"/>
        <v>27.076005145728004</v>
      </c>
      <c r="P14" s="230">
        <f>IF(OR('Input LwA_XYZ'!A13 = 0, NOT(ISBLANK(_xlfn.XLOOKUP(Tables!N$2, 'Input LwA_XYZ'!CM$1:DA$1, 'Input LwA_XYZ'!CM13:DA13)))), "", 'Input LwA_XYZ'!A13)</f>
        <v>4</v>
      </c>
      <c r="Q14" s="225" t="str">
        <f>IF($P14="","",_xlfn.TEXTJOIN(" - ",TRUE,'Input LwA_XYZ'!B13:C13))</f>
        <v>RCU-R(4p)2 - Radiated</v>
      </c>
      <c r="R14" s="231">
        <f>IF($P14="","",'Input LwA_XYZ'!Q13)</f>
        <v>79.020599913279625</v>
      </c>
      <c r="S14" s="227">
        <f>IF($P14="","",ROUND(_xlfn.XLOOKUP(Tables!$N$2,'Input LwA_XYZ'!$AH$1:$AV$1,'Input LwA_XYZ'!AH13:AV13),0))</f>
        <v>146</v>
      </c>
      <c r="T14" s="228">
        <f>IF($P14="","",-1*ROUND(_xlfn.XLOOKUP(Tables!$N$2,'Input LwA_XYZ'!$AY$1:$BM$1,'Input LwA_XYZ'!AY13:BM13),0))</f>
        <v>41</v>
      </c>
      <c r="U14" s="228">
        <f>IF($P14="","",IF(_xlfn.XLOOKUP(Tables!$N$2,'Input LwA_XYZ'!$BV$1:$CJ$1,'Input LwA_XYZ'!BV13:CJ13)="","-",_xlfn.XLOOKUP(Tables!$N$2,'Input LwA_XYZ'!$BV$1:$CJ$1,'Input LwA_XYZ'!BV13:CJ13)))</f>
        <v>8</v>
      </c>
      <c r="V14" s="228" t="str">
        <f>IF($P14="","",IF('Input LwA_XYZ'!S13="","-",'Input LwA_XYZ'!S13))</f>
        <v>-</v>
      </c>
      <c r="W14" s="229" cm="1">
        <f t="array" ref="W14">IF($P14="","",IF(_xlfn.XLOOKUP(Tables!$N$2,_xlfn.ANCHORARRAY('Input LwA_XYZ'!$DD$1),'Input LwA_XYZ'!DD13:DR13)="","-",_xlfn.XLOOKUP(Tables!$N$2,_xlfn.ANCHORARRAY('Input LwA_XYZ'!$DD$1),'Input LwA_XYZ'!DD13:DR13)))</f>
        <v>3</v>
      </c>
      <c r="X14" s="62">
        <f>IF($P14="","",_xlfn.XLOOKUP(Tables!$N$2,'Input LwA_XYZ'!$DU$1:$EI$1,'Input LwA_XYZ'!DU13:EI13))</f>
        <v>27.076005145728004</v>
      </c>
    </row>
    <row r="15" spans="2:24" ht="16.5" customHeight="1" x14ac:dyDescent="0.3">
      <c r="B15" s="160">
        <f>IF(OR('Input LwA_XYZ'!A14 = 0, NOT(ISBLANK(_xlfn.XLOOKUP(L$2, 'Input LwA_XYZ'!CM$1:DA$1, 'Input LwA_XYZ'!CM14:DA14)))), "", 'Input LwA_XYZ'!A14)</f>
        <v>4</v>
      </c>
      <c r="C15" s="159" t="str">
        <f>IF($B15="","",_xlfn.TEXTJOIN(" - ",TRUE,'Input LwA_XYZ'!B14:C14))</f>
        <v>RCU-R(4p)3 - Radiated</v>
      </c>
      <c r="D15" s="61">
        <f>IF($B15="","",'Input LwA_XYZ'!Q14)</f>
        <v>79.020599913279625</v>
      </c>
      <c r="E15" s="86">
        <f>IF($B15="","",ROUND(_xlfn.XLOOKUP($L$2,'Input LwA_XYZ'!$AH$1:$AV$1,'Input LwA_XYZ'!AH14:AV14),0))</f>
        <v>125</v>
      </c>
      <c r="F15" s="87">
        <f>IF($B15="","",-1*ROUND(_xlfn.XLOOKUP($L$2,'Input LwA_XYZ'!$AY$1:$BM$1,'Input LwA_XYZ'!AY14:BM14),0))</f>
        <v>40</v>
      </c>
      <c r="G15" s="87">
        <f>IF($B15="","",IF(_xlfn.XLOOKUP($L$2,'Input LwA_XYZ'!$BV$1:$CJ$1,'Input LwA_XYZ'!BV14:CJ14)="","-",_xlfn.XLOOKUP($L$2,'Input LwA_XYZ'!$BV$1:$CJ$1,'Input LwA_XYZ'!BV14:CJ14)))</f>
        <v>6</v>
      </c>
      <c r="H15" s="87" t="str">
        <f>IF($B15="","",IF('Input LwA_XYZ'!S14="","-",'Input LwA_XYZ'!S14))</f>
        <v>-</v>
      </c>
      <c r="I15" s="215" t="str" cm="1">
        <f t="array" ref="I15">IF($B15="","",IF(_xlfn.XLOOKUP($L$2,_xlfn.ANCHORARRAY('Input LwA_XYZ'!$DD$1),'Input LwA_XYZ'!DD14:DR14)="","-",_xlfn.XLOOKUP($L$2,_xlfn.ANCHORARRAY('Input LwA_XYZ'!$DD$1),'Input LwA_XYZ'!DD14:DR14)))</f>
        <v>-</v>
      </c>
      <c r="J15" s="62">
        <f>IF($B15="","",_xlfn.XLOOKUP($L$2,'Input LwA_XYZ'!$DU$1:$EI$1,'Input LwA_XYZ'!DU14:EI14))</f>
        <v>33.442678471153521</v>
      </c>
      <c r="K15" s="4">
        <f t="shared" si="0"/>
        <v>2209.3669195839916</v>
      </c>
      <c r="L15" s="103">
        <f t="shared" si="1"/>
        <v>33.442678471153521</v>
      </c>
      <c r="P15" s="230">
        <f>IF(OR('Input LwA_XYZ'!A14 = 0, NOT(ISBLANK(_xlfn.XLOOKUP(Tables!N$2, 'Input LwA_XYZ'!CM$1:DA$1, 'Input LwA_XYZ'!CM14:DA14)))), "", 'Input LwA_XYZ'!A14)</f>
        <v>4</v>
      </c>
      <c r="Q15" s="225" t="str">
        <f>IF($P15="","",_xlfn.TEXTJOIN(" - ",TRUE,'Input LwA_XYZ'!B14:C14))</f>
        <v>RCU-R(4p)3 - Radiated</v>
      </c>
      <c r="R15" s="231">
        <f>IF($P15="","",'Input LwA_XYZ'!Q14)</f>
        <v>79.020599913279625</v>
      </c>
      <c r="S15" s="227">
        <f>IF($P15="","",ROUND(_xlfn.XLOOKUP(Tables!$N$2,'Input LwA_XYZ'!$AH$1:$AV$1,'Input LwA_XYZ'!AH14:AV14),0))</f>
        <v>125</v>
      </c>
      <c r="T15" s="228">
        <f>IF($P15="","",-1*ROUND(_xlfn.XLOOKUP(Tables!$N$2,'Input LwA_XYZ'!$AY$1:$BM$1,'Input LwA_XYZ'!AY14:BM14),0))</f>
        <v>40</v>
      </c>
      <c r="U15" s="228">
        <f>IF($P15="","",IF(_xlfn.XLOOKUP(Tables!$N$2,'Input LwA_XYZ'!$BV$1:$CJ$1,'Input LwA_XYZ'!BV14:CJ14)="","-",_xlfn.XLOOKUP(Tables!$N$2,'Input LwA_XYZ'!$BV$1:$CJ$1,'Input LwA_XYZ'!BV14:CJ14)))</f>
        <v>6</v>
      </c>
      <c r="V15" s="228" t="str">
        <f>IF($P15="","",IF('Input LwA_XYZ'!S14="","-",'Input LwA_XYZ'!S14))</f>
        <v>-</v>
      </c>
      <c r="W15" s="229" t="str" cm="1">
        <f t="array" ref="W15">IF($P15="","",IF(_xlfn.XLOOKUP(Tables!$N$2,_xlfn.ANCHORARRAY('Input LwA_XYZ'!$DD$1),'Input LwA_XYZ'!DD14:DR14)="","-",_xlfn.XLOOKUP(Tables!$N$2,_xlfn.ANCHORARRAY('Input LwA_XYZ'!$DD$1),'Input LwA_XYZ'!DD14:DR14)))</f>
        <v>-</v>
      </c>
      <c r="X15" s="62">
        <f>IF($P15="","",_xlfn.XLOOKUP(Tables!$N$2,'Input LwA_XYZ'!$DU$1:$EI$1,'Input LwA_XYZ'!DU14:EI14))</f>
        <v>33.442678471153521</v>
      </c>
    </row>
    <row r="16" spans="2:24" ht="17.25" customHeight="1" x14ac:dyDescent="0.3">
      <c r="B16" s="160">
        <f>IF(OR('Input LwA_XYZ'!A15 = 0, NOT(ISBLANK(_xlfn.XLOOKUP(L$2, 'Input LwA_XYZ'!CM$1:DA$1, 'Input LwA_XYZ'!CM15:DA15)))), "", 'Input LwA_XYZ'!A15)</f>
        <v>2</v>
      </c>
      <c r="C16" s="159" t="str">
        <f>IF($B16="","",_xlfn.TEXTJOIN(" - ",TRUE,'Input LwA_XYZ'!B15:C15))</f>
        <v>RCU-R(2p) - Radiated</v>
      </c>
      <c r="D16" s="61">
        <f>IF($B16="","",'Input LwA_XYZ'!Q15)</f>
        <v>76.010299956639813</v>
      </c>
      <c r="E16" s="86">
        <f>IF($B16="","",ROUND(_xlfn.XLOOKUP($L$2,'Input LwA_XYZ'!$AH$1:$AV$1,'Input LwA_XYZ'!AH15:AV15),0))</f>
        <v>112</v>
      </c>
      <c r="F16" s="87">
        <f>IF($B16="","",-1*ROUND(_xlfn.XLOOKUP($L$2,'Input LwA_XYZ'!$AY$1:$BM$1,'Input LwA_XYZ'!AY15:BM15),0))</f>
        <v>39</v>
      </c>
      <c r="G16" s="87">
        <f>IF($B16="","",IF(_xlfn.XLOOKUP($L$2,'Input LwA_XYZ'!$BV$1:$CJ$1,'Input LwA_XYZ'!BV15:CJ15)="","-",_xlfn.XLOOKUP($L$2,'Input LwA_XYZ'!$BV$1:$CJ$1,'Input LwA_XYZ'!BV15:CJ15)))</f>
        <v>6</v>
      </c>
      <c r="H16" s="87" t="str">
        <f>IF($B16="","",IF('Input LwA_XYZ'!S15="","-",'Input LwA_XYZ'!S15))</f>
        <v>-</v>
      </c>
      <c r="I16" s="215" t="str" cm="1">
        <f t="array" ref="I16">IF($B16="","",IF(_xlfn.XLOOKUP($L$2,_xlfn.ANCHORARRAY('Input LwA_XYZ'!$DD$1),'Input LwA_XYZ'!DD15:DR15)="","-",_xlfn.XLOOKUP($L$2,_xlfn.ANCHORARRAY('Input LwA_XYZ'!$DD$1),'Input LwA_XYZ'!DD15:DR15)))</f>
        <v>-</v>
      </c>
      <c r="J16" s="62">
        <f>IF($B16="","",_xlfn.XLOOKUP($L$2,'Input LwA_XYZ'!$DU$1:$EI$1,'Input LwA_XYZ'!DU15:EI15))</f>
        <v>31.401731131504263</v>
      </c>
      <c r="K16" s="4">
        <f t="shared" si="0"/>
        <v>1380.934606159869</v>
      </c>
      <c r="L16" s="103">
        <f t="shared" si="1"/>
        <v>31.401731131504263</v>
      </c>
      <c r="P16" s="230">
        <f>IF(OR('Input LwA_XYZ'!A15 = 0, NOT(ISBLANK(_xlfn.XLOOKUP(Tables!N$2, 'Input LwA_XYZ'!CM$1:DA$1, 'Input LwA_XYZ'!CM15:DA15)))), "", 'Input LwA_XYZ'!A15)</f>
        <v>2</v>
      </c>
      <c r="Q16" s="225" t="str">
        <f>IF($P16="","",_xlfn.TEXTJOIN(" - ",TRUE,'Input LwA_XYZ'!B15:C15))</f>
        <v>RCU-R(2p) - Radiated</v>
      </c>
      <c r="R16" s="231">
        <f>IF($P16="","",'Input LwA_XYZ'!Q15)</f>
        <v>76.010299956639813</v>
      </c>
      <c r="S16" s="227">
        <f>IF($P16="","",ROUND(_xlfn.XLOOKUP(Tables!$N$2,'Input LwA_XYZ'!$AH$1:$AV$1,'Input LwA_XYZ'!AH15:AV15),0))</f>
        <v>112</v>
      </c>
      <c r="T16" s="228">
        <f>IF($P16="","",-1*ROUND(_xlfn.XLOOKUP(Tables!$N$2,'Input LwA_XYZ'!$AY$1:$BM$1,'Input LwA_XYZ'!AY15:BM15),0))</f>
        <v>39</v>
      </c>
      <c r="U16" s="228">
        <f>IF($P16="","",IF(_xlfn.XLOOKUP(Tables!$N$2,'Input LwA_XYZ'!$BV$1:$CJ$1,'Input LwA_XYZ'!BV15:CJ15)="","-",_xlfn.XLOOKUP(Tables!$N$2,'Input LwA_XYZ'!$BV$1:$CJ$1,'Input LwA_XYZ'!BV15:CJ15)))</f>
        <v>6</v>
      </c>
      <c r="V16" s="228" t="str">
        <f>IF($P16="","",IF('Input LwA_XYZ'!S15="","-",'Input LwA_XYZ'!S15))</f>
        <v>-</v>
      </c>
      <c r="W16" s="229" t="str" cm="1">
        <f t="array" ref="W16">IF($P16="","",IF(_xlfn.XLOOKUP(Tables!$N$2,_xlfn.ANCHORARRAY('Input LwA_XYZ'!$DD$1),'Input LwA_XYZ'!DD15:DR15)="","-",_xlfn.XLOOKUP(Tables!$N$2,_xlfn.ANCHORARRAY('Input LwA_XYZ'!$DD$1),'Input LwA_XYZ'!DD15:DR15)))</f>
        <v>-</v>
      </c>
      <c r="X16" s="62">
        <f>IF($P16="","",_xlfn.XLOOKUP(Tables!$N$2,'Input LwA_XYZ'!$DU$1:$EI$1,'Input LwA_XYZ'!DU15:EI15))</f>
        <v>31.401731131504263</v>
      </c>
    </row>
    <row r="17" spans="2:24" ht="17.25" customHeight="1" x14ac:dyDescent="0.3">
      <c r="B17" s="160">
        <f>IF(OR('Input LwA_XYZ'!A16 = 0, NOT(ISBLANK(_xlfn.XLOOKUP(L$2, 'Input LwA_XYZ'!CM$1:DA$1, 'Input LwA_XYZ'!CM16:DA16)))), "", 'Input LwA_XYZ'!A16)</f>
        <v>2</v>
      </c>
      <c r="C17" s="159" t="str">
        <f>IF($B17="","",_xlfn.TEXTJOIN(" - ",TRUE,'Input LwA_XYZ'!B16:C16))</f>
        <v>RCU-R(2p)1 - Radiated</v>
      </c>
      <c r="D17" s="61">
        <f>IF($B17="","",'Input LwA_XYZ'!Q16)</f>
        <v>76.010299956639813</v>
      </c>
      <c r="E17" s="86">
        <f>IF($B17="","",ROUND(_xlfn.XLOOKUP($L$2,'Input LwA_XYZ'!$AH$1:$AV$1,'Input LwA_XYZ'!AH16:AV16),0))</f>
        <v>84</v>
      </c>
      <c r="F17" s="87">
        <f>IF($B17="","",-1*ROUND(_xlfn.XLOOKUP($L$2,'Input LwA_XYZ'!$AY$1:$BM$1,'Input LwA_XYZ'!AY16:BM16),0))</f>
        <v>36</v>
      </c>
      <c r="G17" s="87">
        <f>IF($B17="","",IF(_xlfn.XLOOKUP($L$2,'Input LwA_XYZ'!$BV$1:$CJ$1,'Input LwA_XYZ'!BV16:CJ16)="","-",_xlfn.XLOOKUP($L$2,'Input LwA_XYZ'!$BV$1:$CJ$1,'Input LwA_XYZ'!BV16:CJ16)))</f>
        <v>6</v>
      </c>
      <c r="H17" s="87" t="str">
        <f>IF($B17="","",IF('Input LwA_XYZ'!S16="","-",'Input LwA_XYZ'!S16))</f>
        <v>-</v>
      </c>
      <c r="I17" s="215" t="str" cm="1">
        <f t="array" ref="I17">IF($B17="","",IF(_xlfn.XLOOKUP($L$2,_xlfn.ANCHORARRAY('Input LwA_XYZ'!$DD$1),'Input LwA_XYZ'!DD16:DR16)="","-",_xlfn.XLOOKUP($L$2,_xlfn.ANCHORARRAY('Input LwA_XYZ'!$DD$1),'Input LwA_XYZ'!DD16:DR16)))</f>
        <v>-</v>
      </c>
      <c r="J17" s="62">
        <f>IF($B17="","",_xlfn.XLOOKUP($L$2,'Input LwA_XYZ'!$DU$1:$EI$1,'Input LwA_XYZ'!DU16:EI16))</f>
        <v>33.831310939021684</v>
      </c>
      <c r="K17" s="4">
        <f t="shared" si="0"/>
        <v>2416.1900631039039</v>
      </c>
      <c r="L17" s="103">
        <f t="shared" si="1"/>
        <v>33.831310939021684</v>
      </c>
      <c r="P17" s="230">
        <f>IF(OR('Input LwA_XYZ'!A16 = 0, NOT(ISBLANK(_xlfn.XLOOKUP(Tables!N$2, 'Input LwA_XYZ'!CM$1:DA$1, 'Input LwA_XYZ'!CM16:DA16)))), "", 'Input LwA_XYZ'!A16)</f>
        <v>2</v>
      </c>
      <c r="Q17" s="225" t="str">
        <f>IF($P17="","",_xlfn.TEXTJOIN(" - ",TRUE,'Input LwA_XYZ'!B16:C16))</f>
        <v>RCU-R(2p)1 - Radiated</v>
      </c>
      <c r="R17" s="231">
        <f>IF($P17="","",'Input LwA_XYZ'!Q16)</f>
        <v>76.010299956639813</v>
      </c>
      <c r="S17" s="227">
        <f>IF($P17="","",ROUND(_xlfn.XLOOKUP(Tables!$N$2,'Input LwA_XYZ'!$AH$1:$AV$1,'Input LwA_XYZ'!AH16:AV16),0))</f>
        <v>84</v>
      </c>
      <c r="T17" s="228">
        <f>IF($P17="","",-1*ROUND(_xlfn.XLOOKUP(Tables!$N$2,'Input LwA_XYZ'!$AY$1:$BM$1,'Input LwA_XYZ'!AY16:BM16),0))</f>
        <v>36</v>
      </c>
      <c r="U17" s="228">
        <f>IF($P17="","",IF(_xlfn.XLOOKUP(Tables!$N$2,'Input LwA_XYZ'!$BV$1:$CJ$1,'Input LwA_XYZ'!BV16:CJ16)="","-",_xlfn.XLOOKUP(Tables!$N$2,'Input LwA_XYZ'!$BV$1:$CJ$1,'Input LwA_XYZ'!BV16:CJ16)))</f>
        <v>6</v>
      </c>
      <c r="V17" s="228" t="str">
        <f>IF($P17="","",IF('Input LwA_XYZ'!S16="","-",'Input LwA_XYZ'!S16))</f>
        <v>-</v>
      </c>
      <c r="W17" s="229" t="str" cm="1">
        <f t="array" ref="W17">IF($P17="","",IF(_xlfn.XLOOKUP(Tables!$N$2,_xlfn.ANCHORARRAY('Input LwA_XYZ'!$DD$1),'Input LwA_XYZ'!DD16:DR16)="","-",_xlfn.XLOOKUP(Tables!$N$2,_xlfn.ANCHORARRAY('Input LwA_XYZ'!$DD$1),'Input LwA_XYZ'!DD16:DR16)))</f>
        <v>-</v>
      </c>
      <c r="X17" s="62">
        <f>IF($P17="","",_xlfn.XLOOKUP(Tables!$N$2,'Input LwA_XYZ'!$DU$1:$EI$1,'Input LwA_XYZ'!DU16:EI16))</f>
        <v>33.831310939021684</v>
      </c>
    </row>
    <row r="18" spans="2:24" ht="16.5" customHeight="1" x14ac:dyDescent="0.3">
      <c r="B18" s="160">
        <f>IF(OR('Input LwA_XYZ'!A17 = 0, NOT(ISBLANK(_xlfn.XLOOKUP(L$2, 'Input LwA_XYZ'!CM$1:DA$1, 'Input LwA_XYZ'!CM17:DA17)))), "", 'Input LwA_XYZ'!A17)</f>
        <v>4</v>
      </c>
      <c r="C18" s="159" t="str">
        <f>IF($B18="","",_xlfn.TEXTJOIN(" - ",TRUE,'Input LwA_XYZ'!B17:C17))</f>
        <v>RCU-R(4p)4 - Radiated</v>
      </c>
      <c r="D18" s="61">
        <f>IF($B18="","",'Input LwA_XYZ'!Q17)</f>
        <v>79.020599913279625</v>
      </c>
      <c r="E18" s="86">
        <f>IF($B18="","",ROUND(_xlfn.XLOOKUP($L$2,'Input LwA_XYZ'!$AH$1:$AV$1,'Input LwA_XYZ'!AH17:AV17),0))</f>
        <v>56</v>
      </c>
      <c r="F18" s="87">
        <f>IF($B18="","",-1*ROUND(_xlfn.XLOOKUP($L$2,'Input LwA_XYZ'!$AY$1:$BM$1,'Input LwA_XYZ'!AY17:BM17),0))</f>
        <v>33</v>
      </c>
      <c r="G18" s="87">
        <f>IF($B18="","",IF(_xlfn.XLOOKUP($L$2,'Input LwA_XYZ'!$BV$1:$CJ$1,'Input LwA_XYZ'!BV17:CJ17)="","-",_xlfn.XLOOKUP($L$2,'Input LwA_XYZ'!$BV$1:$CJ$1,'Input LwA_XYZ'!BV17:CJ17)))</f>
        <v>4</v>
      </c>
      <c r="H18" s="87" t="str">
        <f>IF($B18="","",IF('Input LwA_XYZ'!S17="","-",'Input LwA_XYZ'!S17))</f>
        <v>-</v>
      </c>
      <c r="I18" s="215" t="str" cm="1">
        <f t="array" ref="I18">IF($B18="","",IF(_xlfn.XLOOKUP($L$2,_xlfn.ANCHORARRAY('Input LwA_XYZ'!$DD$1),'Input LwA_XYZ'!DD17:DR17)="","-",_xlfn.XLOOKUP($L$2,_xlfn.ANCHORARRAY('Input LwA_XYZ'!$DD$1),'Input LwA_XYZ'!DD17:DR17)))</f>
        <v>-</v>
      </c>
      <c r="J18" s="62">
        <f>IF($B18="","",_xlfn.XLOOKUP($L$2,'Input LwA_XYZ'!$DU$1:$EI$1,'Input LwA_XYZ'!DU17:EI17))</f>
        <v>42.369001578420139</v>
      </c>
      <c r="K18" s="4">
        <f t="shared" si="0"/>
        <v>17254.411759797549</v>
      </c>
      <c r="L18" s="103">
        <f t="shared" si="1"/>
        <v>42.369001578420139</v>
      </c>
      <c r="P18" s="230">
        <f>IF(OR('Input LwA_XYZ'!A17 = 0, NOT(ISBLANK(_xlfn.XLOOKUP(Tables!N$2, 'Input LwA_XYZ'!CM$1:DA$1, 'Input LwA_XYZ'!CM17:DA17)))), "", 'Input LwA_XYZ'!A17)</f>
        <v>4</v>
      </c>
      <c r="Q18" s="225" t="str">
        <f>IF($P18="","",_xlfn.TEXTJOIN(" - ",TRUE,'Input LwA_XYZ'!B17:C17))</f>
        <v>RCU-R(4p)4 - Radiated</v>
      </c>
      <c r="R18" s="231">
        <f>IF($P18="","",'Input LwA_XYZ'!Q17)</f>
        <v>79.020599913279625</v>
      </c>
      <c r="S18" s="227">
        <f>IF($P18="","",ROUND(_xlfn.XLOOKUP(Tables!$N$2,'Input LwA_XYZ'!$AH$1:$AV$1,'Input LwA_XYZ'!AH17:AV17),0))</f>
        <v>56</v>
      </c>
      <c r="T18" s="228">
        <f>IF($P18="","",-1*ROUND(_xlfn.XLOOKUP(Tables!$N$2,'Input LwA_XYZ'!$AY$1:$BM$1,'Input LwA_XYZ'!AY17:BM17),0))</f>
        <v>33</v>
      </c>
      <c r="U18" s="228">
        <f>IF($P18="","",IF(_xlfn.XLOOKUP(Tables!$N$2,'Input LwA_XYZ'!$BV$1:$CJ$1,'Input LwA_XYZ'!BV17:CJ17)="","-",_xlfn.XLOOKUP(Tables!$N$2,'Input LwA_XYZ'!$BV$1:$CJ$1,'Input LwA_XYZ'!BV17:CJ17)))</f>
        <v>4</v>
      </c>
      <c r="V18" s="228" t="str">
        <f>IF($P18="","",IF('Input LwA_XYZ'!S17="","-",'Input LwA_XYZ'!S17))</f>
        <v>-</v>
      </c>
      <c r="W18" s="229" t="str" cm="1">
        <f t="array" ref="W18">IF($P18="","",IF(_xlfn.XLOOKUP(Tables!$N$2,_xlfn.ANCHORARRAY('Input LwA_XYZ'!$DD$1),'Input LwA_XYZ'!DD17:DR17)="","-",_xlfn.XLOOKUP(Tables!$N$2,_xlfn.ANCHORARRAY('Input LwA_XYZ'!$DD$1),'Input LwA_XYZ'!DD17:DR17)))</f>
        <v>-</v>
      </c>
      <c r="X18" s="62">
        <f>IF($P18="","",_xlfn.XLOOKUP(Tables!$N$2,'Input LwA_XYZ'!$DU$1:$EI$1,'Input LwA_XYZ'!DU17:EI17))</f>
        <v>42.369001578420139</v>
      </c>
    </row>
    <row r="19" spans="2:24" ht="16.5" customHeight="1" x14ac:dyDescent="0.3">
      <c r="B19" s="160">
        <f>IF(OR('Input LwA_XYZ'!A18 = 0, NOT(ISBLANK(_xlfn.XLOOKUP(L$2, 'Input LwA_XYZ'!CM$1:DA$1, 'Input LwA_XYZ'!CM18:DA18)))), "", 'Input LwA_XYZ'!A18)</f>
        <v>2</v>
      </c>
      <c r="C19" s="159" t="str">
        <f>IF($B19="","",_xlfn.TEXTJOIN(" - ",TRUE,'Input LwA_XYZ'!B18:C18))</f>
        <v>RCU-R(2p)2 - Radiated</v>
      </c>
      <c r="D19" s="61">
        <f>IF($B19="","",'Input LwA_XYZ'!Q18)</f>
        <v>76.010299956639813</v>
      </c>
      <c r="E19" s="86">
        <f>IF($B19="","",ROUND(_xlfn.XLOOKUP($L$2,'Input LwA_XYZ'!$AH$1:$AV$1,'Input LwA_XYZ'!AH18:AV18),0))</f>
        <v>49</v>
      </c>
      <c r="F19" s="87">
        <f>IF($B19="","",-1*ROUND(_xlfn.XLOOKUP($L$2,'Input LwA_XYZ'!$AY$1:$BM$1,'Input LwA_XYZ'!AY18:BM18),0))</f>
        <v>32</v>
      </c>
      <c r="G19" s="87">
        <f>IF($B19="","",IF(_xlfn.XLOOKUP($L$2,'Input LwA_XYZ'!$BV$1:$CJ$1,'Input LwA_XYZ'!BV18:CJ18)="","-",_xlfn.XLOOKUP($L$2,'Input LwA_XYZ'!$BV$1:$CJ$1,'Input LwA_XYZ'!BV18:CJ18)))</f>
        <v>5</v>
      </c>
      <c r="H19" s="87" t="str">
        <f>IF($B19="","",IF('Input LwA_XYZ'!S18="","-",'Input LwA_XYZ'!S18))</f>
        <v>-</v>
      </c>
      <c r="I19" s="215" t="str" cm="1">
        <f t="array" ref="I19">IF($B19="","",IF(_xlfn.XLOOKUP($L$2,_xlfn.ANCHORARRAY('Input LwA_XYZ'!$DD$1),'Input LwA_XYZ'!DD18:DR18)="","-",_xlfn.XLOOKUP($L$2,_xlfn.ANCHORARRAY('Input LwA_XYZ'!$DD$1),'Input LwA_XYZ'!DD18:DR18)))</f>
        <v>-</v>
      </c>
      <c r="J19" s="62">
        <f>IF($B19="","",_xlfn.XLOOKUP($L$2,'Input LwA_XYZ'!$DU$1:$EI$1,'Input LwA_XYZ'!DU18:EI18))</f>
        <v>39.467975856684824</v>
      </c>
      <c r="K19" s="4">
        <f t="shared" si="0"/>
        <v>8847.0317461164395</v>
      </c>
      <c r="L19" s="103">
        <f t="shared" si="1"/>
        <v>39.467975856684824</v>
      </c>
      <c r="P19" s="230">
        <f>IF(OR('Input LwA_XYZ'!A18 = 0, NOT(ISBLANK(_xlfn.XLOOKUP(Tables!N$2, 'Input LwA_XYZ'!CM$1:DA$1, 'Input LwA_XYZ'!CM18:DA18)))), "", 'Input LwA_XYZ'!A18)</f>
        <v>2</v>
      </c>
      <c r="Q19" s="225" t="str">
        <f>IF($P19="","",_xlfn.TEXTJOIN(" - ",TRUE,'Input LwA_XYZ'!B18:C18))</f>
        <v>RCU-R(2p)2 - Radiated</v>
      </c>
      <c r="R19" s="231">
        <f>IF($P19="","",'Input LwA_XYZ'!Q18)</f>
        <v>76.010299956639813</v>
      </c>
      <c r="S19" s="227">
        <f>IF($P19="","",ROUND(_xlfn.XLOOKUP(Tables!$N$2,'Input LwA_XYZ'!$AH$1:$AV$1,'Input LwA_XYZ'!AH18:AV18),0))</f>
        <v>49</v>
      </c>
      <c r="T19" s="228">
        <f>IF($P19="","",-1*ROUND(_xlfn.XLOOKUP(Tables!$N$2,'Input LwA_XYZ'!$AY$1:$BM$1,'Input LwA_XYZ'!AY18:BM18),0))</f>
        <v>32</v>
      </c>
      <c r="U19" s="228">
        <f>IF($P19="","",IF(_xlfn.XLOOKUP(Tables!$N$2,'Input LwA_XYZ'!$BV$1:$CJ$1,'Input LwA_XYZ'!BV18:CJ18)="","-",_xlfn.XLOOKUP(Tables!$N$2,'Input LwA_XYZ'!$BV$1:$CJ$1,'Input LwA_XYZ'!BV18:CJ18)))</f>
        <v>5</v>
      </c>
      <c r="V19" s="228" t="str">
        <f>IF($P19="","",IF('Input LwA_XYZ'!S18="","-",'Input LwA_XYZ'!S18))</f>
        <v>-</v>
      </c>
      <c r="W19" s="229" t="str" cm="1">
        <f t="array" ref="W19">IF($P19="","",IF(_xlfn.XLOOKUP(Tables!$N$2,_xlfn.ANCHORARRAY('Input LwA_XYZ'!$DD$1),'Input LwA_XYZ'!DD18:DR18)="","-",_xlfn.XLOOKUP(Tables!$N$2,_xlfn.ANCHORARRAY('Input LwA_XYZ'!$DD$1),'Input LwA_XYZ'!DD18:DR18)))</f>
        <v>-</v>
      </c>
      <c r="X19" s="62">
        <f>IF($P19="","",_xlfn.XLOOKUP(Tables!$N$2,'Input LwA_XYZ'!$DU$1:$EI$1,'Input LwA_XYZ'!DU18:EI18))</f>
        <v>39.467975856684824</v>
      </c>
    </row>
    <row r="20" spans="2:24" ht="16.5" customHeight="1" x14ac:dyDescent="0.3">
      <c r="B20" s="160">
        <f>IF(OR('Input LwA_XYZ'!A19 = 0, NOT(ISBLANK(_xlfn.XLOOKUP(L$2, 'Input LwA_XYZ'!CM$1:DA$1, 'Input LwA_XYZ'!CM19:DA19)))), "", 'Input LwA_XYZ'!A19)</f>
        <v>2</v>
      </c>
      <c r="C20" s="159" t="str">
        <f>IF($B20="","",_xlfn.TEXTJOIN(" - ",TRUE,'Input LwA_XYZ'!B19:C19))</f>
        <v>RCU-R(2p)3 - Radiated</v>
      </c>
      <c r="D20" s="61">
        <f>IF($B20="","",'Input LwA_XYZ'!Q19)</f>
        <v>76.010299956639813</v>
      </c>
      <c r="E20" s="86">
        <f>IF($B20="","",ROUND(_xlfn.XLOOKUP($L$2,'Input LwA_XYZ'!$AH$1:$AV$1,'Input LwA_XYZ'!AH19:AV19),0))</f>
        <v>72</v>
      </c>
      <c r="F20" s="87">
        <f>IF($B20="","",-1*ROUND(_xlfn.XLOOKUP($L$2,'Input LwA_XYZ'!$AY$1:$BM$1,'Input LwA_XYZ'!AY19:BM19),0))</f>
        <v>35</v>
      </c>
      <c r="G20" s="87">
        <f>IF($B20="","",IF(_xlfn.XLOOKUP($L$2,'Input LwA_XYZ'!$BV$1:$CJ$1,'Input LwA_XYZ'!BV19:CJ19)="","-",_xlfn.XLOOKUP($L$2,'Input LwA_XYZ'!$BV$1:$CJ$1,'Input LwA_XYZ'!BV19:CJ19)))</f>
        <v>6</v>
      </c>
      <c r="H20" s="87" t="str">
        <f>IF($B20="","",IF('Input LwA_XYZ'!S19="","-",'Input LwA_XYZ'!S19))</f>
        <v>-</v>
      </c>
      <c r="I20" s="215" t="str" cm="1">
        <f t="array" ref="I20">IF($B20="","",IF(_xlfn.XLOOKUP($L$2,_xlfn.ANCHORARRAY('Input LwA_XYZ'!$DD$1),'Input LwA_XYZ'!DD19:DR19)="","-",_xlfn.XLOOKUP($L$2,_xlfn.ANCHORARRAY('Input LwA_XYZ'!$DD$1),'Input LwA_XYZ'!DD19:DR19)))</f>
        <v>-</v>
      </c>
      <c r="J20" s="62">
        <f>IF($B20="","",_xlfn.XLOOKUP($L$2,'Input LwA_XYZ'!$DU$1:$EI$1,'Input LwA_XYZ'!DU19:EI19))</f>
        <v>35.188098345146763</v>
      </c>
      <c r="K20" s="4">
        <f t="shared" si="0"/>
        <v>3302.2491306179663</v>
      </c>
      <c r="L20" s="103">
        <f t="shared" si="1"/>
        <v>35.188098345146763</v>
      </c>
      <c r="P20" s="230">
        <f>IF(OR('Input LwA_XYZ'!A19 = 0, NOT(ISBLANK(_xlfn.XLOOKUP(Tables!N$2, 'Input LwA_XYZ'!CM$1:DA$1, 'Input LwA_XYZ'!CM19:DA19)))), "", 'Input LwA_XYZ'!A19)</f>
        <v>2</v>
      </c>
      <c r="Q20" s="225" t="str">
        <f>IF($P20="","",_xlfn.TEXTJOIN(" - ",TRUE,'Input LwA_XYZ'!B19:C19))</f>
        <v>RCU-R(2p)3 - Radiated</v>
      </c>
      <c r="R20" s="231">
        <f>IF($P20="","",'Input LwA_XYZ'!Q19)</f>
        <v>76.010299956639813</v>
      </c>
      <c r="S20" s="227">
        <f>IF($P20="","",ROUND(_xlfn.XLOOKUP(Tables!$N$2,'Input LwA_XYZ'!$AH$1:$AV$1,'Input LwA_XYZ'!AH19:AV19),0))</f>
        <v>72</v>
      </c>
      <c r="T20" s="228">
        <f>IF($P20="","",-1*ROUND(_xlfn.XLOOKUP(Tables!$N$2,'Input LwA_XYZ'!$AY$1:$BM$1,'Input LwA_XYZ'!AY19:BM19),0))</f>
        <v>35</v>
      </c>
      <c r="U20" s="228">
        <f>IF($P20="","",IF(_xlfn.XLOOKUP(Tables!$N$2,'Input LwA_XYZ'!$BV$1:$CJ$1,'Input LwA_XYZ'!BV19:CJ19)="","-",_xlfn.XLOOKUP(Tables!$N$2,'Input LwA_XYZ'!$BV$1:$CJ$1,'Input LwA_XYZ'!BV19:CJ19)))</f>
        <v>6</v>
      </c>
      <c r="V20" s="228" t="str">
        <f>IF($P20="","",IF('Input LwA_XYZ'!S19="","-",'Input LwA_XYZ'!S19))</f>
        <v>-</v>
      </c>
      <c r="W20" s="229" t="str" cm="1">
        <f t="array" ref="W20">IF($P20="","",IF(_xlfn.XLOOKUP(Tables!$N$2,_xlfn.ANCHORARRAY('Input LwA_XYZ'!$DD$1),'Input LwA_XYZ'!DD19:DR19)="","-",_xlfn.XLOOKUP(Tables!$N$2,_xlfn.ANCHORARRAY('Input LwA_XYZ'!$DD$1),'Input LwA_XYZ'!DD19:DR19)))</f>
        <v>-</v>
      </c>
      <c r="X20" s="62">
        <f>IF($P20="","",_xlfn.XLOOKUP(Tables!$N$2,'Input LwA_XYZ'!$DU$1:$EI$1,'Input LwA_XYZ'!DU19:EI19))</f>
        <v>35.188098345146763</v>
      </c>
    </row>
    <row r="21" spans="2:24" ht="16.5" customHeight="1" x14ac:dyDescent="0.3">
      <c r="B21" s="160">
        <f>IF(OR('Input LwA_XYZ'!A20 = 0, NOT(ISBLANK(_xlfn.XLOOKUP(L$2, 'Input LwA_XYZ'!CM$1:DA$1, 'Input LwA_XYZ'!CM20:DA20)))), "", 'Input LwA_XYZ'!A20)</f>
        <v>2</v>
      </c>
      <c r="C21" s="159" t="str">
        <f>IF($B21="","",_xlfn.TEXTJOIN(" - ",TRUE,'Input LwA_XYZ'!B20:C20))</f>
        <v>RCU-R(2p)4 - Radiated</v>
      </c>
      <c r="D21" s="61">
        <f>IF($B21="","",'Input LwA_XYZ'!Q20)</f>
        <v>76.010299956639813</v>
      </c>
      <c r="E21" s="86">
        <f>IF($B21="","",ROUND(_xlfn.XLOOKUP($L$2,'Input LwA_XYZ'!$AH$1:$AV$1,'Input LwA_XYZ'!AH20:AV20),0))</f>
        <v>91</v>
      </c>
      <c r="F21" s="87">
        <f>IF($B21="","",-1*ROUND(_xlfn.XLOOKUP($L$2,'Input LwA_XYZ'!$AY$1:$BM$1,'Input LwA_XYZ'!AY20:BM20),0))</f>
        <v>37</v>
      </c>
      <c r="G21" s="87">
        <f>IF($B21="","",IF(_xlfn.XLOOKUP($L$2,'Input LwA_XYZ'!$BV$1:$CJ$1,'Input LwA_XYZ'!BV20:CJ20)="","-",_xlfn.XLOOKUP($L$2,'Input LwA_XYZ'!$BV$1:$CJ$1,'Input LwA_XYZ'!BV20:CJ20)))</f>
        <v>7</v>
      </c>
      <c r="H21" s="87" t="str">
        <f>IF($B21="","",IF('Input LwA_XYZ'!S20="","-",'Input LwA_XYZ'!S20))</f>
        <v>-</v>
      </c>
      <c r="I21" s="215" t="str" cm="1">
        <f t="array" ref="I21">IF($B21="","",IF(_xlfn.XLOOKUP($L$2,_xlfn.ANCHORARRAY('Input LwA_XYZ'!$DD$1),'Input LwA_XYZ'!DD20:DR20)="","-",_xlfn.XLOOKUP($L$2,_xlfn.ANCHORARRAY('Input LwA_XYZ'!$DD$1),'Input LwA_XYZ'!DD20:DR20)))</f>
        <v>-</v>
      </c>
      <c r="J21" s="62">
        <f>IF($B21="","",_xlfn.XLOOKUP($L$2,'Input LwA_XYZ'!$DU$1:$EI$1,'Input LwA_XYZ'!DU20:EI20))</f>
        <v>32.211785550044567</v>
      </c>
      <c r="K21" s="4">
        <f t="shared" si="0"/>
        <v>1664.0966832790473</v>
      </c>
      <c r="L21" s="103">
        <f t="shared" si="1"/>
        <v>32.211785550044567</v>
      </c>
      <c r="P21" s="230">
        <f>IF(OR('Input LwA_XYZ'!A20 = 0, NOT(ISBLANK(_xlfn.XLOOKUP(Tables!N$2, 'Input LwA_XYZ'!CM$1:DA$1, 'Input LwA_XYZ'!CM20:DA20)))), "", 'Input LwA_XYZ'!A20)</f>
        <v>2</v>
      </c>
      <c r="Q21" s="225" t="str">
        <f>IF($P21="","",_xlfn.TEXTJOIN(" - ",TRUE,'Input LwA_XYZ'!B20:C20))</f>
        <v>RCU-R(2p)4 - Radiated</v>
      </c>
      <c r="R21" s="231">
        <f>IF($P21="","",'Input LwA_XYZ'!Q20)</f>
        <v>76.010299956639813</v>
      </c>
      <c r="S21" s="227">
        <f>IF($P21="","",ROUND(_xlfn.XLOOKUP(Tables!$N$2,'Input LwA_XYZ'!$AH$1:$AV$1,'Input LwA_XYZ'!AH20:AV20),0))</f>
        <v>91</v>
      </c>
      <c r="T21" s="228">
        <f>IF($P21="","",-1*ROUND(_xlfn.XLOOKUP(Tables!$N$2,'Input LwA_XYZ'!$AY$1:$BM$1,'Input LwA_XYZ'!AY20:BM20),0))</f>
        <v>37</v>
      </c>
      <c r="U21" s="228">
        <f>IF($P21="","",IF(_xlfn.XLOOKUP(Tables!$N$2,'Input LwA_XYZ'!$BV$1:$CJ$1,'Input LwA_XYZ'!BV20:CJ20)="","-",_xlfn.XLOOKUP(Tables!$N$2,'Input LwA_XYZ'!$BV$1:$CJ$1,'Input LwA_XYZ'!BV20:CJ20)))</f>
        <v>7</v>
      </c>
      <c r="V21" s="228" t="str">
        <f>IF($P21="","",IF('Input LwA_XYZ'!S20="","-",'Input LwA_XYZ'!S20))</f>
        <v>-</v>
      </c>
      <c r="W21" s="229" t="str" cm="1">
        <f t="array" ref="W21">IF($P21="","",IF(_xlfn.XLOOKUP(Tables!$N$2,_xlfn.ANCHORARRAY('Input LwA_XYZ'!$DD$1),'Input LwA_XYZ'!DD20:DR20)="","-",_xlfn.XLOOKUP(Tables!$N$2,_xlfn.ANCHORARRAY('Input LwA_XYZ'!$DD$1),'Input LwA_XYZ'!DD20:DR20)))</f>
        <v>-</v>
      </c>
      <c r="X21" s="62">
        <f>IF($P21="","",_xlfn.XLOOKUP(Tables!$N$2,'Input LwA_XYZ'!$DU$1:$EI$1,'Input LwA_XYZ'!DU20:EI20))</f>
        <v>32.211785550044567</v>
      </c>
    </row>
    <row r="22" spans="2:24" ht="16.5" customHeight="1" x14ac:dyDescent="0.3">
      <c r="B22" s="160">
        <f>IF(OR('Input LwA_XYZ'!A21 = 0, NOT(ISBLANK(_xlfn.XLOOKUP(L$2, 'Input LwA_XYZ'!CM$1:DA$1, 'Input LwA_XYZ'!CM21:DA21)))), "", 'Input LwA_XYZ'!A21)</f>
        <v>2</v>
      </c>
      <c r="C22" s="159" t="str">
        <f>IF($B22="","",_xlfn.TEXTJOIN(" - ",TRUE,'Input LwA_XYZ'!B21:C21))</f>
        <v>RCU-R(2p)5 - Radiated</v>
      </c>
      <c r="D22" s="61">
        <f>IF($B22="","",'Input LwA_XYZ'!Q21)</f>
        <v>76.010299956639813</v>
      </c>
      <c r="E22" s="86">
        <f>IF($B22="","",ROUND(_xlfn.XLOOKUP($L$2,'Input LwA_XYZ'!$AH$1:$AV$1,'Input LwA_XYZ'!AH21:AV21),0))</f>
        <v>109</v>
      </c>
      <c r="F22" s="87">
        <f>IF($B22="","",-1*ROUND(_xlfn.XLOOKUP($L$2,'Input LwA_XYZ'!$AY$1:$BM$1,'Input LwA_XYZ'!AY21:BM21),0))</f>
        <v>38</v>
      </c>
      <c r="G22" s="87">
        <f>IF($B22="","",IF(_xlfn.XLOOKUP($L$2,'Input LwA_XYZ'!$BV$1:$CJ$1,'Input LwA_XYZ'!BV21:CJ21)="","-",_xlfn.XLOOKUP($L$2,'Input LwA_XYZ'!$BV$1:$CJ$1,'Input LwA_XYZ'!BV21:CJ21)))</f>
        <v>7</v>
      </c>
      <c r="H22" s="87" t="str">
        <f>IF($B22="","",IF('Input LwA_XYZ'!S21="","-",'Input LwA_XYZ'!S21))</f>
        <v>-</v>
      </c>
      <c r="I22" s="215" t="str" cm="1">
        <f t="array" ref="I22">IF($B22="","",IF(_xlfn.XLOOKUP($L$2,_xlfn.ANCHORARRAY('Input LwA_XYZ'!$DD$1),'Input LwA_XYZ'!DD21:DR21)="","-",_xlfn.XLOOKUP($L$2,_xlfn.ANCHORARRAY('Input LwA_XYZ'!$DD$1),'Input LwA_XYZ'!DD21:DR21)))</f>
        <v>-</v>
      </c>
      <c r="J22" s="62">
        <f>IF($B22="","",_xlfn.XLOOKUP($L$2,'Input LwA_XYZ'!$DU$1:$EI$1,'Input LwA_XYZ'!DU21:EI21))</f>
        <v>30.563471108673255</v>
      </c>
      <c r="K22" s="4">
        <f t="shared" si="0"/>
        <v>1138.5369005154887</v>
      </c>
      <c r="L22" s="103">
        <f t="shared" si="1"/>
        <v>30.563471108673255</v>
      </c>
      <c r="P22" s="230">
        <f>IF(OR('Input LwA_XYZ'!A21 = 0, NOT(ISBLANK(_xlfn.XLOOKUP(Tables!N$2, 'Input LwA_XYZ'!CM$1:DA$1, 'Input LwA_XYZ'!CM21:DA21)))), "", 'Input LwA_XYZ'!A21)</f>
        <v>2</v>
      </c>
      <c r="Q22" s="225" t="str">
        <f>IF($P22="","",_xlfn.TEXTJOIN(" - ",TRUE,'Input LwA_XYZ'!B21:C21))</f>
        <v>RCU-R(2p)5 - Radiated</v>
      </c>
      <c r="R22" s="231">
        <f>IF($P22="","",'Input LwA_XYZ'!Q21)</f>
        <v>76.010299956639813</v>
      </c>
      <c r="S22" s="227">
        <f>IF($P22="","",ROUND(_xlfn.XLOOKUP(Tables!$N$2,'Input LwA_XYZ'!$AH$1:$AV$1,'Input LwA_XYZ'!AH21:AV21),0))</f>
        <v>109</v>
      </c>
      <c r="T22" s="228">
        <f>IF($P22="","",-1*ROUND(_xlfn.XLOOKUP(Tables!$N$2,'Input LwA_XYZ'!$AY$1:$BM$1,'Input LwA_XYZ'!AY21:BM21),0))</f>
        <v>38</v>
      </c>
      <c r="U22" s="228">
        <f>IF($P22="","",IF(_xlfn.XLOOKUP(Tables!$N$2,'Input LwA_XYZ'!$BV$1:$CJ$1,'Input LwA_XYZ'!BV21:CJ21)="","-",_xlfn.XLOOKUP(Tables!$N$2,'Input LwA_XYZ'!$BV$1:$CJ$1,'Input LwA_XYZ'!BV21:CJ21)))</f>
        <v>7</v>
      </c>
      <c r="V22" s="228" t="str">
        <f>IF($P22="","",IF('Input LwA_XYZ'!S21="","-",'Input LwA_XYZ'!S21))</f>
        <v>-</v>
      </c>
      <c r="W22" s="229" t="str" cm="1">
        <f t="array" ref="W22">IF($P22="","",IF(_xlfn.XLOOKUP(Tables!$N$2,_xlfn.ANCHORARRAY('Input LwA_XYZ'!$DD$1),'Input LwA_XYZ'!DD21:DR21)="","-",_xlfn.XLOOKUP(Tables!$N$2,_xlfn.ANCHORARRAY('Input LwA_XYZ'!$DD$1),'Input LwA_XYZ'!DD21:DR21)))</f>
        <v>-</v>
      </c>
      <c r="X22" s="62">
        <f>IF($P22="","",_xlfn.XLOOKUP(Tables!$N$2,'Input LwA_XYZ'!$DU$1:$EI$1,'Input LwA_XYZ'!DU21:EI21))</f>
        <v>30.563471108673255</v>
      </c>
    </row>
    <row r="23" spans="2:24" ht="16.5" customHeight="1" x14ac:dyDescent="0.3">
      <c r="B23" s="160">
        <f>IF(OR('Input LwA_XYZ'!A22 = 0, NOT(ISBLANK(_xlfn.XLOOKUP(L$2, 'Input LwA_XYZ'!CM$1:DA$1, 'Input LwA_XYZ'!CM22:DA22)))), "", 'Input LwA_XYZ'!A22)</f>
        <v>2</v>
      </c>
      <c r="C23" s="159" t="str">
        <f>IF($B23="","",_xlfn.TEXTJOIN(" - ",TRUE,'Input LwA_XYZ'!B22:C22))</f>
        <v>RCU-R(2p)6 - Radiated</v>
      </c>
      <c r="D23" s="61">
        <f>IF($B23="","",'Input LwA_XYZ'!Q22)</f>
        <v>76.010299956639813</v>
      </c>
      <c r="E23" s="86">
        <f>IF($B23="","",ROUND(_xlfn.XLOOKUP($L$2,'Input LwA_XYZ'!$AH$1:$AV$1,'Input LwA_XYZ'!AH22:AV22),0))</f>
        <v>129</v>
      </c>
      <c r="F23" s="87">
        <f>IF($B23="","",-1*ROUND(_xlfn.XLOOKUP($L$2,'Input LwA_XYZ'!$AY$1:$BM$1,'Input LwA_XYZ'!AY22:BM22),0))</f>
        <v>40</v>
      </c>
      <c r="G23" s="87">
        <f>IF($B23="","",IF(_xlfn.XLOOKUP($L$2,'Input LwA_XYZ'!$BV$1:$CJ$1,'Input LwA_XYZ'!BV22:CJ22)="","-",_xlfn.XLOOKUP($L$2,'Input LwA_XYZ'!$BV$1:$CJ$1,'Input LwA_XYZ'!BV22:CJ22)))</f>
        <v>7</v>
      </c>
      <c r="H23" s="87" t="str">
        <f>IF($B23="","",IF('Input LwA_XYZ'!S22="","-",'Input LwA_XYZ'!S22))</f>
        <v>-</v>
      </c>
      <c r="I23" s="215" t="str" cm="1">
        <f t="array" ref="I23">IF($B23="","",IF(_xlfn.XLOOKUP($L$2,_xlfn.ANCHORARRAY('Input LwA_XYZ'!$DD$1),'Input LwA_XYZ'!DD22:DR22)="","-",_xlfn.XLOOKUP($L$2,_xlfn.ANCHORARRAY('Input LwA_XYZ'!$DD$1),'Input LwA_XYZ'!DD22:DR22)))</f>
        <v>-</v>
      </c>
      <c r="J23" s="62">
        <f>IF($B23="","",_xlfn.XLOOKUP($L$2,'Input LwA_XYZ'!$DU$1:$EI$1,'Input LwA_XYZ'!DU22:EI22))</f>
        <v>29.163454260815584</v>
      </c>
      <c r="K23" s="4">
        <f t="shared" si="0"/>
        <v>824.79387292503725</v>
      </c>
      <c r="L23" s="103">
        <f t="shared" si="1"/>
        <v>29.163454260815584</v>
      </c>
      <c r="P23" s="230">
        <f>IF(OR('Input LwA_XYZ'!A22 = 0, NOT(ISBLANK(_xlfn.XLOOKUP(Tables!N$2, 'Input LwA_XYZ'!CM$1:DA$1, 'Input LwA_XYZ'!CM22:DA22)))), "", 'Input LwA_XYZ'!A22)</f>
        <v>2</v>
      </c>
      <c r="Q23" s="225" t="str">
        <f>IF($P23="","",_xlfn.TEXTJOIN(" - ",TRUE,'Input LwA_XYZ'!B22:C22))</f>
        <v>RCU-R(2p)6 - Radiated</v>
      </c>
      <c r="R23" s="231">
        <f>IF($P23="","",'Input LwA_XYZ'!Q22)</f>
        <v>76.010299956639813</v>
      </c>
      <c r="S23" s="227">
        <f>IF($P23="","",ROUND(_xlfn.XLOOKUP(Tables!$N$2,'Input LwA_XYZ'!$AH$1:$AV$1,'Input LwA_XYZ'!AH22:AV22),0))</f>
        <v>129</v>
      </c>
      <c r="T23" s="228">
        <f>IF($P23="","",-1*ROUND(_xlfn.XLOOKUP(Tables!$N$2,'Input LwA_XYZ'!$AY$1:$BM$1,'Input LwA_XYZ'!AY22:BM22),0))</f>
        <v>40</v>
      </c>
      <c r="U23" s="228">
        <f>IF($P23="","",IF(_xlfn.XLOOKUP(Tables!$N$2,'Input LwA_XYZ'!$BV$1:$CJ$1,'Input LwA_XYZ'!BV22:CJ22)="","-",_xlfn.XLOOKUP(Tables!$N$2,'Input LwA_XYZ'!$BV$1:$CJ$1,'Input LwA_XYZ'!BV22:CJ22)))</f>
        <v>7</v>
      </c>
      <c r="V23" s="228" t="str">
        <f>IF($P23="","",IF('Input LwA_XYZ'!S22="","-",'Input LwA_XYZ'!S22))</f>
        <v>-</v>
      </c>
      <c r="W23" s="229" t="str" cm="1">
        <f t="array" ref="W23">IF($P23="","",IF(_xlfn.XLOOKUP(Tables!$N$2,_xlfn.ANCHORARRAY('Input LwA_XYZ'!$DD$1),'Input LwA_XYZ'!DD22:DR22)="","-",_xlfn.XLOOKUP(Tables!$N$2,_xlfn.ANCHORARRAY('Input LwA_XYZ'!$DD$1),'Input LwA_XYZ'!DD22:DR22)))</f>
        <v>-</v>
      </c>
      <c r="X23" s="62">
        <f>IF($P23="","",_xlfn.XLOOKUP(Tables!$N$2,'Input LwA_XYZ'!$DU$1:$EI$1,'Input LwA_XYZ'!DU22:EI22))</f>
        <v>29.163454260815584</v>
      </c>
    </row>
    <row r="24" spans="2:24" ht="16.5" customHeight="1" x14ac:dyDescent="0.3">
      <c r="B24" s="160">
        <f>IF(OR('Input LwA_XYZ'!A23 = 0, NOT(ISBLANK(_xlfn.XLOOKUP(L$2, 'Input LwA_XYZ'!CM$1:DA$1, 'Input LwA_XYZ'!CM23:DA23)))), "", 'Input LwA_XYZ'!A23)</f>
        <v>1</v>
      </c>
      <c r="C24" s="159" t="str">
        <f>IF($B24="","",_xlfn.TEXTJOIN(" - ",TRUE,'Input LwA_XYZ'!B23:C23))</f>
        <v>BEF-R01  - Inlet</v>
      </c>
      <c r="D24" s="61">
        <f>IF($B24="","",'Input LwA_XYZ'!Q23)</f>
        <v>57</v>
      </c>
      <c r="E24" s="86">
        <f>IF($B24="","",ROUND(_xlfn.XLOOKUP($L$2,'Input LwA_XYZ'!$AH$1:$AV$1,'Input LwA_XYZ'!AH23:AV23),0))</f>
        <v>21</v>
      </c>
      <c r="F24" s="87">
        <f>IF($B24="","",-1*ROUND(_xlfn.XLOOKUP($L$2,'Input LwA_XYZ'!$AY$1:$BM$1,'Input LwA_XYZ'!AY23:BM23),0))</f>
        <v>24</v>
      </c>
      <c r="G24" s="87">
        <f>IF($B24="","",IF(_xlfn.XLOOKUP($L$2,'Input LwA_XYZ'!$BV$1:$CJ$1,'Input LwA_XYZ'!BV23:CJ23)="","-",_xlfn.XLOOKUP($L$2,'Input LwA_XYZ'!$BV$1:$CJ$1,'Input LwA_XYZ'!BV23:CJ23)))</f>
        <v>0</v>
      </c>
      <c r="H24" s="87" t="str">
        <f>IF($B24="","",IF('Input LwA_XYZ'!S23="","-",'Input LwA_XYZ'!S23))</f>
        <v>-</v>
      </c>
      <c r="I24" s="215" t="str" cm="1">
        <f t="array" ref="I24">IF($B24="","",IF(_xlfn.XLOOKUP($L$2,_xlfn.ANCHORARRAY('Input LwA_XYZ'!$DD$1),'Input LwA_XYZ'!DD23:DR23)="","-",_xlfn.XLOOKUP($L$2,_xlfn.ANCHORARRAY('Input LwA_XYZ'!$DD$1),'Input LwA_XYZ'!DD23:DR23)))</f>
        <v>-</v>
      </c>
      <c r="J24" s="62">
        <f>IF($B24="","",_xlfn.XLOOKUP($L$2,'Input LwA_XYZ'!$DU$1:$EI$1,'Input LwA_XYZ'!DU23:EI23))</f>
        <v>32.720386479982267</v>
      </c>
      <c r="K24" s="4">
        <f t="shared" si="0"/>
        <v>1870.8486203467094</v>
      </c>
      <c r="L24" s="103">
        <f t="shared" si="1"/>
        <v>32.720386479982267</v>
      </c>
      <c r="P24" s="230">
        <f>IF(OR('Input LwA_XYZ'!A23 = 0, NOT(ISBLANK(_xlfn.XLOOKUP(Tables!N$2, 'Input LwA_XYZ'!CM$1:DA$1, 'Input LwA_XYZ'!CM23:DA23)))), "", 'Input LwA_XYZ'!A23)</f>
        <v>1</v>
      </c>
      <c r="Q24" s="225" t="str">
        <f>IF($P24="","",_xlfn.TEXTJOIN(" - ",TRUE,'Input LwA_XYZ'!B23:C23))</f>
        <v>BEF-R01  - Inlet</v>
      </c>
      <c r="R24" s="231">
        <f>IF($P24="","",'Input LwA_XYZ'!Q23)</f>
        <v>57</v>
      </c>
      <c r="S24" s="227">
        <f>IF($P24="","",ROUND(_xlfn.XLOOKUP(Tables!$N$2,'Input LwA_XYZ'!$AH$1:$AV$1,'Input LwA_XYZ'!AH23:AV23),0))</f>
        <v>21</v>
      </c>
      <c r="T24" s="228">
        <f>IF($P24="","",-1*ROUND(_xlfn.XLOOKUP(Tables!$N$2,'Input LwA_XYZ'!$AY$1:$BM$1,'Input LwA_XYZ'!AY23:BM23),0))</f>
        <v>24</v>
      </c>
      <c r="U24" s="228">
        <f>IF($P24="","",IF(_xlfn.XLOOKUP(Tables!$N$2,'Input LwA_XYZ'!$BV$1:$CJ$1,'Input LwA_XYZ'!BV23:CJ23)="","-",_xlfn.XLOOKUP(Tables!$N$2,'Input LwA_XYZ'!$BV$1:$CJ$1,'Input LwA_XYZ'!BV23:CJ23)))</f>
        <v>0</v>
      </c>
      <c r="V24" s="228" t="str">
        <f>IF($P24="","",IF('Input LwA_XYZ'!S23="","-",'Input LwA_XYZ'!S23))</f>
        <v>-</v>
      </c>
      <c r="W24" s="229" t="str" cm="1">
        <f t="array" ref="W24">IF($P24="","",IF(_xlfn.XLOOKUP(Tables!$N$2,_xlfn.ANCHORARRAY('Input LwA_XYZ'!$DD$1),'Input LwA_XYZ'!DD23:DR23)="","-",_xlfn.XLOOKUP(Tables!$N$2,_xlfn.ANCHORARRAY('Input LwA_XYZ'!$DD$1),'Input LwA_XYZ'!DD23:DR23)))</f>
        <v>-</v>
      </c>
      <c r="X24" s="62">
        <f>IF($P24="","",_xlfn.XLOOKUP(Tables!$N$2,'Input LwA_XYZ'!$DU$1:$EI$1,'Input LwA_XYZ'!DU23:EI23))</f>
        <v>32.720386479982267</v>
      </c>
    </row>
    <row r="25" spans="2:24" ht="16.5" customHeight="1" x14ac:dyDescent="0.3">
      <c r="B25" s="160">
        <f>IF(OR('Input LwA_XYZ'!A24 = 0, NOT(ISBLANK(_xlfn.XLOOKUP(L$2, 'Input LwA_XYZ'!CM$1:DA$1, 'Input LwA_XYZ'!CM24:DA24)))), "", 'Input LwA_XYZ'!A24)</f>
        <v>1</v>
      </c>
      <c r="C25" s="159" t="str">
        <f>IF($B25="","",_xlfn.TEXTJOIN(" - ",TRUE,'Input LwA_XYZ'!B24:C24))</f>
        <v>BEF-R02  - Inlet</v>
      </c>
      <c r="D25" s="61">
        <f>IF($B25="","",'Input LwA_XYZ'!Q24)</f>
        <v>66</v>
      </c>
      <c r="E25" s="86">
        <f>IF($B25="","",ROUND(_xlfn.XLOOKUP($L$2,'Input LwA_XYZ'!$AH$1:$AV$1,'Input LwA_XYZ'!AH24:AV24),0))</f>
        <v>43</v>
      </c>
      <c r="F25" s="87">
        <f>IF($B25="","",-1*ROUND(_xlfn.XLOOKUP($L$2,'Input LwA_XYZ'!$AY$1:$BM$1,'Input LwA_XYZ'!AY24:BM24),0))</f>
        <v>30</v>
      </c>
      <c r="G25" s="87">
        <f>IF($B25="","",IF(_xlfn.XLOOKUP($L$2,'Input LwA_XYZ'!$BV$1:$CJ$1,'Input LwA_XYZ'!BV24:CJ24)="","-",_xlfn.XLOOKUP($L$2,'Input LwA_XYZ'!$BV$1:$CJ$1,'Input LwA_XYZ'!BV24:CJ24)))</f>
        <v>0</v>
      </c>
      <c r="H25" s="87" t="str">
        <f>IF($B25="","",IF('Input LwA_XYZ'!S24="","-",'Input LwA_XYZ'!S24))</f>
        <v>-</v>
      </c>
      <c r="I25" s="215" t="str" cm="1">
        <f t="array" ref="I25">IF($B25="","",IF(_xlfn.XLOOKUP($L$2,_xlfn.ANCHORARRAY('Input LwA_XYZ'!$DD$1),'Input LwA_XYZ'!DD24:DR24)="","-",_xlfn.XLOOKUP($L$2,_xlfn.ANCHORARRAY('Input LwA_XYZ'!$DD$1),'Input LwA_XYZ'!DD24:DR24)))</f>
        <v>-</v>
      </c>
      <c r="J25" s="62">
        <f>IF($B25="","",_xlfn.XLOOKUP($L$2,'Input LwA_XYZ'!$DU$1:$EI$1,'Input LwA_XYZ'!DU24:EI24))</f>
        <v>35.64683540754401</v>
      </c>
      <c r="K25" s="4">
        <f t="shared" si="0"/>
        <v>3670.1476879322258</v>
      </c>
      <c r="L25" s="103">
        <f t="shared" si="1"/>
        <v>35.64683540754401</v>
      </c>
      <c r="P25" s="230">
        <f>IF(OR('Input LwA_XYZ'!A24 = 0, NOT(ISBLANK(_xlfn.XLOOKUP(Tables!N$2, 'Input LwA_XYZ'!CM$1:DA$1, 'Input LwA_XYZ'!CM24:DA24)))), "", 'Input LwA_XYZ'!A24)</f>
        <v>1</v>
      </c>
      <c r="Q25" s="225" t="str">
        <f>IF($P25="","",_xlfn.TEXTJOIN(" - ",TRUE,'Input LwA_XYZ'!B24:C24))</f>
        <v>BEF-R02  - Inlet</v>
      </c>
      <c r="R25" s="231">
        <f>IF($P25="","",'Input LwA_XYZ'!Q24)</f>
        <v>66</v>
      </c>
      <c r="S25" s="227">
        <f>IF($P25="","",ROUND(_xlfn.XLOOKUP(Tables!$N$2,'Input LwA_XYZ'!$AH$1:$AV$1,'Input LwA_XYZ'!AH24:AV24),0))</f>
        <v>43</v>
      </c>
      <c r="T25" s="228">
        <f>IF($P25="","",-1*ROUND(_xlfn.XLOOKUP(Tables!$N$2,'Input LwA_XYZ'!$AY$1:$BM$1,'Input LwA_XYZ'!AY24:BM24),0))</f>
        <v>30</v>
      </c>
      <c r="U25" s="228">
        <f>IF($P25="","",IF(_xlfn.XLOOKUP(Tables!$N$2,'Input LwA_XYZ'!$BV$1:$CJ$1,'Input LwA_XYZ'!BV24:CJ24)="","-",_xlfn.XLOOKUP(Tables!$N$2,'Input LwA_XYZ'!$BV$1:$CJ$1,'Input LwA_XYZ'!BV24:CJ24)))</f>
        <v>0</v>
      </c>
      <c r="V25" s="228" t="str">
        <f>IF($P25="","",IF('Input LwA_XYZ'!S24="","-",'Input LwA_XYZ'!S24))</f>
        <v>-</v>
      </c>
      <c r="W25" s="229" t="str" cm="1">
        <f t="array" ref="W25">IF($P25="","",IF(_xlfn.XLOOKUP(Tables!$N$2,_xlfn.ANCHORARRAY('Input LwA_XYZ'!$DD$1),'Input LwA_XYZ'!DD24:DR24)="","-",_xlfn.XLOOKUP(Tables!$N$2,_xlfn.ANCHORARRAY('Input LwA_XYZ'!$DD$1),'Input LwA_XYZ'!DD24:DR24)))</f>
        <v>-</v>
      </c>
      <c r="X25" s="62">
        <f>IF($P25="","",_xlfn.XLOOKUP(Tables!$N$2,'Input LwA_XYZ'!$DU$1:$EI$1,'Input LwA_XYZ'!DU24:EI24))</f>
        <v>35.64683540754401</v>
      </c>
    </row>
    <row r="26" spans="2:24" ht="16.5" customHeight="1" x14ac:dyDescent="0.3">
      <c r="B26" s="160">
        <f>IF(OR('Input LwA_XYZ'!A25 = 0, NOT(ISBLANK(_xlfn.XLOOKUP(L$2, 'Input LwA_XYZ'!CM$1:DA$1, 'Input LwA_XYZ'!CM25:DA25)))), "", 'Input LwA_XYZ'!A25)</f>
        <v>1</v>
      </c>
      <c r="C26" s="159" t="str">
        <f>IF($B26="","",_xlfn.TEXTJOIN(" - ",TRUE,'Input LwA_XYZ'!B25:C25))</f>
        <v>BEF-R03  - Inlet</v>
      </c>
      <c r="D26" s="61">
        <f>IF($B26="","",'Input LwA_XYZ'!Q25)</f>
        <v>66</v>
      </c>
      <c r="E26" s="86">
        <f>IF($B26="","",ROUND(_xlfn.XLOOKUP($L$2,'Input LwA_XYZ'!$AH$1:$AV$1,'Input LwA_XYZ'!AH25:AV25),0))</f>
        <v>72</v>
      </c>
      <c r="F26" s="87">
        <f>IF($B26="","",-1*ROUND(_xlfn.XLOOKUP($L$2,'Input LwA_XYZ'!$AY$1:$BM$1,'Input LwA_XYZ'!AY25:BM25),0))</f>
        <v>35</v>
      </c>
      <c r="G26" s="87">
        <f>IF($B26="","",IF(_xlfn.XLOOKUP($L$2,'Input LwA_XYZ'!$BV$1:$CJ$1,'Input LwA_XYZ'!BV25:CJ25)="","-",_xlfn.XLOOKUP($L$2,'Input LwA_XYZ'!$BV$1:$CJ$1,'Input LwA_XYZ'!BV25:CJ25)))</f>
        <v>4</v>
      </c>
      <c r="H26" s="87" t="str">
        <f>IF($B26="","",IF('Input LwA_XYZ'!S25="","-",'Input LwA_XYZ'!S25))</f>
        <v>-</v>
      </c>
      <c r="I26" s="215" t="str" cm="1">
        <f t="array" ref="I26">IF($B26="","",IF(_xlfn.XLOOKUP($L$2,_xlfn.ANCHORARRAY('Input LwA_XYZ'!$DD$1),'Input LwA_XYZ'!DD25:DR25)="","-",_xlfn.XLOOKUP($L$2,_xlfn.ANCHORARRAY('Input LwA_XYZ'!$DD$1),'Input LwA_XYZ'!DD25:DR25)))</f>
        <v>-</v>
      </c>
      <c r="J26" s="62">
        <f>IF($B26="","",_xlfn.XLOOKUP($L$2,'Input LwA_XYZ'!$DU$1:$EI$1,'Input LwA_XYZ'!DU25:EI25))</f>
        <v>27.165938255462819</v>
      </c>
      <c r="K26" s="4">
        <f t="shared" si="0"/>
        <v>520.70749097617636</v>
      </c>
      <c r="L26" s="103">
        <f t="shared" si="1"/>
        <v>27.165938255462819</v>
      </c>
      <c r="P26" s="230">
        <f>IF(OR('Input LwA_XYZ'!A25 = 0, NOT(ISBLANK(_xlfn.XLOOKUP(Tables!N$2, 'Input LwA_XYZ'!CM$1:DA$1, 'Input LwA_XYZ'!CM25:DA25)))), "", 'Input LwA_XYZ'!A25)</f>
        <v>1</v>
      </c>
      <c r="Q26" s="225" t="str">
        <f>IF($P26="","",_xlfn.TEXTJOIN(" - ",TRUE,'Input LwA_XYZ'!B25:C25))</f>
        <v>BEF-R03  - Inlet</v>
      </c>
      <c r="R26" s="231">
        <f>IF($P26="","",'Input LwA_XYZ'!Q25)</f>
        <v>66</v>
      </c>
      <c r="S26" s="227">
        <f>IF($P26="","",ROUND(_xlfn.XLOOKUP(Tables!$N$2,'Input LwA_XYZ'!$AH$1:$AV$1,'Input LwA_XYZ'!AH25:AV25),0))</f>
        <v>72</v>
      </c>
      <c r="T26" s="228">
        <f>IF($P26="","",-1*ROUND(_xlfn.XLOOKUP(Tables!$N$2,'Input LwA_XYZ'!$AY$1:$BM$1,'Input LwA_XYZ'!AY25:BM25),0))</f>
        <v>35</v>
      </c>
      <c r="U26" s="228">
        <f>IF($P26="","",IF(_xlfn.XLOOKUP(Tables!$N$2,'Input LwA_XYZ'!$BV$1:$CJ$1,'Input LwA_XYZ'!BV25:CJ25)="","-",_xlfn.XLOOKUP(Tables!$N$2,'Input LwA_XYZ'!$BV$1:$CJ$1,'Input LwA_XYZ'!BV25:CJ25)))</f>
        <v>4</v>
      </c>
      <c r="V26" s="228" t="str">
        <f>IF($P26="","",IF('Input LwA_XYZ'!S25="","-",'Input LwA_XYZ'!S25))</f>
        <v>-</v>
      </c>
      <c r="W26" s="229" t="str" cm="1">
        <f t="array" ref="W26">IF($P26="","",IF(_xlfn.XLOOKUP(Tables!$N$2,_xlfn.ANCHORARRAY('Input LwA_XYZ'!$DD$1),'Input LwA_XYZ'!DD25:DR25)="","-",_xlfn.XLOOKUP(Tables!$N$2,_xlfn.ANCHORARRAY('Input LwA_XYZ'!$DD$1),'Input LwA_XYZ'!DD25:DR25)))</f>
        <v>-</v>
      </c>
      <c r="X26" s="62">
        <f>IF($P26="","",_xlfn.XLOOKUP(Tables!$N$2,'Input LwA_XYZ'!$DU$1:$EI$1,'Input LwA_XYZ'!DU25:EI25))</f>
        <v>27.165938255462819</v>
      </c>
    </row>
    <row r="27" spans="2:24" ht="16.5" customHeight="1" x14ac:dyDescent="0.3">
      <c r="B27" s="160">
        <f>IF(OR('Input LwA_XYZ'!A26 = 0, NOT(ISBLANK(_xlfn.XLOOKUP(L$2, 'Input LwA_XYZ'!CM$1:DA$1, 'Input LwA_XYZ'!CM26:DA26)))), "", 'Input LwA_XYZ'!A26)</f>
        <v>1</v>
      </c>
      <c r="C27" s="159" t="str">
        <f>IF($B27="","",_xlfn.TEXTJOIN(" - ",TRUE,'Input LwA_XYZ'!B26:C26))</f>
        <v>BEF-R04  - Inlet</v>
      </c>
      <c r="D27" s="61">
        <f>IF($B27="","",'Input LwA_XYZ'!Q26)</f>
        <v>66</v>
      </c>
      <c r="E27" s="86">
        <f>IF($B27="","",ROUND(_xlfn.XLOOKUP($L$2,'Input LwA_XYZ'!$AH$1:$AV$1,'Input LwA_XYZ'!AH26:AV26),0))</f>
        <v>99</v>
      </c>
      <c r="F27" s="87">
        <f>IF($B27="","",-1*ROUND(_xlfn.XLOOKUP($L$2,'Input LwA_XYZ'!$AY$1:$BM$1,'Input LwA_XYZ'!AY26:BM26),0))</f>
        <v>38</v>
      </c>
      <c r="G27" s="87">
        <f>IF($B27="","",IF(_xlfn.XLOOKUP($L$2,'Input LwA_XYZ'!$BV$1:$CJ$1,'Input LwA_XYZ'!BV26:CJ26)="","-",_xlfn.XLOOKUP($L$2,'Input LwA_XYZ'!$BV$1:$CJ$1,'Input LwA_XYZ'!BV26:CJ26)))</f>
        <v>5</v>
      </c>
      <c r="H27" s="87" t="str">
        <f>IF($B27="","",IF('Input LwA_XYZ'!S26="","-",'Input LwA_XYZ'!S26))</f>
        <v>-</v>
      </c>
      <c r="I27" s="215" t="str" cm="1">
        <f t="array" ref="I27">IF($B27="","",IF(_xlfn.XLOOKUP($L$2,_xlfn.ANCHORARRAY('Input LwA_XYZ'!$DD$1),'Input LwA_XYZ'!DD26:DR26)="","-",_xlfn.XLOOKUP($L$2,_xlfn.ANCHORARRAY('Input LwA_XYZ'!$DD$1),'Input LwA_XYZ'!DD26:DR26)))</f>
        <v>-</v>
      </c>
      <c r="J27" s="62">
        <f>IF($B27="","",_xlfn.XLOOKUP($L$2,'Input LwA_XYZ'!$DU$1:$EI$1,'Input LwA_XYZ'!DU26:EI26))</f>
        <v>23.40234413581792</v>
      </c>
      <c r="K27" s="4">
        <f t="shared" si="0"/>
        <v>218.89428028258325</v>
      </c>
      <c r="L27" s="103">
        <f t="shared" si="1"/>
        <v>23.40234413581792</v>
      </c>
      <c r="P27" s="230">
        <f>IF(OR('Input LwA_XYZ'!A26 = 0, NOT(ISBLANK(_xlfn.XLOOKUP(Tables!N$2, 'Input LwA_XYZ'!CM$1:DA$1, 'Input LwA_XYZ'!CM26:DA26)))), "", 'Input LwA_XYZ'!A26)</f>
        <v>1</v>
      </c>
      <c r="Q27" s="225" t="str">
        <f>IF($P27="","",_xlfn.TEXTJOIN(" - ",TRUE,'Input LwA_XYZ'!B26:C26))</f>
        <v>BEF-R04  - Inlet</v>
      </c>
      <c r="R27" s="231">
        <f>IF($P27="","",'Input LwA_XYZ'!Q26)</f>
        <v>66</v>
      </c>
      <c r="S27" s="227">
        <f>IF($P27="","",ROUND(_xlfn.XLOOKUP(Tables!$N$2,'Input LwA_XYZ'!$AH$1:$AV$1,'Input LwA_XYZ'!AH26:AV26),0))</f>
        <v>99</v>
      </c>
      <c r="T27" s="228">
        <f>IF($P27="","",-1*ROUND(_xlfn.XLOOKUP(Tables!$N$2,'Input LwA_XYZ'!$AY$1:$BM$1,'Input LwA_XYZ'!AY26:BM26),0))</f>
        <v>38</v>
      </c>
      <c r="U27" s="228">
        <f>IF($P27="","",IF(_xlfn.XLOOKUP(Tables!$N$2,'Input LwA_XYZ'!$BV$1:$CJ$1,'Input LwA_XYZ'!BV26:CJ26)="","-",_xlfn.XLOOKUP(Tables!$N$2,'Input LwA_XYZ'!$BV$1:$CJ$1,'Input LwA_XYZ'!BV26:CJ26)))</f>
        <v>5</v>
      </c>
      <c r="V27" s="228" t="str">
        <f>IF($P27="","",IF('Input LwA_XYZ'!S26="","-",'Input LwA_XYZ'!S26))</f>
        <v>-</v>
      </c>
      <c r="W27" s="229" t="str" cm="1">
        <f t="array" ref="W27">IF($P27="","",IF(_xlfn.XLOOKUP(Tables!$N$2,_xlfn.ANCHORARRAY('Input LwA_XYZ'!$DD$1),'Input LwA_XYZ'!DD26:DR26)="","-",_xlfn.XLOOKUP(Tables!$N$2,_xlfn.ANCHORARRAY('Input LwA_XYZ'!$DD$1),'Input LwA_XYZ'!DD26:DR26)))</f>
        <v>-</v>
      </c>
      <c r="X27" s="62">
        <f>IF($P27="","",_xlfn.XLOOKUP(Tables!$N$2,'Input LwA_XYZ'!$DU$1:$EI$1,'Input LwA_XYZ'!DU26:EI26))</f>
        <v>23.40234413581792</v>
      </c>
    </row>
    <row r="28" spans="2:24" ht="16.5" customHeight="1" x14ac:dyDescent="0.3">
      <c r="B28" s="160">
        <f>IF(OR('Input LwA_XYZ'!A27 = 0, NOT(ISBLANK(_xlfn.XLOOKUP(L$2, 'Input LwA_XYZ'!CM$1:DA$1, 'Input LwA_XYZ'!CM27:DA27)))), "", 'Input LwA_XYZ'!A27)</f>
        <v>1</v>
      </c>
      <c r="C28" s="159" t="str">
        <f>IF($B28="","",_xlfn.TEXTJOIN(" - ",TRUE,'Input LwA_XYZ'!B27:C27))</f>
        <v>BEF-R05  - Inlet</v>
      </c>
      <c r="D28" s="61">
        <f>IF($B28="","",'Input LwA_XYZ'!Q27)</f>
        <v>66</v>
      </c>
      <c r="E28" s="86">
        <f>IF($B28="","",ROUND(_xlfn.XLOOKUP($L$2,'Input LwA_XYZ'!$AH$1:$AV$1,'Input LwA_XYZ'!AH27:AV27),0))</f>
        <v>133</v>
      </c>
      <c r="F28" s="87">
        <f>IF($B28="","",-1*ROUND(_xlfn.XLOOKUP($L$2,'Input LwA_XYZ'!$AY$1:$BM$1,'Input LwA_XYZ'!AY27:BM27),0))</f>
        <v>40</v>
      </c>
      <c r="G28" s="87">
        <f>IF($B28="","",IF(_xlfn.XLOOKUP($L$2,'Input LwA_XYZ'!$BV$1:$CJ$1,'Input LwA_XYZ'!BV27:CJ27)="","-",_xlfn.XLOOKUP($L$2,'Input LwA_XYZ'!$BV$1:$CJ$1,'Input LwA_XYZ'!BV27:CJ27)))</f>
        <v>0</v>
      </c>
      <c r="H28" s="87" t="str">
        <f>IF($B28="","",IF('Input LwA_XYZ'!S27="","-",'Input LwA_XYZ'!S27))</f>
        <v>-</v>
      </c>
      <c r="I28" s="215" t="str" cm="1">
        <f t="array" ref="I28">IF($B28="","",IF(_xlfn.XLOOKUP($L$2,_xlfn.ANCHORARRAY('Input LwA_XYZ'!$DD$1),'Input LwA_XYZ'!DD27:DR27)="","-",_xlfn.XLOOKUP($L$2,_xlfn.ANCHORARRAY('Input LwA_XYZ'!$DD$1),'Input LwA_XYZ'!DD27:DR27)))</f>
        <v>-</v>
      </c>
      <c r="J28" s="62">
        <f>IF($B28="","",_xlfn.XLOOKUP($L$2,'Input LwA_XYZ'!$DU$1:$EI$1,'Input LwA_XYZ'!DU27:EI27))</f>
        <v>25.850407278092902</v>
      </c>
      <c r="K28" s="4">
        <f t="shared" si="0"/>
        <v>384.62785046410841</v>
      </c>
      <c r="L28" s="103">
        <f t="shared" si="1"/>
        <v>25.850407278092902</v>
      </c>
      <c r="P28" s="230">
        <f>IF(OR('Input LwA_XYZ'!A27 = 0, NOT(ISBLANK(_xlfn.XLOOKUP(Tables!N$2, 'Input LwA_XYZ'!CM$1:DA$1, 'Input LwA_XYZ'!CM27:DA27)))), "", 'Input LwA_XYZ'!A27)</f>
        <v>1</v>
      </c>
      <c r="Q28" s="225" t="str">
        <f>IF($P28="","",_xlfn.TEXTJOIN(" - ",TRUE,'Input LwA_XYZ'!B27:C27))</f>
        <v>BEF-R05  - Inlet</v>
      </c>
      <c r="R28" s="231">
        <f>IF($P28="","",'Input LwA_XYZ'!Q27)</f>
        <v>66</v>
      </c>
      <c r="S28" s="227">
        <f>IF($P28="","",ROUND(_xlfn.XLOOKUP(Tables!$N$2,'Input LwA_XYZ'!$AH$1:$AV$1,'Input LwA_XYZ'!AH27:AV27),0))</f>
        <v>133</v>
      </c>
      <c r="T28" s="228">
        <f>IF($P28="","",-1*ROUND(_xlfn.XLOOKUP(Tables!$N$2,'Input LwA_XYZ'!$AY$1:$BM$1,'Input LwA_XYZ'!AY27:BM27),0))</f>
        <v>40</v>
      </c>
      <c r="U28" s="228">
        <f>IF($P28="","",IF(_xlfn.XLOOKUP(Tables!$N$2,'Input LwA_XYZ'!$BV$1:$CJ$1,'Input LwA_XYZ'!BV27:CJ27)="","-",_xlfn.XLOOKUP(Tables!$N$2,'Input LwA_XYZ'!$BV$1:$CJ$1,'Input LwA_XYZ'!BV27:CJ27)))</f>
        <v>0</v>
      </c>
      <c r="V28" s="228" t="str">
        <f>IF($P28="","",IF('Input LwA_XYZ'!S27="","-",'Input LwA_XYZ'!S27))</f>
        <v>-</v>
      </c>
      <c r="W28" s="229" t="str" cm="1">
        <f t="array" ref="W28">IF($P28="","",IF(_xlfn.XLOOKUP(Tables!$N$2,_xlfn.ANCHORARRAY('Input LwA_XYZ'!$DD$1),'Input LwA_XYZ'!DD27:DR27)="","-",_xlfn.XLOOKUP(Tables!$N$2,_xlfn.ANCHORARRAY('Input LwA_XYZ'!$DD$1),'Input LwA_XYZ'!DD27:DR27)))</f>
        <v>-</v>
      </c>
      <c r="X28" s="62">
        <f>IF($P28="","",_xlfn.XLOOKUP(Tables!$N$2,'Input LwA_XYZ'!$DU$1:$EI$1,'Input LwA_XYZ'!DU27:EI27))</f>
        <v>25.850407278092902</v>
      </c>
    </row>
    <row r="29" spans="2:24" ht="16.5" customHeight="1" x14ac:dyDescent="0.3">
      <c r="B29" s="160">
        <f>IF(OR('Input LwA_XYZ'!A28 = 0, NOT(ISBLANK(_xlfn.XLOOKUP(L$2, 'Input LwA_XYZ'!CM$1:DA$1, 'Input LwA_XYZ'!CM28:DA28)))), "", 'Input LwA_XYZ'!A28)</f>
        <v>1</v>
      </c>
      <c r="C29" s="159" t="str">
        <f>IF($B29="","",_xlfn.TEXTJOIN(" - ",TRUE,'Input LwA_XYZ'!B28:C28))</f>
        <v>BEF-R06  - Inlet</v>
      </c>
      <c r="D29" s="61">
        <f>IF($B29="","",'Input LwA_XYZ'!Q28)</f>
        <v>66</v>
      </c>
      <c r="E29" s="86">
        <f>IF($B29="","",ROUND(_xlfn.XLOOKUP($L$2,'Input LwA_XYZ'!$AH$1:$AV$1,'Input LwA_XYZ'!AH28:AV28),0))</f>
        <v>142</v>
      </c>
      <c r="F29" s="87">
        <f>IF($B29="","",-1*ROUND(_xlfn.XLOOKUP($L$2,'Input LwA_XYZ'!$AY$1:$BM$1,'Input LwA_XYZ'!AY28:BM28),0))</f>
        <v>41</v>
      </c>
      <c r="G29" s="87">
        <f>IF($B29="","",IF(_xlfn.XLOOKUP($L$2,'Input LwA_XYZ'!$BV$1:$CJ$1,'Input LwA_XYZ'!BV28:CJ28)="","-",_xlfn.XLOOKUP($L$2,'Input LwA_XYZ'!$BV$1:$CJ$1,'Input LwA_XYZ'!BV28:CJ28)))</f>
        <v>0</v>
      </c>
      <c r="H29" s="87" t="str">
        <f>IF($B29="","",IF('Input LwA_XYZ'!S28="","-",'Input LwA_XYZ'!S28))</f>
        <v>-</v>
      </c>
      <c r="I29" s="215" t="str" cm="1">
        <f t="array" ref="I29">IF($B29="","",IF(_xlfn.XLOOKUP($L$2,_xlfn.ANCHORARRAY('Input LwA_XYZ'!$DD$1),'Input LwA_XYZ'!DD28:DR28)="","-",_xlfn.XLOOKUP($L$2,_xlfn.ANCHORARRAY('Input LwA_XYZ'!$DD$1),'Input LwA_XYZ'!DD28:DR28)))</f>
        <v>-</v>
      </c>
      <c r="J29" s="62">
        <f>IF($B29="","",_xlfn.XLOOKUP($L$2,'Input LwA_XYZ'!$DU$1:$EI$1,'Input LwA_XYZ'!DU28:EI28))</f>
        <v>25.262482404367631</v>
      </c>
      <c r="K29" s="4">
        <f t="shared" si="0"/>
        <v>335.9295749502777</v>
      </c>
      <c r="L29" s="103">
        <f t="shared" si="1"/>
        <v>25.262482404367631</v>
      </c>
      <c r="P29" s="230">
        <f>IF(OR('Input LwA_XYZ'!A28 = 0, NOT(ISBLANK(_xlfn.XLOOKUP(Tables!N$2, 'Input LwA_XYZ'!CM$1:DA$1, 'Input LwA_XYZ'!CM28:DA28)))), "", 'Input LwA_XYZ'!A28)</f>
        <v>1</v>
      </c>
      <c r="Q29" s="225" t="str">
        <f>IF($P29="","",_xlfn.TEXTJOIN(" - ",TRUE,'Input LwA_XYZ'!B28:C28))</f>
        <v>BEF-R06  - Inlet</v>
      </c>
      <c r="R29" s="231">
        <f>IF($P29="","",'Input LwA_XYZ'!Q28)</f>
        <v>66</v>
      </c>
      <c r="S29" s="227">
        <f>IF($P29="","",ROUND(_xlfn.XLOOKUP(Tables!$N$2,'Input LwA_XYZ'!$AH$1:$AV$1,'Input LwA_XYZ'!AH28:AV28),0))</f>
        <v>142</v>
      </c>
      <c r="T29" s="228">
        <f>IF($P29="","",-1*ROUND(_xlfn.XLOOKUP(Tables!$N$2,'Input LwA_XYZ'!$AY$1:$BM$1,'Input LwA_XYZ'!AY28:BM28),0))</f>
        <v>41</v>
      </c>
      <c r="U29" s="228">
        <f>IF($P29="","",IF(_xlfn.XLOOKUP(Tables!$N$2,'Input LwA_XYZ'!$BV$1:$CJ$1,'Input LwA_XYZ'!BV28:CJ28)="","-",_xlfn.XLOOKUP(Tables!$N$2,'Input LwA_XYZ'!$BV$1:$CJ$1,'Input LwA_XYZ'!BV28:CJ28)))</f>
        <v>0</v>
      </c>
      <c r="V29" s="228" t="str">
        <f>IF($P29="","",IF('Input LwA_XYZ'!S28="","-",'Input LwA_XYZ'!S28))</f>
        <v>-</v>
      </c>
      <c r="W29" s="229" t="str" cm="1">
        <f t="array" ref="W29">IF($P29="","",IF(_xlfn.XLOOKUP(Tables!$N$2,_xlfn.ANCHORARRAY('Input LwA_XYZ'!$DD$1),'Input LwA_XYZ'!DD28:DR28)="","-",_xlfn.XLOOKUP(Tables!$N$2,_xlfn.ANCHORARRAY('Input LwA_XYZ'!$DD$1),'Input LwA_XYZ'!DD28:DR28)))</f>
        <v>-</v>
      </c>
      <c r="X29" s="62">
        <f>IF($P29="","",_xlfn.XLOOKUP(Tables!$N$2,'Input LwA_XYZ'!$DU$1:$EI$1,'Input LwA_XYZ'!DU28:EI28))</f>
        <v>25.262482404367631</v>
      </c>
    </row>
    <row r="30" spans="2:24" ht="16.5" customHeight="1" x14ac:dyDescent="0.3">
      <c r="B30" s="160">
        <f>IF(OR('Input LwA_XYZ'!A29 = 0, NOT(ISBLANK(_xlfn.XLOOKUP(L$2, 'Input LwA_XYZ'!CM$1:DA$1, 'Input LwA_XYZ'!CM29:DA29)))), "", 'Input LwA_XYZ'!A29)</f>
        <v>1</v>
      </c>
      <c r="C30" s="159" t="str">
        <f>IF($B30="","",_xlfn.TEXTJOIN(" - ",TRUE,'Input LwA_XYZ'!B29:C29))</f>
        <v>BEF-R07  - Inlet</v>
      </c>
      <c r="D30" s="61">
        <f>IF($B30="","",'Input LwA_XYZ'!Q29)</f>
        <v>57</v>
      </c>
      <c r="E30" s="86">
        <f>IF($B30="","",ROUND(_xlfn.XLOOKUP($L$2,'Input LwA_XYZ'!$AH$1:$AV$1,'Input LwA_XYZ'!AH29:AV29),0))</f>
        <v>156</v>
      </c>
      <c r="F30" s="87">
        <f>IF($B30="","",-1*ROUND(_xlfn.XLOOKUP($L$2,'Input LwA_XYZ'!$AY$1:$BM$1,'Input LwA_XYZ'!AY29:BM29),0))</f>
        <v>42</v>
      </c>
      <c r="G30" s="87">
        <f>IF($B30="","",IF(_xlfn.XLOOKUP($L$2,'Input LwA_XYZ'!$BV$1:$CJ$1,'Input LwA_XYZ'!BV29:CJ29)="","-",_xlfn.XLOOKUP($L$2,'Input LwA_XYZ'!$BV$1:$CJ$1,'Input LwA_XYZ'!BV29:CJ29)))</f>
        <v>0</v>
      </c>
      <c r="H30" s="87" t="str">
        <f>IF($B30="","",IF('Input LwA_XYZ'!S29="","-",'Input LwA_XYZ'!S29))</f>
        <v>-</v>
      </c>
      <c r="I30" s="215" t="str" cm="1">
        <f t="array" ref="I30">IF($B30="","",IF(_xlfn.XLOOKUP($L$2,_xlfn.ANCHORARRAY('Input LwA_XYZ'!$DD$1),'Input LwA_XYZ'!DD29:DR29)="","-",_xlfn.XLOOKUP($L$2,_xlfn.ANCHORARRAY('Input LwA_XYZ'!$DD$1),'Input LwA_XYZ'!DD29:DR29)))</f>
        <v>-</v>
      </c>
      <c r="J30" s="62">
        <f>IF($B30="","",_xlfn.XLOOKUP($L$2,'Input LwA_XYZ'!$DU$1:$EI$1,'Input LwA_XYZ'!DU29:EI29))</f>
        <v>15.480880035422288</v>
      </c>
      <c r="K30" s="4">
        <f t="shared" si="0"/>
        <v>35.325474454273575</v>
      </c>
      <c r="L30" s="103">
        <f t="shared" si="1"/>
        <v>15.480880035422288</v>
      </c>
      <c r="P30" s="230">
        <f>IF(OR('Input LwA_XYZ'!A29 = 0, NOT(ISBLANK(_xlfn.XLOOKUP(Tables!N$2, 'Input LwA_XYZ'!CM$1:DA$1, 'Input LwA_XYZ'!CM29:DA29)))), "", 'Input LwA_XYZ'!A29)</f>
        <v>1</v>
      </c>
      <c r="Q30" s="225" t="str">
        <f>IF($P30="","",_xlfn.TEXTJOIN(" - ",TRUE,'Input LwA_XYZ'!B29:C29))</f>
        <v>BEF-R07  - Inlet</v>
      </c>
      <c r="R30" s="231">
        <f>IF($P30="","",'Input LwA_XYZ'!Q29)</f>
        <v>57</v>
      </c>
      <c r="S30" s="227">
        <f>IF($P30="","",ROUND(_xlfn.XLOOKUP(Tables!$N$2,'Input LwA_XYZ'!$AH$1:$AV$1,'Input LwA_XYZ'!AH29:AV29),0))</f>
        <v>156</v>
      </c>
      <c r="T30" s="228">
        <f>IF($P30="","",-1*ROUND(_xlfn.XLOOKUP(Tables!$N$2,'Input LwA_XYZ'!$AY$1:$BM$1,'Input LwA_XYZ'!AY29:BM29),0))</f>
        <v>42</v>
      </c>
      <c r="U30" s="228">
        <f>IF($P30="","",IF(_xlfn.XLOOKUP(Tables!$N$2,'Input LwA_XYZ'!$BV$1:$CJ$1,'Input LwA_XYZ'!BV29:CJ29)="","-",_xlfn.XLOOKUP(Tables!$N$2,'Input LwA_XYZ'!$BV$1:$CJ$1,'Input LwA_XYZ'!BV29:CJ29)))</f>
        <v>0</v>
      </c>
      <c r="V30" s="228" t="str">
        <f>IF($P30="","",IF('Input LwA_XYZ'!S29="","-",'Input LwA_XYZ'!S29))</f>
        <v>-</v>
      </c>
      <c r="W30" s="229" t="str" cm="1">
        <f t="array" ref="W30">IF($P30="","",IF(_xlfn.XLOOKUP(Tables!$N$2,_xlfn.ANCHORARRAY('Input LwA_XYZ'!$DD$1),'Input LwA_XYZ'!DD29:DR29)="","-",_xlfn.XLOOKUP(Tables!$N$2,_xlfn.ANCHORARRAY('Input LwA_XYZ'!$DD$1),'Input LwA_XYZ'!DD29:DR29)))</f>
        <v>-</v>
      </c>
      <c r="X30" s="62">
        <f>IF($P30="","",_xlfn.XLOOKUP(Tables!$N$2,'Input LwA_XYZ'!$DU$1:$EI$1,'Input LwA_XYZ'!DU29:EI29))</f>
        <v>15.480880035422288</v>
      </c>
    </row>
    <row r="31" spans="2:24" ht="16.5" customHeight="1" x14ac:dyDescent="0.3">
      <c r="B31" s="160">
        <f>IF(OR('Input LwA_XYZ'!A30 = 0, NOT(ISBLANK(_xlfn.XLOOKUP(L$2, 'Input LwA_XYZ'!CM$1:DA$1, 'Input LwA_XYZ'!CM30:DA30)))), "", 'Input LwA_XYZ'!A30)</f>
        <v>1</v>
      </c>
      <c r="C31" s="159" t="str">
        <f>IF($B31="","",_xlfn.TEXTJOIN(" - ",TRUE,'Input LwA_XYZ'!B30:C30))</f>
        <v>BEF-R08  - Inlet</v>
      </c>
      <c r="D31" s="61">
        <f>IF($B31="","",'Input LwA_XYZ'!Q30)</f>
        <v>57</v>
      </c>
      <c r="E31" s="86">
        <f>IF($B31="","",ROUND(_xlfn.XLOOKUP($L$2,'Input LwA_XYZ'!$AH$1:$AV$1,'Input LwA_XYZ'!AH30:AV30),0))</f>
        <v>193</v>
      </c>
      <c r="F31" s="87">
        <f>IF($B31="","",-1*ROUND(_xlfn.XLOOKUP($L$2,'Input LwA_XYZ'!$AY$1:$BM$1,'Input LwA_XYZ'!AY30:BM30),0))</f>
        <v>43</v>
      </c>
      <c r="G31" s="87">
        <f>IF($B31="","",IF(_xlfn.XLOOKUP($L$2,'Input LwA_XYZ'!$BV$1:$CJ$1,'Input LwA_XYZ'!BV30:CJ30)="","-",_xlfn.XLOOKUP($L$2,'Input LwA_XYZ'!$BV$1:$CJ$1,'Input LwA_XYZ'!BV30:CJ30)))</f>
        <v>1</v>
      </c>
      <c r="H31" s="87" t="str">
        <f>IF($B31="","",IF('Input LwA_XYZ'!S30="","-",'Input LwA_XYZ'!S30))</f>
        <v>-</v>
      </c>
      <c r="I31" s="215" t="str" cm="1">
        <f t="array" ref="I31">IF($B31="","",IF(_xlfn.XLOOKUP($L$2,_xlfn.ANCHORARRAY('Input LwA_XYZ'!$DD$1),'Input LwA_XYZ'!DD30:DR30)="","-",_xlfn.XLOOKUP($L$2,_xlfn.ANCHORARRAY('Input LwA_XYZ'!$DD$1),'Input LwA_XYZ'!DD30:DR30)))</f>
        <v>-</v>
      </c>
      <c r="J31" s="62">
        <f>IF($B31="","",_xlfn.XLOOKUP($L$2,'Input LwA_XYZ'!$DU$1:$EI$1,'Input LwA_XYZ'!DU30:EI30))</f>
        <v>12.62143007936195</v>
      </c>
      <c r="K31" s="4">
        <f t="shared" si="0"/>
        <v>18.287022866226355</v>
      </c>
      <c r="L31" s="103">
        <f t="shared" si="1"/>
        <v>12.62143007936195</v>
      </c>
      <c r="P31" s="230">
        <f>IF(OR('Input LwA_XYZ'!A30 = 0, NOT(ISBLANK(_xlfn.XLOOKUP(Tables!N$2, 'Input LwA_XYZ'!CM$1:DA$1, 'Input LwA_XYZ'!CM30:DA30)))), "", 'Input LwA_XYZ'!A30)</f>
        <v>1</v>
      </c>
      <c r="Q31" s="225" t="str">
        <f>IF($P31="","",_xlfn.TEXTJOIN(" - ",TRUE,'Input LwA_XYZ'!B30:C30))</f>
        <v>BEF-R08  - Inlet</v>
      </c>
      <c r="R31" s="231">
        <f>IF($P31="","",'Input LwA_XYZ'!Q30)</f>
        <v>57</v>
      </c>
      <c r="S31" s="227">
        <f>IF($P31="","",ROUND(_xlfn.XLOOKUP(Tables!$N$2,'Input LwA_XYZ'!$AH$1:$AV$1,'Input LwA_XYZ'!AH30:AV30),0))</f>
        <v>193</v>
      </c>
      <c r="T31" s="228">
        <f>IF($P31="","",-1*ROUND(_xlfn.XLOOKUP(Tables!$N$2,'Input LwA_XYZ'!$AY$1:$BM$1,'Input LwA_XYZ'!AY30:BM30),0))</f>
        <v>43</v>
      </c>
      <c r="U31" s="228">
        <f>IF($P31="","",IF(_xlfn.XLOOKUP(Tables!$N$2,'Input LwA_XYZ'!$BV$1:$CJ$1,'Input LwA_XYZ'!BV30:CJ30)="","-",_xlfn.XLOOKUP(Tables!$N$2,'Input LwA_XYZ'!$BV$1:$CJ$1,'Input LwA_XYZ'!BV30:CJ30)))</f>
        <v>1</v>
      </c>
      <c r="V31" s="228" t="str">
        <f>IF($P31="","",IF('Input LwA_XYZ'!S30="","-",'Input LwA_XYZ'!S30))</f>
        <v>-</v>
      </c>
      <c r="W31" s="229" t="str" cm="1">
        <f t="array" ref="W31">IF($P31="","",IF(_xlfn.XLOOKUP(Tables!$N$2,_xlfn.ANCHORARRAY('Input LwA_XYZ'!$DD$1),'Input LwA_XYZ'!DD30:DR30)="","-",_xlfn.XLOOKUP(Tables!$N$2,_xlfn.ANCHORARRAY('Input LwA_XYZ'!$DD$1),'Input LwA_XYZ'!DD30:DR30)))</f>
        <v>-</v>
      </c>
      <c r="X31" s="62">
        <f>IF($P31="","",_xlfn.XLOOKUP(Tables!$N$2,'Input LwA_XYZ'!$DU$1:$EI$1,'Input LwA_XYZ'!DU30:EI30))</f>
        <v>12.62143007936195</v>
      </c>
    </row>
    <row r="32" spans="2:24" ht="16.5" customHeight="1" x14ac:dyDescent="0.3">
      <c r="B32" s="160">
        <f>IF(OR('Input LwA_XYZ'!A31 = 0, NOT(ISBLANK(_xlfn.XLOOKUP(L$2, 'Input LwA_XYZ'!CM$1:DA$1, 'Input LwA_XYZ'!CM31:DA31)))), "", 'Input LwA_XYZ'!A31)</f>
        <v>1</v>
      </c>
      <c r="C32" s="159" t="str">
        <f>IF($B32="","",_xlfn.TEXTJOIN(" - ",TRUE,'Input LwA_XYZ'!B31:C31))</f>
        <v>BEF-R09  - Inlet</v>
      </c>
      <c r="D32" s="61">
        <f>IF($B32="","",'Input LwA_XYZ'!Q31)</f>
        <v>66</v>
      </c>
      <c r="E32" s="86">
        <f>IF($B32="","",ROUND(_xlfn.XLOOKUP($L$2,'Input LwA_XYZ'!$AH$1:$AV$1,'Input LwA_XYZ'!AH31:AV31),0))</f>
        <v>186</v>
      </c>
      <c r="F32" s="87">
        <f>IF($B32="","",-1*ROUND(_xlfn.XLOOKUP($L$2,'Input LwA_XYZ'!$AY$1:$BM$1,'Input LwA_XYZ'!AY31:BM31),0))</f>
        <v>43</v>
      </c>
      <c r="G32" s="87">
        <f>IF($B32="","",IF(_xlfn.XLOOKUP($L$2,'Input LwA_XYZ'!$BV$1:$CJ$1,'Input LwA_XYZ'!BV31:CJ31)="","-",_xlfn.XLOOKUP($L$2,'Input LwA_XYZ'!$BV$1:$CJ$1,'Input LwA_XYZ'!BV31:CJ31)))</f>
        <v>1</v>
      </c>
      <c r="H32" s="87" t="str">
        <f>IF($B32="","",IF('Input LwA_XYZ'!S31="","-",'Input LwA_XYZ'!S31))</f>
        <v>-</v>
      </c>
      <c r="I32" s="215" t="str" cm="1">
        <f t="array" ref="I32">IF($B32="","",IF(_xlfn.XLOOKUP($L$2,_xlfn.ANCHORARRAY('Input LwA_XYZ'!$DD$1),'Input LwA_XYZ'!DD31:DR31)="","-",_xlfn.XLOOKUP($L$2,_xlfn.ANCHORARRAY('Input LwA_XYZ'!$DD$1),'Input LwA_XYZ'!DD31:DR31)))</f>
        <v>-</v>
      </c>
      <c r="J32" s="62">
        <f>IF($B32="","",_xlfn.XLOOKUP($L$2,'Input LwA_XYZ'!$DU$1:$EI$1,'Input LwA_XYZ'!DU31:EI31))</f>
        <v>21.948516613204234</v>
      </c>
      <c r="K32" s="4">
        <f t="shared" si="0"/>
        <v>156.62160181838433</v>
      </c>
      <c r="L32" s="103">
        <f t="shared" si="1"/>
        <v>21.948516613204234</v>
      </c>
      <c r="P32" s="230">
        <f>IF(OR('Input LwA_XYZ'!A31 = 0, NOT(ISBLANK(_xlfn.XLOOKUP(Tables!N$2, 'Input LwA_XYZ'!CM$1:DA$1, 'Input LwA_XYZ'!CM31:DA31)))), "", 'Input LwA_XYZ'!A31)</f>
        <v>1</v>
      </c>
      <c r="Q32" s="225" t="str">
        <f>IF($P32="","",_xlfn.TEXTJOIN(" - ",TRUE,'Input LwA_XYZ'!B31:C31))</f>
        <v>BEF-R09  - Inlet</v>
      </c>
      <c r="R32" s="231">
        <f>IF($P32="","",'Input LwA_XYZ'!Q31)</f>
        <v>66</v>
      </c>
      <c r="S32" s="227">
        <f>IF($P32="","",ROUND(_xlfn.XLOOKUP(Tables!$N$2,'Input LwA_XYZ'!$AH$1:$AV$1,'Input LwA_XYZ'!AH31:AV31),0))</f>
        <v>186</v>
      </c>
      <c r="T32" s="228">
        <f>IF($P32="","",-1*ROUND(_xlfn.XLOOKUP(Tables!$N$2,'Input LwA_XYZ'!$AY$1:$BM$1,'Input LwA_XYZ'!AY31:BM31),0))</f>
        <v>43</v>
      </c>
      <c r="U32" s="228">
        <f>IF($P32="","",IF(_xlfn.XLOOKUP(Tables!$N$2,'Input LwA_XYZ'!$BV$1:$CJ$1,'Input LwA_XYZ'!BV31:CJ31)="","-",_xlfn.XLOOKUP(Tables!$N$2,'Input LwA_XYZ'!$BV$1:$CJ$1,'Input LwA_XYZ'!BV31:CJ31)))</f>
        <v>1</v>
      </c>
      <c r="V32" s="228" t="str">
        <f>IF($P32="","",IF('Input LwA_XYZ'!S31="","-",'Input LwA_XYZ'!S31))</f>
        <v>-</v>
      </c>
      <c r="W32" s="229" t="str" cm="1">
        <f t="array" ref="W32">IF($P32="","",IF(_xlfn.XLOOKUP(Tables!$N$2,_xlfn.ANCHORARRAY('Input LwA_XYZ'!$DD$1),'Input LwA_XYZ'!DD31:DR31)="","-",_xlfn.XLOOKUP(Tables!$N$2,_xlfn.ANCHORARRAY('Input LwA_XYZ'!$DD$1),'Input LwA_XYZ'!DD31:DR31)))</f>
        <v>-</v>
      </c>
      <c r="X32" s="62">
        <f>IF($P32="","",_xlfn.XLOOKUP(Tables!$N$2,'Input LwA_XYZ'!$DU$1:$EI$1,'Input LwA_XYZ'!DU31:EI31))</f>
        <v>21.948516613204234</v>
      </c>
    </row>
    <row r="33" spans="2:24" ht="16.5" customHeight="1" x14ac:dyDescent="0.3">
      <c r="B33" s="160">
        <f>IF(OR('Input LwA_XYZ'!A32 = 0, NOT(ISBLANK(_xlfn.XLOOKUP(L$2, 'Input LwA_XYZ'!CM$1:DA$1, 'Input LwA_XYZ'!CM32:DA32)))), "", 'Input LwA_XYZ'!A32)</f>
        <v>1</v>
      </c>
      <c r="C33" s="159" t="str">
        <f>IF($B33="","",_xlfn.TEXTJOIN(" - ",TRUE,'Input LwA_XYZ'!B32:C32))</f>
        <v>BEF-R10  - Inlet</v>
      </c>
      <c r="D33" s="61">
        <f>IF($B33="","",'Input LwA_XYZ'!Q32)</f>
        <v>66</v>
      </c>
      <c r="E33" s="86">
        <f>IF($B33="","",ROUND(_xlfn.XLOOKUP($L$2,'Input LwA_XYZ'!$AH$1:$AV$1,'Input LwA_XYZ'!AH32:AV32),0))</f>
        <v>182</v>
      </c>
      <c r="F33" s="87">
        <f>IF($B33="","",-1*ROUND(_xlfn.XLOOKUP($L$2,'Input LwA_XYZ'!$AY$1:$BM$1,'Input LwA_XYZ'!AY32:BM32),0))</f>
        <v>43</v>
      </c>
      <c r="G33" s="87">
        <f>IF($B33="","",IF(_xlfn.XLOOKUP($L$2,'Input LwA_XYZ'!$BV$1:$CJ$1,'Input LwA_XYZ'!BV32:CJ32)="","-",_xlfn.XLOOKUP($L$2,'Input LwA_XYZ'!$BV$1:$CJ$1,'Input LwA_XYZ'!BV32:CJ32)))</f>
        <v>7</v>
      </c>
      <c r="H33" s="87" t="str">
        <f>IF($B33="","",IF('Input LwA_XYZ'!S32="","-",'Input LwA_XYZ'!S32))</f>
        <v>-</v>
      </c>
      <c r="I33" s="215" t="str" cm="1">
        <f t="array" ref="I33">IF($B33="","",IF(_xlfn.XLOOKUP($L$2,_xlfn.ANCHORARRAY('Input LwA_XYZ'!$DD$1),'Input LwA_XYZ'!DD32:DR32)="","-",_xlfn.XLOOKUP($L$2,_xlfn.ANCHORARRAY('Input LwA_XYZ'!$DD$1),'Input LwA_XYZ'!DD32:DR32)))</f>
        <v>-</v>
      </c>
      <c r="J33" s="62">
        <f>IF($B33="","",_xlfn.XLOOKUP($L$2,'Input LwA_XYZ'!$DU$1:$EI$1,'Input LwA_XYZ'!DU32:EI32))</f>
        <v>16.148721947348768</v>
      </c>
      <c r="K33" s="4">
        <f t="shared" si="0"/>
        <v>41.197626385239907</v>
      </c>
      <c r="L33" s="103">
        <f t="shared" si="1"/>
        <v>16.148721947348768</v>
      </c>
      <c r="P33" s="230">
        <f>IF(OR('Input LwA_XYZ'!A32 = 0, NOT(ISBLANK(_xlfn.XLOOKUP(Tables!N$2, 'Input LwA_XYZ'!CM$1:DA$1, 'Input LwA_XYZ'!CM32:DA32)))), "", 'Input LwA_XYZ'!A32)</f>
        <v>1</v>
      </c>
      <c r="Q33" s="225" t="str">
        <f>IF($P33="","",_xlfn.TEXTJOIN(" - ",TRUE,'Input LwA_XYZ'!B32:C32))</f>
        <v>BEF-R10  - Inlet</v>
      </c>
      <c r="R33" s="231">
        <f>IF($P33="","",'Input LwA_XYZ'!Q32)</f>
        <v>66</v>
      </c>
      <c r="S33" s="227">
        <f>IF($P33="","",ROUND(_xlfn.XLOOKUP(Tables!$N$2,'Input LwA_XYZ'!$AH$1:$AV$1,'Input LwA_XYZ'!AH32:AV32),0))</f>
        <v>182</v>
      </c>
      <c r="T33" s="228">
        <f>IF($P33="","",-1*ROUND(_xlfn.XLOOKUP(Tables!$N$2,'Input LwA_XYZ'!$AY$1:$BM$1,'Input LwA_XYZ'!AY32:BM32),0))</f>
        <v>43</v>
      </c>
      <c r="U33" s="228">
        <f>IF($P33="","",IF(_xlfn.XLOOKUP(Tables!$N$2,'Input LwA_XYZ'!$BV$1:$CJ$1,'Input LwA_XYZ'!BV32:CJ32)="","-",_xlfn.XLOOKUP(Tables!$N$2,'Input LwA_XYZ'!$BV$1:$CJ$1,'Input LwA_XYZ'!BV32:CJ32)))</f>
        <v>7</v>
      </c>
      <c r="V33" s="228" t="str">
        <f>IF($P33="","",IF('Input LwA_XYZ'!S32="","-",'Input LwA_XYZ'!S32))</f>
        <v>-</v>
      </c>
      <c r="W33" s="229" t="str" cm="1">
        <f t="array" ref="W33">IF($P33="","",IF(_xlfn.XLOOKUP(Tables!$N$2,_xlfn.ANCHORARRAY('Input LwA_XYZ'!$DD$1),'Input LwA_XYZ'!DD32:DR32)="","-",_xlfn.XLOOKUP(Tables!$N$2,_xlfn.ANCHORARRAY('Input LwA_XYZ'!$DD$1),'Input LwA_XYZ'!DD32:DR32)))</f>
        <v>-</v>
      </c>
      <c r="X33" s="62">
        <f>IF($P33="","",_xlfn.XLOOKUP(Tables!$N$2,'Input LwA_XYZ'!$DU$1:$EI$1,'Input LwA_XYZ'!DU32:EI32))</f>
        <v>16.148721947348768</v>
      </c>
    </row>
    <row r="34" spans="2:24" ht="16.5" customHeight="1" x14ac:dyDescent="0.3">
      <c r="B34" s="160">
        <f>IF(OR('Input LwA_XYZ'!A33 = 0, NOT(ISBLANK(_xlfn.XLOOKUP(L$2, 'Input LwA_XYZ'!CM$1:DA$1, 'Input LwA_XYZ'!CM33:DA33)))), "", 'Input LwA_XYZ'!A33)</f>
        <v>1</v>
      </c>
      <c r="C34" s="159" t="str">
        <f>IF($B34="","",_xlfn.TEXTJOIN(" - ",TRUE,'Input LwA_XYZ'!B33:C33))</f>
        <v>BEF-R11  - Inlet</v>
      </c>
      <c r="D34" s="61">
        <f>IF($B34="","",'Input LwA_XYZ'!Q33)</f>
        <v>66</v>
      </c>
      <c r="E34" s="86">
        <f>IF($B34="","",ROUND(_xlfn.XLOOKUP($L$2,'Input LwA_XYZ'!$AH$1:$AV$1,'Input LwA_XYZ'!AH33:AV33),0))</f>
        <v>177</v>
      </c>
      <c r="F34" s="87">
        <f>IF($B34="","",-1*ROUND(_xlfn.XLOOKUP($L$2,'Input LwA_XYZ'!$AY$1:$BM$1,'Input LwA_XYZ'!AY33:BM33),0))</f>
        <v>43</v>
      </c>
      <c r="G34" s="87">
        <f>IF($B34="","",IF(_xlfn.XLOOKUP($L$2,'Input LwA_XYZ'!$BV$1:$CJ$1,'Input LwA_XYZ'!BV33:CJ33)="","-",_xlfn.XLOOKUP($L$2,'Input LwA_XYZ'!$BV$1:$CJ$1,'Input LwA_XYZ'!BV33:CJ33)))</f>
        <v>7</v>
      </c>
      <c r="H34" s="87" t="str">
        <f>IF($B34="","",IF('Input LwA_XYZ'!S33="","-",'Input LwA_XYZ'!S33))</f>
        <v>-</v>
      </c>
      <c r="I34" s="215" t="str" cm="1">
        <f t="array" ref="I34">IF($B34="","",IF(_xlfn.XLOOKUP($L$2,_xlfn.ANCHORARRAY('Input LwA_XYZ'!$DD$1),'Input LwA_XYZ'!DD33:DR33)="","-",_xlfn.XLOOKUP($L$2,_xlfn.ANCHORARRAY('Input LwA_XYZ'!$DD$1),'Input LwA_XYZ'!DD33:DR33)))</f>
        <v>-</v>
      </c>
      <c r="J34" s="62">
        <f>IF($B34="","",_xlfn.XLOOKUP($L$2,'Input LwA_XYZ'!$DU$1:$EI$1,'Input LwA_XYZ'!DU33:EI33))</f>
        <v>16.388377657449212</v>
      </c>
      <c r="K34" s="4">
        <f t="shared" si="0"/>
        <v>43.534921504695831</v>
      </c>
      <c r="L34" s="103">
        <f t="shared" si="1"/>
        <v>16.388377657449212</v>
      </c>
      <c r="P34" s="230">
        <f>IF(OR('Input LwA_XYZ'!A33 = 0, NOT(ISBLANK(_xlfn.XLOOKUP(Tables!N$2, 'Input LwA_XYZ'!CM$1:DA$1, 'Input LwA_XYZ'!CM33:DA33)))), "", 'Input LwA_XYZ'!A33)</f>
        <v>1</v>
      </c>
      <c r="Q34" s="225" t="str">
        <f>IF($P34="","",_xlfn.TEXTJOIN(" - ",TRUE,'Input LwA_XYZ'!B33:C33))</f>
        <v>BEF-R11  - Inlet</v>
      </c>
      <c r="R34" s="231">
        <f>IF($P34="","",'Input LwA_XYZ'!Q33)</f>
        <v>66</v>
      </c>
      <c r="S34" s="227">
        <f>IF($P34="","",ROUND(_xlfn.XLOOKUP(Tables!$N$2,'Input LwA_XYZ'!$AH$1:$AV$1,'Input LwA_XYZ'!AH33:AV33),0))</f>
        <v>177</v>
      </c>
      <c r="T34" s="228">
        <f>IF($P34="","",-1*ROUND(_xlfn.XLOOKUP(Tables!$N$2,'Input LwA_XYZ'!$AY$1:$BM$1,'Input LwA_XYZ'!AY33:BM33),0))</f>
        <v>43</v>
      </c>
      <c r="U34" s="228">
        <f>IF($P34="","",IF(_xlfn.XLOOKUP(Tables!$N$2,'Input LwA_XYZ'!$BV$1:$CJ$1,'Input LwA_XYZ'!BV33:CJ33)="","-",_xlfn.XLOOKUP(Tables!$N$2,'Input LwA_XYZ'!$BV$1:$CJ$1,'Input LwA_XYZ'!BV33:CJ33)))</f>
        <v>7</v>
      </c>
      <c r="V34" s="228" t="str">
        <f>IF($P34="","",IF('Input LwA_XYZ'!S33="","-",'Input LwA_XYZ'!S33))</f>
        <v>-</v>
      </c>
      <c r="W34" s="229" t="str" cm="1">
        <f t="array" ref="W34">IF($P34="","",IF(_xlfn.XLOOKUP(Tables!$N$2,_xlfn.ANCHORARRAY('Input LwA_XYZ'!$DD$1),'Input LwA_XYZ'!DD33:DR33)="","-",_xlfn.XLOOKUP(Tables!$N$2,_xlfn.ANCHORARRAY('Input LwA_XYZ'!$DD$1),'Input LwA_XYZ'!DD33:DR33)))</f>
        <v>-</v>
      </c>
      <c r="X34" s="62">
        <f>IF($P34="","",_xlfn.XLOOKUP(Tables!$N$2,'Input LwA_XYZ'!$DU$1:$EI$1,'Input LwA_XYZ'!DU33:EI33))</f>
        <v>16.388377657449212</v>
      </c>
    </row>
    <row r="35" spans="2:24" ht="16.5" customHeight="1" x14ac:dyDescent="0.3">
      <c r="B35" s="160">
        <f>IF(OR('Input LwA_XYZ'!A34 = 0, NOT(ISBLANK(_xlfn.XLOOKUP(L$2, 'Input LwA_XYZ'!CM$1:DA$1, 'Input LwA_XYZ'!CM34:DA34)))), "", 'Input LwA_XYZ'!A34)</f>
        <v>1</v>
      </c>
      <c r="C35" s="159" t="str">
        <f>IF($B35="","",_xlfn.TEXTJOIN(" - ",TRUE,'Input LwA_XYZ'!B34:C34))</f>
        <v>BEF-R12  - Inlet</v>
      </c>
      <c r="D35" s="61">
        <f>IF($B35="","",'Input LwA_XYZ'!Q34)</f>
        <v>66</v>
      </c>
      <c r="E35" s="86">
        <f>IF($B35="","",ROUND(_xlfn.XLOOKUP($L$2,'Input LwA_XYZ'!$AH$1:$AV$1,'Input LwA_XYZ'!AH34:AV34),0))</f>
        <v>116</v>
      </c>
      <c r="F35" s="87">
        <f>IF($B35="","",-1*ROUND(_xlfn.XLOOKUP($L$2,'Input LwA_XYZ'!$AY$1:$BM$1,'Input LwA_XYZ'!AY34:BM34),0))</f>
        <v>39</v>
      </c>
      <c r="G35" s="87">
        <f>IF($B35="","",IF(_xlfn.XLOOKUP($L$2,'Input LwA_XYZ'!$BV$1:$CJ$1,'Input LwA_XYZ'!BV34:CJ34)="","-",_xlfn.XLOOKUP($L$2,'Input LwA_XYZ'!$BV$1:$CJ$1,'Input LwA_XYZ'!BV34:CJ34)))</f>
        <v>7</v>
      </c>
      <c r="H35" s="87" t="str">
        <f>IF($B35="","",IF('Input LwA_XYZ'!S34="","-",'Input LwA_XYZ'!S34))</f>
        <v>-</v>
      </c>
      <c r="I35" s="215" t="str" cm="1">
        <f t="array" ref="I35">IF($B35="","",IF(_xlfn.XLOOKUP($L$2,_xlfn.ANCHORARRAY('Input LwA_XYZ'!$DD$1),'Input LwA_XYZ'!DD34:DR34)="","-",_xlfn.XLOOKUP($L$2,_xlfn.ANCHORARRAY('Input LwA_XYZ'!$DD$1),'Input LwA_XYZ'!DD34:DR34)))</f>
        <v>-</v>
      </c>
      <c r="J35" s="62">
        <f>IF($B35="","",_xlfn.XLOOKUP($L$2,'Input LwA_XYZ'!$DU$1:$EI$1,'Input LwA_XYZ'!DU34:EI34))</f>
        <v>20.017916075064541</v>
      </c>
      <c r="K35" s="4">
        <f t="shared" ref="K35:K59" si="2">IFERROR(10^(J35/10),0)</f>
        <v>100.41338496185675</v>
      </c>
      <c r="L35" s="103">
        <f t="shared" ref="L35:L59" si="3">J35</f>
        <v>20.017916075064541</v>
      </c>
      <c r="P35" s="230">
        <f>IF(OR('Input LwA_XYZ'!A34 = 0, NOT(ISBLANK(_xlfn.XLOOKUP(Tables!N$2, 'Input LwA_XYZ'!CM$1:DA$1, 'Input LwA_XYZ'!CM34:DA34)))), "", 'Input LwA_XYZ'!A34)</f>
        <v>1</v>
      </c>
      <c r="Q35" s="225" t="str">
        <f>IF($P35="","",_xlfn.TEXTJOIN(" - ",TRUE,'Input LwA_XYZ'!B34:C34))</f>
        <v>BEF-R12  - Inlet</v>
      </c>
      <c r="R35" s="231">
        <f>IF($P35="","",'Input LwA_XYZ'!Q34)</f>
        <v>66</v>
      </c>
      <c r="S35" s="227">
        <f>IF($P35="","",ROUND(_xlfn.XLOOKUP(Tables!$N$2,'Input LwA_XYZ'!$AH$1:$AV$1,'Input LwA_XYZ'!AH34:AV34),0))</f>
        <v>116</v>
      </c>
      <c r="T35" s="228">
        <f>IF($P35="","",-1*ROUND(_xlfn.XLOOKUP(Tables!$N$2,'Input LwA_XYZ'!$AY$1:$BM$1,'Input LwA_XYZ'!AY34:BM34),0))</f>
        <v>39</v>
      </c>
      <c r="U35" s="228">
        <f>IF($P35="","",IF(_xlfn.XLOOKUP(Tables!$N$2,'Input LwA_XYZ'!$BV$1:$CJ$1,'Input LwA_XYZ'!BV34:CJ34)="","-",_xlfn.XLOOKUP(Tables!$N$2,'Input LwA_XYZ'!$BV$1:$CJ$1,'Input LwA_XYZ'!BV34:CJ34)))</f>
        <v>7</v>
      </c>
      <c r="V35" s="228" t="str">
        <f>IF($P35="","",IF('Input LwA_XYZ'!S34="","-",'Input LwA_XYZ'!S34))</f>
        <v>-</v>
      </c>
      <c r="W35" s="229" t="str" cm="1">
        <f t="array" ref="W35">IF($P35="","",IF(_xlfn.XLOOKUP(Tables!$N$2,_xlfn.ANCHORARRAY('Input LwA_XYZ'!$DD$1),'Input LwA_XYZ'!DD34:DR34)="","-",_xlfn.XLOOKUP(Tables!$N$2,_xlfn.ANCHORARRAY('Input LwA_XYZ'!$DD$1),'Input LwA_XYZ'!DD34:DR34)))</f>
        <v>-</v>
      </c>
      <c r="X35" s="62">
        <f>IF($P35="","",_xlfn.XLOOKUP(Tables!$N$2,'Input LwA_XYZ'!$DU$1:$EI$1,'Input LwA_XYZ'!DU34:EI34))</f>
        <v>20.017916075064541</v>
      </c>
    </row>
    <row r="36" spans="2:24" ht="16.5" customHeight="1" x14ac:dyDescent="0.3">
      <c r="B36" s="160">
        <f>IF(OR('Input LwA_XYZ'!A35 = 0, NOT(ISBLANK(_xlfn.XLOOKUP(L$2, 'Input LwA_XYZ'!CM$1:DA$1, 'Input LwA_XYZ'!CM35:DA35)))), "", 'Input LwA_XYZ'!A35)</f>
        <v>1</v>
      </c>
      <c r="C36" s="159" t="str">
        <f>IF($B36="","",_xlfn.TEXTJOIN(" - ",TRUE,'Input LwA_XYZ'!B35:C35))</f>
        <v>BEF-R13  - Inlet</v>
      </c>
      <c r="D36" s="61">
        <f>IF($B36="","",'Input LwA_XYZ'!Q35)</f>
        <v>66</v>
      </c>
      <c r="E36" s="86">
        <f>IF($B36="","",ROUND(_xlfn.XLOOKUP($L$2,'Input LwA_XYZ'!$AH$1:$AV$1,'Input LwA_XYZ'!AH35:AV35),0))</f>
        <v>77</v>
      </c>
      <c r="F36" s="87">
        <f>IF($B36="","",-1*ROUND(_xlfn.XLOOKUP($L$2,'Input LwA_XYZ'!$AY$1:$BM$1,'Input LwA_XYZ'!AY35:BM35),0))</f>
        <v>35</v>
      </c>
      <c r="G36" s="87">
        <f>IF($B36="","",IF(_xlfn.XLOOKUP($L$2,'Input LwA_XYZ'!$BV$1:$CJ$1,'Input LwA_XYZ'!BV35:CJ35)="","-",_xlfn.XLOOKUP($L$2,'Input LwA_XYZ'!$BV$1:$CJ$1,'Input LwA_XYZ'!BV35:CJ35)))</f>
        <v>5</v>
      </c>
      <c r="H36" s="87" t="str">
        <f>IF($B36="","",IF('Input LwA_XYZ'!S35="","-",'Input LwA_XYZ'!S35))</f>
        <v>-</v>
      </c>
      <c r="I36" s="215" t="str" cm="1">
        <f t="array" ref="I36">IF($B36="","",IF(_xlfn.XLOOKUP($L$2,_xlfn.ANCHORARRAY('Input LwA_XYZ'!$DD$1),'Input LwA_XYZ'!DD35:DR35)="","-",_xlfn.XLOOKUP($L$2,_xlfn.ANCHORARRAY('Input LwA_XYZ'!$DD$1),'Input LwA_XYZ'!DD35:DR35)))</f>
        <v>-</v>
      </c>
      <c r="J36" s="62">
        <f>IF($B36="","",_xlfn.XLOOKUP($L$2,'Input LwA_XYZ'!$DU$1:$EI$1,'Input LwA_XYZ'!DU35:EI35))</f>
        <v>25.629966664153869</v>
      </c>
      <c r="K36" s="4">
        <f t="shared" si="2"/>
        <v>365.59198536864056</v>
      </c>
      <c r="L36" s="103">
        <f t="shared" si="3"/>
        <v>25.629966664153869</v>
      </c>
      <c r="P36" s="230">
        <f>IF(OR('Input LwA_XYZ'!A35 = 0, NOT(ISBLANK(_xlfn.XLOOKUP(Tables!N$2, 'Input LwA_XYZ'!CM$1:DA$1, 'Input LwA_XYZ'!CM35:DA35)))), "", 'Input LwA_XYZ'!A35)</f>
        <v>1</v>
      </c>
      <c r="Q36" s="225" t="str">
        <f>IF($P36="","",_xlfn.TEXTJOIN(" - ",TRUE,'Input LwA_XYZ'!B35:C35))</f>
        <v>BEF-R13  - Inlet</v>
      </c>
      <c r="R36" s="231">
        <f>IF($P36="","",'Input LwA_XYZ'!Q35)</f>
        <v>66</v>
      </c>
      <c r="S36" s="227">
        <f>IF($P36="","",ROUND(_xlfn.XLOOKUP(Tables!$N$2,'Input LwA_XYZ'!$AH$1:$AV$1,'Input LwA_XYZ'!AH35:AV35),0))</f>
        <v>77</v>
      </c>
      <c r="T36" s="228">
        <f>IF($P36="","",-1*ROUND(_xlfn.XLOOKUP(Tables!$N$2,'Input LwA_XYZ'!$AY$1:$BM$1,'Input LwA_XYZ'!AY35:BM35),0))</f>
        <v>35</v>
      </c>
      <c r="U36" s="228">
        <f>IF($P36="","",IF(_xlfn.XLOOKUP(Tables!$N$2,'Input LwA_XYZ'!$BV$1:$CJ$1,'Input LwA_XYZ'!BV35:CJ35)="","-",_xlfn.XLOOKUP(Tables!$N$2,'Input LwA_XYZ'!$BV$1:$CJ$1,'Input LwA_XYZ'!BV35:CJ35)))</f>
        <v>5</v>
      </c>
      <c r="V36" s="228" t="str">
        <f>IF($P36="","",IF('Input LwA_XYZ'!S35="","-",'Input LwA_XYZ'!S35))</f>
        <v>-</v>
      </c>
      <c r="W36" s="229" t="str" cm="1">
        <f t="array" ref="W36">IF($P36="","",IF(_xlfn.XLOOKUP(Tables!$N$2,_xlfn.ANCHORARRAY('Input LwA_XYZ'!$DD$1),'Input LwA_XYZ'!DD35:DR35)="","-",_xlfn.XLOOKUP(Tables!$N$2,_xlfn.ANCHORARRAY('Input LwA_XYZ'!$DD$1),'Input LwA_XYZ'!DD35:DR35)))</f>
        <v>-</v>
      </c>
      <c r="X36" s="62">
        <f>IF($P36="","",_xlfn.XLOOKUP(Tables!$N$2,'Input LwA_XYZ'!$DU$1:$EI$1,'Input LwA_XYZ'!DU35:EI35))</f>
        <v>25.629966664153869</v>
      </c>
    </row>
    <row r="37" spans="2:24" ht="16.5" customHeight="1" x14ac:dyDescent="0.3">
      <c r="B37" s="160">
        <f>IF(OR('Input LwA_XYZ'!A36 = 0, NOT(ISBLANK(_xlfn.XLOOKUP(L$2, 'Input LwA_XYZ'!CM$1:DA$1, 'Input LwA_XYZ'!CM36:DA36)))), "", 'Input LwA_XYZ'!A36)</f>
        <v>1</v>
      </c>
      <c r="C37" s="159" t="str">
        <f>IF($B37="","",_xlfn.TEXTJOIN(" - ",TRUE,'Input LwA_XYZ'!B36:C36))</f>
        <v>BEF-R14  - Inlet</v>
      </c>
      <c r="D37" s="61">
        <f>IF($B37="","",'Input LwA_XYZ'!Q36)</f>
        <v>66</v>
      </c>
      <c r="E37" s="86">
        <f>IF($B37="","",ROUND(_xlfn.XLOOKUP($L$2,'Input LwA_XYZ'!$AH$1:$AV$1,'Input LwA_XYZ'!AH36:AV36),0))</f>
        <v>53</v>
      </c>
      <c r="F37" s="87">
        <f>IF($B37="","",-1*ROUND(_xlfn.XLOOKUP($L$2,'Input LwA_XYZ'!$AY$1:$BM$1,'Input LwA_XYZ'!AY36:BM36),0))</f>
        <v>32</v>
      </c>
      <c r="G37" s="87">
        <f>IF($B37="","",IF(_xlfn.XLOOKUP($L$2,'Input LwA_XYZ'!$BV$1:$CJ$1,'Input LwA_XYZ'!BV36:CJ36)="","-",_xlfn.XLOOKUP($L$2,'Input LwA_XYZ'!$BV$1:$CJ$1,'Input LwA_XYZ'!BV36:CJ36)))</f>
        <v>2</v>
      </c>
      <c r="H37" s="87" t="str">
        <f>IF($B37="","",IF('Input LwA_XYZ'!S36="","-",'Input LwA_XYZ'!S36))</f>
        <v>-</v>
      </c>
      <c r="I37" s="215" t="str" cm="1">
        <f t="array" ref="I37">IF($B37="","",IF(_xlfn.XLOOKUP($L$2,_xlfn.ANCHORARRAY('Input LwA_XYZ'!$DD$1),'Input LwA_XYZ'!DD36:DR36)="","-",_xlfn.XLOOKUP($L$2,_xlfn.ANCHORARRAY('Input LwA_XYZ'!$DD$1),'Input LwA_XYZ'!DD36:DR36)))</f>
        <v>-</v>
      </c>
      <c r="J37" s="62">
        <f>IF($B37="","",_xlfn.XLOOKUP($L$2,'Input LwA_XYZ'!$DU$1:$EI$1,'Input LwA_XYZ'!DU36:EI36))</f>
        <v>31.796517328053596</v>
      </c>
      <c r="K37" s="4">
        <f t="shared" si="2"/>
        <v>1512.3479877244654</v>
      </c>
      <c r="L37" s="103">
        <f t="shared" si="3"/>
        <v>31.796517328053596</v>
      </c>
      <c r="P37" s="230">
        <f>IF(OR('Input LwA_XYZ'!A36 = 0, NOT(ISBLANK(_xlfn.XLOOKUP(Tables!N$2, 'Input LwA_XYZ'!CM$1:DA$1, 'Input LwA_XYZ'!CM36:DA36)))), "", 'Input LwA_XYZ'!A36)</f>
        <v>1</v>
      </c>
      <c r="Q37" s="225" t="str">
        <f>IF($P37="","",_xlfn.TEXTJOIN(" - ",TRUE,'Input LwA_XYZ'!B36:C36))</f>
        <v>BEF-R14  - Inlet</v>
      </c>
      <c r="R37" s="231">
        <f>IF($P37="","",'Input LwA_XYZ'!Q36)</f>
        <v>66</v>
      </c>
      <c r="S37" s="227">
        <f>IF($P37="","",ROUND(_xlfn.XLOOKUP(Tables!$N$2,'Input LwA_XYZ'!$AH$1:$AV$1,'Input LwA_XYZ'!AH36:AV36),0))</f>
        <v>53</v>
      </c>
      <c r="T37" s="228">
        <f>IF($P37="","",-1*ROUND(_xlfn.XLOOKUP(Tables!$N$2,'Input LwA_XYZ'!$AY$1:$BM$1,'Input LwA_XYZ'!AY36:BM36),0))</f>
        <v>32</v>
      </c>
      <c r="U37" s="228">
        <f>IF($P37="","",IF(_xlfn.XLOOKUP(Tables!$N$2,'Input LwA_XYZ'!$BV$1:$CJ$1,'Input LwA_XYZ'!BV36:CJ36)="","-",_xlfn.XLOOKUP(Tables!$N$2,'Input LwA_XYZ'!$BV$1:$CJ$1,'Input LwA_XYZ'!BV36:CJ36)))</f>
        <v>2</v>
      </c>
      <c r="V37" s="228" t="str">
        <f>IF($P37="","",IF('Input LwA_XYZ'!S36="","-",'Input LwA_XYZ'!S36))</f>
        <v>-</v>
      </c>
      <c r="W37" s="229" t="str" cm="1">
        <f t="array" ref="W37">IF($P37="","",IF(_xlfn.XLOOKUP(Tables!$N$2,_xlfn.ANCHORARRAY('Input LwA_XYZ'!$DD$1),'Input LwA_XYZ'!DD36:DR36)="","-",_xlfn.XLOOKUP(Tables!$N$2,_xlfn.ANCHORARRAY('Input LwA_XYZ'!$DD$1),'Input LwA_XYZ'!DD36:DR36)))</f>
        <v>-</v>
      </c>
      <c r="X37" s="62">
        <f>IF($P37="","",_xlfn.XLOOKUP(Tables!$N$2,'Input LwA_XYZ'!$DU$1:$EI$1,'Input LwA_XYZ'!DU36:EI36))</f>
        <v>31.796517328053596</v>
      </c>
    </row>
    <row r="38" spans="2:24" ht="16.5" customHeight="1" x14ac:dyDescent="0.3">
      <c r="B38" s="160">
        <f>IF(OR('Input LwA_XYZ'!A37 = 0, NOT(ISBLANK(_xlfn.XLOOKUP(L$2, 'Input LwA_XYZ'!CM$1:DA$1, 'Input LwA_XYZ'!CM37:DA37)))), "", 'Input LwA_XYZ'!A37)</f>
        <v>1</v>
      </c>
      <c r="C38" s="159" t="str">
        <f>IF($B38="","",_xlfn.TEXTJOIN(" - ",TRUE,'Input LwA_XYZ'!B37:C37))</f>
        <v>BEF-R15  - Inlet</v>
      </c>
      <c r="D38" s="61">
        <f>IF($B38="","",'Input LwA_XYZ'!Q37)</f>
        <v>57</v>
      </c>
      <c r="E38" s="86">
        <f>IF($B38="","",ROUND(_xlfn.XLOOKUP($L$2,'Input LwA_XYZ'!$AH$1:$AV$1,'Input LwA_XYZ'!AH37:AV37),0))</f>
        <v>40</v>
      </c>
      <c r="F38" s="87">
        <f>IF($B38="","",-1*ROUND(_xlfn.XLOOKUP($L$2,'Input LwA_XYZ'!$AY$1:$BM$1,'Input LwA_XYZ'!AY37:BM37),0))</f>
        <v>30</v>
      </c>
      <c r="G38" s="87">
        <f>IF($B38="","",IF(_xlfn.XLOOKUP($L$2,'Input LwA_XYZ'!$BV$1:$CJ$1,'Input LwA_XYZ'!BV37:CJ37)="","-",_xlfn.XLOOKUP($L$2,'Input LwA_XYZ'!$BV$1:$CJ$1,'Input LwA_XYZ'!BV37:CJ37)))</f>
        <v>0</v>
      </c>
      <c r="H38" s="87" t="str">
        <f>IF($B38="","",IF('Input LwA_XYZ'!S37="","-",'Input LwA_XYZ'!S37))</f>
        <v>-</v>
      </c>
      <c r="I38" s="215" t="str" cm="1">
        <f t="array" ref="I38">IF($B38="","",IF(_xlfn.XLOOKUP($L$2,_xlfn.ANCHORARRAY('Input LwA_XYZ'!$DD$1),'Input LwA_XYZ'!DD37:DR37)="","-",_xlfn.XLOOKUP($L$2,_xlfn.ANCHORARRAY('Input LwA_XYZ'!$DD$1),'Input LwA_XYZ'!DD37:DR37)))</f>
        <v>-</v>
      </c>
      <c r="J38" s="62">
        <f>IF($B38="","",_xlfn.XLOOKUP($L$2,'Input LwA_XYZ'!$DU$1:$EI$1,'Input LwA_XYZ'!DU37:EI37))</f>
        <v>27.263712894899474</v>
      </c>
      <c r="K38" s="4">
        <f t="shared" si="2"/>
        <v>532.56336677723971</v>
      </c>
      <c r="L38" s="103">
        <f t="shared" si="3"/>
        <v>27.263712894899474</v>
      </c>
      <c r="P38" s="230">
        <f>IF(OR('Input LwA_XYZ'!A37 = 0, NOT(ISBLANK(_xlfn.XLOOKUP(Tables!N$2, 'Input LwA_XYZ'!CM$1:DA$1, 'Input LwA_XYZ'!CM37:DA37)))), "", 'Input LwA_XYZ'!A37)</f>
        <v>1</v>
      </c>
      <c r="Q38" s="225" t="str">
        <f>IF($P38="","",_xlfn.TEXTJOIN(" - ",TRUE,'Input LwA_XYZ'!B37:C37))</f>
        <v>BEF-R15  - Inlet</v>
      </c>
      <c r="R38" s="231">
        <f>IF($P38="","",'Input LwA_XYZ'!Q37)</f>
        <v>57</v>
      </c>
      <c r="S38" s="227">
        <f>IF($P38="","",ROUND(_xlfn.XLOOKUP(Tables!$N$2,'Input LwA_XYZ'!$AH$1:$AV$1,'Input LwA_XYZ'!AH37:AV37),0))</f>
        <v>40</v>
      </c>
      <c r="T38" s="228">
        <f>IF($P38="","",-1*ROUND(_xlfn.XLOOKUP(Tables!$N$2,'Input LwA_XYZ'!$AY$1:$BM$1,'Input LwA_XYZ'!AY37:BM37),0))</f>
        <v>30</v>
      </c>
      <c r="U38" s="228">
        <f>IF($P38="","",IF(_xlfn.XLOOKUP(Tables!$N$2,'Input LwA_XYZ'!$BV$1:$CJ$1,'Input LwA_XYZ'!BV37:CJ37)="","-",_xlfn.XLOOKUP(Tables!$N$2,'Input LwA_XYZ'!$BV$1:$CJ$1,'Input LwA_XYZ'!BV37:CJ37)))</f>
        <v>0</v>
      </c>
      <c r="V38" s="228" t="str">
        <f>IF($P38="","",IF('Input LwA_XYZ'!S37="","-",'Input LwA_XYZ'!S37))</f>
        <v>-</v>
      </c>
      <c r="W38" s="229" t="str" cm="1">
        <f t="array" ref="W38">IF($P38="","",IF(_xlfn.XLOOKUP(Tables!$N$2,_xlfn.ANCHORARRAY('Input LwA_XYZ'!$DD$1),'Input LwA_XYZ'!DD37:DR37)="","-",_xlfn.XLOOKUP(Tables!$N$2,_xlfn.ANCHORARRAY('Input LwA_XYZ'!$DD$1),'Input LwA_XYZ'!DD37:DR37)))</f>
        <v>-</v>
      </c>
      <c r="X38" s="62">
        <f>IF($P38="","",_xlfn.XLOOKUP(Tables!$N$2,'Input LwA_XYZ'!$DU$1:$EI$1,'Input LwA_XYZ'!DU37:EI37))</f>
        <v>27.263712894899474</v>
      </c>
    </row>
    <row r="39" spans="2:24" ht="16.5" customHeight="1" x14ac:dyDescent="0.3">
      <c r="B39" s="160">
        <f>IF(OR('Input LwA_XYZ'!A38 = 0, NOT(ISBLANK(_xlfn.XLOOKUP(L$2, 'Input LwA_XYZ'!CM$1:DA$1, 'Input LwA_XYZ'!CM38:DA38)))), "", 'Input LwA_XYZ'!A38)</f>
        <v>1</v>
      </c>
      <c r="C39" s="159" t="str">
        <f>IF($B39="","",_xlfn.TEXTJOIN(" - ",TRUE,'Input LwA_XYZ'!B38:C38))</f>
        <v>BEF-R16  - Inlet</v>
      </c>
      <c r="D39" s="61">
        <f>IF($B39="","",'Input LwA_XYZ'!Q38)</f>
        <v>57</v>
      </c>
      <c r="E39" s="86">
        <f>IF($B39="","",ROUND(_xlfn.XLOOKUP($L$2,'Input LwA_XYZ'!$AH$1:$AV$1,'Input LwA_XYZ'!AH38:AV38),0))</f>
        <v>128</v>
      </c>
      <c r="F39" s="87">
        <f>IF($B39="","",-1*ROUND(_xlfn.XLOOKUP($L$2,'Input LwA_XYZ'!$AY$1:$BM$1,'Input LwA_XYZ'!AY38:BM38),0))</f>
        <v>40</v>
      </c>
      <c r="G39" s="87">
        <f>IF($B39="","",IF(_xlfn.XLOOKUP($L$2,'Input LwA_XYZ'!$BV$1:$CJ$1,'Input LwA_XYZ'!BV38:CJ38)="","-",_xlfn.XLOOKUP($L$2,'Input LwA_XYZ'!$BV$1:$CJ$1,'Input LwA_XYZ'!BV38:CJ38)))</f>
        <v>7</v>
      </c>
      <c r="H39" s="87" t="str">
        <f>IF($B39="","",IF('Input LwA_XYZ'!S38="","-",'Input LwA_XYZ'!S38))</f>
        <v>-</v>
      </c>
      <c r="I39" s="215" t="str" cm="1">
        <f t="array" ref="I39">IF($B39="","",IF(_xlfn.XLOOKUP($L$2,_xlfn.ANCHORARRAY('Input LwA_XYZ'!$DD$1),'Input LwA_XYZ'!DD38:DR38)="","-",_xlfn.XLOOKUP($L$2,_xlfn.ANCHORARRAY('Input LwA_XYZ'!$DD$1),'Input LwA_XYZ'!DD38:DR38)))</f>
        <v>-</v>
      </c>
      <c r="J39" s="62">
        <f>IF($B39="","",_xlfn.XLOOKUP($L$2,'Input LwA_XYZ'!$DU$1:$EI$1,'Input LwA_XYZ'!DU38:EI38))</f>
        <v>10.176650240074622</v>
      </c>
      <c r="K39" s="4">
        <f t="shared" si="2"/>
        <v>10.415137887473161</v>
      </c>
      <c r="L39" s="103">
        <f t="shared" si="3"/>
        <v>10.176650240074622</v>
      </c>
      <c r="P39" s="230">
        <f>IF(OR('Input LwA_XYZ'!A38 = 0, NOT(ISBLANK(_xlfn.XLOOKUP(Tables!N$2, 'Input LwA_XYZ'!CM$1:DA$1, 'Input LwA_XYZ'!CM38:DA38)))), "", 'Input LwA_XYZ'!A38)</f>
        <v>1</v>
      </c>
      <c r="Q39" s="225" t="str">
        <f>IF($P39="","",_xlfn.TEXTJOIN(" - ",TRUE,'Input LwA_XYZ'!B38:C38))</f>
        <v>BEF-R16  - Inlet</v>
      </c>
      <c r="R39" s="231">
        <f>IF($P39="","",'Input LwA_XYZ'!Q38)</f>
        <v>57</v>
      </c>
      <c r="S39" s="227">
        <f>IF($P39="","",ROUND(_xlfn.XLOOKUP(Tables!$N$2,'Input LwA_XYZ'!$AH$1:$AV$1,'Input LwA_XYZ'!AH38:AV38),0))</f>
        <v>128</v>
      </c>
      <c r="T39" s="228">
        <f>IF($P39="","",-1*ROUND(_xlfn.XLOOKUP(Tables!$N$2,'Input LwA_XYZ'!$AY$1:$BM$1,'Input LwA_XYZ'!AY38:BM38),0))</f>
        <v>40</v>
      </c>
      <c r="U39" s="228">
        <f>IF($P39="","",IF(_xlfn.XLOOKUP(Tables!$N$2,'Input LwA_XYZ'!$BV$1:$CJ$1,'Input LwA_XYZ'!BV38:CJ38)="","-",_xlfn.XLOOKUP(Tables!$N$2,'Input LwA_XYZ'!$BV$1:$CJ$1,'Input LwA_XYZ'!BV38:CJ38)))</f>
        <v>7</v>
      </c>
      <c r="V39" s="228" t="str">
        <f>IF($P39="","",IF('Input LwA_XYZ'!S38="","-",'Input LwA_XYZ'!S38))</f>
        <v>-</v>
      </c>
      <c r="W39" s="229" t="str" cm="1">
        <f t="array" ref="W39">IF($P39="","",IF(_xlfn.XLOOKUP(Tables!$N$2,_xlfn.ANCHORARRAY('Input LwA_XYZ'!$DD$1),'Input LwA_XYZ'!DD38:DR38)="","-",_xlfn.XLOOKUP(Tables!$N$2,_xlfn.ANCHORARRAY('Input LwA_XYZ'!$DD$1),'Input LwA_XYZ'!DD38:DR38)))</f>
        <v>-</v>
      </c>
      <c r="X39" s="62">
        <f>IF($P39="","",_xlfn.XLOOKUP(Tables!$N$2,'Input LwA_XYZ'!$DU$1:$EI$1,'Input LwA_XYZ'!DU38:EI38))</f>
        <v>10.176650240074622</v>
      </c>
    </row>
    <row r="40" spans="2:24" ht="16.5" customHeight="1" x14ac:dyDescent="0.3">
      <c r="B40" s="160" t="str">
        <f>IF(OR('Input LwA_XYZ'!A39 = 0, NOT(ISBLANK(_xlfn.XLOOKUP(L$2, 'Input LwA_XYZ'!CM$1:DA$1, 'Input LwA_XYZ'!CM39:DA39)))), "", 'Input LwA_XYZ'!A39)</f>
        <v/>
      </c>
      <c r="C40" s="159" t="str">
        <f>IF($B40="","",_xlfn.TEXTJOIN(" - ",TRUE,'Input LwA_XYZ'!B39:C39))</f>
        <v/>
      </c>
      <c r="D40" s="61" t="str">
        <f>IF($B40="","",'Input LwA_XYZ'!Q39)</f>
        <v/>
      </c>
      <c r="E40" s="86" t="str">
        <f>IF($B40="","",ROUND(_xlfn.XLOOKUP($L$2,'Input LwA_XYZ'!$AH$1:$AV$1,'Input LwA_XYZ'!AH39:AV39),0))</f>
        <v/>
      </c>
      <c r="F40" s="87" t="str">
        <f>IF($B40="","",-1*ROUND(_xlfn.XLOOKUP($L$2,'Input LwA_XYZ'!$AY$1:$BM$1,'Input LwA_XYZ'!AY39:BM39),0))</f>
        <v/>
      </c>
      <c r="G40" s="87" t="str">
        <f>IF($B40="","",IF(_xlfn.XLOOKUP($L$2,'Input LwA_XYZ'!$BV$1:$CJ$1,'Input LwA_XYZ'!BV39:CJ39)="","-",_xlfn.XLOOKUP($L$2,'Input LwA_XYZ'!$BV$1:$CJ$1,'Input LwA_XYZ'!BV39:CJ39)))</f>
        <v/>
      </c>
      <c r="H40" s="87" t="str">
        <f>IF($B40="","",IF('Input LwA_XYZ'!S39="","-",'Input LwA_XYZ'!S39))</f>
        <v/>
      </c>
      <c r="I40" s="215" t="str" cm="1">
        <f t="array" ref="I40">IF($B40="","",IF(_xlfn.XLOOKUP($L$2,_xlfn.ANCHORARRAY('Input LwA_XYZ'!$DD$1),'Input LwA_XYZ'!DD39:DR39)="","-",_xlfn.XLOOKUP($L$2,_xlfn.ANCHORARRAY('Input LwA_XYZ'!$DD$1),'Input LwA_XYZ'!DD39:DR39)))</f>
        <v/>
      </c>
      <c r="J40" s="62" t="str">
        <f>IF($B40="","",_xlfn.XLOOKUP($L$2,'Input LwA_XYZ'!$DU$1:$EI$1,'Input LwA_XYZ'!DU39:EI39))</f>
        <v/>
      </c>
      <c r="K40" s="4">
        <f t="shared" si="2"/>
        <v>0</v>
      </c>
      <c r="L40" s="103" t="str">
        <f t="shared" si="3"/>
        <v/>
      </c>
      <c r="P40" s="230" t="str">
        <f>IF(OR('Input LwA_XYZ'!A39 = 0, NOT(ISBLANK(_xlfn.XLOOKUP(Tables!N$2, 'Input LwA_XYZ'!CM$1:DA$1, 'Input LwA_XYZ'!CM39:DA39)))), "", 'Input LwA_XYZ'!A39)</f>
        <v/>
      </c>
      <c r="Q40" s="225" t="str">
        <f>IF($P40="","",_xlfn.TEXTJOIN(" - ",TRUE,'Input LwA_XYZ'!B39:C39))</f>
        <v/>
      </c>
      <c r="R40" s="231" t="str">
        <f>IF($P40="","",'Input LwA_XYZ'!Q39)</f>
        <v/>
      </c>
      <c r="S40" s="227" t="str">
        <f>IF($P40="","",ROUND(_xlfn.XLOOKUP(Tables!$N$2,'Input LwA_XYZ'!$AH$1:$AV$1,'Input LwA_XYZ'!AH39:AV39),0))</f>
        <v/>
      </c>
      <c r="T40" s="228" t="str">
        <f>IF($P40="","",-1*ROUND(_xlfn.XLOOKUP(Tables!$N$2,'Input LwA_XYZ'!$AY$1:$BM$1,'Input LwA_XYZ'!AY39:BM39),0))</f>
        <v/>
      </c>
      <c r="U40" s="228" t="str">
        <f>IF($P40="","",IF(_xlfn.XLOOKUP(Tables!$N$2,'Input LwA_XYZ'!$BV$1:$CJ$1,'Input LwA_XYZ'!BV39:CJ39)="","-",_xlfn.XLOOKUP(Tables!$N$2,'Input LwA_XYZ'!$BV$1:$CJ$1,'Input LwA_XYZ'!BV39:CJ39)))</f>
        <v/>
      </c>
      <c r="V40" s="228" t="str">
        <f>IF($P40="","",IF('Input LwA_XYZ'!S39="","-",'Input LwA_XYZ'!S39))</f>
        <v/>
      </c>
      <c r="W40" s="229" t="str" cm="1">
        <f t="array" ref="W40">IF($P40="","",IF(_xlfn.XLOOKUP(Tables!$N$2,_xlfn.ANCHORARRAY('Input LwA_XYZ'!$DD$1),'Input LwA_XYZ'!DD39:DR39)="","-",_xlfn.XLOOKUP(Tables!$N$2,_xlfn.ANCHORARRAY('Input LwA_XYZ'!$DD$1),'Input LwA_XYZ'!DD39:DR39)))</f>
        <v/>
      </c>
      <c r="X40" s="62" t="str">
        <f>IF($P40="","",_xlfn.XLOOKUP(Tables!$N$2,'Input LwA_XYZ'!$DU$1:$EI$1,'Input LwA_XYZ'!DU39:EI39))</f>
        <v/>
      </c>
    </row>
    <row r="41" spans="2:24" ht="16.5" customHeight="1" x14ac:dyDescent="0.3">
      <c r="B41" s="160" t="str">
        <f>IF(OR('Input LwA_XYZ'!A40 = 0, NOT(ISBLANK(_xlfn.XLOOKUP(L$2, 'Input LwA_XYZ'!CM$1:DA$1, 'Input LwA_XYZ'!CM40:DA40)))), "", 'Input LwA_XYZ'!A40)</f>
        <v/>
      </c>
      <c r="C41" s="159" t="str">
        <f>IF($B41="","",_xlfn.TEXTJOIN(" - ",TRUE,'Input LwA_XYZ'!B40:C40))</f>
        <v/>
      </c>
      <c r="D41" s="61" t="str">
        <f>IF($B41="","",'Input LwA_XYZ'!Q40)</f>
        <v/>
      </c>
      <c r="E41" s="86" t="str">
        <f>IF($B41="","",ROUND(_xlfn.XLOOKUP($L$2,'Input LwA_XYZ'!$AH$1:$AV$1,'Input LwA_XYZ'!AH40:AV40),0))</f>
        <v/>
      </c>
      <c r="F41" s="87" t="str">
        <f>IF($B41="","",-1*ROUND(_xlfn.XLOOKUP($L$2,'Input LwA_XYZ'!$AY$1:$BM$1,'Input LwA_XYZ'!AY40:BM40),0))</f>
        <v/>
      </c>
      <c r="G41" s="87" t="str">
        <f>IF($B41="","",IF(_xlfn.XLOOKUP($L$2,'Input LwA_XYZ'!$BV$1:$CJ$1,'Input LwA_XYZ'!BV40:CJ40)="","-",_xlfn.XLOOKUP($L$2,'Input LwA_XYZ'!$BV$1:$CJ$1,'Input LwA_XYZ'!BV40:CJ40)))</f>
        <v/>
      </c>
      <c r="H41" s="87" t="str">
        <f>IF($B41="","",IF('Input LwA_XYZ'!S40="","-",'Input LwA_XYZ'!S40))</f>
        <v/>
      </c>
      <c r="I41" s="215" t="str" cm="1">
        <f t="array" ref="I41">IF($B41="","",IF(_xlfn.XLOOKUP($L$2,_xlfn.ANCHORARRAY('Input LwA_XYZ'!$DD$1),'Input LwA_XYZ'!DD40:DR40)="","-",_xlfn.XLOOKUP($L$2,_xlfn.ANCHORARRAY('Input LwA_XYZ'!$DD$1),'Input LwA_XYZ'!DD40:DR40)))</f>
        <v/>
      </c>
      <c r="J41" s="62" t="str">
        <f>IF($B41="","",_xlfn.XLOOKUP($L$2,'Input LwA_XYZ'!$DU$1:$EI$1,'Input LwA_XYZ'!DU40:EI40))</f>
        <v/>
      </c>
      <c r="K41" s="4">
        <f t="shared" si="2"/>
        <v>0</v>
      </c>
      <c r="L41" s="103" t="str">
        <f t="shared" si="3"/>
        <v/>
      </c>
      <c r="P41" s="230" t="str">
        <f>IF(OR('Input LwA_XYZ'!A40 = 0, NOT(ISBLANK(_xlfn.XLOOKUP(Tables!N$2, 'Input LwA_XYZ'!CM$1:DA$1, 'Input LwA_XYZ'!CM40:DA40)))), "", 'Input LwA_XYZ'!A40)</f>
        <v/>
      </c>
      <c r="Q41" s="225" t="str">
        <f>IF($P41="","",_xlfn.TEXTJOIN(" - ",TRUE,'Input LwA_XYZ'!B40:C40))</f>
        <v/>
      </c>
      <c r="R41" s="231" t="str">
        <f>IF($P41="","",'Input LwA_XYZ'!Q40)</f>
        <v/>
      </c>
      <c r="S41" s="227" t="str">
        <f>IF($P41="","",ROUND(_xlfn.XLOOKUP(Tables!$N$2,'Input LwA_XYZ'!$AH$1:$AV$1,'Input LwA_XYZ'!AH40:AV40),0))</f>
        <v/>
      </c>
      <c r="T41" s="228" t="str">
        <f>IF($P41="","",-1*ROUND(_xlfn.XLOOKUP(Tables!$N$2,'Input LwA_XYZ'!$AY$1:$BM$1,'Input LwA_XYZ'!AY40:BM40),0))</f>
        <v/>
      </c>
      <c r="U41" s="228" t="str">
        <f>IF($P41="","",IF(_xlfn.XLOOKUP(Tables!$N$2,'Input LwA_XYZ'!$BV$1:$CJ$1,'Input LwA_XYZ'!BV40:CJ40)="","-",_xlfn.XLOOKUP(Tables!$N$2,'Input LwA_XYZ'!$BV$1:$CJ$1,'Input LwA_XYZ'!BV40:CJ40)))</f>
        <v/>
      </c>
      <c r="V41" s="228" t="str">
        <f>IF($P41="","",IF('Input LwA_XYZ'!S40="","-",'Input LwA_XYZ'!S40))</f>
        <v/>
      </c>
      <c r="W41" s="229" t="str" cm="1">
        <f t="array" ref="W41">IF($P41="","",IF(_xlfn.XLOOKUP(Tables!$N$2,_xlfn.ANCHORARRAY('Input LwA_XYZ'!$DD$1),'Input LwA_XYZ'!DD40:DR40)="","-",_xlfn.XLOOKUP(Tables!$N$2,_xlfn.ANCHORARRAY('Input LwA_XYZ'!$DD$1),'Input LwA_XYZ'!DD40:DR40)))</f>
        <v/>
      </c>
      <c r="X41" s="62" t="str">
        <f>IF($P41="","",_xlfn.XLOOKUP(Tables!$N$2,'Input LwA_XYZ'!$DU$1:$EI$1,'Input LwA_XYZ'!DU40:EI40))</f>
        <v/>
      </c>
    </row>
    <row r="42" spans="2:24" ht="16.5" customHeight="1" x14ac:dyDescent="0.3">
      <c r="B42" s="160" t="str">
        <f>IF(OR('Input LwA_XYZ'!A41 = 0, NOT(ISBLANK(_xlfn.XLOOKUP(L$2, 'Input LwA_XYZ'!CM$1:DA$1, 'Input LwA_XYZ'!CM41:DA41)))), "", 'Input LwA_XYZ'!A41)</f>
        <v/>
      </c>
      <c r="C42" s="159" t="str">
        <f>IF($B42="","",_xlfn.TEXTJOIN(" - ",TRUE,'Input LwA_XYZ'!B41:C41))</f>
        <v/>
      </c>
      <c r="D42" s="61" t="str">
        <f>IF($B42="","",'Input LwA_XYZ'!Q41)</f>
        <v/>
      </c>
      <c r="E42" s="86" t="str">
        <f>IF($B42="","",ROUND(_xlfn.XLOOKUP($L$2,'Input LwA_XYZ'!$AH$1:$AV$1,'Input LwA_XYZ'!AH41:AV41),0))</f>
        <v/>
      </c>
      <c r="F42" s="87" t="str">
        <f>IF($B42="","",-1*ROUND(_xlfn.XLOOKUP($L$2,'Input LwA_XYZ'!$AY$1:$BM$1,'Input LwA_XYZ'!AY41:BM41),0))</f>
        <v/>
      </c>
      <c r="G42" s="87" t="str">
        <f>IF($B42="","",IF(_xlfn.XLOOKUP($L$2,'Input LwA_XYZ'!$BV$1:$CJ$1,'Input LwA_XYZ'!BV41:CJ41)="","-",_xlfn.XLOOKUP($L$2,'Input LwA_XYZ'!$BV$1:$CJ$1,'Input LwA_XYZ'!BV41:CJ41)))</f>
        <v/>
      </c>
      <c r="H42" s="87" t="str">
        <f>IF($B42="","",IF('Input LwA_XYZ'!S41="","-",'Input LwA_XYZ'!S41))</f>
        <v/>
      </c>
      <c r="I42" s="215" t="str" cm="1">
        <f t="array" ref="I42">IF($B42="","",IF(_xlfn.XLOOKUP($L$2,_xlfn.ANCHORARRAY('Input LwA_XYZ'!$DD$1),'Input LwA_XYZ'!DD41:DR41)="","-",_xlfn.XLOOKUP($L$2,_xlfn.ANCHORARRAY('Input LwA_XYZ'!$DD$1),'Input LwA_XYZ'!DD41:DR41)))</f>
        <v/>
      </c>
      <c r="J42" s="62" t="str">
        <f>IF($B42="","",_xlfn.XLOOKUP($L$2,'Input LwA_XYZ'!$DU$1:$EI$1,'Input LwA_XYZ'!DU41:EI41))</f>
        <v/>
      </c>
      <c r="K42" s="4">
        <f t="shared" si="2"/>
        <v>0</v>
      </c>
      <c r="L42" s="103" t="str">
        <f t="shared" si="3"/>
        <v/>
      </c>
      <c r="P42" s="230" t="str">
        <f>IF(OR('Input LwA_XYZ'!A41 = 0, NOT(ISBLANK(_xlfn.XLOOKUP(Tables!N$2, 'Input LwA_XYZ'!CM$1:DA$1, 'Input LwA_XYZ'!CM41:DA41)))), "", 'Input LwA_XYZ'!A41)</f>
        <v/>
      </c>
      <c r="Q42" s="225" t="str">
        <f>IF($P42="","",_xlfn.TEXTJOIN(" - ",TRUE,'Input LwA_XYZ'!B41:C41))</f>
        <v/>
      </c>
      <c r="R42" s="231" t="str">
        <f>IF($P42="","",'Input LwA_XYZ'!Q41)</f>
        <v/>
      </c>
      <c r="S42" s="227" t="str">
        <f>IF($P42="","",ROUND(_xlfn.XLOOKUP(Tables!$N$2,'Input LwA_XYZ'!$AH$1:$AV$1,'Input LwA_XYZ'!AH41:AV41),0))</f>
        <v/>
      </c>
      <c r="T42" s="228" t="str">
        <f>IF($P42="","",-1*ROUND(_xlfn.XLOOKUP(Tables!$N$2,'Input LwA_XYZ'!$AY$1:$BM$1,'Input LwA_XYZ'!AY41:BM41),0))</f>
        <v/>
      </c>
      <c r="U42" s="228" t="str">
        <f>IF($P42="","",IF(_xlfn.XLOOKUP(Tables!$N$2,'Input LwA_XYZ'!$BV$1:$CJ$1,'Input LwA_XYZ'!BV41:CJ41)="","-",_xlfn.XLOOKUP(Tables!$N$2,'Input LwA_XYZ'!$BV$1:$CJ$1,'Input LwA_XYZ'!BV41:CJ41)))</f>
        <v/>
      </c>
      <c r="V42" s="228" t="str">
        <f>IF($P42="","",IF('Input LwA_XYZ'!S41="","-",'Input LwA_XYZ'!S41))</f>
        <v/>
      </c>
      <c r="W42" s="229" t="str" cm="1">
        <f t="array" ref="W42">IF($P42="","",IF(_xlfn.XLOOKUP(Tables!$N$2,_xlfn.ANCHORARRAY('Input LwA_XYZ'!$DD$1),'Input LwA_XYZ'!DD41:DR41)="","-",_xlfn.XLOOKUP(Tables!$N$2,_xlfn.ANCHORARRAY('Input LwA_XYZ'!$DD$1),'Input LwA_XYZ'!DD41:DR41)))</f>
        <v/>
      </c>
      <c r="X42" s="62" t="str">
        <f>IF($P42="","",_xlfn.XLOOKUP(Tables!$N$2,'Input LwA_XYZ'!$DU$1:$EI$1,'Input LwA_XYZ'!DU41:EI41))</f>
        <v/>
      </c>
    </row>
    <row r="43" spans="2:24" ht="16.5" customHeight="1" x14ac:dyDescent="0.3">
      <c r="B43" s="160" t="str">
        <f>IF(OR('Input LwA_XYZ'!A42 = 0, NOT(ISBLANK(_xlfn.XLOOKUP(L$2, 'Input LwA_XYZ'!CM$1:DA$1, 'Input LwA_XYZ'!CM42:DA42)))), "", 'Input LwA_XYZ'!A42)</f>
        <v/>
      </c>
      <c r="C43" s="159" t="str">
        <f>IF($B43="","",_xlfn.TEXTJOIN(" - ",TRUE,'Input LwA_XYZ'!B42:C42))</f>
        <v/>
      </c>
      <c r="D43" s="61" t="str">
        <f>IF($B43="","",'Input LwA_XYZ'!Q42)</f>
        <v/>
      </c>
      <c r="E43" s="86" t="str">
        <f>IF($B43="","",ROUND(_xlfn.XLOOKUP($L$2,'Input LwA_XYZ'!$AH$1:$AV$1,'Input LwA_XYZ'!AH42:AV42),0))</f>
        <v/>
      </c>
      <c r="F43" s="87" t="str">
        <f>IF($B43="","",-1*ROUND(_xlfn.XLOOKUP($L$2,'Input LwA_XYZ'!$AY$1:$BM$1,'Input LwA_XYZ'!AY42:BM42),0))</f>
        <v/>
      </c>
      <c r="G43" s="87" t="str">
        <f>IF($B43="","",IF(_xlfn.XLOOKUP($L$2,'Input LwA_XYZ'!$BV$1:$CJ$1,'Input LwA_XYZ'!BV42:CJ42)="","-",_xlfn.XLOOKUP($L$2,'Input LwA_XYZ'!$BV$1:$CJ$1,'Input LwA_XYZ'!BV42:CJ42)))</f>
        <v/>
      </c>
      <c r="H43" s="87" t="str">
        <f>IF($B43="","",IF('Input LwA_XYZ'!S42="","-",'Input LwA_XYZ'!S42))</f>
        <v/>
      </c>
      <c r="I43" s="215" t="str" cm="1">
        <f t="array" ref="I43">IF($B43="","",IF(_xlfn.XLOOKUP($L$2,_xlfn.ANCHORARRAY('Input LwA_XYZ'!$DD$1),'Input LwA_XYZ'!DD42:DR42)="","-",_xlfn.XLOOKUP($L$2,_xlfn.ANCHORARRAY('Input LwA_XYZ'!$DD$1),'Input LwA_XYZ'!DD42:DR42)))</f>
        <v/>
      </c>
      <c r="J43" s="62" t="str">
        <f>IF($B43="","",_xlfn.XLOOKUP($L$2,'Input LwA_XYZ'!$DU$1:$EI$1,'Input LwA_XYZ'!DU42:EI42))</f>
        <v/>
      </c>
      <c r="K43" s="4">
        <f t="shared" si="2"/>
        <v>0</v>
      </c>
      <c r="L43" s="103" t="str">
        <f t="shared" si="3"/>
        <v/>
      </c>
      <c r="P43" s="230" t="str">
        <f>IF(OR('Input LwA_XYZ'!A42 = 0, NOT(ISBLANK(_xlfn.XLOOKUP(Tables!N$2, 'Input LwA_XYZ'!CM$1:DA$1, 'Input LwA_XYZ'!CM42:DA42)))), "", 'Input LwA_XYZ'!A42)</f>
        <v/>
      </c>
      <c r="Q43" s="225" t="str">
        <f>IF($P43="","",_xlfn.TEXTJOIN(" - ",TRUE,'Input LwA_XYZ'!B42:C42))</f>
        <v/>
      </c>
      <c r="R43" s="231" t="str">
        <f>IF($P43="","",'Input LwA_XYZ'!Q42)</f>
        <v/>
      </c>
      <c r="S43" s="227" t="str">
        <f>IF($P43="","",ROUND(_xlfn.XLOOKUP(Tables!$N$2,'Input LwA_XYZ'!$AH$1:$AV$1,'Input LwA_XYZ'!AH42:AV42),0))</f>
        <v/>
      </c>
      <c r="T43" s="228" t="str">
        <f>IF($P43="","",-1*ROUND(_xlfn.XLOOKUP(Tables!$N$2,'Input LwA_XYZ'!$AY$1:$BM$1,'Input LwA_XYZ'!AY42:BM42),0))</f>
        <v/>
      </c>
      <c r="U43" s="228" t="str">
        <f>IF($P43="","",IF(_xlfn.XLOOKUP(Tables!$N$2,'Input LwA_XYZ'!$BV$1:$CJ$1,'Input LwA_XYZ'!BV42:CJ42)="","-",_xlfn.XLOOKUP(Tables!$N$2,'Input LwA_XYZ'!$BV$1:$CJ$1,'Input LwA_XYZ'!BV42:CJ42)))</f>
        <v/>
      </c>
      <c r="V43" s="228" t="str">
        <f>IF($P43="","",IF('Input LwA_XYZ'!S42="","-",'Input LwA_XYZ'!S42))</f>
        <v/>
      </c>
      <c r="W43" s="229" t="str" cm="1">
        <f t="array" ref="W43">IF($P43="","",IF(_xlfn.XLOOKUP(Tables!$N$2,_xlfn.ANCHORARRAY('Input LwA_XYZ'!$DD$1),'Input LwA_XYZ'!DD42:DR42)="","-",_xlfn.XLOOKUP(Tables!$N$2,_xlfn.ANCHORARRAY('Input LwA_XYZ'!$DD$1),'Input LwA_XYZ'!DD42:DR42)))</f>
        <v/>
      </c>
      <c r="X43" s="62" t="str">
        <f>IF($P43="","",_xlfn.XLOOKUP(Tables!$N$2,'Input LwA_XYZ'!$DU$1:$EI$1,'Input LwA_XYZ'!DU42:EI42))</f>
        <v/>
      </c>
    </row>
    <row r="44" spans="2:24" ht="16.5" customHeight="1" x14ac:dyDescent="0.3">
      <c r="B44" s="160" t="str">
        <f>IF(OR('Input LwA_XYZ'!A43 = 0, NOT(ISBLANK(_xlfn.XLOOKUP(L$2, 'Input LwA_XYZ'!CM$1:DA$1, 'Input LwA_XYZ'!CM43:DA43)))), "", 'Input LwA_XYZ'!A43)</f>
        <v/>
      </c>
      <c r="C44" s="159" t="str">
        <f>IF($B44="","",_xlfn.TEXTJOIN(" - ",TRUE,'Input LwA_XYZ'!B43:C43))</f>
        <v/>
      </c>
      <c r="D44" s="61" t="str">
        <f>IF($B44="","",'Input LwA_XYZ'!Q43)</f>
        <v/>
      </c>
      <c r="E44" s="86" t="str">
        <f>IF($B44="","",ROUND(_xlfn.XLOOKUP($L$2,'Input LwA_XYZ'!$AH$1:$AV$1,'Input LwA_XYZ'!AH43:AV43),0))</f>
        <v/>
      </c>
      <c r="F44" s="87" t="str">
        <f>IF($B44="","",-1*ROUND(_xlfn.XLOOKUP($L$2,'Input LwA_XYZ'!$AY$1:$BM$1,'Input LwA_XYZ'!AY43:BM43),0))</f>
        <v/>
      </c>
      <c r="G44" s="87" t="str">
        <f>IF($B44="","",IF(_xlfn.XLOOKUP($L$2,'Input LwA_XYZ'!$BV$1:$CJ$1,'Input LwA_XYZ'!BV43:CJ43)="","-",_xlfn.XLOOKUP($L$2,'Input LwA_XYZ'!$BV$1:$CJ$1,'Input LwA_XYZ'!BV43:CJ43)))</f>
        <v/>
      </c>
      <c r="H44" s="87" t="str">
        <f>IF($B44="","",IF('Input LwA_XYZ'!S43="","-",'Input LwA_XYZ'!S43))</f>
        <v/>
      </c>
      <c r="I44" s="215" t="str" cm="1">
        <f t="array" ref="I44">IF($B44="","",IF(_xlfn.XLOOKUP($L$2,_xlfn.ANCHORARRAY('Input LwA_XYZ'!$DD$1),'Input LwA_XYZ'!DD43:DR43)="","-",_xlfn.XLOOKUP($L$2,_xlfn.ANCHORARRAY('Input LwA_XYZ'!$DD$1),'Input LwA_XYZ'!DD43:DR43)))</f>
        <v/>
      </c>
      <c r="J44" s="62" t="str">
        <f>IF($B44="","",_xlfn.XLOOKUP($L$2,'Input LwA_XYZ'!$DU$1:$EI$1,'Input LwA_XYZ'!DU43:EI43))</f>
        <v/>
      </c>
      <c r="K44" s="4">
        <f t="shared" si="2"/>
        <v>0</v>
      </c>
      <c r="L44" s="103" t="str">
        <f t="shared" si="3"/>
        <v/>
      </c>
      <c r="P44" s="230" t="str">
        <f>IF(OR('Input LwA_XYZ'!A43 = 0, NOT(ISBLANK(_xlfn.XLOOKUP(Tables!N$2, 'Input LwA_XYZ'!CM$1:DA$1, 'Input LwA_XYZ'!CM43:DA43)))), "", 'Input LwA_XYZ'!A43)</f>
        <v/>
      </c>
      <c r="Q44" s="225" t="str">
        <f>IF($P44="","",_xlfn.TEXTJOIN(" - ",TRUE,'Input LwA_XYZ'!B43:C43))</f>
        <v/>
      </c>
      <c r="R44" s="231" t="str">
        <f>IF($P44="","",'Input LwA_XYZ'!Q43)</f>
        <v/>
      </c>
      <c r="S44" s="227" t="str">
        <f>IF($P44="","",ROUND(_xlfn.XLOOKUP(Tables!$N$2,'Input LwA_XYZ'!$AH$1:$AV$1,'Input LwA_XYZ'!AH43:AV43),0))</f>
        <v/>
      </c>
      <c r="T44" s="228" t="str">
        <f>IF($P44="","",-1*ROUND(_xlfn.XLOOKUP(Tables!$N$2,'Input LwA_XYZ'!$AY$1:$BM$1,'Input LwA_XYZ'!AY43:BM43),0))</f>
        <v/>
      </c>
      <c r="U44" s="228" t="str">
        <f>IF($P44="","",IF(_xlfn.XLOOKUP(Tables!$N$2,'Input LwA_XYZ'!$BV$1:$CJ$1,'Input LwA_XYZ'!BV43:CJ43)="","-",_xlfn.XLOOKUP(Tables!$N$2,'Input LwA_XYZ'!$BV$1:$CJ$1,'Input LwA_XYZ'!BV43:CJ43)))</f>
        <v/>
      </c>
      <c r="V44" s="228" t="str">
        <f>IF($P44="","",IF('Input LwA_XYZ'!S43="","-",'Input LwA_XYZ'!S43))</f>
        <v/>
      </c>
      <c r="W44" s="229" t="str" cm="1">
        <f t="array" ref="W44">IF($P44="","",IF(_xlfn.XLOOKUP(Tables!$N$2,_xlfn.ANCHORARRAY('Input LwA_XYZ'!$DD$1),'Input LwA_XYZ'!DD43:DR43)="","-",_xlfn.XLOOKUP(Tables!$N$2,_xlfn.ANCHORARRAY('Input LwA_XYZ'!$DD$1),'Input LwA_XYZ'!DD43:DR43)))</f>
        <v/>
      </c>
      <c r="X44" s="62" t="str">
        <f>IF($P44="","",_xlfn.XLOOKUP(Tables!$N$2,'Input LwA_XYZ'!$DU$1:$EI$1,'Input LwA_XYZ'!DU43:EI43))</f>
        <v/>
      </c>
    </row>
    <row r="45" spans="2:24" ht="16.5" customHeight="1" x14ac:dyDescent="0.3">
      <c r="B45" s="160" t="str">
        <f>IF(OR('Input LwA_XYZ'!A44 = 0, NOT(ISBLANK(_xlfn.XLOOKUP(L$2, 'Input LwA_XYZ'!CM$1:DA$1, 'Input LwA_XYZ'!CM44:DA44)))), "", 'Input LwA_XYZ'!A44)</f>
        <v/>
      </c>
      <c r="C45" s="159" t="str">
        <f>IF($B45="","",_xlfn.TEXTJOIN(" - ",TRUE,'Input LwA_XYZ'!B44:C44))</f>
        <v/>
      </c>
      <c r="D45" s="61" t="str">
        <f>IF($B45="","",'Input LwA_XYZ'!Q44)</f>
        <v/>
      </c>
      <c r="E45" s="86" t="str">
        <f>IF($B45="","",ROUND(_xlfn.XLOOKUP($L$2,'Input LwA_XYZ'!$AH$1:$AV$1,'Input LwA_XYZ'!AH44:AV44),0))</f>
        <v/>
      </c>
      <c r="F45" s="87" t="str">
        <f>IF($B45="","",-1*ROUND(_xlfn.XLOOKUP($L$2,'Input LwA_XYZ'!$AY$1:$BM$1,'Input LwA_XYZ'!AY44:BM44),0))</f>
        <v/>
      </c>
      <c r="G45" s="87" t="str">
        <f>IF($B45="","",IF(_xlfn.XLOOKUP($L$2,'Input LwA_XYZ'!$BV$1:$CJ$1,'Input LwA_XYZ'!BV44:CJ44)="","-",_xlfn.XLOOKUP($L$2,'Input LwA_XYZ'!$BV$1:$CJ$1,'Input LwA_XYZ'!BV44:CJ44)))</f>
        <v/>
      </c>
      <c r="H45" s="87" t="str">
        <f>IF($B45="","",IF('Input LwA_XYZ'!S44="","-",'Input LwA_XYZ'!S44))</f>
        <v/>
      </c>
      <c r="I45" s="215" t="str" cm="1">
        <f t="array" ref="I45">IF($B45="","",IF(_xlfn.XLOOKUP($L$2,_xlfn.ANCHORARRAY('Input LwA_XYZ'!$DD$1),'Input LwA_XYZ'!DD44:DR44)="","-",_xlfn.XLOOKUP($L$2,_xlfn.ANCHORARRAY('Input LwA_XYZ'!$DD$1),'Input LwA_XYZ'!DD44:DR44)))</f>
        <v/>
      </c>
      <c r="J45" s="62" t="str">
        <f>IF($B45="","",_xlfn.XLOOKUP($L$2,'Input LwA_XYZ'!$DU$1:$EI$1,'Input LwA_XYZ'!DU44:EI44))</f>
        <v/>
      </c>
      <c r="K45" s="4">
        <f t="shared" si="2"/>
        <v>0</v>
      </c>
      <c r="L45" s="103" t="str">
        <f t="shared" si="3"/>
        <v/>
      </c>
      <c r="P45" s="230" t="str">
        <f>IF(OR('Input LwA_XYZ'!A44 = 0, NOT(ISBLANK(_xlfn.XLOOKUP(Tables!N$2, 'Input LwA_XYZ'!CM$1:DA$1, 'Input LwA_XYZ'!CM44:DA44)))), "", 'Input LwA_XYZ'!A44)</f>
        <v/>
      </c>
      <c r="Q45" s="225" t="str">
        <f>IF($P45="","",_xlfn.TEXTJOIN(" - ",TRUE,'Input LwA_XYZ'!B44:C44))</f>
        <v/>
      </c>
      <c r="R45" s="231" t="str">
        <f>IF($P45="","",'Input LwA_XYZ'!Q44)</f>
        <v/>
      </c>
      <c r="S45" s="227" t="str">
        <f>IF($P45="","",ROUND(_xlfn.XLOOKUP(Tables!$N$2,'Input LwA_XYZ'!$AH$1:$AV$1,'Input LwA_XYZ'!AH44:AV44),0))</f>
        <v/>
      </c>
      <c r="T45" s="228" t="str">
        <f>IF($P45="","",-1*ROUND(_xlfn.XLOOKUP(Tables!$N$2,'Input LwA_XYZ'!$AY$1:$BM$1,'Input LwA_XYZ'!AY44:BM44),0))</f>
        <v/>
      </c>
      <c r="U45" s="228" t="str">
        <f>IF($P45="","",IF(_xlfn.XLOOKUP(Tables!$N$2,'Input LwA_XYZ'!$BV$1:$CJ$1,'Input LwA_XYZ'!BV44:CJ44)="","-",_xlfn.XLOOKUP(Tables!$N$2,'Input LwA_XYZ'!$BV$1:$CJ$1,'Input LwA_XYZ'!BV44:CJ44)))</f>
        <v/>
      </c>
      <c r="V45" s="228" t="str">
        <f>IF($P45="","",IF('Input LwA_XYZ'!S44="","-",'Input LwA_XYZ'!S44))</f>
        <v/>
      </c>
      <c r="W45" s="229" t="str" cm="1">
        <f t="array" ref="W45">IF($P45="","",IF(_xlfn.XLOOKUP(Tables!$N$2,_xlfn.ANCHORARRAY('Input LwA_XYZ'!$DD$1),'Input LwA_XYZ'!DD44:DR44)="","-",_xlfn.XLOOKUP(Tables!$N$2,_xlfn.ANCHORARRAY('Input LwA_XYZ'!$DD$1),'Input LwA_XYZ'!DD44:DR44)))</f>
        <v/>
      </c>
      <c r="X45" s="62" t="str">
        <f>IF($P45="","",_xlfn.XLOOKUP(Tables!$N$2,'Input LwA_XYZ'!$DU$1:$EI$1,'Input LwA_XYZ'!DU44:EI44))</f>
        <v/>
      </c>
    </row>
    <row r="46" spans="2:24" ht="16.5" customHeight="1" x14ac:dyDescent="0.3">
      <c r="B46" s="160" t="str">
        <f>IF(OR('Input LwA_XYZ'!A45 = 0, NOT(ISBLANK(_xlfn.XLOOKUP(L$2, 'Input LwA_XYZ'!CM$1:DA$1, 'Input LwA_XYZ'!CM45:DA45)))), "", 'Input LwA_XYZ'!A45)</f>
        <v/>
      </c>
      <c r="C46" s="159" t="str">
        <f>IF($B46="","",_xlfn.TEXTJOIN(" - ",TRUE,'Input LwA_XYZ'!B45:C45))</f>
        <v/>
      </c>
      <c r="D46" s="61" t="str">
        <f>IF($B46="","",'Input LwA_XYZ'!Q45)</f>
        <v/>
      </c>
      <c r="E46" s="86" t="str">
        <f>IF($B46="","",ROUND(_xlfn.XLOOKUP($L$2,'Input LwA_XYZ'!$AH$1:$AV$1,'Input LwA_XYZ'!AH45:AV45),0))</f>
        <v/>
      </c>
      <c r="F46" s="87" t="str">
        <f>IF($B46="","",-1*ROUND(_xlfn.XLOOKUP($L$2,'Input LwA_XYZ'!$AY$1:$BM$1,'Input LwA_XYZ'!AY45:BM45),0))</f>
        <v/>
      </c>
      <c r="G46" s="87" t="str">
        <f>IF($B46="","",IF(_xlfn.XLOOKUP($L$2,'Input LwA_XYZ'!$BV$1:$CJ$1,'Input LwA_XYZ'!BV45:CJ45)="","-",_xlfn.XLOOKUP($L$2,'Input LwA_XYZ'!$BV$1:$CJ$1,'Input LwA_XYZ'!BV45:CJ45)))</f>
        <v/>
      </c>
      <c r="H46" s="87" t="str">
        <f>IF($B46="","",IF('Input LwA_XYZ'!S45="","-",'Input LwA_XYZ'!S45))</f>
        <v/>
      </c>
      <c r="I46" s="215" t="str" cm="1">
        <f t="array" ref="I46">IF($B46="","",IF(_xlfn.XLOOKUP($L$2,_xlfn.ANCHORARRAY('Input LwA_XYZ'!$DD$1),'Input LwA_XYZ'!DD45:DR45)="","-",_xlfn.XLOOKUP($L$2,_xlfn.ANCHORARRAY('Input LwA_XYZ'!$DD$1),'Input LwA_XYZ'!DD45:DR45)))</f>
        <v/>
      </c>
      <c r="J46" s="62" t="str">
        <f>IF($B46="","",_xlfn.XLOOKUP($L$2,'Input LwA_XYZ'!$DU$1:$EI$1,'Input LwA_XYZ'!DU45:EI45))</f>
        <v/>
      </c>
      <c r="K46" s="4">
        <f t="shared" si="2"/>
        <v>0</v>
      </c>
      <c r="L46" s="103" t="str">
        <f t="shared" si="3"/>
        <v/>
      </c>
      <c r="P46" s="230" t="str">
        <f>IF(OR('Input LwA_XYZ'!A45 = 0, NOT(ISBLANK(_xlfn.XLOOKUP(Tables!N$2, 'Input LwA_XYZ'!CM$1:DA$1, 'Input LwA_XYZ'!CM45:DA45)))), "", 'Input LwA_XYZ'!A45)</f>
        <v/>
      </c>
      <c r="Q46" s="225" t="str">
        <f>IF($P46="","",_xlfn.TEXTJOIN(" - ",TRUE,'Input LwA_XYZ'!B45:C45))</f>
        <v/>
      </c>
      <c r="R46" s="231" t="str">
        <f>IF($P46="","",'Input LwA_XYZ'!Q45)</f>
        <v/>
      </c>
      <c r="S46" s="227" t="str">
        <f>IF($P46="","",ROUND(_xlfn.XLOOKUP(Tables!$N$2,'Input LwA_XYZ'!$AH$1:$AV$1,'Input LwA_XYZ'!AH45:AV45),0))</f>
        <v/>
      </c>
      <c r="T46" s="228" t="str">
        <f>IF($P46="","",-1*ROUND(_xlfn.XLOOKUP(Tables!$N$2,'Input LwA_XYZ'!$AY$1:$BM$1,'Input LwA_XYZ'!AY45:BM45),0))</f>
        <v/>
      </c>
      <c r="U46" s="228" t="str">
        <f>IF($P46="","",IF(_xlfn.XLOOKUP(Tables!$N$2,'Input LwA_XYZ'!$BV$1:$CJ$1,'Input LwA_XYZ'!BV45:CJ45)="","-",_xlfn.XLOOKUP(Tables!$N$2,'Input LwA_XYZ'!$BV$1:$CJ$1,'Input LwA_XYZ'!BV45:CJ45)))</f>
        <v/>
      </c>
      <c r="V46" s="228" t="str">
        <f>IF($P46="","",IF('Input LwA_XYZ'!S45="","-",'Input LwA_XYZ'!S45))</f>
        <v/>
      </c>
      <c r="W46" s="229" t="str" cm="1">
        <f t="array" ref="W46">IF($P46="","",IF(_xlfn.XLOOKUP(Tables!$N$2,_xlfn.ANCHORARRAY('Input LwA_XYZ'!$DD$1),'Input LwA_XYZ'!DD45:DR45)="","-",_xlfn.XLOOKUP(Tables!$N$2,_xlfn.ANCHORARRAY('Input LwA_XYZ'!$DD$1),'Input LwA_XYZ'!DD45:DR45)))</f>
        <v/>
      </c>
      <c r="X46" s="62" t="str">
        <f>IF($P46="","",_xlfn.XLOOKUP(Tables!$N$2,'Input LwA_XYZ'!$DU$1:$EI$1,'Input LwA_XYZ'!DU45:EI45))</f>
        <v/>
      </c>
    </row>
    <row r="47" spans="2:24" ht="16.5" customHeight="1" x14ac:dyDescent="0.3">
      <c r="B47" s="160" t="str">
        <f>IF(OR('Input LwA_XYZ'!A46 = 0, NOT(ISBLANK(_xlfn.XLOOKUP(L$2, 'Input LwA_XYZ'!CM$1:DA$1, 'Input LwA_XYZ'!CM46:DA46)))), "", 'Input LwA_XYZ'!A46)</f>
        <v/>
      </c>
      <c r="C47" s="159" t="str">
        <f>IF($B47="","",_xlfn.TEXTJOIN(" - ",TRUE,'Input LwA_XYZ'!B46:C46))</f>
        <v/>
      </c>
      <c r="D47" s="61" t="str">
        <f>IF($B47="","",'Input LwA_XYZ'!Q46)</f>
        <v/>
      </c>
      <c r="E47" s="86" t="str">
        <f>IF($B47="","",ROUND(_xlfn.XLOOKUP($L$2,'Input LwA_XYZ'!$AH$1:$AV$1,'Input LwA_XYZ'!AH46:AV46),0))</f>
        <v/>
      </c>
      <c r="F47" s="87" t="str">
        <f>IF($B47="","",-1*ROUND(_xlfn.XLOOKUP($L$2,'Input LwA_XYZ'!$AY$1:$BM$1,'Input LwA_XYZ'!AY46:BM46),0))</f>
        <v/>
      </c>
      <c r="G47" s="87" t="str">
        <f>IF($B47="","",IF(_xlfn.XLOOKUP($L$2,'Input LwA_XYZ'!$BV$1:$CJ$1,'Input LwA_XYZ'!BV46:CJ46)="","-",_xlfn.XLOOKUP($L$2,'Input LwA_XYZ'!$BV$1:$CJ$1,'Input LwA_XYZ'!BV46:CJ46)))</f>
        <v/>
      </c>
      <c r="H47" s="87" t="str">
        <f>IF($B47="","",IF('Input LwA_XYZ'!S46="","-",'Input LwA_XYZ'!S46))</f>
        <v/>
      </c>
      <c r="I47" s="215" t="str" cm="1">
        <f t="array" ref="I47">IF($B47="","",IF(_xlfn.XLOOKUP($L$2,_xlfn.ANCHORARRAY('Input LwA_XYZ'!$DD$1),'Input LwA_XYZ'!DD46:DR46)="","-",_xlfn.XLOOKUP($L$2,_xlfn.ANCHORARRAY('Input LwA_XYZ'!$DD$1),'Input LwA_XYZ'!DD46:DR46)))</f>
        <v/>
      </c>
      <c r="J47" s="62" t="str">
        <f>IF($B47="","",_xlfn.XLOOKUP($L$2,'Input LwA_XYZ'!$DU$1:$EI$1,'Input LwA_XYZ'!DU46:EI46))</f>
        <v/>
      </c>
      <c r="K47" s="4">
        <f t="shared" si="2"/>
        <v>0</v>
      </c>
      <c r="L47" s="103" t="str">
        <f t="shared" si="3"/>
        <v/>
      </c>
      <c r="P47" s="230" t="str">
        <f>IF(OR('Input LwA_XYZ'!A46 = 0, NOT(ISBLANK(_xlfn.XLOOKUP(Tables!N$2, 'Input LwA_XYZ'!CM$1:DA$1, 'Input LwA_XYZ'!CM46:DA46)))), "", 'Input LwA_XYZ'!A46)</f>
        <v/>
      </c>
      <c r="Q47" s="225" t="str">
        <f>IF($P47="","",_xlfn.TEXTJOIN(" - ",TRUE,'Input LwA_XYZ'!B46:C46))</f>
        <v/>
      </c>
      <c r="R47" s="231" t="str">
        <f>IF($P47="","",'Input LwA_XYZ'!Q46)</f>
        <v/>
      </c>
      <c r="S47" s="227" t="str">
        <f>IF($P47="","",ROUND(_xlfn.XLOOKUP(Tables!$N$2,'Input LwA_XYZ'!$AH$1:$AV$1,'Input LwA_XYZ'!AH46:AV46),0))</f>
        <v/>
      </c>
      <c r="T47" s="228" t="str">
        <f>IF($P47="","",-1*ROUND(_xlfn.XLOOKUP(Tables!$N$2,'Input LwA_XYZ'!$AY$1:$BM$1,'Input LwA_XYZ'!AY46:BM46),0))</f>
        <v/>
      </c>
      <c r="U47" s="228" t="str">
        <f>IF($P47="","",IF(_xlfn.XLOOKUP(Tables!$N$2,'Input LwA_XYZ'!$BV$1:$CJ$1,'Input LwA_XYZ'!BV46:CJ46)="","-",_xlfn.XLOOKUP(Tables!$N$2,'Input LwA_XYZ'!$BV$1:$CJ$1,'Input LwA_XYZ'!BV46:CJ46)))</f>
        <v/>
      </c>
      <c r="V47" s="228" t="str">
        <f>IF($P47="","",IF('Input LwA_XYZ'!S46="","-",'Input LwA_XYZ'!S46))</f>
        <v/>
      </c>
      <c r="W47" s="229" t="str" cm="1">
        <f t="array" ref="W47">IF($P47="","",IF(_xlfn.XLOOKUP(Tables!$N$2,_xlfn.ANCHORARRAY('Input LwA_XYZ'!$DD$1),'Input LwA_XYZ'!DD46:DR46)="","-",_xlfn.XLOOKUP(Tables!$N$2,_xlfn.ANCHORARRAY('Input LwA_XYZ'!$DD$1),'Input LwA_XYZ'!DD46:DR46)))</f>
        <v/>
      </c>
      <c r="X47" s="62" t="str">
        <f>IF($P47="","",_xlfn.XLOOKUP(Tables!$N$2,'Input LwA_XYZ'!$DU$1:$EI$1,'Input LwA_XYZ'!DU46:EI46))</f>
        <v/>
      </c>
    </row>
    <row r="48" spans="2:24" ht="16.5" customHeight="1" x14ac:dyDescent="0.3">
      <c r="B48" s="160" t="str">
        <f>IF(OR('Input LwA_XYZ'!A47 = 0, NOT(ISBLANK(_xlfn.XLOOKUP(L$2, 'Input LwA_XYZ'!CM$1:DA$1, 'Input LwA_XYZ'!CM47:DA47)))), "", 'Input LwA_XYZ'!A47)</f>
        <v/>
      </c>
      <c r="C48" s="159" t="str">
        <f>IF($B48="","",_xlfn.TEXTJOIN(" - ",TRUE,'Input LwA_XYZ'!B47:C47))</f>
        <v/>
      </c>
      <c r="D48" s="61" t="str">
        <f>IF($B48="","",'Input LwA_XYZ'!Q47)</f>
        <v/>
      </c>
      <c r="E48" s="86" t="str">
        <f>IF($B48="","",ROUND(_xlfn.XLOOKUP($L$2,'Input LwA_XYZ'!$AH$1:$AV$1,'Input LwA_XYZ'!AH47:AV47),0))</f>
        <v/>
      </c>
      <c r="F48" s="87" t="str">
        <f>IF($B48="","",-1*ROUND(_xlfn.XLOOKUP($L$2,'Input LwA_XYZ'!$AY$1:$BM$1,'Input LwA_XYZ'!AY47:BM47),0))</f>
        <v/>
      </c>
      <c r="G48" s="87" t="str">
        <f>IF($B48="","",IF(_xlfn.XLOOKUP($L$2,'Input LwA_XYZ'!$BV$1:$CJ$1,'Input LwA_XYZ'!BV47:CJ47)="","-",_xlfn.XLOOKUP($L$2,'Input LwA_XYZ'!$BV$1:$CJ$1,'Input LwA_XYZ'!BV47:CJ47)))</f>
        <v/>
      </c>
      <c r="H48" s="87" t="str">
        <f>IF($B48="","",IF('Input LwA_XYZ'!S47="","-",'Input LwA_XYZ'!S47))</f>
        <v/>
      </c>
      <c r="I48" s="215" t="str" cm="1">
        <f t="array" ref="I48">IF($B48="","",IF(_xlfn.XLOOKUP($L$2,_xlfn.ANCHORARRAY('Input LwA_XYZ'!$DD$1),'Input LwA_XYZ'!DD47:DR47)="","-",_xlfn.XLOOKUP($L$2,_xlfn.ANCHORARRAY('Input LwA_XYZ'!$DD$1),'Input LwA_XYZ'!DD47:DR47)))</f>
        <v/>
      </c>
      <c r="J48" s="62" t="str">
        <f>IF($B48="","",_xlfn.XLOOKUP($L$2,'Input LwA_XYZ'!$DU$1:$EI$1,'Input LwA_XYZ'!DU47:EI47))</f>
        <v/>
      </c>
      <c r="K48" s="4">
        <f t="shared" si="2"/>
        <v>0</v>
      </c>
      <c r="L48" s="103" t="str">
        <f t="shared" si="3"/>
        <v/>
      </c>
      <c r="P48" s="230" t="str">
        <f>IF(OR('Input LwA_XYZ'!A47 = 0, NOT(ISBLANK(_xlfn.XLOOKUP(Tables!N$2, 'Input LwA_XYZ'!CM$1:DA$1, 'Input LwA_XYZ'!CM47:DA47)))), "", 'Input LwA_XYZ'!A47)</f>
        <v/>
      </c>
      <c r="Q48" s="225" t="str">
        <f>IF($P48="","",_xlfn.TEXTJOIN(" - ",TRUE,'Input LwA_XYZ'!B47:C47))</f>
        <v/>
      </c>
      <c r="R48" s="231" t="str">
        <f>IF($P48="","",'Input LwA_XYZ'!Q47)</f>
        <v/>
      </c>
      <c r="S48" s="227" t="str">
        <f>IF($P48="","",ROUND(_xlfn.XLOOKUP(Tables!$N$2,'Input LwA_XYZ'!$AH$1:$AV$1,'Input LwA_XYZ'!AH47:AV47),0))</f>
        <v/>
      </c>
      <c r="T48" s="228" t="str">
        <f>IF($P48="","",-1*ROUND(_xlfn.XLOOKUP(Tables!$N$2,'Input LwA_XYZ'!$AY$1:$BM$1,'Input LwA_XYZ'!AY47:BM47),0))</f>
        <v/>
      </c>
      <c r="U48" s="228" t="str">
        <f>IF($P48="","",IF(_xlfn.XLOOKUP(Tables!$N$2,'Input LwA_XYZ'!$BV$1:$CJ$1,'Input LwA_XYZ'!BV47:CJ47)="","-",_xlfn.XLOOKUP(Tables!$N$2,'Input LwA_XYZ'!$BV$1:$CJ$1,'Input LwA_XYZ'!BV47:CJ47)))</f>
        <v/>
      </c>
      <c r="V48" s="228" t="str">
        <f>IF($P48="","",IF('Input LwA_XYZ'!S47="","-",'Input LwA_XYZ'!S47))</f>
        <v/>
      </c>
      <c r="W48" s="229" t="str" cm="1">
        <f t="array" ref="W48">IF($P48="","",IF(_xlfn.XLOOKUP(Tables!$N$2,_xlfn.ANCHORARRAY('Input LwA_XYZ'!$DD$1),'Input LwA_XYZ'!DD47:DR47)="","-",_xlfn.XLOOKUP(Tables!$N$2,_xlfn.ANCHORARRAY('Input LwA_XYZ'!$DD$1),'Input LwA_XYZ'!DD47:DR47)))</f>
        <v/>
      </c>
      <c r="X48" s="62" t="str">
        <f>IF($P48="","",_xlfn.XLOOKUP(Tables!$N$2,'Input LwA_XYZ'!$DU$1:$EI$1,'Input LwA_XYZ'!DU47:EI47))</f>
        <v/>
      </c>
    </row>
    <row r="49" spans="2:24" ht="16.5" customHeight="1" x14ac:dyDescent="0.3">
      <c r="B49" s="160" t="str">
        <f>IF(OR('Input LwA_XYZ'!A48 = 0, NOT(ISBLANK(_xlfn.XLOOKUP(L$2, 'Input LwA_XYZ'!CM$1:DA$1, 'Input LwA_XYZ'!CM48:DA48)))), "", 'Input LwA_XYZ'!A48)</f>
        <v/>
      </c>
      <c r="C49" s="159" t="str">
        <f>IF($B49="","",_xlfn.TEXTJOIN(" - ",TRUE,'Input LwA_XYZ'!B48:C48))</f>
        <v/>
      </c>
      <c r="D49" s="61" t="str">
        <f>IF($B49="","",'Input LwA_XYZ'!Q48)</f>
        <v/>
      </c>
      <c r="E49" s="86" t="str">
        <f>IF($B49="","",ROUND(_xlfn.XLOOKUP($L$2,'Input LwA_XYZ'!$AH$1:$AV$1,'Input LwA_XYZ'!AH48:AV48),0))</f>
        <v/>
      </c>
      <c r="F49" s="87" t="str">
        <f>IF($B49="","",-1*ROUND(_xlfn.XLOOKUP($L$2,'Input LwA_XYZ'!$AY$1:$BM$1,'Input LwA_XYZ'!AY48:BM48),0))</f>
        <v/>
      </c>
      <c r="G49" s="87" t="str">
        <f>IF($B49="","",IF(_xlfn.XLOOKUP($L$2,'Input LwA_XYZ'!$BV$1:$CJ$1,'Input LwA_XYZ'!BV48:CJ48)="","-",_xlfn.XLOOKUP($L$2,'Input LwA_XYZ'!$BV$1:$CJ$1,'Input LwA_XYZ'!BV48:CJ48)))</f>
        <v/>
      </c>
      <c r="H49" s="87" t="str">
        <f>IF($B49="","",IF('Input LwA_XYZ'!S48="","-",'Input LwA_XYZ'!S48))</f>
        <v/>
      </c>
      <c r="I49" s="215" t="str" cm="1">
        <f t="array" ref="I49">IF($B49="","",IF(_xlfn.XLOOKUP($L$2,_xlfn.ANCHORARRAY('Input LwA_XYZ'!$DD$1),'Input LwA_XYZ'!DD48:DR48)="","-",_xlfn.XLOOKUP($L$2,_xlfn.ANCHORARRAY('Input LwA_XYZ'!$DD$1),'Input LwA_XYZ'!DD48:DR48)))</f>
        <v/>
      </c>
      <c r="J49" s="62" t="str">
        <f>IF($B49="","",_xlfn.XLOOKUP($L$2,'Input LwA_XYZ'!$DU$1:$EI$1,'Input LwA_XYZ'!DU48:EI48))</f>
        <v/>
      </c>
      <c r="K49" s="4">
        <f t="shared" si="2"/>
        <v>0</v>
      </c>
      <c r="L49" s="103" t="str">
        <f t="shared" si="3"/>
        <v/>
      </c>
      <c r="P49" s="230" t="str">
        <f>IF(OR('Input LwA_XYZ'!A48 = 0, NOT(ISBLANK(_xlfn.XLOOKUP(Tables!N$2, 'Input LwA_XYZ'!CM$1:DA$1, 'Input LwA_XYZ'!CM48:DA48)))), "", 'Input LwA_XYZ'!A48)</f>
        <v/>
      </c>
      <c r="Q49" s="225" t="str">
        <f>IF($P49="","",_xlfn.TEXTJOIN(" - ",TRUE,'Input LwA_XYZ'!B48:C48))</f>
        <v/>
      </c>
      <c r="R49" s="231" t="str">
        <f>IF($P49="","",'Input LwA_XYZ'!Q48)</f>
        <v/>
      </c>
      <c r="S49" s="227" t="str">
        <f>IF($P49="","",ROUND(_xlfn.XLOOKUP(Tables!$N$2,'Input LwA_XYZ'!$AH$1:$AV$1,'Input LwA_XYZ'!AH48:AV48),0))</f>
        <v/>
      </c>
      <c r="T49" s="228" t="str">
        <f>IF($P49="","",-1*ROUND(_xlfn.XLOOKUP(Tables!$N$2,'Input LwA_XYZ'!$AY$1:$BM$1,'Input LwA_XYZ'!AY48:BM48),0))</f>
        <v/>
      </c>
      <c r="U49" s="228" t="str">
        <f>IF($P49="","",IF(_xlfn.XLOOKUP(Tables!$N$2,'Input LwA_XYZ'!$BV$1:$CJ$1,'Input LwA_XYZ'!BV48:CJ48)="","-",_xlfn.XLOOKUP(Tables!$N$2,'Input LwA_XYZ'!$BV$1:$CJ$1,'Input LwA_XYZ'!BV48:CJ48)))</f>
        <v/>
      </c>
      <c r="V49" s="228" t="str">
        <f>IF($P49="","",IF('Input LwA_XYZ'!S48="","-",'Input LwA_XYZ'!S48))</f>
        <v/>
      </c>
      <c r="W49" s="229" t="str" cm="1">
        <f t="array" ref="W49">IF($P49="","",IF(_xlfn.XLOOKUP(Tables!$N$2,_xlfn.ANCHORARRAY('Input LwA_XYZ'!$DD$1),'Input LwA_XYZ'!DD48:DR48)="","-",_xlfn.XLOOKUP(Tables!$N$2,_xlfn.ANCHORARRAY('Input LwA_XYZ'!$DD$1),'Input LwA_XYZ'!DD48:DR48)))</f>
        <v/>
      </c>
      <c r="X49" s="62" t="str">
        <f>IF($P49="","",_xlfn.XLOOKUP(Tables!$N$2,'Input LwA_XYZ'!$DU$1:$EI$1,'Input LwA_XYZ'!DU48:EI48))</f>
        <v/>
      </c>
    </row>
    <row r="50" spans="2:24" ht="16.5" customHeight="1" x14ac:dyDescent="0.3">
      <c r="B50" s="160" t="str">
        <f>IF(OR('Input LwA_XYZ'!A49 = 0, NOT(ISBLANK(_xlfn.XLOOKUP(L$2, 'Input LwA_XYZ'!CM$1:DA$1, 'Input LwA_XYZ'!CM49:DA49)))), "", 'Input LwA_XYZ'!A49)</f>
        <v/>
      </c>
      <c r="C50" s="159" t="str">
        <f>IF($B50="","",_xlfn.TEXTJOIN(" - ",TRUE,'Input LwA_XYZ'!B49:C49))</f>
        <v/>
      </c>
      <c r="D50" s="61" t="str">
        <f>IF($B50="","",'Input LwA_XYZ'!Q49)</f>
        <v/>
      </c>
      <c r="E50" s="86" t="str">
        <f>IF($B50="","",ROUND(_xlfn.XLOOKUP($L$2,'Input LwA_XYZ'!$AH$1:$AV$1,'Input LwA_XYZ'!AH49:AV49),0))</f>
        <v/>
      </c>
      <c r="F50" s="87" t="str">
        <f>IF($B50="","",-1*ROUND(_xlfn.XLOOKUP($L$2,'Input LwA_XYZ'!$AY$1:$BM$1,'Input LwA_XYZ'!AY49:BM49),0))</f>
        <v/>
      </c>
      <c r="G50" s="87" t="str">
        <f>IF($B50="","",IF(_xlfn.XLOOKUP($L$2,'Input LwA_XYZ'!$BV$1:$CJ$1,'Input LwA_XYZ'!BV49:CJ49)="","-",_xlfn.XLOOKUP($L$2,'Input LwA_XYZ'!$BV$1:$CJ$1,'Input LwA_XYZ'!BV49:CJ49)))</f>
        <v/>
      </c>
      <c r="H50" s="87" t="str">
        <f>IF($B50="","",IF('Input LwA_XYZ'!S49="","-",'Input LwA_XYZ'!S49))</f>
        <v/>
      </c>
      <c r="I50" s="215" t="str" cm="1">
        <f t="array" ref="I50">IF($B50="","",IF(_xlfn.XLOOKUP($L$2,_xlfn.ANCHORARRAY('Input LwA_XYZ'!$DD$1),'Input LwA_XYZ'!DD49:DR49)="","-",_xlfn.XLOOKUP($L$2,_xlfn.ANCHORARRAY('Input LwA_XYZ'!$DD$1),'Input LwA_XYZ'!DD49:DR49)))</f>
        <v/>
      </c>
      <c r="J50" s="62" t="str">
        <f>IF($B50="","",_xlfn.XLOOKUP($L$2,'Input LwA_XYZ'!$DU$1:$EI$1,'Input LwA_XYZ'!DU49:EI49))</f>
        <v/>
      </c>
      <c r="K50" s="4">
        <f t="shared" si="2"/>
        <v>0</v>
      </c>
      <c r="L50" s="103" t="str">
        <f t="shared" si="3"/>
        <v/>
      </c>
      <c r="P50" s="230" t="str">
        <f>IF(OR('Input LwA_XYZ'!A49 = 0, NOT(ISBLANK(_xlfn.XLOOKUP(Tables!N$2, 'Input LwA_XYZ'!CM$1:DA$1, 'Input LwA_XYZ'!CM49:DA49)))), "", 'Input LwA_XYZ'!A49)</f>
        <v/>
      </c>
      <c r="Q50" s="225" t="str">
        <f>IF($P50="","",_xlfn.TEXTJOIN(" - ",TRUE,'Input LwA_XYZ'!B49:C49))</f>
        <v/>
      </c>
      <c r="R50" s="231" t="str">
        <f>IF($P50="","",'Input LwA_XYZ'!Q49)</f>
        <v/>
      </c>
      <c r="S50" s="227" t="str">
        <f>IF($P50="","",ROUND(_xlfn.XLOOKUP(Tables!$N$2,'Input LwA_XYZ'!$AH$1:$AV$1,'Input LwA_XYZ'!AH49:AV49),0))</f>
        <v/>
      </c>
      <c r="T50" s="228" t="str">
        <f>IF($P50="","",-1*ROUND(_xlfn.XLOOKUP(Tables!$N$2,'Input LwA_XYZ'!$AY$1:$BM$1,'Input LwA_XYZ'!AY49:BM49),0))</f>
        <v/>
      </c>
      <c r="U50" s="228" t="str">
        <f>IF($P50="","",IF(_xlfn.XLOOKUP(Tables!$N$2,'Input LwA_XYZ'!$BV$1:$CJ$1,'Input LwA_XYZ'!BV49:CJ49)="","-",_xlfn.XLOOKUP(Tables!$N$2,'Input LwA_XYZ'!$BV$1:$CJ$1,'Input LwA_XYZ'!BV49:CJ49)))</f>
        <v/>
      </c>
      <c r="V50" s="228" t="str">
        <f>IF($P50="","",IF('Input LwA_XYZ'!S49="","-",'Input LwA_XYZ'!S49))</f>
        <v/>
      </c>
      <c r="W50" s="229" t="str" cm="1">
        <f t="array" ref="W50">IF($P50="","",IF(_xlfn.XLOOKUP(Tables!$N$2,_xlfn.ANCHORARRAY('Input LwA_XYZ'!$DD$1),'Input LwA_XYZ'!DD49:DR49)="","-",_xlfn.XLOOKUP(Tables!$N$2,_xlfn.ANCHORARRAY('Input LwA_XYZ'!$DD$1),'Input LwA_XYZ'!DD49:DR49)))</f>
        <v/>
      </c>
      <c r="X50" s="62" t="str">
        <f>IF($P50="","",_xlfn.XLOOKUP(Tables!$N$2,'Input LwA_XYZ'!$DU$1:$EI$1,'Input LwA_XYZ'!DU49:EI49))</f>
        <v/>
      </c>
    </row>
    <row r="51" spans="2:24" ht="16.5" customHeight="1" x14ac:dyDescent="0.3">
      <c r="B51" s="160" t="str">
        <f>IF(OR('Input LwA_XYZ'!A50 = 0, NOT(ISBLANK(_xlfn.XLOOKUP(L$2, 'Input LwA_XYZ'!CM$1:DA$1, 'Input LwA_XYZ'!CM50:DA50)))), "", 'Input LwA_XYZ'!A50)</f>
        <v/>
      </c>
      <c r="C51" s="159" t="str">
        <f>IF($B51="","",_xlfn.TEXTJOIN(" - ",TRUE,'Input LwA_XYZ'!B50:C50))</f>
        <v/>
      </c>
      <c r="D51" s="61" t="str">
        <f>IF($B51="","",'Input LwA_XYZ'!Q50)</f>
        <v/>
      </c>
      <c r="E51" s="86" t="str">
        <f>IF($B51="","",ROUND(_xlfn.XLOOKUP($L$2,'Input LwA_XYZ'!$AH$1:$AV$1,'Input LwA_XYZ'!AH50:AV50),0))</f>
        <v/>
      </c>
      <c r="F51" s="87" t="str">
        <f>IF($B51="","",-1*ROUND(_xlfn.XLOOKUP($L$2,'Input LwA_XYZ'!$AY$1:$BM$1,'Input LwA_XYZ'!AY50:BM50),0))</f>
        <v/>
      </c>
      <c r="G51" s="87" t="str">
        <f>IF($B51="","",IF(_xlfn.XLOOKUP($L$2,'Input LwA_XYZ'!$BV$1:$CJ$1,'Input LwA_XYZ'!BV50:CJ50)="","-",_xlfn.XLOOKUP($L$2,'Input LwA_XYZ'!$BV$1:$CJ$1,'Input LwA_XYZ'!BV50:CJ50)))</f>
        <v/>
      </c>
      <c r="H51" s="87" t="str">
        <f>IF($B51="","",IF('Input LwA_XYZ'!S50="","-",'Input LwA_XYZ'!S50))</f>
        <v/>
      </c>
      <c r="I51" s="215" t="str" cm="1">
        <f t="array" ref="I51">IF($B51="","",IF(_xlfn.XLOOKUP($L$2,_xlfn.ANCHORARRAY('Input LwA_XYZ'!$DD$1),'Input LwA_XYZ'!DD50:DR50)="","-",_xlfn.XLOOKUP($L$2,_xlfn.ANCHORARRAY('Input LwA_XYZ'!$DD$1),'Input LwA_XYZ'!DD50:DR50)))</f>
        <v/>
      </c>
      <c r="J51" s="62" t="str">
        <f>IF($B51="","",_xlfn.XLOOKUP($L$2,'Input LwA_XYZ'!$DU$1:$EI$1,'Input LwA_XYZ'!DU50:EI50))</f>
        <v/>
      </c>
      <c r="K51" s="4">
        <f t="shared" si="2"/>
        <v>0</v>
      </c>
      <c r="L51" s="103" t="str">
        <f t="shared" si="3"/>
        <v/>
      </c>
      <c r="P51" s="230" t="str">
        <f>IF(OR('Input LwA_XYZ'!A50 = 0, NOT(ISBLANK(_xlfn.XLOOKUP(Tables!N$2, 'Input LwA_XYZ'!CM$1:DA$1, 'Input LwA_XYZ'!CM50:DA50)))), "", 'Input LwA_XYZ'!A50)</f>
        <v/>
      </c>
      <c r="Q51" s="225" t="str">
        <f>IF($P51="","",_xlfn.TEXTJOIN(" - ",TRUE,'Input LwA_XYZ'!B50:C50))</f>
        <v/>
      </c>
      <c r="R51" s="231" t="str">
        <f>IF($P51="","",'Input LwA_XYZ'!Q50)</f>
        <v/>
      </c>
      <c r="S51" s="227" t="str">
        <f>IF($P51="","",ROUND(_xlfn.XLOOKUP(Tables!$N$2,'Input LwA_XYZ'!$AH$1:$AV$1,'Input LwA_XYZ'!AH50:AV50),0))</f>
        <v/>
      </c>
      <c r="T51" s="228" t="str">
        <f>IF($P51="","",-1*ROUND(_xlfn.XLOOKUP(Tables!$N$2,'Input LwA_XYZ'!$AY$1:$BM$1,'Input LwA_XYZ'!AY50:BM50),0))</f>
        <v/>
      </c>
      <c r="U51" s="228" t="str">
        <f>IF($P51="","",IF(_xlfn.XLOOKUP(Tables!$N$2,'Input LwA_XYZ'!$BV$1:$CJ$1,'Input LwA_XYZ'!BV50:CJ50)="","-",_xlfn.XLOOKUP(Tables!$N$2,'Input LwA_XYZ'!$BV$1:$CJ$1,'Input LwA_XYZ'!BV50:CJ50)))</f>
        <v/>
      </c>
      <c r="V51" s="228" t="str">
        <f>IF($P51="","",IF('Input LwA_XYZ'!S50="","-",'Input LwA_XYZ'!S50))</f>
        <v/>
      </c>
      <c r="W51" s="229" t="str" cm="1">
        <f t="array" ref="W51">IF($P51="","",IF(_xlfn.XLOOKUP(Tables!$N$2,_xlfn.ANCHORARRAY('Input LwA_XYZ'!$DD$1),'Input LwA_XYZ'!DD50:DR50)="","-",_xlfn.XLOOKUP(Tables!$N$2,_xlfn.ANCHORARRAY('Input LwA_XYZ'!$DD$1),'Input LwA_XYZ'!DD50:DR50)))</f>
        <v/>
      </c>
      <c r="X51" s="62" t="str">
        <f>IF($P51="","",_xlfn.XLOOKUP(Tables!$N$2,'Input LwA_XYZ'!$DU$1:$EI$1,'Input LwA_XYZ'!DU50:EI50))</f>
        <v/>
      </c>
    </row>
    <row r="52" spans="2:24" ht="16.5" customHeight="1" x14ac:dyDescent="0.3">
      <c r="B52" s="160" t="str">
        <f>IF(OR('Input LwA_XYZ'!A51 = 0, NOT(ISBLANK(_xlfn.XLOOKUP(L$2, 'Input LwA_XYZ'!CM$1:DA$1, 'Input LwA_XYZ'!CM51:DA51)))), "", 'Input LwA_XYZ'!A51)</f>
        <v/>
      </c>
      <c r="C52" s="159" t="str">
        <f>IF($B52="","",_xlfn.TEXTJOIN(" - ",TRUE,'Input LwA_XYZ'!B51:C51))</f>
        <v/>
      </c>
      <c r="D52" s="61" t="str">
        <f>IF($B52="","",'Input LwA_XYZ'!Q51)</f>
        <v/>
      </c>
      <c r="E52" s="86" t="str">
        <f>IF($B52="","",ROUND(_xlfn.XLOOKUP($L$2,'Input LwA_XYZ'!$AH$1:$AV$1,'Input LwA_XYZ'!AH51:AV51),0))</f>
        <v/>
      </c>
      <c r="F52" s="87" t="str">
        <f>IF($B52="","",-1*ROUND(_xlfn.XLOOKUP($L$2,'Input LwA_XYZ'!$AY$1:$BM$1,'Input LwA_XYZ'!AY51:BM51),0))</f>
        <v/>
      </c>
      <c r="G52" s="87" t="str">
        <f>IF($B52="","",IF(_xlfn.XLOOKUP($L$2,'Input LwA_XYZ'!$BV$1:$CJ$1,'Input LwA_XYZ'!BV51:CJ51)="","-",_xlfn.XLOOKUP($L$2,'Input LwA_XYZ'!$BV$1:$CJ$1,'Input LwA_XYZ'!BV51:CJ51)))</f>
        <v/>
      </c>
      <c r="H52" s="87" t="str">
        <f>IF($B52="","",IF('Input LwA_XYZ'!S51="","-",'Input LwA_XYZ'!S51))</f>
        <v/>
      </c>
      <c r="I52" s="215" t="str" cm="1">
        <f t="array" ref="I52">IF($B52="","",IF(_xlfn.XLOOKUP($L$2,_xlfn.ANCHORARRAY('Input LwA_XYZ'!$DD$1),'Input LwA_XYZ'!DD51:DR51)="","-",_xlfn.XLOOKUP($L$2,_xlfn.ANCHORARRAY('Input LwA_XYZ'!$DD$1),'Input LwA_XYZ'!DD51:DR51)))</f>
        <v/>
      </c>
      <c r="J52" s="62" t="str">
        <f>IF($B52="","",_xlfn.XLOOKUP($L$2,'Input LwA_XYZ'!$DU$1:$EI$1,'Input LwA_XYZ'!DU51:EI51))</f>
        <v/>
      </c>
      <c r="K52" s="4">
        <f t="shared" si="2"/>
        <v>0</v>
      </c>
      <c r="L52" s="103" t="str">
        <f t="shared" si="3"/>
        <v/>
      </c>
      <c r="P52" s="230" t="str">
        <f>IF(OR('Input LwA_XYZ'!A51 = 0, NOT(ISBLANK(_xlfn.XLOOKUP(Tables!N$2, 'Input LwA_XYZ'!CM$1:DA$1, 'Input LwA_XYZ'!CM51:DA51)))), "", 'Input LwA_XYZ'!A51)</f>
        <v/>
      </c>
      <c r="Q52" s="225" t="str">
        <f>IF($P52="","",_xlfn.TEXTJOIN(" - ",TRUE,'Input LwA_XYZ'!B51:C51))</f>
        <v/>
      </c>
      <c r="R52" s="231" t="str">
        <f>IF($P52="","",'Input LwA_XYZ'!Q51)</f>
        <v/>
      </c>
      <c r="S52" s="227" t="str">
        <f>IF($P52="","",ROUND(_xlfn.XLOOKUP(Tables!$N$2,'Input LwA_XYZ'!$AH$1:$AV$1,'Input LwA_XYZ'!AH51:AV51),0))</f>
        <v/>
      </c>
      <c r="T52" s="228" t="str">
        <f>IF($P52="","",-1*ROUND(_xlfn.XLOOKUP(Tables!$N$2,'Input LwA_XYZ'!$AY$1:$BM$1,'Input LwA_XYZ'!AY51:BM51),0))</f>
        <v/>
      </c>
      <c r="U52" s="228" t="str">
        <f>IF($P52="","",IF(_xlfn.XLOOKUP(Tables!$N$2,'Input LwA_XYZ'!$BV$1:$CJ$1,'Input LwA_XYZ'!BV51:CJ51)="","-",_xlfn.XLOOKUP(Tables!$N$2,'Input LwA_XYZ'!$BV$1:$CJ$1,'Input LwA_XYZ'!BV51:CJ51)))</f>
        <v/>
      </c>
      <c r="V52" s="228" t="str">
        <f>IF($P52="","",IF('Input LwA_XYZ'!S51="","-",'Input LwA_XYZ'!S51))</f>
        <v/>
      </c>
      <c r="W52" s="229" t="str" cm="1">
        <f t="array" ref="W52">IF($P52="","",IF(_xlfn.XLOOKUP(Tables!$N$2,_xlfn.ANCHORARRAY('Input LwA_XYZ'!$DD$1),'Input LwA_XYZ'!DD51:DR51)="","-",_xlfn.XLOOKUP(Tables!$N$2,_xlfn.ANCHORARRAY('Input LwA_XYZ'!$DD$1),'Input LwA_XYZ'!DD51:DR51)))</f>
        <v/>
      </c>
      <c r="X52" s="62" t="str">
        <f>IF($P52="","",_xlfn.XLOOKUP(Tables!$N$2,'Input LwA_XYZ'!$DU$1:$EI$1,'Input LwA_XYZ'!DU51:EI51))</f>
        <v/>
      </c>
    </row>
    <row r="53" spans="2:24" ht="16.5" customHeight="1" x14ac:dyDescent="0.3">
      <c r="B53" s="160" t="str">
        <f>IF(OR('Input LwA_XYZ'!A52 = 0, NOT(ISBLANK(_xlfn.XLOOKUP(L$2, 'Input LwA_XYZ'!CM$1:DA$1, 'Input LwA_XYZ'!CM52:DA52)))), "", 'Input LwA_XYZ'!A52)</f>
        <v/>
      </c>
      <c r="C53" s="159" t="str">
        <f>IF($B53="","",_xlfn.TEXTJOIN(" - ",TRUE,'Input LwA_XYZ'!B52:C52))</f>
        <v/>
      </c>
      <c r="D53" s="61" t="str">
        <f>IF($B53="","",'Input LwA_XYZ'!Q52)</f>
        <v/>
      </c>
      <c r="E53" s="86" t="str">
        <f>IF($B53="","",ROUND(_xlfn.XLOOKUP($L$2,'Input LwA_XYZ'!$AH$1:$AV$1,'Input LwA_XYZ'!AH52:AV52),0))</f>
        <v/>
      </c>
      <c r="F53" s="87" t="str">
        <f>IF($B53="","",-1*ROUND(_xlfn.XLOOKUP($L$2,'Input LwA_XYZ'!$AY$1:$BM$1,'Input LwA_XYZ'!AY52:BM52),0))</f>
        <v/>
      </c>
      <c r="G53" s="87" t="str">
        <f>IF($B53="","",IF(_xlfn.XLOOKUP($L$2,'Input LwA_XYZ'!$BV$1:$CJ$1,'Input LwA_XYZ'!BV52:CJ52)="","-",_xlfn.XLOOKUP($L$2,'Input LwA_XYZ'!$BV$1:$CJ$1,'Input LwA_XYZ'!BV52:CJ52)))</f>
        <v/>
      </c>
      <c r="H53" s="87" t="str">
        <f>IF($B53="","",IF('Input LwA_XYZ'!S52="","-",'Input LwA_XYZ'!S52))</f>
        <v/>
      </c>
      <c r="I53" s="215" t="str" cm="1">
        <f t="array" ref="I53">IF($B53="","",IF(_xlfn.XLOOKUP($L$2,_xlfn.ANCHORARRAY('Input LwA_XYZ'!$DD$1),'Input LwA_XYZ'!DD52:DR52)="","-",_xlfn.XLOOKUP($L$2,_xlfn.ANCHORARRAY('Input LwA_XYZ'!$DD$1),'Input LwA_XYZ'!DD52:DR52)))</f>
        <v/>
      </c>
      <c r="J53" s="62" t="str">
        <f>IF($B53="","",_xlfn.XLOOKUP($L$2,'Input LwA_XYZ'!$DU$1:$EI$1,'Input LwA_XYZ'!DU52:EI52))</f>
        <v/>
      </c>
      <c r="K53" s="4">
        <f t="shared" si="2"/>
        <v>0</v>
      </c>
      <c r="L53" s="103" t="str">
        <f t="shared" si="3"/>
        <v/>
      </c>
      <c r="P53" s="230" t="str">
        <f>IF(OR('Input LwA_XYZ'!A52 = 0, NOT(ISBLANK(_xlfn.XLOOKUP(Tables!N$2, 'Input LwA_XYZ'!CM$1:DA$1, 'Input LwA_XYZ'!CM52:DA52)))), "", 'Input LwA_XYZ'!A52)</f>
        <v/>
      </c>
      <c r="Q53" s="225" t="str">
        <f>IF($P53="","",_xlfn.TEXTJOIN(" - ",TRUE,'Input LwA_XYZ'!B52:C52))</f>
        <v/>
      </c>
      <c r="R53" s="231" t="str">
        <f>IF($P53="","",'Input LwA_XYZ'!Q52)</f>
        <v/>
      </c>
      <c r="S53" s="227" t="str">
        <f>IF($P53="","",ROUND(_xlfn.XLOOKUP(Tables!$N$2,'Input LwA_XYZ'!$AH$1:$AV$1,'Input LwA_XYZ'!AH52:AV52),0))</f>
        <v/>
      </c>
      <c r="T53" s="228" t="str">
        <f>IF($P53="","",-1*ROUND(_xlfn.XLOOKUP(Tables!$N$2,'Input LwA_XYZ'!$AY$1:$BM$1,'Input LwA_XYZ'!AY52:BM52),0))</f>
        <v/>
      </c>
      <c r="U53" s="228" t="str">
        <f>IF($P53="","",IF(_xlfn.XLOOKUP(Tables!$N$2,'Input LwA_XYZ'!$BV$1:$CJ$1,'Input LwA_XYZ'!BV52:CJ52)="","-",_xlfn.XLOOKUP(Tables!$N$2,'Input LwA_XYZ'!$BV$1:$CJ$1,'Input LwA_XYZ'!BV52:CJ52)))</f>
        <v/>
      </c>
      <c r="V53" s="228" t="str">
        <f>IF($P53="","",IF('Input LwA_XYZ'!S52="","-",'Input LwA_XYZ'!S52))</f>
        <v/>
      </c>
      <c r="W53" s="229" t="str" cm="1">
        <f t="array" ref="W53">IF($P53="","",IF(_xlfn.XLOOKUP(Tables!$N$2,_xlfn.ANCHORARRAY('Input LwA_XYZ'!$DD$1),'Input LwA_XYZ'!DD52:DR52)="","-",_xlfn.XLOOKUP(Tables!$N$2,_xlfn.ANCHORARRAY('Input LwA_XYZ'!$DD$1),'Input LwA_XYZ'!DD52:DR52)))</f>
        <v/>
      </c>
      <c r="X53" s="62" t="str">
        <f>IF($P53="","",_xlfn.XLOOKUP(Tables!$N$2,'Input LwA_XYZ'!$DU$1:$EI$1,'Input LwA_XYZ'!DU52:EI52))</f>
        <v/>
      </c>
    </row>
    <row r="54" spans="2:24" ht="16.5" customHeight="1" x14ac:dyDescent="0.3">
      <c r="B54" s="160" t="str">
        <f>IF(OR('Input LwA_XYZ'!A53 = 0, NOT(ISBLANK(_xlfn.XLOOKUP(L$2, 'Input LwA_XYZ'!CM$1:DA$1, 'Input LwA_XYZ'!CM53:DA53)))), "", 'Input LwA_XYZ'!A53)</f>
        <v/>
      </c>
      <c r="C54" s="159" t="str">
        <f>IF($B54="","",_xlfn.TEXTJOIN(" - ",TRUE,'Input LwA_XYZ'!B53:C53))</f>
        <v/>
      </c>
      <c r="D54" s="61" t="str">
        <f>IF($B54="","",'Input LwA_XYZ'!Q53)</f>
        <v/>
      </c>
      <c r="E54" s="86" t="str">
        <f>IF($B54="","",ROUND(_xlfn.XLOOKUP($L$2,'Input LwA_XYZ'!$AH$1:$AV$1,'Input LwA_XYZ'!AH53:AV53),0))</f>
        <v/>
      </c>
      <c r="F54" s="87" t="str">
        <f>IF($B54="","",-1*ROUND(_xlfn.XLOOKUP($L$2,'Input LwA_XYZ'!$AY$1:$BM$1,'Input LwA_XYZ'!AY53:BM53),0))</f>
        <v/>
      </c>
      <c r="G54" s="87" t="str">
        <f>IF($B54="","",IF(_xlfn.XLOOKUP($L$2,'Input LwA_XYZ'!$BV$1:$CJ$1,'Input LwA_XYZ'!BV53:CJ53)="","-",_xlfn.XLOOKUP($L$2,'Input LwA_XYZ'!$BV$1:$CJ$1,'Input LwA_XYZ'!BV53:CJ53)))</f>
        <v/>
      </c>
      <c r="H54" s="87" t="str">
        <f>IF($B54="","",IF('Input LwA_XYZ'!S53="","-",'Input LwA_XYZ'!S53))</f>
        <v/>
      </c>
      <c r="I54" s="215" t="str" cm="1">
        <f t="array" ref="I54">IF($B54="","",IF(_xlfn.XLOOKUP($L$2,_xlfn.ANCHORARRAY('Input LwA_XYZ'!$DD$1),'Input LwA_XYZ'!DD53:DR53)="","-",_xlfn.XLOOKUP($L$2,_xlfn.ANCHORARRAY('Input LwA_XYZ'!$DD$1),'Input LwA_XYZ'!DD53:DR53)))</f>
        <v/>
      </c>
      <c r="J54" s="62" t="str">
        <f>IF($B54="","",_xlfn.XLOOKUP($L$2,'Input LwA_XYZ'!$DU$1:$EI$1,'Input LwA_XYZ'!DU53:EI53))</f>
        <v/>
      </c>
      <c r="K54" s="4">
        <f t="shared" si="2"/>
        <v>0</v>
      </c>
      <c r="L54" s="103" t="str">
        <f t="shared" si="3"/>
        <v/>
      </c>
      <c r="P54" s="230" t="str">
        <f>IF(OR('Input LwA_XYZ'!A53 = 0, NOT(ISBLANK(_xlfn.XLOOKUP(Tables!N$2, 'Input LwA_XYZ'!CM$1:DA$1, 'Input LwA_XYZ'!CM53:DA53)))), "", 'Input LwA_XYZ'!A53)</f>
        <v/>
      </c>
      <c r="Q54" s="225" t="str">
        <f>IF($P54="","",_xlfn.TEXTJOIN(" - ",TRUE,'Input LwA_XYZ'!B53:C53))</f>
        <v/>
      </c>
      <c r="R54" s="231" t="str">
        <f>IF($P54="","",'Input LwA_XYZ'!Q53)</f>
        <v/>
      </c>
      <c r="S54" s="227" t="str">
        <f>IF($P54="","",ROUND(_xlfn.XLOOKUP(Tables!$N$2,'Input LwA_XYZ'!$AH$1:$AV$1,'Input LwA_XYZ'!AH53:AV53),0))</f>
        <v/>
      </c>
      <c r="T54" s="228" t="str">
        <f>IF($P54="","",-1*ROUND(_xlfn.XLOOKUP(Tables!$N$2,'Input LwA_XYZ'!$AY$1:$BM$1,'Input LwA_XYZ'!AY53:BM53),0))</f>
        <v/>
      </c>
      <c r="U54" s="228" t="str">
        <f>IF($P54="","",IF(_xlfn.XLOOKUP(Tables!$N$2,'Input LwA_XYZ'!$BV$1:$CJ$1,'Input LwA_XYZ'!BV53:CJ53)="","-",_xlfn.XLOOKUP(Tables!$N$2,'Input LwA_XYZ'!$BV$1:$CJ$1,'Input LwA_XYZ'!BV53:CJ53)))</f>
        <v/>
      </c>
      <c r="V54" s="228" t="str">
        <f>IF($P54="","",IF('Input LwA_XYZ'!S53="","-",'Input LwA_XYZ'!S53))</f>
        <v/>
      </c>
      <c r="W54" s="229" t="str" cm="1">
        <f t="array" ref="W54">IF($P54="","",IF(_xlfn.XLOOKUP(Tables!$N$2,_xlfn.ANCHORARRAY('Input LwA_XYZ'!$DD$1),'Input LwA_XYZ'!DD53:DR53)="","-",_xlfn.XLOOKUP(Tables!$N$2,_xlfn.ANCHORARRAY('Input LwA_XYZ'!$DD$1),'Input LwA_XYZ'!DD53:DR53)))</f>
        <v/>
      </c>
      <c r="X54" s="62" t="str">
        <f>IF($P54="","",_xlfn.XLOOKUP(Tables!$N$2,'Input LwA_XYZ'!$DU$1:$EI$1,'Input LwA_XYZ'!DU53:EI53))</f>
        <v/>
      </c>
    </row>
    <row r="55" spans="2:24" ht="16.5" customHeight="1" x14ac:dyDescent="0.3">
      <c r="B55" s="160" t="str">
        <f>IF(OR('Input LwA_XYZ'!A54 = 0, NOT(ISBLANK(_xlfn.XLOOKUP(L$2, 'Input LwA_XYZ'!CM$1:DA$1, 'Input LwA_XYZ'!CM54:DA54)))), "", 'Input LwA_XYZ'!A54)</f>
        <v/>
      </c>
      <c r="C55" s="159" t="str">
        <f>IF($B55="","",_xlfn.TEXTJOIN(" - ",TRUE,'Input LwA_XYZ'!B54:C54))</f>
        <v/>
      </c>
      <c r="D55" s="61" t="str">
        <f>IF($B55="","",'Input LwA_XYZ'!Q54)</f>
        <v/>
      </c>
      <c r="E55" s="86" t="str">
        <f>IF($B55="","",ROUND(_xlfn.XLOOKUP($L$2,'Input LwA_XYZ'!$AH$1:$AV$1,'Input LwA_XYZ'!AH54:AV54),0))</f>
        <v/>
      </c>
      <c r="F55" s="87" t="str">
        <f>IF($B55="","",-1*ROUND(_xlfn.XLOOKUP($L$2,'Input LwA_XYZ'!$AY$1:$BM$1,'Input LwA_XYZ'!AY54:BM54),0))</f>
        <v/>
      </c>
      <c r="G55" s="87" t="str">
        <f>IF($B55="","",IF(_xlfn.XLOOKUP($L$2,'Input LwA_XYZ'!$BV$1:$CJ$1,'Input LwA_XYZ'!BV54:CJ54)="","-",_xlfn.XLOOKUP($L$2,'Input LwA_XYZ'!$BV$1:$CJ$1,'Input LwA_XYZ'!BV54:CJ54)))</f>
        <v/>
      </c>
      <c r="H55" s="87" t="str">
        <f>IF($B55="","",IF('Input LwA_XYZ'!S54="","-",'Input LwA_XYZ'!S54))</f>
        <v/>
      </c>
      <c r="I55" s="215" t="str" cm="1">
        <f t="array" ref="I55">IF($B55="","",IF(_xlfn.XLOOKUP($L$2,_xlfn.ANCHORARRAY('Input LwA_XYZ'!$DD$1),'Input LwA_XYZ'!DD54:DR54)="","-",_xlfn.XLOOKUP($L$2,_xlfn.ANCHORARRAY('Input LwA_XYZ'!$DD$1),'Input LwA_XYZ'!DD54:DR54)))</f>
        <v/>
      </c>
      <c r="J55" s="62" t="str">
        <f>IF($B55="","",_xlfn.XLOOKUP($L$2,'Input LwA_XYZ'!$DU$1:$EI$1,'Input LwA_XYZ'!DU54:EI54))</f>
        <v/>
      </c>
      <c r="K55" s="4">
        <f t="shared" si="2"/>
        <v>0</v>
      </c>
      <c r="L55" s="103" t="str">
        <f t="shared" si="3"/>
        <v/>
      </c>
      <c r="P55" s="230" t="str">
        <f>IF(OR('Input LwA_XYZ'!A54 = 0, NOT(ISBLANK(_xlfn.XLOOKUP(Tables!N$2, 'Input LwA_XYZ'!CM$1:DA$1, 'Input LwA_XYZ'!CM54:DA54)))), "", 'Input LwA_XYZ'!A54)</f>
        <v/>
      </c>
      <c r="Q55" s="225" t="str">
        <f>IF($P55="","",_xlfn.TEXTJOIN(" - ",TRUE,'Input LwA_XYZ'!B54:C54))</f>
        <v/>
      </c>
      <c r="R55" s="231" t="str">
        <f>IF($P55="","",'Input LwA_XYZ'!Q54)</f>
        <v/>
      </c>
      <c r="S55" s="227" t="str">
        <f>IF($P55="","",ROUND(_xlfn.XLOOKUP(Tables!$N$2,'Input LwA_XYZ'!$AH$1:$AV$1,'Input LwA_XYZ'!AH54:AV54),0))</f>
        <v/>
      </c>
      <c r="T55" s="228" t="str">
        <f>IF($P55="","",-1*ROUND(_xlfn.XLOOKUP(Tables!$N$2,'Input LwA_XYZ'!$AY$1:$BM$1,'Input LwA_XYZ'!AY54:BM54),0))</f>
        <v/>
      </c>
      <c r="U55" s="228" t="str">
        <f>IF($P55="","",IF(_xlfn.XLOOKUP(Tables!$N$2,'Input LwA_XYZ'!$BV$1:$CJ$1,'Input LwA_XYZ'!BV54:CJ54)="","-",_xlfn.XLOOKUP(Tables!$N$2,'Input LwA_XYZ'!$BV$1:$CJ$1,'Input LwA_XYZ'!BV54:CJ54)))</f>
        <v/>
      </c>
      <c r="V55" s="228" t="str">
        <f>IF($P55="","",IF('Input LwA_XYZ'!S54="","-",'Input LwA_XYZ'!S54))</f>
        <v/>
      </c>
      <c r="W55" s="229" t="str" cm="1">
        <f t="array" ref="W55">IF($P55="","",IF(_xlfn.XLOOKUP(Tables!$N$2,_xlfn.ANCHORARRAY('Input LwA_XYZ'!$DD$1),'Input LwA_XYZ'!DD54:DR54)="","-",_xlfn.XLOOKUP(Tables!$N$2,_xlfn.ANCHORARRAY('Input LwA_XYZ'!$DD$1),'Input LwA_XYZ'!DD54:DR54)))</f>
        <v/>
      </c>
      <c r="X55" s="62" t="str">
        <f>IF($P55="","",_xlfn.XLOOKUP(Tables!$N$2,'Input LwA_XYZ'!$DU$1:$EI$1,'Input LwA_XYZ'!DU54:EI54))</f>
        <v/>
      </c>
    </row>
    <row r="56" spans="2:24" ht="16.5" customHeight="1" x14ac:dyDescent="0.3">
      <c r="B56" s="160" t="str">
        <f>IF(OR('Input LwA_XYZ'!A55 = 0, NOT(ISBLANK(_xlfn.XLOOKUP(L$2, 'Input LwA_XYZ'!CM$1:DA$1, 'Input LwA_XYZ'!CM55:DA55)))), "", 'Input LwA_XYZ'!A55)</f>
        <v/>
      </c>
      <c r="C56" s="159" t="str">
        <f>IF($B56="","",_xlfn.TEXTJOIN(" - ",TRUE,'Input LwA_XYZ'!B55:C55))</f>
        <v/>
      </c>
      <c r="D56" s="61" t="str">
        <f>IF($B56="","",'Input LwA_XYZ'!Q55)</f>
        <v/>
      </c>
      <c r="E56" s="86" t="str">
        <f>IF($B56="","",ROUND(_xlfn.XLOOKUP($L$2,'Input LwA_XYZ'!$AH$1:$AV$1,'Input LwA_XYZ'!AH55:AV55),0))</f>
        <v/>
      </c>
      <c r="F56" s="87" t="str">
        <f>IF($B56="","",-1*ROUND(_xlfn.XLOOKUP($L$2,'Input LwA_XYZ'!$AY$1:$BM$1,'Input LwA_XYZ'!AY55:BM55),0))</f>
        <v/>
      </c>
      <c r="G56" s="87" t="str">
        <f>IF($B56="","",IF(_xlfn.XLOOKUP($L$2,'Input LwA_XYZ'!$BV$1:$CJ$1,'Input LwA_XYZ'!BV55:CJ55)="","-",_xlfn.XLOOKUP($L$2,'Input LwA_XYZ'!$BV$1:$CJ$1,'Input LwA_XYZ'!BV55:CJ55)))</f>
        <v/>
      </c>
      <c r="H56" s="87" t="str">
        <f>IF($B56="","",IF('Input LwA_XYZ'!S55="","-",'Input LwA_XYZ'!S55))</f>
        <v/>
      </c>
      <c r="I56" s="215" t="str" cm="1">
        <f t="array" ref="I56">IF($B56="","",IF(_xlfn.XLOOKUP($L$2,_xlfn.ANCHORARRAY('Input LwA_XYZ'!$DD$1),'Input LwA_XYZ'!DD55:DR55)="","-",_xlfn.XLOOKUP($L$2,_xlfn.ANCHORARRAY('Input LwA_XYZ'!$DD$1),'Input LwA_XYZ'!DD55:DR55)))</f>
        <v/>
      </c>
      <c r="J56" s="62" t="str">
        <f>IF($B56="","",_xlfn.XLOOKUP($L$2,'Input LwA_XYZ'!$DU$1:$EI$1,'Input LwA_XYZ'!DU55:EI55))</f>
        <v/>
      </c>
      <c r="K56" s="4">
        <f t="shared" si="2"/>
        <v>0</v>
      </c>
      <c r="L56" s="103" t="str">
        <f t="shared" si="3"/>
        <v/>
      </c>
      <c r="P56" s="230" t="str">
        <f>IF(OR('Input LwA_XYZ'!A55 = 0, NOT(ISBLANK(_xlfn.XLOOKUP(Tables!N$2, 'Input LwA_XYZ'!CM$1:DA$1, 'Input LwA_XYZ'!CM55:DA55)))), "", 'Input LwA_XYZ'!A55)</f>
        <v/>
      </c>
      <c r="Q56" s="225" t="str">
        <f>IF($P56="","",_xlfn.TEXTJOIN(" - ",TRUE,'Input LwA_XYZ'!B55:C55))</f>
        <v/>
      </c>
      <c r="R56" s="231" t="str">
        <f>IF($P56="","",'Input LwA_XYZ'!Q55)</f>
        <v/>
      </c>
      <c r="S56" s="227" t="str">
        <f>IF($P56="","",ROUND(_xlfn.XLOOKUP(Tables!$N$2,'Input LwA_XYZ'!$AH$1:$AV$1,'Input LwA_XYZ'!AH55:AV55),0))</f>
        <v/>
      </c>
      <c r="T56" s="228" t="str">
        <f>IF($P56="","",-1*ROUND(_xlfn.XLOOKUP(Tables!$N$2,'Input LwA_XYZ'!$AY$1:$BM$1,'Input LwA_XYZ'!AY55:BM55),0))</f>
        <v/>
      </c>
      <c r="U56" s="228" t="str">
        <f>IF($P56="","",IF(_xlfn.XLOOKUP(Tables!$N$2,'Input LwA_XYZ'!$BV$1:$CJ$1,'Input LwA_XYZ'!BV55:CJ55)="","-",_xlfn.XLOOKUP(Tables!$N$2,'Input LwA_XYZ'!$BV$1:$CJ$1,'Input LwA_XYZ'!BV55:CJ55)))</f>
        <v/>
      </c>
      <c r="V56" s="228" t="str">
        <f>IF($P56="","",IF('Input LwA_XYZ'!S55="","-",'Input LwA_XYZ'!S55))</f>
        <v/>
      </c>
      <c r="W56" s="229" t="str" cm="1">
        <f t="array" ref="W56">IF($P56="","",IF(_xlfn.XLOOKUP(Tables!$N$2,_xlfn.ANCHORARRAY('Input LwA_XYZ'!$DD$1),'Input LwA_XYZ'!DD55:DR55)="","-",_xlfn.XLOOKUP(Tables!$N$2,_xlfn.ANCHORARRAY('Input LwA_XYZ'!$DD$1),'Input LwA_XYZ'!DD55:DR55)))</f>
        <v/>
      </c>
      <c r="X56" s="62" t="str">
        <f>IF($P56="","",_xlfn.XLOOKUP(Tables!$N$2,'Input LwA_XYZ'!$DU$1:$EI$1,'Input LwA_XYZ'!DU55:EI55))</f>
        <v/>
      </c>
    </row>
    <row r="57" spans="2:24" ht="16.5" customHeight="1" x14ac:dyDescent="0.3">
      <c r="B57" s="160" t="str">
        <f>IF(OR('Input LwA_XYZ'!A56 = 0, NOT(ISBLANK(_xlfn.XLOOKUP(L$2, 'Input LwA_XYZ'!CM$1:DA$1, 'Input LwA_XYZ'!CM56:DA56)))), "", 'Input LwA_XYZ'!A56)</f>
        <v/>
      </c>
      <c r="C57" s="159" t="str">
        <f>IF($B57="","",_xlfn.TEXTJOIN(" - ",TRUE,'Input LwA_XYZ'!B56:C56))</f>
        <v/>
      </c>
      <c r="D57" s="61" t="str">
        <f>IF($B57="","",'Input LwA_XYZ'!Q56)</f>
        <v/>
      </c>
      <c r="E57" s="86" t="str">
        <f>IF($B57="","",ROUND(_xlfn.XLOOKUP($L$2,'Input LwA_XYZ'!$AH$1:$AV$1,'Input LwA_XYZ'!AH56:AV56),0))</f>
        <v/>
      </c>
      <c r="F57" s="87" t="str">
        <f>IF($B57="","",-1*ROUND(_xlfn.XLOOKUP($L$2,'Input LwA_XYZ'!$AY$1:$BM$1,'Input LwA_XYZ'!AY56:BM56),0))</f>
        <v/>
      </c>
      <c r="G57" s="87" t="str">
        <f>IF($B57="","",IF(_xlfn.XLOOKUP($L$2,'Input LwA_XYZ'!$BV$1:$CJ$1,'Input LwA_XYZ'!BV56:CJ56)="","-",_xlfn.XLOOKUP($L$2,'Input LwA_XYZ'!$BV$1:$CJ$1,'Input LwA_XYZ'!BV56:CJ56)))</f>
        <v/>
      </c>
      <c r="H57" s="87" t="str">
        <f>IF($B57="","",IF('Input LwA_XYZ'!S56="","-",'Input LwA_XYZ'!S56))</f>
        <v/>
      </c>
      <c r="I57" s="215" t="str" cm="1">
        <f t="array" ref="I57">IF($B57="","",IF(_xlfn.XLOOKUP($L$2,_xlfn.ANCHORARRAY('Input LwA_XYZ'!$DD$1),'Input LwA_XYZ'!DD56:DR56)="","-",_xlfn.XLOOKUP($L$2,_xlfn.ANCHORARRAY('Input LwA_XYZ'!$DD$1),'Input LwA_XYZ'!DD56:DR56)))</f>
        <v/>
      </c>
      <c r="J57" s="62" t="str">
        <f>IF($B57="","",_xlfn.XLOOKUP($L$2,'Input LwA_XYZ'!$DU$1:$EI$1,'Input LwA_XYZ'!DU56:EI56))</f>
        <v/>
      </c>
      <c r="K57" s="4">
        <f t="shared" si="2"/>
        <v>0</v>
      </c>
      <c r="L57" s="103" t="str">
        <f t="shared" si="3"/>
        <v/>
      </c>
      <c r="P57" s="230" t="str">
        <f>IF(OR('Input LwA_XYZ'!A56 = 0, NOT(ISBLANK(_xlfn.XLOOKUP(Tables!N$2, 'Input LwA_XYZ'!CM$1:DA$1, 'Input LwA_XYZ'!CM56:DA56)))), "", 'Input LwA_XYZ'!A56)</f>
        <v/>
      </c>
      <c r="Q57" s="225" t="str">
        <f>IF($P57="","",_xlfn.TEXTJOIN(" - ",TRUE,'Input LwA_XYZ'!B56:C56))</f>
        <v/>
      </c>
      <c r="R57" s="231" t="str">
        <f>IF($P57="","",'Input LwA_XYZ'!Q56)</f>
        <v/>
      </c>
      <c r="S57" s="227" t="str">
        <f>IF($P57="","",ROUND(_xlfn.XLOOKUP(Tables!$N$2,'Input LwA_XYZ'!$AH$1:$AV$1,'Input LwA_XYZ'!AH56:AV56),0))</f>
        <v/>
      </c>
      <c r="T57" s="228" t="str">
        <f>IF($P57="","",-1*ROUND(_xlfn.XLOOKUP(Tables!$N$2,'Input LwA_XYZ'!$AY$1:$BM$1,'Input LwA_XYZ'!AY56:BM56),0))</f>
        <v/>
      </c>
      <c r="U57" s="228" t="str">
        <f>IF($P57="","",IF(_xlfn.XLOOKUP(Tables!$N$2,'Input LwA_XYZ'!$BV$1:$CJ$1,'Input LwA_XYZ'!BV56:CJ56)="","-",_xlfn.XLOOKUP(Tables!$N$2,'Input LwA_XYZ'!$BV$1:$CJ$1,'Input LwA_XYZ'!BV56:CJ56)))</f>
        <v/>
      </c>
      <c r="V57" s="228" t="str">
        <f>IF($P57="","",IF('Input LwA_XYZ'!S56="","-",'Input LwA_XYZ'!S56))</f>
        <v/>
      </c>
      <c r="W57" s="229" t="str" cm="1">
        <f t="array" ref="W57">IF($P57="","",IF(_xlfn.XLOOKUP(Tables!$N$2,_xlfn.ANCHORARRAY('Input LwA_XYZ'!$DD$1),'Input LwA_XYZ'!DD56:DR56)="","-",_xlfn.XLOOKUP(Tables!$N$2,_xlfn.ANCHORARRAY('Input LwA_XYZ'!$DD$1),'Input LwA_XYZ'!DD56:DR56)))</f>
        <v/>
      </c>
      <c r="X57" s="62" t="str">
        <f>IF($P57="","",_xlfn.XLOOKUP(Tables!$N$2,'Input LwA_XYZ'!$DU$1:$EI$1,'Input LwA_XYZ'!DU56:EI56))</f>
        <v/>
      </c>
    </row>
    <row r="58" spans="2:24" ht="16.5" customHeight="1" x14ac:dyDescent="0.3">
      <c r="B58" s="160" t="str">
        <f>IF(OR('Input LwA_XYZ'!A57 = 0, NOT(ISBLANK(_xlfn.XLOOKUP(L$2, 'Input LwA_XYZ'!CM$1:DA$1, 'Input LwA_XYZ'!CM57:DA57)))), "", 'Input LwA_XYZ'!A57)</f>
        <v/>
      </c>
      <c r="C58" s="159" t="str">
        <f>IF($B58="","",_xlfn.TEXTJOIN(" - ",TRUE,'Input LwA_XYZ'!B57:C57))</f>
        <v/>
      </c>
      <c r="D58" s="61" t="str">
        <f>IF($B58="","",'Input LwA_XYZ'!Q57)</f>
        <v/>
      </c>
      <c r="E58" s="86" t="str">
        <f>IF($B58="","",ROUND(_xlfn.XLOOKUP($L$2,'Input LwA_XYZ'!$AH$1:$AV$1,'Input LwA_XYZ'!AH57:AV57),0))</f>
        <v/>
      </c>
      <c r="F58" s="87" t="str">
        <f>IF($B58="","",-1*ROUND(_xlfn.XLOOKUP($L$2,'Input LwA_XYZ'!$AY$1:$BM$1,'Input LwA_XYZ'!AY57:BM57),0))</f>
        <v/>
      </c>
      <c r="G58" s="87" t="str">
        <f>IF($B58="","",IF(_xlfn.XLOOKUP($L$2,'Input LwA_XYZ'!$BV$1:$CJ$1,'Input LwA_XYZ'!BV57:CJ57)="","-",_xlfn.XLOOKUP($L$2,'Input LwA_XYZ'!$BV$1:$CJ$1,'Input LwA_XYZ'!BV57:CJ57)))</f>
        <v/>
      </c>
      <c r="H58" s="87" t="str">
        <f>IF($B58="","",IF('Input LwA_XYZ'!S57="","-",'Input LwA_XYZ'!S57))</f>
        <v/>
      </c>
      <c r="I58" s="215" t="str" cm="1">
        <f t="array" ref="I58">IF($B58="","",IF(_xlfn.XLOOKUP($L$2,_xlfn.ANCHORARRAY('Input LwA_XYZ'!$DD$1),'Input LwA_XYZ'!DD57:DR57)="","-",_xlfn.XLOOKUP($L$2,_xlfn.ANCHORARRAY('Input LwA_XYZ'!$DD$1),'Input LwA_XYZ'!DD57:DR57)))</f>
        <v/>
      </c>
      <c r="J58" s="62" t="str">
        <f>IF($B58="","",_xlfn.XLOOKUP($L$2,'Input LwA_XYZ'!$DU$1:$EI$1,'Input LwA_XYZ'!DU57:EI57))</f>
        <v/>
      </c>
      <c r="K58" s="4">
        <f t="shared" si="2"/>
        <v>0</v>
      </c>
      <c r="L58" s="103" t="str">
        <f t="shared" si="3"/>
        <v/>
      </c>
      <c r="P58" s="230" t="str">
        <f>IF(OR('Input LwA_XYZ'!A57 = 0, NOT(ISBLANK(_xlfn.XLOOKUP(Tables!N$2, 'Input LwA_XYZ'!CM$1:DA$1, 'Input LwA_XYZ'!CM57:DA57)))), "", 'Input LwA_XYZ'!A57)</f>
        <v/>
      </c>
      <c r="Q58" s="225" t="str">
        <f>IF($P58="","",_xlfn.TEXTJOIN(" - ",TRUE,'Input LwA_XYZ'!B57:C57))</f>
        <v/>
      </c>
      <c r="R58" s="231" t="str">
        <f>IF($P58="","",'Input LwA_XYZ'!Q57)</f>
        <v/>
      </c>
      <c r="S58" s="227" t="str">
        <f>IF($P58="","",ROUND(_xlfn.XLOOKUP(Tables!$N$2,'Input LwA_XYZ'!$AH$1:$AV$1,'Input LwA_XYZ'!AH57:AV57),0))</f>
        <v/>
      </c>
      <c r="T58" s="228" t="str">
        <f>IF($P58="","",-1*ROUND(_xlfn.XLOOKUP(Tables!$N$2,'Input LwA_XYZ'!$AY$1:$BM$1,'Input LwA_XYZ'!AY57:BM57),0))</f>
        <v/>
      </c>
      <c r="U58" s="228" t="str">
        <f>IF($P58="","",IF(_xlfn.XLOOKUP(Tables!$N$2,'Input LwA_XYZ'!$BV$1:$CJ$1,'Input LwA_XYZ'!BV57:CJ57)="","-",_xlfn.XLOOKUP(Tables!$N$2,'Input LwA_XYZ'!$BV$1:$CJ$1,'Input LwA_XYZ'!BV57:CJ57)))</f>
        <v/>
      </c>
      <c r="V58" s="228" t="str">
        <f>IF($P58="","",IF('Input LwA_XYZ'!S57="","-",'Input LwA_XYZ'!S57))</f>
        <v/>
      </c>
      <c r="W58" s="229" t="str" cm="1">
        <f t="array" ref="W58">IF($P58="","",IF(_xlfn.XLOOKUP(Tables!$N$2,_xlfn.ANCHORARRAY('Input LwA_XYZ'!$DD$1),'Input LwA_XYZ'!DD57:DR57)="","-",_xlfn.XLOOKUP(Tables!$N$2,_xlfn.ANCHORARRAY('Input LwA_XYZ'!$DD$1),'Input LwA_XYZ'!DD57:DR57)))</f>
        <v/>
      </c>
      <c r="X58" s="62" t="str">
        <f>IF($P58="","",_xlfn.XLOOKUP(Tables!$N$2,'Input LwA_XYZ'!$DU$1:$EI$1,'Input LwA_XYZ'!DU57:EI57))</f>
        <v/>
      </c>
    </row>
    <row r="59" spans="2:24" ht="17.25" customHeight="1" thickBot="1" x14ac:dyDescent="0.35">
      <c r="B59" s="161" t="str">
        <f>IF(OR('Input LwA_XYZ'!A58 = 0, NOT(ISBLANK(_xlfn.XLOOKUP(L$2, 'Input LwA_XYZ'!CM$1:DA$1, 'Input LwA_XYZ'!CM58:DA58)))), "", 'Input LwA_XYZ'!A58)</f>
        <v/>
      </c>
      <c r="C59" s="162" t="str">
        <f>IF($B59="","",_xlfn.TEXTJOIN(" - ",TRUE,'Input LwA_XYZ'!B58:C58))</f>
        <v/>
      </c>
      <c r="D59" s="95" t="str">
        <f>IF($B59="","",'Input LwA_XYZ'!Q58)</f>
        <v/>
      </c>
      <c r="E59" s="186" t="str">
        <f>IF($B59="","",ROUND(_xlfn.XLOOKUP($L$2,'Input LwA_XYZ'!$AH$1:$AV$1,'Input LwA_XYZ'!AH58:AV58),0))</f>
        <v/>
      </c>
      <c r="F59" s="96" t="str">
        <f>IF($B59="","",-1*ROUND(_xlfn.XLOOKUP($L$2,'Input LwA_XYZ'!$AY$1:$BM$1,'Input LwA_XYZ'!AY58:BM58),0))</f>
        <v/>
      </c>
      <c r="G59" s="87" t="str">
        <f>IF($B59="","",IF(_xlfn.XLOOKUP($L$2,'Input LwA_XYZ'!$BV$1:$CJ$1,'Input LwA_XYZ'!BV58:CJ58)="","-",_xlfn.XLOOKUP($L$2,'Input LwA_XYZ'!$BV$1:$CJ$1,'Input LwA_XYZ'!BV58:CJ58)))</f>
        <v/>
      </c>
      <c r="H59" s="87" t="str">
        <f>IF($B59="","",IF('Input LwA_XYZ'!S58="","-",'Input LwA_XYZ'!S58))</f>
        <v/>
      </c>
      <c r="I59" s="215" t="str" cm="1">
        <f t="array" ref="I59">IF($B59="","",IF(_xlfn.XLOOKUP($L$2,_xlfn.ANCHORARRAY('Input LwA_XYZ'!$DD$1),'Input LwA_XYZ'!DD58:DR58)="","-",_xlfn.XLOOKUP($L$2,_xlfn.ANCHORARRAY('Input LwA_XYZ'!$DD$1),'Input LwA_XYZ'!DD58:DR58)))</f>
        <v/>
      </c>
      <c r="J59" s="63" t="str">
        <f>IF($B59="","",_xlfn.XLOOKUP($L$2,'Input LwA_XYZ'!$DU$1:$EI$1,'Input LwA_XYZ'!DU58:EI58))</f>
        <v/>
      </c>
      <c r="K59" s="4">
        <f t="shared" si="2"/>
        <v>0</v>
      </c>
      <c r="L59" s="103" t="str">
        <f t="shared" si="3"/>
        <v/>
      </c>
      <c r="P59" s="232" t="str">
        <f>IF(OR('Input LwA_XYZ'!A58 = 0, NOT(ISBLANK(_xlfn.XLOOKUP(Tables!N$2, 'Input LwA_XYZ'!CM$1:DA$1, 'Input LwA_XYZ'!CM58:DA58)))), "", 'Input LwA_XYZ'!A58)</f>
        <v/>
      </c>
      <c r="Q59" s="233" t="str">
        <f>IF($P59="","",_xlfn.TEXTJOIN(" - ",TRUE,'Input LwA_XYZ'!B58:C58))</f>
        <v/>
      </c>
      <c r="R59" s="234" t="str">
        <f>IF($P59="","",'Input LwA_XYZ'!Q58)</f>
        <v/>
      </c>
      <c r="S59" s="235" t="str">
        <f>IF($P59="","",ROUND(_xlfn.XLOOKUP(Tables!$N$2,'Input LwA_XYZ'!$AH$1:$AV$1,'Input LwA_XYZ'!AH58:AV58),0))</f>
        <v/>
      </c>
      <c r="T59" s="236" t="str">
        <f>IF($P59="","",-1*ROUND(_xlfn.XLOOKUP(Tables!$N$2,'Input LwA_XYZ'!$AY$1:$BM$1,'Input LwA_XYZ'!AY58:BM58),0))</f>
        <v/>
      </c>
      <c r="U59" s="228" t="str">
        <f>IF($P59="","",IF(_xlfn.XLOOKUP(Tables!$N$2,'Input LwA_XYZ'!$BV$1:$CJ$1,'Input LwA_XYZ'!BV58:CJ58)="","-",_xlfn.XLOOKUP(Tables!$N$2,'Input LwA_XYZ'!$BV$1:$CJ$1,'Input LwA_XYZ'!BV58:CJ58)))</f>
        <v/>
      </c>
      <c r="V59" s="228" t="str">
        <f>IF($P59="","",IF('Input LwA_XYZ'!S58="","-",'Input LwA_XYZ'!S58))</f>
        <v/>
      </c>
      <c r="W59" s="229" t="str" cm="1">
        <f t="array" ref="W59">IF($P59="","",IF(_xlfn.XLOOKUP(Tables!$N$2,_xlfn.ANCHORARRAY('Input LwA_XYZ'!$DD$1),'Input LwA_XYZ'!DD58:DR58)="","-",_xlfn.XLOOKUP(Tables!$N$2,_xlfn.ANCHORARRAY('Input LwA_XYZ'!$DD$1),'Input LwA_XYZ'!DD58:DR58)))</f>
        <v/>
      </c>
      <c r="X59" s="63" t="str">
        <f>IF($P59="","",_xlfn.XLOOKUP(Tables!$N$2,'Input LwA_XYZ'!$DU$1:$EI$1,'Input LwA_XYZ'!DU58:EI58))</f>
        <v/>
      </c>
    </row>
    <row r="60" spans="2:24" ht="18.75" customHeight="1" thickBot="1" x14ac:dyDescent="0.35">
      <c r="B60" s="97" t="s">
        <v>215</v>
      </c>
      <c r="C60" s="98"/>
      <c r="D60" s="98"/>
      <c r="E60" s="98"/>
      <c r="F60" s="98"/>
      <c r="G60" s="98"/>
      <c r="H60" s="98"/>
      <c r="I60" s="99"/>
      <c r="J60" s="77">
        <f>_xlfn.XLOOKUP($L$2,'Input LwA_XYZ'!$Z$2:$Z$16,'Input LwA_XYZ'!$AE$2:$AE$16)</f>
        <v>50</v>
      </c>
      <c r="K60" s="163">
        <f>10*LOG10(SUM(K3:K59))</f>
        <v>50.32421753151938</v>
      </c>
      <c r="L60" s="65">
        <f>_xlfn.XLOOKUP($L$2,'Input LwA_XYZ'!$Z$2:$Z$16,'Input LwA_XYZ'!$AD$2:$AD$16)</f>
        <v>40</v>
      </c>
      <c r="M60" s="74"/>
      <c r="P60" s="237" t="s">
        <v>215</v>
      </c>
      <c r="Q60" s="238"/>
      <c r="R60" s="239"/>
      <c r="S60" s="238"/>
      <c r="T60" s="240"/>
      <c r="U60" s="240"/>
      <c r="V60" s="240"/>
      <c r="W60" s="241"/>
      <c r="X60" s="219">
        <f>_xlfn.XLOOKUP(Tables!$N$2,'Input LwA_XYZ'!$Z$2:$Z$16,'Input LwA_XYZ'!$AE$2:$AE$16)</f>
        <v>50</v>
      </c>
    </row>
    <row r="61" spans="2:24" ht="15.75" thickBot="1" x14ac:dyDescent="0.3"/>
    <row r="62" spans="2:24" ht="33.75" thickBot="1" x14ac:dyDescent="0.35">
      <c r="N62" s="66" t="s">
        <v>28</v>
      </c>
      <c r="P62" s="242" t="s">
        <v>79</v>
      </c>
      <c r="Q62" s="243" t="s">
        <v>80</v>
      </c>
      <c r="R62" s="244" t="s">
        <v>81</v>
      </c>
      <c r="S62" s="244" t="s">
        <v>19</v>
      </c>
      <c r="T62" s="244" t="s">
        <v>216</v>
      </c>
      <c r="U62" s="246" t="s">
        <v>82</v>
      </c>
      <c r="V62" s="247" t="s">
        <v>83</v>
      </c>
      <c r="W62" s="248" t="s">
        <v>236</v>
      </c>
      <c r="X62" s="245" t="s">
        <v>78</v>
      </c>
    </row>
    <row r="63" spans="2:24" ht="17.25" thickBot="1" x14ac:dyDescent="0.35">
      <c r="N63" s="66">
        <f>_xlfn.XLOOKUP(N62, 'Input LwA_XYZ'!$Z$2:$Z$16, 'Input LwA_XYZ'!$AF$2:$AF$16, "")</f>
        <v>0</v>
      </c>
      <c r="P63" s="224" t="str">
        <f>IF(OR('Input LwA_XYZ'!A2 = 0, NOT(ISBLANK(_xlfn.XLOOKUP(Tables!N$62, 'Input LwA_XYZ'!CM$1:DA$1, 'Input LwA_XYZ'!CM2:DA2)))), "", 'Input LwA_XYZ'!A2)</f>
        <v/>
      </c>
      <c r="Q63" s="225" t="str">
        <f>IF($P63="","",_xlfn.TEXTJOIN(" - ",TRUE,'Input LwA_XYZ'!B2:C2))</f>
        <v/>
      </c>
      <c r="R63" s="226" t="str">
        <f>IF($P63="","",'Input LwA_XYZ'!Q2)</f>
        <v/>
      </c>
      <c r="S63" s="227" t="str">
        <f>IF($P63="","",ROUND(_xlfn.XLOOKUP(Tables!$N$62,'Input LwA_XYZ'!$AH$1:$AV$1,'Input LwA_XYZ'!AH2:AV2),0))</f>
        <v/>
      </c>
      <c r="T63" s="228" t="str">
        <f>IF($P63="","",-1*ROUND(_xlfn.XLOOKUP(Tables!$N$62,'Input LwA_XYZ'!$AY$1:$BM$1,'Input LwA_XYZ'!AY2:BM2),0))</f>
        <v/>
      </c>
      <c r="U63" s="228" t="str">
        <f>IF($P63="","",IF(_xlfn.XLOOKUP(Tables!$N$62,'Input LwA_XYZ'!$BV$1:$CJ$1,'Input LwA_XYZ'!BV2:CJ2)="","-",_xlfn.XLOOKUP(Tables!$N$62,'Input LwA_XYZ'!$BV$1:$CJ$1,'Input LwA_XYZ'!BV2:CJ2)))</f>
        <v/>
      </c>
      <c r="V63" s="228" t="str">
        <f>IF($P63="","",IF('Input LwA_XYZ'!S2="","-",'Input LwA_XYZ'!S2))</f>
        <v/>
      </c>
      <c r="W63" s="229" t="str" cm="1">
        <f t="array" ref="W63">IF($P63="","",IF(_xlfn.XLOOKUP(Tables!$N$62,_xlfn.ANCHORARRAY('Input LwA_XYZ'!$DD$1),'Input LwA_XYZ'!DD2:DR2)="","-",_xlfn.XLOOKUP(Tables!$N$62,_xlfn.ANCHORARRAY('Input LwA_XYZ'!$DD$1),'Input LwA_XYZ'!DD2:DR2)))</f>
        <v/>
      </c>
      <c r="X63" s="88" t="str">
        <f>IF($P63="","",_xlfn.XLOOKUP(Tables!$N$62,'Input LwA_XYZ'!$DU$1:$EI$1,'Input LwA_XYZ'!DU2:EI2))</f>
        <v/>
      </c>
    </row>
    <row r="64" spans="2:24" ht="16.5" x14ac:dyDescent="0.3">
      <c r="P64" s="230" t="str">
        <f>IF(OR('Input LwA_XYZ'!A3 = 0, NOT(ISBLANK(_xlfn.XLOOKUP(Tables!N$62, 'Input LwA_XYZ'!CM$1:DA$1, 'Input LwA_XYZ'!CM3:DA3)))), "", 'Input LwA_XYZ'!A3)</f>
        <v/>
      </c>
      <c r="Q64" s="225" t="str">
        <f>IF($P64="","",_xlfn.TEXTJOIN(" - ",TRUE,'Input LwA_XYZ'!B3:C3))</f>
        <v/>
      </c>
      <c r="R64" s="231" t="str">
        <f>IF($P64="","",'Input LwA_XYZ'!Q3)</f>
        <v/>
      </c>
      <c r="S64" s="227" t="str">
        <f>IF($P64="","",ROUND(_xlfn.XLOOKUP(Tables!$N$62,'Input LwA_XYZ'!$AH$1:$AV$1,'Input LwA_XYZ'!AH3:AV3),0))</f>
        <v/>
      </c>
      <c r="T64" s="228" t="str">
        <f>IF($P64="","",-1*ROUND(_xlfn.XLOOKUP(Tables!$N$62,'Input LwA_XYZ'!$AY$1:$BM$1,'Input LwA_XYZ'!AY3:BM3),0))</f>
        <v/>
      </c>
      <c r="U64" s="228" t="str">
        <f>IF($P64="","",IF(_xlfn.XLOOKUP(Tables!$N$62,'Input LwA_XYZ'!$BV$1:$CJ$1,'Input LwA_XYZ'!BV3:CJ3)="","-",_xlfn.XLOOKUP(Tables!$N$62,'Input LwA_XYZ'!$BV$1:$CJ$1,'Input LwA_XYZ'!BV3:CJ3)))</f>
        <v/>
      </c>
      <c r="V64" s="228" t="str">
        <f>IF($P64="","",IF('Input LwA_XYZ'!S3="","-",'Input LwA_XYZ'!S3))</f>
        <v/>
      </c>
      <c r="W64" s="229" t="str" cm="1">
        <f t="array" ref="W64">IF($P64="","",IF(_xlfn.XLOOKUP(Tables!$N$62,_xlfn.ANCHORARRAY('Input LwA_XYZ'!$DD$1),'Input LwA_XYZ'!DD3:DR3)="","-",_xlfn.XLOOKUP(Tables!$N$62,_xlfn.ANCHORARRAY('Input LwA_XYZ'!$DD$1),'Input LwA_XYZ'!DD3:DR3)))</f>
        <v/>
      </c>
      <c r="X64" s="62" t="str">
        <f>IF($P64="","",_xlfn.XLOOKUP(Tables!$N$62,'Input LwA_XYZ'!$DU$1:$EI$1,'Input LwA_XYZ'!DU3:EI3))</f>
        <v/>
      </c>
    </row>
    <row r="65" spans="16:24" ht="16.5" x14ac:dyDescent="0.3">
      <c r="P65" s="230" t="str">
        <f>IF(OR('Input LwA_XYZ'!A4 = 0, NOT(ISBLANK(_xlfn.XLOOKUP(Tables!N$62, 'Input LwA_XYZ'!CM$1:DA$1, 'Input LwA_XYZ'!CM4:DA4)))), "", 'Input LwA_XYZ'!A4)</f>
        <v/>
      </c>
      <c r="Q65" s="225" t="str">
        <f>IF($P65="","",_xlfn.TEXTJOIN(" - ",TRUE,'Input LwA_XYZ'!B4:C4))</f>
        <v/>
      </c>
      <c r="R65" s="231" t="str">
        <f>IF($P65="","",'Input LwA_XYZ'!Q4)</f>
        <v/>
      </c>
      <c r="S65" s="227" t="str">
        <f>IF($P65="","",ROUND(_xlfn.XLOOKUP(Tables!$N$62,'Input LwA_XYZ'!$AH$1:$AV$1,'Input LwA_XYZ'!AH4:AV4),0))</f>
        <v/>
      </c>
      <c r="T65" s="228" t="str">
        <f>IF($P65="","",-1*ROUND(_xlfn.XLOOKUP(Tables!$N$62,'Input LwA_XYZ'!$AY$1:$BM$1,'Input LwA_XYZ'!AY4:BM4),0))</f>
        <v/>
      </c>
      <c r="U65" s="228" t="str">
        <f>IF($P65="","",IF(_xlfn.XLOOKUP(Tables!$N$62,'Input LwA_XYZ'!$BV$1:$CJ$1,'Input LwA_XYZ'!BV4:CJ4)="","-",_xlfn.XLOOKUP(Tables!$N$62,'Input LwA_XYZ'!$BV$1:$CJ$1,'Input LwA_XYZ'!BV4:CJ4)))</f>
        <v/>
      </c>
      <c r="V65" s="228" t="str">
        <f>IF($P65="","",IF('Input LwA_XYZ'!S4="","-",'Input LwA_XYZ'!S4))</f>
        <v/>
      </c>
      <c r="W65" s="229" t="str" cm="1">
        <f t="array" ref="W65">IF($P65="","",IF(_xlfn.XLOOKUP(Tables!$N$62,_xlfn.ANCHORARRAY('Input LwA_XYZ'!$DD$1),'Input LwA_XYZ'!DD4:DR4)="","-",_xlfn.XLOOKUP(Tables!$N$62,_xlfn.ANCHORARRAY('Input LwA_XYZ'!$DD$1),'Input LwA_XYZ'!DD4:DR4)))</f>
        <v/>
      </c>
      <c r="X65" s="62" t="str">
        <f>IF($P65="","",_xlfn.XLOOKUP(Tables!$N$62,'Input LwA_XYZ'!$DU$1:$EI$1,'Input LwA_XYZ'!DU4:EI4))</f>
        <v/>
      </c>
    </row>
    <row r="66" spans="16:24" ht="16.5" x14ac:dyDescent="0.3">
      <c r="P66" s="230" t="str">
        <f>IF(OR('Input LwA_XYZ'!A5 = 0, NOT(ISBLANK(_xlfn.XLOOKUP(Tables!N$62, 'Input LwA_XYZ'!CM$1:DA$1, 'Input LwA_XYZ'!CM5:DA5)))), "", 'Input LwA_XYZ'!A5)</f>
        <v/>
      </c>
      <c r="Q66" s="225" t="str">
        <f>IF($P66="","",_xlfn.TEXTJOIN(" - ",TRUE,'Input LwA_XYZ'!B5:C5))</f>
        <v/>
      </c>
      <c r="R66" s="231" t="str">
        <f>IF($P66="","",'Input LwA_XYZ'!Q5)</f>
        <v/>
      </c>
      <c r="S66" s="227" t="str">
        <f>IF($P66="","",ROUND(_xlfn.XLOOKUP(Tables!$N$62,'Input LwA_XYZ'!$AH$1:$AV$1,'Input LwA_XYZ'!AH5:AV5),0))</f>
        <v/>
      </c>
      <c r="T66" s="228" t="str">
        <f>IF($P66="","",-1*ROUND(_xlfn.XLOOKUP(Tables!$N$62,'Input LwA_XYZ'!$AY$1:$BM$1,'Input LwA_XYZ'!AY5:BM5),0))</f>
        <v/>
      </c>
      <c r="U66" s="228" t="str">
        <f>IF($P66="","",IF(_xlfn.XLOOKUP(Tables!$N$62,'Input LwA_XYZ'!$BV$1:$CJ$1,'Input LwA_XYZ'!BV5:CJ5)="","-",_xlfn.XLOOKUP(Tables!$N$62,'Input LwA_XYZ'!$BV$1:$CJ$1,'Input LwA_XYZ'!BV5:CJ5)))</f>
        <v/>
      </c>
      <c r="V66" s="228" t="str">
        <f>IF($P66="","",IF('Input LwA_XYZ'!S5="","-",'Input LwA_XYZ'!S5))</f>
        <v/>
      </c>
      <c r="W66" s="229" t="str" cm="1">
        <f t="array" ref="W66">IF($P66="","",IF(_xlfn.XLOOKUP(Tables!$N$62,_xlfn.ANCHORARRAY('Input LwA_XYZ'!$DD$1),'Input LwA_XYZ'!DD5:DR5)="","-",_xlfn.XLOOKUP(Tables!$N$62,_xlfn.ANCHORARRAY('Input LwA_XYZ'!$DD$1),'Input LwA_XYZ'!DD5:DR5)))</f>
        <v/>
      </c>
      <c r="X66" s="62" t="str">
        <f>IF($P66="","",_xlfn.XLOOKUP(Tables!$N$62,'Input LwA_XYZ'!$DU$1:$EI$1,'Input LwA_XYZ'!DU5:EI5))</f>
        <v/>
      </c>
    </row>
    <row r="67" spans="16:24" ht="16.5" x14ac:dyDescent="0.3">
      <c r="P67" s="230">
        <f>IF(OR('Input LwA_XYZ'!A6 = 0, NOT(ISBLANK(_xlfn.XLOOKUP(Tables!N$62, 'Input LwA_XYZ'!CM$1:DA$1, 'Input LwA_XYZ'!CM6:DA6)))), "", 'Input LwA_XYZ'!A6)</f>
        <v>1</v>
      </c>
      <c r="Q67" s="225" t="str">
        <f>IF($P67="","",_xlfn.TEXTJOIN(" - ",TRUE,'Input LwA_XYZ'!B6:C6))</f>
        <v>KEF-R1  - Inlet</v>
      </c>
      <c r="R67" s="231">
        <f>IF($P67="","",'Input LwA_XYZ'!Q6)</f>
        <v>80</v>
      </c>
      <c r="S67" s="227">
        <f>IF($P67="","",ROUND(_xlfn.XLOOKUP(Tables!$N$62,'Input LwA_XYZ'!$AH$1:$AV$1,'Input LwA_XYZ'!AH6:AV6),0))</f>
        <v>68</v>
      </c>
      <c r="T67" s="228">
        <f>IF($P67="","",-1*ROUND(_xlfn.XLOOKUP(Tables!$N$62,'Input LwA_XYZ'!$AY$1:$BM$1,'Input LwA_XYZ'!AY6:BM6),0))</f>
        <v>34</v>
      </c>
      <c r="U67" s="228">
        <f>IF($P67="","",IF(_xlfn.XLOOKUP(Tables!$N$62,'Input LwA_XYZ'!$BV$1:$CJ$1,'Input LwA_XYZ'!BV6:CJ6)="","-",_xlfn.XLOOKUP(Tables!$N$62,'Input LwA_XYZ'!$BV$1:$CJ$1,'Input LwA_XYZ'!BV6:CJ6)))</f>
        <v>15.4</v>
      </c>
      <c r="V67" s="228" t="str">
        <f>IF($P67="","",IF('Input LwA_XYZ'!S6="","-",'Input LwA_XYZ'!S6))</f>
        <v>-</v>
      </c>
      <c r="W67" s="229" t="str" cm="1">
        <f t="array" ref="W67">IF($P67="","",IF(_xlfn.XLOOKUP(Tables!$N$62,_xlfn.ANCHORARRAY('Input LwA_XYZ'!$DD$1),'Input LwA_XYZ'!DD6:DR6)="","-",_xlfn.XLOOKUP(Tables!$N$62,_xlfn.ANCHORARRAY('Input LwA_XYZ'!$DD$1),'Input LwA_XYZ'!DD6:DR6)))</f>
        <v>-</v>
      </c>
      <c r="X67" s="62">
        <f>IF($P67="","",_xlfn.XLOOKUP(Tables!$N$62,'Input LwA_XYZ'!$DU$1:$EI$1,'Input LwA_XYZ'!DU6:EI6))</f>
        <v>30.334224892398836</v>
      </c>
    </row>
    <row r="68" spans="16:24" ht="16.5" x14ac:dyDescent="0.3">
      <c r="P68" s="230" t="str">
        <f>IF(OR('Input LwA_XYZ'!A7 = 0, NOT(ISBLANK(_xlfn.XLOOKUP(Tables!N$62, 'Input LwA_XYZ'!CM$1:DA$1, 'Input LwA_XYZ'!CM7:DA7)))), "", 'Input LwA_XYZ'!A7)</f>
        <v/>
      </c>
      <c r="Q68" s="225" t="str">
        <f>IF($P68="","",_xlfn.TEXTJOIN(" - ",TRUE,'Input LwA_XYZ'!B7:C7))</f>
        <v/>
      </c>
      <c r="R68" s="231" t="str">
        <f>IF($P68="","",'Input LwA_XYZ'!Q7)</f>
        <v/>
      </c>
      <c r="S68" s="227" t="str">
        <f>IF($P68="","",ROUND(_xlfn.XLOOKUP(Tables!$N$62,'Input LwA_XYZ'!$AH$1:$AV$1,'Input LwA_XYZ'!AH7:AV7),0))</f>
        <v/>
      </c>
      <c r="T68" s="228" t="str">
        <f>IF($P68="","",-1*ROUND(_xlfn.XLOOKUP(Tables!$N$62,'Input LwA_XYZ'!$AY$1:$BM$1,'Input LwA_XYZ'!AY7:BM7),0))</f>
        <v/>
      </c>
      <c r="U68" s="228" t="str">
        <f>IF($P68="","",IF(_xlfn.XLOOKUP(Tables!$N$62,'Input LwA_XYZ'!$BV$1:$CJ$1,'Input LwA_XYZ'!BV7:CJ7)="","-",_xlfn.XLOOKUP(Tables!$N$62,'Input LwA_XYZ'!$BV$1:$CJ$1,'Input LwA_XYZ'!BV7:CJ7)))</f>
        <v/>
      </c>
      <c r="V68" s="228" t="str">
        <f>IF($P68="","",IF('Input LwA_XYZ'!S7="","-",'Input LwA_XYZ'!S7))</f>
        <v/>
      </c>
      <c r="W68" s="229" t="str" cm="1">
        <f t="array" ref="W68">IF($P68="","",IF(_xlfn.XLOOKUP(Tables!$N$62,_xlfn.ANCHORARRAY('Input LwA_XYZ'!$DD$1),'Input LwA_XYZ'!DD7:DR7)="","-",_xlfn.XLOOKUP(Tables!$N$62,_xlfn.ANCHORARRAY('Input LwA_XYZ'!$DD$1),'Input LwA_XYZ'!DD7:DR7)))</f>
        <v/>
      </c>
      <c r="X68" s="62" t="str">
        <f>IF($P68="","",_xlfn.XLOOKUP(Tables!$N$62,'Input LwA_XYZ'!$DU$1:$EI$1,'Input LwA_XYZ'!DU7:EI7))</f>
        <v/>
      </c>
    </row>
    <row r="69" spans="16:24" ht="16.5" x14ac:dyDescent="0.3">
      <c r="P69" s="230" t="str">
        <f>IF(OR('Input LwA_XYZ'!A8 = 0, NOT(ISBLANK(_xlfn.XLOOKUP(Tables!N$62, 'Input LwA_XYZ'!CM$1:DA$1, 'Input LwA_XYZ'!CM8:DA8)))), "", 'Input LwA_XYZ'!A8)</f>
        <v/>
      </c>
      <c r="Q69" s="225" t="str">
        <f>IF($P69="","",_xlfn.TEXTJOIN(" - ",TRUE,'Input LwA_XYZ'!B8:C8))</f>
        <v/>
      </c>
      <c r="R69" s="231" t="str">
        <f>IF($P69="","",'Input LwA_XYZ'!Q8)</f>
        <v/>
      </c>
      <c r="S69" s="227" t="str">
        <f>IF($P69="","",ROUND(_xlfn.XLOOKUP(Tables!$N$62,'Input LwA_XYZ'!$AH$1:$AV$1,'Input LwA_XYZ'!AH8:AV8),0))</f>
        <v/>
      </c>
      <c r="T69" s="228" t="str">
        <f>IF($P69="","",-1*ROUND(_xlfn.XLOOKUP(Tables!$N$62,'Input LwA_XYZ'!$AY$1:$BM$1,'Input LwA_XYZ'!AY8:BM8),0))</f>
        <v/>
      </c>
      <c r="U69" s="228" t="str">
        <f>IF($P69="","",IF(_xlfn.XLOOKUP(Tables!$N$62,'Input LwA_XYZ'!$BV$1:$CJ$1,'Input LwA_XYZ'!BV8:CJ8)="","-",_xlfn.XLOOKUP(Tables!$N$62,'Input LwA_XYZ'!$BV$1:$CJ$1,'Input LwA_XYZ'!BV8:CJ8)))</f>
        <v/>
      </c>
      <c r="V69" s="228" t="str">
        <f>IF($P69="","",IF('Input LwA_XYZ'!S8="","-",'Input LwA_XYZ'!S8))</f>
        <v/>
      </c>
      <c r="W69" s="229" t="str" cm="1">
        <f t="array" ref="W69">IF($P69="","",IF(_xlfn.XLOOKUP(Tables!$N$62,_xlfn.ANCHORARRAY('Input LwA_XYZ'!$DD$1),'Input LwA_XYZ'!DD8:DR8)="","-",_xlfn.XLOOKUP(Tables!$N$62,_xlfn.ANCHORARRAY('Input LwA_XYZ'!$DD$1),'Input LwA_XYZ'!DD8:DR8)))</f>
        <v/>
      </c>
      <c r="X69" s="62" t="str">
        <f>IF($P69="","",_xlfn.XLOOKUP(Tables!$N$62,'Input LwA_XYZ'!$DU$1:$EI$1,'Input LwA_XYZ'!DU8:EI8))</f>
        <v/>
      </c>
    </row>
    <row r="70" spans="16:24" ht="16.5" x14ac:dyDescent="0.3">
      <c r="P70" s="230" t="str">
        <f>IF(OR('Input LwA_XYZ'!A9 = 0, NOT(ISBLANK(_xlfn.XLOOKUP(Tables!N$62, 'Input LwA_XYZ'!CM$1:DA$1, 'Input LwA_XYZ'!CM9:DA9)))), "", 'Input LwA_XYZ'!A9)</f>
        <v/>
      </c>
      <c r="Q70" s="225" t="str">
        <f>IF($P70="","",_xlfn.TEXTJOIN(" - ",TRUE,'Input LwA_XYZ'!B9:C9))</f>
        <v/>
      </c>
      <c r="R70" s="231" t="str">
        <f>IF($P70="","",'Input LwA_XYZ'!Q9)</f>
        <v/>
      </c>
      <c r="S70" s="227" t="str">
        <f>IF($P70="","",ROUND(_xlfn.XLOOKUP(Tables!$N$62,'Input LwA_XYZ'!$AH$1:$AV$1,'Input LwA_XYZ'!AH9:AV9),0))</f>
        <v/>
      </c>
      <c r="T70" s="228" t="str">
        <f>IF($P70="","",-1*ROUND(_xlfn.XLOOKUP(Tables!$N$62,'Input LwA_XYZ'!$AY$1:$BM$1,'Input LwA_XYZ'!AY9:BM9),0))</f>
        <v/>
      </c>
      <c r="U70" s="228" t="str">
        <f>IF($P70="","",IF(_xlfn.XLOOKUP(Tables!$N$62,'Input LwA_XYZ'!$BV$1:$CJ$1,'Input LwA_XYZ'!BV9:CJ9)="","-",_xlfn.XLOOKUP(Tables!$N$62,'Input LwA_XYZ'!$BV$1:$CJ$1,'Input LwA_XYZ'!BV9:CJ9)))</f>
        <v/>
      </c>
      <c r="V70" s="228" t="str">
        <f>IF($P70="","",IF('Input LwA_XYZ'!S9="","-",'Input LwA_XYZ'!S9))</f>
        <v/>
      </c>
      <c r="W70" s="229" t="str" cm="1">
        <f t="array" ref="W70">IF($P70="","",IF(_xlfn.XLOOKUP(Tables!$N$62,_xlfn.ANCHORARRAY('Input LwA_XYZ'!$DD$1),'Input LwA_XYZ'!DD9:DR9)="","-",_xlfn.XLOOKUP(Tables!$N$62,_xlfn.ANCHORARRAY('Input LwA_XYZ'!$DD$1),'Input LwA_XYZ'!DD9:DR9)))</f>
        <v/>
      </c>
      <c r="X70" s="62" t="str">
        <f>IF($P70="","",_xlfn.XLOOKUP(Tables!$N$62,'Input LwA_XYZ'!$DU$1:$EI$1,'Input LwA_XYZ'!DU9:EI9))</f>
        <v/>
      </c>
    </row>
    <row r="71" spans="16:24" ht="16.5" x14ac:dyDescent="0.3">
      <c r="P71" s="230" t="str">
        <f>IF(OR('Input LwA_XYZ'!A10 = 0, NOT(ISBLANK(_xlfn.XLOOKUP(Tables!N$62, 'Input LwA_XYZ'!CM$1:DA$1, 'Input LwA_XYZ'!CM10:DA10)))), "", 'Input LwA_XYZ'!A10)</f>
        <v/>
      </c>
      <c r="Q71" s="225" t="str">
        <f>IF($P71="","",_xlfn.TEXTJOIN(" - ",TRUE,'Input LwA_XYZ'!B10:C10))</f>
        <v/>
      </c>
      <c r="R71" s="231" t="str">
        <f>IF($P71="","",'Input LwA_XYZ'!Q10)</f>
        <v/>
      </c>
      <c r="S71" s="227" t="str">
        <f>IF($P71="","",ROUND(_xlfn.XLOOKUP(Tables!$N$62,'Input LwA_XYZ'!$AH$1:$AV$1,'Input LwA_XYZ'!AH10:AV10),0))</f>
        <v/>
      </c>
      <c r="T71" s="228" t="str">
        <f>IF($P71="","",-1*ROUND(_xlfn.XLOOKUP(Tables!$N$62,'Input LwA_XYZ'!$AY$1:$BM$1,'Input LwA_XYZ'!AY10:BM10),0))</f>
        <v/>
      </c>
      <c r="U71" s="228" t="str">
        <f>IF($P71="","",IF(_xlfn.XLOOKUP(Tables!$N$62,'Input LwA_XYZ'!$BV$1:$CJ$1,'Input LwA_XYZ'!BV10:CJ10)="","-",_xlfn.XLOOKUP(Tables!$N$62,'Input LwA_XYZ'!$BV$1:$CJ$1,'Input LwA_XYZ'!BV10:CJ10)))</f>
        <v/>
      </c>
      <c r="V71" s="228" t="str">
        <f>IF($P71="","",IF('Input LwA_XYZ'!S10="","-",'Input LwA_XYZ'!S10))</f>
        <v/>
      </c>
      <c r="W71" s="229" t="str" cm="1">
        <f t="array" ref="W71">IF($P71="","",IF(_xlfn.XLOOKUP(Tables!$N$62,_xlfn.ANCHORARRAY('Input LwA_XYZ'!$DD$1),'Input LwA_XYZ'!DD10:DR10)="","-",_xlfn.XLOOKUP(Tables!$N$62,_xlfn.ANCHORARRAY('Input LwA_XYZ'!$DD$1),'Input LwA_XYZ'!DD10:DR10)))</f>
        <v/>
      </c>
      <c r="X71" s="62" t="str">
        <f>IF($P71="","",_xlfn.XLOOKUP(Tables!$N$62,'Input LwA_XYZ'!$DU$1:$EI$1,'Input LwA_XYZ'!DU10:EI10))</f>
        <v/>
      </c>
    </row>
    <row r="72" spans="16:24" ht="16.5" x14ac:dyDescent="0.3">
      <c r="P72" s="230" t="str">
        <f>IF(OR('Input LwA_XYZ'!A11 = 0, NOT(ISBLANK(_xlfn.XLOOKUP(Tables!N$62, 'Input LwA_XYZ'!CM$1:DA$1, 'Input LwA_XYZ'!CM11:DA11)))), "", 'Input LwA_XYZ'!A11)</f>
        <v/>
      </c>
      <c r="Q72" s="225" t="str">
        <f>IF($P72="","",_xlfn.TEXTJOIN(" - ",TRUE,'Input LwA_XYZ'!B11:C11))</f>
        <v/>
      </c>
      <c r="R72" s="231" t="str">
        <f>IF($P72="","",'Input LwA_XYZ'!Q11)</f>
        <v/>
      </c>
      <c r="S72" s="227" t="str">
        <f>IF($P72="","",ROUND(_xlfn.XLOOKUP(Tables!$N$62,'Input LwA_XYZ'!$AH$1:$AV$1,'Input LwA_XYZ'!AH11:AV11),0))</f>
        <v/>
      </c>
      <c r="T72" s="228" t="str">
        <f>IF($P72="","",-1*ROUND(_xlfn.XLOOKUP(Tables!$N$62,'Input LwA_XYZ'!$AY$1:$BM$1,'Input LwA_XYZ'!AY11:BM11),0))</f>
        <v/>
      </c>
      <c r="U72" s="228" t="str">
        <f>IF($P72="","",IF(_xlfn.XLOOKUP(Tables!$N$62,'Input LwA_XYZ'!$BV$1:$CJ$1,'Input LwA_XYZ'!BV11:CJ11)="","-",_xlfn.XLOOKUP(Tables!$N$62,'Input LwA_XYZ'!$BV$1:$CJ$1,'Input LwA_XYZ'!BV11:CJ11)))</f>
        <v/>
      </c>
      <c r="V72" s="228" t="str">
        <f>IF($P72="","",IF('Input LwA_XYZ'!S11="","-",'Input LwA_XYZ'!S11))</f>
        <v/>
      </c>
      <c r="W72" s="229" t="str" cm="1">
        <f t="array" ref="W72">IF($P72="","",IF(_xlfn.XLOOKUP(Tables!$N$62,_xlfn.ANCHORARRAY('Input LwA_XYZ'!$DD$1),'Input LwA_XYZ'!DD11:DR11)="","-",_xlfn.XLOOKUP(Tables!$N$62,_xlfn.ANCHORARRAY('Input LwA_XYZ'!$DD$1),'Input LwA_XYZ'!DD11:DR11)))</f>
        <v/>
      </c>
      <c r="X72" s="62" t="str">
        <f>IF($P72="","",_xlfn.XLOOKUP(Tables!$N$62,'Input LwA_XYZ'!$DU$1:$EI$1,'Input LwA_XYZ'!DU11:EI11))</f>
        <v/>
      </c>
    </row>
    <row r="73" spans="16:24" ht="16.5" x14ac:dyDescent="0.3">
      <c r="P73" s="230" t="str">
        <f>IF(OR('Input LwA_XYZ'!A12 = 0, NOT(ISBLANK(_xlfn.XLOOKUP(Tables!N$62, 'Input LwA_XYZ'!CM$1:DA$1, 'Input LwA_XYZ'!CM12:DA12)))), "", 'Input LwA_XYZ'!A12)</f>
        <v/>
      </c>
      <c r="Q73" s="225" t="str">
        <f>IF($P73="","",_xlfn.TEXTJOIN(" - ",TRUE,'Input LwA_XYZ'!B12:C12))</f>
        <v/>
      </c>
      <c r="R73" s="231" t="str">
        <f>IF($P73="","",'Input LwA_XYZ'!Q12)</f>
        <v/>
      </c>
      <c r="S73" s="227" t="str">
        <f>IF($P73="","",ROUND(_xlfn.XLOOKUP(Tables!$N$62,'Input LwA_XYZ'!$AH$1:$AV$1,'Input LwA_XYZ'!AH12:AV12),0))</f>
        <v/>
      </c>
      <c r="T73" s="228" t="str">
        <f>IF($P73="","",-1*ROUND(_xlfn.XLOOKUP(Tables!$N$62,'Input LwA_XYZ'!$AY$1:$BM$1,'Input LwA_XYZ'!AY12:BM12),0))</f>
        <v/>
      </c>
      <c r="U73" s="228" t="str">
        <f>IF($P73="","",IF(_xlfn.XLOOKUP(Tables!$N$62,'Input LwA_XYZ'!$BV$1:$CJ$1,'Input LwA_XYZ'!BV12:CJ12)="","-",_xlfn.XLOOKUP(Tables!$N$62,'Input LwA_XYZ'!$BV$1:$CJ$1,'Input LwA_XYZ'!BV12:CJ12)))</f>
        <v/>
      </c>
      <c r="V73" s="228" t="str">
        <f>IF($P73="","",IF('Input LwA_XYZ'!S12="","-",'Input LwA_XYZ'!S12))</f>
        <v/>
      </c>
      <c r="W73" s="229" t="str" cm="1">
        <f t="array" ref="W73">IF($P73="","",IF(_xlfn.XLOOKUP(Tables!$N$62,_xlfn.ANCHORARRAY('Input LwA_XYZ'!$DD$1),'Input LwA_XYZ'!DD12:DR12)="","-",_xlfn.XLOOKUP(Tables!$N$62,_xlfn.ANCHORARRAY('Input LwA_XYZ'!$DD$1),'Input LwA_XYZ'!DD12:DR12)))</f>
        <v/>
      </c>
      <c r="X73" s="62" t="str">
        <f>IF($P73="","",_xlfn.XLOOKUP(Tables!$N$62,'Input LwA_XYZ'!$DU$1:$EI$1,'Input LwA_XYZ'!DU12:EI12))</f>
        <v/>
      </c>
    </row>
    <row r="74" spans="16:24" ht="16.5" x14ac:dyDescent="0.3">
      <c r="P74" s="230" t="str">
        <f>IF(OR('Input LwA_XYZ'!A13 = 0, NOT(ISBLANK(_xlfn.XLOOKUP(Tables!N$62, 'Input LwA_XYZ'!CM$1:DA$1, 'Input LwA_XYZ'!CM13:DA13)))), "", 'Input LwA_XYZ'!A13)</f>
        <v/>
      </c>
      <c r="Q74" s="225" t="str">
        <f>IF($P74="","",_xlfn.TEXTJOIN(" - ",TRUE,'Input LwA_XYZ'!B13:C13))</f>
        <v/>
      </c>
      <c r="R74" s="231" t="str">
        <f>IF($P74="","",'Input LwA_XYZ'!Q13)</f>
        <v/>
      </c>
      <c r="S74" s="227" t="str">
        <f>IF($P74="","",ROUND(_xlfn.XLOOKUP(Tables!$N$62,'Input LwA_XYZ'!$AH$1:$AV$1,'Input LwA_XYZ'!AH13:AV13),0))</f>
        <v/>
      </c>
      <c r="T74" s="228" t="str">
        <f>IF($P74="","",-1*ROUND(_xlfn.XLOOKUP(Tables!$N$62,'Input LwA_XYZ'!$AY$1:$BM$1,'Input LwA_XYZ'!AY13:BM13),0))</f>
        <v/>
      </c>
      <c r="U74" s="228" t="str">
        <f>IF($P74="","",IF(_xlfn.XLOOKUP(Tables!$N$62,'Input LwA_XYZ'!$BV$1:$CJ$1,'Input LwA_XYZ'!BV13:CJ13)="","-",_xlfn.XLOOKUP(Tables!$N$62,'Input LwA_XYZ'!$BV$1:$CJ$1,'Input LwA_XYZ'!BV13:CJ13)))</f>
        <v/>
      </c>
      <c r="V74" s="228" t="str">
        <f>IF($P74="","",IF('Input LwA_XYZ'!S13="","-",'Input LwA_XYZ'!S13))</f>
        <v/>
      </c>
      <c r="W74" s="229" t="str" cm="1">
        <f t="array" ref="W74">IF($P74="","",IF(_xlfn.XLOOKUP(Tables!$N$62,_xlfn.ANCHORARRAY('Input LwA_XYZ'!$DD$1),'Input LwA_XYZ'!DD13:DR13)="","-",_xlfn.XLOOKUP(Tables!$N$62,_xlfn.ANCHORARRAY('Input LwA_XYZ'!$DD$1),'Input LwA_XYZ'!DD13:DR13)))</f>
        <v/>
      </c>
      <c r="X74" s="62" t="str">
        <f>IF($P74="","",_xlfn.XLOOKUP(Tables!$N$62,'Input LwA_XYZ'!$DU$1:$EI$1,'Input LwA_XYZ'!DU13:EI13))</f>
        <v/>
      </c>
    </row>
    <row r="75" spans="16:24" ht="16.5" x14ac:dyDescent="0.3">
      <c r="P75" s="230" t="str">
        <f>IF(OR('Input LwA_XYZ'!A14 = 0, NOT(ISBLANK(_xlfn.XLOOKUP(Tables!N$62, 'Input LwA_XYZ'!CM$1:DA$1, 'Input LwA_XYZ'!CM14:DA14)))), "", 'Input LwA_XYZ'!A14)</f>
        <v/>
      </c>
      <c r="Q75" s="225" t="str">
        <f>IF($P75="","",_xlfn.TEXTJOIN(" - ",TRUE,'Input LwA_XYZ'!B14:C14))</f>
        <v/>
      </c>
      <c r="R75" s="231" t="str">
        <f>IF($P75="","",'Input LwA_XYZ'!Q14)</f>
        <v/>
      </c>
      <c r="S75" s="227" t="str">
        <f>IF($P75="","",ROUND(_xlfn.XLOOKUP(Tables!$N$62,'Input LwA_XYZ'!$AH$1:$AV$1,'Input LwA_XYZ'!AH14:AV14),0))</f>
        <v/>
      </c>
      <c r="T75" s="228" t="str">
        <f>IF($P75="","",-1*ROUND(_xlfn.XLOOKUP(Tables!$N$62,'Input LwA_XYZ'!$AY$1:$BM$1,'Input LwA_XYZ'!AY14:BM14),0))</f>
        <v/>
      </c>
      <c r="U75" s="228" t="str">
        <f>IF($P75="","",IF(_xlfn.XLOOKUP(Tables!$N$62,'Input LwA_XYZ'!$BV$1:$CJ$1,'Input LwA_XYZ'!BV14:CJ14)="","-",_xlfn.XLOOKUP(Tables!$N$62,'Input LwA_XYZ'!$BV$1:$CJ$1,'Input LwA_XYZ'!BV14:CJ14)))</f>
        <v/>
      </c>
      <c r="V75" s="228" t="str">
        <f>IF($P75="","",IF('Input LwA_XYZ'!S14="","-",'Input LwA_XYZ'!S14))</f>
        <v/>
      </c>
      <c r="W75" s="229" t="str" cm="1">
        <f t="array" ref="W75">IF($P75="","",IF(_xlfn.XLOOKUP(Tables!$N$62,_xlfn.ANCHORARRAY('Input LwA_XYZ'!$DD$1),'Input LwA_XYZ'!DD14:DR14)="","-",_xlfn.XLOOKUP(Tables!$N$62,_xlfn.ANCHORARRAY('Input LwA_XYZ'!$DD$1),'Input LwA_XYZ'!DD14:DR14)))</f>
        <v/>
      </c>
      <c r="X75" s="62" t="str">
        <f>IF($P75="","",_xlfn.XLOOKUP(Tables!$N$62,'Input LwA_XYZ'!$DU$1:$EI$1,'Input LwA_XYZ'!DU14:EI14))</f>
        <v/>
      </c>
    </row>
    <row r="76" spans="16:24" ht="16.5" x14ac:dyDescent="0.3">
      <c r="P76" s="230" t="str">
        <f>IF(OR('Input LwA_XYZ'!A15 = 0, NOT(ISBLANK(_xlfn.XLOOKUP(Tables!N$62, 'Input LwA_XYZ'!CM$1:DA$1, 'Input LwA_XYZ'!CM15:DA15)))), "", 'Input LwA_XYZ'!A15)</f>
        <v/>
      </c>
      <c r="Q76" s="225" t="str">
        <f>IF($P76="","",_xlfn.TEXTJOIN(" - ",TRUE,'Input LwA_XYZ'!B15:C15))</f>
        <v/>
      </c>
      <c r="R76" s="231" t="str">
        <f>IF($P76="","",'Input LwA_XYZ'!Q15)</f>
        <v/>
      </c>
      <c r="S76" s="227" t="str">
        <f>IF($P76="","",ROUND(_xlfn.XLOOKUP(Tables!$N$62,'Input LwA_XYZ'!$AH$1:$AV$1,'Input LwA_XYZ'!AH15:AV15),0))</f>
        <v/>
      </c>
      <c r="T76" s="228" t="str">
        <f>IF($P76="","",-1*ROUND(_xlfn.XLOOKUP(Tables!$N$62,'Input LwA_XYZ'!$AY$1:$BM$1,'Input LwA_XYZ'!AY15:BM15),0))</f>
        <v/>
      </c>
      <c r="U76" s="228" t="str">
        <f>IF($P76="","",IF(_xlfn.XLOOKUP(Tables!$N$62,'Input LwA_XYZ'!$BV$1:$CJ$1,'Input LwA_XYZ'!BV15:CJ15)="","-",_xlfn.XLOOKUP(Tables!$N$62,'Input LwA_XYZ'!$BV$1:$CJ$1,'Input LwA_XYZ'!BV15:CJ15)))</f>
        <v/>
      </c>
      <c r="V76" s="228" t="str">
        <f>IF($P76="","",IF('Input LwA_XYZ'!S15="","-",'Input LwA_XYZ'!S15))</f>
        <v/>
      </c>
      <c r="W76" s="229" t="str" cm="1">
        <f t="array" ref="W76">IF($P76="","",IF(_xlfn.XLOOKUP(Tables!$N$62,_xlfn.ANCHORARRAY('Input LwA_XYZ'!$DD$1),'Input LwA_XYZ'!DD15:DR15)="","-",_xlfn.XLOOKUP(Tables!$N$62,_xlfn.ANCHORARRAY('Input LwA_XYZ'!$DD$1),'Input LwA_XYZ'!DD15:DR15)))</f>
        <v/>
      </c>
      <c r="X76" s="62" t="str">
        <f>IF($P76="","",_xlfn.XLOOKUP(Tables!$N$62,'Input LwA_XYZ'!$DU$1:$EI$1,'Input LwA_XYZ'!DU15:EI15))</f>
        <v/>
      </c>
    </row>
    <row r="77" spans="16:24" ht="16.5" x14ac:dyDescent="0.3">
      <c r="P77" s="230" t="str">
        <f>IF(OR('Input LwA_XYZ'!A16 = 0, NOT(ISBLANK(_xlfn.XLOOKUP(Tables!N$62, 'Input LwA_XYZ'!CM$1:DA$1, 'Input LwA_XYZ'!CM16:DA16)))), "", 'Input LwA_XYZ'!A16)</f>
        <v/>
      </c>
      <c r="Q77" s="225" t="str">
        <f>IF($P77="","",_xlfn.TEXTJOIN(" - ",TRUE,'Input LwA_XYZ'!B16:C16))</f>
        <v/>
      </c>
      <c r="R77" s="231" t="str">
        <f>IF($P77="","",'Input LwA_XYZ'!Q16)</f>
        <v/>
      </c>
      <c r="S77" s="227" t="str">
        <f>IF($P77="","",ROUND(_xlfn.XLOOKUP(Tables!$N$62,'Input LwA_XYZ'!$AH$1:$AV$1,'Input LwA_XYZ'!AH16:AV16),0))</f>
        <v/>
      </c>
      <c r="T77" s="228" t="str">
        <f>IF($P77="","",-1*ROUND(_xlfn.XLOOKUP(Tables!$N$62,'Input LwA_XYZ'!$AY$1:$BM$1,'Input LwA_XYZ'!AY16:BM16),0))</f>
        <v/>
      </c>
      <c r="U77" s="228" t="str">
        <f>IF($P77="","",IF(_xlfn.XLOOKUP(Tables!$N$62,'Input LwA_XYZ'!$BV$1:$CJ$1,'Input LwA_XYZ'!BV16:CJ16)="","-",_xlfn.XLOOKUP(Tables!$N$62,'Input LwA_XYZ'!$BV$1:$CJ$1,'Input LwA_XYZ'!BV16:CJ16)))</f>
        <v/>
      </c>
      <c r="V77" s="228" t="str">
        <f>IF($P77="","",IF('Input LwA_XYZ'!S16="","-",'Input LwA_XYZ'!S16))</f>
        <v/>
      </c>
      <c r="W77" s="229" t="str" cm="1">
        <f t="array" ref="W77">IF($P77="","",IF(_xlfn.XLOOKUP(Tables!$N$62,_xlfn.ANCHORARRAY('Input LwA_XYZ'!$DD$1),'Input LwA_XYZ'!DD16:DR16)="","-",_xlfn.XLOOKUP(Tables!$N$62,_xlfn.ANCHORARRAY('Input LwA_XYZ'!$DD$1),'Input LwA_XYZ'!DD16:DR16)))</f>
        <v/>
      </c>
      <c r="X77" s="62" t="str">
        <f>IF($P77="","",_xlfn.XLOOKUP(Tables!$N$62,'Input LwA_XYZ'!$DU$1:$EI$1,'Input LwA_XYZ'!DU16:EI16))</f>
        <v/>
      </c>
    </row>
    <row r="78" spans="16:24" ht="16.5" x14ac:dyDescent="0.3">
      <c r="P78" s="230" t="str">
        <f>IF(OR('Input LwA_XYZ'!A17 = 0, NOT(ISBLANK(_xlfn.XLOOKUP(Tables!N$62, 'Input LwA_XYZ'!CM$1:DA$1, 'Input LwA_XYZ'!CM17:DA17)))), "", 'Input LwA_XYZ'!A17)</f>
        <v/>
      </c>
      <c r="Q78" s="225" t="str">
        <f>IF($P78="","",_xlfn.TEXTJOIN(" - ",TRUE,'Input LwA_XYZ'!B17:C17))</f>
        <v/>
      </c>
      <c r="R78" s="231" t="str">
        <f>IF($P78="","",'Input LwA_XYZ'!Q17)</f>
        <v/>
      </c>
      <c r="S78" s="227" t="str">
        <f>IF($P78="","",ROUND(_xlfn.XLOOKUP(Tables!$N$62,'Input LwA_XYZ'!$AH$1:$AV$1,'Input LwA_XYZ'!AH17:AV17),0))</f>
        <v/>
      </c>
      <c r="T78" s="228" t="str">
        <f>IF($P78="","",-1*ROUND(_xlfn.XLOOKUP(Tables!$N$62,'Input LwA_XYZ'!$AY$1:$BM$1,'Input LwA_XYZ'!AY17:BM17),0))</f>
        <v/>
      </c>
      <c r="U78" s="228" t="str">
        <f>IF($P78="","",IF(_xlfn.XLOOKUP(Tables!$N$62,'Input LwA_XYZ'!$BV$1:$CJ$1,'Input LwA_XYZ'!BV17:CJ17)="","-",_xlfn.XLOOKUP(Tables!$N$62,'Input LwA_XYZ'!$BV$1:$CJ$1,'Input LwA_XYZ'!BV17:CJ17)))</f>
        <v/>
      </c>
      <c r="V78" s="228" t="str">
        <f>IF($P78="","",IF('Input LwA_XYZ'!S17="","-",'Input LwA_XYZ'!S17))</f>
        <v/>
      </c>
      <c r="W78" s="229" t="str" cm="1">
        <f t="array" ref="W78">IF($P78="","",IF(_xlfn.XLOOKUP(Tables!$N$62,_xlfn.ANCHORARRAY('Input LwA_XYZ'!$DD$1),'Input LwA_XYZ'!DD17:DR17)="","-",_xlfn.XLOOKUP(Tables!$N$62,_xlfn.ANCHORARRAY('Input LwA_XYZ'!$DD$1),'Input LwA_XYZ'!DD17:DR17)))</f>
        <v/>
      </c>
      <c r="X78" s="62" t="str">
        <f>IF($P78="","",_xlfn.XLOOKUP(Tables!$N$62,'Input LwA_XYZ'!$DU$1:$EI$1,'Input LwA_XYZ'!DU17:EI17))</f>
        <v/>
      </c>
    </row>
    <row r="79" spans="16:24" ht="16.5" x14ac:dyDescent="0.3">
      <c r="P79" s="230" t="str">
        <f>IF(OR('Input LwA_XYZ'!A18 = 0, NOT(ISBLANK(_xlfn.XLOOKUP(Tables!N$62, 'Input LwA_XYZ'!CM$1:DA$1, 'Input LwA_XYZ'!CM18:DA18)))), "", 'Input LwA_XYZ'!A18)</f>
        <v/>
      </c>
      <c r="Q79" s="225" t="str">
        <f>IF($P79="","",_xlfn.TEXTJOIN(" - ",TRUE,'Input LwA_XYZ'!B18:C18))</f>
        <v/>
      </c>
      <c r="R79" s="231" t="str">
        <f>IF($P79="","",'Input LwA_XYZ'!Q18)</f>
        <v/>
      </c>
      <c r="S79" s="227" t="str">
        <f>IF($P79="","",ROUND(_xlfn.XLOOKUP(Tables!$N$62,'Input LwA_XYZ'!$AH$1:$AV$1,'Input LwA_XYZ'!AH18:AV18),0))</f>
        <v/>
      </c>
      <c r="T79" s="228" t="str">
        <f>IF($P79="","",-1*ROUND(_xlfn.XLOOKUP(Tables!$N$62,'Input LwA_XYZ'!$AY$1:$BM$1,'Input LwA_XYZ'!AY18:BM18),0))</f>
        <v/>
      </c>
      <c r="U79" s="228" t="str">
        <f>IF($P79="","",IF(_xlfn.XLOOKUP(Tables!$N$62,'Input LwA_XYZ'!$BV$1:$CJ$1,'Input LwA_XYZ'!BV18:CJ18)="","-",_xlfn.XLOOKUP(Tables!$N$62,'Input LwA_XYZ'!$BV$1:$CJ$1,'Input LwA_XYZ'!BV18:CJ18)))</f>
        <v/>
      </c>
      <c r="V79" s="228" t="str">
        <f>IF($P79="","",IF('Input LwA_XYZ'!S18="","-",'Input LwA_XYZ'!S18))</f>
        <v/>
      </c>
      <c r="W79" s="229" t="str" cm="1">
        <f t="array" ref="W79">IF($P79="","",IF(_xlfn.XLOOKUP(Tables!$N$62,_xlfn.ANCHORARRAY('Input LwA_XYZ'!$DD$1),'Input LwA_XYZ'!DD18:DR18)="","-",_xlfn.XLOOKUP(Tables!$N$62,_xlfn.ANCHORARRAY('Input LwA_XYZ'!$DD$1),'Input LwA_XYZ'!DD18:DR18)))</f>
        <v/>
      </c>
      <c r="X79" s="62" t="str">
        <f>IF($P79="","",_xlfn.XLOOKUP(Tables!$N$62,'Input LwA_XYZ'!$DU$1:$EI$1,'Input LwA_XYZ'!DU18:EI18))</f>
        <v/>
      </c>
    </row>
    <row r="80" spans="16:24" ht="16.5" x14ac:dyDescent="0.3">
      <c r="P80" s="230" t="str">
        <f>IF(OR('Input LwA_XYZ'!A19 = 0, NOT(ISBLANK(_xlfn.XLOOKUP(Tables!N$62, 'Input LwA_XYZ'!CM$1:DA$1, 'Input LwA_XYZ'!CM19:DA19)))), "", 'Input LwA_XYZ'!A19)</f>
        <v/>
      </c>
      <c r="Q80" s="225" t="str">
        <f>IF($P80="","",_xlfn.TEXTJOIN(" - ",TRUE,'Input LwA_XYZ'!B19:C19))</f>
        <v/>
      </c>
      <c r="R80" s="231" t="str">
        <f>IF($P80="","",'Input LwA_XYZ'!Q19)</f>
        <v/>
      </c>
      <c r="S80" s="227" t="str">
        <f>IF($P80="","",ROUND(_xlfn.XLOOKUP(Tables!$N$62,'Input LwA_XYZ'!$AH$1:$AV$1,'Input LwA_XYZ'!AH19:AV19),0))</f>
        <v/>
      </c>
      <c r="T80" s="228" t="str">
        <f>IF($P80="","",-1*ROUND(_xlfn.XLOOKUP(Tables!$N$62,'Input LwA_XYZ'!$AY$1:$BM$1,'Input LwA_XYZ'!AY19:BM19),0))</f>
        <v/>
      </c>
      <c r="U80" s="228" t="str">
        <f>IF($P80="","",IF(_xlfn.XLOOKUP(Tables!$N$62,'Input LwA_XYZ'!$BV$1:$CJ$1,'Input LwA_XYZ'!BV19:CJ19)="","-",_xlfn.XLOOKUP(Tables!$N$62,'Input LwA_XYZ'!$BV$1:$CJ$1,'Input LwA_XYZ'!BV19:CJ19)))</f>
        <v/>
      </c>
      <c r="V80" s="228" t="str">
        <f>IF($P80="","",IF('Input LwA_XYZ'!S19="","-",'Input LwA_XYZ'!S19))</f>
        <v/>
      </c>
      <c r="W80" s="229" t="str" cm="1">
        <f t="array" ref="W80">IF($P80="","",IF(_xlfn.XLOOKUP(Tables!$N$62,_xlfn.ANCHORARRAY('Input LwA_XYZ'!$DD$1),'Input LwA_XYZ'!DD19:DR19)="","-",_xlfn.XLOOKUP(Tables!$N$62,_xlfn.ANCHORARRAY('Input LwA_XYZ'!$DD$1),'Input LwA_XYZ'!DD19:DR19)))</f>
        <v/>
      </c>
      <c r="X80" s="62" t="str">
        <f>IF($P80="","",_xlfn.XLOOKUP(Tables!$N$62,'Input LwA_XYZ'!$DU$1:$EI$1,'Input LwA_XYZ'!DU19:EI19))</f>
        <v/>
      </c>
    </row>
    <row r="81" spans="16:24" ht="16.5" x14ac:dyDescent="0.3">
      <c r="P81" s="230" t="str">
        <f>IF(OR('Input LwA_XYZ'!A20 = 0, NOT(ISBLANK(_xlfn.XLOOKUP(Tables!N$62, 'Input LwA_XYZ'!CM$1:DA$1, 'Input LwA_XYZ'!CM20:DA20)))), "", 'Input LwA_XYZ'!A20)</f>
        <v/>
      </c>
      <c r="Q81" s="225" t="str">
        <f>IF($P81="","",_xlfn.TEXTJOIN(" - ",TRUE,'Input LwA_XYZ'!B20:C20))</f>
        <v/>
      </c>
      <c r="R81" s="231" t="str">
        <f>IF($P81="","",'Input LwA_XYZ'!Q20)</f>
        <v/>
      </c>
      <c r="S81" s="227" t="str">
        <f>IF($P81="","",ROUND(_xlfn.XLOOKUP(Tables!$N$62,'Input LwA_XYZ'!$AH$1:$AV$1,'Input LwA_XYZ'!AH20:AV20),0))</f>
        <v/>
      </c>
      <c r="T81" s="228" t="str">
        <f>IF($P81="","",-1*ROUND(_xlfn.XLOOKUP(Tables!$N$62,'Input LwA_XYZ'!$AY$1:$BM$1,'Input LwA_XYZ'!AY20:BM20),0))</f>
        <v/>
      </c>
      <c r="U81" s="228" t="str">
        <f>IF($P81="","",IF(_xlfn.XLOOKUP(Tables!$N$62,'Input LwA_XYZ'!$BV$1:$CJ$1,'Input LwA_XYZ'!BV20:CJ20)="","-",_xlfn.XLOOKUP(Tables!$N$62,'Input LwA_XYZ'!$BV$1:$CJ$1,'Input LwA_XYZ'!BV20:CJ20)))</f>
        <v/>
      </c>
      <c r="V81" s="228" t="str">
        <f>IF($P81="","",IF('Input LwA_XYZ'!S20="","-",'Input LwA_XYZ'!S20))</f>
        <v/>
      </c>
      <c r="W81" s="229" t="str" cm="1">
        <f t="array" ref="W81">IF($P81="","",IF(_xlfn.XLOOKUP(Tables!$N$62,_xlfn.ANCHORARRAY('Input LwA_XYZ'!$DD$1),'Input LwA_XYZ'!DD20:DR20)="","-",_xlfn.XLOOKUP(Tables!$N$62,_xlfn.ANCHORARRAY('Input LwA_XYZ'!$DD$1),'Input LwA_XYZ'!DD20:DR20)))</f>
        <v/>
      </c>
      <c r="X81" s="62" t="str">
        <f>IF($P81="","",_xlfn.XLOOKUP(Tables!$N$62,'Input LwA_XYZ'!$DU$1:$EI$1,'Input LwA_XYZ'!DU20:EI20))</f>
        <v/>
      </c>
    </row>
    <row r="82" spans="16:24" ht="16.5" x14ac:dyDescent="0.3">
      <c r="P82" s="230" t="str">
        <f>IF(OR('Input LwA_XYZ'!A21 = 0, NOT(ISBLANK(_xlfn.XLOOKUP(Tables!N$62, 'Input LwA_XYZ'!CM$1:DA$1, 'Input LwA_XYZ'!CM21:DA21)))), "", 'Input LwA_XYZ'!A21)</f>
        <v/>
      </c>
      <c r="Q82" s="225" t="str">
        <f>IF($P82="","",_xlfn.TEXTJOIN(" - ",TRUE,'Input LwA_XYZ'!B21:C21))</f>
        <v/>
      </c>
      <c r="R82" s="231" t="str">
        <f>IF($P82="","",'Input LwA_XYZ'!Q21)</f>
        <v/>
      </c>
      <c r="S82" s="227" t="str">
        <f>IF($P82="","",ROUND(_xlfn.XLOOKUP(Tables!$N$62,'Input LwA_XYZ'!$AH$1:$AV$1,'Input LwA_XYZ'!AH21:AV21),0))</f>
        <v/>
      </c>
      <c r="T82" s="228" t="str">
        <f>IF($P82="","",-1*ROUND(_xlfn.XLOOKUP(Tables!$N$62,'Input LwA_XYZ'!$AY$1:$BM$1,'Input LwA_XYZ'!AY21:BM21),0))</f>
        <v/>
      </c>
      <c r="U82" s="228" t="str">
        <f>IF($P82="","",IF(_xlfn.XLOOKUP(Tables!$N$62,'Input LwA_XYZ'!$BV$1:$CJ$1,'Input LwA_XYZ'!BV21:CJ21)="","-",_xlfn.XLOOKUP(Tables!$N$62,'Input LwA_XYZ'!$BV$1:$CJ$1,'Input LwA_XYZ'!BV21:CJ21)))</f>
        <v/>
      </c>
      <c r="V82" s="228" t="str">
        <f>IF($P82="","",IF('Input LwA_XYZ'!S21="","-",'Input LwA_XYZ'!S21))</f>
        <v/>
      </c>
      <c r="W82" s="229" t="str" cm="1">
        <f t="array" ref="W82">IF($P82="","",IF(_xlfn.XLOOKUP(Tables!$N$62,_xlfn.ANCHORARRAY('Input LwA_XYZ'!$DD$1),'Input LwA_XYZ'!DD21:DR21)="","-",_xlfn.XLOOKUP(Tables!$N$62,_xlfn.ANCHORARRAY('Input LwA_XYZ'!$DD$1),'Input LwA_XYZ'!DD21:DR21)))</f>
        <v/>
      </c>
      <c r="X82" s="62" t="str">
        <f>IF($P82="","",_xlfn.XLOOKUP(Tables!$N$62,'Input LwA_XYZ'!$DU$1:$EI$1,'Input LwA_XYZ'!DU21:EI21))</f>
        <v/>
      </c>
    </row>
    <row r="83" spans="16:24" ht="16.5" x14ac:dyDescent="0.3">
      <c r="P83" s="230" t="str">
        <f>IF(OR('Input LwA_XYZ'!A22 = 0, NOT(ISBLANK(_xlfn.XLOOKUP(Tables!N$62, 'Input LwA_XYZ'!CM$1:DA$1, 'Input LwA_XYZ'!CM22:DA22)))), "", 'Input LwA_XYZ'!A22)</f>
        <v/>
      </c>
      <c r="Q83" s="225" t="str">
        <f>IF($P83="","",_xlfn.TEXTJOIN(" - ",TRUE,'Input LwA_XYZ'!B22:C22))</f>
        <v/>
      </c>
      <c r="R83" s="231" t="str">
        <f>IF($P83="","",'Input LwA_XYZ'!Q22)</f>
        <v/>
      </c>
      <c r="S83" s="227" t="str">
        <f>IF($P83="","",ROUND(_xlfn.XLOOKUP(Tables!$N$62,'Input LwA_XYZ'!$AH$1:$AV$1,'Input LwA_XYZ'!AH22:AV22),0))</f>
        <v/>
      </c>
      <c r="T83" s="228" t="str">
        <f>IF($P83="","",-1*ROUND(_xlfn.XLOOKUP(Tables!$N$62,'Input LwA_XYZ'!$AY$1:$BM$1,'Input LwA_XYZ'!AY22:BM22),0))</f>
        <v/>
      </c>
      <c r="U83" s="228" t="str">
        <f>IF($P83="","",IF(_xlfn.XLOOKUP(Tables!$N$62,'Input LwA_XYZ'!$BV$1:$CJ$1,'Input LwA_XYZ'!BV22:CJ22)="","-",_xlfn.XLOOKUP(Tables!$N$62,'Input LwA_XYZ'!$BV$1:$CJ$1,'Input LwA_XYZ'!BV22:CJ22)))</f>
        <v/>
      </c>
      <c r="V83" s="228" t="str">
        <f>IF($P83="","",IF('Input LwA_XYZ'!S22="","-",'Input LwA_XYZ'!S22))</f>
        <v/>
      </c>
      <c r="W83" s="229" t="str" cm="1">
        <f t="array" ref="W83">IF($P83="","",IF(_xlfn.XLOOKUP(Tables!$N$62,_xlfn.ANCHORARRAY('Input LwA_XYZ'!$DD$1),'Input LwA_XYZ'!DD22:DR22)="","-",_xlfn.XLOOKUP(Tables!$N$62,_xlfn.ANCHORARRAY('Input LwA_XYZ'!$DD$1),'Input LwA_XYZ'!DD22:DR22)))</f>
        <v/>
      </c>
      <c r="X83" s="62" t="str">
        <f>IF($P83="","",_xlfn.XLOOKUP(Tables!$N$62,'Input LwA_XYZ'!$DU$1:$EI$1,'Input LwA_XYZ'!DU22:EI22))</f>
        <v/>
      </c>
    </row>
    <row r="84" spans="16:24" ht="16.5" x14ac:dyDescent="0.3">
      <c r="P84" s="230" t="str">
        <f>IF(OR('Input LwA_XYZ'!A23 = 0, NOT(ISBLANK(_xlfn.XLOOKUP(Tables!N$62, 'Input LwA_XYZ'!CM$1:DA$1, 'Input LwA_XYZ'!CM23:DA23)))), "", 'Input LwA_XYZ'!A23)</f>
        <v/>
      </c>
      <c r="Q84" s="225" t="str">
        <f>IF($P84="","",_xlfn.TEXTJOIN(" - ",TRUE,'Input LwA_XYZ'!B23:C23))</f>
        <v/>
      </c>
      <c r="R84" s="231" t="str">
        <f>IF($P84="","",'Input LwA_XYZ'!Q23)</f>
        <v/>
      </c>
      <c r="S84" s="227" t="str">
        <f>IF($P84="","",ROUND(_xlfn.XLOOKUP(Tables!$N$62,'Input LwA_XYZ'!$AH$1:$AV$1,'Input LwA_XYZ'!AH23:AV23),0))</f>
        <v/>
      </c>
      <c r="T84" s="228" t="str">
        <f>IF($P84="","",-1*ROUND(_xlfn.XLOOKUP(Tables!$N$62,'Input LwA_XYZ'!$AY$1:$BM$1,'Input LwA_XYZ'!AY23:BM23),0))</f>
        <v/>
      </c>
      <c r="U84" s="228" t="str">
        <f>IF($P84="","",IF(_xlfn.XLOOKUP(Tables!$N$62,'Input LwA_XYZ'!$BV$1:$CJ$1,'Input LwA_XYZ'!BV23:CJ23)="","-",_xlfn.XLOOKUP(Tables!$N$62,'Input LwA_XYZ'!$BV$1:$CJ$1,'Input LwA_XYZ'!BV23:CJ23)))</f>
        <v/>
      </c>
      <c r="V84" s="228" t="str">
        <f>IF($P84="","",IF('Input LwA_XYZ'!S23="","-",'Input LwA_XYZ'!S23))</f>
        <v/>
      </c>
      <c r="W84" s="229" t="str" cm="1">
        <f t="array" ref="W84">IF($P84="","",IF(_xlfn.XLOOKUP(Tables!$N$62,_xlfn.ANCHORARRAY('Input LwA_XYZ'!$DD$1),'Input LwA_XYZ'!DD23:DR23)="","-",_xlfn.XLOOKUP(Tables!$N$62,_xlfn.ANCHORARRAY('Input LwA_XYZ'!$DD$1),'Input LwA_XYZ'!DD23:DR23)))</f>
        <v/>
      </c>
      <c r="X84" s="62" t="str">
        <f>IF($P84="","",_xlfn.XLOOKUP(Tables!$N$62,'Input LwA_XYZ'!$DU$1:$EI$1,'Input LwA_XYZ'!DU23:EI23))</f>
        <v/>
      </c>
    </row>
    <row r="85" spans="16:24" ht="16.5" x14ac:dyDescent="0.3">
      <c r="P85" s="230" t="str">
        <f>IF(OR('Input LwA_XYZ'!A24 = 0, NOT(ISBLANK(_xlfn.XLOOKUP(Tables!N$62, 'Input LwA_XYZ'!CM$1:DA$1, 'Input LwA_XYZ'!CM24:DA24)))), "", 'Input LwA_XYZ'!A24)</f>
        <v/>
      </c>
      <c r="Q85" s="225" t="str">
        <f>IF($P85="","",_xlfn.TEXTJOIN(" - ",TRUE,'Input LwA_XYZ'!B24:C24))</f>
        <v/>
      </c>
      <c r="R85" s="231" t="str">
        <f>IF($P85="","",'Input LwA_XYZ'!Q24)</f>
        <v/>
      </c>
      <c r="S85" s="227" t="str">
        <f>IF($P85="","",ROUND(_xlfn.XLOOKUP(Tables!$N$62,'Input LwA_XYZ'!$AH$1:$AV$1,'Input LwA_XYZ'!AH24:AV24),0))</f>
        <v/>
      </c>
      <c r="T85" s="228" t="str">
        <f>IF($P85="","",-1*ROUND(_xlfn.XLOOKUP(Tables!$N$62,'Input LwA_XYZ'!$AY$1:$BM$1,'Input LwA_XYZ'!AY24:BM24),0))</f>
        <v/>
      </c>
      <c r="U85" s="228" t="str">
        <f>IF($P85="","",IF(_xlfn.XLOOKUP(Tables!$N$62,'Input LwA_XYZ'!$BV$1:$CJ$1,'Input LwA_XYZ'!BV24:CJ24)="","-",_xlfn.XLOOKUP(Tables!$N$62,'Input LwA_XYZ'!$BV$1:$CJ$1,'Input LwA_XYZ'!BV24:CJ24)))</f>
        <v/>
      </c>
      <c r="V85" s="228" t="str">
        <f>IF($P85="","",IF('Input LwA_XYZ'!S24="","-",'Input LwA_XYZ'!S24))</f>
        <v/>
      </c>
      <c r="W85" s="229" t="str" cm="1">
        <f t="array" ref="W85">IF($P85="","",IF(_xlfn.XLOOKUP(Tables!$N$62,_xlfn.ANCHORARRAY('Input LwA_XYZ'!$DD$1),'Input LwA_XYZ'!DD24:DR24)="","-",_xlfn.XLOOKUP(Tables!$N$62,_xlfn.ANCHORARRAY('Input LwA_XYZ'!$DD$1),'Input LwA_XYZ'!DD24:DR24)))</f>
        <v/>
      </c>
      <c r="X85" s="62" t="str">
        <f>IF($P85="","",_xlfn.XLOOKUP(Tables!$N$62,'Input LwA_XYZ'!$DU$1:$EI$1,'Input LwA_XYZ'!DU24:EI24))</f>
        <v/>
      </c>
    </row>
    <row r="86" spans="16:24" ht="16.5" x14ac:dyDescent="0.3">
      <c r="P86" s="230" t="str">
        <f>IF(OR('Input LwA_XYZ'!A25 = 0, NOT(ISBLANK(_xlfn.XLOOKUP(Tables!N$62, 'Input LwA_XYZ'!CM$1:DA$1, 'Input LwA_XYZ'!CM25:DA25)))), "", 'Input LwA_XYZ'!A25)</f>
        <v/>
      </c>
      <c r="Q86" s="225" t="str">
        <f>IF($P86="","",_xlfn.TEXTJOIN(" - ",TRUE,'Input LwA_XYZ'!B25:C25))</f>
        <v/>
      </c>
      <c r="R86" s="231" t="str">
        <f>IF($P86="","",'Input LwA_XYZ'!Q25)</f>
        <v/>
      </c>
      <c r="S86" s="227" t="str">
        <f>IF($P86="","",ROUND(_xlfn.XLOOKUP(Tables!$N$62,'Input LwA_XYZ'!$AH$1:$AV$1,'Input LwA_XYZ'!AH25:AV25),0))</f>
        <v/>
      </c>
      <c r="T86" s="228" t="str">
        <f>IF($P86="","",-1*ROUND(_xlfn.XLOOKUP(Tables!$N$62,'Input LwA_XYZ'!$AY$1:$BM$1,'Input LwA_XYZ'!AY25:BM25),0))</f>
        <v/>
      </c>
      <c r="U86" s="228" t="str">
        <f>IF($P86="","",IF(_xlfn.XLOOKUP(Tables!$N$62,'Input LwA_XYZ'!$BV$1:$CJ$1,'Input LwA_XYZ'!BV25:CJ25)="","-",_xlfn.XLOOKUP(Tables!$N$62,'Input LwA_XYZ'!$BV$1:$CJ$1,'Input LwA_XYZ'!BV25:CJ25)))</f>
        <v/>
      </c>
      <c r="V86" s="228" t="str">
        <f>IF($P86="","",IF('Input LwA_XYZ'!S25="","-",'Input LwA_XYZ'!S25))</f>
        <v/>
      </c>
      <c r="W86" s="229" t="str" cm="1">
        <f t="array" ref="W86">IF($P86="","",IF(_xlfn.XLOOKUP(Tables!$N$62,_xlfn.ANCHORARRAY('Input LwA_XYZ'!$DD$1),'Input LwA_XYZ'!DD25:DR25)="","-",_xlfn.XLOOKUP(Tables!$N$62,_xlfn.ANCHORARRAY('Input LwA_XYZ'!$DD$1),'Input LwA_XYZ'!DD25:DR25)))</f>
        <v/>
      </c>
      <c r="X86" s="62" t="str">
        <f>IF($P86="","",_xlfn.XLOOKUP(Tables!$N$62,'Input LwA_XYZ'!$DU$1:$EI$1,'Input LwA_XYZ'!DU25:EI25))</f>
        <v/>
      </c>
    </row>
    <row r="87" spans="16:24" ht="16.5" x14ac:dyDescent="0.3">
      <c r="P87" s="230" t="str">
        <f>IF(OR('Input LwA_XYZ'!A26 = 0, NOT(ISBLANK(_xlfn.XLOOKUP(Tables!N$62, 'Input LwA_XYZ'!CM$1:DA$1, 'Input LwA_XYZ'!CM26:DA26)))), "", 'Input LwA_XYZ'!A26)</f>
        <v/>
      </c>
      <c r="Q87" s="225" t="str">
        <f>IF($P87="","",_xlfn.TEXTJOIN(" - ",TRUE,'Input LwA_XYZ'!B26:C26))</f>
        <v/>
      </c>
      <c r="R87" s="231" t="str">
        <f>IF($P87="","",'Input LwA_XYZ'!Q26)</f>
        <v/>
      </c>
      <c r="S87" s="227" t="str">
        <f>IF($P87="","",ROUND(_xlfn.XLOOKUP(Tables!$N$62,'Input LwA_XYZ'!$AH$1:$AV$1,'Input LwA_XYZ'!AH26:AV26),0))</f>
        <v/>
      </c>
      <c r="T87" s="228" t="str">
        <f>IF($P87="","",-1*ROUND(_xlfn.XLOOKUP(Tables!$N$62,'Input LwA_XYZ'!$AY$1:$BM$1,'Input LwA_XYZ'!AY26:BM26),0))</f>
        <v/>
      </c>
      <c r="U87" s="228" t="str">
        <f>IF($P87="","",IF(_xlfn.XLOOKUP(Tables!$N$62,'Input LwA_XYZ'!$BV$1:$CJ$1,'Input LwA_XYZ'!BV26:CJ26)="","-",_xlfn.XLOOKUP(Tables!$N$62,'Input LwA_XYZ'!$BV$1:$CJ$1,'Input LwA_XYZ'!BV26:CJ26)))</f>
        <v/>
      </c>
      <c r="V87" s="228" t="str">
        <f>IF($P87="","",IF('Input LwA_XYZ'!S26="","-",'Input LwA_XYZ'!S26))</f>
        <v/>
      </c>
      <c r="W87" s="229" t="str" cm="1">
        <f t="array" ref="W87">IF($P87="","",IF(_xlfn.XLOOKUP(Tables!$N$62,_xlfn.ANCHORARRAY('Input LwA_XYZ'!$DD$1),'Input LwA_XYZ'!DD26:DR26)="","-",_xlfn.XLOOKUP(Tables!$N$62,_xlfn.ANCHORARRAY('Input LwA_XYZ'!$DD$1),'Input LwA_XYZ'!DD26:DR26)))</f>
        <v/>
      </c>
      <c r="X87" s="62" t="str">
        <f>IF($P87="","",_xlfn.XLOOKUP(Tables!$N$62,'Input LwA_XYZ'!$DU$1:$EI$1,'Input LwA_XYZ'!DU26:EI26))</f>
        <v/>
      </c>
    </row>
    <row r="88" spans="16:24" ht="16.5" x14ac:dyDescent="0.3">
      <c r="P88" s="230" t="str">
        <f>IF(OR('Input LwA_XYZ'!A27 = 0, NOT(ISBLANK(_xlfn.XLOOKUP(Tables!N$62, 'Input LwA_XYZ'!CM$1:DA$1, 'Input LwA_XYZ'!CM27:DA27)))), "", 'Input LwA_XYZ'!A27)</f>
        <v/>
      </c>
      <c r="Q88" s="225" t="str">
        <f>IF($P88="","",_xlfn.TEXTJOIN(" - ",TRUE,'Input LwA_XYZ'!B27:C27))</f>
        <v/>
      </c>
      <c r="R88" s="231" t="str">
        <f>IF($P88="","",'Input LwA_XYZ'!Q27)</f>
        <v/>
      </c>
      <c r="S88" s="227" t="str">
        <f>IF($P88="","",ROUND(_xlfn.XLOOKUP(Tables!$N$62,'Input LwA_XYZ'!$AH$1:$AV$1,'Input LwA_XYZ'!AH27:AV27),0))</f>
        <v/>
      </c>
      <c r="T88" s="228" t="str">
        <f>IF($P88="","",-1*ROUND(_xlfn.XLOOKUP(Tables!$N$62,'Input LwA_XYZ'!$AY$1:$BM$1,'Input LwA_XYZ'!AY27:BM27),0))</f>
        <v/>
      </c>
      <c r="U88" s="228" t="str">
        <f>IF($P88="","",IF(_xlfn.XLOOKUP(Tables!$N$62,'Input LwA_XYZ'!$BV$1:$CJ$1,'Input LwA_XYZ'!BV27:CJ27)="","-",_xlfn.XLOOKUP(Tables!$N$62,'Input LwA_XYZ'!$BV$1:$CJ$1,'Input LwA_XYZ'!BV27:CJ27)))</f>
        <v/>
      </c>
      <c r="V88" s="228" t="str">
        <f>IF($P88="","",IF('Input LwA_XYZ'!S27="","-",'Input LwA_XYZ'!S27))</f>
        <v/>
      </c>
      <c r="W88" s="229" t="str" cm="1">
        <f t="array" ref="W88">IF($P88="","",IF(_xlfn.XLOOKUP(Tables!$N$62,_xlfn.ANCHORARRAY('Input LwA_XYZ'!$DD$1),'Input LwA_XYZ'!DD27:DR27)="","-",_xlfn.XLOOKUP(Tables!$N$62,_xlfn.ANCHORARRAY('Input LwA_XYZ'!$DD$1),'Input LwA_XYZ'!DD27:DR27)))</f>
        <v/>
      </c>
      <c r="X88" s="62" t="str">
        <f>IF($P88="","",_xlfn.XLOOKUP(Tables!$N$62,'Input LwA_XYZ'!$DU$1:$EI$1,'Input LwA_XYZ'!DU27:EI27))</f>
        <v/>
      </c>
    </row>
    <row r="89" spans="16:24" ht="16.5" x14ac:dyDescent="0.3">
      <c r="P89" s="230" t="str">
        <f>IF(OR('Input LwA_XYZ'!A28 = 0, NOT(ISBLANK(_xlfn.XLOOKUP(Tables!N$62, 'Input LwA_XYZ'!CM$1:DA$1, 'Input LwA_XYZ'!CM28:DA28)))), "", 'Input LwA_XYZ'!A28)</f>
        <v/>
      </c>
      <c r="Q89" s="225" t="str">
        <f>IF($P89="","",_xlfn.TEXTJOIN(" - ",TRUE,'Input LwA_XYZ'!B28:C28))</f>
        <v/>
      </c>
      <c r="R89" s="231" t="str">
        <f>IF($P89="","",'Input LwA_XYZ'!Q28)</f>
        <v/>
      </c>
      <c r="S89" s="227" t="str">
        <f>IF($P89="","",ROUND(_xlfn.XLOOKUP(Tables!$N$62,'Input LwA_XYZ'!$AH$1:$AV$1,'Input LwA_XYZ'!AH28:AV28),0))</f>
        <v/>
      </c>
      <c r="T89" s="228" t="str">
        <f>IF($P89="","",-1*ROUND(_xlfn.XLOOKUP(Tables!$N$62,'Input LwA_XYZ'!$AY$1:$BM$1,'Input LwA_XYZ'!AY28:BM28),0))</f>
        <v/>
      </c>
      <c r="U89" s="228" t="str">
        <f>IF($P89="","",IF(_xlfn.XLOOKUP(Tables!$N$62,'Input LwA_XYZ'!$BV$1:$CJ$1,'Input LwA_XYZ'!BV28:CJ28)="","-",_xlfn.XLOOKUP(Tables!$N$62,'Input LwA_XYZ'!$BV$1:$CJ$1,'Input LwA_XYZ'!BV28:CJ28)))</f>
        <v/>
      </c>
      <c r="V89" s="228" t="str">
        <f>IF($P89="","",IF('Input LwA_XYZ'!S28="","-",'Input LwA_XYZ'!S28))</f>
        <v/>
      </c>
      <c r="W89" s="229" t="str" cm="1">
        <f t="array" ref="W89">IF($P89="","",IF(_xlfn.XLOOKUP(Tables!$N$62,_xlfn.ANCHORARRAY('Input LwA_XYZ'!$DD$1),'Input LwA_XYZ'!DD28:DR28)="","-",_xlfn.XLOOKUP(Tables!$N$62,_xlfn.ANCHORARRAY('Input LwA_XYZ'!$DD$1),'Input LwA_XYZ'!DD28:DR28)))</f>
        <v/>
      </c>
      <c r="X89" s="62" t="str">
        <f>IF($P89="","",_xlfn.XLOOKUP(Tables!$N$62,'Input LwA_XYZ'!$DU$1:$EI$1,'Input LwA_XYZ'!DU28:EI28))</f>
        <v/>
      </c>
    </row>
    <row r="90" spans="16:24" ht="16.5" x14ac:dyDescent="0.3">
      <c r="P90" s="230" t="str">
        <f>IF(OR('Input LwA_XYZ'!A29 = 0, NOT(ISBLANK(_xlfn.XLOOKUP(Tables!N$62, 'Input LwA_XYZ'!CM$1:DA$1, 'Input LwA_XYZ'!CM29:DA29)))), "", 'Input LwA_XYZ'!A29)</f>
        <v/>
      </c>
      <c r="Q90" s="225" t="str">
        <f>IF($P90="","",_xlfn.TEXTJOIN(" - ",TRUE,'Input LwA_XYZ'!B29:C29))</f>
        <v/>
      </c>
      <c r="R90" s="231" t="str">
        <f>IF($P90="","",'Input LwA_XYZ'!Q29)</f>
        <v/>
      </c>
      <c r="S90" s="227" t="str">
        <f>IF($P90="","",ROUND(_xlfn.XLOOKUP(Tables!$N$62,'Input LwA_XYZ'!$AH$1:$AV$1,'Input LwA_XYZ'!AH29:AV29),0))</f>
        <v/>
      </c>
      <c r="T90" s="228" t="str">
        <f>IF($P90="","",-1*ROUND(_xlfn.XLOOKUP(Tables!$N$62,'Input LwA_XYZ'!$AY$1:$BM$1,'Input LwA_XYZ'!AY29:BM29),0))</f>
        <v/>
      </c>
      <c r="U90" s="228" t="str">
        <f>IF($P90="","",IF(_xlfn.XLOOKUP(Tables!$N$62,'Input LwA_XYZ'!$BV$1:$CJ$1,'Input LwA_XYZ'!BV29:CJ29)="","-",_xlfn.XLOOKUP(Tables!$N$62,'Input LwA_XYZ'!$BV$1:$CJ$1,'Input LwA_XYZ'!BV29:CJ29)))</f>
        <v/>
      </c>
      <c r="V90" s="228" t="str">
        <f>IF($P90="","",IF('Input LwA_XYZ'!S29="","-",'Input LwA_XYZ'!S29))</f>
        <v/>
      </c>
      <c r="W90" s="229" t="str" cm="1">
        <f t="array" ref="W90">IF($P90="","",IF(_xlfn.XLOOKUP(Tables!$N$62,_xlfn.ANCHORARRAY('Input LwA_XYZ'!$DD$1),'Input LwA_XYZ'!DD29:DR29)="","-",_xlfn.XLOOKUP(Tables!$N$62,_xlfn.ANCHORARRAY('Input LwA_XYZ'!$DD$1),'Input LwA_XYZ'!DD29:DR29)))</f>
        <v/>
      </c>
      <c r="X90" s="62" t="str">
        <f>IF($P90="","",_xlfn.XLOOKUP(Tables!$N$62,'Input LwA_XYZ'!$DU$1:$EI$1,'Input LwA_XYZ'!DU29:EI29))</f>
        <v/>
      </c>
    </row>
    <row r="91" spans="16:24" ht="16.5" x14ac:dyDescent="0.3">
      <c r="P91" s="230" t="str">
        <f>IF(OR('Input LwA_XYZ'!A30 = 0, NOT(ISBLANK(_xlfn.XLOOKUP(Tables!N$62, 'Input LwA_XYZ'!CM$1:DA$1, 'Input LwA_XYZ'!CM30:DA30)))), "", 'Input LwA_XYZ'!A30)</f>
        <v/>
      </c>
      <c r="Q91" s="225" t="str">
        <f>IF($P91="","",_xlfn.TEXTJOIN(" - ",TRUE,'Input LwA_XYZ'!B30:C30))</f>
        <v/>
      </c>
      <c r="R91" s="231" t="str">
        <f>IF($P91="","",'Input LwA_XYZ'!Q30)</f>
        <v/>
      </c>
      <c r="S91" s="227" t="str">
        <f>IF($P91="","",ROUND(_xlfn.XLOOKUP(Tables!$N$62,'Input LwA_XYZ'!$AH$1:$AV$1,'Input LwA_XYZ'!AH30:AV30),0))</f>
        <v/>
      </c>
      <c r="T91" s="228" t="str">
        <f>IF($P91="","",-1*ROUND(_xlfn.XLOOKUP(Tables!$N$62,'Input LwA_XYZ'!$AY$1:$BM$1,'Input LwA_XYZ'!AY30:BM30),0))</f>
        <v/>
      </c>
      <c r="U91" s="228" t="str">
        <f>IF($P91="","",IF(_xlfn.XLOOKUP(Tables!$N$62,'Input LwA_XYZ'!$BV$1:$CJ$1,'Input LwA_XYZ'!BV30:CJ30)="","-",_xlfn.XLOOKUP(Tables!$N$62,'Input LwA_XYZ'!$BV$1:$CJ$1,'Input LwA_XYZ'!BV30:CJ30)))</f>
        <v/>
      </c>
      <c r="V91" s="228" t="str">
        <f>IF($P91="","",IF('Input LwA_XYZ'!S30="","-",'Input LwA_XYZ'!S30))</f>
        <v/>
      </c>
      <c r="W91" s="229" t="str" cm="1">
        <f t="array" ref="W91">IF($P91="","",IF(_xlfn.XLOOKUP(Tables!$N$62,_xlfn.ANCHORARRAY('Input LwA_XYZ'!$DD$1),'Input LwA_XYZ'!DD30:DR30)="","-",_xlfn.XLOOKUP(Tables!$N$62,_xlfn.ANCHORARRAY('Input LwA_XYZ'!$DD$1),'Input LwA_XYZ'!DD30:DR30)))</f>
        <v/>
      </c>
      <c r="X91" s="62" t="str">
        <f>IF($P91="","",_xlfn.XLOOKUP(Tables!$N$62,'Input LwA_XYZ'!$DU$1:$EI$1,'Input LwA_XYZ'!DU30:EI30))</f>
        <v/>
      </c>
    </row>
    <row r="92" spans="16:24" ht="16.5" x14ac:dyDescent="0.3">
      <c r="P92" s="230" t="str">
        <f>IF(OR('Input LwA_XYZ'!A31 = 0, NOT(ISBLANK(_xlfn.XLOOKUP(Tables!N$62, 'Input LwA_XYZ'!CM$1:DA$1, 'Input LwA_XYZ'!CM31:DA31)))), "", 'Input LwA_XYZ'!A31)</f>
        <v/>
      </c>
      <c r="Q92" s="225" t="str">
        <f>IF($P92="","",_xlfn.TEXTJOIN(" - ",TRUE,'Input LwA_XYZ'!B31:C31))</f>
        <v/>
      </c>
      <c r="R92" s="231" t="str">
        <f>IF($P92="","",'Input LwA_XYZ'!Q31)</f>
        <v/>
      </c>
      <c r="S92" s="227" t="str">
        <f>IF($P92="","",ROUND(_xlfn.XLOOKUP(Tables!$N$62,'Input LwA_XYZ'!$AH$1:$AV$1,'Input LwA_XYZ'!AH31:AV31),0))</f>
        <v/>
      </c>
      <c r="T92" s="228" t="str">
        <f>IF($P92="","",-1*ROUND(_xlfn.XLOOKUP(Tables!$N$62,'Input LwA_XYZ'!$AY$1:$BM$1,'Input LwA_XYZ'!AY31:BM31),0))</f>
        <v/>
      </c>
      <c r="U92" s="228" t="str">
        <f>IF($P92="","",IF(_xlfn.XLOOKUP(Tables!$N$62,'Input LwA_XYZ'!$BV$1:$CJ$1,'Input LwA_XYZ'!BV31:CJ31)="","-",_xlfn.XLOOKUP(Tables!$N$62,'Input LwA_XYZ'!$BV$1:$CJ$1,'Input LwA_XYZ'!BV31:CJ31)))</f>
        <v/>
      </c>
      <c r="V92" s="228" t="str">
        <f>IF($P92="","",IF('Input LwA_XYZ'!S31="","-",'Input LwA_XYZ'!S31))</f>
        <v/>
      </c>
      <c r="W92" s="229" t="str" cm="1">
        <f t="array" ref="W92">IF($P92="","",IF(_xlfn.XLOOKUP(Tables!$N$62,_xlfn.ANCHORARRAY('Input LwA_XYZ'!$DD$1),'Input LwA_XYZ'!DD31:DR31)="","-",_xlfn.XLOOKUP(Tables!$N$62,_xlfn.ANCHORARRAY('Input LwA_XYZ'!$DD$1),'Input LwA_XYZ'!DD31:DR31)))</f>
        <v/>
      </c>
      <c r="X92" s="62" t="str">
        <f>IF($P92="","",_xlfn.XLOOKUP(Tables!$N$62,'Input LwA_XYZ'!$DU$1:$EI$1,'Input LwA_XYZ'!DU31:EI31))</f>
        <v/>
      </c>
    </row>
    <row r="93" spans="16:24" ht="16.5" x14ac:dyDescent="0.3">
      <c r="P93" s="230" t="str">
        <f>IF(OR('Input LwA_XYZ'!A32 = 0, NOT(ISBLANK(_xlfn.XLOOKUP(Tables!N$62, 'Input LwA_XYZ'!CM$1:DA$1, 'Input LwA_XYZ'!CM32:DA32)))), "", 'Input LwA_XYZ'!A32)</f>
        <v/>
      </c>
      <c r="Q93" s="225" t="str">
        <f>IF($P93="","",_xlfn.TEXTJOIN(" - ",TRUE,'Input LwA_XYZ'!B32:C32))</f>
        <v/>
      </c>
      <c r="R93" s="231" t="str">
        <f>IF($P93="","",'Input LwA_XYZ'!Q32)</f>
        <v/>
      </c>
      <c r="S93" s="227" t="str">
        <f>IF($P93="","",ROUND(_xlfn.XLOOKUP(Tables!$N$62,'Input LwA_XYZ'!$AH$1:$AV$1,'Input LwA_XYZ'!AH32:AV32),0))</f>
        <v/>
      </c>
      <c r="T93" s="228" t="str">
        <f>IF($P93="","",-1*ROUND(_xlfn.XLOOKUP(Tables!$N$62,'Input LwA_XYZ'!$AY$1:$BM$1,'Input LwA_XYZ'!AY32:BM32),0))</f>
        <v/>
      </c>
      <c r="U93" s="228" t="str">
        <f>IF($P93="","",IF(_xlfn.XLOOKUP(Tables!$N$62,'Input LwA_XYZ'!$BV$1:$CJ$1,'Input LwA_XYZ'!BV32:CJ32)="","-",_xlfn.XLOOKUP(Tables!$N$62,'Input LwA_XYZ'!$BV$1:$CJ$1,'Input LwA_XYZ'!BV32:CJ32)))</f>
        <v/>
      </c>
      <c r="V93" s="228" t="str">
        <f>IF($P93="","",IF('Input LwA_XYZ'!S32="","-",'Input LwA_XYZ'!S32))</f>
        <v/>
      </c>
      <c r="W93" s="229" t="str" cm="1">
        <f t="array" ref="W93">IF($P93="","",IF(_xlfn.XLOOKUP(Tables!$N$62,_xlfn.ANCHORARRAY('Input LwA_XYZ'!$DD$1),'Input LwA_XYZ'!DD32:DR32)="","-",_xlfn.XLOOKUP(Tables!$N$62,_xlfn.ANCHORARRAY('Input LwA_XYZ'!$DD$1),'Input LwA_XYZ'!DD32:DR32)))</f>
        <v/>
      </c>
      <c r="X93" s="62" t="str">
        <f>IF($P93="","",_xlfn.XLOOKUP(Tables!$N$62,'Input LwA_XYZ'!$DU$1:$EI$1,'Input LwA_XYZ'!DU32:EI32))</f>
        <v/>
      </c>
    </row>
    <row r="94" spans="16:24" ht="16.5" x14ac:dyDescent="0.3">
      <c r="P94" s="230" t="str">
        <f>IF(OR('Input LwA_XYZ'!A33 = 0, NOT(ISBLANK(_xlfn.XLOOKUP(Tables!N$62, 'Input LwA_XYZ'!CM$1:DA$1, 'Input LwA_XYZ'!CM33:DA33)))), "", 'Input LwA_XYZ'!A33)</f>
        <v/>
      </c>
      <c r="Q94" s="225" t="str">
        <f>IF($P94="","",_xlfn.TEXTJOIN(" - ",TRUE,'Input LwA_XYZ'!B33:C33))</f>
        <v/>
      </c>
      <c r="R94" s="231" t="str">
        <f>IF($P94="","",'Input LwA_XYZ'!Q33)</f>
        <v/>
      </c>
      <c r="S94" s="227" t="str">
        <f>IF($P94="","",ROUND(_xlfn.XLOOKUP(Tables!$N$62,'Input LwA_XYZ'!$AH$1:$AV$1,'Input LwA_XYZ'!AH33:AV33),0))</f>
        <v/>
      </c>
      <c r="T94" s="228" t="str">
        <f>IF($P94="","",-1*ROUND(_xlfn.XLOOKUP(Tables!$N$62,'Input LwA_XYZ'!$AY$1:$BM$1,'Input LwA_XYZ'!AY33:BM33),0))</f>
        <v/>
      </c>
      <c r="U94" s="228" t="str">
        <f>IF($P94="","",IF(_xlfn.XLOOKUP(Tables!$N$62,'Input LwA_XYZ'!$BV$1:$CJ$1,'Input LwA_XYZ'!BV33:CJ33)="","-",_xlfn.XLOOKUP(Tables!$N$62,'Input LwA_XYZ'!$BV$1:$CJ$1,'Input LwA_XYZ'!BV33:CJ33)))</f>
        <v/>
      </c>
      <c r="V94" s="228" t="str">
        <f>IF($P94="","",IF('Input LwA_XYZ'!S33="","-",'Input LwA_XYZ'!S33))</f>
        <v/>
      </c>
      <c r="W94" s="229" t="str" cm="1">
        <f t="array" ref="W94">IF($P94="","",IF(_xlfn.XLOOKUP(Tables!$N$62,_xlfn.ANCHORARRAY('Input LwA_XYZ'!$DD$1),'Input LwA_XYZ'!DD33:DR33)="","-",_xlfn.XLOOKUP(Tables!$N$62,_xlfn.ANCHORARRAY('Input LwA_XYZ'!$DD$1),'Input LwA_XYZ'!DD33:DR33)))</f>
        <v/>
      </c>
      <c r="X94" s="62" t="str">
        <f>IF($P94="","",_xlfn.XLOOKUP(Tables!$N$62,'Input LwA_XYZ'!$DU$1:$EI$1,'Input LwA_XYZ'!DU33:EI33))</f>
        <v/>
      </c>
    </row>
    <row r="95" spans="16:24" ht="16.5" x14ac:dyDescent="0.3">
      <c r="P95" s="230" t="str">
        <f>IF(OR('Input LwA_XYZ'!A34 = 0, NOT(ISBLANK(_xlfn.XLOOKUP(Tables!N$62, 'Input LwA_XYZ'!CM$1:DA$1, 'Input LwA_XYZ'!CM34:DA34)))), "", 'Input LwA_XYZ'!A34)</f>
        <v/>
      </c>
      <c r="Q95" s="225" t="str">
        <f>IF($P95="","",_xlfn.TEXTJOIN(" - ",TRUE,'Input LwA_XYZ'!B34:C34))</f>
        <v/>
      </c>
      <c r="R95" s="231" t="str">
        <f>IF($P95="","",'Input LwA_XYZ'!Q34)</f>
        <v/>
      </c>
      <c r="S95" s="227" t="str">
        <f>IF($P95="","",ROUND(_xlfn.XLOOKUP(Tables!$N$62,'Input LwA_XYZ'!$AH$1:$AV$1,'Input LwA_XYZ'!AH34:AV34),0))</f>
        <v/>
      </c>
      <c r="T95" s="228" t="str">
        <f>IF($P95="","",-1*ROUND(_xlfn.XLOOKUP(Tables!$N$62,'Input LwA_XYZ'!$AY$1:$BM$1,'Input LwA_XYZ'!AY34:BM34),0))</f>
        <v/>
      </c>
      <c r="U95" s="228" t="str">
        <f>IF($P95="","",IF(_xlfn.XLOOKUP(Tables!$N$62,'Input LwA_XYZ'!$BV$1:$CJ$1,'Input LwA_XYZ'!BV34:CJ34)="","-",_xlfn.XLOOKUP(Tables!$N$62,'Input LwA_XYZ'!$BV$1:$CJ$1,'Input LwA_XYZ'!BV34:CJ34)))</f>
        <v/>
      </c>
      <c r="V95" s="228" t="str">
        <f>IF($P95="","",IF('Input LwA_XYZ'!S34="","-",'Input LwA_XYZ'!S34))</f>
        <v/>
      </c>
      <c r="W95" s="229" t="str" cm="1">
        <f t="array" ref="W95">IF($P95="","",IF(_xlfn.XLOOKUP(Tables!$N$62,_xlfn.ANCHORARRAY('Input LwA_XYZ'!$DD$1),'Input LwA_XYZ'!DD34:DR34)="","-",_xlfn.XLOOKUP(Tables!$N$62,_xlfn.ANCHORARRAY('Input LwA_XYZ'!$DD$1),'Input LwA_XYZ'!DD34:DR34)))</f>
        <v/>
      </c>
      <c r="X95" s="62" t="str">
        <f>IF($P95="","",_xlfn.XLOOKUP(Tables!$N$62,'Input LwA_XYZ'!$DU$1:$EI$1,'Input LwA_XYZ'!DU34:EI34))</f>
        <v/>
      </c>
    </row>
    <row r="96" spans="16:24" ht="16.5" x14ac:dyDescent="0.3">
      <c r="P96" s="230" t="str">
        <f>IF(OR('Input LwA_XYZ'!A35 = 0, NOT(ISBLANK(_xlfn.XLOOKUP(Tables!N$62, 'Input LwA_XYZ'!CM$1:DA$1, 'Input LwA_XYZ'!CM35:DA35)))), "", 'Input LwA_XYZ'!A35)</f>
        <v/>
      </c>
      <c r="Q96" s="225" t="str">
        <f>IF($P96="","",_xlfn.TEXTJOIN(" - ",TRUE,'Input LwA_XYZ'!B35:C35))</f>
        <v/>
      </c>
      <c r="R96" s="231" t="str">
        <f>IF($P96="","",'Input LwA_XYZ'!Q35)</f>
        <v/>
      </c>
      <c r="S96" s="227" t="str">
        <f>IF($P96="","",ROUND(_xlfn.XLOOKUP(Tables!$N$62,'Input LwA_XYZ'!$AH$1:$AV$1,'Input LwA_XYZ'!AH35:AV35),0))</f>
        <v/>
      </c>
      <c r="T96" s="228" t="str">
        <f>IF($P96="","",-1*ROUND(_xlfn.XLOOKUP(Tables!$N$62,'Input LwA_XYZ'!$AY$1:$BM$1,'Input LwA_XYZ'!AY35:BM35),0))</f>
        <v/>
      </c>
      <c r="U96" s="228" t="str">
        <f>IF($P96="","",IF(_xlfn.XLOOKUP(Tables!$N$62,'Input LwA_XYZ'!$BV$1:$CJ$1,'Input LwA_XYZ'!BV35:CJ35)="","-",_xlfn.XLOOKUP(Tables!$N$62,'Input LwA_XYZ'!$BV$1:$CJ$1,'Input LwA_XYZ'!BV35:CJ35)))</f>
        <v/>
      </c>
      <c r="V96" s="228" t="str">
        <f>IF($P96="","",IF('Input LwA_XYZ'!S35="","-",'Input LwA_XYZ'!S35))</f>
        <v/>
      </c>
      <c r="W96" s="229" t="str" cm="1">
        <f t="array" ref="W96">IF($P96="","",IF(_xlfn.XLOOKUP(Tables!$N$62,_xlfn.ANCHORARRAY('Input LwA_XYZ'!$DD$1),'Input LwA_XYZ'!DD35:DR35)="","-",_xlfn.XLOOKUP(Tables!$N$62,_xlfn.ANCHORARRAY('Input LwA_XYZ'!$DD$1),'Input LwA_XYZ'!DD35:DR35)))</f>
        <v/>
      </c>
      <c r="X96" s="62" t="str">
        <f>IF($P96="","",_xlfn.XLOOKUP(Tables!$N$62,'Input LwA_XYZ'!$DU$1:$EI$1,'Input LwA_XYZ'!DU35:EI35))</f>
        <v/>
      </c>
    </row>
    <row r="97" spans="16:24" ht="16.5" x14ac:dyDescent="0.3">
      <c r="P97" s="230" t="str">
        <f>IF(OR('Input LwA_XYZ'!A36 = 0, NOT(ISBLANK(_xlfn.XLOOKUP(Tables!N$62, 'Input LwA_XYZ'!CM$1:DA$1, 'Input LwA_XYZ'!CM36:DA36)))), "", 'Input LwA_XYZ'!A36)</f>
        <v/>
      </c>
      <c r="Q97" s="225" t="str">
        <f>IF($P97="","",_xlfn.TEXTJOIN(" - ",TRUE,'Input LwA_XYZ'!B36:C36))</f>
        <v/>
      </c>
      <c r="R97" s="231" t="str">
        <f>IF($P97="","",'Input LwA_XYZ'!Q36)</f>
        <v/>
      </c>
      <c r="S97" s="227" t="str">
        <f>IF($P97="","",ROUND(_xlfn.XLOOKUP(Tables!$N$62,'Input LwA_XYZ'!$AH$1:$AV$1,'Input LwA_XYZ'!AH36:AV36),0))</f>
        <v/>
      </c>
      <c r="T97" s="228" t="str">
        <f>IF($P97="","",-1*ROUND(_xlfn.XLOOKUP(Tables!$N$62,'Input LwA_XYZ'!$AY$1:$BM$1,'Input LwA_XYZ'!AY36:BM36),0))</f>
        <v/>
      </c>
      <c r="U97" s="228" t="str">
        <f>IF($P97="","",IF(_xlfn.XLOOKUP(Tables!$N$62,'Input LwA_XYZ'!$BV$1:$CJ$1,'Input LwA_XYZ'!BV36:CJ36)="","-",_xlfn.XLOOKUP(Tables!$N$62,'Input LwA_XYZ'!$BV$1:$CJ$1,'Input LwA_XYZ'!BV36:CJ36)))</f>
        <v/>
      </c>
      <c r="V97" s="228" t="str">
        <f>IF($P97="","",IF('Input LwA_XYZ'!S36="","-",'Input LwA_XYZ'!S36))</f>
        <v/>
      </c>
      <c r="W97" s="229" t="str" cm="1">
        <f t="array" ref="W97">IF($P97="","",IF(_xlfn.XLOOKUP(Tables!$N$62,_xlfn.ANCHORARRAY('Input LwA_XYZ'!$DD$1),'Input LwA_XYZ'!DD36:DR36)="","-",_xlfn.XLOOKUP(Tables!$N$62,_xlfn.ANCHORARRAY('Input LwA_XYZ'!$DD$1),'Input LwA_XYZ'!DD36:DR36)))</f>
        <v/>
      </c>
      <c r="X97" s="62" t="str">
        <f>IF($P97="","",_xlfn.XLOOKUP(Tables!$N$62,'Input LwA_XYZ'!$DU$1:$EI$1,'Input LwA_XYZ'!DU36:EI36))</f>
        <v/>
      </c>
    </row>
    <row r="98" spans="16:24" ht="16.5" x14ac:dyDescent="0.3">
      <c r="P98" s="230" t="str">
        <f>IF(OR('Input LwA_XYZ'!A37 = 0, NOT(ISBLANK(_xlfn.XLOOKUP(Tables!N$62, 'Input LwA_XYZ'!CM$1:DA$1, 'Input LwA_XYZ'!CM37:DA37)))), "", 'Input LwA_XYZ'!A37)</f>
        <v/>
      </c>
      <c r="Q98" s="225" t="str">
        <f>IF($P98="","",_xlfn.TEXTJOIN(" - ",TRUE,'Input LwA_XYZ'!B37:C37))</f>
        <v/>
      </c>
      <c r="R98" s="231" t="str">
        <f>IF($P98="","",'Input LwA_XYZ'!Q37)</f>
        <v/>
      </c>
      <c r="S98" s="227" t="str">
        <f>IF($P98="","",ROUND(_xlfn.XLOOKUP(Tables!$N$62,'Input LwA_XYZ'!$AH$1:$AV$1,'Input LwA_XYZ'!AH37:AV37),0))</f>
        <v/>
      </c>
      <c r="T98" s="228" t="str">
        <f>IF($P98="","",-1*ROUND(_xlfn.XLOOKUP(Tables!$N$62,'Input LwA_XYZ'!$AY$1:$BM$1,'Input LwA_XYZ'!AY37:BM37),0))</f>
        <v/>
      </c>
      <c r="U98" s="228" t="str">
        <f>IF($P98="","",IF(_xlfn.XLOOKUP(Tables!$N$62,'Input LwA_XYZ'!$BV$1:$CJ$1,'Input LwA_XYZ'!BV37:CJ37)="","-",_xlfn.XLOOKUP(Tables!$N$62,'Input LwA_XYZ'!$BV$1:$CJ$1,'Input LwA_XYZ'!BV37:CJ37)))</f>
        <v/>
      </c>
      <c r="V98" s="228" t="str">
        <f>IF($P98="","",IF('Input LwA_XYZ'!S37="","-",'Input LwA_XYZ'!S37))</f>
        <v/>
      </c>
      <c r="W98" s="229" t="str" cm="1">
        <f t="array" ref="W98">IF($P98="","",IF(_xlfn.XLOOKUP(Tables!$N$62,_xlfn.ANCHORARRAY('Input LwA_XYZ'!$DD$1),'Input LwA_XYZ'!DD37:DR37)="","-",_xlfn.XLOOKUP(Tables!$N$62,_xlfn.ANCHORARRAY('Input LwA_XYZ'!$DD$1),'Input LwA_XYZ'!DD37:DR37)))</f>
        <v/>
      </c>
      <c r="X98" s="62" t="str">
        <f>IF($P98="","",_xlfn.XLOOKUP(Tables!$N$62,'Input LwA_XYZ'!$DU$1:$EI$1,'Input LwA_XYZ'!DU37:EI37))</f>
        <v/>
      </c>
    </row>
    <row r="99" spans="16:24" ht="16.5" x14ac:dyDescent="0.3">
      <c r="P99" s="230" t="str">
        <f>IF(OR('Input LwA_XYZ'!A38 = 0, NOT(ISBLANK(_xlfn.XLOOKUP(Tables!N$62, 'Input LwA_XYZ'!CM$1:DA$1, 'Input LwA_XYZ'!CM38:DA38)))), "", 'Input LwA_XYZ'!A38)</f>
        <v/>
      </c>
      <c r="Q99" s="225" t="str">
        <f>IF($P99="","",_xlfn.TEXTJOIN(" - ",TRUE,'Input LwA_XYZ'!B38:C38))</f>
        <v/>
      </c>
      <c r="R99" s="231" t="str">
        <f>IF($P99="","",'Input LwA_XYZ'!Q38)</f>
        <v/>
      </c>
      <c r="S99" s="227" t="str">
        <f>IF($P99="","",ROUND(_xlfn.XLOOKUP(Tables!$N$62,'Input LwA_XYZ'!$AH$1:$AV$1,'Input LwA_XYZ'!AH38:AV38),0))</f>
        <v/>
      </c>
      <c r="T99" s="228" t="str">
        <f>IF($P99="","",-1*ROUND(_xlfn.XLOOKUP(Tables!$N$62,'Input LwA_XYZ'!$AY$1:$BM$1,'Input LwA_XYZ'!AY38:BM38),0))</f>
        <v/>
      </c>
      <c r="U99" s="228" t="str">
        <f>IF($P99="","",IF(_xlfn.XLOOKUP(Tables!$N$62,'Input LwA_XYZ'!$BV$1:$CJ$1,'Input LwA_XYZ'!BV38:CJ38)="","-",_xlfn.XLOOKUP(Tables!$N$62,'Input LwA_XYZ'!$BV$1:$CJ$1,'Input LwA_XYZ'!BV38:CJ38)))</f>
        <v/>
      </c>
      <c r="V99" s="228" t="str">
        <f>IF($P99="","",IF('Input LwA_XYZ'!S38="","-",'Input LwA_XYZ'!S38))</f>
        <v/>
      </c>
      <c r="W99" s="229" t="str" cm="1">
        <f t="array" ref="W99">IF($P99="","",IF(_xlfn.XLOOKUP(Tables!$N$62,_xlfn.ANCHORARRAY('Input LwA_XYZ'!$DD$1),'Input LwA_XYZ'!DD38:DR38)="","-",_xlfn.XLOOKUP(Tables!$N$62,_xlfn.ANCHORARRAY('Input LwA_XYZ'!$DD$1),'Input LwA_XYZ'!DD38:DR38)))</f>
        <v/>
      </c>
      <c r="X99" s="62" t="str">
        <f>IF($P99="","",_xlfn.XLOOKUP(Tables!$N$62,'Input LwA_XYZ'!$DU$1:$EI$1,'Input LwA_XYZ'!DU38:EI38))</f>
        <v/>
      </c>
    </row>
    <row r="100" spans="16:24" ht="16.5" x14ac:dyDescent="0.3">
      <c r="P100" s="230" t="str">
        <f>IF(OR('Input LwA_XYZ'!A39 = 0, NOT(ISBLANK(_xlfn.XLOOKUP(Tables!N$62, 'Input LwA_XYZ'!CM$1:DA$1, 'Input LwA_XYZ'!CM39:DA39)))), "", 'Input LwA_XYZ'!A39)</f>
        <v/>
      </c>
      <c r="Q100" s="225" t="str">
        <f>IF($P100="","",_xlfn.TEXTJOIN(" - ",TRUE,'Input LwA_XYZ'!B39:C39))</f>
        <v/>
      </c>
      <c r="R100" s="231" t="str">
        <f>IF($P100="","",'Input LwA_XYZ'!Q39)</f>
        <v/>
      </c>
      <c r="S100" s="227" t="str">
        <f>IF($P100="","",ROUND(_xlfn.XLOOKUP(Tables!$N$62,'Input LwA_XYZ'!$AH$1:$AV$1,'Input LwA_XYZ'!AH39:AV39),0))</f>
        <v/>
      </c>
      <c r="T100" s="228" t="str">
        <f>IF($P100="","",-1*ROUND(_xlfn.XLOOKUP(Tables!$N$62,'Input LwA_XYZ'!$AY$1:$BM$1,'Input LwA_XYZ'!AY39:BM39),0))</f>
        <v/>
      </c>
      <c r="U100" s="228" t="str">
        <f>IF($P100="","",IF(_xlfn.XLOOKUP(Tables!$N$62,'Input LwA_XYZ'!$BV$1:$CJ$1,'Input LwA_XYZ'!BV39:CJ39)="","-",_xlfn.XLOOKUP(Tables!$N$62,'Input LwA_XYZ'!$BV$1:$CJ$1,'Input LwA_XYZ'!BV39:CJ39)))</f>
        <v/>
      </c>
      <c r="V100" s="228" t="str">
        <f>IF($P100="","",IF('Input LwA_XYZ'!S39="","-",'Input LwA_XYZ'!S39))</f>
        <v/>
      </c>
      <c r="W100" s="229" t="str" cm="1">
        <f t="array" ref="W100">IF($P100="","",IF(_xlfn.XLOOKUP(Tables!$N$62,_xlfn.ANCHORARRAY('Input LwA_XYZ'!$DD$1),'Input LwA_XYZ'!DD39:DR39)="","-",_xlfn.XLOOKUP(Tables!$N$62,_xlfn.ANCHORARRAY('Input LwA_XYZ'!$DD$1),'Input LwA_XYZ'!DD39:DR39)))</f>
        <v/>
      </c>
      <c r="X100" s="62" t="str">
        <f>IF($P100="","",_xlfn.XLOOKUP(Tables!$N$62,'Input LwA_XYZ'!$DU$1:$EI$1,'Input LwA_XYZ'!DU39:EI39))</f>
        <v/>
      </c>
    </row>
    <row r="101" spans="16:24" ht="16.5" x14ac:dyDescent="0.3">
      <c r="P101" s="230" t="str">
        <f>IF(OR('Input LwA_XYZ'!A40 = 0, NOT(ISBLANK(_xlfn.XLOOKUP(Tables!N$62, 'Input LwA_XYZ'!CM$1:DA$1, 'Input LwA_XYZ'!CM40:DA40)))), "", 'Input LwA_XYZ'!A40)</f>
        <v/>
      </c>
      <c r="Q101" s="225" t="str">
        <f>IF($P101="","",_xlfn.TEXTJOIN(" - ",TRUE,'Input LwA_XYZ'!B40:C40))</f>
        <v/>
      </c>
      <c r="R101" s="231" t="str">
        <f>IF($P101="","",'Input LwA_XYZ'!Q40)</f>
        <v/>
      </c>
      <c r="S101" s="227" t="str">
        <f>IF($P101="","",ROUND(_xlfn.XLOOKUP(Tables!$N$62,'Input LwA_XYZ'!$AH$1:$AV$1,'Input LwA_XYZ'!AH40:AV40),0))</f>
        <v/>
      </c>
      <c r="T101" s="228" t="str">
        <f>IF($P101="","",-1*ROUND(_xlfn.XLOOKUP(Tables!$N$62,'Input LwA_XYZ'!$AY$1:$BM$1,'Input LwA_XYZ'!AY40:BM40),0))</f>
        <v/>
      </c>
      <c r="U101" s="228" t="str">
        <f>IF($P101="","",IF(_xlfn.XLOOKUP(Tables!$N$62,'Input LwA_XYZ'!$BV$1:$CJ$1,'Input LwA_XYZ'!BV40:CJ40)="","-",_xlfn.XLOOKUP(Tables!$N$62,'Input LwA_XYZ'!$BV$1:$CJ$1,'Input LwA_XYZ'!BV40:CJ40)))</f>
        <v/>
      </c>
      <c r="V101" s="228" t="str">
        <f>IF($P101="","",IF('Input LwA_XYZ'!S40="","-",'Input LwA_XYZ'!S40))</f>
        <v/>
      </c>
      <c r="W101" s="229" t="str" cm="1">
        <f t="array" ref="W101">IF($P101="","",IF(_xlfn.XLOOKUP(Tables!$N$62,_xlfn.ANCHORARRAY('Input LwA_XYZ'!$DD$1),'Input LwA_XYZ'!DD40:DR40)="","-",_xlfn.XLOOKUP(Tables!$N$62,_xlfn.ANCHORARRAY('Input LwA_XYZ'!$DD$1),'Input LwA_XYZ'!DD40:DR40)))</f>
        <v/>
      </c>
      <c r="X101" s="62" t="str">
        <f>IF($P101="","",_xlfn.XLOOKUP(Tables!$N$62,'Input LwA_XYZ'!$DU$1:$EI$1,'Input LwA_XYZ'!DU40:EI40))</f>
        <v/>
      </c>
    </row>
    <row r="102" spans="16:24" ht="16.5" x14ac:dyDescent="0.3">
      <c r="P102" s="230" t="str">
        <f>IF(OR('Input LwA_XYZ'!A41 = 0, NOT(ISBLANK(_xlfn.XLOOKUP(Tables!N$62, 'Input LwA_XYZ'!CM$1:DA$1, 'Input LwA_XYZ'!CM41:DA41)))), "", 'Input LwA_XYZ'!A41)</f>
        <v/>
      </c>
      <c r="Q102" s="225" t="str">
        <f>IF($P102="","",_xlfn.TEXTJOIN(" - ",TRUE,'Input LwA_XYZ'!B41:C41))</f>
        <v/>
      </c>
      <c r="R102" s="231" t="str">
        <f>IF($P102="","",'Input LwA_XYZ'!Q41)</f>
        <v/>
      </c>
      <c r="S102" s="227" t="str">
        <f>IF($P102="","",ROUND(_xlfn.XLOOKUP(Tables!$N$62,'Input LwA_XYZ'!$AH$1:$AV$1,'Input LwA_XYZ'!AH41:AV41),0))</f>
        <v/>
      </c>
      <c r="T102" s="228" t="str">
        <f>IF($P102="","",-1*ROUND(_xlfn.XLOOKUP(Tables!$N$62,'Input LwA_XYZ'!$AY$1:$BM$1,'Input LwA_XYZ'!AY41:BM41),0))</f>
        <v/>
      </c>
      <c r="U102" s="228" t="str">
        <f>IF($P102="","",IF(_xlfn.XLOOKUP(Tables!$N$62,'Input LwA_XYZ'!$BV$1:$CJ$1,'Input LwA_XYZ'!BV41:CJ41)="","-",_xlfn.XLOOKUP(Tables!$N$62,'Input LwA_XYZ'!$BV$1:$CJ$1,'Input LwA_XYZ'!BV41:CJ41)))</f>
        <v/>
      </c>
      <c r="V102" s="228" t="str">
        <f>IF($P102="","",IF('Input LwA_XYZ'!S41="","-",'Input LwA_XYZ'!S41))</f>
        <v/>
      </c>
      <c r="W102" s="229" t="str" cm="1">
        <f t="array" ref="W102">IF($P102="","",IF(_xlfn.XLOOKUP(Tables!$N$62,_xlfn.ANCHORARRAY('Input LwA_XYZ'!$DD$1),'Input LwA_XYZ'!DD41:DR41)="","-",_xlfn.XLOOKUP(Tables!$N$62,_xlfn.ANCHORARRAY('Input LwA_XYZ'!$DD$1),'Input LwA_XYZ'!DD41:DR41)))</f>
        <v/>
      </c>
      <c r="X102" s="62" t="str">
        <f>IF($P102="","",_xlfn.XLOOKUP(Tables!$N$62,'Input LwA_XYZ'!$DU$1:$EI$1,'Input LwA_XYZ'!DU41:EI41))</f>
        <v/>
      </c>
    </row>
    <row r="103" spans="16:24" ht="16.5" x14ac:dyDescent="0.3">
      <c r="P103" s="230" t="str">
        <f>IF(OR('Input LwA_XYZ'!A42 = 0, NOT(ISBLANK(_xlfn.XLOOKUP(Tables!N$62, 'Input LwA_XYZ'!CM$1:DA$1, 'Input LwA_XYZ'!CM42:DA42)))), "", 'Input LwA_XYZ'!A42)</f>
        <v/>
      </c>
      <c r="Q103" s="225" t="str">
        <f>IF($P103="","",_xlfn.TEXTJOIN(" - ",TRUE,'Input LwA_XYZ'!B42:C42))</f>
        <v/>
      </c>
      <c r="R103" s="231" t="str">
        <f>IF($P103="","",'Input LwA_XYZ'!Q42)</f>
        <v/>
      </c>
      <c r="S103" s="227" t="str">
        <f>IF($P103="","",ROUND(_xlfn.XLOOKUP(Tables!$N$62,'Input LwA_XYZ'!$AH$1:$AV$1,'Input LwA_XYZ'!AH42:AV42),0))</f>
        <v/>
      </c>
      <c r="T103" s="228" t="str">
        <f>IF($P103="","",-1*ROUND(_xlfn.XLOOKUP(Tables!$N$62,'Input LwA_XYZ'!$AY$1:$BM$1,'Input LwA_XYZ'!AY42:BM42),0))</f>
        <v/>
      </c>
      <c r="U103" s="228" t="str">
        <f>IF($P103="","",IF(_xlfn.XLOOKUP(Tables!$N$62,'Input LwA_XYZ'!$BV$1:$CJ$1,'Input LwA_XYZ'!BV42:CJ42)="","-",_xlfn.XLOOKUP(Tables!$N$62,'Input LwA_XYZ'!$BV$1:$CJ$1,'Input LwA_XYZ'!BV42:CJ42)))</f>
        <v/>
      </c>
      <c r="V103" s="228" t="str">
        <f>IF($P103="","",IF('Input LwA_XYZ'!S42="","-",'Input LwA_XYZ'!S42))</f>
        <v/>
      </c>
      <c r="W103" s="229" t="str" cm="1">
        <f t="array" ref="W103">IF($P103="","",IF(_xlfn.XLOOKUP(Tables!$N$62,_xlfn.ANCHORARRAY('Input LwA_XYZ'!$DD$1),'Input LwA_XYZ'!DD42:DR42)="","-",_xlfn.XLOOKUP(Tables!$N$62,_xlfn.ANCHORARRAY('Input LwA_XYZ'!$DD$1),'Input LwA_XYZ'!DD42:DR42)))</f>
        <v/>
      </c>
      <c r="X103" s="62" t="str">
        <f>IF($P103="","",_xlfn.XLOOKUP(Tables!$N$62,'Input LwA_XYZ'!$DU$1:$EI$1,'Input LwA_XYZ'!DU42:EI42))</f>
        <v/>
      </c>
    </row>
    <row r="104" spans="16:24" ht="16.5" x14ac:dyDescent="0.3">
      <c r="P104" s="230" t="str">
        <f>IF(OR('Input LwA_XYZ'!A43 = 0, NOT(ISBLANK(_xlfn.XLOOKUP(Tables!N$62, 'Input LwA_XYZ'!CM$1:DA$1, 'Input LwA_XYZ'!CM43:DA43)))), "", 'Input LwA_XYZ'!A43)</f>
        <v/>
      </c>
      <c r="Q104" s="225" t="str">
        <f>IF($P104="","",_xlfn.TEXTJOIN(" - ",TRUE,'Input LwA_XYZ'!B43:C43))</f>
        <v/>
      </c>
      <c r="R104" s="231" t="str">
        <f>IF($P104="","",'Input LwA_XYZ'!Q43)</f>
        <v/>
      </c>
      <c r="S104" s="227" t="str">
        <f>IF($P104="","",ROUND(_xlfn.XLOOKUP(Tables!$N$62,'Input LwA_XYZ'!$AH$1:$AV$1,'Input LwA_XYZ'!AH43:AV43),0))</f>
        <v/>
      </c>
      <c r="T104" s="228" t="str">
        <f>IF($P104="","",-1*ROUND(_xlfn.XLOOKUP(Tables!$N$62,'Input LwA_XYZ'!$AY$1:$BM$1,'Input LwA_XYZ'!AY43:BM43),0))</f>
        <v/>
      </c>
      <c r="U104" s="228" t="str">
        <f>IF($P104="","",IF(_xlfn.XLOOKUP(Tables!$N$62,'Input LwA_XYZ'!$BV$1:$CJ$1,'Input LwA_XYZ'!BV43:CJ43)="","-",_xlfn.XLOOKUP(Tables!$N$62,'Input LwA_XYZ'!$BV$1:$CJ$1,'Input LwA_XYZ'!BV43:CJ43)))</f>
        <v/>
      </c>
      <c r="V104" s="228" t="str">
        <f>IF($P104="","",IF('Input LwA_XYZ'!S43="","-",'Input LwA_XYZ'!S43))</f>
        <v/>
      </c>
      <c r="W104" s="229" t="str" cm="1">
        <f t="array" ref="W104">IF($P104="","",IF(_xlfn.XLOOKUP(Tables!$N$62,_xlfn.ANCHORARRAY('Input LwA_XYZ'!$DD$1),'Input LwA_XYZ'!DD43:DR43)="","-",_xlfn.XLOOKUP(Tables!$N$62,_xlfn.ANCHORARRAY('Input LwA_XYZ'!$DD$1),'Input LwA_XYZ'!DD43:DR43)))</f>
        <v/>
      </c>
      <c r="X104" s="62" t="str">
        <f>IF($P104="","",_xlfn.XLOOKUP(Tables!$N$62,'Input LwA_XYZ'!$DU$1:$EI$1,'Input LwA_XYZ'!DU43:EI43))</f>
        <v/>
      </c>
    </row>
    <row r="105" spans="16:24" ht="16.5" x14ac:dyDescent="0.3">
      <c r="P105" s="230" t="str">
        <f>IF(OR('Input LwA_XYZ'!A44 = 0, NOT(ISBLANK(_xlfn.XLOOKUP(Tables!N$62, 'Input LwA_XYZ'!CM$1:DA$1, 'Input LwA_XYZ'!CM44:DA44)))), "", 'Input LwA_XYZ'!A44)</f>
        <v/>
      </c>
      <c r="Q105" s="225" t="str">
        <f>IF($P105="","",_xlfn.TEXTJOIN(" - ",TRUE,'Input LwA_XYZ'!B44:C44))</f>
        <v/>
      </c>
      <c r="R105" s="231" t="str">
        <f>IF($P105="","",'Input LwA_XYZ'!Q44)</f>
        <v/>
      </c>
      <c r="S105" s="227" t="str">
        <f>IF($P105="","",ROUND(_xlfn.XLOOKUP(Tables!$N$62,'Input LwA_XYZ'!$AH$1:$AV$1,'Input LwA_XYZ'!AH44:AV44),0))</f>
        <v/>
      </c>
      <c r="T105" s="228" t="str">
        <f>IF($P105="","",-1*ROUND(_xlfn.XLOOKUP(Tables!$N$62,'Input LwA_XYZ'!$AY$1:$BM$1,'Input LwA_XYZ'!AY44:BM44),0))</f>
        <v/>
      </c>
      <c r="U105" s="228" t="str">
        <f>IF($P105="","",IF(_xlfn.XLOOKUP(Tables!$N$62,'Input LwA_XYZ'!$BV$1:$CJ$1,'Input LwA_XYZ'!BV44:CJ44)="","-",_xlfn.XLOOKUP(Tables!$N$62,'Input LwA_XYZ'!$BV$1:$CJ$1,'Input LwA_XYZ'!BV44:CJ44)))</f>
        <v/>
      </c>
      <c r="V105" s="228" t="str">
        <f>IF($P105="","",IF('Input LwA_XYZ'!S44="","-",'Input LwA_XYZ'!S44))</f>
        <v/>
      </c>
      <c r="W105" s="229" t="str" cm="1">
        <f t="array" ref="W105">IF($P105="","",IF(_xlfn.XLOOKUP(Tables!$N$62,_xlfn.ANCHORARRAY('Input LwA_XYZ'!$DD$1),'Input LwA_XYZ'!DD44:DR44)="","-",_xlfn.XLOOKUP(Tables!$N$62,_xlfn.ANCHORARRAY('Input LwA_XYZ'!$DD$1),'Input LwA_XYZ'!DD44:DR44)))</f>
        <v/>
      </c>
      <c r="X105" s="62" t="str">
        <f>IF($P105="","",_xlfn.XLOOKUP(Tables!$N$62,'Input LwA_XYZ'!$DU$1:$EI$1,'Input LwA_XYZ'!DU44:EI44))</f>
        <v/>
      </c>
    </row>
    <row r="106" spans="16:24" ht="16.5" x14ac:dyDescent="0.3">
      <c r="P106" s="230" t="str">
        <f>IF(OR('Input LwA_XYZ'!A45 = 0, NOT(ISBLANK(_xlfn.XLOOKUP(Tables!N$62, 'Input LwA_XYZ'!CM$1:DA$1, 'Input LwA_XYZ'!CM45:DA45)))), "", 'Input LwA_XYZ'!A45)</f>
        <v/>
      </c>
      <c r="Q106" s="225" t="str">
        <f>IF($P106="","",_xlfn.TEXTJOIN(" - ",TRUE,'Input LwA_XYZ'!B45:C45))</f>
        <v/>
      </c>
      <c r="R106" s="231" t="str">
        <f>IF($P106="","",'Input LwA_XYZ'!Q45)</f>
        <v/>
      </c>
      <c r="S106" s="227" t="str">
        <f>IF($P106="","",ROUND(_xlfn.XLOOKUP(Tables!$N$62,'Input LwA_XYZ'!$AH$1:$AV$1,'Input LwA_XYZ'!AH45:AV45),0))</f>
        <v/>
      </c>
      <c r="T106" s="228" t="str">
        <f>IF($P106="","",-1*ROUND(_xlfn.XLOOKUP(Tables!$N$62,'Input LwA_XYZ'!$AY$1:$BM$1,'Input LwA_XYZ'!AY45:BM45),0))</f>
        <v/>
      </c>
      <c r="U106" s="228" t="str">
        <f>IF($P106="","",IF(_xlfn.XLOOKUP(Tables!$N$62,'Input LwA_XYZ'!$BV$1:$CJ$1,'Input LwA_XYZ'!BV45:CJ45)="","-",_xlfn.XLOOKUP(Tables!$N$62,'Input LwA_XYZ'!$BV$1:$CJ$1,'Input LwA_XYZ'!BV45:CJ45)))</f>
        <v/>
      </c>
      <c r="V106" s="228" t="str">
        <f>IF($P106="","",IF('Input LwA_XYZ'!S45="","-",'Input LwA_XYZ'!S45))</f>
        <v/>
      </c>
      <c r="W106" s="229" t="str" cm="1">
        <f t="array" ref="W106">IF($P106="","",IF(_xlfn.XLOOKUP(Tables!$N$62,_xlfn.ANCHORARRAY('Input LwA_XYZ'!$DD$1),'Input LwA_XYZ'!DD45:DR45)="","-",_xlfn.XLOOKUP(Tables!$N$62,_xlfn.ANCHORARRAY('Input LwA_XYZ'!$DD$1),'Input LwA_XYZ'!DD45:DR45)))</f>
        <v/>
      </c>
      <c r="X106" s="62" t="str">
        <f>IF($P106="","",_xlfn.XLOOKUP(Tables!$N$62,'Input LwA_XYZ'!$DU$1:$EI$1,'Input LwA_XYZ'!DU45:EI45))</f>
        <v/>
      </c>
    </row>
    <row r="107" spans="16:24" ht="16.5" x14ac:dyDescent="0.3">
      <c r="P107" s="230" t="str">
        <f>IF(OR('Input LwA_XYZ'!A46 = 0, NOT(ISBLANK(_xlfn.XLOOKUP(Tables!N$62, 'Input LwA_XYZ'!CM$1:DA$1, 'Input LwA_XYZ'!CM46:DA46)))), "", 'Input LwA_XYZ'!A46)</f>
        <v/>
      </c>
      <c r="Q107" s="225" t="str">
        <f>IF($P107="","",_xlfn.TEXTJOIN(" - ",TRUE,'Input LwA_XYZ'!B46:C46))</f>
        <v/>
      </c>
      <c r="R107" s="231" t="str">
        <f>IF($P107="","",'Input LwA_XYZ'!Q46)</f>
        <v/>
      </c>
      <c r="S107" s="227" t="str">
        <f>IF($P107="","",ROUND(_xlfn.XLOOKUP(Tables!$N$62,'Input LwA_XYZ'!$AH$1:$AV$1,'Input LwA_XYZ'!AH46:AV46),0))</f>
        <v/>
      </c>
      <c r="T107" s="228" t="str">
        <f>IF($P107="","",-1*ROUND(_xlfn.XLOOKUP(Tables!$N$62,'Input LwA_XYZ'!$AY$1:$BM$1,'Input LwA_XYZ'!AY46:BM46),0))</f>
        <v/>
      </c>
      <c r="U107" s="228" t="str">
        <f>IF($P107="","",IF(_xlfn.XLOOKUP(Tables!$N$62,'Input LwA_XYZ'!$BV$1:$CJ$1,'Input LwA_XYZ'!BV46:CJ46)="","-",_xlfn.XLOOKUP(Tables!$N$62,'Input LwA_XYZ'!$BV$1:$CJ$1,'Input LwA_XYZ'!BV46:CJ46)))</f>
        <v/>
      </c>
      <c r="V107" s="228" t="str">
        <f>IF($P107="","",IF('Input LwA_XYZ'!S46="","-",'Input LwA_XYZ'!S46))</f>
        <v/>
      </c>
      <c r="W107" s="229" t="str" cm="1">
        <f t="array" ref="W107">IF($P107="","",IF(_xlfn.XLOOKUP(Tables!$N$62,_xlfn.ANCHORARRAY('Input LwA_XYZ'!$DD$1),'Input LwA_XYZ'!DD46:DR46)="","-",_xlfn.XLOOKUP(Tables!$N$62,_xlfn.ANCHORARRAY('Input LwA_XYZ'!$DD$1),'Input LwA_XYZ'!DD46:DR46)))</f>
        <v/>
      </c>
      <c r="X107" s="62" t="str">
        <f>IF($P107="","",_xlfn.XLOOKUP(Tables!$N$62,'Input LwA_XYZ'!$DU$1:$EI$1,'Input LwA_XYZ'!DU46:EI46))</f>
        <v/>
      </c>
    </row>
    <row r="108" spans="16:24" ht="16.5" x14ac:dyDescent="0.3">
      <c r="P108" s="230" t="str">
        <f>IF(OR('Input LwA_XYZ'!A47 = 0, NOT(ISBLANK(_xlfn.XLOOKUP(Tables!N$62, 'Input LwA_XYZ'!CM$1:DA$1, 'Input LwA_XYZ'!CM47:DA47)))), "", 'Input LwA_XYZ'!A47)</f>
        <v/>
      </c>
      <c r="Q108" s="225" t="str">
        <f>IF($P108="","",_xlfn.TEXTJOIN(" - ",TRUE,'Input LwA_XYZ'!B47:C47))</f>
        <v/>
      </c>
      <c r="R108" s="231" t="str">
        <f>IF($P108="","",'Input LwA_XYZ'!Q47)</f>
        <v/>
      </c>
      <c r="S108" s="227" t="str">
        <f>IF($P108="","",ROUND(_xlfn.XLOOKUP(Tables!$N$62,'Input LwA_XYZ'!$AH$1:$AV$1,'Input LwA_XYZ'!AH47:AV47),0))</f>
        <v/>
      </c>
      <c r="T108" s="228" t="str">
        <f>IF($P108="","",-1*ROUND(_xlfn.XLOOKUP(Tables!$N$62,'Input LwA_XYZ'!$AY$1:$BM$1,'Input LwA_XYZ'!AY47:BM47),0))</f>
        <v/>
      </c>
      <c r="U108" s="228" t="str">
        <f>IF($P108="","",IF(_xlfn.XLOOKUP(Tables!$N$62,'Input LwA_XYZ'!$BV$1:$CJ$1,'Input LwA_XYZ'!BV47:CJ47)="","-",_xlfn.XLOOKUP(Tables!$N$62,'Input LwA_XYZ'!$BV$1:$CJ$1,'Input LwA_XYZ'!BV47:CJ47)))</f>
        <v/>
      </c>
      <c r="V108" s="228" t="str">
        <f>IF($P108="","",IF('Input LwA_XYZ'!S47="","-",'Input LwA_XYZ'!S47))</f>
        <v/>
      </c>
      <c r="W108" s="229" t="str" cm="1">
        <f t="array" ref="W108">IF($P108="","",IF(_xlfn.XLOOKUP(Tables!$N$62,_xlfn.ANCHORARRAY('Input LwA_XYZ'!$DD$1),'Input LwA_XYZ'!DD47:DR47)="","-",_xlfn.XLOOKUP(Tables!$N$62,_xlfn.ANCHORARRAY('Input LwA_XYZ'!$DD$1),'Input LwA_XYZ'!DD47:DR47)))</f>
        <v/>
      </c>
      <c r="X108" s="62" t="str">
        <f>IF($P108="","",_xlfn.XLOOKUP(Tables!$N$62,'Input LwA_XYZ'!$DU$1:$EI$1,'Input LwA_XYZ'!DU47:EI47))</f>
        <v/>
      </c>
    </row>
    <row r="109" spans="16:24" ht="16.5" x14ac:dyDescent="0.3">
      <c r="P109" s="230" t="str">
        <f>IF(OR('Input LwA_XYZ'!A48 = 0, NOT(ISBLANK(_xlfn.XLOOKUP(Tables!N$62, 'Input LwA_XYZ'!CM$1:DA$1, 'Input LwA_XYZ'!CM48:DA48)))), "", 'Input LwA_XYZ'!A48)</f>
        <v/>
      </c>
      <c r="Q109" s="225" t="str">
        <f>IF($P109="","",_xlfn.TEXTJOIN(" - ",TRUE,'Input LwA_XYZ'!B48:C48))</f>
        <v/>
      </c>
      <c r="R109" s="231" t="str">
        <f>IF($P109="","",'Input LwA_XYZ'!Q48)</f>
        <v/>
      </c>
      <c r="S109" s="227" t="str">
        <f>IF($P109="","",ROUND(_xlfn.XLOOKUP(Tables!$N$62,'Input LwA_XYZ'!$AH$1:$AV$1,'Input LwA_XYZ'!AH48:AV48),0))</f>
        <v/>
      </c>
      <c r="T109" s="228" t="str">
        <f>IF($P109="","",-1*ROUND(_xlfn.XLOOKUP(Tables!$N$62,'Input LwA_XYZ'!$AY$1:$BM$1,'Input LwA_XYZ'!AY48:BM48),0))</f>
        <v/>
      </c>
      <c r="U109" s="228" t="str">
        <f>IF($P109="","",IF(_xlfn.XLOOKUP(Tables!$N$62,'Input LwA_XYZ'!$BV$1:$CJ$1,'Input LwA_XYZ'!BV48:CJ48)="","-",_xlfn.XLOOKUP(Tables!$N$62,'Input LwA_XYZ'!$BV$1:$CJ$1,'Input LwA_XYZ'!BV48:CJ48)))</f>
        <v/>
      </c>
      <c r="V109" s="228" t="str">
        <f>IF($P109="","",IF('Input LwA_XYZ'!S48="","-",'Input LwA_XYZ'!S48))</f>
        <v/>
      </c>
      <c r="W109" s="229" t="str" cm="1">
        <f t="array" ref="W109">IF($P109="","",IF(_xlfn.XLOOKUP(Tables!$N$62,_xlfn.ANCHORARRAY('Input LwA_XYZ'!$DD$1),'Input LwA_XYZ'!DD48:DR48)="","-",_xlfn.XLOOKUP(Tables!$N$62,_xlfn.ANCHORARRAY('Input LwA_XYZ'!$DD$1),'Input LwA_XYZ'!DD48:DR48)))</f>
        <v/>
      </c>
      <c r="X109" s="62" t="str">
        <f>IF($P109="","",_xlfn.XLOOKUP(Tables!$N$62,'Input LwA_XYZ'!$DU$1:$EI$1,'Input LwA_XYZ'!DU48:EI48))</f>
        <v/>
      </c>
    </row>
    <row r="110" spans="16:24" ht="16.5" x14ac:dyDescent="0.3">
      <c r="P110" s="230" t="str">
        <f>IF(OR('Input LwA_XYZ'!A49 = 0, NOT(ISBLANK(_xlfn.XLOOKUP(Tables!N$62, 'Input LwA_XYZ'!CM$1:DA$1, 'Input LwA_XYZ'!CM49:DA49)))), "", 'Input LwA_XYZ'!A49)</f>
        <v/>
      </c>
      <c r="Q110" s="225" t="str">
        <f>IF($P110="","",_xlfn.TEXTJOIN(" - ",TRUE,'Input LwA_XYZ'!B49:C49))</f>
        <v/>
      </c>
      <c r="R110" s="231" t="str">
        <f>IF($P110="","",'Input LwA_XYZ'!Q49)</f>
        <v/>
      </c>
      <c r="S110" s="227" t="str">
        <f>IF($P110="","",ROUND(_xlfn.XLOOKUP(Tables!$N$62,'Input LwA_XYZ'!$AH$1:$AV$1,'Input LwA_XYZ'!AH49:AV49),0))</f>
        <v/>
      </c>
      <c r="T110" s="228" t="str">
        <f>IF($P110="","",-1*ROUND(_xlfn.XLOOKUP(Tables!$N$62,'Input LwA_XYZ'!$AY$1:$BM$1,'Input LwA_XYZ'!AY49:BM49),0))</f>
        <v/>
      </c>
      <c r="U110" s="228" t="str">
        <f>IF($P110="","",IF(_xlfn.XLOOKUP(Tables!$N$62,'Input LwA_XYZ'!$BV$1:$CJ$1,'Input LwA_XYZ'!BV49:CJ49)="","-",_xlfn.XLOOKUP(Tables!$N$62,'Input LwA_XYZ'!$BV$1:$CJ$1,'Input LwA_XYZ'!BV49:CJ49)))</f>
        <v/>
      </c>
      <c r="V110" s="228" t="str">
        <f>IF($P110="","",IF('Input LwA_XYZ'!S49="","-",'Input LwA_XYZ'!S49))</f>
        <v/>
      </c>
      <c r="W110" s="229" t="str" cm="1">
        <f t="array" ref="W110">IF($P110="","",IF(_xlfn.XLOOKUP(Tables!$N$62,_xlfn.ANCHORARRAY('Input LwA_XYZ'!$DD$1),'Input LwA_XYZ'!DD49:DR49)="","-",_xlfn.XLOOKUP(Tables!$N$62,_xlfn.ANCHORARRAY('Input LwA_XYZ'!$DD$1),'Input LwA_XYZ'!DD49:DR49)))</f>
        <v/>
      </c>
      <c r="X110" s="62" t="str">
        <f>IF($P110="","",_xlfn.XLOOKUP(Tables!$N$62,'Input LwA_XYZ'!$DU$1:$EI$1,'Input LwA_XYZ'!DU49:EI49))</f>
        <v/>
      </c>
    </row>
    <row r="111" spans="16:24" ht="16.5" x14ac:dyDescent="0.3">
      <c r="P111" s="230" t="str">
        <f>IF(OR('Input LwA_XYZ'!A50 = 0, NOT(ISBLANK(_xlfn.XLOOKUP(Tables!N$62, 'Input LwA_XYZ'!CM$1:DA$1, 'Input LwA_XYZ'!CM50:DA50)))), "", 'Input LwA_XYZ'!A50)</f>
        <v/>
      </c>
      <c r="Q111" s="225" t="str">
        <f>IF($P111="","",_xlfn.TEXTJOIN(" - ",TRUE,'Input LwA_XYZ'!B50:C50))</f>
        <v/>
      </c>
      <c r="R111" s="231" t="str">
        <f>IF($P111="","",'Input LwA_XYZ'!Q50)</f>
        <v/>
      </c>
      <c r="S111" s="227" t="str">
        <f>IF($P111="","",ROUND(_xlfn.XLOOKUP(Tables!$N$62,'Input LwA_XYZ'!$AH$1:$AV$1,'Input LwA_XYZ'!AH50:AV50),0))</f>
        <v/>
      </c>
      <c r="T111" s="228" t="str">
        <f>IF($P111="","",-1*ROUND(_xlfn.XLOOKUP(Tables!$N$62,'Input LwA_XYZ'!$AY$1:$BM$1,'Input LwA_XYZ'!AY50:BM50),0))</f>
        <v/>
      </c>
      <c r="U111" s="228" t="str">
        <f>IF($P111="","",IF(_xlfn.XLOOKUP(Tables!$N$62,'Input LwA_XYZ'!$BV$1:$CJ$1,'Input LwA_XYZ'!BV50:CJ50)="","-",_xlfn.XLOOKUP(Tables!$N$62,'Input LwA_XYZ'!$BV$1:$CJ$1,'Input LwA_XYZ'!BV50:CJ50)))</f>
        <v/>
      </c>
      <c r="V111" s="228" t="str">
        <f>IF($P111="","",IF('Input LwA_XYZ'!S50="","-",'Input LwA_XYZ'!S50))</f>
        <v/>
      </c>
      <c r="W111" s="229" t="str" cm="1">
        <f t="array" ref="W111">IF($P111="","",IF(_xlfn.XLOOKUP(Tables!$N$62,_xlfn.ANCHORARRAY('Input LwA_XYZ'!$DD$1),'Input LwA_XYZ'!DD50:DR50)="","-",_xlfn.XLOOKUP(Tables!$N$62,_xlfn.ANCHORARRAY('Input LwA_XYZ'!$DD$1),'Input LwA_XYZ'!DD50:DR50)))</f>
        <v/>
      </c>
      <c r="X111" s="62" t="str">
        <f>IF($P111="","",_xlfn.XLOOKUP(Tables!$N$62,'Input LwA_XYZ'!$DU$1:$EI$1,'Input LwA_XYZ'!DU50:EI50))</f>
        <v/>
      </c>
    </row>
    <row r="112" spans="16:24" ht="16.5" x14ac:dyDescent="0.3">
      <c r="P112" s="230" t="str">
        <f>IF(OR('Input LwA_XYZ'!A51 = 0, NOT(ISBLANK(_xlfn.XLOOKUP(Tables!N$62, 'Input LwA_XYZ'!CM$1:DA$1, 'Input LwA_XYZ'!CM51:DA51)))), "", 'Input LwA_XYZ'!A51)</f>
        <v/>
      </c>
      <c r="Q112" s="225" t="str">
        <f>IF($P112="","",_xlfn.TEXTJOIN(" - ",TRUE,'Input LwA_XYZ'!B51:C51))</f>
        <v/>
      </c>
      <c r="R112" s="231" t="str">
        <f>IF($P112="","",'Input LwA_XYZ'!Q51)</f>
        <v/>
      </c>
      <c r="S112" s="227" t="str">
        <f>IF($P112="","",ROUND(_xlfn.XLOOKUP(Tables!$N$62,'Input LwA_XYZ'!$AH$1:$AV$1,'Input LwA_XYZ'!AH51:AV51),0))</f>
        <v/>
      </c>
      <c r="T112" s="228" t="str">
        <f>IF($P112="","",-1*ROUND(_xlfn.XLOOKUP(Tables!$N$62,'Input LwA_XYZ'!$AY$1:$BM$1,'Input LwA_XYZ'!AY51:BM51),0))</f>
        <v/>
      </c>
      <c r="U112" s="228" t="str">
        <f>IF($P112="","",IF(_xlfn.XLOOKUP(Tables!$N$62,'Input LwA_XYZ'!$BV$1:$CJ$1,'Input LwA_XYZ'!BV51:CJ51)="","-",_xlfn.XLOOKUP(Tables!$N$62,'Input LwA_XYZ'!$BV$1:$CJ$1,'Input LwA_XYZ'!BV51:CJ51)))</f>
        <v/>
      </c>
      <c r="V112" s="228" t="str">
        <f>IF($P112="","",IF('Input LwA_XYZ'!S51="","-",'Input LwA_XYZ'!S51))</f>
        <v/>
      </c>
      <c r="W112" s="229" t="str" cm="1">
        <f t="array" ref="W112">IF($P112="","",IF(_xlfn.XLOOKUP(Tables!$N$62,_xlfn.ANCHORARRAY('Input LwA_XYZ'!$DD$1),'Input LwA_XYZ'!DD51:DR51)="","-",_xlfn.XLOOKUP(Tables!$N$62,_xlfn.ANCHORARRAY('Input LwA_XYZ'!$DD$1),'Input LwA_XYZ'!DD51:DR51)))</f>
        <v/>
      </c>
      <c r="X112" s="62" t="str">
        <f>IF($P112="","",_xlfn.XLOOKUP(Tables!$N$62,'Input LwA_XYZ'!$DU$1:$EI$1,'Input LwA_XYZ'!DU51:EI51))</f>
        <v/>
      </c>
    </row>
    <row r="113" spans="14:24" ht="16.5" x14ac:dyDescent="0.3">
      <c r="P113" s="230" t="str">
        <f>IF(OR('Input LwA_XYZ'!A52 = 0, NOT(ISBLANK(_xlfn.XLOOKUP(Tables!N$62, 'Input LwA_XYZ'!CM$1:DA$1, 'Input LwA_XYZ'!CM52:DA52)))), "", 'Input LwA_XYZ'!A52)</f>
        <v/>
      </c>
      <c r="Q113" s="225" t="str">
        <f>IF($P113="","",_xlfn.TEXTJOIN(" - ",TRUE,'Input LwA_XYZ'!B52:C52))</f>
        <v/>
      </c>
      <c r="R113" s="231" t="str">
        <f>IF($P113="","",'Input LwA_XYZ'!Q52)</f>
        <v/>
      </c>
      <c r="S113" s="227" t="str">
        <f>IF($P113="","",ROUND(_xlfn.XLOOKUP(Tables!$N$62,'Input LwA_XYZ'!$AH$1:$AV$1,'Input LwA_XYZ'!AH52:AV52),0))</f>
        <v/>
      </c>
      <c r="T113" s="228" t="str">
        <f>IF($P113="","",-1*ROUND(_xlfn.XLOOKUP(Tables!$N$62,'Input LwA_XYZ'!$AY$1:$BM$1,'Input LwA_XYZ'!AY52:BM52),0))</f>
        <v/>
      </c>
      <c r="U113" s="228" t="str">
        <f>IF($P113="","",IF(_xlfn.XLOOKUP(Tables!$N$62,'Input LwA_XYZ'!$BV$1:$CJ$1,'Input LwA_XYZ'!BV52:CJ52)="","-",_xlfn.XLOOKUP(Tables!$N$62,'Input LwA_XYZ'!$BV$1:$CJ$1,'Input LwA_XYZ'!BV52:CJ52)))</f>
        <v/>
      </c>
      <c r="V113" s="228" t="str">
        <f>IF($P113="","",IF('Input LwA_XYZ'!S52="","-",'Input LwA_XYZ'!S52))</f>
        <v/>
      </c>
      <c r="W113" s="229" t="str" cm="1">
        <f t="array" ref="W113">IF($P113="","",IF(_xlfn.XLOOKUP(Tables!$N$62,_xlfn.ANCHORARRAY('Input LwA_XYZ'!$DD$1),'Input LwA_XYZ'!DD52:DR52)="","-",_xlfn.XLOOKUP(Tables!$N$62,_xlfn.ANCHORARRAY('Input LwA_XYZ'!$DD$1),'Input LwA_XYZ'!DD52:DR52)))</f>
        <v/>
      </c>
      <c r="X113" s="62" t="str">
        <f>IF($P113="","",_xlfn.XLOOKUP(Tables!$N$62,'Input LwA_XYZ'!$DU$1:$EI$1,'Input LwA_XYZ'!DU52:EI52))</f>
        <v/>
      </c>
    </row>
    <row r="114" spans="14:24" ht="16.5" x14ac:dyDescent="0.3">
      <c r="P114" s="230" t="str">
        <f>IF(OR('Input LwA_XYZ'!A53 = 0, NOT(ISBLANK(_xlfn.XLOOKUP(Tables!N$62, 'Input LwA_XYZ'!CM$1:DA$1, 'Input LwA_XYZ'!CM53:DA53)))), "", 'Input LwA_XYZ'!A53)</f>
        <v/>
      </c>
      <c r="Q114" s="225" t="str">
        <f>IF($P114="","",_xlfn.TEXTJOIN(" - ",TRUE,'Input LwA_XYZ'!B53:C53))</f>
        <v/>
      </c>
      <c r="R114" s="231" t="str">
        <f>IF($P114="","",'Input LwA_XYZ'!Q53)</f>
        <v/>
      </c>
      <c r="S114" s="227" t="str">
        <f>IF($P114="","",ROUND(_xlfn.XLOOKUP(Tables!$N$62,'Input LwA_XYZ'!$AH$1:$AV$1,'Input LwA_XYZ'!AH53:AV53),0))</f>
        <v/>
      </c>
      <c r="T114" s="228" t="str">
        <f>IF($P114="","",-1*ROUND(_xlfn.XLOOKUP(Tables!$N$62,'Input LwA_XYZ'!$AY$1:$BM$1,'Input LwA_XYZ'!AY53:BM53),0))</f>
        <v/>
      </c>
      <c r="U114" s="228" t="str">
        <f>IF($P114="","",IF(_xlfn.XLOOKUP(Tables!$N$62,'Input LwA_XYZ'!$BV$1:$CJ$1,'Input LwA_XYZ'!BV53:CJ53)="","-",_xlfn.XLOOKUP(Tables!$N$62,'Input LwA_XYZ'!$BV$1:$CJ$1,'Input LwA_XYZ'!BV53:CJ53)))</f>
        <v/>
      </c>
      <c r="V114" s="228" t="str">
        <f>IF($P114="","",IF('Input LwA_XYZ'!S53="","-",'Input LwA_XYZ'!S53))</f>
        <v/>
      </c>
      <c r="W114" s="229" t="str" cm="1">
        <f t="array" ref="W114">IF($P114="","",IF(_xlfn.XLOOKUP(Tables!$N$62,_xlfn.ANCHORARRAY('Input LwA_XYZ'!$DD$1),'Input LwA_XYZ'!DD53:DR53)="","-",_xlfn.XLOOKUP(Tables!$N$62,_xlfn.ANCHORARRAY('Input LwA_XYZ'!$DD$1),'Input LwA_XYZ'!DD53:DR53)))</f>
        <v/>
      </c>
      <c r="X114" s="62" t="str">
        <f>IF($P114="","",_xlfn.XLOOKUP(Tables!$N$62,'Input LwA_XYZ'!$DU$1:$EI$1,'Input LwA_XYZ'!DU53:EI53))</f>
        <v/>
      </c>
    </row>
    <row r="115" spans="14:24" ht="16.5" x14ac:dyDescent="0.3">
      <c r="P115" s="230" t="str">
        <f>IF(OR('Input LwA_XYZ'!A54 = 0, NOT(ISBLANK(_xlfn.XLOOKUP(Tables!N$62, 'Input LwA_XYZ'!CM$1:DA$1, 'Input LwA_XYZ'!CM54:DA54)))), "", 'Input LwA_XYZ'!A54)</f>
        <v/>
      </c>
      <c r="Q115" s="225" t="str">
        <f>IF($P115="","",_xlfn.TEXTJOIN(" - ",TRUE,'Input LwA_XYZ'!B54:C54))</f>
        <v/>
      </c>
      <c r="R115" s="231" t="str">
        <f>IF($P115="","",'Input LwA_XYZ'!Q54)</f>
        <v/>
      </c>
      <c r="S115" s="227" t="str">
        <f>IF($P115="","",ROUND(_xlfn.XLOOKUP(Tables!$N$62,'Input LwA_XYZ'!$AH$1:$AV$1,'Input LwA_XYZ'!AH54:AV54),0))</f>
        <v/>
      </c>
      <c r="T115" s="228" t="str">
        <f>IF($P115="","",-1*ROUND(_xlfn.XLOOKUP(Tables!$N$62,'Input LwA_XYZ'!$AY$1:$BM$1,'Input LwA_XYZ'!AY54:BM54),0))</f>
        <v/>
      </c>
      <c r="U115" s="228" t="str">
        <f>IF($P115="","",IF(_xlfn.XLOOKUP(Tables!$N$62,'Input LwA_XYZ'!$BV$1:$CJ$1,'Input LwA_XYZ'!BV54:CJ54)="","-",_xlfn.XLOOKUP(Tables!$N$62,'Input LwA_XYZ'!$BV$1:$CJ$1,'Input LwA_XYZ'!BV54:CJ54)))</f>
        <v/>
      </c>
      <c r="V115" s="228" t="str">
        <f>IF($P115="","",IF('Input LwA_XYZ'!S54="","-",'Input LwA_XYZ'!S54))</f>
        <v/>
      </c>
      <c r="W115" s="229" t="str" cm="1">
        <f t="array" ref="W115">IF($P115="","",IF(_xlfn.XLOOKUP(Tables!$N$62,_xlfn.ANCHORARRAY('Input LwA_XYZ'!$DD$1),'Input LwA_XYZ'!DD54:DR54)="","-",_xlfn.XLOOKUP(Tables!$N$62,_xlfn.ANCHORARRAY('Input LwA_XYZ'!$DD$1),'Input LwA_XYZ'!DD54:DR54)))</f>
        <v/>
      </c>
      <c r="X115" s="62" t="str">
        <f>IF($P115="","",_xlfn.XLOOKUP(Tables!$N$62,'Input LwA_XYZ'!$DU$1:$EI$1,'Input LwA_XYZ'!DU54:EI54))</f>
        <v/>
      </c>
    </row>
    <row r="116" spans="14:24" ht="16.5" x14ac:dyDescent="0.3">
      <c r="P116" s="230" t="str">
        <f>IF(OR('Input LwA_XYZ'!A55 = 0, NOT(ISBLANK(_xlfn.XLOOKUP(Tables!N$62, 'Input LwA_XYZ'!CM$1:DA$1, 'Input LwA_XYZ'!CM55:DA55)))), "", 'Input LwA_XYZ'!A55)</f>
        <v/>
      </c>
      <c r="Q116" s="225" t="str">
        <f>IF($P116="","",_xlfn.TEXTJOIN(" - ",TRUE,'Input LwA_XYZ'!B55:C55))</f>
        <v/>
      </c>
      <c r="R116" s="231" t="str">
        <f>IF($P116="","",'Input LwA_XYZ'!Q55)</f>
        <v/>
      </c>
      <c r="S116" s="227" t="str">
        <f>IF($P116="","",ROUND(_xlfn.XLOOKUP(Tables!$N$62,'Input LwA_XYZ'!$AH$1:$AV$1,'Input LwA_XYZ'!AH55:AV55),0))</f>
        <v/>
      </c>
      <c r="T116" s="228" t="str">
        <f>IF($P116="","",-1*ROUND(_xlfn.XLOOKUP(Tables!$N$62,'Input LwA_XYZ'!$AY$1:$BM$1,'Input LwA_XYZ'!AY55:BM55),0))</f>
        <v/>
      </c>
      <c r="U116" s="228" t="str">
        <f>IF($P116="","",IF(_xlfn.XLOOKUP(Tables!$N$62,'Input LwA_XYZ'!$BV$1:$CJ$1,'Input LwA_XYZ'!BV55:CJ55)="","-",_xlfn.XLOOKUP(Tables!$N$62,'Input LwA_XYZ'!$BV$1:$CJ$1,'Input LwA_XYZ'!BV55:CJ55)))</f>
        <v/>
      </c>
      <c r="V116" s="228" t="str">
        <f>IF($P116="","",IF('Input LwA_XYZ'!S55="","-",'Input LwA_XYZ'!S55))</f>
        <v/>
      </c>
      <c r="W116" s="229" t="str" cm="1">
        <f t="array" ref="W116">IF($P116="","",IF(_xlfn.XLOOKUP(Tables!$N$62,_xlfn.ANCHORARRAY('Input LwA_XYZ'!$DD$1),'Input LwA_XYZ'!DD55:DR55)="","-",_xlfn.XLOOKUP(Tables!$N$62,_xlfn.ANCHORARRAY('Input LwA_XYZ'!$DD$1),'Input LwA_XYZ'!DD55:DR55)))</f>
        <v/>
      </c>
      <c r="X116" s="62" t="str">
        <f>IF($P116="","",_xlfn.XLOOKUP(Tables!$N$62,'Input LwA_XYZ'!$DU$1:$EI$1,'Input LwA_XYZ'!DU55:EI55))</f>
        <v/>
      </c>
    </row>
    <row r="117" spans="14:24" ht="16.5" x14ac:dyDescent="0.3">
      <c r="P117" s="230" t="str">
        <f>IF(OR('Input LwA_XYZ'!A56 = 0, NOT(ISBLANK(_xlfn.XLOOKUP(Tables!N$62, 'Input LwA_XYZ'!CM$1:DA$1, 'Input LwA_XYZ'!CM56:DA56)))), "", 'Input LwA_XYZ'!A56)</f>
        <v/>
      </c>
      <c r="Q117" s="225" t="str">
        <f>IF($P117="","",_xlfn.TEXTJOIN(" - ",TRUE,'Input LwA_XYZ'!B56:C56))</f>
        <v/>
      </c>
      <c r="R117" s="231" t="str">
        <f>IF($P117="","",'Input LwA_XYZ'!Q56)</f>
        <v/>
      </c>
      <c r="S117" s="227" t="str">
        <f>IF($P117="","",ROUND(_xlfn.XLOOKUP(Tables!$N$62,'Input LwA_XYZ'!$AH$1:$AV$1,'Input LwA_XYZ'!AH56:AV56),0))</f>
        <v/>
      </c>
      <c r="T117" s="228" t="str">
        <f>IF($P117="","",-1*ROUND(_xlfn.XLOOKUP(Tables!$N$62,'Input LwA_XYZ'!$AY$1:$BM$1,'Input LwA_XYZ'!AY56:BM56),0))</f>
        <v/>
      </c>
      <c r="U117" s="228" t="str">
        <f>IF($P117="","",IF(_xlfn.XLOOKUP(Tables!$N$62,'Input LwA_XYZ'!$BV$1:$CJ$1,'Input LwA_XYZ'!BV56:CJ56)="","-",_xlfn.XLOOKUP(Tables!$N$62,'Input LwA_XYZ'!$BV$1:$CJ$1,'Input LwA_XYZ'!BV56:CJ56)))</f>
        <v/>
      </c>
      <c r="V117" s="228" t="str">
        <f>IF($P117="","",IF('Input LwA_XYZ'!S56="","-",'Input LwA_XYZ'!S56))</f>
        <v/>
      </c>
      <c r="W117" s="229" t="str" cm="1">
        <f t="array" ref="W117">IF($P117="","",IF(_xlfn.XLOOKUP(Tables!$N$62,_xlfn.ANCHORARRAY('Input LwA_XYZ'!$DD$1),'Input LwA_XYZ'!DD56:DR56)="","-",_xlfn.XLOOKUP(Tables!$N$62,_xlfn.ANCHORARRAY('Input LwA_XYZ'!$DD$1),'Input LwA_XYZ'!DD56:DR56)))</f>
        <v/>
      </c>
      <c r="X117" s="62" t="str">
        <f>IF($P117="","",_xlfn.XLOOKUP(Tables!$N$62,'Input LwA_XYZ'!$DU$1:$EI$1,'Input LwA_XYZ'!DU56:EI56))</f>
        <v/>
      </c>
    </row>
    <row r="118" spans="14:24" ht="16.5" x14ac:dyDescent="0.3">
      <c r="P118" s="230" t="str">
        <f>IF(OR('Input LwA_XYZ'!A57 = 0, NOT(ISBLANK(_xlfn.XLOOKUP(Tables!N$62, 'Input LwA_XYZ'!CM$1:DA$1, 'Input LwA_XYZ'!CM57:DA57)))), "", 'Input LwA_XYZ'!A57)</f>
        <v/>
      </c>
      <c r="Q118" s="225" t="str">
        <f>IF($P118="","",_xlfn.TEXTJOIN(" - ",TRUE,'Input LwA_XYZ'!B57:C57))</f>
        <v/>
      </c>
      <c r="R118" s="231" t="str">
        <f>IF($P118="","",'Input LwA_XYZ'!Q57)</f>
        <v/>
      </c>
      <c r="S118" s="227" t="str">
        <f>IF($P118="","",ROUND(_xlfn.XLOOKUP(Tables!$N$62,'Input LwA_XYZ'!$AH$1:$AV$1,'Input LwA_XYZ'!AH57:AV57),0))</f>
        <v/>
      </c>
      <c r="T118" s="228" t="str">
        <f>IF($P118="","",-1*ROUND(_xlfn.XLOOKUP(Tables!$N$62,'Input LwA_XYZ'!$AY$1:$BM$1,'Input LwA_XYZ'!AY57:BM57),0))</f>
        <v/>
      </c>
      <c r="U118" s="228" t="str">
        <f>IF($P118="","",IF(_xlfn.XLOOKUP(Tables!$N$62,'Input LwA_XYZ'!$BV$1:$CJ$1,'Input LwA_XYZ'!BV57:CJ57)="","-",_xlfn.XLOOKUP(Tables!$N$62,'Input LwA_XYZ'!$BV$1:$CJ$1,'Input LwA_XYZ'!BV57:CJ57)))</f>
        <v/>
      </c>
      <c r="V118" s="228" t="str">
        <f>IF($P118="","",IF('Input LwA_XYZ'!S57="","-",'Input LwA_XYZ'!S57))</f>
        <v/>
      </c>
      <c r="W118" s="229" t="str" cm="1">
        <f t="array" ref="W118">IF($P118="","",IF(_xlfn.XLOOKUP(Tables!$N$62,_xlfn.ANCHORARRAY('Input LwA_XYZ'!$DD$1),'Input LwA_XYZ'!DD57:DR57)="","-",_xlfn.XLOOKUP(Tables!$N$62,_xlfn.ANCHORARRAY('Input LwA_XYZ'!$DD$1),'Input LwA_XYZ'!DD57:DR57)))</f>
        <v/>
      </c>
      <c r="X118" s="62" t="str">
        <f>IF($P118="","",_xlfn.XLOOKUP(Tables!$N$62,'Input LwA_XYZ'!$DU$1:$EI$1,'Input LwA_XYZ'!DU57:EI57))</f>
        <v/>
      </c>
    </row>
    <row r="119" spans="14:24" ht="17.25" thickBot="1" x14ac:dyDescent="0.35">
      <c r="P119" s="232" t="str">
        <f>IF(OR('Input LwA_XYZ'!A58 = 0, NOT(ISBLANK(_xlfn.XLOOKUP(Tables!N$62, 'Input LwA_XYZ'!CM$1:DA$1, 'Input LwA_XYZ'!CM58:DA58)))), "", 'Input LwA_XYZ'!A58)</f>
        <v/>
      </c>
      <c r="Q119" s="233" t="str">
        <f>IF($P119="","",_xlfn.TEXTJOIN(" - ",TRUE,'Input LwA_XYZ'!B58:C58))</f>
        <v/>
      </c>
      <c r="R119" s="234" t="str">
        <f>IF($P119="","",'Input LwA_XYZ'!Q58)</f>
        <v/>
      </c>
      <c r="S119" s="235" t="str">
        <f>IF($P119="","",ROUND(_xlfn.XLOOKUP(Tables!$N$62,'Input LwA_XYZ'!$AH$1:$AV$1,'Input LwA_XYZ'!AH58:AV58),0))</f>
        <v/>
      </c>
      <c r="T119" s="236" t="str">
        <f>IF($P119="","",-1*ROUND(_xlfn.XLOOKUP(Tables!$N$62,'Input LwA_XYZ'!$AY$1:$BM$1,'Input LwA_XYZ'!AY58:BM58),0))</f>
        <v/>
      </c>
      <c r="U119" s="228" t="str">
        <f>IF($P119="","",IF(_xlfn.XLOOKUP(Tables!$N$62,'Input LwA_XYZ'!$BV$1:$CJ$1,'Input LwA_XYZ'!BV58:CJ58)="","-",_xlfn.XLOOKUP(Tables!$N$62,'Input LwA_XYZ'!$BV$1:$CJ$1,'Input LwA_XYZ'!BV58:CJ58)))</f>
        <v/>
      </c>
      <c r="V119" s="228" t="str">
        <f>IF($P119="","",IF('Input LwA_XYZ'!S58="","-",'Input LwA_XYZ'!S58))</f>
        <v/>
      </c>
      <c r="W119" s="229" t="str" cm="1">
        <f t="array" ref="W119">IF($P119="","",IF(_xlfn.XLOOKUP(Tables!$N$62,_xlfn.ANCHORARRAY('Input LwA_XYZ'!$DD$1),'Input LwA_XYZ'!DD58:DR58)="","-",_xlfn.XLOOKUP(Tables!$N$62,_xlfn.ANCHORARRAY('Input LwA_XYZ'!$DD$1),'Input LwA_XYZ'!DD58:DR58)))</f>
        <v/>
      </c>
      <c r="X119" s="63" t="str">
        <f>IF($P119="","",_xlfn.XLOOKUP(Tables!$N$62,'Input LwA_XYZ'!$DU$1:$EI$1,'Input LwA_XYZ'!DU58:EI58))</f>
        <v/>
      </c>
    </row>
    <row r="120" spans="14:24" ht="17.25" thickBot="1" x14ac:dyDescent="0.35">
      <c r="P120" s="237" t="s">
        <v>215</v>
      </c>
      <c r="Q120" s="238"/>
      <c r="R120" s="239"/>
      <c r="S120" s="238"/>
      <c r="T120" s="240"/>
      <c r="U120" s="240"/>
      <c r="V120" s="240"/>
      <c r="W120" s="241"/>
      <c r="X120" s="219">
        <f>_xlfn.XLOOKUP(Tables!$N$62,'Input LwA_XYZ'!$Z$2:$Z$16,'Input LwA_XYZ'!$AE$2:$AE$16)</f>
        <v>31</v>
      </c>
    </row>
    <row r="121" spans="14:24" ht="15.75" thickBot="1" x14ac:dyDescent="0.3">
      <c r="P121" s="221"/>
    </row>
    <row r="122" spans="14:24" ht="33.75" thickBot="1" x14ac:dyDescent="0.35">
      <c r="N122" s="66" t="s">
        <v>105</v>
      </c>
      <c r="P122" s="242" t="s">
        <v>79</v>
      </c>
      <c r="Q122" s="243" t="s">
        <v>80</v>
      </c>
      <c r="R122" s="244" t="s">
        <v>81</v>
      </c>
      <c r="S122" s="244" t="s">
        <v>19</v>
      </c>
      <c r="T122" s="244" t="s">
        <v>216</v>
      </c>
      <c r="U122" s="246" t="s">
        <v>82</v>
      </c>
      <c r="V122" s="247" t="s">
        <v>83</v>
      </c>
      <c r="W122" s="248" t="s">
        <v>236</v>
      </c>
      <c r="X122" s="245" t="s">
        <v>78</v>
      </c>
    </row>
    <row r="123" spans="14:24" ht="17.25" thickBot="1" x14ac:dyDescent="0.35">
      <c r="N123" s="66" t="e">
        <f>_xlfn.XLOOKUP(#REF!, 'Input LwA_XYZ'!$Z$2:$Z$16, 'Input LwA_XYZ'!$AF$2:$AF$16, "")</f>
        <v>#REF!</v>
      </c>
      <c r="P123" s="224" t="str">
        <f>IF(OR('Input LwA_XYZ'!A2 = 0, NOT(ISBLANK(_xlfn.XLOOKUP(Tables!N$122, 'Input LwA_XYZ'!CM$1:DA$1, 'Input LwA_XYZ'!CM2:DA2)))), "", 'Input LwA_XYZ'!A2)</f>
        <v/>
      </c>
      <c r="Q123" s="225" t="str">
        <f>IF($P123="","",_xlfn.TEXTJOIN(" - ",TRUE,'Input LwA_XYZ'!B2:C2))</f>
        <v/>
      </c>
      <c r="R123" s="226" t="str">
        <f>IF($P123="","",'Input LwA_XYZ'!Q2)</f>
        <v/>
      </c>
      <c r="S123" s="227" t="str">
        <f>IF($P123="","",ROUND(_xlfn.XLOOKUP(Tables!$N$122,'Input LwA_XYZ'!$AH$1:$AV$1,'Input LwA_XYZ'!AH2:AV2),0))</f>
        <v/>
      </c>
      <c r="T123" s="228" t="str">
        <f>IF($P123="","",-1*ROUND(_xlfn.XLOOKUP(Tables!$N$122,'Input LwA_XYZ'!$AY$1:$BM$1,'Input LwA_XYZ'!AY2:BM2),0))</f>
        <v/>
      </c>
      <c r="U123" s="228" t="str">
        <f>IF($P123="","",IF(_xlfn.XLOOKUP(Tables!$N$122,'Input LwA_XYZ'!$BV$1:$CJ$1,'Input LwA_XYZ'!BV2:CJ2)="","-",_xlfn.XLOOKUP(Tables!$N$122,'Input LwA_XYZ'!$BV$1:$CJ$1,'Input LwA_XYZ'!BV2:CJ2)))</f>
        <v/>
      </c>
      <c r="V123" s="228" t="str">
        <f>IF($P123="","",IF('Input LwA_XYZ'!S2="","-",'Input LwA_XYZ'!S2))</f>
        <v/>
      </c>
      <c r="W123" s="229" t="str" cm="1">
        <f t="array" ref="W123">IF($P123="","",IF(_xlfn.XLOOKUP(Tables!$N$122,_xlfn.ANCHORARRAY('Input LwA_XYZ'!$DD$1),'Input LwA_XYZ'!DD2:DR2)="","-",_xlfn.XLOOKUP(Tables!$N$122,_xlfn.ANCHORARRAY('Input LwA_XYZ'!$DD$1),'Input LwA_XYZ'!DD2:DR2)))</f>
        <v/>
      </c>
      <c r="X123" s="88" t="str">
        <f>IF($P123="","",_xlfn.XLOOKUP(Tables!$N$122,'Input LwA_XYZ'!$DU$1:$EI$1,'Input LwA_XYZ'!DU2:EI2))</f>
        <v/>
      </c>
    </row>
    <row r="124" spans="14:24" ht="16.5" x14ac:dyDescent="0.3">
      <c r="P124" s="230" t="str">
        <f>IF(OR('Input LwA_XYZ'!A3 = 0, NOT(ISBLANK(_xlfn.XLOOKUP(Tables!N$122, 'Input LwA_XYZ'!CM$1:DA$1, 'Input LwA_XYZ'!CM3:DA3)))), "", 'Input LwA_XYZ'!A3)</f>
        <v/>
      </c>
      <c r="Q124" s="225" t="str">
        <f>IF($P124="","",_xlfn.TEXTJOIN(" - ",TRUE,'Input LwA_XYZ'!B3:C3))</f>
        <v/>
      </c>
      <c r="R124" s="231" t="str">
        <f>IF($P124="","",'Input LwA_XYZ'!Q3)</f>
        <v/>
      </c>
      <c r="S124" s="227" t="str">
        <f>IF($P124="","",ROUND(_xlfn.XLOOKUP(Tables!$N$122,'Input LwA_XYZ'!$AH$1:$AV$1,'Input LwA_XYZ'!AH3:AV3),0))</f>
        <v/>
      </c>
      <c r="T124" s="228" t="str">
        <f>IF($P124="","",-1*ROUND(_xlfn.XLOOKUP(Tables!$N$122,'Input LwA_XYZ'!$AY$1:$BM$1,'Input LwA_XYZ'!AY3:BM3),0))</f>
        <v/>
      </c>
      <c r="U124" s="228" t="str">
        <f>IF($P124="","",IF(_xlfn.XLOOKUP(Tables!$N$122,'Input LwA_XYZ'!$BV$1:$CJ$1,'Input LwA_XYZ'!BV3:CJ3)="","-",_xlfn.XLOOKUP(Tables!$N$122,'Input LwA_XYZ'!$BV$1:$CJ$1,'Input LwA_XYZ'!BV3:CJ3)))</f>
        <v/>
      </c>
      <c r="V124" s="228" t="str">
        <f>IF($P124="","",IF('Input LwA_XYZ'!S3="","-",'Input LwA_XYZ'!S3))</f>
        <v/>
      </c>
      <c r="W124" s="229" t="str" cm="1">
        <f t="array" ref="W124">IF($P124="","",IF(_xlfn.XLOOKUP(Tables!$N$122,_xlfn.ANCHORARRAY('Input LwA_XYZ'!$DD$1),'Input LwA_XYZ'!DD3:DR3)="","-",_xlfn.XLOOKUP(Tables!$N$122,_xlfn.ANCHORARRAY('Input LwA_XYZ'!$DD$1),'Input LwA_XYZ'!DD3:DR3)))</f>
        <v/>
      </c>
      <c r="X124" s="62" t="str">
        <f>IF($P124="","",_xlfn.XLOOKUP(Tables!$N$122,'Input LwA_XYZ'!$DU$1:$EI$1,'Input LwA_XYZ'!DU3:EI3))</f>
        <v/>
      </c>
    </row>
    <row r="125" spans="14:24" ht="16.5" x14ac:dyDescent="0.3">
      <c r="P125" s="230" t="str">
        <f>IF(OR('Input LwA_XYZ'!A4 = 0, NOT(ISBLANK(_xlfn.XLOOKUP(Tables!N$122, 'Input LwA_XYZ'!CM$1:DA$1, 'Input LwA_XYZ'!CM4:DA4)))), "", 'Input LwA_XYZ'!A4)</f>
        <v/>
      </c>
      <c r="Q125" s="225" t="str">
        <f>IF($P125="","",_xlfn.TEXTJOIN(" - ",TRUE,'Input LwA_XYZ'!B4:C4))</f>
        <v/>
      </c>
      <c r="R125" s="231" t="str">
        <f>IF($P125="","",'Input LwA_XYZ'!Q4)</f>
        <v/>
      </c>
      <c r="S125" s="227" t="str">
        <f>IF($P125="","",ROUND(_xlfn.XLOOKUP(Tables!$N$122,'Input LwA_XYZ'!$AH$1:$AV$1,'Input LwA_XYZ'!AH4:AV4),0))</f>
        <v/>
      </c>
      <c r="T125" s="228" t="str">
        <f>IF($P125="","",-1*ROUND(_xlfn.XLOOKUP(Tables!$N$122,'Input LwA_XYZ'!$AY$1:$BM$1,'Input LwA_XYZ'!AY4:BM4),0))</f>
        <v/>
      </c>
      <c r="U125" s="228" t="str">
        <f>IF($P125="","",IF(_xlfn.XLOOKUP(Tables!$N$122,'Input LwA_XYZ'!$BV$1:$CJ$1,'Input LwA_XYZ'!BV4:CJ4)="","-",_xlfn.XLOOKUP(Tables!$N$122,'Input LwA_XYZ'!$BV$1:$CJ$1,'Input LwA_XYZ'!BV4:CJ4)))</f>
        <v/>
      </c>
      <c r="V125" s="228" t="str">
        <f>IF($P125="","",IF('Input LwA_XYZ'!S4="","-",'Input LwA_XYZ'!S4))</f>
        <v/>
      </c>
      <c r="W125" s="229" t="str" cm="1">
        <f t="array" ref="W125">IF($P125="","",IF(_xlfn.XLOOKUP(Tables!$N$122,_xlfn.ANCHORARRAY('Input LwA_XYZ'!$DD$1),'Input LwA_XYZ'!DD4:DR4)="","-",_xlfn.XLOOKUP(Tables!$N$122,_xlfn.ANCHORARRAY('Input LwA_XYZ'!$DD$1),'Input LwA_XYZ'!DD4:DR4)))</f>
        <v/>
      </c>
      <c r="X125" s="62" t="str">
        <f>IF($P125="","",_xlfn.XLOOKUP(Tables!$N$122,'Input LwA_XYZ'!$DU$1:$EI$1,'Input LwA_XYZ'!DU4:EI4))</f>
        <v/>
      </c>
    </row>
    <row r="126" spans="14:24" ht="16.5" x14ac:dyDescent="0.3">
      <c r="P126" s="230" t="str">
        <f>IF(OR('Input LwA_XYZ'!A5 = 0, NOT(ISBLANK(_xlfn.XLOOKUP(Tables!N$122, 'Input LwA_XYZ'!CM$1:DA$1, 'Input LwA_XYZ'!CM5:DA5)))), "", 'Input LwA_XYZ'!A5)</f>
        <v/>
      </c>
      <c r="Q126" s="225" t="str">
        <f>IF($P126="","",_xlfn.TEXTJOIN(" - ",TRUE,'Input LwA_XYZ'!B5:C5))</f>
        <v/>
      </c>
      <c r="R126" s="231" t="str">
        <f>IF($P126="","",'Input LwA_XYZ'!Q5)</f>
        <v/>
      </c>
      <c r="S126" s="227" t="str">
        <f>IF($P126="","",ROUND(_xlfn.XLOOKUP(Tables!$N$122,'Input LwA_XYZ'!$AH$1:$AV$1,'Input LwA_XYZ'!AH5:AV5),0))</f>
        <v/>
      </c>
      <c r="T126" s="228" t="str">
        <f>IF($P126="","",-1*ROUND(_xlfn.XLOOKUP(Tables!$N$122,'Input LwA_XYZ'!$AY$1:$BM$1,'Input LwA_XYZ'!AY5:BM5),0))</f>
        <v/>
      </c>
      <c r="U126" s="228" t="str">
        <f>IF($P126="","",IF(_xlfn.XLOOKUP(Tables!$N$122,'Input LwA_XYZ'!$BV$1:$CJ$1,'Input LwA_XYZ'!BV5:CJ5)="","-",_xlfn.XLOOKUP(Tables!$N$122,'Input LwA_XYZ'!$BV$1:$CJ$1,'Input LwA_XYZ'!BV5:CJ5)))</f>
        <v/>
      </c>
      <c r="V126" s="228" t="str">
        <f>IF($P126="","",IF('Input LwA_XYZ'!S5="","-",'Input LwA_XYZ'!S5))</f>
        <v/>
      </c>
      <c r="W126" s="229" t="str" cm="1">
        <f t="array" ref="W126">IF($P126="","",IF(_xlfn.XLOOKUP(Tables!$N$122,_xlfn.ANCHORARRAY('Input LwA_XYZ'!$DD$1),'Input LwA_XYZ'!DD5:DR5)="","-",_xlfn.XLOOKUP(Tables!$N$122,_xlfn.ANCHORARRAY('Input LwA_XYZ'!$DD$1),'Input LwA_XYZ'!DD5:DR5)))</f>
        <v/>
      </c>
      <c r="X126" s="62" t="str">
        <f>IF($P126="","",_xlfn.XLOOKUP(Tables!$N$122,'Input LwA_XYZ'!$DU$1:$EI$1,'Input LwA_XYZ'!DU5:EI5))</f>
        <v/>
      </c>
    </row>
    <row r="127" spans="14:24" ht="16.5" x14ac:dyDescent="0.3">
      <c r="P127" s="230">
        <f>IF(OR('Input LwA_XYZ'!A6 = 0, NOT(ISBLANK(_xlfn.XLOOKUP(Tables!N$122, 'Input LwA_XYZ'!CM$1:DA$1, 'Input LwA_XYZ'!CM6:DA6)))), "", 'Input LwA_XYZ'!A6)</f>
        <v>1</v>
      </c>
      <c r="Q127" s="225" t="str">
        <f>IF($P127="","",_xlfn.TEXTJOIN(" - ",TRUE,'Input LwA_XYZ'!B6:C6))</f>
        <v>KEF-R1  - Inlet</v>
      </c>
      <c r="R127" s="231">
        <f>IF($P127="","",'Input LwA_XYZ'!Q6)</f>
        <v>80</v>
      </c>
      <c r="S127" s="227">
        <f>IF($P127="","",ROUND(_xlfn.XLOOKUP(Tables!$N$122,'Input LwA_XYZ'!$AH$1:$AV$1,'Input LwA_XYZ'!AH6:AV6),0))</f>
        <v>166</v>
      </c>
      <c r="T127" s="228">
        <f>IF($P127="","",-1*ROUND(_xlfn.XLOOKUP(Tables!$N$122,'Input LwA_XYZ'!$AY$1:$BM$1,'Input LwA_XYZ'!AY6:BM6),0))</f>
        <v>42</v>
      </c>
      <c r="U127" s="228">
        <f>IF($P127="","",IF(_xlfn.XLOOKUP(Tables!$N$122,'Input LwA_XYZ'!$BV$1:$CJ$1,'Input LwA_XYZ'!BV6:CJ6)="","-",_xlfn.XLOOKUP(Tables!$N$122,'Input LwA_XYZ'!$BV$1:$CJ$1,'Input LwA_XYZ'!BV6:CJ6)))</f>
        <v>14.5</v>
      </c>
      <c r="V127" s="228" t="str">
        <f>IF($P127="","",IF('Input LwA_XYZ'!S6="","-",'Input LwA_XYZ'!S6))</f>
        <v>-</v>
      </c>
      <c r="W127" s="229" t="str" cm="1">
        <f t="array" ref="W127">IF($P127="","",IF(_xlfn.XLOOKUP(Tables!$N$122,_xlfn.ANCHORARRAY('Input LwA_XYZ'!$DD$1),'Input LwA_XYZ'!DD6:DR6)="","-",_xlfn.XLOOKUP(Tables!$N$122,_xlfn.ANCHORARRAY('Input LwA_XYZ'!$DD$1),'Input LwA_XYZ'!DD6:DR6)))</f>
        <v>-</v>
      </c>
      <c r="X127" s="62">
        <f>IF($P127="","",_xlfn.XLOOKUP(Tables!$N$122,'Input LwA_XYZ'!$DU$1:$EI$1,'Input LwA_XYZ'!DU6:EI6))</f>
        <v>23.438599476489436</v>
      </c>
    </row>
    <row r="128" spans="14:24" ht="16.5" x14ac:dyDescent="0.3">
      <c r="P128" s="230" t="str">
        <f>IF(OR('Input LwA_XYZ'!A7 = 0, NOT(ISBLANK(_xlfn.XLOOKUP(Tables!N$122, 'Input LwA_XYZ'!CM$1:DA$1, 'Input LwA_XYZ'!CM7:DA7)))), "", 'Input LwA_XYZ'!A7)</f>
        <v/>
      </c>
      <c r="Q128" s="225" t="str">
        <f>IF($P128="","",_xlfn.TEXTJOIN(" - ",TRUE,'Input LwA_XYZ'!B7:C7))</f>
        <v/>
      </c>
      <c r="R128" s="231" t="str">
        <f>IF($P128="","",'Input LwA_XYZ'!Q7)</f>
        <v/>
      </c>
      <c r="S128" s="227" t="str">
        <f>IF($P128="","",ROUND(_xlfn.XLOOKUP(Tables!$N$122,'Input LwA_XYZ'!$AH$1:$AV$1,'Input LwA_XYZ'!AH7:AV7),0))</f>
        <v/>
      </c>
      <c r="T128" s="228" t="str">
        <f>IF($P128="","",-1*ROUND(_xlfn.XLOOKUP(Tables!$N$122,'Input LwA_XYZ'!$AY$1:$BM$1,'Input LwA_XYZ'!AY7:BM7),0))</f>
        <v/>
      </c>
      <c r="U128" s="228" t="str">
        <f>IF($P128="","",IF(_xlfn.XLOOKUP(Tables!$N$122,'Input LwA_XYZ'!$BV$1:$CJ$1,'Input LwA_XYZ'!BV7:CJ7)="","-",_xlfn.XLOOKUP(Tables!$N$122,'Input LwA_XYZ'!$BV$1:$CJ$1,'Input LwA_XYZ'!BV7:CJ7)))</f>
        <v/>
      </c>
      <c r="V128" s="228" t="str">
        <f>IF($P128="","",IF('Input LwA_XYZ'!S7="","-",'Input LwA_XYZ'!S7))</f>
        <v/>
      </c>
      <c r="W128" s="229" t="str" cm="1">
        <f t="array" ref="W128">IF($P128="","",IF(_xlfn.XLOOKUP(Tables!$N$122,_xlfn.ANCHORARRAY('Input LwA_XYZ'!$DD$1),'Input LwA_XYZ'!DD7:DR7)="","-",_xlfn.XLOOKUP(Tables!$N$122,_xlfn.ANCHORARRAY('Input LwA_XYZ'!$DD$1),'Input LwA_XYZ'!DD7:DR7)))</f>
        <v/>
      </c>
      <c r="X128" s="62" t="str">
        <f>IF($P128="","",_xlfn.XLOOKUP(Tables!$N$122,'Input LwA_XYZ'!$DU$1:$EI$1,'Input LwA_XYZ'!DU7:EI7))</f>
        <v/>
      </c>
    </row>
    <row r="129" spans="16:24" ht="16.5" x14ac:dyDescent="0.3">
      <c r="P129" s="230" t="str">
        <f>IF(OR('Input LwA_XYZ'!A8 = 0, NOT(ISBLANK(_xlfn.XLOOKUP(Tables!N$122, 'Input LwA_XYZ'!CM$1:DA$1, 'Input LwA_XYZ'!CM8:DA8)))), "", 'Input LwA_XYZ'!A8)</f>
        <v/>
      </c>
      <c r="Q129" s="225" t="str">
        <f>IF($P129="","",_xlfn.TEXTJOIN(" - ",TRUE,'Input LwA_XYZ'!B8:C8))</f>
        <v/>
      </c>
      <c r="R129" s="231" t="str">
        <f>IF($P129="","",'Input LwA_XYZ'!Q8)</f>
        <v/>
      </c>
      <c r="S129" s="227" t="str">
        <f>IF($P129="","",ROUND(_xlfn.XLOOKUP(Tables!$N$122,'Input LwA_XYZ'!$AH$1:$AV$1,'Input LwA_XYZ'!AH8:AV8),0))</f>
        <v/>
      </c>
      <c r="T129" s="228" t="str">
        <f>IF($P129="","",-1*ROUND(_xlfn.XLOOKUP(Tables!$N$122,'Input LwA_XYZ'!$AY$1:$BM$1,'Input LwA_XYZ'!AY8:BM8),0))</f>
        <v/>
      </c>
      <c r="U129" s="228" t="str">
        <f>IF($P129="","",IF(_xlfn.XLOOKUP(Tables!$N$122,'Input LwA_XYZ'!$BV$1:$CJ$1,'Input LwA_XYZ'!BV8:CJ8)="","-",_xlfn.XLOOKUP(Tables!$N$122,'Input LwA_XYZ'!$BV$1:$CJ$1,'Input LwA_XYZ'!BV8:CJ8)))</f>
        <v/>
      </c>
      <c r="V129" s="228" t="str">
        <f>IF($P129="","",IF('Input LwA_XYZ'!S8="","-",'Input LwA_XYZ'!S8))</f>
        <v/>
      </c>
      <c r="W129" s="229" t="str" cm="1">
        <f t="array" ref="W129">IF($P129="","",IF(_xlfn.XLOOKUP(Tables!$N$122,_xlfn.ANCHORARRAY('Input LwA_XYZ'!$DD$1),'Input LwA_XYZ'!DD8:DR8)="","-",_xlfn.XLOOKUP(Tables!$N$122,_xlfn.ANCHORARRAY('Input LwA_XYZ'!$DD$1),'Input LwA_XYZ'!DD8:DR8)))</f>
        <v/>
      </c>
      <c r="X129" s="62" t="str">
        <f>IF($P129="","",_xlfn.XLOOKUP(Tables!$N$122,'Input LwA_XYZ'!$DU$1:$EI$1,'Input LwA_XYZ'!DU8:EI8))</f>
        <v/>
      </c>
    </row>
    <row r="130" spans="16:24" ht="16.5" x14ac:dyDescent="0.3">
      <c r="P130" s="230" t="str">
        <f>IF(OR('Input LwA_XYZ'!A9 = 0, NOT(ISBLANK(_xlfn.XLOOKUP(Tables!N$122, 'Input LwA_XYZ'!CM$1:DA$1, 'Input LwA_XYZ'!CM9:DA9)))), "", 'Input LwA_XYZ'!A9)</f>
        <v/>
      </c>
      <c r="Q130" s="225" t="str">
        <f>IF($P130="","",_xlfn.TEXTJOIN(" - ",TRUE,'Input LwA_XYZ'!B9:C9))</f>
        <v/>
      </c>
      <c r="R130" s="231" t="str">
        <f>IF($P130="","",'Input LwA_XYZ'!Q9)</f>
        <v/>
      </c>
      <c r="S130" s="227" t="str">
        <f>IF($P130="","",ROUND(_xlfn.XLOOKUP(Tables!$N$122,'Input LwA_XYZ'!$AH$1:$AV$1,'Input LwA_XYZ'!AH9:AV9),0))</f>
        <v/>
      </c>
      <c r="T130" s="228" t="str">
        <f>IF($P130="","",-1*ROUND(_xlfn.XLOOKUP(Tables!$N$122,'Input LwA_XYZ'!$AY$1:$BM$1,'Input LwA_XYZ'!AY9:BM9),0))</f>
        <v/>
      </c>
      <c r="U130" s="228" t="str">
        <f>IF($P130="","",IF(_xlfn.XLOOKUP(Tables!$N$122,'Input LwA_XYZ'!$BV$1:$CJ$1,'Input LwA_XYZ'!BV9:CJ9)="","-",_xlfn.XLOOKUP(Tables!$N$122,'Input LwA_XYZ'!$BV$1:$CJ$1,'Input LwA_XYZ'!BV9:CJ9)))</f>
        <v/>
      </c>
      <c r="V130" s="228" t="str">
        <f>IF($P130="","",IF('Input LwA_XYZ'!S9="","-",'Input LwA_XYZ'!S9))</f>
        <v/>
      </c>
      <c r="W130" s="229" t="str" cm="1">
        <f t="array" ref="W130">IF($P130="","",IF(_xlfn.XLOOKUP(Tables!$N$122,_xlfn.ANCHORARRAY('Input LwA_XYZ'!$DD$1),'Input LwA_XYZ'!DD9:DR9)="","-",_xlfn.XLOOKUP(Tables!$N$122,_xlfn.ANCHORARRAY('Input LwA_XYZ'!$DD$1),'Input LwA_XYZ'!DD9:DR9)))</f>
        <v/>
      </c>
      <c r="X130" s="62" t="str">
        <f>IF($P130="","",_xlfn.XLOOKUP(Tables!$N$122,'Input LwA_XYZ'!$DU$1:$EI$1,'Input LwA_XYZ'!DU9:EI9))</f>
        <v/>
      </c>
    </row>
    <row r="131" spans="16:24" ht="16.5" x14ac:dyDescent="0.3">
      <c r="P131" s="230" t="str">
        <f>IF(OR('Input LwA_XYZ'!A10 = 0, NOT(ISBLANK(_xlfn.XLOOKUP(Tables!N$122, 'Input LwA_XYZ'!CM$1:DA$1, 'Input LwA_XYZ'!CM10:DA10)))), "", 'Input LwA_XYZ'!A10)</f>
        <v/>
      </c>
      <c r="Q131" s="225" t="str">
        <f>IF($P131="","",_xlfn.TEXTJOIN(" - ",TRUE,'Input LwA_XYZ'!B10:C10))</f>
        <v/>
      </c>
      <c r="R131" s="231" t="str">
        <f>IF($P131="","",'Input LwA_XYZ'!Q10)</f>
        <v/>
      </c>
      <c r="S131" s="227" t="str">
        <f>IF($P131="","",ROUND(_xlfn.XLOOKUP(Tables!$N$122,'Input LwA_XYZ'!$AH$1:$AV$1,'Input LwA_XYZ'!AH10:AV10),0))</f>
        <v/>
      </c>
      <c r="T131" s="228" t="str">
        <f>IF($P131="","",-1*ROUND(_xlfn.XLOOKUP(Tables!$N$122,'Input LwA_XYZ'!$AY$1:$BM$1,'Input LwA_XYZ'!AY10:BM10),0))</f>
        <v/>
      </c>
      <c r="U131" s="228" t="str">
        <f>IF($P131="","",IF(_xlfn.XLOOKUP(Tables!$N$122,'Input LwA_XYZ'!$BV$1:$CJ$1,'Input LwA_XYZ'!BV10:CJ10)="","-",_xlfn.XLOOKUP(Tables!$N$122,'Input LwA_XYZ'!$BV$1:$CJ$1,'Input LwA_XYZ'!BV10:CJ10)))</f>
        <v/>
      </c>
      <c r="V131" s="228" t="str">
        <f>IF($P131="","",IF('Input LwA_XYZ'!S10="","-",'Input LwA_XYZ'!S10))</f>
        <v/>
      </c>
      <c r="W131" s="229" t="str" cm="1">
        <f t="array" ref="W131">IF($P131="","",IF(_xlfn.XLOOKUP(Tables!$N$122,_xlfn.ANCHORARRAY('Input LwA_XYZ'!$DD$1),'Input LwA_XYZ'!DD10:DR10)="","-",_xlfn.XLOOKUP(Tables!$N$122,_xlfn.ANCHORARRAY('Input LwA_XYZ'!$DD$1),'Input LwA_XYZ'!DD10:DR10)))</f>
        <v/>
      </c>
      <c r="X131" s="62" t="str">
        <f>IF($P131="","",_xlfn.XLOOKUP(Tables!$N$122,'Input LwA_XYZ'!$DU$1:$EI$1,'Input LwA_XYZ'!DU10:EI10))</f>
        <v/>
      </c>
    </row>
    <row r="132" spans="16:24" ht="16.5" x14ac:dyDescent="0.3">
      <c r="P132" s="230" t="str">
        <f>IF(OR('Input LwA_XYZ'!A11 = 0, NOT(ISBLANK(_xlfn.XLOOKUP(Tables!N$122, 'Input LwA_XYZ'!CM$1:DA$1, 'Input LwA_XYZ'!CM11:DA11)))), "", 'Input LwA_XYZ'!A11)</f>
        <v/>
      </c>
      <c r="Q132" s="225" t="str">
        <f>IF($P132="","",_xlfn.TEXTJOIN(" - ",TRUE,'Input LwA_XYZ'!B11:C11))</f>
        <v/>
      </c>
      <c r="R132" s="231" t="str">
        <f>IF($P132="","",'Input LwA_XYZ'!Q11)</f>
        <v/>
      </c>
      <c r="S132" s="227" t="str">
        <f>IF($P132="","",ROUND(_xlfn.XLOOKUP(Tables!$N$122,'Input LwA_XYZ'!$AH$1:$AV$1,'Input LwA_XYZ'!AH11:AV11),0))</f>
        <v/>
      </c>
      <c r="T132" s="228" t="str">
        <f>IF($P132="","",-1*ROUND(_xlfn.XLOOKUP(Tables!$N$122,'Input LwA_XYZ'!$AY$1:$BM$1,'Input LwA_XYZ'!AY11:BM11),0))</f>
        <v/>
      </c>
      <c r="U132" s="228" t="str">
        <f>IF($P132="","",IF(_xlfn.XLOOKUP(Tables!$N$122,'Input LwA_XYZ'!$BV$1:$CJ$1,'Input LwA_XYZ'!BV11:CJ11)="","-",_xlfn.XLOOKUP(Tables!$N$122,'Input LwA_XYZ'!$BV$1:$CJ$1,'Input LwA_XYZ'!BV11:CJ11)))</f>
        <v/>
      </c>
      <c r="V132" s="228" t="str">
        <f>IF($P132="","",IF('Input LwA_XYZ'!S11="","-",'Input LwA_XYZ'!S11))</f>
        <v/>
      </c>
      <c r="W132" s="229" t="str" cm="1">
        <f t="array" ref="W132">IF($P132="","",IF(_xlfn.XLOOKUP(Tables!$N$122,_xlfn.ANCHORARRAY('Input LwA_XYZ'!$DD$1),'Input LwA_XYZ'!DD11:DR11)="","-",_xlfn.XLOOKUP(Tables!$N$122,_xlfn.ANCHORARRAY('Input LwA_XYZ'!$DD$1),'Input LwA_XYZ'!DD11:DR11)))</f>
        <v/>
      </c>
      <c r="X132" s="62" t="str">
        <f>IF($P132="","",_xlfn.XLOOKUP(Tables!$N$122,'Input LwA_XYZ'!$DU$1:$EI$1,'Input LwA_XYZ'!DU11:EI11))</f>
        <v/>
      </c>
    </row>
    <row r="133" spans="16:24" ht="16.5" x14ac:dyDescent="0.3">
      <c r="P133" s="230" t="str">
        <f>IF(OR('Input LwA_XYZ'!A12 = 0, NOT(ISBLANK(_xlfn.XLOOKUP(Tables!N$122, 'Input LwA_XYZ'!CM$1:DA$1, 'Input LwA_XYZ'!CM12:DA12)))), "", 'Input LwA_XYZ'!A12)</f>
        <v/>
      </c>
      <c r="Q133" s="225" t="str">
        <f>IF($P133="","",_xlfn.TEXTJOIN(" - ",TRUE,'Input LwA_XYZ'!B12:C12))</f>
        <v/>
      </c>
      <c r="R133" s="231" t="str">
        <f>IF($P133="","",'Input LwA_XYZ'!Q12)</f>
        <v/>
      </c>
      <c r="S133" s="227" t="str">
        <f>IF($P133="","",ROUND(_xlfn.XLOOKUP(Tables!$N$122,'Input LwA_XYZ'!$AH$1:$AV$1,'Input LwA_XYZ'!AH12:AV12),0))</f>
        <v/>
      </c>
      <c r="T133" s="228" t="str">
        <f>IF($P133="","",-1*ROUND(_xlfn.XLOOKUP(Tables!$N$122,'Input LwA_XYZ'!$AY$1:$BM$1,'Input LwA_XYZ'!AY12:BM12),0))</f>
        <v/>
      </c>
      <c r="U133" s="228" t="str">
        <f>IF($P133="","",IF(_xlfn.XLOOKUP(Tables!$N$122,'Input LwA_XYZ'!$BV$1:$CJ$1,'Input LwA_XYZ'!BV12:CJ12)="","-",_xlfn.XLOOKUP(Tables!$N$122,'Input LwA_XYZ'!$BV$1:$CJ$1,'Input LwA_XYZ'!BV12:CJ12)))</f>
        <v/>
      </c>
      <c r="V133" s="228" t="str">
        <f>IF($P133="","",IF('Input LwA_XYZ'!S12="","-",'Input LwA_XYZ'!S12))</f>
        <v/>
      </c>
      <c r="W133" s="229" t="str" cm="1">
        <f t="array" ref="W133">IF($P133="","",IF(_xlfn.XLOOKUP(Tables!$N$122,_xlfn.ANCHORARRAY('Input LwA_XYZ'!$DD$1),'Input LwA_XYZ'!DD12:DR12)="","-",_xlfn.XLOOKUP(Tables!$N$122,_xlfn.ANCHORARRAY('Input LwA_XYZ'!$DD$1),'Input LwA_XYZ'!DD12:DR12)))</f>
        <v/>
      </c>
      <c r="X133" s="62" t="str">
        <f>IF($P133="","",_xlfn.XLOOKUP(Tables!$N$122,'Input LwA_XYZ'!$DU$1:$EI$1,'Input LwA_XYZ'!DU12:EI12))</f>
        <v/>
      </c>
    </row>
    <row r="134" spans="16:24" ht="16.5" x14ac:dyDescent="0.3">
      <c r="P134" s="230" t="str">
        <f>IF(OR('Input LwA_XYZ'!A13 = 0, NOT(ISBLANK(_xlfn.XLOOKUP(Tables!N$122, 'Input LwA_XYZ'!CM$1:DA$1, 'Input LwA_XYZ'!CM13:DA13)))), "", 'Input LwA_XYZ'!A13)</f>
        <v/>
      </c>
      <c r="Q134" s="225" t="str">
        <f>IF($P134="","",_xlfn.TEXTJOIN(" - ",TRUE,'Input LwA_XYZ'!B13:C13))</f>
        <v/>
      </c>
      <c r="R134" s="231" t="str">
        <f>IF($P134="","",'Input LwA_XYZ'!Q13)</f>
        <v/>
      </c>
      <c r="S134" s="227" t="str">
        <f>IF($P134="","",ROUND(_xlfn.XLOOKUP(Tables!$N$122,'Input LwA_XYZ'!$AH$1:$AV$1,'Input LwA_XYZ'!AH13:AV13),0))</f>
        <v/>
      </c>
      <c r="T134" s="228" t="str">
        <f>IF($P134="","",-1*ROUND(_xlfn.XLOOKUP(Tables!$N$122,'Input LwA_XYZ'!$AY$1:$BM$1,'Input LwA_XYZ'!AY13:BM13),0))</f>
        <v/>
      </c>
      <c r="U134" s="228" t="str">
        <f>IF($P134="","",IF(_xlfn.XLOOKUP(Tables!$N$122,'Input LwA_XYZ'!$BV$1:$CJ$1,'Input LwA_XYZ'!BV13:CJ13)="","-",_xlfn.XLOOKUP(Tables!$N$122,'Input LwA_XYZ'!$BV$1:$CJ$1,'Input LwA_XYZ'!BV13:CJ13)))</f>
        <v/>
      </c>
      <c r="V134" s="228" t="str">
        <f>IF($P134="","",IF('Input LwA_XYZ'!S13="","-",'Input LwA_XYZ'!S13))</f>
        <v/>
      </c>
      <c r="W134" s="229" t="str" cm="1">
        <f t="array" ref="W134">IF($P134="","",IF(_xlfn.XLOOKUP(Tables!$N$122,_xlfn.ANCHORARRAY('Input LwA_XYZ'!$DD$1),'Input LwA_XYZ'!DD13:DR13)="","-",_xlfn.XLOOKUP(Tables!$N$122,_xlfn.ANCHORARRAY('Input LwA_XYZ'!$DD$1),'Input LwA_XYZ'!DD13:DR13)))</f>
        <v/>
      </c>
      <c r="X134" s="62" t="str">
        <f>IF($P134="","",_xlfn.XLOOKUP(Tables!$N$122,'Input LwA_XYZ'!$DU$1:$EI$1,'Input LwA_XYZ'!DU13:EI13))</f>
        <v/>
      </c>
    </row>
    <row r="135" spans="16:24" ht="16.5" x14ac:dyDescent="0.3">
      <c r="P135" s="230" t="str">
        <f>IF(OR('Input LwA_XYZ'!A14 = 0, NOT(ISBLANK(_xlfn.XLOOKUP(Tables!N$122, 'Input LwA_XYZ'!CM$1:DA$1, 'Input LwA_XYZ'!CM14:DA14)))), "", 'Input LwA_XYZ'!A14)</f>
        <v/>
      </c>
      <c r="Q135" s="225" t="str">
        <f>IF($P135="","",_xlfn.TEXTJOIN(" - ",TRUE,'Input LwA_XYZ'!B14:C14))</f>
        <v/>
      </c>
      <c r="R135" s="231" t="str">
        <f>IF($P135="","",'Input LwA_XYZ'!Q14)</f>
        <v/>
      </c>
      <c r="S135" s="227" t="str">
        <f>IF($P135="","",ROUND(_xlfn.XLOOKUP(Tables!$N$122,'Input LwA_XYZ'!$AH$1:$AV$1,'Input LwA_XYZ'!AH14:AV14),0))</f>
        <v/>
      </c>
      <c r="T135" s="228" t="str">
        <f>IF($P135="","",-1*ROUND(_xlfn.XLOOKUP(Tables!$N$122,'Input LwA_XYZ'!$AY$1:$BM$1,'Input LwA_XYZ'!AY14:BM14),0))</f>
        <v/>
      </c>
      <c r="U135" s="228" t="str">
        <f>IF($P135="","",IF(_xlfn.XLOOKUP(Tables!$N$122,'Input LwA_XYZ'!$BV$1:$CJ$1,'Input LwA_XYZ'!BV14:CJ14)="","-",_xlfn.XLOOKUP(Tables!$N$122,'Input LwA_XYZ'!$BV$1:$CJ$1,'Input LwA_XYZ'!BV14:CJ14)))</f>
        <v/>
      </c>
      <c r="V135" s="228" t="str">
        <f>IF($P135="","",IF('Input LwA_XYZ'!S14="","-",'Input LwA_XYZ'!S14))</f>
        <v/>
      </c>
      <c r="W135" s="229" t="str" cm="1">
        <f t="array" ref="W135">IF($P135="","",IF(_xlfn.XLOOKUP(Tables!$N$122,_xlfn.ANCHORARRAY('Input LwA_XYZ'!$DD$1),'Input LwA_XYZ'!DD14:DR14)="","-",_xlfn.XLOOKUP(Tables!$N$122,_xlfn.ANCHORARRAY('Input LwA_XYZ'!$DD$1),'Input LwA_XYZ'!DD14:DR14)))</f>
        <v/>
      </c>
      <c r="X135" s="62" t="str">
        <f>IF($P135="","",_xlfn.XLOOKUP(Tables!$N$122,'Input LwA_XYZ'!$DU$1:$EI$1,'Input LwA_XYZ'!DU14:EI14))</f>
        <v/>
      </c>
    </row>
    <row r="136" spans="16:24" ht="16.5" x14ac:dyDescent="0.3">
      <c r="P136" s="230" t="str">
        <f>IF(OR('Input LwA_XYZ'!A15 = 0, NOT(ISBLANK(_xlfn.XLOOKUP(Tables!N$122, 'Input LwA_XYZ'!CM$1:DA$1, 'Input LwA_XYZ'!CM15:DA15)))), "", 'Input LwA_XYZ'!A15)</f>
        <v/>
      </c>
      <c r="Q136" s="225" t="str">
        <f>IF($P136="","",_xlfn.TEXTJOIN(" - ",TRUE,'Input LwA_XYZ'!B15:C15))</f>
        <v/>
      </c>
      <c r="R136" s="231" t="str">
        <f>IF($P136="","",'Input LwA_XYZ'!Q15)</f>
        <v/>
      </c>
      <c r="S136" s="227" t="str">
        <f>IF($P136="","",ROUND(_xlfn.XLOOKUP(Tables!$N$122,'Input LwA_XYZ'!$AH$1:$AV$1,'Input LwA_XYZ'!AH15:AV15),0))</f>
        <v/>
      </c>
      <c r="T136" s="228" t="str">
        <f>IF($P136="","",-1*ROUND(_xlfn.XLOOKUP(Tables!$N$122,'Input LwA_XYZ'!$AY$1:$BM$1,'Input LwA_XYZ'!AY15:BM15),0))</f>
        <v/>
      </c>
      <c r="U136" s="228" t="str">
        <f>IF($P136="","",IF(_xlfn.XLOOKUP(Tables!$N$122,'Input LwA_XYZ'!$BV$1:$CJ$1,'Input LwA_XYZ'!BV15:CJ15)="","-",_xlfn.XLOOKUP(Tables!$N$122,'Input LwA_XYZ'!$BV$1:$CJ$1,'Input LwA_XYZ'!BV15:CJ15)))</f>
        <v/>
      </c>
      <c r="V136" s="228" t="str">
        <f>IF($P136="","",IF('Input LwA_XYZ'!S15="","-",'Input LwA_XYZ'!S15))</f>
        <v/>
      </c>
      <c r="W136" s="229" t="str" cm="1">
        <f t="array" ref="W136">IF($P136="","",IF(_xlfn.XLOOKUP(Tables!$N$122,_xlfn.ANCHORARRAY('Input LwA_XYZ'!$DD$1),'Input LwA_XYZ'!DD15:DR15)="","-",_xlfn.XLOOKUP(Tables!$N$122,_xlfn.ANCHORARRAY('Input LwA_XYZ'!$DD$1),'Input LwA_XYZ'!DD15:DR15)))</f>
        <v/>
      </c>
      <c r="X136" s="62" t="str">
        <f>IF($P136="","",_xlfn.XLOOKUP(Tables!$N$122,'Input LwA_XYZ'!$DU$1:$EI$1,'Input LwA_XYZ'!DU15:EI15))</f>
        <v/>
      </c>
    </row>
    <row r="137" spans="16:24" ht="16.5" x14ac:dyDescent="0.3">
      <c r="P137" s="230" t="str">
        <f>IF(OR('Input LwA_XYZ'!A16 = 0, NOT(ISBLANK(_xlfn.XLOOKUP(Tables!N$122, 'Input LwA_XYZ'!CM$1:DA$1, 'Input LwA_XYZ'!CM16:DA16)))), "", 'Input LwA_XYZ'!A16)</f>
        <v/>
      </c>
      <c r="Q137" s="225" t="str">
        <f>IF($P137="","",_xlfn.TEXTJOIN(" - ",TRUE,'Input LwA_XYZ'!B16:C16))</f>
        <v/>
      </c>
      <c r="R137" s="231" t="str">
        <f>IF($P137="","",'Input LwA_XYZ'!Q16)</f>
        <v/>
      </c>
      <c r="S137" s="227" t="str">
        <f>IF($P137="","",ROUND(_xlfn.XLOOKUP(Tables!$N$122,'Input LwA_XYZ'!$AH$1:$AV$1,'Input LwA_XYZ'!AH16:AV16),0))</f>
        <v/>
      </c>
      <c r="T137" s="228" t="str">
        <f>IF($P137="","",-1*ROUND(_xlfn.XLOOKUP(Tables!$N$122,'Input LwA_XYZ'!$AY$1:$BM$1,'Input LwA_XYZ'!AY16:BM16),0))</f>
        <v/>
      </c>
      <c r="U137" s="228" t="str">
        <f>IF($P137="","",IF(_xlfn.XLOOKUP(Tables!$N$122,'Input LwA_XYZ'!$BV$1:$CJ$1,'Input LwA_XYZ'!BV16:CJ16)="","-",_xlfn.XLOOKUP(Tables!$N$122,'Input LwA_XYZ'!$BV$1:$CJ$1,'Input LwA_XYZ'!BV16:CJ16)))</f>
        <v/>
      </c>
      <c r="V137" s="228" t="str">
        <f>IF($P137="","",IF('Input LwA_XYZ'!S16="","-",'Input LwA_XYZ'!S16))</f>
        <v/>
      </c>
      <c r="W137" s="229" t="str" cm="1">
        <f t="array" ref="W137">IF($P137="","",IF(_xlfn.XLOOKUP(Tables!$N$122,_xlfn.ANCHORARRAY('Input LwA_XYZ'!$DD$1),'Input LwA_XYZ'!DD16:DR16)="","-",_xlfn.XLOOKUP(Tables!$N$122,_xlfn.ANCHORARRAY('Input LwA_XYZ'!$DD$1),'Input LwA_XYZ'!DD16:DR16)))</f>
        <v/>
      </c>
      <c r="X137" s="62" t="str">
        <f>IF($P137="","",_xlfn.XLOOKUP(Tables!$N$122,'Input LwA_XYZ'!$DU$1:$EI$1,'Input LwA_XYZ'!DU16:EI16))</f>
        <v/>
      </c>
    </row>
    <row r="138" spans="16:24" ht="16.5" x14ac:dyDescent="0.3">
      <c r="P138" s="230" t="str">
        <f>IF(OR('Input LwA_XYZ'!A17 = 0, NOT(ISBLANK(_xlfn.XLOOKUP(Tables!N$122, 'Input LwA_XYZ'!CM$1:DA$1, 'Input LwA_XYZ'!CM17:DA17)))), "", 'Input LwA_XYZ'!A17)</f>
        <v/>
      </c>
      <c r="Q138" s="225" t="str">
        <f>IF($P138="","",_xlfn.TEXTJOIN(" - ",TRUE,'Input LwA_XYZ'!B17:C17))</f>
        <v/>
      </c>
      <c r="R138" s="231" t="str">
        <f>IF($P138="","",'Input LwA_XYZ'!Q17)</f>
        <v/>
      </c>
      <c r="S138" s="227" t="str">
        <f>IF($P138="","",ROUND(_xlfn.XLOOKUP(Tables!$N$122,'Input LwA_XYZ'!$AH$1:$AV$1,'Input LwA_XYZ'!AH17:AV17),0))</f>
        <v/>
      </c>
      <c r="T138" s="228" t="str">
        <f>IF($P138="","",-1*ROUND(_xlfn.XLOOKUP(Tables!$N$122,'Input LwA_XYZ'!$AY$1:$BM$1,'Input LwA_XYZ'!AY17:BM17),0))</f>
        <v/>
      </c>
      <c r="U138" s="228" t="str">
        <f>IF($P138="","",IF(_xlfn.XLOOKUP(Tables!$N$122,'Input LwA_XYZ'!$BV$1:$CJ$1,'Input LwA_XYZ'!BV17:CJ17)="","-",_xlfn.XLOOKUP(Tables!$N$122,'Input LwA_XYZ'!$BV$1:$CJ$1,'Input LwA_XYZ'!BV17:CJ17)))</f>
        <v/>
      </c>
      <c r="V138" s="228" t="str">
        <f>IF($P138="","",IF('Input LwA_XYZ'!S17="","-",'Input LwA_XYZ'!S17))</f>
        <v/>
      </c>
      <c r="W138" s="229" t="str" cm="1">
        <f t="array" ref="W138">IF($P138="","",IF(_xlfn.XLOOKUP(Tables!$N$122,_xlfn.ANCHORARRAY('Input LwA_XYZ'!$DD$1),'Input LwA_XYZ'!DD17:DR17)="","-",_xlfn.XLOOKUP(Tables!$N$122,_xlfn.ANCHORARRAY('Input LwA_XYZ'!$DD$1),'Input LwA_XYZ'!DD17:DR17)))</f>
        <v/>
      </c>
      <c r="X138" s="62" t="str">
        <f>IF($P138="","",_xlfn.XLOOKUP(Tables!$N$122,'Input LwA_XYZ'!$DU$1:$EI$1,'Input LwA_XYZ'!DU17:EI17))</f>
        <v/>
      </c>
    </row>
    <row r="139" spans="16:24" ht="16.5" x14ac:dyDescent="0.3">
      <c r="P139" s="230" t="str">
        <f>IF(OR('Input LwA_XYZ'!A18 = 0, NOT(ISBLANK(_xlfn.XLOOKUP(Tables!N$122, 'Input LwA_XYZ'!CM$1:DA$1, 'Input LwA_XYZ'!CM18:DA18)))), "", 'Input LwA_XYZ'!A18)</f>
        <v/>
      </c>
      <c r="Q139" s="225" t="str">
        <f>IF($P139="","",_xlfn.TEXTJOIN(" - ",TRUE,'Input LwA_XYZ'!B18:C18))</f>
        <v/>
      </c>
      <c r="R139" s="231" t="str">
        <f>IF($P139="","",'Input LwA_XYZ'!Q18)</f>
        <v/>
      </c>
      <c r="S139" s="227" t="str">
        <f>IF($P139="","",ROUND(_xlfn.XLOOKUP(Tables!$N$122,'Input LwA_XYZ'!$AH$1:$AV$1,'Input LwA_XYZ'!AH18:AV18),0))</f>
        <v/>
      </c>
      <c r="T139" s="228" t="str">
        <f>IF($P139="","",-1*ROUND(_xlfn.XLOOKUP(Tables!$N$122,'Input LwA_XYZ'!$AY$1:$BM$1,'Input LwA_XYZ'!AY18:BM18),0))</f>
        <v/>
      </c>
      <c r="U139" s="228" t="str">
        <f>IF($P139="","",IF(_xlfn.XLOOKUP(Tables!$N$122,'Input LwA_XYZ'!$BV$1:$CJ$1,'Input LwA_XYZ'!BV18:CJ18)="","-",_xlfn.XLOOKUP(Tables!$N$122,'Input LwA_XYZ'!$BV$1:$CJ$1,'Input LwA_XYZ'!BV18:CJ18)))</f>
        <v/>
      </c>
      <c r="V139" s="228" t="str">
        <f>IF($P139="","",IF('Input LwA_XYZ'!S18="","-",'Input LwA_XYZ'!S18))</f>
        <v/>
      </c>
      <c r="W139" s="229" t="str" cm="1">
        <f t="array" ref="W139">IF($P139="","",IF(_xlfn.XLOOKUP(Tables!$N$122,_xlfn.ANCHORARRAY('Input LwA_XYZ'!$DD$1),'Input LwA_XYZ'!DD18:DR18)="","-",_xlfn.XLOOKUP(Tables!$N$122,_xlfn.ANCHORARRAY('Input LwA_XYZ'!$DD$1),'Input LwA_XYZ'!DD18:DR18)))</f>
        <v/>
      </c>
      <c r="X139" s="62" t="str">
        <f>IF($P139="","",_xlfn.XLOOKUP(Tables!$N$122,'Input LwA_XYZ'!$DU$1:$EI$1,'Input LwA_XYZ'!DU18:EI18))</f>
        <v/>
      </c>
    </row>
    <row r="140" spans="16:24" ht="16.5" x14ac:dyDescent="0.3">
      <c r="P140" s="230" t="str">
        <f>IF(OR('Input LwA_XYZ'!A19 = 0, NOT(ISBLANK(_xlfn.XLOOKUP(Tables!N$122, 'Input LwA_XYZ'!CM$1:DA$1, 'Input LwA_XYZ'!CM19:DA19)))), "", 'Input LwA_XYZ'!A19)</f>
        <v/>
      </c>
      <c r="Q140" s="225" t="str">
        <f>IF($P140="","",_xlfn.TEXTJOIN(" - ",TRUE,'Input LwA_XYZ'!B19:C19))</f>
        <v/>
      </c>
      <c r="R140" s="231" t="str">
        <f>IF($P140="","",'Input LwA_XYZ'!Q19)</f>
        <v/>
      </c>
      <c r="S140" s="227" t="str">
        <f>IF($P140="","",ROUND(_xlfn.XLOOKUP(Tables!$N$122,'Input LwA_XYZ'!$AH$1:$AV$1,'Input LwA_XYZ'!AH19:AV19),0))</f>
        <v/>
      </c>
      <c r="T140" s="228" t="str">
        <f>IF($P140="","",-1*ROUND(_xlfn.XLOOKUP(Tables!$N$122,'Input LwA_XYZ'!$AY$1:$BM$1,'Input LwA_XYZ'!AY19:BM19),0))</f>
        <v/>
      </c>
      <c r="U140" s="228" t="str">
        <f>IF($P140="","",IF(_xlfn.XLOOKUP(Tables!$N$122,'Input LwA_XYZ'!$BV$1:$CJ$1,'Input LwA_XYZ'!BV19:CJ19)="","-",_xlfn.XLOOKUP(Tables!$N$122,'Input LwA_XYZ'!$BV$1:$CJ$1,'Input LwA_XYZ'!BV19:CJ19)))</f>
        <v/>
      </c>
      <c r="V140" s="228" t="str">
        <f>IF($P140="","",IF('Input LwA_XYZ'!S19="","-",'Input LwA_XYZ'!S19))</f>
        <v/>
      </c>
      <c r="W140" s="229" t="str" cm="1">
        <f t="array" ref="W140">IF($P140="","",IF(_xlfn.XLOOKUP(Tables!$N$122,_xlfn.ANCHORARRAY('Input LwA_XYZ'!$DD$1),'Input LwA_XYZ'!DD19:DR19)="","-",_xlfn.XLOOKUP(Tables!$N$122,_xlfn.ANCHORARRAY('Input LwA_XYZ'!$DD$1),'Input LwA_XYZ'!DD19:DR19)))</f>
        <v/>
      </c>
      <c r="X140" s="62" t="str">
        <f>IF($P140="","",_xlfn.XLOOKUP(Tables!$N$122,'Input LwA_XYZ'!$DU$1:$EI$1,'Input LwA_XYZ'!DU19:EI19))</f>
        <v/>
      </c>
    </row>
    <row r="141" spans="16:24" ht="16.5" x14ac:dyDescent="0.3">
      <c r="P141" s="230" t="str">
        <f>IF(OR('Input LwA_XYZ'!A20 = 0, NOT(ISBLANK(_xlfn.XLOOKUP(Tables!N$122, 'Input LwA_XYZ'!CM$1:DA$1, 'Input LwA_XYZ'!CM20:DA20)))), "", 'Input LwA_XYZ'!A20)</f>
        <v/>
      </c>
      <c r="Q141" s="225" t="str">
        <f>IF($P141="","",_xlfn.TEXTJOIN(" - ",TRUE,'Input LwA_XYZ'!B20:C20))</f>
        <v/>
      </c>
      <c r="R141" s="231" t="str">
        <f>IF($P141="","",'Input LwA_XYZ'!Q20)</f>
        <v/>
      </c>
      <c r="S141" s="227" t="str">
        <f>IF($P141="","",ROUND(_xlfn.XLOOKUP(Tables!$N$122,'Input LwA_XYZ'!$AH$1:$AV$1,'Input LwA_XYZ'!AH20:AV20),0))</f>
        <v/>
      </c>
      <c r="T141" s="228" t="str">
        <f>IF($P141="","",-1*ROUND(_xlfn.XLOOKUP(Tables!$N$122,'Input LwA_XYZ'!$AY$1:$BM$1,'Input LwA_XYZ'!AY20:BM20),0))</f>
        <v/>
      </c>
      <c r="U141" s="228" t="str">
        <f>IF($P141="","",IF(_xlfn.XLOOKUP(Tables!$N$122,'Input LwA_XYZ'!$BV$1:$CJ$1,'Input LwA_XYZ'!BV20:CJ20)="","-",_xlfn.XLOOKUP(Tables!$N$122,'Input LwA_XYZ'!$BV$1:$CJ$1,'Input LwA_XYZ'!BV20:CJ20)))</f>
        <v/>
      </c>
      <c r="V141" s="228" t="str">
        <f>IF($P141="","",IF('Input LwA_XYZ'!S20="","-",'Input LwA_XYZ'!S20))</f>
        <v/>
      </c>
      <c r="W141" s="229" t="str" cm="1">
        <f t="array" ref="W141">IF($P141="","",IF(_xlfn.XLOOKUP(Tables!$N$122,_xlfn.ANCHORARRAY('Input LwA_XYZ'!$DD$1),'Input LwA_XYZ'!DD20:DR20)="","-",_xlfn.XLOOKUP(Tables!$N$122,_xlfn.ANCHORARRAY('Input LwA_XYZ'!$DD$1),'Input LwA_XYZ'!DD20:DR20)))</f>
        <v/>
      </c>
      <c r="X141" s="62" t="str">
        <f>IF($P141="","",_xlfn.XLOOKUP(Tables!$N$122,'Input LwA_XYZ'!$DU$1:$EI$1,'Input LwA_XYZ'!DU20:EI20))</f>
        <v/>
      </c>
    </row>
    <row r="142" spans="16:24" ht="16.5" x14ac:dyDescent="0.3">
      <c r="P142" s="230" t="str">
        <f>IF(OR('Input LwA_XYZ'!A21 = 0, NOT(ISBLANK(_xlfn.XLOOKUP(Tables!N$122, 'Input LwA_XYZ'!CM$1:DA$1, 'Input LwA_XYZ'!CM21:DA21)))), "", 'Input LwA_XYZ'!A21)</f>
        <v/>
      </c>
      <c r="Q142" s="225" t="str">
        <f>IF($P142="","",_xlfn.TEXTJOIN(" - ",TRUE,'Input LwA_XYZ'!B21:C21))</f>
        <v/>
      </c>
      <c r="R142" s="231" t="str">
        <f>IF($P142="","",'Input LwA_XYZ'!Q21)</f>
        <v/>
      </c>
      <c r="S142" s="227" t="str">
        <f>IF($P142="","",ROUND(_xlfn.XLOOKUP(Tables!$N$122,'Input LwA_XYZ'!$AH$1:$AV$1,'Input LwA_XYZ'!AH21:AV21),0))</f>
        <v/>
      </c>
      <c r="T142" s="228" t="str">
        <f>IF($P142="","",-1*ROUND(_xlfn.XLOOKUP(Tables!$N$122,'Input LwA_XYZ'!$AY$1:$BM$1,'Input LwA_XYZ'!AY21:BM21),0))</f>
        <v/>
      </c>
      <c r="U142" s="228" t="str">
        <f>IF($P142="","",IF(_xlfn.XLOOKUP(Tables!$N$122,'Input LwA_XYZ'!$BV$1:$CJ$1,'Input LwA_XYZ'!BV21:CJ21)="","-",_xlfn.XLOOKUP(Tables!$N$122,'Input LwA_XYZ'!$BV$1:$CJ$1,'Input LwA_XYZ'!BV21:CJ21)))</f>
        <v/>
      </c>
      <c r="V142" s="228" t="str">
        <f>IF($P142="","",IF('Input LwA_XYZ'!S21="","-",'Input LwA_XYZ'!S21))</f>
        <v/>
      </c>
      <c r="W142" s="229" t="str" cm="1">
        <f t="array" ref="W142">IF($P142="","",IF(_xlfn.XLOOKUP(Tables!$N$122,_xlfn.ANCHORARRAY('Input LwA_XYZ'!$DD$1),'Input LwA_XYZ'!DD21:DR21)="","-",_xlfn.XLOOKUP(Tables!$N$122,_xlfn.ANCHORARRAY('Input LwA_XYZ'!$DD$1),'Input LwA_XYZ'!DD21:DR21)))</f>
        <v/>
      </c>
      <c r="X142" s="62" t="str">
        <f>IF($P142="","",_xlfn.XLOOKUP(Tables!$N$122,'Input LwA_XYZ'!$DU$1:$EI$1,'Input LwA_XYZ'!DU21:EI21))</f>
        <v/>
      </c>
    </row>
    <row r="143" spans="16:24" ht="16.5" x14ac:dyDescent="0.3">
      <c r="P143" s="230" t="str">
        <f>IF(OR('Input LwA_XYZ'!A22 = 0, NOT(ISBLANK(_xlfn.XLOOKUP(Tables!N$122, 'Input LwA_XYZ'!CM$1:DA$1, 'Input LwA_XYZ'!CM22:DA22)))), "", 'Input LwA_XYZ'!A22)</f>
        <v/>
      </c>
      <c r="Q143" s="225" t="str">
        <f>IF($P143="","",_xlfn.TEXTJOIN(" - ",TRUE,'Input LwA_XYZ'!B22:C22))</f>
        <v/>
      </c>
      <c r="R143" s="231" t="str">
        <f>IF($P143="","",'Input LwA_XYZ'!Q22)</f>
        <v/>
      </c>
      <c r="S143" s="227" t="str">
        <f>IF($P143="","",ROUND(_xlfn.XLOOKUP(Tables!$N$122,'Input LwA_XYZ'!$AH$1:$AV$1,'Input LwA_XYZ'!AH22:AV22),0))</f>
        <v/>
      </c>
      <c r="T143" s="228" t="str">
        <f>IF($P143="","",-1*ROUND(_xlfn.XLOOKUP(Tables!$N$122,'Input LwA_XYZ'!$AY$1:$BM$1,'Input LwA_XYZ'!AY22:BM22),0))</f>
        <v/>
      </c>
      <c r="U143" s="228" t="str">
        <f>IF($P143="","",IF(_xlfn.XLOOKUP(Tables!$N$122,'Input LwA_XYZ'!$BV$1:$CJ$1,'Input LwA_XYZ'!BV22:CJ22)="","-",_xlfn.XLOOKUP(Tables!$N$122,'Input LwA_XYZ'!$BV$1:$CJ$1,'Input LwA_XYZ'!BV22:CJ22)))</f>
        <v/>
      </c>
      <c r="V143" s="228" t="str">
        <f>IF($P143="","",IF('Input LwA_XYZ'!S22="","-",'Input LwA_XYZ'!S22))</f>
        <v/>
      </c>
      <c r="W143" s="229" t="str" cm="1">
        <f t="array" ref="W143">IF($P143="","",IF(_xlfn.XLOOKUP(Tables!$N$122,_xlfn.ANCHORARRAY('Input LwA_XYZ'!$DD$1),'Input LwA_XYZ'!DD22:DR22)="","-",_xlfn.XLOOKUP(Tables!$N$122,_xlfn.ANCHORARRAY('Input LwA_XYZ'!$DD$1),'Input LwA_XYZ'!DD22:DR22)))</f>
        <v/>
      </c>
      <c r="X143" s="62" t="str">
        <f>IF($P143="","",_xlfn.XLOOKUP(Tables!$N$122,'Input LwA_XYZ'!$DU$1:$EI$1,'Input LwA_XYZ'!DU22:EI22))</f>
        <v/>
      </c>
    </row>
    <row r="144" spans="16:24" ht="16.5" x14ac:dyDescent="0.3">
      <c r="P144" s="230" t="str">
        <f>IF(OR('Input LwA_XYZ'!A23 = 0, NOT(ISBLANK(_xlfn.XLOOKUP(Tables!N$122, 'Input LwA_XYZ'!CM$1:DA$1, 'Input LwA_XYZ'!CM23:DA23)))), "", 'Input LwA_XYZ'!A23)</f>
        <v/>
      </c>
      <c r="Q144" s="225" t="str">
        <f>IF($P144="","",_xlfn.TEXTJOIN(" - ",TRUE,'Input LwA_XYZ'!B23:C23))</f>
        <v/>
      </c>
      <c r="R144" s="231" t="str">
        <f>IF($P144="","",'Input LwA_XYZ'!Q23)</f>
        <v/>
      </c>
      <c r="S144" s="227" t="str">
        <f>IF($P144="","",ROUND(_xlfn.XLOOKUP(Tables!$N$122,'Input LwA_XYZ'!$AH$1:$AV$1,'Input LwA_XYZ'!AH23:AV23),0))</f>
        <v/>
      </c>
      <c r="T144" s="228" t="str">
        <f>IF($P144="","",-1*ROUND(_xlfn.XLOOKUP(Tables!$N$122,'Input LwA_XYZ'!$AY$1:$BM$1,'Input LwA_XYZ'!AY23:BM23),0))</f>
        <v/>
      </c>
      <c r="U144" s="228" t="str">
        <f>IF($P144="","",IF(_xlfn.XLOOKUP(Tables!$N$122,'Input LwA_XYZ'!$BV$1:$CJ$1,'Input LwA_XYZ'!BV23:CJ23)="","-",_xlfn.XLOOKUP(Tables!$N$122,'Input LwA_XYZ'!$BV$1:$CJ$1,'Input LwA_XYZ'!BV23:CJ23)))</f>
        <v/>
      </c>
      <c r="V144" s="228" t="str">
        <f>IF($P144="","",IF('Input LwA_XYZ'!S23="","-",'Input LwA_XYZ'!S23))</f>
        <v/>
      </c>
      <c r="W144" s="229" t="str" cm="1">
        <f t="array" ref="W144">IF($P144="","",IF(_xlfn.XLOOKUP(Tables!$N$122,_xlfn.ANCHORARRAY('Input LwA_XYZ'!$DD$1),'Input LwA_XYZ'!DD23:DR23)="","-",_xlfn.XLOOKUP(Tables!$N$122,_xlfn.ANCHORARRAY('Input LwA_XYZ'!$DD$1),'Input LwA_XYZ'!DD23:DR23)))</f>
        <v/>
      </c>
      <c r="X144" s="62" t="str">
        <f>IF($P144="","",_xlfn.XLOOKUP(Tables!$N$122,'Input LwA_XYZ'!$DU$1:$EI$1,'Input LwA_XYZ'!DU23:EI23))</f>
        <v/>
      </c>
    </row>
    <row r="145" spans="16:24" ht="16.5" x14ac:dyDescent="0.3">
      <c r="P145" s="230" t="str">
        <f>IF(OR('Input LwA_XYZ'!A24 = 0, NOT(ISBLANK(_xlfn.XLOOKUP(Tables!N$122, 'Input LwA_XYZ'!CM$1:DA$1, 'Input LwA_XYZ'!CM24:DA24)))), "", 'Input LwA_XYZ'!A24)</f>
        <v/>
      </c>
      <c r="Q145" s="225" t="str">
        <f>IF($P145="","",_xlfn.TEXTJOIN(" - ",TRUE,'Input LwA_XYZ'!B24:C24))</f>
        <v/>
      </c>
      <c r="R145" s="231" t="str">
        <f>IF($P145="","",'Input LwA_XYZ'!Q24)</f>
        <v/>
      </c>
      <c r="S145" s="227" t="str">
        <f>IF($P145="","",ROUND(_xlfn.XLOOKUP(Tables!$N$122,'Input LwA_XYZ'!$AH$1:$AV$1,'Input LwA_XYZ'!AH24:AV24),0))</f>
        <v/>
      </c>
      <c r="T145" s="228" t="str">
        <f>IF($P145="","",-1*ROUND(_xlfn.XLOOKUP(Tables!$N$122,'Input LwA_XYZ'!$AY$1:$BM$1,'Input LwA_XYZ'!AY24:BM24),0))</f>
        <v/>
      </c>
      <c r="U145" s="228" t="str">
        <f>IF($P145="","",IF(_xlfn.XLOOKUP(Tables!$N$122,'Input LwA_XYZ'!$BV$1:$CJ$1,'Input LwA_XYZ'!BV24:CJ24)="","-",_xlfn.XLOOKUP(Tables!$N$122,'Input LwA_XYZ'!$BV$1:$CJ$1,'Input LwA_XYZ'!BV24:CJ24)))</f>
        <v/>
      </c>
      <c r="V145" s="228" t="str">
        <f>IF($P145="","",IF('Input LwA_XYZ'!S24="","-",'Input LwA_XYZ'!S24))</f>
        <v/>
      </c>
      <c r="W145" s="229" t="str" cm="1">
        <f t="array" ref="W145">IF($P145="","",IF(_xlfn.XLOOKUP(Tables!$N$122,_xlfn.ANCHORARRAY('Input LwA_XYZ'!$DD$1),'Input LwA_XYZ'!DD24:DR24)="","-",_xlfn.XLOOKUP(Tables!$N$122,_xlfn.ANCHORARRAY('Input LwA_XYZ'!$DD$1),'Input LwA_XYZ'!DD24:DR24)))</f>
        <v/>
      </c>
      <c r="X145" s="62" t="str">
        <f>IF($P145="","",_xlfn.XLOOKUP(Tables!$N$122,'Input LwA_XYZ'!$DU$1:$EI$1,'Input LwA_XYZ'!DU24:EI24))</f>
        <v/>
      </c>
    </row>
    <row r="146" spans="16:24" ht="16.5" x14ac:dyDescent="0.3">
      <c r="P146" s="230" t="str">
        <f>IF(OR('Input LwA_XYZ'!A25 = 0, NOT(ISBLANK(_xlfn.XLOOKUP(Tables!N$122, 'Input LwA_XYZ'!CM$1:DA$1, 'Input LwA_XYZ'!CM25:DA25)))), "", 'Input LwA_XYZ'!A25)</f>
        <v/>
      </c>
      <c r="Q146" s="225" t="str">
        <f>IF($P146="","",_xlfn.TEXTJOIN(" - ",TRUE,'Input LwA_XYZ'!B25:C25))</f>
        <v/>
      </c>
      <c r="R146" s="231" t="str">
        <f>IF($P146="","",'Input LwA_XYZ'!Q25)</f>
        <v/>
      </c>
      <c r="S146" s="227" t="str">
        <f>IF($P146="","",ROUND(_xlfn.XLOOKUP(Tables!$N$122,'Input LwA_XYZ'!$AH$1:$AV$1,'Input LwA_XYZ'!AH25:AV25),0))</f>
        <v/>
      </c>
      <c r="T146" s="228" t="str">
        <f>IF($P146="","",-1*ROUND(_xlfn.XLOOKUP(Tables!$N$122,'Input LwA_XYZ'!$AY$1:$BM$1,'Input LwA_XYZ'!AY25:BM25),0))</f>
        <v/>
      </c>
      <c r="U146" s="228" t="str">
        <f>IF($P146="","",IF(_xlfn.XLOOKUP(Tables!$N$122,'Input LwA_XYZ'!$BV$1:$CJ$1,'Input LwA_XYZ'!BV25:CJ25)="","-",_xlfn.XLOOKUP(Tables!$N$122,'Input LwA_XYZ'!$BV$1:$CJ$1,'Input LwA_XYZ'!BV25:CJ25)))</f>
        <v/>
      </c>
      <c r="V146" s="228" t="str">
        <f>IF($P146="","",IF('Input LwA_XYZ'!S25="","-",'Input LwA_XYZ'!S25))</f>
        <v/>
      </c>
      <c r="W146" s="229" t="str" cm="1">
        <f t="array" ref="W146">IF($P146="","",IF(_xlfn.XLOOKUP(Tables!$N$122,_xlfn.ANCHORARRAY('Input LwA_XYZ'!$DD$1),'Input LwA_XYZ'!DD25:DR25)="","-",_xlfn.XLOOKUP(Tables!$N$122,_xlfn.ANCHORARRAY('Input LwA_XYZ'!$DD$1),'Input LwA_XYZ'!DD25:DR25)))</f>
        <v/>
      </c>
      <c r="X146" s="62" t="str">
        <f>IF($P146="","",_xlfn.XLOOKUP(Tables!$N$122,'Input LwA_XYZ'!$DU$1:$EI$1,'Input LwA_XYZ'!DU25:EI25))</f>
        <v/>
      </c>
    </row>
    <row r="147" spans="16:24" ht="16.5" x14ac:dyDescent="0.3">
      <c r="P147" s="230" t="str">
        <f>IF(OR('Input LwA_XYZ'!A26 = 0, NOT(ISBLANK(_xlfn.XLOOKUP(Tables!N$122, 'Input LwA_XYZ'!CM$1:DA$1, 'Input LwA_XYZ'!CM26:DA26)))), "", 'Input LwA_XYZ'!A26)</f>
        <v/>
      </c>
      <c r="Q147" s="225" t="str">
        <f>IF($P147="","",_xlfn.TEXTJOIN(" - ",TRUE,'Input LwA_XYZ'!B26:C26))</f>
        <v/>
      </c>
      <c r="R147" s="231" t="str">
        <f>IF($P147="","",'Input LwA_XYZ'!Q26)</f>
        <v/>
      </c>
      <c r="S147" s="227" t="str">
        <f>IF($P147="","",ROUND(_xlfn.XLOOKUP(Tables!$N$122,'Input LwA_XYZ'!$AH$1:$AV$1,'Input LwA_XYZ'!AH26:AV26),0))</f>
        <v/>
      </c>
      <c r="T147" s="228" t="str">
        <f>IF($P147="","",-1*ROUND(_xlfn.XLOOKUP(Tables!$N$122,'Input LwA_XYZ'!$AY$1:$BM$1,'Input LwA_XYZ'!AY26:BM26),0))</f>
        <v/>
      </c>
      <c r="U147" s="228" t="str">
        <f>IF($P147="","",IF(_xlfn.XLOOKUP(Tables!$N$122,'Input LwA_XYZ'!$BV$1:$CJ$1,'Input LwA_XYZ'!BV26:CJ26)="","-",_xlfn.XLOOKUP(Tables!$N$122,'Input LwA_XYZ'!$BV$1:$CJ$1,'Input LwA_XYZ'!BV26:CJ26)))</f>
        <v/>
      </c>
      <c r="V147" s="228" t="str">
        <f>IF($P147="","",IF('Input LwA_XYZ'!S26="","-",'Input LwA_XYZ'!S26))</f>
        <v/>
      </c>
      <c r="W147" s="229" t="str" cm="1">
        <f t="array" ref="W147">IF($P147="","",IF(_xlfn.XLOOKUP(Tables!$N$122,_xlfn.ANCHORARRAY('Input LwA_XYZ'!$DD$1),'Input LwA_XYZ'!DD26:DR26)="","-",_xlfn.XLOOKUP(Tables!$N$122,_xlfn.ANCHORARRAY('Input LwA_XYZ'!$DD$1),'Input LwA_XYZ'!DD26:DR26)))</f>
        <v/>
      </c>
      <c r="X147" s="62" t="str">
        <f>IF($P147="","",_xlfn.XLOOKUP(Tables!$N$122,'Input LwA_XYZ'!$DU$1:$EI$1,'Input LwA_XYZ'!DU26:EI26))</f>
        <v/>
      </c>
    </row>
    <row r="148" spans="16:24" ht="16.5" x14ac:dyDescent="0.3">
      <c r="P148" s="230" t="str">
        <f>IF(OR('Input LwA_XYZ'!A27 = 0, NOT(ISBLANK(_xlfn.XLOOKUP(Tables!N$122, 'Input LwA_XYZ'!CM$1:DA$1, 'Input LwA_XYZ'!CM27:DA27)))), "", 'Input LwA_XYZ'!A27)</f>
        <v/>
      </c>
      <c r="Q148" s="225" t="str">
        <f>IF($P148="","",_xlfn.TEXTJOIN(" - ",TRUE,'Input LwA_XYZ'!B27:C27))</f>
        <v/>
      </c>
      <c r="R148" s="231" t="str">
        <f>IF($P148="","",'Input LwA_XYZ'!Q27)</f>
        <v/>
      </c>
      <c r="S148" s="227" t="str">
        <f>IF($P148="","",ROUND(_xlfn.XLOOKUP(Tables!$N$122,'Input LwA_XYZ'!$AH$1:$AV$1,'Input LwA_XYZ'!AH27:AV27),0))</f>
        <v/>
      </c>
      <c r="T148" s="228" t="str">
        <f>IF($P148="","",-1*ROUND(_xlfn.XLOOKUP(Tables!$N$122,'Input LwA_XYZ'!$AY$1:$BM$1,'Input LwA_XYZ'!AY27:BM27),0))</f>
        <v/>
      </c>
      <c r="U148" s="228" t="str">
        <f>IF($P148="","",IF(_xlfn.XLOOKUP(Tables!$N$122,'Input LwA_XYZ'!$BV$1:$CJ$1,'Input LwA_XYZ'!BV27:CJ27)="","-",_xlfn.XLOOKUP(Tables!$N$122,'Input LwA_XYZ'!$BV$1:$CJ$1,'Input LwA_XYZ'!BV27:CJ27)))</f>
        <v/>
      </c>
      <c r="V148" s="228" t="str">
        <f>IF($P148="","",IF('Input LwA_XYZ'!S27="","-",'Input LwA_XYZ'!S27))</f>
        <v/>
      </c>
      <c r="W148" s="229" t="str" cm="1">
        <f t="array" ref="W148">IF($P148="","",IF(_xlfn.XLOOKUP(Tables!$N$122,_xlfn.ANCHORARRAY('Input LwA_XYZ'!$DD$1),'Input LwA_XYZ'!DD27:DR27)="","-",_xlfn.XLOOKUP(Tables!$N$122,_xlfn.ANCHORARRAY('Input LwA_XYZ'!$DD$1),'Input LwA_XYZ'!DD27:DR27)))</f>
        <v/>
      </c>
      <c r="X148" s="62" t="str">
        <f>IF($P148="","",_xlfn.XLOOKUP(Tables!$N$122,'Input LwA_XYZ'!$DU$1:$EI$1,'Input LwA_XYZ'!DU27:EI27))</f>
        <v/>
      </c>
    </row>
    <row r="149" spans="16:24" ht="16.5" x14ac:dyDescent="0.3">
      <c r="P149" s="230" t="str">
        <f>IF(OR('Input LwA_XYZ'!A28 = 0, NOT(ISBLANK(_xlfn.XLOOKUP(Tables!N$122, 'Input LwA_XYZ'!CM$1:DA$1, 'Input LwA_XYZ'!CM28:DA28)))), "", 'Input LwA_XYZ'!A28)</f>
        <v/>
      </c>
      <c r="Q149" s="225" t="str">
        <f>IF($P149="","",_xlfn.TEXTJOIN(" - ",TRUE,'Input LwA_XYZ'!B28:C28))</f>
        <v/>
      </c>
      <c r="R149" s="231" t="str">
        <f>IF($P149="","",'Input LwA_XYZ'!Q28)</f>
        <v/>
      </c>
      <c r="S149" s="227" t="str">
        <f>IF($P149="","",ROUND(_xlfn.XLOOKUP(Tables!$N$122,'Input LwA_XYZ'!$AH$1:$AV$1,'Input LwA_XYZ'!AH28:AV28),0))</f>
        <v/>
      </c>
      <c r="T149" s="228" t="str">
        <f>IF($P149="","",-1*ROUND(_xlfn.XLOOKUP(Tables!$N$122,'Input LwA_XYZ'!$AY$1:$BM$1,'Input LwA_XYZ'!AY28:BM28),0))</f>
        <v/>
      </c>
      <c r="U149" s="228" t="str">
        <f>IF($P149="","",IF(_xlfn.XLOOKUP(Tables!$N$122,'Input LwA_XYZ'!$BV$1:$CJ$1,'Input LwA_XYZ'!BV28:CJ28)="","-",_xlfn.XLOOKUP(Tables!$N$122,'Input LwA_XYZ'!$BV$1:$CJ$1,'Input LwA_XYZ'!BV28:CJ28)))</f>
        <v/>
      </c>
      <c r="V149" s="228" t="str">
        <f>IF($P149="","",IF('Input LwA_XYZ'!S28="","-",'Input LwA_XYZ'!S28))</f>
        <v/>
      </c>
      <c r="W149" s="229" t="str" cm="1">
        <f t="array" ref="W149">IF($P149="","",IF(_xlfn.XLOOKUP(Tables!$N$122,_xlfn.ANCHORARRAY('Input LwA_XYZ'!$DD$1),'Input LwA_XYZ'!DD28:DR28)="","-",_xlfn.XLOOKUP(Tables!$N$122,_xlfn.ANCHORARRAY('Input LwA_XYZ'!$DD$1),'Input LwA_XYZ'!DD28:DR28)))</f>
        <v/>
      </c>
      <c r="X149" s="62" t="str">
        <f>IF($P149="","",_xlfn.XLOOKUP(Tables!$N$122,'Input LwA_XYZ'!$DU$1:$EI$1,'Input LwA_XYZ'!DU28:EI28))</f>
        <v/>
      </c>
    </row>
    <row r="150" spans="16:24" ht="16.5" x14ac:dyDescent="0.3">
      <c r="P150" s="230" t="str">
        <f>IF(OR('Input LwA_XYZ'!A29 = 0, NOT(ISBLANK(_xlfn.XLOOKUP(Tables!N$122, 'Input LwA_XYZ'!CM$1:DA$1, 'Input LwA_XYZ'!CM29:DA29)))), "", 'Input LwA_XYZ'!A29)</f>
        <v/>
      </c>
      <c r="Q150" s="225" t="str">
        <f>IF($P150="","",_xlfn.TEXTJOIN(" - ",TRUE,'Input LwA_XYZ'!B29:C29))</f>
        <v/>
      </c>
      <c r="R150" s="231" t="str">
        <f>IF($P150="","",'Input LwA_XYZ'!Q29)</f>
        <v/>
      </c>
      <c r="S150" s="227" t="str">
        <f>IF($P150="","",ROUND(_xlfn.XLOOKUP(Tables!$N$122,'Input LwA_XYZ'!$AH$1:$AV$1,'Input LwA_XYZ'!AH29:AV29),0))</f>
        <v/>
      </c>
      <c r="T150" s="228" t="str">
        <f>IF($P150="","",-1*ROUND(_xlfn.XLOOKUP(Tables!$N$122,'Input LwA_XYZ'!$AY$1:$BM$1,'Input LwA_XYZ'!AY29:BM29),0))</f>
        <v/>
      </c>
      <c r="U150" s="228" t="str">
        <f>IF($P150="","",IF(_xlfn.XLOOKUP(Tables!$N$122,'Input LwA_XYZ'!$BV$1:$CJ$1,'Input LwA_XYZ'!BV29:CJ29)="","-",_xlfn.XLOOKUP(Tables!$N$122,'Input LwA_XYZ'!$BV$1:$CJ$1,'Input LwA_XYZ'!BV29:CJ29)))</f>
        <v/>
      </c>
      <c r="V150" s="228" t="str">
        <f>IF($P150="","",IF('Input LwA_XYZ'!S29="","-",'Input LwA_XYZ'!S29))</f>
        <v/>
      </c>
      <c r="W150" s="229" t="str" cm="1">
        <f t="array" ref="W150">IF($P150="","",IF(_xlfn.XLOOKUP(Tables!$N$122,_xlfn.ANCHORARRAY('Input LwA_XYZ'!$DD$1),'Input LwA_XYZ'!DD29:DR29)="","-",_xlfn.XLOOKUP(Tables!$N$122,_xlfn.ANCHORARRAY('Input LwA_XYZ'!$DD$1),'Input LwA_XYZ'!DD29:DR29)))</f>
        <v/>
      </c>
      <c r="X150" s="62" t="str">
        <f>IF($P150="","",_xlfn.XLOOKUP(Tables!$N$122,'Input LwA_XYZ'!$DU$1:$EI$1,'Input LwA_XYZ'!DU29:EI29))</f>
        <v/>
      </c>
    </row>
    <row r="151" spans="16:24" ht="16.5" x14ac:dyDescent="0.3">
      <c r="P151" s="230" t="str">
        <f>IF(OR('Input LwA_XYZ'!A30 = 0, NOT(ISBLANK(_xlfn.XLOOKUP(Tables!N$122, 'Input LwA_XYZ'!CM$1:DA$1, 'Input LwA_XYZ'!CM30:DA30)))), "", 'Input LwA_XYZ'!A30)</f>
        <v/>
      </c>
      <c r="Q151" s="225" t="str">
        <f>IF($P151="","",_xlfn.TEXTJOIN(" - ",TRUE,'Input LwA_XYZ'!B30:C30))</f>
        <v/>
      </c>
      <c r="R151" s="231" t="str">
        <f>IF($P151="","",'Input LwA_XYZ'!Q30)</f>
        <v/>
      </c>
      <c r="S151" s="227" t="str">
        <f>IF($P151="","",ROUND(_xlfn.XLOOKUP(Tables!$N$122,'Input LwA_XYZ'!$AH$1:$AV$1,'Input LwA_XYZ'!AH30:AV30),0))</f>
        <v/>
      </c>
      <c r="T151" s="228" t="str">
        <f>IF($P151="","",-1*ROUND(_xlfn.XLOOKUP(Tables!$N$122,'Input LwA_XYZ'!$AY$1:$BM$1,'Input LwA_XYZ'!AY30:BM30),0))</f>
        <v/>
      </c>
      <c r="U151" s="228" t="str">
        <f>IF($P151="","",IF(_xlfn.XLOOKUP(Tables!$N$122,'Input LwA_XYZ'!$BV$1:$CJ$1,'Input LwA_XYZ'!BV30:CJ30)="","-",_xlfn.XLOOKUP(Tables!$N$122,'Input LwA_XYZ'!$BV$1:$CJ$1,'Input LwA_XYZ'!BV30:CJ30)))</f>
        <v/>
      </c>
      <c r="V151" s="228" t="str">
        <f>IF($P151="","",IF('Input LwA_XYZ'!S30="","-",'Input LwA_XYZ'!S30))</f>
        <v/>
      </c>
      <c r="W151" s="229" t="str" cm="1">
        <f t="array" ref="W151">IF($P151="","",IF(_xlfn.XLOOKUP(Tables!$N$122,_xlfn.ANCHORARRAY('Input LwA_XYZ'!$DD$1),'Input LwA_XYZ'!DD30:DR30)="","-",_xlfn.XLOOKUP(Tables!$N$122,_xlfn.ANCHORARRAY('Input LwA_XYZ'!$DD$1),'Input LwA_XYZ'!DD30:DR30)))</f>
        <v/>
      </c>
      <c r="X151" s="62" t="str">
        <f>IF($P151="","",_xlfn.XLOOKUP(Tables!$N$122,'Input LwA_XYZ'!$DU$1:$EI$1,'Input LwA_XYZ'!DU30:EI30))</f>
        <v/>
      </c>
    </row>
    <row r="152" spans="16:24" ht="16.5" x14ac:dyDescent="0.3">
      <c r="P152" s="230" t="str">
        <f>IF(OR('Input LwA_XYZ'!A31 = 0, NOT(ISBLANK(_xlfn.XLOOKUP(Tables!N$122, 'Input LwA_XYZ'!CM$1:DA$1, 'Input LwA_XYZ'!CM31:DA31)))), "", 'Input LwA_XYZ'!A31)</f>
        <v/>
      </c>
      <c r="Q152" s="225" t="str">
        <f>IF($P152="","",_xlfn.TEXTJOIN(" - ",TRUE,'Input LwA_XYZ'!B31:C31))</f>
        <v/>
      </c>
      <c r="R152" s="231" t="str">
        <f>IF($P152="","",'Input LwA_XYZ'!Q31)</f>
        <v/>
      </c>
      <c r="S152" s="227" t="str">
        <f>IF($P152="","",ROUND(_xlfn.XLOOKUP(Tables!$N$122,'Input LwA_XYZ'!$AH$1:$AV$1,'Input LwA_XYZ'!AH31:AV31),0))</f>
        <v/>
      </c>
      <c r="T152" s="228" t="str">
        <f>IF($P152="","",-1*ROUND(_xlfn.XLOOKUP(Tables!$N$122,'Input LwA_XYZ'!$AY$1:$BM$1,'Input LwA_XYZ'!AY31:BM31),0))</f>
        <v/>
      </c>
      <c r="U152" s="228" t="str">
        <f>IF($P152="","",IF(_xlfn.XLOOKUP(Tables!$N$122,'Input LwA_XYZ'!$BV$1:$CJ$1,'Input LwA_XYZ'!BV31:CJ31)="","-",_xlfn.XLOOKUP(Tables!$N$122,'Input LwA_XYZ'!$BV$1:$CJ$1,'Input LwA_XYZ'!BV31:CJ31)))</f>
        <v/>
      </c>
      <c r="V152" s="228" t="str">
        <f>IF($P152="","",IF('Input LwA_XYZ'!S31="","-",'Input LwA_XYZ'!S31))</f>
        <v/>
      </c>
      <c r="W152" s="229" t="str" cm="1">
        <f t="array" ref="W152">IF($P152="","",IF(_xlfn.XLOOKUP(Tables!$N$122,_xlfn.ANCHORARRAY('Input LwA_XYZ'!$DD$1),'Input LwA_XYZ'!DD31:DR31)="","-",_xlfn.XLOOKUP(Tables!$N$122,_xlfn.ANCHORARRAY('Input LwA_XYZ'!$DD$1),'Input LwA_XYZ'!DD31:DR31)))</f>
        <v/>
      </c>
      <c r="X152" s="62" t="str">
        <f>IF($P152="","",_xlfn.XLOOKUP(Tables!$N$122,'Input LwA_XYZ'!$DU$1:$EI$1,'Input LwA_XYZ'!DU31:EI31))</f>
        <v/>
      </c>
    </row>
    <row r="153" spans="16:24" ht="16.5" x14ac:dyDescent="0.3">
      <c r="P153" s="230" t="str">
        <f>IF(OR('Input LwA_XYZ'!A32 = 0, NOT(ISBLANK(_xlfn.XLOOKUP(Tables!N$122, 'Input LwA_XYZ'!CM$1:DA$1, 'Input LwA_XYZ'!CM32:DA32)))), "", 'Input LwA_XYZ'!A32)</f>
        <v/>
      </c>
      <c r="Q153" s="225" t="str">
        <f>IF($P153="","",_xlfn.TEXTJOIN(" - ",TRUE,'Input LwA_XYZ'!B32:C32))</f>
        <v/>
      </c>
      <c r="R153" s="231" t="str">
        <f>IF($P153="","",'Input LwA_XYZ'!Q32)</f>
        <v/>
      </c>
      <c r="S153" s="227" t="str">
        <f>IF($P153="","",ROUND(_xlfn.XLOOKUP(Tables!$N$122,'Input LwA_XYZ'!$AH$1:$AV$1,'Input LwA_XYZ'!AH32:AV32),0))</f>
        <v/>
      </c>
      <c r="T153" s="228" t="str">
        <f>IF($P153="","",-1*ROUND(_xlfn.XLOOKUP(Tables!$N$122,'Input LwA_XYZ'!$AY$1:$BM$1,'Input LwA_XYZ'!AY32:BM32),0))</f>
        <v/>
      </c>
      <c r="U153" s="228" t="str">
        <f>IF($P153="","",IF(_xlfn.XLOOKUP(Tables!$N$122,'Input LwA_XYZ'!$BV$1:$CJ$1,'Input LwA_XYZ'!BV32:CJ32)="","-",_xlfn.XLOOKUP(Tables!$N$122,'Input LwA_XYZ'!$BV$1:$CJ$1,'Input LwA_XYZ'!BV32:CJ32)))</f>
        <v/>
      </c>
      <c r="V153" s="228" t="str">
        <f>IF($P153="","",IF('Input LwA_XYZ'!S32="","-",'Input LwA_XYZ'!S32))</f>
        <v/>
      </c>
      <c r="W153" s="229" t="str" cm="1">
        <f t="array" ref="W153">IF($P153="","",IF(_xlfn.XLOOKUP(Tables!$N$122,_xlfn.ANCHORARRAY('Input LwA_XYZ'!$DD$1),'Input LwA_XYZ'!DD32:DR32)="","-",_xlfn.XLOOKUP(Tables!$N$122,_xlfn.ANCHORARRAY('Input LwA_XYZ'!$DD$1),'Input LwA_XYZ'!DD32:DR32)))</f>
        <v/>
      </c>
      <c r="X153" s="62" t="str">
        <f>IF($P153="","",_xlfn.XLOOKUP(Tables!$N$122,'Input LwA_XYZ'!$DU$1:$EI$1,'Input LwA_XYZ'!DU32:EI32))</f>
        <v/>
      </c>
    </row>
    <row r="154" spans="16:24" ht="16.5" x14ac:dyDescent="0.3">
      <c r="P154" s="230" t="str">
        <f>IF(OR('Input LwA_XYZ'!A33 = 0, NOT(ISBLANK(_xlfn.XLOOKUP(Tables!N$122, 'Input LwA_XYZ'!CM$1:DA$1, 'Input LwA_XYZ'!CM33:DA33)))), "", 'Input LwA_XYZ'!A33)</f>
        <v/>
      </c>
      <c r="Q154" s="225" t="str">
        <f>IF($P154="","",_xlfn.TEXTJOIN(" - ",TRUE,'Input LwA_XYZ'!B33:C33))</f>
        <v/>
      </c>
      <c r="R154" s="231" t="str">
        <f>IF($P154="","",'Input LwA_XYZ'!Q33)</f>
        <v/>
      </c>
      <c r="S154" s="227" t="str">
        <f>IF($P154="","",ROUND(_xlfn.XLOOKUP(Tables!$N$122,'Input LwA_XYZ'!$AH$1:$AV$1,'Input LwA_XYZ'!AH33:AV33),0))</f>
        <v/>
      </c>
      <c r="T154" s="228" t="str">
        <f>IF($P154="","",-1*ROUND(_xlfn.XLOOKUP(Tables!$N$122,'Input LwA_XYZ'!$AY$1:$BM$1,'Input LwA_XYZ'!AY33:BM33),0))</f>
        <v/>
      </c>
      <c r="U154" s="228" t="str">
        <f>IF($P154="","",IF(_xlfn.XLOOKUP(Tables!$N$122,'Input LwA_XYZ'!$BV$1:$CJ$1,'Input LwA_XYZ'!BV33:CJ33)="","-",_xlfn.XLOOKUP(Tables!$N$122,'Input LwA_XYZ'!$BV$1:$CJ$1,'Input LwA_XYZ'!BV33:CJ33)))</f>
        <v/>
      </c>
      <c r="V154" s="228" t="str">
        <f>IF($P154="","",IF('Input LwA_XYZ'!S33="","-",'Input LwA_XYZ'!S33))</f>
        <v/>
      </c>
      <c r="W154" s="229" t="str" cm="1">
        <f t="array" ref="W154">IF($P154="","",IF(_xlfn.XLOOKUP(Tables!$N$122,_xlfn.ANCHORARRAY('Input LwA_XYZ'!$DD$1),'Input LwA_XYZ'!DD33:DR33)="","-",_xlfn.XLOOKUP(Tables!$N$122,_xlfn.ANCHORARRAY('Input LwA_XYZ'!$DD$1),'Input LwA_XYZ'!DD33:DR33)))</f>
        <v/>
      </c>
      <c r="X154" s="62" t="str">
        <f>IF($P154="","",_xlfn.XLOOKUP(Tables!$N$122,'Input LwA_XYZ'!$DU$1:$EI$1,'Input LwA_XYZ'!DU33:EI33))</f>
        <v/>
      </c>
    </row>
    <row r="155" spans="16:24" ht="16.5" x14ac:dyDescent="0.3">
      <c r="P155" s="230" t="str">
        <f>IF(OR('Input LwA_XYZ'!A34 = 0, NOT(ISBLANK(_xlfn.XLOOKUP(Tables!N$122, 'Input LwA_XYZ'!CM$1:DA$1, 'Input LwA_XYZ'!CM34:DA34)))), "", 'Input LwA_XYZ'!A34)</f>
        <v/>
      </c>
      <c r="Q155" s="225" t="str">
        <f>IF($P155="","",_xlfn.TEXTJOIN(" - ",TRUE,'Input LwA_XYZ'!B34:C34))</f>
        <v/>
      </c>
      <c r="R155" s="231" t="str">
        <f>IF($P155="","",'Input LwA_XYZ'!Q34)</f>
        <v/>
      </c>
      <c r="S155" s="227" t="str">
        <f>IF($P155="","",ROUND(_xlfn.XLOOKUP(Tables!$N$122,'Input LwA_XYZ'!$AH$1:$AV$1,'Input LwA_XYZ'!AH34:AV34),0))</f>
        <v/>
      </c>
      <c r="T155" s="228" t="str">
        <f>IF($P155="","",-1*ROUND(_xlfn.XLOOKUP(Tables!$N$122,'Input LwA_XYZ'!$AY$1:$BM$1,'Input LwA_XYZ'!AY34:BM34),0))</f>
        <v/>
      </c>
      <c r="U155" s="228" t="str">
        <f>IF($P155="","",IF(_xlfn.XLOOKUP(Tables!$N$122,'Input LwA_XYZ'!$BV$1:$CJ$1,'Input LwA_XYZ'!BV34:CJ34)="","-",_xlfn.XLOOKUP(Tables!$N$122,'Input LwA_XYZ'!$BV$1:$CJ$1,'Input LwA_XYZ'!BV34:CJ34)))</f>
        <v/>
      </c>
      <c r="V155" s="228" t="str">
        <f>IF($P155="","",IF('Input LwA_XYZ'!S34="","-",'Input LwA_XYZ'!S34))</f>
        <v/>
      </c>
      <c r="W155" s="229" t="str" cm="1">
        <f t="array" ref="W155">IF($P155="","",IF(_xlfn.XLOOKUP(Tables!$N$122,_xlfn.ANCHORARRAY('Input LwA_XYZ'!$DD$1),'Input LwA_XYZ'!DD34:DR34)="","-",_xlfn.XLOOKUP(Tables!$N$122,_xlfn.ANCHORARRAY('Input LwA_XYZ'!$DD$1),'Input LwA_XYZ'!DD34:DR34)))</f>
        <v/>
      </c>
      <c r="X155" s="62" t="str">
        <f>IF($P155="","",_xlfn.XLOOKUP(Tables!$N$122,'Input LwA_XYZ'!$DU$1:$EI$1,'Input LwA_XYZ'!DU34:EI34))</f>
        <v/>
      </c>
    </row>
    <row r="156" spans="16:24" ht="16.5" x14ac:dyDescent="0.3">
      <c r="P156" s="230" t="str">
        <f>IF(OR('Input LwA_XYZ'!A35 = 0, NOT(ISBLANK(_xlfn.XLOOKUP(Tables!N$122, 'Input LwA_XYZ'!CM$1:DA$1, 'Input LwA_XYZ'!CM35:DA35)))), "", 'Input LwA_XYZ'!A35)</f>
        <v/>
      </c>
      <c r="Q156" s="225" t="str">
        <f>IF($P156="","",_xlfn.TEXTJOIN(" - ",TRUE,'Input LwA_XYZ'!B35:C35))</f>
        <v/>
      </c>
      <c r="R156" s="231" t="str">
        <f>IF($P156="","",'Input LwA_XYZ'!Q35)</f>
        <v/>
      </c>
      <c r="S156" s="227" t="str">
        <f>IF($P156="","",ROUND(_xlfn.XLOOKUP(Tables!$N$122,'Input LwA_XYZ'!$AH$1:$AV$1,'Input LwA_XYZ'!AH35:AV35),0))</f>
        <v/>
      </c>
      <c r="T156" s="228" t="str">
        <f>IF($P156="","",-1*ROUND(_xlfn.XLOOKUP(Tables!$N$122,'Input LwA_XYZ'!$AY$1:$BM$1,'Input LwA_XYZ'!AY35:BM35),0))</f>
        <v/>
      </c>
      <c r="U156" s="228" t="str">
        <f>IF($P156="","",IF(_xlfn.XLOOKUP(Tables!$N$122,'Input LwA_XYZ'!$BV$1:$CJ$1,'Input LwA_XYZ'!BV35:CJ35)="","-",_xlfn.XLOOKUP(Tables!$N$122,'Input LwA_XYZ'!$BV$1:$CJ$1,'Input LwA_XYZ'!BV35:CJ35)))</f>
        <v/>
      </c>
      <c r="V156" s="228" t="str">
        <f>IF($P156="","",IF('Input LwA_XYZ'!S35="","-",'Input LwA_XYZ'!S35))</f>
        <v/>
      </c>
      <c r="W156" s="229" t="str" cm="1">
        <f t="array" ref="W156">IF($P156="","",IF(_xlfn.XLOOKUP(Tables!$N$122,_xlfn.ANCHORARRAY('Input LwA_XYZ'!$DD$1),'Input LwA_XYZ'!DD35:DR35)="","-",_xlfn.XLOOKUP(Tables!$N$122,_xlfn.ANCHORARRAY('Input LwA_XYZ'!$DD$1),'Input LwA_XYZ'!DD35:DR35)))</f>
        <v/>
      </c>
      <c r="X156" s="62" t="str">
        <f>IF($P156="","",_xlfn.XLOOKUP(Tables!$N$122,'Input LwA_XYZ'!$DU$1:$EI$1,'Input LwA_XYZ'!DU35:EI35))</f>
        <v/>
      </c>
    </row>
    <row r="157" spans="16:24" ht="16.5" x14ac:dyDescent="0.3">
      <c r="P157" s="230" t="str">
        <f>IF(OR('Input LwA_XYZ'!A36 = 0, NOT(ISBLANK(_xlfn.XLOOKUP(Tables!N$122, 'Input LwA_XYZ'!CM$1:DA$1, 'Input LwA_XYZ'!CM36:DA36)))), "", 'Input LwA_XYZ'!A36)</f>
        <v/>
      </c>
      <c r="Q157" s="225" t="str">
        <f>IF($P157="","",_xlfn.TEXTJOIN(" - ",TRUE,'Input LwA_XYZ'!B36:C36))</f>
        <v/>
      </c>
      <c r="R157" s="231" t="str">
        <f>IF($P157="","",'Input LwA_XYZ'!Q36)</f>
        <v/>
      </c>
      <c r="S157" s="227" t="str">
        <f>IF($P157="","",ROUND(_xlfn.XLOOKUP(Tables!$N$122,'Input LwA_XYZ'!$AH$1:$AV$1,'Input LwA_XYZ'!AH36:AV36),0))</f>
        <v/>
      </c>
      <c r="T157" s="228" t="str">
        <f>IF($P157="","",-1*ROUND(_xlfn.XLOOKUP(Tables!$N$122,'Input LwA_XYZ'!$AY$1:$BM$1,'Input LwA_XYZ'!AY36:BM36),0))</f>
        <v/>
      </c>
      <c r="U157" s="228" t="str">
        <f>IF($P157="","",IF(_xlfn.XLOOKUP(Tables!$N$122,'Input LwA_XYZ'!$BV$1:$CJ$1,'Input LwA_XYZ'!BV36:CJ36)="","-",_xlfn.XLOOKUP(Tables!$N$122,'Input LwA_XYZ'!$BV$1:$CJ$1,'Input LwA_XYZ'!BV36:CJ36)))</f>
        <v/>
      </c>
      <c r="V157" s="228" t="str">
        <f>IF($P157="","",IF('Input LwA_XYZ'!S36="","-",'Input LwA_XYZ'!S36))</f>
        <v/>
      </c>
      <c r="W157" s="229" t="str" cm="1">
        <f t="array" ref="W157">IF($P157="","",IF(_xlfn.XLOOKUP(Tables!$N$122,_xlfn.ANCHORARRAY('Input LwA_XYZ'!$DD$1),'Input LwA_XYZ'!DD36:DR36)="","-",_xlfn.XLOOKUP(Tables!$N$122,_xlfn.ANCHORARRAY('Input LwA_XYZ'!$DD$1),'Input LwA_XYZ'!DD36:DR36)))</f>
        <v/>
      </c>
      <c r="X157" s="62" t="str">
        <f>IF($P157="","",_xlfn.XLOOKUP(Tables!$N$122,'Input LwA_XYZ'!$DU$1:$EI$1,'Input LwA_XYZ'!DU36:EI36))</f>
        <v/>
      </c>
    </row>
    <row r="158" spans="16:24" ht="16.5" x14ac:dyDescent="0.3">
      <c r="P158" s="230" t="str">
        <f>IF(OR('Input LwA_XYZ'!A37 = 0, NOT(ISBLANK(_xlfn.XLOOKUP(Tables!N$122, 'Input LwA_XYZ'!CM$1:DA$1, 'Input LwA_XYZ'!CM37:DA37)))), "", 'Input LwA_XYZ'!A37)</f>
        <v/>
      </c>
      <c r="Q158" s="225" t="str">
        <f>IF($P158="","",_xlfn.TEXTJOIN(" - ",TRUE,'Input LwA_XYZ'!B37:C37))</f>
        <v/>
      </c>
      <c r="R158" s="231" t="str">
        <f>IF($P158="","",'Input LwA_XYZ'!Q37)</f>
        <v/>
      </c>
      <c r="S158" s="227" t="str">
        <f>IF($P158="","",ROUND(_xlfn.XLOOKUP(Tables!$N$122,'Input LwA_XYZ'!$AH$1:$AV$1,'Input LwA_XYZ'!AH37:AV37),0))</f>
        <v/>
      </c>
      <c r="T158" s="228" t="str">
        <f>IF($P158="","",-1*ROUND(_xlfn.XLOOKUP(Tables!$N$122,'Input LwA_XYZ'!$AY$1:$BM$1,'Input LwA_XYZ'!AY37:BM37),0))</f>
        <v/>
      </c>
      <c r="U158" s="228" t="str">
        <f>IF($P158="","",IF(_xlfn.XLOOKUP(Tables!$N$122,'Input LwA_XYZ'!$BV$1:$CJ$1,'Input LwA_XYZ'!BV37:CJ37)="","-",_xlfn.XLOOKUP(Tables!$N$122,'Input LwA_XYZ'!$BV$1:$CJ$1,'Input LwA_XYZ'!BV37:CJ37)))</f>
        <v/>
      </c>
      <c r="V158" s="228" t="str">
        <f>IF($P158="","",IF('Input LwA_XYZ'!S37="","-",'Input LwA_XYZ'!S37))</f>
        <v/>
      </c>
      <c r="W158" s="229" t="str" cm="1">
        <f t="array" ref="W158">IF($P158="","",IF(_xlfn.XLOOKUP(Tables!$N$122,_xlfn.ANCHORARRAY('Input LwA_XYZ'!$DD$1),'Input LwA_XYZ'!DD37:DR37)="","-",_xlfn.XLOOKUP(Tables!$N$122,_xlfn.ANCHORARRAY('Input LwA_XYZ'!$DD$1),'Input LwA_XYZ'!DD37:DR37)))</f>
        <v/>
      </c>
      <c r="X158" s="62" t="str">
        <f>IF($P158="","",_xlfn.XLOOKUP(Tables!$N$122,'Input LwA_XYZ'!$DU$1:$EI$1,'Input LwA_XYZ'!DU37:EI37))</f>
        <v/>
      </c>
    </row>
    <row r="159" spans="16:24" ht="16.5" x14ac:dyDescent="0.3">
      <c r="P159" s="230" t="str">
        <f>IF(OR('Input LwA_XYZ'!A38 = 0, NOT(ISBLANK(_xlfn.XLOOKUP(Tables!N$122, 'Input LwA_XYZ'!CM$1:DA$1, 'Input LwA_XYZ'!CM38:DA38)))), "", 'Input LwA_XYZ'!A38)</f>
        <v/>
      </c>
      <c r="Q159" s="225" t="str">
        <f>IF($P159="","",_xlfn.TEXTJOIN(" - ",TRUE,'Input LwA_XYZ'!B38:C38))</f>
        <v/>
      </c>
      <c r="R159" s="231" t="str">
        <f>IF($P159="","",'Input LwA_XYZ'!Q38)</f>
        <v/>
      </c>
      <c r="S159" s="227" t="str">
        <f>IF($P159="","",ROUND(_xlfn.XLOOKUP(Tables!$N$122,'Input LwA_XYZ'!$AH$1:$AV$1,'Input LwA_XYZ'!AH38:AV38),0))</f>
        <v/>
      </c>
      <c r="T159" s="228" t="str">
        <f>IF($P159="","",-1*ROUND(_xlfn.XLOOKUP(Tables!$N$122,'Input LwA_XYZ'!$AY$1:$BM$1,'Input LwA_XYZ'!AY38:BM38),0))</f>
        <v/>
      </c>
      <c r="U159" s="228" t="str">
        <f>IF($P159="","",IF(_xlfn.XLOOKUP(Tables!$N$122,'Input LwA_XYZ'!$BV$1:$CJ$1,'Input LwA_XYZ'!BV38:CJ38)="","-",_xlfn.XLOOKUP(Tables!$N$122,'Input LwA_XYZ'!$BV$1:$CJ$1,'Input LwA_XYZ'!BV38:CJ38)))</f>
        <v/>
      </c>
      <c r="V159" s="228" t="str">
        <f>IF($P159="","",IF('Input LwA_XYZ'!S38="","-",'Input LwA_XYZ'!S38))</f>
        <v/>
      </c>
      <c r="W159" s="229" t="str" cm="1">
        <f t="array" ref="W159">IF($P159="","",IF(_xlfn.XLOOKUP(Tables!$N$122,_xlfn.ANCHORARRAY('Input LwA_XYZ'!$DD$1),'Input LwA_XYZ'!DD38:DR38)="","-",_xlfn.XLOOKUP(Tables!$N$122,_xlfn.ANCHORARRAY('Input LwA_XYZ'!$DD$1),'Input LwA_XYZ'!DD38:DR38)))</f>
        <v/>
      </c>
      <c r="X159" s="62" t="str">
        <f>IF($P159="","",_xlfn.XLOOKUP(Tables!$N$122,'Input LwA_XYZ'!$DU$1:$EI$1,'Input LwA_XYZ'!DU38:EI38))</f>
        <v/>
      </c>
    </row>
    <row r="160" spans="16:24" ht="16.5" x14ac:dyDescent="0.3">
      <c r="P160" s="230" t="str">
        <f>IF(OR('Input LwA_XYZ'!A39 = 0, NOT(ISBLANK(_xlfn.XLOOKUP(Tables!N$122, 'Input LwA_XYZ'!CM$1:DA$1, 'Input LwA_XYZ'!CM39:DA39)))), "", 'Input LwA_XYZ'!A39)</f>
        <v/>
      </c>
      <c r="Q160" s="225" t="str">
        <f>IF($P160="","",_xlfn.TEXTJOIN(" - ",TRUE,'Input LwA_XYZ'!B39:C39))</f>
        <v/>
      </c>
      <c r="R160" s="231" t="str">
        <f>IF($P160="","",'Input LwA_XYZ'!Q39)</f>
        <v/>
      </c>
      <c r="S160" s="227" t="str">
        <f>IF($P160="","",ROUND(_xlfn.XLOOKUP(Tables!$N$122,'Input LwA_XYZ'!$AH$1:$AV$1,'Input LwA_XYZ'!AH39:AV39),0))</f>
        <v/>
      </c>
      <c r="T160" s="228" t="str">
        <f>IF($P160="","",-1*ROUND(_xlfn.XLOOKUP(Tables!$N$122,'Input LwA_XYZ'!$AY$1:$BM$1,'Input LwA_XYZ'!AY39:BM39),0))</f>
        <v/>
      </c>
      <c r="U160" s="228" t="str">
        <f>IF($P160="","",IF(_xlfn.XLOOKUP(Tables!$N$122,'Input LwA_XYZ'!$BV$1:$CJ$1,'Input LwA_XYZ'!BV39:CJ39)="","-",_xlfn.XLOOKUP(Tables!$N$122,'Input LwA_XYZ'!$BV$1:$CJ$1,'Input LwA_XYZ'!BV39:CJ39)))</f>
        <v/>
      </c>
      <c r="V160" s="228" t="str">
        <f>IF($P160="","",IF('Input LwA_XYZ'!S39="","-",'Input LwA_XYZ'!S39))</f>
        <v/>
      </c>
      <c r="W160" s="229" t="str" cm="1">
        <f t="array" ref="W160">IF($P160="","",IF(_xlfn.XLOOKUP(Tables!$N$122,_xlfn.ANCHORARRAY('Input LwA_XYZ'!$DD$1),'Input LwA_XYZ'!DD39:DR39)="","-",_xlfn.XLOOKUP(Tables!$N$122,_xlfn.ANCHORARRAY('Input LwA_XYZ'!$DD$1),'Input LwA_XYZ'!DD39:DR39)))</f>
        <v/>
      </c>
      <c r="X160" s="62" t="str">
        <f>IF($P160="","",_xlfn.XLOOKUP(Tables!$N$122,'Input LwA_XYZ'!$DU$1:$EI$1,'Input LwA_XYZ'!DU39:EI39))</f>
        <v/>
      </c>
    </row>
    <row r="161" spans="16:24" ht="16.5" x14ac:dyDescent="0.3">
      <c r="P161" s="230" t="str">
        <f>IF(OR('Input LwA_XYZ'!A40 = 0, NOT(ISBLANK(_xlfn.XLOOKUP(Tables!N$122, 'Input LwA_XYZ'!CM$1:DA$1, 'Input LwA_XYZ'!CM40:DA40)))), "", 'Input LwA_XYZ'!A40)</f>
        <v/>
      </c>
      <c r="Q161" s="225" t="str">
        <f>IF($P161="","",_xlfn.TEXTJOIN(" - ",TRUE,'Input LwA_XYZ'!B40:C40))</f>
        <v/>
      </c>
      <c r="R161" s="231" t="str">
        <f>IF($P161="","",'Input LwA_XYZ'!Q40)</f>
        <v/>
      </c>
      <c r="S161" s="227" t="str">
        <f>IF($P161="","",ROUND(_xlfn.XLOOKUP(Tables!$N$122,'Input LwA_XYZ'!$AH$1:$AV$1,'Input LwA_XYZ'!AH40:AV40),0))</f>
        <v/>
      </c>
      <c r="T161" s="228" t="str">
        <f>IF($P161="","",-1*ROUND(_xlfn.XLOOKUP(Tables!$N$122,'Input LwA_XYZ'!$AY$1:$BM$1,'Input LwA_XYZ'!AY40:BM40),0))</f>
        <v/>
      </c>
      <c r="U161" s="228" t="str">
        <f>IF($P161="","",IF(_xlfn.XLOOKUP(Tables!$N$122,'Input LwA_XYZ'!$BV$1:$CJ$1,'Input LwA_XYZ'!BV40:CJ40)="","-",_xlfn.XLOOKUP(Tables!$N$122,'Input LwA_XYZ'!$BV$1:$CJ$1,'Input LwA_XYZ'!BV40:CJ40)))</f>
        <v/>
      </c>
      <c r="V161" s="228" t="str">
        <f>IF($P161="","",IF('Input LwA_XYZ'!S40="","-",'Input LwA_XYZ'!S40))</f>
        <v/>
      </c>
      <c r="W161" s="229" t="str" cm="1">
        <f t="array" ref="W161">IF($P161="","",IF(_xlfn.XLOOKUP(Tables!$N$122,_xlfn.ANCHORARRAY('Input LwA_XYZ'!$DD$1),'Input LwA_XYZ'!DD40:DR40)="","-",_xlfn.XLOOKUP(Tables!$N$122,_xlfn.ANCHORARRAY('Input LwA_XYZ'!$DD$1),'Input LwA_XYZ'!DD40:DR40)))</f>
        <v/>
      </c>
      <c r="X161" s="62" t="str">
        <f>IF($P161="","",_xlfn.XLOOKUP(Tables!$N$122,'Input LwA_XYZ'!$DU$1:$EI$1,'Input LwA_XYZ'!DU40:EI40))</f>
        <v/>
      </c>
    </row>
    <row r="162" spans="16:24" ht="16.5" x14ac:dyDescent="0.3">
      <c r="P162" s="230" t="str">
        <f>IF(OR('Input LwA_XYZ'!A41 = 0, NOT(ISBLANK(_xlfn.XLOOKUP(Tables!N$122, 'Input LwA_XYZ'!CM$1:DA$1, 'Input LwA_XYZ'!CM41:DA41)))), "", 'Input LwA_XYZ'!A41)</f>
        <v/>
      </c>
      <c r="Q162" s="225" t="str">
        <f>IF($P162="","",_xlfn.TEXTJOIN(" - ",TRUE,'Input LwA_XYZ'!B41:C41))</f>
        <v/>
      </c>
      <c r="R162" s="231" t="str">
        <f>IF($P162="","",'Input LwA_XYZ'!Q41)</f>
        <v/>
      </c>
      <c r="S162" s="227" t="str">
        <f>IF($P162="","",ROUND(_xlfn.XLOOKUP(Tables!$N$122,'Input LwA_XYZ'!$AH$1:$AV$1,'Input LwA_XYZ'!AH41:AV41),0))</f>
        <v/>
      </c>
      <c r="T162" s="228" t="str">
        <f>IF($P162="","",-1*ROUND(_xlfn.XLOOKUP(Tables!$N$122,'Input LwA_XYZ'!$AY$1:$BM$1,'Input LwA_XYZ'!AY41:BM41),0))</f>
        <v/>
      </c>
      <c r="U162" s="228" t="str">
        <f>IF($P162="","",IF(_xlfn.XLOOKUP(Tables!$N$122,'Input LwA_XYZ'!$BV$1:$CJ$1,'Input LwA_XYZ'!BV41:CJ41)="","-",_xlfn.XLOOKUP(Tables!$N$122,'Input LwA_XYZ'!$BV$1:$CJ$1,'Input LwA_XYZ'!BV41:CJ41)))</f>
        <v/>
      </c>
      <c r="V162" s="228" t="str">
        <f>IF($P162="","",IF('Input LwA_XYZ'!S41="","-",'Input LwA_XYZ'!S41))</f>
        <v/>
      </c>
      <c r="W162" s="229" t="str" cm="1">
        <f t="array" ref="W162">IF($P162="","",IF(_xlfn.XLOOKUP(Tables!$N$122,_xlfn.ANCHORARRAY('Input LwA_XYZ'!$DD$1),'Input LwA_XYZ'!DD41:DR41)="","-",_xlfn.XLOOKUP(Tables!$N$122,_xlfn.ANCHORARRAY('Input LwA_XYZ'!$DD$1),'Input LwA_XYZ'!DD41:DR41)))</f>
        <v/>
      </c>
      <c r="X162" s="62" t="str">
        <f>IF($P162="","",_xlfn.XLOOKUP(Tables!$N$122,'Input LwA_XYZ'!$DU$1:$EI$1,'Input LwA_XYZ'!DU41:EI41))</f>
        <v/>
      </c>
    </row>
    <row r="163" spans="16:24" ht="16.5" x14ac:dyDescent="0.3">
      <c r="P163" s="230" t="str">
        <f>IF(OR('Input LwA_XYZ'!A42 = 0, NOT(ISBLANK(_xlfn.XLOOKUP(Tables!N$122, 'Input LwA_XYZ'!CM$1:DA$1, 'Input LwA_XYZ'!CM42:DA42)))), "", 'Input LwA_XYZ'!A42)</f>
        <v/>
      </c>
      <c r="Q163" s="225" t="str">
        <f>IF($P163="","",_xlfn.TEXTJOIN(" - ",TRUE,'Input LwA_XYZ'!B42:C42))</f>
        <v/>
      </c>
      <c r="R163" s="231" t="str">
        <f>IF($P163="","",'Input LwA_XYZ'!Q42)</f>
        <v/>
      </c>
      <c r="S163" s="227" t="str">
        <f>IF($P163="","",ROUND(_xlfn.XLOOKUP(Tables!$N$122,'Input LwA_XYZ'!$AH$1:$AV$1,'Input LwA_XYZ'!AH42:AV42),0))</f>
        <v/>
      </c>
      <c r="T163" s="228" t="str">
        <f>IF($P163="","",-1*ROUND(_xlfn.XLOOKUP(Tables!$N$122,'Input LwA_XYZ'!$AY$1:$BM$1,'Input LwA_XYZ'!AY42:BM42),0))</f>
        <v/>
      </c>
      <c r="U163" s="228" t="str">
        <f>IF($P163="","",IF(_xlfn.XLOOKUP(Tables!$N$122,'Input LwA_XYZ'!$BV$1:$CJ$1,'Input LwA_XYZ'!BV42:CJ42)="","-",_xlfn.XLOOKUP(Tables!$N$122,'Input LwA_XYZ'!$BV$1:$CJ$1,'Input LwA_XYZ'!BV42:CJ42)))</f>
        <v/>
      </c>
      <c r="V163" s="228" t="str">
        <f>IF($P163="","",IF('Input LwA_XYZ'!S42="","-",'Input LwA_XYZ'!S42))</f>
        <v/>
      </c>
      <c r="W163" s="229" t="str" cm="1">
        <f t="array" ref="W163">IF($P163="","",IF(_xlfn.XLOOKUP(Tables!$N$122,_xlfn.ANCHORARRAY('Input LwA_XYZ'!$DD$1),'Input LwA_XYZ'!DD42:DR42)="","-",_xlfn.XLOOKUP(Tables!$N$122,_xlfn.ANCHORARRAY('Input LwA_XYZ'!$DD$1),'Input LwA_XYZ'!DD42:DR42)))</f>
        <v/>
      </c>
      <c r="X163" s="62" t="str">
        <f>IF($P163="","",_xlfn.XLOOKUP(Tables!$N$122,'Input LwA_XYZ'!$DU$1:$EI$1,'Input LwA_XYZ'!DU42:EI42))</f>
        <v/>
      </c>
    </row>
    <row r="164" spans="16:24" ht="16.5" x14ac:dyDescent="0.3">
      <c r="P164" s="230" t="str">
        <f>IF(OR('Input LwA_XYZ'!A43 = 0, NOT(ISBLANK(_xlfn.XLOOKUP(Tables!N$122, 'Input LwA_XYZ'!CM$1:DA$1, 'Input LwA_XYZ'!CM43:DA43)))), "", 'Input LwA_XYZ'!A43)</f>
        <v/>
      </c>
      <c r="Q164" s="225" t="str">
        <f>IF($P164="","",_xlfn.TEXTJOIN(" - ",TRUE,'Input LwA_XYZ'!B43:C43))</f>
        <v/>
      </c>
      <c r="R164" s="231" t="str">
        <f>IF($P164="","",'Input LwA_XYZ'!Q43)</f>
        <v/>
      </c>
      <c r="S164" s="227" t="str">
        <f>IF($P164="","",ROUND(_xlfn.XLOOKUP(Tables!$N$122,'Input LwA_XYZ'!$AH$1:$AV$1,'Input LwA_XYZ'!AH43:AV43),0))</f>
        <v/>
      </c>
      <c r="T164" s="228" t="str">
        <f>IF($P164="","",-1*ROUND(_xlfn.XLOOKUP(Tables!$N$122,'Input LwA_XYZ'!$AY$1:$BM$1,'Input LwA_XYZ'!AY43:BM43),0))</f>
        <v/>
      </c>
      <c r="U164" s="228" t="str">
        <f>IF($P164="","",IF(_xlfn.XLOOKUP(Tables!$N$122,'Input LwA_XYZ'!$BV$1:$CJ$1,'Input LwA_XYZ'!BV43:CJ43)="","-",_xlfn.XLOOKUP(Tables!$N$122,'Input LwA_XYZ'!$BV$1:$CJ$1,'Input LwA_XYZ'!BV43:CJ43)))</f>
        <v/>
      </c>
      <c r="V164" s="228" t="str">
        <f>IF($P164="","",IF('Input LwA_XYZ'!S43="","-",'Input LwA_XYZ'!S43))</f>
        <v/>
      </c>
      <c r="W164" s="229" t="str" cm="1">
        <f t="array" ref="W164">IF($P164="","",IF(_xlfn.XLOOKUP(Tables!$N$122,_xlfn.ANCHORARRAY('Input LwA_XYZ'!$DD$1),'Input LwA_XYZ'!DD43:DR43)="","-",_xlfn.XLOOKUP(Tables!$N$122,_xlfn.ANCHORARRAY('Input LwA_XYZ'!$DD$1),'Input LwA_XYZ'!DD43:DR43)))</f>
        <v/>
      </c>
      <c r="X164" s="62" t="str">
        <f>IF($P164="","",_xlfn.XLOOKUP(Tables!$N$122,'Input LwA_XYZ'!$DU$1:$EI$1,'Input LwA_XYZ'!DU43:EI43))</f>
        <v/>
      </c>
    </row>
    <row r="165" spans="16:24" ht="16.5" x14ac:dyDescent="0.3">
      <c r="P165" s="230" t="str">
        <f>IF(OR('Input LwA_XYZ'!A44 = 0, NOT(ISBLANK(_xlfn.XLOOKUP(Tables!N$122, 'Input LwA_XYZ'!CM$1:DA$1, 'Input LwA_XYZ'!CM44:DA44)))), "", 'Input LwA_XYZ'!A44)</f>
        <v/>
      </c>
      <c r="Q165" s="225" t="str">
        <f>IF($P165="","",_xlfn.TEXTJOIN(" - ",TRUE,'Input LwA_XYZ'!B44:C44))</f>
        <v/>
      </c>
      <c r="R165" s="231" t="str">
        <f>IF($P165="","",'Input LwA_XYZ'!Q44)</f>
        <v/>
      </c>
      <c r="S165" s="227" t="str">
        <f>IF($P165="","",ROUND(_xlfn.XLOOKUP(Tables!$N$122,'Input LwA_XYZ'!$AH$1:$AV$1,'Input LwA_XYZ'!AH44:AV44),0))</f>
        <v/>
      </c>
      <c r="T165" s="228" t="str">
        <f>IF($P165="","",-1*ROUND(_xlfn.XLOOKUP(Tables!$N$122,'Input LwA_XYZ'!$AY$1:$BM$1,'Input LwA_XYZ'!AY44:BM44),0))</f>
        <v/>
      </c>
      <c r="U165" s="228" t="str">
        <f>IF($P165="","",IF(_xlfn.XLOOKUP(Tables!$N$122,'Input LwA_XYZ'!$BV$1:$CJ$1,'Input LwA_XYZ'!BV44:CJ44)="","-",_xlfn.XLOOKUP(Tables!$N$122,'Input LwA_XYZ'!$BV$1:$CJ$1,'Input LwA_XYZ'!BV44:CJ44)))</f>
        <v/>
      </c>
      <c r="V165" s="228" t="str">
        <f>IF($P165="","",IF('Input LwA_XYZ'!S44="","-",'Input LwA_XYZ'!S44))</f>
        <v/>
      </c>
      <c r="W165" s="229" t="str" cm="1">
        <f t="array" ref="W165">IF($P165="","",IF(_xlfn.XLOOKUP(Tables!$N$122,_xlfn.ANCHORARRAY('Input LwA_XYZ'!$DD$1),'Input LwA_XYZ'!DD44:DR44)="","-",_xlfn.XLOOKUP(Tables!$N$122,_xlfn.ANCHORARRAY('Input LwA_XYZ'!$DD$1),'Input LwA_XYZ'!DD44:DR44)))</f>
        <v/>
      </c>
      <c r="X165" s="62" t="str">
        <f>IF($P165="","",_xlfn.XLOOKUP(Tables!$N$122,'Input LwA_XYZ'!$DU$1:$EI$1,'Input LwA_XYZ'!DU44:EI44))</f>
        <v/>
      </c>
    </row>
    <row r="166" spans="16:24" ht="16.5" x14ac:dyDescent="0.3">
      <c r="P166" s="230" t="str">
        <f>IF(OR('Input LwA_XYZ'!A45 = 0, NOT(ISBLANK(_xlfn.XLOOKUP(Tables!N$122, 'Input LwA_XYZ'!CM$1:DA$1, 'Input LwA_XYZ'!CM45:DA45)))), "", 'Input LwA_XYZ'!A45)</f>
        <v/>
      </c>
      <c r="Q166" s="225" t="str">
        <f>IF($P166="","",_xlfn.TEXTJOIN(" - ",TRUE,'Input LwA_XYZ'!B45:C45))</f>
        <v/>
      </c>
      <c r="R166" s="231" t="str">
        <f>IF($P166="","",'Input LwA_XYZ'!Q45)</f>
        <v/>
      </c>
      <c r="S166" s="227" t="str">
        <f>IF($P166="","",ROUND(_xlfn.XLOOKUP(Tables!$N$122,'Input LwA_XYZ'!$AH$1:$AV$1,'Input LwA_XYZ'!AH45:AV45),0))</f>
        <v/>
      </c>
      <c r="T166" s="228" t="str">
        <f>IF($P166="","",-1*ROUND(_xlfn.XLOOKUP(Tables!$N$122,'Input LwA_XYZ'!$AY$1:$BM$1,'Input LwA_XYZ'!AY45:BM45),0))</f>
        <v/>
      </c>
      <c r="U166" s="228" t="str">
        <f>IF($P166="","",IF(_xlfn.XLOOKUP(Tables!$N$122,'Input LwA_XYZ'!$BV$1:$CJ$1,'Input LwA_XYZ'!BV45:CJ45)="","-",_xlfn.XLOOKUP(Tables!$N$122,'Input LwA_XYZ'!$BV$1:$CJ$1,'Input LwA_XYZ'!BV45:CJ45)))</f>
        <v/>
      </c>
      <c r="V166" s="228" t="str">
        <f>IF($P166="","",IF('Input LwA_XYZ'!S45="","-",'Input LwA_XYZ'!S45))</f>
        <v/>
      </c>
      <c r="W166" s="229" t="str" cm="1">
        <f t="array" ref="W166">IF($P166="","",IF(_xlfn.XLOOKUP(Tables!$N$122,_xlfn.ANCHORARRAY('Input LwA_XYZ'!$DD$1),'Input LwA_XYZ'!DD45:DR45)="","-",_xlfn.XLOOKUP(Tables!$N$122,_xlfn.ANCHORARRAY('Input LwA_XYZ'!$DD$1),'Input LwA_XYZ'!DD45:DR45)))</f>
        <v/>
      </c>
      <c r="X166" s="62" t="str">
        <f>IF($P166="","",_xlfn.XLOOKUP(Tables!$N$122,'Input LwA_XYZ'!$DU$1:$EI$1,'Input LwA_XYZ'!DU45:EI45))</f>
        <v/>
      </c>
    </row>
    <row r="167" spans="16:24" ht="16.5" x14ac:dyDescent="0.3">
      <c r="P167" s="230" t="str">
        <f>IF(OR('Input LwA_XYZ'!A46 = 0, NOT(ISBLANK(_xlfn.XLOOKUP(Tables!N$122, 'Input LwA_XYZ'!CM$1:DA$1, 'Input LwA_XYZ'!CM46:DA46)))), "", 'Input LwA_XYZ'!A46)</f>
        <v/>
      </c>
      <c r="Q167" s="225" t="str">
        <f>IF($P167="","",_xlfn.TEXTJOIN(" - ",TRUE,'Input LwA_XYZ'!B46:C46))</f>
        <v/>
      </c>
      <c r="R167" s="231" t="str">
        <f>IF($P167="","",'Input LwA_XYZ'!Q46)</f>
        <v/>
      </c>
      <c r="S167" s="227" t="str">
        <f>IF($P167="","",ROUND(_xlfn.XLOOKUP(Tables!$N$122,'Input LwA_XYZ'!$AH$1:$AV$1,'Input LwA_XYZ'!AH46:AV46),0))</f>
        <v/>
      </c>
      <c r="T167" s="228" t="str">
        <f>IF($P167="","",-1*ROUND(_xlfn.XLOOKUP(Tables!$N$122,'Input LwA_XYZ'!$AY$1:$BM$1,'Input LwA_XYZ'!AY46:BM46),0))</f>
        <v/>
      </c>
      <c r="U167" s="228" t="str">
        <f>IF($P167="","",IF(_xlfn.XLOOKUP(Tables!$N$122,'Input LwA_XYZ'!$BV$1:$CJ$1,'Input LwA_XYZ'!BV46:CJ46)="","-",_xlfn.XLOOKUP(Tables!$N$122,'Input LwA_XYZ'!$BV$1:$CJ$1,'Input LwA_XYZ'!BV46:CJ46)))</f>
        <v/>
      </c>
      <c r="V167" s="228" t="str">
        <f>IF($P167="","",IF('Input LwA_XYZ'!S46="","-",'Input LwA_XYZ'!S46))</f>
        <v/>
      </c>
      <c r="W167" s="229" t="str" cm="1">
        <f t="array" ref="W167">IF($P167="","",IF(_xlfn.XLOOKUP(Tables!$N$122,_xlfn.ANCHORARRAY('Input LwA_XYZ'!$DD$1),'Input LwA_XYZ'!DD46:DR46)="","-",_xlfn.XLOOKUP(Tables!$N$122,_xlfn.ANCHORARRAY('Input LwA_XYZ'!$DD$1),'Input LwA_XYZ'!DD46:DR46)))</f>
        <v/>
      </c>
      <c r="X167" s="62" t="str">
        <f>IF($P167="","",_xlfn.XLOOKUP(Tables!$N$122,'Input LwA_XYZ'!$DU$1:$EI$1,'Input LwA_XYZ'!DU46:EI46))</f>
        <v/>
      </c>
    </row>
    <row r="168" spans="16:24" ht="16.5" x14ac:dyDescent="0.3">
      <c r="P168" s="230" t="str">
        <f>IF(OR('Input LwA_XYZ'!A47 = 0, NOT(ISBLANK(_xlfn.XLOOKUP(Tables!N$122, 'Input LwA_XYZ'!CM$1:DA$1, 'Input LwA_XYZ'!CM47:DA47)))), "", 'Input LwA_XYZ'!A47)</f>
        <v/>
      </c>
      <c r="Q168" s="225" t="str">
        <f>IF($P168="","",_xlfn.TEXTJOIN(" - ",TRUE,'Input LwA_XYZ'!B47:C47))</f>
        <v/>
      </c>
      <c r="R168" s="231" t="str">
        <f>IF($P168="","",'Input LwA_XYZ'!Q47)</f>
        <v/>
      </c>
      <c r="S168" s="227" t="str">
        <f>IF($P168="","",ROUND(_xlfn.XLOOKUP(Tables!$N$122,'Input LwA_XYZ'!$AH$1:$AV$1,'Input LwA_XYZ'!AH47:AV47),0))</f>
        <v/>
      </c>
      <c r="T168" s="228" t="str">
        <f>IF($P168="","",-1*ROUND(_xlfn.XLOOKUP(Tables!$N$122,'Input LwA_XYZ'!$AY$1:$BM$1,'Input LwA_XYZ'!AY47:BM47),0))</f>
        <v/>
      </c>
      <c r="U168" s="228" t="str">
        <f>IF($P168="","",IF(_xlfn.XLOOKUP(Tables!$N$122,'Input LwA_XYZ'!$BV$1:$CJ$1,'Input LwA_XYZ'!BV47:CJ47)="","-",_xlfn.XLOOKUP(Tables!$N$122,'Input LwA_XYZ'!$BV$1:$CJ$1,'Input LwA_XYZ'!BV47:CJ47)))</f>
        <v/>
      </c>
      <c r="V168" s="228" t="str">
        <f>IF($P168="","",IF('Input LwA_XYZ'!S47="","-",'Input LwA_XYZ'!S47))</f>
        <v/>
      </c>
      <c r="W168" s="229" t="str" cm="1">
        <f t="array" ref="W168">IF($P168="","",IF(_xlfn.XLOOKUP(Tables!$N$122,_xlfn.ANCHORARRAY('Input LwA_XYZ'!$DD$1),'Input LwA_XYZ'!DD47:DR47)="","-",_xlfn.XLOOKUP(Tables!$N$122,_xlfn.ANCHORARRAY('Input LwA_XYZ'!$DD$1),'Input LwA_XYZ'!DD47:DR47)))</f>
        <v/>
      </c>
      <c r="X168" s="62" t="str">
        <f>IF($P168="","",_xlfn.XLOOKUP(Tables!$N$122,'Input LwA_XYZ'!$DU$1:$EI$1,'Input LwA_XYZ'!DU47:EI47))</f>
        <v/>
      </c>
    </row>
    <row r="169" spans="16:24" ht="16.5" x14ac:dyDescent="0.3">
      <c r="P169" s="230" t="str">
        <f>IF(OR('Input LwA_XYZ'!A48 = 0, NOT(ISBLANK(_xlfn.XLOOKUP(Tables!N$122, 'Input LwA_XYZ'!CM$1:DA$1, 'Input LwA_XYZ'!CM48:DA48)))), "", 'Input LwA_XYZ'!A48)</f>
        <v/>
      </c>
      <c r="Q169" s="225" t="str">
        <f>IF($P169="","",_xlfn.TEXTJOIN(" - ",TRUE,'Input LwA_XYZ'!B48:C48))</f>
        <v/>
      </c>
      <c r="R169" s="231" t="str">
        <f>IF($P169="","",'Input LwA_XYZ'!Q48)</f>
        <v/>
      </c>
      <c r="S169" s="227" t="str">
        <f>IF($P169="","",ROUND(_xlfn.XLOOKUP(Tables!$N$122,'Input LwA_XYZ'!$AH$1:$AV$1,'Input LwA_XYZ'!AH48:AV48),0))</f>
        <v/>
      </c>
      <c r="T169" s="228" t="str">
        <f>IF($P169="","",-1*ROUND(_xlfn.XLOOKUP(Tables!$N$122,'Input LwA_XYZ'!$AY$1:$BM$1,'Input LwA_XYZ'!AY48:BM48),0))</f>
        <v/>
      </c>
      <c r="U169" s="228" t="str">
        <f>IF($P169="","",IF(_xlfn.XLOOKUP(Tables!$N$122,'Input LwA_XYZ'!$BV$1:$CJ$1,'Input LwA_XYZ'!BV48:CJ48)="","-",_xlfn.XLOOKUP(Tables!$N$122,'Input LwA_XYZ'!$BV$1:$CJ$1,'Input LwA_XYZ'!BV48:CJ48)))</f>
        <v/>
      </c>
      <c r="V169" s="228" t="str">
        <f>IF($P169="","",IF('Input LwA_XYZ'!S48="","-",'Input LwA_XYZ'!S48))</f>
        <v/>
      </c>
      <c r="W169" s="229" t="str" cm="1">
        <f t="array" ref="W169">IF($P169="","",IF(_xlfn.XLOOKUP(Tables!$N$122,_xlfn.ANCHORARRAY('Input LwA_XYZ'!$DD$1),'Input LwA_XYZ'!DD48:DR48)="","-",_xlfn.XLOOKUP(Tables!$N$122,_xlfn.ANCHORARRAY('Input LwA_XYZ'!$DD$1),'Input LwA_XYZ'!DD48:DR48)))</f>
        <v/>
      </c>
      <c r="X169" s="62" t="str">
        <f>IF($P169="","",_xlfn.XLOOKUP(Tables!$N$122,'Input LwA_XYZ'!$DU$1:$EI$1,'Input LwA_XYZ'!DU48:EI48))</f>
        <v/>
      </c>
    </row>
    <row r="170" spans="16:24" ht="16.5" x14ac:dyDescent="0.3">
      <c r="P170" s="230" t="str">
        <f>IF(OR('Input LwA_XYZ'!A49 = 0, NOT(ISBLANK(_xlfn.XLOOKUP(Tables!N$122, 'Input LwA_XYZ'!CM$1:DA$1, 'Input LwA_XYZ'!CM49:DA49)))), "", 'Input LwA_XYZ'!A49)</f>
        <v/>
      </c>
      <c r="Q170" s="225" t="str">
        <f>IF($P170="","",_xlfn.TEXTJOIN(" - ",TRUE,'Input LwA_XYZ'!B49:C49))</f>
        <v/>
      </c>
      <c r="R170" s="231" t="str">
        <f>IF($P170="","",'Input LwA_XYZ'!Q49)</f>
        <v/>
      </c>
      <c r="S170" s="227" t="str">
        <f>IF($P170="","",ROUND(_xlfn.XLOOKUP(Tables!$N$122,'Input LwA_XYZ'!$AH$1:$AV$1,'Input LwA_XYZ'!AH49:AV49),0))</f>
        <v/>
      </c>
      <c r="T170" s="228" t="str">
        <f>IF($P170="","",-1*ROUND(_xlfn.XLOOKUP(Tables!$N$122,'Input LwA_XYZ'!$AY$1:$BM$1,'Input LwA_XYZ'!AY49:BM49),0))</f>
        <v/>
      </c>
      <c r="U170" s="228" t="str">
        <f>IF($P170="","",IF(_xlfn.XLOOKUP(Tables!$N$122,'Input LwA_XYZ'!$BV$1:$CJ$1,'Input LwA_XYZ'!BV49:CJ49)="","-",_xlfn.XLOOKUP(Tables!$N$122,'Input LwA_XYZ'!$BV$1:$CJ$1,'Input LwA_XYZ'!BV49:CJ49)))</f>
        <v/>
      </c>
      <c r="V170" s="228" t="str">
        <f>IF($P170="","",IF('Input LwA_XYZ'!S49="","-",'Input LwA_XYZ'!S49))</f>
        <v/>
      </c>
      <c r="W170" s="229" t="str" cm="1">
        <f t="array" ref="W170">IF($P170="","",IF(_xlfn.XLOOKUP(Tables!$N$122,_xlfn.ANCHORARRAY('Input LwA_XYZ'!$DD$1),'Input LwA_XYZ'!DD49:DR49)="","-",_xlfn.XLOOKUP(Tables!$N$122,_xlfn.ANCHORARRAY('Input LwA_XYZ'!$DD$1),'Input LwA_XYZ'!DD49:DR49)))</f>
        <v/>
      </c>
      <c r="X170" s="62" t="str">
        <f>IF($P170="","",_xlfn.XLOOKUP(Tables!$N$122,'Input LwA_XYZ'!$DU$1:$EI$1,'Input LwA_XYZ'!DU49:EI49))</f>
        <v/>
      </c>
    </row>
    <row r="171" spans="16:24" ht="16.5" x14ac:dyDescent="0.3">
      <c r="P171" s="230" t="str">
        <f>IF(OR('Input LwA_XYZ'!A50 = 0, NOT(ISBLANK(_xlfn.XLOOKUP(Tables!N$122, 'Input LwA_XYZ'!CM$1:DA$1, 'Input LwA_XYZ'!CM50:DA50)))), "", 'Input LwA_XYZ'!A50)</f>
        <v/>
      </c>
      <c r="Q171" s="225" t="str">
        <f>IF($P171="","",_xlfn.TEXTJOIN(" - ",TRUE,'Input LwA_XYZ'!B50:C50))</f>
        <v/>
      </c>
      <c r="R171" s="231" t="str">
        <f>IF($P171="","",'Input LwA_XYZ'!Q50)</f>
        <v/>
      </c>
      <c r="S171" s="227" t="str">
        <f>IF($P171="","",ROUND(_xlfn.XLOOKUP(Tables!$N$122,'Input LwA_XYZ'!$AH$1:$AV$1,'Input LwA_XYZ'!AH50:AV50),0))</f>
        <v/>
      </c>
      <c r="T171" s="228" t="str">
        <f>IF($P171="","",-1*ROUND(_xlfn.XLOOKUP(Tables!$N$122,'Input LwA_XYZ'!$AY$1:$BM$1,'Input LwA_XYZ'!AY50:BM50),0))</f>
        <v/>
      </c>
      <c r="U171" s="228" t="str">
        <f>IF($P171="","",IF(_xlfn.XLOOKUP(Tables!$N$122,'Input LwA_XYZ'!$BV$1:$CJ$1,'Input LwA_XYZ'!BV50:CJ50)="","-",_xlfn.XLOOKUP(Tables!$N$122,'Input LwA_XYZ'!$BV$1:$CJ$1,'Input LwA_XYZ'!BV50:CJ50)))</f>
        <v/>
      </c>
      <c r="V171" s="228" t="str">
        <f>IF($P171="","",IF('Input LwA_XYZ'!S50="","-",'Input LwA_XYZ'!S50))</f>
        <v/>
      </c>
      <c r="W171" s="229" t="str" cm="1">
        <f t="array" ref="W171">IF($P171="","",IF(_xlfn.XLOOKUP(Tables!$N$122,_xlfn.ANCHORARRAY('Input LwA_XYZ'!$DD$1),'Input LwA_XYZ'!DD50:DR50)="","-",_xlfn.XLOOKUP(Tables!$N$122,_xlfn.ANCHORARRAY('Input LwA_XYZ'!$DD$1),'Input LwA_XYZ'!DD50:DR50)))</f>
        <v/>
      </c>
      <c r="X171" s="62" t="str">
        <f>IF($P171="","",_xlfn.XLOOKUP(Tables!$N$122,'Input LwA_XYZ'!$DU$1:$EI$1,'Input LwA_XYZ'!DU50:EI50))</f>
        <v/>
      </c>
    </row>
    <row r="172" spans="16:24" ht="16.5" x14ac:dyDescent="0.3">
      <c r="P172" s="230" t="str">
        <f>IF(OR('Input LwA_XYZ'!A51 = 0, NOT(ISBLANK(_xlfn.XLOOKUP(Tables!N$122, 'Input LwA_XYZ'!CM$1:DA$1, 'Input LwA_XYZ'!CM51:DA51)))), "", 'Input LwA_XYZ'!A51)</f>
        <v/>
      </c>
      <c r="Q172" s="225" t="str">
        <f>IF($P172="","",_xlfn.TEXTJOIN(" - ",TRUE,'Input LwA_XYZ'!B51:C51))</f>
        <v/>
      </c>
      <c r="R172" s="231" t="str">
        <f>IF($P172="","",'Input LwA_XYZ'!Q51)</f>
        <v/>
      </c>
      <c r="S172" s="227" t="str">
        <f>IF($P172="","",ROUND(_xlfn.XLOOKUP(Tables!$N$122,'Input LwA_XYZ'!$AH$1:$AV$1,'Input LwA_XYZ'!AH51:AV51),0))</f>
        <v/>
      </c>
      <c r="T172" s="228" t="str">
        <f>IF($P172="","",-1*ROUND(_xlfn.XLOOKUP(Tables!$N$122,'Input LwA_XYZ'!$AY$1:$BM$1,'Input LwA_XYZ'!AY51:BM51),0))</f>
        <v/>
      </c>
      <c r="U172" s="228" t="str">
        <f>IF($P172="","",IF(_xlfn.XLOOKUP(Tables!$N$122,'Input LwA_XYZ'!$BV$1:$CJ$1,'Input LwA_XYZ'!BV51:CJ51)="","-",_xlfn.XLOOKUP(Tables!$N$122,'Input LwA_XYZ'!$BV$1:$CJ$1,'Input LwA_XYZ'!BV51:CJ51)))</f>
        <v/>
      </c>
      <c r="V172" s="228" t="str">
        <f>IF($P172="","",IF('Input LwA_XYZ'!S51="","-",'Input LwA_XYZ'!S51))</f>
        <v/>
      </c>
      <c r="W172" s="229" t="str" cm="1">
        <f t="array" ref="W172">IF($P172="","",IF(_xlfn.XLOOKUP(Tables!$N$122,_xlfn.ANCHORARRAY('Input LwA_XYZ'!$DD$1),'Input LwA_XYZ'!DD51:DR51)="","-",_xlfn.XLOOKUP(Tables!$N$122,_xlfn.ANCHORARRAY('Input LwA_XYZ'!$DD$1),'Input LwA_XYZ'!DD51:DR51)))</f>
        <v/>
      </c>
      <c r="X172" s="62" t="str">
        <f>IF($P172="","",_xlfn.XLOOKUP(Tables!$N$122,'Input LwA_XYZ'!$DU$1:$EI$1,'Input LwA_XYZ'!DU51:EI51))</f>
        <v/>
      </c>
    </row>
    <row r="173" spans="16:24" ht="16.5" x14ac:dyDescent="0.3">
      <c r="P173" s="230" t="str">
        <f>IF(OR('Input LwA_XYZ'!A52 = 0, NOT(ISBLANK(_xlfn.XLOOKUP(Tables!N$122, 'Input LwA_XYZ'!CM$1:DA$1, 'Input LwA_XYZ'!CM52:DA52)))), "", 'Input LwA_XYZ'!A52)</f>
        <v/>
      </c>
      <c r="Q173" s="225" t="str">
        <f>IF($P173="","",_xlfn.TEXTJOIN(" - ",TRUE,'Input LwA_XYZ'!B52:C52))</f>
        <v/>
      </c>
      <c r="R173" s="231" t="str">
        <f>IF($P173="","",'Input LwA_XYZ'!Q52)</f>
        <v/>
      </c>
      <c r="S173" s="227" t="str">
        <f>IF($P173="","",ROUND(_xlfn.XLOOKUP(Tables!$N$122,'Input LwA_XYZ'!$AH$1:$AV$1,'Input LwA_XYZ'!AH52:AV52),0))</f>
        <v/>
      </c>
      <c r="T173" s="228" t="str">
        <f>IF($P173="","",-1*ROUND(_xlfn.XLOOKUP(Tables!$N$122,'Input LwA_XYZ'!$AY$1:$BM$1,'Input LwA_XYZ'!AY52:BM52),0))</f>
        <v/>
      </c>
      <c r="U173" s="228" t="str">
        <f>IF($P173="","",IF(_xlfn.XLOOKUP(Tables!$N$122,'Input LwA_XYZ'!$BV$1:$CJ$1,'Input LwA_XYZ'!BV52:CJ52)="","-",_xlfn.XLOOKUP(Tables!$N$122,'Input LwA_XYZ'!$BV$1:$CJ$1,'Input LwA_XYZ'!BV52:CJ52)))</f>
        <v/>
      </c>
      <c r="V173" s="228" t="str">
        <f>IF($P173="","",IF('Input LwA_XYZ'!S52="","-",'Input LwA_XYZ'!S52))</f>
        <v/>
      </c>
      <c r="W173" s="229" t="str" cm="1">
        <f t="array" ref="W173">IF($P173="","",IF(_xlfn.XLOOKUP(Tables!$N$122,_xlfn.ANCHORARRAY('Input LwA_XYZ'!$DD$1),'Input LwA_XYZ'!DD52:DR52)="","-",_xlfn.XLOOKUP(Tables!$N$122,_xlfn.ANCHORARRAY('Input LwA_XYZ'!$DD$1),'Input LwA_XYZ'!DD52:DR52)))</f>
        <v/>
      </c>
      <c r="X173" s="62" t="str">
        <f>IF($P173="","",_xlfn.XLOOKUP(Tables!$N$122,'Input LwA_XYZ'!$DU$1:$EI$1,'Input LwA_XYZ'!DU52:EI52))</f>
        <v/>
      </c>
    </row>
    <row r="174" spans="16:24" ht="16.5" x14ac:dyDescent="0.3">
      <c r="P174" s="230" t="str">
        <f>IF(OR('Input LwA_XYZ'!A53 = 0, NOT(ISBLANK(_xlfn.XLOOKUP(Tables!N$122, 'Input LwA_XYZ'!CM$1:DA$1, 'Input LwA_XYZ'!CM53:DA53)))), "", 'Input LwA_XYZ'!A53)</f>
        <v/>
      </c>
      <c r="Q174" s="225" t="str">
        <f>IF($P174="","",_xlfn.TEXTJOIN(" - ",TRUE,'Input LwA_XYZ'!B53:C53))</f>
        <v/>
      </c>
      <c r="R174" s="231" t="str">
        <f>IF($P174="","",'Input LwA_XYZ'!Q53)</f>
        <v/>
      </c>
      <c r="S174" s="227" t="str">
        <f>IF($P174="","",ROUND(_xlfn.XLOOKUP(Tables!$N$122,'Input LwA_XYZ'!$AH$1:$AV$1,'Input LwA_XYZ'!AH53:AV53),0))</f>
        <v/>
      </c>
      <c r="T174" s="228" t="str">
        <f>IF($P174="","",-1*ROUND(_xlfn.XLOOKUP(Tables!$N$122,'Input LwA_XYZ'!$AY$1:$BM$1,'Input LwA_XYZ'!AY53:BM53),0))</f>
        <v/>
      </c>
      <c r="U174" s="228" t="str">
        <f>IF($P174="","",IF(_xlfn.XLOOKUP(Tables!$N$122,'Input LwA_XYZ'!$BV$1:$CJ$1,'Input LwA_XYZ'!BV53:CJ53)="","-",_xlfn.XLOOKUP(Tables!$N$122,'Input LwA_XYZ'!$BV$1:$CJ$1,'Input LwA_XYZ'!BV53:CJ53)))</f>
        <v/>
      </c>
      <c r="V174" s="228" t="str">
        <f>IF($P174="","",IF('Input LwA_XYZ'!S53="","-",'Input LwA_XYZ'!S53))</f>
        <v/>
      </c>
      <c r="W174" s="229" t="str" cm="1">
        <f t="array" ref="W174">IF($P174="","",IF(_xlfn.XLOOKUP(Tables!$N$122,_xlfn.ANCHORARRAY('Input LwA_XYZ'!$DD$1),'Input LwA_XYZ'!DD53:DR53)="","-",_xlfn.XLOOKUP(Tables!$N$122,_xlfn.ANCHORARRAY('Input LwA_XYZ'!$DD$1),'Input LwA_XYZ'!DD53:DR53)))</f>
        <v/>
      </c>
      <c r="X174" s="62" t="str">
        <f>IF($P174="","",_xlfn.XLOOKUP(Tables!$N$122,'Input LwA_XYZ'!$DU$1:$EI$1,'Input LwA_XYZ'!DU53:EI53))</f>
        <v/>
      </c>
    </row>
    <row r="175" spans="16:24" ht="16.5" x14ac:dyDescent="0.3">
      <c r="P175" s="230" t="str">
        <f>IF(OR('Input LwA_XYZ'!A54 = 0, NOT(ISBLANK(_xlfn.XLOOKUP(Tables!N$122, 'Input LwA_XYZ'!CM$1:DA$1, 'Input LwA_XYZ'!CM54:DA54)))), "", 'Input LwA_XYZ'!A54)</f>
        <v/>
      </c>
      <c r="Q175" s="225" t="str">
        <f>IF($P175="","",_xlfn.TEXTJOIN(" - ",TRUE,'Input LwA_XYZ'!B54:C54))</f>
        <v/>
      </c>
      <c r="R175" s="231" t="str">
        <f>IF($P175="","",'Input LwA_XYZ'!Q54)</f>
        <v/>
      </c>
      <c r="S175" s="227" t="str">
        <f>IF($P175="","",ROUND(_xlfn.XLOOKUP(Tables!$N$122,'Input LwA_XYZ'!$AH$1:$AV$1,'Input LwA_XYZ'!AH54:AV54),0))</f>
        <v/>
      </c>
      <c r="T175" s="228" t="str">
        <f>IF($P175="","",-1*ROUND(_xlfn.XLOOKUP(Tables!$N$122,'Input LwA_XYZ'!$AY$1:$BM$1,'Input LwA_XYZ'!AY54:BM54),0))</f>
        <v/>
      </c>
      <c r="U175" s="228" t="str">
        <f>IF($P175="","",IF(_xlfn.XLOOKUP(Tables!$N$122,'Input LwA_XYZ'!$BV$1:$CJ$1,'Input LwA_XYZ'!BV54:CJ54)="","-",_xlfn.XLOOKUP(Tables!$N$122,'Input LwA_XYZ'!$BV$1:$CJ$1,'Input LwA_XYZ'!BV54:CJ54)))</f>
        <v/>
      </c>
      <c r="V175" s="228" t="str">
        <f>IF($P175="","",IF('Input LwA_XYZ'!S54="","-",'Input LwA_XYZ'!S54))</f>
        <v/>
      </c>
      <c r="W175" s="229" t="str" cm="1">
        <f t="array" ref="W175">IF($P175="","",IF(_xlfn.XLOOKUP(Tables!$N$122,_xlfn.ANCHORARRAY('Input LwA_XYZ'!$DD$1),'Input LwA_XYZ'!DD54:DR54)="","-",_xlfn.XLOOKUP(Tables!$N$122,_xlfn.ANCHORARRAY('Input LwA_XYZ'!$DD$1),'Input LwA_XYZ'!DD54:DR54)))</f>
        <v/>
      </c>
      <c r="X175" s="62" t="str">
        <f>IF($P175="","",_xlfn.XLOOKUP(Tables!$N$122,'Input LwA_XYZ'!$DU$1:$EI$1,'Input LwA_XYZ'!DU54:EI54))</f>
        <v/>
      </c>
    </row>
    <row r="176" spans="16:24" ht="16.5" x14ac:dyDescent="0.3">
      <c r="P176" s="230" t="str">
        <f>IF(OR('Input LwA_XYZ'!A55 = 0, NOT(ISBLANK(_xlfn.XLOOKUP(Tables!N$122, 'Input LwA_XYZ'!CM$1:DA$1, 'Input LwA_XYZ'!CM55:DA55)))), "", 'Input LwA_XYZ'!A55)</f>
        <v/>
      </c>
      <c r="Q176" s="225" t="str">
        <f>IF($P176="","",_xlfn.TEXTJOIN(" - ",TRUE,'Input LwA_XYZ'!B55:C55))</f>
        <v/>
      </c>
      <c r="R176" s="231" t="str">
        <f>IF($P176="","",'Input LwA_XYZ'!Q55)</f>
        <v/>
      </c>
      <c r="S176" s="227" t="str">
        <f>IF($P176="","",ROUND(_xlfn.XLOOKUP(Tables!$N$122,'Input LwA_XYZ'!$AH$1:$AV$1,'Input LwA_XYZ'!AH55:AV55),0))</f>
        <v/>
      </c>
      <c r="T176" s="228" t="str">
        <f>IF($P176="","",-1*ROUND(_xlfn.XLOOKUP(Tables!$N$122,'Input LwA_XYZ'!$AY$1:$BM$1,'Input LwA_XYZ'!AY55:BM55),0))</f>
        <v/>
      </c>
      <c r="U176" s="228" t="str">
        <f>IF($P176="","",IF(_xlfn.XLOOKUP(Tables!$N$122,'Input LwA_XYZ'!$BV$1:$CJ$1,'Input LwA_XYZ'!BV55:CJ55)="","-",_xlfn.XLOOKUP(Tables!$N$122,'Input LwA_XYZ'!$BV$1:$CJ$1,'Input LwA_XYZ'!BV55:CJ55)))</f>
        <v/>
      </c>
      <c r="V176" s="228" t="str">
        <f>IF($P176="","",IF('Input LwA_XYZ'!S55="","-",'Input LwA_XYZ'!S55))</f>
        <v/>
      </c>
      <c r="W176" s="229" t="str" cm="1">
        <f t="array" ref="W176">IF($P176="","",IF(_xlfn.XLOOKUP(Tables!$N$122,_xlfn.ANCHORARRAY('Input LwA_XYZ'!$DD$1),'Input LwA_XYZ'!DD55:DR55)="","-",_xlfn.XLOOKUP(Tables!$N$122,_xlfn.ANCHORARRAY('Input LwA_XYZ'!$DD$1),'Input LwA_XYZ'!DD55:DR55)))</f>
        <v/>
      </c>
      <c r="X176" s="62" t="str">
        <f>IF($P176="","",_xlfn.XLOOKUP(Tables!$N$122,'Input LwA_XYZ'!$DU$1:$EI$1,'Input LwA_XYZ'!DU55:EI55))</f>
        <v/>
      </c>
    </row>
    <row r="177" spans="14:24" ht="16.5" x14ac:dyDescent="0.3">
      <c r="P177" s="230" t="str">
        <f>IF(OR('Input LwA_XYZ'!A56 = 0, NOT(ISBLANK(_xlfn.XLOOKUP(Tables!N$122, 'Input LwA_XYZ'!CM$1:DA$1, 'Input LwA_XYZ'!CM56:DA56)))), "", 'Input LwA_XYZ'!A56)</f>
        <v/>
      </c>
      <c r="Q177" s="225" t="str">
        <f>IF($P177="","",_xlfn.TEXTJOIN(" - ",TRUE,'Input LwA_XYZ'!B56:C56))</f>
        <v/>
      </c>
      <c r="R177" s="231" t="str">
        <f>IF($P177="","",'Input LwA_XYZ'!Q56)</f>
        <v/>
      </c>
      <c r="S177" s="227" t="str">
        <f>IF($P177="","",ROUND(_xlfn.XLOOKUP(Tables!$N$122,'Input LwA_XYZ'!$AH$1:$AV$1,'Input LwA_XYZ'!AH56:AV56),0))</f>
        <v/>
      </c>
      <c r="T177" s="228" t="str">
        <f>IF($P177="","",-1*ROUND(_xlfn.XLOOKUP(Tables!$N$122,'Input LwA_XYZ'!$AY$1:$BM$1,'Input LwA_XYZ'!AY56:BM56),0))</f>
        <v/>
      </c>
      <c r="U177" s="228" t="str">
        <f>IF($P177="","",IF(_xlfn.XLOOKUP(Tables!$N$122,'Input LwA_XYZ'!$BV$1:$CJ$1,'Input LwA_XYZ'!BV56:CJ56)="","-",_xlfn.XLOOKUP(Tables!$N$122,'Input LwA_XYZ'!$BV$1:$CJ$1,'Input LwA_XYZ'!BV56:CJ56)))</f>
        <v/>
      </c>
      <c r="V177" s="228" t="str">
        <f>IF($P177="","",IF('Input LwA_XYZ'!S56="","-",'Input LwA_XYZ'!S56))</f>
        <v/>
      </c>
      <c r="W177" s="229" t="str" cm="1">
        <f t="array" ref="W177">IF($P177="","",IF(_xlfn.XLOOKUP(Tables!$N$122,_xlfn.ANCHORARRAY('Input LwA_XYZ'!$DD$1),'Input LwA_XYZ'!DD56:DR56)="","-",_xlfn.XLOOKUP(Tables!$N$122,_xlfn.ANCHORARRAY('Input LwA_XYZ'!$DD$1),'Input LwA_XYZ'!DD56:DR56)))</f>
        <v/>
      </c>
      <c r="X177" s="62" t="str">
        <f>IF($P177="","",_xlfn.XLOOKUP(Tables!$N$122,'Input LwA_XYZ'!$DU$1:$EI$1,'Input LwA_XYZ'!DU56:EI56))</f>
        <v/>
      </c>
    </row>
    <row r="178" spans="14:24" ht="16.5" x14ac:dyDescent="0.3">
      <c r="P178" s="230" t="str">
        <f>IF(OR('Input LwA_XYZ'!A57 = 0, NOT(ISBLANK(_xlfn.XLOOKUP(Tables!N$122, 'Input LwA_XYZ'!CM$1:DA$1, 'Input LwA_XYZ'!CM57:DA57)))), "", 'Input LwA_XYZ'!A57)</f>
        <v/>
      </c>
      <c r="Q178" s="225" t="str">
        <f>IF($P178="","",_xlfn.TEXTJOIN(" - ",TRUE,'Input LwA_XYZ'!B57:C57))</f>
        <v/>
      </c>
      <c r="R178" s="231" t="str">
        <f>IF($P178="","",'Input LwA_XYZ'!Q57)</f>
        <v/>
      </c>
      <c r="S178" s="227" t="str">
        <f>IF($P178="","",ROUND(_xlfn.XLOOKUP(Tables!$N$122,'Input LwA_XYZ'!$AH$1:$AV$1,'Input LwA_XYZ'!AH57:AV57),0))</f>
        <v/>
      </c>
      <c r="T178" s="228" t="str">
        <f>IF($P178="","",-1*ROUND(_xlfn.XLOOKUP(Tables!$N$122,'Input LwA_XYZ'!$AY$1:$BM$1,'Input LwA_XYZ'!AY57:BM57),0))</f>
        <v/>
      </c>
      <c r="U178" s="228" t="str">
        <f>IF($P178="","",IF(_xlfn.XLOOKUP(Tables!$N$122,'Input LwA_XYZ'!$BV$1:$CJ$1,'Input LwA_XYZ'!BV57:CJ57)="","-",_xlfn.XLOOKUP(Tables!$N$122,'Input LwA_XYZ'!$BV$1:$CJ$1,'Input LwA_XYZ'!BV57:CJ57)))</f>
        <v/>
      </c>
      <c r="V178" s="228" t="str">
        <f>IF($P178="","",IF('Input LwA_XYZ'!S57="","-",'Input LwA_XYZ'!S57))</f>
        <v/>
      </c>
      <c r="W178" s="229" t="str" cm="1">
        <f t="array" ref="W178">IF($P178="","",IF(_xlfn.XLOOKUP(Tables!$N$122,_xlfn.ANCHORARRAY('Input LwA_XYZ'!$DD$1),'Input LwA_XYZ'!DD57:DR57)="","-",_xlfn.XLOOKUP(Tables!$N$122,_xlfn.ANCHORARRAY('Input LwA_XYZ'!$DD$1),'Input LwA_XYZ'!DD57:DR57)))</f>
        <v/>
      </c>
      <c r="X178" s="62" t="str">
        <f>IF($P178="","",_xlfn.XLOOKUP(Tables!$N$122,'Input LwA_XYZ'!$DU$1:$EI$1,'Input LwA_XYZ'!DU57:EI57))</f>
        <v/>
      </c>
    </row>
    <row r="179" spans="14:24" ht="17.25" thickBot="1" x14ac:dyDescent="0.35">
      <c r="P179" s="232" t="str">
        <f>IF(OR('Input LwA_XYZ'!A58 = 0, NOT(ISBLANK(_xlfn.XLOOKUP(Tables!N$122, 'Input LwA_XYZ'!CM$1:DA$1, 'Input LwA_XYZ'!CM58:DA58)))), "", 'Input LwA_XYZ'!A58)</f>
        <v/>
      </c>
      <c r="Q179" s="233" t="str">
        <f>IF($P179="","",_xlfn.TEXTJOIN(" - ",TRUE,'Input LwA_XYZ'!B58:C58))</f>
        <v/>
      </c>
      <c r="R179" s="234" t="str">
        <f>IF($P179="","",'Input LwA_XYZ'!Q58)</f>
        <v/>
      </c>
      <c r="S179" s="235" t="str">
        <f>IF($P179="","",ROUND(_xlfn.XLOOKUP(Tables!$N$122,'Input LwA_XYZ'!$AH$1:$AV$1,'Input LwA_XYZ'!AH58:AV58),0))</f>
        <v/>
      </c>
      <c r="T179" s="236" t="str">
        <f>IF($P179="","",-1*ROUND(_xlfn.XLOOKUP(Tables!$N$122,'Input LwA_XYZ'!$AY$1:$BM$1,'Input LwA_XYZ'!AY58:BM58),0))</f>
        <v/>
      </c>
      <c r="U179" s="228" t="str">
        <f>IF($P179="","",IF(_xlfn.XLOOKUP(Tables!$N$122,'Input LwA_XYZ'!$BV$1:$CJ$1,'Input LwA_XYZ'!BV58:CJ58)="","-",_xlfn.XLOOKUP(Tables!$N$122,'Input LwA_XYZ'!$BV$1:$CJ$1,'Input LwA_XYZ'!BV58:CJ58)))</f>
        <v/>
      </c>
      <c r="V179" s="228" t="str">
        <f>IF($P179="","",IF('Input LwA_XYZ'!S58="","-",'Input LwA_XYZ'!S58))</f>
        <v/>
      </c>
      <c r="W179" s="229" t="str" cm="1">
        <f t="array" ref="W179">IF($P179="","",IF(_xlfn.XLOOKUP(Tables!$N$122,_xlfn.ANCHORARRAY('Input LwA_XYZ'!$DD$1),'Input LwA_XYZ'!DD58:DR58)="","-",_xlfn.XLOOKUP(Tables!$N$122,_xlfn.ANCHORARRAY('Input LwA_XYZ'!$DD$1),'Input LwA_XYZ'!DD58:DR58)))</f>
        <v/>
      </c>
      <c r="X179" s="63" t="str">
        <f>IF($P179="","",_xlfn.XLOOKUP(Tables!$N$122,'Input LwA_XYZ'!$DU$1:$EI$1,'Input LwA_XYZ'!DU58:EI58))</f>
        <v/>
      </c>
    </row>
    <row r="180" spans="14:24" ht="17.25" thickBot="1" x14ac:dyDescent="0.35">
      <c r="P180" s="237" t="s">
        <v>215</v>
      </c>
      <c r="Q180" s="238"/>
      <c r="R180" s="239"/>
      <c r="S180" s="238"/>
      <c r="T180" s="240"/>
      <c r="U180" s="240"/>
      <c r="V180" s="240"/>
      <c r="W180" s="241"/>
      <c r="X180" s="219">
        <f>_xlfn.XLOOKUP(Tables!$N$122,'Input LwA_XYZ'!$Z$2:$Z$16,'Input LwA_XYZ'!$AE$2:$AE$16)</f>
        <v>24</v>
      </c>
    </row>
    <row r="181" spans="14:24" ht="15.75" thickBot="1" x14ac:dyDescent="0.3"/>
    <row r="182" spans="14:24" ht="33.75" thickBot="1" x14ac:dyDescent="0.35">
      <c r="N182" s="66" t="s">
        <v>106</v>
      </c>
      <c r="P182" s="242" t="s">
        <v>79</v>
      </c>
      <c r="Q182" s="243" t="s">
        <v>80</v>
      </c>
      <c r="R182" s="244" t="s">
        <v>81</v>
      </c>
      <c r="S182" s="244" t="s">
        <v>19</v>
      </c>
      <c r="T182" s="244" t="s">
        <v>216</v>
      </c>
      <c r="U182" s="246" t="s">
        <v>82</v>
      </c>
      <c r="V182" s="247" t="s">
        <v>83</v>
      </c>
      <c r="W182" s="248" t="s">
        <v>236</v>
      </c>
      <c r="X182" s="245" t="s">
        <v>78</v>
      </c>
    </row>
    <row r="183" spans="14:24" ht="17.25" thickBot="1" x14ac:dyDescent="0.35">
      <c r="N183" s="66">
        <f>_xlfn.XLOOKUP(N182, 'Input LwA_XYZ'!$Z$2:$Z$16, 'Input LwA_XYZ'!$AF$2:$AF$16, "")</f>
        <v>0</v>
      </c>
      <c r="P183" s="224" t="str">
        <f>IF(OR('Input LwA_XYZ'!A2 = 0, NOT(ISBLANK(_xlfn.XLOOKUP(Tables!N$182, 'Input LwA_XYZ'!CM$1:DA$1, 'Input LwA_XYZ'!CM2:DA2)))), "", 'Input LwA_XYZ'!A2)</f>
        <v/>
      </c>
      <c r="Q183" s="225" t="str">
        <f>IF($P183="","",_xlfn.TEXTJOIN(" - ",TRUE,'Input LwA_XYZ'!B2:C2))</f>
        <v/>
      </c>
      <c r="R183" s="226" t="str">
        <f>IF($P183="","",'Input LwA_XYZ'!Q2)</f>
        <v/>
      </c>
      <c r="S183" s="227" t="str">
        <f>IF($P183="","",ROUND(_xlfn.XLOOKUP(Tables!$N$182,'Input LwA_XYZ'!$AH$1:$AV$1,'Input LwA_XYZ'!AH2:AV2),0))</f>
        <v/>
      </c>
      <c r="T183" s="228" t="str">
        <f>IF($P183="","",-1*ROUND(_xlfn.XLOOKUP(Tables!$N$182,'Input LwA_XYZ'!$AY$1:$BM$1,'Input LwA_XYZ'!AY2:BM2),0))</f>
        <v/>
      </c>
      <c r="U183" s="228" t="str">
        <f>IF($P183="","",IF(_xlfn.XLOOKUP(Tables!$N$182,'Input LwA_XYZ'!$BV$1:$CJ$1,'Input LwA_XYZ'!BV2:CJ2)="","-",_xlfn.XLOOKUP(Tables!$N$182,'Input LwA_XYZ'!$BV$1:$CJ$1,'Input LwA_XYZ'!BV2:CJ2)))</f>
        <v/>
      </c>
      <c r="V183" s="228" t="str">
        <f>IF($P183="","",IF('Input LwA_XYZ'!S2="","-",'Input LwA_XYZ'!S2))</f>
        <v/>
      </c>
      <c r="W183" s="229" t="str" cm="1">
        <f t="array" ref="W183">IF($P183="","",IF(_xlfn.XLOOKUP(Tables!$N$182,_xlfn.ANCHORARRAY('Input LwA_XYZ'!$DD$1),'Input LwA_XYZ'!DD2:DR2)="","-",_xlfn.XLOOKUP(Tables!$N$182,_xlfn.ANCHORARRAY('Input LwA_XYZ'!$DD$1),'Input LwA_XYZ'!DD2:DR2)))</f>
        <v/>
      </c>
      <c r="X183" s="88" t="str">
        <f>IF($P183="","",_xlfn.XLOOKUP(Tables!$N$182,'Input LwA_XYZ'!$DU$1:$EI$1,'Input LwA_XYZ'!DU2:EI2))</f>
        <v/>
      </c>
    </row>
    <row r="184" spans="14:24" ht="16.5" x14ac:dyDescent="0.3">
      <c r="P184" s="230" t="str">
        <f>IF(OR('Input LwA_XYZ'!A3 = 0, NOT(ISBLANK(_xlfn.XLOOKUP(Tables!N$182, 'Input LwA_XYZ'!CM$1:DA$1, 'Input LwA_XYZ'!CM3:DA3)))), "", 'Input LwA_XYZ'!A3)</f>
        <v/>
      </c>
      <c r="Q184" s="225" t="str">
        <f>IF($P184="","",_xlfn.TEXTJOIN(" - ",TRUE,'Input LwA_XYZ'!B3:C3))</f>
        <v/>
      </c>
      <c r="R184" s="231" t="str">
        <f>IF($P184="","",'Input LwA_XYZ'!Q3)</f>
        <v/>
      </c>
      <c r="S184" s="227" t="str">
        <f>IF($P184="","",ROUND(_xlfn.XLOOKUP(Tables!$N$182,'Input LwA_XYZ'!$AH$1:$AV$1,'Input LwA_XYZ'!AH3:AV3),0))</f>
        <v/>
      </c>
      <c r="T184" s="228" t="str">
        <f>IF($P184="","",-1*ROUND(_xlfn.XLOOKUP(Tables!$N$182,'Input LwA_XYZ'!$AY$1:$BM$1,'Input LwA_XYZ'!AY3:BM3),0))</f>
        <v/>
      </c>
      <c r="U184" s="228" t="str">
        <f>IF($P184="","",IF(_xlfn.XLOOKUP(Tables!$N$182,'Input LwA_XYZ'!$BV$1:$CJ$1,'Input LwA_XYZ'!BV3:CJ3)="","-",_xlfn.XLOOKUP(Tables!$N$182,'Input LwA_XYZ'!$BV$1:$CJ$1,'Input LwA_XYZ'!BV3:CJ3)))</f>
        <v/>
      </c>
      <c r="V184" s="228" t="str">
        <f>IF($P184="","",IF('Input LwA_XYZ'!S3="","-",'Input LwA_XYZ'!S3))</f>
        <v/>
      </c>
      <c r="W184" s="229" t="str" cm="1">
        <f t="array" ref="W184">IF($P184="","",IF(_xlfn.XLOOKUP(Tables!$N$182,_xlfn.ANCHORARRAY('Input LwA_XYZ'!$DD$1),'Input LwA_XYZ'!DD3:DR3)="","-",_xlfn.XLOOKUP(Tables!$N$182,_xlfn.ANCHORARRAY('Input LwA_XYZ'!$DD$1),'Input LwA_XYZ'!DD3:DR3)))</f>
        <v/>
      </c>
      <c r="X184" s="62" t="str">
        <f>IF($P184="","",_xlfn.XLOOKUP(Tables!$N$182,'Input LwA_XYZ'!$DU$1:$EI$1,'Input LwA_XYZ'!DU3:EI3))</f>
        <v/>
      </c>
    </row>
    <row r="185" spans="14:24" ht="16.5" x14ac:dyDescent="0.3">
      <c r="P185" s="230" t="str">
        <f>IF(OR('Input LwA_XYZ'!A4 = 0, NOT(ISBLANK(_xlfn.XLOOKUP(Tables!N$182, 'Input LwA_XYZ'!CM$1:DA$1, 'Input LwA_XYZ'!CM4:DA4)))), "", 'Input LwA_XYZ'!A4)</f>
        <v/>
      </c>
      <c r="Q185" s="225" t="str">
        <f>IF($P185="","",_xlfn.TEXTJOIN(" - ",TRUE,'Input LwA_XYZ'!B4:C4))</f>
        <v/>
      </c>
      <c r="R185" s="231" t="str">
        <f>IF($P185="","",'Input LwA_XYZ'!Q4)</f>
        <v/>
      </c>
      <c r="S185" s="227" t="str">
        <f>IF($P185="","",ROUND(_xlfn.XLOOKUP(Tables!$N$182,'Input LwA_XYZ'!$AH$1:$AV$1,'Input LwA_XYZ'!AH4:AV4),0))</f>
        <v/>
      </c>
      <c r="T185" s="228" t="str">
        <f>IF($P185="","",-1*ROUND(_xlfn.XLOOKUP(Tables!$N$182,'Input LwA_XYZ'!$AY$1:$BM$1,'Input LwA_XYZ'!AY4:BM4),0))</f>
        <v/>
      </c>
      <c r="U185" s="228" t="str">
        <f>IF($P185="","",IF(_xlfn.XLOOKUP(Tables!$N$182,'Input LwA_XYZ'!$BV$1:$CJ$1,'Input LwA_XYZ'!BV4:CJ4)="","-",_xlfn.XLOOKUP(Tables!$N$182,'Input LwA_XYZ'!$BV$1:$CJ$1,'Input LwA_XYZ'!BV4:CJ4)))</f>
        <v/>
      </c>
      <c r="V185" s="228" t="str">
        <f>IF($P185="","",IF('Input LwA_XYZ'!S4="","-",'Input LwA_XYZ'!S4))</f>
        <v/>
      </c>
      <c r="W185" s="229" t="str" cm="1">
        <f t="array" ref="W185">IF($P185="","",IF(_xlfn.XLOOKUP(Tables!$N$182,_xlfn.ANCHORARRAY('Input LwA_XYZ'!$DD$1),'Input LwA_XYZ'!DD4:DR4)="","-",_xlfn.XLOOKUP(Tables!$N$182,_xlfn.ANCHORARRAY('Input LwA_XYZ'!$DD$1),'Input LwA_XYZ'!DD4:DR4)))</f>
        <v/>
      </c>
      <c r="X185" s="62" t="str">
        <f>IF($P185="","",_xlfn.XLOOKUP(Tables!$N$182,'Input LwA_XYZ'!$DU$1:$EI$1,'Input LwA_XYZ'!DU4:EI4))</f>
        <v/>
      </c>
    </row>
    <row r="186" spans="14:24" ht="16.5" x14ac:dyDescent="0.3">
      <c r="P186" s="230" t="str">
        <f>IF(OR('Input LwA_XYZ'!A5 = 0, NOT(ISBLANK(_xlfn.XLOOKUP(Tables!N$182, 'Input LwA_XYZ'!CM$1:DA$1, 'Input LwA_XYZ'!CM5:DA5)))), "", 'Input LwA_XYZ'!A5)</f>
        <v/>
      </c>
      <c r="Q186" s="225" t="str">
        <f>IF($P186="","",_xlfn.TEXTJOIN(" - ",TRUE,'Input LwA_XYZ'!B5:C5))</f>
        <v/>
      </c>
      <c r="R186" s="231" t="str">
        <f>IF($P186="","",'Input LwA_XYZ'!Q5)</f>
        <v/>
      </c>
      <c r="S186" s="227" t="str">
        <f>IF($P186="","",ROUND(_xlfn.XLOOKUP(Tables!$N$182,'Input LwA_XYZ'!$AH$1:$AV$1,'Input LwA_XYZ'!AH5:AV5),0))</f>
        <v/>
      </c>
      <c r="T186" s="228" t="str">
        <f>IF($P186="","",-1*ROUND(_xlfn.XLOOKUP(Tables!$N$182,'Input LwA_XYZ'!$AY$1:$BM$1,'Input LwA_XYZ'!AY5:BM5),0))</f>
        <v/>
      </c>
      <c r="U186" s="228" t="str">
        <f>IF($P186="","",IF(_xlfn.XLOOKUP(Tables!$N$182,'Input LwA_XYZ'!$BV$1:$CJ$1,'Input LwA_XYZ'!BV5:CJ5)="","-",_xlfn.XLOOKUP(Tables!$N$182,'Input LwA_XYZ'!$BV$1:$CJ$1,'Input LwA_XYZ'!BV5:CJ5)))</f>
        <v/>
      </c>
      <c r="V186" s="228" t="str">
        <f>IF($P186="","",IF('Input LwA_XYZ'!S5="","-",'Input LwA_XYZ'!S5))</f>
        <v/>
      </c>
      <c r="W186" s="229" t="str" cm="1">
        <f t="array" ref="W186">IF($P186="","",IF(_xlfn.XLOOKUP(Tables!$N$182,_xlfn.ANCHORARRAY('Input LwA_XYZ'!$DD$1),'Input LwA_XYZ'!DD5:DR5)="","-",_xlfn.XLOOKUP(Tables!$N$182,_xlfn.ANCHORARRAY('Input LwA_XYZ'!$DD$1),'Input LwA_XYZ'!DD5:DR5)))</f>
        <v/>
      </c>
      <c r="X186" s="62" t="str">
        <f>IF($P186="","",_xlfn.XLOOKUP(Tables!$N$182,'Input LwA_XYZ'!$DU$1:$EI$1,'Input LwA_XYZ'!DU5:EI5))</f>
        <v/>
      </c>
    </row>
    <row r="187" spans="14:24" ht="16.5" x14ac:dyDescent="0.3">
      <c r="P187" s="230">
        <f>IF(OR('Input LwA_XYZ'!A6 = 0, NOT(ISBLANK(_xlfn.XLOOKUP(Tables!N$182, 'Input LwA_XYZ'!CM$1:DA$1, 'Input LwA_XYZ'!CM6:DA6)))), "", 'Input LwA_XYZ'!A6)</f>
        <v>1</v>
      </c>
      <c r="Q187" s="225" t="str">
        <f>IF($P187="","",_xlfn.TEXTJOIN(" - ",TRUE,'Input LwA_XYZ'!B6:C6))</f>
        <v>KEF-R1  - Inlet</v>
      </c>
      <c r="R187" s="231">
        <f>IF($P187="","",'Input LwA_XYZ'!Q6)</f>
        <v>80</v>
      </c>
      <c r="S187" s="227">
        <f>IF($P187="","",ROUND(_xlfn.XLOOKUP(Tables!$N$182,'Input LwA_XYZ'!$AH$1:$AV$1,'Input LwA_XYZ'!AH6:AV6),0))</f>
        <v>249</v>
      </c>
      <c r="T187" s="228">
        <f>IF($P187="","",-1*ROUND(_xlfn.XLOOKUP(Tables!$N$182,'Input LwA_XYZ'!$AY$1:$BM$1,'Input LwA_XYZ'!AY6:BM6),0))</f>
        <v>46</v>
      </c>
      <c r="U187" s="228">
        <f>IF($P187="","",IF(_xlfn.XLOOKUP(Tables!$N$182,'Input LwA_XYZ'!$BV$1:$CJ$1,'Input LwA_XYZ'!BV6:CJ6)="","-",_xlfn.XLOOKUP(Tables!$N$182,'Input LwA_XYZ'!$BV$1:$CJ$1,'Input LwA_XYZ'!BV6:CJ6)))</f>
        <v>15.8</v>
      </c>
      <c r="V187" s="228" t="str">
        <f>IF($P187="","",IF('Input LwA_XYZ'!S6="","-",'Input LwA_XYZ'!S6))</f>
        <v>-</v>
      </c>
      <c r="W187" s="229" t="str" cm="1">
        <f t="array" ref="W187">IF($P187="","",IF(_xlfn.XLOOKUP(Tables!$N$182,_xlfn.ANCHORARRAY('Input LwA_XYZ'!$DD$1),'Input LwA_XYZ'!DD6:DR6)="","-",_xlfn.XLOOKUP(Tables!$N$182,_xlfn.ANCHORARRAY('Input LwA_XYZ'!$DD$1),'Input LwA_XYZ'!DD6:DR6)))</f>
        <v>-</v>
      </c>
      <c r="X187" s="62">
        <f>IF($P187="","",_xlfn.XLOOKUP(Tables!$N$182,'Input LwA_XYZ'!$DU$1:$EI$1,'Input LwA_XYZ'!DU6:EI6))</f>
        <v>18.613771913716061</v>
      </c>
    </row>
    <row r="188" spans="14:24" ht="16.5" x14ac:dyDescent="0.3">
      <c r="P188" s="230" t="str">
        <f>IF(OR('Input LwA_XYZ'!A7 = 0, NOT(ISBLANK(_xlfn.XLOOKUP(Tables!N$182, 'Input LwA_XYZ'!CM$1:DA$1, 'Input LwA_XYZ'!CM7:DA7)))), "", 'Input LwA_XYZ'!A7)</f>
        <v/>
      </c>
      <c r="Q188" s="225" t="str">
        <f>IF($P188="","",_xlfn.TEXTJOIN(" - ",TRUE,'Input LwA_XYZ'!B7:C7))</f>
        <v/>
      </c>
      <c r="R188" s="231" t="str">
        <f>IF($P188="","",'Input LwA_XYZ'!Q7)</f>
        <v/>
      </c>
      <c r="S188" s="227" t="str">
        <f>IF($P188="","",ROUND(_xlfn.XLOOKUP(Tables!$N$182,'Input LwA_XYZ'!$AH$1:$AV$1,'Input LwA_XYZ'!AH7:AV7),0))</f>
        <v/>
      </c>
      <c r="T188" s="228" t="str">
        <f>IF($P188="","",-1*ROUND(_xlfn.XLOOKUP(Tables!$N$182,'Input LwA_XYZ'!$AY$1:$BM$1,'Input LwA_XYZ'!AY7:BM7),0))</f>
        <v/>
      </c>
      <c r="U188" s="228" t="str">
        <f>IF($P188="","",IF(_xlfn.XLOOKUP(Tables!$N$182,'Input LwA_XYZ'!$BV$1:$CJ$1,'Input LwA_XYZ'!BV7:CJ7)="","-",_xlfn.XLOOKUP(Tables!$N$182,'Input LwA_XYZ'!$BV$1:$CJ$1,'Input LwA_XYZ'!BV7:CJ7)))</f>
        <v/>
      </c>
      <c r="V188" s="228" t="str">
        <f>IF($P188="","",IF('Input LwA_XYZ'!S7="","-",'Input LwA_XYZ'!S7))</f>
        <v/>
      </c>
      <c r="W188" s="229" t="str" cm="1">
        <f t="array" ref="W188">IF($P188="","",IF(_xlfn.XLOOKUP(Tables!$N$182,_xlfn.ANCHORARRAY('Input LwA_XYZ'!$DD$1),'Input LwA_XYZ'!DD7:DR7)="","-",_xlfn.XLOOKUP(Tables!$N$182,_xlfn.ANCHORARRAY('Input LwA_XYZ'!$DD$1),'Input LwA_XYZ'!DD7:DR7)))</f>
        <v/>
      </c>
      <c r="X188" s="62" t="str">
        <f>IF($P188="","",_xlfn.XLOOKUP(Tables!$N$182,'Input LwA_XYZ'!$DU$1:$EI$1,'Input LwA_XYZ'!DU7:EI7))</f>
        <v/>
      </c>
    </row>
    <row r="189" spans="14:24" ht="16.5" x14ac:dyDescent="0.3">
      <c r="P189" s="230" t="str">
        <f>IF(OR('Input LwA_XYZ'!A8 = 0, NOT(ISBLANK(_xlfn.XLOOKUP(Tables!N$182, 'Input LwA_XYZ'!CM$1:DA$1, 'Input LwA_XYZ'!CM8:DA8)))), "", 'Input LwA_XYZ'!A8)</f>
        <v/>
      </c>
      <c r="Q189" s="225" t="str">
        <f>IF($P189="","",_xlfn.TEXTJOIN(" - ",TRUE,'Input LwA_XYZ'!B8:C8))</f>
        <v/>
      </c>
      <c r="R189" s="231" t="str">
        <f>IF($P189="","",'Input LwA_XYZ'!Q8)</f>
        <v/>
      </c>
      <c r="S189" s="227" t="str">
        <f>IF($P189="","",ROUND(_xlfn.XLOOKUP(Tables!$N$182,'Input LwA_XYZ'!$AH$1:$AV$1,'Input LwA_XYZ'!AH8:AV8),0))</f>
        <v/>
      </c>
      <c r="T189" s="228" t="str">
        <f>IF($P189="","",-1*ROUND(_xlfn.XLOOKUP(Tables!$N$182,'Input LwA_XYZ'!$AY$1:$BM$1,'Input LwA_XYZ'!AY8:BM8),0))</f>
        <v/>
      </c>
      <c r="U189" s="228" t="str">
        <f>IF($P189="","",IF(_xlfn.XLOOKUP(Tables!$N$182,'Input LwA_XYZ'!$BV$1:$CJ$1,'Input LwA_XYZ'!BV8:CJ8)="","-",_xlfn.XLOOKUP(Tables!$N$182,'Input LwA_XYZ'!$BV$1:$CJ$1,'Input LwA_XYZ'!BV8:CJ8)))</f>
        <v/>
      </c>
      <c r="V189" s="228" t="str">
        <f>IF($P189="","",IF('Input LwA_XYZ'!S8="","-",'Input LwA_XYZ'!S8))</f>
        <v/>
      </c>
      <c r="W189" s="229" t="str" cm="1">
        <f t="array" ref="W189">IF($P189="","",IF(_xlfn.XLOOKUP(Tables!$N$182,_xlfn.ANCHORARRAY('Input LwA_XYZ'!$DD$1),'Input LwA_XYZ'!DD8:DR8)="","-",_xlfn.XLOOKUP(Tables!$N$182,_xlfn.ANCHORARRAY('Input LwA_XYZ'!$DD$1),'Input LwA_XYZ'!DD8:DR8)))</f>
        <v/>
      </c>
      <c r="X189" s="62" t="str">
        <f>IF($P189="","",_xlfn.XLOOKUP(Tables!$N$182,'Input LwA_XYZ'!$DU$1:$EI$1,'Input LwA_XYZ'!DU8:EI8))</f>
        <v/>
      </c>
    </row>
    <row r="190" spans="14:24" ht="16.5" x14ac:dyDescent="0.3">
      <c r="P190" s="230" t="str">
        <f>IF(OR('Input LwA_XYZ'!A9 = 0, NOT(ISBLANK(_xlfn.XLOOKUP(Tables!N$182, 'Input LwA_XYZ'!CM$1:DA$1, 'Input LwA_XYZ'!CM9:DA9)))), "", 'Input LwA_XYZ'!A9)</f>
        <v/>
      </c>
      <c r="Q190" s="225" t="str">
        <f>IF($P190="","",_xlfn.TEXTJOIN(" - ",TRUE,'Input LwA_XYZ'!B9:C9))</f>
        <v/>
      </c>
      <c r="R190" s="231" t="str">
        <f>IF($P190="","",'Input LwA_XYZ'!Q9)</f>
        <v/>
      </c>
      <c r="S190" s="227" t="str">
        <f>IF($P190="","",ROUND(_xlfn.XLOOKUP(Tables!$N$182,'Input LwA_XYZ'!$AH$1:$AV$1,'Input LwA_XYZ'!AH9:AV9),0))</f>
        <v/>
      </c>
      <c r="T190" s="228" t="str">
        <f>IF($P190="","",-1*ROUND(_xlfn.XLOOKUP(Tables!$N$182,'Input LwA_XYZ'!$AY$1:$BM$1,'Input LwA_XYZ'!AY9:BM9),0))</f>
        <v/>
      </c>
      <c r="U190" s="228" t="str">
        <f>IF($P190="","",IF(_xlfn.XLOOKUP(Tables!$N$182,'Input LwA_XYZ'!$BV$1:$CJ$1,'Input LwA_XYZ'!BV9:CJ9)="","-",_xlfn.XLOOKUP(Tables!$N$182,'Input LwA_XYZ'!$BV$1:$CJ$1,'Input LwA_XYZ'!BV9:CJ9)))</f>
        <v/>
      </c>
      <c r="V190" s="228" t="str">
        <f>IF($P190="","",IF('Input LwA_XYZ'!S9="","-",'Input LwA_XYZ'!S9))</f>
        <v/>
      </c>
      <c r="W190" s="229" t="str" cm="1">
        <f t="array" ref="W190">IF($P190="","",IF(_xlfn.XLOOKUP(Tables!$N$182,_xlfn.ANCHORARRAY('Input LwA_XYZ'!$DD$1),'Input LwA_XYZ'!DD9:DR9)="","-",_xlfn.XLOOKUP(Tables!$N$182,_xlfn.ANCHORARRAY('Input LwA_XYZ'!$DD$1),'Input LwA_XYZ'!DD9:DR9)))</f>
        <v/>
      </c>
      <c r="X190" s="62" t="str">
        <f>IF($P190="","",_xlfn.XLOOKUP(Tables!$N$182,'Input LwA_XYZ'!$DU$1:$EI$1,'Input LwA_XYZ'!DU9:EI9))</f>
        <v/>
      </c>
    </row>
    <row r="191" spans="14:24" ht="16.5" x14ac:dyDescent="0.3">
      <c r="P191" s="230" t="str">
        <f>IF(OR('Input LwA_XYZ'!A10 = 0, NOT(ISBLANK(_xlfn.XLOOKUP(Tables!N$182, 'Input LwA_XYZ'!CM$1:DA$1, 'Input LwA_XYZ'!CM10:DA10)))), "", 'Input LwA_XYZ'!A10)</f>
        <v/>
      </c>
      <c r="Q191" s="225" t="str">
        <f>IF($P191="","",_xlfn.TEXTJOIN(" - ",TRUE,'Input LwA_XYZ'!B10:C10))</f>
        <v/>
      </c>
      <c r="R191" s="231" t="str">
        <f>IF($P191="","",'Input LwA_XYZ'!Q10)</f>
        <v/>
      </c>
      <c r="S191" s="227" t="str">
        <f>IF($P191="","",ROUND(_xlfn.XLOOKUP(Tables!$N$182,'Input LwA_XYZ'!$AH$1:$AV$1,'Input LwA_XYZ'!AH10:AV10),0))</f>
        <v/>
      </c>
      <c r="T191" s="228" t="str">
        <f>IF($P191="","",-1*ROUND(_xlfn.XLOOKUP(Tables!$N$182,'Input LwA_XYZ'!$AY$1:$BM$1,'Input LwA_XYZ'!AY10:BM10),0))</f>
        <v/>
      </c>
      <c r="U191" s="228" t="str">
        <f>IF($P191="","",IF(_xlfn.XLOOKUP(Tables!$N$182,'Input LwA_XYZ'!$BV$1:$CJ$1,'Input LwA_XYZ'!BV10:CJ10)="","-",_xlfn.XLOOKUP(Tables!$N$182,'Input LwA_XYZ'!$BV$1:$CJ$1,'Input LwA_XYZ'!BV10:CJ10)))</f>
        <v/>
      </c>
      <c r="V191" s="228" t="str">
        <f>IF($P191="","",IF('Input LwA_XYZ'!S10="","-",'Input LwA_XYZ'!S10))</f>
        <v/>
      </c>
      <c r="W191" s="229" t="str" cm="1">
        <f t="array" ref="W191">IF($P191="","",IF(_xlfn.XLOOKUP(Tables!$N$182,_xlfn.ANCHORARRAY('Input LwA_XYZ'!$DD$1),'Input LwA_XYZ'!DD10:DR10)="","-",_xlfn.XLOOKUP(Tables!$N$182,_xlfn.ANCHORARRAY('Input LwA_XYZ'!$DD$1),'Input LwA_XYZ'!DD10:DR10)))</f>
        <v/>
      </c>
      <c r="X191" s="62" t="str">
        <f>IF($P191="","",_xlfn.XLOOKUP(Tables!$N$182,'Input LwA_XYZ'!$DU$1:$EI$1,'Input LwA_XYZ'!DU10:EI10))</f>
        <v/>
      </c>
    </row>
    <row r="192" spans="14:24" ht="16.5" x14ac:dyDescent="0.3">
      <c r="P192" s="230" t="str">
        <f>IF(OR('Input LwA_XYZ'!A11 = 0, NOT(ISBLANK(_xlfn.XLOOKUP(Tables!N$182, 'Input LwA_XYZ'!CM$1:DA$1, 'Input LwA_XYZ'!CM11:DA11)))), "", 'Input LwA_XYZ'!A11)</f>
        <v/>
      </c>
      <c r="Q192" s="225" t="str">
        <f>IF($P192="","",_xlfn.TEXTJOIN(" - ",TRUE,'Input LwA_XYZ'!B11:C11))</f>
        <v/>
      </c>
      <c r="R192" s="231" t="str">
        <f>IF($P192="","",'Input LwA_XYZ'!Q11)</f>
        <v/>
      </c>
      <c r="S192" s="227" t="str">
        <f>IF($P192="","",ROUND(_xlfn.XLOOKUP(Tables!$N$182,'Input LwA_XYZ'!$AH$1:$AV$1,'Input LwA_XYZ'!AH11:AV11),0))</f>
        <v/>
      </c>
      <c r="T192" s="228" t="str">
        <f>IF($P192="","",-1*ROUND(_xlfn.XLOOKUP(Tables!$N$182,'Input LwA_XYZ'!$AY$1:$BM$1,'Input LwA_XYZ'!AY11:BM11),0))</f>
        <v/>
      </c>
      <c r="U192" s="228" t="str">
        <f>IF($P192="","",IF(_xlfn.XLOOKUP(Tables!$N$182,'Input LwA_XYZ'!$BV$1:$CJ$1,'Input LwA_XYZ'!BV11:CJ11)="","-",_xlfn.XLOOKUP(Tables!$N$182,'Input LwA_XYZ'!$BV$1:$CJ$1,'Input LwA_XYZ'!BV11:CJ11)))</f>
        <v/>
      </c>
      <c r="V192" s="228" t="str">
        <f>IF($P192="","",IF('Input LwA_XYZ'!S11="","-",'Input LwA_XYZ'!S11))</f>
        <v/>
      </c>
      <c r="W192" s="229" t="str" cm="1">
        <f t="array" ref="W192">IF($P192="","",IF(_xlfn.XLOOKUP(Tables!$N$182,_xlfn.ANCHORARRAY('Input LwA_XYZ'!$DD$1),'Input LwA_XYZ'!DD11:DR11)="","-",_xlfn.XLOOKUP(Tables!$N$182,_xlfn.ANCHORARRAY('Input LwA_XYZ'!$DD$1),'Input LwA_XYZ'!DD11:DR11)))</f>
        <v/>
      </c>
      <c r="X192" s="62" t="str">
        <f>IF($P192="","",_xlfn.XLOOKUP(Tables!$N$182,'Input LwA_XYZ'!$DU$1:$EI$1,'Input LwA_XYZ'!DU11:EI11))</f>
        <v/>
      </c>
    </row>
    <row r="193" spans="16:24" ht="16.5" x14ac:dyDescent="0.3">
      <c r="P193" s="230" t="str">
        <f>IF(OR('Input LwA_XYZ'!A12 = 0, NOT(ISBLANK(_xlfn.XLOOKUP(Tables!N$182, 'Input LwA_XYZ'!CM$1:DA$1, 'Input LwA_XYZ'!CM12:DA12)))), "", 'Input LwA_XYZ'!A12)</f>
        <v/>
      </c>
      <c r="Q193" s="225" t="str">
        <f>IF($P193="","",_xlfn.TEXTJOIN(" - ",TRUE,'Input LwA_XYZ'!B12:C12))</f>
        <v/>
      </c>
      <c r="R193" s="231" t="str">
        <f>IF($P193="","",'Input LwA_XYZ'!Q12)</f>
        <v/>
      </c>
      <c r="S193" s="227" t="str">
        <f>IF($P193="","",ROUND(_xlfn.XLOOKUP(Tables!$N$182,'Input LwA_XYZ'!$AH$1:$AV$1,'Input LwA_XYZ'!AH12:AV12),0))</f>
        <v/>
      </c>
      <c r="T193" s="228" t="str">
        <f>IF($P193="","",-1*ROUND(_xlfn.XLOOKUP(Tables!$N$182,'Input LwA_XYZ'!$AY$1:$BM$1,'Input LwA_XYZ'!AY12:BM12),0))</f>
        <v/>
      </c>
      <c r="U193" s="228" t="str">
        <f>IF($P193="","",IF(_xlfn.XLOOKUP(Tables!$N$182,'Input LwA_XYZ'!$BV$1:$CJ$1,'Input LwA_XYZ'!BV12:CJ12)="","-",_xlfn.XLOOKUP(Tables!$N$182,'Input LwA_XYZ'!$BV$1:$CJ$1,'Input LwA_XYZ'!BV12:CJ12)))</f>
        <v/>
      </c>
      <c r="V193" s="228" t="str">
        <f>IF($P193="","",IF('Input LwA_XYZ'!S12="","-",'Input LwA_XYZ'!S12))</f>
        <v/>
      </c>
      <c r="W193" s="229" t="str" cm="1">
        <f t="array" ref="W193">IF($P193="","",IF(_xlfn.XLOOKUP(Tables!$N$182,_xlfn.ANCHORARRAY('Input LwA_XYZ'!$DD$1),'Input LwA_XYZ'!DD12:DR12)="","-",_xlfn.XLOOKUP(Tables!$N$182,_xlfn.ANCHORARRAY('Input LwA_XYZ'!$DD$1),'Input LwA_XYZ'!DD12:DR12)))</f>
        <v/>
      </c>
      <c r="X193" s="62" t="str">
        <f>IF($P193="","",_xlfn.XLOOKUP(Tables!$N$182,'Input LwA_XYZ'!$DU$1:$EI$1,'Input LwA_XYZ'!DU12:EI12))</f>
        <v/>
      </c>
    </row>
    <row r="194" spans="16:24" ht="16.5" x14ac:dyDescent="0.3">
      <c r="P194" s="230" t="str">
        <f>IF(OR('Input LwA_XYZ'!A13 = 0, NOT(ISBLANK(_xlfn.XLOOKUP(Tables!N$182, 'Input LwA_XYZ'!CM$1:DA$1, 'Input LwA_XYZ'!CM13:DA13)))), "", 'Input LwA_XYZ'!A13)</f>
        <v/>
      </c>
      <c r="Q194" s="225" t="str">
        <f>IF($P194="","",_xlfn.TEXTJOIN(" - ",TRUE,'Input LwA_XYZ'!B13:C13))</f>
        <v/>
      </c>
      <c r="R194" s="231" t="str">
        <f>IF($P194="","",'Input LwA_XYZ'!Q13)</f>
        <v/>
      </c>
      <c r="S194" s="227" t="str">
        <f>IF($P194="","",ROUND(_xlfn.XLOOKUP(Tables!$N$182,'Input LwA_XYZ'!$AH$1:$AV$1,'Input LwA_XYZ'!AH13:AV13),0))</f>
        <v/>
      </c>
      <c r="T194" s="228" t="str">
        <f>IF($P194="","",-1*ROUND(_xlfn.XLOOKUP(Tables!$N$182,'Input LwA_XYZ'!$AY$1:$BM$1,'Input LwA_XYZ'!AY13:BM13),0))</f>
        <v/>
      </c>
      <c r="U194" s="228" t="str">
        <f>IF($P194="","",IF(_xlfn.XLOOKUP(Tables!$N$182,'Input LwA_XYZ'!$BV$1:$CJ$1,'Input LwA_XYZ'!BV13:CJ13)="","-",_xlfn.XLOOKUP(Tables!$N$182,'Input LwA_XYZ'!$BV$1:$CJ$1,'Input LwA_XYZ'!BV13:CJ13)))</f>
        <v/>
      </c>
      <c r="V194" s="228" t="str">
        <f>IF($P194="","",IF('Input LwA_XYZ'!S13="","-",'Input LwA_XYZ'!S13))</f>
        <v/>
      </c>
      <c r="W194" s="229" t="str" cm="1">
        <f t="array" ref="W194">IF($P194="","",IF(_xlfn.XLOOKUP(Tables!$N$182,_xlfn.ANCHORARRAY('Input LwA_XYZ'!$DD$1),'Input LwA_XYZ'!DD13:DR13)="","-",_xlfn.XLOOKUP(Tables!$N$182,_xlfn.ANCHORARRAY('Input LwA_XYZ'!$DD$1),'Input LwA_XYZ'!DD13:DR13)))</f>
        <v/>
      </c>
      <c r="X194" s="62" t="str">
        <f>IF($P194="","",_xlfn.XLOOKUP(Tables!$N$182,'Input LwA_XYZ'!$DU$1:$EI$1,'Input LwA_XYZ'!DU13:EI13))</f>
        <v/>
      </c>
    </row>
    <row r="195" spans="16:24" ht="16.5" x14ac:dyDescent="0.3">
      <c r="P195" s="230" t="str">
        <f>IF(OR('Input LwA_XYZ'!A14 = 0, NOT(ISBLANK(_xlfn.XLOOKUP(Tables!N$182, 'Input LwA_XYZ'!CM$1:DA$1, 'Input LwA_XYZ'!CM14:DA14)))), "", 'Input LwA_XYZ'!A14)</f>
        <v/>
      </c>
      <c r="Q195" s="225" t="str">
        <f>IF($P195="","",_xlfn.TEXTJOIN(" - ",TRUE,'Input LwA_XYZ'!B14:C14))</f>
        <v/>
      </c>
      <c r="R195" s="231" t="str">
        <f>IF($P195="","",'Input LwA_XYZ'!Q14)</f>
        <v/>
      </c>
      <c r="S195" s="227" t="str">
        <f>IF($P195="","",ROUND(_xlfn.XLOOKUP(Tables!$N$182,'Input LwA_XYZ'!$AH$1:$AV$1,'Input LwA_XYZ'!AH14:AV14),0))</f>
        <v/>
      </c>
      <c r="T195" s="228" t="str">
        <f>IF($P195="","",-1*ROUND(_xlfn.XLOOKUP(Tables!$N$182,'Input LwA_XYZ'!$AY$1:$BM$1,'Input LwA_XYZ'!AY14:BM14),0))</f>
        <v/>
      </c>
      <c r="U195" s="228" t="str">
        <f>IF($P195="","",IF(_xlfn.XLOOKUP(Tables!$N$182,'Input LwA_XYZ'!$BV$1:$CJ$1,'Input LwA_XYZ'!BV14:CJ14)="","-",_xlfn.XLOOKUP(Tables!$N$182,'Input LwA_XYZ'!$BV$1:$CJ$1,'Input LwA_XYZ'!BV14:CJ14)))</f>
        <v/>
      </c>
      <c r="V195" s="228" t="str">
        <f>IF($P195="","",IF('Input LwA_XYZ'!S14="","-",'Input LwA_XYZ'!S14))</f>
        <v/>
      </c>
      <c r="W195" s="229" t="str" cm="1">
        <f t="array" ref="W195">IF($P195="","",IF(_xlfn.XLOOKUP(Tables!$N$182,_xlfn.ANCHORARRAY('Input LwA_XYZ'!$DD$1),'Input LwA_XYZ'!DD14:DR14)="","-",_xlfn.XLOOKUP(Tables!$N$182,_xlfn.ANCHORARRAY('Input LwA_XYZ'!$DD$1),'Input LwA_XYZ'!DD14:DR14)))</f>
        <v/>
      </c>
      <c r="X195" s="62" t="str">
        <f>IF($P195="","",_xlfn.XLOOKUP(Tables!$N$182,'Input LwA_XYZ'!$DU$1:$EI$1,'Input LwA_XYZ'!DU14:EI14))</f>
        <v/>
      </c>
    </row>
    <row r="196" spans="16:24" ht="16.5" x14ac:dyDescent="0.3">
      <c r="P196" s="230" t="str">
        <f>IF(OR('Input LwA_XYZ'!A15 = 0, NOT(ISBLANK(_xlfn.XLOOKUP(Tables!N$182, 'Input LwA_XYZ'!CM$1:DA$1, 'Input LwA_XYZ'!CM15:DA15)))), "", 'Input LwA_XYZ'!A15)</f>
        <v/>
      </c>
      <c r="Q196" s="225" t="str">
        <f>IF($P196="","",_xlfn.TEXTJOIN(" - ",TRUE,'Input LwA_XYZ'!B15:C15))</f>
        <v/>
      </c>
      <c r="R196" s="231" t="str">
        <f>IF($P196="","",'Input LwA_XYZ'!Q15)</f>
        <v/>
      </c>
      <c r="S196" s="227" t="str">
        <f>IF($P196="","",ROUND(_xlfn.XLOOKUP(Tables!$N$182,'Input LwA_XYZ'!$AH$1:$AV$1,'Input LwA_XYZ'!AH15:AV15),0))</f>
        <v/>
      </c>
      <c r="T196" s="228" t="str">
        <f>IF($P196="","",-1*ROUND(_xlfn.XLOOKUP(Tables!$N$182,'Input LwA_XYZ'!$AY$1:$BM$1,'Input LwA_XYZ'!AY15:BM15),0))</f>
        <v/>
      </c>
      <c r="U196" s="228" t="str">
        <f>IF($P196="","",IF(_xlfn.XLOOKUP(Tables!$N$182,'Input LwA_XYZ'!$BV$1:$CJ$1,'Input LwA_XYZ'!BV15:CJ15)="","-",_xlfn.XLOOKUP(Tables!$N$182,'Input LwA_XYZ'!$BV$1:$CJ$1,'Input LwA_XYZ'!BV15:CJ15)))</f>
        <v/>
      </c>
      <c r="V196" s="228" t="str">
        <f>IF($P196="","",IF('Input LwA_XYZ'!S15="","-",'Input LwA_XYZ'!S15))</f>
        <v/>
      </c>
      <c r="W196" s="229" t="str" cm="1">
        <f t="array" ref="W196">IF($P196="","",IF(_xlfn.XLOOKUP(Tables!$N$182,_xlfn.ANCHORARRAY('Input LwA_XYZ'!$DD$1),'Input LwA_XYZ'!DD15:DR15)="","-",_xlfn.XLOOKUP(Tables!$N$182,_xlfn.ANCHORARRAY('Input LwA_XYZ'!$DD$1),'Input LwA_XYZ'!DD15:DR15)))</f>
        <v/>
      </c>
      <c r="X196" s="62" t="str">
        <f>IF($P196="","",_xlfn.XLOOKUP(Tables!$N$182,'Input LwA_XYZ'!$DU$1:$EI$1,'Input LwA_XYZ'!DU15:EI15))</f>
        <v/>
      </c>
    </row>
    <row r="197" spans="16:24" ht="16.5" x14ac:dyDescent="0.3">
      <c r="P197" s="230" t="str">
        <f>IF(OR('Input LwA_XYZ'!A16 = 0, NOT(ISBLANK(_xlfn.XLOOKUP(Tables!N$182, 'Input LwA_XYZ'!CM$1:DA$1, 'Input LwA_XYZ'!CM16:DA16)))), "", 'Input LwA_XYZ'!A16)</f>
        <v/>
      </c>
      <c r="Q197" s="225" t="str">
        <f>IF($P197="","",_xlfn.TEXTJOIN(" - ",TRUE,'Input LwA_XYZ'!B16:C16))</f>
        <v/>
      </c>
      <c r="R197" s="231" t="str">
        <f>IF($P197="","",'Input LwA_XYZ'!Q16)</f>
        <v/>
      </c>
      <c r="S197" s="227" t="str">
        <f>IF($P197="","",ROUND(_xlfn.XLOOKUP(Tables!$N$182,'Input LwA_XYZ'!$AH$1:$AV$1,'Input LwA_XYZ'!AH16:AV16),0))</f>
        <v/>
      </c>
      <c r="T197" s="228" t="str">
        <f>IF($P197="","",-1*ROUND(_xlfn.XLOOKUP(Tables!$N$182,'Input LwA_XYZ'!$AY$1:$BM$1,'Input LwA_XYZ'!AY16:BM16),0))</f>
        <v/>
      </c>
      <c r="U197" s="228" t="str">
        <f>IF($P197="","",IF(_xlfn.XLOOKUP(Tables!$N$182,'Input LwA_XYZ'!$BV$1:$CJ$1,'Input LwA_XYZ'!BV16:CJ16)="","-",_xlfn.XLOOKUP(Tables!$N$182,'Input LwA_XYZ'!$BV$1:$CJ$1,'Input LwA_XYZ'!BV16:CJ16)))</f>
        <v/>
      </c>
      <c r="V197" s="228" t="str">
        <f>IF($P197="","",IF('Input LwA_XYZ'!S16="","-",'Input LwA_XYZ'!S16))</f>
        <v/>
      </c>
      <c r="W197" s="229" t="str" cm="1">
        <f t="array" ref="W197">IF($P197="","",IF(_xlfn.XLOOKUP(Tables!$N$182,_xlfn.ANCHORARRAY('Input LwA_XYZ'!$DD$1),'Input LwA_XYZ'!DD16:DR16)="","-",_xlfn.XLOOKUP(Tables!$N$182,_xlfn.ANCHORARRAY('Input LwA_XYZ'!$DD$1),'Input LwA_XYZ'!DD16:DR16)))</f>
        <v/>
      </c>
      <c r="X197" s="62" t="str">
        <f>IF($P197="","",_xlfn.XLOOKUP(Tables!$N$182,'Input LwA_XYZ'!$DU$1:$EI$1,'Input LwA_XYZ'!DU16:EI16))</f>
        <v/>
      </c>
    </row>
    <row r="198" spans="16:24" ht="16.5" x14ac:dyDescent="0.3">
      <c r="P198" s="230" t="str">
        <f>IF(OR('Input LwA_XYZ'!A17 = 0, NOT(ISBLANK(_xlfn.XLOOKUP(Tables!N$182, 'Input LwA_XYZ'!CM$1:DA$1, 'Input LwA_XYZ'!CM17:DA17)))), "", 'Input LwA_XYZ'!A17)</f>
        <v/>
      </c>
      <c r="Q198" s="225" t="str">
        <f>IF($P198="","",_xlfn.TEXTJOIN(" - ",TRUE,'Input LwA_XYZ'!B17:C17))</f>
        <v/>
      </c>
      <c r="R198" s="231" t="str">
        <f>IF($P198="","",'Input LwA_XYZ'!Q17)</f>
        <v/>
      </c>
      <c r="S198" s="227" t="str">
        <f>IF($P198="","",ROUND(_xlfn.XLOOKUP(Tables!$N$182,'Input LwA_XYZ'!$AH$1:$AV$1,'Input LwA_XYZ'!AH17:AV17),0))</f>
        <v/>
      </c>
      <c r="T198" s="228" t="str">
        <f>IF($P198="","",-1*ROUND(_xlfn.XLOOKUP(Tables!$N$182,'Input LwA_XYZ'!$AY$1:$BM$1,'Input LwA_XYZ'!AY17:BM17),0))</f>
        <v/>
      </c>
      <c r="U198" s="228" t="str">
        <f>IF($P198="","",IF(_xlfn.XLOOKUP(Tables!$N$182,'Input LwA_XYZ'!$BV$1:$CJ$1,'Input LwA_XYZ'!BV17:CJ17)="","-",_xlfn.XLOOKUP(Tables!$N$182,'Input LwA_XYZ'!$BV$1:$CJ$1,'Input LwA_XYZ'!BV17:CJ17)))</f>
        <v/>
      </c>
      <c r="V198" s="228" t="str">
        <f>IF($P198="","",IF('Input LwA_XYZ'!S17="","-",'Input LwA_XYZ'!S17))</f>
        <v/>
      </c>
      <c r="W198" s="229" t="str" cm="1">
        <f t="array" ref="W198">IF($P198="","",IF(_xlfn.XLOOKUP(Tables!$N$182,_xlfn.ANCHORARRAY('Input LwA_XYZ'!$DD$1),'Input LwA_XYZ'!DD17:DR17)="","-",_xlfn.XLOOKUP(Tables!$N$182,_xlfn.ANCHORARRAY('Input LwA_XYZ'!$DD$1),'Input LwA_XYZ'!DD17:DR17)))</f>
        <v/>
      </c>
      <c r="X198" s="62" t="str">
        <f>IF($P198="","",_xlfn.XLOOKUP(Tables!$N$182,'Input LwA_XYZ'!$DU$1:$EI$1,'Input LwA_XYZ'!DU17:EI17))</f>
        <v/>
      </c>
    </row>
    <row r="199" spans="16:24" ht="16.5" x14ac:dyDescent="0.3">
      <c r="P199" s="230" t="str">
        <f>IF(OR('Input LwA_XYZ'!A18 = 0, NOT(ISBLANK(_xlfn.XLOOKUP(Tables!N$182, 'Input LwA_XYZ'!CM$1:DA$1, 'Input LwA_XYZ'!CM18:DA18)))), "", 'Input LwA_XYZ'!A18)</f>
        <v/>
      </c>
      <c r="Q199" s="225" t="str">
        <f>IF($P199="","",_xlfn.TEXTJOIN(" - ",TRUE,'Input LwA_XYZ'!B18:C18))</f>
        <v/>
      </c>
      <c r="R199" s="231" t="str">
        <f>IF($P199="","",'Input LwA_XYZ'!Q18)</f>
        <v/>
      </c>
      <c r="S199" s="227" t="str">
        <f>IF($P199="","",ROUND(_xlfn.XLOOKUP(Tables!$N$182,'Input LwA_XYZ'!$AH$1:$AV$1,'Input LwA_XYZ'!AH18:AV18),0))</f>
        <v/>
      </c>
      <c r="T199" s="228" t="str">
        <f>IF($P199="","",-1*ROUND(_xlfn.XLOOKUP(Tables!$N$182,'Input LwA_XYZ'!$AY$1:$BM$1,'Input LwA_XYZ'!AY18:BM18),0))</f>
        <v/>
      </c>
      <c r="U199" s="228" t="str">
        <f>IF($P199="","",IF(_xlfn.XLOOKUP(Tables!$N$182,'Input LwA_XYZ'!$BV$1:$CJ$1,'Input LwA_XYZ'!BV18:CJ18)="","-",_xlfn.XLOOKUP(Tables!$N$182,'Input LwA_XYZ'!$BV$1:$CJ$1,'Input LwA_XYZ'!BV18:CJ18)))</f>
        <v/>
      </c>
      <c r="V199" s="228" t="str">
        <f>IF($P199="","",IF('Input LwA_XYZ'!S18="","-",'Input LwA_XYZ'!S18))</f>
        <v/>
      </c>
      <c r="W199" s="229" t="str" cm="1">
        <f t="array" ref="W199">IF($P199="","",IF(_xlfn.XLOOKUP(Tables!$N$182,_xlfn.ANCHORARRAY('Input LwA_XYZ'!$DD$1),'Input LwA_XYZ'!DD18:DR18)="","-",_xlfn.XLOOKUP(Tables!$N$182,_xlfn.ANCHORARRAY('Input LwA_XYZ'!$DD$1),'Input LwA_XYZ'!DD18:DR18)))</f>
        <v/>
      </c>
      <c r="X199" s="62" t="str">
        <f>IF($P199="","",_xlfn.XLOOKUP(Tables!$N$182,'Input LwA_XYZ'!$DU$1:$EI$1,'Input LwA_XYZ'!DU18:EI18))</f>
        <v/>
      </c>
    </row>
    <row r="200" spans="16:24" ht="16.5" x14ac:dyDescent="0.3">
      <c r="P200" s="230" t="str">
        <f>IF(OR('Input LwA_XYZ'!A19 = 0, NOT(ISBLANK(_xlfn.XLOOKUP(Tables!N$182, 'Input LwA_XYZ'!CM$1:DA$1, 'Input LwA_XYZ'!CM19:DA19)))), "", 'Input LwA_XYZ'!A19)</f>
        <v/>
      </c>
      <c r="Q200" s="225" t="str">
        <f>IF($P200="","",_xlfn.TEXTJOIN(" - ",TRUE,'Input LwA_XYZ'!B19:C19))</f>
        <v/>
      </c>
      <c r="R200" s="231" t="str">
        <f>IF($P200="","",'Input LwA_XYZ'!Q19)</f>
        <v/>
      </c>
      <c r="S200" s="227" t="str">
        <f>IF($P200="","",ROUND(_xlfn.XLOOKUP(Tables!$N$182,'Input LwA_XYZ'!$AH$1:$AV$1,'Input LwA_XYZ'!AH19:AV19),0))</f>
        <v/>
      </c>
      <c r="T200" s="228" t="str">
        <f>IF($P200="","",-1*ROUND(_xlfn.XLOOKUP(Tables!$N$182,'Input LwA_XYZ'!$AY$1:$BM$1,'Input LwA_XYZ'!AY19:BM19),0))</f>
        <v/>
      </c>
      <c r="U200" s="228" t="str">
        <f>IF($P200="","",IF(_xlfn.XLOOKUP(Tables!$N$182,'Input LwA_XYZ'!$BV$1:$CJ$1,'Input LwA_XYZ'!BV19:CJ19)="","-",_xlfn.XLOOKUP(Tables!$N$182,'Input LwA_XYZ'!$BV$1:$CJ$1,'Input LwA_XYZ'!BV19:CJ19)))</f>
        <v/>
      </c>
      <c r="V200" s="228" t="str">
        <f>IF($P200="","",IF('Input LwA_XYZ'!S19="","-",'Input LwA_XYZ'!S19))</f>
        <v/>
      </c>
      <c r="W200" s="229" t="str" cm="1">
        <f t="array" ref="W200">IF($P200="","",IF(_xlfn.XLOOKUP(Tables!$N$182,_xlfn.ANCHORARRAY('Input LwA_XYZ'!$DD$1),'Input LwA_XYZ'!DD19:DR19)="","-",_xlfn.XLOOKUP(Tables!$N$182,_xlfn.ANCHORARRAY('Input LwA_XYZ'!$DD$1),'Input LwA_XYZ'!DD19:DR19)))</f>
        <v/>
      </c>
      <c r="X200" s="62" t="str">
        <f>IF($P200="","",_xlfn.XLOOKUP(Tables!$N$182,'Input LwA_XYZ'!$DU$1:$EI$1,'Input LwA_XYZ'!DU19:EI19))</f>
        <v/>
      </c>
    </row>
    <row r="201" spans="16:24" ht="16.5" x14ac:dyDescent="0.3">
      <c r="P201" s="230" t="str">
        <f>IF(OR('Input LwA_XYZ'!A20 = 0, NOT(ISBLANK(_xlfn.XLOOKUP(Tables!N$182, 'Input LwA_XYZ'!CM$1:DA$1, 'Input LwA_XYZ'!CM20:DA20)))), "", 'Input LwA_XYZ'!A20)</f>
        <v/>
      </c>
      <c r="Q201" s="225" t="str">
        <f>IF($P201="","",_xlfn.TEXTJOIN(" - ",TRUE,'Input LwA_XYZ'!B20:C20))</f>
        <v/>
      </c>
      <c r="R201" s="231" t="str">
        <f>IF($P201="","",'Input LwA_XYZ'!Q20)</f>
        <v/>
      </c>
      <c r="S201" s="227" t="str">
        <f>IF($P201="","",ROUND(_xlfn.XLOOKUP(Tables!$N$182,'Input LwA_XYZ'!$AH$1:$AV$1,'Input LwA_XYZ'!AH20:AV20),0))</f>
        <v/>
      </c>
      <c r="T201" s="228" t="str">
        <f>IF($P201="","",-1*ROUND(_xlfn.XLOOKUP(Tables!$N$182,'Input LwA_XYZ'!$AY$1:$BM$1,'Input LwA_XYZ'!AY20:BM20),0))</f>
        <v/>
      </c>
      <c r="U201" s="228" t="str">
        <f>IF($P201="","",IF(_xlfn.XLOOKUP(Tables!$N$182,'Input LwA_XYZ'!$BV$1:$CJ$1,'Input LwA_XYZ'!BV20:CJ20)="","-",_xlfn.XLOOKUP(Tables!$N$182,'Input LwA_XYZ'!$BV$1:$CJ$1,'Input LwA_XYZ'!BV20:CJ20)))</f>
        <v/>
      </c>
      <c r="V201" s="228" t="str">
        <f>IF($P201="","",IF('Input LwA_XYZ'!S20="","-",'Input LwA_XYZ'!S20))</f>
        <v/>
      </c>
      <c r="W201" s="229" t="str" cm="1">
        <f t="array" ref="W201">IF($P201="","",IF(_xlfn.XLOOKUP(Tables!$N$182,_xlfn.ANCHORARRAY('Input LwA_XYZ'!$DD$1),'Input LwA_XYZ'!DD20:DR20)="","-",_xlfn.XLOOKUP(Tables!$N$182,_xlfn.ANCHORARRAY('Input LwA_XYZ'!$DD$1),'Input LwA_XYZ'!DD20:DR20)))</f>
        <v/>
      </c>
      <c r="X201" s="62" t="str">
        <f>IF($P201="","",_xlfn.XLOOKUP(Tables!$N$182,'Input LwA_XYZ'!$DU$1:$EI$1,'Input LwA_XYZ'!DU20:EI20))</f>
        <v/>
      </c>
    </row>
    <row r="202" spans="16:24" ht="16.5" x14ac:dyDescent="0.3">
      <c r="P202" s="230" t="str">
        <f>IF(OR('Input LwA_XYZ'!A21 = 0, NOT(ISBLANK(_xlfn.XLOOKUP(Tables!N$182, 'Input LwA_XYZ'!CM$1:DA$1, 'Input LwA_XYZ'!CM21:DA21)))), "", 'Input LwA_XYZ'!A21)</f>
        <v/>
      </c>
      <c r="Q202" s="225" t="str">
        <f>IF($P202="","",_xlfn.TEXTJOIN(" - ",TRUE,'Input LwA_XYZ'!B21:C21))</f>
        <v/>
      </c>
      <c r="R202" s="231" t="str">
        <f>IF($P202="","",'Input LwA_XYZ'!Q21)</f>
        <v/>
      </c>
      <c r="S202" s="227" t="str">
        <f>IF($P202="","",ROUND(_xlfn.XLOOKUP(Tables!$N$182,'Input LwA_XYZ'!$AH$1:$AV$1,'Input LwA_XYZ'!AH21:AV21),0))</f>
        <v/>
      </c>
      <c r="T202" s="228" t="str">
        <f>IF($P202="","",-1*ROUND(_xlfn.XLOOKUP(Tables!$N$182,'Input LwA_XYZ'!$AY$1:$BM$1,'Input LwA_XYZ'!AY21:BM21),0))</f>
        <v/>
      </c>
      <c r="U202" s="228" t="str">
        <f>IF($P202="","",IF(_xlfn.XLOOKUP(Tables!$N$182,'Input LwA_XYZ'!$BV$1:$CJ$1,'Input LwA_XYZ'!BV21:CJ21)="","-",_xlfn.XLOOKUP(Tables!$N$182,'Input LwA_XYZ'!$BV$1:$CJ$1,'Input LwA_XYZ'!BV21:CJ21)))</f>
        <v/>
      </c>
      <c r="V202" s="228" t="str">
        <f>IF($P202="","",IF('Input LwA_XYZ'!S21="","-",'Input LwA_XYZ'!S21))</f>
        <v/>
      </c>
      <c r="W202" s="229" t="str" cm="1">
        <f t="array" ref="W202">IF($P202="","",IF(_xlfn.XLOOKUP(Tables!$N$182,_xlfn.ANCHORARRAY('Input LwA_XYZ'!$DD$1),'Input LwA_XYZ'!DD21:DR21)="","-",_xlfn.XLOOKUP(Tables!$N$182,_xlfn.ANCHORARRAY('Input LwA_XYZ'!$DD$1),'Input LwA_XYZ'!DD21:DR21)))</f>
        <v/>
      </c>
      <c r="X202" s="62" t="str">
        <f>IF($P202="","",_xlfn.XLOOKUP(Tables!$N$182,'Input LwA_XYZ'!$DU$1:$EI$1,'Input LwA_XYZ'!DU21:EI21))</f>
        <v/>
      </c>
    </row>
    <row r="203" spans="16:24" ht="16.5" x14ac:dyDescent="0.3">
      <c r="P203" s="230" t="str">
        <f>IF(OR('Input LwA_XYZ'!A22 = 0, NOT(ISBLANK(_xlfn.XLOOKUP(Tables!N$182, 'Input LwA_XYZ'!CM$1:DA$1, 'Input LwA_XYZ'!CM22:DA22)))), "", 'Input LwA_XYZ'!A22)</f>
        <v/>
      </c>
      <c r="Q203" s="225" t="str">
        <f>IF($P203="","",_xlfn.TEXTJOIN(" - ",TRUE,'Input LwA_XYZ'!B22:C22))</f>
        <v/>
      </c>
      <c r="R203" s="231" t="str">
        <f>IF($P203="","",'Input LwA_XYZ'!Q22)</f>
        <v/>
      </c>
      <c r="S203" s="227" t="str">
        <f>IF($P203="","",ROUND(_xlfn.XLOOKUP(Tables!$N$182,'Input LwA_XYZ'!$AH$1:$AV$1,'Input LwA_XYZ'!AH22:AV22),0))</f>
        <v/>
      </c>
      <c r="T203" s="228" t="str">
        <f>IF($P203="","",-1*ROUND(_xlfn.XLOOKUP(Tables!$N$182,'Input LwA_XYZ'!$AY$1:$BM$1,'Input LwA_XYZ'!AY22:BM22),0))</f>
        <v/>
      </c>
      <c r="U203" s="228" t="str">
        <f>IF($P203="","",IF(_xlfn.XLOOKUP(Tables!$N$182,'Input LwA_XYZ'!$BV$1:$CJ$1,'Input LwA_XYZ'!BV22:CJ22)="","-",_xlfn.XLOOKUP(Tables!$N$182,'Input LwA_XYZ'!$BV$1:$CJ$1,'Input LwA_XYZ'!BV22:CJ22)))</f>
        <v/>
      </c>
      <c r="V203" s="228" t="str">
        <f>IF($P203="","",IF('Input LwA_XYZ'!S22="","-",'Input LwA_XYZ'!S22))</f>
        <v/>
      </c>
      <c r="W203" s="229" t="str" cm="1">
        <f t="array" ref="W203">IF($P203="","",IF(_xlfn.XLOOKUP(Tables!$N$182,_xlfn.ANCHORARRAY('Input LwA_XYZ'!$DD$1),'Input LwA_XYZ'!DD22:DR22)="","-",_xlfn.XLOOKUP(Tables!$N$182,_xlfn.ANCHORARRAY('Input LwA_XYZ'!$DD$1),'Input LwA_XYZ'!DD22:DR22)))</f>
        <v/>
      </c>
      <c r="X203" s="62" t="str">
        <f>IF($P203="","",_xlfn.XLOOKUP(Tables!$N$182,'Input LwA_XYZ'!$DU$1:$EI$1,'Input LwA_XYZ'!DU22:EI22))</f>
        <v/>
      </c>
    </row>
    <row r="204" spans="16:24" ht="16.5" x14ac:dyDescent="0.3">
      <c r="P204" s="230" t="str">
        <f>IF(OR('Input LwA_XYZ'!A23 = 0, NOT(ISBLANK(_xlfn.XLOOKUP(Tables!N$182, 'Input LwA_XYZ'!CM$1:DA$1, 'Input LwA_XYZ'!CM23:DA23)))), "", 'Input LwA_XYZ'!A23)</f>
        <v/>
      </c>
      <c r="Q204" s="225" t="str">
        <f>IF($P204="","",_xlfn.TEXTJOIN(" - ",TRUE,'Input LwA_XYZ'!B23:C23))</f>
        <v/>
      </c>
      <c r="R204" s="231" t="str">
        <f>IF($P204="","",'Input LwA_XYZ'!Q23)</f>
        <v/>
      </c>
      <c r="S204" s="227" t="str">
        <f>IF($P204="","",ROUND(_xlfn.XLOOKUP(Tables!$N$182,'Input LwA_XYZ'!$AH$1:$AV$1,'Input LwA_XYZ'!AH23:AV23),0))</f>
        <v/>
      </c>
      <c r="T204" s="228" t="str">
        <f>IF($P204="","",-1*ROUND(_xlfn.XLOOKUP(Tables!$N$182,'Input LwA_XYZ'!$AY$1:$BM$1,'Input LwA_XYZ'!AY23:BM23),0))</f>
        <v/>
      </c>
      <c r="U204" s="228" t="str">
        <f>IF($P204="","",IF(_xlfn.XLOOKUP(Tables!$N$182,'Input LwA_XYZ'!$BV$1:$CJ$1,'Input LwA_XYZ'!BV23:CJ23)="","-",_xlfn.XLOOKUP(Tables!$N$182,'Input LwA_XYZ'!$BV$1:$CJ$1,'Input LwA_XYZ'!BV23:CJ23)))</f>
        <v/>
      </c>
      <c r="V204" s="228" t="str">
        <f>IF($P204="","",IF('Input LwA_XYZ'!S23="","-",'Input LwA_XYZ'!S23))</f>
        <v/>
      </c>
      <c r="W204" s="229" t="str" cm="1">
        <f t="array" ref="W204">IF($P204="","",IF(_xlfn.XLOOKUP(Tables!$N$182,_xlfn.ANCHORARRAY('Input LwA_XYZ'!$DD$1),'Input LwA_XYZ'!DD23:DR23)="","-",_xlfn.XLOOKUP(Tables!$N$182,_xlfn.ANCHORARRAY('Input LwA_XYZ'!$DD$1),'Input LwA_XYZ'!DD23:DR23)))</f>
        <v/>
      </c>
      <c r="X204" s="62" t="str">
        <f>IF($P204="","",_xlfn.XLOOKUP(Tables!$N$182,'Input LwA_XYZ'!$DU$1:$EI$1,'Input LwA_XYZ'!DU23:EI23))</f>
        <v/>
      </c>
    </row>
    <row r="205" spans="16:24" ht="16.5" x14ac:dyDescent="0.3">
      <c r="P205" s="230" t="str">
        <f>IF(OR('Input LwA_XYZ'!A24 = 0, NOT(ISBLANK(_xlfn.XLOOKUP(Tables!N$182, 'Input LwA_XYZ'!CM$1:DA$1, 'Input LwA_XYZ'!CM24:DA24)))), "", 'Input LwA_XYZ'!A24)</f>
        <v/>
      </c>
      <c r="Q205" s="225" t="str">
        <f>IF($P205="","",_xlfn.TEXTJOIN(" - ",TRUE,'Input LwA_XYZ'!B24:C24))</f>
        <v/>
      </c>
      <c r="R205" s="231" t="str">
        <f>IF($P205="","",'Input LwA_XYZ'!Q24)</f>
        <v/>
      </c>
      <c r="S205" s="227" t="str">
        <f>IF($P205="","",ROUND(_xlfn.XLOOKUP(Tables!$N$182,'Input LwA_XYZ'!$AH$1:$AV$1,'Input LwA_XYZ'!AH24:AV24),0))</f>
        <v/>
      </c>
      <c r="T205" s="228" t="str">
        <f>IF($P205="","",-1*ROUND(_xlfn.XLOOKUP(Tables!$N$182,'Input LwA_XYZ'!$AY$1:$BM$1,'Input LwA_XYZ'!AY24:BM24),0))</f>
        <v/>
      </c>
      <c r="U205" s="228" t="str">
        <f>IF($P205="","",IF(_xlfn.XLOOKUP(Tables!$N$182,'Input LwA_XYZ'!$BV$1:$CJ$1,'Input LwA_XYZ'!BV24:CJ24)="","-",_xlfn.XLOOKUP(Tables!$N$182,'Input LwA_XYZ'!$BV$1:$CJ$1,'Input LwA_XYZ'!BV24:CJ24)))</f>
        <v/>
      </c>
      <c r="V205" s="228" t="str">
        <f>IF($P205="","",IF('Input LwA_XYZ'!S24="","-",'Input LwA_XYZ'!S24))</f>
        <v/>
      </c>
      <c r="W205" s="229" t="str" cm="1">
        <f t="array" ref="W205">IF($P205="","",IF(_xlfn.XLOOKUP(Tables!$N$182,_xlfn.ANCHORARRAY('Input LwA_XYZ'!$DD$1),'Input LwA_XYZ'!DD24:DR24)="","-",_xlfn.XLOOKUP(Tables!$N$182,_xlfn.ANCHORARRAY('Input LwA_XYZ'!$DD$1),'Input LwA_XYZ'!DD24:DR24)))</f>
        <v/>
      </c>
      <c r="X205" s="62" t="str">
        <f>IF($P205="","",_xlfn.XLOOKUP(Tables!$N$182,'Input LwA_XYZ'!$DU$1:$EI$1,'Input LwA_XYZ'!DU24:EI24))</f>
        <v/>
      </c>
    </row>
    <row r="206" spans="16:24" ht="16.5" x14ac:dyDescent="0.3">
      <c r="P206" s="230" t="str">
        <f>IF(OR('Input LwA_XYZ'!A25 = 0, NOT(ISBLANK(_xlfn.XLOOKUP(Tables!N$182, 'Input LwA_XYZ'!CM$1:DA$1, 'Input LwA_XYZ'!CM25:DA25)))), "", 'Input LwA_XYZ'!A25)</f>
        <v/>
      </c>
      <c r="Q206" s="225" t="str">
        <f>IF($P206="","",_xlfn.TEXTJOIN(" - ",TRUE,'Input LwA_XYZ'!B25:C25))</f>
        <v/>
      </c>
      <c r="R206" s="231" t="str">
        <f>IF($P206="","",'Input LwA_XYZ'!Q25)</f>
        <v/>
      </c>
      <c r="S206" s="227" t="str">
        <f>IF($P206="","",ROUND(_xlfn.XLOOKUP(Tables!$N$182,'Input LwA_XYZ'!$AH$1:$AV$1,'Input LwA_XYZ'!AH25:AV25),0))</f>
        <v/>
      </c>
      <c r="T206" s="228" t="str">
        <f>IF($P206="","",-1*ROUND(_xlfn.XLOOKUP(Tables!$N$182,'Input LwA_XYZ'!$AY$1:$BM$1,'Input LwA_XYZ'!AY25:BM25),0))</f>
        <v/>
      </c>
      <c r="U206" s="228" t="str">
        <f>IF($P206="","",IF(_xlfn.XLOOKUP(Tables!$N$182,'Input LwA_XYZ'!$BV$1:$CJ$1,'Input LwA_XYZ'!BV25:CJ25)="","-",_xlfn.XLOOKUP(Tables!$N$182,'Input LwA_XYZ'!$BV$1:$CJ$1,'Input LwA_XYZ'!BV25:CJ25)))</f>
        <v/>
      </c>
      <c r="V206" s="228" t="str">
        <f>IF($P206="","",IF('Input LwA_XYZ'!S25="","-",'Input LwA_XYZ'!S25))</f>
        <v/>
      </c>
      <c r="W206" s="229" t="str" cm="1">
        <f t="array" ref="W206">IF($P206="","",IF(_xlfn.XLOOKUP(Tables!$N$182,_xlfn.ANCHORARRAY('Input LwA_XYZ'!$DD$1),'Input LwA_XYZ'!DD25:DR25)="","-",_xlfn.XLOOKUP(Tables!$N$182,_xlfn.ANCHORARRAY('Input LwA_XYZ'!$DD$1),'Input LwA_XYZ'!DD25:DR25)))</f>
        <v/>
      </c>
      <c r="X206" s="62" t="str">
        <f>IF($P206="","",_xlfn.XLOOKUP(Tables!$N$182,'Input LwA_XYZ'!$DU$1:$EI$1,'Input LwA_XYZ'!DU25:EI25))</f>
        <v/>
      </c>
    </row>
    <row r="207" spans="16:24" ht="16.5" x14ac:dyDescent="0.3">
      <c r="P207" s="230" t="str">
        <f>IF(OR('Input LwA_XYZ'!A26 = 0, NOT(ISBLANK(_xlfn.XLOOKUP(Tables!N$182, 'Input LwA_XYZ'!CM$1:DA$1, 'Input LwA_XYZ'!CM26:DA26)))), "", 'Input LwA_XYZ'!A26)</f>
        <v/>
      </c>
      <c r="Q207" s="225" t="str">
        <f>IF($P207="","",_xlfn.TEXTJOIN(" - ",TRUE,'Input LwA_XYZ'!B26:C26))</f>
        <v/>
      </c>
      <c r="R207" s="231" t="str">
        <f>IF($P207="","",'Input LwA_XYZ'!Q26)</f>
        <v/>
      </c>
      <c r="S207" s="227" t="str">
        <f>IF($P207="","",ROUND(_xlfn.XLOOKUP(Tables!$N$182,'Input LwA_XYZ'!$AH$1:$AV$1,'Input LwA_XYZ'!AH26:AV26),0))</f>
        <v/>
      </c>
      <c r="T207" s="228" t="str">
        <f>IF($P207="","",-1*ROUND(_xlfn.XLOOKUP(Tables!$N$182,'Input LwA_XYZ'!$AY$1:$BM$1,'Input LwA_XYZ'!AY26:BM26),0))</f>
        <v/>
      </c>
      <c r="U207" s="228" t="str">
        <f>IF($P207="","",IF(_xlfn.XLOOKUP(Tables!$N$182,'Input LwA_XYZ'!$BV$1:$CJ$1,'Input LwA_XYZ'!BV26:CJ26)="","-",_xlfn.XLOOKUP(Tables!$N$182,'Input LwA_XYZ'!$BV$1:$CJ$1,'Input LwA_XYZ'!BV26:CJ26)))</f>
        <v/>
      </c>
      <c r="V207" s="228" t="str">
        <f>IF($P207="","",IF('Input LwA_XYZ'!S26="","-",'Input LwA_XYZ'!S26))</f>
        <v/>
      </c>
      <c r="W207" s="229" t="str" cm="1">
        <f t="array" ref="W207">IF($P207="","",IF(_xlfn.XLOOKUP(Tables!$N$182,_xlfn.ANCHORARRAY('Input LwA_XYZ'!$DD$1),'Input LwA_XYZ'!DD26:DR26)="","-",_xlfn.XLOOKUP(Tables!$N$182,_xlfn.ANCHORARRAY('Input LwA_XYZ'!$DD$1),'Input LwA_XYZ'!DD26:DR26)))</f>
        <v/>
      </c>
      <c r="X207" s="62" t="str">
        <f>IF($P207="","",_xlfn.XLOOKUP(Tables!$N$182,'Input LwA_XYZ'!$DU$1:$EI$1,'Input LwA_XYZ'!DU26:EI26))</f>
        <v/>
      </c>
    </row>
    <row r="208" spans="16:24" ht="16.5" x14ac:dyDescent="0.3">
      <c r="P208" s="230" t="str">
        <f>IF(OR('Input LwA_XYZ'!A27 = 0, NOT(ISBLANK(_xlfn.XLOOKUP(Tables!N$182, 'Input LwA_XYZ'!CM$1:DA$1, 'Input LwA_XYZ'!CM27:DA27)))), "", 'Input LwA_XYZ'!A27)</f>
        <v/>
      </c>
      <c r="Q208" s="225" t="str">
        <f>IF($P208="","",_xlfn.TEXTJOIN(" - ",TRUE,'Input LwA_XYZ'!B27:C27))</f>
        <v/>
      </c>
      <c r="R208" s="231" t="str">
        <f>IF($P208="","",'Input LwA_XYZ'!Q27)</f>
        <v/>
      </c>
      <c r="S208" s="227" t="str">
        <f>IF($P208="","",ROUND(_xlfn.XLOOKUP(Tables!$N$182,'Input LwA_XYZ'!$AH$1:$AV$1,'Input LwA_XYZ'!AH27:AV27),0))</f>
        <v/>
      </c>
      <c r="T208" s="228" t="str">
        <f>IF($P208="","",-1*ROUND(_xlfn.XLOOKUP(Tables!$N$182,'Input LwA_XYZ'!$AY$1:$BM$1,'Input LwA_XYZ'!AY27:BM27),0))</f>
        <v/>
      </c>
      <c r="U208" s="228" t="str">
        <f>IF($P208="","",IF(_xlfn.XLOOKUP(Tables!$N$182,'Input LwA_XYZ'!$BV$1:$CJ$1,'Input LwA_XYZ'!BV27:CJ27)="","-",_xlfn.XLOOKUP(Tables!$N$182,'Input LwA_XYZ'!$BV$1:$CJ$1,'Input LwA_XYZ'!BV27:CJ27)))</f>
        <v/>
      </c>
      <c r="V208" s="228" t="str">
        <f>IF($P208="","",IF('Input LwA_XYZ'!S27="","-",'Input LwA_XYZ'!S27))</f>
        <v/>
      </c>
      <c r="W208" s="229" t="str" cm="1">
        <f t="array" ref="W208">IF($P208="","",IF(_xlfn.XLOOKUP(Tables!$N$182,_xlfn.ANCHORARRAY('Input LwA_XYZ'!$DD$1),'Input LwA_XYZ'!DD27:DR27)="","-",_xlfn.XLOOKUP(Tables!$N$182,_xlfn.ANCHORARRAY('Input LwA_XYZ'!$DD$1),'Input LwA_XYZ'!DD27:DR27)))</f>
        <v/>
      </c>
      <c r="X208" s="62" t="str">
        <f>IF($P208="","",_xlfn.XLOOKUP(Tables!$N$182,'Input LwA_XYZ'!$DU$1:$EI$1,'Input LwA_XYZ'!DU27:EI27))</f>
        <v/>
      </c>
    </row>
    <row r="209" spans="16:24" ht="16.5" x14ac:dyDescent="0.3">
      <c r="P209" s="230" t="str">
        <f>IF(OR('Input LwA_XYZ'!A28 = 0, NOT(ISBLANK(_xlfn.XLOOKUP(Tables!N$182, 'Input LwA_XYZ'!CM$1:DA$1, 'Input LwA_XYZ'!CM28:DA28)))), "", 'Input LwA_XYZ'!A28)</f>
        <v/>
      </c>
      <c r="Q209" s="225" t="str">
        <f>IF($P209="","",_xlfn.TEXTJOIN(" - ",TRUE,'Input LwA_XYZ'!B28:C28))</f>
        <v/>
      </c>
      <c r="R209" s="231" t="str">
        <f>IF($P209="","",'Input LwA_XYZ'!Q28)</f>
        <v/>
      </c>
      <c r="S209" s="227" t="str">
        <f>IF($P209="","",ROUND(_xlfn.XLOOKUP(Tables!$N$182,'Input LwA_XYZ'!$AH$1:$AV$1,'Input LwA_XYZ'!AH28:AV28),0))</f>
        <v/>
      </c>
      <c r="T209" s="228" t="str">
        <f>IF($P209="","",-1*ROUND(_xlfn.XLOOKUP(Tables!$N$182,'Input LwA_XYZ'!$AY$1:$BM$1,'Input LwA_XYZ'!AY28:BM28),0))</f>
        <v/>
      </c>
      <c r="U209" s="228" t="str">
        <f>IF($P209="","",IF(_xlfn.XLOOKUP(Tables!$N$182,'Input LwA_XYZ'!$BV$1:$CJ$1,'Input LwA_XYZ'!BV28:CJ28)="","-",_xlfn.XLOOKUP(Tables!$N$182,'Input LwA_XYZ'!$BV$1:$CJ$1,'Input LwA_XYZ'!BV28:CJ28)))</f>
        <v/>
      </c>
      <c r="V209" s="228" t="str">
        <f>IF($P209="","",IF('Input LwA_XYZ'!S28="","-",'Input LwA_XYZ'!S28))</f>
        <v/>
      </c>
      <c r="W209" s="229" t="str" cm="1">
        <f t="array" ref="W209">IF($P209="","",IF(_xlfn.XLOOKUP(Tables!$N$182,_xlfn.ANCHORARRAY('Input LwA_XYZ'!$DD$1),'Input LwA_XYZ'!DD28:DR28)="","-",_xlfn.XLOOKUP(Tables!$N$182,_xlfn.ANCHORARRAY('Input LwA_XYZ'!$DD$1),'Input LwA_XYZ'!DD28:DR28)))</f>
        <v/>
      </c>
      <c r="X209" s="62" t="str">
        <f>IF($P209="","",_xlfn.XLOOKUP(Tables!$N$182,'Input LwA_XYZ'!$DU$1:$EI$1,'Input LwA_XYZ'!DU28:EI28))</f>
        <v/>
      </c>
    </row>
    <row r="210" spans="16:24" ht="16.5" x14ac:dyDescent="0.3">
      <c r="P210" s="230" t="str">
        <f>IF(OR('Input LwA_XYZ'!A29 = 0, NOT(ISBLANK(_xlfn.XLOOKUP(Tables!N$182, 'Input LwA_XYZ'!CM$1:DA$1, 'Input LwA_XYZ'!CM29:DA29)))), "", 'Input LwA_XYZ'!A29)</f>
        <v/>
      </c>
      <c r="Q210" s="225" t="str">
        <f>IF($P210="","",_xlfn.TEXTJOIN(" - ",TRUE,'Input LwA_XYZ'!B29:C29))</f>
        <v/>
      </c>
      <c r="R210" s="231" t="str">
        <f>IF($P210="","",'Input LwA_XYZ'!Q29)</f>
        <v/>
      </c>
      <c r="S210" s="227" t="str">
        <f>IF($P210="","",ROUND(_xlfn.XLOOKUP(Tables!$N$182,'Input LwA_XYZ'!$AH$1:$AV$1,'Input LwA_XYZ'!AH29:AV29),0))</f>
        <v/>
      </c>
      <c r="T210" s="228" t="str">
        <f>IF($P210="","",-1*ROUND(_xlfn.XLOOKUP(Tables!$N$182,'Input LwA_XYZ'!$AY$1:$BM$1,'Input LwA_XYZ'!AY29:BM29),0))</f>
        <v/>
      </c>
      <c r="U210" s="228" t="str">
        <f>IF($P210="","",IF(_xlfn.XLOOKUP(Tables!$N$182,'Input LwA_XYZ'!$BV$1:$CJ$1,'Input LwA_XYZ'!BV29:CJ29)="","-",_xlfn.XLOOKUP(Tables!$N$182,'Input LwA_XYZ'!$BV$1:$CJ$1,'Input LwA_XYZ'!BV29:CJ29)))</f>
        <v/>
      </c>
      <c r="V210" s="228" t="str">
        <f>IF($P210="","",IF('Input LwA_XYZ'!S29="","-",'Input LwA_XYZ'!S29))</f>
        <v/>
      </c>
      <c r="W210" s="229" t="str" cm="1">
        <f t="array" ref="W210">IF($P210="","",IF(_xlfn.XLOOKUP(Tables!$N$182,_xlfn.ANCHORARRAY('Input LwA_XYZ'!$DD$1),'Input LwA_XYZ'!DD29:DR29)="","-",_xlfn.XLOOKUP(Tables!$N$182,_xlfn.ANCHORARRAY('Input LwA_XYZ'!$DD$1),'Input LwA_XYZ'!DD29:DR29)))</f>
        <v/>
      </c>
      <c r="X210" s="62" t="str">
        <f>IF($P210="","",_xlfn.XLOOKUP(Tables!$N$182,'Input LwA_XYZ'!$DU$1:$EI$1,'Input LwA_XYZ'!DU29:EI29))</f>
        <v/>
      </c>
    </row>
    <row r="211" spans="16:24" ht="16.5" x14ac:dyDescent="0.3">
      <c r="P211" s="230" t="str">
        <f>IF(OR('Input LwA_XYZ'!A30 = 0, NOT(ISBLANK(_xlfn.XLOOKUP(Tables!N$182, 'Input LwA_XYZ'!CM$1:DA$1, 'Input LwA_XYZ'!CM30:DA30)))), "", 'Input LwA_XYZ'!A30)</f>
        <v/>
      </c>
      <c r="Q211" s="225" t="str">
        <f>IF($P211="","",_xlfn.TEXTJOIN(" - ",TRUE,'Input LwA_XYZ'!B30:C30))</f>
        <v/>
      </c>
      <c r="R211" s="231" t="str">
        <f>IF($P211="","",'Input LwA_XYZ'!Q30)</f>
        <v/>
      </c>
      <c r="S211" s="227" t="str">
        <f>IF($P211="","",ROUND(_xlfn.XLOOKUP(Tables!$N$182,'Input LwA_XYZ'!$AH$1:$AV$1,'Input LwA_XYZ'!AH30:AV30),0))</f>
        <v/>
      </c>
      <c r="T211" s="228" t="str">
        <f>IF($P211="","",-1*ROUND(_xlfn.XLOOKUP(Tables!$N$182,'Input LwA_XYZ'!$AY$1:$BM$1,'Input LwA_XYZ'!AY30:BM30),0))</f>
        <v/>
      </c>
      <c r="U211" s="228" t="str">
        <f>IF($P211="","",IF(_xlfn.XLOOKUP(Tables!$N$182,'Input LwA_XYZ'!$BV$1:$CJ$1,'Input LwA_XYZ'!BV30:CJ30)="","-",_xlfn.XLOOKUP(Tables!$N$182,'Input LwA_XYZ'!$BV$1:$CJ$1,'Input LwA_XYZ'!BV30:CJ30)))</f>
        <v/>
      </c>
      <c r="V211" s="228" t="str">
        <f>IF($P211="","",IF('Input LwA_XYZ'!S30="","-",'Input LwA_XYZ'!S30))</f>
        <v/>
      </c>
      <c r="W211" s="229" t="str" cm="1">
        <f t="array" ref="W211">IF($P211="","",IF(_xlfn.XLOOKUP(Tables!$N$182,_xlfn.ANCHORARRAY('Input LwA_XYZ'!$DD$1),'Input LwA_XYZ'!DD30:DR30)="","-",_xlfn.XLOOKUP(Tables!$N$182,_xlfn.ANCHORARRAY('Input LwA_XYZ'!$DD$1),'Input LwA_XYZ'!DD30:DR30)))</f>
        <v/>
      </c>
      <c r="X211" s="62" t="str">
        <f>IF($P211="","",_xlfn.XLOOKUP(Tables!$N$182,'Input LwA_XYZ'!$DU$1:$EI$1,'Input LwA_XYZ'!DU30:EI30))</f>
        <v/>
      </c>
    </row>
    <row r="212" spans="16:24" ht="16.5" x14ac:dyDescent="0.3">
      <c r="P212" s="230" t="str">
        <f>IF(OR('Input LwA_XYZ'!A31 = 0, NOT(ISBLANK(_xlfn.XLOOKUP(Tables!N$182, 'Input LwA_XYZ'!CM$1:DA$1, 'Input LwA_XYZ'!CM31:DA31)))), "", 'Input LwA_XYZ'!A31)</f>
        <v/>
      </c>
      <c r="Q212" s="225" t="str">
        <f>IF($P212="","",_xlfn.TEXTJOIN(" - ",TRUE,'Input LwA_XYZ'!B31:C31))</f>
        <v/>
      </c>
      <c r="R212" s="231" t="str">
        <f>IF($P212="","",'Input LwA_XYZ'!Q31)</f>
        <v/>
      </c>
      <c r="S212" s="227" t="str">
        <f>IF($P212="","",ROUND(_xlfn.XLOOKUP(Tables!$N$182,'Input LwA_XYZ'!$AH$1:$AV$1,'Input LwA_XYZ'!AH31:AV31),0))</f>
        <v/>
      </c>
      <c r="T212" s="228" t="str">
        <f>IF($P212="","",-1*ROUND(_xlfn.XLOOKUP(Tables!$N$182,'Input LwA_XYZ'!$AY$1:$BM$1,'Input LwA_XYZ'!AY31:BM31),0))</f>
        <v/>
      </c>
      <c r="U212" s="228" t="str">
        <f>IF($P212="","",IF(_xlfn.XLOOKUP(Tables!$N$182,'Input LwA_XYZ'!$BV$1:$CJ$1,'Input LwA_XYZ'!BV31:CJ31)="","-",_xlfn.XLOOKUP(Tables!$N$182,'Input LwA_XYZ'!$BV$1:$CJ$1,'Input LwA_XYZ'!BV31:CJ31)))</f>
        <v/>
      </c>
      <c r="V212" s="228" t="str">
        <f>IF($P212="","",IF('Input LwA_XYZ'!S31="","-",'Input LwA_XYZ'!S31))</f>
        <v/>
      </c>
      <c r="W212" s="229" t="str" cm="1">
        <f t="array" ref="W212">IF($P212="","",IF(_xlfn.XLOOKUP(Tables!$N$182,_xlfn.ANCHORARRAY('Input LwA_XYZ'!$DD$1),'Input LwA_XYZ'!DD31:DR31)="","-",_xlfn.XLOOKUP(Tables!$N$182,_xlfn.ANCHORARRAY('Input LwA_XYZ'!$DD$1),'Input LwA_XYZ'!DD31:DR31)))</f>
        <v/>
      </c>
      <c r="X212" s="62" t="str">
        <f>IF($P212="","",_xlfn.XLOOKUP(Tables!$N$182,'Input LwA_XYZ'!$DU$1:$EI$1,'Input LwA_XYZ'!DU31:EI31))</f>
        <v/>
      </c>
    </row>
    <row r="213" spans="16:24" ht="16.5" x14ac:dyDescent="0.3">
      <c r="P213" s="230" t="str">
        <f>IF(OR('Input LwA_XYZ'!A32 = 0, NOT(ISBLANK(_xlfn.XLOOKUP(Tables!N$182, 'Input LwA_XYZ'!CM$1:DA$1, 'Input LwA_XYZ'!CM32:DA32)))), "", 'Input LwA_XYZ'!A32)</f>
        <v/>
      </c>
      <c r="Q213" s="225" t="str">
        <f>IF($P213="","",_xlfn.TEXTJOIN(" - ",TRUE,'Input LwA_XYZ'!B32:C32))</f>
        <v/>
      </c>
      <c r="R213" s="231" t="str">
        <f>IF($P213="","",'Input LwA_XYZ'!Q32)</f>
        <v/>
      </c>
      <c r="S213" s="227" t="str">
        <f>IF($P213="","",ROUND(_xlfn.XLOOKUP(Tables!$N$182,'Input LwA_XYZ'!$AH$1:$AV$1,'Input LwA_XYZ'!AH32:AV32),0))</f>
        <v/>
      </c>
      <c r="T213" s="228" t="str">
        <f>IF($P213="","",-1*ROUND(_xlfn.XLOOKUP(Tables!$N$182,'Input LwA_XYZ'!$AY$1:$BM$1,'Input LwA_XYZ'!AY32:BM32),0))</f>
        <v/>
      </c>
      <c r="U213" s="228" t="str">
        <f>IF($P213="","",IF(_xlfn.XLOOKUP(Tables!$N$182,'Input LwA_XYZ'!$BV$1:$CJ$1,'Input LwA_XYZ'!BV32:CJ32)="","-",_xlfn.XLOOKUP(Tables!$N$182,'Input LwA_XYZ'!$BV$1:$CJ$1,'Input LwA_XYZ'!BV32:CJ32)))</f>
        <v/>
      </c>
      <c r="V213" s="228" t="str">
        <f>IF($P213="","",IF('Input LwA_XYZ'!S32="","-",'Input LwA_XYZ'!S32))</f>
        <v/>
      </c>
      <c r="W213" s="229" t="str" cm="1">
        <f t="array" ref="W213">IF($P213="","",IF(_xlfn.XLOOKUP(Tables!$N$182,_xlfn.ANCHORARRAY('Input LwA_XYZ'!$DD$1),'Input LwA_XYZ'!DD32:DR32)="","-",_xlfn.XLOOKUP(Tables!$N$182,_xlfn.ANCHORARRAY('Input LwA_XYZ'!$DD$1),'Input LwA_XYZ'!DD32:DR32)))</f>
        <v/>
      </c>
      <c r="X213" s="62" t="str">
        <f>IF($P213="","",_xlfn.XLOOKUP(Tables!$N$182,'Input LwA_XYZ'!$DU$1:$EI$1,'Input LwA_XYZ'!DU32:EI32))</f>
        <v/>
      </c>
    </row>
    <row r="214" spans="16:24" ht="16.5" x14ac:dyDescent="0.3">
      <c r="P214" s="230" t="str">
        <f>IF(OR('Input LwA_XYZ'!A33 = 0, NOT(ISBLANK(_xlfn.XLOOKUP(Tables!N$182, 'Input LwA_XYZ'!CM$1:DA$1, 'Input LwA_XYZ'!CM33:DA33)))), "", 'Input LwA_XYZ'!A33)</f>
        <v/>
      </c>
      <c r="Q214" s="225" t="str">
        <f>IF($P214="","",_xlfn.TEXTJOIN(" - ",TRUE,'Input LwA_XYZ'!B33:C33))</f>
        <v/>
      </c>
      <c r="R214" s="231" t="str">
        <f>IF($P214="","",'Input LwA_XYZ'!Q33)</f>
        <v/>
      </c>
      <c r="S214" s="227" t="str">
        <f>IF($P214="","",ROUND(_xlfn.XLOOKUP(Tables!$N$182,'Input LwA_XYZ'!$AH$1:$AV$1,'Input LwA_XYZ'!AH33:AV33),0))</f>
        <v/>
      </c>
      <c r="T214" s="228" t="str">
        <f>IF($P214="","",-1*ROUND(_xlfn.XLOOKUP(Tables!$N$182,'Input LwA_XYZ'!$AY$1:$BM$1,'Input LwA_XYZ'!AY33:BM33),0))</f>
        <v/>
      </c>
      <c r="U214" s="228" t="str">
        <f>IF($P214="","",IF(_xlfn.XLOOKUP(Tables!$N$182,'Input LwA_XYZ'!$BV$1:$CJ$1,'Input LwA_XYZ'!BV33:CJ33)="","-",_xlfn.XLOOKUP(Tables!$N$182,'Input LwA_XYZ'!$BV$1:$CJ$1,'Input LwA_XYZ'!BV33:CJ33)))</f>
        <v/>
      </c>
      <c r="V214" s="228" t="str">
        <f>IF($P214="","",IF('Input LwA_XYZ'!S33="","-",'Input LwA_XYZ'!S33))</f>
        <v/>
      </c>
      <c r="W214" s="229" t="str" cm="1">
        <f t="array" ref="W214">IF($P214="","",IF(_xlfn.XLOOKUP(Tables!$N$182,_xlfn.ANCHORARRAY('Input LwA_XYZ'!$DD$1),'Input LwA_XYZ'!DD33:DR33)="","-",_xlfn.XLOOKUP(Tables!$N$182,_xlfn.ANCHORARRAY('Input LwA_XYZ'!$DD$1),'Input LwA_XYZ'!DD33:DR33)))</f>
        <v/>
      </c>
      <c r="X214" s="62" t="str">
        <f>IF($P214="","",_xlfn.XLOOKUP(Tables!$N$182,'Input LwA_XYZ'!$DU$1:$EI$1,'Input LwA_XYZ'!DU33:EI33))</f>
        <v/>
      </c>
    </row>
    <row r="215" spans="16:24" ht="16.5" x14ac:dyDescent="0.3">
      <c r="P215" s="230" t="str">
        <f>IF(OR('Input LwA_XYZ'!A34 = 0, NOT(ISBLANK(_xlfn.XLOOKUP(Tables!N$182, 'Input LwA_XYZ'!CM$1:DA$1, 'Input LwA_XYZ'!CM34:DA34)))), "", 'Input LwA_XYZ'!A34)</f>
        <v/>
      </c>
      <c r="Q215" s="225" t="str">
        <f>IF($P215="","",_xlfn.TEXTJOIN(" - ",TRUE,'Input LwA_XYZ'!B34:C34))</f>
        <v/>
      </c>
      <c r="R215" s="231" t="str">
        <f>IF($P215="","",'Input LwA_XYZ'!Q34)</f>
        <v/>
      </c>
      <c r="S215" s="227" t="str">
        <f>IF($P215="","",ROUND(_xlfn.XLOOKUP(Tables!$N$182,'Input LwA_XYZ'!$AH$1:$AV$1,'Input LwA_XYZ'!AH34:AV34),0))</f>
        <v/>
      </c>
      <c r="T215" s="228" t="str">
        <f>IF($P215="","",-1*ROUND(_xlfn.XLOOKUP(Tables!$N$182,'Input LwA_XYZ'!$AY$1:$BM$1,'Input LwA_XYZ'!AY34:BM34),0))</f>
        <v/>
      </c>
      <c r="U215" s="228" t="str">
        <f>IF($P215="","",IF(_xlfn.XLOOKUP(Tables!$N$182,'Input LwA_XYZ'!$BV$1:$CJ$1,'Input LwA_XYZ'!BV34:CJ34)="","-",_xlfn.XLOOKUP(Tables!$N$182,'Input LwA_XYZ'!$BV$1:$CJ$1,'Input LwA_XYZ'!BV34:CJ34)))</f>
        <v/>
      </c>
      <c r="V215" s="228" t="str">
        <f>IF($P215="","",IF('Input LwA_XYZ'!S34="","-",'Input LwA_XYZ'!S34))</f>
        <v/>
      </c>
      <c r="W215" s="229" t="str" cm="1">
        <f t="array" ref="W215">IF($P215="","",IF(_xlfn.XLOOKUP(Tables!$N$182,_xlfn.ANCHORARRAY('Input LwA_XYZ'!$DD$1),'Input LwA_XYZ'!DD34:DR34)="","-",_xlfn.XLOOKUP(Tables!$N$182,_xlfn.ANCHORARRAY('Input LwA_XYZ'!$DD$1),'Input LwA_XYZ'!DD34:DR34)))</f>
        <v/>
      </c>
      <c r="X215" s="62" t="str">
        <f>IF($P215="","",_xlfn.XLOOKUP(Tables!$N$182,'Input LwA_XYZ'!$DU$1:$EI$1,'Input LwA_XYZ'!DU34:EI34))</f>
        <v/>
      </c>
    </row>
    <row r="216" spans="16:24" ht="16.5" x14ac:dyDescent="0.3">
      <c r="P216" s="230" t="str">
        <f>IF(OR('Input LwA_XYZ'!A35 = 0, NOT(ISBLANK(_xlfn.XLOOKUP(Tables!N$182, 'Input LwA_XYZ'!CM$1:DA$1, 'Input LwA_XYZ'!CM35:DA35)))), "", 'Input LwA_XYZ'!A35)</f>
        <v/>
      </c>
      <c r="Q216" s="225" t="str">
        <f>IF($P216="","",_xlfn.TEXTJOIN(" - ",TRUE,'Input LwA_XYZ'!B35:C35))</f>
        <v/>
      </c>
      <c r="R216" s="231" t="str">
        <f>IF($P216="","",'Input LwA_XYZ'!Q35)</f>
        <v/>
      </c>
      <c r="S216" s="227" t="str">
        <f>IF($P216="","",ROUND(_xlfn.XLOOKUP(Tables!$N$182,'Input LwA_XYZ'!$AH$1:$AV$1,'Input LwA_XYZ'!AH35:AV35),0))</f>
        <v/>
      </c>
      <c r="T216" s="228" t="str">
        <f>IF($P216="","",-1*ROUND(_xlfn.XLOOKUP(Tables!$N$182,'Input LwA_XYZ'!$AY$1:$BM$1,'Input LwA_XYZ'!AY35:BM35),0))</f>
        <v/>
      </c>
      <c r="U216" s="228" t="str">
        <f>IF($P216="","",IF(_xlfn.XLOOKUP(Tables!$N$182,'Input LwA_XYZ'!$BV$1:$CJ$1,'Input LwA_XYZ'!BV35:CJ35)="","-",_xlfn.XLOOKUP(Tables!$N$182,'Input LwA_XYZ'!$BV$1:$CJ$1,'Input LwA_XYZ'!BV35:CJ35)))</f>
        <v/>
      </c>
      <c r="V216" s="228" t="str">
        <f>IF($P216="","",IF('Input LwA_XYZ'!S35="","-",'Input LwA_XYZ'!S35))</f>
        <v/>
      </c>
      <c r="W216" s="229" t="str" cm="1">
        <f t="array" ref="W216">IF($P216="","",IF(_xlfn.XLOOKUP(Tables!$N$182,_xlfn.ANCHORARRAY('Input LwA_XYZ'!$DD$1),'Input LwA_XYZ'!DD35:DR35)="","-",_xlfn.XLOOKUP(Tables!$N$182,_xlfn.ANCHORARRAY('Input LwA_XYZ'!$DD$1),'Input LwA_XYZ'!DD35:DR35)))</f>
        <v/>
      </c>
      <c r="X216" s="62" t="str">
        <f>IF($P216="","",_xlfn.XLOOKUP(Tables!$N$182,'Input LwA_XYZ'!$DU$1:$EI$1,'Input LwA_XYZ'!DU35:EI35))</f>
        <v/>
      </c>
    </row>
    <row r="217" spans="16:24" ht="16.5" x14ac:dyDescent="0.3">
      <c r="P217" s="230" t="str">
        <f>IF(OR('Input LwA_XYZ'!A36 = 0, NOT(ISBLANK(_xlfn.XLOOKUP(Tables!N$182, 'Input LwA_XYZ'!CM$1:DA$1, 'Input LwA_XYZ'!CM36:DA36)))), "", 'Input LwA_XYZ'!A36)</f>
        <v/>
      </c>
      <c r="Q217" s="225" t="str">
        <f>IF($P217="","",_xlfn.TEXTJOIN(" - ",TRUE,'Input LwA_XYZ'!B36:C36))</f>
        <v/>
      </c>
      <c r="R217" s="231" t="str">
        <f>IF($P217="","",'Input LwA_XYZ'!Q36)</f>
        <v/>
      </c>
      <c r="S217" s="227" t="str">
        <f>IF($P217="","",ROUND(_xlfn.XLOOKUP(Tables!$N$182,'Input LwA_XYZ'!$AH$1:$AV$1,'Input LwA_XYZ'!AH36:AV36),0))</f>
        <v/>
      </c>
      <c r="T217" s="228" t="str">
        <f>IF($P217="","",-1*ROUND(_xlfn.XLOOKUP(Tables!$N$182,'Input LwA_XYZ'!$AY$1:$BM$1,'Input LwA_XYZ'!AY36:BM36),0))</f>
        <v/>
      </c>
      <c r="U217" s="228" t="str">
        <f>IF($P217="","",IF(_xlfn.XLOOKUP(Tables!$N$182,'Input LwA_XYZ'!$BV$1:$CJ$1,'Input LwA_XYZ'!BV36:CJ36)="","-",_xlfn.XLOOKUP(Tables!$N$182,'Input LwA_XYZ'!$BV$1:$CJ$1,'Input LwA_XYZ'!BV36:CJ36)))</f>
        <v/>
      </c>
      <c r="V217" s="228" t="str">
        <f>IF($P217="","",IF('Input LwA_XYZ'!S36="","-",'Input LwA_XYZ'!S36))</f>
        <v/>
      </c>
      <c r="W217" s="229" t="str" cm="1">
        <f t="array" ref="W217">IF($P217="","",IF(_xlfn.XLOOKUP(Tables!$N$182,_xlfn.ANCHORARRAY('Input LwA_XYZ'!$DD$1),'Input LwA_XYZ'!DD36:DR36)="","-",_xlfn.XLOOKUP(Tables!$N$182,_xlfn.ANCHORARRAY('Input LwA_XYZ'!$DD$1),'Input LwA_XYZ'!DD36:DR36)))</f>
        <v/>
      </c>
      <c r="X217" s="62" t="str">
        <f>IF($P217="","",_xlfn.XLOOKUP(Tables!$N$182,'Input LwA_XYZ'!$DU$1:$EI$1,'Input LwA_XYZ'!DU36:EI36))</f>
        <v/>
      </c>
    </row>
    <row r="218" spans="16:24" ht="16.5" x14ac:dyDescent="0.3">
      <c r="P218" s="230" t="str">
        <f>IF(OR('Input LwA_XYZ'!A37 = 0, NOT(ISBLANK(_xlfn.XLOOKUP(Tables!N$182, 'Input LwA_XYZ'!CM$1:DA$1, 'Input LwA_XYZ'!CM37:DA37)))), "", 'Input LwA_XYZ'!A37)</f>
        <v/>
      </c>
      <c r="Q218" s="225" t="str">
        <f>IF($P218="","",_xlfn.TEXTJOIN(" - ",TRUE,'Input LwA_XYZ'!B37:C37))</f>
        <v/>
      </c>
      <c r="R218" s="231" t="str">
        <f>IF($P218="","",'Input LwA_XYZ'!Q37)</f>
        <v/>
      </c>
      <c r="S218" s="227" t="str">
        <f>IF($P218="","",ROUND(_xlfn.XLOOKUP(Tables!$N$182,'Input LwA_XYZ'!$AH$1:$AV$1,'Input LwA_XYZ'!AH37:AV37),0))</f>
        <v/>
      </c>
      <c r="T218" s="228" t="str">
        <f>IF($P218="","",-1*ROUND(_xlfn.XLOOKUP(Tables!$N$182,'Input LwA_XYZ'!$AY$1:$BM$1,'Input LwA_XYZ'!AY37:BM37),0))</f>
        <v/>
      </c>
      <c r="U218" s="228" t="str">
        <f>IF($P218="","",IF(_xlfn.XLOOKUP(Tables!$N$182,'Input LwA_XYZ'!$BV$1:$CJ$1,'Input LwA_XYZ'!BV37:CJ37)="","-",_xlfn.XLOOKUP(Tables!$N$182,'Input LwA_XYZ'!$BV$1:$CJ$1,'Input LwA_XYZ'!BV37:CJ37)))</f>
        <v/>
      </c>
      <c r="V218" s="228" t="str">
        <f>IF($P218="","",IF('Input LwA_XYZ'!S37="","-",'Input LwA_XYZ'!S37))</f>
        <v/>
      </c>
      <c r="W218" s="229" t="str" cm="1">
        <f t="array" ref="W218">IF($P218="","",IF(_xlfn.XLOOKUP(Tables!$N$182,_xlfn.ANCHORARRAY('Input LwA_XYZ'!$DD$1),'Input LwA_XYZ'!DD37:DR37)="","-",_xlfn.XLOOKUP(Tables!$N$182,_xlfn.ANCHORARRAY('Input LwA_XYZ'!$DD$1),'Input LwA_XYZ'!DD37:DR37)))</f>
        <v/>
      </c>
      <c r="X218" s="62" t="str">
        <f>IF($P218="","",_xlfn.XLOOKUP(Tables!$N$182,'Input LwA_XYZ'!$DU$1:$EI$1,'Input LwA_XYZ'!DU37:EI37))</f>
        <v/>
      </c>
    </row>
    <row r="219" spans="16:24" ht="16.5" x14ac:dyDescent="0.3">
      <c r="P219" s="230" t="str">
        <f>IF(OR('Input LwA_XYZ'!A38 = 0, NOT(ISBLANK(_xlfn.XLOOKUP(Tables!N$182, 'Input LwA_XYZ'!CM$1:DA$1, 'Input LwA_XYZ'!CM38:DA38)))), "", 'Input LwA_XYZ'!A38)</f>
        <v/>
      </c>
      <c r="Q219" s="225" t="str">
        <f>IF($P219="","",_xlfn.TEXTJOIN(" - ",TRUE,'Input LwA_XYZ'!B38:C38))</f>
        <v/>
      </c>
      <c r="R219" s="231" t="str">
        <f>IF($P219="","",'Input LwA_XYZ'!Q38)</f>
        <v/>
      </c>
      <c r="S219" s="227" t="str">
        <f>IF($P219="","",ROUND(_xlfn.XLOOKUP(Tables!$N$182,'Input LwA_XYZ'!$AH$1:$AV$1,'Input LwA_XYZ'!AH38:AV38),0))</f>
        <v/>
      </c>
      <c r="T219" s="228" t="str">
        <f>IF($P219="","",-1*ROUND(_xlfn.XLOOKUP(Tables!$N$182,'Input LwA_XYZ'!$AY$1:$BM$1,'Input LwA_XYZ'!AY38:BM38),0))</f>
        <v/>
      </c>
      <c r="U219" s="228" t="str">
        <f>IF($P219="","",IF(_xlfn.XLOOKUP(Tables!$N$182,'Input LwA_XYZ'!$BV$1:$CJ$1,'Input LwA_XYZ'!BV38:CJ38)="","-",_xlfn.XLOOKUP(Tables!$N$182,'Input LwA_XYZ'!$BV$1:$CJ$1,'Input LwA_XYZ'!BV38:CJ38)))</f>
        <v/>
      </c>
      <c r="V219" s="228" t="str">
        <f>IF($P219="","",IF('Input LwA_XYZ'!S38="","-",'Input LwA_XYZ'!S38))</f>
        <v/>
      </c>
      <c r="W219" s="229" t="str" cm="1">
        <f t="array" ref="W219">IF($P219="","",IF(_xlfn.XLOOKUP(Tables!$N$182,_xlfn.ANCHORARRAY('Input LwA_XYZ'!$DD$1),'Input LwA_XYZ'!DD38:DR38)="","-",_xlfn.XLOOKUP(Tables!$N$182,_xlfn.ANCHORARRAY('Input LwA_XYZ'!$DD$1),'Input LwA_XYZ'!DD38:DR38)))</f>
        <v/>
      </c>
      <c r="X219" s="62" t="str">
        <f>IF($P219="","",_xlfn.XLOOKUP(Tables!$N$182,'Input LwA_XYZ'!$DU$1:$EI$1,'Input LwA_XYZ'!DU38:EI38))</f>
        <v/>
      </c>
    </row>
    <row r="220" spans="16:24" ht="16.5" x14ac:dyDescent="0.3">
      <c r="P220" s="230" t="str">
        <f>IF(OR('Input LwA_XYZ'!A39 = 0, NOT(ISBLANK(_xlfn.XLOOKUP(Tables!N$182, 'Input LwA_XYZ'!CM$1:DA$1, 'Input LwA_XYZ'!CM39:DA39)))), "", 'Input LwA_XYZ'!A39)</f>
        <v/>
      </c>
      <c r="Q220" s="225" t="str">
        <f>IF($P220="","",_xlfn.TEXTJOIN(" - ",TRUE,'Input LwA_XYZ'!B39:C39))</f>
        <v/>
      </c>
      <c r="R220" s="231" t="str">
        <f>IF($P220="","",'Input LwA_XYZ'!Q39)</f>
        <v/>
      </c>
      <c r="S220" s="227" t="str">
        <f>IF($P220="","",ROUND(_xlfn.XLOOKUP(Tables!$N$182,'Input LwA_XYZ'!$AH$1:$AV$1,'Input LwA_XYZ'!AH39:AV39),0))</f>
        <v/>
      </c>
      <c r="T220" s="228" t="str">
        <f>IF($P220="","",-1*ROUND(_xlfn.XLOOKUP(Tables!$N$182,'Input LwA_XYZ'!$AY$1:$BM$1,'Input LwA_XYZ'!AY39:BM39),0))</f>
        <v/>
      </c>
      <c r="U220" s="228" t="str">
        <f>IF($P220="","",IF(_xlfn.XLOOKUP(Tables!$N$182,'Input LwA_XYZ'!$BV$1:$CJ$1,'Input LwA_XYZ'!BV39:CJ39)="","-",_xlfn.XLOOKUP(Tables!$N$182,'Input LwA_XYZ'!$BV$1:$CJ$1,'Input LwA_XYZ'!BV39:CJ39)))</f>
        <v/>
      </c>
      <c r="V220" s="228" t="str">
        <f>IF($P220="","",IF('Input LwA_XYZ'!S39="","-",'Input LwA_XYZ'!S39))</f>
        <v/>
      </c>
      <c r="W220" s="229" t="str" cm="1">
        <f t="array" ref="W220">IF($P220="","",IF(_xlfn.XLOOKUP(Tables!$N$182,_xlfn.ANCHORARRAY('Input LwA_XYZ'!$DD$1),'Input LwA_XYZ'!DD39:DR39)="","-",_xlfn.XLOOKUP(Tables!$N$182,_xlfn.ANCHORARRAY('Input LwA_XYZ'!$DD$1),'Input LwA_XYZ'!DD39:DR39)))</f>
        <v/>
      </c>
      <c r="X220" s="62" t="str">
        <f>IF($P220="","",_xlfn.XLOOKUP(Tables!$N$182,'Input LwA_XYZ'!$DU$1:$EI$1,'Input LwA_XYZ'!DU39:EI39))</f>
        <v/>
      </c>
    </row>
    <row r="221" spans="16:24" ht="16.5" x14ac:dyDescent="0.3">
      <c r="P221" s="230" t="str">
        <f>IF(OR('Input LwA_XYZ'!A40 = 0, NOT(ISBLANK(_xlfn.XLOOKUP(Tables!N$182, 'Input LwA_XYZ'!CM$1:DA$1, 'Input LwA_XYZ'!CM40:DA40)))), "", 'Input LwA_XYZ'!A40)</f>
        <v/>
      </c>
      <c r="Q221" s="225" t="str">
        <f>IF($P221="","",_xlfn.TEXTJOIN(" - ",TRUE,'Input LwA_XYZ'!B40:C40))</f>
        <v/>
      </c>
      <c r="R221" s="231" t="str">
        <f>IF($P221="","",'Input LwA_XYZ'!Q40)</f>
        <v/>
      </c>
      <c r="S221" s="227" t="str">
        <f>IF($P221="","",ROUND(_xlfn.XLOOKUP(Tables!$N$182,'Input LwA_XYZ'!$AH$1:$AV$1,'Input LwA_XYZ'!AH40:AV40),0))</f>
        <v/>
      </c>
      <c r="T221" s="228" t="str">
        <f>IF($P221="","",-1*ROUND(_xlfn.XLOOKUP(Tables!$N$182,'Input LwA_XYZ'!$AY$1:$BM$1,'Input LwA_XYZ'!AY40:BM40),0))</f>
        <v/>
      </c>
      <c r="U221" s="228" t="str">
        <f>IF($P221="","",IF(_xlfn.XLOOKUP(Tables!$N$182,'Input LwA_XYZ'!$BV$1:$CJ$1,'Input LwA_XYZ'!BV40:CJ40)="","-",_xlfn.XLOOKUP(Tables!$N$182,'Input LwA_XYZ'!$BV$1:$CJ$1,'Input LwA_XYZ'!BV40:CJ40)))</f>
        <v/>
      </c>
      <c r="V221" s="228" t="str">
        <f>IF($P221="","",IF('Input LwA_XYZ'!S40="","-",'Input LwA_XYZ'!S40))</f>
        <v/>
      </c>
      <c r="W221" s="229" t="str" cm="1">
        <f t="array" ref="W221">IF($P221="","",IF(_xlfn.XLOOKUP(Tables!$N$182,_xlfn.ANCHORARRAY('Input LwA_XYZ'!$DD$1),'Input LwA_XYZ'!DD40:DR40)="","-",_xlfn.XLOOKUP(Tables!$N$182,_xlfn.ANCHORARRAY('Input LwA_XYZ'!$DD$1),'Input LwA_XYZ'!DD40:DR40)))</f>
        <v/>
      </c>
      <c r="X221" s="62" t="str">
        <f>IF($P221="","",_xlfn.XLOOKUP(Tables!$N$182,'Input LwA_XYZ'!$DU$1:$EI$1,'Input LwA_XYZ'!DU40:EI40))</f>
        <v/>
      </c>
    </row>
    <row r="222" spans="16:24" ht="16.5" x14ac:dyDescent="0.3">
      <c r="P222" s="230" t="str">
        <f>IF(OR('Input LwA_XYZ'!A41 = 0, NOT(ISBLANK(_xlfn.XLOOKUP(Tables!N$182, 'Input LwA_XYZ'!CM$1:DA$1, 'Input LwA_XYZ'!CM41:DA41)))), "", 'Input LwA_XYZ'!A41)</f>
        <v/>
      </c>
      <c r="Q222" s="225" t="str">
        <f>IF($P222="","",_xlfn.TEXTJOIN(" - ",TRUE,'Input LwA_XYZ'!B41:C41))</f>
        <v/>
      </c>
      <c r="R222" s="231" t="str">
        <f>IF($P222="","",'Input LwA_XYZ'!Q41)</f>
        <v/>
      </c>
      <c r="S222" s="227" t="str">
        <f>IF($P222="","",ROUND(_xlfn.XLOOKUP(Tables!$N$182,'Input LwA_XYZ'!$AH$1:$AV$1,'Input LwA_XYZ'!AH41:AV41),0))</f>
        <v/>
      </c>
      <c r="T222" s="228" t="str">
        <f>IF($P222="","",-1*ROUND(_xlfn.XLOOKUP(Tables!$N$182,'Input LwA_XYZ'!$AY$1:$BM$1,'Input LwA_XYZ'!AY41:BM41),0))</f>
        <v/>
      </c>
      <c r="U222" s="228" t="str">
        <f>IF($P222="","",IF(_xlfn.XLOOKUP(Tables!$N$182,'Input LwA_XYZ'!$BV$1:$CJ$1,'Input LwA_XYZ'!BV41:CJ41)="","-",_xlfn.XLOOKUP(Tables!$N$182,'Input LwA_XYZ'!$BV$1:$CJ$1,'Input LwA_XYZ'!BV41:CJ41)))</f>
        <v/>
      </c>
      <c r="V222" s="228" t="str">
        <f>IF($P222="","",IF('Input LwA_XYZ'!S41="","-",'Input LwA_XYZ'!S41))</f>
        <v/>
      </c>
      <c r="W222" s="229" t="str" cm="1">
        <f t="array" ref="W222">IF($P222="","",IF(_xlfn.XLOOKUP(Tables!$N$182,_xlfn.ANCHORARRAY('Input LwA_XYZ'!$DD$1),'Input LwA_XYZ'!DD41:DR41)="","-",_xlfn.XLOOKUP(Tables!$N$182,_xlfn.ANCHORARRAY('Input LwA_XYZ'!$DD$1),'Input LwA_XYZ'!DD41:DR41)))</f>
        <v/>
      </c>
      <c r="X222" s="62" t="str">
        <f>IF($P222="","",_xlfn.XLOOKUP(Tables!$N$182,'Input LwA_XYZ'!$DU$1:$EI$1,'Input LwA_XYZ'!DU41:EI41))</f>
        <v/>
      </c>
    </row>
    <row r="223" spans="16:24" ht="16.5" x14ac:dyDescent="0.3">
      <c r="P223" s="230" t="str">
        <f>IF(OR('Input LwA_XYZ'!A42 = 0, NOT(ISBLANK(_xlfn.XLOOKUP(Tables!N$182, 'Input LwA_XYZ'!CM$1:DA$1, 'Input LwA_XYZ'!CM42:DA42)))), "", 'Input LwA_XYZ'!A42)</f>
        <v/>
      </c>
      <c r="Q223" s="225" t="str">
        <f>IF($P223="","",_xlfn.TEXTJOIN(" - ",TRUE,'Input LwA_XYZ'!B42:C42))</f>
        <v/>
      </c>
      <c r="R223" s="231" t="str">
        <f>IF($P223="","",'Input LwA_XYZ'!Q42)</f>
        <v/>
      </c>
      <c r="S223" s="227" t="str">
        <f>IF($P223="","",ROUND(_xlfn.XLOOKUP(Tables!$N$182,'Input LwA_XYZ'!$AH$1:$AV$1,'Input LwA_XYZ'!AH42:AV42),0))</f>
        <v/>
      </c>
      <c r="T223" s="228" t="str">
        <f>IF($P223="","",-1*ROUND(_xlfn.XLOOKUP(Tables!$N$182,'Input LwA_XYZ'!$AY$1:$BM$1,'Input LwA_XYZ'!AY42:BM42),0))</f>
        <v/>
      </c>
      <c r="U223" s="228" t="str">
        <f>IF($P223="","",IF(_xlfn.XLOOKUP(Tables!$N$182,'Input LwA_XYZ'!$BV$1:$CJ$1,'Input LwA_XYZ'!BV42:CJ42)="","-",_xlfn.XLOOKUP(Tables!$N$182,'Input LwA_XYZ'!$BV$1:$CJ$1,'Input LwA_XYZ'!BV42:CJ42)))</f>
        <v/>
      </c>
      <c r="V223" s="228" t="str">
        <f>IF($P223="","",IF('Input LwA_XYZ'!S42="","-",'Input LwA_XYZ'!S42))</f>
        <v/>
      </c>
      <c r="W223" s="229" t="str" cm="1">
        <f t="array" ref="W223">IF($P223="","",IF(_xlfn.XLOOKUP(Tables!$N$182,_xlfn.ANCHORARRAY('Input LwA_XYZ'!$DD$1),'Input LwA_XYZ'!DD42:DR42)="","-",_xlfn.XLOOKUP(Tables!$N$182,_xlfn.ANCHORARRAY('Input LwA_XYZ'!$DD$1),'Input LwA_XYZ'!DD42:DR42)))</f>
        <v/>
      </c>
      <c r="X223" s="62" t="str">
        <f>IF($P223="","",_xlfn.XLOOKUP(Tables!$N$182,'Input LwA_XYZ'!$DU$1:$EI$1,'Input LwA_XYZ'!DU42:EI42))</f>
        <v/>
      </c>
    </row>
    <row r="224" spans="16:24" ht="16.5" x14ac:dyDescent="0.3">
      <c r="P224" s="230" t="str">
        <f>IF(OR('Input LwA_XYZ'!A43 = 0, NOT(ISBLANK(_xlfn.XLOOKUP(Tables!N$182, 'Input LwA_XYZ'!CM$1:DA$1, 'Input LwA_XYZ'!CM43:DA43)))), "", 'Input LwA_XYZ'!A43)</f>
        <v/>
      </c>
      <c r="Q224" s="225" t="str">
        <f>IF($P224="","",_xlfn.TEXTJOIN(" - ",TRUE,'Input LwA_XYZ'!B43:C43))</f>
        <v/>
      </c>
      <c r="R224" s="231" t="str">
        <f>IF($P224="","",'Input LwA_XYZ'!Q43)</f>
        <v/>
      </c>
      <c r="S224" s="227" t="str">
        <f>IF($P224="","",ROUND(_xlfn.XLOOKUP(Tables!$N$182,'Input LwA_XYZ'!$AH$1:$AV$1,'Input LwA_XYZ'!AH43:AV43),0))</f>
        <v/>
      </c>
      <c r="T224" s="228" t="str">
        <f>IF($P224="","",-1*ROUND(_xlfn.XLOOKUP(Tables!$N$182,'Input LwA_XYZ'!$AY$1:$BM$1,'Input LwA_XYZ'!AY43:BM43),0))</f>
        <v/>
      </c>
      <c r="U224" s="228" t="str">
        <f>IF($P224="","",IF(_xlfn.XLOOKUP(Tables!$N$182,'Input LwA_XYZ'!$BV$1:$CJ$1,'Input LwA_XYZ'!BV43:CJ43)="","-",_xlfn.XLOOKUP(Tables!$N$182,'Input LwA_XYZ'!$BV$1:$CJ$1,'Input LwA_XYZ'!BV43:CJ43)))</f>
        <v/>
      </c>
      <c r="V224" s="228" t="str">
        <f>IF($P224="","",IF('Input LwA_XYZ'!S43="","-",'Input LwA_XYZ'!S43))</f>
        <v/>
      </c>
      <c r="W224" s="229" t="str" cm="1">
        <f t="array" ref="W224">IF($P224="","",IF(_xlfn.XLOOKUP(Tables!$N$182,_xlfn.ANCHORARRAY('Input LwA_XYZ'!$DD$1),'Input LwA_XYZ'!DD43:DR43)="","-",_xlfn.XLOOKUP(Tables!$N$182,_xlfn.ANCHORARRAY('Input LwA_XYZ'!$DD$1),'Input LwA_XYZ'!DD43:DR43)))</f>
        <v/>
      </c>
      <c r="X224" s="62" t="str">
        <f>IF($P224="","",_xlfn.XLOOKUP(Tables!$N$182,'Input LwA_XYZ'!$DU$1:$EI$1,'Input LwA_XYZ'!DU43:EI43))</f>
        <v/>
      </c>
    </row>
    <row r="225" spans="16:24" ht="16.5" x14ac:dyDescent="0.3">
      <c r="P225" s="230" t="str">
        <f>IF(OR('Input LwA_XYZ'!A44 = 0, NOT(ISBLANK(_xlfn.XLOOKUP(Tables!N$182, 'Input LwA_XYZ'!CM$1:DA$1, 'Input LwA_XYZ'!CM44:DA44)))), "", 'Input LwA_XYZ'!A44)</f>
        <v/>
      </c>
      <c r="Q225" s="225" t="str">
        <f>IF($P225="","",_xlfn.TEXTJOIN(" - ",TRUE,'Input LwA_XYZ'!B44:C44))</f>
        <v/>
      </c>
      <c r="R225" s="231" t="str">
        <f>IF($P225="","",'Input LwA_XYZ'!Q44)</f>
        <v/>
      </c>
      <c r="S225" s="227" t="str">
        <f>IF($P225="","",ROUND(_xlfn.XLOOKUP(Tables!$N$182,'Input LwA_XYZ'!$AH$1:$AV$1,'Input LwA_XYZ'!AH44:AV44),0))</f>
        <v/>
      </c>
      <c r="T225" s="228" t="str">
        <f>IF($P225="","",-1*ROUND(_xlfn.XLOOKUP(Tables!$N$182,'Input LwA_XYZ'!$AY$1:$BM$1,'Input LwA_XYZ'!AY44:BM44),0))</f>
        <v/>
      </c>
      <c r="U225" s="228" t="str">
        <f>IF($P225="","",IF(_xlfn.XLOOKUP(Tables!$N$182,'Input LwA_XYZ'!$BV$1:$CJ$1,'Input LwA_XYZ'!BV44:CJ44)="","-",_xlfn.XLOOKUP(Tables!$N$182,'Input LwA_XYZ'!$BV$1:$CJ$1,'Input LwA_XYZ'!BV44:CJ44)))</f>
        <v/>
      </c>
      <c r="V225" s="228" t="str">
        <f>IF($P225="","",IF('Input LwA_XYZ'!S44="","-",'Input LwA_XYZ'!S44))</f>
        <v/>
      </c>
      <c r="W225" s="229" t="str" cm="1">
        <f t="array" ref="W225">IF($P225="","",IF(_xlfn.XLOOKUP(Tables!$N$182,_xlfn.ANCHORARRAY('Input LwA_XYZ'!$DD$1),'Input LwA_XYZ'!DD44:DR44)="","-",_xlfn.XLOOKUP(Tables!$N$182,_xlfn.ANCHORARRAY('Input LwA_XYZ'!$DD$1),'Input LwA_XYZ'!DD44:DR44)))</f>
        <v/>
      </c>
      <c r="X225" s="62" t="str">
        <f>IF($P225="","",_xlfn.XLOOKUP(Tables!$N$182,'Input LwA_XYZ'!$DU$1:$EI$1,'Input LwA_XYZ'!DU44:EI44))</f>
        <v/>
      </c>
    </row>
    <row r="226" spans="16:24" ht="16.5" x14ac:dyDescent="0.3">
      <c r="P226" s="230" t="str">
        <f>IF(OR('Input LwA_XYZ'!A45 = 0, NOT(ISBLANK(_xlfn.XLOOKUP(Tables!N$182, 'Input LwA_XYZ'!CM$1:DA$1, 'Input LwA_XYZ'!CM45:DA45)))), "", 'Input LwA_XYZ'!A45)</f>
        <v/>
      </c>
      <c r="Q226" s="225" t="str">
        <f>IF($P226="","",_xlfn.TEXTJOIN(" - ",TRUE,'Input LwA_XYZ'!B45:C45))</f>
        <v/>
      </c>
      <c r="R226" s="231" t="str">
        <f>IF($P226="","",'Input LwA_XYZ'!Q45)</f>
        <v/>
      </c>
      <c r="S226" s="227" t="str">
        <f>IF($P226="","",ROUND(_xlfn.XLOOKUP(Tables!$N$182,'Input LwA_XYZ'!$AH$1:$AV$1,'Input LwA_XYZ'!AH45:AV45),0))</f>
        <v/>
      </c>
      <c r="T226" s="228" t="str">
        <f>IF($P226="","",-1*ROUND(_xlfn.XLOOKUP(Tables!$N$182,'Input LwA_XYZ'!$AY$1:$BM$1,'Input LwA_XYZ'!AY45:BM45),0))</f>
        <v/>
      </c>
      <c r="U226" s="228" t="str">
        <f>IF($P226="","",IF(_xlfn.XLOOKUP(Tables!$N$182,'Input LwA_XYZ'!$BV$1:$CJ$1,'Input LwA_XYZ'!BV45:CJ45)="","-",_xlfn.XLOOKUP(Tables!$N$182,'Input LwA_XYZ'!$BV$1:$CJ$1,'Input LwA_XYZ'!BV45:CJ45)))</f>
        <v/>
      </c>
      <c r="V226" s="228" t="str">
        <f>IF($P226="","",IF('Input LwA_XYZ'!S45="","-",'Input LwA_XYZ'!S45))</f>
        <v/>
      </c>
      <c r="W226" s="229" t="str" cm="1">
        <f t="array" ref="W226">IF($P226="","",IF(_xlfn.XLOOKUP(Tables!$N$182,_xlfn.ANCHORARRAY('Input LwA_XYZ'!$DD$1),'Input LwA_XYZ'!DD45:DR45)="","-",_xlfn.XLOOKUP(Tables!$N$182,_xlfn.ANCHORARRAY('Input LwA_XYZ'!$DD$1),'Input LwA_XYZ'!DD45:DR45)))</f>
        <v/>
      </c>
      <c r="X226" s="62" t="str">
        <f>IF($P226="","",_xlfn.XLOOKUP(Tables!$N$182,'Input LwA_XYZ'!$DU$1:$EI$1,'Input LwA_XYZ'!DU45:EI45))</f>
        <v/>
      </c>
    </row>
    <row r="227" spans="16:24" ht="16.5" x14ac:dyDescent="0.3">
      <c r="P227" s="230" t="str">
        <f>IF(OR('Input LwA_XYZ'!A46 = 0, NOT(ISBLANK(_xlfn.XLOOKUP(Tables!N$182, 'Input LwA_XYZ'!CM$1:DA$1, 'Input LwA_XYZ'!CM46:DA46)))), "", 'Input LwA_XYZ'!A46)</f>
        <v/>
      </c>
      <c r="Q227" s="225" t="str">
        <f>IF($P227="","",_xlfn.TEXTJOIN(" - ",TRUE,'Input LwA_XYZ'!B46:C46))</f>
        <v/>
      </c>
      <c r="R227" s="231" t="str">
        <f>IF($P227="","",'Input LwA_XYZ'!Q46)</f>
        <v/>
      </c>
      <c r="S227" s="227" t="str">
        <f>IF($P227="","",ROUND(_xlfn.XLOOKUP(Tables!$N$182,'Input LwA_XYZ'!$AH$1:$AV$1,'Input LwA_XYZ'!AH46:AV46),0))</f>
        <v/>
      </c>
      <c r="T227" s="228" t="str">
        <f>IF($P227="","",-1*ROUND(_xlfn.XLOOKUP(Tables!$N$182,'Input LwA_XYZ'!$AY$1:$BM$1,'Input LwA_XYZ'!AY46:BM46),0))</f>
        <v/>
      </c>
      <c r="U227" s="228" t="str">
        <f>IF($P227="","",IF(_xlfn.XLOOKUP(Tables!$N$182,'Input LwA_XYZ'!$BV$1:$CJ$1,'Input LwA_XYZ'!BV46:CJ46)="","-",_xlfn.XLOOKUP(Tables!$N$182,'Input LwA_XYZ'!$BV$1:$CJ$1,'Input LwA_XYZ'!BV46:CJ46)))</f>
        <v/>
      </c>
      <c r="V227" s="228" t="str">
        <f>IF($P227="","",IF('Input LwA_XYZ'!S46="","-",'Input LwA_XYZ'!S46))</f>
        <v/>
      </c>
      <c r="W227" s="229" t="str" cm="1">
        <f t="array" ref="W227">IF($P227="","",IF(_xlfn.XLOOKUP(Tables!$N$182,_xlfn.ANCHORARRAY('Input LwA_XYZ'!$DD$1),'Input LwA_XYZ'!DD46:DR46)="","-",_xlfn.XLOOKUP(Tables!$N$182,_xlfn.ANCHORARRAY('Input LwA_XYZ'!$DD$1),'Input LwA_XYZ'!DD46:DR46)))</f>
        <v/>
      </c>
      <c r="X227" s="62" t="str">
        <f>IF($P227="","",_xlfn.XLOOKUP(Tables!$N$182,'Input LwA_XYZ'!$DU$1:$EI$1,'Input LwA_XYZ'!DU46:EI46))</f>
        <v/>
      </c>
    </row>
    <row r="228" spans="16:24" ht="16.5" x14ac:dyDescent="0.3">
      <c r="P228" s="230" t="str">
        <f>IF(OR('Input LwA_XYZ'!A47 = 0, NOT(ISBLANK(_xlfn.XLOOKUP(Tables!N$182, 'Input LwA_XYZ'!CM$1:DA$1, 'Input LwA_XYZ'!CM47:DA47)))), "", 'Input LwA_XYZ'!A47)</f>
        <v/>
      </c>
      <c r="Q228" s="225" t="str">
        <f>IF($P228="","",_xlfn.TEXTJOIN(" - ",TRUE,'Input LwA_XYZ'!B47:C47))</f>
        <v/>
      </c>
      <c r="R228" s="231" t="str">
        <f>IF($P228="","",'Input LwA_XYZ'!Q47)</f>
        <v/>
      </c>
      <c r="S228" s="227" t="str">
        <f>IF($P228="","",ROUND(_xlfn.XLOOKUP(Tables!$N$182,'Input LwA_XYZ'!$AH$1:$AV$1,'Input LwA_XYZ'!AH47:AV47),0))</f>
        <v/>
      </c>
      <c r="T228" s="228" t="str">
        <f>IF($P228="","",-1*ROUND(_xlfn.XLOOKUP(Tables!$N$182,'Input LwA_XYZ'!$AY$1:$BM$1,'Input LwA_XYZ'!AY47:BM47),0))</f>
        <v/>
      </c>
      <c r="U228" s="228" t="str">
        <f>IF($P228="","",IF(_xlfn.XLOOKUP(Tables!$N$182,'Input LwA_XYZ'!$BV$1:$CJ$1,'Input LwA_XYZ'!BV47:CJ47)="","-",_xlfn.XLOOKUP(Tables!$N$182,'Input LwA_XYZ'!$BV$1:$CJ$1,'Input LwA_XYZ'!BV47:CJ47)))</f>
        <v/>
      </c>
      <c r="V228" s="228" t="str">
        <f>IF($P228="","",IF('Input LwA_XYZ'!S47="","-",'Input LwA_XYZ'!S47))</f>
        <v/>
      </c>
      <c r="W228" s="229" t="str" cm="1">
        <f t="array" ref="W228">IF($P228="","",IF(_xlfn.XLOOKUP(Tables!$N$182,_xlfn.ANCHORARRAY('Input LwA_XYZ'!$DD$1),'Input LwA_XYZ'!DD47:DR47)="","-",_xlfn.XLOOKUP(Tables!$N$182,_xlfn.ANCHORARRAY('Input LwA_XYZ'!$DD$1),'Input LwA_XYZ'!DD47:DR47)))</f>
        <v/>
      </c>
      <c r="X228" s="62" t="str">
        <f>IF($P228="","",_xlfn.XLOOKUP(Tables!$N$182,'Input LwA_XYZ'!$DU$1:$EI$1,'Input LwA_XYZ'!DU47:EI47))</f>
        <v/>
      </c>
    </row>
    <row r="229" spans="16:24" ht="16.5" x14ac:dyDescent="0.3">
      <c r="P229" s="230" t="str">
        <f>IF(OR('Input LwA_XYZ'!A48 = 0, NOT(ISBLANK(_xlfn.XLOOKUP(Tables!N$182, 'Input LwA_XYZ'!CM$1:DA$1, 'Input LwA_XYZ'!CM48:DA48)))), "", 'Input LwA_XYZ'!A48)</f>
        <v/>
      </c>
      <c r="Q229" s="225" t="str">
        <f>IF($P229="","",_xlfn.TEXTJOIN(" - ",TRUE,'Input LwA_XYZ'!B48:C48))</f>
        <v/>
      </c>
      <c r="R229" s="231" t="str">
        <f>IF($P229="","",'Input LwA_XYZ'!Q48)</f>
        <v/>
      </c>
      <c r="S229" s="227" t="str">
        <f>IF($P229="","",ROUND(_xlfn.XLOOKUP(Tables!$N$182,'Input LwA_XYZ'!$AH$1:$AV$1,'Input LwA_XYZ'!AH48:AV48),0))</f>
        <v/>
      </c>
      <c r="T229" s="228" t="str">
        <f>IF($P229="","",-1*ROUND(_xlfn.XLOOKUP(Tables!$N$182,'Input LwA_XYZ'!$AY$1:$BM$1,'Input LwA_XYZ'!AY48:BM48),0))</f>
        <v/>
      </c>
      <c r="U229" s="228" t="str">
        <f>IF($P229="","",IF(_xlfn.XLOOKUP(Tables!$N$182,'Input LwA_XYZ'!$BV$1:$CJ$1,'Input LwA_XYZ'!BV48:CJ48)="","-",_xlfn.XLOOKUP(Tables!$N$182,'Input LwA_XYZ'!$BV$1:$CJ$1,'Input LwA_XYZ'!BV48:CJ48)))</f>
        <v/>
      </c>
      <c r="V229" s="228" t="str">
        <f>IF($P229="","",IF('Input LwA_XYZ'!S48="","-",'Input LwA_XYZ'!S48))</f>
        <v/>
      </c>
      <c r="W229" s="229" t="str" cm="1">
        <f t="array" ref="W229">IF($P229="","",IF(_xlfn.XLOOKUP(Tables!$N$182,_xlfn.ANCHORARRAY('Input LwA_XYZ'!$DD$1),'Input LwA_XYZ'!DD48:DR48)="","-",_xlfn.XLOOKUP(Tables!$N$182,_xlfn.ANCHORARRAY('Input LwA_XYZ'!$DD$1),'Input LwA_XYZ'!DD48:DR48)))</f>
        <v/>
      </c>
      <c r="X229" s="62" t="str">
        <f>IF($P229="","",_xlfn.XLOOKUP(Tables!$N$182,'Input LwA_XYZ'!$DU$1:$EI$1,'Input LwA_XYZ'!DU48:EI48))</f>
        <v/>
      </c>
    </row>
    <row r="230" spans="16:24" ht="16.5" x14ac:dyDescent="0.3">
      <c r="P230" s="230" t="str">
        <f>IF(OR('Input LwA_XYZ'!A49 = 0, NOT(ISBLANK(_xlfn.XLOOKUP(Tables!N$182, 'Input LwA_XYZ'!CM$1:DA$1, 'Input LwA_XYZ'!CM49:DA49)))), "", 'Input LwA_XYZ'!A49)</f>
        <v/>
      </c>
      <c r="Q230" s="225" t="str">
        <f>IF($P230="","",_xlfn.TEXTJOIN(" - ",TRUE,'Input LwA_XYZ'!B49:C49))</f>
        <v/>
      </c>
      <c r="R230" s="231" t="str">
        <f>IF($P230="","",'Input LwA_XYZ'!Q49)</f>
        <v/>
      </c>
      <c r="S230" s="227" t="str">
        <f>IF($P230="","",ROUND(_xlfn.XLOOKUP(Tables!$N$182,'Input LwA_XYZ'!$AH$1:$AV$1,'Input LwA_XYZ'!AH49:AV49),0))</f>
        <v/>
      </c>
      <c r="T230" s="228" t="str">
        <f>IF($P230="","",-1*ROUND(_xlfn.XLOOKUP(Tables!$N$182,'Input LwA_XYZ'!$AY$1:$BM$1,'Input LwA_XYZ'!AY49:BM49),0))</f>
        <v/>
      </c>
      <c r="U230" s="228" t="str">
        <f>IF($P230="","",IF(_xlfn.XLOOKUP(Tables!$N$182,'Input LwA_XYZ'!$BV$1:$CJ$1,'Input LwA_XYZ'!BV49:CJ49)="","-",_xlfn.XLOOKUP(Tables!$N$182,'Input LwA_XYZ'!$BV$1:$CJ$1,'Input LwA_XYZ'!BV49:CJ49)))</f>
        <v/>
      </c>
      <c r="V230" s="228" t="str">
        <f>IF($P230="","",IF('Input LwA_XYZ'!S49="","-",'Input LwA_XYZ'!S49))</f>
        <v/>
      </c>
      <c r="W230" s="229" t="str" cm="1">
        <f t="array" ref="W230">IF($P230="","",IF(_xlfn.XLOOKUP(Tables!$N$182,_xlfn.ANCHORARRAY('Input LwA_XYZ'!$DD$1),'Input LwA_XYZ'!DD49:DR49)="","-",_xlfn.XLOOKUP(Tables!$N$182,_xlfn.ANCHORARRAY('Input LwA_XYZ'!$DD$1),'Input LwA_XYZ'!DD49:DR49)))</f>
        <v/>
      </c>
      <c r="X230" s="62" t="str">
        <f>IF($P230="","",_xlfn.XLOOKUP(Tables!$N$182,'Input LwA_XYZ'!$DU$1:$EI$1,'Input LwA_XYZ'!DU49:EI49))</f>
        <v/>
      </c>
    </row>
    <row r="231" spans="16:24" ht="16.5" x14ac:dyDescent="0.3">
      <c r="P231" s="230" t="str">
        <f>IF(OR('Input LwA_XYZ'!A50 = 0, NOT(ISBLANK(_xlfn.XLOOKUP(Tables!N$182, 'Input LwA_XYZ'!CM$1:DA$1, 'Input LwA_XYZ'!CM50:DA50)))), "", 'Input LwA_XYZ'!A50)</f>
        <v/>
      </c>
      <c r="Q231" s="225" t="str">
        <f>IF($P231="","",_xlfn.TEXTJOIN(" - ",TRUE,'Input LwA_XYZ'!B50:C50))</f>
        <v/>
      </c>
      <c r="R231" s="231" t="str">
        <f>IF($P231="","",'Input LwA_XYZ'!Q50)</f>
        <v/>
      </c>
      <c r="S231" s="227" t="str">
        <f>IF($P231="","",ROUND(_xlfn.XLOOKUP(Tables!$N$182,'Input LwA_XYZ'!$AH$1:$AV$1,'Input LwA_XYZ'!AH50:AV50),0))</f>
        <v/>
      </c>
      <c r="T231" s="228" t="str">
        <f>IF($P231="","",-1*ROUND(_xlfn.XLOOKUP(Tables!$N$182,'Input LwA_XYZ'!$AY$1:$BM$1,'Input LwA_XYZ'!AY50:BM50),0))</f>
        <v/>
      </c>
      <c r="U231" s="228" t="str">
        <f>IF($P231="","",IF(_xlfn.XLOOKUP(Tables!$N$182,'Input LwA_XYZ'!$BV$1:$CJ$1,'Input LwA_XYZ'!BV50:CJ50)="","-",_xlfn.XLOOKUP(Tables!$N$182,'Input LwA_XYZ'!$BV$1:$CJ$1,'Input LwA_XYZ'!BV50:CJ50)))</f>
        <v/>
      </c>
      <c r="V231" s="228" t="str">
        <f>IF($P231="","",IF('Input LwA_XYZ'!S50="","-",'Input LwA_XYZ'!S50))</f>
        <v/>
      </c>
      <c r="W231" s="229" t="str" cm="1">
        <f t="array" ref="W231">IF($P231="","",IF(_xlfn.XLOOKUP(Tables!$N$182,_xlfn.ANCHORARRAY('Input LwA_XYZ'!$DD$1),'Input LwA_XYZ'!DD50:DR50)="","-",_xlfn.XLOOKUP(Tables!$N$182,_xlfn.ANCHORARRAY('Input LwA_XYZ'!$DD$1),'Input LwA_XYZ'!DD50:DR50)))</f>
        <v/>
      </c>
      <c r="X231" s="62" t="str">
        <f>IF($P231="","",_xlfn.XLOOKUP(Tables!$N$182,'Input LwA_XYZ'!$DU$1:$EI$1,'Input LwA_XYZ'!DU50:EI50))</f>
        <v/>
      </c>
    </row>
    <row r="232" spans="16:24" ht="16.5" x14ac:dyDescent="0.3">
      <c r="P232" s="230" t="str">
        <f>IF(OR('Input LwA_XYZ'!A51 = 0, NOT(ISBLANK(_xlfn.XLOOKUP(Tables!N$182, 'Input LwA_XYZ'!CM$1:DA$1, 'Input LwA_XYZ'!CM51:DA51)))), "", 'Input LwA_XYZ'!A51)</f>
        <v/>
      </c>
      <c r="Q232" s="225" t="str">
        <f>IF($P232="","",_xlfn.TEXTJOIN(" - ",TRUE,'Input LwA_XYZ'!B51:C51))</f>
        <v/>
      </c>
      <c r="R232" s="231" t="str">
        <f>IF($P232="","",'Input LwA_XYZ'!Q51)</f>
        <v/>
      </c>
      <c r="S232" s="227" t="str">
        <f>IF($P232="","",ROUND(_xlfn.XLOOKUP(Tables!$N$182,'Input LwA_XYZ'!$AH$1:$AV$1,'Input LwA_XYZ'!AH51:AV51),0))</f>
        <v/>
      </c>
      <c r="T232" s="228" t="str">
        <f>IF($P232="","",-1*ROUND(_xlfn.XLOOKUP(Tables!$N$182,'Input LwA_XYZ'!$AY$1:$BM$1,'Input LwA_XYZ'!AY51:BM51),0))</f>
        <v/>
      </c>
      <c r="U232" s="228" t="str">
        <f>IF($P232="","",IF(_xlfn.XLOOKUP(Tables!$N$182,'Input LwA_XYZ'!$BV$1:$CJ$1,'Input LwA_XYZ'!BV51:CJ51)="","-",_xlfn.XLOOKUP(Tables!$N$182,'Input LwA_XYZ'!$BV$1:$CJ$1,'Input LwA_XYZ'!BV51:CJ51)))</f>
        <v/>
      </c>
      <c r="V232" s="228" t="str">
        <f>IF($P232="","",IF('Input LwA_XYZ'!S51="","-",'Input LwA_XYZ'!S51))</f>
        <v/>
      </c>
      <c r="W232" s="229" t="str" cm="1">
        <f t="array" ref="W232">IF($P232="","",IF(_xlfn.XLOOKUP(Tables!$N$182,_xlfn.ANCHORARRAY('Input LwA_XYZ'!$DD$1),'Input LwA_XYZ'!DD51:DR51)="","-",_xlfn.XLOOKUP(Tables!$N$182,_xlfn.ANCHORARRAY('Input LwA_XYZ'!$DD$1),'Input LwA_XYZ'!DD51:DR51)))</f>
        <v/>
      </c>
      <c r="X232" s="62" t="str">
        <f>IF($P232="","",_xlfn.XLOOKUP(Tables!$N$182,'Input LwA_XYZ'!$DU$1:$EI$1,'Input LwA_XYZ'!DU51:EI51))</f>
        <v/>
      </c>
    </row>
    <row r="233" spans="16:24" ht="16.5" x14ac:dyDescent="0.3">
      <c r="P233" s="230" t="str">
        <f>IF(OR('Input LwA_XYZ'!A52 = 0, NOT(ISBLANK(_xlfn.XLOOKUP(Tables!N$182, 'Input LwA_XYZ'!CM$1:DA$1, 'Input LwA_XYZ'!CM52:DA52)))), "", 'Input LwA_XYZ'!A52)</f>
        <v/>
      </c>
      <c r="Q233" s="225" t="str">
        <f>IF($P233="","",_xlfn.TEXTJOIN(" - ",TRUE,'Input LwA_XYZ'!B52:C52))</f>
        <v/>
      </c>
      <c r="R233" s="231" t="str">
        <f>IF($P233="","",'Input LwA_XYZ'!Q52)</f>
        <v/>
      </c>
      <c r="S233" s="227" t="str">
        <f>IF($P233="","",ROUND(_xlfn.XLOOKUP(Tables!$N$182,'Input LwA_XYZ'!$AH$1:$AV$1,'Input LwA_XYZ'!AH52:AV52),0))</f>
        <v/>
      </c>
      <c r="T233" s="228" t="str">
        <f>IF($P233="","",-1*ROUND(_xlfn.XLOOKUP(Tables!$N$182,'Input LwA_XYZ'!$AY$1:$BM$1,'Input LwA_XYZ'!AY52:BM52),0))</f>
        <v/>
      </c>
      <c r="U233" s="228" t="str">
        <f>IF($P233="","",IF(_xlfn.XLOOKUP(Tables!$N$182,'Input LwA_XYZ'!$BV$1:$CJ$1,'Input LwA_XYZ'!BV52:CJ52)="","-",_xlfn.XLOOKUP(Tables!$N$182,'Input LwA_XYZ'!$BV$1:$CJ$1,'Input LwA_XYZ'!BV52:CJ52)))</f>
        <v/>
      </c>
      <c r="V233" s="228" t="str">
        <f>IF($P233="","",IF('Input LwA_XYZ'!S52="","-",'Input LwA_XYZ'!S52))</f>
        <v/>
      </c>
      <c r="W233" s="229" t="str" cm="1">
        <f t="array" ref="W233">IF($P233="","",IF(_xlfn.XLOOKUP(Tables!$N$182,_xlfn.ANCHORARRAY('Input LwA_XYZ'!$DD$1),'Input LwA_XYZ'!DD52:DR52)="","-",_xlfn.XLOOKUP(Tables!$N$182,_xlfn.ANCHORARRAY('Input LwA_XYZ'!$DD$1),'Input LwA_XYZ'!DD52:DR52)))</f>
        <v/>
      </c>
      <c r="X233" s="62" t="str">
        <f>IF($P233="","",_xlfn.XLOOKUP(Tables!$N$182,'Input LwA_XYZ'!$DU$1:$EI$1,'Input LwA_XYZ'!DU52:EI52))</f>
        <v/>
      </c>
    </row>
    <row r="234" spans="16:24" ht="16.5" x14ac:dyDescent="0.3">
      <c r="P234" s="230" t="str">
        <f>IF(OR('Input LwA_XYZ'!A53 = 0, NOT(ISBLANK(_xlfn.XLOOKUP(Tables!N$182, 'Input LwA_XYZ'!CM$1:DA$1, 'Input LwA_XYZ'!CM53:DA53)))), "", 'Input LwA_XYZ'!A53)</f>
        <v/>
      </c>
      <c r="Q234" s="225" t="str">
        <f>IF($P234="","",_xlfn.TEXTJOIN(" - ",TRUE,'Input LwA_XYZ'!B53:C53))</f>
        <v/>
      </c>
      <c r="R234" s="231" t="str">
        <f>IF($P234="","",'Input LwA_XYZ'!Q53)</f>
        <v/>
      </c>
      <c r="S234" s="227" t="str">
        <f>IF($P234="","",ROUND(_xlfn.XLOOKUP(Tables!$N$182,'Input LwA_XYZ'!$AH$1:$AV$1,'Input LwA_XYZ'!AH53:AV53),0))</f>
        <v/>
      </c>
      <c r="T234" s="228" t="str">
        <f>IF($P234="","",-1*ROUND(_xlfn.XLOOKUP(Tables!$N$182,'Input LwA_XYZ'!$AY$1:$BM$1,'Input LwA_XYZ'!AY53:BM53),0))</f>
        <v/>
      </c>
      <c r="U234" s="228" t="str">
        <f>IF($P234="","",IF(_xlfn.XLOOKUP(Tables!$N$182,'Input LwA_XYZ'!$BV$1:$CJ$1,'Input LwA_XYZ'!BV53:CJ53)="","-",_xlfn.XLOOKUP(Tables!$N$182,'Input LwA_XYZ'!$BV$1:$CJ$1,'Input LwA_XYZ'!BV53:CJ53)))</f>
        <v/>
      </c>
      <c r="V234" s="228" t="str">
        <f>IF($P234="","",IF('Input LwA_XYZ'!S53="","-",'Input LwA_XYZ'!S53))</f>
        <v/>
      </c>
      <c r="W234" s="229" t="str" cm="1">
        <f t="array" ref="W234">IF($P234="","",IF(_xlfn.XLOOKUP(Tables!$N$182,_xlfn.ANCHORARRAY('Input LwA_XYZ'!$DD$1),'Input LwA_XYZ'!DD53:DR53)="","-",_xlfn.XLOOKUP(Tables!$N$182,_xlfn.ANCHORARRAY('Input LwA_XYZ'!$DD$1),'Input LwA_XYZ'!DD53:DR53)))</f>
        <v/>
      </c>
      <c r="X234" s="62" t="str">
        <f>IF($P234="","",_xlfn.XLOOKUP(Tables!$N$182,'Input LwA_XYZ'!$DU$1:$EI$1,'Input LwA_XYZ'!DU53:EI53))</f>
        <v/>
      </c>
    </row>
    <row r="235" spans="16:24" ht="16.5" x14ac:dyDescent="0.3">
      <c r="P235" s="230" t="str">
        <f>IF(OR('Input LwA_XYZ'!A54 = 0, NOT(ISBLANK(_xlfn.XLOOKUP(Tables!N$182, 'Input LwA_XYZ'!CM$1:DA$1, 'Input LwA_XYZ'!CM54:DA54)))), "", 'Input LwA_XYZ'!A54)</f>
        <v/>
      </c>
      <c r="Q235" s="225" t="str">
        <f>IF($P235="","",_xlfn.TEXTJOIN(" - ",TRUE,'Input LwA_XYZ'!B54:C54))</f>
        <v/>
      </c>
      <c r="R235" s="231" t="str">
        <f>IF($P235="","",'Input LwA_XYZ'!Q54)</f>
        <v/>
      </c>
      <c r="S235" s="227" t="str">
        <f>IF($P235="","",ROUND(_xlfn.XLOOKUP(Tables!$N$182,'Input LwA_XYZ'!$AH$1:$AV$1,'Input LwA_XYZ'!AH54:AV54),0))</f>
        <v/>
      </c>
      <c r="T235" s="228" t="str">
        <f>IF($P235="","",-1*ROUND(_xlfn.XLOOKUP(Tables!$N$182,'Input LwA_XYZ'!$AY$1:$BM$1,'Input LwA_XYZ'!AY54:BM54),0))</f>
        <v/>
      </c>
      <c r="U235" s="228" t="str">
        <f>IF($P235="","",IF(_xlfn.XLOOKUP(Tables!$N$182,'Input LwA_XYZ'!$BV$1:$CJ$1,'Input LwA_XYZ'!BV54:CJ54)="","-",_xlfn.XLOOKUP(Tables!$N$182,'Input LwA_XYZ'!$BV$1:$CJ$1,'Input LwA_XYZ'!BV54:CJ54)))</f>
        <v/>
      </c>
      <c r="V235" s="228" t="str">
        <f>IF($P235="","",IF('Input LwA_XYZ'!S54="","-",'Input LwA_XYZ'!S54))</f>
        <v/>
      </c>
      <c r="W235" s="229" t="str" cm="1">
        <f t="array" ref="W235">IF($P235="","",IF(_xlfn.XLOOKUP(Tables!$N$182,_xlfn.ANCHORARRAY('Input LwA_XYZ'!$DD$1),'Input LwA_XYZ'!DD54:DR54)="","-",_xlfn.XLOOKUP(Tables!$N$182,_xlfn.ANCHORARRAY('Input LwA_XYZ'!$DD$1),'Input LwA_XYZ'!DD54:DR54)))</f>
        <v/>
      </c>
      <c r="X235" s="62" t="str">
        <f>IF($P235="","",_xlfn.XLOOKUP(Tables!$N$182,'Input LwA_XYZ'!$DU$1:$EI$1,'Input LwA_XYZ'!DU54:EI54))</f>
        <v/>
      </c>
    </row>
    <row r="236" spans="16:24" ht="16.5" x14ac:dyDescent="0.3">
      <c r="P236" s="230" t="str">
        <f>IF(OR('Input LwA_XYZ'!A55 = 0, NOT(ISBLANK(_xlfn.XLOOKUP(Tables!N$182, 'Input LwA_XYZ'!CM$1:DA$1, 'Input LwA_XYZ'!CM55:DA55)))), "", 'Input LwA_XYZ'!A55)</f>
        <v/>
      </c>
      <c r="Q236" s="225" t="str">
        <f>IF($P236="","",_xlfn.TEXTJOIN(" - ",TRUE,'Input LwA_XYZ'!B55:C55))</f>
        <v/>
      </c>
      <c r="R236" s="231" t="str">
        <f>IF($P236="","",'Input LwA_XYZ'!Q55)</f>
        <v/>
      </c>
      <c r="S236" s="227" t="str">
        <f>IF($P236="","",ROUND(_xlfn.XLOOKUP(Tables!$N$182,'Input LwA_XYZ'!$AH$1:$AV$1,'Input LwA_XYZ'!AH55:AV55),0))</f>
        <v/>
      </c>
      <c r="T236" s="228" t="str">
        <f>IF($P236="","",-1*ROUND(_xlfn.XLOOKUP(Tables!$N$182,'Input LwA_XYZ'!$AY$1:$BM$1,'Input LwA_XYZ'!AY55:BM55),0))</f>
        <v/>
      </c>
      <c r="U236" s="228" t="str">
        <f>IF($P236="","",IF(_xlfn.XLOOKUP(Tables!$N$182,'Input LwA_XYZ'!$BV$1:$CJ$1,'Input LwA_XYZ'!BV55:CJ55)="","-",_xlfn.XLOOKUP(Tables!$N$182,'Input LwA_XYZ'!$BV$1:$CJ$1,'Input LwA_XYZ'!BV55:CJ55)))</f>
        <v/>
      </c>
      <c r="V236" s="228" t="str">
        <f>IF($P236="","",IF('Input LwA_XYZ'!S55="","-",'Input LwA_XYZ'!S55))</f>
        <v/>
      </c>
      <c r="W236" s="229" t="str" cm="1">
        <f t="array" ref="W236">IF($P236="","",IF(_xlfn.XLOOKUP(Tables!$N$182,_xlfn.ANCHORARRAY('Input LwA_XYZ'!$DD$1),'Input LwA_XYZ'!DD55:DR55)="","-",_xlfn.XLOOKUP(Tables!$N$182,_xlfn.ANCHORARRAY('Input LwA_XYZ'!$DD$1),'Input LwA_XYZ'!DD55:DR55)))</f>
        <v/>
      </c>
      <c r="X236" s="62" t="str">
        <f>IF($P236="","",_xlfn.XLOOKUP(Tables!$N$182,'Input LwA_XYZ'!$DU$1:$EI$1,'Input LwA_XYZ'!DU55:EI55))</f>
        <v/>
      </c>
    </row>
    <row r="237" spans="16:24" ht="16.5" x14ac:dyDescent="0.3">
      <c r="P237" s="230" t="str">
        <f>IF(OR('Input LwA_XYZ'!A56 = 0, NOT(ISBLANK(_xlfn.XLOOKUP(Tables!N$182, 'Input LwA_XYZ'!CM$1:DA$1, 'Input LwA_XYZ'!CM56:DA56)))), "", 'Input LwA_XYZ'!A56)</f>
        <v/>
      </c>
      <c r="Q237" s="225" t="str">
        <f>IF($P237="","",_xlfn.TEXTJOIN(" - ",TRUE,'Input LwA_XYZ'!B56:C56))</f>
        <v/>
      </c>
      <c r="R237" s="231" t="str">
        <f>IF($P237="","",'Input LwA_XYZ'!Q56)</f>
        <v/>
      </c>
      <c r="S237" s="227" t="str">
        <f>IF($P237="","",ROUND(_xlfn.XLOOKUP(Tables!$N$182,'Input LwA_XYZ'!$AH$1:$AV$1,'Input LwA_XYZ'!AH56:AV56),0))</f>
        <v/>
      </c>
      <c r="T237" s="228" t="str">
        <f>IF($P237="","",-1*ROUND(_xlfn.XLOOKUP(Tables!$N$182,'Input LwA_XYZ'!$AY$1:$BM$1,'Input LwA_XYZ'!AY56:BM56),0))</f>
        <v/>
      </c>
      <c r="U237" s="228" t="str">
        <f>IF($P237="","",IF(_xlfn.XLOOKUP(Tables!$N$182,'Input LwA_XYZ'!$BV$1:$CJ$1,'Input LwA_XYZ'!BV56:CJ56)="","-",_xlfn.XLOOKUP(Tables!$N$182,'Input LwA_XYZ'!$BV$1:$CJ$1,'Input LwA_XYZ'!BV56:CJ56)))</f>
        <v/>
      </c>
      <c r="V237" s="228" t="str">
        <f>IF($P237="","",IF('Input LwA_XYZ'!S56="","-",'Input LwA_XYZ'!S56))</f>
        <v/>
      </c>
      <c r="W237" s="229" t="str" cm="1">
        <f t="array" ref="W237">IF($P237="","",IF(_xlfn.XLOOKUP(Tables!$N$182,_xlfn.ANCHORARRAY('Input LwA_XYZ'!$DD$1),'Input LwA_XYZ'!DD56:DR56)="","-",_xlfn.XLOOKUP(Tables!$N$182,_xlfn.ANCHORARRAY('Input LwA_XYZ'!$DD$1),'Input LwA_XYZ'!DD56:DR56)))</f>
        <v/>
      </c>
      <c r="X237" s="62" t="str">
        <f>IF($P237="","",_xlfn.XLOOKUP(Tables!$N$182,'Input LwA_XYZ'!$DU$1:$EI$1,'Input LwA_XYZ'!DU56:EI56))</f>
        <v/>
      </c>
    </row>
    <row r="238" spans="16:24" ht="16.5" x14ac:dyDescent="0.3">
      <c r="P238" s="230" t="str">
        <f>IF(OR('Input LwA_XYZ'!A57 = 0, NOT(ISBLANK(_xlfn.XLOOKUP(Tables!N$182, 'Input LwA_XYZ'!CM$1:DA$1, 'Input LwA_XYZ'!CM57:DA57)))), "", 'Input LwA_XYZ'!A57)</f>
        <v/>
      </c>
      <c r="Q238" s="225" t="str">
        <f>IF($P238="","",_xlfn.TEXTJOIN(" - ",TRUE,'Input LwA_XYZ'!B57:C57))</f>
        <v/>
      </c>
      <c r="R238" s="231" t="str">
        <f>IF($P238="","",'Input LwA_XYZ'!Q57)</f>
        <v/>
      </c>
      <c r="S238" s="227" t="str">
        <f>IF($P238="","",ROUND(_xlfn.XLOOKUP(Tables!$N$182,'Input LwA_XYZ'!$AH$1:$AV$1,'Input LwA_XYZ'!AH57:AV57),0))</f>
        <v/>
      </c>
      <c r="T238" s="228" t="str">
        <f>IF($P238="","",-1*ROUND(_xlfn.XLOOKUP(Tables!$N$182,'Input LwA_XYZ'!$AY$1:$BM$1,'Input LwA_XYZ'!AY57:BM57),0))</f>
        <v/>
      </c>
      <c r="U238" s="228" t="str">
        <f>IF($P238="","",IF(_xlfn.XLOOKUP(Tables!$N$182,'Input LwA_XYZ'!$BV$1:$CJ$1,'Input LwA_XYZ'!BV57:CJ57)="","-",_xlfn.XLOOKUP(Tables!$N$182,'Input LwA_XYZ'!$BV$1:$CJ$1,'Input LwA_XYZ'!BV57:CJ57)))</f>
        <v/>
      </c>
      <c r="V238" s="228" t="str">
        <f>IF($P238="","",IF('Input LwA_XYZ'!S57="","-",'Input LwA_XYZ'!S57))</f>
        <v/>
      </c>
      <c r="W238" s="229" t="str" cm="1">
        <f t="array" ref="W238">IF($P238="","",IF(_xlfn.XLOOKUP(Tables!$N$182,_xlfn.ANCHORARRAY('Input LwA_XYZ'!$DD$1),'Input LwA_XYZ'!DD57:DR57)="","-",_xlfn.XLOOKUP(Tables!$N$182,_xlfn.ANCHORARRAY('Input LwA_XYZ'!$DD$1),'Input LwA_XYZ'!DD57:DR57)))</f>
        <v/>
      </c>
      <c r="X238" s="62" t="str">
        <f>IF($P238="","",_xlfn.XLOOKUP(Tables!$N$182,'Input LwA_XYZ'!$DU$1:$EI$1,'Input LwA_XYZ'!DU57:EI57))</f>
        <v/>
      </c>
    </row>
    <row r="239" spans="16:24" ht="17.25" thickBot="1" x14ac:dyDescent="0.35">
      <c r="P239" s="232" t="str">
        <f>IF(OR('Input LwA_XYZ'!A58 = 0, NOT(ISBLANK(_xlfn.XLOOKUP(Tables!N$182, 'Input LwA_XYZ'!CM$1:DA$1, 'Input LwA_XYZ'!CM58:DA58)))), "", 'Input LwA_XYZ'!A58)</f>
        <v/>
      </c>
      <c r="Q239" s="233" t="str">
        <f>IF($P239="","",_xlfn.TEXTJOIN(" - ",TRUE,'Input LwA_XYZ'!B58:C58))</f>
        <v/>
      </c>
      <c r="R239" s="234" t="str">
        <f>IF($P239="","",'Input LwA_XYZ'!Q58)</f>
        <v/>
      </c>
      <c r="S239" s="235" t="str">
        <f>IF($P239="","",ROUND(_xlfn.XLOOKUP(Tables!$N$182,'Input LwA_XYZ'!$AH$1:$AV$1,'Input LwA_XYZ'!AH58:AV58),0))</f>
        <v/>
      </c>
      <c r="T239" s="236" t="str">
        <f>IF($P239="","",-1*ROUND(_xlfn.XLOOKUP(Tables!$N$182,'Input LwA_XYZ'!$AY$1:$BM$1,'Input LwA_XYZ'!AY58:BM58),0))</f>
        <v/>
      </c>
      <c r="U239" s="228" t="str">
        <f>IF($P239="","",IF(_xlfn.XLOOKUP(Tables!$N$182,'Input LwA_XYZ'!$BV$1:$CJ$1,'Input LwA_XYZ'!BV58:CJ58)="","-",_xlfn.XLOOKUP(Tables!$N$182,'Input LwA_XYZ'!$BV$1:$CJ$1,'Input LwA_XYZ'!BV58:CJ58)))</f>
        <v/>
      </c>
      <c r="V239" s="228" t="str">
        <f>IF($P239="","",IF('Input LwA_XYZ'!S58="","-",'Input LwA_XYZ'!S58))</f>
        <v/>
      </c>
      <c r="W239" s="229" t="str" cm="1">
        <f t="array" ref="W239">IF($P239="","",IF(_xlfn.XLOOKUP(Tables!$N$182,_xlfn.ANCHORARRAY('Input LwA_XYZ'!$DD$1),'Input LwA_XYZ'!DD58:DR58)="","-",_xlfn.XLOOKUP(Tables!$N$182,_xlfn.ANCHORARRAY('Input LwA_XYZ'!$DD$1),'Input LwA_XYZ'!DD58:DR58)))</f>
        <v/>
      </c>
      <c r="X239" s="63" t="str">
        <f>IF($P239="","",_xlfn.XLOOKUP(Tables!$N$182,'Input LwA_XYZ'!$DU$1:$EI$1,'Input LwA_XYZ'!DU58:EI58))</f>
        <v/>
      </c>
    </row>
    <row r="240" spans="16:24" ht="17.25" thickBot="1" x14ac:dyDescent="0.35">
      <c r="P240" s="237" t="s">
        <v>215</v>
      </c>
      <c r="Q240" s="238"/>
      <c r="R240" s="239"/>
      <c r="S240" s="238"/>
      <c r="T240" s="240"/>
      <c r="U240" s="240"/>
      <c r="V240" s="240"/>
      <c r="W240" s="241"/>
      <c r="X240" s="219">
        <f>_xlfn.XLOOKUP(Tables!$N$182,'Input LwA_XYZ'!$Z$2:$Z$16,'Input LwA_XYZ'!$AE$2:$AE$16)</f>
        <v>21</v>
      </c>
    </row>
    <row r="241" spans="14:24" ht="15.75" thickBot="1" x14ac:dyDescent="0.3">
      <c r="P241" s="221"/>
    </row>
    <row r="242" spans="14:24" ht="33.75" thickBot="1" x14ac:dyDescent="0.35">
      <c r="N242" s="66" t="s">
        <v>107</v>
      </c>
      <c r="P242" s="242" t="s">
        <v>79</v>
      </c>
      <c r="Q242" s="243" t="s">
        <v>80</v>
      </c>
      <c r="R242" s="244" t="s">
        <v>81</v>
      </c>
      <c r="S242" s="244" t="s">
        <v>19</v>
      </c>
      <c r="T242" s="244" t="s">
        <v>216</v>
      </c>
      <c r="U242" s="246" t="s">
        <v>82</v>
      </c>
      <c r="V242" s="247" t="s">
        <v>83</v>
      </c>
      <c r="W242" s="248" t="s">
        <v>236</v>
      </c>
      <c r="X242" s="245" t="s">
        <v>78</v>
      </c>
    </row>
    <row r="243" spans="14:24" ht="17.25" thickBot="1" x14ac:dyDescent="0.35">
      <c r="N243" s="66">
        <f>_xlfn.XLOOKUP(N242, 'Input LwA_XYZ'!$Z$2:$Z$16, 'Input LwA_XYZ'!$AF$2:$AF$16, "")</f>
        <v>0</v>
      </c>
      <c r="P243" s="224" t="str">
        <f>IF(OR('Input LwA_XYZ'!A2 = 0, NOT(ISBLANK(_xlfn.XLOOKUP(Tables!N$242, 'Input LwA_XYZ'!CM$1:DA$1, 'Input LwA_XYZ'!CM2:DA2)))), "", 'Input LwA_XYZ'!A2)</f>
        <v/>
      </c>
      <c r="Q243" s="225" t="str">
        <f>IF($P243="","",_xlfn.TEXTJOIN(" - ",TRUE,'Input LwA_XYZ'!B2:C2))</f>
        <v/>
      </c>
      <c r="R243" s="226" t="str">
        <f>IF($P243="","",'Input LwA_XYZ'!Q2)</f>
        <v/>
      </c>
      <c r="S243" s="227" t="str">
        <f>IF($P243="","",ROUND(_xlfn.XLOOKUP(Tables!$N$242,'Input LwA_XYZ'!$AH$1:$AV$1,'Input LwA_XYZ'!AH2:AV2),0))</f>
        <v/>
      </c>
      <c r="T243" s="228" t="str">
        <f>IF($P243="","",-1*ROUND(_xlfn.XLOOKUP(Tables!$N$242,'Input LwA_XYZ'!$AY$1:$BM$1,'Input LwA_XYZ'!AY2:BM2),0))</f>
        <v/>
      </c>
      <c r="U243" s="228" t="str">
        <f>IF($P243="","",IF(_xlfn.XLOOKUP(Tables!$N$242,'Input LwA_XYZ'!$BV$1:$CJ$1,'Input LwA_XYZ'!BV2:CJ2)="","-",_xlfn.XLOOKUP(Tables!$N$242,'Input LwA_XYZ'!$BV$1:$CJ$1,'Input LwA_XYZ'!BV2:CJ2)))</f>
        <v/>
      </c>
      <c r="V243" s="228" t="str">
        <f>IF($P243="","",IF('Input LwA_XYZ'!S2="","-",'Input LwA_XYZ'!S2))</f>
        <v/>
      </c>
      <c r="W243" s="229" t="str" cm="1">
        <f t="array" ref="W243">IF($P243="","",IF(_xlfn.XLOOKUP(Tables!$N$242,_xlfn.ANCHORARRAY('Input LwA_XYZ'!$DD$1),'Input LwA_XYZ'!DD2:DR2)="","-",_xlfn.XLOOKUP(Tables!$N$242,_xlfn.ANCHORARRAY('Input LwA_XYZ'!$DD$1),'Input LwA_XYZ'!DD2:DR2)))</f>
        <v/>
      </c>
      <c r="X243" s="88" t="str">
        <f>IF($P243="","",_xlfn.XLOOKUP(Tables!$N$242,'Input LwA_XYZ'!$DU$1:$EI$1,'Input LwA_XYZ'!DU2:EI2))</f>
        <v/>
      </c>
    </row>
    <row r="244" spans="14:24" ht="16.5" x14ac:dyDescent="0.3">
      <c r="P244" s="230" t="str">
        <f>IF(OR('Input LwA_XYZ'!A3 = 0, NOT(ISBLANK(_xlfn.XLOOKUP(Tables!N$242, 'Input LwA_XYZ'!CM$1:DA$1, 'Input LwA_XYZ'!CM3:DA3)))), "", 'Input LwA_XYZ'!A3)</f>
        <v/>
      </c>
      <c r="Q244" s="225" t="str">
        <f>IF($P244="","",_xlfn.TEXTJOIN(" - ",TRUE,'Input LwA_XYZ'!B3:C3))</f>
        <v/>
      </c>
      <c r="R244" s="231" t="str">
        <f>IF($P244="","",'Input LwA_XYZ'!Q3)</f>
        <v/>
      </c>
      <c r="S244" s="227" t="str">
        <f>IF($P244="","",ROUND(_xlfn.XLOOKUP(Tables!$N$242,'Input LwA_XYZ'!$AH$1:$AV$1,'Input LwA_XYZ'!AH3:AV3),0))</f>
        <v/>
      </c>
      <c r="T244" s="228" t="str">
        <f>IF($P244="","",-1*ROUND(_xlfn.XLOOKUP(Tables!$N$242,'Input LwA_XYZ'!$AY$1:$BM$1,'Input LwA_XYZ'!AY3:BM3),0))</f>
        <v/>
      </c>
      <c r="U244" s="228" t="str">
        <f>IF($P244="","",IF(_xlfn.XLOOKUP(Tables!$N$242,'Input LwA_XYZ'!$BV$1:$CJ$1,'Input LwA_XYZ'!BV3:CJ3)="","-",_xlfn.XLOOKUP(Tables!$N$242,'Input LwA_XYZ'!$BV$1:$CJ$1,'Input LwA_XYZ'!BV3:CJ3)))</f>
        <v/>
      </c>
      <c r="V244" s="228" t="str">
        <f>IF($P244="","",IF('Input LwA_XYZ'!S3="","-",'Input LwA_XYZ'!S3))</f>
        <v/>
      </c>
      <c r="W244" s="229" t="str" cm="1">
        <f t="array" ref="W244">IF($P244="","",IF(_xlfn.XLOOKUP(Tables!$N$242,_xlfn.ANCHORARRAY('Input LwA_XYZ'!$DD$1),'Input LwA_XYZ'!DD3:DR3)="","-",_xlfn.XLOOKUP(Tables!$N$242,_xlfn.ANCHORARRAY('Input LwA_XYZ'!$DD$1),'Input LwA_XYZ'!DD3:DR3)))</f>
        <v/>
      </c>
      <c r="X244" s="62" t="str">
        <f>IF($P244="","",_xlfn.XLOOKUP(Tables!$N$242,'Input LwA_XYZ'!$DU$1:$EI$1,'Input LwA_XYZ'!DU3:EI3))</f>
        <v/>
      </c>
    </row>
    <row r="245" spans="14:24" ht="16.5" x14ac:dyDescent="0.3">
      <c r="P245" s="230" t="str">
        <f>IF(OR('Input LwA_XYZ'!A4 = 0, NOT(ISBLANK(_xlfn.XLOOKUP(Tables!N$242, 'Input LwA_XYZ'!CM$1:DA$1, 'Input LwA_XYZ'!CM4:DA4)))), "", 'Input LwA_XYZ'!A4)</f>
        <v/>
      </c>
      <c r="Q245" s="225" t="str">
        <f>IF($P245="","",_xlfn.TEXTJOIN(" - ",TRUE,'Input LwA_XYZ'!B4:C4))</f>
        <v/>
      </c>
      <c r="R245" s="231" t="str">
        <f>IF($P245="","",'Input LwA_XYZ'!Q4)</f>
        <v/>
      </c>
      <c r="S245" s="227" t="str">
        <f>IF($P245="","",ROUND(_xlfn.XLOOKUP(Tables!$N$242,'Input LwA_XYZ'!$AH$1:$AV$1,'Input LwA_XYZ'!AH4:AV4),0))</f>
        <v/>
      </c>
      <c r="T245" s="228" t="str">
        <f>IF($P245="","",-1*ROUND(_xlfn.XLOOKUP(Tables!$N$242,'Input LwA_XYZ'!$AY$1:$BM$1,'Input LwA_XYZ'!AY4:BM4),0))</f>
        <v/>
      </c>
      <c r="U245" s="228" t="str">
        <f>IF($P245="","",IF(_xlfn.XLOOKUP(Tables!$N$242,'Input LwA_XYZ'!$BV$1:$CJ$1,'Input LwA_XYZ'!BV4:CJ4)="","-",_xlfn.XLOOKUP(Tables!$N$242,'Input LwA_XYZ'!$BV$1:$CJ$1,'Input LwA_XYZ'!BV4:CJ4)))</f>
        <v/>
      </c>
      <c r="V245" s="228" t="str">
        <f>IF($P245="","",IF('Input LwA_XYZ'!S4="","-",'Input LwA_XYZ'!S4))</f>
        <v/>
      </c>
      <c r="W245" s="229" t="str" cm="1">
        <f t="array" ref="W245">IF($P245="","",IF(_xlfn.XLOOKUP(Tables!$N$242,_xlfn.ANCHORARRAY('Input LwA_XYZ'!$DD$1),'Input LwA_XYZ'!DD4:DR4)="","-",_xlfn.XLOOKUP(Tables!$N$242,_xlfn.ANCHORARRAY('Input LwA_XYZ'!$DD$1),'Input LwA_XYZ'!DD4:DR4)))</f>
        <v/>
      </c>
      <c r="X245" s="62" t="str">
        <f>IF($P245="","",_xlfn.XLOOKUP(Tables!$N$242,'Input LwA_XYZ'!$DU$1:$EI$1,'Input LwA_XYZ'!DU4:EI4))</f>
        <v/>
      </c>
    </row>
    <row r="246" spans="14:24" ht="16.5" x14ac:dyDescent="0.3">
      <c r="P246" s="230" t="str">
        <f>IF(OR('Input LwA_XYZ'!A5 = 0, NOT(ISBLANK(_xlfn.XLOOKUP(Tables!N$242, 'Input LwA_XYZ'!CM$1:DA$1, 'Input LwA_XYZ'!CM5:DA5)))), "", 'Input LwA_XYZ'!A5)</f>
        <v/>
      </c>
      <c r="Q246" s="225" t="str">
        <f>IF($P246="","",_xlfn.TEXTJOIN(" - ",TRUE,'Input LwA_XYZ'!B5:C5))</f>
        <v/>
      </c>
      <c r="R246" s="231" t="str">
        <f>IF($P246="","",'Input LwA_XYZ'!Q5)</f>
        <v/>
      </c>
      <c r="S246" s="227" t="str">
        <f>IF($P246="","",ROUND(_xlfn.XLOOKUP(Tables!$N$242,'Input LwA_XYZ'!$AH$1:$AV$1,'Input LwA_XYZ'!AH5:AV5),0))</f>
        <v/>
      </c>
      <c r="T246" s="228" t="str">
        <f>IF($P246="","",-1*ROUND(_xlfn.XLOOKUP(Tables!$N$242,'Input LwA_XYZ'!$AY$1:$BM$1,'Input LwA_XYZ'!AY5:BM5),0))</f>
        <v/>
      </c>
      <c r="U246" s="228" t="str">
        <f>IF($P246="","",IF(_xlfn.XLOOKUP(Tables!$N$242,'Input LwA_XYZ'!$BV$1:$CJ$1,'Input LwA_XYZ'!BV5:CJ5)="","-",_xlfn.XLOOKUP(Tables!$N$242,'Input LwA_XYZ'!$BV$1:$CJ$1,'Input LwA_XYZ'!BV5:CJ5)))</f>
        <v/>
      </c>
      <c r="V246" s="228" t="str">
        <f>IF($P246="","",IF('Input LwA_XYZ'!S5="","-",'Input LwA_XYZ'!S5))</f>
        <v/>
      </c>
      <c r="W246" s="229" t="str" cm="1">
        <f t="array" ref="W246">IF($P246="","",IF(_xlfn.XLOOKUP(Tables!$N$242,_xlfn.ANCHORARRAY('Input LwA_XYZ'!$DD$1),'Input LwA_XYZ'!DD5:DR5)="","-",_xlfn.XLOOKUP(Tables!$N$242,_xlfn.ANCHORARRAY('Input LwA_XYZ'!$DD$1),'Input LwA_XYZ'!DD5:DR5)))</f>
        <v/>
      </c>
      <c r="X246" s="62" t="str">
        <f>IF($P246="","",_xlfn.XLOOKUP(Tables!$N$242,'Input LwA_XYZ'!$DU$1:$EI$1,'Input LwA_XYZ'!DU5:EI5))</f>
        <v/>
      </c>
    </row>
    <row r="247" spans="14:24" ht="16.5" x14ac:dyDescent="0.3">
      <c r="P247" s="230">
        <f>IF(OR('Input LwA_XYZ'!A6 = 0, NOT(ISBLANK(_xlfn.XLOOKUP(Tables!N$242, 'Input LwA_XYZ'!CM$1:DA$1, 'Input LwA_XYZ'!CM6:DA6)))), "", 'Input LwA_XYZ'!A6)</f>
        <v>1</v>
      </c>
      <c r="Q247" s="225" t="str">
        <f>IF($P247="","",_xlfn.TEXTJOIN(" - ",TRUE,'Input LwA_XYZ'!B6:C6))</f>
        <v>KEF-R1  - Inlet</v>
      </c>
      <c r="R247" s="231">
        <f>IF($P247="","",'Input LwA_XYZ'!Q6)</f>
        <v>80</v>
      </c>
      <c r="S247" s="227">
        <f>IF($P247="","",ROUND(_xlfn.XLOOKUP(Tables!$N$242,'Input LwA_XYZ'!$AH$1:$AV$1,'Input LwA_XYZ'!AH6:AV6),0))</f>
        <v>131</v>
      </c>
      <c r="T247" s="228">
        <f>IF($P247="","",-1*ROUND(_xlfn.XLOOKUP(Tables!$N$242,'Input LwA_XYZ'!$AY$1:$BM$1,'Input LwA_XYZ'!AY6:BM6),0))</f>
        <v>40</v>
      </c>
      <c r="U247" s="228">
        <f>IF($P247="","",IF(_xlfn.XLOOKUP(Tables!$N$242,'Input LwA_XYZ'!$BV$1:$CJ$1,'Input LwA_XYZ'!BV6:CJ6)="","-",_xlfn.XLOOKUP(Tables!$N$242,'Input LwA_XYZ'!$BV$1:$CJ$1,'Input LwA_XYZ'!BV6:CJ6)))</f>
        <v>9</v>
      </c>
      <c r="V247" s="228" t="str">
        <f>IF($P247="","",IF('Input LwA_XYZ'!S6="","-",'Input LwA_XYZ'!S6))</f>
        <v>-</v>
      </c>
      <c r="W247" s="229" t="str" cm="1">
        <f t="array" ref="W247">IF($P247="","",IF(_xlfn.XLOOKUP(Tables!$N$242,_xlfn.ANCHORARRAY('Input LwA_XYZ'!$DD$1),'Input LwA_XYZ'!DD6:DR6)="","-",_xlfn.XLOOKUP(Tables!$N$242,_xlfn.ANCHORARRAY('Input LwA_XYZ'!$DD$1),'Input LwA_XYZ'!DD6:DR6)))</f>
        <v>-</v>
      </c>
      <c r="X247" s="62">
        <f>IF($P247="","",_xlfn.XLOOKUP(Tables!$N$242,'Input LwA_XYZ'!$DU$1:$EI$1,'Input LwA_XYZ'!DU6:EI6))</f>
        <v>30.973202001732659</v>
      </c>
    </row>
    <row r="248" spans="14:24" ht="16.5" x14ac:dyDescent="0.3">
      <c r="P248" s="230" t="str">
        <f>IF(OR('Input LwA_XYZ'!A7 = 0, NOT(ISBLANK(_xlfn.XLOOKUP(Tables!N$242, 'Input LwA_XYZ'!CM$1:DA$1, 'Input LwA_XYZ'!CM7:DA7)))), "", 'Input LwA_XYZ'!A7)</f>
        <v/>
      </c>
      <c r="Q248" s="225" t="str">
        <f>IF($P248="","",_xlfn.TEXTJOIN(" - ",TRUE,'Input LwA_XYZ'!B7:C7))</f>
        <v/>
      </c>
      <c r="R248" s="231" t="str">
        <f>IF($P248="","",'Input LwA_XYZ'!Q7)</f>
        <v/>
      </c>
      <c r="S248" s="227" t="str">
        <f>IF($P248="","",ROUND(_xlfn.XLOOKUP(Tables!$N$242,'Input LwA_XYZ'!$AH$1:$AV$1,'Input LwA_XYZ'!AH7:AV7),0))</f>
        <v/>
      </c>
      <c r="T248" s="228" t="str">
        <f>IF($P248="","",-1*ROUND(_xlfn.XLOOKUP(Tables!$N$242,'Input LwA_XYZ'!$AY$1:$BM$1,'Input LwA_XYZ'!AY7:BM7),0))</f>
        <v/>
      </c>
      <c r="U248" s="228" t="str">
        <f>IF($P248="","",IF(_xlfn.XLOOKUP(Tables!$N$242,'Input LwA_XYZ'!$BV$1:$CJ$1,'Input LwA_XYZ'!BV7:CJ7)="","-",_xlfn.XLOOKUP(Tables!$N$242,'Input LwA_XYZ'!$BV$1:$CJ$1,'Input LwA_XYZ'!BV7:CJ7)))</f>
        <v/>
      </c>
      <c r="V248" s="228" t="str">
        <f>IF($P248="","",IF('Input LwA_XYZ'!S7="","-",'Input LwA_XYZ'!S7))</f>
        <v/>
      </c>
      <c r="W248" s="229" t="str" cm="1">
        <f t="array" ref="W248">IF($P248="","",IF(_xlfn.XLOOKUP(Tables!$N$242,_xlfn.ANCHORARRAY('Input LwA_XYZ'!$DD$1),'Input LwA_XYZ'!DD7:DR7)="","-",_xlfn.XLOOKUP(Tables!$N$242,_xlfn.ANCHORARRAY('Input LwA_XYZ'!$DD$1),'Input LwA_XYZ'!DD7:DR7)))</f>
        <v/>
      </c>
      <c r="X248" s="62" t="str">
        <f>IF($P248="","",_xlfn.XLOOKUP(Tables!$N$242,'Input LwA_XYZ'!$DU$1:$EI$1,'Input LwA_XYZ'!DU7:EI7))</f>
        <v/>
      </c>
    </row>
    <row r="249" spans="14:24" ht="16.5" x14ac:dyDescent="0.3">
      <c r="P249" s="230" t="str">
        <f>IF(OR('Input LwA_XYZ'!A8 = 0, NOT(ISBLANK(_xlfn.XLOOKUP(Tables!N$242, 'Input LwA_XYZ'!CM$1:DA$1, 'Input LwA_XYZ'!CM8:DA8)))), "", 'Input LwA_XYZ'!A8)</f>
        <v/>
      </c>
      <c r="Q249" s="225" t="str">
        <f>IF($P249="","",_xlfn.TEXTJOIN(" - ",TRUE,'Input LwA_XYZ'!B8:C8))</f>
        <v/>
      </c>
      <c r="R249" s="231" t="str">
        <f>IF($P249="","",'Input LwA_XYZ'!Q8)</f>
        <v/>
      </c>
      <c r="S249" s="227" t="str">
        <f>IF($P249="","",ROUND(_xlfn.XLOOKUP(Tables!$N$242,'Input LwA_XYZ'!$AH$1:$AV$1,'Input LwA_XYZ'!AH8:AV8),0))</f>
        <v/>
      </c>
      <c r="T249" s="228" t="str">
        <f>IF($P249="","",-1*ROUND(_xlfn.XLOOKUP(Tables!$N$242,'Input LwA_XYZ'!$AY$1:$BM$1,'Input LwA_XYZ'!AY8:BM8),0))</f>
        <v/>
      </c>
      <c r="U249" s="228" t="str">
        <f>IF($P249="","",IF(_xlfn.XLOOKUP(Tables!$N$242,'Input LwA_XYZ'!$BV$1:$CJ$1,'Input LwA_XYZ'!BV8:CJ8)="","-",_xlfn.XLOOKUP(Tables!$N$242,'Input LwA_XYZ'!$BV$1:$CJ$1,'Input LwA_XYZ'!BV8:CJ8)))</f>
        <v/>
      </c>
      <c r="V249" s="228" t="str">
        <f>IF($P249="","",IF('Input LwA_XYZ'!S8="","-",'Input LwA_XYZ'!S8))</f>
        <v/>
      </c>
      <c r="W249" s="229" t="str" cm="1">
        <f t="array" ref="W249">IF($P249="","",IF(_xlfn.XLOOKUP(Tables!$N$242,_xlfn.ANCHORARRAY('Input LwA_XYZ'!$DD$1),'Input LwA_XYZ'!DD8:DR8)="","-",_xlfn.XLOOKUP(Tables!$N$242,_xlfn.ANCHORARRAY('Input LwA_XYZ'!$DD$1),'Input LwA_XYZ'!DD8:DR8)))</f>
        <v/>
      </c>
      <c r="X249" s="62" t="str">
        <f>IF($P249="","",_xlfn.XLOOKUP(Tables!$N$242,'Input LwA_XYZ'!$DU$1:$EI$1,'Input LwA_XYZ'!DU8:EI8))</f>
        <v/>
      </c>
    </row>
    <row r="250" spans="14:24" ht="16.5" x14ac:dyDescent="0.3">
      <c r="P250" s="230" t="str">
        <f>IF(OR('Input LwA_XYZ'!A9 = 0, NOT(ISBLANK(_xlfn.XLOOKUP(Tables!N$242, 'Input LwA_XYZ'!CM$1:DA$1, 'Input LwA_XYZ'!CM9:DA9)))), "", 'Input LwA_XYZ'!A9)</f>
        <v/>
      </c>
      <c r="Q250" s="225" t="str">
        <f>IF($P250="","",_xlfn.TEXTJOIN(" - ",TRUE,'Input LwA_XYZ'!B9:C9))</f>
        <v/>
      </c>
      <c r="R250" s="231" t="str">
        <f>IF($P250="","",'Input LwA_XYZ'!Q9)</f>
        <v/>
      </c>
      <c r="S250" s="227" t="str">
        <f>IF($P250="","",ROUND(_xlfn.XLOOKUP(Tables!$N$242,'Input LwA_XYZ'!$AH$1:$AV$1,'Input LwA_XYZ'!AH9:AV9),0))</f>
        <v/>
      </c>
      <c r="T250" s="228" t="str">
        <f>IF($P250="","",-1*ROUND(_xlfn.XLOOKUP(Tables!$N$242,'Input LwA_XYZ'!$AY$1:$BM$1,'Input LwA_XYZ'!AY9:BM9),0))</f>
        <v/>
      </c>
      <c r="U250" s="228" t="str">
        <f>IF($P250="","",IF(_xlfn.XLOOKUP(Tables!$N$242,'Input LwA_XYZ'!$BV$1:$CJ$1,'Input LwA_XYZ'!BV9:CJ9)="","-",_xlfn.XLOOKUP(Tables!$N$242,'Input LwA_XYZ'!$BV$1:$CJ$1,'Input LwA_XYZ'!BV9:CJ9)))</f>
        <v/>
      </c>
      <c r="V250" s="228" t="str">
        <f>IF($P250="","",IF('Input LwA_XYZ'!S9="","-",'Input LwA_XYZ'!S9))</f>
        <v/>
      </c>
      <c r="W250" s="229" t="str" cm="1">
        <f t="array" ref="W250">IF($P250="","",IF(_xlfn.XLOOKUP(Tables!$N$242,_xlfn.ANCHORARRAY('Input LwA_XYZ'!$DD$1),'Input LwA_XYZ'!DD9:DR9)="","-",_xlfn.XLOOKUP(Tables!$N$242,_xlfn.ANCHORARRAY('Input LwA_XYZ'!$DD$1),'Input LwA_XYZ'!DD9:DR9)))</f>
        <v/>
      </c>
      <c r="X250" s="62" t="str">
        <f>IF($P250="","",_xlfn.XLOOKUP(Tables!$N$242,'Input LwA_XYZ'!$DU$1:$EI$1,'Input LwA_XYZ'!DU9:EI9))</f>
        <v/>
      </c>
    </row>
    <row r="251" spans="14:24" ht="16.5" x14ac:dyDescent="0.3">
      <c r="P251" s="230" t="str">
        <f>IF(OR('Input LwA_XYZ'!A10 = 0, NOT(ISBLANK(_xlfn.XLOOKUP(Tables!N$242, 'Input LwA_XYZ'!CM$1:DA$1, 'Input LwA_XYZ'!CM10:DA10)))), "", 'Input LwA_XYZ'!A10)</f>
        <v/>
      </c>
      <c r="Q251" s="225" t="str">
        <f>IF($P251="","",_xlfn.TEXTJOIN(" - ",TRUE,'Input LwA_XYZ'!B10:C10))</f>
        <v/>
      </c>
      <c r="R251" s="231" t="str">
        <f>IF($P251="","",'Input LwA_XYZ'!Q10)</f>
        <v/>
      </c>
      <c r="S251" s="227" t="str">
        <f>IF($P251="","",ROUND(_xlfn.XLOOKUP(Tables!$N$242,'Input LwA_XYZ'!$AH$1:$AV$1,'Input LwA_XYZ'!AH10:AV10),0))</f>
        <v/>
      </c>
      <c r="T251" s="228" t="str">
        <f>IF($P251="","",-1*ROUND(_xlfn.XLOOKUP(Tables!$N$242,'Input LwA_XYZ'!$AY$1:$BM$1,'Input LwA_XYZ'!AY10:BM10),0))</f>
        <v/>
      </c>
      <c r="U251" s="228" t="str">
        <f>IF($P251="","",IF(_xlfn.XLOOKUP(Tables!$N$242,'Input LwA_XYZ'!$BV$1:$CJ$1,'Input LwA_XYZ'!BV10:CJ10)="","-",_xlfn.XLOOKUP(Tables!$N$242,'Input LwA_XYZ'!$BV$1:$CJ$1,'Input LwA_XYZ'!BV10:CJ10)))</f>
        <v/>
      </c>
      <c r="V251" s="228" t="str">
        <f>IF($P251="","",IF('Input LwA_XYZ'!S10="","-",'Input LwA_XYZ'!S10))</f>
        <v/>
      </c>
      <c r="W251" s="229" t="str" cm="1">
        <f t="array" ref="W251">IF($P251="","",IF(_xlfn.XLOOKUP(Tables!$N$242,_xlfn.ANCHORARRAY('Input LwA_XYZ'!$DD$1),'Input LwA_XYZ'!DD10:DR10)="","-",_xlfn.XLOOKUP(Tables!$N$242,_xlfn.ANCHORARRAY('Input LwA_XYZ'!$DD$1),'Input LwA_XYZ'!DD10:DR10)))</f>
        <v/>
      </c>
      <c r="X251" s="62" t="str">
        <f>IF($P251="","",_xlfn.XLOOKUP(Tables!$N$242,'Input LwA_XYZ'!$DU$1:$EI$1,'Input LwA_XYZ'!DU10:EI10))</f>
        <v/>
      </c>
    </row>
    <row r="252" spans="14:24" ht="16.5" x14ac:dyDescent="0.3">
      <c r="P252" s="230" t="str">
        <f>IF(OR('Input LwA_XYZ'!A11 = 0, NOT(ISBLANK(_xlfn.XLOOKUP(Tables!N$242, 'Input LwA_XYZ'!CM$1:DA$1, 'Input LwA_XYZ'!CM11:DA11)))), "", 'Input LwA_XYZ'!A11)</f>
        <v/>
      </c>
      <c r="Q252" s="225" t="str">
        <f>IF($P252="","",_xlfn.TEXTJOIN(" - ",TRUE,'Input LwA_XYZ'!B11:C11))</f>
        <v/>
      </c>
      <c r="R252" s="231" t="str">
        <f>IF($P252="","",'Input LwA_XYZ'!Q11)</f>
        <v/>
      </c>
      <c r="S252" s="227" t="str">
        <f>IF($P252="","",ROUND(_xlfn.XLOOKUP(Tables!$N$242,'Input LwA_XYZ'!$AH$1:$AV$1,'Input LwA_XYZ'!AH11:AV11),0))</f>
        <v/>
      </c>
      <c r="T252" s="228" t="str">
        <f>IF($P252="","",-1*ROUND(_xlfn.XLOOKUP(Tables!$N$242,'Input LwA_XYZ'!$AY$1:$BM$1,'Input LwA_XYZ'!AY11:BM11),0))</f>
        <v/>
      </c>
      <c r="U252" s="228" t="str">
        <f>IF($P252="","",IF(_xlfn.XLOOKUP(Tables!$N$242,'Input LwA_XYZ'!$BV$1:$CJ$1,'Input LwA_XYZ'!BV11:CJ11)="","-",_xlfn.XLOOKUP(Tables!$N$242,'Input LwA_XYZ'!$BV$1:$CJ$1,'Input LwA_XYZ'!BV11:CJ11)))</f>
        <v/>
      </c>
      <c r="V252" s="228" t="str">
        <f>IF($P252="","",IF('Input LwA_XYZ'!S11="","-",'Input LwA_XYZ'!S11))</f>
        <v/>
      </c>
      <c r="W252" s="229" t="str" cm="1">
        <f t="array" ref="W252">IF($P252="","",IF(_xlfn.XLOOKUP(Tables!$N$242,_xlfn.ANCHORARRAY('Input LwA_XYZ'!$DD$1),'Input LwA_XYZ'!DD11:DR11)="","-",_xlfn.XLOOKUP(Tables!$N$242,_xlfn.ANCHORARRAY('Input LwA_XYZ'!$DD$1),'Input LwA_XYZ'!DD11:DR11)))</f>
        <v/>
      </c>
      <c r="X252" s="62" t="str">
        <f>IF($P252="","",_xlfn.XLOOKUP(Tables!$N$242,'Input LwA_XYZ'!$DU$1:$EI$1,'Input LwA_XYZ'!DU11:EI11))</f>
        <v/>
      </c>
    </row>
    <row r="253" spans="14:24" ht="16.5" x14ac:dyDescent="0.3">
      <c r="P253" s="230" t="str">
        <f>IF(OR('Input LwA_XYZ'!A12 = 0, NOT(ISBLANK(_xlfn.XLOOKUP(Tables!N$242, 'Input LwA_XYZ'!CM$1:DA$1, 'Input LwA_XYZ'!CM12:DA12)))), "", 'Input LwA_XYZ'!A12)</f>
        <v/>
      </c>
      <c r="Q253" s="225" t="str">
        <f>IF($P253="","",_xlfn.TEXTJOIN(" - ",TRUE,'Input LwA_XYZ'!B12:C12))</f>
        <v/>
      </c>
      <c r="R253" s="231" t="str">
        <f>IF($P253="","",'Input LwA_XYZ'!Q12)</f>
        <v/>
      </c>
      <c r="S253" s="227" t="str">
        <f>IF($P253="","",ROUND(_xlfn.XLOOKUP(Tables!$N$242,'Input LwA_XYZ'!$AH$1:$AV$1,'Input LwA_XYZ'!AH12:AV12),0))</f>
        <v/>
      </c>
      <c r="T253" s="228" t="str">
        <f>IF($P253="","",-1*ROUND(_xlfn.XLOOKUP(Tables!$N$242,'Input LwA_XYZ'!$AY$1:$BM$1,'Input LwA_XYZ'!AY12:BM12),0))</f>
        <v/>
      </c>
      <c r="U253" s="228" t="str">
        <f>IF($P253="","",IF(_xlfn.XLOOKUP(Tables!$N$242,'Input LwA_XYZ'!$BV$1:$CJ$1,'Input LwA_XYZ'!BV12:CJ12)="","-",_xlfn.XLOOKUP(Tables!$N$242,'Input LwA_XYZ'!$BV$1:$CJ$1,'Input LwA_XYZ'!BV12:CJ12)))</f>
        <v/>
      </c>
      <c r="V253" s="228" t="str">
        <f>IF($P253="","",IF('Input LwA_XYZ'!S12="","-",'Input LwA_XYZ'!S12))</f>
        <v/>
      </c>
      <c r="W253" s="229" t="str" cm="1">
        <f t="array" ref="W253">IF($P253="","",IF(_xlfn.XLOOKUP(Tables!$N$242,_xlfn.ANCHORARRAY('Input LwA_XYZ'!$DD$1),'Input LwA_XYZ'!DD12:DR12)="","-",_xlfn.XLOOKUP(Tables!$N$242,_xlfn.ANCHORARRAY('Input LwA_XYZ'!$DD$1),'Input LwA_XYZ'!DD12:DR12)))</f>
        <v/>
      </c>
      <c r="X253" s="62" t="str">
        <f>IF($P253="","",_xlfn.XLOOKUP(Tables!$N$242,'Input LwA_XYZ'!$DU$1:$EI$1,'Input LwA_XYZ'!DU12:EI12))</f>
        <v/>
      </c>
    </row>
    <row r="254" spans="14:24" ht="16.5" x14ac:dyDescent="0.3">
      <c r="P254" s="230" t="str">
        <f>IF(OR('Input LwA_XYZ'!A13 = 0, NOT(ISBLANK(_xlfn.XLOOKUP(Tables!N$242, 'Input LwA_XYZ'!CM$1:DA$1, 'Input LwA_XYZ'!CM13:DA13)))), "", 'Input LwA_XYZ'!A13)</f>
        <v/>
      </c>
      <c r="Q254" s="225" t="str">
        <f>IF($P254="","",_xlfn.TEXTJOIN(" - ",TRUE,'Input LwA_XYZ'!B13:C13))</f>
        <v/>
      </c>
      <c r="R254" s="231" t="str">
        <f>IF($P254="","",'Input LwA_XYZ'!Q13)</f>
        <v/>
      </c>
      <c r="S254" s="227" t="str">
        <f>IF($P254="","",ROUND(_xlfn.XLOOKUP(Tables!$N$242,'Input LwA_XYZ'!$AH$1:$AV$1,'Input LwA_XYZ'!AH13:AV13),0))</f>
        <v/>
      </c>
      <c r="T254" s="228" t="str">
        <f>IF($P254="","",-1*ROUND(_xlfn.XLOOKUP(Tables!$N$242,'Input LwA_XYZ'!$AY$1:$BM$1,'Input LwA_XYZ'!AY13:BM13),0))</f>
        <v/>
      </c>
      <c r="U254" s="228" t="str">
        <f>IF($P254="","",IF(_xlfn.XLOOKUP(Tables!$N$242,'Input LwA_XYZ'!$BV$1:$CJ$1,'Input LwA_XYZ'!BV13:CJ13)="","-",_xlfn.XLOOKUP(Tables!$N$242,'Input LwA_XYZ'!$BV$1:$CJ$1,'Input LwA_XYZ'!BV13:CJ13)))</f>
        <v/>
      </c>
      <c r="V254" s="228" t="str">
        <f>IF($P254="","",IF('Input LwA_XYZ'!S13="","-",'Input LwA_XYZ'!S13))</f>
        <v/>
      </c>
      <c r="W254" s="229" t="str" cm="1">
        <f t="array" ref="W254">IF($P254="","",IF(_xlfn.XLOOKUP(Tables!$N$242,_xlfn.ANCHORARRAY('Input LwA_XYZ'!$DD$1),'Input LwA_XYZ'!DD13:DR13)="","-",_xlfn.XLOOKUP(Tables!$N$242,_xlfn.ANCHORARRAY('Input LwA_XYZ'!$DD$1),'Input LwA_XYZ'!DD13:DR13)))</f>
        <v/>
      </c>
      <c r="X254" s="62" t="str">
        <f>IF($P254="","",_xlfn.XLOOKUP(Tables!$N$242,'Input LwA_XYZ'!$DU$1:$EI$1,'Input LwA_XYZ'!DU13:EI13))</f>
        <v/>
      </c>
    </row>
    <row r="255" spans="14:24" ht="16.5" x14ac:dyDescent="0.3">
      <c r="P255" s="230" t="str">
        <f>IF(OR('Input LwA_XYZ'!A14 = 0, NOT(ISBLANK(_xlfn.XLOOKUP(Tables!N$242, 'Input LwA_XYZ'!CM$1:DA$1, 'Input LwA_XYZ'!CM14:DA14)))), "", 'Input LwA_XYZ'!A14)</f>
        <v/>
      </c>
      <c r="Q255" s="225" t="str">
        <f>IF($P255="","",_xlfn.TEXTJOIN(" - ",TRUE,'Input LwA_XYZ'!B14:C14))</f>
        <v/>
      </c>
      <c r="R255" s="231" t="str">
        <f>IF($P255="","",'Input LwA_XYZ'!Q14)</f>
        <v/>
      </c>
      <c r="S255" s="227" t="str">
        <f>IF($P255="","",ROUND(_xlfn.XLOOKUP(Tables!$N$242,'Input LwA_XYZ'!$AH$1:$AV$1,'Input LwA_XYZ'!AH14:AV14),0))</f>
        <v/>
      </c>
      <c r="T255" s="228" t="str">
        <f>IF($P255="","",-1*ROUND(_xlfn.XLOOKUP(Tables!$N$242,'Input LwA_XYZ'!$AY$1:$BM$1,'Input LwA_XYZ'!AY14:BM14),0))</f>
        <v/>
      </c>
      <c r="U255" s="228" t="str">
        <f>IF($P255="","",IF(_xlfn.XLOOKUP(Tables!$N$242,'Input LwA_XYZ'!$BV$1:$CJ$1,'Input LwA_XYZ'!BV14:CJ14)="","-",_xlfn.XLOOKUP(Tables!$N$242,'Input LwA_XYZ'!$BV$1:$CJ$1,'Input LwA_XYZ'!BV14:CJ14)))</f>
        <v/>
      </c>
      <c r="V255" s="228" t="str">
        <f>IF($P255="","",IF('Input LwA_XYZ'!S14="","-",'Input LwA_XYZ'!S14))</f>
        <v/>
      </c>
      <c r="W255" s="229" t="str" cm="1">
        <f t="array" ref="W255">IF($P255="","",IF(_xlfn.XLOOKUP(Tables!$N$242,_xlfn.ANCHORARRAY('Input LwA_XYZ'!$DD$1),'Input LwA_XYZ'!DD14:DR14)="","-",_xlfn.XLOOKUP(Tables!$N$242,_xlfn.ANCHORARRAY('Input LwA_XYZ'!$DD$1),'Input LwA_XYZ'!DD14:DR14)))</f>
        <v/>
      </c>
      <c r="X255" s="62" t="str">
        <f>IF($P255="","",_xlfn.XLOOKUP(Tables!$N$242,'Input LwA_XYZ'!$DU$1:$EI$1,'Input LwA_XYZ'!DU14:EI14))</f>
        <v/>
      </c>
    </row>
    <row r="256" spans="14:24" ht="16.5" x14ac:dyDescent="0.3">
      <c r="P256" s="230" t="str">
        <f>IF(OR('Input LwA_XYZ'!A15 = 0, NOT(ISBLANK(_xlfn.XLOOKUP(Tables!N$242, 'Input LwA_XYZ'!CM$1:DA$1, 'Input LwA_XYZ'!CM15:DA15)))), "", 'Input LwA_XYZ'!A15)</f>
        <v/>
      </c>
      <c r="Q256" s="225" t="str">
        <f>IF($P256="","",_xlfn.TEXTJOIN(" - ",TRUE,'Input LwA_XYZ'!B15:C15))</f>
        <v/>
      </c>
      <c r="R256" s="231" t="str">
        <f>IF($P256="","",'Input LwA_XYZ'!Q15)</f>
        <v/>
      </c>
      <c r="S256" s="227" t="str">
        <f>IF($P256="","",ROUND(_xlfn.XLOOKUP(Tables!$N$242,'Input LwA_XYZ'!$AH$1:$AV$1,'Input LwA_XYZ'!AH15:AV15),0))</f>
        <v/>
      </c>
      <c r="T256" s="228" t="str">
        <f>IF($P256="","",-1*ROUND(_xlfn.XLOOKUP(Tables!$N$242,'Input LwA_XYZ'!$AY$1:$BM$1,'Input LwA_XYZ'!AY15:BM15),0))</f>
        <v/>
      </c>
      <c r="U256" s="228" t="str">
        <f>IF($P256="","",IF(_xlfn.XLOOKUP(Tables!$N$242,'Input LwA_XYZ'!$BV$1:$CJ$1,'Input LwA_XYZ'!BV15:CJ15)="","-",_xlfn.XLOOKUP(Tables!$N$242,'Input LwA_XYZ'!$BV$1:$CJ$1,'Input LwA_XYZ'!BV15:CJ15)))</f>
        <v/>
      </c>
      <c r="V256" s="228" t="str">
        <f>IF($P256="","",IF('Input LwA_XYZ'!S15="","-",'Input LwA_XYZ'!S15))</f>
        <v/>
      </c>
      <c r="W256" s="229" t="str" cm="1">
        <f t="array" ref="W256">IF($P256="","",IF(_xlfn.XLOOKUP(Tables!$N$242,_xlfn.ANCHORARRAY('Input LwA_XYZ'!$DD$1),'Input LwA_XYZ'!DD15:DR15)="","-",_xlfn.XLOOKUP(Tables!$N$242,_xlfn.ANCHORARRAY('Input LwA_XYZ'!$DD$1),'Input LwA_XYZ'!DD15:DR15)))</f>
        <v/>
      </c>
      <c r="X256" s="62" t="str">
        <f>IF($P256="","",_xlfn.XLOOKUP(Tables!$N$242,'Input LwA_XYZ'!$DU$1:$EI$1,'Input LwA_XYZ'!DU15:EI15))</f>
        <v/>
      </c>
    </row>
    <row r="257" spans="16:24" ht="16.5" x14ac:dyDescent="0.3">
      <c r="P257" s="230" t="str">
        <f>IF(OR('Input LwA_XYZ'!A16 = 0, NOT(ISBLANK(_xlfn.XLOOKUP(Tables!N$242, 'Input LwA_XYZ'!CM$1:DA$1, 'Input LwA_XYZ'!CM16:DA16)))), "", 'Input LwA_XYZ'!A16)</f>
        <v/>
      </c>
      <c r="Q257" s="225" t="str">
        <f>IF($P257="","",_xlfn.TEXTJOIN(" - ",TRUE,'Input LwA_XYZ'!B16:C16))</f>
        <v/>
      </c>
      <c r="R257" s="231" t="str">
        <f>IF($P257="","",'Input LwA_XYZ'!Q16)</f>
        <v/>
      </c>
      <c r="S257" s="227" t="str">
        <f>IF($P257="","",ROUND(_xlfn.XLOOKUP(Tables!$N$242,'Input LwA_XYZ'!$AH$1:$AV$1,'Input LwA_XYZ'!AH16:AV16),0))</f>
        <v/>
      </c>
      <c r="T257" s="228" t="str">
        <f>IF($P257="","",-1*ROUND(_xlfn.XLOOKUP(Tables!$N$242,'Input LwA_XYZ'!$AY$1:$BM$1,'Input LwA_XYZ'!AY16:BM16),0))</f>
        <v/>
      </c>
      <c r="U257" s="228" t="str">
        <f>IF($P257="","",IF(_xlfn.XLOOKUP(Tables!$N$242,'Input LwA_XYZ'!$BV$1:$CJ$1,'Input LwA_XYZ'!BV16:CJ16)="","-",_xlfn.XLOOKUP(Tables!$N$242,'Input LwA_XYZ'!$BV$1:$CJ$1,'Input LwA_XYZ'!BV16:CJ16)))</f>
        <v/>
      </c>
      <c r="V257" s="228" t="str">
        <f>IF($P257="","",IF('Input LwA_XYZ'!S16="","-",'Input LwA_XYZ'!S16))</f>
        <v/>
      </c>
      <c r="W257" s="229" t="str" cm="1">
        <f t="array" ref="W257">IF($P257="","",IF(_xlfn.XLOOKUP(Tables!$N$242,_xlfn.ANCHORARRAY('Input LwA_XYZ'!$DD$1),'Input LwA_XYZ'!DD16:DR16)="","-",_xlfn.XLOOKUP(Tables!$N$242,_xlfn.ANCHORARRAY('Input LwA_XYZ'!$DD$1),'Input LwA_XYZ'!DD16:DR16)))</f>
        <v/>
      </c>
      <c r="X257" s="62" t="str">
        <f>IF($P257="","",_xlfn.XLOOKUP(Tables!$N$242,'Input LwA_XYZ'!$DU$1:$EI$1,'Input LwA_XYZ'!DU16:EI16))</f>
        <v/>
      </c>
    </row>
    <row r="258" spans="16:24" ht="16.5" x14ac:dyDescent="0.3">
      <c r="P258" s="230" t="str">
        <f>IF(OR('Input LwA_XYZ'!A17 = 0, NOT(ISBLANK(_xlfn.XLOOKUP(Tables!N$242, 'Input LwA_XYZ'!CM$1:DA$1, 'Input LwA_XYZ'!CM17:DA17)))), "", 'Input LwA_XYZ'!A17)</f>
        <v/>
      </c>
      <c r="Q258" s="225" t="str">
        <f>IF($P258="","",_xlfn.TEXTJOIN(" - ",TRUE,'Input LwA_XYZ'!B17:C17))</f>
        <v/>
      </c>
      <c r="R258" s="231" t="str">
        <f>IF($P258="","",'Input LwA_XYZ'!Q17)</f>
        <v/>
      </c>
      <c r="S258" s="227" t="str">
        <f>IF($P258="","",ROUND(_xlfn.XLOOKUP(Tables!$N$242,'Input LwA_XYZ'!$AH$1:$AV$1,'Input LwA_XYZ'!AH17:AV17),0))</f>
        <v/>
      </c>
      <c r="T258" s="228" t="str">
        <f>IF($P258="","",-1*ROUND(_xlfn.XLOOKUP(Tables!$N$242,'Input LwA_XYZ'!$AY$1:$BM$1,'Input LwA_XYZ'!AY17:BM17),0))</f>
        <v/>
      </c>
      <c r="U258" s="228" t="str">
        <f>IF($P258="","",IF(_xlfn.XLOOKUP(Tables!$N$242,'Input LwA_XYZ'!$BV$1:$CJ$1,'Input LwA_XYZ'!BV17:CJ17)="","-",_xlfn.XLOOKUP(Tables!$N$242,'Input LwA_XYZ'!$BV$1:$CJ$1,'Input LwA_XYZ'!BV17:CJ17)))</f>
        <v/>
      </c>
      <c r="V258" s="228" t="str">
        <f>IF($P258="","",IF('Input LwA_XYZ'!S17="","-",'Input LwA_XYZ'!S17))</f>
        <v/>
      </c>
      <c r="W258" s="229" t="str" cm="1">
        <f t="array" ref="W258">IF($P258="","",IF(_xlfn.XLOOKUP(Tables!$N$242,_xlfn.ANCHORARRAY('Input LwA_XYZ'!$DD$1),'Input LwA_XYZ'!DD17:DR17)="","-",_xlfn.XLOOKUP(Tables!$N$242,_xlfn.ANCHORARRAY('Input LwA_XYZ'!$DD$1),'Input LwA_XYZ'!DD17:DR17)))</f>
        <v/>
      </c>
      <c r="X258" s="62" t="str">
        <f>IF($P258="","",_xlfn.XLOOKUP(Tables!$N$242,'Input LwA_XYZ'!$DU$1:$EI$1,'Input LwA_XYZ'!DU17:EI17))</f>
        <v/>
      </c>
    </row>
    <row r="259" spans="16:24" ht="16.5" x14ac:dyDescent="0.3">
      <c r="P259" s="230" t="str">
        <f>IF(OR('Input LwA_XYZ'!A18 = 0, NOT(ISBLANK(_xlfn.XLOOKUP(Tables!N$242, 'Input LwA_XYZ'!CM$1:DA$1, 'Input LwA_XYZ'!CM18:DA18)))), "", 'Input LwA_XYZ'!A18)</f>
        <v/>
      </c>
      <c r="Q259" s="225" t="str">
        <f>IF($P259="","",_xlfn.TEXTJOIN(" - ",TRUE,'Input LwA_XYZ'!B18:C18))</f>
        <v/>
      </c>
      <c r="R259" s="231" t="str">
        <f>IF($P259="","",'Input LwA_XYZ'!Q18)</f>
        <v/>
      </c>
      <c r="S259" s="227" t="str">
        <f>IF($P259="","",ROUND(_xlfn.XLOOKUP(Tables!$N$242,'Input LwA_XYZ'!$AH$1:$AV$1,'Input LwA_XYZ'!AH18:AV18),0))</f>
        <v/>
      </c>
      <c r="T259" s="228" t="str">
        <f>IF($P259="","",-1*ROUND(_xlfn.XLOOKUP(Tables!$N$242,'Input LwA_XYZ'!$AY$1:$BM$1,'Input LwA_XYZ'!AY18:BM18),0))</f>
        <v/>
      </c>
      <c r="U259" s="228" t="str">
        <f>IF($P259="","",IF(_xlfn.XLOOKUP(Tables!$N$242,'Input LwA_XYZ'!$BV$1:$CJ$1,'Input LwA_XYZ'!BV18:CJ18)="","-",_xlfn.XLOOKUP(Tables!$N$242,'Input LwA_XYZ'!$BV$1:$CJ$1,'Input LwA_XYZ'!BV18:CJ18)))</f>
        <v/>
      </c>
      <c r="V259" s="228" t="str">
        <f>IF($P259="","",IF('Input LwA_XYZ'!S18="","-",'Input LwA_XYZ'!S18))</f>
        <v/>
      </c>
      <c r="W259" s="229" t="str" cm="1">
        <f t="array" ref="W259">IF($P259="","",IF(_xlfn.XLOOKUP(Tables!$N$242,_xlfn.ANCHORARRAY('Input LwA_XYZ'!$DD$1),'Input LwA_XYZ'!DD18:DR18)="","-",_xlfn.XLOOKUP(Tables!$N$242,_xlfn.ANCHORARRAY('Input LwA_XYZ'!$DD$1),'Input LwA_XYZ'!DD18:DR18)))</f>
        <v/>
      </c>
      <c r="X259" s="62" t="str">
        <f>IF($P259="","",_xlfn.XLOOKUP(Tables!$N$242,'Input LwA_XYZ'!$DU$1:$EI$1,'Input LwA_XYZ'!DU18:EI18))</f>
        <v/>
      </c>
    </row>
    <row r="260" spans="16:24" ht="16.5" x14ac:dyDescent="0.3">
      <c r="P260" s="230" t="str">
        <f>IF(OR('Input LwA_XYZ'!A19 = 0, NOT(ISBLANK(_xlfn.XLOOKUP(Tables!N$242, 'Input LwA_XYZ'!CM$1:DA$1, 'Input LwA_XYZ'!CM19:DA19)))), "", 'Input LwA_XYZ'!A19)</f>
        <v/>
      </c>
      <c r="Q260" s="225" t="str">
        <f>IF($P260="","",_xlfn.TEXTJOIN(" - ",TRUE,'Input LwA_XYZ'!B19:C19))</f>
        <v/>
      </c>
      <c r="R260" s="231" t="str">
        <f>IF($P260="","",'Input LwA_XYZ'!Q19)</f>
        <v/>
      </c>
      <c r="S260" s="227" t="str">
        <f>IF($P260="","",ROUND(_xlfn.XLOOKUP(Tables!$N$242,'Input LwA_XYZ'!$AH$1:$AV$1,'Input LwA_XYZ'!AH19:AV19),0))</f>
        <v/>
      </c>
      <c r="T260" s="228" t="str">
        <f>IF($P260="","",-1*ROUND(_xlfn.XLOOKUP(Tables!$N$242,'Input LwA_XYZ'!$AY$1:$BM$1,'Input LwA_XYZ'!AY19:BM19),0))</f>
        <v/>
      </c>
      <c r="U260" s="228" t="str">
        <f>IF($P260="","",IF(_xlfn.XLOOKUP(Tables!$N$242,'Input LwA_XYZ'!$BV$1:$CJ$1,'Input LwA_XYZ'!BV19:CJ19)="","-",_xlfn.XLOOKUP(Tables!$N$242,'Input LwA_XYZ'!$BV$1:$CJ$1,'Input LwA_XYZ'!BV19:CJ19)))</f>
        <v/>
      </c>
      <c r="V260" s="228" t="str">
        <f>IF($P260="","",IF('Input LwA_XYZ'!S19="","-",'Input LwA_XYZ'!S19))</f>
        <v/>
      </c>
      <c r="W260" s="229" t="str" cm="1">
        <f t="array" ref="W260">IF($P260="","",IF(_xlfn.XLOOKUP(Tables!$N$242,_xlfn.ANCHORARRAY('Input LwA_XYZ'!$DD$1),'Input LwA_XYZ'!DD19:DR19)="","-",_xlfn.XLOOKUP(Tables!$N$242,_xlfn.ANCHORARRAY('Input LwA_XYZ'!$DD$1),'Input LwA_XYZ'!DD19:DR19)))</f>
        <v/>
      </c>
      <c r="X260" s="62" t="str">
        <f>IF($P260="","",_xlfn.XLOOKUP(Tables!$N$242,'Input LwA_XYZ'!$DU$1:$EI$1,'Input LwA_XYZ'!DU19:EI19))</f>
        <v/>
      </c>
    </row>
    <row r="261" spans="16:24" ht="16.5" x14ac:dyDescent="0.3">
      <c r="P261" s="230" t="str">
        <f>IF(OR('Input LwA_XYZ'!A20 = 0, NOT(ISBLANK(_xlfn.XLOOKUP(Tables!N$242, 'Input LwA_XYZ'!CM$1:DA$1, 'Input LwA_XYZ'!CM20:DA20)))), "", 'Input LwA_XYZ'!A20)</f>
        <v/>
      </c>
      <c r="Q261" s="225" t="str">
        <f>IF($P261="","",_xlfn.TEXTJOIN(" - ",TRUE,'Input LwA_XYZ'!B20:C20))</f>
        <v/>
      </c>
      <c r="R261" s="231" t="str">
        <f>IF($P261="","",'Input LwA_XYZ'!Q20)</f>
        <v/>
      </c>
      <c r="S261" s="227" t="str">
        <f>IF($P261="","",ROUND(_xlfn.XLOOKUP(Tables!$N$242,'Input LwA_XYZ'!$AH$1:$AV$1,'Input LwA_XYZ'!AH20:AV20),0))</f>
        <v/>
      </c>
      <c r="T261" s="228" t="str">
        <f>IF($P261="","",-1*ROUND(_xlfn.XLOOKUP(Tables!$N$242,'Input LwA_XYZ'!$AY$1:$BM$1,'Input LwA_XYZ'!AY20:BM20),0))</f>
        <v/>
      </c>
      <c r="U261" s="228" t="str">
        <f>IF($P261="","",IF(_xlfn.XLOOKUP(Tables!$N$242,'Input LwA_XYZ'!$BV$1:$CJ$1,'Input LwA_XYZ'!BV20:CJ20)="","-",_xlfn.XLOOKUP(Tables!$N$242,'Input LwA_XYZ'!$BV$1:$CJ$1,'Input LwA_XYZ'!BV20:CJ20)))</f>
        <v/>
      </c>
      <c r="V261" s="228" t="str">
        <f>IF($P261="","",IF('Input LwA_XYZ'!S20="","-",'Input LwA_XYZ'!S20))</f>
        <v/>
      </c>
      <c r="W261" s="229" t="str" cm="1">
        <f t="array" ref="W261">IF($P261="","",IF(_xlfn.XLOOKUP(Tables!$N$242,_xlfn.ANCHORARRAY('Input LwA_XYZ'!$DD$1),'Input LwA_XYZ'!DD20:DR20)="","-",_xlfn.XLOOKUP(Tables!$N$242,_xlfn.ANCHORARRAY('Input LwA_XYZ'!$DD$1),'Input LwA_XYZ'!DD20:DR20)))</f>
        <v/>
      </c>
      <c r="X261" s="62" t="str">
        <f>IF($P261="","",_xlfn.XLOOKUP(Tables!$N$242,'Input LwA_XYZ'!$DU$1:$EI$1,'Input LwA_XYZ'!DU20:EI20))</f>
        <v/>
      </c>
    </row>
    <row r="262" spans="16:24" ht="16.5" x14ac:dyDescent="0.3">
      <c r="P262" s="230" t="str">
        <f>IF(OR('Input LwA_XYZ'!A21 = 0, NOT(ISBLANK(_xlfn.XLOOKUP(Tables!N$242, 'Input LwA_XYZ'!CM$1:DA$1, 'Input LwA_XYZ'!CM21:DA21)))), "", 'Input LwA_XYZ'!A21)</f>
        <v/>
      </c>
      <c r="Q262" s="225" t="str">
        <f>IF($P262="","",_xlfn.TEXTJOIN(" - ",TRUE,'Input LwA_XYZ'!B21:C21))</f>
        <v/>
      </c>
      <c r="R262" s="231" t="str">
        <f>IF($P262="","",'Input LwA_XYZ'!Q21)</f>
        <v/>
      </c>
      <c r="S262" s="227" t="str">
        <f>IF($P262="","",ROUND(_xlfn.XLOOKUP(Tables!$N$242,'Input LwA_XYZ'!$AH$1:$AV$1,'Input LwA_XYZ'!AH21:AV21),0))</f>
        <v/>
      </c>
      <c r="T262" s="228" t="str">
        <f>IF($P262="","",-1*ROUND(_xlfn.XLOOKUP(Tables!$N$242,'Input LwA_XYZ'!$AY$1:$BM$1,'Input LwA_XYZ'!AY21:BM21),0))</f>
        <v/>
      </c>
      <c r="U262" s="228" t="str">
        <f>IF($P262="","",IF(_xlfn.XLOOKUP(Tables!$N$242,'Input LwA_XYZ'!$BV$1:$CJ$1,'Input LwA_XYZ'!BV21:CJ21)="","-",_xlfn.XLOOKUP(Tables!$N$242,'Input LwA_XYZ'!$BV$1:$CJ$1,'Input LwA_XYZ'!BV21:CJ21)))</f>
        <v/>
      </c>
      <c r="V262" s="228" t="str">
        <f>IF($P262="","",IF('Input LwA_XYZ'!S21="","-",'Input LwA_XYZ'!S21))</f>
        <v/>
      </c>
      <c r="W262" s="229" t="str" cm="1">
        <f t="array" ref="W262">IF($P262="","",IF(_xlfn.XLOOKUP(Tables!$N$242,_xlfn.ANCHORARRAY('Input LwA_XYZ'!$DD$1),'Input LwA_XYZ'!DD21:DR21)="","-",_xlfn.XLOOKUP(Tables!$N$242,_xlfn.ANCHORARRAY('Input LwA_XYZ'!$DD$1),'Input LwA_XYZ'!DD21:DR21)))</f>
        <v/>
      </c>
      <c r="X262" s="62" t="str">
        <f>IF($P262="","",_xlfn.XLOOKUP(Tables!$N$242,'Input LwA_XYZ'!$DU$1:$EI$1,'Input LwA_XYZ'!DU21:EI21))</f>
        <v/>
      </c>
    </row>
    <row r="263" spans="16:24" ht="16.5" x14ac:dyDescent="0.3">
      <c r="P263" s="230" t="str">
        <f>IF(OR('Input LwA_XYZ'!A22 = 0, NOT(ISBLANK(_xlfn.XLOOKUP(Tables!N$242, 'Input LwA_XYZ'!CM$1:DA$1, 'Input LwA_XYZ'!CM22:DA22)))), "", 'Input LwA_XYZ'!A22)</f>
        <v/>
      </c>
      <c r="Q263" s="225" t="str">
        <f>IF($P263="","",_xlfn.TEXTJOIN(" - ",TRUE,'Input LwA_XYZ'!B22:C22))</f>
        <v/>
      </c>
      <c r="R263" s="231" t="str">
        <f>IF($P263="","",'Input LwA_XYZ'!Q22)</f>
        <v/>
      </c>
      <c r="S263" s="227" t="str">
        <f>IF($P263="","",ROUND(_xlfn.XLOOKUP(Tables!$N$242,'Input LwA_XYZ'!$AH$1:$AV$1,'Input LwA_XYZ'!AH22:AV22),0))</f>
        <v/>
      </c>
      <c r="T263" s="228" t="str">
        <f>IF($P263="","",-1*ROUND(_xlfn.XLOOKUP(Tables!$N$242,'Input LwA_XYZ'!$AY$1:$BM$1,'Input LwA_XYZ'!AY22:BM22),0))</f>
        <v/>
      </c>
      <c r="U263" s="228" t="str">
        <f>IF($P263="","",IF(_xlfn.XLOOKUP(Tables!$N$242,'Input LwA_XYZ'!$BV$1:$CJ$1,'Input LwA_XYZ'!BV22:CJ22)="","-",_xlfn.XLOOKUP(Tables!$N$242,'Input LwA_XYZ'!$BV$1:$CJ$1,'Input LwA_XYZ'!BV22:CJ22)))</f>
        <v/>
      </c>
      <c r="V263" s="228" t="str">
        <f>IF($P263="","",IF('Input LwA_XYZ'!S22="","-",'Input LwA_XYZ'!S22))</f>
        <v/>
      </c>
      <c r="W263" s="229" t="str" cm="1">
        <f t="array" ref="W263">IF($P263="","",IF(_xlfn.XLOOKUP(Tables!$N$242,_xlfn.ANCHORARRAY('Input LwA_XYZ'!$DD$1),'Input LwA_XYZ'!DD22:DR22)="","-",_xlfn.XLOOKUP(Tables!$N$242,_xlfn.ANCHORARRAY('Input LwA_XYZ'!$DD$1),'Input LwA_XYZ'!DD22:DR22)))</f>
        <v/>
      </c>
      <c r="X263" s="62" t="str">
        <f>IF($P263="","",_xlfn.XLOOKUP(Tables!$N$242,'Input LwA_XYZ'!$DU$1:$EI$1,'Input LwA_XYZ'!DU22:EI22))</f>
        <v/>
      </c>
    </row>
    <row r="264" spans="16:24" ht="16.5" x14ac:dyDescent="0.3">
      <c r="P264" s="230" t="str">
        <f>IF(OR('Input LwA_XYZ'!A23 = 0, NOT(ISBLANK(_xlfn.XLOOKUP(Tables!N$242, 'Input LwA_XYZ'!CM$1:DA$1, 'Input LwA_XYZ'!CM23:DA23)))), "", 'Input LwA_XYZ'!A23)</f>
        <v/>
      </c>
      <c r="Q264" s="225" t="str">
        <f>IF($P264="","",_xlfn.TEXTJOIN(" - ",TRUE,'Input LwA_XYZ'!B23:C23))</f>
        <v/>
      </c>
      <c r="R264" s="231" t="str">
        <f>IF($P264="","",'Input LwA_XYZ'!Q23)</f>
        <v/>
      </c>
      <c r="S264" s="227" t="str">
        <f>IF($P264="","",ROUND(_xlfn.XLOOKUP(Tables!$N$242,'Input LwA_XYZ'!$AH$1:$AV$1,'Input LwA_XYZ'!AH23:AV23),0))</f>
        <v/>
      </c>
      <c r="T264" s="228" t="str">
        <f>IF($P264="","",-1*ROUND(_xlfn.XLOOKUP(Tables!$N$242,'Input LwA_XYZ'!$AY$1:$BM$1,'Input LwA_XYZ'!AY23:BM23),0))</f>
        <v/>
      </c>
      <c r="U264" s="228" t="str">
        <f>IF($P264="","",IF(_xlfn.XLOOKUP(Tables!$N$242,'Input LwA_XYZ'!$BV$1:$CJ$1,'Input LwA_XYZ'!BV23:CJ23)="","-",_xlfn.XLOOKUP(Tables!$N$242,'Input LwA_XYZ'!$BV$1:$CJ$1,'Input LwA_XYZ'!BV23:CJ23)))</f>
        <v/>
      </c>
      <c r="V264" s="228" t="str">
        <f>IF($P264="","",IF('Input LwA_XYZ'!S23="","-",'Input LwA_XYZ'!S23))</f>
        <v/>
      </c>
      <c r="W264" s="229" t="str" cm="1">
        <f t="array" ref="W264">IF($P264="","",IF(_xlfn.XLOOKUP(Tables!$N$242,_xlfn.ANCHORARRAY('Input LwA_XYZ'!$DD$1),'Input LwA_XYZ'!DD23:DR23)="","-",_xlfn.XLOOKUP(Tables!$N$242,_xlfn.ANCHORARRAY('Input LwA_XYZ'!$DD$1),'Input LwA_XYZ'!DD23:DR23)))</f>
        <v/>
      </c>
      <c r="X264" s="62" t="str">
        <f>IF($P264="","",_xlfn.XLOOKUP(Tables!$N$242,'Input LwA_XYZ'!$DU$1:$EI$1,'Input LwA_XYZ'!DU23:EI23))</f>
        <v/>
      </c>
    </row>
    <row r="265" spans="16:24" ht="16.5" x14ac:dyDescent="0.3">
      <c r="P265" s="230" t="str">
        <f>IF(OR('Input LwA_XYZ'!A24 = 0, NOT(ISBLANK(_xlfn.XLOOKUP(Tables!N$242, 'Input LwA_XYZ'!CM$1:DA$1, 'Input LwA_XYZ'!CM24:DA24)))), "", 'Input LwA_XYZ'!A24)</f>
        <v/>
      </c>
      <c r="Q265" s="225" t="str">
        <f>IF($P265="","",_xlfn.TEXTJOIN(" - ",TRUE,'Input LwA_XYZ'!B24:C24))</f>
        <v/>
      </c>
      <c r="R265" s="231" t="str">
        <f>IF($P265="","",'Input LwA_XYZ'!Q24)</f>
        <v/>
      </c>
      <c r="S265" s="227" t="str">
        <f>IF($P265="","",ROUND(_xlfn.XLOOKUP(Tables!$N$242,'Input LwA_XYZ'!$AH$1:$AV$1,'Input LwA_XYZ'!AH24:AV24),0))</f>
        <v/>
      </c>
      <c r="T265" s="228" t="str">
        <f>IF($P265="","",-1*ROUND(_xlfn.XLOOKUP(Tables!$N$242,'Input LwA_XYZ'!$AY$1:$BM$1,'Input LwA_XYZ'!AY24:BM24),0))</f>
        <v/>
      </c>
      <c r="U265" s="228" t="str">
        <f>IF($P265="","",IF(_xlfn.XLOOKUP(Tables!$N$242,'Input LwA_XYZ'!$BV$1:$CJ$1,'Input LwA_XYZ'!BV24:CJ24)="","-",_xlfn.XLOOKUP(Tables!$N$242,'Input LwA_XYZ'!$BV$1:$CJ$1,'Input LwA_XYZ'!BV24:CJ24)))</f>
        <v/>
      </c>
      <c r="V265" s="228" t="str">
        <f>IF($P265="","",IF('Input LwA_XYZ'!S24="","-",'Input LwA_XYZ'!S24))</f>
        <v/>
      </c>
      <c r="W265" s="229" t="str" cm="1">
        <f t="array" ref="W265">IF($P265="","",IF(_xlfn.XLOOKUP(Tables!$N$242,_xlfn.ANCHORARRAY('Input LwA_XYZ'!$DD$1),'Input LwA_XYZ'!DD24:DR24)="","-",_xlfn.XLOOKUP(Tables!$N$242,_xlfn.ANCHORARRAY('Input LwA_XYZ'!$DD$1),'Input LwA_XYZ'!DD24:DR24)))</f>
        <v/>
      </c>
      <c r="X265" s="62" t="str">
        <f>IF($P265="","",_xlfn.XLOOKUP(Tables!$N$242,'Input LwA_XYZ'!$DU$1:$EI$1,'Input LwA_XYZ'!DU24:EI24))</f>
        <v/>
      </c>
    </row>
    <row r="266" spans="16:24" ht="16.5" x14ac:dyDescent="0.3">
      <c r="P266" s="230" t="str">
        <f>IF(OR('Input LwA_XYZ'!A25 = 0, NOT(ISBLANK(_xlfn.XLOOKUP(Tables!N$242, 'Input LwA_XYZ'!CM$1:DA$1, 'Input LwA_XYZ'!CM25:DA25)))), "", 'Input LwA_XYZ'!A25)</f>
        <v/>
      </c>
      <c r="Q266" s="225" t="str">
        <f>IF($P266="","",_xlfn.TEXTJOIN(" - ",TRUE,'Input LwA_XYZ'!B25:C25))</f>
        <v/>
      </c>
      <c r="R266" s="231" t="str">
        <f>IF($P266="","",'Input LwA_XYZ'!Q25)</f>
        <v/>
      </c>
      <c r="S266" s="227" t="str">
        <f>IF($P266="","",ROUND(_xlfn.XLOOKUP(Tables!$N$242,'Input LwA_XYZ'!$AH$1:$AV$1,'Input LwA_XYZ'!AH25:AV25),0))</f>
        <v/>
      </c>
      <c r="T266" s="228" t="str">
        <f>IF($P266="","",-1*ROUND(_xlfn.XLOOKUP(Tables!$N$242,'Input LwA_XYZ'!$AY$1:$BM$1,'Input LwA_XYZ'!AY25:BM25),0))</f>
        <v/>
      </c>
      <c r="U266" s="228" t="str">
        <f>IF($P266="","",IF(_xlfn.XLOOKUP(Tables!$N$242,'Input LwA_XYZ'!$BV$1:$CJ$1,'Input LwA_XYZ'!BV25:CJ25)="","-",_xlfn.XLOOKUP(Tables!$N$242,'Input LwA_XYZ'!$BV$1:$CJ$1,'Input LwA_XYZ'!BV25:CJ25)))</f>
        <v/>
      </c>
      <c r="V266" s="228" t="str">
        <f>IF($P266="","",IF('Input LwA_XYZ'!S25="","-",'Input LwA_XYZ'!S25))</f>
        <v/>
      </c>
      <c r="W266" s="229" t="str" cm="1">
        <f t="array" ref="W266">IF($P266="","",IF(_xlfn.XLOOKUP(Tables!$N$242,_xlfn.ANCHORARRAY('Input LwA_XYZ'!$DD$1),'Input LwA_XYZ'!DD25:DR25)="","-",_xlfn.XLOOKUP(Tables!$N$242,_xlfn.ANCHORARRAY('Input LwA_XYZ'!$DD$1),'Input LwA_XYZ'!DD25:DR25)))</f>
        <v/>
      </c>
      <c r="X266" s="62" t="str">
        <f>IF($P266="","",_xlfn.XLOOKUP(Tables!$N$242,'Input LwA_XYZ'!$DU$1:$EI$1,'Input LwA_XYZ'!DU25:EI25))</f>
        <v/>
      </c>
    </row>
    <row r="267" spans="16:24" ht="16.5" x14ac:dyDescent="0.3">
      <c r="P267" s="230" t="str">
        <f>IF(OR('Input LwA_XYZ'!A26 = 0, NOT(ISBLANK(_xlfn.XLOOKUP(Tables!N$242, 'Input LwA_XYZ'!CM$1:DA$1, 'Input LwA_XYZ'!CM26:DA26)))), "", 'Input LwA_XYZ'!A26)</f>
        <v/>
      </c>
      <c r="Q267" s="225" t="str">
        <f>IF($P267="","",_xlfn.TEXTJOIN(" - ",TRUE,'Input LwA_XYZ'!B26:C26))</f>
        <v/>
      </c>
      <c r="R267" s="231" t="str">
        <f>IF($P267="","",'Input LwA_XYZ'!Q26)</f>
        <v/>
      </c>
      <c r="S267" s="227" t="str">
        <f>IF($P267="","",ROUND(_xlfn.XLOOKUP(Tables!$N$242,'Input LwA_XYZ'!$AH$1:$AV$1,'Input LwA_XYZ'!AH26:AV26),0))</f>
        <v/>
      </c>
      <c r="T267" s="228" t="str">
        <f>IF($P267="","",-1*ROUND(_xlfn.XLOOKUP(Tables!$N$242,'Input LwA_XYZ'!$AY$1:$BM$1,'Input LwA_XYZ'!AY26:BM26),0))</f>
        <v/>
      </c>
      <c r="U267" s="228" t="str">
        <f>IF($P267="","",IF(_xlfn.XLOOKUP(Tables!$N$242,'Input LwA_XYZ'!$BV$1:$CJ$1,'Input LwA_XYZ'!BV26:CJ26)="","-",_xlfn.XLOOKUP(Tables!$N$242,'Input LwA_XYZ'!$BV$1:$CJ$1,'Input LwA_XYZ'!BV26:CJ26)))</f>
        <v/>
      </c>
      <c r="V267" s="228" t="str">
        <f>IF($P267="","",IF('Input LwA_XYZ'!S26="","-",'Input LwA_XYZ'!S26))</f>
        <v/>
      </c>
      <c r="W267" s="229" t="str" cm="1">
        <f t="array" ref="W267">IF($P267="","",IF(_xlfn.XLOOKUP(Tables!$N$242,_xlfn.ANCHORARRAY('Input LwA_XYZ'!$DD$1),'Input LwA_XYZ'!DD26:DR26)="","-",_xlfn.XLOOKUP(Tables!$N$242,_xlfn.ANCHORARRAY('Input LwA_XYZ'!$DD$1),'Input LwA_XYZ'!DD26:DR26)))</f>
        <v/>
      </c>
      <c r="X267" s="62" t="str">
        <f>IF($P267="","",_xlfn.XLOOKUP(Tables!$N$242,'Input LwA_XYZ'!$DU$1:$EI$1,'Input LwA_XYZ'!DU26:EI26))</f>
        <v/>
      </c>
    </row>
    <row r="268" spans="16:24" ht="16.5" x14ac:dyDescent="0.3">
      <c r="P268" s="230" t="str">
        <f>IF(OR('Input LwA_XYZ'!A27 = 0, NOT(ISBLANK(_xlfn.XLOOKUP(Tables!N$242, 'Input LwA_XYZ'!CM$1:DA$1, 'Input LwA_XYZ'!CM27:DA27)))), "", 'Input LwA_XYZ'!A27)</f>
        <v/>
      </c>
      <c r="Q268" s="225" t="str">
        <f>IF($P268="","",_xlfn.TEXTJOIN(" - ",TRUE,'Input LwA_XYZ'!B27:C27))</f>
        <v/>
      </c>
      <c r="R268" s="231" t="str">
        <f>IF($P268="","",'Input LwA_XYZ'!Q27)</f>
        <v/>
      </c>
      <c r="S268" s="227" t="str">
        <f>IF($P268="","",ROUND(_xlfn.XLOOKUP(Tables!$N$242,'Input LwA_XYZ'!$AH$1:$AV$1,'Input LwA_XYZ'!AH27:AV27),0))</f>
        <v/>
      </c>
      <c r="T268" s="228" t="str">
        <f>IF($P268="","",-1*ROUND(_xlfn.XLOOKUP(Tables!$N$242,'Input LwA_XYZ'!$AY$1:$BM$1,'Input LwA_XYZ'!AY27:BM27),0))</f>
        <v/>
      </c>
      <c r="U268" s="228" t="str">
        <f>IF($P268="","",IF(_xlfn.XLOOKUP(Tables!$N$242,'Input LwA_XYZ'!$BV$1:$CJ$1,'Input LwA_XYZ'!BV27:CJ27)="","-",_xlfn.XLOOKUP(Tables!$N$242,'Input LwA_XYZ'!$BV$1:$CJ$1,'Input LwA_XYZ'!BV27:CJ27)))</f>
        <v/>
      </c>
      <c r="V268" s="228" t="str">
        <f>IF($P268="","",IF('Input LwA_XYZ'!S27="","-",'Input LwA_XYZ'!S27))</f>
        <v/>
      </c>
      <c r="W268" s="229" t="str" cm="1">
        <f t="array" ref="W268">IF($P268="","",IF(_xlfn.XLOOKUP(Tables!$N$242,_xlfn.ANCHORARRAY('Input LwA_XYZ'!$DD$1),'Input LwA_XYZ'!DD27:DR27)="","-",_xlfn.XLOOKUP(Tables!$N$242,_xlfn.ANCHORARRAY('Input LwA_XYZ'!$DD$1),'Input LwA_XYZ'!DD27:DR27)))</f>
        <v/>
      </c>
      <c r="X268" s="62" t="str">
        <f>IF($P268="","",_xlfn.XLOOKUP(Tables!$N$242,'Input LwA_XYZ'!$DU$1:$EI$1,'Input LwA_XYZ'!DU27:EI27))</f>
        <v/>
      </c>
    </row>
    <row r="269" spans="16:24" ht="16.5" x14ac:dyDescent="0.3">
      <c r="P269" s="230" t="str">
        <f>IF(OR('Input LwA_XYZ'!A28 = 0, NOT(ISBLANK(_xlfn.XLOOKUP(Tables!N$242, 'Input LwA_XYZ'!CM$1:DA$1, 'Input LwA_XYZ'!CM28:DA28)))), "", 'Input LwA_XYZ'!A28)</f>
        <v/>
      </c>
      <c r="Q269" s="225" t="str">
        <f>IF($P269="","",_xlfn.TEXTJOIN(" - ",TRUE,'Input LwA_XYZ'!B28:C28))</f>
        <v/>
      </c>
      <c r="R269" s="231" t="str">
        <f>IF($P269="","",'Input LwA_XYZ'!Q28)</f>
        <v/>
      </c>
      <c r="S269" s="227" t="str">
        <f>IF($P269="","",ROUND(_xlfn.XLOOKUP(Tables!$N$242,'Input LwA_XYZ'!$AH$1:$AV$1,'Input LwA_XYZ'!AH28:AV28),0))</f>
        <v/>
      </c>
      <c r="T269" s="228" t="str">
        <f>IF($P269="","",-1*ROUND(_xlfn.XLOOKUP(Tables!$N$242,'Input LwA_XYZ'!$AY$1:$BM$1,'Input LwA_XYZ'!AY28:BM28),0))</f>
        <v/>
      </c>
      <c r="U269" s="228" t="str">
        <f>IF($P269="","",IF(_xlfn.XLOOKUP(Tables!$N$242,'Input LwA_XYZ'!$BV$1:$CJ$1,'Input LwA_XYZ'!BV28:CJ28)="","-",_xlfn.XLOOKUP(Tables!$N$242,'Input LwA_XYZ'!$BV$1:$CJ$1,'Input LwA_XYZ'!BV28:CJ28)))</f>
        <v/>
      </c>
      <c r="V269" s="228" t="str">
        <f>IF($P269="","",IF('Input LwA_XYZ'!S28="","-",'Input LwA_XYZ'!S28))</f>
        <v/>
      </c>
      <c r="W269" s="229" t="str" cm="1">
        <f t="array" ref="W269">IF($P269="","",IF(_xlfn.XLOOKUP(Tables!$N$242,_xlfn.ANCHORARRAY('Input LwA_XYZ'!$DD$1),'Input LwA_XYZ'!DD28:DR28)="","-",_xlfn.XLOOKUP(Tables!$N$242,_xlfn.ANCHORARRAY('Input LwA_XYZ'!$DD$1),'Input LwA_XYZ'!DD28:DR28)))</f>
        <v/>
      </c>
      <c r="X269" s="62" t="str">
        <f>IF($P269="","",_xlfn.XLOOKUP(Tables!$N$242,'Input LwA_XYZ'!$DU$1:$EI$1,'Input LwA_XYZ'!DU28:EI28))</f>
        <v/>
      </c>
    </row>
    <row r="270" spans="16:24" ht="16.5" x14ac:dyDescent="0.3">
      <c r="P270" s="230" t="str">
        <f>IF(OR('Input LwA_XYZ'!A29 = 0, NOT(ISBLANK(_xlfn.XLOOKUP(Tables!N$242, 'Input LwA_XYZ'!CM$1:DA$1, 'Input LwA_XYZ'!CM29:DA29)))), "", 'Input LwA_XYZ'!A29)</f>
        <v/>
      </c>
      <c r="Q270" s="225" t="str">
        <f>IF($P270="","",_xlfn.TEXTJOIN(" - ",TRUE,'Input LwA_XYZ'!B29:C29))</f>
        <v/>
      </c>
      <c r="R270" s="231" t="str">
        <f>IF($P270="","",'Input LwA_XYZ'!Q29)</f>
        <v/>
      </c>
      <c r="S270" s="227" t="str">
        <f>IF($P270="","",ROUND(_xlfn.XLOOKUP(Tables!$N$242,'Input LwA_XYZ'!$AH$1:$AV$1,'Input LwA_XYZ'!AH29:AV29),0))</f>
        <v/>
      </c>
      <c r="T270" s="228" t="str">
        <f>IF($P270="","",-1*ROUND(_xlfn.XLOOKUP(Tables!$N$242,'Input LwA_XYZ'!$AY$1:$BM$1,'Input LwA_XYZ'!AY29:BM29),0))</f>
        <v/>
      </c>
      <c r="U270" s="228" t="str">
        <f>IF($P270="","",IF(_xlfn.XLOOKUP(Tables!$N$242,'Input LwA_XYZ'!$BV$1:$CJ$1,'Input LwA_XYZ'!BV29:CJ29)="","-",_xlfn.XLOOKUP(Tables!$N$242,'Input LwA_XYZ'!$BV$1:$CJ$1,'Input LwA_XYZ'!BV29:CJ29)))</f>
        <v/>
      </c>
      <c r="V270" s="228" t="str">
        <f>IF($P270="","",IF('Input LwA_XYZ'!S29="","-",'Input LwA_XYZ'!S29))</f>
        <v/>
      </c>
      <c r="W270" s="229" t="str" cm="1">
        <f t="array" ref="W270">IF($P270="","",IF(_xlfn.XLOOKUP(Tables!$N$242,_xlfn.ANCHORARRAY('Input LwA_XYZ'!$DD$1),'Input LwA_XYZ'!DD29:DR29)="","-",_xlfn.XLOOKUP(Tables!$N$242,_xlfn.ANCHORARRAY('Input LwA_XYZ'!$DD$1),'Input LwA_XYZ'!DD29:DR29)))</f>
        <v/>
      </c>
      <c r="X270" s="62" t="str">
        <f>IF($P270="","",_xlfn.XLOOKUP(Tables!$N$242,'Input LwA_XYZ'!$DU$1:$EI$1,'Input LwA_XYZ'!DU29:EI29))</f>
        <v/>
      </c>
    </row>
    <row r="271" spans="16:24" ht="16.5" x14ac:dyDescent="0.3">
      <c r="P271" s="230" t="str">
        <f>IF(OR('Input LwA_XYZ'!A30 = 0, NOT(ISBLANK(_xlfn.XLOOKUP(Tables!N$242, 'Input LwA_XYZ'!CM$1:DA$1, 'Input LwA_XYZ'!CM30:DA30)))), "", 'Input LwA_XYZ'!A30)</f>
        <v/>
      </c>
      <c r="Q271" s="225" t="str">
        <f>IF($P271="","",_xlfn.TEXTJOIN(" - ",TRUE,'Input LwA_XYZ'!B30:C30))</f>
        <v/>
      </c>
      <c r="R271" s="231" t="str">
        <f>IF($P271="","",'Input LwA_XYZ'!Q30)</f>
        <v/>
      </c>
      <c r="S271" s="227" t="str">
        <f>IF($P271="","",ROUND(_xlfn.XLOOKUP(Tables!$N$242,'Input LwA_XYZ'!$AH$1:$AV$1,'Input LwA_XYZ'!AH30:AV30),0))</f>
        <v/>
      </c>
      <c r="T271" s="228" t="str">
        <f>IF($P271="","",-1*ROUND(_xlfn.XLOOKUP(Tables!$N$242,'Input LwA_XYZ'!$AY$1:$BM$1,'Input LwA_XYZ'!AY30:BM30),0))</f>
        <v/>
      </c>
      <c r="U271" s="228" t="str">
        <f>IF($P271="","",IF(_xlfn.XLOOKUP(Tables!$N$242,'Input LwA_XYZ'!$BV$1:$CJ$1,'Input LwA_XYZ'!BV30:CJ30)="","-",_xlfn.XLOOKUP(Tables!$N$242,'Input LwA_XYZ'!$BV$1:$CJ$1,'Input LwA_XYZ'!BV30:CJ30)))</f>
        <v/>
      </c>
      <c r="V271" s="228" t="str">
        <f>IF($P271="","",IF('Input LwA_XYZ'!S30="","-",'Input LwA_XYZ'!S30))</f>
        <v/>
      </c>
      <c r="W271" s="229" t="str" cm="1">
        <f t="array" ref="W271">IF($P271="","",IF(_xlfn.XLOOKUP(Tables!$N$242,_xlfn.ANCHORARRAY('Input LwA_XYZ'!$DD$1),'Input LwA_XYZ'!DD30:DR30)="","-",_xlfn.XLOOKUP(Tables!$N$242,_xlfn.ANCHORARRAY('Input LwA_XYZ'!$DD$1),'Input LwA_XYZ'!DD30:DR30)))</f>
        <v/>
      </c>
      <c r="X271" s="62" t="str">
        <f>IF($P271="","",_xlfn.XLOOKUP(Tables!$N$242,'Input LwA_XYZ'!$DU$1:$EI$1,'Input LwA_XYZ'!DU30:EI30))</f>
        <v/>
      </c>
    </row>
    <row r="272" spans="16:24" ht="16.5" x14ac:dyDescent="0.3">
      <c r="P272" s="230" t="str">
        <f>IF(OR('Input LwA_XYZ'!A31 = 0, NOT(ISBLANK(_xlfn.XLOOKUP(Tables!N$242, 'Input LwA_XYZ'!CM$1:DA$1, 'Input LwA_XYZ'!CM31:DA31)))), "", 'Input LwA_XYZ'!A31)</f>
        <v/>
      </c>
      <c r="Q272" s="225" t="str">
        <f>IF($P272="","",_xlfn.TEXTJOIN(" - ",TRUE,'Input LwA_XYZ'!B31:C31))</f>
        <v/>
      </c>
      <c r="R272" s="231" t="str">
        <f>IF($P272="","",'Input LwA_XYZ'!Q31)</f>
        <v/>
      </c>
      <c r="S272" s="227" t="str">
        <f>IF($P272="","",ROUND(_xlfn.XLOOKUP(Tables!$N$242,'Input LwA_XYZ'!$AH$1:$AV$1,'Input LwA_XYZ'!AH31:AV31),0))</f>
        <v/>
      </c>
      <c r="T272" s="228" t="str">
        <f>IF($P272="","",-1*ROUND(_xlfn.XLOOKUP(Tables!$N$242,'Input LwA_XYZ'!$AY$1:$BM$1,'Input LwA_XYZ'!AY31:BM31),0))</f>
        <v/>
      </c>
      <c r="U272" s="228" t="str">
        <f>IF($P272="","",IF(_xlfn.XLOOKUP(Tables!$N$242,'Input LwA_XYZ'!$BV$1:$CJ$1,'Input LwA_XYZ'!BV31:CJ31)="","-",_xlfn.XLOOKUP(Tables!$N$242,'Input LwA_XYZ'!$BV$1:$CJ$1,'Input LwA_XYZ'!BV31:CJ31)))</f>
        <v/>
      </c>
      <c r="V272" s="228" t="str">
        <f>IF($P272="","",IF('Input LwA_XYZ'!S31="","-",'Input LwA_XYZ'!S31))</f>
        <v/>
      </c>
      <c r="W272" s="229" t="str" cm="1">
        <f t="array" ref="W272">IF($P272="","",IF(_xlfn.XLOOKUP(Tables!$N$242,_xlfn.ANCHORARRAY('Input LwA_XYZ'!$DD$1),'Input LwA_XYZ'!DD31:DR31)="","-",_xlfn.XLOOKUP(Tables!$N$242,_xlfn.ANCHORARRAY('Input LwA_XYZ'!$DD$1),'Input LwA_XYZ'!DD31:DR31)))</f>
        <v/>
      </c>
      <c r="X272" s="62" t="str">
        <f>IF($P272="","",_xlfn.XLOOKUP(Tables!$N$242,'Input LwA_XYZ'!$DU$1:$EI$1,'Input LwA_XYZ'!DU31:EI31))</f>
        <v/>
      </c>
    </row>
    <row r="273" spans="16:24" ht="16.5" x14ac:dyDescent="0.3">
      <c r="P273" s="230" t="str">
        <f>IF(OR('Input LwA_XYZ'!A32 = 0, NOT(ISBLANK(_xlfn.XLOOKUP(Tables!N$242, 'Input LwA_XYZ'!CM$1:DA$1, 'Input LwA_XYZ'!CM32:DA32)))), "", 'Input LwA_XYZ'!A32)</f>
        <v/>
      </c>
      <c r="Q273" s="225" t="str">
        <f>IF($P273="","",_xlfn.TEXTJOIN(" - ",TRUE,'Input LwA_XYZ'!B32:C32))</f>
        <v/>
      </c>
      <c r="R273" s="231" t="str">
        <f>IF($P273="","",'Input LwA_XYZ'!Q32)</f>
        <v/>
      </c>
      <c r="S273" s="227" t="str">
        <f>IF($P273="","",ROUND(_xlfn.XLOOKUP(Tables!$N$242,'Input LwA_XYZ'!$AH$1:$AV$1,'Input LwA_XYZ'!AH32:AV32),0))</f>
        <v/>
      </c>
      <c r="T273" s="228" t="str">
        <f>IF($P273="","",-1*ROUND(_xlfn.XLOOKUP(Tables!$N$242,'Input LwA_XYZ'!$AY$1:$BM$1,'Input LwA_XYZ'!AY32:BM32),0))</f>
        <v/>
      </c>
      <c r="U273" s="228" t="str">
        <f>IF($P273="","",IF(_xlfn.XLOOKUP(Tables!$N$242,'Input LwA_XYZ'!$BV$1:$CJ$1,'Input LwA_XYZ'!BV32:CJ32)="","-",_xlfn.XLOOKUP(Tables!$N$242,'Input LwA_XYZ'!$BV$1:$CJ$1,'Input LwA_XYZ'!BV32:CJ32)))</f>
        <v/>
      </c>
      <c r="V273" s="228" t="str">
        <f>IF($P273="","",IF('Input LwA_XYZ'!S32="","-",'Input LwA_XYZ'!S32))</f>
        <v/>
      </c>
      <c r="W273" s="229" t="str" cm="1">
        <f t="array" ref="W273">IF($P273="","",IF(_xlfn.XLOOKUP(Tables!$N$242,_xlfn.ANCHORARRAY('Input LwA_XYZ'!$DD$1),'Input LwA_XYZ'!DD32:DR32)="","-",_xlfn.XLOOKUP(Tables!$N$242,_xlfn.ANCHORARRAY('Input LwA_XYZ'!$DD$1),'Input LwA_XYZ'!DD32:DR32)))</f>
        <v/>
      </c>
      <c r="X273" s="62" t="str">
        <f>IF($P273="","",_xlfn.XLOOKUP(Tables!$N$242,'Input LwA_XYZ'!$DU$1:$EI$1,'Input LwA_XYZ'!DU32:EI32))</f>
        <v/>
      </c>
    </row>
    <row r="274" spans="16:24" ht="16.5" x14ac:dyDescent="0.3">
      <c r="P274" s="230" t="str">
        <f>IF(OR('Input LwA_XYZ'!A33 = 0, NOT(ISBLANK(_xlfn.XLOOKUP(Tables!N$242, 'Input LwA_XYZ'!CM$1:DA$1, 'Input LwA_XYZ'!CM33:DA33)))), "", 'Input LwA_XYZ'!A33)</f>
        <v/>
      </c>
      <c r="Q274" s="225" t="str">
        <f>IF($P274="","",_xlfn.TEXTJOIN(" - ",TRUE,'Input LwA_XYZ'!B33:C33))</f>
        <v/>
      </c>
      <c r="R274" s="231" t="str">
        <f>IF($P274="","",'Input LwA_XYZ'!Q33)</f>
        <v/>
      </c>
      <c r="S274" s="227" t="str">
        <f>IF($P274="","",ROUND(_xlfn.XLOOKUP(Tables!$N$242,'Input LwA_XYZ'!$AH$1:$AV$1,'Input LwA_XYZ'!AH33:AV33),0))</f>
        <v/>
      </c>
      <c r="T274" s="228" t="str">
        <f>IF($P274="","",-1*ROUND(_xlfn.XLOOKUP(Tables!$N$242,'Input LwA_XYZ'!$AY$1:$BM$1,'Input LwA_XYZ'!AY33:BM33),0))</f>
        <v/>
      </c>
      <c r="U274" s="228" t="str">
        <f>IF($P274="","",IF(_xlfn.XLOOKUP(Tables!$N$242,'Input LwA_XYZ'!$BV$1:$CJ$1,'Input LwA_XYZ'!BV33:CJ33)="","-",_xlfn.XLOOKUP(Tables!$N$242,'Input LwA_XYZ'!$BV$1:$CJ$1,'Input LwA_XYZ'!BV33:CJ33)))</f>
        <v/>
      </c>
      <c r="V274" s="228" t="str">
        <f>IF($P274="","",IF('Input LwA_XYZ'!S33="","-",'Input LwA_XYZ'!S33))</f>
        <v/>
      </c>
      <c r="W274" s="229" t="str" cm="1">
        <f t="array" ref="W274">IF($P274="","",IF(_xlfn.XLOOKUP(Tables!$N$242,_xlfn.ANCHORARRAY('Input LwA_XYZ'!$DD$1),'Input LwA_XYZ'!DD33:DR33)="","-",_xlfn.XLOOKUP(Tables!$N$242,_xlfn.ANCHORARRAY('Input LwA_XYZ'!$DD$1),'Input LwA_XYZ'!DD33:DR33)))</f>
        <v/>
      </c>
      <c r="X274" s="62" t="str">
        <f>IF($P274="","",_xlfn.XLOOKUP(Tables!$N$242,'Input LwA_XYZ'!$DU$1:$EI$1,'Input LwA_XYZ'!DU33:EI33))</f>
        <v/>
      </c>
    </row>
    <row r="275" spans="16:24" ht="16.5" x14ac:dyDescent="0.3">
      <c r="P275" s="230" t="str">
        <f>IF(OR('Input LwA_XYZ'!A34 = 0, NOT(ISBLANK(_xlfn.XLOOKUP(Tables!N$242, 'Input LwA_XYZ'!CM$1:DA$1, 'Input LwA_XYZ'!CM34:DA34)))), "", 'Input LwA_XYZ'!A34)</f>
        <v/>
      </c>
      <c r="Q275" s="225" t="str">
        <f>IF($P275="","",_xlfn.TEXTJOIN(" - ",TRUE,'Input LwA_XYZ'!B34:C34))</f>
        <v/>
      </c>
      <c r="R275" s="231" t="str">
        <f>IF($P275="","",'Input LwA_XYZ'!Q34)</f>
        <v/>
      </c>
      <c r="S275" s="227" t="str">
        <f>IF($P275="","",ROUND(_xlfn.XLOOKUP(Tables!$N$242,'Input LwA_XYZ'!$AH$1:$AV$1,'Input LwA_XYZ'!AH34:AV34),0))</f>
        <v/>
      </c>
      <c r="T275" s="228" t="str">
        <f>IF($P275="","",-1*ROUND(_xlfn.XLOOKUP(Tables!$N$242,'Input LwA_XYZ'!$AY$1:$BM$1,'Input LwA_XYZ'!AY34:BM34),0))</f>
        <v/>
      </c>
      <c r="U275" s="228" t="str">
        <f>IF($P275="","",IF(_xlfn.XLOOKUP(Tables!$N$242,'Input LwA_XYZ'!$BV$1:$CJ$1,'Input LwA_XYZ'!BV34:CJ34)="","-",_xlfn.XLOOKUP(Tables!$N$242,'Input LwA_XYZ'!$BV$1:$CJ$1,'Input LwA_XYZ'!BV34:CJ34)))</f>
        <v/>
      </c>
      <c r="V275" s="228" t="str">
        <f>IF($P275="","",IF('Input LwA_XYZ'!S34="","-",'Input LwA_XYZ'!S34))</f>
        <v/>
      </c>
      <c r="W275" s="229" t="str" cm="1">
        <f t="array" ref="W275">IF($P275="","",IF(_xlfn.XLOOKUP(Tables!$N$242,_xlfn.ANCHORARRAY('Input LwA_XYZ'!$DD$1),'Input LwA_XYZ'!DD34:DR34)="","-",_xlfn.XLOOKUP(Tables!$N$242,_xlfn.ANCHORARRAY('Input LwA_XYZ'!$DD$1),'Input LwA_XYZ'!DD34:DR34)))</f>
        <v/>
      </c>
      <c r="X275" s="62" t="str">
        <f>IF($P275="","",_xlfn.XLOOKUP(Tables!$N$242,'Input LwA_XYZ'!$DU$1:$EI$1,'Input LwA_XYZ'!DU34:EI34))</f>
        <v/>
      </c>
    </row>
    <row r="276" spans="16:24" ht="16.5" x14ac:dyDescent="0.3">
      <c r="P276" s="230" t="str">
        <f>IF(OR('Input LwA_XYZ'!A35 = 0, NOT(ISBLANK(_xlfn.XLOOKUP(Tables!N$242, 'Input LwA_XYZ'!CM$1:DA$1, 'Input LwA_XYZ'!CM35:DA35)))), "", 'Input LwA_XYZ'!A35)</f>
        <v/>
      </c>
      <c r="Q276" s="225" t="str">
        <f>IF($P276="","",_xlfn.TEXTJOIN(" - ",TRUE,'Input LwA_XYZ'!B35:C35))</f>
        <v/>
      </c>
      <c r="R276" s="231" t="str">
        <f>IF($P276="","",'Input LwA_XYZ'!Q35)</f>
        <v/>
      </c>
      <c r="S276" s="227" t="str">
        <f>IF($P276="","",ROUND(_xlfn.XLOOKUP(Tables!$N$242,'Input LwA_XYZ'!$AH$1:$AV$1,'Input LwA_XYZ'!AH35:AV35),0))</f>
        <v/>
      </c>
      <c r="T276" s="228" t="str">
        <f>IF($P276="","",-1*ROUND(_xlfn.XLOOKUP(Tables!$N$242,'Input LwA_XYZ'!$AY$1:$BM$1,'Input LwA_XYZ'!AY35:BM35),0))</f>
        <v/>
      </c>
      <c r="U276" s="228" t="str">
        <f>IF($P276="","",IF(_xlfn.XLOOKUP(Tables!$N$242,'Input LwA_XYZ'!$BV$1:$CJ$1,'Input LwA_XYZ'!BV35:CJ35)="","-",_xlfn.XLOOKUP(Tables!$N$242,'Input LwA_XYZ'!$BV$1:$CJ$1,'Input LwA_XYZ'!BV35:CJ35)))</f>
        <v/>
      </c>
      <c r="V276" s="228" t="str">
        <f>IF($P276="","",IF('Input LwA_XYZ'!S35="","-",'Input LwA_XYZ'!S35))</f>
        <v/>
      </c>
      <c r="W276" s="229" t="str" cm="1">
        <f t="array" ref="W276">IF($P276="","",IF(_xlfn.XLOOKUP(Tables!$N$242,_xlfn.ANCHORARRAY('Input LwA_XYZ'!$DD$1),'Input LwA_XYZ'!DD35:DR35)="","-",_xlfn.XLOOKUP(Tables!$N$242,_xlfn.ANCHORARRAY('Input LwA_XYZ'!$DD$1),'Input LwA_XYZ'!DD35:DR35)))</f>
        <v/>
      </c>
      <c r="X276" s="62" t="str">
        <f>IF($P276="","",_xlfn.XLOOKUP(Tables!$N$242,'Input LwA_XYZ'!$DU$1:$EI$1,'Input LwA_XYZ'!DU35:EI35))</f>
        <v/>
      </c>
    </row>
    <row r="277" spans="16:24" ht="16.5" x14ac:dyDescent="0.3">
      <c r="P277" s="230" t="str">
        <f>IF(OR('Input LwA_XYZ'!A36 = 0, NOT(ISBLANK(_xlfn.XLOOKUP(Tables!N$242, 'Input LwA_XYZ'!CM$1:DA$1, 'Input LwA_XYZ'!CM36:DA36)))), "", 'Input LwA_XYZ'!A36)</f>
        <v/>
      </c>
      <c r="Q277" s="225" t="str">
        <f>IF($P277="","",_xlfn.TEXTJOIN(" - ",TRUE,'Input LwA_XYZ'!B36:C36))</f>
        <v/>
      </c>
      <c r="R277" s="231" t="str">
        <f>IF($P277="","",'Input LwA_XYZ'!Q36)</f>
        <v/>
      </c>
      <c r="S277" s="227" t="str">
        <f>IF($P277="","",ROUND(_xlfn.XLOOKUP(Tables!$N$242,'Input LwA_XYZ'!$AH$1:$AV$1,'Input LwA_XYZ'!AH36:AV36),0))</f>
        <v/>
      </c>
      <c r="T277" s="228" t="str">
        <f>IF($P277="","",-1*ROUND(_xlfn.XLOOKUP(Tables!$N$242,'Input LwA_XYZ'!$AY$1:$BM$1,'Input LwA_XYZ'!AY36:BM36),0))</f>
        <v/>
      </c>
      <c r="U277" s="228" t="str">
        <f>IF($P277="","",IF(_xlfn.XLOOKUP(Tables!$N$242,'Input LwA_XYZ'!$BV$1:$CJ$1,'Input LwA_XYZ'!BV36:CJ36)="","-",_xlfn.XLOOKUP(Tables!$N$242,'Input LwA_XYZ'!$BV$1:$CJ$1,'Input LwA_XYZ'!BV36:CJ36)))</f>
        <v/>
      </c>
      <c r="V277" s="228" t="str">
        <f>IF($P277="","",IF('Input LwA_XYZ'!S36="","-",'Input LwA_XYZ'!S36))</f>
        <v/>
      </c>
      <c r="W277" s="229" t="str" cm="1">
        <f t="array" ref="W277">IF($P277="","",IF(_xlfn.XLOOKUP(Tables!$N$242,_xlfn.ANCHORARRAY('Input LwA_XYZ'!$DD$1),'Input LwA_XYZ'!DD36:DR36)="","-",_xlfn.XLOOKUP(Tables!$N$242,_xlfn.ANCHORARRAY('Input LwA_XYZ'!$DD$1),'Input LwA_XYZ'!DD36:DR36)))</f>
        <v/>
      </c>
      <c r="X277" s="62" t="str">
        <f>IF($P277="","",_xlfn.XLOOKUP(Tables!$N$242,'Input LwA_XYZ'!$DU$1:$EI$1,'Input LwA_XYZ'!DU36:EI36))</f>
        <v/>
      </c>
    </row>
    <row r="278" spans="16:24" ht="16.5" x14ac:dyDescent="0.3">
      <c r="P278" s="230" t="str">
        <f>IF(OR('Input LwA_XYZ'!A37 = 0, NOT(ISBLANK(_xlfn.XLOOKUP(Tables!N$242, 'Input LwA_XYZ'!CM$1:DA$1, 'Input LwA_XYZ'!CM37:DA37)))), "", 'Input LwA_XYZ'!A37)</f>
        <v/>
      </c>
      <c r="Q278" s="225" t="str">
        <f>IF($P278="","",_xlfn.TEXTJOIN(" - ",TRUE,'Input LwA_XYZ'!B37:C37))</f>
        <v/>
      </c>
      <c r="R278" s="231" t="str">
        <f>IF($P278="","",'Input LwA_XYZ'!Q37)</f>
        <v/>
      </c>
      <c r="S278" s="227" t="str">
        <f>IF($P278="","",ROUND(_xlfn.XLOOKUP(Tables!$N$242,'Input LwA_XYZ'!$AH$1:$AV$1,'Input LwA_XYZ'!AH37:AV37),0))</f>
        <v/>
      </c>
      <c r="T278" s="228" t="str">
        <f>IF($P278="","",-1*ROUND(_xlfn.XLOOKUP(Tables!$N$242,'Input LwA_XYZ'!$AY$1:$BM$1,'Input LwA_XYZ'!AY37:BM37),0))</f>
        <v/>
      </c>
      <c r="U278" s="228" t="str">
        <f>IF($P278="","",IF(_xlfn.XLOOKUP(Tables!$N$242,'Input LwA_XYZ'!$BV$1:$CJ$1,'Input LwA_XYZ'!BV37:CJ37)="","-",_xlfn.XLOOKUP(Tables!$N$242,'Input LwA_XYZ'!$BV$1:$CJ$1,'Input LwA_XYZ'!BV37:CJ37)))</f>
        <v/>
      </c>
      <c r="V278" s="228" t="str">
        <f>IF($P278="","",IF('Input LwA_XYZ'!S37="","-",'Input LwA_XYZ'!S37))</f>
        <v/>
      </c>
      <c r="W278" s="229" t="str" cm="1">
        <f t="array" ref="W278">IF($P278="","",IF(_xlfn.XLOOKUP(Tables!$N$242,_xlfn.ANCHORARRAY('Input LwA_XYZ'!$DD$1),'Input LwA_XYZ'!DD37:DR37)="","-",_xlfn.XLOOKUP(Tables!$N$242,_xlfn.ANCHORARRAY('Input LwA_XYZ'!$DD$1),'Input LwA_XYZ'!DD37:DR37)))</f>
        <v/>
      </c>
      <c r="X278" s="62" t="str">
        <f>IF($P278="","",_xlfn.XLOOKUP(Tables!$N$242,'Input LwA_XYZ'!$DU$1:$EI$1,'Input LwA_XYZ'!DU37:EI37))</f>
        <v/>
      </c>
    </row>
    <row r="279" spans="16:24" ht="16.5" x14ac:dyDescent="0.3">
      <c r="P279" s="230" t="str">
        <f>IF(OR('Input LwA_XYZ'!A38 = 0, NOT(ISBLANK(_xlfn.XLOOKUP(Tables!N$242, 'Input LwA_XYZ'!CM$1:DA$1, 'Input LwA_XYZ'!CM38:DA38)))), "", 'Input LwA_XYZ'!A38)</f>
        <v/>
      </c>
      <c r="Q279" s="225" t="str">
        <f>IF($P279="","",_xlfn.TEXTJOIN(" - ",TRUE,'Input LwA_XYZ'!B38:C38))</f>
        <v/>
      </c>
      <c r="R279" s="231" t="str">
        <f>IF($P279="","",'Input LwA_XYZ'!Q38)</f>
        <v/>
      </c>
      <c r="S279" s="227" t="str">
        <f>IF($P279="","",ROUND(_xlfn.XLOOKUP(Tables!$N$242,'Input LwA_XYZ'!$AH$1:$AV$1,'Input LwA_XYZ'!AH38:AV38),0))</f>
        <v/>
      </c>
      <c r="T279" s="228" t="str">
        <f>IF($P279="","",-1*ROUND(_xlfn.XLOOKUP(Tables!$N$242,'Input LwA_XYZ'!$AY$1:$BM$1,'Input LwA_XYZ'!AY38:BM38),0))</f>
        <v/>
      </c>
      <c r="U279" s="228" t="str">
        <f>IF($P279="","",IF(_xlfn.XLOOKUP(Tables!$N$242,'Input LwA_XYZ'!$BV$1:$CJ$1,'Input LwA_XYZ'!BV38:CJ38)="","-",_xlfn.XLOOKUP(Tables!$N$242,'Input LwA_XYZ'!$BV$1:$CJ$1,'Input LwA_XYZ'!BV38:CJ38)))</f>
        <v/>
      </c>
      <c r="V279" s="228" t="str">
        <f>IF($P279="","",IF('Input LwA_XYZ'!S38="","-",'Input LwA_XYZ'!S38))</f>
        <v/>
      </c>
      <c r="W279" s="229" t="str" cm="1">
        <f t="array" ref="W279">IF($P279="","",IF(_xlfn.XLOOKUP(Tables!$N$242,_xlfn.ANCHORARRAY('Input LwA_XYZ'!$DD$1),'Input LwA_XYZ'!DD38:DR38)="","-",_xlfn.XLOOKUP(Tables!$N$242,_xlfn.ANCHORARRAY('Input LwA_XYZ'!$DD$1),'Input LwA_XYZ'!DD38:DR38)))</f>
        <v/>
      </c>
      <c r="X279" s="62" t="str">
        <f>IF($P279="","",_xlfn.XLOOKUP(Tables!$N$242,'Input LwA_XYZ'!$DU$1:$EI$1,'Input LwA_XYZ'!DU38:EI38))</f>
        <v/>
      </c>
    </row>
    <row r="280" spans="16:24" ht="16.5" x14ac:dyDescent="0.3">
      <c r="P280" s="230" t="str">
        <f>IF(OR('Input LwA_XYZ'!A39 = 0, NOT(ISBLANK(_xlfn.XLOOKUP(Tables!N$242, 'Input LwA_XYZ'!CM$1:DA$1, 'Input LwA_XYZ'!CM39:DA39)))), "", 'Input LwA_XYZ'!A39)</f>
        <v/>
      </c>
      <c r="Q280" s="225" t="str">
        <f>IF($P280="","",_xlfn.TEXTJOIN(" - ",TRUE,'Input LwA_XYZ'!B39:C39))</f>
        <v/>
      </c>
      <c r="R280" s="231" t="str">
        <f>IF($P280="","",'Input LwA_XYZ'!Q39)</f>
        <v/>
      </c>
      <c r="S280" s="227" t="str">
        <f>IF($P280="","",ROUND(_xlfn.XLOOKUP(Tables!$N$242,'Input LwA_XYZ'!$AH$1:$AV$1,'Input LwA_XYZ'!AH39:AV39),0))</f>
        <v/>
      </c>
      <c r="T280" s="228" t="str">
        <f>IF($P280="","",-1*ROUND(_xlfn.XLOOKUP(Tables!$N$242,'Input LwA_XYZ'!$AY$1:$BM$1,'Input LwA_XYZ'!AY39:BM39),0))</f>
        <v/>
      </c>
      <c r="U280" s="228" t="str">
        <f>IF($P280="","",IF(_xlfn.XLOOKUP(Tables!$N$242,'Input LwA_XYZ'!$BV$1:$CJ$1,'Input LwA_XYZ'!BV39:CJ39)="","-",_xlfn.XLOOKUP(Tables!$N$242,'Input LwA_XYZ'!$BV$1:$CJ$1,'Input LwA_XYZ'!BV39:CJ39)))</f>
        <v/>
      </c>
      <c r="V280" s="228" t="str">
        <f>IF($P280="","",IF('Input LwA_XYZ'!S39="","-",'Input LwA_XYZ'!S39))</f>
        <v/>
      </c>
      <c r="W280" s="229" t="str" cm="1">
        <f t="array" ref="W280">IF($P280="","",IF(_xlfn.XLOOKUP(Tables!$N$242,_xlfn.ANCHORARRAY('Input LwA_XYZ'!$DD$1),'Input LwA_XYZ'!DD39:DR39)="","-",_xlfn.XLOOKUP(Tables!$N$242,_xlfn.ANCHORARRAY('Input LwA_XYZ'!$DD$1),'Input LwA_XYZ'!DD39:DR39)))</f>
        <v/>
      </c>
      <c r="X280" s="62" t="str">
        <f>IF($P280="","",_xlfn.XLOOKUP(Tables!$N$242,'Input LwA_XYZ'!$DU$1:$EI$1,'Input LwA_XYZ'!DU39:EI39))</f>
        <v/>
      </c>
    </row>
    <row r="281" spans="16:24" ht="16.5" x14ac:dyDescent="0.3">
      <c r="P281" s="230" t="str">
        <f>IF(OR('Input LwA_XYZ'!A40 = 0, NOT(ISBLANK(_xlfn.XLOOKUP(Tables!N$242, 'Input LwA_XYZ'!CM$1:DA$1, 'Input LwA_XYZ'!CM40:DA40)))), "", 'Input LwA_XYZ'!A40)</f>
        <v/>
      </c>
      <c r="Q281" s="225" t="str">
        <f>IF($P281="","",_xlfn.TEXTJOIN(" - ",TRUE,'Input LwA_XYZ'!B40:C40))</f>
        <v/>
      </c>
      <c r="R281" s="231" t="str">
        <f>IF($P281="","",'Input LwA_XYZ'!Q40)</f>
        <v/>
      </c>
      <c r="S281" s="227" t="str">
        <f>IF($P281="","",ROUND(_xlfn.XLOOKUP(Tables!$N$242,'Input LwA_XYZ'!$AH$1:$AV$1,'Input LwA_XYZ'!AH40:AV40),0))</f>
        <v/>
      </c>
      <c r="T281" s="228" t="str">
        <f>IF($P281="","",-1*ROUND(_xlfn.XLOOKUP(Tables!$N$242,'Input LwA_XYZ'!$AY$1:$BM$1,'Input LwA_XYZ'!AY40:BM40),0))</f>
        <v/>
      </c>
      <c r="U281" s="228" t="str">
        <f>IF($P281="","",IF(_xlfn.XLOOKUP(Tables!$N$242,'Input LwA_XYZ'!$BV$1:$CJ$1,'Input LwA_XYZ'!BV40:CJ40)="","-",_xlfn.XLOOKUP(Tables!$N$242,'Input LwA_XYZ'!$BV$1:$CJ$1,'Input LwA_XYZ'!BV40:CJ40)))</f>
        <v/>
      </c>
      <c r="V281" s="228" t="str">
        <f>IF($P281="","",IF('Input LwA_XYZ'!S40="","-",'Input LwA_XYZ'!S40))</f>
        <v/>
      </c>
      <c r="W281" s="229" t="str" cm="1">
        <f t="array" ref="W281">IF($P281="","",IF(_xlfn.XLOOKUP(Tables!$N$242,_xlfn.ANCHORARRAY('Input LwA_XYZ'!$DD$1),'Input LwA_XYZ'!DD40:DR40)="","-",_xlfn.XLOOKUP(Tables!$N$242,_xlfn.ANCHORARRAY('Input LwA_XYZ'!$DD$1),'Input LwA_XYZ'!DD40:DR40)))</f>
        <v/>
      </c>
      <c r="X281" s="62" t="str">
        <f>IF($P281="","",_xlfn.XLOOKUP(Tables!$N$242,'Input LwA_XYZ'!$DU$1:$EI$1,'Input LwA_XYZ'!DU40:EI40))</f>
        <v/>
      </c>
    </row>
    <row r="282" spans="16:24" ht="16.5" x14ac:dyDescent="0.3">
      <c r="P282" s="230" t="str">
        <f>IF(OR('Input LwA_XYZ'!A41 = 0, NOT(ISBLANK(_xlfn.XLOOKUP(Tables!N$242, 'Input LwA_XYZ'!CM$1:DA$1, 'Input LwA_XYZ'!CM41:DA41)))), "", 'Input LwA_XYZ'!A41)</f>
        <v/>
      </c>
      <c r="Q282" s="225" t="str">
        <f>IF($P282="","",_xlfn.TEXTJOIN(" - ",TRUE,'Input LwA_XYZ'!B41:C41))</f>
        <v/>
      </c>
      <c r="R282" s="231" t="str">
        <f>IF($P282="","",'Input LwA_XYZ'!Q41)</f>
        <v/>
      </c>
      <c r="S282" s="227" t="str">
        <f>IF($P282="","",ROUND(_xlfn.XLOOKUP(Tables!$N$242,'Input LwA_XYZ'!$AH$1:$AV$1,'Input LwA_XYZ'!AH41:AV41),0))</f>
        <v/>
      </c>
      <c r="T282" s="228" t="str">
        <f>IF($P282="","",-1*ROUND(_xlfn.XLOOKUP(Tables!$N$242,'Input LwA_XYZ'!$AY$1:$BM$1,'Input LwA_XYZ'!AY41:BM41),0))</f>
        <v/>
      </c>
      <c r="U282" s="228" t="str">
        <f>IF($P282="","",IF(_xlfn.XLOOKUP(Tables!$N$242,'Input LwA_XYZ'!$BV$1:$CJ$1,'Input LwA_XYZ'!BV41:CJ41)="","-",_xlfn.XLOOKUP(Tables!$N$242,'Input LwA_XYZ'!$BV$1:$CJ$1,'Input LwA_XYZ'!BV41:CJ41)))</f>
        <v/>
      </c>
      <c r="V282" s="228" t="str">
        <f>IF($P282="","",IF('Input LwA_XYZ'!S41="","-",'Input LwA_XYZ'!S41))</f>
        <v/>
      </c>
      <c r="W282" s="229" t="str" cm="1">
        <f t="array" ref="W282">IF($P282="","",IF(_xlfn.XLOOKUP(Tables!$N$242,_xlfn.ANCHORARRAY('Input LwA_XYZ'!$DD$1),'Input LwA_XYZ'!DD41:DR41)="","-",_xlfn.XLOOKUP(Tables!$N$242,_xlfn.ANCHORARRAY('Input LwA_XYZ'!$DD$1),'Input LwA_XYZ'!DD41:DR41)))</f>
        <v/>
      </c>
      <c r="X282" s="62" t="str">
        <f>IF($P282="","",_xlfn.XLOOKUP(Tables!$N$242,'Input LwA_XYZ'!$DU$1:$EI$1,'Input LwA_XYZ'!DU41:EI41))</f>
        <v/>
      </c>
    </row>
    <row r="283" spans="16:24" ht="16.5" x14ac:dyDescent="0.3">
      <c r="P283" s="230" t="str">
        <f>IF(OR('Input LwA_XYZ'!A42 = 0, NOT(ISBLANK(_xlfn.XLOOKUP(Tables!N$242, 'Input LwA_XYZ'!CM$1:DA$1, 'Input LwA_XYZ'!CM42:DA42)))), "", 'Input LwA_XYZ'!A42)</f>
        <v/>
      </c>
      <c r="Q283" s="225" t="str">
        <f>IF($P283="","",_xlfn.TEXTJOIN(" - ",TRUE,'Input LwA_XYZ'!B42:C42))</f>
        <v/>
      </c>
      <c r="R283" s="231" t="str">
        <f>IF($P283="","",'Input LwA_XYZ'!Q42)</f>
        <v/>
      </c>
      <c r="S283" s="227" t="str">
        <f>IF($P283="","",ROUND(_xlfn.XLOOKUP(Tables!$N$242,'Input LwA_XYZ'!$AH$1:$AV$1,'Input LwA_XYZ'!AH42:AV42),0))</f>
        <v/>
      </c>
      <c r="T283" s="228" t="str">
        <f>IF($P283="","",-1*ROUND(_xlfn.XLOOKUP(Tables!$N$242,'Input LwA_XYZ'!$AY$1:$BM$1,'Input LwA_XYZ'!AY42:BM42),0))</f>
        <v/>
      </c>
      <c r="U283" s="228" t="str">
        <f>IF($P283="","",IF(_xlfn.XLOOKUP(Tables!$N$242,'Input LwA_XYZ'!$BV$1:$CJ$1,'Input LwA_XYZ'!BV42:CJ42)="","-",_xlfn.XLOOKUP(Tables!$N$242,'Input LwA_XYZ'!$BV$1:$CJ$1,'Input LwA_XYZ'!BV42:CJ42)))</f>
        <v/>
      </c>
      <c r="V283" s="228" t="str">
        <f>IF($P283="","",IF('Input LwA_XYZ'!S42="","-",'Input LwA_XYZ'!S42))</f>
        <v/>
      </c>
      <c r="W283" s="229" t="str" cm="1">
        <f t="array" ref="W283">IF($P283="","",IF(_xlfn.XLOOKUP(Tables!$N$242,_xlfn.ANCHORARRAY('Input LwA_XYZ'!$DD$1),'Input LwA_XYZ'!DD42:DR42)="","-",_xlfn.XLOOKUP(Tables!$N$242,_xlfn.ANCHORARRAY('Input LwA_XYZ'!$DD$1),'Input LwA_XYZ'!DD42:DR42)))</f>
        <v/>
      </c>
      <c r="X283" s="62" t="str">
        <f>IF($P283="","",_xlfn.XLOOKUP(Tables!$N$242,'Input LwA_XYZ'!$DU$1:$EI$1,'Input LwA_XYZ'!DU42:EI42))</f>
        <v/>
      </c>
    </row>
    <row r="284" spans="16:24" ht="16.5" x14ac:dyDescent="0.3">
      <c r="P284" s="230" t="str">
        <f>IF(OR('Input LwA_XYZ'!A43 = 0, NOT(ISBLANK(_xlfn.XLOOKUP(Tables!N$242, 'Input LwA_XYZ'!CM$1:DA$1, 'Input LwA_XYZ'!CM43:DA43)))), "", 'Input LwA_XYZ'!A43)</f>
        <v/>
      </c>
      <c r="Q284" s="225" t="str">
        <f>IF($P284="","",_xlfn.TEXTJOIN(" - ",TRUE,'Input LwA_XYZ'!B43:C43))</f>
        <v/>
      </c>
      <c r="R284" s="231" t="str">
        <f>IF($P284="","",'Input LwA_XYZ'!Q43)</f>
        <v/>
      </c>
      <c r="S284" s="227" t="str">
        <f>IF($P284="","",ROUND(_xlfn.XLOOKUP(Tables!$N$242,'Input LwA_XYZ'!$AH$1:$AV$1,'Input LwA_XYZ'!AH43:AV43),0))</f>
        <v/>
      </c>
      <c r="T284" s="228" t="str">
        <f>IF($P284="","",-1*ROUND(_xlfn.XLOOKUP(Tables!$N$242,'Input LwA_XYZ'!$AY$1:$BM$1,'Input LwA_XYZ'!AY43:BM43),0))</f>
        <v/>
      </c>
      <c r="U284" s="228" t="str">
        <f>IF($P284="","",IF(_xlfn.XLOOKUP(Tables!$N$242,'Input LwA_XYZ'!$BV$1:$CJ$1,'Input LwA_XYZ'!BV43:CJ43)="","-",_xlfn.XLOOKUP(Tables!$N$242,'Input LwA_XYZ'!$BV$1:$CJ$1,'Input LwA_XYZ'!BV43:CJ43)))</f>
        <v/>
      </c>
      <c r="V284" s="228" t="str">
        <f>IF($P284="","",IF('Input LwA_XYZ'!S43="","-",'Input LwA_XYZ'!S43))</f>
        <v/>
      </c>
      <c r="W284" s="229" t="str" cm="1">
        <f t="array" ref="W284">IF($P284="","",IF(_xlfn.XLOOKUP(Tables!$N$242,_xlfn.ANCHORARRAY('Input LwA_XYZ'!$DD$1),'Input LwA_XYZ'!DD43:DR43)="","-",_xlfn.XLOOKUP(Tables!$N$242,_xlfn.ANCHORARRAY('Input LwA_XYZ'!$DD$1),'Input LwA_XYZ'!DD43:DR43)))</f>
        <v/>
      </c>
      <c r="X284" s="62" t="str">
        <f>IF($P284="","",_xlfn.XLOOKUP(Tables!$N$242,'Input LwA_XYZ'!$DU$1:$EI$1,'Input LwA_XYZ'!DU43:EI43))</f>
        <v/>
      </c>
    </row>
    <row r="285" spans="16:24" ht="16.5" x14ac:dyDescent="0.3">
      <c r="P285" s="230" t="str">
        <f>IF(OR('Input LwA_XYZ'!A44 = 0, NOT(ISBLANK(_xlfn.XLOOKUP(Tables!N$242, 'Input LwA_XYZ'!CM$1:DA$1, 'Input LwA_XYZ'!CM44:DA44)))), "", 'Input LwA_XYZ'!A44)</f>
        <v/>
      </c>
      <c r="Q285" s="225" t="str">
        <f>IF($P285="","",_xlfn.TEXTJOIN(" - ",TRUE,'Input LwA_XYZ'!B44:C44))</f>
        <v/>
      </c>
      <c r="R285" s="231" t="str">
        <f>IF($P285="","",'Input LwA_XYZ'!Q44)</f>
        <v/>
      </c>
      <c r="S285" s="227" t="str">
        <f>IF($P285="","",ROUND(_xlfn.XLOOKUP(Tables!$N$242,'Input LwA_XYZ'!$AH$1:$AV$1,'Input LwA_XYZ'!AH44:AV44),0))</f>
        <v/>
      </c>
      <c r="T285" s="228" t="str">
        <f>IF($P285="","",-1*ROUND(_xlfn.XLOOKUP(Tables!$N$242,'Input LwA_XYZ'!$AY$1:$BM$1,'Input LwA_XYZ'!AY44:BM44),0))</f>
        <v/>
      </c>
      <c r="U285" s="228" t="str">
        <f>IF($P285="","",IF(_xlfn.XLOOKUP(Tables!$N$242,'Input LwA_XYZ'!$BV$1:$CJ$1,'Input LwA_XYZ'!BV44:CJ44)="","-",_xlfn.XLOOKUP(Tables!$N$242,'Input LwA_XYZ'!$BV$1:$CJ$1,'Input LwA_XYZ'!BV44:CJ44)))</f>
        <v/>
      </c>
      <c r="V285" s="228" t="str">
        <f>IF($P285="","",IF('Input LwA_XYZ'!S44="","-",'Input LwA_XYZ'!S44))</f>
        <v/>
      </c>
      <c r="W285" s="229" t="str" cm="1">
        <f t="array" ref="W285">IF($P285="","",IF(_xlfn.XLOOKUP(Tables!$N$242,_xlfn.ANCHORARRAY('Input LwA_XYZ'!$DD$1),'Input LwA_XYZ'!DD44:DR44)="","-",_xlfn.XLOOKUP(Tables!$N$242,_xlfn.ANCHORARRAY('Input LwA_XYZ'!$DD$1),'Input LwA_XYZ'!DD44:DR44)))</f>
        <v/>
      </c>
      <c r="X285" s="62" t="str">
        <f>IF($P285="","",_xlfn.XLOOKUP(Tables!$N$242,'Input LwA_XYZ'!$DU$1:$EI$1,'Input LwA_XYZ'!DU44:EI44))</f>
        <v/>
      </c>
    </row>
    <row r="286" spans="16:24" ht="16.5" x14ac:dyDescent="0.3">
      <c r="P286" s="230" t="str">
        <f>IF(OR('Input LwA_XYZ'!A45 = 0, NOT(ISBLANK(_xlfn.XLOOKUP(Tables!N$242, 'Input LwA_XYZ'!CM$1:DA$1, 'Input LwA_XYZ'!CM45:DA45)))), "", 'Input LwA_XYZ'!A45)</f>
        <v/>
      </c>
      <c r="Q286" s="225" t="str">
        <f>IF($P286="","",_xlfn.TEXTJOIN(" - ",TRUE,'Input LwA_XYZ'!B45:C45))</f>
        <v/>
      </c>
      <c r="R286" s="231" t="str">
        <f>IF($P286="","",'Input LwA_XYZ'!Q45)</f>
        <v/>
      </c>
      <c r="S286" s="227" t="str">
        <f>IF($P286="","",ROUND(_xlfn.XLOOKUP(Tables!$N$242,'Input LwA_XYZ'!$AH$1:$AV$1,'Input LwA_XYZ'!AH45:AV45),0))</f>
        <v/>
      </c>
      <c r="T286" s="228" t="str">
        <f>IF($P286="","",-1*ROUND(_xlfn.XLOOKUP(Tables!$N$242,'Input LwA_XYZ'!$AY$1:$BM$1,'Input LwA_XYZ'!AY45:BM45),0))</f>
        <v/>
      </c>
      <c r="U286" s="228" t="str">
        <f>IF($P286="","",IF(_xlfn.XLOOKUP(Tables!$N$242,'Input LwA_XYZ'!$BV$1:$CJ$1,'Input LwA_XYZ'!BV45:CJ45)="","-",_xlfn.XLOOKUP(Tables!$N$242,'Input LwA_XYZ'!$BV$1:$CJ$1,'Input LwA_XYZ'!BV45:CJ45)))</f>
        <v/>
      </c>
      <c r="V286" s="228" t="str">
        <f>IF($P286="","",IF('Input LwA_XYZ'!S45="","-",'Input LwA_XYZ'!S45))</f>
        <v/>
      </c>
      <c r="W286" s="229" t="str" cm="1">
        <f t="array" ref="W286">IF($P286="","",IF(_xlfn.XLOOKUP(Tables!$N$242,_xlfn.ANCHORARRAY('Input LwA_XYZ'!$DD$1),'Input LwA_XYZ'!DD45:DR45)="","-",_xlfn.XLOOKUP(Tables!$N$242,_xlfn.ANCHORARRAY('Input LwA_XYZ'!$DD$1),'Input LwA_XYZ'!DD45:DR45)))</f>
        <v/>
      </c>
      <c r="X286" s="62" t="str">
        <f>IF($P286="","",_xlfn.XLOOKUP(Tables!$N$242,'Input LwA_XYZ'!$DU$1:$EI$1,'Input LwA_XYZ'!DU45:EI45))</f>
        <v/>
      </c>
    </row>
    <row r="287" spans="16:24" ht="16.5" x14ac:dyDescent="0.3">
      <c r="P287" s="230" t="str">
        <f>IF(OR('Input LwA_XYZ'!A46 = 0, NOT(ISBLANK(_xlfn.XLOOKUP(Tables!N$242, 'Input LwA_XYZ'!CM$1:DA$1, 'Input LwA_XYZ'!CM46:DA46)))), "", 'Input LwA_XYZ'!A46)</f>
        <v/>
      </c>
      <c r="Q287" s="225" t="str">
        <f>IF($P287="","",_xlfn.TEXTJOIN(" - ",TRUE,'Input LwA_XYZ'!B46:C46))</f>
        <v/>
      </c>
      <c r="R287" s="231" t="str">
        <f>IF($P287="","",'Input LwA_XYZ'!Q46)</f>
        <v/>
      </c>
      <c r="S287" s="227" t="str">
        <f>IF($P287="","",ROUND(_xlfn.XLOOKUP(Tables!$N$242,'Input LwA_XYZ'!$AH$1:$AV$1,'Input LwA_XYZ'!AH46:AV46),0))</f>
        <v/>
      </c>
      <c r="T287" s="228" t="str">
        <f>IF($P287="","",-1*ROUND(_xlfn.XLOOKUP(Tables!$N$242,'Input LwA_XYZ'!$AY$1:$BM$1,'Input LwA_XYZ'!AY46:BM46),0))</f>
        <v/>
      </c>
      <c r="U287" s="228" t="str">
        <f>IF($P287="","",IF(_xlfn.XLOOKUP(Tables!$N$242,'Input LwA_XYZ'!$BV$1:$CJ$1,'Input LwA_XYZ'!BV46:CJ46)="","-",_xlfn.XLOOKUP(Tables!$N$242,'Input LwA_XYZ'!$BV$1:$CJ$1,'Input LwA_XYZ'!BV46:CJ46)))</f>
        <v/>
      </c>
      <c r="V287" s="228" t="str">
        <f>IF($P287="","",IF('Input LwA_XYZ'!S46="","-",'Input LwA_XYZ'!S46))</f>
        <v/>
      </c>
      <c r="W287" s="229" t="str" cm="1">
        <f t="array" ref="W287">IF($P287="","",IF(_xlfn.XLOOKUP(Tables!$N$242,_xlfn.ANCHORARRAY('Input LwA_XYZ'!$DD$1),'Input LwA_XYZ'!DD46:DR46)="","-",_xlfn.XLOOKUP(Tables!$N$242,_xlfn.ANCHORARRAY('Input LwA_XYZ'!$DD$1),'Input LwA_XYZ'!DD46:DR46)))</f>
        <v/>
      </c>
      <c r="X287" s="62" t="str">
        <f>IF($P287="","",_xlfn.XLOOKUP(Tables!$N$242,'Input LwA_XYZ'!$DU$1:$EI$1,'Input LwA_XYZ'!DU46:EI46))</f>
        <v/>
      </c>
    </row>
    <row r="288" spans="16:24" ht="16.5" x14ac:dyDescent="0.3">
      <c r="P288" s="230" t="str">
        <f>IF(OR('Input LwA_XYZ'!A47 = 0, NOT(ISBLANK(_xlfn.XLOOKUP(Tables!N$242, 'Input LwA_XYZ'!CM$1:DA$1, 'Input LwA_XYZ'!CM47:DA47)))), "", 'Input LwA_XYZ'!A47)</f>
        <v/>
      </c>
      <c r="Q288" s="225" t="str">
        <f>IF($P288="","",_xlfn.TEXTJOIN(" - ",TRUE,'Input LwA_XYZ'!B47:C47))</f>
        <v/>
      </c>
      <c r="R288" s="231" t="str">
        <f>IF($P288="","",'Input LwA_XYZ'!Q47)</f>
        <v/>
      </c>
      <c r="S288" s="227" t="str">
        <f>IF($P288="","",ROUND(_xlfn.XLOOKUP(Tables!$N$242,'Input LwA_XYZ'!$AH$1:$AV$1,'Input LwA_XYZ'!AH47:AV47),0))</f>
        <v/>
      </c>
      <c r="T288" s="228" t="str">
        <f>IF($P288="","",-1*ROUND(_xlfn.XLOOKUP(Tables!$N$242,'Input LwA_XYZ'!$AY$1:$BM$1,'Input LwA_XYZ'!AY47:BM47),0))</f>
        <v/>
      </c>
      <c r="U288" s="228" t="str">
        <f>IF($P288="","",IF(_xlfn.XLOOKUP(Tables!$N$242,'Input LwA_XYZ'!$BV$1:$CJ$1,'Input LwA_XYZ'!BV47:CJ47)="","-",_xlfn.XLOOKUP(Tables!$N$242,'Input LwA_XYZ'!$BV$1:$CJ$1,'Input LwA_XYZ'!BV47:CJ47)))</f>
        <v/>
      </c>
      <c r="V288" s="228" t="str">
        <f>IF($P288="","",IF('Input LwA_XYZ'!S47="","-",'Input LwA_XYZ'!S47))</f>
        <v/>
      </c>
      <c r="W288" s="229" t="str" cm="1">
        <f t="array" ref="W288">IF($P288="","",IF(_xlfn.XLOOKUP(Tables!$N$242,_xlfn.ANCHORARRAY('Input LwA_XYZ'!$DD$1),'Input LwA_XYZ'!DD47:DR47)="","-",_xlfn.XLOOKUP(Tables!$N$242,_xlfn.ANCHORARRAY('Input LwA_XYZ'!$DD$1),'Input LwA_XYZ'!DD47:DR47)))</f>
        <v/>
      </c>
      <c r="X288" s="62" t="str">
        <f>IF($P288="","",_xlfn.XLOOKUP(Tables!$N$242,'Input LwA_XYZ'!$DU$1:$EI$1,'Input LwA_XYZ'!DU47:EI47))</f>
        <v/>
      </c>
    </row>
    <row r="289" spans="14:24" ht="16.5" x14ac:dyDescent="0.3">
      <c r="P289" s="230" t="str">
        <f>IF(OR('Input LwA_XYZ'!A48 = 0, NOT(ISBLANK(_xlfn.XLOOKUP(Tables!N$242, 'Input LwA_XYZ'!CM$1:DA$1, 'Input LwA_XYZ'!CM48:DA48)))), "", 'Input LwA_XYZ'!A48)</f>
        <v/>
      </c>
      <c r="Q289" s="225" t="str">
        <f>IF($P289="","",_xlfn.TEXTJOIN(" - ",TRUE,'Input LwA_XYZ'!B48:C48))</f>
        <v/>
      </c>
      <c r="R289" s="231" t="str">
        <f>IF($P289="","",'Input LwA_XYZ'!Q48)</f>
        <v/>
      </c>
      <c r="S289" s="227" t="str">
        <f>IF($P289="","",ROUND(_xlfn.XLOOKUP(Tables!$N$242,'Input LwA_XYZ'!$AH$1:$AV$1,'Input LwA_XYZ'!AH48:AV48),0))</f>
        <v/>
      </c>
      <c r="T289" s="228" t="str">
        <f>IF($P289="","",-1*ROUND(_xlfn.XLOOKUP(Tables!$N$242,'Input LwA_XYZ'!$AY$1:$BM$1,'Input LwA_XYZ'!AY48:BM48),0))</f>
        <v/>
      </c>
      <c r="U289" s="228" t="str">
        <f>IF($P289="","",IF(_xlfn.XLOOKUP(Tables!$N$242,'Input LwA_XYZ'!$BV$1:$CJ$1,'Input LwA_XYZ'!BV48:CJ48)="","-",_xlfn.XLOOKUP(Tables!$N$242,'Input LwA_XYZ'!$BV$1:$CJ$1,'Input LwA_XYZ'!BV48:CJ48)))</f>
        <v/>
      </c>
      <c r="V289" s="228" t="str">
        <f>IF($P289="","",IF('Input LwA_XYZ'!S48="","-",'Input LwA_XYZ'!S48))</f>
        <v/>
      </c>
      <c r="W289" s="229" t="str" cm="1">
        <f t="array" ref="W289">IF($P289="","",IF(_xlfn.XLOOKUP(Tables!$N$242,_xlfn.ANCHORARRAY('Input LwA_XYZ'!$DD$1),'Input LwA_XYZ'!DD48:DR48)="","-",_xlfn.XLOOKUP(Tables!$N$242,_xlfn.ANCHORARRAY('Input LwA_XYZ'!$DD$1),'Input LwA_XYZ'!DD48:DR48)))</f>
        <v/>
      </c>
      <c r="X289" s="62" t="str">
        <f>IF($P289="","",_xlfn.XLOOKUP(Tables!$N$242,'Input LwA_XYZ'!$DU$1:$EI$1,'Input LwA_XYZ'!DU48:EI48))</f>
        <v/>
      </c>
    </row>
    <row r="290" spans="14:24" ht="16.5" x14ac:dyDescent="0.3">
      <c r="P290" s="230" t="str">
        <f>IF(OR('Input LwA_XYZ'!A49 = 0, NOT(ISBLANK(_xlfn.XLOOKUP(Tables!N$242, 'Input LwA_XYZ'!CM$1:DA$1, 'Input LwA_XYZ'!CM49:DA49)))), "", 'Input LwA_XYZ'!A49)</f>
        <v/>
      </c>
      <c r="Q290" s="225" t="str">
        <f>IF($P290="","",_xlfn.TEXTJOIN(" - ",TRUE,'Input LwA_XYZ'!B49:C49))</f>
        <v/>
      </c>
      <c r="R290" s="231" t="str">
        <f>IF($P290="","",'Input LwA_XYZ'!Q49)</f>
        <v/>
      </c>
      <c r="S290" s="227" t="str">
        <f>IF($P290="","",ROUND(_xlfn.XLOOKUP(Tables!$N$242,'Input LwA_XYZ'!$AH$1:$AV$1,'Input LwA_XYZ'!AH49:AV49),0))</f>
        <v/>
      </c>
      <c r="T290" s="228" t="str">
        <f>IF($P290="","",-1*ROUND(_xlfn.XLOOKUP(Tables!$N$242,'Input LwA_XYZ'!$AY$1:$BM$1,'Input LwA_XYZ'!AY49:BM49),0))</f>
        <v/>
      </c>
      <c r="U290" s="228" t="str">
        <f>IF($P290="","",IF(_xlfn.XLOOKUP(Tables!$N$242,'Input LwA_XYZ'!$BV$1:$CJ$1,'Input LwA_XYZ'!BV49:CJ49)="","-",_xlfn.XLOOKUP(Tables!$N$242,'Input LwA_XYZ'!$BV$1:$CJ$1,'Input LwA_XYZ'!BV49:CJ49)))</f>
        <v/>
      </c>
      <c r="V290" s="228" t="str">
        <f>IF($P290="","",IF('Input LwA_XYZ'!S49="","-",'Input LwA_XYZ'!S49))</f>
        <v/>
      </c>
      <c r="W290" s="229" t="str" cm="1">
        <f t="array" ref="W290">IF($P290="","",IF(_xlfn.XLOOKUP(Tables!$N$242,_xlfn.ANCHORARRAY('Input LwA_XYZ'!$DD$1),'Input LwA_XYZ'!DD49:DR49)="","-",_xlfn.XLOOKUP(Tables!$N$242,_xlfn.ANCHORARRAY('Input LwA_XYZ'!$DD$1),'Input LwA_XYZ'!DD49:DR49)))</f>
        <v/>
      </c>
      <c r="X290" s="62" t="str">
        <f>IF($P290="","",_xlfn.XLOOKUP(Tables!$N$242,'Input LwA_XYZ'!$DU$1:$EI$1,'Input LwA_XYZ'!DU49:EI49))</f>
        <v/>
      </c>
    </row>
    <row r="291" spans="14:24" ht="16.5" x14ac:dyDescent="0.3">
      <c r="P291" s="230" t="str">
        <f>IF(OR('Input LwA_XYZ'!A50 = 0, NOT(ISBLANK(_xlfn.XLOOKUP(Tables!N$242, 'Input LwA_XYZ'!CM$1:DA$1, 'Input LwA_XYZ'!CM50:DA50)))), "", 'Input LwA_XYZ'!A50)</f>
        <v/>
      </c>
      <c r="Q291" s="225" t="str">
        <f>IF($P291="","",_xlfn.TEXTJOIN(" - ",TRUE,'Input LwA_XYZ'!B50:C50))</f>
        <v/>
      </c>
      <c r="R291" s="231" t="str">
        <f>IF($P291="","",'Input LwA_XYZ'!Q50)</f>
        <v/>
      </c>
      <c r="S291" s="227" t="str">
        <f>IF($P291="","",ROUND(_xlfn.XLOOKUP(Tables!$N$242,'Input LwA_XYZ'!$AH$1:$AV$1,'Input LwA_XYZ'!AH50:AV50),0))</f>
        <v/>
      </c>
      <c r="T291" s="228" t="str">
        <f>IF($P291="","",-1*ROUND(_xlfn.XLOOKUP(Tables!$N$242,'Input LwA_XYZ'!$AY$1:$BM$1,'Input LwA_XYZ'!AY50:BM50),0))</f>
        <v/>
      </c>
      <c r="U291" s="228" t="str">
        <f>IF($P291="","",IF(_xlfn.XLOOKUP(Tables!$N$242,'Input LwA_XYZ'!$BV$1:$CJ$1,'Input LwA_XYZ'!BV50:CJ50)="","-",_xlfn.XLOOKUP(Tables!$N$242,'Input LwA_XYZ'!$BV$1:$CJ$1,'Input LwA_XYZ'!BV50:CJ50)))</f>
        <v/>
      </c>
      <c r="V291" s="228" t="str">
        <f>IF($P291="","",IF('Input LwA_XYZ'!S50="","-",'Input LwA_XYZ'!S50))</f>
        <v/>
      </c>
      <c r="W291" s="229" t="str" cm="1">
        <f t="array" ref="W291">IF($P291="","",IF(_xlfn.XLOOKUP(Tables!$N$242,_xlfn.ANCHORARRAY('Input LwA_XYZ'!$DD$1),'Input LwA_XYZ'!DD50:DR50)="","-",_xlfn.XLOOKUP(Tables!$N$242,_xlfn.ANCHORARRAY('Input LwA_XYZ'!$DD$1),'Input LwA_XYZ'!DD50:DR50)))</f>
        <v/>
      </c>
      <c r="X291" s="62" t="str">
        <f>IF($P291="","",_xlfn.XLOOKUP(Tables!$N$242,'Input LwA_XYZ'!$DU$1:$EI$1,'Input LwA_XYZ'!DU50:EI50))</f>
        <v/>
      </c>
    </row>
    <row r="292" spans="14:24" ht="16.5" x14ac:dyDescent="0.3">
      <c r="P292" s="230" t="str">
        <f>IF(OR('Input LwA_XYZ'!A51 = 0, NOT(ISBLANK(_xlfn.XLOOKUP(Tables!N$242, 'Input LwA_XYZ'!CM$1:DA$1, 'Input LwA_XYZ'!CM51:DA51)))), "", 'Input LwA_XYZ'!A51)</f>
        <v/>
      </c>
      <c r="Q292" s="225" t="str">
        <f>IF($P292="","",_xlfn.TEXTJOIN(" - ",TRUE,'Input LwA_XYZ'!B51:C51))</f>
        <v/>
      </c>
      <c r="R292" s="231" t="str">
        <f>IF($P292="","",'Input LwA_XYZ'!Q51)</f>
        <v/>
      </c>
      <c r="S292" s="227" t="str">
        <f>IF($P292="","",ROUND(_xlfn.XLOOKUP(Tables!$N$242,'Input LwA_XYZ'!$AH$1:$AV$1,'Input LwA_XYZ'!AH51:AV51),0))</f>
        <v/>
      </c>
      <c r="T292" s="228" t="str">
        <f>IF($P292="","",-1*ROUND(_xlfn.XLOOKUP(Tables!$N$242,'Input LwA_XYZ'!$AY$1:$BM$1,'Input LwA_XYZ'!AY51:BM51),0))</f>
        <v/>
      </c>
      <c r="U292" s="228" t="str">
        <f>IF($P292="","",IF(_xlfn.XLOOKUP(Tables!$N$242,'Input LwA_XYZ'!$BV$1:$CJ$1,'Input LwA_XYZ'!BV51:CJ51)="","-",_xlfn.XLOOKUP(Tables!$N$242,'Input LwA_XYZ'!$BV$1:$CJ$1,'Input LwA_XYZ'!BV51:CJ51)))</f>
        <v/>
      </c>
      <c r="V292" s="228" t="str">
        <f>IF($P292="","",IF('Input LwA_XYZ'!S51="","-",'Input LwA_XYZ'!S51))</f>
        <v/>
      </c>
      <c r="W292" s="229" t="str" cm="1">
        <f t="array" ref="W292">IF($P292="","",IF(_xlfn.XLOOKUP(Tables!$N$242,_xlfn.ANCHORARRAY('Input LwA_XYZ'!$DD$1),'Input LwA_XYZ'!DD51:DR51)="","-",_xlfn.XLOOKUP(Tables!$N$242,_xlfn.ANCHORARRAY('Input LwA_XYZ'!$DD$1),'Input LwA_XYZ'!DD51:DR51)))</f>
        <v/>
      </c>
      <c r="X292" s="62" t="str">
        <f>IF($P292="","",_xlfn.XLOOKUP(Tables!$N$242,'Input LwA_XYZ'!$DU$1:$EI$1,'Input LwA_XYZ'!DU51:EI51))</f>
        <v/>
      </c>
    </row>
    <row r="293" spans="14:24" ht="16.5" x14ac:dyDescent="0.3">
      <c r="P293" s="230" t="str">
        <f>IF(OR('Input LwA_XYZ'!A52 = 0, NOT(ISBLANK(_xlfn.XLOOKUP(Tables!N$242, 'Input LwA_XYZ'!CM$1:DA$1, 'Input LwA_XYZ'!CM52:DA52)))), "", 'Input LwA_XYZ'!A52)</f>
        <v/>
      </c>
      <c r="Q293" s="225" t="str">
        <f>IF($P293="","",_xlfn.TEXTJOIN(" - ",TRUE,'Input LwA_XYZ'!B52:C52))</f>
        <v/>
      </c>
      <c r="R293" s="231" t="str">
        <f>IF($P293="","",'Input LwA_XYZ'!Q52)</f>
        <v/>
      </c>
      <c r="S293" s="227" t="str">
        <f>IF($P293="","",ROUND(_xlfn.XLOOKUP(Tables!$N$242,'Input LwA_XYZ'!$AH$1:$AV$1,'Input LwA_XYZ'!AH52:AV52),0))</f>
        <v/>
      </c>
      <c r="T293" s="228" t="str">
        <f>IF($P293="","",-1*ROUND(_xlfn.XLOOKUP(Tables!$N$242,'Input LwA_XYZ'!$AY$1:$BM$1,'Input LwA_XYZ'!AY52:BM52),0))</f>
        <v/>
      </c>
      <c r="U293" s="228" t="str">
        <f>IF($P293="","",IF(_xlfn.XLOOKUP(Tables!$N$242,'Input LwA_XYZ'!$BV$1:$CJ$1,'Input LwA_XYZ'!BV52:CJ52)="","-",_xlfn.XLOOKUP(Tables!$N$242,'Input LwA_XYZ'!$BV$1:$CJ$1,'Input LwA_XYZ'!BV52:CJ52)))</f>
        <v/>
      </c>
      <c r="V293" s="228" t="str">
        <f>IF($P293="","",IF('Input LwA_XYZ'!S52="","-",'Input LwA_XYZ'!S52))</f>
        <v/>
      </c>
      <c r="W293" s="229" t="str" cm="1">
        <f t="array" ref="W293">IF($P293="","",IF(_xlfn.XLOOKUP(Tables!$N$242,_xlfn.ANCHORARRAY('Input LwA_XYZ'!$DD$1),'Input LwA_XYZ'!DD52:DR52)="","-",_xlfn.XLOOKUP(Tables!$N$242,_xlfn.ANCHORARRAY('Input LwA_XYZ'!$DD$1),'Input LwA_XYZ'!DD52:DR52)))</f>
        <v/>
      </c>
      <c r="X293" s="62" t="str">
        <f>IF($P293="","",_xlfn.XLOOKUP(Tables!$N$242,'Input LwA_XYZ'!$DU$1:$EI$1,'Input LwA_XYZ'!DU52:EI52))</f>
        <v/>
      </c>
    </row>
    <row r="294" spans="14:24" ht="16.5" x14ac:dyDescent="0.3">
      <c r="P294" s="230" t="str">
        <f>IF(OR('Input LwA_XYZ'!A53 = 0, NOT(ISBLANK(_xlfn.XLOOKUP(Tables!N$242, 'Input LwA_XYZ'!CM$1:DA$1, 'Input LwA_XYZ'!CM53:DA53)))), "", 'Input LwA_XYZ'!A53)</f>
        <v/>
      </c>
      <c r="Q294" s="225" t="str">
        <f>IF($P294="","",_xlfn.TEXTJOIN(" - ",TRUE,'Input LwA_XYZ'!B53:C53))</f>
        <v/>
      </c>
      <c r="R294" s="231" t="str">
        <f>IF($P294="","",'Input LwA_XYZ'!Q53)</f>
        <v/>
      </c>
      <c r="S294" s="227" t="str">
        <f>IF($P294="","",ROUND(_xlfn.XLOOKUP(Tables!$N$242,'Input LwA_XYZ'!$AH$1:$AV$1,'Input LwA_XYZ'!AH53:AV53),0))</f>
        <v/>
      </c>
      <c r="T294" s="228" t="str">
        <f>IF($P294="","",-1*ROUND(_xlfn.XLOOKUP(Tables!$N$242,'Input LwA_XYZ'!$AY$1:$BM$1,'Input LwA_XYZ'!AY53:BM53),0))</f>
        <v/>
      </c>
      <c r="U294" s="228" t="str">
        <f>IF($P294="","",IF(_xlfn.XLOOKUP(Tables!$N$242,'Input LwA_XYZ'!$BV$1:$CJ$1,'Input LwA_XYZ'!BV53:CJ53)="","-",_xlfn.XLOOKUP(Tables!$N$242,'Input LwA_XYZ'!$BV$1:$CJ$1,'Input LwA_XYZ'!BV53:CJ53)))</f>
        <v/>
      </c>
      <c r="V294" s="228" t="str">
        <f>IF($P294="","",IF('Input LwA_XYZ'!S53="","-",'Input LwA_XYZ'!S53))</f>
        <v/>
      </c>
      <c r="W294" s="229" t="str" cm="1">
        <f t="array" ref="W294">IF($P294="","",IF(_xlfn.XLOOKUP(Tables!$N$242,_xlfn.ANCHORARRAY('Input LwA_XYZ'!$DD$1),'Input LwA_XYZ'!DD53:DR53)="","-",_xlfn.XLOOKUP(Tables!$N$242,_xlfn.ANCHORARRAY('Input LwA_XYZ'!$DD$1),'Input LwA_XYZ'!DD53:DR53)))</f>
        <v/>
      </c>
      <c r="X294" s="62" t="str">
        <f>IF($P294="","",_xlfn.XLOOKUP(Tables!$N$242,'Input LwA_XYZ'!$DU$1:$EI$1,'Input LwA_XYZ'!DU53:EI53))</f>
        <v/>
      </c>
    </row>
    <row r="295" spans="14:24" ht="16.5" x14ac:dyDescent="0.3">
      <c r="P295" s="230" t="str">
        <f>IF(OR('Input LwA_XYZ'!A54 = 0, NOT(ISBLANK(_xlfn.XLOOKUP(Tables!N$242, 'Input LwA_XYZ'!CM$1:DA$1, 'Input LwA_XYZ'!CM54:DA54)))), "", 'Input LwA_XYZ'!A54)</f>
        <v/>
      </c>
      <c r="Q295" s="225" t="str">
        <f>IF($P295="","",_xlfn.TEXTJOIN(" - ",TRUE,'Input LwA_XYZ'!B54:C54))</f>
        <v/>
      </c>
      <c r="R295" s="231" t="str">
        <f>IF($P295="","",'Input LwA_XYZ'!Q54)</f>
        <v/>
      </c>
      <c r="S295" s="227" t="str">
        <f>IF($P295="","",ROUND(_xlfn.XLOOKUP(Tables!$N$242,'Input LwA_XYZ'!$AH$1:$AV$1,'Input LwA_XYZ'!AH54:AV54),0))</f>
        <v/>
      </c>
      <c r="T295" s="228" t="str">
        <f>IF($P295="","",-1*ROUND(_xlfn.XLOOKUP(Tables!$N$242,'Input LwA_XYZ'!$AY$1:$BM$1,'Input LwA_XYZ'!AY54:BM54),0))</f>
        <v/>
      </c>
      <c r="U295" s="228" t="str">
        <f>IF($P295="","",IF(_xlfn.XLOOKUP(Tables!$N$242,'Input LwA_XYZ'!$BV$1:$CJ$1,'Input LwA_XYZ'!BV54:CJ54)="","-",_xlfn.XLOOKUP(Tables!$N$242,'Input LwA_XYZ'!$BV$1:$CJ$1,'Input LwA_XYZ'!BV54:CJ54)))</f>
        <v/>
      </c>
      <c r="V295" s="228" t="str">
        <f>IF($P295="","",IF('Input LwA_XYZ'!S54="","-",'Input LwA_XYZ'!S54))</f>
        <v/>
      </c>
      <c r="W295" s="229" t="str" cm="1">
        <f t="array" ref="W295">IF($P295="","",IF(_xlfn.XLOOKUP(Tables!$N$242,_xlfn.ANCHORARRAY('Input LwA_XYZ'!$DD$1),'Input LwA_XYZ'!DD54:DR54)="","-",_xlfn.XLOOKUP(Tables!$N$242,_xlfn.ANCHORARRAY('Input LwA_XYZ'!$DD$1),'Input LwA_XYZ'!DD54:DR54)))</f>
        <v/>
      </c>
      <c r="X295" s="62" t="str">
        <f>IF($P295="","",_xlfn.XLOOKUP(Tables!$N$242,'Input LwA_XYZ'!$DU$1:$EI$1,'Input LwA_XYZ'!DU54:EI54))</f>
        <v/>
      </c>
    </row>
    <row r="296" spans="14:24" ht="16.5" x14ac:dyDescent="0.3">
      <c r="P296" s="230" t="str">
        <f>IF(OR('Input LwA_XYZ'!A55 = 0, NOT(ISBLANK(_xlfn.XLOOKUP(Tables!N$242, 'Input LwA_XYZ'!CM$1:DA$1, 'Input LwA_XYZ'!CM55:DA55)))), "", 'Input LwA_XYZ'!A55)</f>
        <v/>
      </c>
      <c r="Q296" s="225" t="str">
        <f>IF($P296="","",_xlfn.TEXTJOIN(" - ",TRUE,'Input LwA_XYZ'!B55:C55))</f>
        <v/>
      </c>
      <c r="R296" s="231" t="str">
        <f>IF($P296="","",'Input LwA_XYZ'!Q55)</f>
        <v/>
      </c>
      <c r="S296" s="227" t="str">
        <f>IF($P296="","",ROUND(_xlfn.XLOOKUP(Tables!$N$242,'Input LwA_XYZ'!$AH$1:$AV$1,'Input LwA_XYZ'!AH55:AV55),0))</f>
        <v/>
      </c>
      <c r="T296" s="228" t="str">
        <f>IF($P296="","",-1*ROUND(_xlfn.XLOOKUP(Tables!$N$242,'Input LwA_XYZ'!$AY$1:$BM$1,'Input LwA_XYZ'!AY55:BM55),0))</f>
        <v/>
      </c>
      <c r="U296" s="228" t="str">
        <f>IF($P296="","",IF(_xlfn.XLOOKUP(Tables!$N$242,'Input LwA_XYZ'!$BV$1:$CJ$1,'Input LwA_XYZ'!BV55:CJ55)="","-",_xlfn.XLOOKUP(Tables!$N$242,'Input LwA_XYZ'!$BV$1:$CJ$1,'Input LwA_XYZ'!BV55:CJ55)))</f>
        <v/>
      </c>
      <c r="V296" s="228" t="str">
        <f>IF($P296="","",IF('Input LwA_XYZ'!S55="","-",'Input LwA_XYZ'!S55))</f>
        <v/>
      </c>
      <c r="W296" s="229" t="str" cm="1">
        <f t="array" ref="W296">IF($P296="","",IF(_xlfn.XLOOKUP(Tables!$N$242,_xlfn.ANCHORARRAY('Input LwA_XYZ'!$DD$1),'Input LwA_XYZ'!DD55:DR55)="","-",_xlfn.XLOOKUP(Tables!$N$242,_xlfn.ANCHORARRAY('Input LwA_XYZ'!$DD$1),'Input LwA_XYZ'!DD55:DR55)))</f>
        <v/>
      </c>
      <c r="X296" s="62" t="str">
        <f>IF($P296="","",_xlfn.XLOOKUP(Tables!$N$242,'Input LwA_XYZ'!$DU$1:$EI$1,'Input LwA_XYZ'!DU55:EI55))</f>
        <v/>
      </c>
    </row>
    <row r="297" spans="14:24" ht="16.5" x14ac:dyDescent="0.3">
      <c r="P297" s="230" t="str">
        <f>IF(OR('Input LwA_XYZ'!A56 = 0, NOT(ISBLANK(_xlfn.XLOOKUP(Tables!N$242, 'Input LwA_XYZ'!CM$1:DA$1, 'Input LwA_XYZ'!CM56:DA56)))), "", 'Input LwA_XYZ'!A56)</f>
        <v/>
      </c>
      <c r="Q297" s="225" t="str">
        <f>IF($P297="","",_xlfn.TEXTJOIN(" - ",TRUE,'Input LwA_XYZ'!B56:C56))</f>
        <v/>
      </c>
      <c r="R297" s="231" t="str">
        <f>IF($P297="","",'Input LwA_XYZ'!Q56)</f>
        <v/>
      </c>
      <c r="S297" s="227" t="str">
        <f>IF($P297="","",ROUND(_xlfn.XLOOKUP(Tables!$N$242,'Input LwA_XYZ'!$AH$1:$AV$1,'Input LwA_XYZ'!AH56:AV56),0))</f>
        <v/>
      </c>
      <c r="T297" s="228" t="str">
        <f>IF($P297="","",-1*ROUND(_xlfn.XLOOKUP(Tables!$N$242,'Input LwA_XYZ'!$AY$1:$BM$1,'Input LwA_XYZ'!AY56:BM56),0))</f>
        <v/>
      </c>
      <c r="U297" s="228" t="str">
        <f>IF($P297="","",IF(_xlfn.XLOOKUP(Tables!$N$242,'Input LwA_XYZ'!$BV$1:$CJ$1,'Input LwA_XYZ'!BV56:CJ56)="","-",_xlfn.XLOOKUP(Tables!$N$242,'Input LwA_XYZ'!$BV$1:$CJ$1,'Input LwA_XYZ'!BV56:CJ56)))</f>
        <v/>
      </c>
      <c r="V297" s="228" t="str">
        <f>IF($P297="","",IF('Input LwA_XYZ'!S56="","-",'Input LwA_XYZ'!S56))</f>
        <v/>
      </c>
      <c r="W297" s="229" t="str" cm="1">
        <f t="array" ref="W297">IF($P297="","",IF(_xlfn.XLOOKUP(Tables!$N$242,_xlfn.ANCHORARRAY('Input LwA_XYZ'!$DD$1),'Input LwA_XYZ'!DD56:DR56)="","-",_xlfn.XLOOKUP(Tables!$N$242,_xlfn.ANCHORARRAY('Input LwA_XYZ'!$DD$1),'Input LwA_XYZ'!DD56:DR56)))</f>
        <v/>
      </c>
      <c r="X297" s="62" t="str">
        <f>IF($P297="","",_xlfn.XLOOKUP(Tables!$N$242,'Input LwA_XYZ'!$DU$1:$EI$1,'Input LwA_XYZ'!DU56:EI56))</f>
        <v/>
      </c>
    </row>
    <row r="298" spans="14:24" ht="16.5" x14ac:dyDescent="0.3">
      <c r="P298" s="230" t="str">
        <f>IF(OR('Input LwA_XYZ'!A57 = 0, NOT(ISBLANK(_xlfn.XLOOKUP(Tables!N$242, 'Input LwA_XYZ'!CM$1:DA$1, 'Input LwA_XYZ'!CM57:DA57)))), "", 'Input LwA_XYZ'!A57)</f>
        <v/>
      </c>
      <c r="Q298" s="225" t="str">
        <f>IF($P298="","",_xlfn.TEXTJOIN(" - ",TRUE,'Input LwA_XYZ'!B57:C57))</f>
        <v/>
      </c>
      <c r="R298" s="231" t="str">
        <f>IF($P298="","",'Input LwA_XYZ'!Q57)</f>
        <v/>
      </c>
      <c r="S298" s="227" t="str">
        <f>IF($P298="","",ROUND(_xlfn.XLOOKUP(Tables!$N$242,'Input LwA_XYZ'!$AH$1:$AV$1,'Input LwA_XYZ'!AH57:AV57),0))</f>
        <v/>
      </c>
      <c r="T298" s="228" t="str">
        <f>IF($P298="","",-1*ROUND(_xlfn.XLOOKUP(Tables!$N$242,'Input LwA_XYZ'!$AY$1:$BM$1,'Input LwA_XYZ'!AY57:BM57),0))</f>
        <v/>
      </c>
      <c r="U298" s="228" t="str">
        <f>IF($P298="","",IF(_xlfn.XLOOKUP(Tables!$N$242,'Input LwA_XYZ'!$BV$1:$CJ$1,'Input LwA_XYZ'!BV57:CJ57)="","-",_xlfn.XLOOKUP(Tables!$N$242,'Input LwA_XYZ'!$BV$1:$CJ$1,'Input LwA_XYZ'!BV57:CJ57)))</f>
        <v/>
      </c>
      <c r="V298" s="228" t="str">
        <f>IF($P298="","",IF('Input LwA_XYZ'!S57="","-",'Input LwA_XYZ'!S57))</f>
        <v/>
      </c>
      <c r="W298" s="229" t="str" cm="1">
        <f t="array" ref="W298">IF($P298="","",IF(_xlfn.XLOOKUP(Tables!$N$242,_xlfn.ANCHORARRAY('Input LwA_XYZ'!$DD$1),'Input LwA_XYZ'!DD57:DR57)="","-",_xlfn.XLOOKUP(Tables!$N$242,_xlfn.ANCHORARRAY('Input LwA_XYZ'!$DD$1),'Input LwA_XYZ'!DD57:DR57)))</f>
        <v/>
      </c>
      <c r="X298" s="62" t="str">
        <f>IF($P298="","",_xlfn.XLOOKUP(Tables!$N$242,'Input LwA_XYZ'!$DU$1:$EI$1,'Input LwA_XYZ'!DU57:EI57))</f>
        <v/>
      </c>
    </row>
    <row r="299" spans="14:24" ht="17.25" thickBot="1" x14ac:dyDescent="0.35">
      <c r="P299" s="232" t="str">
        <f>IF(OR('Input LwA_XYZ'!A58 = 0, NOT(ISBLANK(_xlfn.XLOOKUP(Tables!N$242, 'Input LwA_XYZ'!CM$1:DA$1, 'Input LwA_XYZ'!CM58:DA58)))), "", 'Input LwA_XYZ'!A58)</f>
        <v/>
      </c>
      <c r="Q299" s="233" t="str">
        <f>IF($P299="","",_xlfn.TEXTJOIN(" - ",TRUE,'Input LwA_XYZ'!B58:C58))</f>
        <v/>
      </c>
      <c r="R299" s="234" t="str">
        <f>IF($P299="","",'Input LwA_XYZ'!Q58)</f>
        <v/>
      </c>
      <c r="S299" s="235" t="str">
        <f>IF($P299="","",ROUND(_xlfn.XLOOKUP(Tables!$N$242,'Input LwA_XYZ'!$AH$1:$AV$1,'Input LwA_XYZ'!AH58:AV58),0))</f>
        <v/>
      </c>
      <c r="T299" s="236" t="str">
        <f>IF($P299="","",-1*ROUND(_xlfn.XLOOKUP(Tables!$N$242,'Input LwA_XYZ'!$AY$1:$BM$1,'Input LwA_XYZ'!AY58:BM58),0))</f>
        <v/>
      </c>
      <c r="U299" s="228" t="str">
        <f>IF($P299="","",IF(_xlfn.XLOOKUP(Tables!$N$242,'Input LwA_XYZ'!$BV$1:$CJ$1,'Input LwA_XYZ'!BV58:CJ58)="","-",_xlfn.XLOOKUP(Tables!$N$242,'Input LwA_XYZ'!$BV$1:$CJ$1,'Input LwA_XYZ'!BV58:CJ58)))</f>
        <v/>
      </c>
      <c r="V299" s="228" t="str">
        <f>IF($P299="","",IF('Input LwA_XYZ'!S58="","-",'Input LwA_XYZ'!S58))</f>
        <v/>
      </c>
      <c r="W299" s="229" t="str" cm="1">
        <f t="array" ref="W299">IF($P299="","",IF(_xlfn.XLOOKUP(Tables!$N$242,_xlfn.ANCHORARRAY('Input LwA_XYZ'!$DD$1),'Input LwA_XYZ'!DD58:DR58)="","-",_xlfn.XLOOKUP(Tables!$N$242,_xlfn.ANCHORARRAY('Input LwA_XYZ'!$DD$1),'Input LwA_XYZ'!DD58:DR58)))</f>
        <v/>
      </c>
      <c r="X299" s="63" t="str">
        <f>IF($P299="","",_xlfn.XLOOKUP(Tables!$N$242,'Input LwA_XYZ'!$DU$1:$EI$1,'Input LwA_XYZ'!DU58:EI58))</f>
        <v/>
      </c>
    </row>
    <row r="300" spans="14:24" ht="17.25" thickBot="1" x14ac:dyDescent="0.35">
      <c r="P300" s="237" t="s">
        <v>215</v>
      </c>
      <c r="Q300" s="238"/>
      <c r="R300" s="239"/>
      <c r="S300" s="238"/>
      <c r="T300" s="240"/>
      <c r="U300" s="240"/>
      <c r="V300" s="240"/>
      <c r="W300" s="241"/>
      <c r="X300" s="219">
        <f>_xlfn.XLOOKUP(Tables!$N$242,'Input LwA_XYZ'!$Z$2:$Z$16,'Input LwA_XYZ'!$AE$2:$AE$16)</f>
        <v>31</v>
      </c>
    </row>
    <row r="301" spans="14:24" ht="15.75" thickBot="1" x14ac:dyDescent="0.3"/>
    <row r="302" spans="14:24" ht="33.75" thickBot="1" x14ac:dyDescent="0.35">
      <c r="N302" s="66" t="s">
        <v>205</v>
      </c>
      <c r="P302" s="242" t="s">
        <v>79</v>
      </c>
      <c r="Q302" s="243" t="s">
        <v>80</v>
      </c>
      <c r="R302" s="244" t="s">
        <v>81</v>
      </c>
      <c r="S302" s="244" t="s">
        <v>19</v>
      </c>
      <c r="T302" s="244" t="s">
        <v>216</v>
      </c>
      <c r="U302" s="246" t="s">
        <v>82</v>
      </c>
      <c r="V302" s="247" t="s">
        <v>83</v>
      </c>
      <c r="W302" s="248" t="s">
        <v>236</v>
      </c>
      <c r="X302" s="245" t="s">
        <v>78</v>
      </c>
    </row>
    <row r="303" spans="14:24" ht="17.25" thickBot="1" x14ac:dyDescent="0.35">
      <c r="N303" s="66">
        <f>_xlfn.XLOOKUP(N302, 'Input LwA_XYZ'!$Z$2:$Z$16, 'Input LwA_XYZ'!$AF$2:$AF$16, "")</f>
        <v>0</v>
      </c>
      <c r="P303" s="224">
        <f>IF(OR('Input LwA_XYZ'!A2 = 0, NOT(ISBLANK(_xlfn.XLOOKUP(Tables!N$302, 'Input LwA_XYZ'!CM$1:DA$1, 'Input LwA_XYZ'!CM2:DA2)))), "", 'Input LwA_XYZ'!A2)</f>
        <v>1</v>
      </c>
      <c r="Q303" s="225" t="str">
        <f>IF($P303="","",_xlfn.TEXTJOIN(" - ",TRUE,'Input LwA_XYZ'!B2:C2))</f>
        <v>MAU-R1 - Ducted Inlet</v>
      </c>
      <c r="R303" s="226">
        <f>IF($P303="","",'Input LwA_XYZ'!Q2)</f>
        <v>86</v>
      </c>
      <c r="S303" s="227">
        <f>IF($P303="","",ROUND(_xlfn.XLOOKUP(Tables!$N$302,'Input LwA_XYZ'!$AH$1:$AV$1,'Input LwA_XYZ'!AH2:AV2),0))</f>
        <v>148</v>
      </c>
      <c r="T303" s="228">
        <f>IF($P303="","",-1*ROUND(_xlfn.XLOOKUP(Tables!$N$302,'Input LwA_XYZ'!$AY$1:$BM$1,'Input LwA_XYZ'!AY2:BM2),0))</f>
        <v>41</v>
      </c>
      <c r="U303" s="228" t="str">
        <f>IF($P303="","",IF(_xlfn.XLOOKUP(Tables!$N$302,'Input LwA_XYZ'!$BV$1:$CJ$1,'Input LwA_XYZ'!BV2:CJ2)="","-",_xlfn.XLOOKUP(Tables!$N$302,'Input LwA_XYZ'!$BV$1:$CJ$1,'Input LwA_XYZ'!BV2:CJ2)))</f>
        <v>-</v>
      </c>
      <c r="V303" s="228" t="str">
        <f>IF($P303="","",IF('Input LwA_XYZ'!S2="","-",'Input LwA_XYZ'!S2))</f>
        <v>-</v>
      </c>
      <c r="W303" s="229" t="str" cm="1">
        <f t="array" ref="W303">IF($P303="","",IF(_xlfn.XLOOKUP(Tables!$N$302,_xlfn.ANCHORARRAY('Input LwA_XYZ'!$DD$1),'Input LwA_XYZ'!DD2:DR2)="","-",_xlfn.XLOOKUP(Tables!$N$302,_xlfn.ANCHORARRAY('Input LwA_XYZ'!$DD$1),'Input LwA_XYZ'!DD2:DR2)))</f>
        <v>-</v>
      </c>
      <c r="X303" s="88">
        <f>IF($P303="","",_xlfn.XLOOKUP(Tables!$N$302,'Input LwA_XYZ'!$DU$1:$EI$1,'Input LwA_XYZ'!DU2:EI2))</f>
        <v>44.931983513718308</v>
      </c>
    </row>
    <row r="304" spans="14:24" ht="16.5" x14ac:dyDescent="0.3">
      <c r="P304" s="230">
        <f>IF(OR('Input LwA_XYZ'!A3 = 0, NOT(ISBLANK(_xlfn.XLOOKUP(Tables!N$302, 'Input LwA_XYZ'!CM$1:DA$1, 'Input LwA_XYZ'!CM3:DA3)))), "", 'Input LwA_XYZ'!A3)</f>
        <v>1</v>
      </c>
      <c r="Q304" s="225" t="str">
        <f>IF($P304="","",_xlfn.TEXTJOIN(" - ",TRUE,'Input LwA_XYZ'!B3:C3))</f>
        <v>ERV-R.1 - Outdoor+Casing+Exhaust</v>
      </c>
      <c r="R304" s="231">
        <f>IF($P304="","",'Input LwA_XYZ'!Q3)</f>
        <v>91</v>
      </c>
      <c r="S304" s="227">
        <f>IF($P304="","",ROUND(_xlfn.XLOOKUP(Tables!$N$302,'Input LwA_XYZ'!$AH$1:$AV$1,'Input LwA_XYZ'!AH3:AV3),0))</f>
        <v>170</v>
      </c>
      <c r="T304" s="228">
        <f>IF($P304="","",-1*ROUND(_xlfn.XLOOKUP(Tables!$N$302,'Input LwA_XYZ'!$AY$1:$BM$1,'Input LwA_XYZ'!AY3:BM3),0))</f>
        <v>42</v>
      </c>
      <c r="U304" s="228" t="str">
        <f>IF($P304="","",IF(_xlfn.XLOOKUP(Tables!$N$302,'Input LwA_XYZ'!$BV$1:$CJ$1,'Input LwA_XYZ'!BV3:CJ3)="","-",_xlfn.XLOOKUP(Tables!$N$302,'Input LwA_XYZ'!$BV$1:$CJ$1,'Input LwA_XYZ'!BV3:CJ3)))</f>
        <v>-</v>
      </c>
      <c r="V304" s="228" t="str">
        <f>IF($P304="","",IF('Input LwA_XYZ'!S3="","-",'Input LwA_XYZ'!S3))</f>
        <v>-</v>
      </c>
      <c r="W304" s="229" t="str" cm="1">
        <f t="array" ref="W304">IF($P304="","",IF(_xlfn.XLOOKUP(Tables!$N$302,_xlfn.ANCHORARRAY('Input LwA_XYZ'!$DD$1),'Input LwA_XYZ'!DD3:DR3)="","-",_xlfn.XLOOKUP(Tables!$N$302,_xlfn.ANCHORARRAY('Input LwA_XYZ'!$DD$1),'Input LwA_XYZ'!DD3:DR3)))</f>
        <v>-</v>
      </c>
      <c r="X304" s="62">
        <f>IF($P304="","",_xlfn.XLOOKUP(Tables!$N$302,'Input LwA_XYZ'!$DU$1:$EI$1,'Input LwA_XYZ'!DU3:EI3))</f>
        <v>48.748486461879416</v>
      </c>
    </row>
    <row r="305" spans="16:24" ht="16.5" x14ac:dyDescent="0.3">
      <c r="P305" s="230">
        <f>IF(OR('Input LwA_XYZ'!A4 = 0, NOT(ISBLANK(_xlfn.XLOOKUP(Tables!N$302, 'Input LwA_XYZ'!CM$1:DA$1, 'Input LwA_XYZ'!CM4:DA4)))), "", 'Input LwA_XYZ'!A4)</f>
        <v>1</v>
      </c>
      <c r="Q305" s="225" t="str">
        <f>IF($P305="","",_xlfn.TEXTJOIN(" - ",TRUE,'Input LwA_XYZ'!B4:C4))</f>
        <v>GEF-R1  - Inlet (plus ductwork lined)</v>
      </c>
      <c r="R305" s="231">
        <f>IF($P305="","",'Input LwA_XYZ'!Q4)</f>
        <v>82</v>
      </c>
      <c r="S305" s="227">
        <f>IF($P305="","",ROUND(_xlfn.XLOOKUP(Tables!$N$302,'Input LwA_XYZ'!$AH$1:$AV$1,'Input LwA_XYZ'!AH4:AV4),0))</f>
        <v>266</v>
      </c>
      <c r="T305" s="228">
        <f>IF($P305="","",-1*ROUND(_xlfn.XLOOKUP(Tables!$N$302,'Input LwA_XYZ'!$AY$1:$BM$1,'Input LwA_XYZ'!AY4:BM4),0))</f>
        <v>46</v>
      </c>
      <c r="U305" s="228" t="str">
        <f>IF($P305="","",IF(_xlfn.XLOOKUP(Tables!$N$302,'Input LwA_XYZ'!$BV$1:$CJ$1,'Input LwA_XYZ'!BV4:CJ4)="","-",_xlfn.XLOOKUP(Tables!$N$302,'Input LwA_XYZ'!$BV$1:$CJ$1,'Input LwA_XYZ'!BV4:CJ4)))</f>
        <v>-</v>
      </c>
      <c r="V305" s="228">
        <f>IF($P305="","",IF('Input LwA_XYZ'!S4="","-",'Input LwA_XYZ'!S4))</f>
        <v>13</v>
      </c>
      <c r="W305" s="229" t="str" cm="1">
        <f t="array" ref="W305">IF($P305="","",IF(_xlfn.XLOOKUP(Tables!$N$302,_xlfn.ANCHORARRAY('Input LwA_XYZ'!$DD$1),'Input LwA_XYZ'!DD4:DR4)="","-",_xlfn.XLOOKUP(Tables!$N$302,_xlfn.ANCHORARRAY('Input LwA_XYZ'!$DD$1),'Input LwA_XYZ'!DD4:DR4)))</f>
        <v>-</v>
      </c>
      <c r="X305" s="62">
        <f>IF($P305="","",_xlfn.XLOOKUP(Tables!$N$302,'Input LwA_XYZ'!$DU$1:$EI$1,'Input LwA_XYZ'!DU4:EI4))</f>
        <v>22.833456469663084</v>
      </c>
    </row>
    <row r="306" spans="16:24" ht="16.5" x14ac:dyDescent="0.3">
      <c r="P306" s="230">
        <f>IF(OR('Input LwA_XYZ'!A5 = 0, NOT(ISBLANK(_xlfn.XLOOKUP(Tables!N$302, 'Input LwA_XYZ'!CM$1:DA$1, 'Input LwA_XYZ'!CM5:DA5)))), "", 'Input LwA_XYZ'!A5)</f>
        <v>1</v>
      </c>
      <c r="Q306" s="225" t="str">
        <f>IF($P306="","",_xlfn.TEXTJOIN(" - ",TRUE,'Input LwA_XYZ'!B5:C5))</f>
        <v>DEF-R1, R2 - Inlet</v>
      </c>
      <c r="R306" s="231">
        <f>IF($P306="","",'Input LwA_XYZ'!Q5)</f>
        <v>70</v>
      </c>
      <c r="S306" s="227">
        <f>IF($P306="","",ROUND(_xlfn.XLOOKUP(Tables!$N$302,'Input LwA_XYZ'!$AH$1:$AV$1,'Input LwA_XYZ'!AH5:AV5),0))</f>
        <v>183</v>
      </c>
      <c r="T306" s="228">
        <f>IF($P306="","",-1*ROUND(_xlfn.XLOOKUP(Tables!$N$302,'Input LwA_XYZ'!$AY$1:$BM$1,'Input LwA_XYZ'!AY5:BM5),0))</f>
        <v>43</v>
      </c>
      <c r="U306" s="228" t="str">
        <f>IF($P306="","",IF(_xlfn.XLOOKUP(Tables!$N$302,'Input LwA_XYZ'!$BV$1:$CJ$1,'Input LwA_XYZ'!BV5:CJ5)="","-",_xlfn.XLOOKUP(Tables!$N$302,'Input LwA_XYZ'!$BV$1:$CJ$1,'Input LwA_XYZ'!BV5:CJ5)))</f>
        <v>-</v>
      </c>
      <c r="V306" s="228" t="str">
        <f>IF($P306="","",IF('Input LwA_XYZ'!S5="","-",'Input LwA_XYZ'!S5))</f>
        <v>-</v>
      </c>
      <c r="W306" s="229" t="str" cm="1">
        <f t="array" ref="W306">IF($P306="","",IF(_xlfn.XLOOKUP(Tables!$N$302,_xlfn.ANCHORARRAY('Input LwA_XYZ'!$DD$1),'Input LwA_XYZ'!DD5:DR5)="","-",_xlfn.XLOOKUP(Tables!$N$302,_xlfn.ANCHORARRAY('Input LwA_XYZ'!$DD$1),'Input LwA_XYZ'!DD5:DR5)))</f>
        <v>-</v>
      </c>
      <c r="X306" s="62">
        <f>IF($P306="","",_xlfn.XLOOKUP(Tables!$N$302,'Input LwA_XYZ'!$DU$1:$EI$1,'Input LwA_XYZ'!DU5:EI5))</f>
        <v>27.104226498387035</v>
      </c>
    </row>
    <row r="307" spans="16:24" ht="16.5" x14ac:dyDescent="0.3">
      <c r="P307" s="230">
        <f>IF(OR('Input LwA_XYZ'!A6 = 0, NOT(ISBLANK(_xlfn.XLOOKUP(Tables!N$302, 'Input LwA_XYZ'!CM$1:DA$1, 'Input LwA_XYZ'!CM6:DA6)))), "", 'Input LwA_XYZ'!A6)</f>
        <v>1</v>
      </c>
      <c r="Q307" s="225" t="str">
        <f>IF($P307="","",_xlfn.TEXTJOIN(" - ",TRUE,'Input LwA_XYZ'!B6:C6))</f>
        <v>KEF-R1  - Inlet</v>
      </c>
      <c r="R307" s="231">
        <f>IF($P307="","",'Input LwA_XYZ'!Q6)</f>
        <v>80</v>
      </c>
      <c r="S307" s="227">
        <f>IF($P307="","",ROUND(_xlfn.XLOOKUP(Tables!$N$302,'Input LwA_XYZ'!$AH$1:$AV$1,'Input LwA_XYZ'!AH6:AV6),0))</f>
        <v>131</v>
      </c>
      <c r="T307" s="228">
        <f>IF($P307="","",-1*ROUND(_xlfn.XLOOKUP(Tables!$N$302,'Input LwA_XYZ'!$AY$1:$BM$1,'Input LwA_XYZ'!AY6:BM6),0))</f>
        <v>40</v>
      </c>
      <c r="U307" s="228" t="str">
        <f>IF($P307="","",IF(_xlfn.XLOOKUP(Tables!$N$302,'Input LwA_XYZ'!$BV$1:$CJ$1,'Input LwA_XYZ'!BV6:CJ6)="","-",_xlfn.XLOOKUP(Tables!$N$302,'Input LwA_XYZ'!$BV$1:$CJ$1,'Input LwA_XYZ'!BV6:CJ6)))</f>
        <v>-</v>
      </c>
      <c r="V307" s="228" t="str">
        <f>IF($P307="","",IF('Input LwA_XYZ'!S6="","-",'Input LwA_XYZ'!S6))</f>
        <v>-</v>
      </c>
      <c r="W307" s="229" t="str" cm="1">
        <f t="array" ref="W307">IF($P307="","",IF(_xlfn.XLOOKUP(Tables!$N$302,_xlfn.ANCHORARRAY('Input LwA_XYZ'!$DD$1),'Input LwA_XYZ'!DD6:DR6)="","-",_xlfn.XLOOKUP(Tables!$N$302,_xlfn.ANCHORARRAY('Input LwA_XYZ'!$DD$1),'Input LwA_XYZ'!DD6:DR6)))</f>
        <v>-</v>
      </c>
      <c r="X307" s="62">
        <f>IF($P307="","",_xlfn.XLOOKUP(Tables!$N$302,'Input LwA_XYZ'!$DU$1:$EI$1,'Input LwA_XYZ'!DU6:EI6))</f>
        <v>39.973202001732659</v>
      </c>
    </row>
    <row r="308" spans="16:24" ht="16.5" x14ac:dyDescent="0.3">
      <c r="P308" s="230">
        <f>IF(OR('Input LwA_XYZ'!A7 = 0, NOT(ISBLANK(_xlfn.XLOOKUP(Tables!N$302, 'Input LwA_XYZ'!CM$1:DA$1, 'Input LwA_XYZ'!CM7:DA7)))), "", 'Input LwA_XYZ'!A7)</f>
        <v>1</v>
      </c>
      <c r="Q308" s="225" t="str">
        <f>IF($P308="","",_xlfn.TEXTJOIN(" - ",TRUE,'Input LwA_XYZ'!B7:C7))</f>
        <v>DWEF-R1 - Inlet</v>
      </c>
      <c r="R308" s="231">
        <f>IF($P308="","",'Input LwA_XYZ'!Q7)</f>
        <v>71</v>
      </c>
      <c r="S308" s="227">
        <f>IF($P308="","",ROUND(_xlfn.XLOOKUP(Tables!$N$302,'Input LwA_XYZ'!$AH$1:$AV$1,'Input LwA_XYZ'!AH7:AV7),0))</f>
        <v>138</v>
      </c>
      <c r="T308" s="228">
        <f>IF($P308="","",-1*ROUND(_xlfn.XLOOKUP(Tables!$N$302,'Input LwA_XYZ'!$AY$1:$BM$1,'Input LwA_XYZ'!AY7:BM7),0))</f>
        <v>40</v>
      </c>
      <c r="U308" s="228" t="str">
        <f>IF($P308="","",IF(_xlfn.XLOOKUP(Tables!$N$302,'Input LwA_XYZ'!$BV$1:$CJ$1,'Input LwA_XYZ'!BV7:CJ7)="","-",_xlfn.XLOOKUP(Tables!$N$302,'Input LwA_XYZ'!$BV$1:$CJ$1,'Input LwA_XYZ'!BV7:CJ7)))</f>
        <v>-</v>
      </c>
      <c r="V308" s="228" t="str">
        <f>IF($P308="","",IF('Input LwA_XYZ'!S7="","-",'Input LwA_XYZ'!S7))</f>
        <v>-</v>
      </c>
      <c r="W308" s="229" t="str" cm="1">
        <f t="array" ref="W308">IF($P308="","",IF(_xlfn.XLOOKUP(Tables!$N$302,_xlfn.ANCHORARRAY('Input LwA_XYZ'!$DD$1),'Input LwA_XYZ'!DD7:DR7)="","-",_xlfn.XLOOKUP(Tables!$N$302,_xlfn.ANCHORARRAY('Input LwA_XYZ'!$DD$1),'Input LwA_XYZ'!DD7:DR7)))</f>
        <v>-</v>
      </c>
      <c r="X308" s="62">
        <f>IF($P308="","",_xlfn.XLOOKUP(Tables!$N$302,'Input LwA_XYZ'!$DU$1:$EI$1,'Input LwA_XYZ'!DU7:EI7))</f>
        <v>30.568931286696852</v>
      </c>
    </row>
    <row r="309" spans="16:24" ht="16.5" x14ac:dyDescent="0.3">
      <c r="P309" s="230">
        <f>IF(OR('Input LwA_XYZ'!A8 = 0, NOT(ISBLANK(_xlfn.XLOOKUP(Tables!N$302, 'Input LwA_XYZ'!CM$1:DA$1, 'Input LwA_XYZ'!CM8:DA8)))), "", 'Input LwA_XYZ'!A8)</f>
        <v>1</v>
      </c>
      <c r="Q309" s="225" t="str">
        <f>IF($P309="","",_xlfn.TEXTJOIN(" - ",TRUE,'Input LwA_XYZ'!B8:C8))</f>
        <v>CU-R1 - Radiated</v>
      </c>
      <c r="R309" s="231">
        <f>IF($P309="","",'Input LwA_XYZ'!Q8)</f>
        <v>84</v>
      </c>
      <c r="S309" s="227">
        <f>IF($P309="","",ROUND(_xlfn.XLOOKUP(Tables!$N$302,'Input LwA_XYZ'!$AH$1:$AV$1,'Input LwA_XYZ'!AH8:AV8),0))</f>
        <v>168</v>
      </c>
      <c r="T309" s="228">
        <f>IF($P309="","",-1*ROUND(_xlfn.XLOOKUP(Tables!$N$302,'Input LwA_XYZ'!$AY$1:$BM$1,'Input LwA_XYZ'!AY8:BM8),0))</f>
        <v>42</v>
      </c>
      <c r="U309" s="228" t="str">
        <f>IF($P309="","",IF(_xlfn.XLOOKUP(Tables!$N$302,'Input LwA_XYZ'!$BV$1:$CJ$1,'Input LwA_XYZ'!BV8:CJ8)="","-",_xlfn.XLOOKUP(Tables!$N$302,'Input LwA_XYZ'!$BV$1:$CJ$1,'Input LwA_XYZ'!BV8:CJ8)))</f>
        <v>-</v>
      </c>
      <c r="V309" s="228" t="str">
        <f>IF($P309="","",IF('Input LwA_XYZ'!S8="","-",'Input LwA_XYZ'!S8))</f>
        <v>-</v>
      </c>
      <c r="W309" s="229" cm="1">
        <f t="array" ref="W309">IF($P309="","",IF(_xlfn.XLOOKUP(Tables!$N$302,_xlfn.ANCHORARRAY('Input LwA_XYZ'!$DD$1),'Input LwA_XYZ'!DD8:DR8)="","-",_xlfn.XLOOKUP(Tables!$N$302,_xlfn.ANCHORARRAY('Input LwA_XYZ'!$DD$1),'Input LwA_XYZ'!DD8:DR8)))</f>
        <v>3</v>
      </c>
      <c r="X309" s="62">
        <f>IF($P309="","",_xlfn.XLOOKUP(Tables!$N$302,'Input LwA_XYZ'!$DU$1:$EI$1,'Input LwA_XYZ'!DU8:EI8))</f>
        <v>38.80638902956877</v>
      </c>
    </row>
    <row r="310" spans="16:24" ht="16.5" x14ac:dyDescent="0.3">
      <c r="P310" s="230">
        <f>IF(OR('Input LwA_XYZ'!A9 = 0, NOT(ISBLANK(_xlfn.XLOOKUP(Tables!N$302, 'Input LwA_XYZ'!CM$1:DA$1, 'Input LwA_XYZ'!CM9:DA9)))), "", 'Input LwA_XYZ'!A9)</f>
        <v>1</v>
      </c>
      <c r="Q310" s="225" t="str">
        <f>IF($P310="","",_xlfn.TEXTJOIN(" - ",TRUE,'Input LwA_XYZ'!B9:C9))</f>
        <v>CU-R2 - Radiated</v>
      </c>
      <c r="R310" s="231">
        <f>IF($P310="","",'Input LwA_XYZ'!Q9)</f>
        <v>81</v>
      </c>
      <c r="S310" s="227">
        <f>IF($P310="","",ROUND(_xlfn.XLOOKUP(Tables!$N$302,'Input LwA_XYZ'!$AH$1:$AV$1,'Input LwA_XYZ'!AH9:AV9),0))</f>
        <v>162</v>
      </c>
      <c r="T310" s="228">
        <f>IF($P310="","",-1*ROUND(_xlfn.XLOOKUP(Tables!$N$302,'Input LwA_XYZ'!$AY$1:$BM$1,'Input LwA_XYZ'!AY9:BM9),0))</f>
        <v>42</v>
      </c>
      <c r="U310" s="228" t="str">
        <f>IF($P310="","",IF(_xlfn.XLOOKUP(Tables!$N$302,'Input LwA_XYZ'!$BV$1:$CJ$1,'Input LwA_XYZ'!BV9:CJ9)="","-",_xlfn.XLOOKUP(Tables!$N$302,'Input LwA_XYZ'!$BV$1:$CJ$1,'Input LwA_XYZ'!BV9:CJ9)))</f>
        <v>-</v>
      </c>
      <c r="V310" s="228" t="str">
        <f>IF($P310="","",IF('Input LwA_XYZ'!S9="","-",'Input LwA_XYZ'!S9))</f>
        <v>-</v>
      </c>
      <c r="W310" s="229" t="str" cm="1">
        <f t="array" ref="W310">IF($P310="","",IF(_xlfn.XLOOKUP(Tables!$N$302,_xlfn.ANCHORARRAY('Input LwA_XYZ'!$DD$1),'Input LwA_XYZ'!DD9:DR9)="","-",_xlfn.XLOOKUP(Tables!$N$302,_xlfn.ANCHORARRAY('Input LwA_XYZ'!$DD$1),'Input LwA_XYZ'!DD9:DR9)))</f>
        <v>-</v>
      </c>
      <c r="X310" s="62">
        <f>IF($P310="","",_xlfn.XLOOKUP(Tables!$N$302,'Input LwA_XYZ'!$DU$1:$EI$1,'Input LwA_XYZ'!DU9:EI9))</f>
        <v>39.121556084721995</v>
      </c>
    </row>
    <row r="311" spans="16:24" ht="16.5" x14ac:dyDescent="0.3">
      <c r="P311" s="230">
        <f>IF(OR('Input LwA_XYZ'!A10 = 0, NOT(ISBLANK(_xlfn.XLOOKUP(Tables!N$302, 'Input LwA_XYZ'!CM$1:DA$1, 'Input LwA_XYZ'!CM10:DA10)))), "", 'Input LwA_XYZ'!A10)</f>
        <v>1</v>
      </c>
      <c r="Q311" s="225" t="str">
        <f>IF($P311="","",_xlfn.TEXTJOIN(" - ",TRUE,'Input LwA_XYZ'!B10:C10))</f>
        <v>CU-R4 - Radiated</v>
      </c>
      <c r="R311" s="231">
        <f>IF($P311="","",'Input LwA_XYZ'!Q10)</f>
        <v>73</v>
      </c>
      <c r="S311" s="227">
        <f>IF($P311="","",ROUND(_xlfn.XLOOKUP(Tables!$N$302,'Input LwA_XYZ'!$AH$1:$AV$1,'Input LwA_XYZ'!AH10:AV10),0))</f>
        <v>171</v>
      </c>
      <c r="T311" s="228">
        <f>IF($P311="","",-1*ROUND(_xlfn.XLOOKUP(Tables!$N$302,'Input LwA_XYZ'!$AY$1:$BM$1,'Input LwA_XYZ'!AY10:BM10),0))</f>
        <v>42</v>
      </c>
      <c r="U311" s="228" t="str">
        <f>IF($P311="","",IF(_xlfn.XLOOKUP(Tables!$N$302,'Input LwA_XYZ'!$BV$1:$CJ$1,'Input LwA_XYZ'!BV10:CJ10)="","-",_xlfn.XLOOKUP(Tables!$N$302,'Input LwA_XYZ'!$BV$1:$CJ$1,'Input LwA_XYZ'!BV10:CJ10)))</f>
        <v>-</v>
      </c>
      <c r="V311" s="228" t="str">
        <f>IF($P311="","",IF('Input LwA_XYZ'!S10="","-",'Input LwA_XYZ'!S10))</f>
        <v>-</v>
      </c>
      <c r="W311" s="229" t="str" cm="1">
        <f t="array" ref="W311">IF($P311="","",IF(_xlfn.XLOOKUP(Tables!$N$302,_xlfn.ANCHORARRAY('Input LwA_XYZ'!$DD$1),'Input LwA_XYZ'!DD10:DR10)="","-",_xlfn.XLOOKUP(Tables!$N$302,_xlfn.ANCHORARRAY('Input LwA_XYZ'!$DD$1),'Input LwA_XYZ'!DD10:DR10)))</f>
        <v>-</v>
      </c>
      <c r="X311" s="62">
        <f>IF($P311="","",_xlfn.XLOOKUP(Tables!$N$302,'Input LwA_XYZ'!$DU$1:$EI$1,'Input LwA_XYZ'!DU10:EI10))</f>
        <v>30.703079989063653</v>
      </c>
    </row>
    <row r="312" spans="16:24" ht="16.5" x14ac:dyDescent="0.3">
      <c r="P312" s="230">
        <f>IF(OR('Input LwA_XYZ'!A11 = 0, NOT(ISBLANK(_xlfn.XLOOKUP(Tables!N$302, 'Input LwA_XYZ'!CM$1:DA$1, 'Input LwA_XYZ'!CM11:DA11)))), "", 'Input LwA_XYZ'!A11)</f>
        <v>1</v>
      </c>
      <c r="Q312" s="225" t="str">
        <f>IF($P312="","",_xlfn.TEXTJOIN(" - ",TRUE,'Input LwA_XYZ'!B11:C11))</f>
        <v>CU-R5 - Radiated</v>
      </c>
      <c r="R312" s="231">
        <f>IF($P312="","",'Input LwA_XYZ'!Q11)</f>
        <v>75</v>
      </c>
      <c r="S312" s="227">
        <f>IF($P312="","",ROUND(_xlfn.XLOOKUP(Tables!$N$302,'Input LwA_XYZ'!$AH$1:$AV$1,'Input LwA_XYZ'!AH11:AV11),0))</f>
        <v>154</v>
      </c>
      <c r="T312" s="228">
        <f>IF($P312="","",-1*ROUND(_xlfn.XLOOKUP(Tables!$N$302,'Input LwA_XYZ'!$AY$1:$BM$1,'Input LwA_XYZ'!AY11:BM11),0))</f>
        <v>41</v>
      </c>
      <c r="U312" s="228" t="str">
        <f>IF($P312="","",IF(_xlfn.XLOOKUP(Tables!$N$302,'Input LwA_XYZ'!$BV$1:$CJ$1,'Input LwA_XYZ'!BV11:CJ11)="","-",_xlfn.XLOOKUP(Tables!$N$302,'Input LwA_XYZ'!$BV$1:$CJ$1,'Input LwA_XYZ'!BV11:CJ11)))</f>
        <v>-</v>
      </c>
      <c r="V312" s="228" t="str">
        <f>IF($P312="","",IF('Input LwA_XYZ'!S11="","-",'Input LwA_XYZ'!S11))</f>
        <v>-</v>
      </c>
      <c r="W312" s="229" t="str" cm="1">
        <f t="array" ref="W312">IF($P312="","",IF(_xlfn.XLOOKUP(Tables!$N$302,_xlfn.ANCHORARRAY('Input LwA_XYZ'!$DD$1),'Input LwA_XYZ'!DD11:DR11)="","-",_xlfn.XLOOKUP(Tables!$N$302,_xlfn.ANCHORARRAY('Input LwA_XYZ'!$DD$1),'Input LwA_XYZ'!DD11:DR11)))</f>
        <v>-</v>
      </c>
      <c r="X312" s="62">
        <f>IF($P312="","",_xlfn.XLOOKUP(Tables!$N$302,'Input LwA_XYZ'!$DU$1:$EI$1,'Input LwA_XYZ'!DU11:EI11))</f>
        <v>33.610731606605995</v>
      </c>
    </row>
    <row r="313" spans="16:24" ht="16.5" x14ac:dyDescent="0.3">
      <c r="P313" s="230">
        <f>IF(OR('Input LwA_XYZ'!A12 = 0, NOT(ISBLANK(_xlfn.XLOOKUP(Tables!N$302, 'Input LwA_XYZ'!CM$1:DA$1, 'Input LwA_XYZ'!CM12:DA12)))), "", 'Input LwA_XYZ'!A12)</f>
        <v>4</v>
      </c>
      <c r="Q313" s="225" t="str">
        <f>IF($P313="","",_xlfn.TEXTJOIN(" - ",TRUE,'Input LwA_XYZ'!B12:C12))</f>
        <v>RCU-R(4p)1 - Radiated</v>
      </c>
      <c r="R313" s="231">
        <f>IF($P313="","",'Input LwA_XYZ'!Q12)</f>
        <v>79.020599913279625</v>
      </c>
      <c r="S313" s="227">
        <f>IF($P313="","",ROUND(_xlfn.XLOOKUP(Tables!$N$302,'Input LwA_XYZ'!$AH$1:$AV$1,'Input LwA_XYZ'!AH12:AV12),0))</f>
        <v>276</v>
      </c>
      <c r="T313" s="228">
        <f>IF($P313="","",-1*ROUND(_xlfn.XLOOKUP(Tables!$N$302,'Input LwA_XYZ'!$AY$1:$BM$1,'Input LwA_XYZ'!AY12:BM12),0))</f>
        <v>46</v>
      </c>
      <c r="U313" s="228" t="str">
        <f>IF($P313="","",IF(_xlfn.XLOOKUP(Tables!$N$302,'Input LwA_XYZ'!$BV$1:$CJ$1,'Input LwA_XYZ'!BV12:CJ12)="","-",_xlfn.XLOOKUP(Tables!$N$302,'Input LwA_XYZ'!$BV$1:$CJ$1,'Input LwA_XYZ'!BV12:CJ12)))</f>
        <v>-</v>
      </c>
      <c r="V313" s="228" t="str">
        <f>IF($P313="","",IF('Input LwA_XYZ'!S12="","-",'Input LwA_XYZ'!S12))</f>
        <v>-</v>
      </c>
      <c r="W313" s="229" t="str" cm="1">
        <f t="array" ref="W313">IF($P313="","",IF(_xlfn.XLOOKUP(Tables!$N$302,_xlfn.ANCHORARRAY('Input LwA_XYZ'!$DD$1),'Input LwA_XYZ'!DD12:DR12)="","-",_xlfn.XLOOKUP(Tables!$N$302,_xlfn.ANCHORARRAY('Input LwA_XYZ'!$DD$1),'Input LwA_XYZ'!DD12:DR12)))</f>
        <v>-</v>
      </c>
      <c r="X313" s="62">
        <f>IF($P313="","",_xlfn.XLOOKUP(Tables!$N$302,'Input LwA_XYZ'!$DU$1:$EI$1,'Input LwA_XYZ'!DU12:EI12))</f>
        <v>32.546160502647822</v>
      </c>
    </row>
    <row r="314" spans="16:24" ht="16.5" x14ac:dyDescent="0.3">
      <c r="P314" s="230">
        <f>IF(OR('Input LwA_XYZ'!A13 = 0, NOT(ISBLANK(_xlfn.XLOOKUP(Tables!N$302, 'Input LwA_XYZ'!CM$1:DA$1, 'Input LwA_XYZ'!CM13:DA13)))), "", 'Input LwA_XYZ'!A13)</f>
        <v>4</v>
      </c>
      <c r="Q314" s="225" t="str">
        <f>IF($P314="","",_xlfn.TEXTJOIN(" - ",TRUE,'Input LwA_XYZ'!B13:C13))</f>
        <v>RCU-R(4p)2 - Radiated</v>
      </c>
      <c r="R314" s="231">
        <f>IF($P314="","",'Input LwA_XYZ'!Q13)</f>
        <v>79.020599913279625</v>
      </c>
      <c r="S314" s="227">
        <f>IF($P314="","",ROUND(_xlfn.XLOOKUP(Tables!$N$302,'Input LwA_XYZ'!$AH$1:$AV$1,'Input LwA_XYZ'!AH13:AV13),0))</f>
        <v>176</v>
      </c>
      <c r="T314" s="228">
        <f>IF($P314="","",-1*ROUND(_xlfn.XLOOKUP(Tables!$N$302,'Input LwA_XYZ'!$AY$1:$BM$1,'Input LwA_XYZ'!AY13:BM13),0))</f>
        <v>43</v>
      </c>
      <c r="U314" s="228" t="str">
        <f>IF($P314="","",IF(_xlfn.XLOOKUP(Tables!$N$302,'Input LwA_XYZ'!$BV$1:$CJ$1,'Input LwA_XYZ'!BV13:CJ13)="","-",_xlfn.XLOOKUP(Tables!$N$302,'Input LwA_XYZ'!$BV$1:$CJ$1,'Input LwA_XYZ'!BV13:CJ13)))</f>
        <v>-</v>
      </c>
      <c r="V314" s="228" t="str">
        <f>IF($P314="","",IF('Input LwA_XYZ'!S13="","-",'Input LwA_XYZ'!S13))</f>
        <v>-</v>
      </c>
      <c r="W314" s="229" t="str" cm="1">
        <f t="array" ref="W314">IF($P314="","",IF(_xlfn.XLOOKUP(Tables!$N$302,_xlfn.ANCHORARRAY('Input LwA_XYZ'!$DD$1),'Input LwA_XYZ'!DD13:DR13)="","-",_xlfn.XLOOKUP(Tables!$N$302,_xlfn.ANCHORARRAY('Input LwA_XYZ'!$DD$1),'Input LwA_XYZ'!DD13:DR13)))</f>
        <v>-</v>
      </c>
      <c r="X314" s="62">
        <f>IF($P314="","",_xlfn.XLOOKUP(Tables!$N$302,'Input LwA_XYZ'!$DU$1:$EI$1,'Input LwA_XYZ'!DU13:EI13))</f>
        <v>36.470125298619912</v>
      </c>
    </row>
    <row r="315" spans="16:24" ht="16.5" x14ac:dyDescent="0.3">
      <c r="P315" s="230">
        <f>IF(OR('Input LwA_XYZ'!A14 = 0, NOT(ISBLANK(_xlfn.XLOOKUP(Tables!N$302, 'Input LwA_XYZ'!CM$1:DA$1, 'Input LwA_XYZ'!CM14:DA14)))), "", 'Input LwA_XYZ'!A14)</f>
        <v>4</v>
      </c>
      <c r="Q315" s="225" t="str">
        <f>IF($P315="","",_xlfn.TEXTJOIN(" - ",TRUE,'Input LwA_XYZ'!B14:C14))</f>
        <v>RCU-R(4p)3 - Radiated</v>
      </c>
      <c r="R315" s="231">
        <f>IF($P315="","",'Input LwA_XYZ'!Q14)</f>
        <v>79.020599913279625</v>
      </c>
      <c r="S315" s="227">
        <f>IF($P315="","",ROUND(_xlfn.XLOOKUP(Tables!$N$302,'Input LwA_XYZ'!$AH$1:$AV$1,'Input LwA_XYZ'!AH14:AV14),0))</f>
        <v>182</v>
      </c>
      <c r="T315" s="228">
        <f>IF($P315="","",-1*ROUND(_xlfn.XLOOKUP(Tables!$N$302,'Input LwA_XYZ'!$AY$1:$BM$1,'Input LwA_XYZ'!AY14:BM14),0))</f>
        <v>43</v>
      </c>
      <c r="U315" s="228" t="str">
        <f>IF($P315="","",IF(_xlfn.XLOOKUP(Tables!$N$302,'Input LwA_XYZ'!$BV$1:$CJ$1,'Input LwA_XYZ'!BV14:CJ14)="","-",_xlfn.XLOOKUP(Tables!$N$302,'Input LwA_XYZ'!$BV$1:$CJ$1,'Input LwA_XYZ'!BV14:CJ14)))</f>
        <v>-</v>
      </c>
      <c r="V315" s="228" t="str">
        <f>IF($P315="","",IF('Input LwA_XYZ'!S14="","-",'Input LwA_XYZ'!S14))</f>
        <v>-</v>
      </c>
      <c r="W315" s="229" t="str" cm="1">
        <f t="array" ref="W315">IF($P315="","",IF(_xlfn.XLOOKUP(Tables!$N$302,_xlfn.ANCHORARRAY('Input LwA_XYZ'!$DD$1),'Input LwA_XYZ'!DD14:DR14)="","-",_xlfn.XLOOKUP(Tables!$N$302,_xlfn.ANCHORARRAY('Input LwA_XYZ'!$DD$1),'Input LwA_XYZ'!DD14:DR14)))</f>
        <v>-</v>
      </c>
      <c r="X315" s="62">
        <f>IF($P315="","",_xlfn.XLOOKUP(Tables!$N$302,'Input LwA_XYZ'!$DU$1:$EI$1,'Input LwA_XYZ'!DU14:EI14))</f>
        <v>36.180672242755129</v>
      </c>
    </row>
    <row r="316" spans="16:24" ht="16.5" x14ac:dyDescent="0.3">
      <c r="P316" s="230">
        <f>IF(OR('Input LwA_XYZ'!A15 = 0, NOT(ISBLANK(_xlfn.XLOOKUP(Tables!N$302, 'Input LwA_XYZ'!CM$1:DA$1, 'Input LwA_XYZ'!CM15:DA15)))), "", 'Input LwA_XYZ'!A15)</f>
        <v>2</v>
      </c>
      <c r="Q316" s="225" t="str">
        <f>IF($P316="","",_xlfn.TEXTJOIN(" - ",TRUE,'Input LwA_XYZ'!B15:C15))</f>
        <v>RCU-R(2p) - Radiated</v>
      </c>
      <c r="R316" s="231">
        <f>IF($P316="","",'Input LwA_XYZ'!Q15)</f>
        <v>76.010299956639813</v>
      </c>
      <c r="S316" s="227">
        <f>IF($P316="","",ROUND(_xlfn.XLOOKUP(Tables!$N$302,'Input LwA_XYZ'!$AH$1:$AV$1,'Input LwA_XYZ'!AH15:AV15),0))</f>
        <v>174</v>
      </c>
      <c r="T316" s="228">
        <f>IF($P316="","",-1*ROUND(_xlfn.XLOOKUP(Tables!$N$302,'Input LwA_XYZ'!$AY$1:$BM$1,'Input LwA_XYZ'!AY15:BM15),0))</f>
        <v>42</v>
      </c>
      <c r="U316" s="228" t="str">
        <f>IF($P316="","",IF(_xlfn.XLOOKUP(Tables!$N$302,'Input LwA_XYZ'!$BV$1:$CJ$1,'Input LwA_XYZ'!BV15:CJ15)="","-",_xlfn.XLOOKUP(Tables!$N$302,'Input LwA_XYZ'!$BV$1:$CJ$1,'Input LwA_XYZ'!BV15:CJ15)))</f>
        <v>-</v>
      </c>
      <c r="V316" s="228" t="str">
        <f>IF($P316="","",IF('Input LwA_XYZ'!S15="","-",'Input LwA_XYZ'!S15))</f>
        <v>-</v>
      </c>
      <c r="W316" s="229" t="str" cm="1">
        <f t="array" ref="W316">IF($P316="","",IF(_xlfn.XLOOKUP(Tables!$N$302,_xlfn.ANCHORARRAY('Input LwA_XYZ'!$DD$1),'Input LwA_XYZ'!DD15:DR15)="","-",_xlfn.XLOOKUP(Tables!$N$302,_xlfn.ANCHORARRAY('Input LwA_XYZ'!$DD$1),'Input LwA_XYZ'!DD15:DR15)))</f>
        <v>-</v>
      </c>
      <c r="X316" s="62">
        <f>IF($P316="","",_xlfn.XLOOKUP(Tables!$N$302,'Input LwA_XYZ'!$DU$1:$EI$1,'Input LwA_XYZ'!DU15:EI15))</f>
        <v>33.552055868288967</v>
      </c>
    </row>
    <row r="317" spans="16:24" ht="16.5" x14ac:dyDescent="0.3">
      <c r="P317" s="230">
        <f>IF(OR('Input LwA_XYZ'!A16 = 0, NOT(ISBLANK(_xlfn.XLOOKUP(Tables!N$302, 'Input LwA_XYZ'!CM$1:DA$1, 'Input LwA_XYZ'!CM16:DA16)))), "", 'Input LwA_XYZ'!A16)</f>
        <v>2</v>
      </c>
      <c r="Q317" s="225" t="str">
        <f>IF($P317="","",_xlfn.TEXTJOIN(" - ",TRUE,'Input LwA_XYZ'!B16:C16))</f>
        <v>RCU-R(2p)1 - Radiated</v>
      </c>
      <c r="R317" s="231">
        <f>IF($P317="","",'Input LwA_XYZ'!Q16)</f>
        <v>76.010299956639813</v>
      </c>
      <c r="S317" s="227">
        <f>IF($P317="","",ROUND(_xlfn.XLOOKUP(Tables!$N$302,'Input LwA_XYZ'!$AH$1:$AV$1,'Input LwA_XYZ'!AH16:AV16),0))</f>
        <v>159</v>
      </c>
      <c r="T317" s="228">
        <f>IF($P317="","",-1*ROUND(_xlfn.XLOOKUP(Tables!$N$302,'Input LwA_XYZ'!$AY$1:$BM$1,'Input LwA_XYZ'!AY16:BM16),0))</f>
        <v>42</v>
      </c>
      <c r="U317" s="228" t="str">
        <f>IF($P317="","",IF(_xlfn.XLOOKUP(Tables!$N$302,'Input LwA_XYZ'!$BV$1:$CJ$1,'Input LwA_XYZ'!BV16:CJ16)="","-",_xlfn.XLOOKUP(Tables!$N$302,'Input LwA_XYZ'!$BV$1:$CJ$1,'Input LwA_XYZ'!BV16:CJ16)))</f>
        <v>-</v>
      </c>
      <c r="V317" s="228" t="str">
        <f>IF($P317="","",IF('Input LwA_XYZ'!S16="","-",'Input LwA_XYZ'!S16))</f>
        <v>-</v>
      </c>
      <c r="W317" s="229" t="str" cm="1">
        <f t="array" ref="W317">IF($P317="","",IF(_xlfn.XLOOKUP(Tables!$N$302,_xlfn.ANCHORARRAY('Input LwA_XYZ'!$DD$1),'Input LwA_XYZ'!DD16:DR16)="","-",_xlfn.XLOOKUP(Tables!$N$302,_xlfn.ANCHORARRAY('Input LwA_XYZ'!$DD$1),'Input LwA_XYZ'!DD16:DR16)))</f>
        <v>-</v>
      </c>
      <c r="X317" s="62">
        <f>IF($P317="","",_xlfn.XLOOKUP(Tables!$N$302,'Input LwA_XYZ'!$DU$1:$EI$1,'Input LwA_XYZ'!DU16:EI16))</f>
        <v>34.344346464710533</v>
      </c>
    </row>
    <row r="318" spans="16:24" ht="16.5" x14ac:dyDescent="0.3">
      <c r="P318" s="230">
        <f>IF(OR('Input LwA_XYZ'!A17 = 0, NOT(ISBLANK(_xlfn.XLOOKUP(Tables!N$302, 'Input LwA_XYZ'!CM$1:DA$1, 'Input LwA_XYZ'!CM17:DA17)))), "", 'Input LwA_XYZ'!A17)</f>
        <v>4</v>
      </c>
      <c r="Q318" s="225" t="str">
        <f>IF($P318="","",_xlfn.TEXTJOIN(" - ",TRUE,'Input LwA_XYZ'!B17:C17))</f>
        <v>RCU-R(4p)4 - Radiated</v>
      </c>
      <c r="R318" s="231">
        <f>IF($P318="","",'Input LwA_XYZ'!Q17)</f>
        <v>79.020599913279625</v>
      </c>
      <c r="S318" s="227">
        <f>IF($P318="","",ROUND(_xlfn.XLOOKUP(Tables!$N$302,'Input LwA_XYZ'!$AH$1:$AV$1,'Input LwA_XYZ'!AH17:AV17),0))</f>
        <v>147</v>
      </c>
      <c r="T318" s="228">
        <f>IF($P318="","",-1*ROUND(_xlfn.XLOOKUP(Tables!$N$302,'Input LwA_XYZ'!$AY$1:$BM$1,'Input LwA_XYZ'!AY17:BM17),0))</f>
        <v>41</v>
      </c>
      <c r="U318" s="228" t="str">
        <f>IF($P318="","",IF(_xlfn.XLOOKUP(Tables!$N$302,'Input LwA_XYZ'!$BV$1:$CJ$1,'Input LwA_XYZ'!BV17:CJ17)="","-",_xlfn.XLOOKUP(Tables!$N$302,'Input LwA_XYZ'!$BV$1:$CJ$1,'Input LwA_XYZ'!BV17:CJ17)))</f>
        <v>-</v>
      </c>
      <c r="V318" s="228" t="str">
        <f>IF($P318="","",IF('Input LwA_XYZ'!S17="","-",'Input LwA_XYZ'!S17))</f>
        <v>-</v>
      </c>
      <c r="W318" s="229" t="str" cm="1">
        <f t="array" ref="W318">IF($P318="","",IF(_xlfn.XLOOKUP(Tables!$N$302,_xlfn.ANCHORARRAY('Input LwA_XYZ'!$DD$1),'Input LwA_XYZ'!DD17:DR17)="","-",_xlfn.XLOOKUP(Tables!$N$302,_xlfn.ANCHORARRAY('Input LwA_XYZ'!$DD$1),'Input LwA_XYZ'!DD17:DR17)))</f>
        <v>-</v>
      </c>
      <c r="X318" s="62">
        <f>IF($P318="","",_xlfn.XLOOKUP(Tables!$N$302,'Input LwA_XYZ'!$DU$1:$EI$1,'Input LwA_XYZ'!DU17:EI17))</f>
        <v>38.01150132642303</v>
      </c>
    </row>
    <row r="319" spans="16:24" ht="16.5" x14ac:dyDescent="0.3">
      <c r="P319" s="230">
        <f>IF(OR('Input LwA_XYZ'!A18 = 0, NOT(ISBLANK(_xlfn.XLOOKUP(Tables!N$302, 'Input LwA_XYZ'!CM$1:DA$1, 'Input LwA_XYZ'!CM18:DA18)))), "", 'Input LwA_XYZ'!A18)</f>
        <v>2</v>
      </c>
      <c r="Q319" s="225" t="str">
        <f>IF($P319="","",_xlfn.TEXTJOIN(" - ",TRUE,'Input LwA_XYZ'!B18:C18))</f>
        <v>RCU-R(2p)2 - Radiated</v>
      </c>
      <c r="R319" s="231">
        <f>IF($P319="","",'Input LwA_XYZ'!Q18)</f>
        <v>76.010299956639813</v>
      </c>
      <c r="S319" s="227">
        <f>IF($P319="","",ROUND(_xlfn.XLOOKUP(Tables!$N$302,'Input LwA_XYZ'!$AH$1:$AV$1,'Input LwA_XYZ'!AH18:AV18),0))</f>
        <v>121</v>
      </c>
      <c r="T319" s="228">
        <f>IF($P319="","",-1*ROUND(_xlfn.XLOOKUP(Tables!$N$302,'Input LwA_XYZ'!$AY$1:$BM$1,'Input LwA_XYZ'!AY18:BM18),0))</f>
        <v>39</v>
      </c>
      <c r="U319" s="228" t="str">
        <f>IF($P319="","",IF(_xlfn.XLOOKUP(Tables!$N$302,'Input LwA_XYZ'!$BV$1:$CJ$1,'Input LwA_XYZ'!BV18:CJ18)="","-",_xlfn.XLOOKUP(Tables!$N$302,'Input LwA_XYZ'!$BV$1:$CJ$1,'Input LwA_XYZ'!BV18:CJ18)))</f>
        <v>-</v>
      </c>
      <c r="V319" s="228" t="str">
        <f>IF($P319="","",IF('Input LwA_XYZ'!S18="","-",'Input LwA_XYZ'!S18))</f>
        <v>-</v>
      </c>
      <c r="W319" s="229" t="str" cm="1">
        <f t="array" ref="W319">IF($P319="","",IF(_xlfn.XLOOKUP(Tables!$N$302,_xlfn.ANCHORARRAY('Input LwA_XYZ'!$DD$1),'Input LwA_XYZ'!DD18:DR18)="","-",_xlfn.XLOOKUP(Tables!$N$302,_xlfn.ANCHORARRAY('Input LwA_XYZ'!$DD$1),'Input LwA_XYZ'!DD18:DR18)))</f>
        <v>-</v>
      </c>
      <c r="X319" s="62">
        <f>IF($P319="","",_xlfn.XLOOKUP(Tables!$N$302,'Input LwA_XYZ'!$DU$1:$EI$1,'Input LwA_XYZ'!DU18:EI18))</f>
        <v>36.679279747522031</v>
      </c>
    </row>
    <row r="320" spans="16:24" ht="16.5" x14ac:dyDescent="0.3">
      <c r="P320" s="230">
        <f>IF(OR('Input LwA_XYZ'!A19 = 0, NOT(ISBLANK(_xlfn.XLOOKUP(Tables!N$302, 'Input LwA_XYZ'!CM$1:DA$1, 'Input LwA_XYZ'!CM19:DA19)))), "", 'Input LwA_XYZ'!A19)</f>
        <v>2</v>
      </c>
      <c r="Q320" s="225" t="str">
        <f>IF($P320="","",_xlfn.TEXTJOIN(" - ",TRUE,'Input LwA_XYZ'!B19:C19))</f>
        <v>RCU-R(2p)3 - Radiated</v>
      </c>
      <c r="R320" s="231">
        <f>IF($P320="","",'Input LwA_XYZ'!Q19)</f>
        <v>76.010299956639813</v>
      </c>
      <c r="S320" s="227">
        <f>IF($P320="","",ROUND(_xlfn.XLOOKUP(Tables!$N$302,'Input LwA_XYZ'!$AH$1:$AV$1,'Input LwA_XYZ'!AH19:AV19),0))</f>
        <v>117</v>
      </c>
      <c r="T320" s="228">
        <f>IF($P320="","",-1*ROUND(_xlfn.XLOOKUP(Tables!$N$302,'Input LwA_XYZ'!$AY$1:$BM$1,'Input LwA_XYZ'!AY19:BM19),0))</f>
        <v>39</v>
      </c>
      <c r="U320" s="228" t="str">
        <f>IF($P320="","",IF(_xlfn.XLOOKUP(Tables!$N$302,'Input LwA_XYZ'!$BV$1:$CJ$1,'Input LwA_XYZ'!BV19:CJ19)="","-",_xlfn.XLOOKUP(Tables!$N$302,'Input LwA_XYZ'!$BV$1:$CJ$1,'Input LwA_XYZ'!BV19:CJ19)))</f>
        <v>-</v>
      </c>
      <c r="V320" s="228" t="str">
        <f>IF($P320="","",IF('Input LwA_XYZ'!S19="","-",'Input LwA_XYZ'!S19))</f>
        <v>-</v>
      </c>
      <c r="W320" s="229" t="str" cm="1">
        <f t="array" ref="W320">IF($P320="","",IF(_xlfn.XLOOKUP(Tables!$N$302,_xlfn.ANCHORARRAY('Input LwA_XYZ'!$DD$1),'Input LwA_XYZ'!DD19:DR19)="","-",_xlfn.XLOOKUP(Tables!$N$302,_xlfn.ANCHORARRAY('Input LwA_XYZ'!$DD$1),'Input LwA_XYZ'!DD19:DR19)))</f>
        <v>-</v>
      </c>
      <c r="X320" s="62">
        <f>IF($P320="","",_xlfn.XLOOKUP(Tables!$N$302,'Input LwA_XYZ'!$DU$1:$EI$1,'Input LwA_XYZ'!DU19:EI19))</f>
        <v>37.000277220447963</v>
      </c>
    </row>
    <row r="321" spans="16:24" ht="16.5" x14ac:dyDescent="0.3">
      <c r="P321" s="230">
        <f>IF(OR('Input LwA_XYZ'!A20 = 0, NOT(ISBLANK(_xlfn.XLOOKUP(Tables!N$302, 'Input LwA_XYZ'!CM$1:DA$1, 'Input LwA_XYZ'!CM20:DA20)))), "", 'Input LwA_XYZ'!A20)</f>
        <v>2</v>
      </c>
      <c r="Q321" s="225" t="str">
        <f>IF($P321="","",_xlfn.TEXTJOIN(" - ",TRUE,'Input LwA_XYZ'!B20:C20))</f>
        <v>RCU-R(2p)4 - Radiated</v>
      </c>
      <c r="R321" s="231">
        <f>IF($P321="","",'Input LwA_XYZ'!Q20)</f>
        <v>76.010299956639813</v>
      </c>
      <c r="S321" s="227">
        <f>IF($P321="","",ROUND(_xlfn.XLOOKUP(Tables!$N$302,'Input LwA_XYZ'!$AH$1:$AV$1,'Input LwA_XYZ'!AH20:AV20),0))</f>
        <v>128</v>
      </c>
      <c r="T321" s="228">
        <f>IF($P321="","",-1*ROUND(_xlfn.XLOOKUP(Tables!$N$302,'Input LwA_XYZ'!$AY$1:$BM$1,'Input LwA_XYZ'!AY20:BM20),0))</f>
        <v>40</v>
      </c>
      <c r="U321" s="228" t="str">
        <f>IF($P321="","",IF(_xlfn.XLOOKUP(Tables!$N$302,'Input LwA_XYZ'!$BV$1:$CJ$1,'Input LwA_XYZ'!BV20:CJ20)="","-",_xlfn.XLOOKUP(Tables!$N$302,'Input LwA_XYZ'!$BV$1:$CJ$1,'Input LwA_XYZ'!BV20:CJ20)))</f>
        <v>-</v>
      </c>
      <c r="V321" s="228" t="str">
        <f>IF($P321="","",IF('Input LwA_XYZ'!S20="","-",'Input LwA_XYZ'!S20))</f>
        <v>-</v>
      </c>
      <c r="W321" s="229" t="str" cm="1">
        <f t="array" ref="W321">IF($P321="","",IF(_xlfn.XLOOKUP(Tables!$N$302,_xlfn.ANCHORARRAY('Input LwA_XYZ'!$DD$1),'Input LwA_XYZ'!DD20:DR20)="","-",_xlfn.XLOOKUP(Tables!$N$302,_xlfn.ANCHORARRAY('Input LwA_XYZ'!$DD$1),'Input LwA_XYZ'!DD20:DR20)))</f>
        <v>-</v>
      </c>
      <c r="X321" s="62">
        <f>IF($P321="","",_xlfn.XLOOKUP(Tables!$N$302,'Input LwA_XYZ'!$DU$1:$EI$1,'Input LwA_XYZ'!DU20:EI20))</f>
        <v>36.209026372023011</v>
      </c>
    </row>
    <row r="322" spans="16:24" ht="16.5" x14ac:dyDescent="0.3">
      <c r="P322" s="230">
        <f>IF(OR('Input LwA_XYZ'!A21 = 0, NOT(ISBLANK(_xlfn.XLOOKUP(Tables!N$302, 'Input LwA_XYZ'!CM$1:DA$1, 'Input LwA_XYZ'!CM21:DA21)))), "", 'Input LwA_XYZ'!A21)</f>
        <v>2</v>
      </c>
      <c r="Q322" s="225" t="str">
        <f>IF($P322="","",_xlfn.TEXTJOIN(" - ",TRUE,'Input LwA_XYZ'!B21:C21))</f>
        <v>RCU-R(2p)5 - Radiated</v>
      </c>
      <c r="R322" s="231">
        <f>IF($P322="","",'Input LwA_XYZ'!Q21)</f>
        <v>76.010299956639813</v>
      </c>
      <c r="S322" s="227">
        <f>IF($P322="","",ROUND(_xlfn.XLOOKUP(Tables!$N$302,'Input LwA_XYZ'!$AH$1:$AV$1,'Input LwA_XYZ'!AH21:AV21),0))</f>
        <v>141</v>
      </c>
      <c r="T322" s="228">
        <f>IF($P322="","",-1*ROUND(_xlfn.XLOOKUP(Tables!$N$302,'Input LwA_XYZ'!$AY$1:$BM$1,'Input LwA_XYZ'!AY21:BM21),0))</f>
        <v>41</v>
      </c>
      <c r="U322" s="228" t="str">
        <f>IF($P322="","",IF(_xlfn.XLOOKUP(Tables!$N$302,'Input LwA_XYZ'!$BV$1:$CJ$1,'Input LwA_XYZ'!BV21:CJ21)="","-",_xlfn.XLOOKUP(Tables!$N$302,'Input LwA_XYZ'!$BV$1:$CJ$1,'Input LwA_XYZ'!BV21:CJ21)))</f>
        <v>-</v>
      </c>
      <c r="V322" s="228" t="str">
        <f>IF($P322="","",IF('Input LwA_XYZ'!S21="","-",'Input LwA_XYZ'!S21))</f>
        <v>-</v>
      </c>
      <c r="W322" s="229" t="str" cm="1">
        <f t="array" ref="W322">IF($P322="","",IF(_xlfn.XLOOKUP(Tables!$N$302,_xlfn.ANCHORARRAY('Input LwA_XYZ'!$DD$1),'Input LwA_XYZ'!DD21:DR21)="","-",_xlfn.XLOOKUP(Tables!$N$302,_xlfn.ANCHORARRAY('Input LwA_XYZ'!$DD$1),'Input LwA_XYZ'!DD21:DR21)))</f>
        <v>-</v>
      </c>
      <c r="X322" s="62">
        <f>IF($P322="","",_xlfn.XLOOKUP(Tables!$N$302,'Input LwA_XYZ'!$DU$1:$EI$1,'Input LwA_XYZ'!DU21:EI21))</f>
        <v>35.365198713738685</v>
      </c>
    </row>
    <row r="323" spans="16:24" ht="16.5" x14ac:dyDescent="0.3">
      <c r="P323" s="230">
        <f>IF(OR('Input LwA_XYZ'!A22 = 0, NOT(ISBLANK(_xlfn.XLOOKUP(Tables!N$302, 'Input LwA_XYZ'!CM$1:DA$1, 'Input LwA_XYZ'!CM22:DA22)))), "", 'Input LwA_XYZ'!A22)</f>
        <v>2</v>
      </c>
      <c r="Q323" s="225" t="str">
        <f>IF($P323="","",_xlfn.TEXTJOIN(" - ",TRUE,'Input LwA_XYZ'!B22:C22))</f>
        <v>RCU-R(2p)6 - Radiated</v>
      </c>
      <c r="R323" s="231">
        <f>IF($P323="","",'Input LwA_XYZ'!Q22)</f>
        <v>76.010299956639813</v>
      </c>
      <c r="S323" s="227">
        <f>IF($P323="","",ROUND(_xlfn.XLOOKUP(Tables!$N$302,'Input LwA_XYZ'!$AH$1:$AV$1,'Input LwA_XYZ'!AH22:AV22),0))</f>
        <v>156</v>
      </c>
      <c r="T323" s="228">
        <f>IF($P323="","",-1*ROUND(_xlfn.XLOOKUP(Tables!$N$302,'Input LwA_XYZ'!$AY$1:$BM$1,'Input LwA_XYZ'!AY22:BM22),0))</f>
        <v>42</v>
      </c>
      <c r="U323" s="228" t="str">
        <f>IF($P323="","",IF(_xlfn.XLOOKUP(Tables!$N$302,'Input LwA_XYZ'!$BV$1:$CJ$1,'Input LwA_XYZ'!BV22:CJ22)="","-",_xlfn.XLOOKUP(Tables!$N$302,'Input LwA_XYZ'!$BV$1:$CJ$1,'Input LwA_XYZ'!BV22:CJ22)))</f>
        <v>-</v>
      </c>
      <c r="V323" s="228" t="str">
        <f>IF($P323="","",IF('Input LwA_XYZ'!S22="","-",'Input LwA_XYZ'!S22))</f>
        <v>-</v>
      </c>
      <c r="W323" s="229" t="str" cm="1">
        <f t="array" ref="W323">IF($P323="","",IF(_xlfn.XLOOKUP(Tables!$N$302,_xlfn.ANCHORARRAY('Input LwA_XYZ'!$DD$1),'Input LwA_XYZ'!DD22:DR22)="","-",_xlfn.XLOOKUP(Tables!$N$302,_xlfn.ANCHORARRAY('Input LwA_XYZ'!$DD$1),'Input LwA_XYZ'!DD22:DR22)))</f>
        <v>-</v>
      </c>
      <c r="X323" s="62">
        <f>IF($P323="","",_xlfn.XLOOKUP(Tables!$N$302,'Input LwA_XYZ'!$DU$1:$EI$1,'Input LwA_XYZ'!DU22:EI22))</f>
        <v>34.50571739180527</v>
      </c>
    </row>
    <row r="324" spans="16:24" ht="16.5" x14ac:dyDescent="0.3">
      <c r="P324" s="230">
        <f>IF(OR('Input LwA_XYZ'!A23 = 0, NOT(ISBLANK(_xlfn.XLOOKUP(Tables!N$302, 'Input LwA_XYZ'!CM$1:DA$1, 'Input LwA_XYZ'!CM23:DA23)))), "", 'Input LwA_XYZ'!A23)</f>
        <v>1</v>
      </c>
      <c r="Q324" s="225" t="str">
        <f>IF($P324="","",_xlfn.TEXTJOIN(" - ",TRUE,'Input LwA_XYZ'!B23:C23))</f>
        <v>BEF-R01  - Inlet</v>
      </c>
      <c r="R324" s="231">
        <f>IF($P324="","",'Input LwA_XYZ'!Q23)</f>
        <v>57</v>
      </c>
      <c r="S324" s="227">
        <f>IF($P324="","",ROUND(_xlfn.XLOOKUP(Tables!$N$302,'Input LwA_XYZ'!$AH$1:$AV$1,'Input LwA_XYZ'!AH23:AV23),0))</f>
        <v>140</v>
      </c>
      <c r="T324" s="228">
        <f>IF($P324="","",-1*ROUND(_xlfn.XLOOKUP(Tables!$N$302,'Input LwA_XYZ'!$AY$1:$BM$1,'Input LwA_XYZ'!AY23:BM23),0))</f>
        <v>41</v>
      </c>
      <c r="U324" s="228" t="str">
        <f>IF($P324="","",IF(_xlfn.XLOOKUP(Tables!$N$302,'Input LwA_XYZ'!$BV$1:$CJ$1,'Input LwA_XYZ'!BV23:CJ23)="","-",_xlfn.XLOOKUP(Tables!$N$302,'Input LwA_XYZ'!$BV$1:$CJ$1,'Input LwA_XYZ'!BV23:CJ23)))</f>
        <v>-</v>
      </c>
      <c r="V324" s="228" t="str">
        <f>IF($P324="","",IF('Input LwA_XYZ'!S23="","-",'Input LwA_XYZ'!S23))</f>
        <v>-</v>
      </c>
      <c r="W324" s="229" t="str" cm="1">
        <f t="array" ref="W324">IF($P324="","",IF(_xlfn.XLOOKUP(Tables!$N$302,_xlfn.ANCHORARRAY('Input LwA_XYZ'!$DD$1),'Input LwA_XYZ'!DD23:DR23)="","-",_xlfn.XLOOKUP(Tables!$N$302,_xlfn.ANCHORARRAY('Input LwA_XYZ'!$DD$1),'Input LwA_XYZ'!DD23:DR23)))</f>
        <v>-</v>
      </c>
      <c r="X324" s="62">
        <f>IF($P324="","",_xlfn.XLOOKUP(Tables!$N$302,'Input LwA_XYZ'!$DU$1:$EI$1,'Input LwA_XYZ'!DU23:EI23))</f>
        <v>16.436653601528917</v>
      </c>
    </row>
    <row r="325" spans="16:24" ht="16.5" x14ac:dyDescent="0.3">
      <c r="P325" s="230">
        <f>IF(OR('Input LwA_XYZ'!A24 = 0, NOT(ISBLANK(_xlfn.XLOOKUP(Tables!N$302, 'Input LwA_XYZ'!CM$1:DA$1, 'Input LwA_XYZ'!CM24:DA24)))), "", 'Input LwA_XYZ'!A24)</f>
        <v>1</v>
      </c>
      <c r="Q325" s="225" t="str">
        <f>IF($P325="","",_xlfn.TEXTJOIN(" - ",TRUE,'Input LwA_XYZ'!B24:C24))</f>
        <v>BEF-R02  - Inlet</v>
      </c>
      <c r="R325" s="231">
        <f>IF($P325="","",'Input LwA_XYZ'!Q24)</f>
        <v>66</v>
      </c>
      <c r="S325" s="227">
        <f>IF($P325="","",ROUND(_xlfn.XLOOKUP(Tables!$N$302,'Input LwA_XYZ'!$AH$1:$AV$1,'Input LwA_XYZ'!AH24:AV24),0))</f>
        <v>143</v>
      </c>
      <c r="T325" s="228">
        <f>IF($P325="","",-1*ROUND(_xlfn.XLOOKUP(Tables!$N$302,'Input LwA_XYZ'!$AY$1:$BM$1,'Input LwA_XYZ'!AY24:BM24),0))</f>
        <v>41</v>
      </c>
      <c r="U325" s="228" t="str">
        <f>IF($P325="","",IF(_xlfn.XLOOKUP(Tables!$N$302,'Input LwA_XYZ'!$BV$1:$CJ$1,'Input LwA_XYZ'!BV24:CJ24)="","-",_xlfn.XLOOKUP(Tables!$N$302,'Input LwA_XYZ'!$BV$1:$CJ$1,'Input LwA_XYZ'!BV24:CJ24)))</f>
        <v>-</v>
      </c>
      <c r="V325" s="228" t="str">
        <f>IF($P325="","",IF('Input LwA_XYZ'!S24="","-",'Input LwA_XYZ'!S24))</f>
        <v>-</v>
      </c>
      <c r="W325" s="229" t="str" cm="1">
        <f t="array" ref="W325">IF($P325="","",IF(_xlfn.XLOOKUP(Tables!$N$302,_xlfn.ANCHORARRAY('Input LwA_XYZ'!$DD$1),'Input LwA_XYZ'!DD24:DR24)="","-",_xlfn.XLOOKUP(Tables!$N$302,_xlfn.ANCHORARRAY('Input LwA_XYZ'!$DD$1),'Input LwA_XYZ'!DD24:DR24)))</f>
        <v>-</v>
      </c>
      <c r="X325" s="62">
        <f>IF($P325="","",_xlfn.XLOOKUP(Tables!$N$302,'Input LwA_XYZ'!$DU$1:$EI$1,'Input LwA_XYZ'!DU24:EI24))</f>
        <v>25.215865686501289</v>
      </c>
    </row>
    <row r="326" spans="16:24" ht="16.5" x14ac:dyDescent="0.3">
      <c r="P326" s="230">
        <f>IF(OR('Input LwA_XYZ'!A25 = 0, NOT(ISBLANK(_xlfn.XLOOKUP(Tables!N$302, 'Input LwA_XYZ'!CM$1:DA$1, 'Input LwA_XYZ'!CM25:DA25)))), "", 'Input LwA_XYZ'!A25)</f>
        <v>1</v>
      </c>
      <c r="Q326" s="225" t="str">
        <f>IF($P326="","",_xlfn.TEXTJOIN(" - ",TRUE,'Input LwA_XYZ'!B25:C25))</f>
        <v>BEF-R03  - Inlet</v>
      </c>
      <c r="R326" s="231">
        <f>IF($P326="","",'Input LwA_XYZ'!Q25)</f>
        <v>66</v>
      </c>
      <c r="S326" s="227">
        <f>IF($P326="","",ROUND(_xlfn.XLOOKUP(Tables!$N$302,'Input LwA_XYZ'!$AH$1:$AV$1,'Input LwA_XYZ'!AH25:AV25),0))</f>
        <v>154</v>
      </c>
      <c r="T326" s="228">
        <f>IF($P326="","",-1*ROUND(_xlfn.XLOOKUP(Tables!$N$302,'Input LwA_XYZ'!$AY$1:$BM$1,'Input LwA_XYZ'!AY25:BM25),0))</f>
        <v>41</v>
      </c>
      <c r="U326" s="228" t="str">
        <f>IF($P326="","",IF(_xlfn.XLOOKUP(Tables!$N$302,'Input LwA_XYZ'!$BV$1:$CJ$1,'Input LwA_XYZ'!BV25:CJ25)="","-",_xlfn.XLOOKUP(Tables!$N$302,'Input LwA_XYZ'!$BV$1:$CJ$1,'Input LwA_XYZ'!BV25:CJ25)))</f>
        <v>-</v>
      </c>
      <c r="V326" s="228" t="str">
        <f>IF($P326="","",IF('Input LwA_XYZ'!S25="","-",'Input LwA_XYZ'!S25))</f>
        <v>-</v>
      </c>
      <c r="W326" s="229" t="str" cm="1">
        <f t="array" ref="W326">IF($P326="","",IF(_xlfn.XLOOKUP(Tables!$N$302,_xlfn.ANCHORARRAY('Input LwA_XYZ'!$DD$1),'Input LwA_XYZ'!DD25:DR25)="","-",_xlfn.XLOOKUP(Tables!$N$302,_xlfn.ANCHORARRAY('Input LwA_XYZ'!$DD$1),'Input LwA_XYZ'!DD25:DR25)))</f>
        <v>-</v>
      </c>
      <c r="X326" s="62">
        <f>IF($P326="","",_xlfn.XLOOKUP(Tables!$N$302,'Input LwA_XYZ'!$DU$1:$EI$1,'Input LwA_XYZ'!DU25:EI25))</f>
        <v>24.608499935138489</v>
      </c>
    </row>
    <row r="327" spans="16:24" ht="16.5" x14ac:dyDescent="0.3">
      <c r="P327" s="230">
        <f>IF(OR('Input LwA_XYZ'!A26 = 0, NOT(ISBLANK(_xlfn.XLOOKUP(Tables!N$302, 'Input LwA_XYZ'!CM$1:DA$1, 'Input LwA_XYZ'!CM26:DA26)))), "", 'Input LwA_XYZ'!A26)</f>
        <v>1</v>
      </c>
      <c r="Q327" s="225" t="str">
        <f>IF($P327="","",_xlfn.TEXTJOIN(" - ",TRUE,'Input LwA_XYZ'!B26:C26))</f>
        <v>BEF-R04  - Inlet</v>
      </c>
      <c r="R327" s="231">
        <f>IF($P327="","",'Input LwA_XYZ'!Q26)</f>
        <v>66</v>
      </c>
      <c r="S327" s="227">
        <f>IF($P327="","",ROUND(_xlfn.XLOOKUP(Tables!$N$302,'Input LwA_XYZ'!$AH$1:$AV$1,'Input LwA_XYZ'!AH26:AV26),0))</f>
        <v>165</v>
      </c>
      <c r="T327" s="228">
        <f>IF($P327="","",-1*ROUND(_xlfn.XLOOKUP(Tables!$N$302,'Input LwA_XYZ'!$AY$1:$BM$1,'Input LwA_XYZ'!AY26:BM26),0))</f>
        <v>42</v>
      </c>
      <c r="U327" s="228" t="str">
        <f>IF($P327="","",IF(_xlfn.XLOOKUP(Tables!$N$302,'Input LwA_XYZ'!$BV$1:$CJ$1,'Input LwA_XYZ'!BV26:CJ26)="","-",_xlfn.XLOOKUP(Tables!$N$302,'Input LwA_XYZ'!$BV$1:$CJ$1,'Input LwA_XYZ'!BV26:CJ26)))</f>
        <v>-</v>
      </c>
      <c r="V327" s="228" t="str">
        <f>IF($P327="","",IF('Input LwA_XYZ'!S26="","-",'Input LwA_XYZ'!S26))</f>
        <v>-</v>
      </c>
      <c r="W327" s="229" t="str" cm="1">
        <f t="array" ref="W327">IF($P327="","",IF(_xlfn.XLOOKUP(Tables!$N$302,_xlfn.ANCHORARRAY('Input LwA_XYZ'!$DD$1),'Input LwA_XYZ'!DD26:DR26)="","-",_xlfn.XLOOKUP(Tables!$N$302,_xlfn.ANCHORARRAY('Input LwA_XYZ'!$DD$1),'Input LwA_XYZ'!DD26:DR26)))</f>
        <v>-</v>
      </c>
      <c r="X327" s="62">
        <f>IF($P327="","",_xlfn.XLOOKUP(Tables!$N$302,'Input LwA_XYZ'!$DU$1:$EI$1,'Input LwA_XYZ'!DU26:EI26))</f>
        <v>23.972131934914714</v>
      </c>
    </row>
    <row r="328" spans="16:24" ht="16.5" x14ac:dyDescent="0.3">
      <c r="P328" s="230">
        <f>IF(OR('Input LwA_XYZ'!A27 = 0, NOT(ISBLANK(_xlfn.XLOOKUP(Tables!N$302, 'Input LwA_XYZ'!CM$1:DA$1, 'Input LwA_XYZ'!CM27:DA27)))), "", 'Input LwA_XYZ'!A27)</f>
        <v>1</v>
      </c>
      <c r="Q328" s="225" t="str">
        <f>IF($P328="","",_xlfn.TEXTJOIN(" - ",TRUE,'Input LwA_XYZ'!B27:C27))</f>
        <v>BEF-R05  - Inlet</v>
      </c>
      <c r="R328" s="231">
        <f>IF($P328="","",'Input LwA_XYZ'!Q27)</f>
        <v>66</v>
      </c>
      <c r="S328" s="227">
        <f>IF($P328="","",ROUND(_xlfn.XLOOKUP(Tables!$N$302,'Input LwA_XYZ'!$AH$1:$AV$1,'Input LwA_XYZ'!AH27:AV27),0))</f>
        <v>205</v>
      </c>
      <c r="T328" s="228">
        <f>IF($P328="","",-1*ROUND(_xlfn.XLOOKUP(Tables!$N$302,'Input LwA_XYZ'!$AY$1:$BM$1,'Input LwA_XYZ'!AY27:BM27),0))</f>
        <v>44</v>
      </c>
      <c r="U328" s="228" t="str">
        <f>IF($P328="","",IF(_xlfn.XLOOKUP(Tables!$N$302,'Input LwA_XYZ'!$BV$1:$CJ$1,'Input LwA_XYZ'!BV27:CJ27)="","-",_xlfn.XLOOKUP(Tables!$N$302,'Input LwA_XYZ'!$BV$1:$CJ$1,'Input LwA_XYZ'!BV27:CJ27)))</f>
        <v>-</v>
      </c>
      <c r="V328" s="228" t="str">
        <f>IF($P328="","",IF('Input LwA_XYZ'!S27="","-",'Input LwA_XYZ'!S27))</f>
        <v>-</v>
      </c>
      <c r="W328" s="229" t="str" cm="1">
        <f t="array" ref="W328">IF($P328="","",IF(_xlfn.XLOOKUP(Tables!$N$302,_xlfn.ANCHORARRAY('Input LwA_XYZ'!$DD$1),'Input LwA_XYZ'!DD27:DR27)="","-",_xlfn.XLOOKUP(Tables!$N$302,_xlfn.ANCHORARRAY('Input LwA_XYZ'!$DD$1),'Input LwA_XYZ'!DD27:DR27)))</f>
        <v>-</v>
      </c>
      <c r="X328" s="62">
        <f>IF($P328="","",_xlfn.XLOOKUP(Tables!$N$302,'Input LwA_XYZ'!$DU$1:$EI$1,'Input LwA_XYZ'!DU27:EI27))</f>
        <v>22.113983310842677</v>
      </c>
    </row>
    <row r="329" spans="16:24" ht="16.5" x14ac:dyDescent="0.3">
      <c r="P329" s="230">
        <f>IF(OR('Input LwA_XYZ'!A28 = 0, NOT(ISBLANK(_xlfn.XLOOKUP(Tables!N$302, 'Input LwA_XYZ'!CM$1:DA$1, 'Input LwA_XYZ'!CM28:DA28)))), "", 'Input LwA_XYZ'!A28)</f>
        <v>1</v>
      </c>
      <c r="Q329" s="225" t="str">
        <f>IF($P329="","",_xlfn.TEXTJOIN(" - ",TRUE,'Input LwA_XYZ'!B28:C28))</f>
        <v>BEF-R06  - Inlet</v>
      </c>
      <c r="R329" s="231">
        <f>IF($P329="","",'Input LwA_XYZ'!Q28)</f>
        <v>66</v>
      </c>
      <c r="S329" s="227">
        <f>IF($P329="","",ROUND(_xlfn.XLOOKUP(Tables!$N$302,'Input LwA_XYZ'!$AH$1:$AV$1,'Input LwA_XYZ'!AH28:AV28),0))</f>
        <v>227</v>
      </c>
      <c r="T329" s="228">
        <f>IF($P329="","",-1*ROUND(_xlfn.XLOOKUP(Tables!$N$302,'Input LwA_XYZ'!$AY$1:$BM$1,'Input LwA_XYZ'!AY28:BM28),0))</f>
        <v>45</v>
      </c>
      <c r="U329" s="228" t="str">
        <f>IF($P329="","",IF(_xlfn.XLOOKUP(Tables!$N$302,'Input LwA_XYZ'!$BV$1:$CJ$1,'Input LwA_XYZ'!BV28:CJ28)="","-",_xlfn.XLOOKUP(Tables!$N$302,'Input LwA_XYZ'!$BV$1:$CJ$1,'Input LwA_XYZ'!BV28:CJ28)))</f>
        <v>-</v>
      </c>
      <c r="V329" s="228" t="str">
        <f>IF($P329="","",IF('Input LwA_XYZ'!S28="","-",'Input LwA_XYZ'!S28))</f>
        <v>-</v>
      </c>
      <c r="W329" s="229" t="str" cm="1">
        <f t="array" ref="W329">IF($P329="","",IF(_xlfn.XLOOKUP(Tables!$N$302,_xlfn.ANCHORARRAY('Input LwA_XYZ'!$DD$1),'Input LwA_XYZ'!DD28:DR28)="","-",_xlfn.XLOOKUP(Tables!$N$302,_xlfn.ANCHORARRAY('Input LwA_XYZ'!$DD$1),'Input LwA_XYZ'!DD28:DR28)))</f>
        <v>-</v>
      </c>
      <c r="X329" s="62">
        <f>IF($P329="","",_xlfn.XLOOKUP(Tables!$N$302,'Input LwA_XYZ'!$DU$1:$EI$1,'Input LwA_XYZ'!DU28:EI28))</f>
        <v>21.198322166719578</v>
      </c>
    </row>
    <row r="330" spans="16:24" ht="16.5" x14ac:dyDescent="0.3">
      <c r="P330" s="230">
        <f>IF(OR('Input LwA_XYZ'!A29 = 0, NOT(ISBLANK(_xlfn.XLOOKUP(Tables!N$302, 'Input LwA_XYZ'!CM$1:DA$1, 'Input LwA_XYZ'!CM29:DA29)))), "", 'Input LwA_XYZ'!A29)</f>
        <v>1</v>
      </c>
      <c r="Q330" s="225" t="str">
        <f>IF($P330="","",_xlfn.TEXTJOIN(" - ",TRUE,'Input LwA_XYZ'!B29:C29))</f>
        <v>BEF-R07  - Inlet</v>
      </c>
      <c r="R330" s="231">
        <f>IF($P330="","",'Input LwA_XYZ'!Q29)</f>
        <v>57</v>
      </c>
      <c r="S330" s="227">
        <f>IF($P330="","",ROUND(_xlfn.XLOOKUP(Tables!$N$302,'Input LwA_XYZ'!$AH$1:$AV$1,'Input LwA_XYZ'!AH29:AV29),0))</f>
        <v>250</v>
      </c>
      <c r="T330" s="228">
        <f>IF($P330="","",-1*ROUND(_xlfn.XLOOKUP(Tables!$N$302,'Input LwA_XYZ'!$AY$1:$BM$1,'Input LwA_XYZ'!AY29:BM29),0))</f>
        <v>46</v>
      </c>
      <c r="U330" s="228" t="str">
        <f>IF($P330="","",IF(_xlfn.XLOOKUP(Tables!$N$302,'Input LwA_XYZ'!$BV$1:$CJ$1,'Input LwA_XYZ'!BV29:CJ29)="","-",_xlfn.XLOOKUP(Tables!$N$302,'Input LwA_XYZ'!$BV$1:$CJ$1,'Input LwA_XYZ'!BV29:CJ29)))</f>
        <v>-</v>
      </c>
      <c r="V330" s="228" t="str">
        <f>IF($P330="","",IF('Input LwA_XYZ'!S29="","-",'Input LwA_XYZ'!S29))</f>
        <v>-</v>
      </c>
      <c r="W330" s="229" t="str" cm="1">
        <f t="array" ref="W330">IF($P330="","",IF(_xlfn.XLOOKUP(Tables!$N$302,_xlfn.ANCHORARRAY('Input LwA_XYZ'!$DD$1),'Input LwA_XYZ'!DD29:DR29)="","-",_xlfn.XLOOKUP(Tables!$N$302,_xlfn.ANCHORARRAY('Input LwA_XYZ'!$DD$1),'Input LwA_XYZ'!DD29:DR29)))</f>
        <v>-</v>
      </c>
      <c r="X330" s="62">
        <f>IF($P330="","",_xlfn.XLOOKUP(Tables!$N$302,'Input LwA_XYZ'!$DU$1:$EI$1,'Input LwA_XYZ'!DU29:EI29))</f>
        <v>11.387616364031892</v>
      </c>
    </row>
    <row r="331" spans="16:24" ht="16.5" x14ac:dyDescent="0.3">
      <c r="P331" s="230">
        <f>IF(OR('Input LwA_XYZ'!A30 = 0, NOT(ISBLANK(_xlfn.XLOOKUP(Tables!N$302, 'Input LwA_XYZ'!CM$1:DA$1, 'Input LwA_XYZ'!CM30:DA30)))), "", 'Input LwA_XYZ'!A30)</f>
        <v>1</v>
      </c>
      <c r="Q331" s="225" t="str">
        <f>IF($P331="","",_xlfn.TEXTJOIN(" - ",TRUE,'Input LwA_XYZ'!B30:C30))</f>
        <v>BEF-R08  - Inlet</v>
      </c>
      <c r="R331" s="231">
        <f>IF($P331="","",'Input LwA_XYZ'!Q30)</f>
        <v>57</v>
      </c>
      <c r="S331" s="227">
        <f>IF($P331="","",ROUND(_xlfn.XLOOKUP(Tables!$N$302,'Input LwA_XYZ'!$AH$1:$AV$1,'Input LwA_XYZ'!AH30:AV30),0))</f>
        <v>273</v>
      </c>
      <c r="T331" s="228">
        <f>IF($P331="","",-1*ROUND(_xlfn.XLOOKUP(Tables!$N$302,'Input LwA_XYZ'!$AY$1:$BM$1,'Input LwA_XYZ'!AY30:BM30),0))</f>
        <v>46</v>
      </c>
      <c r="U331" s="228" t="str">
        <f>IF($P331="","",IF(_xlfn.XLOOKUP(Tables!$N$302,'Input LwA_XYZ'!$BV$1:$CJ$1,'Input LwA_XYZ'!BV30:CJ30)="","-",_xlfn.XLOOKUP(Tables!$N$302,'Input LwA_XYZ'!$BV$1:$CJ$1,'Input LwA_XYZ'!BV30:CJ30)))</f>
        <v>-</v>
      </c>
      <c r="V331" s="228" t="str">
        <f>IF($P331="","",IF('Input LwA_XYZ'!S30="","-",'Input LwA_XYZ'!S30))</f>
        <v>-</v>
      </c>
      <c r="W331" s="229" t="str" cm="1">
        <f t="array" ref="W331">IF($P331="","",IF(_xlfn.XLOOKUP(Tables!$N$302,_xlfn.ANCHORARRAY('Input LwA_XYZ'!$DD$1),'Input LwA_XYZ'!DD30:DR30)="","-",_xlfn.XLOOKUP(Tables!$N$302,_xlfn.ANCHORARRAY('Input LwA_XYZ'!$DD$1),'Input LwA_XYZ'!DD30:DR30)))</f>
        <v>-</v>
      </c>
      <c r="X331" s="62">
        <f>IF($P331="","",_xlfn.XLOOKUP(Tables!$N$302,'Input LwA_XYZ'!$DU$1:$EI$1,'Input LwA_XYZ'!DU30:EI30))</f>
        <v>10.599983054567275</v>
      </c>
    </row>
    <row r="332" spans="16:24" ht="16.5" x14ac:dyDescent="0.3">
      <c r="P332" s="230">
        <f>IF(OR('Input LwA_XYZ'!A31 = 0, NOT(ISBLANK(_xlfn.XLOOKUP(Tables!N$302, 'Input LwA_XYZ'!CM$1:DA$1, 'Input LwA_XYZ'!CM31:DA31)))), "", 'Input LwA_XYZ'!A31)</f>
        <v>1</v>
      </c>
      <c r="Q332" s="225" t="str">
        <f>IF($P332="","",_xlfn.TEXTJOIN(" - ",TRUE,'Input LwA_XYZ'!B31:C31))</f>
        <v>BEF-R09  - Inlet</v>
      </c>
      <c r="R332" s="231">
        <f>IF($P332="","",'Input LwA_XYZ'!Q31)</f>
        <v>66</v>
      </c>
      <c r="S332" s="227">
        <f>IF($P332="","",ROUND(_xlfn.XLOOKUP(Tables!$N$302,'Input LwA_XYZ'!$AH$1:$AV$1,'Input LwA_XYZ'!AH31:AV31),0))</f>
        <v>255</v>
      </c>
      <c r="T332" s="228">
        <f>IF($P332="","",-1*ROUND(_xlfn.XLOOKUP(Tables!$N$302,'Input LwA_XYZ'!$AY$1:$BM$1,'Input LwA_XYZ'!AY31:BM31),0))</f>
        <v>46</v>
      </c>
      <c r="U332" s="228" t="str">
        <f>IF($P332="","",IF(_xlfn.XLOOKUP(Tables!$N$302,'Input LwA_XYZ'!$BV$1:$CJ$1,'Input LwA_XYZ'!BV31:CJ31)="","-",_xlfn.XLOOKUP(Tables!$N$302,'Input LwA_XYZ'!$BV$1:$CJ$1,'Input LwA_XYZ'!BV31:CJ31)))</f>
        <v>-</v>
      </c>
      <c r="V332" s="228" t="str">
        <f>IF($P332="","",IF('Input LwA_XYZ'!S31="","-",'Input LwA_XYZ'!S31))</f>
        <v>-</v>
      </c>
      <c r="W332" s="229" t="str" cm="1">
        <f t="array" ref="W332">IF($P332="","",IF(_xlfn.XLOOKUP(Tables!$N$302,_xlfn.ANCHORARRAY('Input LwA_XYZ'!$DD$1),'Input LwA_XYZ'!DD31:DR31)="","-",_xlfn.XLOOKUP(Tables!$N$302,_xlfn.ANCHORARRAY('Input LwA_XYZ'!$DD$1),'Input LwA_XYZ'!DD31:DR31)))</f>
        <v>-</v>
      </c>
      <c r="X332" s="62">
        <f>IF($P332="","",_xlfn.XLOOKUP(Tables!$N$302,'Input LwA_XYZ'!$DU$1:$EI$1,'Input LwA_XYZ'!DU31:EI31))</f>
        <v>20.199842000914622</v>
      </c>
    </row>
    <row r="333" spans="16:24" ht="16.5" x14ac:dyDescent="0.3">
      <c r="P333" s="230">
        <f>IF(OR('Input LwA_XYZ'!A32 = 0, NOT(ISBLANK(_xlfn.XLOOKUP(Tables!N$302, 'Input LwA_XYZ'!CM$1:DA$1, 'Input LwA_XYZ'!CM32:DA32)))), "", 'Input LwA_XYZ'!A32)</f>
        <v>1</v>
      </c>
      <c r="Q333" s="225" t="str">
        <f>IF($P333="","",_xlfn.TEXTJOIN(" - ",TRUE,'Input LwA_XYZ'!B32:C32))</f>
        <v>BEF-R10  - Inlet</v>
      </c>
      <c r="R333" s="231">
        <f>IF($P333="","",'Input LwA_XYZ'!Q32)</f>
        <v>66</v>
      </c>
      <c r="S333" s="227">
        <f>IF($P333="","",ROUND(_xlfn.XLOOKUP(Tables!$N$302,'Input LwA_XYZ'!$AH$1:$AV$1,'Input LwA_XYZ'!AH32:AV32),0))</f>
        <v>237</v>
      </c>
      <c r="T333" s="228">
        <f>IF($P333="","",-1*ROUND(_xlfn.XLOOKUP(Tables!$N$302,'Input LwA_XYZ'!$AY$1:$BM$1,'Input LwA_XYZ'!AY32:BM32),0))</f>
        <v>45</v>
      </c>
      <c r="U333" s="228" t="str">
        <f>IF($P333="","",IF(_xlfn.XLOOKUP(Tables!$N$302,'Input LwA_XYZ'!$BV$1:$CJ$1,'Input LwA_XYZ'!BV32:CJ32)="","-",_xlfn.XLOOKUP(Tables!$N$302,'Input LwA_XYZ'!$BV$1:$CJ$1,'Input LwA_XYZ'!BV32:CJ32)))</f>
        <v>-</v>
      </c>
      <c r="V333" s="228" t="str">
        <f>IF($P333="","",IF('Input LwA_XYZ'!S32="","-",'Input LwA_XYZ'!S32))</f>
        <v>-</v>
      </c>
      <c r="W333" s="229" t="str" cm="1">
        <f t="array" ref="W333">IF($P333="","",IF(_xlfn.XLOOKUP(Tables!$N$302,_xlfn.ANCHORARRAY('Input LwA_XYZ'!$DD$1),'Input LwA_XYZ'!DD32:DR32)="","-",_xlfn.XLOOKUP(Tables!$N$302,_xlfn.ANCHORARRAY('Input LwA_XYZ'!$DD$1),'Input LwA_XYZ'!DD32:DR32)))</f>
        <v>-</v>
      </c>
      <c r="X333" s="62">
        <f>IF($P333="","",_xlfn.XLOOKUP(Tables!$N$302,'Input LwA_XYZ'!$DU$1:$EI$1,'Input LwA_XYZ'!DU32:EI32))</f>
        <v>20.855184771057125</v>
      </c>
    </row>
    <row r="334" spans="16:24" ht="16.5" x14ac:dyDescent="0.3">
      <c r="P334" s="230">
        <f>IF(OR('Input LwA_XYZ'!A33 = 0, NOT(ISBLANK(_xlfn.XLOOKUP(Tables!N$302, 'Input LwA_XYZ'!CM$1:DA$1, 'Input LwA_XYZ'!CM33:DA33)))), "", 'Input LwA_XYZ'!A33)</f>
        <v>1</v>
      </c>
      <c r="Q334" s="225" t="str">
        <f>IF($P334="","",_xlfn.TEXTJOIN(" - ",TRUE,'Input LwA_XYZ'!B33:C33))</f>
        <v>BEF-R11  - Inlet</v>
      </c>
      <c r="R334" s="231">
        <f>IF($P334="","",'Input LwA_XYZ'!Q33)</f>
        <v>66</v>
      </c>
      <c r="S334" s="227">
        <f>IF($P334="","",ROUND(_xlfn.XLOOKUP(Tables!$N$302,'Input LwA_XYZ'!$AH$1:$AV$1,'Input LwA_XYZ'!AH33:AV33),0))</f>
        <v>218</v>
      </c>
      <c r="T334" s="228">
        <f>IF($P334="","",-1*ROUND(_xlfn.XLOOKUP(Tables!$N$302,'Input LwA_XYZ'!$AY$1:$BM$1,'Input LwA_XYZ'!AY33:BM33),0))</f>
        <v>44</v>
      </c>
      <c r="U334" s="228" t="str">
        <f>IF($P334="","",IF(_xlfn.XLOOKUP(Tables!$N$302,'Input LwA_XYZ'!$BV$1:$CJ$1,'Input LwA_XYZ'!BV33:CJ33)="","-",_xlfn.XLOOKUP(Tables!$N$302,'Input LwA_XYZ'!$BV$1:$CJ$1,'Input LwA_XYZ'!BV33:CJ33)))</f>
        <v>-</v>
      </c>
      <c r="V334" s="228" t="str">
        <f>IF($P334="","",IF('Input LwA_XYZ'!S33="","-",'Input LwA_XYZ'!S33))</f>
        <v>-</v>
      </c>
      <c r="W334" s="229" t="str" cm="1">
        <f t="array" ref="W334">IF($P334="","",IF(_xlfn.XLOOKUP(Tables!$N$302,_xlfn.ANCHORARRAY('Input LwA_XYZ'!$DD$1),'Input LwA_XYZ'!DD33:DR33)="","-",_xlfn.XLOOKUP(Tables!$N$302,_xlfn.ANCHORARRAY('Input LwA_XYZ'!$DD$1),'Input LwA_XYZ'!DD33:DR33)))</f>
        <v>-</v>
      </c>
      <c r="X334" s="62">
        <f>IF($P334="","",_xlfn.XLOOKUP(Tables!$N$302,'Input LwA_XYZ'!$DU$1:$EI$1,'Input LwA_XYZ'!DU33:EI33))</f>
        <v>21.554803814773699</v>
      </c>
    </row>
    <row r="335" spans="16:24" ht="16.5" x14ac:dyDescent="0.3">
      <c r="P335" s="230">
        <f>IF(OR('Input LwA_XYZ'!A34 = 0, NOT(ISBLANK(_xlfn.XLOOKUP(Tables!N$302, 'Input LwA_XYZ'!CM$1:DA$1, 'Input LwA_XYZ'!CM34:DA34)))), "", 'Input LwA_XYZ'!A34)</f>
        <v>1</v>
      </c>
      <c r="Q335" s="225" t="str">
        <f>IF($P335="","",_xlfn.TEXTJOIN(" - ",TRUE,'Input LwA_XYZ'!B34:C34))</f>
        <v>BEF-R12  - Inlet</v>
      </c>
      <c r="R335" s="231">
        <f>IF($P335="","",'Input LwA_XYZ'!Q34)</f>
        <v>66</v>
      </c>
      <c r="S335" s="227">
        <f>IF($P335="","",ROUND(_xlfn.XLOOKUP(Tables!$N$302,'Input LwA_XYZ'!$AH$1:$AV$1,'Input LwA_XYZ'!AH34:AV34),0))</f>
        <v>148</v>
      </c>
      <c r="T335" s="228">
        <f>IF($P335="","",-1*ROUND(_xlfn.XLOOKUP(Tables!$N$302,'Input LwA_XYZ'!$AY$1:$BM$1,'Input LwA_XYZ'!AY34:BM34),0))</f>
        <v>41</v>
      </c>
      <c r="U335" s="228" t="str">
        <f>IF($P335="","",IF(_xlfn.XLOOKUP(Tables!$N$302,'Input LwA_XYZ'!$BV$1:$CJ$1,'Input LwA_XYZ'!BV34:CJ34)="","-",_xlfn.XLOOKUP(Tables!$N$302,'Input LwA_XYZ'!$BV$1:$CJ$1,'Input LwA_XYZ'!BV34:CJ34)))</f>
        <v>-</v>
      </c>
      <c r="V335" s="228" t="str">
        <f>IF($P335="","",IF('Input LwA_XYZ'!S34="","-",'Input LwA_XYZ'!S34))</f>
        <v>-</v>
      </c>
      <c r="W335" s="229" t="str" cm="1">
        <f t="array" ref="W335">IF($P335="","",IF(_xlfn.XLOOKUP(Tables!$N$302,_xlfn.ANCHORARRAY('Input LwA_XYZ'!$DD$1),'Input LwA_XYZ'!DD34:DR34)="","-",_xlfn.XLOOKUP(Tables!$N$302,_xlfn.ANCHORARRAY('Input LwA_XYZ'!$DD$1),'Input LwA_XYZ'!DD34:DR34)))</f>
        <v>-</v>
      </c>
      <c r="X335" s="62">
        <f>IF($P335="","",_xlfn.XLOOKUP(Tables!$N$302,'Input LwA_XYZ'!$DU$1:$EI$1,'Input LwA_XYZ'!DU34:EI34))</f>
        <v>24.921307180840927</v>
      </c>
    </row>
    <row r="336" spans="16:24" ht="16.5" x14ac:dyDescent="0.3">
      <c r="P336" s="230">
        <f>IF(OR('Input LwA_XYZ'!A35 = 0, NOT(ISBLANK(_xlfn.XLOOKUP(Tables!N$302, 'Input LwA_XYZ'!CM$1:DA$1, 'Input LwA_XYZ'!CM35:DA35)))), "", 'Input LwA_XYZ'!A35)</f>
        <v>1</v>
      </c>
      <c r="Q336" s="225" t="str">
        <f>IF($P336="","",_xlfn.TEXTJOIN(" - ",TRUE,'Input LwA_XYZ'!B35:C35))</f>
        <v>BEF-R13  - Inlet</v>
      </c>
      <c r="R336" s="231">
        <f>IF($P336="","",'Input LwA_XYZ'!Q35)</f>
        <v>66</v>
      </c>
      <c r="S336" s="227">
        <f>IF($P336="","",ROUND(_xlfn.XLOOKUP(Tables!$N$302,'Input LwA_XYZ'!$AH$1:$AV$1,'Input LwA_XYZ'!AH35:AV35),0))</f>
        <v>124</v>
      </c>
      <c r="T336" s="228">
        <f>IF($P336="","",-1*ROUND(_xlfn.XLOOKUP(Tables!$N$302,'Input LwA_XYZ'!$AY$1:$BM$1,'Input LwA_XYZ'!AY35:BM35),0))</f>
        <v>40</v>
      </c>
      <c r="U336" s="228" t="str">
        <f>IF($P336="","",IF(_xlfn.XLOOKUP(Tables!$N$302,'Input LwA_XYZ'!$BV$1:$CJ$1,'Input LwA_XYZ'!BV35:CJ35)="","-",_xlfn.XLOOKUP(Tables!$N$302,'Input LwA_XYZ'!$BV$1:$CJ$1,'Input LwA_XYZ'!BV35:CJ35)))</f>
        <v>-</v>
      </c>
      <c r="V336" s="228" t="str">
        <f>IF($P336="","",IF('Input LwA_XYZ'!S35="","-",'Input LwA_XYZ'!S35))</f>
        <v>-</v>
      </c>
      <c r="W336" s="229" t="str" cm="1">
        <f t="array" ref="W336">IF($P336="","",IF(_xlfn.XLOOKUP(Tables!$N$302,_xlfn.ANCHORARRAY('Input LwA_XYZ'!$DD$1),'Input LwA_XYZ'!DD35:DR35)="","-",_xlfn.XLOOKUP(Tables!$N$302,_xlfn.ANCHORARRAY('Input LwA_XYZ'!$DD$1),'Input LwA_XYZ'!DD35:DR35)))</f>
        <v>-</v>
      </c>
      <c r="X336" s="62">
        <f>IF($P336="","",_xlfn.XLOOKUP(Tables!$N$302,'Input LwA_XYZ'!$DU$1:$EI$1,'Input LwA_XYZ'!DU35:EI35))</f>
        <v>26.488695824221274</v>
      </c>
    </row>
    <row r="337" spans="16:24" ht="16.5" x14ac:dyDescent="0.3">
      <c r="P337" s="230">
        <f>IF(OR('Input LwA_XYZ'!A36 = 0, NOT(ISBLANK(_xlfn.XLOOKUP(Tables!N$302, 'Input LwA_XYZ'!CM$1:DA$1, 'Input LwA_XYZ'!CM36:DA36)))), "", 'Input LwA_XYZ'!A36)</f>
        <v>1</v>
      </c>
      <c r="Q337" s="225" t="str">
        <f>IF($P337="","",_xlfn.TEXTJOIN(" - ",TRUE,'Input LwA_XYZ'!B36:C36))</f>
        <v>BEF-R14  - Inlet</v>
      </c>
      <c r="R337" s="231">
        <f>IF($P337="","",'Input LwA_XYZ'!Q36)</f>
        <v>66</v>
      </c>
      <c r="S337" s="227">
        <f>IF($P337="","",ROUND(_xlfn.XLOOKUP(Tables!$N$302,'Input LwA_XYZ'!$AH$1:$AV$1,'Input LwA_XYZ'!AH36:AV36),0))</f>
        <v>112</v>
      </c>
      <c r="T337" s="228">
        <f>IF($P337="","",-1*ROUND(_xlfn.XLOOKUP(Tables!$N$302,'Input LwA_XYZ'!$AY$1:$BM$1,'Input LwA_XYZ'!AY36:BM36),0))</f>
        <v>39</v>
      </c>
      <c r="U337" s="228" t="str">
        <f>IF($P337="","",IF(_xlfn.XLOOKUP(Tables!$N$302,'Input LwA_XYZ'!$BV$1:$CJ$1,'Input LwA_XYZ'!BV36:CJ36)="","-",_xlfn.XLOOKUP(Tables!$N$302,'Input LwA_XYZ'!$BV$1:$CJ$1,'Input LwA_XYZ'!BV36:CJ36)))</f>
        <v>-</v>
      </c>
      <c r="V337" s="228" t="str">
        <f>IF($P337="","",IF('Input LwA_XYZ'!S36="","-",'Input LwA_XYZ'!S36))</f>
        <v>-</v>
      </c>
      <c r="W337" s="229" t="str" cm="1">
        <f t="array" ref="W337">IF($P337="","",IF(_xlfn.XLOOKUP(Tables!$N$302,_xlfn.ANCHORARRAY('Input LwA_XYZ'!$DD$1),'Input LwA_XYZ'!DD36:DR36)="","-",_xlfn.XLOOKUP(Tables!$N$302,_xlfn.ANCHORARRAY('Input LwA_XYZ'!$DD$1),'Input LwA_XYZ'!DD36:DR36)))</f>
        <v>-</v>
      </c>
      <c r="X337" s="62">
        <f>IF($P337="","",_xlfn.XLOOKUP(Tables!$N$302,'Input LwA_XYZ'!$DU$1:$EI$1,'Input LwA_XYZ'!DU36:EI36))</f>
        <v>27.330804924821514</v>
      </c>
    </row>
    <row r="338" spans="16:24" ht="16.5" x14ac:dyDescent="0.3">
      <c r="P338" s="230">
        <f>IF(OR('Input LwA_XYZ'!A37 = 0, NOT(ISBLANK(_xlfn.XLOOKUP(Tables!N$302, 'Input LwA_XYZ'!CM$1:DA$1, 'Input LwA_XYZ'!CM37:DA37)))), "", 'Input LwA_XYZ'!A37)</f>
        <v>1</v>
      </c>
      <c r="Q338" s="225" t="str">
        <f>IF($P338="","",_xlfn.TEXTJOIN(" - ",TRUE,'Input LwA_XYZ'!B37:C37))</f>
        <v>BEF-R15  - Inlet</v>
      </c>
      <c r="R338" s="231">
        <f>IF($P338="","",'Input LwA_XYZ'!Q37)</f>
        <v>57</v>
      </c>
      <c r="S338" s="227">
        <f>IF($P338="","",ROUND(_xlfn.XLOOKUP(Tables!$N$302,'Input LwA_XYZ'!$AH$1:$AV$1,'Input LwA_XYZ'!AH37:AV37),0))</f>
        <v>102</v>
      </c>
      <c r="T338" s="228">
        <f>IF($P338="","",-1*ROUND(_xlfn.XLOOKUP(Tables!$N$302,'Input LwA_XYZ'!$AY$1:$BM$1,'Input LwA_XYZ'!AY37:BM37),0))</f>
        <v>38</v>
      </c>
      <c r="U338" s="228" t="str">
        <f>IF($P338="","",IF(_xlfn.XLOOKUP(Tables!$N$302,'Input LwA_XYZ'!$BV$1:$CJ$1,'Input LwA_XYZ'!BV37:CJ37)="","-",_xlfn.XLOOKUP(Tables!$N$302,'Input LwA_XYZ'!$BV$1:$CJ$1,'Input LwA_XYZ'!BV37:CJ37)))</f>
        <v>-</v>
      </c>
      <c r="V338" s="228" t="str">
        <f>IF($P338="","",IF('Input LwA_XYZ'!S37="","-",'Input LwA_XYZ'!S37))</f>
        <v>-</v>
      </c>
      <c r="W338" s="229" t="str" cm="1">
        <f t="array" ref="W338">IF($P338="","",IF(_xlfn.XLOOKUP(Tables!$N$302,_xlfn.ANCHORARRAY('Input LwA_XYZ'!$DD$1),'Input LwA_XYZ'!DD37:DR37)="","-",_xlfn.XLOOKUP(Tables!$N$302,_xlfn.ANCHORARRAY('Input LwA_XYZ'!$DD$1),'Input LwA_XYZ'!DD37:DR37)))</f>
        <v>-</v>
      </c>
      <c r="X338" s="62">
        <f>IF($P338="","",_xlfn.XLOOKUP(Tables!$N$302,'Input LwA_XYZ'!$DU$1:$EI$1,'Input LwA_XYZ'!DU37:EI37))</f>
        <v>19.185367654486001</v>
      </c>
    </row>
    <row r="339" spans="16:24" ht="16.5" x14ac:dyDescent="0.3">
      <c r="P339" s="230">
        <f>IF(OR('Input LwA_XYZ'!A38 = 0, NOT(ISBLANK(_xlfn.XLOOKUP(Tables!N$302, 'Input LwA_XYZ'!CM$1:DA$1, 'Input LwA_XYZ'!CM38:DA38)))), "", 'Input LwA_XYZ'!A38)</f>
        <v>1</v>
      </c>
      <c r="Q339" s="225" t="str">
        <f>IF($P339="","",_xlfn.TEXTJOIN(" - ",TRUE,'Input LwA_XYZ'!B38:C38))</f>
        <v>BEF-R16  - Inlet</v>
      </c>
      <c r="R339" s="231">
        <f>IF($P339="","",'Input LwA_XYZ'!Q38)</f>
        <v>57</v>
      </c>
      <c r="S339" s="227">
        <f>IF($P339="","",ROUND(_xlfn.XLOOKUP(Tables!$N$302,'Input LwA_XYZ'!$AH$1:$AV$1,'Input LwA_XYZ'!AH38:AV38),0))</f>
        <v>157</v>
      </c>
      <c r="T339" s="228">
        <f>IF($P339="","",-1*ROUND(_xlfn.XLOOKUP(Tables!$N$302,'Input LwA_XYZ'!$AY$1:$BM$1,'Input LwA_XYZ'!AY38:BM38),0))</f>
        <v>42</v>
      </c>
      <c r="U339" s="228" t="str">
        <f>IF($P339="","",IF(_xlfn.XLOOKUP(Tables!$N$302,'Input LwA_XYZ'!$BV$1:$CJ$1,'Input LwA_XYZ'!BV38:CJ38)="","-",_xlfn.XLOOKUP(Tables!$N$302,'Input LwA_XYZ'!$BV$1:$CJ$1,'Input LwA_XYZ'!BV38:CJ38)))</f>
        <v>-</v>
      </c>
      <c r="V339" s="228" t="str">
        <f>IF($P339="","",IF('Input LwA_XYZ'!S38="","-",'Input LwA_XYZ'!S38))</f>
        <v>-</v>
      </c>
      <c r="W339" s="229" t="str" cm="1">
        <f t="array" ref="W339">IF($P339="","",IF(_xlfn.XLOOKUP(Tables!$N$302,_xlfn.ANCHORARRAY('Input LwA_XYZ'!$DD$1),'Input LwA_XYZ'!DD38:DR38)="","-",_xlfn.XLOOKUP(Tables!$N$302,_xlfn.ANCHORARRAY('Input LwA_XYZ'!$DD$1),'Input LwA_XYZ'!DD38:DR38)))</f>
        <v>-</v>
      </c>
      <c r="X339" s="62">
        <f>IF($P339="","",_xlfn.XLOOKUP(Tables!$N$302,'Input LwA_XYZ'!$DU$1:$EI$1,'Input LwA_XYZ'!DU38:EI38))</f>
        <v>15.413745612399886</v>
      </c>
    </row>
    <row r="340" spans="16:24" ht="16.5" x14ac:dyDescent="0.3">
      <c r="P340" s="230" t="str">
        <f>IF(OR('Input LwA_XYZ'!A39 = 0, NOT(ISBLANK(_xlfn.XLOOKUP(Tables!N$302, 'Input LwA_XYZ'!CM$1:DA$1, 'Input LwA_XYZ'!CM39:DA39)))), "", 'Input LwA_XYZ'!A39)</f>
        <v/>
      </c>
      <c r="Q340" s="225" t="str">
        <f>IF($P340="","",_xlfn.TEXTJOIN(" - ",TRUE,'Input LwA_XYZ'!B39:C39))</f>
        <v/>
      </c>
      <c r="R340" s="231" t="str">
        <f>IF($P340="","",'Input LwA_XYZ'!Q39)</f>
        <v/>
      </c>
      <c r="S340" s="227" t="str">
        <f>IF($P340="","",ROUND(_xlfn.XLOOKUP(Tables!$N$302,'Input LwA_XYZ'!$AH$1:$AV$1,'Input LwA_XYZ'!AH39:AV39),0))</f>
        <v/>
      </c>
      <c r="T340" s="228" t="str">
        <f>IF($P340="","",-1*ROUND(_xlfn.XLOOKUP(Tables!$N$302,'Input LwA_XYZ'!$AY$1:$BM$1,'Input LwA_XYZ'!AY39:BM39),0))</f>
        <v/>
      </c>
      <c r="U340" s="228" t="str">
        <f>IF($P340="","",IF(_xlfn.XLOOKUP(Tables!$N$302,'Input LwA_XYZ'!$BV$1:$CJ$1,'Input LwA_XYZ'!BV39:CJ39)="","-",_xlfn.XLOOKUP(Tables!$N$302,'Input LwA_XYZ'!$BV$1:$CJ$1,'Input LwA_XYZ'!BV39:CJ39)))</f>
        <v/>
      </c>
      <c r="V340" s="228" t="str">
        <f>IF($P340="","",IF('Input LwA_XYZ'!S39="","-",'Input LwA_XYZ'!S39))</f>
        <v/>
      </c>
      <c r="W340" s="229" t="str" cm="1">
        <f t="array" ref="W340">IF($P340="","",IF(_xlfn.XLOOKUP(Tables!$N$302,_xlfn.ANCHORARRAY('Input LwA_XYZ'!$DD$1),'Input LwA_XYZ'!DD39:DR39)="","-",_xlfn.XLOOKUP(Tables!$N$302,_xlfn.ANCHORARRAY('Input LwA_XYZ'!$DD$1),'Input LwA_XYZ'!DD39:DR39)))</f>
        <v/>
      </c>
      <c r="X340" s="62" t="str">
        <f>IF($P340="","",_xlfn.XLOOKUP(Tables!$N$302,'Input LwA_XYZ'!$DU$1:$EI$1,'Input LwA_XYZ'!DU39:EI39))</f>
        <v/>
      </c>
    </row>
    <row r="341" spans="16:24" ht="16.5" x14ac:dyDescent="0.3">
      <c r="P341" s="230" t="str">
        <f>IF(OR('Input LwA_XYZ'!A40 = 0, NOT(ISBLANK(_xlfn.XLOOKUP(Tables!N$302, 'Input LwA_XYZ'!CM$1:DA$1, 'Input LwA_XYZ'!CM40:DA40)))), "", 'Input LwA_XYZ'!A40)</f>
        <v/>
      </c>
      <c r="Q341" s="225" t="str">
        <f>IF($P341="","",_xlfn.TEXTJOIN(" - ",TRUE,'Input LwA_XYZ'!B40:C40))</f>
        <v/>
      </c>
      <c r="R341" s="231" t="str">
        <f>IF($P341="","",'Input LwA_XYZ'!Q40)</f>
        <v/>
      </c>
      <c r="S341" s="227" t="str">
        <f>IF($P341="","",ROUND(_xlfn.XLOOKUP(Tables!$N$302,'Input LwA_XYZ'!$AH$1:$AV$1,'Input LwA_XYZ'!AH40:AV40),0))</f>
        <v/>
      </c>
      <c r="T341" s="228" t="str">
        <f>IF($P341="","",-1*ROUND(_xlfn.XLOOKUP(Tables!$N$302,'Input LwA_XYZ'!$AY$1:$BM$1,'Input LwA_XYZ'!AY40:BM40),0))</f>
        <v/>
      </c>
      <c r="U341" s="228" t="str">
        <f>IF($P341="","",IF(_xlfn.XLOOKUP(Tables!$N$302,'Input LwA_XYZ'!$BV$1:$CJ$1,'Input LwA_XYZ'!BV40:CJ40)="","-",_xlfn.XLOOKUP(Tables!$N$302,'Input LwA_XYZ'!$BV$1:$CJ$1,'Input LwA_XYZ'!BV40:CJ40)))</f>
        <v/>
      </c>
      <c r="V341" s="228" t="str">
        <f>IF($P341="","",IF('Input LwA_XYZ'!S40="","-",'Input LwA_XYZ'!S40))</f>
        <v/>
      </c>
      <c r="W341" s="229" t="str" cm="1">
        <f t="array" ref="W341">IF($P341="","",IF(_xlfn.XLOOKUP(Tables!$N$302,_xlfn.ANCHORARRAY('Input LwA_XYZ'!$DD$1),'Input LwA_XYZ'!DD40:DR40)="","-",_xlfn.XLOOKUP(Tables!$N$302,_xlfn.ANCHORARRAY('Input LwA_XYZ'!$DD$1),'Input LwA_XYZ'!DD40:DR40)))</f>
        <v/>
      </c>
      <c r="X341" s="62" t="str">
        <f>IF($P341="","",_xlfn.XLOOKUP(Tables!$N$302,'Input LwA_XYZ'!$DU$1:$EI$1,'Input LwA_XYZ'!DU40:EI40))</f>
        <v/>
      </c>
    </row>
    <row r="342" spans="16:24" ht="16.5" x14ac:dyDescent="0.3">
      <c r="P342" s="230" t="str">
        <f>IF(OR('Input LwA_XYZ'!A41 = 0, NOT(ISBLANK(_xlfn.XLOOKUP(Tables!N$302, 'Input LwA_XYZ'!CM$1:DA$1, 'Input LwA_XYZ'!CM41:DA41)))), "", 'Input LwA_XYZ'!A41)</f>
        <v/>
      </c>
      <c r="Q342" s="225" t="str">
        <f>IF($P342="","",_xlfn.TEXTJOIN(" - ",TRUE,'Input LwA_XYZ'!B41:C41))</f>
        <v/>
      </c>
      <c r="R342" s="231" t="str">
        <f>IF($P342="","",'Input LwA_XYZ'!Q41)</f>
        <v/>
      </c>
      <c r="S342" s="227" t="str">
        <f>IF($P342="","",ROUND(_xlfn.XLOOKUP(Tables!$N$302,'Input LwA_XYZ'!$AH$1:$AV$1,'Input LwA_XYZ'!AH41:AV41),0))</f>
        <v/>
      </c>
      <c r="T342" s="228" t="str">
        <f>IF($P342="","",-1*ROUND(_xlfn.XLOOKUP(Tables!$N$302,'Input LwA_XYZ'!$AY$1:$BM$1,'Input LwA_XYZ'!AY41:BM41),0))</f>
        <v/>
      </c>
      <c r="U342" s="228" t="str">
        <f>IF($P342="","",IF(_xlfn.XLOOKUP(Tables!$N$302,'Input LwA_XYZ'!$BV$1:$CJ$1,'Input LwA_XYZ'!BV41:CJ41)="","-",_xlfn.XLOOKUP(Tables!$N$302,'Input LwA_XYZ'!$BV$1:$CJ$1,'Input LwA_XYZ'!BV41:CJ41)))</f>
        <v/>
      </c>
      <c r="V342" s="228" t="str">
        <f>IF($P342="","",IF('Input LwA_XYZ'!S41="","-",'Input LwA_XYZ'!S41))</f>
        <v/>
      </c>
      <c r="W342" s="229" t="str" cm="1">
        <f t="array" ref="W342">IF($P342="","",IF(_xlfn.XLOOKUP(Tables!$N$302,_xlfn.ANCHORARRAY('Input LwA_XYZ'!$DD$1),'Input LwA_XYZ'!DD41:DR41)="","-",_xlfn.XLOOKUP(Tables!$N$302,_xlfn.ANCHORARRAY('Input LwA_XYZ'!$DD$1),'Input LwA_XYZ'!DD41:DR41)))</f>
        <v/>
      </c>
      <c r="X342" s="62" t="str">
        <f>IF($P342="","",_xlfn.XLOOKUP(Tables!$N$302,'Input LwA_XYZ'!$DU$1:$EI$1,'Input LwA_XYZ'!DU41:EI41))</f>
        <v/>
      </c>
    </row>
    <row r="343" spans="16:24" ht="16.5" x14ac:dyDescent="0.3">
      <c r="P343" s="230" t="str">
        <f>IF(OR('Input LwA_XYZ'!A42 = 0, NOT(ISBLANK(_xlfn.XLOOKUP(Tables!N$302, 'Input LwA_XYZ'!CM$1:DA$1, 'Input LwA_XYZ'!CM42:DA42)))), "", 'Input LwA_XYZ'!A42)</f>
        <v/>
      </c>
      <c r="Q343" s="225" t="str">
        <f>IF($P343="","",_xlfn.TEXTJOIN(" - ",TRUE,'Input LwA_XYZ'!B42:C42))</f>
        <v/>
      </c>
      <c r="R343" s="231" t="str">
        <f>IF($P343="","",'Input LwA_XYZ'!Q42)</f>
        <v/>
      </c>
      <c r="S343" s="227" t="str">
        <f>IF($P343="","",ROUND(_xlfn.XLOOKUP(Tables!$N$302,'Input LwA_XYZ'!$AH$1:$AV$1,'Input LwA_XYZ'!AH42:AV42),0))</f>
        <v/>
      </c>
      <c r="T343" s="228" t="str">
        <f>IF($P343="","",-1*ROUND(_xlfn.XLOOKUP(Tables!$N$302,'Input LwA_XYZ'!$AY$1:$BM$1,'Input LwA_XYZ'!AY42:BM42),0))</f>
        <v/>
      </c>
      <c r="U343" s="228" t="str">
        <f>IF($P343="","",IF(_xlfn.XLOOKUP(Tables!$N$302,'Input LwA_XYZ'!$BV$1:$CJ$1,'Input LwA_XYZ'!BV42:CJ42)="","-",_xlfn.XLOOKUP(Tables!$N$302,'Input LwA_XYZ'!$BV$1:$CJ$1,'Input LwA_XYZ'!BV42:CJ42)))</f>
        <v/>
      </c>
      <c r="V343" s="228" t="str">
        <f>IF($P343="","",IF('Input LwA_XYZ'!S42="","-",'Input LwA_XYZ'!S42))</f>
        <v/>
      </c>
      <c r="W343" s="229" t="str" cm="1">
        <f t="array" ref="W343">IF($P343="","",IF(_xlfn.XLOOKUP(Tables!$N$302,_xlfn.ANCHORARRAY('Input LwA_XYZ'!$DD$1),'Input LwA_XYZ'!DD42:DR42)="","-",_xlfn.XLOOKUP(Tables!$N$302,_xlfn.ANCHORARRAY('Input LwA_XYZ'!$DD$1),'Input LwA_XYZ'!DD42:DR42)))</f>
        <v/>
      </c>
      <c r="X343" s="62" t="str">
        <f>IF($P343="","",_xlfn.XLOOKUP(Tables!$N$302,'Input LwA_XYZ'!$DU$1:$EI$1,'Input LwA_XYZ'!DU42:EI42))</f>
        <v/>
      </c>
    </row>
    <row r="344" spans="16:24" ht="16.5" x14ac:dyDescent="0.3">
      <c r="P344" s="230" t="str">
        <f>IF(OR('Input LwA_XYZ'!A43 = 0, NOT(ISBLANK(_xlfn.XLOOKUP(Tables!N$302, 'Input LwA_XYZ'!CM$1:DA$1, 'Input LwA_XYZ'!CM43:DA43)))), "", 'Input LwA_XYZ'!A43)</f>
        <v/>
      </c>
      <c r="Q344" s="225" t="str">
        <f>IF($P344="","",_xlfn.TEXTJOIN(" - ",TRUE,'Input LwA_XYZ'!B43:C43))</f>
        <v/>
      </c>
      <c r="R344" s="231" t="str">
        <f>IF($P344="","",'Input LwA_XYZ'!Q43)</f>
        <v/>
      </c>
      <c r="S344" s="227" t="str">
        <f>IF($P344="","",ROUND(_xlfn.XLOOKUP(Tables!$N$302,'Input LwA_XYZ'!$AH$1:$AV$1,'Input LwA_XYZ'!AH43:AV43),0))</f>
        <v/>
      </c>
      <c r="T344" s="228" t="str">
        <f>IF($P344="","",-1*ROUND(_xlfn.XLOOKUP(Tables!$N$302,'Input LwA_XYZ'!$AY$1:$BM$1,'Input LwA_XYZ'!AY43:BM43),0))</f>
        <v/>
      </c>
      <c r="U344" s="228" t="str">
        <f>IF($P344="","",IF(_xlfn.XLOOKUP(Tables!$N$302,'Input LwA_XYZ'!$BV$1:$CJ$1,'Input LwA_XYZ'!BV43:CJ43)="","-",_xlfn.XLOOKUP(Tables!$N$302,'Input LwA_XYZ'!$BV$1:$CJ$1,'Input LwA_XYZ'!BV43:CJ43)))</f>
        <v/>
      </c>
      <c r="V344" s="228" t="str">
        <f>IF($P344="","",IF('Input LwA_XYZ'!S43="","-",'Input LwA_XYZ'!S43))</f>
        <v/>
      </c>
      <c r="W344" s="229" t="str" cm="1">
        <f t="array" ref="W344">IF($P344="","",IF(_xlfn.XLOOKUP(Tables!$N$302,_xlfn.ANCHORARRAY('Input LwA_XYZ'!$DD$1),'Input LwA_XYZ'!DD43:DR43)="","-",_xlfn.XLOOKUP(Tables!$N$302,_xlfn.ANCHORARRAY('Input LwA_XYZ'!$DD$1),'Input LwA_XYZ'!DD43:DR43)))</f>
        <v/>
      </c>
      <c r="X344" s="62" t="str">
        <f>IF($P344="","",_xlfn.XLOOKUP(Tables!$N$302,'Input LwA_XYZ'!$DU$1:$EI$1,'Input LwA_XYZ'!DU43:EI43))</f>
        <v/>
      </c>
    </row>
    <row r="345" spans="16:24" ht="16.5" x14ac:dyDescent="0.3">
      <c r="P345" s="230" t="str">
        <f>IF(OR('Input LwA_XYZ'!A44 = 0, NOT(ISBLANK(_xlfn.XLOOKUP(Tables!N$302, 'Input LwA_XYZ'!CM$1:DA$1, 'Input LwA_XYZ'!CM44:DA44)))), "", 'Input LwA_XYZ'!A44)</f>
        <v/>
      </c>
      <c r="Q345" s="225" t="str">
        <f>IF($P345="","",_xlfn.TEXTJOIN(" - ",TRUE,'Input LwA_XYZ'!B44:C44))</f>
        <v/>
      </c>
      <c r="R345" s="231" t="str">
        <f>IF($P345="","",'Input LwA_XYZ'!Q44)</f>
        <v/>
      </c>
      <c r="S345" s="227" t="str">
        <f>IF($P345="","",ROUND(_xlfn.XLOOKUP(Tables!$N$302,'Input LwA_XYZ'!$AH$1:$AV$1,'Input LwA_XYZ'!AH44:AV44),0))</f>
        <v/>
      </c>
      <c r="T345" s="228" t="str">
        <f>IF($P345="","",-1*ROUND(_xlfn.XLOOKUP(Tables!$N$302,'Input LwA_XYZ'!$AY$1:$BM$1,'Input LwA_XYZ'!AY44:BM44),0))</f>
        <v/>
      </c>
      <c r="U345" s="228" t="str">
        <f>IF($P345="","",IF(_xlfn.XLOOKUP(Tables!$N$302,'Input LwA_XYZ'!$BV$1:$CJ$1,'Input LwA_XYZ'!BV44:CJ44)="","-",_xlfn.XLOOKUP(Tables!$N$302,'Input LwA_XYZ'!$BV$1:$CJ$1,'Input LwA_XYZ'!BV44:CJ44)))</f>
        <v/>
      </c>
      <c r="V345" s="228" t="str">
        <f>IF($P345="","",IF('Input LwA_XYZ'!S44="","-",'Input LwA_XYZ'!S44))</f>
        <v/>
      </c>
      <c r="W345" s="229" t="str" cm="1">
        <f t="array" ref="W345">IF($P345="","",IF(_xlfn.XLOOKUP(Tables!$N$302,_xlfn.ANCHORARRAY('Input LwA_XYZ'!$DD$1),'Input LwA_XYZ'!DD44:DR44)="","-",_xlfn.XLOOKUP(Tables!$N$302,_xlfn.ANCHORARRAY('Input LwA_XYZ'!$DD$1),'Input LwA_XYZ'!DD44:DR44)))</f>
        <v/>
      </c>
      <c r="X345" s="62" t="str">
        <f>IF($P345="","",_xlfn.XLOOKUP(Tables!$N$302,'Input LwA_XYZ'!$DU$1:$EI$1,'Input LwA_XYZ'!DU44:EI44))</f>
        <v/>
      </c>
    </row>
    <row r="346" spans="16:24" ht="16.5" x14ac:dyDescent="0.3">
      <c r="P346" s="230" t="str">
        <f>IF(OR('Input LwA_XYZ'!A45 = 0, NOT(ISBLANK(_xlfn.XLOOKUP(Tables!N$302, 'Input LwA_XYZ'!CM$1:DA$1, 'Input LwA_XYZ'!CM45:DA45)))), "", 'Input LwA_XYZ'!A45)</f>
        <v/>
      </c>
      <c r="Q346" s="225" t="str">
        <f>IF($P346="","",_xlfn.TEXTJOIN(" - ",TRUE,'Input LwA_XYZ'!B45:C45))</f>
        <v/>
      </c>
      <c r="R346" s="231" t="str">
        <f>IF($P346="","",'Input LwA_XYZ'!Q45)</f>
        <v/>
      </c>
      <c r="S346" s="227" t="str">
        <f>IF($P346="","",ROUND(_xlfn.XLOOKUP(Tables!$N$302,'Input LwA_XYZ'!$AH$1:$AV$1,'Input LwA_XYZ'!AH45:AV45),0))</f>
        <v/>
      </c>
      <c r="T346" s="228" t="str">
        <f>IF($P346="","",-1*ROUND(_xlfn.XLOOKUP(Tables!$N$302,'Input LwA_XYZ'!$AY$1:$BM$1,'Input LwA_XYZ'!AY45:BM45),0))</f>
        <v/>
      </c>
      <c r="U346" s="228" t="str">
        <f>IF($P346="","",IF(_xlfn.XLOOKUP(Tables!$N$302,'Input LwA_XYZ'!$BV$1:$CJ$1,'Input LwA_XYZ'!BV45:CJ45)="","-",_xlfn.XLOOKUP(Tables!$N$302,'Input LwA_XYZ'!$BV$1:$CJ$1,'Input LwA_XYZ'!BV45:CJ45)))</f>
        <v/>
      </c>
      <c r="V346" s="228" t="str">
        <f>IF($P346="","",IF('Input LwA_XYZ'!S45="","-",'Input LwA_XYZ'!S45))</f>
        <v/>
      </c>
      <c r="W346" s="229" t="str" cm="1">
        <f t="array" ref="W346">IF($P346="","",IF(_xlfn.XLOOKUP(Tables!$N$302,_xlfn.ANCHORARRAY('Input LwA_XYZ'!$DD$1),'Input LwA_XYZ'!DD45:DR45)="","-",_xlfn.XLOOKUP(Tables!$N$302,_xlfn.ANCHORARRAY('Input LwA_XYZ'!$DD$1),'Input LwA_XYZ'!DD45:DR45)))</f>
        <v/>
      </c>
      <c r="X346" s="62" t="str">
        <f>IF($P346="","",_xlfn.XLOOKUP(Tables!$N$302,'Input LwA_XYZ'!$DU$1:$EI$1,'Input LwA_XYZ'!DU45:EI45))</f>
        <v/>
      </c>
    </row>
    <row r="347" spans="16:24" ht="16.5" x14ac:dyDescent="0.3">
      <c r="P347" s="230" t="str">
        <f>IF(OR('Input LwA_XYZ'!A46 = 0, NOT(ISBLANK(_xlfn.XLOOKUP(Tables!N$302, 'Input LwA_XYZ'!CM$1:DA$1, 'Input LwA_XYZ'!CM46:DA46)))), "", 'Input LwA_XYZ'!A46)</f>
        <v/>
      </c>
      <c r="Q347" s="225" t="str">
        <f>IF($P347="","",_xlfn.TEXTJOIN(" - ",TRUE,'Input LwA_XYZ'!B46:C46))</f>
        <v/>
      </c>
      <c r="R347" s="231" t="str">
        <f>IF($P347="","",'Input LwA_XYZ'!Q46)</f>
        <v/>
      </c>
      <c r="S347" s="227" t="str">
        <f>IF($P347="","",ROUND(_xlfn.XLOOKUP(Tables!$N$302,'Input LwA_XYZ'!$AH$1:$AV$1,'Input LwA_XYZ'!AH46:AV46),0))</f>
        <v/>
      </c>
      <c r="T347" s="228" t="str">
        <f>IF($P347="","",-1*ROUND(_xlfn.XLOOKUP(Tables!$N$302,'Input LwA_XYZ'!$AY$1:$BM$1,'Input LwA_XYZ'!AY46:BM46),0))</f>
        <v/>
      </c>
      <c r="U347" s="228" t="str">
        <f>IF($P347="","",IF(_xlfn.XLOOKUP(Tables!$N$302,'Input LwA_XYZ'!$BV$1:$CJ$1,'Input LwA_XYZ'!BV46:CJ46)="","-",_xlfn.XLOOKUP(Tables!$N$302,'Input LwA_XYZ'!$BV$1:$CJ$1,'Input LwA_XYZ'!BV46:CJ46)))</f>
        <v/>
      </c>
      <c r="V347" s="228" t="str">
        <f>IF($P347="","",IF('Input LwA_XYZ'!S46="","-",'Input LwA_XYZ'!S46))</f>
        <v/>
      </c>
      <c r="W347" s="229" t="str" cm="1">
        <f t="array" ref="W347">IF($P347="","",IF(_xlfn.XLOOKUP(Tables!$N$302,_xlfn.ANCHORARRAY('Input LwA_XYZ'!$DD$1),'Input LwA_XYZ'!DD46:DR46)="","-",_xlfn.XLOOKUP(Tables!$N$302,_xlfn.ANCHORARRAY('Input LwA_XYZ'!$DD$1),'Input LwA_XYZ'!DD46:DR46)))</f>
        <v/>
      </c>
      <c r="X347" s="62" t="str">
        <f>IF($P347="","",_xlfn.XLOOKUP(Tables!$N$302,'Input LwA_XYZ'!$DU$1:$EI$1,'Input LwA_XYZ'!DU46:EI46))</f>
        <v/>
      </c>
    </row>
    <row r="348" spans="16:24" ht="16.5" x14ac:dyDescent="0.3">
      <c r="P348" s="230" t="str">
        <f>IF(OR('Input LwA_XYZ'!A47 = 0, NOT(ISBLANK(_xlfn.XLOOKUP(Tables!N$302, 'Input LwA_XYZ'!CM$1:DA$1, 'Input LwA_XYZ'!CM47:DA47)))), "", 'Input LwA_XYZ'!A47)</f>
        <v/>
      </c>
      <c r="Q348" s="225" t="str">
        <f>IF($P348="","",_xlfn.TEXTJOIN(" - ",TRUE,'Input LwA_XYZ'!B47:C47))</f>
        <v/>
      </c>
      <c r="R348" s="231" t="str">
        <f>IF($P348="","",'Input LwA_XYZ'!Q47)</f>
        <v/>
      </c>
      <c r="S348" s="227" t="str">
        <f>IF($P348="","",ROUND(_xlfn.XLOOKUP(Tables!$N$302,'Input LwA_XYZ'!$AH$1:$AV$1,'Input LwA_XYZ'!AH47:AV47),0))</f>
        <v/>
      </c>
      <c r="T348" s="228" t="str">
        <f>IF($P348="","",-1*ROUND(_xlfn.XLOOKUP(Tables!$N$302,'Input LwA_XYZ'!$AY$1:$BM$1,'Input LwA_XYZ'!AY47:BM47),0))</f>
        <v/>
      </c>
      <c r="U348" s="228" t="str">
        <f>IF($P348="","",IF(_xlfn.XLOOKUP(Tables!$N$302,'Input LwA_XYZ'!$BV$1:$CJ$1,'Input LwA_XYZ'!BV47:CJ47)="","-",_xlfn.XLOOKUP(Tables!$N$302,'Input LwA_XYZ'!$BV$1:$CJ$1,'Input LwA_XYZ'!BV47:CJ47)))</f>
        <v/>
      </c>
      <c r="V348" s="228" t="str">
        <f>IF($P348="","",IF('Input LwA_XYZ'!S47="","-",'Input LwA_XYZ'!S47))</f>
        <v/>
      </c>
      <c r="W348" s="229" t="str" cm="1">
        <f t="array" ref="W348">IF($P348="","",IF(_xlfn.XLOOKUP(Tables!$N$302,_xlfn.ANCHORARRAY('Input LwA_XYZ'!$DD$1),'Input LwA_XYZ'!DD47:DR47)="","-",_xlfn.XLOOKUP(Tables!$N$302,_xlfn.ANCHORARRAY('Input LwA_XYZ'!$DD$1),'Input LwA_XYZ'!DD47:DR47)))</f>
        <v/>
      </c>
      <c r="X348" s="62" t="str">
        <f>IF($P348="","",_xlfn.XLOOKUP(Tables!$N$302,'Input LwA_XYZ'!$DU$1:$EI$1,'Input LwA_XYZ'!DU47:EI47))</f>
        <v/>
      </c>
    </row>
    <row r="349" spans="16:24" ht="16.5" x14ac:dyDescent="0.3">
      <c r="P349" s="230" t="str">
        <f>IF(OR('Input LwA_XYZ'!A48 = 0, NOT(ISBLANK(_xlfn.XLOOKUP(Tables!N$302, 'Input LwA_XYZ'!CM$1:DA$1, 'Input LwA_XYZ'!CM48:DA48)))), "", 'Input LwA_XYZ'!A48)</f>
        <v/>
      </c>
      <c r="Q349" s="225" t="str">
        <f>IF($P349="","",_xlfn.TEXTJOIN(" - ",TRUE,'Input LwA_XYZ'!B48:C48))</f>
        <v/>
      </c>
      <c r="R349" s="231" t="str">
        <f>IF($P349="","",'Input LwA_XYZ'!Q48)</f>
        <v/>
      </c>
      <c r="S349" s="227" t="str">
        <f>IF($P349="","",ROUND(_xlfn.XLOOKUP(Tables!$N$302,'Input LwA_XYZ'!$AH$1:$AV$1,'Input LwA_XYZ'!AH48:AV48),0))</f>
        <v/>
      </c>
      <c r="T349" s="228" t="str">
        <f>IF($P349="","",-1*ROUND(_xlfn.XLOOKUP(Tables!$N$302,'Input LwA_XYZ'!$AY$1:$BM$1,'Input LwA_XYZ'!AY48:BM48),0))</f>
        <v/>
      </c>
      <c r="U349" s="228" t="str">
        <f>IF($P349="","",IF(_xlfn.XLOOKUP(Tables!$N$302,'Input LwA_XYZ'!$BV$1:$CJ$1,'Input LwA_XYZ'!BV48:CJ48)="","-",_xlfn.XLOOKUP(Tables!$N$302,'Input LwA_XYZ'!$BV$1:$CJ$1,'Input LwA_XYZ'!BV48:CJ48)))</f>
        <v/>
      </c>
      <c r="V349" s="228" t="str">
        <f>IF($P349="","",IF('Input LwA_XYZ'!S48="","-",'Input LwA_XYZ'!S48))</f>
        <v/>
      </c>
      <c r="W349" s="229" t="str" cm="1">
        <f t="array" ref="W349">IF($P349="","",IF(_xlfn.XLOOKUP(Tables!$N$302,_xlfn.ANCHORARRAY('Input LwA_XYZ'!$DD$1),'Input LwA_XYZ'!DD48:DR48)="","-",_xlfn.XLOOKUP(Tables!$N$302,_xlfn.ANCHORARRAY('Input LwA_XYZ'!$DD$1),'Input LwA_XYZ'!DD48:DR48)))</f>
        <v/>
      </c>
      <c r="X349" s="62" t="str">
        <f>IF($P349="","",_xlfn.XLOOKUP(Tables!$N$302,'Input LwA_XYZ'!$DU$1:$EI$1,'Input LwA_XYZ'!DU48:EI48))</f>
        <v/>
      </c>
    </row>
    <row r="350" spans="16:24" ht="16.5" x14ac:dyDescent="0.3">
      <c r="P350" s="230" t="str">
        <f>IF(OR('Input LwA_XYZ'!A49 = 0, NOT(ISBLANK(_xlfn.XLOOKUP(Tables!N$302, 'Input LwA_XYZ'!CM$1:DA$1, 'Input LwA_XYZ'!CM49:DA49)))), "", 'Input LwA_XYZ'!A49)</f>
        <v/>
      </c>
      <c r="Q350" s="225" t="str">
        <f>IF($P350="","",_xlfn.TEXTJOIN(" - ",TRUE,'Input LwA_XYZ'!B49:C49))</f>
        <v/>
      </c>
      <c r="R350" s="231" t="str">
        <f>IF($P350="","",'Input LwA_XYZ'!Q49)</f>
        <v/>
      </c>
      <c r="S350" s="227" t="str">
        <f>IF($P350="","",ROUND(_xlfn.XLOOKUP(Tables!$N$302,'Input LwA_XYZ'!$AH$1:$AV$1,'Input LwA_XYZ'!AH49:AV49),0))</f>
        <v/>
      </c>
      <c r="T350" s="228" t="str">
        <f>IF($P350="","",-1*ROUND(_xlfn.XLOOKUP(Tables!$N$302,'Input LwA_XYZ'!$AY$1:$BM$1,'Input LwA_XYZ'!AY49:BM49),0))</f>
        <v/>
      </c>
      <c r="U350" s="228" t="str">
        <f>IF($P350="","",IF(_xlfn.XLOOKUP(Tables!$N$302,'Input LwA_XYZ'!$BV$1:$CJ$1,'Input LwA_XYZ'!BV49:CJ49)="","-",_xlfn.XLOOKUP(Tables!$N$302,'Input LwA_XYZ'!$BV$1:$CJ$1,'Input LwA_XYZ'!BV49:CJ49)))</f>
        <v/>
      </c>
      <c r="V350" s="228" t="str">
        <f>IF($P350="","",IF('Input LwA_XYZ'!S49="","-",'Input LwA_XYZ'!S49))</f>
        <v/>
      </c>
      <c r="W350" s="229" t="str" cm="1">
        <f t="array" ref="W350">IF($P350="","",IF(_xlfn.XLOOKUP(Tables!$N$302,_xlfn.ANCHORARRAY('Input LwA_XYZ'!$DD$1),'Input LwA_XYZ'!DD49:DR49)="","-",_xlfn.XLOOKUP(Tables!$N$302,_xlfn.ANCHORARRAY('Input LwA_XYZ'!$DD$1),'Input LwA_XYZ'!DD49:DR49)))</f>
        <v/>
      </c>
      <c r="X350" s="62" t="str">
        <f>IF($P350="","",_xlfn.XLOOKUP(Tables!$N$302,'Input LwA_XYZ'!$DU$1:$EI$1,'Input LwA_XYZ'!DU49:EI49))</f>
        <v/>
      </c>
    </row>
    <row r="351" spans="16:24" ht="16.5" x14ac:dyDescent="0.3">
      <c r="P351" s="230" t="str">
        <f>IF(OR('Input LwA_XYZ'!A50 = 0, NOT(ISBLANK(_xlfn.XLOOKUP(Tables!N$302, 'Input LwA_XYZ'!CM$1:DA$1, 'Input LwA_XYZ'!CM50:DA50)))), "", 'Input LwA_XYZ'!A50)</f>
        <v/>
      </c>
      <c r="Q351" s="225" t="str">
        <f>IF($P351="","",_xlfn.TEXTJOIN(" - ",TRUE,'Input LwA_XYZ'!B50:C50))</f>
        <v/>
      </c>
      <c r="R351" s="231" t="str">
        <f>IF($P351="","",'Input LwA_XYZ'!Q50)</f>
        <v/>
      </c>
      <c r="S351" s="227" t="str">
        <f>IF($P351="","",ROUND(_xlfn.XLOOKUP(Tables!$N$302,'Input LwA_XYZ'!$AH$1:$AV$1,'Input LwA_XYZ'!AH50:AV50),0))</f>
        <v/>
      </c>
      <c r="T351" s="228" t="str">
        <f>IF($P351="","",-1*ROUND(_xlfn.XLOOKUP(Tables!$N$302,'Input LwA_XYZ'!$AY$1:$BM$1,'Input LwA_XYZ'!AY50:BM50),0))</f>
        <v/>
      </c>
      <c r="U351" s="228" t="str">
        <f>IF($P351="","",IF(_xlfn.XLOOKUP(Tables!$N$302,'Input LwA_XYZ'!$BV$1:$CJ$1,'Input LwA_XYZ'!BV50:CJ50)="","-",_xlfn.XLOOKUP(Tables!$N$302,'Input LwA_XYZ'!$BV$1:$CJ$1,'Input LwA_XYZ'!BV50:CJ50)))</f>
        <v/>
      </c>
      <c r="V351" s="228" t="str">
        <f>IF($P351="","",IF('Input LwA_XYZ'!S50="","-",'Input LwA_XYZ'!S50))</f>
        <v/>
      </c>
      <c r="W351" s="229" t="str" cm="1">
        <f t="array" ref="W351">IF($P351="","",IF(_xlfn.XLOOKUP(Tables!$N$302,_xlfn.ANCHORARRAY('Input LwA_XYZ'!$DD$1),'Input LwA_XYZ'!DD50:DR50)="","-",_xlfn.XLOOKUP(Tables!$N$302,_xlfn.ANCHORARRAY('Input LwA_XYZ'!$DD$1),'Input LwA_XYZ'!DD50:DR50)))</f>
        <v/>
      </c>
      <c r="X351" s="62" t="str">
        <f>IF($P351="","",_xlfn.XLOOKUP(Tables!$N$302,'Input LwA_XYZ'!$DU$1:$EI$1,'Input LwA_XYZ'!DU50:EI50))</f>
        <v/>
      </c>
    </row>
    <row r="352" spans="16:24" ht="16.5" x14ac:dyDescent="0.3">
      <c r="P352" s="230" t="str">
        <f>IF(OR('Input LwA_XYZ'!A51 = 0, NOT(ISBLANK(_xlfn.XLOOKUP(Tables!N$302, 'Input LwA_XYZ'!CM$1:DA$1, 'Input LwA_XYZ'!CM51:DA51)))), "", 'Input LwA_XYZ'!A51)</f>
        <v/>
      </c>
      <c r="Q352" s="225" t="str">
        <f>IF($P352="","",_xlfn.TEXTJOIN(" - ",TRUE,'Input LwA_XYZ'!B51:C51))</f>
        <v/>
      </c>
      <c r="R352" s="231" t="str">
        <f>IF($P352="","",'Input LwA_XYZ'!Q51)</f>
        <v/>
      </c>
      <c r="S352" s="227" t="str">
        <f>IF($P352="","",ROUND(_xlfn.XLOOKUP(Tables!$N$302,'Input LwA_XYZ'!$AH$1:$AV$1,'Input LwA_XYZ'!AH51:AV51),0))</f>
        <v/>
      </c>
      <c r="T352" s="228" t="str">
        <f>IF($P352="","",-1*ROUND(_xlfn.XLOOKUP(Tables!$N$302,'Input LwA_XYZ'!$AY$1:$BM$1,'Input LwA_XYZ'!AY51:BM51),0))</f>
        <v/>
      </c>
      <c r="U352" s="228" t="str">
        <f>IF($P352="","",IF(_xlfn.XLOOKUP(Tables!$N$302,'Input LwA_XYZ'!$BV$1:$CJ$1,'Input LwA_XYZ'!BV51:CJ51)="","-",_xlfn.XLOOKUP(Tables!$N$302,'Input LwA_XYZ'!$BV$1:$CJ$1,'Input LwA_XYZ'!BV51:CJ51)))</f>
        <v/>
      </c>
      <c r="V352" s="228" t="str">
        <f>IF($P352="","",IF('Input LwA_XYZ'!S51="","-",'Input LwA_XYZ'!S51))</f>
        <v/>
      </c>
      <c r="W352" s="229" t="str" cm="1">
        <f t="array" ref="W352">IF($P352="","",IF(_xlfn.XLOOKUP(Tables!$N$302,_xlfn.ANCHORARRAY('Input LwA_XYZ'!$DD$1),'Input LwA_XYZ'!DD51:DR51)="","-",_xlfn.XLOOKUP(Tables!$N$302,_xlfn.ANCHORARRAY('Input LwA_XYZ'!$DD$1),'Input LwA_XYZ'!DD51:DR51)))</f>
        <v/>
      </c>
      <c r="X352" s="62" t="str">
        <f>IF($P352="","",_xlfn.XLOOKUP(Tables!$N$302,'Input LwA_XYZ'!$DU$1:$EI$1,'Input LwA_XYZ'!DU51:EI51))</f>
        <v/>
      </c>
    </row>
    <row r="353" spans="14:24" ht="16.5" x14ac:dyDescent="0.3">
      <c r="P353" s="230" t="str">
        <f>IF(OR('Input LwA_XYZ'!A52 = 0, NOT(ISBLANK(_xlfn.XLOOKUP(Tables!N$302, 'Input LwA_XYZ'!CM$1:DA$1, 'Input LwA_XYZ'!CM52:DA52)))), "", 'Input LwA_XYZ'!A52)</f>
        <v/>
      </c>
      <c r="Q353" s="225" t="str">
        <f>IF($P353="","",_xlfn.TEXTJOIN(" - ",TRUE,'Input LwA_XYZ'!B52:C52))</f>
        <v/>
      </c>
      <c r="R353" s="231" t="str">
        <f>IF($P353="","",'Input LwA_XYZ'!Q52)</f>
        <v/>
      </c>
      <c r="S353" s="227" t="str">
        <f>IF($P353="","",ROUND(_xlfn.XLOOKUP(Tables!$N$302,'Input LwA_XYZ'!$AH$1:$AV$1,'Input LwA_XYZ'!AH52:AV52),0))</f>
        <v/>
      </c>
      <c r="T353" s="228" t="str">
        <f>IF($P353="","",-1*ROUND(_xlfn.XLOOKUP(Tables!$N$302,'Input LwA_XYZ'!$AY$1:$BM$1,'Input LwA_XYZ'!AY52:BM52),0))</f>
        <v/>
      </c>
      <c r="U353" s="228" t="str">
        <f>IF($P353="","",IF(_xlfn.XLOOKUP(Tables!$N$302,'Input LwA_XYZ'!$BV$1:$CJ$1,'Input LwA_XYZ'!BV52:CJ52)="","-",_xlfn.XLOOKUP(Tables!$N$302,'Input LwA_XYZ'!$BV$1:$CJ$1,'Input LwA_XYZ'!BV52:CJ52)))</f>
        <v/>
      </c>
      <c r="V353" s="228" t="str">
        <f>IF($P353="","",IF('Input LwA_XYZ'!S52="","-",'Input LwA_XYZ'!S52))</f>
        <v/>
      </c>
      <c r="W353" s="229" t="str" cm="1">
        <f t="array" ref="W353">IF($P353="","",IF(_xlfn.XLOOKUP(Tables!$N$302,_xlfn.ANCHORARRAY('Input LwA_XYZ'!$DD$1),'Input LwA_XYZ'!DD52:DR52)="","-",_xlfn.XLOOKUP(Tables!$N$302,_xlfn.ANCHORARRAY('Input LwA_XYZ'!$DD$1),'Input LwA_XYZ'!DD52:DR52)))</f>
        <v/>
      </c>
      <c r="X353" s="62" t="str">
        <f>IF($P353="","",_xlfn.XLOOKUP(Tables!$N$302,'Input LwA_XYZ'!$DU$1:$EI$1,'Input LwA_XYZ'!DU52:EI52))</f>
        <v/>
      </c>
    </row>
    <row r="354" spans="14:24" ht="16.5" x14ac:dyDescent="0.3">
      <c r="P354" s="230" t="str">
        <f>IF(OR('Input LwA_XYZ'!A53 = 0, NOT(ISBLANK(_xlfn.XLOOKUP(Tables!N$302, 'Input LwA_XYZ'!CM$1:DA$1, 'Input LwA_XYZ'!CM53:DA53)))), "", 'Input LwA_XYZ'!A53)</f>
        <v/>
      </c>
      <c r="Q354" s="225" t="str">
        <f>IF($P354="","",_xlfn.TEXTJOIN(" - ",TRUE,'Input LwA_XYZ'!B53:C53))</f>
        <v/>
      </c>
      <c r="R354" s="231" t="str">
        <f>IF($P354="","",'Input LwA_XYZ'!Q53)</f>
        <v/>
      </c>
      <c r="S354" s="227" t="str">
        <f>IF($P354="","",ROUND(_xlfn.XLOOKUP(Tables!$N$302,'Input LwA_XYZ'!$AH$1:$AV$1,'Input LwA_XYZ'!AH53:AV53),0))</f>
        <v/>
      </c>
      <c r="T354" s="228" t="str">
        <f>IF($P354="","",-1*ROUND(_xlfn.XLOOKUP(Tables!$N$302,'Input LwA_XYZ'!$AY$1:$BM$1,'Input LwA_XYZ'!AY53:BM53),0))</f>
        <v/>
      </c>
      <c r="U354" s="228" t="str">
        <f>IF($P354="","",IF(_xlfn.XLOOKUP(Tables!$N$302,'Input LwA_XYZ'!$BV$1:$CJ$1,'Input LwA_XYZ'!BV53:CJ53)="","-",_xlfn.XLOOKUP(Tables!$N$302,'Input LwA_XYZ'!$BV$1:$CJ$1,'Input LwA_XYZ'!BV53:CJ53)))</f>
        <v/>
      </c>
      <c r="V354" s="228" t="str">
        <f>IF($P354="","",IF('Input LwA_XYZ'!S53="","-",'Input LwA_XYZ'!S53))</f>
        <v/>
      </c>
      <c r="W354" s="229" t="str" cm="1">
        <f t="array" ref="W354">IF($P354="","",IF(_xlfn.XLOOKUP(Tables!$N$302,_xlfn.ANCHORARRAY('Input LwA_XYZ'!$DD$1),'Input LwA_XYZ'!DD53:DR53)="","-",_xlfn.XLOOKUP(Tables!$N$302,_xlfn.ANCHORARRAY('Input LwA_XYZ'!$DD$1),'Input LwA_XYZ'!DD53:DR53)))</f>
        <v/>
      </c>
      <c r="X354" s="62" t="str">
        <f>IF($P354="","",_xlfn.XLOOKUP(Tables!$N$302,'Input LwA_XYZ'!$DU$1:$EI$1,'Input LwA_XYZ'!DU53:EI53))</f>
        <v/>
      </c>
    </row>
    <row r="355" spans="14:24" ht="16.5" x14ac:dyDescent="0.3">
      <c r="P355" s="230" t="str">
        <f>IF(OR('Input LwA_XYZ'!A54 = 0, NOT(ISBLANK(_xlfn.XLOOKUP(Tables!N$302, 'Input LwA_XYZ'!CM$1:DA$1, 'Input LwA_XYZ'!CM54:DA54)))), "", 'Input LwA_XYZ'!A54)</f>
        <v/>
      </c>
      <c r="Q355" s="225" t="str">
        <f>IF($P355="","",_xlfn.TEXTJOIN(" - ",TRUE,'Input LwA_XYZ'!B54:C54))</f>
        <v/>
      </c>
      <c r="R355" s="231" t="str">
        <f>IF($P355="","",'Input LwA_XYZ'!Q54)</f>
        <v/>
      </c>
      <c r="S355" s="227" t="str">
        <f>IF($P355="","",ROUND(_xlfn.XLOOKUP(Tables!$N$302,'Input LwA_XYZ'!$AH$1:$AV$1,'Input LwA_XYZ'!AH54:AV54),0))</f>
        <v/>
      </c>
      <c r="T355" s="228" t="str">
        <f>IF($P355="","",-1*ROUND(_xlfn.XLOOKUP(Tables!$N$302,'Input LwA_XYZ'!$AY$1:$BM$1,'Input LwA_XYZ'!AY54:BM54),0))</f>
        <v/>
      </c>
      <c r="U355" s="228" t="str">
        <f>IF($P355="","",IF(_xlfn.XLOOKUP(Tables!$N$302,'Input LwA_XYZ'!$BV$1:$CJ$1,'Input LwA_XYZ'!BV54:CJ54)="","-",_xlfn.XLOOKUP(Tables!$N$302,'Input LwA_XYZ'!$BV$1:$CJ$1,'Input LwA_XYZ'!BV54:CJ54)))</f>
        <v/>
      </c>
      <c r="V355" s="228" t="str">
        <f>IF($P355="","",IF('Input LwA_XYZ'!S54="","-",'Input LwA_XYZ'!S54))</f>
        <v/>
      </c>
      <c r="W355" s="229" t="str" cm="1">
        <f t="array" ref="W355">IF($P355="","",IF(_xlfn.XLOOKUP(Tables!$N$302,_xlfn.ANCHORARRAY('Input LwA_XYZ'!$DD$1),'Input LwA_XYZ'!DD54:DR54)="","-",_xlfn.XLOOKUP(Tables!$N$302,_xlfn.ANCHORARRAY('Input LwA_XYZ'!$DD$1),'Input LwA_XYZ'!DD54:DR54)))</f>
        <v/>
      </c>
      <c r="X355" s="62" t="str">
        <f>IF($P355="","",_xlfn.XLOOKUP(Tables!$N$302,'Input LwA_XYZ'!$DU$1:$EI$1,'Input LwA_XYZ'!DU54:EI54))</f>
        <v/>
      </c>
    </row>
    <row r="356" spans="14:24" ht="16.5" x14ac:dyDescent="0.3">
      <c r="P356" s="230" t="str">
        <f>IF(OR('Input LwA_XYZ'!A55 = 0, NOT(ISBLANK(_xlfn.XLOOKUP(Tables!N$302, 'Input LwA_XYZ'!CM$1:DA$1, 'Input LwA_XYZ'!CM55:DA55)))), "", 'Input LwA_XYZ'!A55)</f>
        <v/>
      </c>
      <c r="Q356" s="225" t="str">
        <f>IF($P356="","",_xlfn.TEXTJOIN(" - ",TRUE,'Input LwA_XYZ'!B55:C55))</f>
        <v/>
      </c>
      <c r="R356" s="231" t="str">
        <f>IF($P356="","",'Input LwA_XYZ'!Q55)</f>
        <v/>
      </c>
      <c r="S356" s="227" t="str">
        <f>IF($P356="","",ROUND(_xlfn.XLOOKUP(Tables!$N$302,'Input LwA_XYZ'!$AH$1:$AV$1,'Input LwA_XYZ'!AH55:AV55),0))</f>
        <v/>
      </c>
      <c r="T356" s="228" t="str">
        <f>IF($P356="","",-1*ROUND(_xlfn.XLOOKUP(Tables!$N$302,'Input LwA_XYZ'!$AY$1:$BM$1,'Input LwA_XYZ'!AY55:BM55),0))</f>
        <v/>
      </c>
      <c r="U356" s="228" t="str">
        <f>IF($P356="","",IF(_xlfn.XLOOKUP(Tables!$N$302,'Input LwA_XYZ'!$BV$1:$CJ$1,'Input LwA_XYZ'!BV55:CJ55)="","-",_xlfn.XLOOKUP(Tables!$N$302,'Input LwA_XYZ'!$BV$1:$CJ$1,'Input LwA_XYZ'!BV55:CJ55)))</f>
        <v/>
      </c>
      <c r="V356" s="228" t="str">
        <f>IF($P356="","",IF('Input LwA_XYZ'!S55="","-",'Input LwA_XYZ'!S55))</f>
        <v/>
      </c>
      <c r="W356" s="229" t="str" cm="1">
        <f t="array" ref="W356">IF($P356="","",IF(_xlfn.XLOOKUP(Tables!$N$302,_xlfn.ANCHORARRAY('Input LwA_XYZ'!$DD$1),'Input LwA_XYZ'!DD55:DR55)="","-",_xlfn.XLOOKUP(Tables!$N$302,_xlfn.ANCHORARRAY('Input LwA_XYZ'!$DD$1),'Input LwA_XYZ'!DD55:DR55)))</f>
        <v/>
      </c>
      <c r="X356" s="62" t="str">
        <f>IF($P356="","",_xlfn.XLOOKUP(Tables!$N$302,'Input LwA_XYZ'!$DU$1:$EI$1,'Input LwA_XYZ'!DU55:EI55))</f>
        <v/>
      </c>
    </row>
    <row r="357" spans="14:24" ht="16.5" x14ac:dyDescent="0.3">
      <c r="P357" s="230" t="str">
        <f>IF(OR('Input LwA_XYZ'!A56 = 0, NOT(ISBLANK(_xlfn.XLOOKUP(Tables!N$302, 'Input LwA_XYZ'!CM$1:DA$1, 'Input LwA_XYZ'!CM56:DA56)))), "", 'Input LwA_XYZ'!A56)</f>
        <v/>
      </c>
      <c r="Q357" s="225" t="str">
        <f>IF($P357="","",_xlfn.TEXTJOIN(" - ",TRUE,'Input LwA_XYZ'!B56:C56))</f>
        <v/>
      </c>
      <c r="R357" s="231" t="str">
        <f>IF($P357="","",'Input LwA_XYZ'!Q56)</f>
        <v/>
      </c>
      <c r="S357" s="227" t="str">
        <f>IF($P357="","",ROUND(_xlfn.XLOOKUP(Tables!$N$302,'Input LwA_XYZ'!$AH$1:$AV$1,'Input LwA_XYZ'!AH56:AV56),0))</f>
        <v/>
      </c>
      <c r="T357" s="228" t="str">
        <f>IF($P357="","",-1*ROUND(_xlfn.XLOOKUP(Tables!$N$302,'Input LwA_XYZ'!$AY$1:$BM$1,'Input LwA_XYZ'!AY56:BM56),0))</f>
        <v/>
      </c>
      <c r="U357" s="228" t="str">
        <f>IF($P357="","",IF(_xlfn.XLOOKUP(Tables!$N$302,'Input LwA_XYZ'!$BV$1:$CJ$1,'Input LwA_XYZ'!BV56:CJ56)="","-",_xlfn.XLOOKUP(Tables!$N$302,'Input LwA_XYZ'!$BV$1:$CJ$1,'Input LwA_XYZ'!BV56:CJ56)))</f>
        <v/>
      </c>
      <c r="V357" s="228" t="str">
        <f>IF($P357="","",IF('Input LwA_XYZ'!S56="","-",'Input LwA_XYZ'!S56))</f>
        <v/>
      </c>
      <c r="W357" s="229" t="str" cm="1">
        <f t="array" ref="W357">IF($P357="","",IF(_xlfn.XLOOKUP(Tables!$N$302,_xlfn.ANCHORARRAY('Input LwA_XYZ'!$DD$1),'Input LwA_XYZ'!DD56:DR56)="","-",_xlfn.XLOOKUP(Tables!$N$302,_xlfn.ANCHORARRAY('Input LwA_XYZ'!$DD$1),'Input LwA_XYZ'!DD56:DR56)))</f>
        <v/>
      </c>
      <c r="X357" s="62" t="str">
        <f>IF($P357="","",_xlfn.XLOOKUP(Tables!$N$302,'Input LwA_XYZ'!$DU$1:$EI$1,'Input LwA_XYZ'!DU56:EI56))</f>
        <v/>
      </c>
    </row>
    <row r="358" spans="14:24" ht="16.5" x14ac:dyDescent="0.3">
      <c r="P358" s="230" t="str">
        <f>IF(OR('Input LwA_XYZ'!A57 = 0, NOT(ISBLANK(_xlfn.XLOOKUP(Tables!N$302, 'Input LwA_XYZ'!CM$1:DA$1, 'Input LwA_XYZ'!CM57:DA57)))), "", 'Input LwA_XYZ'!A57)</f>
        <v/>
      </c>
      <c r="Q358" s="225" t="str">
        <f>IF($P358="","",_xlfn.TEXTJOIN(" - ",TRUE,'Input LwA_XYZ'!B57:C57))</f>
        <v/>
      </c>
      <c r="R358" s="231" t="str">
        <f>IF($P358="","",'Input LwA_XYZ'!Q57)</f>
        <v/>
      </c>
      <c r="S358" s="227" t="str">
        <f>IF($P358="","",ROUND(_xlfn.XLOOKUP(Tables!$N$302,'Input LwA_XYZ'!$AH$1:$AV$1,'Input LwA_XYZ'!AH57:AV57),0))</f>
        <v/>
      </c>
      <c r="T358" s="228" t="str">
        <f>IF($P358="","",-1*ROUND(_xlfn.XLOOKUP(Tables!$N$302,'Input LwA_XYZ'!$AY$1:$BM$1,'Input LwA_XYZ'!AY57:BM57),0))</f>
        <v/>
      </c>
      <c r="U358" s="228" t="str">
        <f>IF($P358="","",IF(_xlfn.XLOOKUP(Tables!$N$302,'Input LwA_XYZ'!$BV$1:$CJ$1,'Input LwA_XYZ'!BV57:CJ57)="","-",_xlfn.XLOOKUP(Tables!$N$302,'Input LwA_XYZ'!$BV$1:$CJ$1,'Input LwA_XYZ'!BV57:CJ57)))</f>
        <v/>
      </c>
      <c r="V358" s="228" t="str">
        <f>IF($P358="","",IF('Input LwA_XYZ'!S57="","-",'Input LwA_XYZ'!S57))</f>
        <v/>
      </c>
      <c r="W358" s="229" t="str" cm="1">
        <f t="array" ref="W358">IF($P358="","",IF(_xlfn.XLOOKUP(Tables!$N$302,_xlfn.ANCHORARRAY('Input LwA_XYZ'!$DD$1),'Input LwA_XYZ'!DD57:DR57)="","-",_xlfn.XLOOKUP(Tables!$N$302,_xlfn.ANCHORARRAY('Input LwA_XYZ'!$DD$1),'Input LwA_XYZ'!DD57:DR57)))</f>
        <v/>
      </c>
      <c r="X358" s="62" t="str">
        <f>IF($P358="","",_xlfn.XLOOKUP(Tables!$N$302,'Input LwA_XYZ'!$DU$1:$EI$1,'Input LwA_XYZ'!DU57:EI57))</f>
        <v/>
      </c>
    </row>
    <row r="359" spans="14:24" ht="17.25" thickBot="1" x14ac:dyDescent="0.35">
      <c r="P359" s="232" t="str">
        <f>IF(OR('Input LwA_XYZ'!A58 = 0, NOT(ISBLANK(_xlfn.XLOOKUP(Tables!N$302, 'Input LwA_XYZ'!CM$1:DA$1, 'Input LwA_XYZ'!CM58:DA58)))), "", 'Input LwA_XYZ'!A58)</f>
        <v/>
      </c>
      <c r="Q359" s="233" t="str">
        <f>IF($P359="","",_xlfn.TEXTJOIN(" - ",TRUE,'Input LwA_XYZ'!B58:C58))</f>
        <v/>
      </c>
      <c r="R359" s="234" t="str">
        <f>IF($P359="","",'Input LwA_XYZ'!Q58)</f>
        <v/>
      </c>
      <c r="S359" s="235" t="str">
        <f>IF($P359="","",ROUND(_xlfn.XLOOKUP(Tables!$N$302,'Input LwA_XYZ'!$AH$1:$AV$1,'Input LwA_XYZ'!AH58:AV58),0))</f>
        <v/>
      </c>
      <c r="T359" s="236" t="str">
        <f>IF($P359="","",-1*ROUND(_xlfn.XLOOKUP(Tables!$N$302,'Input LwA_XYZ'!$AY$1:$BM$1,'Input LwA_XYZ'!AY58:BM58),0))</f>
        <v/>
      </c>
      <c r="U359" s="228" t="str">
        <f>IF($P359="","",IF(_xlfn.XLOOKUP(Tables!$N$302,'Input LwA_XYZ'!$BV$1:$CJ$1,'Input LwA_XYZ'!BV58:CJ58)="","-",_xlfn.XLOOKUP(Tables!$N$302,'Input LwA_XYZ'!$BV$1:$CJ$1,'Input LwA_XYZ'!BV58:CJ58)))</f>
        <v/>
      </c>
      <c r="V359" s="228" t="str">
        <f>IF($P359="","",IF('Input LwA_XYZ'!S58="","-",'Input LwA_XYZ'!S58))</f>
        <v/>
      </c>
      <c r="W359" s="229" t="str" cm="1">
        <f t="array" ref="W359">IF($P359="","",IF(_xlfn.XLOOKUP(Tables!$N$302,_xlfn.ANCHORARRAY('Input LwA_XYZ'!$DD$1),'Input LwA_XYZ'!DD58:DR58)="","-",_xlfn.XLOOKUP(Tables!$N$302,_xlfn.ANCHORARRAY('Input LwA_XYZ'!$DD$1),'Input LwA_XYZ'!DD58:DR58)))</f>
        <v/>
      </c>
      <c r="X359" s="63" t="str">
        <f>IF($P359="","",_xlfn.XLOOKUP(Tables!$N$302,'Input LwA_XYZ'!$DU$1:$EI$1,'Input LwA_XYZ'!DU58:EI58))</f>
        <v/>
      </c>
    </row>
    <row r="360" spans="14:24" ht="17.25" thickBot="1" x14ac:dyDescent="0.35">
      <c r="P360" s="237" t="s">
        <v>215</v>
      </c>
      <c r="Q360" s="238"/>
      <c r="R360" s="239"/>
      <c r="S360" s="238"/>
      <c r="T360" s="240"/>
      <c r="U360" s="240"/>
      <c r="V360" s="240"/>
      <c r="W360" s="241"/>
      <c r="X360" s="219">
        <f>_xlfn.XLOOKUP(Tables!$N$302,'Input LwA_XYZ'!$Z$2:$Z$16,'Input LwA_XYZ'!$AE$2:$AE$16)</f>
        <v>53</v>
      </c>
    </row>
    <row r="361" spans="14:24" ht="15.75" thickBot="1" x14ac:dyDescent="0.3">
      <c r="P361" s="221"/>
    </row>
    <row r="362" spans="14:24" ht="33.75" thickBot="1" x14ac:dyDescent="0.35">
      <c r="N362" s="66" t="s">
        <v>206</v>
      </c>
      <c r="P362" s="242" t="s">
        <v>79</v>
      </c>
      <c r="Q362" s="243" t="s">
        <v>80</v>
      </c>
      <c r="R362" s="244" t="s">
        <v>81</v>
      </c>
      <c r="S362" s="244" t="s">
        <v>19</v>
      </c>
      <c r="T362" s="244" t="s">
        <v>216</v>
      </c>
      <c r="U362" s="246" t="s">
        <v>82</v>
      </c>
      <c r="V362" s="247" t="s">
        <v>83</v>
      </c>
      <c r="W362" s="248" t="s">
        <v>236</v>
      </c>
      <c r="X362" s="245" t="s">
        <v>78</v>
      </c>
    </row>
    <row r="363" spans="14:24" ht="17.25" thickBot="1" x14ac:dyDescent="0.35">
      <c r="N363" s="66" t="str">
        <f>_xlfn.XLOOKUP(N362, 'Input LwA_XYZ'!$Z$2:$Z$16, 'Input LwA_XYZ'!$AF$2:$AF$16, "")</f>
        <v/>
      </c>
      <c r="P363" s="224" t="str">
        <f>IF(OR('Input LwA_XYZ'!A2 = 0, NOT(ISBLANK(_xlfn.XLOOKUP(Tables!N$362, 'Input LwA_XYZ'!CM$1:DA$1, 'Input LwA_XYZ'!CM2:DA2)))), "", 'Input LwA_XYZ'!A2)</f>
        <v/>
      </c>
      <c r="Q363" s="225" t="str">
        <f>IF($P363="","",_xlfn.TEXTJOIN(" - ",TRUE,'Input LwA_XYZ'!B2:C2))</f>
        <v/>
      </c>
      <c r="R363" s="226" t="str">
        <f>IF($P363="","",'Input LwA_XYZ'!Q2)</f>
        <v/>
      </c>
      <c r="S363" s="227" t="str">
        <f>IF($P363="","",ROUND(_xlfn.XLOOKUP(Tables!$N$362,'Input LwA_XYZ'!$AH$1:$AV$1,'Input LwA_XYZ'!AH2:AV2),0))</f>
        <v/>
      </c>
      <c r="T363" s="228" t="str">
        <f>IF($P363="","",-1*ROUND(_xlfn.XLOOKUP(Tables!$N$362,'Input LwA_XYZ'!$AY$1:$BM$1,'Input LwA_XYZ'!AY2:BM2),0))</f>
        <v/>
      </c>
      <c r="U363" s="228" t="str">
        <f>IF($P363="","",IF(_xlfn.XLOOKUP(Tables!$N$362,'Input LwA_XYZ'!$BV$1:$CJ$1,'Input LwA_XYZ'!BV2:CJ2)="","-",_xlfn.XLOOKUP(Tables!$N$362,'Input LwA_XYZ'!$BV$1:$CJ$1,'Input LwA_XYZ'!BV2:CJ2)))</f>
        <v/>
      </c>
      <c r="V363" s="228" t="str">
        <f>IF($P363="","",IF('Input LwA_XYZ'!S2="","-",'Input LwA_XYZ'!S2))</f>
        <v/>
      </c>
      <c r="W363" s="229" t="str" cm="1">
        <f t="array" ref="W363">IF($P363="","",IF(_xlfn.XLOOKUP(Tables!$N$362,_xlfn.ANCHORARRAY('Input LwA_XYZ'!$DD$1),'Input LwA_XYZ'!DD2:DR2)="","-",_xlfn.XLOOKUP(Tables!$N$362,_xlfn.ANCHORARRAY('Input LwA_XYZ'!$DD$1),'Input LwA_XYZ'!DD2:DR2)))</f>
        <v/>
      </c>
      <c r="X363" s="88" t="str">
        <f>IF($P363="","",_xlfn.XLOOKUP(Tables!$N$362,'Input LwA_XYZ'!$DU$1:$EI$1,'Input LwA_XYZ'!DU2:EI2))</f>
        <v/>
      </c>
    </row>
    <row r="364" spans="14:24" ht="16.5" x14ac:dyDescent="0.3">
      <c r="P364" s="230" t="str">
        <f>IF(OR('Input LwA_XYZ'!A3 = 0, NOT(ISBLANK(_xlfn.XLOOKUP(Tables!N$362, 'Input LwA_XYZ'!CM$1:DA$1, 'Input LwA_XYZ'!CM3:DA3)))), "", 'Input LwA_XYZ'!A3)</f>
        <v/>
      </c>
      <c r="Q364" s="225" t="str">
        <f>IF($P364="","",_xlfn.TEXTJOIN(" - ",TRUE,'Input LwA_XYZ'!B3:C3))</f>
        <v/>
      </c>
      <c r="R364" s="231" t="str">
        <f>IF($P364="","",'Input LwA_XYZ'!Q3)</f>
        <v/>
      </c>
      <c r="S364" s="227" t="str">
        <f>IF($P364="","",ROUND(_xlfn.XLOOKUP(Tables!$N$362,'Input LwA_XYZ'!$AH$1:$AV$1,'Input LwA_XYZ'!AH3:AV3),0))</f>
        <v/>
      </c>
      <c r="T364" s="228" t="str">
        <f>IF($P364="","",-1*ROUND(_xlfn.XLOOKUP(Tables!$N$362,'Input LwA_XYZ'!$AY$1:$BM$1,'Input LwA_XYZ'!AY3:BM3),0))</f>
        <v/>
      </c>
      <c r="U364" s="228" t="str">
        <f>IF($P364="","",IF(_xlfn.XLOOKUP(Tables!$N$362,'Input LwA_XYZ'!$BV$1:$CJ$1,'Input LwA_XYZ'!BV3:CJ3)="","-",_xlfn.XLOOKUP(Tables!$N$362,'Input LwA_XYZ'!$BV$1:$CJ$1,'Input LwA_XYZ'!BV3:CJ3)))</f>
        <v/>
      </c>
      <c r="V364" s="228" t="str">
        <f>IF($P364="","",IF('Input LwA_XYZ'!S3="","-",'Input LwA_XYZ'!S3))</f>
        <v/>
      </c>
      <c r="W364" s="229" t="str" cm="1">
        <f t="array" ref="W364">IF($P364="","",IF(_xlfn.XLOOKUP(Tables!$N$362,_xlfn.ANCHORARRAY('Input LwA_XYZ'!$DD$1),'Input LwA_XYZ'!DD3:DR3)="","-",_xlfn.XLOOKUP(Tables!$N$362,_xlfn.ANCHORARRAY('Input LwA_XYZ'!$DD$1),'Input LwA_XYZ'!DD3:DR3)))</f>
        <v/>
      </c>
      <c r="X364" s="62" t="str">
        <f>IF($P364="","",_xlfn.XLOOKUP(Tables!$N$362,'Input LwA_XYZ'!$DU$1:$EI$1,'Input LwA_XYZ'!DU3:EI3))</f>
        <v/>
      </c>
    </row>
    <row r="365" spans="14:24" ht="16.5" x14ac:dyDescent="0.3">
      <c r="P365" s="230" t="str">
        <f>IF(OR('Input LwA_XYZ'!A4 = 0, NOT(ISBLANK(_xlfn.XLOOKUP(Tables!N$362, 'Input LwA_XYZ'!CM$1:DA$1, 'Input LwA_XYZ'!CM4:DA4)))), "", 'Input LwA_XYZ'!A4)</f>
        <v/>
      </c>
      <c r="Q365" s="225" t="str">
        <f>IF($P365="","",_xlfn.TEXTJOIN(" - ",TRUE,'Input LwA_XYZ'!B4:C4))</f>
        <v/>
      </c>
      <c r="R365" s="231" t="str">
        <f>IF($P365="","",'Input LwA_XYZ'!Q4)</f>
        <v/>
      </c>
      <c r="S365" s="227" t="str">
        <f>IF($P365="","",ROUND(_xlfn.XLOOKUP(Tables!$N$362,'Input LwA_XYZ'!$AH$1:$AV$1,'Input LwA_XYZ'!AH4:AV4),0))</f>
        <v/>
      </c>
      <c r="T365" s="228" t="str">
        <f>IF($P365="","",-1*ROUND(_xlfn.XLOOKUP(Tables!$N$362,'Input LwA_XYZ'!$AY$1:$BM$1,'Input LwA_XYZ'!AY4:BM4),0))</f>
        <v/>
      </c>
      <c r="U365" s="228" t="str">
        <f>IF($P365="","",IF(_xlfn.XLOOKUP(Tables!$N$362,'Input LwA_XYZ'!$BV$1:$CJ$1,'Input LwA_XYZ'!BV4:CJ4)="","-",_xlfn.XLOOKUP(Tables!$N$362,'Input LwA_XYZ'!$BV$1:$CJ$1,'Input LwA_XYZ'!BV4:CJ4)))</f>
        <v/>
      </c>
      <c r="V365" s="228" t="str">
        <f>IF($P365="","",IF('Input LwA_XYZ'!S4="","-",'Input LwA_XYZ'!S4))</f>
        <v/>
      </c>
      <c r="W365" s="229" t="str" cm="1">
        <f t="array" ref="W365">IF($P365="","",IF(_xlfn.XLOOKUP(Tables!$N$362,_xlfn.ANCHORARRAY('Input LwA_XYZ'!$DD$1),'Input LwA_XYZ'!DD4:DR4)="","-",_xlfn.XLOOKUP(Tables!$N$362,_xlfn.ANCHORARRAY('Input LwA_XYZ'!$DD$1),'Input LwA_XYZ'!DD4:DR4)))</f>
        <v/>
      </c>
      <c r="X365" s="62" t="str">
        <f>IF($P365="","",_xlfn.XLOOKUP(Tables!$N$362,'Input LwA_XYZ'!$DU$1:$EI$1,'Input LwA_XYZ'!DU4:EI4))</f>
        <v/>
      </c>
    </row>
    <row r="366" spans="14:24" ht="16.5" x14ac:dyDescent="0.3">
      <c r="P366" s="230" t="str">
        <f>IF(OR('Input LwA_XYZ'!A5 = 0, NOT(ISBLANK(_xlfn.XLOOKUP(Tables!N$362, 'Input LwA_XYZ'!CM$1:DA$1, 'Input LwA_XYZ'!CM5:DA5)))), "", 'Input LwA_XYZ'!A5)</f>
        <v/>
      </c>
      <c r="Q366" s="225" t="str">
        <f>IF($P366="","",_xlfn.TEXTJOIN(" - ",TRUE,'Input LwA_XYZ'!B5:C5))</f>
        <v/>
      </c>
      <c r="R366" s="231" t="str">
        <f>IF($P366="","",'Input LwA_XYZ'!Q5)</f>
        <v/>
      </c>
      <c r="S366" s="227" t="str">
        <f>IF($P366="","",ROUND(_xlfn.XLOOKUP(Tables!$N$362,'Input LwA_XYZ'!$AH$1:$AV$1,'Input LwA_XYZ'!AH5:AV5),0))</f>
        <v/>
      </c>
      <c r="T366" s="228" t="str">
        <f>IF($P366="","",-1*ROUND(_xlfn.XLOOKUP(Tables!$N$362,'Input LwA_XYZ'!$AY$1:$BM$1,'Input LwA_XYZ'!AY5:BM5),0))</f>
        <v/>
      </c>
      <c r="U366" s="228" t="str">
        <f>IF($P366="","",IF(_xlfn.XLOOKUP(Tables!$N$362,'Input LwA_XYZ'!$BV$1:$CJ$1,'Input LwA_XYZ'!BV5:CJ5)="","-",_xlfn.XLOOKUP(Tables!$N$362,'Input LwA_XYZ'!$BV$1:$CJ$1,'Input LwA_XYZ'!BV5:CJ5)))</f>
        <v/>
      </c>
      <c r="V366" s="228" t="str">
        <f>IF($P366="","",IF('Input LwA_XYZ'!S5="","-",'Input LwA_XYZ'!S5))</f>
        <v/>
      </c>
      <c r="W366" s="229" t="str" cm="1">
        <f t="array" ref="W366">IF($P366="","",IF(_xlfn.XLOOKUP(Tables!$N$362,_xlfn.ANCHORARRAY('Input LwA_XYZ'!$DD$1),'Input LwA_XYZ'!DD5:DR5)="","-",_xlfn.XLOOKUP(Tables!$N$362,_xlfn.ANCHORARRAY('Input LwA_XYZ'!$DD$1),'Input LwA_XYZ'!DD5:DR5)))</f>
        <v/>
      </c>
      <c r="X366" s="62" t="str">
        <f>IF($P366="","",_xlfn.XLOOKUP(Tables!$N$362,'Input LwA_XYZ'!$DU$1:$EI$1,'Input LwA_XYZ'!DU5:EI5))</f>
        <v/>
      </c>
    </row>
    <row r="367" spans="14:24" ht="16.5" x14ac:dyDescent="0.3">
      <c r="P367" s="230" t="str">
        <f>IF(OR('Input LwA_XYZ'!A6 = 0, NOT(ISBLANK(_xlfn.XLOOKUP(Tables!N$362, 'Input LwA_XYZ'!CM$1:DA$1, 'Input LwA_XYZ'!CM6:DA6)))), "", 'Input LwA_XYZ'!A6)</f>
        <v/>
      </c>
      <c r="Q367" s="225" t="str">
        <f>IF($P367="","",_xlfn.TEXTJOIN(" - ",TRUE,'Input LwA_XYZ'!B6:C6))</f>
        <v/>
      </c>
      <c r="R367" s="231" t="str">
        <f>IF($P367="","",'Input LwA_XYZ'!Q6)</f>
        <v/>
      </c>
      <c r="S367" s="227" t="str">
        <f>IF($P367="","",ROUND(_xlfn.XLOOKUP(Tables!$N$362,'Input LwA_XYZ'!$AH$1:$AV$1,'Input LwA_XYZ'!AH6:AV6),0))</f>
        <v/>
      </c>
      <c r="T367" s="228" t="str">
        <f>IF($P367="","",-1*ROUND(_xlfn.XLOOKUP(Tables!$N$362,'Input LwA_XYZ'!$AY$1:$BM$1,'Input LwA_XYZ'!AY6:BM6),0))</f>
        <v/>
      </c>
      <c r="U367" s="228" t="str">
        <f>IF($P367="","",IF(_xlfn.XLOOKUP(Tables!$N$362,'Input LwA_XYZ'!$BV$1:$CJ$1,'Input LwA_XYZ'!BV6:CJ6)="","-",_xlfn.XLOOKUP(Tables!$N$362,'Input LwA_XYZ'!$BV$1:$CJ$1,'Input LwA_XYZ'!BV6:CJ6)))</f>
        <v/>
      </c>
      <c r="V367" s="228" t="str">
        <f>IF($P367="","",IF('Input LwA_XYZ'!S6="","-",'Input LwA_XYZ'!S6))</f>
        <v/>
      </c>
      <c r="W367" s="229" t="str" cm="1">
        <f t="array" ref="W367">IF($P367="","",IF(_xlfn.XLOOKUP(Tables!$N$362,_xlfn.ANCHORARRAY('Input LwA_XYZ'!$DD$1),'Input LwA_XYZ'!DD6:DR6)="","-",_xlfn.XLOOKUP(Tables!$N$362,_xlfn.ANCHORARRAY('Input LwA_XYZ'!$DD$1),'Input LwA_XYZ'!DD6:DR6)))</f>
        <v/>
      </c>
      <c r="X367" s="62" t="str">
        <f>IF($P367="","",_xlfn.XLOOKUP(Tables!$N$362,'Input LwA_XYZ'!$DU$1:$EI$1,'Input LwA_XYZ'!DU6:EI6))</f>
        <v/>
      </c>
    </row>
    <row r="368" spans="14:24" ht="16.5" x14ac:dyDescent="0.3">
      <c r="P368" s="230" t="str">
        <f>IF(OR('Input LwA_XYZ'!A7 = 0, NOT(ISBLANK(_xlfn.XLOOKUP(Tables!N$362, 'Input LwA_XYZ'!CM$1:DA$1, 'Input LwA_XYZ'!CM7:DA7)))), "", 'Input LwA_XYZ'!A7)</f>
        <v/>
      </c>
      <c r="Q368" s="225" t="str">
        <f>IF($P368="","",_xlfn.TEXTJOIN(" - ",TRUE,'Input LwA_XYZ'!B7:C7))</f>
        <v/>
      </c>
      <c r="R368" s="231" t="str">
        <f>IF($P368="","",'Input LwA_XYZ'!Q7)</f>
        <v/>
      </c>
      <c r="S368" s="227" t="str">
        <f>IF($P368="","",ROUND(_xlfn.XLOOKUP(Tables!$N$362,'Input LwA_XYZ'!$AH$1:$AV$1,'Input LwA_XYZ'!AH7:AV7),0))</f>
        <v/>
      </c>
      <c r="T368" s="228" t="str">
        <f>IF($P368="","",-1*ROUND(_xlfn.XLOOKUP(Tables!$N$362,'Input LwA_XYZ'!$AY$1:$BM$1,'Input LwA_XYZ'!AY7:BM7),0))</f>
        <v/>
      </c>
      <c r="U368" s="228" t="str">
        <f>IF($P368="","",IF(_xlfn.XLOOKUP(Tables!$N$362,'Input LwA_XYZ'!$BV$1:$CJ$1,'Input LwA_XYZ'!BV7:CJ7)="","-",_xlfn.XLOOKUP(Tables!$N$362,'Input LwA_XYZ'!$BV$1:$CJ$1,'Input LwA_XYZ'!BV7:CJ7)))</f>
        <v/>
      </c>
      <c r="V368" s="228" t="str">
        <f>IF($P368="","",IF('Input LwA_XYZ'!S7="","-",'Input LwA_XYZ'!S7))</f>
        <v/>
      </c>
      <c r="W368" s="229" t="str" cm="1">
        <f t="array" ref="W368">IF($P368="","",IF(_xlfn.XLOOKUP(Tables!$N$362,_xlfn.ANCHORARRAY('Input LwA_XYZ'!$DD$1),'Input LwA_XYZ'!DD7:DR7)="","-",_xlfn.XLOOKUP(Tables!$N$362,_xlfn.ANCHORARRAY('Input LwA_XYZ'!$DD$1),'Input LwA_XYZ'!DD7:DR7)))</f>
        <v/>
      </c>
      <c r="X368" s="62" t="str">
        <f>IF($P368="","",_xlfn.XLOOKUP(Tables!$N$362,'Input LwA_XYZ'!$DU$1:$EI$1,'Input LwA_XYZ'!DU7:EI7))</f>
        <v/>
      </c>
    </row>
    <row r="369" spans="16:24" ht="16.5" x14ac:dyDescent="0.3">
      <c r="P369" s="230" t="str">
        <f>IF(OR('Input LwA_XYZ'!A8 = 0, NOT(ISBLANK(_xlfn.XLOOKUP(Tables!N$362, 'Input LwA_XYZ'!CM$1:DA$1, 'Input LwA_XYZ'!CM8:DA8)))), "", 'Input LwA_XYZ'!A8)</f>
        <v/>
      </c>
      <c r="Q369" s="225" t="str">
        <f>IF($P369="","",_xlfn.TEXTJOIN(" - ",TRUE,'Input LwA_XYZ'!B8:C8))</f>
        <v/>
      </c>
      <c r="R369" s="231" t="str">
        <f>IF($P369="","",'Input LwA_XYZ'!Q8)</f>
        <v/>
      </c>
      <c r="S369" s="227" t="str">
        <f>IF($P369="","",ROUND(_xlfn.XLOOKUP(Tables!$N$362,'Input LwA_XYZ'!$AH$1:$AV$1,'Input LwA_XYZ'!AH8:AV8),0))</f>
        <v/>
      </c>
      <c r="T369" s="228" t="str">
        <f>IF($P369="","",-1*ROUND(_xlfn.XLOOKUP(Tables!$N$362,'Input LwA_XYZ'!$AY$1:$BM$1,'Input LwA_XYZ'!AY8:BM8),0))</f>
        <v/>
      </c>
      <c r="U369" s="228" t="str">
        <f>IF($P369="","",IF(_xlfn.XLOOKUP(Tables!$N$362,'Input LwA_XYZ'!$BV$1:$CJ$1,'Input LwA_XYZ'!BV8:CJ8)="","-",_xlfn.XLOOKUP(Tables!$N$362,'Input LwA_XYZ'!$BV$1:$CJ$1,'Input LwA_XYZ'!BV8:CJ8)))</f>
        <v/>
      </c>
      <c r="V369" s="228" t="str">
        <f>IF($P369="","",IF('Input LwA_XYZ'!S8="","-",'Input LwA_XYZ'!S8))</f>
        <v/>
      </c>
      <c r="W369" s="229" t="str" cm="1">
        <f t="array" ref="W369">IF($P369="","",IF(_xlfn.XLOOKUP(Tables!$N$362,_xlfn.ANCHORARRAY('Input LwA_XYZ'!$DD$1),'Input LwA_XYZ'!DD8:DR8)="","-",_xlfn.XLOOKUP(Tables!$N$362,_xlfn.ANCHORARRAY('Input LwA_XYZ'!$DD$1),'Input LwA_XYZ'!DD8:DR8)))</f>
        <v/>
      </c>
      <c r="X369" s="62" t="str">
        <f>IF($P369="","",_xlfn.XLOOKUP(Tables!$N$362,'Input LwA_XYZ'!$DU$1:$EI$1,'Input LwA_XYZ'!DU8:EI8))</f>
        <v/>
      </c>
    </row>
    <row r="370" spans="16:24" ht="16.5" x14ac:dyDescent="0.3">
      <c r="P370" s="230" t="str">
        <f>IF(OR('Input LwA_XYZ'!A9 = 0, NOT(ISBLANK(_xlfn.XLOOKUP(Tables!N$362, 'Input LwA_XYZ'!CM$1:DA$1, 'Input LwA_XYZ'!CM9:DA9)))), "", 'Input LwA_XYZ'!A9)</f>
        <v/>
      </c>
      <c r="Q370" s="225" t="str">
        <f>IF($P370="","",_xlfn.TEXTJOIN(" - ",TRUE,'Input LwA_XYZ'!B9:C9))</f>
        <v/>
      </c>
      <c r="R370" s="231" t="str">
        <f>IF($P370="","",'Input LwA_XYZ'!Q9)</f>
        <v/>
      </c>
      <c r="S370" s="227" t="str">
        <f>IF($P370="","",ROUND(_xlfn.XLOOKUP(Tables!$N$362,'Input LwA_XYZ'!$AH$1:$AV$1,'Input LwA_XYZ'!AH9:AV9),0))</f>
        <v/>
      </c>
      <c r="T370" s="228" t="str">
        <f>IF($P370="","",-1*ROUND(_xlfn.XLOOKUP(Tables!$N$362,'Input LwA_XYZ'!$AY$1:$BM$1,'Input LwA_XYZ'!AY9:BM9),0))</f>
        <v/>
      </c>
      <c r="U370" s="228" t="str">
        <f>IF($P370="","",IF(_xlfn.XLOOKUP(Tables!$N$362,'Input LwA_XYZ'!$BV$1:$CJ$1,'Input LwA_XYZ'!BV9:CJ9)="","-",_xlfn.XLOOKUP(Tables!$N$362,'Input LwA_XYZ'!$BV$1:$CJ$1,'Input LwA_XYZ'!BV9:CJ9)))</f>
        <v/>
      </c>
      <c r="V370" s="228" t="str">
        <f>IF($P370="","",IF('Input LwA_XYZ'!S9="","-",'Input LwA_XYZ'!S9))</f>
        <v/>
      </c>
      <c r="W370" s="229" t="str" cm="1">
        <f t="array" ref="W370">IF($P370="","",IF(_xlfn.XLOOKUP(Tables!$N$362,_xlfn.ANCHORARRAY('Input LwA_XYZ'!$DD$1),'Input LwA_XYZ'!DD9:DR9)="","-",_xlfn.XLOOKUP(Tables!$N$362,_xlfn.ANCHORARRAY('Input LwA_XYZ'!$DD$1),'Input LwA_XYZ'!DD9:DR9)))</f>
        <v/>
      </c>
      <c r="X370" s="62" t="str">
        <f>IF($P370="","",_xlfn.XLOOKUP(Tables!$N$362,'Input LwA_XYZ'!$DU$1:$EI$1,'Input LwA_XYZ'!DU9:EI9))</f>
        <v/>
      </c>
    </row>
    <row r="371" spans="16:24" ht="16.5" x14ac:dyDescent="0.3">
      <c r="P371" s="230" t="str">
        <f>IF(OR('Input LwA_XYZ'!A10 = 0, NOT(ISBLANK(_xlfn.XLOOKUP(Tables!N$362, 'Input LwA_XYZ'!CM$1:DA$1, 'Input LwA_XYZ'!CM10:DA10)))), "", 'Input LwA_XYZ'!A10)</f>
        <v/>
      </c>
      <c r="Q371" s="225" t="str">
        <f>IF($P371="","",_xlfn.TEXTJOIN(" - ",TRUE,'Input LwA_XYZ'!B10:C10))</f>
        <v/>
      </c>
      <c r="R371" s="231" t="str">
        <f>IF($P371="","",'Input LwA_XYZ'!Q10)</f>
        <v/>
      </c>
      <c r="S371" s="227" t="str">
        <f>IF($P371="","",ROUND(_xlfn.XLOOKUP(Tables!$N$362,'Input LwA_XYZ'!$AH$1:$AV$1,'Input LwA_XYZ'!AH10:AV10),0))</f>
        <v/>
      </c>
      <c r="T371" s="228" t="str">
        <f>IF($P371="","",-1*ROUND(_xlfn.XLOOKUP(Tables!$N$362,'Input LwA_XYZ'!$AY$1:$BM$1,'Input LwA_XYZ'!AY10:BM10),0))</f>
        <v/>
      </c>
      <c r="U371" s="228" t="str">
        <f>IF($P371="","",IF(_xlfn.XLOOKUP(Tables!$N$362,'Input LwA_XYZ'!$BV$1:$CJ$1,'Input LwA_XYZ'!BV10:CJ10)="","-",_xlfn.XLOOKUP(Tables!$N$362,'Input LwA_XYZ'!$BV$1:$CJ$1,'Input LwA_XYZ'!BV10:CJ10)))</f>
        <v/>
      </c>
      <c r="V371" s="228" t="str">
        <f>IF($P371="","",IF('Input LwA_XYZ'!S10="","-",'Input LwA_XYZ'!S10))</f>
        <v/>
      </c>
      <c r="W371" s="229" t="str" cm="1">
        <f t="array" ref="W371">IF($P371="","",IF(_xlfn.XLOOKUP(Tables!$N$362,_xlfn.ANCHORARRAY('Input LwA_XYZ'!$DD$1),'Input LwA_XYZ'!DD10:DR10)="","-",_xlfn.XLOOKUP(Tables!$N$362,_xlfn.ANCHORARRAY('Input LwA_XYZ'!$DD$1),'Input LwA_XYZ'!DD10:DR10)))</f>
        <v/>
      </c>
      <c r="X371" s="62" t="str">
        <f>IF($P371="","",_xlfn.XLOOKUP(Tables!$N$362,'Input LwA_XYZ'!$DU$1:$EI$1,'Input LwA_XYZ'!DU10:EI10))</f>
        <v/>
      </c>
    </row>
    <row r="372" spans="16:24" ht="16.5" x14ac:dyDescent="0.3">
      <c r="P372" s="230" t="str">
        <f>IF(OR('Input LwA_XYZ'!A11 = 0, NOT(ISBLANK(_xlfn.XLOOKUP(Tables!N$362, 'Input LwA_XYZ'!CM$1:DA$1, 'Input LwA_XYZ'!CM11:DA11)))), "", 'Input LwA_XYZ'!A11)</f>
        <v/>
      </c>
      <c r="Q372" s="225" t="str">
        <f>IF($P372="","",_xlfn.TEXTJOIN(" - ",TRUE,'Input LwA_XYZ'!B11:C11))</f>
        <v/>
      </c>
      <c r="R372" s="231" t="str">
        <f>IF($P372="","",'Input LwA_XYZ'!Q11)</f>
        <v/>
      </c>
      <c r="S372" s="227" t="str">
        <f>IF($P372="","",ROUND(_xlfn.XLOOKUP(Tables!$N$362,'Input LwA_XYZ'!$AH$1:$AV$1,'Input LwA_XYZ'!AH11:AV11),0))</f>
        <v/>
      </c>
      <c r="T372" s="228" t="str">
        <f>IF($P372="","",-1*ROUND(_xlfn.XLOOKUP(Tables!$N$362,'Input LwA_XYZ'!$AY$1:$BM$1,'Input LwA_XYZ'!AY11:BM11),0))</f>
        <v/>
      </c>
      <c r="U372" s="228" t="str">
        <f>IF($P372="","",IF(_xlfn.XLOOKUP(Tables!$N$362,'Input LwA_XYZ'!$BV$1:$CJ$1,'Input LwA_XYZ'!BV11:CJ11)="","-",_xlfn.XLOOKUP(Tables!$N$362,'Input LwA_XYZ'!$BV$1:$CJ$1,'Input LwA_XYZ'!BV11:CJ11)))</f>
        <v/>
      </c>
      <c r="V372" s="228" t="str">
        <f>IF($P372="","",IF('Input LwA_XYZ'!S11="","-",'Input LwA_XYZ'!S11))</f>
        <v/>
      </c>
      <c r="W372" s="229" t="str" cm="1">
        <f t="array" ref="W372">IF($P372="","",IF(_xlfn.XLOOKUP(Tables!$N$362,_xlfn.ANCHORARRAY('Input LwA_XYZ'!$DD$1),'Input LwA_XYZ'!DD11:DR11)="","-",_xlfn.XLOOKUP(Tables!$N$362,_xlfn.ANCHORARRAY('Input LwA_XYZ'!$DD$1),'Input LwA_XYZ'!DD11:DR11)))</f>
        <v/>
      </c>
      <c r="X372" s="62" t="str">
        <f>IF($P372="","",_xlfn.XLOOKUP(Tables!$N$362,'Input LwA_XYZ'!$DU$1:$EI$1,'Input LwA_XYZ'!DU11:EI11))</f>
        <v/>
      </c>
    </row>
    <row r="373" spans="16:24" ht="16.5" x14ac:dyDescent="0.3">
      <c r="P373" s="230" t="str">
        <f>IF(OR('Input LwA_XYZ'!A12 = 0, NOT(ISBLANK(_xlfn.XLOOKUP(Tables!N$362, 'Input LwA_XYZ'!CM$1:DA$1, 'Input LwA_XYZ'!CM12:DA12)))), "", 'Input LwA_XYZ'!A12)</f>
        <v/>
      </c>
      <c r="Q373" s="225" t="str">
        <f>IF($P373="","",_xlfn.TEXTJOIN(" - ",TRUE,'Input LwA_XYZ'!B12:C12))</f>
        <v/>
      </c>
      <c r="R373" s="231" t="str">
        <f>IF($P373="","",'Input LwA_XYZ'!Q12)</f>
        <v/>
      </c>
      <c r="S373" s="227" t="str">
        <f>IF($P373="","",ROUND(_xlfn.XLOOKUP(Tables!$N$362,'Input LwA_XYZ'!$AH$1:$AV$1,'Input LwA_XYZ'!AH12:AV12),0))</f>
        <v/>
      </c>
      <c r="T373" s="228" t="str">
        <f>IF($P373="","",-1*ROUND(_xlfn.XLOOKUP(Tables!$N$362,'Input LwA_XYZ'!$AY$1:$BM$1,'Input LwA_XYZ'!AY12:BM12),0))</f>
        <v/>
      </c>
      <c r="U373" s="228" t="str">
        <f>IF($P373="","",IF(_xlfn.XLOOKUP(Tables!$N$362,'Input LwA_XYZ'!$BV$1:$CJ$1,'Input LwA_XYZ'!BV12:CJ12)="","-",_xlfn.XLOOKUP(Tables!$N$362,'Input LwA_XYZ'!$BV$1:$CJ$1,'Input LwA_XYZ'!BV12:CJ12)))</f>
        <v/>
      </c>
      <c r="V373" s="228" t="str">
        <f>IF($P373="","",IF('Input LwA_XYZ'!S12="","-",'Input LwA_XYZ'!S12))</f>
        <v/>
      </c>
      <c r="W373" s="229" t="str" cm="1">
        <f t="array" ref="W373">IF($P373="","",IF(_xlfn.XLOOKUP(Tables!$N$362,_xlfn.ANCHORARRAY('Input LwA_XYZ'!$DD$1),'Input LwA_XYZ'!DD12:DR12)="","-",_xlfn.XLOOKUP(Tables!$N$362,_xlfn.ANCHORARRAY('Input LwA_XYZ'!$DD$1),'Input LwA_XYZ'!DD12:DR12)))</f>
        <v/>
      </c>
      <c r="X373" s="62" t="str">
        <f>IF($P373="","",_xlfn.XLOOKUP(Tables!$N$362,'Input LwA_XYZ'!$DU$1:$EI$1,'Input LwA_XYZ'!DU12:EI12))</f>
        <v/>
      </c>
    </row>
    <row r="374" spans="16:24" ht="16.5" x14ac:dyDescent="0.3">
      <c r="P374" s="230" t="str">
        <f>IF(OR('Input LwA_XYZ'!A13 = 0, NOT(ISBLANK(_xlfn.XLOOKUP(Tables!N$362, 'Input LwA_XYZ'!CM$1:DA$1, 'Input LwA_XYZ'!CM13:DA13)))), "", 'Input LwA_XYZ'!A13)</f>
        <v/>
      </c>
      <c r="Q374" s="225" t="str">
        <f>IF($P374="","",_xlfn.TEXTJOIN(" - ",TRUE,'Input LwA_XYZ'!B13:C13))</f>
        <v/>
      </c>
      <c r="R374" s="231" t="str">
        <f>IF($P374="","",'Input LwA_XYZ'!Q13)</f>
        <v/>
      </c>
      <c r="S374" s="227" t="str">
        <f>IF($P374="","",ROUND(_xlfn.XLOOKUP(Tables!$N$362,'Input LwA_XYZ'!$AH$1:$AV$1,'Input LwA_XYZ'!AH13:AV13),0))</f>
        <v/>
      </c>
      <c r="T374" s="228" t="str">
        <f>IF($P374="","",-1*ROUND(_xlfn.XLOOKUP(Tables!$N$362,'Input LwA_XYZ'!$AY$1:$BM$1,'Input LwA_XYZ'!AY13:BM13),0))</f>
        <v/>
      </c>
      <c r="U374" s="228" t="str">
        <f>IF($P374="","",IF(_xlfn.XLOOKUP(Tables!$N$362,'Input LwA_XYZ'!$BV$1:$CJ$1,'Input LwA_XYZ'!BV13:CJ13)="","-",_xlfn.XLOOKUP(Tables!$N$362,'Input LwA_XYZ'!$BV$1:$CJ$1,'Input LwA_XYZ'!BV13:CJ13)))</f>
        <v/>
      </c>
      <c r="V374" s="228" t="str">
        <f>IF($P374="","",IF('Input LwA_XYZ'!S13="","-",'Input LwA_XYZ'!S13))</f>
        <v/>
      </c>
      <c r="W374" s="229" t="str" cm="1">
        <f t="array" ref="W374">IF($P374="","",IF(_xlfn.XLOOKUP(Tables!$N$362,_xlfn.ANCHORARRAY('Input LwA_XYZ'!$DD$1),'Input LwA_XYZ'!DD13:DR13)="","-",_xlfn.XLOOKUP(Tables!$N$362,_xlfn.ANCHORARRAY('Input LwA_XYZ'!$DD$1),'Input LwA_XYZ'!DD13:DR13)))</f>
        <v/>
      </c>
      <c r="X374" s="62" t="str">
        <f>IF($P374="","",_xlfn.XLOOKUP(Tables!$N$362,'Input LwA_XYZ'!$DU$1:$EI$1,'Input LwA_XYZ'!DU13:EI13))</f>
        <v/>
      </c>
    </row>
    <row r="375" spans="16:24" ht="16.5" x14ac:dyDescent="0.3">
      <c r="P375" s="230" t="str">
        <f>IF(OR('Input LwA_XYZ'!A14 = 0, NOT(ISBLANK(_xlfn.XLOOKUP(Tables!N$362, 'Input LwA_XYZ'!CM$1:DA$1, 'Input LwA_XYZ'!CM14:DA14)))), "", 'Input LwA_XYZ'!A14)</f>
        <v/>
      </c>
      <c r="Q375" s="225" t="str">
        <f>IF($P375="","",_xlfn.TEXTJOIN(" - ",TRUE,'Input LwA_XYZ'!B14:C14))</f>
        <v/>
      </c>
      <c r="R375" s="231" t="str">
        <f>IF($P375="","",'Input LwA_XYZ'!Q14)</f>
        <v/>
      </c>
      <c r="S375" s="227" t="str">
        <f>IF($P375="","",ROUND(_xlfn.XLOOKUP(Tables!$N$362,'Input LwA_XYZ'!$AH$1:$AV$1,'Input LwA_XYZ'!AH14:AV14),0))</f>
        <v/>
      </c>
      <c r="T375" s="228" t="str">
        <f>IF($P375="","",-1*ROUND(_xlfn.XLOOKUP(Tables!$N$362,'Input LwA_XYZ'!$AY$1:$BM$1,'Input LwA_XYZ'!AY14:BM14),0))</f>
        <v/>
      </c>
      <c r="U375" s="228" t="str">
        <f>IF($P375="","",IF(_xlfn.XLOOKUP(Tables!$N$362,'Input LwA_XYZ'!$BV$1:$CJ$1,'Input LwA_XYZ'!BV14:CJ14)="","-",_xlfn.XLOOKUP(Tables!$N$362,'Input LwA_XYZ'!$BV$1:$CJ$1,'Input LwA_XYZ'!BV14:CJ14)))</f>
        <v/>
      </c>
      <c r="V375" s="228" t="str">
        <f>IF($P375="","",IF('Input LwA_XYZ'!S14="","-",'Input LwA_XYZ'!S14))</f>
        <v/>
      </c>
      <c r="W375" s="229" t="str" cm="1">
        <f t="array" ref="W375">IF($P375="","",IF(_xlfn.XLOOKUP(Tables!$N$362,_xlfn.ANCHORARRAY('Input LwA_XYZ'!$DD$1),'Input LwA_XYZ'!DD14:DR14)="","-",_xlfn.XLOOKUP(Tables!$N$362,_xlfn.ANCHORARRAY('Input LwA_XYZ'!$DD$1),'Input LwA_XYZ'!DD14:DR14)))</f>
        <v/>
      </c>
      <c r="X375" s="62" t="str">
        <f>IF($P375="","",_xlfn.XLOOKUP(Tables!$N$362,'Input LwA_XYZ'!$DU$1:$EI$1,'Input LwA_XYZ'!DU14:EI14))</f>
        <v/>
      </c>
    </row>
    <row r="376" spans="16:24" ht="16.5" x14ac:dyDescent="0.3">
      <c r="P376" s="230" t="str">
        <f>IF(OR('Input LwA_XYZ'!A15 = 0, NOT(ISBLANK(_xlfn.XLOOKUP(Tables!N$362, 'Input LwA_XYZ'!CM$1:DA$1, 'Input LwA_XYZ'!CM15:DA15)))), "", 'Input LwA_XYZ'!A15)</f>
        <v/>
      </c>
      <c r="Q376" s="225" t="str">
        <f>IF($P376="","",_xlfn.TEXTJOIN(" - ",TRUE,'Input LwA_XYZ'!B15:C15))</f>
        <v/>
      </c>
      <c r="R376" s="231" t="str">
        <f>IF($P376="","",'Input LwA_XYZ'!Q15)</f>
        <v/>
      </c>
      <c r="S376" s="227" t="str">
        <f>IF($P376="","",ROUND(_xlfn.XLOOKUP(Tables!$N$362,'Input LwA_XYZ'!$AH$1:$AV$1,'Input LwA_XYZ'!AH15:AV15),0))</f>
        <v/>
      </c>
      <c r="T376" s="228" t="str">
        <f>IF($P376="","",-1*ROUND(_xlfn.XLOOKUP(Tables!$N$362,'Input LwA_XYZ'!$AY$1:$BM$1,'Input LwA_XYZ'!AY15:BM15),0))</f>
        <v/>
      </c>
      <c r="U376" s="228" t="str">
        <f>IF($P376="","",IF(_xlfn.XLOOKUP(Tables!$N$362,'Input LwA_XYZ'!$BV$1:$CJ$1,'Input LwA_XYZ'!BV15:CJ15)="","-",_xlfn.XLOOKUP(Tables!$N$362,'Input LwA_XYZ'!$BV$1:$CJ$1,'Input LwA_XYZ'!BV15:CJ15)))</f>
        <v/>
      </c>
      <c r="V376" s="228" t="str">
        <f>IF($P376="","",IF('Input LwA_XYZ'!S15="","-",'Input LwA_XYZ'!S15))</f>
        <v/>
      </c>
      <c r="W376" s="229" t="str" cm="1">
        <f t="array" ref="W376">IF($P376="","",IF(_xlfn.XLOOKUP(Tables!$N$362,_xlfn.ANCHORARRAY('Input LwA_XYZ'!$DD$1),'Input LwA_XYZ'!DD15:DR15)="","-",_xlfn.XLOOKUP(Tables!$N$362,_xlfn.ANCHORARRAY('Input LwA_XYZ'!$DD$1),'Input LwA_XYZ'!DD15:DR15)))</f>
        <v/>
      </c>
      <c r="X376" s="62" t="str">
        <f>IF($P376="","",_xlfn.XLOOKUP(Tables!$N$362,'Input LwA_XYZ'!$DU$1:$EI$1,'Input LwA_XYZ'!DU15:EI15))</f>
        <v/>
      </c>
    </row>
    <row r="377" spans="16:24" ht="16.5" x14ac:dyDescent="0.3">
      <c r="P377" s="230" t="str">
        <f>IF(OR('Input LwA_XYZ'!A16 = 0, NOT(ISBLANK(_xlfn.XLOOKUP(Tables!N$362, 'Input LwA_XYZ'!CM$1:DA$1, 'Input LwA_XYZ'!CM16:DA16)))), "", 'Input LwA_XYZ'!A16)</f>
        <v/>
      </c>
      <c r="Q377" s="225" t="str">
        <f>IF($P377="","",_xlfn.TEXTJOIN(" - ",TRUE,'Input LwA_XYZ'!B16:C16))</f>
        <v/>
      </c>
      <c r="R377" s="231" t="str">
        <f>IF($P377="","",'Input LwA_XYZ'!Q16)</f>
        <v/>
      </c>
      <c r="S377" s="227" t="str">
        <f>IF($P377="","",ROUND(_xlfn.XLOOKUP(Tables!$N$362,'Input LwA_XYZ'!$AH$1:$AV$1,'Input LwA_XYZ'!AH16:AV16),0))</f>
        <v/>
      </c>
      <c r="T377" s="228" t="str">
        <f>IF($P377="","",-1*ROUND(_xlfn.XLOOKUP(Tables!$N$362,'Input LwA_XYZ'!$AY$1:$BM$1,'Input LwA_XYZ'!AY16:BM16),0))</f>
        <v/>
      </c>
      <c r="U377" s="228" t="str">
        <f>IF($P377="","",IF(_xlfn.XLOOKUP(Tables!$N$362,'Input LwA_XYZ'!$BV$1:$CJ$1,'Input LwA_XYZ'!BV16:CJ16)="","-",_xlfn.XLOOKUP(Tables!$N$362,'Input LwA_XYZ'!$BV$1:$CJ$1,'Input LwA_XYZ'!BV16:CJ16)))</f>
        <v/>
      </c>
      <c r="V377" s="228" t="str">
        <f>IF($P377="","",IF('Input LwA_XYZ'!S16="","-",'Input LwA_XYZ'!S16))</f>
        <v/>
      </c>
      <c r="W377" s="229" t="str" cm="1">
        <f t="array" ref="W377">IF($P377="","",IF(_xlfn.XLOOKUP(Tables!$N$362,_xlfn.ANCHORARRAY('Input LwA_XYZ'!$DD$1),'Input LwA_XYZ'!DD16:DR16)="","-",_xlfn.XLOOKUP(Tables!$N$362,_xlfn.ANCHORARRAY('Input LwA_XYZ'!$DD$1),'Input LwA_XYZ'!DD16:DR16)))</f>
        <v/>
      </c>
      <c r="X377" s="62" t="str">
        <f>IF($P377="","",_xlfn.XLOOKUP(Tables!$N$362,'Input LwA_XYZ'!$DU$1:$EI$1,'Input LwA_XYZ'!DU16:EI16))</f>
        <v/>
      </c>
    </row>
    <row r="378" spans="16:24" ht="16.5" x14ac:dyDescent="0.3">
      <c r="P378" s="230" t="str">
        <f>IF(OR('Input LwA_XYZ'!A17 = 0, NOT(ISBLANK(_xlfn.XLOOKUP(Tables!N$362, 'Input LwA_XYZ'!CM$1:DA$1, 'Input LwA_XYZ'!CM17:DA17)))), "", 'Input LwA_XYZ'!A17)</f>
        <v/>
      </c>
      <c r="Q378" s="225" t="str">
        <f>IF($P378="","",_xlfn.TEXTJOIN(" - ",TRUE,'Input LwA_XYZ'!B17:C17))</f>
        <v/>
      </c>
      <c r="R378" s="231" t="str">
        <f>IF($P378="","",'Input LwA_XYZ'!Q17)</f>
        <v/>
      </c>
      <c r="S378" s="227" t="str">
        <f>IF($P378="","",ROUND(_xlfn.XLOOKUP(Tables!$N$362,'Input LwA_XYZ'!$AH$1:$AV$1,'Input LwA_XYZ'!AH17:AV17),0))</f>
        <v/>
      </c>
      <c r="T378" s="228" t="str">
        <f>IF($P378="","",-1*ROUND(_xlfn.XLOOKUP(Tables!$N$362,'Input LwA_XYZ'!$AY$1:$BM$1,'Input LwA_XYZ'!AY17:BM17),0))</f>
        <v/>
      </c>
      <c r="U378" s="228" t="str">
        <f>IF($P378="","",IF(_xlfn.XLOOKUP(Tables!$N$362,'Input LwA_XYZ'!$BV$1:$CJ$1,'Input LwA_XYZ'!BV17:CJ17)="","-",_xlfn.XLOOKUP(Tables!$N$362,'Input LwA_XYZ'!$BV$1:$CJ$1,'Input LwA_XYZ'!BV17:CJ17)))</f>
        <v/>
      </c>
      <c r="V378" s="228" t="str">
        <f>IF($P378="","",IF('Input LwA_XYZ'!S17="","-",'Input LwA_XYZ'!S17))</f>
        <v/>
      </c>
      <c r="W378" s="229" t="str" cm="1">
        <f t="array" ref="W378">IF($P378="","",IF(_xlfn.XLOOKUP(Tables!$N$362,_xlfn.ANCHORARRAY('Input LwA_XYZ'!$DD$1),'Input LwA_XYZ'!DD17:DR17)="","-",_xlfn.XLOOKUP(Tables!$N$362,_xlfn.ANCHORARRAY('Input LwA_XYZ'!$DD$1),'Input LwA_XYZ'!DD17:DR17)))</f>
        <v/>
      </c>
      <c r="X378" s="62" t="str">
        <f>IF($P378="","",_xlfn.XLOOKUP(Tables!$N$362,'Input LwA_XYZ'!$DU$1:$EI$1,'Input LwA_XYZ'!DU17:EI17))</f>
        <v/>
      </c>
    </row>
    <row r="379" spans="16:24" ht="16.5" x14ac:dyDescent="0.3">
      <c r="P379" s="230" t="str">
        <f>IF(OR('Input LwA_XYZ'!A18 = 0, NOT(ISBLANK(_xlfn.XLOOKUP(Tables!N$362, 'Input LwA_XYZ'!CM$1:DA$1, 'Input LwA_XYZ'!CM18:DA18)))), "", 'Input LwA_XYZ'!A18)</f>
        <v/>
      </c>
      <c r="Q379" s="225" t="str">
        <f>IF($P379="","",_xlfn.TEXTJOIN(" - ",TRUE,'Input LwA_XYZ'!B18:C18))</f>
        <v/>
      </c>
      <c r="R379" s="231" t="str">
        <f>IF($P379="","",'Input LwA_XYZ'!Q18)</f>
        <v/>
      </c>
      <c r="S379" s="227" t="str">
        <f>IF($P379="","",ROUND(_xlfn.XLOOKUP(Tables!$N$362,'Input LwA_XYZ'!$AH$1:$AV$1,'Input LwA_XYZ'!AH18:AV18),0))</f>
        <v/>
      </c>
      <c r="T379" s="228" t="str">
        <f>IF($P379="","",-1*ROUND(_xlfn.XLOOKUP(Tables!$N$362,'Input LwA_XYZ'!$AY$1:$BM$1,'Input LwA_XYZ'!AY18:BM18),0))</f>
        <v/>
      </c>
      <c r="U379" s="228" t="str">
        <f>IF($P379="","",IF(_xlfn.XLOOKUP(Tables!$N$362,'Input LwA_XYZ'!$BV$1:$CJ$1,'Input LwA_XYZ'!BV18:CJ18)="","-",_xlfn.XLOOKUP(Tables!$N$362,'Input LwA_XYZ'!$BV$1:$CJ$1,'Input LwA_XYZ'!BV18:CJ18)))</f>
        <v/>
      </c>
      <c r="V379" s="228" t="str">
        <f>IF($P379="","",IF('Input LwA_XYZ'!S18="","-",'Input LwA_XYZ'!S18))</f>
        <v/>
      </c>
      <c r="W379" s="229" t="str" cm="1">
        <f t="array" ref="W379">IF($P379="","",IF(_xlfn.XLOOKUP(Tables!$N$362,_xlfn.ANCHORARRAY('Input LwA_XYZ'!$DD$1),'Input LwA_XYZ'!DD18:DR18)="","-",_xlfn.XLOOKUP(Tables!$N$362,_xlfn.ANCHORARRAY('Input LwA_XYZ'!$DD$1),'Input LwA_XYZ'!DD18:DR18)))</f>
        <v/>
      </c>
      <c r="X379" s="62" t="str">
        <f>IF($P379="","",_xlfn.XLOOKUP(Tables!$N$362,'Input LwA_XYZ'!$DU$1:$EI$1,'Input LwA_XYZ'!DU18:EI18))</f>
        <v/>
      </c>
    </row>
    <row r="380" spans="16:24" ht="16.5" x14ac:dyDescent="0.3">
      <c r="P380" s="230" t="str">
        <f>IF(OR('Input LwA_XYZ'!A19 = 0, NOT(ISBLANK(_xlfn.XLOOKUP(Tables!N$362, 'Input LwA_XYZ'!CM$1:DA$1, 'Input LwA_XYZ'!CM19:DA19)))), "", 'Input LwA_XYZ'!A19)</f>
        <v/>
      </c>
      <c r="Q380" s="225" t="str">
        <f>IF($P380="","",_xlfn.TEXTJOIN(" - ",TRUE,'Input LwA_XYZ'!B19:C19))</f>
        <v/>
      </c>
      <c r="R380" s="231" t="str">
        <f>IF($P380="","",'Input LwA_XYZ'!Q19)</f>
        <v/>
      </c>
      <c r="S380" s="227" t="str">
        <f>IF($P380="","",ROUND(_xlfn.XLOOKUP(Tables!$N$362,'Input LwA_XYZ'!$AH$1:$AV$1,'Input LwA_XYZ'!AH19:AV19),0))</f>
        <v/>
      </c>
      <c r="T380" s="228" t="str">
        <f>IF($P380="","",-1*ROUND(_xlfn.XLOOKUP(Tables!$N$362,'Input LwA_XYZ'!$AY$1:$BM$1,'Input LwA_XYZ'!AY19:BM19),0))</f>
        <v/>
      </c>
      <c r="U380" s="228" t="str">
        <f>IF($P380="","",IF(_xlfn.XLOOKUP(Tables!$N$362,'Input LwA_XYZ'!$BV$1:$CJ$1,'Input LwA_XYZ'!BV19:CJ19)="","-",_xlfn.XLOOKUP(Tables!$N$362,'Input LwA_XYZ'!$BV$1:$CJ$1,'Input LwA_XYZ'!BV19:CJ19)))</f>
        <v/>
      </c>
      <c r="V380" s="228" t="str">
        <f>IF($P380="","",IF('Input LwA_XYZ'!S19="","-",'Input LwA_XYZ'!S19))</f>
        <v/>
      </c>
      <c r="W380" s="229" t="str" cm="1">
        <f t="array" ref="W380">IF($P380="","",IF(_xlfn.XLOOKUP(Tables!$N$362,_xlfn.ANCHORARRAY('Input LwA_XYZ'!$DD$1),'Input LwA_XYZ'!DD19:DR19)="","-",_xlfn.XLOOKUP(Tables!$N$362,_xlfn.ANCHORARRAY('Input LwA_XYZ'!$DD$1),'Input LwA_XYZ'!DD19:DR19)))</f>
        <v/>
      </c>
      <c r="X380" s="62" t="str">
        <f>IF($P380="","",_xlfn.XLOOKUP(Tables!$N$362,'Input LwA_XYZ'!$DU$1:$EI$1,'Input LwA_XYZ'!DU19:EI19))</f>
        <v/>
      </c>
    </row>
    <row r="381" spans="16:24" ht="16.5" x14ac:dyDescent="0.3">
      <c r="P381" s="230" t="str">
        <f>IF(OR('Input LwA_XYZ'!A20 = 0, NOT(ISBLANK(_xlfn.XLOOKUP(Tables!N$362, 'Input LwA_XYZ'!CM$1:DA$1, 'Input LwA_XYZ'!CM20:DA20)))), "", 'Input LwA_XYZ'!A20)</f>
        <v/>
      </c>
      <c r="Q381" s="225" t="str">
        <f>IF($P381="","",_xlfn.TEXTJOIN(" - ",TRUE,'Input LwA_XYZ'!B20:C20))</f>
        <v/>
      </c>
      <c r="R381" s="231" t="str">
        <f>IF($P381="","",'Input LwA_XYZ'!Q20)</f>
        <v/>
      </c>
      <c r="S381" s="227" t="str">
        <f>IF($P381="","",ROUND(_xlfn.XLOOKUP(Tables!$N$362,'Input LwA_XYZ'!$AH$1:$AV$1,'Input LwA_XYZ'!AH20:AV20),0))</f>
        <v/>
      </c>
      <c r="T381" s="228" t="str">
        <f>IF($P381="","",-1*ROUND(_xlfn.XLOOKUP(Tables!$N$362,'Input LwA_XYZ'!$AY$1:$BM$1,'Input LwA_XYZ'!AY20:BM20),0))</f>
        <v/>
      </c>
      <c r="U381" s="228" t="str">
        <f>IF($P381="","",IF(_xlfn.XLOOKUP(Tables!$N$362,'Input LwA_XYZ'!$BV$1:$CJ$1,'Input LwA_XYZ'!BV20:CJ20)="","-",_xlfn.XLOOKUP(Tables!$N$362,'Input LwA_XYZ'!$BV$1:$CJ$1,'Input LwA_XYZ'!BV20:CJ20)))</f>
        <v/>
      </c>
      <c r="V381" s="228" t="str">
        <f>IF($P381="","",IF('Input LwA_XYZ'!S20="","-",'Input LwA_XYZ'!S20))</f>
        <v/>
      </c>
      <c r="W381" s="229" t="str" cm="1">
        <f t="array" ref="W381">IF($P381="","",IF(_xlfn.XLOOKUP(Tables!$N$362,_xlfn.ANCHORARRAY('Input LwA_XYZ'!$DD$1),'Input LwA_XYZ'!DD20:DR20)="","-",_xlfn.XLOOKUP(Tables!$N$362,_xlfn.ANCHORARRAY('Input LwA_XYZ'!$DD$1),'Input LwA_XYZ'!DD20:DR20)))</f>
        <v/>
      </c>
      <c r="X381" s="62" t="str">
        <f>IF($P381="","",_xlfn.XLOOKUP(Tables!$N$362,'Input LwA_XYZ'!$DU$1:$EI$1,'Input LwA_XYZ'!DU20:EI20))</f>
        <v/>
      </c>
    </row>
    <row r="382" spans="16:24" ht="16.5" x14ac:dyDescent="0.3">
      <c r="P382" s="230" t="str">
        <f>IF(OR('Input LwA_XYZ'!A21 = 0, NOT(ISBLANK(_xlfn.XLOOKUP(Tables!N$362, 'Input LwA_XYZ'!CM$1:DA$1, 'Input LwA_XYZ'!CM21:DA21)))), "", 'Input LwA_XYZ'!A21)</f>
        <v/>
      </c>
      <c r="Q382" s="225" t="str">
        <f>IF($P382="","",_xlfn.TEXTJOIN(" - ",TRUE,'Input LwA_XYZ'!B21:C21))</f>
        <v/>
      </c>
      <c r="R382" s="231" t="str">
        <f>IF($P382="","",'Input LwA_XYZ'!Q21)</f>
        <v/>
      </c>
      <c r="S382" s="227" t="str">
        <f>IF($P382="","",ROUND(_xlfn.XLOOKUP(Tables!$N$362,'Input LwA_XYZ'!$AH$1:$AV$1,'Input LwA_XYZ'!AH21:AV21),0))</f>
        <v/>
      </c>
      <c r="T382" s="228" t="str">
        <f>IF($P382="","",-1*ROUND(_xlfn.XLOOKUP(Tables!$N$362,'Input LwA_XYZ'!$AY$1:$BM$1,'Input LwA_XYZ'!AY21:BM21),0))</f>
        <v/>
      </c>
      <c r="U382" s="228" t="str">
        <f>IF($P382="","",IF(_xlfn.XLOOKUP(Tables!$N$362,'Input LwA_XYZ'!$BV$1:$CJ$1,'Input LwA_XYZ'!BV21:CJ21)="","-",_xlfn.XLOOKUP(Tables!$N$362,'Input LwA_XYZ'!$BV$1:$CJ$1,'Input LwA_XYZ'!BV21:CJ21)))</f>
        <v/>
      </c>
      <c r="V382" s="228" t="str">
        <f>IF($P382="","",IF('Input LwA_XYZ'!S21="","-",'Input LwA_XYZ'!S21))</f>
        <v/>
      </c>
      <c r="W382" s="229" t="str" cm="1">
        <f t="array" ref="W382">IF($P382="","",IF(_xlfn.XLOOKUP(Tables!$N$362,_xlfn.ANCHORARRAY('Input LwA_XYZ'!$DD$1),'Input LwA_XYZ'!DD21:DR21)="","-",_xlfn.XLOOKUP(Tables!$N$362,_xlfn.ANCHORARRAY('Input LwA_XYZ'!$DD$1),'Input LwA_XYZ'!DD21:DR21)))</f>
        <v/>
      </c>
      <c r="X382" s="62" t="str">
        <f>IF($P382="","",_xlfn.XLOOKUP(Tables!$N$362,'Input LwA_XYZ'!$DU$1:$EI$1,'Input LwA_XYZ'!DU21:EI21))</f>
        <v/>
      </c>
    </row>
    <row r="383" spans="16:24" ht="16.5" x14ac:dyDescent="0.3">
      <c r="P383" s="230" t="str">
        <f>IF(OR('Input LwA_XYZ'!A22 = 0, NOT(ISBLANK(_xlfn.XLOOKUP(Tables!N$362, 'Input LwA_XYZ'!CM$1:DA$1, 'Input LwA_XYZ'!CM22:DA22)))), "", 'Input LwA_XYZ'!A22)</f>
        <v/>
      </c>
      <c r="Q383" s="225" t="str">
        <f>IF($P383="","",_xlfn.TEXTJOIN(" - ",TRUE,'Input LwA_XYZ'!B22:C22))</f>
        <v/>
      </c>
      <c r="R383" s="231" t="str">
        <f>IF($P383="","",'Input LwA_XYZ'!Q22)</f>
        <v/>
      </c>
      <c r="S383" s="227" t="str">
        <f>IF($P383="","",ROUND(_xlfn.XLOOKUP(Tables!$N$362,'Input LwA_XYZ'!$AH$1:$AV$1,'Input LwA_XYZ'!AH22:AV22),0))</f>
        <v/>
      </c>
      <c r="T383" s="228" t="str">
        <f>IF($P383="","",-1*ROUND(_xlfn.XLOOKUP(Tables!$N$362,'Input LwA_XYZ'!$AY$1:$BM$1,'Input LwA_XYZ'!AY22:BM22),0))</f>
        <v/>
      </c>
      <c r="U383" s="228" t="str">
        <f>IF($P383="","",IF(_xlfn.XLOOKUP(Tables!$N$362,'Input LwA_XYZ'!$BV$1:$CJ$1,'Input LwA_XYZ'!BV22:CJ22)="","-",_xlfn.XLOOKUP(Tables!$N$362,'Input LwA_XYZ'!$BV$1:$CJ$1,'Input LwA_XYZ'!BV22:CJ22)))</f>
        <v/>
      </c>
      <c r="V383" s="228" t="str">
        <f>IF($P383="","",IF('Input LwA_XYZ'!S22="","-",'Input LwA_XYZ'!S22))</f>
        <v/>
      </c>
      <c r="W383" s="229" t="str" cm="1">
        <f t="array" ref="W383">IF($P383="","",IF(_xlfn.XLOOKUP(Tables!$N$362,_xlfn.ANCHORARRAY('Input LwA_XYZ'!$DD$1),'Input LwA_XYZ'!DD22:DR22)="","-",_xlfn.XLOOKUP(Tables!$N$362,_xlfn.ANCHORARRAY('Input LwA_XYZ'!$DD$1),'Input LwA_XYZ'!DD22:DR22)))</f>
        <v/>
      </c>
      <c r="X383" s="62" t="str">
        <f>IF($P383="","",_xlfn.XLOOKUP(Tables!$N$362,'Input LwA_XYZ'!$DU$1:$EI$1,'Input LwA_XYZ'!DU22:EI22))</f>
        <v/>
      </c>
    </row>
    <row r="384" spans="16:24" ht="16.5" x14ac:dyDescent="0.3">
      <c r="P384" s="230" t="str">
        <f>IF(OR('Input LwA_XYZ'!A23 = 0, NOT(ISBLANK(_xlfn.XLOOKUP(Tables!N$362, 'Input LwA_XYZ'!CM$1:DA$1, 'Input LwA_XYZ'!CM23:DA23)))), "", 'Input LwA_XYZ'!A23)</f>
        <v/>
      </c>
      <c r="Q384" s="225" t="str">
        <f>IF($P384="","",_xlfn.TEXTJOIN(" - ",TRUE,'Input LwA_XYZ'!B23:C23))</f>
        <v/>
      </c>
      <c r="R384" s="231" t="str">
        <f>IF($P384="","",'Input LwA_XYZ'!Q23)</f>
        <v/>
      </c>
      <c r="S384" s="227" t="str">
        <f>IF($P384="","",ROUND(_xlfn.XLOOKUP(Tables!$N$362,'Input LwA_XYZ'!$AH$1:$AV$1,'Input LwA_XYZ'!AH23:AV23),0))</f>
        <v/>
      </c>
      <c r="T384" s="228" t="str">
        <f>IF($P384="","",-1*ROUND(_xlfn.XLOOKUP(Tables!$N$362,'Input LwA_XYZ'!$AY$1:$BM$1,'Input LwA_XYZ'!AY23:BM23),0))</f>
        <v/>
      </c>
      <c r="U384" s="228" t="str">
        <f>IF($P384="","",IF(_xlfn.XLOOKUP(Tables!$N$362,'Input LwA_XYZ'!$BV$1:$CJ$1,'Input LwA_XYZ'!BV23:CJ23)="","-",_xlfn.XLOOKUP(Tables!$N$362,'Input LwA_XYZ'!$BV$1:$CJ$1,'Input LwA_XYZ'!BV23:CJ23)))</f>
        <v/>
      </c>
      <c r="V384" s="228" t="str">
        <f>IF($P384="","",IF('Input LwA_XYZ'!S23="","-",'Input LwA_XYZ'!S23))</f>
        <v/>
      </c>
      <c r="W384" s="229" t="str" cm="1">
        <f t="array" ref="W384">IF($P384="","",IF(_xlfn.XLOOKUP(Tables!$N$362,_xlfn.ANCHORARRAY('Input LwA_XYZ'!$DD$1),'Input LwA_XYZ'!DD23:DR23)="","-",_xlfn.XLOOKUP(Tables!$N$362,_xlfn.ANCHORARRAY('Input LwA_XYZ'!$DD$1),'Input LwA_XYZ'!DD23:DR23)))</f>
        <v/>
      </c>
      <c r="X384" s="62" t="str">
        <f>IF($P384="","",_xlfn.XLOOKUP(Tables!$N$362,'Input LwA_XYZ'!$DU$1:$EI$1,'Input LwA_XYZ'!DU23:EI23))</f>
        <v/>
      </c>
    </row>
    <row r="385" spans="16:24" ht="16.5" x14ac:dyDescent="0.3">
      <c r="P385" s="230" t="str">
        <f>IF(OR('Input LwA_XYZ'!A24 = 0, NOT(ISBLANK(_xlfn.XLOOKUP(Tables!N$362, 'Input LwA_XYZ'!CM$1:DA$1, 'Input LwA_XYZ'!CM24:DA24)))), "", 'Input LwA_XYZ'!A24)</f>
        <v/>
      </c>
      <c r="Q385" s="225" t="str">
        <f>IF($P385="","",_xlfn.TEXTJOIN(" - ",TRUE,'Input LwA_XYZ'!B24:C24))</f>
        <v/>
      </c>
      <c r="R385" s="231" t="str">
        <f>IF($P385="","",'Input LwA_XYZ'!Q24)</f>
        <v/>
      </c>
      <c r="S385" s="227" t="str">
        <f>IF($P385="","",ROUND(_xlfn.XLOOKUP(Tables!$N$362,'Input LwA_XYZ'!$AH$1:$AV$1,'Input LwA_XYZ'!AH24:AV24),0))</f>
        <v/>
      </c>
      <c r="T385" s="228" t="str">
        <f>IF($P385="","",-1*ROUND(_xlfn.XLOOKUP(Tables!$N$362,'Input LwA_XYZ'!$AY$1:$BM$1,'Input LwA_XYZ'!AY24:BM24),0))</f>
        <v/>
      </c>
      <c r="U385" s="228" t="str">
        <f>IF($P385="","",IF(_xlfn.XLOOKUP(Tables!$N$362,'Input LwA_XYZ'!$BV$1:$CJ$1,'Input LwA_XYZ'!BV24:CJ24)="","-",_xlfn.XLOOKUP(Tables!$N$362,'Input LwA_XYZ'!$BV$1:$CJ$1,'Input LwA_XYZ'!BV24:CJ24)))</f>
        <v/>
      </c>
      <c r="V385" s="228" t="str">
        <f>IF($P385="","",IF('Input LwA_XYZ'!S24="","-",'Input LwA_XYZ'!S24))</f>
        <v/>
      </c>
      <c r="W385" s="229" t="str" cm="1">
        <f t="array" ref="W385">IF($P385="","",IF(_xlfn.XLOOKUP(Tables!$N$362,_xlfn.ANCHORARRAY('Input LwA_XYZ'!$DD$1),'Input LwA_XYZ'!DD24:DR24)="","-",_xlfn.XLOOKUP(Tables!$N$362,_xlfn.ANCHORARRAY('Input LwA_XYZ'!$DD$1),'Input LwA_XYZ'!DD24:DR24)))</f>
        <v/>
      </c>
      <c r="X385" s="62" t="str">
        <f>IF($P385="","",_xlfn.XLOOKUP(Tables!$N$362,'Input LwA_XYZ'!$DU$1:$EI$1,'Input LwA_XYZ'!DU24:EI24))</f>
        <v/>
      </c>
    </row>
    <row r="386" spans="16:24" ht="16.5" x14ac:dyDescent="0.3">
      <c r="P386" s="230" t="str">
        <f>IF(OR('Input LwA_XYZ'!A25 = 0, NOT(ISBLANK(_xlfn.XLOOKUP(Tables!N$362, 'Input LwA_XYZ'!CM$1:DA$1, 'Input LwA_XYZ'!CM25:DA25)))), "", 'Input LwA_XYZ'!A25)</f>
        <v/>
      </c>
      <c r="Q386" s="225" t="str">
        <f>IF($P386="","",_xlfn.TEXTJOIN(" - ",TRUE,'Input LwA_XYZ'!B25:C25))</f>
        <v/>
      </c>
      <c r="R386" s="231" t="str">
        <f>IF($P386="","",'Input LwA_XYZ'!Q25)</f>
        <v/>
      </c>
      <c r="S386" s="227" t="str">
        <f>IF($P386="","",ROUND(_xlfn.XLOOKUP(Tables!$N$362,'Input LwA_XYZ'!$AH$1:$AV$1,'Input LwA_XYZ'!AH25:AV25),0))</f>
        <v/>
      </c>
      <c r="T386" s="228" t="str">
        <f>IF($P386="","",-1*ROUND(_xlfn.XLOOKUP(Tables!$N$362,'Input LwA_XYZ'!$AY$1:$BM$1,'Input LwA_XYZ'!AY25:BM25),0))</f>
        <v/>
      </c>
      <c r="U386" s="228" t="str">
        <f>IF($P386="","",IF(_xlfn.XLOOKUP(Tables!$N$362,'Input LwA_XYZ'!$BV$1:$CJ$1,'Input LwA_XYZ'!BV25:CJ25)="","-",_xlfn.XLOOKUP(Tables!$N$362,'Input LwA_XYZ'!$BV$1:$CJ$1,'Input LwA_XYZ'!BV25:CJ25)))</f>
        <v/>
      </c>
      <c r="V386" s="228" t="str">
        <f>IF($P386="","",IF('Input LwA_XYZ'!S25="","-",'Input LwA_XYZ'!S25))</f>
        <v/>
      </c>
      <c r="W386" s="229" t="str" cm="1">
        <f t="array" ref="W386">IF($P386="","",IF(_xlfn.XLOOKUP(Tables!$N$362,_xlfn.ANCHORARRAY('Input LwA_XYZ'!$DD$1),'Input LwA_XYZ'!DD25:DR25)="","-",_xlfn.XLOOKUP(Tables!$N$362,_xlfn.ANCHORARRAY('Input LwA_XYZ'!$DD$1),'Input LwA_XYZ'!DD25:DR25)))</f>
        <v/>
      </c>
      <c r="X386" s="62" t="str">
        <f>IF($P386="","",_xlfn.XLOOKUP(Tables!$N$362,'Input LwA_XYZ'!$DU$1:$EI$1,'Input LwA_XYZ'!DU25:EI25))</f>
        <v/>
      </c>
    </row>
    <row r="387" spans="16:24" ht="16.5" x14ac:dyDescent="0.3">
      <c r="P387" s="230" t="str">
        <f>IF(OR('Input LwA_XYZ'!A26 = 0, NOT(ISBLANK(_xlfn.XLOOKUP(Tables!N$362, 'Input LwA_XYZ'!CM$1:DA$1, 'Input LwA_XYZ'!CM26:DA26)))), "", 'Input LwA_XYZ'!A26)</f>
        <v/>
      </c>
      <c r="Q387" s="225" t="str">
        <f>IF($P387="","",_xlfn.TEXTJOIN(" - ",TRUE,'Input LwA_XYZ'!B26:C26))</f>
        <v/>
      </c>
      <c r="R387" s="231" t="str">
        <f>IF($P387="","",'Input LwA_XYZ'!Q26)</f>
        <v/>
      </c>
      <c r="S387" s="227" t="str">
        <f>IF($P387="","",ROUND(_xlfn.XLOOKUP(Tables!$N$362,'Input LwA_XYZ'!$AH$1:$AV$1,'Input LwA_XYZ'!AH26:AV26),0))</f>
        <v/>
      </c>
      <c r="T387" s="228" t="str">
        <f>IF($P387="","",-1*ROUND(_xlfn.XLOOKUP(Tables!$N$362,'Input LwA_XYZ'!$AY$1:$BM$1,'Input LwA_XYZ'!AY26:BM26),0))</f>
        <v/>
      </c>
      <c r="U387" s="228" t="str">
        <f>IF($P387="","",IF(_xlfn.XLOOKUP(Tables!$N$362,'Input LwA_XYZ'!$BV$1:$CJ$1,'Input LwA_XYZ'!BV26:CJ26)="","-",_xlfn.XLOOKUP(Tables!$N$362,'Input LwA_XYZ'!$BV$1:$CJ$1,'Input LwA_XYZ'!BV26:CJ26)))</f>
        <v/>
      </c>
      <c r="V387" s="228" t="str">
        <f>IF($P387="","",IF('Input LwA_XYZ'!S26="","-",'Input LwA_XYZ'!S26))</f>
        <v/>
      </c>
      <c r="W387" s="229" t="str" cm="1">
        <f t="array" ref="W387">IF($P387="","",IF(_xlfn.XLOOKUP(Tables!$N$362,_xlfn.ANCHORARRAY('Input LwA_XYZ'!$DD$1),'Input LwA_XYZ'!DD26:DR26)="","-",_xlfn.XLOOKUP(Tables!$N$362,_xlfn.ANCHORARRAY('Input LwA_XYZ'!$DD$1),'Input LwA_XYZ'!DD26:DR26)))</f>
        <v/>
      </c>
      <c r="X387" s="62" t="str">
        <f>IF($P387="","",_xlfn.XLOOKUP(Tables!$N$362,'Input LwA_XYZ'!$DU$1:$EI$1,'Input LwA_XYZ'!DU26:EI26))</f>
        <v/>
      </c>
    </row>
    <row r="388" spans="16:24" ht="16.5" x14ac:dyDescent="0.3">
      <c r="P388" s="230" t="str">
        <f>IF(OR('Input LwA_XYZ'!A27 = 0, NOT(ISBLANK(_xlfn.XLOOKUP(Tables!N$362, 'Input LwA_XYZ'!CM$1:DA$1, 'Input LwA_XYZ'!CM27:DA27)))), "", 'Input LwA_XYZ'!A27)</f>
        <v/>
      </c>
      <c r="Q388" s="225" t="str">
        <f>IF($P388="","",_xlfn.TEXTJOIN(" - ",TRUE,'Input LwA_XYZ'!B27:C27))</f>
        <v/>
      </c>
      <c r="R388" s="231" t="str">
        <f>IF($P388="","",'Input LwA_XYZ'!Q27)</f>
        <v/>
      </c>
      <c r="S388" s="227" t="str">
        <f>IF($P388="","",ROUND(_xlfn.XLOOKUP(Tables!$N$362,'Input LwA_XYZ'!$AH$1:$AV$1,'Input LwA_XYZ'!AH27:AV27),0))</f>
        <v/>
      </c>
      <c r="T388" s="228" t="str">
        <f>IF($P388="","",-1*ROUND(_xlfn.XLOOKUP(Tables!$N$362,'Input LwA_XYZ'!$AY$1:$BM$1,'Input LwA_XYZ'!AY27:BM27),0))</f>
        <v/>
      </c>
      <c r="U388" s="228" t="str">
        <f>IF($P388="","",IF(_xlfn.XLOOKUP(Tables!$N$362,'Input LwA_XYZ'!$BV$1:$CJ$1,'Input LwA_XYZ'!BV27:CJ27)="","-",_xlfn.XLOOKUP(Tables!$N$362,'Input LwA_XYZ'!$BV$1:$CJ$1,'Input LwA_XYZ'!BV27:CJ27)))</f>
        <v/>
      </c>
      <c r="V388" s="228" t="str">
        <f>IF($P388="","",IF('Input LwA_XYZ'!S27="","-",'Input LwA_XYZ'!S27))</f>
        <v/>
      </c>
      <c r="W388" s="229" t="str" cm="1">
        <f t="array" ref="W388">IF($P388="","",IF(_xlfn.XLOOKUP(Tables!$N$362,_xlfn.ANCHORARRAY('Input LwA_XYZ'!$DD$1),'Input LwA_XYZ'!DD27:DR27)="","-",_xlfn.XLOOKUP(Tables!$N$362,_xlfn.ANCHORARRAY('Input LwA_XYZ'!$DD$1),'Input LwA_XYZ'!DD27:DR27)))</f>
        <v/>
      </c>
      <c r="X388" s="62" t="str">
        <f>IF($P388="","",_xlfn.XLOOKUP(Tables!$N$362,'Input LwA_XYZ'!$DU$1:$EI$1,'Input LwA_XYZ'!DU27:EI27))</f>
        <v/>
      </c>
    </row>
    <row r="389" spans="16:24" ht="16.5" x14ac:dyDescent="0.3">
      <c r="P389" s="230" t="str">
        <f>IF(OR('Input LwA_XYZ'!A28 = 0, NOT(ISBLANK(_xlfn.XLOOKUP(Tables!N$362, 'Input LwA_XYZ'!CM$1:DA$1, 'Input LwA_XYZ'!CM28:DA28)))), "", 'Input LwA_XYZ'!A28)</f>
        <v/>
      </c>
      <c r="Q389" s="225" t="str">
        <f>IF($P389="","",_xlfn.TEXTJOIN(" - ",TRUE,'Input LwA_XYZ'!B28:C28))</f>
        <v/>
      </c>
      <c r="R389" s="231" t="str">
        <f>IF($P389="","",'Input LwA_XYZ'!Q28)</f>
        <v/>
      </c>
      <c r="S389" s="227" t="str">
        <f>IF($P389="","",ROUND(_xlfn.XLOOKUP(Tables!$N$362,'Input LwA_XYZ'!$AH$1:$AV$1,'Input LwA_XYZ'!AH28:AV28),0))</f>
        <v/>
      </c>
      <c r="T389" s="228" t="str">
        <f>IF($P389="","",-1*ROUND(_xlfn.XLOOKUP(Tables!$N$362,'Input LwA_XYZ'!$AY$1:$BM$1,'Input LwA_XYZ'!AY28:BM28),0))</f>
        <v/>
      </c>
      <c r="U389" s="228" t="str">
        <f>IF($P389="","",IF(_xlfn.XLOOKUP(Tables!$N$362,'Input LwA_XYZ'!$BV$1:$CJ$1,'Input LwA_XYZ'!BV28:CJ28)="","-",_xlfn.XLOOKUP(Tables!$N$362,'Input LwA_XYZ'!$BV$1:$CJ$1,'Input LwA_XYZ'!BV28:CJ28)))</f>
        <v/>
      </c>
      <c r="V389" s="228" t="str">
        <f>IF($P389="","",IF('Input LwA_XYZ'!S28="","-",'Input LwA_XYZ'!S28))</f>
        <v/>
      </c>
      <c r="W389" s="229" t="str" cm="1">
        <f t="array" ref="W389">IF($P389="","",IF(_xlfn.XLOOKUP(Tables!$N$362,_xlfn.ANCHORARRAY('Input LwA_XYZ'!$DD$1),'Input LwA_XYZ'!DD28:DR28)="","-",_xlfn.XLOOKUP(Tables!$N$362,_xlfn.ANCHORARRAY('Input LwA_XYZ'!$DD$1),'Input LwA_XYZ'!DD28:DR28)))</f>
        <v/>
      </c>
      <c r="X389" s="62" t="str">
        <f>IF($P389="","",_xlfn.XLOOKUP(Tables!$N$362,'Input LwA_XYZ'!$DU$1:$EI$1,'Input LwA_XYZ'!DU28:EI28))</f>
        <v/>
      </c>
    </row>
    <row r="390" spans="16:24" ht="16.5" x14ac:dyDescent="0.3">
      <c r="P390" s="230" t="str">
        <f>IF(OR('Input LwA_XYZ'!A29 = 0, NOT(ISBLANK(_xlfn.XLOOKUP(Tables!N$362, 'Input LwA_XYZ'!CM$1:DA$1, 'Input LwA_XYZ'!CM29:DA29)))), "", 'Input LwA_XYZ'!A29)</f>
        <v/>
      </c>
      <c r="Q390" s="225" t="str">
        <f>IF($P390="","",_xlfn.TEXTJOIN(" - ",TRUE,'Input LwA_XYZ'!B29:C29))</f>
        <v/>
      </c>
      <c r="R390" s="231" t="str">
        <f>IF($P390="","",'Input LwA_XYZ'!Q29)</f>
        <v/>
      </c>
      <c r="S390" s="227" t="str">
        <f>IF($P390="","",ROUND(_xlfn.XLOOKUP(Tables!$N$362,'Input LwA_XYZ'!$AH$1:$AV$1,'Input LwA_XYZ'!AH29:AV29),0))</f>
        <v/>
      </c>
      <c r="T390" s="228" t="str">
        <f>IF($P390="","",-1*ROUND(_xlfn.XLOOKUP(Tables!$N$362,'Input LwA_XYZ'!$AY$1:$BM$1,'Input LwA_XYZ'!AY29:BM29),0))</f>
        <v/>
      </c>
      <c r="U390" s="228" t="str">
        <f>IF($P390="","",IF(_xlfn.XLOOKUP(Tables!$N$362,'Input LwA_XYZ'!$BV$1:$CJ$1,'Input LwA_XYZ'!BV29:CJ29)="","-",_xlfn.XLOOKUP(Tables!$N$362,'Input LwA_XYZ'!$BV$1:$CJ$1,'Input LwA_XYZ'!BV29:CJ29)))</f>
        <v/>
      </c>
      <c r="V390" s="228" t="str">
        <f>IF($P390="","",IF('Input LwA_XYZ'!S29="","-",'Input LwA_XYZ'!S29))</f>
        <v/>
      </c>
      <c r="W390" s="229" t="str" cm="1">
        <f t="array" ref="W390">IF($P390="","",IF(_xlfn.XLOOKUP(Tables!$N$362,_xlfn.ANCHORARRAY('Input LwA_XYZ'!$DD$1),'Input LwA_XYZ'!DD29:DR29)="","-",_xlfn.XLOOKUP(Tables!$N$362,_xlfn.ANCHORARRAY('Input LwA_XYZ'!$DD$1),'Input LwA_XYZ'!DD29:DR29)))</f>
        <v/>
      </c>
      <c r="X390" s="62" t="str">
        <f>IF($P390="","",_xlfn.XLOOKUP(Tables!$N$362,'Input LwA_XYZ'!$DU$1:$EI$1,'Input LwA_XYZ'!DU29:EI29))</f>
        <v/>
      </c>
    </row>
    <row r="391" spans="16:24" ht="16.5" x14ac:dyDescent="0.3">
      <c r="P391" s="230" t="str">
        <f>IF(OR('Input LwA_XYZ'!A30 = 0, NOT(ISBLANK(_xlfn.XLOOKUP(Tables!N$362, 'Input LwA_XYZ'!CM$1:DA$1, 'Input LwA_XYZ'!CM30:DA30)))), "", 'Input LwA_XYZ'!A30)</f>
        <v/>
      </c>
      <c r="Q391" s="225" t="str">
        <f>IF($P391="","",_xlfn.TEXTJOIN(" - ",TRUE,'Input LwA_XYZ'!B30:C30))</f>
        <v/>
      </c>
      <c r="R391" s="231" t="str">
        <f>IF($P391="","",'Input LwA_XYZ'!Q30)</f>
        <v/>
      </c>
      <c r="S391" s="227" t="str">
        <f>IF($P391="","",ROUND(_xlfn.XLOOKUP(Tables!$N$362,'Input LwA_XYZ'!$AH$1:$AV$1,'Input LwA_XYZ'!AH30:AV30),0))</f>
        <v/>
      </c>
      <c r="T391" s="228" t="str">
        <f>IF($P391="","",-1*ROUND(_xlfn.XLOOKUP(Tables!$N$362,'Input LwA_XYZ'!$AY$1:$BM$1,'Input LwA_XYZ'!AY30:BM30),0))</f>
        <v/>
      </c>
      <c r="U391" s="228" t="str">
        <f>IF($P391="","",IF(_xlfn.XLOOKUP(Tables!$N$362,'Input LwA_XYZ'!$BV$1:$CJ$1,'Input LwA_XYZ'!BV30:CJ30)="","-",_xlfn.XLOOKUP(Tables!$N$362,'Input LwA_XYZ'!$BV$1:$CJ$1,'Input LwA_XYZ'!BV30:CJ30)))</f>
        <v/>
      </c>
      <c r="V391" s="228" t="str">
        <f>IF($P391="","",IF('Input LwA_XYZ'!S30="","-",'Input LwA_XYZ'!S30))</f>
        <v/>
      </c>
      <c r="W391" s="229" t="str" cm="1">
        <f t="array" ref="W391">IF($P391="","",IF(_xlfn.XLOOKUP(Tables!$N$362,_xlfn.ANCHORARRAY('Input LwA_XYZ'!$DD$1),'Input LwA_XYZ'!DD30:DR30)="","-",_xlfn.XLOOKUP(Tables!$N$362,_xlfn.ANCHORARRAY('Input LwA_XYZ'!$DD$1),'Input LwA_XYZ'!DD30:DR30)))</f>
        <v/>
      </c>
      <c r="X391" s="62" t="str">
        <f>IF($P391="","",_xlfn.XLOOKUP(Tables!$N$362,'Input LwA_XYZ'!$DU$1:$EI$1,'Input LwA_XYZ'!DU30:EI30))</f>
        <v/>
      </c>
    </row>
    <row r="392" spans="16:24" ht="16.5" x14ac:dyDescent="0.3">
      <c r="P392" s="230" t="str">
        <f>IF(OR('Input LwA_XYZ'!A31 = 0, NOT(ISBLANK(_xlfn.XLOOKUP(Tables!N$362, 'Input LwA_XYZ'!CM$1:DA$1, 'Input LwA_XYZ'!CM31:DA31)))), "", 'Input LwA_XYZ'!A31)</f>
        <v/>
      </c>
      <c r="Q392" s="225" t="str">
        <f>IF($P392="","",_xlfn.TEXTJOIN(" - ",TRUE,'Input LwA_XYZ'!B31:C31))</f>
        <v/>
      </c>
      <c r="R392" s="231" t="str">
        <f>IF($P392="","",'Input LwA_XYZ'!Q31)</f>
        <v/>
      </c>
      <c r="S392" s="227" t="str">
        <f>IF($P392="","",ROUND(_xlfn.XLOOKUP(Tables!$N$362,'Input LwA_XYZ'!$AH$1:$AV$1,'Input LwA_XYZ'!AH31:AV31),0))</f>
        <v/>
      </c>
      <c r="T392" s="228" t="str">
        <f>IF($P392="","",-1*ROUND(_xlfn.XLOOKUP(Tables!$N$362,'Input LwA_XYZ'!$AY$1:$BM$1,'Input LwA_XYZ'!AY31:BM31),0))</f>
        <v/>
      </c>
      <c r="U392" s="228" t="str">
        <f>IF($P392="","",IF(_xlfn.XLOOKUP(Tables!$N$362,'Input LwA_XYZ'!$BV$1:$CJ$1,'Input LwA_XYZ'!BV31:CJ31)="","-",_xlfn.XLOOKUP(Tables!$N$362,'Input LwA_XYZ'!$BV$1:$CJ$1,'Input LwA_XYZ'!BV31:CJ31)))</f>
        <v/>
      </c>
      <c r="V392" s="228" t="str">
        <f>IF($P392="","",IF('Input LwA_XYZ'!S31="","-",'Input LwA_XYZ'!S31))</f>
        <v/>
      </c>
      <c r="W392" s="229" t="str" cm="1">
        <f t="array" ref="W392">IF($P392="","",IF(_xlfn.XLOOKUP(Tables!$N$362,_xlfn.ANCHORARRAY('Input LwA_XYZ'!$DD$1),'Input LwA_XYZ'!DD31:DR31)="","-",_xlfn.XLOOKUP(Tables!$N$362,_xlfn.ANCHORARRAY('Input LwA_XYZ'!$DD$1),'Input LwA_XYZ'!DD31:DR31)))</f>
        <v/>
      </c>
      <c r="X392" s="62" t="str">
        <f>IF($P392="","",_xlfn.XLOOKUP(Tables!$N$362,'Input LwA_XYZ'!$DU$1:$EI$1,'Input LwA_XYZ'!DU31:EI31))</f>
        <v/>
      </c>
    </row>
    <row r="393" spans="16:24" ht="16.5" x14ac:dyDescent="0.3">
      <c r="P393" s="230" t="str">
        <f>IF(OR('Input LwA_XYZ'!A32 = 0, NOT(ISBLANK(_xlfn.XLOOKUP(Tables!N$362, 'Input LwA_XYZ'!CM$1:DA$1, 'Input LwA_XYZ'!CM32:DA32)))), "", 'Input LwA_XYZ'!A32)</f>
        <v/>
      </c>
      <c r="Q393" s="225" t="str">
        <f>IF($P393="","",_xlfn.TEXTJOIN(" - ",TRUE,'Input LwA_XYZ'!B32:C32))</f>
        <v/>
      </c>
      <c r="R393" s="231" t="str">
        <f>IF($P393="","",'Input LwA_XYZ'!Q32)</f>
        <v/>
      </c>
      <c r="S393" s="227" t="str">
        <f>IF($P393="","",ROUND(_xlfn.XLOOKUP(Tables!$N$362,'Input LwA_XYZ'!$AH$1:$AV$1,'Input LwA_XYZ'!AH32:AV32),0))</f>
        <v/>
      </c>
      <c r="T393" s="228" t="str">
        <f>IF($P393="","",-1*ROUND(_xlfn.XLOOKUP(Tables!$N$362,'Input LwA_XYZ'!$AY$1:$BM$1,'Input LwA_XYZ'!AY32:BM32),0))</f>
        <v/>
      </c>
      <c r="U393" s="228" t="str">
        <f>IF($P393="","",IF(_xlfn.XLOOKUP(Tables!$N$362,'Input LwA_XYZ'!$BV$1:$CJ$1,'Input LwA_XYZ'!BV32:CJ32)="","-",_xlfn.XLOOKUP(Tables!$N$362,'Input LwA_XYZ'!$BV$1:$CJ$1,'Input LwA_XYZ'!BV32:CJ32)))</f>
        <v/>
      </c>
      <c r="V393" s="228" t="str">
        <f>IF($P393="","",IF('Input LwA_XYZ'!S32="","-",'Input LwA_XYZ'!S32))</f>
        <v/>
      </c>
      <c r="W393" s="229" t="str" cm="1">
        <f t="array" ref="W393">IF($P393="","",IF(_xlfn.XLOOKUP(Tables!$N$362,_xlfn.ANCHORARRAY('Input LwA_XYZ'!$DD$1),'Input LwA_XYZ'!DD32:DR32)="","-",_xlfn.XLOOKUP(Tables!$N$362,_xlfn.ANCHORARRAY('Input LwA_XYZ'!$DD$1),'Input LwA_XYZ'!DD32:DR32)))</f>
        <v/>
      </c>
      <c r="X393" s="62" t="str">
        <f>IF($P393="","",_xlfn.XLOOKUP(Tables!$N$362,'Input LwA_XYZ'!$DU$1:$EI$1,'Input LwA_XYZ'!DU32:EI32))</f>
        <v/>
      </c>
    </row>
    <row r="394" spans="16:24" ht="16.5" x14ac:dyDescent="0.3">
      <c r="P394" s="230" t="str">
        <f>IF(OR('Input LwA_XYZ'!A33 = 0, NOT(ISBLANK(_xlfn.XLOOKUP(Tables!N$362, 'Input LwA_XYZ'!CM$1:DA$1, 'Input LwA_XYZ'!CM33:DA33)))), "", 'Input LwA_XYZ'!A33)</f>
        <v/>
      </c>
      <c r="Q394" s="225" t="str">
        <f>IF($P394="","",_xlfn.TEXTJOIN(" - ",TRUE,'Input LwA_XYZ'!B33:C33))</f>
        <v/>
      </c>
      <c r="R394" s="231" t="str">
        <f>IF($P394="","",'Input LwA_XYZ'!Q33)</f>
        <v/>
      </c>
      <c r="S394" s="227" t="str">
        <f>IF($P394="","",ROUND(_xlfn.XLOOKUP(Tables!$N$362,'Input LwA_XYZ'!$AH$1:$AV$1,'Input LwA_XYZ'!AH33:AV33),0))</f>
        <v/>
      </c>
      <c r="T394" s="228" t="str">
        <f>IF($P394="","",-1*ROUND(_xlfn.XLOOKUP(Tables!$N$362,'Input LwA_XYZ'!$AY$1:$BM$1,'Input LwA_XYZ'!AY33:BM33),0))</f>
        <v/>
      </c>
      <c r="U394" s="228" t="str">
        <f>IF($P394="","",IF(_xlfn.XLOOKUP(Tables!$N$362,'Input LwA_XYZ'!$BV$1:$CJ$1,'Input LwA_XYZ'!BV33:CJ33)="","-",_xlfn.XLOOKUP(Tables!$N$362,'Input LwA_XYZ'!$BV$1:$CJ$1,'Input LwA_XYZ'!BV33:CJ33)))</f>
        <v/>
      </c>
      <c r="V394" s="228" t="str">
        <f>IF($P394="","",IF('Input LwA_XYZ'!S33="","-",'Input LwA_XYZ'!S33))</f>
        <v/>
      </c>
      <c r="W394" s="229" t="str" cm="1">
        <f t="array" ref="W394">IF($P394="","",IF(_xlfn.XLOOKUP(Tables!$N$362,_xlfn.ANCHORARRAY('Input LwA_XYZ'!$DD$1),'Input LwA_XYZ'!DD33:DR33)="","-",_xlfn.XLOOKUP(Tables!$N$362,_xlfn.ANCHORARRAY('Input LwA_XYZ'!$DD$1),'Input LwA_XYZ'!DD33:DR33)))</f>
        <v/>
      </c>
      <c r="X394" s="62" t="str">
        <f>IF($P394="","",_xlfn.XLOOKUP(Tables!$N$362,'Input LwA_XYZ'!$DU$1:$EI$1,'Input LwA_XYZ'!DU33:EI33))</f>
        <v/>
      </c>
    </row>
    <row r="395" spans="16:24" ht="16.5" x14ac:dyDescent="0.3">
      <c r="P395" s="230" t="str">
        <f>IF(OR('Input LwA_XYZ'!A34 = 0, NOT(ISBLANK(_xlfn.XLOOKUP(Tables!N$362, 'Input LwA_XYZ'!CM$1:DA$1, 'Input LwA_XYZ'!CM34:DA34)))), "", 'Input LwA_XYZ'!A34)</f>
        <v/>
      </c>
      <c r="Q395" s="225" t="str">
        <f>IF($P395="","",_xlfn.TEXTJOIN(" - ",TRUE,'Input LwA_XYZ'!B34:C34))</f>
        <v/>
      </c>
      <c r="R395" s="231" t="str">
        <f>IF($P395="","",'Input LwA_XYZ'!Q34)</f>
        <v/>
      </c>
      <c r="S395" s="227" t="str">
        <f>IF($P395="","",ROUND(_xlfn.XLOOKUP(Tables!$N$362,'Input LwA_XYZ'!$AH$1:$AV$1,'Input LwA_XYZ'!AH34:AV34),0))</f>
        <v/>
      </c>
      <c r="T395" s="228" t="str">
        <f>IF($P395="","",-1*ROUND(_xlfn.XLOOKUP(Tables!$N$362,'Input LwA_XYZ'!$AY$1:$BM$1,'Input LwA_XYZ'!AY34:BM34),0))</f>
        <v/>
      </c>
      <c r="U395" s="228" t="str">
        <f>IF($P395="","",IF(_xlfn.XLOOKUP(Tables!$N$362,'Input LwA_XYZ'!$BV$1:$CJ$1,'Input LwA_XYZ'!BV34:CJ34)="","-",_xlfn.XLOOKUP(Tables!$N$362,'Input LwA_XYZ'!$BV$1:$CJ$1,'Input LwA_XYZ'!BV34:CJ34)))</f>
        <v/>
      </c>
      <c r="V395" s="228" t="str">
        <f>IF($P395="","",IF('Input LwA_XYZ'!S34="","-",'Input LwA_XYZ'!S34))</f>
        <v/>
      </c>
      <c r="W395" s="229" t="str" cm="1">
        <f t="array" ref="W395">IF($P395="","",IF(_xlfn.XLOOKUP(Tables!$N$362,_xlfn.ANCHORARRAY('Input LwA_XYZ'!$DD$1),'Input LwA_XYZ'!DD34:DR34)="","-",_xlfn.XLOOKUP(Tables!$N$362,_xlfn.ANCHORARRAY('Input LwA_XYZ'!$DD$1),'Input LwA_XYZ'!DD34:DR34)))</f>
        <v/>
      </c>
      <c r="X395" s="62" t="str">
        <f>IF($P395="","",_xlfn.XLOOKUP(Tables!$N$362,'Input LwA_XYZ'!$DU$1:$EI$1,'Input LwA_XYZ'!DU34:EI34))</f>
        <v/>
      </c>
    </row>
    <row r="396" spans="16:24" ht="16.5" x14ac:dyDescent="0.3">
      <c r="P396" s="230" t="str">
        <f>IF(OR('Input LwA_XYZ'!A35 = 0, NOT(ISBLANK(_xlfn.XLOOKUP(Tables!N$362, 'Input LwA_XYZ'!CM$1:DA$1, 'Input LwA_XYZ'!CM35:DA35)))), "", 'Input LwA_XYZ'!A35)</f>
        <v/>
      </c>
      <c r="Q396" s="225" t="str">
        <f>IF($P396="","",_xlfn.TEXTJOIN(" - ",TRUE,'Input LwA_XYZ'!B35:C35))</f>
        <v/>
      </c>
      <c r="R396" s="231" t="str">
        <f>IF($P396="","",'Input LwA_XYZ'!Q35)</f>
        <v/>
      </c>
      <c r="S396" s="227" t="str">
        <f>IF($P396="","",ROUND(_xlfn.XLOOKUP(Tables!$N$362,'Input LwA_XYZ'!$AH$1:$AV$1,'Input LwA_XYZ'!AH35:AV35),0))</f>
        <v/>
      </c>
      <c r="T396" s="228" t="str">
        <f>IF($P396="","",-1*ROUND(_xlfn.XLOOKUP(Tables!$N$362,'Input LwA_XYZ'!$AY$1:$BM$1,'Input LwA_XYZ'!AY35:BM35),0))</f>
        <v/>
      </c>
      <c r="U396" s="228" t="str">
        <f>IF($P396="","",IF(_xlfn.XLOOKUP(Tables!$N$362,'Input LwA_XYZ'!$BV$1:$CJ$1,'Input LwA_XYZ'!BV35:CJ35)="","-",_xlfn.XLOOKUP(Tables!$N$362,'Input LwA_XYZ'!$BV$1:$CJ$1,'Input LwA_XYZ'!BV35:CJ35)))</f>
        <v/>
      </c>
      <c r="V396" s="228" t="str">
        <f>IF($P396="","",IF('Input LwA_XYZ'!S35="","-",'Input LwA_XYZ'!S35))</f>
        <v/>
      </c>
      <c r="W396" s="229" t="str" cm="1">
        <f t="array" ref="W396">IF($P396="","",IF(_xlfn.XLOOKUP(Tables!$N$362,_xlfn.ANCHORARRAY('Input LwA_XYZ'!$DD$1),'Input LwA_XYZ'!DD35:DR35)="","-",_xlfn.XLOOKUP(Tables!$N$362,_xlfn.ANCHORARRAY('Input LwA_XYZ'!$DD$1),'Input LwA_XYZ'!DD35:DR35)))</f>
        <v/>
      </c>
      <c r="X396" s="62" t="str">
        <f>IF($P396="","",_xlfn.XLOOKUP(Tables!$N$362,'Input LwA_XYZ'!$DU$1:$EI$1,'Input LwA_XYZ'!DU35:EI35))</f>
        <v/>
      </c>
    </row>
    <row r="397" spans="16:24" ht="16.5" x14ac:dyDescent="0.3">
      <c r="P397" s="230" t="str">
        <f>IF(OR('Input LwA_XYZ'!A36 = 0, NOT(ISBLANK(_xlfn.XLOOKUP(Tables!N$362, 'Input LwA_XYZ'!CM$1:DA$1, 'Input LwA_XYZ'!CM36:DA36)))), "", 'Input LwA_XYZ'!A36)</f>
        <v/>
      </c>
      <c r="Q397" s="225" t="str">
        <f>IF($P397="","",_xlfn.TEXTJOIN(" - ",TRUE,'Input LwA_XYZ'!B36:C36))</f>
        <v/>
      </c>
      <c r="R397" s="231" t="str">
        <f>IF($P397="","",'Input LwA_XYZ'!Q36)</f>
        <v/>
      </c>
      <c r="S397" s="227" t="str">
        <f>IF($P397="","",ROUND(_xlfn.XLOOKUP(Tables!$N$362,'Input LwA_XYZ'!$AH$1:$AV$1,'Input LwA_XYZ'!AH36:AV36),0))</f>
        <v/>
      </c>
      <c r="T397" s="228" t="str">
        <f>IF($P397="","",-1*ROUND(_xlfn.XLOOKUP(Tables!$N$362,'Input LwA_XYZ'!$AY$1:$BM$1,'Input LwA_XYZ'!AY36:BM36),0))</f>
        <v/>
      </c>
      <c r="U397" s="228" t="str">
        <f>IF($P397="","",IF(_xlfn.XLOOKUP(Tables!$N$362,'Input LwA_XYZ'!$BV$1:$CJ$1,'Input LwA_XYZ'!BV36:CJ36)="","-",_xlfn.XLOOKUP(Tables!$N$362,'Input LwA_XYZ'!$BV$1:$CJ$1,'Input LwA_XYZ'!BV36:CJ36)))</f>
        <v/>
      </c>
      <c r="V397" s="228" t="str">
        <f>IF($P397="","",IF('Input LwA_XYZ'!S36="","-",'Input LwA_XYZ'!S36))</f>
        <v/>
      </c>
      <c r="W397" s="229" t="str" cm="1">
        <f t="array" ref="W397">IF($P397="","",IF(_xlfn.XLOOKUP(Tables!$N$362,_xlfn.ANCHORARRAY('Input LwA_XYZ'!$DD$1),'Input LwA_XYZ'!DD36:DR36)="","-",_xlfn.XLOOKUP(Tables!$N$362,_xlfn.ANCHORARRAY('Input LwA_XYZ'!$DD$1),'Input LwA_XYZ'!DD36:DR36)))</f>
        <v/>
      </c>
      <c r="X397" s="62" t="str">
        <f>IF($P397="","",_xlfn.XLOOKUP(Tables!$N$362,'Input LwA_XYZ'!$DU$1:$EI$1,'Input LwA_XYZ'!DU36:EI36))</f>
        <v/>
      </c>
    </row>
    <row r="398" spans="16:24" ht="16.5" x14ac:dyDescent="0.3">
      <c r="P398" s="230" t="str">
        <f>IF(OR('Input LwA_XYZ'!A37 = 0, NOT(ISBLANK(_xlfn.XLOOKUP(Tables!N$362, 'Input LwA_XYZ'!CM$1:DA$1, 'Input LwA_XYZ'!CM37:DA37)))), "", 'Input LwA_XYZ'!A37)</f>
        <v/>
      </c>
      <c r="Q398" s="225" t="str">
        <f>IF($P398="","",_xlfn.TEXTJOIN(" - ",TRUE,'Input LwA_XYZ'!B37:C37))</f>
        <v/>
      </c>
      <c r="R398" s="231" t="str">
        <f>IF($P398="","",'Input LwA_XYZ'!Q37)</f>
        <v/>
      </c>
      <c r="S398" s="227" t="str">
        <f>IF($P398="","",ROUND(_xlfn.XLOOKUP(Tables!$N$362,'Input LwA_XYZ'!$AH$1:$AV$1,'Input LwA_XYZ'!AH37:AV37),0))</f>
        <v/>
      </c>
      <c r="T398" s="228" t="str">
        <f>IF($P398="","",-1*ROUND(_xlfn.XLOOKUP(Tables!$N$362,'Input LwA_XYZ'!$AY$1:$BM$1,'Input LwA_XYZ'!AY37:BM37),0))</f>
        <v/>
      </c>
      <c r="U398" s="228" t="str">
        <f>IF($P398="","",IF(_xlfn.XLOOKUP(Tables!$N$362,'Input LwA_XYZ'!$BV$1:$CJ$1,'Input LwA_XYZ'!BV37:CJ37)="","-",_xlfn.XLOOKUP(Tables!$N$362,'Input LwA_XYZ'!$BV$1:$CJ$1,'Input LwA_XYZ'!BV37:CJ37)))</f>
        <v/>
      </c>
      <c r="V398" s="228" t="str">
        <f>IF($P398="","",IF('Input LwA_XYZ'!S37="","-",'Input LwA_XYZ'!S37))</f>
        <v/>
      </c>
      <c r="W398" s="229" t="str" cm="1">
        <f t="array" ref="W398">IF($P398="","",IF(_xlfn.XLOOKUP(Tables!$N$362,_xlfn.ANCHORARRAY('Input LwA_XYZ'!$DD$1),'Input LwA_XYZ'!DD37:DR37)="","-",_xlfn.XLOOKUP(Tables!$N$362,_xlfn.ANCHORARRAY('Input LwA_XYZ'!$DD$1),'Input LwA_XYZ'!DD37:DR37)))</f>
        <v/>
      </c>
      <c r="X398" s="62" t="str">
        <f>IF($P398="","",_xlfn.XLOOKUP(Tables!$N$362,'Input LwA_XYZ'!$DU$1:$EI$1,'Input LwA_XYZ'!DU37:EI37))</f>
        <v/>
      </c>
    </row>
    <row r="399" spans="16:24" ht="16.5" x14ac:dyDescent="0.3">
      <c r="P399" s="230" t="str">
        <f>IF(OR('Input LwA_XYZ'!A38 = 0, NOT(ISBLANK(_xlfn.XLOOKUP(Tables!N$362, 'Input LwA_XYZ'!CM$1:DA$1, 'Input LwA_XYZ'!CM38:DA38)))), "", 'Input LwA_XYZ'!A38)</f>
        <v/>
      </c>
      <c r="Q399" s="225" t="str">
        <f>IF($P399="","",_xlfn.TEXTJOIN(" - ",TRUE,'Input LwA_XYZ'!B38:C38))</f>
        <v/>
      </c>
      <c r="R399" s="231" t="str">
        <f>IF($P399="","",'Input LwA_XYZ'!Q38)</f>
        <v/>
      </c>
      <c r="S399" s="227" t="str">
        <f>IF($P399="","",ROUND(_xlfn.XLOOKUP(Tables!$N$362,'Input LwA_XYZ'!$AH$1:$AV$1,'Input LwA_XYZ'!AH38:AV38),0))</f>
        <v/>
      </c>
      <c r="T399" s="228" t="str">
        <f>IF($P399="","",-1*ROUND(_xlfn.XLOOKUP(Tables!$N$362,'Input LwA_XYZ'!$AY$1:$BM$1,'Input LwA_XYZ'!AY38:BM38),0))</f>
        <v/>
      </c>
      <c r="U399" s="228" t="str">
        <f>IF($P399="","",IF(_xlfn.XLOOKUP(Tables!$N$362,'Input LwA_XYZ'!$BV$1:$CJ$1,'Input LwA_XYZ'!BV38:CJ38)="","-",_xlfn.XLOOKUP(Tables!$N$362,'Input LwA_XYZ'!$BV$1:$CJ$1,'Input LwA_XYZ'!BV38:CJ38)))</f>
        <v/>
      </c>
      <c r="V399" s="228" t="str">
        <f>IF($P399="","",IF('Input LwA_XYZ'!S38="","-",'Input LwA_XYZ'!S38))</f>
        <v/>
      </c>
      <c r="W399" s="229" t="str" cm="1">
        <f t="array" ref="W399">IF($P399="","",IF(_xlfn.XLOOKUP(Tables!$N$362,_xlfn.ANCHORARRAY('Input LwA_XYZ'!$DD$1),'Input LwA_XYZ'!DD38:DR38)="","-",_xlfn.XLOOKUP(Tables!$N$362,_xlfn.ANCHORARRAY('Input LwA_XYZ'!$DD$1),'Input LwA_XYZ'!DD38:DR38)))</f>
        <v/>
      </c>
      <c r="X399" s="62" t="str">
        <f>IF($P399="","",_xlfn.XLOOKUP(Tables!$N$362,'Input LwA_XYZ'!$DU$1:$EI$1,'Input LwA_XYZ'!DU38:EI38))</f>
        <v/>
      </c>
    </row>
    <row r="400" spans="16:24" ht="16.5" x14ac:dyDescent="0.3">
      <c r="P400" s="230" t="str">
        <f>IF(OR('Input LwA_XYZ'!A39 = 0, NOT(ISBLANK(_xlfn.XLOOKUP(Tables!N$362, 'Input LwA_XYZ'!CM$1:DA$1, 'Input LwA_XYZ'!CM39:DA39)))), "", 'Input LwA_XYZ'!A39)</f>
        <v/>
      </c>
      <c r="Q400" s="225" t="str">
        <f>IF($P400="","",_xlfn.TEXTJOIN(" - ",TRUE,'Input LwA_XYZ'!B39:C39))</f>
        <v/>
      </c>
      <c r="R400" s="231" t="str">
        <f>IF($P400="","",'Input LwA_XYZ'!Q39)</f>
        <v/>
      </c>
      <c r="S400" s="227" t="str">
        <f>IF($P400="","",ROUND(_xlfn.XLOOKUP(Tables!$N$362,'Input LwA_XYZ'!$AH$1:$AV$1,'Input LwA_XYZ'!AH39:AV39),0))</f>
        <v/>
      </c>
      <c r="T400" s="228" t="str">
        <f>IF($P400="","",-1*ROUND(_xlfn.XLOOKUP(Tables!$N$362,'Input LwA_XYZ'!$AY$1:$BM$1,'Input LwA_XYZ'!AY39:BM39),0))</f>
        <v/>
      </c>
      <c r="U400" s="228" t="str">
        <f>IF($P400="","",IF(_xlfn.XLOOKUP(Tables!$N$362,'Input LwA_XYZ'!$BV$1:$CJ$1,'Input LwA_XYZ'!BV39:CJ39)="","-",_xlfn.XLOOKUP(Tables!$N$362,'Input LwA_XYZ'!$BV$1:$CJ$1,'Input LwA_XYZ'!BV39:CJ39)))</f>
        <v/>
      </c>
      <c r="V400" s="228" t="str">
        <f>IF($P400="","",IF('Input LwA_XYZ'!S39="","-",'Input LwA_XYZ'!S39))</f>
        <v/>
      </c>
      <c r="W400" s="229" t="str" cm="1">
        <f t="array" ref="W400">IF($P400="","",IF(_xlfn.XLOOKUP(Tables!$N$362,_xlfn.ANCHORARRAY('Input LwA_XYZ'!$DD$1),'Input LwA_XYZ'!DD39:DR39)="","-",_xlfn.XLOOKUP(Tables!$N$362,_xlfn.ANCHORARRAY('Input LwA_XYZ'!$DD$1),'Input LwA_XYZ'!DD39:DR39)))</f>
        <v/>
      </c>
      <c r="X400" s="62" t="str">
        <f>IF($P400="","",_xlfn.XLOOKUP(Tables!$N$362,'Input LwA_XYZ'!$DU$1:$EI$1,'Input LwA_XYZ'!DU39:EI39))</f>
        <v/>
      </c>
    </row>
    <row r="401" spans="16:24" ht="16.5" x14ac:dyDescent="0.3">
      <c r="P401" s="230" t="str">
        <f>IF(OR('Input LwA_XYZ'!A40 = 0, NOT(ISBLANK(_xlfn.XLOOKUP(Tables!N$362, 'Input LwA_XYZ'!CM$1:DA$1, 'Input LwA_XYZ'!CM40:DA40)))), "", 'Input LwA_XYZ'!A40)</f>
        <v/>
      </c>
      <c r="Q401" s="225" t="str">
        <f>IF($P401="","",_xlfn.TEXTJOIN(" - ",TRUE,'Input LwA_XYZ'!B40:C40))</f>
        <v/>
      </c>
      <c r="R401" s="231" t="str">
        <f>IF($P401="","",'Input LwA_XYZ'!Q40)</f>
        <v/>
      </c>
      <c r="S401" s="227" t="str">
        <f>IF($P401="","",ROUND(_xlfn.XLOOKUP(Tables!$N$362,'Input LwA_XYZ'!$AH$1:$AV$1,'Input LwA_XYZ'!AH40:AV40),0))</f>
        <v/>
      </c>
      <c r="T401" s="228" t="str">
        <f>IF($P401="","",-1*ROUND(_xlfn.XLOOKUP(Tables!$N$362,'Input LwA_XYZ'!$AY$1:$BM$1,'Input LwA_XYZ'!AY40:BM40),0))</f>
        <v/>
      </c>
      <c r="U401" s="228" t="str">
        <f>IF($P401="","",IF(_xlfn.XLOOKUP(Tables!$N$362,'Input LwA_XYZ'!$BV$1:$CJ$1,'Input LwA_XYZ'!BV40:CJ40)="","-",_xlfn.XLOOKUP(Tables!$N$362,'Input LwA_XYZ'!$BV$1:$CJ$1,'Input LwA_XYZ'!BV40:CJ40)))</f>
        <v/>
      </c>
      <c r="V401" s="228" t="str">
        <f>IF($P401="","",IF('Input LwA_XYZ'!S40="","-",'Input LwA_XYZ'!S40))</f>
        <v/>
      </c>
      <c r="W401" s="229" t="str" cm="1">
        <f t="array" ref="W401">IF($P401="","",IF(_xlfn.XLOOKUP(Tables!$N$362,_xlfn.ANCHORARRAY('Input LwA_XYZ'!$DD$1),'Input LwA_XYZ'!DD40:DR40)="","-",_xlfn.XLOOKUP(Tables!$N$362,_xlfn.ANCHORARRAY('Input LwA_XYZ'!$DD$1),'Input LwA_XYZ'!DD40:DR40)))</f>
        <v/>
      </c>
      <c r="X401" s="62" t="str">
        <f>IF($P401="","",_xlfn.XLOOKUP(Tables!$N$362,'Input LwA_XYZ'!$DU$1:$EI$1,'Input LwA_XYZ'!DU40:EI40))</f>
        <v/>
      </c>
    </row>
    <row r="402" spans="16:24" ht="16.5" x14ac:dyDescent="0.3">
      <c r="P402" s="230" t="str">
        <f>IF(OR('Input LwA_XYZ'!A41 = 0, NOT(ISBLANK(_xlfn.XLOOKUP(Tables!N$362, 'Input LwA_XYZ'!CM$1:DA$1, 'Input LwA_XYZ'!CM41:DA41)))), "", 'Input LwA_XYZ'!A41)</f>
        <v/>
      </c>
      <c r="Q402" s="225" t="str">
        <f>IF($P402="","",_xlfn.TEXTJOIN(" - ",TRUE,'Input LwA_XYZ'!B41:C41))</f>
        <v/>
      </c>
      <c r="R402" s="231" t="str">
        <f>IF($P402="","",'Input LwA_XYZ'!Q41)</f>
        <v/>
      </c>
      <c r="S402" s="227" t="str">
        <f>IF($P402="","",ROUND(_xlfn.XLOOKUP(Tables!$N$362,'Input LwA_XYZ'!$AH$1:$AV$1,'Input LwA_XYZ'!AH41:AV41),0))</f>
        <v/>
      </c>
      <c r="T402" s="228" t="str">
        <f>IF($P402="","",-1*ROUND(_xlfn.XLOOKUP(Tables!$N$362,'Input LwA_XYZ'!$AY$1:$BM$1,'Input LwA_XYZ'!AY41:BM41),0))</f>
        <v/>
      </c>
      <c r="U402" s="228" t="str">
        <f>IF($P402="","",IF(_xlfn.XLOOKUP(Tables!$N$362,'Input LwA_XYZ'!$BV$1:$CJ$1,'Input LwA_XYZ'!BV41:CJ41)="","-",_xlfn.XLOOKUP(Tables!$N$362,'Input LwA_XYZ'!$BV$1:$CJ$1,'Input LwA_XYZ'!BV41:CJ41)))</f>
        <v/>
      </c>
      <c r="V402" s="228" t="str">
        <f>IF($P402="","",IF('Input LwA_XYZ'!S41="","-",'Input LwA_XYZ'!S41))</f>
        <v/>
      </c>
      <c r="W402" s="229" t="str" cm="1">
        <f t="array" ref="W402">IF($P402="","",IF(_xlfn.XLOOKUP(Tables!$N$362,_xlfn.ANCHORARRAY('Input LwA_XYZ'!$DD$1),'Input LwA_XYZ'!DD41:DR41)="","-",_xlfn.XLOOKUP(Tables!$N$362,_xlfn.ANCHORARRAY('Input LwA_XYZ'!$DD$1),'Input LwA_XYZ'!DD41:DR41)))</f>
        <v/>
      </c>
      <c r="X402" s="62" t="str">
        <f>IF($P402="","",_xlfn.XLOOKUP(Tables!$N$362,'Input LwA_XYZ'!$DU$1:$EI$1,'Input LwA_XYZ'!DU41:EI41))</f>
        <v/>
      </c>
    </row>
    <row r="403" spans="16:24" ht="16.5" x14ac:dyDescent="0.3">
      <c r="P403" s="230" t="str">
        <f>IF(OR('Input LwA_XYZ'!A42 = 0, NOT(ISBLANK(_xlfn.XLOOKUP(Tables!N$362, 'Input LwA_XYZ'!CM$1:DA$1, 'Input LwA_XYZ'!CM42:DA42)))), "", 'Input LwA_XYZ'!A42)</f>
        <v/>
      </c>
      <c r="Q403" s="225" t="str">
        <f>IF($P403="","",_xlfn.TEXTJOIN(" - ",TRUE,'Input LwA_XYZ'!B42:C42))</f>
        <v/>
      </c>
      <c r="R403" s="231" t="str">
        <f>IF($P403="","",'Input LwA_XYZ'!Q42)</f>
        <v/>
      </c>
      <c r="S403" s="227" t="str">
        <f>IF($P403="","",ROUND(_xlfn.XLOOKUP(Tables!$N$362,'Input LwA_XYZ'!$AH$1:$AV$1,'Input LwA_XYZ'!AH42:AV42),0))</f>
        <v/>
      </c>
      <c r="T403" s="228" t="str">
        <f>IF($P403="","",-1*ROUND(_xlfn.XLOOKUP(Tables!$N$362,'Input LwA_XYZ'!$AY$1:$BM$1,'Input LwA_XYZ'!AY42:BM42),0))</f>
        <v/>
      </c>
      <c r="U403" s="228" t="str">
        <f>IF($P403="","",IF(_xlfn.XLOOKUP(Tables!$N$362,'Input LwA_XYZ'!$BV$1:$CJ$1,'Input LwA_XYZ'!BV42:CJ42)="","-",_xlfn.XLOOKUP(Tables!$N$362,'Input LwA_XYZ'!$BV$1:$CJ$1,'Input LwA_XYZ'!BV42:CJ42)))</f>
        <v/>
      </c>
      <c r="V403" s="228" t="str">
        <f>IF($P403="","",IF('Input LwA_XYZ'!S42="","-",'Input LwA_XYZ'!S42))</f>
        <v/>
      </c>
      <c r="W403" s="229" t="str" cm="1">
        <f t="array" ref="W403">IF($P403="","",IF(_xlfn.XLOOKUP(Tables!$N$362,_xlfn.ANCHORARRAY('Input LwA_XYZ'!$DD$1),'Input LwA_XYZ'!DD42:DR42)="","-",_xlfn.XLOOKUP(Tables!$N$362,_xlfn.ANCHORARRAY('Input LwA_XYZ'!$DD$1),'Input LwA_XYZ'!DD42:DR42)))</f>
        <v/>
      </c>
      <c r="X403" s="62" t="str">
        <f>IF($P403="","",_xlfn.XLOOKUP(Tables!$N$362,'Input LwA_XYZ'!$DU$1:$EI$1,'Input LwA_XYZ'!DU42:EI42))</f>
        <v/>
      </c>
    </row>
    <row r="404" spans="16:24" ht="16.5" x14ac:dyDescent="0.3">
      <c r="P404" s="230" t="str">
        <f>IF(OR('Input LwA_XYZ'!A43 = 0, NOT(ISBLANK(_xlfn.XLOOKUP(Tables!N$362, 'Input LwA_XYZ'!CM$1:DA$1, 'Input LwA_XYZ'!CM43:DA43)))), "", 'Input LwA_XYZ'!A43)</f>
        <v/>
      </c>
      <c r="Q404" s="225" t="str">
        <f>IF($P404="","",_xlfn.TEXTJOIN(" - ",TRUE,'Input LwA_XYZ'!B43:C43))</f>
        <v/>
      </c>
      <c r="R404" s="231" t="str">
        <f>IF($P404="","",'Input LwA_XYZ'!Q43)</f>
        <v/>
      </c>
      <c r="S404" s="227" t="str">
        <f>IF($P404="","",ROUND(_xlfn.XLOOKUP(Tables!$N$362,'Input LwA_XYZ'!$AH$1:$AV$1,'Input LwA_XYZ'!AH43:AV43),0))</f>
        <v/>
      </c>
      <c r="T404" s="228" t="str">
        <f>IF($P404="","",-1*ROUND(_xlfn.XLOOKUP(Tables!$N$362,'Input LwA_XYZ'!$AY$1:$BM$1,'Input LwA_XYZ'!AY43:BM43),0))</f>
        <v/>
      </c>
      <c r="U404" s="228" t="str">
        <f>IF($P404="","",IF(_xlfn.XLOOKUP(Tables!$N$362,'Input LwA_XYZ'!$BV$1:$CJ$1,'Input LwA_XYZ'!BV43:CJ43)="","-",_xlfn.XLOOKUP(Tables!$N$362,'Input LwA_XYZ'!$BV$1:$CJ$1,'Input LwA_XYZ'!BV43:CJ43)))</f>
        <v/>
      </c>
      <c r="V404" s="228" t="str">
        <f>IF($P404="","",IF('Input LwA_XYZ'!S43="","-",'Input LwA_XYZ'!S43))</f>
        <v/>
      </c>
      <c r="W404" s="229" t="str" cm="1">
        <f t="array" ref="W404">IF($P404="","",IF(_xlfn.XLOOKUP(Tables!$N$362,_xlfn.ANCHORARRAY('Input LwA_XYZ'!$DD$1),'Input LwA_XYZ'!DD43:DR43)="","-",_xlfn.XLOOKUP(Tables!$N$362,_xlfn.ANCHORARRAY('Input LwA_XYZ'!$DD$1),'Input LwA_XYZ'!DD43:DR43)))</f>
        <v/>
      </c>
      <c r="X404" s="62" t="str">
        <f>IF($P404="","",_xlfn.XLOOKUP(Tables!$N$362,'Input LwA_XYZ'!$DU$1:$EI$1,'Input LwA_XYZ'!DU43:EI43))</f>
        <v/>
      </c>
    </row>
    <row r="405" spans="16:24" ht="16.5" x14ac:dyDescent="0.3">
      <c r="P405" s="230" t="str">
        <f>IF(OR('Input LwA_XYZ'!A44 = 0, NOT(ISBLANK(_xlfn.XLOOKUP(Tables!N$362, 'Input LwA_XYZ'!CM$1:DA$1, 'Input LwA_XYZ'!CM44:DA44)))), "", 'Input LwA_XYZ'!A44)</f>
        <v/>
      </c>
      <c r="Q405" s="225" t="str">
        <f>IF($P405="","",_xlfn.TEXTJOIN(" - ",TRUE,'Input LwA_XYZ'!B44:C44))</f>
        <v/>
      </c>
      <c r="R405" s="231" t="str">
        <f>IF($P405="","",'Input LwA_XYZ'!Q44)</f>
        <v/>
      </c>
      <c r="S405" s="227" t="str">
        <f>IF($P405="","",ROUND(_xlfn.XLOOKUP(Tables!$N$362,'Input LwA_XYZ'!$AH$1:$AV$1,'Input LwA_XYZ'!AH44:AV44),0))</f>
        <v/>
      </c>
      <c r="T405" s="228" t="str">
        <f>IF($P405="","",-1*ROUND(_xlfn.XLOOKUP(Tables!$N$362,'Input LwA_XYZ'!$AY$1:$BM$1,'Input LwA_XYZ'!AY44:BM44),0))</f>
        <v/>
      </c>
      <c r="U405" s="228" t="str">
        <f>IF($P405="","",IF(_xlfn.XLOOKUP(Tables!$N$362,'Input LwA_XYZ'!$BV$1:$CJ$1,'Input LwA_XYZ'!BV44:CJ44)="","-",_xlfn.XLOOKUP(Tables!$N$362,'Input LwA_XYZ'!$BV$1:$CJ$1,'Input LwA_XYZ'!BV44:CJ44)))</f>
        <v/>
      </c>
      <c r="V405" s="228" t="str">
        <f>IF($P405="","",IF('Input LwA_XYZ'!S44="","-",'Input LwA_XYZ'!S44))</f>
        <v/>
      </c>
      <c r="W405" s="229" t="str" cm="1">
        <f t="array" ref="W405">IF($P405="","",IF(_xlfn.XLOOKUP(Tables!$N$362,_xlfn.ANCHORARRAY('Input LwA_XYZ'!$DD$1),'Input LwA_XYZ'!DD44:DR44)="","-",_xlfn.XLOOKUP(Tables!$N$362,_xlfn.ANCHORARRAY('Input LwA_XYZ'!$DD$1),'Input LwA_XYZ'!DD44:DR44)))</f>
        <v/>
      </c>
      <c r="X405" s="62" t="str">
        <f>IF($P405="","",_xlfn.XLOOKUP(Tables!$N$362,'Input LwA_XYZ'!$DU$1:$EI$1,'Input LwA_XYZ'!DU44:EI44))</f>
        <v/>
      </c>
    </row>
    <row r="406" spans="16:24" ht="16.5" x14ac:dyDescent="0.3">
      <c r="P406" s="230" t="str">
        <f>IF(OR('Input LwA_XYZ'!A45 = 0, NOT(ISBLANK(_xlfn.XLOOKUP(Tables!N$362, 'Input LwA_XYZ'!CM$1:DA$1, 'Input LwA_XYZ'!CM45:DA45)))), "", 'Input LwA_XYZ'!A45)</f>
        <v/>
      </c>
      <c r="Q406" s="225" t="str">
        <f>IF($P406="","",_xlfn.TEXTJOIN(" - ",TRUE,'Input LwA_XYZ'!B45:C45))</f>
        <v/>
      </c>
      <c r="R406" s="231" t="str">
        <f>IF($P406="","",'Input LwA_XYZ'!Q45)</f>
        <v/>
      </c>
      <c r="S406" s="227" t="str">
        <f>IF($P406="","",ROUND(_xlfn.XLOOKUP(Tables!$N$362,'Input LwA_XYZ'!$AH$1:$AV$1,'Input LwA_XYZ'!AH45:AV45),0))</f>
        <v/>
      </c>
      <c r="T406" s="228" t="str">
        <f>IF($P406="","",-1*ROUND(_xlfn.XLOOKUP(Tables!$N$362,'Input LwA_XYZ'!$AY$1:$BM$1,'Input LwA_XYZ'!AY45:BM45),0))</f>
        <v/>
      </c>
      <c r="U406" s="228" t="str">
        <f>IF($P406="","",IF(_xlfn.XLOOKUP(Tables!$N$362,'Input LwA_XYZ'!$BV$1:$CJ$1,'Input LwA_XYZ'!BV45:CJ45)="","-",_xlfn.XLOOKUP(Tables!$N$362,'Input LwA_XYZ'!$BV$1:$CJ$1,'Input LwA_XYZ'!BV45:CJ45)))</f>
        <v/>
      </c>
      <c r="V406" s="228" t="str">
        <f>IF($P406="","",IF('Input LwA_XYZ'!S45="","-",'Input LwA_XYZ'!S45))</f>
        <v/>
      </c>
      <c r="W406" s="229" t="str" cm="1">
        <f t="array" ref="W406">IF($P406="","",IF(_xlfn.XLOOKUP(Tables!$N$362,_xlfn.ANCHORARRAY('Input LwA_XYZ'!$DD$1),'Input LwA_XYZ'!DD45:DR45)="","-",_xlfn.XLOOKUP(Tables!$N$362,_xlfn.ANCHORARRAY('Input LwA_XYZ'!$DD$1),'Input LwA_XYZ'!DD45:DR45)))</f>
        <v/>
      </c>
      <c r="X406" s="62" t="str">
        <f>IF($P406="","",_xlfn.XLOOKUP(Tables!$N$362,'Input LwA_XYZ'!$DU$1:$EI$1,'Input LwA_XYZ'!DU45:EI45))</f>
        <v/>
      </c>
    </row>
    <row r="407" spans="16:24" ht="16.5" x14ac:dyDescent="0.3">
      <c r="P407" s="230" t="str">
        <f>IF(OR('Input LwA_XYZ'!A46 = 0, NOT(ISBLANK(_xlfn.XLOOKUP(Tables!N$362, 'Input LwA_XYZ'!CM$1:DA$1, 'Input LwA_XYZ'!CM46:DA46)))), "", 'Input LwA_XYZ'!A46)</f>
        <v/>
      </c>
      <c r="Q407" s="225" t="str">
        <f>IF($P407="","",_xlfn.TEXTJOIN(" - ",TRUE,'Input LwA_XYZ'!B46:C46))</f>
        <v/>
      </c>
      <c r="R407" s="231" t="str">
        <f>IF($P407="","",'Input LwA_XYZ'!Q46)</f>
        <v/>
      </c>
      <c r="S407" s="227" t="str">
        <f>IF($P407="","",ROUND(_xlfn.XLOOKUP(Tables!$N$362,'Input LwA_XYZ'!$AH$1:$AV$1,'Input LwA_XYZ'!AH46:AV46),0))</f>
        <v/>
      </c>
      <c r="T407" s="228" t="str">
        <f>IF($P407="","",-1*ROUND(_xlfn.XLOOKUP(Tables!$N$362,'Input LwA_XYZ'!$AY$1:$BM$1,'Input LwA_XYZ'!AY46:BM46),0))</f>
        <v/>
      </c>
      <c r="U407" s="228" t="str">
        <f>IF($P407="","",IF(_xlfn.XLOOKUP(Tables!$N$362,'Input LwA_XYZ'!$BV$1:$CJ$1,'Input LwA_XYZ'!BV46:CJ46)="","-",_xlfn.XLOOKUP(Tables!$N$362,'Input LwA_XYZ'!$BV$1:$CJ$1,'Input LwA_XYZ'!BV46:CJ46)))</f>
        <v/>
      </c>
      <c r="V407" s="228" t="str">
        <f>IF($P407="","",IF('Input LwA_XYZ'!S46="","-",'Input LwA_XYZ'!S46))</f>
        <v/>
      </c>
      <c r="W407" s="229" t="str" cm="1">
        <f t="array" ref="W407">IF($P407="","",IF(_xlfn.XLOOKUP(Tables!$N$362,_xlfn.ANCHORARRAY('Input LwA_XYZ'!$DD$1),'Input LwA_XYZ'!DD46:DR46)="","-",_xlfn.XLOOKUP(Tables!$N$362,_xlfn.ANCHORARRAY('Input LwA_XYZ'!$DD$1),'Input LwA_XYZ'!DD46:DR46)))</f>
        <v/>
      </c>
      <c r="X407" s="62" t="str">
        <f>IF($P407="","",_xlfn.XLOOKUP(Tables!$N$362,'Input LwA_XYZ'!$DU$1:$EI$1,'Input LwA_XYZ'!DU46:EI46))</f>
        <v/>
      </c>
    </row>
    <row r="408" spans="16:24" ht="16.5" x14ac:dyDescent="0.3">
      <c r="P408" s="230" t="str">
        <f>IF(OR('Input LwA_XYZ'!A47 = 0, NOT(ISBLANK(_xlfn.XLOOKUP(Tables!N$362, 'Input LwA_XYZ'!CM$1:DA$1, 'Input LwA_XYZ'!CM47:DA47)))), "", 'Input LwA_XYZ'!A47)</f>
        <v/>
      </c>
      <c r="Q408" s="225" t="str">
        <f>IF($P408="","",_xlfn.TEXTJOIN(" - ",TRUE,'Input LwA_XYZ'!B47:C47))</f>
        <v/>
      </c>
      <c r="R408" s="231" t="str">
        <f>IF($P408="","",'Input LwA_XYZ'!Q47)</f>
        <v/>
      </c>
      <c r="S408" s="227" t="str">
        <f>IF($P408="","",ROUND(_xlfn.XLOOKUP(Tables!$N$362,'Input LwA_XYZ'!$AH$1:$AV$1,'Input LwA_XYZ'!AH47:AV47),0))</f>
        <v/>
      </c>
      <c r="T408" s="228" t="str">
        <f>IF($P408="","",-1*ROUND(_xlfn.XLOOKUP(Tables!$N$362,'Input LwA_XYZ'!$AY$1:$BM$1,'Input LwA_XYZ'!AY47:BM47),0))</f>
        <v/>
      </c>
      <c r="U408" s="228" t="str">
        <f>IF($P408="","",IF(_xlfn.XLOOKUP(Tables!$N$362,'Input LwA_XYZ'!$BV$1:$CJ$1,'Input LwA_XYZ'!BV47:CJ47)="","-",_xlfn.XLOOKUP(Tables!$N$362,'Input LwA_XYZ'!$BV$1:$CJ$1,'Input LwA_XYZ'!BV47:CJ47)))</f>
        <v/>
      </c>
      <c r="V408" s="228" t="str">
        <f>IF($P408="","",IF('Input LwA_XYZ'!S47="","-",'Input LwA_XYZ'!S47))</f>
        <v/>
      </c>
      <c r="W408" s="229" t="str" cm="1">
        <f t="array" ref="W408">IF($P408="","",IF(_xlfn.XLOOKUP(Tables!$N$362,_xlfn.ANCHORARRAY('Input LwA_XYZ'!$DD$1),'Input LwA_XYZ'!DD47:DR47)="","-",_xlfn.XLOOKUP(Tables!$N$362,_xlfn.ANCHORARRAY('Input LwA_XYZ'!$DD$1),'Input LwA_XYZ'!DD47:DR47)))</f>
        <v/>
      </c>
      <c r="X408" s="62" t="str">
        <f>IF($P408="","",_xlfn.XLOOKUP(Tables!$N$362,'Input LwA_XYZ'!$DU$1:$EI$1,'Input LwA_XYZ'!DU47:EI47))</f>
        <v/>
      </c>
    </row>
    <row r="409" spans="16:24" ht="16.5" x14ac:dyDescent="0.3">
      <c r="P409" s="230" t="str">
        <f>IF(OR('Input LwA_XYZ'!A48 = 0, NOT(ISBLANK(_xlfn.XLOOKUP(Tables!N$362, 'Input LwA_XYZ'!CM$1:DA$1, 'Input LwA_XYZ'!CM48:DA48)))), "", 'Input LwA_XYZ'!A48)</f>
        <v/>
      </c>
      <c r="Q409" s="225" t="str">
        <f>IF($P409="","",_xlfn.TEXTJOIN(" - ",TRUE,'Input LwA_XYZ'!B48:C48))</f>
        <v/>
      </c>
      <c r="R409" s="231" t="str">
        <f>IF($P409="","",'Input LwA_XYZ'!Q48)</f>
        <v/>
      </c>
      <c r="S409" s="227" t="str">
        <f>IF($P409="","",ROUND(_xlfn.XLOOKUP(Tables!$N$362,'Input LwA_XYZ'!$AH$1:$AV$1,'Input LwA_XYZ'!AH48:AV48),0))</f>
        <v/>
      </c>
      <c r="T409" s="228" t="str">
        <f>IF($P409="","",-1*ROUND(_xlfn.XLOOKUP(Tables!$N$362,'Input LwA_XYZ'!$AY$1:$BM$1,'Input LwA_XYZ'!AY48:BM48),0))</f>
        <v/>
      </c>
      <c r="U409" s="228" t="str">
        <f>IF($P409="","",IF(_xlfn.XLOOKUP(Tables!$N$362,'Input LwA_XYZ'!$BV$1:$CJ$1,'Input LwA_XYZ'!BV48:CJ48)="","-",_xlfn.XLOOKUP(Tables!$N$362,'Input LwA_XYZ'!$BV$1:$CJ$1,'Input LwA_XYZ'!BV48:CJ48)))</f>
        <v/>
      </c>
      <c r="V409" s="228" t="str">
        <f>IF($P409="","",IF('Input LwA_XYZ'!S48="","-",'Input LwA_XYZ'!S48))</f>
        <v/>
      </c>
      <c r="W409" s="229" t="str" cm="1">
        <f t="array" ref="W409">IF($P409="","",IF(_xlfn.XLOOKUP(Tables!$N$362,_xlfn.ANCHORARRAY('Input LwA_XYZ'!$DD$1),'Input LwA_XYZ'!DD48:DR48)="","-",_xlfn.XLOOKUP(Tables!$N$362,_xlfn.ANCHORARRAY('Input LwA_XYZ'!$DD$1),'Input LwA_XYZ'!DD48:DR48)))</f>
        <v/>
      </c>
      <c r="X409" s="62" t="str">
        <f>IF($P409="","",_xlfn.XLOOKUP(Tables!$N$362,'Input LwA_XYZ'!$DU$1:$EI$1,'Input LwA_XYZ'!DU48:EI48))</f>
        <v/>
      </c>
    </row>
    <row r="410" spans="16:24" ht="16.5" x14ac:dyDescent="0.3">
      <c r="P410" s="230" t="str">
        <f>IF(OR('Input LwA_XYZ'!A49 = 0, NOT(ISBLANK(_xlfn.XLOOKUP(Tables!N$362, 'Input LwA_XYZ'!CM$1:DA$1, 'Input LwA_XYZ'!CM49:DA49)))), "", 'Input LwA_XYZ'!A49)</f>
        <v/>
      </c>
      <c r="Q410" s="225" t="str">
        <f>IF($P410="","",_xlfn.TEXTJOIN(" - ",TRUE,'Input LwA_XYZ'!B49:C49))</f>
        <v/>
      </c>
      <c r="R410" s="231" t="str">
        <f>IF($P410="","",'Input LwA_XYZ'!Q49)</f>
        <v/>
      </c>
      <c r="S410" s="227" t="str">
        <f>IF($P410="","",ROUND(_xlfn.XLOOKUP(Tables!$N$362,'Input LwA_XYZ'!$AH$1:$AV$1,'Input LwA_XYZ'!AH49:AV49),0))</f>
        <v/>
      </c>
      <c r="T410" s="228" t="str">
        <f>IF($P410="","",-1*ROUND(_xlfn.XLOOKUP(Tables!$N$362,'Input LwA_XYZ'!$AY$1:$BM$1,'Input LwA_XYZ'!AY49:BM49),0))</f>
        <v/>
      </c>
      <c r="U410" s="228" t="str">
        <f>IF($P410="","",IF(_xlfn.XLOOKUP(Tables!$N$362,'Input LwA_XYZ'!$BV$1:$CJ$1,'Input LwA_XYZ'!BV49:CJ49)="","-",_xlfn.XLOOKUP(Tables!$N$362,'Input LwA_XYZ'!$BV$1:$CJ$1,'Input LwA_XYZ'!BV49:CJ49)))</f>
        <v/>
      </c>
      <c r="V410" s="228" t="str">
        <f>IF($P410="","",IF('Input LwA_XYZ'!S49="","-",'Input LwA_XYZ'!S49))</f>
        <v/>
      </c>
      <c r="W410" s="229" t="str" cm="1">
        <f t="array" ref="W410">IF($P410="","",IF(_xlfn.XLOOKUP(Tables!$N$362,_xlfn.ANCHORARRAY('Input LwA_XYZ'!$DD$1),'Input LwA_XYZ'!DD49:DR49)="","-",_xlfn.XLOOKUP(Tables!$N$362,_xlfn.ANCHORARRAY('Input LwA_XYZ'!$DD$1),'Input LwA_XYZ'!DD49:DR49)))</f>
        <v/>
      </c>
      <c r="X410" s="62" t="str">
        <f>IF($P410="","",_xlfn.XLOOKUP(Tables!$N$362,'Input LwA_XYZ'!$DU$1:$EI$1,'Input LwA_XYZ'!DU49:EI49))</f>
        <v/>
      </c>
    </row>
    <row r="411" spans="16:24" ht="16.5" x14ac:dyDescent="0.3">
      <c r="P411" s="230" t="str">
        <f>IF(OR('Input LwA_XYZ'!A50 = 0, NOT(ISBLANK(_xlfn.XLOOKUP(Tables!N$362, 'Input LwA_XYZ'!CM$1:DA$1, 'Input LwA_XYZ'!CM50:DA50)))), "", 'Input LwA_XYZ'!A50)</f>
        <v/>
      </c>
      <c r="Q411" s="225" t="str">
        <f>IF($P411="","",_xlfn.TEXTJOIN(" - ",TRUE,'Input LwA_XYZ'!B50:C50))</f>
        <v/>
      </c>
      <c r="R411" s="231" t="str">
        <f>IF($P411="","",'Input LwA_XYZ'!Q50)</f>
        <v/>
      </c>
      <c r="S411" s="227" t="str">
        <f>IF($P411="","",ROUND(_xlfn.XLOOKUP(Tables!$N$362,'Input LwA_XYZ'!$AH$1:$AV$1,'Input LwA_XYZ'!AH50:AV50),0))</f>
        <v/>
      </c>
      <c r="T411" s="228" t="str">
        <f>IF($P411="","",-1*ROUND(_xlfn.XLOOKUP(Tables!$N$362,'Input LwA_XYZ'!$AY$1:$BM$1,'Input LwA_XYZ'!AY50:BM50),0))</f>
        <v/>
      </c>
      <c r="U411" s="228" t="str">
        <f>IF($P411="","",IF(_xlfn.XLOOKUP(Tables!$N$362,'Input LwA_XYZ'!$BV$1:$CJ$1,'Input LwA_XYZ'!BV50:CJ50)="","-",_xlfn.XLOOKUP(Tables!$N$362,'Input LwA_XYZ'!$BV$1:$CJ$1,'Input LwA_XYZ'!BV50:CJ50)))</f>
        <v/>
      </c>
      <c r="V411" s="228" t="str">
        <f>IF($P411="","",IF('Input LwA_XYZ'!S50="","-",'Input LwA_XYZ'!S50))</f>
        <v/>
      </c>
      <c r="W411" s="229" t="str" cm="1">
        <f t="array" ref="W411">IF($P411="","",IF(_xlfn.XLOOKUP(Tables!$N$362,_xlfn.ANCHORARRAY('Input LwA_XYZ'!$DD$1),'Input LwA_XYZ'!DD50:DR50)="","-",_xlfn.XLOOKUP(Tables!$N$362,_xlfn.ANCHORARRAY('Input LwA_XYZ'!$DD$1),'Input LwA_XYZ'!DD50:DR50)))</f>
        <v/>
      </c>
      <c r="X411" s="62" t="str">
        <f>IF($P411="","",_xlfn.XLOOKUP(Tables!$N$362,'Input LwA_XYZ'!$DU$1:$EI$1,'Input LwA_XYZ'!DU50:EI50))</f>
        <v/>
      </c>
    </row>
    <row r="412" spans="16:24" ht="16.5" x14ac:dyDescent="0.3">
      <c r="P412" s="230" t="str">
        <f>IF(OR('Input LwA_XYZ'!A51 = 0, NOT(ISBLANK(_xlfn.XLOOKUP(Tables!N$362, 'Input LwA_XYZ'!CM$1:DA$1, 'Input LwA_XYZ'!CM51:DA51)))), "", 'Input LwA_XYZ'!A51)</f>
        <v/>
      </c>
      <c r="Q412" s="225" t="str">
        <f>IF($P412="","",_xlfn.TEXTJOIN(" - ",TRUE,'Input LwA_XYZ'!B51:C51))</f>
        <v/>
      </c>
      <c r="R412" s="231" t="str">
        <f>IF($P412="","",'Input LwA_XYZ'!Q51)</f>
        <v/>
      </c>
      <c r="S412" s="227" t="str">
        <f>IF($P412="","",ROUND(_xlfn.XLOOKUP(Tables!$N$362,'Input LwA_XYZ'!$AH$1:$AV$1,'Input LwA_XYZ'!AH51:AV51),0))</f>
        <v/>
      </c>
      <c r="T412" s="228" t="str">
        <f>IF($P412="","",-1*ROUND(_xlfn.XLOOKUP(Tables!$N$362,'Input LwA_XYZ'!$AY$1:$BM$1,'Input LwA_XYZ'!AY51:BM51),0))</f>
        <v/>
      </c>
      <c r="U412" s="228" t="str">
        <f>IF($P412="","",IF(_xlfn.XLOOKUP(Tables!$N$362,'Input LwA_XYZ'!$BV$1:$CJ$1,'Input LwA_XYZ'!BV51:CJ51)="","-",_xlfn.XLOOKUP(Tables!$N$362,'Input LwA_XYZ'!$BV$1:$CJ$1,'Input LwA_XYZ'!BV51:CJ51)))</f>
        <v/>
      </c>
      <c r="V412" s="228" t="str">
        <f>IF($P412="","",IF('Input LwA_XYZ'!S51="","-",'Input LwA_XYZ'!S51))</f>
        <v/>
      </c>
      <c r="W412" s="229" t="str" cm="1">
        <f t="array" ref="W412">IF($P412="","",IF(_xlfn.XLOOKUP(Tables!$N$362,_xlfn.ANCHORARRAY('Input LwA_XYZ'!$DD$1),'Input LwA_XYZ'!DD51:DR51)="","-",_xlfn.XLOOKUP(Tables!$N$362,_xlfn.ANCHORARRAY('Input LwA_XYZ'!$DD$1),'Input LwA_XYZ'!DD51:DR51)))</f>
        <v/>
      </c>
      <c r="X412" s="62" t="str">
        <f>IF($P412="","",_xlfn.XLOOKUP(Tables!$N$362,'Input LwA_XYZ'!$DU$1:$EI$1,'Input LwA_XYZ'!DU51:EI51))</f>
        <v/>
      </c>
    </row>
    <row r="413" spans="16:24" ht="16.5" x14ac:dyDescent="0.3">
      <c r="P413" s="230" t="str">
        <f>IF(OR('Input LwA_XYZ'!A52 = 0, NOT(ISBLANK(_xlfn.XLOOKUP(Tables!N$362, 'Input LwA_XYZ'!CM$1:DA$1, 'Input LwA_XYZ'!CM52:DA52)))), "", 'Input LwA_XYZ'!A52)</f>
        <v/>
      </c>
      <c r="Q413" s="225" t="str">
        <f>IF($P413="","",_xlfn.TEXTJOIN(" - ",TRUE,'Input LwA_XYZ'!B52:C52))</f>
        <v/>
      </c>
      <c r="R413" s="231" t="str">
        <f>IF($P413="","",'Input LwA_XYZ'!Q52)</f>
        <v/>
      </c>
      <c r="S413" s="227" t="str">
        <f>IF($P413="","",ROUND(_xlfn.XLOOKUP(Tables!$N$362,'Input LwA_XYZ'!$AH$1:$AV$1,'Input LwA_XYZ'!AH52:AV52),0))</f>
        <v/>
      </c>
      <c r="T413" s="228" t="str">
        <f>IF($P413="","",-1*ROUND(_xlfn.XLOOKUP(Tables!$N$362,'Input LwA_XYZ'!$AY$1:$BM$1,'Input LwA_XYZ'!AY52:BM52),0))</f>
        <v/>
      </c>
      <c r="U413" s="228" t="str">
        <f>IF($P413="","",IF(_xlfn.XLOOKUP(Tables!$N$362,'Input LwA_XYZ'!$BV$1:$CJ$1,'Input LwA_XYZ'!BV52:CJ52)="","-",_xlfn.XLOOKUP(Tables!$N$362,'Input LwA_XYZ'!$BV$1:$CJ$1,'Input LwA_XYZ'!BV52:CJ52)))</f>
        <v/>
      </c>
      <c r="V413" s="228" t="str">
        <f>IF($P413="","",IF('Input LwA_XYZ'!S52="","-",'Input LwA_XYZ'!S52))</f>
        <v/>
      </c>
      <c r="W413" s="229" t="str" cm="1">
        <f t="array" ref="W413">IF($P413="","",IF(_xlfn.XLOOKUP(Tables!$N$362,_xlfn.ANCHORARRAY('Input LwA_XYZ'!$DD$1),'Input LwA_XYZ'!DD52:DR52)="","-",_xlfn.XLOOKUP(Tables!$N$362,_xlfn.ANCHORARRAY('Input LwA_XYZ'!$DD$1),'Input LwA_XYZ'!DD52:DR52)))</f>
        <v/>
      </c>
      <c r="X413" s="62" t="str">
        <f>IF($P413="","",_xlfn.XLOOKUP(Tables!$N$362,'Input LwA_XYZ'!$DU$1:$EI$1,'Input LwA_XYZ'!DU52:EI52))</f>
        <v/>
      </c>
    </row>
    <row r="414" spans="16:24" ht="16.5" x14ac:dyDescent="0.3">
      <c r="P414" s="230" t="str">
        <f>IF(OR('Input LwA_XYZ'!A53 = 0, NOT(ISBLANK(_xlfn.XLOOKUP(Tables!N$362, 'Input LwA_XYZ'!CM$1:DA$1, 'Input LwA_XYZ'!CM53:DA53)))), "", 'Input LwA_XYZ'!A53)</f>
        <v/>
      </c>
      <c r="Q414" s="225" t="str">
        <f>IF($P414="","",_xlfn.TEXTJOIN(" - ",TRUE,'Input LwA_XYZ'!B53:C53))</f>
        <v/>
      </c>
      <c r="R414" s="231" t="str">
        <f>IF($P414="","",'Input LwA_XYZ'!Q53)</f>
        <v/>
      </c>
      <c r="S414" s="227" t="str">
        <f>IF($P414="","",ROUND(_xlfn.XLOOKUP(Tables!$N$362,'Input LwA_XYZ'!$AH$1:$AV$1,'Input LwA_XYZ'!AH53:AV53),0))</f>
        <v/>
      </c>
      <c r="T414" s="228" t="str">
        <f>IF($P414="","",-1*ROUND(_xlfn.XLOOKUP(Tables!$N$362,'Input LwA_XYZ'!$AY$1:$BM$1,'Input LwA_XYZ'!AY53:BM53),0))</f>
        <v/>
      </c>
      <c r="U414" s="228" t="str">
        <f>IF($P414="","",IF(_xlfn.XLOOKUP(Tables!$N$362,'Input LwA_XYZ'!$BV$1:$CJ$1,'Input LwA_XYZ'!BV53:CJ53)="","-",_xlfn.XLOOKUP(Tables!$N$362,'Input LwA_XYZ'!$BV$1:$CJ$1,'Input LwA_XYZ'!BV53:CJ53)))</f>
        <v/>
      </c>
      <c r="V414" s="228" t="str">
        <f>IF($P414="","",IF('Input LwA_XYZ'!S53="","-",'Input LwA_XYZ'!S53))</f>
        <v/>
      </c>
      <c r="W414" s="229" t="str" cm="1">
        <f t="array" ref="W414">IF($P414="","",IF(_xlfn.XLOOKUP(Tables!$N$362,_xlfn.ANCHORARRAY('Input LwA_XYZ'!$DD$1),'Input LwA_XYZ'!DD53:DR53)="","-",_xlfn.XLOOKUP(Tables!$N$362,_xlfn.ANCHORARRAY('Input LwA_XYZ'!$DD$1),'Input LwA_XYZ'!DD53:DR53)))</f>
        <v/>
      </c>
      <c r="X414" s="62" t="str">
        <f>IF($P414="","",_xlfn.XLOOKUP(Tables!$N$362,'Input LwA_XYZ'!$DU$1:$EI$1,'Input LwA_XYZ'!DU53:EI53))</f>
        <v/>
      </c>
    </row>
    <row r="415" spans="16:24" ht="16.5" x14ac:dyDescent="0.3">
      <c r="P415" s="230" t="str">
        <f>IF(OR('Input LwA_XYZ'!A54 = 0, NOT(ISBLANK(_xlfn.XLOOKUP(Tables!N$362, 'Input LwA_XYZ'!CM$1:DA$1, 'Input LwA_XYZ'!CM54:DA54)))), "", 'Input LwA_XYZ'!A54)</f>
        <v/>
      </c>
      <c r="Q415" s="225" t="str">
        <f>IF($P415="","",_xlfn.TEXTJOIN(" - ",TRUE,'Input LwA_XYZ'!B54:C54))</f>
        <v/>
      </c>
      <c r="R415" s="231" t="str">
        <f>IF($P415="","",'Input LwA_XYZ'!Q54)</f>
        <v/>
      </c>
      <c r="S415" s="227" t="str">
        <f>IF($P415="","",ROUND(_xlfn.XLOOKUP(Tables!$N$362,'Input LwA_XYZ'!$AH$1:$AV$1,'Input LwA_XYZ'!AH54:AV54),0))</f>
        <v/>
      </c>
      <c r="T415" s="228" t="str">
        <f>IF($P415="","",-1*ROUND(_xlfn.XLOOKUP(Tables!$N$362,'Input LwA_XYZ'!$AY$1:$BM$1,'Input LwA_XYZ'!AY54:BM54),0))</f>
        <v/>
      </c>
      <c r="U415" s="228" t="str">
        <f>IF($P415="","",IF(_xlfn.XLOOKUP(Tables!$N$362,'Input LwA_XYZ'!$BV$1:$CJ$1,'Input LwA_XYZ'!BV54:CJ54)="","-",_xlfn.XLOOKUP(Tables!$N$362,'Input LwA_XYZ'!$BV$1:$CJ$1,'Input LwA_XYZ'!BV54:CJ54)))</f>
        <v/>
      </c>
      <c r="V415" s="228" t="str">
        <f>IF($P415="","",IF('Input LwA_XYZ'!S54="","-",'Input LwA_XYZ'!S54))</f>
        <v/>
      </c>
      <c r="W415" s="229" t="str" cm="1">
        <f t="array" ref="W415">IF($P415="","",IF(_xlfn.XLOOKUP(Tables!$N$362,_xlfn.ANCHORARRAY('Input LwA_XYZ'!$DD$1),'Input LwA_XYZ'!DD54:DR54)="","-",_xlfn.XLOOKUP(Tables!$N$362,_xlfn.ANCHORARRAY('Input LwA_XYZ'!$DD$1),'Input LwA_XYZ'!DD54:DR54)))</f>
        <v/>
      </c>
      <c r="X415" s="62" t="str">
        <f>IF($P415="","",_xlfn.XLOOKUP(Tables!$N$362,'Input LwA_XYZ'!$DU$1:$EI$1,'Input LwA_XYZ'!DU54:EI54))</f>
        <v/>
      </c>
    </row>
    <row r="416" spans="16:24" ht="16.5" x14ac:dyDescent="0.3">
      <c r="P416" s="230" t="str">
        <f>IF(OR('Input LwA_XYZ'!A55 = 0, NOT(ISBLANK(_xlfn.XLOOKUP(Tables!N$362, 'Input LwA_XYZ'!CM$1:DA$1, 'Input LwA_XYZ'!CM55:DA55)))), "", 'Input LwA_XYZ'!A55)</f>
        <v/>
      </c>
      <c r="Q416" s="225" t="str">
        <f>IF($P416="","",_xlfn.TEXTJOIN(" - ",TRUE,'Input LwA_XYZ'!B55:C55))</f>
        <v/>
      </c>
      <c r="R416" s="231" t="str">
        <f>IF($P416="","",'Input LwA_XYZ'!Q55)</f>
        <v/>
      </c>
      <c r="S416" s="227" t="str">
        <f>IF($P416="","",ROUND(_xlfn.XLOOKUP(Tables!$N$362,'Input LwA_XYZ'!$AH$1:$AV$1,'Input LwA_XYZ'!AH55:AV55),0))</f>
        <v/>
      </c>
      <c r="T416" s="228" t="str">
        <f>IF($P416="","",-1*ROUND(_xlfn.XLOOKUP(Tables!$N$362,'Input LwA_XYZ'!$AY$1:$BM$1,'Input LwA_XYZ'!AY55:BM55),0))</f>
        <v/>
      </c>
      <c r="U416" s="228" t="str">
        <f>IF($P416="","",IF(_xlfn.XLOOKUP(Tables!$N$362,'Input LwA_XYZ'!$BV$1:$CJ$1,'Input LwA_XYZ'!BV55:CJ55)="","-",_xlfn.XLOOKUP(Tables!$N$362,'Input LwA_XYZ'!$BV$1:$CJ$1,'Input LwA_XYZ'!BV55:CJ55)))</f>
        <v/>
      </c>
      <c r="V416" s="228" t="str">
        <f>IF($P416="","",IF('Input LwA_XYZ'!S55="","-",'Input LwA_XYZ'!S55))</f>
        <v/>
      </c>
      <c r="W416" s="229" t="str" cm="1">
        <f t="array" ref="W416">IF($P416="","",IF(_xlfn.XLOOKUP(Tables!$N$362,_xlfn.ANCHORARRAY('Input LwA_XYZ'!$DD$1),'Input LwA_XYZ'!DD55:DR55)="","-",_xlfn.XLOOKUP(Tables!$N$362,_xlfn.ANCHORARRAY('Input LwA_XYZ'!$DD$1),'Input LwA_XYZ'!DD55:DR55)))</f>
        <v/>
      </c>
      <c r="X416" s="62" t="str">
        <f>IF($P416="","",_xlfn.XLOOKUP(Tables!$N$362,'Input LwA_XYZ'!$DU$1:$EI$1,'Input LwA_XYZ'!DU55:EI55))</f>
        <v/>
      </c>
    </row>
    <row r="417" spans="14:24" ht="16.5" x14ac:dyDescent="0.3">
      <c r="P417" s="230" t="str">
        <f>IF(OR('Input LwA_XYZ'!A56 = 0, NOT(ISBLANK(_xlfn.XLOOKUP(Tables!N$362, 'Input LwA_XYZ'!CM$1:DA$1, 'Input LwA_XYZ'!CM56:DA56)))), "", 'Input LwA_XYZ'!A56)</f>
        <v/>
      </c>
      <c r="Q417" s="225" t="str">
        <f>IF($P417="","",_xlfn.TEXTJOIN(" - ",TRUE,'Input LwA_XYZ'!B56:C56))</f>
        <v/>
      </c>
      <c r="R417" s="231" t="str">
        <f>IF($P417="","",'Input LwA_XYZ'!Q56)</f>
        <v/>
      </c>
      <c r="S417" s="227" t="str">
        <f>IF($P417="","",ROUND(_xlfn.XLOOKUP(Tables!$N$362,'Input LwA_XYZ'!$AH$1:$AV$1,'Input LwA_XYZ'!AH56:AV56),0))</f>
        <v/>
      </c>
      <c r="T417" s="228" t="str">
        <f>IF($P417="","",-1*ROUND(_xlfn.XLOOKUP(Tables!$N$362,'Input LwA_XYZ'!$AY$1:$BM$1,'Input LwA_XYZ'!AY56:BM56),0))</f>
        <v/>
      </c>
      <c r="U417" s="228" t="str">
        <f>IF($P417="","",IF(_xlfn.XLOOKUP(Tables!$N$362,'Input LwA_XYZ'!$BV$1:$CJ$1,'Input LwA_XYZ'!BV56:CJ56)="","-",_xlfn.XLOOKUP(Tables!$N$362,'Input LwA_XYZ'!$BV$1:$CJ$1,'Input LwA_XYZ'!BV56:CJ56)))</f>
        <v/>
      </c>
      <c r="V417" s="228" t="str">
        <f>IF($P417="","",IF('Input LwA_XYZ'!S56="","-",'Input LwA_XYZ'!S56))</f>
        <v/>
      </c>
      <c r="W417" s="229" t="str" cm="1">
        <f t="array" ref="W417">IF($P417="","",IF(_xlfn.XLOOKUP(Tables!$N$362,_xlfn.ANCHORARRAY('Input LwA_XYZ'!$DD$1),'Input LwA_XYZ'!DD56:DR56)="","-",_xlfn.XLOOKUP(Tables!$N$362,_xlfn.ANCHORARRAY('Input LwA_XYZ'!$DD$1),'Input LwA_XYZ'!DD56:DR56)))</f>
        <v/>
      </c>
      <c r="X417" s="62" t="str">
        <f>IF($P417="","",_xlfn.XLOOKUP(Tables!$N$362,'Input LwA_XYZ'!$DU$1:$EI$1,'Input LwA_XYZ'!DU56:EI56))</f>
        <v/>
      </c>
    </row>
    <row r="418" spans="14:24" ht="16.5" x14ac:dyDescent="0.3">
      <c r="P418" s="230" t="str">
        <f>IF(OR('Input LwA_XYZ'!A57 = 0, NOT(ISBLANK(_xlfn.XLOOKUP(Tables!N$362, 'Input LwA_XYZ'!CM$1:DA$1, 'Input LwA_XYZ'!CM57:DA57)))), "", 'Input LwA_XYZ'!A57)</f>
        <v/>
      </c>
      <c r="Q418" s="225" t="str">
        <f>IF($P418="","",_xlfn.TEXTJOIN(" - ",TRUE,'Input LwA_XYZ'!B57:C57))</f>
        <v/>
      </c>
      <c r="R418" s="231" t="str">
        <f>IF($P418="","",'Input LwA_XYZ'!Q57)</f>
        <v/>
      </c>
      <c r="S418" s="227" t="str">
        <f>IF($P418="","",ROUND(_xlfn.XLOOKUP(Tables!$N$362,'Input LwA_XYZ'!$AH$1:$AV$1,'Input LwA_XYZ'!AH57:AV57),0))</f>
        <v/>
      </c>
      <c r="T418" s="228" t="str">
        <f>IF($P418="","",-1*ROUND(_xlfn.XLOOKUP(Tables!$N$362,'Input LwA_XYZ'!$AY$1:$BM$1,'Input LwA_XYZ'!AY57:BM57),0))</f>
        <v/>
      </c>
      <c r="U418" s="228" t="str">
        <f>IF($P418="","",IF(_xlfn.XLOOKUP(Tables!$N$362,'Input LwA_XYZ'!$BV$1:$CJ$1,'Input LwA_XYZ'!BV57:CJ57)="","-",_xlfn.XLOOKUP(Tables!$N$362,'Input LwA_XYZ'!$BV$1:$CJ$1,'Input LwA_XYZ'!BV57:CJ57)))</f>
        <v/>
      </c>
      <c r="V418" s="228" t="str">
        <f>IF($P418="","",IF('Input LwA_XYZ'!S57="","-",'Input LwA_XYZ'!S57))</f>
        <v/>
      </c>
      <c r="W418" s="229" t="str" cm="1">
        <f t="array" ref="W418">IF($P418="","",IF(_xlfn.XLOOKUP(Tables!$N$362,_xlfn.ANCHORARRAY('Input LwA_XYZ'!$DD$1),'Input LwA_XYZ'!DD57:DR57)="","-",_xlfn.XLOOKUP(Tables!$N$362,_xlfn.ANCHORARRAY('Input LwA_XYZ'!$DD$1),'Input LwA_XYZ'!DD57:DR57)))</f>
        <v/>
      </c>
      <c r="X418" s="62" t="str">
        <f>IF($P418="","",_xlfn.XLOOKUP(Tables!$N$362,'Input LwA_XYZ'!$DU$1:$EI$1,'Input LwA_XYZ'!DU57:EI57))</f>
        <v/>
      </c>
    </row>
    <row r="419" spans="14:24" ht="17.25" thickBot="1" x14ac:dyDescent="0.35">
      <c r="P419" s="232" t="str">
        <f>IF(OR('Input LwA_XYZ'!A58 = 0, NOT(ISBLANK(_xlfn.XLOOKUP(Tables!N$362, 'Input LwA_XYZ'!CM$1:DA$1, 'Input LwA_XYZ'!CM58:DA58)))), "", 'Input LwA_XYZ'!A58)</f>
        <v/>
      </c>
      <c r="Q419" s="233" t="str">
        <f>IF($P419="","",_xlfn.TEXTJOIN(" - ",TRUE,'Input LwA_XYZ'!B58:C58))</f>
        <v/>
      </c>
      <c r="R419" s="234" t="str">
        <f>IF($P419="","",'Input LwA_XYZ'!Q58)</f>
        <v/>
      </c>
      <c r="S419" s="235" t="str">
        <f>IF($P419="","",ROUND(_xlfn.XLOOKUP(Tables!$N$362,'Input LwA_XYZ'!$AH$1:$AV$1,'Input LwA_XYZ'!AH58:AV58),0))</f>
        <v/>
      </c>
      <c r="T419" s="236" t="str">
        <f>IF($P419="","",-1*ROUND(_xlfn.XLOOKUP(Tables!$N$362,'Input LwA_XYZ'!$AY$1:$BM$1,'Input LwA_XYZ'!AY58:BM58),0))</f>
        <v/>
      </c>
      <c r="U419" s="228" t="str">
        <f>IF($P419="","",IF(_xlfn.XLOOKUP(Tables!$N$362,'Input LwA_XYZ'!$BV$1:$CJ$1,'Input LwA_XYZ'!BV58:CJ58)="","-",_xlfn.XLOOKUP(Tables!$N$362,'Input LwA_XYZ'!$BV$1:$CJ$1,'Input LwA_XYZ'!BV58:CJ58)))</f>
        <v/>
      </c>
      <c r="V419" s="228" t="str">
        <f>IF($P419="","",IF('Input LwA_XYZ'!S58="","-",'Input LwA_XYZ'!S58))</f>
        <v/>
      </c>
      <c r="W419" s="229" t="str" cm="1">
        <f t="array" ref="W419">IF($P419="","",IF(_xlfn.XLOOKUP(Tables!$N$362,_xlfn.ANCHORARRAY('Input LwA_XYZ'!$DD$1),'Input LwA_XYZ'!DD58:DR58)="","-",_xlfn.XLOOKUP(Tables!$N$362,_xlfn.ANCHORARRAY('Input LwA_XYZ'!$DD$1),'Input LwA_XYZ'!DD58:DR58)))</f>
        <v/>
      </c>
      <c r="X419" s="63" t="str">
        <f>IF($P419="","",_xlfn.XLOOKUP(Tables!$N$362,'Input LwA_XYZ'!$DU$1:$EI$1,'Input LwA_XYZ'!DU58:EI58))</f>
        <v/>
      </c>
    </row>
    <row r="420" spans="14:24" ht="17.25" thickBot="1" x14ac:dyDescent="0.35">
      <c r="P420" s="237" t="s">
        <v>215</v>
      </c>
      <c r="Q420" s="238"/>
      <c r="R420" s="239"/>
      <c r="S420" s="238"/>
      <c r="T420" s="240"/>
      <c r="U420" s="240"/>
      <c r="V420" s="240"/>
      <c r="W420" s="241"/>
      <c r="X420" s="219" t="e">
        <f>_xlfn.XLOOKUP(Tables!$N$362,'Input LwA_XYZ'!$Z$2:$Z$16,'Input LwA_XYZ'!$AE$2:$AE$16)</f>
        <v>#N/A</v>
      </c>
    </row>
    <row r="421" spans="14:24" ht="15.75" thickBot="1" x14ac:dyDescent="0.3"/>
    <row r="422" spans="14:24" ht="33.75" thickBot="1" x14ac:dyDescent="0.35">
      <c r="N422" s="66" t="s">
        <v>207</v>
      </c>
      <c r="P422" s="242" t="s">
        <v>79</v>
      </c>
      <c r="Q422" s="243" t="s">
        <v>80</v>
      </c>
      <c r="R422" s="244" t="s">
        <v>81</v>
      </c>
      <c r="S422" s="244" t="s">
        <v>19</v>
      </c>
      <c r="T422" s="244" t="s">
        <v>216</v>
      </c>
      <c r="U422" s="246" t="s">
        <v>82</v>
      </c>
      <c r="V422" s="247" t="s">
        <v>83</v>
      </c>
      <c r="W422" s="248" t="s">
        <v>236</v>
      </c>
      <c r="X422" s="245" t="s">
        <v>78</v>
      </c>
    </row>
    <row r="423" spans="14:24" ht="17.25" thickBot="1" x14ac:dyDescent="0.35">
      <c r="N423" s="66" t="str">
        <f>_xlfn.XLOOKUP(N422, 'Input LwA_XYZ'!$Z$2:$Z$16, 'Input LwA_XYZ'!$AF$2:$AF$16, "")</f>
        <v/>
      </c>
      <c r="P423" s="224" t="str">
        <f>IF(OR('Input LwA_XYZ'!A2 = 0, NOT(ISBLANK(_xlfn.XLOOKUP(Tables!N$422, 'Input LwA_XYZ'!CM$1:DA$1, 'Input LwA_XYZ'!CM2:DA2)))), "", 'Input LwA_XYZ'!A2)</f>
        <v/>
      </c>
      <c r="Q423" s="225" t="str">
        <f>IF($P423="","",_xlfn.TEXTJOIN(" - ",TRUE,'Input LwA_XYZ'!B2:C2))</f>
        <v/>
      </c>
      <c r="R423" s="226" t="str">
        <f>IF($P423="","",'Input LwA_XYZ'!Q2)</f>
        <v/>
      </c>
      <c r="S423" s="227" t="str">
        <f>IF($P423="","",ROUND(_xlfn.XLOOKUP(Tables!$N$422,'Input LwA_XYZ'!$AH$1:$AV$1,'Input LwA_XYZ'!AH2:AV2),0))</f>
        <v/>
      </c>
      <c r="T423" s="228" t="str">
        <f>IF($P423="","",-1*ROUND(_xlfn.XLOOKUP(Tables!$N$422,'Input LwA_XYZ'!$AY$1:$BM$1,'Input LwA_XYZ'!AY2:BM2),0))</f>
        <v/>
      </c>
      <c r="U423" s="228" t="str">
        <f>IF($P423="","",IF(_xlfn.XLOOKUP(Tables!$N$422,'Input LwA_XYZ'!$BV$1:$CJ$1,'Input LwA_XYZ'!BV2:CJ2)="","-",_xlfn.XLOOKUP(Tables!$N$422,'Input LwA_XYZ'!$BV$1:$CJ$1,'Input LwA_XYZ'!BV2:CJ2)))</f>
        <v/>
      </c>
      <c r="V423" s="228" t="str">
        <f>IF($P423="","",IF('Input LwA_XYZ'!S2="","-",'Input LwA_XYZ'!S2))</f>
        <v/>
      </c>
      <c r="W423" s="229" t="str" cm="1">
        <f t="array" ref="W423">IF($P423="","",IF(_xlfn.XLOOKUP(Tables!$N$422,_xlfn.ANCHORARRAY('Input LwA_XYZ'!$DD$1),'Input LwA_XYZ'!DD2:DR2)="","-",_xlfn.XLOOKUP(Tables!$N$422,_xlfn.ANCHORARRAY('Input LwA_XYZ'!$DD$1),'Input LwA_XYZ'!DD2:DR2)))</f>
        <v/>
      </c>
      <c r="X423" s="88" t="str">
        <f>IF($P423="","",_xlfn.XLOOKUP(Tables!$N$422,'Input LwA_XYZ'!$DU$1:$EI$1,'Input LwA_XYZ'!DU2:EI2))</f>
        <v/>
      </c>
    </row>
    <row r="424" spans="14:24" ht="16.5" x14ac:dyDescent="0.3">
      <c r="P424" s="230" t="str">
        <f>IF(OR('Input LwA_XYZ'!A3 = 0, NOT(ISBLANK(_xlfn.XLOOKUP(Tables!N$422, 'Input LwA_XYZ'!CM$1:DA$1, 'Input LwA_XYZ'!CM3:DA3)))), "", 'Input LwA_XYZ'!A3)</f>
        <v/>
      </c>
      <c r="Q424" s="225" t="str">
        <f>IF($P424="","",_xlfn.TEXTJOIN(" - ",TRUE,'Input LwA_XYZ'!B3:C3))</f>
        <v/>
      </c>
      <c r="R424" s="231" t="str">
        <f>IF($P424="","",'Input LwA_XYZ'!Q3)</f>
        <v/>
      </c>
      <c r="S424" s="227" t="str">
        <f>IF($P424="","",ROUND(_xlfn.XLOOKUP(Tables!$N$422,'Input LwA_XYZ'!$AH$1:$AV$1,'Input LwA_XYZ'!AH3:AV3),0))</f>
        <v/>
      </c>
      <c r="T424" s="228" t="str">
        <f>IF($P424="","",-1*ROUND(_xlfn.XLOOKUP(Tables!$N$422,'Input LwA_XYZ'!$AY$1:$BM$1,'Input LwA_XYZ'!AY3:BM3),0))</f>
        <v/>
      </c>
      <c r="U424" s="228" t="str">
        <f>IF($P424="","",IF(_xlfn.XLOOKUP(Tables!$N$422,'Input LwA_XYZ'!$BV$1:$CJ$1,'Input LwA_XYZ'!BV3:CJ3)="","-",_xlfn.XLOOKUP(Tables!$N$422,'Input LwA_XYZ'!$BV$1:$CJ$1,'Input LwA_XYZ'!BV3:CJ3)))</f>
        <v/>
      </c>
      <c r="V424" s="228" t="str">
        <f>IF($P424="","",IF('Input LwA_XYZ'!S3="","-",'Input LwA_XYZ'!S3))</f>
        <v/>
      </c>
      <c r="W424" s="229" t="str" cm="1">
        <f t="array" ref="W424">IF($P424="","",IF(_xlfn.XLOOKUP(Tables!$N$422,_xlfn.ANCHORARRAY('Input LwA_XYZ'!$DD$1),'Input LwA_XYZ'!DD3:DR3)="","-",_xlfn.XLOOKUP(Tables!$N$422,_xlfn.ANCHORARRAY('Input LwA_XYZ'!$DD$1),'Input LwA_XYZ'!DD3:DR3)))</f>
        <v/>
      </c>
      <c r="X424" s="62" t="str">
        <f>IF($P424="","",_xlfn.XLOOKUP(Tables!$N$422,'Input LwA_XYZ'!$DU$1:$EI$1,'Input LwA_XYZ'!DU3:EI3))</f>
        <v/>
      </c>
    </row>
    <row r="425" spans="14:24" ht="16.5" x14ac:dyDescent="0.3">
      <c r="P425" s="230" t="str">
        <f>IF(OR('Input LwA_XYZ'!A4 = 0, NOT(ISBLANK(_xlfn.XLOOKUP(Tables!N$422, 'Input LwA_XYZ'!CM$1:DA$1, 'Input LwA_XYZ'!CM4:DA4)))), "", 'Input LwA_XYZ'!A4)</f>
        <v/>
      </c>
      <c r="Q425" s="225" t="str">
        <f>IF($P425="","",_xlfn.TEXTJOIN(" - ",TRUE,'Input LwA_XYZ'!B4:C4))</f>
        <v/>
      </c>
      <c r="R425" s="231" t="str">
        <f>IF($P425="","",'Input LwA_XYZ'!Q4)</f>
        <v/>
      </c>
      <c r="S425" s="227" t="str">
        <f>IF($P425="","",ROUND(_xlfn.XLOOKUP(Tables!$N$422,'Input LwA_XYZ'!$AH$1:$AV$1,'Input LwA_XYZ'!AH4:AV4),0))</f>
        <v/>
      </c>
      <c r="T425" s="228" t="str">
        <f>IF($P425="","",-1*ROUND(_xlfn.XLOOKUP(Tables!$N$422,'Input LwA_XYZ'!$AY$1:$BM$1,'Input LwA_XYZ'!AY4:BM4),0))</f>
        <v/>
      </c>
      <c r="U425" s="228" t="str">
        <f>IF($P425="","",IF(_xlfn.XLOOKUP(Tables!$N$422,'Input LwA_XYZ'!$BV$1:$CJ$1,'Input LwA_XYZ'!BV4:CJ4)="","-",_xlfn.XLOOKUP(Tables!$N$422,'Input LwA_XYZ'!$BV$1:$CJ$1,'Input LwA_XYZ'!BV4:CJ4)))</f>
        <v/>
      </c>
      <c r="V425" s="228" t="str">
        <f>IF($P425="","",IF('Input LwA_XYZ'!S4="","-",'Input LwA_XYZ'!S4))</f>
        <v/>
      </c>
      <c r="W425" s="229" t="str" cm="1">
        <f t="array" ref="W425">IF($P425="","",IF(_xlfn.XLOOKUP(Tables!$N$422,_xlfn.ANCHORARRAY('Input LwA_XYZ'!$DD$1),'Input LwA_XYZ'!DD4:DR4)="","-",_xlfn.XLOOKUP(Tables!$N$422,_xlfn.ANCHORARRAY('Input LwA_XYZ'!$DD$1),'Input LwA_XYZ'!DD4:DR4)))</f>
        <v/>
      </c>
      <c r="X425" s="62" t="str">
        <f>IF($P425="","",_xlfn.XLOOKUP(Tables!$N$422,'Input LwA_XYZ'!$DU$1:$EI$1,'Input LwA_XYZ'!DU4:EI4))</f>
        <v/>
      </c>
    </row>
    <row r="426" spans="14:24" ht="16.5" x14ac:dyDescent="0.3">
      <c r="P426" s="230" t="str">
        <f>IF(OR('Input LwA_XYZ'!A5 = 0, NOT(ISBLANK(_xlfn.XLOOKUP(Tables!N$422, 'Input LwA_XYZ'!CM$1:DA$1, 'Input LwA_XYZ'!CM5:DA5)))), "", 'Input LwA_XYZ'!A5)</f>
        <v/>
      </c>
      <c r="Q426" s="225" t="str">
        <f>IF($P426="","",_xlfn.TEXTJOIN(" - ",TRUE,'Input LwA_XYZ'!B5:C5))</f>
        <v/>
      </c>
      <c r="R426" s="231" t="str">
        <f>IF($P426="","",'Input LwA_XYZ'!Q5)</f>
        <v/>
      </c>
      <c r="S426" s="227" t="str">
        <f>IF($P426="","",ROUND(_xlfn.XLOOKUP(Tables!$N$422,'Input LwA_XYZ'!$AH$1:$AV$1,'Input LwA_XYZ'!AH5:AV5),0))</f>
        <v/>
      </c>
      <c r="T426" s="228" t="str">
        <f>IF($P426="","",-1*ROUND(_xlfn.XLOOKUP(Tables!$N$422,'Input LwA_XYZ'!$AY$1:$BM$1,'Input LwA_XYZ'!AY5:BM5),0))</f>
        <v/>
      </c>
      <c r="U426" s="228" t="str">
        <f>IF($P426="","",IF(_xlfn.XLOOKUP(Tables!$N$422,'Input LwA_XYZ'!$BV$1:$CJ$1,'Input LwA_XYZ'!BV5:CJ5)="","-",_xlfn.XLOOKUP(Tables!$N$422,'Input LwA_XYZ'!$BV$1:$CJ$1,'Input LwA_XYZ'!BV5:CJ5)))</f>
        <v/>
      </c>
      <c r="V426" s="228" t="str">
        <f>IF($P426="","",IF('Input LwA_XYZ'!S5="","-",'Input LwA_XYZ'!S5))</f>
        <v/>
      </c>
      <c r="W426" s="229" t="str" cm="1">
        <f t="array" ref="W426">IF($P426="","",IF(_xlfn.XLOOKUP(Tables!$N$422,_xlfn.ANCHORARRAY('Input LwA_XYZ'!$DD$1),'Input LwA_XYZ'!DD5:DR5)="","-",_xlfn.XLOOKUP(Tables!$N$422,_xlfn.ANCHORARRAY('Input LwA_XYZ'!$DD$1),'Input LwA_XYZ'!DD5:DR5)))</f>
        <v/>
      </c>
      <c r="X426" s="62" t="str">
        <f>IF($P426="","",_xlfn.XLOOKUP(Tables!$N$422,'Input LwA_XYZ'!$DU$1:$EI$1,'Input LwA_XYZ'!DU5:EI5))</f>
        <v/>
      </c>
    </row>
    <row r="427" spans="14:24" ht="16.5" x14ac:dyDescent="0.3">
      <c r="P427" s="230" t="str">
        <f>IF(OR('Input LwA_XYZ'!A6 = 0, NOT(ISBLANK(_xlfn.XLOOKUP(Tables!N$422, 'Input LwA_XYZ'!CM$1:DA$1, 'Input LwA_XYZ'!CM6:DA6)))), "", 'Input LwA_XYZ'!A6)</f>
        <v/>
      </c>
      <c r="Q427" s="225" t="str">
        <f>IF($P427="","",_xlfn.TEXTJOIN(" - ",TRUE,'Input LwA_XYZ'!B6:C6))</f>
        <v/>
      </c>
      <c r="R427" s="231" t="str">
        <f>IF($P427="","",'Input LwA_XYZ'!Q6)</f>
        <v/>
      </c>
      <c r="S427" s="227" t="str">
        <f>IF($P427="","",ROUND(_xlfn.XLOOKUP(Tables!$N$422,'Input LwA_XYZ'!$AH$1:$AV$1,'Input LwA_XYZ'!AH6:AV6),0))</f>
        <v/>
      </c>
      <c r="T427" s="228" t="str">
        <f>IF($P427="","",-1*ROUND(_xlfn.XLOOKUP(Tables!$N$422,'Input LwA_XYZ'!$AY$1:$BM$1,'Input LwA_XYZ'!AY6:BM6),0))</f>
        <v/>
      </c>
      <c r="U427" s="228" t="str">
        <f>IF($P427="","",IF(_xlfn.XLOOKUP(Tables!$N$422,'Input LwA_XYZ'!$BV$1:$CJ$1,'Input LwA_XYZ'!BV6:CJ6)="","-",_xlfn.XLOOKUP(Tables!$N$422,'Input LwA_XYZ'!$BV$1:$CJ$1,'Input LwA_XYZ'!BV6:CJ6)))</f>
        <v/>
      </c>
      <c r="V427" s="228" t="str">
        <f>IF($P427="","",IF('Input LwA_XYZ'!S6="","-",'Input LwA_XYZ'!S6))</f>
        <v/>
      </c>
      <c r="W427" s="229" t="str" cm="1">
        <f t="array" ref="W427">IF($P427="","",IF(_xlfn.XLOOKUP(Tables!$N$422,_xlfn.ANCHORARRAY('Input LwA_XYZ'!$DD$1),'Input LwA_XYZ'!DD6:DR6)="","-",_xlfn.XLOOKUP(Tables!$N$422,_xlfn.ANCHORARRAY('Input LwA_XYZ'!$DD$1),'Input LwA_XYZ'!DD6:DR6)))</f>
        <v/>
      </c>
      <c r="X427" s="62" t="str">
        <f>IF($P427="","",_xlfn.XLOOKUP(Tables!$N$422,'Input LwA_XYZ'!$DU$1:$EI$1,'Input LwA_XYZ'!DU6:EI6))</f>
        <v/>
      </c>
    </row>
    <row r="428" spans="14:24" ht="16.5" x14ac:dyDescent="0.3">
      <c r="P428" s="230" t="str">
        <f>IF(OR('Input LwA_XYZ'!A7 = 0, NOT(ISBLANK(_xlfn.XLOOKUP(Tables!N$422, 'Input LwA_XYZ'!CM$1:DA$1, 'Input LwA_XYZ'!CM7:DA7)))), "", 'Input LwA_XYZ'!A7)</f>
        <v/>
      </c>
      <c r="Q428" s="225" t="str">
        <f>IF($P428="","",_xlfn.TEXTJOIN(" - ",TRUE,'Input LwA_XYZ'!B7:C7))</f>
        <v/>
      </c>
      <c r="R428" s="231" t="str">
        <f>IF($P428="","",'Input LwA_XYZ'!Q7)</f>
        <v/>
      </c>
      <c r="S428" s="227" t="str">
        <f>IF($P428="","",ROUND(_xlfn.XLOOKUP(Tables!$N$422,'Input LwA_XYZ'!$AH$1:$AV$1,'Input LwA_XYZ'!AH7:AV7),0))</f>
        <v/>
      </c>
      <c r="T428" s="228" t="str">
        <f>IF($P428="","",-1*ROUND(_xlfn.XLOOKUP(Tables!$N$422,'Input LwA_XYZ'!$AY$1:$BM$1,'Input LwA_XYZ'!AY7:BM7),0))</f>
        <v/>
      </c>
      <c r="U428" s="228" t="str">
        <f>IF($P428="","",IF(_xlfn.XLOOKUP(Tables!$N$422,'Input LwA_XYZ'!$BV$1:$CJ$1,'Input LwA_XYZ'!BV7:CJ7)="","-",_xlfn.XLOOKUP(Tables!$N$422,'Input LwA_XYZ'!$BV$1:$CJ$1,'Input LwA_XYZ'!BV7:CJ7)))</f>
        <v/>
      </c>
      <c r="V428" s="228" t="str">
        <f>IF($P428="","",IF('Input LwA_XYZ'!S7="","-",'Input LwA_XYZ'!S7))</f>
        <v/>
      </c>
      <c r="W428" s="229" t="str" cm="1">
        <f t="array" ref="W428">IF($P428="","",IF(_xlfn.XLOOKUP(Tables!$N$422,_xlfn.ANCHORARRAY('Input LwA_XYZ'!$DD$1),'Input LwA_XYZ'!DD7:DR7)="","-",_xlfn.XLOOKUP(Tables!$N$422,_xlfn.ANCHORARRAY('Input LwA_XYZ'!$DD$1),'Input LwA_XYZ'!DD7:DR7)))</f>
        <v/>
      </c>
      <c r="X428" s="62" t="str">
        <f>IF($P428="","",_xlfn.XLOOKUP(Tables!$N$422,'Input LwA_XYZ'!$DU$1:$EI$1,'Input LwA_XYZ'!DU7:EI7))</f>
        <v/>
      </c>
    </row>
    <row r="429" spans="14:24" ht="16.5" x14ac:dyDescent="0.3">
      <c r="P429" s="230" t="str">
        <f>IF(OR('Input LwA_XYZ'!A8 = 0, NOT(ISBLANK(_xlfn.XLOOKUP(Tables!N$422, 'Input LwA_XYZ'!CM$1:DA$1, 'Input LwA_XYZ'!CM8:DA8)))), "", 'Input LwA_XYZ'!A8)</f>
        <v/>
      </c>
      <c r="Q429" s="225" t="str">
        <f>IF($P429="","",_xlfn.TEXTJOIN(" - ",TRUE,'Input LwA_XYZ'!B8:C8))</f>
        <v/>
      </c>
      <c r="R429" s="231" t="str">
        <f>IF($P429="","",'Input LwA_XYZ'!Q8)</f>
        <v/>
      </c>
      <c r="S429" s="227" t="str">
        <f>IF($P429="","",ROUND(_xlfn.XLOOKUP(Tables!$N$422,'Input LwA_XYZ'!$AH$1:$AV$1,'Input LwA_XYZ'!AH8:AV8),0))</f>
        <v/>
      </c>
      <c r="T429" s="228" t="str">
        <f>IF($P429="","",-1*ROUND(_xlfn.XLOOKUP(Tables!$N$422,'Input LwA_XYZ'!$AY$1:$BM$1,'Input LwA_XYZ'!AY8:BM8),0))</f>
        <v/>
      </c>
      <c r="U429" s="228" t="str">
        <f>IF($P429="","",IF(_xlfn.XLOOKUP(Tables!$N$422,'Input LwA_XYZ'!$BV$1:$CJ$1,'Input LwA_XYZ'!BV8:CJ8)="","-",_xlfn.XLOOKUP(Tables!$N$422,'Input LwA_XYZ'!$BV$1:$CJ$1,'Input LwA_XYZ'!BV8:CJ8)))</f>
        <v/>
      </c>
      <c r="V429" s="228" t="str">
        <f>IF($P429="","",IF('Input LwA_XYZ'!S8="","-",'Input LwA_XYZ'!S8))</f>
        <v/>
      </c>
      <c r="W429" s="229" t="str" cm="1">
        <f t="array" ref="W429">IF($P429="","",IF(_xlfn.XLOOKUP(Tables!$N$422,_xlfn.ANCHORARRAY('Input LwA_XYZ'!$DD$1),'Input LwA_XYZ'!DD8:DR8)="","-",_xlfn.XLOOKUP(Tables!$N$422,_xlfn.ANCHORARRAY('Input LwA_XYZ'!$DD$1),'Input LwA_XYZ'!DD8:DR8)))</f>
        <v/>
      </c>
      <c r="X429" s="62" t="str">
        <f>IF($P429="","",_xlfn.XLOOKUP(Tables!$N$422,'Input LwA_XYZ'!$DU$1:$EI$1,'Input LwA_XYZ'!DU8:EI8))</f>
        <v/>
      </c>
    </row>
    <row r="430" spans="14:24" ht="16.5" x14ac:dyDescent="0.3">
      <c r="P430" s="230" t="str">
        <f>IF(OR('Input LwA_XYZ'!A9 = 0, NOT(ISBLANK(_xlfn.XLOOKUP(Tables!N$422, 'Input LwA_XYZ'!CM$1:DA$1, 'Input LwA_XYZ'!CM9:DA9)))), "", 'Input LwA_XYZ'!A9)</f>
        <v/>
      </c>
      <c r="Q430" s="225" t="str">
        <f>IF($P430="","",_xlfn.TEXTJOIN(" - ",TRUE,'Input LwA_XYZ'!B9:C9))</f>
        <v/>
      </c>
      <c r="R430" s="231" t="str">
        <f>IF($P430="","",'Input LwA_XYZ'!Q9)</f>
        <v/>
      </c>
      <c r="S430" s="227" t="str">
        <f>IF($P430="","",ROUND(_xlfn.XLOOKUP(Tables!$N$422,'Input LwA_XYZ'!$AH$1:$AV$1,'Input LwA_XYZ'!AH9:AV9),0))</f>
        <v/>
      </c>
      <c r="T430" s="228" t="str">
        <f>IF($P430="","",-1*ROUND(_xlfn.XLOOKUP(Tables!$N$422,'Input LwA_XYZ'!$AY$1:$BM$1,'Input LwA_XYZ'!AY9:BM9),0))</f>
        <v/>
      </c>
      <c r="U430" s="228" t="str">
        <f>IF($P430="","",IF(_xlfn.XLOOKUP(Tables!$N$422,'Input LwA_XYZ'!$BV$1:$CJ$1,'Input LwA_XYZ'!BV9:CJ9)="","-",_xlfn.XLOOKUP(Tables!$N$422,'Input LwA_XYZ'!$BV$1:$CJ$1,'Input LwA_XYZ'!BV9:CJ9)))</f>
        <v/>
      </c>
      <c r="V430" s="228" t="str">
        <f>IF($P430="","",IF('Input LwA_XYZ'!S9="","-",'Input LwA_XYZ'!S9))</f>
        <v/>
      </c>
      <c r="W430" s="229" t="str" cm="1">
        <f t="array" ref="W430">IF($P430="","",IF(_xlfn.XLOOKUP(Tables!$N$422,_xlfn.ANCHORARRAY('Input LwA_XYZ'!$DD$1),'Input LwA_XYZ'!DD9:DR9)="","-",_xlfn.XLOOKUP(Tables!$N$422,_xlfn.ANCHORARRAY('Input LwA_XYZ'!$DD$1),'Input LwA_XYZ'!DD9:DR9)))</f>
        <v/>
      </c>
      <c r="X430" s="62" t="str">
        <f>IF($P430="","",_xlfn.XLOOKUP(Tables!$N$422,'Input LwA_XYZ'!$DU$1:$EI$1,'Input LwA_XYZ'!DU9:EI9))</f>
        <v/>
      </c>
    </row>
    <row r="431" spans="14:24" ht="16.5" x14ac:dyDescent="0.3">
      <c r="P431" s="230" t="str">
        <f>IF(OR('Input LwA_XYZ'!A10 = 0, NOT(ISBLANK(_xlfn.XLOOKUP(Tables!N$422, 'Input LwA_XYZ'!CM$1:DA$1, 'Input LwA_XYZ'!CM10:DA10)))), "", 'Input LwA_XYZ'!A10)</f>
        <v/>
      </c>
      <c r="Q431" s="225" t="str">
        <f>IF($P431="","",_xlfn.TEXTJOIN(" - ",TRUE,'Input LwA_XYZ'!B10:C10))</f>
        <v/>
      </c>
      <c r="R431" s="231" t="str">
        <f>IF($P431="","",'Input LwA_XYZ'!Q10)</f>
        <v/>
      </c>
      <c r="S431" s="227" t="str">
        <f>IF($P431="","",ROUND(_xlfn.XLOOKUP(Tables!$N$422,'Input LwA_XYZ'!$AH$1:$AV$1,'Input LwA_XYZ'!AH10:AV10),0))</f>
        <v/>
      </c>
      <c r="T431" s="228" t="str">
        <f>IF($P431="","",-1*ROUND(_xlfn.XLOOKUP(Tables!$N$422,'Input LwA_XYZ'!$AY$1:$BM$1,'Input LwA_XYZ'!AY10:BM10),0))</f>
        <v/>
      </c>
      <c r="U431" s="228" t="str">
        <f>IF($P431="","",IF(_xlfn.XLOOKUP(Tables!$N$422,'Input LwA_XYZ'!$BV$1:$CJ$1,'Input LwA_XYZ'!BV10:CJ10)="","-",_xlfn.XLOOKUP(Tables!$N$422,'Input LwA_XYZ'!$BV$1:$CJ$1,'Input LwA_XYZ'!BV10:CJ10)))</f>
        <v/>
      </c>
      <c r="V431" s="228" t="str">
        <f>IF($P431="","",IF('Input LwA_XYZ'!S10="","-",'Input LwA_XYZ'!S10))</f>
        <v/>
      </c>
      <c r="W431" s="229" t="str" cm="1">
        <f t="array" ref="W431">IF($P431="","",IF(_xlfn.XLOOKUP(Tables!$N$422,_xlfn.ANCHORARRAY('Input LwA_XYZ'!$DD$1),'Input LwA_XYZ'!DD10:DR10)="","-",_xlfn.XLOOKUP(Tables!$N$422,_xlfn.ANCHORARRAY('Input LwA_XYZ'!$DD$1),'Input LwA_XYZ'!DD10:DR10)))</f>
        <v/>
      </c>
      <c r="X431" s="62" t="str">
        <f>IF($P431="","",_xlfn.XLOOKUP(Tables!$N$422,'Input LwA_XYZ'!$DU$1:$EI$1,'Input LwA_XYZ'!DU10:EI10))</f>
        <v/>
      </c>
    </row>
    <row r="432" spans="14:24" ht="16.5" x14ac:dyDescent="0.3">
      <c r="P432" s="230" t="str">
        <f>IF(OR('Input LwA_XYZ'!A11 = 0, NOT(ISBLANK(_xlfn.XLOOKUP(Tables!N$422, 'Input LwA_XYZ'!CM$1:DA$1, 'Input LwA_XYZ'!CM11:DA11)))), "", 'Input LwA_XYZ'!A11)</f>
        <v/>
      </c>
      <c r="Q432" s="225" t="str">
        <f>IF($P432="","",_xlfn.TEXTJOIN(" - ",TRUE,'Input LwA_XYZ'!B11:C11))</f>
        <v/>
      </c>
      <c r="R432" s="231" t="str">
        <f>IF($P432="","",'Input LwA_XYZ'!Q11)</f>
        <v/>
      </c>
      <c r="S432" s="227" t="str">
        <f>IF($P432="","",ROUND(_xlfn.XLOOKUP(Tables!$N$422,'Input LwA_XYZ'!$AH$1:$AV$1,'Input LwA_XYZ'!AH11:AV11),0))</f>
        <v/>
      </c>
      <c r="T432" s="228" t="str">
        <f>IF($P432="","",-1*ROUND(_xlfn.XLOOKUP(Tables!$N$422,'Input LwA_XYZ'!$AY$1:$BM$1,'Input LwA_XYZ'!AY11:BM11),0))</f>
        <v/>
      </c>
      <c r="U432" s="228" t="str">
        <f>IF($P432="","",IF(_xlfn.XLOOKUP(Tables!$N$422,'Input LwA_XYZ'!$BV$1:$CJ$1,'Input LwA_XYZ'!BV11:CJ11)="","-",_xlfn.XLOOKUP(Tables!$N$422,'Input LwA_XYZ'!$BV$1:$CJ$1,'Input LwA_XYZ'!BV11:CJ11)))</f>
        <v/>
      </c>
      <c r="V432" s="228" t="str">
        <f>IF($P432="","",IF('Input LwA_XYZ'!S11="","-",'Input LwA_XYZ'!S11))</f>
        <v/>
      </c>
      <c r="W432" s="229" t="str" cm="1">
        <f t="array" ref="W432">IF($P432="","",IF(_xlfn.XLOOKUP(Tables!$N$422,_xlfn.ANCHORARRAY('Input LwA_XYZ'!$DD$1),'Input LwA_XYZ'!DD11:DR11)="","-",_xlfn.XLOOKUP(Tables!$N$422,_xlfn.ANCHORARRAY('Input LwA_XYZ'!$DD$1),'Input LwA_XYZ'!DD11:DR11)))</f>
        <v/>
      </c>
      <c r="X432" s="62" t="str">
        <f>IF($P432="","",_xlfn.XLOOKUP(Tables!$N$422,'Input LwA_XYZ'!$DU$1:$EI$1,'Input LwA_XYZ'!DU11:EI11))</f>
        <v/>
      </c>
    </row>
    <row r="433" spans="16:24" ht="16.5" x14ac:dyDescent="0.3">
      <c r="P433" s="230" t="str">
        <f>IF(OR('Input LwA_XYZ'!A12 = 0, NOT(ISBLANK(_xlfn.XLOOKUP(Tables!N$422, 'Input LwA_XYZ'!CM$1:DA$1, 'Input LwA_XYZ'!CM12:DA12)))), "", 'Input LwA_XYZ'!A12)</f>
        <v/>
      </c>
      <c r="Q433" s="225" t="str">
        <f>IF($P433="","",_xlfn.TEXTJOIN(" - ",TRUE,'Input LwA_XYZ'!B12:C12))</f>
        <v/>
      </c>
      <c r="R433" s="231" t="str">
        <f>IF($P433="","",'Input LwA_XYZ'!Q12)</f>
        <v/>
      </c>
      <c r="S433" s="227" t="str">
        <f>IF($P433="","",ROUND(_xlfn.XLOOKUP(Tables!$N$422,'Input LwA_XYZ'!$AH$1:$AV$1,'Input LwA_XYZ'!AH12:AV12),0))</f>
        <v/>
      </c>
      <c r="T433" s="228" t="str">
        <f>IF($P433="","",-1*ROUND(_xlfn.XLOOKUP(Tables!$N$422,'Input LwA_XYZ'!$AY$1:$BM$1,'Input LwA_XYZ'!AY12:BM12),0))</f>
        <v/>
      </c>
      <c r="U433" s="228" t="str">
        <f>IF($P433="","",IF(_xlfn.XLOOKUP(Tables!$N$422,'Input LwA_XYZ'!$BV$1:$CJ$1,'Input LwA_XYZ'!BV12:CJ12)="","-",_xlfn.XLOOKUP(Tables!$N$422,'Input LwA_XYZ'!$BV$1:$CJ$1,'Input LwA_XYZ'!BV12:CJ12)))</f>
        <v/>
      </c>
      <c r="V433" s="228" t="str">
        <f>IF($P433="","",IF('Input LwA_XYZ'!S12="","-",'Input LwA_XYZ'!S12))</f>
        <v/>
      </c>
      <c r="W433" s="229" t="str" cm="1">
        <f t="array" ref="W433">IF($P433="","",IF(_xlfn.XLOOKUP(Tables!$N$422,_xlfn.ANCHORARRAY('Input LwA_XYZ'!$DD$1),'Input LwA_XYZ'!DD12:DR12)="","-",_xlfn.XLOOKUP(Tables!$N$422,_xlfn.ANCHORARRAY('Input LwA_XYZ'!$DD$1),'Input LwA_XYZ'!DD12:DR12)))</f>
        <v/>
      </c>
      <c r="X433" s="62" t="str">
        <f>IF($P433="","",_xlfn.XLOOKUP(Tables!$N$422,'Input LwA_XYZ'!$DU$1:$EI$1,'Input LwA_XYZ'!DU12:EI12))</f>
        <v/>
      </c>
    </row>
    <row r="434" spans="16:24" ht="16.5" x14ac:dyDescent="0.3">
      <c r="P434" s="230" t="str">
        <f>IF(OR('Input LwA_XYZ'!A13 = 0, NOT(ISBLANK(_xlfn.XLOOKUP(Tables!N$422, 'Input LwA_XYZ'!CM$1:DA$1, 'Input LwA_XYZ'!CM13:DA13)))), "", 'Input LwA_XYZ'!A13)</f>
        <v/>
      </c>
      <c r="Q434" s="225" t="str">
        <f>IF($P434="","",_xlfn.TEXTJOIN(" - ",TRUE,'Input LwA_XYZ'!B13:C13))</f>
        <v/>
      </c>
      <c r="R434" s="231" t="str">
        <f>IF($P434="","",'Input LwA_XYZ'!Q13)</f>
        <v/>
      </c>
      <c r="S434" s="227" t="str">
        <f>IF($P434="","",ROUND(_xlfn.XLOOKUP(Tables!$N$422,'Input LwA_XYZ'!$AH$1:$AV$1,'Input LwA_XYZ'!AH13:AV13),0))</f>
        <v/>
      </c>
      <c r="T434" s="228" t="str">
        <f>IF($P434="","",-1*ROUND(_xlfn.XLOOKUP(Tables!$N$422,'Input LwA_XYZ'!$AY$1:$BM$1,'Input LwA_XYZ'!AY13:BM13),0))</f>
        <v/>
      </c>
      <c r="U434" s="228" t="str">
        <f>IF($P434="","",IF(_xlfn.XLOOKUP(Tables!$N$422,'Input LwA_XYZ'!$BV$1:$CJ$1,'Input LwA_XYZ'!BV13:CJ13)="","-",_xlfn.XLOOKUP(Tables!$N$422,'Input LwA_XYZ'!$BV$1:$CJ$1,'Input LwA_XYZ'!BV13:CJ13)))</f>
        <v/>
      </c>
      <c r="V434" s="228" t="str">
        <f>IF($P434="","",IF('Input LwA_XYZ'!S13="","-",'Input LwA_XYZ'!S13))</f>
        <v/>
      </c>
      <c r="W434" s="229" t="str" cm="1">
        <f t="array" ref="W434">IF($P434="","",IF(_xlfn.XLOOKUP(Tables!$N$422,_xlfn.ANCHORARRAY('Input LwA_XYZ'!$DD$1),'Input LwA_XYZ'!DD13:DR13)="","-",_xlfn.XLOOKUP(Tables!$N$422,_xlfn.ANCHORARRAY('Input LwA_XYZ'!$DD$1),'Input LwA_XYZ'!DD13:DR13)))</f>
        <v/>
      </c>
      <c r="X434" s="62" t="str">
        <f>IF($P434="","",_xlfn.XLOOKUP(Tables!$N$422,'Input LwA_XYZ'!$DU$1:$EI$1,'Input LwA_XYZ'!DU13:EI13))</f>
        <v/>
      </c>
    </row>
    <row r="435" spans="16:24" ht="16.5" x14ac:dyDescent="0.3">
      <c r="P435" s="230" t="str">
        <f>IF(OR('Input LwA_XYZ'!A14 = 0, NOT(ISBLANK(_xlfn.XLOOKUP(Tables!N$422, 'Input LwA_XYZ'!CM$1:DA$1, 'Input LwA_XYZ'!CM14:DA14)))), "", 'Input LwA_XYZ'!A14)</f>
        <v/>
      </c>
      <c r="Q435" s="225" t="str">
        <f>IF($P435="","",_xlfn.TEXTJOIN(" - ",TRUE,'Input LwA_XYZ'!B14:C14))</f>
        <v/>
      </c>
      <c r="R435" s="231" t="str">
        <f>IF($P435="","",'Input LwA_XYZ'!Q14)</f>
        <v/>
      </c>
      <c r="S435" s="227" t="str">
        <f>IF($P435="","",ROUND(_xlfn.XLOOKUP(Tables!$N$422,'Input LwA_XYZ'!$AH$1:$AV$1,'Input LwA_XYZ'!AH14:AV14),0))</f>
        <v/>
      </c>
      <c r="T435" s="228" t="str">
        <f>IF($P435="","",-1*ROUND(_xlfn.XLOOKUP(Tables!$N$422,'Input LwA_XYZ'!$AY$1:$BM$1,'Input LwA_XYZ'!AY14:BM14),0))</f>
        <v/>
      </c>
      <c r="U435" s="228" t="str">
        <f>IF($P435="","",IF(_xlfn.XLOOKUP(Tables!$N$422,'Input LwA_XYZ'!$BV$1:$CJ$1,'Input LwA_XYZ'!BV14:CJ14)="","-",_xlfn.XLOOKUP(Tables!$N$422,'Input LwA_XYZ'!$BV$1:$CJ$1,'Input LwA_XYZ'!BV14:CJ14)))</f>
        <v/>
      </c>
      <c r="V435" s="228" t="str">
        <f>IF($P435="","",IF('Input LwA_XYZ'!S14="","-",'Input LwA_XYZ'!S14))</f>
        <v/>
      </c>
      <c r="W435" s="229" t="str" cm="1">
        <f t="array" ref="W435">IF($P435="","",IF(_xlfn.XLOOKUP(Tables!$N$422,_xlfn.ANCHORARRAY('Input LwA_XYZ'!$DD$1),'Input LwA_XYZ'!DD14:DR14)="","-",_xlfn.XLOOKUP(Tables!$N$422,_xlfn.ANCHORARRAY('Input LwA_XYZ'!$DD$1),'Input LwA_XYZ'!DD14:DR14)))</f>
        <v/>
      </c>
      <c r="X435" s="62" t="str">
        <f>IF($P435="","",_xlfn.XLOOKUP(Tables!$N$422,'Input LwA_XYZ'!$DU$1:$EI$1,'Input LwA_XYZ'!DU14:EI14))</f>
        <v/>
      </c>
    </row>
    <row r="436" spans="16:24" ht="16.5" x14ac:dyDescent="0.3">
      <c r="P436" s="230" t="str">
        <f>IF(OR('Input LwA_XYZ'!A15 = 0, NOT(ISBLANK(_xlfn.XLOOKUP(Tables!N$422, 'Input LwA_XYZ'!CM$1:DA$1, 'Input LwA_XYZ'!CM15:DA15)))), "", 'Input LwA_XYZ'!A15)</f>
        <v/>
      </c>
      <c r="Q436" s="225" t="str">
        <f>IF($P436="","",_xlfn.TEXTJOIN(" - ",TRUE,'Input LwA_XYZ'!B15:C15))</f>
        <v/>
      </c>
      <c r="R436" s="231" t="str">
        <f>IF($P436="","",'Input LwA_XYZ'!Q15)</f>
        <v/>
      </c>
      <c r="S436" s="227" t="str">
        <f>IF($P436="","",ROUND(_xlfn.XLOOKUP(Tables!$N$422,'Input LwA_XYZ'!$AH$1:$AV$1,'Input LwA_XYZ'!AH15:AV15),0))</f>
        <v/>
      </c>
      <c r="T436" s="228" t="str">
        <f>IF($P436="","",-1*ROUND(_xlfn.XLOOKUP(Tables!$N$422,'Input LwA_XYZ'!$AY$1:$BM$1,'Input LwA_XYZ'!AY15:BM15),0))</f>
        <v/>
      </c>
      <c r="U436" s="228" t="str">
        <f>IF($P436="","",IF(_xlfn.XLOOKUP(Tables!$N$422,'Input LwA_XYZ'!$BV$1:$CJ$1,'Input LwA_XYZ'!BV15:CJ15)="","-",_xlfn.XLOOKUP(Tables!$N$422,'Input LwA_XYZ'!$BV$1:$CJ$1,'Input LwA_XYZ'!BV15:CJ15)))</f>
        <v/>
      </c>
      <c r="V436" s="228" t="str">
        <f>IF($P436="","",IF('Input LwA_XYZ'!S15="","-",'Input LwA_XYZ'!S15))</f>
        <v/>
      </c>
      <c r="W436" s="229" t="str" cm="1">
        <f t="array" ref="W436">IF($P436="","",IF(_xlfn.XLOOKUP(Tables!$N$422,_xlfn.ANCHORARRAY('Input LwA_XYZ'!$DD$1),'Input LwA_XYZ'!DD15:DR15)="","-",_xlfn.XLOOKUP(Tables!$N$422,_xlfn.ANCHORARRAY('Input LwA_XYZ'!$DD$1),'Input LwA_XYZ'!DD15:DR15)))</f>
        <v/>
      </c>
      <c r="X436" s="62" t="str">
        <f>IF($P436="","",_xlfn.XLOOKUP(Tables!$N$422,'Input LwA_XYZ'!$DU$1:$EI$1,'Input LwA_XYZ'!DU15:EI15))</f>
        <v/>
      </c>
    </row>
    <row r="437" spans="16:24" ht="16.5" x14ac:dyDescent="0.3">
      <c r="P437" s="230" t="str">
        <f>IF(OR('Input LwA_XYZ'!A16 = 0, NOT(ISBLANK(_xlfn.XLOOKUP(Tables!N$422, 'Input LwA_XYZ'!CM$1:DA$1, 'Input LwA_XYZ'!CM16:DA16)))), "", 'Input LwA_XYZ'!A16)</f>
        <v/>
      </c>
      <c r="Q437" s="225" t="str">
        <f>IF($P437="","",_xlfn.TEXTJOIN(" - ",TRUE,'Input LwA_XYZ'!B16:C16))</f>
        <v/>
      </c>
      <c r="R437" s="231" t="str">
        <f>IF($P437="","",'Input LwA_XYZ'!Q16)</f>
        <v/>
      </c>
      <c r="S437" s="227" t="str">
        <f>IF($P437="","",ROUND(_xlfn.XLOOKUP(Tables!$N$422,'Input LwA_XYZ'!$AH$1:$AV$1,'Input LwA_XYZ'!AH16:AV16),0))</f>
        <v/>
      </c>
      <c r="T437" s="228" t="str">
        <f>IF($P437="","",-1*ROUND(_xlfn.XLOOKUP(Tables!$N$422,'Input LwA_XYZ'!$AY$1:$BM$1,'Input LwA_XYZ'!AY16:BM16),0))</f>
        <v/>
      </c>
      <c r="U437" s="228" t="str">
        <f>IF($P437="","",IF(_xlfn.XLOOKUP(Tables!$N$422,'Input LwA_XYZ'!$BV$1:$CJ$1,'Input LwA_XYZ'!BV16:CJ16)="","-",_xlfn.XLOOKUP(Tables!$N$422,'Input LwA_XYZ'!$BV$1:$CJ$1,'Input LwA_XYZ'!BV16:CJ16)))</f>
        <v/>
      </c>
      <c r="V437" s="228" t="str">
        <f>IF($P437="","",IF('Input LwA_XYZ'!S16="","-",'Input LwA_XYZ'!S16))</f>
        <v/>
      </c>
      <c r="W437" s="229" t="str" cm="1">
        <f t="array" ref="W437">IF($P437="","",IF(_xlfn.XLOOKUP(Tables!$N$422,_xlfn.ANCHORARRAY('Input LwA_XYZ'!$DD$1),'Input LwA_XYZ'!DD16:DR16)="","-",_xlfn.XLOOKUP(Tables!$N$422,_xlfn.ANCHORARRAY('Input LwA_XYZ'!$DD$1),'Input LwA_XYZ'!DD16:DR16)))</f>
        <v/>
      </c>
      <c r="X437" s="62" t="str">
        <f>IF($P437="","",_xlfn.XLOOKUP(Tables!$N$422,'Input LwA_XYZ'!$DU$1:$EI$1,'Input LwA_XYZ'!DU16:EI16))</f>
        <v/>
      </c>
    </row>
    <row r="438" spans="16:24" ht="16.5" x14ac:dyDescent="0.3">
      <c r="P438" s="230" t="str">
        <f>IF(OR('Input LwA_XYZ'!A17 = 0, NOT(ISBLANK(_xlfn.XLOOKUP(Tables!N$422, 'Input LwA_XYZ'!CM$1:DA$1, 'Input LwA_XYZ'!CM17:DA17)))), "", 'Input LwA_XYZ'!A17)</f>
        <v/>
      </c>
      <c r="Q438" s="225" t="str">
        <f>IF($P438="","",_xlfn.TEXTJOIN(" - ",TRUE,'Input LwA_XYZ'!B17:C17))</f>
        <v/>
      </c>
      <c r="R438" s="231" t="str">
        <f>IF($P438="","",'Input LwA_XYZ'!Q17)</f>
        <v/>
      </c>
      <c r="S438" s="227" t="str">
        <f>IF($P438="","",ROUND(_xlfn.XLOOKUP(Tables!$N$422,'Input LwA_XYZ'!$AH$1:$AV$1,'Input LwA_XYZ'!AH17:AV17),0))</f>
        <v/>
      </c>
      <c r="T438" s="228" t="str">
        <f>IF($P438="","",-1*ROUND(_xlfn.XLOOKUP(Tables!$N$422,'Input LwA_XYZ'!$AY$1:$BM$1,'Input LwA_XYZ'!AY17:BM17),0))</f>
        <v/>
      </c>
      <c r="U438" s="228" t="str">
        <f>IF($P438="","",IF(_xlfn.XLOOKUP(Tables!$N$422,'Input LwA_XYZ'!$BV$1:$CJ$1,'Input LwA_XYZ'!BV17:CJ17)="","-",_xlfn.XLOOKUP(Tables!$N$422,'Input LwA_XYZ'!$BV$1:$CJ$1,'Input LwA_XYZ'!BV17:CJ17)))</f>
        <v/>
      </c>
      <c r="V438" s="228" t="str">
        <f>IF($P438="","",IF('Input LwA_XYZ'!S17="","-",'Input LwA_XYZ'!S17))</f>
        <v/>
      </c>
      <c r="W438" s="229" t="str" cm="1">
        <f t="array" ref="W438">IF($P438="","",IF(_xlfn.XLOOKUP(Tables!$N$422,_xlfn.ANCHORARRAY('Input LwA_XYZ'!$DD$1),'Input LwA_XYZ'!DD17:DR17)="","-",_xlfn.XLOOKUP(Tables!$N$422,_xlfn.ANCHORARRAY('Input LwA_XYZ'!$DD$1),'Input LwA_XYZ'!DD17:DR17)))</f>
        <v/>
      </c>
      <c r="X438" s="62" t="str">
        <f>IF($P438="","",_xlfn.XLOOKUP(Tables!$N$422,'Input LwA_XYZ'!$DU$1:$EI$1,'Input LwA_XYZ'!DU17:EI17))</f>
        <v/>
      </c>
    </row>
    <row r="439" spans="16:24" ht="16.5" x14ac:dyDescent="0.3">
      <c r="P439" s="230" t="str">
        <f>IF(OR('Input LwA_XYZ'!A18 = 0, NOT(ISBLANK(_xlfn.XLOOKUP(Tables!N$422, 'Input LwA_XYZ'!CM$1:DA$1, 'Input LwA_XYZ'!CM18:DA18)))), "", 'Input LwA_XYZ'!A18)</f>
        <v/>
      </c>
      <c r="Q439" s="225" t="str">
        <f>IF($P439="","",_xlfn.TEXTJOIN(" - ",TRUE,'Input LwA_XYZ'!B18:C18))</f>
        <v/>
      </c>
      <c r="R439" s="231" t="str">
        <f>IF($P439="","",'Input LwA_XYZ'!Q18)</f>
        <v/>
      </c>
      <c r="S439" s="227" t="str">
        <f>IF($P439="","",ROUND(_xlfn.XLOOKUP(Tables!$N$422,'Input LwA_XYZ'!$AH$1:$AV$1,'Input LwA_XYZ'!AH18:AV18),0))</f>
        <v/>
      </c>
      <c r="T439" s="228" t="str">
        <f>IF($P439="","",-1*ROUND(_xlfn.XLOOKUP(Tables!$N$422,'Input LwA_XYZ'!$AY$1:$BM$1,'Input LwA_XYZ'!AY18:BM18),0))</f>
        <v/>
      </c>
      <c r="U439" s="228" t="str">
        <f>IF($P439="","",IF(_xlfn.XLOOKUP(Tables!$N$422,'Input LwA_XYZ'!$BV$1:$CJ$1,'Input LwA_XYZ'!BV18:CJ18)="","-",_xlfn.XLOOKUP(Tables!$N$422,'Input LwA_XYZ'!$BV$1:$CJ$1,'Input LwA_XYZ'!BV18:CJ18)))</f>
        <v/>
      </c>
      <c r="V439" s="228" t="str">
        <f>IF($P439="","",IF('Input LwA_XYZ'!S18="","-",'Input LwA_XYZ'!S18))</f>
        <v/>
      </c>
      <c r="W439" s="229" t="str" cm="1">
        <f t="array" ref="W439">IF($P439="","",IF(_xlfn.XLOOKUP(Tables!$N$422,_xlfn.ANCHORARRAY('Input LwA_XYZ'!$DD$1),'Input LwA_XYZ'!DD18:DR18)="","-",_xlfn.XLOOKUP(Tables!$N$422,_xlfn.ANCHORARRAY('Input LwA_XYZ'!$DD$1),'Input LwA_XYZ'!DD18:DR18)))</f>
        <v/>
      </c>
      <c r="X439" s="62" t="str">
        <f>IF($P439="","",_xlfn.XLOOKUP(Tables!$N$422,'Input LwA_XYZ'!$DU$1:$EI$1,'Input LwA_XYZ'!DU18:EI18))</f>
        <v/>
      </c>
    </row>
    <row r="440" spans="16:24" ht="16.5" x14ac:dyDescent="0.3">
      <c r="P440" s="230" t="str">
        <f>IF(OR('Input LwA_XYZ'!A19 = 0, NOT(ISBLANK(_xlfn.XLOOKUP(Tables!N$422, 'Input LwA_XYZ'!CM$1:DA$1, 'Input LwA_XYZ'!CM19:DA19)))), "", 'Input LwA_XYZ'!A19)</f>
        <v/>
      </c>
      <c r="Q440" s="225" t="str">
        <f>IF($P440="","",_xlfn.TEXTJOIN(" - ",TRUE,'Input LwA_XYZ'!B19:C19))</f>
        <v/>
      </c>
      <c r="R440" s="231" t="str">
        <f>IF($P440="","",'Input LwA_XYZ'!Q19)</f>
        <v/>
      </c>
      <c r="S440" s="227" t="str">
        <f>IF($P440="","",ROUND(_xlfn.XLOOKUP(Tables!$N$422,'Input LwA_XYZ'!$AH$1:$AV$1,'Input LwA_XYZ'!AH19:AV19),0))</f>
        <v/>
      </c>
      <c r="T440" s="228" t="str">
        <f>IF($P440="","",-1*ROUND(_xlfn.XLOOKUP(Tables!$N$422,'Input LwA_XYZ'!$AY$1:$BM$1,'Input LwA_XYZ'!AY19:BM19),0))</f>
        <v/>
      </c>
      <c r="U440" s="228" t="str">
        <f>IF($P440="","",IF(_xlfn.XLOOKUP(Tables!$N$422,'Input LwA_XYZ'!$BV$1:$CJ$1,'Input LwA_XYZ'!BV19:CJ19)="","-",_xlfn.XLOOKUP(Tables!$N$422,'Input LwA_XYZ'!$BV$1:$CJ$1,'Input LwA_XYZ'!BV19:CJ19)))</f>
        <v/>
      </c>
      <c r="V440" s="228" t="str">
        <f>IF($P440="","",IF('Input LwA_XYZ'!S19="","-",'Input LwA_XYZ'!S19))</f>
        <v/>
      </c>
      <c r="W440" s="229" t="str" cm="1">
        <f t="array" ref="W440">IF($P440="","",IF(_xlfn.XLOOKUP(Tables!$N$422,_xlfn.ANCHORARRAY('Input LwA_XYZ'!$DD$1),'Input LwA_XYZ'!DD19:DR19)="","-",_xlfn.XLOOKUP(Tables!$N$422,_xlfn.ANCHORARRAY('Input LwA_XYZ'!$DD$1),'Input LwA_XYZ'!DD19:DR19)))</f>
        <v/>
      </c>
      <c r="X440" s="62" t="str">
        <f>IF($P440="","",_xlfn.XLOOKUP(Tables!$N$422,'Input LwA_XYZ'!$DU$1:$EI$1,'Input LwA_XYZ'!DU19:EI19))</f>
        <v/>
      </c>
    </row>
    <row r="441" spans="16:24" ht="16.5" x14ac:dyDescent="0.3">
      <c r="P441" s="230" t="str">
        <f>IF(OR('Input LwA_XYZ'!A20 = 0, NOT(ISBLANK(_xlfn.XLOOKUP(Tables!N$422, 'Input LwA_XYZ'!CM$1:DA$1, 'Input LwA_XYZ'!CM20:DA20)))), "", 'Input LwA_XYZ'!A20)</f>
        <v/>
      </c>
      <c r="Q441" s="225" t="str">
        <f>IF($P441="","",_xlfn.TEXTJOIN(" - ",TRUE,'Input LwA_XYZ'!B20:C20))</f>
        <v/>
      </c>
      <c r="R441" s="231" t="str">
        <f>IF($P441="","",'Input LwA_XYZ'!Q20)</f>
        <v/>
      </c>
      <c r="S441" s="227" t="str">
        <f>IF($P441="","",ROUND(_xlfn.XLOOKUP(Tables!$N$422,'Input LwA_XYZ'!$AH$1:$AV$1,'Input LwA_XYZ'!AH20:AV20),0))</f>
        <v/>
      </c>
      <c r="T441" s="228" t="str">
        <f>IF($P441="","",-1*ROUND(_xlfn.XLOOKUP(Tables!$N$422,'Input LwA_XYZ'!$AY$1:$BM$1,'Input LwA_XYZ'!AY20:BM20),0))</f>
        <v/>
      </c>
      <c r="U441" s="228" t="str">
        <f>IF($P441="","",IF(_xlfn.XLOOKUP(Tables!$N$422,'Input LwA_XYZ'!$BV$1:$CJ$1,'Input LwA_XYZ'!BV20:CJ20)="","-",_xlfn.XLOOKUP(Tables!$N$422,'Input LwA_XYZ'!$BV$1:$CJ$1,'Input LwA_XYZ'!BV20:CJ20)))</f>
        <v/>
      </c>
      <c r="V441" s="228" t="str">
        <f>IF($P441="","",IF('Input LwA_XYZ'!S20="","-",'Input LwA_XYZ'!S20))</f>
        <v/>
      </c>
      <c r="W441" s="229" t="str" cm="1">
        <f t="array" ref="W441">IF($P441="","",IF(_xlfn.XLOOKUP(Tables!$N$422,_xlfn.ANCHORARRAY('Input LwA_XYZ'!$DD$1),'Input LwA_XYZ'!DD20:DR20)="","-",_xlfn.XLOOKUP(Tables!$N$422,_xlfn.ANCHORARRAY('Input LwA_XYZ'!$DD$1),'Input LwA_XYZ'!DD20:DR20)))</f>
        <v/>
      </c>
      <c r="X441" s="62" t="str">
        <f>IF($P441="","",_xlfn.XLOOKUP(Tables!$N$422,'Input LwA_XYZ'!$DU$1:$EI$1,'Input LwA_XYZ'!DU20:EI20))</f>
        <v/>
      </c>
    </row>
    <row r="442" spans="16:24" ht="16.5" x14ac:dyDescent="0.3">
      <c r="P442" s="230" t="str">
        <f>IF(OR('Input LwA_XYZ'!A21 = 0, NOT(ISBLANK(_xlfn.XLOOKUP(Tables!N$422, 'Input LwA_XYZ'!CM$1:DA$1, 'Input LwA_XYZ'!CM21:DA21)))), "", 'Input LwA_XYZ'!A21)</f>
        <v/>
      </c>
      <c r="Q442" s="225" t="str">
        <f>IF($P442="","",_xlfn.TEXTJOIN(" - ",TRUE,'Input LwA_XYZ'!B21:C21))</f>
        <v/>
      </c>
      <c r="R442" s="231" t="str">
        <f>IF($P442="","",'Input LwA_XYZ'!Q21)</f>
        <v/>
      </c>
      <c r="S442" s="227" t="str">
        <f>IF($P442="","",ROUND(_xlfn.XLOOKUP(Tables!$N$422,'Input LwA_XYZ'!$AH$1:$AV$1,'Input LwA_XYZ'!AH21:AV21),0))</f>
        <v/>
      </c>
      <c r="T442" s="228" t="str">
        <f>IF($P442="","",-1*ROUND(_xlfn.XLOOKUP(Tables!$N$422,'Input LwA_XYZ'!$AY$1:$BM$1,'Input LwA_XYZ'!AY21:BM21),0))</f>
        <v/>
      </c>
      <c r="U442" s="228" t="str">
        <f>IF($P442="","",IF(_xlfn.XLOOKUP(Tables!$N$422,'Input LwA_XYZ'!$BV$1:$CJ$1,'Input LwA_XYZ'!BV21:CJ21)="","-",_xlfn.XLOOKUP(Tables!$N$422,'Input LwA_XYZ'!$BV$1:$CJ$1,'Input LwA_XYZ'!BV21:CJ21)))</f>
        <v/>
      </c>
      <c r="V442" s="228" t="str">
        <f>IF($P442="","",IF('Input LwA_XYZ'!S21="","-",'Input LwA_XYZ'!S21))</f>
        <v/>
      </c>
      <c r="W442" s="229" t="str" cm="1">
        <f t="array" ref="W442">IF($P442="","",IF(_xlfn.XLOOKUP(Tables!$N$422,_xlfn.ANCHORARRAY('Input LwA_XYZ'!$DD$1),'Input LwA_XYZ'!DD21:DR21)="","-",_xlfn.XLOOKUP(Tables!$N$422,_xlfn.ANCHORARRAY('Input LwA_XYZ'!$DD$1),'Input LwA_XYZ'!DD21:DR21)))</f>
        <v/>
      </c>
      <c r="X442" s="62" t="str">
        <f>IF($P442="","",_xlfn.XLOOKUP(Tables!$N$422,'Input LwA_XYZ'!$DU$1:$EI$1,'Input LwA_XYZ'!DU21:EI21))</f>
        <v/>
      </c>
    </row>
    <row r="443" spans="16:24" ht="16.5" x14ac:dyDescent="0.3">
      <c r="P443" s="230" t="str">
        <f>IF(OR('Input LwA_XYZ'!A22 = 0, NOT(ISBLANK(_xlfn.XLOOKUP(Tables!N$422, 'Input LwA_XYZ'!CM$1:DA$1, 'Input LwA_XYZ'!CM22:DA22)))), "", 'Input LwA_XYZ'!A22)</f>
        <v/>
      </c>
      <c r="Q443" s="225" t="str">
        <f>IF($P443="","",_xlfn.TEXTJOIN(" - ",TRUE,'Input LwA_XYZ'!B22:C22))</f>
        <v/>
      </c>
      <c r="R443" s="231" t="str">
        <f>IF($P443="","",'Input LwA_XYZ'!Q22)</f>
        <v/>
      </c>
      <c r="S443" s="227" t="str">
        <f>IF($P443="","",ROUND(_xlfn.XLOOKUP(Tables!$N$422,'Input LwA_XYZ'!$AH$1:$AV$1,'Input LwA_XYZ'!AH22:AV22),0))</f>
        <v/>
      </c>
      <c r="T443" s="228" t="str">
        <f>IF($P443="","",-1*ROUND(_xlfn.XLOOKUP(Tables!$N$422,'Input LwA_XYZ'!$AY$1:$BM$1,'Input LwA_XYZ'!AY22:BM22),0))</f>
        <v/>
      </c>
      <c r="U443" s="228" t="str">
        <f>IF($P443="","",IF(_xlfn.XLOOKUP(Tables!$N$422,'Input LwA_XYZ'!$BV$1:$CJ$1,'Input LwA_XYZ'!BV22:CJ22)="","-",_xlfn.XLOOKUP(Tables!$N$422,'Input LwA_XYZ'!$BV$1:$CJ$1,'Input LwA_XYZ'!BV22:CJ22)))</f>
        <v/>
      </c>
      <c r="V443" s="228" t="str">
        <f>IF($P443="","",IF('Input LwA_XYZ'!S22="","-",'Input LwA_XYZ'!S22))</f>
        <v/>
      </c>
      <c r="W443" s="229" t="str" cm="1">
        <f t="array" ref="W443">IF($P443="","",IF(_xlfn.XLOOKUP(Tables!$N$422,_xlfn.ANCHORARRAY('Input LwA_XYZ'!$DD$1),'Input LwA_XYZ'!DD22:DR22)="","-",_xlfn.XLOOKUP(Tables!$N$422,_xlfn.ANCHORARRAY('Input LwA_XYZ'!$DD$1),'Input LwA_XYZ'!DD22:DR22)))</f>
        <v/>
      </c>
      <c r="X443" s="62" t="str">
        <f>IF($P443="","",_xlfn.XLOOKUP(Tables!$N$422,'Input LwA_XYZ'!$DU$1:$EI$1,'Input LwA_XYZ'!DU22:EI22))</f>
        <v/>
      </c>
    </row>
    <row r="444" spans="16:24" ht="16.5" x14ac:dyDescent="0.3">
      <c r="P444" s="230" t="str">
        <f>IF(OR('Input LwA_XYZ'!A23 = 0, NOT(ISBLANK(_xlfn.XLOOKUP(Tables!N$422, 'Input LwA_XYZ'!CM$1:DA$1, 'Input LwA_XYZ'!CM23:DA23)))), "", 'Input LwA_XYZ'!A23)</f>
        <v/>
      </c>
      <c r="Q444" s="225" t="str">
        <f>IF($P444="","",_xlfn.TEXTJOIN(" - ",TRUE,'Input LwA_XYZ'!B23:C23))</f>
        <v/>
      </c>
      <c r="R444" s="231" t="str">
        <f>IF($P444="","",'Input LwA_XYZ'!Q23)</f>
        <v/>
      </c>
      <c r="S444" s="227" t="str">
        <f>IF($P444="","",ROUND(_xlfn.XLOOKUP(Tables!$N$422,'Input LwA_XYZ'!$AH$1:$AV$1,'Input LwA_XYZ'!AH23:AV23),0))</f>
        <v/>
      </c>
      <c r="T444" s="228" t="str">
        <f>IF($P444="","",-1*ROUND(_xlfn.XLOOKUP(Tables!$N$422,'Input LwA_XYZ'!$AY$1:$BM$1,'Input LwA_XYZ'!AY23:BM23),0))</f>
        <v/>
      </c>
      <c r="U444" s="228" t="str">
        <f>IF($P444="","",IF(_xlfn.XLOOKUP(Tables!$N$422,'Input LwA_XYZ'!$BV$1:$CJ$1,'Input LwA_XYZ'!BV23:CJ23)="","-",_xlfn.XLOOKUP(Tables!$N$422,'Input LwA_XYZ'!$BV$1:$CJ$1,'Input LwA_XYZ'!BV23:CJ23)))</f>
        <v/>
      </c>
      <c r="V444" s="228" t="str">
        <f>IF($P444="","",IF('Input LwA_XYZ'!S23="","-",'Input LwA_XYZ'!S23))</f>
        <v/>
      </c>
      <c r="W444" s="229" t="str" cm="1">
        <f t="array" ref="W444">IF($P444="","",IF(_xlfn.XLOOKUP(Tables!$N$422,_xlfn.ANCHORARRAY('Input LwA_XYZ'!$DD$1),'Input LwA_XYZ'!DD23:DR23)="","-",_xlfn.XLOOKUP(Tables!$N$422,_xlfn.ANCHORARRAY('Input LwA_XYZ'!$DD$1),'Input LwA_XYZ'!DD23:DR23)))</f>
        <v/>
      </c>
      <c r="X444" s="62" t="str">
        <f>IF($P444="","",_xlfn.XLOOKUP(Tables!$N$422,'Input LwA_XYZ'!$DU$1:$EI$1,'Input LwA_XYZ'!DU23:EI23))</f>
        <v/>
      </c>
    </row>
    <row r="445" spans="16:24" ht="16.5" x14ac:dyDescent="0.3">
      <c r="P445" s="230" t="str">
        <f>IF(OR('Input LwA_XYZ'!A24 = 0, NOT(ISBLANK(_xlfn.XLOOKUP(Tables!N$422, 'Input LwA_XYZ'!CM$1:DA$1, 'Input LwA_XYZ'!CM24:DA24)))), "", 'Input LwA_XYZ'!A24)</f>
        <v/>
      </c>
      <c r="Q445" s="225" t="str">
        <f>IF($P445="","",_xlfn.TEXTJOIN(" - ",TRUE,'Input LwA_XYZ'!B24:C24))</f>
        <v/>
      </c>
      <c r="R445" s="231" t="str">
        <f>IF($P445="","",'Input LwA_XYZ'!Q24)</f>
        <v/>
      </c>
      <c r="S445" s="227" t="str">
        <f>IF($P445="","",ROUND(_xlfn.XLOOKUP(Tables!$N$422,'Input LwA_XYZ'!$AH$1:$AV$1,'Input LwA_XYZ'!AH24:AV24),0))</f>
        <v/>
      </c>
      <c r="T445" s="228" t="str">
        <f>IF($P445="","",-1*ROUND(_xlfn.XLOOKUP(Tables!$N$422,'Input LwA_XYZ'!$AY$1:$BM$1,'Input LwA_XYZ'!AY24:BM24),0))</f>
        <v/>
      </c>
      <c r="U445" s="228" t="str">
        <f>IF($P445="","",IF(_xlfn.XLOOKUP(Tables!$N$422,'Input LwA_XYZ'!$BV$1:$CJ$1,'Input LwA_XYZ'!BV24:CJ24)="","-",_xlfn.XLOOKUP(Tables!$N$422,'Input LwA_XYZ'!$BV$1:$CJ$1,'Input LwA_XYZ'!BV24:CJ24)))</f>
        <v/>
      </c>
      <c r="V445" s="228" t="str">
        <f>IF($P445="","",IF('Input LwA_XYZ'!S24="","-",'Input LwA_XYZ'!S24))</f>
        <v/>
      </c>
      <c r="W445" s="229" t="str" cm="1">
        <f t="array" ref="W445">IF($P445="","",IF(_xlfn.XLOOKUP(Tables!$N$422,_xlfn.ANCHORARRAY('Input LwA_XYZ'!$DD$1),'Input LwA_XYZ'!DD24:DR24)="","-",_xlfn.XLOOKUP(Tables!$N$422,_xlfn.ANCHORARRAY('Input LwA_XYZ'!$DD$1),'Input LwA_XYZ'!DD24:DR24)))</f>
        <v/>
      </c>
      <c r="X445" s="62" t="str">
        <f>IF($P445="","",_xlfn.XLOOKUP(Tables!$N$422,'Input LwA_XYZ'!$DU$1:$EI$1,'Input LwA_XYZ'!DU24:EI24))</f>
        <v/>
      </c>
    </row>
    <row r="446" spans="16:24" ht="16.5" x14ac:dyDescent="0.3">
      <c r="P446" s="230" t="str">
        <f>IF(OR('Input LwA_XYZ'!A25 = 0, NOT(ISBLANK(_xlfn.XLOOKUP(Tables!N$422, 'Input LwA_XYZ'!CM$1:DA$1, 'Input LwA_XYZ'!CM25:DA25)))), "", 'Input LwA_XYZ'!A25)</f>
        <v/>
      </c>
      <c r="Q446" s="225" t="str">
        <f>IF($P446="","",_xlfn.TEXTJOIN(" - ",TRUE,'Input LwA_XYZ'!B25:C25))</f>
        <v/>
      </c>
      <c r="R446" s="231" t="str">
        <f>IF($P446="","",'Input LwA_XYZ'!Q25)</f>
        <v/>
      </c>
      <c r="S446" s="227" t="str">
        <f>IF($P446="","",ROUND(_xlfn.XLOOKUP(Tables!$N$422,'Input LwA_XYZ'!$AH$1:$AV$1,'Input LwA_XYZ'!AH25:AV25),0))</f>
        <v/>
      </c>
      <c r="T446" s="228" t="str">
        <f>IF($P446="","",-1*ROUND(_xlfn.XLOOKUP(Tables!$N$422,'Input LwA_XYZ'!$AY$1:$BM$1,'Input LwA_XYZ'!AY25:BM25),0))</f>
        <v/>
      </c>
      <c r="U446" s="228" t="str">
        <f>IF($P446="","",IF(_xlfn.XLOOKUP(Tables!$N$422,'Input LwA_XYZ'!$BV$1:$CJ$1,'Input LwA_XYZ'!BV25:CJ25)="","-",_xlfn.XLOOKUP(Tables!$N$422,'Input LwA_XYZ'!$BV$1:$CJ$1,'Input LwA_XYZ'!BV25:CJ25)))</f>
        <v/>
      </c>
      <c r="V446" s="228" t="str">
        <f>IF($P446="","",IF('Input LwA_XYZ'!S25="","-",'Input LwA_XYZ'!S25))</f>
        <v/>
      </c>
      <c r="W446" s="229" t="str" cm="1">
        <f t="array" ref="W446">IF($P446="","",IF(_xlfn.XLOOKUP(Tables!$N$422,_xlfn.ANCHORARRAY('Input LwA_XYZ'!$DD$1),'Input LwA_XYZ'!DD25:DR25)="","-",_xlfn.XLOOKUP(Tables!$N$422,_xlfn.ANCHORARRAY('Input LwA_XYZ'!$DD$1),'Input LwA_XYZ'!DD25:DR25)))</f>
        <v/>
      </c>
      <c r="X446" s="62" t="str">
        <f>IF($P446="","",_xlfn.XLOOKUP(Tables!$N$422,'Input LwA_XYZ'!$DU$1:$EI$1,'Input LwA_XYZ'!DU25:EI25))</f>
        <v/>
      </c>
    </row>
    <row r="447" spans="16:24" ht="16.5" x14ac:dyDescent="0.3">
      <c r="P447" s="230" t="str">
        <f>IF(OR('Input LwA_XYZ'!A26 = 0, NOT(ISBLANK(_xlfn.XLOOKUP(Tables!N$422, 'Input LwA_XYZ'!CM$1:DA$1, 'Input LwA_XYZ'!CM26:DA26)))), "", 'Input LwA_XYZ'!A26)</f>
        <v/>
      </c>
      <c r="Q447" s="225" t="str">
        <f>IF($P447="","",_xlfn.TEXTJOIN(" - ",TRUE,'Input LwA_XYZ'!B26:C26))</f>
        <v/>
      </c>
      <c r="R447" s="231" t="str">
        <f>IF($P447="","",'Input LwA_XYZ'!Q26)</f>
        <v/>
      </c>
      <c r="S447" s="227" t="str">
        <f>IF($P447="","",ROUND(_xlfn.XLOOKUP(Tables!$N$422,'Input LwA_XYZ'!$AH$1:$AV$1,'Input LwA_XYZ'!AH26:AV26),0))</f>
        <v/>
      </c>
      <c r="T447" s="228" t="str">
        <f>IF($P447="","",-1*ROUND(_xlfn.XLOOKUP(Tables!$N$422,'Input LwA_XYZ'!$AY$1:$BM$1,'Input LwA_XYZ'!AY26:BM26),0))</f>
        <v/>
      </c>
      <c r="U447" s="228" t="str">
        <f>IF($P447="","",IF(_xlfn.XLOOKUP(Tables!$N$422,'Input LwA_XYZ'!$BV$1:$CJ$1,'Input LwA_XYZ'!BV26:CJ26)="","-",_xlfn.XLOOKUP(Tables!$N$422,'Input LwA_XYZ'!$BV$1:$CJ$1,'Input LwA_XYZ'!BV26:CJ26)))</f>
        <v/>
      </c>
      <c r="V447" s="228" t="str">
        <f>IF($P447="","",IF('Input LwA_XYZ'!S26="","-",'Input LwA_XYZ'!S26))</f>
        <v/>
      </c>
      <c r="W447" s="229" t="str" cm="1">
        <f t="array" ref="W447">IF($P447="","",IF(_xlfn.XLOOKUP(Tables!$N$422,_xlfn.ANCHORARRAY('Input LwA_XYZ'!$DD$1),'Input LwA_XYZ'!DD26:DR26)="","-",_xlfn.XLOOKUP(Tables!$N$422,_xlfn.ANCHORARRAY('Input LwA_XYZ'!$DD$1),'Input LwA_XYZ'!DD26:DR26)))</f>
        <v/>
      </c>
      <c r="X447" s="62" t="str">
        <f>IF($P447="","",_xlfn.XLOOKUP(Tables!$N$422,'Input LwA_XYZ'!$DU$1:$EI$1,'Input LwA_XYZ'!DU26:EI26))</f>
        <v/>
      </c>
    </row>
    <row r="448" spans="16:24" ht="16.5" x14ac:dyDescent="0.3">
      <c r="P448" s="230" t="str">
        <f>IF(OR('Input LwA_XYZ'!A27 = 0, NOT(ISBLANK(_xlfn.XLOOKUP(Tables!N$422, 'Input LwA_XYZ'!CM$1:DA$1, 'Input LwA_XYZ'!CM27:DA27)))), "", 'Input LwA_XYZ'!A27)</f>
        <v/>
      </c>
      <c r="Q448" s="225" t="str">
        <f>IF($P448="","",_xlfn.TEXTJOIN(" - ",TRUE,'Input LwA_XYZ'!B27:C27))</f>
        <v/>
      </c>
      <c r="R448" s="231" t="str">
        <f>IF($P448="","",'Input LwA_XYZ'!Q27)</f>
        <v/>
      </c>
      <c r="S448" s="227" t="str">
        <f>IF($P448="","",ROUND(_xlfn.XLOOKUP(Tables!$N$422,'Input LwA_XYZ'!$AH$1:$AV$1,'Input LwA_XYZ'!AH27:AV27),0))</f>
        <v/>
      </c>
      <c r="T448" s="228" t="str">
        <f>IF($P448="","",-1*ROUND(_xlfn.XLOOKUP(Tables!$N$422,'Input LwA_XYZ'!$AY$1:$BM$1,'Input LwA_XYZ'!AY27:BM27),0))</f>
        <v/>
      </c>
      <c r="U448" s="228" t="str">
        <f>IF($P448="","",IF(_xlfn.XLOOKUP(Tables!$N$422,'Input LwA_XYZ'!$BV$1:$CJ$1,'Input LwA_XYZ'!BV27:CJ27)="","-",_xlfn.XLOOKUP(Tables!$N$422,'Input LwA_XYZ'!$BV$1:$CJ$1,'Input LwA_XYZ'!BV27:CJ27)))</f>
        <v/>
      </c>
      <c r="V448" s="228" t="str">
        <f>IF($P448="","",IF('Input LwA_XYZ'!S27="","-",'Input LwA_XYZ'!S27))</f>
        <v/>
      </c>
      <c r="W448" s="229" t="str" cm="1">
        <f t="array" ref="W448">IF($P448="","",IF(_xlfn.XLOOKUP(Tables!$N$422,_xlfn.ANCHORARRAY('Input LwA_XYZ'!$DD$1),'Input LwA_XYZ'!DD27:DR27)="","-",_xlfn.XLOOKUP(Tables!$N$422,_xlfn.ANCHORARRAY('Input LwA_XYZ'!$DD$1),'Input LwA_XYZ'!DD27:DR27)))</f>
        <v/>
      </c>
      <c r="X448" s="62" t="str">
        <f>IF($P448="","",_xlfn.XLOOKUP(Tables!$N$422,'Input LwA_XYZ'!$DU$1:$EI$1,'Input LwA_XYZ'!DU27:EI27))</f>
        <v/>
      </c>
    </row>
    <row r="449" spans="16:24" ht="16.5" x14ac:dyDescent="0.3">
      <c r="P449" s="230" t="str">
        <f>IF(OR('Input LwA_XYZ'!A28 = 0, NOT(ISBLANK(_xlfn.XLOOKUP(Tables!N$422, 'Input LwA_XYZ'!CM$1:DA$1, 'Input LwA_XYZ'!CM28:DA28)))), "", 'Input LwA_XYZ'!A28)</f>
        <v/>
      </c>
      <c r="Q449" s="225" t="str">
        <f>IF($P449="","",_xlfn.TEXTJOIN(" - ",TRUE,'Input LwA_XYZ'!B28:C28))</f>
        <v/>
      </c>
      <c r="R449" s="231" t="str">
        <f>IF($P449="","",'Input LwA_XYZ'!Q28)</f>
        <v/>
      </c>
      <c r="S449" s="227" t="str">
        <f>IF($P449="","",ROUND(_xlfn.XLOOKUP(Tables!$N$422,'Input LwA_XYZ'!$AH$1:$AV$1,'Input LwA_XYZ'!AH28:AV28),0))</f>
        <v/>
      </c>
      <c r="T449" s="228" t="str">
        <f>IF($P449="","",-1*ROUND(_xlfn.XLOOKUP(Tables!$N$422,'Input LwA_XYZ'!$AY$1:$BM$1,'Input LwA_XYZ'!AY28:BM28),0))</f>
        <v/>
      </c>
      <c r="U449" s="228" t="str">
        <f>IF($P449="","",IF(_xlfn.XLOOKUP(Tables!$N$422,'Input LwA_XYZ'!$BV$1:$CJ$1,'Input LwA_XYZ'!BV28:CJ28)="","-",_xlfn.XLOOKUP(Tables!$N$422,'Input LwA_XYZ'!$BV$1:$CJ$1,'Input LwA_XYZ'!BV28:CJ28)))</f>
        <v/>
      </c>
      <c r="V449" s="228" t="str">
        <f>IF($P449="","",IF('Input LwA_XYZ'!S28="","-",'Input LwA_XYZ'!S28))</f>
        <v/>
      </c>
      <c r="W449" s="229" t="str" cm="1">
        <f t="array" ref="W449">IF($P449="","",IF(_xlfn.XLOOKUP(Tables!$N$422,_xlfn.ANCHORARRAY('Input LwA_XYZ'!$DD$1),'Input LwA_XYZ'!DD28:DR28)="","-",_xlfn.XLOOKUP(Tables!$N$422,_xlfn.ANCHORARRAY('Input LwA_XYZ'!$DD$1),'Input LwA_XYZ'!DD28:DR28)))</f>
        <v/>
      </c>
      <c r="X449" s="62" t="str">
        <f>IF($P449="","",_xlfn.XLOOKUP(Tables!$N$422,'Input LwA_XYZ'!$DU$1:$EI$1,'Input LwA_XYZ'!DU28:EI28))</f>
        <v/>
      </c>
    </row>
    <row r="450" spans="16:24" ht="16.5" x14ac:dyDescent="0.3">
      <c r="P450" s="230" t="str">
        <f>IF(OR('Input LwA_XYZ'!A29 = 0, NOT(ISBLANK(_xlfn.XLOOKUP(Tables!N$422, 'Input LwA_XYZ'!CM$1:DA$1, 'Input LwA_XYZ'!CM29:DA29)))), "", 'Input LwA_XYZ'!A29)</f>
        <v/>
      </c>
      <c r="Q450" s="225" t="str">
        <f>IF($P450="","",_xlfn.TEXTJOIN(" - ",TRUE,'Input LwA_XYZ'!B29:C29))</f>
        <v/>
      </c>
      <c r="R450" s="231" t="str">
        <f>IF($P450="","",'Input LwA_XYZ'!Q29)</f>
        <v/>
      </c>
      <c r="S450" s="227" t="str">
        <f>IF($P450="","",ROUND(_xlfn.XLOOKUP(Tables!$N$422,'Input LwA_XYZ'!$AH$1:$AV$1,'Input LwA_XYZ'!AH29:AV29),0))</f>
        <v/>
      </c>
      <c r="T450" s="228" t="str">
        <f>IF($P450="","",-1*ROUND(_xlfn.XLOOKUP(Tables!$N$422,'Input LwA_XYZ'!$AY$1:$BM$1,'Input LwA_XYZ'!AY29:BM29),0))</f>
        <v/>
      </c>
      <c r="U450" s="228" t="str">
        <f>IF($P450="","",IF(_xlfn.XLOOKUP(Tables!$N$422,'Input LwA_XYZ'!$BV$1:$CJ$1,'Input LwA_XYZ'!BV29:CJ29)="","-",_xlfn.XLOOKUP(Tables!$N$422,'Input LwA_XYZ'!$BV$1:$CJ$1,'Input LwA_XYZ'!BV29:CJ29)))</f>
        <v/>
      </c>
      <c r="V450" s="228" t="str">
        <f>IF($P450="","",IF('Input LwA_XYZ'!S29="","-",'Input LwA_XYZ'!S29))</f>
        <v/>
      </c>
      <c r="W450" s="229" t="str" cm="1">
        <f t="array" ref="W450">IF($P450="","",IF(_xlfn.XLOOKUP(Tables!$N$422,_xlfn.ANCHORARRAY('Input LwA_XYZ'!$DD$1),'Input LwA_XYZ'!DD29:DR29)="","-",_xlfn.XLOOKUP(Tables!$N$422,_xlfn.ANCHORARRAY('Input LwA_XYZ'!$DD$1),'Input LwA_XYZ'!DD29:DR29)))</f>
        <v/>
      </c>
      <c r="X450" s="62" t="str">
        <f>IF($P450="","",_xlfn.XLOOKUP(Tables!$N$422,'Input LwA_XYZ'!$DU$1:$EI$1,'Input LwA_XYZ'!DU29:EI29))</f>
        <v/>
      </c>
    </row>
    <row r="451" spans="16:24" ht="16.5" x14ac:dyDescent="0.3">
      <c r="P451" s="230" t="str">
        <f>IF(OR('Input LwA_XYZ'!A30 = 0, NOT(ISBLANK(_xlfn.XLOOKUP(Tables!N$422, 'Input LwA_XYZ'!CM$1:DA$1, 'Input LwA_XYZ'!CM30:DA30)))), "", 'Input LwA_XYZ'!A30)</f>
        <v/>
      </c>
      <c r="Q451" s="225" t="str">
        <f>IF($P451="","",_xlfn.TEXTJOIN(" - ",TRUE,'Input LwA_XYZ'!B30:C30))</f>
        <v/>
      </c>
      <c r="R451" s="231" t="str">
        <f>IF($P451="","",'Input LwA_XYZ'!Q30)</f>
        <v/>
      </c>
      <c r="S451" s="227" t="str">
        <f>IF($P451="","",ROUND(_xlfn.XLOOKUP(Tables!$N$422,'Input LwA_XYZ'!$AH$1:$AV$1,'Input LwA_XYZ'!AH30:AV30),0))</f>
        <v/>
      </c>
      <c r="T451" s="228" t="str">
        <f>IF($P451="","",-1*ROUND(_xlfn.XLOOKUP(Tables!$N$422,'Input LwA_XYZ'!$AY$1:$BM$1,'Input LwA_XYZ'!AY30:BM30),0))</f>
        <v/>
      </c>
      <c r="U451" s="228" t="str">
        <f>IF($P451="","",IF(_xlfn.XLOOKUP(Tables!$N$422,'Input LwA_XYZ'!$BV$1:$CJ$1,'Input LwA_XYZ'!BV30:CJ30)="","-",_xlfn.XLOOKUP(Tables!$N$422,'Input LwA_XYZ'!$BV$1:$CJ$1,'Input LwA_XYZ'!BV30:CJ30)))</f>
        <v/>
      </c>
      <c r="V451" s="228" t="str">
        <f>IF($P451="","",IF('Input LwA_XYZ'!S30="","-",'Input LwA_XYZ'!S30))</f>
        <v/>
      </c>
      <c r="W451" s="229" t="str" cm="1">
        <f t="array" ref="W451">IF($P451="","",IF(_xlfn.XLOOKUP(Tables!$N$422,_xlfn.ANCHORARRAY('Input LwA_XYZ'!$DD$1),'Input LwA_XYZ'!DD30:DR30)="","-",_xlfn.XLOOKUP(Tables!$N$422,_xlfn.ANCHORARRAY('Input LwA_XYZ'!$DD$1),'Input LwA_XYZ'!DD30:DR30)))</f>
        <v/>
      </c>
      <c r="X451" s="62" t="str">
        <f>IF($P451="","",_xlfn.XLOOKUP(Tables!$N$422,'Input LwA_XYZ'!$DU$1:$EI$1,'Input LwA_XYZ'!DU30:EI30))</f>
        <v/>
      </c>
    </row>
    <row r="452" spans="16:24" ht="16.5" x14ac:dyDescent="0.3">
      <c r="P452" s="230" t="str">
        <f>IF(OR('Input LwA_XYZ'!A31 = 0, NOT(ISBLANK(_xlfn.XLOOKUP(Tables!N$422, 'Input LwA_XYZ'!CM$1:DA$1, 'Input LwA_XYZ'!CM31:DA31)))), "", 'Input LwA_XYZ'!A31)</f>
        <v/>
      </c>
      <c r="Q452" s="225" t="str">
        <f>IF($P452="","",_xlfn.TEXTJOIN(" - ",TRUE,'Input LwA_XYZ'!B31:C31))</f>
        <v/>
      </c>
      <c r="R452" s="231" t="str">
        <f>IF($P452="","",'Input LwA_XYZ'!Q31)</f>
        <v/>
      </c>
      <c r="S452" s="227" t="str">
        <f>IF($P452="","",ROUND(_xlfn.XLOOKUP(Tables!$N$422,'Input LwA_XYZ'!$AH$1:$AV$1,'Input LwA_XYZ'!AH31:AV31),0))</f>
        <v/>
      </c>
      <c r="T452" s="228" t="str">
        <f>IF($P452="","",-1*ROUND(_xlfn.XLOOKUP(Tables!$N$422,'Input LwA_XYZ'!$AY$1:$BM$1,'Input LwA_XYZ'!AY31:BM31),0))</f>
        <v/>
      </c>
      <c r="U452" s="228" t="str">
        <f>IF($P452="","",IF(_xlfn.XLOOKUP(Tables!$N$422,'Input LwA_XYZ'!$BV$1:$CJ$1,'Input LwA_XYZ'!BV31:CJ31)="","-",_xlfn.XLOOKUP(Tables!$N$422,'Input LwA_XYZ'!$BV$1:$CJ$1,'Input LwA_XYZ'!BV31:CJ31)))</f>
        <v/>
      </c>
      <c r="V452" s="228" t="str">
        <f>IF($P452="","",IF('Input LwA_XYZ'!S31="","-",'Input LwA_XYZ'!S31))</f>
        <v/>
      </c>
      <c r="W452" s="229" t="str" cm="1">
        <f t="array" ref="W452">IF($P452="","",IF(_xlfn.XLOOKUP(Tables!$N$422,_xlfn.ANCHORARRAY('Input LwA_XYZ'!$DD$1),'Input LwA_XYZ'!DD31:DR31)="","-",_xlfn.XLOOKUP(Tables!$N$422,_xlfn.ANCHORARRAY('Input LwA_XYZ'!$DD$1),'Input LwA_XYZ'!DD31:DR31)))</f>
        <v/>
      </c>
      <c r="X452" s="62" t="str">
        <f>IF($P452="","",_xlfn.XLOOKUP(Tables!$N$422,'Input LwA_XYZ'!$DU$1:$EI$1,'Input LwA_XYZ'!DU31:EI31))</f>
        <v/>
      </c>
    </row>
    <row r="453" spans="16:24" ht="16.5" x14ac:dyDescent="0.3">
      <c r="P453" s="230" t="str">
        <f>IF(OR('Input LwA_XYZ'!A32 = 0, NOT(ISBLANK(_xlfn.XLOOKUP(Tables!N$422, 'Input LwA_XYZ'!CM$1:DA$1, 'Input LwA_XYZ'!CM32:DA32)))), "", 'Input LwA_XYZ'!A32)</f>
        <v/>
      </c>
      <c r="Q453" s="225" t="str">
        <f>IF($P453="","",_xlfn.TEXTJOIN(" - ",TRUE,'Input LwA_XYZ'!B32:C32))</f>
        <v/>
      </c>
      <c r="R453" s="231" t="str">
        <f>IF($P453="","",'Input LwA_XYZ'!Q32)</f>
        <v/>
      </c>
      <c r="S453" s="227" t="str">
        <f>IF($P453="","",ROUND(_xlfn.XLOOKUP(Tables!$N$422,'Input LwA_XYZ'!$AH$1:$AV$1,'Input LwA_XYZ'!AH32:AV32),0))</f>
        <v/>
      </c>
      <c r="T453" s="228" t="str">
        <f>IF($P453="","",-1*ROUND(_xlfn.XLOOKUP(Tables!$N$422,'Input LwA_XYZ'!$AY$1:$BM$1,'Input LwA_XYZ'!AY32:BM32),0))</f>
        <v/>
      </c>
      <c r="U453" s="228" t="str">
        <f>IF($P453="","",IF(_xlfn.XLOOKUP(Tables!$N$422,'Input LwA_XYZ'!$BV$1:$CJ$1,'Input LwA_XYZ'!BV32:CJ32)="","-",_xlfn.XLOOKUP(Tables!$N$422,'Input LwA_XYZ'!$BV$1:$CJ$1,'Input LwA_XYZ'!BV32:CJ32)))</f>
        <v/>
      </c>
      <c r="V453" s="228" t="str">
        <f>IF($P453="","",IF('Input LwA_XYZ'!S32="","-",'Input LwA_XYZ'!S32))</f>
        <v/>
      </c>
      <c r="W453" s="229" t="str" cm="1">
        <f t="array" ref="W453">IF($P453="","",IF(_xlfn.XLOOKUP(Tables!$N$422,_xlfn.ANCHORARRAY('Input LwA_XYZ'!$DD$1),'Input LwA_XYZ'!DD32:DR32)="","-",_xlfn.XLOOKUP(Tables!$N$422,_xlfn.ANCHORARRAY('Input LwA_XYZ'!$DD$1),'Input LwA_XYZ'!DD32:DR32)))</f>
        <v/>
      </c>
      <c r="X453" s="62" t="str">
        <f>IF($P453="","",_xlfn.XLOOKUP(Tables!$N$422,'Input LwA_XYZ'!$DU$1:$EI$1,'Input LwA_XYZ'!DU32:EI32))</f>
        <v/>
      </c>
    </row>
    <row r="454" spans="16:24" ht="16.5" x14ac:dyDescent="0.3">
      <c r="P454" s="230" t="str">
        <f>IF(OR('Input LwA_XYZ'!A33 = 0, NOT(ISBLANK(_xlfn.XLOOKUP(Tables!N$422, 'Input LwA_XYZ'!CM$1:DA$1, 'Input LwA_XYZ'!CM33:DA33)))), "", 'Input LwA_XYZ'!A33)</f>
        <v/>
      </c>
      <c r="Q454" s="225" t="str">
        <f>IF($P454="","",_xlfn.TEXTJOIN(" - ",TRUE,'Input LwA_XYZ'!B33:C33))</f>
        <v/>
      </c>
      <c r="R454" s="231" t="str">
        <f>IF($P454="","",'Input LwA_XYZ'!Q33)</f>
        <v/>
      </c>
      <c r="S454" s="227" t="str">
        <f>IF($P454="","",ROUND(_xlfn.XLOOKUP(Tables!$N$422,'Input LwA_XYZ'!$AH$1:$AV$1,'Input LwA_XYZ'!AH33:AV33),0))</f>
        <v/>
      </c>
      <c r="T454" s="228" t="str">
        <f>IF($P454="","",-1*ROUND(_xlfn.XLOOKUP(Tables!$N$422,'Input LwA_XYZ'!$AY$1:$BM$1,'Input LwA_XYZ'!AY33:BM33),0))</f>
        <v/>
      </c>
      <c r="U454" s="228" t="str">
        <f>IF($P454="","",IF(_xlfn.XLOOKUP(Tables!$N$422,'Input LwA_XYZ'!$BV$1:$CJ$1,'Input LwA_XYZ'!BV33:CJ33)="","-",_xlfn.XLOOKUP(Tables!$N$422,'Input LwA_XYZ'!$BV$1:$CJ$1,'Input LwA_XYZ'!BV33:CJ33)))</f>
        <v/>
      </c>
      <c r="V454" s="228" t="str">
        <f>IF($P454="","",IF('Input LwA_XYZ'!S33="","-",'Input LwA_XYZ'!S33))</f>
        <v/>
      </c>
      <c r="W454" s="229" t="str" cm="1">
        <f t="array" ref="W454">IF($P454="","",IF(_xlfn.XLOOKUP(Tables!$N$422,_xlfn.ANCHORARRAY('Input LwA_XYZ'!$DD$1),'Input LwA_XYZ'!DD33:DR33)="","-",_xlfn.XLOOKUP(Tables!$N$422,_xlfn.ANCHORARRAY('Input LwA_XYZ'!$DD$1),'Input LwA_XYZ'!DD33:DR33)))</f>
        <v/>
      </c>
      <c r="X454" s="62" t="str">
        <f>IF($P454="","",_xlfn.XLOOKUP(Tables!$N$422,'Input LwA_XYZ'!$DU$1:$EI$1,'Input LwA_XYZ'!DU33:EI33))</f>
        <v/>
      </c>
    </row>
    <row r="455" spans="16:24" ht="16.5" x14ac:dyDescent="0.3">
      <c r="P455" s="230" t="str">
        <f>IF(OR('Input LwA_XYZ'!A34 = 0, NOT(ISBLANK(_xlfn.XLOOKUP(Tables!N$422, 'Input LwA_XYZ'!CM$1:DA$1, 'Input LwA_XYZ'!CM34:DA34)))), "", 'Input LwA_XYZ'!A34)</f>
        <v/>
      </c>
      <c r="Q455" s="225" t="str">
        <f>IF($P455="","",_xlfn.TEXTJOIN(" - ",TRUE,'Input LwA_XYZ'!B34:C34))</f>
        <v/>
      </c>
      <c r="R455" s="231" t="str">
        <f>IF($P455="","",'Input LwA_XYZ'!Q34)</f>
        <v/>
      </c>
      <c r="S455" s="227" t="str">
        <f>IF($P455="","",ROUND(_xlfn.XLOOKUP(Tables!$N$422,'Input LwA_XYZ'!$AH$1:$AV$1,'Input LwA_XYZ'!AH34:AV34),0))</f>
        <v/>
      </c>
      <c r="T455" s="228" t="str">
        <f>IF($P455="","",-1*ROUND(_xlfn.XLOOKUP(Tables!$N$422,'Input LwA_XYZ'!$AY$1:$BM$1,'Input LwA_XYZ'!AY34:BM34),0))</f>
        <v/>
      </c>
      <c r="U455" s="228" t="str">
        <f>IF($P455="","",IF(_xlfn.XLOOKUP(Tables!$N$422,'Input LwA_XYZ'!$BV$1:$CJ$1,'Input LwA_XYZ'!BV34:CJ34)="","-",_xlfn.XLOOKUP(Tables!$N$422,'Input LwA_XYZ'!$BV$1:$CJ$1,'Input LwA_XYZ'!BV34:CJ34)))</f>
        <v/>
      </c>
      <c r="V455" s="228" t="str">
        <f>IF($P455="","",IF('Input LwA_XYZ'!S34="","-",'Input LwA_XYZ'!S34))</f>
        <v/>
      </c>
      <c r="W455" s="229" t="str" cm="1">
        <f t="array" ref="W455">IF($P455="","",IF(_xlfn.XLOOKUP(Tables!$N$422,_xlfn.ANCHORARRAY('Input LwA_XYZ'!$DD$1),'Input LwA_XYZ'!DD34:DR34)="","-",_xlfn.XLOOKUP(Tables!$N$422,_xlfn.ANCHORARRAY('Input LwA_XYZ'!$DD$1),'Input LwA_XYZ'!DD34:DR34)))</f>
        <v/>
      </c>
      <c r="X455" s="62" t="str">
        <f>IF($P455="","",_xlfn.XLOOKUP(Tables!$N$422,'Input LwA_XYZ'!$DU$1:$EI$1,'Input LwA_XYZ'!DU34:EI34))</f>
        <v/>
      </c>
    </row>
    <row r="456" spans="16:24" ht="16.5" x14ac:dyDescent="0.3">
      <c r="P456" s="230" t="str">
        <f>IF(OR('Input LwA_XYZ'!A35 = 0, NOT(ISBLANK(_xlfn.XLOOKUP(Tables!N$422, 'Input LwA_XYZ'!CM$1:DA$1, 'Input LwA_XYZ'!CM35:DA35)))), "", 'Input LwA_XYZ'!A35)</f>
        <v/>
      </c>
      <c r="Q456" s="225" t="str">
        <f>IF($P456="","",_xlfn.TEXTJOIN(" - ",TRUE,'Input LwA_XYZ'!B35:C35))</f>
        <v/>
      </c>
      <c r="R456" s="231" t="str">
        <f>IF($P456="","",'Input LwA_XYZ'!Q35)</f>
        <v/>
      </c>
      <c r="S456" s="227" t="str">
        <f>IF($P456="","",ROUND(_xlfn.XLOOKUP(Tables!$N$422,'Input LwA_XYZ'!$AH$1:$AV$1,'Input LwA_XYZ'!AH35:AV35),0))</f>
        <v/>
      </c>
      <c r="T456" s="228" t="str">
        <f>IF($P456="","",-1*ROUND(_xlfn.XLOOKUP(Tables!$N$422,'Input LwA_XYZ'!$AY$1:$BM$1,'Input LwA_XYZ'!AY35:BM35),0))</f>
        <v/>
      </c>
      <c r="U456" s="228" t="str">
        <f>IF($P456="","",IF(_xlfn.XLOOKUP(Tables!$N$422,'Input LwA_XYZ'!$BV$1:$CJ$1,'Input LwA_XYZ'!BV35:CJ35)="","-",_xlfn.XLOOKUP(Tables!$N$422,'Input LwA_XYZ'!$BV$1:$CJ$1,'Input LwA_XYZ'!BV35:CJ35)))</f>
        <v/>
      </c>
      <c r="V456" s="228" t="str">
        <f>IF($P456="","",IF('Input LwA_XYZ'!S35="","-",'Input LwA_XYZ'!S35))</f>
        <v/>
      </c>
      <c r="W456" s="229" t="str" cm="1">
        <f t="array" ref="W456">IF($P456="","",IF(_xlfn.XLOOKUP(Tables!$N$422,_xlfn.ANCHORARRAY('Input LwA_XYZ'!$DD$1),'Input LwA_XYZ'!DD35:DR35)="","-",_xlfn.XLOOKUP(Tables!$N$422,_xlfn.ANCHORARRAY('Input LwA_XYZ'!$DD$1),'Input LwA_XYZ'!DD35:DR35)))</f>
        <v/>
      </c>
      <c r="X456" s="62" t="str">
        <f>IF($P456="","",_xlfn.XLOOKUP(Tables!$N$422,'Input LwA_XYZ'!$DU$1:$EI$1,'Input LwA_XYZ'!DU35:EI35))</f>
        <v/>
      </c>
    </row>
    <row r="457" spans="16:24" ht="16.5" x14ac:dyDescent="0.3">
      <c r="P457" s="230" t="str">
        <f>IF(OR('Input LwA_XYZ'!A36 = 0, NOT(ISBLANK(_xlfn.XLOOKUP(Tables!N$422, 'Input LwA_XYZ'!CM$1:DA$1, 'Input LwA_XYZ'!CM36:DA36)))), "", 'Input LwA_XYZ'!A36)</f>
        <v/>
      </c>
      <c r="Q457" s="225" t="str">
        <f>IF($P457="","",_xlfn.TEXTJOIN(" - ",TRUE,'Input LwA_XYZ'!B36:C36))</f>
        <v/>
      </c>
      <c r="R457" s="231" t="str">
        <f>IF($P457="","",'Input LwA_XYZ'!Q36)</f>
        <v/>
      </c>
      <c r="S457" s="227" t="str">
        <f>IF($P457="","",ROUND(_xlfn.XLOOKUP(Tables!$N$422,'Input LwA_XYZ'!$AH$1:$AV$1,'Input LwA_XYZ'!AH36:AV36),0))</f>
        <v/>
      </c>
      <c r="T457" s="228" t="str">
        <f>IF($P457="","",-1*ROUND(_xlfn.XLOOKUP(Tables!$N$422,'Input LwA_XYZ'!$AY$1:$BM$1,'Input LwA_XYZ'!AY36:BM36),0))</f>
        <v/>
      </c>
      <c r="U457" s="228" t="str">
        <f>IF($P457="","",IF(_xlfn.XLOOKUP(Tables!$N$422,'Input LwA_XYZ'!$BV$1:$CJ$1,'Input LwA_XYZ'!BV36:CJ36)="","-",_xlfn.XLOOKUP(Tables!$N$422,'Input LwA_XYZ'!$BV$1:$CJ$1,'Input LwA_XYZ'!BV36:CJ36)))</f>
        <v/>
      </c>
      <c r="V457" s="228" t="str">
        <f>IF($P457="","",IF('Input LwA_XYZ'!S36="","-",'Input LwA_XYZ'!S36))</f>
        <v/>
      </c>
      <c r="W457" s="229" t="str" cm="1">
        <f t="array" ref="W457">IF($P457="","",IF(_xlfn.XLOOKUP(Tables!$N$422,_xlfn.ANCHORARRAY('Input LwA_XYZ'!$DD$1),'Input LwA_XYZ'!DD36:DR36)="","-",_xlfn.XLOOKUP(Tables!$N$422,_xlfn.ANCHORARRAY('Input LwA_XYZ'!$DD$1),'Input LwA_XYZ'!DD36:DR36)))</f>
        <v/>
      </c>
      <c r="X457" s="62" t="str">
        <f>IF($P457="","",_xlfn.XLOOKUP(Tables!$N$422,'Input LwA_XYZ'!$DU$1:$EI$1,'Input LwA_XYZ'!DU36:EI36))</f>
        <v/>
      </c>
    </row>
    <row r="458" spans="16:24" ht="16.5" x14ac:dyDescent="0.3">
      <c r="P458" s="230" t="str">
        <f>IF(OR('Input LwA_XYZ'!A37 = 0, NOT(ISBLANK(_xlfn.XLOOKUP(Tables!N$422, 'Input LwA_XYZ'!CM$1:DA$1, 'Input LwA_XYZ'!CM37:DA37)))), "", 'Input LwA_XYZ'!A37)</f>
        <v/>
      </c>
      <c r="Q458" s="225" t="str">
        <f>IF($P458="","",_xlfn.TEXTJOIN(" - ",TRUE,'Input LwA_XYZ'!B37:C37))</f>
        <v/>
      </c>
      <c r="R458" s="231" t="str">
        <f>IF($P458="","",'Input LwA_XYZ'!Q37)</f>
        <v/>
      </c>
      <c r="S458" s="227" t="str">
        <f>IF($P458="","",ROUND(_xlfn.XLOOKUP(Tables!$N$422,'Input LwA_XYZ'!$AH$1:$AV$1,'Input LwA_XYZ'!AH37:AV37),0))</f>
        <v/>
      </c>
      <c r="T458" s="228" t="str">
        <f>IF($P458="","",-1*ROUND(_xlfn.XLOOKUP(Tables!$N$422,'Input LwA_XYZ'!$AY$1:$BM$1,'Input LwA_XYZ'!AY37:BM37),0))</f>
        <v/>
      </c>
      <c r="U458" s="228" t="str">
        <f>IF($P458="","",IF(_xlfn.XLOOKUP(Tables!$N$422,'Input LwA_XYZ'!$BV$1:$CJ$1,'Input LwA_XYZ'!BV37:CJ37)="","-",_xlfn.XLOOKUP(Tables!$N$422,'Input LwA_XYZ'!$BV$1:$CJ$1,'Input LwA_XYZ'!BV37:CJ37)))</f>
        <v/>
      </c>
      <c r="V458" s="228" t="str">
        <f>IF($P458="","",IF('Input LwA_XYZ'!S37="","-",'Input LwA_XYZ'!S37))</f>
        <v/>
      </c>
      <c r="W458" s="229" t="str" cm="1">
        <f t="array" ref="W458">IF($P458="","",IF(_xlfn.XLOOKUP(Tables!$N$422,_xlfn.ANCHORARRAY('Input LwA_XYZ'!$DD$1),'Input LwA_XYZ'!DD37:DR37)="","-",_xlfn.XLOOKUP(Tables!$N$422,_xlfn.ANCHORARRAY('Input LwA_XYZ'!$DD$1),'Input LwA_XYZ'!DD37:DR37)))</f>
        <v/>
      </c>
      <c r="X458" s="62" t="str">
        <f>IF($P458="","",_xlfn.XLOOKUP(Tables!$N$422,'Input LwA_XYZ'!$DU$1:$EI$1,'Input LwA_XYZ'!DU37:EI37))</f>
        <v/>
      </c>
    </row>
    <row r="459" spans="16:24" ht="16.5" x14ac:dyDescent="0.3">
      <c r="P459" s="230" t="str">
        <f>IF(OR('Input LwA_XYZ'!A38 = 0, NOT(ISBLANK(_xlfn.XLOOKUP(Tables!N$422, 'Input LwA_XYZ'!CM$1:DA$1, 'Input LwA_XYZ'!CM38:DA38)))), "", 'Input LwA_XYZ'!A38)</f>
        <v/>
      </c>
      <c r="Q459" s="225" t="str">
        <f>IF($P459="","",_xlfn.TEXTJOIN(" - ",TRUE,'Input LwA_XYZ'!B38:C38))</f>
        <v/>
      </c>
      <c r="R459" s="231" t="str">
        <f>IF($P459="","",'Input LwA_XYZ'!Q38)</f>
        <v/>
      </c>
      <c r="S459" s="227" t="str">
        <f>IF($P459="","",ROUND(_xlfn.XLOOKUP(Tables!$N$422,'Input LwA_XYZ'!$AH$1:$AV$1,'Input LwA_XYZ'!AH38:AV38),0))</f>
        <v/>
      </c>
      <c r="T459" s="228" t="str">
        <f>IF($P459="","",-1*ROUND(_xlfn.XLOOKUP(Tables!$N$422,'Input LwA_XYZ'!$AY$1:$BM$1,'Input LwA_XYZ'!AY38:BM38),0))</f>
        <v/>
      </c>
      <c r="U459" s="228" t="str">
        <f>IF($P459="","",IF(_xlfn.XLOOKUP(Tables!$N$422,'Input LwA_XYZ'!$BV$1:$CJ$1,'Input LwA_XYZ'!BV38:CJ38)="","-",_xlfn.XLOOKUP(Tables!$N$422,'Input LwA_XYZ'!$BV$1:$CJ$1,'Input LwA_XYZ'!BV38:CJ38)))</f>
        <v/>
      </c>
      <c r="V459" s="228" t="str">
        <f>IF($P459="","",IF('Input LwA_XYZ'!S38="","-",'Input LwA_XYZ'!S38))</f>
        <v/>
      </c>
      <c r="W459" s="229" t="str" cm="1">
        <f t="array" ref="W459">IF($P459="","",IF(_xlfn.XLOOKUP(Tables!$N$422,_xlfn.ANCHORARRAY('Input LwA_XYZ'!$DD$1),'Input LwA_XYZ'!DD38:DR38)="","-",_xlfn.XLOOKUP(Tables!$N$422,_xlfn.ANCHORARRAY('Input LwA_XYZ'!$DD$1),'Input LwA_XYZ'!DD38:DR38)))</f>
        <v/>
      </c>
      <c r="X459" s="62" t="str">
        <f>IF($P459="","",_xlfn.XLOOKUP(Tables!$N$422,'Input LwA_XYZ'!$DU$1:$EI$1,'Input LwA_XYZ'!DU38:EI38))</f>
        <v/>
      </c>
    </row>
    <row r="460" spans="16:24" ht="16.5" x14ac:dyDescent="0.3">
      <c r="P460" s="230" t="str">
        <f>IF(OR('Input LwA_XYZ'!A39 = 0, NOT(ISBLANK(_xlfn.XLOOKUP(Tables!N$422, 'Input LwA_XYZ'!CM$1:DA$1, 'Input LwA_XYZ'!CM39:DA39)))), "", 'Input LwA_XYZ'!A39)</f>
        <v/>
      </c>
      <c r="Q460" s="225" t="str">
        <f>IF($P460="","",_xlfn.TEXTJOIN(" - ",TRUE,'Input LwA_XYZ'!B39:C39))</f>
        <v/>
      </c>
      <c r="R460" s="231" t="str">
        <f>IF($P460="","",'Input LwA_XYZ'!Q39)</f>
        <v/>
      </c>
      <c r="S460" s="227" t="str">
        <f>IF($P460="","",ROUND(_xlfn.XLOOKUP(Tables!$N$422,'Input LwA_XYZ'!$AH$1:$AV$1,'Input LwA_XYZ'!AH39:AV39),0))</f>
        <v/>
      </c>
      <c r="T460" s="228" t="str">
        <f>IF($P460="","",-1*ROUND(_xlfn.XLOOKUP(Tables!$N$422,'Input LwA_XYZ'!$AY$1:$BM$1,'Input LwA_XYZ'!AY39:BM39),0))</f>
        <v/>
      </c>
      <c r="U460" s="228" t="str">
        <f>IF($P460="","",IF(_xlfn.XLOOKUP(Tables!$N$422,'Input LwA_XYZ'!$BV$1:$CJ$1,'Input LwA_XYZ'!BV39:CJ39)="","-",_xlfn.XLOOKUP(Tables!$N$422,'Input LwA_XYZ'!$BV$1:$CJ$1,'Input LwA_XYZ'!BV39:CJ39)))</f>
        <v/>
      </c>
      <c r="V460" s="228" t="str">
        <f>IF($P460="","",IF('Input LwA_XYZ'!S39="","-",'Input LwA_XYZ'!S39))</f>
        <v/>
      </c>
      <c r="W460" s="229" t="str" cm="1">
        <f t="array" ref="W460">IF($P460="","",IF(_xlfn.XLOOKUP(Tables!$N$422,_xlfn.ANCHORARRAY('Input LwA_XYZ'!$DD$1),'Input LwA_XYZ'!DD39:DR39)="","-",_xlfn.XLOOKUP(Tables!$N$422,_xlfn.ANCHORARRAY('Input LwA_XYZ'!$DD$1),'Input LwA_XYZ'!DD39:DR39)))</f>
        <v/>
      </c>
      <c r="X460" s="62" t="str">
        <f>IF($P460="","",_xlfn.XLOOKUP(Tables!$N$422,'Input LwA_XYZ'!$DU$1:$EI$1,'Input LwA_XYZ'!DU39:EI39))</f>
        <v/>
      </c>
    </row>
    <row r="461" spans="16:24" ht="16.5" x14ac:dyDescent="0.3">
      <c r="P461" s="230" t="str">
        <f>IF(OR('Input LwA_XYZ'!A40 = 0, NOT(ISBLANK(_xlfn.XLOOKUP(Tables!N$422, 'Input LwA_XYZ'!CM$1:DA$1, 'Input LwA_XYZ'!CM40:DA40)))), "", 'Input LwA_XYZ'!A40)</f>
        <v/>
      </c>
      <c r="Q461" s="225" t="str">
        <f>IF($P461="","",_xlfn.TEXTJOIN(" - ",TRUE,'Input LwA_XYZ'!B40:C40))</f>
        <v/>
      </c>
      <c r="R461" s="231" t="str">
        <f>IF($P461="","",'Input LwA_XYZ'!Q40)</f>
        <v/>
      </c>
      <c r="S461" s="227" t="str">
        <f>IF($P461="","",ROUND(_xlfn.XLOOKUP(Tables!$N$422,'Input LwA_XYZ'!$AH$1:$AV$1,'Input LwA_XYZ'!AH40:AV40),0))</f>
        <v/>
      </c>
      <c r="T461" s="228" t="str">
        <f>IF($P461="","",-1*ROUND(_xlfn.XLOOKUP(Tables!$N$422,'Input LwA_XYZ'!$AY$1:$BM$1,'Input LwA_XYZ'!AY40:BM40),0))</f>
        <v/>
      </c>
      <c r="U461" s="228" t="str">
        <f>IF($P461="","",IF(_xlfn.XLOOKUP(Tables!$N$422,'Input LwA_XYZ'!$BV$1:$CJ$1,'Input LwA_XYZ'!BV40:CJ40)="","-",_xlfn.XLOOKUP(Tables!$N$422,'Input LwA_XYZ'!$BV$1:$CJ$1,'Input LwA_XYZ'!BV40:CJ40)))</f>
        <v/>
      </c>
      <c r="V461" s="228" t="str">
        <f>IF($P461="","",IF('Input LwA_XYZ'!S40="","-",'Input LwA_XYZ'!S40))</f>
        <v/>
      </c>
      <c r="W461" s="229" t="str" cm="1">
        <f t="array" ref="W461">IF($P461="","",IF(_xlfn.XLOOKUP(Tables!$N$422,_xlfn.ANCHORARRAY('Input LwA_XYZ'!$DD$1),'Input LwA_XYZ'!DD40:DR40)="","-",_xlfn.XLOOKUP(Tables!$N$422,_xlfn.ANCHORARRAY('Input LwA_XYZ'!$DD$1),'Input LwA_XYZ'!DD40:DR40)))</f>
        <v/>
      </c>
      <c r="X461" s="62" t="str">
        <f>IF($P461="","",_xlfn.XLOOKUP(Tables!$N$422,'Input LwA_XYZ'!$DU$1:$EI$1,'Input LwA_XYZ'!DU40:EI40))</f>
        <v/>
      </c>
    </row>
    <row r="462" spans="16:24" ht="16.5" x14ac:dyDescent="0.3">
      <c r="P462" s="230" t="str">
        <f>IF(OR('Input LwA_XYZ'!A41 = 0, NOT(ISBLANK(_xlfn.XLOOKUP(Tables!N$422, 'Input LwA_XYZ'!CM$1:DA$1, 'Input LwA_XYZ'!CM41:DA41)))), "", 'Input LwA_XYZ'!A41)</f>
        <v/>
      </c>
      <c r="Q462" s="225" t="str">
        <f>IF($P462="","",_xlfn.TEXTJOIN(" - ",TRUE,'Input LwA_XYZ'!B41:C41))</f>
        <v/>
      </c>
      <c r="R462" s="231" t="str">
        <f>IF($P462="","",'Input LwA_XYZ'!Q41)</f>
        <v/>
      </c>
      <c r="S462" s="227" t="str">
        <f>IF($P462="","",ROUND(_xlfn.XLOOKUP(Tables!$N$422,'Input LwA_XYZ'!$AH$1:$AV$1,'Input LwA_XYZ'!AH41:AV41),0))</f>
        <v/>
      </c>
      <c r="T462" s="228" t="str">
        <f>IF($P462="","",-1*ROUND(_xlfn.XLOOKUP(Tables!$N$422,'Input LwA_XYZ'!$AY$1:$BM$1,'Input LwA_XYZ'!AY41:BM41),0))</f>
        <v/>
      </c>
      <c r="U462" s="228" t="str">
        <f>IF($P462="","",IF(_xlfn.XLOOKUP(Tables!$N$422,'Input LwA_XYZ'!$BV$1:$CJ$1,'Input LwA_XYZ'!BV41:CJ41)="","-",_xlfn.XLOOKUP(Tables!$N$422,'Input LwA_XYZ'!$BV$1:$CJ$1,'Input LwA_XYZ'!BV41:CJ41)))</f>
        <v/>
      </c>
      <c r="V462" s="228" t="str">
        <f>IF($P462="","",IF('Input LwA_XYZ'!S41="","-",'Input LwA_XYZ'!S41))</f>
        <v/>
      </c>
      <c r="W462" s="229" t="str" cm="1">
        <f t="array" ref="W462">IF($P462="","",IF(_xlfn.XLOOKUP(Tables!$N$422,_xlfn.ANCHORARRAY('Input LwA_XYZ'!$DD$1),'Input LwA_XYZ'!DD41:DR41)="","-",_xlfn.XLOOKUP(Tables!$N$422,_xlfn.ANCHORARRAY('Input LwA_XYZ'!$DD$1),'Input LwA_XYZ'!DD41:DR41)))</f>
        <v/>
      </c>
      <c r="X462" s="62" t="str">
        <f>IF($P462="","",_xlfn.XLOOKUP(Tables!$N$422,'Input LwA_XYZ'!$DU$1:$EI$1,'Input LwA_XYZ'!DU41:EI41))</f>
        <v/>
      </c>
    </row>
    <row r="463" spans="16:24" ht="16.5" x14ac:dyDescent="0.3">
      <c r="P463" s="230" t="str">
        <f>IF(OR('Input LwA_XYZ'!A42 = 0, NOT(ISBLANK(_xlfn.XLOOKUP(Tables!N$422, 'Input LwA_XYZ'!CM$1:DA$1, 'Input LwA_XYZ'!CM42:DA42)))), "", 'Input LwA_XYZ'!A42)</f>
        <v/>
      </c>
      <c r="Q463" s="225" t="str">
        <f>IF($P463="","",_xlfn.TEXTJOIN(" - ",TRUE,'Input LwA_XYZ'!B42:C42))</f>
        <v/>
      </c>
      <c r="R463" s="231" t="str">
        <f>IF($P463="","",'Input LwA_XYZ'!Q42)</f>
        <v/>
      </c>
      <c r="S463" s="227" t="str">
        <f>IF($P463="","",ROUND(_xlfn.XLOOKUP(Tables!$N$422,'Input LwA_XYZ'!$AH$1:$AV$1,'Input LwA_XYZ'!AH42:AV42),0))</f>
        <v/>
      </c>
      <c r="T463" s="228" t="str">
        <f>IF($P463="","",-1*ROUND(_xlfn.XLOOKUP(Tables!$N$422,'Input LwA_XYZ'!$AY$1:$BM$1,'Input LwA_XYZ'!AY42:BM42),0))</f>
        <v/>
      </c>
      <c r="U463" s="228" t="str">
        <f>IF($P463="","",IF(_xlfn.XLOOKUP(Tables!$N$422,'Input LwA_XYZ'!$BV$1:$CJ$1,'Input LwA_XYZ'!BV42:CJ42)="","-",_xlfn.XLOOKUP(Tables!$N$422,'Input LwA_XYZ'!$BV$1:$CJ$1,'Input LwA_XYZ'!BV42:CJ42)))</f>
        <v/>
      </c>
      <c r="V463" s="228" t="str">
        <f>IF($P463="","",IF('Input LwA_XYZ'!S42="","-",'Input LwA_XYZ'!S42))</f>
        <v/>
      </c>
      <c r="W463" s="229" t="str" cm="1">
        <f t="array" ref="W463">IF($P463="","",IF(_xlfn.XLOOKUP(Tables!$N$422,_xlfn.ANCHORARRAY('Input LwA_XYZ'!$DD$1),'Input LwA_XYZ'!DD42:DR42)="","-",_xlfn.XLOOKUP(Tables!$N$422,_xlfn.ANCHORARRAY('Input LwA_XYZ'!$DD$1),'Input LwA_XYZ'!DD42:DR42)))</f>
        <v/>
      </c>
      <c r="X463" s="62" t="str">
        <f>IF($P463="","",_xlfn.XLOOKUP(Tables!$N$422,'Input LwA_XYZ'!$DU$1:$EI$1,'Input LwA_XYZ'!DU42:EI42))</f>
        <v/>
      </c>
    </row>
    <row r="464" spans="16:24" ht="16.5" x14ac:dyDescent="0.3">
      <c r="P464" s="230" t="str">
        <f>IF(OR('Input LwA_XYZ'!A43 = 0, NOT(ISBLANK(_xlfn.XLOOKUP(Tables!N$422, 'Input LwA_XYZ'!CM$1:DA$1, 'Input LwA_XYZ'!CM43:DA43)))), "", 'Input LwA_XYZ'!A43)</f>
        <v/>
      </c>
      <c r="Q464" s="225" t="str">
        <f>IF($P464="","",_xlfn.TEXTJOIN(" - ",TRUE,'Input LwA_XYZ'!B43:C43))</f>
        <v/>
      </c>
      <c r="R464" s="231" t="str">
        <f>IF($P464="","",'Input LwA_XYZ'!Q43)</f>
        <v/>
      </c>
      <c r="S464" s="227" t="str">
        <f>IF($P464="","",ROUND(_xlfn.XLOOKUP(Tables!$N$422,'Input LwA_XYZ'!$AH$1:$AV$1,'Input LwA_XYZ'!AH43:AV43),0))</f>
        <v/>
      </c>
      <c r="T464" s="228" t="str">
        <f>IF($P464="","",-1*ROUND(_xlfn.XLOOKUP(Tables!$N$422,'Input LwA_XYZ'!$AY$1:$BM$1,'Input LwA_XYZ'!AY43:BM43),0))</f>
        <v/>
      </c>
      <c r="U464" s="228" t="str">
        <f>IF($P464="","",IF(_xlfn.XLOOKUP(Tables!$N$422,'Input LwA_XYZ'!$BV$1:$CJ$1,'Input LwA_XYZ'!BV43:CJ43)="","-",_xlfn.XLOOKUP(Tables!$N$422,'Input LwA_XYZ'!$BV$1:$CJ$1,'Input LwA_XYZ'!BV43:CJ43)))</f>
        <v/>
      </c>
      <c r="V464" s="228" t="str">
        <f>IF($P464="","",IF('Input LwA_XYZ'!S43="","-",'Input LwA_XYZ'!S43))</f>
        <v/>
      </c>
      <c r="W464" s="229" t="str" cm="1">
        <f t="array" ref="W464">IF($P464="","",IF(_xlfn.XLOOKUP(Tables!$N$422,_xlfn.ANCHORARRAY('Input LwA_XYZ'!$DD$1),'Input LwA_XYZ'!DD43:DR43)="","-",_xlfn.XLOOKUP(Tables!$N$422,_xlfn.ANCHORARRAY('Input LwA_XYZ'!$DD$1),'Input LwA_XYZ'!DD43:DR43)))</f>
        <v/>
      </c>
      <c r="X464" s="62" t="str">
        <f>IF($P464="","",_xlfn.XLOOKUP(Tables!$N$422,'Input LwA_XYZ'!$DU$1:$EI$1,'Input LwA_XYZ'!DU43:EI43))</f>
        <v/>
      </c>
    </row>
    <row r="465" spans="16:24" ht="16.5" x14ac:dyDescent="0.3">
      <c r="P465" s="230" t="str">
        <f>IF(OR('Input LwA_XYZ'!A44 = 0, NOT(ISBLANK(_xlfn.XLOOKUP(Tables!N$422, 'Input LwA_XYZ'!CM$1:DA$1, 'Input LwA_XYZ'!CM44:DA44)))), "", 'Input LwA_XYZ'!A44)</f>
        <v/>
      </c>
      <c r="Q465" s="225" t="str">
        <f>IF($P465="","",_xlfn.TEXTJOIN(" - ",TRUE,'Input LwA_XYZ'!B44:C44))</f>
        <v/>
      </c>
      <c r="R465" s="231" t="str">
        <f>IF($P465="","",'Input LwA_XYZ'!Q44)</f>
        <v/>
      </c>
      <c r="S465" s="227" t="str">
        <f>IF($P465="","",ROUND(_xlfn.XLOOKUP(Tables!$N$422,'Input LwA_XYZ'!$AH$1:$AV$1,'Input LwA_XYZ'!AH44:AV44),0))</f>
        <v/>
      </c>
      <c r="T465" s="228" t="str">
        <f>IF($P465="","",-1*ROUND(_xlfn.XLOOKUP(Tables!$N$422,'Input LwA_XYZ'!$AY$1:$BM$1,'Input LwA_XYZ'!AY44:BM44),0))</f>
        <v/>
      </c>
      <c r="U465" s="228" t="str">
        <f>IF($P465="","",IF(_xlfn.XLOOKUP(Tables!$N$422,'Input LwA_XYZ'!$BV$1:$CJ$1,'Input LwA_XYZ'!BV44:CJ44)="","-",_xlfn.XLOOKUP(Tables!$N$422,'Input LwA_XYZ'!$BV$1:$CJ$1,'Input LwA_XYZ'!BV44:CJ44)))</f>
        <v/>
      </c>
      <c r="V465" s="228" t="str">
        <f>IF($P465="","",IF('Input LwA_XYZ'!S44="","-",'Input LwA_XYZ'!S44))</f>
        <v/>
      </c>
      <c r="W465" s="229" t="str" cm="1">
        <f t="array" ref="W465">IF($P465="","",IF(_xlfn.XLOOKUP(Tables!$N$422,_xlfn.ANCHORARRAY('Input LwA_XYZ'!$DD$1),'Input LwA_XYZ'!DD44:DR44)="","-",_xlfn.XLOOKUP(Tables!$N$422,_xlfn.ANCHORARRAY('Input LwA_XYZ'!$DD$1),'Input LwA_XYZ'!DD44:DR44)))</f>
        <v/>
      </c>
      <c r="X465" s="62" t="str">
        <f>IF($P465="","",_xlfn.XLOOKUP(Tables!$N$422,'Input LwA_XYZ'!$DU$1:$EI$1,'Input LwA_XYZ'!DU44:EI44))</f>
        <v/>
      </c>
    </row>
    <row r="466" spans="16:24" ht="16.5" x14ac:dyDescent="0.3">
      <c r="P466" s="230" t="str">
        <f>IF(OR('Input LwA_XYZ'!A45 = 0, NOT(ISBLANK(_xlfn.XLOOKUP(Tables!N$422, 'Input LwA_XYZ'!CM$1:DA$1, 'Input LwA_XYZ'!CM45:DA45)))), "", 'Input LwA_XYZ'!A45)</f>
        <v/>
      </c>
      <c r="Q466" s="225" t="str">
        <f>IF($P466="","",_xlfn.TEXTJOIN(" - ",TRUE,'Input LwA_XYZ'!B45:C45))</f>
        <v/>
      </c>
      <c r="R466" s="231" t="str">
        <f>IF($P466="","",'Input LwA_XYZ'!Q45)</f>
        <v/>
      </c>
      <c r="S466" s="227" t="str">
        <f>IF($P466="","",ROUND(_xlfn.XLOOKUP(Tables!$N$422,'Input LwA_XYZ'!$AH$1:$AV$1,'Input LwA_XYZ'!AH45:AV45),0))</f>
        <v/>
      </c>
      <c r="T466" s="228" t="str">
        <f>IF($P466="","",-1*ROUND(_xlfn.XLOOKUP(Tables!$N$422,'Input LwA_XYZ'!$AY$1:$BM$1,'Input LwA_XYZ'!AY45:BM45),0))</f>
        <v/>
      </c>
      <c r="U466" s="228" t="str">
        <f>IF($P466="","",IF(_xlfn.XLOOKUP(Tables!$N$422,'Input LwA_XYZ'!$BV$1:$CJ$1,'Input LwA_XYZ'!BV45:CJ45)="","-",_xlfn.XLOOKUP(Tables!$N$422,'Input LwA_XYZ'!$BV$1:$CJ$1,'Input LwA_XYZ'!BV45:CJ45)))</f>
        <v/>
      </c>
      <c r="V466" s="228" t="str">
        <f>IF($P466="","",IF('Input LwA_XYZ'!S45="","-",'Input LwA_XYZ'!S45))</f>
        <v/>
      </c>
      <c r="W466" s="229" t="str" cm="1">
        <f t="array" ref="W466">IF($P466="","",IF(_xlfn.XLOOKUP(Tables!$N$422,_xlfn.ANCHORARRAY('Input LwA_XYZ'!$DD$1),'Input LwA_XYZ'!DD45:DR45)="","-",_xlfn.XLOOKUP(Tables!$N$422,_xlfn.ANCHORARRAY('Input LwA_XYZ'!$DD$1),'Input LwA_XYZ'!DD45:DR45)))</f>
        <v/>
      </c>
      <c r="X466" s="62" t="str">
        <f>IF($P466="","",_xlfn.XLOOKUP(Tables!$N$422,'Input LwA_XYZ'!$DU$1:$EI$1,'Input LwA_XYZ'!DU45:EI45))</f>
        <v/>
      </c>
    </row>
    <row r="467" spans="16:24" ht="16.5" x14ac:dyDescent="0.3">
      <c r="P467" s="230" t="str">
        <f>IF(OR('Input LwA_XYZ'!A46 = 0, NOT(ISBLANK(_xlfn.XLOOKUP(Tables!N$422, 'Input LwA_XYZ'!CM$1:DA$1, 'Input LwA_XYZ'!CM46:DA46)))), "", 'Input LwA_XYZ'!A46)</f>
        <v/>
      </c>
      <c r="Q467" s="225" t="str">
        <f>IF($P467="","",_xlfn.TEXTJOIN(" - ",TRUE,'Input LwA_XYZ'!B46:C46))</f>
        <v/>
      </c>
      <c r="R467" s="231" t="str">
        <f>IF($P467="","",'Input LwA_XYZ'!Q46)</f>
        <v/>
      </c>
      <c r="S467" s="227" t="str">
        <f>IF($P467="","",ROUND(_xlfn.XLOOKUP(Tables!$N$422,'Input LwA_XYZ'!$AH$1:$AV$1,'Input LwA_XYZ'!AH46:AV46),0))</f>
        <v/>
      </c>
      <c r="T467" s="228" t="str">
        <f>IF($P467="","",-1*ROUND(_xlfn.XLOOKUP(Tables!$N$422,'Input LwA_XYZ'!$AY$1:$BM$1,'Input LwA_XYZ'!AY46:BM46),0))</f>
        <v/>
      </c>
      <c r="U467" s="228" t="str">
        <f>IF($P467="","",IF(_xlfn.XLOOKUP(Tables!$N$422,'Input LwA_XYZ'!$BV$1:$CJ$1,'Input LwA_XYZ'!BV46:CJ46)="","-",_xlfn.XLOOKUP(Tables!$N$422,'Input LwA_XYZ'!$BV$1:$CJ$1,'Input LwA_XYZ'!BV46:CJ46)))</f>
        <v/>
      </c>
      <c r="V467" s="228" t="str">
        <f>IF($P467="","",IF('Input LwA_XYZ'!S46="","-",'Input LwA_XYZ'!S46))</f>
        <v/>
      </c>
      <c r="W467" s="229" t="str" cm="1">
        <f t="array" ref="W467">IF($P467="","",IF(_xlfn.XLOOKUP(Tables!$N$422,_xlfn.ANCHORARRAY('Input LwA_XYZ'!$DD$1),'Input LwA_XYZ'!DD46:DR46)="","-",_xlfn.XLOOKUP(Tables!$N$422,_xlfn.ANCHORARRAY('Input LwA_XYZ'!$DD$1),'Input LwA_XYZ'!DD46:DR46)))</f>
        <v/>
      </c>
      <c r="X467" s="62" t="str">
        <f>IF($P467="","",_xlfn.XLOOKUP(Tables!$N$422,'Input LwA_XYZ'!$DU$1:$EI$1,'Input LwA_XYZ'!DU46:EI46))</f>
        <v/>
      </c>
    </row>
    <row r="468" spans="16:24" ht="16.5" x14ac:dyDescent="0.3">
      <c r="P468" s="230" t="str">
        <f>IF(OR('Input LwA_XYZ'!A47 = 0, NOT(ISBLANK(_xlfn.XLOOKUP(Tables!N$422, 'Input LwA_XYZ'!CM$1:DA$1, 'Input LwA_XYZ'!CM47:DA47)))), "", 'Input LwA_XYZ'!A47)</f>
        <v/>
      </c>
      <c r="Q468" s="225" t="str">
        <f>IF($P468="","",_xlfn.TEXTJOIN(" - ",TRUE,'Input LwA_XYZ'!B47:C47))</f>
        <v/>
      </c>
      <c r="R468" s="231" t="str">
        <f>IF($P468="","",'Input LwA_XYZ'!Q47)</f>
        <v/>
      </c>
      <c r="S468" s="227" t="str">
        <f>IF($P468="","",ROUND(_xlfn.XLOOKUP(Tables!$N$422,'Input LwA_XYZ'!$AH$1:$AV$1,'Input LwA_XYZ'!AH47:AV47),0))</f>
        <v/>
      </c>
      <c r="T468" s="228" t="str">
        <f>IF($P468="","",-1*ROUND(_xlfn.XLOOKUP(Tables!$N$422,'Input LwA_XYZ'!$AY$1:$BM$1,'Input LwA_XYZ'!AY47:BM47),0))</f>
        <v/>
      </c>
      <c r="U468" s="228" t="str">
        <f>IF($P468="","",IF(_xlfn.XLOOKUP(Tables!$N$422,'Input LwA_XYZ'!$BV$1:$CJ$1,'Input LwA_XYZ'!BV47:CJ47)="","-",_xlfn.XLOOKUP(Tables!$N$422,'Input LwA_XYZ'!$BV$1:$CJ$1,'Input LwA_XYZ'!BV47:CJ47)))</f>
        <v/>
      </c>
      <c r="V468" s="228" t="str">
        <f>IF($P468="","",IF('Input LwA_XYZ'!S47="","-",'Input LwA_XYZ'!S47))</f>
        <v/>
      </c>
      <c r="W468" s="229" t="str" cm="1">
        <f t="array" ref="W468">IF($P468="","",IF(_xlfn.XLOOKUP(Tables!$N$422,_xlfn.ANCHORARRAY('Input LwA_XYZ'!$DD$1),'Input LwA_XYZ'!DD47:DR47)="","-",_xlfn.XLOOKUP(Tables!$N$422,_xlfn.ANCHORARRAY('Input LwA_XYZ'!$DD$1),'Input LwA_XYZ'!DD47:DR47)))</f>
        <v/>
      </c>
      <c r="X468" s="62" t="str">
        <f>IF($P468="","",_xlfn.XLOOKUP(Tables!$N$422,'Input LwA_XYZ'!$DU$1:$EI$1,'Input LwA_XYZ'!DU47:EI47))</f>
        <v/>
      </c>
    </row>
    <row r="469" spans="16:24" ht="16.5" x14ac:dyDescent="0.3">
      <c r="P469" s="230" t="str">
        <f>IF(OR('Input LwA_XYZ'!A48 = 0, NOT(ISBLANK(_xlfn.XLOOKUP(Tables!N$422, 'Input LwA_XYZ'!CM$1:DA$1, 'Input LwA_XYZ'!CM48:DA48)))), "", 'Input LwA_XYZ'!A48)</f>
        <v/>
      </c>
      <c r="Q469" s="225" t="str">
        <f>IF($P469="","",_xlfn.TEXTJOIN(" - ",TRUE,'Input LwA_XYZ'!B48:C48))</f>
        <v/>
      </c>
      <c r="R469" s="231" t="str">
        <f>IF($P469="","",'Input LwA_XYZ'!Q48)</f>
        <v/>
      </c>
      <c r="S469" s="227" t="str">
        <f>IF($P469="","",ROUND(_xlfn.XLOOKUP(Tables!$N$422,'Input LwA_XYZ'!$AH$1:$AV$1,'Input LwA_XYZ'!AH48:AV48),0))</f>
        <v/>
      </c>
      <c r="T469" s="228" t="str">
        <f>IF($P469="","",-1*ROUND(_xlfn.XLOOKUP(Tables!$N$422,'Input LwA_XYZ'!$AY$1:$BM$1,'Input LwA_XYZ'!AY48:BM48),0))</f>
        <v/>
      </c>
      <c r="U469" s="228" t="str">
        <f>IF($P469="","",IF(_xlfn.XLOOKUP(Tables!$N$422,'Input LwA_XYZ'!$BV$1:$CJ$1,'Input LwA_XYZ'!BV48:CJ48)="","-",_xlfn.XLOOKUP(Tables!$N$422,'Input LwA_XYZ'!$BV$1:$CJ$1,'Input LwA_XYZ'!BV48:CJ48)))</f>
        <v/>
      </c>
      <c r="V469" s="228" t="str">
        <f>IF($P469="","",IF('Input LwA_XYZ'!S48="","-",'Input LwA_XYZ'!S48))</f>
        <v/>
      </c>
      <c r="W469" s="229" t="str" cm="1">
        <f t="array" ref="W469">IF($P469="","",IF(_xlfn.XLOOKUP(Tables!$N$422,_xlfn.ANCHORARRAY('Input LwA_XYZ'!$DD$1),'Input LwA_XYZ'!DD48:DR48)="","-",_xlfn.XLOOKUP(Tables!$N$422,_xlfn.ANCHORARRAY('Input LwA_XYZ'!$DD$1),'Input LwA_XYZ'!DD48:DR48)))</f>
        <v/>
      </c>
      <c r="X469" s="62" t="str">
        <f>IF($P469="","",_xlfn.XLOOKUP(Tables!$N$422,'Input LwA_XYZ'!$DU$1:$EI$1,'Input LwA_XYZ'!DU48:EI48))</f>
        <v/>
      </c>
    </row>
    <row r="470" spans="16:24" ht="16.5" x14ac:dyDescent="0.3">
      <c r="P470" s="230" t="str">
        <f>IF(OR('Input LwA_XYZ'!A49 = 0, NOT(ISBLANK(_xlfn.XLOOKUP(Tables!N$422, 'Input LwA_XYZ'!CM$1:DA$1, 'Input LwA_XYZ'!CM49:DA49)))), "", 'Input LwA_XYZ'!A49)</f>
        <v/>
      </c>
      <c r="Q470" s="225" t="str">
        <f>IF($P470="","",_xlfn.TEXTJOIN(" - ",TRUE,'Input LwA_XYZ'!B49:C49))</f>
        <v/>
      </c>
      <c r="R470" s="231" t="str">
        <f>IF($P470="","",'Input LwA_XYZ'!Q49)</f>
        <v/>
      </c>
      <c r="S470" s="227" t="str">
        <f>IF($P470="","",ROUND(_xlfn.XLOOKUP(Tables!$N$422,'Input LwA_XYZ'!$AH$1:$AV$1,'Input LwA_XYZ'!AH49:AV49),0))</f>
        <v/>
      </c>
      <c r="T470" s="228" t="str">
        <f>IF($P470="","",-1*ROUND(_xlfn.XLOOKUP(Tables!$N$422,'Input LwA_XYZ'!$AY$1:$BM$1,'Input LwA_XYZ'!AY49:BM49),0))</f>
        <v/>
      </c>
      <c r="U470" s="228" t="str">
        <f>IF($P470="","",IF(_xlfn.XLOOKUP(Tables!$N$422,'Input LwA_XYZ'!$BV$1:$CJ$1,'Input LwA_XYZ'!BV49:CJ49)="","-",_xlfn.XLOOKUP(Tables!$N$422,'Input LwA_XYZ'!$BV$1:$CJ$1,'Input LwA_XYZ'!BV49:CJ49)))</f>
        <v/>
      </c>
      <c r="V470" s="228" t="str">
        <f>IF($P470="","",IF('Input LwA_XYZ'!S49="","-",'Input LwA_XYZ'!S49))</f>
        <v/>
      </c>
      <c r="W470" s="229" t="str" cm="1">
        <f t="array" ref="W470">IF($P470="","",IF(_xlfn.XLOOKUP(Tables!$N$422,_xlfn.ANCHORARRAY('Input LwA_XYZ'!$DD$1),'Input LwA_XYZ'!DD49:DR49)="","-",_xlfn.XLOOKUP(Tables!$N$422,_xlfn.ANCHORARRAY('Input LwA_XYZ'!$DD$1),'Input LwA_XYZ'!DD49:DR49)))</f>
        <v/>
      </c>
      <c r="X470" s="62" t="str">
        <f>IF($P470="","",_xlfn.XLOOKUP(Tables!$N$422,'Input LwA_XYZ'!$DU$1:$EI$1,'Input LwA_XYZ'!DU49:EI49))</f>
        <v/>
      </c>
    </row>
    <row r="471" spans="16:24" ht="16.5" x14ac:dyDescent="0.3">
      <c r="P471" s="230" t="str">
        <f>IF(OR('Input LwA_XYZ'!A50 = 0, NOT(ISBLANK(_xlfn.XLOOKUP(Tables!N$422, 'Input LwA_XYZ'!CM$1:DA$1, 'Input LwA_XYZ'!CM50:DA50)))), "", 'Input LwA_XYZ'!A50)</f>
        <v/>
      </c>
      <c r="Q471" s="225" t="str">
        <f>IF($P471="","",_xlfn.TEXTJOIN(" - ",TRUE,'Input LwA_XYZ'!B50:C50))</f>
        <v/>
      </c>
      <c r="R471" s="231" t="str">
        <f>IF($P471="","",'Input LwA_XYZ'!Q50)</f>
        <v/>
      </c>
      <c r="S471" s="227" t="str">
        <f>IF($P471="","",ROUND(_xlfn.XLOOKUP(Tables!$N$422,'Input LwA_XYZ'!$AH$1:$AV$1,'Input LwA_XYZ'!AH50:AV50),0))</f>
        <v/>
      </c>
      <c r="T471" s="228" t="str">
        <f>IF($P471="","",-1*ROUND(_xlfn.XLOOKUP(Tables!$N$422,'Input LwA_XYZ'!$AY$1:$BM$1,'Input LwA_XYZ'!AY50:BM50),0))</f>
        <v/>
      </c>
      <c r="U471" s="228" t="str">
        <f>IF($P471="","",IF(_xlfn.XLOOKUP(Tables!$N$422,'Input LwA_XYZ'!$BV$1:$CJ$1,'Input LwA_XYZ'!BV50:CJ50)="","-",_xlfn.XLOOKUP(Tables!$N$422,'Input LwA_XYZ'!$BV$1:$CJ$1,'Input LwA_XYZ'!BV50:CJ50)))</f>
        <v/>
      </c>
      <c r="V471" s="228" t="str">
        <f>IF($P471="","",IF('Input LwA_XYZ'!S50="","-",'Input LwA_XYZ'!S50))</f>
        <v/>
      </c>
      <c r="W471" s="229" t="str" cm="1">
        <f t="array" ref="W471">IF($P471="","",IF(_xlfn.XLOOKUP(Tables!$N$422,_xlfn.ANCHORARRAY('Input LwA_XYZ'!$DD$1),'Input LwA_XYZ'!DD50:DR50)="","-",_xlfn.XLOOKUP(Tables!$N$422,_xlfn.ANCHORARRAY('Input LwA_XYZ'!$DD$1),'Input LwA_XYZ'!DD50:DR50)))</f>
        <v/>
      </c>
      <c r="X471" s="62" t="str">
        <f>IF($P471="","",_xlfn.XLOOKUP(Tables!$N$422,'Input LwA_XYZ'!$DU$1:$EI$1,'Input LwA_XYZ'!DU50:EI50))</f>
        <v/>
      </c>
    </row>
    <row r="472" spans="16:24" ht="16.5" x14ac:dyDescent="0.3">
      <c r="P472" s="230" t="str">
        <f>IF(OR('Input LwA_XYZ'!A51 = 0, NOT(ISBLANK(_xlfn.XLOOKUP(Tables!N$422, 'Input LwA_XYZ'!CM$1:DA$1, 'Input LwA_XYZ'!CM51:DA51)))), "", 'Input LwA_XYZ'!A51)</f>
        <v/>
      </c>
      <c r="Q472" s="225" t="str">
        <f>IF($P472="","",_xlfn.TEXTJOIN(" - ",TRUE,'Input LwA_XYZ'!B51:C51))</f>
        <v/>
      </c>
      <c r="R472" s="231" t="str">
        <f>IF($P472="","",'Input LwA_XYZ'!Q51)</f>
        <v/>
      </c>
      <c r="S472" s="227" t="str">
        <f>IF($P472="","",ROUND(_xlfn.XLOOKUP(Tables!$N$422,'Input LwA_XYZ'!$AH$1:$AV$1,'Input LwA_XYZ'!AH51:AV51),0))</f>
        <v/>
      </c>
      <c r="T472" s="228" t="str">
        <f>IF($P472="","",-1*ROUND(_xlfn.XLOOKUP(Tables!$N$422,'Input LwA_XYZ'!$AY$1:$BM$1,'Input LwA_XYZ'!AY51:BM51),0))</f>
        <v/>
      </c>
      <c r="U472" s="228" t="str">
        <f>IF($P472="","",IF(_xlfn.XLOOKUP(Tables!$N$422,'Input LwA_XYZ'!$BV$1:$CJ$1,'Input LwA_XYZ'!BV51:CJ51)="","-",_xlfn.XLOOKUP(Tables!$N$422,'Input LwA_XYZ'!$BV$1:$CJ$1,'Input LwA_XYZ'!BV51:CJ51)))</f>
        <v/>
      </c>
      <c r="V472" s="228" t="str">
        <f>IF($P472="","",IF('Input LwA_XYZ'!S51="","-",'Input LwA_XYZ'!S51))</f>
        <v/>
      </c>
      <c r="W472" s="229" t="str" cm="1">
        <f t="array" ref="W472">IF($P472="","",IF(_xlfn.XLOOKUP(Tables!$N$422,_xlfn.ANCHORARRAY('Input LwA_XYZ'!$DD$1),'Input LwA_XYZ'!DD51:DR51)="","-",_xlfn.XLOOKUP(Tables!$N$422,_xlfn.ANCHORARRAY('Input LwA_XYZ'!$DD$1),'Input LwA_XYZ'!DD51:DR51)))</f>
        <v/>
      </c>
      <c r="X472" s="62" t="str">
        <f>IF($P472="","",_xlfn.XLOOKUP(Tables!$N$422,'Input LwA_XYZ'!$DU$1:$EI$1,'Input LwA_XYZ'!DU51:EI51))</f>
        <v/>
      </c>
    </row>
    <row r="473" spans="16:24" ht="16.5" x14ac:dyDescent="0.3">
      <c r="P473" s="230" t="str">
        <f>IF(OR('Input LwA_XYZ'!A52 = 0, NOT(ISBLANK(_xlfn.XLOOKUP(Tables!N$422, 'Input LwA_XYZ'!CM$1:DA$1, 'Input LwA_XYZ'!CM52:DA52)))), "", 'Input LwA_XYZ'!A52)</f>
        <v/>
      </c>
      <c r="Q473" s="225" t="str">
        <f>IF($P473="","",_xlfn.TEXTJOIN(" - ",TRUE,'Input LwA_XYZ'!B52:C52))</f>
        <v/>
      </c>
      <c r="R473" s="231" t="str">
        <f>IF($P473="","",'Input LwA_XYZ'!Q52)</f>
        <v/>
      </c>
      <c r="S473" s="227" t="str">
        <f>IF($P473="","",ROUND(_xlfn.XLOOKUP(Tables!$N$422,'Input LwA_XYZ'!$AH$1:$AV$1,'Input LwA_XYZ'!AH52:AV52),0))</f>
        <v/>
      </c>
      <c r="T473" s="228" t="str">
        <f>IF($P473="","",-1*ROUND(_xlfn.XLOOKUP(Tables!$N$422,'Input LwA_XYZ'!$AY$1:$BM$1,'Input LwA_XYZ'!AY52:BM52),0))</f>
        <v/>
      </c>
      <c r="U473" s="228" t="str">
        <f>IF($P473="","",IF(_xlfn.XLOOKUP(Tables!$N$422,'Input LwA_XYZ'!$BV$1:$CJ$1,'Input LwA_XYZ'!BV52:CJ52)="","-",_xlfn.XLOOKUP(Tables!$N$422,'Input LwA_XYZ'!$BV$1:$CJ$1,'Input LwA_XYZ'!BV52:CJ52)))</f>
        <v/>
      </c>
      <c r="V473" s="228" t="str">
        <f>IF($P473="","",IF('Input LwA_XYZ'!S52="","-",'Input LwA_XYZ'!S52))</f>
        <v/>
      </c>
      <c r="W473" s="229" t="str" cm="1">
        <f t="array" ref="W473">IF($P473="","",IF(_xlfn.XLOOKUP(Tables!$N$422,_xlfn.ANCHORARRAY('Input LwA_XYZ'!$DD$1),'Input LwA_XYZ'!DD52:DR52)="","-",_xlfn.XLOOKUP(Tables!$N$422,_xlfn.ANCHORARRAY('Input LwA_XYZ'!$DD$1),'Input LwA_XYZ'!DD52:DR52)))</f>
        <v/>
      </c>
      <c r="X473" s="62" t="str">
        <f>IF($P473="","",_xlfn.XLOOKUP(Tables!$N$422,'Input LwA_XYZ'!$DU$1:$EI$1,'Input LwA_XYZ'!DU52:EI52))</f>
        <v/>
      </c>
    </row>
    <row r="474" spans="16:24" ht="16.5" x14ac:dyDescent="0.3">
      <c r="P474" s="230" t="str">
        <f>IF(OR('Input LwA_XYZ'!A53 = 0, NOT(ISBLANK(_xlfn.XLOOKUP(Tables!N$422, 'Input LwA_XYZ'!CM$1:DA$1, 'Input LwA_XYZ'!CM53:DA53)))), "", 'Input LwA_XYZ'!A53)</f>
        <v/>
      </c>
      <c r="Q474" s="225" t="str">
        <f>IF($P474="","",_xlfn.TEXTJOIN(" - ",TRUE,'Input LwA_XYZ'!B53:C53))</f>
        <v/>
      </c>
      <c r="R474" s="231" t="str">
        <f>IF($P474="","",'Input LwA_XYZ'!Q53)</f>
        <v/>
      </c>
      <c r="S474" s="227" t="str">
        <f>IF($P474="","",ROUND(_xlfn.XLOOKUP(Tables!$N$422,'Input LwA_XYZ'!$AH$1:$AV$1,'Input LwA_XYZ'!AH53:AV53),0))</f>
        <v/>
      </c>
      <c r="T474" s="228" t="str">
        <f>IF($P474="","",-1*ROUND(_xlfn.XLOOKUP(Tables!$N$422,'Input LwA_XYZ'!$AY$1:$BM$1,'Input LwA_XYZ'!AY53:BM53),0))</f>
        <v/>
      </c>
      <c r="U474" s="228" t="str">
        <f>IF($P474="","",IF(_xlfn.XLOOKUP(Tables!$N$422,'Input LwA_XYZ'!$BV$1:$CJ$1,'Input LwA_XYZ'!BV53:CJ53)="","-",_xlfn.XLOOKUP(Tables!$N$422,'Input LwA_XYZ'!$BV$1:$CJ$1,'Input LwA_XYZ'!BV53:CJ53)))</f>
        <v/>
      </c>
      <c r="V474" s="228" t="str">
        <f>IF($P474="","",IF('Input LwA_XYZ'!S53="","-",'Input LwA_XYZ'!S53))</f>
        <v/>
      </c>
      <c r="W474" s="229" t="str" cm="1">
        <f t="array" ref="W474">IF($P474="","",IF(_xlfn.XLOOKUP(Tables!$N$422,_xlfn.ANCHORARRAY('Input LwA_XYZ'!$DD$1),'Input LwA_XYZ'!DD53:DR53)="","-",_xlfn.XLOOKUP(Tables!$N$422,_xlfn.ANCHORARRAY('Input LwA_XYZ'!$DD$1),'Input LwA_XYZ'!DD53:DR53)))</f>
        <v/>
      </c>
      <c r="X474" s="62" t="str">
        <f>IF($P474="","",_xlfn.XLOOKUP(Tables!$N$422,'Input LwA_XYZ'!$DU$1:$EI$1,'Input LwA_XYZ'!DU53:EI53))</f>
        <v/>
      </c>
    </row>
    <row r="475" spans="16:24" ht="16.5" x14ac:dyDescent="0.3">
      <c r="P475" s="230" t="str">
        <f>IF(OR('Input LwA_XYZ'!A54 = 0, NOT(ISBLANK(_xlfn.XLOOKUP(Tables!N$422, 'Input LwA_XYZ'!CM$1:DA$1, 'Input LwA_XYZ'!CM54:DA54)))), "", 'Input LwA_XYZ'!A54)</f>
        <v/>
      </c>
      <c r="Q475" s="225" t="str">
        <f>IF($P475="","",_xlfn.TEXTJOIN(" - ",TRUE,'Input LwA_XYZ'!B54:C54))</f>
        <v/>
      </c>
      <c r="R475" s="231" t="str">
        <f>IF($P475="","",'Input LwA_XYZ'!Q54)</f>
        <v/>
      </c>
      <c r="S475" s="227" t="str">
        <f>IF($P475="","",ROUND(_xlfn.XLOOKUP(Tables!$N$422,'Input LwA_XYZ'!$AH$1:$AV$1,'Input LwA_XYZ'!AH54:AV54),0))</f>
        <v/>
      </c>
      <c r="T475" s="228" t="str">
        <f>IF($P475="","",-1*ROUND(_xlfn.XLOOKUP(Tables!$N$422,'Input LwA_XYZ'!$AY$1:$BM$1,'Input LwA_XYZ'!AY54:BM54),0))</f>
        <v/>
      </c>
      <c r="U475" s="228" t="str">
        <f>IF($P475="","",IF(_xlfn.XLOOKUP(Tables!$N$422,'Input LwA_XYZ'!$BV$1:$CJ$1,'Input LwA_XYZ'!BV54:CJ54)="","-",_xlfn.XLOOKUP(Tables!$N$422,'Input LwA_XYZ'!$BV$1:$CJ$1,'Input LwA_XYZ'!BV54:CJ54)))</f>
        <v/>
      </c>
      <c r="V475" s="228" t="str">
        <f>IF($P475="","",IF('Input LwA_XYZ'!S54="","-",'Input LwA_XYZ'!S54))</f>
        <v/>
      </c>
      <c r="W475" s="229" t="str" cm="1">
        <f t="array" ref="W475">IF($P475="","",IF(_xlfn.XLOOKUP(Tables!$N$422,_xlfn.ANCHORARRAY('Input LwA_XYZ'!$DD$1),'Input LwA_XYZ'!DD54:DR54)="","-",_xlfn.XLOOKUP(Tables!$N$422,_xlfn.ANCHORARRAY('Input LwA_XYZ'!$DD$1),'Input LwA_XYZ'!DD54:DR54)))</f>
        <v/>
      </c>
      <c r="X475" s="62" t="str">
        <f>IF($P475="","",_xlfn.XLOOKUP(Tables!$N$422,'Input LwA_XYZ'!$DU$1:$EI$1,'Input LwA_XYZ'!DU54:EI54))</f>
        <v/>
      </c>
    </row>
    <row r="476" spans="16:24" ht="16.5" x14ac:dyDescent="0.3">
      <c r="P476" s="230" t="str">
        <f>IF(OR('Input LwA_XYZ'!A55 = 0, NOT(ISBLANK(_xlfn.XLOOKUP(Tables!N$422, 'Input LwA_XYZ'!CM$1:DA$1, 'Input LwA_XYZ'!CM55:DA55)))), "", 'Input LwA_XYZ'!A55)</f>
        <v/>
      </c>
      <c r="Q476" s="225" t="str">
        <f>IF($P476="","",_xlfn.TEXTJOIN(" - ",TRUE,'Input LwA_XYZ'!B55:C55))</f>
        <v/>
      </c>
      <c r="R476" s="231" t="str">
        <f>IF($P476="","",'Input LwA_XYZ'!Q55)</f>
        <v/>
      </c>
      <c r="S476" s="227" t="str">
        <f>IF($P476="","",ROUND(_xlfn.XLOOKUP(Tables!$N$422,'Input LwA_XYZ'!$AH$1:$AV$1,'Input LwA_XYZ'!AH55:AV55),0))</f>
        <v/>
      </c>
      <c r="T476" s="228" t="str">
        <f>IF($P476="","",-1*ROUND(_xlfn.XLOOKUP(Tables!$N$422,'Input LwA_XYZ'!$AY$1:$BM$1,'Input LwA_XYZ'!AY55:BM55),0))</f>
        <v/>
      </c>
      <c r="U476" s="228" t="str">
        <f>IF($P476="","",IF(_xlfn.XLOOKUP(Tables!$N$422,'Input LwA_XYZ'!$BV$1:$CJ$1,'Input LwA_XYZ'!BV55:CJ55)="","-",_xlfn.XLOOKUP(Tables!$N$422,'Input LwA_XYZ'!$BV$1:$CJ$1,'Input LwA_XYZ'!BV55:CJ55)))</f>
        <v/>
      </c>
      <c r="V476" s="228" t="str">
        <f>IF($P476="","",IF('Input LwA_XYZ'!S55="","-",'Input LwA_XYZ'!S55))</f>
        <v/>
      </c>
      <c r="W476" s="229" t="str" cm="1">
        <f t="array" ref="W476">IF($P476="","",IF(_xlfn.XLOOKUP(Tables!$N$422,_xlfn.ANCHORARRAY('Input LwA_XYZ'!$DD$1),'Input LwA_XYZ'!DD55:DR55)="","-",_xlfn.XLOOKUP(Tables!$N$422,_xlfn.ANCHORARRAY('Input LwA_XYZ'!$DD$1),'Input LwA_XYZ'!DD55:DR55)))</f>
        <v/>
      </c>
      <c r="X476" s="62" t="str">
        <f>IF($P476="","",_xlfn.XLOOKUP(Tables!$N$422,'Input LwA_XYZ'!$DU$1:$EI$1,'Input LwA_XYZ'!DU55:EI55))</f>
        <v/>
      </c>
    </row>
    <row r="477" spans="16:24" ht="16.5" x14ac:dyDescent="0.3">
      <c r="P477" s="230" t="str">
        <f>IF(OR('Input LwA_XYZ'!A56 = 0, NOT(ISBLANK(_xlfn.XLOOKUP(Tables!N$422, 'Input LwA_XYZ'!CM$1:DA$1, 'Input LwA_XYZ'!CM56:DA56)))), "", 'Input LwA_XYZ'!A56)</f>
        <v/>
      </c>
      <c r="Q477" s="225" t="str">
        <f>IF($P477="","",_xlfn.TEXTJOIN(" - ",TRUE,'Input LwA_XYZ'!B56:C56))</f>
        <v/>
      </c>
      <c r="R477" s="231" t="str">
        <f>IF($P477="","",'Input LwA_XYZ'!Q56)</f>
        <v/>
      </c>
      <c r="S477" s="227" t="str">
        <f>IF($P477="","",ROUND(_xlfn.XLOOKUP(Tables!$N$422,'Input LwA_XYZ'!$AH$1:$AV$1,'Input LwA_XYZ'!AH56:AV56),0))</f>
        <v/>
      </c>
      <c r="T477" s="228" t="str">
        <f>IF($P477="","",-1*ROUND(_xlfn.XLOOKUP(Tables!$N$422,'Input LwA_XYZ'!$AY$1:$BM$1,'Input LwA_XYZ'!AY56:BM56),0))</f>
        <v/>
      </c>
      <c r="U477" s="228" t="str">
        <f>IF($P477="","",IF(_xlfn.XLOOKUP(Tables!$N$422,'Input LwA_XYZ'!$BV$1:$CJ$1,'Input LwA_XYZ'!BV56:CJ56)="","-",_xlfn.XLOOKUP(Tables!$N$422,'Input LwA_XYZ'!$BV$1:$CJ$1,'Input LwA_XYZ'!BV56:CJ56)))</f>
        <v/>
      </c>
      <c r="V477" s="228" t="str">
        <f>IF($P477="","",IF('Input LwA_XYZ'!S56="","-",'Input LwA_XYZ'!S56))</f>
        <v/>
      </c>
      <c r="W477" s="229" t="str" cm="1">
        <f t="array" ref="W477">IF($P477="","",IF(_xlfn.XLOOKUP(Tables!$N$422,_xlfn.ANCHORARRAY('Input LwA_XYZ'!$DD$1),'Input LwA_XYZ'!DD56:DR56)="","-",_xlfn.XLOOKUP(Tables!$N$422,_xlfn.ANCHORARRAY('Input LwA_XYZ'!$DD$1),'Input LwA_XYZ'!DD56:DR56)))</f>
        <v/>
      </c>
      <c r="X477" s="62" t="str">
        <f>IF($P477="","",_xlfn.XLOOKUP(Tables!$N$422,'Input LwA_XYZ'!$DU$1:$EI$1,'Input LwA_XYZ'!DU56:EI56))</f>
        <v/>
      </c>
    </row>
    <row r="478" spans="16:24" ht="16.5" x14ac:dyDescent="0.3">
      <c r="P478" s="230" t="str">
        <f>IF(OR('Input LwA_XYZ'!A57 = 0, NOT(ISBLANK(_xlfn.XLOOKUP(Tables!N$422, 'Input LwA_XYZ'!CM$1:DA$1, 'Input LwA_XYZ'!CM57:DA57)))), "", 'Input LwA_XYZ'!A57)</f>
        <v/>
      </c>
      <c r="Q478" s="225" t="str">
        <f>IF($P478="","",_xlfn.TEXTJOIN(" - ",TRUE,'Input LwA_XYZ'!B57:C57))</f>
        <v/>
      </c>
      <c r="R478" s="231" t="str">
        <f>IF($P478="","",'Input LwA_XYZ'!Q57)</f>
        <v/>
      </c>
      <c r="S478" s="227" t="str">
        <f>IF($P478="","",ROUND(_xlfn.XLOOKUP(Tables!$N$422,'Input LwA_XYZ'!$AH$1:$AV$1,'Input LwA_XYZ'!AH57:AV57),0))</f>
        <v/>
      </c>
      <c r="T478" s="228" t="str">
        <f>IF($P478="","",-1*ROUND(_xlfn.XLOOKUP(Tables!$N$422,'Input LwA_XYZ'!$AY$1:$BM$1,'Input LwA_XYZ'!AY57:BM57),0))</f>
        <v/>
      </c>
      <c r="U478" s="228" t="str">
        <f>IF($P478="","",IF(_xlfn.XLOOKUP(Tables!$N$422,'Input LwA_XYZ'!$BV$1:$CJ$1,'Input LwA_XYZ'!BV57:CJ57)="","-",_xlfn.XLOOKUP(Tables!$N$422,'Input LwA_XYZ'!$BV$1:$CJ$1,'Input LwA_XYZ'!BV57:CJ57)))</f>
        <v/>
      </c>
      <c r="V478" s="228" t="str">
        <f>IF($P478="","",IF('Input LwA_XYZ'!S57="","-",'Input LwA_XYZ'!S57))</f>
        <v/>
      </c>
      <c r="W478" s="229" t="str" cm="1">
        <f t="array" ref="W478">IF($P478="","",IF(_xlfn.XLOOKUP(Tables!$N$422,_xlfn.ANCHORARRAY('Input LwA_XYZ'!$DD$1),'Input LwA_XYZ'!DD57:DR57)="","-",_xlfn.XLOOKUP(Tables!$N$422,_xlfn.ANCHORARRAY('Input LwA_XYZ'!$DD$1),'Input LwA_XYZ'!DD57:DR57)))</f>
        <v/>
      </c>
      <c r="X478" s="62" t="str">
        <f>IF($P478="","",_xlfn.XLOOKUP(Tables!$N$422,'Input LwA_XYZ'!$DU$1:$EI$1,'Input LwA_XYZ'!DU57:EI57))</f>
        <v/>
      </c>
    </row>
    <row r="479" spans="16:24" ht="17.25" thickBot="1" x14ac:dyDescent="0.35">
      <c r="P479" s="232" t="str">
        <f>IF(OR('Input LwA_XYZ'!A58 = 0, NOT(ISBLANK(_xlfn.XLOOKUP(Tables!N$422, 'Input LwA_XYZ'!CM$1:DA$1, 'Input LwA_XYZ'!CM58:DA58)))), "", 'Input LwA_XYZ'!A58)</f>
        <v/>
      </c>
      <c r="Q479" s="233" t="str">
        <f>IF($P479="","",_xlfn.TEXTJOIN(" - ",TRUE,'Input LwA_XYZ'!B58:C58))</f>
        <v/>
      </c>
      <c r="R479" s="234" t="str">
        <f>IF($P479="","",'Input LwA_XYZ'!Q58)</f>
        <v/>
      </c>
      <c r="S479" s="235" t="str">
        <f>IF($P479="","",ROUND(_xlfn.XLOOKUP(Tables!$N$422,'Input LwA_XYZ'!$AH$1:$AV$1,'Input LwA_XYZ'!AH58:AV58),0))</f>
        <v/>
      </c>
      <c r="T479" s="236" t="str">
        <f>IF($P479="","",-1*ROUND(_xlfn.XLOOKUP(Tables!$N$422,'Input LwA_XYZ'!$AY$1:$BM$1,'Input LwA_XYZ'!AY58:BM58),0))</f>
        <v/>
      </c>
      <c r="U479" s="228" t="str">
        <f>IF($P479="","",IF(_xlfn.XLOOKUP(Tables!$N$422,'Input LwA_XYZ'!$BV$1:$CJ$1,'Input LwA_XYZ'!BV58:CJ58)="","-",_xlfn.XLOOKUP(Tables!$N$422,'Input LwA_XYZ'!$BV$1:$CJ$1,'Input LwA_XYZ'!BV58:CJ58)))</f>
        <v/>
      </c>
      <c r="V479" s="228" t="str">
        <f>IF($P479="","",IF('Input LwA_XYZ'!S58="","-",'Input LwA_XYZ'!S58))</f>
        <v/>
      </c>
      <c r="W479" s="229" t="str" cm="1">
        <f t="array" ref="W479">IF($P479="","",IF(_xlfn.XLOOKUP(Tables!$N$422,_xlfn.ANCHORARRAY('Input LwA_XYZ'!$DD$1),'Input LwA_XYZ'!DD58:DR58)="","-",_xlfn.XLOOKUP(Tables!$N$422,_xlfn.ANCHORARRAY('Input LwA_XYZ'!$DD$1),'Input LwA_XYZ'!DD58:DR58)))</f>
        <v/>
      </c>
      <c r="X479" s="63" t="str">
        <f>IF($P479="","",_xlfn.XLOOKUP(Tables!$N$422,'Input LwA_XYZ'!$DU$1:$EI$1,'Input LwA_XYZ'!DU58:EI58))</f>
        <v/>
      </c>
    </row>
    <row r="480" spans="16:24" ht="17.25" thickBot="1" x14ac:dyDescent="0.35">
      <c r="P480" s="237" t="s">
        <v>215</v>
      </c>
      <c r="Q480" s="238"/>
      <c r="R480" s="239"/>
      <c r="S480" s="238"/>
      <c r="T480" s="240"/>
      <c r="U480" s="240"/>
      <c r="V480" s="240"/>
      <c r="W480" s="241"/>
      <c r="X480" s="219" t="e">
        <f>_xlfn.XLOOKUP(Tables!$N$422,'Input LwA_XYZ'!$Z$2:$Z$16,'Input LwA_XYZ'!$AE$2:$AE$16)</f>
        <v>#N/A</v>
      </c>
    </row>
    <row r="481" spans="14:24" ht="15.75" thickBot="1" x14ac:dyDescent="0.3">
      <c r="P481" s="221"/>
    </row>
    <row r="482" spans="14:24" ht="33.75" thickBot="1" x14ac:dyDescent="0.35">
      <c r="N482" s="66" t="s">
        <v>208</v>
      </c>
      <c r="P482" s="242" t="s">
        <v>79</v>
      </c>
      <c r="Q482" s="243" t="s">
        <v>80</v>
      </c>
      <c r="R482" s="244" t="s">
        <v>81</v>
      </c>
      <c r="S482" s="244" t="s">
        <v>19</v>
      </c>
      <c r="T482" s="244" t="s">
        <v>216</v>
      </c>
      <c r="U482" s="246" t="s">
        <v>82</v>
      </c>
      <c r="V482" s="247" t="s">
        <v>83</v>
      </c>
      <c r="W482" s="248" t="s">
        <v>236</v>
      </c>
      <c r="X482" s="245" t="s">
        <v>78</v>
      </c>
    </row>
    <row r="483" spans="14:24" ht="17.25" thickBot="1" x14ac:dyDescent="0.35">
      <c r="N483" s="66" t="str">
        <f>_xlfn.XLOOKUP(N482, 'Input LwA_XYZ'!$Z$2:$Z$16, 'Input LwA_XYZ'!$AF$2:$AF$16, "")</f>
        <v/>
      </c>
      <c r="P483" s="224" t="str">
        <f>IF(OR('Input LwA_XYZ'!A2 = 0, NOT(ISBLANK(_xlfn.XLOOKUP(Tables!N$482, 'Input LwA_XYZ'!CM$1:DA$1, 'Input LwA_XYZ'!CM2:DA2)))), "", 'Input LwA_XYZ'!A2)</f>
        <v/>
      </c>
      <c r="Q483" s="225" t="str">
        <f>IF($P483="","",_xlfn.TEXTJOIN(" - ",TRUE,'Input LwA_XYZ'!B2:C2))</f>
        <v/>
      </c>
      <c r="R483" s="226" t="str">
        <f>IF($P483="","",'Input LwA_XYZ'!Q2)</f>
        <v/>
      </c>
      <c r="S483" s="227" t="str">
        <f>IF($P483="","",ROUND(_xlfn.XLOOKUP(Tables!$N$482,'Input LwA_XYZ'!$AH$1:$AV$1,'Input LwA_XYZ'!AH2:AV2),0))</f>
        <v/>
      </c>
      <c r="T483" s="228" t="str">
        <f>IF($P483="","",-1*ROUND(_xlfn.XLOOKUP(Tables!$N$482,'Input LwA_XYZ'!$AY$1:$BM$1,'Input LwA_XYZ'!AY2:BM2),0))</f>
        <v/>
      </c>
      <c r="U483" s="228" t="str">
        <f>IF($P483="","",IF(_xlfn.XLOOKUP(Tables!$N$482,'Input LwA_XYZ'!$BV$1:$CJ$1,'Input LwA_XYZ'!BV2:CJ2)="","-",_xlfn.XLOOKUP(Tables!$N$482,'Input LwA_XYZ'!$BV$1:$CJ$1,'Input LwA_XYZ'!BV2:CJ2)))</f>
        <v/>
      </c>
      <c r="V483" s="228" t="str">
        <f>IF($P483="","",IF('Input LwA_XYZ'!S2="","-",'Input LwA_XYZ'!S2))</f>
        <v/>
      </c>
      <c r="W483" s="229" t="str" cm="1">
        <f t="array" ref="W483">IF($P483="","",IF(_xlfn.XLOOKUP(Tables!$N$482,_xlfn.ANCHORARRAY('Input LwA_XYZ'!$DD$1),'Input LwA_XYZ'!DD2:DR2)="","-",_xlfn.XLOOKUP(Tables!$N$482,_xlfn.ANCHORARRAY('Input LwA_XYZ'!$DD$1),'Input LwA_XYZ'!DD2:DR2)))</f>
        <v/>
      </c>
      <c r="X483" s="88" t="str">
        <f>IF($P483="","",_xlfn.XLOOKUP(Tables!$N$482,'Input LwA_XYZ'!$DU$1:$EI$1,'Input LwA_XYZ'!DU2:EI2))</f>
        <v/>
      </c>
    </row>
    <row r="484" spans="14:24" ht="16.5" x14ac:dyDescent="0.3">
      <c r="P484" s="230" t="str">
        <f>IF(OR('Input LwA_XYZ'!A3 = 0, NOT(ISBLANK(_xlfn.XLOOKUP(Tables!N$482, 'Input LwA_XYZ'!CM$1:DA$1, 'Input LwA_XYZ'!CM3:DA3)))), "", 'Input LwA_XYZ'!A3)</f>
        <v/>
      </c>
      <c r="Q484" s="225" t="str">
        <f>IF($P484="","",_xlfn.TEXTJOIN(" - ",TRUE,'Input LwA_XYZ'!B3:C3))</f>
        <v/>
      </c>
      <c r="R484" s="231" t="str">
        <f>IF($P484="","",'Input LwA_XYZ'!Q3)</f>
        <v/>
      </c>
      <c r="S484" s="227" t="str">
        <f>IF($P484="","",ROUND(_xlfn.XLOOKUP(Tables!$N$482,'Input LwA_XYZ'!$AH$1:$AV$1,'Input LwA_XYZ'!AH3:AV3),0))</f>
        <v/>
      </c>
      <c r="T484" s="228" t="str">
        <f>IF($P484="","",-1*ROUND(_xlfn.XLOOKUP(Tables!$N$482,'Input LwA_XYZ'!$AY$1:$BM$1,'Input LwA_XYZ'!AY3:BM3),0))</f>
        <v/>
      </c>
      <c r="U484" s="228" t="str">
        <f>IF($P484="","",IF(_xlfn.XLOOKUP(Tables!$N$482,'Input LwA_XYZ'!$BV$1:$CJ$1,'Input LwA_XYZ'!BV3:CJ3)="","-",_xlfn.XLOOKUP(Tables!$N$482,'Input LwA_XYZ'!$BV$1:$CJ$1,'Input LwA_XYZ'!BV3:CJ3)))</f>
        <v/>
      </c>
      <c r="V484" s="228" t="str">
        <f>IF($P484="","",IF('Input LwA_XYZ'!S3="","-",'Input LwA_XYZ'!S3))</f>
        <v/>
      </c>
      <c r="W484" s="229" t="str" cm="1">
        <f t="array" ref="W484">IF($P484="","",IF(_xlfn.XLOOKUP(Tables!$N$482,_xlfn.ANCHORARRAY('Input LwA_XYZ'!$DD$1),'Input LwA_XYZ'!DD3:DR3)="","-",_xlfn.XLOOKUP(Tables!$N$482,_xlfn.ANCHORARRAY('Input LwA_XYZ'!$DD$1),'Input LwA_XYZ'!DD3:DR3)))</f>
        <v/>
      </c>
      <c r="X484" s="62" t="str">
        <f>IF($P484="","",_xlfn.XLOOKUP(Tables!$N$482,'Input LwA_XYZ'!$DU$1:$EI$1,'Input LwA_XYZ'!DU3:EI3))</f>
        <v/>
      </c>
    </row>
    <row r="485" spans="14:24" ht="16.5" x14ac:dyDescent="0.3">
      <c r="P485" s="230" t="str">
        <f>IF(OR('Input LwA_XYZ'!A4 = 0, NOT(ISBLANK(_xlfn.XLOOKUP(Tables!N$482, 'Input LwA_XYZ'!CM$1:DA$1, 'Input LwA_XYZ'!CM4:DA4)))), "", 'Input LwA_XYZ'!A4)</f>
        <v/>
      </c>
      <c r="Q485" s="225" t="str">
        <f>IF($P485="","",_xlfn.TEXTJOIN(" - ",TRUE,'Input LwA_XYZ'!B4:C4))</f>
        <v/>
      </c>
      <c r="R485" s="231" t="str">
        <f>IF($P485="","",'Input LwA_XYZ'!Q4)</f>
        <v/>
      </c>
      <c r="S485" s="227" t="str">
        <f>IF($P485="","",ROUND(_xlfn.XLOOKUP(Tables!$N$482,'Input LwA_XYZ'!$AH$1:$AV$1,'Input LwA_XYZ'!AH4:AV4),0))</f>
        <v/>
      </c>
      <c r="T485" s="228" t="str">
        <f>IF($P485="","",-1*ROUND(_xlfn.XLOOKUP(Tables!$N$482,'Input LwA_XYZ'!$AY$1:$BM$1,'Input LwA_XYZ'!AY4:BM4),0))</f>
        <v/>
      </c>
      <c r="U485" s="228" t="str">
        <f>IF($P485="","",IF(_xlfn.XLOOKUP(Tables!$N$482,'Input LwA_XYZ'!$BV$1:$CJ$1,'Input LwA_XYZ'!BV4:CJ4)="","-",_xlfn.XLOOKUP(Tables!$N$482,'Input LwA_XYZ'!$BV$1:$CJ$1,'Input LwA_XYZ'!BV4:CJ4)))</f>
        <v/>
      </c>
      <c r="V485" s="228" t="str">
        <f>IF($P485="","",IF('Input LwA_XYZ'!S4="","-",'Input LwA_XYZ'!S4))</f>
        <v/>
      </c>
      <c r="W485" s="229" t="str" cm="1">
        <f t="array" ref="W485">IF($P485="","",IF(_xlfn.XLOOKUP(Tables!$N$482,_xlfn.ANCHORARRAY('Input LwA_XYZ'!$DD$1),'Input LwA_XYZ'!DD4:DR4)="","-",_xlfn.XLOOKUP(Tables!$N$482,_xlfn.ANCHORARRAY('Input LwA_XYZ'!$DD$1),'Input LwA_XYZ'!DD4:DR4)))</f>
        <v/>
      </c>
      <c r="X485" s="62" t="str">
        <f>IF($P485="","",_xlfn.XLOOKUP(Tables!$N$482,'Input LwA_XYZ'!$DU$1:$EI$1,'Input LwA_XYZ'!DU4:EI4))</f>
        <v/>
      </c>
    </row>
    <row r="486" spans="14:24" ht="16.5" x14ac:dyDescent="0.3">
      <c r="P486" s="230" t="str">
        <f>IF(OR('Input LwA_XYZ'!A5 = 0, NOT(ISBLANK(_xlfn.XLOOKUP(Tables!N$482, 'Input LwA_XYZ'!CM$1:DA$1, 'Input LwA_XYZ'!CM5:DA5)))), "", 'Input LwA_XYZ'!A5)</f>
        <v/>
      </c>
      <c r="Q486" s="225" t="str">
        <f>IF($P486="","",_xlfn.TEXTJOIN(" - ",TRUE,'Input LwA_XYZ'!B5:C5))</f>
        <v/>
      </c>
      <c r="R486" s="231" t="str">
        <f>IF($P486="","",'Input LwA_XYZ'!Q5)</f>
        <v/>
      </c>
      <c r="S486" s="227" t="str">
        <f>IF($P486="","",ROUND(_xlfn.XLOOKUP(Tables!$N$482,'Input LwA_XYZ'!$AH$1:$AV$1,'Input LwA_XYZ'!AH5:AV5),0))</f>
        <v/>
      </c>
      <c r="T486" s="228" t="str">
        <f>IF($P486="","",-1*ROUND(_xlfn.XLOOKUP(Tables!$N$482,'Input LwA_XYZ'!$AY$1:$BM$1,'Input LwA_XYZ'!AY5:BM5),0))</f>
        <v/>
      </c>
      <c r="U486" s="228" t="str">
        <f>IF($P486="","",IF(_xlfn.XLOOKUP(Tables!$N$482,'Input LwA_XYZ'!$BV$1:$CJ$1,'Input LwA_XYZ'!BV5:CJ5)="","-",_xlfn.XLOOKUP(Tables!$N$482,'Input LwA_XYZ'!$BV$1:$CJ$1,'Input LwA_XYZ'!BV5:CJ5)))</f>
        <v/>
      </c>
      <c r="V486" s="228" t="str">
        <f>IF($P486="","",IF('Input LwA_XYZ'!S5="","-",'Input LwA_XYZ'!S5))</f>
        <v/>
      </c>
      <c r="W486" s="229" t="str" cm="1">
        <f t="array" ref="W486">IF($P486="","",IF(_xlfn.XLOOKUP(Tables!$N$482,_xlfn.ANCHORARRAY('Input LwA_XYZ'!$DD$1),'Input LwA_XYZ'!DD5:DR5)="","-",_xlfn.XLOOKUP(Tables!$N$482,_xlfn.ANCHORARRAY('Input LwA_XYZ'!$DD$1),'Input LwA_XYZ'!DD5:DR5)))</f>
        <v/>
      </c>
      <c r="X486" s="62" t="str">
        <f>IF($P486="","",_xlfn.XLOOKUP(Tables!$N$482,'Input LwA_XYZ'!$DU$1:$EI$1,'Input LwA_XYZ'!DU5:EI5))</f>
        <v/>
      </c>
    </row>
    <row r="487" spans="14:24" ht="16.5" x14ac:dyDescent="0.3">
      <c r="P487" s="230" t="str">
        <f>IF(OR('Input LwA_XYZ'!A6 = 0, NOT(ISBLANK(_xlfn.XLOOKUP(Tables!N$482, 'Input LwA_XYZ'!CM$1:DA$1, 'Input LwA_XYZ'!CM6:DA6)))), "", 'Input LwA_XYZ'!A6)</f>
        <v/>
      </c>
      <c r="Q487" s="225" t="str">
        <f>IF($P487="","",_xlfn.TEXTJOIN(" - ",TRUE,'Input LwA_XYZ'!B6:C6))</f>
        <v/>
      </c>
      <c r="R487" s="231" t="str">
        <f>IF($P487="","",'Input LwA_XYZ'!Q6)</f>
        <v/>
      </c>
      <c r="S487" s="227" t="str">
        <f>IF($P487="","",ROUND(_xlfn.XLOOKUP(Tables!$N$482,'Input LwA_XYZ'!$AH$1:$AV$1,'Input LwA_XYZ'!AH6:AV6),0))</f>
        <v/>
      </c>
      <c r="T487" s="228" t="str">
        <f>IF($P487="","",-1*ROUND(_xlfn.XLOOKUP(Tables!$N$482,'Input LwA_XYZ'!$AY$1:$BM$1,'Input LwA_XYZ'!AY6:BM6),0))</f>
        <v/>
      </c>
      <c r="U487" s="228" t="str">
        <f>IF($P487="","",IF(_xlfn.XLOOKUP(Tables!$N$482,'Input LwA_XYZ'!$BV$1:$CJ$1,'Input LwA_XYZ'!BV6:CJ6)="","-",_xlfn.XLOOKUP(Tables!$N$482,'Input LwA_XYZ'!$BV$1:$CJ$1,'Input LwA_XYZ'!BV6:CJ6)))</f>
        <v/>
      </c>
      <c r="V487" s="228" t="str">
        <f>IF($P487="","",IF('Input LwA_XYZ'!S6="","-",'Input LwA_XYZ'!S6))</f>
        <v/>
      </c>
      <c r="W487" s="229" t="str" cm="1">
        <f t="array" ref="W487">IF($P487="","",IF(_xlfn.XLOOKUP(Tables!$N$482,_xlfn.ANCHORARRAY('Input LwA_XYZ'!$DD$1),'Input LwA_XYZ'!DD6:DR6)="","-",_xlfn.XLOOKUP(Tables!$N$482,_xlfn.ANCHORARRAY('Input LwA_XYZ'!$DD$1),'Input LwA_XYZ'!DD6:DR6)))</f>
        <v/>
      </c>
      <c r="X487" s="62" t="str">
        <f>IF($P487="","",_xlfn.XLOOKUP(Tables!$N$482,'Input LwA_XYZ'!$DU$1:$EI$1,'Input LwA_XYZ'!DU6:EI6))</f>
        <v/>
      </c>
    </row>
    <row r="488" spans="14:24" ht="16.5" x14ac:dyDescent="0.3">
      <c r="P488" s="230" t="str">
        <f>IF(OR('Input LwA_XYZ'!A7 = 0, NOT(ISBLANK(_xlfn.XLOOKUP(Tables!N$482, 'Input LwA_XYZ'!CM$1:DA$1, 'Input LwA_XYZ'!CM7:DA7)))), "", 'Input LwA_XYZ'!A7)</f>
        <v/>
      </c>
      <c r="Q488" s="225" t="str">
        <f>IF($P488="","",_xlfn.TEXTJOIN(" - ",TRUE,'Input LwA_XYZ'!B7:C7))</f>
        <v/>
      </c>
      <c r="R488" s="231" t="str">
        <f>IF($P488="","",'Input LwA_XYZ'!Q7)</f>
        <v/>
      </c>
      <c r="S488" s="227" t="str">
        <f>IF($P488="","",ROUND(_xlfn.XLOOKUP(Tables!$N$482,'Input LwA_XYZ'!$AH$1:$AV$1,'Input LwA_XYZ'!AH7:AV7),0))</f>
        <v/>
      </c>
      <c r="T488" s="228" t="str">
        <f>IF($P488="","",-1*ROUND(_xlfn.XLOOKUP(Tables!$N$482,'Input LwA_XYZ'!$AY$1:$BM$1,'Input LwA_XYZ'!AY7:BM7),0))</f>
        <v/>
      </c>
      <c r="U488" s="228" t="str">
        <f>IF($P488="","",IF(_xlfn.XLOOKUP(Tables!$N$482,'Input LwA_XYZ'!$BV$1:$CJ$1,'Input LwA_XYZ'!BV7:CJ7)="","-",_xlfn.XLOOKUP(Tables!$N$482,'Input LwA_XYZ'!$BV$1:$CJ$1,'Input LwA_XYZ'!BV7:CJ7)))</f>
        <v/>
      </c>
      <c r="V488" s="228" t="str">
        <f>IF($P488="","",IF('Input LwA_XYZ'!S7="","-",'Input LwA_XYZ'!S7))</f>
        <v/>
      </c>
      <c r="W488" s="229" t="str" cm="1">
        <f t="array" ref="W488">IF($P488="","",IF(_xlfn.XLOOKUP(Tables!$N$482,_xlfn.ANCHORARRAY('Input LwA_XYZ'!$DD$1),'Input LwA_XYZ'!DD7:DR7)="","-",_xlfn.XLOOKUP(Tables!$N$482,_xlfn.ANCHORARRAY('Input LwA_XYZ'!$DD$1),'Input LwA_XYZ'!DD7:DR7)))</f>
        <v/>
      </c>
      <c r="X488" s="62" t="str">
        <f>IF($P488="","",_xlfn.XLOOKUP(Tables!$N$482,'Input LwA_XYZ'!$DU$1:$EI$1,'Input LwA_XYZ'!DU7:EI7))</f>
        <v/>
      </c>
    </row>
    <row r="489" spans="14:24" ht="16.5" x14ac:dyDescent="0.3">
      <c r="P489" s="230" t="str">
        <f>IF(OR('Input LwA_XYZ'!A8 = 0, NOT(ISBLANK(_xlfn.XLOOKUP(Tables!N$482, 'Input LwA_XYZ'!CM$1:DA$1, 'Input LwA_XYZ'!CM8:DA8)))), "", 'Input LwA_XYZ'!A8)</f>
        <v/>
      </c>
      <c r="Q489" s="225" t="str">
        <f>IF($P489="","",_xlfn.TEXTJOIN(" - ",TRUE,'Input LwA_XYZ'!B8:C8))</f>
        <v/>
      </c>
      <c r="R489" s="231" t="str">
        <f>IF($P489="","",'Input LwA_XYZ'!Q8)</f>
        <v/>
      </c>
      <c r="S489" s="227" t="str">
        <f>IF($P489="","",ROUND(_xlfn.XLOOKUP(Tables!$N$482,'Input LwA_XYZ'!$AH$1:$AV$1,'Input LwA_XYZ'!AH8:AV8),0))</f>
        <v/>
      </c>
      <c r="T489" s="228" t="str">
        <f>IF($P489="","",-1*ROUND(_xlfn.XLOOKUP(Tables!$N$482,'Input LwA_XYZ'!$AY$1:$BM$1,'Input LwA_XYZ'!AY8:BM8),0))</f>
        <v/>
      </c>
      <c r="U489" s="228" t="str">
        <f>IF($P489="","",IF(_xlfn.XLOOKUP(Tables!$N$482,'Input LwA_XYZ'!$BV$1:$CJ$1,'Input LwA_XYZ'!BV8:CJ8)="","-",_xlfn.XLOOKUP(Tables!$N$482,'Input LwA_XYZ'!$BV$1:$CJ$1,'Input LwA_XYZ'!BV8:CJ8)))</f>
        <v/>
      </c>
      <c r="V489" s="228" t="str">
        <f>IF($P489="","",IF('Input LwA_XYZ'!S8="","-",'Input LwA_XYZ'!S8))</f>
        <v/>
      </c>
      <c r="W489" s="229" t="str" cm="1">
        <f t="array" ref="W489">IF($P489="","",IF(_xlfn.XLOOKUP(Tables!$N$482,_xlfn.ANCHORARRAY('Input LwA_XYZ'!$DD$1),'Input LwA_XYZ'!DD8:DR8)="","-",_xlfn.XLOOKUP(Tables!$N$482,_xlfn.ANCHORARRAY('Input LwA_XYZ'!$DD$1),'Input LwA_XYZ'!DD8:DR8)))</f>
        <v/>
      </c>
      <c r="X489" s="62" t="str">
        <f>IF($P489="","",_xlfn.XLOOKUP(Tables!$N$482,'Input LwA_XYZ'!$DU$1:$EI$1,'Input LwA_XYZ'!DU8:EI8))</f>
        <v/>
      </c>
    </row>
    <row r="490" spans="14:24" ht="16.5" x14ac:dyDescent="0.3">
      <c r="P490" s="230" t="str">
        <f>IF(OR('Input LwA_XYZ'!A9 = 0, NOT(ISBLANK(_xlfn.XLOOKUP(Tables!N$482, 'Input LwA_XYZ'!CM$1:DA$1, 'Input LwA_XYZ'!CM9:DA9)))), "", 'Input LwA_XYZ'!A9)</f>
        <v/>
      </c>
      <c r="Q490" s="225" t="str">
        <f>IF($P490="","",_xlfn.TEXTJOIN(" - ",TRUE,'Input LwA_XYZ'!B9:C9))</f>
        <v/>
      </c>
      <c r="R490" s="231" t="str">
        <f>IF($P490="","",'Input LwA_XYZ'!Q9)</f>
        <v/>
      </c>
      <c r="S490" s="227" t="str">
        <f>IF($P490="","",ROUND(_xlfn.XLOOKUP(Tables!$N$482,'Input LwA_XYZ'!$AH$1:$AV$1,'Input LwA_XYZ'!AH9:AV9),0))</f>
        <v/>
      </c>
      <c r="T490" s="228" t="str">
        <f>IF($P490="","",-1*ROUND(_xlfn.XLOOKUP(Tables!$N$482,'Input LwA_XYZ'!$AY$1:$BM$1,'Input LwA_XYZ'!AY9:BM9),0))</f>
        <v/>
      </c>
      <c r="U490" s="228" t="str">
        <f>IF($P490="","",IF(_xlfn.XLOOKUP(Tables!$N$482,'Input LwA_XYZ'!$BV$1:$CJ$1,'Input LwA_XYZ'!BV9:CJ9)="","-",_xlfn.XLOOKUP(Tables!$N$482,'Input LwA_XYZ'!$BV$1:$CJ$1,'Input LwA_XYZ'!BV9:CJ9)))</f>
        <v/>
      </c>
      <c r="V490" s="228" t="str">
        <f>IF($P490="","",IF('Input LwA_XYZ'!S9="","-",'Input LwA_XYZ'!S9))</f>
        <v/>
      </c>
      <c r="W490" s="229" t="str" cm="1">
        <f t="array" ref="W490">IF($P490="","",IF(_xlfn.XLOOKUP(Tables!$N$482,_xlfn.ANCHORARRAY('Input LwA_XYZ'!$DD$1),'Input LwA_XYZ'!DD9:DR9)="","-",_xlfn.XLOOKUP(Tables!$N$482,_xlfn.ANCHORARRAY('Input LwA_XYZ'!$DD$1),'Input LwA_XYZ'!DD9:DR9)))</f>
        <v/>
      </c>
      <c r="X490" s="62" t="str">
        <f>IF($P490="","",_xlfn.XLOOKUP(Tables!$N$482,'Input LwA_XYZ'!$DU$1:$EI$1,'Input LwA_XYZ'!DU9:EI9))</f>
        <v/>
      </c>
    </row>
    <row r="491" spans="14:24" ht="16.5" x14ac:dyDescent="0.3">
      <c r="P491" s="230" t="str">
        <f>IF(OR('Input LwA_XYZ'!A10 = 0, NOT(ISBLANK(_xlfn.XLOOKUP(Tables!N$482, 'Input LwA_XYZ'!CM$1:DA$1, 'Input LwA_XYZ'!CM10:DA10)))), "", 'Input LwA_XYZ'!A10)</f>
        <v/>
      </c>
      <c r="Q491" s="225" t="str">
        <f>IF($P491="","",_xlfn.TEXTJOIN(" - ",TRUE,'Input LwA_XYZ'!B10:C10))</f>
        <v/>
      </c>
      <c r="R491" s="231" t="str">
        <f>IF($P491="","",'Input LwA_XYZ'!Q10)</f>
        <v/>
      </c>
      <c r="S491" s="227" t="str">
        <f>IF($P491="","",ROUND(_xlfn.XLOOKUP(Tables!$N$482,'Input LwA_XYZ'!$AH$1:$AV$1,'Input LwA_XYZ'!AH10:AV10),0))</f>
        <v/>
      </c>
      <c r="T491" s="228" t="str">
        <f>IF($P491="","",-1*ROUND(_xlfn.XLOOKUP(Tables!$N$482,'Input LwA_XYZ'!$AY$1:$BM$1,'Input LwA_XYZ'!AY10:BM10),0))</f>
        <v/>
      </c>
      <c r="U491" s="228" t="str">
        <f>IF($P491="","",IF(_xlfn.XLOOKUP(Tables!$N$482,'Input LwA_XYZ'!$BV$1:$CJ$1,'Input LwA_XYZ'!BV10:CJ10)="","-",_xlfn.XLOOKUP(Tables!$N$482,'Input LwA_XYZ'!$BV$1:$CJ$1,'Input LwA_XYZ'!BV10:CJ10)))</f>
        <v/>
      </c>
      <c r="V491" s="228" t="str">
        <f>IF($P491="","",IF('Input LwA_XYZ'!S10="","-",'Input LwA_XYZ'!S10))</f>
        <v/>
      </c>
      <c r="W491" s="229" t="str" cm="1">
        <f t="array" ref="W491">IF($P491="","",IF(_xlfn.XLOOKUP(Tables!$N$482,_xlfn.ANCHORARRAY('Input LwA_XYZ'!$DD$1),'Input LwA_XYZ'!DD10:DR10)="","-",_xlfn.XLOOKUP(Tables!$N$482,_xlfn.ANCHORARRAY('Input LwA_XYZ'!$DD$1),'Input LwA_XYZ'!DD10:DR10)))</f>
        <v/>
      </c>
      <c r="X491" s="62" t="str">
        <f>IF($P491="","",_xlfn.XLOOKUP(Tables!$N$482,'Input LwA_XYZ'!$DU$1:$EI$1,'Input LwA_XYZ'!DU10:EI10))</f>
        <v/>
      </c>
    </row>
    <row r="492" spans="14:24" ht="16.5" x14ac:dyDescent="0.3">
      <c r="P492" s="230" t="str">
        <f>IF(OR('Input LwA_XYZ'!A11 = 0, NOT(ISBLANK(_xlfn.XLOOKUP(Tables!N$482, 'Input LwA_XYZ'!CM$1:DA$1, 'Input LwA_XYZ'!CM11:DA11)))), "", 'Input LwA_XYZ'!A11)</f>
        <v/>
      </c>
      <c r="Q492" s="225" t="str">
        <f>IF($P492="","",_xlfn.TEXTJOIN(" - ",TRUE,'Input LwA_XYZ'!B11:C11))</f>
        <v/>
      </c>
      <c r="R492" s="231" t="str">
        <f>IF($P492="","",'Input LwA_XYZ'!Q11)</f>
        <v/>
      </c>
      <c r="S492" s="227" t="str">
        <f>IF($P492="","",ROUND(_xlfn.XLOOKUP(Tables!$N$482,'Input LwA_XYZ'!$AH$1:$AV$1,'Input LwA_XYZ'!AH11:AV11),0))</f>
        <v/>
      </c>
      <c r="T492" s="228" t="str">
        <f>IF($P492="","",-1*ROUND(_xlfn.XLOOKUP(Tables!$N$482,'Input LwA_XYZ'!$AY$1:$BM$1,'Input LwA_XYZ'!AY11:BM11),0))</f>
        <v/>
      </c>
      <c r="U492" s="228" t="str">
        <f>IF($P492="","",IF(_xlfn.XLOOKUP(Tables!$N$482,'Input LwA_XYZ'!$BV$1:$CJ$1,'Input LwA_XYZ'!BV11:CJ11)="","-",_xlfn.XLOOKUP(Tables!$N$482,'Input LwA_XYZ'!$BV$1:$CJ$1,'Input LwA_XYZ'!BV11:CJ11)))</f>
        <v/>
      </c>
      <c r="V492" s="228" t="str">
        <f>IF($P492="","",IF('Input LwA_XYZ'!S11="","-",'Input LwA_XYZ'!S11))</f>
        <v/>
      </c>
      <c r="W492" s="229" t="str" cm="1">
        <f t="array" ref="W492">IF($P492="","",IF(_xlfn.XLOOKUP(Tables!$N$482,_xlfn.ANCHORARRAY('Input LwA_XYZ'!$DD$1),'Input LwA_XYZ'!DD11:DR11)="","-",_xlfn.XLOOKUP(Tables!$N$482,_xlfn.ANCHORARRAY('Input LwA_XYZ'!$DD$1),'Input LwA_XYZ'!DD11:DR11)))</f>
        <v/>
      </c>
      <c r="X492" s="62" t="str">
        <f>IF($P492="","",_xlfn.XLOOKUP(Tables!$N$482,'Input LwA_XYZ'!$DU$1:$EI$1,'Input LwA_XYZ'!DU11:EI11))</f>
        <v/>
      </c>
    </row>
    <row r="493" spans="14:24" ht="16.5" x14ac:dyDescent="0.3">
      <c r="P493" s="230" t="str">
        <f>IF(OR('Input LwA_XYZ'!A12 = 0, NOT(ISBLANK(_xlfn.XLOOKUP(Tables!N$482, 'Input LwA_XYZ'!CM$1:DA$1, 'Input LwA_XYZ'!CM12:DA12)))), "", 'Input LwA_XYZ'!A12)</f>
        <v/>
      </c>
      <c r="Q493" s="225" t="str">
        <f>IF($P493="","",_xlfn.TEXTJOIN(" - ",TRUE,'Input LwA_XYZ'!B12:C12))</f>
        <v/>
      </c>
      <c r="R493" s="231" t="str">
        <f>IF($P493="","",'Input LwA_XYZ'!Q12)</f>
        <v/>
      </c>
      <c r="S493" s="227" t="str">
        <f>IF($P493="","",ROUND(_xlfn.XLOOKUP(Tables!$N$482,'Input LwA_XYZ'!$AH$1:$AV$1,'Input LwA_XYZ'!AH12:AV12),0))</f>
        <v/>
      </c>
      <c r="T493" s="228" t="str">
        <f>IF($P493="","",-1*ROUND(_xlfn.XLOOKUP(Tables!$N$482,'Input LwA_XYZ'!$AY$1:$BM$1,'Input LwA_XYZ'!AY12:BM12),0))</f>
        <v/>
      </c>
      <c r="U493" s="228" t="str">
        <f>IF($P493="","",IF(_xlfn.XLOOKUP(Tables!$N$482,'Input LwA_XYZ'!$BV$1:$CJ$1,'Input LwA_XYZ'!BV12:CJ12)="","-",_xlfn.XLOOKUP(Tables!$N$482,'Input LwA_XYZ'!$BV$1:$CJ$1,'Input LwA_XYZ'!BV12:CJ12)))</f>
        <v/>
      </c>
      <c r="V493" s="228" t="str">
        <f>IF($P493="","",IF('Input LwA_XYZ'!S12="","-",'Input LwA_XYZ'!S12))</f>
        <v/>
      </c>
      <c r="W493" s="229" t="str" cm="1">
        <f t="array" ref="W493">IF($P493="","",IF(_xlfn.XLOOKUP(Tables!$N$482,_xlfn.ANCHORARRAY('Input LwA_XYZ'!$DD$1),'Input LwA_XYZ'!DD12:DR12)="","-",_xlfn.XLOOKUP(Tables!$N$482,_xlfn.ANCHORARRAY('Input LwA_XYZ'!$DD$1),'Input LwA_XYZ'!DD12:DR12)))</f>
        <v/>
      </c>
      <c r="X493" s="62" t="str">
        <f>IF($P493="","",_xlfn.XLOOKUP(Tables!$N$482,'Input LwA_XYZ'!$DU$1:$EI$1,'Input LwA_XYZ'!DU12:EI12))</f>
        <v/>
      </c>
    </row>
    <row r="494" spans="14:24" ht="16.5" x14ac:dyDescent="0.3">
      <c r="P494" s="230" t="str">
        <f>IF(OR('Input LwA_XYZ'!A13 = 0, NOT(ISBLANK(_xlfn.XLOOKUP(Tables!N$482, 'Input LwA_XYZ'!CM$1:DA$1, 'Input LwA_XYZ'!CM13:DA13)))), "", 'Input LwA_XYZ'!A13)</f>
        <v/>
      </c>
      <c r="Q494" s="225" t="str">
        <f>IF($P494="","",_xlfn.TEXTJOIN(" - ",TRUE,'Input LwA_XYZ'!B13:C13))</f>
        <v/>
      </c>
      <c r="R494" s="231" t="str">
        <f>IF($P494="","",'Input LwA_XYZ'!Q13)</f>
        <v/>
      </c>
      <c r="S494" s="227" t="str">
        <f>IF($P494="","",ROUND(_xlfn.XLOOKUP(Tables!$N$482,'Input LwA_XYZ'!$AH$1:$AV$1,'Input LwA_XYZ'!AH13:AV13),0))</f>
        <v/>
      </c>
      <c r="T494" s="228" t="str">
        <f>IF($P494="","",-1*ROUND(_xlfn.XLOOKUP(Tables!$N$482,'Input LwA_XYZ'!$AY$1:$BM$1,'Input LwA_XYZ'!AY13:BM13),0))</f>
        <v/>
      </c>
      <c r="U494" s="228" t="str">
        <f>IF($P494="","",IF(_xlfn.XLOOKUP(Tables!$N$482,'Input LwA_XYZ'!$BV$1:$CJ$1,'Input LwA_XYZ'!BV13:CJ13)="","-",_xlfn.XLOOKUP(Tables!$N$482,'Input LwA_XYZ'!$BV$1:$CJ$1,'Input LwA_XYZ'!BV13:CJ13)))</f>
        <v/>
      </c>
      <c r="V494" s="228" t="str">
        <f>IF($P494="","",IF('Input LwA_XYZ'!S13="","-",'Input LwA_XYZ'!S13))</f>
        <v/>
      </c>
      <c r="W494" s="229" t="str" cm="1">
        <f t="array" ref="W494">IF($P494="","",IF(_xlfn.XLOOKUP(Tables!$N$482,_xlfn.ANCHORARRAY('Input LwA_XYZ'!$DD$1),'Input LwA_XYZ'!DD13:DR13)="","-",_xlfn.XLOOKUP(Tables!$N$482,_xlfn.ANCHORARRAY('Input LwA_XYZ'!$DD$1),'Input LwA_XYZ'!DD13:DR13)))</f>
        <v/>
      </c>
      <c r="X494" s="62" t="str">
        <f>IF($P494="","",_xlfn.XLOOKUP(Tables!$N$482,'Input LwA_XYZ'!$DU$1:$EI$1,'Input LwA_XYZ'!DU13:EI13))</f>
        <v/>
      </c>
    </row>
    <row r="495" spans="14:24" ht="16.5" x14ac:dyDescent="0.3">
      <c r="P495" s="230" t="str">
        <f>IF(OR('Input LwA_XYZ'!A14 = 0, NOT(ISBLANK(_xlfn.XLOOKUP(Tables!N$482, 'Input LwA_XYZ'!CM$1:DA$1, 'Input LwA_XYZ'!CM14:DA14)))), "", 'Input LwA_XYZ'!A14)</f>
        <v/>
      </c>
      <c r="Q495" s="225" t="str">
        <f>IF($P495="","",_xlfn.TEXTJOIN(" - ",TRUE,'Input LwA_XYZ'!B14:C14))</f>
        <v/>
      </c>
      <c r="R495" s="231" t="str">
        <f>IF($P495="","",'Input LwA_XYZ'!Q14)</f>
        <v/>
      </c>
      <c r="S495" s="227" t="str">
        <f>IF($P495="","",ROUND(_xlfn.XLOOKUP(Tables!$N$482,'Input LwA_XYZ'!$AH$1:$AV$1,'Input LwA_XYZ'!AH14:AV14),0))</f>
        <v/>
      </c>
      <c r="T495" s="228" t="str">
        <f>IF($P495="","",-1*ROUND(_xlfn.XLOOKUP(Tables!$N$482,'Input LwA_XYZ'!$AY$1:$BM$1,'Input LwA_XYZ'!AY14:BM14),0))</f>
        <v/>
      </c>
      <c r="U495" s="228" t="str">
        <f>IF($P495="","",IF(_xlfn.XLOOKUP(Tables!$N$482,'Input LwA_XYZ'!$BV$1:$CJ$1,'Input LwA_XYZ'!BV14:CJ14)="","-",_xlfn.XLOOKUP(Tables!$N$482,'Input LwA_XYZ'!$BV$1:$CJ$1,'Input LwA_XYZ'!BV14:CJ14)))</f>
        <v/>
      </c>
      <c r="V495" s="228" t="str">
        <f>IF($P495="","",IF('Input LwA_XYZ'!S14="","-",'Input LwA_XYZ'!S14))</f>
        <v/>
      </c>
      <c r="W495" s="229" t="str" cm="1">
        <f t="array" ref="W495">IF($P495="","",IF(_xlfn.XLOOKUP(Tables!$N$482,_xlfn.ANCHORARRAY('Input LwA_XYZ'!$DD$1),'Input LwA_XYZ'!DD14:DR14)="","-",_xlfn.XLOOKUP(Tables!$N$482,_xlfn.ANCHORARRAY('Input LwA_XYZ'!$DD$1),'Input LwA_XYZ'!DD14:DR14)))</f>
        <v/>
      </c>
      <c r="X495" s="62" t="str">
        <f>IF($P495="","",_xlfn.XLOOKUP(Tables!$N$482,'Input LwA_XYZ'!$DU$1:$EI$1,'Input LwA_XYZ'!DU14:EI14))</f>
        <v/>
      </c>
    </row>
    <row r="496" spans="14:24" ht="16.5" x14ac:dyDescent="0.3">
      <c r="P496" s="230" t="str">
        <f>IF(OR('Input LwA_XYZ'!A15 = 0, NOT(ISBLANK(_xlfn.XLOOKUP(Tables!N$482, 'Input LwA_XYZ'!CM$1:DA$1, 'Input LwA_XYZ'!CM15:DA15)))), "", 'Input LwA_XYZ'!A15)</f>
        <v/>
      </c>
      <c r="Q496" s="225" t="str">
        <f>IF($P496="","",_xlfn.TEXTJOIN(" - ",TRUE,'Input LwA_XYZ'!B15:C15))</f>
        <v/>
      </c>
      <c r="R496" s="231" t="str">
        <f>IF($P496="","",'Input LwA_XYZ'!Q15)</f>
        <v/>
      </c>
      <c r="S496" s="227" t="str">
        <f>IF($P496="","",ROUND(_xlfn.XLOOKUP(Tables!$N$482,'Input LwA_XYZ'!$AH$1:$AV$1,'Input LwA_XYZ'!AH15:AV15),0))</f>
        <v/>
      </c>
      <c r="T496" s="228" t="str">
        <f>IF($P496="","",-1*ROUND(_xlfn.XLOOKUP(Tables!$N$482,'Input LwA_XYZ'!$AY$1:$BM$1,'Input LwA_XYZ'!AY15:BM15),0))</f>
        <v/>
      </c>
      <c r="U496" s="228" t="str">
        <f>IF($P496="","",IF(_xlfn.XLOOKUP(Tables!$N$482,'Input LwA_XYZ'!$BV$1:$CJ$1,'Input LwA_XYZ'!BV15:CJ15)="","-",_xlfn.XLOOKUP(Tables!$N$482,'Input LwA_XYZ'!$BV$1:$CJ$1,'Input LwA_XYZ'!BV15:CJ15)))</f>
        <v/>
      </c>
      <c r="V496" s="228" t="str">
        <f>IF($P496="","",IF('Input LwA_XYZ'!S15="","-",'Input LwA_XYZ'!S15))</f>
        <v/>
      </c>
      <c r="W496" s="229" t="str" cm="1">
        <f t="array" ref="W496">IF($P496="","",IF(_xlfn.XLOOKUP(Tables!$N$482,_xlfn.ANCHORARRAY('Input LwA_XYZ'!$DD$1),'Input LwA_XYZ'!DD15:DR15)="","-",_xlfn.XLOOKUP(Tables!$N$482,_xlfn.ANCHORARRAY('Input LwA_XYZ'!$DD$1),'Input LwA_XYZ'!DD15:DR15)))</f>
        <v/>
      </c>
      <c r="X496" s="62" t="str">
        <f>IF($P496="","",_xlfn.XLOOKUP(Tables!$N$482,'Input LwA_XYZ'!$DU$1:$EI$1,'Input LwA_XYZ'!DU15:EI15))</f>
        <v/>
      </c>
    </row>
    <row r="497" spans="16:24" ht="16.5" x14ac:dyDescent="0.3">
      <c r="P497" s="230" t="str">
        <f>IF(OR('Input LwA_XYZ'!A16 = 0, NOT(ISBLANK(_xlfn.XLOOKUP(Tables!N$482, 'Input LwA_XYZ'!CM$1:DA$1, 'Input LwA_XYZ'!CM16:DA16)))), "", 'Input LwA_XYZ'!A16)</f>
        <v/>
      </c>
      <c r="Q497" s="225" t="str">
        <f>IF($P497="","",_xlfn.TEXTJOIN(" - ",TRUE,'Input LwA_XYZ'!B16:C16))</f>
        <v/>
      </c>
      <c r="R497" s="231" t="str">
        <f>IF($P497="","",'Input LwA_XYZ'!Q16)</f>
        <v/>
      </c>
      <c r="S497" s="227" t="str">
        <f>IF($P497="","",ROUND(_xlfn.XLOOKUP(Tables!$N$482,'Input LwA_XYZ'!$AH$1:$AV$1,'Input LwA_XYZ'!AH16:AV16),0))</f>
        <v/>
      </c>
      <c r="T497" s="228" t="str">
        <f>IF($P497="","",-1*ROUND(_xlfn.XLOOKUP(Tables!$N$482,'Input LwA_XYZ'!$AY$1:$BM$1,'Input LwA_XYZ'!AY16:BM16),0))</f>
        <v/>
      </c>
      <c r="U497" s="228" t="str">
        <f>IF($P497="","",IF(_xlfn.XLOOKUP(Tables!$N$482,'Input LwA_XYZ'!$BV$1:$CJ$1,'Input LwA_XYZ'!BV16:CJ16)="","-",_xlfn.XLOOKUP(Tables!$N$482,'Input LwA_XYZ'!$BV$1:$CJ$1,'Input LwA_XYZ'!BV16:CJ16)))</f>
        <v/>
      </c>
      <c r="V497" s="228" t="str">
        <f>IF($P497="","",IF('Input LwA_XYZ'!S16="","-",'Input LwA_XYZ'!S16))</f>
        <v/>
      </c>
      <c r="W497" s="229" t="str" cm="1">
        <f t="array" ref="W497">IF($P497="","",IF(_xlfn.XLOOKUP(Tables!$N$482,_xlfn.ANCHORARRAY('Input LwA_XYZ'!$DD$1),'Input LwA_XYZ'!DD16:DR16)="","-",_xlfn.XLOOKUP(Tables!$N$482,_xlfn.ANCHORARRAY('Input LwA_XYZ'!$DD$1),'Input LwA_XYZ'!DD16:DR16)))</f>
        <v/>
      </c>
      <c r="X497" s="62" t="str">
        <f>IF($P497="","",_xlfn.XLOOKUP(Tables!$N$482,'Input LwA_XYZ'!$DU$1:$EI$1,'Input LwA_XYZ'!DU16:EI16))</f>
        <v/>
      </c>
    </row>
    <row r="498" spans="16:24" ht="16.5" x14ac:dyDescent="0.3">
      <c r="P498" s="230" t="str">
        <f>IF(OR('Input LwA_XYZ'!A17 = 0, NOT(ISBLANK(_xlfn.XLOOKUP(Tables!N$482, 'Input LwA_XYZ'!CM$1:DA$1, 'Input LwA_XYZ'!CM17:DA17)))), "", 'Input LwA_XYZ'!A17)</f>
        <v/>
      </c>
      <c r="Q498" s="225" t="str">
        <f>IF($P498="","",_xlfn.TEXTJOIN(" - ",TRUE,'Input LwA_XYZ'!B17:C17))</f>
        <v/>
      </c>
      <c r="R498" s="231" t="str">
        <f>IF($P498="","",'Input LwA_XYZ'!Q17)</f>
        <v/>
      </c>
      <c r="S498" s="227" t="str">
        <f>IF($P498="","",ROUND(_xlfn.XLOOKUP(Tables!$N$482,'Input LwA_XYZ'!$AH$1:$AV$1,'Input LwA_XYZ'!AH17:AV17),0))</f>
        <v/>
      </c>
      <c r="T498" s="228" t="str">
        <f>IF($P498="","",-1*ROUND(_xlfn.XLOOKUP(Tables!$N$482,'Input LwA_XYZ'!$AY$1:$BM$1,'Input LwA_XYZ'!AY17:BM17),0))</f>
        <v/>
      </c>
      <c r="U498" s="228" t="str">
        <f>IF($P498="","",IF(_xlfn.XLOOKUP(Tables!$N$482,'Input LwA_XYZ'!$BV$1:$CJ$1,'Input LwA_XYZ'!BV17:CJ17)="","-",_xlfn.XLOOKUP(Tables!$N$482,'Input LwA_XYZ'!$BV$1:$CJ$1,'Input LwA_XYZ'!BV17:CJ17)))</f>
        <v/>
      </c>
      <c r="V498" s="228" t="str">
        <f>IF($P498="","",IF('Input LwA_XYZ'!S17="","-",'Input LwA_XYZ'!S17))</f>
        <v/>
      </c>
      <c r="W498" s="229" t="str" cm="1">
        <f t="array" ref="W498">IF($P498="","",IF(_xlfn.XLOOKUP(Tables!$N$482,_xlfn.ANCHORARRAY('Input LwA_XYZ'!$DD$1),'Input LwA_XYZ'!DD17:DR17)="","-",_xlfn.XLOOKUP(Tables!$N$482,_xlfn.ANCHORARRAY('Input LwA_XYZ'!$DD$1),'Input LwA_XYZ'!DD17:DR17)))</f>
        <v/>
      </c>
      <c r="X498" s="62" t="str">
        <f>IF($P498="","",_xlfn.XLOOKUP(Tables!$N$482,'Input LwA_XYZ'!$DU$1:$EI$1,'Input LwA_XYZ'!DU17:EI17))</f>
        <v/>
      </c>
    </row>
    <row r="499" spans="16:24" ht="16.5" x14ac:dyDescent="0.3">
      <c r="P499" s="230" t="str">
        <f>IF(OR('Input LwA_XYZ'!A18 = 0, NOT(ISBLANK(_xlfn.XLOOKUP(Tables!N$482, 'Input LwA_XYZ'!CM$1:DA$1, 'Input LwA_XYZ'!CM18:DA18)))), "", 'Input LwA_XYZ'!A18)</f>
        <v/>
      </c>
      <c r="Q499" s="225" t="str">
        <f>IF($P499="","",_xlfn.TEXTJOIN(" - ",TRUE,'Input LwA_XYZ'!B18:C18))</f>
        <v/>
      </c>
      <c r="R499" s="231" t="str">
        <f>IF($P499="","",'Input LwA_XYZ'!Q18)</f>
        <v/>
      </c>
      <c r="S499" s="227" t="str">
        <f>IF($P499="","",ROUND(_xlfn.XLOOKUP(Tables!$N$482,'Input LwA_XYZ'!$AH$1:$AV$1,'Input LwA_XYZ'!AH18:AV18),0))</f>
        <v/>
      </c>
      <c r="T499" s="228" t="str">
        <f>IF($P499="","",-1*ROUND(_xlfn.XLOOKUP(Tables!$N$482,'Input LwA_XYZ'!$AY$1:$BM$1,'Input LwA_XYZ'!AY18:BM18),0))</f>
        <v/>
      </c>
      <c r="U499" s="228" t="str">
        <f>IF($P499="","",IF(_xlfn.XLOOKUP(Tables!$N$482,'Input LwA_XYZ'!$BV$1:$CJ$1,'Input LwA_XYZ'!BV18:CJ18)="","-",_xlfn.XLOOKUP(Tables!$N$482,'Input LwA_XYZ'!$BV$1:$CJ$1,'Input LwA_XYZ'!BV18:CJ18)))</f>
        <v/>
      </c>
      <c r="V499" s="228" t="str">
        <f>IF($P499="","",IF('Input LwA_XYZ'!S18="","-",'Input LwA_XYZ'!S18))</f>
        <v/>
      </c>
      <c r="W499" s="229" t="str" cm="1">
        <f t="array" ref="W499">IF($P499="","",IF(_xlfn.XLOOKUP(Tables!$N$482,_xlfn.ANCHORARRAY('Input LwA_XYZ'!$DD$1),'Input LwA_XYZ'!DD18:DR18)="","-",_xlfn.XLOOKUP(Tables!$N$482,_xlfn.ANCHORARRAY('Input LwA_XYZ'!$DD$1),'Input LwA_XYZ'!DD18:DR18)))</f>
        <v/>
      </c>
      <c r="X499" s="62" t="str">
        <f>IF($P499="","",_xlfn.XLOOKUP(Tables!$N$482,'Input LwA_XYZ'!$DU$1:$EI$1,'Input LwA_XYZ'!DU18:EI18))</f>
        <v/>
      </c>
    </row>
    <row r="500" spans="16:24" ht="16.5" x14ac:dyDescent="0.3">
      <c r="P500" s="230" t="str">
        <f>IF(OR('Input LwA_XYZ'!A19 = 0, NOT(ISBLANK(_xlfn.XLOOKUP(Tables!N$482, 'Input LwA_XYZ'!CM$1:DA$1, 'Input LwA_XYZ'!CM19:DA19)))), "", 'Input LwA_XYZ'!A19)</f>
        <v/>
      </c>
      <c r="Q500" s="225" t="str">
        <f>IF($P500="","",_xlfn.TEXTJOIN(" - ",TRUE,'Input LwA_XYZ'!B19:C19))</f>
        <v/>
      </c>
      <c r="R500" s="231" t="str">
        <f>IF($P500="","",'Input LwA_XYZ'!Q19)</f>
        <v/>
      </c>
      <c r="S500" s="227" t="str">
        <f>IF($P500="","",ROUND(_xlfn.XLOOKUP(Tables!$N$482,'Input LwA_XYZ'!$AH$1:$AV$1,'Input LwA_XYZ'!AH19:AV19),0))</f>
        <v/>
      </c>
      <c r="T500" s="228" t="str">
        <f>IF($P500="","",-1*ROUND(_xlfn.XLOOKUP(Tables!$N$482,'Input LwA_XYZ'!$AY$1:$BM$1,'Input LwA_XYZ'!AY19:BM19),0))</f>
        <v/>
      </c>
      <c r="U500" s="228" t="str">
        <f>IF($P500="","",IF(_xlfn.XLOOKUP(Tables!$N$482,'Input LwA_XYZ'!$BV$1:$CJ$1,'Input LwA_XYZ'!BV19:CJ19)="","-",_xlfn.XLOOKUP(Tables!$N$482,'Input LwA_XYZ'!$BV$1:$CJ$1,'Input LwA_XYZ'!BV19:CJ19)))</f>
        <v/>
      </c>
      <c r="V500" s="228" t="str">
        <f>IF($P500="","",IF('Input LwA_XYZ'!S19="","-",'Input LwA_XYZ'!S19))</f>
        <v/>
      </c>
      <c r="W500" s="229" t="str" cm="1">
        <f t="array" ref="W500">IF($P500="","",IF(_xlfn.XLOOKUP(Tables!$N$482,_xlfn.ANCHORARRAY('Input LwA_XYZ'!$DD$1),'Input LwA_XYZ'!DD19:DR19)="","-",_xlfn.XLOOKUP(Tables!$N$482,_xlfn.ANCHORARRAY('Input LwA_XYZ'!$DD$1),'Input LwA_XYZ'!DD19:DR19)))</f>
        <v/>
      </c>
      <c r="X500" s="62" t="str">
        <f>IF($P500="","",_xlfn.XLOOKUP(Tables!$N$482,'Input LwA_XYZ'!$DU$1:$EI$1,'Input LwA_XYZ'!DU19:EI19))</f>
        <v/>
      </c>
    </row>
    <row r="501" spans="16:24" ht="16.5" x14ac:dyDescent="0.3">
      <c r="P501" s="230" t="str">
        <f>IF(OR('Input LwA_XYZ'!A20 = 0, NOT(ISBLANK(_xlfn.XLOOKUP(Tables!N$482, 'Input LwA_XYZ'!CM$1:DA$1, 'Input LwA_XYZ'!CM20:DA20)))), "", 'Input LwA_XYZ'!A20)</f>
        <v/>
      </c>
      <c r="Q501" s="225" t="str">
        <f>IF($P501="","",_xlfn.TEXTJOIN(" - ",TRUE,'Input LwA_XYZ'!B20:C20))</f>
        <v/>
      </c>
      <c r="R501" s="231" t="str">
        <f>IF($P501="","",'Input LwA_XYZ'!Q20)</f>
        <v/>
      </c>
      <c r="S501" s="227" t="str">
        <f>IF($P501="","",ROUND(_xlfn.XLOOKUP(Tables!$N$482,'Input LwA_XYZ'!$AH$1:$AV$1,'Input LwA_XYZ'!AH20:AV20),0))</f>
        <v/>
      </c>
      <c r="T501" s="228" t="str">
        <f>IF($P501="","",-1*ROUND(_xlfn.XLOOKUP(Tables!$N$482,'Input LwA_XYZ'!$AY$1:$BM$1,'Input LwA_XYZ'!AY20:BM20),0))</f>
        <v/>
      </c>
      <c r="U501" s="228" t="str">
        <f>IF($P501="","",IF(_xlfn.XLOOKUP(Tables!$N$482,'Input LwA_XYZ'!$BV$1:$CJ$1,'Input LwA_XYZ'!BV20:CJ20)="","-",_xlfn.XLOOKUP(Tables!$N$482,'Input LwA_XYZ'!$BV$1:$CJ$1,'Input LwA_XYZ'!BV20:CJ20)))</f>
        <v/>
      </c>
      <c r="V501" s="228" t="str">
        <f>IF($P501="","",IF('Input LwA_XYZ'!S20="","-",'Input LwA_XYZ'!S20))</f>
        <v/>
      </c>
      <c r="W501" s="229" t="str" cm="1">
        <f t="array" ref="W501">IF($P501="","",IF(_xlfn.XLOOKUP(Tables!$N$482,_xlfn.ANCHORARRAY('Input LwA_XYZ'!$DD$1),'Input LwA_XYZ'!DD20:DR20)="","-",_xlfn.XLOOKUP(Tables!$N$482,_xlfn.ANCHORARRAY('Input LwA_XYZ'!$DD$1),'Input LwA_XYZ'!DD20:DR20)))</f>
        <v/>
      </c>
      <c r="X501" s="62" t="str">
        <f>IF($P501="","",_xlfn.XLOOKUP(Tables!$N$482,'Input LwA_XYZ'!$DU$1:$EI$1,'Input LwA_XYZ'!DU20:EI20))</f>
        <v/>
      </c>
    </row>
    <row r="502" spans="16:24" ht="16.5" x14ac:dyDescent="0.3">
      <c r="P502" s="230" t="str">
        <f>IF(OR('Input LwA_XYZ'!A21 = 0, NOT(ISBLANK(_xlfn.XLOOKUP(Tables!N$482, 'Input LwA_XYZ'!CM$1:DA$1, 'Input LwA_XYZ'!CM21:DA21)))), "", 'Input LwA_XYZ'!A21)</f>
        <v/>
      </c>
      <c r="Q502" s="225" t="str">
        <f>IF($P502="","",_xlfn.TEXTJOIN(" - ",TRUE,'Input LwA_XYZ'!B21:C21))</f>
        <v/>
      </c>
      <c r="R502" s="231" t="str">
        <f>IF($P502="","",'Input LwA_XYZ'!Q21)</f>
        <v/>
      </c>
      <c r="S502" s="227" t="str">
        <f>IF($P502="","",ROUND(_xlfn.XLOOKUP(Tables!$N$482,'Input LwA_XYZ'!$AH$1:$AV$1,'Input LwA_XYZ'!AH21:AV21),0))</f>
        <v/>
      </c>
      <c r="T502" s="228" t="str">
        <f>IF($P502="","",-1*ROUND(_xlfn.XLOOKUP(Tables!$N$482,'Input LwA_XYZ'!$AY$1:$BM$1,'Input LwA_XYZ'!AY21:BM21),0))</f>
        <v/>
      </c>
      <c r="U502" s="228" t="str">
        <f>IF($P502="","",IF(_xlfn.XLOOKUP(Tables!$N$482,'Input LwA_XYZ'!$BV$1:$CJ$1,'Input LwA_XYZ'!BV21:CJ21)="","-",_xlfn.XLOOKUP(Tables!$N$482,'Input LwA_XYZ'!$BV$1:$CJ$1,'Input LwA_XYZ'!BV21:CJ21)))</f>
        <v/>
      </c>
      <c r="V502" s="228" t="str">
        <f>IF($P502="","",IF('Input LwA_XYZ'!S21="","-",'Input LwA_XYZ'!S21))</f>
        <v/>
      </c>
      <c r="W502" s="229" t="str" cm="1">
        <f t="array" ref="W502">IF($P502="","",IF(_xlfn.XLOOKUP(Tables!$N$482,_xlfn.ANCHORARRAY('Input LwA_XYZ'!$DD$1),'Input LwA_XYZ'!DD21:DR21)="","-",_xlfn.XLOOKUP(Tables!$N$482,_xlfn.ANCHORARRAY('Input LwA_XYZ'!$DD$1),'Input LwA_XYZ'!DD21:DR21)))</f>
        <v/>
      </c>
      <c r="X502" s="62" t="str">
        <f>IF($P502="","",_xlfn.XLOOKUP(Tables!$N$482,'Input LwA_XYZ'!$DU$1:$EI$1,'Input LwA_XYZ'!DU21:EI21))</f>
        <v/>
      </c>
    </row>
    <row r="503" spans="16:24" ht="16.5" x14ac:dyDescent="0.3">
      <c r="P503" s="230" t="str">
        <f>IF(OR('Input LwA_XYZ'!A22 = 0, NOT(ISBLANK(_xlfn.XLOOKUP(Tables!N$482, 'Input LwA_XYZ'!CM$1:DA$1, 'Input LwA_XYZ'!CM22:DA22)))), "", 'Input LwA_XYZ'!A22)</f>
        <v/>
      </c>
      <c r="Q503" s="225" t="str">
        <f>IF($P503="","",_xlfn.TEXTJOIN(" - ",TRUE,'Input LwA_XYZ'!B22:C22))</f>
        <v/>
      </c>
      <c r="R503" s="231" t="str">
        <f>IF($P503="","",'Input LwA_XYZ'!Q22)</f>
        <v/>
      </c>
      <c r="S503" s="227" t="str">
        <f>IF($P503="","",ROUND(_xlfn.XLOOKUP(Tables!$N$482,'Input LwA_XYZ'!$AH$1:$AV$1,'Input LwA_XYZ'!AH22:AV22),0))</f>
        <v/>
      </c>
      <c r="T503" s="228" t="str">
        <f>IF($P503="","",-1*ROUND(_xlfn.XLOOKUP(Tables!$N$482,'Input LwA_XYZ'!$AY$1:$BM$1,'Input LwA_XYZ'!AY22:BM22),0))</f>
        <v/>
      </c>
      <c r="U503" s="228" t="str">
        <f>IF($P503="","",IF(_xlfn.XLOOKUP(Tables!$N$482,'Input LwA_XYZ'!$BV$1:$CJ$1,'Input LwA_XYZ'!BV22:CJ22)="","-",_xlfn.XLOOKUP(Tables!$N$482,'Input LwA_XYZ'!$BV$1:$CJ$1,'Input LwA_XYZ'!BV22:CJ22)))</f>
        <v/>
      </c>
      <c r="V503" s="228" t="str">
        <f>IF($P503="","",IF('Input LwA_XYZ'!S22="","-",'Input LwA_XYZ'!S22))</f>
        <v/>
      </c>
      <c r="W503" s="229" t="str" cm="1">
        <f t="array" ref="W503">IF($P503="","",IF(_xlfn.XLOOKUP(Tables!$N$482,_xlfn.ANCHORARRAY('Input LwA_XYZ'!$DD$1),'Input LwA_XYZ'!DD22:DR22)="","-",_xlfn.XLOOKUP(Tables!$N$482,_xlfn.ANCHORARRAY('Input LwA_XYZ'!$DD$1),'Input LwA_XYZ'!DD22:DR22)))</f>
        <v/>
      </c>
      <c r="X503" s="62" t="str">
        <f>IF($P503="","",_xlfn.XLOOKUP(Tables!$N$482,'Input LwA_XYZ'!$DU$1:$EI$1,'Input LwA_XYZ'!DU22:EI22))</f>
        <v/>
      </c>
    </row>
    <row r="504" spans="16:24" ht="16.5" x14ac:dyDescent="0.3">
      <c r="P504" s="230" t="str">
        <f>IF(OR('Input LwA_XYZ'!A23 = 0, NOT(ISBLANK(_xlfn.XLOOKUP(Tables!N$482, 'Input LwA_XYZ'!CM$1:DA$1, 'Input LwA_XYZ'!CM23:DA23)))), "", 'Input LwA_XYZ'!A23)</f>
        <v/>
      </c>
      <c r="Q504" s="225" t="str">
        <f>IF($P504="","",_xlfn.TEXTJOIN(" - ",TRUE,'Input LwA_XYZ'!B23:C23))</f>
        <v/>
      </c>
      <c r="R504" s="231" t="str">
        <f>IF($P504="","",'Input LwA_XYZ'!Q23)</f>
        <v/>
      </c>
      <c r="S504" s="227" t="str">
        <f>IF($P504="","",ROUND(_xlfn.XLOOKUP(Tables!$N$482,'Input LwA_XYZ'!$AH$1:$AV$1,'Input LwA_XYZ'!AH23:AV23),0))</f>
        <v/>
      </c>
      <c r="T504" s="228" t="str">
        <f>IF($P504="","",-1*ROUND(_xlfn.XLOOKUP(Tables!$N$482,'Input LwA_XYZ'!$AY$1:$BM$1,'Input LwA_XYZ'!AY23:BM23),0))</f>
        <v/>
      </c>
      <c r="U504" s="228" t="str">
        <f>IF($P504="","",IF(_xlfn.XLOOKUP(Tables!$N$482,'Input LwA_XYZ'!$BV$1:$CJ$1,'Input LwA_XYZ'!BV23:CJ23)="","-",_xlfn.XLOOKUP(Tables!$N$482,'Input LwA_XYZ'!$BV$1:$CJ$1,'Input LwA_XYZ'!BV23:CJ23)))</f>
        <v/>
      </c>
      <c r="V504" s="228" t="str">
        <f>IF($P504="","",IF('Input LwA_XYZ'!S23="","-",'Input LwA_XYZ'!S23))</f>
        <v/>
      </c>
      <c r="W504" s="229" t="str" cm="1">
        <f t="array" ref="W504">IF($P504="","",IF(_xlfn.XLOOKUP(Tables!$N$482,_xlfn.ANCHORARRAY('Input LwA_XYZ'!$DD$1),'Input LwA_XYZ'!DD23:DR23)="","-",_xlfn.XLOOKUP(Tables!$N$482,_xlfn.ANCHORARRAY('Input LwA_XYZ'!$DD$1),'Input LwA_XYZ'!DD23:DR23)))</f>
        <v/>
      </c>
      <c r="X504" s="62" t="str">
        <f>IF($P504="","",_xlfn.XLOOKUP(Tables!$N$482,'Input LwA_XYZ'!$DU$1:$EI$1,'Input LwA_XYZ'!DU23:EI23))</f>
        <v/>
      </c>
    </row>
    <row r="505" spans="16:24" ht="16.5" x14ac:dyDescent="0.3">
      <c r="P505" s="230" t="str">
        <f>IF(OR('Input LwA_XYZ'!A24 = 0, NOT(ISBLANK(_xlfn.XLOOKUP(Tables!N$482, 'Input LwA_XYZ'!CM$1:DA$1, 'Input LwA_XYZ'!CM24:DA24)))), "", 'Input LwA_XYZ'!A24)</f>
        <v/>
      </c>
      <c r="Q505" s="225" t="str">
        <f>IF($P505="","",_xlfn.TEXTJOIN(" - ",TRUE,'Input LwA_XYZ'!B24:C24))</f>
        <v/>
      </c>
      <c r="R505" s="231" t="str">
        <f>IF($P505="","",'Input LwA_XYZ'!Q24)</f>
        <v/>
      </c>
      <c r="S505" s="227" t="str">
        <f>IF($P505="","",ROUND(_xlfn.XLOOKUP(Tables!$N$482,'Input LwA_XYZ'!$AH$1:$AV$1,'Input LwA_XYZ'!AH24:AV24),0))</f>
        <v/>
      </c>
      <c r="T505" s="228" t="str">
        <f>IF($P505="","",-1*ROUND(_xlfn.XLOOKUP(Tables!$N$482,'Input LwA_XYZ'!$AY$1:$BM$1,'Input LwA_XYZ'!AY24:BM24),0))</f>
        <v/>
      </c>
      <c r="U505" s="228" t="str">
        <f>IF($P505="","",IF(_xlfn.XLOOKUP(Tables!$N$482,'Input LwA_XYZ'!$BV$1:$CJ$1,'Input LwA_XYZ'!BV24:CJ24)="","-",_xlfn.XLOOKUP(Tables!$N$482,'Input LwA_XYZ'!$BV$1:$CJ$1,'Input LwA_XYZ'!BV24:CJ24)))</f>
        <v/>
      </c>
      <c r="V505" s="228" t="str">
        <f>IF($P505="","",IF('Input LwA_XYZ'!S24="","-",'Input LwA_XYZ'!S24))</f>
        <v/>
      </c>
      <c r="W505" s="229" t="str" cm="1">
        <f t="array" ref="W505">IF($P505="","",IF(_xlfn.XLOOKUP(Tables!$N$482,_xlfn.ANCHORARRAY('Input LwA_XYZ'!$DD$1),'Input LwA_XYZ'!DD24:DR24)="","-",_xlfn.XLOOKUP(Tables!$N$482,_xlfn.ANCHORARRAY('Input LwA_XYZ'!$DD$1),'Input LwA_XYZ'!DD24:DR24)))</f>
        <v/>
      </c>
      <c r="X505" s="62" t="str">
        <f>IF($P505="","",_xlfn.XLOOKUP(Tables!$N$482,'Input LwA_XYZ'!$DU$1:$EI$1,'Input LwA_XYZ'!DU24:EI24))</f>
        <v/>
      </c>
    </row>
    <row r="506" spans="16:24" ht="16.5" x14ac:dyDescent="0.3">
      <c r="P506" s="230" t="str">
        <f>IF(OR('Input LwA_XYZ'!A25 = 0, NOT(ISBLANK(_xlfn.XLOOKUP(Tables!N$482, 'Input LwA_XYZ'!CM$1:DA$1, 'Input LwA_XYZ'!CM25:DA25)))), "", 'Input LwA_XYZ'!A25)</f>
        <v/>
      </c>
      <c r="Q506" s="225" t="str">
        <f>IF($P506="","",_xlfn.TEXTJOIN(" - ",TRUE,'Input LwA_XYZ'!B25:C25))</f>
        <v/>
      </c>
      <c r="R506" s="231" t="str">
        <f>IF($P506="","",'Input LwA_XYZ'!Q25)</f>
        <v/>
      </c>
      <c r="S506" s="227" t="str">
        <f>IF($P506="","",ROUND(_xlfn.XLOOKUP(Tables!$N$482,'Input LwA_XYZ'!$AH$1:$AV$1,'Input LwA_XYZ'!AH25:AV25),0))</f>
        <v/>
      </c>
      <c r="T506" s="228" t="str">
        <f>IF($P506="","",-1*ROUND(_xlfn.XLOOKUP(Tables!$N$482,'Input LwA_XYZ'!$AY$1:$BM$1,'Input LwA_XYZ'!AY25:BM25),0))</f>
        <v/>
      </c>
      <c r="U506" s="228" t="str">
        <f>IF($P506="","",IF(_xlfn.XLOOKUP(Tables!$N$482,'Input LwA_XYZ'!$BV$1:$CJ$1,'Input LwA_XYZ'!BV25:CJ25)="","-",_xlfn.XLOOKUP(Tables!$N$482,'Input LwA_XYZ'!$BV$1:$CJ$1,'Input LwA_XYZ'!BV25:CJ25)))</f>
        <v/>
      </c>
      <c r="V506" s="228" t="str">
        <f>IF($P506="","",IF('Input LwA_XYZ'!S25="","-",'Input LwA_XYZ'!S25))</f>
        <v/>
      </c>
      <c r="W506" s="229" t="str" cm="1">
        <f t="array" ref="W506">IF($P506="","",IF(_xlfn.XLOOKUP(Tables!$N$482,_xlfn.ANCHORARRAY('Input LwA_XYZ'!$DD$1),'Input LwA_XYZ'!DD25:DR25)="","-",_xlfn.XLOOKUP(Tables!$N$482,_xlfn.ANCHORARRAY('Input LwA_XYZ'!$DD$1),'Input LwA_XYZ'!DD25:DR25)))</f>
        <v/>
      </c>
      <c r="X506" s="62" t="str">
        <f>IF($P506="","",_xlfn.XLOOKUP(Tables!$N$482,'Input LwA_XYZ'!$DU$1:$EI$1,'Input LwA_XYZ'!DU25:EI25))</f>
        <v/>
      </c>
    </row>
    <row r="507" spans="16:24" ht="16.5" x14ac:dyDescent="0.3">
      <c r="P507" s="230" t="str">
        <f>IF(OR('Input LwA_XYZ'!A26 = 0, NOT(ISBLANK(_xlfn.XLOOKUP(Tables!N$482, 'Input LwA_XYZ'!CM$1:DA$1, 'Input LwA_XYZ'!CM26:DA26)))), "", 'Input LwA_XYZ'!A26)</f>
        <v/>
      </c>
      <c r="Q507" s="225" t="str">
        <f>IF($P507="","",_xlfn.TEXTJOIN(" - ",TRUE,'Input LwA_XYZ'!B26:C26))</f>
        <v/>
      </c>
      <c r="R507" s="231" t="str">
        <f>IF($P507="","",'Input LwA_XYZ'!Q26)</f>
        <v/>
      </c>
      <c r="S507" s="227" t="str">
        <f>IF($P507="","",ROUND(_xlfn.XLOOKUP(Tables!$N$482,'Input LwA_XYZ'!$AH$1:$AV$1,'Input LwA_XYZ'!AH26:AV26),0))</f>
        <v/>
      </c>
      <c r="T507" s="228" t="str">
        <f>IF($P507="","",-1*ROUND(_xlfn.XLOOKUP(Tables!$N$482,'Input LwA_XYZ'!$AY$1:$BM$1,'Input LwA_XYZ'!AY26:BM26),0))</f>
        <v/>
      </c>
      <c r="U507" s="228" t="str">
        <f>IF($P507="","",IF(_xlfn.XLOOKUP(Tables!$N$482,'Input LwA_XYZ'!$BV$1:$CJ$1,'Input LwA_XYZ'!BV26:CJ26)="","-",_xlfn.XLOOKUP(Tables!$N$482,'Input LwA_XYZ'!$BV$1:$CJ$1,'Input LwA_XYZ'!BV26:CJ26)))</f>
        <v/>
      </c>
      <c r="V507" s="228" t="str">
        <f>IF($P507="","",IF('Input LwA_XYZ'!S26="","-",'Input LwA_XYZ'!S26))</f>
        <v/>
      </c>
      <c r="W507" s="229" t="str" cm="1">
        <f t="array" ref="W507">IF($P507="","",IF(_xlfn.XLOOKUP(Tables!$N$482,_xlfn.ANCHORARRAY('Input LwA_XYZ'!$DD$1),'Input LwA_XYZ'!DD26:DR26)="","-",_xlfn.XLOOKUP(Tables!$N$482,_xlfn.ANCHORARRAY('Input LwA_XYZ'!$DD$1),'Input LwA_XYZ'!DD26:DR26)))</f>
        <v/>
      </c>
      <c r="X507" s="62" t="str">
        <f>IF($P507="","",_xlfn.XLOOKUP(Tables!$N$482,'Input LwA_XYZ'!$DU$1:$EI$1,'Input LwA_XYZ'!DU26:EI26))</f>
        <v/>
      </c>
    </row>
    <row r="508" spans="16:24" ht="16.5" x14ac:dyDescent="0.3">
      <c r="P508" s="230" t="str">
        <f>IF(OR('Input LwA_XYZ'!A27 = 0, NOT(ISBLANK(_xlfn.XLOOKUP(Tables!N$482, 'Input LwA_XYZ'!CM$1:DA$1, 'Input LwA_XYZ'!CM27:DA27)))), "", 'Input LwA_XYZ'!A27)</f>
        <v/>
      </c>
      <c r="Q508" s="225" t="str">
        <f>IF($P508="","",_xlfn.TEXTJOIN(" - ",TRUE,'Input LwA_XYZ'!B27:C27))</f>
        <v/>
      </c>
      <c r="R508" s="231" t="str">
        <f>IF($P508="","",'Input LwA_XYZ'!Q27)</f>
        <v/>
      </c>
      <c r="S508" s="227" t="str">
        <f>IF($P508="","",ROUND(_xlfn.XLOOKUP(Tables!$N$482,'Input LwA_XYZ'!$AH$1:$AV$1,'Input LwA_XYZ'!AH27:AV27),0))</f>
        <v/>
      </c>
      <c r="T508" s="228" t="str">
        <f>IF($P508="","",-1*ROUND(_xlfn.XLOOKUP(Tables!$N$482,'Input LwA_XYZ'!$AY$1:$BM$1,'Input LwA_XYZ'!AY27:BM27),0))</f>
        <v/>
      </c>
      <c r="U508" s="228" t="str">
        <f>IF($P508="","",IF(_xlfn.XLOOKUP(Tables!$N$482,'Input LwA_XYZ'!$BV$1:$CJ$1,'Input LwA_XYZ'!BV27:CJ27)="","-",_xlfn.XLOOKUP(Tables!$N$482,'Input LwA_XYZ'!$BV$1:$CJ$1,'Input LwA_XYZ'!BV27:CJ27)))</f>
        <v/>
      </c>
      <c r="V508" s="228" t="str">
        <f>IF($P508="","",IF('Input LwA_XYZ'!S27="","-",'Input LwA_XYZ'!S27))</f>
        <v/>
      </c>
      <c r="W508" s="229" t="str" cm="1">
        <f t="array" ref="W508">IF($P508="","",IF(_xlfn.XLOOKUP(Tables!$N$482,_xlfn.ANCHORARRAY('Input LwA_XYZ'!$DD$1),'Input LwA_XYZ'!DD27:DR27)="","-",_xlfn.XLOOKUP(Tables!$N$482,_xlfn.ANCHORARRAY('Input LwA_XYZ'!$DD$1),'Input LwA_XYZ'!DD27:DR27)))</f>
        <v/>
      </c>
      <c r="X508" s="62" t="str">
        <f>IF($P508="","",_xlfn.XLOOKUP(Tables!$N$482,'Input LwA_XYZ'!$DU$1:$EI$1,'Input LwA_XYZ'!DU27:EI27))</f>
        <v/>
      </c>
    </row>
    <row r="509" spans="16:24" ht="16.5" x14ac:dyDescent="0.3">
      <c r="P509" s="230" t="str">
        <f>IF(OR('Input LwA_XYZ'!A28 = 0, NOT(ISBLANK(_xlfn.XLOOKUP(Tables!N$482, 'Input LwA_XYZ'!CM$1:DA$1, 'Input LwA_XYZ'!CM28:DA28)))), "", 'Input LwA_XYZ'!A28)</f>
        <v/>
      </c>
      <c r="Q509" s="225" t="str">
        <f>IF($P509="","",_xlfn.TEXTJOIN(" - ",TRUE,'Input LwA_XYZ'!B28:C28))</f>
        <v/>
      </c>
      <c r="R509" s="231" t="str">
        <f>IF($P509="","",'Input LwA_XYZ'!Q28)</f>
        <v/>
      </c>
      <c r="S509" s="227" t="str">
        <f>IF($P509="","",ROUND(_xlfn.XLOOKUP(Tables!$N$482,'Input LwA_XYZ'!$AH$1:$AV$1,'Input LwA_XYZ'!AH28:AV28),0))</f>
        <v/>
      </c>
      <c r="T509" s="228" t="str">
        <f>IF($P509="","",-1*ROUND(_xlfn.XLOOKUP(Tables!$N$482,'Input LwA_XYZ'!$AY$1:$BM$1,'Input LwA_XYZ'!AY28:BM28),0))</f>
        <v/>
      </c>
      <c r="U509" s="228" t="str">
        <f>IF($P509="","",IF(_xlfn.XLOOKUP(Tables!$N$482,'Input LwA_XYZ'!$BV$1:$CJ$1,'Input LwA_XYZ'!BV28:CJ28)="","-",_xlfn.XLOOKUP(Tables!$N$482,'Input LwA_XYZ'!$BV$1:$CJ$1,'Input LwA_XYZ'!BV28:CJ28)))</f>
        <v/>
      </c>
      <c r="V509" s="228" t="str">
        <f>IF($P509="","",IF('Input LwA_XYZ'!S28="","-",'Input LwA_XYZ'!S28))</f>
        <v/>
      </c>
      <c r="W509" s="229" t="str" cm="1">
        <f t="array" ref="W509">IF($P509="","",IF(_xlfn.XLOOKUP(Tables!$N$482,_xlfn.ANCHORARRAY('Input LwA_XYZ'!$DD$1),'Input LwA_XYZ'!DD28:DR28)="","-",_xlfn.XLOOKUP(Tables!$N$482,_xlfn.ANCHORARRAY('Input LwA_XYZ'!$DD$1),'Input LwA_XYZ'!DD28:DR28)))</f>
        <v/>
      </c>
      <c r="X509" s="62" t="str">
        <f>IF($P509="","",_xlfn.XLOOKUP(Tables!$N$482,'Input LwA_XYZ'!$DU$1:$EI$1,'Input LwA_XYZ'!DU28:EI28))</f>
        <v/>
      </c>
    </row>
    <row r="510" spans="16:24" ht="16.5" x14ac:dyDescent="0.3">
      <c r="P510" s="230" t="str">
        <f>IF(OR('Input LwA_XYZ'!A29 = 0, NOT(ISBLANK(_xlfn.XLOOKUP(Tables!N$482, 'Input LwA_XYZ'!CM$1:DA$1, 'Input LwA_XYZ'!CM29:DA29)))), "", 'Input LwA_XYZ'!A29)</f>
        <v/>
      </c>
      <c r="Q510" s="225" t="str">
        <f>IF($P510="","",_xlfn.TEXTJOIN(" - ",TRUE,'Input LwA_XYZ'!B29:C29))</f>
        <v/>
      </c>
      <c r="R510" s="231" t="str">
        <f>IF($P510="","",'Input LwA_XYZ'!Q29)</f>
        <v/>
      </c>
      <c r="S510" s="227" t="str">
        <f>IF($P510="","",ROUND(_xlfn.XLOOKUP(Tables!$N$482,'Input LwA_XYZ'!$AH$1:$AV$1,'Input LwA_XYZ'!AH29:AV29),0))</f>
        <v/>
      </c>
      <c r="T510" s="228" t="str">
        <f>IF($P510="","",-1*ROUND(_xlfn.XLOOKUP(Tables!$N$482,'Input LwA_XYZ'!$AY$1:$BM$1,'Input LwA_XYZ'!AY29:BM29),0))</f>
        <v/>
      </c>
      <c r="U510" s="228" t="str">
        <f>IF($P510="","",IF(_xlfn.XLOOKUP(Tables!$N$482,'Input LwA_XYZ'!$BV$1:$CJ$1,'Input LwA_XYZ'!BV29:CJ29)="","-",_xlfn.XLOOKUP(Tables!$N$482,'Input LwA_XYZ'!$BV$1:$CJ$1,'Input LwA_XYZ'!BV29:CJ29)))</f>
        <v/>
      </c>
      <c r="V510" s="228" t="str">
        <f>IF($P510="","",IF('Input LwA_XYZ'!S29="","-",'Input LwA_XYZ'!S29))</f>
        <v/>
      </c>
      <c r="W510" s="229" t="str" cm="1">
        <f t="array" ref="W510">IF($P510="","",IF(_xlfn.XLOOKUP(Tables!$N$482,_xlfn.ANCHORARRAY('Input LwA_XYZ'!$DD$1),'Input LwA_XYZ'!DD29:DR29)="","-",_xlfn.XLOOKUP(Tables!$N$482,_xlfn.ANCHORARRAY('Input LwA_XYZ'!$DD$1),'Input LwA_XYZ'!DD29:DR29)))</f>
        <v/>
      </c>
      <c r="X510" s="62" t="str">
        <f>IF($P510="","",_xlfn.XLOOKUP(Tables!$N$482,'Input LwA_XYZ'!$DU$1:$EI$1,'Input LwA_XYZ'!DU29:EI29))</f>
        <v/>
      </c>
    </row>
    <row r="511" spans="16:24" ht="16.5" x14ac:dyDescent="0.3">
      <c r="P511" s="230" t="str">
        <f>IF(OR('Input LwA_XYZ'!A30 = 0, NOT(ISBLANK(_xlfn.XLOOKUP(Tables!N$482, 'Input LwA_XYZ'!CM$1:DA$1, 'Input LwA_XYZ'!CM30:DA30)))), "", 'Input LwA_XYZ'!A30)</f>
        <v/>
      </c>
      <c r="Q511" s="225" t="str">
        <f>IF($P511="","",_xlfn.TEXTJOIN(" - ",TRUE,'Input LwA_XYZ'!B30:C30))</f>
        <v/>
      </c>
      <c r="R511" s="231" t="str">
        <f>IF($P511="","",'Input LwA_XYZ'!Q30)</f>
        <v/>
      </c>
      <c r="S511" s="227" t="str">
        <f>IF($P511="","",ROUND(_xlfn.XLOOKUP(Tables!$N$482,'Input LwA_XYZ'!$AH$1:$AV$1,'Input LwA_XYZ'!AH30:AV30),0))</f>
        <v/>
      </c>
      <c r="T511" s="228" t="str">
        <f>IF($P511="","",-1*ROUND(_xlfn.XLOOKUP(Tables!$N$482,'Input LwA_XYZ'!$AY$1:$BM$1,'Input LwA_XYZ'!AY30:BM30),0))</f>
        <v/>
      </c>
      <c r="U511" s="228" t="str">
        <f>IF($P511="","",IF(_xlfn.XLOOKUP(Tables!$N$482,'Input LwA_XYZ'!$BV$1:$CJ$1,'Input LwA_XYZ'!BV30:CJ30)="","-",_xlfn.XLOOKUP(Tables!$N$482,'Input LwA_XYZ'!$BV$1:$CJ$1,'Input LwA_XYZ'!BV30:CJ30)))</f>
        <v/>
      </c>
      <c r="V511" s="228" t="str">
        <f>IF($P511="","",IF('Input LwA_XYZ'!S30="","-",'Input LwA_XYZ'!S30))</f>
        <v/>
      </c>
      <c r="W511" s="229" t="str" cm="1">
        <f t="array" ref="W511">IF($P511="","",IF(_xlfn.XLOOKUP(Tables!$N$482,_xlfn.ANCHORARRAY('Input LwA_XYZ'!$DD$1),'Input LwA_XYZ'!DD30:DR30)="","-",_xlfn.XLOOKUP(Tables!$N$482,_xlfn.ANCHORARRAY('Input LwA_XYZ'!$DD$1),'Input LwA_XYZ'!DD30:DR30)))</f>
        <v/>
      </c>
      <c r="X511" s="62" t="str">
        <f>IF($P511="","",_xlfn.XLOOKUP(Tables!$N$482,'Input LwA_XYZ'!$DU$1:$EI$1,'Input LwA_XYZ'!DU30:EI30))</f>
        <v/>
      </c>
    </row>
    <row r="512" spans="16:24" ht="16.5" x14ac:dyDescent="0.3">
      <c r="P512" s="230" t="str">
        <f>IF(OR('Input LwA_XYZ'!A31 = 0, NOT(ISBLANK(_xlfn.XLOOKUP(Tables!N$482, 'Input LwA_XYZ'!CM$1:DA$1, 'Input LwA_XYZ'!CM31:DA31)))), "", 'Input LwA_XYZ'!A31)</f>
        <v/>
      </c>
      <c r="Q512" s="225" t="str">
        <f>IF($P512="","",_xlfn.TEXTJOIN(" - ",TRUE,'Input LwA_XYZ'!B31:C31))</f>
        <v/>
      </c>
      <c r="R512" s="231" t="str">
        <f>IF($P512="","",'Input LwA_XYZ'!Q31)</f>
        <v/>
      </c>
      <c r="S512" s="227" t="str">
        <f>IF($P512="","",ROUND(_xlfn.XLOOKUP(Tables!$N$482,'Input LwA_XYZ'!$AH$1:$AV$1,'Input LwA_XYZ'!AH31:AV31),0))</f>
        <v/>
      </c>
      <c r="T512" s="228" t="str">
        <f>IF($P512="","",-1*ROUND(_xlfn.XLOOKUP(Tables!$N$482,'Input LwA_XYZ'!$AY$1:$BM$1,'Input LwA_XYZ'!AY31:BM31),0))</f>
        <v/>
      </c>
      <c r="U512" s="228" t="str">
        <f>IF($P512="","",IF(_xlfn.XLOOKUP(Tables!$N$482,'Input LwA_XYZ'!$BV$1:$CJ$1,'Input LwA_XYZ'!BV31:CJ31)="","-",_xlfn.XLOOKUP(Tables!$N$482,'Input LwA_XYZ'!$BV$1:$CJ$1,'Input LwA_XYZ'!BV31:CJ31)))</f>
        <v/>
      </c>
      <c r="V512" s="228" t="str">
        <f>IF($P512="","",IF('Input LwA_XYZ'!S31="","-",'Input LwA_XYZ'!S31))</f>
        <v/>
      </c>
      <c r="W512" s="229" t="str" cm="1">
        <f t="array" ref="W512">IF($P512="","",IF(_xlfn.XLOOKUP(Tables!$N$482,_xlfn.ANCHORARRAY('Input LwA_XYZ'!$DD$1),'Input LwA_XYZ'!DD31:DR31)="","-",_xlfn.XLOOKUP(Tables!$N$482,_xlfn.ANCHORARRAY('Input LwA_XYZ'!$DD$1),'Input LwA_XYZ'!DD31:DR31)))</f>
        <v/>
      </c>
      <c r="X512" s="62" t="str">
        <f>IF($P512="","",_xlfn.XLOOKUP(Tables!$N$482,'Input LwA_XYZ'!$DU$1:$EI$1,'Input LwA_XYZ'!DU31:EI31))</f>
        <v/>
      </c>
    </row>
    <row r="513" spans="16:24" ht="16.5" x14ac:dyDescent="0.3">
      <c r="P513" s="230" t="str">
        <f>IF(OR('Input LwA_XYZ'!A32 = 0, NOT(ISBLANK(_xlfn.XLOOKUP(Tables!N$482, 'Input LwA_XYZ'!CM$1:DA$1, 'Input LwA_XYZ'!CM32:DA32)))), "", 'Input LwA_XYZ'!A32)</f>
        <v/>
      </c>
      <c r="Q513" s="225" t="str">
        <f>IF($P513="","",_xlfn.TEXTJOIN(" - ",TRUE,'Input LwA_XYZ'!B32:C32))</f>
        <v/>
      </c>
      <c r="R513" s="231" t="str">
        <f>IF($P513="","",'Input LwA_XYZ'!Q32)</f>
        <v/>
      </c>
      <c r="S513" s="227" t="str">
        <f>IF($P513="","",ROUND(_xlfn.XLOOKUP(Tables!$N$482,'Input LwA_XYZ'!$AH$1:$AV$1,'Input LwA_XYZ'!AH32:AV32),0))</f>
        <v/>
      </c>
      <c r="T513" s="228" t="str">
        <f>IF($P513="","",-1*ROUND(_xlfn.XLOOKUP(Tables!$N$482,'Input LwA_XYZ'!$AY$1:$BM$1,'Input LwA_XYZ'!AY32:BM32),0))</f>
        <v/>
      </c>
      <c r="U513" s="228" t="str">
        <f>IF($P513="","",IF(_xlfn.XLOOKUP(Tables!$N$482,'Input LwA_XYZ'!$BV$1:$CJ$1,'Input LwA_XYZ'!BV32:CJ32)="","-",_xlfn.XLOOKUP(Tables!$N$482,'Input LwA_XYZ'!$BV$1:$CJ$1,'Input LwA_XYZ'!BV32:CJ32)))</f>
        <v/>
      </c>
      <c r="V513" s="228" t="str">
        <f>IF($P513="","",IF('Input LwA_XYZ'!S32="","-",'Input LwA_XYZ'!S32))</f>
        <v/>
      </c>
      <c r="W513" s="229" t="str" cm="1">
        <f t="array" ref="W513">IF($P513="","",IF(_xlfn.XLOOKUP(Tables!$N$482,_xlfn.ANCHORARRAY('Input LwA_XYZ'!$DD$1),'Input LwA_XYZ'!DD32:DR32)="","-",_xlfn.XLOOKUP(Tables!$N$482,_xlfn.ANCHORARRAY('Input LwA_XYZ'!$DD$1),'Input LwA_XYZ'!DD32:DR32)))</f>
        <v/>
      </c>
      <c r="X513" s="62" t="str">
        <f>IF($P513="","",_xlfn.XLOOKUP(Tables!$N$482,'Input LwA_XYZ'!$DU$1:$EI$1,'Input LwA_XYZ'!DU32:EI32))</f>
        <v/>
      </c>
    </row>
    <row r="514" spans="16:24" ht="16.5" x14ac:dyDescent="0.3">
      <c r="P514" s="230" t="str">
        <f>IF(OR('Input LwA_XYZ'!A33 = 0, NOT(ISBLANK(_xlfn.XLOOKUP(Tables!N$482, 'Input LwA_XYZ'!CM$1:DA$1, 'Input LwA_XYZ'!CM33:DA33)))), "", 'Input LwA_XYZ'!A33)</f>
        <v/>
      </c>
      <c r="Q514" s="225" t="str">
        <f>IF($P514="","",_xlfn.TEXTJOIN(" - ",TRUE,'Input LwA_XYZ'!B33:C33))</f>
        <v/>
      </c>
      <c r="R514" s="231" t="str">
        <f>IF($P514="","",'Input LwA_XYZ'!Q33)</f>
        <v/>
      </c>
      <c r="S514" s="227" t="str">
        <f>IF($P514="","",ROUND(_xlfn.XLOOKUP(Tables!$N$482,'Input LwA_XYZ'!$AH$1:$AV$1,'Input LwA_XYZ'!AH33:AV33),0))</f>
        <v/>
      </c>
      <c r="T514" s="228" t="str">
        <f>IF($P514="","",-1*ROUND(_xlfn.XLOOKUP(Tables!$N$482,'Input LwA_XYZ'!$AY$1:$BM$1,'Input LwA_XYZ'!AY33:BM33),0))</f>
        <v/>
      </c>
      <c r="U514" s="228" t="str">
        <f>IF($P514="","",IF(_xlfn.XLOOKUP(Tables!$N$482,'Input LwA_XYZ'!$BV$1:$CJ$1,'Input LwA_XYZ'!BV33:CJ33)="","-",_xlfn.XLOOKUP(Tables!$N$482,'Input LwA_XYZ'!$BV$1:$CJ$1,'Input LwA_XYZ'!BV33:CJ33)))</f>
        <v/>
      </c>
      <c r="V514" s="228" t="str">
        <f>IF($P514="","",IF('Input LwA_XYZ'!S33="","-",'Input LwA_XYZ'!S33))</f>
        <v/>
      </c>
      <c r="W514" s="229" t="str" cm="1">
        <f t="array" ref="W514">IF($P514="","",IF(_xlfn.XLOOKUP(Tables!$N$482,_xlfn.ANCHORARRAY('Input LwA_XYZ'!$DD$1),'Input LwA_XYZ'!DD33:DR33)="","-",_xlfn.XLOOKUP(Tables!$N$482,_xlfn.ANCHORARRAY('Input LwA_XYZ'!$DD$1),'Input LwA_XYZ'!DD33:DR33)))</f>
        <v/>
      </c>
      <c r="X514" s="62" t="str">
        <f>IF($P514="","",_xlfn.XLOOKUP(Tables!$N$482,'Input LwA_XYZ'!$DU$1:$EI$1,'Input LwA_XYZ'!DU33:EI33))</f>
        <v/>
      </c>
    </row>
    <row r="515" spans="16:24" ht="16.5" x14ac:dyDescent="0.3">
      <c r="P515" s="230" t="str">
        <f>IF(OR('Input LwA_XYZ'!A34 = 0, NOT(ISBLANK(_xlfn.XLOOKUP(Tables!N$482, 'Input LwA_XYZ'!CM$1:DA$1, 'Input LwA_XYZ'!CM34:DA34)))), "", 'Input LwA_XYZ'!A34)</f>
        <v/>
      </c>
      <c r="Q515" s="225" t="str">
        <f>IF($P515="","",_xlfn.TEXTJOIN(" - ",TRUE,'Input LwA_XYZ'!B34:C34))</f>
        <v/>
      </c>
      <c r="R515" s="231" t="str">
        <f>IF($P515="","",'Input LwA_XYZ'!Q34)</f>
        <v/>
      </c>
      <c r="S515" s="227" t="str">
        <f>IF($P515="","",ROUND(_xlfn.XLOOKUP(Tables!$N$482,'Input LwA_XYZ'!$AH$1:$AV$1,'Input LwA_XYZ'!AH34:AV34),0))</f>
        <v/>
      </c>
      <c r="T515" s="228" t="str">
        <f>IF($P515="","",-1*ROUND(_xlfn.XLOOKUP(Tables!$N$482,'Input LwA_XYZ'!$AY$1:$BM$1,'Input LwA_XYZ'!AY34:BM34),0))</f>
        <v/>
      </c>
      <c r="U515" s="228" t="str">
        <f>IF($P515="","",IF(_xlfn.XLOOKUP(Tables!$N$482,'Input LwA_XYZ'!$BV$1:$CJ$1,'Input LwA_XYZ'!BV34:CJ34)="","-",_xlfn.XLOOKUP(Tables!$N$482,'Input LwA_XYZ'!$BV$1:$CJ$1,'Input LwA_XYZ'!BV34:CJ34)))</f>
        <v/>
      </c>
      <c r="V515" s="228" t="str">
        <f>IF($P515="","",IF('Input LwA_XYZ'!S34="","-",'Input LwA_XYZ'!S34))</f>
        <v/>
      </c>
      <c r="W515" s="229" t="str" cm="1">
        <f t="array" ref="W515">IF($P515="","",IF(_xlfn.XLOOKUP(Tables!$N$482,_xlfn.ANCHORARRAY('Input LwA_XYZ'!$DD$1),'Input LwA_XYZ'!DD34:DR34)="","-",_xlfn.XLOOKUP(Tables!$N$482,_xlfn.ANCHORARRAY('Input LwA_XYZ'!$DD$1),'Input LwA_XYZ'!DD34:DR34)))</f>
        <v/>
      </c>
      <c r="X515" s="62" t="str">
        <f>IF($P515="","",_xlfn.XLOOKUP(Tables!$N$482,'Input LwA_XYZ'!$DU$1:$EI$1,'Input LwA_XYZ'!DU34:EI34))</f>
        <v/>
      </c>
    </row>
    <row r="516" spans="16:24" ht="16.5" x14ac:dyDescent="0.3">
      <c r="P516" s="230" t="str">
        <f>IF(OR('Input LwA_XYZ'!A35 = 0, NOT(ISBLANK(_xlfn.XLOOKUP(Tables!N$482, 'Input LwA_XYZ'!CM$1:DA$1, 'Input LwA_XYZ'!CM35:DA35)))), "", 'Input LwA_XYZ'!A35)</f>
        <v/>
      </c>
      <c r="Q516" s="225" t="str">
        <f>IF($P516="","",_xlfn.TEXTJOIN(" - ",TRUE,'Input LwA_XYZ'!B35:C35))</f>
        <v/>
      </c>
      <c r="R516" s="231" t="str">
        <f>IF($P516="","",'Input LwA_XYZ'!Q35)</f>
        <v/>
      </c>
      <c r="S516" s="227" t="str">
        <f>IF($P516="","",ROUND(_xlfn.XLOOKUP(Tables!$N$482,'Input LwA_XYZ'!$AH$1:$AV$1,'Input LwA_XYZ'!AH35:AV35),0))</f>
        <v/>
      </c>
      <c r="T516" s="228" t="str">
        <f>IF($P516="","",-1*ROUND(_xlfn.XLOOKUP(Tables!$N$482,'Input LwA_XYZ'!$AY$1:$BM$1,'Input LwA_XYZ'!AY35:BM35),0))</f>
        <v/>
      </c>
      <c r="U516" s="228" t="str">
        <f>IF($P516="","",IF(_xlfn.XLOOKUP(Tables!$N$482,'Input LwA_XYZ'!$BV$1:$CJ$1,'Input LwA_XYZ'!BV35:CJ35)="","-",_xlfn.XLOOKUP(Tables!$N$482,'Input LwA_XYZ'!$BV$1:$CJ$1,'Input LwA_XYZ'!BV35:CJ35)))</f>
        <v/>
      </c>
      <c r="V516" s="228" t="str">
        <f>IF($P516="","",IF('Input LwA_XYZ'!S35="","-",'Input LwA_XYZ'!S35))</f>
        <v/>
      </c>
      <c r="W516" s="229" t="str" cm="1">
        <f t="array" ref="W516">IF($P516="","",IF(_xlfn.XLOOKUP(Tables!$N$482,_xlfn.ANCHORARRAY('Input LwA_XYZ'!$DD$1),'Input LwA_XYZ'!DD35:DR35)="","-",_xlfn.XLOOKUP(Tables!$N$482,_xlfn.ANCHORARRAY('Input LwA_XYZ'!$DD$1),'Input LwA_XYZ'!DD35:DR35)))</f>
        <v/>
      </c>
      <c r="X516" s="62" t="str">
        <f>IF($P516="","",_xlfn.XLOOKUP(Tables!$N$482,'Input LwA_XYZ'!$DU$1:$EI$1,'Input LwA_XYZ'!DU35:EI35))</f>
        <v/>
      </c>
    </row>
    <row r="517" spans="16:24" ht="16.5" x14ac:dyDescent="0.3">
      <c r="P517" s="230" t="str">
        <f>IF(OR('Input LwA_XYZ'!A36 = 0, NOT(ISBLANK(_xlfn.XLOOKUP(Tables!N$482, 'Input LwA_XYZ'!CM$1:DA$1, 'Input LwA_XYZ'!CM36:DA36)))), "", 'Input LwA_XYZ'!A36)</f>
        <v/>
      </c>
      <c r="Q517" s="225" t="str">
        <f>IF($P517="","",_xlfn.TEXTJOIN(" - ",TRUE,'Input LwA_XYZ'!B36:C36))</f>
        <v/>
      </c>
      <c r="R517" s="231" t="str">
        <f>IF($P517="","",'Input LwA_XYZ'!Q36)</f>
        <v/>
      </c>
      <c r="S517" s="227" t="str">
        <f>IF($P517="","",ROUND(_xlfn.XLOOKUP(Tables!$N$482,'Input LwA_XYZ'!$AH$1:$AV$1,'Input LwA_XYZ'!AH36:AV36),0))</f>
        <v/>
      </c>
      <c r="T517" s="228" t="str">
        <f>IF($P517="","",-1*ROUND(_xlfn.XLOOKUP(Tables!$N$482,'Input LwA_XYZ'!$AY$1:$BM$1,'Input LwA_XYZ'!AY36:BM36),0))</f>
        <v/>
      </c>
      <c r="U517" s="228" t="str">
        <f>IF($P517="","",IF(_xlfn.XLOOKUP(Tables!$N$482,'Input LwA_XYZ'!$BV$1:$CJ$1,'Input LwA_XYZ'!BV36:CJ36)="","-",_xlfn.XLOOKUP(Tables!$N$482,'Input LwA_XYZ'!$BV$1:$CJ$1,'Input LwA_XYZ'!BV36:CJ36)))</f>
        <v/>
      </c>
      <c r="V517" s="228" t="str">
        <f>IF($P517="","",IF('Input LwA_XYZ'!S36="","-",'Input LwA_XYZ'!S36))</f>
        <v/>
      </c>
      <c r="W517" s="229" t="str" cm="1">
        <f t="array" ref="W517">IF($P517="","",IF(_xlfn.XLOOKUP(Tables!$N$482,_xlfn.ANCHORARRAY('Input LwA_XYZ'!$DD$1),'Input LwA_XYZ'!DD36:DR36)="","-",_xlfn.XLOOKUP(Tables!$N$482,_xlfn.ANCHORARRAY('Input LwA_XYZ'!$DD$1),'Input LwA_XYZ'!DD36:DR36)))</f>
        <v/>
      </c>
      <c r="X517" s="62" t="str">
        <f>IF($P517="","",_xlfn.XLOOKUP(Tables!$N$482,'Input LwA_XYZ'!$DU$1:$EI$1,'Input LwA_XYZ'!DU36:EI36))</f>
        <v/>
      </c>
    </row>
    <row r="518" spans="16:24" ht="16.5" x14ac:dyDescent="0.3">
      <c r="P518" s="230" t="str">
        <f>IF(OR('Input LwA_XYZ'!A37 = 0, NOT(ISBLANK(_xlfn.XLOOKUP(Tables!N$482, 'Input LwA_XYZ'!CM$1:DA$1, 'Input LwA_XYZ'!CM37:DA37)))), "", 'Input LwA_XYZ'!A37)</f>
        <v/>
      </c>
      <c r="Q518" s="225" t="str">
        <f>IF($P518="","",_xlfn.TEXTJOIN(" - ",TRUE,'Input LwA_XYZ'!B37:C37))</f>
        <v/>
      </c>
      <c r="R518" s="231" t="str">
        <f>IF($P518="","",'Input LwA_XYZ'!Q37)</f>
        <v/>
      </c>
      <c r="S518" s="227" t="str">
        <f>IF($P518="","",ROUND(_xlfn.XLOOKUP(Tables!$N$482,'Input LwA_XYZ'!$AH$1:$AV$1,'Input LwA_XYZ'!AH37:AV37),0))</f>
        <v/>
      </c>
      <c r="T518" s="228" t="str">
        <f>IF($P518="","",-1*ROUND(_xlfn.XLOOKUP(Tables!$N$482,'Input LwA_XYZ'!$AY$1:$BM$1,'Input LwA_XYZ'!AY37:BM37),0))</f>
        <v/>
      </c>
      <c r="U518" s="228" t="str">
        <f>IF($P518="","",IF(_xlfn.XLOOKUP(Tables!$N$482,'Input LwA_XYZ'!$BV$1:$CJ$1,'Input LwA_XYZ'!BV37:CJ37)="","-",_xlfn.XLOOKUP(Tables!$N$482,'Input LwA_XYZ'!$BV$1:$CJ$1,'Input LwA_XYZ'!BV37:CJ37)))</f>
        <v/>
      </c>
      <c r="V518" s="228" t="str">
        <f>IF($P518="","",IF('Input LwA_XYZ'!S37="","-",'Input LwA_XYZ'!S37))</f>
        <v/>
      </c>
      <c r="W518" s="229" t="str" cm="1">
        <f t="array" ref="W518">IF($P518="","",IF(_xlfn.XLOOKUP(Tables!$N$482,_xlfn.ANCHORARRAY('Input LwA_XYZ'!$DD$1),'Input LwA_XYZ'!DD37:DR37)="","-",_xlfn.XLOOKUP(Tables!$N$482,_xlfn.ANCHORARRAY('Input LwA_XYZ'!$DD$1),'Input LwA_XYZ'!DD37:DR37)))</f>
        <v/>
      </c>
      <c r="X518" s="62" t="str">
        <f>IF($P518="","",_xlfn.XLOOKUP(Tables!$N$482,'Input LwA_XYZ'!$DU$1:$EI$1,'Input LwA_XYZ'!DU37:EI37))</f>
        <v/>
      </c>
    </row>
    <row r="519" spans="16:24" ht="16.5" x14ac:dyDescent="0.3">
      <c r="P519" s="230" t="str">
        <f>IF(OR('Input LwA_XYZ'!A38 = 0, NOT(ISBLANK(_xlfn.XLOOKUP(Tables!N$482, 'Input LwA_XYZ'!CM$1:DA$1, 'Input LwA_XYZ'!CM38:DA38)))), "", 'Input LwA_XYZ'!A38)</f>
        <v/>
      </c>
      <c r="Q519" s="225" t="str">
        <f>IF($P519="","",_xlfn.TEXTJOIN(" - ",TRUE,'Input LwA_XYZ'!B38:C38))</f>
        <v/>
      </c>
      <c r="R519" s="231" t="str">
        <f>IF($P519="","",'Input LwA_XYZ'!Q38)</f>
        <v/>
      </c>
      <c r="S519" s="227" t="str">
        <f>IF($P519="","",ROUND(_xlfn.XLOOKUP(Tables!$N$482,'Input LwA_XYZ'!$AH$1:$AV$1,'Input LwA_XYZ'!AH38:AV38),0))</f>
        <v/>
      </c>
      <c r="T519" s="228" t="str">
        <f>IF($P519="","",-1*ROUND(_xlfn.XLOOKUP(Tables!$N$482,'Input LwA_XYZ'!$AY$1:$BM$1,'Input LwA_XYZ'!AY38:BM38),0))</f>
        <v/>
      </c>
      <c r="U519" s="228" t="str">
        <f>IF($P519="","",IF(_xlfn.XLOOKUP(Tables!$N$482,'Input LwA_XYZ'!$BV$1:$CJ$1,'Input LwA_XYZ'!BV38:CJ38)="","-",_xlfn.XLOOKUP(Tables!$N$482,'Input LwA_XYZ'!$BV$1:$CJ$1,'Input LwA_XYZ'!BV38:CJ38)))</f>
        <v/>
      </c>
      <c r="V519" s="228" t="str">
        <f>IF($P519="","",IF('Input LwA_XYZ'!S38="","-",'Input LwA_XYZ'!S38))</f>
        <v/>
      </c>
      <c r="W519" s="229" t="str" cm="1">
        <f t="array" ref="W519">IF($P519="","",IF(_xlfn.XLOOKUP(Tables!$N$482,_xlfn.ANCHORARRAY('Input LwA_XYZ'!$DD$1),'Input LwA_XYZ'!DD38:DR38)="","-",_xlfn.XLOOKUP(Tables!$N$482,_xlfn.ANCHORARRAY('Input LwA_XYZ'!$DD$1),'Input LwA_XYZ'!DD38:DR38)))</f>
        <v/>
      </c>
      <c r="X519" s="62" t="str">
        <f>IF($P519="","",_xlfn.XLOOKUP(Tables!$N$482,'Input LwA_XYZ'!$DU$1:$EI$1,'Input LwA_XYZ'!DU38:EI38))</f>
        <v/>
      </c>
    </row>
    <row r="520" spans="16:24" ht="16.5" x14ac:dyDescent="0.3">
      <c r="P520" s="230" t="str">
        <f>IF(OR('Input LwA_XYZ'!A39 = 0, NOT(ISBLANK(_xlfn.XLOOKUP(Tables!N$482, 'Input LwA_XYZ'!CM$1:DA$1, 'Input LwA_XYZ'!CM39:DA39)))), "", 'Input LwA_XYZ'!A39)</f>
        <v/>
      </c>
      <c r="Q520" s="225" t="str">
        <f>IF($P520="","",_xlfn.TEXTJOIN(" - ",TRUE,'Input LwA_XYZ'!B39:C39))</f>
        <v/>
      </c>
      <c r="R520" s="231" t="str">
        <f>IF($P520="","",'Input LwA_XYZ'!Q39)</f>
        <v/>
      </c>
      <c r="S520" s="227" t="str">
        <f>IF($P520="","",ROUND(_xlfn.XLOOKUP(Tables!$N$482,'Input LwA_XYZ'!$AH$1:$AV$1,'Input LwA_XYZ'!AH39:AV39),0))</f>
        <v/>
      </c>
      <c r="T520" s="228" t="str">
        <f>IF($P520="","",-1*ROUND(_xlfn.XLOOKUP(Tables!$N$482,'Input LwA_XYZ'!$AY$1:$BM$1,'Input LwA_XYZ'!AY39:BM39),0))</f>
        <v/>
      </c>
      <c r="U520" s="228" t="str">
        <f>IF($P520="","",IF(_xlfn.XLOOKUP(Tables!$N$482,'Input LwA_XYZ'!$BV$1:$CJ$1,'Input LwA_XYZ'!BV39:CJ39)="","-",_xlfn.XLOOKUP(Tables!$N$482,'Input LwA_XYZ'!$BV$1:$CJ$1,'Input LwA_XYZ'!BV39:CJ39)))</f>
        <v/>
      </c>
      <c r="V520" s="228" t="str">
        <f>IF($P520="","",IF('Input LwA_XYZ'!S39="","-",'Input LwA_XYZ'!S39))</f>
        <v/>
      </c>
      <c r="W520" s="229" t="str" cm="1">
        <f t="array" ref="W520">IF($P520="","",IF(_xlfn.XLOOKUP(Tables!$N$482,_xlfn.ANCHORARRAY('Input LwA_XYZ'!$DD$1),'Input LwA_XYZ'!DD39:DR39)="","-",_xlfn.XLOOKUP(Tables!$N$482,_xlfn.ANCHORARRAY('Input LwA_XYZ'!$DD$1),'Input LwA_XYZ'!DD39:DR39)))</f>
        <v/>
      </c>
      <c r="X520" s="62" t="str">
        <f>IF($P520="","",_xlfn.XLOOKUP(Tables!$N$482,'Input LwA_XYZ'!$DU$1:$EI$1,'Input LwA_XYZ'!DU39:EI39))</f>
        <v/>
      </c>
    </row>
    <row r="521" spans="16:24" ht="16.5" x14ac:dyDescent="0.3">
      <c r="P521" s="230" t="str">
        <f>IF(OR('Input LwA_XYZ'!A40 = 0, NOT(ISBLANK(_xlfn.XLOOKUP(Tables!N$482, 'Input LwA_XYZ'!CM$1:DA$1, 'Input LwA_XYZ'!CM40:DA40)))), "", 'Input LwA_XYZ'!A40)</f>
        <v/>
      </c>
      <c r="Q521" s="225" t="str">
        <f>IF($P521="","",_xlfn.TEXTJOIN(" - ",TRUE,'Input LwA_XYZ'!B40:C40))</f>
        <v/>
      </c>
      <c r="R521" s="231" t="str">
        <f>IF($P521="","",'Input LwA_XYZ'!Q40)</f>
        <v/>
      </c>
      <c r="S521" s="227" t="str">
        <f>IF($P521="","",ROUND(_xlfn.XLOOKUP(Tables!$N$482,'Input LwA_XYZ'!$AH$1:$AV$1,'Input LwA_XYZ'!AH40:AV40),0))</f>
        <v/>
      </c>
      <c r="T521" s="228" t="str">
        <f>IF($P521="","",-1*ROUND(_xlfn.XLOOKUP(Tables!$N$482,'Input LwA_XYZ'!$AY$1:$BM$1,'Input LwA_XYZ'!AY40:BM40),0))</f>
        <v/>
      </c>
      <c r="U521" s="228" t="str">
        <f>IF($P521="","",IF(_xlfn.XLOOKUP(Tables!$N$482,'Input LwA_XYZ'!$BV$1:$CJ$1,'Input LwA_XYZ'!BV40:CJ40)="","-",_xlfn.XLOOKUP(Tables!$N$482,'Input LwA_XYZ'!$BV$1:$CJ$1,'Input LwA_XYZ'!BV40:CJ40)))</f>
        <v/>
      </c>
      <c r="V521" s="228" t="str">
        <f>IF($P521="","",IF('Input LwA_XYZ'!S40="","-",'Input LwA_XYZ'!S40))</f>
        <v/>
      </c>
      <c r="W521" s="229" t="str" cm="1">
        <f t="array" ref="W521">IF($P521="","",IF(_xlfn.XLOOKUP(Tables!$N$482,_xlfn.ANCHORARRAY('Input LwA_XYZ'!$DD$1),'Input LwA_XYZ'!DD40:DR40)="","-",_xlfn.XLOOKUP(Tables!$N$482,_xlfn.ANCHORARRAY('Input LwA_XYZ'!$DD$1),'Input LwA_XYZ'!DD40:DR40)))</f>
        <v/>
      </c>
      <c r="X521" s="62" t="str">
        <f>IF($P521="","",_xlfn.XLOOKUP(Tables!$N$482,'Input LwA_XYZ'!$DU$1:$EI$1,'Input LwA_XYZ'!DU40:EI40))</f>
        <v/>
      </c>
    </row>
    <row r="522" spans="16:24" ht="16.5" x14ac:dyDescent="0.3">
      <c r="P522" s="230" t="str">
        <f>IF(OR('Input LwA_XYZ'!A41 = 0, NOT(ISBLANK(_xlfn.XLOOKUP(Tables!N$482, 'Input LwA_XYZ'!CM$1:DA$1, 'Input LwA_XYZ'!CM41:DA41)))), "", 'Input LwA_XYZ'!A41)</f>
        <v/>
      </c>
      <c r="Q522" s="225" t="str">
        <f>IF($P522="","",_xlfn.TEXTJOIN(" - ",TRUE,'Input LwA_XYZ'!B41:C41))</f>
        <v/>
      </c>
      <c r="R522" s="231" t="str">
        <f>IF($P522="","",'Input LwA_XYZ'!Q41)</f>
        <v/>
      </c>
      <c r="S522" s="227" t="str">
        <f>IF($P522="","",ROUND(_xlfn.XLOOKUP(Tables!$N$482,'Input LwA_XYZ'!$AH$1:$AV$1,'Input LwA_XYZ'!AH41:AV41),0))</f>
        <v/>
      </c>
      <c r="T522" s="228" t="str">
        <f>IF($P522="","",-1*ROUND(_xlfn.XLOOKUP(Tables!$N$482,'Input LwA_XYZ'!$AY$1:$BM$1,'Input LwA_XYZ'!AY41:BM41),0))</f>
        <v/>
      </c>
      <c r="U522" s="228" t="str">
        <f>IF($P522="","",IF(_xlfn.XLOOKUP(Tables!$N$482,'Input LwA_XYZ'!$BV$1:$CJ$1,'Input LwA_XYZ'!BV41:CJ41)="","-",_xlfn.XLOOKUP(Tables!$N$482,'Input LwA_XYZ'!$BV$1:$CJ$1,'Input LwA_XYZ'!BV41:CJ41)))</f>
        <v/>
      </c>
      <c r="V522" s="228" t="str">
        <f>IF($P522="","",IF('Input LwA_XYZ'!S41="","-",'Input LwA_XYZ'!S41))</f>
        <v/>
      </c>
      <c r="W522" s="229" t="str" cm="1">
        <f t="array" ref="W522">IF($P522="","",IF(_xlfn.XLOOKUP(Tables!$N$482,_xlfn.ANCHORARRAY('Input LwA_XYZ'!$DD$1),'Input LwA_XYZ'!DD41:DR41)="","-",_xlfn.XLOOKUP(Tables!$N$482,_xlfn.ANCHORARRAY('Input LwA_XYZ'!$DD$1),'Input LwA_XYZ'!DD41:DR41)))</f>
        <v/>
      </c>
      <c r="X522" s="62" t="str">
        <f>IF($P522="","",_xlfn.XLOOKUP(Tables!$N$482,'Input LwA_XYZ'!$DU$1:$EI$1,'Input LwA_XYZ'!DU41:EI41))</f>
        <v/>
      </c>
    </row>
    <row r="523" spans="16:24" ht="16.5" x14ac:dyDescent="0.3">
      <c r="P523" s="230" t="str">
        <f>IF(OR('Input LwA_XYZ'!A42 = 0, NOT(ISBLANK(_xlfn.XLOOKUP(Tables!N$482, 'Input LwA_XYZ'!CM$1:DA$1, 'Input LwA_XYZ'!CM42:DA42)))), "", 'Input LwA_XYZ'!A42)</f>
        <v/>
      </c>
      <c r="Q523" s="225" t="str">
        <f>IF($P523="","",_xlfn.TEXTJOIN(" - ",TRUE,'Input LwA_XYZ'!B42:C42))</f>
        <v/>
      </c>
      <c r="R523" s="231" t="str">
        <f>IF($P523="","",'Input LwA_XYZ'!Q42)</f>
        <v/>
      </c>
      <c r="S523" s="227" t="str">
        <f>IF($P523="","",ROUND(_xlfn.XLOOKUP(Tables!$N$482,'Input LwA_XYZ'!$AH$1:$AV$1,'Input LwA_XYZ'!AH42:AV42),0))</f>
        <v/>
      </c>
      <c r="T523" s="228" t="str">
        <f>IF($P523="","",-1*ROUND(_xlfn.XLOOKUP(Tables!$N$482,'Input LwA_XYZ'!$AY$1:$BM$1,'Input LwA_XYZ'!AY42:BM42),0))</f>
        <v/>
      </c>
      <c r="U523" s="228" t="str">
        <f>IF($P523="","",IF(_xlfn.XLOOKUP(Tables!$N$482,'Input LwA_XYZ'!$BV$1:$CJ$1,'Input LwA_XYZ'!BV42:CJ42)="","-",_xlfn.XLOOKUP(Tables!$N$482,'Input LwA_XYZ'!$BV$1:$CJ$1,'Input LwA_XYZ'!BV42:CJ42)))</f>
        <v/>
      </c>
      <c r="V523" s="228" t="str">
        <f>IF($P523="","",IF('Input LwA_XYZ'!S42="","-",'Input LwA_XYZ'!S42))</f>
        <v/>
      </c>
      <c r="W523" s="229" t="str" cm="1">
        <f t="array" ref="W523">IF($P523="","",IF(_xlfn.XLOOKUP(Tables!$N$482,_xlfn.ANCHORARRAY('Input LwA_XYZ'!$DD$1),'Input LwA_XYZ'!DD42:DR42)="","-",_xlfn.XLOOKUP(Tables!$N$482,_xlfn.ANCHORARRAY('Input LwA_XYZ'!$DD$1),'Input LwA_XYZ'!DD42:DR42)))</f>
        <v/>
      </c>
      <c r="X523" s="62" t="str">
        <f>IF($P523="","",_xlfn.XLOOKUP(Tables!$N$482,'Input LwA_XYZ'!$DU$1:$EI$1,'Input LwA_XYZ'!DU42:EI42))</f>
        <v/>
      </c>
    </row>
    <row r="524" spans="16:24" ht="16.5" x14ac:dyDescent="0.3">
      <c r="P524" s="230" t="str">
        <f>IF(OR('Input LwA_XYZ'!A43 = 0, NOT(ISBLANK(_xlfn.XLOOKUP(Tables!N$482, 'Input LwA_XYZ'!CM$1:DA$1, 'Input LwA_XYZ'!CM43:DA43)))), "", 'Input LwA_XYZ'!A43)</f>
        <v/>
      </c>
      <c r="Q524" s="225" t="str">
        <f>IF($P524="","",_xlfn.TEXTJOIN(" - ",TRUE,'Input LwA_XYZ'!B43:C43))</f>
        <v/>
      </c>
      <c r="R524" s="231" t="str">
        <f>IF($P524="","",'Input LwA_XYZ'!Q43)</f>
        <v/>
      </c>
      <c r="S524" s="227" t="str">
        <f>IF($P524="","",ROUND(_xlfn.XLOOKUP(Tables!$N$482,'Input LwA_XYZ'!$AH$1:$AV$1,'Input LwA_XYZ'!AH43:AV43),0))</f>
        <v/>
      </c>
      <c r="T524" s="228" t="str">
        <f>IF($P524="","",-1*ROUND(_xlfn.XLOOKUP(Tables!$N$482,'Input LwA_XYZ'!$AY$1:$BM$1,'Input LwA_XYZ'!AY43:BM43),0))</f>
        <v/>
      </c>
      <c r="U524" s="228" t="str">
        <f>IF($P524="","",IF(_xlfn.XLOOKUP(Tables!$N$482,'Input LwA_XYZ'!$BV$1:$CJ$1,'Input LwA_XYZ'!BV43:CJ43)="","-",_xlfn.XLOOKUP(Tables!$N$482,'Input LwA_XYZ'!$BV$1:$CJ$1,'Input LwA_XYZ'!BV43:CJ43)))</f>
        <v/>
      </c>
      <c r="V524" s="228" t="str">
        <f>IF($P524="","",IF('Input LwA_XYZ'!S43="","-",'Input LwA_XYZ'!S43))</f>
        <v/>
      </c>
      <c r="W524" s="229" t="str" cm="1">
        <f t="array" ref="W524">IF($P524="","",IF(_xlfn.XLOOKUP(Tables!$N$482,_xlfn.ANCHORARRAY('Input LwA_XYZ'!$DD$1),'Input LwA_XYZ'!DD43:DR43)="","-",_xlfn.XLOOKUP(Tables!$N$482,_xlfn.ANCHORARRAY('Input LwA_XYZ'!$DD$1),'Input LwA_XYZ'!DD43:DR43)))</f>
        <v/>
      </c>
      <c r="X524" s="62" t="str">
        <f>IF($P524="","",_xlfn.XLOOKUP(Tables!$N$482,'Input LwA_XYZ'!$DU$1:$EI$1,'Input LwA_XYZ'!DU43:EI43))</f>
        <v/>
      </c>
    </row>
    <row r="525" spans="16:24" ht="16.5" x14ac:dyDescent="0.3">
      <c r="P525" s="230" t="str">
        <f>IF(OR('Input LwA_XYZ'!A44 = 0, NOT(ISBLANK(_xlfn.XLOOKUP(Tables!N$482, 'Input LwA_XYZ'!CM$1:DA$1, 'Input LwA_XYZ'!CM44:DA44)))), "", 'Input LwA_XYZ'!A44)</f>
        <v/>
      </c>
      <c r="Q525" s="225" t="str">
        <f>IF($P525="","",_xlfn.TEXTJOIN(" - ",TRUE,'Input LwA_XYZ'!B44:C44))</f>
        <v/>
      </c>
      <c r="R525" s="231" t="str">
        <f>IF($P525="","",'Input LwA_XYZ'!Q44)</f>
        <v/>
      </c>
      <c r="S525" s="227" t="str">
        <f>IF($P525="","",ROUND(_xlfn.XLOOKUP(Tables!$N$482,'Input LwA_XYZ'!$AH$1:$AV$1,'Input LwA_XYZ'!AH44:AV44),0))</f>
        <v/>
      </c>
      <c r="T525" s="228" t="str">
        <f>IF($P525="","",-1*ROUND(_xlfn.XLOOKUP(Tables!$N$482,'Input LwA_XYZ'!$AY$1:$BM$1,'Input LwA_XYZ'!AY44:BM44),0))</f>
        <v/>
      </c>
      <c r="U525" s="228" t="str">
        <f>IF($P525="","",IF(_xlfn.XLOOKUP(Tables!$N$482,'Input LwA_XYZ'!$BV$1:$CJ$1,'Input LwA_XYZ'!BV44:CJ44)="","-",_xlfn.XLOOKUP(Tables!$N$482,'Input LwA_XYZ'!$BV$1:$CJ$1,'Input LwA_XYZ'!BV44:CJ44)))</f>
        <v/>
      </c>
      <c r="V525" s="228" t="str">
        <f>IF($P525="","",IF('Input LwA_XYZ'!S44="","-",'Input LwA_XYZ'!S44))</f>
        <v/>
      </c>
      <c r="W525" s="229" t="str" cm="1">
        <f t="array" ref="W525">IF($P525="","",IF(_xlfn.XLOOKUP(Tables!$N$482,_xlfn.ANCHORARRAY('Input LwA_XYZ'!$DD$1),'Input LwA_XYZ'!DD44:DR44)="","-",_xlfn.XLOOKUP(Tables!$N$482,_xlfn.ANCHORARRAY('Input LwA_XYZ'!$DD$1),'Input LwA_XYZ'!DD44:DR44)))</f>
        <v/>
      </c>
      <c r="X525" s="62" t="str">
        <f>IF($P525="","",_xlfn.XLOOKUP(Tables!$N$482,'Input LwA_XYZ'!$DU$1:$EI$1,'Input LwA_XYZ'!DU44:EI44))</f>
        <v/>
      </c>
    </row>
    <row r="526" spans="16:24" ht="16.5" x14ac:dyDescent="0.3">
      <c r="P526" s="230" t="str">
        <f>IF(OR('Input LwA_XYZ'!A45 = 0, NOT(ISBLANK(_xlfn.XLOOKUP(Tables!N$482, 'Input LwA_XYZ'!CM$1:DA$1, 'Input LwA_XYZ'!CM45:DA45)))), "", 'Input LwA_XYZ'!A45)</f>
        <v/>
      </c>
      <c r="Q526" s="225" t="str">
        <f>IF($P526="","",_xlfn.TEXTJOIN(" - ",TRUE,'Input LwA_XYZ'!B45:C45))</f>
        <v/>
      </c>
      <c r="R526" s="231" t="str">
        <f>IF($P526="","",'Input LwA_XYZ'!Q45)</f>
        <v/>
      </c>
      <c r="S526" s="227" t="str">
        <f>IF($P526="","",ROUND(_xlfn.XLOOKUP(Tables!$N$482,'Input LwA_XYZ'!$AH$1:$AV$1,'Input LwA_XYZ'!AH45:AV45),0))</f>
        <v/>
      </c>
      <c r="T526" s="228" t="str">
        <f>IF($P526="","",-1*ROUND(_xlfn.XLOOKUP(Tables!$N$482,'Input LwA_XYZ'!$AY$1:$BM$1,'Input LwA_XYZ'!AY45:BM45),0))</f>
        <v/>
      </c>
      <c r="U526" s="228" t="str">
        <f>IF($P526="","",IF(_xlfn.XLOOKUP(Tables!$N$482,'Input LwA_XYZ'!$BV$1:$CJ$1,'Input LwA_XYZ'!BV45:CJ45)="","-",_xlfn.XLOOKUP(Tables!$N$482,'Input LwA_XYZ'!$BV$1:$CJ$1,'Input LwA_XYZ'!BV45:CJ45)))</f>
        <v/>
      </c>
      <c r="V526" s="228" t="str">
        <f>IF($P526="","",IF('Input LwA_XYZ'!S45="","-",'Input LwA_XYZ'!S45))</f>
        <v/>
      </c>
      <c r="W526" s="229" t="str" cm="1">
        <f t="array" ref="W526">IF($P526="","",IF(_xlfn.XLOOKUP(Tables!$N$482,_xlfn.ANCHORARRAY('Input LwA_XYZ'!$DD$1),'Input LwA_XYZ'!DD45:DR45)="","-",_xlfn.XLOOKUP(Tables!$N$482,_xlfn.ANCHORARRAY('Input LwA_XYZ'!$DD$1),'Input LwA_XYZ'!DD45:DR45)))</f>
        <v/>
      </c>
      <c r="X526" s="62" t="str">
        <f>IF($P526="","",_xlfn.XLOOKUP(Tables!$N$482,'Input LwA_XYZ'!$DU$1:$EI$1,'Input LwA_XYZ'!DU45:EI45))</f>
        <v/>
      </c>
    </row>
    <row r="527" spans="16:24" ht="16.5" x14ac:dyDescent="0.3">
      <c r="P527" s="230" t="str">
        <f>IF(OR('Input LwA_XYZ'!A46 = 0, NOT(ISBLANK(_xlfn.XLOOKUP(Tables!N$482, 'Input LwA_XYZ'!CM$1:DA$1, 'Input LwA_XYZ'!CM46:DA46)))), "", 'Input LwA_XYZ'!A46)</f>
        <v/>
      </c>
      <c r="Q527" s="225" t="str">
        <f>IF($P527="","",_xlfn.TEXTJOIN(" - ",TRUE,'Input LwA_XYZ'!B46:C46))</f>
        <v/>
      </c>
      <c r="R527" s="231" t="str">
        <f>IF($P527="","",'Input LwA_XYZ'!Q46)</f>
        <v/>
      </c>
      <c r="S527" s="227" t="str">
        <f>IF($P527="","",ROUND(_xlfn.XLOOKUP(Tables!$N$482,'Input LwA_XYZ'!$AH$1:$AV$1,'Input LwA_XYZ'!AH46:AV46),0))</f>
        <v/>
      </c>
      <c r="T527" s="228" t="str">
        <f>IF($P527="","",-1*ROUND(_xlfn.XLOOKUP(Tables!$N$482,'Input LwA_XYZ'!$AY$1:$BM$1,'Input LwA_XYZ'!AY46:BM46),0))</f>
        <v/>
      </c>
      <c r="U527" s="228" t="str">
        <f>IF($P527="","",IF(_xlfn.XLOOKUP(Tables!$N$482,'Input LwA_XYZ'!$BV$1:$CJ$1,'Input LwA_XYZ'!BV46:CJ46)="","-",_xlfn.XLOOKUP(Tables!$N$482,'Input LwA_XYZ'!$BV$1:$CJ$1,'Input LwA_XYZ'!BV46:CJ46)))</f>
        <v/>
      </c>
      <c r="V527" s="228" t="str">
        <f>IF($P527="","",IF('Input LwA_XYZ'!S46="","-",'Input LwA_XYZ'!S46))</f>
        <v/>
      </c>
      <c r="W527" s="229" t="str" cm="1">
        <f t="array" ref="W527">IF($P527="","",IF(_xlfn.XLOOKUP(Tables!$N$482,_xlfn.ANCHORARRAY('Input LwA_XYZ'!$DD$1),'Input LwA_XYZ'!DD46:DR46)="","-",_xlfn.XLOOKUP(Tables!$N$482,_xlfn.ANCHORARRAY('Input LwA_XYZ'!$DD$1),'Input LwA_XYZ'!DD46:DR46)))</f>
        <v/>
      </c>
      <c r="X527" s="62" t="str">
        <f>IF($P527="","",_xlfn.XLOOKUP(Tables!$N$482,'Input LwA_XYZ'!$DU$1:$EI$1,'Input LwA_XYZ'!DU46:EI46))</f>
        <v/>
      </c>
    </row>
    <row r="528" spans="16:24" ht="16.5" x14ac:dyDescent="0.3">
      <c r="P528" s="230" t="str">
        <f>IF(OR('Input LwA_XYZ'!A47 = 0, NOT(ISBLANK(_xlfn.XLOOKUP(Tables!N$482, 'Input LwA_XYZ'!CM$1:DA$1, 'Input LwA_XYZ'!CM47:DA47)))), "", 'Input LwA_XYZ'!A47)</f>
        <v/>
      </c>
      <c r="Q528" s="225" t="str">
        <f>IF($P528="","",_xlfn.TEXTJOIN(" - ",TRUE,'Input LwA_XYZ'!B47:C47))</f>
        <v/>
      </c>
      <c r="R528" s="231" t="str">
        <f>IF($P528="","",'Input LwA_XYZ'!Q47)</f>
        <v/>
      </c>
      <c r="S528" s="227" t="str">
        <f>IF($P528="","",ROUND(_xlfn.XLOOKUP(Tables!$N$482,'Input LwA_XYZ'!$AH$1:$AV$1,'Input LwA_XYZ'!AH47:AV47),0))</f>
        <v/>
      </c>
      <c r="T528" s="228" t="str">
        <f>IF($P528="","",-1*ROUND(_xlfn.XLOOKUP(Tables!$N$482,'Input LwA_XYZ'!$AY$1:$BM$1,'Input LwA_XYZ'!AY47:BM47),0))</f>
        <v/>
      </c>
      <c r="U528" s="228" t="str">
        <f>IF($P528="","",IF(_xlfn.XLOOKUP(Tables!$N$482,'Input LwA_XYZ'!$BV$1:$CJ$1,'Input LwA_XYZ'!BV47:CJ47)="","-",_xlfn.XLOOKUP(Tables!$N$482,'Input LwA_XYZ'!$BV$1:$CJ$1,'Input LwA_XYZ'!BV47:CJ47)))</f>
        <v/>
      </c>
      <c r="V528" s="228" t="str">
        <f>IF($P528="","",IF('Input LwA_XYZ'!S47="","-",'Input LwA_XYZ'!S47))</f>
        <v/>
      </c>
      <c r="W528" s="229" t="str" cm="1">
        <f t="array" ref="W528">IF($P528="","",IF(_xlfn.XLOOKUP(Tables!$N$482,_xlfn.ANCHORARRAY('Input LwA_XYZ'!$DD$1),'Input LwA_XYZ'!DD47:DR47)="","-",_xlfn.XLOOKUP(Tables!$N$482,_xlfn.ANCHORARRAY('Input LwA_XYZ'!$DD$1),'Input LwA_XYZ'!DD47:DR47)))</f>
        <v/>
      </c>
      <c r="X528" s="62" t="str">
        <f>IF($P528="","",_xlfn.XLOOKUP(Tables!$N$482,'Input LwA_XYZ'!$DU$1:$EI$1,'Input LwA_XYZ'!DU47:EI47))</f>
        <v/>
      </c>
    </row>
    <row r="529" spans="14:24" ht="16.5" x14ac:dyDescent="0.3">
      <c r="P529" s="230" t="str">
        <f>IF(OR('Input LwA_XYZ'!A48 = 0, NOT(ISBLANK(_xlfn.XLOOKUP(Tables!N$482, 'Input LwA_XYZ'!CM$1:DA$1, 'Input LwA_XYZ'!CM48:DA48)))), "", 'Input LwA_XYZ'!A48)</f>
        <v/>
      </c>
      <c r="Q529" s="225" t="str">
        <f>IF($P529="","",_xlfn.TEXTJOIN(" - ",TRUE,'Input LwA_XYZ'!B48:C48))</f>
        <v/>
      </c>
      <c r="R529" s="231" t="str">
        <f>IF($P529="","",'Input LwA_XYZ'!Q48)</f>
        <v/>
      </c>
      <c r="S529" s="227" t="str">
        <f>IF($P529="","",ROUND(_xlfn.XLOOKUP(Tables!$N$482,'Input LwA_XYZ'!$AH$1:$AV$1,'Input LwA_XYZ'!AH48:AV48),0))</f>
        <v/>
      </c>
      <c r="T529" s="228" t="str">
        <f>IF($P529="","",-1*ROUND(_xlfn.XLOOKUP(Tables!$N$482,'Input LwA_XYZ'!$AY$1:$BM$1,'Input LwA_XYZ'!AY48:BM48),0))</f>
        <v/>
      </c>
      <c r="U529" s="228" t="str">
        <f>IF($P529="","",IF(_xlfn.XLOOKUP(Tables!$N$482,'Input LwA_XYZ'!$BV$1:$CJ$1,'Input LwA_XYZ'!BV48:CJ48)="","-",_xlfn.XLOOKUP(Tables!$N$482,'Input LwA_XYZ'!$BV$1:$CJ$1,'Input LwA_XYZ'!BV48:CJ48)))</f>
        <v/>
      </c>
      <c r="V529" s="228" t="str">
        <f>IF($P529="","",IF('Input LwA_XYZ'!S48="","-",'Input LwA_XYZ'!S48))</f>
        <v/>
      </c>
      <c r="W529" s="229" t="str" cm="1">
        <f t="array" ref="W529">IF($P529="","",IF(_xlfn.XLOOKUP(Tables!$N$482,_xlfn.ANCHORARRAY('Input LwA_XYZ'!$DD$1),'Input LwA_XYZ'!DD48:DR48)="","-",_xlfn.XLOOKUP(Tables!$N$482,_xlfn.ANCHORARRAY('Input LwA_XYZ'!$DD$1),'Input LwA_XYZ'!DD48:DR48)))</f>
        <v/>
      </c>
      <c r="X529" s="62" t="str">
        <f>IF($P529="","",_xlfn.XLOOKUP(Tables!$N$482,'Input LwA_XYZ'!$DU$1:$EI$1,'Input LwA_XYZ'!DU48:EI48))</f>
        <v/>
      </c>
    </row>
    <row r="530" spans="14:24" ht="16.5" x14ac:dyDescent="0.3">
      <c r="P530" s="230" t="str">
        <f>IF(OR('Input LwA_XYZ'!A49 = 0, NOT(ISBLANK(_xlfn.XLOOKUP(Tables!N$482, 'Input LwA_XYZ'!CM$1:DA$1, 'Input LwA_XYZ'!CM49:DA49)))), "", 'Input LwA_XYZ'!A49)</f>
        <v/>
      </c>
      <c r="Q530" s="225" t="str">
        <f>IF($P530="","",_xlfn.TEXTJOIN(" - ",TRUE,'Input LwA_XYZ'!B49:C49))</f>
        <v/>
      </c>
      <c r="R530" s="231" t="str">
        <f>IF($P530="","",'Input LwA_XYZ'!Q49)</f>
        <v/>
      </c>
      <c r="S530" s="227" t="str">
        <f>IF($P530="","",ROUND(_xlfn.XLOOKUP(Tables!$N$482,'Input LwA_XYZ'!$AH$1:$AV$1,'Input LwA_XYZ'!AH49:AV49),0))</f>
        <v/>
      </c>
      <c r="T530" s="228" t="str">
        <f>IF($P530="","",-1*ROUND(_xlfn.XLOOKUP(Tables!$N$482,'Input LwA_XYZ'!$AY$1:$BM$1,'Input LwA_XYZ'!AY49:BM49),0))</f>
        <v/>
      </c>
      <c r="U530" s="228" t="str">
        <f>IF($P530="","",IF(_xlfn.XLOOKUP(Tables!$N$482,'Input LwA_XYZ'!$BV$1:$CJ$1,'Input LwA_XYZ'!BV49:CJ49)="","-",_xlfn.XLOOKUP(Tables!$N$482,'Input LwA_XYZ'!$BV$1:$CJ$1,'Input LwA_XYZ'!BV49:CJ49)))</f>
        <v/>
      </c>
      <c r="V530" s="228" t="str">
        <f>IF($P530="","",IF('Input LwA_XYZ'!S49="","-",'Input LwA_XYZ'!S49))</f>
        <v/>
      </c>
      <c r="W530" s="229" t="str" cm="1">
        <f t="array" ref="W530">IF($P530="","",IF(_xlfn.XLOOKUP(Tables!$N$482,_xlfn.ANCHORARRAY('Input LwA_XYZ'!$DD$1),'Input LwA_XYZ'!DD49:DR49)="","-",_xlfn.XLOOKUP(Tables!$N$482,_xlfn.ANCHORARRAY('Input LwA_XYZ'!$DD$1),'Input LwA_XYZ'!DD49:DR49)))</f>
        <v/>
      </c>
      <c r="X530" s="62" t="str">
        <f>IF($P530="","",_xlfn.XLOOKUP(Tables!$N$482,'Input LwA_XYZ'!$DU$1:$EI$1,'Input LwA_XYZ'!DU49:EI49))</f>
        <v/>
      </c>
    </row>
    <row r="531" spans="14:24" ht="16.5" x14ac:dyDescent="0.3">
      <c r="P531" s="230" t="str">
        <f>IF(OR('Input LwA_XYZ'!A50 = 0, NOT(ISBLANK(_xlfn.XLOOKUP(Tables!N$482, 'Input LwA_XYZ'!CM$1:DA$1, 'Input LwA_XYZ'!CM50:DA50)))), "", 'Input LwA_XYZ'!A50)</f>
        <v/>
      </c>
      <c r="Q531" s="225" t="str">
        <f>IF($P531="","",_xlfn.TEXTJOIN(" - ",TRUE,'Input LwA_XYZ'!B50:C50))</f>
        <v/>
      </c>
      <c r="R531" s="231" t="str">
        <f>IF($P531="","",'Input LwA_XYZ'!Q50)</f>
        <v/>
      </c>
      <c r="S531" s="227" t="str">
        <f>IF($P531="","",ROUND(_xlfn.XLOOKUP(Tables!$N$482,'Input LwA_XYZ'!$AH$1:$AV$1,'Input LwA_XYZ'!AH50:AV50),0))</f>
        <v/>
      </c>
      <c r="T531" s="228" t="str">
        <f>IF($P531="","",-1*ROUND(_xlfn.XLOOKUP(Tables!$N$482,'Input LwA_XYZ'!$AY$1:$BM$1,'Input LwA_XYZ'!AY50:BM50),0))</f>
        <v/>
      </c>
      <c r="U531" s="228" t="str">
        <f>IF($P531="","",IF(_xlfn.XLOOKUP(Tables!$N$482,'Input LwA_XYZ'!$BV$1:$CJ$1,'Input LwA_XYZ'!BV50:CJ50)="","-",_xlfn.XLOOKUP(Tables!$N$482,'Input LwA_XYZ'!$BV$1:$CJ$1,'Input LwA_XYZ'!BV50:CJ50)))</f>
        <v/>
      </c>
      <c r="V531" s="228" t="str">
        <f>IF($P531="","",IF('Input LwA_XYZ'!S50="","-",'Input LwA_XYZ'!S50))</f>
        <v/>
      </c>
      <c r="W531" s="229" t="str" cm="1">
        <f t="array" ref="W531">IF($P531="","",IF(_xlfn.XLOOKUP(Tables!$N$482,_xlfn.ANCHORARRAY('Input LwA_XYZ'!$DD$1),'Input LwA_XYZ'!DD50:DR50)="","-",_xlfn.XLOOKUP(Tables!$N$482,_xlfn.ANCHORARRAY('Input LwA_XYZ'!$DD$1),'Input LwA_XYZ'!DD50:DR50)))</f>
        <v/>
      </c>
      <c r="X531" s="62" t="str">
        <f>IF($P531="","",_xlfn.XLOOKUP(Tables!$N$482,'Input LwA_XYZ'!$DU$1:$EI$1,'Input LwA_XYZ'!DU50:EI50))</f>
        <v/>
      </c>
    </row>
    <row r="532" spans="14:24" ht="16.5" x14ac:dyDescent="0.3">
      <c r="P532" s="230" t="str">
        <f>IF(OR('Input LwA_XYZ'!A51 = 0, NOT(ISBLANK(_xlfn.XLOOKUP(Tables!N$482, 'Input LwA_XYZ'!CM$1:DA$1, 'Input LwA_XYZ'!CM51:DA51)))), "", 'Input LwA_XYZ'!A51)</f>
        <v/>
      </c>
      <c r="Q532" s="225" t="str">
        <f>IF($P532="","",_xlfn.TEXTJOIN(" - ",TRUE,'Input LwA_XYZ'!B51:C51))</f>
        <v/>
      </c>
      <c r="R532" s="231" t="str">
        <f>IF($P532="","",'Input LwA_XYZ'!Q51)</f>
        <v/>
      </c>
      <c r="S532" s="227" t="str">
        <f>IF($P532="","",ROUND(_xlfn.XLOOKUP(Tables!$N$482,'Input LwA_XYZ'!$AH$1:$AV$1,'Input LwA_XYZ'!AH51:AV51),0))</f>
        <v/>
      </c>
      <c r="T532" s="228" t="str">
        <f>IF($P532="","",-1*ROUND(_xlfn.XLOOKUP(Tables!$N$482,'Input LwA_XYZ'!$AY$1:$BM$1,'Input LwA_XYZ'!AY51:BM51),0))</f>
        <v/>
      </c>
      <c r="U532" s="228" t="str">
        <f>IF($P532="","",IF(_xlfn.XLOOKUP(Tables!$N$482,'Input LwA_XYZ'!$BV$1:$CJ$1,'Input LwA_XYZ'!BV51:CJ51)="","-",_xlfn.XLOOKUP(Tables!$N$482,'Input LwA_XYZ'!$BV$1:$CJ$1,'Input LwA_XYZ'!BV51:CJ51)))</f>
        <v/>
      </c>
      <c r="V532" s="228" t="str">
        <f>IF($P532="","",IF('Input LwA_XYZ'!S51="","-",'Input LwA_XYZ'!S51))</f>
        <v/>
      </c>
      <c r="W532" s="229" t="str" cm="1">
        <f t="array" ref="W532">IF($P532="","",IF(_xlfn.XLOOKUP(Tables!$N$482,_xlfn.ANCHORARRAY('Input LwA_XYZ'!$DD$1),'Input LwA_XYZ'!DD51:DR51)="","-",_xlfn.XLOOKUP(Tables!$N$482,_xlfn.ANCHORARRAY('Input LwA_XYZ'!$DD$1),'Input LwA_XYZ'!DD51:DR51)))</f>
        <v/>
      </c>
      <c r="X532" s="62" t="str">
        <f>IF($P532="","",_xlfn.XLOOKUP(Tables!$N$482,'Input LwA_XYZ'!$DU$1:$EI$1,'Input LwA_XYZ'!DU51:EI51))</f>
        <v/>
      </c>
    </row>
    <row r="533" spans="14:24" ht="16.5" x14ac:dyDescent="0.3">
      <c r="P533" s="230" t="str">
        <f>IF(OR('Input LwA_XYZ'!A52 = 0, NOT(ISBLANK(_xlfn.XLOOKUP(Tables!N$482, 'Input LwA_XYZ'!CM$1:DA$1, 'Input LwA_XYZ'!CM52:DA52)))), "", 'Input LwA_XYZ'!A52)</f>
        <v/>
      </c>
      <c r="Q533" s="225" t="str">
        <f>IF($P533="","",_xlfn.TEXTJOIN(" - ",TRUE,'Input LwA_XYZ'!B52:C52))</f>
        <v/>
      </c>
      <c r="R533" s="231" t="str">
        <f>IF($P533="","",'Input LwA_XYZ'!Q52)</f>
        <v/>
      </c>
      <c r="S533" s="227" t="str">
        <f>IF($P533="","",ROUND(_xlfn.XLOOKUP(Tables!$N$482,'Input LwA_XYZ'!$AH$1:$AV$1,'Input LwA_XYZ'!AH52:AV52),0))</f>
        <v/>
      </c>
      <c r="T533" s="228" t="str">
        <f>IF($P533="","",-1*ROUND(_xlfn.XLOOKUP(Tables!$N$482,'Input LwA_XYZ'!$AY$1:$BM$1,'Input LwA_XYZ'!AY52:BM52),0))</f>
        <v/>
      </c>
      <c r="U533" s="228" t="str">
        <f>IF($P533="","",IF(_xlfn.XLOOKUP(Tables!$N$482,'Input LwA_XYZ'!$BV$1:$CJ$1,'Input LwA_XYZ'!BV52:CJ52)="","-",_xlfn.XLOOKUP(Tables!$N$482,'Input LwA_XYZ'!$BV$1:$CJ$1,'Input LwA_XYZ'!BV52:CJ52)))</f>
        <v/>
      </c>
      <c r="V533" s="228" t="str">
        <f>IF($P533="","",IF('Input LwA_XYZ'!S52="","-",'Input LwA_XYZ'!S52))</f>
        <v/>
      </c>
      <c r="W533" s="229" t="str" cm="1">
        <f t="array" ref="W533">IF($P533="","",IF(_xlfn.XLOOKUP(Tables!$N$482,_xlfn.ANCHORARRAY('Input LwA_XYZ'!$DD$1),'Input LwA_XYZ'!DD52:DR52)="","-",_xlfn.XLOOKUP(Tables!$N$482,_xlfn.ANCHORARRAY('Input LwA_XYZ'!$DD$1),'Input LwA_XYZ'!DD52:DR52)))</f>
        <v/>
      </c>
      <c r="X533" s="62" t="str">
        <f>IF($P533="","",_xlfn.XLOOKUP(Tables!$N$482,'Input LwA_XYZ'!$DU$1:$EI$1,'Input LwA_XYZ'!DU52:EI52))</f>
        <v/>
      </c>
    </row>
    <row r="534" spans="14:24" ht="16.5" x14ac:dyDescent="0.3">
      <c r="P534" s="230" t="str">
        <f>IF(OR('Input LwA_XYZ'!A53 = 0, NOT(ISBLANK(_xlfn.XLOOKUP(Tables!N$482, 'Input LwA_XYZ'!CM$1:DA$1, 'Input LwA_XYZ'!CM53:DA53)))), "", 'Input LwA_XYZ'!A53)</f>
        <v/>
      </c>
      <c r="Q534" s="225" t="str">
        <f>IF($P534="","",_xlfn.TEXTJOIN(" - ",TRUE,'Input LwA_XYZ'!B53:C53))</f>
        <v/>
      </c>
      <c r="R534" s="231" t="str">
        <f>IF($P534="","",'Input LwA_XYZ'!Q53)</f>
        <v/>
      </c>
      <c r="S534" s="227" t="str">
        <f>IF($P534="","",ROUND(_xlfn.XLOOKUP(Tables!$N$482,'Input LwA_XYZ'!$AH$1:$AV$1,'Input LwA_XYZ'!AH53:AV53),0))</f>
        <v/>
      </c>
      <c r="T534" s="228" t="str">
        <f>IF($P534="","",-1*ROUND(_xlfn.XLOOKUP(Tables!$N$482,'Input LwA_XYZ'!$AY$1:$BM$1,'Input LwA_XYZ'!AY53:BM53),0))</f>
        <v/>
      </c>
      <c r="U534" s="228" t="str">
        <f>IF($P534="","",IF(_xlfn.XLOOKUP(Tables!$N$482,'Input LwA_XYZ'!$BV$1:$CJ$1,'Input LwA_XYZ'!BV53:CJ53)="","-",_xlfn.XLOOKUP(Tables!$N$482,'Input LwA_XYZ'!$BV$1:$CJ$1,'Input LwA_XYZ'!BV53:CJ53)))</f>
        <v/>
      </c>
      <c r="V534" s="228" t="str">
        <f>IF($P534="","",IF('Input LwA_XYZ'!S53="","-",'Input LwA_XYZ'!S53))</f>
        <v/>
      </c>
      <c r="W534" s="229" t="str" cm="1">
        <f t="array" ref="W534">IF($P534="","",IF(_xlfn.XLOOKUP(Tables!$N$482,_xlfn.ANCHORARRAY('Input LwA_XYZ'!$DD$1),'Input LwA_XYZ'!DD53:DR53)="","-",_xlfn.XLOOKUP(Tables!$N$482,_xlfn.ANCHORARRAY('Input LwA_XYZ'!$DD$1),'Input LwA_XYZ'!DD53:DR53)))</f>
        <v/>
      </c>
      <c r="X534" s="62" t="str">
        <f>IF($P534="","",_xlfn.XLOOKUP(Tables!$N$482,'Input LwA_XYZ'!$DU$1:$EI$1,'Input LwA_XYZ'!DU53:EI53))</f>
        <v/>
      </c>
    </row>
    <row r="535" spans="14:24" ht="16.5" x14ac:dyDescent="0.3">
      <c r="P535" s="230" t="str">
        <f>IF(OR('Input LwA_XYZ'!A54 = 0, NOT(ISBLANK(_xlfn.XLOOKUP(Tables!N$482, 'Input LwA_XYZ'!CM$1:DA$1, 'Input LwA_XYZ'!CM54:DA54)))), "", 'Input LwA_XYZ'!A54)</f>
        <v/>
      </c>
      <c r="Q535" s="225" t="str">
        <f>IF($P535="","",_xlfn.TEXTJOIN(" - ",TRUE,'Input LwA_XYZ'!B54:C54))</f>
        <v/>
      </c>
      <c r="R535" s="231" t="str">
        <f>IF($P535="","",'Input LwA_XYZ'!Q54)</f>
        <v/>
      </c>
      <c r="S535" s="227" t="str">
        <f>IF($P535="","",ROUND(_xlfn.XLOOKUP(Tables!$N$482,'Input LwA_XYZ'!$AH$1:$AV$1,'Input LwA_XYZ'!AH54:AV54),0))</f>
        <v/>
      </c>
      <c r="T535" s="228" t="str">
        <f>IF($P535="","",-1*ROUND(_xlfn.XLOOKUP(Tables!$N$482,'Input LwA_XYZ'!$AY$1:$BM$1,'Input LwA_XYZ'!AY54:BM54),0))</f>
        <v/>
      </c>
      <c r="U535" s="228" t="str">
        <f>IF($P535="","",IF(_xlfn.XLOOKUP(Tables!$N$482,'Input LwA_XYZ'!$BV$1:$CJ$1,'Input LwA_XYZ'!BV54:CJ54)="","-",_xlfn.XLOOKUP(Tables!$N$482,'Input LwA_XYZ'!$BV$1:$CJ$1,'Input LwA_XYZ'!BV54:CJ54)))</f>
        <v/>
      </c>
      <c r="V535" s="228" t="str">
        <f>IF($P535="","",IF('Input LwA_XYZ'!S54="","-",'Input LwA_XYZ'!S54))</f>
        <v/>
      </c>
      <c r="W535" s="229" t="str" cm="1">
        <f t="array" ref="W535">IF($P535="","",IF(_xlfn.XLOOKUP(Tables!$N$482,_xlfn.ANCHORARRAY('Input LwA_XYZ'!$DD$1),'Input LwA_XYZ'!DD54:DR54)="","-",_xlfn.XLOOKUP(Tables!$N$482,_xlfn.ANCHORARRAY('Input LwA_XYZ'!$DD$1),'Input LwA_XYZ'!DD54:DR54)))</f>
        <v/>
      </c>
      <c r="X535" s="62" t="str">
        <f>IF($P535="","",_xlfn.XLOOKUP(Tables!$N$482,'Input LwA_XYZ'!$DU$1:$EI$1,'Input LwA_XYZ'!DU54:EI54))</f>
        <v/>
      </c>
    </row>
    <row r="536" spans="14:24" ht="16.5" x14ac:dyDescent="0.3">
      <c r="P536" s="230" t="str">
        <f>IF(OR('Input LwA_XYZ'!A55 = 0, NOT(ISBLANK(_xlfn.XLOOKUP(Tables!N$482, 'Input LwA_XYZ'!CM$1:DA$1, 'Input LwA_XYZ'!CM55:DA55)))), "", 'Input LwA_XYZ'!A55)</f>
        <v/>
      </c>
      <c r="Q536" s="225" t="str">
        <f>IF($P536="","",_xlfn.TEXTJOIN(" - ",TRUE,'Input LwA_XYZ'!B55:C55))</f>
        <v/>
      </c>
      <c r="R536" s="231" t="str">
        <f>IF($P536="","",'Input LwA_XYZ'!Q55)</f>
        <v/>
      </c>
      <c r="S536" s="227" t="str">
        <f>IF($P536="","",ROUND(_xlfn.XLOOKUP(Tables!$N$482,'Input LwA_XYZ'!$AH$1:$AV$1,'Input LwA_XYZ'!AH55:AV55),0))</f>
        <v/>
      </c>
      <c r="T536" s="228" t="str">
        <f>IF($P536="","",-1*ROUND(_xlfn.XLOOKUP(Tables!$N$482,'Input LwA_XYZ'!$AY$1:$BM$1,'Input LwA_XYZ'!AY55:BM55),0))</f>
        <v/>
      </c>
      <c r="U536" s="228" t="str">
        <f>IF($P536="","",IF(_xlfn.XLOOKUP(Tables!$N$482,'Input LwA_XYZ'!$BV$1:$CJ$1,'Input LwA_XYZ'!BV55:CJ55)="","-",_xlfn.XLOOKUP(Tables!$N$482,'Input LwA_XYZ'!$BV$1:$CJ$1,'Input LwA_XYZ'!BV55:CJ55)))</f>
        <v/>
      </c>
      <c r="V536" s="228" t="str">
        <f>IF($P536="","",IF('Input LwA_XYZ'!S55="","-",'Input LwA_XYZ'!S55))</f>
        <v/>
      </c>
      <c r="W536" s="229" t="str" cm="1">
        <f t="array" ref="W536">IF($P536="","",IF(_xlfn.XLOOKUP(Tables!$N$482,_xlfn.ANCHORARRAY('Input LwA_XYZ'!$DD$1),'Input LwA_XYZ'!DD55:DR55)="","-",_xlfn.XLOOKUP(Tables!$N$482,_xlfn.ANCHORARRAY('Input LwA_XYZ'!$DD$1),'Input LwA_XYZ'!DD55:DR55)))</f>
        <v/>
      </c>
      <c r="X536" s="62" t="str">
        <f>IF($P536="","",_xlfn.XLOOKUP(Tables!$N$482,'Input LwA_XYZ'!$DU$1:$EI$1,'Input LwA_XYZ'!DU55:EI55))</f>
        <v/>
      </c>
    </row>
    <row r="537" spans="14:24" ht="16.5" x14ac:dyDescent="0.3">
      <c r="P537" s="230" t="str">
        <f>IF(OR('Input LwA_XYZ'!A56 = 0, NOT(ISBLANK(_xlfn.XLOOKUP(Tables!N$482, 'Input LwA_XYZ'!CM$1:DA$1, 'Input LwA_XYZ'!CM56:DA56)))), "", 'Input LwA_XYZ'!A56)</f>
        <v/>
      </c>
      <c r="Q537" s="225" t="str">
        <f>IF($P537="","",_xlfn.TEXTJOIN(" - ",TRUE,'Input LwA_XYZ'!B56:C56))</f>
        <v/>
      </c>
      <c r="R537" s="231" t="str">
        <f>IF($P537="","",'Input LwA_XYZ'!Q56)</f>
        <v/>
      </c>
      <c r="S537" s="227" t="str">
        <f>IF($P537="","",ROUND(_xlfn.XLOOKUP(Tables!$N$482,'Input LwA_XYZ'!$AH$1:$AV$1,'Input LwA_XYZ'!AH56:AV56),0))</f>
        <v/>
      </c>
      <c r="T537" s="228" t="str">
        <f>IF($P537="","",-1*ROUND(_xlfn.XLOOKUP(Tables!$N$482,'Input LwA_XYZ'!$AY$1:$BM$1,'Input LwA_XYZ'!AY56:BM56),0))</f>
        <v/>
      </c>
      <c r="U537" s="228" t="str">
        <f>IF($P537="","",IF(_xlfn.XLOOKUP(Tables!$N$482,'Input LwA_XYZ'!$BV$1:$CJ$1,'Input LwA_XYZ'!BV56:CJ56)="","-",_xlfn.XLOOKUP(Tables!$N$482,'Input LwA_XYZ'!$BV$1:$CJ$1,'Input LwA_XYZ'!BV56:CJ56)))</f>
        <v/>
      </c>
      <c r="V537" s="228" t="str">
        <f>IF($P537="","",IF('Input LwA_XYZ'!S56="","-",'Input LwA_XYZ'!S56))</f>
        <v/>
      </c>
      <c r="W537" s="229" t="str" cm="1">
        <f t="array" ref="W537">IF($P537="","",IF(_xlfn.XLOOKUP(Tables!$N$482,_xlfn.ANCHORARRAY('Input LwA_XYZ'!$DD$1),'Input LwA_XYZ'!DD56:DR56)="","-",_xlfn.XLOOKUP(Tables!$N$482,_xlfn.ANCHORARRAY('Input LwA_XYZ'!$DD$1),'Input LwA_XYZ'!DD56:DR56)))</f>
        <v/>
      </c>
      <c r="X537" s="62" t="str">
        <f>IF($P537="","",_xlfn.XLOOKUP(Tables!$N$482,'Input LwA_XYZ'!$DU$1:$EI$1,'Input LwA_XYZ'!DU56:EI56))</f>
        <v/>
      </c>
    </row>
    <row r="538" spans="14:24" ht="16.5" x14ac:dyDescent="0.3">
      <c r="P538" s="230" t="str">
        <f>IF(OR('Input LwA_XYZ'!A57 = 0, NOT(ISBLANK(_xlfn.XLOOKUP(Tables!N$482, 'Input LwA_XYZ'!CM$1:DA$1, 'Input LwA_XYZ'!CM57:DA57)))), "", 'Input LwA_XYZ'!A57)</f>
        <v/>
      </c>
      <c r="Q538" s="225" t="str">
        <f>IF($P538="","",_xlfn.TEXTJOIN(" - ",TRUE,'Input LwA_XYZ'!B57:C57))</f>
        <v/>
      </c>
      <c r="R538" s="231" t="str">
        <f>IF($P538="","",'Input LwA_XYZ'!Q57)</f>
        <v/>
      </c>
      <c r="S538" s="227" t="str">
        <f>IF($P538="","",ROUND(_xlfn.XLOOKUP(Tables!$N$482,'Input LwA_XYZ'!$AH$1:$AV$1,'Input LwA_XYZ'!AH57:AV57),0))</f>
        <v/>
      </c>
      <c r="T538" s="228" t="str">
        <f>IF($P538="","",-1*ROUND(_xlfn.XLOOKUP(Tables!$N$482,'Input LwA_XYZ'!$AY$1:$BM$1,'Input LwA_XYZ'!AY57:BM57),0))</f>
        <v/>
      </c>
      <c r="U538" s="228" t="str">
        <f>IF($P538="","",IF(_xlfn.XLOOKUP(Tables!$N$482,'Input LwA_XYZ'!$BV$1:$CJ$1,'Input LwA_XYZ'!BV57:CJ57)="","-",_xlfn.XLOOKUP(Tables!$N$482,'Input LwA_XYZ'!$BV$1:$CJ$1,'Input LwA_XYZ'!BV57:CJ57)))</f>
        <v/>
      </c>
      <c r="V538" s="228" t="str">
        <f>IF($P538="","",IF('Input LwA_XYZ'!S57="","-",'Input LwA_XYZ'!S57))</f>
        <v/>
      </c>
      <c r="W538" s="229" t="str" cm="1">
        <f t="array" ref="W538">IF($P538="","",IF(_xlfn.XLOOKUP(Tables!$N$482,_xlfn.ANCHORARRAY('Input LwA_XYZ'!$DD$1),'Input LwA_XYZ'!DD57:DR57)="","-",_xlfn.XLOOKUP(Tables!$N$482,_xlfn.ANCHORARRAY('Input LwA_XYZ'!$DD$1),'Input LwA_XYZ'!DD57:DR57)))</f>
        <v/>
      </c>
      <c r="X538" s="62" t="str">
        <f>IF($P538="","",_xlfn.XLOOKUP(Tables!$N$482,'Input LwA_XYZ'!$DU$1:$EI$1,'Input LwA_XYZ'!DU57:EI57))</f>
        <v/>
      </c>
    </row>
    <row r="539" spans="14:24" ht="17.25" thickBot="1" x14ac:dyDescent="0.35">
      <c r="P539" s="232" t="str">
        <f>IF(OR('Input LwA_XYZ'!A58 = 0, NOT(ISBLANK(_xlfn.XLOOKUP(Tables!N$482, 'Input LwA_XYZ'!CM$1:DA$1, 'Input LwA_XYZ'!CM58:DA58)))), "", 'Input LwA_XYZ'!A58)</f>
        <v/>
      </c>
      <c r="Q539" s="233" t="str">
        <f>IF($P539="","",_xlfn.TEXTJOIN(" - ",TRUE,'Input LwA_XYZ'!B58:C58))</f>
        <v/>
      </c>
      <c r="R539" s="234" t="str">
        <f>IF($P539="","",'Input LwA_XYZ'!Q58)</f>
        <v/>
      </c>
      <c r="S539" s="235" t="str">
        <f>IF($P539="","",ROUND(_xlfn.XLOOKUP(Tables!$N$482,'Input LwA_XYZ'!$AH$1:$AV$1,'Input LwA_XYZ'!AH58:AV58),0))</f>
        <v/>
      </c>
      <c r="T539" s="236" t="str">
        <f>IF($P539="","",-1*ROUND(_xlfn.XLOOKUP(Tables!$N$482,'Input LwA_XYZ'!$AY$1:$BM$1,'Input LwA_XYZ'!AY58:BM58),0))</f>
        <v/>
      </c>
      <c r="U539" s="228" t="str">
        <f>IF($P539="","",IF(_xlfn.XLOOKUP(Tables!$N$482,'Input LwA_XYZ'!$BV$1:$CJ$1,'Input LwA_XYZ'!BV58:CJ58)="","-",_xlfn.XLOOKUP(Tables!$N$482,'Input LwA_XYZ'!$BV$1:$CJ$1,'Input LwA_XYZ'!BV58:CJ58)))</f>
        <v/>
      </c>
      <c r="V539" s="228" t="str">
        <f>IF($P539="","",IF('Input LwA_XYZ'!S58="","-",'Input LwA_XYZ'!S58))</f>
        <v/>
      </c>
      <c r="W539" s="229" t="str" cm="1">
        <f t="array" ref="W539">IF($P539="","",IF(_xlfn.XLOOKUP(Tables!$N$482,_xlfn.ANCHORARRAY('Input LwA_XYZ'!$DD$1),'Input LwA_XYZ'!DD58:DR58)="","-",_xlfn.XLOOKUP(Tables!$N$482,_xlfn.ANCHORARRAY('Input LwA_XYZ'!$DD$1),'Input LwA_XYZ'!DD58:DR58)))</f>
        <v/>
      </c>
      <c r="X539" s="63" t="str">
        <f>IF($P539="","",_xlfn.XLOOKUP(Tables!$N$482,'Input LwA_XYZ'!$DU$1:$EI$1,'Input LwA_XYZ'!DU58:EI58))</f>
        <v/>
      </c>
    </row>
    <row r="540" spans="14:24" ht="17.25" thickBot="1" x14ac:dyDescent="0.35">
      <c r="P540" s="237" t="s">
        <v>215</v>
      </c>
      <c r="Q540" s="238"/>
      <c r="R540" s="239"/>
      <c r="S540" s="238"/>
      <c r="T540" s="240"/>
      <c r="U540" s="240"/>
      <c r="V540" s="240"/>
      <c r="W540" s="241"/>
      <c r="X540" s="219" t="e">
        <f>_xlfn.XLOOKUP(Tables!$N$482,'Input LwA_XYZ'!$Z$2:$Z$16,'Input LwA_XYZ'!$AE$2:$AE$16)</f>
        <v>#N/A</v>
      </c>
    </row>
    <row r="541" spans="14:24" ht="15.75" thickBot="1" x14ac:dyDescent="0.3"/>
    <row r="542" spans="14:24" ht="33.75" thickBot="1" x14ac:dyDescent="0.35">
      <c r="N542" s="66" t="s">
        <v>209</v>
      </c>
      <c r="P542" s="242" t="s">
        <v>79</v>
      </c>
      <c r="Q542" s="243" t="s">
        <v>80</v>
      </c>
      <c r="R542" s="244" t="s">
        <v>81</v>
      </c>
      <c r="S542" s="244" t="s">
        <v>19</v>
      </c>
      <c r="T542" s="244" t="s">
        <v>216</v>
      </c>
      <c r="U542" s="246" t="s">
        <v>82</v>
      </c>
      <c r="V542" s="247" t="s">
        <v>83</v>
      </c>
      <c r="W542" s="248" t="s">
        <v>236</v>
      </c>
      <c r="X542" s="245" t="s">
        <v>78</v>
      </c>
    </row>
    <row r="543" spans="14:24" ht="17.25" thickBot="1" x14ac:dyDescent="0.35">
      <c r="N543" s="66" t="str">
        <f>_xlfn.XLOOKUP(N542, 'Input LwA_XYZ'!$Z$2:$Z$16, 'Input LwA_XYZ'!$AF$2:$AF$16, "")</f>
        <v/>
      </c>
      <c r="P543" s="224" t="str">
        <f>IF(OR('Input LwA_XYZ'!A2 = 0, NOT(ISBLANK(_xlfn.XLOOKUP(Tables!N$542, 'Input LwA_XYZ'!CM$1:DA$1, 'Input LwA_XYZ'!CM2:DA2)))), "", 'Input LwA_XYZ'!A2)</f>
        <v/>
      </c>
      <c r="Q543" s="225" t="str">
        <f>IF($P543="","",_xlfn.TEXTJOIN(" - ",TRUE,'Input LwA_XYZ'!B2:C2))</f>
        <v/>
      </c>
      <c r="R543" s="226" t="str">
        <f>IF($P543="","",'Input LwA_XYZ'!Q2)</f>
        <v/>
      </c>
      <c r="S543" s="227" t="str">
        <f>IF($P543="","",ROUND(_xlfn.XLOOKUP(Tables!$N$542,'Input LwA_XYZ'!$AH$1:$AV$1,'Input LwA_XYZ'!AH2:AV2),0))</f>
        <v/>
      </c>
      <c r="T543" s="228" t="str">
        <f>IF($P543="","",-1*ROUND(_xlfn.XLOOKUP(Tables!$N$542,'Input LwA_XYZ'!$AY$1:$BM$1,'Input LwA_XYZ'!AY2:BM2),0))</f>
        <v/>
      </c>
      <c r="U543" s="228" t="str">
        <f>IF($P543="","",IF(_xlfn.XLOOKUP(Tables!$N$542,'Input LwA_XYZ'!$BV$1:$CJ$1,'Input LwA_XYZ'!BV2:CJ2)="","-",_xlfn.XLOOKUP(Tables!$N$542,'Input LwA_XYZ'!$BV$1:$CJ$1,'Input LwA_XYZ'!BV2:CJ2)))</f>
        <v/>
      </c>
      <c r="V543" s="228" t="str">
        <f>IF($P543="","",IF('Input LwA_XYZ'!S2="","-",'Input LwA_XYZ'!S2))</f>
        <v/>
      </c>
      <c r="W543" s="229" t="str" cm="1">
        <f t="array" ref="W543">IF($P543="","",IF(_xlfn.XLOOKUP(Tables!$N$542,_xlfn.ANCHORARRAY('Input LwA_XYZ'!$DD$1),'Input LwA_XYZ'!DD2:DR2)="","-",_xlfn.XLOOKUP(Tables!$N$542,_xlfn.ANCHORARRAY('Input LwA_XYZ'!$DD$1),'Input LwA_XYZ'!DD2:DR2)))</f>
        <v/>
      </c>
      <c r="X543" s="88" t="str">
        <f>IF($P543="","",_xlfn.XLOOKUP(Tables!$N$542,'Input LwA_XYZ'!$DU$1:$EI$1,'Input LwA_XYZ'!DU2:EI2))</f>
        <v/>
      </c>
    </row>
    <row r="544" spans="14:24" ht="16.5" x14ac:dyDescent="0.3">
      <c r="P544" s="230" t="str">
        <f>IF(OR('Input LwA_XYZ'!A3 = 0, NOT(ISBLANK(_xlfn.XLOOKUP(Tables!N$542, 'Input LwA_XYZ'!CM$1:DA$1, 'Input LwA_XYZ'!CM3:DA3)))), "", 'Input LwA_XYZ'!A3)</f>
        <v/>
      </c>
      <c r="Q544" s="225" t="str">
        <f>IF($P544="","",_xlfn.TEXTJOIN(" - ",TRUE,'Input LwA_XYZ'!B3:C3))</f>
        <v/>
      </c>
      <c r="R544" s="231" t="str">
        <f>IF($P544="","",'Input LwA_XYZ'!Q3)</f>
        <v/>
      </c>
      <c r="S544" s="227" t="str">
        <f>IF($P544="","",ROUND(_xlfn.XLOOKUP(Tables!$N$542,'Input LwA_XYZ'!$AH$1:$AV$1,'Input LwA_XYZ'!AH3:AV3),0))</f>
        <v/>
      </c>
      <c r="T544" s="228" t="str">
        <f>IF($P544="","",-1*ROUND(_xlfn.XLOOKUP(Tables!$N$542,'Input LwA_XYZ'!$AY$1:$BM$1,'Input LwA_XYZ'!AY3:BM3),0))</f>
        <v/>
      </c>
      <c r="U544" s="228" t="str">
        <f>IF($P544="","",IF(_xlfn.XLOOKUP(Tables!$N$542,'Input LwA_XYZ'!$BV$1:$CJ$1,'Input LwA_XYZ'!BV3:CJ3)="","-",_xlfn.XLOOKUP(Tables!$N$542,'Input LwA_XYZ'!$BV$1:$CJ$1,'Input LwA_XYZ'!BV3:CJ3)))</f>
        <v/>
      </c>
      <c r="V544" s="228" t="str">
        <f>IF($P544="","",IF('Input LwA_XYZ'!S3="","-",'Input LwA_XYZ'!S3))</f>
        <v/>
      </c>
      <c r="W544" s="229" t="str" cm="1">
        <f t="array" ref="W544">IF($P544="","",IF(_xlfn.XLOOKUP(Tables!$N$542,_xlfn.ANCHORARRAY('Input LwA_XYZ'!$DD$1),'Input LwA_XYZ'!DD3:DR3)="","-",_xlfn.XLOOKUP(Tables!$N$542,_xlfn.ANCHORARRAY('Input LwA_XYZ'!$DD$1),'Input LwA_XYZ'!DD3:DR3)))</f>
        <v/>
      </c>
      <c r="X544" s="62" t="str">
        <f>IF($P544="","",_xlfn.XLOOKUP(Tables!$N$542,'Input LwA_XYZ'!$DU$1:$EI$1,'Input LwA_XYZ'!DU3:EI3))</f>
        <v/>
      </c>
    </row>
    <row r="545" spans="16:24" ht="16.5" x14ac:dyDescent="0.3">
      <c r="P545" s="230" t="str">
        <f>IF(OR('Input LwA_XYZ'!A4 = 0, NOT(ISBLANK(_xlfn.XLOOKUP(Tables!N$542, 'Input LwA_XYZ'!CM$1:DA$1, 'Input LwA_XYZ'!CM4:DA4)))), "", 'Input LwA_XYZ'!A4)</f>
        <v/>
      </c>
      <c r="Q545" s="225" t="str">
        <f>IF($P545="","",_xlfn.TEXTJOIN(" - ",TRUE,'Input LwA_XYZ'!B4:C4))</f>
        <v/>
      </c>
      <c r="R545" s="231" t="str">
        <f>IF($P545="","",'Input LwA_XYZ'!Q4)</f>
        <v/>
      </c>
      <c r="S545" s="227" t="str">
        <f>IF($P545="","",ROUND(_xlfn.XLOOKUP(Tables!$N$542,'Input LwA_XYZ'!$AH$1:$AV$1,'Input LwA_XYZ'!AH4:AV4),0))</f>
        <v/>
      </c>
      <c r="T545" s="228" t="str">
        <f>IF($P545="","",-1*ROUND(_xlfn.XLOOKUP(Tables!$N$542,'Input LwA_XYZ'!$AY$1:$BM$1,'Input LwA_XYZ'!AY4:BM4),0))</f>
        <v/>
      </c>
      <c r="U545" s="228" t="str">
        <f>IF($P545="","",IF(_xlfn.XLOOKUP(Tables!$N$542,'Input LwA_XYZ'!$BV$1:$CJ$1,'Input LwA_XYZ'!BV4:CJ4)="","-",_xlfn.XLOOKUP(Tables!$N$542,'Input LwA_XYZ'!$BV$1:$CJ$1,'Input LwA_XYZ'!BV4:CJ4)))</f>
        <v/>
      </c>
      <c r="V545" s="228" t="str">
        <f>IF($P545="","",IF('Input LwA_XYZ'!S4="","-",'Input LwA_XYZ'!S4))</f>
        <v/>
      </c>
      <c r="W545" s="229" t="str" cm="1">
        <f t="array" ref="W545">IF($P545="","",IF(_xlfn.XLOOKUP(Tables!$N$542,_xlfn.ANCHORARRAY('Input LwA_XYZ'!$DD$1),'Input LwA_XYZ'!DD4:DR4)="","-",_xlfn.XLOOKUP(Tables!$N$542,_xlfn.ANCHORARRAY('Input LwA_XYZ'!$DD$1),'Input LwA_XYZ'!DD4:DR4)))</f>
        <v/>
      </c>
      <c r="X545" s="62" t="str">
        <f>IF($P545="","",_xlfn.XLOOKUP(Tables!$N$542,'Input LwA_XYZ'!$DU$1:$EI$1,'Input LwA_XYZ'!DU4:EI4))</f>
        <v/>
      </c>
    </row>
    <row r="546" spans="16:24" ht="16.5" x14ac:dyDescent="0.3">
      <c r="P546" s="230" t="str">
        <f>IF(OR('Input LwA_XYZ'!A5 = 0, NOT(ISBLANK(_xlfn.XLOOKUP(Tables!N$542, 'Input LwA_XYZ'!CM$1:DA$1, 'Input LwA_XYZ'!CM5:DA5)))), "", 'Input LwA_XYZ'!A5)</f>
        <v/>
      </c>
      <c r="Q546" s="225" t="str">
        <f>IF($P546="","",_xlfn.TEXTJOIN(" - ",TRUE,'Input LwA_XYZ'!B5:C5))</f>
        <v/>
      </c>
      <c r="R546" s="231" t="str">
        <f>IF($P546="","",'Input LwA_XYZ'!Q5)</f>
        <v/>
      </c>
      <c r="S546" s="227" t="str">
        <f>IF($P546="","",ROUND(_xlfn.XLOOKUP(Tables!$N$542,'Input LwA_XYZ'!$AH$1:$AV$1,'Input LwA_XYZ'!AH5:AV5),0))</f>
        <v/>
      </c>
      <c r="T546" s="228" t="str">
        <f>IF($P546="","",-1*ROUND(_xlfn.XLOOKUP(Tables!$N$542,'Input LwA_XYZ'!$AY$1:$BM$1,'Input LwA_XYZ'!AY5:BM5),0))</f>
        <v/>
      </c>
      <c r="U546" s="228" t="str">
        <f>IF($P546="","",IF(_xlfn.XLOOKUP(Tables!$N$542,'Input LwA_XYZ'!$BV$1:$CJ$1,'Input LwA_XYZ'!BV5:CJ5)="","-",_xlfn.XLOOKUP(Tables!$N$542,'Input LwA_XYZ'!$BV$1:$CJ$1,'Input LwA_XYZ'!BV5:CJ5)))</f>
        <v/>
      </c>
      <c r="V546" s="228" t="str">
        <f>IF($P546="","",IF('Input LwA_XYZ'!S5="","-",'Input LwA_XYZ'!S5))</f>
        <v/>
      </c>
      <c r="W546" s="229" t="str" cm="1">
        <f t="array" ref="W546">IF($P546="","",IF(_xlfn.XLOOKUP(Tables!$N$542,_xlfn.ANCHORARRAY('Input LwA_XYZ'!$DD$1),'Input LwA_XYZ'!DD5:DR5)="","-",_xlfn.XLOOKUP(Tables!$N$542,_xlfn.ANCHORARRAY('Input LwA_XYZ'!$DD$1),'Input LwA_XYZ'!DD5:DR5)))</f>
        <v/>
      </c>
      <c r="X546" s="62" t="str">
        <f>IF($P546="","",_xlfn.XLOOKUP(Tables!$N$542,'Input LwA_XYZ'!$DU$1:$EI$1,'Input LwA_XYZ'!DU5:EI5))</f>
        <v/>
      </c>
    </row>
    <row r="547" spans="16:24" ht="16.5" x14ac:dyDescent="0.3">
      <c r="P547" s="230" t="str">
        <f>IF(OR('Input LwA_XYZ'!A6 = 0, NOT(ISBLANK(_xlfn.XLOOKUP(Tables!N$542, 'Input LwA_XYZ'!CM$1:DA$1, 'Input LwA_XYZ'!CM6:DA6)))), "", 'Input LwA_XYZ'!A6)</f>
        <v/>
      </c>
      <c r="Q547" s="225" t="str">
        <f>IF($P547="","",_xlfn.TEXTJOIN(" - ",TRUE,'Input LwA_XYZ'!B6:C6))</f>
        <v/>
      </c>
      <c r="R547" s="231" t="str">
        <f>IF($P547="","",'Input LwA_XYZ'!Q6)</f>
        <v/>
      </c>
      <c r="S547" s="227" t="str">
        <f>IF($P547="","",ROUND(_xlfn.XLOOKUP(Tables!$N$542,'Input LwA_XYZ'!$AH$1:$AV$1,'Input LwA_XYZ'!AH6:AV6),0))</f>
        <v/>
      </c>
      <c r="T547" s="228" t="str">
        <f>IF($P547="","",-1*ROUND(_xlfn.XLOOKUP(Tables!$N$542,'Input LwA_XYZ'!$AY$1:$BM$1,'Input LwA_XYZ'!AY6:BM6),0))</f>
        <v/>
      </c>
      <c r="U547" s="228" t="str">
        <f>IF($P547="","",IF(_xlfn.XLOOKUP(Tables!$N$542,'Input LwA_XYZ'!$BV$1:$CJ$1,'Input LwA_XYZ'!BV6:CJ6)="","-",_xlfn.XLOOKUP(Tables!$N$542,'Input LwA_XYZ'!$BV$1:$CJ$1,'Input LwA_XYZ'!BV6:CJ6)))</f>
        <v/>
      </c>
      <c r="V547" s="228" t="str">
        <f>IF($P547="","",IF('Input LwA_XYZ'!S6="","-",'Input LwA_XYZ'!S6))</f>
        <v/>
      </c>
      <c r="W547" s="229" t="str" cm="1">
        <f t="array" ref="W547">IF($P547="","",IF(_xlfn.XLOOKUP(Tables!$N$542,_xlfn.ANCHORARRAY('Input LwA_XYZ'!$DD$1),'Input LwA_XYZ'!DD6:DR6)="","-",_xlfn.XLOOKUP(Tables!$N$542,_xlfn.ANCHORARRAY('Input LwA_XYZ'!$DD$1),'Input LwA_XYZ'!DD6:DR6)))</f>
        <v/>
      </c>
      <c r="X547" s="62" t="str">
        <f>IF($P547="","",_xlfn.XLOOKUP(Tables!$N$542,'Input LwA_XYZ'!$DU$1:$EI$1,'Input LwA_XYZ'!DU6:EI6))</f>
        <v/>
      </c>
    </row>
    <row r="548" spans="16:24" ht="16.5" x14ac:dyDescent="0.3">
      <c r="P548" s="230" t="str">
        <f>IF(OR('Input LwA_XYZ'!A7 = 0, NOT(ISBLANK(_xlfn.XLOOKUP(Tables!N$542, 'Input LwA_XYZ'!CM$1:DA$1, 'Input LwA_XYZ'!CM7:DA7)))), "", 'Input LwA_XYZ'!A7)</f>
        <v/>
      </c>
      <c r="Q548" s="225" t="str">
        <f>IF($P548="","",_xlfn.TEXTJOIN(" - ",TRUE,'Input LwA_XYZ'!B7:C7))</f>
        <v/>
      </c>
      <c r="R548" s="231" t="str">
        <f>IF($P548="","",'Input LwA_XYZ'!Q7)</f>
        <v/>
      </c>
      <c r="S548" s="227" t="str">
        <f>IF($P548="","",ROUND(_xlfn.XLOOKUP(Tables!$N$542,'Input LwA_XYZ'!$AH$1:$AV$1,'Input LwA_XYZ'!AH7:AV7),0))</f>
        <v/>
      </c>
      <c r="T548" s="228" t="str">
        <f>IF($P548="","",-1*ROUND(_xlfn.XLOOKUP(Tables!$N$542,'Input LwA_XYZ'!$AY$1:$BM$1,'Input LwA_XYZ'!AY7:BM7),0))</f>
        <v/>
      </c>
      <c r="U548" s="228" t="str">
        <f>IF($P548="","",IF(_xlfn.XLOOKUP(Tables!$N$542,'Input LwA_XYZ'!$BV$1:$CJ$1,'Input LwA_XYZ'!BV7:CJ7)="","-",_xlfn.XLOOKUP(Tables!$N$542,'Input LwA_XYZ'!$BV$1:$CJ$1,'Input LwA_XYZ'!BV7:CJ7)))</f>
        <v/>
      </c>
      <c r="V548" s="228" t="str">
        <f>IF($P548="","",IF('Input LwA_XYZ'!S7="","-",'Input LwA_XYZ'!S7))</f>
        <v/>
      </c>
      <c r="W548" s="229" t="str" cm="1">
        <f t="array" ref="W548">IF($P548="","",IF(_xlfn.XLOOKUP(Tables!$N$542,_xlfn.ANCHORARRAY('Input LwA_XYZ'!$DD$1),'Input LwA_XYZ'!DD7:DR7)="","-",_xlfn.XLOOKUP(Tables!$N$542,_xlfn.ANCHORARRAY('Input LwA_XYZ'!$DD$1),'Input LwA_XYZ'!DD7:DR7)))</f>
        <v/>
      </c>
      <c r="X548" s="62" t="str">
        <f>IF($P548="","",_xlfn.XLOOKUP(Tables!$N$542,'Input LwA_XYZ'!$DU$1:$EI$1,'Input LwA_XYZ'!DU7:EI7))</f>
        <v/>
      </c>
    </row>
    <row r="549" spans="16:24" ht="16.5" x14ac:dyDescent="0.3">
      <c r="P549" s="230" t="str">
        <f>IF(OR('Input LwA_XYZ'!A8 = 0, NOT(ISBLANK(_xlfn.XLOOKUP(Tables!N$542, 'Input LwA_XYZ'!CM$1:DA$1, 'Input LwA_XYZ'!CM8:DA8)))), "", 'Input LwA_XYZ'!A8)</f>
        <v/>
      </c>
      <c r="Q549" s="225" t="str">
        <f>IF($P549="","",_xlfn.TEXTJOIN(" - ",TRUE,'Input LwA_XYZ'!B8:C8))</f>
        <v/>
      </c>
      <c r="R549" s="231" t="str">
        <f>IF($P549="","",'Input LwA_XYZ'!Q8)</f>
        <v/>
      </c>
      <c r="S549" s="227" t="str">
        <f>IF($P549="","",ROUND(_xlfn.XLOOKUP(Tables!$N$542,'Input LwA_XYZ'!$AH$1:$AV$1,'Input LwA_XYZ'!AH8:AV8),0))</f>
        <v/>
      </c>
      <c r="T549" s="228" t="str">
        <f>IF($P549="","",-1*ROUND(_xlfn.XLOOKUP(Tables!$N$542,'Input LwA_XYZ'!$AY$1:$BM$1,'Input LwA_XYZ'!AY8:BM8),0))</f>
        <v/>
      </c>
      <c r="U549" s="228" t="str">
        <f>IF($P549="","",IF(_xlfn.XLOOKUP(Tables!$N$542,'Input LwA_XYZ'!$BV$1:$CJ$1,'Input LwA_XYZ'!BV8:CJ8)="","-",_xlfn.XLOOKUP(Tables!$N$542,'Input LwA_XYZ'!$BV$1:$CJ$1,'Input LwA_XYZ'!BV8:CJ8)))</f>
        <v/>
      </c>
      <c r="V549" s="228" t="str">
        <f>IF($P549="","",IF('Input LwA_XYZ'!S8="","-",'Input LwA_XYZ'!S8))</f>
        <v/>
      </c>
      <c r="W549" s="229" t="str" cm="1">
        <f t="array" ref="W549">IF($P549="","",IF(_xlfn.XLOOKUP(Tables!$N$542,_xlfn.ANCHORARRAY('Input LwA_XYZ'!$DD$1),'Input LwA_XYZ'!DD8:DR8)="","-",_xlfn.XLOOKUP(Tables!$N$542,_xlfn.ANCHORARRAY('Input LwA_XYZ'!$DD$1),'Input LwA_XYZ'!DD8:DR8)))</f>
        <v/>
      </c>
      <c r="X549" s="62" t="str">
        <f>IF($P549="","",_xlfn.XLOOKUP(Tables!$N$542,'Input LwA_XYZ'!$DU$1:$EI$1,'Input LwA_XYZ'!DU8:EI8))</f>
        <v/>
      </c>
    </row>
    <row r="550" spans="16:24" ht="16.5" x14ac:dyDescent="0.3">
      <c r="P550" s="230" t="str">
        <f>IF(OR('Input LwA_XYZ'!A9 = 0, NOT(ISBLANK(_xlfn.XLOOKUP(Tables!N$542, 'Input LwA_XYZ'!CM$1:DA$1, 'Input LwA_XYZ'!CM9:DA9)))), "", 'Input LwA_XYZ'!A9)</f>
        <v/>
      </c>
      <c r="Q550" s="225" t="str">
        <f>IF($P550="","",_xlfn.TEXTJOIN(" - ",TRUE,'Input LwA_XYZ'!B9:C9))</f>
        <v/>
      </c>
      <c r="R550" s="231" t="str">
        <f>IF($P550="","",'Input LwA_XYZ'!Q9)</f>
        <v/>
      </c>
      <c r="S550" s="227" t="str">
        <f>IF($P550="","",ROUND(_xlfn.XLOOKUP(Tables!$N$542,'Input LwA_XYZ'!$AH$1:$AV$1,'Input LwA_XYZ'!AH9:AV9),0))</f>
        <v/>
      </c>
      <c r="T550" s="228" t="str">
        <f>IF($P550="","",-1*ROUND(_xlfn.XLOOKUP(Tables!$N$542,'Input LwA_XYZ'!$AY$1:$BM$1,'Input LwA_XYZ'!AY9:BM9),0))</f>
        <v/>
      </c>
      <c r="U550" s="228" t="str">
        <f>IF($P550="","",IF(_xlfn.XLOOKUP(Tables!$N$542,'Input LwA_XYZ'!$BV$1:$CJ$1,'Input LwA_XYZ'!BV9:CJ9)="","-",_xlfn.XLOOKUP(Tables!$N$542,'Input LwA_XYZ'!$BV$1:$CJ$1,'Input LwA_XYZ'!BV9:CJ9)))</f>
        <v/>
      </c>
      <c r="V550" s="228" t="str">
        <f>IF($P550="","",IF('Input LwA_XYZ'!S9="","-",'Input LwA_XYZ'!S9))</f>
        <v/>
      </c>
      <c r="W550" s="229" t="str" cm="1">
        <f t="array" ref="W550">IF($P550="","",IF(_xlfn.XLOOKUP(Tables!$N$542,_xlfn.ANCHORARRAY('Input LwA_XYZ'!$DD$1),'Input LwA_XYZ'!DD9:DR9)="","-",_xlfn.XLOOKUP(Tables!$N$542,_xlfn.ANCHORARRAY('Input LwA_XYZ'!$DD$1),'Input LwA_XYZ'!DD9:DR9)))</f>
        <v/>
      </c>
      <c r="X550" s="62" t="str">
        <f>IF($P550="","",_xlfn.XLOOKUP(Tables!$N$542,'Input LwA_XYZ'!$DU$1:$EI$1,'Input LwA_XYZ'!DU9:EI9))</f>
        <v/>
      </c>
    </row>
    <row r="551" spans="16:24" ht="16.5" x14ac:dyDescent="0.3">
      <c r="P551" s="230" t="str">
        <f>IF(OR('Input LwA_XYZ'!A10 = 0, NOT(ISBLANK(_xlfn.XLOOKUP(Tables!N$542, 'Input LwA_XYZ'!CM$1:DA$1, 'Input LwA_XYZ'!CM10:DA10)))), "", 'Input LwA_XYZ'!A10)</f>
        <v/>
      </c>
      <c r="Q551" s="225" t="str">
        <f>IF($P551="","",_xlfn.TEXTJOIN(" - ",TRUE,'Input LwA_XYZ'!B10:C10))</f>
        <v/>
      </c>
      <c r="R551" s="231" t="str">
        <f>IF($P551="","",'Input LwA_XYZ'!Q10)</f>
        <v/>
      </c>
      <c r="S551" s="227" t="str">
        <f>IF($P551="","",ROUND(_xlfn.XLOOKUP(Tables!$N$542,'Input LwA_XYZ'!$AH$1:$AV$1,'Input LwA_XYZ'!AH10:AV10),0))</f>
        <v/>
      </c>
      <c r="T551" s="228" t="str">
        <f>IF($P551="","",-1*ROUND(_xlfn.XLOOKUP(Tables!$N$542,'Input LwA_XYZ'!$AY$1:$BM$1,'Input LwA_XYZ'!AY10:BM10),0))</f>
        <v/>
      </c>
      <c r="U551" s="228" t="str">
        <f>IF($P551="","",IF(_xlfn.XLOOKUP(Tables!$N$542,'Input LwA_XYZ'!$BV$1:$CJ$1,'Input LwA_XYZ'!BV10:CJ10)="","-",_xlfn.XLOOKUP(Tables!$N$542,'Input LwA_XYZ'!$BV$1:$CJ$1,'Input LwA_XYZ'!BV10:CJ10)))</f>
        <v/>
      </c>
      <c r="V551" s="228" t="str">
        <f>IF($P551="","",IF('Input LwA_XYZ'!S10="","-",'Input LwA_XYZ'!S10))</f>
        <v/>
      </c>
      <c r="W551" s="229" t="str" cm="1">
        <f t="array" ref="W551">IF($P551="","",IF(_xlfn.XLOOKUP(Tables!$N$542,_xlfn.ANCHORARRAY('Input LwA_XYZ'!$DD$1),'Input LwA_XYZ'!DD10:DR10)="","-",_xlfn.XLOOKUP(Tables!$N$542,_xlfn.ANCHORARRAY('Input LwA_XYZ'!$DD$1),'Input LwA_XYZ'!DD10:DR10)))</f>
        <v/>
      </c>
      <c r="X551" s="62" t="str">
        <f>IF($P551="","",_xlfn.XLOOKUP(Tables!$N$542,'Input LwA_XYZ'!$DU$1:$EI$1,'Input LwA_XYZ'!DU10:EI10))</f>
        <v/>
      </c>
    </row>
    <row r="552" spans="16:24" ht="16.5" x14ac:dyDescent="0.3">
      <c r="P552" s="230" t="str">
        <f>IF(OR('Input LwA_XYZ'!A11 = 0, NOT(ISBLANK(_xlfn.XLOOKUP(Tables!N$542, 'Input LwA_XYZ'!CM$1:DA$1, 'Input LwA_XYZ'!CM11:DA11)))), "", 'Input LwA_XYZ'!A11)</f>
        <v/>
      </c>
      <c r="Q552" s="225" t="str">
        <f>IF($P552="","",_xlfn.TEXTJOIN(" - ",TRUE,'Input LwA_XYZ'!B11:C11))</f>
        <v/>
      </c>
      <c r="R552" s="231" t="str">
        <f>IF($P552="","",'Input LwA_XYZ'!Q11)</f>
        <v/>
      </c>
      <c r="S552" s="227" t="str">
        <f>IF($P552="","",ROUND(_xlfn.XLOOKUP(Tables!$N$542,'Input LwA_XYZ'!$AH$1:$AV$1,'Input LwA_XYZ'!AH11:AV11),0))</f>
        <v/>
      </c>
      <c r="T552" s="228" t="str">
        <f>IF($P552="","",-1*ROUND(_xlfn.XLOOKUP(Tables!$N$542,'Input LwA_XYZ'!$AY$1:$BM$1,'Input LwA_XYZ'!AY11:BM11),0))</f>
        <v/>
      </c>
      <c r="U552" s="228" t="str">
        <f>IF($P552="","",IF(_xlfn.XLOOKUP(Tables!$N$542,'Input LwA_XYZ'!$BV$1:$CJ$1,'Input LwA_XYZ'!BV11:CJ11)="","-",_xlfn.XLOOKUP(Tables!$N$542,'Input LwA_XYZ'!$BV$1:$CJ$1,'Input LwA_XYZ'!BV11:CJ11)))</f>
        <v/>
      </c>
      <c r="V552" s="228" t="str">
        <f>IF($P552="","",IF('Input LwA_XYZ'!S11="","-",'Input LwA_XYZ'!S11))</f>
        <v/>
      </c>
      <c r="W552" s="229" t="str" cm="1">
        <f t="array" ref="W552">IF($P552="","",IF(_xlfn.XLOOKUP(Tables!$N$542,_xlfn.ANCHORARRAY('Input LwA_XYZ'!$DD$1),'Input LwA_XYZ'!DD11:DR11)="","-",_xlfn.XLOOKUP(Tables!$N$542,_xlfn.ANCHORARRAY('Input LwA_XYZ'!$DD$1),'Input LwA_XYZ'!DD11:DR11)))</f>
        <v/>
      </c>
      <c r="X552" s="62" t="str">
        <f>IF($P552="","",_xlfn.XLOOKUP(Tables!$N$542,'Input LwA_XYZ'!$DU$1:$EI$1,'Input LwA_XYZ'!DU11:EI11))</f>
        <v/>
      </c>
    </row>
    <row r="553" spans="16:24" ht="16.5" x14ac:dyDescent="0.3">
      <c r="P553" s="230" t="str">
        <f>IF(OR('Input LwA_XYZ'!A12 = 0, NOT(ISBLANK(_xlfn.XLOOKUP(Tables!N$542, 'Input LwA_XYZ'!CM$1:DA$1, 'Input LwA_XYZ'!CM12:DA12)))), "", 'Input LwA_XYZ'!A12)</f>
        <v/>
      </c>
      <c r="Q553" s="225" t="str">
        <f>IF($P553="","",_xlfn.TEXTJOIN(" - ",TRUE,'Input LwA_XYZ'!B12:C12))</f>
        <v/>
      </c>
      <c r="R553" s="231" t="str">
        <f>IF($P553="","",'Input LwA_XYZ'!Q12)</f>
        <v/>
      </c>
      <c r="S553" s="227" t="str">
        <f>IF($P553="","",ROUND(_xlfn.XLOOKUP(Tables!$N$542,'Input LwA_XYZ'!$AH$1:$AV$1,'Input LwA_XYZ'!AH12:AV12),0))</f>
        <v/>
      </c>
      <c r="T553" s="228" t="str">
        <f>IF($P553="","",-1*ROUND(_xlfn.XLOOKUP(Tables!$N$542,'Input LwA_XYZ'!$AY$1:$BM$1,'Input LwA_XYZ'!AY12:BM12),0))</f>
        <v/>
      </c>
      <c r="U553" s="228" t="str">
        <f>IF($P553="","",IF(_xlfn.XLOOKUP(Tables!$N$542,'Input LwA_XYZ'!$BV$1:$CJ$1,'Input LwA_XYZ'!BV12:CJ12)="","-",_xlfn.XLOOKUP(Tables!$N$542,'Input LwA_XYZ'!$BV$1:$CJ$1,'Input LwA_XYZ'!BV12:CJ12)))</f>
        <v/>
      </c>
      <c r="V553" s="228" t="str">
        <f>IF($P553="","",IF('Input LwA_XYZ'!S12="","-",'Input LwA_XYZ'!S12))</f>
        <v/>
      </c>
      <c r="W553" s="229" t="str" cm="1">
        <f t="array" ref="W553">IF($P553="","",IF(_xlfn.XLOOKUP(Tables!$N$542,_xlfn.ANCHORARRAY('Input LwA_XYZ'!$DD$1),'Input LwA_XYZ'!DD12:DR12)="","-",_xlfn.XLOOKUP(Tables!$N$542,_xlfn.ANCHORARRAY('Input LwA_XYZ'!$DD$1),'Input LwA_XYZ'!DD12:DR12)))</f>
        <v/>
      </c>
      <c r="X553" s="62" t="str">
        <f>IF($P553="","",_xlfn.XLOOKUP(Tables!$N$542,'Input LwA_XYZ'!$DU$1:$EI$1,'Input LwA_XYZ'!DU12:EI12))</f>
        <v/>
      </c>
    </row>
    <row r="554" spans="16:24" ht="16.5" x14ac:dyDescent="0.3">
      <c r="P554" s="230" t="str">
        <f>IF(OR('Input LwA_XYZ'!A13 = 0, NOT(ISBLANK(_xlfn.XLOOKUP(Tables!N$542, 'Input LwA_XYZ'!CM$1:DA$1, 'Input LwA_XYZ'!CM13:DA13)))), "", 'Input LwA_XYZ'!A13)</f>
        <v/>
      </c>
      <c r="Q554" s="225" t="str">
        <f>IF($P554="","",_xlfn.TEXTJOIN(" - ",TRUE,'Input LwA_XYZ'!B13:C13))</f>
        <v/>
      </c>
      <c r="R554" s="231" t="str">
        <f>IF($P554="","",'Input LwA_XYZ'!Q13)</f>
        <v/>
      </c>
      <c r="S554" s="227" t="str">
        <f>IF($P554="","",ROUND(_xlfn.XLOOKUP(Tables!$N$542,'Input LwA_XYZ'!$AH$1:$AV$1,'Input LwA_XYZ'!AH13:AV13),0))</f>
        <v/>
      </c>
      <c r="T554" s="228" t="str">
        <f>IF($P554="","",-1*ROUND(_xlfn.XLOOKUP(Tables!$N$542,'Input LwA_XYZ'!$AY$1:$BM$1,'Input LwA_XYZ'!AY13:BM13),0))</f>
        <v/>
      </c>
      <c r="U554" s="228" t="str">
        <f>IF($P554="","",IF(_xlfn.XLOOKUP(Tables!$N$542,'Input LwA_XYZ'!$BV$1:$CJ$1,'Input LwA_XYZ'!BV13:CJ13)="","-",_xlfn.XLOOKUP(Tables!$N$542,'Input LwA_XYZ'!$BV$1:$CJ$1,'Input LwA_XYZ'!BV13:CJ13)))</f>
        <v/>
      </c>
      <c r="V554" s="228" t="str">
        <f>IF($P554="","",IF('Input LwA_XYZ'!S13="","-",'Input LwA_XYZ'!S13))</f>
        <v/>
      </c>
      <c r="W554" s="229" t="str" cm="1">
        <f t="array" ref="W554">IF($P554="","",IF(_xlfn.XLOOKUP(Tables!$N$542,_xlfn.ANCHORARRAY('Input LwA_XYZ'!$DD$1),'Input LwA_XYZ'!DD13:DR13)="","-",_xlfn.XLOOKUP(Tables!$N$542,_xlfn.ANCHORARRAY('Input LwA_XYZ'!$DD$1),'Input LwA_XYZ'!DD13:DR13)))</f>
        <v/>
      </c>
      <c r="X554" s="62" t="str">
        <f>IF($P554="","",_xlfn.XLOOKUP(Tables!$N$542,'Input LwA_XYZ'!$DU$1:$EI$1,'Input LwA_XYZ'!DU13:EI13))</f>
        <v/>
      </c>
    </row>
    <row r="555" spans="16:24" ht="16.5" x14ac:dyDescent="0.3">
      <c r="P555" s="230" t="str">
        <f>IF(OR('Input LwA_XYZ'!A14 = 0, NOT(ISBLANK(_xlfn.XLOOKUP(Tables!N$542, 'Input LwA_XYZ'!CM$1:DA$1, 'Input LwA_XYZ'!CM14:DA14)))), "", 'Input LwA_XYZ'!A14)</f>
        <v/>
      </c>
      <c r="Q555" s="225" t="str">
        <f>IF($P555="","",_xlfn.TEXTJOIN(" - ",TRUE,'Input LwA_XYZ'!B14:C14))</f>
        <v/>
      </c>
      <c r="R555" s="231" t="str">
        <f>IF($P555="","",'Input LwA_XYZ'!Q14)</f>
        <v/>
      </c>
      <c r="S555" s="227" t="str">
        <f>IF($P555="","",ROUND(_xlfn.XLOOKUP(Tables!$N$542,'Input LwA_XYZ'!$AH$1:$AV$1,'Input LwA_XYZ'!AH14:AV14),0))</f>
        <v/>
      </c>
      <c r="T555" s="228" t="str">
        <f>IF($P555="","",-1*ROUND(_xlfn.XLOOKUP(Tables!$N$542,'Input LwA_XYZ'!$AY$1:$BM$1,'Input LwA_XYZ'!AY14:BM14),0))</f>
        <v/>
      </c>
      <c r="U555" s="228" t="str">
        <f>IF($P555="","",IF(_xlfn.XLOOKUP(Tables!$N$542,'Input LwA_XYZ'!$BV$1:$CJ$1,'Input LwA_XYZ'!BV14:CJ14)="","-",_xlfn.XLOOKUP(Tables!$N$542,'Input LwA_XYZ'!$BV$1:$CJ$1,'Input LwA_XYZ'!BV14:CJ14)))</f>
        <v/>
      </c>
      <c r="V555" s="228" t="str">
        <f>IF($P555="","",IF('Input LwA_XYZ'!S14="","-",'Input LwA_XYZ'!S14))</f>
        <v/>
      </c>
      <c r="W555" s="229" t="str" cm="1">
        <f t="array" ref="W555">IF($P555="","",IF(_xlfn.XLOOKUP(Tables!$N$542,_xlfn.ANCHORARRAY('Input LwA_XYZ'!$DD$1),'Input LwA_XYZ'!DD14:DR14)="","-",_xlfn.XLOOKUP(Tables!$N$542,_xlfn.ANCHORARRAY('Input LwA_XYZ'!$DD$1),'Input LwA_XYZ'!DD14:DR14)))</f>
        <v/>
      </c>
      <c r="X555" s="62" t="str">
        <f>IF($P555="","",_xlfn.XLOOKUP(Tables!$N$542,'Input LwA_XYZ'!$DU$1:$EI$1,'Input LwA_XYZ'!DU14:EI14))</f>
        <v/>
      </c>
    </row>
    <row r="556" spans="16:24" ht="16.5" x14ac:dyDescent="0.3">
      <c r="P556" s="230" t="str">
        <f>IF(OR('Input LwA_XYZ'!A15 = 0, NOT(ISBLANK(_xlfn.XLOOKUP(Tables!N$542, 'Input LwA_XYZ'!CM$1:DA$1, 'Input LwA_XYZ'!CM15:DA15)))), "", 'Input LwA_XYZ'!A15)</f>
        <v/>
      </c>
      <c r="Q556" s="225" t="str">
        <f>IF($P556="","",_xlfn.TEXTJOIN(" - ",TRUE,'Input LwA_XYZ'!B15:C15))</f>
        <v/>
      </c>
      <c r="R556" s="231" t="str">
        <f>IF($P556="","",'Input LwA_XYZ'!Q15)</f>
        <v/>
      </c>
      <c r="S556" s="227" t="str">
        <f>IF($P556="","",ROUND(_xlfn.XLOOKUP(Tables!$N$542,'Input LwA_XYZ'!$AH$1:$AV$1,'Input LwA_XYZ'!AH15:AV15),0))</f>
        <v/>
      </c>
      <c r="T556" s="228" t="str">
        <f>IF($P556="","",-1*ROUND(_xlfn.XLOOKUP(Tables!$N$542,'Input LwA_XYZ'!$AY$1:$BM$1,'Input LwA_XYZ'!AY15:BM15),0))</f>
        <v/>
      </c>
      <c r="U556" s="228" t="str">
        <f>IF($P556="","",IF(_xlfn.XLOOKUP(Tables!$N$542,'Input LwA_XYZ'!$BV$1:$CJ$1,'Input LwA_XYZ'!BV15:CJ15)="","-",_xlfn.XLOOKUP(Tables!$N$542,'Input LwA_XYZ'!$BV$1:$CJ$1,'Input LwA_XYZ'!BV15:CJ15)))</f>
        <v/>
      </c>
      <c r="V556" s="228" t="str">
        <f>IF($P556="","",IF('Input LwA_XYZ'!S15="","-",'Input LwA_XYZ'!S15))</f>
        <v/>
      </c>
      <c r="W556" s="229" t="str" cm="1">
        <f t="array" ref="W556">IF($P556="","",IF(_xlfn.XLOOKUP(Tables!$N$542,_xlfn.ANCHORARRAY('Input LwA_XYZ'!$DD$1),'Input LwA_XYZ'!DD15:DR15)="","-",_xlfn.XLOOKUP(Tables!$N$542,_xlfn.ANCHORARRAY('Input LwA_XYZ'!$DD$1),'Input LwA_XYZ'!DD15:DR15)))</f>
        <v/>
      </c>
      <c r="X556" s="62" t="str">
        <f>IF($P556="","",_xlfn.XLOOKUP(Tables!$N$542,'Input LwA_XYZ'!$DU$1:$EI$1,'Input LwA_XYZ'!DU15:EI15))</f>
        <v/>
      </c>
    </row>
    <row r="557" spans="16:24" ht="16.5" x14ac:dyDescent="0.3">
      <c r="P557" s="230" t="str">
        <f>IF(OR('Input LwA_XYZ'!A16 = 0, NOT(ISBLANK(_xlfn.XLOOKUP(Tables!N$542, 'Input LwA_XYZ'!CM$1:DA$1, 'Input LwA_XYZ'!CM16:DA16)))), "", 'Input LwA_XYZ'!A16)</f>
        <v/>
      </c>
      <c r="Q557" s="225" t="str">
        <f>IF($P557="","",_xlfn.TEXTJOIN(" - ",TRUE,'Input LwA_XYZ'!B16:C16))</f>
        <v/>
      </c>
      <c r="R557" s="231" t="str">
        <f>IF($P557="","",'Input LwA_XYZ'!Q16)</f>
        <v/>
      </c>
      <c r="S557" s="227" t="str">
        <f>IF($P557="","",ROUND(_xlfn.XLOOKUP(Tables!$N$542,'Input LwA_XYZ'!$AH$1:$AV$1,'Input LwA_XYZ'!AH16:AV16),0))</f>
        <v/>
      </c>
      <c r="T557" s="228" t="str">
        <f>IF($P557="","",-1*ROUND(_xlfn.XLOOKUP(Tables!$N$542,'Input LwA_XYZ'!$AY$1:$BM$1,'Input LwA_XYZ'!AY16:BM16),0))</f>
        <v/>
      </c>
      <c r="U557" s="228" t="str">
        <f>IF($P557="","",IF(_xlfn.XLOOKUP(Tables!$N$542,'Input LwA_XYZ'!$BV$1:$CJ$1,'Input LwA_XYZ'!BV16:CJ16)="","-",_xlfn.XLOOKUP(Tables!$N$542,'Input LwA_XYZ'!$BV$1:$CJ$1,'Input LwA_XYZ'!BV16:CJ16)))</f>
        <v/>
      </c>
      <c r="V557" s="228" t="str">
        <f>IF($P557="","",IF('Input LwA_XYZ'!S16="","-",'Input LwA_XYZ'!S16))</f>
        <v/>
      </c>
      <c r="W557" s="229" t="str" cm="1">
        <f t="array" ref="W557">IF($P557="","",IF(_xlfn.XLOOKUP(Tables!$N$542,_xlfn.ANCHORARRAY('Input LwA_XYZ'!$DD$1),'Input LwA_XYZ'!DD16:DR16)="","-",_xlfn.XLOOKUP(Tables!$N$542,_xlfn.ANCHORARRAY('Input LwA_XYZ'!$DD$1),'Input LwA_XYZ'!DD16:DR16)))</f>
        <v/>
      </c>
      <c r="X557" s="62" t="str">
        <f>IF($P557="","",_xlfn.XLOOKUP(Tables!$N$542,'Input LwA_XYZ'!$DU$1:$EI$1,'Input LwA_XYZ'!DU16:EI16))</f>
        <v/>
      </c>
    </row>
    <row r="558" spans="16:24" ht="16.5" x14ac:dyDescent="0.3">
      <c r="P558" s="230" t="str">
        <f>IF(OR('Input LwA_XYZ'!A17 = 0, NOT(ISBLANK(_xlfn.XLOOKUP(Tables!N$542, 'Input LwA_XYZ'!CM$1:DA$1, 'Input LwA_XYZ'!CM17:DA17)))), "", 'Input LwA_XYZ'!A17)</f>
        <v/>
      </c>
      <c r="Q558" s="225" t="str">
        <f>IF($P558="","",_xlfn.TEXTJOIN(" - ",TRUE,'Input LwA_XYZ'!B17:C17))</f>
        <v/>
      </c>
      <c r="R558" s="231" t="str">
        <f>IF($P558="","",'Input LwA_XYZ'!Q17)</f>
        <v/>
      </c>
      <c r="S558" s="227" t="str">
        <f>IF($P558="","",ROUND(_xlfn.XLOOKUP(Tables!$N$542,'Input LwA_XYZ'!$AH$1:$AV$1,'Input LwA_XYZ'!AH17:AV17),0))</f>
        <v/>
      </c>
      <c r="T558" s="228" t="str">
        <f>IF($P558="","",-1*ROUND(_xlfn.XLOOKUP(Tables!$N$542,'Input LwA_XYZ'!$AY$1:$BM$1,'Input LwA_XYZ'!AY17:BM17),0))</f>
        <v/>
      </c>
      <c r="U558" s="228" t="str">
        <f>IF($P558="","",IF(_xlfn.XLOOKUP(Tables!$N$542,'Input LwA_XYZ'!$BV$1:$CJ$1,'Input LwA_XYZ'!BV17:CJ17)="","-",_xlfn.XLOOKUP(Tables!$N$542,'Input LwA_XYZ'!$BV$1:$CJ$1,'Input LwA_XYZ'!BV17:CJ17)))</f>
        <v/>
      </c>
      <c r="V558" s="228" t="str">
        <f>IF($P558="","",IF('Input LwA_XYZ'!S17="","-",'Input LwA_XYZ'!S17))</f>
        <v/>
      </c>
      <c r="W558" s="229" t="str" cm="1">
        <f t="array" ref="W558">IF($P558="","",IF(_xlfn.XLOOKUP(Tables!$N$542,_xlfn.ANCHORARRAY('Input LwA_XYZ'!$DD$1),'Input LwA_XYZ'!DD17:DR17)="","-",_xlfn.XLOOKUP(Tables!$N$542,_xlfn.ANCHORARRAY('Input LwA_XYZ'!$DD$1),'Input LwA_XYZ'!DD17:DR17)))</f>
        <v/>
      </c>
      <c r="X558" s="62" t="str">
        <f>IF($P558="","",_xlfn.XLOOKUP(Tables!$N$542,'Input LwA_XYZ'!$DU$1:$EI$1,'Input LwA_XYZ'!DU17:EI17))</f>
        <v/>
      </c>
    </row>
    <row r="559" spans="16:24" ht="16.5" x14ac:dyDescent="0.3">
      <c r="P559" s="230" t="str">
        <f>IF(OR('Input LwA_XYZ'!A18 = 0, NOT(ISBLANK(_xlfn.XLOOKUP(Tables!N$542, 'Input LwA_XYZ'!CM$1:DA$1, 'Input LwA_XYZ'!CM18:DA18)))), "", 'Input LwA_XYZ'!A18)</f>
        <v/>
      </c>
      <c r="Q559" s="225" t="str">
        <f>IF($P559="","",_xlfn.TEXTJOIN(" - ",TRUE,'Input LwA_XYZ'!B18:C18))</f>
        <v/>
      </c>
      <c r="R559" s="231" t="str">
        <f>IF($P559="","",'Input LwA_XYZ'!Q18)</f>
        <v/>
      </c>
      <c r="S559" s="227" t="str">
        <f>IF($P559="","",ROUND(_xlfn.XLOOKUP(Tables!$N$542,'Input LwA_XYZ'!$AH$1:$AV$1,'Input LwA_XYZ'!AH18:AV18),0))</f>
        <v/>
      </c>
      <c r="T559" s="228" t="str">
        <f>IF($P559="","",-1*ROUND(_xlfn.XLOOKUP(Tables!$N$542,'Input LwA_XYZ'!$AY$1:$BM$1,'Input LwA_XYZ'!AY18:BM18),0))</f>
        <v/>
      </c>
      <c r="U559" s="228" t="str">
        <f>IF($P559="","",IF(_xlfn.XLOOKUP(Tables!$N$542,'Input LwA_XYZ'!$BV$1:$CJ$1,'Input LwA_XYZ'!BV18:CJ18)="","-",_xlfn.XLOOKUP(Tables!$N$542,'Input LwA_XYZ'!$BV$1:$CJ$1,'Input LwA_XYZ'!BV18:CJ18)))</f>
        <v/>
      </c>
      <c r="V559" s="228" t="str">
        <f>IF($P559="","",IF('Input LwA_XYZ'!S18="","-",'Input LwA_XYZ'!S18))</f>
        <v/>
      </c>
      <c r="W559" s="229" t="str" cm="1">
        <f t="array" ref="W559">IF($P559="","",IF(_xlfn.XLOOKUP(Tables!$N$542,_xlfn.ANCHORARRAY('Input LwA_XYZ'!$DD$1),'Input LwA_XYZ'!DD18:DR18)="","-",_xlfn.XLOOKUP(Tables!$N$542,_xlfn.ANCHORARRAY('Input LwA_XYZ'!$DD$1),'Input LwA_XYZ'!DD18:DR18)))</f>
        <v/>
      </c>
      <c r="X559" s="62" t="str">
        <f>IF($P559="","",_xlfn.XLOOKUP(Tables!$N$542,'Input LwA_XYZ'!$DU$1:$EI$1,'Input LwA_XYZ'!DU18:EI18))</f>
        <v/>
      </c>
    </row>
    <row r="560" spans="16:24" ht="16.5" x14ac:dyDescent="0.3">
      <c r="P560" s="230" t="str">
        <f>IF(OR('Input LwA_XYZ'!A19 = 0, NOT(ISBLANK(_xlfn.XLOOKUP(Tables!N$542, 'Input LwA_XYZ'!CM$1:DA$1, 'Input LwA_XYZ'!CM19:DA19)))), "", 'Input LwA_XYZ'!A19)</f>
        <v/>
      </c>
      <c r="Q560" s="225" t="str">
        <f>IF($P560="","",_xlfn.TEXTJOIN(" - ",TRUE,'Input LwA_XYZ'!B19:C19))</f>
        <v/>
      </c>
      <c r="R560" s="231" t="str">
        <f>IF($P560="","",'Input LwA_XYZ'!Q19)</f>
        <v/>
      </c>
      <c r="S560" s="227" t="str">
        <f>IF($P560="","",ROUND(_xlfn.XLOOKUP(Tables!$N$542,'Input LwA_XYZ'!$AH$1:$AV$1,'Input LwA_XYZ'!AH19:AV19),0))</f>
        <v/>
      </c>
      <c r="T560" s="228" t="str">
        <f>IF($P560="","",-1*ROUND(_xlfn.XLOOKUP(Tables!$N$542,'Input LwA_XYZ'!$AY$1:$BM$1,'Input LwA_XYZ'!AY19:BM19),0))</f>
        <v/>
      </c>
      <c r="U560" s="228" t="str">
        <f>IF($P560="","",IF(_xlfn.XLOOKUP(Tables!$N$542,'Input LwA_XYZ'!$BV$1:$CJ$1,'Input LwA_XYZ'!BV19:CJ19)="","-",_xlfn.XLOOKUP(Tables!$N$542,'Input LwA_XYZ'!$BV$1:$CJ$1,'Input LwA_XYZ'!BV19:CJ19)))</f>
        <v/>
      </c>
      <c r="V560" s="228" t="str">
        <f>IF($P560="","",IF('Input LwA_XYZ'!S19="","-",'Input LwA_XYZ'!S19))</f>
        <v/>
      </c>
      <c r="W560" s="229" t="str" cm="1">
        <f t="array" ref="W560">IF($P560="","",IF(_xlfn.XLOOKUP(Tables!$N$542,_xlfn.ANCHORARRAY('Input LwA_XYZ'!$DD$1),'Input LwA_XYZ'!DD19:DR19)="","-",_xlfn.XLOOKUP(Tables!$N$542,_xlfn.ANCHORARRAY('Input LwA_XYZ'!$DD$1),'Input LwA_XYZ'!DD19:DR19)))</f>
        <v/>
      </c>
      <c r="X560" s="62" t="str">
        <f>IF($P560="","",_xlfn.XLOOKUP(Tables!$N$542,'Input LwA_XYZ'!$DU$1:$EI$1,'Input LwA_XYZ'!DU19:EI19))</f>
        <v/>
      </c>
    </row>
    <row r="561" spans="16:24" ht="16.5" x14ac:dyDescent="0.3">
      <c r="P561" s="230" t="str">
        <f>IF(OR('Input LwA_XYZ'!A20 = 0, NOT(ISBLANK(_xlfn.XLOOKUP(Tables!N$542, 'Input LwA_XYZ'!CM$1:DA$1, 'Input LwA_XYZ'!CM20:DA20)))), "", 'Input LwA_XYZ'!A20)</f>
        <v/>
      </c>
      <c r="Q561" s="225" t="str">
        <f>IF($P561="","",_xlfn.TEXTJOIN(" - ",TRUE,'Input LwA_XYZ'!B20:C20))</f>
        <v/>
      </c>
      <c r="R561" s="231" t="str">
        <f>IF($P561="","",'Input LwA_XYZ'!Q20)</f>
        <v/>
      </c>
      <c r="S561" s="227" t="str">
        <f>IF($P561="","",ROUND(_xlfn.XLOOKUP(Tables!$N$542,'Input LwA_XYZ'!$AH$1:$AV$1,'Input LwA_XYZ'!AH20:AV20),0))</f>
        <v/>
      </c>
      <c r="T561" s="228" t="str">
        <f>IF($P561="","",-1*ROUND(_xlfn.XLOOKUP(Tables!$N$542,'Input LwA_XYZ'!$AY$1:$BM$1,'Input LwA_XYZ'!AY20:BM20),0))</f>
        <v/>
      </c>
      <c r="U561" s="228" t="str">
        <f>IF($P561="","",IF(_xlfn.XLOOKUP(Tables!$N$542,'Input LwA_XYZ'!$BV$1:$CJ$1,'Input LwA_XYZ'!BV20:CJ20)="","-",_xlfn.XLOOKUP(Tables!$N$542,'Input LwA_XYZ'!$BV$1:$CJ$1,'Input LwA_XYZ'!BV20:CJ20)))</f>
        <v/>
      </c>
      <c r="V561" s="228" t="str">
        <f>IF($P561="","",IF('Input LwA_XYZ'!S20="","-",'Input LwA_XYZ'!S20))</f>
        <v/>
      </c>
      <c r="W561" s="229" t="str" cm="1">
        <f t="array" ref="W561">IF($P561="","",IF(_xlfn.XLOOKUP(Tables!$N$542,_xlfn.ANCHORARRAY('Input LwA_XYZ'!$DD$1),'Input LwA_XYZ'!DD20:DR20)="","-",_xlfn.XLOOKUP(Tables!$N$542,_xlfn.ANCHORARRAY('Input LwA_XYZ'!$DD$1),'Input LwA_XYZ'!DD20:DR20)))</f>
        <v/>
      </c>
      <c r="X561" s="62" t="str">
        <f>IF($P561="","",_xlfn.XLOOKUP(Tables!$N$542,'Input LwA_XYZ'!$DU$1:$EI$1,'Input LwA_XYZ'!DU20:EI20))</f>
        <v/>
      </c>
    </row>
    <row r="562" spans="16:24" ht="16.5" x14ac:dyDescent="0.3">
      <c r="P562" s="230" t="str">
        <f>IF(OR('Input LwA_XYZ'!A21 = 0, NOT(ISBLANK(_xlfn.XLOOKUP(Tables!N$542, 'Input LwA_XYZ'!CM$1:DA$1, 'Input LwA_XYZ'!CM21:DA21)))), "", 'Input LwA_XYZ'!A21)</f>
        <v/>
      </c>
      <c r="Q562" s="225" t="str">
        <f>IF($P562="","",_xlfn.TEXTJOIN(" - ",TRUE,'Input LwA_XYZ'!B21:C21))</f>
        <v/>
      </c>
      <c r="R562" s="231" t="str">
        <f>IF($P562="","",'Input LwA_XYZ'!Q21)</f>
        <v/>
      </c>
      <c r="S562" s="227" t="str">
        <f>IF($P562="","",ROUND(_xlfn.XLOOKUP(Tables!$N$542,'Input LwA_XYZ'!$AH$1:$AV$1,'Input LwA_XYZ'!AH21:AV21),0))</f>
        <v/>
      </c>
      <c r="T562" s="228" t="str">
        <f>IF($P562="","",-1*ROUND(_xlfn.XLOOKUP(Tables!$N$542,'Input LwA_XYZ'!$AY$1:$BM$1,'Input LwA_XYZ'!AY21:BM21),0))</f>
        <v/>
      </c>
      <c r="U562" s="228" t="str">
        <f>IF($P562="","",IF(_xlfn.XLOOKUP(Tables!$N$542,'Input LwA_XYZ'!$BV$1:$CJ$1,'Input LwA_XYZ'!BV21:CJ21)="","-",_xlfn.XLOOKUP(Tables!$N$542,'Input LwA_XYZ'!$BV$1:$CJ$1,'Input LwA_XYZ'!BV21:CJ21)))</f>
        <v/>
      </c>
      <c r="V562" s="228" t="str">
        <f>IF($P562="","",IF('Input LwA_XYZ'!S21="","-",'Input LwA_XYZ'!S21))</f>
        <v/>
      </c>
      <c r="W562" s="229" t="str" cm="1">
        <f t="array" ref="W562">IF($P562="","",IF(_xlfn.XLOOKUP(Tables!$N$542,_xlfn.ANCHORARRAY('Input LwA_XYZ'!$DD$1),'Input LwA_XYZ'!DD21:DR21)="","-",_xlfn.XLOOKUP(Tables!$N$542,_xlfn.ANCHORARRAY('Input LwA_XYZ'!$DD$1),'Input LwA_XYZ'!DD21:DR21)))</f>
        <v/>
      </c>
      <c r="X562" s="62" t="str">
        <f>IF($P562="","",_xlfn.XLOOKUP(Tables!$N$542,'Input LwA_XYZ'!$DU$1:$EI$1,'Input LwA_XYZ'!DU21:EI21))</f>
        <v/>
      </c>
    </row>
    <row r="563" spans="16:24" ht="16.5" x14ac:dyDescent="0.3">
      <c r="P563" s="230" t="str">
        <f>IF(OR('Input LwA_XYZ'!A22 = 0, NOT(ISBLANK(_xlfn.XLOOKUP(Tables!N$542, 'Input LwA_XYZ'!CM$1:DA$1, 'Input LwA_XYZ'!CM22:DA22)))), "", 'Input LwA_XYZ'!A22)</f>
        <v/>
      </c>
      <c r="Q563" s="225" t="str">
        <f>IF($P563="","",_xlfn.TEXTJOIN(" - ",TRUE,'Input LwA_XYZ'!B22:C22))</f>
        <v/>
      </c>
      <c r="R563" s="231" t="str">
        <f>IF($P563="","",'Input LwA_XYZ'!Q22)</f>
        <v/>
      </c>
      <c r="S563" s="227" t="str">
        <f>IF($P563="","",ROUND(_xlfn.XLOOKUP(Tables!$N$542,'Input LwA_XYZ'!$AH$1:$AV$1,'Input LwA_XYZ'!AH22:AV22),0))</f>
        <v/>
      </c>
      <c r="T563" s="228" t="str">
        <f>IF($P563="","",-1*ROUND(_xlfn.XLOOKUP(Tables!$N$542,'Input LwA_XYZ'!$AY$1:$BM$1,'Input LwA_XYZ'!AY22:BM22),0))</f>
        <v/>
      </c>
      <c r="U563" s="228" t="str">
        <f>IF($P563="","",IF(_xlfn.XLOOKUP(Tables!$N$542,'Input LwA_XYZ'!$BV$1:$CJ$1,'Input LwA_XYZ'!BV22:CJ22)="","-",_xlfn.XLOOKUP(Tables!$N$542,'Input LwA_XYZ'!$BV$1:$CJ$1,'Input LwA_XYZ'!BV22:CJ22)))</f>
        <v/>
      </c>
      <c r="V563" s="228" t="str">
        <f>IF($P563="","",IF('Input LwA_XYZ'!S22="","-",'Input LwA_XYZ'!S22))</f>
        <v/>
      </c>
      <c r="W563" s="229" t="str" cm="1">
        <f t="array" ref="W563">IF($P563="","",IF(_xlfn.XLOOKUP(Tables!$N$542,_xlfn.ANCHORARRAY('Input LwA_XYZ'!$DD$1),'Input LwA_XYZ'!DD22:DR22)="","-",_xlfn.XLOOKUP(Tables!$N$542,_xlfn.ANCHORARRAY('Input LwA_XYZ'!$DD$1),'Input LwA_XYZ'!DD22:DR22)))</f>
        <v/>
      </c>
      <c r="X563" s="62" t="str">
        <f>IF($P563="","",_xlfn.XLOOKUP(Tables!$N$542,'Input LwA_XYZ'!$DU$1:$EI$1,'Input LwA_XYZ'!DU22:EI22))</f>
        <v/>
      </c>
    </row>
    <row r="564" spans="16:24" ht="16.5" x14ac:dyDescent="0.3">
      <c r="P564" s="230" t="str">
        <f>IF(OR('Input LwA_XYZ'!A23 = 0, NOT(ISBLANK(_xlfn.XLOOKUP(Tables!N$542, 'Input LwA_XYZ'!CM$1:DA$1, 'Input LwA_XYZ'!CM23:DA23)))), "", 'Input LwA_XYZ'!A23)</f>
        <v/>
      </c>
      <c r="Q564" s="225" t="str">
        <f>IF($P564="","",_xlfn.TEXTJOIN(" - ",TRUE,'Input LwA_XYZ'!B23:C23))</f>
        <v/>
      </c>
      <c r="R564" s="231" t="str">
        <f>IF($P564="","",'Input LwA_XYZ'!Q23)</f>
        <v/>
      </c>
      <c r="S564" s="227" t="str">
        <f>IF($P564="","",ROUND(_xlfn.XLOOKUP(Tables!$N$542,'Input LwA_XYZ'!$AH$1:$AV$1,'Input LwA_XYZ'!AH23:AV23),0))</f>
        <v/>
      </c>
      <c r="T564" s="228" t="str">
        <f>IF($P564="","",-1*ROUND(_xlfn.XLOOKUP(Tables!$N$542,'Input LwA_XYZ'!$AY$1:$BM$1,'Input LwA_XYZ'!AY23:BM23),0))</f>
        <v/>
      </c>
      <c r="U564" s="228" t="str">
        <f>IF($P564="","",IF(_xlfn.XLOOKUP(Tables!$N$542,'Input LwA_XYZ'!$BV$1:$CJ$1,'Input LwA_XYZ'!BV23:CJ23)="","-",_xlfn.XLOOKUP(Tables!$N$542,'Input LwA_XYZ'!$BV$1:$CJ$1,'Input LwA_XYZ'!BV23:CJ23)))</f>
        <v/>
      </c>
      <c r="V564" s="228" t="str">
        <f>IF($P564="","",IF('Input LwA_XYZ'!S23="","-",'Input LwA_XYZ'!S23))</f>
        <v/>
      </c>
      <c r="W564" s="229" t="str" cm="1">
        <f t="array" ref="W564">IF($P564="","",IF(_xlfn.XLOOKUP(Tables!$N$542,_xlfn.ANCHORARRAY('Input LwA_XYZ'!$DD$1),'Input LwA_XYZ'!DD23:DR23)="","-",_xlfn.XLOOKUP(Tables!$N$542,_xlfn.ANCHORARRAY('Input LwA_XYZ'!$DD$1),'Input LwA_XYZ'!DD23:DR23)))</f>
        <v/>
      </c>
      <c r="X564" s="62" t="str">
        <f>IF($P564="","",_xlfn.XLOOKUP(Tables!$N$542,'Input LwA_XYZ'!$DU$1:$EI$1,'Input LwA_XYZ'!DU23:EI23))</f>
        <v/>
      </c>
    </row>
    <row r="565" spans="16:24" ht="16.5" x14ac:dyDescent="0.3">
      <c r="P565" s="230" t="str">
        <f>IF(OR('Input LwA_XYZ'!A24 = 0, NOT(ISBLANK(_xlfn.XLOOKUP(Tables!N$542, 'Input LwA_XYZ'!CM$1:DA$1, 'Input LwA_XYZ'!CM24:DA24)))), "", 'Input LwA_XYZ'!A24)</f>
        <v/>
      </c>
      <c r="Q565" s="225" t="str">
        <f>IF($P565="","",_xlfn.TEXTJOIN(" - ",TRUE,'Input LwA_XYZ'!B24:C24))</f>
        <v/>
      </c>
      <c r="R565" s="231" t="str">
        <f>IF($P565="","",'Input LwA_XYZ'!Q24)</f>
        <v/>
      </c>
      <c r="S565" s="227" t="str">
        <f>IF($P565="","",ROUND(_xlfn.XLOOKUP(Tables!$N$542,'Input LwA_XYZ'!$AH$1:$AV$1,'Input LwA_XYZ'!AH24:AV24),0))</f>
        <v/>
      </c>
      <c r="T565" s="228" t="str">
        <f>IF($P565="","",-1*ROUND(_xlfn.XLOOKUP(Tables!$N$542,'Input LwA_XYZ'!$AY$1:$BM$1,'Input LwA_XYZ'!AY24:BM24),0))</f>
        <v/>
      </c>
      <c r="U565" s="228" t="str">
        <f>IF($P565="","",IF(_xlfn.XLOOKUP(Tables!$N$542,'Input LwA_XYZ'!$BV$1:$CJ$1,'Input LwA_XYZ'!BV24:CJ24)="","-",_xlfn.XLOOKUP(Tables!$N$542,'Input LwA_XYZ'!$BV$1:$CJ$1,'Input LwA_XYZ'!BV24:CJ24)))</f>
        <v/>
      </c>
      <c r="V565" s="228" t="str">
        <f>IF($P565="","",IF('Input LwA_XYZ'!S24="","-",'Input LwA_XYZ'!S24))</f>
        <v/>
      </c>
      <c r="W565" s="229" t="str" cm="1">
        <f t="array" ref="W565">IF($P565="","",IF(_xlfn.XLOOKUP(Tables!$N$542,_xlfn.ANCHORARRAY('Input LwA_XYZ'!$DD$1),'Input LwA_XYZ'!DD24:DR24)="","-",_xlfn.XLOOKUP(Tables!$N$542,_xlfn.ANCHORARRAY('Input LwA_XYZ'!$DD$1),'Input LwA_XYZ'!DD24:DR24)))</f>
        <v/>
      </c>
      <c r="X565" s="62" t="str">
        <f>IF($P565="","",_xlfn.XLOOKUP(Tables!$N$542,'Input LwA_XYZ'!$DU$1:$EI$1,'Input LwA_XYZ'!DU24:EI24))</f>
        <v/>
      </c>
    </row>
    <row r="566" spans="16:24" ht="16.5" x14ac:dyDescent="0.3">
      <c r="P566" s="230" t="str">
        <f>IF(OR('Input LwA_XYZ'!A25 = 0, NOT(ISBLANK(_xlfn.XLOOKUP(Tables!N$542, 'Input LwA_XYZ'!CM$1:DA$1, 'Input LwA_XYZ'!CM25:DA25)))), "", 'Input LwA_XYZ'!A25)</f>
        <v/>
      </c>
      <c r="Q566" s="225" t="str">
        <f>IF($P566="","",_xlfn.TEXTJOIN(" - ",TRUE,'Input LwA_XYZ'!B25:C25))</f>
        <v/>
      </c>
      <c r="R566" s="231" t="str">
        <f>IF($P566="","",'Input LwA_XYZ'!Q25)</f>
        <v/>
      </c>
      <c r="S566" s="227" t="str">
        <f>IF($P566="","",ROUND(_xlfn.XLOOKUP(Tables!$N$542,'Input LwA_XYZ'!$AH$1:$AV$1,'Input LwA_XYZ'!AH25:AV25),0))</f>
        <v/>
      </c>
      <c r="T566" s="228" t="str">
        <f>IF($P566="","",-1*ROUND(_xlfn.XLOOKUP(Tables!$N$542,'Input LwA_XYZ'!$AY$1:$BM$1,'Input LwA_XYZ'!AY25:BM25),0))</f>
        <v/>
      </c>
      <c r="U566" s="228" t="str">
        <f>IF($P566="","",IF(_xlfn.XLOOKUP(Tables!$N$542,'Input LwA_XYZ'!$BV$1:$CJ$1,'Input LwA_XYZ'!BV25:CJ25)="","-",_xlfn.XLOOKUP(Tables!$N$542,'Input LwA_XYZ'!$BV$1:$CJ$1,'Input LwA_XYZ'!BV25:CJ25)))</f>
        <v/>
      </c>
      <c r="V566" s="228" t="str">
        <f>IF($P566="","",IF('Input LwA_XYZ'!S25="","-",'Input LwA_XYZ'!S25))</f>
        <v/>
      </c>
      <c r="W566" s="229" t="str" cm="1">
        <f t="array" ref="W566">IF($P566="","",IF(_xlfn.XLOOKUP(Tables!$N$542,_xlfn.ANCHORARRAY('Input LwA_XYZ'!$DD$1),'Input LwA_XYZ'!DD25:DR25)="","-",_xlfn.XLOOKUP(Tables!$N$542,_xlfn.ANCHORARRAY('Input LwA_XYZ'!$DD$1),'Input LwA_XYZ'!DD25:DR25)))</f>
        <v/>
      </c>
      <c r="X566" s="62" t="str">
        <f>IF($P566="","",_xlfn.XLOOKUP(Tables!$N$542,'Input LwA_XYZ'!$DU$1:$EI$1,'Input LwA_XYZ'!DU25:EI25))</f>
        <v/>
      </c>
    </row>
    <row r="567" spans="16:24" ht="16.5" x14ac:dyDescent="0.3">
      <c r="P567" s="230" t="str">
        <f>IF(OR('Input LwA_XYZ'!A26 = 0, NOT(ISBLANK(_xlfn.XLOOKUP(Tables!N$542, 'Input LwA_XYZ'!CM$1:DA$1, 'Input LwA_XYZ'!CM26:DA26)))), "", 'Input LwA_XYZ'!A26)</f>
        <v/>
      </c>
      <c r="Q567" s="225" t="str">
        <f>IF($P567="","",_xlfn.TEXTJOIN(" - ",TRUE,'Input LwA_XYZ'!B26:C26))</f>
        <v/>
      </c>
      <c r="R567" s="231" t="str">
        <f>IF($P567="","",'Input LwA_XYZ'!Q26)</f>
        <v/>
      </c>
      <c r="S567" s="227" t="str">
        <f>IF($P567="","",ROUND(_xlfn.XLOOKUP(Tables!$N$542,'Input LwA_XYZ'!$AH$1:$AV$1,'Input LwA_XYZ'!AH26:AV26),0))</f>
        <v/>
      </c>
      <c r="T567" s="228" t="str">
        <f>IF($P567="","",-1*ROUND(_xlfn.XLOOKUP(Tables!$N$542,'Input LwA_XYZ'!$AY$1:$BM$1,'Input LwA_XYZ'!AY26:BM26),0))</f>
        <v/>
      </c>
      <c r="U567" s="228" t="str">
        <f>IF($P567="","",IF(_xlfn.XLOOKUP(Tables!$N$542,'Input LwA_XYZ'!$BV$1:$CJ$1,'Input LwA_XYZ'!BV26:CJ26)="","-",_xlfn.XLOOKUP(Tables!$N$542,'Input LwA_XYZ'!$BV$1:$CJ$1,'Input LwA_XYZ'!BV26:CJ26)))</f>
        <v/>
      </c>
      <c r="V567" s="228" t="str">
        <f>IF($P567="","",IF('Input LwA_XYZ'!S26="","-",'Input LwA_XYZ'!S26))</f>
        <v/>
      </c>
      <c r="W567" s="229" t="str" cm="1">
        <f t="array" ref="W567">IF($P567="","",IF(_xlfn.XLOOKUP(Tables!$N$542,_xlfn.ANCHORARRAY('Input LwA_XYZ'!$DD$1),'Input LwA_XYZ'!DD26:DR26)="","-",_xlfn.XLOOKUP(Tables!$N$542,_xlfn.ANCHORARRAY('Input LwA_XYZ'!$DD$1),'Input LwA_XYZ'!DD26:DR26)))</f>
        <v/>
      </c>
      <c r="X567" s="62" t="str">
        <f>IF($P567="","",_xlfn.XLOOKUP(Tables!$N$542,'Input LwA_XYZ'!$DU$1:$EI$1,'Input LwA_XYZ'!DU26:EI26))</f>
        <v/>
      </c>
    </row>
    <row r="568" spans="16:24" ht="16.5" x14ac:dyDescent="0.3">
      <c r="P568" s="230" t="str">
        <f>IF(OR('Input LwA_XYZ'!A27 = 0, NOT(ISBLANK(_xlfn.XLOOKUP(Tables!N$542, 'Input LwA_XYZ'!CM$1:DA$1, 'Input LwA_XYZ'!CM27:DA27)))), "", 'Input LwA_XYZ'!A27)</f>
        <v/>
      </c>
      <c r="Q568" s="225" t="str">
        <f>IF($P568="","",_xlfn.TEXTJOIN(" - ",TRUE,'Input LwA_XYZ'!B27:C27))</f>
        <v/>
      </c>
      <c r="R568" s="231" t="str">
        <f>IF($P568="","",'Input LwA_XYZ'!Q27)</f>
        <v/>
      </c>
      <c r="S568" s="227" t="str">
        <f>IF($P568="","",ROUND(_xlfn.XLOOKUP(Tables!$N$542,'Input LwA_XYZ'!$AH$1:$AV$1,'Input LwA_XYZ'!AH27:AV27),0))</f>
        <v/>
      </c>
      <c r="T568" s="228" t="str">
        <f>IF($P568="","",-1*ROUND(_xlfn.XLOOKUP(Tables!$N$542,'Input LwA_XYZ'!$AY$1:$BM$1,'Input LwA_XYZ'!AY27:BM27),0))</f>
        <v/>
      </c>
      <c r="U568" s="228" t="str">
        <f>IF($P568="","",IF(_xlfn.XLOOKUP(Tables!$N$542,'Input LwA_XYZ'!$BV$1:$CJ$1,'Input LwA_XYZ'!BV27:CJ27)="","-",_xlfn.XLOOKUP(Tables!$N$542,'Input LwA_XYZ'!$BV$1:$CJ$1,'Input LwA_XYZ'!BV27:CJ27)))</f>
        <v/>
      </c>
      <c r="V568" s="228" t="str">
        <f>IF($P568="","",IF('Input LwA_XYZ'!S27="","-",'Input LwA_XYZ'!S27))</f>
        <v/>
      </c>
      <c r="W568" s="229" t="str" cm="1">
        <f t="array" ref="W568">IF($P568="","",IF(_xlfn.XLOOKUP(Tables!$N$542,_xlfn.ANCHORARRAY('Input LwA_XYZ'!$DD$1),'Input LwA_XYZ'!DD27:DR27)="","-",_xlfn.XLOOKUP(Tables!$N$542,_xlfn.ANCHORARRAY('Input LwA_XYZ'!$DD$1),'Input LwA_XYZ'!DD27:DR27)))</f>
        <v/>
      </c>
      <c r="X568" s="62" t="str">
        <f>IF($P568="","",_xlfn.XLOOKUP(Tables!$N$542,'Input LwA_XYZ'!$DU$1:$EI$1,'Input LwA_XYZ'!DU27:EI27))</f>
        <v/>
      </c>
    </row>
    <row r="569" spans="16:24" ht="16.5" x14ac:dyDescent="0.3">
      <c r="P569" s="230" t="str">
        <f>IF(OR('Input LwA_XYZ'!A28 = 0, NOT(ISBLANK(_xlfn.XLOOKUP(Tables!N$542, 'Input LwA_XYZ'!CM$1:DA$1, 'Input LwA_XYZ'!CM28:DA28)))), "", 'Input LwA_XYZ'!A28)</f>
        <v/>
      </c>
      <c r="Q569" s="225" t="str">
        <f>IF($P569="","",_xlfn.TEXTJOIN(" - ",TRUE,'Input LwA_XYZ'!B28:C28))</f>
        <v/>
      </c>
      <c r="R569" s="231" t="str">
        <f>IF($P569="","",'Input LwA_XYZ'!Q28)</f>
        <v/>
      </c>
      <c r="S569" s="227" t="str">
        <f>IF($P569="","",ROUND(_xlfn.XLOOKUP(Tables!$N$542,'Input LwA_XYZ'!$AH$1:$AV$1,'Input LwA_XYZ'!AH28:AV28),0))</f>
        <v/>
      </c>
      <c r="T569" s="228" t="str">
        <f>IF($P569="","",-1*ROUND(_xlfn.XLOOKUP(Tables!$N$542,'Input LwA_XYZ'!$AY$1:$BM$1,'Input LwA_XYZ'!AY28:BM28),0))</f>
        <v/>
      </c>
      <c r="U569" s="228" t="str">
        <f>IF($P569="","",IF(_xlfn.XLOOKUP(Tables!$N$542,'Input LwA_XYZ'!$BV$1:$CJ$1,'Input LwA_XYZ'!BV28:CJ28)="","-",_xlfn.XLOOKUP(Tables!$N$542,'Input LwA_XYZ'!$BV$1:$CJ$1,'Input LwA_XYZ'!BV28:CJ28)))</f>
        <v/>
      </c>
      <c r="V569" s="228" t="str">
        <f>IF($P569="","",IF('Input LwA_XYZ'!S28="","-",'Input LwA_XYZ'!S28))</f>
        <v/>
      </c>
      <c r="W569" s="229" t="str" cm="1">
        <f t="array" ref="W569">IF($P569="","",IF(_xlfn.XLOOKUP(Tables!$N$542,_xlfn.ANCHORARRAY('Input LwA_XYZ'!$DD$1),'Input LwA_XYZ'!DD28:DR28)="","-",_xlfn.XLOOKUP(Tables!$N$542,_xlfn.ANCHORARRAY('Input LwA_XYZ'!$DD$1),'Input LwA_XYZ'!DD28:DR28)))</f>
        <v/>
      </c>
      <c r="X569" s="62" t="str">
        <f>IF($P569="","",_xlfn.XLOOKUP(Tables!$N$542,'Input LwA_XYZ'!$DU$1:$EI$1,'Input LwA_XYZ'!DU28:EI28))</f>
        <v/>
      </c>
    </row>
    <row r="570" spans="16:24" ht="16.5" x14ac:dyDescent="0.3">
      <c r="P570" s="230" t="str">
        <f>IF(OR('Input LwA_XYZ'!A29 = 0, NOT(ISBLANK(_xlfn.XLOOKUP(Tables!N$542, 'Input LwA_XYZ'!CM$1:DA$1, 'Input LwA_XYZ'!CM29:DA29)))), "", 'Input LwA_XYZ'!A29)</f>
        <v/>
      </c>
      <c r="Q570" s="225" t="str">
        <f>IF($P570="","",_xlfn.TEXTJOIN(" - ",TRUE,'Input LwA_XYZ'!B29:C29))</f>
        <v/>
      </c>
      <c r="R570" s="231" t="str">
        <f>IF($P570="","",'Input LwA_XYZ'!Q29)</f>
        <v/>
      </c>
      <c r="S570" s="227" t="str">
        <f>IF($P570="","",ROUND(_xlfn.XLOOKUP(Tables!$N$542,'Input LwA_XYZ'!$AH$1:$AV$1,'Input LwA_XYZ'!AH29:AV29),0))</f>
        <v/>
      </c>
      <c r="T570" s="228" t="str">
        <f>IF($P570="","",-1*ROUND(_xlfn.XLOOKUP(Tables!$N$542,'Input LwA_XYZ'!$AY$1:$BM$1,'Input LwA_XYZ'!AY29:BM29),0))</f>
        <v/>
      </c>
      <c r="U570" s="228" t="str">
        <f>IF($P570="","",IF(_xlfn.XLOOKUP(Tables!$N$542,'Input LwA_XYZ'!$BV$1:$CJ$1,'Input LwA_XYZ'!BV29:CJ29)="","-",_xlfn.XLOOKUP(Tables!$N$542,'Input LwA_XYZ'!$BV$1:$CJ$1,'Input LwA_XYZ'!BV29:CJ29)))</f>
        <v/>
      </c>
      <c r="V570" s="228" t="str">
        <f>IF($P570="","",IF('Input LwA_XYZ'!S29="","-",'Input LwA_XYZ'!S29))</f>
        <v/>
      </c>
      <c r="W570" s="229" t="str" cm="1">
        <f t="array" ref="W570">IF($P570="","",IF(_xlfn.XLOOKUP(Tables!$N$542,_xlfn.ANCHORARRAY('Input LwA_XYZ'!$DD$1),'Input LwA_XYZ'!DD29:DR29)="","-",_xlfn.XLOOKUP(Tables!$N$542,_xlfn.ANCHORARRAY('Input LwA_XYZ'!$DD$1),'Input LwA_XYZ'!DD29:DR29)))</f>
        <v/>
      </c>
      <c r="X570" s="62" t="str">
        <f>IF($P570="","",_xlfn.XLOOKUP(Tables!$N$542,'Input LwA_XYZ'!$DU$1:$EI$1,'Input LwA_XYZ'!DU29:EI29))</f>
        <v/>
      </c>
    </row>
    <row r="571" spans="16:24" ht="16.5" x14ac:dyDescent="0.3">
      <c r="P571" s="230" t="str">
        <f>IF(OR('Input LwA_XYZ'!A30 = 0, NOT(ISBLANK(_xlfn.XLOOKUP(Tables!N$542, 'Input LwA_XYZ'!CM$1:DA$1, 'Input LwA_XYZ'!CM30:DA30)))), "", 'Input LwA_XYZ'!A30)</f>
        <v/>
      </c>
      <c r="Q571" s="225" t="str">
        <f>IF($P571="","",_xlfn.TEXTJOIN(" - ",TRUE,'Input LwA_XYZ'!B30:C30))</f>
        <v/>
      </c>
      <c r="R571" s="231" t="str">
        <f>IF($P571="","",'Input LwA_XYZ'!Q30)</f>
        <v/>
      </c>
      <c r="S571" s="227" t="str">
        <f>IF($P571="","",ROUND(_xlfn.XLOOKUP(Tables!$N$542,'Input LwA_XYZ'!$AH$1:$AV$1,'Input LwA_XYZ'!AH30:AV30),0))</f>
        <v/>
      </c>
      <c r="T571" s="228" t="str">
        <f>IF($P571="","",-1*ROUND(_xlfn.XLOOKUP(Tables!$N$542,'Input LwA_XYZ'!$AY$1:$BM$1,'Input LwA_XYZ'!AY30:BM30),0))</f>
        <v/>
      </c>
      <c r="U571" s="228" t="str">
        <f>IF($P571="","",IF(_xlfn.XLOOKUP(Tables!$N$542,'Input LwA_XYZ'!$BV$1:$CJ$1,'Input LwA_XYZ'!BV30:CJ30)="","-",_xlfn.XLOOKUP(Tables!$N$542,'Input LwA_XYZ'!$BV$1:$CJ$1,'Input LwA_XYZ'!BV30:CJ30)))</f>
        <v/>
      </c>
      <c r="V571" s="228" t="str">
        <f>IF($P571="","",IF('Input LwA_XYZ'!S30="","-",'Input LwA_XYZ'!S30))</f>
        <v/>
      </c>
      <c r="W571" s="229" t="str" cm="1">
        <f t="array" ref="W571">IF($P571="","",IF(_xlfn.XLOOKUP(Tables!$N$542,_xlfn.ANCHORARRAY('Input LwA_XYZ'!$DD$1),'Input LwA_XYZ'!DD30:DR30)="","-",_xlfn.XLOOKUP(Tables!$N$542,_xlfn.ANCHORARRAY('Input LwA_XYZ'!$DD$1),'Input LwA_XYZ'!DD30:DR30)))</f>
        <v/>
      </c>
      <c r="X571" s="62" t="str">
        <f>IF($P571="","",_xlfn.XLOOKUP(Tables!$N$542,'Input LwA_XYZ'!$DU$1:$EI$1,'Input LwA_XYZ'!DU30:EI30))</f>
        <v/>
      </c>
    </row>
    <row r="572" spans="16:24" ht="16.5" x14ac:dyDescent="0.3">
      <c r="P572" s="230" t="str">
        <f>IF(OR('Input LwA_XYZ'!A31 = 0, NOT(ISBLANK(_xlfn.XLOOKUP(Tables!N$542, 'Input LwA_XYZ'!CM$1:DA$1, 'Input LwA_XYZ'!CM31:DA31)))), "", 'Input LwA_XYZ'!A31)</f>
        <v/>
      </c>
      <c r="Q572" s="225" t="str">
        <f>IF($P572="","",_xlfn.TEXTJOIN(" - ",TRUE,'Input LwA_XYZ'!B31:C31))</f>
        <v/>
      </c>
      <c r="R572" s="231" t="str">
        <f>IF($P572="","",'Input LwA_XYZ'!Q31)</f>
        <v/>
      </c>
      <c r="S572" s="227" t="str">
        <f>IF($P572="","",ROUND(_xlfn.XLOOKUP(Tables!$N$542,'Input LwA_XYZ'!$AH$1:$AV$1,'Input LwA_XYZ'!AH31:AV31),0))</f>
        <v/>
      </c>
      <c r="T572" s="228" t="str">
        <f>IF($P572="","",-1*ROUND(_xlfn.XLOOKUP(Tables!$N$542,'Input LwA_XYZ'!$AY$1:$BM$1,'Input LwA_XYZ'!AY31:BM31),0))</f>
        <v/>
      </c>
      <c r="U572" s="228" t="str">
        <f>IF($P572="","",IF(_xlfn.XLOOKUP(Tables!$N$542,'Input LwA_XYZ'!$BV$1:$CJ$1,'Input LwA_XYZ'!BV31:CJ31)="","-",_xlfn.XLOOKUP(Tables!$N$542,'Input LwA_XYZ'!$BV$1:$CJ$1,'Input LwA_XYZ'!BV31:CJ31)))</f>
        <v/>
      </c>
      <c r="V572" s="228" t="str">
        <f>IF($P572="","",IF('Input LwA_XYZ'!S31="","-",'Input LwA_XYZ'!S31))</f>
        <v/>
      </c>
      <c r="W572" s="229" t="str" cm="1">
        <f t="array" ref="W572">IF($P572="","",IF(_xlfn.XLOOKUP(Tables!$N$542,_xlfn.ANCHORARRAY('Input LwA_XYZ'!$DD$1),'Input LwA_XYZ'!DD31:DR31)="","-",_xlfn.XLOOKUP(Tables!$N$542,_xlfn.ANCHORARRAY('Input LwA_XYZ'!$DD$1),'Input LwA_XYZ'!DD31:DR31)))</f>
        <v/>
      </c>
      <c r="X572" s="62" t="str">
        <f>IF($P572="","",_xlfn.XLOOKUP(Tables!$N$542,'Input LwA_XYZ'!$DU$1:$EI$1,'Input LwA_XYZ'!DU31:EI31))</f>
        <v/>
      </c>
    </row>
    <row r="573" spans="16:24" ht="16.5" x14ac:dyDescent="0.3">
      <c r="P573" s="230" t="str">
        <f>IF(OR('Input LwA_XYZ'!A32 = 0, NOT(ISBLANK(_xlfn.XLOOKUP(Tables!N$542, 'Input LwA_XYZ'!CM$1:DA$1, 'Input LwA_XYZ'!CM32:DA32)))), "", 'Input LwA_XYZ'!A32)</f>
        <v/>
      </c>
      <c r="Q573" s="225" t="str">
        <f>IF($P573="","",_xlfn.TEXTJOIN(" - ",TRUE,'Input LwA_XYZ'!B32:C32))</f>
        <v/>
      </c>
      <c r="R573" s="231" t="str">
        <f>IF($P573="","",'Input LwA_XYZ'!Q32)</f>
        <v/>
      </c>
      <c r="S573" s="227" t="str">
        <f>IF($P573="","",ROUND(_xlfn.XLOOKUP(Tables!$N$542,'Input LwA_XYZ'!$AH$1:$AV$1,'Input LwA_XYZ'!AH32:AV32),0))</f>
        <v/>
      </c>
      <c r="T573" s="228" t="str">
        <f>IF($P573="","",-1*ROUND(_xlfn.XLOOKUP(Tables!$N$542,'Input LwA_XYZ'!$AY$1:$BM$1,'Input LwA_XYZ'!AY32:BM32),0))</f>
        <v/>
      </c>
      <c r="U573" s="228" t="str">
        <f>IF($P573="","",IF(_xlfn.XLOOKUP(Tables!$N$542,'Input LwA_XYZ'!$BV$1:$CJ$1,'Input LwA_XYZ'!BV32:CJ32)="","-",_xlfn.XLOOKUP(Tables!$N$542,'Input LwA_XYZ'!$BV$1:$CJ$1,'Input LwA_XYZ'!BV32:CJ32)))</f>
        <v/>
      </c>
      <c r="V573" s="228" t="str">
        <f>IF($P573="","",IF('Input LwA_XYZ'!S32="","-",'Input LwA_XYZ'!S32))</f>
        <v/>
      </c>
      <c r="W573" s="229" t="str" cm="1">
        <f t="array" ref="W573">IF($P573="","",IF(_xlfn.XLOOKUP(Tables!$N$542,_xlfn.ANCHORARRAY('Input LwA_XYZ'!$DD$1),'Input LwA_XYZ'!DD32:DR32)="","-",_xlfn.XLOOKUP(Tables!$N$542,_xlfn.ANCHORARRAY('Input LwA_XYZ'!$DD$1),'Input LwA_XYZ'!DD32:DR32)))</f>
        <v/>
      </c>
      <c r="X573" s="62" t="str">
        <f>IF($P573="","",_xlfn.XLOOKUP(Tables!$N$542,'Input LwA_XYZ'!$DU$1:$EI$1,'Input LwA_XYZ'!DU32:EI32))</f>
        <v/>
      </c>
    </row>
    <row r="574" spans="16:24" ht="16.5" x14ac:dyDescent="0.3">
      <c r="P574" s="230" t="str">
        <f>IF(OR('Input LwA_XYZ'!A33 = 0, NOT(ISBLANK(_xlfn.XLOOKUP(Tables!N$542, 'Input LwA_XYZ'!CM$1:DA$1, 'Input LwA_XYZ'!CM33:DA33)))), "", 'Input LwA_XYZ'!A33)</f>
        <v/>
      </c>
      <c r="Q574" s="225" t="str">
        <f>IF($P574="","",_xlfn.TEXTJOIN(" - ",TRUE,'Input LwA_XYZ'!B33:C33))</f>
        <v/>
      </c>
      <c r="R574" s="231" t="str">
        <f>IF($P574="","",'Input LwA_XYZ'!Q33)</f>
        <v/>
      </c>
      <c r="S574" s="227" t="str">
        <f>IF($P574="","",ROUND(_xlfn.XLOOKUP(Tables!$N$542,'Input LwA_XYZ'!$AH$1:$AV$1,'Input LwA_XYZ'!AH33:AV33),0))</f>
        <v/>
      </c>
      <c r="T574" s="228" t="str">
        <f>IF($P574="","",-1*ROUND(_xlfn.XLOOKUP(Tables!$N$542,'Input LwA_XYZ'!$AY$1:$BM$1,'Input LwA_XYZ'!AY33:BM33),0))</f>
        <v/>
      </c>
      <c r="U574" s="228" t="str">
        <f>IF($P574="","",IF(_xlfn.XLOOKUP(Tables!$N$542,'Input LwA_XYZ'!$BV$1:$CJ$1,'Input LwA_XYZ'!BV33:CJ33)="","-",_xlfn.XLOOKUP(Tables!$N$542,'Input LwA_XYZ'!$BV$1:$CJ$1,'Input LwA_XYZ'!BV33:CJ33)))</f>
        <v/>
      </c>
      <c r="V574" s="228" t="str">
        <f>IF($P574="","",IF('Input LwA_XYZ'!S33="","-",'Input LwA_XYZ'!S33))</f>
        <v/>
      </c>
      <c r="W574" s="229" t="str" cm="1">
        <f t="array" ref="W574">IF($P574="","",IF(_xlfn.XLOOKUP(Tables!$N$542,_xlfn.ANCHORARRAY('Input LwA_XYZ'!$DD$1),'Input LwA_XYZ'!DD33:DR33)="","-",_xlfn.XLOOKUP(Tables!$N$542,_xlfn.ANCHORARRAY('Input LwA_XYZ'!$DD$1),'Input LwA_XYZ'!DD33:DR33)))</f>
        <v/>
      </c>
      <c r="X574" s="62" t="str">
        <f>IF($P574="","",_xlfn.XLOOKUP(Tables!$N$542,'Input LwA_XYZ'!$DU$1:$EI$1,'Input LwA_XYZ'!DU33:EI33))</f>
        <v/>
      </c>
    </row>
    <row r="575" spans="16:24" ht="16.5" x14ac:dyDescent="0.3">
      <c r="P575" s="230" t="str">
        <f>IF(OR('Input LwA_XYZ'!A34 = 0, NOT(ISBLANK(_xlfn.XLOOKUP(Tables!N$542, 'Input LwA_XYZ'!CM$1:DA$1, 'Input LwA_XYZ'!CM34:DA34)))), "", 'Input LwA_XYZ'!A34)</f>
        <v/>
      </c>
      <c r="Q575" s="225" t="str">
        <f>IF($P575="","",_xlfn.TEXTJOIN(" - ",TRUE,'Input LwA_XYZ'!B34:C34))</f>
        <v/>
      </c>
      <c r="R575" s="231" t="str">
        <f>IF($P575="","",'Input LwA_XYZ'!Q34)</f>
        <v/>
      </c>
      <c r="S575" s="227" t="str">
        <f>IF($P575="","",ROUND(_xlfn.XLOOKUP(Tables!$N$542,'Input LwA_XYZ'!$AH$1:$AV$1,'Input LwA_XYZ'!AH34:AV34),0))</f>
        <v/>
      </c>
      <c r="T575" s="228" t="str">
        <f>IF($P575="","",-1*ROUND(_xlfn.XLOOKUP(Tables!$N$542,'Input LwA_XYZ'!$AY$1:$BM$1,'Input LwA_XYZ'!AY34:BM34),0))</f>
        <v/>
      </c>
      <c r="U575" s="228" t="str">
        <f>IF($P575="","",IF(_xlfn.XLOOKUP(Tables!$N$542,'Input LwA_XYZ'!$BV$1:$CJ$1,'Input LwA_XYZ'!BV34:CJ34)="","-",_xlfn.XLOOKUP(Tables!$N$542,'Input LwA_XYZ'!$BV$1:$CJ$1,'Input LwA_XYZ'!BV34:CJ34)))</f>
        <v/>
      </c>
      <c r="V575" s="228" t="str">
        <f>IF($P575="","",IF('Input LwA_XYZ'!S34="","-",'Input LwA_XYZ'!S34))</f>
        <v/>
      </c>
      <c r="W575" s="229" t="str" cm="1">
        <f t="array" ref="W575">IF($P575="","",IF(_xlfn.XLOOKUP(Tables!$N$542,_xlfn.ANCHORARRAY('Input LwA_XYZ'!$DD$1),'Input LwA_XYZ'!DD34:DR34)="","-",_xlfn.XLOOKUP(Tables!$N$542,_xlfn.ANCHORARRAY('Input LwA_XYZ'!$DD$1),'Input LwA_XYZ'!DD34:DR34)))</f>
        <v/>
      </c>
      <c r="X575" s="62" t="str">
        <f>IF($P575="","",_xlfn.XLOOKUP(Tables!$N$542,'Input LwA_XYZ'!$DU$1:$EI$1,'Input LwA_XYZ'!DU34:EI34))</f>
        <v/>
      </c>
    </row>
    <row r="576" spans="16:24" ht="16.5" x14ac:dyDescent="0.3">
      <c r="P576" s="230" t="str">
        <f>IF(OR('Input LwA_XYZ'!A35 = 0, NOT(ISBLANK(_xlfn.XLOOKUP(Tables!N$542, 'Input LwA_XYZ'!CM$1:DA$1, 'Input LwA_XYZ'!CM35:DA35)))), "", 'Input LwA_XYZ'!A35)</f>
        <v/>
      </c>
      <c r="Q576" s="225" t="str">
        <f>IF($P576="","",_xlfn.TEXTJOIN(" - ",TRUE,'Input LwA_XYZ'!B35:C35))</f>
        <v/>
      </c>
      <c r="R576" s="231" t="str">
        <f>IF($P576="","",'Input LwA_XYZ'!Q35)</f>
        <v/>
      </c>
      <c r="S576" s="227" t="str">
        <f>IF($P576="","",ROUND(_xlfn.XLOOKUP(Tables!$N$542,'Input LwA_XYZ'!$AH$1:$AV$1,'Input LwA_XYZ'!AH35:AV35),0))</f>
        <v/>
      </c>
      <c r="T576" s="228" t="str">
        <f>IF($P576="","",-1*ROUND(_xlfn.XLOOKUP(Tables!$N$542,'Input LwA_XYZ'!$AY$1:$BM$1,'Input LwA_XYZ'!AY35:BM35),0))</f>
        <v/>
      </c>
      <c r="U576" s="228" t="str">
        <f>IF($P576="","",IF(_xlfn.XLOOKUP(Tables!$N$542,'Input LwA_XYZ'!$BV$1:$CJ$1,'Input LwA_XYZ'!BV35:CJ35)="","-",_xlfn.XLOOKUP(Tables!$N$542,'Input LwA_XYZ'!$BV$1:$CJ$1,'Input LwA_XYZ'!BV35:CJ35)))</f>
        <v/>
      </c>
      <c r="V576" s="228" t="str">
        <f>IF($P576="","",IF('Input LwA_XYZ'!S35="","-",'Input LwA_XYZ'!S35))</f>
        <v/>
      </c>
      <c r="W576" s="229" t="str" cm="1">
        <f t="array" ref="W576">IF($P576="","",IF(_xlfn.XLOOKUP(Tables!$N$542,_xlfn.ANCHORARRAY('Input LwA_XYZ'!$DD$1),'Input LwA_XYZ'!DD35:DR35)="","-",_xlfn.XLOOKUP(Tables!$N$542,_xlfn.ANCHORARRAY('Input LwA_XYZ'!$DD$1),'Input LwA_XYZ'!DD35:DR35)))</f>
        <v/>
      </c>
      <c r="X576" s="62" t="str">
        <f>IF($P576="","",_xlfn.XLOOKUP(Tables!$N$542,'Input LwA_XYZ'!$DU$1:$EI$1,'Input LwA_XYZ'!DU35:EI35))</f>
        <v/>
      </c>
    </row>
    <row r="577" spans="16:24" ht="16.5" x14ac:dyDescent="0.3">
      <c r="P577" s="230" t="str">
        <f>IF(OR('Input LwA_XYZ'!A36 = 0, NOT(ISBLANK(_xlfn.XLOOKUP(Tables!N$542, 'Input LwA_XYZ'!CM$1:DA$1, 'Input LwA_XYZ'!CM36:DA36)))), "", 'Input LwA_XYZ'!A36)</f>
        <v/>
      </c>
      <c r="Q577" s="225" t="str">
        <f>IF($P577="","",_xlfn.TEXTJOIN(" - ",TRUE,'Input LwA_XYZ'!B36:C36))</f>
        <v/>
      </c>
      <c r="R577" s="231" t="str">
        <f>IF($P577="","",'Input LwA_XYZ'!Q36)</f>
        <v/>
      </c>
      <c r="S577" s="227" t="str">
        <f>IF($P577="","",ROUND(_xlfn.XLOOKUP(Tables!$N$542,'Input LwA_XYZ'!$AH$1:$AV$1,'Input LwA_XYZ'!AH36:AV36),0))</f>
        <v/>
      </c>
      <c r="T577" s="228" t="str">
        <f>IF($P577="","",-1*ROUND(_xlfn.XLOOKUP(Tables!$N$542,'Input LwA_XYZ'!$AY$1:$BM$1,'Input LwA_XYZ'!AY36:BM36),0))</f>
        <v/>
      </c>
      <c r="U577" s="228" t="str">
        <f>IF($P577="","",IF(_xlfn.XLOOKUP(Tables!$N$542,'Input LwA_XYZ'!$BV$1:$CJ$1,'Input LwA_XYZ'!BV36:CJ36)="","-",_xlfn.XLOOKUP(Tables!$N$542,'Input LwA_XYZ'!$BV$1:$CJ$1,'Input LwA_XYZ'!BV36:CJ36)))</f>
        <v/>
      </c>
      <c r="V577" s="228" t="str">
        <f>IF($P577="","",IF('Input LwA_XYZ'!S36="","-",'Input LwA_XYZ'!S36))</f>
        <v/>
      </c>
      <c r="W577" s="229" t="str" cm="1">
        <f t="array" ref="W577">IF($P577="","",IF(_xlfn.XLOOKUP(Tables!$N$542,_xlfn.ANCHORARRAY('Input LwA_XYZ'!$DD$1),'Input LwA_XYZ'!DD36:DR36)="","-",_xlfn.XLOOKUP(Tables!$N$542,_xlfn.ANCHORARRAY('Input LwA_XYZ'!$DD$1),'Input LwA_XYZ'!DD36:DR36)))</f>
        <v/>
      </c>
      <c r="X577" s="62" t="str">
        <f>IF($P577="","",_xlfn.XLOOKUP(Tables!$N$542,'Input LwA_XYZ'!$DU$1:$EI$1,'Input LwA_XYZ'!DU36:EI36))</f>
        <v/>
      </c>
    </row>
    <row r="578" spans="16:24" ht="16.5" x14ac:dyDescent="0.3">
      <c r="P578" s="230" t="str">
        <f>IF(OR('Input LwA_XYZ'!A37 = 0, NOT(ISBLANK(_xlfn.XLOOKUP(Tables!N$542, 'Input LwA_XYZ'!CM$1:DA$1, 'Input LwA_XYZ'!CM37:DA37)))), "", 'Input LwA_XYZ'!A37)</f>
        <v/>
      </c>
      <c r="Q578" s="225" t="str">
        <f>IF($P578="","",_xlfn.TEXTJOIN(" - ",TRUE,'Input LwA_XYZ'!B37:C37))</f>
        <v/>
      </c>
      <c r="R578" s="231" t="str">
        <f>IF($P578="","",'Input LwA_XYZ'!Q37)</f>
        <v/>
      </c>
      <c r="S578" s="227" t="str">
        <f>IF($P578="","",ROUND(_xlfn.XLOOKUP(Tables!$N$542,'Input LwA_XYZ'!$AH$1:$AV$1,'Input LwA_XYZ'!AH37:AV37),0))</f>
        <v/>
      </c>
      <c r="T578" s="228" t="str">
        <f>IF($P578="","",-1*ROUND(_xlfn.XLOOKUP(Tables!$N$542,'Input LwA_XYZ'!$AY$1:$BM$1,'Input LwA_XYZ'!AY37:BM37),0))</f>
        <v/>
      </c>
      <c r="U578" s="228" t="str">
        <f>IF($P578="","",IF(_xlfn.XLOOKUP(Tables!$N$542,'Input LwA_XYZ'!$BV$1:$CJ$1,'Input LwA_XYZ'!BV37:CJ37)="","-",_xlfn.XLOOKUP(Tables!$N$542,'Input LwA_XYZ'!$BV$1:$CJ$1,'Input LwA_XYZ'!BV37:CJ37)))</f>
        <v/>
      </c>
      <c r="V578" s="228" t="str">
        <f>IF($P578="","",IF('Input LwA_XYZ'!S37="","-",'Input LwA_XYZ'!S37))</f>
        <v/>
      </c>
      <c r="W578" s="229" t="str" cm="1">
        <f t="array" ref="W578">IF($P578="","",IF(_xlfn.XLOOKUP(Tables!$N$542,_xlfn.ANCHORARRAY('Input LwA_XYZ'!$DD$1),'Input LwA_XYZ'!DD37:DR37)="","-",_xlfn.XLOOKUP(Tables!$N$542,_xlfn.ANCHORARRAY('Input LwA_XYZ'!$DD$1),'Input LwA_XYZ'!DD37:DR37)))</f>
        <v/>
      </c>
      <c r="X578" s="62" t="str">
        <f>IF($P578="","",_xlfn.XLOOKUP(Tables!$N$542,'Input LwA_XYZ'!$DU$1:$EI$1,'Input LwA_XYZ'!DU37:EI37))</f>
        <v/>
      </c>
    </row>
    <row r="579" spans="16:24" ht="16.5" x14ac:dyDescent="0.3">
      <c r="P579" s="230" t="str">
        <f>IF(OR('Input LwA_XYZ'!A38 = 0, NOT(ISBLANK(_xlfn.XLOOKUP(Tables!N$542, 'Input LwA_XYZ'!CM$1:DA$1, 'Input LwA_XYZ'!CM38:DA38)))), "", 'Input LwA_XYZ'!A38)</f>
        <v/>
      </c>
      <c r="Q579" s="225" t="str">
        <f>IF($P579="","",_xlfn.TEXTJOIN(" - ",TRUE,'Input LwA_XYZ'!B38:C38))</f>
        <v/>
      </c>
      <c r="R579" s="231" t="str">
        <f>IF($P579="","",'Input LwA_XYZ'!Q38)</f>
        <v/>
      </c>
      <c r="S579" s="227" t="str">
        <f>IF($P579="","",ROUND(_xlfn.XLOOKUP(Tables!$N$542,'Input LwA_XYZ'!$AH$1:$AV$1,'Input LwA_XYZ'!AH38:AV38),0))</f>
        <v/>
      </c>
      <c r="T579" s="228" t="str">
        <f>IF($P579="","",-1*ROUND(_xlfn.XLOOKUP(Tables!$N$542,'Input LwA_XYZ'!$AY$1:$BM$1,'Input LwA_XYZ'!AY38:BM38),0))</f>
        <v/>
      </c>
      <c r="U579" s="228" t="str">
        <f>IF($P579="","",IF(_xlfn.XLOOKUP(Tables!$N$542,'Input LwA_XYZ'!$BV$1:$CJ$1,'Input LwA_XYZ'!BV38:CJ38)="","-",_xlfn.XLOOKUP(Tables!$N$542,'Input LwA_XYZ'!$BV$1:$CJ$1,'Input LwA_XYZ'!BV38:CJ38)))</f>
        <v/>
      </c>
      <c r="V579" s="228" t="str">
        <f>IF($P579="","",IF('Input LwA_XYZ'!S38="","-",'Input LwA_XYZ'!S38))</f>
        <v/>
      </c>
      <c r="W579" s="229" t="str" cm="1">
        <f t="array" ref="W579">IF($P579="","",IF(_xlfn.XLOOKUP(Tables!$N$542,_xlfn.ANCHORARRAY('Input LwA_XYZ'!$DD$1),'Input LwA_XYZ'!DD38:DR38)="","-",_xlfn.XLOOKUP(Tables!$N$542,_xlfn.ANCHORARRAY('Input LwA_XYZ'!$DD$1),'Input LwA_XYZ'!DD38:DR38)))</f>
        <v/>
      </c>
      <c r="X579" s="62" t="str">
        <f>IF($P579="","",_xlfn.XLOOKUP(Tables!$N$542,'Input LwA_XYZ'!$DU$1:$EI$1,'Input LwA_XYZ'!DU38:EI38))</f>
        <v/>
      </c>
    </row>
    <row r="580" spans="16:24" ht="16.5" x14ac:dyDescent="0.3">
      <c r="P580" s="230" t="str">
        <f>IF(OR('Input LwA_XYZ'!A39 = 0, NOT(ISBLANK(_xlfn.XLOOKUP(Tables!N$542, 'Input LwA_XYZ'!CM$1:DA$1, 'Input LwA_XYZ'!CM39:DA39)))), "", 'Input LwA_XYZ'!A39)</f>
        <v/>
      </c>
      <c r="Q580" s="225" t="str">
        <f>IF($P580="","",_xlfn.TEXTJOIN(" - ",TRUE,'Input LwA_XYZ'!B39:C39))</f>
        <v/>
      </c>
      <c r="R580" s="231" t="str">
        <f>IF($P580="","",'Input LwA_XYZ'!Q39)</f>
        <v/>
      </c>
      <c r="S580" s="227" t="str">
        <f>IF($P580="","",ROUND(_xlfn.XLOOKUP(Tables!$N$542,'Input LwA_XYZ'!$AH$1:$AV$1,'Input LwA_XYZ'!AH39:AV39),0))</f>
        <v/>
      </c>
      <c r="T580" s="228" t="str">
        <f>IF($P580="","",-1*ROUND(_xlfn.XLOOKUP(Tables!$N$542,'Input LwA_XYZ'!$AY$1:$BM$1,'Input LwA_XYZ'!AY39:BM39),0))</f>
        <v/>
      </c>
      <c r="U580" s="228" t="str">
        <f>IF($P580="","",IF(_xlfn.XLOOKUP(Tables!$N$542,'Input LwA_XYZ'!$BV$1:$CJ$1,'Input LwA_XYZ'!BV39:CJ39)="","-",_xlfn.XLOOKUP(Tables!$N$542,'Input LwA_XYZ'!$BV$1:$CJ$1,'Input LwA_XYZ'!BV39:CJ39)))</f>
        <v/>
      </c>
      <c r="V580" s="228" t="str">
        <f>IF($P580="","",IF('Input LwA_XYZ'!S39="","-",'Input LwA_XYZ'!S39))</f>
        <v/>
      </c>
      <c r="W580" s="229" t="str" cm="1">
        <f t="array" ref="W580">IF($P580="","",IF(_xlfn.XLOOKUP(Tables!$N$542,_xlfn.ANCHORARRAY('Input LwA_XYZ'!$DD$1),'Input LwA_XYZ'!DD39:DR39)="","-",_xlfn.XLOOKUP(Tables!$N$542,_xlfn.ANCHORARRAY('Input LwA_XYZ'!$DD$1),'Input LwA_XYZ'!DD39:DR39)))</f>
        <v/>
      </c>
      <c r="X580" s="62" t="str">
        <f>IF($P580="","",_xlfn.XLOOKUP(Tables!$N$542,'Input LwA_XYZ'!$DU$1:$EI$1,'Input LwA_XYZ'!DU39:EI39))</f>
        <v/>
      </c>
    </row>
    <row r="581" spans="16:24" ht="16.5" x14ac:dyDescent="0.3">
      <c r="P581" s="230" t="str">
        <f>IF(OR('Input LwA_XYZ'!A40 = 0, NOT(ISBLANK(_xlfn.XLOOKUP(Tables!N$542, 'Input LwA_XYZ'!CM$1:DA$1, 'Input LwA_XYZ'!CM40:DA40)))), "", 'Input LwA_XYZ'!A40)</f>
        <v/>
      </c>
      <c r="Q581" s="225" t="str">
        <f>IF($P581="","",_xlfn.TEXTJOIN(" - ",TRUE,'Input LwA_XYZ'!B40:C40))</f>
        <v/>
      </c>
      <c r="R581" s="231" t="str">
        <f>IF($P581="","",'Input LwA_XYZ'!Q40)</f>
        <v/>
      </c>
      <c r="S581" s="227" t="str">
        <f>IF($P581="","",ROUND(_xlfn.XLOOKUP(Tables!$N$542,'Input LwA_XYZ'!$AH$1:$AV$1,'Input LwA_XYZ'!AH40:AV40),0))</f>
        <v/>
      </c>
      <c r="T581" s="228" t="str">
        <f>IF($P581="","",-1*ROUND(_xlfn.XLOOKUP(Tables!$N$542,'Input LwA_XYZ'!$AY$1:$BM$1,'Input LwA_XYZ'!AY40:BM40),0))</f>
        <v/>
      </c>
      <c r="U581" s="228" t="str">
        <f>IF($P581="","",IF(_xlfn.XLOOKUP(Tables!$N$542,'Input LwA_XYZ'!$BV$1:$CJ$1,'Input LwA_XYZ'!BV40:CJ40)="","-",_xlfn.XLOOKUP(Tables!$N$542,'Input LwA_XYZ'!$BV$1:$CJ$1,'Input LwA_XYZ'!BV40:CJ40)))</f>
        <v/>
      </c>
      <c r="V581" s="228" t="str">
        <f>IF($P581="","",IF('Input LwA_XYZ'!S40="","-",'Input LwA_XYZ'!S40))</f>
        <v/>
      </c>
      <c r="W581" s="229" t="str" cm="1">
        <f t="array" ref="W581">IF($P581="","",IF(_xlfn.XLOOKUP(Tables!$N$542,_xlfn.ANCHORARRAY('Input LwA_XYZ'!$DD$1),'Input LwA_XYZ'!DD40:DR40)="","-",_xlfn.XLOOKUP(Tables!$N$542,_xlfn.ANCHORARRAY('Input LwA_XYZ'!$DD$1),'Input LwA_XYZ'!DD40:DR40)))</f>
        <v/>
      </c>
      <c r="X581" s="62" t="str">
        <f>IF($P581="","",_xlfn.XLOOKUP(Tables!$N$542,'Input LwA_XYZ'!$DU$1:$EI$1,'Input LwA_XYZ'!DU40:EI40))</f>
        <v/>
      </c>
    </row>
    <row r="582" spans="16:24" ht="16.5" x14ac:dyDescent="0.3">
      <c r="P582" s="230" t="str">
        <f>IF(OR('Input LwA_XYZ'!A41 = 0, NOT(ISBLANK(_xlfn.XLOOKUP(Tables!N$542, 'Input LwA_XYZ'!CM$1:DA$1, 'Input LwA_XYZ'!CM41:DA41)))), "", 'Input LwA_XYZ'!A41)</f>
        <v/>
      </c>
      <c r="Q582" s="225" t="str">
        <f>IF($P582="","",_xlfn.TEXTJOIN(" - ",TRUE,'Input LwA_XYZ'!B41:C41))</f>
        <v/>
      </c>
      <c r="R582" s="231" t="str">
        <f>IF($P582="","",'Input LwA_XYZ'!Q41)</f>
        <v/>
      </c>
      <c r="S582" s="227" t="str">
        <f>IF($P582="","",ROUND(_xlfn.XLOOKUP(Tables!$N$542,'Input LwA_XYZ'!$AH$1:$AV$1,'Input LwA_XYZ'!AH41:AV41),0))</f>
        <v/>
      </c>
      <c r="T582" s="228" t="str">
        <f>IF($P582="","",-1*ROUND(_xlfn.XLOOKUP(Tables!$N$542,'Input LwA_XYZ'!$AY$1:$BM$1,'Input LwA_XYZ'!AY41:BM41),0))</f>
        <v/>
      </c>
      <c r="U582" s="228" t="str">
        <f>IF($P582="","",IF(_xlfn.XLOOKUP(Tables!$N$542,'Input LwA_XYZ'!$BV$1:$CJ$1,'Input LwA_XYZ'!BV41:CJ41)="","-",_xlfn.XLOOKUP(Tables!$N$542,'Input LwA_XYZ'!$BV$1:$CJ$1,'Input LwA_XYZ'!BV41:CJ41)))</f>
        <v/>
      </c>
      <c r="V582" s="228" t="str">
        <f>IF($P582="","",IF('Input LwA_XYZ'!S41="","-",'Input LwA_XYZ'!S41))</f>
        <v/>
      </c>
      <c r="W582" s="229" t="str" cm="1">
        <f t="array" ref="W582">IF($P582="","",IF(_xlfn.XLOOKUP(Tables!$N$542,_xlfn.ANCHORARRAY('Input LwA_XYZ'!$DD$1),'Input LwA_XYZ'!DD41:DR41)="","-",_xlfn.XLOOKUP(Tables!$N$542,_xlfn.ANCHORARRAY('Input LwA_XYZ'!$DD$1),'Input LwA_XYZ'!DD41:DR41)))</f>
        <v/>
      </c>
      <c r="X582" s="62" t="str">
        <f>IF($P582="","",_xlfn.XLOOKUP(Tables!$N$542,'Input LwA_XYZ'!$DU$1:$EI$1,'Input LwA_XYZ'!DU41:EI41))</f>
        <v/>
      </c>
    </row>
    <row r="583" spans="16:24" ht="16.5" x14ac:dyDescent="0.3">
      <c r="P583" s="230" t="str">
        <f>IF(OR('Input LwA_XYZ'!A42 = 0, NOT(ISBLANK(_xlfn.XLOOKUP(Tables!N$542, 'Input LwA_XYZ'!CM$1:DA$1, 'Input LwA_XYZ'!CM42:DA42)))), "", 'Input LwA_XYZ'!A42)</f>
        <v/>
      </c>
      <c r="Q583" s="225" t="str">
        <f>IF($P583="","",_xlfn.TEXTJOIN(" - ",TRUE,'Input LwA_XYZ'!B42:C42))</f>
        <v/>
      </c>
      <c r="R583" s="231" t="str">
        <f>IF($P583="","",'Input LwA_XYZ'!Q42)</f>
        <v/>
      </c>
      <c r="S583" s="227" t="str">
        <f>IF($P583="","",ROUND(_xlfn.XLOOKUP(Tables!$N$542,'Input LwA_XYZ'!$AH$1:$AV$1,'Input LwA_XYZ'!AH42:AV42),0))</f>
        <v/>
      </c>
      <c r="T583" s="228" t="str">
        <f>IF($P583="","",-1*ROUND(_xlfn.XLOOKUP(Tables!$N$542,'Input LwA_XYZ'!$AY$1:$BM$1,'Input LwA_XYZ'!AY42:BM42),0))</f>
        <v/>
      </c>
      <c r="U583" s="228" t="str">
        <f>IF($P583="","",IF(_xlfn.XLOOKUP(Tables!$N$542,'Input LwA_XYZ'!$BV$1:$CJ$1,'Input LwA_XYZ'!BV42:CJ42)="","-",_xlfn.XLOOKUP(Tables!$N$542,'Input LwA_XYZ'!$BV$1:$CJ$1,'Input LwA_XYZ'!BV42:CJ42)))</f>
        <v/>
      </c>
      <c r="V583" s="228" t="str">
        <f>IF($P583="","",IF('Input LwA_XYZ'!S42="","-",'Input LwA_XYZ'!S42))</f>
        <v/>
      </c>
      <c r="W583" s="229" t="str" cm="1">
        <f t="array" ref="W583">IF($P583="","",IF(_xlfn.XLOOKUP(Tables!$N$542,_xlfn.ANCHORARRAY('Input LwA_XYZ'!$DD$1),'Input LwA_XYZ'!DD42:DR42)="","-",_xlfn.XLOOKUP(Tables!$N$542,_xlfn.ANCHORARRAY('Input LwA_XYZ'!$DD$1),'Input LwA_XYZ'!DD42:DR42)))</f>
        <v/>
      </c>
      <c r="X583" s="62" t="str">
        <f>IF($P583="","",_xlfn.XLOOKUP(Tables!$N$542,'Input LwA_XYZ'!$DU$1:$EI$1,'Input LwA_XYZ'!DU42:EI42))</f>
        <v/>
      </c>
    </row>
    <row r="584" spans="16:24" ht="16.5" x14ac:dyDescent="0.3">
      <c r="P584" s="230" t="str">
        <f>IF(OR('Input LwA_XYZ'!A43 = 0, NOT(ISBLANK(_xlfn.XLOOKUP(Tables!N$542, 'Input LwA_XYZ'!CM$1:DA$1, 'Input LwA_XYZ'!CM43:DA43)))), "", 'Input LwA_XYZ'!A43)</f>
        <v/>
      </c>
      <c r="Q584" s="225" t="str">
        <f>IF($P584="","",_xlfn.TEXTJOIN(" - ",TRUE,'Input LwA_XYZ'!B43:C43))</f>
        <v/>
      </c>
      <c r="R584" s="231" t="str">
        <f>IF($P584="","",'Input LwA_XYZ'!Q43)</f>
        <v/>
      </c>
      <c r="S584" s="227" t="str">
        <f>IF($P584="","",ROUND(_xlfn.XLOOKUP(Tables!$N$542,'Input LwA_XYZ'!$AH$1:$AV$1,'Input LwA_XYZ'!AH43:AV43),0))</f>
        <v/>
      </c>
      <c r="T584" s="228" t="str">
        <f>IF($P584="","",-1*ROUND(_xlfn.XLOOKUP(Tables!$N$542,'Input LwA_XYZ'!$AY$1:$BM$1,'Input LwA_XYZ'!AY43:BM43),0))</f>
        <v/>
      </c>
      <c r="U584" s="228" t="str">
        <f>IF($P584="","",IF(_xlfn.XLOOKUP(Tables!$N$542,'Input LwA_XYZ'!$BV$1:$CJ$1,'Input LwA_XYZ'!BV43:CJ43)="","-",_xlfn.XLOOKUP(Tables!$N$542,'Input LwA_XYZ'!$BV$1:$CJ$1,'Input LwA_XYZ'!BV43:CJ43)))</f>
        <v/>
      </c>
      <c r="V584" s="228" t="str">
        <f>IF($P584="","",IF('Input LwA_XYZ'!S43="","-",'Input LwA_XYZ'!S43))</f>
        <v/>
      </c>
      <c r="W584" s="229" t="str" cm="1">
        <f t="array" ref="W584">IF($P584="","",IF(_xlfn.XLOOKUP(Tables!$N$542,_xlfn.ANCHORARRAY('Input LwA_XYZ'!$DD$1),'Input LwA_XYZ'!DD43:DR43)="","-",_xlfn.XLOOKUP(Tables!$N$542,_xlfn.ANCHORARRAY('Input LwA_XYZ'!$DD$1),'Input LwA_XYZ'!DD43:DR43)))</f>
        <v/>
      </c>
      <c r="X584" s="62" t="str">
        <f>IF($P584="","",_xlfn.XLOOKUP(Tables!$N$542,'Input LwA_XYZ'!$DU$1:$EI$1,'Input LwA_XYZ'!DU43:EI43))</f>
        <v/>
      </c>
    </row>
    <row r="585" spans="16:24" ht="16.5" x14ac:dyDescent="0.3">
      <c r="P585" s="230" t="str">
        <f>IF(OR('Input LwA_XYZ'!A44 = 0, NOT(ISBLANK(_xlfn.XLOOKUP(Tables!N$542, 'Input LwA_XYZ'!CM$1:DA$1, 'Input LwA_XYZ'!CM44:DA44)))), "", 'Input LwA_XYZ'!A44)</f>
        <v/>
      </c>
      <c r="Q585" s="225" t="str">
        <f>IF($P585="","",_xlfn.TEXTJOIN(" - ",TRUE,'Input LwA_XYZ'!B44:C44))</f>
        <v/>
      </c>
      <c r="R585" s="231" t="str">
        <f>IF($P585="","",'Input LwA_XYZ'!Q44)</f>
        <v/>
      </c>
      <c r="S585" s="227" t="str">
        <f>IF($P585="","",ROUND(_xlfn.XLOOKUP(Tables!$N$542,'Input LwA_XYZ'!$AH$1:$AV$1,'Input LwA_XYZ'!AH44:AV44),0))</f>
        <v/>
      </c>
      <c r="T585" s="228" t="str">
        <f>IF($P585="","",-1*ROUND(_xlfn.XLOOKUP(Tables!$N$542,'Input LwA_XYZ'!$AY$1:$BM$1,'Input LwA_XYZ'!AY44:BM44),0))</f>
        <v/>
      </c>
      <c r="U585" s="228" t="str">
        <f>IF($P585="","",IF(_xlfn.XLOOKUP(Tables!$N$542,'Input LwA_XYZ'!$BV$1:$CJ$1,'Input LwA_XYZ'!BV44:CJ44)="","-",_xlfn.XLOOKUP(Tables!$N$542,'Input LwA_XYZ'!$BV$1:$CJ$1,'Input LwA_XYZ'!BV44:CJ44)))</f>
        <v/>
      </c>
      <c r="V585" s="228" t="str">
        <f>IF($P585="","",IF('Input LwA_XYZ'!S44="","-",'Input LwA_XYZ'!S44))</f>
        <v/>
      </c>
      <c r="W585" s="229" t="str" cm="1">
        <f t="array" ref="W585">IF($P585="","",IF(_xlfn.XLOOKUP(Tables!$N$542,_xlfn.ANCHORARRAY('Input LwA_XYZ'!$DD$1),'Input LwA_XYZ'!DD44:DR44)="","-",_xlfn.XLOOKUP(Tables!$N$542,_xlfn.ANCHORARRAY('Input LwA_XYZ'!$DD$1),'Input LwA_XYZ'!DD44:DR44)))</f>
        <v/>
      </c>
      <c r="X585" s="62" t="str">
        <f>IF($P585="","",_xlfn.XLOOKUP(Tables!$N$542,'Input LwA_XYZ'!$DU$1:$EI$1,'Input LwA_XYZ'!DU44:EI44))</f>
        <v/>
      </c>
    </row>
    <row r="586" spans="16:24" ht="16.5" x14ac:dyDescent="0.3">
      <c r="P586" s="230" t="str">
        <f>IF(OR('Input LwA_XYZ'!A45 = 0, NOT(ISBLANK(_xlfn.XLOOKUP(Tables!N$542, 'Input LwA_XYZ'!CM$1:DA$1, 'Input LwA_XYZ'!CM45:DA45)))), "", 'Input LwA_XYZ'!A45)</f>
        <v/>
      </c>
      <c r="Q586" s="225" t="str">
        <f>IF($P586="","",_xlfn.TEXTJOIN(" - ",TRUE,'Input LwA_XYZ'!B45:C45))</f>
        <v/>
      </c>
      <c r="R586" s="231" t="str">
        <f>IF($P586="","",'Input LwA_XYZ'!Q45)</f>
        <v/>
      </c>
      <c r="S586" s="227" t="str">
        <f>IF($P586="","",ROUND(_xlfn.XLOOKUP(Tables!$N$542,'Input LwA_XYZ'!$AH$1:$AV$1,'Input LwA_XYZ'!AH45:AV45),0))</f>
        <v/>
      </c>
      <c r="T586" s="228" t="str">
        <f>IF($P586="","",-1*ROUND(_xlfn.XLOOKUP(Tables!$N$542,'Input LwA_XYZ'!$AY$1:$BM$1,'Input LwA_XYZ'!AY45:BM45),0))</f>
        <v/>
      </c>
      <c r="U586" s="228" t="str">
        <f>IF($P586="","",IF(_xlfn.XLOOKUP(Tables!$N$542,'Input LwA_XYZ'!$BV$1:$CJ$1,'Input LwA_XYZ'!BV45:CJ45)="","-",_xlfn.XLOOKUP(Tables!$N$542,'Input LwA_XYZ'!$BV$1:$CJ$1,'Input LwA_XYZ'!BV45:CJ45)))</f>
        <v/>
      </c>
      <c r="V586" s="228" t="str">
        <f>IF($P586="","",IF('Input LwA_XYZ'!S45="","-",'Input LwA_XYZ'!S45))</f>
        <v/>
      </c>
      <c r="W586" s="229" t="str" cm="1">
        <f t="array" ref="W586">IF($P586="","",IF(_xlfn.XLOOKUP(Tables!$N$542,_xlfn.ANCHORARRAY('Input LwA_XYZ'!$DD$1),'Input LwA_XYZ'!DD45:DR45)="","-",_xlfn.XLOOKUP(Tables!$N$542,_xlfn.ANCHORARRAY('Input LwA_XYZ'!$DD$1),'Input LwA_XYZ'!DD45:DR45)))</f>
        <v/>
      </c>
      <c r="X586" s="62" t="str">
        <f>IF($P586="","",_xlfn.XLOOKUP(Tables!$N$542,'Input LwA_XYZ'!$DU$1:$EI$1,'Input LwA_XYZ'!DU45:EI45))</f>
        <v/>
      </c>
    </row>
    <row r="587" spans="16:24" ht="16.5" x14ac:dyDescent="0.3">
      <c r="P587" s="230" t="str">
        <f>IF(OR('Input LwA_XYZ'!A46 = 0, NOT(ISBLANK(_xlfn.XLOOKUP(Tables!N$542, 'Input LwA_XYZ'!CM$1:DA$1, 'Input LwA_XYZ'!CM46:DA46)))), "", 'Input LwA_XYZ'!A46)</f>
        <v/>
      </c>
      <c r="Q587" s="225" t="str">
        <f>IF($P587="","",_xlfn.TEXTJOIN(" - ",TRUE,'Input LwA_XYZ'!B46:C46))</f>
        <v/>
      </c>
      <c r="R587" s="231" t="str">
        <f>IF($P587="","",'Input LwA_XYZ'!Q46)</f>
        <v/>
      </c>
      <c r="S587" s="227" t="str">
        <f>IF($P587="","",ROUND(_xlfn.XLOOKUP(Tables!$N$542,'Input LwA_XYZ'!$AH$1:$AV$1,'Input LwA_XYZ'!AH46:AV46),0))</f>
        <v/>
      </c>
      <c r="T587" s="228" t="str">
        <f>IF($P587="","",-1*ROUND(_xlfn.XLOOKUP(Tables!$N$542,'Input LwA_XYZ'!$AY$1:$BM$1,'Input LwA_XYZ'!AY46:BM46),0))</f>
        <v/>
      </c>
      <c r="U587" s="228" t="str">
        <f>IF($P587="","",IF(_xlfn.XLOOKUP(Tables!$N$542,'Input LwA_XYZ'!$BV$1:$CJ$1,'Input LwA_XYZ'!BV46:CJ46)="","-",_xlfn.XLOOKUP(Tables!$N$542,'Input LwA_XYZ'!$BV$1:$CJ$1,'Input LwA_XYZ'!BV46:CJ46)))</f>
        <v/>
      </c>
      <c r="V587" s="228" t="str">
        <f>IF($P587="","",IF('Input LwA_XYZ'!S46="","-",'Input LwA_XYZ'!S46))</f>
        <v/>
      </c>
      <c r="W587" s="229" t="str" cm="1">
        <f t="array" ref="W587">IF($P587="","",IF(_xlfn.XLOOKUP(Tables!$N$542,_xlfn.ANCHORARRAY('Input LwA_XYZ'!$DD$1),'Input LwA_XYZ'!DD46:DR46)="","-",_xlfn.XLOOKUP(Tables!$N$542,_xlfn.ANCHORARRAY('Input LwA_XYZ'!$DD$1),'Input LwA_XYZ'!DD46:DR46)))</f>
        <v/>
      </c>
      <c r="X587" s="62" t="str">
        <f>IF($P587="","",_xlfn.XLOOKUP(Tables!$N$542,'Input LwA_XYZ'!$DU$1:$EI$1,'Input LwA_XYZ'!DU46:EI46))</f>
        <v/>
      </c>
    </row>
    <row r="588" spans="16:24" ht="16.5" x14ac:dyDescent="0.3">
      <c r="P588" s="230" t="str">
        <f>IF(OR('Input LwA_XYZ'!A47 = 0, NOT(ISBLANK(_xlfn.XLOOKUP(Tables!N$542, 'Input LwA_XYZ'!CM$1:DA$1, 'Input LwA_XYZ'!CM47:DA47)))), "", 'Input LwA_XYZ'!A47)</f>
        <v/>
      </c>
      <c r="Q588" s="225" t="str">
        <f>IF($P588="","",_xlfn.TEXTJOIN(" - ",TRUE,'Input LwA_XYZ'!B47:C47))</f>
        <v/>
      </c>
      <c r="R588" s="231" t="str">
        <f>IF($P588="","",'Input LwA_XYZ'!Q47)</f>
        <v/>
      </c>
      <c r="S588" s="227" t="str">
        <f>IF($P588="","",ROUND(_xlfn.XLOOKUP(Tables!$N$542,'Input LwA_XYZ'!$AH$1:$AV$1,'Input LwA_XYZ'!AH47:AV47),0))</f>
        <v/>
      </c>
      <c r="T588" s="228" t="str">
        <f>IF($P588="","",-1*ROUND(_xlfn.XLOOKUP(Tables!$N$542,'Input LwA_XYZ'!$AY$1:$BM$1,'Input LwA_XYZ'!AY47:BM47),0))</f>
        <v/>
      </c>
      <c r="U588" s="228" t="str">
        <f>IF($P588="","",IF(_xlfn.XLOOKUP(Tables!$N$542,'Input LwA_XYZ'!$BV$1:$CJ$1,'Input LwA_XYZ'!BV47:CJ47)="","-",_xlfn.XLOOKUP(Tables!$N$542,'Input LwA_XYZ'!$BV$1:$CJ$1,'Input LwA_XYZ'!BV47:CJ47)))</f>
        <v/>
      </c>
      <c r="V588" s="228" t="str">
        <f>IF($P588="","",IF('Input LwA_XYZ'!S47="","-",'Input LwA_XYZ'!S47))</f>
        <v/>
      </c>
      <c r="W588" s="229" t="str" cm="1">
        <f t="array" ref="W588">IF($P588="","",IF(_xlfn.XLOOKUP(Tables!$N$542,_xlfn.ANCHORARRAY('Input LwA_XYZ'!$DD$1),'Input LwA_XYZ'!DD47:DR47)="","-",_xlfn.XLOOKUP(Tables!$N$542,_xlfn.ANCHORARRAY('Input LwA_XYZ'!$DD$1),'Input LwA_XYZ'!DD47:DR47)))</f>
        <v/>
      </c>
      <c r="X588" s="62" t="str">
        <f>IF($P588="","",_xlfn.XLOOKUP(Tables!$N$542,'Input LwA_XYZ'!$DU$1:$EI$1,'Input LwA_XYZ'!DU47:EI47))</f>
        <v/>
      </c>
    </row>
    <row r="589" spans="16:24" ht="16.5" x14ac:dyDescent="0.3">
      <c r="P589" s="230" t="str">
        <f>IF(OR('Input LwA_XYZ'!A48 = 0, NOT(ISBLANK(_xlfn.XLOOKUP(Tables!N$542, 'Input LwA_XYZ'!CM$1:DA$1, 'Input LwA_XYZ'!CM48:DA48)))), "", 'Input LwA_XYZ'!A48)</f>
        <v/>
      </c>
      <c r="Q589" s="225" t="str">
        <f>IF($P589="","",_xlfn.TEXTJOIN(" - ",TRUE,'Input LwA_XYZ'!B48:C48))</f>
        <v/>
      </c>
      <c r="R589" s="231" t="str">
        <f>IF($P589="","",'Input LwA_XYZ'!Q48)</f>
        <v/>
      </c>
      <c r="S589" s="227" t="str">
        <f>IF($P589="","",ROUND(_xlfn.XLOOKUP(Tables!$N$542,'Input LwA_XYZ'!$AH$1:$AV$1,'Input LwA_XYZ'!AH48:AV48),0))</f>
        <v/>
      </c>
      <c r="T589" s="228" t="str">
        <f>IF($P589="","",-1*ROUND(_xlfn.XLOOKUP(Tables!$N$542,'Input LwA_XYZ'!$AY$1:$BM$1,'Input LwA_XYZ'!AY48:BM48),0))</f>
        <v/>
      </c>
      <c r="U589" s="228" t="str">
        <f>IF($P589="","",IF(_xlfn.XLOOKUP(Tables!$N$542,'Input LwA_XYZ'!$BV$1:$CJ$1,'Input LwA_XYZ'!BV48:CJ48)="","-",_xlfn.XLOOKUP(Tables!$N$542,'Input LwA_XYZ'!$BV$1:$CJ$1,'Input LwA_XYZ'!BV48:CJ48)))</f>
        <v/>
      </c>
      <c r="V589" s="228" t="str">
        <f>IF($P589="","",IF('Input LwA_XYZ'!S48="","-",'Input LwA_XYZ'!S48))</f>
        <v/>
      </c>
      <c r="W589" s="229" t="str" cm="1">
        <f t="array" ref="W589">IF($P589="","",IF(_xlfn.XLOOKUP(Tables!$N$542,_xlfn.ANCHORARRAY('Input LwA_XYZ'!$DD$1),'Input LwA_XYZ'!DD48:DR48)="","-",_xlfn.XLOOKUP(Tables!$N$542,_xlfn.ANCHORARRAY('Input LwA_XYZ'!$DD$1),'Input LwA_XYZ'!DD48:DR48)))</f>
        <v/>
      </c>
      <c r="X589" s="62" t="str">
        <f>IF($P589="","",_xlfn.XLOOKUP(Tables!$N$542,'Input LwA_XYZ'!$DU$1:$EI$1,'Input LwA_XYZ'!DU48:EI48))</f>
        <v/>
      </c>
    </row>
    <row r="590" spans="16:24" ht="16.5" x14ac:dyDescent="0.3">
      <c r="P590" s="230" t="str">
        <f>IF(OR('Input LwA_XYZ'!A49 = 0, NOT(ISBLANK(_xlfn.XLOOKUP(Tables!N$542, 'Input LwA_XYZ'!CM$1:DA$1, 'Input LwA_XYZ'!CM49:DA49)))), "", 'Input LwA_XYZ'!A49)</f>
        <v/>
      </c>
      <c r="Q590" s="225" t="str">
        <f>IF($P590="","",_xlfn.TEXTJOIN(" - ",TRUE,'Input LwA_XYZ'!B49:C49))</f>
        <v/>
      </c>
      <c r="R590" s="231" t="str">
        <f>IF($P590="","",'Input LwA_XYZ'!Q49)</f>
        <v/>
      </c>
      <c r="S590" s="227" t="str">
        <f>IF($P590="","",ROUND(_xlfn.XLOOKUP(Tables!$N$542,'Input LwA_XYZ'!$AH$1:$AV$1,'Input LwA_XYZ'!AH49:AV49),0))</f>
        <v/>
      </c>
      <c r="T590" s="228" t="str">
        <f>IF($P590="","",-1*ROUND(_xlfn.XLOOKUP(Tables!$N$542,'Input LwA_XYZ'!$AY$1:$BM$1,'Input LwA_XYZ'!AY49:BM49),0))</f>
        <v/>
      </c>
      <c r="U590" s="228" t="str">
        <f>IF($P590="","",IF(_xlfn.XLOOKUP(Tables!$N$542,'Input LwA_XYZ'!$BV$1:$CJ$1,'Input LwA_XYZ'!BV49:CJ49)="","-",_xlfn.XLOOKUP(Tables!$N$542,'Input LwA_XYZ'!$BV$1:$CJ$1,'Input LwA_XYZ'!BV49:CJ49)))</f>
        <v/>
      </c>
      <c r="V590" s="228" t="str">
        <f>IF($P590="","",IF('Input LwA_XYZ'!S49="","-",'Input LwA_XYZ'!S49))</f>
        <v/>
      </c>
      <c r="W590" s="229" t="str" cm="1">
        <f t="array" ref="W590">IF($P590="","",IF(_xlfn.XLOOKUP(Tables!$N$542,_xlfn.ANCHORARRAY('Input LwA_XYZ'!$DD$1),'Input LwA_XYZ'!DD49:DR49)="","-",_xlfn.XLOOKUP(Tables!$N$542,_xlfn.ANCHORARRAY('Input LwA_XYZ'!$DD$1),'Input LwA_XYZ'!DD49:DR49)))</f>
        <v/>
      </c>
      <c r="X590" s="62" t="str">
        <f>IF($P590="","",_xlfn.XLOOKUP(Tables!$N$542,'Input LwA_XYZ'!$DU$1:$EI$1,'Input LwA_XYZ'!DU49:EI49))</f>
        <v/>
      </c>
    </row>
    <row r="591" spans="16:24" ht="16.5" x14ac:dyDescent="0.3">
      <c r="P591" s="230" t="str">
        <f>IF(OR('Input LwA_XYZ'!A50 = 0, NOT(ISBLANK(_xlfn.XLOOKUP(Tables!N$542, 'Input LwA_XYZ'!CM$1:DA$1, 'Input LwA_XYZ'!CM50:DA50)))), "", 'Input LwA_XYZ'!A50)</f>
        <v/>
      </c>
      <c r="Q591" s="225" t="str">
        <f>IF($P591="","",_xlfn.TEXTJOIN(" - ",TRUE,'Input LwA_XYZ'!B50:C50))</f>
        <v/>
      </c>
      <c r="R591" s="231" t="str">
        <f>IF($P591="","",'Input LwA_XYZ'!Q50)</f>
        <v/>
      </c>
      <c r="S591" s="227" t="str">
        <f>IF($P591="","",ROUND(_xlfn.XLOOKUP(Tables!$N$542,'Input LwA_XYZ'!$AH$1:$AV$1,'Input LwA_XYZ'!AH50:AV50),0))</f>
        <v/>
      </c>
      <c r="T591" s="228" t="str">
        <f>IF($P591="","",-1*ROUND(_xlfn.XLOOKUP(Tables!$N$542,'Input LwA_XYZ'!$AY$1:$BM$1,'Input LwA_XYZ'!AY50:BM50),0))</f>
        <v/>
      </c>
      <c r="U591" s="228" t="str">
        <f>IF($P591="","",IF(_xlfn.XLOOKUP(Tables!$N$542,'Input LwA_XYZ'!$BV$1:$CJ$1,'Input LwA_XYZ'!BV50:CJ50)="","-",_xlfn.XLOOKUP(Tables!$N$542,'Input LwA_XYZ'!$BV$1:$CJ$1,'Input LwA_XYZ'!BV50:CJ50)))</f>
        <v/>
      </c>
      <c r="V591" s="228" t="str">
        <f>IF($P591="","",IF('Input LwA_XYZ'!S50="","-",'Input LwA_XYZ'!S50))</f>
        <v/>
      </c>
      <c r="W591" s="229" t="str" cm="1">
        <f t="array" ref="W591">IF($P591="","",IF(_xlfn.XLOOKUP(Tables!$N$542,_xlfn.ANCHORARRAY('Input LwA_XYZ'!$DD$1),'Input LwA_XYZ'!DD50:DR50)="","-",_xlfn.XLOOKUP(Tables!$N$542,_xlfn.ANCHORARRAY('Input LwA_XYZ'!$DD$1),'Input LwA_XYZ'!DD50:DR50)))</f>
        <v/>
      </c>
      <c r="X591" s="62" t="str">
        <f>IF($P591="","",_xlfn.XLOOKUP(Tables!$N$542,'Input LwA_XYZ'!$DU$1:$EI$1,'Input LwA_XYZ'!DU50:EI50))</f>
        <v/>
      </c>
    </row>
    <row r="592" spans="16:24" ht="16.5" x14ac:dyDescent="0.3">
      <c r="P592" s="230" t="str">
        <f>IF(OR('Input LwA_XYZ'!A51 = 0, NOT(ISBLANK(_xlfn.XLOOKUP(Tables!N$542, 'Input LwA_XYZ'!CM$1:DA$1, 'Input LwA_XYZ'!CM51:DA51)))), "", 'Input LwA_XYZ'!A51)</f>
        <v/>
      </c>
      <c r="Q592" s="225" t="str">
        <f>IF($P592="","",_xlfn.TEXTJOIN(" - ",TRUE,'Input LwA_XYZ'!B51:C51))</f>
        <v/>
      </c>
      <c r="R592" s="231" t="str">
        <f>IF($P592="","",'Input LwA_XYZ'!Q51)</f>
        <v/>
      </c>
      <c r="S592" s="227" t="str">
        <f>IF($P592="","",ROUND(_xlfn.XLOOKUP(Tables!$N$542,'Input LwA_XYZ'!$AH$1:$AV$1,'Input LwA_XYZ'!AH51:AV51),0))</f>
        <v/>
      </c>
      <c r="T592" s="228" t="str">
        <f>IF($P592="","",-1*ROUND(_xlfn.XLOOKUP(Tables!$N$542,'Input LwA_XYZ'!$AY$1:$BM$1,'Input LwA_XYZ'!AY51:BM51),0))</f>
        <v/>
      </c>
      <c r="U592" s="228" t="str">
        <f>IF($P592="","",IF(_xlfn.XLOOKUP(Tables!$N$542,'Input LwA_XYZ'!$BV$1:$CJ$1,'Input LwA_XYZ'!BV51:CJ51)="","-",_xlfn.XLOOKUP(Tables!$N$542,'Input LwA_XYZ'!$BV$1:$CJ$1,'Input LwA_XYZ'!BV51:CJ51)))</f>
        <v/>
      </c>
      <c r="V592" s="228" t="str">
        <f>IF($P592="","",IF('Input LwA_XYZ'!S51="","-",'Input LwA_XYZ'!S51))</f>
        <v/>
      </c>
      <c r="W592" s="229" t="str" cm="1">
        <f t="array" ref="W592">IF($P592="","",IF(_xlfn.XLOOKUP(Tables!$N$542,_xlfn.ANCHORARRAY('Input LwA_XYZ'!$DD$1),'Input LwA_XYZ'!DD51:DR51)="","-",_xlfn.XLOOKUP(Tables!$N$542,_xlfn.ANCHORARRAY('Input LwA_XYZ'!$DD$1),'Input LwA_XYZ'!DD51:DR51)))</f>
        <v/>
      </c>
      <c r="X592" s="62" t="str">
        <f>IF($P592="","",_xlfn.XLOOKUP(Tables!$N$542,'Input LwA_XYZ'!$DU$1:$EI$1,'Input LwA_XYZ'!DU51:EI51))</f>
        <v/>
      </c>
    </row>
    <row r="593" spans="14:24" ht="16.5" x14ac:dyDescent="0.3">
      <c r="P593" s="230" t="str">
        <f>IF(OR('Input LwA_XYZ'!A52 = 0, NOT(ISBLANK(_xlfn.XLOOKUP(Tables!N$542, 'Input LwA_XYZ'!CM$1:DA$1, 'Input LwA_XYZ'!CM52:DA52)))), "", 'Input LwA_XYZ'!A52)</f>
        <v/>
      </c>
      <c r="Q593" s="225" t="str">
        <f>IF($P593="","",_xlfn.TEXTJOIN(" - ",TRUE,'Input LwA_XYZ'!B52:C52))</f>
        <v/>
      </c>
      <c r="R593" s="231" t="str">
        <f>IF($P593="","",'Input LwA_XYZ'!Q52)</f>
        <v/>
      </c>
      <c r="S593" s="227" t="str">
        <f>IF($P593="","",ROUND(_xlfn.XLOOKUP(Tables!$N$542,'Input LwA_XYZ'!$AH$1:$AV$1,'Input LwA_XYZ'!AH52:AV52),0))</f>
        <v/>
      </c>
      <c r="T593" s="228" t="str">
        <f>IF($P593="","",-1*ROUND(_xlfn.XLOOKUP(Tables!$N$542,'Input LwA_XYZ'!$AY$1:$BM$1,'Input LwA_XYZ'!AY52:BM52),0))</f>
        <v/>
      </c>
      <c r="U593" s="228" t="str">
        <f>IF($P593="","",IF(_xlfn.XLOOKUP(Tables!$N$542,'Input LwA_XYZ'!$BV$1:$CJ$1,'Input LwA_XYZ'!BV52:CJ52)="","-",_xlfn.XLOOKUP(Tables!$N$542,'Input LwA_XYZ'!$BV$1:$CJ$1,'Input LwA_XYZ'!BV52:CJ52)))</f>
        <v/>
      </c>
      <c r="V593" s="228" t="str">
        <f>IF($P593="","",IF('Input LwA_XYZ'!S52="","-",'Input LwA_XYZ'!S52))</f>
        <v/>
      </c>
      <c r="W593" s="229" t="str" cm="1">
        <f t="array" ref="W593">IF($P593="","",IF(_xlfn.XLOOKUP(Tables!$N$542,_xlfn.ANCHORARRAY('Input LwA_XYZ'!$DD$1),'Input LwA_XYZ'!DD52:DR52)="","-",_xlfn.XLOOKUP(Tables!$N$542,_xlfn.ANCHORARRAY('Input LwA_XYZ'!$DD$1),'Input LwA_XYZ'!DD52:DR52)))</f>
        <v/>
      </c>
      <c r="X593" s="62" t="str">
        <f>IF($P593="","",_xlfn.XLOOKUP(Tables!$N$542,'Input LwA_XYZ'!$DU$1:$EI$1,'Input LwA_XYZ'!DU52:EI52))</f>
        <v/>
      </c>
    </row>
    <row r="594" spans="14:24" ht="16.5" x14ac:dyDescent="0.3">
      <c r="P594" s="230" t="str">
        <f>IF(OR('Input LwA_XYZ'!A53 = 0, NOT(ISBLANK(_xlfn.XLOOKUP(Tables!N$542, 'Input LwA_XYZ'!CM$1:DA$1, 'Input LwA_XYZ'!CM53:DA53)))), "", 'Input LwA_XYZ'!A53)</f>
        <v/>
      </c>
      <c r="Q594" s="225" t="str">
        <f>IF($P594="","",_xlfn.TEXTJOIN(" - ",TRUE,'Input LwA_XYZ'!B53:C53))</f>
        <v/>
      </c>
      <c r="R594" s="231" t="str">
        <f>IF($P594="","",'Input LwA_XYZ'!Q53)</f>
        <v/>
      </c>
      <c r="S594" s="227" t="str">
        <f>IF($P594="","",ROUND(_xlfn.XLOOKUP(Tables!$N$542,'Input LwA_XYZ'!$AH$1:$AV$1,'Input LwA_XYZ'!AH53:AV53),0))</f>
        <v/>
      </c>
      <c r="T594" s="228" t="str">
        <f>IF($P594="","",-1*ROUND(_xlfn.XLOOKUP(Tables!$N$542,'Input LwA_XYZ'!$AY$1:$BM$1,'Input LwA_XYZ'!AY53:BM53),0))</f>
        <v/>
      </c>
      <c r="U594" s="228" t="str">
        <f>IF($P594="","",IF(_xlfn.XLOOKUP(Tables!$N$542,'Input LwA_XYZ'!$BV$1:$CJ$1,'Input LwA_XYZ'!BV53:CJ53)="","-",_xlfn.XLOOKUP(Tables!$N$542,'Input LwA_XYZ'!$BV$1:$CJ$1,'Input LwA_XYZ'!BV53:CJ53)))</f>
        <v/>
      </c>
      <c r="V594" s="228" t="str">
        <f>IF($P594="","",IF('Input LwA_XYZ'!S53="","-",'Input LwA_XYZ'!S53))</f>
        <v/>
      </c>
      <c r="W594" s="229" t="str" cm="1">
        <f t="array" ref="W594">IF($P594="","",IF(_xlfn.XLOOKUP(Tables!$N$542,_xlfn.ANCHORARRAY('Input LwA_XYZ'!$DD$1),'Input LwA_XYZ'!DD53:DR53)="","-",_xlfn.XLOOKUP(Tables!$N$542,_xlfn.ANCHORARRAY('Input LwA_XYZ'!$DD$1),'Input LwA_XYZ'!DD53:DR53)))</f>
        <v/>
      </c>
      <c r="X594" s="62" t="str">
        <f>IF($P594="","",_xlfn.XLOOKUP(Tables!$N$542,'Input LwA_XYZ'!$DU$1:$EI$1,'Input LwA_XYZ'!DU53:EI53))</f>
        <v/>
      </c>
    </row>
    <row r="595" spans="14:24" ht="16.5" x14ac:dyDescent="0.3">
      <c r="P595" s="230" t="str">
        <f>IF(OR('Input LwA_XYZ'!A54 = 0, NOT(ISBLANK(_xlfn.XLOOKUP(Tables!N$542, 'Input LwA_XYZ'!CM$1:DA$1, 'Input LwA_XYZ'!CM54:DA54)))), "", 'Input LwA_XYZ'!A54)</f>
        <v/>
      </c>
      <c r="Q595" s="225" t="str">
        <f>IF($P595="","",_xlfn.TEXTJOIN(" - ",TRUE,'Input LwA_XYZ'!B54:C54))</f>
        <v/>
      </c>
      <c r="R595" s="231" t="str">
        <f>IF($P595="","",'Input LwA_XYZ'!Q54)</f>
        <v/>
      </c>
      <c r="S595" s="227" t="str">
        <f>IF($P595="","",ROUND(_xlfn.XLOOKUP(Tables!$N$542,'Input LwA_XYZ'!$AH$1:$AV$1,'Input LwA_XYZ'!AH54:AV54),0))</f>
        <v/>
      </c>
      <c r="T595" s="228" t="str">
        <f>IF($P595="","",-1*ROUND(_xlfn.XLOOKUP(Tables!$N$542,'Input LwA_XYZ'!$AY$1:$BM$1,'Input LwA_XYZ'!AY54:BM54),0))</f>
        <v/>
      </c>
      <c r="U595" s="228" t="str">
        <f>IF($P595="","",IF(_xlfn.XLOOKUP(Tables!$N$542,'Input LwA_XYZ'!$BV$1:$CJ$1,'Input LwA_XYZ'!BV54:CJ54)="","-",_xlfn.XLOOKUP(Tables!$N$542,'Input LwA_XYZ'!$BV$1:$CJ$1,'Input LwA_XYZ'!BV54:CJ54)))</f>
        <v/>
      </c>
      <c r="V595" s="228" t="str">
        <f>IF($P595="","",IF('Input LwA_XYZ'!S54="","-",'Input LwA_XYZ'!S54))</f>
        <v/>
      </c>
      <c r="W595" s="229" t="str" cm="1">
        <f t="array" ref="W595">IF($P595="","",IF(_xlfn.XLOOKUP(Tables!$N$542,_xlfn.ANCHORARRAY('Input LwA_XYZ'!$DD$1),'Input LwA_XYZ'!DD54:DR54)="","-",_xlfn.XLOOKUP(Tables!$N$542,_xlfn.ANCHORARRAY('Input LwA_XYZ'!$DD$1),'Input LwA_XYZ'!DD54:DR54)))</f>
        <v/>
      </c>
      <c r="X595" s="62" t="str">
        <f>IF($P595="","",_xlfn.XLOOKUP(Tables!$N$542,'Input LwA_XYZ'!$DU$1:$EI$1,'Input LwA_XYZ'!DU54:EI54))</f>
        <v/>
      </c>
    </row>
    <row r="596" spans="14:24" ht="16.5" x14ac:dyDescent="0.3">
      <c r="P596" s="230" t="str">
        <f>IF(OR('Input LwA_XYZ'!A55 = 0, NOT(ISBLANK(_xlfn.XLOOKUP(Tables!N$542, 'Input LwA_XYZ'!CM$1:DA$1, 'Input LwA_XYZ'!CM55:DA55)))), "", 'Input LwA_XYZ'!A55)</f>
        <v/>
      </c>
      <c r="Q596" s="225" t="str">
        <f>IF($P596="","",_xlfn.TEXTJOIN(" - ",TRUE,'Input LwA_XYZ'!B55:C55))</f>
        <v/>
      </c>
      <c r="R596" s="231" t="str">
        <f>IF($P596="","",'Input LwA_XYZ'!Q55)</f>
        <v/>
      </c>
      <c r="S596" s="227" t="str">
        <f>IF($P596="","",ROUND(_xlfn.XLOOKUP(Tables!$N$542,'Input LwA_XYZ'!$AH$1:$AV$1,'Input LwA_XYZ'!AH55:AV55),0))</f>
        <v/>
      </c>
      <c r="T596" s="228" t="str">
        <f>IF($P596="","",-1*ROUND(_xlfn.XLOOKUP(Tables!$N$542,'Input LwA_XYZ'!$AY$1:$BM$1,'Input LwA_XYZ'!AY55:BM55),0))</f>
        <v/>
      </c>
      <c r="U596" s="228" t="str">
        <f>IF($P596="","",IF(_xlfn.XLOOKUP(Tables!$N$542,'Input LwA_XYZ'!$BV$1:$CJ$1,'Input LwA_XYZ'!BV55:CJ55)="","-",_xlfn.XLOOKUP(Tables!$N$542,'Input LwA_XYZ'!$BV$1:$CJ$1,'Input LwA_XYZ'!BV55:CJ55)))</f>
        <v/>
      </c>
      <c r="V596" s="228" t="str">
        <f>IF($P596="","",IF('Input LwA_XYZ'!S55="","-",'Input LwA_XYZ'!S55))</f>
        <v/>
      </c>
      <c r="W596" s="229" t="str" cm="1">
        <f t="array" ref="W596">IF($P596="","",IF(_xlfn.XLOOKUP(Tables!$N$542,_xlfn.ANCHORARRAY('Input LwA_XYZ'!$DD$1),'Input LwA_XYZ'!DD55:DR55)="","-",_xlfn.XLOOKUP(Tables!$N$542,_xlfn.ANCHORARRAY('Input LwA_XYZ'!$DD$1),'Input LwA_XYZ'!DD55:DR55)))</f>
        <v/>
      </c>
      <c r="X596" s="62" t="str">
        <f>IF($P596="","",_xlfn.XLOOKUP(Tables!$N$542,'Input LwA_XYZ'!$DU$1:$EI$1,'Input LwA_XYZ'!DU55:EI55))</f>
        <v/>
      </c>
    </row>
    <row r="597" spans="14:24" ht="16.5" x14ac:dyDescent="0.3">
      <c r="P597" s="230" t="str">
        <f>IF(OR('Input LwA_XYZ'!A56 = 0, NOT(ISBLANK(_xlfn.XLOOKUP(Tables!N$542, 'Input LwA_XYZ'!CM$1:DA$1, 'Input LwA_XYZ'!CM56:DA56)))), "", 'Input LwA_XYZ'!A56)</f>
        <v/>
      </c>
      <c r="Q597" s="225" t="str">
        <f>IF($P597="","",_xlfn.TEXTJOIN(" - ",TRUE,'Input LwA_XYZ'!B56:C56))</f>
        <v/>
      </c>
      <c r="R597" s="231" t="str">
        <f>IF($P597="","",'Input LwA_XYZ'!Q56)</f>
        <v/>
      </c>
      <c r="S597" s="227" t="str">
        <f>IF($P597="","",ROUND(_xlfn.XLOOKUP(Tables!$N$542,'Input LwA_XYZ'!$AH$1:$AV$1,'Input LwA_XYZ'!AH56:AV56),0))</f>
        <v/>
      </c>
      <c r="T597" s="228" t="str">
        <f>IF($P597="","",-1*ROUND(_xlfn.XLOOKUP(Tables!$N$542,'Input LwA_XYZ'!$AY$1:$BM$1,'Input LwA_XYZ'!AY56:BM56),0))</f>
        <v/>
      </c>
      <c r="U597" s="228" t="str">
        <f>IF($P597="","",IF(_xlfn.XLOOKUP(Tables!$N$542,'Input LwA_XYZ'!$BV$1:$CJ$1,'Input LwA_XYZ'!BV56:CJ56)="","-",_xlfn.XLOOKUP(Tables!$N$542,'Input LwA_XYZ'!$BV$1:$CJ$1,'Input LwA_XYZ'!BV56:CJ56)))</f>
        <v/>
      </c>
      <c r="V597" s="228" t="str">
        <f>IF($P597="","",IF('Input LwA_XYZ'!S56="","-",'Input LwA_XYZ'!S56))</f>
        <v/>
      </c>
      <c r="W597" s="229" t="str" cm="1">
        <f t="array" ref="W597">IF($P597="","",IF(_xlfn.XLOOKUP(Tables!$N$542,_xlfn.ANCHORARRAY('Input LwA_XYZ'!$DD$1),'Input LwA_XYZ'!DD56:DR56)="","-",_xlfn.XLOOKUP(Tables!$N$542,_xlfn.ANCHORARRAY('Input LwA_XYZ'!$DD$1),'Input LwA_XYZ'!DD56:DR56)))</f>
        <v/>
      </c>
      <c r="X597" s="62" t="str">
        <f>IF($P597="","",_xlfn.XLOOKUP(Tables!$N$542,'Input LwA_XYZ'!$DU$1:$EI$1,'Input LwA_XYZ'!DU56:EI56))</f>
        <v/>
      </c>
    </row>
    <row r="598" spans="14:24" ht="16.5" x14ac:dyDescent="0.3">
      <c r="P598" s="230" t="str">
        <f>IF(OR('Input LwA_XYZ'!A57 = 0, NOT(ISBLANK(_xlfn.XLOOKUP(Tables!N$542, 'Input LwA_XYZ'!CM$1:DA$1, 'Input LwA_XYZ'!CM57:DA57)))), "", 'Input LwA_XYZ'!A57)</f>
        <v/>
      </c>
      <c r="Q598" s="225" t="str">
        <f>IF($P598="","",_xlfn.TEXTJOIN(" - ",TRUE,'Input LwA_XYZ'!B57:C57))</f>
        <v/>
      </c>
      <c r="R598" s="231" t="str">
        <f>IF($P598="","",'Input LwA_XYZ'!Q57)</f>
        <v/>
      </c>
      <c r="S598" s="227" t="str">
        <f>IF($P598="","",ROUND(_xlfn.XLOOKUP(Tables!$N$542,'Input LwA_XYZ'!$AH$1:$AV$1,'Input LwA_XYZ'!AH57:AV57),0))</f>
        <v/>
      </c>
      <c r="T598" s="228" t="str">
        <f>IF($P598="","",-1*ROUND(_xlfn.XLOOKUP(Tables!$N$542,'Input LwA_XYZ'!$AY$1:$BM$1,'Input LwA_XYZ'!AY57:BM57),0))</f>
        <v/>
      </c>
      <c r="U598" s="228" t="str">
        <f>IF($P598="","",IF(_xlfn.XLOOKUP(Tables!$N$542,'Input LwA_XYZ'!$BV$1:$CJ$1,'Input LwA_XYZ'!BV57:CJ57)="","-",_xlfn.XLOOKUP(Tables!$N$542,'Input LwA_XYZ'!$BV$1:$CJ$1,'Input LwA_XYZ'!BV57:CJ57)))</f>
        <v/>
      </c>
      <c r="V598" s="228" t="str">
        <f>IF($P598="","",IF('Input LwA_XYZ'!S57="","-",'Input LwA_XYZ'!S57))</f>
        <v/>
      </c>
      <c r="W598" s="229" t="str" cm="1">
        <f t="array" ref="W598">IF($P598="","",IF(_xlfn.XLOOKUP(Tables!$N$542,_xlfn.ANCHORARRAY('Input LwA_XYZ'!$DD$1),'Input LwA_XYZ'!DD57:DR57)="","-",_xlfn.XLOOKUP(Tables!$N$542,_xlfn.ANCHORARRAY('Input LwA_XYZ'!$DD$1),'Input LwA_XYZ'!DD57:DR57)))</f>
        <v/>
      </c>
      <c r="X598" s="62" t="str">
        <f>IF($P598="","",_xlfn.XLOOKUP(Tables!$N$542,'Input LwA_XYZ'!$DU$1:$EI$1,'Input LwA_XYZ'!DU57:EI57))</f>
        <v/>
      </c>
    </row>
    <row r="599" spans="14:24" ht="17.25" thickBot="1" x14ac:dyDescent="0.35">
      <c r="P599" s="232" t="str">
        <f>IF(OR('Input LwA_XYZ'!A58 = 0, NOT(ISBLANK(_xlfn.XLOOKUP(Tables!N$542, 'Input LwA_XYZ'!CM$1:DA$1, 'Input LwA_XYZ'!CM58:DA58)))), "", 'Input LwA_XYZ'!A58)</f>
        <v/>
      </c>
      <c r="Q599" s="233" t="str">
        <f>IF($P599="","",_xlfn.TEXTJOIN(" - ",TRUE,'Input LwA_XYZ'!B58:C58))</f>
        <v/>
      </c>
      <c r="R599" s="234" t="str">
        <f>IF($P599="","",'Input LwA_XYZ'!Q58)</f>
        <v/>
      </c>
      <c r="S599" s="235" t="str">
        <f>IF($P599="","",ROUND(_xlfn.XLOOKUP(Tables!$N$542,'Input LwA_XYZ'!$AH$1:$AV$1,'Input LwA_XYZ'!AH58:AV58),0))</f>
        <v/>
      </c>
      <c r="T599" s="236" t="str">
        <f>IF($P599="","",-1*ROUND(_xlfn.XLOOKUP(Tables!$N$542,'Input LwA_XYZ'!$AY$1:$BM$1,'Input LwA_XYZ'!AY58:BM58),0))</f>
        <v/>
      </c>
      <c r="U599" s="228" t="str">
        <f>IF($P599="","",IF(_xlfn.XLOOKUP(Tables!$N$542,'Input LwA_XYZ'!$BV$1:$CJ$1,'Input LwA_XYZ'!BV58:CJ58)="","-",_xlfn.XLOOKUP(Tables!$N$542,'Input LwA_XYZ'!$BV$1:$CJ$1,'Input LwA_XYZ'!BV58:CJ58)))</f>
        <v/>
      </c>
      <c r="V599" s="228" t="str">
        <f>IF($P599="","",IF('Input LwA_XYZ'!S58="","-",'Input LwA_XYZ'!S58))</f>
        <v/>
      </c>
      <c r="W599" s="229" t="str" cm="1">
        <f t="array" ref="W599">IF($P599="","",IF(_xlfn.XLOOKUP(Tables!$N$542,_xlfn.ANCHORARRAY('Input LwA_XYZ'!$DD$1),'Input LwA_XYZ'!DD58:DR58)="","-",_xlfn.XLOOKUP(Tables!$N$542,_xlfn.ANCHORARRAY('Input LwA_XYZ'!$DD$1),'Input LwA_XYZ'!DD58:DR58)))</f>
        <v/>
      </c>
      <c r="X599" s="63" t="str">
        <f>IF($P599="","",_xlfn.XLOOKUP(Tables!$N$542,'Input LwA_XYZ'!$DU$1:$EI$1,'Input LwA_XYZ'!DU58:EI58))</f>
        <v/>
      </c>
    </row>
    <row r="600" spans="14:24" ht="17.25" thickBot="1" x14ac:dyDescent="0.35">
      <c r="P600" s="237" t="s">
        <v>215</v>
      </c>
      <c r="Q600" s="238"/>
      <c r="R600" s="239"/>
      <c r="S600" s="238"/>
      <c r="T600" s="240"/>
      <c r="U600" s="240"/>
      <c r="V600" s="240"/>
      <c r="W600" s="241"/>
      <c r="X600" s="219" t="e">
        <f>_xlfn.XLOOKUP(Tables!$N$542,'Input LwA_XYZ'!$Z$2:$Z$16,'Input LwA_XYZ'!$AE$2:$AE$16)</f>
        <v>#N/A</v>
      </c>
    </row>
    <row r="601" spans="14:24" ht="15.75" thickBot="1" x14ac:dyDescent="0.3">
      <c r="P601" s="221"/>
    </row>
    <row r="602" spans="14:24" ht="33.75" thickBot="1" x14ac:dyDescent="0.35">
      <c r="N602" s="66" t="s">
        <v>210</v>
      </c>
      <c r="P602" s="242" t="s">
        <v>79</v>
      </c>
      <c r="Q602" s="243" t="s">
        <v>80</v>
      </c>
      <c r="R602" s="244" t="s">
        <v>81</v>
      </c>
      <c r="S602" s="244" t="s">
        <v>19</v>
      </c>
      <c r="T602" s="244" t="s">
        <v>216</v>
      </c>
      <c r="U602" s="246" t="s">
        <v>82</v>
      </c>
      <c r="V602" s="247" t="s">
        <v>83</v>
      </c>
      <c r="W602" s="248" t="s">
        <v>236</v>
      </c>
      <c r="X602" s="245" t="s">
        <v>78</v>
      </c>
    </row>
    <row r="603" spans="14:24" ht="17.25" thickBot="1" x14ac:dyDescent="0.35">
      <c r="N603" s="66" t="str">
        <f>_xlfn.XLOOKUP(N602, 'Input LwA_XYZ'!$Z$2:$Z$16, 'Input LwA_XYZ'!$AF$2:$AF$16, "")</f>
        <v/>
      </c>
      <c r="P603" s="224" t="str">
        <f>IF(OR('Input LwA_XYZ'!A2 = 0, NOT(ISBLANK(_xlfn.XLOOKUP(Tables!N$602, 'Input LwA_XYZ'!CM$1:DA$1, 'Input LwA_XYZ'!CM2:DA2)))), "", 'Input LwA_XYZ'!A2)</f>
        <v/>
      </c>
      <c r="Q603" s="225" t="str">
        <f>IF($P603="","",_xlfn.TEXTJOIN(" - ",TRUE,'Input LwA_XYZ'!B2:C2))</f>
        <v/>
      </c>
      <c r="R603" s="226" t="str">
        <f>IF($P603="","",'Input LwA_XYZ'!Q2)</f>
        <v/>
      </c>
      <c r="S603" s="227" t="str">
        <f>IF($P603="","",ROUND(_xlfn.XLOOKUP(Tables!$N$602,'Input LwA_XYZ'!$AH$1:$AV$1,'Input LwA_XYZ'!AH2:AV2),0))</f>
        <v/>
      </c>
      <c r="T603" s="228" t="str">
        <f>IF($P603="","",-1*ROUND(_xlfn.XLOOKUP(Tables!$N$602,'Input LwA_XYZ'!$AY$1:$BM$1,'Input LwA_XYZ'!AY2:BM2),0))</f>
        <v/>
      </c>
      <c r="U603" s="228" t="str">
        <f>IF($P603="","",IF(_xlfn.XLOOKUP(Tables!$N$602,'Input LwA_XYZ'!$BV$1:$CJ$1,'Input LwA_XYZ'!BV2:CJ2)="","-",_xlfn.XLOOKUP(Tables!$N$602,'Input LwA_XYZ'!$BV$1:$CJ$1,'Input LwA_XYZ'!BV2:CJ2)))</f>
        <v/>
      </c>
      <c r="V603" s="228" t="str">
        <f>IF($P603="","",IF('Input LwA_XYZ'!S2="","-",'Input LwA_XYZ'!S2))</f>
        <v/>
      </c>
      <c r="W603" s="229" t="str" cm="1">
        <f t="array" ref="W603">IF($P603="","",IF(_xlfn.XLOOKUP(Tables!$N$602,_xlfn.ANCHORARRAY('Input LwA_XYZ'!$DD$1),'Input LwA_XYZ'!DD2:DR2)="","-",_xlfn.XLOOKUP(Tables!$N$602,_xlfn.ANCHORARRAY('Input LwA_XYZ'!$DD$1),'Input LwA_XYZ'!DD2:DR2)))</f>
        <v/>
      </c>
      <c r="X603" s="88" t="str">
        <f>IF($P603="","",_xlfn.XLOOKUP(Tables!$N$602,'Input LwA_XYZ'!$DU$1:$EI$1,'Input LwA_XYZ'!DU2:EI2))</f>
        <v/>
      </c>
    </row>
    <row r="604" spans="14:24" ht="16.5" x14ac:dyDescent="0.3">
      <c r="P604" s="230" t="str">
        <f>IF(OR('Input LwA_XYZ'!A3 = 0, NOT(ISBLANK(_xlfn.XLOOKUP(Tables!N$602, 'Input LwA_XYZ'!CM$1:DA$1, 'Input LwA_XYZ'!CM3:DA3)))), "", 'Input LwA_XYZ'!A3)</f>
        <v/>
      </c>
      <c r="Q604" s="225" t="str">
        <f>IF($P604="","",_xlfn.TEXTJOIN(" - ",TRUE,'Input LwA_XYZ'!B3:C3))</f>
        <v/>
      </c>
      <c r="R604" s="231" t="str">
        <f>IF($P604="","",'Input LwA_XYZ'!Q3)</f>
        <v/>
      </c>
      <c r="S604" s="227" t="str">
        <f>IF($P604="","",ROUND(_xlfn.XLOOKUP(Tables!$N$602,'Input LwA_XYZ'!$AH$1:$AV$1,'Input LwA_XYZ'!AH3:AV3),0))</f>
        <v/>
      </c>
      <c r="T604" s="228" t="str">
        <f>IF($P604="","",-1*ROUND(_xlfn.XLOOKUP(Tables!$N$602,'Input LwA_XYZ'!$AY$1:$BM$1,'Input LwA_XYZ'!AY3:BM3),0))</f>
        <v/>
      </c>
      <c r="U604" s="228" t="str">
        <f>IF($P604="","",IF(_xlfn.XLOOKUP(Tables!$N$602,'Input LwA_XYZ'!$BV$1:$CJ$1,'Input LwA_XYZ'!BV3:CJ3)="","-",_xlfn.XLOOKUP(Tables!$N$602,'Input LwA_XYZ'!$BV$1:$CJ$1,'Input LwA_XYZ'!BV3:CJ3)))</f>
        <v/>
      </c>
      <c r="V604" s="228" t="str">
        <f>IF($P604="","",IF('Input LwA_XYZ'!S3="","-",'Input LwA_XYZ'!S3))</f>
        <v/>
      </c>
      <c r="W604" s="229" t="str" cm="1">
        <f t="array" ref="W604">IF($P604="","",IF(_xlfn.XLOOKUP(Tables!$N$602,_xlfn.ANCHORARRAY('Input LwA_XYZ'!$DD$1),'Input LwA_XYZ'!DD3:DR3)="","-",_xlfn.XLOOKUP(Tables!$N$602,_xlfn.ANCHORARRAY('Input LwA_XYZ'!$DD$1),'Input LwA_XYZ'!DD3:DR3)))</f>
        <v/>
      </c>
      <c r="X604" s="62" t="str">
        <f>IF($P604="","",_xlfn.XLOOKUP(Tables!$N$602,'Input LwA_XYZ'!$DU$1:$EI$1,'Input LwA_XYZ'!DU3:EI3))</f>
        <v/>
      </c>
    </row>
    <row r="605" spans="14:24" ht="16.5" x14ac:dyDescent="0.3">
      <c r="P605" s="230" t="str">
        <f>IF(OR('Input LwA_XYZ'!A4 = 0, NOT(ISBLANK(_xlfn.XLOOKUP(Tables!N$602, 'Input LwA_XYZ'!CM$1:DA$1, 'Input LwA_XYZ'!CM4:DA4)))), "", 'Input LwA_XYZ'!A4)</f>
        <v/>
      </c>
      <c r="Q605" s="225" t="str">
        <f>IF($P605="","",_xlfn.TEXTJOIN(" - ",TRUE,'Input LwA_XYZ'!B4:C4))</f>
        <v/>
      </c>
      <c r="R605" s="231" t="str">
        <f>IF($P605="","",'Input LwA_XYZ'!Q4)</f>
        <v/>
      </c>
      <c r="S605" s="227" t="str">
        <f>IF($P605="","",ROUND(_xlfn.XLOOKUP(Tables!$N$602,'Input LwA_XYZ'!$AH$1:$AV$1,'Input LwA_XYZ'!AH4:AV4),0))</f>
        <v/>
      </c>
      <c r="T605" s="228" t="str">
        <f>IF($P605="","",-1*ROUND(_xlfn.XLOOKUP(Tables!$N$602,'Input LwA_XYZ'!$AY$1:$BM$1,'Input LwA_XYZ'!AY4:BM4),0))</f>
        <v/>
      </c>
      <c r="U605" s="228" t="str">
        <f>IF($P605="","",IF(_xlfn.XLOOKUP(Tables!$N$602,'Input LwA_XYZ'!$BV$1:$CJ$1,'Input LwA_XYZ'!BV4:CJ4)="","-",_xlfn.XLOOKUP(Tables!$N$602,'Input LwA_XYZ'!$BV$1:$CJ$1,'Input LwA_XYZ'!BV4:CJ4)))</f>
        <v/>
      </c>
      <c r="V605" s="228" t="str">
        <f>IF($P605="","",IF('Input LwA_XYZ'!S4="","-",'Input LwA_XYZ'!S4))</f>
        <v/>
      </c>
      <c r="W605" s="229" t="str" cm="1">
        <f t="array" ref="W605">IF($P605="","",IF(_xlfn.XLOOKUP(Tables!$N$602,_xlfn.ANCHORARRAY('Input LwA_XYZ'!$DD$1),'Input LwA_XYZ'!DD4:DR4)="","-",_xlfn.XLOOKUP(Tables!$N$602,_xlfn.ANCHORARRAY('Input LwA_XYZ'!$DD$1),'Input LwA_XYZ'!DD4:DR4)))</f>
        <v/>
      </c>
      <c r="X605" s="62" t="str">
        <f>IF($P605="","",_xlfn.XLOOKUP(Tables!$N$602,'Input LwA_XYZ'!$DU$1:$EI$1,'Input LwA_XYZ'!DU4:EI4))</f>
        <v/>
      </c>
    </row>
    <row r="606" spans="14:24" ht="16.5" x14ac:dyDescent="0.3">
      <c r="P606" s="230" t="str">
        <f>IF(OR('Input LwA_XYZ'!A5 = 0, NOT(ISBLANK(_xlfn.XLOOKUP(Tables!N$602, 'Input LwA_XYZ'!CM$1:DA$1, 'Input LwA_XYZ'!CM5:DA5)))), "", 'Input LwA_XYZ'!A5)</f>
        <v/>
      </c>
      <c r="Q606" s="225" t="str">
        <f>IF($P606="","",_xlfn.TEXTJOIN(" - ",TRUE,'Input LwA_XYZ'!B5:C5))</f>
        <v/>
      </c>
      <c r="R606" s="231" t="str">
        <f>IF($P606="","",'Input LwA_XYZ'!Q5)</f>
        <v/>
      </c>
      <c r="S606" s="227" t="str">
        <f>IF($P606="","",ROUND(_xlfn.XLOOKUP(Tables!$N$602,'Input LwA_XYZ'!$AH$1:$AV$1,'Input LwA_XYZ'!AH5:AV5),0))</f>
        <v/>
      </c>
      <c r="T606" s="228" t="str">
        <f>IF($P606="","",-1*ROUND(_xlfn.XLOOKUP(Tables!$N$602,'Input LwA_XYZ'!$AY$1:$BM$1,'Input LwA_XYZ'!AY5:BM5),0))</f>
        <v/>
      </c>
      <c r="U606" s="228" t="str">
        <f>IF($P606="","",IF(_xlfn.XLOOKUP(Tables!$N$602,'Input LwA_XYZ'!$BV$1:$CJ$1,'Input LwA_XYZ'!BV5:CJ5)="","-",_xlfn.XLOOKUP(Tables!$N$602,'Input LwA_XYZ'!$BV$1:$CJ$1,'Input LwA_XYZ'!BV5:CJ5)))</f>
        <v/>
      </c>
      <c r="V606" s="228" t="str">
        <f>IF($P606="","",IF('Input LwA_XYZ'!S5="","-",'Input LwA_XYZ'!S5))</f>
        <v/>
      </c>
      <c r="W606" s="229" t="str" cm="1">
        <f t="array" ref="W606">IF($P606="","",IF(_xlfn.XLOOKUP(Tables!$N$602,_xlfn.ANCHORARRAY('Input LwA_XYZ'!$DD$1),'Input LwA_XYZ'!DD5:DR5)="","-",_xlfn.XLOOKUP(Tables!$N$602,_xlfn.ANCHORARRAY('Input LwA_XYZ'!$DD$1),'Input LwA_XYZ'!DD5:DR5)))</f>
        <v/>
      </c>
      <c r="X606" s="62" t="str">
        <f>IF($P606="","",_xlfn.XLOOKUP(Tables!$N$602,'Input LwA_XYZ'!$DU$1:$EI$1,'Input LwA_XYZ'!DU5:EI5))</f>
        <v/>
      </c>
    </row>
    <row r="607" spans="14:24" ht="16.5" x14ac:dyDescent="0.3">
      <c r="P607" s="230" t="str">
        <f>IF(OR('Input LwA_XYZ'!A6 = 0, NOT(ISBLANK(_xlfn.XLOOKUP(Tables!N$602, 'Input LwA_XYZ'!CM$1:DA$1, 'Input LwA_XYZ'!CM6:DA6)))), "", 'Input LwA_XYZ'!A6)</f>
        <v/>
      </c>
      <c r="Q607" s="225" t="str">
        <f>IF($P607="","",_xlfn.TEXTJOIN(" - ",TRUE,'Input LwA_XYZ'!B6:C6))</f>
        <v/>
      </c>
      <c r="R607" s="231" t="str">
        <f>IF($P607="","",'Input LwA_XYZ'!Q6)</f>
        <v/>
      </c>
      <c r="S607" s="227" t="str">
        <f>IF($P607="","",ROUND(_xlfn.XLOOKUP(Tables!$N$602,'Input LwA_XYZ'!$AH$1:$AV$1,'Input LwA_XYZ'!AH6:AV6),0))</f>
        <v/>
      </c>
      <c r="T607" s="228" t="str">
        <f>IF($P607="","",-1*ROUND(_xlfn.XLOOKUP(Tables!$N$602,'Input LwA_XYZ'!$AY$1:$BM$1,'Input LwA_XYZ'!AY6:BM6),0))</f>
        <v/>
      </c>
      <c r="U607" s="228" t="str">
        <f>IF($P607="","",IF(_xlfn.XLOOKUP(Tables!$N$602,'Input LwA_XYZ'!$BV$1:$CJ$1,'Input LwA_XYZ'!BV6:CJ6)="","-",_xlfn.XLOOKUP(Tables!$N$602,'Input LwA_XYZ'!$BV$1:$CJ$1,'Input LwA_XYZ'!BV6:CJ6)))</f>
        <v/>
      </c>
      <c r="V607" s="228" t="str">
        <f>IF($P607="","",IF('Input LwA_XYZ'!S6="","-",'Input LwA_XYZ'!S6))</f>
        <v/>
      </c>
      <c r="W607" s="229" t="str" cm="1">
        <f t="array" ref="W607">IF($P607="","",IF(_xlfn.XLOOKUP(Tables!$N$602,_xlfn.ANCHORARRAY('Input LwA_XYZ'!$DD$1),'Input LwA_XYZ'!DD6:DR6)="","-",_xlfn.XLOOKUP(Tables!$N$602,_xlfn.ANCHORARRAY('Input LwA_XYZ'!$DD$1),'Input LwA_XYZ'!DD6:DR6)))</f>
        <v/>
      </c>
      <c r="X607" s="62" t="str">
        <f>IF($P607="","",_xlfn.XLOOKUP(Tables!$N$602,'Input LwA_XYZ'!$DU$1:$EI$1,'Input LwA_XYZ'!DU6:EI6))</f>
        <v/>
      </c>
    </row>
    <row r="608" spans="14:24" ht="16.5" x14ac:dyDescent="0.3">
      <c r="P608" s="230" t="str">
        <f>IF(OR('Input LwA_XYZ'!A7 = 0, NOT(ISBLANK(_xlfn.XLOOKUP(Tables!N$602, 'Input LwA_XYZ'!CM$1:DA$1, 'Input LwA_XYZ'!CM7:DA7)))), "", 'Input LwA_XYZ'!A7)</f>
        <v/>
      </c>
      <c r="Q608" s="225" t="str">
        <f>IF($P608="","",_xlfn.TEXTJOIN(" - ",TRUE,'Input LwA_XYZ'!B7:C7))</f>
        <v/>
      </c>
      <c r="R608" s="231" t="str">
        <f>IF($P608="","",'Input LwA_XYZ'!Q7)</f>
        <v/>
      </c>
      <c r="S608" s="227" t="str">
        <f>IF($P608="","",ROUND(_xlfn.XLOOKUP(Tables!$N$602,'Input LwA_XYZ'!$AH$1:$AV$1,'Input LwA_XYZ'!AH7:AV7),0))</f>
        <v/>
      </c>
      <c r="T608" s="228" t="str">
        <f>IF($P608="","",-1*ROUND(_xlfn.XLOOKUP(Tables!$N$602,'Input LwA_XYZ'!$AY$1:$BM$1,'Input LwA_XYZ'!AY7:BM7),0))</f>
        <v/>
      </c>
      <c r="U608" s="228" t="str">
        <f>IF($P608="","",IF(_xlfn.XLOOKUP(Tables!$N$602,'Input LwA_XYZ'!$BV$1:$CJ$1,'Input LwA_XYZ'!BV7:CJ7)="","-",_xlfn.XLOOKUP(Tables!$N$602,'Input LwA_XYZ'!$BV$1:$CJ$1,'Input LwA_XYZ'!BV7:CJ7)))</f>
        <v/>
      </c>
      <c r="V608" s="228" t="str">
        <f>IF($P608="","",IF('Input LwA_XYZ'!S7="","-",'Input LwA_XYZ'!S7))</f>
        <v/>
      </c>
      <c r="W608" s="229" t="str" cm="1">
        <f t="array" ref="W608">IF($P608="","",IF(_xlfn.XLOOKUP(Tables!$N$602,_xlfn.ANCHORARRAY('Input LwA_XYZ'!$DD$1),'Input LwA_XYZ'!DD7:DR7)="","-",_xlfn.XLOOKUP(Tables!$N$602,_xlfn.ANCHORARRAY('Input LwA_XYZ'!$DD$1),'Input LwA_XYZ'!DD7:DR7)))</f>
        <v/>
      </c>
      <c r="X608" s="62" t="str">
        <f>IF($P608="","",_xlfn.XLOOKUP(Tables!$N$602,'Input LwA_XYZ'!$DU$1:$EI$1,'Input LwA_XYZ'!DU7:EI7))</f>
        <v/>
      </c>
    </row>
    <row r="609" spans="16:24" ht="16.5" x14ac:dyDescent="0.3">
      <c r="P609" s="230" t="str">
        <f>IF(OR('Input LwA_XYZ'!A8 = 0, NOT(ISBLANK(_xlfn.XLOOKUP(Tables!N$602, 'Input LwA_XYZ'!CM$1:DA$1, 'Input LwA_XYZ'!CM8:DA8)))), "", 'Input LwA_XYZ'!A8)</f>
        <v/>
      </c>
      <c r="Q609" s="225" t="str">
        <f>IF($P609="","",_xlfn.TEXTJOIN(" - ",TRUE,'Input LwA_XYZ'!B8:C8))</f>
        <v/>
      </c>
      <c r="R609" s="231" t="str">
        <f>IF($P609="","",'Input LwA_XYZ'!Q8)</f>
        <v/>
      </c>
      <c r="S609" s="227" t="str">
        <f>IF($P609="","",ROUND(_xlfn.XLOOKUP(Tables!$N$602,'Input LwA_XYZ'!$AH$1:$AV$1,'Input LwA_XYZ'!AH8:AV8),0))</f>
        <v/>
      </c>
      <c r="T609" s="228" t="str">
        <f>IF($P609="","",-1*ROUND(_xlfn.XLOOKUP(Tables!$N$602,'Input LwA_XYZ'!$AY$1:$BM$1,'Input LwA_XYZ'!AY8:BM8),0))</f>
        <v/>
      </c>
      <c r="U609" s="228" t="str">
        <f>IF($P609="","",IF(_xlfn.XLOOKUP(Tables!$N$602,'Input LwA_XYZ'!$BV$1:$CJ$1,'Input LwA_XYZ'!BV8:CJ8)="","-",_xlfn.XLOOKUP(Tables!$N$602,'Input LwA_XYZ'!$BV$1:$CJ$1,'Input LwA_XYZ'!BV8:CJ8)))</f>
        <v/>
      </c>
      <c r="V609" s="228" t="str">
        <f>IF($P609="","",IF('Input LwA_XYZ'!S8="","-",'Input LwA_XYZ'!S8))</f>
        <v/>
      </c>
      <c r="W609" s="229" t="str" cm="1">
        <f t="array" ref="W609">IF($P609="","",IF(_xlfn.XLOOKUP(Tables!$N$602,_xlfn.ANCHORARRAY('Input LwA_XYZ'!$DD$1),'Input LwA_XYZ'!DD8:DR8)="","-",_xlfn.XLOOKUP(Tables!$N$602,_xlfn.ANCHORARRAY('Input LwA_XYZ'!$DD$1),'Input LwA_XYZ'!DD8:DR8)))</f>
        <v/>
      </c>
      <c r="X609" s="62" t="str">
        <f>IF($P609="","",_xlfn.XLOOKUP(Tables!$N$602,'Input LwA_XYZ'!$DU$1:$EI$1,'Input LwA_XYZ'!DU8:EI8))</f>
        <v/>
      </c>
    </row>
    <row r="610" spans="16:24" ht="16.5" x14ac:dyDescent="0.3">
      <c r="P610" s="230" t="str">
        <f>IF(OR('Input LwA_XYZ'!A9 = 0, NOT(ISBLANK(_xlfn.XLOOKUP(Tables!N$602, 'Input LwA_XYZ'!CM$1:DA$1, 'Input LwA_XYZ'!CM9:DA9)))), "", 'Input LwA_XYZ'!A9)</f>
        <v/>
      </c>
      <c r="Q610" s="225" t="str">
        <f>IF($P610="","",_xlfn.TEXTJOIN(" - ",TRUE,'Input LwA_XYZ'!B9:C9))</f>
        <v/>
      </c>
      <c r="R610" s="231" t="str">
        <f>IF($P610="","",'Input LwA_XYZ'!Q9)</f>
        <v/>
      </c>
      <c r="S610" s="227" t="str">
        <f>IF($P610="","",ROUND(_xlfn.XLOOKUP(Tables!$N$602,'Input LwA_XYZ'!$AH$1:$AV$1,'Input LwA_XYZ'!AH9:AV9),0))</f>
        <v/>
      </c>
      <c r="T610" s="228" t="str">
        <f>IF($P610="","",-1*ROUND(_xlfn.XLOOKUP(Tables!$N$602,'Input LwA_XYZ'!$AY$1:$BM$1,'Input LwA_XYZ'!AY9:BM9),0))</f>
        <v/>
      </c>
      <c r="U610" s="228" t="str">
        <f>IF($P610="","",IF(_xlfn.XLOOKUP(Tables!$N$602,'Input LwA_XYZ'!$BV$1:$CJ$1,'Input LwA_XYZ'!BV9:CJ9)="","-",_xlfn.XLOOKUP(Tables!$N$602,'Input LwA_XYZ'!$BV$1:$CJ$1,'Input LwA_XYZ'!BV9:CJ9)))</f>
        <v/>
      </c>
      <c r="V610" s="228" t="str">
        <f>IF($P610="","",IF('Input LwA_XYZ'!S9="","-",'Input LwA_XYZ'!S9))</f>
        <v/>
      </c>
      <c r="W610" s="229" t="str" cm="1">
        <f t="array" ref="W610">IF($P610="","",IF(_xlfn.XLOOKUP(Tables!$N$602,_xlfn.ANCHORARRAY('Input LwA_XYZ'!$DD$1),'Input LwA_XYZ'!DD9:DR9)="","-",_xlfn.XLOOKUP(Tables!$N$602,_xlfn.ANCHORARRAY('Input LwA_XYZ'!$DD$1),'Input LwA_XYZ'!DD9:DR9)))</f>
        <v/>
      </c>
      <c r="X610" s="62" t="str">
        <f>IF($P610="","",_xlfn.XLOOKUP(Tables!$N$602,'Input LwA_XYZ'!$DU$1:$EI$1,'Input LwA_XYZ'!DU9:EI9))</f>
        <v/>
      </c>
    </row>
    <row r="611" spans="16:24" ht="16.5" x14ac:dyDescent="0.3">
      <c r="P611" s="230" t="str">
        <f>IF(OR('Input LwA_XYZ'!A10 = 0, NOT(ISBLANK(_xlfn.XLOOKUP(Tables!N$602, 'Input LwA_XYZ'!CM$1:DA$1, 'Input LwA_XYZ'!CM10:DA10)))), "", 'Input LwA_XYZ'!A10)</f>
        <v/>
      </c>
      <c r="Q611" s="225" t="str">
        <f>IF($P611="","",_xlfn.TEXTJOIN(" - ",TRUE,'Input LwA_XYZ'!B10:C10))</f>
        <v/>
      </c>
      <c r="R611" s="231" t="str">
        <f>IF($P611="","",'Input LwA_XYZ'!Q10)</f>
        <v/>
      </c>
      <c r="S611" s="227" t="str">
        <f>IF($P611="","",ROUND(_xlfn.XLOOKUP(Tables!$N$602,'Input LwA_XYZ'!$AH$1:$AV$1,'Input LwA_XYZ'!AH10:AV10),0))</f>
        <v/>
      </c>
      <c r="T611" s="228" t="str">
        <f>IF($P611="","",-1*ROUND(_xlfn.XLOOKUP(Tables!$N$602,'Input LwA_XYZ'!$AY$1:$BM$1,'Input LwA_XYZ'!AY10:BM10),0))</f>
        <v/>
      </c>
      <c r="U611" s="228" t="str">
        <f>IF($P611="","",IF(_xlfn.XLOOKUP(Tables!$N$602,'Input LwA_XYZ'!$BV$1:$CJ$1,'Input LwA_XYZ'!BV10:CJ10)="","-",_xlfn.XLOOKUP(Tables!$N$602,'Input LwA_XYZ'!$BV$1:$CJ$1,'Input LwA_XYZ'!BV10:CJ10)))</f>
        <v/>
      </c>
      <c r="V611" s="228" t="str">
        <f>IF($P611="","",IF('Input LwA_XYZ'!S10="","-",'Input LwA_XYZ'!S10))</f>
        <v/>
      </c>
      <c r="W611" s="229" t="str" cm="1">
        <f t="array" ref="W611">IF($P611="","",IF(_xlfn.XLOOKUP(Tables!$N$602,_xlfn.ANCHORARRAY('Input LwA_XYZ'!$DD$1),'Input LwA_XYZ'!DD10:DR10)="","-",_xlfn.XLOOKUP(Tables!$N$602,_xlfn.ANCHORARRAY('Input LwA_XYZ'!$DD$1),'Input LwA_XYZ'!DD10:DR10)))</f>
        <v/>
      </c>
      <c r="X611" s="62" t="str">
        <f>IF($P611="","",_xlfn.XLOOKUP(Tables!$N$602,'Input LwA_XYZ'!$DU$1:$EI$1,'Input LwA_XYZ'!DU10:EI10))</f>
        <v/>
      </c>
    </row>
    <row r="612" spans="16:24" ht="16.5" x14ac:dyDescent="0.3">
      <c r="P612" s="230" t="str">
        <f>IF(OR('Input LwA_XYZ'!A11 = 0, NOT(ISBLANK(_xlfn.XLOOKUP(Tables!N$602, 'Input LwA_XYZ'!CM$1:DA$1, 'Input LwA_XYZ'!CM11:DA11)))), "", 'Input LwA_XYZ'!A11)</f>
        <v/>
      </c>
      <c r="Q612" s="225" t="str">
        <f>IF($P612="","",_xlfn.TEXTJOIN(" - ",TRUE,'Input LwA_XYZ'!B11:C11))</f>
        <v/>
      </c>
      <c r="R612" s="231" t="str">
        <f>IF($P612="","",'Input LwA_XYZ'!Q11)</f>
        <v/>
      </c>
      <c r="S612" s="227" t="str">
        <f>IF($P612="","",ROUND(_xlfn.XLOOKUP(Tables!$N$602,'Input LwA_XYZ'!$AH$1:$AV$1,'Input LwA_XYZ'!AH11:AV11),0))</f>
        <v/>
      </c>
      <c r="T612" s="228" t="str">
        <f>IF($P612="","",-1*ROUND(_xlfn.XLOOKUP(Tables!$N$602,'Input LwA_XYZ'!$AY$1:$BM$1,'Input LwA_XYZ'!AY11:BM11),0))</f>
        <v/>
      </c>
      <c r="U612" s="228" t="str">
        <f>IF($P612="","",IF(_xlfn.XLOOKUP(Tables!$N$602,'Input LwA_XYZ'!$BV$1:$CJ$1,'Input LwA_XYZ'!BV11:CJ11)="","-",_xlfn.XLOOKUP(Tables!$N$602,'Input LwA_XYZ'!$BV$1:$CJ$1,'Input LwA_XYZ'!BV11:CJ11)))</f>
        <v/>
      </c>
      <c r="V612" s="228" t="str">
        <f>IF($P612="","",IF('Input LwA_XYZ'!S11="","-",'Input LwA_XYZ'!S11))</f>
        <v/>
      </c>
      <c r="W612" s="229" t="str" cm="1">
        <f t="array" ref="W612">IF($P612="","",IF(_xlfn.XLOOKUP(Tables!$N$602,_xlfn.ANCHORARRAY('Input LwA_XYZ'!$DD$1),'Input LwA_XYZ'!DD11:DR11)="","-",_xlfn.XLOOKUP(Tables!$N$602,_xlfn.ANCHORARRAY('Input LwA_XYZ'!$DD$1),'Input LwA_XYZ'!DD11:DR11)))</f>
        <v/>
      </c>
      <c r="X612" s="62" t="str">
        <f>IF($P612="","",_xlfn.XLOOKUP(Tables!$N$602,'Input LwA_XYZ'!$DU$1:$EI$1,'Input LwA_XYZ'!DU11:EI11))</f>
        <v/>
      </c>
    </row>
    <row r="613" spans="16:24" ht="16.5" x14ac:dyDescent="0.3">
      <c r="P613" s="230" t="str">
        <f>IF(OR('Input LwA_XYZ'!A12 = 0, NOT(ISBLANK(_xlfn.XLOOKUP(Tables!N$602, 'Input LwA_XYZ'!CM$1:DA$1, 'Input LwA_XYZ'!CM12:DA12)))), "", 'Input LwA_XYZ'!A12)</f>
        <v/>
      </c>
      <c r="Q613" s="225" t="str">
        <f>IF($P613="","",_xlfn.TEXTJOIN(" - ",TRUE,'Input LwA_XYZ'!B12:C12))</f>
        <v/>
      </c>
      <c r="R613" s="231" t="str">
        <f>IF($P613="","",'Input LwA_XYZ'!Q12)</f>
        <v/>
      </c>
      <c r="S613" s="227" t="str">
        <f>IF($P613="","",ROUND(_xlfn.XLOOKUP(Tables!$N$602,'Input LwA_XYZ'!$AH$1:$AV$1,'Input LwA_XYZ'!AH12:AV12),0))</f>
        <v/>
      </c>
      <c r="T613" s="228" t="str">
        <f>IF($P613="","",-1*ROUND(_xlfn.XLOOKUP(Tables!$N$602,'Input LwA_XYZ'!$AY$1:$BM$1,'Input LwA_XYZ'!AY12:BM12),0))</f>
        <v/>
      </c>
      <c r="U613" s="228" t="str">
        <f>IF($P613="","",IF(_xlfn.XLOOKUP(Tables!$N$602,'Input LwA_XYZ'!$BV$1:$CJ$1,'Input LwA_XYZ'!BV12:CJ12)="","-",_xlfn.XLOOKUP(Tables!$N$602,'Input LwA_XYZ'!$BV$1:$CJ$1,'Input LwA_XYZ'!BV12:CJ12)))</f>
        <v/>
      </c>
      <c r="V613" s="228" t="str">
        <f>IF($P613="","",IF('Input LwA_XYZ'!S12="","-",'Input LwA_XYZ'!S12))</f>
        <v/>
      </c>
      <c r="W613" s="229" t="str" cm="1">
        <f t="array" ref="W613">IF($P613="","",IF(_xlfn.XLOOKUP(Tables!$N$602,_xlfn.ANCHORARRAY('Input LwA_XYZ'!$DD$1),'Input LwA_XYZ'!DD12:DR12)="","-",_xlfn.XLOOKUP(Tables!$N$602,_xlfn.ANCHORARRAY('Input LwA_XYZ'!$DD$1),'Input LwA_XYZ'!DD12:DR12)))</f>
        <v/>
      </c>
      <c r="X613" s="62" t="str">
        <f>IF($P613="","",_xlfn.XLOOKUP(Tables!$N$602,'Input LwA_XYZ'!$DU$1:$EI$1,'Input LwA_XYZ'!DU12:EI12))</f>
        <v/>
      </c>
    </row>
    <row r="614" spans="16:24" ht="16.5" x14ac:dyDescent="0.3">
      <c r="P614" s="230" t="str">
        <f>IF(OR('Input LwA_XYZ'!A13 = 0, NOT(ISBLANK(_xlfn.XLOOKUP(Tables!N$602, 'Input LwA_XYZ'!CM$1:DA$1, 'Input LwA_XYZ'!CM13:DA13)))), "", 'Input LwA_XYZ'!A13)</f>
        <v/>
      </c>
      <c r="Q614" s="225" t="str">
        <f>IF($P614="","",_xlfn.TEXTJOIN(" - ",TRUE,'Input LwA_XYZ'!B13:C13))</f>
        <v/>
      </c>
      <c r="R614" s="231" t="str">
        <f>IF($P614="","",'Input LwA_XYZ'!Q13)</f>
        <v/>
      </c>
      <c r="S614" s="227" t="str">
        <f>IF($P614="","",ROUND(_xlfn.XLOOKUP(Tables!$N$602,'Input LwA_XYZ'!$AH$1:$AV$1,'Input LwA_XYZ'!AH13:AV13),0))</f>
        <v/>
      </c>
      <c r="T614" s="228" t="str">
        <f>IF($P614="","",-1*ROUND(_xlfn.XLOOKUP(Tables!$N$602,'Input LwA_XYZ'!$AY$1:$BM$1,'Input LwA_XYZ'!AY13:BM13),0))</f>
        <v/>
      </c>
      <c r="U614" s="228" t="str">
        <f>IF($P614="","",IF(_xlfn.XLOOKUP(Tables!$N$602,'Input LwA_XYZ'!$BV$1:$CJ$1,'Input LwA_XYZ'!BV13:CJ13)="","-",_xlfn.XLOOKUP(Tables!$N$602,'Input LwA_XYZ'!$BV$1:$CJ$1,'Input LwA_XYZ'!BV13:CJ13)))</f>
        <v/>
      </c>
      <c r="V614" s="228" t="str">
        <f>IF($P614="","",IF('Input LwA_XYZ'!S13="","-",'Input LwA_XYZ'!S13))</f>
        <v/>
      </c>
      <c r="W614" s="229" t="str" cm="1">
        <f t="array" ref="W614">IF($P614="","",IF(_xlfn.XLOOKUP(Tables!$N$602,_xlfn.ANCHORARRAY('Input LwA_XYZ'!$DD$1),'Input LwA_XYZ'!DD13:DR13)="","-",_xlfn.XLOOKUP(Tables!$N$602,_xlfn.ANCHORARRAY('Input LwA_XYZ'!$DD$1),'Input LwA_XYZ'!DD13:DR13)))</f>
        <v/>
      </c>
      <c r="X614" s="62" t="str">
        <f>IF($P614="","",_xlfn.XLOOKUP(Tables!$N$602,'Input LwA_XYZ'!$DU$1:$EI$1,'Input LwA_XYZ'!DU13:EI13))</f>
        <v/>
      </c>
    </row>
    <row r="615" spans="16:24" ht="16.5" x14ac:dyDescent="0.3">
      <c r="P615" s="230" t="str">
        <f>IF(OR('Input LwA_XYZ'!A14 = 0, NOT(ISBLANK(_xlfn.XLOOKUP(Tables!N$602, 'Input LwA_XYZ'!CM$1:DA$1, 'Input LwA_XYZ'!CM14:DA14)))), "", 'Input LwA_XYZ'!A14)</f>
        <v/>
      </c>
      <c r="Q615" s="225" t="str">
        <f>IF($P615="","",_xlfn.TEXTJOIN(" - ",TRUE,'Input LwA_XYZ'!B14:C14))</f>
        <v/>
      </c>
      <c r="R615" s="231" t="str">
        <f>IF($P615="","",'Input LwA_XYZ'!Q14)</f>
        <v/>
      </c>
      <c r="S615" s="227" t="str">
        <f>IF($P615="","",ROUND(_xlfn.XLOOKUP(Tables!$N$602,'Input LwA_XYZ'!$AH$1:$AV$1,'Input LwA_XYZ'!AH14:AV14),0))</f>
        <v/>
      </c>
      <c r="T615" s="228" t="str">
        <f>IF($P615="","",-1*ROUND(_xlfn.XLOOKUP(Tables!$N$602,'Input LwA_XYZ'!$AY$1:$BM$1,'Input LwA_XYZ'!AY14:BM14),0))</f>
        <v/>
      </c>
      <c r="U615" s="228" t="str">
        <f>IF($P615="","",IF(_xlfn.XLOOKUP(Tables!$N$602,'Input LwA_XYZ'!$BV$1:$CJ$1,'Input LwA_XYZ'!BV14:CJ14)="","-",_xlfn.XLOOKUP(Tables!$N$602,'Input LwA_XYZ'!$BV$1:$CJ$1,'Input LwA_XYZ'!BV14:CJ14)))</f>
        <v/>
      </c>
      <c r="V615" s="228" t="str">
        <f>IF($P615="","",IF('Input LwA_XYZ'!S14="","-",'Input LwA_XYZ'!S14))</f>
        <v/>
      </c>
      <c r="W615" s="229" t="str" cm="1">
        <f t="array" ref="W615">IF($P615="","",IF(_xlfn.XLOOKUP(Tables!$N$602,_xlfn.ANCHORARRAY('Input LwA_XYZ'!$DD$1),'Input LwA_XYZ'!DD14:DR14)="","-",_xlfn.XLOOKUP(Tables!$N$602,_xlfn.ANCHORARRAY('Input LwA_XYZ'!$DD$1),'Input LwA_XYZ'!DD14:DR14)))</f>
        <v/>
      </c>
      <c r="X615" s="62" t="str">
        <f>IF($P615="","",_xlfn.XLOOKUP(Tables!$N$602,'Input LwA_XYZ'!$DU$1:$EI$1,'Input LwA_XYZ'!DU14:EI14))</f>
        <v/>
      </c>
    </row>
    <row r="616" spans="16:24" ht="16.5" x14ac:dyDescent="0.3">
      <c r="P616" s="230" t="str">
        <f>IF(OR('Input LwA_XYZ'!A15 = 0, NOT(ISBLANK(_xlfn.XLOOKUP(Tables!N$602, 'Input LwA_XYZ'!CM$1:DA$1, 'Input LwA_XYZ'!CM15:DA15)))), "", 'Input LwA_XYZ'!A15)</f>
        <v/>
      </c>
      <c r="Q616" s="225" t="str">
        <f>IF($P616="","",_xlfn.TEXTJOIN(" - ",TRUE,'Input LwA_XYZ'!B15:C15))</f>
        <v/>
      </c>
      <c r="R616" s="231" t="str">
        <f>IF($P616="","",'Input LwA_XYZ'!Q15)</f>
        <v/>
      </c>
      <c r="S616" s="227" t="str">
        <f>IF($P616="","",ROUND(_xlfn.XLOOKUP(Tables!$N$602,'Input LwA_XYZ'!$AH$1:$AV$1,'Input LwA_XYZ'!AH15:AV15),0))</f>
        <v/>
      </c>
      <c r="T616" s="228" t="str">
        <f>IF($P616="","",-1*ROUND(_xlfn.XLOOKUP(Tables!$N$602,'Input LwA_XYZ'!$AY$1:$BM$1,'Input LwA_XYZ'!AY15:BM15),0))</f>
        <v/>
      </c>
      <c r="U616" s="228" t="str">
        <f>IF($P616="","",IF(_xlfn.XLOOKUP(Tables!$N$602,'Input LwA_XYZ'!$BV$1:$CJ$1,'Input LwA_XYZ'!BV15:CJ15)="","-",_xlfn.XLOOKUP(Tables!$N$602,'Input LwA_XYZ'!$BV$1:$CJ$1,'Input LwA_XYZ'!BV15:CJ15)))</f>
        <v/>
      </c>
      <c r="V616" s="228" t="str">
        <f>IF($P616="","",IF('Input LwA_XYZ'!S15="","-",'Input LwA_XYZ'!S15))</f>
        <v/>
      </c>
      <c r="W616" s="229" t="str" cm="1">
        <f t="array" ref="W616">IF($P616="","",IF(_xlfn.XLOOKUP(Tables!$N$602,_xlfn.ANCHORARRAY('Input LwA_XYZ'!$DD$1),'Input LwA_XYZ'!DD15:DR15)="","-",_xlfn.XLOOKUP(Tables!$N$602,_xlfn.ANCHORARRAY('Input LwA_XYZ'!$DD$1),'Input LwA_XYZ'!DD15:DR15)))</f>
        <v/>
      </c>
      <c r="X616" s="62" t="str">
        <f>IF($P616="","",_xlfn.XLOOKUP(Tables!$N$602,'Input LwA_XYZ'!$DU$1:$EI$1,'Input LwA_XYZ'!DU15:EI15))</f>
        <v/>
      </c>
    </row>
    <row r="617" spans="16:24" ht="16.5" x14ac:dyDescent="0.3">
      <c r="P617" s="230" t="str">
        <f>IF(OR('Input LwA_XYZ'!A16 = 0, NOT(ISBLANK(_xlfn.XLOOKUP(Tables!N$602, 'Input LwA_XYZ'!CM$1:DA$1, 'Input LwA_XYZ'!CM16:DA16)))), "", 'Input LwA_XYZ'!A16)</f>
        <v/>
      </c>
      <c r="Q617" s="225" t="str">
        <f>IF($P617="","",_xlfn.TEXTJOIN(" - ",TRUE,'Input LwA_XYZ'!B16:C16))</f>
        <v/>
      </c>
      <c r="R617" s="231" t="str">
        <f>IF($P617="","",'Input LwA_XYZ'!Q16)</f>
        <v/>
      </c>
      <c r="S617" s="227" t="str">
        <f>IF($P617="","",ROUND(_xlfn.XLOOKUP(Tables!$N$602,'Input LwA_XYZ'!$AH$1:$AV$1,'Input LwA_XYZ'!AH16:AV16),0))</f>
        <v/>
      </c>
      <c r="T617" s="228" t="str">
        <f>IF($P617="","",-1*ROUND(_xlfn.XLOOKUP(Tables!$N$602,'Input LwA_XYZ'!$AY$1:$BM$1,'Input LwA_XYZ'!AY16:BM16),0))</f>
        <v/>
      </c>
      <c r="U617" s="228" t="str">
        <f>IF($P617="","",IF(_xlfn.XLOOKUP(Tables!$N$602,'Input LwA_XYZ'!$BV$1:$CJ$1,'Input LwA_XYZ'!BV16:CJ16)="","-",_xlfn.XLOOKUP(Tables!$N$602,'Input LwA_XYZ'!$BV$1:$CJ$1,'Input LwA_XYZ'!BV16:CJ16)))</f>
        <v/>
      </c>
      <c r="V617" s="228" t="str">
        <f>IF($P617="","",IF('Input LwA_XYZ'!S16="","-",'Input LwA_XYZ'!S16))</f>
        <v/>
      </c>
      <c r="W617" s="229" t="str" cm="1">
        <f t="array" ref="W617">IF($P617="","",IF(_xlfn.XLOOKUP(Tables!$N$602,_xlfn.ANCHORARRAY('Input LwA_XYZ'!$DD$1),'Input LwA_XYZ'!DD16:DR16)="","-",_xlfn.XLOOKUP(Tables!$N$602,_xlfn.ANCHORARRAY('Input LwA_XYZ'!$DD$1),'Input LwA_XYZ'!DD16:DR16)))</f>
        <v/>
      </c>
      <c r="X617" s="62" t="str">
        <f>IF($P617="","",_xlfn.XLOOKUP(Tables!$N$602,'Input LwA_XYZ'!$DU$1:$EI$1,'Input LwA_XYZ'!DU16:EI16))</f>
        <v/>
      </c>
    </row>
    <row r="618" spans="16:24" ht="16.5" x14ac:dyDescent="0.3">
      <c r="P618" s="230" t="str">
        <f>IF(OR('Input LwA_XYZ'!A17 = 0, NOT(ISBLANK(_xlfn.XLOOKUP(Tables!N$602, 'Input LwA_XYZ'!CM$1:DA$1, 'Input LwA_XYZ'!CM17:DA17)))), "", 'Input LwA_XYZ'!A17)</f>
        <v/>
      </c>
      <c r="Q618" s="225" t="str">
        <f>IF($P618="","",_xlfn.TEXTJOIN(" - ",TRUE,'Input LwA_XYZ'!B17:C17))</f>
        <v/>
      </c>
      <c r="R618" s="231" t="str">
        <f>IF($P618="","",'Input LwA_XYZ'!Q17)</f>
        <v/>
      </c>
      <c r="S618" s="227" t="str">
        <f>IF($P618="","",ROUND(_xlfn.XLOOKUP(Tables!$N$602,'Input LwA_XYZ'!$AH$1:$AV$1,'Input LwA_XYZ'!AH17:AV17),0))</f>
        <v/>
      </c>
      <c r="T618" s="228" t="str">
        <f>IF($P618="","",-1*ROUND(_xlfn.XLOOKUP(Tables!$N$602,'Input LwA_XYZ'!$AY$1:$BM$1,'Input LwA_XYZ'!AY17:BM17),0))</f>
        <v/>
      </c>
      <c r="U618" s="228" t="str">
        <f>IF($P618="","",IF(_xlfn.XLOOKUP(Tables!$N$602,'Input LwA_XYZ'!$BV$1:$CJ$1,'Input LwA_XYZ'!BV17:CJ17)="","-",_xlfn.XLOOKUP(Tables!$N$602,'Input LwA_XYZ'!$BV$1:$CJ$1,'Input LwA_XYZ'!BV17:CJ17)))</f>
        <v/>
      </c>
      <c r="V618" s="228" t="str">
        <f>IF($P618="","",IF('Input LwA_XYZ'!S17="","-",'Input LwA_XYZ'!S17))</f>
        <v/>
      </c>
      <c r="W618" s="229" t="str" cm="1">
        <f t="array" ref="W618">IF($P618="","",IF(_xlfn.XLOOKUP(Tables!$N$602,_xlfn.ANCHORARRAY('Input LwA_XYZ'!$DD$1),'Input LwA_XYZ'!DD17:DR17)="","-",_xlfn.XLOOKUP(Tables!$N$602,_xlfn.ANCHORARRAY('Input LwA_XYZ'!$DD$1),'Input LwA_XYZ'!DD17:DR17)))</f>
        <v/>
      </c>
      <c r="X618" s="62" t="str">
        <f>IF($P618="","",_xlfn.XLOOKUP(Tables!$N$602,'Input LwA_XYZ'!$DU$1:$EI$1,'Input LwA_XYZ'!DU17:EI17))</f>
        <v/>
      </c>
    </row>
    <row r="619" spans="16:24" ht="16.5" x14ac:dyDescent="0.3">
      <c r="P619" s="230" t="str">
        <f>IF(OR('Input LwA_XYZ'!A18 = 0, NOT(ISBLANK(_xlfn.XLOOKUP(Tables!N$602, 'Input LwA_XYZ'!CM$1:DA$1, 'Input LwA_XYZ'!CM18:DA18)))), "", 'Input LwA_XYZ'!A18)</f>
        <v/>
      </c>
      <c r="Q619" s="225" t="str">
        <f>IF($P619="","",_xlfn.TEXTJOIN(" - ",TRUE,'Input LwA_XYZ'!B18:C18))</f>
        <v/>
      </c>
      <c r="R619" s="231" t="str">
        <f>IF($P619="","",'Input LwA_XYZ'!Q18)</f>
        <v/>
      </c>
      <c r="S619" s="227" t="str">
        <f>IF($P619="","",ROUND(_xlfn.XLOOKUP(Tables!$N$602,'Input LwA_XYZ'!$AH$1:$AV$1,'Input LwA_XYZ'!AH18:AV18),0))</f>
        <v/>
      </c>
      <c r="T619" s="228" t="str">
        <f>IF($P619="","",-1*ROUND(_xlfn.XLOOKUP(Tables!$N$602,'Input LwA_XYZ'!$AY$1:$BM$1,'Input LwA_XYZ'!AY18:BM18),0))</f>
        <v/>
      </c>
      <c r="U619" s="228" t="str">
        <f>IF($P619="","",IF(_xlfn.XLOOKUP(Tables!$N$602,'Input LwA_XYZ'!$BV$1:$CJ$1,'Input LwA_XYZ'!BV18:CJ18)="","-",_xlfn.XLOOKUP(Tables!$N$602,'Input LwA_XYZ'!$BV$1:$CJ$1,'Input LwA_XYZ'!BV18:CJ18)))</f>
        <v/>
      </c>
      <c r="V619" s="228" t="str">
        <f>IF($P619="","",IF('Input LwA_XYZ'!S18="","-",'Input LwA_XYZ'!S18))</f>
        <v/>
      </c>
      <c r="W619" s="229" t="str" cm="1">
        <f t="array" ref="W619">IF($P619="","",IF(_xlfn.XLOOKUP(Tables!$N$602,_xlfn.ANCHORARRAY('Input LwA_XYZ'!$DD$1),'Input LwA_XYZ'!DD18:DR18)="","-",_xlfn.XLOOKUP(Tables!$N$602,_xlfn.ANCHORARRAY('Input LwA_XYZ'!$DD$1),'Input LwA_XYZ'!DD18:DR18)))</f>
        <v/>
      </c>
      <c r="X619" s="62" t="str">
        <f>IF($P619="","",_xlfn.XLOOKUP(Tables!$N$602,'Input LwA_XYZ'!$DU$1:$EI$1,'Input LwA_XYZ'!DU18:EI18))</f>
        <v/>
      </c>
    </row>
    <row r="620" spans="16:24" ht="16.5" x14ac:dyDescent="0.3">
      <c r="P620" s="230" t="str">
        <f>IF(OR('Input LwA_XYZ'!A19 = 0, NOT(ISBLANK(_xlfn.XLOOKUP(Tables!N$602, 'Input LwA_XYZ'!CM$1:DA$1, 'Input LwA_XYZ'!CM19:DA19)))), "", 'Input LwA_XYZ'!A19)</f>
        <v/>
      </c>
      <c r="Q620" s="225" t="str">
        <f>IF($P620="","",_xlfn.TEXTJOIN(" - ",TRUE,'Input LwA_XYZ'!B19:C19))</f>
        <v/>
      </c>
      <c r="R620" s="231" t="str">
        <f>IF($P620="","",'Input LwA_XYZ'!Q19)</f>
        <v/>
      </c>
      <c r="S620" s="227" t="str">
        <f>IF($P620="","",ROUND(_xlfn.XLOOKUP(Tables!$N$602,'Input LwA_XYZ'!$AH$1:$AV$1,'Input LwA_XYZ'!AH19:AV19),0))</f>
        <v/>
      </c>
      <c r="T620" s="228" t="str">
        <f>IF($P620="","",-1*ROUND(_xlfn.XLOOKUP(Tables!$N$602,'Input LwA_XYZ'!$AY$1:$BM$1,'Input LwA_XYZ'!AY19:BM19),0))</f>
        <v/>
      </c>
      <c r="U620" s="228" t="str">
        <f>IF($P620="","",IF(_xlfn.XLOOKUP(Tables!$N$602,'Input LwA_XYZ'!$BV$1:$CJ$1,'Input LwA_XYZ'!BV19:CJ19)="","-",_xlfn.XLOOKUP(Tables!$N$602,'Input LwA_XYZ'!$BV$1:$CJ$1,'Input LwA_XYZ'!BV19:CJ19)))</f>
        <v/>
      </c>
      <c r="V620" s="228" t="str">
        <f>IF($P620="","",IF('Input LwA_XYZ'!S19="","-",'Input LwA_XYZ'!S19))</f>
        <v/>
      </c>
      <c r="W620" s="229" t="str" cm="1">
        <f t="array" ref="W620">IF($P620="","",IF(_xlfn.XLOOKUP(Tables!$N$602,_xlfn.ANCHORARRAY('Input LwA_XYZ'!$DD$1),'Input LwA_XYZ'!DD19:DR19)="","-",_xlfn.XLOOKUP(Tables!$N$602,_xlfn.ANCHORARRAY('Input LwA_XYZ'!$DD$1),'Input LwA_XYZ'!DD19:DR19)))</f>
        <v/>
      </c>
      <c r="X620" s="62" t="str">
        <f>IF($P620="","",_xlfn.XLOOKUP(Tables!$N$602,'Input LwA_XYZ'!$DU$1:$EI$1,'Input LwA_XYZ'!DU19:EI19))</f>
        <v/>
      </c>
    </row>
    <row r="621" spans="16:24" ht="16.5" x14ac:dyDescent="0.3">
      <c r="P621" s="230" t="str">
        <f>IF(OR('Input LwA_XYZ'!A20 = 0, NOT(ISBLANK(_xlfn.XLOOKUP(Tables!N$602, 'Input LwA_XYZ'!CM$1:DA$1, 'Input LwA_XYZ'!CM20:DA20)))), "", 'Input LwA_XYZ'!A20)</f>
        <v/>
      </c>
      <c r="Q621" s="225" t="str">
        <f>IF($P621="","",_xlfn.TEXTJOIN(" - ",TRUE,'Input LwA_XYZ'!B20:C20))</f>
        <v/>
      </c>
      <c r="R621" s="231" t="str">
        <f>IF($P621="","",'Input LwA_XYZ'!Q20)</f>
        <v/>
      </c>
      <c r="S621" s="227" t="str">
        <f>IF($P621="","",ROUND(_xlfn.XLOOKUP(Tables!$N$602,'Input LwA_XYZ'!$AH$1:$AV$1,'Input LwA_XYZ'!AH20:AV20),0))</f>
        <v/>
      </c>
      <c r="T621" s="228" t="str">
        <f>IF($P621="","",-1*ROUND(_xlfn.XLOOKUP(Tables!$N$602,'Input LwA_XYZ'!$AY$1:$BM$1,'Input LwA_XYZ'!AY20:BM20),0))</f>
        <v/>
      </c>
      <c r="U621" s="228" t="str">
        <f>IF($P621="","",IF(_xlfn.XLOOKUP(Tables!$N$602,'Input LwA_XYZ'!$BV$1:$CJ$1,'Input LwA_XYZ'!BV20:CJ20)="","-",_xlfn.XLOOKUP(Tables!$N$602,'Input LwA_XYZ'!$BV$1:$CJ$1,'Input LwA_XYZ'!BV20:CJ20)))</f>
        <v/>
      </c>
      <c r="V621" s="228" t="str">
        <f>IF($P621="","",IF('Input LwA_XYZ'!S20="","-",'Input LwA_XYZ'!S20))</f>
        <v/>
      </c>
      <c r="W621" s="229" t="str" cm="1">
        <f t="array" ref="W621">IF($P621="","",IF(_xlfn.XLOOKUP(Tables!$N$602,_xlfn.ANCHORARRAY('Input LwA_XYZ'!$DD$1),'Input LwA_XYZ'!DD20:DR20)="","-",_xlfn.XLOOKUP(Tables!$N$602,_xlfn.ANCHORARRAY('Input LwA_XYZ'!$DD$1),'Input LwA_XYZ'!DD20:DR20)))</f>
        <v/>
      </c>
      <c r="X621" s="62" t="str">
        <f>IF($P621="","",_xlfn.XLOOKUP(Tables!$N$602,'Input LwA_XYZ'!$DU$1:$EI$1,'Input LwA_XYZ'!DU20:EI20))</f>
        <v/>
      </c>
    </row>
    <row r="622" spans="16:24" ht="16.5" x14ac:dyDescent="0.3">
      <c r="P622" s="230" t="str">
        <f>IF(OR('Input LwA_XYZ'!A21 = 0, NOT(ISBLANK(_xlfn.XLOOKUP(Tables!N$602, 'Input LwA_XYZ'!CM$1:DA$1, 'Input LwA_XYZ'!CM21:DA21)))), "", 'Input LwA_XYZ'!A21)</f>
        <v/>
      </c>
      <c r="Q622" s="225" t="str">
        <f>IF($P622="","",_xlfn.TEXTJOIN(" - ",TRUE,'Input LwA_XYZ'!B21:C21))</f>
        <v/>
      </c>
      <c r="R622" s="231" t="str">
        <f>IF($P622="","",'Input LwA_XYZ'!Q21)</f>
        <v/>
      </c>
      <c r="S622" s="227" t="str">
        <f>IF($P622="","",ROUND(_xlfn.XLOOKUP(Tables!$N$602,'Input LwA_XYZ'!$AH$1:$AV$1,'Input LwA_XYZ'!AH21:AV21),0))</f>
        <v/>
      </c>
      <c r="T622" s="228" t="str">
        <f>IF($P622="","",-1*ROUND(_xlfn.XLOOKUP(Tables!$N$602,'Input LwA_XYZ'!$AY$1:$BM$1,'Input LwA_XYZ'!AY21:BM21),0))</f>
        <v/>
      </c>
      <c r="U622" s="228" t="str">
        <f>IF($P622="","",IF(_xlfn.XLOOKUP(Tables!$N$602,'Input LwA_XYZ'!$BV$1:$CJ$1,'Input LwA_XYZ'!BV21:CJ21)="","-",_xlfn.XLOOKUP(Tables!$N$602,'Input LwA_XYZ'!$BV$1:$CJ$1,'Input LwA_XYZ'!BV21:CJ21)))</f>
        <v/>
      </c>
      <c r="V622" s="228" t="str">
        <f>IF($P622="","",IF('Input LwA_XYZ'!S21="","-",'Input LwA_XYZ'!S21))</f>
        <v/>
      </c>
      <c r="W622" s="229" t="str" cm="1">
        <f t="array" ref="W622">IF($P622="","",IF(_xlfn.XLOOKUP(Tables!$N$602,_xlfn.ANCHORARRAY('Input LwA_XYZ'!$DD$1),'Input LwA_XYZ'!DD21:DR21)="","-",_xlfn.XLOOKUP(Tables!$N$602,_xlfn.ANCHORARRAY('Input LwA_XYZ'!$DD$1),'Input LwA_XYZ'!DD21:DR21)))</f>
        <v/>
      </c>
      <c r="X622" s="62" t="str">
        <f>IF($P622="","",_xlfn.XLOOKUP(Tables!$N$602,'Input LwA_XYZ'!$DU$1:$EI$1,'Input LwA_XYZ'!DU21:EI21))</f>
        <v/>
      </c>
    </row>
    <row r="623" spans="16:24" ht="16.5" x14ac:dyDescent="0.3">
      <c r="P623" s="230" t="str">
        <f>IF(OR('Input LwA_XYZ'!A22 = 0, NOT(ISBLANK(_xlfn.XLOOKUP(Tables!N$602, 'Input LwA_XYZ'!CM$1:DA$1, 'Input LwA_XYZ'!CM22:DA22)))), "", 'Input LwA_XYZ'!A22)</f>
        <v/>
      </c>
      <c r="Q623" s="225" t="str">
        <f>IF($P623="","",_xlfn.TEXTJOIN(" - ",TRUE,'Input LwA_XYZ'!B22:C22))</f>
        <v/>
      </c>
      <c r="R623" s="231" t="str">
        <f>IF($P623="","",'Input LwA_XYZ'!Q22)</f>
        <v/>
      </c>
      <c r="S623" s="227" t="str">
        <f>IF($P623="","",ROUND(_xlfn.XLOOKUP(Tables!$N$602,'Input LwA_XYZ'!$AH$1:$AV$1,'Input LwA_XYZ'!AH22:AV22),0))</f>
        <v/>
      </c>
      <c r="T623" s="228" t="str">
        <f>IF($P623="","",-1*ROUND(_xlfn.XLOOKUP(Tables!$N$602,'Input LwA_XYZ'!$AY$1:$BM$1,'Input LwA_XYZ'!AY22:BM22),0))</f>
        <v/>
      </c>
      <c r="U623" s="228" t="str">
        <f>IF($P623="","",IF(_xlfn.XLOOKUP(Tables!$N$602,'Input LwA_XYZ'!$BV$1:$CJ$1,'Input LwA_XYZ'!BV22:CJ22)="","-",_xlfn.XLOOKUP(Tables!$N$602,'Input LwA_XYZ'!$BV$1:$CJ$1,'Input LwA_XYZ'!BV22:CJ22)))</f>
        <v/>
      </c>
      <c r="V623" s="228" t="str">
        <f>IF($P623="","",IF('Input LwA_XYZ'!S22="","-",'Input LwA_XYZ'!S22))</f>
        <v/>
      </c>
      <c r="W623" s="229" t="str" cm="1">
        <f t="array" ref="W623">IF($P623="","",IF(_xlfn.XLOOKUP(Tables!$N$602,_xlfn.ANCHORARRAY('Input LwA_XYZ'!$DD$1),'Input LwA_XYZ'!DD22:DR22)="","-",_xlfn.XLOOKUP(Tables!$N$602,_xlfn.ANCHORARRAY('Input LwA_XYZ'!$DD$1),'Input LwA_XYZ'!DD22:DR22)))</f>
        <v/>
      </c>
      <c r="X623" s="62" t="str">
        <f>IF($P623="","",_xlfn.XLOOKUP(Tables!$N$602,'Input LwA_XYZ'!$DU$1:$EI$1,'Input LwA_XYZ'!DU22:EI22))</f>
        <v/>
      </c>
    </row>
    <row r="624" spans="16:24" ht="16.5" x14ac:dyDescent="0.3">
      <c r="P624" s="230" t="str">
        <f>IF(OR('Input LwA_XYZ'!A23 = 0, NOT(ISBLANK(_xlfn.XLOOKUP(Tables!N$602, 'Input LwA_XYZ'!CM$1:DA$1, 'Input LwA_XYZ'!CM23:DA23)))), "", 'Input LwA_XYZ'!A23)</f>
        <v/>
      </c>
      <c r="Q624" s="225" t="str">
        <f>IF($P624="","",_xlfn.TEXTJOIN(" - ",TRUE,'Input LwA_XYZ'!B23:C23))</f>
        <v/>
      </c>
      <c r="R624" s="231" t="str">
        <f>IF($P624="","",'Input LwA_XYZ'!Q23)</f>
        <v/>
      </c>
      <c r="S624" s="227" t="str">
        <f>IF($P624="","",ROUND(_xlfn.XLOOKUP(Tables!$N$602,'Input LwA_XYZ'!$AH$1:$AV$1,'Input LwA_XYZ'!AH23:AV23),0))</f>
        <v/>
      </c>
      <c r="T624" s="228" t="str">
        <f>IF($P624="","",-1*ROUND(_xlfn.XLOOKUP(Tables!$N$602,'Input LwA_XYZ'!$AY$1:$BM$1,'Input LwA_XYZ'!AY23:BM23),0))</f>
        <v/>
      </c>
      <c r="U624" s="228" t="str">
        <f>IF($P624="","",IF(_xlfn.XLOOKUP(Tables!$N$602,'Input LwA_XYZ'!$BV$1:$CJ$1,'Input LwA_XYZ'!BV23:CJ23)="","-",_xlfn.XLOOKUP(Tables!$N$602,'Input LwA_XYZ'!$BV$1:$CJ$1,'Input LwA_XYZ'!BV23:CJ23)))</f>
        <v/>
      </c>
      <c r="V624" s="228" t="str">
        <f>IF($P624="","",IF('Input LwA_XYZ'!S23="","-",'Input LwA_XYZ'!S23))</f>
        <v/>
      </c>
      <c r="W624" s="229" t="str" cm="1">
        <f t="array" ref="W624">IF($P624="","",IF(_xlfn.XLOOKUP(Tables!$N$602,_xlfn.ANCHORARRAY('Input LwA_XYZ'!$DD$1),'Input LwA_XYZ'!DD23:DR23)="","-",_xlfn.XLOOKUP(Tables!$N$602,_xlfn.ANCHORARRAY('Input LwA_XYZ'!$DD$1),'Input LwA_XYZ'!DD23:DR23)))</f>
        <v/>
      </c>
      <c r="X624" s="62" t="str">
        <f>IF($P624="","",_xlfn.XLOOKUP(Tables!$N$602,'Input LwA_XYZ'!$DU$1:$EI$1,'Input LwA_XYZ'!DU23:EI23))</f>
        <v/>
      </c>
    </row>
    <row r="625" spans="16:24" ht="16.5" x14ac:dyDescent="0.3">
      <c r="P625" s="230" t="str">
        <f>IF(OR('Input LwA_XYZ'!A24 = 0, NOT(ISBLANK(_xlfn.XLOOKUP(Tables!N$602, 'Input LwA_XYZ'!CM$1:DA$1, 'Input LwA_XYZ'!CM24:DA24)))), "", 'Input LwA_XYZ'!A24)</f>
        <v/>
      </c>
      <c r="Q625" s="225" t="str">
        <f>IF($P625="","",_xlfn.TEXTJOIN(" - ",TRUE,'Input LwA_XYZ'!B24:C24))</f>
        <v/>
      </c>
      <c r="R625" s="231" t="str">
        <f>IF($P625="","",'Input LwA_XYZ'!Q24)</f>
        <v/>
      </c>
      <c r="S625" s="227" t="str">
        <f>IF($P625="","",ROUND(_xlfn.XLOOKUP(Tables!$N$602,'Input LwA_XYZ'!$AH$1:$AV$1,'Input LwA_XYZ'!AH24:AV24),0))</f>
        <v/>
      </c>
      <c r="T625" s="228" t="str">
        <f>IF($P625="","",-1*ROUND(_xlfn.XLOOKUP(Tables!$N$602,'Input LwA_XYZ'!$AY$1:$BM$1,'Input LwA_XYZ'!AY24:BM24),0))</f>
        <v/>
      </c>
      <c r="U625" s="228" t="str">
        <f>IF($P625="","",IF(_xlfn.XLOOKUP(Tables!$N$602,'Input LwA_XYZ'!$BV$1:$CJ$1,'Input LwA_XYZ'!BV24:CJ24)="","-",_xlfn.XLOOKUP(Tables!$N$602,'Input LwA_XYZ'!$BV$1:$CJ$1,'Input LwA_XYZ'!BV24:CJ24)))</f>
        <v/>
      </c>
      <c r="V625" s="228" t="str">
        <f>IF($P625="","",IF('Input LwA_XYZ'!S24="","-",'Input LwA_XYZ'!S24))</f>
        <v/>
      </c>
      <c r="W625" s="229" t="str" cm="1">
        <f t="array" ref="W625">IF($P625="","",IF(_xlfn.XLOOKUP(Tables!$N$602,_xlfn.ANCHORARRAY('Input LwA_XYZ'!$DD$1),'Input LwA_XYZ'!DD24:DR24)="","-",_xlfn.XLOOKUP(Tables!$N$602,_xlfn.ANCHORARRAY('Input LwA_XYZ'!$DD$1),'Input LwA_XYZ'!DD24:DR24)))</f>
        <v/>
      </c>
      <c r="X625" s="62" t="str">
        <f>IF($P625="","",_xlfn.XLOOKUP(Tables!$N$602,'Input LwA_XYZ'!$DU$1:$EI$1,'Input LwA_XYZ'!DU24:EI24))</f>
        <v/>
      </c>
    </row>
    <row r="626" spans="16:24" ht="16.5" x14ac:dyDescent="0.3">
      <c r="P626" s="230" t="str">
        <f>IF(OR('Input LwA_XYZ'!A25 = 0, NOT(ISBLANK(_xlfn.XLOOKUP(Tables!N$602, 'Input LwA_XYZ'!CM$1:DA$1, 'Input LwA_XYZ'!CM25:DA25)))), "", 'Input LwA_XYZ'!A25)</f>
        <v/>
      </c>
      <c r="Q626" s="225" t="str">
        <f>IF($P626="","",_xlfn.TEXTJOIN(" - ",TRUE,'Input LwA_XYZ'!B25:C25))</f>
        <v/>
      </c>
      <c r="R626" s="231" t="str">
        <f>IF($P626="","",'Input LwA_XYZ'!Q25)</f>
        <v/>
      </c>
      <c r="S626" s="227" t="str">
        <f>IF($P626="","",ROUND(_xlfn.XLOOKUP(Tables!$N$602,'Input LwA_XYZ'!$AH$1:$AV$1,'Input LwA_XYZ'!AH25:AV25),0))</f>
        <v/>
      </c>
      <c r="T626" s="228" t="str">
        <f>IF($P626="","",-1*ROUND(_xlfn.XLOOKUP(Tables!$N$602,'Input LwA_XYZ'!$AY$1:$BM$1,'Input LwA_XYZ'!AY25:BM25),0))</f>
        <v/>
      </c>
      <c r="U626" s="228" t="str">
        <f>IF($P626="","",IF(_xlfn.XLOOKUP(Tables!$N$602,'Input LwA_XYZ'!$BV$1:$CJ$1,'Input LwA_XYZ'!BV25:CJ25)="","-",_xlfn.XLOOKUP(Tables!$N$602,'Input LwA_XYZ'!$BV$1:$CJ$1,'Input LwA_XYZ'!BV25:CJ25)))</f>
        <v/>
      </c>
      <c r="V626" s="228" t="str">
        <f>IF($P626="","",IF('Input LwA_XYZ'!S25="","-",'Input LwA_XYZ'!S25))</f>
        <v/>
      </c>
      <c r="W626" s="229" t="str" cm="1">
        <f t="array" ref="W626">IF($P626="","",IF(_xlfn.XLOOKUP(Tables!$N$602,_xlfn.ANCHORARRAY('Input LwA_XYZ'!$DD$1),'Input LwA_XYZ'!DD25:DR25)="","-",_xlfn.XLOOKUP(Tables!$N$602,_xlfn.ANCHORARRAY('Input LwA_XYZ'!$DD$1),'Input LwA_XYZ'!DD25:DR25)))</f>
        <v/>
      </c>
      <c r="X626" s="62" t="str">
        <f>IF($P626="","",_xlfn.XLOOKUP(Tables!$N$602,'Input LwA_XYZ'!$DU$1:$EI$1,'Input LwA_XYZ'!DU25:EI25))</f>
        <v/>
      </c>
    </row>
    <row r="627" spans="16:24" ht="16.5" x14ac:dyDescent="0.3">
      <c r="P627" s="230" t="str">
        <f>IF(OR('Input LwA_XYZ'!A26 = 0, NOT(ISBLANK(_xlfn.XLOOKUP(Tables!N$602, 'Input LwA_XYZ'!CM$1:DA$1, 'Input LwA_XYZ'!CM26:DA26)))), "", 'Input LwA_XYZ'!A26)</f>
        <v/>
      </c>
      <c r="Q627" s="225" t="str">
        <f>IF($P627="","",_xlfn.TEXTJOIN(" - ",TRUE,'Input LwA_XYZ'!B26:C26))</f>
        <v/>
      </c>
      <c r="R627" s="231" t="str">
        <f>IF($P627="","",'Input LwA_XYZ'!Q26)</f>
        <v/>
      </c>
      <c r="S627" s="227" t="str">
        <f>IF($P627="","",ROUND(_xlfn.XLOOKUP(Tables!$N$602,'Input LwA_XYZ'!$AH$1:$AV$1,'Input LwA_XYZ'!AH26:AV26),0))</f>
        <v/>
      </c>
      <c r="T627" s="228" t="str">
        <f>IF($P627="","",-1*ROUND(_xlfn.XLOOKUP(Tables!$N$602,'Input LwA_XYZ'!$AY$1:$BM$1,'Input LwA_XYZ'!AY26:BM26),0))</f>
        <v/>
      </c>
      <c r="U627" s="228" t="str">
        <f>IF($P627="","",IF(_xlfn.XLOOKUP(Tables!$N$602,'Input LwA_XYZ'!$BV$1:$CJ$1,'Input LwA_XYZ'!BV26:CJ26)="","-",_xlfn.XLOOKUP(Tables!$N$602,'Input LwA_XYZ'!$BV$1:$CJ$1,'Input LwA_XYZ'!BV26:CJ26)))</f>
        <v/>
      </c>
      <c r="V627" s="228" t="str">
        <f>IF($P627="","",IF('Input LwA_XYZ'!S26="","-",'Input LwA_XYZ'!S26))</f>
        <v/>
      </c>
      <c r="W627" s="229" t="str" cm="1">
        <f t="array" ref="W627">IF($P627="","",IF(_xlfn.XLOOKUP(Tables!$N$602,_xlfn.ANCHORARRAY('Input LwA_XYZ'!$DD$1),'Input LwA_XYZ'!DD26:DR26)="","-",_xlfn.XLOOKUP(Tables!$N$602,_xlfn.ANCHORARRAY('Input LwA_XYZ'!$DD$1),'Input LwA_XYZ'!DD26:DR26)))</f>
        <v/>
      </c>
      <c r="X627" s="62" t="str">
        <f>IF($P627="","",_xlfn.XLOOKUP(Tables!$N$602,'Input LwA_XYZ'!$DU$1:$EI$1,'Input LwA_XYZ'!DU26:EI26))</f>
        <v/>
      </c>
    </row>
    <row r="628" spans="16:24" ht="16.5" x14ac:dyDescent="0.3">
      <c r="P628" s="230" t="str">
        <f>IF(OR('Input LwA_XYZ'!A27 = 0, NOT(ISBLANK(_xlfn.XLOOKUP(Tables!N$602, 'Input LwA_XYZ'!CM$1:DA$1, 'Input LwA_XYZ'!CM27:DA27)))), "", 'Input LwA_XYZ'!A27)</f>
        <v/>
      </c>
      <c r="Q628" s="225" t="str">
        <f>IF($P628="","",_xlfn.TEXTJOIN(" - ",TRUE,'Input LwA_XYZ'!B27:C27))</f>
        <v/>
      </c>
      <c r="R628" s="231" t="str">
        <f>IF($P628="","",'Input LwA_XYZ'!Q27)</f>
        <v/>
      </c>
      <c r="S628" s="227" t="str">
        <f>IF($P628="","",ROUND(_xlfn.XLOOKUP(Tables!$N$602,'Input LwA_XYZ'!$AH$1:$AV$1,'Input LwA_XYZ'!AH27:AV27),0))</f>
        <v/>
      </c>
      <c r="T628" s="228" t="str">
        <f>IF($P628="","",-1*ROUND(_xlfn.XLOOKUP(Tables!$N$602,'Input LwA_XYZ'!$AY$1:$BM$1,'Input LwA_XYZ'!AY27:BM27),0))</f>
        <v/>
      </c>
      <c r="U628" s="228" t="str">
        <f>IF($P628="","",IF(_xlfn.XLOOKUP(Tables!$N$602,'Input LwA_XYZ'!$BV$1:$CJ$1,'Input LwA_XYZ'!BV27:CJ27)="","-",_xlfn.XLOOKUP(Tables!$N$602,'Input LwA_XYZ'!$BV$1:$CJ$1,'Input LwA_XYZ'!BV27:CJ27)))</f>
        <v/>
      </c>
      <c r="V628" s="228" t="str">
        <f>IF($P628="","",IF('Input LwA_XYZ'!S27="","-",'Input LwA_XYZ'!S27))</f>
        <v/>
      </c>
      <c r="W628" s="229" t="str" cm="1">
        <f t="array" ref="W628">IF($P628="","",IF(_xlfn.XLOOKUP(Tables!$N$602,_xlfn.ANCHORARRAY('Input LwA_XYZ'!$DD$1),'Input LwA_XYZ'!DD27:DR27)="","-",_xlfn.XLOOKUP(Tables!$N$602,_xlfn.ANCHORARRAY('Input LwA_XYZ'!$DD$1),'Input LwA_XYZ'!DD27:DR27)))</f>
        <v/>
      </c>
      <c r="X628" s="62" t="str">
        <f>IF($P628="","",_xlfn.XLOOKUP(Tables!$N$602,'Input LwA_XYZ'!$DU$1:$EI$1,'Input LwA_XYZ'!DU27:EI27))</f>
        <v/>
      </c>
    </row>
    <row r="629" spans="16:24" ht="16.5" x14ac:dyDescent="0.3">
      <c r="P629" s="230" t="str">
        <f>IF(OR('Input LwA_XYZ'!A28 = 0, NOT(ISBLANK(_xlfn.XLOOKUP(Tables!N$602, 'Input LwA_XYZ'!CM$1:DA$1, 'Input LwA_XYZ'!CM28:DA28)))), "", 'Input LwA_XYZ'!A28)</f>
        <v/>
      </c>
      <c r="Q629" s="225" t="str">
        <f>IF($P629="","",_xlfn.TEXTJOIN(" - ",TRUE,'Input LwA_XYZ'!B28:C28))</f>
        <v/>
      </c>
      <c r="R629" s="231" t="str">
        <f>IF($P629="","",'Input LwA_XYZ'!Q28)</f>
        <v/>
      </c>
      <c r="S629" s="227" t="str">
        <f>IF($P629="","",ROUND(_xlfn.XLOOKUP(Tables!$N$602,'Input LwA_XYZ'!$AH$1:$AV$1,'Input LwA_XYZ'!AH28:AV28),0))</f>
        <v/>
      </c>
      <c r="T629" s="228" t="str">
        <f>IF($P629="","",-1*ROUND(_xlfn.XLOOKUP(Tables!$N$602,'Input LwA_XYZ'!$AY$1:$BM$1,'Input LwA_XYZ'!AY28:BM28),0))</f>
        <v/>
      </c>
      <c r="U629" s="228" t="str">
        <f>IF($P629="","",IF(_xlfn.XLOOKUP(Tables!$N$602,'Input LwA_XYZ'!$BV$1:$CJ$1,'Input LwA_XYZ'!BV28:CJ28)="","-",_xlfn.XLOOKUP(Tables!$N$602,'Input LwA_XYZ'!$BV$1:$CJ$1,'Input LwA_XYZ'!BV28:CJ28)))</f>
        <v/>
      </c>
      <c r="V629" s="228" t="str">
        <f>IF($P629="","",IF('Input LwA_XYZ'!S28="","-",'Input LwA_XYZ'!S28))</f>
        <v/>
      </c>
      <c r="W629" s="229" t="str" cm="1">
        <f t="array" ref="W629">IF($P629="","",IF(_xlfn.XLOOKUP(Tables!$N$602,_xlfn.ANCHORARRAY('Input LwA_XYZ'!$DD$1),'Input LwA_XYZ'!DD28:DR28)="","-",_xlfn.XLOOKUP(Tables!$N$602,_xlfn.ANCHORARRAY('Input LwA_XYZ'!$DD$1),'Input LwA_XYZ'!DD28:DR28)))</f>
        <v/>
      </c>
      <c r="X629" s="62" t="str">
        <f>IF($P629="","",_xlfn.XLOOKUP(Tables!$N$602,'Input LwA_XYZ'!$DU$1:$EI$1,'Input LwA_XYZ'!DU28:EI28))</f>
        <v/>
      </c>
    </row>
    <row r="630" spans="16:24" ht="16.5" x14ac:dyDescent="0.3">
      <c r="P630" s="230" t="str">
        <f>IF(OR('Input LwA_XYZ'!A29 = 0, NOT(ISBLANK(_xlfn.XLOOKUP(Tables!N$602, 'Input LwA_XYZ'!CM$1:DA$1, 'Input LwA_XYZ'!CM29:DA29)))), "", 'Input LwA_XYZ'!A29)</f>
        <v/>
      </c>
      <c r="Q630" s="225" t="str">
        <f>IF($P630="","",_xlfn.TEXTJOIN(" - ",TRUE,'Input LwA_XYZ'!B29:C29))</f>
        <v/>
      </c>
      <c r="R630" s="231" t="str">
        <f>IF($P630="","",'Input LwA_XYZ'!Q29)</f>
        <v/>
      </c>
      <c r="S630" s="227" t="str">
        <f>IF($P630="","",ROUND(_xlfn.XLOOKUP(Tables!$N$602,'Input LwA_XYZ'!$AH$1:$AV$1,'Input LwA_XYZ'!AH29:AV29),0))</f>
        <v/>
      </c>
      <c r="T630" s="228" t="str">
        <f>IF($P630="","",-1*ROUND(_xlfn.XLOOKUP(Tables!$N$602,'Input LwA_XYZ'!$AY$1:$BM$1,'Input LwA_XYZ'!AY29:BM29),0))</f>
        <v/>
      </c>
      <c r="U630" s="228" t="str">
        <f>IF($P630="","",IF(_xlfn.XLOOKUP(Tables!$N$602,'Input LwA_XYZ'!$BV$1:$CJ$1,'Input LwA_XYZ'!BV29:CJ29)="","-",_xlfn.XLOOKUP(Tables!$N$602,'Input LwA_XYZ'!$BV$1:$CJ$1,'Input LwA_XYZ'!BV29:CJ29)))</f>
        <v/>
      </c>
      <c r="V630" s="228" t="str">
        <f>IF($P630="","",IF('Input LwA_XYZ'!S29="","-",'Input LwA_XYZ'!S29))</f>
        <v/>
      </c>
      <c r="W630" s="229" t="str" cm="1">
        <f t="array" ref="W630">IF($P630="","",IF(_xlfn.XLOOKUP(Tables!$N$602,_xlfn.ANCHORARRAY('Input LwA_XYZ'!$DD$1),'Input LwA_XYZ'!DD29:DR29)="","-",_xlfn.XLOOKUP(Tables!$N$602,_xlfn.ANCHORARRAY('Input LwA_XYZ'!$DD$1),'Input LwA_XYZ'!DD29:DR29)))</f>
        <v/>
      </c>
      <c r="X630" s="62" t="str">
        <f>IF($P630="","",_xlfn.XLOOKUP(Tables!$N$602,'Input LwA_XYZ'!$DU$1:$EI$1,'Input LwA_XYZ'!DU29:EI29))</f>
        <v/>
      </c>
    </row>
    <row r="631" spans="16:24" ht="16.5" x14ac:dyDescent="0.3">
      <c r="P631" s="230" t="str">
        <f>IF(OR('Input LwA_XYZ'!A30 = 0, NOT(ISBLANK(_xlfn.XLOOKUP(Tables!N$602, 'Input LwA_XYZ'!CM$1:DA$1, 'Input LwA_XYZ'!CM30:DA30)))), "", 'Input LwA_XYZ'!A30)</f>
        <v/>
      </c>
      <c r="Q631" s="225" t="str">
        <f>IF($P631="","",_xlfn.TEXTJOIN(" - ",TRUE,'Input LwA_XYZ'!B30:C30))</f>
        <v/>
      </c>
      <c r="R631" s="231" t="str">
        <f>IF($P631="","",'Input LwA_XYZ'!Q30)</f>
        <v/>
      </c>
      <c r="S631" s="227" t="str">
        <f>IF($P631="","",ROUND(_xlfn.XLOOKUP(Tables!$N$602,'Input LwA_XYZ'!$AH$1:$AV$1,'Input LwA_XYZ'!AH30:AV30),0))</f>
        <v/>
      </c>
      <c r="T631" s="228" t="str">
        <f>IF($P631="","",-1*ROUND(_xlfn.XLOOKUP(Tables!$N$602,'Input LwA_XYZ'!$AY$1:$BM$1,'Input LwA_XYZ'!AY30:BM30),0))</f>
        <v/>
      </c>
      <c r="U631" s="228" t="str">
        <f>IF($P631="","",IF(_xlfn.XLOOKUP(Tables!$N$602,'Input LwA_XYZ'!$BV$1:$CJ$1,'Input LwA_XYZ'!BV30:CJ30)="","-",_xlfn.XLOOKUP(Tables!$N$602,'Input LwA_XYZ'!$BV$1:$CJ$1,'Input LwA_XYZ'!BV30:CJ30)))</f>
        <v/>
      </c>
      <c r="V631" s="228" t="str">
        <f>IF($P631="","",IF('Input LwA_XYZ'!S30="","-",'Input LwA_XYZ'!S30))</f>
        <v/>
      </c>
      <c r="W631" s="229" t="str" cm="1">
        <f t="array" ref="W631">IF($P631="","",IF(_xlfn.XLOOKUP(Tables!$N$602,_xlfn.ANCHORARRAY('Input LwA_XYZ'!$DD$1),'Input LwA_XYZ'!DD30:DR30)="","-",_xlfn.XLOOKUP(Tables!$N$602,_xlfn.ANCHORARRAY('Input LwA_XYZ'!$DD$1),'Input LwA_XYZ'!DD30:DR30)))</f>
        <v/>
      </c>
      <c r="X631" s="62" t="str">
        <f>IF($P631="","",_xlfn.XLOOKUP(Tables!$N$602,'Input LwA_XYZ'!$DU$1:$EI$1,'Input LwA_XYZ'!DU30:EI30))</f>
        <v/>
      </c>
    </row>
    <row r="632" spans="16:24" ht="16.5" x14ac:dyDescent="0.3">
      <c r="P632" s="230" t="str">
        <f>IF(OR('Input LwA_XYZ'!A31 = 0, NOT(ISBLANK(_xlfn.XLOOKUP(Tables!N$602, 'Input LwA_XYZ'!CM$1:DA$1, 'Input LwA_XYZ'!CM31:DA31)))), "", 'Input LwA_XYZ'!A31)</f>
        <v/>
      </c>
      <c r="Q632" s="225" t="str">
        <f>IF($P632="","",_xlfn.TEXTJOIN(" - ",TRUE,'Input LwA_XYZ'!B31:C31))</f>
        <v/>
      </c>
      <c r="R632" s="231" t="str">
        <f>IF($P632="","",'Input LwA_XYZ'!Q31)</f>
        <v/>
      </c>
      <c r="S632" s="227" t="str">
        <f>IF($P632="","",ROUND(_xlfn.XLOOKUP(Tables!$N$602,'Input LwA_XYZ'!$AH$1:$AV$1,'Input LwA_XYZ'!AH31:AV31),0))</f>
        <v/>
      </c>
      <c r="T632" s="228" t="str">
        <f>IF($P632="","",-1*ROUND(_xlfn.XLOOKUP(Tables!$N$602,'Input LwA_XYZ'!$AY$1:$BM$1,'Input LwA_XYZ'!AY31:BM31),0))</f>
        <v/>
      </c>
      <c r="U632" s="228" t="str">
        <f>IF($P632="","",IF(_xlfn.XLOOKUP(Tables!$N$602,'Input LwA_XYZ'!$BV$1:$CJ$1,'Input LwA_XYZ'!BV31:CJ31)="","-",_xlfn.XLOOKUP(Tables!$N$602,'Input LwA_XYZ'!$BV$1:$CJ$1,'Input LwA_XYZ'!BV31:CJ31)))</f>
        <v/>
      </c>
      <c r="V632" s="228" t="str">
        <f>IF($P632="","",IF('Input LwA_XYZ'!S31="","-",'Input LwA_XYZ'!S31))</f>
        <v/>
      </c>
      <c r="W632" s="229" t="str" cm="1">
        <f t="array" ref="W632">IF($P632="","",IF(_xlfn.XLOOKUP(Tables!$N$602,_xlfn.ANCHORARRAY('Input LwA_XYZ'!$DD$1),'Input LwA_XYZ'!DD31:DR31)="","-",_xlfn.XLOOKUP(Tables!$N$602,_xlfn.ANCHORARRAY('Input LwA_XYZ'!$DD$1),'Input LwA_XYZ'!DD31:DR31)))</f>
        <v/>
      </c>
      <c r="X632" s="62" t="str">
        <f>IF($P632="","",_xlfn.XLOOKUP(Tables!$N$602,'Input LwA_XYZ'!$DU$1:$EI$1,'Input LwA_XYZ'!DU31:EI31))</f>
        <v/>
      </c>
    </row>
    <row r="633" spans="16:24" ht="16.5" x14ac:dyDescent="0.3">
      <c r="P633" s="230" t="str">
        <f>IF(OR('Input LwA_XYZ'!A32 = 0, NOT(ISBLANK(_xlfn.XLOOKUP(Tables!N$602, 'Input LwA_XYZ'!CM$1:DA$1, 'Input LwA_XYZ'!CM32:DA32)))), "", 'Input LwA_XYZ'!A32)</f>
        <v/>
      </c>
      <c r="Q633" s="225" t="str">
        <f>IF($P633="","",_xlfn.TEXTJOIN(" - ",TRUE,'Input LwA_XYZ'!B32:C32))</f>
        <v/>
      </c>
      <c r="R633" s="231" t="str">
        <f>IF($P633="","",'Input LwA_XYZ'!Q32)</f>
        <v/>
      </c>
      <c r="S633" s="227" t="str">
        <f>IF($P633="","",ROUND(_xlfn.XLOOKUP(Tables!$N$602,'Input LwA_XYZ'!$AH$1:$AV$1,'Input LwA_XYZ'!AH32:AV32),0))</f>
        <v/>
      </c>
      <c r="T633" s="228" t="str">
        <f>IF($P633="","",-1*ROUND(_xlfn.XLOOKUP(Tables!$N$602,'Input LwA_XYZ'!$AY$1:$BM$1,'Input LwA_XYZ'!AY32:BM32),0))</f>
        <v/>
      </c>
      <c r="U633" s="228" t="str">
        <f>IF($P633="","",IF(_xlfn.XLOOKUP(Tables!$N$602,'Input LwA_XYZ'!$BV$1:$CJ$1,'Input LwA_XYZ'!BV32:CJ32)="","-",_xlfn.XLOOKUP(Tables!$N$602,'Input LwA_XYZ'!$BV$1:$CJ$1,'Input LwA_XYZ'!BV32:CJ32)))</f>
        <v/>
      </c>
      <c r="V633" s="228" t="str">
        <f>IF($P633="","",IF('Input LwA_XYZ'!S32="","-",'Input LwA_XYZ'!S32))</f>
        <v/>
      </c>
      <c r="W633" s="229" t="str" cm="1">
        <f t="array" ref="W633">IF($P633="","",IF(_xlfn.XLOOKUP(Tables!$N$602,_xlfn.ANCHORARRAY('Input LwA_XYZ'!$DD$1),'Input LwA_XYZ'!DD32:DR32)="","-",_xlfn.XLOOKUP(Tables!$N$602,_xlfn.ANCHORARRAY('Input LwA_XYZ'!$DD$1),'Input LwA_XYZ'!DD32:DR32)))</f>
        <v/>
      </c>
      <c r="X633" s="62" t="str">
        <f>IF($P633="","",_xlfn.XLOOKUP(Tables!$N$602,'Input LwA_XYZ'!$DU$1:$EI$1,'Input LwA_XYZ'!DU32:EI32))</f>
        <v/>
      </c>
    </row>
    <row r="634" spans="16:24" ht="16.5" x14ac:dyDescent="0.3">
      <c r="P634" s="230" t="str">
        <f>IF(OR('Input LwA_XYZ'!A33 = 0, NOT(ISBLANK(_xlfn.XLOOKUP(Tables!N$602, 'Input LwA_XYZ'!CM$1:DA$1, 'Input LwA_XYZ'!CM33:DA33)))), "", 'Input LwA_XYZ'!A33)</f>
        <v/>
      </c>
      <c r="Q634" s="225" t="str">
        <f>IF($P634="","",_xlfn.TEXTJOIN(" - ",TRUE,'Input LwA_XYZ'!B33:C33))</f>
        <v/>
      </c>
      <c r="R634" s="231" t="str">
        <f>IF($P634="","",'Input LwA_XYZ'!Q33)</f>
        <v/>
      </c>
      <c r="S634" s="227" t="str">
        <f>IF($P634="","",ROUND(_xlfn.XLOOKUP(Tables!$N$602,'Input LwA_XYZ'!$AH$1:$AV$1,'Input LwA_XYZ'!AH33:AV33),0))</f>
        <v/>
      </c>
      <c r="T634" s="228" t="str">
        <f>IF($P634="","",-1*ROUND(_xlfn.XLOOKUP(Tables!$N$602,'Input LwA_XYZ'!$AY$1:$BM$1,'Input LwA_XYZ'!AY33:BM33),0))</f>
        <v/>
      </c>
      <c r="U634" s="228" t="str">
        <f>IF($P634="","",IF(_xlfn.XLOOKUP(Tables!$N$602,'Input LwA_XYZ'!$BV$1:$CJ$1,'Input LwA_XYZ'!BV33:CJ33)="","-",_xlfn.XLOOKUP(Tables!$N$602,'Input LwA_XYZ'!$BV$1:$CJ$1,'Input LwA_XYZ'!BV33:CJ33)))</f>
        <v/>
      </c>
      <c r="V634" s="228" t="str">
        <f>IF($P634="","",IF('Input LwA_XYZ'!S33="","-",'Input LwA_XYZ'!S33))</f>
        <v/>
      </c>
      <c r="W634" s="229" t="str" cm="1">
        <f t="array" ref="W634">IF($P634="","",IF(_xlfn.XLOOKUP(Tables!$N$602,_xlfn.ANCHORARRAY('Input LwA_XYZ'!$DD$1),'Input LwA_XYZ'!DD33:DR33)="","-",_xlfn.XLOOKUP(Tables!$N$602,_xlfn.ANCHORARRAY('Input LwA_XYZ'!$DD$1),'Input LwA_XYZ'!DD33:DR33)))</f>
        <v/>
      </c>
      <c r="X634" s="62" t="str">
        <f>IF($P634="","",_xlfn.XLOOKUP(Tables!$N$602,'Input LwA_XYZ'!$DU$1:$EI$1,'Input LwA_XYZ'!DU33:EI33))</f>
        <v/>
      </c>
    </row>
    <row r="635" spans="16:24" ht="16.5" x14ac:dyDescent="0.3">
      <c r="P635" s="230" t="str">
        <f>IF(OR('Input LwA_XYZ'!A34 = 0, NOT(ISBLANK(_xlfn.XLOOKUP(Tables!N$602, 'Input LwA_XYZ'!CM$1:DA$1, 'Input LwA_XYZ'!CM34:DA34)))), "", 'Input LwA_XYZ'!A34)</f>
        <v/>
      </c>
      <c r="Q635" s="225" t="str">
        <f>IF($P635="","",_xlfn.TEXTJOIN(" - ",TRUE,'Input LwA_XYZ'!B34:C34))</f>
        <v/>
      </c>
      <c r="R635" s="231" t="str">
        <f>IF($P635="","",'Input LwA_XYZ'!Q34)</f>
        <v/>
      </c>
      <c r="S635" s="227" t="str">
        <f>IF($P635="","",ROUND(_xlfn.XLOOKUP(Tables!$N$602,'Input LwA_XYZ'!$AH$1:$AV$1,'Input LwA_XYZ'!AH34:AV34),0))</f>
        <v/>
      </c>
      <c r="T635" s="228" t="str">
        <f>IF($P635="","",-1*ROUND(_xlfn.XLOOKUP(Tables!$N$602,'Input LwA_XYZ'!$AY$1:$BM$1,'Input LwA_XYZ'!AY34:BM34),0))</f>
        <v/>
      </c>
      <c r="U635" s="228" t="str">
        <f>IF($P635="","",IF(_xlfn.XLOOKUP(Tables!$N$602,'Input LwA_XYZ'!$BV$1:$CJ$1,'Input LwA_XYZ'!BV34:CJ34)="","-",_xlfn.XLOOKUP(Tables!$N$602,'Input LwA_XYZ'!$BV$1:$CJ$1,'Input LwA_XYZ'!BV34:CJ34)))</f>
        <v/>
      </c>
      <c r="V635" s="228" t="str">
        <f>IF($P635="","",IF('Input LwA_XYZ'!S34="","-",'Input LwA_XYZ'!S34))</f>
        <v/>
      </c>
      <c r="W635" s="229" t="str" cm="1">
        <f t="array" ref="W635">IF($P635="","",IF(_xlfn.XLOOKUP(Tables!$N$602,_xlfn.ANCHORARRAY('Input LwA_XYZ'!$DD$1),'Input LwA_XYZ'!DD34:DR34)="","-",_xlfn.XLOOKUP(Tables!$N$602,_xlfn.ANCHORARRAY('Input LwA_XYZ'!$DD$1),'Input LwA_XYZ'!DD34:DR34)))</f>
        <v/>
      </c>
      <c r="X635" s="62" t="str">
        <f>IF($P635="","",_xlfn.XLOOKUP(Tables!$N$602,'Input LwA_XYZ'!$DU$1:$EI$1,'Input LwA_XYZ'!DU34:EI34))</f>
        <v/>
      </c>
    </row>
    <row r="636" spans="16:24" ht="16.5" x14ac:dyDescent="0.3">
      <c r="P636" s="230" t="str">
        <f>IF(OR('Input LwA_XYZ'!A35 = 0, NOT(ISBLANK(_xlfn.XLOOKUP(Tables!N$602, 'Input LwA_XYZ'!CM$1:DA$1, 'Input LwA_XYZ'!CM35:DA35)))), "", 'Input LwA_XYZ'!A35)</f>
        <v/>
      </c>
      <c r="Q636" s="225" t="str">
        <f>IF($P636="","",_xlfn.TEXTJOIN(" - ",TRUE,'Input LwA_XYZ'!B35:C35))</f>
        <v/>
      </c>
      <c r="R636" s="231" t="str">
        <f>IF($P636="","",'Input LwA_XYZ'!Q35)</f>
        <v/>
      </c>
      <c r="S636" s="227" t="str">
        <f>IF($P636="","",ROUND(_xlfn.XLOOKUP(Tables!$N$602,'Input LwA_XYZ'!$AH$1:$AV$1,'Input LwA_XYZ'!AH35:AV35),0))</f>
        <v/>
      </c>
      <c r="T636" s="228" t="str">
        <f>IF($P636="","",-1*ROUND(_xlfn.XLOOKUP(Tables!$N$602,'Input LwA_XYZ'!$AY$1:$BM$1,'Input LwA_XYZ'!AY35:BM35),0))</f>
        <v/>
      </c>
      <c r="U636" s="228" t="str">
        <f>IF($P636="","",IF(_xlfn.XLOOKUP(Tables!$N$602,'Input LwA_XYZ'!$BV$1:$CJ$1,'Input LwA_XYZ'!BV35:CJ35)="","-",_xlfn.XLOOKUP(Tables!$N$602,'Input LwA_XYZ'!$BV$1:$CJ$1,'Input LwA_XYZ'!BV35:CJ35)))</f>
        <v/>
      </c>
      <c r="V636" s="228" t="str">
        <f>IF($P636="","",IF('Input LwA_XYZ'!S35="","-",'Input LwA_XYZ'!S35))</f>
        <v/>
      </c>
      <c r="W636" s="229" t="str" cm="1">
        <f t="array" ref="W636">IF($P636="","",IF(_xlfn.XLOOKUP(Tables!$N$602,_xlfn.ANCHORARRAY('Input LwA_XYZ'!$DD$1),'Input LwA_XYZ'!DD35:DR35)="","-",_xlfn.XLOOKUP(Tables!$N$602,_xlfn.ANCHORARRAY('Input LwA_XYZ'!$DD$1),'Input LwA_XYZ'!DD35:DR35)))</f>
        <v/>
      </c>
      <c r="X636" s="62" t="str">
        <f>IF($P636="","",_xlfn.XLOOKUP(Tables!$N$602,'Input LwA_XYZ'!$DU$1:$EI$1,'Input LwA_XYZ'!DU35:EI35))</f>
        <v/>
      </c>
    </row>
    <row r="637" spans="16:24" ht="16.5" x14ac:dyDescent="0.3">
      <c r="P637" s="230" t="str">
        <f>IF(OR('Input LwA_XYZ'!A36 = 0, NOT(ISBLANK(_xlfn.XLOOKUP(Tables!N$602, 'Input LwA_XYZ'!CM$1:DA$1, 'Input LwA_XYZ'!CM36:DA36)))), "", 'Input LwA_XYZ'!A36)</f>
        <v/>
      </c>
      <c r="Q637" s="225" t="str">
        <f>IF($P637="","",_xlfn.TEXTJOIN(" - ",TRUE,'Input LwA_XYZ'!B36:C36))</f>
        <v/>
      </c>
      <c r="R637" s="231" t="str">
        <f>IF($P637="","",'Input LwA_XYZ'!Q36)</f>
        <v/>
      </c>
      <c r="S637" s="227" t="str">
        <f>IF($P637="","",ROUND(_xlfn.XLOOKUP(Tables!$N$602,'Input LwA_XYZ'!$AH$1:$AV$1,'Input LwA_XYZ'!AH36:AV36),0))</f>
        <v/>
      </c>
      <c r="T637" s="228" t="str">
        <f>IF($P637="","",-1*ROUND(_xlfn.XLOOKUP(Tables!$N$602,'Input LwA_XYZ'!$AY$1:$BM$1,'Input LwA_XYZ'!AY36:BM36),0))</f>
        <v/>
      </c>
      <c r="U637" s="228" t="str">
        <f>IF($P637="","",IF(_xlfn.XLOOKUP(Tables!$N$602,'Input LwA_XYZ'!$BV$1:$CJ$1,'Input LwA_XYZ'!BV36:CJ36)="","-",_xlfn.XLOOKUP(Tables!$N$602,'Input LwA_XYZ'!$BV$1:$CJ$1,'Input LwA_XYZ'!BV36:CJ36)))</f>
        <v/>
      </c>
      <c r="V637" s="228" t="str">
        <f>IF($P637="","",IF('Input LwA_XYZ'!S36="","-",'Input LwA_XYZ'!S36))</f>
        <v/>
      </c>
      <c r="W637" s="229" t="str" cm="1">
        <f t="array" ref="W637">IF($P637="","",IF(_xlfn.XLOOKUP(Tables!$N$602,_xlfn.ANCHORARRAY('Input LwA_XYZ'!$DD$1),'Input LwA_XYZ'!DD36:DR36)="","-",_xlfn.XLOOKUP(Tables!$N$602,_xlfn.ANCHORARRAY('Input LwA_XYZ'!$DD$1),'Input LwA_XYZ'!DD36:DR36)))</f>
        <v/>
      </c>
      <c r="X637" s="62" t="str">
        <f>IF($P637="","",_xlfn.XLOOKUP(Tables!$N$602,'Input LwA_XYZ'!$DU$1:$EI$1,'Input LwA_XYZ'!DU36:EI36))</f>
        <v/>
      </c>
    </row>
    <row r="638" spans="16:24" ht="16.5" x14ac:dyDescent="0.3">
      <c r="P638" s="230" t="str">
        <f>IF(OR('Input LwA_XYZ'!A37 = 0, NOT(ISBLANK(_xlfn.XLOOKUP(Tables!N$602, 'Input LwA_XYZ'!CM$1:DA$1, 'Input LwA_XYZ'!CM37:DA37)))), "", 'Input LwA_XYZ'!A37)</f>
        <v/>
      </c>
      <c r="Q638" s="225" t="str">
        <f>IF($P638="","",_xlfn.TEXTJOIN(" - ",TRUE,'Input LwA_XYZ'!B37:C37))</f>
        <v/>
      </c>
      <c r="R638" s="231" t="str">
        <f>IF($P638="","",'Input LwA_XYZ'!Q37)</f>
        <v/>
      </c>
      <c r="S638" s="227" t="str">
        <f>IF($P638="","",ROUND(_xlfn.XLOOKUP(Tables!$N$602,'Input LwA_XYZ'!$AH$1:$AV$1,'Input LwA_XYZ'!AH37:AV37),0))</f>
        <v/>
      </c>
      <c r="T638" s="228" t="str">
        <f>IF($P638="","",-1*ROUND(_xlfn.XLOOKUP(Tables!$N$602,'Input LwA_XYZ'!$AY$1:$BM$1,'Input LwA_XYZ'!AY37:BM37),0))</f>
        <v/>
      </c>
      <c r="U638" s="228" t="str">
        <f>IF($P638="","",IF(_xlfn.XLOOKUP(Tables!$N$602,'Input LwA_XYZ'!$BV$1:$CJ$1,'Input LwA_XYZ'!BV37:CJ37)="","-",_xlfn.XLOOKUP(Tables!$N$602,'Input LwA_XYZ'!$BV$1:$CJ$1,'Input LwA_XYZ'!BV37:CJ37)))</f>
        <v/>
      </c>
      <c r="V638" s="228" t="str">
        <f>IF($P638="","",IF('Input LwA_XYZ'!S37="","-",'Input LwA_XYZ'!S37))</f>
        <v/>
      </c>
      <c r="W638" s="229" t="str" cm="1">
        <f t="array" ref="W638">IF($P638="","",IF(_xlfn.XLOOKUP(Tables!$N$602,_xlfn.ANCHORARRAY('Input LwA_XYZ'!$DD$1),'Input LwA_XYZ'!DD37:DR37)="","-",_xlfn.XLOOKUP(Tables!$N$602,_xlfn.ANCHORARRAY('Input LwA_XYZ'!$DD$1),'Input LwA_XYZ'!DD37:DR37)))</f>
        <v/>
      </c>
      <c r="X638" s="62" t="str">
        <f>IF($P638="","",_xlfn.XLOOKUP(Tables!$N$602,'Input LwA_XYZ'!$DU$1:$EI$1,'Input LwA_XYZ'!DU37:EI37))</f>
        <v/>
      </c>
    </row>
    <row r="639" spans="16:24" ht="16.5" x14ac:dyDescent="0.3">
      <c r="P639" s="230" t="str">
        <f>IF(OR('Input LwA_XYZ'!A38 = 0, NOT(ISBLANK(_xlfn.XLOOKUP(Tables!N$602, 'Input LwA_XYZ'!CM$1:DA$1, 'Input LwA_XYZ'!CM38:DA38)))), "", 'Input LwA_XYZ'!A38)</f>
        <v/>
      </c>
      <c r="Q639" s="225" t="str">
        <f>IF($P639="","",_xlfn.TEXTJOIN(" - ",TRUE,'Input LwA_XYZ'!B38:C38))</f>
        <v/>
      </c>
      <c r="R639" s="231" t="str">
        <f>IF($P639="","",'Input LwA_XYZ'!Q38)</f>
        <v/>
      </c>
      <c r="S639" s="227" t="str">
        <f>IF($P639="","",ROUND(_xlfn.XLOOKUP(Tables!$N$602,'Input LwA_XYZ'!$AH$1:$AV$1,'Input LwA_XYZ'!AH38:AV38),0))</f>
        <v/>
      </c>
      <c r="T639" s="228" t="str">
        <f>IF($P639="","",-1*ROUND(_xlfn.XLOOKUP(Tables!$N$602,'Input LwA_XYZ'!$AY$1:$BM$1,'Input LwA_XYZ'!AY38:BM38),0))</f>
        <v/>
      </c>
      <c r="U639" s="228" t="str">
        <f>IF($P639="","",IF(_xlfn.XLOOKUP(Tables!$N$602,'Input LwA_XYZ'!$BV$1:$CJ$1,'Input LwA_XYZ'!BV38:CJ38)="","-",_xlfn.XLOOKUP(Tables!$N$602,'Input LwA_XYZ'!$BV$1:$CJ$1,'Input LwA_XYZ'!BV38:CJ38)))</f>
        <v/>
      </c>
      <c r="V639" s="228" t="str">
        <f>IF($P639="","",IF('Input LwA_XYZ'!S38="","-",'Input LwA_XYZ'!S38))</f>
        <v/>
      </c>
      <c r="W639" s="229" t="str" cm="1">
        <f t="array" ref="W639">IF($P639="","",IF(_xlfn.XLOOKUP(Tables!$N$602,_xlfn.ANCHORARRAY('Input LwA_XYZ'!$DD$1),'Input LwA_XYZ'!DD38:DR38)="","-",_xlfn.XLOOKUP(Tables!$N$602,_xlfn.ANCHORARRAY('Input LwA_XYZ'!$DD$1),'Input LwA_XYZ'!DD38:DR38)))</f>
        <v/>
      </c>
      <c r="X639" s="62" t="str">
        <f>IF($P639="","",_xlfn.XLOOKUP(Tables!$N$602,'Input LwA_XYZ'!$DU$1:$EI$1,'Input LwA_XYZ'!DU38:EI38))</f>
        <v/>
      </c>
    </row>
    <row r="640" spans="16:24" ht="16.5" x14ac:dyDescent="0.3">
      <c r="P640" s="230" t="str">
        <f>IF(OR('Input LwA_XYZ'!A39 = 0, NOT(ISBLANK(_xlfn.XLOOKUP(Tables!N$602, 'Input LwA_XYZ'!CM$1:DA$1, 'Input LwA_XYZ'!CM39:DA39)))), "", 'Input LwA_XYZ'!A39)</f>
        <v/>
      </c>
      <c r="Q640" s="225" t="str">
        <f>IF($P640="","",_xlfn.TEXTJOIN(" - ",TRUE,'Input LwA_XYZ'!B39:C39))</f>
        <v/>
      </c>
      <c r="R640" s="231" t="str">
        <f>IF($P640="","",'Input LwA_XYZ'!Q39)</f>
        <v/>
      </c>
      <c r="S640" s="227" t="str">
        <f>IF($P640="","",ROUND(_xlfn.XLOOKUP(Tables!$N$602,'Input LwA_XYZ'!$AH$1:$AV$1,'Input LwA_XYZ'!AH39:AV39),0))</f>
        <v/>
      </c>
      <c r="T640" s="228" t="str">
        <f>IF($P640="","",-1*ROUND(_xlfn.XLOOKUP(Tables!$N$602,'Input LwA_XYZ'!$AY$1:$BM$1,'Input LwA_XYZ'!AY39:BM39),0))</f>
        <v/>
      </c>
      <c r="U640" s="228" t="str">
        <f>IF($P640="","",IF(_xlfn.XLOOKUP(Tables!$N$602,'Input LwA_XYZ'!$BV$1:$CJ$1,'Input LwA_XYZ'!BV39:CJ39)="","-",_xlfn.XLOOKUP(Tables!$N$602,'Input LwA_XYZ'!$BV$1:$CJ$1,'Input LwA_XYZ'!BV39:CJ39)))</f>
        <v/>
      </c>
      <c r="V640" s="228" t="str">
        <f>IF($P640="","",IF('Input LwA_XYZ'!S39="","-",'Input LwA_XYZ'!S39))</f>
        <v/>
      </c>
      <c r="W640" s="229" t="str" cm="1">
        <f t="array" ref="W640">IF($P640="","",IF(_xlfn.XLOOKUP(Tables!$N$602,_xlfn.ANCHORARRAY('Input LwA_XYZ'!$DD$1),'Input LwA_XYZ'!DD39:DR39)="","-",_xlfn.XLOOKUP(Tables!$N$602,_xlfn.ANCHORARRAY('Input LwA_XYZ'!$DD$1),'Input LwA_XYZ'!DD39:DR39)))</f>
        <v/>
      </c>
      <c r="X640" s="62" t="str">
        <f>IF($P640="","",_xlfn.XLOOKUP(Tables!$N$602,'Input LwA_XYZ'!$DU$1:$EI$1,'Input LwA_XYZ'!DU39:EI39))</f>
        <v/>
      </c>
    </row>
    <row r="641" spans="16:24" ht="16.5" x14ac:dyDescent="0.3">
      <c r="P641" s="230" t="str">
        <f>IF(OR('Input LwA_XYZ'!A40 = 0, NOT(ISBLANK(_xlfn.XLOOKUP(Tables!N$602, 'Input LwA_XYZ'!CM$1:DA$1, 'Input LwA_XYZ'!CM40:DA40)))), "", 'Input LwA_XYZ'!A40)</f>
        <v/>
      </c>
      <c r="Q641" s="225" t="str">
        <f>IF($P641="","",_xlfn.TEXTJOIN(" - ",TRUE,'Input LwA_XYZ'!B40:C40))</f>
        <v/>
      </c>
      <c r="R641" s="231" t="str">
        <f>IF($P641="","",'Input LwA_XYZ'!Q40)</f>
        <v/>
      </c>
      <c r="S641" s="227" t="str">
        <f>IF($P641="","",ROUND(_xlfn.XLOOKUP(Tables!$N$602,'Input LwA_XYZ'!$AH$1:$AV$1,'Input LwA_XYZ'!AH40:AV40),0))</f>
        <v/>
      </c>
      <c r="T641" s="228" t="str">
        <f>IF($P641="","",-1*ROUND(_xlfn.XLOOKUP(Tables!$N$602,'Input LwA_XYZ'!$AY$1:$BM$1,'Input LwA_XYZ'!AY40:BM40),0))</f>
        <v/>
      </c>
      <c r="U641" s="228" t="str">
        <f>IF($P641="","",IF(_xlfn.XLOOKUP(Tables!$N$602,'Input LwA_XYZ'!$BV$1:$CJ$1,'Input LwA_XYZ'!BV40:CJ40)="","-",_xlfn.XLOOKUP(Tables!$N$602,'Input LwA_XYZ'!$BV$1:$CJ$1,'Input LwA_XYZ'!BV40:CJ40)))</f>
        <v/>
      </c>
      <c r="V641" s="228" t="str">
        <f>IF($P641="","",IF('Input LwA_XYZ'!S40="","-",'Input LwA_XYZ'!S40))</f>
        <v/>
      </c>
      <c r="W641" s="229" t="str" cm="1">
        <f t="array" ref="W641">IF($P641="","",IF(_xlfn.XLOOKUP(Tables!$N$602,_xlfn.ANCHORARRAY('Input LwA_XYZ'!$DD$1),'Input LwA_XYZ'!DD40:DR40)="","-",_xlfn.XLOOKUP(Tables!$N$602,_xlfn.ANCHORARRAY('Input LwA_XYZ'!$DD$1),'Input LwA_XYZ'!DD40:DR40)))</f>
        <v/>
      </c>
      <c r="X641" s="62" t="str">
        <f>IF($P641="","",_xlfn.XLOOKUP(Tables!$N$602,'Input LwA_XYZ'!$DU$1:$EI$1,'Input LwA_XYZ'!DU40:EI40))</f>
        <v/>
      </c>
    </row>
    <row r="642" spans="16:24" ht="16.5" x14ac:dyDescent="0.3">
      <c r="P642" s="230" t="str">
        <f>IF(OR('Input LwA_XYZ'!A41 = 0, NOT(ISBLANK(_xlfn.XLOOKUP(Tables!N$602, 'Input LwA_XYZ'!CM$1:DA$1, 'Input LwA_XYZ'!CM41:DA41)))), "", 'Input LwA_XYZ'!A41)</f>
        <v/>
      </c>
      <c r="Q642" s="225" t="str">
        <f>IF($P642="","",_xlfn.TEXTJOIN(" - ",TRUE,'Input LwA_XYZ'!B41:C41))</f>
        <v/>
      </c>
      <c r="R642" s="231" t="str">
        <f>IF($P642="","",'Input LwA_XYZ'!Q41)</f>
        <v/>
      </c>
      <c r="S642" s="227" t="str">
        <f>IF($P642="","",ROUND(_xlfn.XLOOKUP(Tables!$N$602,'Input LwA_XYZ'!$AH$1:$AV$1,'Input LwA_XYZ'!AH41:AV41),0))</f>
        <v/>
      </c>
      <c r="T642" s="228" t="str">
        <f>IF($P642="","",-1*ROUND(_xlfn.XLOOKUP(Tables!$N$602,'Input LwA_XYZ'!$AY$1:$BM$1,'Input LwA_XYZ'!AY41:BM41),0))</f>
        <v/>
      </c>
      <c r="U642" s="228" t="str">
        <f>IF($P642="","",IF(_xlfn.XLOOKUP(Tables!$N$602,'Input LwA_XYZ'!$BV$1:$CJ$1,'Input LwA_XYZ'!BV41:CJ41)="","-",_xlfn.XLOOKUP(Tables!$N$602,'Input LwA_XYZ'!$BV$1:$CJ$1,'Input LwA_XYZ'!BV41:CJ41)))</f>
        <v/>
      </c>
      <c r="V642" s="228" t="str">
        <f>IF($P642="","",IF('Input LwA_XYZ'!S41="","-",'Input LwA_XYZ'!S41))</f>
        <v/>
      </c>
      <c r="W642" s="229" t="str" cm="1">
        <f t="array" ref="W642">IF($P642="","",IF(_xlfn.XLOOKUP(Tables!$N$602,_xlfn.ANCHORARRAY('Input LwA_XYZ'!$DD$1),'Input LwA_XYZ'!DD41:DR41)="","-",_xlfn.XLOOKUP(Tables!$N$602,_xlfn.ANCHORARRAY('Input LwA_XYZ'!$DD$1),'Input LwA_XYZ'!DD41:DR41)))</f>
        <v/>
      </c>
      <c r="X642" s="62" t="str">
        <f>IF($P642="","",_xlfn.XLOOKUP(Tables!$N$602,'Input LwA_XYZ'!$DU$1:$EI$1,'Input LwA_XYZ'!DU41:EI41))</f>
        <v/>
      </c>
    </row>
    <row r="643" spans="16:24" ht="16.5" x14ac:dyDescent="0.3">
      <c r="P643" s="230" t="str">
        <f>IF(OR('Input LwA_XYZ'!A42 = 0, NOT(ISBLANK(_xlfn.XLOOKUP(Tables!N$602, 'Input LwA_XYZ'!CM$1:DA$1, 'Input LwA_XYZ'!CM42:DA42)))), "", 'Input LwA_XYZ'!A42)</f>
        <v/>
      </c>
      <c r="Q643" s="225" t="str">
        <f>IF($P643="","",_xlfn.TEXTJOIN(" - ",TRUE,'Input LwA_XYZ'!B42:C42))</f>
        <v/>
      </c>
      <c r="R643" s="231" t="str">
        <f>IF($P643="","",'Input LwA_XYZ'!Q42)</f>
        <v/>
      </c>
      <c r="S643" s="227" t="str">
        <f>IF($P643="","",ROUND(_xlfn.XLOOKUP(Tables!$N$602,'Input LwA_XYZ'!$AH$1:$AV$1,'Input LwA_XYZ'!AH42:AV42),0))</f>
        <v/>
      </c>
      <c r="T643" s="228" t="str">
        <f>IF($P643="","",-1*ROUND(_xlfn.XLOOKUP(Tables!$N$602,'Input LwA_XYZ'!$AY$1:$BM$1,'Input LwA_XYZ'!AY42:BM42),0))</f>
        <v/>
      </c>
      <c r="U643" s="228" t="str">
        <f>IF($P643="","",IF(_xlfn.XLOOKUP(Tables!$N$602,'Input LwA_XYZ'!$BV$1:$CJ$1,'Input LwA_XYZ'!BV42:CJ42)="","-",_xlfn.XLOOKUP(Tables!$N$602,'Input LwA_XYZ'!$BV$1:$CJ$1,'Input LwA_XYZ'!BV42:CJ42)))</f>
        <v/>
      </c>
      <c r="V643" s="228" t="str">
        <f>IF($P643="","",IF('Input LwA_XYZ'!S42="","-",'Input LwA_XYZ'!S42))</f>
        <v/>
      </c>
      <c r="W643" s="229" t="str" cm="1">
        <f t="array" ref="W643">IF($P643="","",IF(_xlfn.XLOOKUP(Tables!$N$602,_xlfn.ANCHORARRAY('Input LwA_XYZ'!$DD$1),'Input LwA_XYZ'!DD42:DR42)="","-",_xlfn.XLOOKUP(Tables!$N$602,_xlfn.ANCHORARRAY('Input LwA_XYZ'!$DD$1),'Input LwA_XYZ'!DD42:DR42)))</f>
        <v/>
      </c>
      <c r="X643" s="62" t="str">
        <f>IF($P643="","",_xlfn.XLOOKUP(Tables!$N$602,'Input LwA_XYZ'!$DU$1:$EI$1,'Input LwA_XYZ'!DU42:EI42))</f>
        <v/>
      </c>
    </row>
    <row r="644" spans="16:24" ht="16.5" x14ac:dyDescent="0.3">
      <c r="P644" s="230" t="str">
        <f>IF(OR('Input LwA_XYZ'!A43 = 0, NOT(ISBLANK(_xlfn.XLOOKUP(Tables!N$602, 'Input LwA_XYZ'!CM$1:DA$1, 'Input LwA_XYZ'!CM43:DA43)))), "", 'Input LwA_XYZ'!A43)</f>
        <v/>
      </c>
      <c r="Q644" s="225" t="str">
        <f>IF($P644="","",_xlfn.TEXTJOIN(" - ",TRUE,'Input LwA_XYZ'!B43:C43))</f>
        <v/>
      </c>
      <c r="R644" s="231" t="str">
        <f>IF($P644="","",'Input LwA_XYZ'!Q43)</f>
        <v/>
      </c>
      <c r="S644" s="227" t="str">
        <f>IF($P644="","",ROUND(_xlfn.XLOOKUP(Tables!$N$602,'Input LwA_XYZ'!$AH$1:$AV$1,'Input LwA_XYZ'!AH43:AV43),0))</f>
        <v/>
      </c>
      <c r="T644" s="228" t="str">
        <f>IF($P644="","",-1*ROUND(_xlfn.XLOOKUP(Tables!$N$602,'Input LwA_XYZ'!$AY$1:$BM$1,'Input LwA_XYZ'!AY43:BM43),0))</f>
        <v/>
      </c>
      <c r="U644" s="228" t="str">
        <f>IF($P644="","",IF(_xlfn.XLOOKUP(Tables!$N$602,'Input LwA_XYZ'!$BV$1:$CJ$1,'Input LwA_XYZ'!BV43:CJ43)="","-",_xlfn.XLOOKUP(Tables!$N$602,'Input LwA_XYZ'!$BV$1:$CJ$1,'Input LwA_XYZ'!BV43:CJ43)))</f>
        <v/>
      </c>
      <c r="V644" s="228" t="str">
        <f>IF($P644="","",IF('Input LwA_XYZ'!S43="","-",'Input LwA_XYZ'!S43))</f>
        <v/>
      </c>
      <c r="W644" s="229" t="str" cm="1">
        <f t="array" ref="W644">IF($P644="","",IF(_xlfn.XLOOKUP(Tables!$N$602,_xlfn.ANCHORARRAY('Input LwA_XYZ'!$DD$1),'Input LwA_XYZ'!DD43:DR43)="","-",_xlfn.XLOOKUP(Tables!$N$602,_xlfn.ANCHORARRAY('Input LwA_XYZ'!$DD$1),'Input LwA_XYZ'!DD43:DR43)))</f>
        <v/>
      </c>
      <c r="X644" s="62" t="str">
        <f>IF($P644="","",_xlfn.XLOOKUP(Tables!$N$602,'Input LwA_XYZ'!$DU$1:$EI$1,'Input LwA_XYZ'!DU43:EI43))</f>
        <v/>
      </c>
    </row>
    <row r="645" spans="16:24" ht="16.5" x14ac:dyDescent="0.3">
      <c r="P645" s="230" t="str">
        <f>IF(OR('Input LwA_XYZ'!A44 = 0, NOT(ISBLANK(_xlfn.XLOOKUP(Tables!N$602, 'Input LwA_XYZ'!CM$1:DA$1, 'Input LwA_XYZ'!CM44:DA44)))), "", 'Input LwA_XYZ'!A44)</f>
        <v/>
      </c>
      <c r="Q645" s="225" t="str">
        <f>IF($P645="","",_xlfn.TEXTJOIN(" - ",TRUE,'Input LwA_XYZ'!B44:C44))</f>
        <v/>
      </c>
      <c r="R645" s="231" t="str">
        <f>IF($P645="","",'Input LwA_XYZ'!Q44)</f>
        <v/>
      </c>
      <c r="S645" s="227" t="str">
        <f>IF($P645="","",ROUND(_xlfn.XLOOKUP(Tables!$N$602,'Input LwA_XYZ'!$AH$1:$AV$1,'Input LwA_XYZ'!AH44:AV44),0))</f>
        <v/>
      </c>
      <c r="T645" s="228" t="str">
        <f>IF($P645="","",-1*ROUND(_xlfn.XLOOKUP(Tables!$N$602,'Input LwA_XYZ'!$AY$1:$BM$1,'Input LwA_XYZ'!AY44:BM44),0))</f>
        <v/>
      </c>
      <c r="U645" s="228" t="str">
        <f>IF($P645="","",IF(_xlfn.XLOOKUP(Tables!$N$602,'Input LwA_XYZ'!$BV$1:$CJ$1,'Input LwA_XYZ'!BV44:CJ44)="","-",_xlfn.XLOOKUP(Tables!$N$602,'Input LwA_XYZ'!$BV$1:$CJ$1,'Input LwA_XYZ'!BV44:CJ44)))</f>
        <v/>
      </c>
      <c r="V645" s="228" t="str">
        <f>IF($P645="","",IF('Input LwA_XYZ'!S44="","-",'Input LwA_XYZ'!S44))</f>
        <v/>
      </c>
      <c r="W645" s="229" t="str" cm="1">
        <f t="array" ref="W645">IF($P645="","",IF(_xlfn.XLOOKUP(Tables!$N$602,_xlfn.ANCHORARRAY('Input LwA_XYZ'!$DD$1),'Input LwA_XYZ'!DD44:DR44)="","-",_xlfn.XLOOKUP(Tables!$N$602,_xlfn.ANCHORARRAY('Input LwA_XYZ'!$DD$1),'Input LwA_XYZ'!DD44:DR44)))</f>
        <v/>
      </c>
      <c r="X645" s="62" t="str">
        <f>IF($P645="","",_xlfn.XLOOKUP(Tables!$N$602,'Input LwA_XYZ'!$DU$1:$EI$1,'Input LwA_XYZ'!DU44:EI44))</f>
        <v/>
      </c>
    </row>
    <row r="646" spans="16:24" ht="16.5" x14ac:dyDescent="0.3">
      <c r="P646" s="230" t="str">
        <f>IF(OR('Input LwA_XYZ'!A45 = 0, NOT(ISBLANK(_xlfn.XLOOKUP(Tables!N$602, 'Input LwA_XYZ'!CM$1:DA$1, 'Input LwA_XYZ'!CM45:DA45)))), "", 'Input LwA_XYZ'!A45)</f>
        <v/>
      </c>
      <c r="Q646" s="225" t="str">
        <f>IF($P646="","",_xlfn.TEXTJOIN(" - ",TRUE,'Input LwA_XYZ'!B45:C45))</f>
        <v/>
      </c>
      <c r="R646" s="231" t="str">
        <f>IF($P646="","",'Input LwA_XYZ'!Q45)</f>
        <v/>
      </c>
      <c r="S646" s="227" t="str">
        <f>IF($P646="","",ROUND(_xlfn.XLOOKUP(Tables!$N$602,'Input LwA_XYZ'!$AH$1:$AV$1,'Input LwA_XYZ'!AH45:AV45),0))</f>
        <v/>
      </c>
      <c r="T646" s="228" t="str">
        <f>IF($P646="","",-1*ROUND(_xlfn.XLOOKUP(Tables!$N$602,'Input LwA_XYZ'!$AY$1:$BM$1,'Input LwA_XYZ'!AY45:BM45),0))</f>
        <v/>
      </c>
      <c r="U646" s="228" t="str">
        <f>IF($P646="","",IF(_xlfn.XLOOKUP(Tables!$N$602,'Input LwA_XYZ'!$BV$1:$CJ$1,'Input LwA_XYZ'!BV45:CJ45)="","-",_xlfn.XLOOKUP(Tables!$N$602,'Input LwA_XYZ'!$BV$1:$CJ$1,'Input LwA_XYZ'!BV45:CJ45)))</f>
        <v/>
      </c>
      <c r="V646" s="228" t="str">
        <f>IF($P646="","",IF('Input LwA_XYZ'!S45="","-",'Input LwA_XYZ'!S45))</f>
        <v/>
      </c>
      <c r="W646" s="229" t="str" cm="1">
        <f t="array" ref="W646">IF($P646="","",IF(_xlfn.XLOOKUP(Tables!$N$602,_xlfn.ANCHORARRAY('Input LwA_XYZ'!$DD$1),'Input LwA_XYZ'!DD45:DR45)="","-",_xlfn.XLOOKUP(Tables!$N$602,_xlfn.ANCHORARRAY('Input LwA_XYZ'!$DD$1),'Input LwA_XYZ'!DD45:DR45)))</f>
        <v/>
      </c>
      <c r="X646" s="62" t="str">
        <f>IF($P646="","",_xlfn.XLOOKUP(Tables!$N$602,'Input LwA_XYZ'!$DU$1:$EI$1,'Input LwA_XYZ'!DU45:EI45))</f>
        <v/>
      </c>
    </row>
    <row r="647" spans="16:24" ht="16.5" x14ac:dyDescent="0.3">
      <c r="P647" s="230" t="str">
        <f>IF(OR('Input LwA_XYZ'!A46 = 0, NOT(ISBLANK(_xlfn.XLOOKUP(Tables!N$602, 'Input LwA_XYZ'!CM$1:DA$1, 'Input LwA_XYZ'!CM46:DA46)))), "", 'Input LwA_XYZ'!A46)</f>
        <v/>
      </c>
      <c r="Q647" s="225" t="str">
        <f>IF($P647="","",_xlfn.TEXTJOIN(" - ",TRUE,'Input LwA_XYZ'!B46:C46))</f>
        <v/>
      </c>
      <c r="R647" s="231" t="str">
        <f>IF($P647="","",'Input LwA_XYZ'!Q46)</f>
        <v/>
      </c>
      <c r="S647" s="227" t="str">
        <f>IF($P647="","",ROUND(_xlfn.XLOOKUP(Tables!$N$602,'Input LwA_XYZ'!$AH$1:$AV$1,'Input LwA_XYZ'!AH46:AV46),0))</f>
        <v/>
      </c>
      <c r="T647" s="228" t="str">
        <f>IF($P647="","",-1*ROUND(_xlfn.XLOOKUP(Tables!$N$602,'Input LwA_XYZ'!$AY$1:$BM$1,'Input LwA_XYZ'!AY46:BM46),0))</f>
        <v/>
      </c>
      <c r="U647" s="228" t="str">
        <f>IF($P647="","",IF(_xlfn.XLOOKUP(Tables!$N$602,'Input LwA_XYZ'!$BV$1:$CJ$1,'Input LwA_XYZ'!BV46:CJ46)="","-",_xlfn.XLOOKUP(Tables!$N$602,'Input LwA_XYZ'!$BV$1:$CJ$1,'Input LwA_XYZ'!BV46:CJ46)))</f>
        <v/>
      </c>
      <c r="V647" s="228" t="str">
        <f>IF($P647="","",IF('Input LwA_XYZ'!S46="","-",'Input LwA_XYZ'!S46))</f>
        <v/>
      </c>
      <c r="W647" s="229" t="str" cm="1">
        <f t="array" ref="W647">IF($P647="","",IF(_xlfn.XLOOKUP(Tables!$N$602,_xlfn.ANCHORARRAY('Input LwA_XYZ'!$DD$1),'Input LwA_XYZ'!DD46:DR46)="","-",_xlfn.XLOOKUP(Tables!$N$602,_xlfn.ANCHORARRAY('Input LwA_XYZ'!$DD$1),'Input LwA_XYZ'!DD46:DR46)))</f>
        <v/>
      </c>
      <c r="X647" s="62" t="str">
        <f>IF($P647="","",_xlfn.XLOOKUP(Tables!$N$602,'Input LwA_XYZ'!$DU$1:$EI$1,'Input LwA_XYZ'!DU46:EI46))</f>
        <v/>
      </c>
    </row>
    <row r="648" spans="16:24" ht="16.5" x14ac:dyDescent="0.3">
      <c r="P648" s="230" t="str">
        <f>IF(OR('Input LwA_XYZ'!A47 = 0, NOT(ISBLANK(_xlfn.XLOOKUP(Tables!N$602, 'Input LwA_XYZ'!CM$1:DA$1, 'Input LwA_XYZ'!CM47:DA47)))), "", 'Input LwA_XYZ'!A47)</f>
        <v/>
      </c>
      <c r="Q648" s="225" t="str">
        <f>IF($P648="","",_xlfn.TEXTJOIN(" - ",TRUE,'Input LwA_XYZ'!B47:C47))</f>
        <v/>
      </c>
      <c r="R648" s="231" t="str">
        <f>IF($P648="","",'Input LwA_XYZ'!Q47)</f>
        <v/>
      </c>
      <c r="S648" s="227" t="str">
        <f>IF($P648="","",ROUND(_xlfn.XLOOKUP(Tables!$N$602,'Input LwA_XYZ'!$AH$1:$AV$1,'Input LwA_XYZ'!AH47:AV47),0))</f>
        <v/>
      </c>
      <c r="T648" s="228" t="str">
        <f>IF($P648="","",-1*ROUND(_xlfn.XLOOKUP(Tables!$N$602,'Input LwA_XYZ'!$AY$1:$BM$1,'Input LwA_XYZ'!AY47:BM47),0))</f>
        <v/>
      </c>
      <c r="U648" s="228" t="str">
        <f>IF($P648="","",IF(_xlfn.XLOOKUP(Tables!$N$602,'Input LwA_XYZ'!$BV$1:$CJ$1,'Input LwA_XYZ'!BV47:CJ47)="","-",_xlfn.XLOOKUP(Tables!$N$602,'Input LwA_XYZ'!$BV$1:$CJ$1,'Input LwA_XYZ'!BV47:CJ47)))</f>
        <v/>
      </c>
      <c r="V648" s="228" t="str">
        <f>IF($P648="","",IF('Input LwA_XYZ'!S47="","-",'Input LwA_XYZ'!S47))</f>
        <v/>
      </c>
      <c r="W648" s="229" t="str" cm="1">
        <f t="array" ref="W648">IF($P648="","",IF(_xlfn.XLOOKUP(Tables!$N$602,_xlfn.ANCHORARRAY('Input LwA_XYZ'!$DD$1),'Input LwA_XYZ'!DD47:DR47)="","-",_xlfn.XLOOKUP(Tables!$N$602,_xlfn.ANCHORARRAY('Input LwA_XYZ'!$DD$1),'Input LwA_XYZ'!DD47:DR47)))</f>
        <v/>
      </c>
      <c r="X648" s="62" t="str">
        <f>IF($P648="","",_xlfn.XLOOKUP(Tables!$N$602,'Input LwA_XYZ'!$DU$1:$EI$1,'Input LwA_XYZ'!DU47:EI47))</f>
        <v/>
      </c>
    </row>
    <row r="649" spans="16:24" ht="16.5" x14ac:dyDescent="0.3">
      <c r="P649" s="230" t="str">
        <f>IF(OR('Input LwA_XYZ'!A48 = 0, NOT(ISBLANK(_xlfn.XLOOKUP(Tables!N$602, 'Input LwA_XYZ'!CM$1:DA$1, 'Input LwA_XYZ'!CM48:DA48)))), "", 'Input LwA_XYZ'!A48)</f>
        <v/>
      </c>
      <c r="Q649" s="225" t="str">
        <f>IF($P649="","",_xlfn.TEXTJOIN(" - ",TRUE,'Input LwA_XYZ'!B48:C48))</f>
        <v/>
      </c>
      <c r="R649" s="231" t="str">
        <f>IF($P649="","",'Input LwA_XYZ'!Q48)</f>
        <v/>
      </c>
      <c r="S649" s="227" t="str">
        <f>IF($P649="","",ROUND(_xlfn.XLOOKUP(Tables!$N$602,'Input LwA_XYZ'!$AH$1:$AV$1,'Input LwA_XYZ'!AH48:AV48),0))</f>
        <v/>
      </c>
      <c r="T649" s="228" t="str">
        <f>IF($P649="","",-1*ROUND(_xlfn.XLOOKUP(Tables!$N$602,'Input LwA_XYZ'!$AY$1:$BM$1,'Input LwA_XYZ'!AY48:BM48),0))</f>
        <v/>
      </c>
      <c r="U649" s="228" t="str">
        <f>IF($P649="","",IF(_xlfn.XLOOKUP(Tables!$N$602,'Input LwA_XYZ'!$BV$1:$CJ$1,'Input LwA_XYZ'!BV48:CJ48)="","-",_xlfn.XLOOKUP(Tables!$N$602,'Input LwA_XYZ'!$BV$1:$CJ$1,'Input LwA_XYZ'!BV48:CJ48)))</f>
        <v/>
      </c>
      <c r="V649" s="228" t="str">
        <f>IF($P649="","",IF('Input LwA_XYZ'!S48="","-",'Input LwA_XYZ'!S48))</f>
        <v/>
      </c>
      <c r="W649" s="229" t="str" cm="1">
        <f t="array" ref="W649">IF($P649="","",IF(_xlfn.XLOOKUP(Tables!$N$602,_xlfn.ANCHORARRAY('Input LwA_XYZ'!$DD$1),'Input LwA_XYZ'!DD48:DR48)="","-",_xlfn.XLOOKUP(Tables!$N$602,_xlfn.ANCHORARRAY('Input LwA_XYZ'!$DD$1),'Input LwA_XYZ'!DD48:DR48)))</f>
        <v/>
      </c>
      <c r="X649" s="62" t="str">
        <f>IF($P649="","",_xlfn.XLOOKUP(Tables!$N$602,'Input LwA_XYZ'!$DU$1:$EI$1,'Input LwA_XYZ'!DU48:EI48))</f>
        <v/>
      </c>
    </row>
    <row r="650" spans="16:24" ht="16.5" x14ac:dyDescent="0.3">
      <c r="P650" s="230" t="str">
        <f>IF(OR('Input LwA_XYZ'!A49 = 0, NOT(ISBLANK(_xlfn.XLOOKUP(Tables!N$602, 'Input LwA_XYZ'!CM$1:DA$1, 'Input LwA_XYZ'!CM49:DA49)))), "", 'Input LwA_XYZ'!A49)</f>
        <v/>
      </c>
      <c r="Q650" s="225" t="str">
        <f>IF($P650="","",_xlfn.TEXTJOIN(" - ",TRUE,'Input LwA_XYZ'!B49:C49))</f>
        <v/>
      </c>
      <c r="R650" s="231" t="str">
        <f>IF($P650="","",'Input LwA_XYZ'!Q49)</f>
        <v/>
      </c>
      <c r="S650" s="227" t="str">
        <f>IF($P650="","",ROUND(_xlfn.XLOOKUP(Tables!$N$602,'Input LwA_XYZ'!$AH$1:$AV$1,'Input LwA_XYZ'!AH49:AV49),0))</f>
        <v/>
      </c>
      <c r="T650" s="228" t="str">
        <f>IF($P650="","",-1*ROUND(_xlfn.XLOOKUP(Tables!$N$602,'Input LwA_XYZ'!$AY$1:$BM$1,'Input LwA_XYZ'!AY49:BM49),0))</f>
        <v/>
      </c>
      <c r="U650" s="228" t="str">
        <f>IF($P650="","",IF(_xlfn.XLOOKUP(Tables!$N$602,'Input LwA_XYZ'!$BV$1:$CJ$1,'Input LwA_XYZ'!BV49:CJ49)="","-",_xlfn.XLOOKUP(Tables!$N$602,'Input LwA_XYZ'!$BV$1:$CJ$1,'Input LwA_XYZ'!BV49:CJ49)))</f>
        <v/>
      </c>
      <c r="V650" s="228" t="str">
        <f>IF($P650="","",IF('Input LwA_XYZ'!S49="","-",'Input LwA_XYZ'!S49))</f>
        <v/>
      </c>
      <c r="W650" s="229" t="str" cm="1">
        <f t="array" ref="W650">IF($P650="","",IF(_xlfn.XLOOKUP(Tables!$N$602,_xlfn.ANCHORARRAY('Input LwA_XYZ'!$DD$1),'Input LwA_XYZ'!DD49:DR49)="","-",_xlfn.XLOOKUP(Tables!$N$602,_xlfn.ANCHORARRAY('Input LwA_XYZ'!$DD$1),'Input LwA_XYZ'!DD49:DR49)))</f>
        <v/>
      </c>
      <c r="X650" s="62" t="str">
        <f>IF($P650="","",_xlfn.XLOOKUP(Tables!$N$602,'Input LwA_XYZ'!$DU$1:$EI$1,'Input LwA_XYZ'!DU49:EI49))</f>
        <v/>
      </c>
    </row>
    <row r="651" spans="16:24" ht="16.5" x14ac:dyDescent="0.3">
      <c r="P651" s="230" t="str">
        <f>IF(OR('Input LwA_XYZ'!A50 = 0, NOT(ISBLANK(_xlfn.XLOOKUP(Tables!N$602, 'Input LwA_XYZ'!CM$1:DA$1, 'Input LwA_XYZ'!CM50:DA50)))), "", 'Input LwA_XYZ'!A50)</f>
        <v/>
      </c>
      <c r="Q651" s="225" t="str">
        <f>IF($P651="","",_xlfn.TEXTJOIN(" - ",TRUE,'Input LwA_XYZ'!B50:C50))</f>
        <v/>
      </c>
      <c r="R651" s="231" t="str">
        <f>IF($P651="","",'Input LwA_XYZ'!Q50)</f>
        <v/>
      </c>
      <c r="S651" s="227" t="str">
        <f>IF($P651="","",ROUND(_xlfn.XLOOKUP(Tables!$N$602,'Input LwA_XYZ'!$AH$1:$AV$1,'Input LwA_XYZ'!AH50:AV50),0))</f>
        <v/>
      </c>
      <c r="T651" s="228" t="str">
        <f>IF($P651="","",-1*ROUND(_xlfn.XLOOKUP(Tables!$N$602,'Input LwA_XYZ'!$AY$1:$BM$1,'Input LwA_XYZ'!AY50:BM50),0))</f>
        <v/>
      </c>
      <c r="U651" s="228" t="str">
        <f>IF($P651="","",IF(_xlfn.XLOOKUP(Tables!$N$602,'Input LwA_XYZ'!$BV$1:$CJ$1,'Input LwA_XYZ'!BV50:CJ50)="","-",_xlfn.XLOOKUP(Tables!$N$602,'Input LwA_XYZ'!$BV$1:$CJ$1,'Input LwA_XYZ'!BV50:CJ50)))</f>
        <v/>
      </c>
      <c r="V651" s="228" t="str">
        <f>IF($P651="","",IF('Input LwA_XYZ'!S50="","-",'Input LwA_XYZ'!S50))</f>
        <v/>
      </c>
      <c r="W651" s="229" t="str" cm="1">
        <f t="array" ref="W651">IF($P651="","",IF(_xlfn.XLOOKUP(Tables!$N$602,_xlfn.ANCHORARRAY('Input LwA_XYZ'!$DD$1),'Input LwA_XYZ'!DD50:DR50)="","-",_xlfn.XLOOKUP(Tables!$N$602,_xlfn.ANCHORARRAY('Input LwA_XYZ'!$DD$1),'Input LwA_XYZ'!DD50:DR50)))</f>
        <v/>
      </c>
      <c r="X651" s="62" t="str">
        <f>IF($P651="","",_xlfn.XLOOKUP(Tables!$N$602,'Input LwA_XYZ'!$DU$1:$EI$1,'Input LwA_XYZ'!DU50:EI50))</f>
        <v/>
      </c>
    </row>
    <row r="652" spans="16:24" ht="16.5" x14ac:dyDescent="0.3">
      <c r="P652" s="230" t="str">
        <f>IF(OR('Input LwA_XYZ'!A51 = 0, NOT(ISBLANK(_xlfn.XLOOKUP(Tables!N$602, 'Input LwA_XYZ'!CM$1:DA$1, 'Input LwA_XYZ'!CM51:DA51)))), "", 'Input LwA_XYZ'!A51)</f>
        <v/>
      </c>
      <c r="Q652" s="225" t="str">
        <f>IF($P652="","",_xlfn.TEXTJOIN(" - ",TRUE,'Input LwA_XYZ'!B51:C51))</f>
        <v/>
      </c>
      <c r="R652" s="231" t="str">
        <f>IF($P652="","",'Input LwA_XYZ'!Q51)</f>
        <v/>
      </c>
      <c r="S652" s="227" t="str">
        <f>IF($P652="","",ROUND(_xlfn.XLOOKUP(Tables!$N$602,'Input LwA_XYZ'!$AH$1:$AV$1,'Input LwA_XYZ'!AH51:AV51),0))</f>
        <v/>
      </c>
      <c r="T652" s="228" t="str">
        <f>IF($P652="","",-1*ROUND(_xlfn.XLOOKUP(Tables!$N$602,'Input LwA_XYZ'!$AY$1:$BM$1,'Input LwA_XYZ'!AY51:BM51),0))</f>
        <v/>
      </c>
      <c r="U652" s="228" t="str">
        <f>IF($P652="","",IF(_xlfn.XLOOKUP(Tables!$N$602,'Input LwA_XYZ'!$BV$1:$CJ$1,'Input LwA_XYZ'!BV51:CJ51)="","-",_xlfn.XLOOKUP(Tables!$N$602,'Input LwA_XYZ'!$BV$1:$CJ$1,'Input LwA_XYZ'!BV51:CJ51)))</f>
        <v/>
      </c>
      <c r="V652" s="228" t="str">
        <f>IF($P652="","",IF('Input LwA_XYZ'!S51="","-",'Input LwA_XYZ'!S51))</f>
        <v/>
      </c>
      <c r="W652" s="229" t="str" cm="1">
        <f t="array" ref="W652">IF($P652="","",IF(_xlfn.XLOOKUP(Tables!$N$602,_xlfn.ANCHORARRAY('Input LwA_XYZ'!$DD$1),'Input LwA_XYZ'!DD51:DR51)="","-",_xlfn.XLOOKUP(Tables!$N$602,_xlfn.ANCHORARRAY('Input LwA_XYZ'!$DD$1),'Input LwA_XYZ'!DD51:DR51)))</f>
        <v/>
      </c>
      <c r="X652" s="62" t="str">
        <f>IF($P652="","",_xlfn.XLOOKUP(Tables!$N$602,'Input LwA_XYZ'!$DU$1:$EI$1,'Input LwA_XYZ'!DU51:EI51))</f>
        <v/>
      </c>
    </row>
    <row r="653" spans="16:24" ht="16.5" x14ac:dyDescent="0.3">
      <c r="P653" s="230" t="str">
        <f>IF(OR('Input LwA_XYZ'!A52 = 0, NOT(ISBLANK(_xlfn.XLOOKUP(Tables!N$602, 'Input LwA_XYZ'!CM$1:DA$1, 'Input LwA_XYZ'!CM52:DA52)))), "", 'Input LwA_XYZ'!A52)</f>
        <v/>
      </c>
      <c r="Q653" s="225" t="str">
        <f>IF($P653="","",_xlfn.TEXTJOIN(" - ",TRUE,'Input LwA_XYZ'!B52:C52))</f>
        <v/>
      </c>
      <c r="R653" s="231" t="str">
        <f>IF($P653="","",'Input LwA_XYZ'!Q52)</f>
        <v/>
      </c>
      <c r="S653" s="227" t="str">
        <f>IF($P653="","",ROUND(_xlfn.XLOOKUP(Tables!$N$602,'Input LwA_XYZ'!$AH$1:$AV$1,'Input LwA_XYZ'!AH52:AV52),0))</f>
        <v/>
      </c>
      <c r="T653" s="228" t="str">
        <f>IF($P653="","",-1*ROUND(_xlfn.XLOOKUP(Tables!$N$602,'Input LwA_XYZ'!$AY$1:$BM$1,'Input LwA_XYZ'!AY52:BM52),0))</f>
        <v/>
      </c>
      <c r="U653" s="228" t="str">
        <f>IF($P653="","",IF(_xlfn.XLOOKUP(Tables!$N$602,'Input LwA_XYZ'!$BV$1:$CJ$1,'Input LwA_XYZ'!BV52:CJ52)="","-",_xlfn.XLOOKUP(Tables!$N$602,'Input LwA_XYZ'!$BV$1:$CJ$1,'Input LwA_XYZ'!BV52:CJ52)))</f>
        <v/>
      </c>
      <c r="V653" s="228" t="str">
        <f>IF($P653="","",IF('Input LwA_XYZ'!S52="","-",'Input LwA_XYZ'!S52))</f>
        <v/>
      </c>
      <c r="W653" s="229" t="str" cm="1">
        <f t="array" ref="W653">IF($P653="","",IF(_xlfn.XLOOKUP(Tables!$N$602,_xlfn.ANCHORARRAY('Input LwA_XYZ'!$DD$1),'Input LwA_XYZ'!DD52:DR52)="","-",_xlfn.XLOOKUP(Tables!$N$602,_xlfn.ANCHORARRAY('Input LwA_XYZ'!$DD$1),'Input LwA_XYZ'!DD52:DR52)))</f>
        <v/>
      </c>
      <c r="X653" s="62" t="str">
        <f>IF($P653="","",_xlfn.XLOOKUP(Tables!$N$602,'Input LwA_XYZ'!$DU$1:$EI$1,'Input LwA_XYZ'!DU52:EI52))</f>
        <v/>
      </c>
    </row>
    <row r="654" spans="16:24" ht="16.5" x14ac:dyDescent="0.3">
      <c r="P654" s="230" t="str">
        <f>IF(OR('Input LwA_XYZ'!A53 = 0, NOT(ISBLANK(_xlfn.XLOOKUP(Tables!N$602, 'Input LwA_XYZ'!CM$1:DA$1, 'Input LwA_XYZ'!CM53:DA53)))), "", 'Input LwA_XYZ'!A53)</f>
        <v/>
      </c>
      <c r="Q654" s="225" t="str">
        <f>IF($P654="","",_xlfn.TEXTJOIN(" - ",TRUE,'Input LwA_XYZ'!B53:C53))</f>
        <v/>
      </c>
      <c r="R654" s="231" t="str">
        <f>IF($P654="","",'Input LwA_XYZ'!Q53)</f>
        <v/>
      </c>
      <c r="S654" s="227" t="str">
        <f>IF($P654="","",ROUND(_xlfn.XLOOKUP(Tables!$N$602,'Input LwA_XYZ'!$AH$1:$AV$1,'Input LwA_XYZ'!AH53:AV53),0))</f>
        <v/>
      </c>
      <c r="T654" s="228" t="str">
        <f>IF($P654="","",-1*ROUND(_xlfn.XLOOKUP(Tables!$N$602,'Input LwA_XYZ'!$AY$1:$BM$1,'Input LwA_XYZ'!AY53:BM53),0))</f>
        <v/>
      </c>
      <c r="U654" s="228" t="str">
        <f>IF($P654="","",IF(_xlfn.XLOOKUP(Tables!$N$602,'Input LwA_XYZ'!$BV$1:$CJ$1,'Input LwA_XYZ'!BV53:CJ53)="","-",_xlfn.XLOOKUP(Tables!$N$602,'Input LwA_XYZ'!$BV$1:$CJ$1,'Input LwA_XYZ'!BV53:CJ53)))</f>
        <v/>
      </c>
      <c r="V654" s="228" t="str">
        <f>IF($P654="","",IF('Input LwA_XYZ'!S53="","-",'Input LwA_XYZ'!S53))</f>
        <v/>
      </c>
      <c r="W654" s="229" t="str" cm="1">
        <f t="array" ref="W654">IF($P654="","",IF(_xlfn.XLOOKUP(Tables!$N$602,_xlfn.ANCHORARRAY('Input LwA_XYZ'!$DD$1),'Input LwA_XYZ'!DD53:DR53)="","-",_xlfn.XLOOKUP(Tables!$N$602,_xlfn.ANCHORARRAY('Input LwA_XYZ'!$DD$1),'Input LwA_XYZ'!DD53:DR53)))</f>
        <v/>
      </c>
      <c r="X654" s="62" t="str">
        <f>IF($P654="","",_xlfn.XLOOKUP(Tables!$N$602,'Input LwA_XYZ'!$DU$1:$EI$1,'Input LwA_XYZ'!DU53:EI53))</f>
        <v/>
      </c>
    </row>
    <row r="655" spans="16:24" ht="16.5" x14ac:dyDescent="0.3">
      <c r="P655" s="230" t="str">
        <f>IF(OR('Input LwA_XYZ'!A54 = 0, NOT(ISBLANK(_xlfn.XLOOKUP(Tables!N$602, 'Input LwA_XYZ'!CM$1:DA$1, 'Input LwA_XYZ'!CM54:DA54)))), "", 'Input LwA_XYZ'!A54)</f>
        <v/>
      </c>
      <c r="Q655" s="225" t="str">
        <f>IF($P655="","",_xlfn.TEXTJOIN(" - ",TRUE,'Input LwA_XYZ'!B54:C54))</f>
        <v/>
      </c>
      <c r="R655" s="231" t="str">
        <f>IF($P655="","",'Input LwA_XYZ'!Q54)</f>
        <v/>
      </c>
      <c r="S655" s="227" t="str">
        <f>IF($P655="","",ROUND(_xlfn.XLOOKUP(Tables!$N$602,'Input LwA_XYZ'!$AH$1:$AV$1,'Input LwA_XYZ'!AH54:AV54),0))</f>
        <v/>
      </c>
      <c r="T655" s="228" t="str">
        <f>IF($P655="","",-1*ROUND(_xlfn.XLOOKUP(Tables!$N$602,'Input LwA_XYZ'!$AY$1:$BM$1,'Input LwA_XYZ'!AY54:BM54),0))</f>
        <v/>
      </c>
      <c r="U655" s="228" t="str">
        <f>IF($P655="","",IF(_xlfn.XLOOKUP(Tables!$N$602,'Input LwA_XYZ'!$BV$1:$CJ$1,'Input LwA_XYZ'!BV54:CJ54)="","-",_xlfn.XLOOKUP(Tables!$N$602,'Input LwA_XYZ'!$BV$1:$CJ$1,'Input LwA_XYZ'!BV54:CJ54)))</f>
        <v/>
      </c>
      <c r="V655" s="228" t="str">
        <f>IF($P655="","",IF('Input LwA_XYZ'!S54="","-",'Input LwA_XYZ'!S54))</f>
        <v/>
      </c>
      <c r="W655" s="229" t="str" cm="1">
        <f t="array" ref="W655">IF($P655="","",IF(_xlfn.XLOOKUP(Tables!$N$602,_xlfn.ANCHORARRAY('Input LwA_XYZ'!$DD$1),'Input LwA_XYZ'!DD54:DR54)="","-",_xlfn.XLOOKUP(Tables!$N$602,_xlfn.ANCHORARRAY('Input LwA_XYZ'!$DD$1),'Input LwA_XYZ'!DD54:DR54)))</f>
        <v/>
      </c>
      <c r="X655" s="62" t="str">
        <f>IF($P655="","",_xlfn.XLOOKUP(Tables!$N$602,'Input LwA_XYZ'!$DU$1:$EI$1,'Input LwA_XYZ'!DU54:EI54))</f>
        <v/>
      </c>
    </row>
    <row r="656" spans="16:24" ht="16.5" x14ac:dyDescent="0.3">
      <c r="P656" s="230" t="str">
        <f>IF(OR('Input LwA_XYZ'!A55 = 0, NOT(ISBLANK(_xlfn.XLOOKUP(Tables!N$602, 'Input LwA_XYZ'!CM$1:DA$1, 'Input LwA_XYZ'!CM55:DA55)))), "", 'Input LwA_XYZ'!A55)</f>
        <v/>
      </c>
      <c r="Q656" s="225" t="str">
        <f>IF($P656="","",_xlfn.TEXTJOIN(" - ",TRUE,'Input LwA_XYZ'!B55:C55))</f>
        <v/>
      </c>
      <c r="R656" s="231" t="str">
        <f>IF($P656="","",'Input LwA_XYZ'!Q55)</f>
        <v/>
      </c>
      <c r="S656" s="227" t="str">
        <f>IF($P656="","",ROUND(_xlfn.XLOOKUP(Tables!$N$602,'Input LwA_XYZ'!$AH$1:$AV$1,'Input LwA_XYZ'!AH55:AV55),0))</f>
        <v/>
      </c>
      <c r="T656" s="228" t="str">
        <f>IF($P656="","",-1*ROUND(_xlfn.XLOOKUP(Tables!$N$602,'Input LwA_XYZ'!$AY$1:$BM$1,'Input LwA_XYZ'!AY55:BM55),0))</f>
        <v/>
      </c>
      <c r="U656" s="228" t="str">
        <f>IF($P656="","",IF(_xlfn.XLOOKUP(Tables!$N$602,'Input LwA_XYZ'!$BV$1:$CJ$1,'Input LwA_XYZ'!BV55:CJ55)="","-",_xlfn.XLOOKUP(Tables!$N$602,'Input LwA_XYZ'!$BV$1:$CJ$1,'Input LwA_XYZ'!BV55:CJ55)))</f>
        <v/>
      </c>
      <c r="V656" s="228" t="str">
        <f>IF($P656="","",IF('Input LwA_XYZ'!S55="","-",'Input LwA_XYZ'!S55))</f>
        <v/>
      </c>
      <c r="W656" s="229" t="str" cm="1">
        <f t="array" ref="W656">IF($P656="","",IF(_xlfn.XLOOKUP(Tables!$N$602,_xlfn.ANCHORARRAY('Input LwA_XYZ'!$DD$1),'Input LwA_XYZ'!DD55:DR55)="","-",_xlfn.XLOOKUP(Tables!$N$602,_xlfn.ANCHORARRAY('Input LwA_XYZ'!$DD$1),'Input LwA_XYZ'!DD55:DR55)))</f>
        <v/>
      </c>
      <c r="X656" s="62" t="str">
        <f>IF($P656="","",_xlfn.XLOOKUP(Tables!$N$602,'Input LwA_XYZ'!$DU$1:$EI$1,'Input LwA_XYZ'!DU55:EI55))</f>
        <v/>
      </c>
    </row>
    <row r="657" spans="14:24" ht="16.5" x14ac:dyDescent="0.3">
      <c r="P657" s="230" t="str">
        <f>IF(OR('Input LwA_XYZ'!A56 = 0, NOT(ISBLANK(_xlfn.XLOOKUP(Tables!N$602, 'Input LwA_XYZ'!CM$1:DA$1, 'Input LwA_XYZ'!CM56:DA56)))), "", 'Input LwA_XYZ'!A56)</f>
        <v/>
      </c>
      <c r="Q657" s="225" t="str">
        <f>IF($P657="","",_xlfn.TEXTJOIN(" - ",TRUE,'Input LwA_XYZ'!B56:C56))</f>
        <v/>
      </c>
      <c r="R657" s="231" t="str">
        <f>IF($P657="","",'Input LwA_XYZ'!Q56)</f>
        <v/>
      </c>
      <c r="S657" s="227" t="str">
        <f>IF($P657="","",ROUND(_xlfn.XLOOKUP(Tables!$N$602,'Input LwA_XYZ'!$AH$1:$AV$1,'Input LwA_XYZ'!AH56:AV56),0))</f>
        <v/>
      </c>
      <c r="T657" s="228" t="str">
        <f>IF($P657="","",-1*ROUND(_xlfn.XLOOKUP(Tables!$N$602,'Input LwA_XYZ'!$AY$1:$BM$1,'Input LwA_XYZ'!AY56:BM56),0))</f>
        <v/>
      </c>
      <c r="U657" s="228" t="str">
        <f>IF($P657="","",IF(_xlfn.XLOOKUP(Tables!$N$602,'Input LwA_XYZ'!$BV$1:$CJ$1,'Input LwA_XYZ'!BV56:CJ56)="","-",_xlfn.XLOOKUP(Tables!$N$602,'Input LwA_XYZ'!$BV$1:$CJ$1,'Input LwA_XYZ'!BV56:CJ56)))</f>
        <v/>
      </c>
      <c r="V657" s="228" t="str">
        <f>IF($P657="","",IF('Input LwA_XYZ'!S56="","-",'Input LwA_XYZ'!S56))</f>
        <v/>
      </c>
      <c r="W657" s="229" t="str" cm="1">
        <f t="array" ref="W657">IF($P657="","",IF(_xlfn.XLOOKUP(Tables!$N$602,_xlfn.ANCHORARRAY('Input LwA_XYZ'!$DD$1),'Input LwA_XYZ'!DD56:DR56)="","-",_xlfn.XLOOKUP(Tables!$N$602,_xlfn.ANCHORARRAY('Input LwA_XYZ'!$DD$1),'Input LwA_XYZ'!DD56:DR56)))</f>
        <v/>
      </c>
      <c r="X657" s="62" t="str">
        <f>IF($P657="","",_xlfn.XLOOKUP(Tables!$N$602,'Input LwA_XYZ'!$DU$1:$EI$1,'Input LwA_XYZ'!DU56:EI56))</f>
        <v/>
      </c>
    </row>
    <row r="658" spans="14:24" ht="16.5" x14ac:dyDescent="0.3">
      <c r="P658" s="230" t="str">
        <f>IF(OR('Input LwA_XYZ'!A57 = 0, NOT(ISBLANK(_xlfn.XLOOKUP(Tables!N$602, 'Input LwA_XYZ'!CM$1:DA$1, 'Input LwA_XYZ'!CM57:DA57)))), "", 'Input LwA_XYZ'!A57)</f>
        <v/>
      </c>
      <c r="Q658" s="225" t="str">
        <f>IF($P658="","",_xlfn.TEXTJOIN(" - ",TRUE,'Input LwA_XYZ'!B57:C57))</f>
        <v/>
      </c>
      <c r="R658" s="231" t="str">
        <f>IF($P658="","",'Input LwA_XYZ'!Q57)</f>
        <v/>
      </c>
      <c r="S658" s="227" t="str">
        <f>IF($P658="","",ROUND(_xlfn.XLOOKUP(Tables!$N$602,'Input LwA_XYZ'!$AH$1:$AV$1,'Input LwA_XYZ'!AH57:AV57),0))</f>
        <v/>
      </c>
      <c r="T658" s="228" t="str">
        <f>IF($P658="","",-1*ROUND(_xlfn.XLOOKUP(Tables!$N$602,'Input LwA_XYZ'!$AY$1:$BM$1,'Input LwA_XYZ'!AY57:BM57),0))</f>
        <v/>
      </c>
      <c r="U658" s="228" t="str">
        <f>IF($P658="","",IF(_xlfn.XLOOKUP(Tables!$N$602,'Input LwA_XYZ'!$BV$1:$CJ$1,'Input LwA_XYZ'!BV57:CJ57)="","-",_xlfn.XLOOKUP(Tables!$N$602,'Input LwA_XYZ'!$BV$1:$CJ$1,'Input LwA_XYZ'!BV57:CJ57)))</f>
        <v/>
      </c>
      <c r="V658" s="228" t="str">
        <f>IF($P658="","",IF('Input LwA_XYZ'!S57="","-",'Input LwA_XYZ'!S57))</f>
        <v/>
      </c>
      <c r="W658" s="229" t="str" cm="1">
        <f t="array" ref="W658">IF($P658="","",IF(_xlfn.XLOOKUP(Tables!$N$602,_xlfn.ANCHORARRAY('Input LwA_XYZ'!$DD$1),'Input LwA_XYZ'!DD57:DR57)="","-",_xlfn.XLOOKUP(Tables!$N$602,_xlfn.ANCHORARRAY('Input LwA_XYZ'!$DD$1),'Input LwA_XYZ'!DD57:DR57)))</f>
        <v/>
      </c>
      <c r="X658" s="62" t="str">
        <f>IF($P658="","",_xlfn.XLOOKUP(Tables!$N$602,'Input LwA_XYZ'!$DU$1:$EI$1,'Input LwA_XYZ'!DU57:EI57))</f>
        <v/>
      </c>
    </row>
    <row r="659" spans="14:24" ht="17.25" thickBot="1" x14ac:dyDescent="0.35">
      <c r="P659" s="232" t="str">
        <f>IF(OR('Input LwA_XYZ'!A58 = 0, NOT(ISBLANK(_xlfn.XLOOKUP(Tables!N$602, 'Input LwA_XYZ'!CM$1:DA$1, 'Input LwA_XYZ'!CM58:DA58)))), "", 'Input LwA_XYZ'!A58)</f>
        <v/>
      </c>
      <c r="Q659" s="233" t="str">
        <f>IF($P659="","",_xlfn.TEXTJOIN(" - ",TRUE,'Input LwA_XYZ'!B58:C58))</f>
        <v/>
      </c>
      <c r="R659" s="234" t="str">
        <f>IF($P659="","",'Input LwA_XYZ'!Q58)</f>
        <v/>
      </c>
      <c r="S659" s="235" t="str">
        <f>IF($P659="","",ROUND(_xlfn.XLOOKUP(Tables!$N$602,'Input LwA_XYZ'!$AH$1:$AV$1,'Input LwA_XYZ'!AH58:AV58),0))</f>
        <v/>
      </c>
      <c r="T659" s="236" t="str">
        <f>IF($P659="","",-1*ROUND(_xlfn.XLOOKUP(Tables!$N$602,'Input LwA_XYZ'!$AY$1:$BM$1,'Input LwA_XYZ'!AY58:BM58),0))</f>
        <v/>
      </c>
      <c r="U659" s="228" t="str">
        <f>IF($P659="","",IF(_xlfn.XLOOKUP(Tables!$N$602,'Input LwA_XYZ'!$BV$1:$CJ$1,'Input LwA_XYZ'!BV58:CJ58)="","-",_xlfn.XLOOKUP(Tables!$N$602,'Input LwA_XYZ'!$BV$1:$CJ$1,'Input LwA_XYZ'!BV58:CJ58)))</f>
        <v/>
      </c>
      <c r="V659" s="228" t="str">
        <f>IF($P659="","",IF('Input LwA_XYZ'!S58="","-",'Input LwA_XYZ'!S58))</f>
        <v/>
      </c>
      <c r="W659" s="229" t="str" cm="1">
        <f t="array" ref="W659">IF($P659="","",IF(_xlfn.XLOOKUP(Tables!$N$602,_xlfn.ANCHORARRAY('Input LwA_XYZ'!$DD$1),'Input LwA_XYZ'!DD58:DR58)="","-",_xlfn.XLOOKUP(Tables!$N$602,_xlfn.ANCHORARRAY('Input LwA_XYZ'!$DD$1),'Input LwA_XYZ'!DD58:DR58)))</f>
        <v/>
      </c>
      <c r="X659" s="63" t="str">
        <f>IF($P659="","",_xlfn.XLOOKUP(Tables!$N$602,'Input LwA_XYZ'!$DU$1:$EI$1,'Input LwA_XYZ'!DU58:EI58))</f>
        <v/>
      </c>
    </row>
    <row r="660" spans="14:24" ht="17.25" thickBot="1" x14ac:dyDescent="0.35">
      <c r="P660" s="237" t="s">
        <v>215</v>
      </c>
      <c r="Q660" s="238"/>
      <c r="R660" s="239"/>
      <c r="S660" s="238"/>
      <c r="T660" s="240"/>
      <c r="U660" s="240"/>
      <c r="V660" s="240"/>
      <c r="W660" s="241"/>
      <c r="X660" s="219" t="e">
        <f>_xlfn.XLOOKUP(Tables!$N$602,'Input LwA_XYZ'!$Z$2:$Z$16,'Input LwA_XYZ'!$AE$2:$AE$16)</f>
        <v>#N/A</v>
      </c>
    </row>
    <row r="661" spans="14:24" ht="15.75" thickBot="1" x14ac:dyDescent="0.3"/>
    <row r="662" spans="14:24" ht="33.75" thickBot="1" x14ac:dyDescent="0.35">
      <c r="N662" s="66" t="s">
        <v>211</v>
      </c>
      <c r="P662" s="242" t="s">
        <v>79</v>
      </c>
      <c r="Q662" s="243" t="s">
        <v>80</v>
      </c>
      <c r="R662" s="244" t="s">
        <v>81</v>
      </c>
      <c r="S662" s="244" t="s">
        <v>19</v>
      </c>
      <c r="T662" s="244" t="s">
        <v>216</v>
      </c>
      <c r="U662" s="246" t="s">
        <v>82</v>
      </c>
      <c r="V662" s="247" t="s">
        <v>83</v>
      </c>
      <c r="W662" s="248" t="s">
        <v>236</v>
      </c>
      <c r="X662" s="245" t="s">
        <v>78</v>
      </c>
    </row>
    <row r="663" spans="14:24" ht="17.25" thickBot="1" x14ac:dyDescent="0.35">
      <c r="N663" s="66" t="str">
        <f>_xlfn.XLOOKUP(N662, 'Input LwA_XYZ'!$Z$2:$Z$16, 'Input LwA_XYZ'!$AF$2:$AF$16, "")</f>
        <v/>
      </c>
      <c r="P663" s="224" t="str">
        <f>IF(OR('Input LwA_XYZ'!A2 = 0, NOT(ISBLANK(_xlfn.XLOOKUP(Tables!N$662, 'Input LwA_XYZ'!CM$1:DA$1, 'Input LwA_XYZ'!CM2:DA2)))), "", 'Input LwA_XYZ'!A2)</f>
        <v/>
      </c>
      <c r="Q663" s="225" t="str">
        <f>IF($P663="","",_xlfn.TEXTJOIN(" - ",TRUE,'Input LwA_XYZ'!B2:C2))</f>
        <v/>
      </c>
      <c r="R663" s="226" t="str">
        <f>IF($P663="","",'Input LwA_XYZ'!Q2)</f>
        <v/>
      </c>
      <c r="S663" s="227" t="str">
        <f>IF($P663="","",ROUND(_xlfn.XLOOKUP(Tables!$N$662,'Input LwA_XYZ'!$AH$1:$AV$1,'Input LwA_XYZ'!AH2:AV2),0))</f>
        <v/>
      </c>
      <c r="T663" s="228" t="str">
        <f>IF($P663="","",-1*ROUND(_xlfn.XLOOKUP(Tables!$N$662,'Input LwA_XYZ'!$AY$1:$BM$1,'Input LwA_XYZ'!AY2:BM2),0))</f>
        <v/>
      </c>
      <c r="U663" s="228" t="str">
        <f>IF($P663="","",IF(_xlfn.XLOOKUP(Tables!$N$662,'Input LwA_XYZ'!$BV$1:$CJ$1,'Input LwA_XYZ'!BV2:CJ2)="","-",_xlfn.XLOOKUP(Tables!$N$662,'Input LwA_XYZ'!$BV$1:$CJ$1,'Input LwA_XYZ'!BV2:CJ2)))</f>
        <v/>
      </c>
      <c r="V663" s="228" t="str">
        <f>IF($P663="","",IF('Input LwA_XYZ'!S2="","-",'Input LwA_XYZ'!S2))</f>
        <v/>
      </c>
      <c r="W663" s="229" t="str" cm="1">
        <f t="array" ref="W663">IF($P663="","",IF(_xlfn.XLOOKUP(Tables!$N$662,_xlfn.ANCHORARRAY('Input LwA_XYZ'!$DD$1),'Input LwA_XYZ'!DD2:DR2)="","-",_xlfn.XLOOKUP(Tables!$N$662,_xlfn.ANCHORARRAY('Input LwA_XYZ'!$DD$1),'Input LwA_XYZ'!DD2:DR2)))</f>
        <v/>
      </c>
      <c r="X663" s="88" t="str">
        <f>IF($P663="","",_xlfn.XLOOKUP(Tables!$N$662,'Input LwA_XYZ'!$DU$1:$EI$1,'Input LwA_XYZ'!DU2:EI2))</f>
        <v/>
      </c>
    </row>
    <row r="664" spans="14:24" ht="16.5" x14ac:dyDescent="0.3">
      <c r="P664" s="230" t="str">
        <f>IF(OR('Input LwA_XYZ'!A3 = 0, NOT(ISBLANK(_xlfn.XLOOKUP(Tables!N$662, 'Input LwA_XYZ'!CM$1:DA$1, 'Input LwA_XYZ'!CM3:DA3)))), "", 'Input LwA_XYZ'!A3)</f>
        <v/>
      </c>
      <c r="Q664" s="225" t="str">
        <f>IF($P664="","",_xlfn.TEXTJOIN(" - ",TRUE,'Input LwA_XYZ'!B3:C3))</f>
        <v/>
      </c>
      <c r="R664" s="231" t="str">
        <f>IF($P664="","",'Input LwA_XYZ'!Q3)</f>
        <v/>
      </c>
      <c r="S664" s="227" t="str">
        <f>IF($P664="","",ROUND(_xlfn.XLOOKUP(Tables!$N$662,'Input LwA_XYZ'!$AH$1:$AV$1,'Input LwA_XYZ'!AH3:AV3),0))</f>
        <v/>
      </c>
      <c r="T664" s="228" t="str">
        <f>IF($P664="","",-1*ROUND(_xlfn.XLOOKUP(Tables!$N$662,'Input LwA_XYZ'!$AY$1:$BM$1,'Input LwA_XYZ'!AY3:BM3),0))</f>
        <v/>
      </c>
      <c r="U664" s="228" t="str">
        <f>IF($P664="","",IF(_xlfn.XLOOKUP(Tables!$N$662,'Input LwA_XYZ'!$BV$1:$CJ$1,'Input LwA_XYZ'!BV3:CJ3)="","-",_xlfn.XLOOKUP(Tables!$N$662,'Input LwA_XYZ'!$BV$1:$CJ$1,'Input LwA_XYZ'!BV3:CJ3)))</f>
        <v/>
      </c>
      <c r="V664" s="228" t="str">
        <f>IF($P664="","",IF('Input LwA_XYZ'!S3="","-",'Input LwA_XYZ'!S3))</f>
        <v/>
      </c>
      <c r="W664" s="229" t="str" cm="1">
        <f t="array" ref="W664">IF($P664="","",IF(_xlfn.XLOOKUP(Tables!$N$662,_xlfn.ANCHORARRAY('Input LwA_XYZ'!$DD$1),'Input LwA_XYZ'!DD3:DR3)="","-",_xlfn.XLOOKUP(Tables!$N$662,_xlfn.ANCHORARRAY('Input LwA_XYZ'!$DD$1),'Input LwA_XYZ'!DD3:DR3)))</f>
        <v/>
      </c>
      <c r="X664" s="62" t="str">
        <f>IF($P664="","",_xlfn.XLOOKUP(Tables!$N$662,'Input LwA_XYZ'!$DU$1:$EI$1,'Input LwA_XYZ'!DU3:EI3))</f>
        <v/>
      </c>
    </row>
    <row r="665" spans="14:24" ht="16.5" x14ac:dyDescent="0.3">
      <c r="P665" s="230" t="str">
        <f>IF(OR('Input LwA_XYZ'!A4 = 0, NOT(ISBLANK(_xlfn.XLOOKUP(Tables!N$662, 'Input LwA_XYZ'!CM$1:DA$1, 'Input LwA_XYZ'!CM4:DA4)))), "", 'Input LwA_XYZ'!A4)</f>
        <v/>
      </c>
      <c r="Q665" s="225" t="str">
        <f>IF($P665="","",_xlfn.TEXTJOIN(" - ",TRUE,'Input LwA_XYZ'!B4:C4))</f>
        <v/>
      </c>
      <c r="R665" s="231" t="str">
        <f>IF($P665="","",'Input LwA_XYZ'!Q4)</f>
        <v/>
      </c>
      <c r="S665" s="227" t="str">
        <f>IF($P665="","",ROUND(_xlfn.XLOOKUP(Tables!$N$662,'Input LwA_XYZ'!$AH$1:$AV$1,'Input LwA_XYZ'!AH4:AV4),0))</f>
        <v/>
      </c>
      <c r="T665" s="228" t="str">
        <f>IF($P665="","",-1*ROUND(_xlfn.XLOOKUP(Tables!$N$662,'Input LwA_XYZ'!$AY$1:$BM$1,'Input LwA_XYZ'!AY4:BM4),0))</f>
        <v/>
      </c>
      <c r="U665" s="228" t="str">
        <f>IF($P665="","",IF(_xlfn.XLOOKUP(Tables!$N$662,'Input LwA_XYZ'!$BV$1:$CJ$1,'Input LwA_XYZ'!BV4:CJ4)="","-",_xlfn.XLOOKUP(Tables!$N$662,'Input LwA_XYZ'!$BV$1:$CJ$1,'Input LwA_XYZ'!BV4:CJ4)))</f>
        <v/>
      </c>
      <c r="V665" s="228" t="str">
        <f>IF($P665="","",IF('Input LwA_XYZ'!S4="","-",'Input LwA_XYZ'!S4))</f>
        <v/>
      </c>
      <c r="W665" s="229" t="str" cm="1">
        <f t="array" ref="W665">IF($P665="","",IF(_xlfn.XLOOKUP(Tables!$N$662,_xlfn.ANCHORARRAY('Input LwA_XYZ'!$DD$1),'Input LwA_XYZ'!DD4:DR4)="","-",_xlfn.XLOOKUP(Tables!$N$662,_xlfn.ANCHORARRAY('Input LwA_XYZ'!$DD$1),'Input LwA_XYZ'!DD4:DR4)))</f>
        <v/>
      </c>
      <c r="X665" s="62" t="str">
        <f>IF($P665="","",_xlfn.XLOOKUP(Tables!$N$662,'Input LwA_XYZ'!$DU$1:$EI$1,'Input LwA_XYZ'!DU4:EI4))</f>
        <v/>
      </c>
    </row>
    <row r="666" spans="14:24" ht="16.5" x14ac:dyDescent="0.3">
      <c r="P666" s="230" t="str">
        <f>IF(OR('Input LwA_XYZ'!A5 = 0, NOT(ISBLANK(_xlfn.XLOOKUP(Tables!N$662, 'Input LwA_XYZ'!CM$1:DA$1, 'Input LwA_XYZ'!CM5:DA5)))), "", 'Input LwA_XYZ'!A5)</f>
        <v/>
      </c>
      <c r="Q666" s="225" t="str">
        <f>IF($P666="","",_xlfn.TEXTJOIN(" - ",TRUE,'Input LwA_XYZ'!B5:C5))</f>
        <v/>
      </c>
      <c r="R666" s="231" t="str">
        <f>IF($P666="","",'Input LwA_XYZ'!Q5)</f>
        <v/>
      </c>
      <c r="S666" s="227" t="str">
        <f>IF($P666="","",ROUND(_xlfn.XLOOKUP(Tables!$N$662,'Input LwA_XYZ'!$AH$1:$AV$1,'Input LwA_XYZ'!AH5:AV5),0))</f>
        <v/>
      </c>
      <c r="T666" s="228" t="str">
        <f>IF($P666="","",-1*ROUND(_xlfn.XLOOKUP(Tables!$N$662,'Input LwA_XYZ'!$AY$1:$BM$1,'Input LwA_XYZ'!AY5:BM5),0))</f>
        <v/>
      </c>
      <c r="U666" s="228" t="str">
        <f>IF($P666="","",IF(_xlfn.XLOOKUP(Tables!$N$662,'Input LwA_XYZ'!$BV$1:$CJ$1,'Input LwA_XYZ'!BV5:CJ5)="","-",_xlfn.XLOOKUP(Tables!$N$662,'Input LwA_XYZ'!$BV$1:$CJ$1,'Input LwA_XYZ'!BV5:CJ5)))</f>
        <v/>
      </c>
      <c r="V666" s="228" t="str">
        <f>IF($P666="","",IF('Input LwA_XYZ'!S5="","-",'Input LwA_XYZ'!S5))</f>
        <v/>
      </c>
      <c r="W666" s="229" t="str" cm="1">
        <f t="array" ref="W666">IF($P666="","",IF(_xlfn.XLOOKUP(Tables!$N$662,_xlfn.ANCHORARRAY('Input LwA_XYZ'!$DD$1),'Input LwA_XYZ'!DD5:DR5)="","-",_xlfn.XLOOKUP(Tables!$N$662,_xlfn.ANCHORARRAY('Input LwA_XYZ'!$DD$1),'Input LwA_XYZ'!DD5:DR5)))</f>
        <v/>
      </c>
      <c r="X666" s="62" t="str">
        <f>IF($P666="","",_xlfn.XLOOKUP(Tables!$N$662,'Input LwA_XYZ'!$DU$1:$EI$1,'Input LwA_XYZ'!DU5:EI5))</f>
        <v/>
      </c>
    </row>
    <row r="667" spans="14:24" ht="16.5" x14ac:dyDescent="0.3">
      <c r="P667" s="230" t="str">
        <f>IF(OR('Input LwA_XYZ'!A6 = 0, NOT(ISBLANK(_xlfn.XLOOKUP(Tables!N$662, 'Input LwA_XYZ'!CM$1:DA$1, 'Input LwA_XYZ'!CM6:DA6)))), "", 'Input LwA_XYZ'!A6)</f>
        <v/>
      </c>
      <c r="Q667" s="225" t="str">
        <f>IF($P667="","",_xlfn.TEXTJOIN(" - ",TRUE,'Input LwA_XYZ'!B6:C6))</f>
        <v/>
      </c>
      <c r="R667" s="231" t="str">
        <f>IF($P667="","",'Input LwA_XYZ'!Q6)</f>
        <v/>
      </c>
      <c r="S667" s="227" t="str">
        <f>IF($P667="","",ROUND(_xlfn.XLOOKUP(Tables!$N$662,'Input LwA_XYZ'!$AH$1:$AV$1,'Input LwA_XYZ'!AH6:AV6),0))</f>
        <v/>
      </c>
      <c r="T667" s="228" t="str">
        <f>IF($P667="","",-1*ROUND(_xlfn.XLOOKUP(Tables!$N$662,'Input LwA_XYZ'!$AY$1:$BM$1,'Input LwA_XYZ'!AY6:BM6),0))</f>
        <v/>
      </c>
      <c r="U667" s="228" t="str">
        <f>IF($P667="","",IF(_xlfn.XLOOKUP(Tables!$N$662,'Input LwA_XYZ'!$BV$1:$CJ$1,'Input LwA_XYZ'!BV6:CJ6)="","-",_xlfn.XLOOKUP(Tables!$N$662,'Input LwA_XYZ'!$BV$1:$CJ$1,'Input LwA_XYZ'!BV6:CJ6)))</f>
        <v/>
      </c>
      <c r="V667" s="228" t="str">
        <f>IF($P667="","",IF('Input LwA_XYZ'!S6="","-",'Input LwA_XYZ'!S6))</f>
        <v/>
      </c>
      <c r="W667" s="229" t="str" cm="1">
        <f t="array" ref="W667">IF($P667="","",IF(_xlfn.XLOOKUP(Tables!$N$662,_xlfn.ANCHORARRAY('Input LwA_XYZ'!$DD$1),'Input LwA_XYZ'!DD6:DR6)="","-",_xlfn.XLOOKUP(Tables!$N$662,_xlfn.ANCHORARRAY('Input LwA_XYZ'!$DD$1),'Input LwA_XYZ'!DD6:DR6)))</f>
        <v/>
      </c>
      <c r="X667" s="62" t="str">
        <f>IF($P667="","",_xlfn.XLOOKUP(Tables!$N$662,'Input LwA_XYZ'!$DU$1:$EI$1,'Input LwA_XYZ'!DU6:EI6))</f>
        <v/>
      </c>
    </row>
    <row r="668" spans="14:24" ht="16.5" x14ac:dyDescent="0.3">
      <c r="P668" s="230" t="str">
        <f>IF(OR('Input LwA_XYZ'!A7 = 0, NOT(ISBLANK(_xlfn.XLOOKUP(Tables!N$662, 'Input LwA_XYZ'!CM$1:DA$1, 'Input LwA_XYZ'!CM7:DA7)))), "", 'Input LwA_XYZ'!A7)</f>
        <v/>
      </c>
      <c r="Q668" s="225" t="str">
        <f>IF($P668="","",_xlfn.TEXTJOIN(" - ",TRUE,'Input LwA_XYZ'!B7:C7))</f>
        <v/>
      </c>
      <c r="R668" s="231" t="str">
        <f>IF($P668="","",'Input LwA_XYZ'!Q7)</f>
        <v/>
      </c>
      <c r="S668" s="227" t="str">
        <f>IF($P668="","",ROUND(_xlfn.XLOOKUP(Tables!$N$662,'Input LwA_XYZ'!$AH$1:$AV$1,'Input LwA_XYZ'!AH7:AV7),0))</f>
        <v/>
      </c>
      <c r="T668" s="228" t="str">
        <f>IF($P668="","",-1*ROUND(_xlfn.XLOOKUP(Tables!$N$662,'Input LwA_XYZ'!$AY$1:$BM$1,'Input LwA_XYZ'!AY7:BM7),0))</f>
        <v/>
      </c>
      <c r="U668" s="228" t="str">
        <f>IF($P668="","",IF(_xlfn.XLOOKUP(Tables!$N$662,'Input LwA_XYZ'!$BV$1:$CJ$1,'Input LwA_XYZ'!BV7:CJ7)="","-",_xlfn.XLOOKUP(Tables!$N$662,'Input LwA_XYZ'!$BV$1:$CJ$1,'Input LwA_XYZ'!BV7:CJ7)))</f>
        <v/>
      </c>
      <c r="V668" s="228" t="str">
        <f>IF($P668="","",IF('Input LwA_XYZ'!S7="","-",'Input LwA_XYZ'!S7))</f>
        <v/>
      </c>
      <c r="W668" s="229" t="str" cm="1">
        <f t="array" ref="W668">IF($P668="","",IF(_xlfn.XLOOKUP(Tables!$N$662,_xlfn.ANCHORARRAY('Input LwA_XYZ'!$DD$1),'Input LwA_XYZ'!DD7:DR7)="","-",_xlfn.XLOOKUP(Tables!$N$662,_xlfn.ANCHORARRAY('Input LwA_XYZ'!$DD$1),'Input LwA_XYZ'!DD7:DR7)))</f>
        <v/>
      </c>
      <c r="X668" s="62" t="str">
        <f>IF($P668="","",_xlfn.XLOOKUP(Tables!$N$662,'Input LwA_XYZ'!$DU$1:$EI$1,'Input LwA_XYZ'!DU7:EI7))</f>
        <v/>
      </c>
    </row>
    <row r="669" spans="14:24" ht="16.5" x14ac:dyDescent="0.3">
      <c r="P669" s="230" t="str">
        <f>IF(OR('Input LwA_XYZ'!A8 = 0, NOT(ISBLANK(_xlfn.XLOOKUP(Tables!N$662, 'Input LwA_XYZ'!CM$1:DA$1, 'Input LwA_XYZ'!CM8:DA8)))), "", 'Input LwA_XYZ'!A8)</f>
        <v/>
      </c>
      <c r="Q669" s="225" t="str">
        <f>IF($P669="","",_xlfn.TEXTJOIN(" - ",TRUE,'Input LwA_XYZ'!B8:C8))</f>
        <v/>
      </c>
      <c r="R669" s="231" t="str">
        <f>IF($P669="","",'Input LwA_XYZ'!Q8)</f>
        <v/>
      </c>
      <c r="S669" s="227" t="str">
        <f>IF($P669="","",ROUND(_xlfn.XLOOKUP(Tables!$N$662,'Input LwA_XYZ'!$AH$1:$AV$1,'Input LwA_XYZ'!AH8:AV8),0))</f>
        <v/>
      </c>
      <c r="T669" s="228" t="str">
        <f>IF($P669="","",-1*ROUND(_xlfn.XLOOKUP(Tables!$N$662,'Input LwA_XYZ'!$AY$1:$BM$1,'Input LwA_XYZ'!AY8:BM8),0))</f>
        <v/>
      </c>
      <c r="U669" s="228" t="str">
        <f>IF($P669="","",IF(_xlfn.XLOOKUP(Tables!$N$662,'Input LwA_XYZ'!$BV$1:$CJ$1,'Input LwA_XYZ'!BV8:CJ8)="","-",_xlfn.XLOOKUP(Tables!$N$662,'Input LwA_XYZ'!$BV$1:$CJ$1,'Input LwA_XYZ'!BV8:CJ8)))</f>
        <v/>
      </c>
      <c r="V669" s="228" t="str">
        <f>IF($P669="","",IF('Input LwA_XYZ'!S8="","-",'Input LwA_XYZ'!S8))</f>
        <v/>
      </c>
      <c r="W669" s="229" t="str" cm="1">
        <f t="array" ref="W669">IF($P669="","",IF(_xlfn.XLOOKUP(Tables!$N$662,_xlfn.ANCHORARRAY('Input LwA_XYZ'!$DD$1),'Input LwA_XYZ'!DD8:DR8)="","-",_xlfn.XLOOKUP(Tables!$N$662,_xlfn.ANCHORARRAY('Input LwA_XYZ'!$DD$1),'Input LwA_XYZ'!DD8:DR8)))</f>
        <v/>
      </c>
      <c r="X669" s="62" t="str">
        <f>IF($P669="","",_xlfn.XLOOKUP(Tables!$N$662,'Input LwA_XYZ'!$DU$1:$EI$1,'Input LwA_XYZ'!DU8:EI8))</f>
        <v/>
      </c>
    </row>
    <row r="670" spans="14:24" ht="16.5" x14ac:dyDescent="0.3">
      <c r="P670" s="230" t="str">
        <f>IF(OR('Input LwA_XYZ'!A9 = 0, NOT(ISBLANK(_xlfn.XLOOKUP(Tables!N$662, 'Input LwA_XYZ'!CM$1:DA$1, 'Input LwA_XYZ'!CM9:DA9)))), "", 'Input LwA_XYZ'!A9)</f>
        <v/>
      </c>
      <c r="Q670" s="225" t="str">
        <f>IF($P670="","",_xlfn.TEXTJOIN(" - ",TRUE,'Input LwA_XYZ'!B9:C9))</f>
        <v/>
      </c>
      <c r="R670" s="231" t="str">
        <f>IF($P670="","",'Input LwA_XYZ'!Q9)</f>
        <v/>
      </c>
      <c r="S670" s="227" t="str">
        <f>IF($P670="","",ROUND(_xlfn.XLOOKUP(Tables!$N$662,'Input LwA_XYZ'!$AH$1:$AV$1,'Input LwA_XYZ'!AH9:AV9),0))</f>
        <v/>
      </c>
      <c r="T670" s="228" t="str">
        <f>IF($P670="","",-1*ROUND(_xlfn.XLOOKUP(Tables!$N$662,'Input LwA_XYZ'!$AY$1:$BM$1,'Input LwA_XYZ'!AY9:BM9),0))</f>
        <v/>
      </c>
      <c r="U670" s="228" t="str">
        <f>IF($P670="","",IF(_xlfn.XLOOKUP(Tables!$N$662,'Input LwA_XYZ'!$BV$1:$CJ$1,'Input LwA_XYZ'!BV9:CJ9)="","-",_xlfn.XLOOKUP(Tables!$N$662,'Input LwA_XYZ'!$BV$1:$CJ$1,'Input LwA_XYZ'!BV9:CJ9)))</f>
        <v/>
      </c>
      <c r="V670" s="228" t="str">
        <f>IF($P670="","",IF('Input LwA_XYZ'!S9="","-",'Input LwA_XYZ'!S9))</f>
        <v/>
      </c>
      <c r="W670" s="229" t="str" cm="1">
        <f t="array" ref="W670">IF($P670="","",IF(_xlfn.XLOOKUP(Tables!$N$662,_xlfn.ANCHORARRAY('Input LwA_XYZ'!$DD$1),'Input LwA_XYZ'!DD9:DR9)="","-",_xlfn.XLOOKUP(Tables!$N$662,_xlfn.ANCHORARRAY('Input LwA_XYZ'!$DD$1),'Input LwA_XYZ'!DD9:DR9)))</f>
        <v/>
      </c>
      <c r="X670" s="62" t="str">
        <f>IF($P670="","",_xlfn.XLOOKUP(Tables!$N$662,'Input LwA_XYZ'!$DU$1:$EI$1,'Input LwA_XYZ'!DU9:EI9))</f>
        <v/>
      </c>
    </row>
    <row r="671" spans="14:24" ht="16.5" x14ac:dyDescent="0.3">
      <c r="P671" s="230" t="str">
        <f>IF(OR('Input LwA_XYZ'!A10 = 0, NOT(ISBLANK(_xlfn.XLOOKUP(Tables!N$662, 'Input LwA_XYZ'!CM$1:DA$1, 'Input LwA_XYZ'!CM10:DA10)))), "", 'Input LwA_XYZ'!A10)</f>
        <v/>
      </c>
      <c r="Q671" s="225" t="str">
        <f>IF($P671="","",_xlfn.TEXTJOIN(" - ",TRUE,'Input LwA_XYZ'!B10:C10))</f>
        <v/>
      </c>
      <c r="R671" s="231" t="str">
        <f>IF($P671="","",'Input LwA_XYZ'!Q10)</f>
        <v/>
      </c>
      <c r="S671" s="227" t="str">
        <f>IF($P671="","",ROUND(_xlfn.XLOOKUP(Tables!$N$662,'Input LwA_XYZ'!$AH$1:$AV$1,'Input LwA_XYZ'!AH10:AV10),0))</f>
        <v/>
      </c>
      <c r="T671" s="228" t="str">
        <f>IF($P671="","",-1*ROUND(_xlfn.XLOOKUP(Tables!$N$662,'Input LwA_XYZ'!$AY$1:$BM$1,'Input LwA_XYZ'!AY10:BM10),0))</f>
        <v/>
      </c>
      <c r="U671" s="228" t="str">
        <f>IF($P671="","",IF(_xlfn.XLOOKUP(Tables!$N$662,'Input LwA_XYZ'!$BV$1:$CJ$1,'Input LwA_XYZ'!BV10:CJ10)="","-",_xlfn.XLOOKUP(Tables!$N$662,'Input LwA_XYZ'!$BV$1:$CJ$1,'Input LwA_XYZ'!BV10:CJ10)))</f>
        <v/>
      </c>
      <c r="V671" s="228" t="str">
        <f>IF($P671="","",IF('Input LwA_XYZ'!S10="","-",'Input LwA_XYZ'!S10))</f>
        <v/>
      </c>
      <c r="W671" s="229" t="str" cm="1">
        <f t="array" ref="W671">IF($P671="","",IF(_xlfn.XLOOKUP(Tables!$N$662,_xlfn.ANCHORARRAY('Input LwA_XYZ'!$DD$1),'Input LwA_XYZ'!DD10:DR10)="","-",_xlfn.XLOOKUP(Tables!$N$662,_xlfn.ANCHORARRAY('Input LwA_XYZ'!$DD$1),'Input LwA_XYZ'!DD10:DR10)))</f>
        <v/>
      </c>
      <c r="X671" s="62" t="str">
        <f>IF($P671="","",_xlfn.XLOOKUP(Tables!$N$662,'Input LwA_XYZ'!$DU$1:$EI$1,'Input LwA_XYZ'!DU10:EI10))</f>
        <v/>
      </c>
    </row>
    <row r="672" spans="14:24" ht="16.5" x14ac:dyDescent="0.3">
      <c r="P672" s="230" t="str">
        <f>IF(OR('Input LwA_XYZ'!A11 = 0, NOT(ISBLANK(_xlfn.XLOOKUP(Tables!N$662, 'Input LwA_XYZ'!CM$1:DA$1, 'Input LwA_XYZ'!CM11:DA11)))), "", 'Input LwA_XYZ'!A11)</f>
        <v/>
      </c>
      <c r="Q672" s="225" t="str">
        <f>IF($P672="","",_xlfn.TEXTJOIN(" - ",TRUE,'Input LwA_XYZ'!B11:C11))</f>
        <v/>
      </c>
      <c r="R672" s="231" t="str">
        <f>IF($P672="","",'Input LwA_XYZ'!Q11)</f>
        <v/>
      </c>
      <c r="S672" s="227" t="str">
        <f>IF($P672="","",ROUND(_xlfn.XLOOKUP(Tables!$N$662,'Input LwA_XYZ'!$AH$1:$AV$1,'Input LwA_XYZ'!AH11:AV11),0))</f>
        <v/>
      </c>
      <c r="T672" s="228" t="str">
        <f>IF($P672="","",-1*ROUND(_xlfn.XLOOKUP(Tables!$N$662,'Input LwA_XYZ'!$AY$1:$BM$1,'Input LwA_XYZ'!AY11:BM11),0))</f>
        <v/>
      </c>
      <c r="U672" s="228" t="str">
        <f>IF($P672="","",IF(_xlfn.XLOOKUP(Tables!$N$662,'Input LwA_XYZ'!$BV$1:$CJ$1,'Input LwA_XYZ'!BV11:CJ11)="","-",_xlfn.XLOOKUP(Tables!$N$662,'Input LwA_XYZ'!$BV$1:$CJ$1,'Input LwA_XYZ'!BV11:CJ11)))</f>
        <v/>
      </c>
      <c r="V672" s="228" t="str">
        <f>IF($P672="","",IF('Input LwA_XYZ'!S11="","-",'Input LwA_XYZ'!S11))</f>
        <v/>
      </c>
      <c r="W672" s="229" t="str" cm="1">
        <f t="array" ref="W672">IF($P672="","",IF(_xlfn.XLOOKUP(Tables!$N$662,_xlfn.ANCHORARRAY('Input LwA_XYZ'!$DD$1),'Input LwA_XYZ'!DD11:DR11)="","-",_xlfn.XLOOKUP(Tables!$N$662,_xlfn.ANCHORARRAY('Input LwA_XYZ'!$DD$1),'Input LwA_XYZ'!DD11:DR11)))</f>
        <v/>
      </c>
      <c r="X672" s="62" t="str">
        <f>IF($P672="","",_xlfn.XLOOKUP(Tables!$N$662,'Input LwA_XYZ'!$DU$1:$EI$1,'Input LwA_XYZ'!DU11:EI11))</f>
        <v/>
      </c>
    </row>
    <row r="673" spans="16:24" ht="16.5" x14ac:dyDescent="0.3">
      <c r="P673" s="230" t="str">
        <f>IF(OR('Input LwA_XYZ'!A12 = 0, NOT(ISBLANK(_xlfn.XLOOKUP(Tables!N$662, 'Input LwA_XYZ'!CM$1:DA$1, 'Input LwA_XYZ'!CM12:DA12)))), "", 'Input LwA_XYZ'!A12)</f>
        <v/>
      </c>
      <c r="Q673" s="225" t="str">
        <f>IF($P673="","",_xlfn.TEXTJOIN(" - ",TRUE,'Input LwA_XYZ'!B12:C12))</f>
        <v/>
      </c>
      <c r="R673" s="231" t="str">
        <f>IF($P673="","",'Input LwA_XYZ'!Q12)</f>
        <v/>
      </c>
      <c r="S673" s="227" t="str">
        <f>IF($P673="","",ROUND(_xlfn.XLOOKUP(Tables!$N$662,'Input LwA_XYZ'!$AH$1:$AV$1,'Input LwA_XYZ'!AH12:AV12),0))</f>
        <v/>
      </c>
      <c r="T673" s="228" t="str">
        <f>IF($P673="","",-1*ROUND(_xlfn.XLOOKUP(Tables!$N$662,'Input LwA_XYZ'!$AY$1:$BM$1,'Input LwA_XYZ'!AY12:BM12),0))</f>
        <v/>
      </c>
      <c r="U673" s="228" t="str">
        <f>IF($P673="","",IF(_xlfn.XLOOKUP(Tables!$N$662,'Input LwA_XYZ'!$BV$1:$CJ$1,'Input LwA_XYZ'!BV12:CJ12)="","-",_xlfn.XLOOKUP(Tables!$N$662,'Input LwA_XYZ'!$BV$1:$CJ$1,'Input LwA_XYZ'!BV12:CJ12)))</f>
        <v/>
      </c>
      <c r="V673" s="228" t="str">
        <f>IF($P673="","",IF('Input LwA_XYZ'!S12="","-",'Input LwA_XYZ'!S12))</f>
        <v/>
      </c>
      <c r="W673" s="229" t="str" cm="1">
        <f t="array" ref="W673">IF($P673="","",IF(_xlfn.XLOOKUP(Tables!$N$662,_xlfn.ANCHORARRAY('Input LwA_XYZ'!$DD$1),'Input LwA_XYZ'!DD12:DR12)="","-",_xlfn.XLOOKUP(Tables!$N$662,_xlfn.ANCHORARRAY('Input LwA_XYZ'!$DD$1),'Input LwA_XYZ'!DD12:DR12)))</f>
        <v/>
      </c>
      <c r="X673" s="62" t="str">
        <f>IF($P673="","",_xlfn.XLOOKUP(Tables!$N$662,'Input LwA_XYZ'!$DU$1:$EI$1,'Input LwA_XYZ'!DU12:EI12))</f>
        <v/>
      </c>
    </row>
    <row r="674" spans="16:24" ht="16.5" x14ac:dyDescent="0.3">
      <c r="P674" s="230" t="str">
        <f>IF(OR('Input LwA_XYZ'!A13 = 0, NOT(ISBLANK(_xlfn.XLOOKUP(Tables!N$662, 'Input LwA_XYZ'!CM$1:DA$1, 'Input LwA_XYZ'!CM13:DA13)))), "", 'Input LwA_XYZ'!A13)</f>
        <v/>
      </c>
      <c r="Q674" s="225" t="str">
        <f>IF($P674="","",_xlfn.TEXTJOIN(" - ",TRUE,'Input LwA_XYZ'!B13:C13))</f>
        <v/>
      </c>
      <c r="R674" s="231" t="str">
        <f>IF($P674="","",'Input LwA_XYZ'!Q13)</f>
        <v/>
      </c>
      <c r="S674" s="227" t="str">
        <f>IF($P674="","",ROUND(_xlfn.XLOOKUP(Tables!$N$662,'Input LwA_XYZ'!$AH$1:$AV$1,'Input LwA_XYZ'!AH13:AV13),0))</f>
        <v/>
      </c>
      <c r="T674" s="228" t="str">
        <f>IF($P674="","",-1*ROUND(_xlfn.XLOOKUP(Tables!$N$662,'Input LwA_XYZ'!$AY$1:$BM$1,'Input LwA_XYZ'!AY13:BM13),0))</f>
        <v/>
      </c>
      <c r="U674" s="228" t="str">
        <f>IF($P674="","",IF(_xlfn.XLOOKUP(Tables!$N$662,'Input LwA_XYZ'!$BV$1:$CJ$1,'Input LwA_XYZ'!BV13:CJ13)="","-",_xlfn.XLOOKUP(Tables!$N$662,'Input LwA_XYZ'!$BV$1:$CJ$1,'Input LwA_XYZ'!BV13:CJ13)))</f>
        <v/>
      </c>
      <c r="V674" s="228" t="str">
        <f>IF($P674="","",IF('Input LwA_XYZ'!S13="","-",'Input LwA_XYZ'!S13))</f>
        <v/>
      </c>
      <c r="W674" s="229" t="str" cm="1">
        <f t="array" ref="W674">IF($P674="","",IF(_xlfn.XLOOKUP(Tables!$N$662,_xlfn.ANCHORARRAY('Input LwA_XYZ'!$DD$1),'Input LwA_XYZ'!DD13:DR13)="","-",_xlfn.XLOOKUP(Tables!$N$662,_xlfn.ANCHORARRAY('Input LwA_XYZ'!$DD$1),'Input LwA_XYZ'!DD13:DR13)))</f>
        <v/>
      </c>
      <c r="X674" s="62" t="str">
        <f>IF($P674="","",_xlfn.XLOOKUP(Tables!$N$662,'Input LwA_XYZ'!$DU$1:$EI$1,'Input LwA_XYZ'!DU13:EI13))</f>
        <v/>
      </c>
    </row>
    <row r="675" spans="16:24" ht="16.5" x14ac:dyDescent="0.3">
      <c r="P675" s="230" t="str">
        <f>IF(OR('Input LwA_XYZ'!A14 = 0, NOT(ISBLANK(_xlfn.XLOOKUP(Tables!N$662, 'Input LwA_XYZ'!CM$1:DA$1, 'Input LwA_XYZ'!CM14:DA14)))), "", 'Input LwA_XYZ'!A14)</f>
        <v/>
      </c>
      <c r="Q675" s="225" t="str">
        <f>IF($P675="","",_xlfn.TEXTJOIN(" - ",TRUE,'Input LwA_XYZ'!B14:C14))</f>
        <v/>
      </c>
      <c r="R675" s="231" t="str">
        <f>IF($P675="","",'Input LwA_XYZ'!Q14)</f>
        <v/>
      </c>
      <c r="S675" s="227" t="str">
        <f>IF($P675="","",ROUND(_xlfn.XLOOKUP(Tables!$N$662,'Input LwA_XYZ'!$AH$1:$AV$1,'Input LwA_XYZ'!AH14:AV14),0))</f>
        <v/>
      </c>
      <c r="T675" s="228" t="str">
        <f>IF($P675="","",-1*ROUND(_xlfn.XLOOKUP(Tables!$N$662,'Input LwA_XYZ'!$AY$1:$BM$1,'Input LwA_XYZ'!AY14:BM14),0))</f>
        <v/>
      </c>
      <c r="U675" s="228" t="str">
        <f>IF($P675="","",IF(_xlfn.XLOOKUP(Tables!$N$662,'Input LwA_XYZ'!$BV$1:$CJ$1,'Input LwA_XYZ'!BV14:CJ14)="","-",_xlfn.XLOOKUP(Tables!$N$662,'Input LwA_XYZ'!$BV$1:$CJ$1,'Input LwA_XYZ'!BV14:CJ14)))</f>
        <v/>
      </c>
      <c r="V675" s="228" t="str">
        <f>IF($P675="","",IF('Input LwA_XYZ'!S14="","-",'Input LwA_XYZ'!S14))</f>
        <v/>
      </c>
      <c r="W675" s="229" t="str" cm="1">
        <f t="array" ref="W675">IF($P675="","",IF(_xlfn.XLOOKUP(Tables!$N$662,_xlfn.ANCHORARRAY('Input LwA_XYZ'!$DD$1),'Input LwA_XYZ'!DD14:DR14)="","-",_xlfn.XLOOKUP(Tables!$N$662,_xlfn.ANCHORARRAY('Input LwA_XYZ'!$DD$1),'Input LwA_XYZ'!DD14:DR14)))</f>
        <v/>
      </c>
      <c r="X675" s="62" t="str">
        <f>IF($P675="","",_xlfn.XLOOKUP(Tables!$N$662,'Input LwA_XYZ'!$DU$1:$EI$1,'Input LwA_XYZ'!DU14:EI14))</f>
        <v/>
      </c>
    </row>
    <row r="676" spans="16:24" ht="16.5" x14ac:dyDescent="0.3">
      <c r="P676" s="230" t="str">
        <f>IF(OR('Input LwA_XYZ'!A15 = 0, NOT(ISBLANK(_xlfn.XLOOKUP(Tables!N$662, 'Input LwA_XYZ'!CM$1:DA$1, 'Input LwA_XYZ'!CM15:DA15)))), "", 'Input LwA_XYZ'!A15)</f>
        <v/>
      </c>
      <c r="Q676" s="225" t="str">
        <f>IF($P676="","",_xlfn.TEXTJOIN(" - ",TRUE,'Input LwA_XYZ'!B15:C15))</f>
        <v/>
      </c>
      <c r="R676" s="231" t="str">
        <f>IF($P676="","",'Input LwA_XYZ'!Q15)</f>
        <v/>
      </c>
      <c r="S676" s="227" t="str">
        <f>IF($P676="","",ROUND(_xlfn.XLOOKUP(Tables!$N$662,'Input LwA_XYZ'!$AH$1:$AV$1,'Input LwA_XYZ'!AH15:AV15),0))</f>
        <v/>
      </c>
      <c r="T676" s="228" t="str">
        <f>IF($P676="","",-1*ROUND(_xlfn.XLOOKUP(Tables!$N$662,'Input LwA_XYZ'!$AY$1:$BM$1,'Input LwA_XYZ'!AY15:BM15),0))</f>
        <v/>
      </c>
      <c r="U676" s="228" t="str">
        <f>IF($P676="","",IF(_xlfn.XLOOKUP(Tables!$N$662,'Input LwA_XYZ'!$BV$1:$CJ$1,'Input LwA_XYZ'!BV15:CJ15)="","-",_xlfn.XLOOKUP(Tables!$N$662,'Input LwA_XYZ'!$BV$1:$CJ$1,'Input LwA_XYZ'!BV15:CJ15)))</f>
        <v/>
      </c>
      <c r="V676" s="228" t="str">
        <f>IF($P676="","",IF('Input LwA_XYZ'!S15="","-",'Input LwA_XYZ'!S15))</f>
        <v/>
      </c>
      <c r="W676" s="229" t="str" cm="1">
        <f t="array" ref="W676">IF($P676="","",IF(_xlfn.XLOOKUP(Tables!$N$662,_xlfn.ANCHORARRAY('Input LwA_XYZ'!$DD$1),'Input LwA_XYZ'!DD15:DR15)="","-",_xlfn.XLOOKUP(Tables!$N$662,_xlfn.ANCHORARRAY('Input LwA_XYZ'!$DD$1),'Input LwA_XYZ'!DD15:DR15)))</f>
        <v/>
      </c>
      <c r="X676" s="62" t="str">
        <f>IF($P676="","",_xlfn.XLOOKUP(Tables!$N$662,'Input LwA_XYZ'!$DU$1:$EI$1,'Input LwA_XYZ'!DU15:EI15))</f>
        <v/>
      </c>
    </row>
    <row r="677" spans="16:24" ht="16.5" x14ac:dyDescent="0.3">
      <c r="P677" s="230" t="str">
        <f>IF(OR('Input LwA_XYZ'!A16 = 0, NOT(ISBLANK(_xlfn.XLOOKUP(Tables!N$662, 'Input LwA_XYZ'!CM$1:DA$1, 'Input LwA_XYZ'!CM16:DA16)))), "", 'Input LwA_XYZ'!A16)</f>
        <v/>
      </c>
      <c r="Q677" s="225" t="str">
        <f>IF($P677="","",_xlfn.TEXTJOIN(" - ",TRUE,'Input LwA_XYZ'!B16:C16))</f>
        <v/>
      </c>
      <c r="R677" s="231" t="str">
        <f>IF($P677="","",'Input LwA_XYZ'!Q16)</f>
        <v/>
      </c>
      <c r="S677" s="227" t="str">
        <f>IF($P677="","",ROUND(_xlfn.XLOOKUP(Tables!$N$662,'Input LwA_XYZ'!$AH$1:$AV$1,'Input LwA_XYZ'!AH16:AV16),0))</f>
        <v/>
      </c>
      <c r="T677" s="228" t="str">
        <f>IF($P677="","",-1*ROUND(_xlfn.XLOOKUP(Tables!$N$662,'Input LwA_XYZ'!$AY$1:$BM$1,'Input LwA_XYZ'!AY16:BM16),0))</f>
        <v/>
      </c>
      <c r="U677" s="228" t="str">
        <f>IF($P677="","",IF(_xlfn.XLOOKUP(Tables!$N$662,'Input LwA_XYZ'!$BV$1:$CJ$1,'Input LwA_XYZ'!BV16:CJ16)="","-",_xlfn.XLOOKUP(Tables!$N$662,'Input LwA_XYZ'!$BV$1:$CJ$1,'Input LwA_XYZ'!BV16:CJ16)))</f>
        <v/>
      </c>
      <c r="V677" s="228" t="str">
        <f>IF($P677="","",IF('Input LwA_XYZ'!S16="","-",'Input LwA_XYZ'!S16))</f>
        <v/>
      </c>
      <c r="W677" s="229" t="str" cm="1">
        <f t="array" ref="W677">IF($P677="","",IF(_xlfn.XLOOKUP(Tables!$N$662,_xlfn.ANCHORARRAY('Input LwA_XYZ'!$DD$1),'Input LwA_XYZ'!DD16:DR16)="","-",_xlfn.XLOOKUP(Tables!$N$662,_xlfn.ANCHORARRAY('Input LwA_XYZ'!$DD$1),'Input LwA_XYZ'!DD16:DR16)))</f>
        <v/>
      </c>
      <c r="X677" s="62" t="str">
        <f>IF($P677="","",_xlfn.XLOOKUP(Tables!$N$662,'Input LwA_XYZ'!$DU$1:$EI$1,'Input LwA_XYZ'!DU16:EI16))</f>
        <v/>
      </c>
    </row>
    <row r="678" spans="16:24" ht="16.5" x14ac:dyDescent="0.3">
      <c r="P678" s="230" t="str">
        <f>IF(OR('Input LwA_XYZ'!A17 = 0, NOT(ISBLANK(_xlfn.XLOOKUP(Tables!N$662, 'Input LwA_XYZ'!CM$1:DA$1, 'Input LwA_XYZ'!CM17:DA17)))), "", 'Input LwA_XYZ'!A17)</f>
        <v/>
      </c>
      <c r="Q678" s="225" t="str">
        <f>IF($P678="","",_xlfn.TEXTJOIN(" - ",TRUE,'Input LwA_XYZ'!B17:C17))</f>
        <v/>
      </c>
      <c r="R678" s="231" t="str">
        <f>IF($P678="","",'Input LwA_XYZ'!Q17)</f>
        <v/>
      </c>
      <c r="S678" s="227" t="str">
        <f>IF($P678="","",ROUND(_xlfn.XLOOKUP(Tables!$N$662,'Input LwA_XYZ'!$AH$1:$AV$1,'Input LwA_XYZ'!AH17:AV17),0))</f>
        <v/>
      </c>
      <c r="T678" s="228" t="str">
        <f>IF($P678="","",-1*ROUND(_xlfn.XLOOKUP(Tables!$N$662,'Input LwA_XYZ'!$AY$1:$BM$1,'Input LwA_XYZ'!AY17:BM17),0))</f>
        <v/>
      </c>
      <c r="U678" s="228" t="str">
        <f>IF($P678="","",IF(_xlfn.XLOOKUP(Tables!$N$662,'Input LwA_XYZ'!$BV$1:$CJ$1,'Input LwA_XYZ'!BV17:CJ17)="","-",_xlfn.XLOOKUP(Tables!$N$662,'Input LwA_XYZ'!$BV$1:$CJ$1,'Input LwA_XYZ'!BV17:CJ17)))</f>
        <v/>
      </c>
      <c r="V678" s="228" t="str">
        <f>IF($P678="","",IF('Input LwA_XYZ'!S17="","-",'Input LwA_XYZ'!S17))</f>
        <v/>
      </c>
      <c r="W678" s="229" t="str" cm="1">
        <f t="array" ref="W678">IF($P678="","",IF(_xlfn.XLOOKUP(Tables!$N$662,_xlfn.ANCHORARRAY('Input LwA_XYZ'!$DD$1),'Input LwA_XYZ'!DD17:DR17)="","-",_xlfn.XLOOKUP(Tables!$N$662,_xlfn.ANCHORARRAY('Input LwA_XYZ'!$DD$1),'Input LwA_XYZ'!DD17:DR17)))</f>
        <v/>
      </c>
      <c r="X678" s="62" t="str">
        <f>IF($P678="","",_xlfn.XLOOKUP(Tables!$N$662,'Input LwA_XYZ'!$DU$1:$EI$1,'Input LwA_XYZ'!DU17:EI17))</f>
        <v/>
      </c>
    </row>
    <row r="679" spans="16:24" ht="16.5" x14ac:dyDescent="0.3">
      <c r="P679" s="230" t="str">
        <f>IF(OR('Input LwA_XYZ'!A18 = 0, NOT(ISBLANK(_xlfn.XLOOKUP(Tables!N$662, 'Input LwA_XYZ'!CM$1:DA$1, 'Input LwA_XYZ'!CM18:DA18)))), "", 'Input LwA_XYZ'!A18)</f>
        <v/>
      </c>
      <c r="Q679" s="225" t="str">
        <f>IF($P679="","",_xlfn.TEXTJOIN(" - ",TRUE,'Input LwA_XYZ'!B18:C18))</f>
        <v/>
      </c>
      <c r="R679" s="231" t="str">
        <f>IF($P679="","",'Input LwA_XYZ'!Q18)</f>
        <v/>
      </c>
      <c r="S679" s="227" t="str">
        <f>IF($P679="","",ROUND(_xlfn.XLOOKUP(Tables!$N$662,'Input LwA_XYZ'!$AH$1:$AV$1,'Input LwA_XYZ'!AH18:AV18),0))</f>
        <v/>
      </c>
      <c r="T679" s="228" t="str">
        <f>IF($P679="","",-1*ROUND(_xlfn.XLOOKUP(Tables!$N$662,'Input LwA_XYZ'!$AY$1:$BM$1,'Input LwA_XYZ'!AY18:BM18),0))</f>
        <v/>
      </c>
      <c r="U679" s="228" t="str">
        <f>IF($P679="","",IF(_xlfn.XLOOKUP(Tables!$N$662,'Input LwA_XYZ'!$BV$1:$CJ$1,'Input LwA_XYZ'!BV18:CJ18)="","-",_xlfn.XLOOKUP(Tables!$N$662,'Input LwA_XYZ'!$BV$1:$CJ$1,'Input LwA_XYZ'!BV18:CJ18)))</f>
        <v/>
      </c>
      <c r="V679" s="228" t="str">
        <f>IF($P679="","",IF('Input LwA_XYZ'!S18="","-",'Input LwA_XYZ'!S18))</f>
        <v/>
      </c>
      <c r="W679" s="229" t="str" cm="1">
        <f t="array" ref="W679">IF($P679="","",IF(_xlfn.XLOOKUP(Tables!$N$662,_xlfn.ANCHORARRAY('Input LwA_XYZ'!$DD$1),'Input LwA_XYZ'!DD18:DR18)="","-",_xlfn.XLOOKUP(Tables!$N$662,_xlfn.ANCHORARRAY('Input LwA_XYZ'!$DD$1),'Input LwA_XYZ'!DD18:DR18)))</f>
        <v/>
      </c>
      <c r="X679" s="62" t="str">
        <f>IF($P679="","",_xlfn.XLOOKUP(Tables!$N$662,'Input LwA_XYZ'!$DU$1:$EI$1,'Input LwA_XYZ'!DU18:EI18))</f>
        <v/>
      </c>
    </row>
    <row r="680" spans="16:24" ht="16.5" x14ac:dyDescent="0.3">
      <c r="P680" s="230" t="str">
        <f>IF(OR('Input LwA_XYZ'!A19 = 0, NOT(ISBLANK(_xlfn.XLOOKUP(Tables!N$662, 'Input LwA_XYZ'!CM$1:DA$1, 'Input LwA_XYZ'!CM19:DA19)))), "", 'Input LwA_XYZ'!A19)</f>
        <v/>
      </c>
      <c r="Q680" s="225" t="str">
        <f>IF($P680="","",_xlfn.TEXTJOIN(" - ",TRUE,'Input LwA_XYZ'!B19:C19))</f>
        <v/>
      </c>
      <c r="R680" s="231" t="str">
        <f>IF($P680="","",'Input LwA_XYZ'!Q19)</f>
        <v/>
      </c>
      <c r="S680" s="227" t="str">
        <f>IF($P680="","",ROUND(_xlfn.XLOOKUP(Tables!$N$662,'Input LwA_XYZ'!$AH$1:$AV$1,'Input LwA_XYZ'!AH19:AV19),0))</f>
        <v/>
      </c>
      <c r="T680" s="228" t="str">
        <f>IF($P680="","",-1*ROUND(_xlfn.XLOOKUP(Tables!$N$662,'Input LwA_XYZ'!$AY$1:$BM$1,'Input LwA_XYZ'!AY19:BM19),0))</f>
        <v/>
      </c>
      <c r="U680" s="228" t="str">
        <f>IF($P680="","",IF(_xlfn.XLOOKUP(Tables!$N$662,'Input LwA_XYZ'!$BV$1:$CJ$1,'Input LwA_XYZ'!BV19:CJ19)="","-",_xlfn.XLOOKUP(Tables!$N$662,'Input LwA_XYZ'!$BV$1:$CJ$1,'Input LwA_XYZ'!BV19:CJ19)))</f>
        <v/>
      </c>
      <c r="V680" s="228" t="str">
        <f>IF($P680="","",IF('Input LwA_XYZ'!S19="","-",'Input LwA_XYZ'!S19))</f>
        <v/>
      </c>
      <c r="W680" s="229" t="str" cm="1">
        <f t="array" ref="W680">IF($P680="","",IF(_xlfn.XLOOKUP(Tables!$N$662,_xlfn.ANCHORARRAY('Input LwA_XYZ'!$DD$1),'Input LwA_XYZ'!DD19:DR19)="","-",_xlfn.XLOOKUP(Tables!$N$662,_xlfn.ANCHORARRAY('Input LwA_XYZ'!$DD$1),'Input LwA_XYZ'!DD19:DR19)))</f>
        <v/>
      </c>
      <c r="X680" s="62" t="str">
        <f>IF($P680="","",_xlfn.XLOOKUP(Tables!$N$662,'Input LwA_XYZ'!$DU$1:$EI$1,'Input LwA_XYZ'!DU19:EI19))</f>
        <v/>
      </c>
    </row>
    <row r="681" spans="16:24" ht="16.5" x14ac:dyDescent="0.3">
      <c r="P681" s="230" t="str">
        <f>IF(OR('Input LwA_XYZ'!A20 = 0, NOT(ISBLANK(_xlfn.XLOOKUP(Tables!N$662, 'Input LwA_XYZ'!CM$1:DA$1, 'Input LwA_XYZ'!CM20:DA20)))), "", 'Input LwA_XYZ'!A20)</f>
        <v/>
      </c>
      <c r="Q681" s="225" t="str">
        <f>IF($P681="","",_xlfn.TEXTJOIN(" - ",TRUE,'Input LwA_XYZ'!B20:C20))</f>
        <v/>
      </c>
      <c r="R681" s="231" t="str">
        <f>IF($P681="","",'Input LwA_XYZ'!Q20)</f>
        <v/>
      </c>
      <c r="S681" s="227" t="str">
        <f>IF($P681="","",ROUND(_xlfn.XLOOKUP(Tables!$N$662,'Input LwA_XYZ'!$AH$1:$AV$1,'Input LwA_XYZ'!AH20:AV20),0))</f>
        <v/>
      </c>
      <c r="T681" s="228" t="str">
        <f>IF($P681="","",-1*ROUND(_xlfn.XLOOKUP(Tables!$N$662,'Input LwA_XYZ'!$AY$1:$BM$1,'Input LwA_XYZ'!AY20:BM20),0))</f>
        <v/>
      </c>
      <c r="U681" s="228" t="str">
        <f>IF($P681="","",IF(_xlfn.XLOOKUP(Tables!$N$662,'Input LwA_XYZ'!$BV$1:$CJ$1,'Input LwA_XYZ'!BV20:CJ20)="","-",_xlfn.XLOOKUP(Tables!$N$662,'Input LwA_XYZ'!$BV$1:$CJ$1,'Input LwA_XYZ'!BV20:CJ20)))</f>
        <v/>
      </c>
      <c r="V681" s="228" t="str">
        <f>IF($P681="","",IF('Input LwA_XYZ'!S20="","-",'Input LwA_XYZ'!S20))</f>
        <v/>
      </c>
      <c r="W681" s="229" t="str" cm="1">
        <f t="array" ref="W681">IF($P681="","",IF(_xlfn.XLOOKUP(Tables!$N$662,_xlfn.ANCHORARRAY('Input LwA_XYZ'!$DD$1),'Input LwA_XYZ'!DD20:DR20)="","-",_xlfn.XLOOKUP(Tables!$N$662,_xlfn.ANCHORARRAY('Input LwA_XYZ'!$DD$1),'Input LwA_XYZ'!DD20:DR20)))</f>
        <v/>
      </c>
      <c r="X681" s="62" t="str">
        <f>IF($P681="","",_xlfn.XLOOKUP(Tables!$N$662,'Input LwA_XYZ'!$DU$1:$EI$1,'Input LwA_XYZ'!DU20:EI20))</f>
        <v/>
      </c>
    </row>
    <row r="682" spans="16:24" ht="16.5" x14ac:dyDescent="0.3">
      <c r="P682" s="230" t="str">
        <f>IF(OR('Input LwA_XYZ'!A21 = 0, NOT(ISBLANK(_xlfn.XLOOKUP(Tables!N$662, 'Input LwA_XYZ'!CM$1:DA$1, 'Input LwA_XYZ'!CM21:DA21)))), "", 'Input LwA_XYZ'!A21)</f>
        <v/>
      </c>
      <c r="Q682" s="225" t="str">
        <f>IF($P682="","",_xlfn.TEXTJOIN(" - ",TRUE,'Input LwA_XYZ'!B21:C21))</f>
        <v/>
      </c>
      <c r="R682" s="231" t="str">
        <f>IF($P682="","",'Input LwA_XYZ'!Q21)</f>
        <v/>
      </c>
      <c r="S682" s="227" t="str">
        <f>IF($P682="","",ROUND(_xlfn.XLOOKUP(Tables!$N$662,'Input LwA_XYZ'!$AH$1:$AV$1,'Input LwA_XYZ'!AH21:AV21),0))</f>
        <v/>
      </c>
      <c r="T682" s="228" t="str">
        <f>IF($P682="","",-1*ROUND(_xlfn.XLOOKUP(Tables!$N$662,'Input LwA_XYZ'!$AY$1:$BM$1,'Input LwA_XYZ'!AY21:BM21),0))</f>
        <v/>
      </c>
      <c r="U682" s="228" t="str">
        <f>IF($P682="","",IF(_xlfn.XLOOKUP(Tables!$N$662,'Input LwA_XYZ'!$BV$1:$CJ$1,'Input LwA_XYZ'!BV21:CJ21)="","-",_xlfn.XLOOKUP(Tables!$N$662,'Input LwA_XYZ'!$BV$1:$CJ$1,'Input LwA_XYZ'!BV21:CJ21)))</f>
        <v/>
      </c>
      <c r="V682" s="228" t="str">
        <f>IF($P682="","",IF('Input LwA_XYZ'!S21="","-",'Input LwA_XYZ'!S21))</f>
        <v/>
      </c>
      <c r="W682" s="229" t="str" cm="1">
        <f t="array" ref="W682">IF($P682="","",IF(_xlfn.XLOOKUP(Tables!$N$662,_xlfn.ANCHORARRAY('Input LwA_XYZ'!$DD$1),'Input LwA_XYZ'!DD21:DR21)="","-",_xlfn.XLOOKUP(Tables!$N$662,_xlfn.ANCHORARRAY('Input LwA_XYZ'!$DD$1),'Input LwA_XYZ'!DD21:DR21)))</f>
        <v/>
      </c>
      <c r="X682" s="62" t="str">
        <f>IF($P682="","",_xlfn.XLOOKUP(Tables!$N$662,'Input LwA_XYZ'!$DU$1:$EI$1,'Input LwA_XYZ'!DU21:EI21))</f>
        <v/>
      </c>
    </row>
    <row r="683" spans="16:24" ht="16.5" x14ac:dyDescent="0.3">
      <c r="P683" s="230" t="str">
        <f>IF(OR('Input LwA_XYZ'!A22 = 0, NOT(ISBLANK(_xlfn.XLOOKUP(Tables!N$662, 'Input LwA_XYZ'!CM$1:DA$1, 'Input LwA_XYZ'!CM22:DA22)))), "", 'Input LwA_XYZ'!A22)</f>
        <v/>
      </c>
      <c r="Q683" s="225" t="str">
        <f>IF($P683="","",_xlfn.TEXTJOIN(" - ",TRUE,'Input LwA_XYZ'!B22:C22))</f>
        <v/>
      </c>
      <c r="R683" s="231" t="str">
        <f>IF($P683="","",'Input LwA_XYZ'!Q22)</f>
        <v/>
      </c>
      <c r="S683" s="227" t="str">
        <f>IF($P683="","",ROUND(_xlfn.XLOOKUP(Tables!$N$662,'Input LwA_XYZ'!$AH$1:$AV$1,'Input LwA_XYZ'!AH22:AV22),0))</f>
        <v/>
      </c>
      <c r="T683" s="228" t="str">
        <f>IF($P683="","",-1*ROUND(_xlfn.XLOOKUP(Tables!$N$662,'Input LwA_XYZ'!$AY$1:$BM$1,'Input LwA_XYZ'!AY22:BM22),0))</f>
        <v/>
      </c>
      <c r="U683" s="228" t="str">
        <f>IF($P683="","",IF(_xlfn.XLOOKUP(Tables!$N$662,'Input LwA_XYZ'!$BV$1:$CJ$1,'Input LwA_XYZ'!BV22:CJ22)="","-",_xlfn.XLOOKUP(Tables!$N$662,'Input LwA_XYZ'!$BV$1:$CJ$1,'Input LwA_XYZ'!BV22:CJ22)))</f>
        <v/>
      </c>
      <c r="V683" s="228" t="str">
        <f>IF($P683="","",IF('Input LwA_XYZ'!S22="","-",'Input LwA_XYZ'!S22))</f>
        <v/>
      </c>
      <c r="W683" s="229" t="str" cm="1">
        <f t="array" ref="W683">IF($P683="","",IF(_xlfn.XLOOKUP(Tables!$N$662,_xlfn.ANCHORARRAY('Input LwA_XYZ'!$DD$1),'Input LwA_XYZ'!DD22:DR22)="","-",_xlfn.XLOOKUP(Tables!$N$662,_xlfn.ANCHORARRAY('Input LwA_XYZ'!$DD$1),'Input LwA_XYZ'!DD22:DR22)))</f>
        <v/>
      </c>
      <c r="X683" s="62" t="str">
        <f>IF($P683="","",_xlfn.XLOOKUP(Tables!$N$662,'Input LwA_XYZ'!$DU$1:$EI$1,'Input LwA_XYZ'!DU22:EI22))</f>
        <v/>
      </c>
    </row>
    <row r="684" spans="16:24" ht="16.5" x14ac:dyDescent="0.3">
      <c r="P684" s="230" t="str">
        <f>IF(OR('Input LwA_XYZ'!A23 = 0, NOT(ISBLANK(_xlfn.XLOOKUP(Tables!N$662, 'Input LwA_XYZ'!CM$1:DA$1, 'Input LwA_XYZ'!CM23:DA23)))), "", 'Input LwA_XYZ'!A23)</f>
        <v/>
      </c>
      <c r="Q684" s="225" t="str">
        <f>IF($P684="","",_xlfn.TEXTJOIN(" - ",TRUE,'Input LwA_XYZ'!B23:C23))</f>
        <v/>
      </c>
      <c r="R684" s="231" t="str">
        <f>IF($P684="","",'Input LwA_XYZ'!Q23)</f>
        <v/>
      </c>
      <c r="S684" s="227" t="str">
        <f>IF($P684="","",ROUND(_xlfn.XLOOKUP(Tables!$N$662,'Input LwA_XYZ'!$AH$1:$AV$1,'Input LwA_XYZ'!AH23:AV23),0))</f>
        <v/>
      </c>
      <c r="T684" s="228" t="str">
        <f>IF($P684="","",-1*ROUND(_xlfn.XLOOKUP(Tables!$N$662,'Input LwA_XYZ'!$AY$1:$BM$1,'Input LwA_XYZ'!AY23:BM23),0))</f>
        <v/>
      </c>
      <c r="U684" s="228" t="str">
        <f>IF($P684="","",IF(_xlfn.XLOOKUP(Tables!$N$662,'Input LwA_XYZ'!$BV$1:$CJ$1,'Input LwA_XYZ'!BV23:CJ23)="","-",_xlfn.XLOOKUP(Tables!$N$662,'Input LwA_XYZ'!$BV$1:$CJ$1,'Input LwA_XYZ'!BV23:CJ23)))</f>
        <v/>
      </c>
      <c r="V684" s="228" t="str">
        <f>IF($P684="","",IF('Input LwA_XYZ'!S23="","-",'Input LwA_XYZ'!S23))</f>
        <v/>
      </c>
      <c r="W684" s="229" t="str" cm="1">
        <f t="array" ref="W684">IF($P684="","",IF(_xlfn.XLOOKUP(Tables!$N$662,_xlfn.ANCHORARRAY('Input LwA_XYZ'!$DD$1),'Input LwA_XYZ'!DD23:DR23)="","-",_xlfn.XLOOKUP(Tables!$N$662,_xlfn.ANCHORARRAY('Input LwA_XYZ'!$DD$1),'Input LwA_XYZ'!DD23:DR23)))</f>
        <v/>
      </c>
      <c r="X684" s="62" t="str">
        <f>IF($P684="","",_xlfn.XLOOKUP(Tables!$N$662,'Input LwA_XYZ'!$DU$1:$EI$1,'Input LwA_XYZ'!DU23:EI23))</f>
        <v/>
      </c>
    </row>
    <row r="685" spans="16:24" ht="16.5" x14ac:dyDescent="0.3">
      <c r="P685" s="230" t="str">
        <f>IF(OR('Input LwA_XYZ'!A24 = 0, NOT(ISBLANK(_xlfn.XLOOKUP(Tables!N$662, 'Input LwA_XYZ'!CM$1:DA$1, 'Input LwA_XYZ'!CM24:DA24)))), "", 'Input LwA_XYZ'!A24)</f>
        <v/>
      </c>
      <c r="Q685" s="225" t="str">
        <f>IF($P685="","",_xlfn.TEXTJOIN(" - ",TRUE,'Input LwA_XYZ'!B24:C24))</f>
        <v/>
      </c>
      <c r="R685" s="231" t="str">
        <f>IF($P685="","",'Input LwA_XYZ'!Q24)</f>
        <v/>
      </c>
      <c r="S685" s="227" t="str">
        <f>IF($P685="","",ROUND(_xlfn.XLOOKUP(Tables!$N$662,'Input LwA_XYZ'!$AH$1:$AV$1,'Input LwA_XYZ'!AH24:AV24),0))</f>
        <v/>
      </c>
      <c r="T685" s="228" t="str">
        <f>IF($P685="","",-1*ROUND(_xlfn.XLOOKUP(Tables!$N$662,'Input LwA_XYZ'!$AY$1:$BM$1,'Input LwA_XYZ'!AY24:BM24),0))</f>
        <v/>
      </c>
      <c r="U685" s="228" t="str">
        <f>IF($P685="","",IF(_xlfn.XLOOKUP(Tables!$N$662,'Input LwA_XYZ'!$BV$1:$CJ$1,'Input LwA_XYZ'!BV24:CJ24)="","-",_xlfn.XLOOKUP(Tables!$N$662,'Input LwA_XYZ'!$BV$1:$CJ$1,'Input LwA_XYZ'!BV24:CJ24)))</f>
        <v/>
      </c>
      <c r="V685" s="228" t="str">
        <f>IF($P685="","",IF('Input LwA_XYZ'!S24="","-",'Input LwA_XYZ'!S24))</f>
        <v/>
      </c>
      <c r="W685" s="229" t="str" cm="1">
        <f t="array" ref="W685">IF($P685="","",IF(_xlfn.XLOOKUP(Tables!$N$662,_xlfn.ANCHORARRAY('Input LwA_XYZ'!$DD$1),'Input LwA_XYZ'!DD24:DR24)="","-",_xlfn.XLOOKUP(Tables!$N$662,_xlfn.ANCHORARRAY('Input LwA_XYZ'!$DD$1),'Input LwA_XYZ'!DD24:DR24)))</f>
        <v/>
      </c>
      <c r="X685" s="62" t="str">
        <f>IF($P685="","",_xlfn.XLOOKUP(Tables!$N$662,'Input LwA_XYZ'!$DU$1:$EI$1,'Input LwA_XYZ'!DU24:EI24))</f>
        <v/>
      </c>
    </row>
    <row r="686" spans="16:24" ht="16.5" x14ac:dyDescent="0.3">
      <c r="P686" s="230" t="str">
        <f>IF(OR('Input LwA_XYZ'!A25 = 0, NOT(ISBLANK(_xlfn.XLOOKUP(Tables!N$662, 'Input LwA_XYZ'!CM$1:DA$1, 'Input LwA_XYZ'!CM25:DA25)))), "", 'Input LwA_XYZ'!A25)</f>
        <v/>
      </c>
      <c r="Q686" s="225" t="str">
        <f>IF($P686="","",_xlfn.TEXTJOIN(" - ",TRUE,'Input LwA_XYZ'!B25:C25))</f>
        <v/>
      </c>
      <c r="R686" s="231" t="str">
        <f>IF($P686="","",'Input LwA_XYZ'!Q25)</f>
        <v/>
      </c>
      <c r="S686" s="227" t="str">
        <f>IF($P686="","",ROUND(_xlfn.XLOOKUP(Tables!$N$662,'Input LwA_XYZ'!$AH$1:$AV$1,'Input LwA_XYZ'!AH25:AV25),0))</f>
        <v/>
      </c>
      <c r="T686" s="228" t="str">
        <f>IF($P686="","",-1*ROUND(_xlfn.XLOOKUP(Tables!$N$662,'Input LwA_XYZ'!$AY$1:$BM$1,'Input LwA_XYZ'!AY25:BM25),0))</f>
        <v/>
      </c>
      <c r="U686" s="228" t="str">
        <f>IF($P686="","",IF(_xlfn.XLOOKUP(Tables!$N$662,'Input LwA_XYZ'!$BV$1:$CJ$1,'Input LwA_XYZ'!BV25:CJ25)="","-",_xlfn.XLOOKUP(Tables!$N$662,'Input LwA_XYZ'!$BV$1:$CJ$1,'Input LwA_XYZ'!BV25:CJ25)))</f>
        <v/>
      </c>
      <c r="V686" s="228" t="str">
        <f>IF($P686="","",IF('Input LwA_XYZ'!S25="","-",'Input LwA_XYZ'!S25))</f>
        <v/>
      </c>
      <c r="W686" s="229" t="str" cm="1">
        <f t="array" ref="W686">IF($P686="","",IF(_xlfn.XLOOKUP(Tables!$N$662,_xlfn.ANCHORARRAY('Input LwA_XYZ'!$DD$1),'Input LwA_XYZ'!DD25:DR25)="","-",_xlfn.XLOOKUP(Tables!$N$662,_xlfn.ANCHORARRAY('Input LwA_XYZ'!$DD$1),'Input LwA_XYZ'!DD25:DR25)))</f>
        <v/>
      </c>
      <c r="X686" s="62" t="str">
        <f>IF($P686="","",_xlfn.XLOOKUP(Tables!$N$662,'Input LwA_XYZ'!$DU$1:$EI$1,'Input LwA_XYZ'!DU25:EI25))</f>
        <v/>
      </c>
    </row>
    <row r="687" spans="16:24" ht="16.5" x14ac:dyDescent="0.3">
      <c r="P687" s="230" t="str">
        <f>IF(OR('Input LwA_XYZ'!A26 = 0, NOT(ISBLANK(_xlfn.XLOOKUP(Tables!N$662, 'Input LwA_XYZ'!CM$1:DA$1, 'Input LwA_XYZ'!CM26:DA26)))), "", 'Input LwA_XYZ'!A26)</f>
        <v/>
      </c>
      <c r="Q687" s="225" t="str">
        <f>IF($P687="","",_xlfn.TEXTJOIN(" - ",TRUE,'Input LwA_XYZ'!B26:C26))</f>
        <v/>
      </c>
      <c r="R687" s="231" t="str">
        <f>IF($P687="","",'Input LwA_XYZ'!Q26)</f>
        <v/>
      </c>
      <c r="S687" s="227" t="str">
        <f>IF($P687="","",ROUND(_xlfn.XLOOKUP(Tables!$N$662,'Input LwA_XYZ'!$AH$1:$AV$1,'Input LwA_XYZ'!AH26:AV26),0))</f>
        <v/>
      </c>
      <c r="T687" s="228" t="str">
        <f>IF($P687="","",-1*ROUND(_xlfn.XLOOKUP(Tables!$N$662,'Input LwA_XYZ'!$AY$1:$BM$1,'Input LwA_XYZ'!AY26:BM26),0))</f>
        <v/>
      </c>
      <c r="U687" s="228" t="str">
        <f>IF($P687="","",IF(_xlfn.XLOOKUP(Tables!$N$662,'Input LwA_XYZ'!$BV$1:$CJ$1,'Input LwA_XYZ'!BV26:CJ26)="","-",_xlfn.XLOOKUP(Tables!$N$662,'Input LwA_XYZ'!$BV$1:$CJ$1,'Input LwA_XYZ'!BV26:CJ26)))</f>
        <v/>
      </c>
      <c r="V687" s="228" t="str">
        <f>IF($P687="","",IF('Input LwA_XYZ'!S26="","-",'Input LwA_XYZ'!S26))</f>
        <v/>
      </c>
      <c r="W687" s="229" t="str" cm="1">
        <f t="array" ref="W687">IF($P687="","",IF(_xlfn.XLOOKUP(Tables!$N$662,_xlfn.ANCHORARRAY('Input LwA_XYZ'!$DD$1),'Input LwA_XYZ'!DD26:DR26)="","-",_xlfn.XLOOKUP(Tables!$N$662,_xlfn.ANCHORARRAY('Input LwA_XYZ'!$DD$1),'Input LwA_XYZ'!DD26:DR26)))</f>
        <v/>
      </c>
      <c r="X687" s="62" t="str">
        <f>IF($P687="","",_xlfn.XLOOKUP(Tables!$N$662,'Input LwA_XYZ'!$DU$1:$EI$1,'Input LwA_XYZ'!DU26:EI26))</f>
        <v/>
      </c>
    </row>
    <row r="688" spans="16:24" ht="16.5" x14ac:dyDescent="0.3">
      <c r="P688" s="230" t="str">
        <f>IF(OR('Input LwA_XYZ'!A27 = 0, NOT(ISBLANK(_xlfn.XLOOKUP(Tables!N$662, 'Input LwA_XYZ'!CM$1:DA$1, 'Input LwA_XYZ'!CM27:DA27)))), "", 'Input LwA_XYZ'!A27)</f>
        <v/>
      </c>
      <c r="Q688" s="225" t="str">
        <f>IF($P688="","",_xlfn.TEXTJOIN(" - ",TRUE,'Input LwA_XYZ'!B27:C27))</f>
        <v/>
      </c>
      <c r="R688" s="231" t="str">
        <f>IF($P688="","",'Input LwA_XYZ'!Q27)</f>
        <v/>
      </c>
      <c r="S688" s="227" t="str">
        <f>IF($P688="","",ROUND(_xlfn.XLOOKUP(Tables!$N$662,'Input LwA_XYZ'!$AH$1:$AV$1,'Input LwA_XYZ'!AH27:AV27),0))</f>
        <v/>
      </c>
      <c r="T688" s="228" t="str">
        <f>IF($P688="","",-1*ROUND(_xlfn.XLOOKUP(Tables!$N$662,'Input LwA_XYZ'!$AY$1:$BM$1,'Input LwA_XYZ'!AY27:BM27),0))</f>
        <v/>
      </c>
      <c r="U688" s="228" t="str">
        <f>IF($P688="","",IF(_xlfn.XLOOKUP(Tables!$N$662,'Input LwA_XYZ'!$BV$1:$CJ$1,'Input LwA_XYZ'!BV27:CJ27)="","-",_xlfn.XLOOKUP(Tables!$N$662,'Input LwA_XYZ'!$BV$1:$CJ$1,'Input LwA_XYZ'!BV27:CJ27)))</f>
        <v/>
      </c>
      <c r="V688" s="228" t="str">
        <f>IF($P688="","",IF('Input LwA_XYZ'!S27="","-",'Input LwA_XYZ'!S27))</f>
        <v/>
      </c>
      <c r="W688" s="229" t="str" cm="1">
        <f t="array" ref="W688">IF($P688="","",IF(_xlfn.XLOOKUP(Tables!$N$662,_xlfn.ANCHORARRAY('Input LwA_XYZ'!$DD$1),'Input LwA_XYZ'!DD27:DR27)="","-",_xlfn.XLOOKUP(Tables!$N$662,_xlfn.ANCHORARRAY('Input LwA_XYZ'!$DD$1),'Input LwA_XYZ'!DD27:DR27)))</f>
        <v/>
      </c>
      <c r="X688" s="62" t="str">
        <f>IF($P688="","",_xlfn.XLOOKUP(Tables!$N$662,'Input LwA_XYZ'!$DU$1:$EI$1,'Input LwA_XYZ'!DU27:EI27))</f>
        <v/>
      </c>
    </row>
    <row r="689" spans="16:24" ht="16.5" x14ac:dyDescent="0.3">
      <c r="P689" s="230" t="str">
        <f>IF(OR('Input LwA_XYZ'!A28 = 0, NOT(ISBLANK(_xlfn.XLOOKUP(Tables!N$662, 'Input LwA_XYZ'!CM$1:DA$1, 'Input LwA_XYZ'!CM28:DA28)))), "", 'Input LwA_XYZ'!A28)</f>
        <v/>
      </c>
      <c r="Q689" s="225" t="str">
        <f>IF($P689="","",_xlfn.TEXTJOIN(" - ",TRUE,'Input LwA_XYZ'!B28:C28))</f>
        <v/>
      </c>
      <c r="R689" s="231" t="str">
        <f>IF($P689="","",'Input LwA_XYZ'!Q28)</f>
        <v/>
      </c>
      <c r="S689" s="227" t="str">
        <f>IF($P689="","",ROUND(_xlfn.XLOOKUP(Tables!$N$662,'Input LwA_XYZ'!$AH$1:$AV$1,'Input LwA_XYZ'!AH28:AV28),0))</f>
        <v/>
      </c>
      <c r="T689" s="228" t="str">
        <f>IF($P689="","",-1*ROUND(_xlfn.XLOOKUP(Tables!$N$662,'Input LwA_XYZ'!$AY$1:$BM$1,'Input LwA_XYZ'!AY28:BM28),0))</f>
        <v/>
      </c>
      <c r="U689" s="228" t="str">
        <f>IF($P689="","",IF(_xlfn.XLOOKUP(Tables!$N$662,'Input LwA_XYZ'!$BV$1:$CJ$1,'Input LwA_XYZ'!BV28:CJ28)="","-",_xlfn.XLOOKUP(Tables!$N$662,'Input LwA_XYZ'!$BV$1:$CJ$1,'Input LwA_XYZ'!BV28:CJ28)))</f>
        <v/>
      </c>
      <c r="V689" s="228" t="str">
        <f>IF($P689="","",IF('Input LwA_XYZ'!S28="","-",'Input LwA_XYZ'!S28))</f>
        <v/>
      </c>
      <c r="W689" s="229" t="str" cm="1">
        <f t="array" ref="W689">IF($P689="","",IF(_xlfn.XLOOKUP(Tables!$N$662,_xlfn.ANCHORARRAY('Input LwA_XYZ'!$DD$1),'Input LwA_XYZ'!DD28:DR28)="","-",_xlfn.XLOOKUP(Tables!$N$662,_xlfn.ANCHORARRAY('Input LwA_XYZ'!$DD$1),'Input LwA_XYZ'!DD28:DR28)))</f>
        <v/>
      </c>
      <c r="X689" s="62" t="str">
        <f>IF($P689="","",_xlfn.XLOOKUP(Tables!$N$662,'Input LwA_XYZ'!$DU$1:$EI$1,'Input LwA_XYZ'!DU28:EI28))</f>
        <v/>
      </c>
    </row>
    <row r="690" spans="16:24" ht="16.5" x14ac:dyDescent="0.3">
      <c r="P690" s="230" t="str">
        <f>IF(OR('Input LwA_XYZ'!A29 = 0, NOT(ISBLANK(_xlfn.XLOOKUP(Tables!N$662, 'Input LwA_XYZ'!CM$1:DA$1, 'Input LwA_XYZ'!CM29:DA29)))), "", 'Input LwA_XYZ'!A29)</f>
        <v/>
      </c>
      <c r="Q690" s="225" t="str">
        <f>IF($P690="","",_xlfn.TEXTJOIN(" - ",TRUE,'Input LwA_XYZ'!B29:C29))</f>
        <v/>
      </c>
      <c r="R690" s="231" t="str">
        <f>IF($P690="","",'Input LwA_XYZ'!Q29)</f>
        <v/>
      </c>
      <c r="S690" s="227" t="str">
        <f>IF($P690="","",ROUND(_xlfn.XLOOKUP(Tables!$N$662,'Input LwA_XYZ'!$AH$1:$AV$1,'Input LwA_XYZ'!AH29:AV29),0))</f>
        <v/>
      </c>
      <c r="T690" s="228" t="str">
        <f>IF($P690="","",-1*ROUND(_xlfn.XLOOKUP(Tables!$N$662,'Input LwA_XYZ'!$AY$1:$BM$1,'Input LwA_XYZ'!AY29:BM29),0))</f>
        <v/>
      </c>
      <c r="U690" s="228" t="str">
        <f>IF($P690="","",IF(_xlfn.XLOOKUP(Tables!$N$662,'Input LwA_XYZ'!$BV$1:$CJ$1,'Input LwA_XYZ'!BV29:CJ29)="","-",_xlfn.XLOOKUP(Tables!$N$662,'Input LwA_XYZ'!$BV$1:$CJ$1,'Input LwA_XYZ'!BV29:CJ29)))</f>
        <v/>
      </c>
      <c r="V690" s="228" t="str">
        <f>IF($P690="","",IF('Input LwA_XYZ'!S29="","-",'Input LwA_XYZ'!S29))</f>
        <v/>
      </c>
      <c r="W690" s="229" t="str" cm="1">
        <f t="array" ref="W690">IF($P690="","",IF(_xlfn.XLOOKUP(Tables!$N$662,_xlfn.ANCHORARRAY('Input LwA_XYZ'!$DD$1),'Input LwA_XYZ'!DD29:DR29)="","-",_xlfn.XLOOKUP(Tables!$N$662,_xlfn.ANCHORARRAY('Input LwA_XYZ'!$DD$1),'Input LwA_XYZ'!DD29:DR29)))</f>
        <v/>
      </c>
      <c r="X690" s="62" t="str">
        <f>IF($P690="","",_xlfn.XLOOKUP(Tables!$N$662,'Input LwA_XYZ'!$DU$1:$EI$1,'Input LwA_XYZ'!DU29:EI29))</f>
        <v/>
      </c>
    </row>
    <row r="691" spans="16:24" ht="16.5" x14ac:dyDescent="0.3">
      <c r="P691" s="230" t="str">
        <f>IF(OR('Input LwA_XYZ'!A30 = 0, NOT(ISBLANK(_xlfn.XLOOKUP(Tables!N$662, 'Input LwA_XYZ'!CM$1:DA$1, 'Input LwA_XYZ'!CM30:DA30)))), "", 'Input LwA_XYZ'!A30)</f>
        <v/>
      </c>
      <c r="Q691" s="225" t="str">
        <f>IF($P691="","",_xlfn.TEXTJOIN(" - ",TRUE,'Input LwA_XYZ'!B30:C30))</f>
        <v/>
      </c>
      <c r="R691" s="231" t="str">
        <f>IF($P691="","",'Input LwA_XYZ'!Q30)</f>
        <v/>
      </c>
      <c r="S691" s="227" t="str">
        <f>IF($P691="","",ROUND(_xlfn.XLOOKUP(Tables!$N$662,'Input LwA_XYZ'!$AH$1:$AV$1,'Input LwA_XYZ'!AH30:AV30),0))</f>
        <v/>
      </c>
      <c r="T691" s="228" t="str">
        <f>IF($P691="","",-1*ROUND(_xlfn.XLOOKUP(Tables!$N$662,'Input LwA_XYZ'!$AY$1:$BM$1,'Input LwA_XYZ'!AY30:BM30),0))</f>
        <v/>
      </c>
      <c r="U691" s="228" t="str">
        <f>IF($P691="","",IF(_xlfn.XLOOKUP(Tables!$N$662,'Input LwA_XYZ'!$BV$1:$CJ$1,'Input LwA_XYZ'!BV30:CJ30)="","-",_xlfn.XLOOKUP(Tables!$N$662,'Input LwA_XYZ'!$BV$1:$CJ$1,'Input LwA_XYZ'!BV30:CJ30)))</f>
        <v/>
      </c>
      <c r="V691" s="228" t="str">
        <f>IF($P691="","",IF('Input LwA_XYZ'!S30="","-",'Input LwA_XYZ'!S30))</f>
        <v/>
      </c>
      <c r="W691" s="229" t="str" cm="1">
        <f t="array" ref="W691">IF($P691="","",IF(_xlfn.XLOOKUP(Tables!$N$662,_xlfn.ANCHORARRAY('Input LwA_XYZ'!$DD$1),'Input LwA_XYZ'!DD30:DR30)="","-",_xlfn.XLOOKUP(Tables!$N$662,_xlfn.ANCHORARRAY('Input LwA_XYZ'!$DD$1),'Input LwA_XYZ'!DD30:DR30)))</f>
        <v/>
      </c>
      <c r="X691" s="62" t="str">
        <f>IF($P691="","",_xlfn.XLOOKUP(Tables!$N$662,'Input LwA_XYZ'!$DU$1:$EI$1,'Input LwA_XYZ'!DU30:EI30))</f>
        <v/>
      </c>
    </row>
    <row r="692" spans="16:24" ht="16.5" x14ac:dyDescent="0.3">
      <c r="P692" s="230" t="str">
        <f>IF(OR('Input LwA_XYZ'!A31 = 0, NOT(ISBLANK(_xlfn.XLOOKUP(Tables!N$662, 'Input LwA_XYZ'!CM$1:DA$1, 'Input LwA_XYZ'!CM31:DA31)))), "", 'Input LwA_XYZ'!A31)</f>
        <v/>
      </c>
      <c r="Q692" s="225" t="str">
        <f>IF($P692="","",_xlfn.TEXTJOIN(" - ",TRUE,'Input LwA_XYZ'!B31:C31))</f>
        <v/>
      </c>
      <c r="R692" s="231" t="str">
        <f>IF($P692="","",'Input LwA_XYZ'!Q31)</f>
        <v/>
      </c>
      <c r="S692" s="227" t="str">
        <f>IF($P692="","",ROUND(_xlfn.XLOOKUP(Tables!$N$662,'Input LwA_XYZ'!$AH$1:$AV$1,'Input LwA_XYZ'!AH31:AV31),0))</f>
        <v/>
      </c>
      <c r="T692" s="228" t="str">
        <f>IF($P692="","",-1*ROUND(_xlfn.XLOOKUP(Tables!$N$662,'Input LwA_XYZ'!$AY$1:$BM$1,'Input LwA_XYZ'!AY31:BM31),0))</f>
        <v/>
      </c>
      <c r="U692" s="228" t="str">
        <f>IF($P692="","",IF(_xlfn.XLOOKUP(Tables!$N$662,'Input LwA_XYZ'!$BV$1:$CJ$1,'Input LwA_XYZ'!BV31:CJ31)="","-",_xlfn.XLOOKUP(Tables!$N$662,'Input LwA_XYZ'!$BV$1:$CJ$1,'Input LwA_XYZ'!BV31:CJ31)))</f>
        <v/>
      </c>
      <c r="V692" s="228" t="str">
        <f>IF($P692="","",IF('Input LwA_XYZ'!S31="","-",'Input LwA_XYZ'!S31))</f>
        <v/>
      </c>
      <c r="W692" s="229" t="str" cm="1">
        <f t="array" ref="W692">IF($P692="","",IF(_xlfn.XLOOKUP(Tables!$N$662,_xlfn.ANCHORARRAY('Input LwA_XYZ'!$DD$1),'Input LwA_XYZ'!DD31:DR31)="","-",_xlfn.XLOOKUP(Tables!$N$662,_xlfn.ANCHORARRAY('Input LwA_XYZ'!$DD$1),'Input LwA_XYZ'!DD31:DR31)))</f>
        <v/>
      </c>
      <c r="X692" s="62" t="str">
        <f>IF($P692="","",_xlfn.XLOOKUP(Tables!$N$662,'Input LwA_XYZ'!$DU$1:$EI$1,'Input LwA_XYZ'!DU31:EI31))</f>
        <v/>
      </c>
    </row>
    <row r="693" spans="16:24" ht="16.5" x14ac:dyDescent="0.3">
      <c r="P693" s="230" t="str">
        <f>IF(OR('Input LwA_XYZ'!A32 = 0, NOT(ISBLANK(_xlfn.XLOOKUP(Tables!N$662, 'Input LwA_XYZ'!CM$1:DA$1, 'Input LwA_XYZ'!CM32:DA32)))), "", 'Input LwA_XYZ'!A32)</f>
        <v/>
      </c>
      <c r="Q693" s="225" t="str">
        <f>IF($P693="","",_xlfn.TEXTJOIN(" - ",TRUE,'Input LwA_XYZ'!B32:C32))</f>
        <v/>
      </c>
      <c r="R693" s="231" t="str">
        <f>IF($P693="","",'Input LwA_XYZ'!Q32)</f>
        <v/>
      </c>
      <c r="S693" s="227" t="str">
        <f>IF($P693="","",ROUND(_xlfn.XLOOKUP(Tables!$N$662,'Input LwA_XYZ'!$AH$1:$AV$1,'Input LwA_XYZ'!AH32:AV32),0))</f>
        <v/>
      </c>
      <c r="T693" s="228" t="str">
        <f>IF($P693="","",-1*ROUND(_xlfn.XLOOKUP(Tables!$N$662,'Input LwA_XYZ'!$AY$1:$BM$1,'Input LwA_XYZ'!AY32:BM32),0))</f>
        <v/>
      </c>
      <c r="U693" s="228" t="str">
        <f>IF($P693="","",IF(_xlfn.XLOOKUP(Tables!$N$662,'Input LwA_XYZ'!$BV$1:$CJ$1,'Input LwA_XYZ'!BV32:CJ32)="","-",_xlfn.XLOOKUP(Tables!$N$662,'Input LwA_XYZ'!$BV$1:$CJ$1,'Input LwA_XYZ'!BV32:CJ32)))</f>
        <v/>
      </c>
      <c r="V693" s="228" t="str">
        <f>IF($P693="","",IF('Input LwA_XYZ'!S32="","-",'Input LwA_XYZ'!S32))</f>
        <v/>
      </c>
      <c r="W693" s="229" t="str" cm="1">
        <f t="array" ref="W693">IF($P693="","",IF(_xlfn.XLOOKUP(Tables!$N$662,_xlfn.ANCHORARRAY('Input LwA_XYZ'!$DD$1),'Input LwA_XYZ'!DD32:DR32)="","-",_xlfn.XLOOKUP(Tables!$N$662,_xlfn.ANCHORARRAY('Input LwA_XYZ'!$DD$1),'Input LwA_XYZ'!DD32:DR32)))</f>
        <v/>
      </c>
      <c r="X693" s="62" t="str">
        <f>IF($P693="","",_xlfn.XLOOKUP(Tables!$N$662,'Input LwA_XYZ'!$DU$1:$EI$1,'Input LwA_XYZ'!DU32:EI32))</f>
        <v/>
      </c>
    </row>
    <row r="694" spans="16:24" ht="16.5" x14ac:dyDescent="0.3">
      <c r="P694" s="230" t="str">
        <f>IF(OR('Input LwA_XYZ'!A33 = 0, NOT(ISBLANK(_xlfn.XLOOKUP(Tables!N$662, 'Input LwA_XYZ'!CM$1:DA$1, 'Input LwA_XYZ'!CM33:DA33)))), "", 'Input LwA_XYZ'!A33)</f>
        <v/>
      </c>
      <c r="Q694" s="225" t="str">
        <f>IF($P694="","",_xlfn.TEXTJOIN(" - ",TRUE,'Input LwA_XYZ'!B33:C33))</f>
        <v/>
      </c>
      <c r="R694" s="231" t="str">
        <f>IF($P694="","",'Input LwA_XYZ'!Q33)</f>
        <v/>
      </c>
      <c r="S694" s="227" t="str">
        <f>IF($P694="","",ROUND(_xlfn.XLOOKUP(Tables!$N$662,'Input LwA_XYZ'!$AH$1:$AV$1,'Input LwA_XYZ'!AH33:AV33),0))</f>
        <v/>
      </c>
      <c r="T694" s="228" t="str">
        <f>IF($P694="","",-1*ROUND(_xlfn.XLOOKUP(Tables!$N$662,'Input LwA_XYZ'!$AY$1:$BM$1,'Input LwA_XYZ'!AY33:BM33),0))</f>
        <v/>
      </c>
      <c r="U694" s="228" t="str">
        <f>IF($P694="","",IF(_xlfn.XLOOKUP(Tables!$N$662,'Input LwA_XYZ'!$BV$1:$CJ$1,'Input LwA_XYZ'!BV33:CJ33)="","-",_xlfn.XLOOKUP(Tables!$N$662,'Input LwA_XYZ'!$BV$1:$CJ$1,'Input LwA_XYZ'!BV33:CJ33)))</f>
        <v/>
      </c>
      <c r="V694" s="228" t="str">
        <f>IF($P694="","",IF('Input LwA_XYZ'!S33="","-",'Input LwA_XYZ'!S33))</f>
        <v/>
      </c>
      <c r="W694" s="229" t="str" cm="1">
        <f t="array" ref="W694">IF($P694="","",IF(_xlfn.XLOOKUP(Tables!$N$662,_xlfn.ANCHORARRAY('Input LwA_XYZ'!$DD$1),'Input LwA_XYZ'!DD33:DR33)="","-",_xlfn.XLOOKUP(Tables!$N$662,_xlfn.ANCHORARRAY('Input LwA_XYZ'!$DD$1),'Input LwA_XYZ'!DD33:DR33)))</f>
        <v/>
      </c>
      <c r="X694" s="62" t="str">
        <f>IF($P694="","",_xlfn.XLOOKUP(Tables!$N$662,'Input LwA_XYZ'!$DU$1:$EI$1,'Input LwA_XYZ'!DU33:EI33))</f>
        <v/>
      </c>
    </row>
    <row r="695" spans="16:24" ht="16.5" x14ac:dyDescent="0.3">
      <c r="P695" s="230" t="str">
        <f>IF(OR('Input LwA_XYZ'!A34 = 0, NOT(ISBLANK(_xlfn.XLOOKUP(Tables!N$662, 'Input LwA_XYZ'!CM$1:DA$1, 'Input LwA_XYZ'!CM34:DA34)))), "", 'Input LwA_XYZ'!A34)</f>
        <v/>
      </c>
      <c r="Q695" s="225" t="str">
        <f>IF($P695="","",_xlfn.TEXTJOIN(" - ",TRUE,'Input LwA_XYZ'!B34:C34))</f>
        <v/>
      </c>
      <c r="R695" s="231" t="str">
        <f>IF($P695="","",'Input LwA_XYZ'!Q34)</f>
        <v/>
      </c>
      <c r="S695" s="227" t="str">
        <f>IF($P695="","",ROUND(_xlfn.XLOOKUP(Tables!$N$662,'Input LwA_XYZ'!$AH$1:$AV$1,'Input LwA_XYZ'!AH34:AV34),0))</f>
        <v/>
      </c>
      <c r="T695" s="228" t="str">
        <f>IF($P695="","",-1*ROUND(_xlfn.XLOOKUP(Tables!$N$662,'Input LwA_XYZ'!$AY$1:$BM$1,'Input LwA_XYZ'!AY34:BM34),0))</f>
        <v/>
      </c>
      <c r="U695" s="228" t="str">
        <f>IF($P695="","",IF(_xlfn.XLOOKUP(Tables!$N$662,'Input LwA_XYZ'!$BV$1:$CJ$1,'Input LwA_XYZ'!BV34:CJ34)="","-",_xlfn.XLOOKUP(Tables!$N$662,'Input LwA_XYZ'!$BV$1:$CJ$1,'Input LwA_XYZ'!BV34:CJ34)))</f>
        <v/>
      </c>
      <c r="V695" s="228" t="str">
        <f>IF($P695="","",IF('Input LwA_XYZ'!S34="","-",'Input LwA_XYZ'!S34))</f>
        <v/>
      </c>
      <c r="W695" s="229" t="str" cm="1">
        <f t="array" ref="W695">IF($P695="","",IF(_xlfn.XLOOKUP(Tables!$N$662,_xlfn.ANCHORARRAY('Input LwA_XYZ'!$DD$1),'Input LwA_XYZ'!DD34:DR34)="","-",_xlfn.XLOOKUP(Tables!$N$662,_xlfn.ANCHORARRAY('Input LwA_XYZ'!$DD$1),'Input LwA_XYZ'!DD34:DR34)))</f>
        <v/>
      </c>
      <c r="X695" s="62" t="str">
        <f>IF($P695="","",_xlfn.XLOOKUP(Tables!$N$662,'Input LwA_XYZ'!$DU$1:$EI$1,'Input LwA_XYZ'!DU34:EI34))</f>
        <v/>
      </c>
    </row>
    <row r="696" spans="16:24" ht="16.5" x14ac:dyDescent="0.3">
      <c r="P696" s="230" t="str">
        <f>IF(OR('Input LwA_XYZ'!A35 = 0, NOT(ISBLANK(_xlfn.XLOOKUP(Tables!N$662, 'Input LwA_XYZ'!CM$1:DA$1, 'Input LwA_XYZ'!CM35:DA35)))), "", 'Input LwA_XYZ'!A35)</f>
        <v/>
      </c>
      <c r="Q696" s="225" t="str">
        <f>IF($P696="","",_xlfn.TEXTJOIN(" - ",TRUE,'Input LwA_XYZ'!B35:C35))</f>
        <v/>
      </c>
      <c r="R696" s="231" t="str">
        <f>IF($P696="","",'Input LwA_XYZ'!Q35)</f>
        <v/>
      </c>
      <c r="S696" s="227" t="str">
        <f>IF($P696="","",ROUND(_xlfn.XLOOKUP(Tables!$N$662,'Input LwA_XYZ'!$AH$1:$AV$1,'Input LwA_XYZ'!AH35:AV35),0))</f>
        <v/>
      </c>
      <c r="T696" s="228" t="str">
        <f>IF($P696="","",-1*ROUND(_xlfn.XLOOKUP(Tables!$N$662,'Input LwA_XYZ'!$AY$1:$BM$1,'Input LwA_XYZ'!AY35:BM35),0))</f>
        <v/>
      </c>
      <c r="U696" s="228" t="str">
        <f>IF($P696="","",IF(_xlfn.XLOOKUP(Tables!$N$662,'Input LwA_XYZ'!$BV$1:$CJ$1,'Input LwA_XYZ'!BV35:CJ35)="","-",_xlfn.XLOOKUP(Tables!$N$662,'Input LwA_XYZ'!$BV$1:$CJ$1,'Input LwA_XYZ'!BV35:CJ35)))</f>
        <v/>
      </c>
      <c r="V696" s="228" t="str">
        <f>IF($P696="","",IF('Input LwA_XYZ'!S35="","-",'Input LwA_XYZ'!S35))</f>
        <v/>
      </c>
      <c r="W696" s="229" t="str" cm="1">
        <f t="array" ref="W696">IF($P696="","",IF(_xlfn.XLOOKUP(Tables!$N$662,_xlfn.ANCHORARRAY('Input LwA_XYZ'!$DD$1),'Input LwA_XYZ'!DD35:DR35)="","-",_xlfn.XLOOKUP(Tables!$N$662,_xlfn.ANCHORARRAY('Input LwA_XYZ'!$DD$1),'Input LwA_XYZ'!DD35:DR35)))</f>
        <v/>
      </c>
      <c r="X696" s="62" t="str">
        <f>IF($P696="","",_xlfn.XLOOKUP(Tables!$N$662,'Input LwA_XYZ'!$DU$1:$EI$1,'Input LwA_XYZ'!DU35:EI35))</f>
        <v/>
      </c>
    </row>
    <row r="697" spans="16:24" ht="16.5" x14ac:dyDescent="0.3">
      <c r="P697" s="230" t="str">
        <f>IF(OR('Input LwA_XYZ'!A36 = 0, NOT(ISBLANK(_xlfn.XLOOKUP(Tables!N$662, 'Input LwA_XYZ'!CM$1:DA$1, 'Input LwA_XYZ'!CM36:DA36)))), "", 'Input LwA_XYZ'!A36)</f>
        <v/>
      </c>
      <c r="Q697" s="225" t="str">
        <f>IF($P697="","",_xlfn.TEXTJOIN(" - ",TRUE,'Input LwA_XYZ'!B36:C36))</f>
        <v/>
      </c>
      <c r="R697" s="231" t="str">
        <f>IF($P697="","",'Input LwA_XYZ'!Q36)</f>
        <v/>
      </c>
      <c r="S697" s="227" t="str">
        <f>IF($P697="","",ROUND(_xlfn.XLOOKUP(Tables!$N$662,'Input LwA_XYZ'!$AH$1:$AV$1,'Input LwA_XYZ'!AH36:AV36),0))</f>
        <v/>
      </c>
      <c r="T697" s="228" t="str">
        <f>IF($P697="","",-1*ROUND(_xlfn.XLOOKUP(Tables!$N$662,'Input LwA_XYZ'!$AY$1:$BM$1,'Input LwA_XYZ'!AY36:BM36),0))</f>
        <v/>
      </c>
      <c r="U697" s="228" t="str">
        <f>IF($P697="","",IF(_xlfn.XLOOKUP(Tables!$N$662,'Input LwA_XYZ'!$BV$1:$CJ$1,'Input LwA_XYZ'!BV36:CJ36)="","-",_xlfn.XLOOKUP(Tables!$N$662,'Input LwA_XYZ'!$BV$1:$CJ$1,'Input LwA_XYZ'!BV36:CJ36)))</f>
        <v/>
      </c>
      <c r="V697" s="228" t="str">
        <f>IF($P697="","",IF('Input LwA_XYZ'!S36="","-",'Input LwA_XYZ'!S36))</f>
        <v/>
      </c>
      <c r="W697" s="229" t="str" cm="1">
        <f t="array" ref="W697">IF($P697="","",IF(_xlfn.XLOOKUP(Tables!$N$662,_xlfn.ANCHORARRAY('Input LwA_XYZ'!$DD$1),'Input LwA_XYZ'!DD36:DR36)="","-",_xlfn.XLOOKUP(Tables!$N$662,_xlfn.ANCHORARRAY('Input LwA_XYZ'!$DD$1),'Input LwA_XYZ'!DD36:DR36)))</f>
        <v/>
      </c>
      <c r="X697" s="62" t="str">
        <f>IF($P697="","",_xlfn.XLOOKUP(Tables!$N$662,'Input LwA_XYZ'!$DU$1:$EI$1,'Input LwA_XYZ'!DU36:EI36))</f>
        <v/>
      </c>
    </row>
    <row r="698" spans="16:24" ht="16.5" x14ac:dyDescent="0.3">
      <c r="P698" s="230" t="str">
        <f>IF(OR('Input LwA_XYZ'!A37 = 0, NOT(ISBLANK(_xlfn.XLOOKUP(Tables!N$662, 'Input LwA_XYZ'!CM$1:DA$1, 'Input LwA_XYZ'!CM37:DA37)))), "", 'Input LwA_XYZ'!A37)</f>
        <v/>
      </c>
      <c r="Q698" s="225" t="str">
        <f>IF($P698="","",_xlfn.TEXTJOIN(" - ",TRUE,'Input LwA_XYZ'!B37:C37))</f>
        <v/>
      </c>
      <c r="R698" s="231" t="str">
        <f>IF($P698="","",'Input LwA_XYZ'!Q37)</f>
        <v/>
      </c>
      <c r="S698" s="227" t="str">
        <f>IF($P698="","",ROUND(_xlfn.XLOOKUP(Tables!$N$662,'Input LwA_XYZ'!$AH$1:$AV$1,'Input LwA_XYZ'!AH37:AV37),0))</f>
        <v/>
      </c>
      <c r="T698" s="228" t="str">
        <f>IF($P698="","",-1*ROUND(_xlfn.XLOOKUP(Tables!$N$662,'Input LwA_XYZ'!$AY$1:$BM$1,'Input LwA_XYZ'!AY37:BM37),0))</f>
        <v/>
      </c>
      <c r="U698" s="228" t="str">
        <f>IF($P698="","",IF(_xlfn.XLOOKUP(Tables!$N$662,'Input LwA_XYZ'!$BV$1:$CJ$1,'Input LwA_XYZ'!BV37:CJ37)="","-",_xlfn.XLOOKUP(Tables!$N$662,'Input LwA_XYZ'!$BV$1:$CJ$1,'Input LwA_XYZ'!BV37:CJ37)))</f>
        <v/>
      </c>
      <c r="V698" s="228" t="str">
        <f>IF($P698="","",IF('Input LwA_XYZ'!S37="","-",'Input LwA_XYZ'!S37))</f>
        <v/>
      </c>
      <c r="W698" s="229" t="str" cm="1">
        <f t="array" ref="W698">IF($P698="","",IF(_xlfn.XLOOKUP(Tables!$N$662,_xlfn.ANCHORARRAY('Input LwA_XYZ'!$DD$1),'Input LwA_XYZ'!DD37:DR37)="","-",_xlfn.XLOOKUP(Tables!$N$662,_xlfn.ANCHORARRAY('Input LwA_XYZ'!$DD$1),'Input LwA_XYZ'!DD37:DR37)))</f>
        <v/>
      </c>
      <c r="X698" s="62" t="str">
        <f>IF($P698="","",_xlfn.XLOOKUP(Tables!$N$662,'Input LwA_XYZ'!$DU$1:$EI$1,'Input LwA_XYZ'!DU37:EI37))</f>
        <v/>
      </c>
    </row>
    <row r="699" spans="16:24" ht="16.5" x14ac:dyDescent="0.3">
      <c r="P699" s="230" t="str">
        <f>IF(OR('Input LwA_XYZ'!A38 = 0, NOT(ISBLANK(_xlfn.XLOOKUP(Tables!N$662, 'Input LwA_XYZ'!CM$1:DA$1, 'Input LwA_XYZ'!CM38:DA38)))), "", 'Input LwA_XYZ'!A38)</f>
        <v/>
      </c>
      <c r="Q699" s="225" t="str">
        <f>IF($P699="","",_xlfn.TEXTJOIN(" - ",TRUE,'Input LwA_XYZ'!B38:C38))</f>
        <v/>
      </c>
      <c r="R699" s="231" t="str">
        <f>IF($P699="","",'Input LwA_XYZ'!Q38)</f>
        <v/>
      </c>
      <c r="S699" s="227" t="str">
        <f>IF($P699="","",ROUND(_xlfn.XLOOKUP(Tables!$N$662,'Input LwA_XYZ'!$AH$1:$AV$1,'Input LwA_XYZ'!AH38:AV38),0))</f>
        <v/>
      </c>
      <c r="T699" s="228" t="str">
        <f>IF($P699="","",-1*ROUND(_xlfn.XLOOKUP(Tables!$N$662,'Input LwA_XYZ'!$AY$1:$BM$1,'Input LwA_XYZ'!AY38:BM38),0))</f>
        <v/>
      </c>
      <c r="U699" s="228" t="str">
        <f>IF($P699="","",IF(_xlfn.XLOOKUP(Tables!$N$662,'Input LwA_XYZ'!$BV$1:$CJ$1,'Input LwA_XYZ'!BV38:CJ38)="","-",_xlfn.XLOOKUP(Tables!$N$662,'Input LwA_XYZ'!$BV$1:$CJ$1,'Input LwA_XYZ'!BV38:CJ38)))</f>
        <v/>
      </c>
      <c r="V699" s="228" t="str">
        <f>IF($P699="","",IF('Input LwA_XYZ'!S38="","-",'Input LwA_XYZ'!S38))</f>
        <v/>
      </c>
      <c r="W699" s="229" t="str" cm="1">
        <f t="array" ref="W699">IF($P699="","",IF(_xlfn.XLOOKUP(Tables!$N$662,_xlfn.ANCHORARRAY('Input LwA_XYZ'!$DD$1),'Input LwA_XYZ'!DD38:DR38)="","-",_xlfn.XLOOKUP(Tables!$N$662,_xlfn.ANCHORARRAY('Input LwA_XYZ'!$DD$1),'Input LwA_XYZ'!DD38:DR38)))</f>
        <v/>
      </c>
      <c r="X699" s="62" t="str">
        <f>IF($P699="","",_xlfn.XLOOKUP(Tables!$N$662,'Input LwA_XYZ'!$DU$1:$EI$1,'Input LwA_XYZ'!DU38:EI38))</f>
        <v/>
      </c>
    </row>
    <row r="700" spans="16:24" ht="16.5" x14ac:dyDescent="0.3">
      <c r="P700" s="230" t="str">
        <f>IF(OR('Input LwA_XYZ'!A39 = 0, NOT(ISBLANK(_xlfn.XLOOKUP(Tables!N$662, 'Input LwA_XYZ'!CM$1:DA$1, 'Input LwA_XYZ'!CM39:DA39)))), "", 'Input LwA_XYZ'!A39)</f>
        <v/>
      </c>
      <c r="Q700" s="225" t="str">
        <f>IF($P700="","",_xlfn.TEXTJOIN(" - ",TRUE,'Input LwA_XYZ'!B39:C39))</f>
        <v/>
      </c>
      <c r="R700" s="231" t="str">
        <f>IF($P700="","",'Input LwA_XYZ'!Q39)</f>
        <v/>
      </c>
      <c r="S700" s="227" t="str">
        <f>IF($P700="","",ROUND(_xlfn.XLOOKUP(Tables!$N$662,'Input LwA_XYZ'!$AH$1:$AV$1,'Input LwA_XYZ'!AH39:AV39),0))</f>
        <v/>
      </c>
      <c r="T700" s="228" t="str">
        <f>IF($P700="","",-1*ROUND(_xlfn.XLOOKUP(Tables!$N$662,'Input LwA_XYZ'!$AY$1:$BM$1,'Input LwA_XYZ'!AY39:BM39),0))</f>
        <v/>
      </c>
      <c r="U700" s="228" t="str">
        <f>IF($P700="","",IF(_xlfn.XLOOKUP(Tables!$N$662,'Input LwA_XYZ'!$BV$1:$CJ$1,'Input LwA_XYZ'!BV39:CJ39)="","-",_xlfn.XLOOKUP(Tables!$N$662,'Input LwA_XYZ'!$BV$1:$CJ$1,'Input LwA_XYZ'!BV39:CJ39)))</f>
        <v/>
      </c>
      <c r="V700" s="228" t="str">
        <f>IF($P700="","",IF('Input LwA_XYZ'!S39="","-",'Input LwA_XYZ'!S39))</f>
        <v/>
      </c>
      <c r="W700" s="229" t="str" cm="1">
        <f t="array" ref="W700">IF($P700="","",IF(_xlfn.XLOOKUP(Tables!$N$662,_xlfn.ANCHORARRAY('Input LwA_XYZ'!$DD$1),'Input LwA_XYZ'!DD39:DR39)="","-",_xlfn.XLOOKUP(Tables!$N$662,_xlfn.ANCHORARRAY('Input LwA_XYZ'!$DD$1),'Input LwA_XYZ'!DD39:DR39)))</f>
        <v/>
      </c>
      <c r="X700" s="62" t="str">
        <f>IF($P700="","",_xlfn.XLOOKUP(Tables!$N$662,'Input LwA_XYZ'!$DU$1:$EI$1,'Input LwA_XYZ'!DU39:EI39))</f>
        <v/>
      </c>
    </row>
    <row r="701" spans="16:24" ht="16.5" x14ac:dyDescent="0.3">
      <c r="P701" s="230" t="str">
        <f>IF(OR('Input LwA_XYZ'!A40 = 0, NOT(ISBLANK(_xlfn.XLOOKUP(Tables!N$662, 'Input LwA_XYZ'!CM$1:DA$1, 'Input LwA_XYZ'!CM40:DA40)))), "", 'Input LwA_XYZ'!A40)</f>
        <v/>
      </c>
      <c r="Q701" s="225" t="str">
        <f>IF($P701="","",_xlfn.TEXTJOIN(" - ",TRUE,'Input LwA_XYZ'!B40:C40))</f>
        <v/>
      </c>
      <c r="R701" s="231" t="str">
        <f>IF($P701="","",'Input LwA_XYZ'!Q40)</f>
        <v/>
      </c>
      <c r="S701" s="227" t="str">
        <f>IF($P701="","",ROUND(_xlfn.XLOOKUP(Tables!$N$662,'Input LwA_XYZ'!$AH$1:$AV$1,'Input LwA_XYZ'!AH40:AV40),0))</f>
        <v/>
      </c>
      <c r="T701" s="228" t="str">
        <f>IF($P701="","",-1*ROUND(_xlfn.XLOOKUP(Tables!$N$662,'Input LwA_XYZ'!$AY$1:$BM$1,'Input LwA_XYZ'!AY40:BM40),0))</f>
        <v/>
      </c>
      <c r="U701" s="228" t="str">
        <f>IF($P701="","",IF(_xlfn.XLOOKUP(Tables!$N$662,'Input LwA_XYZ'!$BV$1:$CJ$1,'Input LwA_XYZ'!BV40:CJ40)="","-",_xlfn.XLOOKUP(Tables!$N$662,'Input LwA_XYZ'!$BV$1:$CJ$1,'Input LwA_XYZ'!BV40:CJ40)))</f>
        <v/>
      </c>
      <c r="V701" s="228" t="str">
        <f>IF($P701="","",IF('Input LwA_XYZ'!S40="","-",'Input LwA_XYZ'!S40))</f>
        <v/>
      </c>
      <c r="W701" s="229" t="str" cm="1">
        <f t="array" ref="W701">IF($P701="","",IF(_xlfn.XLOOKUP(Tables!$N$662,_xlfn.ANCHORARRAY('Input LwA_XYZ'!$DD$1),'Input LwA_XYZ'!DD40:DR40)="","-",_xlfn.XLOOKUP(Tables!$N$662,_xlfn.ANCHORARRAY('Input LwA_XYZ'!$DD$1),'Input LwA_XYZ'!DD40:DR40)))</f>
        <v/>
      </c>
      <c r="X701" s="62" t="str">
        <f>IF($P701="","",_xlfn.XLOOKUP(Tables!$N$662,'Input LwA_XYZ'!$DU$1:$EI$1,'Input LwA_XYZ'!DU40:EI40))</f>
        <v/>
      </c>
    </row>
    <row r="702" spans="16:24" ht="16.5" x14ac:dyDescent="0.3">
      <c r="P702" s="230" t="str">
        <f>IF(OR('Input LwA_XYZ'!A41 = 0, NOT(ISBLANK(_xlfn.XLOOKUP(Tables!N$662, 'Input LwA_XYZ'!CM$1:DA$1, 'Input LwA_XYZ'!CM41:DA41)))), "", 'Input LwA_XYZ'!A41)</f>
        <v/>
      </c>
      <c r="Q702" s="225" t="str">
        <f>IF($P702="","",_xlfn.TEXTJOIN(" - ",TRUE,'Input LwA_XYZ'!B41:C41))</f>
        <v/>
      </c>
      <c r="R702" s="231" t="str">
        <f>IF($P702="","",'Input LwA_XYZ'!Q41)</f>
        <v/>
      </c>
      <c r="S702" s="227" t="str">
        <f>IF($P702="","",ROUND(_xlfn.XLOOKUP(Tables!$N$662,'Input LwA_XYZ'!$AH$1:$AV$1,'Input LwA_XYZ'!AH41:AV41),0))</f>
        <v/>
      </c>
      <c r="T702" s="228" t="str">
        <f>IF($P702="","",-1*ROUND(_xlfn.XLOOKUP(Tables!$N$662,'Input LwA_XYZ'!$AY$1:$BM$1,'Input LwA_XYZ'!AY41:BM41),0))</f>
        <v/>
      </c>
      <c r="U702" s="228" t="str">
        <f>IF($P702="","",IF(_xlfn.XLOOKUP(Tables!$N$662,'Input LwA_XYZ'!$BV$1:$CJ$1,'Input LwA_XYZ'!BV41:CJ41)="","-",_xlfn.XLOOKUP(Tables!$N$662,'Input LwA_XYZ'!$BV$1:$CJ$1,'Input LwA_XYZ'!BV41:CJ41)))</f>
        <v/>
      </c>
      <c r="V702" s="228" t="str">
        <f>IF($P702="","",IF('Input LwA_XYZ'!S41="","-",'Input LwA_XYZ'!S41))</f>
        <v/>
      </c>
      <c r="W702" s="229" t="str" cm="1">
        <f t="array" ref="W702">IF($P702="","",IF(_xlfn.XLOOKUP(Tables!$N$662,_xlfn.ANCHORARRAY('Input LwA_XYZ'!$DD$1),'Input LwA_XYZ'!DD41:DR41)="","-",_xlfn.XLOOKUP(Tables!$N$662,_xlfn.ANCHORARRAY('Input LwA_XYZ'!$DD$1),'Input LwA_XYZ'!DD41:DR41)))</f>
        <v/>
      </c>
      <c r="X702" s="62" t="str">
        <f>IF($P702="","",_xlfn.XLOOKUP(Tables!$N$662,'Input LwA_XYZ'!$DU$1:$EI$1,'Input LwA_XYZ'!DU41:EI41))</f>
        <v/>
      </c>
    </row>
    <row r="703" spans="16:24" ht="16.5" x14ac:dyDescent="0.3">
      <c r="P703" s="230" t="str">
        <f>IF(OR('Input LwA_XYZ'!A42 = 0, NOT(ISBLANK(_xlfn.XLOOKUP(Tables!N$662, 'Input LwA_XYZ'!CM$1:DA$1, 'Input LwA_XYZ'!CM42:DA42)))), "", 'Input LwA_XYZ'!A42)</f>
        <v/>
      </c>
      <c r="Q703" s="225" t="str">
        <f>IF($P703="","",_xlfn.TEXTJOIN(" - ",TRUE,'Input LwA_XYZ'!B42:C42))</f>
        <v/>
      </c>
      <c r="R703" s="231" t="str">
        <f>IF($P703="","",'Input LwA_XYZ'!Q42)</f>
        <v/>
      </c>
      <c r="S703" s="227" t="str">
        <f>IF($P703="","",ROUND(_xlfn.XLOOKUP(Tables!$N$662,'Input LwA_XYZ'!$AH$1:$AV$1,'Input LwA_XYZ'!AH42:AV42),0))</f>
        <v/>
      </c>
      <c r="T703" s="228" t="str">
        <f>IF($P703="","",-1*ROUND(_xlfn.XLOOKUP(Tables!$N$662,'Input LwA_XYZ'!$AY$1:$BM$1,'Input LwA_XYZ'!AY42:BM42),0))</f>
        <v/>
      </c>
      <c r="U703" s="228" t="str">
        <f>IF($P703="","",IF(_xlfn.XLOOKUP(Tables!$N$662,'Input LwA_XYZ'!$BV$1:$CJ$1,'Input LwA_XYZ'!BV42:CJ42)="","-",_xlfn.XLOOKUP(Tables!$N$662,'Input LwA_XYZ'!$BV$1:$CJ$1,'Input LwA_XYZ'!BV42:CJ42)))</f>
        <v/>
      </c>
      <c r="V703" s="228" t="str">
        <f>IF($P703="","",IF('Input LwA_XYZ'!S42="","-",'Input LwA_XYZ'!S42))</f>
        <v/>
      </c>
      <c r="W703" s="229" t="str" cm="1">
        <f t="array" ref="W703">IF($P703="","",IF(_xlfn.XLOOKUP(Tables!$N$662,_xlfn.ANCHORARRAY('Input LwA_XYZ'!$DD$1),'Input LwA_XYZ'!DD42:DR42)="","-",_xlfn.XLOOKUP(Tables!$N$662,_xlfn.ANCHORARRAY('Input LwA_XYZ'!$DD$1),'Input LwA_XYZ'!DD42:DR42)))</f>
        <v/>
      </c>
      <c r="X703" s="62" t="str">
        <f>IF($P703="","",_xlfn.XLOOKUP(Tables!$N$662,'Input LwA_XYZ'!$DU$1:$EI$1,'Input LwA_XYZ'!DU42:EI42))</f>
        <v/>
      </c>
    </row>
    <row r="704" spans="16:24" ht="16.5" x14ac:dyDescent="0.3">
      <c r="P704" s="230" t="str">
        <f>IF(OR('Input LwA_XYZ'!A43 = 0, NOT(ISBLANK(_xlfn.XLOOKUP(Tables!N$662, 'Input LwA_XYZ'!CM$1:DA$1, 'Input LwA_XYZ'!CM43:DA43)))), "", 'Input LwA_XYZ'!A43)</f>
        <v/>
      </c>
      <c r="Q704" s="225" t="str">
        <f>IF($P704="","",_xlfn.TEXTJOIN(" - ",TRUE,'Input LwA_XYZ'!B43:C43))</f>
        <v/>
      </c>
      <c r="R704" s="231" t="str">
        <f>IF($P704="","",'Input LwA_XYZ'!Q43)</f>
        <v/>
      </c>
      <c r="S704" s="227" t="str">
        <f>IF($P704="","",ROUND(_xlfn.XLOOKUP(Tables!$N$662,'Input LwA_XYZ'!$AH$1:$AV$1,'Input LwA_XYZ'!AH43:AV43),0))</f>
        <v/>
      </c>
      <c r="T704" s="228" t="str">
        <f>IF($P704="","",-1*ROUND(_xlfn.XLOOKUP(Tables!$N$662,'Input LwA_XYZ'!$AY$1:$BM$1,'Input LwA_XYZ'!AY43:BM43),0))</f>
        <v/>
      </c>
      <c r="U704" s="228" t="str">
        <f>IF($P704="","",IF(_xlfn.XLOOKUP(Tables!$N$662,'Input LwA_XYZ'!$BV$1:$CJ$1,'Input LwA_XYZ'!BV43:CJ43)="","-",_xlfn.XLOOKUP(Tables!$N$662,'Input LwA_XYZ'!$BV$1:$CJ$1,'Input LwA_XYZ'!BV43:CJ43)))</f>
        <v/>
      </c>
      <c r="V704" s="228" t="str">
        <f>IF($P704="","",IF('Input LwA_XYZ'!S43="","-",'Input LwA_XYZ'!S43))</f>
        <v/>
      </c>
      <c r="W704" s="229" t="str" cm="1">
        <f t="array" ref="W704">IF($P704="","",IF(_xlfn.XLOOKUP(Tables!$N$662,_xlfn.ANCHORARRAY('Input LwA_XYZ'!$DD$1),'Input LwA_XYZ'!DD43:DR43)="","-",_xlfn.XLOOKUP(Tables!$N$662,_xlfn.ANCHORARRAY('Input LwA_XYZ'!$DD$1),'Input LwA_XYZ'!DD43:DR43)))</f>
        <v/>
      </c>
      <c r="X704" s="62" t="str">
        <f>IF($P704="","",_xlfn.XLOOKUP(Tables!$N$662,'Input LwA_XYZ'!$DU$1:$EI$1,'Input LwA_XYZ'!DU43:EI43))</f>
        <v/>
      </c>
    </row>
    <row r="705" spans="16:24" ht="16.5" x14ac:dyDescent="0.3">
      <c r="P705" s="230" t="str">
        <f>IF(OR('Input LwA_XYZ'!A44 = 0, NOT(ISBLANK(_xlfn.XLOOKUP(Tables!N$662, 'Input LwA_XYZ'!CM$1:DA$1, 'Input LwA_XYZ'!CM44:DA44)))), "", 'Input LwA_XYZ'!A44)</f>
        <v/>
      </c>
      <c r="Q705" s="225" t="str">
        <f>IF($P705="","",_xlfn.TEXTJOIN(" - ",TRUE,'Input LwA_XYZ'!B44:C44))</f>
        <v/>
      </c>
      <c r="R705" s="231" t="str">
        <f>IF($P705="","",'Input LwA_XYZ'!Q44)</f>
        <v/>
      </c>
      <c r="S705" s="227" t="str">
        <f>IF($P705="","",ROUND(_xlfn.XLOOKUP(Tables!$N$662,'Input LwA_XYZ'!$AH$1:$AV$1,'Input LwA_XYZ'!AH44:AV44),0))</f>
        <v/>
      </c>
      <c r="T705" s="228" t="str">
        <f>IF($P705="","",-1*ROUND(_xlfn.XLOOKUP(Tables!$N$662,'Input LwA_XYZ'!$AY$1:$BM$1,'Input LwA_XYZ'!AY44:BM44),0))</f>
        <v/>
      </c>
      <c r="U705" s="228" t="str">
        <f>IF($P705="","",IF(_xlfn.XLOOKUP(Tables!$N$662,'Input LwA_XYZ'!$BV$1:$CJ$1,'Input LwA_XYZ'!BV44:CJ44)="","-",_xlfn.XLOOKUP(Tables!$N$662,'Input LwA_XYZ'!$BV$1:$CJ$1,'Input LwA_XYZ'!BV44:CJ44)))</f>
        <v/>
      </c>
      <c r="V705" s="228" t="str">
        <f>IF($P705="","",IF('Input LwA_XYZ'!S44="","-",'Input LwA_XYZ'!S44))</f>
        <v/>
      </c>
      <c r="W705" s="229" t="str" cm="1">
        <f t="array" ref="W705">IF($P705="","",IF(_xlfn.XLOOKUP(Tables!$N$662,_xlfn.ANCHORARRAY('Input LwA_XYZ'!$DD$1),'Input LwA_XYZ'!DD44:DR44)="","-",_xlfn.XLOOKUP(Tables!$N$662,_xlfn.ANCHORARRAY('Input LwA_XYZ'!$DD$1),'Input LwA_XYZ'!DD44:DR44)))</f>
        <v/>
      </c>
      <c r="X705" s="62" t="str">
        <f>IF($P705="","",_xlfn.XLOOKUP(Tables!$N$662,'Input LwA_XYZ'!$DU$1:$EI$1,'Input LwA_XYZ'!DU44:EI44))</f>
        <v/>
      </c>
    </row>
    <row r="706" spans="16:24" ht="16.5" x14ac:dyDescent="0.3">
      <c r="P706" s="230" t="str">
        <f>IF(OR('Input LwA_XYZ'!A45 = 0, NOT(ISBLANK(_xlfn.XLOOKUP(Tables!N$662, 'Input LwA_XYZ'!CM$1:DA$1, 'Input LwA_XYZ'!CM45:DA45)))), "", 'Input LwA_XYZ'!A45)</f>
        <v/>
      </c>
      <c r="Q706" s="225" t="str">
        <f>IF($P706="","",_xlfn.TEXTJOIN(" - ",TRUE,'Input LwA_XYZ'!B45:C45))</f>
        <v/>
      </c>
      <c r="R706" s="231" t="str">
        <f>IF($P706="","",'Input LwA_XYZ'!Q45)</f>
        <v/>
      </c>
      <c r="S706" s="227" t="str">
        <f>IF($P706="","",ROUND(_xlfn.XLOOKUP(Tables!$N$662,'Input LwA_XYZ'!$AH$1:$AV$1,'Input LwA_XYZ'!AH45:AV45),0))</f>
        <v/>
      </c>
      <c r="T706" s="228" t="str">
        <f>IF($P706="","",-1*ROUND(_xlfn.XLOOKUP(Tables!$N$662,'Input LwA_XYZ'!$AY$1:$BM$1,'Input LwA_XYZ'!AY45:BM45),0))</f>
        <v/>
      </c>
      <c r="U706" s="228" t="str">
        <f>IF($P706="","",IF(_xlfn.XLOOKUP(Tables!$N$662,'Input LwA_XYZ'!$BV$1:$CJ$1,'Input LwA_XYZ'!BV45:CJ45)="","-",_xlfn.XLOOKUP(Tables!$N$662,'Input LwA_XYZ'!$BV$1:$CJ$1,'Input LwA_XYZ'!BV45:CJ45)))</f>
        <v/>
      </c>
      <c r="V706" s="228" t="str">
        <f>IF($P706="","",IF('Input LwA_XYZ'!S45="","-",'Input LwA_XYZ'!S45))</f>
        <v/>
      </c>
      <c r="W706" s="229" t="str" cm="1">
        <f t="array" ref="W706">IF($P706="","",IF(_xlfn.XLOOKUP(Tables!$N$662,_xlfn.ANCHORARRAY('Input LwA_XYZ'!$DD$1),'Input LwA_XYZ'!DD45:DR45)="","-",_xlfn.XLOOKUP(Tables!$N$662,_xlfn.ANCHORARRAY('Input LwA_XYZ'!$DD$1),'Input LwA_XYZ'!DD45:DR45)))</f>
        <v/>
      </c>
      <c r="X706" s="62" t="str">
        <f>IF($P706="","",_xlfn.XLOOKUP(Tables!$N$662,'Input LwA_XYZ'!$DU$1:$EI$1,'Input LwA_XYZ'!DU45:EI45))</f>
        <v/>
      </c>
    </row>
    <row r="707" spans="16:24" ht="16.5" x14ac:dyDescent="0.3">
      <c r="P707" s="230" t="str">
        <f>IF(OR('Input LwA_XYZ'!A46 = 0, NOT(ISBLANK(_xlfn.XLOOKUP(Tables!N$662, 'Input LwA_XYZ'!CM$1:DA$1, 'Input LwA_XYZ'!CM46:DA46)))), "", 'Input LwA_XYZ'!A46)</f>
        <v/>
      </c>
      <c r="Q707" s="225" t="str">
        <f>IF($P707="","",_xlfn.TEXTJOIN(" - ",TRUE,'Input LwA_XYZ'!B46:C46))</f>
        <v/>
      </c>
      <c r="R707" s="231" t="str">
        <f>IF($P707="","",'Input LwA_XYZ'!Q46)</f>
        <v/>
      </c>
      <c r="S707" s="227" t="str">
        <f>IF($P707="","",ROUND(_xlfn.XLOOKUP(Tables!$N$662,'Input LwA_XYZ'!$AH$1:$AV$1,'Input LwA_XYZ'!AH46:AV46),0))</f>
        <v/>
      </c>
      <c r="T707" s="228" t="str">
        <f>IF($P707="","",-1*ROUND(_xlfn.XLOOKUP(Tables!$N$662,'Input LwA_XYZ'!$AY$1:$BM$1,'Input LwA_XYZ'!AY46:BM46),0))</f>
        <v/>
      </c>
      <c r="U707" s="228" t="str">
        <f>IF($P707="","",IF(_xlfn.XLOOKUP(Tables!$N$662,'Input LwA_XYZ'!$BV$1:$CJ$1,'Input LwA_XYZ'!BV46:CJ46)="","-",_xlfn.XLOOKUP(Tables!$N$662,'Input LwA_XYZ'!$BV$1:$CJ$1,'Input LwA_XYZ'!BV46:CJ46)))</f>
        <v/>
      </c>
      <c r="V707" s="228" t="str">
        <f>IF($P707="","",IF('Input LwA_XYZ'!S46="","-",'Input LwA_XYZ'!S46))</f>
        <v/>
      </c>
      <c r="W707" s="229" t="str" cm="1">
        <f t="array" ref="W707">IF($P707="","",IF(_xlfn.XLOOKUP(Tables!$N$662,_xlfn.ANCHORARRAY('Input LwA_XYZ'!$DD$1),'Input LwA_XYZ'!DD46:DR46)="","-",_xlfn.XLOOKUP(Tables!$N$662,_xlfn.ANCHORARRAY('Input LwA_XYZ'!$DD$1),'Input LwA_XYZ'!DD46:DR46)))</f>
        <v/>
      </c>
      <c r="X707" s="62" t="str">
        <f>IF($P707="","",_xlfn.XLOOKUP(Tables!$N$662,'Input LwA_XYZ'!$DU$1:$EI$1,'Input LwA_XYZ'!DU46:EI46))</f>
        <v/>
      </c>
    </row>
    <row r="708" spans="16:24" ht="16.5" x14ac:dyDescent="0.3">
      <c r="P708" s="230" t="str">
        <f>IF(OR('Input LwA_XYZ'!A47 = 0, NOT(ISBLANK(_xlfn.XLOOKUP(Tables!N$662, 'Input LwA_XYZ'!CM$1:DA$1, 'Input LwA_XYZ'!CM47:DA47)))), "", 'Input LwA_XYZ'!A47)</f>
        <v/>
      </c>
      <c r="Q708" s="225" t="str">
        <f>IF($P708="","",_xlfn.TEXTJOIN(" - ",TRUE,'Input LwA_XYZ'!B47:C47))</f>
        <v/>
      </c>
      <c r="R708" s="231" t="str">
        <f>IF($P708="","",'Input LwA_XYZ'!Q47)</f>
        <v/>
      </c>
      <c r="S708" s="227" t="str">
        <f>IF($P708="","",ROUND(_xlfn.XLOOKUP(Tables!$N$662,'Input LwA_XYZ'!$AH$1:$AV$1,'Input LwA_XYZ'!AH47:AV47),0))</f>
        <v/>
      </c>
      <c r="T708" s="228" t="str">
        <f>IF($P708="","",-1*ROUND(_xlfn.XLOOKUP(Tables!$N$662,'Input LwA_XYZ'!$AY$1:$BM$1,'Input LwA_XYZ'!AY47:BM47),0))</f>
        <v/>
      </c>
      <c r="U708" s="228" t="str">
        <f>IF($P708="","",IF(_xlfn.XLOOKUP(Tables!$N$662,'Input LwA_XYZ'!$BV$1:$CJ$1,'Input LwA_XYZ'!BV47:CJ47)="","-",_xlfn.XLOOKUP(Tables!$N$662,'Input LwA_XYZ'!$BV$1:$CJ$1,'Input LwA_XYZ'!BV47:CJ47)))</f>
        <v/>
      </c>
      <c r="V708" s="228" t="str">
        <f>IF($P708="","",IF('Input LwA_XYZ'!S47="","-",'Input LwA_XYZ'!S47))</f>
        <v/>
      </c>
      <c r="W708" s="229" t="str" cm="1">
        <f t="array" ref="W708">IF($P708="","",IF(_xlfn.XLOOKUP(Tables!$N$662,_xlfn.ANCHORARRAY('Input LwA_XYZ'!$DD$1),'Input LwA_XYZ'!DD47:DR47)="","-",_xlfn.XLOOKUP(Tables!$N$662,_xlfn.ANCHORARRAY('Input LwA_XYZ'!$DD$1),'Input LwA_XYZ'!DD47:DR47)))</f>
        <v/>
      </c>
      <c r="X708" s="62" t="str">
        <f>IF($P708="","",_xlfn.XLOOKUP(Tables!$N$662,'Input LwA_XYZ'!$DU$1:$EI$1,'Input LwA_XYZ'!DU47:EI47))</f>
        <v/>
      </c>
    </row>
    <row r="709" spans="16:24" ht="16.5" x14ac:dyDescent="0.3">
      <c r="P709" s="230" t="str">
        <f>IF(OR('Input LwA_XYZ'!A48 = 0, NOT(ISBLANK(_xlfn.XLOOKUP(Tables!N$662, 'Input LwA_XYZ'!CM$1:DA$1, 'Input LwA_XYZ'!CM48:DA48)))), "", 'Input LwA_XYZ'!A48)</f>
        <v/>
      </c>
      <c r="Q709" s="225" t="str">
        <f>IF($P709="","",_xlfn.TEXTJOIN(" - ",TRUE,'Input LwA_XYZ'!B48:C48))</f>
        <v/>
      </c>
      <c r="R709" s="231" t="str">
        <f>IF($P709="","",'Input LwA_XYZ'!Q48)</f>
        <v/>
      </c>
      <c r="S709" s="227" t="str">
        <f>IF($P709="","",ROUND(_xlfn.XLOOKUP(Tables!$N$662,'Input LwA_XYZ'!$AH$1:$AV$1,'Input LwA_XYZ'!AH48:AV48),0))</f>
        <v/>
      </c>
      <c r="T709" s="228" t="str">
        <f>IF($P709="","",-1*ROUND(_xlfn.XLOOKUP(Tables!$N$662,'Input LwA_XYZ'!$AY$1:$BM$1,'Input LwA_XYZ'!AY48:BM48),0))</f>
        <v/>
      </c>
      <c r="U709" s="228" t="str">
        <f>IF($P709="","",IF(_xlfn.XLOOKUP(Tables!$N$662,'Input LwA_XYZ'!$BV$1:$CJ$1,'Input LwA_XYZ'!BV48:CJ48)="","-",_xlfn.XLOOKUP(Tables!$N$662,'Input LwA_XYZ'!$BV$1:$CJ$1,'Input LwA_XYZ'!BV48:CJ48)))</f>
        <v/>
      </c>
      <c r="V709" s="228" t="str">
        <f>IF($P709="","",IF('Input LwA_XYZ'!S48="","-",'Input LwA_XYZ'!S48))</f>
        <v/>
      </c>
      <c r="W709" s="229" t="str" cm="1">
        <f t="array" ref="W709">IF($P709="","",IF(_xlfn.XLOOKUP(Tables!$N$662,_xlfn.ANCHORARRAY('Input LwA_XYZ'!$DD$1),'Input LwA_XYZ'!DD48:DR48)="","-",_xlfn.XLOOKUP(Tables!$N$662,_xlfn.ANCHORARRAY('Input LwA_XYZ'!$DD$1),'Input LwA_XYZ'!DD48:DR48)))</f>
        <v/>
      </c>
      <c r="X709" s="62" t="str">
        <f>IF($P709="","",_xlfn.XLOOKUP(Tables!$N$662,'Input LwA_XYZ'!$DU$1:$EI$1,'Input LwA_XYZ'!DU48:EI48))</f>
        <v/>
      </c>
    </row>
    <row r="710" spans="16:24" ht="16.5" x14ac:dyDescent="0.3">
      <c r="P710" s="230" t="str">
        <f>IF(OR('Input LwA_XYZ'!A49 = 0, NOT(ISBLANK(_xlfn.XLOOKUP(Tables!N$662, 'Input LwA_XYZ'!CM$1:DA$1, 'Input LwA_XYZ'!CM49:DA49)))), "", 'Input LwA_XYZ'!A49)</f>
        <v/>
      </c>
      <c r="Q710" s="225" t="str">
        <f>IF($P710="","",_xlfn.TEXTJOIN(" - ",TRUE,'Input LwA_XYZ'!B49:C49))</f>
        <v/>
      </c>
      <c r="R710" s="231" t="str">
        <f>IF($P710="","",'Input LwA_XYZ'!Q49)</f>
        <v/>
      </c>
      <c r="S710" s="227" t="str">
        <f>IF($P710="","",ROUND(_xlfn.XLOOKUP(Tables!$N$662,'Input LwA_XYZ'!$AH$1:$AV$1,'Input LwA_XYZ'!AH49:AV49),0))</f>
        <v/>
      </c>
      <c r="T710" s="228" t="str">
        <f>IF($P710="","",-1*ROUND(_xlfn.XLOOKUP(Tables!$N$662,'Input LwA_XYZ'!$AY$1:$BM$1,'Input LwA_XYZ'!AY49:BM49),0))</f>
        <v/>
      </c>
      <c r="U710" s="228" t="str">
        <f>IF($P710="","",IF(_xlfn.XLOOKUP(Tables!$N$662,'Input LwA_XYZ'!$BV$1:$CJ$1,'Input LwA_XYZ'!BV49:CJ49)="","-",_xlfn.XLOOKUP(Tables!$N$662,'Input LwA_XYZ'!$BV$1:$CJ$1,'Input LwA_XYZ'!BV49:CJ49)))</f>
        <v/>
      </c>
      <c r="V710" s="228" t="str">
        <f>IF($P710="","",IF('Input LwA_XYZ'!S49="","-",'Input LwA_XYZ'!S49))</f>
        <v/>
      </c>
      <c r="W710" s="229" t="str" cm="1">
        <f t="array" ref="W710">IF($P710="","",IF(_xlfn.XLOOKUP(Tables!$N$662,_xlfn.ANCHORARRAY('Input LwA_XYZ'!$DD$1),'Input LwA_XYZ'!DD49:DR49)="","-",_xlfn.XLOOKUP(Tables!$N$662,_xlfn.ANCHORARRAY('Input LwA_XYZ'!$DD$1),'Input LwA_XYZ'!DD49:DR49)))</f>
        <v/>
      </c>
      <c r="X710" s="62" t="str">
        <f>IF($P710="","",_xlfn.XLOOKUP(Tables!$N$662,'Input LwA_XYZ'!$DU$1:$EI$1,'Input LwA_XYZ'!DU49:EI49))</f>
        <v/>
      </c>
    </row>
    <row r="711" spans="16:24" ht="16.5" x14ac:dyDescent="0.3">
      <c r="P711" s="230" t="str">
        <f>IF(OR('Input LwA_XYZ'!A50 = 0, NOT(ISBLANK(_xlfn.XLOOKUP(Tables!N$662, 'Input LwA_XYZ'!CM$1:DA$1, 'Input LwA_XYZ'!CM50:DA50)))), "", 'Input LwA_XYZ'!A50)</f>
        <v/>
      </c>
      <c r="Q711" s="225" t="str">
        <f>IF($P711="","",_xlfn.TEXTJOIN(" - ",TRUE,'Input LwA_XYZ'!B50:C50))</f>
        <v/>
      </c>
      <c r="R711" s="231" t="str">
        <f>IF($P711="","",'Input LwA_XYZ'!Q50)</f>
        <v/>
      </c>
      <c r="S711" s="227" t="str">
        <f>IF($P711="","",ROUND(_xlfn.XLOOKUP(Tables!$N$662,'Input LwA_XYZ'!$AH$1:$AV$1,'Input LwA_XYZ'!AH50:AV50),0))</f>
        <v/>
      </c>
      <c r="T711" s="228" t="str">
        <f>IF($P711="","",-1*ROUND(_xlfn.XLOOKUP(Tables!$N$662,'Input LwA_XYZ'!$AY$1:$BM$1,'Input LwA_XYZ'!AY50:BM50),0))</f>
        <v/>
      </c>
      <c r="U711" s="228" t="str">
        <f>IF($P711="","",IF(_xlfn.XLOOKUP(Tables!$N$662,'Input LwA_XYZ'!$BV$1:$CJ$1,'Input LwA_XYZ'!BV50:CJ50)="","-",_xlfn.XLOOKUP(Tables!$N$662,'Input LwA_XYZ'!$BV$1:$CJ$1,'Input LwA_XYZ'!BV50:CJ50)))</f>
        <v/>
      </c>
      <c r="V711" s="228" t="str">
        <f>IF($P711="","",IF('Input LwA_XYZ'!S50="","-",'Input LwA_XYZ'!S50))</f>
        <v/>
      </c>
      <c r="W711" s="229" t="str" cm="1">
        <f t="array" ref="W711">IF($P711="","",IF(_xlfn.XLOOKUP(Tables!$N$662,_xlfn.ANCHORARRAY('Input LwA_XYZ'!$DD$1),'Input LwA_XYZ'!DD50:DR50)="","-",_xlfn.XLOOKUP(Tables!$N$662,_xlfn.ANCHORARRAY('Input LwA_XYZ'!$DD$1),'Input LwA_XYZ'!DD50:DR50)))</f>
        <v/>
      </c>
      <c r="X711" s="62" t="str">
        <f>IF($P711="","",_xlfn.XLOOKUP(Tables!$N$662,'Input LwA_XYZ'!$DU$1:$EI$1,'Input LwA_XYZ'!DU50:EI50))</f>
        <v/>
      </c>
    </row>
    <row r="712" spans="16:24" ht="16.5" x14ac:dyDescent="0.3">
      <c r="P712" s="230" t="str">
        <f>IF(OR('Input LwA_XYZ'!A51 = 0, NOT(ISBLANK(_xlfn.XLOOKUP(Tables!N$662, 'Input LwA_XYZ'!CM$1:DA$1, 'Input LwA_XYZ'!CM51:DA51)))), "", 'Input LwA_XYZ'!A51)</f>
        <v/>
      </c>
      <c r="Q712" s="225" t="str">
        <f>IF($P712="","",_xlfn.TEXTJOIN(" - ",TRUE,'Input LwA_XYZ'!B51:C51))</f>
        <v/>
      </c>
      <c r="R712" s="231" t="str">
        <f>IF($P712="","",'Input LwA_XYZ'!Q51)</f>
        <v/>
      </c>
      <c r="S712" s="227" t="str">
        <f>IF($P712="","",ROUND(_xlfn.XLOOKUP(Tables!$N$662,'Input LwA_XYZ'!$AH$1:$AV$1,'Input LwA_XYZ'!AH51:AV51),0))</f>
        <v/>
      </c>
      <c r="T712" s="228" t="str">
        <f>IF($P712="","",-1*ROUND(_xlfn.XLOOKUP(Tables!$N$662,'Input LwA_XYZ'!$AY$1:$BM$1,'Input LwA_XYZ'!AY51:BM51),0))</f>
        <v/>
      </c>
      <c r="U712" s="228" t="str">
        <f>IF($P712="","",IF(_xlfn.XLOOKUP(Tables!$N$662,'Input LwA_XYZ'!$BV$1:$CJ$1,'Input LwA_XYZ'!BV51:CJ51)="","-",_xlfn.XLOOKUP(Tables!$N$662,'Input LwA_XYZ'!$BV$1:$CJ$1,'Input LwA_XYZ'!BV51:CJ51)))</f>
        <v/>
      </c>
      <c r="V712" s="228" t="str">
        <f>IF($P712="","",IF('Input LwA_XYZ'!S51="","-",'Input LwA_XYZ'!S51))</f>
        <v/>
      </c>
      <c r="W712" s="229" t="str" cm="1">
        <f t="array" ref="W712">IF($P712="","",IF(_xlfn.XLOOKUP(Tables!$N$662,_xlfn.ANCHORARRAY('Input LwA_XYZ'!$DD$1),'Input LwA_XYZ'!DD51:DR51)="","-",_xlfn.XLOOKUP(Tables!$N$662,_xlfn.ANCHORARRAY('Input LwA_XYZ'!$DD$1),'Input LwA_XYZ'!DD51:DR51)))</f>
        <v/>
      </c>
      <c r="X712" s="62" t="str">
        <f>IF($P712="","",_xlfn.XLOOKUP(Tables!$N$662,'Input LwA_XYZ'!$DU$1:$EI$1,'Input LwA_XYZ'!DU51:EI51))</f>
        <v/>
      </c>
    </row>
    <row r="713" spans="16:24" ht="16.5" x14ac:dyDescent="0.3">
      <c r="P713" s="230" t="str">
        <f>IF(OR('Input LwA_XYZ'!A52 = 0, NOT(ISBLANK(_xlfn.XLOOKUP(Tables!N$662, 'Input LwA_XYZ'!CM$1:DA$1, 'Input LwA_XYZ'!CM52:DA52)))), "", 'Input LwA_XYZ'!A52)</f>
        <v/>
      </c>
      <c r="Q713" s="225" t="str">
        <f>IF($P713="","",_xlfn.TEXTJOIN(" - ",TRUE,'Input LwA_XYZ'!B52:C52))</f>
        <v/>
      </c>
      <c r="R713" s="231" t="str">
        <f>IF($P713="","",'Input LwA_XYZ'!Q52)</f>
        <v/>
      </c>
      <c r="S713" s="227" t="str">
        <f>IF($P713="","",ROUND(_xlfn.XLOOKUP(Tables!$N$662,'Input LwA_XYZ'!$AH$1:$AV$1,'Input LwA_XYZ'!AH52:AV52),0))</f>
        <v/>
      </c>
      <c r="T713" s="228" t="str">
        <f>IF($P713="","",-1*ROUND(_xlfn.XLOOKUP(Tables!$N$662,'Input LwA_XYZ'!$AY$1:$BM$1,'Input LwA_XYZ'!AY52:BM52),0))</f>
        <v/>
      </c>
      <c r="U713" s="228" t="str">
        <f>IF($P713="","",IF(_xlfn.XLOOKUP(Tables!$N$662,'Input LwA_XYZ'!$BV$1:$CJ$1,'Input LwA_XYZ'!BV52:CJ52)="","-",_xlfn.XLOOKUP(Tables!$N$662,'Input LwA_XYZ'!$BV$1:$CJ$1,'Input LwA_XYZ'!BV52:CJ52)))</f>
        <v/>
      </c>
      <c r="V713" s="228" t="str">
        <f>IF($P713="","",IF('Input LwA_XYZ'!S52="","-",'Input LwA_XYZ'!S52))</f>
        <v/>
      </c>
      <c r="W713" s="229" t="str" cm="1">
        <f t="array" ref="W713">IF($P713="","",IF(_xlfn.XLOOKUP(Tables!$N$662,_xlfn.ANCHORARRAY('Input LwA_XYZ'!$DD$1),'Input LwA_XYZ'!DD52:DR52)="","-",_xlfn.XLOOKUP(Tables!$N$662,_xlfn.ANCHORARRAY('Input LwA_XYZ'!$DD$1),'Input LwA_XYZ'!DD52:DR52)))</f>
        <v/>
      </c>
      <c r="X713" s="62" t="str">
        <f>IF($P713="","",_xlfn.XLOOKUP(Tables!$N$662,'Input LwA_XYZ'!$DU$1:$EI$1,'Input LwA_XYZ'!DU52:EI52))</f>
        <v/>
      </c>
    </row>
    <row r="714" spans="16:24" ht="16.5" x14ac:dyDescent="0.3">
      <c r="P714" s="230" t="str">
        <f>IF(OR('Input LwA_XYZ'!A53 = 0, NOT(ISBLANK(_xlfn.XLOOKUP(Tables!N$662, 'Input LwA_XYZ'!CM$1:DA$1, 'Input LwA_XYZ'!CM53:DA53)))), "", 'Input LwA_XYZ'!A53)</f>
        <v/>
      </c>
      <c r="Q714" s="225" t="str">
        <f>IF($P714="","",_xlfn.TEXTJOIN(" - ",TRUE,'Input LwA_XYZ'!B53:C53))</f>
        <v/>
      </c>
      <c r="R714" s="231" t="str">
        <f>IF($P714="","",'Input LwA_XYZ'!Q53)</f>
        <v/>
      </c>
      <c r="S714" s="227" t="str">
        <f>IF($P714="","",ROUND(_xlfn.XLOOKUP(Tables!$N$662,'Input LwA_XYZ'!$AH$1:$AV$1,'Input LwA_XYZ'!AH53:AV53),0))</f>
        <v/>
      </c>
      <c r="T714" s="228" t="str">
        <f>IF($P714="","",-1*ROUND(_xlfn.XLOOKUP(Tables!$N$662,'Input LwA_XYZ'!$AY$1:$BM$1,'Input LwA_XYZ'!AY53:BM53),0))</f>
        <v/>
      </c>
      <c r="U714" s="228" t="str">
        <f>IF($P714="","",IF(_xlfn.XLOOKUP(Tables!$N$662,'Input LwA_XYZ'!$BV$1:$CJ$1,'Input LwA_XYZ'!BV53:CJ53)="","-",_xlfn.XLOOKUP(Tables!$N$662,'Input LwA_XYZ'!$BV$1:$CJ$1,'Input LwA_XYZ'!BV53:CJ53)))</f>
        <v/>
      </c>
      <c r="V714" s="228" t="str">
        <f>IF($P714="","",IF('Input LwA_XYZ'!S53="","-",'Input LwA_XYZ'!S53))</f>
        <v/>
      </c>
      <c r="W714" s="229" t="str" cm="1">
        <f t="array" ref="W714">IF($P714="","",IF(_xlfn.XLOOKUP(Tables!$N$662,_xlfn.ANCHORARRAY('Input LwA_XYZ'!$DD$1),'Input LwA_XYZ'!DD53:DR53)="","-",_xlfn.XLOOKUP(Tables!$N$662,_xlfn.ANCHORARRAY('Input LwA_XYZ'!$DD$1),'Input LwA_XYZ'!DD53:DR53)))</f>
        <v/>
      </c>
      <c r="X714" s="62" t="str">
        <f>IF($P714="","",_xlfn.XLOOKUP(Tables!$N$662,'Input LwA_XYZ'!$DU$1:$EI$1,'Input LwA_XYZ'!DU53:EI53))</f>
        <v/>
      </c>
    </row>
    <row r="715" spans="16:24" ht="16.5" x14ac:dyDescent="0.3">
      <c r="P715" s="230" t="str">
        <f>IF(OR('Input LwA_XYZ'!A54 = 0, NOT(ISBLANK(_xlfn.XLOOKUP(Tables!N$662, 'Input LwA_XYZ'!CM$1:DA$1, 'Input LwA_XYZ'!CM54:DA54)))), "", 'Input LwA_XYZ'!A54)</f>
        <v/>
      </c>
      <c r="Q715" s="225" t="str">
        <f>IF($P715="","",_xlfn.TEXTJOIN(" - ",TRUE,'Input LwA_XYZ'!B54:C54))</f>
        <v/>
      </c>
      <c r="R715" s="231" t="str">
        <f>IF($P715="","",'Input LwA_XYZ'!Q54)</f>
        <v/>
      </c>
      <c r="S715" s="227" t="str">
        <f>IF($P715="","",ROUND(_xlfn.XLOOKUP(Tables!$N$662,'Input LwA_XYZ'!$AH$1:$AV$1,'Input LwA_XYZ'!AH54:AV54),0))</f>
        <v/>
      </c>
      <c r="T715" s="228" t="str">
        <f>IF($P715="","",-1*ROUND(_xlfn.XLOOKUP(Tables!$N$662,'Input LwA_XYZ'!$AY$1:$BM$1,'Input LwA_XYZ'!AY54:BM54),0))</f>
        <v/>
      </c>
      <c r="U715" s="228" t="str">
        <f>IF($P715="","",IF(_xlfn.XLOOKUP(Tables!$N$662,'Input LwA_XYZ'!$BV$1:$CJ$1,'Input LwA_XYZ'!BV54:CJ54)="","-",_xlfn.XLOOKUP(Tables!$N$662,'Input LwA_XYZ'!$BV$1:$CJ$1,'Input LwA_XYZ'!BV54:CJ54)))</f>
        <v/>
      </c>
      <c r="V715" s="228" t="str">
        <f>IF($P715="","",IF('Input LwA_XYZ'!S54="","-",'Input LwA_XYZ'!S54))</f>
        <v/>
      </c>
      <c r="W715" s="229" t="str" cm="1">
        <f t="array" ref="W715">IF($P715="","",IF(_xlfn.XLOOKUP(Tables!$N$662,_xlfn.ANCHORARRAY('Input LwA_XYZ'!$DD$1),'Input LwA_XYZ'!DD54:DR54)="","-",_xlfn.XLOOKUP(Tables!$N$662,_xlfn.ANCHORARRAY('Input LwA_XYZ'!$DD$1),'Input LwA_XYZ'!DD54:DR54)))</f>
        <v/>
      </c>
      <c r="X715" s="62" t="str">
        <f>IF($P715="","",_xlfn.XLOOKUP(Tables!$N$662,'Input LwA_XYZ'!$DU$1:$EI$1,'Input LwA_XYZ'!DU54:EI54))</f>
        <v/>
      </c>
    </row>
    <row r="716" spans="16:24" ht="16.5" x14ac:dyDescent="0.3">
      <c r="P716" s="230" t="str">
        <f>IF(OR('Input LwA_XYZ'!A55 = 0, NOT(ISBLANK(_xlfn.XLOOKUP(Tables!N$662, 'Input LwA_XYZ'!CM$1:DA$1, 'Input LwA_XYZ'!CM55:DA55)))), "", 'Input LwA_XYZ'!A55)</f>
        <v/>
      </c>
      <c r="Q716" s="225" t="str">
        <f>IF($P716="","",_xlfn.TEXTJOIN(" - ",TRUE,'Input LwA_XYZ'!B55:C55))</f>
        <v/>
      </c>
      <c r="R716" s="231" t="str">
        <f>IF($P716="","",'Input LwA_XYZ'!Q55)</f>
        <v/>
      </c>
      <c r="S716" s="227" t="str">
        <f>IF($P716="","",ROUND(_xlfn.XLOOKUP(Tables!$N$662,'Input LwA_XYZ'!$AH$1:$AV$1,'Input LwA_XYZ'!AH55:AV55),0))</f>
        <v/>
      </c>
      <c r="T716" s="228" t="str">
        <f>IF($P716="","",-1*ROUND(_xlfn.XLOOKUP(Tables!$N$662,'Input LwA_XYZ'!$AY$1:$BM$1,'Input LwA_XYZ'!AY55:BM55),0))</f>
        <v/>
      </c>
      <c r="U716" s="228" t="str">
        <f>IF($P716="","",IF(_xlfn.XLOOKUP(Tables!$N$662,'Input LwA_XYZ'!$BV$1:$CJ$1,'Input LwA_XYZ'!BV55:CJ55)="","-",_xlfn.XLOOKUP(Tables!$N$662,'Input LwA_XYZ'!$BV$1:$CJ$1,'Input LwA_XYZ'!BV55:CJ55)))</f>
        <v/>
      </c>
      <c r="V716" s="228" t="str">
        <f>IF($P716="","",IF('Input LwA_XYZ'!S55="","-",'Input LwA_XYZ'!S55))</f>
        <v/>
      </c>
      <c r="W716" s="229" t="str" cm="1">
        <f t="array" ref="W716">IF($P716="","",IF(_xlfn.XLOOKUP(Tables!$N$662,_xlfn.ANCHORARRAY('Input LwA_XYZ'!$DD$1),'Input LwA_XYZ'!DD55:DR55)="","-",_xlfn.XLOOKUP(Tables!$N$662,_xlfn.ANCHORARRAY('Input LwA_XYZ'!$DD$1),'Input LwA_XYZ'!DD55:DR55)))</f>
        <v/>
      </c>
      <c r="X716" s="62" t="str">
        <f>IF($P716="","",_xlfn.XLOOKUP(Tables!$N$662,'Input LwA_XYZ'!$DU$1:$EI$1,'Input LwA_XYZ'!DU55:EI55))</f>
        <v/>
      </c>
    </row>
    <row r="717" spans="16:24" ht="16.5" x14ac:dyDescent="0.3">
      <c r="P717" s="230" t="str">
        <f>IF(OR('Input LwA_XYZ'!A56 = 0, NOT(ISBLANK(_xlfn.XLOOKUP(Tables!N$662, 'Input LwA_XYZ'!CM$1:DA$1, 'Input LwA_XYZ'!CM56:DA56)))), "", 'Input LwA_XYZ'!A56)</f>
        <v/>
      </c>
      <c r="Q717" s="225" t="str">
        <f>IF($P717="","",_xlfn.TEXTJOIN(" - ",TRUE,'Input LwA_XYZ'!B56:C56))</f>
        <v/>
      </c>
      <c r="R717" s="231" t="str">
        <f>IF($P717="","",'Input LwA_XYZ'!Q56)</f>
        <v/>
      </c>
      <c r="S717" s="227" t="str">
        <f>IF($P717="","",ROUND(_xlfn.XLOOKUP(Tables!$N$662,'Input LwA_XYZ'!$AH$1:$AV$1,'Input LwA_XYZ'!AH56:AV56),0))</f>
        <v/>
      </c>
      <c r="T717" s="228" t="str">
        <f>IF($P717="","",-1*ROUND(_xlfn.XLOOKUP(Tables!$N$662,'Input LwA_XYZ'!$AY$1:$BM$1,'Input LwA_XYZ'!AY56:BM56),0))</f>
        <v/>
      </c>
      <c r="U717" s="228" t="str">
        <f>IF($P717="","",IF(_xlfn.XLOOKUP(Tables!$N$662,'Input LwA_XYZ'!$BV$1:$CJ$1,'Input LwA_XYZ'!BV56:CJ56)="","-",_xlfn.XLOOKUP(Tables!$N$662,'Input LwA_XYZ'!$BV$1:$CJ$1,'Input LwA_XYZ'!BV56:CJ56)))</f>
        <v/>
      </c>
      <c r="V717" s="228" t="str">
        <f>IF($P717="","",IF('Input LwA_XYZ'!S56="","-",'Input LwA_XYZ'!S56))</f>
        <v/>
      </c>
      <c r="W717" s="229" t="str" cm="1">
        <f t="array" ref="W717">IF($P717="","",IF(_xlfn.XLOOKUP(Tables!$N$662,_xlfn.ANCHORARRAY('Input LwA_XYZ'!$DD$1),'Input LwA_XYZ'!DD56:DR56)="","-",_xlfn.XLOOKUP(Tables!$N$662,_xlfn.ANCHORARRAY('Input LwA_XYZ'!$DD$1),'Input LwA_XYZ'!DD56:DR56)))</f>
        <v/>
      </c>
      <c r="X717" s="62" t="str">
        <f>IF($P717="","",_xlfn.XLOOKUP(Tables!$N$662,'Input LwA_XYZ'!$DU$1:$EI$1,'Input LwA_XYZ'!DU56:EI56))</f>
        <v/>
      </c>
    </row>
    <row r="718" spans="16:24" ht="16.5" x14ac:dyDescent="0.3">
      <c r="P718" s="230" t="str">
        <f>IF(OR('Input LwA_XYZ'!A57 = 0, NOT(ISBLANK(_xlfn.XLOOKUP(Tables!N$662, 'Input LwA_XYZ'!CM$1:DA$1, 'Input LwA_XYZ'!CM57:DA57)))), "", 'Input LwA_XYZ'!A57)</f>
        <v/>
      </c>
      <c r="Q718" s="225" t="str">
        <f>IF($P718="","",_xlfn.TEXTJOIN(" - ",TRUE,'Input LwA_XYZ'!B57:C57))</f>
        <v/>
      </c>
      <c r="R718" s="231" t="str">
        <f>IF($P718="","",'Input LwA_XYZ'!Q57)</f>
        <v/>
      </c>
      <c r="S718" s="227" t="str">
        <f>IF($P718="","",ROUND(_xlfn.XLOOKUP(Tables!$N$662,'Input LwA_XYZ'!$AH$1:$AV$1,'Input LwA_XYZ'!AH57:AV57),0))</f>
        <v/>
      </c>
      <c r="T718" s="228" t="str">
        <f>IF($P718="","",-1*ROUND(_xlfn.XLOOKUP(Tables!$N$662,'Input LwA_XYZ'!$AY$1:$BM$1,'Input LwA_XYZ'!AY57:BM57),0))</f>
        <v/>
      </c>
      <c r="U718" s="228" t="str">
        <f>IF($P718="","",IF(_xlfn.XLOOKUP(Tables!$N$662,'Input LwA_XYZ'!$BV$1:$CJ$1,'Input LwA_XYZ'!BV57:CJ57)="","-",_xlfn.XLOOKUP(Tables!$N$662,'Input LwA_XYZ'!$BV$1:$CJ$1,'Input LwA_XYZ'!BV57:CJ57)))</f>
        <v/>
      </c>
      <c r="V718" s="228" t="str">
        <f>IF($P718="","",IF('Input LwA_XYZ'!S57="","-",'Input LwA_XYZ'!S57))</f>
        <v/>
      </c>
      <c r="W718" s="229" t="str" cm="1">
        <f t="array" ref="W718">IF($P718="","",IF(_xlfn.XLOOKUP(Tables!$N$662,_xlfn.ANCHORARRAY('Input LwA_XYZ'!$DD$1),'Input LwA_XYZ'!DD57:DR57)="","-",_xlfn.XLOOKUP(Tables!$N$662,_xlfn.ANCHORARRAY('Input LwA_XYZ'!$DD$1),'Input LwA_XYZ'!DD57:DR57)))</f>
        <v/>
      </c>
      <c r="X718" s="62" t="str">
        <f>IF($P718="","",_xlfn.XLOOKUP(Tables!$N$662,'Input LwA_XYZ'!$DU$1:$EI$1,'Input LwA_XYZ'!DU57:EI57))</f>
        <v/>
      </c>
    </row>
    <row r="719" spans="16:24" ht="17.25" thickBot="1" x14ac:dyDescent="0.35">
      <c r="P719" s="232" t="str">
        <f>IF(OR('Input LwA_XYZ'!A58 = 0, NOT(ISBLANK(_xlfn.XLOOKUP(Tables!N$662, 'Input LwA_XYZ'!CM$1:DA$1, 'Input LwA_XYZ'!CM58:DA58)))), "", 'Input LwA_XYZ'!A58)</f>
        <v/>
      </c>
      <c r="Q719" s="233" t="str">
        <f>IF($P719="","",_xlfn.TEXTJOIN(" - ",TRUE,'Input LwA_XYZ'!B58:C58))</f>
        <v/>
      </c>
      <c r="R719" s="234" t="str">
        <f>IF($P719="","",'Input LwA_XYZ'!Q58)</f>
        <v/>
      </c>
      <c r="S719" s="235" t="str">
        <f>IF($P719="","",ROUND(_xlfn.XLOOKUP(Tables!$N$662,'Input LwA_XYZ'!$AH$1:$AV$1,'Input LwA_XYZ'!AH58:AV58),0))</f>
        <v/>
      </c>
      <c r="T719" s="236" t="str">
        <f>IF($P719="","",-1*ROUND(_xlfn.XLOOKUP(Tables!$N$662,'Input LwA_XYZ'!$AY$1:$BM$1,'Input LwA_XYZ'!AY58:BM58),0))</f>
        <v/>
      </c>
      <c r="U719" s="228" t="str">
        <f>IF($P719="","",IF(_xlfn.XLOOKUP(Tables!$N$662,'Input LwA_XYZ'!$BV$1:$CJ$1,'Input LwA_XYZ'!BV58:CJ58)="","-",_xlfn.XLOOKUP(Tables!$N$662,'Input LwA_XYZ'!$BV$1:$CJ$1,'Input LwA_XYZ'!BV58:CJ58)))</f>
        <v/>
      </c>
      <c r="V719" s="228" t="str">
        <f>IF($P719="","",IF('Input LwA_XYZ'!S58="","-",'Input LwA_XYZ'!S58))</f>
        <v/>
      </c>
      <c r="W719" s="229" t="str" cm="1">
        <f t="array" ref="W719">IF($P719="","",IF(_xlfn.XLOOKUP(Tables!$N$662,_xlfn.ANCHORARRAY('Input LwA_XYZ'!$DD$1),'Input LwA_XYZ'!DD58:DR58)="","-",_xlfn.XLOOKUP(Tables!$N$662,_xlfn.ANCHORARRAY('Input LwA_XYZ'!$DD$1),'Input LwA_XYZ'!DD58:DR58)))</f>
        <v/>
      </c>
      <c r="X719" s="63" t="str">
        <f>IF($P719="","",_xlfn.XLOOKUP(Tables!$N$662,'Input LwA_XYZ'!$DU$1:$EI$1,'Input LwA_XYZ'!DU58:EI58))</f>
        <v/>
      </c>
    </row>
    <row r="720" spans="16:24" ht="17.25" thickBot="1" x14ac:dyDescent="0.35">
      <c r="P720" s="237" t="s">
        <v>215</v>
      </c>
      <c r="Q720" s="238"/>
      <c r="R720" s="239"/>
      <c r="S720" s="238"/>
      <c r="T720" s="240"/>
      <c r="U720" s="240"/>
      <c r="V720" s="240"/>
      <c r="W720" s="241"/>
      <c r="X720" s="219" t="e">
        <f>_xlfn.XLOOKUP(Tables!$N$662,'Input LwA_XYZ'!$Z$2:$Z$16,'Input LwA_XYZ'!$AE$2:$AE$16)</f>
        <v>#N/A</v>
      </c>
    </row>
    <row r="721" spans="14:24" ht="15.75" thickBot="1" x14ac:dyDescent="0.3">
      <c r="P721" s="221"/>
    </row>
    <row r="722" spans="14:24" ht="33.75" thickBot="1" x14ac:dyDescent="0.35">
      <c r="N722" s="66" t="s">
        <v>212</v>
      </c>
      <c r="P722" s="242" t="s">
        <v>79</v>
      </c>
      <c r="Q722" s="243" t="s">
        <v>80</v>
      </c>
      <c r="R722" s="244" t="s">
        <v>81</v>
      </c>
      <c r="S722" s="244" t="s">
        <v>19</v>
      </c>
      <c r="T722" s="244" t="s">
        <v>216</v>
      </c>
      <c r="U722" s="246" t="s">
        <v>82</v>
      </c>
      <c r="V722" s="247" t="s">
        <v>83</v>
      </c>
      <c r="W722" s="248" t="s">
        <v>236</v>
      </c>
      <c r="X722" s="245" t="s">
        <v>78</v>
      </c>
    </row>
    <row r="723" spans="14:24" ht="17.25" thickBot="1" x14ac:dyDescent="0.35">
      <c r="N723" s="66" t="str">
        <f>_xlfn.XLOOKUP(N722, 'Input LwA_XYZ'!$Z$2:$Z$16, 'Input LwA_XYZ'!$AF$2:$AF$16, "")</f>
        <v/>
      </c>
      <c r="P723" s="224" t="str">
        <f>IF(OR('Input LwA_XYZ'!A2 = 0, NOT(ISBLANK(_xlfn.XLOOKUP(Tables!N$722, 'Input LwA_XYZ'!CM$1:DA$1, 'Input LwA_XYZ'!CM2:DA2)))), "", 'Input LwA_XYZ'!A2)</f>
        <v/>
      </c>
      <c r="Q723" s="225" t="str">
        <f>IF($P723="","",_xlfn.TEXTJOIN(" - ",TRUE,'Input LwA_XYZ'!B2:C2))</f>
        <v/>
      </c>
      <c r="R723" s="226" t="str">
        <f>IF($P723="","",'Input LwA_XYZ'!Q2)</f>
        <v/>
      </c>
      <c r="S723" s="227" t="str">
        <f>IF($P723="","",ROUND(_xlfn.XLOOKUP(Tables!$N$722,'Input LwA_XYZ'!$AH$1:$AV$1,'Input LwA_XYZ'!AH2:AV2),0))</f>
        <v/>
      </c>
      <c r="T723" s="228" t="str">
        <f>IF($P723="","",-1*ROUND(_xlfn.XLOOKUP(Tables!$N$722,'Input LwA_XYZ'!$AY$1:$BM$1,'Input LwA_XYZ'!AY2:BM2),0))</f>
        <v/>
      </c>
      <c r="U723" s="228" t="str">
        <f>IF($P723="","",IF(_xlfn.XLOOKUP(Tables!$N$722,'Input LwA_XYZ'!$BV$1:$CJ$1,'Input LwA_XYZ'!BV2:CJ2)="","-",_xlfn.XLOOKUP(Tables!$N$722,'Input LwA_XYZ'!$BV$1:$CJ$1,'Input LwA_XYZ'!BV2:CJ2)))</f>
        <v/>
      </c>
      <c r="V723" s="228" t="str">
        <f>IF($P723="","",IF('Input LwA_XYZ'!S2="","-",'Input LwA_XYZ'!S2))</f>
        <v/>
      </c>
      <c r="W723" s="229" t="str" cm="1">
        <f t="array" ref="W723">IF($P723="","",IF(_xlfn.XLOOKUP(Tables!$N$722,_xlfn.ANCHORARRAY('Input LwA_XYZ'!$DD$1),'Input LwA_XYZ'!DD2:DR2)="","-",_xlfn.XLOOKUP(Tables!$N$722,_xlfn.ANCHORARRAY('Input LwA_XYZ'!$DD$1),'Input LwA_XYZ'!DD2:DR2)))</f>
        <v/>
      </c>
      <c r="X723" s="88" t="str">
        <f>IF($P723="","",_xlfn.XLOOKUP(Tables!$N$722,'Input LwA_XYZ'!$DU$1:$EI$1,'Input LwA_XYZ'!DU2:EI2))</f>
        <v/>
      </c>
    </row>
    <row r="724" spans="14:24" ht="16.5" x14ac:dyDescent="0.3">
      <c r="P724" s="230" t="str">
        <f>IF(OR('Input LwA_XYZ'!A3 = 0, NOT(ISBLANK(_xlfn.XLOOKUP(Tables!N$722, 'Input LwA_XYZ'!CM$1:DA$1, 'Input LwA_XYZ'!CM3:DA3)))), "", 'Input LwA_XYZ'!A3)</f>
        <v/>
      </c>
      <c r="Q724" s="225" t="str">
        <f>IF($P724="","",_xlfn.TEXTJOIN(" - ",TRUE,'Input LwA_XYZ'!B3:C3))</f>
        <v/>
      </c>
      <c r="R724" s="231" t="str">
        <f>IF($P724="","",'Input LwA_XYZ'!Q3)</f>
        <v/>
      </c>
      <c r="S724" s="227" t="str">
        <f>IF($P724="","",ROUND(_xlfn.XLOOKUP(Tables!$N$722,'Input LwA_XYZ'!$AH$1:$AV$1,'Input LwA_XYZ'!AH3:AV3),0))</f>
        <v/>
      </c>
      <c r="T724" s="228" t="str">
        <f>IF($P724="","",-1*ROUND(_xlfn.XLOOKUP(Tables!$N$722,'Input LwA_XYZ'!$AY$1:$BM$1,'Input LwA_XYZ'!AY3:BM3),0))</f>
        <v/>
      </c>
      <c r="U724" s="228" t="str">
        <f>IF($P724="","",IF(_xlfn.XLOOKUP(Tables!$N$722,'Input LwA_XYZ'!$BV$1:$CJ$1,'Input LwA_XYZ'!BV3:CJ3)="","-",_xlfn.XLOOKUP(Tables!$N$722,'Input LwA_XYZ'!$BV$1:$CJ$1,'Input LwA_XYZ'!BV3:CJ3)))</f>
        <v/>
      </c>
      <c r="V724" s="228" t="str">
        <f>IF($P724="","",IF('Input LwA_XYZ'!S3="","-",'Input LwA_XYZ'!S3))</f>
        <v/>
      </c>
      <c r="W724" s="229" t="str" cm="1">
        <f t="array" ref="W724">IF($P724="","",IF(_xlfn.XLOOKUP(Tables!$N$722,_xlfn.ANCHORARRAY('Input LwA_XYZ'!$DD$1),'Input LwA_XYZ'!DD3:DR3)="","-",_xlfn.XLOOKUP(Tables!$N$722,_xlfn.ANCHORARRAY('Input LwA_XYZ'!$DD$1),'Input LwA_XYZ'!DD3:DR3)))</f>
        <v/>
      </c>
      <c r="X724" s="62" t="str">
        <f>IF($P724="","",_xlfn.XLOOKUP(Tables!$N$722,'Input LwA_XYZ'!$DU$1:$EI$1,'Input LwA_XYZ'!DU3:EI3))</f>
        <v/>
      </c>
    </row>
    <row r="725" spans="14:24" ht="16.5" x14ac:dyDescent="0.3">
      <c r="P725" s="230" t="str">
        <f>IF(OR('Input LwA_XYZ'!A4 = 0, NOT(ISBLANK(_xlfn.XLOOKUP(Tables!N$722, 'Input LwA_XYZ'!CM$1:DA$1, 'Input LwA_XYZ'!CM4:DA4)))), "", 'Input LwA_XYZ'!A4)</f>
        <v/>
      </c>
      <c r="Q725" s="225" t="str">
        <f>IF($P725="","",_xlfn.TEXTJOIN(" - ",TRUE,'Input LwA_XYZ'!B4:C4))</f>
        <v/>
      </c>
      <c r="R725" s="231" t="str">
        <f>IF($P725="","",'Input LwA_XYZ'!Q4)</f>
        <v/>
      </c>
      <c r="S725" s="227" t="str">
        <f>IF($P725="","",ROUND(_xlfn.XLOOKUP(Tables!$N$722,'Input LwA_XYZ'!$AH$1:$AV$1,'Input LwA_XYZ'!AH4:AV4),0))</f>
        <v/>
      </c>
      <c r="T725" s="228" t="str">
        <f>IF($P725="","",-1*ROUND(_xlfn.XLOOKUP(Tables!$N$722,'Input LwA_XYZ'!$AY$1:$BM$1,'Input LwA_XYZ'!AY4:BM4),0))</f>
        <v/>
      </c>
      <c r="U725" s="228" t="str">
        <f>IF($P725="","",IF(_xlfn.XLOOKUP(Tables!$N$722,'Input LwA_XYZ'!$BV$1:$CJ$1,'Input LwA_XYZ'!BV4:CJ4)="","-",_xlfn.XLOOKUP(Tables!$N$722,'Input LwA_XYZ'!$BV$1:$CJ$1,'Input LwA_XYZ'!BV4:CJ4)))</f>
        <v/>
      </c>
      <c r="V725" s="228" t="str">
        <f>IF($P725="","",IF('Input LwA_XYZ'!S4="","-",'Input LwA_XYZ'!S4))</f>
        <v/>
      </c>
      <c r="W725" s="229" t="str" cm="1">
        <f t="array" ref="W725">IF($P725="","",IF(_xlfn.XLOOKUP(Tables!$N$722,_xlfn.ANCHORARRAY('Input LwA_XYZ'!$DD$1),'Input LwA_XYZ'!DD4:DR4)="","-",_xlfn.XLOOKUP(Tables!$N$722,_xlfn.ANCHORARRAY('Input LwA_XYZ'!$DD$1),'Input LwA_XYZ'!DD4:DR4)))</f>
        <v/>
      </c>
      <c r="X725" s="62" t="str">
        <f>IF($P725="","",_xlfn.XLOOKUP(Tables!$N$722,'Input LwA_XYZ'!$DU$1:$EI$1,'Input LwA_XYZ'!DU4:EI4))</f>
        <v/>
      </c>
    </row>
    <row r="726" spans="14:24" ht="16.5" x14ac:dyDescent="0.3">
      <c r="P726" s="230" t="str">
        <f>IF(OR('Input LwA_XYZ'!A5 = 0, NOT(ISBLANK(_xlfn.XLOOKUP(Tables!N$722, 'Input LwA_XYZ'!CM$1:DA$1, 'Input LwA_XYZ'!CM5:DA5)))), "", 'Input LwA_XYZ'!A5)</f>
        <v/>
      </c>
      <c r="Q726" s="225" t="str">
        <f>IF($P726="","",_xlfn.TEXTJOIN(" - ",TRUE,'Input LwA_XYZ'!B5:C5))</f>
        <v/>
      </c>
      <c r="R726" s="231" t="str">
        <f>IF($P726="","",'Input LwA_XYZ'!Q5)</f>
        <v/>
      </c>
      <c r="S726" s="227" t="str">
        <f>IF($P726="","",ROUND(_xlfn.XLOOKUP(Tables!$N$722,'Input LwA_XYZ'!$AH$1:$AV$1,'Input LwA_XYZ'!AH5:AV5),0))</f>
        <v/>
      </c>
      <c r="T726" s="228" t="str">
        <f>IF($P726="","",-1*ROUND(_xlfn.XLOOKUP(Tables!$N$722,'Input LwA_XYZ'!$AY$1:$BM$1,'Input LwA_XYZ'!AY5:BM5),0))</f>
        <v/>
      </c>
      <c r="U726" s="228" t="str">
        <f>IF($P726="","",IF(_xlfn.XLOOKUP(Tables!$N$722,'Input LwA_XYZ'!$BV$1:$CJ$1,'Input LwA_XYZ'!BV5:CJ5)="","-",_xlfn.XLOOKUP(Tables!$N$722,'Input LwA_XYZ'!$BV$1:$CJ$1,'Input LwA_XYZ'!BV5:CJ5)))</f>
        <v/>
      </c>
      <c r="V726" s="228" t="str">
        <f>IF($P726="","",IF('Input LwA_XYZ'!S5="","-",'Input LwA_XYZ'!S5))</f>
        <v/>
      </c>
      <c r="W726" s="229" t="str" cm="1">
        <f t="array" ref="W726">IF($P726="","",IF(_xlfn.XLOOKUP(Tables!$N$722,_xlfn.ANCHORARRAY('Input LwA_XYZ'!$DD$1),'Input LwA_XYZ'!DD5:DR5)="","-",_xlfn.XLOOKUP(Tables!$N$722,_xlfn.ANCHORARRAY('Input LwA_XYZ'!$DD$1),'Input LwA_XYZ'!DD5:DR5)))</f>
        <v/>
      </c>
      <c r="X726" s="62" t="str">
        <f>IF($P726="","",_xlfn.XLOOKUP(Tables!$N$722,'Input LwA_XYZ'!$DU$1:$EI$1,'Input LwA_XYZ'!DU5:EI5))</f>
        <v/>
      </c>
    </row>
    <row r="727" spans="14:24" ht="16.5" x14ac:dyDescent="0.3">
      <c r="P727" s="230" t="str">
        <f>IF(OR('Input LwA_XYZ'!A6 = 0, NOT(ISBLANK(_xlfn.XLOOKUP(Tables!N$722, 'Input LwA_XYZ'!CM$1:DA$1, 'Input LwA_XYZ'!CM6:DA6)))), "", 'Input LwA_XYZ'!A6)</f>
        <v/>
      </c>
      <c r="Q727" s="225" t="str">
        <f>IF($P727="","",_xlfn.TEXTJOIN(" - ",TRUE,'Input LwA_XYZ'!B6:C6))</f>
        <v/>
      </c>
      <c r="R727" s="231" t="str">
        <f>IF($P727="","",'Input LwA_XYZ'!Q6)</f>
        <v/>
      </c>
      <c r="S727" s="227" t="str">
        <f>IF($P727="","",ROUND(_xlfn.XLOOKUP(Tables!$N$722,'Input LwA_XYZ'!$AH$1:$AV$1,'Input LwA_XYZ'!AH6:AV6),0))</f>
        <v/>
      </c>
      <c r="T727" s="228" t="str">
        <f>IF($P727="","",-1*ROUND(_xlfn.XLOOKUP(Tables!$N$722,'Input LwA_XYZ'!$AY$1:$BM$1,'Input LwA_XYZ'!AY6:BM6),0))</f>
        <v/>
      </c>
      <c r="U727" s="228" t="str">
        <f>IF($P727="","",IF(_xlfn.XLOOKUP(Tables!$N$722,'Input LwA_XYZ'!$BV$1:$CJ$1,'Input LwA_XYZ'!BV6:CJ6)="","-",_xlfn.XLOOKUP(Tables!$N$722,'Input LwA_XYZ'!$BV$1:$CJ$1,'Input LwA_XYZ'!BV6:CJ6)))</f>
        <v/>
      </c>
      <c r="V727" s="228" t="str">
        <f>IF($P727="","",IF('Input LwA_XYZ'!S6="","-",'Input LwA_XYZ'!S6))</f>
        <v/>
      </c>
      <c r="W727" s="229" t="str" cm="1">
        <f t="array" ref="W727">IF($P727="","",IF(_xlfn.XLOOKUP(Tables!$N$722,_xlfn.ANCHORARRAY('Input LwA_XYZ'!$DD$1),'Input LwA_XYZ'!DD6:DR6)="","-",_xlfn.XLOOKUP(Tables!$N$722,_xlfn.ANCHORARRAY('Input LwA_XYZ'!$DD$1),'Input LwA_XYZ'!DD6:DR6)))</f>
        <v/>
      </c>
      <c r="X727" s="62" t="str">
        <f>IF($P727="","",_xlfn.XLOOKUP(Tables!$N$722,'Input LwA_XYZ'!$DU$1:$EI$1,'Input LwA_XYZ'!DU6:EI6))</f>
        <v/>
      </c>
    </row>
    <row r="728" spans="14:24" ht="16.5" x14ac:dyDescent="0.3">
      <c r="P728" s="230" t="str">
        <f>IF(OR('Input LwA_XYZ'!A7 = 0, NOT(ISBLANK(_xlfn.XLOOKUP(Tables!N$722, 'Input LwA_XYZ'!CM$1:DA$1, 'Input LwA_XYZ'!CM7:DA7)))), "", 'Input LwA_XYZ'!A7)</f>
        <v/>
      </c>
      <c r="Q728" s="225" t="str">
        <f>IF($P728="","",_xlfn.TEXTJOIN(" - ",TRUE,'Input LwA_XYZ'!B7:C7))</f>
        <v/>
      </c>
      <c r="R728" s="231" t="str">
        <f>IF($P728="","",'Input LwA_XYZ'!Q7)</f>
        <v/>
      </c>
      <c r="S728" s="227" t="str">
        <f>IF($P728="","",ROUND(_xlfn.XLOOKUP(Tables!$N$722,'Input LwA_XYZ'!$AH$1:$AV$1,'Input LwA_XYZ'!AH7:AV7),0))</f>
        <v/>
      </c>
      <c r="T728" s="228" t="str">
        <f>IF($P728="","",-1*ROUND(_xlfn.XLOOKUP(Tables!$N$722,'Input LwA_XYZ'!$AY$1:$BM$1,'Input LwA_XYZ'!AY7:BM7),0))</f>
        <v/>
      </c>
      <c r="U728" s="228" t="str">
        <f>IF($P728="","",IF(_xlfn.XLOOKUP(Tables!$N$722,'Input LwA_XYZ'!$BV$1:$CJ$1,'Input LwA_XYZ'!BV7:CJ7)="","-",_xlfn.XLOOKUP(Tables!$N$722,'Input LwA_XYZ'!$BV$1:$CJ$1,'Input LwA_XYZ'!BV7:CJ7)))</f>
        <v/>
      </c>
      <c r="V728" s="228" t="str">
        <f>IF($P728="","",IF('Input LwA_XYZ'!S7="","-",'Input LwA_XYZ'!S7))</f>
        <v/>
      </c>
      <c r="W728" s="229" t="str" cm="1">
        <f t="array" ref="W728">IF($P728="","",IF(_xlfn.XLOOKUP(Tables!$N$722,_xlfn.ANCHORARRAY('Input LwA_XYZ'!$DD$1),'Input LwA_XYZ'!DD7:DR7)="","-",_xlfn.XLOOKUP(Tables!$N$722,_xlfn.ANCHORARRAY('Input LwA_XYZ'!$DD$1),'Input LwA_XYZ'!DD7:DR7)))</f>
        <v/>
      </c>
      <c r="X728" s="62" t="str">
        <f>IF($P728="","",_xlfn.XLOOKUP(Tables!$N$722,'Input LwA_XYZ'!$DU$1:$EI$1,'Input LwA_XYZ'!DU7:EI7))</f>
        <v/>
      </c>
    </row>
    <row r="729" spans="14:24" ht="16.5" x14ac:dyDescent="0.3">
      <c r="P729" s="230" t="str">
        <f>IF(OR('Input LwA_XYZ'!A8 = 0, NOT(ISBLANK(_xlfn.XLOOKUP(Tables!N$722, 'Input LwA_XYZ'!CM$1:DA$1, 'Input LwA_XYZ'!CM8:DA8)))), "", 'Input LwA_XYZ'!A8)</f>
        <v/>
      </c>
      <c r="Q729" s="225" t="str">
        <f>IF($P729="","",_xlfn.TEXTJOIN(" - ",TRUE,'Input LwA_XYZ'!B8:C8))</f>
        <v/>
      </c>
      <c r="R729" s="231" t="str">
        <f>IF($P729="","",'Input LwA_XYZ'!Q8)</f>
        <v/>
      </c>
      <c r="S729" s="227" t="str">
        <f>IF($P729="","",ROUND(_xlfn.XLOOKUP(Tables!$N$722,'Input LwA_XYZ'!$AH$1:$AV$1,'Input LwA_XYZ'!AH8:AV8),0))</f>
        <v/>
      </c>
      <c r="T729" s="228" t="str">
        <f>IF($P729="","",-1*ROUND(_xlfn.XLOOKUP(Tables!$N$722,'Input LwA_XYZ'!$AY$1:$BM$1,'Input LwA_XYZ'!AY8:BM8),0))</f>
        <v/>
      </c>
      <c r="U729" s="228" t="str">
        <f>IF($P729="","",IF(_xlfn.XLOOKUP(Tables!$N$722,'Input LwA_XYZ'!$BV$1:$CJ$1,'Input LwA_XYZ'!BV8:CJ8)="","-",_xlfn.XLOOKUP(Tables!$N$722,'Input LwA_XYZ'!$BV$1:$CJ$1,'Input LwA_XYZ'!BV8:CJ8)))</f>
        <v/>
      </c>
      <c r="V729" s="228" t="str">
        <f>IF($P729="","",IF('Input LwA_XYZ'!S8="","-",'Input LwA_XYZ'!S8))</f>
        <v/>
      </c>
      <c r="W729" s="229" t="str" cm="1">
        <f t="array" ref="W729">IF($P729="","",IF(_xlfn.XLOOKUP(Tables!$N$722,_xlfn.ANCHORARRAY('Input LwA_XYZ'!$DD$1),'Input LwA_XYZ'!DD8:DR8)="","-",_xlfn.XLOOKUP(Tables!$N$722,_xlfn.ANCHORARRAY('Input LwA_XYZ'!$DD$1),'Input LwA_XYZ'!DD8:DR8)))</f>
        <v/>
      </c>
      <c r="X729" s="62" t="str">
        <f>IF($P729="","",_xlfn.XLOOKUP(Tables!$N$722,'Input LwA_XYZ'!$DU$1:$EI$1,'Input LwA_XYZ'!DU8:EI8))</f>
        <v/>
      </c>
    </row>
    <row r="730" spans="14:24" ht="16.5" x14ac:dyDescent="0.3">
      <c r="P730" s="230" t="str">
        <f>IF(OR('Input LwA_XYZ'!A9 = 0, NOT(ISBLANK(_xlfn.XLOOKUP(Tables!N$722, 'Input LwA_XYZ'!CM$1:DA$1, 'Input LwA_XYZ'!CM9:DA9)))), "", 'Input LwA_XYZ'!A9)</f>
        <v/>
      </c>
      <c r="Q730" s="225" t="str">
        <f>IF($P730="","",_xlfn.TEXTJOIN(" - ",TRUE,'Input LwA_XYZ'!B9:C9))</f>
        <v/>
      </c>
      <c r="R730" s="231" t="str">
        <f>IF($P730="","",'Input LwA_XYZ'!Q9)</f>
        <v/>
      </c>
      <c r="S730" s="227" t="str">
        <f>IF($P730="","",ROUND(_xlfn.XLOOKUP(Tables!$N$722,'Input LwA_XYZ'!$AH$1:$AV$1,'Input LwA_XYZ'!AH9:AV9),0))</f>
        <v/>
      </c>
      <c r="T730" s="228" t="str">
        <f>IF($P730="","",-1*ROUND(_xlfn.XLOOKUP(Tables!$N$722,'Input LwA_XYZ'!$AY$1:$BM$1,'Input LwA_XYZ'!AY9:BM9),0))</f>
        <v/>
      </c>
      <c r="U730" s="228" t="str">
        <f>IF($P730="","",IF(_xlfn.XLOOKUP(Tables!$N$722,'Input LwA_XYZ'!$BV$1:$CJ$1,'Input LwA_XYZ'!BV9:CJ9)="","-",_xlfn.XLOOKUP(Tables!$N$722,'Input LwA_XYZ'!$BV$1:$CJ$1,'Input LwA_XYZ'!BV9:CJ9)))</f>
        <v/>
      </c>
      <c r="V730" s="228" t="str">
        <f>IF($P730="","",IF('Input LwA_XYZ'!S9="","-",'Input LwA_XYZ'!S9))</f>
        <v/>
      </c>
      <c r="W730" s="229" t="str" cm="1">
        <f t="array" ref="W730">IF($P730="","",IF(_xlfn.XLOOKUP(Tables!$N$722,_xlfn.ANCHORARRAY('Input LwA_XYZ'!$DD$1),'Input LwA_XYZ'!DD9:DR9)="","-",_xlfn.XLOOKUP(Tables!$N$722,_xlfn.ANCHORARRAY('Input LwA_XYZ'!$DD$1),'Input LwA_XYZ'!DD9:DR9)))</f>
        <v/>
      </c>
      <c r="X730" s="62" t="str">
        <f>IF($P730="","",_xlfn.XLOOKUP(Tables!$N$722,'Input LwA_XYZ'!$DU$1:$EI$1,'Input LwA_XYZ'!DU9:EI9))</f>
        <v/>
      </c>
    </row>
    <row r="731" spans="14:24" ht="16.5" x14ac:dyDescent="0.3">
      <c r="P731" s="230" t="str">
        <f>IF(OR('Input LwA_XYZ'!A10 = 0, NOT(ISBLANK(_xlfn.XLOOKUP(Tables!N$722, 'Input LwA_XYZ'!CM$1:DA$1, 'Input LwA_XYZ'!CM10:DA10)))), "", 'Input LwA_XYZ'!A10)</f>
        <v/>
      </c>
      <c r="Q731" s="225" t="str">
        <f>IF($P731="","",_xlfn.TEXTJOIN(" - ",TRUE,'Input LwA_XYZ'!B10:C10))</f>
        <v/>
      </c>
      <c r="R731" s="231" t="str">
        <f>IF($P731="","",'Input LwA_XYZ'!Q10)</f>
        <v/>
      </c>
      <c r="S731" s="227" t="str">
        <f>IF($P731="","",ROUND(_xlfn.XLOOKUP(Tables!$N$722,'Input LwA_XYZ'!$AH$1:$AV$1,'Input LwA_XYZ'!AH10:AV10),0))</f>
        <v/>
      </c>
      <c r="T731" s="228" t="str">
        <f>IF($P731="","",-1*ROUND(_xlfn.XLOOKUP(Tables!$N$722,'Input LwA_XYZ'!$AY$1:$BM$1,'Input LwA_XYZ'!AY10:BM10),0))</f>
        <v/>
      </c>
      <c r="U731" s="228" t="str">
        <f>IF($P731="","",IF(_xlfn.XLOOKUP(Tables!$N$722,'Input LwA_XYZ'!$BV$1:$CJ$1,'Input LwA_XYZ'!BV10:CJ10)="","-",_xlfn.XLOOKUP(Tables!$N$722,'Input LwA_XYZ'!$BV$1:$CJ$1,'Input LwA_XYZ'!BV10:CJ10)))</f>
        <v/>
      </c>
      <c r="V731" s="228" t="str">
        <f>IF($P731="","",IF('Input LwA_XYZ'!S10="","-",'Input LwA_XYZ'!S10))</f>
        <v/>
      </c>
      <c r="W731" s="229" t="str" cm="1">
        <f t="array" ref="W731">IF($P731="","",IF(_xlfn.XLOOKUP(Tables!$N$722,_xlfn.ANCHORARRAY('Input LwA_XYZ'!$DD$1),'Input LwA_XYZ'!DD10:DR10)="","-",_xlfn.XLOOKUP(Tables!$N$722,_xlfn.ANCHORARRAY('Input LwA_XYZ'!$DD$1),'Input LwA_XYZ'!DD10:DR10)))</f>
        <v/>
      </c>
      <c r="X731" s="62" t="str">
        <f>IF($P731="","",_xlfn.XLOOKUP(Tables!$N$722,'Input LwA_XYZ'!$DU$1:$EI$1,'Input LwA_XYZ'!DU10:EI10))</f>
        <v/>
      </c>
    </row>
    <row r="732" spans="14:24" ht="16.5" x14ac:dyDescent="0.3">
      <c r="P732" s="230" t="str">
        <f>IF(OR('Input LwA_XYZ'!A11 = 0, NOT(ISBLANK(_xlfn.XLOOKUP(Tables!N$722, 'Input LwA_XYZ'!CM$1:DA$1, 'Input LwA_XYZ'!CM11:DA11)))), "", 'Input LwA_XYZ'!A11)</f>
        <v/>
      </c>
      <c r="Q732" s="225" t="str">
        <f>IF($P732="","",_xlfn.TEXTJOIN(" - ",TRUE,'Input LwA_XYZ'!B11:C11))</f>
        <v/>
      </c>
      <c r="R732" s="231" t="str">
        <f>IF($P732="","",'Input LwA_XYZ'!Q11)</f>
        <v/>
      </c>
      <c r="S732" s="227" t="str">
        <f>IF($P732="","",ROUND(_xlfn.XLOOKUP(Tables!$N$722,'Input LwA_XYZ'!$AH$1:$AV$1,'Input LwA_XYZ'!AH11:AV11),0))</f>
        <v/>
      </c>
      <c r="T732" s="228" t="str">
        <f>IF($P732="","",-1*ROUND(_xlfn.XLOOKUP(Tables!$N$722,'Input LwA_XYZ'!$AY$1:$BM$1,'Input LwA_XYZ'!AY11:BM11),0))</f>
        <v/>
      </c>
      <c r="U732" s="228" t="str">
        <f>IF($P732="","",IF(_xlfn.XLOOKUP(Tables!$N$722,'Input LwA_XYZ'!$BV$1:$CJ$1,'Input LwA_XYZ'!BV11:CJ11)="","-",_xlfn.XLOOKUP(Tables!$N$722,'Input LwA_XYZ'!$BV$1:$CJ$1,'Input LwA_XYZ'!BV11:CJ11)))</f>
        <v/>
      </c>
      <c r="V732" s="228" t="str">
        <f>IF($P732="","",IF('Input LwA_XYZ'!S11="","-",'Input LwA_XYZ'!S11))</f>
        <v/>
      </c>
      <c r="W732" s="229" t="str" cm="1">
        <f t="array" ref="W732">IF($P732="","",IF(_xlfn.XLOOKUP(Tables!$N$722,_xlfn.ANCHORARRAY('Input LwA_XYZ'!$DD$1),'Input LwA_XYZ'!DD11:DR11)="","-",_xlfn.XLOOKUP(Tables!$N$722,_xlfn.ANCHORARRAY('Input LwA_XYZ'!$DD$1),'Input LwA_XYZ'!DD11:DR11)))</f>
        <v/>
      </c>
      <c r="X732" s="62" t="str">
        <f>IF($P732="","",_xlfn.XLOOKUP(Tables!$N$722,'Input LwA_XYZ'!$DU$1:$EI$1,'Input LwA_XYZ'!DU11:EI11))</f>
        <v/>
      </c>
    </row>
    <row r="733" spans="14:24" ht="16.5" x14ac:dyDescent="0.3">
      <c r="P733" s="230" t="str">
        <f>IF(OR('Input LwA_XYZ'!A12 = 0, NOT(ISBLANK(_xlfn.XLOOKUP(Tables!N$722, 'Input LwA_XYZ'!CM$1:DA$1, 'Input LwA_XYZ'!CM12:DA12)))), "", 'Input LwA_XYZ'!A12)</f>
        <v/>
      </c>
      <c r="Q733" s="225" t="str">
        <f>IF($P733="","",_xlfn.TEXTJOIN(" - ",TRUE,'Input LwA_XYZ'!B12:C12))</f>
        <v/>
      </c>
      <c r="R733" s="231" t="str">
        <f>IF($P733="","",'Input LwA_XYZ'!Q12)</f>
        <v/>
      </c>
      <c r="S733" s="227" t="str">
        <f>IF($P733="","",ROUND(_xlfn.XLOOKUP(Tables!$N$722,'Input LwA_XYZ'!$AH$1:$AV$1,'Input LwA_XYZ'!AH12:AV12),0))</f>
        <v/>
      </c>
      <c r="T733" s="228" t="str">
        <f>IF($P733="","",-1*ROUND(_xlfn.XLOOKUP(Tables!$N$722,'Input LwA_XYZ'!$AY$1:$BM$1,'Input LwA_XYZ'!AY12:BM12),0))</f>
        <v/>
      </c>
      <c r="U733" s="228" t="str">
        <f>IF($P733="","",IF(_xlfn.XLOOKUP(Tables!$N$722,'Input LwA_XYZ'!$BV$1:$CJ$1,'Input LwA_XYZ'!BV12:CJ12)="","-",_xlfn.XLOOKUP(Tables!$N$722,'Input LwA_XYZ'!$BV$1:$CJ$1,'Input LwA_XYZ'!BV12:CJ12)))</f>
        <v/>
      </c>
      <c r="V733" s="228" t="str">
        <f>IF($P733="","",IF('Input LwA_XYZ'!S12="","-",'Input LwA_XYZ'!S12))</f>
        <v/>
      </c>
      <c r="W733" s="229" t="str" cm="1">
        <f t="array" ref="W733">IF($P733="","",IF(_xlfn.XLOOKUP(Tables!$N$722,_xlfn.ANCHORARRAY('Input LwA_XYZ'!$DD$1),'Input LwA_XYZ'!DD12:DR12)="","-",_xlfn.XLOOKUP(Tables!$N$722,_xlfn.ANCHORARRAY('Input LwA_XYZ'!$DD$1),'Input LwA_XYZ'!DD12:DR12)))</f>
        <v/>
      </c>
      <c r="X733" s="62" t="str">
        <f>IF($P733="","",_xlfn.XLOOKUP(Tables!$N$722,'Input LwA_XYZ'!$DU$1:$EI$1,'Input LwA_XYZ'!DU12:EI12))</f>
        <v/>
      </c>
    </row>
    <row r="734" spans="14:24" ht="16.5" x14ac:dyDescent="0.3">
      <c r="P734" s="230" t="str">
        <f>IF(OR('Input LwA_XYZ'!A13 = 0, NOT(ISBLANK(_xlfn.XLOOKUP(Tables!N$722, 'Input LwA_XYZ'!CM$1:DA$1, 'Input LwA_XYZ'!CM13:DA13)))), "", 'Input LwA_XYZ'!A13)</f>
        <v/>
      </c>
      <c r="Q734" s="225" t="str">
        <f>IF($P734="","",_xlfn.TEXTJOIN(" - ",TRUE,'Input LwA_XYZ'!B13:C13))</f>
        <v/>
      </c>
      <c r="R734" s="231" t="str">
        <f>IF($P734="","",'Input LwA_XYZ'!Q13)</f>
        <v/>
      </c>
      <c r="S734" s="227" t="str">
        <f>IF($P734="","",ROUND(_xlfn.XLOOKUP(Tables!$N$722,'Input LwA_XYZ'!$AH$1:$AV$1,'Input LwA_XYZ'!AH13:AV13),0))</f>
        <v/>
      </c>
      <c r="T734" s="228" t="str">
        <f>IF($P734="","",-1*ROUND(_xlfn.XLOOKUP(Tables!$N$722,'Input LwA_XYZ'!$AY$1:$BM$1,'Input LwA_XYZ'!AY13:BM13),0))</f>
        <v/>
      </c>
      <c r="U734" s="228" t="str">
        <f>IF($P734="","",IF(_xlfn.XLOOKUP(Tables!$N$722,'Input LwA_XYZ'!$BV$1:$CJ$1,'Input LwA_XYZ'!BV13:CJ13)="","-",_xlfn.XLOOKUP(Tables!$N$722,'Input LwA_XYZ'!$BV$1:$CJ$1,'Input LwA_XYZ'!BV13:CJ13)))</f>
        <v/>
      </c>
      <c r="V734" s="228" t="str">
        <f>IF($P734="","",IF('Input LwA_XYZ'!S13="","-",'Input LwA_XYZ'!S13))</f>
        <v/>
      </c>
      <c r="W734" s="229" t="str" cm="1">
        <f t="array" ref="W734">IF($P734="","",IF(_xlfn.XLOOKUP(Tables!$N$722,_xlfn.ANCHORARRAY('Input LwA_XYZ'!$DD$1),'Input LwA_XYZ'!DD13:DR13)="","-",_xlfn.XLOOKUP(Tables!$N$722,_xlfn.ANCHORARRAY('Input LwA_XYZ'!$DD$1),'Input LwA_XYZ'!DD13:DR13)))</f>
        <v/>
      </c>
      <c r="X734" s="62" t="str">
        <f>IF($P734="","",_xlfn.XLOOKUP(Tables!$N$722,'Input LwA_XYZ'!$DU$1:$EI$1,'Input LwA_XYZ'!DU13:EI13))</f>
        <v/>
      </c>
    </row>
    <row r="735" spans="14:24" ht="16.5" x14ac:dyDescent="0.3">
      <c r="P735" s="230" t="str">
        <f>IF(OR('Input LwA_XYZ'!A14 = 0, NOT(ISBLANK(_xlfn.XLOOKUP(Tables!N$722, 'Input LwA_XYZ'!CM$1:DA$1, 'Input LwA_XYZ'!CM14:DA14)))), "", 'Input LwA_XYZ'!A14)</f>
        <v/>
      </c>
      <c r="Q735" s="225" t="str">
        <f>IF($P735="","",_xlfn.TEXTJOIN(" - ",TRUE,'Input LwA_XYZ'!B14:C14))</f>
        <v/>
      </c>
      <c r="R735" s="231" t="str">
        <f>IF($P735="","",'Input LwA_XYZ'!Q14)</f>
        <v/>
      </c>
      <c r="S735" s="227" t="str">
        <f>IF($P735="","",ROUND(_xlfn.XLOOKUP(Tables!$N$722,'Input LwA_XYZ'!$AH$1:$AV$1,'Input LwA_XYZ'!AH14:AV14),0))</f>
        <v/>
      </c>
      <c r="T735" s="228" t="str">
        <f>IF($P735="","",-1*ROUND(_xlfn.XLOOKUP(Tables!$N$722,'Input LwA_XYZ'!$AY$1:$BM$1,'Input LwA_XYZ'!AY14:BM14),0))</f>
        <v/>
      </c>
      <c r="U735" s="228" t="str">
        <f>IF($P735="","",IF(_xlfn.XLOOKUP(Tables!$N$722,'Input LwA_XYZ'!$BV$1:$CJ$1,'Input LwA_XYZ'!BV14:CJ14)="","-",_xlfn.XLOOKUP(Tables!$N$722,'Input LwA_XYZ'!$BV$1:$CJ$1,'Input LwA_XYZ'!BV14:CJ14)))</f>
        <v/>
      </c>
      <c r="V735" s="228" t="str">
        <f>IF($P735="","",IF('Input LwA_XYZ'!S14="","-",'Input LwA_XYZ'!S14))</f>
        <v/>
      </c>
      <c r="W735" s="229" t="str" cm="1">
        <f t="array" ref="W735">IF($P735="","",IF(_xlfn.XLOOKUP(Tables!$N$722,_xlfn.ANCHORARRAY('Input LwA_XYZ'!$DD$1),'Input LwA_XYZ'!DD14:DR14)="","-",_xlfn.XLOOKUP(Tables!$N$722,_xlfn.ANCHORARRAY('Input LwA_XYZ'!$DD$1),'Input LwA_XYZ'!DD14:DR14)))</f>
        <v/>
      </c>
      <c r="X735" s="62" t="str">
        <f>IF($P735="","",_xlfn.XLOOKUP(Tables!$N$722,'Input LwA_XYZ'!$DU$1:$EI$1,'Input LwA_XYZ'!DU14:EI14))</f>
        <v/>
      </c>
    </row>
    <row r="736" spans="14:24" ht="16.5" x14ac:dyDescent="0.3">
      <c r="P736" s="230" t="str">
        <f>IF(OR('Input LwA_XYZ'!A15 = 0, NOT(ISBLANK(_xlfn.XLOOKUP(Tables!N$722, 'Input LwA_XYZ'!CM$1:DA$1, 'Input LwA_XYZ'!CM15:DA15)))), "", 'Input LwA_XYZ'!A15)</f>
        <v/>
      </c>
      <c r="Q736" s="225" t="str">
        <f>IF($P736="","",_xlfn.TEXTJOIN(" - ",TRUE,'Input LwA_XYZ'!B15:C15))</f>
        <v/>
      </c>
      <c r="R736" s="231" t="str">
        <f>IF($P736="","",'Input LwA_XYZ'!Q15)</f>
        <v/>
      </c>
      <c r="S736" s="227" t="str">
        <f>IF($P736="","",ROUND(_xlfn.XLOOKUP(Tables!$N$722,'Input LwA_XYZ'!$AH$1:$AV$1,'Input LwA_XYZ'!AH15:AV15),0))</f>
        <v/>
      </c>
      <c r="T736" s="228" t="str">
        <f>IF($P736="","",-1*ROUND(_xlfn.XLOOKUP(Tables!$N$722,'Input LwA_XYZ'!$AY$1:$BM$1,'Input LwA_XYZ'!AY15:BM15),0))</f>
        <v/>
      </c>
      <c r="U736" s="228" t="str">
        <f>IF($P736="","",IF(_xlfn.XLOOKUP(Tables!$N$722,'Input LwA_XYZ'!$BV$1:$CJ$1,'Input LwA_XYZ'!BV15:CJ15)="","-",_xlfn.XLOOKUP(Tables!$N$722,'Input LwA_XYZ'!$BV$1:$CJ$1,'Input LwA_XYZ'!BV15:CJ15)))</f>
        <v/>
      </c>
      <c r="V736" s="228" t="str">
        <f>IF($P736="","",IF('Input LwA_XYZ'!S15="","-",'Input LwA_XYZ'!S15))</f>
        <v/>
      </c>
      <c r="W736" s="229" t="str" cm="1">
        <f t="array" ref="W736">IF($P736="","",IF(_xlfn.XLOOKUP(Tables!$N$722,_xlfn.ANCHORARRAY('Input LwA_XYZ'!$DD$1),'Input LwA_XYZ'!DD15:DR15)="","-",_xlfn.XLOOKUP(Tables!$N$722,_xlfn.ANCHORARRAY('Input LwA_XYZ'!$DD$1),'Input LwA_XYZ'!DD15:DR15)))</f>
        <v/>
      </c>
      <c r="X736" s="62" t="str">
        <f>IF($P736="","",_xlfn.XLOOKUP(Tables!$N$722,'Input LwA_XYZ'!$DU$1:$EI$1,'Input LwA_XYZ'!DU15:EI15))</f>
        <v/>
      </c>
    </row>
    <row r="737" spans="16:24" ht="16.5" x14ac:dyDescent="0.3">
      <c r="P737" s="230" t="str">
        <f>IF(OR('Input LwA_XYZ'!A16 = 0, NOT(ISBLANK(_xlfn.XLOOKUP(Tables!N$722, 'Input LwA_XYZ'!CM$1:DA$1, 'Input LwA_XYZ'!CM16:DA16)))), "", 'Input LwA_XYZ'!A16)</f>
        <v/>
      </c>
      <c r="Q737" s="225" t="str">
        <f>IF($P737="","",_xlfn.TEXTJOIN(" - ",TRUE,'Input LwA_XYZ'!B16:C16))</f>
        <v/>
      </c>
      <c r="R737" s="231" t="str">
        <f>IF($P737="","",'Input LwA_XYZ'!Q16)</f>
        <v/>
      </c>
      <c r="S737" s="227" t="str">
        <f>IF($P737="","",ROUND(_xlfn.XLOOKUP(Tables!$N$722,'Input LwA_XYZ'!$AH$1:$AV$1,'Input LwA_XYZ'!AH16:AV16),0))</f>
        <v/>
      </c>
      <c r="T737" s="228" t="str">
        <f>IF($P737="","",-1*ROUND(_xlfn.XLOOKUP(Tables!$N$722,'Input LwA_XYZ'!$AY$1:$BM$1,'Input LwA_XYZ'!AY16:BM16),0))</f>
        <v/>
      </c>
      <c r="U737" s="228" t="str">
        <f>IF($P737="","",IF(_xlfn.XLOOKUP(Tables!$N$722,'Input LwA_XYZ'!$BV$1:$CJ$1,'Input LwA_XYZ'!BV16:CJ16)="","-",_xlfn.XLOOKUP(Tables!$N$722,'Input LwA_XYZ'!$BV$1:$CJ$1,'Input LwA_XYZ'!BV16:CJ16)))</f>
        <v/>
      </c>
      <c r="V737" s="228" t="str">
        <f>IF($P737="","",IF('Input LwA_XYZ'!S16="","-",'Input LwA_XYZ'!S16))</f>
        <v/>
      </c>
      <c r="W737" s="229" t="str" cm="1">
        <f t="array" ref="W737">IF($P737="","",IF(_xlfn.XLOOKUP(Tables!$N$722,_xlfn.ANCHORARRAY('Input LwA_XYZ'!$DD$1),'Input LwA_XYZ'!DD16:DR16)="","-",_xlfn.XLOOKUP(Tables!$N$722,_xlfn.ANCHORARRAY('Input LwA_XYZ'!$DD$1),'Input LwA_XYZ'!DD16:DR16)))</f>
        <v/>
      </c>
      <c r="X737" s="62" t="str">
        <f>IF($P737="","",_xlfn.XLOOKUP(Tables!$N$722,'Input LwA_XYZ'!$DU$1:$EI$1,'Input LwA_XYZ'!DU16:EI16))</f>
        <v/>
      </c>
    </row>
    <row r="738" spans="16:24" ht="16.5" x14ac:dyDescent="0.3">
      <c r="P738" s="230" t="str">
        <f>IF(OR('Input LwA_XYZ'!A17 = 0, NOT(ISBLANK(_xlfn.XLOOKUP(Tables!N$722, 'Input LwA_XYZ'!CM$1:DA$1, 'Input LwA_XYZ'!CM17:DA17)))), "", 'Input LwA_XYZ'!A17)</f>
        <v/>
      </c>
      <c r="Q738" s="225" t="str">
        <f>IF($P738="","",_xlfn.TEXTJOIN(" - ",TRUE,'Input LwA_XYZ'!B17:C17))</f>
        <v/>
      </c>
      <c r="R738" s="231" t="str">
        <f>IF($P738="","",'Input LwA_XYZ'!Q17)</f>
        <v/>
      </c>
      <c r="S738" s="227" t="str">
        <f>IF($P738="","",ROUND(_xlfn.XLOOKUP(Tables!$N$722,'Input LwA_XYZ'!$AH$1:$AV$1,'Input LwA_XYZ'!AH17:AV17),0))</f>
        <v/>
      </c>
      <c r="T738" s="228" t="str">
        <f>IF($P738="","",-1*ROUND(_xlfn.XLOOKUP(Tables!$N$722,'Input LwA_XYZ'!$AY$1:$BM$1,'Input LwA_XYZ'!AY17:BM17),0))</f>
        <v/>
      </c>
      <c r="U738" s="228" t="str">
        <f>IF($P738="","",IF(_xlfn.XLOOKUP(Tables!$N$722,'Input LwA_XYZ'!$BV$1:$CJ$1,'Input LwA_XYZ'!BV17:CJ17)="","-",_xlfn.XLOOKUP(Tables!$N$722,'Input LwA_XYZ'!$BV$1:$CJ$1,'Input LwA_XYZ'!BV17:CJ17)))</f>
        <v/>
      </c>
      <c r="V738" s="228" t="str">
        <f>IF($P738="","",IF('Input LwA_XYZ'!S17="","-",'Input LwA_XYZ'!S17))</f>
        <v/>
      </c>
      <c r="W738" s="229" t="str" cm="1">
        <f t="array" ref="W738">IF($P738="","",IF(_xlfn.XLOOKUP(Tables!$N$722,_xlfn.ANCHORARRAY('Input LwA_XYZ'!$DD$1),'Input LwA_XYZ'!DD17:DR17)="","-",_xlfn.XLOOKUP(Tables!$N$722,_xlfn.ANCHORARRAY('Input LwA_XYZ'!$DD$1),'Input LwA_XYZ'!DD17:DR17)))</f>
        <v/>
      </c>
      <c r="X738" s="62" t="str">
        <f>IF($P738="","",_xlfn.XLOOKUP(Tables!$N$722,'Input LwA_XYZ'!$DU$1:$EI$1,'Input LwA_XYZ'!DU17:EI17))</f>
        <v/>
      </c>
    </row>
    <row r="739" spans="16:24" ht="16.5" x14ac:dyDescent="0.3">
      <c r="P739" s="230" t="str">
        <f>IF(OR('Input LwA_XYZ'!A18 = 0, NOT(ISBLANK(_xlfn.XLOOKUP(Tables!N$722, 'Input LwA_XYZ'!CM$1:DA$1, 'Input LwA_XYZ'!CM18:DA18)))), "", 'Input LwA_XYZ'!A18)</f>
        <v/>
      </c>
      <c r="Q739" s="225" t="str">
        <f>IF($P739="","",_xlfn.TEXTJOIN(" - ",TRUE,'Input LwA_XYZ'!B18:C18))</f>
        <v/>
      </c>
      <c r="R739" s="231" t="str">
        <f>IF($P739="","",'Input LwA_XYZ'!Q18)</f>
        <v/>
      </c>
      <c r="S739" s="227" t="str">
        <f>IF($P739="","",ROUND(_xlfn.XLOOKUP(Tables!$N$722,'Input LwA_XYZ'!$AH$1:$AV$1,'Input LwA_XYZ'!AH18:AV18),0))</f>
        <v/>
      </c>
      <c r="T739" s="228" t="str">
        <f>IF($P739="","",-1*ROUND(_xlfn.XLOOKUP(Tables!$N$722,'Input LwA_XYZ'!$AY$1:$BM$1,'Input LwA_XYZ'!AY18:BM18),0))</f>
        <v/>
      </c>
      <c r="U739" s="228" t="str">
        <f>IF($P739="","",IF(_xlfn.XLOOKUP(Tables!$N$722,'Input LwA_XYZ'!$BV$1:$CJ$1,'Input LwA_XYZ'!BV18:CJ18)="","-",_xlfn.XLOOKUP(Tables!$N$722,'Input LwA_XYZ'!$BV$1:$CJ$1,'Input LwA_XYZ'!BV18:CJ18)))</f>
        <v/>
      </c>
      <c r="V739" s="228" t="str">
        <f>IF($P739="","",IF('Input LwA_XYZ'!S18="","-",'Input LwA_XYZ'!S18))</f>
        <v/>
      </c>
      <c r="W739" s="229" t="str" cm="1">
        <f t="array" ref="W739">IF($P739="","",IF(_xlfn.XLOOKUP(Tables!$N$722,_xlfn.ANCHORARRAY('Input LwA_XYZ'!$DD$1),'Input LwA_XYZ'!DD18:DR18)="","-",_xlfn.XLOOKUP(Tables!$N$722,_xlfn.ANCHORARRAY('Input LwA_XYZ'!$DD$1),'Input LwA_XYZ'!DD18:DR18)))</f>
        <v/>
      </c>
      <c r="X739" s="62" t="str">
        <f>IF($P739="","",_xlfn.XLOOKUP(Tables!$N$722,'Input LwA_XYZ'!$DU$1:$EI$1,'Input LwA_XYZ'!DU18:EI18))</f>
        <v/>
      </c>
    </row>
    <row r="740" spans="16:24" ht="16.5" x14ac:dyDescent="0.3">
      <c r="P740" s="230" t="str">
        <f>IF(OR('Input LwA_XYZ'!A19 = 0, NOT(ISBLANK(_xlfn.XLOOKUP(Tables!N$722, 'Input LwA_XYZ'!CM$1:DA$1, 'Input LwA_XYZ'!CM19:DA19)))), "", 'Input LwA_XYZ'!A19)</f>
        <v/>
      </c>
      <c r="Q740" s="225" t="str">
        <f>IF($P740="","",_xlfn.TEXTJOIN(" - ",TRUE,'Input LwA_XYZ'!B19:C19))</f>
        <v/>
      </c>
      <c r="R740" s="231" t="str">
        <f>IF($P740="","",'Input LwA_XYZ'!Q19)</f>
        <v/>
      </c>
      <c r="S740" s="227" t="str">
        <f>IF($P740="","",ROUND(_xlfn.XLOOKUP(Tables!$N$722,'Input LwA_XYZ'!$AH$1:$AV$1,'Input LwA_XYZ'!AH19:AV19),0))</f>
        <v/>
      </c>
      <c r="T740" s="228" t="str">
        <f>IF($P740="","",-1*ROUND(_xlfn.XLOOKUP(Tables!$N$722,'Input LwA_XYZ'!$AY$1:$BM$1,'Input LwA_XYZ'!AY19:BM19),0))</f>
        <v/>
      </c>
      <c r="U740" s="228" t="str">
        <f>IF($P740="","",IF(_xlfn.XLOOKUP(Tables!$N$722,'Input LwA_XYZ'!$BV$1:$CJ$1,'Input LwA_XYZ'!BV19:CJ19)="","-",_xlfn.XLOOKUP(Tables!$N$722,'Input LwA_XYZ'!$BV$1:$CJ$1,'Input LwA_XYZ'!BV19:CJ19)))</f>
        <v/>
      </c>
      <c r="V740" s="228" t="str">
        <f>IF($P740="","",IF('Input LwA_XYZ'!S19="","-",'Input LwA_XYZ'!S19))</f>
        <v/>
      </c>
      <c r="W740" s="229" t="str" cm="1">
        <f t="array" ref="W740">IF($P740="","",IF(_xlfn.XLOOKUP(Tables!$N$722,_xlfn.ANCHORARRAY('Input LwA_XYZ'!$DD$1),'Input LwA_XYZ'!DD19:DR19)="","-",_xlfn.XLOOKUP(Tables!$N$722,_xlfn.ANCHORARRAY('Input LwA_XYZ'!$DD$1),'Input LwA_XYZ'!DD19:DR19)))</f>
        <v/>
      </c>
      <c r="X740" s="62" t="str">
        <f>IF($P740="","",_xlfn.XLOOKUP(Tables!$N$722,'Input LwA_XYZ'!$DU$1:$EI$1,'Input LwA_XYZ'!DU19:EI19))</f>
        <v/>
      </c>
    </row>
    <row r="741" spans="16:24" ht="16.5" x14ac:dyDescent="0.3">
      <c r="P741" s="230" t="str">
        <f>IF(OR('Input LwA_XYZ'!A20 = 0, NOT(ISBLANK(_xlfn.XLOOKUP(Tables!N$722, 'Input LwA_XYZ'!CM$1:DA$1, 'Input LwA_XYZ'!CM20:DA20)))), "", 'Input LwA_XYZ'!A20)</f>
        <v/>
      </c>
      <c r="Q741" s="225" t="str">
        <f>IF($P741="","",_xlfn.TEXTJOIN(" - ",TRUE,'Input LwA_XYZ'!B20:C20))</f>
        <v/>
      </c>
      <c r="R741" s="231" t="str">
        <f>IF($P741="","",'Input LwA_XYZ'!Q20)</f>
        <v/>
      </c>
      <c r="S741" s="227" t="str">
        <f>IF($P741="","",ROUND(_xlfn.XLOOKUP(Tables!$N$722,'Input LwA_XYZ'!$AH$1:$AV$1,'Input LwA_XYZ'!AH20:AV20),0))</f>
        <v/>
      </c>
      <c r="T741" s="228" t="str">
        <f>IF($P741="","",-1*ROUND(_xlfn.XLOOKUP(Tables!$N$722,'Input LwA_XYZ'!$AY$1:$BM$1,'Input LwA_XYZ'!AY20:BM20),0))</f>
        <v/>
      </c>
      <c r="U741" s="228" t="str">
        <f>IF($P741="","",IF(_xlfn.XLOOKUP(Tables!$N$722,'Input LwA_XYZ'!$BV$1:$CJ$1,'Input LwA_XYZ'!BV20:CJ20)="","-",_xlfn.XLOOKUP(Tables!$N$722,'Input LwA_XYZ'!$BV$1:$CJ$1,'Input LwA_XYZ'!BV20:CJ20)))</f>
        <v/>
      </c>
      <c r="V741" s="228" t="str">
        <f>IF($P741="","",IF('Input LwA_XYZ'!S20="","-",'Input LwA_XYZ'!S20))</f>
        <v/>
      </c>
      <c r="W741" s="229" t="str" cm="1">
        <f t="array" ref="W741">IF($P741="","",IF(_xlfn.XLOOKUP(Tables!$N$722,_xlfn.ANCHORARRAY('Input LwA_XYZ'!$DD$1),'Input LwA_XYZ'!DD20:DR20)="","-",_xlfn.XLOOKUP(Tables!$N$722,_xlfn.ANCHORARRAY('Input LwA_XYZ'!$DD$1),'Input LwA_XYZ'!DD20:DR20)))</f>
        <v/>
      </c>
      <c r="X741" s="62" t="str">
        <f>IF($P741="","",_xlfn.XLOOKUP(Tables!$N$722,'Input LwA_XYZ'!$DU$1:$EI$1,'Input LwA_XYZ'!DU20:EI20))</f>
        <v/>
      </c>
    </row>
    <row r="742" spans="16:24" ht="16.5" x14ac:dyDescent="0.3">
      <c r="P742" s="230" t="str">
        <f>IF(OR('Input LwA_XYZ'!A21 = 0, NOT(ISBLANK(_xlfn.XLOOKUP(Tables!N$722, 'Input LwA_XYZ'!CM$1:DA$1, 'Input LwA_XYZ'!CM21:DA21)))), "", 'Input LwA_XYZ'!A21)</f>
        <v/>
      </c>
      <c r="Q742" s="225" t="str">
        <f>IF($P742="","",_xlfn.TEXTJOIN(" - ",TRUE,'Input LwA_XYZ'!B21:C21))</f>
        <v/>
      </c>
      <c r="R742" s="231" t="str">
        <f>IF($P742="","",'Input LwA_XYZ'!Q21)</f>
        <v/>
      </c>
      <c r="S742" s="227" t="str">
        <f>IF($P742="","",ROUND(_xlfn.XLOOKUP(Tables!$N$722,'Input LwA_XYZ'!$AH$1:$AV$1,'Input LwA_XYZ'!AH21:AV21),0))</f>
        <v/>
      </c>
      <c r="T742" s="228" t="str">
        <f>IF($P742="","",-1*ROUND(_xlfn.XLOOKUP(Tables!$N$722,'Input LwA_XYZ'!$AY$1:$BM$1,'Input LwA_XYZ'!AY21:BM21),0))</f>
        <v/>
      </c>
      <c r="U742" s="228" t="str">
        <f>IF($P742="","",IF(_xlfn.XLOOKUP(Tables!$N$722,'Input LwA_XYZ'!$BV$1:$CJ$1,'Input LwA_XYZ'!BV21:CJ21)="","-",_xlfn.XLOOKUP(Tables!$N$722,'Input LwA_XYZ'!$BV$1:$CJ$1,'Input LwA_XYZ'!BV21:CJ21)))</f>
        <v/>
      </c>
      <c r="V742" s="228" t="str">
        <f>IF($P742="","",IF('Input LwA_XYZ'!S21="","-",'Input LwA_XYZ'!S21))</f>
        <v/>
      </c>
      <c r="W742" s="229" t="str" cm="1">
        <f t="array" ref="W742">IF($P742="","",IF(_xlfn.XLOOKUP(Tables!$N$722,_xlfn.ANCHORARRAY('Input LwA_XYZ'!$DD$1),'Input LwA_XYZ'!DD21:DR21)="","-",_xlfn.XLOOKUP(Tables!$N$722,_xlfn.ANCHORARRAY('Input LwA_XYZ'!$DD$1),'Input LwA_XYZ'!DD21:DR21)))</f>
        <v/>
      </c>
      <c r="X742" s="62" t="str">
        <f>IF($P742="","",_xlfn.XLOOKUP(Tables!$N$722,'Input LwA_XYZ'!$DU$1:$EI$1,'Input LwA_XYZ'!DU21:EI21))</f>
        <v/>
      </c>
    </row>
    <row r="743" spans="16:24" ht="16.5" x14ac:dyDescent="0.3">
      <c r="P743" s="230" t="str">
        <f>IF(OR('Input LwA_XYZ'!A22 = 0, NOT(ISBLANK(_xlfn.XLOOKUP(Tables!N$722, 'Input LwA_XYZ'!CM$1:DA$1, 'Input LwA_XYZ'!CM22:DA22)))), "", 'Input LwA_XYZ'!A22)</f>
        <v/>
      </c>
      <c r="Q743" s="225" t="str">
        <f>IF($P743="","",_xlfn.TEXTJOIN(" - ",TRUE,'Input LwA_XYZ'!B22:C22))</f>
        <v/>
      </c>
      <c r="R743" s="231" t="str">
        <f>IF($P743="","",'Input LwA_XYZ'!Q22)</f>
        <v/>
      </c>
      <c r="S743" s="227" t="str">
        <f>IF($P743="","",ROUND(_xlfn.XLOOKUP(Tables!$N$722,'Input LwA_XYZ'!$AH$1:$AV$1,'Input LwA_XYZ'!AH22:AV22),0))</f>
        <v/>
      </c>
      <c r="T743" s="228" t="str">
        <f>IF($P743="","",-1*ROUND(_xlfn.XLOOKUP(Tables!$N$722,'Input LwA_XYZ'!$AY$1:$BM$1,'Input LwA_XYZ'!AY22:BM22),0))</f>
        <v/>
      </c>
      <c r="U743" s="228" t="str">
        <f>IF($P743="","",IF(_xlfn.XLOOKUP(Tables!$N$722,'Input LwA_XYZ'!$BV$1:$CJ$1,'Input LwA_XYZ'!BV22:CJ22)="","-",_xlfn.XLOOKUP(Tables!$N$722,'Input LwA_XYZ'!$BV$1:$CJ$1,'Input LwA_XYZ'!BV22:CJ22)))</f>
        <v/>
      </c>
      <c r="V743" s="228" t="str">
        <f>IF($P743="","",IF('Input LwA_XYZ'!S22="","-",'Input LwA_XYZ'!S22))</f>
        <v/>
      </c>
      <c r="W743" s="229" t="str" cm="1">
        <f t="array" ref="W743">IF($P743="","",IF(_xlfn.XLOOKUP(Tables!$N$722,_xlfn.ANCHORARRAY('Input LwA_XYZ'!$DD$1),'Input LwA_XYZ'!DD22:DR22)="","-",_xlfn.XLOOKUP(Tables!$N$722,_xlfn.ANCHORARRAY('Input LwA_XYZ'!$DD$1),'Input LwA_XYZ'!DD22:DR22)))</f>
        <v/>
      </c>
      <c r="X743" s="62" t="str">
        <f>IF($P743="","",_xlfn.XLOOKUP(Tables!$N$722,'Input LwA_XYZ'!$DU$1:$EI$1,'Input LwA_XYZ'!DU22:EI22))</f>
        <v/>
      </c>
    </row>
    <row r="744" spans="16:24" ht="16.5" x14ac:dyDescent="0.3">
      <c r="P744" s="230" t="str">
        <f>IF(OR('Input LwA_XYZ'!A23 = 0, NOT(ISBLANK(_xlfn.XLOOKUP(Tables!N$722, 'Input LwA_XYZ'!CM$1:DA$1, 'Input LwA_XYZ'!CM23:DA23)))), "", 'Input LwA_XYZ'!A23)</f>
        <v/>
      </c>
      <c r="Q744" s="225" t="str">
        <f>IF($P744="","",_xlfn.TEXTJOIN(" - ",TRUE,'Input LwA_XYZ'!B23:C23))</f>
        <v/>
      </c>
      <c r="R744" s="231" t="str">
        <f>IF($P744="","",'Input LwA_XYZ'!Q23)</f>
        <v/>
      </c>
      <c r="S744" s="227" t="str">
        <f>IF($P744="","",ROUND(_xlfn.XLOOKUP(Tables!$N$722,'Input LwA_XYZ'!$AH$1:$AV$1,'Input LwA_XYZ'!AH23:AV23),0))</f>
        <v/>
      </c>
      <c r="T744" s="228" t="str">
        <f>IF($P744="","",-1*ROUND(_xlfn.XLOOKUP(Tables!$N$722,'Input LwA_XYZ'!$AY$1:$BM$1,'Input LwA_XYZ'!AY23:BM23),0))</f>
        <v/>
      </c>
      <c r="U744" s="228" t="str">
        <f>IF($P744="","",IF(_xlfn.XLOOKUP(Tables!$N$722,'Input LwA_XYZ'!$BV$1:$CJ$1,'Input LwA_XYZ'!BV23:CJ23)="","-",_xlfn.XLOOKUP(Tables!$N$722,'Input LwA_XYZ'!$BV$1:$CJ$1,'Input LwA_XYZ'!BV23:CJ23)))</f>
        <v/>
      </c>
      <c r="V744" s="228" t="str">
        <f>IF($P744="","",IF('Input LwA_XYZ'!S23="","-",'Input LwA_XYZ'!S23))</f>
        <v/>
      </c>
      <c r="W744" s="229" t="str" cm="1">
        <f t="array" ref="W744">IF($P744="","",IF(_xlfn.XLOOKUP(Tables!$N$722,_xlfn.ANCHORARRAY('Input LwA_XYZ'!$DD$1),'Input LwA_XYZ'!DD23:DR23)="","-",_xlfn.XLOOKUP(Tables!$N$722,_xlfn.ANCHORARRAY('Input LwA_XYZ'!$DD$1),'Input LwA_XYZ'!DD23:DR23)))</f>
        <v/>
      </c>
      <c r="X744" s="62" t="str">
        <f>IF($P744="","",_xlfn.XLOOKUP(Tables!$N$722,'Input LwA_XYZ'!$DU$1:$EI$1,'Input LwA_XYZ'!DU23:EI23))</f>
        <v/>
      </c>
    </row>
    <row r="745" spans="16:24" ht="16.5" x14ac:dyDescent="0.3">
      <c r="P745" s="230" t="str">
        <f>IF(OR('Input LwA_XYZ'!A24 = 0, NOT(ISBLANK(_xlfn.XLOOKUP(Tables!N$722, 'Input LwA_XYZ'!CM$1:DA$1, 'Input LwA_XYZ'!CM24:DA24)))), "", 'Input LwA_XYZ'!A24)</f>
        <v/>
      </c>
      <c r="Q745" s="225" t="str">
        <f>IF($P745="","",_xlfn.TEXTJOIN(" - ",TRUE,'Input LwA_XYZ'!B24:C24))</f>
        <v/>
      </c>
      <c r="R745" s="231" t="str">
        <f>IF($P745="","",'Input LwA_XYZ'!Q24)</f>
        <v/>
      </c>
      <c r="S745" s="227" t="str">
        <f>IF($P745="","",ROUND(_xlfn.XLOOKUP(Tables!$N$722,'Input LwA_XYZ'!$AH$1:$AV$1,'Input LwA_XYZ'!AH24:AV24),0))</f>
        <v/>
      </c>
      <c r="T745" s="228" t="str">
        <f>IF($P745="","",-1*ROUND(_xlfn.XLOOKUP(Tables!$N$722,'Input LwA_XYZ'!$AY$1:$BM$1,'Input LwA_XYZ'!AY24:BM24),0))</f>
        <v/>
      </c>
      <c r="U745" s="228" t="str">
        <f>IF($P745="","",IF(_xlfn.XLOOKUP(Tables!$N$722,'Input LwA_XYZ'!$BV$1:$CJ$1,'Input LwA_XYZ'!BV24:CJ24)="","-",_xlfn.XLOOKUP(Tables!$N$722,'Input LwA_XYZ'!$BV$1:$CJ$1,'Input LwA_XYZ'!BV24:CJ24)))</f>
        <v/>
      </c>
      <c r="V745" s="228" t="str">
        <f>IF($P745="","",IF('Input LwA_XYZ'!S24="","-",'Input LwA_XYZ'!S24))</f>
        <v/>
      </c>
      <c r="W745" s="229" t="str" cm="1">
        <f t="array" ref="W745">IF($P745="","",IF(_xlfn.XLOOKUP(Tables!$N$722,_xlfn.ANCHORARRAY('Input LwA_XYZ'!$DD$1),'Input LwA_XYZ'!DD24:DR24)="","-",_xlfn.XLOOKUP(Tables!$N$722,_xlfn.ANCHORARRAY('Input LwA_XYZ'!$DD$1),'Input LwA_XYZ'!DD24:DR24)))</f>
        <v/>
      </c>
      <c r="X745" s="62" t="str">
        <f>IF($P745="","",_xlfn.XLOOKUP(Tables!$N$722,'Input LwA_XYZ'!$DU$1:$EI$1,'Input LwA_XYZ'!DU24:EI24))</f>
        <v/>
      </c>
    </row>
    <row r="746" spans="16:24" ht="16.5" x14ac:dyDescent="0.3">
      <c r="P746" s="230" t="str">
        <f>IF(OR('Input LwA_XYZ'!A25 = 0, NOT(ISBLANK(_xlfn.XLOOKUP(Tables!N$722, 'Input LwA_XYZ'!CM$1:DA$1, 'Input LwA_XYZ'!CM25:DA25)))), "", 'Input LwA_XYZ'!A25)</f>
        <v/>
      </c>
      <c r="Q746" s="225" t="str">
        <f>IF($P746="","",_xlfn.TEXTJOIN(" - ",TRUE,'Input LwA_XYZ'!B25:C25))</f>
        <v/>
      </c>
      <c r="R746" s="231" t="str">
        <f>IF($P746="","",'Input LwA_XYZ'!Q25)</f>
        <v/>
      </c>
      <c r="S746" s="227" t="str">
        <f>IF($P746="","",ROUND(_xlfn.XLOOKUP(Tables!$N$722,'Input LwA_XYZ'!$AH$1:$AV$1,'Input LwA_XYZ'!AH25:AV25),0))</f>
        <v/>
      </c>
      <c r="T746" s="228" t="str">
        <f>IF($P746="","",-1*ROUND(_xlfn.XLOOKUP(Tables!$N$722,'Input LwA_XYZ'!$AY$1:$BM$1,'Input LwA_XYZ'!AY25:BM25),0))</f>
        <v/>
      </c>
      <c r="U746" s="228" t="str">
        <f>IF($P746="","",IF(_xlfn.XLOOKUP(Tables!$N$722,'Input LwA_XYZ'!$BV$1:$CJ$1,'Input LwA_XYZ'!BV25:CJ25)="","-",_xlfn.XLOOKUP(Tables!$N$722,'Input LwA_XYZ'!$BV$1:$CJ$1,'Input LwA_XYZ'!BV25:CJ25)))</f>
        <v/>
      </c>
      <c r="V746" s="228" t="str">
        <f>IF($P746="","",IF('Input LwA_XYZ'!S25="","-",'Input LwA_XYZ'!S25))</f>
        <v/>
      </c>
      <c r="W746" s="229" t="str" cm="1">
        <f t="array" ref="W746">IF($P746="","",IF(_xlfn.XLOOKUP(Tables!$N$722,_xlfn.ANCHORARRAY('Input LwA_XYZ'!$DD$1),'Input LwA_XYZ'!DD25:DR25)="","-",_xlfn.XLOOKUP(Tables!$N$722,_xlfn.ANCHORARRAY('Input LwA_XYZ'!$DD$1),'Input LwA_XYZ'!DD25:DR25)))</f>
        <v/>
      </c>
      <c r="X746" s="62" t="str">
        <f>IF($P746="","",_xlfn.XLOOKUP(Tables!$N$722,'Input LwA_XYZ'!$DU$1:$EI$1,'Input LwA_XYZ'!DU25:EI25))</f>
        <v/>
      </c>
    </row>
    <row r="747" spans="16:24" ht="16.5" x14ac:dyDescent="0.3">
      <c r="P747" s="230" t="str">
        <f>IF(OR('Input LwA_XYZ'!A26 = 0, NOT(ISBLANK(_xlfn.XLOOKUP(Tables!N$722, 'Input LwA_XYZ'!CM$1:DA$1, 'Input LwA_XYZ'!CM26:DA26)))), "", 'Input LwA_XYZ'!A26)</f>
        <v/>
      </c>
      <c r="Q747" s="225" t="str">
        <f>IF($P747="","",_xlfn.TEXTJOIN(" - ",TRUE,'Input LwA_XYZ'!B26:C26))</f>
        <v/>
      </c>
      <c r="R747" s="231" t="str">
        <f>IF($P747="","",'Input LwA_XYZ'!Q26)</f>
        <v/>
      </c>
      <c r="S747" s="227" t="str">
        <f>IF($P747="","",ROUND(_xlfn.XLOOKUP(Tables!$N$722,'Input LwA_XYZ'!$AH$1:$AV$1,'Input LwA_XYZ'!AH26:AV26),0))</f>
        <v/>
      </c>
      <c r="T747" s="228" t="str">
        <f>IF($P747="","",-1*ROUND(_xlfn.XLOOKUP(Tables!$N$722,'Input LwA_XYZ'!$AY$1:$BM$1,'Input LwA_XYZ'!AY26:BM26),0))</f>
        <v/>
      </c>
      <c r="U747" s="228" t="str">
        <f>IF($P747="","",IF(_xlfn.XLOOKUP(Tables!$N$722,'Input LwA_XYZ'!$BV$1:$CJ$1,'Input LwA_XYZ'!BV26:CJ26)="","-",_xlfn.XLOOKUP(Tables!$N$722,'Input LwA_XYZ'!$BV$1:$CJ$1,'Input LwA_XYZ'!BV26:CJ26)))</f>
        <v/>
      </c>
      <c r="V747" s="228" t="str">
        <f>IF($P747="","",IF('Input LwA_XYZ'!S26="","-",'Input LwA_XYZ'!S26))</f>
        <v/>
      </c>
      <c r="W747" s="229" t="str" cm="1">
        <f t="array" ref="W747">IF($P747="","",IF(_xlfn.XLOOKUP(Tables!$N$722,_xlfn.ANCHORARRAY('Input LwA_XYZ'!$DD$1),'Input LwA_XYZ'!DD26:DR26)="","-",_xlfn.XLOOKUP(Tables!$N$722,_xlfn.ANCHORARRAY('Input LwA_XYZ'!$DD$1),'Input LwA_XYZ'!DD26:DR26)))</f>
        <v/>
      </c>
      <c r="X747" s="62" t="str">
        <f>IF($P747="","",_xlfn.XLOOKUP(Tables!$N$722,'Input LwA_XYZ'!$DU$1:$EI$1,'Input LwA_XYZ'!DU26:EI26))</f>
        <v/>
      </c>
    </row>
    <row r="748" spans="16:24" ht="16.5" x14ac:dyDescent="0.3">
      <c r="P748" s="230" t="str">
        <f>IF(OR('Input LwA_XYZ'!A27 = 0, NOT(ISBLANK(_xlfn.XLOOKUP(Tables!N$722, 'Input LwA_XYZ'!CM$1:DA$1, 'Input LwA_XYZ'!CM27:DA27)))), "", 'Input LwA_XYZ'!A27)</f>
        <v/>
      </c>
      <c r="Q748" s="225" t="str">
        <f>IF($P748="","",_xlfn.TEXTJOIN(" - ",TRUE,'Input LwA_XYZ'!B27:C27))</f>
        <v/>
      </c>
      <c r="R748" s="231" t="str">
        <f>IF($P748="","",'Input LwA_XYZ'!Q27)</f>
        <v/>
      </c>
      <c r="S748" s="227" t="str">
        <f>IF($P748="","",ROUND(_xlfn.XLOOKUP(Tables!$N$722,'Input LwA_XYZ'!$AH$1:$AV$1,'Input LwA_XYZ'!AH27:AV27),0))</f>
        <v/>
      </c>
      <c r="T748" s="228" t="str">
        <f>IF($P748="","",-1*ROUND(_xlfn.XLOOKUP(Tables!$N$722,'Input LwA_XYZ'!$AY$1:$BM$1,'Input LwA_XYZ'!AY27:BM27),0))</f>
        <v/>
      </c>
      <c r="U748" s="228" t="str">
        <f>IF($P748="","",IF(_xlfn.XLOOKUP(Tables!$N$722,'Input LwA_XYZ'!$BV$1:$CJ$1,'Input LwA_XYZ'!BV27:CJ27)="","-",_xlfn.XLOOKUP(Tables!$N$722,'Input LwA_XYZ'!$BV$1:$CJ$1,'Input LwA_XYZ'!BV27:CJ27)))</f>
        <v/>
      </c>
      <c r="V748" s="228" t="str">
        <f>IF($P748="","",IF('Input LwA_XYZ'!S27="","-",'Input LwA_XYZ'!S27))</f>
        <v/>
      </c>
      <c r="W748" s="229" t="str" cm="1">
        <f t="array" ref="W748">IF($P748="","",IF(_xlfn.XLOOKUP(Tables!$N$722,_xlfn.ANCHORARRAY('Input LwA_XYZ'!$DD$1),'Input LwA_XYZ'!DD27:DR27)="","-",_xlfn.XLOOKUP(Tables!$N$722,_xlfn.ANCHORARRAY('Input LwA_XYZ'!$DD$1),'Input LwA_XYZ'!DD27:DR27)))</f>
        <v/>
      </c>
      <c r="X748" s="62" t="str">
        <f>IF($P748="","",_xlfn.XLOOKUP(Tables!$N$722,'Input LwA_XYZ'!$DU$1:$EI$1,'Input LwA_XYZ'!DU27:EI27))</f>
        <v/>
      </c>
    </row>
    <row r="749" spans="16:24" ht="16.5" x14ac:dyDescent="0.3">
      <c r="P749" s="230" t="str">
        <f>IF(OR('Input LwA_XYZ'!A28 = 0, NOT(ISBLANK(_xlfn.XLOOKUP(Tables!N$722, 'Input LwA_XYZ'!CM$1:DA$1, 'Input LwA_XYZ'!CM28:DA28)))), "", 'Input LwA_XYZ'!A28)</f>
        <v/>
      </c>
      <c r="Q749" s="225" t="str">
        <f>IF($P749="","",_xlfn.TEXTJOIN(" - ",TRUE,'Input LwA_XYZ'!B28:C28))</f>
        <v/>
      </c>
      <c r="R749" s="231" t="str">
        <f>IF($P749="","",'Input LwA_XYZ'!Q28)</f>
        <v/>
      </c>
      <c r="S749" s="227" t="str">
        <f>IF($P749="","",ROUND(_xlfn.XLOOKUP(Tables!$N$722,'Input LwA_XYZ'!$AH$1:$AV$1,'Input LwA_XYZ'!AH28:AV28),0))</f>
        <v/>
      </c>
      <c r="T749" s="228" t="str">
        <f>IF($P749="","",-1*ROUND(_xlfn.XLOOKUP(Tables!$N$722,'Input LwA_XYZ'!$AY$1:$BM$1,'Input LwA_XYZ'!AY28:BM28),0))</f>
        <v/>
      </c>
      <c r="U749" s="228" t="str">
        <f>IF($P749="","",IF(_xlfn.XLOOKUP(Tables!$N$722,'Input LwA_XYZ'!$BV$1:$CJ$1,'Input LwA_XYZ'!BV28:CJ28)="","-",_xlfn.XLOOKUP(Tables!$N$722,'Input LwA_XYZ'!$BV$1:$CJ$1,'Input LwA_XYZ'!BV28:CJ28)))</f>
        <v/>
      </c>
      <c r="V749" s="228" t="str">
        <f>IF($P749="","",IF('Input LwA_XYZ'!S28="","-",'Input LwA_XYZ'!S28))</f>
        <v/>
      </c>
      <c r="W749" s="229" t="str" cm="1">
        <f t="array" ref="W749">IF($P749="","",IF(_xlfn.XLOOKUP(Tables!$N$722,_xlfn.ANCHORARRAY('Input LwA_XYZ'!$DD$1),'Input LwA_XYZ'!DD28:DR28)="","-",_xlfn.XLOOKUP(Tables!$N$722,_xlfn.ANCHORARRAY('Input LwA_XYZ'!$DD$1),'Input LwA_XYZ'!DD28:DR28)))</f>
        <v/>
      </c>
      <c r="X749" s="62" t="str">
        <f>IF($P749="","",_xlfn.XLOOKUP(Tables!$N$722,'Input LwA_XYZ'!$DU$1:$EI$1,'Input LwA_XYZ'!DU28:EI28))</f>
        <v/>
      </c>
    </row>
    <row r="750" spans="16:24" ht="16.5" x14ac:dyDescent="0.3">
      <c r="P750" s="230" t="str">
        <f>IF(OR('Input LwA_XYZ'!A29 = 0, NOT(ISBLANK(_xlfn.XLOOKUP(Tables!N$722, 'Input LwA_XYZ'!CM$1:DA$1, 'Input LwA_XYZ'!CM29:DA29)))), "", 'Input LwA_XYZ'!A29)</f>
        <v/>
      </c>
      <c r="Q750" s="225" t="str">
        <f>IF($P750="","",_xlfn.TEXTJOIN(" - ",TRUE,'Input LwA_XYZ'!B29:C29))</f>
        <v/>
      </c>
      <c r="R750" s="231" t="str">
        <f>IF($P750="","",'Input LwA_XYZ'!Q29)</f>
        <v/>
      </c>
      <c r="S750" s="227" t="str">
        <f>IF($P750="","",ROUND(_xlfn.XLOOKUP(Tables!$N$722,'Input LwA_XYZ'!$AH$1:$AV$1,'Input LwA_XYZ'!AH29:AV29),0))</f>
        <v/>
      </c>
      <c r="T750" s="228" t="str">
        <f>IF($P750="","",-1*ROUND(_xlfn.XLOOKUP(Tables!$N$722,'Input LwA_XYZ'!$AY$1:$BM$1,'Input LwA_XYZ'!AY29:BM29),0))</f>
        <v/>
      </c>
      <c r="U750" s="228" t="str">
        <f>IF($P750="","",IF(_xlfn.XLOOKUP(Tables!$N$722,'Input LwA_XYZ'!$BV$1:$CJ$1,'Input LwA_XYZ'!BV29:CJ29)="","-",_xlfn.XLOOKUP(Tables!$N$722,'Input LwA_XYZ'!$BV$1:$CJ$1,'Input LwA_XYZ'!BV29:CJ29)))</f>
        <v/>
      </c>
      <c r="V750" s="228" t="str">
        <f>IF($P750="","",IF('Input LwA_XYZ'!S29="","-",'Input LwA_XYZ'!S29))</f>
        <v/>
      </c>
      <c r="W750" s="229" t="str" cm="1">
        <f t="array" ref="W750">IF($P750="","",IF(_xlfn.XLOOKUP(Tables!$N$722,_xlfn.ANCHORARRAY('Input LwA_XYZ'!$DD$1),'Input LwA_XYZ'!DD29:DR29)="","-",_xlfn.XLOOKUP(Tables!$N$722,_xlfn.ANCHORARRAY('Input LwA_XYZ'!$DD$1),'Input LwA_XYZ'!DD29:DR29)))</f>
        <v/>
      </c>
      <c r="X750" s="62" t="str">
        <f>IF($P750="","",_xlfn.XLOOKUP(Tables!$N$722,'Input LwA_XYZ'!$DU$1:$EI$1,'Input LwA_XYZ'!DU29:EI29))</f>
        <v/>
      </c>
    </row>
    <row r="751" spans="16:24" ht="16.5" x14ac:dyDescent="0.3">
      <c r="P751" s="230" t="str">
        <f>IF(OR('Input LwA_XYZ'!A30 = 0, NOT(ISBLANK(_xlfn.XLOOKUP(Tables!N$722, 'Input LwA_XYZ'!CM$1:DA$1, 'Input LwA_XYZ'!CM30:DA30)))), "", 'Input LwA_XYZ'!A30)</f>
        <v/>
      </c>
      <c r="Q751" s="225" t="str">
        <f>IF($P751="","",_xlfn.TEXTJOIN(" - ",TRUE,'Input LwA_XYZ'!B30:C30))</f>
        <v/>
      </c>
      <c r="R751" s="231" t="str">
        <f>IF($P751="","",'Input LwA_XYZ'!Q30)</f>
        <v/>
      </c>
      <c r="S751" s="227" t="str">
        <f>IF($P751="","",ROUND(_xlfn.XLOOKUP(Tables!$N$722,'Input LwA_XYZ'!$AH$1:$AV$1,'Input LwA_XYZ'!AH30:AV30),0))</f>
        <v/>
      </c>
      <c r="T751" s="228" t="str">
        <f>IF($P751="","",-1*ROUND(_xlfn.XLOOKUP(Tables!$N$722,'Input LwA_XYZ'!$AY$1:$BM$1,'Input LwA_XYZ'!AY30:BM30),0))</f>
        <v/>
      </c>
      <c r="U751" s="228" t="str">
        <f>IF($P751="","",IF(_xlfn.XLOOKUP(Tables!$N$722,'Input LwA_XYZ'!$BV$1:$CJ$1,'Input LwA_XYZ'!BV30:CJ30)="","-",_xlfn.XLOOKUP(Tables!$N$722,'Input LwA_XYZ'!$BV$1:$CJ$1,'Input LwA_XYZ'!BV30:CJ30)))</f>
        <v/>
      </c>
      <c r="V751" s="228" t="str">
        <f>IF($P751="","",IF('Input LwA_XYZ'!S30="","-",'Input LwA_XYZ'!S30))</f>
        <v/>
      </c>
      <c r="W751" s="229" t="str" cm="1">
        <f t="array" ref="W751">IF($P751="","",IF(_xlfn.XLOOKUP(Tables!$N$722,_xlfn.ANCHORARRAY('Input LwA_XYZ'!$DD$1),'Input LwA_XYZ'!DD30:DR30)="","-",_xlfn.XLOOKUP(Tables!$N$722,_xlfn.ANCHORARRAY('Input LwA_XYZ'!$DD$1),'Input LwA_XYZ'!DD30:DR30)))</f>
        <v/>
      </c>
      <c r="X751" s="62" t="str">
        <f>IF($P751="","",_xlfn.XLOOKUP(Tables!$N$722,'Input LwA_XYZ'!$DU$1:$EI$1,'Input LwA_XYZ'!DU30:EI30))</f>
        <v/>
      </c>
    </row>
    <row r="752" spans="16:24" ht="16.5" x14ac:dyDescent="0.3">
      <c r="P752" s="230" t="str">
        <f>IF(OR('Input LwA_XYZ'!A31 = 0, NOT(ISBLANK(_xlfn.XLOOKUP(Tables!N$722, 'Input LwA_XYZ'!CM$1:DA$1, 'Input LwA_XYZ'!CM31:DA31)))), "", 'Input LwA_XYZ'!A31)</f>
        <v/>
      </c>
      <c r="Q752" s="225" t="str">
        <f>IF($P752="","",_xlfn.TEXTJOIN(" - ",TRUE,'Input LwA_XYZ'!B31:C31))</f>
        <v/>
      </c>
      <c r="R752" s="231" t="str">
        <f>IF($P752="","",'Input LwA_XYZ'!Q31)</f>
        <v/>
      </c>
      <c r="S752" s="227" t="str">
        <f>IF($P752="","",ROUND(_xlfn.XLOOKUP(Tables!$N$722,'Input LwA_XYZ'!$AH$1:$AV$1,'Input LwA_XYZ'!AH31:AV31),0))</f>
        <v/>
      </c>
      <c r="T752" s="228" t="str">
        <f>IF($P752="","",-1*ROUND(_xlfn.XLOOKUP(Tables!$N$722,'Input LwA_XYZ'!$AY$1:$BM$1,'Input LwA_XYZ'!AY31:BM31),0))</f>
        <v/>
      </c>
      <c r="U752" s="228" t="str">
        <f>IF($P752="","",IF(_xlfn.XLOOKUP(Tables!$N$722,'Input LwA_XYZ'!$BV$1:$CJ$1,'Input LwA_XYZ'!BV31:CJ31)="","-",_xlfn.XLOOKUP(Tables!$N$722,'Input LwA_XYZ'!$BV$1:$CJ$1,'Input LwA_XYZ'!BV31:CJ31)))</f>
        <v/>
      </c>
      <c r="V752" s="228" t="str">
        <f>IF($P752="","",IF('Input LwA_XYZ'!S31="","-",'Input LwA_XYZ'!S31))</f>
        <v/>
      </c>
      <c r="W752" s="229" t="str" cm="1">
        <f t="array" ref="W752">IF($P752="","",IF(_xlfn.XLOOKUP(Tables!$N$722,_xlfn.ANCHORARRAY('Input LwA_XYZ'!$DD$1),'Input LwA_XYZ'!DD31:DR31)="","-",_xlfn.XLOOKUP(Tables!$N$722,_xlfn.ANCHORARRAY('Input LwA_XYZ'!$DD$1),'Input LwA_XYZ'!DD31:DR31)))</f>
        <v/>
      </c>
      <c r="X752" s="62" t="str">
        <f>IF($P752="","",_xlfn.XLOOKUP(Tables!$N$722,'Input LwA_XYZ'!$DU$1:$EI$1,'Input LwA_XYZ'!DU31:EI31))</f>
        <v/>
      </c>
    </row>
    <row r="753" spans="16:24" ht="16.5" x14ac:dyDescent="0.3">
      <c r="P753" s="230" t="str">
        <f>IF(OR('Input LwA_XYZ'!A32 = 0, NOT(ISBLANK(_xlfn.XLOOKUP(Tables!N$722, 'Input LwA_XYZ'!CM$1:DA$1, 'Input LwA_XYZ'!CM32:DA32)))), "", 'Input LwA_XYZ'!A32)</f>
        <v/>
      </c>
      <c r="Q753" s="225" t="str">
        <f>IF($P753="","",_xlfn.TEXTJOIN(" - ",TRUE,'Input LwA_XYZ'!B32:C32))</f>
        <v/>
      </c>
      <c r="R753" s="231" t="str">
        <f>IF($P753="","",'Input LwA_XYZ'!Q32)</f>
        <v/>
      </c>
      <c r="S753" s="227" t="str">
        <f>IF($P753="","",ROUND(_xlfn.XLOOKUP(Tables!$N$722,'Input LwA_XYZ'!$AH$1:$AV$1,'Input LwA_XYZ'!AH32:AV32),0))</f>
        <v/>
      </c>
      <c r="T753" s="228" t="str">
        <f>IF($P753="","",-1*ROUND(_xlfn.XLOOKUP(Tables!$N$722,'Input LwA_XYZ'!$AY$1:$BM$1,'Input LwA_XYZ'!AY32:BM32),0))</f>
        <v/>
      </c>
      <c r="U753" s="228" t="str">
        <f>IF($P753="","",IF(_xlfn.XLOOKUP(Tables!$N$722,'Input LwA_XYZ'!$BV$1:$CJ$1,'Input LwA_XYZ'!BV32:CJ32)="","-",_xlfn.XLOOKUP(Tables!$N$722,'Input LwA_XYZ'!$BV$1:$CJ$1,'Input LwA_XYZ'!BV32:CJ32)))</f>
        <v/>
      </c>
      <c r="V753" s="228" t="str">
        <f>IF($P753="","",IF('Input LwA_XYZ'!S32="","-",'Input LwA_XYZ'!S32))</f>
        <v/>
      </c>
      <c r="W753" s="229" t="str" cm="1">
        <f t="array" ref="W753">IF($P753="","",IF(_xlfn.XLOOKUP(Tables!$N$722,_xlfn.ANCHORARRAY('Input LwA_XYZ'!$DD$1),'Input LwA_XYZ'!DD32:DR32)="","-",_xlfn.XLOOKUP(Tables!$N$722,_xlfn.ANCHORARRAY('Input LwA_XYZ'!$DD$1),'Input LwA_XYZ'!DD32:DR32)))</f>
        <v/>
      </c>
      <c r="X753" s="62" t="str">
        <f>IF($P753="","",_xlfn.XLOOKUP(Tables!$N$722,'Input LwA_XYZ'!$DU$1:$EI$1,'Input LwA_XYZ'!DU32:EI32))</f>
        <v/>
      </c>
    </row>
    <row r="754" spans="16:24" ht="16.5" x14ac:dyDescent="0.3">
      <c r="P754" s="230" t="str">
        <f>IF(OR('Input LwA_XYZ'!A33 = 0, NOT(ISBLANK(_xlfn.XLOOKUP(Tables!N$722, 'Input LwA_XYZ'!CM$1:DA$1, 'Input LwA_XYZ'!CM33:DA33)))), "", 'Input LwA_XYZ'!A33)</f>
        <v/>
      </c>
      <c r="Q754" s="225" t="str">
        <f>IF($P754="","",_xlfn.TEXTJOIN(" - ",TRUE,'Input LwA_XYZ'!B33:C33))</f>
        <v/>
      </c>
      <c r="R754" s="231" t="str">
        <f>IF($P754="","",'Input LwA_XYZ'!Q33)</f>
        <v/>
      </c>
      <c r="S754" s="227" t="str">
        <f>IF($P754="","",ROUND(_xlfn.XLOOKUP(Tables!$N$722,'Input LwA_XYZ'!$AH$1:$AV$1,'Input LwA_XYZ'!AH33:AV33),0))</f>
        <v/>
      </c>
      <c r="T754" s="228" t="str">
        <f>IF($P754="","",-1*ROUND(_xlfn.XLOOKUP(Tables!$N$722,'Input LwA_XYZ'!$AY$1:$BM$1,'Input LwA_XYZ'!AY33:BM33),0))</f>
        <v/>
      </c>
      <c r="U754" s="228" t="str">
        <f>IF($P754="","",IF(_xlfn.XLOOKUP(Tables!$N$722,'Input LwA_XYZ'!$BV$1:$CJ$1,'Input LwA_XYZ'!BV33:CJ33)="","-",_xlfn.XLOOKUP(Tables!$N$722,'Input LwA_XYZ'!$BV$1:$CJ$1,'Input LwA_XYZ'!BV33:CJ33)))</f>
        <v/>
      </c>
      <c r="V754" s="228" t="str">
        <f>IF($P754="","",IF('Input LwA_XYZ'!S33="","-",'Input LwA_XYZ'!S33))</f>
        <v/>
      </c>
      <c r="W754" s="229" t="str" cm="1">
        <f t="array" ref="W754">IF($P754="","",IF(_xlfn.XLOOKUP(Tables!$N$722,_xlfn.ANCHORARRAY('Input LwA_XYZ'!$DD$1),'Input LwA_XYZ'!DD33:DR33)="","-",_xlfn.XLOOKUP(Tables!$N$722,_xlfn.ANCHORARRAY('Input LwA_XYZ'!$DD$1),'Input LwA_XYZ'!DD33:DR33)))</f>
        <v/>
      </c>
      <c r="X754" s="62" t="str">
        <f>IF($P754="","",_xlfn.XLOOKUP(Tables!$N$722,'Input LwA_XYZ'!$DU$1:$EI$1,'Input LwA_XYZ'!DU33:EI33))</f>
        <v/>
      </c>
    </row>
    <row r="755" spans="16:24" ht="16.5" x14ac:dyDescent="0.3">
      <c r="P755" s="230" t="str">
        <f>IF(OR('Input LwA_XYZ'!A34 = 0, NOT(ISBLANK(_xlfn.XLOOKUP(Tables!N$722, 'Input LwA_XYZ'!CM$1:DA$1, 'Input LwA_XYZ'!CM34:DA34)))), "", 'Input LwA_XYZ'!A34)</f>
        <v/>
      </c>
      <c r="Q755" s="225" t="str">
        <f>IF($P755="","",_xlfn.TEXTJOIN(" - ",TRUE,'Input LwA_XYZ'!B34:C34))</f>
        <v/>
      </c>
      <c r="R755" s="231" t="str">
        <f>IF($P755="","",'Input LwA_XYZ'!Q34)</f>
        <v/>
      </c>
      <c r="S755" s="227" t="str">
        <f>IF($P755="","",ROUND(_xlfn.XLOOKUP(Tables!$N$722,'Input LwA_XYZ'!$AH$1:$AV$1,'Input LwA_XYZ'!AH34:AV34),0))</f>
        <v/>
      </c>
      <c r="T755" s="228" t="str">
        <f>IF($P755="","",-1*ROUND(_xlfn.XLOOKUP(Tables!$N$722,'Input LwA_XYZ'!$AY$1:$BM$1,'Input LwA_XYZ'!AY34:BM34),0))</f>
        <v/>
      </c>
      <c r="U755" s="228" t="str">
        <f>IF($P755="","",IF(_xlfn.XLOOKUP(Tables!$N$722,'Input LwA_XYZ'!$BV$1:$CJ$1,'Input LwA_XYZ'!BV34:CJ34)="","-",_xlfn.XLOOKUP(Tables!$N$722,'Input LwA_XYZ'!$BV$1:$CJ$1,'Input LwA_XYZ'!BV34:CJ34)))</f>
        <v/>
      </c>
      <c r="V755" s="228" t="str">
        <f>IF($P755="","",IF('Input LwA_XYZ'!S34="","-",'Input LwA_XYZ'!S34))</f>
        <v/>
      </c>
      <c r="W755" s="229" t="str" cm="1">
        <f t="array" ref="W755">IF($P755="","",IF(_xlfn.XLOOKUP(Tables!$N$722,_xlfn.ANCHORARRAY('Input LwA_XYZ'!$DD$1),'Input LwA_XYZ'!DD34:DR34)="","-",_xlfn.XLOOKUP(Tables!$N$722,_xlfn.ANCHORARRAY('Input LwA_XYZ'!$DD$1),'Input LwA_XYZ'!DD34:DR34)))</f>
        <v/>
      </c>
      <c r="X755" s="62" t="str">
        <f>IF($P755="","",_xlfn.XLOOKUP(Tables!$N$722,'Input LwA_XYZ'!$DU$1:$EI$1,'Input LwA_XYZ'!DU34:EI34))</f>
        <v/>
      </c>
    </row>
    <row r="756" spans="16:24" ht="16.5" x14ac:dyDescent="0.3">
      <c r="P756" s="230" t="str">
        <f>IF(OR('Input LwA_XYZ'!A35 = 0, NOT(ISBLANK(_xlfn.XLOOKUP(Tables!N$722, 'Input LwA_XYZ'!CM$1:DA$1, 'Input LwA_XYZ'!CM35:DA35)))), "", 'Input LwA_XYZ'!A35)</f>
        <v/>
      </c>
      <c r="Q756" s="225" t="str">
        <f>IF($P756="","",_xlfn.TEXTJOIN(" - ",TRUE,'Input LwA_XYZ'!B35:C35))</f>
        <v/>
      </c>
      <c r="R756" s="231" t="str">
        <f>IF($P756="","",'Input LwA_XYZ'!Q35)</f>
        <v/>
      </c>
      <c r="S756" s="227" t="str">
        <f>IF($P756="","",ROUND(_xlfn.XLOOKUP(Tables!$N$722,'Input LwA_XYZ'!$AH$1:$AV$1,'Input LwA_XYZ'!AH35:AV35),0))</f>
        <v/>
      </c>
      <c r="T756" s="228" t="str">
        <f>IF($P756="","",-1*ROUND(_xlfn.XLOOKUP(Tables!$N$722,'Input LwA_XYZ'!$AY$1:$BM$1,'Input LwA_XYZ'!AY35:BM35),0))</f>
        <v/>
      </c>
      <c r="U756" s="228" t="str">
        <f>IF($P756="","",IF(_xlfn.XLOOKUP(Tables!$N$722,'Input LwA_XYZ'!$BV$1:$CJ$1,'Input LwA_XYZ'!BV35:CJ35)="","-",_xlfn.XLOOKUP(Tables!$N$722,'Input LwA_XYZ'!$BV$1:$CJ$1,'Input LwA_XYZ'!BV35:CJ35)))</f>
        <v/>
      </c>
      <c r="V756" s="228" t="str">
        <f>IF($P756="","",IF('Input LwA_XYZ'!S35="","-",'Input LwA_XYZ'!S35))</f>
        <v/>
      </c>
      <c r="W756" s="229" t="str" cm="1">
        <f t="array" ref="W756">IF($P756="","",IF(_xlfn.XLOOKUP(Tables!$N$722,_xlfn.ANCHORARRAY('Input LwA_XYZ'!$DD$1),'Input LwA_XYZ'!DD35:DR35)="","-",_xlfn.XLOOKUP(Tables!$N$722,_xlfn.ANCHORARRAY('Input LwA_XYZ'!$DD$1),'Input LwA_XYZ'!DD35:DR35)))</f>
        <v/>
      </c>
      <c r="X756" s="62" t="str">
        <f>IF($P756="","",_xlfn.XLOOKUP(Tables!$N$722,'Input LwA_XYZ'!$DU$1:$EI$1,'Input LwA_XYZ'!DU35:EI35))</f>
        <v/>
      </c>
    </row>
    <row r="757" spans="16:24" ht="16.5" x14ac:dyDescent="0.3">
      <c r="P757" s="230" t="str">
        <f>IF(OR('Input LwA_XYZ'!A36 = 0, NOT(ISBLANK(_xlfn.XLOOKUP(Tables!N$722, 'Input LwA_XYZ'!CM$1:DA$1, 'Input LwA_XYZ'!CM36:DA36)))), "", 'Input LwA_XYZ'!A36)</f>
        <v/>
      </c>
      <c r="Q757" s="225" t="str">
        <f>IF($P757="","",_xlfn.TEXTJOIN(" - ",TRUE,'Input LwA_XYZ'!B36:C36))</f>
        <v/>
      </c>
      <c r="R757" s="231" t="str">
        <f>IF($P757="","",'Input LwA_XYZ'!Q36)</f>
        <v/>
      </c>
      <c r="S757" s="227" t="str">
        <f>IF($P757="","",ROUND(_xlfn.XLOOKUP(Tables!$N$722,'Input LwA_XYZ'!$AH$1:$AV$1,'Input LwA_XYZ'!AH36:AV36),0))</f>
        <v/>
      </c>
      <c r="T757" s="228" t="str">
        <f>IF($P757="","",-1*ROUND(_xlfn.XLOOKUP(Tables!$N$722,'Input LwA_XYZ'!$AY$1:$BM$1,'Input LwA_XYZ'!AY36:BM36),0))</f>
        <v/>
      </c>
      <c r="U757" s="228" t="str">
        <f>IF($P757="","",IF(_xlfn.XLOOKUP(Tables!$N$722,'Input LwA_XYZ'!$BV$1:$CJ$1,'Input LwA_XYZ'!BV36:CJ36)="","-",_xlfn.XLOOKUP(Tables!$N$722,'Input LwA_XYZ'!$BV$1:$CJ$1,'Input LwA_XYZ'!BV36:CJ36)))</f>
        <v/>
      </c>
      <c r="V757" s="228" t="str">
        <f>IF($P757="","",IF('Input LwA_XYZ'!S36="","-",'Input LwA_XYZ'!S36))</f>
        <v/>
      </c>
      <c r="W757" s="229" t="str" cm="1">
        <f t="array" ref="W757">IF($P757="","",IF(_xlfn.XLOOKUP(Tables!$N$722,_xlfn.ANCHORARRAY('Input LwA_XYZ'!$DD$1),'Input LwA_XYZ'!DD36:DR36)="","-",_xlfn.XLOOKUP(Tables!$N$722,_xlfn.ANCHORARRAY('Input LwA_XYZ'!$DD$1),'Input LwA_XYZ'!DD36:DR36)))</f>
        <v/>
      </c>
      <c r="X757" s="62" t="str">
        <f>IF($P757="","",_xlfn.XLOOKUP(Tables!$N$722,'Input LwA_XYZ'!$DU$1:$EI$1,'Input LwA_XYZ'!DU36:EI36))</f>
        <v/>
      </c>
    </row>
    <row r="758" spans="16:24" ht="16.5" x14ac:dyDescent="0.3">
      <c r="P758" s="230" t="str">
        <f>IF(OR('Input LwA_XYZ'!A37 = 0, NOT(ISBLANK(_xlfn.XLOOKUP(Tables!N$722, 'Input LwA_XYZ'!CM$1:DA$1, 'Input LwA_XYZ'!CM37:DA37)))), "", 'Input LwA_XYZ'!A37)</f>
        <v/>
      </c>
      <c r="Q758" s="225" t="str">
        <f>IF($P758="","",_xlfn.TEXTJOIN(" - ",TRUE,'Input LwA_XYZ'!B37:C37))</f>
        <v/>
      </c>
      <c r="R758" s="231" t="str">
        <f>IF($P758="","",'Input LwA_XYZ'!Q37)</f>
        <v/>
      </c>
      <c r="S758" s="227" t="str">
        <f>IF($P758="","",ROUND(_xlfn.XLOOKUP(Tables!$N$722,'Input LwA_XYZ'!$AH$1:$AV$1,'Input LwA_XYZ'!AH37:AV37),0))</f>
        <v/>
      </c>
      <c r="T758" s="228" t="str">
        <f>IF($P758="","",-1*ROUND(_xlfn.XLOOKUP(Tables!$N$722,'Input LwA_XYZ'!$AY$1:$BM$1,'Input LwA_XYZ'!AY37:BM37),0))</f>
        <v/>
      </c>
      <c r="U758" s="228" t="str">
        <f>IF($P758="","",IF(_xlfn.XLOOKUP(Tables!$N$722,'Input LwA_XYZ'!$BV$1:$CJ$1,'Input LwA_XYZ'!BV37:CJ37)="","-",_xlfn.XLOOKUP(Tables!$N$722,'Input LwA_XYZ'!$BV$1:$CJ$1,'Input LwA_XYZ'!BV37:CJ37)))</f>
        <v/>
      </c>
      <c r="V758" s="228" t="str">
        <f>IF($P758="","",IF('Input LwA_XYZ'!S37="","-",'Input LwA_XYZ'!S37))</f>
        <v/>
      </c>
      <c r="W758" s="229" t="str" cm="1">
        <f t="array" ref="W758">IF($P758="","",IF(_xlfn.XLOOKUP(Tables!$N$722,_xlfn.ANCHORARRAY('Input LwA_XYZ'!$DD$1),'Input LwA_XYZ'!DD37:DR37)="","-",_xlfn.XLOOKUP(Tables!$N$722,_xlfn.ANCHORARRAY('Input LwA_XYZ'!$DD$1),'Input LwA_XYZ'!DD37:DR37)))</f>
        <v/>
      </c>
      <c r="X758" s="62" t="str">
        <f>IF($P758="","",_xlfn.XLOOKUP(Tables!$N$722,'Input LwA_XYZ'!$DU$1:$EI$1,'Input LwA_XYZ'!DU37:EI37))</f>
        <v/>
      </c>
    </row>
    <row r="759" spans="16:24" ht="16.5" x14ac:dyDescent="0.3">
      <c r="P759" s="230" t="str">
        <f>IF(OR('Input LwA_XYZ'!A38 = 0, NOT(ISBLANK(_xlfn.XLOOKUP(Tables!N$722, 'Input LwA_XYZ'!CM$1:DA$1, 'Input LwA_XYZ'!CM38:DA38)))), "", 'Input LwA_XYZ'!A38)</f>
        <v/>
      </c>
      <c r="Q759" s="225" t="str">
        <f>IF($P759="","",_xlfn.TEXTJOIN(" - ",TRUE,'Input LwA_XYZ'!B38:C38))</f>
        <v/>
      </c>
      <c r="R759" s="231" t="str">
        <f>IF($P759="","",'Input LwA_XYZ'!Q38)</f>
        <v/>
      </c>
      <c r="S759" s="227" t="str">
        <f>IF($P759="","",ROUND(_xlfn.XLOOKUP(Tables!$N$722,'Input LwA_XYZ'!$AH$1:$AV$1,'Input LwA_XYZ'!AH38:AV38),0))</f>
        <v/>
      </c>
      <c r="T759" s="228" t="str">
        <f>IF($P759="","",-1*ROUND(_xlfn.XLOOKUP(Tables!$N$722,'Input LwA_XYZ'!$AY$1:$BM$1,'Input LwA_XYZ'!AY38:BM38),0))</f>
        <v/>
      </c>
      <c r="U759" s="228" t="str">
        <f>IF($P759="","",IF(_xlfn.XLOOKUP(Tables!$N$722,'Input LwA_XYZ'!$BV$1:$CJ$1,'Input LwA_XYZ'!BV38:CJ38)="","-",_xlfn.XLOOKUP(Tables!$N$722,'Input LwA_XYZ'!$BV$1:$CJ$1,'Input LwA_XYZ'!BV38:CJ38)))</f>
        <v/>
      </c>
      <c r="V759" s="228" t="str">
        <f>IF($P759="","",IF('Input LwA_XYZ'!S38="","-",'Input LwA_XYZ'!S38))</f>
        <v/>
      </c>
      <c r="W759" s="229" t="str" cm="1">
        <f t="array" ref="W759">IF($P759="","",IF(_xlfn.XLOOKUP(Tables!$N$722,_xlfn.ANCHORARRAY('Input LwA_XYZ'!$DD$1),'Input LwA_XYZ'!DD38:DR38)="","-",_xlfn.XLOOKUP(Tables!$N$722,_xlfn.ANCHORARRAY('Input LwA_XYZ'!$DD$1),'Input LwA_XYZ'!DD38:DR38)))</f>
        <v/>
      </c>
      <c r="X759" s="62" t="str">
        <f>IF($P759="","",_xlfn.XLOOKUP(Tables!$N$722,'Input LwA_XYZ'!$DU$1:$EI$1,'Input LwA_XYZ'!DU38:EI38))</f>
        <v/>
      </c>
    </row>
    <row r="760" spans="16:24" ht="16.5" x14ac:dyDescent="0.3">
      <c r="P760" s="230" t="str">
        <f>IF(OR('Input LwA_XYZ'!A39 = 0, NOT(ISBLANK(_xlfn.XLOOKUP(Tables!N$722, 'Input LwA_XYZ'!CM$1:DA$1, 'Input LwA_XYZ'!CM39:DA39)))), "", 'Input LwA_XYZ'!A39)</f>
        <v/>
      </c>
      <c r="Q760" s="225" t="str">
        <f>IF($P760="","",_xlfn.TEXTJOIN(" - ",TRUE,'Input LwA_XYZ'!B39:C39))</f>
        <v/>
      </c>
      <c r="R760" s="231" t="str">
        <f>IF($P760="","",'Input LwA_XYZ'!Q39)</f>
        <v/>
      </c>
      <c r="S760" s="227" t="str">
        <f>IF($P760="","",ROUND(_xlfn.XLOOKUP(Tables!$N$722,'Input LwA_XYZ'!$AH$1:$AV$1,'Input LwA_XYZ'!AH39:AV39),0))</f>
        <v/>
      </c>
      <c r="T760" s="228" t="str">
        <f>IF($P760="","",-1*ROUND(_xlfn.XLOOKUP(Tables!$N$722,'Input LwA_XYZ'!$AY$1:$BM$1,'Input LwA_XYZ'!AY39:BM39),0))</f>
        <v/>
      </c>
      <c r="U760" s="228" t="str">
        <f>IF($P760="","",IF(_xlfn.XLOOKUP(Tables!$N$722,'Input LwA_XYZ'!$BV$1:$CJ$1,'Input LwA_XYZ'!BV39:CJ39)="","-",_xlfn.XLOOKUP(Tables!$N$722,'Input LwA_XYZ'!$BV$1:$CJ$1,'Input LwA_XYZ'!BV39:CJ39)))</f>
        <v/>
      </c>
      <c r="V760" s="228" t="str">
        <f>IF($P760="","",IF('Input LwA_XYZ'!S39="","-",'Input LwA_XYZ'!S39))</f>
        <v/>
      </c>
      <c r="W760" s="229" t="str" cm="1">
        <f t="array" ref="W760">IF($P760="","",IF(_xlfn.XLOOKUP(Tables!$N$722,_xlfn.ANCHORARRAY('Input LwA_XYZ'!$DD$1),'Input LwA_XYZ'!DD39:DR39)="","-",_xlfn.XLOOKUP(Tables!$N$722,_xlfn.ANCHORARRAY('Input LwA_XYZ'!$DD$1),'Input LwA_XYZ'!DD39:DR39)))</f>
        <v/>
      </c>
      <c r="X760" s="62" t="str">
        <f>IF($P760="","",_xlfn.XLOOKUP(Tables!$N$722,'Input LwA_XYZ'!$DU$1:$EI$1,'Input LwA_XYZ'!DU39:EI39))</f>
        <v/>
      </c>
    </row>
    <row r="761" spans="16:24" ht="16.5" x14ac:dyDescent="0.3">
      <c r="P761" s="230" t="str">
        <f>IF(OR('Input LwA_XYZ'!A40 = 0, NOT(ISBLANK(_xlfn.XLOOKUP(Tables!N$722, 'Input LwA_XYZ'!CM$1:DA$1, 'Input LwA_XYZ'!CM40:DA40)))), "", 'Input LwA_XYZ'!A40)</f>
        <v/>
      </c>
      <c r="Q761" s="225" t="str">
        <f>IF($P761="","",_xlfn.TEXTJOIN(" - ",TRUE,'Input LwA_XYZ'!B40:C40))</f>
        <v/>
      </c>
      <c r="R761" s="231" t="str">
        <f>IF($P761="","",'Input LwA_XYZ'!Q40)</f>
        <v/>
      </c>
      <c r="S761" s="227" t="str">
        <f>IF($P761="","",ROUND(_xlfn.XLOOKUP(Tables!$N$722,'Input LwA_XYZ'!$AH$1:$AV$1,'Input LwA_XYZ'!AH40:AV40),0))</f>
        <v/>
      </c>
      <c r="T761" s="228" t="str">
        <f>IF($P761="","",-1*ROUND(_xlfn.XLOOKUP(Tables!$N$722,'Input LwA_XYZ'!$AY$1:$BM$1,'Input LwA_XYZ'!AY40:BM40),0))</f>
        <v/>
      </c>
      <c r="U761" s="228" t="str">
        <f>IF($P761="","",IF(_xlfn.XLOOKUP(Tables!$N$722,'Input LwA_XYZ'!$BV$1:$CJ$1,'Input LwA_XYZ'!BV40:CJ40)="","-",_xlfn.XLOOKUP(Tables!$N$722,'Input LwA_XYZ'!$BV$1:$CJ$1,'Input LwA_XYZ'!BV40:CJ40)))</f>
        <v/>
      </c>
      <c r="V761" s="228" t="str">
        <f>IF($P761="","",IF('Input LwA_XYZ'!S40="","-",'Input LwA_XYZ'!S40))</f>
        <v/>
      </c>
      <c r="W761" s="229" t="str" cm="1">
        <f t="array" ref="W761">IF($P761="","",IF(_xlfn.XLOOKUP(Tables!$N$722,_xlfn.ANCHORARRAY('Input LwA_XYZ'!$DD$1),'Input LwA_XYZ'!DD40:DR40)="","-",_xlfn.XLOOKUP(Tables!$N$722,_xlfn.ANCHORARRAY('Input LwA_XYZ'!$DD$1),'Input LwA_XYZ'!DD40:DR40)))</f>
        <v/>
      </c>
      <c r="X761" s="62" t="str">
        <f>IF($P761="","",_xlfn.XLOOKUP(Tables!$N$722,'Input LwA_XYZ'!$DU$1:$EI$1,'Input LwA_XYZ'!DU40:EI40))</f>
        <v/>
      </c>
    </row>
    <row r="762" spans="16:24" ht="16.5" x14ac:dyDescent="0.3">
      <c r="P762" s="230" t="str">
        <f>IF(OR('Input LwA_XYZ'!A41 = 0, NOT(ISBLANK(_xlfn.XLOOKUP(Tables!N$722, 'Input LwA_XYZ'!CM$1:DA$1, 'Input LwA_XYZ'!CM41:DA41)))), "", 'Input LwA_XYZ'!A41)</f>
        <v/>
      </c>
      <c r="Q762" s="225" t="str">
        <f>IF($P762="","",_xlfn.TEXTJOIN(" - ",TRUE,'Input LwA_XYZ'!B41:C41))</f>
        <v/>
      </c>
      <c r="R762" s="231" t="str">
        <f>IF($P762="","",'Input LwA_XYZ'!Q41)</f>
        <v/>
      </c>
      <c r="S762" s="227" t="str">
        <f>IF($P762="","",ROUND(_xlfn.XLOOKUP(Tables!$N$722,'Input LwA_XYZ'!$AH$1:$AV$1,'Input LwA_XYZ'!AH41:AV41),0))</f>
        <v/>
      </c>
      <c r="T762" s="228" t="str">
        <f>IF($P762="","",-1*ROUND(_xlfn.XLOOKUP(Tables!$N$722,'Input LwA_XYZ'!$AY$1:$BM$1,'Input LwA_XYZ'!AY41:BM41),0))</f>
        <v/>
      </c>
      <c r="U762" s="228" t="str">
        <f>IF($P762="","",IF(_xlfn.XLOOKUP(Tables!$N$722,'Input LwA_XYZ'!$BV$1:$CJ$1,'Input LwA_XYZ'!BV41:CJ41)="","-",_xlfn.XLOOKUP(Tables!$N$722,'Input LwA_XYZ'!$BV$1:$CJ$1,'Input LwA_XYZ'!BV41:CJ41)))</f>
        <v/>
      </c>
      <c r="V762" s="228" t="str">
        <f>IF($P762="","",IF('Input LwA_XYZ'!S41="","-",'Input LwA_XYZ'!S41))</f>
        <v/>
      </c>
      <c r="W762" s="229" t="str" cm="1">
        <f t="array" ref="W762">IF($P762="","",IF(_xlfn.XLOOKUP(Tables!$N$722,_xlfn.ANCHORARRAY('Input LwA_XYZ'!$DD$1),'Input LwA_XYZ'!DD41:DR41)="","-",_xlfn.XLOOKUP(Tables!$N$722,_xlfn.ANCHORARRAY('Input LwA_XYZ'!$DD$1),'Input LwA_XYZ'!DD41:DR41)))</f>
        <v/>
      </c>
      <c r="X762" s="62" t="str">
        <f>IF($P762="","",_xlfn.XLOOKUP(Tables!$N$722,'Input LwA_XYZ'!$DU$1:$EI$1,'Input LwA_XYZ'!DU41:EI41))</f>
        <v/>
      </c>
    </row>
    <row r="763" spans="16:24" ht="16.5" x14ac:dyDescent="0.3">
      <c r="P763" s="230" t="str">
        <f>IF(OR('Input LwA_XYZ'!A42 = 0, NOT(ISBLANK(_xlfn.XLOOKUP(Tables!N$722, 'Input LwA_XYZ'!CM$1:DA$1, 'Input LwA_XYZ'!CM42:DA42)))), "", 'Input LwA_XYZ'!A42)</f>
        <v/>
      </c>
      <c r="Q763" s="225" t="str">
        <f>IF($P763="","",_xlfn.TEXTJOIN(" - ",TRUE,'Input LwA_XYZ'!B42:C42))</f>
        <v/>
      </c>
      <c r="R763" s="231" t="str">
        <f>IF($P763="","",'Input LwA_XYZ'!Q42)</f>
        <v/>
      </c>
      <c r="S763" s="227" t="str">
        <f>IF($P763="","",ROUND(_xlfn.XLOOKUP(Tables!$N$722,'Input LwA_XYZ'!$AH$1:$AV$1,'Input LwA_XYZ'!AH42:AV42),0))</f>
        <v/>
      </c>
      <c r="T763" s="228" t="str">
        <f>IF($P763="","",-1*ROUND(_xlfn.XLOOKUP(Tables!$N$722,'Input LwA_XYZ'!$AY$1:$BM$1,'Input LwA_XYZ'!AY42:BM42),0))</f>
        <v/>
      </c>
      <c r="U763" s="228" t="str">
        <f>IF($P763="","",IF(_xlfn.XLOOKUP(Tables!$N$722,'Input LwA_XYZ'!$BV$1:$CJ$1,'Input LwA_XYZ'!BV42:CJ42)="","-",_xlfn.XLOOKUP(Tables!$N$722,'Input LwA_XYZ'!$BV$1:$CJ$1,'Input LwA_XYZ'!BV42:CJ42)))</f>
        <v/>
      </c>
      <c r="V763" s="228" t="str">
        <f>IF($P763="","",IF('Input LwA_XYZ'!S42="","-",'Input LwA_XYZ'!S42))</f>
        <v/>
      </c>
      <c r="W763" s="229" t="str" cm="1">
        <f t="array" ref="W763">IF($P763="","",IF(_xlfn.XLOOKUP(Tables!$N$722,_xlfn.ANCHORARRAY('Input LwA_XYZ'!$DD$1),'Input LwA_XYZ'!DD42:DR42)="","-",_xlfn.XLOOKUP(Tables!$N$722,_xlfn.ANCHORARRAY('Input LwA_XYZ'!$DD$1),'Input LwA_XYZ'!DD42:DR42)))</f>
        <v/>
      </c>
      <c r="X763" s="62" t="str">
        <f>IF($P763="","",_xlfn.XLOOKUP(Tables!$N$722,'Input LwA_XYZ'!$DU$1:$EI$1,'Input LwA_XYZ'!DU42:EI42))</f>
        <v/>
      </c>
    </row>
    <row r="764" spans="16:24" ht="16.5" x14ac:dyDescent="0.3">
      <c r="P764" s="230" t="str">
        <f>IF(OR('Input LwA_XYZ'!A43 = 0, NOT(ISBLANK(_xlfn.XLOOKUP(Tables!N$722, 'Input LwA_XYZ'!CM$1:DA$1, 'Input LwA_XYZ'!CM43:DA43)))), "", 'Input LwA_XYZ'!A43)</f>
        <v/>
      </c>
      <c r="Q764" s="225" t="str">
        <f>IF($P764="","",_xlfn.TEXTJOIN(" - ",TRUE,'Input LwA_XYZ'!B43:C43))</f>
        <v/>
      </c>
      <c r="R764" s="231" t="str">
        <f>IF($P764="","",'Input LwA_XYZ'!Q43)</f>
        <v/>
      </c>
      <c r="S764" s="227" t="str">
        <f>IF($P764="","",ROUND(_xlfn.XLOOKUP(Tables!$N$722,'Input LwA_XYZ'!$AH$1:$AV$1,'Input LwA_XYZ'!AH43:AV43),0))</f>
        <v/>
      </c>
      <c r="T764" s="228" t="str">
        <f>IF($P764="","",-1*ROUND(_xlfn.XLOOKUP(Tables!$N$722,'Input LwA_XYZ'!$AY$1:$BM$1,'Input LwA_XYZ'!AY43:BM43),0))</f>
        <v/>
      </c>
      <c r="U764" s="228" t="str">
        <f>IF($P764="","",IF(_xlfn.XLOOKUP(Tables!$N$722,'Input LwA_XYZ'!$BV$1:$CJ$1,'Input LwA_XYZ'!BV43:CJ43)="","-",_xlfn.XLOOKUP(Tables!$N$722,'Input LwA_XYZ'!$BV$1:$CJ$1,'Input LwA_XYZ'!BV43:CJ43)))</f>
        <v/>
      </c>
      <c r="V764" s="228" t="str">
        <f>IF($P764="","",IF('Input LwA_XYZ'!S43="","-",'Input LwA_XYZ'!S43))</f>
        <v/>
      </c>
      <c r="W764" s="229" t="str" cm="1">
        <f t="array" ref="W764">IF($P764="","",IF(_xlfn.XLOOKUP(Tables!$N$722,_xlfn.ANCHORARRAY('Input LwA_XYZ'!$DD$1),'Input LwA_XYZ'!DD43:DR43)="","-",_xlfn.XLOOKUP(Tables!$N$722,_xlfn.ANCHORARRAY('Input LwA_XYZ'!$DD$1),'Input LwA_XYZ'!DD43:DR43)))</f>
        <v/>
      </c>
      <c r="X764" s="62" t="str">
        <f>IF($P764="","",_xlfn.XLOOKUP(Tables!$N$722,'Input LwA_XYZ'!$DU$1:$EI$1,'Input LwA_XYZ'!DU43:EI43))</f>
        <v/>
      </c>
    </row>
    <row r="765" spans="16:24" ht="16.5" x14ac:dyDescent="0.3">
      <c r="P765" s="230" t="str">
        <f>IF(OR('Input LwA_XYZ'!A44 = 0, NOT(ISBLANK(_xlfn.XLOOKUP(Tables!N$722, 'Input LwA_XYZ'!CM$1:DA$1, 'Input LwA_XYZ'!CM44:DA44)))), "", 'Input LwA_XYZ'!A44)</f>
        <v/>
      </c>
      <c r="Q765" s="225" t="str">
        <f>IF($P765="","",_xlfn.TEXTJOIN(" - ",TRUE,'Input LwA_XYZ'!B44:C44))</f>
        <v/>
      </c>
      <c r="R765" s="231" t="str">
        <f>IF($P765="","",'Input LwA_XYZ'!Q44)</f>
        <v/>
      </c>
      <c r="S765" s="227" t="str">
        <f>IF($P765="","",ROUND(_xlfn.XLOOKUP(Tables!$N$722,'Input LwA_XYZ'!$AH$1:$AV$1,'Input LwA_XYZ'!AH44:AV44),0))</f>
        <v/>
      </c>
      <c r="T765" s="228" t="str">
        <f>IF($P765="","",-1*ROUND(_xlfn.XLOOKUP(Tables!$N$722,'Input LwA_XYZ'!$AY$1:$BM$1,'Input LwA_XYZ'!AY44:BM44),0))</f>
        <v/>
      </c>
      <c r="U765" s="228" t="str">
        <f>IF($P765="","",IF(_xlfn.XLOOKUP(Tables!$N$722,'Input LwA_XYZ'!$BV$1:$CJ$1,'Input LwA_XYZ'!BV44:CJ44)="","-",_xlfn.XLOOKUP(Tables!$N$722,'Input LwA_XYZ'!$BV$1:$CJ$1,'Input LwA_XYZ'!BV44:CJ44)))</f>
        <v/>
      </c>
      <c r="V765" s="228" t="str">
        <f>IF($P765="","",IF('Input LwA_XYZ'!S44="","-",'Input LwA_XYZ'!S44))</f>
        <v/>
      </c>
      <c r="W765" s="229" t="str" cm="1">
        <f t="array" ref="W765">IF($P765="","",IF(_xlfn.XLOOKUP(Tables!$N$722,_xlfn.ANCHORARRAY('Input LwA_XYZ'!$DD$1),'Input LwA_XYZ'!DD44:DR44)="","-",_xlfn.XLOOKUP(Tables!$N$722,_xlfn.ANCHORARRAY('Input LwA_XYZ'!$DD$1),'Input LwA_XYZ'!DD44:DR44)))</f>
        <v/>
      </c>
      <c r="X765" s="62" t="str">
        <f>IF($P765="","",_xlfn.XLOOKUP(Tables!$N$722,'Input LwA_XYZ'!$DU$1:$EI$1,'Input LwA_XYZ'!DU44:EI44))</f>
        <v/>
      </c>
    </row>
    <row r="766" spans="16:24" ht="16.5" x14ac:dyDescent="0.3">
      <c r="P766" s="230" t="str">
        <f>IF(OR('Input LwA_XYZ'!A45 = 0, NOT(ISBLANK(_xlfn.XLOOKUP(Tables!N$722, 'Input LwA_XYZ'!CM$1:DA$1, 'Input LwA_XYZ'!CM45:DA45)))), "", 'Input LwA_XYZ'!A45)</f>
        <v/>
      </c>
      <c r="Q766" s="225" t="str">
        <f>IF($P766="","",_xlfn.TEXTJOIN(" - ",TRUE,'Input LwA_XYZ'!B45:C45))</f>
        <v/>
      </c>
      <c r="R766" s="231" t="str">
        <f>IF($P766="","",'Input LwA_XYZ'!Q45)</f>
        <v/>
      </c>
      <c r="S766" s="227" t="str">
        <f>IF($P766="","",ROUND(_xlfn.XLOOKUP(Tables!$N$722,'Input LwA_XYZ'!$AH$1:$AV$1,'Input LwA_XYZ'!AH45:AV45),0))</f>
        <v/>
      </c>
      <c r="T766" s="228" t="str">
        <f>IF($P766="","",-1*ROUND(_xlfn.XLOOKUP(Tables!$N$722,'Input LwA_XYZ'!$AY$1:$BM$1,'Input LwA_XYZ'!AY45:BM45),0))</f>
        <v/>
      </c>
      <c r="U766" s="228" t="str">
        <f>IF($P766="","",IF(_xlfn.XLOOKUP(Tables!$N$722,'Input LwA_XYZ'!$BV$1:$CJ$1,'Input LwA_XYZ'!BV45:CJ45)="","-",_xlfn.XLOOKUP(Tables!$N$722,'Input LwA_XYZ'!$BV$1:$CJ$1,'Input LwA_XYZ'!BV45:CJ45)))</f>
        <v/>
      </c>
      <c r="V766" s="228" t="str">
        <f>IF($P766="","",IF('Input LwA_XYZ'!S45="","-",'Input LwA_XYZ'!S45))</f>
        <v/>
      </c>
      <c r="W766" s="229" t="str" cm="1">
        <f t="array" ref="W766">IF($P766="","",IF(_xlfn.XLOOKUP(Tables!$N$722,_xlfn.ANCHORARRAY('Input LwA_XYZ'!$DD$1),'Input LwA_XYZ'!DD45:DR45)="","-",_xlfn.XLOOKUP(Tables!$N$722,_xlfn.ANCHORARRAY('Input LwA_XYZ'!$DD$1),'Input LwA_XYZ'!DD45:DR45)))</f>
        <v/>
      </c>
      <c r="X766" s="62" t="str">
        <f>IF($P766="","",_xlfn.XLOOKUP(Tables!$N$722,'Input LwA_XYZ'!$DU$1:$EI$1,'Input LwA_XYZ'!DU45:EI45))</f>
        <v/>
      </c>
    </row>
    <row r="767" spans="16:24" ht="16.5" x14ac:dyDescent="0.3">
      <c r="P767" s="230" t="str">
        <f>IF(OR('Input LwA_XYZ'!A46 = 0, NOT(ISBLANK(_xlfn.XLOOKUP(Tables!N$722, 'Input LwA_XYZ'!CM$1:DA$1, 'Input LwA_XYZ'!CM46:DA46)))), "", 'Input LwA_XYZ'!A46)</f>
        <v/>
      </c>
      <c r="Q767" s="225" t="str">
        <f>IF($P767="","",_xlfn.TEXTJOIN(" - ",TRUE,'Input LwA_XYZ'!B46:C46))</f>
        <v/>
      </c>
      <c r="R767" s="231" t="str">
        <f>IF($P767="","",'Input LwA_XYZ'!Q46)</f>
        <v/>
      </c>
      <c r="S767" s="227" t="str">
        <f>IF($P767="","",ROUND(_xlfn.XLOOKUP(Tables!$N$722,'Input LwA_XYZ'!$AH$1:$AV$1,'Input LwA_XYZ'!AH46:AV46),0))</f>
        <v/>
      </c>
      <c r="T767" s="228" t="str">
        <f>IF($P767="","",-1*ROUND(_xlfn.XLOOKUP(Tables!$N$722,'Input LwA_XYZ'!$AY$1:$BM$1,'Input LwA_XYZ'!AY46:BM46),0))</f>
        <v/>
      </c>
      <c r="U767" s="228" t="str">
        <f>IF($P767="","",IF(_xlfn.XLOOKUP(Tables!$N$722,'Input LwA_XYZ'!$BV$1:$CJ$1,'Input LwA_XYZ'!BV46:CJ46)="","-",_xlfn.XLOOKUP(Tables!$N$722,'Input LwA_XYZ'!$BV$1:$CJ$1,'Input LwA_XYZ'!BV46:CJ46)))</f>
        <v/>
      </c>
      <c r="V767" s="228" t="str">
        <f>IF($P767="","",IF('Input LwA_XYZ'!S46="","-",'Input LwA_XYZ'!S46))</f>
        <v/>
      </c>
      <c r="W767" s="229" t="str" cm="1">
        <f t="array" ref="W767">IF($P767="","",IF(_xlfn.XLOOKUP(Tables!$N$722,_xlfn.ANCHORARRAY('Input LwA_XYZ'!$DD$1),'Input LwA_XYZ'!DD46:DR46)="","-",_xlfn.XLOOKUP(Tables!$N$722,_xlfn.ANCHORARRAY('Input LwA_XYZ'!$DD$1),'Input LwA_XYZ'!DD46:DR46)))</f>
        <v/>
      </c>
      <c r="X767" s="62" t="str">
        <f>IF($P767="","",_xlfn.XLOOKUP(Tables!$N$722,'Input LwA_XYZ'!$DU$1:$EI$1,'Input LwA_XYZ'!DU46:EI46))</f>
        <v/>
      </c>
    </row>
    <row r="768" spans="16:24" ht="16.5" x14ac:dyDescent="0.3">
      <c r="P768" s="230" t="str">
        <f>IF(OR('Input LwA_XYZ'!A47 = 0, NOT(ISBLANK(_xlfn.XLOOKUP(Tables!N$722, 'Input LwA_XYZ'!CM$1:DA$1, 'Input LwA_XYZ'!CM47:DA47)))), "", 'Input LwA_XYZ'!A47)</f>
        <v/>
      </c>
      <c r="Q768" s="225" t="str">
        <f>IF($P768="","",_xlfn.TEXTJOIN(" - ",TRUE,'Input LwA_XYZ'!B47:C47))</f>
        <v/>
      </c>
      <c r="R768" s="231" t="str">
        <f>IF($P768="","",'Input LwA_XYZ'!Q47)</f>
        <v/>
      </c>
      <c r="S768" s="227" t="str">
        <f>IF($P768="","",ROUND(_xlfn.XLOOKUP(Tables!$N$722,'Input LwA_XYZ'!$AH$1:$AV$1,'Input LwA_XYZ'!AH47:AV47),0))</f>
        <v/>
      </c>
      <c r="T768" s="228" t="str">
        <f>IF($P768="","",-1*ROUND(_xlfn.XLOOKUP(Tables!$N$722,'Input LwA_XYZ'!$AY$1:$BM$1,'Input LwA_XYZ'!AY47:BM47),0))</f>
        <v/>
      </c>
      <c r="U768" s="228" t="str">
        <f>IF($P768="","",IF(_xlfn.XLOOKUP(Tables!$N$722,'Input LwA_XYZ'!$BV$1:$CJ$1,'Input LwA_XYZ'!BV47:CJ47)="","-",_xlfn.XLOOKUP(Tables!$N$722,'Input LwA_XYZ'!$BV$1:$CJ$1,'Input LwA_XYZ'!BV47:CJ47)))</f>
        <v/>
      </c>
      <c r="V768" s="228" t="str">
        <f>IF($P768="","",IF('Input LwA_XYZ'!S47="","-",'Input LwA_XYZ'!S47))</f>
        <v/>
      </c>
      <c r="W768" s="229" t="str" cm="1">
        <f t="array" ref="W768">IF($P768="","",IF(_xlfn.XLOOKUP(Tables!$N$722,_xlfn.ANCHORARRAY('Input LwA_XYZ'!$DD$1),'Input LwA_XYZ'!DD47:DR47)="","-",_xlfn.XLOOKUP(Tables!$N$722,_xlfn.ANCHORARRAY('Input LwA_XYZ'!$DD$1),'Input LwA_XYZ'!DD47:DR47)))</f>
        <v/>
      </c>
      <c r="X768" s="62" t="str">
        <f>IF($P768="","",_xlfn.XLOOKUP(Tables!$N$722,'Input LwA_XYZ'!$DU$1:$EI$1,'Input LwA_XYZ'!DU47:EI47))</f>
        <v/>
      </c>
    </row>
    <row r="769" spans="14:24" ht="16.5" x14ac:dyDescent="0.3">
      <c r="P769" s="230" t="str">
        <f>IF(OR('Input LwA_XYZ'!A48 = 0, NOT(ISBLANK(_xlfn.XLOOKUP(Tables!N$722, 'Input LwA_XYZ'!CM$1:DA$1, 'Input LwA_XYZ'!CM48:DA48)))), "", 'Input LwA_XYZ'!A48)</f>
        <v/>
      </c>
      <c r="Q769" s="225" t="str">
        <f>IF($P769="","",_xlfn.TEXTJOIN(" - ",TRUE,'Input LwA_XYZ'!B48:C48))</f>
        <v/>
      </c>
      <c r="R769" s="231" t="str">
        <f>IF($P769="","",'Input LwA_XYZ'!Q48)</f>
        <v/>
      </c>
      <c r="S769" s="227" t="str">
        <f>IF($P769="","",ROUND(_xlfn.XLOOKUP(Tables!$N$722,'Input LwA_XYZ'!$AH$1:$AV$1,'Input LwA_XYZ'!AH48:AV48),0))</f>
        <v/>
      </c>
      <c r="T769" s="228" t="str">
        <f>IF($P769="","",-1*ROUND(_xlfn.XLOOKUP(Tables!$N$722,'Input LwA_XYZ'!$AY$1:$BM$1,'Input LwA_XYZ'!AY48:BM48),0))</f>
        <v/>
      </c>
      <c r="U769" s="228" t="str">
        <f>IF($P769="","",IF(_xlfn.XLOOKUP(Tables!$N$722,'Input LwA_XYZ'!$BV$1:$CJ$1,'Input LwA_XYZ'!BV48:CJ48)="","-",_xlfn.XLOOKUP(Tables!$N$722,'Input LwA_XYZ'!$BV$1:$CJ$1,'Input LwA_XYZ'!BV48:CJ48)))</f>
        <v/>
      </c>
      <c r="V769" s="228" t="str">
        <f>IF($P769="","",IF('Input LwA_XYZ'!S48="","-",'Input LwA_XYZ'!S48))</f>
        <v/>
      </c>
      <c r="W769" s="229" t="str" cm="1">
        <f t="array" ref="W769">IF($P769="","",IF(_xlfn.XLOOKUP(Tables!$N$722,_xlfn.ANCHORARRAY('Input LwA_XYZ'!$DD$1),'Input LwA_XYZ'!DD48:DR48)="","-",_xlfn.XLOOKUP(Tables!$N$722,_xlfn.ANCHORARRAY('Input LwA_XYZ'!$DD$1),'Input LwA_XYZ'!DD48:DR48)))</f>
        <v/>
      </c>
      <c r="X769" s="62" t="str">
        <f>IF($P769="","",_xlfn.XLOOKUP(Tables!$N$722,'Input LwA_XYZ'!$DU$1:$EI$1,'Input LwA_XYZ'!DU48:EI48))</f>
        <v/>
      </c>
    </row>
    <row r="770" spans="14:24" ht="16.5" x14ac:dyDescent="0.3">
      <c r="P770" s="230" t="str">
        <f>IF(OR('Input LwA_XYZ'!A49 = 0, NOT(ISBLANK(_xlfn.XLOOKUP(Tables!N$722, 'Input LwA_XYZ'!CM$1:DA$1, 'Input LwA_XYZ'!CM49:DA49)))), "", 'Input LwA_XYZ'!A49)</f>
        <v/>
      </c>
      <c r="Q770" s="225" t="str">
        <f>IF($P770="","",_xlfn.TEXTJOIN(" - ",TRUE,'Input LwA_XYZ'!B49:C49))</f>
        <v/>
      </c>
      <c r="R770" s="231" t="str">
        <f>IF($P770="","",'Input LwA_XYZ'!Q49)</f>
        <v/>
      </c>
      <c r="S770" s="227" t="str">
        <f>IF($P770="","",ROUND(_xlfn.XLOOKUP(Tables!$N$722,'Input LwA_XYZ'!$AH$1:$AV$1,'Input LwA_XYZ'!AH49:AV49),0))</f>
        <v/>
      </c>
      <c r="T770" s="228" t="str">
        <f>IF($P770="","",-1*ROUND(_xlfn.XLOOKUP(Tables!$N$722,'Input LwA_XYZ'!$AY$1:$BM$1,'Input LwA_XYZ'!AY49:BM49),0))</f>
        <v/>
      </c>
      <c r="U770" s="228" t="str">
        <f>IF($P770="","",IF(_xlfn.XLOOKUP(Tables!$N$722,'Input LwA_XYZ'!$BV$1:$CJ$1,'Input LwA_XYZ'!BV49:CJ49)="","-",_xlfn.XLOOKUP(Tables!$N$722,'Input LwA_XYZ'!$BV$1:$CJ$1,'Input LwA_XYZ'!BV49:CJ49)))</f>
        <v/>
      </c>
      <c r="V770" s="228" t="str">
        <f>IF($P770="","",IF('Input LwA_XYZ'!S49="","-",'Input LwA_XYZ'!S49))</f>
        <v/>
      </c>
      <c r="W770" s="229" t="str" cm="1">
        <f t="array" ref="W770">IF($P770="","",IF(_xlfn.XLOOKUP(Tables!$N$722,_xlfn.ANCHORARRAY('Input LwA_XYZ'!$DD$1),'Input LwA_XYZ'!DD49:DR49)="","-",_xlfn.XLOOKUP(Tables!$N$722,_xlfn.ANCHORARRAY('Input LwA_XYZ'!$DD$1),'Input LwA_XYZ'!DD49:DR49)))</f>
        <v/>
      </c>
      <c r="X770" s="62" t="str">
        <f>IF($P770="","",_xlfn.XLOOKUP(Tables!$N$722,'Input LwA_XYZ'!$DU$1:$EI$1,'Input LwA_XYZ'!DU49:EI49))</f>
        <v/>
      </c>
    </row>
    <row r="771" spans="14:24" ht="16.5" x14ac:dyDescent="0.3">
      <c r="P771" s="230" t="str">
        <f>IF(OR('Input LwA_XYZ'!A50 = 0, NOT(ISBLANK(_xlfn.XLOOKUP(Tables!N$722, 'Input LwA_XYZ'!CM$1:DA$1, 'Input LwA_XYZ'!CM50:DA50)))), "", 'Input LwA_XYZ'!A50)</f>
        <v/>
      </c>
      <c r="Q771" s="225" t="str">
        <f>IF($P771="","",_xlfn.TEXTJOIN(" - ",TRUE,'Input LwA_XYZ'!B50:C50))</f>
        <v/>
      </c>
      <c r="R771" s="231" t="str">
        <f>IF($P771="","",'Input LwA_XYZ'!Q50)</f>
        <v/>
      </c>
      <c r="S771" s="227" t="str">
        <f>IF($P771="","",ROUND(_xlfn.XLOOKUP(Tables!$N$722,'Input LwA_XYZ'!$AH$1:$AV$1,'Input LwA_XYZ'!AH50:AV50),0))</f>
        <v/>
      </c>
      <c r="T771" s="228" t="str">
        <f>IF($P771="","",-1*ROUND(_xlfn.XLOOKUP(Tables!$N$722,'Input LwA_XYZ'!$AY$1:$BM$1,'Input LwA_XYZ'!AY50:BM50),0))</f>
        <v/>
      </c>
      <c r="U771" s="228" t="str">
        <f>IF($P771="","",IF(_xlfn.XLOOKUP(Tables!$N$722,'Input LwA_XYZ'!$BV$1:$CJ$1,'Input LwA_XYZ'!BV50:CJ50)="","-",_xlfn.XLOOKUP(Tables!$N$722,'Input LwA_XYZ'!$BV$1:$CJ$1,'Input LwA_XYZ'!BV50:CJ50)))</f>
        <v/>
      </c>
      <c r="V771" s="228" t="str">
        <f>IF($P771="","",IF('Input LwA_XYZ'!S50="","-",'Input LwA_XYZ'!S50))</f>
        <v/>
      </c>
      <c r="W771" s="229" t="str" cm="1">
        <f t="array" ref="W771">IF($P771="","",IF(_xlfn.XLOOKUP(Tables!$N$722,_xlfn.ANCHORARRAY('Input LwA_XYZ'!$DD$1),'Input LwA_XYZ'!DD50:DR50)="","-",_xlfn.XLOOKUP(Tables!$N$722,_xlfn.ANCHORARRAY('Input LwA_XYZ'!$DD$1),'Input LwA_XYZ'!DD50:DR50)))</f>
        <v/>
      </c>
      <c r="X771" s="62" t="str">
        <f>IF($P771="","",_xlfn.XLOOKUP(Tables!$N$722,'Input LwA_XYZ'!$DU$1:$EI$1,'Input LwA_XYZ'!DU50:EI50))</f>
        <v/>
      </c>
    </row>
    <row r="772" spans="14:24" ht="16.5" x14ac:dyDescent="0.3">
      <c r="P772" s="230" t="str">
        <f>IF(OR('Input LwA_XYZ'!A51 = 0, NOT(ISBLANK(_xlfn.XLOOKUP(Tables!N$722, 'Input LwA_XYZ'!CM$1:DA$1, 'Input LwA_XYZ'!CM51:DA51)))), "", 'Input LwA_XYZ'!A51)</f>
        <v/>
      </c>
      <c r="Q772" s="225" t="str">
        <f>IF($P772="","",_xlfn.TEXTJOIN(" - ",TRUE,'Input LwA_XYZ'!B51:C51))</f>
        <v/>
      </c>
      <c r="R772" s="231" t="str">
        <f>IF($P772="","",'Input LwA_XYZ'!Q51)</f>
        <v/>
      </c>
      <c r="S772" s="227" t="str">
        <f>IF($P772="","",ROUND(_xlfn.XLOOKUP(Tables!$N$722,'Input LwA_XYZ'!$AH$1:$AV$1,'Input LwA_XYZ'!AH51:AV51),0))</f>
        <v/>
      </c>
      <c r="T772" s="228" t="str">
        <f>IF($P772="","",-1*ROUND(_xlfn.XLOOKUP(Tables!$N$722,'Input LwA_XYZ'!$AY$1:$BM$1,'Input LwA_XYZ'!AY51:BM51),0))</f>
        <v/>
      </c>
      <c r="U772" s="228" t="str">
        <f>IF($P772="","",IF(_xlfn.XLOOKUP(Tables!$N$722,'Input LwA_XYZ'!$BV$1:$CJ$1,'Input LwA_XYZ'!BV51:CJ51)="","-",_xlfn.XLOOKUP(Tables!$N$722,'Input LwA_XYZ'!$BV$1:$CJ$1,'Input LwA_XYZ'!BV51:CJ51)))</f>
        <v/>
      </c>
      <c r="V772" s="228" t="str">
        <f>IF($P772="","",IF('Input LwA_XYZ'!S51="","-",'Input LwA_XYZ'!S51))</f>
        <v/>
      </c>
      <c r="W772" s="229" t="str" cm="1">
        <f t="array" ref="W772">IF($P772="","",IF(_xlfn.XLOOKUP(Tables!$N$722,_xlfn.ANCHORARRAY('Input LwA_XYZ'!$DD$1),'Input LwA_XYZ'!DD51:DR51)="","-",_xlfn.XLOOKUP(Tables!$N$722,_xlfn.ANCHORARRAY('Input LwA_XYZ'!$DD$1),'Input LwA_XYZ'!DD51:DR51)))</f>
        <v/>
      </c>
      <c r="X772" s="62" t="str">
        <f>IF($P772="","",_xlfn.XLOOKUP(Tables!$N$722,'Input LwA_XYZ'!$DU$1:$EI$1,'Input LwA_XYZ'!DU51:EI51))</f>
        <v/>
      </c>
    </row>
    <row r="773" spans="14:24" ht="16.5" x14ac:dyDescent="0.3">
      <c r="P773" s="230" t="str">
        <f>IF(OR('Input LwA_XYZ'!A52 = 0, NOT(ISBLANK(_xlfn.XLOOKUP(Tables!N$722, 'Input LwA_XYZ'!CM$1:DA$1, 'Input LwA_XYZ'!CM52:DA52)))), "", 'Input LwA_XYZ'!A52)</f>
        <v/>
      </c>
      <c r="Q773" s="225" t="str">
        <f>IF($P773="","",_xlfn.TEXTJOIN(" - ",TRUE,'Input LwA_XYZ'!B52:C52))</f>
        <v/>
      </c>
      <c r="R773" s="231" t="str">
        <f>IF($P773="","",'Input LwA_XYZ'!Q52)</f>
        <v/>
      </c>
      <c r="S773" s="227" t="str">
        <f>IF($P773="","",ROUND(_xlfn.XLOOKUP(Tables!$N$722,'Input LwA_XYZ'!$AH$1:$AV$1,'Input LwA_XYZ'!AH52:AV52),0))</f>
        <v/>
      </c>
      <c r="T773" s="228" t="str">
        <f>IF($P773="","",-1*ROUND(_xlfn.XLOOKUP(Tables!$N$722,'Input LwA_XYZ'!$AY$1:$BM$1,'Input LwA_XYZ'!AY52:BM52),0))</f>
        <v/>
      </c>
      <c r="U773" s="228" t="str">
        <f>IF($P773="","",IF(_xlfn.XLOOKUP(Tables!$N$722,'Input LwA_XYZ'!$BV$1:$CJ$1,'Input LwA_XYZ'!BV52:CJ52)="","-",_xlfn.XLOOKUP(Tables!$N$722,'Input LwA_XYZ'!$BV$1:$CJ$1,'Input LwA_XYZ'!BV52:CJ52)))</f>
        <v/>
      </c>
      <c r="V773" s="228" t="str">
        <f>IF($P773="","",IF('Input LwA_XYZ'!S52="","-",'Input LwA_XYZ'!S52))</f>
        <v/>
      </c>
      <c r="W773" s="229" t="str" cm="1">
        <f t="array" ref="W773">IF($P773="","",IF(_xlfn.XLOOKUP(Tables!$N$722,_xlfn.ANCHORARRAY('Input LwA_XYZ'!$DD$1),'Input LwA_XYZ'!DD52:DR52)="","-",_xlfn.XLOOKUP(Tables!$N$722,_xlfn.ANCHORARRAY('Input LwA_XYZ'!$DD$1),'Input LwA_XYZ'!DD52:DR52)))</f>
        <v/>
      </c>
      <c r="X773" s="62" t="str">
        <f>IF($P773="","",_xlfn.XLOOKUP(Tables!$N$722,'Input LwA_XYZ'!$DU$1:$EI$1,'Input LwA_XYZ'!DU52:EI52))</f>
        <v/>
      </c>
    </row>
    <row r="774" spans="14:24" ht="16.5" x14ac:dyDescent="0.3">
      <c r="P774" s="230" t="str">
        <f>IF(OR('Input LwA_XYZ'!A53 = 0, NOT(ISBLANK(_xlfn.XLOOKUP(Tables!N$722, 'Input LwA_XYZ'!CM$1:DA$1, 'Input LwA_XYZ'!CM53:DA53)))), "", 'Input LwA_XYZ'!A53)</f>
        <v/>
      </c>
      <c r="Q774" s="225" t="str">
        <f>IF($P774="","",_xlfn.TEXTJOIN(" - ",TRUE,'Input LwA_XYZ'!B53:C53))</f>
        <v/>
      </c>
      <c r="R774" s="231" t="str">
        <f>IF($P774="","",'Input LwA_XYZ'!Q53)</f>
        <v/>
      </c>
      <c r="S774" s="227" t="str">
        <f>IF($P774="","",ROUND(_xlfn.XLOOKUP(Tables!$N$722,'Input LwA_XYZ'!$AH$1:$AV$1,'Input LwA_XYZ'!AH53:AV53),0))</f>
        <v/>
      </c>
      <c r="T774" s="228" t="str">
        <f>IF($P774="","",-1*ROUND(_xlfn.XLOOKUP(Tables!$N$722,'Input LwA_XYZ'!$AY$1:$BM$1,'Input LwA_XYZ'!AY53:BM53),0))</f>
        <v/>
      </c>
      <c r="U774" s="228" t="str">
        <f>IF($P774="","",IF(_xlfn.XLOOKUP(Tables!$N$722,'Input LwA_XYZ'!$BV$1:$CJ$1,'Input LwA_XYZ'!BV53:CJ53)="","-",_xlfn.XLOOKUP(Tables!$N$722,'Input LwA_XYZ'!$BV$1:$CJ$1,'Input LwA_XYZ'!BV53:CJ53)))</f>
        <v/>
      </c>
      <c r="V774" s="228" t="str">
        <f>IF($P774="","",IF('Input LwA_XYZ'!S53="","-",'Input LwA_XYZ'!S53))</f>
        <v/>
      </c>
      <c r="W774" s="229" t="str" cm="1">
        <f t="array" ref="W774">IF($P774="","",IF(_xlfn.XLOOKUP(Tables!$N$722,_xlfn.ANCHORARRAY('Input LwA_XYZ'!$DD$1),'Input LwA_XYZ'!DD53:DR53)="","-",_xlfn.XLOOKUP(Tables!$N$722,_xlfn.ANCHORARRAY('Input LwA_XYZ'!$DD$1),'Input LwA_XYZ'!DD53:DR53)))</f>
        <v/>
      </c>
      <c r="X774" s="62" t="str">
        <f>IF($P774="","",_xlfn.XLOOKUP(Tables!$N$722,'Input LwA_XYZ'!$DU$1:$EI$1,'Input LwA_XYZ'!DU53:EI53))</f>
        <v/>
      </c>
    </row>
    <row r="775" spans="14:24" ht="16.5" x14ac:dyDescent="0.3">
      <c r="P775" s="230" t="str">
        <f>IF(OR('Input LwA_XYZ'!A54 = 0, NOT(ISBLANK(_xlfn.XLOOKUP(Tables!N$722, 'Input LwA_XYZ'!CM$1:DA$1, 'Input LwA_XYZ'!CM54:DA54)))), "", 'Input LwA_XYZ'!A54)</f>
        <v/>
      </c>
      <c r="Q775" s="225" t="str">
        <f>IF($P775="","",_xlfn.TEXTJOIN(" - ",TRUE,'Input LwA_XYZ'!B54:C54))</f>
        <v/>
      </c>
      <c r="R775" s="231" t="str">
        <f>IF($P775="","",'Input LwA_XYZ'!Q54)</f>
        <v/>
      </c>
      <c r="S775" s="227" t="str">
        <f>IF($P775="","",ROUND(_xlfn.XLOOKUP(Tables!$N$722,'Input LwA_XYZ'!$AH$1:$AV$1,'Input LwA_XYZ'!AH54:AV54),0))</f>
        <v/>
      </c>
      <c r="T775" s="228" t="str">
        <f>IF($P775="","",-1*ROUND(_xlfn.XLOOKUP(Tables!$N$722,'Input LwA_XYZ'!$AY$1:$BM$1,'Input LwA_XYZ'!AY54:BM54),0))</f>
        <v/>
      </c>
      <c r="U775" s="228" t="str">
        <f>IF($P775="","",IF(_xlfn.XLOOKUP(Tables!$N$722,'Input LwA_XYZ'!$BV$1:$CJ$1,'Input LwA_XYZ'!BV54:CJ54)="","-",_xlfn.XLOOKUP(Tables!$N$722,'Input LwA_XYZ'!$BV$1:$CJ$1,'Input LwA_XYZ'!BV54:CJ54)))</f>
        <v/>
      </c>
      <c r="V775" s="228" t="str">
        <f>IF($P775="","",IF('Input LwA_XYZ'!S54="","-",'Input LwA_XYZ'!S54))</f>
        <v/>
      </c>
      <c r="W775" s="229" t="str" cm="1">
        <f t="array" ref="W775">IF($P775="","",IF(_xlfn.XLOOKUP(Tables!$N$722,_xlfn.ANCHORARRAY('Input LwA_XYZ'!$DD$1),'Input LwA_XYZ'!DD54:DR54)="","-",_xlfn.XLOOKUP(Tables!$N$722,_xlfn.ANCHORARRAY('Input LwA_XYZ'!$DD$1),'Input LwA_XYZ'!DD54:DR54)))</f>
        <v/>
      </c>
      <c r="X775" s="62" t="str">
        <f>IF($P775="","",_xlfn.XLOOKUP(Tables!$N$722,'Input LwA_XYZ'!$DU$1:$EI$1,'Input LwA_XYZ'!DU54:EI54))</f>
        <v/>
      </c>
    </row>
    <row r="776" spans="14:24" ht="16.5" x14ac:dyDescent="0.3">
      <c r="P776" s="230" t="str">
        <f>IF(OR('Input LwA_XYZ'!A55 = 0, NOT(ISBLANK(_xlfn.XLOOKUP(Tables!N$722, 'Input LwA_XYZ'!CM$1:DA$1, 'Input LwA_XYZ'!CM55:DA55)))), "", 'Input LwA_XYZ'!A55)</f>
        <v/>
      </c>
      <c r="Q776" s="225" t="str">
        <f>IF($P776="","",_xlfn.TEXTJOIN(" - ",TRUE,'Input LwA_XYZ'!B55:C55))</f>
        <v/>
      </c>
      <c r="R776" s="231" t="str">
        <f>IF($P776="","",'Input LwA_XYZ'!Q55)</f>
        <v/>
      </c>
      <c r="S776" s="227" t="str">
        <f>IF($P776="","",ROUND(_xlfn.XLOOKUP(Tables!$N$722,'Input LwA_XYZ'!$AH$1:$AV$1,'Input LwA_XYZ'!AH55:AV55),0))</f>
        <v/>
      </c>
      <c r="T776" s="228" t="str">
        <f>IF($P776="","",-1*ROUND(_xlfn.XLOOKUP(Tables!$N$722,'Input LwA_XYZ'!$AY$1:$BM$1,'Input LwA_XYZ'!AY55:BM55),0))</f>
        <v/>
      </c>
      <c r="U776" s="228" t="str">
        <f>IF($P776="","",IF(_xlfn.XLOOKUP(Tables!$N$722,'Input LwA_XYZ'!$BV$1:$CJ$1,'Input LwA_XYZ'!BV55:CJ55)="","-",_xlfn.XLOOKUP(Tables!$N$722,'Input LwA_XYZ'!$BV$1:$CJ$1,'Input LwA_XYZ'!BV55:CJ55)))</f>
        <v/>
      </c>
      <c r="V776" s="228" t="str">
        <f>IF($P776="","",IF('Input LwA_XYZ'!S55="","-",'Input LwA_XYZ'!S55))</f>
        <v/>
      </c>
      <c r="W776" s="229" t="str" cm="1">
        <f t="array" ref="W776">IF($P776="","",IF(_xlfn.XLOOKUP(Tables!$N$722,_xlfn.ANCHORARRAY('Input LwA_XYZ'!$DD$1),'Input LwA_XYZ'!DD55:DR55)="","-",_xlfn.XLOOKUP(Tables!$N$722,_xlfn.ANCHORARRAY('Input LwA_XYZ'!$DD$1),'Input LwA_XYZ'!DD55:DR55)))</f>
        <v/>
      </c>
      <c r="X776" s="62" t="str">
        <f>IF($P776="","",_xlfn.XLOOKUP(Tables!$N$722,'Input LwA_XYZ'!$DU$1:$EI$1,'Input LwA_XYZ'!DU55:EI55))</f>
        <v/>
      </c>
    </row>
    <row r="777" spans="14:24" ht="16.5" x14ac:dyDescent="0.3">
      <c r="P777" s="230" t="str">
        <f>IF(OR('Input LwA_XYZ'!A56 = 0, NOT(ISBLANK(_xlfn.XLOOKUP(Tables!N$722, 'Input LwA_XYZ'!CM$1:DA$1, 'Input LwA_XYZ'!CM56:DA56)))), "", 'Input LwA_XYZ'!A56)</f>
        <v/>
      </c>
      <c r="Q777" s="225" t="str">
        <f>IF($P777="","",_xlfn.TEXTJOIN(" - ",TRUE,'Input LwA_XYZ'!B56:C56))</f>
        <v/>
      </c>
      <c r="R777" s="231" t="str">
        <f>IF($P777="","",'Input LwA_XYZ'!Q56)</f>
        <v/>
      </c>
      <c r="S777" s="227" t="str">
        <f>IF($P777="","",ROUND(_xlfn.XLOOKUP(Tables!$N$722,'Input LwA_XYZ'!$AH$1:$AV$1,'Input LwA_XYZ'!AH56:AV56),0))</f>
        <v/>
      </c>
      <c r="T777" s="228" t="str">
        <f>IF($P777="","",-1*ROUND(_xlfn.XLOOKUP(Tables!$N$722,'Input LwA_XYZ'!$AY$1:$BM$1,'Input LwA_XYZ'!AY56:BM56),0))</f>
        <v/>
      </c>
      <c r="U777" s="228" t="str">
        <f>IF($P777="","",IF(_xlfn.XLOOKUP(Tables!$N$722,'Input LwA_XYZ'!$BV$1:$CJ$1,'Input LwA_XYZ'!BV56:CJ56)="","-",_xlfn.XLOOKUP(Tables!$N$722,'Input LwA_XYZ'!$BV$1:$CJ$1,'Input LwA_XYZ'!BV56:CJ56)))</f>
        <v/>
      </c>
      <c r="V777" s="228" t="str">
        <f>IF($P777="","",IF('Input LwA_XYZ'!S56="","-",'Input LwA_XYZ'!S56))</f>
        <v/>
      </c>
      <c r="W777" s="229" t="str" cm="1">
        <f t="array" ref="W777">IF($P777="","",IF(_xlfn.XLOOKUP(Tables!$N$722,_xlfn.ANCHORARRAY('Input LwA_XYZ'!$DD$1),'Input LwA_XYZ'!DD56:DR56)="","-",_xlfn.XLOOKUP(Tables!$N$722,_xlfn.ANCHORARRAY('Input LwA_XYZ'!$DD$1),'Input LwA_XYZ'!DD56:DR56)))</f>
        <v/>
      </c>
      <c r="X777" s="62" t="str">
        <f>IF($P777="","",_xlfn.XLOOKUP(Tables!$N$722,'Input LwA_XYZ'!$DU$1:$EI$1,'Input LwA_XYZ'!DU56:EI56))</f>
        <v/>
      </c>
    </row>
    <row r="778" spans="14:24" ht="16.5" x14ac:dyDescent="0.3">
      <c r="P778" s="230" t="str">
        <f>IF(OR('Input LwA_XYZ'!A57 = 0, NOT(ISBLANK(_xlfn.XLOOKUP(Tables!N$722, 'Input LwA_XYZ'!CM$1:DA$1, 'Input LwA_XYZ'!CM57:DA57)))), "", 'Input LwA_XYZ'!A57)</f>
        <v/>
      </c>
      <c r="Q778" s="225" t="str">
        <f>IF($P778="","",_xlfn.TEXTJOIN(" - ",TRUE,'Input LwA_XYZ'!B57:C57))</f>
        <v/>
      </c>
      <c r="R778" s="231" t="str">
        <f>IF($P778="","",'Input LwA_XYZ'!Q57)</f>
        <v/>
      </c>
      <c r="S778" s="227" t="str">
        <f>IF($P778="","",ROUND(_xlfn.XLOOKUP(Tables!$N$722,'Input LwA_XYZ'!$AH$1:$AV$1,'Input LwA_XYZ'!AH57:AV57),0))</f>
        <v/>
      </c>
      <c r="T778" s="228" t="str">
        <f>IF($P778="","",-1*ROUND(_xlfn.XLOOKUP(Tables!$N$722,'Input LwA_XYZ'!$AY$1:$BM$1,'Input LwA_XYZ'!AY57:BM57),0))</f>
        <v/>
      </c>
      <c r="U778" s="228" t="str">
        <f>IF($P778="","",IF(_xlfn.XLOOKUP(Tables!$N$722,'Input LwA_XYZ'!$BV$1:$CJ$1,'Input LwA_XYZ'!BV57:CJ57)="","-",_xlfn.XLOOKUP(Tables!$N$722,'Input LwA_XYZ'!$BV$1:$CJ$1,'Input LwA_XYZ'!BV57:CJ57)))</f>
        <v/>
      </c>
      <c r="V778" s="228" t="str">
        <f>IF($P778="","",IF('Input LwA_XYZ'!S57="","-",'Input LwA_XYZ'!S57))</f>
        <v/>
      </c>
      <c r="W778" s="229" t="str" cm="1">
        <f t="array" ref="W778">IF($P778="","",IF(_xlfn.XLOOKUP(Tables!$N$722,_xlfn.ANCHORARRAY('Input LwA_XYZ'!$DD$1),'Input LwA_XYZ'!DD57:DR57)="","-",_xlfn.XLOOKUP(Tables!$N$722,_xlfn.ANCHORARRAY('Input LwA_XYZ'!$DD$1),'Input LwA_XYZ'!DD57:DR57)))</f>
        <v/>
      </c>
      <c r="X778" s="62" t="str">
        <f>IF($P778="","",_xlfn.XLOOKUP(Tables!$N$722,'Input LwA_XYZ'!$DU$1:$EI$1,'Input LwA_XYZ'!DU57:EI57))</f>
        <v/>
      </c>
    </row>
    <row r="779" spans="14:24" ht="17.25" thickBot="1" x14ac:dyDescent="0.35">
      <c r="P779" s="232" t="str">
        <f>IF(OR('Input LwA_XYZ'!A58 = 0, NOT(ISBLANK(_xlfn.XLOOKUP(Tables!N$722, 'Input LwA_XYZ'!CM$1:DA$1, 'Input LwA_XYZ'!CM58:DA58)))), "", 'Input LwA_XYZ'!A58)</f>
        <v/>
      </c>
      <c r="Q779" s="233" t="str">
        <f>IF($P779="","",_xlfn.TEXTJOIN(" - ",TRUE,'Input LwA_XYZ'!B58:C58))</f>
        <v/>
      </c>
      <c r="R779" s="234" t="str">
        <f>IF($P779="","",'Input LwA_XYZ'!Q58)</f>
        <v/>
      </c>
      <c r="S779" s="235" t="str">
        <f>IF($P779="","",ROUND(_xlfn.XLOOKUP(Tables!$N$722,'Input LwA_XYZ'!$AH$1:$AV$1,'Input LwA_XYZ'!AH58:AV58),0))</f>
        <v/>
      </c>
      <c r="T779" s="236" t="str">
        <f>IF($P779="","",-1*ROUND(_xlfn.XLOOKUP(Tables!$N$722,'Input LwA_XYZ'!$AY$1:$BM$1,'Input LwA_XYZ'!AY58:BM58),0))</f>
        <v/>
      </c>
      <c r="U779" s="228" t="str">
        <f>IF($P779="","",IF(_xlfn.XLOOKUP(Tables!$N$722,'Input LwA_XYZ'!$BV$1:$CJ$1,'Input LwA_XYZ'!BV58:CJ58)="","-",_xlfn.XLOOKUP(Tables!$N$722,'Input LwA_XYZ'!$BV$1:$CJ$1,'Input LwA_XYZ'!BV58:CJ58)))</f>
        <v/>
      </c>
      <c r="V779" s="228" t="str">
        <f>IF($P779="","",IF('Input LwA_XYZ'!S58="","-",'Input LwA_XYZ'!S58))</f>
        <v/>
      </c>
      <c r="W779" s="229" t="str" cm="1">
        <f t="array" ref="W779">IF($P779="","",IF(_xlfn.XLOOKUP(Tables!$N$722,_xlfn.ANCHORARRAY('Input LwA_XYZ'!$DD$1),'Input LwA_XYZ'!DD58:DR58)="","-",_xlfn.XLOOKUP(Tables!$N$722,_xlfn.ANCHORARRAY('Input LwA_XYZ'!$DD$1),'Input LwA_XYZ'!DD58:DR58)))</f>
        <v/>
      </c>
      <c r="X779" s="63" t="str">
        <f>IF($P779="","",_xlfn.XLOOKUP(Tables!$N$722,'Input LwA_XYZ'!$DU$1:$EI$1,'Input LwA_XYZ'!DU58:EI58))</f>
        <v/>
      </c>
    </row>
    <row r="780" spans="14:24" ht="17.25" thickBot="1" x14ac:dyDescent="0.35">
      <c r="P780" s="237" t="s">
        <v>215</v>
      </c>
      <c r="Q780" s="238"/>
      <c r="R780" s="239"/>
      <c r="S780" s="238"/>
      <c r="T780" s="240"/>
      <c r="U780" s="240"/>
      <c r="V780" s="240"/>
      <c r="W780" s="241"/>
      <c r="X780" s="219" t="e">
        <f>_xlfn.XLOOKUP(Tables!$N$722,'Input LwA_XYZ'!$Z$2:$Z$16,'Input LwA_XYZ'!$AE$2:$AE$16)</f>
        <v>#N/A</v>
      </c>
    </row>
    <row r="781" spans="14:24" ht="15.75" thickBot="1" x14ac:dyDescent="0.3"/>
    <row r="782" spans="14:24" ht="33.75" thickBot="1" x14ac:dyDescent="0.35">
      <c r="N782" s="66" t="s">
        <v>213</v>
      </c>
      <c r="P782" s="242" t="s">
        <v>79</v>
      </c>
      <c r="Q782" s="243" t="s">
        <v>80</v>
      </c>
      <c r="R782" s="244" t="s">
        <v>81</v>
      </c>
      <c r="S782" s="244" t="s">
        <v>19</v>
      </c>
      <c r="T782" s="244" t="s">
        <v>216</v>
      </c>
      <c r="U782" s="246" t="s">
        <v>82</v>
      </c>
      <c r="V782" s="247" t="s">
        <v>83</v>
      </c>
      <c r="W782" s="248" t="s">
        <v>236</v>
      </c>
      <c r="X782" s="245" t="s">
        <v>78</v>
      </c>
    </row>
    <row r="783" spans="14:24" ht="17.25" thickBot="1" x14ac:dyDescent="0.35">
      <c r="N783" s="66" t="str">
        <f>_xlfn.XLOOKUP(N782, 'Input LwA_XYZ'!$Z$2:$Z$16, 'Input LwA_XYZ'!$AF$2:$AF$16, "")</f>
        <v/>
      </c>
      <c r="P783" s="224" t="str">
        <f>IF(OR('Input LwA_XYZ'!A2 = 0, NOT(ISBLANK(_xlfn.XLOOKUP(Tables!N$782, 'Input LwA_XYZ'!CM$1:DA$1, 'Input LwA_XYZ'!CM2:DA2)))), "", 'Input LwA_XYZ'!A2)</f>
        <v/>
      </c>
      <c r="Q783" s="225" t="str">
        <f>IF($P783="","",_xlfn.TEXTJOIN(" - ",TRUE,'Input LwA_XYZ'!B2:C2))</f>
        <v/>
      </c>
      <c r="R783" s="226" t="str">
        <f>IF($P783="","",'Input LwA_XYZ'!Q2)</f>
        <v/>
      </c>
      <c r="S783" s="227" t="str">
        <f>IF($P783="","",ROUND(_xlfn.XLOOKUP(Tables!$N$782,'Input LwA_XYZ'!$AH$1:$AV$1,'Input LwA_XYZ'!AH2:AV2),0))</f>
        <v/>
      </c>
      <c r="T783" s="228" t="str">
        <f>IF($P783="","",-1*ROUND(_xlfn.XLOOKUP(Tables!$N$782,'Input LwA_XYZ'!$AY$1:$BM$1,'Input LwA_XYZ'!AY2:BM2),0))</f>
        <v/>
      </c>
      <c r="U783" s="228" t="str">
        <f>IF($P783="","",IF(_xlfn.XLOOKUP(Tables!$N$782,'Input LwA_XYZ'!$BV$1:$CJ$1,'Input LwA_XYZ'!BV2:CJ2)="","-",_xlfn.XLOOKUP(Tables!$N$782,'Input LwA_XYZ'!$BV$1:$CJ$1,'Input LwA_XYZ'!BV2:CJ2)))</f>
        <v/>
      </c>
      <c r="V783" s="228" t="str">
        <f>IF($P783="","",IF('Input LwA_XYZ'!S2="","-",'Input LwA_XYZ'!S2))</f>
        <v/>
      </c>
      <c r="W783" s="229" t="str" cm="1">
        <f t="array" ref="W783">IF($P783="","",IF(_xlfn.XLOOKUP(Tables!$N$782,_xlfn.ANCHORARRAY('Input LwA_XYZ'!$DD$1),'Input LwA_XYZ'!DD2:DR2)="","-",_xlfn.XLOOKUP(Tables!$N$782,_xlfn.ANCHORARRAY('Input LwA_XYZ'!$DD$1),'Input LwA_XYZ'!DD2:DR2)))</f>
        <v/>
      </c>
      <c r="X783" s="88" t="str">
        <f>IF($P783="","",_xlfn.XLOOKUP(Tables!$N$782,'Input LwA_XYZ'!$DU$1:$EI$1,'Input LwA_XYZ'!DU2:EI2))</f>
        <v/>
      </c>
    </row>
    <row r="784" spans="14:24" ht="16.5" x14ac:dyDescent="0.3">
      <c r="P784" s="230" t="str">
        <f>IF(OR('Input LwA_XYZ'!A3 = 0, NOT(ISBLANK(_xlfn.XLOOKUP(Tables!N$782, 'Input LwA_XYZ'!CM$1:DA$1, 'Input LwA_XYZ'!CM3:DA3)))), "", 'Input LwA_XYZ'!A3)</f>
        <v/>
      </c>
      <c r="Q784" s="225" t="str">
        <f>IF($P784="","",_xlfn.TEXTJOIN(" - ",TRUE,'Input LwA_XYZ'!B3:C3))</f>
        <v/>
      </c>
      <c r="R784" s="231" t="str">
        <f>IF($P784="","",'Input LwA_XYZ'!Q3)</f>
        <v/>
      </c>
      <c r="S784" s="227" t="str">
        <f>IF($P784="","",ROUND(_xlfn.XLOOKUP(Tables!$N$782,'Input LwA_XYZ'!$AH$1:$AV$1,'Input LwA_XYZ'!AH3:AV3),0))</f>
        <v/>
      </c>
      <c r="T784" s="228" t="str">
        <f>IF($P784="","",-1*ROUND(_xlfn.XLOOKUP(Tables!$N$782,'Input LwA_XYZ'!$AY$1:$BM$1,'Input LwA_XYZ'!AY3:BM3),0))</f>
        <v/>
      </c>
      <c r="U784" s="228" t="str">
        <f>IF($P784="","",IF(_xlfn.XLOOKUP(Tables!$N$782,'Input LwA_XYZ'!$BV$1:$CJ$1,'Input LwA_XYZ'!BV3:CJ3)="","-",_xlfn.XLOOKUP(Tables!$N$782,'Input LwA_XYZ'!$BV$1:$CJ$1,'Input LwA_XYZ'!BV3:CJ3)))</f>
        <v/>
      </c>
      <c r="V784" s="228" t="str">
        <f>IF($P784="","",IF('Input LwA_XYZ'!S3="","-",'Input LwA_XYZ'!S3))</f>
        <v/>
      </c>
      <c r="W784" s="229" t="str" cm="1">
        <f t="array" ref="W784">IF($P784="","",IF(_xlfn.XLOOKUP(Tables!$N$782,_xlfn.ANCHORARRAY('Input LwA_XYZ'!$DD$1),'Input LwA_XYZ'!DD3:DR3)="","-",_xlfn.XLOOKUP(Tables!$N$782,_xlfn.ANCHORARRAY('Input LwA_XYZ'!$DD$1),'Input LwA_XYZ'!DD3:DR3)))</f>
        <v/>
      </c>
      <c r="X784" s="62" t="str">
        <f>IF($P784="","",_xlfn.XLOOKUP(Tables!$N$782,'Input LwA_XYZ'!$DU$1:$EI$1,'Input LwA_XYZ'!DU3:EI3))</f>
        <v/>
      </c>
    </row>
    <row r="785" spans="16:24" ht="16.5" x14ac:dyDescent="0.3">
      <c r="P785" s="230" t="str">
        <f>IF(OR('Input LwA_XYZ'!A4 = 0, NOT(ISBLANK(_xlfn.XLOOKUP(Tables!N$782, 'Input LwA_XYZ'!CM$1:DA$1, 'Input LwA_XYZ'!CM4:DA4)))), "", 'Input LwA_XYZ'!A4)</f>
        <v/>
      </c>
      <c r="Q785" s="225" t="str">
        <f>IF($P785="","",_xlfn.TEXTJOIN(" - ",TRUE,'Input LwA_XYZ'!B4:C4))</f>
        <v/>
      </c>
      <c r="R785" s="231" t="str">
        <f>IF($P785="","",'Input LwA_XYZ'!Q4)</f>
        <v/>
      </c>
      <c r="S785" s="227" t="str">
        <f>IF($P785="","",ROUND(_xlfn.XLOOKUP(Tables!$N$782,'Input LwA_XYZ'!$AH$1:$AV$1,'Input LwA_XYZ'!AH4:AV4),0))</f>
        <v/>
      </c>
      <c r="T785" s="228" t="str">
        <f>IF($P785="","",-1*ROUND(_xlfn.XLOOKUP(Tables!$N$782,'Input LwA_XYZ'!$AY$1:$BM$1,'Input LwA_XYZ'!AY4:BM4),0))</f>
        <v/>
      </c>
      <c r="U785" s="228" t="str">
        <f>IF($P785="","",IF(_xlfn.XLOOKUP(Tables!$N$782,'Input LwA_XYZ'!$BV$1:$CJ$1,'Input LwA_XYZ'!BV4:CJ4)="","-",_xlfn.XLOOKUP(Tables!$N$782,'Input LwA_XYZ'!$BV$1:$CJ$1,'Input LwA_XYZ'!BV4:CJ4)))</f>
        <v/>
      </c>
      <c r="V785" s="228" t="str">
        <f>IF($P785="","",IF('Input LwA_XYZ'!S4="","-",'Input LwA_XYZ'!S4))</f>
        <v/>
      </c>
      <c r="W785" s="229" t="str" cm="1">
        <f t="array" ref="W785">IF($P785="","",IF(_xlfn.XLOOKUP(Tables!$N$782,_xlfn.ANCHORARRAY('Input LwA_XYZ'!$DD$1),'Input LwA_XYZ'!DD4:DR4)="","-",_xlfn.XLOOKUP(Tables!$N$782,_xlfn.ANCHORARRAY('Input LwA_XYZ'!$DD$1),'Input LwA_XYZ'!DD4:DR4)))</f>
        <v/>
      </c>
      <c r="X785" s="62" t="str">
        <f>IF($P785="","",_xlfn.XLOOKUP(Tables!$N$782,'Input LwA_XYZ'!$DU$1:$EI$1,'Input LwA_XYZ'!DU4:EI4))</f>
        <v/>
      </c>
    </row>
    <row r="786" spans="16:24" ht="16.5" x14ac:dyDescent="0.3">
      <c r="P786" s="230" t="str">
        <f>IF(OR('Input LwA_XYZ'!A5 = 0, NOT(ISBLANK(_xlfn.XLOOKUP(Tables!N$782, 'Input LwA_XYZ'!CM$1:DA$1, 'Input LwA_XYZ'!CM5:DA5)))), "", 'Input LwA_XYZ'!A5)</f>
        <v/>
      </c>
      <c r="Q786" s="225" t="str">
        <f>IF($P786="","",_xlfn.TEXTJOIN(" - ",TRUE,'Input LwA_XYZ'!B5:C5))</f>
        <v/>
      </c>
      <c r="R786" s="231" t="str">
        <f>IF($P786="","",'Input LwA_XYZ'!Q5)</f>
        <v/>
      </c>
      <c r="S786" s="227" t="str">
        <f>IF($P786="","",ROUND(_xlfn.XLOOKUP(Tables!$N$782,'Input LwA_XYZ'!$AH$1:$AV$1,'Input LwA_XYZ'!AH5:AV5),0))</f>
        <v/>
      </c>
      <c r="T786" s="228" t="str">
        <f>IF($P786="","",-1*ROUND(_xlfn.XLOOKUP(Tables!$N$782,'Input LwA_XYZ'!$AY$1:$BM$1,'Input LwA_XYZ'!AY5:BM5),0))</f>
        <v/>
      </c>
      <c r="U786" s="228" t="str">
        <f>IF($P786="","",IF(_xlfn.XLOOKUP(Tables!$N$782,'Input LwA_XYZ'!$BV$1:$CJ$1,'Input LwA_XYZ'!BV5:CJ5)="","-",_xlfn.XLOOKUP(Tables!$N$782,'Input LwA_XYZ'!$BV$1:$CJ$1,'Input LwA_XYZ'!BV5:CJ5)))</f>
        <v/>
      </c>
      <c r="V786" s="228" t="str">
        <f>IF($P786="","",IF('Input LwA_XYZ'!S5="","-",'Input LwA_XYZ'!S5))</f>
        <v/>
      </c>
      <c r="W786" s="229" t="str" cm="1">
        <f t="array" ref="W786">IF($P786="","",IF(_xlfn.XLOOKUP(Tables!$N$782,_xlfn.ANCHORARRAY('Input LwA_XYZ'!$DD$1),'Input LwA_XYZ'!DD5:DR5)="","-",_xlfn.XLOOKUP(Tables!$N$782,_xlfn.ANCHORARRAY('Input LwA_XYZ'!$DD$1),'Input LwA_XYZ'!DD5:DR5)))</f>
        <v/>
      </c>
      <c r="X786" s="62" t="str">
        <f>IF($P786="","",_xlfn.XLOOKUP(Tables!$N$782,'Input LwA_XYZ'!$DU$1:$EI$1,'Input LwA_XYZ'!DU5:EI5))</f>
        <v/>
      </c>
    </row>
    <row r="787" spans="16:24" ht="16.5" x14ac:dyDescent="0.3">
      <c r="P787" s="230" t="str">
        <f>IF(OR('Input LwA_XYZ'!A6 = 0, NOT(ISBLANK(_xlfn.XLOOKUP(Tables!N$782, 'Input LwA_XYZ'!CM$1:DA$1, 'Input LwA_XYZ'!CM6:DA6)))), "", 'Input LwA_XYZ'!A6)</f>
        <v/>
      </c>
      <c r="Q787" s="225" t="str">
        <f>IF($P787="","",_xlfn.TEXTJOIN(" - ",TRUE,'Input LwA_XYZ'!B6:C6))</f>
        <v/>
      </c>
      <c r="R787" s="231" t="str">
        <f>IF($P787="","",'Input LwA_XYZ'!Q6)</f>
        <v/>
      </c>
      <c r="S787" s="227" t="str">
        <f>IF($P787="","",ROUND(_xlfn.XLOOKUP(Tables!$N$782,'Input LwA_XYZ'!$AH$1:$AV$1,'Input LwA_XYZ'!AH6:AV6),0))</f>
        <v/>
      </c>
      <c r="T787" s="228" t="str">
        <f>IF($P787="","",-1*ROUND(_xlfn.XLOOKUP(Tables!$N$782,'Input LwA_XYZ'!$AY$1:$BM$1,'Input LwA_XYZ'!AY6:BM6),0))</f>
        <v/>
      </c>
      <c r="U787" s="228" t="str">
        <f>IF($P787="","",IF(_xlfn.XLOOKUP(Tables!$N$782,'Input LwA_XYZ'!$BV$1:$CJ$1,'Input LwA_XYZ'!BV6:CJ6)="","-",_xlfn.XLOOKUP(Tables!$N$782,'Input LwA_XYZ'!$BV$1:$CJ$1,'Input LwA_XYZ'!BV6:CJ6)))</f>
        <v/>
      </c>
      <c r="V787" s="228" t="str">
        <f>IF($P787="","",IF('Input LwA_XYZ'!S6="","-",'Input LwA_XYZ'!S6))</f>
        <v/>
      </c>
      <c r="W787" s="229" t="str" cm="1">
        <f t="array" ref="W787">IF($P787="","",IF(_xlfn.XLOOKUP(Tables!$N$782,_xlfn.ANCHORARRAY('Input LwA_XYZ'!$DD$1),'Input LwA_XYZ'!DD6:DR6)="","-",_xlfn.XLOOKUP(Tables!$N$782,_xlfn.ANCHORARRAY('Input LwA_XYZ'!$DD$1),'Input LwA_XYZ'!DD6:DR6)))</f>
        <v/>
      </c>
      <c r="X787" s="62" t="str">
        <f>IF($P787="","",_xlfn.XLOOKUP(Tables!$N$782,'Input LwA_XYZ'!$DU$1:$EI$1,'Input LwA_XYZ'!DU6:EI6))</f>
        <v/>
      </c>
    </row>
    <row r="788" spans="16:24" ht="16.5" x14ac:dyDescent="0.3">
      <c r="P788" s="230" t="str">
        <f>IF(OR('Input LwA_XYZ'!A7 = 0, NOT(ISBLANK(_xlfn.XLOOKUP(Tables!N$782, 'Input LwA_XYZ'!CM$1:DA$1, 'Input LwA_XYZ'!CM7:DA7)))), "", 'Input LwA_XYZ'!A7)</f>
        <v/>
      </c>
      <c r="Q788" s="225" t="str">
        <f>IF($P788="","",_xlfn.TEXTJOIN(" - ",TRUE,'Input LwA_XYZ'!B7:C7))</f>
        <v/>
      </c>
      <c r="R788" s="231" t="str">
        <f>IF($P788="","",'Input LwA_XYZ'!Q7)</f>
        <v/>
      </c>
      <c r="S788" s="227" t="str">
        <f>IF($P788="","",ROUND(_xlfn.XLOOKUP(Tables!$N$782,'Input LwA_XYZ'!$AH$1:$AV$1,'Input LwA_XYZ'!AH7:AV7),0))</f>
        <v/>
      </c>
      <c r="T788" s="228" t="str">
        <f>IF($P788="","",-1*ROUND(_xlfn.XLOOKUP(Tables!$N$782,'Input LwA_XYZ'!$AY$1:$BM$1,'Input LwA_XYZ'!AY7:BM7),0))</f>
        <v/>
      </c>
      <c r="U788" s="228" t="str">
        <f>IF($P788="","",IF(_xlfn.XLOOKUP(Tables!$N$782,'Input LwA_XYZ'!$BV$1:$CJ$1,'Input LwA_XYZ'!BV7:CJ7)="","-",_xlfn.XLOOKUP(Tables!$N$782,'Input LwA_XYZ'!$BV$1:$CJ$1,'Input LwA_XYZ'!BV7:CJ7)))</f>
        <v/>
      </c>
      <c r="V788" s="228" t="str">
        <f>IF($P788="","",IF('Input LwA_XYZ'!S7="","-",'Input LwA_XYZ'!S7))</f>
        <v/>
      </c>
      <c r="W788" s="229" t="str" cm="1">
        <f t="array" ref="W788">IF($P788="","",IF(_xlfn.XLOOKUP(Tables!$N$782,_xlfn.ANCHORARRAY('Input LwA_XYZ'!$DD$1),'Input LwA_XYZ'!DD7:DR7)="","-",_xlfn.XLOOKUP(Tables!$N$782,_xlfn.ANCHORARRAY('Input LwA_XYZ'!$DD$1),'Input LwA_XYZ'!DD7:DR7)))</f>
        <v/>
      </c>
      <c r="X788" s="62" t="str">
        <f>IF($P788="","",_xlfn.XLOOKUP(Tables!$N$782,'Input LwA_XYZ'!$DU$1:$EI$1,'Input LwA_XYZ'!DU7:EI7))</f>
        <v/>
      </c>
    </row>
    <row r="789" spans="16:24" ht="16.5" x14ac:dyDescent="0.3">
      <c r="P789" s="230" t="str">
        <f>IF(OR('Input LwA_XYZ'!A8 = 0, NOT(ISBLANK(_xlfn.XLOOKUP(Tables!N$782, 'Input LwA_XYZ'!CM$1:DA$1, 'Input LwA_XYZ'!CM8:DA8)))), "", 'Input LwA_XYZ'!A8)</f>
        <v/>
      </c>
      <c r="Q789" s="225" t="str">
        <f>IF($P789="","",_xlfn.TEXTJOIN(" - ",TRUE,'Input LwA_XYZ'!B8:C8))</f>
        <v/>
      </c>
      <c r="R789" s="231" t="str">
        <f>IF($P789="","",'Input LwA_XYZ'!Q8)</f>
        <v/>
      </c>
      <c r="S789" s="227" t="str">
        <f>IF($P789="","",ROUND(_xlfn.XLOOKUP(Tables!$N$782,'Input LwA_XYZ'!$AH$1:$AV$1,'Input LwA_XYZ'!AH8:AV8),0))</f>
        <v/>
      </c>
      <c r="T789" s="228" t="str">
        <f>IF($P789="","",-1*ROUND(_xlfn.XLOOKUP(Tables!$N$782,'Input LwA_XYZ'!$AY$1:$BM$1,'Input LwA_XYZ'!AY8:BM8),0))</f>
        <v/>
      </c>
      <c r="U789" s="228" t="str">
        <f>IF($P789="","",IF(_xlfn.XLOOKUP(Tables!$N$782,'Input LwA_XYZ'!$BV$1:$CJ$1,'Input LwA_XYZ'!BV8:CJ8)="","-",_xlfn.XLOOKUP(Tables!$N$782,'Input LwA_XYZ'!$BV$1:$CJ$1,'Input LwA_XYZ'!BV8:CJ8)))</f>
        <v/>
      </c>
      <c r="V789" s="228" t="str">
        <f>IF($P789="","",IF('Input LwA_XYZ'!S8="","-",'Input LwA_XYZ'!S8))</f>
        <v/>
      </c>
      <c r="W789" s="229" t="str" cm="1">
        <f t="array" ref="W789">IF($P789="","",IF(_xlfn.XLOOKUP(Tables!$N$782,_xlfn.ANCHORARRAY('Input LwA_XYZ'!$DD$1),'Input LwA_XYZ'!DD8:DR8)="","-",_xlfn.XLOOKUP(Tables!$N$782,_xlfn.ANCHORARRAY('Input LwA_XYZ'!$DD$1),'Input LwA_XYZ'!DD8:DR8)))</f>
        <v/>
      </c>
      <c r="X789" s="62" t="str">
        <f>IF($P789="","",_xlfn.XLOOKUP(Tables!$N$782,'Input LwA_XYZ'!$DU$1:$EI$1,'Input LwA_XYZ'!DU8:EI8))</f>
        <v/>
      </c>
    </row>
    <row r="790" spans="16:24" ht="16.5" x14ac:dyDescent="0.3">
      <c r="P790" s="230" t="str">
        <f>IF(OR('Input LwA_XYZ'!A9 = 0, NOT(ISBLANK(_xlfn.XLOOKUP(Tables!N$782, 'Input LwA_XYZ'!CM$1:DA$1, 'Input LwA_XYZ'!CM9:DA9)))), "", 'Input LwA_XYZ'!A9)</f>
        <v/>
      </c>
      <c r="Q790" s="225" t="str">
        <f>IF($P790="","",_xlfn.TEXTJOIN(" - ",TRUE,'Input LwA_XYZ'!B9:C9))</f>
        <v/>
      </c>
      <c r="R790" s="231" t="str">
        <f>IF($P790="","",'Input LwA_XYZ'!Q9)</f>
        <v/>
      </c>
      <c r="S790" s="227" t="str">
        <f>IF($P790="","",ROUND(_xlfn.XLOOKUP(Tables!$N$782,'Input LwA_XYZ'!$AH$1:$AV$1,'Input LwA_XYZ'!AH9:AV9),0))</f>
        <v/>
      </c>
      <c r="T790" s="228" t="str">
        <f>IF($P790="","",-1*ROUND(_xlfn.XLOOKUP(Tables!$N$782,'Input LwA_XYZ'!$AY$1:$BM$1,'Input LwA_XYZ'!AY9:BM9),0))</f>
        <v/>
      </c>
      <c r="U790" s="228" t="str">
        <f>IF($P790="","",IF(_xlfn.XLOOKUP(Tables!$N$782,'Input LwA_XYZ'!$BV$1:$CJ$1,'Input LwA_XYZ'!BV9:CJ9)="","-",_xlfn.XLOOKUP(Tables!$N$782,'Input LwA_XYZ'!$BV$1:$CJ$1,'Input LwA_XYZ'!BV9:CJ9)))</f>
        <v/>
      </c>
      <c r="V790" s="228" t="str">
        <f>IF($P790="","",IF('Input LwA_XYZ'!S9="","-",'Input LwA_XYZ'!S9))</f>
        <v/>
      </c>
      <c r="W790" s="229" t="str" cm="1">
        <f t="array" ref="W790">IF($P790="","",IF(_xlfn.XLOOKUP(Tables!$N$782,_xlfn.ANCHORARRAY('Input LwA_XYZ'!$DD$1),'Input LwA_XYZ'!DD9:DR9)="","-",_xlfn.XLOOKUP(Tables!$N$782,_xlfn.ANCHORARRAY('Input LwA_XYZ'!$DD$1),'Input LwA_XYZ'!DD9:DR9)))</f>
        <v/>
      </c>
      <c r="X790" s="62" t="str">
        <f>IF($P790="","",_xlfn.XLOOKUP(Tables!$N$782,'Input LwA_XYZ'!$DU$1:$EI$1,'Input LwA_XYZ'!DU9:EI9))</f>
        <v/>
      </c>
    </row>
    <row r="791" spans="16:24" ht="16.5" x14ac:dyDescent="0.3">
      <c r="P791" s="230" t="str">
        <f>IF(OR('Input LwA_XYZ'!A10 = 0, NOT(ISBLANK(_xlfn.XLOOKUP(Tables!N$782, 'Input LwA_XYZ'!CM$1:DA$1, 'Input LwA_XYZ'!CM10:DA10)))), "", 'Input LwA_XYZ'!A10)</f>
        <v/>
      </c>
      <c r="Q791" s="225" t="str">
        <f>IF($P791="","",_xlfn.TEXTJOIN(" - ",TRUE,'Input LwA_XYZ'!B10:C10))</f>
        <v/>
      </c>
      <c r="R791" s="231" t="str">
        <f>IF($P791="","",'Input LwA_XYZ'!Q10)</f>
        <v/>
      </c>
      <c r="S791" s="227" t="str">
        <f>IF($P791="","",ROUND(_xlfn.XLOOKUP(Tables!$N$782,'Input LwA_XYZ'!$AH$1:$AV$1,'Input LwA_XYZ'!AH10:AV10),0))</f>
        <v/>
      </c>
      <c r="T791" s="228" t="str">
        <f>IF($P791="","",-1*ROUND(_xlfn.XLOOKUP(Tables!$N$782,'Input LwA_XYZ'!$AY$1:$BM$1,'Input LwA_XYZ'!AY10:BM10),0))</f>
        <v/>
      </c>
      <c r="U791" s="228" t="str">
        <f>IF($P791="","",IF(_xlfn.XLOOKUP(Tables!$N$782,'Input LwA_XYZ'!$BV$1:$CJ$1,'Input LwA_XYZ'!BV10:CJ10)="","-",_xlfn.XLOOKUP(Tables!$N$782,'Input LwA_XYZ'!$BV$1:$CJ$1,'Input LwA_XYZ'!BV10:CJ10)))</f>
        <v/>
      </c>
      <c r="V791" s="228" t="str">
        <f>IF($P791="","",IF('Input LwA_XYZ'!S10="","-",'Input LwA_XYZ'!S10))</f>
        <v/>
      </c>
      <c r="W791" s="229" t="str" cm="1">
        <f t="array" ref="W791">IF($P791="","",IF(_xlfn.XLOOKUP(Tables!$N$782,_xlfn.ANCHORARRAY('Input LwA_XYZ'!$DD$1),'Input LwA_XYZ'!DD10:DR10)="","-",_xlfn.XLOOKUP(Tables!$N$782,_xlfn.ANCHORARRAY('Input LwA_XYZ'!$DD$1),'Input LwA_XYZ'!DD10:DR10)))</f>
        <v/>
      </c>
      <c r="X791" s="62" t="str">
        <f>IF($P791="","",_xlfn.XLOOKUP(Tables!$N$782,'Input LwA_XYZ'!$DU$1:$EI$1,'Input LwA_XYZ'!DU10:EI10))</f>
        <v/>
      </c>
    </row>
    <row r="792" spans="16:24" ht="16.5" x14ac:dyDescent="0.3">
      <c r="P792" s="230" t="str">
        <f>IF(OR('Input LwA_XYZ'!A11 = 0, NOT(ISBLANK(_xlfn.XLOOKUP(Tables!N$782, 'Input LwA_XYZ'!CM$1:DA$1, 'Input LwA_XYZ'!CM11:DA11)))), "", 'Input LwA_XYZ'!A11)</f>
        <v/>
      </c>
      <c r="Q792" s="225" t="str">
        <f>IF($P792="","",_xlfn.TEXTJOIN(" - ",TRUE,'Input LwA_XYZ'!B11:C11))</f>
        <v/>
      </c>
      <c r="R792" s="231" t="str">
        <f>IF($P792="","",'Input LwA_XYZ'!Q11)</f>
        <v/>
      </c>
      <c r="S792" s="227" t="str">
        <f>IF($P792="","",ROUND(_xlfn.XLOOKUP(Tables!$N$782,'Input LwA_XYZ'!$AH$1:$AV$1,'Input LwA_XYZ'!AH11:AV11),0))</f>
        <v/>
      </c>
      <c r="T792" s="228" t="str">
        <f>IF($P792="","",-1*ROUND(_xlfn.XLOOKUP(Tables!$N$782,'Input LwA_XYZ'!$AY$1:$BM$1,'Input LwA_XYZ'!AY11:BM11),0))</f>
        <v/>
      </c>
      <c r="U792" s="228" t="str">
        <f>IF($P792="","",IF(_xlfn.XLOOKUP(Tables!$N$782,'Input LwA_XYZ'!$BV$1:$CJ$1,'Input LwA_XYZ'!BV11:CJ11)="","-",_xlfn.XLOOKUP(Tables!$N$782,'Input LwA_XYZ'!$BV$1:$CJ$1,'Input LwA_XYZ'!BV11:CJ11)))</f>
        <v/>
      </c>
      <c r="V792" s="228" t="str">
        <f>IF($P792="","",IF('Input LwA_XYZ'!S11="","-",'Input LwA_XYZ'!S11))</f>
        <v/>
      </c>
      <c r="W792" s="229" t="str" cm="1">
        <f t="array" ref="W792">IF($P792="","",IF(_xlfn.XLOOKUP(Tables!$N$782,_xlfn.ANCHORARRAY('Input LwA_XYZ'!$DD$1),'Input LwA_XYZ'!DD11:DR11)="","-",_xlfn.XLOOKUP(Tables!$N$782,_xlfn.ANCHORARRAY('Input LwA_XYZ'!$DD$1),'Input LwA_XYZ'!DD11:DR11)))</f>
        <v/>
      </c>
      <c r="X792" s="62" t="str">
        <f>IF($P792="","",_xlfn.XLOOKUP(Tables!$N$782,'Input LwA_XYZ'!$DU$1:$EI$1,'Input LwA_XYZ'!DU11:EI11))</f>
        <v/>
      </c>
    </row>
    <row r="793" spans="16:24" ht="16.5" x14ac:dyDescent="0.3">
      <c r="P793" s="230" t="str">
        <f>IF(OR('Input LwA_XYZ'!A12 = 0, NOT(ISBLANK(_xlfn.XLOOKUP(Tables!N$782, 'Input LwA_XYZ'!CM$1:DA$1, 'Input LwA_XYZ'!CM12:DA12)))), "", 'Input LwA_XYZ'!A12)</f>
        <v/>
      </c>
      <c r="Q793" s="225" t="str">
        <f>IF($P793="","",_xlfn.TEXTJOIN(" - ",TRUE,'Input LwA_XYZ'!B12:C12))</f>
        <v/>
      </c>
      <c r="R793" s="231" t="str">
        <f>IF($P793="","",'Input LwA_XYZ'!Q12)</f>
        <v/>
      </c>
      <c r="S793" s="227" t="str">
        <f>IF($P793="","",ROUND(_xlfn.XLOOKUP(Tables!$N$782,'Input LwA_XYZ'!$AH$1:$AV$1,'Input LwA_XYZ'!AH12:AV12),0))</f>
        <v/>
      </c>
      <c r="T793" s="228" t="str">
        <f>IF($P793="","",-1*ROUND(_xlfn.XLOOKUP(Tables!$N$782,'Input LwA_XYZ'!$AY$1:$BM$1,'Input LwA_XYZ'!AY12:BM12),0))</f>
        <v/>
      </c>
      <c r="U793" s="228" t="str">
        <f>IF($P793="","",IF(_xlfn.XLOOKUP(Tables!$N$782,'Input LwA_XYZ'!$BV$1:$CJ$1,'Input LwA_XYZ'!BV12:CJ12)="","-",_xlfn.XLOOKUP(Tables!$N$782,'Input LwA_XYZ'!$BV$1:$CJ$1,'Input LwA_XYZ'!BV12:CJ12)))</f>
        <v/>
      </c>
      <c r="V793" s="228" t="str">
        <f>IF($P793="","",IF('Input LwA_XYZ'!S12="","-",'Input LwA_XYZ'!S12))</f>
        <v/>
      </c>
      <c r="W793" s="229" t="str" cm="1">
        <f t="array" ref="W793">IF($P793="","",IF(_xlfn.XLOOKUP(Tables!$N$782,_xlfn.ANCHORARRAY('Input LwA_XYZ'!$DD$1),'Input LwA_XYZ'!DD12:DR12)="","-",_xlfn.XLOOKUP(Tables!$N$782,_xlfn.ANCHORARRAY('Input LwA_XYZ'!$DD$1),'Input LwA_XYZ'!DD12:DR12)))</f>
        <v/>
      </c>
      <c r="X793" s="62" t="str">
        <f>IF($P793="","",_xlfn.XLOOKUP(Tables!$N$782,'Input LwA_XYZ'!$DU$1:$EI$1,'Input LwA_XYZ'!DU12:EI12))</f>
        <v/>
      </c>
    </row>
    <row r="794" spans="16:24" ht="16.5" x14ac:dyDescent="0.3">
      <c r="P794" s="230" t="str">
        <f>IF(OR('Input LwA_XYZ'!A13 = 0, NOT(ISBLANK(_xlfn.XLOOKUP(Tables!N$782, 'Input LwA_XYZ'!CM$1:DA$1, 'Input LwA_XYZ'!CM13:DA13)))), "", 'Input LwA_XYZ'!A13)</f>
        <v/>
      </c>
      <c r="Q794" s="225" t="str">
        <f>IF($P794="","",_xlfn.TEXTJOIN(" - ",TRUE,'Input LwA_XYZ'!B13:C13))</f>
        <v/>
      </c>
      <c r="R794" s="231" t="str">
        <f>IF($P794="","",'Input LwA_XYZ'!Q13)</f>
        <v/>
      </c>
      <c r="S794" s="227" t="str">
        <f>IF($P794="","",ROUND(_xlfn.XLOOKUP(Tables!$N$782,'Input LwA_XYZ'!$AH$1:$AV$1,'Input LwA_XYZ'!AH13:AV13),0))</f>
        <v/>
      </c>
      <c r="T794" s="228" t="str">
        <f>IF($P794="","",-1*ROUND(_xlfn.XLOOKUP(Tables!$N$782,'Input LwA_XYZ'!$AY$1:$BM$1,'Input LwA_XYZ'!AY13:BM13),0))</f>
        <v/>
      </c>
      <c r="U794" s="228" t="str">
        <f>IF($P794="","",IF(_xlfn.XLOOKUP(Tables!$N$782,'Input LwA_XYZ'!$BV$1:$CJ$1,'Input LwA_XYZ'!BV13:CJ13)="","-",_xlfn.XLOOKUP(Tables!$N$782,'Input LwA_XYZ'!$BV$1:$CJ$1,'Input LwA_XYZ'!BV13:CJ13)))</f>
        <v/>
      </c>
      <c r="V794" s="228" t="str">
        <f>IF($P794="","",IF('Input LwA_XYZ'!S13="","-",'Input LwA_XYZ'!S13))</f>
        <v/>
      </c>
      <c r="W794" s="229" t="str" cm="1">
        <f t="array" ref="W794">IF($P794="","",IF(_xlfn.XLOOKUP(Tables!$N$782,_xlfn.ANCHORARRAY('Input LwA_XYZ'!$DD$1),'Input LwA_XYZ'!DD13:DR13)="","-",_xlfn.XLOOKUP(Tables!$N$782,_xlfn.ANCHORARRAY('Input LwA_XYZ'!$DD$1),'Input LwA_XYZ'!DD13:DR13)))</f>
        <v/>
      </c>
      <c r="X794" s="62" t="str">
        <f>IF($P794="","",_xlfn.XLOOKUP(Tables!$N$782,'Input LwA_XYZ'!$DU$1:$EI$1,'Input LwA_XYZ'!DU13:EI13))</f>
        <v/>
      </c>
    </row>
    <row r="795" spans="16:24" ht="16.5" x14ac:dyDescent="0.3">
      <c r="P795" s="230" t="str">
        <f>IF(OR('Input LwA_XYZ'!A14 = 0, NOT(ISBLANK(_xlfn.XLOOKUP(Tables!N$782, 'Input LwA_XYZ'!CM$1:DA$1, 'Input LwA_XYZ'!CM14:DA14)))), "", 'Input LwA_XYZ'!A14)</f>
        <v/>
      </c>
      <c r="Q795" s="225" t="str">
        <f>IF($P795="","",_xlfn.TEXTJOIN(" - ",TRUE,'Input LwA_XYZ'!B14:C14))</f>
        <v/>
      </c>
      <c r="R795" s="231" t="str">
        <f>IF($P795="","",'Input LwA_XYZ'!Q14)</f>
        <v/>
      </c>
      <c r="S795" s="227" t="str">
        <f>IF($P795="","",ROUND(_xlfn.XLOOKUP(Tables!$N$782,'Input LwA_XYZ'!$AH$1:$AV$1,'Input LwA_XYZ'!AH14:AV14),0))</f>
        <v/>
      </c>
      <c r="T795" s="228" t="str">
        <f>IF($P795="","",-1*ROUND(_xlfn.XLOOKUP(Tables!$N$782,'Input LwA_XYZ'!$AY$1:$BM$1,'Input LwA_XYZ'!AY14:BM14),0))</f>
        <v/>
      </c>
      <c r="U795" s="228" t="str">
        <f>IF($P795="","",IF(_xlfn.XLOOKUP(Tables!$N$782,'Input LwA_XYZ'!$BV$1:$CJ$1,'Input LwA_XYZ'!BV14:CJ14)="","-",_xlfn.XLOOKUP(Tables!$N$782,'Input LwA_XYZ'!$BV$1:$CJ$1,'Input LwA_XYZ'!BV14:CJ14)))</f>
        <v/>
      </c>
      <c r="V795" s="228" t="str">
        <f>IF($P795="","",IF('Input LwA_XYZ'!S14="","-",'Input LwA_XYZ'!S14))</f>
        <v/>
      </c>
      <c r="W795" s="229" t="str" cm="1">
        <f t="array" ref="W795">IF($P795="","",IF(_xlfn.XLOOKUP(Tables!$N$782,_xlfn.ANCHORARRAY('Input LwA_XYZ'!$DD$1),'Input LwA_XYZ'!DD14:DR14)="","-",_xlfn.XLOOKUP(Tables!$N$782,_xlfn.ANCHORARRAY('Input LwA_XYZ'!$DD$1),'Input LwA_XYZ'!DD14:DR14)))</f>
        <v/>
      </c>
      <c r="X795" s="62" t="str">
        <f>IF($P795="","",_xlfn.XLOOKUP(Tables!$N$782,'Input LwA_XYZ'!$DU$1:$EI$1,'Input LwA_XYZ'!DU14:EI14))</f>
        <v/>
      </c>
    </row>
    <row r="796" spans="16:24" ht="16.5" x14ac:dyDescent="0.3">
      <c r="P796" s="230" t="str">
        <f>IF(OR('Input LwA_XYZ'!A15 = 0, NOT(ISBLANK(_xlfn.XLOOKUP(Tables!N$782, 'Input LwA_XYZ'!CM$1:DA$1, 'Input LwA_XYZ'!CM15:DA15)))), "", 'Input LwA_XYZ'!A15)</f>
        <v/>
      </c>
      <c r="Q796" s="225" t="str">
        <f>IF($P796="","",_xlfn.TEXTJOIN(" - ",TRUE,'Input LwA_XYZ'!B15:C15))</f>
        <v/>
      </c>
      <c r="R796" s="231" t="str">
        <f>IF($P796="","",'Input LwA_XYZ'!Q15)</f>
        <v/>
      </c>
      <c r="S796" s="227" t="str">
        <f>IF($P796="","",ROUND(_xlfn.XLOOKUP(Tables!$N$782,'Input LwA_XYZ'!$AH$1:$AV$1,'Input LwA_XYZ'!AH15:AV15),0))</f>
        <v/>
      </c>
      <c r="T796" s="228" t="str">
        <f>IF($P796="","",-1*ROUND(_xlfn.XLOOKUP(Tables!$N$782,'Input LwA_XYZ'!$AY$1:$BM$1,'Input LwA_XYZ'!AY15:BM15),0))</f>
        <v/>
      </c>
      <c r="U796" s="228" t="str">
        <f>IF($P796="","",IF(_xlfn.XLOOKUP(Tables!$N$782,'Input LwA_XYZ'!$BV$1:$CJ$1,'Input LwA_XYZ'!BV15:CJ15)="","-",_xlfn.XLOOKUP(Tables!$N$782,'Input LwA_XYZ'!$BV$1:$CJ$1,'Input LwA_XYZ'!BV15:CJ15)))</f>
        <v/>
      </c>
      <c r="V796" s="228" t="str">
        <f>IF($P796="","",IF('Input LwA_XYZ'!S15="","-",'Input LwA_XYZ'!S15))</f>
        <v/>
      </c>
      <c r="W796" s="229" t="str" cm="1">
        <f t="array" ref="W796">IF($P796="","",IF(_xlfn.XLOOKUP(Tables!$N$782,_xlfn.ANCHORARRAY('Input LwA_XYZ'!$DD$1),'Input LwA_XYZ'!DD15:DR15)="","-",_xlfn.XLOOKUP(Tables!$N$782,_xlfn.ANCHORARRAY('Input LwA_XYZ'!$DD$1),'Input LwA_XYZ'!DD15:DR15)))</f>
        <v/>
      </c>
      <c r="X796" s="62" t="str">
        <f>IF($P796="","",_xlfn.XLOOKUP(Tables!$N$782,'Input LwA_XYZ'!$DU$1:$EI$1,'Input LwA_XYZ'!DU15:EI15))</f>
        <v/>
      </c>
    </row>
    <row r="797" spans="16:24" ht="16.5" x14ac:dyDescent="0.3">
      <c r="P797" s="230" t="str">
        <f>IF(OR('Input LwA_XYZ'!A16 = 0, NOT(ISBLANK(_xlfn.XLOOKUP(Tables!N$782, 'Input LwA_XYZ'!CM$1:DA$1, 'Input LwA_XYZ'!CM16:DA16)))), "", 'Input LwA_XYZ'!A16)</f>
        <v/>
      </c>
      <c r="Q797" s="225" t="str">
        <f>IF($P797="","",_xlfn.TEXTJOIN(" - ",TRUE,'Input LwA_XYZ'!B16:C16))</f>
        <v/>
      </c>
      <c r="R797" s="231" t="str">
        <f>IF($P797="","",'Input LwA_XYZ'!Q16)</f>
        <v/>
      </c>
      <c r="S797" s="227" t="str">
        <f>IF($P797="","",ROUND(_xlfn.XLOOKUP(Tables!$N$782,'Input LwA_XYZ'!$AH$1:$AV$1,'Input LwA_XYZ'!AH16:AV16),0))</f>
        <v/>
      </c>
      <c r="T797" s="228" t="str">
        <f>IF($P797="","",-1*ROUND(_xlfn.XLOOKUP(Tables!$N$782,'Input LwA_XYZ'!$AY$1:$BM$1,'Input LwA_XYZ'!AY16:BM16),0))</f>
        <v/>
      </c>
      <c r="U797" s="228" t="str">
        <f>IF($P797="","",IF(_xlfn.XLOOKUP(Tables!$N$782,'Input LwA_XYZ'!$BV$1:$CJ$1,'Input LwA_XYZ'!BV16:CJ16)="","-",_xlfn.XLOOKUP(Tables!$N$782,'Input LwA_XYZ'!$BV$1:$CJ$1,'Input LwA_XYZ'!BV16:CJ16)))</f>
        <v/>
      </c>
      <c r="V797" s="228" t="str">
        <f>IF($P797="","",IF('Input LwA_XYZ'!S16="","-",'Input LwA_XYZ'!S16))</f>
        <v/>
      </c>
      <c r="W797" s="229" t="str" cm="1">
        <f t="array" ref="W797">IF($P797="","",IF(_xlfn.XLOOKUP(Tables!$N$782,_xlfn.ANCHORARRAY('Input LwA_XYZ'!$DD$1),'Input LwA_XYZ'!DD16:DR16)="","-",_xlfn.XLOOKUP(Tables!$N$782,_xlfn.ANCHORARRAY('Input LwA_XYZ'!$DD$1),'Input LwA_XYZ'!DD16:DR16)))</f>
        <v/>
      </c>
      <c r="X797" s="62" t="str">
        <f>IF($P797="","",_xlfn.XLOOKUP(Tables!$N$782,'Input LwA_XYZ'!$DU$1:$EI$1,'Input LwA_XYZ'!DU16:EI16))</f>
        <v/>
      </c>
    </row>
    <row r="798" spans="16:24" ht="16.5" x14ac:dyDescent="0.3">
      <c r="P798" s="230" t="str">
        <f>IF(OR('Input LwA_XYZ'!A17 = 0, NOT(ISBLANK(_xlfn.XLOOKUP(Tables!N$782, 'Input LwA_XYZ'!CM$1:DA$1, 'Input LwA_XYZ'!CM17:DA17)))), "", 'Input LwA_XYZ'!A17)</f>
        <v/>
      </c>
      <c r="Q798" s="225" t="str">
        <f>IF($P798="","",_xlfn.TEXTJOIN(" - ",TRUE,'Input LwA_XYZ'!B17:C17))</f>
        <v/>
      </c>
      <c r="R798" s="231" t="str">
        <f>IF($P798="","",'Input LwA_XYZ'!Q17)</f>
        <v/>
      </c>
      <c r="S798" s="227" t="str">
        <f>IF($P798="","",ROUND(_xlfn.XLOOKUP(Tables!$N$782,'Input LwA_XYZ'!$AH$1:$AV$1,'Input LwA_XYZ'!AH17:AV17),0))</f>
        <v/>
      </c>
      <c r="T798" s="228" t="str">
        <f>IF($P798="","",-1*ROUND(_xlfn.XLOOKUP(Tables!$N$782,'Input LwA_XYZ'!$AY$1:$BM$1,'Input LwA_XYZ'!AY17:BM17),0))</f>
        <v/>
      </c>
      <c r="U798" s="228" t="str">
        <f>IF($P798="","",IF(_xlfn.XLOOKUP(Tables!$N$782,'Input LwA_XYZ'!$BV$1:$CJ$1,'Input LwA_XYZ'!BV17:CJ17)="","-",_xlfn.XLOOKUP(Tables!$N$782,'Input LwA_XYZ'!$BV$1:$CJ$1,'Input LwA_XYZ'!BV17:CJ17)))</f>
        <v/>
      </c>
      <c r="V798" s="228" t="str">
        <f>IF($P798="","",IF('Input LwA_XYZ'!S17="","-",'Input LwA_XYZ'!S17))</f>
        <v/>
      </c>
      <c r="W798" s="229" t="str" cm="1">
        <f t="array" ref="W798">IF($P798="","",IF(_xlfn.XLOOKUP(Tables!$N$782,_xlfn.ANCHORARRAY('Input LwA_XYZ'!$DD$1),'Input LwA_XYZ'!DD17:DR17)="","-",_xlfn.XLOOKUP(Tables!$N$782,_xlfn.ANCHORARRAY('Input LwA_XYZ'!$DD$1),'Input LwA_XYZ'!DD17:DR17)))</f>
        <v/>
      </c>
      <c r="X798" s="62" t="str">
        <f>IF($P798="","",_xlfn.XLOOKUP(Tables!$N$782,'Input LwA_XYZ'!$DU$1:$EI$1,'Input LwA_XYZ'!DU17:EI17))</f>
        <v/>
      </c>
    </row>
    <row r="799" spans="16:24" ht="16.5" x14ac:dyDescent="0.3">
      <c r="P799" s="230" t="str">
        <f>IF(OR('Input LwA_XYZ'!A18 = 0, NOT(ISBLANK(_xlfn.XLOOKUP(Tables!N$782, 'Input LwA_XYZ'!CM$1:DA$1, 'Input LwA_XYZ'!CM18:DA18)))), "", 'Input LwA_XYZ'!A18)</f>
        <v/>
      </c>
      <c r="Q799" s="225" t="str">
        <f>IF($P799="","",_xlfn.TEXTJOIN(" - ",TRUE,'Input LwA_XYZ'!B18:C18))</f>
        <v/>
      </c>
      <c r="R799" s="231" t="str">
        <f>IF($P799="","",'Input LwA_XYZ'!Q18)</f>
        <v/>
      </c>
      <c r="S799" s="227" t="str">
        <f>IF($P799="","",ROUND(_xlfn.XLOOKUP(Tables!$N$782,'Input LwA_XYZ'!$AH$1:$AV$1,'Input LwA_XYZ'!AH18:AV18),0))</f>
        <v/>
      </c>
      <c r="T799" s="228" t="str">
        <f>IF($P799="","",-1*ROUND(_xlfn.XLOOKUP(Tables!$N$782,'Input LwA_XYZ'!$AY$1:$BM$1,'Input LwA_XYZ'!AY18:BM18),0))</f>
        <v/>
      </c>
      <c r="U799" s="228" t="str">
        <f>IF($P799="","",IF(_xlfn.XLOOKUP(Tables!$N$782,'Input LwA_XYZ'!$BV$1:$CJ$1,'Input LwA_XYZ'!BV18:CJ18)="","-",_xlfn.XLOOKUP(Tables!$N$782,'Input LwA_XYZ'!$BV$1:$CJ$1,'Input LwA_XYZ'!BV18:CJ18)))</f>
        <v/>
      </c>
      <c r="V799" s="228" t="str">
        <f>IF($P799="","",IF('Input LwA_XYZ'!S18="","-",'Input LwA_XYZ'!S18))</f>
        <v/>
      </c>
      <c r="W799" s="229" t="str" cm="1">
        <f t="array" ref="W799">IF($P799="","",IF(_xlfn.XLOOKUP(Tables!$N$782,_xlfn.ANCHORARRAY('Input LwA_XYZ'!$DD$1),'Input LwA_XYZ'!DD18:DR18)="","-",_xlfn.XLOOKUP(Tables!$N$782,_xlfn.ANCHORARRAY('Input LwA_XYZ'!$DD$1),'Input LwA_XYZ'!DD18:DR18)))</f>
        <v/>
      </c>
      <c r="X799" s="62" t="str">
        <f>IF($P799="","",_xlfn.XLOOKUP(Tables!$N$782,'Input LwA_XYZ'!$DU$1:$EI$1,'Input LwA_XYZ'!DU18:EI18))</f>
        <v/>
      </c>
    </row>
    <row r="800" spans="16:24" ht="16.5" x14ac:dyDescent="0.3">
      <c r="P800" s="230" t="str">
        <f>IF(OR('Input LwA_XYZ'!A19 = 0, NOT(ISBLANK(_xlfn.XLOOKUP(Tables!N$782, 'Input LwA_XYZ'!CM$1:DA$1, 'Input LwA_XYZ'!CM19:DA19)))), "", 'Input LwA_XYZ'!A19)</f>
        <v/>
      </c>
      <c r="Q800" s="225" t="str">
        <f>IF($P800="","",_xlfn.TEXTJOIN(" - ",TRUE,'Input LwA_XYZ'!B19:C19))</f>
        <v/>
      </c>
      <c r="R800" s="231" t="str">
        <f>IF($P800="","",'Input LwA_XYZ'!Q19)</f>
        <v/>
      </c>
      <c r="S800" s="227" t="str">
        <f>IF($P800="","",ROUND(_xlfn.XLOOKUP(Tables!$N$782,'Input LwA_XYZ'!$AH$1:$AV$1,'Input LwA_XYZ'!AH19:AV19),0))</f>
        <v/>
      </c>
      <c r="T800" s="228" t="str">
        <f>IF($P800="","",-1*ROUND(_xlfn.XLOOKUP(Tables!$N$782,'Input LwA_XYZ'!$AY$1:$BM$1,'Input LwA_XYZ'!AY19:BM19),0))</f>
        <v/>
      </c>
      <c r="U800" s="228" t="str">
        <f>IF($P800="","",IF(_xlfn.XLOOKUP(Tables!$N$782,'Input LwA_XYZ'!$BV$1:$CJ$1,'Input LwA_XYZ'!BV19:CJ19)="","-",_xlfn.XLOOKUP(Tables!$N$782,'Input LwA_XYZ'!$BV$1:$CJ$1,'Input LwA_XYZ'!BV19:CJ19)))</f>
        <v/>
      </c>
      <c r="V800" s="228" t="str">
        <f>IF($P800="","",IF('Input LwA_XYZ'!S19="","-",'Input LwA_XYZ'!S19))</f>
        <v/>
      </c>
      <c r="W800" s="229" t="str" cm="1">
        <f t="array" ref="W800">IF($P800="","",IF(_xlfn.XLOOKUP(Tables!$N$782,_xlfn.ANCHORARRAY('Input LwA_XYZ'!$DD$1),'Input LwA_XYZ'!DD19:DR19)="","-",_xlfn.XLOOKUP(Tables!$N$782,_xlfn.ANCHORARRAY('Input LwA_XYZ'!$DD$1),'Input LwA_XYZ'!DD19:DR19)))</f>
        <v/>
      </c>
      <c r="X800" s="62" t="str">
        <f>IF($P800="","",_xlfn.XLOOKUP(Tables!$N$782,'Input LwA_XYZ'!$DU$1:$EI$1,'Input LwA_XYZ'!DU19:EI19))</f>
        <v/>
      </c>
    </row>
    <row r="801" spans="16:24" ht="16.5" x14ac:dyDescent="0.3">
      <c r="P801" s="230" t="str">
        <f>IF(OR('Input LwA_XYZ'!A20 = 0, NOT(ISBLANK(_xlfn.XLOOKUP(Tables!N$782, 'Input LwA_XYZ'!CM$1:DA$1, 'Input LwA_XYZ'!CM20:DA20)))), "", 'Input LwA_XYZ'!A20)</f>
        <v/>
      </c>
      <c r="Q801" s="225" t="str">
        <f>IF($P801="","",_xlfn.TEXTJOIN(" - ",TRUE,'Input LwA_XYZ'!B20:C20))</f>
        <v/>
      </c>
      <c r="R801" s="231" t="str">
        <f>IF($P801="","",'Input LwA_XYZ'!Q20)</f>
        <v/>
      </c>
      <c r="S801" s="227" t="str">
        <f>IF($P801="","",ROUND(_xlfn.XLOOKUP(Tables!$N$782,'Input LwA_XYZ'!$AH$1:$AV$1,'Input LwA_XYZ'!AH20:AV20),0))</f>
        <v/>
      </c>
      <c r="T801" s="228" t="str">
        <f>IF($P801="","",-1*ROUND(_xlfn.XLOOKUP(Tables!$N$782,'Input LwA_XYZ'!$AY$1:$BM$1,'Input LwA_XYZ'!AY20:BM20),0))</f>
        <v/>
      </c>
      <c r="U801" s="228" t="str">
        <f>IF($P801="","",IF(_xlfn.XLOOKUP(Tables!$N$782,'Input LwA_XYZ'!$BV$1:$CJ$1,'Input LwA_XYZ'!BV20:CJ20)="","-",_xlfn.XLOOKUP(Tables!$N$782,'Input LwA_XYZ'!$BV$1:$CJ$1,'Input LwA_XYZ'!BV20:CJ20)))</f>
        <v/>
      </c>
      <c r="V801" s="228" t="str">
        <f>IF($P801="","",IF('Input LwA_XYZ'!S20="","-",'Input LwA_XYZ'!S20))</f>
        <v/>
      </c>
      <c r="W801" s="229" t="str" cm="1">
        <f t="array" ref="W801">IF($P801="","",IF(_xlfn.XLOOKUP(Tables!$N$782,_xlfn.ANCHORARRAY('Input LwA_XYZ'!$DD$1),'Input LwA_XYZ'!DD20:DR20)="","-",_xlfn.XLOOKUP(Tables!$N$782,_xlfn.ANCHORARRAY('Input LwA_XYZ'!$DD$1),'Input LwA_XYZ'!DD20:DR20)))</f>
        <v/>
      </c>
      <c r="X801" s="62" t="str">
        <f>IF($P801="","",_xlfn.XLOOKUP(Tables!$N$782,'Input LwA_XYZ'!$DU$1:$EI$1,'Input LwA_XYZ'!DU20:EI20))</f>
        <v/>
      </c>
    </row>
    <row r="802" spans="16:24" ht="16.5" x14ac:dyDescent="0.3">
      <c r="P802" s="230" t="str">
        <f>IF(OR('Input LwA_XYZ'!A21 = 0, NOT(ISBLANK(_xlfn.XLOOKUP(Tables!N$782, 'Input LwA_XYZ'!CM$1:DA$1, 'Input LwA_XYZ'!CM21:DA21)))), "", 'Input LwA_XYZ'!A21)</f>
        <v/>
      </c>
      <c r="Q802" s="225" t="str">
        <f>IF($P802="","",_xlfn.TEXTJOIN(" - ",TRUE,'Input LwA_XYZ'!B21:C21))</f>
        <v/>
      </c>
      <c r="R802" s="231" t="str">
        <f>IF($P802="","",'Input LwA_XYZ'!Q21)</f>
        <v/>
      </c>
      <c r="S802" s="227" t="str">
        <f>IF($P802="","",ROUND(_xlfn.XLOOKUP(Tables!$N$782,'Input LwA_XYZ'!$AH$1:$AV$1,'Input LwA_XYZ'!AH21:AV21),0))</f>
        <v/>
      </c>
      <c r="T802" s="228" t="str">
        <f>IF($P802="","",-1*ROUND(_xlfn.XLOOKUP(Tables!$N$782,'Input LwA_XYZ'!$AY$1:$BM$1,'Input LwA_XYZ'!AY21:BM21),0))</f>
        <v/>
      </c>
      <c r="U802" s="228" t="str">
        <f>IF($P802="","",IF(_xlfn.XLOOKUP(Tables!$N$782,'Input LwA_XYZ'!$BV$1:$CJ$1,'Input LwA_XYZ'!BV21:CJ21)="","-",_xlfn.XLOOKUP(Tables!$N$782,'Input LwA_XYZ'!$BV$1:$CJ$1,'Input LwA_XYZ'!BV21:CJ21)))</f>
        <v/>
      </c>
      <c r="V802" s="228" t="str">
        <f>IF($P802="","",IF('Input LwA_XYZ'!S21="","-",'Input LwA_XYZ'!S21))</f>
        <v/>
      </c>
      <c r="W802" s="229" t="str" cm="1">
        <f t="array" ref="W802">IF($P802="","",IF(_xlfn.XLOOKUP(Tables!$N$782,_xlfn.ANCHORARRAY('Input LwA_XYZ'!$DD$1),'Input LwA_XYZ'!DD21:DR21)="","-",_xlfn.XLOOKUP(Tables!$N$782,_xlfn.ANCHORARRAY('Input LwA_XYZ'!$DD$1),'Input LwA_XYZ'!DD21:DR21)))</f>
        <v/>
      </c>
      <c r="X802" s="62" t="str">
        <f>IF($P802="","",_xlfn.XLOOKUP(Tables!$N$782,'Input LwA_XYZ'!$DU$1:$EI$1,'Input LwA_XYZ'!DU21:EI21))</f>
        <v/>
      </c>
    </row>
    <row r="803" spans="16:24" ht="16.5" x14ac:dyDescent="0.3">
      <c r="P803" s="230" t="str">
        <f>IF(OR('Input LwA_XYZ'!A22 = 0, NOT(ISBLANK(_xlfn.XLOOKUP(Tables!N$782, 'Input LwA_XYZ'!CM$1:DA$1, 'Input LwA_XYZ'!CM22:DA22)))), "", 'Input LwA_XYZ'!A22)</f>
        <v/>
      </c>
      <c r="Q803" s="225" t="str">
        <f>IF($P803="","",_xlfn.TEXTJOIN(" - ",TRUE,'Input LwA_XYZ'!B22:C22))</f>
        <v/>
      </c>
      <c r="R803" s="231" t="str">
        <f>IF($P803="","",'Input LwA_XYZ'!Q22)</f>
        <v/>
      </c>
      <c r="S803" s="227" t="str">
        <f>IF($P803="","",ROUND(_xlfn.XLOOKUP(Tables!$N$782,'Input LwA_XYZ'!$AH$1:$AV$1,'Input LwA_XYZ'!AH22:AV22),0))</f>
        <v/>
      </c>
      <c r="T803" s="228" t="str">
        <f>IF($P803="","",-1*ROUND(_xlfn.XLOOKUP(Tables!$N$782,'Input LwA_XYZ'!$AY$1:$BM$1,'Input LwA_XYZ'!AY22:BM22),0))</f>
        <v/>
      </c>
      <c r="U803" s="228" t="str">
        <f>IF($P803="","",IF(_xlfn.XLOOKUP(Tables!$N$782,'Input LwA_XYZ'!$BV$1:$CJ$1,'Input LwA_XYZ'!BV22:CJ22)="","-",_xlfn.XLOOKUP(Tables!$N$782,'Input LwA_XYZ'!$BV$1:$CJ$1,'Input LwA_XYZ'!BV22:CJ22)))</f>
        <v/>
      </c>
      <c r="V803" s="228" t="str">
        <f>IF($P803="","",IF('Input LwA_XYZ'!S22="","-",'Input LwA_XYZ'!S22))</f>
        <v/>
      </c>
      <c r="W803" s="229" t="str" cm="1">
        <f t="array" ref="W803">IF($P803="","",IF(_xlfn.XLOOKUP(Tables!$N$782,_xlfn.ANCHORARRAY('Input LwA_XYZ'!$DD$1),'Input LwA_XYZ'!DD22:DR22)="","-",_xlfn.XLOOKUP(Tables!$N$782,_xlfn.ANCHORARRAY('Input LwA_XYZ'!$DD$1),'Input LwA_XYZ'!DD22:DR22)))</f>
        <v/>
      </c>
      <c r="X803" s="62" t="str">
        <f>IF($P803="","",_xlfn.XLOOKUP(Tables!$N$782,'Input LwA_XYZ'!$DU$1:$EI$1,'Input LwA_XYZ'!DU22:EI22))</f>
        <v/>
      </c>
    </row>
    <row r="804" spans="16:24" ht="16.5" x14ac:dyDescent="0.3">
      <c r="P804" s="230" t="str">
        <f>IF(OR('Input LwA_XYZ'!A23 = 0, NOT(ISBLANK(_xlfn.XLOOKUP(Tables!N$782, 'Input LwA_XYZ'!CM$1:DA$1, 'Input LwA_XYZ'!CM23:DA23)))), "", 'Input LwA_XYZ'!A23)</f>
        <v/>
      </c>
      <c r="Q804" s="225" t="str">
        <f>IF($P804="","",_xlfn.TEXTJOIN(" - ",TRUE,'Input LwA_XYZ'!B23:C23))</f>
        <v/>
      </c>
      <c r="R804" s="231" t="str">
        <f>IF($P804="","",'Input LwA_XYZ'!Q23)</f>
        <v/>
      </c>
      <c r="S804" s="227" t="str">
        <f>IF($P804="","",ROUND(_xlfn.XLOOKUP(Tables!$N$782,'Input LwA_XYZ'!$AH$1:$AV$1,'Input LwA_XYZ'!AH23:AV23),0))</f>
        <v/>
      </c>
      <c r="T804" s="228" t="str">
        <f>IF($P804="","",-1*ROUND(_xlfn.XLOOKUP(Tables!$N$782,'Input LwA_XYZ'!$AY$1:$BM$1,'Input LwA_XYZ'!AY23:BM23),0))</f>
        <v/>
      </c>
      <c r="U804" s="228" t="str">
        <f>IF($P804="","",IF(_xlfn.XLOOKUP(Tables!$N$782,'Input LwA_XYZ'!$BV$1:$CJ$1,'Input LwA_XYZ'!BV23:CJ23)="","-",_xlfn.XLOOKUP(Tables!$N$782,'Input LwA_XYZ'!$BV$1:$CJ$1,'Input LwA_XYZ'!BV23:CJ23)))</f>
        <v/>
      </c>
      <c r="V804" s="228" t="str">
        <f>IF($P804="","",IF('Input LwA_XYZ'!S23="","-",'Input LwA_XYZ'!S23))</f>
        <v/>
      </c>
      <c r="W804" s="229" t="str" cm="1">
        <f t="array" ref="W804">IF($P804="","",IF(_xlfn.XLOOKUP(Tables!$N$782,_xlfn.ANCHORARRAY('Input LwA_XYZ'!$DD$1),'Input LwA_XYZ'!DD23:DR23)="","-",_xlfn.XLOOKUP(Tables!$N$782,_xlfn.ANCHORARRAY('Input LwA_XYZ'!$DD$1),'Input LwA_XYZ'!DD23:DR23)))</f>
        <v/>
      </c>
      <c r="X804" s="62" t="str">
        <f>IF($P804="","",_xlfn.XLOOKUP(Tables!$N$782,'Input LwA_XYZ'!$DU$1:$EI$1,'Input LwA_XYZ'!DU23:EI23))</f>
        <v/>
      </c>
    </row>
    <row r="805" spans="16:24" ht="16.5" x14ac:dyDescent="0.3">
      <c r="P805" s="230" t="str">
        <f>IF(OR('Input LwA_XYZ'!A24 = 0, NOT(ISBLANK(_xlfn.XLOOKUP(Tables!N$782, 'Input LwA_XYZ'!CM$1:DA$1, 'Input LwA_XYZ'!CM24:DA24)))), "", 'Input LwA_XYZ'!A24)</f>
        <v/>
      </c>
      <c r="Q805" s="225" t="str">
        <f>IF($P805="","",_xlfn.TEXTJOIN(" - ",TRUE,'Input LwA_XYZ'!B24:C24))</f>
        <v/>
      </c>
      <c r="R805" s="231" t="str">
        <f>IF($P805="","",'Input LwA_XYZ'!Q24)</f>
        <v/>
      </c>
      <c r="S805" s="227" t="str">
        <f>IF($P805="","",ROUND(_xlfn.XLOOKUP(Tables!$N$782,'Input LwA_XYZ'!$AH$1:$AV$1,'Input LwA_XYZ'!AH24:AV24),0))</f>
        <v/>
      </c>
      <c r="T805" s="228" t="str">
        <f>IF($P805="","",-1*ROUND(_xlfn.XLOOKUP(Tables!$N$782,'Input LwA_XYZ'!$AY$1:$BM$1,'Input LwA_XYZ'!AY24:BM24),0))</f>
        <v/>
      </c>
      <c r="U805" s="228" t="str">
        <f>IF($P805="","",IF(_xlfn.XLOOKUP(Tables!$N$782,'Input LwA_XYZ'!$BV$1:$CJ$1,'Input LwA_XYZ'!BV24:CJ24)="","-",_xlfn.XLOOKUP(Tables!$N$782,'Input LwA_XYZ'!$BV$1:$CJ$1,'Input LwA_XYZ'!BV24:CJ24)))</f>
        <v/>
      </c>
      <c r="V805" s="228" t="str">
        <f>IF($P805="","",IF('Input LwA_XYZ'!S24="","-",'Input LwA_XYZ'!S24))</f>
        <v/>
      </c>
      <c r="W805" s="229" t="str" cm="1">
        <f t="array" ref="W805">IF($P805="","",IF(_xlfn.XLOOKUP(Tables!$N$782,_xlfn.ANCHORARRAY('Input LwA_XYZ'!$DD$1),'Input LwA_XYZ'!DD24:DR24)="","-",_xlfn.XLOOKUP(Tables!$N$782,_xlfn.ANCHORARRAY('Input LwA_XYZ'!$DD$1),'Input LwA_XYZ'!DD24:DR24)))</f>
        <v/>
      </c>
      <c r="X805" s="62" t="str">
        <f>IF($P805="","",_xlfn.XLOOKUP(Tables!$N$782,'Input LwA_XYZ'!$DU$1:$EI$1,'Input LwA_XYZ'!DU24:EI24))</f>
        <v/>
      </c>
    </row>
    <row r="806" spans="16:24" ht="16.5" x14ac:dyDescent="0.3">
      <c r="P806" s="230" t="str">
        <f>IF(OR('Input LwA_XYZ'!A25 = 0, NOT(ISBLANK(_xlfn.XLOOKUP(Tables!N$782, 'Input LwA_XYZ'!CM$1:DA$1, 'Input LwA_XYZ'!CM25:DA25)))), "", 'Input LwA_XYZ'!A25)</f>
        <v/>
      </c>
      <c r="Q806" s="225" t="str">
        <f>IF($P806="","",_xlfn.TEXTJOIN(" - ",TRUE,'Input LwA_XYZ'!B25:C25))</f>
        <v/>
      </c>
      <c r="R806" s="231" t="str">
        <f>IF($P806="","",'Input LwA_XYZ'!Q25)</f>
        <v/>
      </c>
      <c r="S806" s="227" t="str">
        <f>IF($P806="","",ROUND(_xlfn.XLOOKUP(Tables!$N$782,'Input LwA_XYZ'!$AH$1:$AV$1,'Input LwA_XYZ'!AH25:AV25),0))</f>
        <v/>
      </c>
      <c r="T806" s="228" t="str">
        <f>IF($P806="","",-1*ROUND(_xlfn.XLOOKUP(Tables!$N$782,'Input LwA_XYZ'!$AY$1:$BM$1,'Input LwA_XYZ'!AY25:BM25),0))</f>
        <v/>
      </c>
      <c r="U806" s="228" t="str">
        <f>IF($P806="","",IF(_xlfn.XLOOKUP(Tables!$N$782,'Input LwA_XYZ'!$BV$1:$CJ$1,'Input LwA_XYZ'!BV25:CJ25)="","-",_xlfn.XLOOKUP(Tables!$N$782,'Input LwA_XYZ'!$BV$1:$CJ$1,'Input LwA_XYZ'!BV25:CJ25)))</f>
        <v/>
      </c>
      <c r="V806" s="228" t="str">
        <f>IF($P806="","",IF('Input LwA_XYZ'!S25="","-",'Input LwA_XYZ'!S25))</f>
        <v/>
      </c>
      <c r="W806" s="229" t="str" cm="1">
        <f t="array" ref="W806">IF($P806="","",IF(_xlfn.XLOOKUP(Tables!$N$782,_xlfn.ANCHORARRAY('Input LwA_XYZ'!$DD$1),'Input LwA_XYZ'!DD25:DR25)="","-",_xlfn.XLOOKUP(Tables!$N$782,_xlfn.ANCHORARRAY('Input LwA_XYZ'!$DD$1),'Input LwA_XYZ'!DD25:DR25)))</f>
        <v/>
      </c>
      <c r="X806" s="62" t="str">
        <f>IF($P806="","",_xlfn.XLOOKUP(Tables!$N$782,'Input LwA_XYZ'!$DU$1:$EI$1,'Input LwA_XYZ'!DU25:EI25))</f>
        <v/>
      </c>
    </row>
    <row r="807" spans="16:24" ht="16.5" x14ac:dyDescent="0.3">
      <c r="P807" s="230" t="str">
        <f>IF(OR('Input LwA_XYZ'!A26 = 0, NOT(ISBLANK(_xlfn.XLOOKUP(Tables!N$782, 'Input LwA_XYZ'!CM$1:DA$1, 'Input LwA_XYZ'!CM26:DA26)))), "", 'Input LwA_XYZ'!A26)</f>
        <v/>
      </c>
      <c r="Q807" s="225" t="str">
        <f>IF($P807="","",_xlfn.TEXTJOIN(" - ",TRUE,'Input LwA_XYZ'!B26:C26))</f>
        <v/>
      </c>
      <c r="R807" s="231" t="str">
        <f>IF($P807="","",'Input LwA_XYZ'!Q26)</f>
        <v/>
      </c>
      <c r="S807" s="227" t="str">
        <f>IF($P807="","",ROUND(_xlfn.XLOOKUP(Tables!$N$782,'Input LwA_XYZ'!$AH$1:$AV$1,'Input LwA_XYZ'!AH26:AV26),0))</f>
        <v/>
      </c>
      <c r="T807" s="228" t="str">
        <f>IF($P807="","",-1*ROUND(_xlfn.XLOOKUP(Tables!$N$782,'Input LwA_XYZ'!$AY$1:$BM$1,'Input LwA_XYZ'!AY26:BM26),0))</f>
        <v/>
      </c>
      <c r="U807" s="228" t="str">
        <f>IF($P807="","",IF(_xlfn.XLOOKUP(Tables!$N$782,'Input LwA_XYZ'!$BV$1:$CJ$1,'Input LwA_XYZ'!BV26:CJ26)="","-",_xlfn.XLOOKUP(Tables!$N$782,'Input LwA_XYZ'!$BV$1:$CJ$1,'Input LwA_XYZ'!BV26:CJ26)))</f>
        <v/>
      </c>
      <c r="V807" s="228" t="str">
        <f>IF($P807="","",IF('Input LwA_XYZ'!S26="","-",'Input LwA_XYZ'!S26))</f>
        <v/>
      </c>
      <c r="W807" s="229" t="str" cm="1">
        <f t="array" ref="W807">IF($P807="","",IF(_xlfn.XLOOKUP(Tables!$N$782,_xlfn.ANCHORARRAY('Input LwA_XYZ'!$DD$1),'Input LwA_XYZ'!DD26:DR26)="","-",_xlfn.XLOOKUP(Tables!$N$782,_xlfn.ANCHORARRAY('Input LwA_XYZ'!$DD$1),'Input LwA_XYZ'!DD26:DR26)))</f>
        <v/>
      </c>
      <c r="X807" s="62" t="str">
        <f>IF($P807="","",_xlfn.XLOOKUP(Tables!$N$782,'Input LwA_XYZ'!$DU$1:$EI$1,'Input LwA_XYZ'!DU26:EI26))</f>
        <v/>
      </c>
    </row>
    <row r="808" spans="16:24" ht="16.5" x14ac:dyDescent="0.3">
      <c r="P808" s="230" t="str">
        <f>IF(OR('Input LwA_XYZ'!A27 = 0, NOT(ISBLANK(_xlfn.XLOOKUP(Tables!N$782, 'Input LwA_XYZ'!CM$1:DA$1, 'Input LwA_XYZ'!CM27:DA27)))), "", 'Input LwA_XYZ'!A27)</f>
        <v/>
      </c>
      <c r="Q808" s="225" t="str">
        <f>IF($P808="","",_xlfn.TEXTJOIN(" - ",TRUE,'Input LwA_XYZ'!B27:C27))</f>
        <v/>
      </c>
      <c r="R808" s="231" t="str">
        <f>IF($P808="","",'Input LwA_XYZ'!Q27)</f>
        <v/>
      </c>
      <c r="S808" s="227" t="str">
        <f>IF($P808="","",ROUND(_xlfn.XLOOKUP(Tables!$N$782,'Input LwA_XYZ'!$AH$1:$AV$1,'Input LwA_XYZ'!AH27:AV27),0))</f>
        <v/>
      </c>
      <c r="T808" s="228" t="str">
        <f>IF($P808="","",-1*ROUND(_xlfn.XLOOKUP(Tables!$N$782,'Input LwA_XYZ'!$AY$1:$BM$1,'Input LwA_XYZ'!AY27:BM27),0))</f>
        <v/>
      </c>
      <c r="U808" s="228" t="str">
        <f>IF($P808="","",IF(_xlfn.XLOOKUP(Tables!$N$782,'Input LwA_XYZ'!$BV$1:$CJ$1,'Input LwA_XYZ'!BV27:CJ27)="","-",_xlfn.XLOOKUP(Tables!$N$782,'Input LwA_XYZ'!$BV$1:$CJ$1,'Input LwA_XYZ'!BV27:CJ27)))</f>
        <v/>
      </c>
      <c r="V808" s="228" t="str">
        <f>IF($P808="","",IF('Input LwA_XYZ'!S27="","-",'Input LwA_XYZ'!S27))</f>
        <v/>
      </c>
      <c r="W808" s="229" t="str" cm="1">
        <f t="array" ref="W808">IF($P808="","",IF(_xlfn.XLOOKUP(Tables!$N$782,_xlfn.ANCHORARRAY('Input LwA_XYZ'!$DD$1),'Input LwA_XYZ'!DD27:DR27)="","-",_xlfn.XLOOKUP(Tables!$N$782,_xlfn.ANCHORARRAY('Input LwA_XYZ'!$DD$1),'Input LwA_XYZ'!DD27:DR27)))</f>
        <v/>
      </c>
      <c r="X808" s="62" t="str">
        <f>IF($P808="","",_xlfn.XLOOKUP(Tables!$N$782,'Input LwA_XYZ'!$DU$1:$EI$1,'Input LwA_XYZ'!DU27:EI27))</f>
        <v/>
      </c>
    </row>
    <row r="809" spans="16:24" ht="16.5" x14ac:dyDescent="0.3">
      <c r="P809" s="230" t="str">
        <f>IF(OR('Input LwA_XYZ'!A28 = 0, NOT(ISBLANK(_xlfn.XLOOKUP(Tables!N$782, 'Input LwA_XYZ'!CM$1:DA$1, 'Input LwA_XYZ'!CM28:DA28)))), "", 'Input LwA_XYZ'!A28)</f>
        <v/>
      </c>
      <c r="Q809" s="225" t="str">
        <f>IF($P809="","",_xlfn.TEXTJOIN(" - ",TRUE,'Input LwA_XYZ'!B28:C28))</f>
        <v/>
      </c>
      <c r="R809" s="231" t="str">
        <f>IF($P809="","",'Input LwA_XYZ'!Q28)</f>
        <v/>
      </c>
      <c r="S809" s="227" t="str">
        <f>IF($P809="","",ROUND(_xlfn.XLOOKUP(Tables!$N$782,'Input LwA_XYZ'!$AH$1:$AV$1,'Input LwA_XYZ'!AH28:AV28),0))</f>
        <v/>
      </c>
      <c r="T809" s="228" t="str">
        <f>IF($P809="","",-1*ROUND(_xlfn.XLOOKUP(Tables!$N$782,'Input LwA_XYZ'!$AY$1:$BM$1,'Input LwA_XYZ'!AY28:BM28),0))</f>
        <v/>
      </c>
      <c r="U809" s="228" t="str">
        <f>IF($P809="","",IF(_xlfn.XLOOKUP(Tables!$N$782,'Input LwA_XYZ'!$BV$1:$CJ$1,'Input LwA_XYZ'!BV28:CJ28)="","-",_xlfn.XLOOKUP(Tables!$N$782,'Input LwA_XYZ'!$BV$1:$CJ$1,'Input LwA_XYZ'!BV28:CJ28)))</f>
        <v/>
      </c>
      <c r="V809" s="228" t="str">
        <f>IF($P809="","",IF('Input LwA_XYZ'!S28="","-",'Input LwA_XYZ'!S28))</f>
        <v/>
      </c>
      <c r="W809" s="229" t="str" cm="1">
        <f t="array" ref="W809">IF($P809="","",IF(_xlfn.XLOOKUP(Tables!$N$782,_xlfn.ANCHORARRAY('Input LwA_XYZ'!$DD$1),'Input LwA_XYZ'!DD28:DR28)="","-",_xlfn.XLOOKUP(Tables!$N$782,_xlfn.ANCHORARRAY('Input LwA_XYZ'!$DD$1),'Input LwA_XYZ'!DD28:DR28)))</f>
        <v/>
      </c>
      <c r="X809" s="62" t="str">
        <f>IF($P809="","",_xlfn.XLOOKUP(Tables!$N$782,'Input LwA_XYZ'!$DU$1:$EI$1,'Input LwA_XYZ'!DU28:EI28))</f>
        <v/>
      </c>
    </row>
    <row r="810" spans="16:24" ht="16.5" x14ac:dyDescent="0.3">
      <c r="P810" s="230" t="str">
        <f>IF(OR('Input LwA_XYZ'!A29 = 0, NOT(ISBLANK(_xlfn.XLOOKUP(Tables!N$782, 'Input LwA_XYZ'!CM$1:DA$1, 'Input LwA_XYZ'!CM29:DA29)))), "", 'Input LwA_XYZ'!A29)</f>
        <v/>
      </c>
      <c r="Q810" s="225" t="str">
        <f>IF($P810="","",_xlfn.TEXTJOIN(" - ",TRUE,'Input LwA_XYZ'!B29:C29))</f>
        <v/>
      </c>
      <c r="R810" s="231" t="str">
        <f>IF($P810="","",'Input LwA_XYZ'!Q29)</f>
        <v/>
      </c>
      <c r="S810" s="227" t="str">
        <f>IF($P810="","",ROUND(_xlfn.XLOOKUP(Tables!$N$782,'Input LwA_XYZ'!$AH$1:$AV$1,'Input LwA_XYZ'!AH29:AV29),0))</f>
        <v/>
      </c>
      <c r="T810" s="228" t="str">
        <f>IF($P810="","",-1*ROUND(_xlfn.XLOOKUP(Tables!$N$782,'Input LwA_XYZ'!$AY$1:$BM$1,'Input LwA_XYZ'!AY29:BM29),0))</f>
        <v/>
      </c>
      <c r="U810" s="228" t="str">
        <f>IF($P810="","",IF(_xlfn.XLOOKUP(Tables!$N$782,'Input LwA_XYZ'!$BV$1:$CJ$1,'Input LwA_XYZ'!BV29:CJ29)="","-",_xlfn.XLOOKUP(Tables!$N$782,'Input LwA_XYZ'!$BV$1:$CJ$1,'Input LwA_XYZ'!BV29:CJ29)))</f>
        <v/>
      </c>
      <c r="V810" s="228" t="str">
        <f>IF($P810="","",IF('Input LwA_XYZ'!S29="","-",'Input LwA_XYZ'!S29))</f>
        <v/>
      </c>
      <c r="W810" s="229" t="str" cm="1">
        <f t="array" ref="W810">IF($P810="","",IF(_xlfn.XLOOKUP(Tables!$N$782,_xlfn.ANCHORARRAY('Input LwA_XYZ'!$DD$1),'Input LwA_XYZ'!DD29:DR29)="","-",_xlfn.XLOOKUP(Tables!$N$782,_xlfn.ANCHORARRAY('Input LwA_XYZ'!$DD$1),'Input LwA_XYZ'!DD29:DR29)))</f>
        <v/>
      </c>
      <c r="X810" s="62" t="str">
        <f>IF($P810="","",_xlfn.XLOOKUP(Tables!$N$782,'Input LwA_XYZ'!$DU$1:$EI$1,'Input LwA_XYZ'!DU29:EI29))</f>
        <v/>
      </c>
    </row>
    <row r="811" spans="16:24" ht="16.5" x14ac:dyDescent="0.3">
      <c r="P811" s="230" t="str">
        <f>IF(OR('Input LwA_XYZ'!A30 = 0, NOT(ISBLANK(_xlfn.XLOOKUP(Tables!N$782, 'Input LwA_XYZ'!CM$1:DA$1, 'Input LwA_XYZ'!CM30:DA30)))), "", 'Input LwA_XYZ'!A30)</f>
        <v/>
      </c>
      <c r="Q811" s="225" t="str">
        <f>IF($P811="","",_xlfn.TEXTJOIN(" - ",TRUE,'Input LwA_XYZ'!B30:C30))</f>
        <v/>
      </c>
      <c r="R811" s="231" t="str">
        <f>IF($P811="","",'Input LwA_XYZ'!Q30)</f>
        <v/>
      </c>
      <c r="S811" s="227" t="str">
        <f>IF($P811="","",ROUND(_xlfn.XLOOKUP(Tables!$N$782,'Input LwA_XYZ'!$AH$1:$AV$1,'Input LwA_XYZ'!AH30:AV30),0))</f>
        <v/>
      </c>
      <c r="T811" s="228" t="str">
        <f>IF($P811="","",-1*ROUND(_xlfn.XLOOKUP(Tables!$N$782,'Input LwA_XYZ'!$AY$1:$BM$1,'Input LwA_XYZ'!AY30:BM30),0))</f>
        <v/>
      </c>
      <c r="U811" s="228" t="str">
        <f>IF($P811="","",IF(_xlfn.XLOOKUP(Tables!$N$782,'Input LwA_XYZ'!$BV$1:$CJ$1,'Input LwA_XYZ'!BV30:CJ30)="","-",_xlfn.XLOOKUP(Tables!$N$782,'Input LwA_XYZ'!$BV$1:$CJ$1,'Input LwA_XYZ'!BV30:CJ30)))</f>
        <v/>
      </c>
      <c r="V811" s="228" t="str">
        <f>IF($P811="","",IF('Input LwA_XYZ'!S30="","-",'Input LwA_XYZ'!S30))</f>
        <v/>
      </c>
      <c r="W811" s="229" t="str" cm="1">
        <f t="array" ref="W811">IF($P811="","",IF(_xlfn.XLOOKUP(Tables!$N$782,_xlfn.ANCHORARRAY('Input LwA_XYZ'!$DD$1),'Input LwA_XYZ'!DD30:DR30)="","-",_xlfn.XLOOKUP(Tables!$N$782,_xlfn.ANCHORARRAY('Input LwA_XYZ'!$DD$1),'Input LwA_XYZ'!DD30:DR30)))</f>
        <v/>
      </c>
      <c r="X811" s="62" t="str">
        <f>IF($P811="","",_xlfn.XLOOKUP(Tables!$N$782,'Input LwA_XYZ'!$DU$1:$EI$1,'Input LwA_XYZ'!DU30:EI30))</f>
        <v/>
      </c>
    </row>
    <row r="812" spans="16:24" ht="16.5" x14ac:dyDescent="0.3">
      <c r="P812" s="230" t="str">
        <f>IF(OR('Input LwA_XYZ'!A31 = 0, NOT(ISBLANK(_xlfn.XLOOKUP(Tables!N$782, 'Input LwA_XYZ'!CM$1:DA$1, 'Input LwA_XYZ'!CM31:DA31)))), "", 'Input LwA_XYZ'!A31)</f>
        <v/>
      </c>
      <c r="Q812" s="225" t="str">
        <f>IF($P812="","",_xlfn.TEXTJOIN(" - ",TRUE,'Input LwA_XYZ'!B31:C31))</f>
        <v/>
      </c>
      <c r="R812" s="231" t="str">
        <f>IF($P812="","",'Input LwA_XYZ'!Q31)</f>
        <v/>
      </c>
      <c r="S812" s="227" t="str">
        <f>IF($P812="","",ROUND(_xlfn.XLOOKUP(Tables!$N$782,'Input LwA_XYZ'!$AH$1:$AV$1,'Input LwA_XYZ'!AH31:AV31),0))</f>
        <v/>
      </c>
      <c r="T812" s="228" t="str">
        <f>IF($P812="","",-1*ROUND(_xlfn.XLOOKUP(Tables!$N$782,'Input LwA_XYZ'!$AY$1:$BM$1,'Input LwA_XYZ'!AY31:BM31),0))</f>
        <v/>
      </c>
      <c r="U812" s="228" t="str">
        <f>IF($P812="","",IF(_xlfn.XLOOKUP(Tables!$N$782,'Input LwA_XYZ'!$BV$1:$CJ$1,'Input LwA_XYZ'!BV31:CJ31)="","-",_xlfn.XLOOKUP(Tables!$N$782,'Input LwA_XYZ'!$BV$1:$CJ$1,'Input LwA_XYZ'!BV31:CJ31)))</f>
        <v/>
      </c>
      <c r="V812" s="228" t="str">
        <f>IF($P812="","",IF('Input LwA_XYZ'!S31="","-",'Input LwA_XYZ'!S31))</f>
        <v/>
      </c>
      <c r="W812" s="229" t="str" cm="1">
        <f t="array" ref="W812">IF($P812="","",IF(_xlfn.XLOOKUP(Tables!$N$782,_xlfn.ANCHORARRAY('Input LwA_XYZ'!$DD$1),'Input LwA_XYZ'!DD31:DR31)="","-",_xlfn.XLOOKUP(Tables!$N$782,_xlfn.ANCHORARRAY('Input LwA_XYZ'!$DD$1),'Input LwA_XYZ'!DD31:DR31)))</f>
        <v/>
      </c>
      <c r="X812" s="62" t="str">
        <f>IF($P812="","",_xlfn.XLOOKUP(Tables!$N$782,'Input LwA_XYZ'!$DU$1:$EI$1,'Input LwA_XYZ'!DU31:EI31))</f>
        <v/>
      </c>
    </row>
    <row r="813" spans="16:24" ht="16.5" x14ac:dyDescent="0.3">
      <c r="P813" s="230" t="str">
        <f>IF(OR('Input LwA_XYZ'!A32 = 0, NOT(ISBLANK(_xlfn.XLOOKUP(Tables!N$782, 'Input LwA_XYZ'!CM$1:DA$1, 'Input LwA_XYZ'!CM32:DA32)))), "", 'Input LwA_XYZ'!A32)</f>
        <v/>
      </c>
      <c r="Q813" s="225" t="str">
        <f>IF($P813="","",_xlfn.TEXTJOIN(" - ",TRUE,'Input LwA_XYZ'!B32:C32))</f>
        <v/>
      </c>
      <c r="R813" s="231" t="str">
        <f>IF($P813="","",'Input LwA_XYZ'!Q32)</f>
        <v/>
      </c>
      <c r="S813" s="227" t="str">
        <f>IF($P813="","",ROUND(_xlfn.XLOOKUP(Tables!$N$782,'Input LwA_XYZ'!$AH$1:$AV$1,'Input LwA_XYZ'!AH32:AV32),0))</f>
        <v/>
      </c>
      <c r="T813" s="228" t="str">
        <f>IF($P813="","",-1*ROUND(_xlfn.XLOOKUP(Tables!$N$782,'Input LwA_XYZ'!$AY$1:$BM$1,'Input LwA_XYZ'!AY32:BM32),0))</f>
        <v/>
      </c>
      <c r="U813" s="228" t="str">
        <f>IF($P813="","",IF(_xlfn.XLOOKUP(Tables!$N$782,'Input LwA_XYZ'!$BV$1:$CJ$1,'Input LwA_XYZ'!BV32:CJ32)="","-",_xlfn.XLOOKUP(Tables!$N$782,'Input LwA_XYZ'!$BV$1:$CJ$1,'Input LwA_XYZ'!BV32:CJ32)))</f>
        <v/>
      </c>
      <c r="V813" s="228" t="str">
        <f>IF($P813="","",IF('Input LwA_XYZ'!S32="","-",'Input LwA_XYZ'!S32))</f>
        <v/>
      </c>
      <c r="W813" s="229" t="str" cm="1">
        <f t="array" ref="W813">IF($P813="","",IF(_xlfn.XLOOKUP(Tables!$N$782,_xlfn.ANCHORARRAY('Input LwA_XYZ'!$DD$1),'Input LwA_XYZ'!DD32:DR32)="","-",_xlfn.XLOOKUP(Tables!$N$782,_xlfn.ANCHORARRAY('Input LwA_XYZ'!$DD$1),'Input LwA_XYZ'!DD32:DR32)))</f>
        <v/>
      </c>
      <c r="X813" s="62" t="str">
        <f>IF($P813="","",_xlfn.XLOOKUP(Tables!$N$782,'Input LwA_XYZ'!$DU$1:$EI$1,'Input LwA_XYZ'!DU32:EI32))</f>
        <v/>
      </c>
    </row>
    <row r="814" spans="16:24" ht="16.5" x14ac:dyDescent="0.3">
      <c r="P814" s="230" t="str">
        <f>IF(OR('Input LwA_XYZ'!A33 = 0, NOT(ISBLANK(_xlfn.XLOOKUP(Tables!N$782, 'Input LwA_XYZ'!CM$1:DA$1, 'Input LwA_XYZ'!CM33:DA33)))), "", 'Input LwA_XYZ'!A33)</f>
        <v/>
      </c>
      <c r="Q814" s="225" t="str">
        <f>IF($P814="","",_xlfn.TEXTJOIN(" - ",TRUE,'Input LwA_XYZ'!B33:C33))</f>
        <v/>
      </c>
      <c r="R814" s="231" t="str">
        <f>IF($P814="","",'Input LwA_XYZ'!Q33)</f>
        <v/>
      </c>
      <c r="S814" s="227" t="str">
        <f>IF($P814="","",ROUND(_xlfn.XLOOKUP(Tables!$N$782,'Input LwA_XYZ'!$AH$1:$AV$1,'Input LwA_XYZ'!AH33:AV33),0))</f>
        <v/>
      </c>
      <c r="T814" s="228" t="str">
        <f>IF($P814="","",-1*ROUND(_xlfn.XLOOKUP(Tables!$N$782,'Input LwA_XYZ'!$AY$1:$BM$1,'Input LwA_XYZ'!AY33:BM33),0))</f>
        <v/>
      </c>
      <c r="U814" s="228" t="str">
        <f>IF($P814="","",IF(_xlfn.XLOOKUP(Tables!$N$782,'Input LwA_XYZ'!$BV$1:$CJ$1,'Input LwA_XYZ'!BV33:CJ33)="","-",_xlfn.XLOOKUP(Tables!$N$782,'Input LwA_XYZ'!$BV$1:$CJ$1,'Input LwA_XYZ'!BV33:CJ33)))</f>
        <v/>
      </c>
      <c r="V814" s="228" t="str">
        <f>IF($P814="","",IF('Input LwA_XYZ'!S33="","-",'Input LwA_XYZ'!S33))</f>
        <v/>
      </c>
      <c r="W814" s="229" t="str" cm="1">
        <f t="array" ref="W814">IF($P814="","",IF(_xlfn.XLOOKUP(Tables!$N$782,_xlfn.ANCHORARRAY('Input LwA_XYZ'!$DD$1),'Input LwA_XYZ'!DD33:DR33)="","-",_xlfn.XLOOKUP(Tables!$N$782,_xlfn.ANCHORARRAY('Input LwA_XYZ'!$DD$1),'Input LwA_XYZ'!DD33:DR33)))</f>
        <v/>
      </c>
      <c r="X814" s="62" t="str">
        <f>IF($P814="","",_xlfn.XLOOKUP(Tables!$N$782,'Input LwA_XYZ'!$DU$1:$EI$1,'Input LwA_XYZ'!DU33:EI33))</f>
        <v/>
      </c>
    </row>
    <row r="815" spans="16:24" ht="16.5" x14ac:dyDescent="0.3">
      <c r="P815" s="230" t="str">
        <f>IF(OR('Input LwA_XYZ'!A34 = 0, NOT(ISBLANK(_xlfn.XLOOKUP(Tables!N$782, 'Input LwA_XYZ'!CM$1:DA$1, 'Input LwA_XYZ'!CM34:DA34)))), "", 'Input LwA_XYZ'!A34)</f>
        <v/>
      </c>
      <c r="Q815" s="225" t="str">
        <f>IF($P815="","",_xlfn.TEXTJOIN(" - ",TRUE,'Input LwA_XYZ'!B34:C34))</f>
        <v/>
      </c>
      <c r="R815" s="231" t="str">
        <f>IF($P815="","",'Input LwA_XYZ'!Q34)</f>
        <v/>
      </c>
      <c r="S815" s="227" t="str">
        <f>IF($P815="","",ROUND(_xlfn.XLOOKUP(Tables!$N$782,'Input LwA_XYZ'!$AH$1:$AV$1,'Input LwA_XYZ'!AH34:AV34),0))</f>
        <v/>
      </c>
      <c r="T815" s="228" t="str">
        <f>IF($P815="","",-1*ROUND(_xlfn.XLOOKUP(Tables!$N$782,'Input LwA_XYZ'!$AY$1:$BM$1,'Input LwA_XYZ'!AY34:BM34),0))</f>
        <v/>
      </c>
      <c r="U815" s="228" t="str">
        <f>IF($P815="","",IF(_xlfn.XLOOKUP(Tables!$N$782,'Input LwA_XYZ'!$BV$1:$CJ$1,'Input LwA_XYZ'!BV34:CJ34)="","-",_xlfn.XLOOKUP(Tables!$N$782,'Input LwA_XYZ'!$BV$1:$CJ$1,'Input LwA_XYZ'!BV34:CJ34)))</f>
        <v/>
      </c>
      <c r="V815" s="228" t="str">
        <f>IF($P815="","",IF('Input LwA_XYZ'!S34="","-",'Input LwA_XYZ'!S34))</f>
        <v/>
      </c>
      <c r="W815" s="229" t="str" cm="1">
        <f t="array" ref="W815">IF($P815="","",IF(_xlfn.XLOOKUP(Tables!$N$782,_xlfn.ANCHORARRAY('Input LwA_XYZ'!$DD$1),'Input LwA_XYZ'!DD34:DR34)="","-",_xlfn.XLOOKUP(Tables!$N$782,_xlfn.ANCHORARRAY('Input LwA_XYZ'!$DD$1),'Input LwA_XYZ'!DD34:DR34)))</f>
        <v/>
      </c>
      <c r="X815" s="62" t="str">
        <f>IF($P815="","",_xlfn.XLOOKUP(Tables!$N$782,'Input LwA_XYZ'!$DU$1:$EI$1,'Input LwA_XYZ'!DU34:EI34))</f>
        <v/>
      </c>
    </row>
    <row r="816" spans="16:24" ht="16.5" x14ac:dyDescent="0.3">
      <c r="P816" s="230" t="str">
        <f>IF(OR('Input LwA_XYZ'!A35 = 0, NOT(ISBLANK(_xlfn.XLOOKUP(Tables!N$782, 'Input LwA_XYZ'!CM$1:DA$1, 'Input LwA_XYZ'!CM35:DA35)))), "", 'Input LwA_XYZ'!A35)</f>
        <v/>
      </c>
      <c r="Q816" s="225" t="str">
        <f>IF($P816="","",_xlfn.TEXTJOIN(" - ",TRUE,'Input LwA_XYZ'!B35:C35))</f>
        <v/>
      </c>
      <c r="R816" s="231" t="str">
        <f>IF($P816="","",'Input LwA_XYZ'!Q35)</f>
        <v/>
      </c>
      <c r="S816" s="227" t="str">
        <f>IF($P816="","",ROUND(_xlfn.XLOOKUP(Tables!$N$782,'Input LwA_XYZ'!$AH$1:$AV$1,'Input LwA_XYZ'!AH35:AV35),0))</f>
        <v/>
      </c>
      <c r="T816" s="228" t="str">
        <f>IF($P816="","",-1*ROUND(_xlfn.XLOOKUP(Tables!$N$782,'Input LwA_XYZ'!$AY$1:$BM$1,'Input LwA_XYZ'!AY35:BM35),0))</f>
        <v/>
      </c>
      <c r="U816" s="228" t="str">
        <f>IF($P816="","",IF(_xlfn.XLOOKUP(Tables!$N$782,'Input LwA_XYZ'!$BV$1:$CJ$1,'Input LwA_XYZ'!BV35:CJ35)="","-",_xlfn.XLOOKUP(Tables!$N$782,'Input LwA_XYZ'!$BV$1:$CJ$1,'Input LwA_XYZ'!BV35:CJ35)))</f>
        <v/>
      </c>
      <c r="V816" s="228" t="str">
        <f>IF($P816="","",IF('Input LwA_XYZ'!S35="","-",'Input LwA_XYZ'!S35))</f>
        <v/>
      </c>
      <c r="W816" s="229" t="str" cm="1">
        <f t="array" ref="W816">IF($P816="","",IF(_xlfn.XLOOKUP(Tables!$N$782,_xlfn.ANCHORARRAY('Input LwA_XYZ'!$DD$1),'Input LwA_XYZ'!DD35:DR35)="","-",_xlfn.XLOOKUP(Tables!$N$782,_xlfn.ANCHORARRAY('Input LwA_XYZ'!$DD$1),'Input LwA_XYZ'!DD35:DR35)))</f>
        <v/>
      </c>
      <c r="X816" s="62" t="str">
        <f>IF($P816="","",_xlfn.XLOOKUP(Tables!$N$782,'Input LwA_XYZ'!$DU$1:$EI$1,'Input LwA_XYZ'!DU35:EI35))</f>
        <v/>
      </c>
    </row>
    <row r="817" spans="16:24" ht="16.5" x14ac:dyDescent="0.3">
      <c r="P817" s="230" t="str">
        <f>IF(OR('Input LwA_XYZ'!A36 = 0, NOT(ISBLANK(_xlfn.XLOOKUP(Tables!N$782, 'Input LwA_XYZ'!CM$1:DA$1, 'Input LwA_XYZ'!CM36:DA36)))), "", 'Input LwA_XYZ'!A36)</f>
        <v/>
      </c>
      <c r="Q817" s="225" t="str">
        <f>IF($P817="","",_xlfn.TEXTJOIN(" - ",TRUE,'Input LwA_XYZ'!B36:C36))</f>
        <v/>
      </c>
      <c r="R817" s="231" t="str">
        <f>IF($P817="","",'Input LwA_XYZ'!Q36)</f>
        <v/>
      </c>
      <c r="S817" s="227" t="str">
        <f>IF($P817="","",ROUND(_xlfn.XLOOKUP(Tables!$N$782,'Input LwA_XYZ'!$AH$1:$AV$1,'Input LwA_XYZ'!AH36:AV36),0))</f>
        <v/>
      </c>
      <c r="T817" s="228" t="str">
        <f>IF($P817="","",-1*ROUND(_xlfn.XLOOKUP(Tables!$N$782,'Input LwA_XYZ'!$AY$1:$BM$1,'Input LwA_XYZ'!AY36:BM36),0))</f>
        <v/>
      </c>
      <c r="U817" s="228" t="str">
        <f>IF($P817="","",IF(_xlfn.XLOOKUP(Tables!$N$782,'Input LwA_XYZ'!$BV$1:$CJ$1,'Input LwA_XYZ'!BV36:CJ36)="","-",_xlfn.XLOOKUP(Tables!$N$782,'Input LwA_XYZ'!$BV$1:$CJ$1,'Input LwA_XYZ'!BV36:CJ36)))</f>
        <v/>
      </c>
      <c r="V817" s="228" t="str">
        <f>IF($P817="","",IF('Input LwA_XYZ'!S36="","-",'Input LwA_XYZ'!S36))</f>
        <v/>
      </c>
      <c r="W817" s="229" t="str" cm="1">
        <f t="array" ref="W817">IF($P817="","",IF(_xlfn.XLOOKUP(Tables!$N$782,_xlfn.ANCHORARRAY('Input LwA_XYZ'!$DD$1),'Input LwA_XYZ'!DD36:DR36)="","-",_xlfn.XLOOKUP(Tables!$N$782,_xlfn.ANCHORARRAY('Input LwA_XYZ'!$DD$1),'Input LwA_XYZ'!DD36:DR36)))</f>
        <v/>
      </c>
      <c r="X817" s="62" t="str">
        <f>IF($P817="","",_xlfn.XLOOKUP(Tables!$N$782,'Input LwA_XYZ'!$DU$1:$EI$1,'Input LwA_XYZ'!DU36:EI36))</f>
        <v/>
      </c>
    </row>
    <row r="818" spans="16:24" ht="16.5" x14ac:dyDescent="0.3">
      <c r="P818" s="230" t="str">
        <f>IF(OR('Input LwA_XYZ'!A37 = 0, NOT(ISBLANK(_xlfn.XLOOKUP(Tables!N$782, 'Input LwA_XYZ'!CM$1:DA$1, 'Input LwA_XYZ'!CM37:DA37)))), "", 'Input LwA_XYZ'!A37)</f>
        <v/>
      </c>
      <c r="Q818" s="225" t="str">
        <f>IF($P818="","",_xlfn.TEXTJOIN(" - ",TRUE,'Input LwA_XYZ'!B37:C37))</f>
        <v/>
      </c>
      <c r="R818" s="231" t="str">
        <f>IF($P818="","",'Input LwA_XYZ'!Q37)</f>
        <v/>
      </c>
      <c r="S818" s="227" t="str">
        <f>IF($P818="","",ROUND(_xlfn.XLOOKUP(Tables!$N$782,'Input LwA_XYZ'!$AH$1:$AV$1,'Input LwA_XYZ'!AH37:AV37),0))</f>
        <v/>
      </c>
      <c r="T818" s="228" t="str">
        <f>IF($P818="","",-1*ROUND(_xlfn.XLOOKUP(Tables!$N$782,'Input LwA_XYZ'!$AY$1:$BM$1,'Input LwA_XYZ'!AY37:BM37),0))</f>
        <v/>
      </c>
      <c r="U818" s="228" t="str">
        <f>IF($P818="","",IF(_xlfn.XLOOKUP(Tables!$N$782,'Input LwA_XYZ'!$BV$1:$CJ$1,'Input LwA_XYZ'!BV37:CJ37)="","-",_xlfn.XLOOKUP(Tables!$N$782,'Input LwA_XYZ'!$BV$1:$CJ$1,'Input LwA_XYZ'!BV37:CJ37)))</f>
        <v/>
      </c>
      <c r="V818" s="228" t="str">
        <f>IF($P818="","",IF('Input LwA_XYZ'!S37="","-",'Input LwA_XYZ'!S37))</f>
        <v/>
      </c>
      <c r="W818" s="229" t="str" cm="1">
        <f t="array" ref="W818">IF($P818="","",IF(_xlfn.XLOOKUP(Tables!$N$782,_xlfn.ANCHORARRAY('Input LwA_XYZ'!$DD$1),'Input LwA_XYZ'!DD37:DR37)="","-",_xlfn.XLOOKUP(Tables!$N$782,_xlfn.ANCHORARRAY('Input LwA_XYZ'!$DD$1),'Input LwA_XYZ'!DD37:DR37)))</f>
        <v/>
      </c>
      <c r="X818" s="62" t="str">
        <f>IF($P818="","",_xlfn.XLOOKUP(Tables!$N$782,'Input LwA_XYZ'!$DU$1:$EI$1,'Input LwA_XYZ'!DU37:EI37))</f>
        <v/>
      </c>
    </row>
    <row r="819" spans="16:24" ht="16.5" x14ac:dyDescent="0.3">
      <c r="P819" s="230" t="str">
        <f>IF(OR('Input LwA_XYZ'!A38 = 0, NOT(ISBLANK(_xlfn.XLOOKUP(Tables!N$782, 'Input LwA_XYZ'!CM$1:DA$1, 'Input LwA_XYZ'!CM38:DA38)))), "", 'Input LwA_XYZ'!A38)</f>
        <v/>
      </c>
      <c r="Q819" s="225" t="str">
        <f>IF($P819="","",_xlfn.TEXTJOIN(" - ",TRUE,'Input LwA_XYZ'!B38:C38))</f>
        <v/>
      </c>
      <c r="R819" s="231" t="str">
        <f>IF($P819="","",'Input LwA_XYZ'!Q38)</f>
        <v/>
      </c>
      <c r="S819" s="227" t="str">
        <f>IF($P819="","",ROUND(_xlfn.XLOOKUP(Tables!$N$782,'Input LwA_XYZ'!$AH$1:$AV$1,'Input LwA_XYZ'!AH38:AV38),0))</f>
        <v/>
      </c>
      <c r="T819" s="228" t="str">
        <f>IF($P819="","",-1*ROUND(_xlfn.XLOOKUP(Tables!$N$782,'Input LwA_XYZ'!$AY$1:$BM$1,'Input LwA_XYZ'!AY38:BM38),0))</f>
        <v/>
      </c>
      <c r="U819" s="228" t="str">
        <f>IF($P819="","",IF(_xlfn.XLOOKUP(Tables!$N$782,'Input LwA_XYZ'!$BV$1:$CJ$1,'Input LwA_XYZ'!BV38:CJ38)="","-",_xlfn.XLOOKUP(Tables!$N$782,'Input LwA_XYZ'!$BV$1:$CJ$1,'Input LwA_XYZ'!BV38:CJ38)))</f>
        <v/>
      </c>
      <c r="V819" s="228" t="str">
        <f>IF($P819="","",IF('Input LwA_XYZ'!S38="","-",'Input LwA_XYZ'!S38))</f>
        <v/>
      </c>
      <c r="W819" s="229" t="str" cm="1">
        <f t="array" ref="W819">IF($P819="","",IF(_xlfn.XLOOKUP(Tables!$N$782,_xlfn.ANCHORARRAY('Input LwA_XYZ'!$DD$1),'Input LwA_XYZ'!DD38:DR38)="","-",_xlfn.XLOOKUP(Tables!$N$782,_xlfn.ANCHORARRAY('Input LwA_XYZ'!$DD$1),'Input LwA_XYZ'!DD38:DR38)))</f>
        <v/>
      </c>
      <c r="X819" s="62" t="str">
        <f>IF($P819="","",_xlfn.XLOOKUP(Tables!$N$782,'Input LwA_XYZ'!$DU$1:$EI$1,'Input LwA_XYZ'!DU38:EI38))</f>
        <v/>
      </c>
    </row>
    <row r="820" spans="16:24" ht="16.5" x14ac:dyDescent="0.3">
      <c r="P820" s="230" t="str">
        <f>IF(OR('Input LwA_XYZ'!A39 = 0, NOT(ISBLANK(_xlfn.XLOOKUP(Tables!N$782, 'Input LwA_XYZ'!CM$1:DA$1, 'Input LwA_XYZ'!CM39:DA39)))), "", 'Input LwA_XYZ'!A39)</f>
        <v/>
      </c>
      <c r="Q820" s="225" t="str">
        <f>IF($P820="","",_xlfn.TEXTJOIN(" - ",TRUE,'Input LwA_XYZ'!B39:C39))</f>
        <v/>
      </c>
      <c r="R820" s="231" t="str">
        <f>IF($P820="","",'Input LwA_XYZ'!Q39)</f>
        <v/>
      </c>
      <c r="S820" s="227" t="str">
        <f>IF($P820="","",ROUND(_xlfn.XLOOKUP(Tables!$N$782,'Input LwA_XYZ'!$AH$1:$AV$1,'Input LwA_XYZ'!AH39:AV39),0))</f>
        <v/>
      </c>
      <c r="T820" s="228" t="str">
        <f>IF($P820="","",-1*ROUND(_xlfn.XLOOKUP(Tables!$N$782,'Input LwA_XYZ'!$AY$1:$BM$1,'Input LwA_XYZ'!AY39:BM39),0))</f>
        <v/>
      </c>
      <c r="U820" s="228" t="str">
        <f>IF($P820="","",IF(_xlfn.XLOOKUP(Tables!$N$782,'Input LwA_XYZ'!$BV$1:$CJ$1,'Input LwA_XYZ'!BV39:CJ39)="","-",_xlfn.XLOOKUP(Tables!$N$782,'Input LwA_XYZ'!$BV$1:$CJ$1,'Input LwA_XYZ'!BV39:CJ39)))</f>
        <v/>
      </c>
      <c r="V820" s="228" t="str">
        <f>IF($P820="","",IF('Input LwA_XYZ'!S39="","-",'Input LwA_XYZ'!S39))</f>
        <v/>
      </c>
      <c r="W820" s="229" t="str" cm="1">
        <f t="array" ref="W820">IF($P820="","",IF(_xlfn.XLOOKUP(Tables!$N$782,_xlfn.ANCHORARRAY('Input LwA_XYZ'!$DD$1),'Input LwA_XYZ'!DD39:DR39)="","-",_xlfn.XLOOKUP(Tables!$N$782,_xlfn.ANCHORARRAY('Input LwA_XYZ'!$DD$1),'Input LwA_XYZ'!DD39:DR39)))</f>
        <v/>
      </c>
      <c r="X820" s="62" t="str">
        <f>IF($P820="","",_xlfn.XLOOKUP(Tables!$N$782,'Input LwA_XYZ'!$DU$1:$EI$1,'Input LwA_XYZ'!DU39:EI39))</f>
        <v/>
      </c>
    </row>
    <row r="821" spans="16:24" ht="16.5" x14ac:dyDescent="0.3">
      <c r="P821" s="230" t="str">
        <f>IF(OR('Input LwA_XYZ'!A40 = 0, NOT(ISBLANK(_xlfn.XLOOKUP(Tables!N$782, 'Input LwA_XYZ'!CM$1:DA$1, 'Input LwA_XYZ'!CM40:DA40)))), "", 'Input LwA_XYZ'!A40)</f>
        <v/>
      </c>
      <c r="Q821" s="225" t="str">
        <f>IF($P821="","",_xlfn.TEXTJOIN(" - ",TRUE,'Input LwA_XYZ'!B40:C40))</f>
        <v/>
      </c>
      <c r="R821" s="231" t="str">
        <f>IF($P821="","",'Input LwA_XYZ'!Q40)</f>
        <v/>
      </c>
      <c r="S821" s="227" t="str">
        <f>IF($P821="","",ROUND(_xlfn.XLOOKUP(Tables!$N$782,'Input LwA_XYZ'!$AH$1:$AV$1,'Input LwA_XYZ'!AH40:AV40),0))</f>
        <v/>
      </c>
      <c r="T821" s="228" t="str">
        <f>IF($P821="","",-1*ROUND(_xlfn.XLOOKUP(Tables!$N$782,'Input LwA_XYZ'!$AY$1:$BM$1,'Input LwA_XYZ'!AY40:BM40),0))</f>
        <v/>
      </c>
      <c r="U821" s="228" t="str">
        <f>IF($P821="","",IF(_xlfn.XLOOKUP(Tables!$N$782,'Input LwA_XYZ'!$BV$1:$CJ$1,'Input LwA_XYZ'!BV40:CJ40)="","-",_xlfn.XLOOKUP(Tables!$N$782,'Input LwA_XYZ'!$BV$1:$CJ$1,'Input LwA_XYZ'!BV40:CJ40)))</f>
        <v/>
      </c>
      <c r="V821" s="228" t="str">
        <f>IF($P821="","",IF('Input LwA_XYZ'!S40="","-",'Input LwA_XYZ'!S40))</f>
        <v/>
      </c>
      <c r="W821" s="229" t="str" cm="1">
        <f t="array" ref="W821">IF($P821="","",IF(_xlfn.XLOOKUP(Tables!$N$782,_xlfn.ANCHORARRAY('Input LwA_XYZ'!$DD$1),'Input LwA_XYZ'!DD40:DR40)="","-",_xlfn.XLOOKUP(Tables!$N$782,_xlfn.ANCHORARRAY('Input LwA_XYZ'!$DD$1),'Input LwA_XYZ'!DD40:DR40)))</f>
        <v/>
      </c>
      <c r="X821" s="62" t="str">
        <f>IF($P821="","",_xlfn.XLOOKUP(Tables!$N$782,'Input LwA_XYZ'!$DU$1:$EI$1,'Input LwA_XYZ'!DU40:EI40))</f>
        <v/>
      </c>
    </row>
    <row r="822" spans="16:24" ht="16.5" x14ac:dyDescent="0.3">
      <c r="P822" s="230" t="str">
        <f>IF(OR('Input LwA_XYZ'!A41 = 0, NOT(ISBLANK(_xlfn.XLOOKUP(Tables!N$782, 'Input LwA_XYZ'!CM$1:DA$1, 'Input LwA_XYZ'!CM41:DA41)))), "", 'Input LwA_XYZ'!A41)</f>
        <v/>
      </c>
      <c r="Q822" s="225" t="str">
        <f>IF($P822="","",_xlfn.TEXTJOIN(" - ",TRUE,'Input LwA_XYZ'!B41:C41))</f>
        <v/>
      </c>
      <c r="R822" s="231" t="str">
        <f>IF($P822="","",'Input LwA_XYZ'!Q41)</f>
        <v/>
      </c>
      <c r="S822" s="227" t="str">
        <f>IF($P822="","",ROUND(_xlfn.XLOOKUP(Tables!$N$782,'Input LwA_XYZ'!$AH$1:$AV$1,'Input LwA_XYZ'!AH41:AV41),0))</f>
        <v/>
      </c>
      <c r="T822" s="228" t="str">
        <f>IF($P822="","",-1*ROUND(_xlfn.XLOOKUP(Tables!$N$782,'Input LwA_XYZ'!$AY$1:$BM$1,'Input LwA_XYZ'!AY41:BM41),0))</f>
        <v/>
      </c>
      <c r="U822" s="228" t="str">
        <f>IF($P822="","",IF(_xlfn.XLOOKUP(Tables!$N$782,'Input LwA_XYZ'!$BV$1:$CJ$1,'Input LwA_XYZ'!BV41:CJ41)="","-",_xlfn.XLOOKUP(Tables!$N$782,'Input LwA_XYZ'!$BV$1:$CJ$1,'Input LwA_XYZ'!BV41:CJ41)))</f>
        <v/>
      </c>
      <c r="V822" s="228" t="str">
        <f>IF($P822="","",IF('Input LwA_XYZ'!S41="","-",'Input LwA_XYZ'!S41))</f>
        <v/>
      </c>
      <c r="W822" s="229" t="str" cm="1">
        <f t="array" ref="W822">IF($P822="","",IF(_xlfn.XLOOKUP(Tables!$N$782,_xlfn.ANCHORARRAY('Input LwA_XYZ'!$DD$1),'Input LwA_XYZ'!DD41:DR41)="","-",_xlfn.XLOOKUP(Tables!$N$782,_xlfn.ANCHORARRAY('Input LwA_XYZ'!$DD$1),'Input LwA_XYZ'!DD41:DR41)))</f>
        <v/>
      </c>
      <c r="X822" s="62" t="str">
        <f>IF($P822="","",_xlfn.XLOOKUP(Tables!$N$782,'Input LwA_XYZ'!$DU$1:$EI$1,'Input LwA_XYZ'!DU41:EI41))</f>
        <v/>
      </c>
    </row>
    <row r="823" spans="16:24" ht="16.5" x14ac:dyDescent="0.3">
      <c r="P823" s="230" t="str">
        <f>IF(OR('Input LwA_XYZ'!A42 = 0, NOT(ISBLANK(_xlfn.XLOOKUP(Tables!N$782, 'Input LwA_XYZ'!CM$1:DA$1, 'Input LwA_XYZ'!CM42:DA42)))), "", 'Input LwA_XYZ'!A42)</f>
        <v/>
      </c>
      <c r="Q823" s="225" t="str">
        <f>IF($P823="","",_xlfn.TEXTJOIN(" - ",TRUE,'Input LwA_XYZ'!B42:C42))</f>
        <v/>
      </c>
      <c r="R823" s="231" t="str">
        <f>IF($P823="","",'Input LwA_XYZ'!Q42)</f>
        <v/>
      </c>
      <c r="S823" s="227" t="str">
        <f>IF($P823="","",ROUND(_xlfn.XLOOKUP(Tables!$N$782,'Input LwA_XYZ'!$AH$1:$AV$1,'Input LwA_XYZ'!AH42:AV42),0))</f>
        <v/>
      </c>
      <c r="T823" s="228" t="str">
        <f>IF($P823="","",-1*ROUND(_xlfn.XLOOKUP(Tables!$N$782,'Input LwA_XYZ'!$AY$1:$BM$1,'Input LwA_XYZ'!AY42:BM42),0))</f>
        <v/>
      </c>
      <c r="U823" s="228" t="str">
        <f>IF($P823="","",IF(_xlfn.XLOOKUP(Tables!$N$782,'Input LwA_XYZ'!$BV$1:$CJ$1,'Input LwA_XYZ'!BV42:CJ42)="","-",_xlfn.XLOOKUP(Tables!$N$782,'Input LwA_XYZ'!$BV$1:$CJ$1,'Input LwA_XYZ'!BV42:CJ42)))</f>
        <v/>
      </c>
      <c r="V823" s="228" t="str">
        <f>IF($P823="","",IF('Input LwA_XYZ'!S42="","-",'Input LwA_XYZ'!S42))</f>
        <v/>
      </c>
      <c r="W823" s="229" t="str" cm="1">
        <f t="array" ref="W823">IF($P823="","",IF(_xlfn.XLOOKUP(Tables!$N$782,_xlfn.ANCHORARRAY('Input LwA_XYZ'!$DD$1),'Input LwA_XYZ'!DD42:DR42)="","-",_xlfn.XLOOKUP(Tables!$N$782,_xlfn.ANCHORARRAY('Input LwA_XYZ'!$DD$1),'Input LwA_XYZ'!DD42:DR42)))</f>
        <v/>
      </c>
      <c r="X823" s="62" t="str">
        <f>IF($P823="","",_xlfn.XLOOKUP(Tables!$N$782,'Input LwA_XYZ'!$DU$1:$EI$1,'Input LwA_XYZ'!DU42:EI42))</f>
        <v/>
      </c>
    </row>
    <row r="824" spans="16:24" ht="16.5" x14ac:dyDescent="0.3">
      <c r="P824" s="230" t="str">
        <f>IF(OR('Input LwA_XYZ'!A43 = 0, NOT(ISBLANK(_xlfn.XLOOKUP(Tables!N$782, 'Input LwA_XYZ'!CM$1:DA$1, 'Input LwA_XYZ'!CM43:DA43)))), "", 'Input LwA_XYZ'!A43)</f>
        <v/>
      </c>
      <c r="Q824" s="225" t="str">
        <f>IF($P824="","",_xlfn.TEXTJOIN(" - ",TRUE,'Input LwA_XYZ'!B43:C43))</f>
        <v/>
      </c>
      <c r="R824" s="231" t="str">
        <f>IF($P824="","",'Input LwA_XYZ'!Q43)</f>
        <v/>
      </c>
      <c r="S824" s="227" t="str">
        <f>IF($P824="","",ROUND(_xlfn.XLOOKUP(Tables!$N$782,'Input LwA_XYZ'!$AH$1:$AV$1,'Input LwA_XYZ'!AH43:AV43),0))</f>
        <v/>
      </c>
      <c r="T824" s="228" t="str">
        <f>IF($P824="","",-1*ROUND(_xlfn.XLOOKUP(Tables!$N$782,'Input LwA_XYZ'!$AY$1:$BM$1,'Input LwA_XYZ'!AY43:BM43),0))</f>
        <v/>
      </c>
      <c r="U824" s="228" t="str">
        <f>IF($P824="","",IF(_xlfn.XLOOKUP(Tables!$N$782,'Input LwA_XYZ'!$BV$1:$CJ$1,'Input LwA_XYZ'!BV43:CJ43)="","-",_xlfn.XLOOKUP(Tables!$N$782,'Input LwA_XYZ'!$BV$1:$CJ$1,'Input LwA_XYZ'!BV43:CJ43)))</f>
        <v/>
      </c>
      <c r="V824" s="228" t="str">
        <f>IF($P824="","",IF('Input LwA_XYZ'!S43="","-",'Input LwA_XYZ'!S43))</f>
        <v/>
      </c>
      <c r="W824" s="229" t="str" cm="1">
        <f t="array" ref="W824">IF($P824="","",IF(_xlfn.XLOOKUP(Tables!$N$782,_xlfn.ANCHORARRAY('Input LwA_XYZ'!$DD$1),'Input LwA_XYZ'!DD43:DR43)="","-",_xlfn.XLOOKUP(Tables!$N$782,_xlfn.ANCHORARRAY('Input LwA_XYZ'!$DD$1),'Input LwA_XYZ'!DD43:DR43)))</f>
        <v/>
      </c>
      <c r="X824" s="62" t="str">
        <f>IF($P824="","",_xlfn.XLOOKUP(Tables!$N$782,'Input LwA_XYZ'!$DU$1:$EI$1,'Input LwA_XYZ'!DU43:EI43))</f>
        <v/>
      </c>
    </row>
    <row r="825" spans="16:24" ht="16.5" x14ac:dyDescent="0.3">
      <c r="P825" s="230" t="str">
        <f>IF(OR('Input LwA_XYZ'!A44 = 0, NOT(ISBLANK(_xlfn.XLOOKUP(Tables!N$782, 'Input LwA_XYZ'!CM$1:DA$1, 'Input LwA_XYZ'!CM44:DA44)))), "", 'Input LwA_XYZ'!A44)</f>
        <v/>
      </c>
      <c r="Q825" s="225" t="str">
        <f>IF($P825="","",_xlfn.TEXTJOIN(" - ",TRUE,'Input LwA_XYZ'!B44:C44))</f>
        <v/>
      </c>
      <c r="R825" s="231" t="str">
        <f>IF($P825="","",'Input LwA_XYZ'!Q44)</f>
        <v/>
      </c>
      <c r="S825" s="227" t="str">
        <f>IF($P825="","",ROUND(_xlfn.XLOOKUP(Tables!$N$782,'Input LwA_XYZ'!$AH$1:$AV$1,'Input LwA_XYZ'!AH44:AV44),0))</f>
        <v/>
      </c>
      <c r="T825" s="228" t="str">
        <f>IF($P825="","",-1*ROUND(_xlfn.XLOOKUP(Tables!$N$782,'Input LwA_XYZ'!$AY$1:$BM$1,'Input LwA_XYZ'!AY44:BM44),0))</f>
        <v/>
      </c>
      <c r="U825" s="228" t="str">
        <f>IF($P825="","",IF(_xlfn.XLOOKUP(Tables!$N$782,'Input LwA_XYZ'!$BV$1:$CJ$1,'Input LwA_XYZ'!BV44:CJ44)="","-",_xlfn.XLOOKUP(Tables!$N$782,'Input LwA_XYZ'!$BV$1:$CJ$1,'Input LwA_XYZ'!BV44:CJ44)))</f>
        <v/>
      </c>
      <c r="V825" s="228" t="str">
        <f>IF($P825="","",IF('Input LwA_XYZ'!S44="","-",'Input LwA_XYZ'!S44))</f>
        <v/>
      </c>
      <c r="W825" s="229" t="str" cm="1">
        <f t="array" ref="W825">IF($P825="","",IF(_xlfn.XLOOKUP(Tables!$N$782,_xlfn.ANCHORARRAY('Input LwA_XYZ'!$DD$1),'Input LwA_XYZ'!DD44:DR44)="","-",_xlfn.XLOOKUP(Tables!$N$782,_xlfn.ANCHORARRAY('Input LwA_XYZ'!$DD$1),'Input LwA_XYZ'!DD44:DR44)))</f>
        <v/>
      </c>
      <c r="X825" s="62" t="str">
        <f>IF($P825="","",_xlfn.XLOOKUP(Tables!$N$782,'Input LwA_XYZ'!$DU$1:$EI$1,'Input LwA_XYZ'!DU44:EI44))</f>
        <v/>
      </c>
    </row>
    <row r="826" spans="16:24" ht="16.5" x14ac:dyDescent="0.3">
      <c r="P826" s="230" t="str">
        <f>IF(OR('Input LwA_XYZ'!A45 = 0, NOT(ISBLANK(_xlfn.XLOOKUP(Tables!N$782, 'Input LwA_XYZ'!CM$1:DA$1, 'Input LwA_XYZ'!CM45:DA45)))), "", 'Input LwA_XYZ'!A45)</f>
        <v/>
      </c>
      <c r="Q826" s="225" t="str">
        <f>IF($P826="","",_xlfn.TEXTJOIN(" - ",TRUE,'Input LwA_XYZ'!B45:C45))</f>
        <v/>
      </c>
      <c r="R826" s="231" t="str">
        <f>IF($P826="","",'Input LwA_XYZ'!Q45)</f>
        <v/>
      </c>
      <c r="S826" s="227" t="str">
        <f>IF($P826="","",ROUND(_xlfn.XLOOKUP(Tables!$N$782,'Input LwA_XYZ'!$AH$1:$AV$1,'Input LwA_XYZ'!AH45:AV45),0))</f>
        <v/>
      </c>
      <c r="T826" s="228" t="str">
        <f>IF($P826="","",-1*ROUND(_xlfn.XLOOKUP(Tables!$N$782,'Input LwA_XYZ'!$AY$1:$BM$1,'Input LwA_XYZ'!AY45:BM45),0))</f>
        <v/>
      </c>
      <c r="U826" s="228" t="str">
        <f>IF($P826="","",IF(_xlfn.XLOOKUP(Tables!$N$782,'Input LwA_XYZ'!$BV$1:$CJ$1,'Input LwA_XYZ'!BV45:CJ45)="","-",_xlfn.XLOOKUP(Tables!$N$782,'Input LwA_XYZ'!$BV$1:$CJ$1,'Input LwA_XYZ'!BV45:CJ45)))</f>
        <v/>
      </c>
      <c r="V826" s="228" t="str">
        <f>IF($P826="","",IF('Input LwA_XYZ'!S45="","-",'Input LwA_XYZ'!S45))</f>
        <v/>
      </c>
      <c r="W826" s="229" t="str" cm="1">
        <f t="array" ref="W826">IF($P826="","",IF(_xlfn.XLOOKUP(Tables!$N$782,_xlfn.ANCHORARRAY('Input LwA_XYZ'!$DD$1),'Input LwA_XYZ'!DD45:DR45)="","-",_xlfn.XLOOKUP(Tables!$N$782,_xlfn.ANCHORARRAY('Input LwA_XYZ'!$DD$1),'Input LwA_XYZ'!DD45:DR45)))</f>
        <v/>
      </c>
      <c r="X826" s="62" t="str">
        <f>IF($P826="","",_xlfn.XLOOKUP(Tables!$N$782,'Input LwA_XYZ'!$DU$1:$EI$1,'Input LwA_XYZ'!DU45:EI45))</f>
        <v/>
      </c>
    </row>
    <row r="827" spans="16:24" ht="16.5" x14ac:dyDescent="0.3">
      <c r="P827" s="230" t="str">
        <f>IF(OR('Input LwA_XYZ'!A46 = 0, NOT(ISBLANK(_xlfn.XLOOKUP(Tables!N$782, 'Input LwA_XYZ'!CM$1:DA$1, 'Input LwA_XYZ'!CM46:DA46)))), "", 'Input LwA_XYZ'!A46)</f>
        <v/>
      </c>
      <c r="Q827" s="225" t="str">
        <f>IF($P827="","",_xlfn.TEXTJOIN(" - ",TRUE,'Input LwA_XYZ'!B46:C46))</f>
        <v/>
      </c>
      <c r="R827" s="231" t="str">
        <f>IF($P827="","",'Input LwA_XYZ'!Q46)</f>
        <v/>
      </c>
      <c r="S827" s="227" t="str">
        <f>IF($P827="","",ROUND(_xlfn.XLOOKUP(Tables!$N$782,'Input LwA_XYZ'!$AH$1:$AV$1,'Input LwA_XYZ'!AH46:AV46),0))</f>
        <v/>
      </c>
      <c r="T827" s="228" t="str">
        <f>IF($P827="","",-1*ROUND(_xlfn.XLOOKUP(Tables!$N$782,'Input LwA_XYZ'!$AY$1:$BM$1,'Input LwA_XYZ'!AY46:BM46),0))</f>
        <v/>
      </c>
      <c r="U827" s="228" t="str">
        <f>IF($P827="","",IF(_xlfn.XLOOKUP(Tables!$N$782,'Input LwA_XYZ'!$BV$1:$CJ$1,'Input LwA_XYZ'!BV46:CJ46)="","-",_xlfn.XLOOKUP(Tables!$N$782,'Input LwA_XYZ'!$BV$1:$CJ$1,'Input LwA_XYZ'!BV46:CJ46)))</f>
        <v/>
      </c>
      <c r="V827" s="228" t="str">
        <f>IF($P827="","",IF('Input LwA_XYZ'!S46="","-",'Input LwA_XYZ'!S46))</f>
        <v/>
      </c>
      <c r="W827" s="229" t="str" cm="1">
        <f t="array" ref="W827">IF($P827="","",IF(_xlfn.XLOOKUP(Tables!$N$782,_xlfn.ANCHORARRAY('Input LwA_XYZ'!$DD$1),'Input LwA_XYZ'!DD46:DR46)="","-",_xlfn.XLOOKUP(Tables!$N$782,_xlfn.ANCHORARRAY('Input LwA_XYZ'!$DD$1),'Input LwA_XYZ'!DD46:DR46)))</f>
        <v/>
      </c>
      <c r="X827" s="62" t="str">
        <f>IF($P827="","",_xlfn.XLOOKUP(Tables!$N$782,'Input LwA_XYZ'!$DU$1:$EI$1,'Input LwA_XYZ'!DU46:EI46))</f>
        <v/>
      </c>
    </row>
    <row r="828" spans="16:24" ht="16.5" x14ac:dyDescent="0.3">
      <c r="P828" s="230" t="str">
        <f>IF(OR('Input LwA_XYZ'!A47 = 0, NOT(ISBLANK(_xlfn.XLOOKUP(Tables!N$782, 'Input LwA_XYZ'!CM$1:DA$1, 'Input LwA_XYZ'!CM47:DA47)))), "", 'Input LwA_XYZ'!A47)</f>
        <v/>
      </c>
      <c r="Q828" s="225" t="str">
        <f>IF($P828="","",_xlfn.TEXTJOIN(" - ",TRUE,'Input LwA_XYZ'!B47:C47))</f>
        <v/>
      </c>
      <c r="R828" s="231" t="str">
        <f>IF($P828="","",'Input LwA_XYZ'!Q47)</f>
        <v/>
      </c>
      <c r="S828" s="227" t="str">
        <f>IF($P828="","",ROUND(_xlfn.XLOOKUP(Tables!$N$782,'Input LwA_XYZ'!$AH$1:$AV$1,'Input LwA_XYZ'!AH47:AV47),0))</f>
        <v/>
      </c>
      <c r="T828" s="228" t="str">
        <f>IF($P828="","",-1*ROUND(_xlfn.XLOOKUP(Tables!$N$782,'Input LwA_XYZ'!$AY$1:$BM$1,'Input LwA_XYZ'!AY47:BM47),0))</f>
        <v/>
      </c>
      <c r="U828" s="228" t="str">
        <f>IF($P828="","",IF(_xlfn.XLOOKUP(Tables!$N$782,'Input LwA_XYZ'!$BV$1:$CJ$1,'Input LwA_XYZ'!BV47:CJ47)="","-",_xlfn.XLOOKUP(Tables!$N$782,'Input LwA_XYZ'!$BV$1:$CJ$1,'Input LwA_XYZ'!BV47:CJ47)))</f>
        <v/>
      </c>
      <c r="V828" s="228" t="str">
        <f>IF($P828="","",IF('Input LwA_XYZ'!S47="","-",'Input LwA_XYZ'!S47))</f>
        <v/>
      </c>
      <c r="W828" s="229" t="str" cm="1">
        <f t="array" ref="W828">IF($P828="","",IF(_xlfn.XLOOKUP(Tables!$N$782,_xlfn.ANCHORARRAY('Input LwA_XYZ'!$DD$1),'Input LwA_XYZ'!DD47:DR47)="","-",_xlfn.XLOOKUP(Tables!$N$782,_xlfn.ANCHORARRAY('Input LwA_XYZ'!$DD$1),'Input LwA_XYZ'!DD47:DR47)))</f>
        <v/>
      </c>
      <c r="X828" s="62" t="str">
        <f>IF($P828="","",_xlfn.XLOOKUP(Tables!$N$782,'Input LwA_XYZ'!$DU$1:$EI$1,'Input LwA_XYZ'!DU47:EI47))</f>
        <v/>
      </c>
    </row>
    <row r="829" spans="16:24" ht="16.5" x14ac:dyDescent="0.3">
      <c r="P829" s="230" t="str">
        <f>IF(OR('Input LwA_XYZ'!A48 = 0, NOT(ISBLANK(_xlfn.XLOOKUP(Tables!N$782, 'Input LwA_XYZ'!CM$1:DA$1, 'Input LwA_XYZ'!CM48:DA48)))), "", 'Input LwA_XYZ'!A48)</f>
        <v/>
      </c>
      <c r="Q829" s="225" t="str">
        <f>IF($P829="","",_xlfn.TEXTJOIN(" - ",TRUE,'Input LwA_XYZ'!B48:C48))</f>
        <v/>
      </c>
      <c r="R829" s="231" t="str">
        <f>IF($P829="","",'Input LwA_XYZ'!Q48)</f>
        <v/>
      </c>
      <c r="S829" s="227" t="str">
        <f>IF($P829="","",ROUND(_xlfn.XLOOKUP(Tables!$N$782,'Input LwA_XYZ'!$AH$1:$AV$1,'Input LwA_XYZ'!AH48:AV48),0))</f>
        <v/>
      </c>
      <c r="T829" s="228" t="str">
        <f>IF($P829="","",-1*ROUND(_xlfn.XLOOKUP(Tables!$N$782,'Input LwA_XYZ'!$AY$1:$BM$1,'Input LwA_XYZ'!AY48:BM48),0))</f>
        <v/>
      </c>
      <c r="U829" s="228" t="str">
        <f>IF($P829="","",IF(_xlfn.XLOOKUP(Tables!$N$782,'Input LwA_XYZ'!$BV$1:$CJ$1,'Input LwA_XYZ'!BV48:CJ48)="","-",_xlfn.XLOOKUP(Tables!$N$782,'Input LwA_XYZ'!$BV$1:$CJ$1,'Input LwA_XYZ'!BV48:CJ48)))</f>
        <v/>
      </c>
      <c r="V829" s="228" t="str">
        <f>IF($P829="","",IF('Input LwA_XYZ'!S48="","-",'Input LwA_XYZ'!S48))</f>
        <v/>
      </c>
      <c r="W829" s="229" t="str" cm="1">
        <f t="array" ref="W829">IF($P829="","",IF(_xlfn.XLOOKUP(Tables!$N$782,_xlfn.ANCHORARRAY('Input LwA_XYZ'!$DD$1),'Input LwA_XYZ'!DD48:DR48)="","-",_xlfn.XLOOKUP(Tables!$N$782,_xlfn.ANCHORARRAY('Input LwA_XYZ'!$DD$1),'Input LwA_XYZ'!DD48:DR48)))</f>
        <v/>
      </c>
      <c r="X829" s="62" t="str">
        <f>IF($P829="","",_xlfn.XLOOKUP(Tables!$N$782,'Input LwA_XYZ'!$DU$1:$EI$1,'Input LwA_XYZ'!DU48:EI48))</f>
        <v/>
      </c>
    </row>
    <row r="830" spans="16:24" ht="16.5" x14ac:dyDescent="0.3">
      <c r="P830" s="230" t="str">
        <f>IF(OR('Input LwA_XYZ'!A49 = 0, NOT(ISBLANK(_xlfn.XLOOKUP(Tables!N$782, 'Input LwA_XYZ'!CM$1:DA$1, 'Input LwA_XYZ'!CM49:DA49)))), "", 'Input LwA_XYZ'!A49)</f>
        <v/>
      </c>
      <c r="Q830" s="225" t="str">
        <f>IF($P830="","",_xlfn.TEXTJOIN(" - ",TRUE,'Input LwA_XYZ'!B49:C49))</f>
        <v/>
      </c>
      <c r="R830" s="231" t="str">
        <f>IF($P830="","",'Input LwA_XYZ'!Q49)</f>
        <v/>
      </c>
      <c r="S830" s="227" t="str">
        <f>IF($P830="","",ROUND(_xlfn.XLOOKUP(Tables!$N$782,'Input LwA_XYZ'!$AH$1:$AV$1,'Input LwA_XYZ'!AH49:AV49),0))</f>
        <v/>
      </c>
      <c r="T830" s="228" t="str">
        <f>IF($P830="","",-1*ROUND(_xlfn.XLOOKUP(Tables!$N$782,'Input LwA_XYZ'!$AY$1:$BM$1,'Input LwA_XYZ'!AY49:BM49),0))</f>
        <v/>
      </c>
      <c r="U830" s="228" t="str">
        <f>IF($P830="","",IF(_xlfn.XLOOKUP(Tables!$N$782,'Input LwA_XYZ'!$BV$1:$CJ$1,'Input LwA_XYZ'!BV49:CJ49)="","-",_xlfn.XLOOKUP(Tables!$N$782,'Input LwA_XYZ'!$BV$1:$CJ$1,'Input LwA_XYZ'!BV49:CJ49)))</f>
        <v/>
      </c>
      <c r="V830" s="228" t="str">
        <f>IF($P830="","",IF('Input LwA_XYZ'!S49="","-",'Input LwA_XYZ'!S49))</f>
        <v/>
      </c>
      <c r="W830" s="229" t="str" cm="1">
        <f t="array" ref="W830">IF($P830="","",IF(_xlfn.XLOOKUP(Tables!$N$782,_xlfn.ANCHORARRAY('Input LwA_XYZ'!$DD$1),'Input LwA_XYZ'!DD49:DR49)="","-",_xlfn.XLOOKUP(Tables!$N$782,_xlfn.ANCHORARRAY('Input LwA_XYZ'!$DD$1),'Input LwA_XYZ'!DD49:DR49)))</f>
        <v/>
      </c>
      <c r="X830" s="62" t="str">
        <f>IF($P830="","",_xlfn.XLOOKUP(Tables!$N$782,'Input LwA_XYZ'!$DU$1:$EI$1,'Input LwA_XYZ'!DU49:EI49))</f>
        <v/>
      </c>
    </row>
    <row r="831" spans="16:24" ht="16.5" x14ac:dyDescent="0.3">
      <c r="P831" s="230" t="str">
        <f>IF(OR('Input LwA_XYZ'!A50 = 0, NOT(ISBLANK(_xlfn.XLOOKUP(Tables!N$782, 'Input LwA_XYZ'!CM$1:DA$1, 'Input LwA_XYZ'!CM50:DA50)))), "", 'Input LwA_XYZ'!A50)</f>
        <v/>
      </c>
      <c r="Q831" s="225" t="str">
        <f>IF($P831="","",_xlfn.TEXTJOIN(" - ",TRUE,'Input LwA_XYZ'!B50:C50))</f>
        <v/>
      </c>
      <c r="R831" s="231" t="str">
        <f>IF($P831="","",'Input LwA_XYZ'!Q50)</f>
        <v/>
      </c>
      <c r="S831" s="227" t="str">
        <f>IF($P831="","",ROUND(_xlfn.XLOOKUP(Tables!$N$782,'Input LwA_XYZ'!$AH$1:$AV$1,'Input LwA_XYZ'!AH50:AV50),0))</f>
        <v/>
      </c>
      <c r="T831" s="228" t="str">
        <f>IF($P831="","",-1*ROUND(_xlfn.XLOOKUP(Tables!$N$782,'Input LwA_XYZ'!$AY$1:$BM$1,'Input LwA_XYZ'!AY50:BM50),0))</f>
        <v/>
      </c>
      <c r="U831" s="228" t="str">
        <f>IF($P831="","",IF(_xlfn.XLOOKUP(Tables!$N$782,'Input LwA_XYZ'!$BV$1:$CJ$1,'Input LwA_XYZ'!BV50:CJ50)="","-",_xlfn.XLOOKUP(Tables!$N$782,'Input LwA_XYZ'!$BV$1:$CJ$1,'Input LwA_XYZ'!BV50:CJ50)))</f>
        <v/>
      </c>
      <c r="V831" s="228" t="str">
        <f>IF($P831="","",IF('Input LwA_XYZ'!S50="","-",'Input LwA_XYZ'!S50))</f>
        <v/>
      </c>
      <c r="W831" s="229" t="str" cm="1">
        <f t="array" ref="W831">IF($P831="","",IF(_xlfn.XLOOKUP(Tables!$N$782,_xlfn.ANCHORARRAY('Input LwA_XYZ'!$DD$1),'Input LwA_XYZ'!DD50:DR50)="","-",_xlfn.XLOOKUP(Tables!$N$782,_xlfn.ANCHORARRAY('Input LwA_XYZ'!$DD$1),'Input LwA_XYZ'!DD50:DR50)))</f>
        <v/>
      </c>
      <c r="X831" s="62" t="str">
        <f>IF($P831="","",_xlfn.XLOOKUP(Tables!$N$782,'Input LwA_XYZ'!$DU$1:$EI$1,'Input LwA_XYZ'!DU50:EI50))</f>
        <v/>
      </c>
    </row>
    <row r="832" spans="16:24" ht="16.5" x14ac:dyDescent="0.3">
      <c r="P832" s="230" t="str">
        <f>IF(OR('Input LwA_XYZ'!A51 = 0, NOT(ISBLANK(_xlfn.XLOOKUP(Tables!N$782, 'Input LwA_XYZ'!CM$1:DA$1, 'Input LwA_XYZ'!CM51:DA51)))), "", 'Input LwA_XYZ'!A51)</f>
        <v/>
      </c>
      <c r="Q832" s="225" t="str">
        <f>IF($P832="","",_xlfn.TEXTJOIN(" - ",TRUE,'Input LwA_XYZ'!B51:C51))</f>
        <v/>
      </c>
      <c r="R832" s="231" t="str">
        <f>IF($P832="","",'Input LwA_XYZ'!Q51)</f>
        <v/>
      </c>
      <c r="S832" s="227" t="str">
        <f>IF($P832="","",ROUND(_xlfn.XLOOKUP(Tables!$N$782,'Input LwA_XYZ'!$AH$1:$AV$1,'Input LwA_XYZ'!AH51:AV51),0))</f>
        <v/>
      </c>
      <c r="T832" s="228" t="str">
        <f>IF($P832="","",-1*ROUND(_xlfn.XLOOKUP(Tables!$N$782,'Input LwA_XYZ'!$AY$1:$BM$1,'Input LwA_XYZ'!AY51:BM51),0))</f>
        <v/>
      </c>
      <c r="U832" s="228" t="str">
        <f>IF($P832="","",IF(_xlfn.XLOOKUP(Tables!$N$782,'Input LwA_XYZ'!$BV$1:$CJ$1,'Input LwA_XYZ'!BV51:CJ51)="","-",_xlfn.XLOOKUP(Tables!$N$782,'Input LwA_XYZ'!$BV$1:$CJ$1,'Input LwA_XYZ'!BV51:CJ51)))</f>
        <v/>
      </c>
      <c r="V832" s="228" t="str">
        <f>IF($P832="","",IF('Input LwA_XYZ'!S51="","-",'Input LwA_XYZ'!S51))</f>
        <v/>
      </c>
      <c r="W832" s="229" t="str" cm="1">
        <f t="array" ref="W832">IF($P832="","",IF(_xlfn.XLOOKUP(Tables!$N$782,_xlfn.ANCHORARRAY('Input LwA_XYZ'!$DD$1),'Input LwA_XYZ'!DD51:DR51)="","-",_xlfn.XLOOKUP(Tables!$N$782,_xlfn.ANCHORARRAY('Input LwA_XYZ'!$DD$1),'Input LwA_XYZ'!DD51:DR51)))</f>
        <v/>
      </c>
      <c r="X832" s="62" t="str">
        <f>IF($P832="","",_xlfn.XLOOKUP(Tables!$N$782,'Input LwA_XYZ'!$DU$1:$EI$1,'Input LwA_XYZ'!DU51:EI51))</f>
        <v/>
      </c>
    </row>
    <row r="833" spans="16:24" ht="16.5" x14ac:dyDescent="0.3">
      <c r="P833" s="230" t="str">
        <f>IF(OR('Input LwA_XYZ'!A52 = 0, NOT(ISBLANK(_xlfn.XLOOKUP(Tables!N$782, 'Input LwA_XYZ'!CM$1:DA$1, 'Input LwA_XYZ'!CM52:DA52)))), "", 'Input LwA_XYZ'!A52)</f>
        <v/>
      </c>
      <c r="Q833" s="225" t="str">
        <f>IF($P833="","",_xlfn.TEXTJOIN(" - ",TRUE,'Input LwA_XYZ'!B52:C52))</f>
        <v/>
      </c>
      <c r="R833" s="231" t="str">
        <f>IF($P833="","",'Input LwA_XYZ'!Q52)</f>
        <v/>
      </c>
      <c r="S833" s="227" t="str">
        <f>IF($P833="","",ROUND(_xlfn.XLOOKUP(Tables!$N$782,'Input LwA_XYZ'!$AH$1:$AV$1,'Input LwA_XYZ'!AH52:AV52),0))</f>
        <v/>
      </c>
      <c r="T833" s="228" t="str">
        <f>IF($P833="","",-1*ROUND(_xlfn.XLOOKUP(Tables!$N$782,'Input LwA_XYZ'!$AY$1:$BM$1,'Input LwA_XYZ'!AY52:BM52),0))</f>
        <v/>
      </c>
      <c r="U833" s="228" t="str">
        <f>IF($P833="","",IF(_xlfn.XLOOKUP(Tables!$N$782,'Input LwA_XYZ'!$BV$1:$CJ$1,'Input LwA_XYZ'!BV52:CJ52)="","-",_xlfn.XLOOKUP(Tables!$N$782,'Input LwA_XYZ'!$BV$1:$CJ$1,'Input LwA_XYZ'!BV52:CJ52)))</f>
        <v/>
      </c>
      <c r="V833" s="228" t="str">
        <f>IF($P833="","",IF('Input LwA_XYZ'!S52="","-",'Input LwA_XYZ'!S52))</f>
        <v/>
      </c>
      <c r="W833" s="229" t="str" cm="1">
        <f t="array" ref="W833">IF($P833="","",IF(_xlfn.XLOOKUP(Tables!$N$782,_xlfn.ANCHORARRAY('Input LwA_XYZ'!$DD$1),'Input LwA_XYZ'!DD52:DR52)="","-",_xlfn.XLOOKUP(Tables!$N$782,_xlfn.ANCHORARRAY('Input LwA_XYZ'!$DD$1),'Input LwA_XYZ'!DD52:DR52)))</f>
        <v/>
      </c>
      <c r="X833" s="62" t="str">
        <f>IF($P833="","",_xlfn.XLOOKUP(Tables!$N$782,'Input LwA_XYZ'!$DU$1:$EI$1,'Input LwA_XYZ'!DU52:EI52))</f>
        <v/>
      </c>
    </row>
    <row r="834" spans="16:24" ht="16.5" x14ac:dyDescent="0.3">
      <c r="P834" s="230" t="str">
        <f>IF(OR('Input LwA_XYZ'!A53 = 0, NOT(ISBLANK(_xlfn.XLOOKUP(Tables!N$782, 'Input LwA_XYZ'!CM$1:DA$1, 'Input LwA_XYZ'!CM53:DA53)))), "", 'Input LwA_XYZ'!A53)</f>
        <v/>
      </c>
      <c r="Q834" s="225" t="str">
        <f>IF($P834="","",_xlfn.TEXTJOIN(" - ",TRUE,'Input LwA_XYZ'!B53:C53))</f>
        <v/>
      </c>
      <c r="R834" s="231" t="str">
        <f>IF($P834="","",'Input LwA_XYZ'!Q53)</f>
        <v/>
      </c>
      <c r="S834" s="227" t="str">
        <f>IF($P834="","",ROUND(_xlfn.XLOOKUP(Tables!$N$782,'Input LwA_XYZ'!$AH$1:$AV$1,'Input LwA_XYZ'!AH53:AV53),0))</f>
        <v/>
      </c>
      <c r="T834" s="228" t="str">
        <f>IF($P834="","",-1*ROUND(_xlfn.XLOOKUP(Tables!$N$782,'Input LwA_XYZ'!$AY$1:$BM$1,'Input LwA_XYZ'!AY53:BM53),0))</f>
        <v/>
      </c>
      <c r="U834" s="228" t="str">
        <f>IF($P834="","",IF(_xlfn.XLOOKUP(Tables!$N$782,'Input LwA_XYZ'!$BV$1:$CJ$1,'Input LwA_XYZ'!BV53:CJ53)="","-",_xlfn.XLOOKUP(Tables!$N$782,'Input LwA_XYZ'!$BV$1:$CJ$1,'Input LwA_XYZ'!BV53:CJ53)))</f>
        <v/>
      </c>
      <c r="V834" s="228" t="str">
        <f>IF($P834="","",IF('Input LwA_XYZ'!S53="","-",'Input LwA_XYZ'!S53))</f>
        <v/>
      </c>
      <c r="W834" s="229" t="str" cm="1">
        <f t="array" ref="W834">IF($P834="","",IF(_xlfn.XLOOKUP(Tables!$N$782,_xlfn.ANCHORARRAY('Input LwA_XYZ'!$DD$1),'Input LwA_XYZ'!DD53:DR53)="","-",_xlfn.XLOOKUP(Tables!$N$782,_xlfn.ANCHORARRAY('Input LwA_XYZ'!$DD$1),'Input LwA_XYZ'!DD53:DR53)))</f>
        <v/>
      </c>
      <c r="X834" s="62" t="str">
        <f>IF($P834="","",_xlfn.XLOOKUP(Tables!$N$782,'Input LwA_XYZ'!$DU$1:$EI$1,'Input LwA_XYZ'!DU53:EI53))</f>
        <v/>
      </c>
    </row>
    <row r="835" spans="16:24" ht="16.5" x14ac:dyDescent="0.3">
      <c r="P835" s="230" t="str">
        <f>IF(OR('Input LwA_XYZ'!A54 = 0, NOT(ISBLANK(_xlfn.XLOOKUP(Tables!N$782, 'Input LwA_XYZ'!CM$1:DA$1, 'Input LwA_XYZ'!CM54:DA54)))), "", 'Input LwA_XYZ'!A54)</f>
        <v/>
      </c>
      <c r="Q835" s="225" t="str">
        <f>IF($P835="","",_xlfn.TEXTJOIN(" - ",TRUE,'Input LwA_XYZ'!B54:C54))</f>
        <v/>
      </c>
      <c r="R835" s="231" t="str">
        <f>IF($P835="","",'Input LwA_XYZ'!Q54)</f>
        <v/>
      </c>
      <c r="S835" s="227" t="str">
        <f>IF($P835="","",ROUND(_xlfn.XLOOKUP(Tables!$N$782,'Input LwA_XYZ'!$AH$1:$AV$1,'Input LwA_XYZ'!AH54:AV54),0))</f>
        <v/>
      </c>
      <c r="T835" s="228" t="str">
        <f>IF($P835="","",-1*ROUND(_xlfn.XLOOKUP(Tables!$N$782,'Input LwA_XYZ'!$AY$1:$BM$1,'Input LwA_XYZ'!AY54:BM54),0))</f>
        <v/>
      </c>
      <c r="U835" s="228" t="str">
        <f>IF($P835="","",IF(_xlfn.XLOOKUP(Tables!$N$782,'Input LwA_XYZ'!$BV$1:$CJ$1,'Input LwA_XYZ'!BV54:CJ54)="","-",_xlfn.XLOOKUP(Tables!$N$782,'Input LwA_XYZ'!$BV$1:$CJ$1,'Input LwA_XYZ'!BV54:CJ54)))</f>
        <v/>
      </c>
      <c r="V835" s="228" t="str">
        <f>IF($P835="","",IF('Input LwA_XYZ'!S54="","-",'Input LwA_XYZ'!S54))</f>
        <v/>
      </c>
      <c r="W835" s="229" t="str" cm="1">
        <f t="array" ref="W835">IF($P835="","",IF(_xlfn.XLOOKUP(Tables!$N$782,_xlfn.ANCHORARRAY('Input LwA_XYZ'!$DD$1),'Input LwA_XYZ'!DD54:DR54)="","-",_xlfn.XLOOKUP(Tables!$N$782,_xlfn.ANCHORARRAY('Input LwA_XYZ'!$DD$1),'Input LwA_XYZ'!DD54:DR54)))</f>
        <v/>
      </c>
      <c r="X835" s="62" t="str">
        <f>IF($P835="","",_xlfn.XLOOKUP(Tables!$N$782,'Input LwA_XYZ'!$DU$1:$EI$1,'Input LwA_XYZ'!DU54:EI54))</f>
        <v/>
      </c>
    </row>
    <row r="836" spans="16:24" ht="16.5" x14ac:dyDescent="0.3">
      <c r="P836" s="230" t="str">
        <f>IF(OR('Input LwA_XYZ'!A55 = 0, NOT(ISBLANK(_xlfn.XLOOKUP(Tables!N$782, 'Input LwA_XYZ'!CM$1:DA$1, 'Input LwA_XYZ'!CM55:DA55)))), "", 'Input LwA_XYZ'!A55)</f>
        <v/>
      </c>
      <c r="Q836" s="225" t="str">
        <f>IF($P836="","",_xlfn.TEXTJOIN(" - ",TRUE,'Input LwA_XYZ'!B55:C55))</f>
        <v/>
      </c>
      <c r="R836" s="231" t="str">
        <f>IF($P836="","",'Input LwA_XYZ'!Q55)</f>
        <v/>
      </c>
      <c r="S836" s="227" t="str">
        <f>IF($P836="","",ROUND(_xlfn.XLOOKUP(Tables!$N$782,'Input LwA_XYZ'!$AH$1:$AV$1,'Input LwA_XYZ'!AH55:AV55),0))</f>
        <v/>
      </c>
      <c r="T836" s="228" t="str">
        <f>IF($P836="","",-1*ROUND(_xlfn.XLOOKUP(Tables!$N$782,'Input LwA_XYZ'!$AY$1:$BM$1,'Input LwA_XYZ'!AY55:BM55),0))</f>
        <v/>
      </c>
      <c r="U836" s="228" t="str">
        <f>IF($P836="","",IF(_xlfn.XLOOKUP(Tables!$N$782,'Input LwA_XYZ'!$BV$1:$CJ$1,'Input LwA_XYZ'!BV55:CJ55)="","-",_xlfn.XLOOKUP(Tables!$N$782,'Input LwA_XYZ'!$BV$1:$CJ$1,'Input LwA_XYZ'!BV55:CJ55)))</f>
        <v/>
      </c>
      <c r="V836" s="228" t="str">
        <f>IF($P836="","",IF('Input LwA_XYZ'!S55="","-",'Input LwA_XYZ'!S55))</f>
        <v/>
      </c>
      <c r="W836" s="229" t="str" cm="1">
        <f t="array" ref="W836">IF($P836="","",IF(_xlfn.XLOOKUP(Tables!$N$782,_xlfn.ANCHORARRAY('Input LwA_XYZ'!$DD$1),'Input LwA_XYZ'!DD55:DR55)="","-",_xlfn.XLOOKUP(Tables!$N$782,_xlfn.ANCHORARRAY('Input LwA_XYZ'!$DD$1),'Input LwA_XYZ'!DD55:DR55)))</f>
        <v/>
      </c>
      <c r="X836" s="62" t="str">
        <f>IF($P836="","",_xlfn.XLOOKUP(Tables!$N$782,'Input LwA_XYZ'!$DU$1:$EI$1,'Input LwA_XYZ'!DU55:EI55))</f>
        <v/>
      </c>
    </row>
    <row r="837" spans="16:24" ht="16.5" x14ac:dyDescent="0.3">
      <c r="P837" s="230" t="str">
        <f>IF(OR('Input LwA_XYZ'!A56 = 0, NOT(ISBLANK(_xlfn.XLOOKUP(Tables!N$782, 'Input LwA_XYZ'!CM$1:DA$1, 'Input LwA_XYZ'!CM56:DA56)))), "", 'Input LwA_XYZ'!A56)</f>
        <v/>
      </c>
      <c r="Q837" s="225" t="str">
        <f>IF($P837="","",_xlfn.TEXTJOIN(" - ",TRUE,'Input LwA_XYZ'!B56:C56))</f>
        <v/>
      </c>
      <c r="R837" s="231" t="str">
        <f>IF($P837="","",'Input LwA_XYZ'!Q56)</f>
        <v/>
      </c>
      <c r="S837" s="227" t="str">
        <f>IF($P837="","",ROUND(_xlfn.XLOOKUP(Tables!$N$782,'Input LwA_XYZ'!$AH$1:$AV$1,'Input LwA_XYZ'!AH56:AV56),0))</f>
        <v/>
      </c>
      <c r="T837" s="228" t="str">
        <f>IF($P837="","",-1*ROUND(_xlfn.XLOOKUP(Tables!$N$782,'Input LwA_XYZ'!$AY$1:$BM$1,'Input LwA_XYZ'!AY56:BM56),0))</f>
        <v/>
      </c>
      <c r="U837" s="228" t="str">
        <f>IF($P837="","",IF(_xlfn.XLOOKUP(Tables!$N$782,'Input LwA_XYZ'!$BV$1:$CJ$1,'Input LwA_XYZ'!BV56:CJ56)="","-",_xlfn.XLOOKUP(Tables!$N$782,'Input LwA_XYZ'!$BV$1:$CJ$1,'Input LwA_XYZ'!BV56:CJ56)))</f>
        <v/>
      </c>
      <c r="V837" s="228" t="str">
        <f>IF($P837="","",IF('Input LwA_XYZ'!S56="","-",'Input LwA_XYZ'!S56))</f>
        <v/>
      </c>
      <c r="W837" s="229" t="str" cm="1">
        <f t="array" ref="W837">IF($P837="","",IF(_xlfn.XLOOKUP(Tables!$N$782,_xlfn.ANCHORARRAY('Input LwA_XYZ'!$DD$1),'Input LwA_XYZ'!DD56:DR56)="","-",_xlfn.XLOOKUP(Tables!$N$782,_xlfn.ANCHORARRAY('Input LwA_XYZ'!$DD$1),'Input LwA_XYZ'!DD56:DR56)))</f>
        <v/>
      </c>
      <c r="X837" s="62" t="str">
        <f>IF($P837="","",_xlfn.XLOOKUP(Tables!$N$782,'Input LwA_XYZ'!$DU$1:$EI$1,'Input LwA_XYZ'!DU56:EI56))</f>
        <v/>
      </c>
    </row>
    <row r="838" spans="16:24" ht="16.5" x14ac:dyDescent="0.3">
      <c r="P838" s="230" t="str">
        <f>IF(OR('Input LwA_XYZ'!A57 = 0, NOT(ISBLANK(_xlfn.XLOOKUP(Tables!N$782, 'Input LwA_XYZ'!CM$1:DA$1, 'Input LwA_XYZ'!CM57:DA57)))), "", 'Input LwA_XYZ'!A57)</f>
        <v/>
      </c>
      <c r="Q838" s="225" t="str">
        <f>IF($P838="","",_xlfn.TEXTJOIN(" - ",TRUE,'Input LwA_XYZ'!B57:C57))</f>
        <v/>
      </c>
      <c r="R838" s="231" t="str">
        <f>IF($P838="","",'Input LwA_XYZ'!Q57)</f>
        <v/>
      </c>
      <c r="S838" s="227" t="str">
        <f>IF($P838="","",ROUND(_xlfn.XLOOKUP(Tables!$N$782,'Input LwA_XYZ'!$AH$1:$AV$1,'Input LwA_XYZ'!AH57:AV57),0))</f>
        <v/>
      </c>
      <c r="T838" s="228" t="str">
        <f>IF($P838="","",-1*ROUND(_xlfn.XLOOKUP(Tables!$N$782,'Input LwA_XYZ'!$AY$1:$BM$1,'Input LwA_XYZ'!AY57:BM57),0))</f>
        <v/>
      </c>
      <c r="U838" s="228" t="str">
        <f>IF($P838="","",IF(_xlfn.XLOOKUP(Tables!$N$782,'Input LwA_XYZ'!$BV$1:$CJ$1,'Input LwA_XYZ'!BV57:CJ57)="","-",_xlfn.XLOOKUP(Tables!$N$782,'Input LwA_XYZ'!$BV$1:$CJ$1,'Input LwA_XYZ'!BV57:CJ57)))</f>
        <v/>
      </c>
      <c r="V838" s="228" t="str">
        <f>IF($P838="","",IF('Input LwA_XYZ'!S57="","-",'Input LwA_XYZ'!S57))</f>
        <v/>
      </c>
      <c r="W838" s="229" t="str" cm="1">
        <f t="array" ref="W838">IF($P838="","",IF(_xlfn.XLOOKUP(Tables!$N$782,_xlfn.ANCHORARRAY('Input LwA_XYZ'!$DD$1),'Input LwA_XYZ'!DD57:DR57)="","-",_xlfn.XLOOKUP(Tables!$N$782,_xlfn.ANCHORARRAY('Input LwA_XYZ'!$DD$1),'Input LwA_XYZ'!DD57:DR57)))</f>
        <v/>
      </c>
      <c r="X838" s="62" t="str">
        <f>IF($P838="","",_xlfn.XLOOKUP(Tables!$N$782,'Input LwA_XYZ'!$DU$1:$EI$1,'Input LwA_XYZ'!DU57:EI57))</f>
        <v/>
      </c>
    </row>
    <row r="839" spans="16:24" ht="17.25" thickBot="1" x14ac:dyDescent="0.35">
      <c r="P839" s="232" t="str">
        <f>IF(OR('Input LwA_XYZ'!A58 = 0, NOT(ISBLANK(_xlfn.XLOOKUP(Tables!N$782, 'Input LwA_XYZ'!CM$1:DA$1, 'Input LwA_XYZ'!CM58:DA58)))), "", 'Input LwA_XYZ'!A58)</f>
        <v/>
      </c>
      <c r="Q839" s="233" t="str">
        <f>IF($P839="","",_xlfn.TEXTJOIN(" - ",TRUE,'Input LwA_XYZ'!B58:C58))</f>
        <v/>
      </c>
      <c r="R839" s="234" t="str">
        <f>IF($P839="","",'Input LwA_XYZ'!Q58)</f>
        <v/>
      </c>
      <c r="S839" s="235" t="str">
        <f>IF($P839="","",ROUND(_xlfn.XLOOKUP(Tables!$N$782,'Input LwA_XYZ'!$AH$1:$AV$1,'Input LwA_XYZ'!AH58:AV58),0))</f>
        <v/>
      </c>
      <c r="T839" s="236" t="str">
        <f>IF($P839="","",-1*ROUND(_xlfn.XLOOKUP(Tables!$N$782,'Input LwA_XYZ'!$AY$1:$BM$1,'Input LwA_XYZ'!AY58:BM58),0))</f>
        <v/>
      </c>
      <c r="U839" s="228" t="str">
        <f>IF($P839="","",IF(_xlfn.XLOOKUP(Tables!$N$782,'Input LwA_XYZ'!$BV$1:$CJ$1,'Input LwA_XYZ'!BV58:CJ58)="","-",_xlfn.XLOOKUP(Tables!$N$782,'Input LwA_XYZ'!$BV$1:$CJ$1,'Input LwA_XYZ'!BV58:CJ58)))</f>
        <v/>
      </c>
      <c r="V839" s="228" t="str">
        <f>IF($P839="","",IF('Input LwA_XYZ'!S58="","-",'Input LwA_XYZ'!S58))</f>
        <v/>
      </c>
      <c r="W839" s="229" t="str" cm="1">
        <f t="array" ref="W839">IF($P839="","",IF(_xlfn.XLOOKUP(Tables!$N$782,_xlfn.ANCHORARRAY('Input LwA_XYZ'!$DD$1),'Input LwA_XYZ'!DD58:DR58)="","-",_xlfn.XLOOKUP(Tables!$N$782,_xlfn.ANCHORARRAY('Input LwA_XYZ'!$DD$1),'Input LwA_XYZ'!DD58:DR58)))</f>
        <v/>
      </c>
      <c r="X839" s="63" t="str">
        <f>IF($P839="","",_xlfn.XLOOKUP(Tables!$N$782,'Input LwA_XYZ'!$DU$1:$EI$1,'Input LwA_XYZ'!DU58:EI58))</f>
        <v/>
      </c>
    </row>
    <row r="840" spans="16:24" ht="17.25" thickBot="1" x14ac:dyDescent="0.35">
      <c r="P840" s="237" t="s">
        <v>215</v>
      </c>
      <c r="Q840" s="238"/>
      <c r="R840" s="239"/>
      <c r="S840" s="238"/>
      <c r="T840" s="240"/>
      <c r="U840" s="240"/>
      <c r="V840" s="240"/>
      <c r="W840" s="241"/>
      <c r="X840" s="219" t="e">
        <f>_xlfn.XLOOKUP(Tables!$N$782,'Input LwA_XYZ'!$Z$2:$Z$16,'Input LwA_XYZ'!$AE$2:$AE$16)</f>
        <v>#N/A</v>
      </c>
    </row>
    <row r="841" spans="16:24" x14ac:dyDescent="0.25">
      <c r="P841" s="221"/>
    </row>
    <row r="842" spans="16:24" x14ac:dyDescent="0.25">
      <c r="P842" s="221"/>
    </row>
    <row r="843" spans="16:24" x14ac:dyDescent="0.25">
      <c r="P843" s="221"/>
    </row>
    <row r="844" spans="16:24" x14ac:dyDescent="0.25">
      <c r="P844" s="221"/>
    </row>
    <row r="845" spans="16:24" x14ac:dyDescent="0.25">
      <c r="P845" s="221"/>
    </row>
    <row r="846" spans="16:24" x14ac:dyDescent="0.25">
      <c r="P846" s="221"/>
    </row>
    <row r="847" spans="16:24" x14ac:dyDescent="0.25">
      <c r="P847" s="221"/>
    </row>
    <row r="848" spans="16:24" x14ac:dyDescent="0.25">
      <c r="P848" s="221"/>
    </row>
    <row r="849" spans="16:16" x14ac:dyDescent="0.25">
      <c r="P849" s="221"/>
    </row>
    <row r="850" spans="16:16" x14ac:dyDescent="0.25">
      <c r="P850" s="221"/>
    </row>
    <row r="851" spans="16:16" x14ac:dyDescent="0.25">
      <c r="P851" s="221"/>
    </row>
    <row r="852" spans="16:16" x14ac:dyDescent="0.25">
      <c r="P852" s="221"/>
    </row>
    <row r="853" spans="16:16" x14ac:dyDescent="0.25">
      <c r="P853" s="221"/>
    </row>
    <row r="854" spans="16:16" x14ac:dyDescent="0.25">
      <c r="P854" s="221"/>
    </row>
    <row r="855" spans="16:16" x14ac:dyDescent="0.25">
      <c r="P855" s="221"/>
    </row>
    <row r="856" spans="16:16" x14ac:dyDescent="0.25">
      <c r="P856" s="221"/>
    </row>
    <row r="857" spans="16:16" x14ac:dyDescent="0.25">
      <c r="P857" s="221"/>
    </row>
    <row r="858" spans="16:16" x14ac:dyDescent="0.25">
      <c r="P858" s="221"/>
    </row>
    <row r="859" spans="16:16" x14ac:dyDescent="0.25">
      <c r="P859" s="221"/>
    </row>
    <row r="860" spans="16:16" x14ac:dyDescent="0.25">
      <c r="P860" s="221"/>
    </row>
    <row r="861" spans="16:16" x14ac:dyDescent="0.25">
      <c r="P861" s="221"/>
    </row>
    <row r="862" spans="16:16" x14ac:dyDescent="0.25">
      <c r="P862" s="221"/>
    </row>
    <row r="863" spans="16:16" x14ac:dyDescent="0.25">
      <c r="P863" s="221"/>
    </row>
    <row r="864" spans="16:16" x14ac:dyDescent="0.25">
      <c r="P864" s="221"/>
    </row>
    <row r="865" spans="16:16" x14ac:dyDescent="0.25">
      <c r="P865" s="221"/>
    </row>
    <row r="866" spans="16:16" x14ac:dyDescent="0.25">
      <c r="P866" s="221"/>
    </row>
    <row r="867" spans="16:16" x14ac:dyDescent="0.25">
      <c r="P867" s="221"/>
    </row>
    <row r="868" spans="16:16" x14ac:dyDescent="0.25">
      <c r="P868" s="221"/>
    </row>
    <row r="869" spans="16:16" x14ac:dyDescent="0.25">
      <c r="P869" s="221"/>
    </row>
    <row r="870" spans="16:16" x14ac:dyDescent="0.25">
      <c r="P870" s="221"/>
    </row>
    <row r="871" spans="16:16" x14ac:dyDescent="0.25">
      <c r="P871" s="221"/>
    </row>
    <row r="872" spans="16:16" x14ac:dyDescent="0.25">
      <c r="P872" s="221"/>
    </row>
    <row r="873" spans="16:16" x14ac:dyDescent="0.25">
      <c r="P873" s="221"/>
    </row>
    <row r="874" spans="16:16" x14ac:dyDescent="0.25">
      <c r="P874" s="221"/>
    </row>
    <row r="875" spans="16:16" x14ac:dyDescent="0.25">
      <c r="P875" s="221"/>
    </row>
    <row r="876" spans="16:16" x14ac:dyDescent="0.25">
      <c r="P876" s="221"/>
    </row>
    <row r="877" spans="16:16" x14ac:dyDescent="0.25">
      <c r="P877" s="221"/>
    </row>
    <row r="878" spans="16:16" x14ac:dyDescent="0.25">
      <c r="P878" s="221"/>
    </row>
    <row r="879" spans="16:16" x14ac:dyDescent="0.25">
      <c r="P879" s="221"/>
    </row>
    <row r="880" spans="16:16" x14ac:dyDescent="0.25">
      <c r="P880" s="221"/>
    </row>
    <row r="881" spans="16:16" x14ac:dyDescent="0.25">
      <c r="P881" s="221"/>
    </row>
    <row r="882" spans="16:16" x14ac:dyDescent="0.25">
      <c r="P882" s="221"/>
    </row>
    <row r="883" spans="16:16" x14ac:dyDescent="0.25">
      <c r="P883" s="221"/>
    </row>
    <row r="884" spans="16:16" x14ac:dyDescent="0.25">
      <c r="P884" s="221"/>
    </row>
    <row r="885" spans="16:16" x14ac:dyDescent="0.25">
      <c r="P885" s="221"/>
    </row>
    <row r="886" spans="16:16" x14ac:dyDescent="0.25">
      <c r="P886" s="221"/>
    </row>
    <row r="887" spans="16:16" x14ac:dyDescent="0.25">
      <c r="P887" s="221"/>
    </row>
    <row r="888" spans="16:16" x14ac:dyDescent="0.25">
      <c r="P888" s="221"/>
    </row>
    <row r="889" spans="16:16" x14ac:dyDescent="0.25">
      <c r="P889" s="221"/>
    </row>
    <row r="890" spans="16:16" x14ac:dyDescent="0.25">
      <c r="P890" s="221"/>
    </row>
    <row r="891" spans="16:16" x14ac:dyDescent="0.25">
      <c r="P891" s="221"/>
    </row>
    <row r="892" spans="16:16" x14ac:dyDescent="0.25">
      <c r="P892" s="221"/>
    </row>
    <row r="893" spans="16:16" x14ac:dyDescent="0.25">
      <c r="P893" s="221"/>
    </row>
    <row r="894" spans="16:16" x14ac:dyDescent="0.25">
      <c r="P894" s="221"/>
    </row>
    <row r="895" spans="16:16" x14ac:dyDescent="0.25">
      <c r="P895" s="221"/>
    </row>
    <row r="896" spans="16:16" x14ac:dyDescent="0.25">
      <c r="P896" s="221"/>
    </row>
    <row r="897" spans="16:16" x14ac:dyDescent="0.25">
      <c r="P897" s="221"/>
    </row>
    <row r="898" spans="16:16" x14ac:dyDescent="0.25">
      <c r="P898" s="221"/>
    </row>
    <row r="899" spans="16:16" x14ac:dyDescent="0.25">
      <c r="P899" s="221"/>
    </row>
    <row r="900" spans="16:16" x14ac:dyDescent="0.25">
      <c r="P900" s="221"/>
    </row>
    <row r="901" spans="16:16" x14ac:dyDescent="0.25">
      <c r="P901" s="221"/>
    </row>
    <row r="902" spans="16:16" x14ac:dyDescent="0.25">
      <c r="P902" s="221"/>
    </row>
    <row r="903" spans="16:16" x14ac:dyDescent="0.25">
      <c r="P903" s="221"/>
    </row>
    <row r="904" spans="16:16" x14ac:dyDescent="0.25">
      <c r="P904" s="221"/>
    </row>
    <row r="905" spans="16:16" x14ac:dyDescent="0.25">
      <c r="P905" s="221"/>
    </row>
    <row r="906" spans="16:16" x14ac:dyDescent="0.25">
      <c r="P906" s="221"/>
    </row>
    <row r="907" spans="16:16" x14ac:dyDescent="0.25">
      <c r="P907" s="221"/>
    </row>
    <row r="908" spans="16:16" x14ac:dyDescent="0.25">
      <c r="P908" s="221"/>
    </row>
    <row r="909" spans="16:16" x14ac:dyDescent="0.25">
      <c r="P909" s="221"/>
    </row>
    <row r="910" spans="16:16" x14ac:dyDescent="0.25">
      <c r="P910" s="221"/>
    </row>
    <row r="911" spans="16:16" x14ac:dyDescent="0.25">
      <c r="P911" s="221"/>
    </row>
    <row r="912" spans="16:16" x14ac:dyDescent="0.25">
      <c r="P912" s="221"/>
    </row>
    <row r="913" spans="16:16" x14ac:dyDescent="0.25">
      <c r="P913" s="221"/>
    </row>
    <row r="914" spans="16:16" x14ac:dyDescent="0.25">
      <c r="P914" s="221"/>
    </row>
    <row r="915" spans="16:16" x14ac:dyDescent="0.25">
      <c r="P915" s="221"/>
    </row>
    <row r="916" spans="16:16" x14ac:dyDescent="0.25">
      <c r="P916" s="221"/>
    </row>
    <row r="917" spans="16:16" x14ac:dyDescent="0.25">
      <c r="P917" s="221"/>
    </row>
    <row r="918" spans="16:16" x14ac:dyDescent="0.25">
      <c r="P918" s="221"/>
    </row>
    <row r="919" spans="16:16" x14ac:dyDescent="0.25">
      <c r="P919" s="221"/>
    </row>
    <row r="920" spans="16:16" x14ac:dyDescent="0.25">
      <c r="P920" s="221"/>
    </row>
    <row r="921" spans="16:16" x14ac:dyDescent="0.25">
      <c r="P921" s="221"/>
    </row>
    <row r="922" spans="16:16" x14ac:dyDescent="0.25">
      <c r="P922" s="221"/>
    </row>
    <row r="923" spans="16:16" x14ac:dyDescent="0.25">
      <c r="P923" s="221"/>
    </row>
    <row r="924" spans="16:16" x14ac:dyDescent="0.25">
      <c r="P924" s="221"/>
    </row>
    <row r="925" spans="16:16" x14ac:dyDescent="0.25">
      <c r="P925" s="221"/>
    </row>
    <row r="926" spans="16:16" x14ac:dyDescent="0.25">
      <c r="P926" s="221"/>
    </row>
    <row r="927" spans="16:16" x14ac:dyDescent="0.25">
      <c r="P927" s="221"/>
    </row>
    <row r="928" spans="16:16" x14ac:dyDescent="0.25">
      <c r="P928" s="221"/>
    </row>
    <row r="929" spans="16:16" x14ac:dyDescent="0.25">
      <c r="P929" s="221"/>
    </row>
    <row r="930" spans="16:16" x14ac:dyDescent="0.25">
      <c r="P930" s="221"/>
    </row>
    <row r="931" spans="16:16" x14ac:dyDescent="0.25">
      <c r="P931" s="221"/>
    </row>
    <row r="932" spans="16:16" x14ac:dyDescent="0.25">
      <c r="P932" s="221"/>
    </row>
    <row r="933" spans="16:16" x14ac:dyDescent="0.25">
      <c r="P933" s="221"/>
    </row>
    <row r="934" spans="16:16" x14ac:dyDescent="0.25">
      <c r="P934" s="221"/>
    </row>
    <row r="935" spans="16:16" x14ac:dyDescent="0.25">
      <c r="P935" s="221"/>
    </row>
    <row r="936" spans="16:16" x14ac:dyDescent="0.25">
      <c r="P936" s="221"/>
    </row>
    <row r="937" spans="16:16" x14ac:dyDescent="0.25">
      <c r="P937" s="221"/>
    </row>
    <row r="938" spans="16:16" x14ac:dyDescent="0.25">
      <c r="P938" s="221"/>
    </row>
    <row r="939" spans="16:16" x14ac:dyDescent="0.25">
      <c r="P939" s="221"/>
    </row>
    <row r="940" spans="16:16" x14ac:dyDescent="0.25">
      <c r="P940" s="221"/>
    </row>
    <row r="941" spans="16:16" x14ac:dyDescent="0.25">
      <c r="P941" s="221"/>
    </row>
    <row r="942" spans="16:16" x14ac:dyDescent="0.25">
      <c r="P942" s="221"/>
    </row>
    <row r="943" spans="16:16" x14ac:dyDescent="0.25">
      <c r="P943" s="221"/>
    </row>
    <row r="944" spans="16:16" x14ac:dyDescent="0.25">
      <c r="P944" s="221"/>
    </row>
    <row r="945" spans="16:16" x14ac:dyDescent="0.25">
      <c r="P945" s="221"/>
    </row>
    <row r="946" spans="16:16" x14ac:dyDescent="0.25">
      <c r="P946" s="221"/>
    </row>
    <row r="947" spans="16:16" x14ac:dyDescent="0.25">
      <c r="P947" s="221"/>
    </row>
    <row r="948" spans="16:16" x14ac:dyDescent="0.25">
      <c r="P948" s="221"/>
    </row>
    <row r="949" spans="16:16" x14ac:dyDescent="0.25">
      <c r="P949" s="221"/>
    </row>
    <row r="950" spans="16:16" x14ac:dyDescent="0.25">
      <c r="P950" s="221"/>
    </row>
    <row r="951" spans="16:16" x14ac:dyDescent="0.25">
      <c r="P951" s="221"/>
    </row>
    <row r="952" spans="16:16" x14ac:dyDescent="0.25">
      <c r="P952" s="221"/>
    </row>
    <row r="953" spans="16:16" x14ac:dyDescent="0.25">
      <c r="P953" s="221"/>
    </row>
    <row r="954" spans="16:16" x14ac:dyDescent="0.25">
      <c r="P954" s="221"/>
    </row>
    <row r="955" spans="16:16" x14ac:dyDescent="0.25">
      <c r="P955" s="221"/>
    </row>
    <row r="956" spans="16:16" x14ac:dyDescent="0.25">
      <c r="P956" s="221"/>
    </row>
    <row r="957" spans="16:16" x14ac:dyDescent="0.25">
      <c r="P957" s="221"/>
    </row>
    <row r="958" spans="16:16" x14ac:dyDescent="0.25">
      <c r="P958" s="221"/>
    </row>
    <row r="959" spans="16:16" x14ac:dyDescent="0.25">
      <c r="P959" s="221"/>
    </row>
    <row r="960" spans="16:16" x14ac:dyDescent="0.25">
      <c r="P960" s="221"/>
    </row>
    <row r="961" spans="16:16" x14ac:dyDescent="0.25">
      <c r="P961" s="221"/>
    </row>
    <row r="962" spans="16:16" x14ac:dyDescent="0.25">
      <c r="P962" s="221"/>
    </row>
    <row r="963" spans="16:16" x14ac:dyDescent="0.25">
      <c r="P963" s="221"/>
    </row>
    <row r="964" spans="16:16" x14ac:dyDescent="0.25">
      <c r="P964" s="221"/>
    </row>
    <row r="965" spans="16:16" x14ac:dyDescent="0.25">
      <c r="P965" s="221"/>
    </row>
    <row r="966" spans="16:16" x14ac:dyDescent="0.25">
      <c r="P966" s="221"/>
    </row>
    <row r="967" spans="16:16" x14ac:dyDescent="0.25">
      <c r="P967" s="221"/>
    </row>
    <row r="968" spans="16:16" x14ac:dyDescent="0.25">
      <c r="P968" s="221"/>
    </row>
    <row r="969" spans="16:16" x14ac:dyDescent="0.25">
      <c r="P969" s="221"/>
    </row>
    <row r="970" spans="16:16" x14ac:dyDescent="0.25">
      <c r="P970" s="221"/>
    </row>
    <row r="971" spans="16:16" x14ac:dyDescent="0.25">
      <c r="P971" s="221"/>
    </row>
    <row r="972" spans="16:16" x14ac:dyDescent="0.25">
      <c r="P972" s="221"/>
    </row>
    <row r="973" spans="16:16" x14ac:dyDescent="0.25">
      <c r="P973" s="221"/>
    </row>
    <row r="974" spans="16:16" x14ac:dyDescent="0.25">
      <c r="P974" s="221"/>
    </row>
    <row r="975" spans="16:16" x14ac:dyDescent="0.25">
      <c r="P975" s="221"/>
    </row>
    <row r="976" spans="16:16" x14ac:dyDescent="0.25">
      <c r="P976" s="221"/>
    </row>
    <row r="977" spans="16:16" x14ac:dyDescent="0.25">
      <c r="P977" s="221"/>
    </row>
  </sheetData>
  <conditionalFormatting sqref="J60">
    <cfRule type="expression" dxfId="29" priority="278">
      <formula>J60=L60+1</formula>
    </cfRule>
    <cfRule type="expression" dxfId="28" priority="279">
      <formula>J60&lt;=L60</formula>
    </cfRule>
  </conditionalFormatting>
  <conditionalFormatting sqref="L3:L18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60">
    <cfRule type="expression" dxfId="27" priority="27">
      <formula>X60=Z60+1</formula>
    </cfRule>
    <cfRule type="expression" dxfId="26" priority="28">
      <formula>X60&lt;=Z60</formula>
    </cfRule>
  </conditionalFormatting>
  <conditionalFormatting sqref="X120">
    <cfRule type="expression" dxfId="25" priority="25">
      <formula>X120=Z120+1</formula>
    </cfRule>
    <cfRule type="expression" dxfId="24" priority="26">
      <formula>X120&lt;=Z120</formula>
    </cfRule>
  </conditionalFormatting>
  <conditionalFormatting sqref="X180">
    <cfRule type="expression" dxfId="23" priority="23">
      <formula>X180=Z180+1</formula>
    </cfRule>
    <cfRule type="expression" dxfId="22" priority="24">
      <formula>X180&lt;=Z180</formula>
    </cfRule>
  </conditionalFormatting>
  <conditionalFormatting sqref="X240">
    <cfRule type="expression" dxfId="21" priority="21">
      <formula>X240=Z240+1</formula>
    </cfRule>
    <cfRule type="expression" dxfId="20" priority="22">
      <formula>X240&lt;=Z240</formula>
    </cfRule>
  </conditionalFormatting>
  <conditionalFormatting sqref="X300">
    <cfRule type="expression" dxfId="19" priority="19">
      <formula>X300=Z300+1</formula>
    </cfRule>
    <cfRule type="expression" dxfId="18" priority="20">
      <formula>X300&lt;=Z300</formula>
    </cfRule>
  </conditionalFormatting>
  <conditionalFormatting sqref="X360">
    <cfRule type="expression" dxfId="17" priority="17">
      <formula>X360=Z360+1</formula>
    </cfRule>
    <cfRule type="expression" dxfId="16" priority="18">
      <formula>X360&lt;=Z360</formula>
    </cfRule>
  </conditionalFormatting>
  <conditionalFormatting sqref="X420">
    <cfRule type="expression" dxfId="15" priority="15">
      <formula>X420=Z420+1</formula>
    </cfRule>
    <cfRule type="expression" dxfId="14" priority="16">
      <formula>X420&lt;=Z420</formula>
    </cfRule>
  </conditionalFormatting>
  <conditionalFormatting sqref="X480">
    <cfRule type="expression" dxfId="13" priority="13">
      <formula>X480=Z480+1</formula>
    </cfRule>
    <cfRule type="expression" dxfId="12" priority="14">
      <formula>X480&lt;=Z480</formula>
    </cfRule>
  </conditionalFormatting>
  <conditionalFormatting sqref="X540">
    <cfRule type="expression" dxfId="11" priority="11">
      <formula>X540=Z540+1</formula>
    </cfRule>
    <cfRule type="expression" dxfId="10" priority="12">
      <formula>X540&lt;=Z540</formula>
    </cfRule>
  </conditionalFormatting>
  <conditionalFormatting sqref="X600">
    <cfRule type="expression" dxfId="9" priority="9">
      <formula>X600=Z600+1</formula>
    </cfRule>
    <cfRule type="expression" dxfId="8" priority="10">
      <formula>X600&lt;=Z600</formula>
    </cfRule>
  </conditionalFormatting>
  <conditionalFormatting sqref="X660">
    <cfRule type="expression" dxfId="7" priority="7">
      <formula>X660=Z660+1</formula>
    </cfRule>
    <cfRule type="expression" dxfId="6" priority="8">
      <formula>X660&lt;=Z660</formula>
    </cfRule>
  </conditionalFormatting>
  <conditionalFormatting sqref="X720">
    <cfRule type="expression" dxfId="5" priority="5">
      <formula>X720=Z720+1</formula>
    </cfRule>
    <cfRule type="expression" dxfId="4" priority="6">
      <formula>X720&lt;=Z720</formula>
    </cfRule>
  </conditionalFormatting>
  <conditionalFormatting sqref="X780">
    <cfRule type="expression" dxfId="3" priority="3">
      <formula>X780=Z780+1</formula>
    </cfRule>
    <cfRule type="expression" dxfId="2" priority="4">
      <formula>X780&lt;=Z780</formula>
    </cfRule>
  </conditionalFormatting>
  <conditionalFormatting sqref="X840">
    <cfRule type="expression" dxfId="1" priority="1">
      <formula>X840=Z840+1</formula>
    </cfRule>
    <cfRule type="expression" dxfId="0" priority="2">
      <formula>X840&lt;=Z840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1D61B3-CBDD-43E6-ADA9-704D22B5FD5D}">
          <x14:formula1>
            <xm:f>'Input LwA_XYZ'!$Z$3:$Z$16</xm:f>
          </x14:formula1>
          <xm:sqref>L2 N722 N2 N62 N122 N182 N242 N302 N362 N422 N482 N542 N602 N662 N782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LwA_XYZ</vt:lpstr>
      <vt:lpstr>Sheet1</vt:lpstr>
      <vt:lpstr>Tables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Roe</dc:creator>
  <cp:lastModifiedBy>craig</cp:lastModifiedBy>
  <dcterms:created xsi:type="dcterms:W3CDTF">2012-08-02T23:06:43Z</dcterms:created>
  <dcterms:modified xsi:type="dcterms:W3CDTF">2023-06-22T16:35:28Z</dcterms:modified>
</cp:coreProperties>
</file>