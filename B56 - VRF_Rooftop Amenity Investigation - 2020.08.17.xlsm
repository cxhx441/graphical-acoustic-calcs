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275" yWindow="-16950" windowWidth="38640" windowHeight="16470" tabRatio="847" firstSheet="0" activeTab="0" autoFilterDateGrouping="1"/>
  </bookViews>
  <sheets>
    <sheet xmlns:r="http://schemas.openxmlformats.org/officeDocument/2006/relationships" name="Input LwA_XYZ" sheetId="1" state="visible" r:id="rId1"/>
    <sheet xmlns:r="http://schemas.openxmlformats.org/officeDocument/2006/relationships" name="Tables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;;;@"/>
    <numFmt numFmtId="165" formatCode="0;\-0;;@"/>
    <numFmt numFmtId="166" formatCode="0.0"/>
    <numFmt numFmtId="167" formatCode="0;[Red]0;[Red]&quot;0&quot;"/>
  </numFmts>
  <fonts count="2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C00000"/>
      <sz val="11"/>
      <scheme val="minor"/>
    </font>
    <font>
      <name val="Arial"/>
      <family val="2"/>
      <b val="1"/>
      <sz val="10"/>
    </font>
    <font>
      <name val="Arial"/>
      <family val="2"/>
      <sz val="10"/>
    </font>
    <font>
      <name val="Arial Narrow"/>
      <family val="2"/>
      <b val="1"/>
      <sz val="11"/>
    </font>
    <font>
      <name val="Calibri"/>
      <family val="2"/>
      <color rgb="FF3F3F76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b val="1"/>
      <color rgb="FF3F3F76"/>
      <sz val="11"/>
      <scheme val="minor"/>
    </font>
    <font>
      <name val="Arial Narrow"/>
      <family val="2"/>
      <color theme="1"/>
      <sz val="11"/>
    </font>
    <font>
      <name val="Arial Narrow"/>
      <family val="2"/>
      <b val="1"/>
      <color indexed="8"/>
      <sz val="11"/>
    </font>
    <font>
      <name val="Arial Narrow"/>
      <family val="2"/>
      <b val="1"/>
      <color theme="1"/>
      <sz val="11"/>
    </font>
    <font>
      <name val="Arial Narrow"/>
      <family val="2"/>
      <b val="1"/>
      <color rgb="FFC00000"/>
      <sz val="11"/>
    </font>
    <font>
      <name val="Arial Narrow"/>
      <family val="2"/>
      <color rgb="FF3F3F76"/>
      <sz val="11"/>
    </font>
    <font>
      <name val="Arial Narrow"/>
      <family val="2"/>
      <b val="1"/>
      <color rgb="FFFA7D00"/>
      <sz val="11"/>
    </font>
    <font>
      <name val="Calibri"/>
      <family val="2"/>
      <b val="1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rgb="FFFF0000"/>
      <sz val="11"/>
      <scheme val="minor"/>
    </font>
    <font>
      <name val="Arial Narrow"/>
      <family val="2"/>
      <b val="1"/>
      <color rgb="FFFF0000"/>
      <sz val="11"/>
    </font>
    <font>
      <name val="Arial Narrow"/>
      <family val="2"/>
      <b val="1"/>
      <color rgb="FF00B050"/>
      <sz val="11"/>
    </font>
    <font>
      <name val="Arial Narrow"/>
      <family val="2"/>
      <color rgb="FF00B050"/>
      <sz val="11"/>
    </font>
    <font>
      <name val="Arial Narrow"/>
      <family val="2"/>
      <b val="1"/>
      <color theme="0"/>
      <sz val="11"/>
    </font>
  </fonts>
  <fills count="16">
    <fill>
      <patternFill/>
    </fill>
    <fill>
      <patternFill patternType="gray125"/>
    </fill>
    <fill>
      <patternFill patternType="solid">
        <fgColor theme="5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1" tint="0.149998474074526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00B050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7" fontId="21" fillId="13" borderId="18"/>
  </cellStyleXfs>
  <cellXfs count="205">
    <xf numFmtId="0" fontId="0" fillId="0" borderId="0" pivotButton="0" quotePrefix="0" xfId="0"/>
    <xf numFmtId="0" fontId="1" fillId="0" borderId="5" applyAlignment="1" pivotButton="0" quotePrefix="0" xfId="0">
      <alignment horizontal="center"/>
    </xf>
    <xf numFmtId="1" fontId="1" fillId="8" borderId="5" applyAlignment="1" pivotButton="0" quotePrefix="0" xfId="0">
      <alignment horizontal="center"/>
    </xf>
    <xf numFmtId="0" fontId="12" fillId="2" borderId="18" applyAlignment="1" pivotButton="0" quotePrefix="0" xfId="0">
      <alignment horizontal="center"/>
    </xf>
    <xf numFmtId="1" fontId="6" fillId="6" borderId="18" applyAlignment="1" pivotButton="0" quotePrefix="0" xfId="1">
      <alignment horizontal="left"/>
    </xf>
    <xf numFmtId="1" fontId="0" fillId="0" borderId="0" pivotButton="0" quotePrefix="0" xfId="0"/>
    <xf numFmtId="1" fontId="6" fillId="6" borderId="32" applyAlignment="1" pivotButton="0" quotePrefix="0" xfId="1">
      <alignment horizontal="left"/>
    </xf>
    <xf numFmtId="0" fontId="12" fillId="2" borderId="32" applyAlignment="1" pivotButton="0" quotePrefix="0" xfId="0">
      <alignment horizontal="center"/>
    </xf>
    <xf numFmtId="1" fontId="8" fillId="6" borderId="22" applyAlignment="1" pivotButton="0" quotePrefix="0" xfId="1">
      <alignment horizontal="center"/>
    </xf>
    <xf numFmtId="0" fontId="6" fillId="6" borderId="28" applyAlignment="1" pivotButton="0" quotePrefix="0" xfId="1">
      <alignment horizontal="left"/>
    </xf>
    <xf numFmtId="0" fontId="6" fillId="6" borderId="30" applyAlignment="1" pivotButton="0" quotePrefix="0" xfId="1">
      <alignment horizontal="left"/>
    </xf>
    <xf numFmtId="0" fontId="1" fillId="0" borderId="4" applyAlignment="1" pivotButton="0" quotePrefix="0" xfId="0">
      <alignment wrapText="1"/>
    </xf>
    <xf numFmtId="0" fontId="1" fillId="0" borderId="4" applyAlignment="1" pivotButton="0" quotePrefix="0" xfId="0">
      <alignment horizontal="left" wrapText="1"/>
    </xf>
    <xf numFmtId="49" fontId="10" fillId="2" borderId="4" applyAlignment="1" pivotButton="0" quotePrefix="0" xfId="0">
      <alignment horizontal="center" wrapText="1"/>
    </xf>
    <xf numFmtId="1" fontId="1" fillId="0" borderId="4" applyAlignment="1" pivotButton="0" quotePrefix="0" xfId="0">
      <alignment horizontal="left" wrapText="1"/>
    </xf>
    <xf numFmtId="49" fontId="1" fillId="0" borderId="4" applyAlignment="1" pivotButton="0" quotePrefix="0" xfId="0">
      <alignment horizontal="left" wrapText="1"/>
    </xf>
    <xf numFmtId="0" fontId="1" fillId="0" borderId="4" pivotButton="0" quotePrefix="0" xfId="0"/>
    <xf numFmtId="0" fontId="1" fillId="0" borderId="22" pivotButton="0" quotePrefix="0" xfId="0"/>
    <xf numFmtId="0" fontId="13" fillId="10" borderId="36" applyAlignment="1" pivotButton="0" quotePrefix="0" xfId="3">
      <alignment horizontal="left"/>
    </xf>
    <xf numFmtId="0" fontId="13" fillId="10" borderId="40" applyAlignment="1" pivotButton="0" quotePrefix="0" xfId="3">
      <alignment horizontal="left"/>
    </xf>
    <xf numFmtId="0" fontId="13" fillId="10" borderId="41" applyAlignment="1" pivotButton="0" quotePrefix="0" xfId="3">
      <alignment horizontal="left"/>
    </xf>
    <xf numFmtId="0" fontId="9" fillId="0" borderId="0" pivotButton="0" quotePrefix="0" xfId="4"/>
    <xf numFmtId="0" fontId="11" fillId="0" borderId="0" pivotButton="0" quotePrefix="0" xfId="4"/>
    <xf numFmtId="0" fontId="9" fillId="0" borderId="3" pivotButton="0" quotePrefix="0" xfId="4"/>
    <xf numFmtId="0" fontId="11" fillId="0" borderId="5" pivotButton="0" quotePrefix="0" xfId="4"/>
    <xf numFmtId="0" fontId="11" fillId="0" borderId="10" pivotButton="0" quotePrefix="0" xfId="4"/>
    <xf numFmtId="0" fontId="11" fillId="0" borderId="11" pivotButton="0" quotePrefix="0" xfId="4"/>
    <xf numFmtId="0" fontId="11" fillId="0" borderId="12" pivotButton="0" quotePrefix="0" xfId="4"/>
    <xf numFmtId="0" fontId="11" fillId="0" borderId="19" pivotButton="0" quotePrefix="0" xfId="4"/>
    <xf numFmtId="0" fontId="13" fillId="12" borderId="42" pivotButton="0" quotePrefix="0" xfId="5"/>
    <xf numFmtId="0" fontId="13" fillId="4" borderId="43" pivotButton="0" quotePrefix="0" xfId="6"/>
    <xf numFmtId="0" fontId="13" fillId="4" borderId="13" pivotButton="0" quotePrefix="0" xfId="6"/>
    <xf numFmtId="0" fontId="13" fillId="4" borderId="14" pivotButton="0" quotePrefix="0" xfId="6"/>
    <xf numFmtId="0" fontId="13" fillId="12" borderId="44" pivotButton="0" quotePrefix="0" xfId="5"/>
    <xf numFmtId="0" fontId="13" fillId="4" borderId="2" pivotButton="0" quotePrefix="0" xfId="6"/>
    <xf numFmtId="0" fontId="13" fillId="4" borderId="1" pivotButton="0" quotePrefix="0" xfId="6"/>
    <xf numFmtId="0" fontId="13" fillId="4" borderId="7" pivotButton="0" quotePrefix="0" xfId="6"/>
    <xf numFmtId="0" fontId="9" fillId="0" borderId="0" applyAlignment="1" pivotButton="0" quotePrefix="0" xfId="4">
      <alignment horizontal="center"/>
    </xf>
    <xf numFmtId="0" fontId="11" fillId="0" borderId="20" pivotButton="0" quotePrefix="0" xfId="4"/>
    <xf numFmtId="0" fontId="13" fillId="4" borderId="45" pivotButton="0" quotePrefix="0" xfId="6"/>
    <xf numFmtId="0" fontId="13" fillId="4" borderId="15" pivotButton="0" quotePrefix="0" xfId="6"/>
    <xf numFmtId="0" fontId="9" fillId="0" borderId="0" applyAlignment="1" pivotButton="0" quotePrefix="0" xfId="4">
      <alignment horizontal="right"/>
    </xf>
    <xf numFmtId="0" fontId="9" fillId="0" borderId="23" pivotButton="0" quotePrefix="0" xfId="4"/>
    <xf numFmtId="0" fontId="11" fillId="0" borderId="47" pivotButton="0" quotePrefix="0" xfId="4"/>
    <xf numFmtId="2" fontId="14" fillId="7" borderId="16" pivotButton="0" quotePrefix="0" xfId="7"/>
    <xf numFmtId="2" fontId="9" fillId="0" borderId="0" pivotButton="0" quotePrefix="0" xfId="4"/>
    <xf numFmtId="0" fontId="11" fillId="0" borderId="23" pivotButton="0" quotePrefix="0" xfId="4"/>
    <xf numFmtId="2" fontId="14" fillId="7" borderId="6" pivotButton="0" quotePrefix="0" xfId="7"/>
    <xf numFmtId="2" fontId="14" fillId="7" borderId="51" pivotButton="0" quotePrefix="0" xfId="7"/>
    <xf numFmtId="0" fontId="11" fillId="0" borderId="21" pivotButton="0" quotePrefix="0" xfId="4"/>
    <xf numFmtId="2" fontId="14" fillId="7" borderId="5" pivotButton="0" quotePrefix="0" xfId="7"/>
    <xf numFmtId="2" fontId="14" fillId="7" borderId="18" pivotButton="0" quotePrefix="0" xfId="7"/>
    <xf numFmtId="0" fontId="9" fillId="0" borderId="21" pivotButton="0" quotePrefix="0" xfId="4"/>
    <xf numFmtId="0" fontId="11" fillId="0" borderId="4" pivotButton="0" quotePrefix="0" xfId="4"/>
    <xf numFmtId="0" fontId="11" fillId="0" borderId="22" pivotButton="0" quotePrefix="0" xfId="4"/>
    <xf numFmtId="0" fontId="13" fillId="6" borderId="6" pivotButton="0" quotePrefix="0" xfId="8"/>
    <xf numFmtId="0" fontId="13" fillId="6" borderId="1" pivotButton="0" quotePrefix="0" xfId="8"/>
    <xf numFmtId="0" fontId="13" fillId="6" borderId="7" pivotButton="0" quotePrefix="0" xfId="8"/>
    <xf numFmtId="0" fontId="13" fillId="6" borderId="8" pivotButton="0" quotePrefix="0" xfId="8"/>
    <xf numFmtId="0" fontId="13" fillId="6" borderId="15" pivotButton="0" quotePrefix="0" xfId="8"/>
    <xf numFmtId="0" fontId="13" fillId="6" borderId="9" pivotButton="0" quotePrefix="0" xfId="8"/>
    <xf numFmtId="0" fontId="3" fillId="11" borderId="1" applyAlignment="1" pivotButton="0" quotePrefix="0" xfId="4">
      <alignment horizontal="center"/>
    </xf>
    <xf numFmtId="0" fontId="4" fillId="11" borderId="1" applyAlignment="1" pivotButton="0" quotePrefix="0" xfId="4">
      <alignment horizontal="center"/>
    </xf>
    <xf numFmtId="1" fontId="7" fillId="7" borderId="36" pivotButton="0" quotePrefix="0" xfId="2"/>
    <xf numFmtId="1" fontId="7" fillId="7" borderId="40" pivotButton="0" quotePrefix="0" xfId="2"/>
    <xf numFmtId="1" fontId="7" fillId="7" borderId="41" pivotButton="0" quotePrefix="0" xfId="2"/>
    <xf numFmtId="0" fontId="1" fillId="0" borderId="0" applyAlignment="1" pivotButton="0" quotePrefix="0" xfId="0">
      <alignment horizontal="left"/>
    </xf>
    <xf numFmtId="0" fontId="13" fillId="10" borderId="37" applyAlignment="1" pivotButton="0" quotePrefix="0" xfId="3">
      <alignment horizontal="left"/>
    </xf>
    <xf numFmtId="1" fontId="7" fillId="7" borderId="37" pivotButton="0" quotePrefix="0" xfId="2"/>
    <xf numFmtId="1" fontId="20" fillId="14" borderId="1" applyAlignment="1" pivotButton="0" quotePrefix="0" xfId="0">
      <alignment horizontal="center" vertical="center"/>
    </xf>
    <xf numFmtId="1" fontId="5" fillId="9" borderId="7" applyAlignment="1" pivotButton="0" quotePrefix="0" xfId="0">
      <alignment horizontal="center" vertical="center"/>
    </xf>
    <xf numFmtId="1" fontId="5" fillId="9" borderId="9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13" fillId="10" borderId="5" pivotButton="0" quotePrefix="0" xfId="3"/>
    <xf numFmtId="0" fontId="13" fillId="12" borderId="5" applyAlignment="1" pivotButton="0" quotePrefix="0" xfId="5">
      <alignment horizontal="center"/>
    </xf>
    <xf numFmtId="0" fontId="7" fillId="7" borderId="33" pivotButton="0" quotePrefix="0" xfId="2"/>
    <xf numFmtId="1" fontId="6" fillId="6" borderId="30" applyAlignment="1" pivotButton="0" quotePrefix="0" xfId="1">
      <alignment horizontal="left"/>
    </xf>
    <xf numFmtId="0" fontId="1" fillId="0" borderId="61" pivotButton="0" quotePrefix="0" xfId="0"/>
    <xf numFmtId="0" fontId="1" fillId="0" borderId="62" pivotButton="0" quotePrefix="0" xfId="0"/>
    <xf numFmtId="1" fontId="1" fillId="0" borderId="62" pivotButton="0" quotePrefix="0" xfId="0"/>
    <xf numFmtId="0" fontId="1" fillId="0" borderId="63" pivotButton="0" quotePrefix="0" xfId="0"/>
    <xf numFmtId="0" fontId="1" fillId="0" borderId="19" pivotButton="0" quotePrefix="0" xfId="0"/>
    <xf numFmtId="0" fontId="1" fillId="0" borderId="0" pivotButton="0" quotePrefix="0" xfId="0"/>
    <xf numFmtId="1" fontId="1" fillId="0" borderId="0" pivotButton="0" quotePrefix="0" xfId="0"/>
    <xf numFmtId="0" fontId="1" fillId="0" borderId="64" pivotButton="0" quotePrefix="0" xfId="0"/>
    <xf numFmtId="1" fontId="11" fillId="8" borderId="5" applyAlignment="1" pivotButton="0" quotePrefix="0" xfId="0">
      <alignment horizontal="center"/>
    </xf>
    <xf numFmtId="1" fontId="6" fillId="6" borderId="38" applyAlignment="1" pivotButton="0" quotePrefix="0" xfId="1">
      <alignment horizontal="left"/>
    </xf>
    <xf numFmtId="0" fontId="12" fillId="2" borderId="38" applyAlignment="1" pivotButton="0" quotePrefix="0" xfId="0">
      <alignment horizontal="center"/>
    </xf>
    <xf numFmtId="0" fontId="1" fillId="0" borderId="3" applyAlignment="1" pivotButton="0" quotePrefix="0" xfId="0">
      <alignment horizontal="left"/>
    </xf>
    <xf numFmtId="0" fontId="1" fillId="0" borderId="4" applyAlignment="1" pivotButton="0" quotePrefix="0" xfId="0">
      <alignment horizontal="left"/>
    </xf>
    <xf numFmtId="0" fontId="1" fillId="0" borderId="22" applyAlignment="1" pivotButton="0" quotePrefix="0" xfId="0">
      <alignment horizontal="left"/>
    </xf>
    <xf numFmtId="0" fontId="6" fillId="6" borderId="35" applyAlignment="1" pivotButton="0" quotePrefix="0" xfId="1">
      <alignment horizontal="left"/>
    </xf>
    <xf numFmtId="1" fontId="6" fillId="6" borderId="39" applyAlignment="1" pivotButton="0" quotePrefix="0" xfId="1">
      <alignment horizontal="left"/>
    </xf>
    <xf numFmtId="0" fontId="13" fillId="10" borderId="4" pivotButton="0" quotePrefix="0" xfId="3"/>
    <xf numFmtId="0" fontId="13" fillId="10" borderId="22" pivotButton="0" quotePrefix="0" xfId="3"/>
    <xf numFmtId="1" fontId="20" fillId="14" borderId="13" applyAlignment="1" pivotButton="0" quotePrefix="0" xfId="0">
      <alignment horizontal="center" vertical="center"/>
    </xf>
    <xf numFmtId="0" fontId="19" fillId="14" borderId="13" applyAlignment="1" pivotButton="0" quotePrefix="1" xfId="0">
      <alignment horizontal="center" vertical="center"/>
    </xf>
    <xf numFmtId="1" fontId="5" fillId="9" borderId="14" applyAlignment="1" pivotButton="0" quotePrefix="0" xfId="0">
      <alignment horizontal="center" vertical="center"/>
    </xf>
    <xf numFmtId="0" fontId="22" fillId="5" borderId="10" applyAlignment="1" pivotButton="0" quotePrefix="0" xfId="0">
      <alignment horizontal="center" vertical="center" wrapText="1"/>
    </xf>
    <xf numFmtId="0" fontId="22" fillId="5" borderId="11" applyAlignment="1" pivotButton="0" quotePrefix="0" xfId="0">
      <alignment horizontal="center" vertical="center" wrapText="1"/>
    </xf>
    <xf numFmtId="0" fontId="22" fillId="5" borderId="11" applyAlignment="1" pivotButton="0" quotePrefix="0" xfId="0">
      <alignment horizontal="center" vertical="center"/>
    </xf>
    <xf numFmtId="49" fontId="22" fillId="5" borderId="11" applyAlignment="1" pivotButton="0" quotePrefix="0" xfId="0">
      <alignment horizontal="center" vertical="center"/>
    </xf>
    <xf numFmtId="49" fontId="22" fillId="5" borderId="11" applyAlignment="1" pivotButton="0" quotePrefix="0" xfId="0">
      <alignment horizontal="center" vertical="center" wrapText="1"/>
    </xf>
    <xf numFmtId="0" fontId="22" fillId="5" borderId="12" applyAlignment="1" pivotButton="0" quotePrefix="0" xfId="0">
      <alignment horizontal="center" vertical="center"/>
    </xf>
    <xf numFmtId="1" fontId="20" fillId="14" borderId="67" applyAlignment="1" pivotButton="0" quotePrefix="0" xfId="0">
      <alignment horizontal="center" vertical="center"/>
    </xf>
    <xf numFmtId="0" fontId="19" fillId="14" borderId="66" applyAlignment="1" pivotButton="0" quotePrefix="1" xfId="0">
      <alignment horizontal="center" vertical="center"/>
    </xf>
    <xf numFmtId="0" fontId="5" fillId="9" borderId="3" applyAlignment="1" pivotButton="0" quotePrefix="0" xfId="0">
      <alignment horizontal="left" vertical="center"/>
    </xf>
    <xf numFmtId="0" fontId="5" fillId="9" borderId="4" applyAlignment="1" pivotButton="0" quotePrefix="0" xfId="0">
      <alignment vertical="center"/>
    </xf>
    <xf numFmtId="0" fontId="5" fillId="9" borderId="22" applyAlignment="1" pivotButton="0" quotePrefix="0" xfId="0">
      <alignment vertical="center"/>
    </xf>
    <xf numFmtId="1" fontId="6" fillId="6" borderId="68" applyAlignment="1" pivotButton="0" quotePrefix="0" xfId="1">
      <alignment horizontal="left"/>
    </xf>
    <xf numFmtId="0" fontId="13" fillId="6" borderId="65" pivotButton="0" quotePrefix="0" xfId="8"/>
    <xf numFmtId="0" fontId="13" fillId="6" borderId="13" pivotButton="0" quotePrefix="0" xfId="8"/>
    <xf numFmtId="0" fontId="13" fillId="6" borderId="14" pivotButton="0" quotePrefix="0" xfId="8"/>
    <xf numFmtId="0" fontId="13" fillId="4" borderId="44" pivotButton="0" quotePrefix="0" xfId="6"/>
    <xf numFmtId="1" fontId="0" fillId="0" borderId="0" applyAlignment="1" pivotButton="0" quotePrefix="0" xfId="0">
      <alignment horizontal="center"/>
    </xf>
    <xf numFmtId="1" fontId="11" fillId="15" borderId="5" applyAlignment="1" pivotButton="0" quotePrefix="0" xfId="0">
      <alignment horizontal="center"/>
    </xf>
    <xf numFmtId="1" fontId="7" fillId="7" borderId="18" applyAlignment="1" pivotButton="0" quotePrefix="0" xfId="2">
      <alignment horizontal="left"/>
    </xf>
    <xf numFmtId="0" fontId="0" fillId="0" borderId="3" pivotButton="0" quotePrefix="0" xfId="0"/>
    <xf numFmtId="0" fontId="0" fillId="0" borderId="22" pivotButton="0" quotePrefix="0" xfId="0"/>
    <xf numFmtId="164" fontId="15" fillId="3" borderId="36" applyAlignment="1" pivotButton="0" quotePrefix="0" xfId="0">
      <alignment wrapText="1"/>
    </xf>
    <xf numFmtId="164" fontId="15" fillId="4" borderId="37" pivotButton="0" quotePrefix="0" xfId="0"/>
    <xf numFmtId="164" fontId="15" fillId="9" borderId="37" pivotButton="0" quotePrefix="0" xfId="0"/>
    <xf numFmtId="164" fontId="2" fillId="3" borderId="35" pivotButton="0" quotePrefix="0" xfId="0"/>
    <xf numFmtId="164" fontId="2" fillId="4" borderId="58" pivotButton="0" quotePrefix="0" xfId="0"/>
    <xf numFmtId="164" fontId="2" fillId="9" borderId="58" pivotButton="0" quotePrefix="0" xfId="0"/>
    <xf numFmtId="165" fontId="7" fillId="7" borderId="38" applyAlignment="1" pivotButton="0" quotePrefix="0" xfId="2">
      <alignment horizontal="left"/>
    </xf>
    <xf numFmtId="166" fontId="6" fillId="6" borderId="39" applyAlignment="1" pivotButton="0" quotePrefix="0" xfId="1">
      <alignment horizontal="left"/>
    </xf>
    <xf numFmtId="164" fontId="16" fillId="7" borderId="35" applyAlignment="1" pivotButton="0" quotePrefix="0" xfId="2">
      <alignment horizontal="left"/>
    </xf>
    <xf numFmtId="164" fontId="16" fillId="7" borderId="58" applyAlignment="1" pivotButton="0" quotePrefix="0" xfId="2">
      <alignment horizontal="left"/>
    </xf>
    <xf numFmtId="164" fontId="16" fillId="7" borderId="38" applyAlignment="1" pivotButton="0" quotePrefix="0" xfId="2">
      <alignment horizontal="left"/>
    </xf>
    <xf numFmtId="164" fontId="16" fillId="7" borderId="39" applyAlignment="1" pivotButton="0" quotePrefix="0" xfId="2">
      <alignment horizontal="left"/>
    </xf>
    <xf numFmtId="164" fontId="0" fillId="0" borderId="0" pivotButton="0" quotePrefix="0" xfId="0"/>
    <xf numFmtId="165" fontId="17" fillId="7" borderId="34" applyAlignment="1" pivotButton="0" quotePrefix="0" xfId="2">
      <alignment horizontal="left"/>
    </xf>
    <xf numFmtId="165" fontId="17" fillId="7" borderId="25" applyAlignment="1" pivotButton="0" quotePrefix="0" xfId="2">
      <alignment horizontal="left"/>
    </xf>
    <xf numFmtId="165" fontId="17" fillId="7" borderId="26" applyAlignment="1" pivotButton="0" quotePrefix="0" xfId="2">
      <alignment horizontal="left"/>
    </xf>
    <xf numFmtId="165" fontId="17" fillId="7" borderId="27" applyAlignment="1" pivotButton="0" quotePrefix="0" xfId="2">
      <alignment horizontal="left"/>
    </xf>
    <xf numFmtId="164" fontId="0" fillId="0" borderId="0" applyAlignment="1" pivotButton="0" quotePrefix="0" xfId="0">
      <alignment horizontal="right"/>
    </xf>
    <xf numFmtId="164" fontId="6" fillId="6" borderId="18" pivotButton="0" quotePrefix="0" xfId="1"/>
    <xf numFmtId="164" fontId="15" fillId="7" borderId="55" applyAlignment="1" pivotButton="0" quotePrefix="0" xfId="2">
      <alignment horizontal="left"/>
    </xf>
    <xf numFmtId="164" fontId="15" fillId="7" borderId="59" applyAlignment="1" pivotButton="0" quotePrefix="0" xfId="2">
      <alignment horizontal="left"/>
    </xf>
    <xf numFmtId="164" fontId="15" fillId="7" borderId="53" applyAlignment="1" pivotButton="0" quotePrefix="0" xfId="2">
      <alignment horizontal="left"/>
    </xf>
    <xf numFmtId="164" fontId="15" fillId="7" borderId="56" applyAlignment="1" pivotButton="0" quotePrefix="0" xfId="2">
      <alignment horizontal="left"/>
    </xf>
    <xf numFmtId="164" fontId="2" fillId="3" borderId="28" pivotButton="0" quotePrefix="0" xfId="0"/>
    <xf numFmtId="164" fontId="2" fillId="9" borderId="24" pivotButton="0" quotePrefix="0" xfId="0"/>
    <xf numFmtId="165" fontId="7" fillId="7" borderId="18" applyAlignment="1" pivotButton="0" quotePrefix="0" xfId="2">
      <alignment horizontal="left"/>
    </xf>
    <xf numFmtId="164" fontId="16" fillId="7" borderId="28" applyAlignment="1" pivotButton="0" quotePrefix="0" xfId="2">
      <alignment horizontal="left"/>
    </xf>
    <xf numFmtId="164" fontId="16" fillId="7" borderId="24" applyAlignment="1" pivotButton="0" quotePrefix="0" xfId="2">
      <alignment horizontal="left"/>
    </xf>
    <xf numFmtId="164" fontId="16" fillId="7" borderId="18" applyAlignment="1" pivotButton="0" quotePrefix="0" xfId="2">
      <alignment horizontal="left"/>
    </xf>
    <xf numFmtId="164" fontId="16" fillId="7" borderId="29" applyAlignment="1" pivotButton="0" quotePrefix="0" xfId="2">
      <alignment horizontal="left"/>
    </xf>
    <xf numFmtId="165" fontId="17" fillId="7" borderId="28" applyAlignment="1" pivotButton="0" quotePrefix="0" xfId="2">
      <alignment horizontal="left"/>
    </xf>
    <xf numFmtId="165" fontId="17" fillId="7" borderId="24" applyAlignment="1" pivotButton="0" quotePrefix="0" xfId="2">
      <alignment horizontal="left"/>
    </xf>
    <xf numFmtId="165" fontId="17" fillId="7" borderId="18" applyAlignment="1" pivotButton="0" quotePrefix="0" xfId="2">
      <alignment horizontal="left"/>
    </xf>
    <xf numFmtId="165" fontId="17" fillId="7" borderId="29" applyAlignment="1" pivotButton="0" quotePrefix="0" xfId="2">
      <alignment horizontal="left"/>
    </xf>
    <xf numFmtId="164" fontId="15" fillId="7" borderId="57" applyAlignment="1" pivotButton="0" quotePrefix="0" xfId="2">
      <alignment horizontal="left"/>
    </xf>
    <xf numFmtId="164" fontId="15" fillId="7" borderId="60" applyAlignment="1" pivotButton="0" quotePrefix="0" xfId="2">
      <alignment horizontal="left"/>
    </xf>
    <xf numFmtId="164" fontId="15" fillId="7" borderId="54" applyAlignment="1" pivotButton="0" quotePrefix="0" xfId="2">
      <alignment horizontal="left"/>
    </xf>
    <xf numFmtId="164" fontId="1" fillId="0" borderId="0" applyAlignment="1" pivotButton="0" quotePrefix="0" xfId="0">
      <alignment horizontal="left"/>
    </xf>
    <xf numFmtId="164" fontId="2" fillId="4" borderId="24" pivotButton="0" quotePrefix="0" xfId="0"/>
    <xf numFmtId="166" fontId="6" fillId="6" borderId="29" applyAlignment="1" pivotButton="0" quotePrefix="0" xfId="1">
      <alignment horizontal="left"/>
    </xf>
    <xf numFmtId="166" fontId="14" fillId="7" borderId="46" pivotButton="0" quotePrefix="0" xfId="7"/>
    <xf numFmtId="166" fontId="14" fillId="7" borderId="16" pivotButton="0" quotePrefix="0" xfId="7"/>
    <xf numFmtId="166" fontId="14" fillId="7" borderId="17" pivotButton="0" quotePrefix="0" xfId="7"/>
    <xf numFmtId="166" fontId="14" fillId="7" borderId="48" pivotButton="0" quotePrefix="0" xfId="7"/>
    <xf numFmtId="166" fontId="14" fillId="7" borderId="6" pivotButton="0" quotePrefix="0" xfId="7"/>
    <xf numFmtId="166" fontId="14" fillId="7" borderId="7" pivotButton="0" quotePrefix="0" xfId="7"/>
    <xf numFmtId="166" fontId="14" fillId="7" borderId="49" pivotButton="0" quotePrefix="0" xfId="7"/>
    <xf numFmtId="166" fontId="14" fillId="7" borderId="50" pivotButton="0" quotePrefix="0" xfId="7"/>
    <xf numFmtId="166" fontId="14" fillId="7" borderId="52" pivotButton="0" quotePrefix="0" xfId="7"/>
    <xf numFmtId="166" fontId="14" fillId="7" borderId="8" pivotButton="0" quotePrefix="0" xfId="7"/>
    <xf numFmtId="166" fontId="14" fillId="7" borderId="9" pivotButton="0" quotePrefix="0" xfId="7"/>
    <xf numFmtId="164" fontId="15" fillId="7" borderId="28" applyAlignment="1" pivotButton="0" quotePrefix="0" xfId="2">
      <alignment horizontal="left"/>
    </xf>
    <xf numFmtId="164" fontId="15" fillId="7" borderId="24" applyAlignment="1" pivotButton="0" quotePrefix="0" xfId="2">
      <alignment horizontal="left"/>
    </xf>
    <xf numFmtId="166" fontId="6" fillId="6" borderId="18" applyAlignment="1" pivotButton="0" quotePrefix="0" xfId="1">
      <alignment horizontal="left"/>
    </xf>
    <xf numFmtId="164" fontId="15" fillId="7" borderId="18" applyAlignment="1" pivotButton="0" quotePrefix="0" xfId="2">
      <alignment horizontal="left"/>
    </xf>
    <xf numFmtId="164" fontId="15" fillId="7" borderId="29" applyAlignment="1" pivotButton="0" quotePrefix="0" xfId="2">
      <alignment horizontal="left"/>
    </xf>
    <xf numFmtId="164" fontId="2" fillId="3" borderId="30" pivotButton="0" quotePrefix="0" xfId="0"/>
    <xf numFmtId="164" fontId="2" fillId="4" borderId="31" pivotButton="0" quotePrefix="0" xfId="0"/>
    <xf numFmtId="164" fontId="2" fillId="9" borderId="31" pivotButton="0" quotePrefix="0" xfId="0"/>
    <xf numFmtId="165" fontId="7" fillId="7" borderId="32" applyAlignment="1" pivotButton="0" quotePrefix="0" xfId="2">
      <alignment horizontal="left"/>
    </xf>
    <xf numFmtId="166" fontId="6" fillId="6" borderId="32" applyAlignment="1" pivotButton="0" quotePrefix="0" xfId="1">
      <alignment horizontal="left"/>
    </xf>
    <xf numFmtId="166" fontId="6" fillId="6" borderId="33" applyAlignment="1" pivotButton="0" quotePrefix="0" xfId="1">
      <alignment horizontal="left"/>
    </xf>
    <xf numFmtId="164" fontId="16" fillId="7" borderId="30" applyAlignment="1" pivotButton="0" quotePrefix="0" xfId="2">
      <alignment horizontal="left"/>
    </xf>
    <xf numFmtId="164" fontId="16" fillId="7" borderId="31" applyAlignment="1" pivotButton="0" quotePrefix="0" xfId="2">
      <alignment horizontal="left"/>
    </xf>
    <xf numFmtId="164" fontId="16" fillId="7" borderId="32" applyAlignment="1" pivotButton="0" quotePrefix="0" xfId="2">
      <alignment horizontal="left"/>
    </xf>
    <xf numFmtId="164" fontId="16" fillId="7" borderId="33" applyAlignment="1" pivotButton="0" quotePrefix="0" xfId="2">
      <alignment horizontal="left"/>
    </xf>
    <xf numFmtId="165" fontId="18" fillId="7" borderId="30" applyAlignment="1" pivotButton="0" quotePrefix="0" xfId="2">
      <alignment horizontal="left"/>
    </xf>
    <xf numFmtId="165" fontId="18" fillId="7" borderId="31" applyAlignment="1" pivotButton="0" quotePrefix="0" xfId="2">
      <alignment horizontal="left"/>
    </xf>
    <xf numFmtId="165" fontId="18" fillId="7" borderId="32" applyAlignment="1" pivotButton="0" quotePrefix="0" xfId="2">
      <alignment horizontal="left"/>
    </xf>
    <xf numFmtId="165" fontId="18" fillId="7" borderId="33" applyAlignment="1" pivotButton="0" quotePrefix="0" xfId="2">
      <alignment horizontal="left"/>
    </xf>
    <xf numFmtId="164" fontId="15" fillId="7" borderId="30" applyAlignment="1" pivotButton="0" quotePrefix="0" xfId="2">
      <alignment horizontal="left"/>
    </xf>
    <xf numFmtId="164" fontId="15" fillId="7" borderId="31" applyAlignment="1" pivotButton="0" quotePrefix="0" xfId="2">
      <alignment horizontal="left"/>
    </xf>
    <xf numFmtId="164" fontId="15" fillId="7" borderId="32" applyAlignment="1" pivotButton="0" quotePrefix="0" xfId="2">
      <alignment horizontal="left"/>
    </xf>
    <xf numFmtId="164" fontId="15" fillId="7" borderId="33" applyAlignment="1" pivotButton="0" quotePrefix="0" xfId="2">
      <alignment horizontal="left"/>
    </xf>
    <xf numFmtId="164" fontId="13" fillId="10" borderId="36" applyAlignment="1" pivotButton="0" quotePrefix="0" xfId="3">
      <alignment horizontal="left"/>
    </xf>
    <xf numFmtId="164" fontId="12" fillId="3" borderId="65" applyAlignment="1" pivotButton="0" quotePrefix="0" xfId="0">
      <alignment horizontal="center"/>
    </xf>
    <xf numFmtId="164" fontId="12" fillId="4" borderId="13" pivotButton="0" quotePrefix="0" xfId="0"/>
    <xf numFmtId="164" fontId="2" fillId="3" borderId="65" applyAlignment="1" pivotButton="0" quotePrefix="0" xfId="0">
      <alignment horizontal="center"/>
    </xf>
    <xf numFmtId="164" fontId="2" fillId="4" borderId="13" pivotButton="0" quotePrefix="0" xfId="0"/>
    <xf numFmtId="164" fontId="12" fillId="3" borderId="6" applyAlignment="1" pivotButton="0" quotePrefix="0" xfId="0">
      <alignment horizontal="center"/>
    </xf>
    <xf numFmtId="164" fontId="2" fillId="3" borderId="6" applyAlignment="1" pivotButton="0" quotePrefix="0" xfId="0">
      <alignment horizontal="center"/>
    </xf>
    <xf numFmtId="164" fontId="12" fillId="3" borderId="51" applyAlignment="1" pivotButton="0" quotePrefix="0" xfId="0">
      <alignment horizontal="center"/>
    </xf>
    <xf numFmtId="164" fontId="12" fillId="4" borderId="66" pivotButton="0" quotePrefix="0" xfId="0"/>
    <xf numFmtId="166" fontId="0" fillId="0" borderId="0" pivotButton="0" quotePrefix="0" xfId="0"/>
    <xf numFmtId="0" fontId="9" fillId="11" borderId="1" applyAlignment="1" pivotButton="0" quotePrefix="0" xfId="4">
      <alignment horizontal="center"/>
    </xf>
    <xf numFmtId="0" fontId="0" fillId="0" borderId="2" pivotButton="0" quotePrefix="0" xfId="0"/>
  </cellXfs>
  <cellStyles count="10">
    <cellStyle name="Normal" xfId="0" builtinId="0"/>
    <cellStyle name="Input" xfId="1" builtinId="20"/>
    <cellStyle name="Calculation" xfId="2" builtinId="22"/>
    <cellStyle name="Reference" xfId="3"/>
    <cellStyle name="Normal 2" xfId="4"/>
    <cellStyle name="List" xfId="5"/>
    <cellStyle name="Reference 2" xfId="6"/>
    <cellStyle name="Calculation 2" xfId="7"/>
    <cellStyle name="Input 2" xfId="8"/>
    <cellStyle name="Calculation (RG)" xfId="9"/>
  </cellStyles>
  <dxfs count="10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rich>
      </tx>
      <layout>
        <manualLayout>
          <xMode val="edge"/>
          <yMode val="edge"/>
          <wMode val="factor"/>
          <hMode val="factor"/>
          <x val="0.3674728290868846"/>
          <y val="0.016180621603423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1226192038495188"/>
          <y val="0.1158583545780197"/>
          <w val="0.840874453193351"/>
          <h val="0.6412275302246752"/>
        </manualLayout>
      </layout>
      <scatterChart>
        <scatterStyle val="lineMarker"/>
        <varyColors val="0"/>
        <ser>
          <idx val="0"/>
          <order val="0"/>
          <tx>
            <strRef>
              <f>'Input LwA_XYZ'!$BE$27</f>
              <strCache>
                <ptCount val="1"/>
                <pt idx="0">
                  <v>Path</v>
                </pt>
              </strCache>
            </strRef>
          </tx>
          <spPr>
            <a:ln xmlns:a="http://schemas.openxmlformats.org/drawingml/2006/main" w="25400">
              <a:solidFill>
                <a:srgbClr val="FF0000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0"/>
            <marker>
              <symbol val="circle"/>
              <size val="8"/>
              <spPr>
                <a:solidFill xmlns:a="http://schemas.openxmlformats.org/drawingml/2006/main">
                  <a:srgbClr val="000080"/>
                </a:solidFill>
                <a:ln xmlns:a="http://schemas.openxmlformats.org/drawingml/2006/main">
                  <a:solidFill>
                    <a:srgbClr val="1F497D"/>
                  </a:solidFill>
                  <a:prstDash val="lgDash"/>
                </a:ln>
              </spPr>
            </marker>
            <bubble3D val="0"/>
            <spPr>
              <a:ln xmlns:a="http://schemas.openxmlformats.org/drawingml/2006/main">
                <a:prstDash val="solid"/>
              </a:ln>
            </spPr>
          </dPt>
          <dPt>
            <idx val="3"/>
            <bubble3D val="0"/>
            <spPr>
              <a:ln xmlns:a="http://schemas.openxmlformats.org/drawingml/2006/main" w="3175">
                <a:solidFill>
                  <a:srgbClr val="3366FF"/>
                </a:solidFill>
                <a:prstDash val="sysDash"/>
              </a:ln>
            </spPr>
          </dPt>
          <xVal>
            <numRef>
              <f>'Input LwA_XYZ'!$BF$27:$BF$30</f>
              <numCache>
                <formatCode>General</formatCode>
                <ptCount val="4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'Input LwA_XYZ'!$BG$27:$BG$30</f>
              <numCache>
                <formatCode>0.00</formatCode>
                <ptCount val="4"/>
                <pt idx="0">
                  <formatCode>General</formatCode>
                  <v>0</v>
                </pt>
                <pt idx="1">
                  <v>0</v>
                </pt>
                <pt idx="2">
                  <formatCode>General</formatCode>
                  <v>0</v>
                </pt>
                <pt idx="3">
                  <formatCode>General</formatCode>
                  <v>0</v>
                </pt>
              </numCache>
            </numRef>
          </yVal>
          <smooth val="0"/>
        </ser>
        <ser>
          <idx val="1"/>
          <order val="1"/>
          <tx>
            <strRef>
              <f>'Input LwA_XYZ'!$BE$28</f>
              <strCache>
                <ptCount val="1"/>
                <pt idx="0">
                  <v>Barrier - Min 4lb/ft2, unperforated</v>
                </pt>
              </strCache>
            </strRef>
          </tx>
          <spPr>
            <a:ln xmlns:a="http://schemas.openxmlformats.org/drawingml/2006/main" w="25400">
              <a:solidFill>
                <a:srgbClr val="FF00FF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errBars>
            <errDir val="y"/>
            <errBarType val="minus"/>
            <errValType val="cust"/>
            <noEndCap val="1"/>
            <minus>
              <numRef>
                <f>'Input LwA_XYZ'!$BI$6</f>
                <numCache>
                  <formatCode>General</formatCode>
                  <ptCount val="1"/>
                  <pt idx="0">
                    <v>0</v>
                  </pt>
                </numCache>
              </numRef>
            </minus>
            <spPr>
              <a:ln xmlns:a="http://schemas.openxmlformats.org/drawingml/2006/main" w="25400">
                <a:solidFill>
                  <a:srgbClr val="FF00FF"/>
                </a:solidFill>
                <a:prstDash val="solid"/>
              </a:ln>
            </spPr>
          </errBars>
          <xVal>
            <numRef>
              <f>'Input LwA_XYZ'!$BF$28</f>
              <numCache>
                <formatCode>General</formatCode>
                <ptCount val="1"/>
                <pt idx="0">
                  <v>0</v>
                </pt>
              </numCache>
            </numRef>
          </xVal>
          <yVal>
            <numRef>
              <f>'Input LwA_XYZ'!$BG$28</f>
              <numCache>
                <formatCode>0.00</formatCode>
                <ptCount val="1"/>
                <pt idx="0">
                  <v>0</v>
                </pt>
              </numCache>
            </numRef>
          </yVal>
          <smooth val="0"/>
        </ser>
        <ser>
          <idx val="2"/>
          <order val="2"/>
          <tx>
            <strRef>
              <f>'Input LwA_XYZ'!$BE$29</f>
              <strCache>
                <ptCount val="1"/>
                <pt idx="0">
                  <v>Receiver</v>
                </pt>
              </strCache>
            </strRef>
          </tx>
          <spPr>
            <a:ln xmlns:a="http://schemas.openxmlformats.org/drawingml/2006/main" w="38100">
              <a:solidFill>
                <a:srgbClr val="008000"/>
              </a:solidFill>
              <a:prstDash val="solid"/>
            </a:ln>
          </spPr>
          <marker>
            <symbol val="diamond"/>
            <size val="8"/>
            <spPr>
              <a:solidFill xmlns:a="http://schemas.openxmlformats.org/drawingml/2006/main">
                <a:srgbClr val="008000"/>
              </a:solidFill>
              <a:ln xmlns:a="http://schemas.openxmlformats.org/drawingml/2006/main" w="6350">
                <a:solidFill>
                  <a:srgbClr val="008000"/>
                </a:solidFill>
                <a:prstDash val="solid"/>
              </a:ln>
            </spPr>
          </marker>
          <dLbls>
            <spPr>
              <a:solidFill xmlns:a="http://schemas.openxmlformats.org/drawingml/2006/main">
                <a:srgbClr val="008000"/>
              </a:solidFill>
              <a:ln xmlns:a="http://schemas.openxmlformats.org/drawingml/2006/main" w="25400">
                <a:noFill/>
                <a:prstDash val="solid"/>
              </a:ln>
            </spPr>
            <txPr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r>
                  <a:t>None</a:t>
                </a:r>
                <a:endParaRPr lang="en-US"/>
              </a:p>
            </txPr>
            <showLegendKey val="0"/>
            <showVal val="0"/>
            <showCatName val="0"/>
            <showSerName val="1"/>
            <showPercent val="0"/>
            <showBubbleSize val="0"/>
            <showLeaderLines val="0"/>
          </dLbls>
          <xVal>
            <numRef>
              <f>'Input LwA_XYZ'!$BF$29</f>
              <numCache>
                <formatCode>General</formatCode>
                <ptCount val="1"/>
                <pt idx="0">
                  <v>0</v>
                </pt>
              </numCache>
            </numRef>
          </xVal>
          <yVal>
            <numRef>
              <f>'Input LwA_XYZ'!$BG$29</f>
              <numCache>
                <formatCode>General</formatCode>
                <ptCount val="1"/>
                <pt idx="0">
                  <v>0</v>
                </pt>
              </numCache>
            </numRef>
          </yVal>
          <smooth val="0"/>
        </ser>
        <ser>
          <idx val="3"/>
          <order val="3"/>
          <tx>
            <strRef>
              <f>'Input LwA_XYZ'!$BE$30</f>
              <strCache>
                <ptCount val="1"/>
                <pt idx="0">
                  <v>Source</v>
                </pt>
              </strCache>
            </strRef>
          </tx>
          <spPr>
            <a:ln xmlns:a="http://schemas.openxmlformats.org/drawingml/2006/main">
              <a:solidFill>
                <a:srgbClr val="002060"/>
              </a:solidFill>
              <a:prstDash val="solid"/>
            </a:ln>
          </spPr>
          <marker>
            <symbol val="diamond"/>
            <size val="5"/>
            <spPr>
              <a:solidFill xmlns:a="http://schemas.openxmlformats.org/drawingml/2006/main">
                <a:srgbClr val="002060"/>
              </a:solidFill>
              <a:ln xmlns:a="http://schemas.openxmlformats.org/drawingml/2006/main">
                <a:solidFill>
                  <a:srgbClr val="002060"/>
                </a:solidFill>
                <a:prstDash val="solid"/>
              </a:ln>
            </spPr>
          </marker>
          <dPt>
            <idx val="0"/>
            <bubble3D val="0"/>
            <spPr>
              <a:ln xmlns:a="http://schemas.openxmlformats.org/drawingml/2006/main">
                <a:prstDash val="solid"/>
              </a:ln>
            </spPr>
          </dPt>
          <xVal>
            <numRef>
              <f>'Input LwA_XYZ'!$BF$30</f>
              <numCache>
                <formatCode>General</formatCode>
                <ptCount val="1"/>
                <pt idx="0">
                  <v>0</v>
                </pt>
              </numCache>
            </numRef>
          </xVal>
          <yVal>
            <numRef>
              <f>'Input LwA_XYZ'!$BG$30</f>
              <numCache>
                <formatCode>General</formatCode>
                <ptCount val="1"/>
                <pt idx="0">
                  <v>0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69238784"/>
        <axId val="69240704"/>
      </scatterChart>
      <valAx>
        <axId val="69238784"/>
        <scaling>
          <orientation val="minMax"/>
        </scaling>
        <delete val="0"/>
        <axPos val="b"/>
        <majorGridlines>
          <spPr>
            <a:ln xmlns:a="http://schemas.openxmlformats.org/drawingml/2006/main" w="3175">
              <a:solidFill>
                <a:srgbClr val="C0C0C0"/>
              </a:solidFill>
              <a:prstDash val="sysDash"/>
            </a:ln>
          </spPr>
        </majorGridlines>
        <numFmt formatCode="General" sourceLinked="1"/>
        <majorTickMark val="out"/>
        <minorTickMark val="none"/>
        <tickLblPos val="nextTo"/>
        <spPr>
          <a:ln xmlns:a="http://schemas.openxmlformats.org/drawingml/2006/main" w="3175">
            <a:solidFill>
              <a:srgbClr val="000000"/>
            </a:solidFill>
            <a:prstDash val="solid"/>
          </a:ln>
        </spPr>
        <txPr>
          <a:bodyPr xmlns:a="http://schemas.openxmlformats.org/drawingml/2006/main" rot="0" vert="horz"/>
          <a:lstStyle xmlns:a="http://schemas.openxmlformats.org/drawingml/2006/main"/>
          <a:p xmlns:a="http://schemas.openxmlformats.org/drawingml/2006/main"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None</a:t>
            </a:r>
            <a:endParaRPr lang="en-US"/>
          </a:p>
        </txPr>
        <crossAx val="69240704"/>
        <crosses val="autoZero"/>
        <crossBetween val="midCat"/>
      </valAx>
      <valAx>
        <axId val="69240704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3175">
              <a:solidFill>
                <a:srgbClr val="C0C0C0"/>
              </a:solidFill>
              <a:prstDash val="sysDash"/>
            </a:ln>
          </spPr>
        </majorGridlines>
        <numFmt formatCode="General" sourceLinked="1"/>
        <majorTickMark val="out"/>
        <minorTickMark val="none"/>
        <tickLblPos val="nextTo"/>
        <spPr>
          <a:ln xmlns:a="http://schemas.openxmlformats.org/drawingml/2006/main" w="3175">
            <a:solidFill>
              <a:srgbClr val="000000"/>
            </a:solidFill>
            <a:prstDash val="solid"/>
          </a:ln>
        </spPr>
        <txPr>
          <a:bodyPr xmlns:a="http://schemas.openxmlformats.org/drawingml/2006/main" rot="0" vert="horz"/>
          <a:lstStyle xmlns:a="http://schemas.openxmlformats.org/drawingml/2006/main"/>
          <a:p xmlns:a="http://schemas.openxmlformats.org/drawingml/2006/main"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None</a:t>
            </a:r>
            <a:endParaRPr lang="en-US"/>
          </a:p>
        </txPr>
        <crossAx val="69238784"/>
        <crosses val="autoZero"/>
        <crossBetween val="midCat"/>
      </valAx>
    </plotArea>
    <legend>
      <legendPos val="b"/>
      <layout>
        <manualLayout>
          <xMode val="edge"/>
          <yMode val="edge"/>
          <wMode val="factor"/>
          <hMode val="factor"/>
          <x val="0.7441975273871628"/>
          <y val="0.8487362904081074"/>
          <w val="0.242609263548837"/>
          <h val="0.1397594104654874"/>
        </manualLayout>
      </layout>
      <overlay val="0"/>
      <txPr>
        <a:bodyPr xmlns:a="http://schemas.openxmlformats.org/drawingml/2006/main"/>
        <a:lstStyle xmlns:a="http://schemas.openxmlformats.org/drawingml/2006/main"/>
        <a:p xmlns:a="http://schemas.openxmlformats.org/drawingml/2006/main">
          <a:pPr>
            <a:defRPr>
              <a:latin typeface="Arial Narrow" panose="020B0606020202030204" pitchFamily="34" charset="0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1.png" Id="rId2"/><Relationship Type="http://schemas.openxmlformats.org/officeDocument/2006/relationships/image" Target="/xl/media/image2.png" Id="rId3"/></Relationships>
</file>

<file path=xl/drawings/drawing1.xml><?xml version="1.0" encoding="utf-8"?>
<wsDr xmlns="http://schemas.openxmlformats.org/drawingml/2006/spreadsheetDrawing">
  <twoCellAnchor editAs="oneCell">
    <from>
      <col>55</col>
      <colOff>568536</colOff>
      <row>43</row>
      <rowOff>184365</rowOff>
    </from>
    <to>
      <col>62</col>
      <colOff>396371</colOff>
      <row>61</row>
      <rowOff>1070</rowOff>
    </to>
    <pic>
      <nvPicPr>
        <cNvPr id="15" name="Picture 1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2"/>
        <a:srcRect xmlns:a="http://schemas.openxmlformats.org/drawingml/2006/main"/>
        <a:stretch xmlns:a="http://schemas.openxmlformats.org/drawingml/2006/main">
          <a:fillRect/>
        </a:stretch>
      </blipFill>
      <spPr>
        <a:xfrm xmlns:a="http://schemas.openxmlformats.org/drawingml/2006/main">
          <a:off x="26129154" y="10314483"/>
          <a:ext cx="5251482" cy="364911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56</col>
      <colOff>54430</colOff>
      <row>34</row>
      <rowOff>27214</rowOff>
    </from>
    <to>
      <col>57</col>
      <colOff>1040573</colOff>
      <row>40</row>
      <rowOff>89651</rowOff>
    </to>
    <pic>
      <nvPicPr>
        <cNvPr id="3" name="Picture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cstate="print" r:embed="rId3"/>
        <a:srcRect xmlns:a="http://schemas.openxmlformats.org/drawingml/2006/main" r="15475"/>
        <a:stretch xmlns:a="http://schemas.openxmlformats.org/drawingml/2006/main">
          <a:fillRect/>
        </a:stretch>
      </blipFill>
      <spPr>
        <a:xfrm xmlns:a="http://schemas.openxmlformats.org/drawingml/2006/main">
          <a:off x="20723680" y="8001000"/>
          <a:ext cx="2144112" cy="1287079"/>
        </a:xfrm>
        <a:prstGeom xmlns:a="http://schemas.openxmlformats.org/drawingml/2006/main" prst="rect">
          <avLst/>
        </a:prstGeom>
        <a:ln xmlns:a="http://schemas.openxmlformats.org/drawingml/2006/main">
          <a:solidFill>
            <a:sysClr val="windowText" lastClr="000000"/>
          </a:solidFill>
          <a:prstDash val="solid"/>
        </a:ln>
      </spPr>
    </pic>
    <clientData/>
  </twoCellAnchor>
  <absoluteAnchor>
    <pos x="25451382" y="3335990"/>
    <ext cx="8045802" cy="5562601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absolute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5">
    <tabColor theme="9" tint="0.5999938962981048"/>
    <outlinePr summaryBelow="1" summaryRight="1"/>
    <pageSetUpPr/>
  </sheetPr>
  <dimension ref="A1:DG65"/>
  <sheetViews>
    <sheetView tabSelected="1" zoomScale="130" zoomScaleNormal="130" workbookViewId="0">
      <pane xSplit="2" topLeftCell="C1" activePane="topRight" state="frozen"/>
      <selection pane="topRight" activeCell="N11" sqref="N11"/>
    </sheetView>
  </sheetViews>
  <sheetFormatPr baseColWidth="8" defaultRowHeight="15"/>
  <cols>
    <col width="8.28515625" bestFit="1" customWidth="1" min="1" max="1"/>
    <col width="11.85546875" bestFit="1" customWidth="1" min="2" max="2"/>
    <col width="9.28515625" bestFit="1" customWidth="1" min="3" max="3"/>
    <col width="8.85546875" bestFit="1" customWidth="1" min="4" max="4"/>
    <col width="10.85546875" customWidth="1" min="5" max="5"/>
    <col width="6.28515625" bestFit="1" customWidth="1" min="6" max="6"/>
    <col width="10" customWidth="1" min="7" max="9"/>
    <col width="8.5703125" bestFit="1" customWidth="1" style="5" min="10" max="10"/>
    <col width="6.5703125" bestFit="1" customWidth="1" style="5" min="11" max="11"/>
    <col width="7" customWidth="1" min="12" max="12"/>
    <col width="8.42578125" customWidth="1" min="13" max="13"/>
    <col width="10.7109375" bestFit="1" customWidth="1" min="14" max="14"/>
    <col width="13.85546875" customWidth="1" min="16" max="16"/>
    <col width="7.140625" customWidth="1" min="17" max="19"/>
    <col width="12" customWidth="1" min="20" max="20"/>
    <col width="10.42578125" customWidth="1" min="21" max="22"/>
    <col width="12.7109375" customWidth="1" min="23" max="23"/>
    <col width="5.85546875" customWidth="1" min="24" max="38"/>
    <col width="4.7109375" customWidth="1" min="39" max="39"/>
    <col width="16.42578125" customWidth="1" min="40" max="40"/>
    <col width="3.7109375" customWidth="1" min="41" max="54"/>
    <col width="5" customWidth="1" min="55" max="55"/>
    <col width="9.140625" customWidth="1" min="56" max="56"/>
    <col width="17.28515625" customWidth="1" min="57" max="57"/>
    <col width="21.140625" customWidth="1" min="58" max="58"/>
    <col width="9" customWidth="1" min="59" max="59"/>
    <col width="8.85546875" customWidth="1" min="60" max="60"/>
    <col width="6.7109375" customWidth="1" min="61" max="61"/>
    <col width="3.28515625" bestFit="1" customWidth="1" min="64" max="64"/>
    <col width="3.28515625" customWidth="1" min="65" max="71"/>
    <col width="3.28515625" bestFit="1" customWidth="1" min="72" max="77"/>
    <col width="3.28515625" customWidth="1" min="78" max="78"/>
    <col width="6.5703125" bestFit="1" customWidth="1" min="81" max="81"/>
    <col width="4.5703125" customWidth="1" min="82" max="88"/>
    <col width="4.5703125" bestFit="1" customWidth="1" min="89" max="90"/>
    <col width="4.28515625" bestFit="1" customWidth="1" min="91" max="91"/>
    <col width="4.5703125" bestFit="1" customWidth="1" min="92" max="95"/>
  </cols>
  <sheetData>
    <row r="1" ht="76.5" customHeight="1" thickBot="1">
      <c r="A1" s="119" t="inlineStr">
        <is>
          <t>Number of Units</t>
        </is>
      </c>
      <c r="B1" s="120" t="inlineStr">
        <is>
          <t>Tag</t>
        </is>
      </c>
      <c r="C1" s="120" t="inlineStr">
        <is>
          <t>Path</t>
        </is>
      </c>
      <c r="D1" s="121" t="inlineStr">
        <is>
          <t>Make</t>
        </is>
      </c>
      <c r="E1" s="121" t="inlineStr">
        <is>
          <t>Model</t>
        </is>
      </c>
      <c r="F1" s="11" t="inlineStr">
        <is>
          <t>Lw/Lp (A)</t>
        </is>
      </c>
      <c r="G1" s="12" t="inlineStr">
        <is>
          <t>Ref. Dist.
(0 = LwA,
dist. = Lp)</t>
        </is>
      </c>
      <c r="H1" s="12" t="inlineStr">
        <is>
          <t>Sound Power 
(estimated if SPL provided)</t>
        </is>
      </c>
      <c r="I1" s="13" t="inlineStr">
        <is>
          <t>IL (duct, silencer, 
louver, etc)</t>
        </is>
      </c>
      <c r="J1" s="14" t="inlineStr">
        <is>
          <t>X</t>
        </is>
      </c>
      <c r="K1" s="14" t="inlineStr">
        <is>
          <t>Y</t>
        </is>
      </c>
      <c r="L1" s="15" t="inlineStr">
        <is>
          <t>Z</t>
        </is>
      </c>
      <c r="M1" s="16" t="inlineStr">
        <is>
          <t>building height</t>
        </is>
      </c>
      <c r="N1" s="17" t="inlineStr">
        <is>
          <t>unit height</t>
        </is>
      </c>
      <c r="P1" s="88" t="inlineStr">
        <is>
          <t>R#</t>
        </is>
      </c>
      <c r="Q1" s="89" t="inlineStr">
        <is>
          <t>X</t>
        </is>
      </c>
      <c r="R1" s="89" t="inlineStr">
        <is>
          <t>Y</t>
        </is>
      </c>
      <c r="S1" s="90" t="inlineStr">
        <is>
          <t>Z</t>
        </is>
      </c>
      <c r="T1" s="1" t="inlineStr">
        <is>
          <t>Lim. (dBA)</t>
        </is>
      </c>
      <c r="U1" s="1" t="inlineStr">
        <is>
          <t>Est. Level</t>
        </is>
      </c>
      <c r="W1" s="66" t="inlineStr">
        <is>
          <t>R#</t>
        </is>
      </c>
      <c r="X1" s="18" t="inlineStr">
        <is>
          <t>R1-Rdeck Amenity</t>
        </is>
      </c>
      <c r="Y1" s="67" t="inlineStr">
        <is>
          <t>R2</t>
        </is>
      </c>
      <c r="Z1" s="67" t="n">
        <v>0</v>
      </c>
      <c r="AA1" s="67" t="n">
        <v>0</v>
      </c>
      <c r="AB1" s="67" t="n">
        <v>0</v>
      </c>
      <c r="AC1" s="67" t="n">
        <v>0</v>
      </c>
      <c r="AD1" s="67" t="n">
        <v>0</v>
      </c>
      <c r="AE1" s="67" t="n">
        <v>0</v>
      </c>
      <c r="AF1" s="19" t="n">
        <v>0</v>
      </c>
      <c r="AG1" s="19" t="n">
        <v>0</v>
      </c>
      <c r="AH1" s="19" t="n">
        <v>0</v>
      </c>
      <c r="AI1" s="19" t="n">
        <v>0</v>
      </c>
      <c r="AJ1" s="19" t="n">
        <v>0</v>
      </c>
      <c r="AK1" s="19" t="n">
        <v>0</v>
      </c>
      <c r="AL1" s="20" t="n">
        <v>0</v>
      </c>
      <c r="AN1" s="66" t="inlineStr">
        <is>
          <t>R#</t>
        </is>
      </c>
      <c r="AO1" s="18" t="inlineStr">
        <is>
          <t>R1-Rdeck Amenity</t>
        </is>
      </c>
      <c r="AP1" s="67" t="inlineStr">
        <is>
          <t>R2</t>
        </is>
      </c>
      <c r="AQ1" s="67" t="n">
        <v>0</v>
      </c>
      <c r="AR1" s="67" t="n">
        <v>0</v>
      </c>
      <c r="AS1" s="67" t="n">
        <v>0</v>
      </c>
      <c r="AT1" s="67" t="n">
        <v>0</v>
      </c>
      <c r="AU1" s="67" t="n">
        <v>0</v>
      </c>
      <c r="AV1" s="67" t="n">
        <v>0</v>
      </c>
      <c r="AW1" s="19" t="n">
        <v>0</v>
      </c>
      <c r="AX1" s="19" t="n">
        <v>0</v>
      </c>
      <c r="AY1" s="19" t="n">
        <v>0</v>
      </c>
      <c r="AZ1" s="19" t="n">
        <v>0</v>
      </c>
      <c r="BA1" s="19" t="n">
        <v>0</v>
      </c>
      <c r="BB1" s="19" t="n">
        <v>0</v>
      </c>
      <c r="BC1" s="20" t="n">
        <v>0</v>
      </c>
      <c r="BK1" t="inlineStr">
        <is>
          <t>R#</t>
        </is>
      </c>
      <c r="BL1" s="18" t="inlineStr">
        <is>
          <t>R1-Rdeck Amenity</t>
        </is>
      </c>
      <c r="BM1" s="67" t="inlineStr">
        <is>
          <t>R2</t>
        </is>
      </c>
      <c r="BN1" s="67" t="n">
        <v>0</v>
      </c>
      <c r="BO1" s="67" t="n">
        <v>0</v>
      </c>
      <c r="BP1" s="67" t="n">
        <v>0</v>
      </c>
      <c r="BQ1" s="67" t="n">
        <v>0</v>
      </c>
      <c r="BR1" s="67" t="n">
        <v>0</v>
      </c>
      <c r="BS1" s="67" t="n">
        <v>0</v>
      </c>
      <c r="BT1" s="19" t="n">
        <v>0</v>
      </c>
      <c r="BU1" s="19" t="n">
        <v>0</v>
      </c>
      <c r="BV1" s="19" t="n">
        <v>0</v>
      </c>
      <c r="BW1" s="19" t="n">
        <v>0</v>
      </c>
      <c r="BX1" s="19" t="n">
        <v>0</v>
      </c>
      <c r="BY1" s="19" t="n">
        <v>0</v>
      </c>
      <c r="BZ1" s="20" t="n">
        <v>0</v>
      </c>
      <c r="CB1" t="inlineStr">
        <is>
          <t>R#</t>
        </is>
      </c>
      <c r="CC1" s="18" t="inlineStr">
        <is>
          <t>R1-Rdeck Amenity</t>
        </is>
      </c>
      <c r="CD1" s="67" t="inlineStr">
        <is>
          <t>R2</t>
        </is>
      </c>
      <c r="CE1" s="67" t="n">
        <v>0</v>
      </c>
      <c r="CF1" s="67" t="n">
        <v>0</v>
      </c>
      <c r="CG1" s="67" t="n">
        <v>0</v>
      </c>
      <c r="CH1" s="67" t="n">
        <v>0</v>
      </c>
      <c r="CI1" s="67" t="n">
        <v>0</v>
      </c>
      <c r="CJ1" s="67" t="n">
        <v>0</v>
      </c>
      <c r="CK1" s="19" t="n">
        <v>0</v>
      </c>
      <c r="CL1" s="19" t="n">
        <v>0</v>
      </c>
      <c r="CM1" s="19" t="n">
        <v>0</v>
      </c>
      <c r="CN1" s="19" t="n">
        <v>0</v>
      </c>
      <c r="CO1" s="19" t="n">
        <v>0</v>
      </c>
      <c r="CP1" s="19" t="n">
        <v>0</v>
      </c>
      <c r="CQ1" s="20" t="n">
        <v>0</v>
      </c>
    </row>
    <row r="2" ht="17.25" customHeight="1" thickBot="1">
      <c r="A2" s="122" t="n">
        <v>1</v>
      </c>
      <c r="B2" s="123" t="inlineStr">
        <is>
          <t>CU-230</t>
        </is>
      </c>
      <c r="C2" s="123" t="inlineStr">
        <is>
          <t>Radiated</t>
        </is>
      </c>
      <c r="D2" s="124" t="inlineStr">
        <is>
          <t>LG</t>
        </is>
      </c>
      <c r="E2" s="124" t="inlineStr">
        <is>
          <t>ARUM168DTE5</t>
        </is>
      </c>
      <c r="F2" s="86" t="n">
        <v>61</v>
      </c>
      <c r="G2" s="86" t="n">
        <v>3.28</v>
      </c>
      <c r="H2" s="125" t="n">
        <v>68.99777612758486</v>
      </c>
      <c r="I2" s="87" t="n"/>
      <c r="J2" s="86" t="n">
        <v>724.0599999999999</v>
      </c>
      <c r="K2" s="86" t="n">
        <v>1292.43</v>
      </c>
      <c r="L2" s="116" t="n">
        <v>5.583333333333333</v>
      </c>
      <c r="M2" s="86" t="n">
        <v>0</v>
      </c>
      <c r="N2" s="126" t="n">
        <v>5.583333333333333</v>
      </c>
      <c r="P2" s="91" t="inlineStr">
        <is>
          <t>R1-Rdeck Amenity</t>
        </is>
      </c>
      <c r="Q2" s="86" t="n">
        <v>792.8099999999999</v>
      </c>
      <c r="R2" s="86" t="n">
        <v>1056.77</v>
      </c>
      <c r="S2" s="92" t="n">
        <v>5</v>
      </c>
      <c r="T2" s="8" t="n">
        <v>55</v>
      </c>
      <c r="U2" s="2" t="n">
        <v>32</v>
      </c>
      <c r="W2" t="inlineStr">
        <is>
          <t>Distance (ft)</t>
        </is>
      </c>
      <c r="X2" s="127" t="n">
        <v>315.7053397992785</v>
      </c>
      <c r="Y2" s="128" t="n">
        <v>1905.226656387925</v>
      </c>
      <c r="Z2" s="128" t="str"/>
      <c r="AA2" s="128" t="str"/>
      <c r="AB2" s="128" t="str"/>
      <c r="AC2" s="128" t="str"/>
      <c r="AD2" s="128" t="str"/>
      <c r="AE2" s="128" t="str"/>
      <c r="AF2" s="129" t="str"/>
      <c r="AG2" s="129" t="str"/>
      <c r="AH2" s="129" t="str"/>
      <c r="AI2" s="129" t="str"/>
      <c r="AJ2" s="129" t="str"/>
      <c r="AK2" s="129" t="str"/>
      <c r="AL2" s="130" t="str"/>
      <c r="AM2" s="131" t="n"/>
      <c r="AN2" s="131" t="inlineStr">
        <is>
          <t>Attenuation (dB)</t>
        </is>
      </c>
      <c r="AO2" s="132" t="n">
        <v>-47.66593780445179</v>
      </c>
      <c r="AP2" s="133" t="n">
        <v>-63.27923223692373</v>
      </c>
      <c r="AQ2" s="133" t="n">
        <v>0</v>
      </c>
      <c r="AR2" s="133" t="n">
        <v>0</v>
      </c>
      <c r="AS2" s="133" t="n">
        <v>0</v>
      </c>
      <c r="AT2" s="133" t="n">
        <v>0</v>
      </c>
      <c r="AU2" s="133" t="n">
        <v>0</v>
      </c>
      <c r="AV2" s="133" t="n">
        <v>0</v>
      </c>
      <c r="AW2" s="134" t="n">
        <v>0</v>
      </c>
      <c r="AX2" s="134" t="n">
        <v>0</v>
      </c>
      <c r="AY2" s="134" t="n">
        <v>0</v>
      </c>
      <c r="AZ2" s="134" t="n">
        <v>0</v>
      </c>
      <c r="BA2" s="134" t="n">
        <v>0</v>
      </c>
      <c r="BB2" s="134" t="n">
        <v>0</v>
      </c>
      <c r="BC2" s="135" t="n">
        <v>0</v>
      </c>
      <c r="BD2" s="131" t="n"/>
      <c r="BE2" s="21" t="n"/>
      <c r="BF2" s="22" t="inlineStr">
        <is>
          <t>Source</t>
        </is>
      </c>
      <c r="BG2" s="22" t="inlineStr">
        <is>
          <t>Receiver</t>
        </is>
      </c>
      <c r="BH2" s="22" t="inlineStr">
        <is>
          <t>Barrier (start)</t>
        </is>
      </c>
      <c r="BI2" s="22" t="inlineStr">
        <is>
          <t>Barrier (end)</t>
        </is>
      </c>
      <c r="BJ2" s="131" t="n"/>
      <c r="BK2" s="136" t="inlineStr">
        <is>
          <t>Barrier IL (dB)</t>
        </is>
      </c>
      <c r="BL2" s="137" t="n"/>
      <c r="BM2" s="137" t="n"/>
      <c r="BN2" s="137" t="n"/>
      <c r="BO2" s="137" t="n"/>
      <c r="BP2" s="137" t="n"/>
      <c r="BQ2" s="137" t="n"/>
      <c r="BR2" s="137" t="n"/>
      <c r="BS2" s="137" t="n"/>
      <c r="BT2" s="137" t="n"/>
      <c r="BU2" s="137" t="n"/>
      <c r="BV2" s="137" t="n"/>
      <c r="BW2" s="137" t="n"/>
      <c r="BX2" s="137" t="n"/>
      <c r="BY2" s="137" t="n"/>
      <c r="BZ2" s="137" t="n"/>
      <c r="CA2" s="131" t="n"/>
      <c r="CB2" s="131" t="inlineStr">
        <is>
          <t>Total</t>
        </is>
      </c>
      <c r="CC2" s="138" t="n">
        <v>21.33183832313306</v>
      </c>
      <c r="CD2" s="139" t="n">
        <v>5.718543890661131</v>
      </c>
      <c r="CE2" s="139" t="str"/>
      <c r="CF2" s="139" t="str"/>
      <c r="CG2" s="139" t="str"/>
      <c r="CH2" s="139" t="str"/>
      <c r="CI2" s="139" t="str"/>
      <c r="CJ2" s="139" t="str"/>
      <c r="CK2" s="140" t="str"/>
      <c r="CL2" s="140" t="str"/>
      <c r="CM2" s="140" t="str"/>
      <c r="CN2" s="140" t="str"/>
      <c r="CO2" s="140" t="str"/>
      <c r="CP2" s="140" t="str"/>
      <c r="CQ2" s="141" t="str"/>
      <c r="DD2" t="inlineStr">
        <is>
          <t>bumper</t>
        </is>
      </c>
      <c r="DE2" t="inlineStr">
        <is>
          <t>bumper</t>
        </is>
      </c>
      <c r="DF2" t="inlineStr">
        <is>
          <t>bumper</t>
        </is>
      </c>
      <c r="DG2" t="inlineStr">
        <is>
          <t>bumper</t>
        </is>
      </c>
    </row>
    <row r="3" ht="17.25" customHeight="1" thickBot="1">
      <c r="A3" s="142" t="n">
        <v>1</v>
      </c>
      <c r="B3" s="123" t="inlineStr">
        <is>
          <t>CU-240</t>
        </is>
      </c>
      <c r="C3" s="123" t="inlineStr">
        <is>
          <t>Radiated</t>
        </is>
      </c>
      <c r="D3" s="124" t="inlineStr">
        <is>
          <t>LG</t>
        </is>
      </c>
      <c r="E3" s="143" t="inlineStr">
        <is>
          <t>ARUM168DTE5</t>
        </is>
      </c>
      <c r="F3" s="86" t="n">
        <v>61</v>
      </c>
      <c r="G3" s="86" t="n">
        <v>3.28</v>
      </c>
      <c r="H3" s="144" t="n">
        <v>68.99777612758486</v>
      </c>
      <c r="I3" s="3" t="n"/>
      <c r="J3" s="4" t="n">
        <v>732.02</v>
      </c>
      <c r="K3" s="4" t="n">
        <v>1233.65</v>
      </c>
      <c r="L3" s="116" t="n">
        <v>5.583333333333333</v>
      </c>
      <c r="M3" s="4" t="n">
        <v>0</v>
      </c>
      <c r="N3" s="126" t="n">
        <v>5.583333333333333</v>
      </c>
      <c r="P3" s="9" t="inlineStr">
        <is>
          <t>R2</t>
        </is>
      </c>
      <c r="Q3" s="4" t="n">
        <v>0</v>
      </c>
      <c r="R3" s="4" t="n">
        <v>0</v>
      </c>
      <c r="S3" s="92" t="n"/>
      <c r="T3" s="8" t="n">
        <v>60</v>
      </c>
      <c r="U3" s="2" t="n">
        <v>51</v>
      </c>
      <c r="W3" s="66" t="n"/>
      <c r="X3" s="145" t="n">
        <v>240.5340251976377</v>
      </c>
      <c r="Y3" s="146" t="n">
        <v>1844.842457368951</v>
      </c>
      <c r="Z3" s="146" t="str"/>
      <c r="AA3" s="146" t="str"/>
      <c r="AB3" s="146" t="str"/>
      <c r="AC3" s="146" t="str"/>
      <c r="AD3" s="146" t="str"/>
      <c r="AE3" s="146" t="str"/>
      <c r="AF3" s="147" t="str"/>
      <c r="AG3" s="147" t="str"/>
      <c r="AH3" s="147" t="str"/>
      <c r="AI3" s="147" t="str"/>
      <c r="AJ3" s="147" t="str"/>
      <c r="AK3" s="147" t="str"/>
      <c r="AL3" s="148" t="str"/>
      <c r="AM3" s="131" t="n"/>
      <c r="AN3" s="66" t="n"/>
      <c r="AO3" s="149" t="n">
        <v>-45.30382963348418</v>
      </c>
      <c r="AP3" s="150" t="n">
        <v>-62.99948495250328</v>
      </c>
      <c r="AQ3" s="150" t="n">
        <v>0</v>
      </c>
      <c r="AR3" s="150" t="n">
        <v>0</v>
      </c>
      <c r="AS3" s="150" t="n">
        <v>0</v>
      </c>
      <c r="AT3" s="150" t="n">
        <v>0</v>
      </c>
      <c r="AU3" s="150" t="n">
        <v>0</v>
      </c>
      <c r="AV3" s="150" t="n">
        <v>0</v>
      </c>
      <c r="AW3" s="151" t="n">
        <v>0</v>
      </c>
      <c r="AX3" s="151" t="n">
        <v>0</v>
      </c>
      <c r="AY3" s="151" t="n">
        <v>0</v>
      </c>
      <c r="AZ3" s="151" t="n">
        <v>0</v>
      </c>
      <c r="BA3" s="151" t="n">
        <v>0</v>
      </c>
      <c r="BB3" s="151" t="n">
        <v>0</v>
      </c>
      <c r="BC3" s="152" t="n">
        <v>0</v>
      </c>
      <c r="BD3" s="131" t="n"/>
      <c r="BE3" s="23" t="n"/>
      <c r="BF3" s="24" t="inlineStr">
        <is>
          <t>Name</t>
        </is>
      </c>
      <c r="BG3" s="25" t="inlineStr">
        <is>
          <t>X</t>
        </is>
      </c>
      <c r="BH3" s="26" t="inlineStr">
        <is>
          <t>Y</t>
        </is>
      </c>
      <c r="BI3" s="27" t="inlineStr">
        <is>
          <t>Z</t>
        </is>
      </c>
      <c r="BJ3" s="131" t="n"/>
      <c r="BK3" s="131" t="n"/>
      <c r="BL3" s="137" t="n"/>
      <c r="BM3" s="137" t="n"/>
      <c r="BN3" s="137" t="n"/>
      <c r="BO3" s="137" t="n"/>
      <c r="BP3" s="137" t="n"/>
      <c r="BQ3" s="137" t="n"/>
      <c r="BR3" s="137" t="n"/>
      <c r="BS3" s="137" t="n"/>
      <c r="BT3" s="137" t="n"/>
      <c r="BU3" s="137" t="n"/>
      <c r="BV3" s="137" t="n"/>
      <c r="BW3" s="137" t="n"/>
      <c r="BX3" s="137" t="n"/>
      <c r="BY3" s="137" t="n"/>
      <c r="BZ3" s="137" t="n"/>
      <c r="CA3" s="131" t="n"/>
      <c r="CB3" s="131" t="n"/>
      <c r="CC3" s="153" t="n">
        <v>23.69394649410068</v>
      </c>
      <c r="CD3" s="154" t="n">
        <v>5.998291175081576</v>
      </c>
      <c r="CE3" s="154" t="str"/>
      <c r="CF3" s="154" t="str"/>
      <c r="CG3" s="154" t="str"/>
      <c r="CH3" s="154" t="str"/>
      <c r="CI3" s="154" t="str"/>
      <c r="CJ3" s="154" t="str"/>
      <c r="CK3" s="155" t="str"/>
      <c r="CL3" s="155" t="str"/>
      <c r="CM3" s="155" t="str"/>
      <c r="CN3" s="155" t="str"/>
      <c r="CO3" s="140" t="str"/>
      <c r="CP3" s="140" t="str"/>
      <c r="CQ3" s="141" t="str"/>
    </row>
    <row r="4" ht="17.25" customHeight="1" thickBot="1">
      <c r="A4" s="142" t="n">
        <v>1</v>
      </c>
      <c r="B4" s="123" t="inlineStr">
        <is>
          <t>CU-250</t>
        </is>
      </c>
      <c r="C4" s="123" t="inlineStr">
        <is>
          <t>Radiated</t>
        </is>
      </c>
      <c r="D4" s="143" t="inlineStr">
        <is>
          <t>LG</t>
        </is>
      </c>
      <c r="E4" s="143" t="inlineStr">
        <is>
          <t>ARUM168DTE5</t>
        </is>
      </c>
      <c r="F4" s="86" t="n">
        <v>61</v>
      </c>
      <c r="G4" s="86" t="n">
        <v>3.28</v>
      </c>
      <c r="H4" s="144" t="n">
        <v>68.99777612758486</v>
      </c>
      <c r="I4" s="3" t="n"/>
      <c r="J4" s="4" t="n">
        <v>740.51</v>
      </c>
      <c r="K4" s="4" t="n">
        <v>1171.91</v>
      </c>
      <c r="L4" s="116" t="n">
        <v>5.583333333333333</v>
      </c>
      <c r="M4" s="86" t="n">
        <v>0</v>
      </c>
      <c r="N4" s="126" t="n">
        <v>5.583333333333333</v>
      </c>
      <c r="P4" s="9" t="n"/>
      <c r="Q4" s="4" t="n"/>
      <c r="R4" s="4" t="n"/>
      <c r="S4" s="92" t="n"/>
      <c r="T4" s="8" t="n"/>
      <c r="U4" s="2" t="e">
        <v>#VALUE!</v>
      </c>
      <c r="W4" s="66" t="n"/>
      <c r="X4" s="145" t="n">
        <v>162.6355375610688</v>
      </c>
      <c r="Y4" s="146" t="n">
        <v>1782.830270023232</v>
      </c>
      <c r="Z4" s="146" t="str"/>
      <c r="AA4" s="146" t="str"/>
      <c r="AB4" s="146" t="str"/>
      <c r="AC4" s="146" t="str"/>
      <c r="AD4" s="146" t="str"/>
      <c r="AE4" s="146" t="str"/>
      <c r="AF4" s="147" t="str"/>
      <c r="AG4" s="147" t="str"/>
      <c r="AH4" s="147" t="str"/>
      <c r="AI4" s="147" t="str"/>
      <c r="AJ4" s="147" t="str"/>
      <c r="AK4" s="147" t="str"/>
      <c r="AL4" s="148" t="str"/>
      <c r="AM4" s="131" t="n"/>
      <c r="AN4" s="156" t="n"/>
      <c r="AO4" s="149" t="n">
        <v>-41.9046082433745</v>
      </c>
      <c r="AP4" s="150" t="n">
        <v>-62.70249923743003</v>
      </c>
      <c r="AQ4" s="150" t="n">
        <v>0</v>
      </c>
      <c r="AR4" s="150" t="n">
        <v>0</v>
      </c>
      <c r="AS4" s="150" t="n">
        <v>0</v>
      </c>
      <c r="AT4" s="150" t="n">
        <v>0</v>
      </c>
      <c r="AU4" s="150" t="n">
        <v>0</v>
      </c>
      <c r="AV4" s="150" t="n">
        <v>0</v>
      </c>
      <c r="AW4" s="151" t="n">
        <v>0</v>
      </c>
      <c r="AX4" s="151" t="n">
        <v>0</v>
      </c>
      <c r="AY4" s="151" t="n">
        <v>0</v>
      </c>
      <c r="AZ4" s="151" t="n">
        <v>0</v>
      </c>
      <c r="BA4" s="151" t="n">
        <v>0</v>
      </c>
      <c r="BB4" s="151" t="n">
        <v>0</v>
      </c>
      <c r="BC4" s="152" t="n">
        <v>0</v>
      </c>
      <c r="BD4" s="131" t="n"/>
      <c r="BE4" s="28" t="inlineStr">
        <is>
          <t>Source</t>
        </is>
      </c>
      <c r="BF4" s="29" t="inlineStr">
        <is>
          <t>DOAS-3-1</t>
        </is>
      </c>
      <c r="BG4" s="30" t="inlineStr">
        <is>
          <t>not found</t>
        </is>
      </c>
      <c r="BH4" s="31" t="inlineStr">
        <is>
          <t>not found</t>
        </is>
      </c>
      <c r="BI4" s="32" t="inlineStr">
        <is>
          <t>not found</t>
        </is>
      </c>
      <c r="BJ4" s="131" t="n"/>
      <c r="BK4" s="131" t="n"/>
      <c r="BL4" s="137" t="n"/>
      <c r="BM4" s="137" t="n"/>
      <c r="BN4" s="137" t="n"/>
      <c r="BO4" s="137" t="n"/>
      <c r="BP4" s="137" t="n"/>
      <c r="BQ4" s="137" t="n"/>
      <c r="BR4" s="137" t="n"/>
      <c r="BS4" s="137" t="n"/>
      <c r="BT4" s="137" t="n"/>
      <c r="BU4" s="137" t="n"/>
      <c r="BV4" s="137" t="n"/>
      <c r="BW4" s="137" t="n"/>
      <c r="BX4" s="137" t="n"/>
      <c r="BY4" s="137" t="n"/>
      <c r="BZ4" s="137" t="n"/>
      <c r="CA4" s="131" t="n"/>
      <c r="CB4" s="131" t="n"/>
      <c r="CC4" s="138" t="n">
        <v>27.09316788421035</v>
      </c>
      <c r="CD4" s="139" t="n">
        <v>6.295276890154824</v>
      </c>
      <c r="CE4" s="139" t="str"/>
      <c r="CF4" s="139" t="str"/>
      <c r="CG4" s="139" t="str"/>
      <c r="CH4" s="139" t="str"/>
      <c r="CI4" s="139" t="str"/>
      <c r="CJ4" s="139" t="str"/>
      <c r="CK4" s="140" t="str"/>
      <c r="CL4" s="140" t="str"/>
      <c r="CM4" s="140" t="str"/>
      <c r="CN4" s="140" t="str"/>
      <c r="CO4" s="140" t="str"/>
      <c r="CP4" s="140" t="str"/>
      <c r="CQ4" s="141" t="str"/>
    </row>
    <row r="5" ht="17.25" customHeight="1" thickBot="1">
      <c r="A5" s="142" t="n">
        <v>1</v>
      </c>
      <c r="B5" s="123" t="inlineStr">
        <is>
          <t>CU-260</t>
        </is>
      </c>
      <c r="C5" s="123" t="inlineStr">
        <is>
          <t>Radiated</t>
        </is>
      </c>
      <c r="D5" s="143" t="inlineStr">
        <is>
          <t>LG</t>
        </is>
      </c>
      <c r="E5" s="143" t="inlineStr">
        <is>
          <t>ARUM168DTE5</t>
        </is>
      </c>
      <c r="F5" s="86" t="n">
        <v>61</v>
      </c>
      <c r="G5" s="86" t="n">
        <v>3.28</v>
      </c>
      <c r="H5" s="144" t="n">
        <v>68.99777612758486</v>
      </c>
      <c r="I5" s="3" t="n"/>
      <c r="J5" s="4" t="n">
        <v>842.97</v>
      </c>
      <c r="K5" s="4" t="n">
        <v>1186.87</v>
      </c>
      <c r="L5" s="116" t="n">
        <v>5.583333333333333</v>
      </c>
      <c r="M5" s="86" t="n">
        <v>0</v>
      </c>
      <c r="N5" s="126" t="n">
        <v>5.583333333333333</v>
      </c>
      <c r="P5" s="9" t="n"/>
      <c r="Q5" s="4" t="n"/>
      <c r="R5" s="4" t="n"/>
      <c r="S5" s="92" t="n"/>
      <c r="T5" s="8" t="n"/>
      <c r="U5" s="2" t="e">
        <v>#VALUE!</v>
      </c>
      <c r="X5" s="145" t="n">
        <v>179.3132074828227</v>
      </c>
      <c r="Y5" s="146" t="n">
        <v>1872.215825649145</v>
      </c>
      <c r="Z5" s="146" t="str"/>
      <c r="AA5" s="146" t="str"/>
      <c r="AB5" s="146" t="str"/>
      <c r="AC5" s="146" t="str"/>
      <c r="AD5" s="146" t="str"/>
      <c r="AE5" s="146" t="str"/>
      <c r="AF5" s="147" t="str"/>
      <c r="AG5" s="147" t="str"/>
      <c r="AH5" s="147" t="str"/>
      <c r="AI5" s="147" t="str"/>
      <c r="AJ5" s="147" t="str"/>
      <c r="AK5" s="147" t="str"/>
      <c r="AL5" s="148" t="str"/>
      <c r="AM5" s="131" t="n"/>
      <c r="AN5" s="131" t="n"/>
      <c r="AO5" s="149" t="n">
        <v>-42.75254483552203</v>
      </c>
      <c r="AP5" s="150" t="n">
        <v>-63.12741749273538</v>
      </c>
      <c r="AQ5" s="150" t="n">
        <v>0</v>
      </c>
      <c r="AR5" s="150" t="n">
        <v>0</v>
      </c>
      <c r="AS5" s="150" t="n">
        <v>0</v>
      </c>
      <c r="AT5" s="150" t="n">
        <v>0</v>
      </c>
      <c r="AU5" s="150" t="n">
        <v>0</v>
      </c>
      <c r="AV5" s="150" t="n">
        <v>0</v>
      </c>
      <c r="AW5" s="151" t="n">
        <v>0</v>
      </c>
      <c r="AX5" s="151" t="n">
        <v>0</v>
      </c>
      <c r="AY5" s="151" t="n">
        <v>0</v>
      </c>
      <c r="AZ5" s="151" t="n">
        <v>0</v>
      </c>
      <c r="BA5" s="151" t="n">
        <v>0</v>
      </c>
      <c r="BB5" s="151" t="n">
        <v>0</v>
      </c>
      <c r="BC5" s="152" t="n">
        <v>0</v>
      </c>
      <c r="BD5" s="131" t="n"/>
      <c r="BE5" s="28" t="inlineStr">
        <is>
          <t>Receiver</t>
        </is>
      </c>
      <c r="BF5" s="33" t="inlineStr">
        <is>
          <t>R3</t>
        </is>
      </c>
      <c r="BG5" s="34" t="inlineStr">
        <is>
          <t>not found</t>
        </is>
      </c>
      <c r="BH5" s="34" t="inlineStr">
        <is>
          <t>not found</t>
        </is>
      </c>
      <c r="BI5" s="34" t="inlineStr">
        <is>
          <t>not found</t>
        </is>
      </c>
      <c r="BJ5" s="131" t="n"/>
      <c r="BK5" s="131" t="n"/>
      <c r="BL5" s="137" t="n"/>
      <c r="BM5" s="137" t="n"/>
      <c r="BN5" s="137" t="n"/>
      <c r="BO5" s="137" t="n"/>
      <c r="BP5" s="137" t="n"/>
      <c r="BQ5" s="137" t="n"/>
      <c r="BR5" s="137" t="n"/>
      <c r="BS5" s="137" t="n"/>
      <c r="BT5" s="137" t="n"/>
      <c r="BU5" s="137" t="n"/>
      <c r="BV5" s="137" t="n"/>
      <c r="BW5" s="137" t="n"/>
      <c r="BX5" s="137" t="n"/>
      <c r="BY5" s="137" t="n"/>
      <c r="BZ5" s="137" t="n"/>
      <c r="CA5" s="131" t="n"/>
      <c r="CB5" s="131" t="n"/>
      <c r="CC5" s="153" t="n">
        <v>26.24523129206283</v>
      </c>
      <c r="CD5" s="154" t="n">
        <v>5.870358634849474</v>
      </c>
      <c r="CE5" s="154" t="str"/>
      <c r="CF5" s="154" t="str"/>
      <c r="CG5" s="154" t="str"/>
      <c r="CH5" s="154" t="str"/>
      <c r="CI5" s="154" t="str"/>
      <c r="CJ5" s="154" t="str"/>
      <c r="CK5" s="155" t="str"/>
      <c r="CL5" s="155" t="str"/>
      <c r="CM5" s="155" t="str"/>
      <c r="CN5" s="155" t="str"/>
      <c r="CO5" s="140" t="str"/>
      <c r="CP5" s="140" t="str"/>
      <c r="CQ5" s="141" t="str"/>
    </row>
    <row r="6" ht="17.25" customHeight="1" thickBot="1">
      <c r="A6" s="142" t="n">
        <v>1</v>
      </c>
      <c r="B6" s="123" t="inlineStr">
        <is>
          <t>CU-270</t>
        </is>
      </c>
      <c r="C6" s="123" t="inlineStr">
        <is>
          <t>Radiated</t>
        </is>
      </c>
      <c r="D6" s="143" t="inlineStr">
        <is>
          <t>LG</t>
        </is>
      </c>
      <c r="E6" s="143" t="inlineStr">
        <is>
          <t>ARUM168DTE5</t>
        </is>
      </c>
      <c r="F6" s="86" t="n">
        <v>61</v>
      </c>
      <c r="G6" s="86" t="n">
        <v>3.28</v>
      </c>
      <c r="H6" s="144" t="n">
        <v>68.99777612758486</v>
      </c>
      <c r="I6" s="3" t="n"/>
      <c r="J6" s="4" t="n">
        <v>834.0700000000001</v>
      </c>
      <c r="K6" s="4" t="n">
        <v>1248.61</v>
      </c>
      <c r="L6" s="116" t="n">
        <v>5.583333333333333</v>
      </c>
      <c r="M6" s="86" t="n">
        <v>0</v>
      </c>
      <c r="N6" s="126" t="n">
        <v>5.583333333333333</v>
      </c>
      <c r="P6" s="9" t="n"/>
      <c r="Q6" s="4" t="n"/>
      <c r="R6" s="4" t="n"/>
      <c r="S6" s="92" t="n"/>
      <c r="T6" s="8" t="n"/>
      <c r="U6" s="2" t="e">
        <v>#VALUE!</v>
      </c>
      <c r="X6" s="145" t="n">
        <v>252.3519922207427</v>
      </c>
      <c r="Y6" s="146" t="n">
        <v>1931.117196498211</v>
      </c>
      <c r="Z6" s="146" t="str"/>
      <c r="AA6" s="146" t="str"/>
      <c r="AB6" s="146" t="str"/>
      <c r="AC6" s="146" t="str"/>
      <c r="AD6" s="146" t="str"/>
      <c r="AE6" s="146" t="str"/>
      <c r="AF6" s="147" t="str"/>
      <c r="AG6" s="147" t="str"/>
      <c r="AH6" s="147" t="str"/>
      <c r="AI6" s="147" t="str"/>
      <c r="AJ6" s="147" t="str"/>
      <c r="AK6" s="147" t="str"/>
      <c r="AL6" s="148" t="str"/>
      <c r="AM6" s="131" t="n"/>
      <c r="AN6" s="131" t="n"/>
      <c r="AO6" s="149" t="n">
        <v>-45.72043400673346</v>
      </c>
      <c r="AP6" s="150" t="n">
        <v>-63.39647187806381</v>
      </c>
      <c r="AQ6" s="150" t="n">
        <v>0</v>
      </c>
      <c r="AR6" s="150" t="n">
        <v>0</v>
      </c>
      <c r="AS6" s="150" t="n">
        <v>0</v>
      </c>
      <c r="AT6" s="150" t="n">
        <v>0</v>
      </c>
      <c r="AU6" s="150" t="n">
        <v>0</v>
      </c>
      <c r="AV6" s="150" t="n">
        <v>0</v>
      </c>
      <c r="AW6" s="151" t="n">
        <v>0</v>
      </c>
      <c r="AX6" s="151" t="n">
        <v>0</v>
      </c>
      <c r="AY6" s="151" t="n">
        <v>0</v>
      </c>
      <c r="AZ6" s="151" t="n">
        <v>0</v>
      </c>
      <c r="BA6" s="151" t="n">
        <v>0</v>
      </c>
      <c r="BB6" s="151" t="n">
        <v>0</v>
      </c>
      <c r="BC6" s="152" t="n">
        <v>0</v>
      </c>
      <c r="BD6" s="131" t="n"/>
      <c r="BE6" s="28" t="inlineStr">
        <is>
          <t>Barrier (start)</t>
        </is>
      </c>
      <c r="BF6" s="33" t="inlineStr">
        <is>
          <t>doas3 south enclosure start</t>
        </is>
      </c>
      <c r="BG6" s="34" t="inlineStr">
        <is>
          <t>error</t>
        </is>
      </c>
      <c r="BH6" s="35" t="inlineStr">
        <is>
          <t>error</t>
        </is>
      </c>
      <c r="BI6" s="36" t="inlineStr">
        <is>
          <t>error</t>
        </is>
      </c>
      <c r="BJ6" s="131" t="n"/>
      <c r="BK6" s="131" t="n"/>
      <c r="BL6" s="137" t="n"/>
      <c r="BM6" s="137" t="n"/>
      <c r="BN6" s="137" t="n"/>
      <c r="BO6" s="137" t="n"/>
      <c r="BP6" s="137" t="n"/>
      <c r="BQ6" s="137" t="n"/>
      <c r="BR6" s="137" t="n"/>
      <c r="BS6" s="137" t="n"/>
      <c r="BT6" s="137" t="n"/>
      <c r="BU6" s="137" t="n"/>
      <c r="BV6" s="137" t="n"/>
      <c r="BW6" s="137" t="n"/>
      <c r="BX6" s="137" t="n"/>
      <c r="BY6" s="137" t="n"/>
      <c r="BZ6" s="137" t="n"/>
      <c r="CA6" s="131" t="n"/>
      <c r="CB6" s="131" t="n"/>
      <c r="CC6" s="138" t="n">
        <v>23.27734212085139</v>
      </c>
      <c r="CD6" s="139" t="n">
        <v>5.601304249521043</v>
      </c>
      <c r="CE6" s="139" t="str"/>
      <c r="CF6" s="139" t="str"/>
      <c r="CG6" s="139" t="str"/>
      <c r="CH6" s="139" t="str"/>
      <c r="CI6" s="139" t="str"/>
      <c r="CJ6" s="139" t="str"/>
      <c r="CK6" s="140" t="str"/>
      <c r="CL6" s="140" t="str"/>
      <c r="CM6" s="140" t="str"/>
      <c r="CN6" s="140" t="str"/>
      <c r="CO6" s="140" t="str"/>
      <c r="CP6" s="140" t="str"/>
      <c r="CQ6" s="141" t="str"/>
    </row>
    <row r="7" ht="17.25" customHeight="1" thickBot="1">
      <c r="A7" s="142" t="n">
        <v>1</v>
      </c>
      <c r="B7" s="123" t="inlineStr">
        <is>
          <t>CU-280</t>
        </is>
      </c>
      <c r="C7" s="123" t="inlineStr">
        <is>
          <t>Radiated</t>
        </is>
      </c>
      <c r="D7" s="143" t="inlineStr">
        <is>
          <t>LG</t>
        </is>
      </c>
      <c r="E7" s="143" t="inlineStr">
        <is>
          <t>ARUM216DTE5</t>
        </is>
      </c>
      <c r="F7" s="4" t="n">
        <v>64</v>
      </c>
      <c r="G7" s="4" t="n">
        <v>3.28</v>
      </c>
      <c r="H7" s="144" t="n">
        <v>71.99777612758484</v>
      </c>
      <c r="I7" s="3" t="n"/>
      <c r="J7" s="4" t="n">
        <v>794.71</v>
      </c>
      <c r="K7" s="4" t="n">
        <v>1392.86</v>
      </c>
      <c r="L7" s="116" t="n">
        <v>5.583333333333333</v>
      </c>
      <c r="M7" s="86" t="n">
        <v>0</v>
      </c>
      <c r="N7" s="126" t="n">
        <v>5.583333333333333</v>
      </c>
      <c r="P7" s="9" t="n"/>
      <c r="Q7" s="4" t="n"/>
      <c r="R7" s="4" t="n"/>
      <c r="S7" s="92" t="n"/>
      <c r="T7" s="8" t="n"/>
      <c r="U7" s="2" t="e">
        <v>#VALUE!</v>
      </c>
      <c r="X7" s="145" t="n">
        <v>432.2372806431414</v>
      </c>
      <c r="Y7" s="146" t="n">
        <v>2062.379424890365</v>
      </c>
      <c r="Z7" s="146" t="str"/>
      <c r="AA7" s="146" t="str"/>
      <c r="AB7" s="146" t="str"/>
      <c r="AC7" s="146" t="str"/>
      <c r="AD7" s="146" t="str"/>
      <c r="AE7" s="146" t="str"/>
      <c r="AF7" s="147" t="str"/>
      <c r="AG7" s="147" t="str"/>
      <c r="AH7" s="147" t="str"/>
      <c r="AI7" s="147" t="str"/>
      <c r="AJ7" s="147" t="str"/>
      <c r="AK7" s="147" t="str"/>
      <c r="AL7" s="148" t="str"/>
      <c r="AM7" s="131" t="n"/>
      <c r="AN7" s="131" t="n"/>
      <c r="AO7" s="149" t="n">
        <v>-50.39474369815723</v>
      </c>
      <c r="AP7" s="150" t="n">
        <v>-63.96767060011315</v>
      </c>
      <c r="AQ7" s="150" t="n">
        <v>0</v>
      </c>
      <c r="AR7" s="150" t="n">
        <v>0</v>
      </c>
      <c r="AS7" s="150" t="n">
        <v>0</v>
      </c>
      <c r="AT7" s="150" t="n">
        <v>0</v>
      </c>
      <c r="AU7" s="150" t="n">
        <v>0</v>
      </c>
      <c r="AV7" s="150" t="n">
        <v>0</v>
      </c>
      <c r="AW7" s="151" t="n">
        <v>0</v>
      </c>
      <c r="AX7" s="151" t="n">
        <v>0</v>
      </c>
      <c r="AY7" s="151" t="n">
        <v>0</v>
      </c>
      <c r="AZ7" s="151" t="n">
        <v>0</v>
      </c>
      <c r="BA7" s="151" t="n">
        <v>0</v>
      </c>
      <c r="BB7" s="151" t="n">
        <v>0</v>
      </c>
      <c r="BC7" s="152" t="n">
        <v>0</v>
      </c>
      <c r="BD7" s="131" t="n"/>
      <c r="BE7" s="38" t="inlineStr">
        <is>
          <t>Barrier (end)</t>
        </is>
      </c>
      <c r="BF7" s="113" t="inlineStr">
        <is>
          <t>doas3 south enclosure end</t>
        </is>
      </c>
      <c r="BG7" s="39" t="inlineStr">
        <is>
          <t>error</t>
        </is>
      </c>
      <c r="BH7" s="40" t="inlineStr">
        <is>
          <t>error</t>
        </is>
      </c>
      <c r="BI7" s="36" t="inlineStr">
        <is>
          <t>error</t>
        </is>
      </c>
      <c r="BJ7" s="131" t="n"/>
      <c r="BK7" s="131" t="n"/>
      <c r="BL7" s="137" t="n"/>
      <c r="BM7" s="137" t="n"/>
      <c r="BN7" s="137" t="n"/>
      <c r="BO7" s="137" t="n"/>
      <c r="BP7" s="137" t="n"/>
      <c r="BQ7" s="137" t="n"/>
      <c r="BR7" s="137" t="n"/>
      <c r="BS7" s="137" t="n"/>
      <c r="BT7" s="137" t="n"/>
      <c r="BU7" s="137" t="n"/>
      <c r="BV7" s="137" t="n"/>
      <c r="BW7" s="137" t="n"/>
      <c r="BX7" s="137" t="n"/>
      <c r="BY7" s="137" t="n"/>
      <c r="BZ7" s="137" t="n"/>
      <c r="CA7" s="131" t="n"/>
      <c r="CB7" s="131" t="n"/>
      <c r="CC7" s="153" t="n">
        <v>21.60303242942761</v>
      </c>
      <c r="CD7" s="154" t="n">
        <v>8.03010552747169</v>
      </c>
      <c r="CE7" s="154" t="str"/>
      <c r="CF7" s="154" t="str"/>
      <c r="CG7" s="154" t="str"/>
      <c r="CH7" s="154" t="str"/>
      <c r="CI7" s="154" t="str"/>
      <c r="CJ7" s="154" t="str"/>
      <c r="CK7" s="155" t="str"/>
      <c r="CL7" s="155" t="str"/>
      <c r="CM7" s="155" t="str"/>
      <c r="CN7" s="155" t="str"/>
      <c r="CO7" s="140" t="str"/>
      <c r="CP7" s="140" t="str"/>
      <c r="CQ7" s="141" t="str"/>
    </row>
    <row r="8" ht="17.25" customHeight="1" thickBot="1">
      <c r="A8" s="142" t="n">
        <v>1</v>
      </c>
      <c r="B8" s="157" t="inlineStr">
        <is>
          <t>FU-1</t>
        </is>
      </c>
      <c r="C8" s="157" t="inlineStr">
        <is>
          <t>Radiated</t>
        </is>
      </c>
      <c r="D8" s="143" t="inlineStr">
        <is>
          <t>NA</t>
        </is>
      </c>
      <c r="E8" s="143" t="inlineStr">
        <is>
          <t>x</t>
        </is>
      </c>
      <c r="F8" s="4" t="n">
        <v>65</v>
      </c>
      <c r="G8" s="4" t="n">
        <v>0</v>
      </c>
      <c r="H8" s="144" t="n">
        <v>65</v>
      </c>
      <c r="I8" s="3" t="n">
        <v>1</v>
      </c>
      <c r="J8" s="4" t="n">
        <v>0</v>
      </c>
      <c r="K8" s="4" t="n">
        <v>0</v>
      </c>
      <c r="L8" s="116" t="n">
        <v>5.6</v>
      </c>
      <c r="M8" s="86" t="n">
        <v>0</v>
      </c>
      <c r="N8" s="158" t="n">
        <v>5.6</v>
      </c>
      <c r="P8" s="9" t="n"/>
      <c r="Q8" s="4" t="n"/>
      <c r="R8" s="4" t="n"/>
      <c r="S8" s="92" t="n"/>
      <c r="T8" s="8" t="n"/>
      <c r="U8" s="2" t="e">
        <v>#VALUE!</v>
      </c>
      <c r="X8" s="145" t="n">
        <v>1699.030122893646</v>
      </c>
      <c r="Y8" s="146" t="n">
        <v>5.6</v>
      </c>
      <c r="Z8" s="146" t="str"/>
      <c r="AA8" s="146" t="str"/>
      <c r="AB8" s="146" t="str"/>
      <c r="AC8" s="146" t="str"/>
      <c r="AD8" s="146" t="str"/>
      <c r="AE8" s="146" t="str"/>
      <c r="AF8" s="147" t="str"/>
      <c r="AG8" s="147" t="str"/>
      <c r="AH8" s="147" t="str"/>
      <c r="AI8" s="147" t="str"/>
      <c r="AJ8" s="147" t="str"/>
      <c r="AK8" s="147" t="str"/>
      <c r="AL8" s="148" t="str"/>
      <c r="AM8" s="131" t="n"/>
      <c r="AN8" s="131" t="n"/>
      <c r="AO8" s="149" t="n">
        <v>-62.28432082826624</v>
      </c>
      <c r="AP8" s="150" t="n">
        <v>-12.64405979347526</v>
      </c>
      <c r="AQ8" s="150" t="n">
        <v>0</v>
      </c>
      <c r="AR8" s="150" t="n">
        <v>0</v>
      </c>
      <c r="AS8" s="150" t="n">
        <v>0</v>
      </c>
      <c r="AT8" s="150" t="n">
        <v>0</v>
      </c>
      <c r="AU8" s="150" t="n">
        <v>0</v>
      </c>
      <c r="AV8" s="150" t="n">
        <v>0</v>
      </c>
      <c r="AW8" s="151" t="n">
        <v>0</v>
      </c>
      <c r="AX8" s="151" t="n">
        <v>0</v>
      </c>
      <c r="AY8" s="151" t="n">
        <v>0</v>
      </c>
      <c r="AZ8" s="151" t="n">
        <v>0</v>
      </c>
      <c r="BA8" s="151" t="n">
        <v>0</v>
      </c>
      <c r="BB8" s="151" t="n">
        <v>0</v>
      </c>
      <c r="BC8" s="152" t="n">
        <v>0</v>
      </c>
      <c r="BD8" s="131" t="n"/>
      <c r="BE8" s="42" t="inlineStr">
        <is>
          <t>Distance: Source - Receiver (Horizontal line)</t>
        </is>
      </c>
      <c r="BF8" s="159" t="e">
        <v>#VALUE!</v>
      </c>
      <c r="BG8" s="43" t="inlineStr">
        <is>
          <t>m: S to R</t>
        </is>
      </c>
      <c r="BH8" s="160" t="e">
        <v>#VALUE!</v>
      </c>
      <c r="BI8" s="161" t="e">
        <v>#DIV/0!</v>
      </c>
      <c r="BJ8" s="131" t="n"/>
      <c r="BK8" s="131" t="n"/>
      <c r="BL8" s="137" t="n"/>
      <c r="BM8" s="137" t="n"/>
      <c r="BN8" s="137" t="n"/>
      <c r="BO8" s="137" t="n"/>
      <c r="BP8" s="137" t="n"/>
      <c r="BQ8" s="137" t="n"/>
      <c r="BR8" s="137" t="n"/>
      <c r="BS8" s="137" t="n"/>
      <c r="BT8" s="137" t="n"/>
      <c r="BU8" s="137" t="n"/>
      <c r="BV8" s="137" t="n"/>
      <c r="BW8" s="137" t="n"/>
      <c r="BX8" s="137" t="n"/>
      <c r="BY8" s="137" t="n"/>
      <c r="BZ8" s="137" t="n"/>
      <c r="CA8" s="131" t="n"/>
      <c r="CB8" s="131" t="n"/>
      <c r="CC8" s="138" t="n">
        <v>1.715679171733761</v>
      </c>
      <c r="CD8" s="139" t="n">
        <v>51.35594020652474</v>
      </c>
      <c r="CE8" s="139" t="str"/>
      <c r="CF8" s="139" t="str"/>
      <c r="CG8" s="139" t="str"/>
      <c r="CH8" s="139" t="str"/>
      <c r="CI8" s="139" t="str"/>
      <c r="CJ8" s="139" t="str"/>
      <c r="CK8" s="140" t="str"/>
      <c r="CL8" s="140" t="str"/>
      <c r="CM8" s="140" t="str"/>
      <c r="CN8" s="140" t="str"/>
      <c r="CO8" s="140" t="str"/>
      <c r="CP8" s="140" t="str"/>
      <c r="CQ8" s="141" t="str"/>
    </row>
    <row r="9" ht="17.25" customHeight="1" thickBot="1">
      <c r="A9" s="142" t="n"/>
      <c r="B9" s="157" t="n"/>
      <c r="C9" s="157" t="n"/>
      <c r="D9" s="143" t="n"/>
      <c r="E9" s="143" t="n"/>
      <c r="F9" s="4" t="n"/>
      <c r="G9" s="4" t="n"/>
      <c r="H9" s="144" t="n"/>
      <c r="I9" s="3" t="n"/>
      <c r="J9" s="4" t="n"/>
      <c r="K9" s="4" t="n"/>
      <c r="L9" s="116" t="n"/>
      <c r="M9" s="86" t="n"/>
      <c r="N9" s="158" t="n"/>
      <c r="P9" s="9" t="n"/>
      <c r="Q9" s="4" t="n"/>
      <c r="R9" s="4" t="n"/>
      <c r="S9" s="92" t="n"/>
      <c r="T9" s="8" t="n"/>
      <c r="U9" s="2" t="e">
        <v>#VALUE!</v>
      </c>
      <c r="X9" s="145" t="n">
        <v>1699.037374073919</v>
      </c>
      <c r="Y9" s="146" t="n">
        <v>0</v>
      </c>
      <c r="Z9" s="146" t="str"/>
      <c r="AA9" s="146" t="str"/>
      <c r="AB9" s="146" t="str"/>
      <c r="AC9" s="146" t="str"/>
      <c r="AD9" s="146" t="str"/>
      <c r="AE9" s="146" t="str"/>
      <c r="AF9" s="147" t="str"/>
      <c r="AG9" s="147" t="str"/>
      <c r="AH9" s="147" t="str"/>
      <c r="AI9" s="147" t="str"/>
      <c r="AJ9" s="147" t="str"/>
      <c r="AK9" s="147" t="str"/>
      <c r="AL9" s="148" t="str"/>
      <c r="AM9" s="131" t="n"/>
      <c r="AN9" s="131" t="n"/>
      <c r="AO9" s="149" t="n">
        <v>-62.28435789813118</v>
      </c>
      <c r="AP9" s="150" t="n">
        <v>0</v>
      </c>
      <c r="AQ9" s="150" t="n">
        <v>0</v>
      </c>
      <c r="AR9" s="150" t="n">
        <v>0</v>
      </c>
      <c r="AS9" s="150" t="n">
        <v>0</v>
      </c>
      <c r="AT9" s="150" t="n">
        <v>0</v>
      </c>
      <c r="AU9" s="150" t="n">
        <v>0</v>
      </c>
      <c r="AV9" s="150" t="n">
        <v>0</v>
      </c>
      <c r="AW9" s="151" t="n">
        <v>0</v>
      </c>
      <c r="AX9" s="151" t="n">
        <v>0</v>
      </c>
      <c r="AY9" s="151" t="n">
        <v>0</v>
      </c>
      <c r="AZ9" s="151" t="n">
        <v>0</v>
      </c>
      <c r="BA9" s="151" t="n">
        <v>0</v>
      </c>
      <c r="BB9" s="151" t="n">
        <v>0</v>
      </c>
      <c r="BC9" s="152" t="n">
        <v>0</v>
      </c>
      <c r="BD9" s="131" t="n"/>
      <c r="BE9" s="42" t="inlineStr">
        <is>
          <t>Distance: Source - Barrier (Horizontal line)</t>
        </is>
      </c>
      <c r="BF9" s="162" t="e">
        <v>#VALUE!</v>
      </c>
      <c r="BG9" s="46" t="inlineStr">
        <is>
          <t>m: bar S to bar E</t>
        </is>
      </c>
      <c r="BH9" s="163" t="e">
        <v>#VALUE!</v>
      </c>
      <c r="BI9" s="164" t="e">
        <v>#DIV/0!</v>
      </c>
      <c r="BJ9" s="131" t="n"/>
      <c r="BK9" s="131" t="n"/>
      <c r="BL9" s="137" t="n"/>
      <c r="BM9" s="137" t="n"/>
      <c r="BN9" s="137" t="n"/>
      <c r="BO9" s="137" t="n"/>
      <c r="BP9" s="137" t="n"/>
      <c r="BQ9" s="137" t="n"/>
      <c r="BR9" s="137" t="n"/>
      <c r="BS9" s="137" t="n"/>
      <c r="BT9" s="137" t="n"/>
      <c r="BU9" s="137" t="n"/>
      <c r="BV9" s="137" t="n"/>
      <c r="BW9" s="137" t="n"/>
      <c r="BX9" s="137" t="n"/>
      <c r="BY9" s="137" t="n"/>
      <c r="BZ9" s="137" t="n"/>
      <c r="CA9" s="131" t="n"/>
      <c r="CB9" s="131" t="n"/>
      <c r="CC9" s="153" t="n">
        <v>-62.28435789813118</v>
      </c>
      <c r="CD9" s="154" t="n">
        <v>0</v>
      </c>
      <c r="CE9" s="154" t="str"/>
      <c r="CF9" s="154" t="str"/>
      <c r="CG9" s="154" t="str"/>
      <c r="CH9" s="154" t="str"/>
      <c r="CI9" s="154" t="str"/>
      <c r="CJ9" s="154" t="str"/>
      <c r="CK9" s="155" t="str"/>
      <c r="CL9" s="155" t="str"/>
      <c r="CM9" s="155" t="str"/>
      <c r="CN9" s="155" t="str"/>
      <c r="CO9" s="140" t="str"/>
      <c r="CP9" s="140" t="str"/>
      <c r="CQ9" s="141" t="str"/>
    </row>
    <row r="10" ht="17.25" customHeight="1" thickBot="1">
      <c r="A10" s="142" t="n"/>
      <c r="B10" s="123" t="n"/>
      <c r="C10" s="157" t="n"/>
      <c r="D10" s="143" t="n"/>
      <c r="E10" s="143" t="n"/>
      <c r="F10" s="4" t="n"/>
      <c r="G10" s="4" t="n"/>
      <c r="H10" s="144" t="n"/>
      <c r="I10" s="3" t="n"/>
      <c r="J10" s="4" t="n"/>
      <c r="K10" s="4" t="n"/>
      <c r="L10" s="116" t="n">
        <v>0</v>
      </c>
      <c r="M10" s="86" t="n"/>
      <c r="N10" s="158" t="n"/>
      <c r="P10" s="9" t="n"/>
      <c r="Q10" s="4" t="n"/>
      <c r="R10" s="4" t="n"/>
      <c r="S10" s="92" t="n"/>
      <c r="T10" s="8" t="n"/>
      <c r="U10" s="2" t="e">
        <v>#VALUE!</v>
      </c>
      <c r="X10" s="145" t="n">
        <v>1699.037374073919</v>
      </c>
      <c r="Y10" s="146" t="n">
        <v>0</v>
      </c>
      <c r="Z10" s="146" t="str"/>
      <c r="AA10" s="146" t="str"/>
      <c r="AB10" s="146" t="str"/>
      <c r="AC10" s="146" t="str"/>
      <c r="AD10" s="146" t="str"/>
      <c r="AE10" s="146" t="str"/>
      <c r="AF10" s="147" t="str"/>
      <c r="AG10" s="147" t="str"/>
      <c r="AH10" s="147" t="str"/>
      <c r="AI10" s="147" t="str"/>
      <c r="AJ10" s="147" t="str"/>
      <c r="AK10" s="147" t="str"/>
      <c r="AL10" s="148" t="str"/>
      <c r="AM10" s="131" t="n"/>
      <c r="AN10" s="131" t="n"/>
      <c r="AO10" s="149" t="n">
        <v>-62.28435789813118</v>
      </c>
      <c r="AP10" s="150" t="n">
        <v>0</v>
      </c>
      <c r="AQ10" s="150" t="n">
        <v>0</v>
      </c>
      <c r="AR10" s="150" t="n">
        <v>0</v>
      </c>
      <c r="AS10" s="150" t="n">
        <v>0</v>
      </c>
      <c r="AT10" s="150" t="n">
        <v>0</v>
      </c>
      <c r="AU10" s="150" t="n">
        <v>0</v>
      </c>
      <c r="AV10" s="150" t="n">
        <v>0</v>
      </c>
      <c r="AW10" s="151" t="n">
        <v>0</v>
      </c>
      <c r="AX10" s="151" t="n">
        <v>0</v>
      </c>
      <c r="AY10" s="151" t="n">
        <v>0</v>
      </c>
      <c r="AZ10" s="151" t="n">
        <v>0</v>
      </c>
      <c r="BA10" s="151" t="n">
        <v>0</v>
      </c>
      <c r="BB10" s="151" t="n">
        <v>0</v>
      </c>
      <c r="BC10" s="152" t="n">
        <v>0</v>
      </c>
      <c r="BD10" s="131" t="n"/>
      <c r="BE10" s="42" t="inlineStr">
        <is>
          <t>Distance: Barrier - Receiver (straight line)</t>
        </is>
      </c>
      <c r="BF10" s="165" t="e">
        <v>#VALUE!</v>
      </c>
      <c r="BG10" s="46" t="inlineStr">
        <is>
          <t>b: S to R</t>
        </is>
      </c>
      <c r="BH10" s="163" t="e">
        <v>#VALUE!</v>
      </c>
      <c r="BI10" s="164" t="e">
        <v>#DIV/0!</v>
      </c>
      <c r="BJ10" s="131" t="n"/>
      <c r="BK10" s="131" t="n"/>
      <c r="BL10" s="137" t="n"/>
      <c r="BM10" s="137" t="n"/>
      <c r="BN10" s="137" t="n"/>
      <c r="BO10" s="137" t="n"/>
      <c r="BP10" s="137" t="n"/>
      <c r="BQ10" s="137" t="n"/>
      <c r="BR10" s="137" t="n"/>
      <c r="BS10" s="137" t="n"/>
      <c r="BT10" s="137" t="n"/>
      <c r="BU10" s="137" t="n"/>
      <c r="BV10" s="137" t="n"/>
      <c r="BW10" s="137" t="n"/>
      <c r="BX10" s="137" t="n"/>
      <c r="BY10" s="137" t="n"/>
      <c r="BZ10" s="137" t="n"/>
      <c r="CA10" s="131" t="n"/>
      <c r="CB10" s="131" t="n"/>
      <c r="CC10" s="138" t="n">
        <v>-62.28435789813118</v>
      </c>
      <c r="CD10" s="139" t="n">
        <v>0</v>
      </c>
      <c r="CE10" s="139" t="str"/>
      <c r="CF10" s="139" t="str"/>
      <c r="CG10" s="139" t="str"/>
      <c r="CH10" s="139" t="str"/>
      <c r="CI10" s="139" t="str"/>
      <c r="CJ10" s="139" t="str"/>
      <c r="CK10" s="140" t="str"/>
      <c r="CL10" s="140" t="str"/>
      <c r="CM10" s="140" t="str"/>
      <c r="CN10" s="140" t="str"/>
      <c r="CO10" s="140" t="str"/>
      <c r="CP10" s="140" t="str"/>
      <c r="CQ10" s="141" t="str"/>
    </row>
    <row r="11" ht="17.25" customHeight="1" thickBot="1">
      <c r="A11" s="142" t="n"/>
      <c r="B11" s="157" t="n"/>
      <c r="C11" s="157" t="n"/>
      <c r="D11" s="143" t="n"/>
      <c r="E11" s="143" t="n"/>
      <c r="F11" s="4" t="n"/>
      <c r="G11" s="4" t="n"/>
      <c r="H11" s="144" t="n"/>
      <c r="I11" s="3" t="n"/>
      <c r="J11" s="4" t="n"/>
      <c r="K11" s="4" t="n"/>
      <c r="L11" s="116" t="n">
        <v>0</v>
      </c>
      <c r="M11" s="86" t="n"/>
      <c r="N11" s="158" t="n"/>
      <c r="P11" s="9" t="n"/>
      <c r="Q11" s="4" t="n"/>
      <c r="R11" s="4" t="n"/>
      <c r="S11" s="92" t="n"/>
      <c r="T11" s="8" t="n"/>
      <c r="U11" s="2" t="e">
        <v>#VALUE!</v>
      </c>
      <c r="X11" s="145" t="n">
        <v>1699.037374073919</v>
      </c>
      <c r="Y11" s="146" t="n">
        <v>0</v>
      </c>
      <c r="Z11" s="146" t="str"/>
      <c r="AA11" s="146" t="str"/>
      <c r="AB11" s="146" t="str"/>
      <c r="AC11" s="146" t="str"/>
      <c r="AD11" s="146" t="str"/>
      <c r="AE11" s="146" t="str"/>
      <c r="AF11" s="147" t="str"/>
      <c r="AG11" s="147" t="str"/>
      <c r="AH11" s="147" t="str"/>
      <c r="AI11" s="147" t="str"/>
      <c r="AJ11" s="147" t="str"/>
      <c r="AK11" s="147" t="str"/>
      <c r="AL11" s="148" t="str"/>
      <c r="AM11" s="131" t="n"/>
      <c r="AN11" s="131" t="n"/>
      <c r="AO11" s="149" t="n">
        <v>-62.28435789813118</v>
      </c>
      <c r="AP11" s="150" t="n">
        <v>0</v>
      </c>
      <c r="AQ11" s="150" t="n">
        <v>0</v>
      </c>
      <c r="AR11" s="150" t="n">
        <v>0</v>
      </c>
      <c r="AS11" s="150" t="n">
        <v>0</v>
      </c>
      <c r="AT11" s="150" t="n">
        <v>0</v>
      </c>
      <c r="AU11" s="150" t="n">
        <v>0</v>
      </c>
      <c r="AV11" s="150" t="n">
        <v>0</v>
      </c>
      <c r="AW11" s="151" t="n">
        <v>0</v>
      </c>
      <c r="AX11" s="151" t="n">
        <v>0</v>
      </c>
      <c r="AY11" s="151" t="n">
        <v>0</v>
      </c>
      <c r="AZ11" s="151" t="n">
        <v>0</v>
      </c>
      <c r="BA11" s="151" t="n">
        <v>0</v>
      </c>
      <c r="BB11" s="151" t="n">
        <v>0</v>
      </c>
      <c r="BC11" s="152" t="n">
        <v>0</v>
      </c>
      <c r="BD11" s="131" t="n"/>
      <c r="BE11" s="42" t="inlineStr">
        <is>
          <t>Distance: Source - Receiver Propogation</t>
        </is>
      </c>
      <c r="BF11" s="166" t="e">
        <v>#VALUE!</v>
      </c>
      <c r="BG11" s="46" t="inlineStr">
        <is>
          <t>b: bar S to bar E</t>
        </is>
      </c>
      <c r="BH11" s="163" t="e">
        <v>#VALUE!</v>
      </c>
      <c r="BI11" s="164" t="e">
        <v>#DIV/0!</v>
      </c>
      <c r="BJ11" s="131" t="n"/>
      <c r="BK11" s="131" t="n"/>
      <c r="BL11" s="137" t="n"/>
      <c r="BM11" s="137" t="n"/>
      <c r="BN11" s="137" t="n"/>
      <c r="BO11" s="137" t="n"/>
      <c r="BP11" s="137" t="n"/>
      <c r="BQ11" s="137" t="n"/>
      <c r="BR11" s="137" t="n"/>
      <c r="BS11" s="137" t="n"/>
      <c r="BT11" s="137" t="n"/>
      <c r="BU11" s="137" t="n"/>
      <c r="BV11" s="137" t="n"/>
      <c r="BW11" s="137" t="n"/>
      <c r="BX11" s="137" t="n"/>
      <c r="BY11" s="137" t="n"/>
      <c r="BZ11" s="137" t="n"/>
      <c r="CA11" s="131" t="n"/>
      <c r="CB11" s="131" t="n"/>
      <c r="CC11" s="153" t="n">
        <v>-62.28435789813118</v>
      </c>
      <c r="CD11" s="154" t="n">
        <v>0</v>
      </c>
      <c r="CE11" s="154" t="str"/>
      <c r="CF11" s="154" t="str"/>
      <c r="CG11" s="154" t="str"/>
      <c r="CH11" s="154" t="str"/>
      <c r="CI11" s="154" t="str"/>
      <c r="CJ11" s="154" t="str"/>
      <c r="CK11" s="155" t="str"/>
      <c r="CL11" s="155" t="str"/>
      <c r="CM11" s="155" t="str"/>
      <c r="CN11" s="155" t="str"/>
      <c r="CO11" s="140" t="str"/>
      <c r="CP11" s="140" t="str"/>
      <c r="CQ11" s="141" t="str"/>
    </row>
    <row r="12" ht="17.25" customHeight="1" thickBot="1">
      <c r="A12" s="142" t="n"/>
      <c r="B12" s="157" t="n"/>
      <c r="C12" s="157" t="n"/>
      <c r="D12" s="143" t="n"/>
      <c r="E12" s="143" t="n"/>
      <c r="F12" s="4" t="n"/>
      <c r="G12" s="4" t="n"/>
      <c r="H12" s="144" t="n"/>
      <c r="I12" s="3" t="n"/>
      <c r="J12" s="4" t="n"/>
      <c r="K12" s="4" t="n"/>
      <c r="L12" s="116" t="n">
        <v>0</v>
      </c>
      <c r="M12" s="86" t="n"/>
      <c r="N12" s="158" t="n"/>
      <c r="P12" s="9" t="n"/>
      <c r="Q12" s="4" t="n"/>
      <c r="R12" s="4" t="n"/>
      <c r="S12" s="92" t="n"/>
      <c r="T12" s="8" t="n"/>
      <c r="U12" s="2" t="e">
        <v>#VALUE!</v>
      </c>
      <c r="X12" s="145" t="n">
        <v>1699.037374073919</v>
      </c>
      <c r="Y12" s="146" t="n">
        <v>0</v>
      </c>
      <c r="Z12" s="146" t="str"/>
      <c r="AA12" s="146" t="str"/>
      <c r="AB12" s="146" t="str"/>
      <c r="AC12" s="146" t="str"/>
      <c r="AD12" s="146" t="str"/>
      <c r="AE12" s="146" t="str"/>
      <c r="AF12" s="147" t="str"/>
      <c r="AG12" s="147" t="str"/>
      <c r="AH12" s="147" t="str"/>
      <c r="AI12" s="147" t="str"/>
      <c r="AJ12" s="147" t="str"/>
      <c r="AK12" s="147" t="str"/>
      <c r="AL12" s="148" t="str"/>
      <c r="AM12" s="131" t="n"/>
      <c r="AN12" s="131" t="n"/>
      <c r="AO12" s="149" t="n">
        <v>-62.28435789813118</v>
      </c>
      <c r="AP12" s="150" t="n">
        <v>0</v>
      </c>
      <c r="AQ12" s="150" t="n">
        <v>0</v>
      </c>
      <c r="AR12" s="150" t="n">
        <v>0</v>
      </c>
      <c r="AS12" s="150" t="n">
        <v>0</v>
      </c>
      <c r="AT12" s="150" t="n">
        <v>0</v>
      </c>
      <c r="AU12" s="150" t="n">
        <v>0</v>
      </c>
      <c r="AV12" s="150" t="n">
        <v>0</v>
      </c>
      <c r="AW12" s="151" t="n">
        <v>0</v>
      </c>
      <c r="AX12" s="151" t="n">
        <v>0</v>
      </c>
      <c r="AY12" s="151" t="n">
        <v>0</v>
      </c>
      <c r="AZ12" s="151" t="n">
        <v>0</v>
      </c>
      <c r="BA12" s="151" t="n">
        <v>0</v>
      </c>
      <c r="BB12" s="151" t="n">
        <v>0</v>
      </c>
      <c r="BC12" s="152" t="n">
        <v>0</v>
      </c>
      <c r="BD12" s="131" t="n"/>
      <c r="BE12" s="42" t="inlineStr">
        <is>
          <t>delta (a+b-r) - figure 5.4</t>
        </is>
      </c>
      <c r="BF12" s="165" t="e">
        <v>#VALUE!</v>
      </c>
      <c r="BG12" s="46" t="inlineStr">
        <is>
          <t>intersection: X</t>
        </is>
      </c>
      <c r="BH12" s="163" t="e">
        <v>#VALUE!</v>
      </c>
      <c r="BI12" s="164" t="e">
        <v>#DIV/0!</v>
      </c>
      <c r="BJ12" s="131" t="n"/>
      <c r="BK12" s="131" t="n"/>
      <c r="BL12" s="137" t="n"/>
      <c r="BM12" s="137" t="n"/>
      <c r="BN12" s="137" t="n"/>
      <c r="BO12" s="137" t="n"/>
      <c r="BP12" s="137" t="n"/>
      <c r="BQ12" s="137" t="n"/>
      <c r="BR12" s="137" t="n"/>
      <c r="BS12" s="137" t="n"/>
      <c r="BT12" s="137" t="n"/>
      <c r="BU12" s="137" t="n"/>
      <c r="BV12" s="137" t="n"/>
      <c r="BW12" s="137" t="n"/>
      <c r="BX12" s="137" t="n"/>
      <c r="BY12" s="137" t="n"/>
      <c r="BZ12" s="137" t="n"/>
      <c r="CA12" s="131" t="n"/>
      <c r="CB12" s="131" t="n"/>
      <c r="CC12" s="138" t="n">
        <v>-62.28435789813118</v>
      </c>
      <c r="CD12" s="139" t="n">
        <v>0</v>
      </c>
      <c r="CE12" s="139" t="str"/>
      <c r="CF12" s="139" t="str"/>
      <c r="CG12" s="139" t="str"/>
      <c r="CH12" s="139" t="str"/>
      <c r="CI12" s="139" t="str"/>
      <c r="CJ12" s="139" t="str"/>
      <c r="CK12" s="140" t="str"/>
      <c r="CL12" s="140" t="str"/>
      <c r="CM12" s="140" t="str"/>
      <c r="CN12" s="140" t="str"/>
      <c r="CO12" s="140" t="str"/>
      <c r="CP12" s="140" t="str"/>
      <c r="CQ12" s="141" t="str"/>
    </row>
    <row r="13" ht="17.25" customHeight="1" thickBot="1">
      <c r="A13" s="142" t="n"/>
      <c r="B13" s="157" t="n"/>
      <c r="C13" s="157" t="n"/>
      <c r="D13" s="143" t="n"/>
      <c r="E13" s="143" t="n"/>
      <c r="F13" s="4" t="n"/>
      <c r="G13" s="4" t="n"/>
      <c r="H13" s="144" t="n"/>
      <c r="I13" s="3" t="n"/>
      <c r="J13" s="4" t="n"/>
      <c r="K13" s="4" t="n"/>
      <c r="L13" s="116" t="n">
        <v>0</v>
      </c>
      <c r="M13" s="86" t="n"/>
      <c r="N13" s="158" t="n"/>
      <c r="P13" s="9" t="n"/>
      <c r="Q13" s="4" t="n"/>
      <c r="R13" s="4" t="n"/>
      <c r="S13" s="92" t="n"/>
      <c r="T13" s="8" t="n"/>
      <c r="U13" s="2" t="e">
        <v>#VALUE!</v>
      </c>
      <c r="X13" s="145" t="n">
        <v>1699.037374073919</v>
      </c>
      <c r="Y13" s="146" t="n">
        <v>0</v>
      </c>
      <c r="Z13" s="146" t="str"/>
      <c r="AA13" s="146" t="str"/>
      <c r="AB13" s="146" t="str"/>
      <c r="AC13" s="146" t="str"/>
      <c r="AD13" s="146" t="str"/>
      <c r="AE13" s="146" t="str"/>
      <c r="AF13" s="147" t="str"/>
      <c r="AG13" s="147" t="str"/>
      <c r="AH13" s="147" t="str"/>
      <c r="AI13" s="147" t="str"/>
      <c r="AJ13" s="147" t="str"/>
      <c r="AK13" s="147" t="str"/>
      <c r="AL13" s="148" t="str"/>
      <c r="AM13" s="131" t="n"/>
      <c r="AN13" s="131" t="n"/>
      <c r="AO13" s="149" t="n">
        <v>-62.28435789813118</v>
      </c>
      <c r="AP13" s="150" t="n">
        <v>0</v>
      </c>
      <c r="AQ13" s="150" t="n">
        <v>0</v>
      </c>
      <c r="AR13" s="150" t="n">
        <v>0</v>
      </c>
      <c r="AS13" s="150" t="n">
        <v>0</v>
      </c>
      <c r="AT13" s="150" t="n">
        <v>0</v>
      </c>
      <c r="AU13" s="150" t="n">
        <v>0</v>
      </c>
      <c r="AV13" s="150" t="n">
        <v>0</v>
      </c>
      <c r="AW13" s="151" t="n">
        <v>0</v>
      </c>
      <c r="AX13" s="151" t="n">
        <v>0</v>
      </c>
      <c r="AY13" s="151" t="n">
        <v>0</v>
      </c>
      <c r="AZ13" s="151" t="n">
        <v>0</v>
      </c>
      <c r="BA13" s="151" t="n">
        <v>0</v>
      </c>
      <c r="BB13" s="151" t="n">
        <v>0</v>
      </c>
      <c r="BC13" s="152" t="n">
        <v>0</v>
      </c>
      <c r="BD13" s="131" t="n"/>
      <c r="BE13" s="42" t="inlineStr">
        <is>
          <t>distance: source - top of barrier</t>
        </is>
      </c>
      <c r="BF13" s="167" t="e">
        <v>#VALUE!</v>
      </c>
      <c r="BG13" s="49" t="inlineStr">
        <is>
          <t>intersection: Y</t>
        </is>
      </c>
      <c r="BH13" s="168" t="e">
        <v>#VALUE!</v>
      </c>
      <c r="BI13" s="169" t="e">
        <v>#DIV/0!</v>
      </c>
      <c r="BJ13" s="131" t="n"/>
      <c r="BK13" s="131" t="n"/>
      <c r="BL13" s="137" t="n"/>
      <c r="BM13" s="137" t="n"/>
      <c r="BN13" s="137" t="n"/>
      <c r="BO13" s="137" t="n"/>
      <c r="BP13" s="137" t="n"/>
      <c r="BQ13" s="137" t="n"/>
      <c r="BR13" s="137" t="n"/>
      <c r="BS13" s="137" t="n"/>
      <c r="BT13" s="137" t="n"/>
      <c r="BU13" s="137" t="n"/>
      <c r="BV13" s="137" t="n"/>
      <c r="BW13" s="137" t="n"/>
      <c r="BX13" s="137" t="n"/>
      <c r="BY13" s="137" t="n"/>
      <c r="BZ13" s="137" t="n"/>
      <c r="CA13" s="131" t="n"/>
      <c r="CB13" s="131" t="n"/>
      <c r="CC13" s="153" t="n">
        <v>-62.28435789813118</v>
      </c>
      <c r="CD13" s="154" t="n">
        <v>0</v>
      </c>
      <c r="CE13" s="154" t="str"/>
      <c r="CF13" s="154" t="str"/>
      <c r="CG13" s="154" t="str"/>
      <c r="CH13" s="154" t="str"/>
      <c r="CI13" s="154" t="str"/>
      <c r="CJ13" s="154" t="str"/>
      <c r="CK13" s="155" t="str"/>
      <c r="CL13" s="155" t="str"/>
      <c r="CM13" s="155" t="str"/>
      <c r="CN13" s="155" t="str"/>
      <c r="CO13" s="140" t="str"/>
      <c r="CP13" s="140" t="str"/>
      <c r="CQ13" s="141" t="str"/>
    </row>
    <row r="14" ht="17.25" customHeight="1" thickBot="1">
      <c r="A14" s="142" t="n"/>
      <c r="B14" s="157" t="n"/>
      <c r="C14" s="157" t="n"/>
      <c r="D14" s="143" t="n"/>
      <c r="E14" s="143" t="n"/>
      <c r="F14" s="4" t="n"/>
      <c r="G14" s="4" t="n"/>
      <c r="H14" s="144" t="n"/>
      <c r="I14" s="3" t="n"/>
      <c r="J14" s="4" t="n"/>
      <c r="K14" s="4" t="n"/>
      <c r="L14" s="116" t="n">
        <v>0</v>
      </c>
      <c r="M14" s="86" t="n"/>
      <c r="N14" s="158" t="n"/>
      <c r="P14" s="9" t="n"/>
      <c r="Q14" s="4" t="n"/>
      <c r="R14" s="4" t="n"/>
      <c r="S14" s="92" t="n"/>
      <c r="T14" s="8" t="n"/>
      <c r="U14" s="2" t="e">
        <v>#VALUE!</v>
      </c>
      <c r="X14" s="145" t="n">
        <v>1699.037374073919</v>
      </c>
      <c r="Y14" s="146" t="n">
        <v>0</v>
      </c>
      <c r="Z14" s="146" t="str"/>
      <c r="AA14" s="146" t="str"/>
      <c r="AB14" s="146" t="str"/>
      <c r="AC14" s="146" t="str"/>
      <c r="AD14" s="146" t="str"/>
      <c r="AE14" s="146" t="str"/>
      <c r="AF14" s="147" t="str"/>
      <c r="AG14" s="147" t="str"/>
      <c r="AH14" s="147" t="str"/>
      <c r="AI14" s="147" t="str"/>
      <c r="AJ14" s="147" t="str"/>
      <c r="AK14" s="147" t="str"/>
      <c r="AL14" s="148" t="str"/>
      <c r="AM14" s="131" t="n"/>
      <c r="AN14" s="131" t="n"/>
      <c r="AO14" s="149" t="n">
        <v>-62.28435789813118</v>
      </c>
      <c r="AP14" s="150" t="n">
        <v>0</v>
      </c>
      <c r="AQ14" s="150" t="n">
        <v>0</v>
      </c>
      <c r="AR14" s="150" t="n">
        <v>0</v>
      </c>
      <c r="AS14" s="150" t="n">
        <v>0</v>
      </c>
      <c r="AT14" s="150" t="n">
        <v>0</v>
      </c>
      <c r="AU14" s="150" t="n">
        <v>0</v>
      </c>
      <c r="AV14" s="150" t="n">
        <v>0</v>
      </c>
      <c r="AW14" s="151" t="n">
        <v>0</v>
      </c>
      <c r="AX14" s="151" t="n">
        <v>0</v>
      </c>
      <c r="AY14" s="151" t="n">
        <v>0</v>
      </c>
      <c r="AZ14" s="151" t="n">
        <v>0</v>
      </c>
      <c r="BA14" s="151" t="n">
        <v>0</v>
      </c>
      <c r="BB14" s="151" t="n">
        <v>0</v>
      </c>
      <c r="BC14" s="152" t="n">
        <v>0</v>
      </c>
      <c r="BD14" s="131" t="n"/>
      <c r="BE14" s="52" t="inlineStr">
        <is>
          <t>distance: receiver - top of barrier</t>
        </is>
      </c>
      <c r="BF14" s="166" t="e">
        <v>#VALUE!</v>
      </c>
      <c r="BG14" s="21" t="n"/>
      <c r="BH14" s="21" t="inlineStr">
        <is>
          <t>used^</t>
        </is>
      </c>
      <c r="BI14" s="21" t="inlineStr">
        <is>
          <t>test^</t>
        </is>
      </c>
      <c r="BJ14" s="131" t="n"/>
      <c r="BK14" s="131" t="n"/>
      <c r="BL14" s="137" t="n"/>
      <c r="BM14" s="137" t="n"/>
      <c r="BN14" s="137" t="n"/>
      <c r="BO14" s="137" t="n"/>
      <c r="BP14" s="137" t="n"/>
      <c r="BQ14" s="137" t="n"/>
      <c r="BR14" s="137" t="n"/>
      <c r="BS14" s="137" t="n"/>
      <c r="BT14" s="137" t="n"/>
      <c r="BU14" s="137" t="n"/>
      <c r="BV14" s="137" t="n"/>
      <c r="BW14" s="137" t="n"/>
      <c r="BX14" s="137" t="n"/>
      <c r="BY14" s="137" t="n"/>
      <c r="BZ14" s="137" t="n"/>
      <c r="CA14" s="131" t="n"/>
      <c r="CB14" s="131" t="n"/>
      <c r="CC14" s="138" t="n">
        <v>-62.28435789813118</v>
      </c>
      <c r="CD14" s="139" t="n">
        <v>0</v>
      </c>
      <c r="CE14" s="139" t="str"/>
      <c r="CF14" s="139" t="str"/>
      <c r="CG14" s="139" t="str"/>
      <c r="CH14" s="139" t="str"/>
      <c r="CI14" s="139" t="str"/>
      <c r="CJ14" s="139" t="str"/>
      <c r="CK14" s="140" t="str"/>
      <c r="CL14" s="140" t="str"/>
      <c r="CM14" s="140" t="str"/>
      <c r="CN14" s="140" t="str"/>
      <c r="CO14" s="140" t="str"/>
      <c r="CP14" s="140" t="str"/>
      <c r="CQ14" s="141" t="str"/>
    </row>
    <row r="15" ht="17.25" customHeight="1" thickBot="1">
      <c r="A15" s="142" t="n"/>
      <c r="B15" s="157" t="n"/>
      <c r="C15" s="157" t="n"/>
      <c r="D15" s="143" t="n"/>
      <c r="E15" s="143" t="n"/>
      <c r="F15" s="4" t="n"/>
      <c r="G15" s="4" t="n"/>
      <c r="H15" s="144" t="n"/>
      <c r="I15" s="3" t="n"/>
      <c r="J15" s="4" t="n"/>
      <c r="K15" s="4" t="n"/>
      <c r="L15" s="116" t="n">
        <v>0</v>
      </c>
      <c r="M15" s="86" t="n"/>
      <c r="N15" s="158" t="n"/>
      <c r="P15" s="9" t="n"/>
      <c r="Q15" s="4" t="n"/>
      <c r="R15" s="4" t="n"/>
      <c r="S15" s="92" t="n"/>
      <c r="T15" s="8" t="n"/>
      <c r="U15" s="2" t="e">
        <v>#VALUE!</v>
      </c>
      <c r="X15" s="145" t="n">
        <v>1699.037374073919</v>
      </c>
      <c r="Y15" s="146" t="n">
        <v>0</v>
      </c>
      <c r="Z15" s="146" t="str"/>
      <c r="AA15" s="146" t="str"/>
      <c r="AB15" s="146" t="str"/>
      <c r="AC15" s="146" t="str"/>
      <c r="AD15" s="146" t="str"/>
      <c r="AE15" s="146" t="str"/>
      <c r="AF15" s="147" t="str"/>
      <c r="AG15" s="147" t="str"/>
      <c r="AH15" s="147" t="str"/>
      <c r="AI15" s="147" t="str"/>
      <c r="AJ15" s="147" t="str"/>
      <c r="AK15" s="147" t="str"/>
      <c r="AL15" s="148" t="str"/>
      <c r="AM15" s="131" t="n"/>
      <c r="AN15" s="131" t="n"/>
      <c r="AO15" s="149" t="n">
        <v>-62.28435789813118</v>
      </c>
      <c r="AP15" s="150" t="n">
        <v>0</v>
      </c>
      <c r="AQ15" s="150" t="n">
        <v>0</v>
      </c>
      <c r="AR15" s="150" t="n">
        <v>0</v>
      </c>
      <c r="AS15" s="150" t="n">
        <v>0</v>
      </c>
      <c r="AT15" s="150" t="n">
        <v>0</v>
      </c>
      <c r="AU15" s="150" t="n">
        <v>0</v>
      </c>
      <c r="AV15" s="150" t="n">
        <v>0</v>
      </c>
      <c r="AW15" s="151" t="n">
        <v>0</v>
      </c>
      <c r="AX15" s="151" t="n">
        <v>0</v>
      </c>
      <c r="AY15" s="151" t="n">
        <v>0</v>
      </c>
      <c r="AZ15" s="151" t="n">
        <v>0</v>
      </c>
      <c r="BA15" s="151" t="n">
        <v>0</v>
      </c>
      <c r="BB15" s="151" t="n">
        <v>0</v>
      </c>
      <c r="BC15" s="152" t="n">
        <v>0</v>
      </c>
      <c r="BD15" s="131" t="n"/>
      <c r="BE15" s="131" t="n"/>
      <c r="BF15" s="131" t="n"/>
      <c r="BG15" s="131" t="n"/>
      <c r="BH15" s="131" t="n"/>
      <c r="BI15" s="131" t="n"/>
      <c r="BJ15" s="131" t="n"/>
      <c r="BK15" s="131" t="n"/>
      <c r="BL15" s="137" t="n"/>
      <c r="BM15" s="137" t="n"/>
      <c r="BN15" s="137" t="n"/>
      <c r="BO15" s="137" t="n"/>
      <c r="BP15" s="137" t="n"/>
      <c r="BQ15" s="137" t="n"/>
      <c r="BR15" s="137" t="n"/>
      <c r="BS15" s="137" t="n"/>
      <c r="BT15" s="137" t="n"/>
      <c r="BU15" s="137" t="n"/>
      <c r="BV15" s="137" t="n"/>
      <c r="BW15" s="137" t="n"/>
      <c r="BX15" s="137" t="n"/>
      <c r="BY15" s="137" t="n"/>
      <c r="BZ15" s="137" t="n"/>
      <c r="CA15" s="131" t="n"/>
      <c r="CB15" s="131" t="n"/>
      <c r="CC15" s="153" t="n">
        <v>-62.28435789813118</v>
      </c>
      <c r="CD15" s="154" t="n">
        <v>0</v>
      </c>
      <c r="CE15" s="154" t="str"/>
      <c r="CF15" s="154" t="str"/>
      <c r="CG15" s="154" t="str"/>
      <c r="CH15" s="154" t="str"/>
      <c r="CI15" s="154" t="str"/>
      <c r="CJ15" s="154" t="str"/>
      <c r="CK15" s="155" t="str"/>
      <c r="CL15" s="155" t="str"/>
      <c r="CM15" s="155" t="str"/>
      <c r="CN15" s="155" t="str"/>
      <c r="CO15" s="140" t="str"/>
      <c r="CP15" s="140" t="str"/>
      <c r="CQ15" s="141" t="str"/>
    </row>
    <row r="16" ht="17.25" customHeight="1" thickBot="1">
      <c r="A16" s="142" t="n"/>
      <c r="B16" s="157" t="n"/>
      <c r="C16" s="157" t="n"/>
      <c r="D16" s="143" t="n"/>
      <c r="E16" s="143" t="n"/>
      <c r="F16" s="4" t="n"/>
      <c r="G16" s="4" t="n"/>
      <c r="H16" s="144" t="n">
        <v>0</v>
      </c>
      <c r="I16" s="3" t="n"/>
      <c r="J16" s="4" t="n"/>
      <c r="K16" s="4" t="n"/>
      <c r="L16" s="116" t="n">
        <v>0</v>
      </c>
      <c r="M16" s="4" t="n"/>
      <c r="N16" s="158" t="n"/>
      <c r="P16" s="10" t="n"/>
      <c r="Q16" s="6" t="n"/>
      <c r="R16" s="6" t="n"/>
      <c r="S16" s="109" t="n"/>
      <c r="T16" s="8" t="n"/>
      <c r="U16" s="2" t="e">
        <v>#VALUE!</v>
      </c>
      <c r="X16" s="145" t="n">
        <v>1699.037374073919</v>
      </c>
      <c r="Y16" s="146" t="n">
        <v>0</v>
      </c>
      <c r="Z16" s="146" t="str"/>
      <c r="AA16" s="146" t="str"/>
      <c r="AB16" s="146" t="str"/>
      <c r="AC16" s="146" t="str"/>
      <c r="AD16" s="146" t="str"/>
      <c r="AE16" s="146" t="str"/>
      <c r="AF16" s="147" t="str"/>
      <c r="AG16" s="147" t="str"/>
      <c r="AH16" s="147" t="str"/>
      <c r="AI16" s="147" t="str"/>
      <c r="AJ16" s="147" t="str"/>
      <c r="AK16" s="147" t="str"/>
      <c r="AL16" s="148" t="str"/>
      <c r="AM16" s="131" t="n"/>
      <c r="AN16" s="131" t="n"/>
      <c r="AO16" s="149" t="n">
        <v>-62.28435789813118</v>
      </c>
      <c r="AP16" s="150" t="n">
        <v>0</v>
      </c>
      <c r="AQ16" s="150" t="n">
        <v>0</v>
      </c>
      <c r="AR16" s="150" t="n">
        <v>0</v>
      </c>
      <c r="AS16" s="150" t="n">
        <v>0</v>
      </c>
      <c r="AT16" s="150" t="n">
        <v>0</v>
      </c>
      <c r="AU16" s="150" t="n">
        <v>0</v>
      </c>
      <c r="AV16" s="150" t="n">
        <v>0</v>
      </c>
      <c r="AW16" s="151" t="n">
        <v>0</v>
      </c>
      <c r="AX16" s="151" t="n">
        <v>0</v>
      </c>
      <c r="AY16" s="151" t="n">
        <v>0</v>
      </c>
      <c r="AZ16" s="151" t="n">
        <v>0</v>
      </c>
      <c r="BA16" s="151" t="n">
        <v>0</v>
      </c>
      <c r="BB16" s="151" t="n">
        <v>0</v>
      </c>
      <c r="BC16" s="152" t="n">
        <v>0</v>
      </c>
      <c r="BD16" s="131" t="n"/>
      <c r="BE16" s="43" t="inlineStr">
        <is>
          <t>min(height)</t>
        </is>
      </c>
      <c r="BF16" s="44" t="n">
        <v>0</v>
      </c>
      <c r="BG16" s="131" t="n"/>
      <c r="BH16" s="131" t="n"/>
      <c r="BI16" s="131" t="n"/>
      <c r="BJ16" s="131" t="n"/>
      <c r="BK16" s="131" t="n"/>
      <c r="BL16" s="137" t="n"/>
      <c r="BM16" s="137" t="n"/>
      <c r="BN16" s="137" t="n"/>
      <c r="BO16" s="137" t="n"/>
      <c r="BP16" s="137" t="n"/>
      <c r="BQ16" s="137" t="n"/>
      <c r="BR16" s="137" t="n"/>
      <c r="BS16" s="137" t="n"/>
      <c r="BT16" s="137" t="n"/>
      <c r="BU16" s="137" t="n"/>
      <c r="BV16" s="137" t="n"/>
      <c r="BW16" s="137" t="n"/>
      <c r="BX16" s="137" t="n"/>
      <c r="BY16" s="137" t="n"/>
      <c r="BZ16" s="137" t="n"/>
      <c r="CA16" s="131" t="n"/>
      <c r="CB16" s="131" t="n"/>
      <c r="CC16" s="170" t="n">
        <v>-62.28435789813118</v>
      </c>
      <c r="CD16" s="171" t="n">
        <v>0</v>
      </c>
      <c r="CE16" s="171" t="n">
        <v>0</v>
      </c>
      <c r="CF16" s="171" t="n">
        <v>0</v>
      </c>
      <c r="CG16" s="171" t="n">
        <v>0</v>
      </c>
      <c r="CH16" s="139" t="str"/>
      <c r="CI16" s="139" t="str"/>
      <c r="CJ16" s="139" t="str"/>
      <c r="CK16" s="140" t="str"/>
      <c r="CL16" s="140" t="str"/>
      <c r="CM16" s="140" t="str"/>
      <c r="CN16" s="140" t="str"/>
      <c r="CO16" s="140" t="str"/>
      <c r="CP16" s="140" t="str"/>
      <c r="CQ16" s="141" t="str"/>
    </row>
    <row r="17" ht="17.25" customHeight="1" thickBot="1">
      <c r="A17" s="142" t="n"/>
      <c r="B17" s="157" t="n"/>
      <c r="C17" s="157" t="n"/>
      <c r="D17" s="143" t="n"/>
      <c r="E17" s="143" t="n"/>
      <c r="F17" s="4" t="n"/>
      <c r="G17" s="4" t="n"/>
      <c r="H17" s="144" t="n">
        <v>0</v>
      </c>
      <c r="I17" s="3" t="n"/>
      <c r="J17" s="4" t="n"/>
      <c r="K17" s="4" t="n"/>
      <c r="L17" s="116" t="n">
        <v>0</v>
      </c>
      <c r="M17" s="172" t="n"/>
      <c r="N17" s="158" t="n"/>
      <c r="X17" s="145" t="n">
        <v>1699.037374073919</v>
      </c>
      <c r="Y17" s="146" t="n">
        <v>0</v>
      </c>
      <c r="Z17" s="146" t="str"/>
      <c r="AA17" s="146" t="str"/>
      <c r="AB17" s="146" t="str"/>
      <c r="AC17" s="146" t="str"/>
      <c r="AD17" s="146" t="str"/>
      <c r="AE17" s="146" t="str"/>
      <c r="AF17" s="147" t="str"/>
      <c r="AG17" s="147" t="str"/>
      <c r="AH17" s="147" t="str"/>
      <c r="AI17" s="147" t="str"/>
      <c r="AJ17" s="147" t="str"/>
      <c r="AK17" s="147" t="str"/>
      <c r="AL17" s="148" t="str"/>
      <c r="AM17" s="131" t="n"/>
      <c r="AN17" s="131" t="n"/>
      <c r="AO17" s="149" t="n">
        <v>-62.28435789813118</v>
      </c>
      <c r="AP17" s="150" t="n">
        <v>0</v>
      </c>
      <c r="AQ17" s="150" t="n">
        <v>0</v>
      </c>
      <c r="AR17" s="150" t="n">
        <v>0</v>
      </c>
      <c r="AS17" s="150" t="n">
        <v>0</v>
      </c>
      <c r="AT17" s="150" t="n">
        <v>0</v>
      </c>
      <c r="AU17" s="150" t="n">
        <v>0</v>
      </c>
      <c r="AV17" s="150" t="n">
        <v>0</v>
      </c>
      <c r="AW17" s="151" t="n">
        <v>0</v>
      </c>
      <c r="AX17" s="151" t="n">
        <v>0</v>
      </c>
      <c r="AY17" s="151" t="n">
        <v>0</v>
      </c>
      <c r="AZ17" s="151" t="n">
        <v>0</v>
      </c>
      <c r="BA17" s="151" t="n">
        <v>0</v>
      </c>
      <c r="BB17" s="151" t="n">
        <v>0</v>
      </c>
      <c r="BC17" s="152" t="n">
        <v>0</v>
      </c>
      <c r="BD17" s="131" t="n"/>
      <c r="BE17" s="46" t="inlineStr">
        <is>
          <t>height difference</t>
        </is>
      </c>
      <c r="BF17" s="47" t="e">
        <v>#VALUE!</v>
      </c>
      <c r="BG17" s="131" t="n"/>
      <c r="BH17" s="131" t="n"/>
      <c r="BI17" s="131" t="n"/>
      <c r="BJ17" s="131" t="n"/>
      <c r="BK17" s="131" t="n"/>
      <c r="BL17" s="137" t="n"/>
      <c r="BM17" s="137" t="n"/>
      <c r="BN17" s="137" t="n"/>
      <c r="BO17" s="137" t="n"/>
      <c r="BP17" s="137" t="n"/>
      <c r="BQ17" s="137" t="n"/>
      <c r="BR17" s="137" t="n"/>
      <c r="BS17" s="137" t="n"/>
      <c r="BT17" s="137" t="n"/>
      <c r="BU17" s="137" t="n"/>
      <c r="BV17" s="137" t="n"/>
      <c r="BW17" s="137" t="n"/>
      <c r="BX17" s="137" t="n"/>
      <c r="BY17" s="137" t="n"/>
      <c r="BZ17" s="137" t="n"/>
      <c r="CA17" s="131" t="n"/>
      <c r="CB17" s="131" t="n"/>
      <c r="CC17" s="170" t="n">
        <v>-62.28435789813118</v>
      </c>
      <c r="CD17" s="171" t="n">
        <v>0</v>
      </c>
      <c r="CE17" s="171" t="n">
        <v>0</v>
      </c>
      <c r="CF17" s="171" t="n">
        <v>0</v>
      </c>
      <c r="CG17" s="171" t="n">
        <v>0</v>
      </c>
      <c r="CH17" s="154" t="str"/>
      <c r="CI17" s="154" t="str"/>
      <c r="CJ17" s="154" t="str"/>
      <c r="CK17" s="155" t="str"/>
      <c r="CL17" s="155" t="str"/>
      <c r="CM17" s="155" t="str"/>
      <c r="CN17" s="155" t="str"/>
      <c r="CO17" s="140" t="str"/>
      <c r="CP17" s="140" t="str"/>
      <c r="CQ17" s="141" t="str"/>
    </row>
    <row r="18" ht="17.25" customHeight="1" thickBot="1">
      <c r="A18" s="142" t="n"/>
      <c r="B18" s="157" t="n"/>
      <c r="C18" s="157" t="n"/>
      <c r="D18" s="143" t="n"/>
      <c r="E18" s="143" t="n"/>
      <c r="F18" s="4" t="n"/>
      <c r="G18" s="4" t="n"/>
      <c r="H18" s="144" t="n">
        <v>0</v>
      </c>
      <c r="I18" s="3" t="n"/>
      <c r="J18" s="4" t="n"/>
      <c r="K18" s="4" t="n"/>
      <c r="L18" s="116" t="n">
        <v>0</v>
      </c>
      <c r="M18" s="172" t="n"/>
      <c r="N18" s="158" t="n"/>
      <c r="U18" s="24" t="inlineStr">
        <is>
          <t>Master_Scale</t>
        </is>
      </c>
      <c r="X18" s="145" t="n">
        <v>1699.037374073919</v>
      </c>
      <c r="Y18" s="146" t="n">
        <v>0</v>
      </c>
      <c r="Z18" s="146" t="str"/>
      <c r="AA18" s="146" t="str"/>
      <c r="AB18" s="146" t="str"/>
      <c r="AC18" s="146" t="str"/>
      <c r="AD18" s="146" t="str"/>
      <c r="AE18" s="146" t="str"/>
      <c r="AF18" s="147" t="str"/>
      <c r="AG18" s="147" t="str"/>
      <c r="AH18" s="147" t="str"/>
      <c r="AI18" s="147" t="str"/>
      <c r="AJ18" s="147" t="str"/>
      <c r="AK18" s="147" t="str"/>
      <c r="AL18" s="148" t="str"/>
      <c r="AM18" s="131" t="n"/>
      <c r="AN18" s="131" t="n"/>
      <c r="AO18" s="149" t="n">
        <v>-62.28435789813118</v>
      </c>
      <c r="AP18" s="150" t="n">
        <v>0</v>
      </c>
      <c r="AQ18" s="150" t="n">
        <v>0</v>
      </c>
      <c r="AR18" s="150" t="n">
        <v>0</v>
      </c>
      <c r="AS18" s="150" t="n">
        <v>0</v>
      </c>
      <c r="AT18" s="150" t="n">
        <v>0</v>
      </c>
      <c r="AU18" s="150" t="n">
        <v>0</v>
      </c>
      <c r="AV18" s="150" t="n">
        <v>0</v>
      </c>
      <c r="AW18" s="151" t="n">
        <v>0</v>
      </c>
      <c r="AX18" s="151" t="n">
        <v>0</v>
      </c>
      <c r="AY18" s="151" t="n">
        <v>0</v>
      </c>
      <c r="AZ18" s="151" t="n">
        <v>0</v>
      </c>
      <c r="BA18" s="151" t="n">
        <v>0</v>
      </c>
      <c r="BB18" s="151" t="n">
        <v>0</v>
      </c>
      <c r="BC18" s="152" t="n">
        <v>0</v>
      </c>
      <c r="BD18" s="131" t="n"/>
      <c r="BE18" s="46" t="inlineStr">
        <is>
          <t>len barrier</t>
        </is>
      </c>
      <c r="BF18" s="47" t="e">
        <v>#VALUE!</v>
      </c>
      <c r="BG18" s="131" t="n"/>
      <c r="BH18" s="131" t="n"/>
      <c r="BI18" s="131" t="n"/>
      <c r="BJ18" s="131" t="n"/>
      <c r="BK18" s="131" t="n"/>
      <c r="BL18" s="137" t="n"/>
      <c r="BM18" s="137" t="n"/>
      <c r="BN18" s="137" t="n"/>
      <c r="BO18" s="137" t="n"/>
      <c r="BP18" s="137" t="n"/>
      <c r="BQ18" s="137" t="n"/>
      <c r="BR18" s="137" t="n"/>
      <c r="BS18" s="137" t="n"/>
      <c r="BT18" s="137" t="n"/>
      <c r="BU18" s="137" t="n"/>
      <c r="BV18" s="137" t="n"/>
      <c r="BW18" s="137" t="n"/>
      <c r="BX18" s="137" t="n"/>
      <c r="BY18" s="137" t="n"/>
      <c r="BZ18" s="137" t="n"/>
      <c r="CA18" s="131" t="n"/>
      <c r="CB18" s="131" t="n"/>
      <c r="CC18" s="170" t="n">
        <v>-62.28435789813118</v>
      </c>
      <c r="CD18" s="171" t="n">
        <v>0</v>
      </c>
      <c r="CE18" s="171" t="n">
        <v>0</v>
      </c>
      <c r="CF18" s="171" t="n">
        <v>0</v>
      </c>
      <c r="CG18" s="171" t="n">
        <v>0</v>
      </c>
      <c r="CH18" s="154" t="str"/>
      <c r="CI18" s="171" t="str"/>
      <c r="CJ18" s="171" t="str"/>
      <c r="CK18" s="173" t="str"/>
      <c r="CL18" s="173" t="str"/>
      <c r="CM18" s="173" t="str"/>
      <c r="CN18" s="173" t="str"/>
      <c r="CO18" s="173" t="str"/>
      <c r="CP18" s="173" t="str"/>
      <c r="CQ18" s="174" t="str"/>
    </row>
    <row r="19" ht="17.25" customHeight="1" thickBot="1">
      <c r="A19" s="142" t="n"/>
      <c r="B19" s="157" t="n"/>
      <c r="C19" s="157" t="n"/>
      <c r="D19" s="143" t="n"/>
      <c r="E19" s="143" t="n"/>
      <c r="F19" s="4" t="n"/>
      <c r="G19" s="4" t="n"/>
      <c r="H19" s="144" t="n">
        <v>0</v>
      </c>
      <c r="I19" s="3" t="n"/>
      <c r="J19" s="4" t="n"/>
      <c r="K19" s="4" t="n"/>
      <c r="L19" s="116" t="n">
        <v>0</v>
      </c>
      <c r="M19" s="172" t="n"/>
      <c r="N19" s="158" t="n"/>
      <c r="P19" s="24" t="inlineStr">
        <is>
          <t>Barriers</t>
        </is>
      </c>
      <c r="Q19" s="21" t="n"/>
      <c r="R19" s="21" t="n"/>
      <c r="S19" s="21" t="n"/>
      <c r="U19" s="24" t="inlineStr">
        <is>
          <t>Know Distance (ft)</t>
        </is>
      </c>
      <c r="V19" s="24" t="inlineStr">
        <is>
          <t>Image Distance (px)</t>
        </is>
      </c>
      <c r="X19" s="145" t="n">
        <v>1699.037374073919</v>
      </c>
      <c r="Y19" s="146" t="n">
        <v>0</v>
      </c>
      <c r="Z19" s="146" t="str"/>
      <c r="AA19" s="146" t="str"/>
      <c r="AB19" s="146" t="str"/>
      <c r="AC19" s="146" t="str"/>
      <c r="AD19" s="146" t="str"/>
      <c r="AE19" s="146" t="str"/>
      <c r="AF19" s="147" t="str"/>
      <c r="AG19" s="147" t="str"/>
      <c r="AH19" s="147" t="str"/>
      <c r="AI19" s="147" t="str"/>
      <c r="AJ19" s="147" t="str"/>
      <c r="AK19" s="147" t="str"/>
      <c r="AL19" s="148" t="str"/>
      <c r="AM19" s="131" t="n"/>
      <c r="AN19" s="131" t="n"/>
      <c r="AO19" s="149" t="n">
        <v>-62.28435789813118</v>
      </c>
      <c r="AP19" s="150" t="n">
        <v>0</v>
      </c>
      <c r="AQ19" s="150" t="n">
        <v>0</v>
      </c>
      <c r="AR19" s="150" t="n">
        <v>0</v>
      </c>
      <c r="AS19" s="150" t="n">
        <v>0</v>
      </c>
      <c r="AT19" s="150" t="n">
        <v>0</v>
      </c>
      <c r="AU19" s="150" t="n">
        <v>0</v>
      </c>
      <c r="AV19" s="150" t="n">
        <v>0</v>
      </c>
      <c r="AW19" s="151" t="n">
        <v>0</v>
      </c>
      <c r="AX19" s="151" t="n">
        <v>0</v>
      </c>
      <c r="AY19" s="151" t="n">
        <v>0</v>
      </c>
      <c r="AZ19" s="151" t="n">
        <v>0</v>
      </c>
      <c r="BA19" s="151" t="n">
        <v>0</v>
      </c>
      <c r="BB19" s="151" t="n">
        <v>0</v>
      </c>
      <c r="BC19" s="152" t="n">
        <v>0</v>
      </c>
      <c r="BD19" s="131" t="n"/>
      <c r="BE19" s="46" t="inlineStr">
        <is>
          <t>slope</t>
        </is>
      </c>
      <c r="BF19" s="47" t="e">
        <v>#VALUE!</v>
      </c>
      <c r="BG19" s="131" t="n"/>
      <c r="BH19" s="131" t="n"/>
      <c r="BI19" s="131" t="n"/>
      <c r="BJ19" s="131" t="n"/>
      <c r="BK19" s="131" t="n"/>
      <c r="BL19" s="137" t="n"/>
      <c r="BM19" s="137" t="n"/>
      <c r="BN19" s="137" t="n"/>
      <c r="BO19" s="137" t="n"/>
      <c r="BP19" s="137" t="n"/>
      <c r="BQ19" s="137" t="n"/>
      <c r="BR19" s="137" t="n"/>
      <c r="BS19" s="137" t="n"/>
      <c r="BT19" s="137" t="n"/>
      <c r="BU19" s="137" t="n"/>
      <c r="BV19" s="137" t="n"/>
      <c r="BW19" s="137" t="n"/>
      <c r="BX19" s="137" t="n"/>
      <c r="BY19" s="137" t="n"/>
      <c r="BZ19" s="137" t="n"/>
      <c r="CA19" s="131" t="n"/>
      <c r="CB19" s="131" t="n"/>
      <c r="CC19" s="170" t="n">
        <v>-62.28435789813118</v>
      </c>
      <c r="CD19" s="171" t="n">
        <v>0</v>
      </c>
      <c r="CE19" s="171" t="n">
        <v>0</v>
      </c>
      <c r="CF19" s="171" t="n">
        <v>0</v>
      </c>
      <c r="CG19" s="171" t="n">
        <v>0</v>
      </c>
      <c r="CH19" s="171" t="n">
        <v>0</v>
      </c>
      <c r="CI19" s="171" t="n">
        <v>0</v>
      </c>
      <c r="CJ19" s="171" t="n">
        <v>0</v>
      </c>
      <c r="CK19" s="173" t="n">
        <v>0</v>
      </c>
      <c r="CL19" s="173" t="n">
        <v>0</v>
      </c>
      <c r="CM19" s="173" t="n">
        <v>0</v>
      </c>
      <c r="CN19" s="173" t="n">
        <v>0</v>
      </c>
      <c r="CO19" s="173" t="n">
        <v>0</v>
      </c>
      <c r="CP19" s="173" t="n">
        <v>0</v>
      </c>
      <c r="CQ19" s="174" t="n">
        <v>0</v>
      </c>
    </row>
    <row r="20" ht="17.25" customHeight="1" thickBot="1">
      <c r="A20" s="142" t="n"/>
      <c r="B20" s="157" t="n"/>
      <c r="C20" s="157" t="n"/>
      <c r="D20" s="143" t="n"/>
      <c r="E20" s="143" t="n"/>
      <c r="F20" s="4" t="n"/>
      <c r="G20" s="4" t="n"/>
      <c r="H20" s="144" t="n">
        <v>0</v>
      </c>
      <c r="I20" s="3" t="n"/>
      <c r="J20" s="4" t="n"/>
      <c r="K20" s="4" t="n"/>
      <c r="L20" s="116" t="n">
        <v>0</v>
      </c>
      <c r="M20" s="172" t="n"/>
      <c r="N20" s="158" t="n"/>
      <c r="P20" s="24" t="n"/>
      <c r="Q20" s="53" t="inlineStr">
        <is>
          <t>X</t>
        </is>
      </c>
      <c r="R20" s="53" t="inlineStr">
        <is>
          <t>Y</t>
        </is>
      </c>
      <c r="S20" s="54" t="inlineStr">
        <is>
          <t>Z</t>
        </is>
      </c>
      <c r="U20" s="117" t="n">
        <v>234</v>
      </c>
      <c r="V20" s="118" t="n">
        <v>274.0072991728505</v>
      </c>
      <c r="X20" s="145" t="n">
        <v>1699.037374073919</v>
      </c>
      <c r="Y20" s="146" t="n">
        <v>0</v>
      </c>
      <c r="Z20" s="146" t="str"/>
      <c r="AA20" s="146" t="str"/>
      <c r="AB20" s="146" t="str"/>
      <c r="AC20" s="146" t="str"/>
      <c r="AD20" s="146" t="str"/>
      <c r="AE20" s="146" t="str"/>
      <c r="AF20" s="147" t="str"/>
      <c r="AG20" s="147" t="str"/>
      <c r="AH20" s="147" t="str"/>
      <c r="AI20" s="147" t="str"/>
      <c r="AJ20" s="147" t="str"/>
      <c r="AK20" s="147" t="str"/>
      <c r="AL20" s="148" t="str"/>
      <c r="AM20" s="131" t="n"/>
      <c r="AN20" s="131" t="n"/>
      <c r="AO20" s="149" t="n">
        <v>-62.28435789813118</v>
      </c>
      <c r="AP20" s="150" t="n">
        <v>0</v>
      </c>
      <c r="AQ20" s="150" t="n">
        <v>0</v>
      </c>
      <c r="AR20" s="150" t="n">
        <v>0</v>
      </c>
      <c r="AS20" s="150" t="n">
        <v>0</v>
      </c>
      <c r="AT20" s="150" t="n">
        <v>0</v>
      </c>
      <c r="AU20" s="150" t="n">
        <v>0</v>
      </c>
      <c r="AV20" s="150" t="n">
        <v>0</v>
      </c>
      <c r="AW20" s="151" t="n">
        <v>0</v>
      </c>
      <c r="AX20" s="151" t="n">
        <v>0</v>
      </c>
      <c r="AY20" s="151" t="n">
        <v>0</v>
      </c>
      <c r="AZ20" s="151" t="n">
        <v>0</v>
      </c>
      <c r="BA20" s="151" t="n">
        <v>0</v>
      </c>
      <c r="BB20" s="151" t="n">
        <v>0</v>
      </c>
      <c r="BC20" s="152" t="n">
        <v>0</v>
      </c>
      <c r="BD20" s="131" t="n"/>
      <c r="BE20" s="46" t="inlineStr">
        <is>
          <t>dist to x</t>
        </is>
      </c>
      <c r="BF20" s="48" t="e">
        <v>#VALUE!</v>
      </c>
      <c r="BG20" s="131" t="n"/>
      <c r="BH20" s="131" t="n"/>
      <c r="BI20" s="131" t="n"/>
      <c r="BJ20" s="131" t="n"/>
      <c r="BK20" s="131" t="n"/>
      <c r="BL20" s="137" t="n"/>
      <c r="BM20" s="137" t="n"/>
      <c r="BN20" s="137" t="n"/>
      <c r="BO20" s="137" t="n"/>
      <c r="BP20" s="137" t="n"/>
      <c r="BQ20" s="137" t="n"/>
      <c r="BR20" s="137" t="n"/>
      <c r="BS20" s="137" t="n"/>
      <c r="BT20" s="137" t="n"/>
      <c r="BU20" s="137" t="n"/>
      <c r="BV20" s="137" t="n"/>
      <c r="BW20" s="137" t="n"/>
      <c r="BX20" s="137" t="n"/>
      <c r="BY20" s="137" t="n"/>
      <c r="BZ20" s="137" t="n"/>
      <c r="CA20" s="131" t="n"/>
      <c r="CB20" s="131" t="n"/>
      <c r="CC20" s="170" t="n">
        <v>-62.28435789813118</v>
      </c>
      <c r="CD20" s="171" t="n">
        <v>0</v>
      </c>
      <c r="CE20" s="171" t="n">
        <v>0</v>
      </c>
      <c r="CF20" s="171" t="n">
        <v>0</v>
      </c>
      <c r="CG20" s="171" t="n">
        <v>0</v>
      </c>
      <c r="CH20" s="171" t="n">
        <v>0</v>
      </c>
      <c r="CI20" s="171" t="n">
        <v>0</v>
      </c>
      <c r="CJ20" s="171" t="n">
        <v>0</v>
      </c>
      <c r="CK20" s="173" t="n">
        <v>0</v>
      </c>
      <c r="CL20" s="173" t="n">
        <v>0</v>
      </c>
      <c r="CM20" s="173" t="n">
        <v>0</v>
      </c>
      <c r="CN20" s="173" t="n">
        <v>0</v>
      </c>
      <c r="CO20" s="173" t="n">
        <v>0</v>
      </c>
      <c r="CP20" s="173" t="n">
        <v>0</v>
      </c>
      <c r="CQ20" s="174" t="n">
        <v>0</v>
      </c>
    </row>
    <row r="21" ht="17.25" customHeight="1" thickBot="1">
      <c r="A21" s="142" t="n"/>
      <c r="B21" s="157" t="n"/>
      <c r="C21" s="157" t="n"/>
      <c r="D21" s="143" t="n"/>
      <c r="E21" s="143" t="n"/>
      <c r="F21" s="4" t="n"/>
      <c r="G21" s="4" t="n"/>
      <c r="H21" s="144" t="n">
        <v>0</v>
      </c>
      <c r="I21" s="3" t="n"/>
      <c r="J21" s="4" t="n"/>
      <c r="K21" s="4" t="n"/>
      <c r="L21" s="116" t="n">
        <v>0</v>
      </c>
      <c r="M21" s="172" t="n"/>
      <c r="N21" s="158" t="n"/>
      <c r="P21" s="110" t="n"/>
      <c r="Q21" s="111" t="n"/>
      <c r="R21" s="111" t="n"/>
      <c r="S21" s="112" t="n"/>
      <c r="X21" s="145" t="n">
        <v>1699.037374073919</v>
      </c>
      <c r="Y21" s="146" t="n">
        <v>0</v>
      </c>
      <c r="Z21" s="146" t="str"/>
      <c r="AA21" s="146" t="str"/>
      <c r="AB21" s="146" t="str"/>
      <c r="AC21" s="146" t="str"/>
      <c r="AD21" s="146" t="str"/>
      <c r="AE21" s="146" t="str"/>
      <c r="AF21" s="147" t="str"/>
      <c r="AG21" s="147" t="str"/>
      <c r="AH21" s="147" t="str"/>
      <c r="AI21" s="147" t="str"/>
      <c r="AJ21" s="147" t="str"/>
      <c r="AK21" s="147" t="str"/>
      <c r="AL21" s="148" t="str"/>
      <c r="AM21" s="131" t="n"/>
      <c r="AN21" s="131" t="n"/>
      <c r="AO21" s="149" t="n">
        <v>-62.28435789813118</v>
      </c>
      <c r="AP21" s="150" t="n">
        <v>0</v>
      </c>
      <c r="AQ21" s="150" t="n">
        <v>0</v>
      </c>
      <c r="AR21" s="150" t="n">
        <v>0</v>
      </c>
      <c r="AS21" s="150" t="n">
        <v>0</v>
      </c>
      <c r="AT21" s="150" t="n">
        <v>0</v>
      </c>
      <c r="AU21" s="150" t="n">
        <v>0</v>
      </c>
      <c r="AV21" s="150" t="n">
        <v>0</v>
      </c>
      <c r="AW21" s="151" t="n">
        <v>0</v>
      </c>
      <c r="AX21" s="151" t="n">
        <v>0</v>
      </c>
      <c r="AY21" s="151" t="n">
        <v>0</v>
      </c>
      <c r="AZ21" s="151" t="n">
        <v>0</v>
      </c>
      <c r="BA21" s="151" t="n">
        <v>0</v>
      </c>
      <c r="BB21" s="151" t="n">
        <v>0</v>
      </c>
      <c r="BC21" s="152" t="n">
        <v>0</v>
      </c>
      <c r="BD21" s="131" t="n"/>
      <c r="BE21" s="49" t="inlineStr">
        <is>
          <t>Bar Height to Use</t>
        </is>
      </c>
      <c r="BF21" s="50" t="e">
        <v>#VALUE!</v>
      </c>
      <c r="BG21" s="131" t="n"/>
      <c r="BH21" s="131" t="n"/>
      <c r="BI21" s="131" t="n"/>
      <c r="BJ21" s="131" t="n"/>
      <c r="BK21" s="131" t="n"/>
      <c r="BL21" s="137" t="n"/>
      <c r="BM21" s="137" t="n"/>
      <c r="BN21" s="137" t="n"/>
      <c r="BO21" s="137" t="n"/>
      <c r="BP21" s="137" t="n"/>
      <c r="BQ21" s="137" t="n"/>
      <c r="BR21" s="137" t="n"/>
      <c r="BS21" s="137" t="n"/>
      <c r="BT21" s="137" t="n"/>
      <c r="BU21" s="137" t="n"/>
      <c r="BV21" s="137" t="n"/>
      <c r="BW21" s="137" t="n"/>
      <c r="BX21" s="137" t="n"/>
      <c r="BY21" s="137" t="n"/>
      <c r="BZ21" s="137" t="n"/>
      <c r="CA21" s="131" t="n"/>
      <c r="CB21" s="131" t="n"/>
      <c r="CC21" s="170" t="n">
        <v>-62.28435789813118</v>
      </c>
      <c r="CD21" s="171" t="n">
        <v>0</v>
      </c>
      <c r="CE21" s="171" t="n">
        <v>0</v>
      </c>
      <c r="CF21" s="171" t="n">
        <v>0</v>
      </c>
      <c r="CG21" s="171" t="n">
        <v>0</v>
      </c>
      <c r="CH21" s="171" t="n">
        <v>0</v>
      </c>
      <c r="CI21" s="171" t="n">
        <v>0</v>
      </c>
      <c r="CJ21" s="171" t="n">
        <v>0</v>
      </c>
      <c r="CK21" s="173" t="n">
        <v>0</v>
      </c>
      <c r="CL21" s="173" t="n">
        <v>0</v>
      </c>
      <c r="CM21" s="173" t="n">
        <v>0</v>
      </c>
      <c r="CN21" s="173" t="n">
        <v>0</v>
      </c>
      <c r="CO21" s="173" t="n">
        <v>0</v>
      </c>
      <c r="CP21" s="173" t="n">
        <v>0</v>
      </c>
      <c r="CQ21" s="174" t="n">
        <v>0</v>
      </c>
    </row>
    <row r="22" ht="16.5" customHeight="1">
      <c r="A22" s="142" t="n"/>
      <c r="B22" s="157" t="n"/>
      <c r="C22" s="157" t="n"/>
      <c r="D22" s="143" t="n"/>
      <c r="E22" s="143" t="n"/>
      <c r="F22" s="4" t="n"/>
      <c r="G22" s="4" t="n"/>
      <c r="H22" s="144" t="n">
        <v>0</v>
      </c>
      <c r="I22" s="3" t="n"/>
      <c r="J22" s="4" t="n"/>
      <c r="K22" s="4" t="n"/>
      <c r="L22" s="116" t="n">
        <v>0</v>
      </c>
      <c r="M22" s="172" t="n"/>
      <c r="N22" s="158" t="n"/>
      <c r="P22" s="55" t="n"/>
      <c r="Q22" s="56" t="n"/>
      <c r="R22" s="56" t="n"/>
      <c r="S22" s="57" t="n"/>
      <c r="X22" s="145" t="n">
        <v>1699.037374073919</v>
      </c>
      <c r="Y22" s="146" t="n">
        <v>0</v>
      </c>
      <c r="Z22" s="146" t="str"/>
      <c r="AA22" s="146" t="str"/>
      <c r="AB22" s="146" t="str"/>
      <c r="AC22" s="146" t="str"/>
      <c r="AD22" s="146" t="str"/>
      <c r="AE22" s="146" t="str"/>
      <c r="AF22" s="147" t="str"/>
      <c r="AG22" s="147" t="str"/>
      <c r="AH22" s="147" t="str"/>
      <c r="AI22" s="147" t="str"/>
      <c r="AJ22" s="147" t="str"/>
      <c r="AK22" s="147" t="str"/>
      <c r="AL22" s="148" t="str"/>
      <c r="AM22" s="131" t="n"/>
      <c r="AN22" s="131" t="n"/>
      <c r="AO22" s="149" t="n">
        <v>-62.28435789813118</v>
      </c>
      <c r="AP22" s="150" t="n">
        <v>0</v>
      </c>
      <c r="AQ22" s="150" t="n">
        <v>0</v>
      </c>
      <c r="AR22" s="150" t="n">
        <v>0</v>
      </c>
      <c r="AS22" s="150" t="n">
        <v>0</v>
      </c>
      <c r="AT22" s="150" t="n">
        <v>0</v>
      </c>
      <c r="AU22" s="150" t="n">
        <v>0</v>
      </c>
      <c r="AV22" s="150" t="n">
        <v>0</v>
      </c>
      <c r="AW22" s="151" t="n">
        <v>0</v>
      </c>
      <c r="AX22" s="151" t="n">
        <v>0</v>
      </c>
      <c r="AY22" s="151" t="n">
        <v>0</v>
      </c>
      <c r="AZ22" s="151" t="n">
        <v>0</v>
      </c>
      <c r="BA22" s="151" t="n">
        <v>0</v>
      </c>
      <c r="BB22" s="151" t="n">
        <v>0</v>
      </c>
      <c r="BC22" s="152" t="n">
        <v>0</v>
      </c>
      <c r="BD22" s="131" t="n"/>
      <c r="BE22" s="21" t="inlineStr">
        <is>
          <t>new barrier height q^</t>
        </is>
      </c>
      <c r="BF22" s="21" t="n"/>
      <c r="BG22" s="131" t="n"/>
      <c r="BH22" s="131" t="n"/>
      <c r="BI22" s="131" t="n"/>
      <c r="BJ22" s="131" t="n"/>
      <c r="BK22" s="131" t="n"/>
      <c r="BL22" s="137" t="n"/>
      <c r="BM22" s="137" t="n"/>
      <c r="BN22" s="137" t="n"/>
      <c r="BO22" s="137" t="n"/>
      <c r="BP22" s="137" t="n"/>
      <c r="BQ22" s="137" t="n"/>
      <c r="BR22" s="137" t="n"/>
      <c r="BS22" s="137" t="n"/>
      <c r="BT22" s="137" t="n"/>
      <c r="BU22" s="137" t="n"/>
      <c r="BV22" s="137" t="n"/>
      <c r="BW22" s="137" t="n"/>
      <c r="BX22" s="137" t="n"/>
      <c r="BY22" s="137" t="n"/>
      <c r="BZ22" s="137" t="n"/>
      <c r="CA22" s="131" t="n"/>
      <c r="CB22" s="131" t="n"/>
      <c r="CC22" s="170" t="n">
        <v>-62.28435789813118</v>
      </c>
      <c r="CD22" s="171" t="n">
        <v>0</v>
      </c>
      <c r="CE22" s="171" t="n">
        <v>0</v>
      </c>
      <c r="CF22" s="171" t="n">
        <v>0</v>
      </c>
      <c r="CG22" s="171" t="n">
        <v>0</v>
      </c>
      <c r="CH22" s="171" t="n">
        <v>0</v>
      </c>
      <c r="CI22" s="171" t="n">
        <v>0</v>
      </c>
      <c r="CJ22" s="171" t="n">
        <v>0</v>
      </c>
      <c r="CK22" s="173" t="n">
        <v>0</v>
      </c>
      <c r="CL22" s="173" t="n">
        <v>0</v>
      </c>
      <c r="CM22" s="173" t="n">
        <v>0</v>
      </c>
      <c r="CN22" s="173" t="n">
        <v>0</v>
      </c>
      <c r="CO22" s="173" t="n">
        <v>0</v>
      </c>
      <c r="CP22" s="173" t="n">
        <v>0</v>
      </c>
      <c r="CQ22" s="174" t="n">
        <v>0</v>
      </c>
    </row>
    <row r="23" ht="16.5" customHeight="1">
      <c r="A23" s="142" t="n"/>
      <c r="B23" s="157" t="n"/>
      <c r="C23" s="157" t="n"/>
      <c r="D23" s="143" t="n"/>
      <c r="E23" s="143" t="n"/>
      <c r="F23" s="4" t="n"/>
      <c r="G23" s="4" t="n"/>
      <c r="H23" s="144" t="n">
        <v>0</v>
      </c>
      <c r="I23" s="3" t="n"/>
      <c r="J23" s="4" t="n"/>
      <c r="K23" s="4" t="n"/>
      <c r="L23" s="116" t="n">
        <v>0</v>
      </c>
      <c r="M23" s="172" t="n"/>
      <c r="N23" s="158" t="n"/>
      <c r="P23" s="55" t="n"/>
      <c r="Q23" s="56" t="n"/>
      <c r="R23" s="56" t="n"/>
      <c r="S23" s="57" t="n"/>
      <c r="X23" s="145" t="n">
        <v>1699.037374073919</v>
      </c>
      <c r="Y23" s="146" t="n">
        <v>0</v>
      </c>
      <c r="Z23" s="146" t="str"/>
      <c r="AA23" s="146" t="str"/>
      <c r="AB23" s="146" t="str"/>
      <c r="AC23" s="146" t="str"/>
      <c r="AD23" s="146" t="str"/>
      <c r="AE23" s="146" t="str"/>
      <c r="AF23" s="147" t="str"/>
      <c r="AG23" s="147" t="str"/>
      <c r="AH23" s="147" t="str"/>
      <c r="AI23" s="147" t="str"/>
      <c r="AJ23" s="147" t="str"/>
      <c r="AK23" s="147" t="str"/>
      <c r="AL23" s="148" t="str"/>
      <c r="AM23" s="131" t="n"/>
      <c r="AN23" s="131" t="n"/>
      <c r="AO23" s="149" t="n">
        <v>-62.28435789813118</v>
      </c>
      <c r="AP23" s="150" t="n">
        <v>0</v>
      </c>
      <c r="AQ23" s="150" t="n">
        <v>0</v>
      </c>
      <c r="AR23" s="150" t="n">
        <v>0</v>
      </c>
      <c r="AS23" s="150" t="n">
        <v>0</v>
      </c>
      <c r="AT23" s="150" t="n">
        <v>0</v>
      </c>
      <c r="AU23" s="150" t="n">
        <v>0</v>
      </c>
      <c r="AV23" s="150" t="n">
        <v>0</v>
      </c>
      <c r="AW23" s="151" t="n">
        <v>0</v>
      </c>
      <c r="AX23" s="151" t="n">
        <v>0</v>
      </c>
      <c r="AY23" s="151" t="n">
        <v>0</v>
      </c>
      <c r="AZ23" s="151" t="n">
        <v>0</v>
      </c>
      <c r="BA23" s="151" t="n">
        <v>0</v>
      </c>
      <c r="BB23" s="151" t="n">
        <v>0</v>
      </c>
      <c r="BC23" s="152" t="n">
        <v>0</v>
      </c>
      <c r="BD23" s="131" t="n"/>
      <c r="BE23" s="131" t="n"/>
      <c r="BF23" s="131" t="n"/>
      <c r="BG23" s="131" t="n"/>
      <c r="BH23" s="131" t="n"/>
      <c r="BI23" s="131" t="n"/>
      <c r="BJ23" s="131" t="n"/>
      <c r="BK23" s="131" t="n"/>
      <c r="BL23" s="137" t="n"/>
      <c r="BM23" s="137" t="n"/>
      <c r="BN23" s="137" t="n"/>
      <c r="BO23" s="137" t="n"/>
      <c r="BP23" s="137" t="n"/>
      <c r="BQ23" s="137" t="n"/>
      <c r="BR23" s="137" t="n"/>
      <c r="BS23" s="137" t="n"/>
      <c r="BT23" s="137" t="n"/>
      <c r="BU23" s="137" t="n"/>
      <c r="BV23" s="137" t="n"/>
      <c r="BW23" s="137" t="n"/>
      <c r="BX23" s="137" t="n"/>
      <c r="BY23" s="137" t="n"/>
      <c r="BZ23" s="137" t="n"/>
      <c r="CA23" s="131" t="n"/>
      <c r="CB23" s="131" t="n"/>
      <c r="CC23" s="170" t="n">
        <v>-62.28435789813118</v>
      </c>
      <c r="CD23" s="171" t="n">
        <v>0</v>
      </c>
      <c r="CE23" s="171" t="n">
        <v>0</v>
      </c>
      <c r="CF23" s="171" t="n">
        <v>0</v>
      </c>
      <c r="CG23" s="171" t="n">
        <v>0</v>
      </c>
      <c r="CH23" s="171" t="n">
        <v>0</v>
      </c>
      <c r="CI23" s="171" t="n">
        <v>0</v>
      </c>
      <c r="CJ23" s="171" t="n">
        <v>0</v>
      </c>
      <c r="CK23" s="173" t="n">
        <v>0</v>
      </c>
      <c r="CL23" s="173" t="n">
        <v>0</v>
      </c>
      <c r="CM23" s="173" t="n">
        <v>0</v>
      </c>
      <c r="CN23" s="173" t="n">
        <v>0</v>
      </c>
      <c r="CO23" s="173" t="n">
        <v>0</v>
      </c>
      <c r="CP23" s="173" t="n">
        <v>0</v>
      </c>
      <c r="CQ23" s="174" t="n">
        <v>0</v>
      </c>
    </row>
    <row r="24" ht="16.5" customHeight="1">
      <c r="A24" s="142" t="n"/>
      <c r="B24" s="157" t="n"/>
      <c r="C24" s="157" t="n"/>
      <c r="D24" s="143" t="n"/>
      <c r="E24" s="143" t="n"/>
      <c r="F24" s="4" t="n"/>
      <c r="G24" s="4" t="n"/>
      <c r="H24" s="144" t="n">
        <v>0</v>
      </c>
      <c r="I24" s="3" t="n"/>
      <c r="J24" s="4" t="n"/>
      <c r="K24" s="4" t="n"/>
      <c r="L24" s="116" t="n">
        <v>0</v>
      </c>
      <c r="M24" s="172" t="n"/>
      <c r="N24" s="158" t="n"/>
      <c r="P24" s="110" t="n"/>
      <c r="Q24" s="111" t="n"/>
      <c r="R24" s="111" t="n"/>
      <c r="S24" s="112" t="n"/>
      <c r="X24" s="145" t="n">
        <v>1699.037374073919</v>
      </c>
      <c r="Y24" s="146" t="n">
        <v>0</v>
      </c>
      <c r="Z24" s="146" t="str"/>
      <c r="AA24" s="146" t="str"/>
      <c r="AB24" s="146" t="str"/>
      <c r="AC24" s="146" t="str"/>
      <c r="AD24" s="146" t="str"/>
      <c r="AE24" s="146" t="str"/>
      <c r="AF24" s="147" t="str"/>
      <c r="AG24" s="147" t="str"/>
      <c r="AH24" s="147" t="str"/>
      <c r="AI24" s="147" t="str"/>
      <c r="AJ24" s="147" t="str"/>
      <c r="AK24" s="147" t="str"/>
      <c r="AL24" s="148" t="str"/>
      <c r="AM24" s="131" t="n"/>
      <c r="AN24" s="131" t="n"/>
      <c r="AO24" s="149" t="n">
        <v>-62.28435789813118</v>
      </c>
      <c r="AP24" s="150" t="n">
        <v>0</v>
      </c>
      <c r="AQ24" s="150" t="n">
        <v>0</v>
      </c>
      <c r="AR24" s="150" t="n">
        <v>0</v>
      </c>
      <c r="AS24" s="150" t="n">
        <v>0</v>
      </c>
      <c r="AT24" s="150" t="n">
        <v>0</v>
      </c>
      <c r="AU24" s="150" t="n">
        <v>0</v>
      </c>
      <c r="AV24" s="150" t="n">
        <v>0</v>
      </c>
      <c r="AW24" s="151" t="n">
        <v>0</v>
      </c>
      <c r="AX24" s="151" t="n">
        <v>0</v>
      </c>
      <c r="AY24" s="151" t="n">
        <v>0</v>
      </c>
      <c r="AZ24" s="151" t="n">
        <v>0</v>
      </c>
      <c r="BA24" s="151" t="n">
        <v>0</v>
      </c>
      <c r="BB24" s="151" t="n">
        <v>0</v>
      </c>
      <c r="BC24" s="152" t="n">
        <v>0</v>
      </c>
      <c r="BD24" s="131" t="n"/>
      <c r="BE24" s="131" t="n"/>
      <c r="BF24" s="131" t="n"/>
      <c r="BG24" s="131" t="n"/>
      <c r="BH24" s="131" t="n"/>
      <c r="BI24" s="131" t="n"/>
      <c r="BJ24" s="131" t="n"/>
      <c r="BK24" s="131" t="n"/>
      <c r="BL24" s="137" t="n"/>
      <c r="BM24" s="137" t="n"/>
      <c r="BN24" s="137" t="n"/>
      <c r="BO24" s="137" t="n"/>
      <c r="BP24" s="137" t="n"/>
      <c r="BQ24" s="137" t="n"/>
      <c r="BR24" s="137" t="n"/>
      <c r="BS24" s="137" t="n"/>
      <c r="BT24" s="137" t="n"/>
      <c r="BU24" s="137" t="n"/>
      <c r="BV24" s="137" t="n"/>
      <c r="BW24" s="137" t="n"/>
      <c r="BX24" s="137" t="n"/>
      <c r="BY24" s="137" t="n"/>
      <c r="BZ24" s="137" t="n"/>
      <c r="CA24" s="131" t="n"/>
      <c r="CB24" s="131" t="n"/>
      <c r="CC24" s="170" t="n">
        <v>-62.28435789813118</v>
      </c>
      <c r="CD24" s="171" t="n">
        <v>0</v>
      </c>
      <c r="CE24" s="171" t="n">
        <v>0</v>
      </c>
      <c r="CF24" s="171" t="n">
        <v>0</v>
      </c>
      <c r="CG24" s="171" t="n">
        <v>0</v>
      </c>
      <c r="CH24" s="171" t="n">
        <v>0</v>
      </c>
      <c r="CI24" s="171" t="n">
        <v>0</v>
      </c>
      <c r="CJ24" s="171" t="n">
        <v>0</v>
      </c>
      <c r="CK24" s="173" t="n">
        <v>0</v>
      </c>
      <c r="CL24" s="173" t="n">
        <v>0</v>
      </c>
      <c r="CM24" s="173" t="n">
        <v>0</v>
      </c>
      <c r="CN24" s="173" t="n">
        <v>0</v>
      </c>
      <c r="CO24" s="173" t="n">
        <v>0</v>
      </c>
      <c r="CP24" s="173" t="n">
        <v>0</v>
      </c>
      <c r="CQ24" s="174" t="n">
        <v>0</v>
      </c>
    </row>
    <row r="25" ht="16.5" customHeight="1">
      <c r="A25" s="142" t="n"/>
      <c r="B25" s="157" t="n"/>
      <c r="C25" s="157" t="n"/>
      <c r="D25" s="143" t="n"/>
      <c r="E25" s="143" t="n"/>
      <c r="F25" s="4" t="n"/>
      <c r="G25" s="4" t="n"/>
      <c r="H25" s="144" t="n">
        <v>0</v>
      </c>
      <c r="I25" s="3" t="n"/>
      <c r="J25" s="4" t="n"/>
      <c r="K25" s="4" t="n"/>
      <c r="L25" s="116" t="n">
        <v>0</v>
      </c>
      <c r="M25" s="172" t="n"/>
      <c r="N25" s="158" t="n"/>
      <c r="P25" s="55" t="n"/>
      <c r="Q25" s="56" t="n"/>
      <c r="R25" s="56" t="n"/>
      <c r="S25" s="57" t="n"/>
      <c r="X25" s="145" t="n">
        <v>1699.037374073919</v>
      </c>
      <c r="Y25" s="146" t="n">
        <v>0</v>
      </c>
      <c r="Z25" s="146" t="str"/>
      <c r="AA25" s="146" t="str"/>
      <c r="AB25" s="146" t="str"/>
      <c r="AC25" s="146" t="str"/>
      <c r="AD25" s="146" t="str"/>
      <c r="AE25" s="146" t="str"/>
      <c r="AF25" s="147" t="str"/>
      <c r="AG25" s="147" t="str"/>
      <c r="AH25" s="147" t="str"/>
      <c r="AI25" s="147" t="str"/>
      <c r="AJ25" s="147" t="str"/>
      <c r="AK25" s="147" t="str"/>
      <c r="AL25" s="148" t="str"/>
      <c r="AM25" s="131" t="n"/>
      <c r="AN25" s="131" t="n"/>
      <c r="AO25" s="149" t="n">
        <v>-62.28435789813118</v>
      </c>
      <c r="AP25" s="150" t="n">
        <v>0</v>
      </c>
      <c r="AQ25" s="150" t="n">
        <v>0</v>
      </c>
      <c r="AR25" s="150" t="n">
        <v>0</v>
      </c>
      <c r="AS25" s="150" t="n">
        <v>0</v>
      </c>
      <c r="AT25" s="150" t="n">
        <v>0</v>
      </c>
      <c r="AU25" s="150" t="n">
        <v>0</v>
      </c>
      <c r="AV25" s="150" t="n">
        <v>0</v>
      </c>
      <c r="AW25" s="151" t="n">
        <v>0</v>
      </c>
      <c r="AX25" s="151" t="n">
        <v>0</v>
      </c>
      <c r="AY25" s="151" t="n">
        <v>0</v>
      </c>
      <c r="AZ25" s="151" t="n">
        <v>0</v>
      </c>
      <c r="BA25" s="151" t="n">
        <v>0</v>
      </c>
      <c r="BB25" s="151" t="n">
        <v>0</v>
      </c>
      <c r="BC25" s="152" t="n">
        <v>0</v>
      </c>
      <c r="BD25" s="131" t="n"/>
      <c r="BE25" s="131" t="n"/>
      <c r="BF25" s="131" t="n"/>
      <c r="BG25" s="131" t="n"/>
      <c r="BH25" s="131" t="n"/>
      <c r="BI25" s="131" t="n"/>
      <c r="BJ25" s="131" t="n"/>
      <c r="BK25" s="131" t="n"/>
      <c r="BL25" s="137" t="n"/>
      <c r="BM25" s="137" t="n"/>
      <c r="BN25" s="137" t="n"/>
      <c r="BO25" s="137" t="n"/>
      <c r="BP25" s="137" t="n"/>
      <c r="BQ25" s="137" t="n"/>
      <c r="BR25" s="137" t="n"/>
      <c r="BS25" s="137" t="n"/>
      <c r="BT25" s="137" t="n"/>
      <c r="BU25" s="137" t="n"/>
      <c r="BV25" s="137" t="n"/>
      <c r="BW25" s="137" t="n"/>
      <c r="BX25" s="137" t="n"/>
      <c r="BY25" s="137" t="n"/>
      <c r="BZ25" s="137" t="n"/>
      <c r="CA25" s="131" t="n"/>
      <c r="CB25" s="131" t="n"/>
      <c r="CC25" s="170" t="n">
        <v>-62.28435789813118</v>
      </c>
      <c r="CD25" s="171" t="n">
        <v>0</v>
      </c>
      <c r="CE25" s="171" t="n">
        <v>0</v>
      </c>
      <c r="CF25" s="171" t="n">
        <v>0</v>
      </c>
      <c r="CG25" s="171" t="n">
        <v>0</v>
      </c>
      <c r="CH25" s="171" t="n">
        <v>0</v>
      </c>
      <c r="CI25" s="171" t="n">
        <v>0</v>
      </c>
      <c r="CJ25" s="171" t="n">
        <v>0</v>
      </c>
      <c r="CK25" s="173" t="n">
        <v>0</v>
      </c>
      <c r="CL25" s="173" t="n">
        <v>0</v>
      </c>
      <c r="CM25" s="173" t="n">
        <v>0</v>
      </c>
      <c r="CN25" s="173" t="n">
        <v>0</v>
      </c>
      <c r="CO25" s="173" t="n">
        <v>0</v>
      </c>
      <c r="CP25" s="173" t="n">
        <v>0</v>
      </c>
      <c r="CQ25" s="174" t="n">
        <v>0</v>
      </c>
    </row>
    <row r="26" ht="16.5" customHeight="1">
      <c r="A26" s="142" t="n"/>
      <c r="B26" s="157" t="n"/>
      <c r="C26" s="157" t="n"/>
      <c r="D26" s="143" t="n"/>
      <c r="E26" s="143" t="n"/>
      <c r="F26" s="4" t="n"/>
      <c r="G26" s="4" t="n"/>
      <c r="H26" s="144" t="n">
        <v>0</v>
      </c>
      <c r="I26" s="3" t="n"/>
      <c r="J26" s="4" t="n"/>
      <c r="K26" s="4" t="n"/>
      <c r="L26" s="116" t="n">
        <v>0</v>
      </c>
      <c r="M26" s="172" t="n"/>
      <c r="N26" s="158" t="n"/>
      <c r="P26" s="55" t="n"/>
      <c r="Q26" s="56" t="n"/>
      <c r="R26" s="56" t="n"/>
      <c r="S26" s="57" t="n"/>
      <c r="X26" s="145" t="n">
        <v>1699.037374073919</v>
      </c>
      <c r="Y26" s="146" t="n">
        <v>0</v>
      </c>
      <c r="Z26" s="146" t="str"/>
      <c r="AA26" s="146" t="str"/>
      <c r="AB26" s="146" t="str"/>
      <c r="AC26" s="146" t="str"/>
      <c r="AD26" s="146" t="str"/>
      <c r="AE26" s="146" t="str"/>
      <c r="AF26" s="147" t="str"/>
      <c r="AG26" s="147" t="str"/>
      <c r="AH26" s="147" t="str"/>
      <c r="AI26" s="147" t="str"/>
      <c r="AJ26" s="147" t="str"/>
      <c r="AK26" s="147" t="str"/>
      <c r="AL26" s="148" t="str"/>
      <c r="AM26" s="131" t="n"/>
      <c r="AN26" s="131" t="n"/>
      <c r="AO26" s="149" t="n">
        <v>-62.28435789813118</v>
      </c>
      <c r="AP26" s="150" t="n">
        <v>0</v>
      </c>
      <c r="AQ26" s="150" t="n">
        <v>0</v>
      </c>
      <c r="AR26" s="150" t="n">
        <v>0</v>
      </c>
      <c r="AS26" s="150" t="n">
        <v>0</v>
      </c>
      <c r="AT26" s="150" t="n">
        <v>0</v>
      </c>
      <c r="AU26" s="150" t="n">
        <v>0</v>
      </c>
      <c r="AV26" s="150" t="n">
        <v>0</v>
      </c>
      <c r="AW26" s="151" t="n">
        <v>0</v>
      </c>
      <c r="AX26" s="151" t="n">
        <v>0</v>
      </c>
      <c r="AY26" s="151" t="n">
        <v>0</v>
      </c>
      <c r="AZ26" s="151" t="n">
        <v>0</v>
      </c>
      <c r="BA26" s="151" t="n">
        <v>0</v>
      </c>
      <c r="BB26" s="151" t="n">
        <v>0</v>
      </c>
      <c r="BC26" s="152" t="n">
        <v>0</v>
      </c>
      <c r="BD26" s="131" t="n"/>
      <c r="BE26" s="21" t="n"/>
      <c r="BF26" s="37" t="inlineStr">
        <is>
          <t>x</t>
        </is>
      </c>
      <c r="BG26" s="37" t="inlineStr">
        <is>
          <t>y</t>
        </is>
      </c>
      <c r="BH26" s="21" t="e">
        <v>#VALUE!</v>
      </c>
      <c r="BJ26" s="131" t="n"/>
      <c r="BK26" s="131" t="n"/>
      <c r="BL26" s="137" t="n"/>
      <c r="BM26" s="137" t="n"/>
      <c r="BN26" s="137" t="n"/>
      <c r="BO26" s="137" t="n"/>
      <c r="BP26" s="137" t="n"/>
      <c r="BQ26" s="137" t="n"/>
      <c r="BR26" s="137" t="n"/>
      <c r="BS26" s="137" t="n"/>
      <c r="BT26" s="137" t="n"/>
      <c r="BU26" s="137" t="n"/>
      <c r="BV26" s="137" t="n"/>
      <c r="BW26" s="137" t="n"/>
      <c r="BX26" s="137" t="n"/>
      <c r="BY26" s="137" t="n"/>
      <c r="BZ26" s="137" t="n"/>
      <c r="CA26" s="131" t="n"/>
      <c r="CB26" s="131" t="n"/>
      <c r="CC26" s="170" t="n">
        <v>-62.28435789813118</v>
      </c>
      <c r="CD26" s="171" t="n">
        <v>0</v>
      </c>
      <c r="CE26" s="171" t="n">
        <v>0</v>
      </c>
      <c r="CF26" s="171" t="n">
        <v>0</v>
      </c>
      <c r="CG26" s="171" t="n">
        <v>0</v>
      </c>
      <c r="CH26" s="171" t="n">
        <v>0</v>
      </c>
      <c r="CI26" s="171" t="n">
        <v>0</v>
      </c>
      <c r="CJ26" s="171" t="n">
        <v>0</v>
      </c>
      <c r="CK26" s="173" t="n">
        <v>0</v>
      </c>
      <c r="CL26" s="173" t="n">
        <v>0</v>
      </c>
      <c r="CM26" s="173" t="n">
        <v>0</v>
      </c>
      <c r="CN26" s="173" t="n">
        <v>0</v>
      </c>
      <c r="CO26" s="173" t="n">
        <v>0</v>
      </c>
      <c r="CP26" s="173" t="n">
        <v>0</v>
      </c>
      <c r="CQ26" s="174" t="n">
        <v>0</v>
      </c>
    </row>
    <row r="27" ht="16.5" customHeight="1">
      <c r="A27" s="142" t="n"/>
      <c r="B27" s="157" t="n"/>
      <c r="C27" s="157" t="n"/>
      <c r="D27" s="143" t="n"/>
      <c r="E27" s="143" t="n"/>
      <c r="F27" s="4" t="n"/>
      <c r="G27" s="4" t="n"/>
      <c r="H27" s="144" t="n">
        <v>0</v>
      </c>
      <c r="I27" s="3" t="n"/>
      <c r="J27" s="4" t="n"/>
      <c r="K27" s="4" t="n"/>
      <c r="L27" s="116" t="n">
        <v>0</v>
      </c>
      <c r="M27" s="172" t="n"/>
      <c r="N27" s="158" t="n"/>
      <c r="P27" s="55" t="n"/>
      <c r="Q27" s="56" t="n"/>
      <c r="R27" s="56" t="n"/>
      <c r="S27" s="57" t="n"/>
      <c r="X27" s="145" t="n">
        <v>1699.037374073919</v>
      </c>
      <c r="Y27" s="146" t="n">
        <v>0</v>
      </c>
      <c r="Z27" s="146" t="str"/>
      <c r="AA27" s="146" t="str"/>
      <c r="AB27" s="146" t="str"/>
      <c r="AC27" s="146" t="str"/>
      <c r="AD27" s="146" t="str"/>
      <c r="AE27" s="146" t="str"/>
      <c r="AF27" s="147" t="str"/>
      <c r="AG27" s="147" t="str"/>
      <c r="AH27" s="147" t="str"/>
      <c r="AI27" s="147" t="str"/>
      <c r="AJ27" s="147" t="str"/>
      <c r="AK27" s="147" t="str"/>
      <c r="AL27" s="148" t="str"/>
      <c r="AM27" s="131" t="n"/>
      <c r="AN27" s="131" t="n"/>
      <c r="AO27" s="149" t="n">
        <v>-62.28435789813118</v>
      </c>
      <c r="AP27" s="150" t="n">
        <v>0</v>
      </c>
      <c r="AQ27" s="150" t="n">
        <v>0</v>
      </c>
      <c r="AR27" s="150" t="n">
        <v>0</v>
      </c>
      <c r="AS27" s="150" t="n">
        <v>0</v>
      </c>
      <c r="AT27" s="150" t="n">
        <v>0</v>
      </c>
      <c r="AU27" s="150" t="n">
        <v>0</v>
      </c>
      <c r="AV27" s="150" t="n">
        <v>0</v>
      </c>
      <c r="AW27" s="151" t="n">
        <v>0</v>
      </c>
      <c r="AX27" s="151" t="n">
        <v>0</v>
      </c>
      <c r="AY27" s="151" t="n">
        <v>0</v>
      </c>
      <c r="AZ27" s="151" t="n">
        <v>0</v>
      </c>
      <c r="BA27" s="151" t="n">
        <v>0</v>
      </c>
      <c r="BB27" s="151" t="n">
        <v>0</v>
      </c>
      <c r="BC27" s="152" t="n">
        <v>0</v>
      </c>
      <c r="BD27" s="131" t="n"/>
      <c r="BE27" s="41" t="inlineStr">
        <is>
          <t>Path</t>
        </is>
      </c>
      <c r="BF27" s="21" t="n">
        <v>0</v>
      </c>
      <c r="BG27" s="21" t="inlineStr">
        <is>
          <t>not found</t>
        </is>
      </c>
      <c r="BH27" s="21" t="e">
        <v>#VALUE!</v>
      </c>
      <c r="BJ27" s="131" t="n"/>
      <c r="BK27" s="131" t="n"/>
      <c r="BL27" s="137" t="n"/>
      <c r="BM27" s="137" t="n"/>
      <c r="BN27" s="137" t="n"/>
      <c r="BO27" s="137" t="n"/>
      <c r="BP27" s="137" t="n"/>
      <c r="BQ27" s="137" t="n"/>
      <c r="BR27" s="137" t="n"/>
      <c r="BS27" s="137" t="n"/>
      <c r="BT27" s="137" t="n"/>
      <c r="BU27" s="137" t="n"/>
      <c r="BV27" s="137" t="n"/>
      <c r="BW27" s="137" t="n"/>
      <c r="BX27" s="137" t="n"/>
      <c r="BY27" s="137" t="n"/>
      <c r="BZ27" s="137" t="n"/>
      <c r="CA27" s="131" t="n"/>
      <c r="CB27" s="131" t="n"/>
      <c r="CC27" s="170" t="n">
        <v>-62.28435789813118</v>
      </c>
      <c r="CD27" s="171" t="n">
        <v>0</v>
      </c>
      <c r="CE27" s="171" t="n">
        <v>0</v>
      </c>
      <c r="CF27" s="171" t="n">
        <v>0</v>
      </c>
      <c r="CG27" s="171" t="n">
        <v>0</v>
      </c>
      <c r="CH27" s="171" t="n">
        <v>0</v>
      </c>
      <c r="CI27" s="171" t="n">
        <v>0</v>
      </c>
      <c r="CJ27" s="171" t="n">
        <v>0</v>
      </c>
      <c r="CK27" s="173" t="n">
        <v>0</v>
      </c>
      <c r="CL27" s="173" t="n">
        <v>0</v>
      </c>
      <c r="CM27" s="173" t="n">
        <v>0</v>
      </c>
      <c r="CN27" s="173" t="n">
        <v>0</v>
      </c>
      <c r="CO27" s="173" t="n">
        <v>0</v>
      </c>
      <c r="CP27" s="173" t="n">
        <v>0</v>
      </c>
      <c r="CQ27" s="174" t="n">
        <v>0</v>
      </c>
    </row>
    <row r="28" ht="16.5" customHeight="1">
      <c r="A28" s="142" t="n"/>
      <c r="B28" s="157" t="n"/>
      <c r="C28" s="157" t="n"/>
      <c r="D28" s="143" t="n"/>
      <c r="E28" s="143" t="n"/>
      <c r="F28" s="4" t="n"/>
      <c r="G28" s="4" t="n"/>
      <c r="H28" s="144" t="n">
        <v>0</v>
      </c>
      <c r="I28" s="3" t="n"/>
      <c r="J28" s="4" t="n"/>
      <c r="K28" s="4" t="n"/>
      <c r="L28" s="116" t="n">
        <v>0</v>
      </c>
      <c r="M28" s="172" t="n"/>
      <c r="N28" s="158" t="n"/>
      <c r="P28" s="55" t="n"/>
      <c r="Q28" s="56" t="n"/>
      <c r="R28" s="56" t="n"/>
      <c r="S28" s="57" t="n"/>
      <c r="X28" s="145" t="n">
        <v>1699.037374073919</v>
      </c>
      <c r="Y28" s="146" t="n">
        <v>0</v>
      </c>
      <c r="Z28" s="146" t="str"/>
      <c r="AA28" s="146" t="str"/>
      <c r="AB28" s="146" t="str"/>
      <c r="AC28" s="146" t="str"/>
      <c r="AD28" s="146" t="str"/>
      <c r="AE28" s="146" t="str"/>
      <c r="AF28" s="147" t="str"/>
      <c r="AG28" s="147" t="str"/>
      <c r="AH28" s="147" t="str"/>
      <c r="AI28" s="147" t="str"/>
      <c r="AJ28" s="147" t="str"/>
      <c r="AK28" s="147" t="str"/>
      <c r="AL28" s="148" t="str"/>
      <c r="AM28" s="131" t="n"/>
      <c r="AN28" s="131" t="n"/>
      <c r="AO28" s="149" t="n">
        <v>-62.28435789813118</v>
      </c>
      <c r="AP28" s="150" t="n">
        <v>0</v>
      </c>
      <c r="AQ28" s="150" t="n">
        <v>0</v>
      </c>
      <c r="AR28" s="150" t="n">
        <v>0</v>
      </c>
      <c r="AS28" s="150" t="n">
        <v>0</v>
      </c>
      <c r="AT28" s="150" t="n">
        <v>0</v>
      </c>
      <c r="AU28" s="150" t="n">
        <v>0</v>
      </c>
      <c r="AV28" s="150" t="n">
        <v>0</v>
      </c>
      <c r="AW28" s="151" t="n">
        <v>0</v>
      </c>
      <c r="AX28" s="151" t="n">
        <v>0</v>
      </c>
      <c r="AY28" s="151" t="n">
        <v>0</v>
      </c>
      <c r="AZ28" s="151" t="n">
        <v>0</v>
      </c>
      <c r="BA28" s="151" t="n">
        <v>0</v>
      </c>
      <c r="BB28" s="151" t="n">
        <v>0</v>
      </c>
      <c r="BC28" s="152" t="n">
        <v>0</v>
      </c>
      <c r="BD28" s="131" t="n"/>
      <c r="BE28" s="41" t="inlineStr">
        <is>
          <t>Barrier - Min 4lb/ft2, unperforated</t>
        </is>
      </c>
      <c r="BF28" s="21" t="e">
        <v>#VALUE!</v>
      </c>
      <c r="BG28" s="45" t="e">
        <v>#VALUE!</v>
      </c>
      <c r="BH28" s="21" t="e">
        <v>#VALUE!</v>
      </c>
      <c r="BJ28" s="131" t="n"/>
      <c r="BK28" s="131" t="n"/>
      <c r="BL28" s="137" t="n"/>
      <c r="BM28" s="137" t="n"/>
      <c r="BN28" s="137" t="n"/>
      <c r="BO28" s="137" t="n"/>
      <c r="BP28" s="137" t="n"/>
      <c r="BQ28" s="137" t="n"/>
      <c r="BR28" s="137" t="n"/>
      <c r="BS28" s="137" t="n"/>
      <c r="BT28" s="137" t="n"/>
      <c r="BU28" s="137" t="n"/>
      <c r="BV28" s="137" t="n"/>
      <c r="BW28" s="137" t="n"/>
      <c r="BX28" s="137" t="n"/>
      <c r="BY28" s="137" t="n"/>
      <c r="BZ28" s="137" t="n"/>
      <c r="CA28" s="131" t="n"/>
      <c r="CB28" s="131" t="n"/>
      <c r="CC28" s="170" t="n">
        <v>-62.28435789813118</v>
      </c>
      <c r="CD28" s="171" t="n">
        <v>0</v>
      </c>
      <c r="CE28" s="171" t="n">
        <v>0</v>
      </c>
      <c r="CF28" s="171" t="n">
        <v>0</v>
      </c>
      <c r="CG28" s="171" t="n">
        <v>0</v>
      </c>
      <c r="CH28" s="171" t="n">
        <v>0</v>
      </c>
      <c r="CI28" s="171" t="n">
        <v>0</v>
      </c>
      <c r="CJ28" s="171" t="n">
        <v>0</v>
      </c>
      <c r="CK28" s="173" t="n">
        <v>0</v>
      </c>
      <c r="CL28" s="173" t="n">
        <v>0</v>
      </c>
      <c r="CM28" s="173" t="n">
        <v>0</v>
      </c>
      <c r="CN28" s="173" t="n">
        <v>0</v>
      </c>
      <c r="CO28" s="173" t="n">
        <v>0</v>
      </c>
      <c r="CP28" s="173" t="n">
        <v>0</v>
      </c>
      <c r="CQ28" s="174" t="n">
        <v>0</v>
      </c>
    </row>
    <row r="29" ht="16.5" customHeight="1">
      <c r="A29" s="142" t="n"/>
      <c r="B29" s="157" t="n"/>
      <c r="C29" s="157" t="n"/>
      <c r="D29" s="143" t="n"/>
      <c r="E29" s="143" t="n"/>
      <c r="F29" s="4" t="n"/>
      <c r="G29" s="4" t="n"/>
      <c r="H29" s="144" t="n">
        <v>0</v>
      </c>
      <c r="I29" s="3" t="n"/>
      <c r="J29" s="4" t="n"/>
      <c r="K29" s="4" t="n"/>
      <c r="L29" s="116" t="n">
        <v>0</v>
      </c>
      <c r="M29" s="172" t="n"/>
      <c r="N29" s="158" t="n"/>
      <c r="P29" s="55" t="n"/>
      <c r="Q29" s="56" t="n"/>
      <c r="R29" s="56" t="n"/>
      <c r="S29" s="57" t="n"/>
      <c r="X29" s="145" t="n">
        <v>1699.037374073919</v>
      </c>
      <c r="Y29" s="146" t="n">
        <v>0</v>
      </c>
      <c r="Z29" s="146" t="str"/>
      <c r="AA29" s="146" t="str"/>
      <c r="AB29" s="146" t="str"/>
      <c r="AC29" s="146" t="str"/>
      <c r="AD29" s="146" t="str"/>
      <c r="AE29" s="146" t="str"/>
      <c r="AF29" s="147" t="str"/>
      <c r="AG29" s="147" t="str"/>
      <c r="AH29" s="147" t="str"/>
      <c r="AI29" s="147" t="str"/>
      <c r="AJ29" s="147" t="str"/>
      <c r="AK29" s="147" t="str"/>
      <c r="AL29" s="148" t="str"/>
      <c r="AM29" s="131" t="n"/>
      <c r="AN29" s="131" t="n"/>
      <c r="AO29" s="149" t="n">
        <v>-62.28435789813118</v>
      </c>
      <c r="AP29" s="150" t="n">
        <v>0</v>
      </c>
      <c r="AQ29" s="150" t="n">
        <v>0</v>
      </c>
      <c r="AR29" s="150" t="n">
        <v>0</v>
      </c>
      <c r="AS29" s="150" t="n">
        <v>0</v>
      </c>
      <c r="AT29" s="150" t="n">
        <v>0</v>
      </c>
      <c r="AU29" s="150" t="n">
        <v>0</v>
      </c>
      <c r="AV29" s="150" t="n">
        <v>0</v>
      </c>
      <c r="AW29" s="151" t="n">
        <v>0</v>
      </c>
      <c r="AX29" s="151" t="n">
        <v>0</v>
      </c>
      <c r="AY29" s="151" t="n">
        <v>0</v>
      </c>
      <c r="AZ29" s="151" t="n">
        <v>0</v>
      </c>
      <c r="BA29" s="151" t="n">
        <v>0</v>
      </c>
      <c r="BB29" s="151" t="n">
        <v>0</v>
      </c>
      <c r="BC29" s="152" t="n">
        <v>0</v>
      </c>
      <c r="BD29" s="131" t="n"/>
      <c r="BE29" s="41" t="inlineStr">
        <is>
          <t>Receiver</t>
        </is>
      </c>
      <c r="BF29" s="21" t="e">
        <v>#VALUE!</v>
      </c>
      <c r="BG29" s="21" t="inlineStr">
        <is>
          <t>not found</t>
        </is>
      </c>
      <c r="BH29" s="21" t="e">
        <v>#VALUE!</v>
      </c>
      <c r="BJ29" s="131" t="n"/>
      <c r="BK29" s="131" t="n"/>
      <c r="BL29" s="137" t="n"/>
      <c r="BM29" s="137" t="n"/>
      <c r="BN29" s="137" t="n"/>
      <c r="BO29" s="137" t="n"/>
      <c r="BP29" s="137" t="n"/>
      <c r="BQ29" s="137" t="n"/>
      <c r="BR29" s="137" t="n"/>
      <c r="BS29" s="137" t="n"/>
      <c r="BT29" s="137" t="n"/>
      <c r="BU29" s="137" t="n"/>
      <c r="BV29" s="137" t="n"/>
      <c r="BW29" s="137" t="n"/>
      <c r="BX29" s="137" t="n"/>
      <c r="BY29" s="137" t="n"/>
      <c r="BZ29" s="137" t="n"/>
      <c r="CA29" s="131" t="n"/>
      <c r="CB29" s="131" t="n"/>
      <c r="CC29" s="170" t="n">
        <v>-62.28435789813118</v>
      </c>
      <c r="CD29" s="171" t="n">
        <v>0</v>
      </c>
      <c r="CE29" s="171" t="n">
        <v>0</v>
      </c>
      <c r="CF29" s="171" t="n">
        <v>0</v>
      </c>
      <c r="CG29" s="171" t="n">
        <v>0</v>
      </c>
      <c r="CH29" s="171" t="n">
        <v>0</v>
      </c>
      <c r="CI29" s="171" t="n">
        <v>0</v>
      </c>
      <c r="CJ29" s="171" t="n">
        <v>0</v>
      </c>
      <c r="CK29" s="173" t="n">
        <v>0</v>
      </c>
      <c r="CL29" s="173" t="n">
        <v>0</v>
      </c>
      <c r="CM29" s="173" t="n">
        <v>0</v>
      </c>
      <c r="CN29" s="173" t="n">
        <v>0</v>
      </c>
      <c r="CO29" s="173" t="n">
        <v>0</v>
      </c>
      <c r="CP29" s="173" t="n">
        <v>0</v>
      </c>
      <c r="CQ29" s="174" t="n">
        <v>0</v>
      </c>
    </row>
    <row r="30" ht="16.5" customHeight="1">
      <c r="A30" s="142" t="n"/>
      <c r="B30" s="157" t="n"/>
      <c r="C30" s="157" t="n"/>
      <c r="D30" s="143" t="n"/>
      <c r="E30" s="143" t="n"/>
      <c r="F30" s="4" t="n"/>
      <c r="G30" s="4" t="n"/>
      <c r="H30" s="144" t="n">
        <v>0</v>
      </c>
      <c r="I30" s="3" t="n"/>
      <c r="J30" s="4" t="n"/>
      <c r="K30" s="4" t="n"/>
      <c r="L30" s="116" t="n">
        <v>0</v>
      </c>
      <c r="M30" s="172" t="n"/>
      <c r="N30" s="158" t="n"/>
      <c r="P30" s="55" t="n"/>
      <c r="Q30" s="56" t="n"/>
      <c r="R30" s="56" t="n"/>
      <c r="S30" s="57" t="n"/>
      <c r="X30" s="145" t="n">
        <v>1699.037374073919</v>
      </c>
      <c r="Y30" s="146" t="n">
        <v>0</v>
      </c>
      <c r="Z30" s="146" t="str"/>
      <c r="AA30" s="146" t="str"/>
      <c r="AB30" s="146" t="str"/>
      <c r="AC30" s="146" t="str"/>
      <c r="AD30" s="146" t="str"/>
      <c r="AE30" s="146" t="str"/>
      <c r="AF30" s="147" t="str"/>
      <c r="AG30" s="147" t="str"/>
      <c r="AH30" s="147" t="str"/>
      <c r="AI30" s="147" t="str"/>
      <c r="AJ30" s="147" t="str"/>
      <c r="AK30" s="147" t="str"/>
      <c r="AL30" s="148" t="str"/>
      <c r="AM30" s="131" t="n"/>
      <c r="AN30" s="131" t="n"/>
      <c r="AO30" s="149" t="n">
        <v>-62.28435789813118</v>
      </c>
      <c r="AP30" s="150" t="n">
        <v>0</v>
      </c>
      <c r="AQ30" s="150" t="n">
        <v>0</v>
      </c>
      <c r="AR30" s="150" t="n">
        <v>0</v>
      </c>
      <c r="AS30" s="150" t="n">
        <v>0</v>
      </c>
      <c r="AT30" s="150" t="n">
        <v>0</v>
      </c>
      <c r="AU30" s="150" t="n">
        <v>0</v>
      </c>
      <c r="AV30" s="150" t="n">
        <v>0</v>
      </c>
      <c r="AW30" s="151" t="n">
        <v>0</v>
      </c>
      <c r="AX30" s="151" t="n">
        <v>0</v>
      </c>
      <c r="AY30" s="151" t="n">
        <v>0</v>
      </c>
      <c r="AZ30" s="151" t="n">
        <v>0</v>
      </c>
      <c r="BA30" s="151" t="n">
        <v>0</v>
      </c>
      <c r="BB30" s="151" t="n">
        <v>0</v>
      </c>
      <c r="BC30" s="152" t="n">
        <v>0</v>
      </c>
      <c r="BD30" s="131" t="n"/>
      <c r="BE30" s="41" t="inlineStr">
        <is>
          <t>Source</t>
        </is>
      </c>
      <c r="BF30" s="21" t="n">
        <v>0</v>
      </c>
      <c r="BG30" s="21" t="inlineStr">
        <is>
          <t>not found</t>
        </is>
      </c>
      <c r="BH30" s="21" t="e">
        <v>#VALUE!</v>
      </c>
      <c r="BJ30" s="131" t="n"/>
      <c r="BK30" s="131" t="n"/>
      <c r="BL30" s="137" t="n"/>
      <c r="BM30" s="137" t="n"/>
      <c r="BN30" s="137" t="n"/>
      <c r="BO30" s="137" t="n"/>
      <c r="BP30" s="137" t="n"/>
      <c r="BQ30" s="137" t="n"/>
      <c r="BR30" s="137" t="n"/>
      <c r="BS30" s="137" t="n"/>
      <c r="BT30" s="137" t="n"/>
      <c r="BU30" s="137" t="n"/>
      <c r="BV30" s="137" t="n"/>
      <c r="BW30" s="137" t="n"/>
      <c r="BX30" s="137" t="n"/>
      <c r="BY30" s="137" t="n"/>
      <c r="BZ30" s="137" t="n"/>
      <c r="CA30" s="131" t="n"/>
      <c r="CB30" s="131" t="n"/>
      <c r="CC30" s="170" t="n">
        <v>-62.28435789813118</v>
      </c>
      <c r="CD30" s="171" t="n">
        <v>0</v>
      </c>
      <c r="CE30" s="171" t="n">
        <v>0</v>
      </c>
      <c r="CF30" s="171" t="n">
        <v>0</v>
      </c>
      <c r="CG30" s="171" t="n">
        <v>0</v>
      </c>
      <c r="CH30" s="171" t="n">
        <v>0</v>
      </c>
      <c r="CI30" s="171" t="n">
        <v>0</v>
      </c>
      <c r="CJ30" s="171" t="n">
        <v>0</v>
      </c>
      <c r="CK30" s="173" t="n">
        <v>0</v>
      </c>
      <c r="CL30" s="173" t="n">
        <v>0</v>
      </c>
      <c r="CM30" s="173" t="n">
        <v>0</v>
      </c>
      <c r="CN30" s="173" t="n">
        <v>0</v>
      </c>
      <c r="CO30" s="173" t="n">
        <v>0</v>
      </c>
      <c r="CP30" s="173" t="n">
        <v>0</v>
      </c>
      <c r="CQ30" s="174" t="n">
        <v>0</v>
      </c>
    </row>
    <row r="31" ht="16.5" customHeight="1">
      <c r="A31" s="142" t="n"/>
      <c r="B31" s="157" t="n"/>
      <c r="C31" s="157" t="n"/>
      <c r="D31" s="143" t="n"/>
      <c r="E31" s="143" t="n"/>
      <c r="F31" s="4" t="n"/>
      <c r="G31" s="4" t="n"/>
      <c r="H31" s="144" t="n">
        <v>0</v>
      </c>
      <c r="I31" s="3" t="n"/>
      <c r="J31" s="4" t="n"/>
      <c r="K31" s="4" t="n"/>
      <c r="L31" s="116" t="n">
        <v>0</v>
      </c>
      <c r="M31" s="172" t="n"/>
      <c r="N31" s="158" t="n"/>
      <c r="P31" s="55" t="n"/>
      <c r="Q31" s="56" t="n"/>
      <c r="R31" s="56" t="n"/>
      <c r="S31" s="57" t="n"/>
      <c r="X31" s="145" t="n">
        <v>1699.037374073919</v>
      </c>
      <c r="Y31" s="146" t="n">
        <v>0</v>
      </c>
      <c r="Z31" s="146" t="str"/>
      <c r="AA31" s="146" t="str"/>
      <c r="AB31" s="146" t="str"/>
      <c r="AC31" s="146" t="str"/>
      <c r="AD31" s="146" t="str"/>
      <c r="AE31" s="146" t="str"/>
      <c r="AF31" s="147" t="str"/>
      <c r="AG31" s="147" t="str"/>
      <c r="AH31" s="147" t="str"/>
      <c r="AI31" s="147" t="str"/>
      <c r="AJ31" s="147" t="str"/>
      <c r="AK31" s="147" t="str"/>
      <c r="AL31" s="148" t="str"/>
      <c r="AM31" s="131" t="n"/>
      <c r="AN31" s="131" t="n"/>
      <c r="AO31" s="149" t="n">
        <v>-62.28435789813118</v>
      </c>
      <c r="AP31" s="150" t="n">
        <v>0</v>
      </c>
      <c r="AQ31" s="150" t="n">
        <v>0</v>
      </c>
      <c r="AR31" s="150" t="n">
        <v>0</v>
      </c>
      <c r="AS31" s="150" t="n">
        <v>0</v>
      </c>
      <c r="AT31" s="150" t="n">
        <v>0</v>
      </c>
      <c r="AU31" s="150" t="n">
        <v>0</v>
      </c>
      <c r="AV31" s="150" t="n">
        <v>0</v>
      </c>
      <c r="AW31" s="151" t="n">
        <v>0</v>
      </c>
      <c r="AX31" s="151" t="n">
        <v>0</v>
      </c>
      <c r="AY31" s="151" t="n">
        <v>0</v>
      </c>
      <c r="AZ31" s="151" t="n">
        <v>0</v>
      </c>
      <c r="BA31" s="151" t="n">
        <v>0</v>
      </c>
      <c r="BB31" s="151" t="n">
        <v>0</v>
      </c>
      <c r="BC31" s="152" t="n">
        <v>0</v>
      </c>
      <c r="BD31" s="131" t="n"/>
      <c r="BE31" s="41" t="inlineStr">
        <is>
          <t>Measurement</t>
        </is>
      </c>
      <c r="BF31" s="21" t="e">
        <v>#REF!</v>
      </c>
      <c r="BG31" s="21" t="n">
        <v>3.28</v>
      </c>
      <c r="BH31" s="21" t="inlineStr">
        <is>
          <t>DOAS-3-1 to R3</t>
        </is>
      </c>
      <c r="BJ31" s="131" t="n"/>
      <c r="BK31" s="131" t="n"/>
      <c r="BL31" s="137" t="n"/>
      <c r="BM31" s="137" t="n"/>
      <c r="BN31" s="137" t="n"/>
      <c r="BO31" s="137" t="n"/>
      <c r="BP31" s="137" t="n"/>
      <c r="BQ31" s="137" t="n"/>
      <c r="BR31" s="137" t="n"/>
      <c r="BS31" s="137" t="n"/>
      <c r="BT31" s="137" t="n"/>
      <c r="BU31" s="137" t="n"/>
      <c r="BV31" s="137" t="n"/>
      <c r="BW31" s="137" t="n"/>
      <c r="BX31" s="137" t="n"/>
      <c r="BY31" s="137" t="n"/>
      <c r="BZ31" s="137" t="n"/>
      <c r="CA31" s="131" t="n"/>
      <c r="CB31" s="131" t="n"/>
      <c r="CC31" s="170" t="n">
        <v>-62.28435789813118</v>
      </c>
      <c r="CD31" s="171" t="n">
        <v>0</v>
      </c>
      <c r="CE31" s="171" t="n">
        <v>0</v>
      </c>
      <c r="CF31" s="171" t="n">
        <v>0</v>
      </c>
      <c r="CG31" s="171" t="n">
        <v>0</v>
      </c>
      <c r="CH31" s="171" t="n">
        <v>0</v>
      </c>
      <c r="CI31" s="171" t="n">
        <v>0</v>
      </c>
      <c r="CJ31" s="171" t="n">
        <v>0</v>
      </c>
      <c r="CK31" s="173" t="n">
        <v>0</v>
      </c>
      <c r="CL31" s="173" t="n">
        <v>0</v>
      </c>
      <c r="CM31" s="173" t="n">
        <v>0</v>
      </c>
      <c r="CN31" s="173" t="n">
        <v>0</v>
      </c>
      <c r="CO31" s="173" t="n">
        <v>0</v>
      </c>
      <c r="CP31" s="173" t="n">
        <v>0</v>
      </c>
      <c r="CQ31" s="174" t="n">
        <v>0</v>
      </c>
    </row>
    <row r="32" ht="16.5" customHeight="1">
      <c r="A32" s="142" t="n"/>
      <c r="B32" s="157" t="n"/>
      <c r="C32" s="157" t="n"/>
      <c r="D32" s="143" t="n"/>
      <c r="E32" s="143" t="n"/>
      <c r="F32" s="4" t="n"/>
      <c r="G32" s="4" t="n"/>
      <c r="H32" s="144" t="n">
        <v>0</v>
      </c>
      <c r="I32" s="3" t="n"/>
      <c r="J32" s="4" t="n"/>
      <c r="K32" s="4" t="n"/>
      <c r="L32" s="116" t="n">
        <v>0</v>
      </c>
      <c r="M32" s="172" t="n"/>
      <c r="N32" s="158" t="n"/>
      <c r="P32" s="55" t="n"/>
      <c r="Q32" s="56" t="n"/>
      <c r="R32" s="56" t="n"/>
      <c r="S32" s="57" t="n"/>
      <c r="X32" s="145" t="n">
        <v>1699.037374073919</v>
      </c>
      <c r="Y32" s="146" t="n">
        <v>0</v>
      </c>
      <c r="Z32" s="146" t="str"/>
      <c r="AA32" s="146" t="str"/>
      <c r="AB32" s="146" t="str"/>
      <c r="AC32" s="146" t="str"/>
      <c r="AD32" s="146" t="str"/>
      <c r="AE32" s="146" t="str"/>
      <c r="AF32" s="147" t="str"/>
      <c r="AG32" s="147" t="str"/>
      <c r="AH32" s="147" t="str"/>
      <c r="AI32" s="147" t="str"/>
      <c r="AJ32" s="147" t="str"/>
      <c r="AK32" s="147" t="str"/>
      <c r="AL32" s="148" t="str"/>
      <c r="AM32" s="131" t="n"/>
      <c r="AN32" s="131" t="n"/>
      <c r="AO32" s="149" t="n">
        <v>-62.28435789813118</v>
      </c>
      <c r="AP32" s="150" t="n">
        <v>0</v>
      </c>
      <c r="AQ32" s="150" t="n">
        <v>0</v>
      </c>
      <c r="AR32" s="150" t="n">
        <v>0</v>
      </c>
      <c r="AS32" s="150" t="n">
        <v>0</v>
      </c>
      <c r="AT32" s="150" t="n">
        <v>0</v>
      </c>
      <c r="AU32" s="150" t="n">
        <v>0</v>
      </c>
      <c r="AV32" s="150" t="n">
        <v>0</v>
      </c>
      <c r="AW32" s="151" t="n">
        <v>0</v>
      </c>
      <c r="AX32" s="151" t="n">
        <v>0</v>
      </c>
      <c r="AY32" s="151" t="n">
        <v>0</v>
      </c>
      <c r="AZ32" s="151" t="n">
        <v>0</v>
      </c>
      <c r="BA32" s="151" t="n">
        <v>0</v>
      </c>
      <c r="BB32" s="151" t="n">
        <v>0</v>
      </c>
      <c r="BC32" s="152" t="n">
        <v>0</v>
      </c>
      <c r="BD32" s="131" t="n"/>
      <c r="BE32" s="21" t="n"/>
      <c r="BF32" s="21" t="n"/>
      <c r="BG32" s="21" t="n"/>
      <c r="BH32" s="21" t="e">
        <v>#VALUE!</v>
      </c>
      <c r="BJ32" s="131" t="n"/>
      <c r="BK32" s="131" t="n"/>
      <c r="BL32" s="137" t="n"/>
      <c r="BM32" s="137" t="n"/>
      <c r="BN32" s="137" t="n"/>
      <c r="BO32" s="137" t="n"/>
      <c r="BP32" s="137" t="n"/>
      <c r="BQ32" s="137" t="n"/>
      <c r="BR32" s="137" t="n"/>
      <c r="BS32" s="137" t="n"/>
      <c r="BT32" s="137" t="n"/>
      <c r="BU32" s="137" t="n"/>
      <c r="BV32" s="137" t="n"/>
      <c r="BW32" s="137" t="n"/>
      <c r="BX32" s="137" t="n"/>
      <c r="BY32" s="137" t="n"/>
      <c r="BZ32" s="137" t="n"/>
      <c r="CA32" s="131" t="n"/>
      <c r="CB32" s="131" t="n"/>
      <c r="CC32" s="170" t="n">
        <v>-62.28435789813118</v>
      </c>
      <c r="CD32" s="171" t="n">
        <v>0</v>
      </c>
      <c r="CE32" s="171" t="n">
        <v>0</v>
      </c>
      <c r="CF32" s="171" t="n">
        <v>0</v>
      </c>
      <c r="CG32" s="171" t="n">
        <v>0</v>
      </c>
      <c r="CH32" s="171" t="n">
        <v>0</v>
      </c>
      <c r="CI32" s="171" t="n">
        <v>0</v>
      </c>
      <c r="CJ32" s="171" t="n">
        <v>0</v>
      </c>
      <c r="CK32" s="173" t="n">
        <v>0</v>
      </c>
      <c r="CL32" s="173" t="n">
        <v>0</v>
      </c>
      <c r="CM32" s="173" t="n">
        <v>0</v>
      </c>
      <c r="CN32" s="173" t="n">
        <v>0</v>
      </c>
      <c r="CO32" s="173" t="n">
        <v>0</v>
      </c>
      <c r="CP32" s="173" t="n">
        <v>0</v>
      </c>
      <c r="CQ32" s="174" t="n">
        <v>0</v>
      </c>
    </row>
    <row r="33" ht="16.5" customHeight="1">
      <c r="A33" s="142" t="n"/>
      <c r="B33" s="157" t="n"/>
      <c r="C33" s="157" t="n"/>
      <c r="D33" s="143" t="n"/>
      <c r="E33" s="143" t="n"/>
      <c r="F33" s="4" t="n"/>
      <c r="G33" s="4" t="n"/>
      <c r="H33" s="144" t="n">
        <v>0</v>
      </c>
      <c r="I33" s="3" t="n"/>
      <c r="J33" s="4" t="n"/>
      <c r="K33" s="4" t="n"/>
      <c r="L33" s="116" t="n">
        <v>0</v>
      </c>
      <c r="M33" s="172" t="n"/>
      <c r="N33" s="158" t="n"/>
      <c r="P33" s="55" t="n"/>
      <c r="Q33" s="56" t="n"/>
      <c r="R33" s="56" t="n"/>
      <c r="S33" s="57" t="n"/>
      <c r="X33" s="145" t="n">
        <v>1699.037374073919</v>
      </c>
      <c r="Y33" s="146" t="n">
        <v>0</v>
      </c>
      <c r="Z33" s="146" t="str"/>
      <c r="AA33" s="146" t="str"/>
      <c r="AB33" s="146" t="str"/>
      <c r="AC33" s="146" t="str"/>
      <c r="AD33" s="146" t="str"/>
      <c r="AE33" s="146" t="str"/>
      <c r="AF33" s="147" t="str"/>
      <c r="AG33" s="147" t="str"/>
      <c r="AH33" s="147" t="str"/>
      <c r="AI33" s="147" t="str"/>
      <c r="AJ33" s="147" t="str"/>
      <c r="AK33" s="147" t="str"/>
      <c r="AL33" s="148" t="str"/>
      <c r="AM33" s="131" t="n"/>
      <c r="AN33" s="131" t="n"/>
      <c r="AO33" s="149" t="n">
        <v>-62.28435789813118</v>
      </c>
      <c r="AP33" s="150" t="n">
        <v>0</v>
      </c>
      <c r="AQ33" s="150" t="n">
        <v>0</v>
      </c>
      <c r="AR33" s="150" t="n">
        <v>0</v>
      </c>
      <c r="AS33" s="150" t="n">
        <v>0</v>
      </c>
      <c r="AT33" s="150" t="n">
        <v>0</v>
      </c>
      <c r="AU33" s="150" t="n">
        <v>0</v>
      </c>
      <c r="AV33" s="150" t="n">
        <v>0</v>
      </c>
      <c r="AW33" s="151" t="n">
        <v>0</v>
      </c>
      <c r="AX33" s="151" t="n">
        <v>0</v>
      </c>
      <c r="AY33" s="151" t="n">
        <v>0</v>
      </c>
      <c r="AZ33" s="151" t="n">
        <v>0</v>
      </c>
      <c r="BA33" s="151" t="n">
        <v>0</v>
      </c>
      <c r="BB33" s="151" t="n">
        <v>0</v>
      </c>
      <c r="BC33" s="152" t="n">
        <v>0</v>
      </c>
      <c r="BD33" s="131" t="n"/>
      <c r="BE33" s="51" t="inlineStr">
        <is>
          <t>DOAS-3-1 to R3</t>
        </is>
      </c>
      <c r="BF33" s="21" t="n"/>
      <c r="BG33" s="21" t="n"/>
      <c r="BH33" s="21" t="n"/>
      <c r="BI33" s="21" t="n"/>
      <c r="BJ33" s="131" t="n"/>
      <c r="BK33" s="131" t="n"/>
      <c r="BL33" s="137" t="n"/>
      <c r="BM33" s="137" t="n"/>
      <c r="BN33" s="137" t="n"/>
      <c r="BO33" s="137" t="n"/>
      <c r="BP33" s="137" t="n"/>
      <c r="BQ33" s="137" t="n"/>
      <c r="BR33" s="137" t="n"/>
      <c r="BS33" s="137" t="n"/>
      <c r="BT33" s="137" t="n"/>
      <c r="BU33" s="137" t="n"/>
      <c r="BV33" s="137" t="n"/>
      <c r="BW33" s="137" t="n"/>
      <c r="BX33" s="137" t="n"/>
      <c r="BY33" s="137" t="n"/>
      <c r="BZ33" s="137" t="n"/>
      <c r="CA33" s="131" t="n"/>
      <c r="CB33" s="131" t="n"/>
      <c r="CC33" s="170" t="n">
        <v>-62.28435789813118</v>
      </c>
      <c r="CD33" s="171" t="n">
        <v>0</v>
      </c>
      <c r="CE33" s="171" t="n">
        <v>0</v>
      </c>
      <c r="CF33" s="171" t="n">
        <v>0</v>
      </c>
      <c r="CG33" s="171" t="n">
        <v>0</v>
      </c>
      <c r="CH33" s="171" t="n">
        <v>0</v>
      </c>
      <c r="CI33" s="171" t="n">
        <v>0</v>
      </c>
      <c r="CJ33" s="171" t="n">
        <v>0</v>
      </c>
      <c r="CK33" s="173" t="n">
        <v>0</v>
      </c>
      <c r="CL33" s="173" t="n">
        <v>0</v>
      </c>
      <c r="CM33" s="173" t="n">
        <v>0</v>
      </c>
      <c r="CN33" s="173" t="n">
        <v>0</v>
      </c>
      <c r="CO33" s="173" t="n">
        <v>0</v>
      </c>
      <c r="CP33" s="173" t="n">
        <v>0</v>
      </c>
      <c r="CQ33" s="174" t="n">
        <v>0</v>
      </c>
    </row>
    <row r="34" ht="16.5" customHeight="1">
      <c r="A34" s="142" t="n"/>
      <c r="B34" s="157" t="n"/>
      <c r="C34" s="157" t="n"/>
      <c r="D34" s="143" t="n"/>
      <c r="E34" s="143" t="n"/>
      <c r="F34" s="4" t="n"/>
      <c r="G34" s="4" t="n"/>
      <c r="H34" s="144" t="n">
        <v>0</v>
      </c>
      <c r="I34" s="3" t="n"/>
      <c r="J34" s="4" t="n"/>
      <c r="K34" s="4" t="n"/>
      <c r="L34" s="116" t="n">
        <v>0</v>
      </c>
      <c r="M34" s="172" t="n"/>
      <c r="N34" s="158" t="n"/>
      <c r="P34" s="55" t="n"/>
      <c r="Q34" s="56" t="n"/>
      <c r="R34" s="56" t="n"/>
      <c r="S34" s="57" t="n"/>
      <c r="X34" s="145" t="n">
        <v>1699.037374073919</v>
      </c>
      <c r="Y34" s="146" t="n">
        <v>0</v>
      </c>
      <c r="Z34" s="146" t="str"/>
      <c r="AA34" s="146" t="str"/>
      <c r="AB34" s="146" t="str"/>
      <c r="AC34" s="146" t="str"/>
      <c r="AD34" s="146" t="str"/>
      <c r="AE34" s="146" t="str"/>
      <c r="AF34" s="147" t="str"/>
      <c r="AG34" s="147" t="str"/>
      <c r="AH34" s="147" t="str"/>
      <c r="AI34" s="147" t="str"/>
      <c r="AJ34" s="147" t="str"/>
      <c r="AK34" s="147" t="str"/>
      <c r="AL34" s="148" t="str"/>
      <c r="AM34" s="131" t="n"/>
      <c r="AN34" s="131" t="n"/>
      <c r="AO34" s="149" t="n">
        <v>-62.28435789813118</v>
      </c>
      <c r="AP34" s="150" t="n">
        <v>0</v>
      </c>
      <c r="AQ34" s="150" t="n">
        <v>0</v>
      </c>
      <c r="AR34" s="150" t="n">
        <v>0</v>
      </c>
      <c r="AS34" s="150" t="n">
        <v>0</v>
      </c>
      <c r="AT34" s="150" t="n">
        <v>0</v>
      </c>
      <c r="AU34" s="150" t="n">
        <v>0</v>
      </c>
      <c r="AV34" s="150" t="n">
        <v>0</v>
      </c>
      <c r="AW34" s="151" t="n">
        <v>0</v>
      </c>
      <c r="AX34" s="151" t="n">
        <v>0</v>
      </c>
      <c r="AY34" s="151" t="n">
        <v>0</v>
      </c>
      <c r="AZ34" s="151" t="n">
        <v>0</v>
      </c>
      <c r="BA34" s="151" t="n">
        <v>0</v>
      </c>
      <c r="BB34" s="151" t="n">
        <v>0</v>
      </c>
      <c r="BC34" s="152" t="n">
        <v>0</v>
      </c>
      <c r="BD34" s="131" t="n"/>
      <c r="BE34" s="131" t="n"/>
      <c r="BF34" s="131" t="n"/>
      <c r="BG34" s="131" t="n"/>
      <c r="BH34" s="131" t="n"/>
      <c r="BI34" s="131" t="n"/>
      <c r="BJ34" s="131" t="n"/>
      <c r="BK34" s="131" t="n"/>
      <c r="BL34" s="137" t="n"/>
      <c r="BM34" s="137" t="n"/>
      <c r="BN34" s="137" t="n"/>
      <c r="BO34" s="137" t="n"/>
      <c r="BP34" s="137" t="n"/>
      <c r="BQ34" s="137" t="n"/>
      <c r="BR34" s="137" t="n"/>
      <c r="BS34" s="137" t="n"/>
      <c r="BT34" s="137" t="n"/>
      <c r="BU34" s="137" t="n"/>
      <c r="BV34" s="137" t="n"/>
      <c r="BW34" s="137" t="n"/>
      <c r="BX34" s="137" t="n"/>
      <c r="BY34" s="137" t="n"/>
      <c r="BZ34" s="137" t="n"/>
      <c r="CA34" s="131" t="n"/>
      <c r="CB34" s="131" t="n"/>
      <c r="CC34" s="170" t="n">
        <v>-62.28435789813118</v>
      </c>
      <c r="CD34" s="171" t="n">
        <v>0</v>
      </c>
      <c r="CE34" s="171" t="n">
        <v>0</v>
      </c>
      <c r="CF34" s="171" t="n">
        <v>0</v>
      </c>
      <c r="CG34" s="171" t="n">
        <v>0</v>
      </c>
      <c r="CH34" s="171" t="n">
        <v>0</v>
      </c>
      <c r="CI34" s="171" t="n">
        <v>0</v>
      </c>
      <c r="CJ34" s="171" t="n">
        <v>0</v>
      </c>
      <c r="CK34" s="173" t="n">
        <v>0</v>
      </c>
      <c r="CL34" s="173" t="n">
        <v>0</v>
      </c>
      <c r="CM34" s="173" t="n">
        <v>0</v>
      </c>
      <c r="CN34" s="173" t="n">
        <v>0</v>
      </c>
      <c r="CO34" s="173" t="n">
        <v>0</v>
      </c>
      <c r="CP34" s="173" t="n">
        <v>0</v>
      </c>
      <c r="CQ34" s="174" t="n">
        <v>0</v>
      </c>
    </row>
    <row r="35" ht="16.5" customHeight="1">
      <c r="A35" s="142" t="n"/>
      <c r="B35" s="157" t="n"/>
      <c r="C35" s="157" t="n"/>
      <c r="D35" s="143" t="n"/>
      <c r="E35" s="143" t="n"/>
      <c r="F35" s="4" t="n"/>
      <c r="G35" s="4" t="n"/>
      <c r="H35" s="144" t="n">
        <v>0</v>
      </c>
      <c r="I35" s="3" t="n"/>
      <c r="J35" s="4" t="n"/>
      <c r="K35" s="4" t="n"/>
      <c r="L35" s="116" t="n">
        <v>0</v>
      </c>
      <c r="M35" s="172" t="n"/>
      <c r="N35" s="158" t="n"/>
      <c r="P35" s="55" t="n"/>
      <c r="Q35" s="56" t="n"/>
      <c r="R35" s="56" t="n"/>
      <c r="S35" s="57" t="n"/>
      <c r="X35" s="145" t="n">
        <v>1699.037374073919</v>
      </c>
      <c r="Y35" s="146" t="n">
        <v>0</v>
      </c>
      <c r="Z35" s="146" t="str"/>
      <c r="AA35" s="146" t="str"/>
      <c r="AB35" s="146" t="str"/>
      <c r="AC35" s="146" t="str"/>
      <c r="AD35" s="146" t="str"/>
      <c r="AE35" s="146" t="str"/>
      <c r="AF35" s="147" t="str"/>
      <c r="AG35" s="147" t="str"/>
      <c r="AH35" s="147" t="str"/>
      <c r="AI35" s="147" t="str"/>
      <c r="AJ35" s="147" t="str"/>
      <c r="AK35" s="147" t="str"/>
      <c r="AL35" s="148" t="str"/>
      <c r="AM35" s="131" t="n"/>
      <c r="AN35" s="131" t="n"/>
      <c r="AO35" s="149" t="n">
        <v>-62.28435789813118</v>
      </c>
      <c r="AP35" s="150" t="n">
        <v>0</v>
      </c>
      <c r="AQ35" s="150" t="n">
        <v>0</v>
      </c>
      <c r="AR35" s="150" t="n">
        <v>0</v>
      </c>
      <c r="AS35" s="150" t="n">
        <v>0</v>
      </c>
      <c r="AT35" s="150" t="n">
        <v>0</v>
      </c>
      <c r="AU35" s="150" t="n">
        <v>0</v>
      </c>
      <c r="AV35" s="150" t="n">
        <v>0</v>
      </c>
      <c r="AW35" s="151" t="n">
        <v>0</v>
      </c>
      <c r="AX35" s="151" t="n">
        <v>0</v>
      </c>
      <c r="AY35" s="151" t="n">
        <v>0</v>
      </c>
      <c r="AZ35" s="151" t="n">
        <v>0</v>
      </c>
      <c r="BA35" s="151" t="n">
        <v>0</v>
      </c>
      <c r="BB35" s="151" t="n">
        <v>0</v>
      </c>
      <c r="BC35" s="152" t="n">
        <v>0</v>
      </c>
      <c r="BD35" s="131" t="n"/>
      <c r="BE35" s="131" t="n"/>
      <c r="BF35" s="131" t="n"/>
      <c r="BG35" s="131" t="n"/>
      <c r="BH35" s="131" t="n"/>
      <c r="BI35" s="131" t="n"/>
      <c r="BJ35" s="131" t="n"/>
      <c r="BK35" s="131" t="n"/>
      <c r="BL35" s="137" t="n"/>
      <c r="BM35" s="137" t="n"/>
      <c r="BN35" s="137" t="n"/>
      <c r="BO35" s="137" t="n"/>
      <c r="BP35" s="137" t="n"/>
      <c r="BQ35" s="137" t="n"/>
      <c r="BR35" s="137" t="n"/>
      <c r="BS35" s="137" t="n"/>
      <c r="BT35" s="137" t="n"/>
      <c r="BU35" s="137" t="n"/>
      <c r="BV35" s="137" t="n"/>
      <c r="BW35" s="137" t="n"/>
      <c r="BX35" s="137" t="n"/>
      <c r="BY35" s="137" t="n"/>
      <c r="BZ35" s="137" t="n"/>
      <c r="CA35" s="131" t="n"/>
      <c r="CB35" s="131" t="n"/>
      <c r="CC35" s="170" t="n">
        <v>-62.28435789813118</v>
      </c>
      <c r="CD35" s="171" t="n">
        <v>0</v>
      </c>
      <c r="CE35" s="171" t="n">
        <v>0</v>
      </c>
      <c r="CF35" s="171" t="n">
        <v>0</v>
      </c>
      <c r="CG35" s="171" t="n">
        <v>0</v>
      </c>
      <c r="CH35" s="171" t="n">
        <v>0</v>
      </c>
      <c r="CI35" s="171" t="n">
        <v>0</v>
      </c>
      <c r="CJ35" s="171" t="n">
        <v>0</v>
      </c>
      <c r="CK35" s="173" t="n">
        <v>0</v>
      </c>
      <c r="CL35" s="173" t="n">
        <v>0</v>
      </c>
      <c r="CM35" s="173" t="n">
        <v>0</v>
      </c>
      <c r="CN35" s="173" t="n">
        <v>0</v>
      </c>
      <c r="CO35" s="173" t="n">
        <v>0</v>
      </c>
      <c r="CP35" s="173" t="n">
        <v>0</v>
      </c>
      <c r="CQ35" s="174" t="n">
        <v>0</v>
      </c>
    </row>
    <row r="36" ht="16.5" customHeight="1">
      <c r="A36" s="142" t="n"/>
      <c r="B36" s="157" t="n"/>
      <c r="C36" s="157" t="n"/>
      <c r="D36" s="143" t="n"/>
      <c r="E36" s="143" t="n"/>
      <c r="F36" s="4" t="n"/>
      <c r="G36" s="4" t="n"/>
      <c r="H36" s="144" t="n">
        <v>0</v>
      </c>
      <c r="I36" s="3" t="n"/>
      <c r="J36" s="4" t="n"/>
      <c r="K36" s="4" t="n"/>
      <c r="L36" s="116" t="n">
        <v>0</v>
      </c>
      <c r="M36" s="172" t="n"/>
      <c r="N36" s="158" t="n"/>
      <c r="P36" s="55" t="n"/>
      <c r="Q36" s="56" t="n"/>
      <c r="R36" s="56" t="n"/>
      <c r="S36" s="57" t="n"/>
      <c r="X36" s="145" t="n">
        <v>1699.037374073919</v>
      </c>
      <c r="Y36" s="146" t="n">
        <v>0</v>
      </c>
      <c r="Z36" s="146" t="str"/>
      <c r="AA36" s="146" t="str"/>
      <c r="AB36" s="146" t="str"/>
      <c r="AC36" s="146" t="str"/>
      <c r="AD36" s="146" t="str"/>
      <c r="AE36" s="146" t="str"/>
      <c r="AF36" s="147" t="str"/>
      <c r="AG36" s="147" t="str"/>
      <c r="AH36" s="147" t="str"/>
      <c r="AI36" s="147" t="str"/>
      <c r="AJ36" s="147" t="str"/>
      <c r="AK36" s="147" t="str"/>
      <c r="AL36" s="148" t="str"/>
      <c r="AM36" s="131" t="n"/>
      <c r="AN36" s="131" t="n"/>
      <c r="AO36" s="149" t="n">
        <v>-62.28435789813118</v>
      </c>
      <c r="AP36" s="150" t="n">
        <v>0</v>
      </c>
      <c r="AQ36" s="150" t="n">
        <v>0</v>
      </c>
      <c r="AR36" s="150" t="n">
        <v>0</v>
      </c>
      <c r="AS36" s="150" t="n">
        <v>0</v>
      </c>
      <c r="AT36" s="150" t="n">
        <v>0</v>
      </c>
      <c r="AU36" s="150" t="n">
        <v>0</v>
      </c>
      <c r="AV36" s="150" t="n">
        <v>0</v>
      </c>
      <c r="AW36" s="151" t="n">
        <v>0</v>
      </c>
      <c r="AX36" s="151" t="n">
        <v>0</v>
      </c>
      <c r="AY36" s="151" t="n">
        <v>0</v>
      </c>
      <c r="AZ36" s="151" t="n">
        <v>0</v>
      </c>
      <c r="BA36" s="151" t="n">
        <v>0</v>
      </c>
      <c r="BB36" s="151" t="n">
        <v>0</v>
      </c>
      <c r="BC36" s="152" t="n">
        <v>0</v>
      </c>
      <c r="BD36" s="131" t="n"/>
      <c r="BE36" s="131" t="n"/>
      <c r="BF36" s="131" t="n"/>
      <c r="BG36" s="131" t="n"/>
      <c r="BH36" s="131" t="n"/>
      <c r="BI36" s="131" t="n"/>
      <c r="BJ36" s="131" t="n"/>
      <c r="BK36" s="131" t="n"/>
      <c r="BL36" s="137" t="n"/>
      <c r="BM36" s="137" t="n"/>
      <c r="BN36" s="137" t="n"/>
      <c r="BO36" s="137" t="n"/>
      <c r="BP36" s="137" t="n"/>
      <c r="BQ36" s="137" t="n"/>
      <c r="BR36" s="137" t="n"/>
      <c r="BS36" s="137" t="n"/>
      <c r="BT36" s="137" t="n"/>
      <c r="BU36" s="137" t="n"/>
      <c r="BV36" s="137" t="n"/>
      <c r="BW36" s="137" t="n"/>
      <c r="BX36" s="137" t="n"/>
      <c r="BY36" s="137" t="n"/>
      <c r="BZ36" s="137" t="n"/>
      <c r="CA36" s="131" t="n"/>
      <c r="CB36" s="131" t="n"/>
      <c r="CC36" s="170" t="n">
        <v>-62.28435789813118</v>
      </c>
      <c r="CD36" s="171" t="n">
        <v>0</v>
      </c>
      <c r="CE36" s="171" t="n">
        <v>0</v>
      </c>
      <c r="CF36" s="171" t="n">
        <v>0</v>
      </c>
      <c r="CG36" s="171" t="n">
        <v>0</v>
      </c>
      <c r="CH36" s="171" t="n">
        <v>0</v>
      </c>
      <c r="CI36" s="171" t="n">
        <v>0</v>
      </c>
      <c r="CJ36" s="171" t="n">
        <v>0</v>
      </c>
      <c r="CK36" s="173" t="n">
        <v>0</v>
      </c>
      <c r="CL36" s="173" t="n">
        <v>0</v>
      </c>
      <c r="CM36" s="173" t="n">
        <v>0</v>
      </c>
      <c r="CN36" s="173" t="n">
        <v>0</v>
      </c>
      <c r="CO36" s="173" t="n">
        <v>0</v>
      </c>
      <c r="CP36" s="173" t="n">
        <v>0</v>
      </c>
      <c r="CQ36" s="174" t="n">
        <v>0</v>
      </c>
    </row>
    <row r="37" ht="16.5" customHeight="1">
      <c r="A37" s="142" t="n"/>
      <c r="B37" s="157" t="n"/>
      <c r="C37" s="157" t="n"/>
      <c r="D37" s="143" t="n"/>
      <c r="E37" s="143" t="n"/>
      <c r="F37" s="4" t="n"/>
      <c r="G37" s="4" t="n"/>
      <c r="H37" s="144" t="n">
        <v>0</v>
      </c>
      <c r="I37" s="3" t="n"/>
      <c r="J37" s="4" t="n"/>
      <c r="K37" s="4" t="n"/>
      <c r="L37" s="116" t="n">
        <v>0</v>
      </c>
      <c r="M37" s="172" t="n"/>
      <c r="N37" s="158" t="n"/>
      <c r="P37" s="55" t="n"/>
      <c r="Q37" s="56" t="n"/>
      <c r="R37" s="56" t="n"/>
      <c r="S37" s="57" t="n"/>
      <c r="X37" s="145" t="n">
        <v>1699.037374073919</v>
      </c>
      <c r="Y37" s="146" t="n">
        <v>0</v>
      </c>
      <c r="Z37" s="146" t="str"/>
      <c r="AA37" s="146" t="str"/>
      <c r="AB37" s="146" t="str"/>
      <c r="AC37" s="146" t="str"/>
      <c r="AD37" s="146" t="str"/>
      <c r="AE37" s="146" t="str"/>
      <c r="AF37" s="147" t="str"/>
      <c r="AG37" s="147" t="str"/>
      <c r="AH37" s="147" t="str"/>
      <c r="AI37" s="147" t="str"/>
      <c r="AJ37" s="147" t="str"/>
      <c r="AK37" s="147" t="str"/>
      <c r="AL37" s="148" t="str"/>
      <c r="AM37" s="131" t="n"/>
      <c r="AN37" s="131" t="n"/>
      <c r="AO37" s="149" t="n">
        <v>-62.28435789813118</v>
      </c>
      <c r="AP37" s="150" t="n">
        <v>0</v>
      </c>
      <c r="AQ37" s="150" t="n">
        <v>0</v>
      </c>
      <c r="AR37" s="150" t="n">
        <v>0</v>
      </c>
      <c r="AS37" s="150" t="n">
        <v>0</v>
      </c>
      <c r="AT37" s="150" t="n">
        <v>0</v>
      </c>
      <c r="AU37" s="150" t="n">
        <v>0</v>
      </c>
      <c r="AV37" s="150" t="n">
        <v>0</v>
      </c>
      <c r="AW37" s="151" t="n">
        <v>0</v>
      </c>
      <c r="AX37" s="151" t="n">
        <v>0</v>
      </c>
      <c r="AY37" s="151" t="n">
        <v>0</v>
      </c>
      <c r="AZ37" s="151" t="n">
        <v>0</v>
      </c>
      <c r="BA37" s="151" t="n">
        <v>0</v>
      </c>
      <c r="BB37" s="151" t="n">
        <v>0</v>
      </c>
      <c r="BC37" s="152" t="n">
        <v>0</v>
      </c>
      <c r="BD37" s="131" t="n"/>
      <c r="BE37" s="203" t="inlineStr">
        <is>
          <t>ARI</t>
        </is>
      </c>
      <c r="BF37" s="204" t="n"/>
      <c r="BG37" s="21" t="n"/>
      <c r="BH37" s="131" t="n"/>
      <c r="BI37" s="131" t="n"/>
      <c r="BJ37" s="131" t="n"/>
      <c r="BK37" s="131" t="n"/>
      <c r="BL37" s="137" t="n"/>
      <c r="BM37" s="137" t="n"/>
      <c r="BN37" s="137" t="n"/>
      <c r="BO37" s="137" t="n"/>
      <c r="BP37" s="137" t="n"/>
      <c r="BQ37" s="137" t="n"/>
      <c r="BR37" s="137" t="n"/>
      <c r="BS37" s="137" t="n"/>
      <c r="BT37" s="137" t="n"/>
      <c r="BU37" s="137" t="n"/>
      <c r="BV37" s="137" t="n"/>
      <c r="BW37" s="137" t="n"/>
      <c r="BX37" s="137" t="n"/>
      <c r="BY37" s="137" t="n"/>
      <c r="BZ37" s="137" t="n"/>
      <c r="CA37" s="131" t="n"/>
      <c r="CB37" s="131" t="n"/>
      <c r="CC37" s="170" t="n">
        <v>-62.28435789813118</v>
      </c>
      <c r="CD37" s="171" t="n">
        <v>0</v>
      </c>
      <c r="CE37" s="171" t="n">
        <v>0</v>
      </c>
      <c r="CF37" s="171" t="n">
        <v>0</v>
      </c>
      <c r="CG37" s="171" t="n">
        <v>0</v>
      </c>
      <c r="CH37" s="171" t="n">
        <v>0</v>
      </c>
      <c r="CI37" s="171" t="n">
        <v>0</v>
      </c>
      <c r="CJ37" s="171" t="n">
        <v>0</v>
      </c>
      <c r="CK37" s="173" t="n">
        <v>0</v>
      </c>
      <c r="CL37" s="173" t="n">
        <v>0</v>
      </c>
      <c r="CM37" s="173" t="n">
        <v>0</v>
      </c>
      <c r="CN37" s="173" t="n">
        <v>0</v>
      </c>
      <c r="CO37" s="173" t="n">
        <v>0</v>
      </c>
      <c r="CP37" s="173" t="n">
        <v>0</v>
      </c>
      <c r="CQ37" s="174" t="n">
        <v>0</v>
      </c>
    </row>
    <row r="38" ht="16.5" customHeight="1">
      <c r="A38" s="142" t="n"/>
      <c r="B38" s="157" t="n"/>
      <c r="C38" s="157" t="n"/>
      <c r="D38" s="143" t="n"/>
      <c r="E38" s="143" t="n"/>
      <c r="F38" s="4" t="n"/>
      <c r="G38" s="4" t="n"/>
      <c r="H38" s="144" t="n">
        <v>0</v>
      </c>
      <c r="I38" s="3" t="n"/>
      <c r="J38" s="4" t="n"/>
      <c r="K38" s="4" t="n"/>
      <c r="L38" s="116" t="n">
        <v>0</v>
      </c>
      <c r="M38" s="172" t="n"/>
      <c r="N38" s="158" t="n"/>
      <c r="P38" s="55" t="n"/>
      <c r="Q38" s="56" t="n"/>
      <c r="R38" s="56" t="n"/>
      <c r="S38" s="57" t="n"/>
      <c r="X38" s="145" t="n">
        <v>1699.037374073919</v>
      </c>
      <c r="Y38" s="146" t="n">
        <v>0</v>
      </c>
      <c r="Z38" s="146" t="str"/>
      <c r="AA38" s="146" t="str"/>
      <c r="AB38" s="146" t="str"/>
      <c r="AC38" s="146" t="str"/>
      <c r="AD38" s="146" t="str"/>
      <c r="AE38" s="146" t="str"/>
      <c r="AF38" s="147" t="str"/>
      <c r="AG38" s="147" t="str"/>
      <c r="AH38" s="147" t="str"/>
      <c r="AI38" s="147" t="str"/>
      <c r="AJ38" s="147" t="str"/>
      <c r="AK38" s="147" t="str"/>
      <c r="AL38" s="148" t="str"/>
      <c r="AM38" s="131" t="n"/>
      <c r="AN38" s="131" t="n"/>
      <c r="AO38" s="149" t="n">
        <v>-62.28435789813118</v>
      </c>
      <c r="AP38" s="150" t="n">
        <v>0</v>
      </c>
      <c r="AQ38" s="150" t="n">
        <v>0</v>
      </c>
      <c r="AR38" s="150" t="n">
        <v>0</v>
      </c>
      <c r="AS38" s="150" t="n">
        <v>0</v>
      </c>
      <c r="AT38" s="150" t="n">
        <v>0</v>
      </c>
      <c r="AU38" s="150" t="n">
        <v>0</v>
      </c>
      <c r="AV38" s="150" t="n">
        <v>0</v>
      </c>
      <c r="AW38" s="151" t="n">
        <v>0</v>
      </c>
      <c r="AX38" s="151" t="n">
        <v>0</v>
      </c>
      <c r="AY38" s="151" t="n">
        <v>0</v>
      </c>
      <c r="AZ38" s="151" t="n">
        <v>0</v>
      </c>
      <c r="BA38" s="151" t="n">
        <v>0</v>
      </c>
      <c r="BB38" s="151" t="n">
        <v>0</v>
      </c>
      <c r="BC38" s="152" t="n">
        <v>0</v>
      </c>
      <c r="BD38" s="131" t="n"/>
      <c r="BE38" s="62" t="inlineStr">
        <is>
          <t>Path 
Length (ft)</t>
        </is>
      </c>
      <c r="BF38" s="62" t="inlineStr">
        <is>
          <t>Barrier 
Reduction (dB)</t>
        </is>
      </c>
      <c r="BG38" s="21" t="n"/>
      <c r="BH38" s="131" t="n"/>
      <c r="BI38" s="131" t="n"/>
      <c r="BJ38" s="131" t="n"/>
      <c r="BK38" s="131" t="n"/>
      <c r="BL38" s="137" t="n"/>
      <c r="BM38" s="137" t="n"/>
      <c r="BN38" s="137" t="n"/>
      <c r="BO38" s="137" t="n"/>
      <c r="BP38" s="137" t="n"/>
      <c r="BQ38" s="137" t="n"/>
      <c r="BR38" s="137" t="n"/>
      <c r="BS38" s="137" t="n"/>
      <c r="BT38" s="137" t="n"/>
      <c r="BU38" s="137" t="n"/>
      <c r="BV38" s="137" t="n"/>
      <c r="BW38" s="137" t="n"/>
      <c r="BX38" s="137" t="n"/>
      <c r="BY38" s="137" t="n"/>
      <c r="BZ38" s="137" t="n"/>
      <c r="CA38" s="131" t="n"/>
      <c r="CB38" s="131" t="n"/>
      <c r="CC38" s="170" t="n">
        <v>-62.28435789813118</v>
      </c>
      <c r="CD38" s="171" t="n">
        <v>0</v>
      </c>
      <c r="CE38" s="171" t="n">
        <v>0</v>
      </c>
      <c r="CF38" s="171" t="n">
        <v>0</v>
      </c>
      <c r="CG38" s="171" t="n">
        <v>0</v>
      </c>
      <c r="CH38" s="171" t="n">
        <v>0</v>
      </c>
      <c r="CI38" s="171" t="n">
        <v>0</v>
      </c>
      <c r="CJ38" s="171" t="n">
        <v>0</v>
      </c>
      <c r="CK38" s="173" t="n">
        <v>0</v>
      </c>
      <c r="CL38" s="173" t="n">
        <v>0</v>
      </c>
      <c r="CM38" s="173" t="n">
        <v>0</v>
      </c>
      <c r="CN38" s="173" t="n">
        <v>0</v>
      </c>
      <c r="CO38" s="173" t="n">
        <v>0</v>
      </c>
      <c r="CP38" s="173" t="n">
        <v>0</v>
      </c>
      <c r="CQ38" s="174" t="n">
        <v>0</v>
      </c>
    </row>
    <row r="39" ht="16.5" customHeight="1">
      <c r="A39" s="142" t="n"/>
      <c r="B39" s="157" t="n"/>
      <c r="C39" s="157" t="n"/>
      <c r="D39" s="143" t="n"/>
      <c r="E39" s="143" t="n"/>
      <c r="F39" s="4" t="n"/>
      <c r="G39" s="4" t="n"/>
      <c r="H39" s="144" t="n">
        <v>0</v>
      </c>
      <c r="I39" s="3" t="n"/>
      <c r="J39" s="4" t="n"/>
      <c r="K39" s="4" t="n"/>
      <c r="L39" s="116" t="n">
        <v>0</v>
      </c>
      <c r="M39" s="172" t="n"/>
      <c r="N39" s="158" t="n"/>
      <c r="P39" s="55" t="n"/>
      <c r="Q39" s="56" t="n"/>
      <c r="R39" s="56" t="n"/>
      <c r="S39" s="57" t="n"/>
      <c r="X39" s="145" t="n">
        <v>1699.037374073919</v>
      </c>
      <c r="Y39" s="146" t="n">
        <v>0</v>
      </c>
      <c r="Z39" s="146" t="str"/>
      <c r="AA39" s="146" t="str"/>
      <c r="AB39" s="146" t="str"/>
      <c r="AC39" s="146" t="str"/>
      <c r="AD39" s="146" t="str"/>
      <c r="AE39" s="146" t="str"/>
      <c r="AF39" s="147" t="str"/>
      <c r="AG39" s="147" t="str"/>
      <c r="AH39" s="147" t="str"/>
      <c r="AI39" s="147" t="str"/>
      <c r="AJ39" s="147" t="str"/>
      <c r="AK39" s="147" t="str"/>
      <c r="AL39" s="148" t="str"/>
      <c r="AM39" s="131" t="n"/>
      <c r="AN39" s="131" t="n"/>
      <c r="AO39" s="149" t="n">
        <v>-62.28435789813118</v>
      </c>
      <c r="AP39" s="150" t="n">
        <v>0</v>
      </c>
      <c r="AQ39" s="150" t="n">
        <v>0</v>
      </c>
      <c r="AR39" s="150" t="n">
        <v>0</v>
      </c>
      <c r="AS39" s="150" t="n">
        <v>0</v>
      </c>
      <c r="AT39" s="150" t="n">
        <v>0</v>
      </c>
      <c r="AU39" s="150" t="n">
        <v>0</v>
      </c>
      <c r="AV39" s="150" t="n">
        <v>0</v>
      </c>
      <c r="AW39" s="151" t="n">
        <v>0</v>
      </c>
      <c r="AX39" s="151" t="n">
        <v>0</v>
      </c>
      <c r="AY39" s="151" t="n">
        <v>0</v>
      </c>
      <c r="AZ39" s="151" t="n">
        <v>0</v>
      </c>
      <c r="BA39" s="151" t="n">
        <v>0</v>
      </c>
      <c r="BB39" s="151" t="n">
        <v>0</v>
      </c>
      <c r="BC39" s="152" t="n">
        <v>0</v>
      </c>
      <c r="BD39" s="131" t="n"/>
      <c r="BE39" s="61" t="n">
        <v>0</v>
      </c>
      <c r="BF39" s="61" t="n">
        <v>0</v>
      </c>
      <c r="BG39" s="21" t="n"/>
      <c r="BH39" s="131" t="n"/>
      <c r="BI39" s="131" t="n"/>
      <c r="BJ39" s="131" t="n"/>
      <c r="BK39" s="131" t="n"/>
      <c r="BL39" s="137" t="n"/>
      <c r="BM39" s="137" t="n"/>
      <c r="BN39" s="137" t="n"/>
      <c r="BO39" s="137" t="n"/>
      <c r="BP39" s="137" t="n"/>
      <c r="BQ39" s="137" t="n"/>
      <c r="BR39" s="137" t="n"/>
      <c r="BS39" s="137" t="n"/>
      <c r="BT39" s="137" t="n"/>
      <c r="BU39" s="137" t="n"/>
      <c r="BV39" s="137" t="n"/>
      <c r="BW39" s="137" t="n"/>
      <c r="BX39" s="137" t="n"/>
      <c r="BY39" s="137" t="n"/>
      <c r="BZ39" s="137" t="n"/>
      <c r="CA39" s="131" t="n"/>
      <c r="CB39" s="131" t="n"/>
      <c r="CC39" s="170" t="n">
        <v>-62.28435789813118</v>
      </c>
      <c r="CD39" s="171" t="n">
        <v>0</v>
      </c>
      <c r="CE39" s="171" t="n">
        <v>0</v>
      </c>
      <c r="CF39" s="171" t="n">
        <v>0</v>
      </c>
      <c r="CG39" s="171" t="n">
        <v>0</v>
      </c>
      <c r="CH39" s="171" t="n">
        <v>0</v>
      </c>
      <c r="CI39" s="171" t="n">
        <v>0</v>
      </c>
      <c r="CJ39" s="171" t="n">
        <v>0</v>
      </c>
      <c r="CK39" s="173" t="n">
        <v>0</v>
      </c>
      <c r="CL39" s="173" t="n">
        <v>0</v>
      </c>
      <c r="CM39" s="173" t="n">
        <v>0</v>
      </c>
      <c r="CN39" s="173" t="n">
        <v>0</v>
      </c>
      <c r="CO39" s="173" t="n">
        <v>0</v>
      </c>
      <c r="CP39" s="173" t="n">
        <v>0</v>
      </c>
      <c r="CQ39" s="174" t="n">
        <v>0</v>
      </c>
    </row>
    <row r="40" ht="16.5" customHeight="1">
      <c r="A40" s="142" t="n"/>
      <c r="B40" s="157" t="n"/>
      <c r="C40" s="157" t="n"/>
      <c r="D40" s="143" t="n"/>
      <c r="E40" s="143" t="n"/>
      <c r="F40" s="4" t="n"/>
      <c r="G40" s="4" t="n"/>
      <c r="H40" s="144" t="n">
        <v>0</v>
      </c>
      <c r="I40" s="3" t="n"/>
      <c r="J40" s="4" t="n"/>
      <c r="K40" s="4" t="n"/>
      <c r="L40" s="116" t="n">
        <v>0</v>
      </c>
      <c r="M40" s="172" t="n"/>
      <c r="N40" s="158" t="n"/>
      <c r="P40" s="55" t="n"/>
      <c r="Q40" s="56" t="n"/>
      <c r="R40" s="56" t="n"/>
      <c r="S40" s="57" t="n"/>
      <c r="X40" s="145" t="n">
        <v>1699.037374073919</v>
      </c>
      <c r="Y40" s="146" t="n">
        <v>0</v>
      </c>
      <c r="Z40" s="146" t="str"/>
      <c r="AA40" s="146" t="str"/>
      <c r="AB40" s="146" t="str"/>
      <c r="AC40" s="146" t="str"/>
      <c r="AD40" s="146" t="str"/>
      <c r="AE40" s="146" t="str"/>
      <c r="AF40" s="147" t="str"/>
      <c r="AG40" s="147" t="str"/>
      <c r="AH40" s="147" t="str"/>
      <c r="AI40" s="147" t="str"/>
      <c r="AJ40" s="147" t="str"/>
      <c r="AK40" s="147" t="str"/>
      <c r="AL40" s="148" t="str"/>
      <c r="AM40" s="131" t="n"/>
      <c r="AN40" s="131" t="n"/>
      <c r="AO40" s="149" t="n">
        <v>-62.28435789813118</v>
      </c>
      <c r="AP40" s="150" t="n">
        <v>0</v>
      </c>
      <c r="AQ40" s="150" t="n">
        <v>0</v>
      </c>
      <c r="AR40" s="150" t="n">
        <v>0</v>
      </c>
      <c r="AS40" s="150" t="n">
        <v>0</v>
      </c>
      <c r="AT40" s="150" t="n">
        <v>0</v>
      </c>
      <c r="AU40" s="150" t="n">
        <v>0</v>
      </c>
      <c r="AV40" s="150" t="n">
        <v>0</v>
      </c>
      <c r="AW40" s="151" t="n">
        <v>0</v>
      </c>
      <c r="AX40" s="151" t="n">
        <v>0</v>
      </c>
      <c r="AY40" s="151" t="n">
        <v>0</v>
      </c>
      <c r="AZ40" s="151" t="n">
        <v>0</v>
      </c>
      <c r="BA40" s="151" t="n">
        <v>0</v>
      </c>
      <c r="BB40" s="151" t="n">
        <v>0</v>
      </c>
      <c r="BC40" s="152" t="n">
        <v>0</v>
      </c>
      <c r="BD40" s="131" t="n"/>
      <c r="BE40" s="61" t="n">
        <v>0.5</v>
      </c>
      <c r="BF40" s="61" t="n">
        <v>4</v>
      </c>
      <c r="BG40" s="21" t="n"/>
      <c r="BH40" s="131" t="n"/>
      <c r="BI40" s="131" t="n"/>
      <c r="BJ40" s="131" t="n"/>
      <c r="BK40" s="131" t="n"/>
      <c r="BL40" s="137" t="n"/>
      <c r="BM40" s="137" t="n"/>
      <c r="BN40" s="137" t="n"/>
      <c r="BO40" s="137" t="n"/>
      <c r="BP40" s="137" t="n"/>
      <c r="BQ40" s="137" t="n"/>
      <c r="BR40" s="137" t="n"/>
      <c r="BS40" s="137" t="n"/>
      <c r="BT40" s="137" t="n"/>
      <c r="BU40" s="137" t="n"/>
      <c r="BV40" s="137" t="n"/>
      <c r="BW40" s="137" t="n"/>
      <c r="BX40" s="137" t="n"/>
      <c r="BY40" s="137" t="n"/>
      <c r="BZ40" s="137" t="n"/>
      <c r="CA40" s="131" t="n"/>
      <c r="CB40" s="131" t="n"/>
      <c r="CC40" s="170" t="n">
        <v>-62.28435789813118</v>
      </c>
      <c r="CD40" s="171" t="n">
        <v>0</v>
      </c>
      <c r="CE40" s="171" t="n">
        <v>0</v>
      </c>
      <c r="CF40" s="171" t="n">
        <v>0</v>
      </c>
      <c r="CG40" s="171" t="n">
        <v>0</v>
      </c>
      <c r="CH40" s="171" t="n">
        <v>0</v>
      </c>
      <c r="CI40" s="171" t="n">
        <v>0</v>
      </c>
      <c r="CJ40" s="171" t="n">
        <v>0</v>
      </c>
      <c r="CK40" s="173" t="n">
        <v>0</v>
      </c>
      <c r="CL40" s="173" t="n">
        <v>0</v>
      </c>
      <c r="CM40" s="173" t="n">
        <v>0</v>
      </c>
      <c r="CN40" s="173" t="n">
        <v>0</v>
      </c>
      <c r="CO40" s="173" t="n">
        <v>0</v>
      </c>
      <c r="CP40" s="173" t="n">
        <v>0</v>
      </c>
      <c r="CQ40" s="174" t="n">
        <v>0</v>
      </c>
    </row>
    <row r="41" ht="16.5" customHeight="1">
      <c r="A41" s="142" t="n"/>
      <c r="B41" s="157" t="n"/>
      <c r="C41" s="157" t="n"/>
      <c r="D41" s="143" t="n"/>
      <c r="E41" s="143" t="n"/>
      <c r="F41" s="4" t="n"/>
      <c r="G41" s="4" t="n"/>
      <c r="H41" s="144" t="n">
        <v>0</v>
      </c>
      <c r="I41" s="3" t="n"/>
      <c r="J41" s="4" t="n"/>
      <c r="K41" s="4" t="n"/>
      <c r="L41" s="116" t="n">
        <v>0</v>
      </c>
      <c r="M41" s="172" t="n"/>
      <c r="N41" s="158" t="n"/>
      <c r="P41" s="55" t="n"/>
      <c r="Q41" s="56" t="n"/>
      <c r="R41" s="56" t="n"/>
      <c r="S41" s="57" t="n"/>
      <c r="X41" s="145" t="n">
        <v>1699.037374073919</v>
      </c>
      <c r="Y41" s="146" t="n">
        <v>0</v>
      </c>
      <c r="Z41" s="146" t="str"/>
      <c r="AA41" s="146" t="str"/>
      <c r="AB41" s="146" t="str"/>
      <c r="AC41" s="146" t="str"/>
      <c r="AD41" s="146" t="str"/>
      <c r="AE41" s="146" t="str"/>
      <c r="AF41" s="147" t="str"/>
      <c r="AG41" s="147" t="str"/>
      <c r="AH41" s="147" t="str"/>
      <c r="AI41" s="147" t="str"/>
      <c r="AJ41" s="147" t="str"/>
      <c r="AK41" s="147" t="str"/>
      <c r="AL41" s="148" t="str"/>
      <c r="AM41" s="131" t="n"/>
      <c r="AN41" s="131" t="n"/>
      <c r="AO41" s="149" t="n">
        <v>-62.28435789813118</v>
      </c>
      <c r="AP41" s="150" t="n">
        <v>0</v>
      </c>
      <c r="AQ41" s="150" t="n">
        <v>0</v>
      </c>
      <c r="AR41" s="150" t="n">
        <v>0</v>
      </c>
      <c r="AS41" s="150" t="n">
        <v>0</v>
      </c>
      <c r="AT41" s="150" t="n">
        <v>0</v>
      </c>
      <c r="AU41" s="150" t="n">
        <v>0</v>
      </c>
      <c r="AV41" s="150" t="n">
        <v>0</v>
      </c>
      <c r="AW41" s="151" t="n">
        <v>0</v>
      </c>
      <c r="AX41" s="151" t="n">
        <v>0</v>
      </c>
      <c r="AY41" s="151" t="n">
        <v>0</v>
      </c>
      <c r="AZ41" s="151" t="n">
        <v>0</v>
      </c>
      <c r="BA41" s="151" t="n">
        <v>0</v>
      </c>
      <c r="BB41" s="151" t="n">
        <v>0</v>
      </c>
      <c r="BC41" s="152" t="n">
        <v>0</v>
      </c>
      <c r="BD41" s="131" t="n"/>
      <c r="BE41" s="61" t="n">
        <v>1</v>
      </c>
      <c r="BF41" s="61" t="n">
        <v>7</v>
      </c>
      <c r="BG41" s="21" t="n"/>
      <c r="BH41" s="131" t="n"/>
      <c r="BI41" s="131" t="n"/>
      <c r="BJ41" s="131" t="n"/>
      <c r="BK41" s="131" t="n"/>
      <c r="BL41" s="137" t="n"/>
      <c r="BM41" s="137" t="n"/>
      <c r="BN41" s="137" t="n"/>
      <c r="BO41" s="137" t="n"/>
      <c r="BP41" s="137" t="n"/>
      <c r="BQ41" s="137" t="n"/>
      <c r="BR41" s="137" t="n"/>
      <c r="BS41" s="137" t="n"/>
      <c r="BT41" s="137" t="n"/>
      <c r="BU41" s="137" t="n"/>
      <c r="BV41" s="137" t="n"/>
      <c r="BW41" s="137" t="n"/>
      <c r="BX41" s="137" t="n"/>
      <c r="BY41" s="137" t="n"/>
      <c r="BZ41" s="137" t="n"/>
      <c r="CA41" s="131" t="n"/>
      <c r="CB41" s="131" t="n"/>
      <c r="CC41" s="170" t="n">
        <v>-62.28435789813118</v>
      </c>
      <c r="CD41" s="171" t="n">
        <v>0</v>
      </c>
      <c r="CE41" s="171" t="n">
        <v>0</v>
      </c>
      <c r="CF41" s="171" t="n">
        <v>0</v>
      </c>
      <c r="CG41" s="171" t="n">
        <v>0</v>
      </c>
      <c r="CH41" s="171" t="n">
        <v>0</v>
      </c>
      <c r="CI41" s="171" t="n">
        <v>0</v>
      </c>
      <c r="CJ41" s="171" t="n">
        <v>0</v>
      </c>
      <c r="CK41" s="173" t="n">
        <v>0</v>
      </c>
      <c r="CL41" s="173" t="n">
        <v>0</v>
      </c>
      <c r="CM41" s="173" t="n">
        <v>0</v>
      </c>
      <c r="CN41" s="173" t="n">
        <v>0</v>
      </c>
      <c r="CO41" s="173" t="n">
        <v>0</v>
      </c>
      <c r="CP41" s="173" t="n">
        <v>0</v>
      </c>
      <c r="CQ41" s="174" t="n">
        <v>0</v>
      </c>
    </row>
    <row r="42" ht="16.5" customHeight="1">
      <c r="A42" s="142" t="n"/>
      <c r="B42" s="157" t="n"/>
      <c r="C42" s="157" t="n"/>
      <c r="D42" s="143" t="n"/>
      <c r="E42" s="143" t="n"/>
      <c r="F42" s="4" t="n"/>
      <c r="G42" s="4" t="n"/>
      <c r="H42" s="144" t="n">
        <v>0</v>
      </c>
      <c r="I42" s="3" t="n"/>
      <c r="J42" s="4" t="n"/>
      <c r="K42" s="4" t="n"/>
      <c r="L42" s="116" t="n">
        <v>0</v>
      </c>
      <c r="M42" s="172" t="n"/>
      <c r="N42" s="158" t="n"/>
      <c r="P42" s="55" t="n"/>
      <c r="Q42" s="56" t="n"/>
      <c r="R42" s="56" t="n"/>
      <c r="S42" s="57" t="n"/>
      <c r="X42" s="145" t="n">
        <v>1699.037374073919</v>
      </c>
      <c r="Y42" s="146" t="n">
        <v>0</v>
      </c>
      <c r="Z42" s="146" t="str"/>
      <c r="AA42" s="146" t="str"/>
      <c r="AB42" s="146" t="str"/>
      <c r="AC42" s="146" t="str"/>
      <c r="AD42" s="146" t="str"/>
      <c r="AE42" s="146" t="str"/>
      <c r="AF42" s="147" t="str"/>
      <c r="AG42" s="147" t="str"/>
      <c r="AH42" s="147" t="str"/>
      <c r="AI42" s="147" t="str"/>
      <c r="AJ42" s="147" t="str"/>
      <c r="AK42" s="147" t="str"/>
      <c r="AL42" s="148" t="str"/>
      <c r="AM42" s="131" t="n"/>
      <c r="AN42" s="131" t="n"/>
      <c r="AO42" s="149" t="n">
        <v>-62.28435789813118</v>
      </c>
      <c r="AP42" s="150" t="n">
        <v>0</v>
      </c>
      <c r="AQ42" s="150" t="n">
        <v>0</v>
      </c>
      <c r="AR42" s="150" t="n">
        <v>0</v>
      </c>
      <c r="AS42" s="150" t="n">
        <v>0</v>
      </c>
      <c r="AT42" s="150" t="n">
        <v>0</v>
      </c>
      <c r="AU42" s="150" t="n">
        <v>0</v>
      </c>
      <c r="AV42" s="150" t="n">
        <v>0</v>
      </c>
      <c r="AW42" s="151" t="n">
        <v>0</v>
      </c>
      <c r="AX42" s="151" t="n">
        <v>0</v>
      </c>
      <c r="AY42" s="151" t="n">
        <v>0</v>
      </c>
      <c r="AZ42" s="151" t="n">
        <v>0</v>
      </c>
      <c r="BA42" s="151" t="n">
        <v>0</v>
      </c>
      <c r="BB42" s="151" t="n">
        <v>0</v>
      </c>
      <c r="BC42" s="152" t="n">
        <v>0</v>
      </c>
      <c r="BD42" s="131" t="n"/>
      <c r="BE42" s="61" t="n">
        <v>2</v>
      </c>
      <c r="BF42" s="61" t="n">
        <v>10</v>
      </c>
      <c r="BG42" s="21" t="n"/>
      <c r="BH42" s="131" t="n"/>
      <c r="BI42" s="131" t="n"/>
      <c r="BJ42" s="131" t="n"/>
      <c r="BK42" s="131" t="n"/>
      <c r="BL42" s="137" t="n"/>
      <c r="BM42" s="137" t="n"/>
      <c r="BN42" s="137" t="n"/>
      <c r="BO42" s="137" t="n"/>
      <c r="BP42" s="137" t="n"/>
      <c r="BQ42" s="137" t="n"/>
      <c r="BR42" s="137" t="n"/>
      <c r="BS42" s="137" t="n"/>
      <c r="BT42" s="137" t="n"/>
      <c r="BU42" s="137" t="n"/>
      <c r="BV42" s="137" t="n"/>
      <c r="BW42" s="137" t="n"/>
      <c r="BX42" s="137" t="n"/>
      <c r="BY42" s="137" t="n"/>
      <c r="BZ42" s="137" t="n"/>
      <c r="CA42" s="131" t="n"/>
      <c r="CB42" s="131" t="n"/>
      <c r="CC42" s="170" t="n">
        <v>-62.28435789813118</v>
      </c>
      <c r="CD42" s="171" t="n">
        <v>0</v>
      </c>
      <c r="CE42" s="171" t="n">
        <v>0</v>
      </c>
      <c r="CF42" s="171" t="n">
        <v>0</v>
      </c>
      <c r="CG42" s="171" t="n">
        <v>0</v>
      </c>
      <c r="CH42" s="171" t="n">
        <v>0</v>
      </c>
      <c r="CI42" s="171" t="n">
        <v>0</v>
      </c>
      <c r="CJ42" s="171" t="n">
        <v>0</v>
      </c>
      <c r="CK42" s="173" t="n">
        <v>0</v>
      </c>
      <c r="CL42" s="173" t="n">
        <v>0</v>
      </c>
      <c r="CM42" s="173" t="n">
        <v>0</v>
      </c>
      <c r="CN42" s="173" t="n">
        <v>0</v>
      </c>
      <c r="CO42" s="173" t="n">
        <v>0</v>
      </c>
      <c r="CP42" s="173" t="n">
        <v>0</v>
      </c>
      <c r="CQ42" s="174" t="n">
        <v>0</v>
      </c>
    </row>
    <row r="43" ht="16.5" customHeight="1">
      <c r="A43" s="142" t="n"/>
      <c r="B43" s="157" t="n"/>
      <c r="C43" s="157" t="n"/>
      <c r="D43" s="143" t="n"/>
      <c r="E43" s="143" t="n"/>
      <c r="F43" s="4" t="n"/>
      <c r="G43" s="4" t="n"/>
      <c r="H43" s="144" t="n">
        <v>0</v>
      </c>
      <c r="I43" s="3" t="n"/>
      <c r="J43" s="4" t="n"/>
      <c r="K43" s="4" t="n"/>
      <c r="L43" s="116" t="n">
        <v>0</v>
      </c>
      <c r="M43" s="172" t="n"/>
      <c r="N43" s="158" t="n"/>
      <c r="P43" s="55" t="n"/>
      <c r="Q43" s="56" t="n"/>
      <c r="R43" s="56" t="n"/>
      <c r="S43" s="57" t="n"/>
      <c r="X43" s="145" t="n">
        <v>1699.037374073919</v>
      </c>
      <c r="Y43" s="146" t="n">
        <v>0</v>
      </c>
      <c r="Z43" s="146" t="str"/>
      <c r="AA43" s="146" t="str"/>
      <c r="AB43" s="146" t="str"/>
      <c r="AC43" s="146" t="str"/>
      <c r="AD43" s="146" t="str"/>
      <c r="AE43" s="146" t="str"/>
      <c r="AF43" s="147" t="str"/>
      <c r="AG43" s="147" t="str"/>
      <c r="AH43" s="147" t="str"/>
      <c r="AI43" s="147" t="str"/>
      <c r="AJ43" s="147" t="str"/>
      <c r="AK43" s="147" t="str"/>
      <c r="AL43" s="148" t="str"/>
      <c r="AM43" s="131" t="n"/>
      <c r="AN43" s="131" t="n"/>
      <c r="AO43" s="149" t="n">
        <v>-62.28435789813118</v>
      </c>
      <c r="AP43" s="150" t="n">
        <v>0</v>
      </c>
      <c r="AQ43" s="150" t="n">
        <v>0</v>
      </c>
      <c r="AR43" s="150" t="n">
        <v>0</v>
      </c>
      <c r="AS43" s="150" t="n">
        <v>0</v>
      </c>
      <c r="AT43" s="150" t="n">
        <v>0</v>
      </c>
      <c r="AU43" s="150" t="n">
        <v>0</v>
      </c>
      <c r="AV43" s="150" t="n">
        <v>0</v>
      </c>
      <c r="AW43" s="151" t="n">
        <v>0</v>
      </c>
      <c r="AX43" s="151" t="n">
        <v>0</v>
      </c>
      <c r="AY43" s="151" t="n">
        <v>0</v>
      </c>
      <c r="AZ43" s="151" t="n">
        <v>0</v>
      </c>
      <c r="BA43" s="151" t="n">
        <v>0</v>
      </c>
      <c r="BB43" s="151" t="n">
        <v>0</v>
      </c>
      <c r="BC43" s="152" t="n">
        <v>0</v>
      </c>
      <c r="BD43" s="131" t="n"/>
      <c r="BE43" s="61" t="n">
        <v>3</v>
      </c>
      <c r="BF43" s="61" t="n">
        <v>12</v>
      </c>
      <c r="BG43" s="21" t="n"/>
      <c r="BH43" s="131" t="n"/>
      <c r="BI43" s="131" t="n"/>
      <c r="BJ43" s="131" t="n"/>
      <c r="BK43" s="131" t="n"/>
      <c r="BL43" s="137" t="n"/>
      <c r="BM43" s="137" t="n"/>
      <c r="BN43" s="137" t="n"/>
      <c r="BO43" s="137" t="n"/>
      <c r="BP43" s="137" t="n"/>
      <c r="BQ43" s="137" t="n"/>
      <c r="BR43" s="137" t="n"/>
      <c r="BS43" s="137" t="n"/>
      <c r="BT43" s="137" t="n"/>
      <c r="BU43" s="137" t="n"/>
      <c r="BV43" s="137" t="n"/>
      <c r="BW43" s="137" t="n"/>
      <c r="BX43" s="137" t="n"/>
      <c r="BY43" s="137" t="n"/>
      <c r="BZ43" s="137" t="n"/>
      <c r="CA43" s="131" t="n"/>
      <c r="CB43" s="131" t="n"/>
      <c r="CC43" s="170" t="n">
        <v>-62.28435789813118</v>
      </c>
      <c r="CD43" s="171" t="n">
        <v>0</v>
      </c>
      <c r="CE43" s="171" t="n">
        <v>0</v>
      </c>
      <c r="CF43" s="171" t="n">
        <v>0</v>
      </c>
      <c r="CG43" s="171" t="n">
        <v>0</v>
      </c>
      <c r="CH43" s="171" t="n">
        <v>0</v>
      </c>
      <c r="CI43" s="171" t="n">
        <v>0</v>
      </c>
      <c r="CJ43" s="171" t="n">
        <v>0</v>
      </c>
      <c r="CK43" s="173" t="n">
        <v>0</v>
      </c>
      <c r="CL43" s="173" t="n">
        <v>0</v>
      </c>
      <c r="CM43" s="173" t="n">
        <v>0</v>
      </c>
      <c r="CN43" s="173" t="n">
        <v>0</v>
      </c>
      <c r="CO43" s="173" t="n">
        <v>0</v>
      </c>
      <c r="CP43" s="173" t="n">
        <v>0</v>
      </c>
      <c r="CQ43" s="174" t="n">
        <v>0</v>
      </c>
    </row>
    <row r="44" ht="16.5" customHeight="1">
      <c r="A44" s="142" t="n"/>
      <c r="B44" s="157" t="n"/>
      <c r="C44" s="157" t="n"/>
      <c r="D44" s="143" t="n"/>
      <c r="E44" s="143" t="n"/>
      <c r="F44" s="4" t="n"/>
      <c r="G44" s="4" t="n"/>
      <c r="H44" s="144" t="n">
        <v>0</v>
      </c>
      <c r="I44" s="3" t="n"/>
      <c r="J44" s="4" t="n"/>
      <c r="K44" s="4" t="n"/>
      <c r="L44" s="116" t="n">
        <v>0</v>
      </c>
      <c r="M44" s="172" t="n"/>
      <c r="N44" s="158" t="n"/>
      <c r="P44" s="55" t="n"/>
      <c r="Q44" s="56" t="n"/>
      <c r="R44" s="56" t="n"/>
      <c r="S44" s="57" t="n"/>
      <c r="X44" s="145" t="n">
        <v>1699.037374073919</v>
      </c>
      <c r="Y44" s="146" t="n">
        <v>0</v>
      </c>
      <c r="Z44" s="146" t="str"/>
      <c r="AA44" s="146" t="str"/>
      <c r="AB44" s="146" t="str"/>
      <c r="AC44" s="146" t="str"/>
      <c r="AD44" s="146" t="str"/>
      <c r="AE44" s="146" t="str"/>
      <c r="AF44" s="147" t="str"/>
      <c r="AG44" s="147" t="str"/>
      <c r="AH44" s="147" t="str"/>
      <c r="AI44" s="147" t="str"/>
      <c r="AJ44" s="147" t="str"/>
      <c r="AK44" s="147" t="str"/>
      <c r="AL44" s="148" t="str"/>
      <c r="AM44" s="131" t="n"/>
      <c r="AN44" s="131" t="n"/>
      <c r="AO44" s="149" t="n">
        <v>-62.28435789813118</v>
      </c>
      <c r="AP44" s="150" t="n">
        <v>0</v>
      </c>
      <c r="AQ44" s="150" t="n">
        <v>0</v>
      </c>
      <c r="AR44" s="150" t="n">
        <v>0</v>
      </c>
      <c r="AS44" s="150" t="n">
        <v>0</v>
      </c>
      <c r="AT44" s="150" t="n">
        <v>0</v>
      </c>
      <c r="AU44" s="150" t="n">
        <v>0</v>
      </c>
      <c r="AV44" s="150" t="n">
        <v>0</v>
      </c>
      <c r="AW44" s="151" t="n">
        <v>0</v>
      </c>
      <c r="AX44" s="151" t="n">
        <v>0</v>
      </c>
      <c r="AY44" s="151" t="n">
        <v>0</v>
      </c>
      <c r="AZ44" s="151" t="n">
        <v>0</v>
      </c>
      <c r="BA44" s="151" t="n">
        <v>0</v>
      </c>
      <c r="BB44" s="151" t="n">
        <v>0</v>
      </c>
      <c r="BC44" s="152" t="n">
        <v>0</v>
      </c>
      <c r="BD44" s="131" t="n"/>
      <c r="BE44" s="61" t="n">
        <v>6</v>
      </c>
      <c r="BF44" s="61" t="n">
        <v>15</v>
      </c>
      <c r="BG44" s="21" t="n"/>
      <c r="BH44" s="131" t="n"/>
      <c r="BI44" s="131" t="n"/>
      <c r="BJ44" s="131" t="n"/>
      <c r="BK44" s="131" t="n"/>
      <c r="BL44" s="137" t="n"/>
      <c r="BM44" s="137" t="n"/>
      <c r="BN44" s="137" t="n"/>
      <c r="BO44" s="137" t="n"/>
      <c r="BP44" s="137" t="n"/>
      <c r="BQ44" s="137" t="n"/>
      <c r="BR44" s="137" t="n"/>
      <c r="BS44" s="137" t="n"/>
      <c r="BT44" s="137" t="n"/>
      <c r="BU44" s="137" t="n"/>
      <c r="BV44" s="137" t="n"/>
      <c r="BW44" s="137" t="n"/>
      <c r="BX44" s="137" t="n"/>
      <c r="BY44" s="137" t="n"/>
      <c r="BZ44" s="137" t="n"/>
      <c r="CA44" s="131" t="n"/>
      <c r="CB44" s="131" t="n"/>
      <c r="CC44" s="170" t="n">
        <v>-62.28435789813118</v>
      </c>
      <c r="CD44" s="171" t="n">
        <v>0</v>
      </c>
      <c r="CE44" s="171" t="n">
        <v>0</v>
      </c>
      <c r="CF44" s="171" t="n">
        <v>0</v>
      </c>
      <c r="CG44" s="171" t="n">
        <v>0</v>
      </c>
      <c r="CH44" s="171" t="n">
        <v>0</v>
      </c>
      <c r="CI44" s="171" t="n">
        <v>0</v>
      </c>
      <c r="CJ44" s="171" t="n">
        <v>0</v>
      </c>
      <c r="CK44" s="173" t="n">
        <v>0</v>
      </c>
      <c r="CL44" s="173" t="n">
        <v>0</v>
      </c>
      <c r="CM44" s="173" t="n">
        <v>0</v>
      </c>
      <c r="CN44" s="173" t="n">
        <v>0</v>
      </c>
      <c r="CO44" s="173" t="n">
        <v>0</v>
      </c>
      <c r="CP44" s="173" t="n">
        <v>0</v>
      </c>
      <c r="CQ44" s="174" t="n">
        <v>0</v>
      </c>
    </row>
    <row r="45" ht="16.5" customHeight="1">
      <c r="A45" s="142" t="n"/>
      <c r="B45" s="157" t="n"/>
      <c r="C45" s="157" t="n"/>
      <c r="D45" s="143" t="n"/>
      <c r="E45" s="143" t="n"/>
      <c r="F45" s="4" t="n"/>
      <c r="G45" s="4" t="n"/>
      <c r="H45" s="144" t="n">
        <v>0</v>
      </c>
      <c r="I45" s="3" t="n"/>
      <c r="J45" s="4" t="n"/>
      <c r="K45" s="4" t="n"/>
      <c r="L45" s="116" t="n">
        <v>0</v>
      </c>
      <c r="M45" s="172" t="n"/>
      <c r="N45" s="158" t="n"/>
      <c r="P45" s="55" t="n"/>
      <c r="Q45" s="56" t="n"/>
      <c r="R45" s="56" t="n"/>
      <c r="S45" s="57" t="n"/>
      <c r="X45" s="145" t="n">
        <v>1699.037374073919</v>
      </c>
      <c r="Y45" s="146" t="n">
        <v>0</v>
      </c>
      <c r="Z45" s="146" t="str"/>
      <c r="AA45" s="146" t="str"/>
      <c r="AB45" s="146" t="str"/>
      <c r="AC45" s="146" t="str"/>
      <c r="AD45" s="146" t="str"/>
      <c r="AE45" s="146" t="str"/>
      <c r="AF45" s="147" t="str"/>
      <c r="AG45" s="147" t="str"/>
      <c r="AH45" s="147" t="str"/>
      <c r="AI45" s="147" t="str"/>
      <c r="AJ45" s="147" t="str"/>
      <c r="AK45" s="147" t="str"/>
      <c r="AL45" s="148" t="str"/>
      <c r="AM45" s="131" t="n"/>
      <c r="AN45" s="131" t="n"/>
      <c r="AO45" s="149" t="n">
        <v>-62.28435789813118</v>
      </c>
      <c r="AP45" s="150" t="n">
        <v>0</v>
      </c>
      <c r="AQ45" s="150" t="n">
        <v>0</v>
      </c>
      <c r="AR45" s="150" t="n">
        <v>0</v>
      </c>
      <c r="AS45" s="150" t="n">
        <v>0</v>
      </c>
      <c r="AT45" s="150" t="n">
        <v>0</v>
      </c>
      <c r="AU45" s="150" t="n">
        <v>0</v>
      </c>
      <c r="AV45" s="150" t="n">
        <v>0</v>
      </c>
      <c r="AW45" s="151" t="n">
        <v>0</v>
      </c>
      <c r="AX45" s="151" t="n">
        <v>0</v>
      </c>
      <c r="AY45" s="151" t="n">
        <v>0</v>
      </c>
      <c r="AZ45" s="151" t="n">
        <v>0</v>
      </c>
      <c r="BA45" s="151" t="n">
        <v>0</v>
      </c>
      <c r="BB45" s="151" t="n">
        <v>0</v>
      </c>
      <c r="BC45" s="152" t="n">
        <v>0</v>
      </c>
      <c r="BD45" s="131" t="n"/>
      <c r="BE45" s="61" t="n">
        <v>12</v>
      </c>
      <c r="BF45" s="61" t="n">
        <v>17</v>
      </c>
      <c r="BG45" s="21" t="n"/>
      <c r="BH45" s="131" t="n"/>
      <c r="BI45" s="131" t="n"/>
      <c r="BJ45" s="131" t="n"/>
      <c r="BK45" s="131" t="n"/>
      <c r="BL45" s="137" t="n"/>
      <c r="BM45" s="137" t="n"/>
      <c r="BN45" s="137" t="n"/>
      <c r="BO45" s="137" t="n"/>
      <c r="BP45" s="137" t="n"/>
      <c r="BQ45" s="137" t="n"/>
      <c r="BR45" s="137" t="n"/>
      <c r="BS45" s="137" t="n"/>
      <c r="BT45" s="137" t="n"/>
      <c r="BU45" s="137" t="n"/>
      <c r="BV45" s="137" t="n"/>
      <c r="BW45" s="137" t="n"/>
      <c r="BX45" s="137" t="n"/>
      <c r="BY45" s="137" t="n"/>
      <c r="BZ45" s="137" t="n"/>
      <c r="CA45" s="131" t="n"/>
      <c r="CB45" s="131" t="n"/>
      <c r="CC45" s="170" t="n">
        <v>-62.28435789813118</v>
      </c>
      <c r="CD45" s="171" t="n">
        <v>0</v>
      </c>
      <c r="CE45" s="171" t="n">
        <v>0</v>
      </c>
      <c r="CF45" s="171" t="n">
        <v>0</v>
      </c>
      <c r="CG45" s="171" t="n">
        <v>0</v>
      </c>
      <c r="CH45" s="171" t="n">
        <v>0</v>
      </c>
      <c r="CI45" s="171" t="n">
        <v>0</v>
      </c>
      <c r="CJ45" s="171" t="n">
        <v>0</v>
      </c>
      <c r="CK45" s="173" t="n">
        <v>0</v>
      </c>
      <c r="CL45" s="173" t="n">
        <v>0</v>
      </c>
      <c r="CM45" s="173" t="n">
        <v>0</v>
      </c>
      <c r="CN45" s="173" t="n">
        <v>0</v>
      </c>
      <c r="CO45" s="173" t="n">
        <v>0</v>
      </c>
      <c r="CP45" s="173" t="n">
        <v>0</v>
      </c>
      <c r="CQ45" s="174" t="n">
        <v>0</v>
      </c>
    </row>
    <row r="46" ht="16.5" customHeight="1">
      <c r="A46" s="142" t="n"/>
      <c r="B46" s="157" t="n"/>
      <c r="C46" s="157" t="n"/>
      <c r="D46" s="143" t="n"/>
      <c r="E46" s="143" t="n"/>
      <c r="F46" s="4" t="n"/>
      <c r="G46" s="4" t="n"/>
      <c r="H46" s="144" t="n">
        <v>0</v>
      </c>
      <c r="I46" s="3" t="n"/>
      <c r="J46" s="4" t="n"/>
      <c r="K46" s="4" t="n"/>
      <c r="L46" s="116" t="n">
        <v>0</v>
      </c>
      <c r="M46" s="172" t="n"/>
      <c r="N46" s="158" t="n"/>
      <c r="P46" s="55" t="n"/>
      <c r="Q46" s="56" t="n"/>
      <c r="R46" s="56" t="n"/>
      <c r="S46" s="57" t="n"/>
      <c r="X46" s="145" t="n">
        <v>1699.037374073919</v>
      </c>
      <c r="Y46" s="146" t="n">
        <v>0</v>
      </c>
      <c r="Z46" s="146" t="str"/>
      <c r="AA46" s="146" t="str"/>
      <c r="AB46" s="146" t="str"/>
      <c r="AC46" s="146" t="str"/>
      <c r="AD46" s="146" t="str"/>
      <c r="AE46" s="146" t="str"/>
      <c r="AF46" s="147" t="str"/>
      <c r="AG46" s="147" t="str"/>
      <c r="AH46" s="147" t="str"/>
      <c r="AI46" s="147" t="str"/>
      <c r="AJ46" s="147" t="str"/>
      <c r="AK46" s="147" t="str"/>
      <c r="AL46" s="148" t="str"/>
      <c r="AM46" s="131" t="n"/>
      <c r="AN46" s="131" t="n"/>
      <c r="AO46" s="149" t="n">
        <v>-62.28435789813118</v>
      </c>
      <c r="AP46" s="150" t="n">
        <v>0</v>
      </c>
      <c r="AQ46" s="150" t="n">
        <v>0</v>
      </c>
      <c r="AR46" s="150" t="n">
        <v>0</v>
      </c>
      <c r="AS46" s="150" t="n">
        <v>0</v>
      </c>
      <c r="AT46" s="150" t="n">
        <v>0</v>
      </c>
      <c r="AU46" s="150" t="n">
        <v>0</v>
      </c>
      <c r="AV46" s="150" t="n">
        <v>0</v>
      </c>
      <c r="AW46" s="151" t="n">
        <v>0</v>
      </c>
      <c r="AX46" s="151" t="n">
        <v>0</v>
      </c>
      <c r="AY46" s="151" t="n">
        <v>0</v>
      </c>
      <c r="AZ46" s="151" t="n">
        <v>0</v>
      </c>
      <c r="BA46" s="151" t="n">
        <v>0</v>
      </c>
      <c r="BB46" s="151" t="n">
        <v>0</v>
      </c>
      <c r="BC46" s="152" t="n">
        <v>0</v>
      </c>
      <c r="BD46" s="131" t="n"/>
      <c r="BE46" s="21" t="inlineStr">
        <is>
          <t xml:space="preserve">Barrier Reduction per ARI: </t>
        </is>
      </c>
      <c r="BF46" s="21" t="e">
        <v>#VALUE!</v>
      </c>
      <c r="BG46" s="21" t="e">
        <v>#VALUE!</v>
      </c>
      <c r="BH46" s="131" t="n"/>
      <c r="BI46" s="131" t="n"/>
      <c r="BJ46" s="131" t="n"/>
      <c r="BK46" s="131" t="n"/>
      <c r="BL46" s="137" t="n"/>
      <c r="BM46" s="137" t="n"/>
      <c r="BN46" s="137" t="n"/>
      <c r="BO46" s="137" t="n"/>
      <c r="BP46" s="137" t="n"/>
      <c r="BQ46" s="137" t="n"/>
      <c r="BR46" s="137" t="n"/>
      <c r="BS46" s="137" t="n"/>
      <c r="BT46" s="137" t="n"/>
      <c r="BU46" s="137" t="n"/>
      <c r="BV46" s="137" t="n"/>
      <c r="BW46" s="137" t="n"/>
      <c r="BX46" s="137" t="n"/>
      <c r="BY46" s="137" t="n"/>
      <c r="BZ46" s="137" t="n"/>
      <c r="CA46" s="131" t="n"/>
      <c r="CB46" s="131" t="n"/>
      <c r="CC46" s="170" t="n">
        <v>-62.28435789813118</v>
      </c>
      <c r="CD46" s="171" t="n">
        <v>0</v>
      </c>
      <c r="CE46" s="171" t="n">
        <v>0</v>
      </c>
      <c r="CF46" s="171" t="n">
        <v>0</v>
      </c>
      <c r="CG46" s="171" t="n">
        <v>0</v>
      </c>
      <c r="CH46" s="171" t="n">
        <v>0</v>
      </c>
      <c r="CI46" s="171" t="n">
        <v>0</v>
      </c>
      <c r="CJ46" s="171" t="n">
        <v>0</v>
      </c>
      <c r="CK46" s="173" t="n">
        <v>0</v>
      </c>
      <c r="CL46" s="173" t="n">
        <v>0</v>
      </c>
      <c r="CM46" s="173" t="n">
        <v>0</v>
      </c>
      <c r="CN46" s="173" t="n">
        <v>0</v>
      </c>
      <c r="CO46" s="173" t="n">
        <v>0</v>
      </c>
      <c r="CP46" s="173" t="n">
        <v>0</v>
      </c>
      <c r="CQ46" s="174" t="n">
        <v>0</v>
      </c>
    </row>
    <row r="47" ht="17.25" customHeight="1" thickBot="1">
      <c r="A47" s="142" t="n"/>
      <c r="B47" s="157" t="n"/>
      <c r="C47" s="157" t="n"/>
      <c r="D47" s="143" t="n"/>
      <c r="E47" s="143" t="n"/>
      <c r="F47" s="4" t="n"/>
      <c r="G47" s="4" t="n"/>
      <c r="H47" s="144" t="n">
        <v>0</v>
      </c>
      <c r="I47" s="3" t="n"/>
      <c r="J47" s="4" t="n"/>
      <c r="K47" s="4" t="n"/>
      <c r="L47" s="116" t="n">
        <v>0</v>
      </c>
      <c r="M47" s="172" t="n"/>
      <c r="N47" s="158" t="n"/>
      <c r="P47" s="58" t="n"/>
      <c r="Q47" s="59" t="n"/>
      <c r="R47" s="59" t="n"/>
      <c r="S47" s="60" t="n"/>
      <c r="X47" s="145" t="n">
        <v>1699.037374073919</v>
      </c>
      <c r="Y47" s="146" t="n">
        <v>0</v>
      </c>
      <c r="Z47" s="146" t="str"/>
      <c r="AA47" s="146" t="str"/>
      <c r="AB47" s="146" t="str"/>
      <c r="AC47" s="146" t="str"/>
      <c r="AD47" s="146" t="str"/>
      <c r="AE47" s="146" t="str"/>
      <c r="AF47" s="147" t="str"/>
      <c r="AG47" s="147" t="str"/>
      <c r="AH47" s="147" t="str"/>
      <c r="AI47" s="147" t="str"/>
      <c r="AJ47" s="147" t="str"/>
      <c r="AK47" s="147" t="str"/>
      <c r="AL47" s="148" t="str"/>
      <c r="AM47" s="131" t="n"/>
      <c r="AN47" s="131" t="n"/>
      <c r="AO47" s="149" t="n">
        <v>-62.28435789813118</v>
      </c>
      <c r="AP47" s="150" t="n">
        <v>0</v>
      </c>
      <c r="AQ47" s="150" t="n">
        <v>0</v>
      </c>
      <c r="AR47" s="150" t="n">
        <v>0</v>
      </c>
      <c r="AS47" s="150" t="n">
        <v>0</v>
      </c>
      <c r="AT47" s="150" t="n">
        <v>0</v>
      </c>
      <c r="AU47" s="150" t="n">
        <v>0</v>
      </c>
      <c r="AV47" s="150" t="n">
        <v>0</v>
      </c>
      <c r="AW47" s="151" t="n">
        <v>0</v>
      </c>
      <c r="AX47" s="151" t="n">
        <v>0</v>
      </c>
      <c r="AY47" s="151" t="n">
        <v>0</v>
      </c>
      <c r="AZ47" s="151" t="n">
        <v>0</v>
      </c>
      <c r="BA47" s="151" t="n">
        <v>0</v>
      </c>
      <c r="BB47" s="151" t="n">
        <v>0</v>
      </c>
      <c r="BC47" s="152" t="n">
        <v>0</v>
      </c>
      <c r="BD47" s="131" t="n"/>
      <c r="BE47" s="21" t="inlineStr">
        <is>
          <t>PLD</t>
        </is>
      </c>
      <c r="BF47" s="45" t="e">
        <v>#VALUE!</v>
      </c>
      <c r="BG47" s="21" t="e">
        <v>#VALUE!</v>
      </c>
      <c r="BH47" s="131" t="n"/>
      <c r="BI47" s="131" t="n"/>
      <c r="BJ47" s="131" t="n"/>
      <c r="BK47" s="131" t="n"/>
      <c r="BL47" s="137" t="n"/>
      <c r="BM47" s="137" t="n"/>
      <c r="BN47" s="137" t="n"/>
      <c r="BO47" s="137" t="n"/>
      <c r="BP47" s="137" t="n"/>
      <c r="BQ47" s="137" t="n"/>
      <c r="BR47" s="137" t="n"/>
      <c r="BS47" s="137" t="n"/>
      <c r="BT47" s="137" t="n"/>
      <c r="BU47" s="137" t="n"/>
      <c r="BV47" s="137" t="n"/>
      <c r="BW47" s="137" t="n"/>
      <c r="BX47" s="137" t="n"/>
      <c r="BY47" s="137" t="n"/>
      <c r="BZ47" s="137" t="n"/>
      <c r="CA47" s="131" t="n"/>
      <c r="CB47" s="131" t="n"/>
      <c r="CC47" s="170" t="n">
        <v>-62.28435789813118</v>
      </c>
      <c r="CD47" s="171" t="n">
        <v>0</v>
      </c>
      <c r="CE47" s="171" t="n">
        <v>0</v>
      </c>
      <c r="CF47" s="171" t="n">
        <v>0</v>
      </c>
      <c r="CG47" s="171" t="n">
        <v>0</v>
      </c>
      <c r="CH47" s="171" t="n">
        <v>0</v>
      </c>
      <c r="CI47" s="171" t="n">
        <v>0</v>
      </c>
      <c r="CJ47" s="171" t="n">
        <v>0</v>
      </c>
      <c r="CK47" s="173" t="n">
        <v>0</v>
      </c>
      <c r="CL47" s="173" t="n">
        <v>0</v>
      </c>
      <c r="CM47" s="173" t="n">
        <v>0</v>
      </c>
      <c r="CN47" s="173" t="n">
        <v>0</v>
      </c>
      <c r="CO47" s="173" t="n">
        <v>0</v>
      </c>
      <c r="CP47" s="173" t="n">
        <v>0</v>
      </c>
      <c r="CQ47" s="174" t="n">
        <v>0</v>
      </c>
    </row>
    <row r="48" ht="16.5" customHeight="1">
      <c r="A48" s="142" t="n"/>
      <c r="B48" s="157" t="n"/>
      <c r="C48" s="157" t="n"/>
      <c r="D48" s="143" t="n"/>
      <c r="E48" s="143" t="n"/>
      <c r="F48" s="4" t="n"/>
      <c r="G48" s="4" t="n"/>
      <c r="H48" s="144" t="n">
        <v>0</v>
      </c>
      <c r="I48" s="3" t="n"/>
      <c r="J48" s="4" t="n"/>
      <c r="K48" s="4" t="n"/>
      <c r="L48" s="116" t="n">
        <v>0</v>
      </c>
      <c r="M48" s="172" t="n"/>
      <c r="N48" s="158" t="n"/>
      <c r="X48" s="145" t="n">
        <v>1699.037374073919</v>
      </c>
      <c r="Y48" s="146" t="n">
        <v>0</v>
      </c>
      <c r="Z48" s="146" t="str"/>
      <c r="AA48" s="146" t="str"/>
      <c r="AB48" s="146" t="str"/>
      <c r="AC48" s="146" t="str"/>
      <c r="AD48" s="146" t="str"/>
      <c r="AE48" s="146" t="str"/>
      <c r="AF48" s="147" t="str"/>
      <c r="AG48" s="147" t="str"/>
      <c r="AH48" s="147" t="str"/>
      <c r="AI48" s="147" t="str"/>
      <c r="AJ48" s="147" t="str"/>
      <c r="AK48" s="147" t="str"/>
      <c r="AL48" s="148" t="str"/>
      <c r="AM48" s="131" t="n"/>
      <c r="AN48" s="131" t="n"/>
      <c r="AO48" s="149" t="n">
        <v>-62.28435789813118</v>
      </c>
      <c r="AP48" s="150" t="n">
        <v>0</v>
      </c>
      <c r="AQ48" s="150" t="n">
        <v>0</v>
      </c>
      <c r="AR48" s="150" t="n">
        <v>0</v>
      </c>
      <c r="AS48" s="150" t="n">
        <v>0</v>
      </c>
      <c r="AT48" s="150" t="n">
        <v>0</v>
      </c>
      <c r="AU48" s="150" t="n">
        <v>0</v>
      </c>
      <c r="AV48" s="150" t="n">
        <v>0</v>
      </c>
      <c r="AW48" s="151" t="n">
        <v>0</v>
      </c>
      <c r="AX48" s="151" t="n">
        <v>0</v>
      </c>
      <c r="AY48" s="151" t="n">
        <v>0</v>
      </c>
      <c r="AZ48" s="151" t="n">
        <v>0</v>
      </c>
      <c r="BA48" s="151" t="n">
        <v>0</v>
      </c>
      <c r="BB48" s="151" t="n">
        <v>0</v>
      </c>
      <c r="BC48" s="152" t="n">
        <v>0</v>
      </c>
      <c r="BD48" s="131" t="n"/>
      <c r="BE48" s="21" t="inlineStr">
        <is>
          <t>First Lower</t>
        </is>
      </c>
      <c r="BF48" s="21" t="e">
        <v>#VALUE!</v>
      </c>
      <c r="BG48" s="21" t="e">
        <v>#VALUE!</v>
      </c>
      <c r="BH48" s="131" t="n"/>
      <c r="BI48" s="131" t="n"/>
      <c r="BJ48" s="131" t="n"/>
      <c r="BK48" s="131" t="n"/>
      <c r="BL48" s="137" t="n"/>
      <c r="BM48" s="137" t="n"/>
      <c r="BN48" s="137" t="n"/>
      <c r="BO48" s="137" t="n"/>
      <c r="BP48" s="137" t="n"/>
      <c r="BQ48" s="137" t="n"/>
      <c r="BR48" s="137" t="n"/>
      <c r="BS48" s="137" t="n"/>
      <c r="BT48" s="137" t="n"/>
      <c r="BU48" s="137" t="n"/>
      <c r="BV48" s="137" t="n"/>
      <c r="BW48" s="137" t="n"/>
      <c r="BX48" s="137" t="n"/>
      <c r="BY48" s="137" t="n"/>
      <c r="BZ48" s="137" t="n"/>
      <c r="CA48" s="131" t="n"/>
      <c r="CB48" s="131" t="n"/>
      <c r="CC48" s="170" t="n">
        <v>-62.28435789813118</v>
      </c>
      <c r="CD48" s="171" t="n">
        <v>0</v>
      </c>
      <c r="CE48" s="171" t="n">
        <v>0</v>
      </c>
      <c r="CF48" s="171" t="n">
        <v>0</v>
      </c>
      <c r="CG48" s="171" t="n">
        <v>0</v>
      </c>
      <c r="CH48" s="171" t="n">
        <v>0</v>
      </c>
      <c r="CI48" s="171" t="n">
        <v>0</v>
      </c>
      <c r="CJ48" s="171" t="n">
        <v>0</v>
      </c>
      <c r="CK48" s="173" t="n">
        <v>0</v>
      </c>
      <c r="CL48" s="173" t="n">
        <v>0</v>
      </c>
      <c r="CM48" s="173" t="n">
        <v>0</v>
      </c>
      <c r="CN48" s="173" t="n">
        <v>0</v>
      </c>
      <c r="CO48" s="173" t="n">
        <v>0</v>
      </c>
      <c r="CP48" s="173" t="n">
        <v>0</v>
      </c>
      <c r="CQ48" s="174" t="n">
        <v>0</v>
      </c>
    </row>
    <row r="49" ht="16.5" customHeight="1">
      <c r="A49" s="142" t="n"/>
      <c r="B49" s="157" t="n"/>
      <c r="C49" s="157" t="n"/>
      <c r="D49" s="143" t="n"/>
      <c r="E49" s="143" t="n"/>
      <c r="F49" s="4" t="n"/>
      <c r="G49" s="4" t="n"/>
      <c r="H49" s="144" t="n">
        <v>0</v>
      </c>
      <c r="I49" s="3" t="n"/>
      <c r="J49" s="4" t="n"/>
      <c r="K49" s="4" t="n"/>
      <c r="L49" s="116" t="n">
        <v>0</v>
      </c>
      <c r="M49" s="172" t="n"/>
      <c r="N49" s="158" t="n"/>
      <c r="X49" s="145" t="n">
        <v>1699.037374073919</v>
      </c>
      <c r="Y49" s="146" t="n">
        <v>0</v>
      </c>
      <c r="Z49" s="146" t="str"/>
      <c r="AA49" s="146" t="str"/>
      <c r="AB49" s="146" t="str"/>
      <c r="AC49" s="146" t="str"/>
      <c r="AD49" s="146" t="str"/>
      <c r="AE49" s="146" t="str"/>
      <c r="AF49" s="147" t="str"/>
      <c r="AG49" s="147" t="str"/>
      <c r="AH49" s="147" t="str"/>
      <c r="AI49" s="147" t="str"/>
      <c r="AJ49" s="147" t="str"/>
      <c r="AK49" s="147" t="str"/>
      <c r="AL49" s="148" t="str"/>
      <c r="AM49" s="131" t="n"/>
      <c r="AN49" s="131" t="n"/>
      <c r="AO49" s="149" t="n">
        <v>-62.28435789813118</v>
      </c>
      <c r="AP49" s="150" t="n">
        <v>0</v>
      </c>
      <c r="AQ49" s="150" t="n">
        <v>0</v>
      </c>
      <c r="AR49" s="150" t="n">
        <v>0</v>
      </c>
      <c r="AS49" s="150" t="n">
        <v>0</v>
      </c>
      <c r="AT49" s="150" t="n">
        <v>0</v>
      </c>
      <c r="AU49" s="150" t="n">
        <v>0</v>
      </c>
      <c r="AV49" s="150" t="n">
        <v>0</v>
      </c>
      <c r="AW49" s="151" t="n">
        <v>0</v>
      </c>
      <c r="AX49" s="151" t="n">
        <v>0</v>
      </c>
      <c r="AY49" s="151" t="n">
        <v>0</v>
      </c>
      <c r="AZ49" s="151" t="n">
        <v>0</v>
      </c>
      <c r="BA49" s="151" t="n">
        <v>0</v>
      </c>
      <c r="BB49" s="151" t="n">
        <v>0</v>
      </c>
      <c r="BC49" s="152" t="n">
        <v>0</v>
      </c>
      <c r="BD49" s="131" t="n"/>
      <c r="BE49" s="21" t="inlineStr">
        <is>
          <t>First Greater</t>
        </is>
      </c>
      <c r="BF49" s="21" t="e">
        <v>#VALUE!</v>
      </c>
      <c r="BG49" s="21" t="e">
        <v>#VALUE!</v>
      </c>
      <c r="BH49" s="131" t="n"/>
      <c r="BI49" s="131" t="n"/>
      <c r="BJ49" s="131" t="n"/>
      <c r="BK49" s="131" t="n"/>
      <c r="BL49" s="137" t="n"/>
      <c r="BM49" s="137" t="n"/>
      <c r="BN49" s="137" t="n"/>
      <c r="BO49" s="137" t="n"/>
      <c r="BP49" s="137" t="n"/>
      <c r="BQ49" s="137" t="n"/>
      <c r="BR49" s="137" t="n"/>
      <c r="BS49" s="137" t="n"/>
      <c r="BT49" s="137" t="n"/>
      <c r="BU49" s="137" t="n"/>
      <c r="BV49" s="137" t="n"/>
      <c r="BW49" s="137" t="n"/>
      <c r="BX49" s="137" t="n"/>
      <c r="BY49" s="137" t="n"/>
      <c r="BZ49" s="137" t="n"/>
      <c r="CA49" s="131" t="n"/>
      <c r="CB49" s="131" t="n"/>
      <c r="CC49" s="170" t="n">
        <v>-62.28435789813118</v>
      </c>
      <c r="CD49" s="171" t="n">
        <v>0</v>
      </c>
      <c r="CE49" s="171" t="n">
        <v>0</v>
      </c>
      <c r="CF49" s="171" t="n">
        <v>0</v>
      </c>
      <c r="CG49" s="171" t="n">
        <v>0</v>
      </c>
      <c r="CH49" s="171" t="n">
        <v>0</v>
      </c>
      <c r="CI49" s="171" t="n">
        <v>0</v>
      </c>
      <c r="CJ49" s="171" t="n">
        <v>0</v>
      </c>
      <c r="CK49" s="173" t="n">
        <v>0</v>
      </c>
      <c r="CL49" s="173" t="n">
        <v>0</v>
      </c>
      <c r="CM49" s="173" t="n">
        <v>0</v>
      </c>
      <c r="CN49" s="173" t="n">
        <v>0</v>
      </c>
      <c r="CO49" s="173" t="n">
        <v>0</v>
      </c>
      <c r="CP49" s="173" t="n">
        <v>0</v>
      </c>
      <c r="CQ49" s="174" t="n">
        <v>0</v>
      </c>
    </row>
    <row r="50" ht="16.5" customHeight="1">
      <c r="A50" s="142" t="n"/>
      <c r="B50" s="157" t="n"/>
      <c r="C50" s="157" t="n"/>
      <c r="D50" s="143" t="n"/>
      <c r="E50" s="143" t="n"/>
      <c r="F50" s="4" t="n"/>
      <c r="G50" s="4" t="n"/>
      <c r="H50" s="144" t="n">
        <v>0</v>
      </c>
      <c r="I50" s="3" t="n"/>
      <c r="J50" s="4" t="n"/>
      <c r="K50" s="4" t="n"/>
      <c r="L50" s="116" t="n">
        <v>0</v>
      </c>
      <c r="M50" s="172" t="n"/>
      <c r="N50" s="158" t="n"/>
      <c r="X50" s="145" t="n">
        <v>1699.037374073919</v>
      </c>
      <c r="Y50" s="146" t="n">
        <v>0</v>
      </c>
      <c r="Z50" s="146" t="str"/>
      <c r="AA50" s="146" t="str"/>
      <c r="AB50" s="146" t="str"/>
      <c r="AC50" s="146" t="str"/>
      <c r="AD50" s="146" t="str"/>
      <c r="AE50" s="146" t="str"/>
      <c r="AF50" s="147" t="str"/>
      <c r="AG50" s="147" t="str"/>
      <c r="AH50" s="147" t="str"/>
      <c r="AI50" s="147" t="str"/>
      <c r="AJ50" s="147" t="str"/>
      <c r="AK50" s="147" t="str"/>
      <c r="AL50" s="148" t="str"/>
      <c r="AM50" s="131" t="n"/>
      <c r="AN50" s="131" t="n"/>
      <c r="AO50" s="149" t="n">
        <v>-62.28435789813118</v>
      </c>
      <c r="AP50" s="150" t="n">
        <v>0</v>
      </c>
      <c r="AQ50" s="150" t="n">
        <v>0</v>
      </c>
      <c r="AR50" s="150" t="n">
        <v>0</v>
      </c>
      <c r="AS50" s="150" t="n">
        <v>0</v>
      </c>
      <c r="AT50" s="150" t="n">
        <v>0</v>
      </c>
      <c r="AU50" s="150" t="n">
        <v>0</v>
      </c>
      <c r="AV50" s="150" t="n">
        <v>0</v>
      </c>
      <c r="AW50" s="151" t="n">
        <v>0</v>
      </c>
      <c r="AX50" s="151" t="n">
        <v>0</v>
      </c>
      <c r="AY50" s="151" t="n">
        <v>0</v>
      </c>
      <c r="AZ50" s="151" t="n">
        <v>0</v>
      </c>
      <c r="BA50" s="151" t="n">
        <v>0</v>
      </c>
      <c r="BB50" s="151" t="n">
        <v>0</v>
      </c>
      <c r="BC50" s="152" t="n">
        <v>0</v>
      </c>
      <c r="BD50" s="131" t="n"/>
      <c r="BE50" s="21" t="inlineStr">
        <is>
          <t>difference in adjency</t>
        </is>
      </c>
      <c r="BF50" s="21" t="e">
        <v>#VALUE!</v>
      </c>
      <c r="BG50" s="21" t="n"/>
      <c r="BH50" s="131" t="n"/>
      <c r="BI50" s="131" t="n"/>
      <c r="BJ50" s="131" t="n"/>
      <c r="BK50" s="131" t="n"/>
      <c r="BL50" s="137" t="n"/>
      <c r="BM50" s="137" t="n"/>
      <c r="BN50" s="137" t="n"/>
      <c r="BO50" s="137" t="n"/>
      <c r="BP50" s="137" t="n"/>
      <c r="BQ50" s="137" t="n"/>
      <c r="BR50" s="137" t="n"/>
      <c r="BS50" s="137" t="n"/>
      <c r="BT50" s="137" t="n"/>
      <c r="BU50" s="137" t="n"/>
      <c r="BV50" s="137" t="n"/>
      <c r="BW50" s="137" t="n"/>
      <c r="BX50" s="137" t="n"/>
      <c r="BY50" s="137" t="n"/>
      <c r="BZ50" s="137" t="n"/>
      <c r="CA50" s="131" t="n"/>
      <c r="CB50" s="131" t="n"/>
      <c r="CC50" s="170" t="n">
        <v>-62.28435789813118</v>
      </c>
      <c r="CD50" s="171" t="n">
        <v>0</v>
      </c>
      <c r="CE50" s="171" t="n">
        <v>0</v>
      </c>
      <c r="CF50" s="171" t="n">
        <v>0</v>
      </c>
      <c r="CG50" s="171" t="n">
        <v>0</v>
      </c>
      <c r="CH50" s="171" t="n">
        <v>0</v>
      </c>
      <c r="CI50" s="171" t="n">
        <v>0</v>
      </c>
      <c r="CJ50" s="171" t="n">
        <v>0</v>
      </c>
      <c r="CK50" s="173" t="n">
        <v>0</v>
      </c>
      <c r="CL50" s="173" t="n">
        <v>0</v>
      </c>
      <c r="CM50" s="173" t="n">
        <v>0</v>
      </c>
      <c r="CN50" s="173" t="n">
        <v>0</v>
      </c>
      <c r="CO50" s="173" t="n">
        <v>0</v>
      </c>
      <c r="CP50" s="173" t="n">
        <v>0</v>
      </c>
      <c r="CQ50" s="174" t="n">
        <v>0</v>
      </c>
    </row>
    <row r="51" ht="16.5" customHeight="1">
      <c r="A51" s="142" t="n"/>
      <c r="B51" s="157" t="n"/>
      <c r="C51" s="157" t="n"/>
      <c r="D51" s="143" t="n"/>
      <c r="E51" s="143" t="n"/>
      <c r="F51" s="4" t="n"/>
      <c r="G51" s="4" t="n"/>
      <c r="H51" s="144" t="n">
        <v>0</v>
      </c>
      <c r="I51" s="3" t="n"/>
      <c r="J51" s="4" t="n"/>
      <c r="K51" s="4" t="n"/>
      <c r="L51" s="116" t="n">
        <v>0</v>
      </c>
      <c r="M51" s="172" t="n"/>
      <c r="N51" s="158" t="n"/>
      <c r="X51" s="145" t="n">
        <v>1699.037374073919</v>
      </c>
      <c r="Y51" s="146" t="n">
        <v>0</v>
      </c>
      <c r="Z51" s="146" t="str"/>
      <c r="AA51" s="146" t="str"/>
      <c r="AB51" s="146" t="str"/>
      <c r="AC51" s="146" t="str"/>
      <c r="AD51" s="146" t="str"/>
      <c r="AE51" s="146" t="str"/>
      <c r="AF51" s="147" t="str"/>
      <c r="AG51" s="147" t="str"/>
      <c r="AH51" s="147" t="str"/>
      <c r="AI51" s="147" t="str"/>
      <c r="AJ51" s="147" t="str"/>
      <c r="AK51" s="147" t="str"/>
      <c r="AL51" s="148" t="str"/>
      <c r="AM51" s="131" t="n"/>
      <c r="AN51" s="131" t="n"/>
      <c r="AO51" s="149" t="n">
        <v>-62.28435789813118</v>
      </c>
      <c r="AP51" s="150" t="n">
        <v>0</v>
      </c>
      <c r="AQ51" s="150" t="n">
        <v>0</v>
      </c>
      <c r="AR51" s="150" t="n">
        <v>0</v>
      </c>
      <c r="AS51" s="150" t="n">
        <v>0</v>
      </c>
      <c r="AT51" s="150" t="n">
        <v>0</v>
      </c>
      <c r="AU51" s="150" t="n">
        <v>0</v>
      </c>
      <c r="AV51" s="150" t="n">
        <v>0</v>
      </c>
      <c r="AW51" s="151" t="n">
        <v>0</v>
      </c>
      <c r="AX51" s="151" t="n">
        <v>0</v>
      </c>
      <c r="AY51" s="151" t="n">
        <v>0</v>
      </c>
      <c r="AZ51" s="151" t="n">
        <v>0</v>
      </c>
      <c r="BA51" s="151" t="n">
        <v>0</v>
      </c>
      <c r="BB51" s="151" t="n">
        <v>0</v>
      </c>
      <c r="BC51" s="152" t="n">
        <v>0</v>
      </c>
      <c r="BD51" s="131" t="n"/>
      <c r="BE51" s="21" t="inlineStr">
        <is>
          <t xml:space="preserve">difference in reduction </t>
        </is>
      </c>
      <c r="BF51" s="21" t="n">
        <v>0</v>
      </c>
      <c r="BG51" s="21" t="n"/>
      <c r="BH51" s="131" t="n"/>
      <c r="BI51" s="131" t="n"/>
      <c r="BJ51" s="131" t="n"/>
      <c r="BK51" s="131" t="n"/>
      <c r="BL51" s="137" t="n"/>
      <c r="BM51" s="137" t="n"/>
      <c r="BN51" s="137" t="n"/>
      <c r="BO51" s="137" t="n"/>
      <c r="BP51" s="137" t="n"/>
      <c r="BQ51" s="137" t="n"/>
      <c r="BR51" s="137" t="n"/>
      <c r="BS51" s="137" t="n"/>
      <c r="BT51" s="137" t="n"/>
      <c r="BU51" s="137" t="n"/>
      <c r="BV51" s="137" t="n"/>
      <c r="BW51" s="137" t="n"/>
      <c r="BX51" s="137" t="n"/>
      <c r="BY51" s="137" t="n"/>
      <c r="BZ51" s="137" t="n"/>
      <c r="CA51" s="131" t="n"/>
      <c r="CB51" s="131" t="n"/>
      <c r="CC51" s="170" t="n">
        <v>-62.28435789813118</v>
      </c>
      <c r="CD51" s="171" t="n">
        <v>0</v>
      </c>
      <c r="CE51" s="171" t="n">
        <v>0</v>
      </c>
      <c r="CF51" s="171" t="n">
        <v>0</v>
      </c>
      <c r="CG51" s="171" t="n">
        <v>0</v>
      </c>
      <c r="CH51" s="171" t="n">
        <v>0</v>
      </c>
      <c r="CI51" s="171" t="n">
        <v>0</v>
      </c>
      <c r="CJ51" s="171" t="n">
        <v>0</v>
      </c>
      <c r="CK51" s="173" t="n">
        <v>0</v>
      </c>
      <c r="CL51" s="173" t="n">
        <v>0</v>
      </c>
      <c r="CM51" s="173" t="n">
        <v>0</v>
      </c>
      <c r="CN51" s="173" t="n">
        <v>0</v>
      </c>
      <c r="CO51" s="173" t="n">
        <v>0</v>
      </c>
      <c r="CP51" s="173" t="n">
        <v>0</v>
      </c>
      <c r="CQ51" s="174" t="n">
        <v>0</v>
      </c>
    </row>
    <row r="52" ht="16.5" customHeight="1">
      <c r="A52" s="142" t="n"/>
      <c r="B52" s="157" t="n"/>
      <c r="C52" s="157" t="n"/>
      <c r="D52" s="143" t="n"/>
      <c r="E52" s="143" t="n"/>
      <c r="F52" s="4" t="n"/>
      <c r="G52" s="4" t="n"/>
      <c r="H52" s="144" t="n">
        <v>0</v>
      </c>
      <c r="I52" s="3" t="n"/>
      <c r="J52" s="4" t="n"/>
      <c r="K52" s="4" t="n"/>
      <c r="L52" s="116" t="n">
        <v>0</v>
      </c>
      <c r="M52" s="172" t="n"/>
      <c r="N52" s="158" t="n"/>
      <c r="X52" s="145" t="n">
        <v>1699.037374073919</v>
      </c>
      <c r="Y52" s="146" t="n">
        <v>0</v>
      </c>
      <c r="Z52" s="146" t="str"/>
      <c r="AA52" s="146" t="str"/>
      <c r="AB52" s="146" t="str"/>
      <c r="AC52" s="146" t="str"/>
      <c r="AD52" s="146" t="str"/>
      <c r="AE52" s="146" t="str"/>
      <c r="AF52" s="147" t="str"/>
      <c r="AG52" s="147" t="str"/>
      <c r="AH52" s="147" t="str"/>
      <c r="AI52" s="147" t="str"/>
      <c r="AJ52" s="147" t="str"/>
      <c r="AK52" s="147" t="str"/>
      <c r="AL52" s="148" t="str"/>
      <c r="AM52" s="131" t="n"/>
      <c r="AN52" s="131" t="n"/>
      <c r="AO52" s="149" t="n">
        <v>-62.28435789813118</v>
      </c>
      <c r="AP52" s="150" t="n">
        <v>0</v>
      </c>
      <c r="AQ52" s="150" t="n">
        <v>0</v>
      </c>
      <c r="AR52" s="150" t="n">
        <v>0</v>
      </c>
      <c r="AS52" s="150" t="n">
        <v>0</v>
      </c>
      <c r="AT52" s="150" t="n">
        <v>0</v>
      </c>
      <c r="AU52" s="150" t="n">
        <v>0</v>
      </c>
      <c r="AV52" s="150" t="n">
        <v>0</v>
      </c>
      <c r="AW52" s="151" t="n">
        <v>0</v>
      </c>
      <c r="AX52" s="151" t="n">
        <v>0</v>
      </c>
      <c r="AY52" s="151" t="n">
        <v>0</v>
      </c>
      <c r="AZ52" s="151" t="n">
        <v>0</v>
      </c>
      <c r="BA52" s="151" t="n">
        <v>0</v>
      </c>
      <c r="BB52" s="151" t="n">
        <v>0</v>
      </c>
      <c r="BC52" s="152" t="n">
        <v>0</v>
      </c>
      <c r="BD52" s="131" t="n"/>
      <c r="BE52" s="131" t="n"/>
      <c r="BF52" s="131" t="n"/>
      <c r="BG52" s="131" t="n"/>
      <c r="BH52" s="131" t="n"/>
      <c r="BI52" s="131" t="n"/>
      <c r="BJ52" s="131" t="n"/>
      <c r="BK52" s="131" t="n"/>
      <c r="BL52" s="137" t="n"/>
      <c r="BM52" s="137" t="n"/>
      <c r="BN52" s="137" t="n"/>
      <c r="BO52" s="137" t="n"/>
      <c r="BP52" s="137" t="n"/>
      <c r="BQ52" s="137" t="n"/>
      <c r="BR52" s="137" t="n"/>
      <c r="BS52" s="137" t="n"/>
      <c r="BT52" s="137" t="n"/>
      <c r="BU52" s="137" t="n"/>
      <c r="BV52" s="137" t="n"/>
      <c r="BW52" s="137" t="n"/>
      <c r="BX52" s="137" t="n"/>
      <c r="BY52" s="137" t="n"/>
      <c r="BZ52" s="137" t="n"/>
      <c r="CA52" s="131" t="n"/>
      <c r="CB52" s="131" t="n"/>
      <c r="CC52" s="170" t="n">
        <v>-62.28435789813118</v>
      </c>
      <c r="CD52" s="171" t="n">
        <v>0</v>
      </c>
      <c r="CE52" s="171" t="n">
        <v>0</v>
      </c>
      <c r="CF52" s="171" t="n">
        <v>0</v>
      </c>
      <c r="CG52" s="171" t="n">
        <v>0</v>
      </c>
      <c r="CH52" s="171" t="n">
        <v>0</v>
      </c>
      <c r="CI52" s="171" t="n">
        <v>0</v>
      </c>
      <c r="CJ52" s="171" t="n">
        <v>0</v>
      </c>
      <c r="CK52" s="173" t="n">
        <v>0</v>
      </c>
      <c r="CL52" s="173" t="n">
        <v>0</v>
      </c>
      <c r="CM52" s="173" t="n">
        <v>0</v>
      </c>
      <c r="CN52" s="173" t="n">
        <v>0</v>
      </c>
      <c r="CO52" s="173" t="n">
        <v>0</v>
      </c>
      <c r="CP52" s="173" t="n">
        <v>0</v>
      </c>
      <c r="CQ52" s="174" t="n">
        <v>0</v>
      </c>
    </row>
    <row r="53" ht="16.5" customHeight="1">
      <c r="A53" s="142" t="n"/>
      <c r="B53" s="157" t="n"/>
      <c r="C53" s="157" t="n"/>
      <c r="D53" s="143" t="n"/>
      <c r="E53" s="143" t="n"/>
      <c r="F53" s="4" t="n"/>
      <c r="G53" s="4" t="n"/>
      <c r="H53" s="144" t="n">
        <v>0</v>
      </c>
      <c r="I53" s="3" t="n"/>
      <c r="J53" s="4" t="n"/>
      <c r="K53" s="4" t="n"/>
      <c r="L53" s="116" t="n">
        <v>0</v>
      </c>
      <c r="M53" s="172" t="n"/>
      <c r="N53" s="158" t="n"/>
      <c r="X53" s="145" t="n">
        <v>1699.037374073919</v>
      </c>
      <c r="Y53" s="146" t="n">
        <v>0</v>
      </c>
      <c r="Z53" s="146" t="str"/>
      <c r="AA53" s="146" t="str"/>
      <c r="AB53" s="146" t="str"/>
      <c r="AC53" s="146" t="str"/>
      <c r="AD53" s="146" t="str"/>
      <c r="AE53" s="146" t="str"/>
      <c r="AF53" s="147" t="str"/>
      <c r="AG53" s="147" t="str"/>
      <c r="AH53" s="147" t="str"/>
      <c r="AI53" s="147" t="str"/>
      <c r="AJ53" s="147" t="str"/>
      <c r="AK53" s="147" t="str"/>
      <c r="AL53" s="148" t="str"/>
      <c r="AM53" s="131" t="n"/>
      <c r="AN53" s="131" t="n"/>
      <c r="AO53" s="149" t="n">
        <v>-62.28435789813118</v>
      </c>
      <c r="AP53" s="150" t="n">
        <v>0</v>
      </c>
      <c r="AQ53" s="150" t="n">
        <v>0</v>
      </c>
      <c r="AR53" s="150" t="n">
        <v>0</v>
      </c>
      <c r="AS53" s="150" t="n">
        <v>0</v>
      </c>
      <c r="AT53" s="150" t="n">
        <v>0</v>
      </c>
      <c r="AU53" s="150" t="n">
        <v>0</v>
      </c>
      <c r="AV53" s="150" t="n">
        <v>0</v>
      </c>
      <c r="AW53" s="151" t="n">
        <v>0</v>
      </c>
      <c r="AX53" s="151" t="n">
        <v>0</v>
      </c>
      <c r="AY53" s="151" t="n">
        <v>0</v>
      </c>
      <c r="AZ53" s="151" t="n">
        <v>0</v>
      </c>
      <c r="BA53" s="151" t="n">
        <v>0</v>
      </c>
      <c r="BB53" s="151" t="n">
        <v>0</v>
      </c>
      <c r="BC53" s="152" t="n">
        <v>0</v>
      </c>
      <c r="BD53" s="131" t="n"/>
      <c r="BE53" s="131" t="n"/>
      <c r="BF53" s="131" t="n"/>
      <c r="BG53" s="131" t="n"/>
      <c r="BH53" s="131" t="n"/>
      <c r="BI53" s="131" t="n"/>
      <c r="BJ53" s="131" t="n"/>
      <c r="BK53" s="131" t="n"/>
      <c r="BL53" s="137" t="n"/>
      <c r="BM53" s="137" t="n"/>
      <c r="BN53" s="137" t="n"/>
      <c r="BO53" s="137" t="n"/>
      <c r="BP53" s="137" t="n"/>
      <c r="BQ53" s="137" t="n"/>
      <c r="BR53" s="137" t="n"/>
      <c r="BS53" s="137" t="n"/>
      <c r="BT53" s="137" t="n"/>
      <c r="BU53" s="137" t="n"/>
      <c r="BV53" s="137" t="n"/>
      <c r="BW53" s="137" t="n"/>
      <c r="BX53" s="137" t="n"/>
      <c r="BY53" s="137" t="n"/>
      <c r="BZ53" s="137" t="n"/>
      <c r="CA53" s="131" t="n"/>
      <c r="CB53" s="131" t="n"/>
      <c r="CC53" s="170" t="n">
        <v>-62.28435789813118</v>
      </c>
      <c r="CD53" s="171" t="n">
        <v>0</v>
      </c>
      <c r="CE53" s="171" t="n">
        <v>0</v>
      </c>
      <c r="CF53" s="171" t="n">
        <v>0</v>
      </c>
      <c r="CG53" s="171" t="n">
        <v>0</v>
      </c>
      <c r="CH53" s="171" t="n">
        <v>0</v>
      </c>
      <c r="CI53" s="171" t="n">
        <v>0</v>
      </c>
      <c r="CJ53" s="171" t="n">
        <v>0</v>
      </c>
      <c r="CK53" s="173" t="n">
        <v>0</v>
      </c>
      <c r="CL53" s="173" t="n">
        <v>0</v>
      </c>
      <c r="CM53" s="173" t="n">
        <v>0</v>
      </c>
      <c r="CN53" s="173" t="n">
        <v>0</v>
      </c>
      <c r="CO53" s="173" t="n">
        <v>0</v>
      </c>
      <c r="CP53" s="173" t="n">
        <v>0</v>
      </c>
      <c r="CQ53" s="174" t="n">
        <v>0</v>
      </c>
    </row>
    <row r="54" ht="16.5" customHeight="1">
      <c r="A54" s="142" t="n"/>
      <c r="B54" s="157" t="n"/>
      <c r="C54" s="157" t="n"/>
      <c r="D54" s="143" t="n"/>
      <c r="E54" s="143" t="n"/>
      <c r="F54" s="4" t="n"/>
      <c r="G54" s="4" t="n"/>
      <c r="H54" s="144" t="n">
        <v>0</v>
      </c>
      <c r="I54" s="3" t="n"/>
      <c r="J54" s="4" t="n"/>
      <c r="K54" s="4" t="n"/>
      <c r="L54" s="116" t="n">
        <v>0</v>
      </c>
      <c r="M54" s="172" t="n"/>
      <c r="N54" s="158" t="n"/>
      <c r="X54" s="145" t="n">
        <v>1699.037374073919</v>
      </c>
      <c r="Y54" s="146" t="n">
        <v>0</v>
      </c>
      <c r="Z54" s="146" t="str"/>
      <c r="AA54" s="146" t="str"/>
      <c r="AB54" s="146" t="str"/>
      <c r="AC54" s="146" t="str"/>
      <c r="AD54" s="146" t="str"/>
      <c r="AE54" s="146" t="str"/>
      <c r="AF54" s="147" t="str"/>
      <c r="AG54" s="147" t="str"/>
      <c r="AH54" s="147" t="str"/>
      <c r="AI54" s="147" t="str"/>
      <c r="AJ54" s="147" t="str"/>
      <c r="AK54" s="147" t="str"/>
      <c r="AL54" s="148" t="str"/>
      <c r="AM54" s="131" t="n"/>
      <c r="AN54" s="131" t="n"/>
      <c r="AO54" s="149" t="n">
        <v>-62.28435789813118</v>
      </c>
      <c r="AP54" s="150" t="n">
        <v>0</v>
      </c>
      <c r="AQ54" s="150" t="n">
        <v>0</v>
      </c>
      <c r="AR54" s="150" t="n">
        <v>0</v>
      </c>
      <c r="AS54" s="150" t="n">
        <v>0</v>
      </c>
      <c r="AT54" s="150" t="n">
        <v>0</v>
      </c>
      <c r="AU54" s="150" t="n">
        <v>0</v>
      </c>
      <c r="AV54" s="150" t="n">
        <v>0</v>
      </c>
      <c r="AW54" s="151" t="n">
        <v>0</v>
      </c>
      <c r="AX54" s="151" t="n">
        <v>0</v>
      </c>
      <c r="AY54" s="151" t="n">
        <v>0</v>
      </c>
      <c r="AZ54" s="151" t="n">
        <v>0</v>
      </c>
      <c r="BA54" s="151" t="n">
        <v>0</v>
      </c>
      <c r="BB54" s="151" t="n">
        <v>0</v>
      </c>
      <c r="BC54" s="152" t="n">
        <v>0</v>
      </c>
      <c r="BD54" s="131" t="n"/>
      <c r="BE54" s="131" t="n"/>
      <c r="BF54" s="131" t="n"/>
      <c r="BG54" s="131" t="n"/>
      <c r="BH54" s="131" t="n"/>
      <c r="BI54" s="131" t="n"/>
      <c r="BJ54" s="131" t="n"/>
      <c r="BK54" s="131" t="n"/>
      <c r="BL54" s="137" t="n"/>
      <c r="BM54" s="137" t="n"/>
      <c r="BN54" s="137" t="n"/>
      <c r="BO54" s="137" t="n"/>
      <c r="BP54" s="137" t="n"/>
      <c r="BQ54" s="137" t="n"/>
      <c r="BR54" s="137" t="n"/>
      <c r="BS54" s="137" t="n"/>
      <c r="BT54" s="137" t="n"/>
      <c r="BU54" s="137" t="n"/>
      <c r="BV54" s="137" t="n"/>
      <c r="BW54" s="137" t="n"/>
      <c r="BX54" s="137" t="n"/>
      <c r="BY54" s="137" t="n"/>
      <c r="BZ54" s="137" t="n"/>
      <c r="CA54" s="131" t="n"/>
      <c r="CB54" s="131" t="n"/>
      <c r="CC54" s="170" t="n">
        <v>-62.28435789813118</v>
      </c>
      <c r="CD54" s="171" t="n">
        <v>0</v>
      </c>
      <c r="CE54" s="171" t="n">
        <v>0</v>
      </c>
      <c r="CF54" s="171" t="n">
        <v>0</v>
      </c>
      <c r="CG54" s="171" t="n">
        <v>0</v>
      </c>
      <c r="CH54" s="171" t="n">
        <v>0</v>
      </c>
      <c r="CI54" s="171" t="n">
        <v>0</v>
      </c>
      <c r="CJ54" s="171" t="n">
        <v>0</v>
      </c>
      <c r="CK54" s="173" t="n">
        <v>0</v>
      </c>
      <c r="CL54" s="173" t="n">
        <v>0</v>
      </c>
      <c r="CM54" s="173" t="n">
        <v>0</v>
      </c>
      <c r="CN54" s="173" t="n">
        <v>0</v>
      </c>
      <c r="CO54" s="173" t="n">
        <v>0</v>
      </c>
      <c r="CP54" s="173" t="n">
        <v>0</v>
      </c>
      <c r="CQ54" s="174" t="n">
        <v>0</v>
      </c>
    </row>
    <row r="55" ht="16.5" customHeight="1">
      <c r="A55" s="142" t="n"/>
      <c r="B55" s="157" t="n"/>
      <c r="C55" s="157" t="n"/>
      <c r="D55" s="143" t="n"/>
      <c r="E55" s="143" t="n"/>
      <c r="F55" s="4" t="n"/>
      <c r="G55" s="4" t="n"/>
      <c r="H55" s="144" t="n">
        <v>0</v>
      </c>
      <c r="I55" s="3" t="n"/>
      <c r="J55" s="4" t="n"/>
      <c r="K55" s="4" t="n"/>
      <c r="L55" s="116" t="n">
        <v>0</v>
      </c>
      <c r="M55" s="172" t="n"/>
      <c r="N55" s="158" t="n"/>
      <c r="X55" s="145" t="n">
        <v>1699.037374073919</v>
      </c>
      <c r="Y55" s="146" t="n">
        <v>0</v>
      </c>
      <c r="Z55" s="146" t="str"/>
      <c r="AA55" s="146" t="str"/>
      <c r="AB55" s="146" t="str"/>
      <c r="AC55" s="146" t="str"/>
      <c r="AD55" s="146" t="str"/>
      <c r="AE55" s="146" t="str"/>
      <c r="AF55" s="147" t="str"/>
      <c r="AG55" s="147" t="str"/>
      <c r="AH55" s="147" t="str"/>
      <c r="AI55" s="147" t="str"/>
      <c r="AJ55" s="147" t="str"/>
      <c r="AK55" s="147" t="str"/>
      <c r="AL55" s="148" t="str"/>
      <c r="AM55" s="131" t="n"/>
      <c r="AN55" s="131" t="n"/>
      <c r="AO55" s="149" t="n">
        <v>-62.28435789813118</v>
      </c>
      <c r="AP55" s="150" t="n">
        <v>0</v>
      </c>
      <c r="AQ55" s="150" t="n">
        <v>0</v>
      </c>
      <c r="AR55" s="150" t="n">
        <v>0</v>
      </c>
      <c r="AS55" s="150" t="n">
        <v>0</v>
      </c>
      <c r="AT55" s="150" t="n">
        <v>0</v>
      </c>
      <c r="AU55" s="150" t="n">
        <v>0</v>
      </c>
      <c r="AV55" s="150" t="n">
        <v>0</v>
      </c>
      <c r="AW55" s="151" t="n">
        <v>0</v>
      </c>
      <c r="AX55" s="151" t="n">
        <v>0</v>
      </c>
      <c r="AY55" s="151" t="n">
        <v>0</v>
      </c>
      <c r="AZ55" s="151" t="n">
        <v>0</v>
      </c>
      <c r="BA55" s="151" t="n">
        <v>0</v>
      </c>
      <c r="BB55" s="151" t="n">
        <v>0</v>
      </c>
      <c r="BC55" s="152" t="n">
        <v>0</v>
      </c>
      <c r="BD55" s="131" t="n"/>
      <c r="BE55" s="131" t="n"/>
      <c r="BF55" s="131" t="n"/>
      <c r="BG55" s="131" t="n"/>
      <c r="BH55" s="131" t="n"/>
      <c r="BI55" s="131" t="n"/>
      <c r="BJ55" s="131" t="n"/>
      <c r="BK55" s="131" t="n"/>
      <c r="BL55" s="137" t="n"/>
      <c r="BM55" s="137" t="n"/>
      <c r="BN55" s="137" t="n"/>
      <c r="BO55" s="137" t="n"/>
      <c r="BP55" s="137" t="n"/>
      <c r="BQ55" s="137" t="n"/>
      <c r="BR55" s="137" t="n"/>
      <c r="BS55" s="137" t="n"/>
      <c r="BT55" s="137" t="n"/>
      <c r="BU55" s="137" t="n"/>
      <c r="BV55" s="137" t="n"/>
      <c r="BW55" s="137" t="n"/>
      <c r="BX55" s="137" t="n"/>
      <c r="BY55" s="137" t="n"/>
      <c r="BZ55" s="137" t="n"/>
      <c r="CA55" s="131" t="n"/>
      <c r="CB55" s="131" t="n"/>
      <c r="CC55" s="170" t="n">
        <v>-62.28435789813118</v>
      </c>
      <c r="CD55" s="171" t="n">
        <v>0</v>
      </c>
      <c r="CE55" s="171" t="n">
        <v>0</v>
      </c>
      <c r="CF55" s="171" t="n">
        <v>0</v>
      </c>
      <c r="CG55" s="171" t="n">
        <v>0</v>
      </c>
      <c r="CH55" s="171" t="n">
        <v>0</v>
      </c>
      <c r="CI55" s="171" t="n">
        <v>0</v>
      </c>
      <c r="CJ55" s="171" t="n">
        <v>0</v>
      </c>
      <c r="CK55" s="173" t="n">
        <v>0</v>
      </c>
      <c r="CL55" s="173" t="n">
        <v>0</v>
      </c>
      <c r="CM55" s="173" t="n">
        <v>0</v>
      </c>
      <c r="CN55" s="173" t="n">
        <v>0</v>
      </c>
      <c r="CO55" s="173" t="n">
        <v>0</v>
      </c>
      <c r="CP55" s="173" t="n">
        <v>0</v>
      </c>
      <c r="CQ55" s="174" t="n">
        <v>0</v>
      </c>
    </row>
    <row r="56" ht="16.5" customHeight="1">
      <c r="A56" s="142" t="n"/>
      <c r="B56" s="157" t="n"/>
      <c r="C56" s="157" t="n"/>
      <c r="D56" s="143" t="n"/>
      <c r="E56" s="143" t="n"/>
      <c r="F56" s="4" t="n"/>
      <c r="G56" s="4" t="n"/>
      <c r="H56" s="144" t="n">
        <v>0</v>
      </c>
      <c r="I56" s="3" t="n"/>
      <c r="J56" s="4" t="n"/>
      <c r="K56" s="4" t="n"/>
      <c r="L56" s="116" t="n">
        <v>0</v>
      </c>
      <c r="M56" s="172" t="n"/>
      <c r="N56" s="158" t="n"/>
      <c r="X56" s="145" t="n">
        <v>1699.037374073919</v>
      </c>
      <c r="Y56" s="146" t="n">
        <v>0</v>
      </c>
      <c r="Z56" s="146" t="str"/>
      <c r="AA56" s="146" t="str"/>
      <c r="AB56" s="146" t="str"/>
      <c r="AC56" s="146" t="str"/>
      <c r="AD56" s="146" t="str"/>
      <c r="AE56" s="146" t="str"/>
      <c r="AF56" s="147" t="str"/>
      <c r="AG56" s="147" t="str"/>
      <c r="AH56" s="147" t="str"/>
      <c r="AI56" s="147" t="str"/>
      <c r="AJ56" s="147" t="str"/>
      <c r="AK56" s="147" t="str"/>
      <c r="AL56" s="148" t="str"/>
      <c r="AM56" s="131" t="n"/>
      <c r="AN56" s="131" t="n"/>
      <c r="AO56" s="149" t="n">
        <v>-62.28435789813118</v>
      </c>
      <c r="AP56" s="150" t="n">
        <v>0</v>
      </c>
      <c r="AQ56" s="150" t="n">
        <v>0</v>
      </c>
      <c r="AR56" s="150" t="n">
        <v>0</v>
      </c>
      <c r="AS56" s="150" t="n">
        <v>0</v>
      </c>
      <c r="AT56" s="150" t="n">
        <v>0</v>
      </c>
      <c r="AU56" s="150" t="n">
        <v>0</v>
      </c>
      <c r="AV56" s="150" t="n">
        <v>0</v>
      </c>
      <c r="AW56" s="151" t="n">
        <v>0</v>
      </c>
      <c r="AX56" s="151" t="n">
        <v>0</v>
      </c>
      <c r="AY56" s="151" t="n">
        <v>0</v>
      </c>
      <c r="AZ56" s="151" t="n">
        <v>0</v>
      </c>
      <c r="BA56" s="151" t="n">
        <v>0</v>
      </c>
      <c r="BB56" s="151" t="n">
        <v>0</v>
      </c>
      <c r="BC56" s="152" t="n">
        <v>0</v>
      </c>
      <c r="BD56" s="131" t="n"/>
      <c r="BE56" s="131" t="n"/>
      <c r="BF56" s="131" t="n"/>
      <c r="BG56" s="131" t="n"/>
      <c r="BH56" s="131" t="n"/>
      <c r="BI56" s="131" t="n"/>
      <c r="BJ56" s="131" t="n"/>
      <c r="BK56" s="131" t="n"/>
      <c r="BL56" s="137" t="n"/>
      <c r="BM56" s="137" t="n"/>
      <c r="BN56" s="137" t="n"/>
      <c r="BO56" s="137" t="n"/>
      <c r="BP56" s="137" t="n"/>
      <c r="BQ56" s="137" t="n"/>
      <c r="BR56" s="137" t="n"/>
      <c r="BS56" s="137" t="n"/>
      <c r="BT56" s="137" t="n"/>
      <c r="BU56" s="137" t="n"/>
      <c r="BV56" s="137" t="n"/>
      <c r="BW56" s="137" t="n"/>
      <c r="BX56" s="137" t="n"/>
      <c r="BY56" s="137" t="n"/>
      <c r="BZ56" s="137" t="n"/>
      <c r="CA56" s="131" t="n"/>
      <c r="CB56" s="131" t="n"/>
      <c r="CC56" s="170" t="n">
        <v>-62.28435789813118</v>
      </c>
      <c r="CD56" s="171" t="n">
        <v>0</v>
      </c>
      <c r="CE56" s="171" t="n">
        <v>0</v>
      </c>
      <c r="CF56" s="171" t="n">
        <v>0</v>
      </c>
      <c r="CG56" s="171" t="n">
        <v>0</v>
      </c>
      <c r="CH56" s="171" t="n">
        <v>0</v>
      </c>
      <c r="CI56" s="171" t="n">
        <v>0</v>
      </c>
      <c r="CJ56" s="171" t="n">
        <v>0</v>
      </c>
      <c r="CK56" s="173" t="n">
        <v>0</v>
      </c>
      <c r="CL56" s="173" t="n">
        <v>0</v>
      </c>
      <c r="CM56" s="173" t="n">
        <v>0</v>
      </c>
      <c r="CN56" s="173" t="n">
        <v>0</v>
      </c>
      <c r="CO56" s="173" t="n">
        <v>0</v>
      </c>
      <c r="CP56" s="173" t="n">
        <v>0</v>
      </c>
      <c r="CQ56" s="174" t="n">
        <v>0</v>
      </c>
    </row>
    <row r="57" ht="16.5" customHeight="1">
      <c r="A57" s="142" t="n"/>
      <c r="B57" s="157" t="n"/>
      <c r="C57" s="157" t="n"/>
      <c r="D57" s="143" t="n"/>
      <c r="E57" s="143" t="n"/>
      <c r="F57" s="4" t="n"/>
      <c r="G57" s="4" t="n"/>
      <c r="H57" s="144" t="n">
        <v>0</v>
      </c>
      <c r="I57" s="3" t="n"/>
      <c r="J57" s="4" t="n"/>
      <c r="K57" s="4" t="n"/>
      <c r="L57" s="116" t="n">
        <v>0</v>
      </c>
      <c r="M57" s="172" t="n"/>
      <c r="N57" s="158" t="n"/>
      <c r="X57" s="145" t="n">
        <v>1699.037374073919</v>
      </c>
      <c r="Y57" s="146" t="n">
        <v>0</v>
      </c>
      <c r="Z57" s="146" t="str"/>
      <c r="AA57" s="146" t="str"/>
      <c r="AB57" s="146" t="str"/>
      <c r="AC57" s="146" t="str"/>
      <c r="AD57" s="146" t="str"/>
      <c r="AE57" s="146" t="str"/>
      <c r="AF57" s="147" t="str"/>
      <c r="AG57" s="147" t="str"/>
      <c r="AH57" s="147" t="str"/>
      <c r="AI57" s="147" t="str"/>
      <c r="AJ57" s="147" t="str"/>
      <c r="AK57" s="147" t="str"/>
      <c r="AL57" s="148" t="str"/>
      <c r="AM57" s="131" t="n"/>
      <c r="AN57" s="131" t="n"/>
      <c r="AO57" s="149" t="n">
        <v>-62.28435789813118</v>
      </c>
      <c r="AP57" s="150" t="n">
        <v>0</v>
      </c>
      <c r="AQ57" s="150" t="n">
        <v>0</v>
      </c>
      <c r="AR57" s="150" t="n">
        <v>0</v>
      </c>
      <c r="AS57" s="150" t="n">
        <v>0</v>
      </c>
      <c r="AT57" s="150" t="n">
        <v>0</v>
      </c>
      <c r="AU57" s="150" t="n">
        <v>0</v>
      </c>
      <c r="AV57" s="150" t="n">
        <v>0</v>
      </c>
      <c r="AW57" s="151" t="n">
        <v>0</v>
      </c>
      <c r="AX57" s="151" t="n">
        <v>0</v>
      </c>
      <c r="AY57" s="151" t="n">
        <v>0</v>
      </c>
      <c r="AZ57" s="151" t="n">
        <v>0</v>
      </c>
      <c r="BA57" s="151" t="n">
        <v>0</v>
      </c>
      <c r="BB57" s="151" t="n">
        <v>0</v>
      </c>
      <c r="BC57" s="152" t="n">
        <v>0</v>
      </c>
      <c r="BD57" s="131" t="n"/>
      <c r="BE57" s="131" t="n"/>
      <c r="BF57" s="131" t="n"/>
      <c r="BG57" s="131" t="n"/>
      <c r="BH57" s="131" t="n"/>
      <c r="BI57" s="131" t="n"/>
      <c r="BJ57" s="131" t="n"/>
      <c r="BK57" s="131" t="n"/>
      <c r="BL57" s="137" t="n"/>
      <c r="BM57" s="137" t="n"/>
      <c r="BN57" s="137" t="n"/>
      <c r="BO57" s="137" t="n"/>
      <c r="BP57" s="137" t="n"/>
      <c r="BQ57" s="137" t="n"/>
      <c r="BR57" s="137" t="n"/>
      <c r="BS57" s="137" t="n"/>
      <c r="BT57" s="137" t="n"/>
      <c r="BU57" s="137" t="n"/>
      <c r="BV57" s="137" t="n"/>
      <c r="BW57" s="137" t="n"/>
      <c r="BX57" s="137" t="n"/>
      <c r="BY57" s="137" t="n"/>
      <c r="BZ57" s="137" t="n"/>
      <c r="CA57" s="131" t="n"/>
      <c r="CB57" s="131" t="n"/>
      <c r="CC57" s="170" t="n">
        <v>-62.28435789813118</v>
      </c>
      <c r="CD57" s="171" t="n">
        <v>0</v>
      </c>
      <c r="CE57" s="171" t="n">
        <v>0</v>
      </c>
      <c r="CF57" s="171" t="n">
        <v>0</v>
      </c>
      <c r="CG57" s="171" t="n">
        <v>0</v>
      </c>
      <c r="CH57" s="171" t="n">
        <v>0</v>
      </c>
      <c r="CI57" s="171" t="n">
        <v>0</v>
      </c>
      <c r="CJ57" s="171" t="n">
        <v>0</v>
      </c>
      <c r="CK57" s="173" t="n">
        <v>0</v>
      </c>
      <c r="CL57" s="173" t="n">
        <v>0</v>
      </c>
      <c r="CM57" s="173" t="n">
        <v>0</v>
      </c>
      <c r="CN57" s="173" t="n">
        <v>0</v>
      </c>
      <c r="CO57" s="173" t="n">
        <v>0</v>
      </c>
      <c r="CP57" s="173" t="n">
        <v>0</v>
      </c>
      <c r="CQ57" s="174" t="n">
        <v>0</v>
      </c>
    </row>
    <row r="58" ht="17.25" customHeight="1" thickBot="1">
      <c r="A58" s="175" t="n"/>
      <c r="B58" s="176" t="n"/>
      <c r="C58" s="176" t="n"/>
      <c r="D58" s="177" t="n"/>
      <c r="E58" s="177" t="n"/>
      <c r="F58" s="6" t="n"/>
      <c r="G58" s="6" t="n"/>
      <c r="H58" s="178" t="n">
        <v>0</v>
      </c>
      <c r="I58" s="7" t="n"/>
      <c r="J58" s="6" t="n"/>
      <c r="K58" s="6" t="n"/>
      <c r="L58" s="116" t="n">
        <v>0</v>
      </c>
      <c r="M58" s="179" t="n"/>
      <c r="N58" s="180" t="n"/>
      <c r="X58" s="181" t="n">
        <v>1699.037374073919</v>
      </c>
      <c r="Y58" s="182" t="n">
        <v>0</v>
      </c>
      <c r="Z58" s="182" t="str"/>
      <c r="AA58" s="182" t="str"/>
      <c r="AB58" s="182" t="str"/>
      <c r="AC58" s="182" t="str"/>
      <c r="AD58" s="182" t="str"/>
      <c r="AE58" s="182" t="str"/>
      <c r="AF58" s="183" t="str"/>
      <c r="AG58" s="183" t="str"/>
      <c r="AH58" s="183" t="str"/>
      <c r="AI58" s="183" t="str"/>
      <c r="AJ58" s="183" t="str"/>
      <c r="AK58" s="183" t="str"/>
      <c r="AL58" s="184" t="str"/>
      <c r="AM58" s="131" t="n"/>
      <c r="AN58" s="131" t="n"/>
      <c r="AO58" s="185" t="n">
        <v>-62.28435789813118</v>
      </c>
      <c r="AP58" s="186" t="n">
        <v>0</v>
      </c>
      <c r="AQ58" s="186" t="n">
        <v>0</v>
      </c>
      <c r="AR58" s="186" t="n">
        <v>0</v>
      </c>
      <c r="AS58" s="186" t="n">
        <v>0</v>
      </c>
      <c r="AT58" s="186" t="n">
        <v>0</v>
      </c>
      <c r="AU58" s="186" t="n">
        <v>0</v>
      </c>
      <c r="AV58" s="186" t="n">
        <v>0</v>
      </c>
      <c r="AW58" s="187" t="n">
        <v>0</v>
      </c>
      <c r="AX58" s="187" t="n">
        <v>0</v>
      </c>
      <c r="AY58" s="187" t="n">
        <v>0</v>
      </c>
      <c r="AZ58" s="187" t="n">
        <v>0</v>
      </c>
      <c r="BA58" s="187" t="n">
        <v>0</v>
      </c>
      <c r="BB58" s="187" t="n">
        <v>0</v>
      </c>
      <c r="BC58" s="188" t="n">
        <v>0</v>
      </c>
      <c r="BD58" s="131" t="n"/>
      <c r="BE58" s="131" t="n"/>
      <c r="BF58" s="131" t="n"/>
      <c r="BG58" s="131" t="n"/>
      <c r="BH58" s="131" t="n"/>
      <c r="BI58" s="131" t="n"/>
      <c r="BJ58" s="131" t="n"/>
      <c r="BK58" s="131" t="n"/>
      <c r="BL58" s="137" t="n"/>
      <c r="BM58" s="137" t="n"/>
      <c r="BN58" s="137" t="n"/>
      <c r="BO58" s="137" t="n"/>
      <c r="BP58" s="137" t="n"/>
      <c r="BQ58" s="137" t="n"/>
      <c r="BR58" s="137" t="n"/>
      <c r="BS58" s="137" t="n"/>
      <c r="BT58" s="137" t="n"/>
      <c r="BU58" s="137" t="n"/>
      <c r="BV58" s="137" t="n"/>
      <c r="BW58" s="137" t="n"/>
      <c r="BX58" s="137" t="n"/>
      <c r="BY58" s="137" t="n"/>
      <c r="BZ58" s="137" t="n"/>
      <c r="CA58" s="131" t="n"/>
      <c r="CB58" s="131" t="n"/>
      <c r="CC58" s="189" t="n">
        <v>-62.28435789813118</v>
      </c>
      <c r="CD58" s="190" t="n">
        <v>0</v>
      </c>
      <c r="CE58" s="190" t="n">
        <v>0</v>
      </c>
      <c r="CF58" s="190" t="n">
        <v>0</v>
      </c>
      <c r="CG58" s="190" t="n">
        <v>0</v>
      </c>
      <c r="CH58" s="190" t="n">
        <v>0</v>
      </c>
      <c r="CI58" s="190" t="n">
        <v>0</v>
      </c>
      <c r="CJ58" s="190" t="n">
        <v>0</v>
      </c>
      <c r="CK58" s="191" t="n">
        <v>0</v>
      </c>
      <c r="CL58" s="191" t="n">
        <v>0</v>
      </c>
      <c r="CM58" s="191" t="n">
        <v>0</v>
      </c>
      <c r="CN58" s="191" t="n">
        <v>0</v>
      </c>
      <c r="CO58" s="191" t="n">
        <v>0</v>
      </c>
      <c r="CP58" s="191" t="n">
        <v>0</v>
      </c>
      <c r="CQ58" s="192" t="n">
        <v>0</v>
      </c>
    </row>
    <row r="59" ht="15.75" customHeight="1" thickBot="1">
      <c r="CB59" s="82" t="inlineStr">
        <is>
          <t>Total</t>
        </is>
      </c>
      <c r="CC59" s="63" t="n">
        <v>32.20653821801076</v>
      </c>
      <c r="CD59" s="68" t="n">
        <v>51.35834933910001</v>
      </c>
      <c r="CE59" s="68" t="e">
        <v>#VALUE!</v>
      </c>
      <c r="CF59" s="68" t="e">
        <v>#VALUE!</v>
      </c>
      <c r="CG59" s="68" t="e">
        <v>#VALUE!</v>
      </c>
      <c r="CH59" s="68" t="e">
        <v>#VALUE!</v>
      </c>
      <c r="CI59" s="68" t="e">
        <v>#VALUE!</v>
      </c>
      <c r="CJ59" s="68" t="e">
        <v>#VALUE!</v>
      </c>
      <c r="CK59" s="64" t="e">
        <v>#VALUE!</v>
      </c>
      <c r="CL59" s="64" t="e">
        <v>#VALUE!</v>
      </c>
      <c r="CM59" s="64" t="e">
        <v>#VALUE!</v>
      </c>
      <c r="CN59" s="64" t="e">
        <v>#VALUE!</v>
      </c>
      <c r="CO59" s="64" t="e">
        <v>#VALUE!</v>
      </c>
      <c r="CP59" s="64" t="e">
        <v>#VALUE!</v>
      </c>
      <c r="CQ59" s="65" t="e">
        <v>#VALUE!</v>
      </c>
    </row>
    <row r="60" ht="17.25" customHeight="1" thickBot="1">
      <c r="CB60" t="inlineStr">
        <is>
          <t>Limit</t>
        </is>
      </c>
      <c r="CC60" s="193" t="n">
        <v>55</v>
      </c>
      <c r="CD60" s="93" t="n">
        <v>60</v>
      </c>
      <c r="CE60" s="93" t="n">
        <v>0</v>
      </c>
      <c r="CF60" s="93" t="n">
        <v>0</v>
      </c>
      <c r="CG60" s="93" t="n">
        <v>0</v>
      </c>
      <c r="CH60" s="93" t="n">
        <v>0</v>
      </c>
      <c r="CI60" s="93" t="n">
        <v>0</v>
      </c>
      <c r="CJ60" s="93" t="n">
        <v>0</v>
      </c>
      <c r="CK60" s="93" t="n">
        <v>0</v>
      </c>
      <c r="CL60" s="93" t="n">
        <v>0</v>
      </c>
      <c r="CM60" s="93" t="n">
        <v>0</v>
      </c>
      <c r="CN60" s="93" t="n">
        <v>0</v>
      </c>
      <c r="CO60" s="93" t="n">
        <v>0</v>
      </c>
      <c r="CP60" s="93" t="n">
        <v>0</v>
      </c>
      <c r="CQ60" s="94" t="n">
        <v>0</v>
      </c>
    </row>
    <row r="62" ht="15.75" customHeight="1" thickBot="1"/>
    <row r="63">
      <c r="C63" s="77" t="n">
        <v>-26.2</v>
      </c>
      <c r="D63" s="78" t="n">
        <v>-16.1</v>
      </c>
      <c r="E63" s="78" t="n">
        <v>-8.6</v>
      </c>
      <c r="F63" s="78" t="n">
        <v>-3.2</v>
      </c>
      <c r="G63" s="79" t="n">
        <v>0</v>
      </c>
      <c r="H63" s="78" t="n">
        <v>1.2</v>
      </c>
      <c r="I63" s="78" t="n">
        <v>1</v>
      </c>
      <c r="J63" s="78" t="n">
        <v>-1.1</v>
      </c>
      <c r="K63" s="80" t="n"/>
    </row>
    <row r="64">
      <c r="C64" s="81" t="n">
        <v>63</v>
      </c>
      <c r="D64" s="82" t="n">
        <v>125</v>
      </c>
      <c r="E64" s="82" t="n">
        <v>250</v>
      </c>
      <c r="F64" s="82" t="n">
        <v>500</v>
      </c>
      <c r="G64" s="83" t="n">
        <v>1000</v>
      </c>
      <c r="H64" s="82" t="n">
        <v>2000</v>
      </c>
      <c r="I64" s="82" t="n">
        <v>4000</v>
      </c>
      <c r="J64" s="82" t="n">
        <v>8000</v>
      </c>
      <c r="K64" s="84" t="inlineStr">
        <is>
          <t>dBA</t>
        </is>
      </c>
    </row>
    <row r="65" ht="15.75" customHeight="1" thickBot="1">
      <c r="C65" s="76" t="n">
        <v>83</v>
      </c>
      <c r="D65" s="6" t="n">
        <v>88</v>
      </c>
      <c r="E65" s="6" t="n">
        <v>84</v>
      </c>
      <c r="F65" s="6" t="n">
        <v>77</v>
      </c>
      <c r="G65" s="6" t="n">
        <v>73</v>
      </c>
      <c r="H65" s="6" t="n">
        <v>64</v>
      </c>
      <c r="I65" s="6" t="n">
        <v>61</v>
      </c>
      <c r="J65" s="6" t="n">
        <v>59</v>
      </c>
      <c r="K65" s="75" t="n">
        <v>80.00409056345104</v>
      </c>
    </row>
  </sheetData>
  <mergeCells count="1">
    <mergeCell ref="BE37:BF37"/>
  </mergeCells>
  <conditionalFormatting sqref="BE40:BE45">
    <cfRule type="expression" priority="21" dxfId="1">
      <formula>"Rounddown($F$3)=J35"</formula>
    </cfRule>
  </conditionalFormatting>
  <conditionalFormatting sqref="BE39">
    <cfRule type="expression" priority="20" dxfId="1">
      <formula>"Rounddown($F$3)=J35"</formula>
    </cfRule>
  </conditionalFormatting>
  <conditionalFormatting sqref="CC2:CJ15 CH18 CH16:CJ1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2:CK1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2:CL1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2:CN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2:CM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:CO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:CP1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2:CQ1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">
    <cfRule type="expression" priority="5" dxfId="1">
      <formula>U16=T16+1</formula>
    </cfRule>
    <cfRule type="expression" priority="6" dxfId="0">
      <formula>U16&lt;=T16</formula>
    </cfRule>
  </conditionalFormatting>
  <conditionalFormatting sqref="U2:U16">
    <cfRule type="expression" priority="44" dxfId="1">
      <formula>U2=T2+1</formula>
    </cfRule>
    <cfRule type="expression" priority="101" dxfId="0">
      <formula>U2&lt;=T2</formula>
    </cfRule>
  </conditionalFormatting>
  <dataValidations disablePrompts="1" count="3">
    <dataValidation sqref="BF4" showErrorMessage="1" showInputMessage="1" allowBlank="0" type="list">
      <formula1>$B$2:$B$58</formula1>
    </dataValidation>
    <dataValidation sqref="BF5" showErrorMessage="1" showInputMessage="1" allowBlank="0" type="list">
      <formula1>$P$2:$P$18</formula1>
    </dataValidation>
    <dataValidation sqref="BF6:BF7" showErrorMessage="1" showInputMessage="1" allowBlank="0" type="list">
      <formula1>$P$21:$P$47</formula1>
    </dataValidation>
  </dataValidation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B2:S60"/>
  <sheetViews>
    <sheetView zoomScaleNormal="100" workbookViewId="0">
      <selection activeCell="J2" sqref="J2"/>
    </sheetView>
  </sheetViews>
  <sheetFormatPr baseColWidth="8" defaultRowHeight="15"/>
  <cols>
    <col width="9.140625" customWidth="1" min="1" max="1"/>
    <col width="9.140625" customWidth="1" style="72" min="2" max="2"/>
    <col width="23.140625" bestFit="1" customWidth="1" min="3" max="3"/>
    <col width="6.7109375" customWidth="1" min="4" max="4"/>
    <col width="15.7109375" bestFit="1" customWidth="1" min="5" max="5"/>
    <col width="9.140625" bestFit="1" customWidth="1" min="6" max="6"/>
    <col width="18" bestFit="1" customWidth="1" min="7" max="7"/>
    <col width="8.28515625" customWidth="1" min="8" max="8"/>
    <col width="8.7109375" customWidth="1" min="14" max="14"/>
    <col width="9.140625" customWidth="1" style="72" min="15" max="15"/>
    <col width="23.140625" bestFit="1" customWidth="1" min="16" max="16"/>
    <col width="6.7109375" customWidth="1" min="17" max="17"/>
    <col width="15.7109375" bestFit="1" customWidth="1" min="18" max="18"/>
    <col width="8.28515625" customWidth="1" min="19" max="19"/>
  </cols>
  <sheetData>
    <row r="1" ht="15.75" customHeight="1" thickBot="1"/>
    <row r="2" ht="33.75" customHeight="1" thickBot="1">
      <c r="B2" s="98" t="inlineStr">
        <is>
          <t>Count</t>
        </is>
      </c>
      <c r="C2" s="99" t="inlineStr">
        <is>
          <t>Source - Path</t>
        </is>
      </c>
      <c r="D2" s="100" t="inlineStr">
        <is>
          <t>LwA</t>
        </is>
      </c>
      <c r="E2" s="100" t="inlineStr">
        <is>
          <t>Loss/Distance(ft)</t>
        </is>
      </c>
      <c r="F2" s="101" t="inlineStr">
        <is>
          <t>Barrier IL</t>
        </is>
      </c>
      <c r="G2" s="102" t="inlineStr">
        <is>
          <t>IL
 (duct, silencer, etc)</t>
        </is>
      </c>
      <c r="H2" s="103" t="inlineStr">
        <is>
          <t>dB(A)</t>
        </is>
      </c>
      <c r="J2" s="74" t="inlineStr">
        <is>
          <t>R1-Rdeck Amenity</t>
        </is>
      </c>
      <c r="O2" s="98" t="inlineStr">
        <is>
          <t>Count</t>
        </is>
      </c>
      <c r="P2" s="99" t="inlineStr">
        <is>
          <t>Source - Path</t>
        </is>
      </c>
      <c r="Q2" s="100" t="inlineStr">
        <is>
          <t>LwA</t>
        </is>
      </c>
      <c r="R2" s="100" t="inlineStr">
        <is>
          <t>Loss/Distance(ft)</t>
        </is>
      </c>
      <c r="S2" s="103" t="inlineStr">
        <is>
          <t>dB(A)</t>
        </is>
      </c>
    </row>
    <row r="3" ht="16.5" customHeight="1">
      <c r="B3" s="194" t="n">
        <v>1</v>
      </c>
      <c r="C3" s="195" t="inlineStr">
        <is>
          <t>CU-230 - Radiated</t>
        </is>
      </c>
      <c r="D3" s="95" t="n">
        <v>68.99777612758486</v>
      </c>
      <c r="E3" s="96" t="inlineStr">
        <is>
          <t>48 / 316 ft</t>
        </is>
      </c>
      <c r="F3" s="96" t="inlineStr">
        <is>
          <t>-</t>
        </is>
      </c>
      <c r="G3" s="96" t="inlineStr">
        <is>
          <t>-</t>
        </is>
      </c>
      <c r="H3" s="97" t="n">
        <v>21.33183832313306</v>
      </c>
      <c r="I3" s="5" t="n">
        <v>135.8888528171305</v>
      </c>
      <c r="J3" s="114" t="n">
        <v>21.33183832313306</v>
      </c>
      <c r="O3" s="196" t="n">
        <v>1</v>
      </c>
      <c r="P3" s="197" t="inlineStr">
        <is>
          <t>DOAS-R-1 - Outlet</t>
        </is>
      </c>
      <c r="Q3" s="95" t="n">
        <v>83</v>
      </c>
      <c r="R3" s="96" t="inlineStr">
        <is>
          <t>40 / 124 ft</t>
        </is>
      </c>
      <c r="S3" s="97" t="n">
        <v>41.45861694851669</v>
      </c>
    </row>
    <row r="4" ht="16.5" customHeight="1">
      <c r="B4" s="198" t="n">
        <v>1</v>
      </c>
      <c r="C4" s="195" t="inlineStr">
        <is>
          <t>CU-240 - Radiated</t>
        </is>
      </c>
      <c r="D4" s="69" t="n">
        <v>68.99777612758486</v>
      </c>
      <c r="E4" s="96" t="inlineStr">
        <is>
          <t>45 / 241 ft</t>
        </is>
      </c>
      <c r="F4" s="96" t="inlineStr">
        <is>
          <t>-</t>
        </is>
      </c>
      <c r="G4" s="96" t="inlineStr">
        <is>
          <t>-</t>
        </is>
      </c>
      <c r="H4" s="70" t="n">
        <v>23.69394649410068</v>
      </c>
      <c r="I4" s="5" t="n">
        <v>234.0963538400396</v>
      </c>
      <c r="J4" s="114" t="n">
        <v>23.69394649410068</v>
      </c>
      <c r="O4" s="199" t="n">
        <v>1</v>
      </c>
      <c r="P4" s="197" t="inlineStr">
        <is>
          <t>DOAS-3-1 - Outlet</t>
        </is>
      </c>
      <c r="Q4" s="69" t="n">
        <v>80</v>
      </c>
      <c r="R4" s="96" t="inlineStr">
        <is>
          <t>37 / 87 ft</t>
        </is>
      </c>
      <c r="S4" s="70" t="n">
        <v>37.49730226646051</v>
      </c>
    </row>
    <row r="5" ht="16.5" customHeight="1">
      <c r="B5" s="198" t="n">
        <v>1</v>
      </c>
      <c r="C5" s="195" t="inlineStr">
        <is>
          <t>CU-250 - Radiated</t>
        </is>
      </c>
      <c r="D5" s="69" t="n">
        <v>68.99777612758486</v>
      </c>
      <c r="E5" s="96" t="inlineStr">
        <is>
          <t>42 / 163 ft</t>
        </is>
      </c>
      <c r="F5" s="96" t="inlineStr">
        <is>
          <t>-</t>
        </is>
      </c>
      <c r="G5" s="96" t="inlineStr">
        <is>
          <t>-</t>
        </is>
      </c>
      <c r="H5" s="70" t="n">
        <v>27.09316788421035</v>
      </c>
      <c r="I5" s="5" t="n">
        <v>512.0552089551398</v>
      </c>
      <c r="J5" s="114" t="n">
        <v>27.09316788421035</v>
      </c>
      <c r="O5" s="199" t="n">
        <v>1</v>
      </c>
      <c r="P5" s="197" t="inlineStr">
        <is>
          <t>CU-R-1 - Radiated</t>
        </is>
      </c>
      <c r="Q5" s="69" t="n">
        <v>69.99777612758484</v>
      </c>
      <c r="R5" s="96" t="inlineStr">
        <is>
          <t>41 / 147 ft</t>
        </is>
      </c>
      <c r="S5" s="70" t="n">
        <v>28.96480597260228</v>
      </c>
    </row>
    <row r="6" ht="16.5" customHeight="1">
      <c r="B6" s="198" t="n">
        <v>1</v>
      </c>
      <c r="C6" s="195" t="inlineStr">
        <is>
          <t>CU-260 - Radiated</t>
        </is>
      </c>
      <c r="D6" s="69" t="n">
        <v>68.99777612758486</v>
      </c>
      <c r="E6" s="96" t="inlineStr">
        <is>
          <t>43 / 179 ft</t>
        </is>
      </c>
      <c r="F6" s="96" t="inlineStr">
        <is>
          <t>-</t>
        </is>
      </c>
      <c r="G6" s="96" t="inlineStr">
        <is>
          <t>-</t>
        </is>
      </c>
      <c r="H6" s="70" t="n">
        <v>26.24523129206283</v>
      </c>
      <c r="I6" s="5" t="n">
        <v>421.2337197864278</v>
      </c>
      <c r="J6" s="114" t="n">
        <v>26.24523129206283</v>
      </c>
      <c r="O6" s="199" t="n">
        <v>1</v>
      </c>
      <c r="P6" s="197" t="inlineStr">
        <is>
          <t>CU-R-3 - Radiated</t>
        </is>
      </c>
      <c r="Q6" s="69" t="n">
        <v>68.99777612758486</v>
      </c>
      <c r="R6" s="96" t="inlineStr">
        <is>
          <t>41 / 146 ft</t>
        </is>
      </c>
      <c r="S6" s="70" t="n">
        <v>28.0037121341698</v>
      </c>
    </row>
    <row r="7" ht="16.5" customHeight="1">
      <c r="B7" s="198" t="n">
        <v>1</v>
      </c>
      <c r="C7" s="195" t="inlineStr">
        <is>
          <t>CU-270 - Radiated</t>
        </is>
      </c>
      <c r="D7" s="69" t="n">
        <v>68.99777612758486</v>
      </c>
      <c r="E7" s="96" t="inlineStr">
        <is>
          <t>46 / 252 ft</t>
        </is>
      </c>
      <c r="F7" s="96" t="inlineStr">
        <is>
          <t>-</t>
        </is>
      </c>
      <c r="G7" s="96" t="inlineStr">
        <is>
          <t>-</t>
        </is>
      </c>
      <c r="H7" s="70" t="n">
        <v>23.27734212085139</v>
      </c>
      <c r="I7" s="5" t="n">
        <v>212.6837024854795</v>
      </c>
      <c r="J7" s="114" t="n">
        <v>23.27734212085139</v>
      </c>
      <c r="O7" s="199" t="n">
        <v>1</v>
      </c>
      <c r="P7" s="197" t="inlineStr">
        <is>
          <t>CU-R-6 - Radiated</t>
        </is>
      </c>
      <c r="Q7" s="69" t="n">
        <v>69.99777612758484</v>
      </c>
      <c r="R7" s="96" t="inlineStr">
        <is>
          <t>41 / 143 ft</t>
        </is>
      </c>
      <c r="S7" s="70" t="n">
        <v>29.22213543755055</v>
      </c>
    </row>
    <row r="8" ht="16.5" customHeight="1">
      <c r="B8" s="198" t="n">
        <v>1</v>
      </c>
      <c r="C8" s="195" t="inlineStr">
        <is>
          <t>CU-280 - Radiated</t>
        </is>
      </c>
      <c r="D8" s="69" t="n">
        <v>71.99777612758484</v>
      </c>
      <c r="E8" s="96" t="inlineStr">
        <is>
          <t>50 / 432 ft</t>
        </is>
      </c>
      <c r="F8" s="96" t="inlineStr">
        <is>
          <t>-</t>
        </is>
      </c>
      <c r="G8" s="96" t="inlineStr">
        <is>
          <t>-</t>
        </is>
      </c>
      <c r="H8" s="70" t="n">
        <v>21.60303242942761</v>
      </c>
      <c r="I8" s="5" t="n">
        <v>144.6449390923524</v>
      </c>
      <c r="J8" s="114" t="n">
        <v>21.60303242942761</v>
      </c>
      <c r="O8" s="199" t="n">
        <v>1</v>
      </c>
      <c r="P8" s="197" t="inlineStr">
        <is>
          <t>CU-R-7 - Radiated</t>
        </is>
      </c>
      <c r="Q8" s="69" t="n">
        <v>65.99777612758484</v>
      </c>
      <c r="R8" s="96" t="inlineStr">
        <is>
          <t>41 / 148 ft</t>
        </is>
      </c>
      <c r="S8" s="70" t="n">
        <v>24.91869316972111</v>
      </c>
    </row>
    <row r="9" ht="16.5" customHeight="1">
      <c r="B9" s="198" t="n">
        <v>1</v>
      </c>
      <c r="C9" s="195" t="inlineStr">
        <is>
          <t>FU-1 - Radiated</t>
        </is>
      </c>
      <c r="D9" s="69" t="n">
        <v>65</v>
      </c>
      <c r="E9" s="96" t="inlineStr">
        <is>
          <t>62 / 1699 ft</t>
        </is>
      </c>
      <c r="F9" s="96" t="inlineStr">
        <is>
          <t>-</t>
        </is>
      </c>
      <c r="G9" s="96" t="n">
        <v>1</v>
      </c>
      <c r="H9" s="70" t="n">
        <v>1.715679171733761</v>
      </c>
      <c r="I9" s="5" t="n">
        <v>1.484458008984444</v>
      </c>
      <c r="J9" s="114" t="n">
        <v>1.715679171733761</v>
      </c>
      <c r="O9" s="199" t="n">
        <v>1</v>
      </c>
      <c r="P9" s="197" t="inlineStr">
        <is>
          <t>CU-R-8 - Radiated</t>
        </is>
      </c>
      <c r="Q9" s="69" t="n">
        <v>71.99777612758484</v>
      </c>
      <c r="R9" s="96" t="inlineStr">
        <is>
          <t>41 / 153 ft</t>
        </is>
      </c>
      <c r="S9" s="70" t="n">
        <v>30.64848854824496</v>
      </c>
    </row>
    <row r="10" ht="16.5" customHeight="1">
      <c r="B10" s="198" t="str"/>
      <c r="C10" s="195" t="str"/>
      <c r="D10" s="69" t="str"/>
      <c r="E10" s="96" t="str"/>
      <c r="F10" s="96" t="str"/>
      <c r="G10" s="96" t="str"/>
      <c r="H10" s="70" t="str"/>
      <c r="I10" s="5" t="n">
        <v>0</v>
      </c>
      <c r="J10" s="114" t="str"/>
      <c r="O10" s="199" t="n">
        <v>1</v>
      </c>
      <c r="P10" s="197" t="inlineStr">
        <is>
          <t>CU-R-10 - Radiated</t>
        </is>
      </c>
      <c r="Q10" s="69" t="n">
        <v>71.99777612758484</v>
      </c>
      <c r="R10" s="96" t="inlineStr">
        <is>
          <t>40 / 131 ft</t>
        </is>
      </c>
      <c r="S10" s="70" t="n">
        <v>31.96131128074482</v>
      </c>
    </row>
    <row r="11" ht="16.5" customHeight="1">
      <c r="B11" s="198" t="str"/>
      <c r="C11" s="195" t="str"/>
      <c r="D11" s="69" t="str"/>
      <c r="E11" s="96" t="str"/>
      <c r="F11" s="96" t="str"/>
      <c r="G11" s="96" t="str"/>
      <c r="H11" s="70" t="str"/>
      <c r="I11" s="5" t="n">
        <v>0</v>
      </c>
      <c r="J11" s="114" t="str"/>
      <c r="O11" s="199" t="n">
        <v>1</v>
      </c>
      <c r="P11" s="197" t="inlineStr">
        <is>
          <t>CU-R-4 - Radiated</t>
        </is>
      </c>
      <c r="Q11" s="69" t="n">
        <v>60.65969934007163</v>
      </c>
      <c r="R11" s="96" t="inlineStr">
        <is>
          <t>45 / 229 ft</t>
        </is>
      </c>
      <c r="S11" s="70" t="n">
        <v>15.76867661953663</v>
      </c>
    </row>
    <row r="12" ht="16.5" customHeight="1">
      <c r="B12" s="198" t="str"/>
      <c r="C12" s="195" t="str"/>
      <c r="D12" s="69" t="str"/>
      <c r="E12" s="96" t="str"/>
      <c r="F12" s="96" t="str"/>
      <c r="G12" s="96" t="str"/>
      <c r="H12" s="70" t="str"/>
      <c r="I12" s="5" t="n">
        <v>0</v>
      </c>
      <c r="J12" s="114" t="str"/>
      <c r="O12" s="199" t="n">
        <v>1</v>
      </c>
      <c r="P12" s="197" t="inlineStr">
        <is>
          <t>SS-R-1B - Radiated</t>
        </is>
      </c>
      <c r="Q12" s="69" t="n">
        <v>63.65969934007164</v>
      </c>
      <c r="R12" s="96" t="inlineStr">
        <is>
          <t>45 / 229 ft</t>
        </is>
      </c>
      <c r="S12" s="70" t="n">
        <v>18.80107382687743</v>
      </c>
    </row>
    <row r="13" ht="16.5" customHeight="1">
      <c r="B13" s="198" t="str"/>
      <c r="C13" s="195" t="str"/>
      <c r="D13" s="69" t="str"/>
      <c r="E13" s="96" t="str"/>
      <c r="F13" s="96" t="str"/>
      <c r="G13" s="96" t="str"/>
      <c r="H13" s="70" t="str"/>
      <c r="I13" s="5" t="n">
        <v>0</v>
      </c>
      <c r="J13" s="114" t="str"/>
      <c r="O13" s="199" t="n">
        <v>1</v>
      </c>
      <c r="P13" s="197" t="inlineStr">
        <is>
          <t>SS-R-2B - Radiated</t>
        </is>
      </c>
      <c r="Q13" s="69" t="n">
        <v>61.65969934007165</v>
      </c>
      <c r="R13" s="96" t="inlineStr">
        <is>
          <t>45 / 235 ft</t>
        </is>
      </c>
      <c r="S13" s="70" t="n">
        <v>16.54567530918138</v>
      </c>
    </row>
    <row r="14" ht="16.5" customHeight="1">
      <c r="B14" s="198" t="str"/>
      <c r="C14" s="195" t="str"/>
      <c r="D14" s="69" t="str"/>
      <c r="E14" s="96" t="str"/>
      <c r="F14" s="96" t="str"/>
      <c r="G14" s="96" t="str"/>
      <c r="H14" s="70" t="str"/>
      <c r="I14" s="5" t="n">
        <v>0</v>
      </c>
      <c r="J14" s="114" t="str"/>
      <c r="O14" s="199" t="n">
        <v>1</v>
      </c>
      <c r="P14" s="197" t="inlineStr">
        <is>
          <t>SS-R-3B - Radiated</t>
        </is>
      </c>
      <c r="Q14" s="69" t="n">
        <v>57.65969934007164</v>
      </c>
      <c r="R14" s="96" t="inlineStr">
        <is>
          <t>41 / 155 ft</t>
        </is>
      </c>
      <c r="S14" s="70" t="n">
        <v>16.1918809307753</v>
      </c>
    </row>
    <row r="15" ht="16.5" customHeight="1">
      <c r="B15" s="198" t="str"/>
      <c r="C15" s="195" t="str"/>
      <c r="D15" s="69" t="str"/>
      <c r="E15" s="96" t="str"/>
      <c r="F15" s="96" t="str"/>
      <c r="G15" s="96" t="str"/>
      <c r="H15" s="70" t="str"/>
      <c r="I15" s="5" t="n">
        <v>0</v>
      </c>
      <c r="J15" s="114" t="str"/>
      <c r="O15" s="199" t="n">
        <v>1</v>
      </c>
      <c r="P15" s="197" t="inlineStr">
        <is>
          <t>SS-R-4B - Radiated</t>
        </is>
      </c>
      <c r="Q15" s="69" t="n">
        <v>57.65969934007164</v>
      </c>
      <c r="R15" s="96" t="inlineStr">
        <is>
          <t>41 / 154 ft</t>
        </is>
      </c>
      <c r="S15" s="70" t="n">
        <v>16.21810532395784</v>
      </c>
    </row>
    <row r="16" ht="17.25" customHeight="1" thickBot="1">
      <c r="B16" s="198" t="str"/>
      <c r="C16" s="195" t="str"/>
      <c r="D16" s="69" t="str"/>
      <c r="E16" s="96" t="str"/>
      <c r="F16" s="96" t="str"/>
      <c r="G16" s="96" t="str"/>
      <c r="H16" s="70" t="str"/>
      <c r="I16" s="5" t="n">
        <v>0</v>
      </c>
      <c r="J16" s="114" t="str"/>
      <c r="O16" s="199" t="n">
        <v>1</v>
      </c>
      <c r="P16" s="197" t="inlineStr">
        <is>
          <t>SS-R-5B - Radiated</t>
        </is>
      </c>
      <c r="Q16" s="69" t="n">
        <v>57.65969934007164</v>
      </c>
      <c r="R16" s="96" t="inlineStr">
        <is>
          <t>41 / 146 ft</t>
        </is>
      </c>
      <c r="S16" s="70" t="n">
        <v>16.67719275439514</v>
      </c>
    </row>
    <row r="17" ht="17.25" customHeight="1" thickBot="1">
      <c r="B17" s="198" t="str"/>
      <c r="C17" s="195" t="str"/>
      <c r="D17" s="69" t="str"/>
      <c r="E17" s="96" t="str"/>
      <c r="F17" s="96" t="str"/>
      <c r="G17" s="96" t="str"/>
      <c r="H17" s="70" t="str"/>
      <c r="I17" s="5" t="n">
        <v>0</v>
      </c>
      <c r="J17" s="114" t="str"/>
      <c r="O17" s="106" t="inlineStr">
        <is>
          <t>Combined LP at Property Line (dBA)</t>
        </is>
      </c>
      <c r="P17" s="107" t="n"/>
      <c r="Q17" s="107" t="n"/>
      <c r="R17" s="107" t="n"/>
      <c r="S17" s="115" t="n">
        <v>44</v>
      </c>
    </row>
    <row r="18" ht="16.5" customHeight="1">
      <c r="B18" s="198" t="str"/>
      <c r="C18" s="195" t="str"/>
      <c r="D18" s="69" t="str"/>
      <c r="E18" s="96" t="str"/>
      <c r="F18" s="96" t="str"/>
      <c r="G18" s="96" t="str"/>
      <c r="H18" s="70" t="str"/>
      <c r="I18" s="5" t="n">
        <v>0</v>
      </c>
      <c r="J18" s="114" t="str"/>
    </row>
    <row r="19" ht="16.5" customHeight="1">
      <c r="B19" s="198" t="str"/>
      <c r="C19" s="195" t="str"/>
      <c r="D19" s="69" t="str"/>
      <c r="E19" s="96" t="str"/>
      <c r="F19" s="96" t="str"/>
      <c r="G19" s="96" t="str"/>
      <c r="H19" s="70" t="str"/>
      <c r="I19" s="5" t="n">
        <v>0</v>
      </c>
      <c r="J19" s="114" t="str"/>
    </row>
    <row r="20" ht="16.5" customHeight="1">
      <c r="B20" s="198" t="str"/>
      <c r="C20" s="195" t="str"/>
      <c r="D20" s="69" t="str"/>
      <c r="E20" s="96" t="str"/>
      <c r="F20" s="96" t="str"/>
      <c r="G20" s="96" t="str"/>
      <c r="H20" s="70" t="str"/>
      <c r="I20" s="5" t="n">
        <v>0</v>
      </c>
      <c r="J20" s="114" t="str"/>
    </row>
    <row r="21" ht="16.5" customHeight="1">
      <c r="B21" s="198" t="str"/>
      <c r="C21" s="195" t="str"/>
      <c r="D21" s="69" t="str"/>
      <c r="E21" s="96" t="str"/>
      <c r="F21" s="96" t="str"/>
      <c r="G21" s="96" t="str"/>
      <c r="H21" s="70" t="str"/>
      <c r="I21" s="5" t="n">
        <v>0</v>
      </c>
      <c r="J21" s="114" t="str"/>
    </row>
    <row r="22" ht="16.5" customHeight="1">
      <c r="B22" s="198" t="str"/>
      <c r="C22" s="195" t="str"/>
      <c r="D22" s="69" t="str"/>
      <c r="E22" s="96" t="str"/>
      <c r="F22" s="96" t="str"/>
      <c r="G22" s="96" t="str"/>
      <c r="H22" s="70" t="str"/>
      <c r="I22" s="5" t="n">
        <v>0</v>
      </c>
      <c r="J22" s="114" t="str"/>
    </row>
    <row r="23" ht="16.5" customHeight="1">
      <c r="B23" s="198" t="str"/>
      <c r="C23" s="195" t="str"/>
      <c r="D23" s="69" t="str"/>
      <c r="E23" s="96" t="str"/>
      <c r="F23" s="96" t="str"/>
      <c r="G23" s="96" t="str"/>
      <c r="H23" s="70" t="str"/>
      <c r="I23" s="5" t="n">
        <v>0</v>
      </c>
      <c r="J23" s="114" t="str"/>
    </row>
    <row r="24" ht="16.5" customHeight="1">
      <c r="B24" s="198" t="str"/>
      <c r="C24" s="195" t="str"/>
      <c r="D24" s="69" t="str"/>
      <c r="E24" s="96" t="str"/>
      <c r="F24" s="96" t="str"/>
      <c r="G24" s="96" t="str"/>
      <c r="H24" s="70" t="str"/>
      <c r="I24" s="5" t="n">
        <v>0</v>
      </c>
      <c r="J24" s="114" t="str"/>
    </row>
    <row r="25" ht="16.5" customHeight="1">
      <c r="B25" s="198" t="str"/>
      <c r="C25" s="195" t="str"/>
      <c r="D25" s="69" t="str"/>
      <c r="E25" s="96" t="str"/>
      <c r="F25" s="96" t="str"/>
      <c r="G25" s="96" t="str"/>
      <c r="H25" s="70" t="str"/>
      <c r="I25" s="5" t="n">
        <v>0</v>
      </c>
      <c r="J25" s="114" t="str"/>
    </row>
    <row r="26" ht="16.5" customHeight="1">
      <c r="B26" s="198" t="str"/>
      <c r="C26" s="195" t="str"/>
      <c r="D26" s="69" t="str"/>
      <c r="E26" s="96" t="str"/>
      <c r="F26" s="96" t="str"/>
      <c r="G26" s="96" t="str"/>
      <c r="H26" s="70" t="str"/>
      <c r="I26" s="5" t="n">
        <v>0</v>
      </c>
      <c r="J26" s="114" t="str"/>
    </row>
    <row r="27" ht="16.5" customHeight="1">
      <c r="B27" s="198" t="str"/>
      <c r="C27" s="195" t="str"/>
      <c r="D27" s="69" t="str"/>
      <c r="E27" s="96" t="str"/>
      <c r="F27" s="96" t="str"/>
      <c r="G27" s="96" t="str"/>
      <c r="H27" s="70" t="str"/>
      <c r="I27" s="5" t="n">
        <v>0</v>
      </c>
      <c r="J27" s="114" t="str"/>
    </row>
    <row r="28" ht="16.5" customHeight="1">
      <c r="B28" s="198" t="str"/>
      <c r="C28" s="195" t="str"/>
      <c r="D28" s="69" t="str"/>
      <c r="E28" s="96" t="str"/>
      <c r="F28" s="96" t="str"/>
      <c r="G28" s="96" t="str"/>
      <c r="H28" s="70" t="str"/>
      <c r="I28" s="5" t="n">
        <v>0</v>
      </c>
      <c r="J28" s="114" t="str"/>
    </row>
    <row r="29" ht="16.5" customHeight="1">
      <c r="B29" s="198" t="str"/>
      <c r="C29" s="195" t="str"/>
      <c r="D29" s="69" t="str"/>
      <c r="E29" s="96" t="str"/>
      <c r="F29" s="96" t="str"/>
      <c r="G29" s="96" t="str"/>
      <c r="H29" s="70" t="str"/>
      <c r="I29" s="5" t="n">
        <v>0</v>
      </c>
      <c r="J29" s="114" t="str"/>
    </row>
    <row r="30" ht="16.5" customHeight="1">
      <c r="B30" s="198" t="str"/>
      <c r="C30" s="195" t="str"/>
      <c r="D30" s="69" t="str"/>
      <c r="E30" s="96" t="str"/>
      <c r="F30" s="96" t="str"/>
      <c r="G30" s="96" t="str"/>
      <c r="H30" s="70" t="str"/>
      <c r="I30" s="5" t="n">
        <v>0</v>
      </c>
      <c r="J30" s="114" t="str"/>
    </row>
    <row r="31" ht="16.5" customHeight="1">
      <c r="B31" s="198" t="str"/>
      <c r="C31" s="195" t="str"/>
      <c r="D31" s="69" t="str"/>
      <c r="E31" s="96" t="str"/>
      <c r="F31" s="96" t="str"/>
      <c r="G31" s="96" t="str"/>
      <c r="H31" s="70" t="str"/>
      <c r="I31" s="5" t="n">
        <v>0</v>
      </c>
      <c r="J31" s="114" t="str"/>
    </row>
    <row r="32" ht="16.5" customHeight="1">
      <c r="B32" s="198" t="str"/>
      <c r="C32" s="195" t="str"/>
      <c r="D32" s="69" t="str"/>
      <c r="E32" s="96" t="str"/>
      <c r="F32" s="96" t="str"/>
      <c r="G32" s="96" t="str"/>
      <c r="H32" s="70" t="str"/>
      <c r="I32" s="5" t="n">
        <v>0</v>
      </c>
      <c r="J32" s="114" t="str"/>
    </row>
    <row r="33" ht="16.5" customHeight="1">
      <c r="B33" s="198" t="str"/>
      <c r="C33" s="195" t="str"/>
      <c r="D33" s="69" t="str"/>
      <c r="E33" s="96" t="str"/>
      <c r="F33" s="96" t="str"/>
      <c r="G33" s="96" t="str"/>
      <c r="H33" s="70" t="str"/>
      <c r="I33" s="5" t="n">
        <v>0</v>
      </c>
      <c r="J33" s="114" t="str"/>
    </row>
    <row r="34" ht="16.5" customHeight="1">
      <c r="B34" s="198" t="str"/>
      <c r="C34" s="195" t="str"/>
      <c r="D34" s="69" t="str"/>
      <c r="E34" s="96" t="str"/>
      <c r="F34" s="96" t="str"/>
      <c r="G34" s="96" t="str"/>
      <c r="H34" s="70" t="str"/>
      <c r="I34" s="5" t="n">
        <v>0</v>
      </c>
      <c r="J34" s="114" t="str"/>
    </row>
    <row r="35" ht="16.5" customHeight="1">
      <c r="B35" s="198" t="str"/>
      <c r="C35" s="195" t="str"/>
      <c r="D35" s="69" t="str"/>
      <c r="E35" s="96" t="str"/>
      <c r="F35" s="96" t="str"/>
      <c r="G35" s="96" t="str"/>
      <c r="H35" s="70" t="str"/>
      <c r="I35" s="5" t="n">
        <v>0</v>
      </c>
      <c r="J35" s="114" t="str"/>
    </row>
    <row r="36" ht="16.5" customHeight="1">
      <c r="B36" s="198" t="str"/>
      <c r="C36" s="195" t="str"/>
      <c r="D36" s="69" t="str"/>
      <c r="E36" s="96" t="str"/>
      <c r="F36" s="96" t="str"/>
      <c r="G36" s="96" t="str"/>
      <c r="H36" s="70" t="str"/>
      <c r="I36" s="5" t="n">
        <v>0</v>
      </c>
      <c r="J36" s="114" t="str"/>
    </row>
    <row r="37" ht="16.5" customHeight="1">
      <c r="B37" s="198" t="str"/>
      <c r="C37" s="195" t="str"/>
      <c r="D37" s="69" t="str"/>
      <c r="E37" s="96" t="str"/>
      <c r="F37" s="96" t="str"/>
      <c r="G37" s="96" t="str"/>
      <c r="H37" s="70" t="str"/>
      <c r="I37" s="5" t="n">
        <v>0</v>
      </c>
      <c r="J37" s="114" t="str"/>
    </row>
    <row r="38" ht="16.5" customHeight="1">
      <c r="B38" s="198" t="str"/>
      <c r="C38" s="195" t="str"/>
      <c r="D38" s="69" t="str"/>
      <c r="E38" s="96" t="str"/>
      <c r="F38" s="96" t="str"/>
      <c r="G38" s="96" t="str"/>
      <c r="H38" s="70" t="str"/>
      <c r="I38" s="5" t="n">
        <v>0</v>
      </c>
      <c r="J38" s="114" t="str"/>
    </row>
    <row r="39" ht="16.5" customHeight="1">
      <c r="B39" s="198" t="str"/>
      <c r="C39" s="195" t="str"/>
      <c r="D39" s="69" t="str"/>
      <c r="E39" s="96" t="str"/>
      <c r="F39" s="96" t="str"/>
      <c r="G39" s="96" t="str"/>
      <c r="H39" s="70" t="str"/>
      <c r="I39" s="5" t="n">
        <v>0</v>
      </c>
      <c r="J39" s="114" t="str"/>
    </row>
    <row r="40" ht="16.5" customHeight="1">
      <c r="B40" s="198" t="str"/>
      <c r="C40" s="195" t="str"/>
      <c r="D40" s="69" t="str"/>
      <c r="E40" s="96" t="str"/>
      <c r="F40" s="96" t="str"/>
      <c r="G40" s="96" t="str"/>
      <c r="H40" s="70" t="str"/>
      <c r="I40" s="5" t="n">
        <v>0</v>
      </c>
      <c r="J40" s="114" t="str"/>
    </row>
    <row r="41" ht="16.5" customHeight="1">
      <c r="B41" s="198" t="str"/>
      <c r="C41" s="195" t="str"/>
      <c r="D41" s="69" t="str"/>
      <c r="E41" s="96" t="str"/>
      <c r="F41" s="96" t="str"/>
      <c r="G41" s="96" t="str"/>
      <c r="H41" s="70" t="str"/>
      <c r="I41" s="5" t="n">
        <v>0</v>
      </c>
      <c r="J41" s="114" t="str"/>
    </row>
    <row r="42" ht="16.5" customHeight="1">
      <c r="B42" s="198" t="str"/>
      <c r="C42" s="195" t="str"/>
      <c r="D42" s="69" t="str"/>
      <c r="E42" s="96" t="str"/>
      <c r="F42" s="96" t="str"/>
      <c r="G42" s="96" t="str"/>
      <c r="H42" s="70" t="str"/>
      <c r="I42" s="5" t="n">
        <v>0</v>
      </c>
      <c r="J42" s="114" t="str"/>
    </row>
    <row r="43" ht="16.5" customHeight="1">
      <c r="B43" s="198" t="str"/>
      <c r="C43" s="195" t="str"/>
      <c r="D43" s="69" t="str"/>
      <c r="E43" s="96" t="str"/>
      <c r="F43" s="96" t="str"/>
      <c r="G43" s="96" t="str"/>
      <c r="H43" s="70" t="str"/>
      <c r="I43" s="5" t="n">
        <v>0</v>
      </c>
      <c r="J43" s="114" t="str"/>
    </row>
    <row r="44" ht="16.5" customHeight="1">
      <c r="B44" s="198" t="str"/>
      <c r="C44" s="195" t="str"/>
      <c r="D44" s="69" t="str"/>
      <c r="E44" s="96" t="str"/>
      <c r="F44" s="96" t="str"/>
      <c r="G44" s="96" t="str"/>
      <c r="H44" s="70" t="str"/>
      <c r="I44" s="5" t="n">
        <v>0</v>
      </c>
      <c r="J44" s="114" t="str"/>
    </row>
    <row r="45" ht="16.5" customHeight="1">
      <c r="B45" s="198" t="str"/>
      <c r="C45" s="195" t="str"/>
      <c r="D45" s="69" t="str"/>
      <c r="E45" s="96" t="str"/>
      <c r="F45" s="96" t="str"/>
      <c r="G45" s="96" t="str"/>
      <c r="H45" s="70" t="str"/>
      <c r="I45" s="5" t="n">
        <v>0</v>
      </c>
      <c r="J45" s="114" t="str"/>
    </row>
    <row r="46" ht="16.5" customHeight="1">
      <c r="B46" s="198" t="str"/>
      <c r="C46" s="195" t="str"/>
      <c r="D46" s="69" t="str"/>
      <c r="E46" s="96" t="str"/>
      <c r="F46" s="96" t="str"/>
      <c r="G46" s="96" t="str"/>
      <c r="H46" s="70" t="str"/>
      <c r="I46" s="5" t="n">
        <v>0</v>
      </c>
      <c r="J46" s="114" t="str"/>
    </row>
    <row r="47" ht="16.5" customHeight="1">
      <c r="B47" s="198" t="str"/>
      <c r="C47" s="195" t="str"/>
      <c r="D47" s="69" t="str"/>
      <c r="E47" s="96" t="str"/>
      <c r="F47" s="96" t="str"/>
      <c r="G47" s="96" t="str"/>
      <c r="H47" s="70" t="str"/>
      <c r="I47" s="5" t="n">
        <v>0</v>
      </c>
      <c r="J47" s="114" t="str"/>
    </row>
    <row r="48" ht="16.5" customHeight="1">
      <c r="B48" s="198" t="str"/>
      <c r="C48" s="195" t="str"/>
      <c r="D48" s="69" t="str"/>
      <c r="E48" s="96" t="str"/>
      <c r="F48" s="96" t="str"/>
      <c r="G48" s="96" t="str"/>
      <c r="H48" s="70" t="str"/>
      <c r="I48" s="5" t="n">
        <v>0</v>
      </c>
      <c r="J48" s="114" t="str"/>
    </row>
    <row r="49" ht="16.5" customHeight="1">
      <c r="B49" s="198" t="str"/>
      <c r="C49" s="195" t="str"/>
      <c r="D49" s="69" t="str"/>
      <c r="E49" s="96" t="str"/>
      <c r="F49" s="96" t="str"/>
      <c r="G49" s="96" t="str"/>
      <c r="H49" s="70" t="str"/>
      <c r="I49" s="5" t="n">
        <v>0</v>
      </c>
      <c r="J49" s="114" t="str"/>
    </row>
    <row r="50" ht="16.5" customHeight="1">
      <c r="B50" s="198" t="str"/>
      <c r="C50" s="195" t="str"/>
      <c r="D50" s="69" t="str"/>
      <c r="E50" s="96" t="str"/>
      <c r="F50" s="96" t="str"/>
      <c r="G50" s="96" t="str"/>
      <c r="H50" s="70" t="str"/>
      <c r="I50" s="5" t="n">
        <v>0</v>
      </c>
      <c r="J50" s="114" t="str"/>
    </row>
    <row r="51" ht="16.5" customHeight="1">
      <c r="B51" s="198" t="str"/>
      <c r="C51" s="195" t="str"/>
      <c r="D51" s="69" t="str"/>
      <c r="E51" s="96" t="str"/>
      <c r="F51" s="96" t="str"/>
      <c r="G51" s="96" t="str"/>
      <c r="H51" s="70" t="str"/>
      <c r="I51" s="5" t="n">
        <v>0</v>
      </c>
      <c r="J51" s="114" t="str"/>
    </row>
    <row r="52" ht="16.5" customHeight="1">
      <c r="B52" s="198" t="str"/>
      <c r="C52" s="195" t="str"/>
      <c r="D52" s="69" t="str"/>
      <c r="E52" s="96" t="str"/>
      <c r="F52" s="96" t="str"/>
      <c r="G52" s="96" t="str"/>
      <c r="H52" s="70" t="str"/>
      <c r="I52" s="5" t="n">
        <v>0</v>
      </c>
      <c r="J52" s="114" t="str"/>
    </row>
    <row r="53" ht="16.5" customHeight="1">
      <c r="B53" s="198" t="str"/>
      <c r="C53" s="195" t="str"/>
      <c r="D53" s="69" t="str"/>
      <c r="E53" s="96" t="str"/>
      <c r="F53" s="96" t="str"/>
      <c r="G53" s="96" t="str"/>
      <c r="H53" s="70" t="str"/>
      <c r="I53" s="5" t="n">
        <v>0</v>
      </c>
      <c r="J53" s="114" t="str"/>
    </row>
    <row r="54" ht="16.5" customHeight="1">
      <c r="B54" s="198" t="str"/>
      <c r="C54" s="195" t="str"/>
      <c r="D54" s="69" t="str"/>
      <c r="E54" s="96" t="str"/>
      <c r="F54" s="96" t="str"/>
      <c r="G54" s="96" t="str"/>
      <c r="H54" s="70" t="str"/>
      <c r="I54" s="5" t="n">
        <v>0</v>
      </c>
      <c r="J54" s="114" t="str"/>
    </row>
    <row r="55" ht="16.5" customHeight="1">
      <c r="B55" s="198" t="str"/>
      <c r="C55" s="195" t="str"/>
      <c r="D55" s="69" t="str"/>
      <c r="E55" s="96" t="str"/>
      <c r="F55" s="96" t="str"/>
      <c r="G55" s="96" t="str"/>
      <c r="H55" s="70" t="str"/>
      <c r="I55" s="5" t="n">
        <v>0</v>
      </c>
      <c r="J55" s="114" t="str"/>
    </row>
    <row r="56" ht="16.5" customHeight="1">
      <c r="B56" s="198" t="str"/>
      <c r="C56" s="195" t="str"/>
      <c r="D56" s="69" t="str"/>
      <c r="E56" s="96" t="str"/>
      <c r="F56" s="96" t="str"/>
      <c r="G56" s="96" t="str"/>
      <c r="H56" s="70" t="str"/>
      <c r="I56" s="5" t="n">
        <v>0</v>
      </c>
      <c r="J56" s="114" t="str"/>
    </row>
    <row r="57" ht="16.5" customHeight="1">
      <c r="B57" s="198" t="str"/>
      <c r="C57" s="195" t="str"/>
      <c r="D57" s="69" t="str"/>
      <c r="E57" s="96" t="str"/>
      <c r="F57" s="96" t="str"/>
      <c r="G57" s="96" t="str"/>
      <c r="H57" s="70" t="str"/>
      <c r="I57" s="5" t="n">
        <v>0</v>
      </c>
      <c r="J57" s="114" t="str"/>
    </row>
    <row r="58" ht="16.5" customHeight="1">
      <c r="B58" s="198" t="str"/>
      <c r="C58" s="195" t="str"/>
      <c r="D58" s="69" t="str"/>
      <c r="E58" s="96" t="str"/>
      <c r="F58" s="96" t="str"/>
      <c r="G58" s="96" t="str"/>
      <c r="H58" s="70" t="str"/>
      <c r="I58" s="5" t="n">
        <v>0</v>
      </c>
      <c r="J58" s="114" t="str"/>
    </row>
    <row r="59" ht="17.25" customHeight="1" thickBot="1">
      <c r="B59" s="200" t="str"/>
      <c r="C59" s="201" t="str"/>
      <c r="D59" s="104" t="str"/>
      <c r="E59" s="105" t="str"/>
      <c r="F59" s="96" t="str"/>
      <c r="G59" s="96" t="str"/>
      <c r="H59" s="71" t="str"/>
      <c r="I59" s="5" t="n">
        <v>0</v>
      </c>
      <c r="J59" s="114" t="str"/>
    </row>
    <row r="60" ht="18.75" customHeight="1" thickBot="1">
      <c r="B60" s="106" t="inlineStr">
        <is>
          <t>Combined LP at Property Line (dBA)</t>
        </is>
      </c>
      <c r="C60" s="107" t="n"/>
      <c r="D60" s="107" t="n"/>
      <c r="E60" s="107" t="n"/>
      <c r="F60" s="107" t="n"/>
      <c r="G60" s="108" t="n"/>
      <c r="H60" s="85" t="n">
        <v>32</v>
      </c>
      <c r="I60" s="202" t="n">
        <v>32.20653814080234</v>
      </c>
      <c r="J60" s="73" t="n">
        <v>55</v>
      </c>
      <c r="K60" s="82" t="n"/>
    </row>
  </sheetData>
  <conditionalFormatting sqref="H60">
    <cfRule type="expression" priority="154" dxfId="1">
      <formula>H60=J60+1</formula>
    </cfRule>
    <cfRule type="expression" priority="155" dxfId="0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priority="1" dxfId="1">
      <formula>S17=U17+1</formula>
    </cfRule>
    <cfRule type="expression" priority="2" dxfId="0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Matt Roe</dc:creator>
  <dcterms:created xmlns:dcterms="http://purl.org/dc/terms/" xmlns:xsi="http://www.w3.org/2001/XMLSchema-instance" xsi:type="dcterms:W3CDTF">2012-08-02T23:06:43Z</dcterms:created>
  <dcterms:modified xmlns:dcterms="http://purl.org/dc/terms/" xmlns:xsi="http://www.w3.org/2001/XMLSchema-instance" xsi:type="dcterms:W3CDTF">2020-08-27T05:03:35Z</dcterms:modified>
  <cp:lastModifiedBy>Craig Harris</cp:lastModifiedBy>
</cp:coreProperties>
</file>