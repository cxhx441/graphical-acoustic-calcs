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VSCode_Repositories\graphical-acoustic-calcs\"/>
    </mc:Choice>
  </mc:AlternateContent>
  <xr:revisionPtr revIDLastSave="0" documentId="13_ncr:1_{BBE2DBED-D6DB-42E5-9113-C963247C040E}" xr6:coauthVersionLast="45" xr6:coauthVersionMax="45" xr10:uidLastSave="{00000000-0000-0000-0000-000000000000}"/>
  <bookViews>
    <workbookView xWindow="30" yWindow="3900" windowWidth="38370" windowHeight="13710" tabRatio="847" xr2:uid="{00000000-000D-0000-FFFF-FFFF00000000}"/>
  </bookViews>
  <sheets>
    <sheet name="Input LwA_XYZ" sheetId="1" r:id="rId1"/>
    <sheet name="Tab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0" i="2" l="1"/>
  <c r="H59" i="2"/>
  <c r="J59" i="2" s="1"/>
  <c r="F59" i="2"/>
  <c r="E59" i="2"/>
  <c r="D59" i="2"/>
  <c r="C59" i="2"/>
  <c r="B59" i="2"/>
  <c r="G59" i="2" s="1"/>
  <c r="G58" i="2"/>
  <c r="F58" i="2"/>
  <c r="E58" i="2"/>
  <c r="D58" i="2"/>
  <c r="C58" i="2"/>
  <c r="B58" i="2"/>
  <c r="H58" i="2" s="1"/>
  <c r="H57" i="2"/>
  <c r="G57" i="2"/>
  <c r="E57" i="2"/>
  <c r="B57" i="2"/>
  <c r="F57" i="2" s="1"/>
  <c r="I56" i="2"/>
  <c r="H56" i="2"/>
  <c r="J56" i="2" s="1"/>
  <c r="G56" i="2"/>
  <c r="F56" i="2"/>
  <c r="E56" i="2"/>
  <c r="D56" i="2"/>
  <c r="C56" i="2"/>
  <c r="B56" i="2"/>
  <c r="B55" i="2"/>
  <c r="C54" i="2"/>
  <c r="B54" i="2"/>
  <c r="H54" i="2" s="1"/>
  <c r="F53" i="2"/>
  <c r="D53" i="2"/>
  <c r="C53" i="2"/>
  <c r="B53" i="2"/>
  <c r="H53" i="2" s="1"/>
  <c r="E52" i="2"/>
  <c r="D52" i="2"/>
  <c r="B52" i="2"/>
  <c r="C52" i="2" s="1"/>
  <c r="H51" i="2"/>
  <c r="J51" i="2" s="1"/>
  <c r="F51" i="2"/>
  <c r="E51" i="2"/>
  <c r="D51" i="2"/>
  <c r="C51" i="2"/>
  <c r="B51" i="2"/>
  <c r="G51" i="2" s="1"/>
  <c r="G50" i="2"/>
  <c r="F50" i="2"/>
  <c r="E50" i="2"/>
  <c r="D50" i="2"/>
  <c r="C50" i="2"/>
  <c r="B50" i="2"/>
  <c r="H50" i="2" s="1"/>
  <c r="H49" i="2"/>
  <c r="G49" i="2"/>
  <c r="E49" i="2"/>
  <c r="B49" i="2"/>
  <c r="F49" i="2" s="1"/>
  <c r="I48" i="2"/>
  <c r="H48" i="2"/>
  <c r="J48" i="2" s="1"/>
  <c r="G48" i="2"/>
  <c r="F48" i="2"/>
  <c r="E48" i="2"/>
  <c r="D48" i="2"/>
  <c r="C48" i="2"/>
  <c r="B48" i="2"/>
  <c r="B47" i="2"/>
  <c r="C46" i="2"/>
  <c r="B46" i="2"/>
  <c r="H46" i="2" s="1"/>
  <c r="F45" i="2"/>
  <c r="D45" i="2"/>
  <c r="C45" i="2"/>
  <c r="B45" i="2"/>
  <c r="H45" i="2" s="1"/>
  <c r="E44" i="2"/>
  <c r="D44" i="2"/>
  <c r="B44" i="2"/>
  <c r="C44" i="2" s="1"/>
  <c r="H43" i="2"/>
  <c r="J43" i="2" s="1"/>
  <c r="F43" i="2"/>
  <c r="E43" i="2"/>
  <c r="D43" i="2"/>
  <c r="C43" i="2"/>
  <c r="B43" i="2"/>
  <c r="G43" i="2" s="1"/>
  <c r="G42" i="2"/>
  <c r="F42" i="2"/>
  <c r="E42" i="2"/>
  <c r="D42" i="2"/>
  <c r="C42" i="2"/>
  <c r="B42" i="2"/>
  <c r="H42" i="2" s="1"/>
  <c r="H41" i="2"/>
  <c r="G41" i="2"/>
  <c r="E41" i="2"/>
  <c r="B41" i="2"/>
  <c r="F41" i="2" s="1"/>
  <c r="I40" i="2"/>
  <c r="H40" i="2"/>
  <c r="J40" i="2" s="1"/>
  <c r="G40" i="2"/>
  <c r="F40" i="2"/>
  <c r="E40" i="2"/>
  <c r="C40" i="2"/>
  <c r="B40" i="2"/>
  <c r="D40" i="2" s="1"/>
  <c r="B39" i="2"/>
  <c r="B38" i="2"/>
  <c r="D37" i="2"/>
  <c r="C37" i="2"/>
  <c r="B37" i="2"/>
  <c r="H37" i="2" s="1"/>
  <c r="E36" i="2"/>
  <c r="B36" i="2"/>
  <c r="H35" i="2"/>
  <c r="J35" i="2" s="1"/>
  <c r="F35" i="2"/>
  <c r="E35" i="2"/>
  <c r="D35" i="2"/>
  <c r="C35" i="2"/>
  <c r="B35" i="2"/>
  <c r="G35" i="2" s="1"/>
  <c r="I34" i="2"/>
  <c r="H34" i="2"/>
  <c r="J34" i="2" s="1"/>
  <c r="G34" i="2"/>
  <c r="F34" i="2"/>
  <c r="E34" i="2"/>
  <c r="D34" i="2"/>
  <c r="C34" i="2"/>
  <c r="B34" i="2"/>
  <c r="H33" i="2"/>
  <c r="G33" i="2"/>
  <c r="E33" i="2"/>
  <c r="B33" i="2"/>
  <c r="F33" i="2" s="1"/>
  <c r="I32" i="2"/>
  <c r="H32" i="2"/>
  <c r="J32" i="2" s="1"/>
  <c r="G32" i="2"/>
  <c r="F32" i="2"/>
  <c r="E32" i="2"/>
  <c r="C32" i="2"/>
  <c r="B32" i="2"/>
  <c r="D32" i="2" s="1"/>
  <c r="B31" i="2"/>
  <c r="J30" i="2"/>
  <c r="H30" i="2"/>
  <c r="I30" i="2" s="1"/>
  <c r="C30" i="2"/>
  <c r="B30" i="2"/>
  <c r="F29" i="2"/>
  <c r="D29" i="2"/>
  <c r="C29" i="2"/>
  <c r="B29" i="2"/>
  <c r="H29" i="2" s="1"/>
  <c r="J29" i="2" s="1"/>
  <c r="E28" i="2"/>
  <c r="B28" i="2"/>
  <c r="H27" i="2"/>
  <c r="J27" i="2" s="1"/>
  <c r="F27" i="2"/>
  <c r="E27" i="2"/>
  <c r="D27" i="2"/>
  <c r="C27" i="2"/>
  <c r="B27" i="2"/>
  <c r="G27" i="2" s="1"/>
  <c r="I26" i="2"/>
  <c r="H26" i="2"/>
  <c r="J26" i="2" s="1"/>
  <c r="G26" i="2"/>
  <c r="F26" i="2"/>
  <c r="E26" i="2"/>
  <c r="D26" i="2"/>
  <c r="C26" i="2"/>
  <c r="B26" i="2"/>
  <c r="H25" i="2"/>
  <c r="G25" i="2"/>
  <c r="E25" i="2"/>
  <c r="B25" i="2"/>
  <c r="F25" i="2" s="1"/>
  <c r="I24" i="2"/>
  <c r="H24" i="2"/>
  <c r="J24" i="2" s="1"/>
  <c r="G24" i="2"/>
  <c r="F24" i="2"/>
  <c r="E24" i="2"/>
  <c r="C24" i="2"/>
  <c r="B24" i="2"/>
  <c r="D24" i="2" s="1"/>
  <c r="G23" i="2"/>
  <c r="B23" i="2"/>
  <c r="B22" i="2"/>
  <c r="I21" i="2"/>
  <c r="F21" i="2"/>
  <c r="D21" i="2"/>
  <c r="C21" i="2"/>
  <c r="B21" i="2"/>
  <c r="H21" i="2" s="1"/>
  <c r="J21" i="2" s="1"/>
  <c r="B20" i="2"/>
  <c r="H19" i="2"/>
  <c r="J19" i="2" s="1"/>
  <c r="F19" i="2"/>
  <c r="E19" i="2"/>
  <c r="D19" i="2"/>
  <c r="C19" i="2"/>
  <c r="B19" i="2"/>
  <c r="G19" i="2" s="1"/>
  <c r="I18" i="2"/>
  <c r="H18" i="2"/>
  <c r="J18" i="2" s="1"/>
  <c r="G18" i="2"/>
  <c r="F18" i="2"/>
  <c r="E18" i="2"/>
  <c r="D18" i="2"/>
  <c r="C18" i="2"/>
  <c r="B18" i="2"/>
  <c r="H17" i="2"/>
  <c r="G17" i="2"/>
  <c r="E17" i="2"/>
  <c r="B17" i="2"/>
  <c r="F17" i="2" s="1"/>
  <c r="H16" i="2"/>
  <c r="J16" i="2" s="1"/>
  <c r="G16" i="2"/>
  <c r="F16" i="2"/>
  <c r="E16" i="2"/>
  <c r="C16" i="2"/>
  <c r="B16" i="2"/>
  <c r="D16" i="2" s="1"/>
  <c r="G15" i="2"/>
  <c r="B15" i="2"/>
  <c r="B14" i="2"/>
  <c r="I13" i="2"/>
  <c r="F13" i="2"/>
  <c r="D13" i="2"/>
  <c r="C13" i="2"/>
  <c r="B13" i="2"/>
  <c r="H13" i="2" s="1"/>
  <c r="J13" i="2" s="1"/>
  <c r="E12" i="2"/>
  <c r="D12" i="2"/>
  <c r="B12" i="2"/>
  <c r="H11" i="2"/>
  <c r="J11" i="2" s="1"/>
  <c r="F11" i="2"/>
  <c r="E11" i="2"/>
  <c r="D11" i="2"/>
  <c r="C11" i="2"/>
  <c r="B11" i="2"/>
  <c r="G11" i="2" s="1"/>
  <c r="I10" i="2"/>
  <c r="H10" i="2"/>
  <c r="J10" i="2" s="1"/>
  <c r="G10" i="2"/>
  <c r="F10" i="2"/>
  <c r="E10" i="2"/>
  <c r="D10" i="2"/>
  <c r="C10" i="2"/>
  <c r="B10" i="2"/>
  <c r="B9" i="2"/>
  <c r="G9" i="2" s="1"/>
  <c r="G8" i="2"/>
  <c r="C8" i="2"/>
  <c r="B8" i="2"/>
  <c r="B7" i="2"/>
  <c r="B6" i="2"/>
  <c r="C5" i="2"/>
  <c r="B5" i="2"/>
  <c r="B4" i="2"/>
  <c r="G3" i="2"/>
  <c r="C3" i="2"/>
  <c r="B3" i="2"/>
  <c r="M65" i="1" a="1"/>
  <c r="M65" i="1"/>
  <c r="CQ60" i="1"/>
  <c r="CO60" i="1"/>
  <c r="CL60" i="1"/>
  <c r="CE60" i="1" a="1"/>
  <c r="CM60" i="1" s="1"/>
  <c r="CE60" i="1"/>
  <c r="N58" i="1"/>
  <c r="I58" i="1"/>
  <c r="N57" i="1"/>
  <c r="I57" i="1"/>
  <c r="N56" i="1"/>
  <c r="I56" i="1"/>
  <c r="N55" i="1"/>
  <c r="I55" i="1"/>
  <c r="N54" i="1"/>
  <c r="I54" i="1"/>
  <c r="N53" i="1"/>
  <c r="I53" i="1"/>
  <c r="N52" i="1"/>
  <c r="I52" i="1"/>
  <c r="N51" i="1"/>
  <c r="I51" i="1"/>
  <c r="N50" i="1"/>
  <c r="I50" i="1"/>
  <c r="N49" i="1"/>
  <c r="I49" i="1"/>
  <c r="N48" i="1"/>
  <c r="I48" i="1"/>
  <c r="N47" i="1"/>
  <c r="I47" i="1"/>
  <c r="N46" i="1"/>
  <c r="I46" i="1"/>
  <c r="N45" i="1"/>
  <c r="I45" i="1"/>
  <c r="N44" i="1"/>
  <c r="I44" i="1"/>
  <c r="N43" i="1"/>
  <c r="I43" i="1"/>
  <c r="N42" i="1"/>
  <c r="I42" i="1"/>
  <c r="N41" i="1"/>
  <c r="I41" i="1"/>
  <c r="N40" i="1"/>
  <c r="I40" i="1"/>
  <c r="N39" i="1"/>
  <c r="I39" i="1"/>
  <c r="N38" i="1"/>
  <c r="I38" i="1"/>
  <c r="N37" i="1"/>
  <c r="I37" i="1"/>
  <c r="N36" i="1"/>
  <c r="I36" i="1"/>
  <c r="N35" i="1"/>
  <c r="I35" i="1"/>
  <c r="N34" i="1"/>
  <c r="I34" i="1"/>
  <c r="BG33" i="1"/>
  <c r="BJ31" i="1" s="1"/>
  <c r="N33" i="1"/>
  <c r="I33" i="1"/>
  <c r="N32" i="1"/>
  <c r="I32" i="1"/>
  <c r="BH31" i="1"/>
  <c r="N31" i="1"/>
  <c r="I31" i="1"/>
  <c r="N30" i="1"/>
  <c r="I30" i="1"/>
  <c r="N29" i="1"/>
  <c r="I29" i="1"/>
  <c r="N28" i="1"/>
  <c r="I28" i="1"/>
  <c r="N27" i="1"/>
  <c r="I27" i="1"/>
  <c r="N26" i="1"/>
  <c r="I26" i="1"/>
  <c r="N25" i="1"/>
  <c r="I25" i="1"/>
  <c r="N24" i="1"/>
  <c r="I24" i="1"/>
  <c r="N23" i="1"/>
  <c r="I23" i="1"/>
  <c r="N22" i="1"/>
  <c r="I22" i="1"/>
  <c r="N21" i="1"/>
  <c r="I21" i="1"/>
  <c r="N20" i="1"/>
  <c r="I20" i="1"/>
  <c r="N19" i="1"/>
  <c r="I19" i="1"/>
  <c r="N18" i="1"/>
  <c r="I18" i="1"/>
  <c r="N17" i="1"/>
  <c r="I17" i="1"/>
  <c r="N16" i="1"/>
  <c r="I16" i="1"/>
  <c r="N15" i="1"/>
  <c r="I15" i="1"/>
  <c r="N14" i="1"/>
  <c r="I14" i="1"/>
  <c r="N13" i="1"/>
  <c r="I13" i="1"/>
  <c r="N12" i="1"/>
  <c r="I12" i="1"/>
  <c r="N11" i="1"/>
  <c r="I11" i="1"/>
  <c r="N10" i="1"/>
  <c r="I10" i="1"/>
  <c r="N9" i="1"/>
  <c r="I9" i="1"/>
  <c r="N8" i="1"/>
  <c r="I8" i="1"/>
  <c r="BK7" i="1"/>
  <c r="BJ7" i="1"/>
  <c r="BI7" i="1"/>
  <c r="N7" i="1"/>
  <c r="I7" i="1"/>
  <c r="BK6" i="1"/>
  <c r="BJ6" i="1"/>
  <c r="BI6" i="1"/>
  <c r="N6" i="1"/>
  <c r="I6" i="1"/>
  <c r="BK5" i="1"/>
  <c r="BI29" i="1" s="1"/>
  <c r="BJ5" i="1"/>
  <c r="BI5" i="1"/>
  <c r="N5" i="1"/>
  <c r="I5" i="1"/>
  <c r="BK4" i="1"/>
  <c r="BI27" i="1" s="1"/>
  <c r="BI30" i="1" s="1"/>
  <c r="BJ28" i="1" s="1"/>
  <c r="BJ4" i="1"/>
  <c r="BI4" i="1"/>
  <c r="N4" i="1"/>
  <c r="I4" i="1"/>
  <c r="D5" i="2" s="1"/>
  <c r="N3" i="1"/>
  <c r="I3" i="1"/>
  <c r="N2" i="1"/>
  <c r="I2" i="1"/>
  <c r="D3" i="2" s="1"/>
  <c r="AN1" i="1"/>
  <c r="AN5" i="1" s="1" a="1"/>
  <c r="AN5" i="1" s="1"/>
  <c r="BE5" i="1" s="1"/>
  <c r="AF1" i="1"/>
  <c r="AF4" i="1" s="1" a="1"/>
  <c r="AF4" i="1" s="1"/>
  <c r="AW4" i="1" s="1"/>
  <c r="Z1" i="1" a="1"/>
  <c r="AM1" i="1" s="1"/>
  <c r="BH8" i="1" l="1"/>
  <c r="BK8" i="1"/>
  <c r="BJ9" i="1"/>
  <c r="BJ11" i="1" s="1"/>
  <c r="AM52" i="1" a="1"/>
  <c r="AM52" i="1" s="1"/>
  <c r="BD52" i="1" s="1"/>
  <c r="AM53" i="1" a="1"/>
  <c r="AM53" i="1" s="1"/>
  <c r="BD53" i="1" s="1"/>
  <c r="AM58" i="1" a="1"/>
  <c r="AM58" i="1" s="1"/>
  <c r="BD58" i="1" s="1"/>
  <c r="AM57" i="1" a="1"/>
  <c r="AM57" i="1" s="1"/>
  <c r="BD57" i="1" s="1"/>
  <c r="AM56" i="1" a="1"/>
  <c r="AM56" i="1" s="1"/>
  <c r="BD56" i="1" s="1"/>
  <c r="AM55" i="1" a="1"/>
  <c r="AM55" i="1" s="1"/>
  <c r="BD55" i="1" s="1"/>
  <c r="AM50" i="1" a="1"/>
  <c r="AM50" i="1" s="1"/>
  <c r="BD50" i="1" s="1"/>
  <c r="AM51" i="1" a="1"/>
  <c r="AM51" i="1" s="1"/>
  <c r="BD51" i="1" s="1"/>
  <c r="AM44" i="1" a="1"/>
  <c r="AM44" i="1" s="1"/>
  <c r="BD44" i="1" s="1"/>
  <c r="AM45" i="1" a="1"/>
  <c r="AM45" i="1" s="1"/>
  <c r="BD45" i="1" s="1"/>
  <c r="AM41" i="1" a="1"/>
  <c r="AM41" i="1" s="1"/>
  <c r="BD41" i="1" s="1"/>
  <c r="AM49" i="1" a="1"/>
  <c r="AM49" i="1" s="1"/>
  <c r="BD49" i="1" s="1"/>
  <c r="AM47" i="1" a="1"/>
  <c r="AM47" i="1" s="1"/>
  <c r="BD47" i="1" s="1"/>
  <c r="AM46" i="1" a="1"/>
  <c r="AM46" i="1" s="1"/>
  <c r="BD46" i="1" s="1"/>
  <c r="AM42" i="1" a="1"/>
  <c r="AM42" i="1" s="1"/>
  <c r="BD42" i="1" s="1"/>
  <c r="AM37" i="1" a="1"/>
  <c r="AM37" i="1" s="1"/>
  <c r="BD37" i="1" s="1"/>
  <c r="AM43" i="1" a="1"/>
  <c r="AM43" i="1" s="1"/>
  <c r="BD43" i="1" s="1"/>
  <c r="AM38" i="1" a="1"/>
  <c r="AM38" i="1" s="1"/>
  <c r="BD38" i="1" s="1"/>
  <c r="AM34" i="1" a="1"/>
  <c r="AM34" i="1" s="1"/>
  <c r="BD34" i="1" s="1"/>
  <c r="AM48" i="1" a="1"/>
  <c r="AM48" i="1" s="1"/>
  <c r="BD48" i="1" s="1"/>
  <c r="AM39" i="1" a="1"/>
  <c r="AM39" i="1" s="1"/>
  <c r="BD39" i="1" s="1"/>
  <c r="AM35" i="1" a="1"/>
  <c r="AM35" i="1" s="1"/>
  <c r="BD35" i="1" s="1"/>
  <c r="AM54" i="1" a="1"/>
  <c r="AM54" i="1" s="1"/>
  <c r="BD54" i="1" s="1"/>
  <c r="AM40" i="1" a="1"/>
  <c r="AM40" i="1" s="1"/>
  <c r="BD40" i="1" s="1"/>
  <c r="AM36" i="1" a="1"/>
  <c r="AM36" i="1" s="1"/>
  <c r="BD36" i="1" s="1"/>
  <c r="AM32" i="1" a="1"/>
  <c r="AM32" i="1" s="1"/>
  <c r="BD32" i="1" s="1"/>
  <c r="AM31" i="1" a="1"/>
  <c r="AM31" i="1" s="1"/>
  <c r="BD31" i="1" s="1"/>
  <c r="AM30" i="1" a="1"/>
  <c r="AM30" i="1" s="1"/>
  <c r="BD30" i="1" s="1"/>
  <c r="AM33" i="1" a="1"/>
  <c r="AM33" i="1" s="1"/>
  <c r="BD33" i="1" s="1"/>
  <c r="AM29" i="1" a="1"/>
  <c r="AM29" i="1" s="1"/>
  <c r="BD29" i="1" s="1"/>
  <c r="AM26" i="1" a="1"/>
  <c r="AM26" i="1" s="1"/>
  <c r="BD26" i="1" s="1"/>
  <c r="AM28" i="1" a="1"/>
  <c r="AM28" i="1" s="1"/>
  <c r="BD28" i="1" s="1"/>
  <c r="AM23" i="1" a="1"/>
  <c r="AM23" i="1" s="1"/>
  <c r="BD23" i="1" s="1"/>
  <c r="AM27" i="1" a="1"/>
  <c r="AM27" i="1" s="1"/>
  <c r="BD27" i="1" s="1"/>
  <c r="AM17" i="1" a="1"/>
  <c r="AM17" i="1" s="1"/>
  <c r="BD17" i="1" s="1"/>
  <c r="AM24" i="1" a="1"/>
  <c r="AM24" i="1" s="1"/>
  <c r="BD24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25" i="1" a="1"/>
  <c r="AM25" i="1" s="1"/>
  <c r="BD25" i="1" s="1"/>
  <c r="AM22" i="1" a="1"/>
  <c r="AM22" i="1" s="1"/>
  <c r="BD22" i="1" s="1"/>
  <c r="AM9" i="1" a="1"/>
  <c r="AM9" i="1" s="1"/>
  <c r="BD9" i="1" s="1"/>
  <c r="AM8" i="1" a="1"/>
  <c r="AM8" i="1" s="1"/>
  <c r="BD8" i="1" s="1"/>
  <c r="AM16" i="1" a="1"/>
  <c r="AM16" i="1" s="1"/>
  <c r="BD16" i="1" s="1"/>
  <c r="AM14" i="1" a="1"/>
  <c r="AM14" i="1" s="1"/>
  <c r="BD14" i="1" s="1"/>
  <c r="AM15" i="1" a="1"/>
  <c r="AM15" i="1" s="1"/>
  <c r="BD15" i="1" s="1"/>
  <c r="AM13" i="1" a="1"/>
  <c r="AM13" i="1" s="1"/>
  <c r="BD13" i="1" s="1"/>
  <c r="AM12" i="1" a="1"/>
  <c r="AM12" i="1" s="1"/>
  <c r="BD12" i="1" s="1"/>
  <c r="AM11" i="1" a="1"/>
  <c r="AM11" i="1" s="1"/>
  <c r="BD11" i="1" s="1"/>
  <c r="AM10" i="1" a="1"/>
  <c r="AM10" i="1" s="1"/>
  <c r="BD10" i="1" s="1"/>
  <c r="AM4" i="1" a="1"/>
  <c r="AM4" i="1" s="1"/>
  <c r="BD4" i="1" s="1"/>
  <c r="BD1" i="1"/>
  <c r="CA1" i="1"/>
  <c r="AM5" i="1" a="1"/>
  <c r="AM5" i="1" s="1"/>
  <c r="BD5" i="1" s="1"/>
  <c r="CR1" i="1"/>
  <c r="AM2" i="1" a="1"/>
  <c r="AM2" i="1" s="1"/>
  <c r="BD2" i="1" s="1"/>
  <c r="AM7" i="1" a="1"/>
  <c r="AM7" i="1" s="1"/>
  <c r="BD7" i="1" s="1"/>
  <c r="AM6" i="1" a="1"/>
  <c r="AM6" i="1" s="1"/>
  <c r="BD6" i="1" s="1"/>
  <c r="AM3" i="1" a="1"/>
  <c r="AM3" i="1" s="1"/>
  <c r="BD3" i="1" s="1"/>
  <c r="Z1" i="1"/>
  <c r="AG1" i="1"/>
  <c r="AN4" i="1" a="1"/>
  <c r="AN4" i="1" s="1"/>
  <c r="BE4" i="1" s="1"/>
  <c r="AF56" i="1" a="1"/>
  <c r="AF56" i="1" s="1"/>
  <c r="AW56" i="1" s="1"/>
  <c r="AF53" i="1" a="1"/>
  <c r="AF53" i="1" s="1"/>
  <c r="AW53" i="1" s="1"/>
  <c r="AF55" i="1" a="1"/>
  <c r="AF55" i="1" s="1"/>
  <c r="AW55" i="1" s="1"/>
  <c r="AF54" i="1" a="1"/>
  <c r="AF54" i="1" s="1"/>
  <c r="AW54" i="1" s="1"/>
  <c r="AF52" i="1" a="1"/>
  <c r="AF52" i="1" s="1"/>
  <c r="AW52" i="1" s="1"/>
  <c r="AF48" i="1" a="1"/>
  <c r="AF48" i="1" s="1"/>
  <c r="AW48" i="1" s="1"/>
  <c r="AF45" i="1" a="1"/>
  <c r="AF45" i="1" s="1"/>
  <c r="AW45" i="1" s="1"/>
  <c r="AF41" i="1" a="1"/>
  <c r="AF41" i="1" s="1"/>
  <c r="AW41" i="1" s="1"/>
  <c r="AF47" i="1" a="1"/>
  <c r="AF47" i="1" s="1"/>
  <c r="AW47" i="1" s="1"/>
  <c r="AF46" i="1" a="1"/>
  <c r="AF46" i="1" s="1"/>
  <c r="AW46" i="1" s="1"/>
  <c r="AF42" i="1" a="1"/>
  <c r="AF42" i="1" s="1"/>
  <c r="AW42" i="1" s="1"/>
  <c r="AF58" i="1" a="1"/>
  <c r="AF58" i="1" s="1"/>
  <c r="AW58" i="1" s="1"/>
  <c r="AF57" i="1" a="1"/>
  <c r="AF57" i="1" s="1"/>
  <c r="AW57" i="1" s="1"/>
  <c r="AF51" i="1" a="1"/>
  <c r="AF51" i="1" s="1"/>
  <c r="AW51" i="1" s="1"/>
  <c r="AF50" i="1" a="1"/>
  <c r="AF50" i="1" s="1"/>
  <c r="AW50" i="1" s="1"/>
  <c r="AF49" i="1" a="1"/>
  <c r="AF49" i="1" s="1"/>
  <c r="AW49" i="1" s="1"/>
  <c r="AF43" i="1" a="1"/>
  <c r="AF43" i="1" s="1"/>
  <c r="AW43" i="1" s="1"/>
  <c r="AF38" i="1" a="1"/>
  <c r="AF38" i="1" s="1"/>
  <c r="AW38" i="1" s="1"/>
  <c r="AF39" i="1" a="1"/>
  <c r="AF39" i="1" s="1"/>
  <c r="AW39" i="1" s="1"/>
  <c r="AF35" i="1" a="1"/>
  <c r="AF35" i="1" s="1"/>
  <c r="AW35" i="1" s="1"/>
  <c r="AF40" i="1" a="1"/>
  <c r="AF40" i="1" s="1"/>
  <c r="AW40" i="1" s="1"/>
  <c r="AF36" i="1" a="1"/>
  <c r="AF36" i="1" s="1"/>
  <c r="AW36" i="1" s="1"/>
  <c r="AF44" i="1" a="1"/>
  <c r="AF44" i="1" s="1"/>
  <c r="AW44" i="1" s="1"/>
  <c r="AF37" i="1" a="1"/>
  <c r="AF37" i="1" s="1"/>
  <c r="AW37" i="1" s="1"/>
  <c r="AF25" i="1" a="1"/>
  <c r="AF25" i="1" s="1"/>
  <c r="AW25" i="1" s="1"/>
  <c r="AF34" i="1" a="1"/>
  <c r="AF34" i="1" s="1"/>
  <c r="AW34" i="1" s="1"/>
  <c r="AF32" i="1" a="1"/>
  <c r="AF32" i="1" s="1"/>
  <c r="AW32" i="1" s="1"/>
  <c r="AF31" i="1" a="1"/>
  <c r="AF31" i="1" s="1"/>
  <c r="AW31" i="1" s="1"/>
  <c r="AF30" i="1" a="1"/>
  <c r="AF30" i="1" s="1"/>
  <c r="AW30" i="1" s="1"/>
  <c r="AF28" i="1" a="1"/>
  <c r="AF28" i="1" s="1"/>
  <c r="AW28" i="1" s="1"/>
  <c r="AF27" i="1" a="1"/>
  <c r="AF27" i="1" s="1"/>
  <c r="AW27" i="1" s="1"/>
  <c r="AF33" i="1" a="1"/>
  <c r="AF33" i="1" s="1"/>
  <c r="AW33" i="1" s="1"/>
  <c r="AF24" i="1" a="1"/>
  <c r="AF24" i="1" s="1"/>
  <c r="AW24" i="1" s="1"/>
  <c r="AF18" i="1" a="1"/>
  <c r="AF18" i="1" s="1"/>
  <c r="AW18" i="1" s="1"/>
  <c r="AF29" i="1" a="1"/>
  <c r="AF29" i="1" s="1"/>
  <c r="AW29" i="1" s="1"/>
  <c r="AF19" i="1" a="1"/>
  <c r="AF19" i="1" s="1"/>
  <c r="AW19" i="1" s="1"/>
  <c r="AF20" i="1" a="1"/>
  <c r="AF20" i="1" s="1"/>
  <c r="AW20" i="1" s="1"/>
  <c r="AF21" i="1" a="1"/>
  <c r="AF21" i="1" s="1"/>
  <c r="AW21" i="1" s="1"/>
  <c r="AF26" i="1" a="1"/>
  <c r="AF26" i="1" s="1"/>
  <c r="AW26" i="1" s="1"/>
  <c r="AF22" i="1" a="1"/>
  <c r="AF22" i="1" s="1"/>
  <c r="AW22" i="1" s="1"/>
  <c r="AF23" i="1" a="1"/>
  <c r="AF23" i="1" s="1"/>
  <c r="AW23" i="1" s="1"/>
  <c r="AF14" i="1" a="1"/>
  <c r="AF14" i="1" s="1"/>
  <c r="AW14" i="1" s="1"/>
  <c r="AF15" i="1" a="1"/>
  <c r="AF15" i="1" s="1"/>
  <c r="AW15" i="1" s="1"/>
  <c r="AF13" i="1" a="1"/>
  <c r="AF13" i="1" s="1"/>
  <c r="AW13" i="1" s="1"/>
  <c r="AF12" i="1" a="1"/>
  <c r="AF12" i="1" s="1"/>
  <c r="AW12" i="1" s="1"/>
  <c r="AF17" i="1" a="1"/>
  <c r="AF17" i="1" s="1"/>
  <c r="AW17" i="1" s="1"/>
  <c r="AF11" i="1" a="1"/>
  <c r="AF11" i="1" s="1"/>
  <c r="AW11" i="1" s="1"/>
  <c r="AF16" i="1" a="1"/>
  <c r="AF16" i="1" s="1"/>
  <c r="AW16" i="1" s="1"/>
  <c r="AF9" i="1" a="1"/>
  <c r="AF9" i="1" s="1"/>
  <c r="AW9" i="1" s="1"/>
  <c r="BK10" i="1"/>
  <c r="AF5" i="1" a="1"/>
  <c r="AF5" i="1" s="1"/>
  <c r="AW5" i="1" s="1"/>
  <c r="BH18" i="1"/>
  <c r="AN56" i="1" a="1"/>
  <c r="AN56" i="1" s="1"/>
  <c r="BE56" i="1" s="1"/>
  <c r="AN53" i="1" a="1"/>
  <c r="AN53" i="1" s="1"/>
  <c r="BE53" i="1" s="1"/>
  <c r="AN58" i="1" a="1"/>
  <c r="AN58" i="1" s="1"/>
  <c r="BE58" i="1" s="1"/>
  <c r="AN57" i="1" a="1"/>
  <c r="AN57" i="1" s="1"/>
  <c r="BE57" i="1" s="1"/>
  <c r="AN52" i="1" a="1"/>
  <c r="AN52" i="1" s="1"/>
  <c r="BE52" i="1" s="1"/>
  <c r="AN55" i="1" a="1"/>
  <c r="AN55" i="1" s="1"/>
  <c r="BE55" i="1" s="1"/>
  <c r="AN45" i="1" a="1"/>
  <c r="AN45" i="1" s="1"/>
  <c r="BE45" i="1" s="1"/>
  <c r="AN41" i="1" a="1"/>
  <c r="AN41" i="1" s="1"/>
  <c r="BE41" i="1" s="1"/>
  <c r="AN49" i="1" a="1"/>
  <c r="AN49" i="1" s="1"/>
  <c r="BE49" i="1" s="1"/>
  <c r="AN47" i="1" a="1"/>
  <c r="AN47" i="1" s="1"/>
  <c r="BE47" i="1" s="1"/>
  <c r="AN46" i="1" a="1"/>
  <c r="AN46" i="1" s="1"/>
  <c r="BE46" i="1" s="1"/>
  <c r="AN42" i="1" a="1"/>
  <c r="AN42" i="1" s="1"/>
  <c r="BE42" i="1" s="1"/>
  <c r="AN48" i="1" a="1"/>
  <c r="AN48" i="1" s="1"/>
  <c r="BE48" i="1" s="1"/>
  <c r="AN43" i="1" a="1"/>
  <c r="AN43" i="1" s="1"/>
  <c r="BE43" i="1" s="1"/>
  <c r="AN54" i="1" a="1"/>
  <c r="AN54" i="1" s="1"/>
  <c r="BE54" i="1" s="1"/>
  <c r="AN51" i="1" a="1"/>
  <c r="AN51" i="1" s="1"/>
  <c r="BE51" i="1" s="1"/>
  <c r="AN50" i="1" a="1"/>
  <c r="AN50" i="1" s="1"/>
  <c r="BE50" i="1" s="1"/>
  <c r="AN44" i="1" a="1"/>
  <c r="AN44" i="1" s="1"/>
  <c r="BE44" i="1" s="1"/>
  <c r="AN38" i="1" a="1"/>
  <c r="AN38" i="1" s="1"/>
  <c r="BE38" i="1" s="1"/>
  <c r="AN39" i="1" a="1"/>
  <c r="AN39" i="1" s="1"/>
  <c r="BE39" i="1" s="1"/>
  <c r="AN35" i="1" a="1"/>
  <c r="AN35" i="1" s="1"/>
  <c r="BE35" i="1" s="1"/>
  <c r="AN40" i="1" a="1"/>
  <c r="AN40" i="1" s="1"/>
  <c r="BE40" i="1" s="1"/>
  <c r="AN36" i="1" a="1"/>
  <c r="AN36" i="1" s="1"/>
  <c r="BE36" i="1" s="1"/>
  <c r="AN37" i="1" a="1"/>
  <c r="AN37" i="1" s="1"/>
  <c r="BE37" i="1" s="1"/>
  <c r="AN25" i="1" a="1"/>
  <c r="AN25" i="1" s="1"/>
  <c r="BE25" i="1" s="1"/>
  <c r="AN32" i="1" a="1"/>
  <c r="AN32" i="1" s="1"/>
  <c r="BE32" i="1" s="1"/>
  <c r="AN31" i="1" a="1"/>
  <c r="AN31" i="1" s="1"/>
  <c r="BE31" i="1" s="1"/>
  <c r="AN30" i="1" a="1"/>
  <c r="AN30" i="1" s="1"/>
  <c r="BE30" i="1" s="1"/>
  <c r="AN28" i="1" a="1"/>
  <c r="AN28" i="1" s="1"/>
  <c r="BE28" i="1" s="1"/>
  <c r="AN27" i="1" a="1"/>
  <c r="AN27" i="1" s="1"/>
  <c r="BE27" i="1" s="1"/>
  <c r="AN24" i="1" a="1"/>
  <c r="AN24" i="1" s="1"/>
  <c r="BE24" i="1" s="1"/>
  <c r="AN18" i="1" a="1"/>
  <c r="AN18" i="1" s="1"/>
  <c r="BE18" i="1" s="1"/>
  <c r="AN19" i="1" a="1"/>
  <c r="AN19" i="1" s="1"/>
  <c r="BE19" i="1" s="1"/>
  <c r="AN34" i="1" a="1"/>
  <c r="AN34" i="1" s="1"/>
  <c r="BE34" i="1" s="1"/>
  <c r="AN20" i="1" a="1"/>
  <c r="AN20" i="1" s="1"/>
  <c r="BE20" i="1" s="1"/>
  <c r="AN21" i="1" a="1"/>
  <c r="AN21" i="1" s="1"/>
  <c r="BE21" i="1" s="1"/>
  <c r="AN33" i="1" a="1"/>
  <c r="AN33" i="1" s="1"/>
  <c r="BE33" i="1" s="1"/>
  <c r="AN26" i="1" a="1"/>
  <c r="AN26" i="1" s="1"/>
  <c r="BE26" i="1" s="1"/>
  <c r="AN22" i="1" a="1"/>
  <c r="AN22" i="1" s="1"/>
  <c r="BE22" i="1" s="1"/>
  <c r="AN29" i="1" a="1"/>
  <c r="AN29" i="1" s="1"/>
  <c r="BE29" i="1" s="1"/>
  <c r="AN23" i="1" a="1"/>
  <c r="AN23" i="1" s="1"/>
  <c r="BE23" i="1" s="1"/>
  <c r="AN17" i="1" a="1"/>
  <c r="AN17" i="1" s="1"/>
  <c r="BE17" i="1" s="1"/>
  <c r="AN16" i="1" a="1"/>
  <c r="AN16" i="1" s="1"/>
  <c r="BE16" i="1" s="1"/>
  <c r="AN14" i="1" a="1"/>
  <c r="AN14" i="1" s="1"/>
  <c r="BE14" i="1" s="1"/>
  <c r="AN15" i="1" a="1"/>
  <c r="AN15" i="1" s="1"/>
  <c r="BE15" i="1" s="1"/>
  <c r="AN13" i="1" a="1"/>
  <c r="AN13" i="1" s="1"/>
  <c r="BE13" i="1" s="1"/>
  <c r="AN12" i="1" a="1"/>
  <c r="AN12" i="1" s="1"/>
  <c r="BE12" i="1" s="1"/>
  <c r="AN11" i="1" a="1"/>
  <c r="AN11" i="1" s="1"/>
  <c r="BE11" i="1" s="1"/>
  <c r="AN9" i="1" a="1"/>
  <c r="AN9" i="1" s="1"/>
  <c r="BE9" i="1" s="1"/>
  <c r="AF3" i="1" a="1"/>
  <c r="AF3" i="1" s="1"/>
  <c r="AW3" i="1" s="1"/>
  <c r="AN3" i="1" a="1"/>
  <c r="AN3" i="1" s="1"/>
  <c r="BE3" i="1" s="1"/>
  <c r="BJ8" i="1"/>
  <c r="BJ10" i="1" s="1"/>
  <c r="AF6" i="1" a="1"/>
  <c r="AF6" i="1" s="1"/>
  <c r="AW6" i="1" s="1"/>
  <c r="AN6" i="1" a="1"/>
  <c r="AN6" i="1" s="1"/>
  <c r="BE6" i="1" s="1"/>
  <c r="BH29" i="1"/>
  <c r="BJ30" i="1" s="1"/>
  <c r="BH11" i="1"/>
  <c r="AH1" i="1"/>
  <c r="AI1" i="1"/>
  <c r="AB1" i="1"/>
  <c r="BK11" i="1"/>
  <c r="BK9" i="1"/>
  <c r="AF7" i="1" a="1"/>
  <c r="AF7" i="1" s="1"/>
  <c r="AW7" i="1" s="1"/>
  <c r="AN7" i="1" a="1"/>
  <c r="AN7" i="1" s="1"/>
  <c r="BE7" i="1" s="1"/>
  <c r="AF8" i="1" a="1"/>
  <c r="AF8" i="1" s="1"/>
  <c r="AW8" i="1" s="1"/>
  <c r="AN8" i="1" a="1"/>
  <c r="AN8" i="1" s="1"/>
  <c r="BE8" i="1" s="1"/>
  <c r="AF10" i="1" a="1"/>
  <c r="AF10" i="1" s="1"/>
  <c r="AW10" i="1" s="1"/>
  <c r="AN10" i="1" a="1"/>
  <c r="AN10" i="1" s="1"/>
  <c r="BE10" i="1" s="1"/>
  <c r="AA1" i="1"/>
  <c r="AC1" i="1"/>
  <c r="CK1" i="1"/>
  <c r="BH17" i="1"/>
  <c r="BH16" i="1"/>
  <c r="AJ1" i="1"/>
  <c r="AK1" i="1"/>
  <c r="CS1" i="1"/>
  <c r="AF2" i="1" a="1"/>
  <c r="AF2" i="1" s="1"/>
  <c r="AW2" i="1" s="1"/>
  <c r="AN2" i="1" a="1"/>
  <c r="AN2" i="1" s="1"/>
  <c r="BE2" i="1" s="1"/>
  <c r="AD1" i="1"/>
  <c r="AL1" i="1"/>
  <c r="BT1" i="1"/>
  <c r="CB1" i="1"/>
  <c r="AE1" i="1"/>
  <c r="AW1" i="1"/>
  <c r="BE1" i="1"/>
  <c r="G14" i="2"/>
  <c r="F14" i="2"/>
  <c r="E14" i="2"/>
  <c r="D14" i="2"/>
  <c r="H14" i="2"/>
  <c r="C14" i="2"/>
  <c r="H31" i="2"/>
  <c r="F31" i="2"/>
  <c r="E31" i="2"/>
  <c r="D31" i="2"/>
  <c r="C31" i="2"/>
  <c r="G31" i="2"/>
  <c r="J37" i="2"/>
  <c r="I37" i="2"/>
  <c r="C12" i="2"/>
  <c r="H12" i="2"/>
  <c r="G12" i="2"/>
  <c r="F12" i="2"/>
  <c r="J46" i="2"/>
  <c r="I46" i="2"/>
  <c r="J50" i="2"/>
  <c r="I50" i="2"/>
  <c r="C20" i="2"/>
  <c r="H20" i="2"/>
  <c r="G20" i="2"/>
  <c r="F20" i="2"/>
  <c r="H47" i="2"/>
  <c r="G47" i="2"/>
  <c r="F47" i="2"/>
  <c r="E47" i="2"/>
  <c r="D47" i="2"/>
  <c r="C47" i="2"/>
  <c r="J57" i="2"/>
  <c r="I57" i="2"/>
  <c r="CP60" i="1"/>
  <c r="CH60" i="1"/>
  <c r="CN60" i="1"/>
  <c r="CF60" i="1"/>
  <c r="CS60" i="1"/>
  <c r="CK60" i="1"/>
  <c r="CR60" i="1"/>
  <c r="C7" i="2"/>
  <c r="J17" i="2"/>
  <c r="I17" i="2"/>
  <c r="D20" i="2"/>
  <c r="G22" i="2"/>
  <c r="F22" i="2"/>
  <c r="E22" i="2"/>
  <c r="D22" i="2"/>
  <c r="J54" i="2"/>
  <c r="I54" i="2"/>
  <c r="J58" i="2"/>
  <c r="I58" i="2"/>
  <c r="CG60" i="1"/>
  <c r="C4" i="2"/>
  <c r="D7" i="2"/>
  <c r="E20" i="2"/>
  <c r="C22" i="2"/>
  <c r="C28" i="2"/>
  <c r="H28" i="2"/>
  <c r="G28" i="2"/>
  <c r="F28" i="2"/>
  <c r="I29" i="2"/>
  <c r="H38" i="2"/>
  <c r="G38" i="2"/>
  <c r="F38" i="2"/>
  <c r="E38" i="2"/>
  <c r="D38" i="2"/>
  <c r="J41" i="2"/>
  <c r="I41" i="2"/>
  <c r="J45" i="2"/>
  <c r="I45" i="2"/>
  <c r="CI60" i="1"/>
  <c r="D4" i="2"/>
  <c r="G7" i="2"/>
  <c r="H15" i="2"/>
  <c r="F15" i="2"/>
  <c r="E15" i="2"/>
  <c r="D15" i="2"/>
  <c r="C15" i="2"/>
  <c r="H22" i="2"/>
  <c r="J25" i="2"/>
  <c r="I25" i="2"/>
  <c r="D28" i="2"/>
  <c r="G30" i="2"/>
  <c r="F30" i="2"/>
  <c r="E30" i="2"/>
  <c r="D30" i="2"/>
  <c r="C38" i="2"/>
  <c r="J42" i="2"/>
  <c r="I42" i="2"/>
  <c r="H55" i="2"/>
  <c r="G55" i="2"/>
  <c r="F55" i="2"/>
  <c r="E55" i="2"/>
  <c r="D55" i="2"/>
  <c r="C55" i="2"/>
  <c r="CJ60" i="1"/>
  <c r="G6" i="2"/>
  <c r="D6" i="2"/>
  <c r="C36" i="2"/>
  <c r="H36" i="2"/>
  <c r="G36" i="2"/>
  <c r="F36" i="2"/>
  <c r="G4" i="2"/>
  <c r="C6" i="2"/>
  <c r="I16" i="2"/>
  <c r="H23" i="2"/>
  <c r="F23" i="2"/>
  <c r="E23" i="2"/>
  <c r="D23" i="2"/>
  <c r="C23" i="2"/>
  <c r="J33" i="2"/>
  <c r="I33" i="2"/>
  <c r="D36" i="2"/>
  <c r="H39" i="2"/>
  <c r="G39" i="2"/>
  <c r="F39" i="2"/>
  <c r="E39" i="2"/>
  <c r="D39" i="2"/>
  <c r="C39" i="2"/>
  <c r="J49" i="2"/>
  <c r="I49" i="2"/>
  <c r="J53" i="2"/>
  <c r="I53" i="2"/>
  <c r="E13" i="2"/>
  <c r="E21" i="2"/>
  <c r="E29" i="2"/>
  <c r="E37" i="2"/>
  <c r="F44" i="2"/>
  <c r="E45" i="2"/>
  <c r="D46" i="2"/>
  <c r="F52" i="2"/>
  <c r="E53" i="2"/>
  <c r="D54" i="2"/>
  <c r="F37" i="2"/>
  <c r="G44" i="2"/>
  <c r="E46" i="2"/>
  <c r="G52" i="2"/>
  <c r="E54" i="2"/>
  <c r="G5" i="2"/>
  <c r="D8" i="2"/>
  <c r="C9" i="2"/>
  <c r="I11" i="2"/>
  <c r="G13" i="2"/>
  <c r="C17" i="2"/>
  <c r="I19" i="2"/>
  <c r="G21" i="2"/>
  <c r="C25" i="2"/>
  <c r="I27" i="2"/>
  <c r="G29" i="2"/>
  <c r="C33" i="2"/>
  <c r="I35" i="2"/>
  <c r="G37" i="2"/>
  <c r="C41" i="2"/>
  <c r="I43" i="2"/>
  <c r="H44" i="2"/>
  <c r="G45" i="2"/>
  <c r="F46" i="2"/>
  <c r="C49" i="2"/>
  <c r="I51" i="2"/>
  <c r="H52" i="2"/>
  <c r="G53" i="2"/>
  <c r="F54" i="2"/>
  <c r="C57" i="2"/>
  <c r="I59" i="2"/>
  <c r="D9" i="2"/>
  <c r="D17" i="2"/>
  <c r="D25" i="2"/>
  <c r="D33" i="2"/>
  <c r="D41" i="2"/>
  <c r="G46" i="2"/>
  <c r="D49" i="2"/>
  <c r="G54" i="2"/>
  <c r="D57" i="2"/>
  <c r="BH19" i="1" l="1"/>
  <c r="AI58" i="1" a="1"/>
  <c r="AI58" i="1" s="1"/>
  <c r="AZ58" i="1" s="1"/>
  <c r="AI57" i="1" a="1"/>
  <c r="AI57" i="1" s="1"/>
  <c r="AZ57" i="1" s="1"/>
  <c r="AI56" i="1" a="1"/>
  <c r="AI56" i="1" s="1"/>
  <c r="AZ56" i="1" s="1"/>
  <c r="AI52" i="1" a="1"/>
  <c r="AI52" i="1" s="1"/>
  <c r="AZ52" i="1" s="1"/>
  <c r="AI53" i="1" a="1"/>
  <c r="AI53" i="1" s="1"/>
  <c r="AZ53" i="1" s="1"/>
  <c r="AI50" i="1" a="1"/>
  <c r="AI50" i="1" s="1"/>
  <c r="AZ50" i="1" s="1"/>
  <c r="AI54" i="1" a="1"/>
  <c r="AI54" i="1" s="1"/>
  <c r="AZ54" i="1" s="1"/>
  <c r="AI44" i="1" a="1"/>
  <c r="AI44" i="1" s="1"/>
  <c r="AZ44" i="1" s="1"/>
  <c r="AI49" i="1" a="1"/>
  <c r="AI49" i="1" s="1"/>
  <c r="AZ49" i="1" s="1"/>
  <c r="AI51" i="1" a="1"/>
  <c r="AI51" i="1" s="1"/>
  <c r="AZ51" i="1" s="1"/>
  <c r="AI45" i="1" a="1"/>
  <c r="AI45" i="1" s="1"/>
  <c r="AZ45" i="1" s="1"/>
  <c r="AI41" i="1" a="1"/>
  <c r="AI41" i="1" s="1"/>
  <c r="AZ41" i="1" s="1"/>
  <c r="AI55" i="1" a="1"/>
  <c r="AI55" i="1" s="1"/>
  <c r="AZ55" i="1" s="1"/>
  <c r="AI48" i="1" a="1"/>
  <c r="AI48" i="1" s="1"/>
  <c r="AZ48" i="1" s="1"/>
  <c r="AI47" i="1" a="1"/>
  <c r="AI47" i="1" s="1"/>
  <c r="AZ47" i="1" s="1"/>
  <c r="AI46" i="1" a="1"/>
  <c r="AI46" i="1" s="1"/>
  <c r="AZ46" i="1" s="1"/>
  <c r="AI42" i="1" a="1"/>
  <c r="AI42" i="1" s="1"/>
  <c r="AZ42" i="1" s="1"/>
  <c r="AI37" i="1" a="1"/>
  <c r="AI37" i="1" s="1"/>
  <c r="AZ37" i="1" s="1"/>
  <c r="AI38" i="1" a="1"/>
  <c r="AI38" i="1" s="1"/>
  <c r="AZ38" i="1" s="1"/>
  <c r="AI34" i="1" a="1"/>
  <c r="AI34" i="1" s="1"/>
  <c r="AZ34" i="1" s="1"/>
  <c r="AI43" i="1" a="1"/>
  <c r="AI43" i="1" s="1"/>
  <c r="AZ43" i="1" s="1"/>
  <c r="AI39" i="1" a="1"/>
  <c r="AI39" i="1" s="1"/>
  <c r="AZ39" i="1" s="1"/>
  <c r="AI35" i="1" a="1"/>
  <c r="AI35" i="1" s="1"/>
  <c r="AZ35" i="1" s="1"/>
  <c r="AI40" i="1" a="1"/>
  <c r="AI40" i="1" s="1"/>
  <c r="AZ40" i="1" s="1"/>
  <c r="AI36" i="1" a="1"/>
  <c r="AI36" i="1" s="1"/>
  <c r="AZ36" i="1" s="1"/>
  <c r="AI32" i="1" a="1"/>
  <c r="AI32" i="1" s="1"/>
  <c r="AZ32" i="1" s="1"/>
  <c r="AI31" i="1" a="1"/>
  <c r="AI31" i="1" s="1"/>
  <c r="AZ31" i="1" s="1"/>
  <c r="AI30" i="1" a="1"/>
  <c r="AI30" i="1" s="1"/>
  <c r="AZ30" i="1" s="1"/>
  <c r="AI33" i="1" a="1"/>
  <c r="AI33" i="1" s="1"/>
  <c r="AZ33" i="1" s="1"/>
  <c r="AI29" i="1" a="1"/>
  <c r="AI29" i="1" s="1"/>
  <c r="AZ29" i="1" s="1"/>
  <c r="AI26" i="1" a="1"/>
  <c r="AI26" i="1" s="1"/>
  <c r="AZ26" i="1" s="1"/>
  <c r="AI23" i="1" a="1"/>
  <c r="AI23" i="1" s="1"/>
  <c r="AZ23" i="1" s="1"/>
  <c r="AI17" i="1" a="1"/>
  <c r="AI17" i="1" s="1"/>
  <c r="AZ17" i="1" s="1"/>
  <c r="AI28" i="1" a="1"/>
  <c r="AI28" i="1" s="1"/>
  <c r="AZ28" i="1" s="1"/>
  <c r="AI25" i="1" a="1"/>
  <c r="AI25" i="1" s="1"/>
  <c r="AZ25" i="1" s="1"/>
  <c r="AI24" i="1" a="1"/>
  <c r="AI24" i="1" s="1"/>
  <c r="AZ24" i="1" s="1"/>
  <c r="AI18" i="1" a="1"/>
  <c r="AI18" i="1" s="1"/>
  <c r="AZ18" i="1" s="1"/>
  <c r="AI27" i="1" a="1"/>
  <c r="AI27" i="1" s="1"/>
  <c r="AZ27" i="1" s="1"/>
  <c r="AI19" i="1" a="1"/>
  <c r="AI19" i="1" s="1"/>
  <c r="AZ19" i="1" s="1"/>
  <c r="AI20" i="1" a="1"/>
  <c r="AI20" i="1" s="1"/>
  <c r="AZ20" i="1" s="1"/>
  <c r="AI21" i="1" a="1"/>
  <c r="AI21" i="1" s="1"/>
  <c r="AZ21" i="1" s="1"/>
  <c r="AI22" i="1" a="1"/>
  <c r="AI22" i="1" s="1"/>
  <c r="AZ22" i="1" s="1"/>
  <c r="AI9" i="1" a="1"/>
  <c r="AI9" i="1" s="1"/>
  <c r="AZ9" i="1" s="1"/>
  <c r="AI16" i="1" a="1"/>
  <c r="AI16" i="1" s="1"/>
  <c r="AZ16" i="1" s="1"/>
  <c r="AI8" i="1" a="1"/>
  <c r="AI8" i="1" s="1"/>
  <c r="AZ8" i="1" s="1"/>
  <c r="AI14" i="1" a="1"/>
  <c r="AI14" i="1" s="1"/>
  <c r="AZ14" i="1" s="1"/>
  <c r="AI15" i="1" a="1"/>
  <c r="AI15" i="1" s="1"/>
  <c r="AZ15" i="1" s="1"/>
  <c r="AI13" i="1" a="1"/>
  <c r="AI13" i="1" s="1"/>
  <c r="AZ13" i="1" s="1"/>
  <c r="AI12" i="1" a="1"/>
  <c r="AI12" i="1" s="1"/>
  <c r="AZ12" i="1" s="1"/>
  <c r="AI11" i="1" a="1"/>
  <c r="AI11" i="1" s="1"/>
  <c r="AZ11" i="1" s="1"/>
  <c r="AI4" i="1" a="1"/>
  <c r="AI4" i="1" s="1"/>
  <c r="AZ4" i="1" s="1"/>
  <c r="AI2" i="1" a="1"/>
  <c r="AI2" i="1" s="1"/>
  <c r="AZ2" i="1" s="1"/>
  <c r="AI10" i="1" a="1"/>
  <c r="AI10" i="1" s="1"/>
  <c r="AZ10" i="1" s="1"/>
  <c r="AZ1" i="1"/>
  <c r="AI5" i="1" a="1"/>
  <c r="AI5" i="1" s="1"/>
  <c r="AZ5" i="1" s="1"/>
  <c r="AI7" i="1" a="1"/>
  <c r="AI7" i="1" s="1"/>
  <c r="AZ7" i="1" s="1"/>
  <c r="CN1" i="1"/>
  <c r="AI6" i="1" a="1"/>
  <c r="AI6" i="1" s="1"/>
  <c r="AZ6" i="1" s="1"/>
  <c r="AI3" i="1" a="1"/>
  <c r="AI3" i="1" s="1"/>
  <c r="AZ3" i="1" s="1"/>
  <c r="BW1" i="1"/>
  <c r="AG57" i="1" a="1"/>
  <c r="AG57" i="1" s="1"/>
  <c r="AX57" i="1" s="1"/>
  <c r="AG54" i="1" a="1"/>
  <c r="AG54" i="1" s="1"/>
  <c r="AX54" i="1" s="1"/>
  <c r="AG55" i="1" a="1"/>
  <c r="AG55" i="1" s="1"/>
  <c r="AX55" i="1" s="1"/>
  <c r="AG56" i="1" a="1"/>
  <c r="AG56" i="1" s="1"/>
  <c r="AX56" i="1" s="1"/>
  <c r="AG50" i="1" a="1"/>
  <c r="AG50" i="1" s="1"/>
  <c r="AX50" i="1" s="1"/>
  <c r="AG49" i="1" a="1"/>
  <c r="AG49" i="1" s="1"/>
  <c r="AX49" i="1" s="1"/>
  <c r="AG48" i="1" a="1"/>
  <c r="AG48" i="1" s="1"/>
  <c r="AX48" i="1" s="1"/>
  <c r="AG58" i="1" a="1"/>
  <c r="AG58" i="1" s="1"/>
  <c r="AX58" i="1" s="1"/>
  <c r="AG51" i="1" a="1"/>
  <c r="AG51" i="1" s="1"/>
  <c r="AX51" i="1" s="1"/>
  <c r="AG53" i="1" a="1"/>
  <c r="AG53" i="1" s="1"/>
  <c r="AX53" i="1" s="1"/>
  <c r="AG47" i="1" a="1"/>
  <c r="AG47" i="1" s="1"/>
  <c r="AX47" i="1" s="1"/>
  <c r="AG46" i="1" a="1"/>
  <c r="AG46" i="1" s="1"/>
  <c r="AX46" i="1" s="1"/>
  <c r="AG42" i="1" a="1"/>
  <c r="AG42" i="1" s="1"/>
  <c r="AX42" i="1" s="1"/>
  <c r="AG43" i="1" a="1"/>
  <c r="AG43" i="1" s="1"/>
  <c r="AX43" i="1" s="1"/>
  <c r="AG52" i="1" a="1"/>
  <c r="AG52" i="1" s="1"/>
  <c r="AX52" i="1" s="1"/>
  <c r="AG44" i="1" a="1"/>
  <c r="AG44" i="1" s="1"/>
  <c r="AX44" i="1" s="1"/>
  <c r="AG39" i="1" a="1"/>
  <c r="AG39" i="1" s="1"/>
  <c r="AX39" i="1" s="1"/>
  <c r="AG35" i="1" a="1"/>
  <c r="AG35" i="1" s="1"/>
  <c r="AX35" i="1" s="1"/>
  <c r="AG40" i="1" a="1"/>
  <c r="AG40" i="1" s="1"/>
  <c r="AX40" i="1" s="1"/>
  <c r="AG36" i="1" a="1"/>
  <c r="AG36" i="1" s="1"/>
  <c r="AX36" i="1" s="1"/>
  <c r="AG41" i="1" a="1"/>
  <c r="AG41" i="1" s="1"/>
  <c r="AX41" i="1" s="1"/>
  <c r="AG37" i="1" a="1"/>
  <c r="AG37" i="1" s="1"/>
  <c r="AX37" i="1" s="1"/>
  <c r="AG38" i="1" a="1"/>
  <c r="AG38" i="1" s="1"/>
  <c r="AX38" i="1" s="1"/>
  <c r="AG32" i="1" a="1"/>
  <c r="AG32" i="1" s="1"/>
  <c r="AX32" i="1" s="1"/>
  <c r="AG31" i="1" a="1"/>
  <c r="AG31" i="1" s="1"/>
  <c r="AX31" i="1" s="1"/>
  <c r="AG30" i="1" a="1"/>
  <c r="AG30" i="1" s="1"/>
  <c r="AX30" i="1" s="1"/>
  <c r="AG34" i="1" a="1"/>
  <c r="AG34" i="1" s="1"/>
  <c r="AX34" i="1" s="1"/>
  <c r="AG33" i="1" a="1"/>
  <c r="AG33" i="1" s="1"/>
  <c r="AX33" i="1" s="1"/>
  <c r="AG29" i="1" a="1"/>
  <c r="AG29" i="1" s="1"/>
  <c r="AX29" i="1" s="1"/>
  <c r="AG26" i="1" a="1"/>
  <c r="AG26" i="1" s="1"/>
  <c r="AX26" i="1" s="1"/>
  <c r="AG28" i="1" a="1"/>
  <c r="AG28" i="1" s="1"/>
  <c r="AX28" i="1" s="1"/>
  <c r="AG27" i="1" a="1"/>
  <c r="AG27" i="1" s="1"/>
  <c r="AX27" i="1" s="1"/>
  <c r="AG45" i="1" a="1"/>
  <c r="AG45" i="1" s="1"/>
  <c r="AX45" i="1" s="1"/>
  <c r="AG20" i="1" a="1"/>
  <c r="AG20" i="1" s="1"/>
  <c r="AX20" i="1" s="1"/>
  <c r="AG21" i="1" a="1"/>
  <c r="AG21" i="1" s="1"/>
  <c r="AX21" i="1" s="1"/>
  <c r="AG22" i="1" a="1"/>
  <c r="AG22" i="1" s="1"/>
  <c r="AX22" i="1" s="1"/>
  <c r="AG23" i="1" a="1"/>
  <c r="AG23" i="1" s="1"/>
  <c r="AX23" i="1" s="1"/>
  <c r="AG25" i="1" a="1"/>
  <c r="AG25" i="1" s="1"/>
  <c r="AX25" i="1" s="1"/>
  <c r="AG24" i="1" a="1"/>
  <c r="AG24" i="1" s="1"/>
  <c r="AX24" i="1" s="1"/>
  <c r="AG18" i="1" a="1"/>
  <c r="AG18" i="1" s="1"/>
  <c r="AX18" i="1" s="1"/>
  <c r="AG19" i="1" a="1"/>
  <c r="AG19" i="1" s="1"/>
  <c r="AX19" i="1" s="1"/>
  <c r="AG15" i="1" a="1"/>
  <c r="AG15" i="1" s="1"/>
  <c r="AX15" i="1" s="1"/>
  <c r="AG13" i="1" a="1"/>
  <c r="AG13" i="1" s="1"/>
  <c r="AX13" i="1" s="1"/>
  <c r="AG12" i="1" a="1"/>
  <c r="AG12" i="1" s="1"/>
  <c r="AX12" i="1" s="1"/>
  <c r="AG11" i="1" a="1"/>
  <c r="AG11" i="1" s="1"/>
  <c r="AX11" i="1" s="1"/>
  <c r="AG17" i="1" a="1"/>
  <c r="AG17" i="1" s="1"/>
  <c r="AX17" i="1" s="1"/>
  <c r="AG16" i="1" a="1"/>
  <c r="AG16" i="1" s="1"/>
  <c r="AX16" i="1" s="1"/>
  <c r="AG10" i="1" a="1"/>
  <c r="AG10" i="1" s="1"/>
  <c r="AX10" i="1" s="1"/>
  <c r="AG9" i="1" a="1"/>
  <c r="AG9" i="1" s="1"/>
  <c r="AX9" i="1" s="1"/>
  <c r="AG2" i="1" a="1"/>
  <c r="AG2" i="1" s="1"/>
  <c r="AX2" i="1" s="1"/>
  <c r="BU1" i="1"/>
  <c r="CL1" i="1"/>
  <c r="AG14" i="1" a="1"/>
  <c r="AG14" i="1" s="1"/>
  <c r="AX14" i="1" s="1"/>
  <c r="AG8" i="1" a="1"/>
  <c r="AG8" i="1" s="1"/>
  <c r="AX8" i="1" s="1"/>
  <c r="AG7" i="1" a="1"/>
  <c r="AG7" i="1" s="1"/>
  <c r="AX7" i="1" s="1"/>
  <c r="AG6" i="1" a="1"/>
  <c r="AG6" i="1" s="1"/>
  <c r="AX6" i="1" s="1"/>
  <c r="AG3" i="1" a="1"/>
  <c r="AG3" i="1" s="1"/>
  <c r="AX3" i="1" s="1"/>
  <c r="AG5" i="1" a="1"/>
  <c r="AG5" i="1" s="1"/>
  <c r="AX5" i="1" s="1"/>
  <c r="AG4" i="1" a="1"/>
  <c r="AG4" i="1" s="1"/>
  <c r="AX4" i="1" s="1"/>
  <c r="AX1" i="1"/>
  <c r="I39" i="2"/>
  <c r="J39" i="2"/>
  <c r="AJ56" i="1" a="1"/>
  <c r="AJ56" i="1" s="1"/>
  <c r="BA56" i="1" s="1"/>
  <c r="AJ53" i="1" a="1"/>
  <c r="AJ53" i="1" s="1"/>
  <c r="BA53" i="1" s="1"/>
  <c r="AJ55" i="1" a="1"/>
  <c r="AJ55" i="1" s="1"/>
  <c r="BA55" i="1" s="1"/>
  <c r="AJ54" i="1" a="1"/>
  <c r="AJ54" i="1" s="1"/>
  <c r="BA54" i="1" s="1"/>
  <c r="AJ52" i="1" a="1"/>
  <c r="AJ52" i="1" s="1"/>
  <c r="BA52" i="1" s="1"/>
  <c r="AJ49" i="1" a="1"/>
  <c r="AJ49" i="1" s="1"/>
  <c r="BA49" i="1" s="1"/>
  <c r="AJ45" i="1" a="1"/>
  <c r="AJ45" i="1" s="1"/>
  <c r="BA45" i="1" s="1"/>
  <c r="AJ41" i="1" a="1"/>
  <c r="AJ41" i="1" s="1"/>
  <c r="BA41" i="1" s="1"/>
  <c r="AJ51" i="1" a="1"/>
  <c r="AJ51" i="1" s="1"/>
  <c r="BA51" i="1" s="1"/>
  <c r="AJ50" i="1" a="1"/>
  <c r="AJ50" i="1" s="1"/>
  <c r="BA50" i="1" s="1"/>
  <c r="AJ48" i="1" a="1"/>
  <c r="AJ48" i="1" s="1"/>
  <c r="BA48" i="1" s="1"/>
  <c r="AJ58" i="1" a="1"/>
  <c r="AJ58" i="1" s="1"/>
  <c r="BA58" i="1" s="1"/>
  <c r="AJ57" i="1" a="1"/>
  <c r="AJ57" i="1" s="1"/>
  <c r="BA57" i="1" s="1"/>
  <c r="AJ47" i="1" a="1"/>
  <c r="AJ47" i="1" s="1"/>
  <c r="BA47" i="1" s="1"/>
  <c r="AJ46" i="1" a="1"/>
  <c r="AJ46" i="1" s="1"/>
  <c r="BA46" i="1" s="1"/>
  <c r="AJ42" i="1" a="1"/>
  <c r="AJ42" i="1" s="1"/>
  <c r="BA42" i="1" s="1"/>
  <c r="AJ43" i="1" a="1"/>
  <c r="AJ43" i="1" s="1"/>
  <c r="BA43" i="1" s="1"/>
  <c r="AJ38" i="1" a="1"/>
  <c r="AJ38" i="1" s="1"/>
  <c r="BA38" i="1" s="1"/>
  <c r="AJ39" i="1" a="1"/>
  <c r="AJ39" i="1" s="1"/>
  <c r="BA39" i="1" s="1"/>
  <c r="AJ35" i="1" a="1"/>
  <c r="AJ35" i="1" s="1"/>
  <c r="BA35" i="1" s="1"/>
  <c r="AJ44" i="1" a="1"/>
  <c r="AJ44" i="1" s="1"/>
  <c r="BA44" i="1" s="1"/>
  <c r="AJ40" i="1" a="1"/>
  <c r="AJ40" i="1" s="1"/>
  <c r="BA40" i="1" s="1"/>
  <c r="AJ36" i="1" a="1"/>
  <c r="AJ36" i="1" s="1"/>
  <c r="BA36" i="1" s="1"/>
  <c r="AJ37" i="1" a="1"/>
  <c r="AJ37" i="1" s="1"/>
  <c r="BA37" i="1" s="1"/>
  <c r="AJ25" i="1" a="1"/>
  <c r="AJ25" i="1" s="1"/>
  <c r="BA25" i="1" s="1"/>
  <c r="AJ32" i="1" a="1"/>
  <c r="AJ32" i="1" s="1"/>
  <c r="BA32" i="1" s="1"/>
  <c r="AJ31" i="1" a="1"/>
  <c r="AJ31" i="1" s="1"/>
  <c r="BA31" i="1" s="1"/>
  <c r="AJ30" i="1" a="1"/>
  <c r="AJ30" i="1" s="1"/>
  <c r="BA30" i="1" s="1"/>
  <c r="AJ34" i="1" a="1"/>
  <c r="AJ34" i="1" s="1"/>
  <c r="BA34" i="1" s="1"/>
  <c r="AJ28" i="1" a="1"/>
  <c r="AJ28" i="1" s="1"/>
  <c r="BA28" i="1" s="1"/>
  <c r="AJ27" i="1" a="1"/>
  <c r="AJ27" i="1" s="1"/>
  <c r="BA27" i="1" s="1"/>
  <c r="AJ26" i="1" a="1"/>
  <c r="AJ26" i="1" s="1"/>
  <c r="BA26" i="1" s="1"/>
  <c r="AJ24" i="1" a="1"/>
  <c r="AJ24" i="1" s="1"/>
  <c r="BA24" i="1" s="1"/>
  <c r="AJ18" i="1" a="1"/>
  <c r="AJ18" i="1" s="1"/>
  <c r="BA18" i="1" s="1"/>
  <c r="AJ19" i="1" a="1"/>
  <c r="AJ19" i="1" s="1"/>
  <c r="BA19" i="1" s="1"/>
  <c r="AJ20" i="1" a="1"/>
  <c r="AJ20" i="1" s="1"/>
  <c r="BA20" i="1" s="1"/>
  <c r="AJ21" i="1" a="1"/>
  <c r="AJ21" i="1" s="1"/>
  <c r="BA21" i="1" s="1"/>
  <c r="AJ22" i="1" a="1"/>
  <c r="AJ22" i="1" s="1"/>
  <c r="BA22" i="1" s="1"/>
  <c r="AJ33" i="1" a="1"/>
  <c r="AJ33" i="1" s="1"/>
  <c r="BA33" i="1" s="1"/>
  <c r="AJ23" i="1" a="1"/>
  <c r="AJ23" i="1" s="1"/>
  <c r="BA23" i="1" s="1"/>
  <c r="AJ14" i="1" a="1"/>
  <c r="AJ14" i="1" s="1"/>
  <c r="BA14" i="1" s="1"/>
  <c r="AJ17" i="1" a="1"/>
  <c r="AJ17" i="1" s="1"/>
  <c r="BA17" i="1" s="1"/>
  <c r="AJ15" i="1" a="1"/>
  <c r="AJ15" i="1" s="1"/>
  <c r="BA15" i="1" s="1"/>
  <c r="AJ13" i="1" a="1"/>
  <c r="AJ13" i="1" s="1"/>
  <c r="BA13" i="1" s="1"/>
  <c r="AJ12" i="1" a="1"/>
  <c r="AJ12" i="1" s="1"/>
  <c r="BA12" i="1" s="1"/>
  <c r="AJ29" i="1" a="1"/>
  <c r="AJ29" i="1" s="1"/>
  <c r="BA29" i="1" s="1"/>
  <c r="AJ11" i="1" a="1"/>
  <c r="AJ11" i="1" s="1"/>
  <c r="BA11" i="1" s="1"/>
  <c r="AJ9" i="1" a="1"/>
  <c r="AJ9" i="1" s="1"/>
  <c r="BA9" i="1" s="1"/>
  <c r="AJ10" i="1" a="1"/>
  <c r="AJ10" i="1" s="1"/>
  <c r="BA10" i="1" s="1"/>
  <c r="AJ2" i="1" a="1"/>
  <c r="AJ2" i="1" s="1"/>
  <c r="BA2" i="1" s="1"/>
  <c r="AJ8" i="1" a="1"/>
  <c r="AJ8" i="1" s="1"/>
  <c r="BA8" i="1" s="1"/>
  <c r="AJ7" i="1" a="1"/>
  <c r="AJ7" i="1" s="1"/>
  <c r="BA7" i="1" s="1"/>
  <c r="AJ3" i="1" a="1"/>
  <c r="AJ3" i="1" s="1"/>
  <c r="BA3" i="1" s="1"/>
  <c r="BA1" i="1"/>
  <c r="AJ6" i="1" a="1"/>
  <c r="AJ6" i="1" s="1"/>
  <c r="BA6" i="1" s="1"/>
  <c r="AJ16" i="1" a="1"/>
  <c r="AJ16" i="1" s="1"/>
  <c r="BA16" i="1" s="1"/>
  <c r="AJ5" i="1" a="1"/>
  <c r="AJ5" i="1" s="1"/>
  <c r="BA5" i="1" s="1"/>
  <c r="BX1" i="1"/>
  <c r="AJ4" i="1" a="1"/>
  <c r="AJ4" i="1" s="1"/>
  <c r="BA4" i="1" s="1"/>
  <c r="CO1" i="1"/>
  <c r="I55" i="2"/>
  <c r="J55" i="2"/>
  <c r="I15" i="2"/>
  <c r="J15" i="2"/>
  <c r="I28" i="2"/>
  <c r="J28" i="2"/>
  <c r="AL58" i="1" a="1"/>
  <c r="AL58" i="1" s="1"/>
  <c r="BC58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1" i="1" a="1"/>
  <c r="AL51" i="1" s="1"/>
  <c r="BC51" i="1" s="1"/>
  <c r="AL52" i="1" a="1"/>
  <c r="AL52" i="1" s="1"/>
  <c r="BC52" i="1" s="1"/>
  <c r="AL54" i="1" a="1"/>
  <c r="AL54" i="1" s="1"/>
  <c r="BC54" i="1" s="1"/>
  <c r="AL53" i="1" a="1"/>
  <c r="AL53" i="1" s="1"/>
  <c r="BC53" i="1" s="1"/>
  <c r="AL57" i="1" a="1"/>
  <c r="AL57" i="1" s="1"/>
  <c r="BC57" i="1" s="1"/>
  <c r="AL56" i="1" a="1"/>
  <c r="AL56" i="1" s="1"/>
  <c r="BC56" i="1" s="1"/>
  <c r="AL43" i="1" a="1"/>
  <c r="AL43" i="1" s="1"/>
  <c r="BC43" i="1" s="1"/>
  <c r="AL44" i="1" a="1"/>
  <c r="AL44" i="1" s="1"/>
  <c r="BC44" i="1" s="1"/>
  <c r="AL45" i="1" a="1"/>
  <c r="AL45" i="1" s="1"/>
  <c r="BC45" i="1" s="1"/>
  <c r="AL46" i="1" a="1"/>
  <c r="AL46" i="1" s="1"/>
  <c r="BC46" i="1" s="1"/>
  <c r="AL40" i="1" a="1"/>
  <c r="AL40" i="1" s="1"/>
  <c r="BC40" i="1" s="1"/>
  <c r="AL36" i="1" a="1"/>
  <c r="AL36" i="1" s="1"/>
  <c r="BC36" i="1" s="1"/>
  <c r="AL37" i="1" a="1"/>
  <c r="AL37" i="1" s="1"/>
  <c r="BC37" i="1" s="1"/>
  <c r="AL42" i="1" a="1"/>
  <c r="AL42" i="1" s="1"/>
  <c r="BC42" i="1" s="1"/>
  <c r="AL41" i="1" a="1"/>
  <c r="AL41" i="1" s="1"/>
  <c r="BC41" i="1" s="1"/>
  <c r="AL38" i="1" a="1"/>
  <c r="AL38" i="1" s="1"/>
  <c r="BC38" i="1" s="1"/>
  <c r="AL47" i="1" a="1"/>
  <c r="AL47" i="1" s="1"/>
  <c r="BC47" i="1" s="1"/>
  <c r="AL39" i="1" a="1"/>
  <c r="AL39" i="1" s="1"/>
  <c r="BC39" i="1" s="1"/>
  <c r="AL33" i="1" a="1"/>
  <c r="AL33" i="1" s="1"/>
  <c r="BC33" i="1" s="1"/>
  <c r="AL29" i="1" a="1"/>
  <c r="AL29" i="1" s="1"/>
  <c r="BC29" i="1" s="1"/>
  <c r="AL28" i="1" a="1"/>
  <c r="AL28" i="1" s="1"/>
  <c r="BC28" i="1" s="1"/>
  <c r="AL27" i="1" a="1"/>
  <c r="AL27" i="1" s="1"/>
  <c r="BC27" i="1" s="1"/>
  <c r="AL34" i="1" a="1"/>
  <c r="AL34" i="1" s="1"/>
  <c r="BC34" i="1" s="1"/>
  <c r="AL35" i="1" a="1"/>
  <c r="AL35" i="1" s="1"/>
  <c r="BC35" i="1" s="1"/>
  <c r="AL25" i="1" a="1"/>
  <c r="AL25" i="1" s="1"/>
  <c r="BC25" i="1" s="1"/>
  <c r="AL22" i="1" a="1"/>
  <c r="AL22" i="1" s="1"/>
  <c r="BC22" i="1" s="1"/>
  <c r="AL31" i="1" a="1"/>
  <c r="AL31" i="1" s="1"/>
  <c r="BC31" i="1" s="1"/>
  <c r="AL23" i="1" a="1"/>
  <c r="AL23" i="1" s="1"/>
  <c r="BC23" i="1" s="1"/>
  <c r="AL17" i="1" a="1"/>
  <c r="AL17" i="1" s="1"/>
  <c r="BC17" i="1" s="1"/>
  <c r="AL30" i="1" a="1"/>
  <c r="AL30" i="1" s="1"/>
  <c r="BC30" i="1" s="1"/>
  <c r="AL24" i="1" a="1"/>
  <c r="AL24" i="1" s="1"/>
  <c r="BC24" i="1" s="1"/>
  <c r="AL18" i="1" a="1"/>
  <c r="AL18" i="1" s="1"/>
  <c r="BC18" i="1" s="1"/>
  <c r="AL19" i="1" a="1"/>
  <c r="AL19" i="1" s="1"/>
  <c r="BC19" i="1" s="1"/>
  <c r="AL20" i="1" a="1"/>
  <c r="AL20" i="1" s="1"/>
  <c r="BC20" i="1" s="1"/>
  <c r="AL26" i="1" a="1"/>
  <c r="AL26" i="1" s="1"/>
  <c r="BC26" i="1" s="1"/>
  <c r="AL11" i="1" a="1"/>
  <c r="AL11" i="1" s="1"/>
  <c r="BC11" i="1" s="1"/>
  <c r="AL10" i="1" a="1"/>
  <c r="AL10" i="1" s="1"/>
  <c r="BC10" i="1" s="1"/>
  <c r="AL9" i="1" a="1"/>
  <c r="AL9" i="1" s="1"/>
  <c r="BC9" i="1" s="1"/>
  <c r="AL21" i="1" a="1"/>
  <c r="AL21" i="1" s="1"/>
  <c r="BC21" i="1" s="1"/>
  <c r="AL8" i="1" a="1"/>
  <c r="AL8" i="1" s="1"/>
  <c r="BC8" i="1" s="1"/>
  <c r="AL16" i="1" a="1"/>
  <c r="AL16" i="1" s="1"/>
  <c r="BC16" i="1" s="1"/>
  <c r="AL14" i="1" a="1"/>
  <c r="AL14" i="1" s="1"/>
  <c r="BC14" i="1" s="1"/>
  <c r="AL15" i="1" a="1"/>
  <c r="AL15" i="1" s="1"/>
  <c r="BC15" i="1" s="1"/>
  <c r="AL13" i="1" a="1"/>
  <c r="AL13" i="1" s="1"/>
  <c r="BC13" i="1" s="1"/>
  <c r="AL6" i="1" a="1"/>
  <c r="AL6" i="1" s="1"/>
  <c r="BC6" i="1" s="1"/>
  <c r="AL3" i="1" a="1"/>
  <c r="AL3" i="1" s="1"/>
  <c r="BC3" i="1" s="1"/>
  <c r="AL4" i="1" a="1"/>
  <c r="AL4" i="1" s="1"/>
  <c r="BC4" i="1" s="1"/>
  <c r="AL5" i="1" a="1"/>
  <c r="AL5" i="1" s="1"/>
  <c r="BC5" i="1" s="1"/>
  <c r="BC1" i="1"/>
  <c r="BZ1" i="1"/>
  <c r="AL7" i="1" a="1"/>
  <c r="AL7" i="1" s="1"/>
  <c r="BC7" i="1" s="1"/>
  <c r="AL32" i="1" a="1"/>
  <c r="AL32" i="1" s="1"/>
  <c r="BC32" i="1" s="1"/>
  <c r="AL12" i="1" a="1"/>
  <c r="AL12" i="1" s="1"/>
  <c r="BC12" i="1" s="1"/>
  <c r="CQ1" i="1"/>
  <c r="AL2" i="1" a="1"/>
  <c r="AL2" i="1" s="1"/>
  <c r="BC2" i="1" s="1"/>
  <c r="AH58" i="1" a="1"/>
  <c r="AH58" i="1" s="1"/>
  <c r="AY58" i="1" s="1"/>
  <c r="AH50" i="1" a="1"/>
  <c r="AH50" i="1" s="1"/>
  <c r="AY50" i="1" s="1"/>
  <c r="AH49" i="1" a="1"/>
  <c r="AH49" i="1" s="1"/>
  <c r="AY49" i="1" s="1"/>
  <c r="AH48" i="1" a="1"/>
  <c r="AH48" i="1" s="1"/>
  <c r="AY48" i="1" s="1"/>
  <c r="AH57" i="1" a="1"/>
  <c r="AH57" i="1" s="1"/>
  <c r="AY57" i="1" s="1"/>
  <c r="AH56" i="1" a="1"/>
  <c r="AH56" i="1" s="1"/>
  <c r="AY56" i="1" s="1"/>
  <c r="AH51" i="1" a="1"/>
  <c r="AH51" i="1" s="1"/>
  <c r="AY51" i="1" s="1"/>
  <c r="AH52" i="1" a="1"/>
  <c r="AH52" i="1" s="1"/>
  <c r="AY52" i="1" s="1"/>
  <c r="AH54" i="1" a="1"/>
  <c r="AH54" i="1" s="1"/>
  <c r="AY54" i="1" s="1"/>
  <c r="AH43" i="1" a="1"/>
  <c r="AH43" i="1" s="1"/>
  <c r="AY43" i="1" s="1"/>
  <c r="AH53" i="1" a="1"/>
  <c r="AH53" i="1" s="1"/>
  <c r="AY53" i="1" s="1"/>
  <c r="AH44" i="1" a="1"/>
  <c r="AH44" i="1" s="1"/>
  <c r="AY44" i="1" s="1"/>
  <c r="AH55" i="1" a="1"/>
  <c r="AH55" i="1" s="1"/>
  <c r="AY55" i="1" s="1"/>
  <c r="AH45" i="1" a="1"/>
  <c r="AH45" i="1" s="1"/>
  <c r="AY45" i="1" s="1"/>
  <c r="AH42" i="1" a="1"/>
  <c r="AH42" i="1" s="1"/>
  <c r="AY42" i="1" s="1"/>
  <c r="AH40" i="1" a="1"/>
  <c r="AH40" i="1" s="1"/>
  <c r="AY40" i="1" s="1"/>
  <c r="AH36" i="1" a="1"/>
  <c r="AH36" i="1" s="1"/>
  <c r="AY36" i="1" s="1"/>
  <c r="AH47" i="1" a="1"/>
  <c r="AH47" i="1" s="1"/>
  <c r="AY47" i="1" s="1"/>
  <c r="AH41" i="1" a="1"/>
  <c r="AH41" i="1" s="1"/>
  <c r="AY41" i="1" s="1"/>
  <c r="AH37" i="1" a="1"/>
  <c r="AH37" i="1" s="1"/>
  <c r="AY37" i="1" s="1"/>
  <c r="AH46" i="1" a="1"/>
  <c r="AH46" i="1" s="1"/>
  <c r="AY46" i="1" s="1"/>
  <c r="AH38" i="1" a="1"/>
  <c r="AH38" i="1" s="1"/>
  <c r="AY38" i="1" s="1"/>
  <c r="AH39" i="1" a="1"/>
  <c r="AH39" i="1" s="1"/>
  <c r="AY39" i="1" s="1"/>
  <c r="AH34" i="1" a="1"/>
  <c r="AH34" i="1" s="1"/>
  <c r="AY34" i="1" s="1"/>
  <c r="AH33" i="1" a="1"/>
  <c r="AH33" i="1" s="1"/>
  <c r="AY33" i="1" s="1"/>
  <c r="AH29" i="1" a="1"/>
  <c r="AH29" i="1" s="1"/>
  <c r="AY29" i="1" s="1"/>
  <c r="AH28" i="1" a="1"/>
  <c r="AH28" i="1" s="1"/>
  <c r="AY28" i="1" s="1"/>
  <c r="AH27" i="1" a="1"/>
  <c r="AH27" i="1" s="1"/>
  <c r="AY27" i="1" s="1"/>
  <c r="AH35" i="1" a="1"/>
  <c r="AH35" i="1" s="1"/>
  <c r="AY35" i="1" s="1"/>
  <c r="AH25" i="1" a="1"/>
  <c r="AH25" i="1" s="1"/>
  <c r="AY25" i="1" s="1"/>
  <c r="AH22" i="1" a="1"/>
  <c r="AH22" i="1" s="1"/>
  <c r="AY22" i="1" s="1"/>
  <c r="AH32" i="1" a="1"/>
  <c r="AH32" i="1" s="1"/>
  <c r="AY32" i="1" s="1"/>
  <c r="AH23" i="1" a="1"/>
  <c r="AH23" i="1" s="1"/>
  <c r="AY23" i="1" s="1"/>
  <c r="AH26" i="1" a="1"/>
  <c r="AH26" i="1" s="1"/>
  <c r="AY26" i="1" s="1"/>
  <c r="AH17" i="1" a="1"/>
  <c r="AH17" i="1" s="1"/>
  <c r="AY17" i="1" s="1"/>
  <c r="AH31" i="1" a="1"/>
  <c r="AH31" i="1" s="1"/>
  <c r="AY31" i="1" s="1"/>
  <c r="AH24" i="1" a="1"/>
  <c r="AH24" i="1" s="1"/>
  <c r="AY24" i="1" s="1"/>
  <c r="AH18" i="1" a="1"/>
  <c r="AH18" i="1" s="1"/>
  <c r="AY18" i="1" s="1"/>
  <c r="AH19" i="1" a="1"/>
  <c r="AH19" i="1" s="1"/>
  <c r="AY19" i="1" s="1"/>
  <c r="AH30" i="1" a="1"/>
  <c r="AH30" i="1" s="1"/>
  <c r="AY30" i="1" s="1"/>
  <c r="AH20" i="1" a="1"/>
  <c r="AH20" i="1" s="1"/>
  <c r="AY20" i="1" s="1"/>
  <c r="AH11" i="1" a="1"/>
  <c r="AH11" i="1" s="1"/>
  <c r="AY11" i="1" s="1"/>
  <c r="AH10" i="1" a="1"/>
  <c r="AH10" i="1" s="1"/>
  <c r="AY10" i="1" s="1"/>
  <c r="AH16" i="1" a="1"/>
  <c r="AH16" i="1" s="1"/>
  <c r="AY16" i="1" s="1"/>
  <c r="AH9" i="1" a="1"/>
  <c r="AH9" i="1" s="1"/>
  <c r="AY9" i="1" s="1"/>
  <c r="AH8" i="1" a="1"/>
  <c r="AH8" i="1" s="1"/>
  <c r="AY8" i="1" s="1"/>
  <c r="AH21" i="1" a="1"/>
  <c r="AH21" i="1" s="1"/>
  <c r="AY21" i="1" s="1"/>
  <c r="AH14" i="1" a="1"/>
  <c r="AH14" i="1" s="1"/>
  <c r="AY14" i="1" s="1"/>
  <c r="AH15" i="1" a="1"/>
  <c r="AH15" i="1" s="1"/>
  <c r="AY15" i="1" s="1"/>
  <c r="AH13" i="1" a="1"/>
  <c r="AH13" i="1" s="1"/>
  <c r="AY13" i="1" s="1"/>
  <c r="AH6" i="1" a="1"/>
  <c r="AH6" i="1" s="1"/>
  <c r="AY6" i="1" s="1"/>
  <c r="AH3" i="1" a="1"/>
  <c r="AH3" i="1" s="1"/>
  <c r="AY3" i="1" s="1"/>
  <c r="CM1" i="1"/>
  <c r="AH5" i="1" a="1"/>
  <c r="AH5" i="1" s="1"/>
  <c r="AY5" i="1" s="1"/>
  <c r="AH4" i="1" a="1"/>
  <c r="AH4" i="1" s="1"/>
  <c r="AY4" i="1" s="1"/>
  <c r="AH7" i="1" a="1"/>
  <c r="AH7" i="1" s="1"/>
  <c r="AY7" i="1" s="1"/>
  <c r="AH12" i="1" a="1"/>
  <c r="AH12" i="1" s="1"/>
  <c r="AY12" i="1" s="1"/>
  <c r="BV1" i="1"/>
  <c r="AH2" i="1" a="1"/>
  <c r="AH2" i="1" s="1"/>
  <c r="AY2" i="1" s="1"/>
  <c r="AY1" i="1"/>
  <c r="Z58" i="1" a="1"/>
  <c r="Z58" i="1" s="1"/>
  <c r="AQ58" i="1" s="1"/>
  <c r="Z50" i="1" a="1"/>
  <c r="Z50" i="1" s="1"/>
  <c r="AQ50" i="1" s="1"/>
  <c r="Z49" i="1" a="1"/>
  <c r="Z49" i="1" s="1"/>
  <c r="AQ49" i="1" s="1"/>
  <c r="Z48" i="1" a="1"/>
  <c r="Z48" i="1" s="1"/>
  <c r="AQ48" i="1" s="1"/>
  <c r="Z51" i="1" a="1"/>
  <c r="Z51" i="1" s="1"/>
  <c r="AQ51" i="1" s="1"/>
  <c r="Z52" i="1" a="1"/>
  <c r="Z52" i="1" s="1"/>
  <c r="AQ52" i="1" s="1"/>
  <c r="Z57" i="1" a="1"/>
  <c r="Z57" i="1" s="1"/>
  <c r="AQ57" i="1" s="1"/>
  <c r="Z56" i="1" a="1"/>
  <c r="Z56" i="1" s="1"/>
  <c r="AQ56" i="1" s="1"/>
  <c r="Z54" i="1" a="1"/>
  <c r="Z54" i="1" s="1"/>
  <c r="AQ54" i="1" s="1"/>
  <c r="Z53" i="1" a="1"/>
  <c r="Z53" i="1" s="1"/>
  <c r="AQ53" i="1" s="1"/>
  <c r="Z43" i="1" a="1"/>
  <c r="Z43" i="1" s="1"/>
  <c r="AQ43" i="1" s="1"/>
  <c r="Z55" i="1" a="1"/>
  <c r="Z55" i="1" s="1"/>
  <c r="AQ55" i="1" s="1"/>
  <c r="Z44" i="1" a="1"/>
  <c r="Z44" i="1" s="1"/>
  <c r="AQ44" i="1" s="1"/>
  <c r="Z45" i="1" a="1"/>
  <c r="Z45" i="1" s="1"/>
  <c r="AQ45" i="1" s="1"/>
  <c r="Z47" i="1" a="1"/>
  <c r="Z47" i="1" s="1"/>
  <c r="AQ47" i="1" s="1"/>
  <c r="Z42" i="1" a="1"/>
  <c r="Z42" i="1" s="1"/>
  <c r="AQ42" i="1" s="1"/>
  <c r="Z40" i="1" a="1"/>
  <c r="Z40" i="1" s="1"/>
  <c r="AQ40" i="1" s="1"/>
  <c r="Z36" i="1" a="1"/>
  <c r="Z36" i="1" s="1"/>
  <c r="AQ36" i="1" s="1"/>
  <c r="Z46" i="1" a="1"/>
  <c r="Z46" i="1" s="1"/>
  <c r="AQ46" i="1" s="1"/>
  <c r="Z37" i="1" a="1"/>
  <c r="Z37" i="1" s="1"/>
  <c r="AQ37" i="1" s="1"/>
  <c r="Z38" i="1" a="1"/>
  <c r="Z38" i="1" s="1"/>
  <c r="AQ38" i="1" s="1"/>
  <c r="Z41" i="1" a="1"/>
  <c r="Z41" i="1" s="1"/>
  <c r="AQ41" i="1" s="1"/>
  <c r="Z39" i="1" a="1"/>
  <c r="Z39" i="1" s="1"/>
  <c r="AQ39" i="1" s="1"/>
  <c r="Z33" i="1" a="1"/>
  <c r="Z33" i="1" s="1"/>
  <c r="AQ33" i="1" s="1"/>
  <c r="Z29" i="1" a="1"/>
  <c r="Z29" i="1" s="1"/>
  <c r="AQ29" i="1" s="1"/>
  <c r="Z28" i="1" a="1"/>
  <c r="Z28" i="1" s="1"/>
  <c r="AQ28" i="1" s="1"/>
  <c r="Z27" i="1" a="1"/>
  <c r="Z27" i="1" s="1"/>
  <c r="AQ27" i="1" s="1"/>
  <c r="Z35" i="1" a="1"/>
  <c r="Z35" i="1" s="1"/>
  <c r="AQ35" i="1" s="1"/>
  <c r="Z34" i="1" a="1"/>
  <c r="Z34" i="1" s="1"/>
  <c r="AQ34" i="1" s="1"/>
  <c r="Z31" i="1" a="1"/>
  <c r="Z31" i="1" s="1"/>
  <c r="AQ31" i="1" s="1"/>
  <c r="Z22" i="1" a="1"/>
  <c r="Z22" i="1" s="1"/>
  <c r="AQ22" i="1" s="1"/>
  <c r="Z30" i="1" a="1"/>
  <c r="Z30" i="1" s="1"/>
  <c r="AQ30" i="1" s="1"/>
  <c r="Z23" i="1" a="1"/>
  <c r="Z23" i="1" s="1"/>
  <c r="AQ23" i="1" s="1"/>
  <c r="Z26" i="1" a="1"/>
  <c r="Z26" i="1" s="1"/>
  <c r="AQ26" i="1" s="1"/>
  <c r="Z17" i="1" a="1"/>
  <c r="Z17" i="1" s="1"/>
  <c r="AQ17" i="1" s="1"/>
  <c r="Z24" i="1" a="1"/>
  <c r="Z24" i="1" s="1"/>
  <c r="AQ24" i="1" s="1"/>
  <c r="Z18" i="1" a="1"/>
  <c r="Z18" i="1" s="1"/>
  <c r="AQ18" i="1" s="1"/>
  <c r="Z32" i="1" a="1"/>
  <c r="Z32" i="1" s="1"/>
  <c r="AQ32" i="1" s="1"/>
  <c r="Z19" i="1" a="1"/>
  <c r="Z19" i="1" s="1"/>
  <c r="AQ19" i="1" s="1"/>
  <c r="Z25" i="1" a="1"/>
  <c r="Z25" i="1" s="1"/>
  <c r="AQ25" i="1" s="1"/>
  <c r="Z20" i="1" a="1"/>
  <c r="Z20" i="1" s="1"/>
  <c r="AQ20" i="1" s="1"/>
  <c r="Z16" i="1" a="1"/>
  <c r="Z16" i="1" s="1"/>
  <c r="AQ16" i="1" s="1"/>
  <c r="Z11" i="1" a="1"/>
  <c r="Z11" i="1" s="1"/>
  <c r="AQ11" i="1" s="1"/>
  <c r="Z10" i="1" a="1"/>
  <c r="Z10" i="1" s="1"/>
  <c r="AQ10" i="1" s="1"/>
  <c r="Z9" i="1" a="1"/>
  <c r="Z9" i="1" s="1"/>
  <c r="AQ9" i="1" s="1"/>
  <c r="Z8" i="1" a="1"/>
  <c r="Z8" i="1" s="1"/>
  <c r="AQ8" i="1" s="1"/>
  <c r="Z14" i="1" a="1"/>
  <c r="Z14" i="1" s="1"/>
  <c r="AQ14" i="1" s="1"/>
  <c r="Z21" i="1" a="1"/>
  <c r="Z21" i="1" s="1"/>
  <c r="AQ21" i="1" s="1"/>
  <c r="Z15" i="1" a="1"/>
  <c r="Z15" i="1" s="1"/>
  <c r="AQ15" i="1" s="1"/>
  <c r="Z13" i="1" a="1"/>
  <c r="Z13" i="1" s="1"/>
  <c r="AQ13" i="1" s="1"/>
  <c r="Z6" i="1" a="1"/>
  <c r="Z6" i="1" s="1"/>
  <c r="AQ6" i="1" s="1"/>
  <c r="Z3" i="1" a="1"/>
  <c r="Z3" i="1" s="1"/>
  <c r="AQ3" i="1" s="1"/>
  <c r="CE1" i="1"/>
  <c r="Z5" i="1" a="1"/>
  <c r="Z5" i="1" s="1"/>
  <c r="AQ5" i="1" s="1"/>
  <c r="BN1" i="1"/>
  <c r="Z4" i="1" a="1"/>
  <c r="Z4" i="1" s="1"/>
  <c r="AQ4" i="1" s="1"/>
  <c r="Z7" i="1" a="1"/>
  <c r="Z7" i="1" s="1"/>
  <c r="AQ7" i="1" s="1"/>
  <c r="Z12" i="1" a="1"/>
  <c r="Z12" i="1" s="1"/>
  <c r="AQ12" i="1" s="1"/>
  <c r="Z2" i="1" a="1"/>
  <c r="Z2" i="1" s="1"/>
  <c r="AQ2" i="1" s="1"/>
  <c r="AQ1" i="1"/>
  <c r="AB56" i="1" a="1"/>
  <c r="AB56" i="1" s="1"/>
  <c r="AS56" i="1" s="1"/>
  <c r="AB53" i="1" a="1"/>
  <c r="AB53" i="1" s="1"/>
  <c r="AS53" i="1" s="1"/>
  <c r="AB58" i="1" a="1"/>
  <c r="AB58" i="1" s="1"/>
  <c r="AS58" i="1" s="1"/>
  <c r="AB57" i="1" a="1"/>
  <c r="AB57" i="1" s="1"/>
  <c r="AS57" i="1" s="1"/>
  <c r="AB55" i="1" a="1"/>
  <c r="AB55" i="1" s="1"/>
  <c r="AS55" i="1" s="1"/>
  <c r="AB54" i="1" a="1"/>
  <c r="AB54" i="1" s="1"/>
  <c r="AS54" i="1" s="1"/>
  <c r="AB52" i="1" a="1"/>
  <c r="AB52" i="1" s="1"/>
  <c r="AS52" i="1" s="1"/>
  <c r="AB51" i="1" a="1"/>
  <c r="AB51" i="1" s="1"/>
  <c r="AS51" i="1" s="1"/>
  <c r="AB50" i="1" a="1"/>
  <c r="AB50" i="1" s="1"/>
  <c r="AS50" i="1" s="1"/>
  <c r="AB45" i="1" a="1"/>
  <c r="AB45" i="1" s="1"/>
  <c r="AS45" i="1" s="1"/>
  <c r="AB41" i="1" a="1"/>
  <c r="AB41" i="1" s="1"/>
  <c r="AS41" i="1" s="1"/>
  <c r="AB49" i="1" a="1"/>
  <c r="AB49" i="1" s="1"/>
  <c r="AS49" i="1" s="1"/>
  <c r="AB47" i="1" a="1"/>
  <c r="AB47" i="1" s="1"/>
  <c r="AS47" i="1" s="1"/>
  <c r="AB46" i="1" a="1"/>
  <c r="AB46" i="1" s="1"/>
  <c r="AS46" i="1" s="1"/>
  <c r="AB42" i="1" a="1"/>
  <c r="AB42" i="1" s="1"/>
  <c r="AS42" i="1" s="1"/>
  <c r="AB43" i="1" a="1"/>
  <c r="AB43" i="1" s="1"/>
  <c r="AS43" i="1" s="1"/>
  <c r="AB48" i="1" a="1"/>
  <c r="AB48" i="1" s="1"/>
  <c r="AS48" i="1" s="1"/>
  <c r="AB38" i="1" a="1"/>
  <c r="AB38" i="1" s="1"/>
  <c r="AS38" i="1" s="1"/>
  <c r="AB44" i="1" a="1"/>
  <c r="AB44" i="1" s="1"/>
  <c r="AS44" i="1" s="1"/>
  <c r="AB39" i="1" a="1"/>
  <c r="AB39" i="1" s="1"/>
  <c r="AS39" i="1" s="1"/>
  <c r="AB35" i="1" a="1"/>
  <c r="AB35" i="1" s="1"/>
  <c r="AS35" i="1" s="1"/>
  <c r="AB40" i="1" a="1"/>
  <c r="AB40" i="1" s="1"/>
  <c r="AS40" i="1" s="1"/>
  <c r="AB36" i="1" a="1"/>
  <c r="AB36" i="1" s="1"/>
  <c r="AS36" i="1" s="1"/>
  <c r="AB37" i="1" a="1"/>
  <c r="AB37" i="1" s="1"/>
  <c r="AS37" i="1" s="1"/>
  <c r="AB34" i="1" a="1"/>
  <c r="AB34" i="1" s="1"/>
  <c r="AS34" i="1" s="1"/>
  <c r="AB32" i="1" a="1"/>
  <c r="AB32" i="1" s="1"/>
  <c r="AS32" i="1" s="1"/>
  <c r="AB31" i="1" a="1"/>
  <c r="AB31" i="1" s="1"/>
  <c r="AS31" i="1" s="1"/>
  <c r="AB30" i="1" a="1"/>
  <c r="AB30" i="1" s="1"/>
  <c r="AS30" i="1" s="1"/>
  <c r="AB28" i="1" a="1"/>
  <c r="AB28" i="1" s="1"/>
  <c r="AS28" i="1" s="1"/>
  <c r="AB27" i="1" a="1"/>
  <c r="AB27" i="1" s="1"/>
  <c r="AS27" i="1" s="1"/>
  <c r="AB26" i="1" a="1"/>
  <c r="AB26" i="1" s="1"/>
  <c r="AS26" i="1" s="1"/>
  <c r="AB24" i="1" a="1"/>
  <c r="AB24" i="1" s="1"/>
  <c r="AS24" i="1" s="1"/>
  <c r="AB18" i="1" a="1"/>
  <c r="AB18" i="1" s="1"/>
  <c r="AS18" i="1" s="1"/>
  <c r="AB19" i="1" a="1"/>
  <c r="AB19" i="1" s="1"/>
  <c r="AS19" i="1" s="1"/>
  <c r="AB33" i="1" a="1"/>
  <c r="AB33" i="1" s="1"/>
  <c r="AS33" i="1" s="1"/>
  <c r="AB20" i="1" a="1"/>
  <c r="AB20" i="1" s="1"/>
  <c r="AS20" i="1" s="1"/>
  <c r="AB29" i="1" a="1"/>
  <c r="AB29" i="1" s="1"/>
  <c r="AS29" i="1" s="1"/>
  <c r="AB25" i="1" a="1"/>
  <c r="AB25" i="1" s="1"/>
  <c r="AS25" i="1" s="1"/>
  <c r="AB21" i="1" a="1"/>
  <c r="AB21" i="1" s="1"/>
  <c r="AS21" i="1" s="1"/>
  <c r="AB22" i="1" a="1"/>
  <c r="AB22" i="1" s="1"/>
  <c r="AS22" i="1" s="1"/>
  <c r="AB23" i="1" a="1"/>
  <c r="AB23" i="1" s="1"/>
  <c r="AS23" i="1" s="1"/>
  <c r="AB14" i="1" a="1"/>
  <c r="AB14" i="1" s="1"/>
  <c r="AS14" i="1" s="1"/>
  <c r="AB15" i="1" a="1"/>
  <c r="AB15" i="1" s="1"/>
  <c r="AS15" i="1" s="1"/>
  <c r="AB13" i="1" a="1"/>
  <c r="AB13" i="1" s="1"/>
  <c r="AS13" i="1" s="1"/>
  <c r="AB12" i="1" a="1"/>
  <c r="AB12" i="1" s="1"/>
  <c r="AS12" i="1" s="1"/>
  <c r="AB16" i="1" a="1"/>
  <c r="AB16" i="1" s="1"/>
  <c r="AS16" i="1" s="1"/>
  <c r="AB11" i="1" a="1"/>
  <c r="AB11" i="1" s="1"/>
  <c r="AS11" i="1" s="1"/>
  <c r="AB17" i="1" a="1"/>
  <c r="AB17" i="1" s="1"/>
  <c r="AS17" i="1" s="1"/>
  <c r="AB9" i="1" a="1"/>
  <c r="AB9" i="1" s="1"/>
  <c r="AS9" i="1" s="1"/>
  <c r="AB3" i="1" a="1"/>
  <c r="AB3" i="1" s="1"/>
  <c r="AS3" i="1" s="1"/>
  <c r="AS1" i="1"/>
  <c r="BP1" i="1"/>
  <c r="AB2" i="1" a="1"/>
  <c r="AB2" i="1" s="1"/>
  <c r="AS2" i="1" s="1"/>
  <c r="AB7" i="1" a="1"/>
  <c r="AB7" i="1" s="1"/>
  <c r="AS7" i="1" s="1"/>
  <c r="AB6" i="1" a="1"/>
  <c r="AB6" i="1" s="1"/>
  <c r="AS6" i="1" s="1"/>
  <c r="AB10" i="1" a="1"/>
  <c r="AB10" i="1" s="1"/>
  <c r="AS10" i="1" s="1"/>
  <c r="AB5" i="1" a="1"/>
  <c r="AB5" i="1" s="1"/>
  <c r="AS5" i="1" s="1"/>
  <c r="AB4" i="1" a="1"/>
  <c r="AB4" i="1" s="1"/>
  <c r="AS4" i="1" s="1"/>
  <c r="CG1" i="1"/>
  <c r="AB8" i="1" a="1"/>
  <c r="AB8" i="1" s="1"/>
  <c r="AS8" i="1" s="1"/>
  <c r="J52" i="2"/>
  <c r="I52" i="2"/>
  <c r="I20" i="2"/>
  <c r="J20" i="2"/>
  <c r="I12" i="2"/>
  <c r="J12" i="2"/>
  <c r="AD58" i="1" a="1"/>
  <c r="AD58" i="1" s="1"/>
  <c r="AU58" i="1" s="1"/>
  <c r="AD50" i="1" a="1"/>
  <c r="AD50" i="1" s="1"/>
  <c r="AU50" i="1" s="1"/>
  <c r="AD49" i="1" a="1"/>
  <c r="AD49" i="1" s="1"/>
  <c r="AU49" i="1" s="1"/>
  <c r="AD48" i="1" a="1"/>
  <c r="AD48" i="1" s="1"/>
  <c r="AU48" i="1" s="1"/>
  <c r="AD51" i="1" a="1"/>
  <c r="AD51" i="1" s="1"/>
  <c r="AU51" i="1" s="1"/>
  <c r="AD52" i="1" a="1"/>
  <c r="AD52" i="1" s="1"/>
  <c r="AU52" i="1" s="1"/>
  <c r="AD57" i="1" a="1"/>
  <c r="AD57" i="1" s="1"/>
  <c r="AU57" i="1" s="1"/>
  <c r="AD56" i="1" a="1"/>
  <c r="AD56" i="1" s="1"/>
  <c r="AU56" i="1" s="1"/>
  <c r="AD55" i="1" a="1"/>
  <c r="AD55" i="1" s="1"/>
  <c r="AU55" i="1" s="1"/>
  <c r="AD54" i="1" a="1"/>
  <c r="AD54" i="1" s="1"/>
  <c r="AU54" i="1" s="1"/>
  <c r="AD43" i="1" a="1"/>
  <c r="AD43" i="1" s="1"/>
  <c r="AU43" i="1" s="1"/>
  <c r="AD44" i="1" a="1"/>
  <c r="AD44" i="1" s="1"/>
  <c r="AU44" i="1" s="1"/>
  <c r="AD45" i="1" a="1"/>
  <c r="AD45" i="1" s="1"/>
  <c r="AU45" i="1" s="1"/>
  <c r="AD53" i="1" a="1"/>
  <c r="AD53" i="1" s="1"/>
  <c r="AU53" i="1" s="1"/>
  <c r="AD41" i="1" a="1"/>
  <c r="AD41" i="1" s="1"/>
  <c r="AU41" i="1" s="1"/>
  <c r="AD40" i="1" a="1"/>
  <c r="AD40" i="1" s="1"/>
  <c r="AU40" i="1" s="1"/>
  <c r="AD36" i="1" a="1"/>
  <c r="AD36" i="1" s="1"/>
  <c r="AU36" i="1" s="1"/>
  <c r="AD37" i="1" a="1"/>
  <c r="AD37" i="1" s="1"/>
  <c r="AU37" i="1" s="1"/>
  <c r="AD42" i="1" a="1"/>
  <c r="AD42" i="1" s="1"/>
  <c r="AU42" i="1" s="1"/>
  <c r="AD47" i="1" a="1"/>
  <c r="AD47" i="1" s="1"/>
  <c r="AU47" i="1" s="1"/>
  <c r="AD38" i="1" a="1"/>
  <c r="AD38" i="1" s="1"/>
  <c r="AU38" i="1" s="1"/>
  <c r="AD46" i="1" a="1"/>
  <c r="AD46" i="1" s="1"/>
  <c r="AU46" i="1" s="1"/>
  <c r="AD39" i="1" a="1"/>
  <c r="AD39" i="1" s="1"/>
  <c r="AU39" i="1" s="1"/>
  <c r="AD35" i="1" a="1"/>
  <c r="AD35" i="1" s="1"/>
  <c r="AU35" i="1" s="1"/>
  <c r="AD33" i="1" a="1"/>
  <c r="AD33" i="1" s="1"/>
  <c r="AU33" i="1" s="1"/>
  <c r="AD29" i="1" a="1"/>
  <c r="AD29" i="1" s="1"/>
  <c r="AU29" i="1" s="1"/>
  <c r="AD28" i="1" a="1"/>
  <c r="AD28" i="1" s="1"/>
  <c r="AU28" i="1" s="1"/>
  <c r="AD27" i="1" a="1"/>
  <c r="AD27" i="1" s="1"/>
  <c r="AU27" i="1" s="1"/>
  <c r="AD34" i="1" a="1"/>
  <c r="AD34" i="1" s="1"/>
  <c r="AU34" i="1" s="1"/>
  <c r="AD30" i="1" a="1"/>
  <c r="AD30" i="1" s="1"/>
  <c r="AU30" i="1" s="1"/>
  <c r="AD25" i="1" a="1"/>
  <c r="AD25" i="1" s="1"/>
  <c r="AU25" i="1" s="1"/>
  <c r="AD22" i="1" a="1"/>
  <c r="AD22" i="1" s="1"/>
  <c r="AU22" i="1" s="1"/>
  <c r="AD23" i="1" a="1"/>
  <c r="AD23" i="1" s="1"/>
  <c r="AU23" i="1" s="1"/>
  <c r="AD32" i="1" a="1"/>
  <c r="AD32" i="1" s="1"/>
  <c r="AU32" i="1" s="1"/>
  <c r="AD17" i="1" a="1"/>
  <c r="AD17" i="1" s="1"/>
  <c r="AU17" i="1" s="1"/>
  <c r="AD24" i="1" a="1"/>
  <c r="AD24" i="1" s="1"/>
  <c r="AU24" i="1" s="1"/>
  <c r="AD18" i="1" a="1"/>
  <c r="AD18" i="1" s="1"/>
  <c r="AU18" i="1" s="1"/>
  <c r="AD19" i="1" a="1"/>
  <c r="AD19" i="1" s="1"/>
  <c r="AU19" i="1" s="1"/>
  <c r="AD31" i="1" a="1"/>
  <c r="AD31" i="1" s="1"/>
  <c r="AU31" i="1" s="1"/>
  <c r="AD20" i="1" a="1"/>
  <c r="AD20" i="1" s="1"/>
  <c r="AU20" i="1" s="1"/>
  <c r="AD16" i="1" a="1"/>
  <c r="AD16" i="1" s="1"/>
  <c r="AU16" i="1" s="1"/>
  <c r="AD11" i="1" a="1"/>
  <c r="AD11" i="1" s="1"/>
  <c r="AU11" i="1" s="1"/>
  <c r="AD26" i="1" a="1"/>
  <c r="AD26" i="1" s="1"/>
  <c r="AU26" i="1" s="1"/>
  <c r="AD10" i="1" a="1"/>
  <c r="AD10" i="1" s="1"/>
  <c r="AU10" i="1" s="1"/>
  <c r="AD9" i="1" a="1"/>
  <c r="AD9" i="1" s="1"/>
  <c r="AU9" i="1" s="1"/>
  <c r="AD8" i="1" a="1"/>
  <c r="AD8" i="1" s="1"/>
  <c r="AU8" i="1" s="1"/>
  <c r="AD21" i="1" a="1"/>
  <c r="AD21" i="1" s="1"/>
  <c r="AU21" i="1" s="1"/>
  <c r="AD14" i="1" a="1"/>
  <c r="AD14" i="1" s="1"/>
  <c r="AU14" i="1" s="1"/>
  <c r="AD15" i="1" a="1"/>
  <c r="AD15" i="1" s="1"/>
  <c r="AU15" i="1" s="1"/>
  <c r="AD13" i="1" a="1"/>
  <c r="AD13" i="1" s="1"/>
  <c r="AU13" i="1" s="1"/>
  <c r="AD6" i="1" a="1"/>
  <c r="AD6" i="1" s="1"/>
  <c r="AU6" i="1" s="1"/>
  <c r="AD3" i="1" a="1"/>
  <c r="AD3" i="1" s="1"/>
  <c r="AU3" i="1" s="1"/>
  <c r="AD4" i="1" a="1"/>
  <c r="AD4" i="1" s="1"/>
  <c r="AU4" i="1" s="1"/>
  <c r="AU1" i="1"/>
  <c r="BR1" i="1"/>
  <c r="AD5" i="1" a="1"/>
  <c r="AD5" i="1" s="1"/>
  <c r="AU5" i="1" s="1"/>
  <c r="AD7" i="1" a="1"/>
  <c r="AD7" i="1" s="1"/>
  <c r="AU7" i="1" s="1"/>
  <c r="CI1" i="1"/>
  <c r="AD12" i="1" a="1"/>
  <c r="AD12" i="1" s="1"/>
  <c r="AU12" i="1" s="1"/>
  <c r="AD2" i="1" a="1"/>
  <c r="AD2" i="1" s="1"/>
  <c r="AU2" i="1" s="1"/>
  <c r="CK59" i="1" a="1"/>
  <c r="CK59" i="1" s="1"/>
  <c r="CK55" i="1"/>
  <c r="CK54" i="1"/>
  <c r="CK52" i="1"/>
  <c r="CK53" i="1"/>
  <c r="CK51" i="1"/>
  <c r="CK49" i="1"/>
  <c r="CK44" i="1"/>
  <c r="CK40" i="1"/>
  <c r="CK58" i="1"/>
  <c r="CK57" i="1"/>
  <c r="CK56" i="1"/>
  <c r="CK47" i="1"/>
  <c r="CK46" i="1"/>
  <c r="CK45" i="1"/>
  <c r="CK41" i="1"/>
  <c r="CK48" i="1"/>
  <c r="CK42" i="1"/>
  <c r="CK43" i="1"/>
  <c r="CK37" i="1"/>
  <c r="CK38" i="1"/>
  <c r="CK34" i="1"/>
  <c r="CK39" i="1"/>
  <c r="CK35" i="1"/>
  <c r="CK50" i="1"/>
  <c r="CK36" i="1"/>
  <c r="CK31" i="1"/>
  <c r="CK30" i="1"/>
  <c r="CK29" i="1"/>
  <c r="CK27" i="1"/>
  <c r="CK26" i="1"/>
  <c r="CK33" i="1"/>
  <c r="CK32" i="1"/>
  <c r="CK23" i="1"/>
  <c r="CK17" i="1"/>
  <c r="CK28" i="1"/>
  <c r="CK18" i="1"/>
  <c r="CK25" i="1"/>
  <c r="CK24" i="1"/>
  <c r="CK19" i="1"/>
  <c r="CK20" i="1"/>
  <c r="CK21" i="1"/>
  <c r="CK22" i="1"/>
  <c r="CK16" i="1"/>
  <c r="CK13" i="1"/>
  <c r="CK14" i="1"/>
  <c r="CK12" i="1"/>
  <c r="CK11" i="1"/>
  <c r="CK15" i="1"/>
  <c r="CK10" i="1"/>
  <c r="CK8" i="1"/>
  <c r="CK9" i="1"/>
  <c r="CK6" i="1"/>
  <c r="CK2" i="1"/>
  <c r="CK5" i="1"/>
  <c r="CK4" i="1"/>
  <c r="CK7" i="1"/>
  <c r="CK3" i="1"/>
  <c r="AC57" i="1" a="1"/>
  <c r="AC57" i="1" s="1"/>
  <c r="AT57" i="1" s="1"/>
  <c r="AC58" i="1" a="1"/>
  <c r="AC58" i="1" s="1"/>
  <c r="AT58" i="1" s="1"/>
  <c r="AC55" i="1" a="1"/>
  <c r="AC55" i="1" s="1"/>
  <c r="AT55" i="1" s="1"/>
  <c r="AC54" i="1" a="1"/>
  <c r="AC54" i="1" s="1"/>
  <c r="AT54" i="1" s="1"/>
  <c r="AC50" i="1" a="1"/>
  <c r="AC50" i="1" s="1"/>
  <c r="AT50" i="1" s="1"/>
  <c r="AC49" i="1" a="1"/>
  <c r="AC49" i="1" s="1"/>
  <c r="AT49" i="1" s="1"/>
  <c r="AC48" i="1" a="1"/>
  <c r="AC48" i="1" s="1"/>
  <c r="AT48" i="1" s="1"/>
  <c r="AC51" i="1" a="1"/>
  <c r="AC51" i="1" s="1"/>
  <c r="AT51" i="1" s="1"/>
  <c r="AC53" i="1" a="1"/>
  <c r="AC53" i="1" s="1"/>
  <c r="AT53" i="1" s="1"/>
  <c r="AC47" i="1" a="1"/>
  <c r="AC47" i="1" s="1"/>
  <c r="AT47" i="1" s="1"/>
  <c r="AC46" i="1" a="1"/>
  <c r="AC46" i="1" s="1"/>
  <c r="AT46" i="1" s="1"/>
  <c r="AC42" i="1" a="1"/>
  <c r="AC42" i="1" s="1"/>
  <c r="AT42" i="1" s="1"/>
  <c r="AC43" i="1" a="1"/>
  <c r="AC43" i="1" s="1"/>
  <c r="AT43" i="1" s="1"/>
  <c r="AC44" i="1" a="1"/>
  <c r="AC44" i="1" s="1"/>
  <c r="AT44" i="1" s="1"/>
  <c r="AC56" i="1" a="1"/>
  <c r="AC56" i="1" s="1"/>
  <c r="AT56" i="1" s="1"/>
  <c r="AC45" i="1" a="1"/>
  <c r="AC45" i="1" s="1"/>
  <c r="AT45" i="1" s="1"/>
  <c r="AC39" i="1" a="1"/>
  <c r="AC39" i="1" s="1"/>
  <c r="AT39" i="1" s="1"/>
  <c r="AC35" i="1" a="1"/>
  <c r="AC35" i="1" s="1"/>
  <c r="AT35" i="1" s="1"/>
  <c r="AC52" i="1" a="1"/>
  <c r="AC52" i="1" s="1"/>
  <c r="AT52" i="1" s="1"/>
  <c r="AC41" i="1" a="1"/>
  <c r="AC41" i="1" s="1"/>
  <c r="AT41" i="1" s="1"/>
  <c r="AC40" i="1" a="1"/>
  <c r="AC40" i="1" s="1"/>
  <c r="AT40" i="1" s="1"/>
  <c r="AC36" i="1" a="1"/>
  <c r="AC36" i="1" s="1"/>
  <c r="AT36" i="1" s="1"/>
  <c r="AC37" i="1" a="1"/>
  <c r="AC37" i="1" s="1"/>
  <c r="AT37" i="1" s="1"/>
  <c r="AC38" i="1" a="1"/>
  <c r="AC38" i="1" s="1"/>
  <c r="AT38" i="1" s="1"/>
  <c r="AC34" i="1" a="1"/>
  <c r="AC34" i="1" s="1"/>
  <c r="AT34" i="1" s="1"/>
  <c r="AC32" i="1" a="1"/>
  <c r="AC32" i="1" s="1"/>
  <c r="AT32" i="1" s="1"/>
  <c r="AC31" i="1" a="1"/>
  <c r="AC31" i="1" s="1"/>
  <c r="AT31" i="1" s="1"/>
  <c r="AC30" i="1" a="1"/>
  <c r="AC30" i="1" s="1"/>
  <c r="AT30" i="1" s="1"/>
  <c r="AC33" i="1" a="1"/>
  <c r="AC33" i="1" s="1"/>
  <c r="AT33" i="1" s="1"/>
  <c r="AC29" i="1" a="1"/>
  <c r="AC29" i="1" s="1"/>
  <c r="AT29" i="1" s="1"/>
  <c r="AC26" i="1" a="1"/>
  <c r="AC26" i="1" s="1"/>
  <c r="AT26" i="1" s="1"/>
  <c r="AC28" i="1" a="1"/>
  <c r="AC28" i="1" s="1"/>
  <c r="AT28" i="1" s="1"/>
  <c r="AC27" i="1" a="1"/>
  <c r="AC27" i="1" s="1"/>
  <c r="AT27" i="1" s="1"/>
  <c r="AC20" i="1" a="1"/>
  <c r="AC20" i="1" s="1"/>
  <c r="AT20" i="1" s="1"/>
  <c r="AC21" i="1" a="1"/>
  <c r="AC21" i="1" s="1"/>
  <c r="AT21" i="1" s="1"/>
  <c r="AC25" i="1" a="1"/>
  <c r="AC25" i="1" s="1"/>
  <c r="AT25" i="1" s="1"/>
  <c r="AC22" i="1" a="1"/>
  <c r="AC22" i="1" s="1"/>
  <c r="AT22" i="1" s="1"/>
  <c r="AC23" i="1" a="1"/>
  <c r="AC23" i="1" s="1"/>
  <c r="AT23" i="1" s="1"/>
  <c r="AC24" i="1" a="1"/>
  <c r="AC24" i="1" s="1"/>
  <c r="AT24" i="1" s="1"/>
  <c r="AC18" i="1" a="1"/>
  <c r="AC18" i="1" s="1"/>
  <c r="AT18" i="1" s="1"/>
  <c r="AC15" i="1" a="1"/>
  <c r="AC15" i="1" s="1"/>
  <c r="AT15" i="1" s="1"/>
  <c r="AC13" i="1" a="1"/>
  <c r="AC13" i="1" s="1"/>
  <c r="AT13" i="1" s="1"/>
  <c r="AC19" i="1" a="1"/>
  <c r="AC19" i="1" s="1"/>
  <c r="AT19" i="1" s="1"/>
  <c r="AC12" i="1" a="1"/>
  <c r="AC12" i="1" s="1"/>
  <c r="AT12" i="1" s="1"/>
  <c r="AC16" i="1" a="1"/>
  <c r="AC16" i="1" s="1"/>
  <c r="AT16" i="1" s="1"/>
  <c r="AC11" i="1" a="1"/>
  <c r="AC11" i="1" s="1"/>
  <c r="AT11" i="1" s="1"/>
  <c r="AC10" i="1" a="1"/>
  <c r="AC10" i="1" s="1"/>
  <c r="AT10" i="1" s="1"/>
  <c r="AC9" i="1" a="1"/>
  <c r="AC9" i="1" s="1"/>
  <c r="AT9" i="1" s="1"/>
  <c r="AC17" i="1" a="1"/>
  <c r="AC17" i="1" s="1"/>
  <c r="AT17" i="1" s="1"/>
  <c r="AC2" i="1" a="1"/>
  <c r="AC2" i="1" s="1"/>
  <c r="AT2" i="1" s="1"/>
  <c r="AC4" i="1" a="1"/>
  <c r="AC4" i="1" s="1"/>
  <c r="AT4" i="1" s="1"/>
  <c r="BQ1" i="1"/>
  <c r="AC7" i="1" a="1"/>
  <c r="AC7" i="1" s="1"/>
  <c r="AT7" i="1" s="1"/>
  <c r="AC6" i="1" a="1"/>
  <c r="AC6" i="1" s="1"/>
  <c r="AT6" i="1" s="1"/>
  <c r="AC3" i="1" a="1"/>
  <c r="AC3" i="1" s="1"/>
  <c r="AT3" i="1" s="1"/>
  <c r="AC14" i="1" a="1"/>
  <c r="AC14" i="1" s="1"/>
  <c r="AT14" i="1" s="1"/>
  <c r="AT1" i="1"/>
  <c r="AC5" i="1" a="1"/>
  <c r="AC5" i="1" s="1"/>
  <c r="AT5" i="1" s="1"/>
  <c r="AC8" i="1" a="1"/>
  <c r="AC8" i="1" s="1"/>
  <c r="AT8" i="1" s="1"/>
  <c r="CH1" i="1"/>
  <c r="I47" i="2"/>
  <c r="J47" i="2"/>
  <c r="I22" i="2"/>
  <c r="J22" i="2"/>
  <c r="J31" i="2"/>
  <c r="I31" i="2"/>
  <c r="AA52" i="1" a="1"/>
  <c r="AA52" i="1" s="1"/>
  <c r="AR52" i="1" s="1"/>
  <c r="AA58" i="1" a="1"/>
  <c r="AA58" i="1" s="1"/>
  <c r="AR58" i="1" s="1"/>
  <c r="AA57" i="1" a="1"/>
  <c r="AA57" i="1" s="1"/>
  <c r="AR57" i="1" s="1"/>
  <c r="AA56" i="1" a="1"/>
  <c r="AA56" i="1" s="1"/>
  <c r="AR56" i="1" s="1"/>
  <c r="AA53" i="1" a="1"/>
  <c r="AA53" i="1" s="1"/>
  <c r="AR53" i="1" s="1"/>
  <c r="AA55" i="1" a="1"/>
  <c r="AA55" i="1" s="1"/>
  <c r="AR55" i="1" s="1"/>
  <c r="AA50" i="1" a="1"/>
  <c r="AA50" i="1" s="1"/>
  <c r="AR50" i="1" s="1"/>
  <c r="AA48" i="1" a="1"/>
  <c r="AA48" i="1" s="1"/>
  <c r="AR48" i="1" s="1"/>
  <c r="AA51" i="1" a="1"/>
  <c r="AA51" i="1" s="1"/>
  <c r="AR51" i="1" s="1"/>
  <c r="AA44" i="1" a="1"/>
  <c r="AA44" i="1" s="1"/>
  <c r="AR44" i="1" s="1"/>
  <c r="AA45" i="1" a="1"/>
  <c r="AA45" i="1" s="1"/>
  <c r="AR45" i="1" s="1"/>
  <c r="AA41" i="1" a="1"/>
  <c r="AA41" i="1" s="1"/>
  <c r="AR41" i="1" s="1"/>
  <c r="AA49" i="1" a="1"/>
  <c r="AA49" i="1" s="1"/>
  <c r="AR49" i="1" s="1"/>
  <c r="AA47" i="1" a="1"/>
  <c r="AA47" i="1" s="1"/>
  <c r="AR47" i="1" s="1"/>
  <c r="AA46" i="1" a="1"/>
  <c r="AA46" i="1" s="1"/>
  <c r="AR46" i="1" s="1"/>
  <c r="AA42" i="1" a="1"/>
  <c r="AA42" i="1" s="1"/>
  <c r="AR42" i="1" s="1"/>
  <c r="AA54" i="1" a="1"/>
  <c r="AA54" i="1" s="1"/>
  <c r="AR54" i="1" s="1"/>
  <c r="AA37" i="1" a="1"/>
  <c r="AA37" i="1" s="1"/>
  <c r="AR37" i="1" s="1"/>
  <c r="AA43" i="1" a="1"/>
  <c r="AA43" i="1" s="1"/>
  <c r="AR43" i="1" s="1"/>
  <c r="AA38" i="1" a="1"/>
  <c r="AA38" i="1" s="1"/>
  <c r="AR38" i="1" s="1"/>
  <c r="AA34" i="1" a="1"/>
  <c r="AA34" i="1" s="1"/>
  <c r="AR34" i="1" s="1"/>
  <c r="AA39" i="1" a="1"/>
  <c r="AA39" i="1" s="1"/>
  <c r="AR39" i="1" s="1"/>
  <c r="AA40" i="1" a="1"/>
  <c r="AA40" i="1" s="1"/>
  <c r="AR40" i="1" s="1"/>
  <c r="AA36" i="1" a="1"/>
  <c r="AA36" i="1" s="1"/>
  <c r="AR36" i="1" s="1"/>
  <c r="AA35" i="1" a="1"/>
  <c r="AA35" i="1" s="1"/>
  <c r="AR35" i="1" s="1"/>
  <c r="AA32" i="1" a="1"/>
  <c r="AA32" i="1" s="1"/>
  <c r="AR32" i="1" s="1"/>
  <c r="AA31" i="1" a="1"/>
  <c r="AA31" i="1" s="1"/>
  <c r="AR31" i="1" s="1"/>
  <c r="AA30" i="1" a="1"/>
  <c r="AA30" i="1" s="1"/>
  <c r="AR30" i="1" s="1"/>
  <c r="AA33" i="1" a="1"/>
  <c r="AA33" i="1" s="1"/>
  <c r="AR33" i="1" s="1"/>
  <c r="AA29" i="1" a="1"/>
  <c r="AA29" i="1" s="1"/>
  <c r="AR29" i="1" s="1"/>
  <c r="AA26" i="1" a="1"/>
  <c r="AA26" i="1" s="1"/>
  <c r="AR26" i="1" s="1"/>
  <c r="AA23" i="1" a="1"/>
  <c r="AA23" i="1" s="1"/>
  <c r="AR23" i="1" s="1"/>
  <c r="AA17" i="1" a="1"/>
  <c r="AA17" i="1" s="1"/>
  <c r="AR17" i="1" s="1"/>
  <c r="AA24" i="1" a="1"/>
  <c r="AA24" i="1" s="1"/>
  <c r="AR24" i="1" s="1"/>
  <c r="AA18" i="1" a="1"/>
  <c r="AA18" i="1" s="1"/>
  <c r="AR18" i="1" s="1"/>
  <c r="AA19" i="1" a="1"/>
  <c r="AA19" i="1" s="1"/>
  <c r="AR19" i="1" s="1"/>
  <c r="AA25" i="1" a="1"/>
  <c r="AA25" i="1" s="1"/>
  <c r="AR25" i="1" s="1"/>
  <c r="AA20" i="1" a="1"/>
  <c r="AA20" i="1" s="1"/>
  <c r="AR20" i="1" s="1"/>
  <c r="AA21" i="1" a="1"/>
  <c r="AA21" i="1" s="1"/>
  <c r="AR21" i="1" s="1"/>
  <c r="AA28" i="1" a="1"/>
  <c r="AA28" i="1" s="1"/>
  <c r="AR28" i="1" s="1"/>
  <c r="AA22" i="1" a="1"/>
  <c r="AA22" i="1" s="1"/>
  <c r="AR22" i="1" s="1"/>
  <c r="AA9" i="1" a="1"/>
  <c r="AA9" i="1" s="1"/>
  <c r="AR9" i="1" s="1"/>
  <c r="AA8" i="1" a="1"/>
  <c r="AA8" i="1" s="1"/>
  <c r="AR8" i="1" s="1"/>
  <c r="AA14" i="1" a="1"/>
  <c r="AA14" i="1" s="1"/>
  <c r="AR14" i="1" s="1"/>
  <c r="AA27" i="1" a="1"/>
  <c r="AA27" i="1" s="1"/>
  <c r="AR27" i="1" s="1"/>
  <c r="AA15" i="1" a="1"/>
  <c r="AA15" i="1" s="1"/>
  <c r="AR15" i="1" s="1"/>
  <c r="AA13" i="1" a="1"/>
  <c r="AA13" i="1" s="1"/>
  <c r="AR13" i="1" s="1"/>
  <c r="AA12" i="1" a="1"/>
  <c r="AA12" i="1" s="1"/>
  <c r="AR12" i="1" s="1"/>
  <c r="AA16" i="1" a="1"/>
  <c r="AA16" i="1" s="1"/>
  <c r="AR16" i="1" s="1"/>
  <c r="AA11" i="1" a="1"/>
  <c r="AA11" i="1" s="1"/>
  <c r="AR11" i="1" s="1"/>
  <c r="AA4" i="1" a="1"/>
  <c r="AA4" i="1" s="1"/>
  <c r="AR4" i="1" s="1"/>
  <c r="AA2" i="1" a="1"/>
  <c r="AA2" i="1" s="1"/>
  <c r="AR2" i="1" s="1"/>
  <c r="AA5" i="1" a="1"/>
  <c r="AA5" i="1" s="1"/>
  <c r="AR5" i="1" s="1"/>
  <c r="CF1" i="1"/>
  <c r="AA7" i="1" a="1"/>
  <c r="AA7" i="1" s="1"/>
  <c r="AR7" i="1" s="1"/>
  <c r="AR1" i="1"/>
  <c r="AA10" i="1" a="1"/>
  <c r="AA10" i="1" s="1"/>
  <c r="AR10" i="1" s="1"/>
  <c r="AA6" i="1" a="1"/>
  <c r="AA6" i="1" s="1"/>
  <c r="AR6" i="1" s="1"/>
  <c r="AA3" i="1" a="1"/>
  <c r="AA3" i="1" s="1"/>
  <c r="AR3" i="1" s="1"/>
  <c r="BO1" i="1"/>
  <c r="CS59" i="1" a="1"/>
  <c r="CS59" i="1" s="1"/>
  <c r="CS55" i="1"/>
  <c r="CS52" i="1"/>
  <c r="CS54" i="1"/>
  <c r="CS53" i="1"/>
  <c r="CS51" i="1"/>
  <c r="CS48" i="1"/>
  <c r="CS44" i="1"/>
  <c r="CS40" i="1"/>
  <c r="CS58" i="1"/>
  <c r="CS57" i="1"/>
  <c r="CS56" i="1"/>
  <c r="CS46" i="1"/>
  <c r="CS45" i="1"/>
  <c r="CS41" i="1"/>
  <c r="CS50" i="1"/>
  <c r="CS49" i="1"/>
  <c r="CS47" i="1"/>
  <c r="CS42" i="1"/>
  <c r="CS37" i="1"/>
  <c r="CS38" i="1"/>
  <c r="CS34" i="1"/>
  <c r="CS39" i="1"/>
  <c r="CS35" i="1"/>
  <c r="CS36" i="1"/>
  <c r="CS33" i="1"/>
  <c r="CS31" i="1"/>
  <c r="CS30" i="1"/>
  <c r="CS29" i="1"/>
  <c r="CS27" i="1"/>
  <c r="CS26" i="1"/>
  <c r="CS43" i="1"/>
  <c r="CS23" i="1"/>
  <c r="CS17" i="1"/>
  <c r="CS18" i="1"/>
  <c r="CS24" i="1"/>
  <c r="CS19" i="1"/>
  <c r="CS20" i="1"/>
  <c r="CS21" i="1"/>
  <c r="CS32" i="1"/>
  <c r="CS25" i="1"/>
  <c r="CS22" i="1"/>
  <c r="CS13" i="1"/>
  <c r="CS14" i="1"/>
  <c r="CS12" i="1"/>
  <c r="CS16" i="1"/>
  <c r="CS11" i="1"/>
  <c r="CS15" i="1"/>
  <c r="CS10" i="1"/>
  <c r="CS8" i="1"/>
  <c r="CS9" i="1"/>
  <c r="CS2" i="1"/>
  <c r="CS7" i="1"/>
  <c r="CS6" i="1"/>
  <c r="CS5" i="1"/>
  <c r="CS4" i="1"/>
  <c r="CS28" i="1"/>
  <c r="CS3" i="1"/>
  <c r="BJ12" i="1"/>
  <c r="BJ13" i="1" s="1"/>
  <c r="J23" i="2"/>
  <c r="I23" i="2"/>
  <c r="J44" i="2"/>
  <c r="I44" i="2"/>
  <c r="J36" i="2"/>
  <c r="I36" i="2"/>
  <c r="I38" i="2"/>
  <c r="J38" i="2"/>
  <c r="I14" i="2"/>
  <c r="J14" i="2"/>
  <c r="AE52" i="1" a="1"/>
  <c r="AE52" i="1" s="1"/>
  <c r="AV52" i="1" s="1"/>
  <c r="AE53" i="1" a="1"/>
  <c r="AE53" i="1" s="1"/>
  <c r="AV53" i="1" s="1"/>
  <c r="AE50" i="1" a="1"/>
  <c r="AE50" i="1" s="1"/>
  <c r="AV50" i="1" s="1"/>
  <c r="AE44" i="1" a="1"/>
  <c r="AE44" i="1" s="1"/>
  <c r="AV44" i="1" s="1"/>
  <c r="AE48" i="1" a="1"/>
  <c r="AE48" i="1" s="1"/>
  <c r="AV48" i="1" s="1"/>
  <c r="AE45" i="1" a="1"/>
  <c r="AE45" i="1" s="1"/>
  <c r="AV45" i="1" s="1"/>
  <c r="AE41" i="1" a="1"/>
  <c r="AE41" i="1" s="1"/>
  <c r="AV41" i="1" s="1"/>
  <c r="AE54" i="1" a="1"/>
  <c r="AE54" i="1" s="1"/>
  <c r="AV54" i="1" s="1"/>
  <c r="AE58" i="1" a="1"/>
  <c r="AE58" i="1" s="1"/>
  <c r="AV58" i="1" s="1"/>
  <c r="AE57" i="1" a="1"/>
  <c r="AE57" i="1" s="1"/>
  <c r="AV57" i="1" s="1"/>
  <c r="AE56" i="1" a="1"/>
  <c r="AE56" i="1" s="1"/>
  <c r="AV56" i="1" s="1"/>
  <c r="AE47" i="1" a="1"/>
  <c r="AE47" i="1" s="1"/>
  <c r="AV47" i="1" s="1"/>
  <c r="AE46" i="1" a="1"/>
  <c r="AE46" i="1" s="1"/>
  <c r="AV46" i="1" s="1"/>
  <c r="AE42" i="1" a="1"/>
  <c r="AE42" i="1" s="1"/>
  <c r="AV42" i="1" s="1"/>
  <c r="AE55" i="1" a="1"/>
  <c r="AE55" i="1" s="1"/>
  <c r="AV55" i="1" s="1"/>
  <c r="AE43" i="1" a="1"/>
  <c r="AE43" i="1" s="1"/>
  <c r="AV43" i="1" s="1"/>
  <c r="AE37" i="1" a="1"/>
  <c r="AE37" i="1" s="1"/>
  <c r="AV37" i="1" s="1"/>
  <c r="AE51" i="1" a="1"/>
  <c r="AE51" i="1" s="1"/>
  <c r="AV51" i="1" s="1"/>
  <c r="AE38" i="1" a="1"/>
  <c r="AE38" i="1" s="1"/>
  <c r="AV38" i="1" s="1"/>
  <c r="AE34" i="1" a="1"/>
  <c r="AE34" i="1" s="1"/>
  <c r="AV34" i="1" s="1"/>
  <c r="AE49" i="1" a="1"/>
  <c r="AE49" i="1" s="1"/>
  <c r="AV49" i="1" s="1"/>
  <c r="AE39" i="1" a="1"/>
  <c r="AE39" i="1" s="1"/>
  <c r="AV39" i="1" s="1"/>
  <c r="AE35" i="1" a="1"/>
  <c r="AE35" i="1" s="1"/>
  <c r="AV35" i="1" s="1"/>
  <c r="AE40" i="1" a="1"/>
  <c r="AE40" i="1" s="1"/>
  <c r="AV40" i="1" s="1"/>
  <c r="AE36" i="1" a="1"/>
  <c r="AE36" i="1" s="1"/>
  <c r="AV36" i="1" s="1"/>
  <c r="AE32" i="1" a="1"/>
  <c r="AE32" i="1" s="1"/>
  <c r="AV32" i="1" s="1"/>
  <c r="AE31" i="1" a="1"/>
  <c r="AE31" i="1" s="1"/>
  <c r="AV31" i="1" s="1"/>
  <c r="AE30" i="1" a="1"/>
  <c r="AE30" i="1" s="1"/>
  <c r="AV30" i="1" s="1"/>
  <c r="AE33" i="1" a="1"/>
  <c r="AE33" i="1" s="1"/>
  <c r="AV33" i="1" s="1"/>
  <c r="AE29" i="1" a="1"/>
  <c r="AE29" i="1" s="1"/>
  <c r="AV29" i="1" s="1"/>
  <c r="AE26" i="1" a="1"/>
  <c r="AE26" i="1" s="1"/>
  <c r="AV26" i="1" s="1"/>
  <c r="AE23" i="1" a="1"/>
  <c r="AE23" i="1" s="1"/>
  <c r="AV23" i="1" s="1"/>
  <c r="AE17" i="1" a="1"/>
  <c r="AE17" i="1" s="1"/>
  <c r="AV17" i="1" s="1"/>
  <c r="AE24" i="1" a="1"/>
  <c r="AE24" i="1" s="1"/>
  <c r="AV24" i="1" s="1"/>
  <c r="AE18" i="1" a="1"/>
  <c r="AE18" i="1" s="1"/>
  <c r="AV18" i="1" s="1"/>
  <c r="AE19" i="1" a="1"/>
  <c r="AE19" i="1" s="1"/>
  <c r="AV19" i="1" s="1"/>
  <c r="AE28" i="1" a="1"/>
  <c r="AE28" i="1" s="1"/>
  <c r="AV28" i="1" s="1"/>
  <c r="AE20" i="1" a="1"/>
  <c r="AE20" i="1" s="1"/>
  <c r="AV20" i="1" s="1"/>
  <c r="AE27" i="1" a="1"/>
  <c r="AE27" i="1" s="1"/>
  <c r="AV27" i="1" s="1"/>
  <c r="AE21" i="1" a="1"/>
  <c r="AE21" i="1" s="1"/>
  <c r="AV21" i="1" s="1"/>
  <c r="AE25" i="1" a="1"/>
  <c r="AE25" i="1" s="1"/>
  <c r="AV25" i="1" s="1"/>
  <c r="AE22" i="1" a="1"/>
  <c r="AE22" i="1" s="1"/>
  <c r="AV22" i="1" s="1"/>
  <c r="AE9" i="1" a="1"/>
  <c r="AE9" i="1" s="1"/>
  <c r="AV9" i="1" s="1"/>
  <c r="AE8" i="1" a="1"/>
  <c r="AE8" i="1" s="1"/>
  <c r="AV8" i="1" s="1"/>
  <c r="AE14" i="1" a="1"/>
  <c r="AE14" i="1" s="1"/>
  <c r="AV14" i="1" s="1"/>
  <c r="AE15" i="1" a="1"/>
  <c r="AE15" i="1" s="1"/>
  <c r="AV15" i="1" s="1"/>
  <c r="AE13" i="1" a="1"/>
  <c r="AE13" i="1" s="1"/>
  <c r="AV13" i="1" s="1"/>
  <c r="AE12" i="1" a="1"/>
  <c r="AE12" i="1" s="1"/>
  <c r="AV12" i="1" s="1"/>
  <c r="AE11" i="1" a="1"/>
  <c r="AE11" i="1" s="1"/>
  <c r="AV11" i="1" s="1"/>
  <c r="AE4" i="1" a="1"/>
  <c r="AE4" i="1" s="1"/>
  <c r="AV4" i="1" s="1"/>
  <c r="AV1" i="1"/>
  <c r="AE2" i="1" a="1"/>
  <c r="AE2" i="1" s="1"/>
  <c r="AV2" i="1" s="1"/>
  <c r="AE5" i="1" a="1"/>
  <c r="AE5" i="1" s="1"/>
  <c r="AV5" i="1" s="1"/>
  <c r="BS1" i="1"/>
  <c r="CJ1" i="1"/>
  <c r="AE10" i="1" a="1"/>
  <c r="AE10" i="1" s="1"/>
  <c r="AV10" i="1" s="1"/>
  <c r="AE7" i="1" a="1"/>
  <c r="AE7" i="1" s="1"/>
  <c r="AV7" i="1" s="1"/>
  <c r="AE16" i="1" a="1"/>
  <c r="AE16" i="1" s="1"/>
  <c r="AV16" i="1" s="1"/>
  <c r="AE6" i="1" a="1"/>
  <c r="AE6" i="1" s="1"/>
  <c r="AV6" i="1" s="1"/>
  <c r="AE3" i="1" a="1"/>
  <c r="AE3" i="1" s="1"/>
  <c r="AV3" i="1" s="1"/>
  <c r="AK57" i="1" a="1"/>
  <c r="AK57" i="1" s="1"/>
  <c r="BB57" i="1" s="1"/>
  <c r="AK54" i="1" a="1"/>
  <c r="AK54" i="1" s="1"/>
  <c r="BB54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8" i="1" a="1"/>
  <c r="AK58" i="1" s="1"/>
  <c r="BB58" i="1" s="1"/>
  <c r="AK53" i="1" a="1"/>
  <c r="AK53" i="1" s="1"/>
  <c r="BB53" i="1" s="1"/>
  <c r="AK52" i="1" a="1"/>
  <c r="AK52" i="1" s="1"/>
  <c r="BB52" i="1" s="1"/>
  <c r="AK47" i="1" a="1"/>
  <c r="AK47" i="1" s="1"/>
  <c r="BB47" i="1" s="1"/>
  <c r="AK46" i="1" a="1"/>
  <c r="AK46" i="1" s="1"/>
  <c r="BB46" i="1" s="1"/>
  <c r="AK42" i="1" a="1"/>
  <c r="AK42" i="1" s="1"/>
  <c r="BB42" i="1" s="1"/>
  <c r="AK56" i="1" a="1"/>
  <c r="AK56" i="1" s="1"/>
  <c r="BB56" i="1" s="1"/>
  <c r="AK43" i="1" a="1"/>
  <c r="AK43" i="1" s="1"/>
  <c r="BB43" i="1" s="1"/>
  <c r="AK44" i="1" a="1"/>
  <c r="AK44" i="1" s="1"/>
  <c r="BB44" i="1" s="1"/>
  <c r="AK39" i="1" a="1"/>
  <c r="AK39" i="1" s="1"/>
  <c r="BB39" i="1" s="1"/>
  <c r="AK35" i="1" a="1"/>
  <c r="AK35" i="1" s="1"/>
  <c r="BB35" i="1" s="1"/>
  <c r="AK45" i="1" a="1"/>
  <c r="AK45" i="1" s="1"/>
  <c r="BB45" i="1" s="1"/>
  <c r="AK40" i="1" a="1"/>
  <c r="AK40" i="1" s="1"/>
  <c r="BB40" i="1" s="1"/>
  <c r="AK36" i="1" a="1"/>
  <c r="AK36" i="1" s="1"/>
  <c r="BB36" i="1" s="1"/>
  <c r="AK37" i="1" a="1"/>
  <c r="AK37" i="1" s="1"/>
  <c r="BB37" i="1" s="1"/>
  <c r="AK41" i="1" a="1"/>
  <c r="AK41" i="1" s="1"/>
  <c r="BB41" i="1" s="1"/>
  <c r="AK38" i="1" a="1"/>
  <c r="AK38" i="1" s="1"/>
  <c r="BB38" i="1" s="1"/>
  <c r="AK32" i="1" a="1"/>
  <c r="AK32" i="1" s="1"/>
  <c r="BB32" i="1" s="1"/>
  <c r="AK31" i="1" a="1"/>
  <c r="AK31" i="1" s="1"/>
  <c r="BB31" i="1" s="1"/>
  <c r="AK30" i="1" a="1"/>
  <c r="AK30" i="1" s="1"/>
  <c r="BB30" i="1" s="1"/>
  <c r="AK33" i="1" a="1"/>
  <c r="AK33" i="1" s="1"/>
  <c r="BB33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34" i="1" a="1"/>
  <c r="AK34" i="1" s="1"/>
  <c r="BB34" i="1" s="1"/>
  <c r="AK20" i="1" a="1"/>
  <c r="AK20" i="1" s="1"/>
  <c r="BB20" i="1" s="1"/>
  <c r="AK25" i="1" a="1"/>
  <c r="AK25" i="1" s="1"/>
  <c r="BB25" i="1" s="1"/>
  <c r="AK21" i="1" a="1"/>
  <c r="AK21" i="1" s="1"/>
  <c r="BB21" i="1" s="1"/>
  <c r="AK22" i="1" a="1"/>
  <c r="AK22" i="1" s="1"/>
  <c r="BB22" i="1" s="1"/>
  <c r="AK23" i="1" a="1"/>
  <c r="AK23" i="1" s="1"/>
  <c r="BB23" i="1" s="1"/>
  <c r="AK24" i="1" a="1"/>
  <c r="AK24" i="1" s="1"/>
  <c r="BB24" i="1" s="1"/>
  <c r="AK18" i="1" a="1"/>
  <c r="AK18" i="1" s="1"/>
  <c r="BB18" i="1" s="1"/>
  <c r="AK15" i="1" a="1"/>
  <c r="AK15" i="1" s="1"/>
  <c r="BB15" i="1" s="1"/>
  <c r="AK13" i="1" a="1"/>
  <c r="AK13" i="1" s="1"/>
  <c r="BB13" i="1" s="1"/>
  <c r="AK17" i="1" a="1"/>
  <c r="AK17" i="1" s="1"/>
  <c r="BB17" i="1" s="1"/>
  <c r="AK12" i="1" a="1"/>
  <c r="AK12" i="1" s="1"/>
  <c r="BB12" i="1" s="1"/>
  <c r="AK11" i="1" a="1"/>
  <c r="AK11" i="1" s="1"/>
  <c r="BB11" i="1" s="1"/>
  <c r="AK10" i="1" a="1"/>
  <c r="AK10" i="1" s="1"/>
  <c r="BB10" i="1" s="1"/>
  <c r="AK9" i="1" a="1"/>
  <c r="AK9" i="1" s="1"/>
  <c r="BB9" i="1" s="1"/>
  <c r="AK16" i="1" a="1"/>
  <c r="AK16" i="1" s="1"/>
  <c r="BB16" i="1" s="1"/>
  <c r="AK19" i="1" a="1"/>
  <c r="AK19" i="1" s="1"/>
  <c r="BB19" i="1" s="1"/>
  <c r="AK14" i="1" a="1"/>
  <c r="AK14" i="1" s="1"/>
  <c r="BB14" i="1" s="1"/>
  <c r="AK2" i="1" a="1"/>
  <c r="AK2" i="1" s="1"/>
  <c r="BB2" i="1" s="1"/>
  <c r="AK7" i="1" a="1"/>
  <c r="AK7" i="1" s="1"/>
  <c r="BB7" i="1" s="1"/>
  <c r="AK3" i="1" a="1"/>
  <c r="AK3" i="1" s="1"/>
  <c r="BB3" i="1" s="1"/>
  <c r="AK4" i="1" a="1"/>
  <c r="AK4" i="1" s="1"/>
  <c r="BB4" i="1" s="1"/>
  <c r="BY1" i="1"/>
  <c r="AK6" i="1" a="1"/>
  <c r="AK6" i="1" s="1"/>
  <c r="BB6" i="1" s="1"/>
  <c r="AK5" i="1" a="1"/>
  <c r="AK5" i="1" s="1"/>
  <c r="BB5" i="1" s="1"/>
  <c r="BB1" i="1"/>
  <c r="AK8" i="1" a="1"/>
  <c r="AK8" i="1" s="1"/>
  <c r="BB8" i="1" s="1"/>
  <c r="CP1" i="1"/>
  <c r="BK12" i="1"/>
  <c r="BK13" i="1" s="1"/>
  <c r="CR56" i="1"/>
  <c r="CR57" i="1"/>
  <c r="CR58" i="1"/>
  <c r="CR52" i="1"/>
  <c r="CR54" i="1"/>
  <c r="CR53" i="1"/>
  <c r="CR55" i="1"/>
  <c r="CR50" i="1"/>
  <c r="CR43" i="1"/>
  <c r="CR48" i="1"/>
  <c r="CR44" i="1"/>
  <c r="CR51" i="1"/>
  <c r="CR36" i="1"/>
  <c r="CR37" i="1"/>
  <c r="CR46" i="1"/>
  <c r="CR40" i="1"/>
  <c r="CR47" i="1"/>
  <c r="CR41" i="1"/>
  <c r="CR38" i="1"/>
  <c r="CR34" i="1"/>
  <c r="CR45" i="1"/>
  <c r="CR39" i="1"/>
  <c r="CR33" i="1"/>
  <c r="CR42" i="1"/>
  <c r="CR49" i="1"/>
  <c r="CR32" i="1"/>
  <c r="CR28" i="1"/>
  <c r="CR27" i="1"/>
  <c r="CR26" i="1"/>
  <c r="CR31" i="1"/>
  <c r="CR23" i="1"/>
  <c r="CR17" i="1"/>
  <c r="CR18" i="1"/>
  <c r="CR30" i="1"/>
  <c r="CR24" i="1"/>
  <c r="CR19" i="1"/>
  <c r="CR35" i="1"/>
  <c r="CR20" i="1"/>
  <c r="CR29" i="1"/>
  <c r="CR21" i="1"/>
  <c r="CR7" i="1"/>
  <c r="CR13" i="1"/>
  <c r="CR14" i="1"/>
  <c r="CR12" i="1"/>
  <c r="CR25" i="1"/>
  <c r="CR16" i="1"/>
  <c r="CR11" i="1"/>
  <c r="CR22" i="1"/>
  <c r="CR15" i="1"/>
  <c r="CR9" i="1"/>
  <c r="CR3" i="1"/>
  <c r="CR8" i="1"/>
  <c r="CR6" i="1"/>
  <c r="CR5" i="1"/>
  <c r="CR2" i="1"/>
  <c r="CR59" i="1" s="1" a="1"/>
  <c r="CR59" i="1" s="1"/>
  <c r="CR4" i="1"/>
  <c r="CR10" i="1"/>
  <c r="CQ58" i="1" l="1"/>
  <c r="CQ57" i="1"/>
  <c r="CQ56" i="1"/>
  <c r="CQ51" i="1"/>
  <c r="CQ52" i="1"/>
  <c r="CQ54" i="1"/>
  <c r="CQ49" i="1"/>
  <c r="CQ55" i="1"/>
  <c r="CQ43" i="1"/>
  <c r="CQ48" i="1"/>
  <c r="CQ44" i="1"/>
  <c r="CQ40" i="1"/>
  <c r="CQ53" i="1"/>
  <c r="CQ50" i="1"/>
  <c r="CQ46" i="1"/>
  <c r="CQ45" i="1"/>
  <c r="CQ41" i="1"/>
  <c r="CQ36" i="1"/>
  <c r="CQ37" i="1"/>
  <c r="CQ33" i="1"/>
  <c r="CQ47" i="1"/>
  <c r="CQ38" i="1"/>
  <c r="CQ42" i="1"/>
  <c r="CQ39" i="1"/>
  <c r="CQ35" i="1"/>
  <c r="CQ31" i="1"/>
  <c r="CQ30" i="1"/>
  <c r="CQ29" i="1"/>
  <c r="CQ34" i="1"/>
  <c r="CQ32" i="1"/>
  <c r="CQ28" i="1"/>
  <c r="CQ25" i="1"/>
  <c r="CQ22" i="1"/>
  <c r="CQ27" i="1"/>
  <c r="CQ16" i="1"/>
  <c r="CQ26" i="1"/>
  <c r="CQ23" i="1"/>
  <c r="CQ17" i="1"/>
  <c r="CQ18" i="1"/>
  <c r="CQ24" i="1"/>
  <c r="CQ19" i="1"/>
  <c r="CQ20" i="1"/>
  <c r="CQ21" i="1"/>
  <c r="CQ8" i="1"/>
  <c r="CQ7" i="1"/>
  <c r="CQ13" i="1"/>
  <c r="CQ14" i="1"/>
  <c r="CQ12" i="1"/>
  <c r="CQ11" i="1"/>
  <c r="CQ15" i="1"/>
  <c r="CQ10" i="1"/>
  <c r="CQ3" i="1"/>
  <c r="CQ9" i="1"/>
  <c r="CQ6" i="1"/>
  <c r="CQ5" i="1"/>
  <c r="CQ2" i="1"/>
  <c r="CQ59" i="1" s="1" a="1"/>
  <c r="CQ59" i="1" s="1"/>
  <c r="CQ4" i="1"/>
  <c r="CL57" i="1"/>
  <c r="CL58" i="1"/>
  <c r="CL54" i="1"/>
  <c r="CL53" i="1"/>
  <c r="CL55" i="1"/>
  <c r="CL56" i="1"/>
  <c r="CL49" i="1"/>
  <c r="CL44" i="1"/>
  <c r="CL47" i="1"/>
  <c r="CL46" i="1"/>
  <c r="CL45" i="1"/>
  <c r="CL41" i="1"/>
  <c r="CL48" i="1"/>
  <c r="CL52" i="1"/>
  <c r="CL43" i="1"/>
  <c r="CL42" i="1"/>
  <c r="CL40" i="1"/>
  <c r="CL37" i="1"/>
  <c r="CL33" i="1"/>
  <c r="CL38" i="1"/>
  <c r="CL39" i="1"/>
  <c r="CL35" i="1"/>
  <c r="CL50" i="1"/>
  <c r="CL34" i="1"/>
  <c r="CL31" i="1"/>
  <c r="CL30" i="1"/>
  <c r="CL29" i="1"/>
  <c r="CL32" i="1"/>
  <c r="CL28" i="1"/>
  <c r="CL25" i="1"/>
  <c r="CL51" i="1"/>
  <c r="CL36" i="1"/>
  <c r="CL18" i="1"/>
  <c r="CL24" i="1"/>
  <c r="CL19" i="1"/>
  <c r="CL27" i="1"/>
  <c r="CL20" i="1"/>
  <c r="CL26" i="1"/>
  <c r="CL21" i="1"/>
  <c r="CL22" i="1"/>
  <c r="CL13" i="1"/>
  <c r="CL14" i="1"/>
  <c r="CL12" i="1"/>
  <c r="CL17" i="1"/>
  <c r="CL11" i="1"/>
  <c r="CL15" i="1"/>
  <c r="CL10" i="1"/>
  <c r="CL23" i="1"/>
  <c r="CL9" i="1"/>
  <c r="CL2" i="1"/>
  <c r="CL59" i="1" s="1" a="1"/>
  <c r="CL59" i="1" s="1"/>
  <c r="CL16" i="1"/>
  <c r="CL6" i="1"/>
  <c r="CL5" i="1"/>
  <c r="CL8" i="1"/>
  <c r="CL4" i="1"/>
  <c r="CL3" i="1"/>
  <c r="CL7" i="1"/>
  <c r="CM56" i="1"/>
  <c r="CM53" i="1"/>
  <c r="CM55" i="1"/>
  <c r="CM49" i="1"/>
  <c r="CM48" i="1"/>
  <c r="CM47" i="1"/>
  <c r="CM58" i="1"/>
  <c r="CM57" i="1"/>
  <c r="CM50" i="1"/>
  <c r="CM52" i="1"/>
  <c r="CM46" i="1"/>
  <c r="CM45" i="1"/>
  <c r="CM41" i="1"/>
  <c r="CM42" i="1"/>
  <c r="CM51" i="1"/>
  <c r="CM43" i="1"/>
  <c r="CM44" i="1"/>
  <c r="CM38" i="1"/>
  <c r="CM34" i="1"/>
  <c r="CM39" i="1"/>
  <c r="CM35" i="1"/>
  <c r="CM36" i="1"/>
  <c r="CM40" i="1"/>
  <c r="CM37" i="1"/>
  <c r="CM31" i="1"/>
  <c r="CM30" i="1"/>
  <c r="CM29" i="1"/>
  <c r="CM32" i="1"/>
  <c r="CM28" i="1"/>
  <c r="CM25" i="1"/>
  <c r="CM27" i="1"/>
  <c r="CM26" i="1"/>
  <c r="CM33" i="1"/>
  <c r="CM24" i="1"/>
  <c r="CM19" i="1"/>
  <c r="CM20" i="1"/>
  <c r="CM21" i="1"/>
  <c r="CM22" i="1"/>
  <c r="CM54" i="1"/>
  <c r="CM23" i="1"/>
  <c r="CM17" i="1"/>
  <c r="CM14" i="1"/>
  <c r="CM12" i="1"/>
  <c r="CM11" i="1"/>
  <c r="CM15" i="1"/>
  <c r="CM10" i="1"/>
  <c r="CM9" i="1"/>
  <c r="CM18" i="1"/>
  <c r="CM8" i="1"/>
  <c r="CM16" i="1"/>
  <c r="CM6" i="1"/>
  <c r="CM5" i="1"/>
  <c r="CM2" i="1"/>
  <c r="CM59" i="1" s="1" a="1"/>
  <c r="CM59" i="1" s="1"/>
  <c r="CM4" i="1"/>
  <c r="CM3" i="1"/>
  <c r="CM13" i="1"/>
  <c r="CM7" i="1"/>
  <c r="CO59" i="1" a="1"/>
  <c r="CO59" i="1" s="1"/>
  <c r="CO57" i="1"/>
  <c r="CO55" i="1"/>
  <c r="CO49" i="1"/>
  <c r="CO48" i="1"/>
  <c r="CO47" i="1"/>
  <c r="CO56" i="1"/>
  <c r="CO50" i="1"/>
  <c r="CO58" i="1"/>
  <c r="CO51" i="1"/>
  <c r="CO53" i="1"/>
  <c r="CO42" i="1"/>
  <c r="CO43" i="1"/>
  <c r="CO52" i="1"/>
  <c r="CO44" i="1"/>
  <c r="CO54" i="1"/>
  <c r="CO39" i="1"/>
  <c r="CO35" i="1"/>
  <c r="CO36" i="1"/>
  <c r="CO46" i="1"/>
  <c r="CO40" i="1"/>
  <c r="CO37" i="1"/>
  <c r="CO45" i="1"/>
  <c r="CO38" i="1"/>
  <c r="CO34" i="1"/>
  <c r="CO32" i="1"/>
  <c r="CO28" i="1"/>
  <c r="CO41" i="1"/>
  <c r="CO27" i="1"/>
  <c r="CO26" i="1"/>
  <c r="CO33" i="1"/>
  <c r="CO21" i="1"/>
  <c r="CO31" i="1"/>
  <c r="CO25" i="1"/>
  <c r="CO22" i="1"/>
  <c r="CO16" i="1"/>
  <c r="CO30" i="1"/>
  <c r="CO23" i="1"/>
  <c r="CO17" i="1"/>
  <c r="CO18" i="1"/>
  <c r="CO29" i="1"/>
  <c r="CO24" i="1"/>
  <c r="CO19" i="1"/>
  <c r="CO15" i="1"/>
  <c r="CO10" i="1"/>
  <c r="CO20" i="1"/>
  <c r="CO9" i="1"/>
  <c r="CO8" i="1"/>
  <c r="CO7" i="1"/>
  <c r="CO13" i="1"/>
  <c r="CO14" i="1"/>
  <c r="CO12" i="1"/>
  <c r="CO5" i="1"/>
  <c r="CO2" i="1"/>
  <c r="CO11" i="1"/>
  <c r="CO4" i="1"/>
  <c r="CO3" i="1"/>
  <c r="CO6" i="1"/>
  <c r="CH56" i="1"/>
  <c r="CH50" i="1"/>
  <c r="CH51" i="1"/>
  <c r="CH54" i="1"/>
  <c r="CH52" i="1"/>
  <c r="CH58" i="1"/>
  <c r="CH57" i="1"/>
  <c r="CH53" i="1"/>
  <c r="CH48" i="1"/>
  <c r="CH42" i="1"/>
  <c r="CH49" i="1"/>
  <c r="CH43" i="1"/>
  <c r="CH55" i="1"/>
  <c r="CH39" i="1"/>
  <c r="CH35" i="1"/>
  <c r="CH45" i="1"/>
  <c r="CH44" i="1"/>
  <c r="CH41" i="1"/>
  <c r="CH40" i="1"/>
  <c r="CH36" i="1"/>
  <c r="CH37" i="1"/>
  <c r="CH46" i="1"/>
  <c r="CH33" i="1"/>
  <c r="CH27" i="1"/>
  <c r="CH26" i="1"/>
  <c r="CH47" i="1"/>
  <c r="CH34" i="1"/>
  <c r="CH38" i="1"/>
  <c r="CH31" i="1"/>
  <c r="CH30" i="1"/>
  <c r="CH29" i="1"/>
  <c r="CH32" i="1"/>
  <c r="CH22" i="1"/>
  <c r="CH28" i="1"/>
  <c r="CH23" i="1"/>
  <c r="CH17" i="1"/>
  <c r="CH25" i="1"/>
  <c r="CH18" i="1"/>
  <c r="CH24" i="1"/>
  <c r="CH19" i="1"/>
  <c r="CH20" i="1"/>
  <c r="CH21" i="1"/>
  <c r="CH9" i="1"/>
  <c r="CH8" i="1"/>
  <c r="CH16" i="1"/>
  <c r="CH13" i="1"/>
  <c r="CH14" i="1"/>
  <c r="CH12" i="1"/>
  <c r="CH11" i="1"/>
  <c r="CH7" i="1"/>
  <c r="CH4" i="1"/>
  <c r="CH3" i="1"/>
  <c r="CH10" i="1"/>
  <c r="CH15" i="1"/>
  <c r="CH2" i="1"/>
  <c r="CH59" i="1" s="1" a="1"/>
  <c r="CH59" i="1" s="1"/>
  <c r="CH5" i="1"/>
  <c r="CH6" i="1"/>
  <c r="CI58" i="1"/>
  <c r="CI51" i="1"/>
  <c r="CI54" i="1"/>
  <c r="CI52" i="1"/>
  <c r="CI49" i="1"/>
  <c r="CI50" i="1"/>
  <c r="CI43" i="1"/>
  <c r="CI55" i="1"/>
  <c r="CI44" i="1"/>
  <c r="CI40" i="1"/>
  <c r="CI57" i="1"/>
  <c r="CI56" i="1"/>
  <c r="CI47" i="1"/>
  <c r="CI46" i="1"/>
  <c r="CI45" i="1"/>
  <c r="CI41" i="1"/>
  <c r="CI48" i="1"/>
  <c r="CI36" i="1"/>
  <c r="CI42" i="1"/>
  <c r="CI53" i="1"/>
  <c r="CI37" i="1"/>
  <c r="CI33" i="1"/>
  <c r="CI38" i="1"/>
  <c r="CI39" i="1"/>
  <c r="CI35" i="1"/>
  <c r="CI34" i="1"/>
  <c r="CI31" i="1"/>
  <c r="CI30" i="1"/>
  <c r="CI29" i="1"/>
  <c r="CI32" i="1"/>
  <c r="CI28" i="1"/>
  <c r="CI25" i="1"/>
  <c r="CI22" i="1"/>
  <c r="CI16" i="1"/>
  <c r="CI23" i="1"/>
  <c r="CI17" i="1"/>
  <c r="CI27" i="1"/>
  <c r="CI18" i="1"/>
  <c r="CI26" i="1"/>
  <c r="CI24" i="1"/>
  <c r="CI19" i="1"/>
  <c r="CI20" i="1"/>
  <c r="CI21" i="1"/>
  <c r="CI8" i="1"/>
  <c r="CI7" i="1"/>
  <c r="CI13" i="1"/>
  <c r="CI14" i="1"/>
  <c r="CI12" i="1"/>
  <c r="CI11" i="1"/>
  <c r="CI15" i="1"/>
  <c r="CI10" i="1"/>
  <c r="CI3" i="1"/>
  <c r="CI9" i="1"/>
  <c r="CI6" i="1"/>
  <c r="CI4" i="1"/>
  <c r="CI5" i="1"/>
  <c r="CI2" i="1"/>
  <c r="CI59" i="1" s="1" a="1"/>
  <c r="CI59" i="1" s="1"/>
  <c r="CP55" i="1"/>
  <c r="CP56" i="1"/>
  <c r="CP59" i="1" a="1"/>
  <c r="CP59" i="1" s="1"/>
  <c r="CP50" i="1"/>
  <c r="CP58" i="1"/>
  <c r="CP57" i="1"/>
  <c r="CP51" i="1"/>
  <c r="CP52" i="1"/>
  <c r="CP47" i="1"/>
  <c r="CP42" i="1"/>
  <c r="CP43" i="1"/>
  <c r="CP48" i="1"/>
  <c r="CP54" i="1"/>
  <c r="CP53" i="1"/>
  <c r="CP39" i="1"/>
  <c r="CP35" i="1"/>
  <c r="CP36" i="1"/>
  <c r="CP46" i="1"/>
  <c r="CP40" i="1"/>
  <c r="CP37" i="1"/>
  <c r="CP41" i="1"/>
  <c r="CP49" i="1"/>
  <c r="CP27" i="1"/>
  <c r="CP26" i="1"/>
  <c r="CP44" i="1"/>
  <c r="CP33" i="1"/>
  <c r="CP38" i="1"/>
  <c r="CP45" i="1"/>
  <c r="CP31" i="1"/>
  <c r="CP30" i="1"/>
  <c r="CP29" i="1"/>
  <c r="CP34" i="1"/>
  <c r="CP28" i="1"/>
  <c r="CP25" i="1"/>
  <c r="CP22" i="1"/>
  <c r="CP16" i="1"/>
  <c r="CP23" i="1"/>
  <c r="CP17" i="1"/>
  <c r="CP18" i="1"/>
  <c r="CP24" i="1"/>
  <c r="CP19" i="1"/>
  <c r="CP20" i="1"/>
  <c r="CP9" i="1"/>
  <c r="CP8" i="1"/>
  <c r="CP13" i="1"/>
  <c r="CP14" i="1"/>
  <c r="CP12" i="1"/>
  <c r="CP32" i="1"/>
  <c r="CP11" i="1"/>
  <c r="CP10" i="1"/>
  <c r="CP4" i="1"/>
  <c r="CP3" i="1"/>
  <c r="CP21" i="1"/>
  <c r="CP15" i="1"/>
  <c r="CP5" i="1"/>
  <c r="CP2" i="1"/>
  <c r="CP7" i="1"/>
  <c r="CP6" i="1"/>
  <c r="CG59" i="1" a="1"/>
  <c r="CG59" i="1" s="1"/>
  <c r="CG57" i="1"/>
  <c r="CG49" i="1"/>
  <c r="CG48" i="1"/>
  <c r="CG50" i="1"/>
  <c r="CG51" i="1"/>
  <c r="CG56" i="1"/>
  <c r="CG55" i="1"/>
  <c r="CG53" i="1"/>
  <c r="CG54" i="1"/>
  <c r="CG52" i="1"/>
  <c r="CG42" i="1"/>
  <c r="CG43" i="1"/>
  <c r="CG58" i="1"/>
  <c r="CG44" i="1"/>
  <c r="CG46" i="1"/>
  <c r="CG39" i="1"/>
  <c r="CG35" i="1"/>
  <c r="CG45" i="1"/>
  <c r="CG41" i="1"/>
  <c r="CG40" i="1"/>
  <c r="CG36" i="1"/>
  <c r="CG37" i="1"/>
  <c r="CG47" i="1"/>
  <c r="CG38" i="1"/>
  <c r="CG32" i="1"/>
  <c r="CG28" i="1"/>
  <c r="CG33" i="1"/>
  <c r="CG27" i="1"/>
  <c r="CG26" i="1"/>
  <c r="CG34" i="1"/>
  <c r="CG29" i="1"/>
  <c r="CG21" i="1"/>
  <c r="CG22" i="1"/>
  <c r="CG31" i="1"/>
  <c r="CG16" i="1"/>
  <c r="CG23" i="1"/>
  <c r="CG17" i="1"/>
  <c r="CG25" i="1"/>
  <c r="CG18" i="1"/>
  <c r="CG30" i="1"/>
  <c r="CG24" i="1"/>
  <c r="CG19" i="1"/>
  <c r="CG15" i="1"/>
  <c r="CG10" i="1"/>
  <c r="CG9" i="1"/>
  <c r="CG20" i="1"/>
  <c r="CG8" i="1"/>
  <c r="CG7" i="1"/>
  <c r="CG13" i="1"/>
  <c r="CG14" i="1"/>
  <c r="CG12" i="1"/>
  <c r="CG5" i="1"/>
  <c r="CG2" i="1"/>
  <c r="CG3" i="1"/>
  <c r="CG4" i="1"/>
  <c r="CG11" i="1"/>
  <c r="CG6" i="1"/>
  <c r="F5" i="2"/>
  <c r="F8" i="2"/>
  <c r="F3" i="2"/>
  <c r="F4" i="2"/>
  <c r="F7" i="2"/>
  <c r="F9" i="2"/>
  <c r="F6" i="2"/>
  <c r="CJ56" i="1"/>
  <c r="CJ57" i="1"/>
  <c r="CJ54" i="1"/>
  <c r="CJ52" i="1"/>
  <c r="CJ55" i="1"/>
  <c r="CJ53" i="1"/>
  <c r="CJ50" i="1"/>
  <c r="CJ43" i="1"/>
  <c r="CJ49" i="1"/>
  <c r="CJ44" i="1"/>
  <c r="CJ58" i="1"/>
  <c r="CJ47" i="1"/>
  <c r="CJ48" i="1"/>
  <c r="CJ45" i="1"/>
  <c r="CJ41" i="1"/>
  <c r="CJ36" i="1"/>
  <c r="CJ42" i="1"/>
  <c r="CJ40" i="1"/>
  <c r="CJ37" i="1"/>
  <c r="CJ38" i="1"/>
  <c r="CJ34" i="1"/>
  <c r="CJ51" i="1"/>
  <c r="CJ35" i="1"/>
  <c r="CJ39" i="1"/>
  <c r="CJ32" i="1"/>
  <c r="CJ28" i="1"/>
  <c r="CJ27" i="1"/>
  <c r="CJ26" i="1"/>
  <c r="CJ46" i="1"/>
  <c r="CJ23" i="1"/>
  <c r="CJ17" i="1"/>
  <c r="CJ31" i="1"/>
  <c r="CJ18" i="1"/>
  <c r="CJ25" i="1"/>
  <c r="CJ24" i="1"/>
  <c r="CJ19" i="1"/>
  <c r="CJ20" i="1"/>
  <c r="CJ30" i="1"/>
  <c r="CJ21" i="1"/>
  <c r="CJ7" i="1"/>
  <c r="CJ33" i="1"/>
  <c r="CJ16" i="1"/>
  <c r="CJ13" i="1"/>
  <c r="CJ29" i="1"/>
  <c r="CJ14" i="1"/>
  <c r="CJ12" i="1"/>
  <c r="CJ11" i="1"/>
  <c r="CJ15" i="1"/>
  <c r="CJ22" i="1"/>
  <c r="CJ9" i="1"/>
  <c r="CJ10" i="1"/>
  <c r="CJ6" i="1"/>
  <c r="CJ8" i="1"/>
  <c r="CJ5" i="1"/>
  <c r="CJ2" i="1"/>
  <c r="CJ59" i="1" s="1" a="1"/>
  <c r="CJ59" i="1" s="1"/>
  <c r="CJ4" i="1"/>
  <c r="CJ3" i="1"/>
  <c r="BH20" i="1"/>
  <c r="BH21" i="1" s="1"/>
  <c r="BH9" i="1"/>
  <c r="CE56" i="1"/>
  <c r="CE58" i="1"/>
  <c r="CE57" i="1"/>
  <c r="CE53" i="1"/>
  <c r="CE49" i="1"/>
  <c r="CE48" i="1"/>
  <c r="CE50" i="1"/>
  <c r="CE54" i="1"/>
  <c r="CE52" i="1"/>
  <c r="CE51" i="1"/>
  <c r="CE47" i="1"/>
  <c r="CE46" i="1"/>
  <c r="CE45" i="1"/>
  <c r="CE41" i="1"/>
  <c r="H6" i="2"/>
  <c r="CE42" i="1"/>
  <c r="H9" i="2"/>
  <c r="CE55" i="1"/>
  <c r="CE43" i="1"/>
  <c r="CE38" i="1"/>
  <c r="CE34" i="1"/>
  <c r="CE44" i="1"/>
  <c r="CE39" i="1"/>
  <c r="CE35" i="1"/>
  <c r="CE40" i="1"/>
  <c r="CE36" i="1"/>
  <c r="CE37" i="1"/>
  <c r="CE31" i="1"/>
  <c r="CE30" i="1"/>
  <c r="CE29" i="1"/>
  <c r="CE32" i="1"/>
  <c r="CE28" i="1"/>
  <c r="CE25" i="1"/>
  <c r="CE33" i="1"/>
  <c r="CE27" i="1"/>
  <c r="CE26" i="1"/>
  <c r="CE24" i="1"/>
  <c r="CE19" i="1"/>
  <c r="CE20" i="1"/>
  <c r="CE21" i="1"/>
  <c r="CE22" i="1"/>
  <c r="CE23" i="1"/>
  <c r="CE17" i="1"/>
  <c r="CE14" i="1"/>
  <c r="CE12" i="1"/>
  <c r="CE11" i="1"/>
  <c r="CE15" i="1"/>
  <c r="CE10" i="1"/>
  <c r="CE9" i="1"/>
  <c r="CE16" i="1"/>
  <c r="CE8" i="1"/>
  <c r="CE18" i="1"/>
  <c r="CE6" i="1"/>
  <c r="CE2" i="1"/>
  <c r="CE7" i="1"/>
  <c r="CE5" i="1"/>
  <c r="CE4" i="1"/>
  <c r="CE3" i="1"/>
  <c r="CE13" i="1"/>
  <c r="CF58" i="1"/>
  <c r="CF55" i="1"/>
  <c r="CF49" i="1"/>
  <c r="CF48" i="1"/>
  <c r="CF50" i="1"/>
  <c r="CF51" i="1"/>
  <c r="CF47" i="1"/>
  <c r="CF46" i="1"/>
  <c r="CF45" i="1"/>
  <c r="CF54" i="1"/>
  <c r="CF53" i="1"/>
  <c r="CF52" i="1"/>
  <c r="CF42" i="1"/>
  <c r="CF57" i="1"/>
  <c r="CF56" i="1"/>
  <c r="CF38" i="1"/>
  <c r="CF34" i="1"/>
  <c r="CF44" i="1"/>
  <c r="CF43" i="1"/>
  <c r="CF39" i="1"/>
  <c r="CF35" i="1"/>
  <c r="CF41" i="1"/>
  <c r="CF40" i="1"/>
  <c r="CF36" i="1"/>
  <c r="CF31" i="1"/>
  <c r="CF30" i="1"/>
  <c r="CF29" i="1"/>
  <c r="CF32" i="1"/>
  <c r="CF28" i="1"/>
  <c r="CF25" i="1"/>
  <c r="CF33" i="1"/>
  <c r="CF27" i="1"/>
  <c r="CF26" i="1"/>
  <c r="CF37" i="1"/>
  <c r="CF20" i="1"/>
  <c r="CF21" i="1"/>
  <c r="CF22" i="1"/>
  <c r="CF23" i="1"/>
  <c r="CF18" i="1"/>
  <c r="CF11" i="1"/>
  <c r="CF15" i="1"/>
  <c r="CF10" i="1"/>
  <c r="CF9" i="1"/>
  <c r="CF17" i="1"/>
  <c r="CF16" i="1"/>
  <c r="CF8" i="1"/>
  <c r="CF24" i="1"/>
  <c r="CF19" i="1"/>
  <c r="CF13" i="1"/>
  <c r="CF12" i="1"/>
  <c r="CF6" i="1"/>
  <c r="H7" i="2" s="1"/>
  <c r="CF4" i="1"/>
  <c r="H5" i="2" s="1"/>
  <c r="CF7" i="1"/>
  <c r="H8" i="2" s="1"/>
  <c r="CF5" i="1"/>
  <c r="CF2" i="1"/>
  <c r="H3" i="2" s="1"/>
  <c r="CF3" i="1"/>
  <c r="H4" i="2" s="1"/>
  <c r="CF14" i="1"/>
  <c r="E9" i="2"/>
  <c r="E4" i="2"/>
  <c r="E6" i="2"/>
  <c r="E3" i="2"/>
  <c r="E7" i="2"/>
  <c r="E5" i="2"/>
  <c r="E8" i="2"/>
  <c r="CN58" i="1"/>
  <c r="CN55" i="1"/>
  <c r="CN49" i="1"/>
  <c r="CN48" i="1"/>
  <c r="CN57" i="1"/>
  <c r="CN56" i="1"/>
  <c r="CN50" i="1"/>
  <c r="CN59" i="1" a="1"/>
  <c r="CN59" i="1" s="1"/>
  <c r="CN51" i="1"/>
  <c r="CN54" i="1"/>
  <c r="CN46" i="1"/>
  <c r="CN45" i="1"/>
  <c r="CN47" i="1"/>
  <c r="CN42" i="1"/>
  <c r="CN53" i="1"/>
  <c r="CN52" i="1"/>
  <c r="CN38" i="1"/>
  <c r="CN34" i="1"/>
  <c r="CN39" i="1"/>
  <c r="CN35" i="1"/>
  <c r="CN36" i="1"/>
  <c r="CN44" i="1"/>
  <c r="CN43" i="1"/>
  <c r="CN41" i="1"/>
  <c r="CN40" i="1"/>
  <c r="CN31" i="1"/>
  <c r="CN30" i="1"/>
  <c r="CN29" i="1"/>
  <c r="CN32" i="1"/>
  <c r="CN28" i="1"/>
  <c r="CN25" i="1"/>
  <c r="CN27" i="1"/>
  <c r="CN26" i="1"/>
  <c r="CN33" i="1"/>
  <c r="CN37" i="1"/>
  <c r="CN20" i="1"/>
  <c r="CN21" i="1"/>
  <c r="CN22" i="1"/>
  <c r="CN23" i="1"/>
  <c r="CN18" i="1"/>
  <c r="CN11" i="1"/>
  <c r="CN17" i="1"/>
  <c r="CN15" i="1"/>
  <c r="CN10" i="1"/>
  <c r="CN9" i="1"/>
  <c r="CN24" i="1"/>
  <c r="CN19" i="1"/>
  <c r="CN8" i="1"/>
  <c r="CN7" i="1"/>
  <c r="CN16" i="1"/>
  <c r="CN13" i="1"/>
  <c r="CN6" i="1"/>
  <c r="CN5" i="1"/>
  <c r="CN2" i="1"/>
  <c r="CN4" i="1"/>
  <c r="CN3" i="1"/>
  <c r="CN14" i="1"/>
  <c r="CN12" i="1"/>
  <c r="CE59" i="1" l="1" a="1"/>
  <c r="CE59" i="1" s="1"/>
  <c r="I4" i="2"/>
  <c r="J4" i="2"/>
  <c r="J8" i="2"/>
  <c r="I8" i="2"/>
  <c r="J3" i="2"/>
  <c r="I3" i="2"/>
  <c r="J5" i="2"/>
  <c r="I5" i="2"/>
  <c r="J7" i="2"/>
  <c r="I7" i="2"/>
  <c r="CF59" i="1" a="1"/>
  <c r="CF59" i="1" s="1"/>
  <c r="W2" i="1" s="1" a="1"/>
  <c r="J9" i="2"/>
  <c r="I9" i="2"/>
  <c r="I6" i="2"/>
  <c r="J6" i="2"/>
  <c r="BH28" i="1"/>
  <c r="BH10" i="1"/>
  <c r="BH14" i="1" s="1"/>
  <c r="BI28" i="1"/>
  <c r="BH13" i="1"/>
  <c r="I60" i="2" l="1"/>
  <c r="W16" i="1"/>
  <c r="W8" i="1"/>
  <c r="W6" i="1"/>
  <c r="W9" i="1"/>
  <c r="W15" i="1"/>
  <c r="W7" i="1"/>
  <c r="W14" i="1"/>
  <c r="W5" i="1"/>
  <c r="W13" i="1"/>
  <c r="W12" i="1"/>
  <c r="W4" i="1"/>
  <c r="W2" i="1"/>
  <c r="W11" i="1"/>
  <c r="W3" i="1"/>
  <c r="H60" i="2" s="1"/>
  <c r="W10" i="1"/>
  <c r="BJ27" i="1"/>
  <c r="BH12" i="1"/>
  <c r="BJ29" i="1"/>
  <c r="BH47" i="1" l="1"/>
  <c r="BJ26" i="1"/>
  <c r="BH48" i="1" l="1"/>
  <c r="BI46" i="1" s="1"/>
  <c r="BH49" i="1"/>
  <c r="BH50" i="1" l="1"/>
  <c r="BH51" i="1" s="1"/>
  <c r="BI47" i="1"/>
  <c r="BI48" i="1" s="1"/>
  <c r="BI49" i="1" l="1"/>
  <c r="BH46" i="1" s="1"/>
  <c r="BJ32" i="1" s="1"/>
</calcChain>
</file>

<file path=xl/sharedStrings.xml><?xml version="1.0" encoding="utf-8"?>
<sst xmlns="http://schemas.openxmlformats.org/spreadsheetml/2006/main" count="175" uniqueCount="128">
  <si>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</si>
  <si>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</si>
  <si>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</si>
  <si>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</si>
  <si>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</si>
  <si>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</si>
  <si>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</si>
  <si>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</si>
  <si>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</si>
  <si>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</si>
  <si>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</si>
  <si>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</si>
  <si>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</si>
  <si>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</si>
  <si>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</si>
  <si>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</si>
  <si>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</si>
  <si>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</si>
  <si>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</si>
  <si>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CU-230</t>
  </si>
  <si>
    <t>Radiated</t>
  </si>
  <si>
    <t>LG</t>
  </si>
  <si>
    <t>ARUM168DTE5</t>
  </si>
  <si>
    <t>R1-Rdeck Amenity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</si>
  <si>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</si>
  <si>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</si>
  <si>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</si>
  <si>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</si>
  <si>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</si>
  <si>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</si>
  <si>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</si>
  <si>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</si>
  <si>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</si>
  <si>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CU-240</t>
  </si>
  <si>
    <t>R2</t>
  </si>
  <si>
    <t>Name</t>
  </si>
  <si>
    <t>CU-250</t>
  </si>
  <si>
    <t>CU-260</t>
  </si>
  <si>
    <t>CU-270</t>
  </si>
  <si>
    <t>Barrier (X0, Y1, Z0)</t>
  </si>
  <si>
    <t>CU-280</t>
  </si>
  <si>
    <t>ARUM216DTE5</t>
  </si>
  <si>
    <t>Barrier (X1, Y1, Z1)</t>
  </si>
  <si>
    <t>FU-1</t>
  </si>
  <si>
    <t>NA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</si>
  <si>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</si>
  <si>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</si>
  <si>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</si>
  <si>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</si>
  <si>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</si>
  <si>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</si>
  <si>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</si>
  <si>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</si>
  <si>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</si>
  <si>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</si>
  <si>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</si>
  <si>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</si>
  <si>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</si>
  <si>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</si>
  <si>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</si>
  <si>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</si>
  <si>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</si>
  <si>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</si>
  <si>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</si>
  <si>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</si>
  <si>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</si>
  <si>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</si>
  <si>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</si>
  <si>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</si>
  <si>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</si>
  <si>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</si>
  <si>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</si>
  <si>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</si>
  <si>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</si>
  <si>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</si>
  <si>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</si>
  <si>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</si>
  <si>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</si>
  <si>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Barrier boi</t>
  </si>
  <si>
    <t>Barrier gorl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</si>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</sst>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;;;@"/>
    <numFmt numFmtId="165" formatCode="0.0;\-0.0;;@"/>
    <numFmt numFmtId="166" formatCode="0;;;@"/>
    <numFmt numFmtId="167" formatCode="0;\-0;;@"/>
    <numFmt numFmtId="168" formatCode="0.0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04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14" fillId="7" borderId="16" xfId="7" applyBorder="1"/>
    <xf numFmtId="2" fontId="9" fillId="0" borderId="0" xfId="4" applyNumberFormat="1"/>
    <xf numFmtId="0" fontId="11" fillId="0" borderId="23" xfId="4" applyFont="1" applyBorder="1"/>
    <xf numFmtId="2" fontId="14" fillId="7" borderId="6" xfId="7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166" fontId="15" fillId="3" borderId="35" xfId="0" applyNumberFormat="1" applyFont="1" applyFill="1" applyBorder="1" applyAlignment="1">
      <alignment wrapText="1"/>
    </xf>
    <xf numFmtId="166" fontId="15" fillId="4" borderId="36" xfId="0" applyNumberFormat="1" applyFont="1" applyFill="1" applyBorder="1"/>
    <xf numFmtId="166" fontId="15" fillId="9" borderId="36" xfId="0" applyNumberFormat="1" applyFont="1" applyFill="1" applyBorder="1"/>
    <xf numFmtId="166" fontId="2" fillId="3" borderId="34" xfId="0" applyNumberFormat="1" applyFont="1" applyFill="1" applyBorder="1"/>
    <xf numFmtId="166" fontId="2" fillId="4" borderId="57" xfId="0" applyNumberFormat="1" applyFont="1" applyFill="1" applyBorder="1"/>
    <xf numFmtId="166" fontId="2" fillId="9" borderId="57" xfId="0" applyNumberFormat="1" applyFont="1" applyFill="1" applyBorder="1"/>
    <xf numFmtId="167" fontId="7" fillId="7" borderId="18" xfId="2" applyNumberFormat="1" applyAlignment="1">
      <alignment horizontal="left"/>
    </xf>
    <xf numFmtId="168" fontId="6" fillId="6" borderId="38" xfId="1" applyNumberFormat="1" applyBorder="1" applyAlignment="1">
      <alignment horizontal="left"/>
    </xf>
    <xf numFmtId="164" fontId="16" fillId="7" borderId="34" xfId="2" applyNumberFormat="1" applyFont="1" applyBorder="1" applyAlignment="1">
      <alignment horizontal="left"/>
    </xf>
    <xf numFmtId="166" fontId="16" fillId="7" borderId="57" xfId="2" applyNumberFormat="1" applyFont="1" applyBorder="1" applyAlignment="1">
      <alignment horizontal="left"/>
    </xf>
    <xf numFmtId="166" fontId="16" fillId="7" borderId="37" xfId="2" applyNumberFormat="1" applyFont="1" applyBorder="1" applyAlignment="1">
      <alignment horizontal="left"/>
    </xf>
    <xf numFmtId="166" fontId="16" fillId="7" borderId="38" xfId="2" applyNumberFormat="1" applyFont="1" applyBorder="1" applyAlignment="1">
      <alignment horizontal="left"/>
    </xf>
    <xf numFmtId="166" fontId="0" fillId="0" borderId="0" xfId="0" applyNumberFormat="1"/>
    <xf numFmtId="165" fontId="17" fillId="7" borderId="28" xfId="2" applyNumberFormat="1" applyFont="1" applyBorder="1" applyAlignment="1">
      <alignment horizontal="left"/>
    </xf>
    <xf numFmtId="167" fontId="17" fillId="7" borderId="25" xfId="2" applyNumberFormat="1" applyFont="1" applyBorder="1" applyAlignment="1">
      <alignment horizontal="left"/>
    </xf>
    <xf numFmtId="167" fontId="17" fillId="7" borderId="26" xfId="2" applyNumberFormat="1" applyFont="1" applyBorder="1" applyAlignment="1">
      <alignment horizontal="left"/>
    </xf>
    <xf numFmtId="167" fontId="17" fillId="7" borderId="27" xfId="2" applyNumberFormat="1" applyFont="1" applyBorder="1" applyAlignment="1">
      <alignment horizontal="left"/>
    </xf>
    <xf numFmtId="166" fontId="0" fillId="0" borderId="0" xfId="0" applyNumberFormat="1" applyAlignment="1">
      <alignment horizontal="right"/>
    </xf>
    <xf numFmtId="166" fontId="6" fillId="6" borderId="18" xfId="1" applyNumberFormat="1"/>
    <xf numFmtId="166" fontId="15" fillId="7" borderId="54" xfId="2" applyNumberFormat="1" applyFont="1" applyBorder="1" applyAlignment="1">
      <alignment horizontal="left"/>
    </xf>
    <xf numFmtId="166" fontId="15" fillId="7" borderId="58" xfId="2" applyNumberFormat="1" applyFont="1" applyBorder="1" applyAlignment="1">
      <alignment horizontal="left"/>
    </xf>
    <xf numFmtId="166" fontId="15" fillId="7" borderId="52" xfId="2" applyNumberFormat="1" applyFont="1" applyBorder="1" applyAlignment="1">
      <alignment horizontal="left"/>
    </xf>
    <xf numFmtId="166" fontId="15" fillId="7" borderId="55" xfId="2" applyNumberFormat="1" applyFont="1" applyBorder="1" applyAlignment="1">
      <alignment horizontal="left"/>
    </xf>
    <xf numFmtId="166" fontId="2" fillId="3" borderId="28" xfId="0" applyNumberFormat="1" applyFont="1" applyFill="1" applyBorder="1"/>
    <xf numFmtId="166" fontId="2" fillId="4" borderId="24" xfId="0" applyNumberFormat="1" applyFont="1" applyFill="1" applyBorder="1"/>
    <xf numFmtId="166" fontId="2" fillId="9" borderId="24" xfId="0" applyNumberFormat="1" applyFont="1" applyFill="1" applyBorder="1"/>
    <xf numFmtId="168" fontId="6" fillId="6" borderId="29" xfId="1" applyNumberFormat="1" applyBorder="1" applyAlignment="1">
      <alignment horizontal="left"/>
    </xf>
    <xf numFmtId="164" fontId="16" fillId="7" borderId="28" xfId="2" applyNumberFormat="1" applyFont="1" applyBorder="1" applyAlignment="1">
      <alignment horizontal="left"/>
    </xf>
    <xf numFmtId="166" fontId="16" fillId="7" borderId="24" xfId="2" applyNumberFormat="1" applyFont="1" applyBorder="1" applyAlignment="1">
      <alignment horizontal="left"/>
    </xf>
    <xf numFmtId="166" fontId="16" fillId="7" borderId="18" xfId="2" applyNumberFormat="1" applyFont="1" applyAlignment="1">
      <alignment horizontal="left"/>
    </xf>
    <xf numFmtId="166" fontId="16" fillId="7" borderId="29" xfId="2" applyNumberFormat="1" applyFont="1" applyBorder="1" applyAlignment="1">
      <alignment horizontal="left"/>
    </xf>
    <xf numFmtId="167" fontId="17" fillId="7" borderId="24" xfId="2" applyNumberFormat="1" applyFont="1" applyBorder="1" applyAlignment="1">
      <alignment horizontal="left"/>
    </xf>
    <xf numFmtId="167" fontId="17" fillId="7" borderId="18" xfId="2" applyNumberFormat="1" applyFont="1" applyAlignment="1">
      <alignment horizontal="left"/>
    </xf>
    <xf numFmtId="167" fontId="17" fillId="7" borderId="29" xfId="2" applyNumberFormat="1" applyFont="1" applyBorder="1" applyAlignment="1">
      <alignment horizontal="left"/>
    </xf>
    <xf numFmtId="166" fontId="15" fillId="7" borderId="56" xfId="2" applyNumberFormat="1" applyFont="1" applyBorder="1" applyAlignment="1">
      <alignment horizontal="left"/>
    </xf>
    <xf numFmtId="166" fontId="15" fillId="7" borderId="59" xfId="2" applyNumberFormat="1" applyFont="1" applyBorder="1" applyAlignment="1">
      <alignment horizontal="left"/>
    </xf>
    <xf numFmtId="166" fontId="15" fillId="7" borderId="53" xfId="2" applyNumberFormat="1" applyFont="1" applyBorder="1" applyAlignment="1">
      <alignment horizontal="left"/>
    </xf>
    <xf numFmtId="166" fontId="1" fillId="0" borderId="0" xfId="0" applyNumberFormat="1" applyFont="1" applyAlignment="1">
      <alignment horizontal="left"/>
    </xf>
    <xf numFmtId="168" fontId="14" fillId="7" borderId="45" xfId="7" applyNumberFormat="1" applyBorder="1"/>
    <xf numFmtId="168" fontId="14" fillId="7" borderId="17" xfId="7" applyNumberFormat="1" applyBorder="1"/>
    <xf numFmtId="168" fontId="14" fillId="7" borderId="47" xfId="7" applyNumberFormat="1" applyBorder="1"/>
    <xf numFmtId="168" fontId="14" fillId="7" borderId="7" xfId="7" applyNumberFormat="1" applyBorder="1"/>
    <xf numFmtId="168" fontId="14" fillId="7" borderId="48" xfId="7" applyNumberFormat="1" applyBorder="1"/>
    <xf numFmtId="168" fontId="14" fillId="7" borderId="49" xfId="7" applyNumberFormat="1" applyBorder="1"/>
    <xf numFmtId="168" fontId="14" fillId="7" borderId="51" xfId="7" applyNumberFormat="1" applyBorder="1"/>
    <xf numFmtId="168" fontId="14" fillId="7" borderId="9" xfId="7" applyNumberFormat="1" applyBorder="1"/>
    <xf numFmtId="166" fontId="16" fillId="7" borderId="28" xfId="2" applyNumberFormat="1" applyFont="1" applyBorder="1" applyAlignment="1">
      <alignment horizontal="left"/>
    </xf>
    <xf numFmtId="166" fontId="15" fillId="7" borderId="28" xfId="2" applyNumberFormat="1" applyFont="1" applyBorder="1" applyAlignment="1">
      <alignment horizontal="left"/>
    </xf>
    <xf numFmtId="166" fontId="15" fillId="7" borderId="24" xfId="2" applyNumberFormat="1" applyFont="1" applyBorder="1" applyAlignment="1">
      <alignment horizontal="left"/>
    </xf>
    <xf numFmtId="168" fontId="6" fillId="6" borderId="18" xfId="1" applyNumberFormat="1" applyAlignment="1">
      <alignment horizontal="left"/>
    </xf>
    <xf numFmtId="166" fontId="15" fillId="7" borderId="18" xfId="2" applyNumberFormat="1" applyFont="1" applyAlignment="1">
      <alignment horizontal="left"/>
    </xf>
    <xf numFmtId="166" fontId="15" fillId="7" borderId="29" xfId="2" applyNumberFormat="1" applyFont="1" applyBorder="1" applyAlignment="1">
      <alignment horizontal="left"/>
    </xf>
    <xf numFmtId="166" fontId="2" fillId="3" borderId="30" xfId="0" applyNumberFormat="1" applyFont="1" applyFill="1" applyBorder="1"/>
    <xf numFmtId="166" fontId="2" fillId="4" borderId="31" xfId="0" applyNumberFormat="1" applyFont="1" applyFill="1" applyBorder="1"/>
    <xf numFmtId="166" fontId="2" fillId="9" borderId="31" xfId="0" applyNumberFormat="1" applyFont="1" applyFill="1" applyBorder="1"/>
    <xf numFmtId="168" fontId="6" fillId="6" borderId="32" xfId="1" applyNumberFormat="1" applyBorder="1" applyAlignment="1">
      <alignment horizontal="left"/>
    </xf>
    <xf numFmtId="168" fontId="6" fillId="6" borderId="33" xfId="1" applyNumberFormat="1" applyBorder="1" applyAlignment="1">
      <alignment horizontal="left"/>
    </xf>
    <xf numFmtId="166" fontId="16" fillId="7" borderId="30" xfId="2" applyNumberFormat="1" applyFont="1" applyBorder="1" applyAlignment="1">
      <alignment horizontal="left"/>
    </xf>
    <xf numFmtId="166" fontId="16" fillId="7" borderId="31" xfId="2" applyNumberFormat="1" applyFont="1" applyBorder="1" applyAlignment="1">
      <alignment horizontal="left"/>
    </xf>
    <xf numFmtId="166" fontId="16" fillId="7" borderId="32" xfId="2" applyNumberFormat="1" applyFont="1" applyBorder="1" applyAlignment="1">
      <alignment horizontal="left"/>
    </xf>
    <xf numFmtId="166" fontId="16" fillId="7" borderId="33" xfId="2" applyNumberFormat="1" applyFont="1" applyBorder="1" applyAlignment="1">
      <alignment horizontal="left"/>
    </xf>
    <xf numFmtId="167" fontId="18" fillId="7" borderId="31" xfId="2" applyNumberFormat="1" applyFont="1" applyBorder="1" applyAlignment="1">
      <alignment horizontal="left"/>
    </xf>
    <xf numFmtId="167" fontId="18" fillId="7" borderId="32" xfId="2" applyNumberFormat="1" applyFont="1" applyBorder="1" applyAlignment="1">
      <alignment horizontal="left"/>
    </xf>
    <xf numFmtId="167" fontId="18" fillId="7" borderId="33" xfId="2" applyNumberFormat="1" applyFont="1" applyBorder="1" applyAlignment="1">
      <alignment horizontal="left"/>
    </xf>
    <xf numFmtId="166" fontId="15" fillId="7" borderId="30" xfId="2" applyNumberFormat="1" applyFont="1" applyBorder="1" applyAlignment="1">
      <alignment horizontal="left"/>
    </xf>
    <xf numFmtId="166" fontId="15" fillId="7" borderId="31" xfId="2" applyNumberFormat="1" applyFont="1" applyBorder="1" applyAlignment="1">
      <alignment horizontal="left"/>
    </xf>
    <xf numFmtId="166" fontId="15" fillId="7" borderId="32" xfId="2" applyNumberFormat="1" applyFont="1" applyBorder="1" applyAlignment="1">
      <alignment horizontal="left"/>
    </xf>
    <xf numFmtId="166" fontId="15" fillId="7" borderId="33" xfId="2" applyNumberFormat="1" applyFont="1" applyBorder="1" applyAlignment="1">
      <alignment horizontal="left"/>
    </xf>
    <xf numFmtId="166" fontId="13" fillId="10" borderId="35" xfId="3" applyNumberFormat="1" applyBorder="1" applyAlignment="1">
      <alignment horizontal="left"/>
    </xf>
    <xf numFmtId="166" fontId="12" fillId="3" borderId="64" xfId="0" applyNumberFormat="1" applyFont="1" applyFill="1" applyBorder="1" applyAlignment="1">
      <alignment horizontal="center"/>
    </xf>
    <xf numFmtId="166" fontId="12" fillId="4" borderId="13" xfId="0" applyNumberFormat="1" applyFont="1" applyFill="1" applyBorder="1"/>
    <xf numFmtId="166" fontId="2" fillId="3" borderId="64" xfId="0" applyNumberFormat="1" applyFont="1" applyFill="1" applyBorder="1" applyAlignment="1">
      <alignment horizontal="center"/>
    </xf>
    <xf numFmtId="166" fontId="2" fillId="4" borderId="13" xfId="0" applyNumberFormat="1" applyFont="1" applyFill="1" applyBorder="1"/>
    <xf numFmtId="166" fontId="12" fillId="3" borderId="6" xfId="0" applyNumberFormat="1" applyFont="1" applyFill="1" applyBorder="1" applyAlignment="1">
      <alignment horizontal="center"/>
    </xf>
    <xf numFmtId="166" fontId="2" fillId="3" borderId="6" xfId="0" applyNumberFormat="1" applyFont="1" applyFill="1" applyBorder="1" applyAlignment="1">
      <alignment horizontal="center"/>
    </xf>
    <xf numFmtId="166" fontId="12" fillId="3" borderId="50" xfId="0" applyNumberFormat="1" applyFont="1" applyFill="1" applyBorder="1" applyAlignment="1">
      <alignment horizontal="center"/>
    </xf>
    <xf numFmtId="166" fontId="12" fillId="4" borderId="65" xfId="0" applyNumberFormat="1" applyFont="1" applyFill="1" applyBorder="1"/>
    <xf numFmtId="168" fontId="0" fillId="0" borderId="0" xfId="0" applyNumberFormat="1"/>
    <xf numFmtId="0" fontId="9" fillId="11" borderId="1" xfId="4" applyFill="1" applyBorder="1" applyAlignment="1">
      <alignment horizontal="center"/>
    </xf>
    <xf numFmtId="0" fontId="0" fillId="0" borderId="2" xfId="0" applyBorder="1"/>
    <xf numFmtId="2" fontId="14" fillId="7" borderId="16" xfId="7" applyNumberFormat="1" applyBorder="1"/>
    <xf numFmtId="2" fontId="14" fillId="7" borderId="6" xfId="7" applyNumberFormat="1" applyBorder="1"/>
    <xf numFmtId="2" fontId="14" fillId="7" borderId="8" xfId="7" applyNumberFormat="1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LwA_XYZ'!$BG$27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B82-482F-AA20-91CE122970A6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CB82-482F-AA20-91CE122970A6}"/>
              </c:ext>
            </c:extLst>
          </c:dPt>
          <c:xVal>
            <c:numRef>
              <c:f>'Input LwA_XYZ'!$BH$27:$BH$30</c:f>
              <c:numCache>
                <c:formatCode>General</c:formatCode>
                <c:ptCount val="4"/>
                <c:pt idx="0">
                  <c:v>0</c:v>
                </c:pt>
                <c:pt idx="1">
                  <c:v>9.0706311768731425</c:v>
                </c:pt>
                <c:pt idx="2">
                  <c:v>14.609236804159204</c:v>
                </c:pt>
                <c:pt idx="3">
                  <c:v>0</c:v>
                </c:pt>
              </c:numCache>
            </c:numRef>
          </c:xVal>
          <c:yVal>
            <c:numRef>
              <c:f>'Input LwA_XYZ'!$BI$27:$BI$30</c:f>
              <c:numCache>
                <c:formatCode>0.00</c:formatCode>
                <c:ptCount val="4"/>
                <c:pt idx="0" formatCode="General">
                  <c:v>5.583333333333333</c:v>
                </c:pt>
                <c:pt idx="1">
                  <c:v>12</c:v>
                </c:pt>
                <c:pt idx="2" formatCode="General">
                  <c:v>5</c:v>
                </c:pt>
                <c:pt idx="3" formatCode="General">
                  <c:v>5.583333333333333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82-482F-AA20-91CE122970A6}"/>
            </c:ext>
          </c:extLst>
        </c:ser>
        <c:ser>
          <c:idx val="1"/>
          <c:order val="1"/>
          <c:tx>
            <c:strRef>
              <c:f>'Input LwA_XYZ'!$BG$28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LwA_XYZ'!$BK$6</c:f>
                <c:numCache>
                  <c:formatCode>General</c:formatCode>
                  <c:ptCount val="1"/>
                  <c:pt idx="0">
                    <c:v>12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LwA_XYZ'!$BH$28</c:f>
              <c:numCache>
                <c:formatCode>General</c:formatCode>
                <c:ptCount val="1"/>
                <c:pt idx="0">
                  <c:v>9.0706311768731425</c:v>
                </c:pt>
              </c:numCache>
            </c:numRef>
          </c:xVal>
          <c:yVal>
            <c:numRef>
              <c:f>'Input LwA_XYZ'!$BI$28</c:f>
              <c:numCache>
                <c:formatCode>0.00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82-482F-AA20-91CE122970A6}"/>
            </c:ext>
          </c:extLst>
        </c:ser>
        <c:ser>
          <c:idx val="2"/>
          <c:order val="2"/>
          <c:tx>
            <c:strRef>
              <c:f>'Input LwA_XYZ'!$BG$29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LwA_XYZ'!$BH$29</c:f>
              <c:numCache>
                <c:formatCode>General</c:formatCode>
                <c:ptCount val="1"/>
                <c:pt idx="0">
                  <c:v>14.609236804159204</c:v>
                </c:pt>
              </c:numCache>
            </c:numRef>
          </c:xVal>
          <c:yVal>
            <c:numRef>
              <c:f>'Input LwA_XYZ'!$BI$29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B82-482F-AA20-91CE122970A6}"/>
            </c:ext>
          </c:extLst>
        </c:ser>
        <c:ser>
          <c:idx val="3"/>
          <c:order val="3"/>
          <c:tx>
            <c:strRef>
              <c:f>'Input LwA_XYZ'!$BG$30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CB82-482F-AA20-91CE122970A6}"/>
              </c:ext>
            </c:extLst>
          </c:dPt>
          <c:xVal>
            <c:numRef>
              <c:f>'Input LwA_XYZ'!$BH$30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LwA_XYZ'!$BI$30</c:f>
              <c:numCache>
                <c:formatCode>General</c:formatCode>
                <c:ptCount val="1"/>
                <c:pt idx="0">
                  <c:v>5.583333333333333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B82-482F-AA20-91CE12297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57</xdr:col>
      <xdr:colOff>92286</xdr:colOff>
      <xdr:row>51</xdr:row>
      <xdr:rowOff>174840</xdr:rowOff>
    </xdr:from>
    <xdr:to>
      <xdr:col>62</xdr:col>
      <xdr:colOff>34421</xdr:colOff>
      <xdr:row>69</xdr:row>
      <xdr:rowOff>134419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26647986" y="11842965"/>
          <a:ext cx="5247560" cy="358860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58</xdr:col>
      <xdr:colOff>873580</xdr:colOff>
      <xdr:row>40</xdr:row>
      <xdr:rowOff>179614</xdr:rowOff>
    </xdr:from>
    <xdr:to>
      <xdr:col>59</xdr:col>
      <xdr:colOff>916748</xdr:colOff>
      <xdr:row>47</xdr:row>
      <xdr:rowOff>32500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8038880" y="9533164"/>
          <a:ext cx="2138668" cy="1319736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5585532" y="3827128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I65"/>
  <sheetViews>
    <sheetView tabSelected="1" zoomScale="70" zoomScaleNormal="70" workbookViewId="0">
      <pane xSplit="2" topLeftCell="O1" activePane="topRight" state="frozen"/>
      <selection pane="topRight" activeCell="X7" sqref="X7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6" width="6.28515625" bestFit="1" customWidth="1"/>
    <col min="7" max="11" width="10" customWidth="1"/>
    <col min="12" max="12" width="8.5703125" style="5" bestFit="1" customWidth="1"/>
    <col min="13" max="13" width="6.5703125" style="5" bestFit="1" customWidth="1"/>
    <col min="14" max="14" width="7" customWidth="1"/>
    <col min="15" max="15" width="8.42578125" customWidth="1"/>
    <col min="16" max="16" width="10.7109375" bestFit="1" customWidth="1"/>
    <col min="18" max="18" width="13.85546875" customWidth="1"/>
    <col min="19" max="21" width="7.140625" customWidth="1"/>
    <col min="22" max="24" width="8.42578125" customWidth="1"/>
    <col min="25" max="25" width="12.7109375" customWidth="1"/>
    <col min="26" max="40" width="5.85546875" customWidth="1"/>
    <col min="41" max="41" width="4.7109375" customWidth="1"/>
    <col min="42" max="42" width="16.42578125" customWidth="1"/>
    <col min="43" max="43" width="6.85546875" customWidth="1"/>
    <col min="44" max="56" width="3.7109375" customWidth="1"/>
    <col min="57" max="57" width="5" customWidth="1"/>
    <col min="58" max="58" width="9.140625" customWidth="1"/>
    <col min="59" max="59" width="31.42578125" customWidth="1"/>
    <col min="60" max="60" width="21.140625" customWidth="1"/>
    <col min="61" max="61" width="9" customWidth="1"/>
    <col min="62" max="62" width="8.85546875" customWidth="1"/>
    <col min="63" max="63" width="6.7109375" customWidth="1"/>
    <col min="66" max="66" width="3.28515625" bestFit="1" customWidth="1"/>
    <col min="67" max="73" width="3.28515625" customWidth="1"/>
    <col min="74" max="79" width="3.28515625" bestFit="1" customWidth="1"/>
    <col min="80" max="80" width="3.28515625" customWidth="1"/>
    <col min="83" max="83" width="6.5703125" bestFit="1" customWidth="1"/>
    <col min="84" max="90" width="4.5703125" customWidth="1"/>
    <col min="91" max="92" width="4.5703125" bestFit="1" customWidth="1"/>
    <col min="93" max="93" width="4.28515625" bestFit="1" customWidth="1"/>
    <col min="94" max="97" width="4.5703125" bestFit="1" customWidth="1"/>
  </cols>
  <sheetData>
    <row r="1" spans="1:113" ht="76.5" customHeight="1" thickBot="1" x14ac:dyDescent="0.35">
      <c r="A1" s="121" t="s">
        <v>0</v>
      </c>
      <c r="B1" s="122" t="s">
        <v>1</v>
      </c>
      <c r="C1" s="122" t="s">
        <v>2</v>
      </c>
      <c r="D1" s="123" t="s">
        <v>3</v>
      </c>
      <c r="E1" s="123" t="s">
        <v>4</v>
      </c>
      <c r="F1" s="11" t="s">
        <v>5</v>
      </c>
      <c r="G1" s="12" t="s">
        <v>6</v>
      </c>
      <c r="H1" s="13" t="s">
        <v>7</v>
      </c>
      <c r="I1" s="12" t="s">
        <v>8</v>
      </c>
      <c r="J1" s="13" t="s">
        <v>9</v>
      </c>
      <c r="K1" s="13" t="s">
        <v>10</v>
      </c>
      <c r="L1" s="14" t="s">
        <v>11</v>
      </c>
      <c r="M1" s="14" t="s">
        <v>12</v>
      </c>
      <c r="N1" s="15" t="s">
        <v>13</v>
      </c>
      <c r="O1" s="16" t="s">
        <v>14</v>
      </c>
      <c r="P1" s="17" t="s">
        <v>15</v>
      </c>
      <c r="R1" s="85" t="s">
        <v>16</v>
      </c>
      <c r="S1" s="86" t="s">
        <v>11</v>
      </c>
      <c r="T1" s="86" t="s">
        <v>12</v>
      </c>
      <c r="U1" s="87" t="s">
        <v>13</v>
      </c>
      <c r="V1" s="1" t="s">
        <v>17</v>
      </c>
      <c r="W1" s="1" t="s">
        <v>18</v>
      </c>
      <c r="Y1" s="63" t="s">
        <v>16</v>
      </c>
      <c r="Z1" s="18" t="str">
        <f t="array" ref="Z1:AN1">TRANSPOSE(R2:R16)</f>
        <v>R1-Rdeck Amenity</v>
      </c>
      <c r="AA1" s="64" t="str">
        <v>R2</v>
      </c>
      <c r="AB1" s="64">
        <v>0</v>
      </c>
      <c r="AC1" s="64">
        <v>0</v>
      </c>
      <c r="AD1" s="64">
        <v>0</v>
      </c>
      <c r="AE1" s="64">
        <v>0</v>
      </c>
      <c r="AF1" s="64">
        <v>0</v>
      </c>
      <c r="AG1" s="64">
        <v>0</v>
      </c>
      <c r="AH1" s="19">
        <v>0</v>
      </c>
      <c r="AI1" s="19">
        <v>0</v>
      </c>
      <c r="AJ1" s="19">
        <v>0</v>
      </c>
      <c r="AK1" s="19">
        <v>0</v>
      </c>
      <c r="AL1" s="19">
        <v>0</v>
      </c>
      <c r="AM1" s="19">
        <v>0</v>
      </c>
      <c r="AN1" s="20">
        <v>0</v>
      </c>
      <c r="AP1" s="63" t="s">
        <v>16</v>
      </c>
      <c r="AQ1" s="18" t="str">
        <f t="shared" ref="AQ1:BE1" si="0">Z1</f>
        <v>R1-Rdeck Amenity</v>
      </c>
      <c r="AR1" s="64" t="str">
        <f t="shared" si="0"/>
        <v>R2</v>
      </c>
      <c r="AS1" s="64">
        <f t="shared" si="0"/>
        <v>0</v>
      </c>
      <c r="AT1" s="64">
        <f t="shared" si="0"/>
        <v>0</v>
      </c>
      <c r="AU1" s="64">
        <f t="shared" si="0"/>
        <v>0</v>
      </c>
      <c r="AV1" s="64">
        <f t="shared" si="0"/>
        <v>0</v>
      </c>
      <c r="AW1" s="64">
        <f t="shared" si="0"/>
        <v>0</v>
      </c>
      <c r="AX1" s="64">
        <f t="shared" si="0"/>
        <v>0</v>
      </c>
      <c r="AY1" s="19">
        <f t="shared" si="0"/>
        <v>0</v>
      </c>
      <c r="AZ1" s="19">
        <f t="shared" si="0"/>
        <v>0</v>
      </c>
      <c r="BA1" s="19">
        <f t="shared" si="0"/>
        <v>0</v>
      </c>
      <c r="BB1" s="19">
        <f t="shared" si="0"/>
        <v>0</v>
      </c>
      <c r="BC1" s="19">
        <f t="shared" si="0"/>
        <v>0</v>
      </c>
      <c r="BD1" s="19">
        <f t="shared" si="0"/>
        <v>0</v>
      </c>
      <c r="BE1" s="20">
        <f t="shared" si="0"/>
        <v>0</v>
      </c>
      <c r="BM1" t="s">
        <v>16</v>
      </c>
      <c r="BN1" s="18" t="str">
        <f t="shared" ref="BN1:CB1" si="1">Z1</f>
        <v>R1-Rdeck Amenity</v>
      </c>
      <c r="BO1" s="64" t="str">
        <f t="shared" si="1"/>
        <v>R2</v>
      </c>
      <c r="BP1" s="64">
        <f t="shared" si="1"/>
        <v>0</v>
      </c>
      <c r="BQ1" s="64">
        <f t="shared" si="1"/>
        <v>0</v>
      </c>
      <c r="BR1" s="64">
        <f t="shared" si="1"/>
        <v>0</v>
      </c>
      <c r="BS1" s="64">
        <f t="shared" si="1"/>
        <v>0</v>
      </c>
      <c r="BT1" s="64">
        <f t="shared" si="1"/>
        <v>0</v>
      </c>
      <c r="BU1" s="64">
        <f t="shared" si="1"/>
        <v>0</v>
      </c>
      <c r="BV1" s="19">
        <f t="shared" si="1"/>
        <v>0</v>
      </c>
      <c r="BW1" s="19">
        <f t="shared" si="1"/>
        <v>0</v>
      </c>
      <c r="BX1" s="19">
        <f t="shared" si="1"/>
        <v>0</v>
      </c>
      <c r="BY1" s="19">
        <f t="shared" si="1"/>
        <v>0</v>
      </c>
      <c r="BZ1" s="19">
        <f t="shared" si="1"/>
        <v>0</v>
      </c>
      <c r="CA1" s="19">
        <f t="shared" si="1"/>
        <v>0</v>
      </c>
      <c r="CB1" s="20">
        <f t="shared" si="1"/>
        <v>0</v>
      </c>
      <c r="CD1" t="s">
        <v>16</v>
      </c>
      <c r="CE1" s="18" t="str">
        <f t="shared" ref="CE1:CS1" si="2">Z1</f>
        <v>R1-Rdeck Amenity</v>
      </c>
      <c r="CF1" s="64" t="str">
        <f t="shared" si="2"/>
        <v>R2</v>
      </c>
      <c r="CG1" s="64">
        <f t="shared" si="2"/>
        <v>0</v>
      </c>
      <c r="CH1" s="64">
        <f t="shared" si="2"/>
        <v>0</v>
      </c>
      <c r="CI1" s="64">
        <f t="shared" si="2"/>
        <v>0</v>
      </c>
      <c r="CJ1" s="64">
        <f t="shared" si="2"/>
        <v>0</v>
      </c>
      <c r="CK1" s="64">
        <f t="shared" si="2"/>
        <v>0</v>
      </c>
      <c r="CL1" s="64">
        <f t="shared" si="2"/>
        <v>0</v>
      </c>
      <c r="CM1" s="19">
        <f t="shared" si="2"/>
        <v>0</v>
      </c>
      <c r="CN1" s="19">
        <f t="shared" si="2"/>
        <v>0</v>
      </c>
      <c r="CO1" s="19">
        <f t="shared" si="2"/>
        <v>0</v>
      </c>
      <c r="CP1" s="19">
        <f t="shared" si="2"/>
        <v>0</v>
      </c>
      <c r="CQ1" s="19">
        <f t="shared" si="2"/>
        <v>0</v>
      </c>
      <c r="CR1" s="19">
        <f t="shared" si="2"/>
        <v>0</v>
      </c>
      <c r="CS1" s="20">
        <f t="shared" si="2"/>
        <v>0</v>
      </c>
    </row>
    <row r="2" spans="1:113" ht="17.25" customHeight="1" thickBot="1" x14ac:dyDescent="0.35">
      <c r="A2" s="124">
        <v>1</v>
      </c>
      <c r="B2" s="125" t="s">
        <v>19</v>
      </c>
      <c r="C2" s="125" t="s">
        <v>20</v>
      </c>
      <c r="D2" s="126" t="s">
        <v>21</v>
      </c>
      <c r="E2" s="126" t="s">
        <v>22</v>
      </c>
      <c r="F2" s="83">
        <v>61</v>
      </c>
      <c r="G2" s="83">
        <v>3.28</v>
      </c>
      <c r="H2" s="84">
        <v>2</v>
      </c>
      <c r="I2" s="127">
        <f t="shared" ref="I2:I33" si="3">IF(AND(A2&gt;0, G2&gt;0), F2+ABS(10*LOG10(H2/(4*PI()*CONVERT(G2,"ft", "m")^2))), F2)</f>
        <v>68.979574811165989</v>
      </c>
      <c r="J2" s="84">
        <v>2</v>
      </c>
      <c r="K2" s="84"/>
      <c r="L2" s="83">
        <v>53.8</v>
      </c>
      <c r="M2" s="83">
        <v>96.18</v>
      </c>
      <c r="N2" s="111">
        <f t="shared" ref="N2:N33" si="4">SUM(O2:P2)</f>
        <v>0</v>
      </c>
      <c r="O2" s="83">
        <v>0</v>
      </c>
      <c r="P2" s="128">
        <v>0</v>
      </c>
      <c r="R2" s="88" t="s">
        <v>23</v>
      </c>
      <c r="S2" s="83">
        <v>58.88</v>
      </c>
      <c r="T2" s="83">
        <v>78.55</v>
      </c>
      <c r="U2" s="89">
        <v>5</v>
      </c>
      <c r="V2" s="8">
        <v>45</v>
      </c>
      <c r="W2" s="2">
        <f t="array" ref="W2:W16">TRANSPOSE(ROUND(CE59:CS59,0))</f>
        <v>60</v>
      </c>
      <c r="Y2" t="s">
        <v>24</v>
      </c>
      <c r="Z2" s="129">
        <f t="array" ref="Z2">IF(Z$1=0,"",SQRT((_xlfn.XLOOKUP(Z$1,$R$2:$R$18,$S$2:$S$18)-$L2)^2+(_xlfn.XLOOKUP(Z$1,$R$2:$R$18,$T$2:$T$18)-$M2)^2+(_xlfn.XLOOKUP(Z$1,$R$2:$R$18,$U$2:$U$18-$N2)^2)))</f>
        <v>19.016395557518265</v>
      </c>
      <c r="AA2" s="130">
        <f t="array" ref="AA2">IF(AA$1=0,"",SQRT((_xlfn.XLOOKUP(AA$1,$R$2:$R$18,$S$2:$S$18)-$L2)^2+(_xlfn.XLOOKUP(AA$1,$R$2:$R$18,$T$2:$T$18)-$M2)^2+(_xlfn.XLOOKUP(AA$1,$R$2:$R$18,$U$2:$U$18-$N2)^2)))</f>
        <v>108.64098121795477</v>
      </c>
      <c r="AB2" s="130" t="str">
        <f t="array" ref="AB2">IF(AB$1=0,"",SQRT((_xlfn.XLOOKUP(AB$1,$R$2:$R$18,$S$2:$S$18)-$L2)^2+(_xlfn.XLOOKUP(AB$1,$R$2:$R$18,$T$2:$T$18)-$M2)^2+(_xlfn.XLOOKUP(AB$1,$R$2:$R$18,$U$2:$U$18-$N2)^2)))</f>
        <v/>
      </c>
      <c r="AC2" s="130" t="str">
        <f t="array" ref="AC2">IF(AC$1=0,"",SQRT((_xlfn.XLOOKUP(AC$1,$R$2:$R$18,$S$2:$S$18)-$L2)^2+(_xlfn.XLOOKUP(AC$1,$R$2:$R$18,$T$2:$T$18)-$M2)^2+(_xlfn.XLOOKUP(AC$1,$R$2:$R$18,$U$2:$U$18-$N2)^2)))</f>
        <v/>
      </c>
      <c r="AD2" s="130" t="str">
        <f t="array" ref="AD2">IF(AD$1=0,"",SQRT((_xlfn.XLOOKUP(AD$1,$R$2:$R$18,$S$2:$S$18)-$L2)^2+(_xlfn.XLOOKUP(AD$1,$R$2:$R$18,$T$2:$T$18)-$M2)^2+(_xlfn.XLOOKUP(AD$1,$R$2:$R$18,$U$2:$U$18-$N2)^2)))</f>
        <v/>
      </c>
      <c r="AE2" s="130" t="str">
        <f t="array" ref="AE2">IF(AE$1=0,"",SQRT((_xlfn.XLOOKUP(AE$1,$R$2:$R$18,$S$2:$S$18)-$L2)^2+(_xlfn.XLOOKUP(AE$1,$R$2:$R$18,$T$2:$T$18)-$M2)^2+(_xlfn.XLOOKUP(AE$1,$R$2:$R$18,$U$2:$U$18-$N2)^2)))</f>
        <v/>
      </c>
      <c r="AF2" s="130" t="str">
        <f t="array" ref="AF2">IF(AF$1=0,"",SQRT((_xlfn.XLOOKUP(AF$1,$R$2:$R$18,$S$2:$S$18)-$L2)^2+(_xlfn.XLOOKUP(AF$1,$R$2:$R$18,$T$2:$T$18)-$M2)^2+(_xlfn.XLOOKUP(AF$1,$R$2:$R$18,$U$2:$U$18-$N2)^2)))</f>
        <v/>
      </c>
      <c r="AG2" s="130" t="str">
        <f t="array" ref="AG2">IF(AG$1=0,"",SQRT((_xlfn.XLOOKUP(AG$1,$R$2:$R$18,$S$2:$S$18)-$L2)^2+(_xlfn.XLOOKUP(AG$1,$R$2:$R$18,$T$2:$T$18)-$M2)^2+(_xlfn.XLOOKUP(AG$1,$R$2:$R$18,$U$2:$U$18-$N2)^2)))</f>
        <v/>
      </c>
      <c r="AH2" s="131" t="str">
        <f t="array" ref="AH2">IF(AH$1=0,"",SQRT((_xlfn.XLOOKUP(AH$1,$R$2:$R$18,$S$2:$S$18)-$L2)^2+(_xlfn.XLOOKUP(AH$1,$R$2:$R$18,$T$2:$T$18)-$M2)^2+(_xlfn.XLOOKUP(AH$1,$R$2:$R$18,$U$2:$U$18-$N2)^2)))</f>
        <v/>
      </c>
      <c r="AI2" s="131" t="str">
        <f t="array" ref="AI2">IF(AI$1=0,"",SQRT((_xlfn.XLOOKUP(AI$1,$R$2:$R$18,$S$2:$S$18)-$L2)^2+(_xlfn.XLOOKUP(AI$1,$R$2:$R$18,$T$2:$T$18)-$M2)^2+(_xlfn.XLOOKUP(AI$1,$R$2:$R$18,$U$2:$U$18-$N2)^2)))</f>
        <v/>
      </c>
      <c r="AJ2" s="131" t="str">
        <f t="array" ref="AJ2">IF(AJ$1=0,"",SQRT((_xlfn.XLOOKUP(AJ$1,$R$2:$R$18,$S$2:$S$18)-$L2)^2+(_xlfn.XLOOKUP(AJ$1,$R$2:$R$18,$T$2:$T$18)-$M2)^2+(_xlfn.XLOOKUP(AJ$1,$R$2:$R$18,$U$2:$U$18-$N2)^2)))</f>
        <v/>
      </c>
      <c r="AK2" s="131" t="str">
        <f t="array" ref="AK2">IF(AK$1=0,"",SQRT((_xlfn.XLOOKUP(AK$1,$R$2:$R$18,$S$2:$S$18)-$L2)^2+(_xlfn.XLOOKUP(AK$1,$R$2:$R$18,$T$2:$T$18)-$M2)^2+(_xlfn.XLOOKUP(AK$1,$R$2:$R$18,$U$2:$U$18-$N2)^2)))</f>
        <v/>
      </c>
      <c r="AL2" s="131" t="str">
        <f t="array" ref="AL2">IF(AL$1=0,"",SQRT((_xlfn.XLOOKUP(AL$1,$R$2:$R$18,$S$2:$S$18)-$L2)^2+(_xlfn.XLOOKUP(AL$1,$R$2:$R$18,$T$2:$T$18)-$M2)^2+(_xlfn.XLOOKUP(AL$1,$R$2:$R$18,$U$2:$U$18-$N2)^2)))</f>
        <v/>
      </c>
      <c r="AM2" s="131" t="str">
        <f t="array" ref="AM2">IF(AM$1=0,"",SQRT((_xlfn.XLOOKUP(AM$1,$R$2:$R$18,$S$2:$S$18)-$L2)^2+(_xlfn.XLOOKUP(AM$1,$R$2:$R$18,$T$2:$T$18)-$M2)^2+(_xlfn.XLOOKUP(AM$1,$R$2:$R$18,$U$2:$U$18-$N2)^2)))</f>
        <v/>
      </c>
      <c r="AN2" s="132" t="str">
        <f t="array" ref="AN2">IF(AN$1=0,"",SQRT((_xlfn.XLOOKUP(AN$1,$R$2:$R$18,$S$2:$S$18)-$L2)^2+(_xlfn.XLOOKUP(AN$1,$R$2:$R$18,$T$2:$T$18)-$M2)^2+(_xlfn.XLOOKUP(AN$1,$R$2:$R$18,$U$2:$U$18-$N2)^2)))</f>
        <v/>
      </c>
      <c r="AO2" s="133"/>
      <c r="AP2" s="133" t="s">
        <v>25</v>
      </c>
      <c r="AQ2" s="134">
        <f t="shared" ref="AQ2:AQ33" si="5">IFERROR(-ABS(10*LOG10(($J2/(4*PI()*CONVERT(Z2,"ft","m")^2)))),0)</f>
        <v>-23.244661987250716</v>
      </c>
      <c r="AR2" s="135">
        <f t="shared" ref="AR2:AR33" si="6">IFERROR(-ABS(10*LOG10(($J2/(4*PI()*CONVERT(AA2,"ft","m")^2)))),0)</f>
        <v>-38.381971524780766</v>
      </c>
      <c r="AS2" s="135">
        <f t="shared" ref="AS2:AS33" si="7">IFERROR(-ABS(10*LOG10(($J2/(4*PI()*CONVERT(AB2,"ft","m")^2)))),0)</f>
        <v>0</v>
      </c>
      <c r="AT2" s="135">
        <f t="shared" ref="AT2:AT33" si="8">IFERROR(-ABS(10*LOG10(($J2/(4*PI()*CONVERT(AC2,"ft","m")^2)))),0)</f>
        <v>0</v>
      </c>
      <c r="AU2" s="135">
        <f t="shared" ref="AU2:AU33" si="9">IFERROR(-ABS(10*LOG10(($J2/(4*PI()*CONVERT(AD2,"ft","m")^2)))),0)</f>
        <v>0</v>
      </c>
      <c r="AV2" s="135">
        <f t="shared" ref="AV2:AV33" si="10">IFERROR(-ABS(10*LOG10(($J2/(4*PI()*CONVERT(AE2,"ft","m")^2)))),0)</f>
        <v>0</v>
      </c>
      <c r="AW2" s="135">
        <f t="shared" ref="AW2:AW33" si="11">IFERROR(-ABS(10*LOG10(($J2/(4*PI()*CONVERT(AF2,"ft","m")^2)))),0)</f>
        <v>0</v>
      </c>
      <c r="AX2" s="135">
        <f t="shared" ref="AX2:AX33" si="12">IFERROR(-ABS(10*LOG10(($J2/(4*PI()*CONVERT(AG2,"ft","m")^2)))),0)</f>
        <v>0</v>
      </c>
      <c r="AY2" s="136">
        <f t="shared" ref="AY2:AY33" si="13">IFERROR(-ABS(10*LOG10(($J2/(4*PI()*CONVERT(AH2,"ft","m")^2)))),0)</f>
        <v>0</v>
      </c>
      <c r="AZ2" s="136">
        <f t="shared" ref="AZ2:AZ33" si="14">IFERROR(-ABS(10*LOG10(($J2/(4*PI()*CONVERT(AI2,"ft","m")^2)))),0)</f>
        <v>0</v>
      </c>
      <c r="BA2" s="136">
        <f t="shared" ref="BA2:BA33" si="15">IFERROR(-ABS(10*LOG10(($J2/(4*PI()*CONVERT(AJ2,"ft","m")^2)))),0)</f>
        <v>0</v>
      </c>
      <c r="BB2" s="136">
        <f t="shared" ref="BB2:BB33" si="16">IFERROR(-ABS(10*LOG10(($J2/(4*PI()*CONVERT(AK2,"ft","m")^2)))),0)</f>
        <v>0</v>
      </c>
      <c r="BC2" s="136">
        <f t="shared" ref="BC2:BC33" si="17">IFERROR(-ABS(10*LOG10(($J2/(4*PI()*CONVERT(AL2,"ft","m")^2)))),0)</f>
        <v>0</v>
      </c>
      <c r="BD2" s="136">
        <f t="shared" ref="BD2:BD33" si="18">IFERROR(-ABS(10*LOG10(($J2/(4*PI()*CONVERT(AM2,"ft","m")^2)))),0)</f>
        <v>0</v>
      </c>
      <c r="BE2" s="137">
        <f t="shared" ref="BE2:BE33" si="19">IFERROR(-ABS(10*LOG10(($J2/(4*PI()*CONVERT(AN2,"ft","m")^2)))),0)</f>
        <v>0</v>
      </c>
      <c r="BF2" s="133"/>
      <c r="BG2" s="21"/>
      <c r="BH2" s="22" t="s">
        <v>26</v>
      </c>
      <c r="BI2" s="22" t="s">
        <v>27</v>
      </c>
      <c r="BJ2" s="22" t="s">
        <v>28</v>
      </c>
      <c r="BK2" s="22" t="s">
        <v>29</v>
      </c>
      <c r="BL2" s="133"/>
      <c r="BM2" s="138" t="s">
        <v>30</v>
      </c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3"/>
      <c r="CD2" s="133" t="s">
        <v>31</v>
      </c>
      <c r="CE2" s="140">
        <f t="shared" ref="CE2:CE15" si="20">IF( CE$1= 0,"",$I2-$K2+AQ2-BN2)</f>
        <v>45.734912823915273</v>
      </c>
      <c r="CF2" s="141">
        <f t="shared" ref="CF2:CF15" si="21">IF( CF$1= 0,"",$I2-$K2+AR2-BO2)</f>
        <v>30.597603286385223</v>
      </c>
      <c r="CG2" s="141" t="str">
        <f t="shared" ref="CG2:CG15" si="22">IF( CG$1= 0,"",$I2-$K2+AS2-BP2)</f>
        <v/>
      </c>
      <c r="CH2" s="141" t="str">
        <f t="shared" ref="CH2:CH15" si="23">IF( CH$1= 0,"",$I2-$K2+AT2-BQ2)</f>
        <v/>
      </c>
      <c r="CI2" s="141" t="str">
        <f t="shared" ref="CI2:CI15" si="24">IF( CI$1= 0,"",$I2-$K2+AU2-BR2)</f>
        <v/>
      </c>
      <c r="CJ2" s="141" t="str">
        <f t="shared" ref="CJ2:CJ15" si="25">IF( CJ$1= 0,"",$I2-$K2+AV2-BS2)</f>
        <v/>
      </c>
      <c r="CK2" s="141" t="str">
        <f t="shared" ref="CK2:CK15" si="26">IF( CK$1= 0,"",$I2-$K2+AW2-BT2)</f>
        <v/>
      </c>
      <c r="CL2" s="141" t="str">
        <f t="shared" ref="CL2:CL15" si="27">IF( CL$1= 0,"",$I2-$K2+AX2-BU2)</f>
        <v/>
      </c>
      <c r="CM2" s="142" t="str">
        <f t="shared" ref="CM2:CM15" si="28">IF( CM$1= 0,"",$I2-$K2+AY2-BV2)</f>
        <v/>
      </c>
      <c r="CN2" s="142" t="str">
        <f t="shared" ref="CN2:CN15" si="29">IF( CN$1= 0,"",$I2-$K2+AZ2-BW2)</f>
        <v/>
      </c>
      <c r="CO2" s="142" t="str">
        <f t="shared" ref="CO2:CO15" si="30">IF( CO$1= 0,"",$I2-$K2+BA2-BX2)</f>
        <v/>
      </c>
      <c r="CP2" s="142" t="str">
        <f t="shared" ref="CP2:CP15" si="31">IF( CP$1= 0,"",$I2-$K2+BB2-BY2)</f>
        <v/>
      </c>
      <c r="CQ2" s="142" t="str">
        <f t="shared" ref="CQ2:CQ15" si="32">IF( CQ$1= 0,"",$I2-$K2+BC2-BZ2)</f>
        <v/>
      </c>
      <c r="CR2" s="142" t="str">
        <f t="shared" ref="CR2:CR15" si="33">IF( CR$1= 0,"",$I2-$K2+BD2-CA2)</f>
        <v/>
      </c>
      <c r="CS2" s="143" t="str">
        <f t="shared" ref="CS2:CS15" si="34">IF( CS$1= 0,"",$I2-$K2+BE2-CB2)</f>
        <v/>
      </c>
      <c r="DF2" t="s">
        <v>32</v>
      </c>
      <c r="DG2" t="s">
        <v>32</v>
      </c>
      <c r="DH2" t="s">
        <v>32</v>
      </c>
      <c r="DI2" t="s">
        <v>32</v>
      </c>
    </row>
    <row r="3" spans="1:113" ht="17.25" customHeight="1" thickBot="1" x14ac:dyDescent="0.35">
      <c r="A3" s="144">
        <v>1</v>
      </c>
      <c r="B3" s="125" t="s">
        <v>33</v>
      </c>
      <c r="C3" s="145" t="s">
        <v>20</v>
      </c>
      <c r="D3" s="126" t="s">
        <v>21</v>
      </c>
      <c r="E3" s="146" t="s">
        <v>22</v>
      </c>
      <c r="F3" s="4">
        <v>61</v>
      </c>
      <c r="G3" s="4">
        <v>3.28</v>
      </c>
      <c r="H3" s="3">
        <v>2</v>
      </c>
      <c r="I3" s="127">
        <f t="shared" si="3"/>
        <v>68.979574811165989</v>
      </c>
      <c r="J3" s="3">
        <v>4</v>
      </c>
      <c r="K3" s="3"/>
      <c r="L3" s="4">
        <v>54.42</v>
      </c>
      <c r="M3" s="4">
        <v>91.71</v>
      </c>
      <c r="N3" s="111">
        <f t="shared" si="4"/>
        <v>5.583333333333333</v>
      </c>
      <c r="O3" s="4">
        <v>0</v>
      </c>
      <c r="P3" s="147">
        <v>5.583333333333333</v>
      </c>
      <c r="R3" s="9" t="s">
        <v>34</v>
      </c>
      <c r="S3" s="4">
        <v>3.28</v>
      </c>
      <c r="T3" s="4">
        <v>0</v>
      </c>
      <c r="U3" s="89"/>
      <c r="V3" s="8">
        <v>45</v>
      </c>
      <c r="W3" s="2">
        <v>57</v>
      </c>
      <c r="Y3" s="63"/>
      <c r="Z3" s="148">
        <f t="array" ref="Z3">IF(Z$1=0,"",SQRT((_xlfn.XLOOKUP(Z$1,$R$2:$R$18,$S$2:$S$18)-$L3)^2+(_xlfn.XLOOKUP(Z$1,$R$2:$R$18,$T$2:$T$18)-$M3)^2+(_xlfn.XLOOKUP(Z$1,$R$2:$R$18,$U$2:$U$18-$N3)^2)))</f>
        <v>13.907461226901829</v>
      </c>
      <c r="AA3" s="149">
        <f t="array" ref="AA3">IF(AA$1=0,"",SQRT((_xlfn.XLOOKUP(AA$1,$R$2:$R$18,$S$2:$S$18)-$L3)^2+(_xlfn.XLOOKUP(AA$1,$R$2:$R$18,$T$2:$T$18)-$M3)^2+(_xlfn.XLOOKUP(AA$1,$R$2:$R$18,$U$2:$U$18-$N3)^2)))</f>
        <v>105.15320875328109</v>
      </c>
      <c r="AB3" s="149" t="str">
        <f t="array" ref="AB3">IF(AB$1=0,"",SQRT((_xlfn.XLOOKUP(AB$1,$R$2:$R$18,$S$2:$S$18)-$L3)^2+(_xlfn.XLOOKUP(AB$1,$R$2:$R$18,$T$2:$T$18)-$M3)^2+(_xlfn.XLOOKUP(AB$1,$R$2:$R$18,$U$2:$U$18-$N3)^2)))</f>
        <v/>
      </c>
      <c r="AC3" s="149" t="str">
        <f t="array" ref="AC3">IF(AC$1=0,"",SQRT((_xlfn.XLOOKUP(AC$1,$R$2:$R$18,$S$2:$S$18)-$L3)^2+(_xlfn.XLOOKUP(AC$1,$R$2:$R$18,$T$2:$T$18)-$M3)^2+(_xlfn.XLOOKUP(AC$1,$R$2:$R$18,$U$2:$U$18-$N3)^2)))</f>
        <v/>
      </c>
      <c r="AD3" s="149" t="str">
        <f t="array" ref="AD3">IF(AD$1=0,"",SQRT((_xlfn.XLOOKUP(AD$1,$R$2:$R$18,$S$2:$S$18)-$L3)^2+(_xlfn.XLOOKUP(AD$1,$R$2:$R$18,$T$2:$T$18)-$M3)^2+(_xlfn.XLOOKUP(AD$1,$R$2:$R$18,$U$2:$U$18-$N3)^2)))</f>
        <v/>
      </c>
      <c r="AE3" s="149" t="str">
        <f t="array" ref="AE3">IF(AE$1=0,"",SQRT((_xlfn.XLOOKUP(AE$1,$R$2:$R$18,$S$2:$S$18)-$L3)^2+(_xlfn.XLOOKUP(AE$1,$R$2:$R$18,$T$2:$T$18)-$M3)^2+(_xlfn.XLOOKUP(AE$1,$R$2:$R$18,$U$2:$U$18-$N3)^2)))</f>
        <v/>
      </c>
      <c r="AF3" s="149" t="str">
        <f t="array" ref="AF3">IF(AF$1=0,"",SQRT((_xlfn.XLOOKUP(AF$1,$R$2:$R$18,$S$2:$S$18)-$L3)^2+(_xlfn.XLOOKUP(AF$1,$R$2:$R$18,$T$2:$T$18)-$M3)^2+(_xlfn.XLOOKUP(AF$1,$R$2:$R$18,$U$2:$U$18-$N3)^2)))</f>
        <v/>
      </c>
      <c r="AG3" s="149" t="str">
        <f t="array" ref="AG3">IF(AG$1=0,"",SQRT((_xlfn.XLOOKUP(AG$1,$R$2:$R$18,$S$2:$S$18)-$L3)^2+(_xlfn.XLOOKUP(AG$1,$R$2:$R$18,$T$2:$T$18)-$M3)^2+(_xlfn.XLOOKUP(AG$1,$R$2:$R$18,$U$2:$U$18-$N3)^2)))</f>
        <v/>
      </c>
      <c r="AH3" s="150" t="str">
        <f t="array" ref="AH3">IF(AH$1=0,"",SQRT((_xlfn.XLOOKUP(AH$1,$R$2:$R$18,$S$2:$S$18)-$L3)^2+(_xlfn.XLOOKUP(AH$1,$R$2:$R$18,$T$2:$T$18)-$M3)^2+(_xlfn.XLOOKUP(AH$1,$R$2:$R$18,$U$2:$U$18-$N3)^2)))</f>
        <v/>
      </c>
      <c r="AI3" s="150" t="str">
        <f t="array" ref="AI3">IF(AI$1=0,"",SQRT((_xlfn.XLOOKUP(AI$1,$R$2:$R$18,$S$2:$S$18)-$L3)^2+(_xlfn.XLOOKUP(AI$1,$R$2:$R$18,$T$2:$T$18)-$M3)^2+(_xlfn.XLOOKUP(AI$1,$R$2:$R$18,$U$2:$U$18-$N3)^2)))</f>
        <v/>
      </c>
      <c r="AJ3" s="150" t="str">
        <f t="array" ref="AJ3">IF(AJ$1=0,"",SQRT((_xlfn.XLOOKUP(AJ$1,$R$2:$R$18,$S$2:$S$18)-$L3)^2+(_xlfn.XLOOKUP(AJ$1,$R$2:$R$18,$T$2:$T$18)-$M3)^2+(_xlfn.XLOOKUP(AJ$1,$R$2:$R$18,$U$2:$U$18-$N3)^2)))</f>
        <v/>
      </c>
      <c r="AK3" s="150" t="str">
        <f t="array" ref="AK3">IF(AK$1=0,"",SQRT((_xlfn.XLOOKUP(AK$1,$R$2:$R$18,$S$2:$S$18)-$L3)^2+(_xlfn.XLOOKUP(AK$1,$R$2:$R$18,$T$2:$T$18)-$M3)^2+(_xlfn.XLOOKUP(AK$1,$R$2:$R$18,$U$2:$U$18-$N3)^2)))</f>
        <v/>
      </c>
      <c r="AL3" s="150" t="str">
        <f t="array" ref="AL3">IF(AL$1=0,"",SQRT((_xlfn.XLOOKUP(AL$1,$R$2:$R$18,$S$2:$S$18)-$L3)^2+(_xlfn.XLOOKUP(AL$1,$R$2:$R$18,$T$2:$T$18)-$M3)^2+(_xlfn.XLOOKUP(AL$1,$R$2:$R$18,$U$2:$U$18-$N3)^2)))</f>
        <v/>
      </c>
      <c r="AM3" s="150" t="str">
        <f t="array" ref="AM3">IF(AM$1=0,"",SQRT((_xlfn.XLOOKUP(AM$1,$R$2:$R$18,$S$2:$S$18)-$L3)^2+(_xlfn.XLOOKUP(AM$1,$R$2:$R$18,$T$2:$T$18)-$M3)^2+(_xlfn.XLOOKUP(AM$1,$R$2:$R$18,$U$2:$U$18-$N3)^2)))</f>
        <v/>
      </c>
      <c r="AN3" s="151" t="str">
        <f t="array" ref="AN3">IF(AN$1=0,"",SQRT((_xlfn.XLOOKUP(AN$1,$R$2:$R$18,$S$2:$S$18)-$L3)^2+(_xlfn.XLOOKUP(AN$1,$R$2:$R$18,$T$2:$T$18)-$M3)^2+(_xlfn.XLOOKUP(AN$1,$R$2:$R$18,$U$2:$U$18-$N3)^2)))</f>
        <v/>
      </c>
      <c r="AO3" s="133"/>
      <c r="AP3" s="63"/>
      <c r="AQ3" s="134">
        <f t="shared" si="5"/>
        <v>-17.516755136887777</v>
      </c>
      <c r="AR3" s="152">
        <f t="shared" si="6"/>
        <v>-35.088248574963174</v>
      </c>
      <c r="AS3" s="152">
        <f t="shared" si="7"/>
        <v>0</v>
      </c>
      <c r="AT3" s="152">
        <f t="shared" si="8"/>
        <v>0</v>
      </c>
      <c r="AU3" s="152">
        <f t="shared" si="9"/>
        <v>0</v>
      </c>
      <c r="AV3" s="152">
        <f t="shared" si="10"/>
        <v>0</v>
      </c>
      <c r="AW3" s="152">
        <f t="shared" si="11"/>
        <v>0</v>
      </c>
      <c r="AX3" s="152">
        <f t="shared" si="12"/>
        <v>0</v>
      </c>
      <c r="AY3" s="153">
        <f t="shared" si="13"/>
        <v>0</v>
      </c>
      <c r="AZ3" s="153">
        <f t="shared" si="14"/>
        <v>0</v>
      </c>
      <c r="BA3" s="153">
        <f t="shared" si="15"/>
        <v>0</v>
      </c>
      <c r="BB3" s="153">
        <f t="shared" si="16"/>
        <v>0</v>
      </c>
      <c r="BC3" s="153">
        <f t="shared" si="17"/>
        <v>0</v>
      </c>
      <c r="BD3" s="153">
        <f t="shared" si="18"/>
        <v>0</v>
      </c>
      <c r="BE3" s="154">
        <f t="shared" si="19"/>
        <v>0</v>
      </c>
      <c r="BF3" s="133"/>
      <c r="BG3" s="23"/>
      <c r="BH3" s="24" t="s">
        <v>35</v>
      </c>
      <c r="BI3" s="25" t="s">
        <v>11</v>
      </c>
      <c r="BJ3" s="26" t="s">
        <v>12</v>
      </c>
      <c r="BK3" s="27" t="s">
        <v>13</v>
      </c>
      <c r="BL3" s="133"/>
      <c r="BM3" s="133"/>
      <c r="BN3" s="139"/>
      <c r="BO3" s="139"/>
      <c r="BP3" s="139"/>
      <c r="BQ3" s="139"/>
      <c r="BR3" s="139"/>
      <c r="BS3" s="139"/>
      <c r="BT3" s="139"/>
      <c r="BU3" s="139"/>
      <c r="BV3" s="139"/>
      <c r="BW3" s="139"/>
      <c r="BX3" s="139"/>
      <c r="BY3" s="139"/>
      <c r="BZ3" s="139"/>
      <c r="CA3" s="139"/>
      <c r="CB3" s="139"/>
      <c r="CC3" s="133"/>
      <c r="CD3" s="133"/>
      <c r="CE3" s="155">
        <f t="shared" si="20"/>
        <v>51.462819674278208</v>
      </c>
      <c r="CF3" s="156">
        <f t="shared" si="21"/>
        <v>33.891326236202815</v>
      </c>
      <c r="CG3" s="156" t="str">
        <f t="shared" si="22"/>
        <v/>
      </c>
      <c r="CH3" s="156" t="str">
        <f t="shared" si="23"/>
        <v/>
      </c>
      <c r="CI3" s="156" t="str">
        <f t="shared" si="24"/>
        <v/>
      </c>
      <c r="CJ3" s="156" t="str">
        <f t="shared" si="25"/>
        <v/>
      </c>
      <c r="CK3" s="156" t="str">
        <f t="shared" si="26"/>
        <v/>
      </c>
      <c r="CL3" s="156" t="str">
        <f t="shared" si="27"/>
        <v/>
      </c>
      <c r="CM3" s="157" t="str">
        <f t="shared" si="28"/>
        <v/>
      </c>
      <c r="CN3" s="157" t="str">
        <f t="shared" si="29"/>
        <v/>
      </c>
      <c r="CO3" s="157" t="str">
        <f t="shared" si="30"/>
        <v/>
      </c>
      <c r="CP3" s="157" t="str">
        <f t="shared" si="31"/>
        <v/>
      </c>
      <c r="CQ3" s="142" t="str">
        <f t="shared" si="32"/>
        <v/>
      </c>
      <c r="CR3" s="142" t="str">
        <f t="shared" si="33"/>
        <v/>
      </c>
      <c r="CS3" s="143" t="str">
        <f t="shared" si="34"/>
        <v/>
      </c>
    </row>
    <row r="4" spans="1:113" ht="17.25" customHeight="1" thickBot="1" x14ac:dyDescent="0.35">
      <c r="A4" s="144">
        <v>1</v>
      </c>
      <c r="B4" s="125" t="s">
        <v>36</v>
      </c>
      <c r="C4" s="145" t="s">
        <v>20</v>
      </c>
      <c r="D4" s="146" t="s">
        <v>21</v>
      </c>
      <c r="E4" s="146" t="s">
        <v>22</v>
      </c>
      <c r="F4" s="4">
        <v>61</v>
      </c>
      <c r="G4" s="4">
        <v>3.28</v>
      </c>
      <c r="H4" s="3">
        <v>2</v>
      </c>
      <c r="I4" s="127">
        <f t="shared" si="3"/>
        <v>68.979574811165989</v>
      </c>
      <c r="J4" s="3">
        <v>4</v>
      </c>
      <c r="K4" s="3"/>
      <c r="L4" s="4">
        <v>55.18</v>
      </c>
      <c r="M4" s="4">
        <v>87.12</v>
      </c>
      <c r="N4" s="111">
        <f t="shared" si="4"/>
        <v>5.583333333333333</v>
      </c>
      <c r="O4" s="83">
        <v>0</v>
      </c>
      <c r="P4" s="147">
        <v>5.583333333333333</v>
      </c>
      <c r="R4" s="9"/>
      <c r="S4" s="4"/>
      <c r="T4" s="4"/>
      <c r="U4" s="89"/>
      <c r="V4" s="8">
        <v>45</v>
      </c>
      <c r="W4" s="2" t="e">
        <v>#VALUE!</v>
      </c>
      <c r="Y4" s="63"/>
      <c r="Z4" s="148">
        <f t="array" ref="Z4">IF(Z$1=0,"",SQRT((_xlfn.XLOOKUP(Z$1,$R$2:$R$18,$S$2:$S$18)-$L4)^2+(_xlfn.XLOOKUP(Z$1,$R$2:$R$18,$T$2:$T$18)-$M4)^2+(_xlfn.XLOOKUP(Z$1,$R$2:$R$18,$U$2:$U$18-$N4)^2)))</f>
        <v>9.3528165692361327</v>
      </c>
      <c r="AA4" s="149">
        <f t="array" ref="AA4">IF(AA$1=0,"",SQRT((_xlfn.XLOOKUP(AA$1,$R$2:$R$18,$S$2:$S$18)-$L4)^2+(_xlfn.XLOOKUP(AA$1,$R$2:$R$18,$T$2:$T$18)-$M4)^2+(_xlfn.XLOOKUP(AA$1,$R$2:$R$18,$U$2:$U$18-$N4)^2)))</f>
        <v>101.56120327719199</v>
      </c>
      <c r="AB4" s="149" t="str">
        <f t="array" ref="AB4">IF(AB$1=0,"",SQRT((_xlfn.XLOOKUP(AB$1,$R$2:$R$18,$S$2:$S$18)-$L4)^2+(_xlfn.XLOOKUP(AB$1,$R$2:$R$18,$T$2:$T$18)-$M4)^2+(_xlfn.XLOOKUP(AB$1,$R$2:$R$18,$U$2:$U$18-$N4)^2)))</f>
        <v/>
      </c>
      <c r="AC4" s="149" t="str">
        <f t="array" ref="AC4">IF(AC$1=0,"",SQRT((_xlfn.XLOOKUP(AC$1,$R$2:$R$18,$S$2:$S$18)-$L4)^2+(_xlfn.XLOOKUP(AC$1,$R$2:$R$18,$T$2:$T$18)-$M4)^2+(_xlfn.XLOOKUP(AC$1,$R$2:$R$18,$U$2:$U$18-$N4)^2)))</f>
        <v/>
      </c>
      <c r="AD4" s="149" t="str">
        <f t="array" ref="AD4">IF(AD$1=0,"",SQRT((_xlfn.XLOOKUP(AD$1,$R$2:$R$18,$S$2:$S$18)-$L4)^2+(_xlfn.XLOOKUP(AD$1,$R$2:$R$18,$T$2:$T$18)-$M4)^2+(_xlfn.XLOOKUP(AD$1,$R$2:$R$18,$U$2:$U$18-$N4)^2)))</f>
        <v/>
      </c>
      <c r="AE4" s="149" t="str">
        <f t="array" ref="AE4">IF(AE$1=0,"",SQRT((_xlfn.XLOOKUP(AE$1,$R$2:$R$18,$S$2:$S$18)-$L4)^2+(_xlfn.XLOOKUP(AE$1,$R$2:$R$18,$T$2:$T$18)-$M4)^2+(_xlfn.XLOOKUP(AE$1,$R$2:$R$18,$U$2:$U$18-$N4)^2)))</f>
        <v/>
      </c>
      <c r="AF4" s="149" t="str">
        <f t="array" ref="AF4">IF(AF$1=0,"",SQRT((_xlfn.XLOOKUP(AF$1,$R$2:$R$18,$S$2:$S$18)-$L4)^2+(_xlfn.XLOOKUP(AF$1,$R$2:$R$18,$T$2:$T$18)-$M4)^2+(_xlfn.XLOOKUP(AF$1,$R$2:$R$18,$U$2:$U$18-$N4)^2)))</f>
        <v/>
      </c>
      <c r="AG4" s="149" t="str">
        <f t="array" ref="AG4">IF(AG$1=0,"",SQRT((_xlfn.XLOOKUP(AG$1,$R$2:$R$18,$S$2:$S$18)-$L4)^2+(_xlfn.XLOOKUP(AG$1,$R$2:$R$18,$T$2:$T$18)-$M4)^2+(_xlfn.XLOOKUP(AG$1,$R$2:$R$18,$U$2:$U$18-$N4)^2)))</f>
        <v/>
      </c>
      <c r="AH4" s="150" t="str">
        <f t="array" ref="AH4">IF(AH$1=0,"",SQRT((_xlfn.XLOOKUP(AH$1,$R$2:$R$18,$S$2:$S$18)-$L4)^2+(_xlfn.XLOOKUP(AH$1,$R$2:$R$18,$T$2:$T$18)-$M4)^2+(_xlfn.XLOOKUP(AH$1,$R$2:$R$18,$U$2:$U$18-$N4)^2)))</f>
        <v/>
      </c>
      <c r="AI4" s="150" t="str">
        <f t="array" ref="AI4">IF(AI$1=0,"",SQRT((_xlfn.XLOOKUP(AI$1,$R$2:$R$18,$S$2:$S$18)-$L4)^2+(_xlfn.XLOOKUP(AI$1,$R$2:$R$18,$T$2:$T$18)-$M4)^2+(_xlfn.XLOOKUP(AI$1,$R$2:$R$18,$U$2:$U$18-$N4)^2)))</f>
        <v/>
      </c>
      <c r="AJ4" s="150" t="str">
        <f t="array" ref="AJ4">IF(AJ$1=0,"",SQRT((_xlfn.XLOOKUP(AJ$1,$R$2:$R$18,$S$2:$S$18)-$L4)^2+(_xlfn.XLOOKUP(AJ$1,$R$2:$R$18,$T$2:$T$18)-$M4)^2+(_xlfn.XLOOKUP(AJ$1,$R$2:$R$18,$U$2:$U$18-$N4)^2)))</f>
        <v/>
      </c>
      <c r="AK4" s="150" t="str">
        <f t="array" ref="AK4">IF(AK$1=0,"",SQRT((_xlfn.XLOOKUP(AK$1,$R$2:$R$18,$S$2:$S$18)-$L4)^2+(_xlfn.XLOOKUP(AK$1,$R$2:$R$18,$T$2:$T$18)-$M4)^2+(_xlfn.XLOOKUP(AK$1,$R$2:$R$18,$U$2:$U$18-$N4)^2)))</f>
        <v/>
      </c>
      <c r="AL4" s="150" t="str">
        <f t="array" ref="AL4">IF(AL$1=0,"",SQRT((_xlfn.XLOOKUP(AL$1,$R$2:$R$18,$S$2:$S$18)-$L4)^2+(_xlfn.XLOOKUP(AL$1,$R$2:$R$18,$T$2:$T$18)-$M4)^2+(_xlfn.XLOOKUP(AL$1,$R$2:$R$18,$U$2:$U$18-$N4)^2)))</f>
        <v/>
      </c>
      <c r="AM4" s="150" t="str">
        <f t="array" ref="AM4">IF(AM$1=0,"",SQRT((_xlfn.XLOOKUP(AM$1,$R$2:$R$18,$S$2:$S$18)-$L4)^2+(_xlfn.XLOOKUP(AM$1,$R$2:$R$18,$T$2:$T$18)-$M4)^2+(_xlfn.XLOOKUP(AM$1,$R$2:$R$18,$U$2:$U$18-$N4)^2)))</f>
        <v/>
      </c>
      <c r="AN4" s="151" t="str">
        <f t="array" ref="AN4">IF(AN$1=0,"",SQRT((_xlfn.XLOOKUP(AN$1,$R$2:$R$18,$S$2:$S$18)-$L4)^2+(_xlfn.XLOOKUP(AN$1,$R$2:$R$18,$T$2:$T$18)-$M4)^2+(_xlfn.XLOOKUP(AN$1,$R$2:$R$18,$U$2:$U$18-$N4)^2)))</f>
        <v/>
      </c>
      <c r="AO4" s="133"/>
      <c r="AP4" s="158"/>
      <c r="AQ4" s="134">
        <f t="shared" si="5"/>
        <v>-14.070646318115772</v>
      </c>
      <c r="AR4" s="152">
        <f t="shared" si="6"/>
        <v>-34.786354733650626</v>
      </c>
      <c r="AS4" s="152">
        <f t="shared" si="7"/>
        <v>0</v>
      </c>
      <c r="AT4" s="152">
        <f t="shared" si="8"/>
        <v>0</v>
      </c>
      <c r="AU4" s="152">
        <f t="shared" si="9"/>
        <v>0</v>
      </c>
      <c r="AV4" s="152">
        <f t="shared" si="10"/>
        <v>0</v>
      </c>
      <c r="AW4" s="152">
        <f t="shared" si="11"/>
        <v>0</v>
      </c>
      <c r="AX4" s="152">
        <f t="shared" si="12"/>
        <v>0</v>
      </c>
      <c r="AY4" s="153">
        <f t="shared" si="13"/>
        <v>0</v>
      </c>
      <c r="AZ4" s="153">
        <f t="shared" si="14"/>
        <v>0</v>
      </c>
      <c r="BA4" s="153">
        <f t="shared" si="15"/>
        <v>0</v>
      </c>
      <c r="BB4" s="153">
        <f t="shared" si="16"/>
        <v>0</v>
      </c>
      <c r="BC4" s="153">
        <f t="shared" si="17"/>
        <v>0</v>
      </c>
      <c r="BD4" s="153">
        <f t="shared" si="18"/>
        <v>0</v>
      </c>
      <c r="BE4" s="154">
        <f t="shared" si="19"/>
        <v>0</v>
      </c>
      <c r="BF4" s="133"/>
      <c r="BG4" s="28" t="s">
        <v>26</v>
      </c>
      <c r="BH4" s="29" t="s">
        <v>38</v>
      </c>
      <c r="BI4" s="30">
        <f>_xlfn.XLOOKUP($BH$4,$B$2:$B$58,L2:L58,"not found",0,1)</f>
        <v>62.01</v>
      </c>
      <c r="BJ4" s="31">
        <f>_xlfn.XLOOKUP($BH$4,$B$2:$B$58,M2:M58,"not found",0,1)</f>
        <v>92.82</v>
      </c>
      <c r="BK4" s="32">
        <f>_xlfn.XLOOKUP($BH$4,$B$2:$B$58,N2:N58,"not found",0,1)</f>
        <v>5.583333333333333</v>
      </c>
      <c r="BL4" s="133"/>
      <c r="BM4" s="133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3"/>
      <c r="CD4" s="133"/>
      <c r="CE4" s="140">
        <f t="shared" si="20"/>
        <v>54.908928493050219</v>
      </c>
      <c r="CF4" s="141">
        <f t="shared" si="21"/>
        <v>34.193220077515363</v>
      </c>
      <c r="CG4" s="141" t="str">
        <f t="shared" si="22"/>
        <v/>
      </c>
      <c r="CH4" s="141" t="str">
        <f t="shared" si="23"/>
        <v/>
      </c>
      <c r="CI4" s="141" t="str">
        <f t="shared" si="24"/>
        <v/>
      </c>
      <c r="CJ4" s="141" t="str">
        <f t="shared" si="25"/>
        <v/>
      </c>
      <c r="CK4" s="141" t="str">
        <f t="shared" si="26"/>
        <v/>
      </c>
      <c r="CL4" s="141" t="str">
        <f t="shared" si="27"/>
        <v/>
      </c>
      <c r="CM4" s="142" t="str">
        <f t="shared" si="28"/>
        <v/>
      </c>
      <c r="CN4" s="142" t="str">
        <f t="shared" si="29"/>
        <v/>
      </c>
      <c r="CO4" s="142" t="str">
        <f t="shared" si="30"/>
        <v/>
      </c>
      <c r="CP4" s="142" t="str">
        <f t="shared" si="31"/>
        <v/>
      </c>
      <c r="CQ4" s="142" t="str">
        <f t="shared" si="32"/>
        <v/>
      </c>
      <c r="CR4" s="142" t="str">
        <f t="shared" si="33"/>
        <v/>
      </c>
      <c r="CS4" s="143" t="str">
        <f t="shared" si="34"/>
        <v/>
      </c>
    </row>
    <row r="5" spans="1:113" ht="17.25" customHeight="1" thickBot="1" x14ac:dyDescent="0.35">
      <c r="A5" s="144">
        <v>1</v>
      </c>
      <c r="B5" s="125" t="s">
        <v>37</v>
      </c>
      <c r="C5" s="145" t="s">
        <v>20</v>
      </c>
      <c r="D5" s="146" t="s">
        <v>21</v>
      </c>
      <c r="E5" s="146" t="s">
        <v>22</v>
      </c>
      <c r="F5" s="4">
        <v>61</v>
      </c>
      <c r="G5" s="4">
        <v>3.28</v>
      </c>
      <c r="H5" s="3">
        <v>2</v>
      </c>
      <c r="I5" s="127">
        <f t="shared" si="3"/>
        <v>68.979574811165989</v>
      </c>
      <c r="J5" s="3">
        <v>4</v>
      </c>
      <c r="K5" s="3"/>
      <c r="L5" s="4">
        <v>62.67</v>
      </c>
      <c r="M5" s="4">
        <v>88.23</v>
      </c>
      <c r="N5" s="111">
        <f t="shared" si="4"/>
        <v>5.583333333333333</v>
      </c>
      <c r="O5" s="83">
        <v>0</v>
      </c>
      <c r="P5" s="147">
        <v>5.583333333333333</v>
      </c>
      <c r="R5" s="9"/>
      <c r="S5" s="4"/>
      <c r="T5" s="4"/>
      <c r="U5" s="89"/>
      <c r="V5" s="8">
        <v>45</v>
      </c>
      <c r="W5" s="2" t="e">
        <v>#VALUE!</v>
      </c>
      <c r="Z5" s="148">
        <f t="array" ref="Z5">IF(Z$1=0,"",SQRT((_xlfn.XLOOKUP(Z$1,$R$2:$R$18,$S$2:$S$18)-$L5)^2+(_xlfn.XLOOKUP(Z$1,$R$2:$R$18,$T$2:$T$18)-$M5)^2+(_xlfn.XLOOKUP(Z$1,$R$2:$R$18,$U$2:$U$18-$N5)^2)))</f>
        <v>10.411857556544744</v>
      </c>
      <c r="AA5" s="149">
        <f t="array" ref="AA5">IF(AA$1=0,"",SQRT((_xlfn.XLOOKUP(AA$1,$R$2:$R$18,$S$2:$S$18)-$L5)^2+(_xlfn.XLOOKUP(AA$1,$R$2:$R$18,$T$2:$T$18)-$M5)^2+(_xlfn.XLOOKUP(AA$1,$R$2:$R$18,$U$2:$U$18-$N5)^2)))</f>
        <v>106.50295118498413</v>
      </c>
      <c r="AB5" s="149" t="str">
        <f t="array" ref="AB5">IF(AB$1=0,"",SQRT((_xlfn.XLOOKUP(AB$1,$R$2:$R$18,$S$2:$S$18)-$L5)^2+(_xlfn.XLOOKUP(AB$1,$R$2:$R$18,$T$2:$T$18)-$M5)^2+(_xlfn.XLOOKUP(AB$1,$R$2:$R$18,$U$2:$U$18-$N5)^2)))</f>
        <v/>
      </c>
      <c r="AC5" s="149" t="str">
        <f t="array" ref="AC5">IF(AC$1=0,"",SQRT((_xlfn.XLOOKUP(AC$1,$R$2:$R$18,$S$2:$S$18)-$L5)^2+(_xlfn.XLOOKUP(AC$1,$R$2:$R$18,$T$2:$T$18)-$M5)^2+(_xlfn.XLOOKUP(AC$1,$R$2:$R$18,$U$2:$U$18-$N5)^2)))</f>
        <v/>
      </c>
      <c r="AD5" s="149" t="str">
        <f t="array" ref="AD5">IF(AD$1=0,"",SQRT((_xlfn.XLOOKUP(AD$1,$R$2:$R$18,$S$2:$S$18)-$L5)^2+(_xlfn.XLOOKUP(AD$1,$R$2:$R$18,$T$2:$T$18)-$M5)^2+(_xlfn.XLOOKUP(AD$1,$R$2:$R$18,$U$2:$U$18-$N5)^2)))</f>
        <v/>
      </c>
      <c r="AE5" s="149" t="str">
        <f t="array" ref="AE5">IF(AE$1=0,"",SQRT((_xlfn.XLOOKUP(AE$1,$R$2:$R$18,$S$2:$S$18)-$L5)^2+(_xlfn.XLOOKUP(AE$1,$R$2:$R$18,$T$2:$T$18)-$M5)^2+(_xlfn.XLOOKUP(AE$1,$R$2:$R$18,$U$2:$U$18-$N5)^2)))</f>
        <v/>
      </c>
      <c r="AF5" s="149" t="str">
        <f t="array" ref="AF5">IF(AF$1=0,"",SQRT((_xlfn.XLOOKUP(AF$1,$R$2:$R$18,$S$2:$S$18)-$L5)^2+(_xlfn.XLOOKUP(AF$1,$R$2:$R$18,$T$2:$T$18)-$M5)^2+(_xlfn.XLOOKUP(AF$1,$R$2:$R$18,$U$2:$U$18-$N5)^2)))</f>
        <v/>
      </c>
      <c r="AG5" s="149" t="str">
        <f t="array" ref="AG5">IF(AG$1=0,"",SQRT((_xlfn.XLOOKUP(AG$1,$R$2:$R$18,$S$2:$S$18)-$L5)^2+(_xlfn.XLOOKUP(AG$1,$R$2:$R$18,$T$2:$T$18)-$M5)^2+(_xlfn.XLOOKUP(AG$1,$R$2:$R$18,$U$2:$U$18-$N5)^2)))</f>
        <v/>
      </c>
      <c r="AH5" s="150" t="str">
        <f t="array" ref="AH5">IF(AH$1=0,"",SQRT((_xlfn.XLOOKUP(AH$1,$R$2:$R$18,$S$2:$S$18)-$L5)^2+(_xlfn.XLOOKUP(AH$1,$R$2:$R$18,$T$2:$T$18)-$M5)^2+(_xlfn.XLOOKUP(AH$1,$R$2:$R$18,$U$2:$U$18-$N5)^2)))</f>
        <v/>
      </c>
      <c r="AI5" s="150" t="str">
        <f t="array" ref="AI5">IF(AI$1=0,"",SQRT((_xlfn.XLOOKUP(AI$1,$R$2:$R$18,$S$2:$S$18)-$L5)^2+(_xlfn.XLOOKUP(AI$1,$R$2:$R$18,$T$2:$T$18)-$M5)^2+(_xlfn.XLOOKUP(AI$1,$R$2:$R$18,$U$2:$U$18-$N5)^2)))</f>
        <v/>
      </c>
      <c r="AJ5" s="150" t="str">
        <f t="array" ref="AJ5">IF(AJ$1=0,"",SQRT((_xlfn.XLOOKUP(AJ$1,$R$2:$R$18,$S$2:$S$18)-$L5)^2+(_xlfn.XLOOKUP(AJ$1,$R$2:$R$18,$T$2:$T$18)-$M5)^2+(_xlfn.XLOOKUP(AJ$1,$R$2:$R$18,$U$2:$U$18-$N5)^2)))</f>
        <v/>
      </c>
      <c r="AK5" s="150" t="str">
        <f t="array" ref="AK5">IF(AK$1=0,"",SQRT((_xlfn.XLOOKUP(AK$1,$R$2:$R$18,$S$2:$S$18)-$L5)^2+(_xlfn.XLOOKUP(AK$1,$R$2:$R$18,$T$2:$T$18)-$M5)^2+(_xlfn.XLOOKUP(AK$1,$R$2:$R$18,$U$2:$U$18-$N5)^2)))</f>
        <v/>
      </c>
      <c r="AL5" s="150" t="str">
        <f t="array" ref="AL5">IF(AL$1=0,"",SQRT((_xlfn.XLOOKUP(AL$1,$R$2:$R$18,$S$2:$S$18)-$L5)^2+(_xlfn.XLOOKUP(AL$1,$R$2:$R$18,$T$2:$T$18)-$M5)^2+(_xlfn.XLOOKUP(AL$1,$R$2:$R$18,$U$2:$U$18-$N5)^2)))</f>
        <v/>
      </c>
      <c r="AM5" s="150" t="str">
        <f t="array" ref="AM5">IF(AM$1=0,"",SQRT((_xlfn.XLOOKUP(AM$1,$R$2:$R$18,$S$2:$S$18)-$L5)^2+(_xlfn.XLOOKUP(AM$1,$R$2:$R$18,$T$2:$T$18)-$M5)^2+(_xlfn.XLOOKUP(AM$1,$R$2:$R$18,$U$2:$U$18-$N5)^2)))</f>
        <v/>
      </c>
      <c r="AN5" s="151" t="str">
        <f t="array" ref="AN5">IF(AN$1=0,"",SQRT((_xlfn.XLOOKUP(AN$1,$R$2:$R$18,$S$2:$S$18)-$L5)^2+(_xlfn.XLOOKUP(AN$1,$R$2:$R$18,$T$2:$T$18)-$M5)^2+(_xlfn.XLOOKUP(AN$1,$R$2:$R$18,$U$2:$U$18-$N5)^2)))</f>
        <v/>
      </c>
      <c r="AO5" s="133"/>
      <c r="AP5" s="133"/>
      <c r="AQ5" s="134">
        <f t="shared" si="5"/>
        <v>-15.002362339167629</v>
      </c>
      <c r="AR5" s="152">
        <f t="shared" si="6"/>
        <v>-35.199030824162534</v>
      </c>
      <c r="AS5" s="152">
        <f t="shared" si="7"/>
        <v>0</v>
      </c>
      <c r="AT5" s="152">
        <f t="shared" si="8"/>
        <v>0</v>
      </c>
      <c r="AU5" s="152">
        <f t="shared" si="9"/>
        <v>0</v>
      </c>
      <c r="AV5" s="152">
        <f t="shared" si="10"/>
        <v>0</v>
      </c>
      <c r="AW5" s="152">
        <f t="shared" si="11"/>
        <v>0</v>
      </c>
      <c r="AX5" s="152">
        <f t="shared" si="12"/>
        <v>0</v>
      </c>
      <c r="AY5" s="153">
        <f t="shared" si="13"/>
        <v>0</v>
      </c>
      <c r="AZ5" s="153">
        <f t="shared" si="14"/>
        <v>0</v>
      </c>
      <c r="BA5" s="153">
        <f t="shared" si="15"/>
        <v>0</v>
      </c>
      <c r="BB5" s="153">
        <f t="shared" si="16"/>
        <v>0</v>
      </c>
      <c r="BC5" s="153">
        <f t="shared" si="17"/>
        <v>0</v>
      </c>
      <c r="BD5" s="153">
        <f t="shared" si="18"/>
        <v>0</v>
      </c>
      <c r="BE5" s="154">
        <f t="shared" si="19"/>
        <v>0</v>
      </c>
      <c r="BF5" s="133"/>
      <c r="BG5" s="28" t="s">
        <v>27</v>
      </c>
      <c r="BH5" s="33" t="s">
        <v>23</v>
      </c>
      <c r="BI5" s="34">
        <f>_xlfn.XLOOKUP($BH$5,$R$2:$R$18,S2:S18,"not found",0,1)</f>
        <v>58.88</v>
      </c>
      <c r="BJ5" s="34">
        <f>_xlfn.XLOOKUP($BH$5,$R$2:$R$18,T2:T18,"not found",0,1)</f>
        <v>78.55</v>
      </c>
      <c r="BK5" s="34">
        <f>_xlfn.XLOOKUP($BH$5,$R$2:$R$18,U2:U18,"not found",0,1)</f>
        <v>5</v>
      </c>
      <c r="BL5" s="133"/>
      <c r="BM5" s="133"/>
      <c r="BN5" s="139"/>
      <c r="BO5" s="139"/>
      <c r="BP5" s="139"/>
      <c r="BQ5" s="139"/>
      <c r="BR5" s="139"/>
      <c r="BS5" s="139"/>
      <c r="BT5" s="139"/>
      <c r="BU5" s="139"/>
      <c r="BV5" s="139"/>
      <c r="BW5" s="139"/>
      <c r="BX5" s="139"/>
      <c r="BY5" s="139"/>
      <c r="BZ5" s="139"/>
      <c r="CA5" s="139"/>
      <c r="CB5" s="139"/>
      <c r="CC5" s="133"/>
      <c r="CD5" s="133"/>
      <c r="CE5" s="155">
        <f t="shared" si="20"/>
        <v>53.977212471998357</v>
      </c>
      <c r="CF5" s="156">
        <f t="shared" si="21"/>
        <v>33.780543987003455</v>
      </c>
      <c r="CG5" s="156" t="str">
        <f t="shared" si="22"/>
        <v/>
      </c>
      <c r="CH5" s="156" t="str">
        <f t="shared" si="23"/>
        <v/>
      </c>
      <c r="CI5" s="156" t="str">
        <f t="shared" si="24"/>
        <v/>
      </c>
      <c r="CJ5" s="156" t="str">
        <f t="shared" si="25"/>
        <v/>
      </c>
      <c r="CK5" s="156" t="str">
        <f t="shared" si="26"/>
        <v/>
      </c>
      <c r="CL5" s="156" t="str">
        <f t="shared" si="27"/>
        <v/>
      </c>
      <c r="CM5" s="157" t="str">
        <f t="shared" si="28"/>
        <v/>
      </c>
      <c r="CN5" s="157" t="str">
        <f t="shared" si="29"/>
        <v/>
      </c>
      <c r="CO5" s="157" t="str">
        <f t="shared" si="30"/>
        <v/>
      </c>
      <c r="CP5" s="157" t="str">
        <f t="shared" si="31"/>
        <v/>
      </c>
      <c r="CQ5" s="142" t="str">
        <f t="shared" si="32"/>
        <v/>
      </c>
      <c r="CR5" s="142" t="str">
        <f t="shared" si="33"/>
        <v/>
      </c>
      <c r="CS5" s="143" t="str">
        <f t="shared" si="34"/>
        <v/>
      </c>
    </row>
    <row r="6" spans="1:113" ht="17.25" customHeight="1" thickBot="1" x14ac:dyDescent="0.35">
      <c r="A6" s="144">
        <v>1</v>
      </c>
      <c r="B6" s="125" t="s">
        <v>38</v>
      </c>
      <c r="C6" s="145" t="s">
        <v>20</v>
      </c>
      <c r="D6" s="146" t="s">
        <v>21</v>
      </c>
      <c r="E6" s="146" t="s">
        <v>22</v>
      </c>
      <c r="F6" s="4">
        <v>61</v>
      </c>
      <c r="G6" s="4">
        <v>3.28</v>
      </c>
      <c r="H6" s="3">
        <v>2</v>
      </c>
      <c r="I6" s="127">
        <f t="shared" si="3"/>
        <v>68.979574811165989</v>
      </c>
      <c r="J6" s="3">
        <v>4</v>
      </c>
      <c r="K6" s="3"/>
      <c r="L6" s="4">
        <v>62.01</v>
      </c>
      <c r="M6" s="4">
        <v>92.82</v>
      </c>
      <c r="N6" s="111">
        <f t="shared" si="4"/>
        <v>5.583333333333333</v>
      </c>
      <c r="O6" s="83">
        <v>0</v>
      </c>
      <c r="P6" s="147">
        <v>5.583333333333333</v>
      </c>
      <c r="R6" s="9"/>
      <c r="S6" s="4"/>
      <c r="T6" s="4"/>
      <c r="U6" s="89"/>
      <c r="V6" s="8">
        <v>55</v>
      </c>
      <c r="W6" s="2" t="e">
        <v>#VALUE!</v>
      </c>
      <c r="Z6" s="148">
        <f t="array" ref="Z6">IF(Z$1=0,"",SQRT((_xlfn.XLOOKUP(Z$1,$R$2:$R$18,$S$2:$S$18)-$L6)^2+(_xlfn.XLOOKUP(Z$1,$R$2:$R$18,$T$2:$T$18)-$M6)^2+(_xlfn.XLOOKUP(Z$1,$R$2:$R$18,$U$2:$U$18-$N6)^2)))</f>
        <v>14.620878146601784</v>
      </c>
      <c r="AA6" s="149">
        <f t="array" ref="AA6">IF(AA$1=0,"",SQRT((_xlfn.XLOOKUP(AA$1,$R$2:$R$18,$S$2:$S$18)-$L6)^2+(_xlfn.XLOOKUP(AA$1,$R$2:$R$18,$T$2:$T$18)-$M6)^2+(_xlfn.XLOOKUP(AA$1,$R$2:$R$18,$U$2:$U$18-$N6)^2)))</f>
        <v>109.98153895591346</v>
      </c>
      <c r="AB6" s="149" t="str">
        <f t="array" ref="AB6">IF(AB$1=0,"",SQRT((_xlfn.XLOOKUP(AB$1,$R$2:$R$18,$S$2:$S$18)-$L6)^2+(_xlfn.XLOOKUP(AB$1,$R$2:$R$18,$T$2:$T$18)-$M6)^2+(_xlfn.XLOOKUP(AB$1,$R$2:$R$18,$U$2:$U$18-$N6)^2)))</f>
        <v/>
      </c>
      <c r="AC6" s="149" t="str">
        <f t="array" ref="AC6">IF(AC$1=0,"",SQRT((_xlfn.XLOOKUP(AC$1,$R$2:$R$18,$S$2:$S$18)-$L6)^2+(_xlfn.XLOOKUP(AC$1,$R$2:$R$18,$T$2:$T$18)-$M6)^2+(_xlfn.XLOOKUP(AC$1,$R$2:$R$18,$U$2:$U$18-$N6)^2)))</f>
        <v/>
      </c>
      <c r="AD6" s="149" t="str">
        <f t="array" ref="AD6">IF(AD$1=0,"",SQRT((_xlfn.XLOOKUP(AD$1,$R$2:$R$18,$S$2:$S$18)-$L6)^2+(_xlfn.XLOOKUP(AD$1,$R$2:$R$18,$T$2:$T$18)-$M6)^2+(_xlfn.XLOOKUP(AD$1,$R$2:$R$18,$U$2:$U$18-$N6)^2)))</f>
        <v/>
      </c>
      <c r="AE6" s="149" t="str">
        <f t="array" ref="AE6">IF(AE$1=0,"",SQRT((_xlfn.XLOOKUP(AE$1,$R$2:$R$18,$S$2:$S$18)-$L6)^2+(_xlfn.XLOOKUP(AE$1,$R$2:$R$18,$T$2:$T$18)-$M6)^2+(_xlfn.XLOOKUP(AE$1,$R$2:$R$18,$U$2:$U$18-$N6)^2)))</f>
        <v/>
      </c>
      <c r="AF6" s="149" t="str">
        <f t="array" ref="AF6">IF(AF$1=0,"",SQRT((_xlfn.XLOOKUP(AF$1,$R$2:$R$18,$S$2:$S$18)-$L6)^2+(_xlfn.XLOOKUP(AF$1,$R$2:$R$18,$T$2:$T$18)-$M6)^2+(_xlfn.XLOOKUP(AF$1,$R$2:$R$18,$U$2:$U$18-$N6)^2)))</f>
        <v/>
      </c>
      <c r="AG6" s="149" t="str">
        <f t="array" ref="AG6">IF(AG$1=0,"",SQRT((_xlfn.XLOOKUP(AG$1,$R$2:$R$18,$S$2:$S$18)-$L6)^2+(_xlfn.XLOOKUP(AG$1,$R$2:$R$18,$T$2:$T$18)-$M6)^2+(_xlfn.XLOOKUP(AG$1,$R$2:$R$18,$U$2:$U$18-$N6)^2)))</f>
        <v/>
      </c>
      <c r="AH6" s="150" t="str">
        <f t="array" ref="AH6">IF(AH$1=0,"",SQRT((_xlfn.XLOOKUP(AH$1,$R$2:$R$18,$S$2:$S$18)-$L6)^2+(_xlfn.XLOOKUP(AH$1,$R$2:$R$18,$T$2:$T$18)-$M6)^2+(_xlfn.XLOOKUP(AH$1,$R$2:$R$18,$U$2:$U$18-$N6)^2)))</f>
        <v/>
      </c>
      <c r="AI6" s="150" t="str">
        <f t="array" ref="AI6">IF(AI$1=0,"",SQRT((_xlfn.XLOOKUP(AI$1,$R$2:$R$18,$S$2:$S$18)-$L6)^2+(_xlfn.XLOOKUP(AI$1,$R$2:$R$18,$T$2:$T$18)-$M6)^2+(_xlfn.XLOOKUP(AI$1,$R$2:$R$18,$U$2:$U$18-$N6)^2)))</f>
        <v/>
      </c>
      <c r="AJ6" s="150" t="str">
        <f t="array" ref="AJ6">IF(AJ$1=0,"",SQRT((_xlfn.XLOOKUP(AJ$1,$R$2:$R$18,$S$2:$S$18)-$L6)^2+(_xlfn.XLOOKUP(AJ$1,$R$2:$R$18,$T$2:$T$18)-$M6)^2+(_xlfn.XLOOKUP(AJ$1,$R$2:$R$18,$U$2:$U$18-$N6)^2)))</f>
        <v/>
      </c>
      <c r="AK6" s="150" t="str">
        <f t="array" ref="AK6">IF(AK$1=0,"",SQRT((_xlfn.XLOOKUP(AK$1,$R$2:$R$18,$S$2:$S$18)-$L6)^2+(_xlfn.XLOOKUP(AK$1,$R$2:$R$18,$T$2:$T$18)-$M6)^2+(_xlfn.XLOOKUP(AK$1,$R$2:$R$18,$U$2:$U$18-$N6)^2)))</f>
        <v/>
      </c>
      <c r="AL6" s="150" t="str">
        <f t="array" ref="AL6">IF(AL$1=0,"",SQRT((_xlfn.XLOOKUP(AL$1,$R$2:$R$18,$S$2:$S$18)-$L6)^2+(_xlfn.XLOOKUP(AL$1,$R$2:$R$18,$T$2:$T$18)-$M6)^2+(_xlfn.XLOOKUP(AL$1,$R$2:$R$18,$U$2:$U$18-$N6)^2)))</f>
        <v/>
      </c>
      <c r="AM6" s="150" t="str">
        <f t="array" ref="AM6">IF(AM$1=0,"",SQRT((_xlfn.XLOOKUP(AM$1,$R$2:$R$18,$S$2:$S$18)-$L6)^2+(_xlfn.XLOOKUP(AM$1,$R$2:$R$18,$T$2:$T$18)-$M6)^2+(_xlfn.XLOOKUP(AM$1,$R$2:$R$18,$U$2:$U$18-$N6)^2)))</f>
        <v/>
      </c>
      <c r="AN6" s="151" t="str">
        <f t="array" ref="AN6">IF(AN$1=0,"",SQRT((_xlfn.XLOOKUP(AN$1,$R$2:$R$18,$S$2:$S$18)-$L6)^2+(_xlfn.XLOOKUP(AN$1,$R$2:$R$18,$T$2:$T$18)-$M6)^2+(_xlfn.XLOOKUP(AN$1,$R$2:$R$18,$U$2:$U$18-$N6)^2)))</f>
        <v/>
      </c>
      <c r="AO6" s="133"/>
      <c r="AP6" s="133"/>
      <c r="AQ6" s="134">
        <f t="shared" si="5"/>
        <v>-17.951267132825656</v>
      </c>
      <c r="AR6" s="152">
        <f t="shared" si="6"/>
        <v>-35.478193828469117</v>
      </c>
      <c r="AS6" s="152">
        <f t="shared" si="7"/>
        <v>0</v>
      </c>
      <c r="AT6" s="152">
        <f t="shared" si="8"/>
        <v>0</v>
      </c>
      <c r="AU6" s="152">
        <f t="shared" si="9"/>
        <v>0</v>
      </c>
      <c r="AV6" s="152">
        <f t="shared" si="10"/>
        <v>0</v>
      </c>
      <c r="AW6" s="152">
        <f t="shared" si="11"/>
        <v>0</v>
      </c>
      <c r="AX6" s="152">
        <f t="shared" si="12"/>
        <v>0</v>
      </c>
      <c r="AY6" s="153">
        <f t="shared" si="13"/>
        <v>0</v>
      </c>
      <c r="AZ6" s="153">
        <f t="shared" si="14"/>
        <v>0</v>
      </c>
      <c r="BA6" s="153">
        <f t="shared" si="15"/>
        <v>0</v>
      </c>
      <c r="BB6" s="153">
        <f t="shared" si="16"/>
        <v>0</v>
      </c>
      <c r="BC6" s="153">
        <f t="shared" si="17"/>
        <v>0</v>
      </c>
      <c r="BD6" s="153">
        <f t="shared" si="18"/>
        <v>0</v>
      </c>
      <c r="BE6" s="154">
        <f t="shared" si="19"/>
        <v>0</v>
      </c>
      <c r="BF6" s="133"/>
      <c r="BG6" s="28" t="s">
        <v>39</v>
      </c>
      <c r="BH6" s="33" t="s">
        <v>79</v>
      </c>
      <c r="BI6" s="34">
        <f>_xlfn.XLOOKUP($BH$6,$R$24:$R$50,S24:S50,"error",0,1)</f>
        <v>47</v>
      </c>
      <c r="BJ6" s="35">
        <f>_xlfn.XLOOKUP($BH$6,$R$24:$R$50,T24:T50,"error",0,1)</f>
        <v>82</v>
      </c>
      <c r="BK6" s="36">
        <f>_xlfn.XLOOKUP($BH$6,$R$24:$R$50,U24:U50,"error",0,1)</f>
        <v>12</v>
      </c>
      <c r="BL6" s="133"/>
      <c r="BM6" s="133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139"/>
      <c r="BY6" s="139"/>
      <c r="BZ6" s="139"/>
      <c r="CA6" s="139"/>
      <c r="CB6" s="139"/>
      <c r="CC6" s="133"/>
      <c r="CD6" s="133"/>
      <c r="CE6" s="140">
        <f t="shared" si="20"/>
        <v>51.028307678340333</v>
      </c>
      <c r="CF6" s="141">
        <f t="shared" si="21"/>
        <v>33.501380982696872</v>
      </c>
      <c r="CG6" s="141" t="str">
        <f t="shared" si="22"/>
        <v/>
      </c>
      <c r="CH6" s="141" t="str">
        <f t="shared" si="23"/>
        <v/>
      </c>
      <c r="CI6" s="141" t="str">
        <f t="shared" si="24"/>
        <v/>
      </c>
      <c r="CJ6" s="141" t="str">
        <f t="shared" si="25"/>
        <v/>
      </c>
      <c r="CK6" s="141" t="str">
        <f t="shared" si="26"/>
        <v/>
      </c>
      <c r="CL6" s="141" t="str">
        <f t="shared" si="27"/>
        <v/>
      </c>
      <c r="CM6" s="142" t="str">
        <f t="shared" si="28"/>
        <v/>
      </c>
      <c r="CN6" s="142" t="str">
        <f t="shared" si="29"/>
        <v/>
      </c>
      <c r="CO6" s="142" t="str">
        <f t="shared" si="30"/>
        <v/>
      </c>
      <c r="CP6" s="142" t="str">
        <f t="shared" si="31"/>
        <v/>
      </c>
      <c r="CQ6" s="142" t="str">
        <f t="shared" si="32"/>
        <v/>
      </c>
      <c r="CR6" s="142" t="str">
        <f t="shared" si="33"/>
        <v/>
      </c>
      <c r="CS6" s="143" t="str">
        <f t="shared" si="34"/>
        <v/>
      </c>
    </row>
    <row r="7" spans="1:113" ht="17.25" customHeight="1" thickBot="1" x14ac:dyDescent="0.35">
      <c r="A7" s="144">
        <v>1</v>
      </c>
      <c r="B7" s="125" t="s">
        <v>40</v>
      </c>
      <c r="C7" s="145" t="s">
        <v>20</v>
      </c>
      <c r="D7" s="146" t="s">
        <v>21</v>
      </c>
      <c r="E7" s="146" t="s">
        <v>41</v>
      </c>
      <c r="F7" s="4">
        <v>64</v>
      </c>
      <c r="G7" s="4">
        <v>3.28</v>
      </c>
      <c r="H7" s="3">
        <v>2</v>
      </c>
      <c r="I7" s="127">
        <f t="shared" si="3"/>
        <v>71.979574811165989</v>
      </c>
      <c r="J7" s="3">
        <v>8</v>
      </c>
      <c r="K7" s="3"/>
      <c r="L7" s="4">
        <v>59.02</v>
      </c>
      <c r="M7" s="4">
        <v>103.55</v>
      </c>
      <c r="N7" s="111">
        <f t="shared" si="4"/>
        <v>5.583333333333333</v>
      </c>
      <c r="O7" s="83">
        <v>0</v>
      </c>
      <c r="P7" s="147">
        <v>5.583333333333333</v>
      </c>
      <c r="R7" s="9"/>
      <c r="S7" s="4"/>
      <c r="T7" s="4"/>
      <c r="U7" s="89"/>
      <c r="V7" s="8"/>
      <c r="W7" s="2" t="e">
        <v>#VALUE!</v>
      </c>
      <c r="Z7" s="148">
        <f t="array" ref="Z7">IF(Z$1=0,"",SQRT((_xlfn.XLOOKUP(Z$1,$R$2:$R$18,$S$2:$S$18)-$L7)^2+(_xlfn.XLOOKUP(Z$1,$R$2:$R$18,$T$2:$T$18)-$M7)^2+(_xlfn.XLOOKUP(Z$1,$R$2:$R$18,$U$2:$U$18-$N7)^2)))</f>
        <v>25.007196519757624</v>
      </c>
      <c r="AA7" s="149">
        <f t="array" ref="AA7">IF(AA$1=0,"",SQRT((_xlfn.XLOOKUP(AA$1,$R$2:$R$18,$S$2:$S$18)-$L7)^2+(_xlfn.XLOOKUP(AA$1,$R$2:$R$18,$T$2:$T$18)-$M7)^2+(_xlfn.XLOOKUP(AA$1,$R$2:$R$18,$U$2:$U$18-$N7)^2)))</f>
        <v>117.73157482642925</v>
      </c>
      <c r="AB7" s="149" t="str">
        <f t="array" ref="AB7">IF(AB$1=0,"",SQRT((_xlfn.XLOOKUP(AB$1,$R$2:$R$18,$S$2:$S$18)-$L7)^2+(_xlfn.XLOOKUP(AB$1,$R$2:$R$18,$T$2:$T$18)-$M7)^2+(_xlfn.XLOOKUP(AB$1,$R$2:$R$18,$U$2:$U$18-$N7)^2)))</f>
        <v/>
      </c>
      <c r="AC7" s="149" t="str">
        <f t="array" ref="AC7">IF(AC$1=0,"",SQRT((_xlfn.XLOOKUP(AC$1,$R$2:$R$18,$S$2:$S$18)-$L7)^2+(_xlfn.XLOOKUP(AC$1,$R$2:$R$18,$T$2:$T$18)-$M7)^2+(_xlfn.XLOOKUP(AC$1,$R$2:$R$18,$U$2:$U$18-$N7)^2)))</f>
        <v/>
      </c>
      <c r="AD7" s="149" t="str">
        <f t="array" ref="AD7">IF(AD$1=0,"",SQRT((_xlfn.XLOOKUP(AD$1,$R$2:$R$18,$S$2:$S$18)-$L7)^2+(_xlfn.XLOOKUP(AD$1,$R$2:$R$18,$T$2:$T$18)-$M7)^2+(_xlfn.XLOOKUP(AD$1,$R$2:$R$18,$U$2:$U$18-$N7)^2)))</f>
        <v/>
      </c>
      <c r="AE7" s="149" t="str">
        <f t="array" ref="AE7">IF(AE$1=0,"",SQRT((_xlfn.XLOOKUP(AE$1,$R$2:$R$18,$S$2:$S$18)-$L7)^2+(_xlfn.XLOOKUP(AE$1,$R$2:$R$18,$T$2:$T$18)-$M7)^2+(_xlfn.XLOOKUP(AE$1,$R$2:$R$18,$U$2:$U$18-$N7)^2)))</f>
        <v/>
      </c>
      <c r="AF7" s="149" t="str">
        <f t="array" ref="AF7">IF(AF$1=0,"",SQRT((_xlfn.XLOOKUP(AF$1,$R$2:$R$18,$S$2:$S$18)-$L7)^2+(_xlfn.XLOOKUP(AF$1,$R$2:$R$18,$T$2:$T$18)-$M7)^2+(_xlfn.XLOOKUP(AF$1,$R$2:$R$18,$U$2:$U$18-$N7)^2)))</f>
        <v/>
      </c>
      <c r="AG7" s="149" t="str">
        <f t="array" ref="AG7">IF(AG$1=0,"",SQRT((_xlfn.XLOOKUP(AG$1,$R$2:$R$18,$S$2:$S$18)-$L7)^2+(_xlfn.XLOOKUP(AG$1,$R$2:$R$18,$T$2:$T$18)-$M7)^2+(_xlfn.XLOOKUP(AG$1,$R$2:$R$18,$U$2:$U$18-$N7)^2)))</f>
        <v/>
      </c>
      <c r="AH7" s="150" t="str">
        <f t="array" ref="AH7">IF(AH$1=0,"",SQRT((_xlfn.XLOOKUP(AH$1,$R$2:$R$18,$S$2:$S$18)-$L7)^2+(_xlfn.XLOOKUP(AH$1,$R$2:$R$18,$T$2:$T$18)-$M7)^2+(_xlfn.XLOOKUP(AH$1,$R$2:$R$18,$U$2:$U$18-$N7)^2)))</f>
        <v/>
      </c>
      <c r="AI7" s="150" t="str">
        <f t="array" ref="AI7">IF(AI$1=0,"",SQRT((_xlfn.XLOOKUP(AI$1,$R$2:$R$18,$S$2:$S$18)-$L7)^2+(_xlfn.XLOOKUP(AI$1,$R$2:$R$18,$T$2:$T$18)-$M7)^2+(_xlfn.XLOOKUP(AI$1,$R$2:$R$18,$U$2:$U$18-$N7)^2)))</f>
        <v/>
      </c>
      <c r="AJ7" s="150" t="str">
        <f t="array" ref="AJ7">IF(AJ$1=0,"",SQRT((_xlfn.XLOOKUP(AJ$1,$R$2:$R$18,$S$2:$S$18)-$L7)^2+(_xlfn.XLOOKUP(AJ$1,$R$2:$R$18,$T$2:$T$18)-$M7)^2+(_xlfn.XLOOKUP(AJ$1,$R$2:$R$18,$U$2:$U$18-$N7)^2)))</f>
        <v/>
      </c>
      <c r="AK7" s="150" t="str">
        <f t="array" ref="AK7">IF(AK$1=0,"",SQRT((_xlfn.XLOOKUP(AK$1,$R$2:$R$18,$S$2:$S$18)-$L7)^2+(_xlfn.XLOOKUP(AK$1,$R$2:$R$18,$T$2:$T$18)-$M7)^2+(_xlfn.XLOOKUP(AK$1,$R$2:$R$18,$U$2:$U$18-$N7)^2)))</f>
        <v/>
      </c>
      <c r="AL7" s="150" t="str">
        <f t="array" ref="AL7">IF(AL$1=0,"",SQRT((_xlfn.XLOOKUP(AL$1,$R$2:$R$18,$S$2:$S$18)-$L7)^2+(_xlfn.XLOOKUP(AL$1,$R$2:$R$18,$T$2:$T$18)-$M7)^2+(_xlfn.XLOOKUP(AL$1,$R$2:$R$18,$U$2:$U$18-$N7)^2)))</f>
        <v/>
      </c>
      <c r="AM7" s="150" t="str">
        <f t="array" ref="AM7">IF(AM$1=0,"",SQRT((_xlfn.XLOOKUP(AM$1,$R$2:$R$18,$S$2:$S$18)-$L7)^2+(_xlfn.XLOOKUP(AM$1,$R$2:$R$18,$T$2:$T$18)-$M7)^2+(_xlfn.XLOOKUP(AM$1,$R$2:$R$18,$U$2:$U$18-$N7)^2)))</f>
        <v/>
      </c>
      <c r="AN7" s="151" t="str">
        <f t="array" ref="AN7">IF(AN$1=0,"",SQRT((_xlfn.XLOOKUP(AN$1,$R$2:$R$18,$S$2:$S$18)-$L7)^2+(_xlfn.XLOOKUP(AN$1,$R$2:$R$18,$T$2:$T$18)-$M7)^2+(_xlfn.XLOOKUP(AN$1,$R$2:$R$18,$U$2:$U$18-$N7)^2)))</f>
        <v/>
      </c>
      <c r="AO7" s="133"/>
      <c r="AP7" s="133"/>
      <c r="AQ7" s="134">
        <f t="shared" si="5"/>
        <v>-19.602798164345238</v>
      </c>
      <c r="AR7" s="152">
        <f t="shared" si="6"/>
        <v>-33.059357090867024</v>
      </c>
      <c r="AS7" s="152">
        <f t="shared" si="7"/>
        <v>0</v>
      </c>
      <c r="AT7" s="152">
        <f t="shared" si="8"/>
        <v>0</v>
      </c>
      <c r="AU7" s="152">
        <f t="shared" si="9"/>
        <v>0</v>
      </c>
      <c r="AV7" s="152">
        <f t="shared" si="10"/>
        <v>0</v>
      </c>
      <c r="AW7" s="152">
        <f t="shared" si="11"/>
        <v>0</v>
      </c>
      <c r="AX7" s="152">
        <f t="shared" si="12"/>
        <v>0</v>
      </c>
      <c r="AY7" s="153">
        <f t="shared" si="13"/>
        <v>0</v>
      </c>
      <c r="AZ7" s="153">
        <f t="shared" si="14"/>
        <v>0</v>
      </c>
      <c r="BA7" s="153">
        <f t="shared" si="15"/>
        <v>0</v>
      </c>
      <c r="BB7" s="153">
        <f t="shared" si="16"/>
        <v>0</v>
      </c>
      <c r="BC7" s="153">
        <f t="shared" si="17"/>
        <v>0</v>
      </c>
      <c r="BD7" s="153">
        <f t="shared" si="18"/>
        <v>0</v>
      </c>
      <c r="BE7" s="154">
        <f t="shared" si="19"/>
        <v>0</v>
      </c>
      <c r="BF7" s="133"/>
      <c r="BG7" s="38" t="s">
        <v>42</v>
      </c>
      <c r="BH7" s="120"/>
      <c r="BI7" s="39">
        <f>_xlfn.XLOOKUP($BH$6,$R$24:$R$50,V24:V50,"error",0,1)</f>
        <v>67</v>
      </c>
      <c r="BJ7" s="39">
        <f>_xlfn.XLOOKUP($BH$6,$R$24:$R$50,W24:W50,"error",0,1)</f>
        <v>85</v>
      </c>
      <c r="BK7" s="39">
        <f>_xlfn.XLOOKUP($BH$6,$R$24:$R$50,X24:X50,"error",0,1)</f>
        <v>12</v>
      </c>
      <c r="BL7" s="133"/>
      <c r="BM7" s="133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3"/>
      <c r="CD7" s="133"/>
      <c r="CE7" s="155">
        <f t="shared" si="20"/>
        <v>52.376776646820751</v>
      </c>
      <c r="CF7" s="156">
        <f t="shared" si="21"/>
        <v>38.920217720298965</v>
      </c>
      <c r="CG7" s="156" t="str">
        <f t="shared" si="22"/>
        <v/>
      </c>
      <c r="CH7" s="156" t="str">
        <f t="shared" si="23"/>
        <v/>
      </c>
      <c r="CI7" s="156" t="str">
        <f t="shared" si="24"/>
        <v/>
      </c>
      <c r="CJ7" s="156" t="str">
        <f t="shared" si="25"/>
        <v/>
      </c>
      <c r="CK7" s="156" t="str">
        <f t="shared" si="26"/>
        <v/>
      </c>
      <c r="CL7" s="156" t="str">
        <f t="shared" si="27"/>
        <v/>
      </c>
      <c r="CM7" s="157" t="str">
        <f t="shared" si="28"/>
        <v/>
      </c>
      <c r="CN7" s="157" t="str">
        <f t="shared" si="29"/>
        <v/>
      </c>
      <c r="CO7" s="157" t="str">
        <f t="shared" si="30"/>
        <v/>
      </c>
      <c r="CP7" s="157" t="str">
        <f t="shared" si="31"/>
        <v/>
      </c>
      <c r="CQ7" s="142" t="str">
        <f t="shared" si="32"/>
        <v/>
      </c>
      <c r="CR7" s="142" t="str">
        <f t="shared" si="33"/>
        <v/>
      </c>
      <c r="CS7" s="143" t="str">
        <f t="shared" si="34"/>
        <v/>
      </c>
    </row>
    <row r="8" spans="1:113" ht="17.25" customHeight="1" thickBot="1" x14ac:dyDescent="0.35">
      <c r="A8" s="144"/>
      <c r="B8" s="145" t="s">
        <v>43</v>
      </c>
      <c r="C8" s="145" t="s">
        <v>20</v>
      </c>
      <c r="D8" s="146" t="s">
        <v>44</v>
      </c>
      <c r="E8" s="146" t="s">
        <v>45</v>
      </c>
      <c r="F8" s="4">
        <v>85</v>
      </c>
      <c r="G8" s="4">
        <v>0</v>
      </c>
      <c r="H8" s="3">
        <v>2</v>
      </c>
      <c r="I8" s="127">
        <f t="shared" si="3"/>
        <v>85</v>
      </c>
      <c r="J8" s="3">
        <v>2</v>
      </c>
      <c r="K8" s="3">
        <v>20</v>
      </c>
      <c r="L8" s="4">
        <v>0</v>
      </c>
      <c r="M8" s="4">
        <v>0</v>
      </c>
      <c r="N8" s="111">
        <f t="shared" si="4"/>
        <v>0</v>
      </c>
      <c r="O8" s="83">
        <v>0</v>
      </c>
      <c r="P8" s="147">
        <v>0</v>
      </c>
      <c r="R8" s="9"/>
      <c r="S8" s="4"/>
      <c r="T8" s="4"/>
      <c r="U8" s="89"/>
      <c r="V8" s="8"/>
      <c r="W8" s="2" t="e">
        <v>#VALUE!</v>
      </c>
      <c r="Z8" s="148">
        <f t="array" ref="Z8">IF(Z$1=0,"",SQRT((_xlfn.XLOOKUP(Z$1,$R$2:$R$18,$S$2:$S$18)-$L8)^2+(_xlfn.XLOOKUP(Z$1,$R$2:$R$18,$T$2:$T$18)-$M8)^2+(_xlfn.XLOOKUP(Z$1,$R$2:$R$18,$U$2:$U$18-$N8)^2)))</f>
        <v>98.29525370026775</v>
      </c>
      <c r="AA8" s="149">
        <f t="array" ref="AA8">IF(AA$1=0,"",SQRT((_xlfn.XLOOKUP(AA$1,$R$2:$R$18,$S$2:$S$18)-$L8)^2+(_xlfn.XLOOKUP(AA$1,$R$2:$R$18,$T$2:$T$18)-$M8)^2+(_xlfn.XLOOKUP(AA$1,$R$2:$R$18,$U$2:$U$18-$N8)^2)))</f>
        <v>3.28</v>
      </c>
      <c r="AB8" s="149" t="str">
        <f t="array" ref="AB8">IF(AB$1=0,"",SQRT((_xlfn.XLOOKUP(AB$1,$R$2:$R$18,$S$2:$S$18)-$L8)^2+(_xlfn.XLOOKUP(AB$1,$R$2:$R$18,$T$2:$T$18)-$M8)^2+(_xlfn.XLOOKUP(AB$1,$R$2:$R$18,$U$2:$U$18-$N8)^2)))</f>
        <v/>
      </c>
      <c r="AC8" s="149" t="str">
        <f t="array" ref="AC8">IF(AC$1=0,"",SQRT((_xlfn.XLOOKUP(AC$1,$R$2:$R$18,$S$2:$S$18)-$L8)^2+(_xlfn.XLOOKUP(AC$1,$R$2:$R$18,$T$2:$T$18)-$M8)^2+(_xlfn.XLOOKUP(AC$1,$R$2:$R$18,$U$2:$U$18-$N8)^2)))</f>
        <v/>
      </c>
      <c r="AD8" s="149" t="str">
        <f t="array" ref="AD8">IF(AD$1=0,"",SQRT((_xlfn.XLOOKUP(AD$1,$R$2:$R$18,$S$2:$S$18)-$L8)^2+(_xlfn.XLOOKUP(AD$1,$R$2:$R$18,$T$2:$T$18)-$M8)^2+(_xlfn.XLOOKUP(AD$1,$R$2:$R$18,$U$2:$U$18-$N8)^2)))</f>
        <v/>
      </c>
      <c r="AE8" s="149" t="str">
        <f t="array" ref="AE8">IF(AE$1=0,"",SQRT((_xlfn.XLOOKUP(AE$1,$R$2:$R$18,$S$2:$S$18)-$L8)^2+(_xlfn.XLOOKUP(AE$1,$R$2:$R$18,$T$2:$T$18)-$M8)^2+(_xlfn.XLOOKUP(AE$1,$R$2:$R$18,$U$2:$U$18-$N8)^2)))</f>
        <v/>
      </c>
      <c r="AF8" s="149" t="str">
        <f t="array" ref="AF8">IF(AF$1=0,"",SQRT((_xlfn.XLOOKUP(AF$1,$R$2:$R$18,$S$2:$S$18)-$L8)^2+(_xlfn.XLOOKUP(AF$1,$R$2:$R$18,$T$2:$T$18)-$M8)^2+(_xlfn.XLOOKUP(AF$1,$R$2:$R$18,$U$2:$U$18-$N8)^2)))</f>
        <v/>
      </c>
      <c r="AG8" s="149" t="str">
        <f t="array" ref="AG8">IF(AG$1=0,"",SQRT((_xlfn.XLOOKUP(AG$1,$R$2:$R$18,$S$2:$S$18)-$L8)^2+(_xlfn.XLOOKUP(AG$1,$R$2:$R$18,$T$2:$T$18)-$M8)^2+(_xlfn.XLOOKUP(AG$1,$R$2:$R$18,$U$2:$U$18-$N8)^2)))</f>
        <v/>
      </c>
      <c r="AH8" s="150" t="str">
        <f t="array" ref="AH8">IF(AH$1=0,"",SQRT((_xlfn.XLOOKUP(AH$1,$R$2:$R$18,$S$2:$S$18)-$L8)^2+(_xlfn.XLOOKUP(AH$1,$R$2:$R$18,$T$2:$T$18)-$M8)^2+(_xlfn.XLOOKUP(AH$1,$R$2:$R$18,$U$2:$U$18-$N8)^2)))</f>
        <v/>
      </c>
      <c r="AI8" s="150" t="str">
        <f t="array" ref="AI8">IF(AI$1=0,"",SQRT((_xlfn.XLOOKUP(AI$1,$R$2:$R$18,$S$2:$S$18)-$L8)^2+(_xlfn.XLOOKUP(AI$1,$R$2:$R$18,$T$2:$T$18)-$M8)^2+(_xlfn.XLOOKUP(AI$1,$R$2:$R$18,$U$2:$U$18-$N8)^2)))</f>
        <v/>
      </c>
      <c r="AJ8" s="150" t="str">
        <f t="array" ref="AJ8">IF(AJ$1=0,"",SQRT((_xlfn.XLOOKUP(AJ$1,$R$2:$R$18,$S$2:$S$18)-$L8)^2+(_xlfn.XLOOKUP(AJ$1,$R$2:$R$18,$T$2:$T$18)-$M8)^2+(_xlfn.XLOOKUP(AJ$1,$R$2:$R$18,$U$2:$U$18-$N8)^2)))</f>
        <v/>
      </c>
      <c r="AK8" s="150" t="str">
        <f t="array" ref="AK8">IF(AK$1=0,"",SQRT((_xlfn.XLOOKUP(AK$1,$R$2:$R$18,$S$2:$S$18)-$L8)^2+(_xlfn.XLOOKUP(AK$1,$R$2:$R$18,$T$2:$T$18)-$M8)^2+(_xlfn.XLOOKUP(AK$1,$R$2:$R$18,$U$2:$U$18-$N8)^2)))</f>
        <v/>
      </c>
      <c r="AL8" s="150" t="str">
        <f t="array" ref="AL8">IF(AL$1=0,"",SQRT((_xlfn.XLOOKUP(AL$1,$R$2:$R$18,$S$2:$S$18)-$L8)^2+(_xlfn.XLOOKUP(AL$1,$R$2:$R$18,$T$2:$T$18)-$M8)^2+(_xlfn.XLOOKUP(AL$1,$R$2:$R$18,$U$2:$U$18-$N8)^2)))</f>
        <v/>
      </c>
      <c r="AM8" s="150" t="str">
        <f t="array" ref="AM8">IF(AM$1=0,"",SQRT((_xlfn.XLOOKUP(AM$1,$R$2:$R$18,$S$2:$S$18)-$L8)^2+(_xlfn.XLOOKUP(AM$1,$R$2:$R$18,$T$2:$T$18)-$M8)^2+(_xlfn.XLOOKUP(AM$1,$R$2:$R$18,$U$2:$U$18-$N8)^2)))</f>
        <v/>
      </c>
      <c r="AN8" s="151" t="str">
        <f t="array" ref="AN8">IF(AN$1=0,"",SQRT((_xlfn.XLOOKUP(AN$1,$R$2:$R$18,$S$2:$S$18)-$L8)^2+(_xlfn.XLOOKUP(AN$1,$R$2:$R$18,$T$2:$T$18)-$M8)^2+(_xlfn.XLOOKUP(AN$1,$R$2:$R$18,$U$2:$U$18-$N8)^2)))</f>
        <v/>
      </c>
      <c r="AO8" s="133"/>
      <c r="AP8" s="133"/>
      <c r="AQ8" s="134">
        <f t="shared" si="5"/>
        <v>-37.512748895498149</v>
      </c>
      <c r="AR8" s="152">
        <f t="shared" si="6"/>
        <v>-7.979574811165989</v>
      </c>
      <c r="AS8" s="152">
        <f t="shared" si="7"/>
        <v>0</v>
      </c>
      <c r="AT8" s="152">
        <f t="shared" si="8"/>
        <v>0</v>
      </c>
      <c r="AU8" s="152">
        <f t="shared" si="9"/>
        <v>0</v>
      </c>
      <c r="AV8" s="152">
        <f t="shared" si="10"/>
        <v>0</v>
      </c>
      <c r="AW8" s="152">
        <f t="shared" si="11"/>
        <v>0</v>
      </c>
      <c r="AX8" s="152">
        <f t="shared" si="12"/>
        <v>0</v>
      </c>
      <c r="AY8" s="153">
        <f t="shared" si="13"/>
        <v>0</v>
      </c>
      <c r="AZ8" s="153">
        <f t="shared" si="14"/>
        <v>0</v>
      </c>
      <c r="BA8" s="153">
        <f t="shared" si="15"/>
        <v>0</v>
      </c>
      <c r="BB8" s="153">
        <f t="shared" si="16"/>
        <v>0</v>
      </c>
      <c r="BC8" s="153">
        <f t="shared" si="17"/>
        <v>0</v>
      </c>
      <c r="BD8" s="153">
        <f t="shared" si="18"/>
        <v>0</v>
      </c>
      <c r="BE8" s="154">
        <f t="shared" si="19"/>
        <v>0</v>
      </c>
      <c r="BF8" s="133"/>
      <c r="BG8" s="41" t="s">
        <v>46</v>
      </c>
      <c r="BH8" s="159">
        <f>SQRT((BI5-BI4)^2+(BJ5-BJ4)^2)</f>
        <v>14.609236804159204</v>
      </c>
      <c r="BI8" s="42" t="s">
        <v>47</v>
      </c>
      <c r="BJ8" s="201">
        <f>(BJ5-BJ4)/(BI5-BI4)</f>
        <v>4.5591054313099093</v>
      </c>
      <c r="BK8" s="160">
        <f>SLOPE(BJ4:BJ5,BI4:BI5)</f>
        <v>4.5591054313099093</v>
      </c>
      <c r="BL8" s="133"/>
      <c r="BM8" s="133"/>
      <c r="BN8" s="139"/>
      <c r="BO8" s="139"/>
      <c r="BP8" s="139"/>
      <c r="BQ8" s="139"/>
      <c r="BR8" s="139"/>
      <c r="BS8" s="139"/>
      <c r="BT8" s="139"/>
      <c r="BU8" s="139"/>
      <c r="BV8" s="139"/>
      <c r="BW8" s="139"/>
      <c r="BX8" s="139"/>
      <c r="BY8" s="139"/>
      <c r="BZ8" s="139"/>
      <c r="CA8" s="139"/>
      <c r="CB8" s="139"/>
      <c r="CC8" s="133"/>
      <c r="CD8" s="133"/>
      <c r="CE8" s="140">
        <f t="shared" si="20"/>
        <v>27.487251104501851</v>
      </c>
      <c r="CF8" s="141">
        <f t="shared" si="21"/>
        <v>57.020425188834011</v>
      </c>
      <c r="CG8" s="141" t="str">
        <f t="shared" si="22"/>
        <v/>
      </c>
      <c r="CH8" s="141" t="str">
        <f t="shared" si="23"/>
        <v/>
      </c>
      <c r="CI8" s="141" t="str">
        <f t="shared" si="24"/>
        <v/>
      </c>
      <c r="CJ8" s="141" t="str">
        <f t="shared" si="25"/>
        <v/>
      </c>
      <c r="CK8" s="141" t="str">
        <f t="shared" si="26"/>
        <v/>
      </c>
      <c r="CL8" s="141" t="str">
        <f t="shared" si="27"/>
        <v/>
      </c>
      <c r="CM8" s="142" t="str">
        <f t="shared" si="28"/>
        <v/>
      </c>
      <c r="CN8" s="142" t="str">
        <f t="shared" si="29"/>
        <v/>
      </c>
      <c r="CO8" s="142" t="str">
        <f t="shared" si="30"/>
        <v/>
      </c>
      <c r="CP8" s="142" t="str">
        <f t="shared" si="31"/>
        <v/>
      </c>
      <c r="CQ8" s="142" t="str">
        <f t="shared" si="32"/>
        <v/>
      </c>
      <c r="CR8" s="142" t="str">
        <f t="shared" si="33"/>
        <v/>
      </c>
      <c r="CS8" s="143" t="str">
        <f t="shared" si="34"/>
        <v/>
      </c>
    </row>
    <row r="9" spans="1:113" ht="17.25" customHeight="1" thickBot="1" x14ac:dyDescent="0.35">
      <c r="A9" s="144"/>
      <c r="B9" s="145"/>
      <c r="C9" s="145"/>
      <c r="D9" s="146"/>
      <c r="E9" s="146"/>
      <c r="F9" s="4"/>
      <c r="G9" s="4"/>
      <c r="H9" s="3"/>
      <c r="I9" s="127">
        <f t="shared" si="3"/>
        <v>0</v>
      </c>
      <c r="J9" s="3"/>
      <c r="K9" s="3"/>
      <c r="L9" s="4"/>
      <c r="M9" s="4"/>
      <c r="N9" s="111">
        <f t="shared" si="4"/>
        <v>0</v>
      </c>
      <c r="O9" s="83"/>
      <c r="P9" s="147"/>
      <c r="R9" s="9"/>
      <c r="S9" s="4"/>
      <c r="T9" s="4"/>
      <c r="U9" s="89"/>
      <c r="V9" s="8"/>
      <c r="W9" s="2" t="e">
        <v>#VALUE!</v>
      </c>
      <c r="Z9" s="148">
        <f t="array" ref="Z9">IF(Z$1=0,"",SQRT((_xlfn.XLOOKUP(Z$1,$R$2:$R$18,$S$2:$S$18)-$L9)^2+(_xlfn.XLOOKUP(Z$1,$R$2:$R$18,$T$2:$T$18)-$M9)^2+(_xlfn.XLOOKUP(Z$1,$R$2:$R$18,$U$2:$U$18-$N9)^2)))</f>
        <v>98.29525370026775</v>
      </c>
      <c r="AA9" s="149">
        <f t="array" ref="AA9">IF(AA$1=0,"",SQRT((_xlfn.XLOOKUP(AA$1,$R$2:$R$18,$S$2:$S$18)-$L9)^2+(_xlfn.XLOOKUP(AA$1,$R$2:$R$18,$T$2:$T$18)-$M9)^2+(_xlfn.XLOOKUP(AA$1,$R$2:$R$18,$U$2:$U$18-$N9)^2)))</f>
        <v>3.28</v>
      </c>
      <c r="AB9" s="149" t="str">
        <f t="array" ref="AB9">IF(AB$1=0,"",SQRT((_xlfn.XLOOKUP(AB$1,$R$2:$R$18,$S$2:$S$18)-$L9)^2+(_xlfn.XLOOKUP(AB$1,$R$2:$R$18,$T$2:$T$18)-$M9)^2+(_xlfn.XLOOKUP(AB$1,$R$2:$R$18,$U$2:$U$18-$N9)^2)))</f>
        <v/>
      </c>
      <c r="AC9" s="149" t="str">
        <f t="array" ref="AC9">IF(AC$1=0,"",SQRT((_xlfn.XLOOKUP(AC$1,$R$2:$R$18,$S$2:$S$18)-$L9)^2+(_xlfn.XLOOKUP(AC$1,$R$2:$R$18,$T$2:$T$18)-$M9)^2+(_xlfn.XLOOKUP(AC$1,$R$2:$R$18,$U$2:$U$18-$N9)^2)))</f>
        <v/>
      </c>
      <c r="AD9" s="149" t="str">
        <f t="array" ref="AD9">IF(AD$1=0,"",SQRT((_xlfn.XLOOKUP(AD$1,$R$2:$R$18,$S$2:$S$18)-$L9)^2+(_xlfn.XLOOKUP(AD$1,$R$2:$R$18,$T$2:$T$18)-$M9)^2+(_xlfn.XLOOKUP(AD$1,$R$2:$R$18,$U$2:$U$18-$N9)^2)))</f>
        <v/>
      </c>
      <c r="AE9" s="149" t="str">
        <f t="array" ref="AE9">IF(AE$1=0,"",SQRT((_xlfn.XLOOKUP(AE$1,$R$2:$R$18,$S$2:$S$18)-$L9)^2+(_xlfn.XLOOKUP(AE$1,$R$2:$R$18,$T$2:$T$18)-$M9)^2+(_xlfn.XLOOKUP(AE$1,$R$2:$R$18,$U$2:$U$18-$N9)^2)))</f>
        <v/>
      </c>
      <c r="AF9" s="149" t="str">
        <f t="array" ref="AF9">IF(AF$1=0,"",SQRT((_xlfn.XLOOKUP(AF$1,$R$2:$R$18,$S$2:$S$18)-$L9)^2+(_xlfn.XLOOKUP(AF$1,$R$2:$R$18,$T$2:$T$18)-$M9)^2+(_xlfn.XLOOKUP(AF$1,$R$2:$R$18,$U$2:$U$18-$N9)^2)))</f>
        <v/>
      </c>
      <c r="AG9" s="149" t="str">
        <f t="array" ref="AG9">IF(AG$1=0,"",SQRT((_xlfn.XLOOKUP(AG$1,$R$2:$R$18,$S$2:$S$18)-$L9)^2+(_xlfn.XLOOKUP(AG$1,$R$2:$R$18,$T$2:$T$18)-$M9)^2+(_xlfn.XLOOKUP(AG$1,$R$2:$R$18,$U$2:$U$18-$N9)^2)))</f>
        <v/>
      </c>
      <c r="AH9" s="150" t="str">
        <f t="array" ref="AH9">IF(AH$1=0,"",SQRT((_xlfn.XLOOKUP(AH$1,$R$2:$R$18,$S$2:$S$18)-$L9)^2+(_xlfn.XLOOKUP(AH$1,$R$2:$R$18,$T$2:$T$18)-$M9)^2+(_xlfn.XLOOKUP(AH$1,$R$2:$R$18,$U$2:$U$18-$N9)^2)))</f>
        <v/>
      </c>
      <c r="AI9" s="150" t="str">
        <f t="array" ref="AI9">IF(AI$1=0,"",SQRT((_xlfn.XLOOKUP(AI$1,$R$2:$R$18,$S$2:$S$18)-$L9)^2+(_xlfn.XLOOKUP(AI$1,$R$2:$R$18,$T$2:$T$18)-$M9)^2+(_xlfn.XLOOKUP(AI$1,$R$2:$R$18,$U$2:$U$18-$N9)^2)))</f>
        <v/>
      </c>
      <c r="AJ9" s="150" t="str">
        <f t="array" ref="AJ9">IF(AJ$1=0,"",SQRT((_xlfn.XLOOKUP(AJ$1,$R$2:$R$18,$S$2:$S$18)-$L9)^2+(_xlfn.XLOOKUP(AJ$1,$R$2:$R$18,$T$2:$T$18)-$M9)^2+(_xlfn.XLOOKUP(AJ$1,$R$2:$R$18,$U$2:$U$18-$N9)^2)))</f>
        <v/>
      </c>
      <c r="AK9" s="150" t="str">
        <f t="array" ref="AK9">IF(AK$1=0,"",SQRT((_xlfn.XLOOKUP(AK$1,$R$2:$R$18,$S$2:$S$18)-$L9)^2+(_xlfn.XLOOKUP(AK$1,$R$2:$R$18,$T$2:$T$18)-$M9)^2+(_xlfn.XLOOKUP(AK$1,$R$2:$R$18,$U$2:$U$18-$N9)^2)))</f>
        <v/>
      </c>
      <c r="AL9" s="150" t="str">
        <f t="array" ref="AL9">IF(AL$1=0,"",SQRT((_xlfn.XLOOKUP(AL$1,$R$2:$R$18,$S$2:$S$18)-$L9)^2+(_xlfn.XLOOKUP(AL$1,$R$2:$R$18,$T$2:$T$18)-$M9)^2+(_xlfn.XLOOKUP(AL$1,$R$2:$R$18,$U$2:$U$18-$N9)^2)))</f>
        <v/>
      </c>
      <c r="AM9" s="150" t="str">
        <f t="array" ref="AM9">IF(AM$1=0,"",SQRT((_xlfn.XLOOKUP(AM$1,$R$2:$R$18,$S$2:$S$18)-$L9)^2+(_xlfn.XLOOKUP(AM$1,$R$2:$R$18,$T$2:$T$18)-$M9)^2+(_xlfn.XLOOKUP(AM$1,$R$2:$R$18,$U$2:$U$18-$N9)^2)))</f>
        <v/>
      </c>
      <c r="AN9" s="151" t="str">
        <f t="array" ref="AN9">IF(AN$1=0,"",SQRT((_xlfn.XLOOKUP(AN$1,$R$2:$R$18,$S$2:$S$18)-$L9)^2+(_xlfn.XLOOKUP(AN$1,$R$2:$R$18,$T$2:$T$18)-$M9)^2+(_xlfn.XLOOKUP(AN$1,$R$2:$R$18,$U$2:$U$18-$N9)^2)))</f>
        <v/>
      </c>
      <c r="AO9" s="133"/>
      <c r="AP9" s="133"/>
      <c r="AQ9" s="134">
        <f t="shared" si="5"/>
        <v>0</v>
      </c>
      <c r="AR9" s="152">
        <f t="shared" si="6"/>
        <v>0</v>
      </c>
      <c r="AS9" s="152">
        <f t="shared" si="7"/>
        <v>0</v>
      </c>
      <c r="AT9" s="152">
        <f t="shared" si="8"/>
        <v>0</v>
      </c>
      <c r="AU9" s="152">
        <f t="shared" si="9"/>
        <v>0</v>
      </c>
      <c r="AV9" s="152">
        <f t="shared" si="10"/>
        <v>0</v>
      </c>
      <c r="AW9" s="152">
        <f t="shared" si="11"/>
        <v>0</v>
      </c>
      <c r="AX9" s="152">
        <f t="shared" si="12"/>
        <v>0</v>
      </c>
      <c r="AY9" s="153">
        <f t="shared" si="13"/>
        <v>0</v>
      </c>
      <c r="AZ9" s="153">
        <f t="shared" si="14"/>
        <v>0</v>
      </c>
      <c r="BA9" s="153">
        <f t="shared" si="15"/>
        <v>0</v>
      </c>
      <c r="BB9" s="153">
        <f t="shared" si="16"/>
        <v>0</v>
      </c>
      <c r="BC9" s="153">
        <f t="shared" si="17"/>
        <v>0</v>
      </c>
      <c r="BD9" s="153">
        <f t="shared" si="18"/>
        <v>0</v>
      </c>
      <c r="BE9" s="154">
        <f t="shared" si="19"/>
        <v>0</v>
      </c>
      <c r="BF9" s="133"/>
      <c r="BG9" s="41" t="s">
        <v>48</v>
      </c>
      <c r="BH9" s="161">
        <f>SQRT((BJ12-BI4)^2+(BJ13-BJ4)^2)</f>
        <v>9.0706311768731425</v>
      </c>
      <c r="BI9" s="45" t="s">
        <v>49</v>
      </c>
      <c r="BJ9" s="202">
        <f>(BJ7-BJ6)/(BI7-BI6)</f>
        <v>0.15</v>
      </c>
      <c r="BK9" s="162">
        <f>SLOPE(BJ6:BJ7,BI6:BI7)</f>
        <v>0.15</v>
      </c>
      <c r="BL9" s="133"/>
      <c r="BM9" s="133"/>
      <c r="BN9" s="139"/>
      <c r="BO9" s="139"/>
      <c r="BP9" s="139"/>
      <c r="BQ9" s="139"/>
      <c r="BR9" s="139"/>
      <c r="BS9" s="139"/>
      <c r="BT9" s="139"/>
      <c r="BU9" s="139"/>
      <c r="BV9" s="139"/>
      <c r="BW9" s="139"/>
      <c r="BX9" s="139"/>
      <c r="BY9" s="139"/>
      <c r="BZ9" s="139"/>
      <c r="CA9" s="139"/>
      <c r="CB9" s="139"/>
      <c r="CC9" s="133"/>
      <c r="CD9" s="133"/>
      <c r="CE9" s="155">
        <f t="shared" si="20"/>
        <v>0</v>
      </c>
      <c r="CF9" s="156">
        <f t="shared" si="21"/>
        <v>0</v>
      </c>
      <c r="CG9" s="156" t="str">
        <f t="shared" si="22"/>
        <v/>
      </c>
      <c r="CH9" s="156" t="str">
        <f t="shared" si="23"/>
        <v/>
      </c>
      <c r="CI9" s="156" t="str">
        <f t="shared" si="24"/>
        <v/>
      </c>
      <c r="CJ9" s="156" t="str">
        <f t="shared" si="25"/>
        <v/>
      </c>
      <c r="CK9" s="156" t="str">
        <f t="shared" si="26"/>
        <v/>
      </c>
      <c r="CL9" s="156" t="str">
        <f t="shared" si="27"/>
        <v/>
      </c>
      <c r="CM9" s="157" t="str">
        <f t="shared" si="28"/>
        <v/>
      </c>
      <c r="CN9" s="157" t="str">
        <f t="shared" si="29"/>
        <v/>
      </c>
      <c r="CO9" s="157" t="str">
        <f t="shared" si="30"/>
        <v/>
      </c>
      <c r="CP9" s="157" t="str">
        <f t="shared" si="31"/>
        <v/>
      </c>
      <c r="CQ9" s="142" t="str">
        <f t="shared" si="32"/>
        <v/>
      </c>
      <c r="CR9" s="142" t="str">
        <f t="shared" si="33"/>
        <v/>
      </c>
      <c r="CS9" s="143" t="str">
        <f t="shared" si="34"/>
        <v/>
      </c>
    </row>
    <row r="10" spans="1:113" ht="17.25" customHeight="1" thickBot="1" x14ac:dyDescent="0.35">
      <c r="A10" s="144"/>
      <c r="B10" s="125"/>
      <c r="C10" s="145"/>
      <c r="D10" s="146"/>
      <c r="E10" s="146"/>
      <c r="F10" s="4"/>
      <c r="G10" s="4"/>
      <c r="H10" s="3"/>
      <c r="I10" s="127">
        <f t="shared" si="3"/>
        <v>0</v>
      </c>
      <c r="J10" s="3"/>
      <c r="K10" s="3"/>
      <c r="L10" s="4"/>
      <c r="M10" s="4"/>
      <c r="N10" s="111">
        <f t="shared" si="4"/>
        <v>0</v>
      </c>
      <c r="O10" s="83"/>
      <c r="P10" s="147"/>
      <c r="R10" s="9"/>
      <c r="S10" s="4"/>
      <c r="T10" s="4"/>
      <c r="U10" s="89"/>
      <c r="V10" s="8"/>
      <c r="W10" s="2" t="e">
        <v>#VALUE!</v>
      </c>
      <c r="Z10" s="148">
        <f t="array" ref="Z10">IF(Z$1=0,"",SQRT((_xlfn.XLOOKUP(Z$1,$R$2:$R$18,$S$2:$S$18)-$L10)^2+(_xlfn.XLOOKUP(Z$1,$R$2:$R$18,$T$2:$T$18)-$M10)^2+(_xlfn.XLOOKUP(Z$1,$R$2:$R$18,$U$2:$U$18-$N10)^2)))</f>
        <v>98.29525370026775</v>
      </c>
      <c r="AA10" s="149">
        <f t="array" ref="AA10">IF(AA$1=0,"",SQRT((_xlfn.XLOOKUP(AA$1,$R$2:$R$18,$S$2:$S$18)-$L10)^2+(_xlfn.XLOOKUP(AA$1,$R$2:$R$18,$T$2:$T$18)-$M10)^2+(_xlfn.XLOOKUP(AA$1,$R$2:$R$18,$U$2:$U$18-$N10)^2)))</f>
        <v>3.28</v>
      </c>
      <c r="AB10" s="149" t="str">
        <f t="array" ref="AB10">IF(AB$1=0,"",SQRT((_xlfn.XLOOKUP(AB$1,$R$2:$R$18,$S$2:$S$18)-$L10)^2+(_xlfn.XLOOKUP(AB$1,$R$2:$R$18,$T$2:$T$18)-$M10)^2+(_xlfn.XLOOKUP(AB$1,$R$2:$R$18,$U$2:$U$18-$N10)^2)))</f>
        <v/>
      </c>
      <c r="AC10" s="149" t="str">
        <f t="array" ref="AC10">IF(AC$1=0,"",SQRT((_xlfn.XLOOKUP(AC$1,$R$2:$R$18,$S$2:$S$18)-$L10)^2+(_xlfn.XLOOKUP(AC$1,$R$2:$R$18,$T$2:$T$18)-$M10)^2+(_xlfn.XLOOKUP(AC$1,$R$2:$R$18,$U$2:$U$18-$N10)^2)))</f>
        <v/>
      </c>
      <c r="AD10" s="149" t="str">
        <f t="array" ref="AD10">IF(AD$1=0,"",SQRT((_xlfn.XLOOKUP(AD$1,$R$2:$R$18,$S$2:$S$18)-$L10)^2+(_xlfn.XLOOKUP(AD$1,$R$2:$R$18,$T$2:$T$18)-$M10)^2+(_xlfn.XLOOKUP(AD$1,$R$2:$R$18,$U$2:$U$18-$N10)^2)))</f>
        <v/>
      </c>
      <c r="AE10" s="149" t="str">
        <f t="array" ref="AE10">IF(AE$1=0,"",SQRT((_xlfn.XLOOKUP(AE$1,$R$2:$R$18,$S$2:$S$18)-$L10)^2+(_xlfn.XLOOKUP(AE$1,$R$2:$R$18,$T$2:$T$18)-$M10)^2+(_xlfn.XLOOKUP(AE$1,$R$2:$R$18,$U$2:$U$18-$N10)^2)))</f>
        <v/>
      </c>
      <c r="AF10" s="149" t="str">
        <f t="array" ref="AF10">IF(AF$1=0,"",SQRT((_xlfn.XLOOKUP(AF$1,$R$2:$R$18,$S$2:$S$18)-$L10)^2+(_xlfn.XLOOKUP(AF$1,$R$2:$R$18,$T$2:$T$18)-$M10)^2+(_xlfn.XLOOKUP(AF$1,$R$2:$R$18,$U$2:$U$18-$N10)^2)))</f>
        <v/>
      </c>
      <c r="AG10" s="149" t="str">
        <f t="array" ref="AG10">IF(AG$1=0,"",SQRT((_xlfn.XLOOKUP(AG$1,$R$2:$R$18,$S$2:$S$18)-$L10)^2+(_xlfn.XLOOKUP(AG$1,$R$2:$R$18,$T$2:$T$18)-$M10)^2+(_xlfn.XLOOKUP(AG$1,$R$2:$R$18,$U$2:$U$18-$N10)^2)))</f>
        <v/>
      </c>
      <c r="AH10" s="150" t="str">
        <f t="array" ref="AH10">IF(AH$1=0,"",SQRT((_xlfn.XLOOKUP(AH$1,$R$2:$R$18,$S$2:$S$18)-$L10)^2+(_xlfn.XLOOKUP(AH$1,$R$2:$R$18,$T$2:$T$18)-$M10)^2+(_xlfn.XLOOKUP(AH$1,$R$2:$R$18,$U$2:$U$18-$N10)^2)))</f>
        <v/>
      </c>
      <c r="AI10" s="150" t="str">
        <f t="array" ref="AI10">IF(AI$1=0,"",SQRT((_xlfn.XLOOKUP(AI$1,$R$2:$R$18,$S$2:$S$18)-$L10)^2+(_xlfn.XLOOKUP(AI$1,$R$2:$R$18,$T$2:$T$18)-$M10)^2+(_xlfn.XLOOKUP(AI$1,$R$2:$R$18,$U$2:$U$18-$N10)^2)))</f>
        <v/>
      </c>
      <c r="AJ10" s="150" t="str">
        <f t="array" ref="AJ10">IF(AJ$1=0,"",SQRT((_xlfn.XLOOKUP(AJ$1,$R$2:$R$18,$S$2:$S$18)-$L10)^2+(_xlfn.XLOOKUP(AJ$1,$R$2:$R$18,$T$2:$T$18)-$M10)^2+(_xlfn.XLOOKUP(AJ$1,$R$2:$R$18,$U$2:$U$18-$N10)^2)))</f>
        <v/>
      </c>
      <c r="AK10" s="150" t="str">
        <f t="array" ref="AK10">IF(AK$1=0,"",SQRT((_xlfn.XLOOKUP(AK$1,$R$2:$R$18,$S$2:$S$18)-$L10)^2+(_xlfn.XLOOKUP(AK$1,$R$2:$R$18,$T$2:$T$18)-$M10)^2+(_xlfn.XLOOKUP(AK$1,$R$2:$R$18,$U$2:$U$18-$N10)^2)))</f>
        <v/>
      </c>
      <c r="AL10" s="150" t="str">
        <f t="array" ref="AL10">IF(AL$1=0,"",SQRT((_xlfn.XLOOKUP(AL$1,$R$2:$R$18,$S$2:$S$18)-$L10)^2+(_xlfn.XLOOKUP(AL$1,$R$2:$R$18,$T$2:$T$18)-$M10)^2+(_xlfn.XLOOKUP(AL$1,$R$2:$R$18,$U$2:$U$18-$N10)^2)))</f>
        <v/>
      </c>
      <c r="AM10" s="150" t="str">
        <f t="array" ref="AM10">IF(AM$1=0,"",SQRT((_xlfn.XLOOKUP(AM$1,$R$2:$R$18,$S$2:$S$18)-$L10)^2+(_xlfn.XLOOKUP(AM$1,$R$2:$R$18,$T$2:$T$18)-$M10)^2+(_xlfn.XLOOKUP(AM$1,$R$2:$R$18,$U$2:$U$18-$N10)^2)))</f>
        <v/>
      </c>
      <c r="AN10" s="151" t="str">
        <f t="array" ref="AN10">IF(AN$1=0,"",SQRT((_xlfn.XLOOKUP(AN$1,$R$2:$R$18,$S$2:$S$18)-$L10)^2+(_xlfn.XLOOKUP(AN$1,$R$2:$R$18,$T$2:$T$18)-$M10)^2+(_xlfn.XLOOKUP(AN$1,$R$2:$R$18,$U$2:$U$18-$N10)^2)))</f>
        <v/>
      </c>
      <c r="AO10" s="133"/>
      <c r="AP10" s="133"/>
      <c r="AQ10" s="134">
        <f t="shared" si="5"/>
        <v>0</v>
      </c>
      <c r="AR10" s="152">
        <f t="shared" si="6"/>
        <v>0</v>
      </c>
      <c r="AS10" s="152">
        <f t="shared" si="7"/>
        <v>0</v>
      </c>
      <c r="AT10" s="152">
        <f t="shared" si="8"/>
        <v>0</v>
      </c>
      <c r="AU10" s="152">
        <f t="shared" si="9"/>
        <v>0</v>
      </c>
      <c r="AV10" s="152">
        <f t="shared" si="10"/>
        <v>0</v>
      </c>
      <c r="AW10" s="152">
        <f t="shared" si="11"/>
        <v>0</v>
      </c>
      <c r="AX10" s="152">
        <f t="shared" si="12"/>
        <v>0</v>
      </c>
      <c r="AY10" s="153">
        <f t="shared" si="13"/>
        <v>0</v>
      </c>
      <c r="AZ10" s="153">
        <f t="shared" si="14"/>
        <v>0</v>
      </c>
      <c r="BA10" s="153">
        <f t="shared" si="15"/>
        <v>0</v>
      </c>
      <c r="BB10" s="153">
        <f t="shared" si="16"/>
        <v>0</v>
      </c>
      <c r="BC10" s="153">
        <f t="shared" si="17"/>
        <v>0</v>
      </c>
      <c r="BD10" s="153">
        <f t="shared" si="18"/>
        <v>0</v>
      </c>
      <c r="BE10" s="154">
        <f t="shared" si="19"/>
        <v>0</v>
      </c>
      <c r="BF10" s="133"/>
      <c r="BG10" s="41" t="s">
        <v>50</v>
      </c>
      <c r="BH10" s="163">
        <f>BH8-BH9</f>
        <v>5.5386056272860618</v>
      </c>
      <c r="BI10" s="45" t="s">
        <v>51</v>
      </c>
      <c r="BJ10" s="202">
        <f>BJ4-(BJ8*BI4)</f>
        <v>-189.89012779552746</v>
      </c>
      <c r="BK10" s="162">
        <f>INTERCEPT(BJ4:BJ5,BI4:BI5)</f>
        <v>-189.89012779552746</v>
      </c>
      <c r="BL10" s="133"/>
      <c r="BM10" s="133"/>
      <c r="BN10" s="139"/>
      <c r="BO10" s="139"/>
      <c r="BP10" s="139"/>
      <c r="BQ10" s="139"/>
      <c r="BR10" s="139"/>
      <c r="BS10" s="139"/>
      <c r="BT10" s="139"/>
      <c r="BU10" s="139"/>
      <c r="BV10" s="139"/>
      <c r="BW10" s="139"/>
      <c r="BX10" s="139"/>
      <c r="BY10" s="139"/>
      <c r="BZ10" s="139"/>
      <c r="CA10" s="139"/>
      <c r="CB10" s="139"/>
      <c r="CC10" s="133"/>
      <c r="CD10" s="133"/>
      <c r="CE10" s="140">
        <f t="shared" si="20"/>
        <v>0</v>
      </c>
      <c r="CF10" s="141">
        <f t="shared" si="21"/>
        <v>0</v>
      </c>
      <c r="CG10" s="141" t="str">
        <f t="shared" si="22"/>
        <v/>
      </c>
      <c r="CH10" s="141" t="str">
        <f t="shared" si="23"/>
        <v/>
      </c>
      <c r="CI10" s="141" t="str">
        <f t="shared" si="24"/>
        <v/>
      </c>
      <c r="CJ10" s="141" t="str">
        <f t="shared" si="25"/>
        <v/>
      </c>
      <c r="CK10" s="141" t="str">
        <f t="shared" si="26"/>
        <v/>
      </c>
      <c r="CL10" s="141" t="str">
        <f t="shared" si="27"/>
        <v/>
      </c>
      <c r="CM10" s="142" t="str">
        <f t="shared" si="28"/>
        <v/>
      </c>
      <c r="CN10" s="142" t="str">
        <f t="shared" si="29"/>
        <v/>
      </c>
      <c r="CO10" s="142" t="str">
        <f t="shared" si="30"/>
        <v/>
      </c>
      <c r="CP10" s="142" t="str">
        <f t="shared" si="31"/>
        <v/>
      </c>
      <c r="CQ10" s="142" t="str">
        <f t="shared" si="32"/>
        <v/>
      </c>
      <c r="CR10" s="142" t="str">
        <f t="shared" si="33"/>
        <v/>
      </c>
      <c r="CS10" s="143" t="str">
        <f t="shared" si="34"/>
        <v/>
      </c>
    </row>
    <row r="11" spans="1:113" ht="17.25" customHeight="1" thickBot="1" x14ac:dyDescent="0.35">
      <c r="A11" s="144"/>
      <c r="B11" s="145"/>
      <c r="C11" s="145"/>
      <c r="D11" s="146"/>
      <c r="E11" s="146"/>
      <c r="F11" s="4"/>
      <c r="G11" s="4"/>
      <c r="H11" s="3"/>
      <c r="I11" s="127">
        <f t="shared" si="3"/>
        <v>0</v>
      </c>
      <c r="J11" s="3"/>
      <c r="K11" s="3"/>
      <c r="L11" s="4"/>
      <c r="M11" s="4"/>
      <c r="N11" s="111">
        <f t="shared" si="4"/>
        <v>0</v>
      </c>
      <c r="O11" s="83"/>
      <c r="P11" s="147"/>
      <c r="R11" s="9"/>
      <c r="S11" s="4"/>
      <c r="T11" s="4"/>
      <c r="U11" s="89"/>
      <c r="V11" s="8"/>
      <c r="W11" s="2" t="e">
        <v>#VALUE!</v>
      </c>
      <c r="Z11" s="148">
        <f t="array" ref="Z11">IF(Z$1=0,"",SQRT((_xlfn.XLOOKUP(Z$1,$R$2:$R$18,$S$2:$S$18)-$L11)^2+(_xlfn.XLOOKUP(Z$1,$R$2:$R$18,$T$2:$T$18)-$M11)^2+(_xlfn.XLOOKUP(Z$1,$R$2:$R$18,$U$2:$U$18-$N11)^2)))</f>
        <v>98.29525370026775</v>
      </c>
      <c r="AA11" s="149">
        <f t="array" ref="AA11">IF(AA$1=0,"",SQRT((_xlfn.XLOOKUP(AA$1,$R$2:$R$18,$S$2:$S$18)-$L11)^2+(_xlfn.XLOOKUP(AA$1,$R$2:$R$18,$T$2:$T$18)-$M11)^2+(_xlfn.XLOOKUP(AA$1,$R$2:$R$18,$U$2:$U$18-$N11)^2)))</f>
        <v>3.28</v>
      </c>
      <c r="AB11" s="149" t="str">
        <f t="array" ref="AB11">IF(AB$1=0,"",SQRT((_xlfn.XLOOKUP(AB$1,$R$2:$R$18,$S$2:$S$18)-$L11)^2+(_xlfn.XLOOKUP(AB$1,$R$2:$R$18,$T$2:$T$18)-$M11)^2+(_xlfn.XLOOKUP(AB$1,$R$2:$R$18,$U$2:$U$18-$N11)^2)))</f>
        <v/>
      </c>
      <c r="AC11" s="149" t="str">
        <f t="array" ref="AC11">IF(AC$1=0,"",SQRT((_xlfn.XLOOKUP(AC$1,$R$2:$R$18,$S$2:$S$18)-$L11)^2+(_xlfn.XLOOKUP(AC$1,$R$2:$R$18,$T$2:$T$18)-$M11)^2+(_xlfn.XLOOKUP(AC$1,$R$2:$R$18,$U$2:$U$18-$N11)^2)))</f>
        <v/>
      </c>
      <c r="AD11" s="149" t="str">
        <f t="array" ref="AD11">IF(AD$1=0,"",SQRT((_xlfn.XLOOKUP(AD$1,$R$2:$R$18,$S$2:$S$18)-$L11)^2+(_xlfn.XLOOKUP(AD$1,$R$2:$R$18,$T$2:$T$18)-$M11)^2+(_xlfn.XLOOKUP(AD$1,$R$2:$R$18,$U$2:$U$18-$N11)^2)))</f>
        <v/>
      </c>
      <c r="AE11" s="149" t="str">
        <f t="array" ref="AE11">IF(AE$1=0,"",SQRT((_xlfn.XLOOKUP(AE$1,$R$2:$R$18,$S$2:$S$18)-$L11)^2+(_xlfn.XLOOKUP(AE$1,$R$2:$R$18,$T$2:$T$18)-$M11)^2+(_xlfn.XLOOKUP(AE$1,$R$2:$R$18,$U$2:$U$18-$N11)^2)))</f>
        <v/>
      </c>
      <c r="AF11" s="149" t="str">
        <f t="array" ref="AF11">IF(AF$1=0,"",SQRT((_xlfn.XLOOKUP(AF$1,$R$2:$R$18,$S$2:$S$18)-$L11)^2+(_xlfn.XLOOKUP(AF$1,$R$2:$R$18,$T$2:$T$18)-$M11)^2+(_xlfn.XLOOKUP(AF$1,$R$2:$R$18,$U$2:$U$18-$N11)^2)))</f>
        <v/>
      </c>
      <c r="AG11" s="149" t="str">
        <f t="array" ref="AG11">IF(AG$1=0,"",SQRT((_xlfn.XLOOKUP(AG$1,$R$2:$R$18,$S$2:$S$18)-$L11)^2+(_xlfn.XLOOKUP(AG$1,$R$2:$R$18,$T$2:$T$18)-$M11)^2+(_xlfn.XLOOKUP(AG$1,$R$2:$R$18,$U$2:$U$18-$N11)^2)))</f>
        <v/>
      </c>
      <c r="AH11" s="150" t="str">
        <f t="array" ref="AH11">IF(AH$1=0,"",SQRT((_xlfn.XLOOKUP(AH$1,$R$2:$R$18,$S$2:$S$18)-$L11)^2+(_xlfn.XLOOKUP(AH$1,$R$2:$R$18,$T$2:$T$18)-$M11)^2+(_xlfn.XLOOKUP(AH$1,$R$2:$R$18,$U$2:$U$18-$N11)^2)))</f>
        <v/>
      </c>
      <c r="AI11" s="150" t="str">
        <f t="array" ref="AI11">IF(AI$1=0,"",SQRT((_xlfn.XLOOKUP(AI$1,$R$2:$R$18,$S$2:$S$18)-$L11)^2+(_xlfn.XLOOKUP(AI$1,$R$2:$R$18,$T$2:$T$18)-$M11)^2+(_xlfn.XLOOKUP(AI$1,$R$2:$R$18,$U$2:$U$18-$N11)^2)))</f>
        <v/>
      </c>
      <c r="AJ11" s="150" t="str">
        <f t="array" ref="AJ11">IF(AJ$1=0,"",SQRT((_xlfn.XLOOKUP(AJ$1,$R$2:$R$18,$S$2:$S$18)-$L11)^2+(_xlfn.XLOOKUP(AJ$1,$R$2:$R$18,$T$2:$T$18)-$M11)^2+(_xlfn.XLOOKUP(AJ$1,$R$2:$R$18,$U$2:$U$18-$N11)^2)))</f>
        <v/>
      </c>
      <c r="AK11" s="150" t="str">
        <f t="array" ref="AK11">IF(AK$1=0,"",SQRT((_xlfn.XLOOKUP(AK$1,$R$2:$R$18,$S$2:$S$18)-$L11)^2+(_xlfn.XLOOKUP(AK$1,$R$2:$R$18,$T$2:$T$18)-$M11)^2+(_xlfn.XLOOKUP(AK$1,$R$2:$R$18,$U$2:$U$18-$N11)^2)))</f>
        <v/>
      </c>
      <c r="AL11" s="150" t="str">
        <f t="array" ref="AL11">IF(AL$1=0,"",SQRT((_xlfn.XLOOKUP(AL$1,$R$2:$R$18,$S$2:$S$18)-$L11)^2+(_xlfn.XLOOKUP(AL$1,$R$2:$R$18,$T$2:$T$18)-$M11)^2+(_xlfn.XLOOKUP(AL$1,$R$2:$R$18,$U$2:$U$18-$N11)^2)))</f>
        <v/>
      </c>
      <c r="AM11" s="150" t="str">
        <f t="array" ref="AM11">IF(AM$1=0,"",SQRT((_xlfn.XLOOKUP(AM$1,$R$2:$R$18,$S$2:$S$18)-$L11)^2+(_xlfn.XLOOKUP(AM$1,$R$2:$R$18,$T$2:$T$18)-$M11)^2+(_xlfn.XLOOKUP(AM$1,$R$2:$R$18,$U$2:$U$18-$N11)^2)))</f>
        <v/>
      </c>
      <c r="AN11" s="151" t="str">
        <f t="array" ref="AN11">IF(AN$1=0,"",SQRT((_xlfn.XLOOKUP(AN$1,$R$2:$R$18,$S$2:$S$18)-$L11)^2+(_xlfn.XLOOKUP(AN$1,$R$2:$R$18,$T$2:$T$18)-$M11)^2+(_xlfn.XLOOKUP(AN$1,$R$2:$R$18,$U$2:$U$18-$N11)^2)))</f>
        <v/>
      </c>
      <c r="AO11" s="133"/>
      <c r="AP11" s="133"/>
      <c r="AQ11" s="134">
        <f t="shared" si="5"/>
        <v>0</v>
      </c>
      <c r="AR11" s="152">
        <f t="shared" si="6"/>
        <v>0</v>
      </c>
      <c r="AS11" s="152">
        <f t="shared" si="7"/>
        <v>0</v>
      </c>
      <c r="AT11" s="152">
        <f t="shared" si="8"/>
        <v>0</v>
      </c>
      <c r="AU11" s="152">
        <f t="shared" si="9"/>
        <v>0</v>
      </c>
      <c r="AV11" s="152">
        <f t="shared" si="10"/>
        <v>0</v>
      </c>
      <c r="AW11" s="152">
        <f t="shared" si="11"/>
        <v>0</v>
      </c>
      <c r="AX11" s="152">
        <f t="shared" si="12"/>
        <v>0</v>
      </c>
      <c r="AY11" s="153">
        <f t="shared" si="13"/>
        <v>0</v>
      </c>
      <c r="AZ11" s="153">
        <f t="shared" si="14"/>
        <v>0</v>
      </c>
      <c r="BA11" s="153">
        <f t="shared" si="15"/>
        <v>0</v>
      </c>
      <c r="BB11" s="153">
        <f t="shared" si="16"/>
        <v>0</v>
      </c>
      <c r="BC11" s="153">
        <f t="shared" si="17"/>
        <v>0</v>
      </c>
      <c r="BD11" s="153">
        <f t="shared" si="18"/>
        <v>0</v>
      </c>
      <c r="BE11" s="154">
        <f t="shared" si="19"/>
        <v>0</v>
      </c>
      <c r="BF11" s="133"/>
      <c r="BG11" s="41" t="s">
        <v>52</v>
      </c>
      <c r="BH11" s="164">
        <f>SQRT(BH8^2+(BK5-BK4)^2)</f>
        <v>14.620878146601783</v>
      </c>
      <c r="BI11" s="45" t="s">
        <v>53</v>
      </c>
      <c r="BJ11" s="202">
        <f>BJ6-(BJ9*BI6)</f>
        <v>74.95</v>
      </c>
      <c r="BK11" s="162">
        <f>INTERCEPT(BJ6:BJ7,BI6:BI7)</f>
        <v>74.95</v>
      </c>
      <c r="BL11" s="133"/>
      <c r="BM11" s="133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33"/>
      <c r="CD11" s="133"/>
      <c r="CE11" s="155">
        <f t="shared" si="20"/>
        <v>0</v>
      </c>
      <c r="CF11" s="156">
        <f t="shared" si="21"/>
        <v>0</v>
      </c>
      <c r="CG11" s="156" t="str">
        <f t="shared" si="22"/>
        <v/>
      </c>
      <c r="CH11" s="156" t="str">
        <f t="shared" si="23"/>
        <v/>
      </c>
      <c r="CI11" s="156" t="str">
        <f t="shared" si="24"/>
        <v/>
      </c>
      <c r="CJ11" s="156" t="str">
        <f t="shared" si="25"/>
        <v/>
      </c>
      <c r="CK11" s="156" t="str">
        <f t="shared" si="26"/>
        <v/>
      </c>
      <c r="CL11" s="156" t="str">
        <f t="shared" si="27"/>
        <v/>
      </c>
      <c r="CM11" s="157" t="str">
        <f t="shared" si="28"/>
        <v/>
      </c>
      <c r="CN11" s="157" t="str">
        <f t="shared" si="29"/>
        <v/>
      </c>
      <c r="CO11" s="157" t="str">
        <f t="shared" si="30"/>
        <v/>
      </c>
      <c r="CP11" s="157" t="str">
        <f t="shared" si="31"/>
        <v/>
      </c>
      <c r="CQ11" s="142" t="str">
        <f t="shared" si="32"/>
        <v/>
      </c>
      <c r="CR11" s="142" t="str">
        <f t="shared" si="33"/>
        <v/>
      </c>
      <c r="CS11" s="143" t="str">
        <f t="shared" si="34"/>
        <v/>
      </c>
    </row>
    <row r="12" spans="1:113" ht="17.25" customHeight="1" thickBot="1" x14ac:dyDescent="0.35">
      <c r="A12" s="144"/>
      <c r="B12" s="145"/>
      <c r="C12" s="145"/>
      <c r="D12" s="146"/>
      <c r="E12" s="146"/>
      <c r="F12" s="4"/>
      <c r="G12" s="4"/>
      <c r="H12" s="3"/>
      <c r="I12" s="127">
        <f t="shared" si="3"/>
        <v>0</v>
      </c>
      <c r="J12" s="3"/>
      <c r="K12" s="3"/>
      <c r="L12" s="4"/>
      <c r="M12" s="4"/>
      <c r="N12" s="111">
        <f t="shared" si="4"/>
        <v>0</v>
      </c>
      <c r="O12" s="83"/>
      <c r="P12" s="147"/>
      <c r="R12" s="9"/>
      <c r="S12" s="4"/>
      <c r="T12" s="4"/>
      <c r="U12" s="89"/>
      <c r="V12" s="8"/>
      <c r="W12" s="2" t="e">
        <v>#VALUE!</v>
      </c>
      <c r="Z12" s="148">
        <f t="array" ref="Z12">IF(Z$1=0,"",SQRT((_xlfn.XLOOKUP(Z$1,$R$2:$R$18,$S$2:$S$18)-$L12)^2+(_xlfn.XLOOKUP(Z$1,$R$2:$R$18,$T$2:$T$18)-$M12)^2+(_xlfn.XLOOKUP(Z$1,$R$2:$R$18,$U$2:$U$18-$N12)^2)))</f>
        <v>98.29525370026775</v>
      </c>
      <c r="AA12" s="149">
        <f t="array" ref="AA12">IF(AA$1=0,"",SQRT((_xlfn.XLOOKUP(AA$1,$R$2:$R$18,$S$2:$S$18)-$L12)^2+(_xlfn.XLOOKUP(AA$1,$R$2:$R$18,$T$2:$T$18)-$M12)^2+(_xlfn.XLOOKUP(AA$1,$R$2:$R$18,$U$2:$U$18-$N12)^2)))</f>
        <v>3.28</v>
      </c>
      <c r="AB12" s="149" t="str">
        <f t="array" ref="AB12">IF(AB$1=0,"",SQRT((_xlfn.XLOOKUP(AB$1,$R$2:$R$18,$S$2:$S$18)-$L12)^2+(_xlfn.XLOOKUP(AB$1,$R$2:$R$18,$T$2:$T$18)-$M12)^2+(_xlfn.XLOOKUP(AB$1,$R$2:$R$18,$U$2:$U$18-$N12)^2)))</f>
        <v/>
      </c>
      <c r="AC12" s="149" t="str">
        <f t="array" ref="AC12">IF(AC$1=0,"",SQRT((_xlfn.XLOOKUP(AC$1,$R$2:$R$18,$S$2:$S$18)-$L12)^2+(_xlfn.XLOOKUP(AC$1,$R$2:$R$18,$T$2:$T$18)-$M12)^2+(_xlfn.XLOOKUP(AC$1,$R$2:$R$18,$U$2:$U$18-$N12)^2)))</f>
        <v/>
      </c>
      <c r="AD12" s="149" t="str">
        <f t="array" ref="AD12">IF(AD$1=0,"",SQRT((_xlfn.XLOOKUP(AD$1,$R$2:$R$18,$S$2:$S$18)-$L12)^2+(_xlfn.XLOOKUP(AD$1,$R$2:$R$18,$T$2:$T$18)-$M12)^2+(_xlfn.XLOOKUP(AD$1,$R$2:$R$18,$U$2:$U$18-$N12)^2)))</f>
        <v/>
      </c>
      <c r="AE12" s="149" t="str">
        <f t="array" ref="AE12">IF(AE$1=0,"",SQRT((_xlfn.XLOOKUP(AE$1,$R$2:$R$18,$S$2:$S$18)-$L12)^2+(_xlfn.XLOOKUP(AE$1,$R$2:$R$18,$T$2:$T$18)-$M12)^2+(_xlfn.XLOOKUP(AE$1,$R$2:$R$18,$U$2:$U$18-$N12)^2)))</f>
        <v/>
      </c>
      <c r="AF12" s="149" t="str">
        <f t="array" ref="AF12">IF(AF$1=0,"",SQRT((_xlfn.XLOOKUP(AF$1,$R$2:$R$18,$S$2:$S$18)-$L12)^2+(_xlfn.XLOOKUP(AF$1,$R$2:$R$18,$T$2:$T$18)-$M12)^2+(_xlfn.XLOOKUP(AF$1,$R$2:$R$18,$U$2:$U$18-$N12)^2)))</f>
        <v/>
      </c>
      <c r="AG12" s="149" t="str">
        <f t="array" ref="AG12">IF(AG$1=0,"",SQRT((_xlfn.XLOOKUP(AG$1,$R$2:$R$18,$S$2:$S$18)-$L12)^2+(_xlfn.XLOOKUP(AG$1,$R$2:$R$18,$T$2:$T$18)-$M12)^2+(_xlfn.XLOOKUP(AG$1,$R$2:$R$18,$U$2:$U$18-$N12)^2)))</f>
        <v/>
      </c>
      <c r="AH12" s="150" t="str">
        <f t="array" ref="AH12">IF(AH$1=0,"",SQRT((_xlfn.XLOOKUP(AH$1,$R$2:$R$18,$S$2:$S$18)-$L12)^2+(_xlfn.XLOOKUP(AH$1,$R$2:$R$18,$T$2:$T$18)-$M12)^2+(_xlfn.XLOOKUP(AH$1,$R$2:$R$18,$U$2:$U$18-$N12)^2)))</f>
        <v/>
      </c>
      <c r="AI12" s="150" t="str">
        <f t="array" ref="AI12">IF(AI$1=0,"",SQRT((_xlfn.XLOOKUP(AI$1,$R$2:$R$18,$S$2:$S$18)-$L12)^2+(_xlfn.XLOOKUP(AI$1,$R$2:$R$18,$T$2:$T$18)-$M12)^2+(_xlfn.XLOOKUP(AI$1,$R$2:$R$18,$U$2:$U$18-$N12)^2)))</f>
        <v/>
      </c>
      <c r="AJ12" s="150" t="str">
        <f t="array" ref="AJ12">IF(AJ$1=0,"",SQRT((_xlfn.XLOOKUP(AJ$1,$R$2:$R$18,$S$2:$S$18)-$L12)^2+(_xlfn.XLOOKUP(AJ$1,$R$2:$R$18,$T$2:$T$18)-$M12)^2+(_xlfn.XLOOKUP(AJ$1,$R$2:$R$18,$U$2:$U$18-$N12)^2)))</f>
        <v/>
      </c>
      <c r="AK12" s="150" t="str">
        <f t="array" ref="AK12">IF(AK$1=0,"",SQRT((_xlfn.XLOOKUP(AK$1,$R$2:$R$18,$S$2:$S$18)-$L12)^2+(_xlfn.XLOOKUP(AK$1,$R$2:$R$18,$T$2:$T$18)-$M12)^2+(_xlfn.XLOOKUP(AK$1,$R$2:$R$18,$U$2:$U$18-$N12)^2)))</f>
        <v/>
      </c>
      <c r="AL12" s="150" t="str">
        <f t="array" ref="AL12">IF(AL$1=0,"",SQRT((_xlfn.XLOOKUP(AL$1,$R$2:$R$18,$S$2:$S$18)-$L12)^2+(_xlfn.XLOOKUP(AL$1,$R$2:$R$18,$T$2:$T$18)-$M12)^2+(_xlfn.XLOOKUP(AL$1,$R$2:$R$18,$U$2:$U$18-$N12)^2)))</f>
        <v/>
      </c>
      <c r="AM12" s="150" t="str">
        <f t="array" ref="AM12">IF(AM$1=0,"",SQRT((_xlfn.XLOOKUP(AM$1,$R$2:$R$18,$S$2:$S$18)-$L12)^2+(_xlfn.XLOOKUP(AM$1,$R$2:$R$18,$T$2:$T$18)-$M12)^2+(_xlfn.XLOOKUP(AM$1,$R$2:$R$18,$U$2:$U$18-$N12)^2)))</f>
        <v/>
      </c>
      <c r="AN12" s="151" t="str">
        <f t="array" ref="AN12">IF(AN$1=0,"",SQRT((_xlfn.XLOOKUP(AN$1,$R$2:$R$18,$S$2:$S$18)-$L12)^2+(_xlfn.XLOOKUP(AN$1,$R$2:$R$18,$T$2:$T$18)-$M12)^2+(_xlfn.XLOOKUP(AN$1,$R$2:$R$18,$U$2:$U$18-$N12)^2)))</f>
        <v/>
      </c>
      <c r="AO12" s="133"/>
      <c r="AP12" s="133"/>
      <c r="AQ12" s="134">
        <f t="shared" si="5"/>
        <v>0</v>
      </c>
      <c r="AR12" s="152">
        <f t="shared" si="6"/>
        <v>0</v>
      </c>
      <c r="AS12" s="152">
        <f t="shared" si="7"/>
        <v>0</v>
      </c>
      <c r="AT12" s="152">
        <f t="shared" si="8"/>
        <v>0</v>
      </c>
      <c r="AU12" s="152">
        <f t="shared" si="9"/>
        <v>0</v>
      </c>
      <c r="AV12" s="152">
        <f t="shared" si="10"/>
        <v>0</v>
      </c>
      <c r="AW12" s="152">
        <f t="shared" si="11"/>
        <v>0</v>
      </c>
      <c r="AX12" s="152">
        <f t="shared" si="12"/>
        <v>0</v>
      </c>
      <c r="AY12" s="153">
        <f t="shared" si="13"/>
        <v>0</v>
      </c>
      <c r="AZ12" s="153">
        <f t="shared" si="14"/>
        <v>0</v>
      </c>
      <c r="BA12" s="153">
        <f t="shared" si="15"/>
        <v>0</v>
      </c>
      <c r="BB12" s="153">
        <f t="shared" si="16"/>
        <v>0</v>
      </c>
      <c r="BC12" s="153">
        <f t="shared" si="17"/>
        <v>0</v>
      </c>
      <c r="BD12" s="153">
        <f t="shared" si="18"/>
        <v>0</v>
      </c>
      <c r="BE12" s="154">
        <f t="shared" si="19"/>
        <v>0</v>
      </c>
      <c r="BF12" s="133"/>
      <c r="BG12" s="41" t="s">
        <v>54</v>
      </c>
      <c r="BH12" s="163">
        <f>BH13+BH14-BH11</f>
        <v>5.4160755667274358</v>
      </c>
      <c r="BI12" s="45" t="s">
        <v>55</v>
      </c>
      <c r="BJ12" s="202">
        <f>(BJ11-BJ10)/(BJ8-BJ9)</f>
        <v>60.066635266838162</v>
      </c>
      <c r="BK12" s="162">
        <f>(BK11-BK10)/(BK8-BK9)</f>
        <v>60.066635266838162</v>
      </c>
      <c r="BL12" s="133"/>
      <c r="BM12" s="133"/>
      <c r="BN12" s="139"/>
      <c r="BO12" s="139"/>
      <c r="BP12" s="139"/>
      <c r="BQ12" s="139"/>
      <c r="BR12" s="139"/>
      <c r="BS12" s="139"/>
      <c r="BT12" s="139"/>
      <c r="BU12" s="139"/>
      <c r="BV12" s="139"/>
      <c r="BW12" s="139"/>
      <c r="BX12" s="139"/>
      <c r="BY12" s="139"/>
      <c r="BZ12" s="139"/>
      <c r="CA12" s="139"/>
      <c r="CB12" s="139"/>
      <c r="CC12" s="133"/>
      <c r="CD12" s="133"/>
      <c r="CE12" s="140">
        <f t="shared" si="20"/>
        <v>0</v>
      </c>
      <c r="CF12" s="141">
        <f t="shared" si="21"/>
        <v>0</v>
      </c>
      <c r="CG12" s="141" t="str">
        <f t="shared" si="22"/>
        <v/>
      </c>
      <c r="CH12" s="141" t="str">
        <f t="shared" si="23"/>
        <v/>
      </c>
      <c r="CI12" s="141" t="str">
        <f t="shared" si="24"/>
        <v/>
      </c>
      <c r="CJ12" s="141" t="str">
        <f t="shared" si="25"/>
        <v/>
      </c>
      <c r="CK12" s="141" t="str">
        <f t="shared" si="26"/>
        <v/>
      </c>
      <c r="CL12" s="141" t="str">
        <f t="shared" si="27"/>
        <v/>
      </c>
      <c r="CM12" s="142" t="str">
        <f t="shared" si="28"/>
        <v/>
      </c>
      <c r="CN12" s="142" t="str">
        <f t="shared" si="29"/>
        <v/>
      </c>
      <c r="CO12" s="142" t="str">
        <f t="shared" si="30"/>
        <v/>
      </c>
      <c r="CP12" s="142" t="str">
        <f t="shared" si="31"/>
        <v/>
      </c>
      <c r="CQ12" s="142" t="str">
        <f t="shared" si="32"/>
        <v/>
      </c>
      <c r="CR12" s="142" t="str">
        <f t="shared" si="33"/>
        <v/>
      </c>
      <c r="CS12" s="143" t="str">
        <f t="shared" si="34"/>
        <v/>
      </c>
    </row>
    <row r="13" spans="1:113" ht="17.25" customHeight="1" thickBot="1" x14ac:dyDescent="0.35">
      <c r="A13" s="144"/>
      <c r="B13" s="145"/>
      <c r="C13" s="145"/>
      <c r="D13" s="146"/>
      <c r="E13" s="146"/>
      <c r="F13" s="4"/>
      <c r="G13" s="4"/>
      <c r="H13" s="3"/>
      <c r="I13" s="127">
        <f t="shared" si="3"/>
        <v>0</v>
      </c>
      <c r="J13" s="3"/>
      <c r="K13" s="3"/>
      <c r="L13" s="4"/>
      <c r="M13" s="4"/>
      <c r="N13" s="111">
        <f t="shared" si="4"/>
        <v>0</v>
      </c>
      <c r="O13" s="83"/>
      <c r="P13" s="147"/>
      <c r="R13" s="9"/>
      <c r="S13" s="4"/>
      <c r="T13" s="4"/>
      <c r="U13" s="89"/>
      <c r="V13" s="8"/>
      <c r="W13" s="2" t="e">
        <v>#VALUE!</v>
      </c>
      <c r="Z13" s="148">
        <f t="array" ref="Z13">IF(Z$1=0,"",SQRT((_xlfn.XLOOKUP(Z$1,$R$2:$R$18,$S$2:$S$18)-$L13)^2+(_xlfn.XLOOKUP(Z$1,$R$2:$R$18,$T$2:$T$18)-$M13)^2+(_xlfn.XLOOKUP(Z$1,$R$2:$R$18,$U$2:$U$18-$N13)^2)))</f>
        <v>98.29525370026775</v>
      </c>
      <c r="AA13" s="149">
        <f t="array" ref="AA13">IF(AA$1=0,"",SQRT((_xlfn.XLOOKUP(AA$1,$R$2:$R$18,$S$2:$S$18)-$L13)^2+(_xlfn.XLOOKUP(AA$1,$R$2:$R$18,$T$2:$T$18)-$M13)^2+(_xlfn.XLOOKUP(AA$1,$R$2:$R$18,$U$2:$U$18-$N13)^2)))</f>
        <v>3.28</v>
      </c>
      <c r="AB13" s="149" t="str">
        <f t="array" ref="AB13">IF(AB$1=0,"",SQRT((_xlfn.XLOOKUP(AB$1,$R$2:$R$18,$S$2:$S$18)-$L13)^2+(_xlfn.XLOOKUP(AB$1,$R$2:$R$18,$T$2:$T$18)-$M13)^2+(_xlfn.XLOOKUP(AB$1,$R$2:$R$18,$U$2:$U$18-$N13)^2)))</f>
        <v/>
      </c>
      <c r="AC13" s="149" t="str">
        <f t="array" ref="AC13">IF(AC$1=0,"",SQRT((_xlfn.XLOOKUP(AC$1,$R$2:$R$18,$S$2:$S$18)-$L13)^2+(_xlfn.XLOOKUP(AC$1,$R$2:$R$18,$T$2:$T$18)-$M13)^2+(_xlfn.XLOOKUP(AC$1,$R$2:$R$18,$U$2:$U$18-$N13)^2)))</f>
        <v/>
      </c>
      <c r="AD13" s="149" t="str">
        <f t="array" ref="AD13">IF(AD$1=0,"",SQRT((_xlfn.XLOOKUP(AD$1,$R$2:$R$18,$S$2:$S$18)-$L13)^2+(_xlfn.XLOOKUP(AD$1,$R$2:$R$18,$T$2:$T$18)-$M13)^2+(_xlfn.XLOOKUP(AD$1,$R$2:$R$18,$U$2:$U$18-$N13)^2)))</f>
        <v/>
      </c>
      <c r="AE13" s="149" t="str">
        <f t="array" ref="AE13">IF(AE$1=0,"",SQRT((_xlfn.XLOOKUP(AE$1,$R$2:$R$18,$S$2:$S$18)-$L13)^2+(_xlfn.XLOOKUP(AE$1,$R$2:$R$18,$T$2:$T$18)-$M13)^2+(_xlfn.XLOOKUP(AE$1,$R$2:$R$18,$U$2:$U$18-$N13)^2)))</f>
        <v/>
      </c>
      <c r="AF13" s="149" t="str">
        <f t="array" ref="AF13">IF(AF$1=0,"",SQRT((_xlfn.XLOOKUP(AF$1,$R$2:$R$18,$S$2:$S$18)-$L13)^2+(_xlfn.XLOOKUP(AF$1,$R$2:$R$18,$T$2:$T$18)-$M13)^2+(_xlfn.XLOOKUP(AF$1,$R$2:$R$18,$U$2:$U$18-$N13)^2)))</f>
        <v/>
      </c>
      <c r="AG13" s="149" t="str">
        <f t="array" ref="AG13">IF(AG$1=0,"",SQRT((_xlfn.XLOOKUP(AG$1,$R$2:$R$18,$S$2:$S$18)-$L13)^2+(_xlfn.XLOOKUP(AG$1,$R$2:$R$18,$T$2:$T$18)-$M13)^2+(_xlfn.XLOOKUP(AG$1,$R$2:$R$18,$U$2:$U$18-$N13)^2)))</f>
        <v/>
      </c>
      <c r="AH13" s="150" t="str">
        <f t="array" ref="AH13">IF(AH$1=0,"",SQRT((_xlfn.XLOOKUP(AH$1,$R$2:$R$18,$S$2:$S$18)-$L13)^2+(_xlfn.XLOOKUP(AH$1,$R$2:$R$18,$T$2:$T$18)-$M13)^2+(_xlfn.XLOOKUP(AH$1,$R$2:$R$18,$U$2:$U$18-$N13)^2)))</f>
        <v/>
      </c>
      <c r="AI13" s="150" t="str">
        <f t="array" ref="AI13">IF(AI$1=0,"",SQRT((_xlfn.XLOOKUP(AI$1,$R$2:$R$18,$S$2:$S$18)-$L13)^2+(_xlfn.XLOOKUP(AI$1,$R$2:$R$18,$T$2:$T$18)-$M13)^2+(_xlfn.XLOOKUP(AI$1,$R$2:$R$18,$U$2:$U$18-$N13)^2)))</f>
        <v/>
      </c>
      <c r="AJ13" s="150" t="str">
        <f t="array" ref="AJ13">IF(AJ$1=0,"",SQRT((_xlfn.XLOOKUP(AJ$1,$R$2:$R$18,$S$2:$S$18)-$L13)^2+(_xlfn.XLOOKUP(AJ$1,$R$2:$R$18,$T$2:$T$18)-$M13)^2+(_xlfn.XLOOKUP(AJ$1,$R$2:$R$18,$U$2:$U$18-$N13)^2)))</f>
        <v/>
      </c>
      <c r="AK13" s="150" t="str">
        <f t="array" ref="AK13">IF(AK$1=0,"",SQRT((_xlfn.XLOOKUP(AK$1,$R$2:$R$18,$S$2:$S$18)-$L13)^2+(_xlfn.XLOOKUP(AK$1,$R$2:$R$18,$T$2:$T$18)-$M13)^2+(_xlfn.XLOOKUP(AK$1,$R$2:$R$18,$U$2:$U$18-$N13)^2)))</f>
        <v/>
      </c>
      <c r="AL13" s="150" t="str">
        <f t="array" ref="AL13">IF(AL$1=0,"",SQRT((_xlfn.XLOOKUP(AL$1,$R$2:$R$18,$S$2:$S$18)-$L13)^2+(_xlfn.XLOOKUP(AL$1,$R$2:$R$18,$T$2:$T$18)-$M13)^2+(_xlfn.XLOOKUP(AL$1,$R$2:$R$18,$U$2:$U$18-$N13)^2)))</f>
        <v/>
      </c>
      <c r="AM13" s="150" t="str">
        <f t="array" ref="AM13">IF(AM$1=0,"",SQRT((_xlfn.XLOOKUP(AM$1,$R$2:$R$18,$S$2:$S$18)-$L13)^2+(_xlfn.XLOOKUP(AM$1,$R$2:$R$18,$T$2:$T$18)-$M13)^2+(_xlfn.XLOOKUP(AM$1,$R$2:$R$18,$U$2:$U$18-$N13)^2)))</f>
        <v/>
      </c>
      <c r="AN13" s="151" t="str">
        <f t="array" ref="AN13">IF(AN$1=0,"",SQRT((_xlfn.XLOOKUP(AN$1,$R$2:$R$18,$S$2:$S$18)-$L13)^2+(_xlfn.XLOOKUP(AN$1,$R$2:$R$18,$T$2:$T$18)-$M13)^2+(_xlfn.XLOOKUP(AN$1,$R$2:$R$18,$U$2:$U$18-$N13)^2)))</f>
        <v/>
      </c>
      <c r="AO13" s="133"/>
      <c r="AP13" s="133"/>
      <c r="AQ13" s="134">
        <f t="shared" si="5"/>
        <v>0</v>
      </c>
      <c r="AR13" s="152">
        <f t="shared" si="6"/>
        <v>0</v>
      </c>
      <c r="AS13" s="152">
        <f t="shared" si="7"/>
        <v>0</v>
      </c>
      <c r="AT13" s="152">
        <f t="shared" si="8"/>
        <v>0</v>
      </c>
      <c r="AU13" s="152">
        <f t="shared" si="9"/>
        <v>0</v>
      </c>
      <c r="AV13" s="152">
        <f t="shared" si="10"/>
        <v>0</v>
      </c>
      <c r="AW13" s="152">
        <f t="shared" si="11"/>
        <v>0</v>
      </c>
      <c r="AX13" s="152">
        <f t="shared" si="12"/>
        <v>0</v>
      </c>
      <c r="AY13" s="153">
        <f t="shared" si="13"/>
        <v>0</v>
      </c>
      <c r="AZ13" s="153">
        <f t="shared" si="14"/>
        <v>0</v>
      </c>
      <c r="BA13" s="153">
        <f t="shared" si="15"/>
        <v>0</v>
      </c>
      <c r="BB13" s="153">
        <f t="shared" si="16"/>
        <v>0</v>
      </c>
      <c r="BC13" s="153">
        <f t="shared" si="17"/>
        <v>0</v>
      </c>
      <c r="BD13" s="153">
        <f t="shared" si="18"/>
        <v>0</v>
      </c>
      <c r="BE13" s="154">
        <f t="shared" si="19"/>
        <v>0</v>
      </c>
      <c r="BF13" s="133"/>
      <c r="BG13" s="41" t="s">
        <v>56</v>
      </c>
      <c r="BH13" s="165">
        <f>SQRT((BH21-BK4)^2+(BH9)^2)</f>
        <v>11.110803798914558</v>
      </c>
      <c r="BI13" s="48" t="s">
        <v>57</v>
      </c>
      <c r="BJ13" s="203">
        <f>(BJ8*BJ12)+BJ10</f>
        <v>83.959995290025745</v>
      </c>
      <c r="BK13" s="166">
        <f>(BK8*BK12)+BK10</f>
        <v>83.959995290025745</v>
      </c>
      <c r="BL13" s="133"/>
      <c r="BM13" s="133"/>
      <c r="BN13" s="139"/>
      <c r="BO13" s="139"/>
      <c r="BP13" s="139"/>
      <c r="BQ13" s="139"/>
      <c r="BR13" s="139"/>
      <c r="BS13" s="139"/>
      <c r="BT13" s="139"/>
      <c r="BU13" s="139"/>
      <c r="BV13" s="139"/>
      <c r="BW13" s="139"/>
      <c r="BX13" s="139"/>
      <c r="BY13" s="139"/>
      <c r="BZ13" s="139"/>
      <c r="CA13" s="139"/>
      <c r="CB13" s="139"/>
      <c r="CC13" s="133"/>
      <c r="CD13" s="133"/>
      <c r="CE13" s="155">
        <f t="shared" si="20"/>
        <v>0</v>
      </c>
      <c r="CF13" s="156">
        <f t="shared" si="21"/>
        <v>0</v>
      </c>
      <c r="CG13" s="156" t="str">
        <f t="shared" si="22"/>
        <v/>
      </c>
      <c r="CH13" s="156" t="str">
        <f t="shared" si="23"/>
        <v/>
      </c>
      <c r="CI13" s="156" t="str">
        <f t="shared" si="24"/>
        <v/>
      </c>
      <c r="CJ13" s="156" t="str">
        <f t="shared" si="25"/>
        <v/>
      </c>
      <c r="CK13" s="156" t="str">
        <f t="shared" si="26"/>
        <v/>
      </c>
      <c r="CL13" s="156" t="str">
        <f t="shared" si="27"/>
        <v/>
      </c>
      <c r="CM13" s="157" t="str">
        <f t="shared" si="28"/>
        <v/>
      </c>
      <c r="CN13" s="157" t="str">
        <f t="shared" si="29"/>
        <v/>
      </c>
      <c r="CO13" s="157" t="str">
        <f t="shared" si="30"/>
        <v/>
      </c>
      <c r="CP13" s="157" t="str">
        <f t="shared" si="31"/>
        <v/>
      </c>
      <c r="CQ13" s="142" t="str">
        <f t="shared" si="32"/>
        <v/>
      </c>
      <c r="CR13" s="142" t="str">
        <f t="shared" si="33"/>
        <v/>
      </c>
      <c r="CS13" s="143" t="str">
        <f t="shared" si="34"/>
        <v/>
      </c>
    </row>
    <row r="14" spans="1:113" ht="17.25" customHeight="1" thickBot="1" x14ac:dyDescent="0.35">
      <c r="A14" s="144"/>
      <c r="B14" s="145"/>
      <c r="C14" s="145"/>
      <c r="D14" s="146"/>
      <c r="E14" s="146"/>
      <c r="F14" s="4"/>
      <c r="G14" s="4"/>
      <c r="H14" s="3"/>
      <c r="I14" s="127">
        <f t="shared" si="3"/>
        <v>0</v>
      </c>
      <c r="J14" s="3"/>
      <c r="K14" s="3"/>
      <c r="L14" s="4"/>
      <c r="M14" s="4"/>
      <c r="N14" s="111">
        <f t="shared" si="4"/>
        <v>0</v>
      </c>
      <c r="O14" s="83"/>
      <c r="P14" s="147"/>
      <c r="R14" s="9"/>
      <c r="S14" s="4"/>
      <c r="T14" s="4"/>
      <c r="U14" s="89"/>
      <c r="V14" s="8"/>
      <c r="W14" s="2" t="e">
        <v>#VALUE!</v>
      </c>
      <c r="Z14" s="148">
        <f t="array" ref="Z14">IF(Z$1=0,"",SQRT((_xlfn.XLOOKUP(Z$1,$R$2:$R$18,$S$2:$S$18)-$L14)^2+(_xlfn.XLOOKUP(Z$1,$R$2:$R$18,$T$2:$T$18)-$M14)^2+(_xlfn.XLOOKUP(Z$1,$R$2:$R$18,$U$2:$U$18-$N14)^2)))</f>
        <v>98.29525370026775</v>
      </c>
      <c r="AA14" s="149">
        <f t="array" ref="AA14">IF(AA$1=0,"",SQRT((_xlfn.XLOOKUP(AA$1,$R$2:$R$18,$S$2:$S$18)-$L14)^2+(_xlfn.XLOOKUP(AA$1,$R$2:$R$18,$T$2:$T$18)-$M14)^2+(_xlfn.XLOOKUP(AA$1,$R$2:$R$18,$U$2:$U$18-$N14)^2)))</f>
        <v>3.28</v>
      </c>
      <c r="AB14" s="149" t="str">
        <f t="array" ref="AB14">IF(AB$1=0,"",SQRT((_xlfn.XLOOKUP(AB$1,$R$2:$R$18,$S$2:$S$18)-$L14)^2+(_xlfn.XLOOKUP(AB$1,$R$2:$R$18,$T$2:$T$18)-$M14)^2+(_xlfn.XLOOKUP(AB$1,$R$2:$R$18,$U$2:$U$18-$N14)^2)))</f>
        <v/>
      </c>
      <c r="AC14" s="149" t="str">
        <f t="array" ref="AC14">IF(AC$1=0,"",SQRT((_xlfn.XLOOKUP(AC$1,$R$2:$R$18,$S$2:$S$18)-$L14)^2+(_xlfn.XLOOKUP(AC$1,$R$2:$R$18,$T$2:$T$18)-$M14)^2+(_xlfn.XLOOKUP(AC$1,$R$2:$R$18,$U$2:$U$18-$N14)^2)))</f>
        <v/>
      </c>
      <c r="AD14" s="149" t="str">
        <f t="array" ref="AD14">IF(AD$1=0,"",SQRT((_xlfn.XLOOKUP(AD$1,$R$2:$R$18,$S$2:$S$18)-$L14)^2+(_xlfn.XLOOKUP(AD$1,$R$2:$R$18,$T$2:$T$18)-$M14)^2+(_xlfn.XLOOKUP(AD$1,$R$2:$R$18,$U$2:$U$18-$N14)^2)))</f>
        <v/>
      </c>
      <c r="AE14" s="149" t="str">
        <f t="array" ref="AE14">IF(AE$1=0,"",SQRT((_xlfn.XLOOKUP(AE$1,$R$2:$R$18,$S$2:$S$18)-$L14)^2+(_xlfn.XLOOKUP(AE$1,$R$2:$R$18,$T$2:$T$18)-$M14)^2+(_xlfn.XLOOKUP(AE$1,$R$2:$R$18,$U$2:$U$18-$N14)^2)))</f>
        <v/>
      </c>
      <c r="AF14" s="149" t="str">
        <f t="array" ref="AF14">IF(AF$1=0,"",SQRT((_xlfn.XLOOKUP(AF$1,$R$2:$R$18,$S$2:$S$18)-$L14)^2+(_xlfn.XLOOKUP(AF$1,$R$2:$R$18,$T$2:$T$18)-$M14)^2+(_xlfn.XLOOKUP(AF$1,$R$2:$R$18,$U$2:$U$18-$N14)^2)))</f>
        <v/>
      </c>
      <c r="AG14" s="149" t="str">
        <f t="array" ref="AG14">IF(AG$1=0,"",SQRT((_xlfn.XLOOKUP(AG$1,$R$2:$R$18,$S$2:$S$18)-$L14)^2+(_xlfn.XLOOKUP(AG$1,$R$2:$R$18,$T$2:$T$18)-$M14)^2+(_xlfn.XLOOKUP(AG$1,$R$2:$R$18,$U$2:$U$18-$N14)^2)))</f>
        <v/>
      </c>
      <c r="AH14" s="150" t="str">
        <f t="array" ref="AH14">IF(AH$1=0,"",SQRT((_xlfn.XLOOKUP(AH$1,$R$2:$R$18,$S$2:$S$18)-$L14)^2+(_xlfn.XLOOKUP(AH$1,$R$2:$R$18,$T$2:$T$18)-$M14)^2+(_xlfn.XLOOKUP(AH$1,$R$2:$R$18,$U$2:$U$18-$N14)^2)))</f>
        <v/>
      </c>
      <c r="AI14" s="150" t="str">
        <f t="array" ref="AI14">IF(AI$1=0,"",SQRT((_xlfn.XLOOKUP(AI$1,$R$2:$R$18,$S$2:$S$18)-$L14)^2+(_xlfn.XLOOKUP(AI$1,$R$2:$R$18,$T$2:$T$18)-$M14)^2+(_xlfn.XLOOKUP(AI$1,$R$2:$R$18,$U$2:$U$18-$N14)^2)))</f>
        <v/>
      </c>
      <c r="AJ14" s="150" t="str">
        <f t="array" ref="AJ14">IF(AJ$1=0,"",SQRT((_xlfn.XLOOKUP(AJ$1,$R$2:$R$18,$S$2:$S$18)-$L14)^2+(_xlfn.XLOOKUP(AJ$1,$R$2:$R$18,$T$2:$T$18)-$M14)^2+(_xlfn.XLOOKUP(AJ$1,$R$2:$R$18,$U$2:$U$18-$N14)^2)))</f>
        <v/>
      </c>
      <c r="AK14" s="150" t="str">
        <f t="array" ref="AK14">IF(AK$1=0,"",SQRT((_xlfn.XLOOKUP(AK$1,$R$2:$R$18,$S$2:$S$18)-$L14)^2+(_xlfn.XLOOKUP(AK$1,$R$2:$R$18,$T$2:$T$18)-$M14)^2+(_xlfn.XLOOKUP(AK$1,$R$2:$R$18,$U$2:$U$18-$N14)^2)))</f>
        <v/>
      </c>
      <c r="AL14" s="150" t="str">
        <f t="array" ref="AL14">IF(AL$1=0,"",SQRT((_xlfn.XLOOKUP(AL$1,$R$2:$R$18,$S$2:$S$18)-$L14)^2+(_xlfn.XLOOKUP(AL$1,$R$2:$R$18,$T$2:$T$18)-$M14)^2+(_xlfn.XLOOKUP(AL$1,$R$2:$R$18,$U$2:$U$18-$N14)^2)))</f>
        <v/>
      </c>
      <c r="AM14" s="150" t="str">
        <f t="array" ref="AM14">IF(AM$1=0,"",SQRT((_xlfn.XLOOKUP(AM$1,$R$2:$R$18,$S$2:$S$18)-$L14)^2+(_xlfn.XLOOKUP(AM$1,$R$2:$R$18,$T$2:$T$18)-$M14)^2+(_xlfn.XLOOKUP(AM$1,$R$2:$R$18,$U$2:$U$18-$N14)^2)))</f>
        <v/>
      </c>
      <c r="AN14" s="151" t="str">
        <f t="array" ref="AN14">IF(AN$1=0,"",SQRT((_xlfn.XLOOKUP(AN$1,$R$2:$R$18,$S$2:$S$18)-$L14)^2+(_xlfn.XLOOKUP(AN$1,$R$2:$R$18,$T$2:$T$18)-$M14)^2+(_xlfn.XLOOKUP(AN$1,$R$2:$R$18,$U$2:$U$18-$N14)^2)))</f>
        <v/>
      </c>
      <c r="AO14" s="133"/>
      <c r="AP14" s="133"/>
      <c r="AQ14" s="134">
        <f t="shared" si="5"/>
        <v>0</v>
      </c>
      <c r="AR14" s="152">
        <f t="shared" si="6"/>
        <v>0</v>
      </c>
      <c r="AS14" s="152">
        <f t="shared" si="7"/>
        <v>0</v>
      </c>
      <c r="AT14" s="152">
        <f t="shared" si="8"/>
        <v>0</v>
      </c>
      <c r="AU14" s="152">
        <f t="shared" si="9"/>
        <v>0</v>
      </c>
      <c r="AV14" s="152">
        <f t="shared" si="10"/>
        <v>0</v>
      </c>
      <c r="AW14" s="152">
        <f t="shared" si="11"/>
        <v>0</v>
      </c>
      <c r="AX14" s="152">
        <f t="shared" si="12"/>
        <v>0</v>
      </c>
      <c r="AY14" s="153">
        <f t="shared" si="13"/>
        <v>0</v>
      </c>
      <c r="AZ14" s="153">
        <f t="shared" si="14"/>
        <v>0</v>
      </c>
      <c r="BA14" s="153">
        <f t="shared" si="15"/>
        <v>0</v>
      </c>
      <c r="BB14" s="153">
        <f t="shared" si="16"/>
        <v>0</v>
      </c>
      <c r="BC14" s="153">
        <f t="shared" si="17"/>
        <v>0</v>
      </c>
      <c r="BD14" s="153">
        <f t="shared" si="18"/>
        <v>0</v>
      </c>
      <c r="BE14" s="154">
        <f t="shared" si="19"/>
        <v>0</v>
      </c>
      <c r="BF14" s="133"/>
      <c r="BG14" s="51" t="s">
        <v>58</v>
      </c>
      <c r="BH14" s="164">
        <f>SQRT((BH21-BK5)^2+(BH10)^2)</f>
        <v>8.9261499144146601</v>
      </c>
      <c r="BI14" s="21"/>
      <c r="BJ14" s="21" t="s">
        <v>59</v>
      </c>
      <c r="BK14" s="21" t="s">
        <v>60</v>
      </c>
      <c r="BL14" s="133"/>
      <c r="BM14" s="133"/>
      <c r="BN14" s="139"/>
      <c r="BO14" s="139"/>
      <c r="BP14" s="139"/>
      <c r="BQ14" s="139"/>
      <c r="BR14" s="139"/>
      <c r="BS14" s="139"/>
      <c r="BT14" s="139"/>
      <c r="BU14" s="139"/>
      <c r="BV14" s="139"/>
      <c r="BW14" s="139"/>
      <c r="BX14" s="139"/>
      <c r="BY14" s="139"/>
      <c r="BZ14" s="139"/>
      <c r="CA14" s="139"/>
      <c r="CB14" s="139"/>
      <c r="CC14" s="133"/>
      <c r="CD14" s="133"/>
      <c r="CE14" s="140">
        <f t="shared" si="20"/>
        <v>0</v>
      </c>
      <c r="CF14" s="141">
        <f t="shared" si="21"/>
        <v>0</v>
      </c>
      <c r="CG14" s="141" t="str">
        <f t="shared" si="22"/>
        <v/>
      </c>
      <c r="CH14" s="141" t="str">
        <f t="shared" si="23"/>
        <v/>
      </c>
      <c r="CI14" s="141" t="str">
        <f t="shared" si="24"/>
        <v/>
      </c>
      <c r="CJ14" s="141" t="str">
        <f t="shared" si="25"/>
        <v/>
      </c>
      <c r="CK14" s="141" t="str">
        <f t="shared" si="26"/>
        <v/>
      </c>
      <c r="CL14" s="141" t="str">
        <f t="shared" si="27"/>
        <v/>
      </c>
      <c r="CM14" s="142" t="str">
        <f t="shared" si="28"/>
        <v/>
      </c>
      <c r="CN14" s="142" t="str">
        <f t="shared" si="29"/>
        <v/>
      </c>
      <c r="CO14" s="142" t="str">
        <f t="shared" si="30"/>
        <v/>
      </c>
      <c r="CP14" s="142" t="str">
        <f t="shared" si="31"/>
        <v/>
      </c>
      <c r="CQ14" s="142" t="str">
        <f t="shared" si="32"/>
        <v/>
      </c>
      <c r="CR14" s="142" t="str">
        <f t="shared" si="33"/>
        <v/>
      </c>
      <c r="CS14" s="143" t="str">
        <f t="shared" si="34"/>
        <v/>
      </c>
    </row>
    <row r="15" spans="1:113" ht="17.25" customHeight="1" thickBot="1" x14ac:dyDescent="0.35">
      <c r="A15" s="144"/>
      <c r="B15" s="145"/>
      <c r="C15" s="145"/>
      <c r="D15" s="146"/>
      <c r="E15" s="146"/>
      <c r="F15" s="4"/>
      <c r="G15" s="4"/>
      <c r="H15" s="3"/>
      <c r="I15" s="127">
        <f t="shared" si="3"/>
        <v>0</v>
      </c>
      <c r="J15" s="3"/>
      <c r="K15" s="3"/>
      <c r="L15" s="4"/>
      <c r="M15" s="4"/>
      <c r="N15" s="111">
        <f t="shared" si="4"/>
        <v>0</v>
      </c>
      <c r="O15" s="83"/>
      <c r="P15" s="147"/>
      <c r="R15" s="9"/>
      <c r="S15" s="4"/>
      <c r="T15" s="4"/>
      <c r="U15" s="89"/>
      <c r="V15" s="8"/>
      <c r="W15" s="2" t="e">
        <v>#VALUE!</v>
      </c>
      <c r="Z15" s="148">
        <f t="array" ref="Z15">IF(Z$1=0,"",SQRT((_xlfn.XLOOKUP(Z$1,$R$2:$R$18,$S$2:$S$18)-$L15)^2+(_xlfn.XLOOKUP(Z$1,$R$2:$R$18,$T$2:$T$18)-$M15)^2+(_xlfn.XLOOKUP(Z$1,$R$2:$R$18,$U$2:$U$18-$N15)^2)))</f>
        <v>98.29525370026775</v>
      </c>
      <c r="AA15" s="149">
        <f t="array" ref="AA15">IF(AA$1=0,"",SQRT((_xlfn.XLOOKUP(AA$1,$R$2:$R$18,$S$2:$S$18)-$L15)^2+(_xlfn.XLOOKUP(AA$1,$R$2:$R$18,$T$2:$T$18)-$M15)^2+(_xlfn.XLOOKUP(AA$1,$R$2:$R$18,$U$2:$U$18-$N15)^2)))</f>
        <v>3.28</v>
      </c>
      <c r="AB15" s="149" t="str">
        <f t="array" ref="AB15">IF(AB$1=0,"",SQRT((_xlfn.XLOOKUP(AB$1,$R$2:$R$18,$S$2:$S$18)-$L15)^2+(_xlfn.XLOOKUP(AB$1,$R$2:$R$18,$T$2:$T$18)-$M15)^2+(_xlfn.XLOOKUP(AB$1,$R$2:$R$18,$U$2:$U$18-$N15)^2)))</f>
        <v/>
      </c>
      <c r="AC15" s="149" t="str">
        <f t="array" ref="AC15">IF(AC$1=0,"",SQRT((_xlfn.XLOOKUP(AC$1,$R$2:$R$18,$S$2:$S$18)-$L15)^2+(_xlfn.XLOOKUP(AC$1,$R$2:$R$18,$T$2:$T$18)-$M15)^2+(_xlfn.XLOOKUP(AC$1,$R$2:$R$18,$U$2:$U$18-$N15)^2)))</f>
        <v/>
      </c>
      <c r="AD15" s="149" t="str">
        <f t="array" ref="AD15">IF(AD$1=0,"",SQRT((_xlfn.XLOOKUP(AD$1,$R$2:$R$18,$S$2:$S$18)-$L15)^2+(_xlfn.XLOOKUP(AD$1,$R$2:$R$18,$T$2:$T$18)-$M15)^2+(_xlfn.XLOOKUP(AD$1,$R$2:$R$18,$U$2:$U$18-$N15)^2)))</f>
        <v/>
      </c>
      <c r="AE15" s="149" t="str">
        <f t="array" ref="AE15">IF(AE$1=0,"",SQRT((_xlfn.XLOOKUP(AE$1,$R$2:$R$18,$S$2:$S$18)-$L15)^2+(_xlfn.XLOOKUP(AE$1,$R$2:$R$18,$T$2:$T$18)-$M15)^2+(_xlfn.XLOOKUP(AE$1,$R$2:$R$18,$U$2:$U$18-$N15)^2)))</f>
        <v/>
      </c>
      <c r="AF15" s="149" t="str">
        <f t="array" ref="AF15">IF(AF$1=0,"",SQRT((_xlfn.XLOOKUP(AF$1,$R$2:$R$18,$S$2:$S$18)-$L15)^2+(_xlfn.XLOOKUP(AF$1,$R$2:$R$18,$T$2:$T$18)-$M15)^2+(_xlfn.XLOOKUP(AF$1,$R$2:$R$18,$U$2:$U$18-$N15)^2)))</f>
        <v/>
      </c>
      <c r="AG15" s="149" t="str">
        <f t="array" ref="AG15">IF(AG$1=0,"",SQRT((_xlfn.XLOOKUP(AG$1,$R$2:$R$18,$S$2:$S$18)-$L15)^2+(_xlfn.XLOOKUP(AG$1,$R$2:$R$18,$T$2:$T$18)-$M15)^2+(_xlfn.XLOOKUP(AG$1,$R$2:$R$18,$U$2:$U$18-$N15)^2)))</f>
        <v/>
      </c>
      <c r="AH15" s="150" t="str">
        <f t="array" ref="AH15">IF(AH$1=0,"",SQRT((_xlfn.XLOOKUP(AH$1,$R$2:$R$18,$S$2:$S$18)-$L15)^2+(_xlfn.XLOOKUP(AH$1,$R$2:$R$18,$T$2:$T$18)-$M15)^2+(_xlfn.XLOOKUP(AH$1,$R$2:$R$18,$U$2:$U$18-$N15)^2)))</f>
        <v/>
      </c>
      <c r="AI15" s="150" t="str">
        <f t="array" ref="AI15">IF(AI$1=0,"",SQRT((_xlfn.XLOOKUP(AI$1,$R$2:$R$18,$S$2:$S$18)-$L15)^2+(_xlfn.XLOOKUP(AI$1,$R$2:$R$18,$T$2:$T$18)-$M15)^2+(_xlfn.XLOOKUP(AI$1,$R$2:$R$18,$U$2:$U$18-$N15)^2)))</f>
        <v/>
      </c>
      <c r="AJ15" s="150" t="str">
        <f t="array" ref="AJ15">IF(AJ$1=0,"",SQRT((_xlfn.XLOOKUP(AJ$1,$R$2:$R$18,$S$2:$S$18)-$L15)^2+(_xlfn.XLOOKUP(AJ$1,$R$2:$R$18,$T$2:$T$18)-$M15)^2+(_xlfn.XLOOKUP(AJ$1,$R$2:$R$18,$U$2:$U$18-$N15)^2)))</f>
        <v/>
      </c>
      <c r="AK15" s="150" t="str">
        <f t="array" ref="AK15">IF(AK$1=0,"",SQRT((_xlfn.XLOOKUP(AK$1,$R$2:$R$18,$S$2:$S$18)-$L15)^2+(_xlfn.XLOOKUP(AK$1,$R$2:$R$18,$T$2:$T$18)-$M15)^2+(_xlfn.XLOOKUP(AK$1,$R$2:$R$18,$U$2:$U$18-$N15)^2)))</f>
        <v/>
      </c>
      <c r="AL15" s="150" t="str">
        <f t="array" ref="AL15">IF(AL$1=0,"",SQRT((_xlfn.XLOOKUP(AL$1,$R$2:$R$18,$S$2:$S$18)-$L15)^2+(_xlfn.XLOOKUP(AL$1,$R$2:$R$18,$T$2:$T$18)-$M15)^2+(_xlfn.XLOOKUP(AL$1,$R$2:$R$18,$U$2:$U$18-$N15)^2)))</f>
        <v/>
      </c>
      <c r="AM15" s="150" t="str">
        <f t="array" ref="AM15">IF(AM$1=0,"",SQRT((_xlfn.XLOOKUP(AM$1,$R$2:$R$18,$S$2:$S$18)-$L15)^2+(_xlfn.XLOOKUP(AM$1,$R$2:$R$18,$T$2:$T$18)-$M15)^2+(_xlfn.XLOOKUP(AM$1,$R$2:$R$18,$U$2:$U$18-$N15)^2)))</f>
        <v/>
      </c>
      <c r="AN15" s="151" t="str">
        <f t="array" ref="AN15">IF(AN$1=0,"",SQRT((_xlfn.XLOOKUP(AN$1,$R$2:$R$18,$S$2:$S$18)-$L15)^2+(_xlfn.XLOOKUP(AN$1,$R$2:$R$18,$T$2:$T$18)-$M15)^2+(_xlfn.XLOOKUP(AN$1,$R$2:$R$18,$U$2:$U$18-$N15)^2)))</f>
        <v/>
      </c>
      <c r="AO15" s="133"/>
      <c r="AP15" s="133"/>
      <c r="AQ15" s="134">
        <f t="shared" si="5"/>
        <v>0</v>
      </c>
      <c r="AR15" s="152">
        <f t="shared" si="6"/>
        <v>0</v>
      </c>
      <c r="AS15" s="152">
        <f t="shared" si="7"/>
        <v>0</v>
      </c>
      <c r="AT15" s="152">
        <f t="shared" si="8"/>
        <v>0</v>
      </c>
      <c r="AU15" s="152">
        <f t="shared" si="9"/>
        <v>0</v>
      </c>
      <c r="AV15" s="152">
        <f t="shared" si="10"/>
        <v>0</v>
      </c>
      <c r="AW15" s="152">
        <f t="shared" si="11"/>
        <v>0</v>
      </c>
      <c r="AX15" s="152">
        <f t="shared" si="12"/>
        <v>0</v>
      </c>
      <c r="AY15" s="153">
        <f t="shared" si="13"/>
        <v>0</v>
      </c>
      <c r="AZ15" s="153">
        <f t="shared" si="14"/>
        <v>0</v>
      </c>
      <c r="BA15" s="153">
        <f t="shared" si="15"/>
        <v>0</v>
      </c>
      <c r="BB15" s="153">
        <f t="shared" si="16"/>
        <v>0</v>
      </c>
      <c r="BC15" s="153">
        <f t="shared" si="17"/>
        <v>0</v>
      </c>
      <c r="BD15" s="153">
        <f t="shared" si="18"/>
        <v>0</v>
      </c>
      <c r="BE15" s="154">
        <f t="shared" si="19"/>
        <v>0</v>
      </c>
      <c r="BF15" s="133"/>
      <c r="BG15" s="133"/>
      <c r="BH15" s="133"/>
      <c r="BI15" s="133"/>
      <c r="BJ15" s="133"/>
      <c r="BK15" s="133"/>
      <c r="BL15" s="133"/>
      <c r="BM15" s="133"/>
      <c r="BN15" s="139"/>
      <c r="BO15" s="139"/>
      <c r="BP15" s="139"/>
      <c r="BQ15" s="139"/>
      <c r="BR15" s="139"/>
      <c r="BS15" s="139"/>
      <c r="BT15" s="139"/>
      <c r="BU15" s="139"/>
      <c r="BV15" s="139"/>
      <c r="BW15" s="139"/>
      <c r="BX15" s="139"/>
      <c r="BY15" s="139"/>
      <c r="BZ15" s="139"/>
      <c r="CA15" s="139"/>
      <c r="CB15" s="139"/>
      <c r="CC15" s="133"/>
      <c r="CD15" s="133"/>
      <c r="CE15" s="155">
        <f t="shared" si="20"/>
        <v>0</v>
      </c>
      <c r="CF15" s="156">
        <f t="shared" si="21"/>
        <v>0</v>
      </c>
      <c r="CG15" s="156" t="str">
        <f t="shared" si="22"/>
        <v/>
      </c>
      <c r="CH15" s="156" t="str">
        <f t="shared" si="23"/>
        <v/>
      </c>
      <c r="CI15" s="156" t="str">
        <f t="shared" si="24"/>
        <v/>
      </c>
      <c r="CJ15" s="156" t="str">
        <f t="shared" si="25"/>
        <v/>
      </c>
      <c r="CK15" s="156" t="str">
        <f t="shared" si="26"/>
        <v/>
      </c>
      <c r="CL15" s="156" t="str">
        <f t="shared" si="27"/>
        <v/>
      </c>
      <c r="CM15" s="157" t="str">
        <f t="shared" si="28"/>
        <v/>
      </c>
      <c r="CN15" s="157" t="str">
        <f t="shared" si="29"/>
        <v/>
      </c>
      <c r="CO15" s="157" t="str">
        <f t="shared" si="30"/>
        <v/>
      </c>
      <c r="CP15" s="157" t="str">
        <f t="shared" si="31"/>
        <v/>
      </c>
      <c r="CQ15" s="142" t="str">
        <f t="shared" si="32"/>
        <v/>
      </c>
      <c r="CR15" s="142" t="str">
        <f t="shared" si="33"/>
        <v/>
      </c>
      <c r="CS15" s="143" t="str">
        <f t="shared" si="34"/>
        <v/>
      </c>
    </row>
    <row r="16" spans="1:113" ht="17.25" customHeight="1" thickBot="1" x14ac:dyDescent="0.35">
      <c r="A16" s="144"/>
      <c r="B16" s="145"/>
      <c r="C16" s="145"/>
      <c r="D16" s="146"/>
      <c r="E16" s="146"/>
      <c r="F16" s="4"/>
      <c r="G16" s="4"/>
      <c r="H16" s="3"/>
      <c r="I16" s="127">
        <f t="shared" si="3"/>
        <v>0</v>
      </c>
      <c r="J16" s="3"/>
      <c r="K16" s="3"/>
      <c r="L16" s="4"/>
      <c r="M16" s="4"/>
      <c r="N16" s="111">
        <f t="shared" si="4"/>
        <v>0</v>
      </c>
      <c r="O16" s="4"/>
      <c r="P16" s="147"/>
      <c r="R16" s="10"/>
      <c r="S16" s="6"/>
      <c r="T16" s="6"/>
      <c r="U16" s="106"/>
      <c r="V16" s="8"/>
      <c r="W16" s="2" t="e">
        <v>#VALUE!</v>
      </c>
      <c r="Z16" s="167">
        <f t="array" ref="Z16">IF(Z$1=0,"",SQRT((_xlfn.XLOOKUP(Z$1,$R$2:$R$18,$S$2:$S$18)-$L16)^2+(_xlfn.XLOOKUP(Z$1,$R$2:$R$18,$T$2:$T$18)-$M16)^2+(_xlfn.XLOOKUP(Z$1,$R$2:$R$18,$U$2:$U$18-$N16)^2)))</f>
        <v>98.29525370026775</v>
      </c>
      <c r="AA16" s="149">
        <f t="array" ref="AA16">IF(AA$1=0,"",SQRT((_xlfn.XLOOKUP(AA$1,$R$2:$R$18,$S$2:$S$18)-$L16)^2+(_xlfn.XLOOKUP(AA$1,$R$2:$R$18,$T$2:$T$18)-$M16)^2+(_xlfn.XLOOKUP(AA$1,$R$2:$R$18,$U$2:$U$18-$N16)^2)))</f>
        <v>3.28</v>
      </c>
      <c r="AB16" s="149" t="str">
        <f t="array" ref="AB16">IF(AB$1=0,"",SQRT((_xlfn.XLOOKUP(AB$1,$R$2:$R$18,$S$2:$S$18)-$L16)^2+(_xlfn.XLOOKUP(AB$1,$R$2:$R$18,$T$2:$T$18)-$M16)^2+(_xlfn.XLOOKUP(AB$1,$R$2:$R$18,$U$2:$U$18-$N16)^2)))</f>
        <v/>
      </c>
      <c r="AC16" s="149" t="str">
        <f t="array" ref="AC16">IF(AC$1=0,"",SQRT((_xlfn.XLOOKUP(AC$1,$R$2:$R$18,$S$2:$S$18)-$L16)^2+(_xlfn.XLOOKUP(AC$1,$R$2:$R$18,$T$2:$T$18)-$M16)^2+(_xlfn.XLOOKUP(AC$1,$R$2:$R$18,$U$2:$U$18-$N16)^2)))</f>
        <v/>
      </c>
      <c r="AD16" s="149" t="str">
        <f t="array" ref="AD16">IF(AD$1=0,"",SQRT((_xlfn.XLOOKUP(AD$1,$R$2:$R$18,$S$2:$S$18)-$L16)^2+(_xlfn.XLOOKUP(AD$1,$R$2:$R$18,$T$2:$T$18)-$M16)^2+(_xlfn.XLOOKUP(AD$1,$R$2:$R$18,$U$2:$U$18-$N16)^2)))</f>
        <v/>
      </c>
      <c r="AE16" s="149" t="str">
        <f t="array" ref="AE16">IF(AE$1=0,"",SQRT((_xlfn.XLOOKUP(AE$1,$R$2:$R$18,$S$2:$S$18)-$L16)^2+(_xlfn.XLOOKUP(AE$1,$R$2:$R$18,$T$2:$T$18)-$M16)^2+(_xlfn.XLOOKUP(AE$1,$R$2:$R$18,$U$2:$U$18-$N16)^2)))</f>
        <v/>
      </c>
      <c r="AF16" s="149" t="str">
        <f t="array" ref="AF16">IF(AF$1=0,"",SQRT((_xlfn.XLOOKUP(AF$1,$R$2:$R$18,$S$2:$S$18)-$L16)^2+(_xlfn.XLOOKUP(AF$1,$R$2:$R$18,$T$2:$T$18)-$M16)^2+(_xlfn.XLOOKUP(AF$1,$R$2:$R$18,$U$2:$U$18-$N16)^2)))</f>
        <v/>
      </c>
      <c r="AG16" s="149" t="str">
        <f t="array" ref="AG16">IF(AG$1=0,"",SQRT((_xlfn.XLOOKUP(AG$1,$R$2:$R$18,$S$2:$S$18)-$L16)^2+(_xlfn.XLOOKUP(AG$1,$R$2:$R$18,$T$2:$T$18)-$M16)^2+(_xlfn.XLOOKUP(AG$1,$R$2:$R$18,$U$2:$U$18-$N16)^2)))</f>
        <v/>
      </c>
      <c r="AH16" s="150" t="str">
        <f t="array" ref="AH16">IF(AH$1=0,"",SQRT((_xlfn.XLOOKUP(AH$1,$R$2:$R$18,$S$2:$S$18)-$L16)^2+(_xlfn.XLOOKUP(AH$1,$R$2:$R$18,$T$2:$T$18)-$M16)^2+(_xlfn.XLOOKUP(AH$1,$R$2:$R$18,$U$2:$U$18-$N16)^2)))</f>
        <v/>
      </c>
      <c r="AI16" s="150" t="str">
        <f t="array" ref="AI16">IF(AI$1=0,"",SQRT((_xlfn.XLOOKUP(AI$1,$R$2:$R$18,$S$2:$S$18)-$L16)^2+(_xlfn.XLOOKUP(AI$1,$R$2:$R$18,$T$2:$T$18)-$M16)^2+(_xlfn.XLOOKUP(AI$1,$R$2:$R$18,$U$2:$U$18-$N16)^2)))</f>
        <v/>
      </c>
      <c r="AJ16" s="150" t="str">
        <f t="array" ref="AJ16">IF(AJ$1=0,"",SQRT((_xlfn.XLOOKUP(AJ$1,$R$2:$R$18,$S$2:$S$18)-$L16)^2+(_xlfn.XLOOKUP(AJ$1,$R$2:$R$18,$T$2:$T$18)-$M16)^2+(_xlfn.XLOOKUP(AJ$1,$R$2:$R$18,$U$2:$U$18-$N16)^2)))</f>
        <v/>
      </c>
      <c r="AK16" s="150" t="str">
        <f t="array" ref="AK16">IF(AK$1=0,"",SQRT((_xlfn.XLOOKUP(AK$1,$R$2:$R$18,$S$2:$S$18)-$L16)^2+(_xlfn.XLOOKUP(AK$1,$R$2:$R$18,$T$2:$T$18)-$M16)^2+(_xlfn.XLOOKUP(AK$1,$R$2:$R$18,$U$2:$U$18-$N16)^2)))</f>
        <v/>
      </c>
      <c r="AL16" s="150" t="str">
        <f t="array" ref="AL16">IF(AL$1=0,"",SQRT((_xlfn.XLOOKUP(AL$1,$R$2:$R$18,$S$2:$S$18)-$L16)^2+(_xlfn.XLOOKUP(AL$1,$R$2:$R$18,$T$2:$T$18)-$M16)^2+(_xlfn.XLOOKUP(AL$1,$R$2:$R$18,$U$2:$U$18-$N16)^2)))</f>
        <v/>
      </c>
      <c r="AM16" s="150" t="str">
        <f t="array" ref="AM16">IF(AM$1=0,"",SQRT((_xlfn.XLOOKUP(AM$1,$R$2:$R$18,$S$2:$S$18)-$L16)^2+(_xlfn.XLOOKUP(AM$1,$R$2:$R$18,$T$2:$T$18)-$M16)^2+(_xlfn.XLOOKUP(AM$1,$R$2:$R$18,$U$2:$U$18-$N16)^2)))</f>
        <v/>
      </c>
      <c r="AN16" s="151" t="str">
        <f t="array" ref="AN16">IF(AN$1=0,"",SQRT((_xlfn.XLOOKUP(AN$1,$R$2:$R$18,$S$2:$S$18)-$L16)^2+(_xlfn.XLOOKUP(AN$1,$R$2:$R$18,$T$2:$T$18)-$M16)^2+(_xlfn.XLOOKUP(AN$1,$R$2:$R$18,$U$2:$U$18-$N16)^2)))</f>
        <v/>
      </c>
      <c r="AO16" s="133"/>
      <c r="AP16" s="133"/>
      <c r="AQ16" s="134">
        <f t="shared" si="5"/>
        <v>0</v>
      </c>
      <c r="AR16" s="152">
        <f t="shared" si="6"/>
        <v>0</v>
      </c>
      <c r="AS16" s="152">
        <f t="shared" si="7"/>
        <v>0</v>
      </c>
      <c r="AT16" s="152">
        <f t="shared" si="8"/>
        <v>0</v>
      </c>
      <c r="AU16" s="152">
        <f t="shared" si="9"/>
        <v>0</v>
      </c>
      <c r="AV16" s="152">
        <f t="shared" si="10"/>
        <v>0</v>
      </c>
      <c r="AW16" s="152">
        <f t="shared" si="11"/>
        <v>0</v>
      </c>
      <c r="AX16" s="152">
        <f t="shared" si="12"/>
        <v>0</v>
      </c>
      <c r="AY16" s="153">
        <f t="shared" si="13"/>
        <v>0</v>
      </c>
      <c r="AZ16" s="153">
        <f t="shared" si="14"/>
        <v>0</v>
      </c>
      <c r="BA16" s="153">
        <f t="shared" si="15"/>
        <v>0</v>
      </c>
      <c r="BB16" s="153">
        <f t="shared" si="16"/>
        <v>0</v>
      </c>
      <c r="BC16" s="153">
        <f t="shared" si="17"/>
        <v>0</v>
      </c>
      <c r="BD16" s="153">
        <f t="shared" si="18"/>
        <v>0</v>
      </c>
      <c r="BE16" s="154">
        <f t="shared" si="19"/>
        <v>0</v>
      </c>
      <c r="BF16" s="133"/>
      <c r="BG16" s="42" t="s">
        <v>61</v>
      </c>
      <c r="BH16" s="43">
        <f>MIN(BK6:BK7)</f>
        <v>12</v>
      </c>
      <c r="BI16" s="133"/>
      <c r="BJ16" s="133"/>
      <c r="BK16" s="133"/>
      <c r="BL16" s="133"/>
      <c r="BM16" s="133"/>
      <c r="BN16" s="139"/>
      <c r="BO16" s="139"/>
      <c r="BP16" s="139"/>
      <c r="BQ16" s="139"/>
      <c r="BR16" s="139"/>
      <c r="BS16" s="139"/>
      <c r="BT16" s="139"/>
      <c r="BU16" s="139"/>
      <c r="BV16" s="139"/>
      <c r="BW16" s="139"/>
      <c r="BX16" s="139"/>
      <c r="BY16" s="139"/>
      <c r="BZ16" s="139"/>
      <c r="CA16" s="139"/>
      <c r="CB16" s="139"/>
      <c r="CC16" s="133"/>
      <c r="CD16" s="133"/>
      <c r="CE16" s="168">
        <f t="shared" ref="CE16:CE58" si="35">IF(ISBLANK(_xlfn.XLOOKUP(CE$1,$R$2:$R$16,$S$2:$S$16)),"",$I16-$K16+AQ16-BN16)</f>
        <v>0</v>
      </c>
      <c r="CF16" s="169">
        <f t="shared" ref="CF16:CF58" si="36">IF(ISBLANK(_xlfn.XLOOKUP(CF$1,$R$2:$R$16,$S$2:$S$16)),"",$I16-$K16+AR16-BO16)</f>
        <v>0</v>
      </c>
      <c r="CG16" s="169">
        <f t="shared" ref="CG16:CG58" si="37">IF(ISBLANK(_xlfn.XLOOKUP(CG$1,$R$2:$R$16,$S$2:$S$16)),"",$I16-$K16+AS16-BP16)</f>
        <v>0</v>
      </c>
      <c r="CH16" s="169">
        <f t="shared" ref="CH16:CH58" si="38">IF(ISBLANK(_xlfn.XLOOKUP(CH$1,$R$2:$R$16,$S$2:$S$16)),"",$I16-$K16+AT16-BQ16)</f>
        <v>0</v>
      </c>
      <c r="CI16" s="169">
        <f t="shared" ref="CI16:CI58" si="39">IF(ISBLANK(_xlfn.XLOOKUP(CI$1,$R$2:$R$16,$S$2:$S$16)),"",$I16-$K16+AU16-BR16)</f>
        <v>0</v>
      </c>
      <c r="CJ16" s="141" t="str">
        <f t="shared" ref="CJ16:CS18" si="40">IF( CJ$1= 0,"",$I16-$K16+AV16-BS16)</f>
        <v/>
      </c>
      <c r="CK16" s="141" t="str">
        <f t="shared" si="40"/>
        <v/>
      </c>
      <c r="CL16" s="141" t="str">
        <f t="shared" si="40"/>
        <v/>
      </c>
      <c r="CM16" s="142" t="str">
        <f t="shared" si="40"/>
        <v/>
      </c>
      <c r="CN16" s="142" t="str">
        <f t="shared" si="40"/>
        <v/>
      </c>
      <c r="CO16" s="142" t="str">
        <f t="shared" si="40"/>
        <v/>
      </c>
      <c r="CP16" s="142" t="str">
        <f t="shared" si="40"/>
        <v/>
      </c>
      <c r="CQ16" s="142" t="str">
        <f t="shared" si="40"/>
        <v/>
      </c>
      <c r="CR16" s="142" t="str">
        <f t="shared" si="40"/>
        <v/>
      </c>
      <c r="CS16" s="143" t="str">
        <f t="shared" si="40"/>
        <v/>
      </c>
    </row>
    <row r="17" spans="1:97" ht="17.25" customHeight="1" thickBot="1" x14ac:dyDescent="0.35">
      <c r="A17" s="144"/>
      <c r="B17" s="145"/>
      <c r="C17" s="145"/>
      <c r="D17" s="146"/>
      <c r="E17" s="146"/>
      <c r="F17" s="4"/>
      <c r="G17" s="4"/>
      <c r="H17" s="3"/>
      <c r="I17" s="127">
        <f t="shared" si="3"/>
        <v>0</v>
      </c>
      <c r="J17" s="3"/>
      <c r="K17" s="3"/>
      <c r="L17" s="4"/>
      <c r="M17" s="4"/>
      <c r="N17" s="111">
        <f t="shared" si="4"/>
        <v>0</v>
      </c>
      <c r="O17" s="170"/>
      <c r="P17" s="147"/>
      <c r="Z17" s="167">
        <f t="array" ref="Z17">IF(Z$1=0,"",SQRT((_xlfn.XLOOKUP(Z$1,$R$2:$R$18,$S$2:$S$18)-$L17)^2+(_xlfn.XLOOKUP(Z$1,$R$2:$R$18,$T$2:$T$18)-$M17)^2+(_xlfn.XLOOKUP(Z$1,$R$2:$R$18,$U$2:$U$18-$N17)^2)))</f>
        <v>98.29525370026775</v>
      </c>
      <c r="AA17" s="149">
        <f t="array" ref="AA17">IF(AA$1=0,"",SQRT((_xlfn.XLOOKUP(AA$1,$R$2:$R$18,$S$2:$S$18)-$L17)^2+(_xlfn.XLOOKUP(AA$1,$R$2:$R$18,$T$2:$T$18)-$M17)^2+(_xlfn.XLOOKUP(AA$1,$R$2:$R$18,$U$2:$U$18-$N17)^2)))</f>
        <v>3.28</v>
      </c>
      <c r="AB17" s="149" t="str">
        <f t="array" ref="AB17">IF(AB$1=0,"",SQRT((_xlfn.XLOOKUP(AB$1,$R$2:$R$18,$S$2:$S$18)-$L17)^2+(_xlfn.XLOOKUP(AB$1,$R$2:$R$18,$T$2:$T$18)-$M17)^2+(_xlfn.XLOOKUP(AB$1,$R$2:$R$18,$U$2:$U$18-$N17)^2)))</f>
        <v/>
      </c>
      <c r="AC17" s="149" t="str">
        <f t="array" ref="AC17">IF(AC$1=0,"",SQRT((_xlfn.XLOOKUP(AC$1,$R$2:$R$18,$S$2:$S$18)-$L17)^2+(_xlfn.XLOOKUP(AC$1,$R$2:$R$18,$T$2:$T$18)-$M17)^2+(_xlfn.XLOOKUP(AC$1,$R$2:$R$18,$U$2:$U$18-$N17)^2)))</f>
        <v/>
      </c>
      <c r="AD17" s="149" t="str">
        <f t="array" ref="AD17">IF(AD$1=0,"",SQRT((_xlfn.XLOOKUP(AD$1,$R$2:$R$18,$S$2:$S$18)-$L17)^2+(_xlfn.XLOOKUP(AD$1,$R$2:$R$18,$T$2:$T$18)-$M17)^2+(_xlfn.XLOOKUP(AD$1,$R$2:$R$18,$U$2:$U$18-$N17)^2)))</f>
        <v/>
      </c>
      <c r="AE17" s="149" t="str">
        <f t="array" ref="AE17">IF(AE$1=0,"",SQRT((_xlfn.XLOOKUP(AE$1,$R$2:$R$18,$S$2:$S$18)-$L17)^2+(_xlfn.XLOOKUP(AE$1,$R$2:$R$18,$T$2:$T$18)-$M17)^2+(_xlfn.XLOOKUP(AE$1,$R$2:$R$18,$U$2:$U$18-$N17)^2)))</f>
        <v/>
      </c>
      <c r="AF17" s="149" t="str">
        <f t="array" ref="AF17">IF(AF$1=0,"",SQRT((_xlfn.XLOOKUP(AF$1,$R$2:$R$18,$S$2:$S$18)-$L17)^2+(_xlfn.XLOOKUP(AF$1,$R$2:$R$18,$T$2:$T$18)-$M17)^2+(_xlfn.XLOOKUP(AF$1,$R$2:$R$18,$U$2:$U$18-$N17)^2)))</f>
        <v/>
      </c>
      <c r="AG17" s="149" t="str">
        <f t="array" ref="AG17">IF(AG$1=0,"",SQRT((_xlfn.XLOOKUP(AG$1,$R$2:$R$18,$S$2:$S$18)-$L17)^2+(_xlfn.XLOOKUP(AG$1,$R$2:$R$18,$T$2:$T$18)-$M17)^2+(_xlfn.XLOOKUP(AG$1,$R$2:$R$18,$U$2:$U$18-$N17)^2)))</f>
        <v/>
      </c>
      <c r="AH17" s="150" t="str">
        <f t="array" ref="AH17">IF(AH$1=0,"",SQRT((_xlfn.XLOOKUP(AH$1,$R$2:$R$18,$S$2:$S$18)-$L17)^2+(_xlfn.XLOOKUP(AH$1,$R$2:$R$18,$T$2:$T$18)-$M17)^2+(_xlfn.XLOOKUP(AH$1,$R$2:$R$18,$U$2:$U$18-$N17)^2)))</f>
        <v/>
      </c>
      <c r="AI17" s="150" t="str">
        <f t="array" ref="AI17">IF(AI$1=0,"",SQRT((_xlfn.XLOOKUP(AI$1,$R$2:$R$18,$S$2:$S$18)-$L17)^2+(_xlfn.XLOOKUP(AI$1,$R$2:$R$18,$T$2:$T$18)-$M17)^2+(_xlfn.XLOOKUP(AI$1,$R$2:$R$18,$U$2:$U$18-$N17)^2)))</f>
        <v/>
      </c>
      <c r="AJ17" s="150" t="str">
        <f t="array" ref="AJ17">IF(AJ$1=0,"",SQRT((_xlfn.XLOOKUP(AJ$1,$R$2:$R$18,$S$2:$S$18)-$L17)^2+(_xlfn.XLOOKUP(AJ$1,$R$2:$R$18,$T$2:$T$18)-$M17)^2+(_xlfn.XLOOKUP(AJ$1,$R$2:$R$18,$U$2:$U$18-$N17)^2)))</f>
        <v/>
      </c>
      <c r="AK17" s="150" t="str">
        <f t="array" ref="AK17">IF(AK$1=0,"",SQRT((_xlfn.XLOOKUP(AK$1,$R$2:$R$18,$S$2:$S$18)-$L17)^2+(_xlfn.XLOOKUP(AK$1,$R$2:$R$18,$T$2:$T$18)-$M17)^2+(_xlfn.XLOOKUP(AK$1,$R$2:$R$18,$U$2:$U$18-$N17)^2)))</f>
        <v/>
      </c>
      <c r="AL17" s="150" t="str">
        <f t="array" ref="AL17">IF(AL$1=0,"",SQRT((_xlfn.XLOOKUP(AL$1,$R$2:$R$18,$S$2:$S$18)-$L17)^2+(_xlfn.XLOOKUP(AL$1,$R$2:$R$18,$T$2:$T$18)-$M17)^2+(_xlfn.XLOOKUP(AL$1,$R$2:$R$18,$U$2:$U$18-$N17)^2)))</f>
        <v/>
      </c>
      <c r="AM17" s="150" t="str">
        <f t="array" ref="AM17">IF(AM$1=0,"",SQRT((_xlfn.XLOOKUP(AM$1,$R$2:$R$18,$S$2:$S$18)-$L17)^2+(_xlfn.XLOOKUP(AM$1,$R$2:$R$18,$T$2:$T$18)-$M17)^2+(_xlfn.XLOOKUP(AM$1,$R$2:$R$18,$U$2:$U$18-$N17)^2)))</f>
        <v/>
      </c>
      <c r="AN17" s="151" t="str">
        <f t="array" ref="AN17">IF(AN$1=0,"",SQRT((_xlfn.XLOOKUP(AN$1,$R$2:$R$18,$S$2:$S$18)-$L17)^2+(_xlfn.XLOOKUP(AN$1,$R$2:$R$18,$T$2:$T$18)-$M17)^2+(_xlfn.XLOOKUP(AN$1,$R$2:$R$18,$U$2:$U$18-$N17)^2)))</f>
        <v/>
      </c>
      <c r="AO17" s="133"/>
      <c r="AP17" s="133"/>
      <c r="AQ17" s="134">
        <f t="shared" si="5"/>
        <v>0</v>
      </c>
      <c r="AR17" s="152">
        <f t="shared" si="6"/>
        <v>0</v>
      </c>
      <c r="AS17" s="152">
        <f t="shared" si="7"/>
        <v>0</v>
      </c>
      <c r="AT17" s="152">
        <f t="shared" si="8"/>
        <v>0</v>
      </c>
      <c r="AU17" s="152">
        <f t="shared" si="9"/>
        <v>0</v>
      </c>
      <c r="AV17" s="152">
        <f t="shared" si="10"/>
        <v>0</v>
      </c>
      <c r="AW17" s="152">
        <f t="shared" si="11"/>
        <v>0</v>
      </c>
      <c r="AX17" s="152">
        <f t="shared" si="12"/>
        <v>0</v>
      </c>
      <c r="AY17" s="153">
        <f t="shared" si="13"/>
        <v>0</v>
      </c>
      <c r="AZ17" s="153">
        <f t="shared" si="14"/>
        <v>0</v>
      </c>
      <c r="BA17" s="153">
        <f t="shared" si="15"/>
        <v>0</v>
      </c>
      <c r="BB17" s="153">
        <f t="shared" si="16"/>
        <v>0</v>
      </c>
      <c r="BC17" s="153">
        <f t="shared" si="17"/>
        <v>0</v>
      </c>
      <c r="BD17" s="153">
        <f t="shared" si="18"/>
        <v>0</v>
      </c>
      <c r="BE17" s="154">
        <f t="shared" si="19"/>
        <v>0</v>
      </c>
      <c r="BF17" s="133"/>
      <c r="BG17" s="45" t="s">
        <v>62</v>
      </c>
      <c r="BH17" s="46">
        <f>ABS(BK6-BK7)</f>
        <v>0</v>
      </c>
      <c r="BI17" s="133"/>
      <c r="BJ17" s="133"/>
      <c r="BK17" s="133"/>
      <c r="BL17" s="133"/>
      <c r="BM17" s="133"/>
      <c r="BN17" s="139"/>
      <c r="BO17" s="139"/>
      <c r="BP17" s="139"/>
      <c r="BQ17" s="139"/>
      <c r="BR17" s="139"/>
      <c r="BS17" s="139"/>
      <c r="BT17" s="139"/>
      <c r="BU17" s="139"/>
      <c r="BV17" s="139"/>
      <c r="BW17" s="139"/>
      <c r="BX17" s="139"/>
      <c r="BY17" s="139"/>
      <c r="BZ17" s="139"/>
      <c r="CA17" s="139"/>
      <c r="CB17" s="139"/>
      <c r="CC17" s="133"/>
      <c r="CD17" s="133"/>
      <c r="CE17" s="168">
        <f t="shared" si="35"/>
        <v>0</v>
      </c>
      <c r="CF17" s="169">
        <f t="shared" si="36"/>
        <v>0</v>
      </c>
      <c r="CG17" s="169">
        <f t="shared" si="37"/>
        <v>0</v>
      </c>
      <c r="CH17" s="169">
        <f t="shared" si="38"/>
        <v>0</v>
      </c>
      <c r="CI17" s="169">
        <f t="shared" si="39"/>
        <v>0</v>
      </c>
      <c r="CJ17" s="156" t="str">
        <f t="shared" si="40"/>
        <v/>
      </c>
      <c r="CK17" s="156" t="str">
        <f t="shared" si="40"/>
        <v/>
      </c>
      <c r="CL17" s="156" t="str">
        <f t="shared" si="40"/>
        <v/>
      </c>
      <c r="CM17" s="157" t="str">
        <f t="shared" si="40"/>
        <v/>
      </c>
      <c r="CN17" s="157" t="str">
        <f t="shared" si="40"/>
        <v/>
      </c>
      <c r="CO17" s="157" t="str">
        <f t="shared" si="40"/>
        <v/>
      </c>
      <c r="CP17" s="157" t="str">
        <f t="shared" si="40"/>
        <v/>
      </c>
      <c r="CQ17" s="142" t="str">
        <f t="shared" si="40"/>
        <v/>
      </c>
      <c r="CR17" s="142" t="str">
        <f t="shared" si="40"/>
        <v/>
      </c>
      <c r="CS17" s="143" t="str">
        <f t="shared" si="40"/>
        <v/>
      </c>
    </row>
    <row r="18" spans="1:97" ht="17.25" customHeight="1" thickBot="1" x14ac:dyDescent="0.35">
      <c r="A18" s="144"/>
      <c r="B18" s="145"/>
      <c r="C18" s="145"/>
      <c r="D18" s="146"/>
      <c r="E18" s="146"/>
      <c r="F18" s="4"/>
      <c r="G18" s="4"/>
      <c r="H18" s="3"/>
      <c r="I18" s="127">
        <f t="shared" si="3"/>
        <v>0</v>
      </c>
      <c r="J18" s="3"/>
      <c r="K18" s="3"/>
      <c r="L18" s="4"/>
      <c r="M18" s="4"/>
      <c r="N18" s="111">
        <f t="shared" si="4"/>
        <v>0</v>
      </c>
      <c r="O18" s="170"/>
      <c r="P18" s="147"/>
      <c r="W18" s="24" t="s">
        <v>63</v>
      </c>
      <c r="Z18" s="167">
        <f t="array" ref="Z18">IF(Z$1=0,"",SQRT((_xlfn.XLOOKUP(Z$1,$R$2:$R$18,$S$2:$S$18)-$L18)^2+(_xlfn.XLOOKUP(Z$1,$R$2:$R$18,$T$2:$T$18)-$M18)^2+(_xlfn.XLOOKUP(Z$1,$R$2:$R$18,$U$2:$U$18-$N18)^2)))</f>
        <v>98.29525370026775</v>
      </c>
      <c r="AA18" s="149">
        <f t="array" ref="AA18">IF(AA$1=0,"",SQRT((_xlfn.XLOOKUP(AA$1,$R$2:$R$18,$S$2:$S$18)-$L18)^2+(_xlfn.XLOOKUP(AA$1,$R$2:$R$18,$T$2:$T$18)-$M18)^2+(_xlfn.XLOOKUP(AA$1,$R$2:$R$18,$U$2:$U$18-$N18)^2)))</f>
        <v>3.28</v>
      </c>
      <c r="AB18" s="149" t="str">
        <f t="array" ref="AB18">IF(AB$1=0,"",SQRT((_xlfn.XLOOKUP(AB$1,$R$2:$R$18,$S$2:$S$18)-$L18)^2+(_xlfn.XLOOKUP(AB$1,$R$2:$R$18,$T$2:$T$18)-$M18)^2+(_xlfn.XLOOKUP(AB$1,$R$2:$R$18,$U$2:$U$18-$N18)^2)))</f>
        <v/>
      </c>
      <c r="AC18" s="149" t="str">
        <f t="array" ref="AC18">IF(AC$1=0,"",SQRT((_xlfn.XLOOKUP(AC$1,$R$2:$R$18,$S$2:$S$18)-$L18)^2+(_xlfn.XLOOKUP(AC$1,$R$2:$R$18,$T$2:$T$18)-$M18)^2+(_xlfn.XLOOKUP(AC$1,$R$2:$R$18,$U$2:$U$18-$N18)^2)))</f>
        <v/>
      </c>
      <c r="AD18" s="149" t="str">
        <f t="array" ref="AD18">IF(AD$1=0,"",SQRT((_xlfn.XLOOKUP(AD$1,$R$2:$R$18,$S$2:$S$18)-$L18)^2+(_xlfn.XLOOKUP(AD$1,$R$2:$R$18,$T$2:$T$18)-$M18)^2+(_xlfn.XLOOKUP(AD$1,$R$2:$R$18,$U$2:$U$18-$N18)^2)))</f>
        <v/>
      </c>
      <c r="AE18" s="149" t="str">
        <f t="array" ref="AE18">IF(AE$1=0,"",SQRT((_xlfn.XLOOKUP(AE$1,$R$2:$R$18,$S$2:$S$18)-$L18)^2+(_xlfn.XLOOKUP(AE$1,$R$2:$R$18,$T$2:$T$18)-$M18)^2+(_xlfn.XLOOKUP(AE$1,$R$2:$R$18,$U$2:$U$18-$N18)^2)))</f>
        <v/>
      </c>
      <c r="AF18" s="149" t="str">
        <f t="array" ref="AF18">IF(AF$1=0,"",SQRT((_xlfn.XLOOKUP(AF$1,$R$2:$R$18,$S$2:$S$18)-$L18)^2+(_xlfn.XLOOKUP(AF$1,$R$2:$R$18,$T$2:$T$18)-$M18)^2+(_xlfn.XLOOKUP(AF$1,$R$2:$R$18,$U$2:$U$18-$N18)^2)))</f>
        <v/>
      </c>
      <c r="AG18" s="149" t="str">
        <f t="array" ref="AG18">IF(AG$1=0,"",SQRT((_xlfn.XLOOKUP(AG$1,$R$2:$R$18,$S$2:$S$18)-$L18)^2+(_xlfn.XLOOKUP(AG$1,$R$2:$R$18,$T$2:$T$18)-$M18)^2+(_xlfn.XLOOKUP(AG$1,$R$2:$R$18,$U$2:$U$18-$N18)^2)))</f>
        <v/>
      </c>
      <c r="AH18" s="150" t="str">
        <f t="array" ref="AH18">IF(AH$1=0,"",SQRT((_xlfn.XLOOKUP(AH$1,$R$2:$R$18,$S$2:$S$18)-$L18)^2+(_xlfn.XLOOKUP(AH$1,$R$2:$R$18,$T$2:$T$18)-$M18)^2+(_xlfn.XLOOKUP(AH$1,$R$2:$R$18,$U$2:$U$18-$N18)^2)))</f>
        <v/>
      </c>
      <c r="AI18" s="150" t="str">
        <f t="array" ref="AI18">IF(AI$1=0,"",SQRT((_xlfn.XLOOKUP(AI$1,$R$2:$R$18,$S$2:$S$18)-$L18)^2+(_xlfn.XLOOKUP(AI$1,$R$2:$R$18,$T$2:$T$18)-$M18)^2+(_xlfn.XLOOKUP(AI$1,$R$2:$R$18,$U$2:$U$18-$N18)^2)))</f>
        <v/>
      </c>
      <c r="AJ18" s="150" t="str">
        <f t="array" ref="AJ18">IF(AJ$1=0,"",SQRT((_xlfn.XLOOKUP(AJ$1,$R$2:$R$18,$S$2:$S$18)-$L18)^2+(_xlfn.XLOOKUP(AJ$1,$R$2:$R$18,$T$2:$T$18)-$M18)^2+(_xlfn.XLOOKUP(AJ$1,$R$2:$R$18,$U$2:$U$18-$N18)^2)))</f>
        <v/>
      </c>
      <c r="AK18" s="150" t="str">
        <f t="array" ref="AK18">IF(AK$1=0,"",SQRT((_xlfn.XLOOKUP(AK$1,$R$2:$R$18,$S$2:$S$18)-$L18)^2+(_xlfn.XLOOKUP(AK$1,$R$2:$R$18,$T$2:$T$18)-$M18)^2+(_xlfn.XLOOKUP(AK$1,$R$2:$R$18,$U$2:$U$18-$N18)^2)))</f>
        <v/>
      </c>
      <c r="AL18" s="150" t="str">
        <f t="array" ref="AL18">IF(AL$1=0,"",SQRT((_xlfn.XLOOKUP(AL$1,$R$2:$R$18,$S$2:$S$18)-$L18)^2+(_xlfn.XLOOKUP(AL$1,$R$2:$R$18,$T$2:$T$18)-$M18)^2+(_xlfn.XLOOKUP(AL$1,$R$2:$R$18,$U$2:$U$18-$N18)^2)))</f>
        <v/>
      </c>
      <c r="AM18" s="150" t="str">
        <f t="array" ref="AM18">IF(AM$1=0,"",SQRT((_xlfn.XLOOKUP(AM$1,$R$2:$R$18,$S$2:$S$18)-$L18)^2+(_xlfn.XLOOKUP(AM$1,$R$2:$R$18,$T$2:$T$18)-$M18)^2+(_xlfn.XLOOKUP(AM$1,$R$2:$R$18,$U$2:$U$18-$N18)^2)))</f>
        <v/>
      </c>
      <c r="AN18" s="151" t="str">
        <f t="array" ref="AN18">IF(AN$1=0,"",SQRT((_xlfn.XLOOKUP(AN$1,$R$2:$R$18,$S$2:$S$18)-$L18)^2+(_xlfn.XLOOKUP(AN$1,$R$2:$R$18,$T$2:$T$18)-$M18)^2+(_xlfn.XLOOKUP(AN$1,$R$2:$R$18,$U$2:$U$18-$N18)^2)))</f>
        <v/>
      </c>
      <c r="AO18" s="133"/>
      <c r="AP18" s="133"/>
      <c r="AQ18" s="134">
        <f t="shared" si="5"/>
        <v>0</v>
      </c>
      <c r="AR18" s="152">
        <f t="shared" si="6"/>
        <v>0</v>
      </c>
      <c r="AS18" s="152">
        <f t="shared" si="7"/>
        <v>0</v>
      </c>
      <c r="AT18" s="152">
        <f t="shared" si="8"/>
        <v>0</v>
      </c>
      <c r="AU18" s="152">
        <f t="shared" si="9"/>
        <v>0</v>
      </c>
      <c r="AV18" s="152">
        <f t="shared" si="10"/>
        <v>0</v>
      </c>
      <c r="AW18" s="152">
        <f t="shared" si="11"/>
        <v>0</v>
      </c>
      <c r="AX18" s="152">
        <f t="shared" si="12"/>
        <v>0</v>
      </c>
      <c r="AY18" s="153">
        <f t="shared" si="13"/>
        <v>0</v>
      </c>
      <c r="AZ18" s="153">
        <f t="shared" si="14"/>
        <v>0</v>
      </c>
      <c r="BA18" s="153">
        <f t="shared" si="15"/>
        <v>0</v>
      </c>
      <c r="BB18" s="153">
        <f t="shared" si="16"/>
        <v>0</v>
      </c>
      <c r="BC18" s="153">
        <f t="shared" si="17"/>
        <v>0</v>
      </c>
      <c r="BD18" s="153">
        <f t="shared" si="18"/>
        <v>0</v>
      </c>
      <c r="BE18" s="154">
        <f t="shared" si="19"/>
        <v>0</v>
      </c>
      <c r="BF18" s="133"/>
      <c r="BG18" s="45" t="s">
        <v>64</v>
      </c>
      <c r="BH18" s="46">
        <f>SQRT((BI7-BI6)^2+(BJ7-BJ6)^2)</f>
        <v>20.223748416156685</v>
      </c>
      <c r="BI18" s="133"/>
      <c r="BJ18" s="133"/>
      <c r="BK18" s="133"/>
      <c r="BL18" s="133"/>
      <c r="BM18" s="133"/>
      <c r="BN18" s="139"/>
      <c r="BO18" s="139"/>
      <c r="BP18" s="139"/>
      <c r="BQ18" s="139"/>
      <c r="BR18" s="139"/>
      <c r="BS18" s="139"/>
      <c r="BT18" s="139"/>
      <c r="BU18" s="139"/>
      <c r="BV18" s="139"/>
      <c r="BW18" s="139"/>
      <c r="BX18" s="139"/>
      <c r="BY18" s="139"/>
      <c r="BZ18" s="139"/>
      <c r="CA18" s="139"/>
      <c r="CB18" s="139"/>
      <c r="CC18" s="133"/>
      <c r="CD18" s="133"/>
      <c r="CE18" s="168">
        <f t="shared" si="35"/>
        <v>0</v>
      </c>
      <c r="CF18" s="169">
        <f t="shared" si="36"/>
        <v>0</v>
      </c>
      <c r="CG18" s="169">
        <f t="shared" si="37"/>
        <v>0</v>
      </c>
      <c r="CH18" s="169">
        <f t="shared" si="38"/>
        <v>0</v>
      </c>
      <c r="CI18" s="169">
        <f t="shared" si="39"/>
        <v>0</v>
      </c>
      <c r="CJ18" s="156" t="str">
        <f t="shared" si="40"/>
        <v/>
      </c>
      <c r="CK18" s="169" t="str">
        <f t="shared" si="40"/>
        <v/>
      </c>
      <c r="CL18" s="169" t="str">
        <f t="shared" si="40"/>
        <v/>
      </c>
      <c r="CM18" s="171" t="str">
        <f t="shared" si="40"/>
        <v/>
      </c>
      <c r="CN18" s="171" t="str">
        <f t="shared" si="40"/>
        <v/>
      </c>
      <c r="CO18" s="171" t="str">
        <f t="shared" si="40"/>
        <v/>
      </c>
      <c r="CP18" s="171" t="str">
        <f t="shared" si="40"/>
        <v/>
      </c>
      <c r="CQ18" s="171" t="str">
        <f t="shared" si="40"/>
        <v/>
      </c>
      <c r="CR18" s="171" t="str">
        <f t="shared" si="40"/>
        <v/>
      </c>
      <c r="CS18" s="172" t="str">
        <f t="shared" si="40"/>
        <v/>
      </c>
    </row>
    <row r="19" spans="1:97" ht="17.25" customHeight="1" thickBot="1" x14ac:dyDescent="0.35">
      <c r="A19" s="144"/>
      <c r="B19" s="145"/>
      <c r="C19" s="145"/>
      <c r="D19" s="146"/>
      <c r="E19" s="146"/>
      <c r="F19" s="4"/>
      <c r="G19" s="4"/>
      <c r="H19" s="3"/>
      <c r="I19" s="127">
        <f t="shared" si="3"/>
        <v>0</v>
      </c>
      <c r="J19" s="3"/>
      <c r="K19" s="3"/>
      <c r="L19" s="4"/>
      <c r="M19" s="4"/>
      <c r="N19" s="111">
        <f t="shared" si="4"/>
        <v>0</v>
      </c>
      <c r="O19" s="170"/>
      <c r="P19" s="147"/>
      <c r="W19" s="24" t="s">
        <v>65</v>
      </c>
      <c r="X19" s="24" t="s">
        <v>66</v>
      </c>
      <c r="Z19" s="167">
        <f t="array" ref="Z19">IF(Z$1=0,"",SQRT((_xlfn.XLOOKUP(Z$1,$R$2:$R$18,$S$2:$S$18)-$L19)^2+(_xlfn.XLOOKUP(Z$1,$R$2:$R$18,$T$2:$T$18)-$M19)^2+(_xlfn.XLOOKUP(Z$1,$R$2:$R$18,$U$2:$U$18-$N19)^2)))</f>
        <v>98.29525370026775</v>
      </c>
      <c r="AA19" s="149">
        <f t="array" ref="AA19">IF(AA$1=0,"",SQRT((_xlfn.XLOOKUP(AA$1,$R$2:$R$18,$S$2:$S$18)-$L19)^2+(_xlfn.XLOOKUP(AA$1,$R$2:$R$18,$T$2:$T$18)-$M19)^2+(_xlfn.XLOOKUP(AA$1,$R$2:$R$18,$U$2:$U$18-$N19)^2)))</f>
        <v>3.28</v>
      </c>
      <c r="AB19" s="149" t="str">
        <f t="array" ref="AB19">IF(AB$1=0,"",SQRT((_xlfn.XLOOKUP(AB$1,$R$2:$R$18,$S$2:$S$18)-$L19)^2+(_xlfn.XLOOKUP(AB$1,$R$2:$R$18,$T$2:$T$18)-$M19)^2+(_xlfn.XLOOKUP(AB$1,$R$2:$R$18,$U$2:$U$18-$N19)^2)))</f>
        <v/>
      </c>
      <c r="AC19" s="149" t="str">
        <f t="array" ref="AC19">IF(AC$1=0,"",SQRT((_xlfn.XLOOKUP(AC$1,$R$2:$R$18,$S$2:$S$18)-$L19)^2+(_xlfn.XLOOKUP(AC$1,$R$2:$R$18,$T$2:$T$18)-$M19)^2+(_xlfn.XLOOKUP(AC$1,$R$2:$R$18,$U$2:$U$18-$N19)^2)))</f>
        <v/>
      </c>
      <c r="AD19" s="149" t="str">
        <f t="array" ref="AD19">IF(AD$1=0,"",SQRT((_xlfn.XLOOKUP(AD$1,$R$2:$R$18,$S$2:$S$18)-$L19)^2+(_xlfn.XLOOKUP(AD$1,$R$2:$R$18,$T$2:$T$18)-$M19)^2+(_xlfn.XLOOKUP(AD$1,$R$2:$R$18,$U$2:$U$18-$N19)^2)))</f>
        <v/>
      </c>
      <c r="AE19" s="149" t="str">
        <f t="array" ref="AE19">IF(AE$1=0,"",SQRT((_xlfn.XLOOKUP(AE$1,$R$2:$R$18,$S$2:$S$18)-$L19)^2+(_xlfn.XLOOKUP(AE$1,$R$2:$R$18,$T$2:$T$18)-$M19)^2+(_xlfn.XLOOKUP(AE$1,$R$2:$R$18,$U$2:$U$18-$N19)^2)))</f>
        <v/>
      </c>
      <c r="AF19" s="149" t="str">
        <f t="array" ref="AF19">IF(AF$1=0,"",SQRT((_xlfn.XLOOKUP(AF$1,$R$2:$R$18,$S$2:$S$18)-$L19)^2+(_xlfn.XLOOKUP(AF$1,$R$2:$R$18,$T$2:$T$18)-$M19)^2+(_xlfn.XLOOKUP(AF$1,$R$2:$R$18,$U$2:$U$18-$N19)^2)))</f>
        <v/>
      </c>
      <c r="AG19" s="149" t="str">
        <f t="array" ref="AG19">IF(AG$1=0,"",SQRT((_xlfn.XLOOKUP(AG$1,$R$2:$R$18,$S$2:$S$18)-$L19)^2+(_xlfn.XLOOKUP(AG$1,$R$2:$R$18,$T$2:$T$18)-$M19)^2+(_xlfn.XLOOKUP(AG$1,$R$2:$R$18,$U$2:$U$18-$N19)^2)))</f>
        <v/>
      </c>
      <c r="AH19" s="150" t="str">
        <f t="array" ref="AH19">IF(AH$1=0,"",SQRT((_xlfn.XLOOKUP(AH$1,$R$2:$R$18,$S$2:$S$18)-$L19)^2+(_xlfn.XLOOKUP(AH$1,$R$2:$R$18,$T$2:$T$18)-$M19)^2+(_xlfn.XLOOKUP(AH$1,$R$2:$R$18,$U$2:$U$18-$N19)^2)))</f>
        <v/>
      </c>
      <c r="AI19" s="150" t="str">
        <f t="array" ref="AI19">IF(AI$1=0,"",SQRT((_xlfn.XLOOKUP(AI$1,$R$2:$R$18,$S$2:$S$18)-$L19)^2+(_xlfn.XLOOKUP(AI$1,$R$2:$R$18,$T$2:$T$18)-$M19)^2+(_xlfn.XLOOKUP(AI$1,$R$2:$R$18,$U$2:$U$18-$N19)^2)))</f>
        <v/>
      </c>
      <c r="AJ19" s="150" t="str">
        <f t="array" ref="AJ19">IF(AJ$1=0,"",SQRT((_xlfn.XLOOKUP(AJ$1,$R$2:$R$18,$S$2:$S$18)-$L19)^2+(_xlfn.XLOOKUP(AJ$1,$R$2:$R$18,$T$2:$T$18)-$M19)^2+(_xlfn.XLOOKUP(AJ$1,$R$2:$R$18,$U$2:$U$18-$N19)^2)))</f>
        <v/>
      </c>
      <c r="AK19" s="150" t="str">
        <f t="array" ref="AK19">IF(AK$1=0,"",SQRT((_xlfn.XLOOKUP(AK$1,$R$2:$R$18,$S$2:$S$18)-$L19)^2+(_xlfn.XLOOKUP(AK$1,$R$2:$R$18,$T$2:$T$18)-$M19)^2+(_xlfn.XLOOKUP(AK$1,$R$2:$R$18,$U$2:$U$18-$N19)^2)))</f>
        <v/>
      </c>
      <c r="AL19" s="150" t="str">
        <f t="array" ref="AL19">IF(AL$1=0,"",SQRT((_xlfn.XLOOKUP(AL$1,$R$2:$R$18,$S$2:$S$18)-$L19)^2+(_xlfn.XLOOKUP(AL$1,$R$2:$R$18,$T$2:$T$18)-$M19)^2+(_xlfn.XLOOKUP(AL$1,$R$2:$R$18,$U$2:$U$18-$N19)^2)))</f>
        <v/>
      </c>
      <c r="AM19" s="150" t="str">
        <f t="array" ref="AM19">IF(AM$1=0,"",SQRT((_xlfn.XLOOKUP(AM$1,$R$2:$R$18,$S$2:$S$18)-$L19)^2+(_xlfn.XLOOKUP(AM$1,$R$2:$R$18,$T$2:$T$18)-$M19)^2+(_xlfn.XLOOKUP(AM$1,$R$2:$R$18,$U$2:$U$18-$N19)^2)))</f>
        <v/>
      </c>
      <c r="AN19" s="151" t="str">
        <f t="array" ref="AN19">IF(AN$1=0,"",SQRT((_xlfn.XLOOKUP(AN$1,$R$2:$R$18,$S$2:$S$18)-$L19)^2+(_xlfn.XLOOKUP(AN$1,$R$2:$R$18,$T$2:$T$18)-$M19)^2+(_xlfn.XLOOKUP(AN$1,$R$2:$R$18,$U$2:$U$18-$N19)^2)))</f>
        <v/>
      </c>
      <c r="AO19" s="133"/>
      <c r="AP19" s="133"/>
      <c r="AQ19" s="134">
        <f t="shared" si="5"/>
        <v>0</v>
      </c>
      <c r="AR19" s="152">
        <f t="shared" si="6"/>
        <v>0</v>
      </c>
      <c r="AS19" s="152">
        <f t="shared" si="7"/>
        <v>0</v>
      </c>
      <c r="AT19" s="152">
        <f t="shared" si="8"/>
        <v>0</v>
      </c>
      <c r="AU19" s="152">
        <f t="shared" si="9"/>
        <v>0</v>
      </c>
      <c r="AV19" s="152">
        <f t="shared" si="10"/>
        <v>0</v>
      </c>
      <c r="AW19" s="152">
        <f t="shared" si="11"/>
        <v>0</v>
      </c>
      <c r="AX19" s="152">
        <f t="shared" si="12"/>
        <v>0</v>
      </c>
      <c r="AY19" s="153">
        <f t="shared" si="13"/>
        <v>0</v>
      </c>
      <c r="AZ19" s="153">
        <f t="shared" si="14"/>
        <v>0</v>
      </c>
      <c r="BA19" s="153">
        <f t="shared" si="15"/>
        <v>0</v>
      </c>
      <c r="BB19" s="153">
        <f t="shared" si="16"/>
        <v>0</v>
      </c>
      <c r="BC19" s="153">
        <f t="shared" si="17"/>
        <v>0</v>
      </c>
      <c r="BD19" s="153">
        <f t="shared" si="18"/>
        <v>0</v>
      </c>
      <c r="BE19" s="154">
        <f t="shared" si="19"/>
        <v>0</v>
      </c>
      <c r="BF19" s="133"/>
      <c r="BG19" s="45" t="s">
        <v>67</v>
      </c>
      <c r="BH19" s="46">
        <f>BH17/BH18</f>
        <v>0</v>
      </c>
      <c r="BI19" s="133"/>
      <c r="BJ19" s="133"/>
      <c r="BK19" s="133"/>
      <c r="BL19" s="133"/>
      <c r="BM19" s="133"/>
      <c r="BN19" s="139"/>
      <c r="BO19" s="139"/>
      <c r="BP19" s="139"/>
      <c r="BQ19" s="139"/>
      <c r="BR19" s="139"/>
      <c r="BS19" s="139"/>
      <c r="BT19" s="139"/>
      <c r="BU19" s="139"/>
      <c r="BV19" s="139"/>
      <c r="BW19" s="139"/>
      <c r="BX19" s="139"/>
      <c r="BY19" s="139"/>
      <c r="BZ19" s="139"/>
      <c r="CA19" s="139"/>
      <c r="CB19" s="139"/>
      <c r="CC19" s="133"/>
      <c r="CD19" s="133"/>
      <c r="CE19" s="168">
        <f t="shared" si="35"/>
        <v>0</v>
      </c>
      <c r="CF19" s="169">
        <f t="shared" si="36"/>
        <v>0</v>
      </c>
      <c r="CG19" s="169">
        <f t="shared" si="37"/>
        <v>0</v>
      </c>
      <c r="CH19" s="169">
        <f t="shared" si="38"/>
        <v>0</v>
      </c>
      <c r="CI19" s="169">
        <f t="shared" si="39"/>
        <v>0</v>
      </c>
      <c r="CJ19" s="169">
        <f t="shared" ref="CJ19:CJ58" si="41">IF(ISBLANK(_xlfn.XLOOKUP(CJ$1,$R$2:$R$16,$S$2:$S$16)),"",$I19-$K19+AV19-BS19)</f>
        <v>0</v>
      </c>
      <c r="CK19" s="169">
        <f t="shared" ref="CK19:CK58" si="42">IF(ISBLANK(_xlfn.XLOOKUP(CK$1,$R$2:$R$16,$S$2:$S$16)),"",$I19-$K19+AW19-BT19)</f>
        <v>0</v>
      </c>
      <c r="CL19" s="169">
        <f t="shared" ref="CL19:CL58" si="43">IF(ISBLANK(_xlfn.XLOOKUP(CL$1,$R$2:$R$16,$S$2:$S$16)),"",$I19-$K19+AX19-BU19)</f>
        <v>0</v>
      </c>
      <c r="CM19" s="171">
        <f t="shared" ref="CM19:CM58" si="44">IF(ISBLANK(_xlfn.XLOOKUP(CM$1,$R$2:$R$16,$S$2:$S$16)),"",$I19-$K19+AY19-BV19)</f>
        <v>0</v>
      </c>
      <c r="CN19" s="171">
        <f t="shared" ref="CN19:CN58" si="45">IF(ISBLANK(_xlfn.XLOOKUP(CN$1,$R$2:$R$16,$S$2:$S$16)),"",$I19-$K19+AZ19-BW19)</f>
        <v>0</v>
      </c>
      <c r="CO19" s="171">
        <f t="shared" ref="CO19:CO58" si="46">IF(ISBLANK(_xlfn.XLOOKUP(CO$1,$R$2:$R$16,$S$2:$S$16)),"",$I19-$K19+BA19-BX19)</f>
        <v>0</v>
      </c>
      <c r="CP19" s="171">
        <f t="shared" ref="CP19:CP58" si="47">IF(ISBLANK(_xlfn.XLOOKUP(CP$1,$R$2:$R$16,$S$2:$S$16)),"",$I19-$K19+BB19-BY19)</f>
        <v>0</v>
      </c>
      <c r="CQ19" s="171">
        <f t="shared" ref="CQ19:CQ58" si="48">IF(ISBLANK(_xlfn.XLOOKUP(CQ$1,$R$2:$R$16,$S$2:$S$16)),"",$I19-$K19+BC19-BZ19)</f>
        <v>0</v>
      </c>
      <c r="CR19" s="171">
        <f t="shared" ref="CR19:CR58" si="49">IF(ISBLANK(_xlfn.XLOOKUP(CR$1,$R$2:$R$16,$S$2:$S$16)),"",$I19-$K19+BD19-CA19)</f>
        <v>0</v>
      </c>
      <c r="CS19" s="172">
        <f t="shared" ref="CS19:CS58" si="50">IF(ISBLANK(_xlfn.XLOOKUP(CS$1,$R$2:$R$16,$S$2:$S$16)),"",$I19-$K19+BE19-CB19)</f>
        <v>0</v>
      </c>
    </row>
    <row r="20" spans="1:97" ht="17.25" customHeight="1" thickBot="1" x14ac:dyDescent="0.35">
      <c r="A20" s="144"/>
      <c r="B20" s="145"/>
      <c r="C20" s="145"/>
      <c r="D20" s="146"/>
      <c r="E20" s="146"/>
      <c r="F20" s="4"/>
      <c r="G20" s="4"/>
      <c r="H20" s="3"/>
      <c r="I20" s="127">
        <f t="shared" si="3"/>
        <v>0</v>
      </c>
      <c r="J20" s="3"/>
      <c r="K20" s="3"/>
      <c r="L20" s="4"/>
      <c r="M20" s="4"/>
      <c r="N20" s="111">
        <f t="shared" si="4"/>
        <v>0</v>
      </c>
      <c r="O20" s="170"/>
      <c r="P20" s="147"/>
      <c r="W20" s="112">
        <v>87.04</v>
      </c>
      <c r="X20" s="113">
        <v>1371</v>
      </c>
      <c r="Z20" s="167">
        <f t="array" ref="Z20">IF(Z$1=0,"",SQRT((_xlfn.XLOOKUP(Z$1,$R$2:$R$18,$S$2:$S$18)-$L20)^2+(_xlfn.XLOOKUP(Z$1,$R$2:$R$18,$T$2:$T$18)-$M20)^2+(_xlfn.XLOOKUP(Z$1,$R$2:$R$18,$U$2:$U$18-$N20)^2)))</f>
        <v>98.29525370026775</v>
      </c>
      <c r="AA20" s="149">
        <f t="array" ref="AA20">IF(AA$1=0,"",SQRT((_xlfn.XLOOKUP(AA$1,$R$2:$R$18,$S$2:$S$18)-$L20)^2+(_xlfn.XLOOKUP(AA$1,$R$2:$R$18,$T$2:$T$18)-$M20)^2+(_xlfn.XLOOKUP(AA$1,$R$2:$R$18,$U$2:$U$18-$N20)^2)))</f>
        <v>3.28</v>
      </c>
      <c r="AB20" s="149" t="str">
        <f t="array" ref="AB20">IF(AB$1=0,"",SQRT((_xlfn.XLOOKUP(AB$1,$R$2:$R$18,$S$2:$S$18)-$L20)^2+(_xlfn.XLOOKUP(AB$1,$R$2:$R$18,$T$2:$T$18)-$M20)^2+(_xlfn.XLOOKUP(AB$1,$R$2:$R$18,$U$2:$U$18-$N20)^2)))</f>
        <v/>
      </c>
      <c r="AC20" s="149" t="str">
        <f t="array" ref="AC20">IF(AC$1=0,"",SQRT((_xlfn.XLOOKUP(AC$1,$R$2:$R$18,$S$2:$S$18)-$L20)^2+(_xlfn.XLOOKUP(AC$1,$R$2:$R$18,$T$2:$T$18)-$M20)^2+(_xlfn.XLOOKUP(AC$1,$R$2:$R$18,$U$2:$U$18-$N20)^2)))</f>
        <v/>
      </c>
      <c r="AD20" s="149" t="str">
        <f t="array" ref="AD20">IF(AD$1=0,"",SQRT((_xlfn.XLOOKUP(AD$1,$R$2:$R$18,$S$2:$S$18)-$L20)^2+(_xlfn.XLOOKUP(AD$1,$R$2:$R$18,$T$2:$T$18)-$M20)^2+(_xlfn.XLOOKUP(AD$1,$R$2:$R$18,$U$2:$U$18-$N20)^2)))</f>
        <v/>
      </c>
      <c r="AE20" s="149" t="str">
        <f t="array" ref="AE20">IF(AE$1=0,"",SQRT((_xlfn.XLOOKUP(AE$1,$R$2:$R$18,$S$2:$S$18)-$L20)^2+(_xlfn.XLOOKUP(AE$1,$R$2:$R$18,$T$2:$T$18)-$M20)^2+(_xlfn.XLOOKUP(AE$1,$R$2:$R$18,$U$2:$U$18-$N20)^2)))</f>
        <v/>
      </c>
      <c r="AF20" s="149" t="str">
        <f t="array" ref="AF20">IF(AF$1=0,"",SQRT((_xlfn.XLOOKUP(AF$1,$R$2:$R$18,$S$2:$S$18)-$L20)^2+(_xlfn.XLOOKUP(AF$1,$R$2:$R$18,$T$2:$T$18)-$M20)^2+(_xlfn.XLOOKUP(AF$1,$R$2:$R$18,$U$2:$U$18-$N20)^2)))</f>
        <v/>
      </c>
      <c r="AG20" s="149" t="str">
        <f t="array" ref="AG20">IF(AG$1=0,"",SQRT((_xlfn.XLOOKUP(AG$1,$R$2:$R$18,$S$2:$S$18)-$L20)^2+(_xlfn.XLOOKUP(AG$1,$R$2:$R$18,$T$2:$T$18)-$M20)^2+(_xlfn.XLOOKUP(AG$1,$R$2:$R$18,$U$2:$U$18-$N20)^2)))</f>
        <v/>
      </c>
      <c r="AH20" s="150" t="str">
        <f t="array" ref="AH20">IF(AH$1=0,"",SQRT((_xlfn.XLOOKUP(AH$1,$R$2:$R$18,$S$2:$S$18)-$L20)^2+(_xlfn.XLOOKUP(AH$1,$R$2:$R$18,$T$2:$T$18)-$M20)^2+(_xlfn.XLOOKUP(AH$1,$R$2:$R$18,$U$2:$U$18-$N20)^2)))</f>
        <v/>
      </c>
      <c r="AI20" s="150" t="str">
        <f t="array" ref="AI20">IF(AI$1=0,"",SQRT((_xlfn.XLOOKUP(AI$1,$R$2:$R$18,$S$2:$S$18)-$L20)^2+(_xlfn.XLOOKUP(AI$1,$R$2:$R$18,$T$2:$T$18)-$M20)^2+(_xlfn.XLOOKUP(AI$1,$R$2:$R$18,$U$2:$U$18-$N20)^2)))</f>
        <v/>
      </c>
      <c r="AJ20" s="150" t="str">
        <f t="array" ref="AJ20">IF(AJ$1=0,"",SQRT((_xlfn.XLOOKUP(AJ$1,$R$2:$R$18,$S$2:$S$18)-$L20)^2+(_xlfn.XLOOKUP(AJ$1,$R$2:$R$18,$T$2:$T$18)-$M20)^2+(_xlfn.XLOOKUP(AJ$1,$R$2:$R$18,$U$2:$U$18-$N20)^2)))</f>
        <v/>
      </c>
      <c r="AK20" s="150" t="str">
        <f t="array" ref="AK20">IF(AK$1=0,"",SQRT((_xlfn.XLOOKUP(AK$1,$R$2:$R$18,$S$2:$S$18)-$L20)^2+(_xlfn.XLOOKUP(AK$1,$R$2:$R$18,$T$2:$T$18)-$M20)^2+(_xlfn.XLOOKUP(AK$1,$R$2:$R$18,$U$2:$U$18-$N20)^2)))</f>
        <v/>
      </c>
      <c r="AL20" s="150" t="str">
        <f t="array" ref="AL20">IF(AL$1=0,"",SQRT((_xlfn.XLOOKUP(AL$1,$R$2:$R$18,$S$2:$S$18)-$L20)^2+(_xlfn.XLOOKUP(AL$1,$R$2:$R$18,$T$2:$T$18)-$M20)^2+(_xlfn.XLOOKUP(AL$1,$R$2:$R$18,$U$2:$U$18-$N20)^2)))</f>
        <v/>
      </c>
      <c r="AM20" s="150" t="str">
        <f t="array" ref="AM20">IF(AM$1=0,"",SQRT((_xlfn.XLOOKUP(AM$1,$R$2:$R$18,$S$2:$S$18)-$L20)^2+(_xlfn.XLOOKUP(AM$1,$R$2:$R$18,$T$2:$T$18)-$M20)^2+(_xlfn.XLOOKUP(AM$1,$R$2:$R$18,$U$2:$U$18-$N20)^2)))</f>
        <v/>
      </c>
      <c r="AN20" s="151" t="str">
        <f t="array" ref="AN20">IF(AN$1=0,"",SQRT((_xlfn.XLOOKUP(AN$1,$R$2:$R$18,$S$2:$S$18)-$L20)^2+(_xlfn.XLOOKUP(AN$1,$R$2:$R$18,$T$2:$T$18)-$M20)^2+(_xlfn.XLOOKUP(AN$1,$R$2:$R$18,$U$2:$U$18-$N20)^2)))</f>
        <v/>
      </c>
      <c r="AO20" s="133"/>
      <c r="AP20" s="133"/>
      <c r="AQ20" s="134">
        <f t="shared" si="5"/>
        <v>0</v>
      </c>
      <c r="AR20" s="152">
        <f t="shared" si="6"/>
        <v>0</v>
      </c>
      <c r="AS20" s="152">
        <f t="shared" si="7"/>
        <v>0</v>
      </c>
      <c r="AT20" s="152">
        <f t="shared" si="8"/>
        <v>0</v>
      </c>
      <c r="AU20" s="152">
        <f t="shared" si="9"/>
        <v>0</v>
      </c>
      <c r="AV20" s="152">
        <f t="shared" si="10"/>
        <v>0</v>
      </c>
      <c r="AW20" s="152">
        <f t="shared" si="11"/>
        <v>0</v>
      </c>
      <c r="AX20" s="152">
        <f t="shared" si="12"/>
        <v>0</v>
      </c>
      <c r="AY20" s="153">
        <f t="shared" si="13"/>
        <v>0</v>
      </c>
      <c r="AZ20" s="153">
        <f t="shared" si="14"/>
        <v>0</v>
      </c>
      <c r="BA20" s="153">
        <f t="shared" si="15"/>
        <v>0</v>
      </c>
      <c r="BB20" s="153">
        <f t="shared" si="16"/>
        <v>0</v>
      </c>
      <c r="BC20" s="153">
        <f t="shared" si="17"/>
        <v>0</v>
      </c>
      <c r="BD20" s="153">
        <f t="shared" si="18"/>
        <v>0</v>
      </c>
      <c r="BE20" s="154">
        <f t="shared" si="19"/>
        <v>0</v>
      </c>
      <c r="BF20" s="133"/>
      <c r="BG20" s="45" t="s">
        <v>68</v>
      </c>
      <c r="BH20" s="47">
        <f>SQRT((BJ12-_xlfn.XLOOKUP(MIN(BK6:BK7),BK6:BK7,BI6:BI7))^2+(BJ13-_xlfn.XLOOKUP(MIN(BK6:BK7),BK6:BK7,BJ6:BJ7))^2)</f>
        <v>13.212817214110771</v>
      </c>
      <c r="BI20" s="133"/>
      <c r="BJ20" s="133"/>
      <c r="BK20" s="133"/>
      <c r="BL20" s="133"/>
      <c r="BM20" s="133"/>
      <c r="BN20" s="139"/>
      <c r="BO20" s="139"/>
      <c r="BP20" s="139"/>
      <c r="BQ20" s="139"/>
      <c r="BR20" s="139"/>
      <c r="BS20" s="139"/>
      <c r="BT20" s="139"/>
      <c r="BU20" s="139"/>
      <c r="BV20" s="139"/>
      <c r="BW20" s="139"/>
      <c r="BX20" s="139"/>
      <c r="BY20" s="139"/>
      <c r="BZ20" s="139"/>
      <c r="CA20" s="139"/>
      <c r="CB20" s="139"/>
      <c r="CC20" s="133"/>
      <c r="CD20" s="133"/>
      <c r="CE20" s="168">
        <f t="shared" si="35"/>
        <v>0</v>
      </c>
      <c r="CF20" s="169">
        <f t="shared" si="36"/>
        <v>0</v>
      </c>
      <c r="CG20" s="169">
        <f t="shared" si="37"/>
        <v>0</v>
      </c>
      <c r="CH20" s="169">
        <f t="shared" si="38"/>
        <v>0</v>
      </c>
      <c r="CI20" s="169">
        <f t="shared" si="39"/>
        <v>0</v>
      </c>
      <c r="CJ20" s="169">
        <f t="shared" si="41"/>
        <v>0</v>
      </c>
      <c r="CK20" s="169">
        <f t="shared" si="42"/>
        <v>0</v>
      </c>
      <c r="CL20" s="169">
        <f t="shared" si="43"/>
        <v>0</v>
      </c>
      <c r="CM20" s="171">
        <f t="shared" si="44"/>
        <v>0</v>
      </c>
      <c r="CN20" s="171">
        <f t="shared" si="45"/>
        <v>0</v>
      </c>
      <c r="CO20" s="171">
        <f t="shared" si="46"/>
        <v>0</v>
      </c>
      <c r="CP20" s="171">
        <f t="shared" si="47"/>
        <v>0</v>
      </c>
      <c r="CQ20" s="171">
        <f t="shared" si="48"/>
        <v>0</v>
      </c>
      <c r="CR20" s="171">
        <f t="shared" si="49"/>
        <v>0</v>
      </c>
      <c r="CS20" s="172">
        <f t="shared" si="50"/>
        <v>0</v>
      </c>
    </row>
    <row r="21" spans="1:97" ht="17.25" customHeight="1" thickBot="1" x14ac:dyDescent="0.35">
      <c r="A21" s="144"/>
      <c r="B21" s="145"/>
      <c r="C21" s="145"/>
      <c r="D21" s="146"/>
      <c r="E21" s="146"/>
      <c r="F21" s="4"/>
      <c r="G21" s="4"/>
      <c r="H21" s="3"/>
      <c r="I21" s="127">
        <f t="shared" si="3"/>
        <v>0</v>
      </c>
      <c r="J21" s="3"/>
      <c r="K21" s="3"/>
      <c r="L21" s="4"/>
      <c r="M21" s="4"/>
      <c r="N21" s="111">
        <f t="shared" si="4"/>
        <v>0</v>
      </c>
      <c r="O21" s="170"/>
      <c r="P21" s="147"/>
      <c r="Z21" s="167">
        <f t="array" ref="Z21">IF(Z$1=0,"",SQRT((_xlfn.XLOOKUP(Z$1,$R$2:$R$18,$S$2:$S$18)-$L21)^2+(_xlfn.XLOOKUP(Z$1,$R$2:$R$18,$T$2:$T$18)-$M21)^2+(_xlfn.XLOOKUP(Z$1,$R$2:$R$18,$U$2:$U$18-$N21)^2)))</f>
        <v>98.29525370026775</v>
      </c>
      <c r="AA21" s="149">
        <f t="array" ref="AA21">IF(AA$1=0,"",SQRT((_xlfn.XLOOKUP(AA$1,$R$2:$R$18,$S$2:$S$18)-$L21)^2+(_xlfn.XLOOKUP(AA$1,$R$2:$R$18,$T$2:$T$18)-$M21)^2+(_xlfn.XLOOKUP(AA$1,$R$2:$R$18,$U$2:$U$18-$N21)^2)))</f>
        <v>3.28</v>
      </c>
      <c r="AB21" s="149" t="str">
        <f t="array" ref="AB21">IF(AB$1=0,"",SQRT((_xlfn.XLOOKUP(AB$1,$R$2:$R$18,$S$2:$S$18)-$L21)^2+(_xlfn.XLOOKUP(AB$1,$R$2:$R$18,$T$2:$T$18)-$M21)^2+(_xlfn.XLOOKUP(AB$1,$R$2:$R$18,$U$2:$U$18-$N21)^2)))</f>
        <v/>
      </c>
      <c r="AC21" s="149" t="str">
        <f t="array" ref="AC21">IF(AC$1=0,"",SQRT((_xlfn.XLOOKUP(AC$1,$R$2:$R$18,$S$2:$S$18)-$L21)^2+(_xlfn.XLOOKUP(AC$1,$R$2:$R$18,$T$2:$T$18)-$M21)^2+(_xlfn.XLOOKUP(AC$1,$R$2:$R$18,$U$2:$U$18-$N21)^2)))</f>
        <v/>
      </c>
      <c r="AD21" s="149" t="str">
        <f t="array" ref="AD21">IF(AD$1=0,"",SQRT((_xlfn.XLOOKUP(AD$1,$R$2:$R$18,$S$2:$S$18)-$L21)^2+(_xlfn.XLOOKUP(AD$1,$R$2:$R$18,$T$2:$T$18)-$M21)^2+(_xlfn.XLOOKUP(AD$1,$R$2:$R$18,$U$2:$U$18-$N21)^2)))</f>
        <v/>
      </c>
      <c r="AE21" s="149" t="str">
        <f t="array" ref="AE21">IF(AE$1=0,"",SQRT((_xlfn.XLOOKUP(AE$1,$R$2:$R$18,$S$2:$S$18)-$L21)^2+(_xlfn.XLOOKUP(AE$1,$R$2:$R$18,$T$2:$T$18)-$M21)^2+(_xlfn.XLOOKUP(AE$1,$R$2:$R$18,$U$2:$U$18-$N21)^2)))</f>
        <v/>
      </c>
      <c r="AF21" s="149" t="str">
        <f t="array" ref="AF21">IF(AF$1=0,"",SQRT((_xlfn.XLOOKUP(AF$1,$R$2:$R$18,$S$2:$S$18)-$L21)^2+(_xlfn.XLOOKUP(AF$1,$R$2:$R$18,$T$2:$T$18)-$M21)^2+(_xlfn.XLOOKUP(AF$1,$R$2:$R$18,$U$2:$U$18-$N21)^2)))</f>
        <v/>
      </c>
      <c r="AG21" s="149" t="str">
        <f t="array" ref="AG21">IF(AG$1=0,"",SQRT((_xlfn.XLOOKUP(AG$1,$R$2:$R$18,$S$2:$S$18)-$L21)^2+(_xlfn.XLOOKUP(AG$1,$R$2:$R$18,$T$2:$T$18)-$M21)^2+(_xlfn.XLOOKUP(AG$1,$R$2:$R$18,$U$2:$U$18-$N21)^2)))</f>
        <v/>
      </c>
      <c r="AH21" s="150" t="str">
        <f t="array" ref="AH21">IF(AH$1=0,"",SQRT((_xlfn.XLOOKUP(AH$1,$R$2:$R$18,$S$2:$S$18)-$L21)^2+(_xlfn.XLOOKUP(AH$1,$R$2:$R$18,$T$2:$T$18)-$M21)^2+(_xlfn.XLOOKUP(AH$1,$R$2:$R$18,$U$2:$U$18-$N21)^2)))</f>
        <v/>
      </c>
      <c r="AI21" s="150" t="str">
        <f t="array" ref="AI21">IF(AI$1=0,"",SQRT((_xlfn.XLOOKUP(AI$1,$R$2:$R$18,$S$2:$S$18)-$L21)^2+(_xlfn.XLOOKUP(AI$1,$R$2:$R$18,$T$2:$T$18)-$M21)^2+(_xlfn.XLOOKUP(AI$1,$R$2:$R$18,$U$2:$U$18-$N21)^2)))</f>
        <v/>
      </c>
      <c r="AJ21" s="150" t="str">
        <f t="array" ref="AJ21">IF(AJ$1=0,"",SQRT((_xlfn.XLOOKUP(AJ$1,$R$2:$R$18,$S$2:$S$18)-$L21)^2+(_xlfn.XLOOKUP(AJ$1,$R$2:$R$18,$T$2:$T$18)-$M21)^2+(_xlfn.XLOOKUP(AJ$1,$R$2:$R$18,$U$2:$U$18-$N21)^2)))</f>
        <v/>
      </c>
      <c r="AK21" s="150" t="str">
        <f t="array" ref="AK21">IF(AK$1=0,"",SQRT((_xlfn.XLOOKUP(AK$1,$R$2:$R$18,$S$2:$S$18)-$L21)^2+(_xlfn.XLOOKUP(AK$1,$R$2:$R$18,$T$2:$T$18)-$M21)^2+(_xlfn.XLOOKUP(AK$1,$R$2:$R$18,$U$2:$U$18-$N21)^2)))</f>
        <v/>
      </c>
      <c r="AL21" s="150" t="str">
        <f t="array" ref="AL21">IF(AL$1=0,"",SQRT((_xlfn.XLOOKUP(AL$1,$R$2:$R$18,$S$2:$S$18)-$L21)^2+(_xlfn.XLOOKUP(AL$1,$R$2:$R$18,$T$2:$T$18)-$M21)^2+(_xlfn.XLOOKUP(AL$1,$R$2:$R$18,$U$2:$U$18-$N21)^2)))</f>
        <v/>
      </c>
      <c r="AM21" s="150" t="str">
        <f t="array" ref="AM21">IF(AM$1=0,"",SQRT((_xlfn.XLOOKUP(AM$1,$R$2:$R$18,$S$2:$S$18)-$L21)^2+(_xlfn.XLOOKUP(AM$1,$R$2:$R$18,$T$2:$T$18)-$M21)^2+(_xlfn.XLOOKUP(AM$1,$R$2:$R$18,$U$2:$U$18-$N21)^2)))</f>
        <v/>
      </c>
      <c r="AN21" s="151" t="str">
        <f t="array" ref="AN21">IF(AN$1=0,"",SQRT((_xlfn.XLOOKUP(AN$1,$R$2:$R$18,$S$2:$S$18)-$L21)^2+(_xlfn.XLOOKUP(AN$1,$R$2:$R$18,$T$2:$T$18)-$M21)^2+(_xlfn.XLOOKUP(AN$1,$R$2:$R$18,$U$2:$U$18-$N21)^2)))</f>
        <v/>
      </c>
      <c r="AO21" s="133"/>
      <c r="AP21" s="133"/>
      <c r="AQ21" s="134">
        <f t="shared" si="5"/>
        <v>0</v>
      </c>
      <c r="AR21" s="152">
        <f t="shared" si="6"/>
        <v>0</v>
      </c>
      <c r="AS21" s="152">
        <f t="shared" si="7"/>
        <v>0</v>
      </c>
      <c r="AT21" s="152">
        <f t="shared" si="8"/>
        <v>0</v>
      </c>
      <c r="AU21" s="152">
        <f t="shared" si="9"/>
        <v>0</v>
      </c>
      <c r="AV21" s="152">
        <f t="shared" si="10"/>
        <v>0</v>
      </c>
      <c r="AW21" s="152">
        <f t="shared" si="11"/>
        <v>0</v>
      </c>
      <c r="AX21" s="152">
        <f t="shared" si="12"/>
        <v>0</v>
      </c>
      <c r="AY21" s="153">
        <f t="shared" si="13"/>
        <v>0</v>
      </c>
      <c r="AZ21" s="153">
        <f t="shared" si="14"/>
        <v>0</v>
      </c>
      <c r="BA21" s="153">
        <f t="shared" si="15"/>
        <v>0</v>
      </c>
      <c r="BB21" s="153">
        <f t="shared" si="16"/>
        <v>0</v>
      </c>
      <c r="BC21" s="153">
        <f t="shared" si="17"/>
        <v>0</v>
      </c>
      <c r="BD21" s="153">
        <f t="shared" si="18"/>
        <v>0</v>
      </c>
      <c r="BE21" s="154">
        <f t="shared" si="19"/>
        <v>0</v>
      </c>
      <c r="BF21" s="133"/>
      <c r="BG21" s="48" t="s">
        <v>69</v>
      </c>
      <c r="BH21" s="49">
        <f>BH19*BH20+BH16</f>
        <v>12</v>
      </c>
      <c r="BI21" s="133"/>
      <c r="BJ21" s="133"/>
      <c r="BK21" s="133"/>
      <c r="BL21" s="133"/>
      <c r="BM21" s="133"/>
      <c r="BN21" s="139"/>
      <c r="BO21" s="139"/>
      <c r="BP21" s="139"/>
      <c r="BQ21" s="139"/>
      <c r="BR21" s="139"/>
      <c r="BS21" s="139"/>
      <c r="BT21" s="139"/>
      <c r="BU21" s="139"/>
      <c r="BV21" s="139"/>
      <c r="BW21" s="139"/>
      <c r="BX21" s="139"/>
      <c r="BY21" s="139"/>
      <c r="BZ21" s="139"/>
      <c r="CA21" s="139"/>
      <c r="CB21" s="139"/>
      <c r="CC21" s="133"/>
      <c r="CD21" s="133"/>
      <c r="CE21" s="168">
        <f t="shared" si="35"/>
        <v>0</v>
      </c>
      <c r="CF21" s="169">
        <f t="shared" si="36"/>
        <v>0</v>
      </c>
      <c r="CG21" s="169">
        <f t="shared" si="37"/>
        <v>0</v>
      </c>
      <c r="CH21" s="169">
        <f t="shared" si="38"/>
        <v>0</v>
      </c>
      <c r="CI21" s="169">
        <f t="shared" si="39"/>
        <v>0</v>
      </c>
      <c r="CJ21" s="169">
        <f t="shared" si="41"/>
        <v>0</v>
      </c>
      <c r="CK21" s="169">
        <f t="shared" si="42"/>
        <v>0</v>
      </c>
      <c r="CL21" s="169">
        <f t="shared" si="43"/>
        <v>0</v>
      </c>
      <c r="CM21" s="171">
        <f t="shared" si="44"/>
        <v>0</v>
      </c>
      <c r="CN21" s="171">
        <f t="shared" si="45"/>
        <v>0</v>
      </c>
      <c r="CO21" s="171">
        <f t="shared" si="46"/>
        <v>0</v>
      </c>
      <c r="CP21" s="171">
        <f t="shared" si="47"/>
        <v>0</v>
      </c>
      <c r="CQ21" s="171">
        <f t="shared" si="48"/>
        <v>0</v>
      </c>
      <c r="CR21" s="171">
        <f t="shared" si="49"/>
        <v>0</v>
      </c>
      <c r="CS21" s="172">
        <f t="shared" si="50"/>
        <v>0</v>
      </c>
    </row>
    <row r="22" spans="1:97" ht="17.25" customHeight="1" thickBot="1" x14ac:dyDescent="0.35">
      <c r="A22" s="144"/>
      <c r="B22" s="145"/>
      <c r="C22" s="145"/>
      <c r="D22" s="146"/>
      <c r="E22" s="146"/>
      <c r="F22" s="4"/>
      <c r="G22" s="4"/>
      <c r="H22" s="3"/>
      <c r="I22" s="127">
        <f t="shared" si="3"/>
        <v>0</v>
      </c>
      <c r="J22" s="3"/>
      <c r="K22" s="3"/>
      <c r="L22" s="4"/>
      <c r="M22" s="4"/>
      <c r="N22" s="111">
        <f t="shared" si="4"/>
        <v>0</v>
      </c>
      <c r="O22" s="170"/>
      <c r="P22" s="147"/>
      <c r="R22" s="24" t="s">
        <v>70</v>
      </c>
      <c r="S22" s="21"/>
      <c r="T22" s="21"/>
      <c r="U22" s="21"/>
      <c r="Z22" s="167">
        <f t="array" ref="Z22">IF(Z$1=0,"",SQRT((_xlfn.XLOOKUP(Z$1,$R$2:$R$18,$S$2:$S$18)-$L22)^2+(_xlfn.XLOOKUP(Z$1,$R$2:$R$18,$T$2:$T$18)-$M22)^2+(_xlfn.XLOOKUP(Z$1,$R$2:$R$18,$U$2:$U$18-$N22)^2)))</f>
        <v>98.29525370026775</v>
      </c>
      <c r="AA22" s="149">
        <f t="array" ref="AA22">IF(AA$1=0,"",SQRT((_xlfn.XLOOKUP(AA$1,$R$2:$R$18,$S$2:$S$18)-$L22)^2+(_xlfn.XLOOKUP(AA$1,$R$2:$R$18,$T$2:$T$18)-$M22)^2+(_xlfn.XLOOKUP(AA$1,$R$2:$R$18,$U$2:$U$18-$N22)^2)))</f>
        <v>3.28</v>
      </c>
      <c r="AB22" s="149" t="str">
        <f t="array" ref="AB22">IF(AB$1=0,"",SQRT((_xlfn.XLOOKUP(AB$1,$R$2:$R$18,$S$2:$S$18)-$L22)^2+(_xlfn.XLOOKUP(AB$1,$R$2:$R$18,$T$2:$T$18)-$M22)^2+(_xlfn.XLOOKUP(AB$1,$R$2:$R$18,$U$2:$U$18-$N22)^2)))</f>
        <v/>
      </c>
      <c r="AC22" s="149" t="str">
        <f t="array" ref="AC22">IF(AC$1=0,"",SQRT((_xlfn.XLOOKUP(AC$1,$R$2:$R$18,$S$2:$S$18)-$L22)^2+(_xlfn.XLOOKUP(AC$1,$R$2:$R$18,$T$2:$T$18)-$M22)^2+(_xlfn.XLOOKUP(AC$1,$R$2:$R$18,$U$2:$U$18-$N22)^2)))</f>
        <v/>
      </c>
      <c r="AD22" s="149" t="str">
        <f t="array" ref="AD22">IF(AD$1=0,"",SQRT((_xlfn.XLOOKUP(AD$1,$R$2:$R$18,$S$2:$S$18)-$L22)^2+(_xlfn.XLOOKUP(AD$1,$R$2:$R$18,$T$2:$T$18)-$M22)^2+(_xlfn.XLOOKUP(AD$1,$R$2:$R$18,$U$2:$U$18-$N22)^2)))</f>
        <v/>
      </c>
      <c r="AE22" s="149" t="str">
        <f t="array" ref="AE22">IF(AE$1=0,"",SQRT((_xlfn.XLOOKUP(AE$1,$R$2:$R$18,$S$2:$S$18)-$L22)^2+(_xlfn.XLOOKUP(AE$1,$R$2:$R$18,$T$2:$T$18)-$M22)^2+(_xlfn.XLOOKUP(AE$1,$R$2:$R$18,$U$2:$U$18-$N22)^2)))</f>
        <v/>
      </c>
      <c r="AF22" s="149" t="str">
        <f t="array" ref="AF22">IF(AF$1=0,"",SQRT((_xlfn.XLOOKUP(AF$1,$R$2:$R$18,$S$2:$S$18)-$L22)^2+(_xlfn.XLOOKUP(AF$1,$R$2:$R$18,$T$2:$T$18)-$M22)^2+(_xlfn.XLOOKUP(AF$1,$R$2:$R$18,$U$2:$U$18-$N22)^2)))</f>
        <v/>
      </c>
      <c r="AG22" s="149" t="str">
        <f t="array" ref="AG22">IF(AG$1=0,"",SQRT((_xlfn.XLOOKUP(AG$1,$R$2:$R$18,$S$2:$S$18)-$L22)^2+(_xlfn.XLOOKUP(AG$1,$R$2:$R$18,$T$2:$T$18)-$M22)^2+(_xlfn.XLOOKUP(AG$1,$R$2:$R$18,$U$2:$U$18-$N22)^2)))</f>
        <v/>
      </c>
      <c r="AH22" s="150" t="str">
        <f t="array" ref="AH22">IF(AH$1=0,"",SQRT((_xlfn.XLOOKUP(AH$1,$R$2:$R$18,$S$2:$S$18)-$L22)^2+(_xlfn.XLOOKUP(AH$1,$R$2:$R$18,$T$2:$T$18)-$M22)^2+(_xlfn.XLOOKUP(AH$1,$R$2:$R$18,$U$2:$U$18-$N22)^2)))</f>
        <v/>
      </c>
      <c r="AI22" s="150" t="str">
        <f t="array" ref="AI22">IF(AI$1=0,"",SQRT((_xlfn.XLOOKUP(AI$1,$R$2:$R$18,$S$2:$S$18)-$L22)^2+(_xlfn.XLOOKUP(AI$1,$R$2:$R$18,$T$2:$T$18)-$M22)^2+(_xlfn.XLOOKUP(AI$1,$R$2:$R$18,$U$2:$U$18-$N22)^2)))</f>
        <v/>
      </c>
      <c r="AJ22" s="150" t="str">
        <f t="array" ref="AJ22">IF(AJ$1=0,"",SQRT((_xlfn.XLOOKUP(AJ$1,$R$2:$R$18,$S$2:$S$18)-$L22)^2+(_xlfn.XLOOKUP(AJ$1,$R$2:$R$18,$T$2:$T$18)-$M22)^2+(_xlfn.XLOOKUP(AJ$1,$R$2:$R$18,$U$2:$U$18-$N22)^2)))</f>
        <v/>
      </c>
      <c r="AK22" s="150" t="str">
        <f t="array" ref="AK22">IF(AK$1=0,"",SQRT((_xlfn.XLOOKUP(AK$1,$R$2:$R$18,$S$2:$S$18)-$L22)^2+(_xlfn.XLOOKUP(AK$1,$R$2:$R$18,$T$2:$T$18)-$M22)^2+(_xlfn.XLOOKUP(AK$1,$R$2:$R$18,$U$2:$U$18-$N22)^2)))</f>
        <v/>
      </c>
      <c r="AL22" s="150" t="str">
        <f t="array" ref="AL22">IF(AL$1=0,"",SQRT((_xlfn.XLOOKUP(AL$1,$R$2:$R$18,$S$2:$S$18)-$L22)^2+(_xlfn.XLOOKUP(AL$1,$R$2:$R$18,$T$2:$T$18)-$M22)^2+(_xlfn.XLOOKUP(AL$1,$R$2:$R$18,$U$2:$U$18-$N22)^2)))</f>
        <v/>
      </c>
      <c r="AM22" s="150" t="str">
        <f t="array" ref="AM22">IF(AM$1=0,"",SQRT((_xlfn.XLOOKUP(AM$1,$R$2:$R$18,$S$2:$S$18)-$L22)^2+(_xlfn.XLOOKUP(AM$1,$R$2:$R$18,$T$2:$T$18)-$M22)^2+(_xlfn.XLOOKUP(AM$1,$R$2:$R$18,$U$2:$U$18-$N22)^2)))</f>
        <v/>
      </c>
      <c r="AN22" s="151" t="str">
        <f t="array" ref="AN22">IF(AN$1=0,"",SQRT((_xlfn.XLOOKUP(AN$1,$R$2:$R$18,$S$2:$S$18)-$L22)^2+(_xlfn.XLOOKUP(AN$1,$R$2:$R$18,$T$2:$T$18)-$M22)^2+(_xlfn.XLOOKUP(AN$1,$R$2:$R$18,$U$2:$U$18-$N22)^2)))</f>
        <v/>
      </c>
      <c r="AO22" s="133"/>
      <c r="AP22" s="133"/>
      <c r="AQ22" s="134">
        <f t="shared" si="5"/>
        <v>0</v>
      </c>
      <c r="AR22" s="152">
        <f t="shared" si="6"/>
        <v>0</v>
      </c>
      <c r="AS22" s="152">
        <f t="shared" si="7"/>
        <v>0</v>
      </c>
      <c r="AT22" s="152">
        <f t="shared" si="8"/>
        <v>0</v>
      </c>
      <c r="AU22" s="152">
        <f t="shared" si="9"/>
        <v>0</v>
      </c>
      <c r="AV22" s="152">
        <f t="shared" si="10"/>
        <v>0</v>
      </c>
      <c r="AW22" s="152">
        <f t="shared" si="11"/>
        <v>0</v>
      </c>
      <c r="AX22" s="152">
        <f t="shared" si="12"/>
        <v>0</v>
      </c>
      <c r="AY22" s="153">
        <f t="shared" si="13"/>
        <v>0</v>
      </c>
      <c r="AZ22" s="153">
        <f t="shared" si="14"/>
        <v>0</v>
      </c>
      <c r="BA22" s="153">
        <f t="shared" si="15"/>
        <v>0</v>
      </c>
      <c r="BB22" s="153">
        <f t="shared" si="16"/>
        <v>0</v>
      </c>
      <c r="BC22" s="153">
        <f t="shared" si="17"/>
        <v>0</v>
      </c>
      <c r="BD22" s="153">
        <f t="shared" si="18"/>
        <v>0</v>
      </c>
      <c r="BE22" s="154">
        <f t="shared" si="19"/>
        <v>0</v>
      </c>
      <c r="BF22" s="133"/>
      <c r="BG22" s="21" t="s">
        <v>71</v>
      </c>
      <c r="BH22" s="21"/>
      <c r="BI22" s="133"/>
      <c r="BJ22" s="133"/>
      <c r="BK22" s="133"/>
      <c r="BL22" s="133"/>
      <c r="BM22" s="133"/>
      <c r="BN22" s="139"/>
      <c r="BO22" s="139"/>
      <c r="BP22" s="139"/>
      <c r="BQ22" s="139"/>
      <c r="BR22" s="139"/>
      <c r="BS22" s="139"/>
      <c r="BT22" s="139"/>
      <c r="BU22" s="139"/>
      <c r="BV22" s="139"/>
      <c r="BW22" s="139"/>
      <c r="BX22" s="139"/>
      <c r="BY22" s="139"/>
      <c r="BZ22" s="139"/>
      <c r="CA22" s="139"/>
      <c r="CB22" s="139"/>
      <c r="CC22" s="133"/>
      <c r="CD22" s="133"/>
      <c r="CE22" s="168">
        <f t="shared" si="35"/>
        <v>0</v>
      </c>
      <c r="CF22" s="169">
        <f t="shared" si="36"/>
        <v>0</v>
      </c>
      <c r="CG22" s="169">
        <f t="shared" si="37"/>
        <v>0</v>
      </c>
      <c r="CH22" s="169">
        <f t="shared" si="38"/>
        <v>0</v>
      </c>
      <c r="CI22" s="169">
        <f t="shared" si="39"/>
        <v>0</v>
      </c>
      <c r="CJ22" s="169">
        <f t="shared" si="41"/>
        <v>0</v>
      </c>
      <c r="CK22" s="169">
        <f t="shared" si="42"/>
        <v>0</v>
      </c>
      <c r="CL22" s="169">
        <f t="shared" si="43"/>
        <v>0</v>
      </c>
      <c r="CM22" s="171">
        <f t="shared" si="44"/>
        <v>0</v>
      </c>
      <c r="CN22" s="171">
        <f t="shared" si="45"/>
        <v>0</v>
      </c>
      <c r="CO22" s="171">
        <f t="shared" si="46"/>
        <v>0</v>
      </c>
      <c r="CP22" s="171">
        <f t="shared" si="47"/>
        <v>0</v>
      </c>
      <c r="CQ22" s="171">
        <f t="shared" si="48"/>
        <v>0</v>
      </c>
      <c r="CR22" s="171">
        <f t="shared" si="49"/>
        <v>0</v>
      </c>
      <c r="CS22" s="172">
        <f t="shared" si="50"/>
        <v>0</v>
      </c>
    </row>
    <row r="23" spans="1:97" ht="17.25" customHeight="1" thickBot="1" x14ac:dyDescent="0.35">
      <c r="A23" s="144"/>
      <c r="B23" s="145"/>
      <c r="C23" s="145"/>
      <c r="D23" s="146"/>
      <c r="E23" s="146"/>
      <c r="F23" s="4"/>
      <c r="G23" s="4"/>
      <c r="H23" s="3"/>
      <c r="I23" s="127">
        <f t="shared" si="3"/>
        <v>0</v>
      </c>
      <c r="J23" s="3"/>
      <c r="K23" s="3"/>
      <c r="L23" s="4"/>
      <c r="M23" s="4"/>
      <c r="N23" s="111">
        <f t="shared" si="4"/>
        <v>0</v>
      </c>
      <c r="O23" s="170"/>
      <c r="P23" s="147"/>
      <c r="R23" s="24"/>
      <c r="S23" s="52" t="s">
        <v>72</v>
      </c>
      <c r="T23" s="52" t="s">
        <v>73</v>
      </c>
      <c r="U23" s="53" t="s">
        <v>74</v>
      </c>
      <c r="V23" s="52" t="s">
        <v>75</v>
      </c>
      <c r="W23" s="52" t="s">
        <v>76</v>
      </c>
      <c r="X23" s="53" t="s">
        <v>77</v>
      </c>
      <c r="Z23" s="167">
        <f t="array" ref="Z23">IF(Z$1=0,"",SQRT((_xlfn.XLOOKUP(Z$1,$R$2:$R$18,$S$2:$S$18)-$L23)^2+(_xlfn.XLOOKUP(Z$1,$R$2:$R$18,$T$2:$T$18)-$M23)^2+(_xlfn.XLOOKUP(Z$1,$R$2:$R$18,$U$2:$U$18-$N23)^2)))</f>
        <v>98.29525370026775</v>
      </c>
      <c r="AA23" s="149">
        <f t="array" ref="AA23">IF(AA$1=0,"",SQRT((_xlfn.XLOOKUP(AA$1,$R$2:$R$18,$S$2:$S$18)-$L23)^2+(_xlfn.XLOOKUP(AA$1,$R$2:$R$18,$T$2:$T$18)-$M23)^2+(_xlfn.XLOOKUP(AA$1,$R$2:$R$18,$U$2:$U$18-$N23)^2)))</f>
        <v>3.28</v>
      </c>
      <c r="AB23" s="149" t="str">
        <f t="array" ref="AB23">IF(AB$1=0,"",SQRT((_xlfn.XLOOKUP(AB$1,$R$2:$R$18,$S$2:$S$18)-$L23)^2+(_xlfn.XLOOKUP(AB$1,$R$2:$R$18,$T$2:$T$18)-$M23)^2+(_xlfn.XLOOKUP(AB$1,$R$2:$R$18,$U$2:$U$18-$N23)^2)))</f>
        <v/>
      </c>
      <c r="AC23" s="149" t="str">
        <f t="array" ref="AC23">IF(AC$1=0,"",SQRT((_xlfn.XLOOKUP(AC$1,$R$2:$R$18,$S$2:$S$18)-$L23)^2+(_xlfn.XLOOKUP(AC$1,$R$2:$R$18,$T$2:$T$18)-$M23)^2+(_xlfn.XLOOKUP(AC$1,$R$2:$R$18,$U$2:$U$18-$N23)^2)))</f>
        <v/>
      </c>
      <c r="AD23" s="149" t="str">
        <f t="array" ref="AD23">IF(AD$1=0,"",SQRT((_xlfn.XLOOKUP(AD$1,$R$2:$R$18,$S$2:$S$18)-$L23)^2+(_xlfn.XLOOKUP(AD$1,$R$2:$R$18,$T$2:$T$18)-$M23)^2+(_xlfn.XLOOKUP(AD$1,$R$2:$R$18,$U$2:$U$18-$N23)^2)))</f>
        <v/>
      </c>
      <c r="AE23" s="149" t="str">
        <f t="array" ref="AE23">IF(AE$1=0,"",SQRT((_xlfn.XLOOKUP(AE$1,$R$2:$R$18,$S$2:$S$18)-$L23)^2+(_xlfn.XLOOKUP(AE$1,$R$2:$R$18,$T$2:$T$18)-$M23)^2+(_xlfn.XLOOKUP(AE$1,$R$2:$R$18,$U$2:$U$18-$N23)^2)))</f>
        <v/>
      </c>
      <c r="AF23" s="149" t="str">
        <f t="array" ref="AF23">IF(AF$1=0,"",SQRT((_xlfn.XLOOKUP(AF$1,$R$2:$R$18,$S$2:$S$18)-$L23)^2+(_xlfn.XLOOKUP(AF$1,$R$2:$R$18,$T$2:$T$18)-$M23)^2+(_xlfn.XLOOKUP(AF$1,$R$2:$R$18,$U$2:$U$18-$N23)^2)))</f>
        <v/>
      </c>
      <c r="AG23" s="149" t="str">
        <f t="array" ref="AG23">IF(AG$1=0,"",SQRT((_xlfn.XLOOKUP(AG$1,$R$2:$R$18,$S$2:$S$18)-$L23)^2+(_xlfn.XLOOKUP(AG$1,$R$2:$R$18,$T$2:$T$18)-$M23)^2+(_xlfn.XLOOKUP(AG$1,$R$2:$R$18,$U$2:$U$18-$N23)^2)))</f>
        <v/>
      </c>
      <c r="AH23" s="150" t="str">
        <f t="array" ref="AH23">IF(AH$1=0,"",SQRT((_xlfn.XLOOKUP(AH$1,$R$2:$R$18,$S$2:$S$18)-$L23)^2+(_xlfn.XLOOKUP(AH$1,$R$2:$R$18,$T$2:$T$18)-$M23)^2+(_xlfn.XLOOKUP(AH$1,$R$2:$R$18,$U$2:$U$18-$N23)^2)))</f>
        <v/>
      </c>
      <c r="AI23" s="150" t="str">
        <f t="array" ref="AI23">IF(AI$1=0,"",SQRT((_xlfn.XLOOKUP(AI$1,$R$2:$R$18,$S$2:$S$18)-$L23)^2+(_xlfn.XLOOKUP(AI$1,$R$2:$R$18,$T$2:$T$18)-$M23)^2+(_xlfn.XLOOKUP(AI$1,$R$2:$R$18,$U$2:$U$18-$N23)^2)))</f>
        <v/>
      </c>
      <c r="AJ23" s="150" t="str">
        <f t="array" ref="AJ23">IF(AJ$1=0,"",SQRT((_xlfn.XLOOKUP(AJ$1,$R$2:$R$18,$S$2:$S$18)-$L23)^2+(_xlfn.XLOOKUP(AJ$1,$R$2:$R$18,$T$2:$T$18)-$M23)^2+(_xlfn.XLOOKUP(AJ$1,$R$2:$R$18,$U$2:$U$18-$N23)^2)))</f>
        <v/>
      </c>
      <c r="AK23" s="150" t="str">
        <f t="array" ref="AK23">IF(AK$1=0,"",SQRT((_xlfn.XLOOKUP(AK$1,$R$2:$R$18,$S$2:$S$18)-$L23)^2+(_xlfn.XLOOKUP(AK$1,$R$2:$R$18,$T$2:$T$18)-$M23)^2+(_xlfn.XLOOKUP(AK$1,$R$2:$R$18,$U$2:$U$18-$N23)^2)))</f>
        <v/>
      </c>
      <c r="AL23" s="150" t="str">
        <f t="array" ref="AL23">IF(AL$1=0,"",SQRT((_xlfn.XLOOKUP(AL$1,$R$2:$R$18,$S$2:$S$18)-$L23)^2+(_xlfn.XLOOKUP(AL$1,$R$2:$R$18,$T$2:$T$18)-$M23)^2+(_xlfn.XLOOKUP(AL$1,$R$2:$R$18,$U$2:$U$18-$N23)^2)))</f>
        <v/>
      </c>
      <c r="AM23" s="150" t="str">
        <f t="array" ref="AM23">IF(AM$1=0,"",SQRT((_xlfn.XLOOKUP(AM$1,$R$2:$R$18,$S$2:$S$18)-$L23)^2+(_xlfn.XLOOKUP(AM$1,$R$2:$R$18,$T$2:$T$18)-$M23)^2+(_xlfn.XLOOKUP(AM$1,$R$2:$R$18,$U$2:$U$18-$N23)^2)))</f>
        <v/>
      </c>
      <c r="AN23" s="151" t="str">
        <f t="array" ref="AN23">IF(AN$1=0,"",SQRT((_xlfn.XLOOKUP(AN$1,$R$2:$R$18,$S$2:$S$18)-$L23)^2+(_xlfn.XLOOKUP(AN$1,$R$2:$R$18,$T$2:$T$18)-$M23)^2+(_xlfn.XLOOKUP(AN$1,$R$2:$R$18,$U$2:$U$18-$N23)^2)))</f>
        <v/>
      </c>
      <c r="AO23" s="133"/>
      <c r="AP23" s="133"/>
      <c r="AQ23" s="134">
        <f t="shared" si="5"/>
        <v>0</v>
      </c>
      <c r="AR23" s="152">
        <f t="shared" si="6"/>
        <v>0</v>
      </c>
      <c r="AS23" s="152">
        <f t="shared" si="7"/>
        <v>0</v>
      </c>
      <c r="AT23" s="152">
        <f t="shared" si="8"/>
        <v>0</v>
      </c>
      <c r="AU23" s="152">
        <f t="shared" si="9"/>
        <v>0</v>
      </c>
      <c r="AV23" s="152">
        <f t="shared" si="10"/>
        <v>0</v>
      </c>
      <c r="AW23" s="152">
        <f t="shared" si="11"/>
        <v>0</v>
      </c>
      <c r="AX23" s="152">
        <f t="shared" si="12"/>
        <v>0</v>
      </c>
      <c r="AY23" s="153">
        <f t="shared" si="13"/>
        <v>0</v>
      </c>
      <c r="AZ23" s="153">
        <f t="shared" si="14"/>
        <v>0</v>
      </c>
      <c r="BA23" s="153">
        <f t="shared" si="15"/>
        <v>0</v>
      </c>
      <c r="BB23" s="153">
        <f t="shared" si="16"/>
        <v>0</v>
      </c>
      <c r="BC23" s="153">
        <f t="shared" si="17"/>
        <v>0</v>
      </c>
      <c r="BD23" s="153">
        <f t="shared" si="18"/>
        <v>0</v>
      </c>
      <c r="BE23" s="154">
        <f t="shared" si="19"/>
        <v>0</v>
      </c>
      <c r="BF23" s="133"/>
      <c r="BG23" s="133"/>
      <c r="BH23" s="133"/>
      <c r="BI23" s="133"/>
      <c r="BJ23" s="133"/>
      <c r="BK23" s="133"/>
      <c r="BL23" s="133"/>
      <c r="BM23" s="133"/>
      <c r="BN23" s="139"/>
      <c r="BO23" s="139"/>
      <c r="BP23" s="139"/>
      <c r="BQ23" s="139"/>
      <c r="BR23" s="139"/>
      <c r="BS23" s="139"/>
      <c r="BT23" s="139"/>
      <c r="BU23" s="139"/>
      <c r="BV23" s="139"/>
      <c r="BW23" s="139"/>
      <c r="BX23" s="139"/>
      <c r="BY23" s="139"/>
      <c r="BZ23" s="139"/>
      <c r="CA23" s="139"/>
      <c r="CB23" s="139"/>
      <c r="CC23" s="133"/>
      <c r="CD23" s="133"/>
      <c r="CE23" s="168">
        <f t="shared" si="35"/>
        <v>0</v>
      </c>
      <c r="CF23" s="169">
        <f t="shared" si="36"/>
        <v>0</v>
      </c>
      <c r="CG23" s="169">
        <f t="shared" si="37"/>
        <v>0</v>
      </c>
      <c r="CH23" s="169">
        <f t="shared" si="38"/>
        <v>0</v>
      </c>
      <c r="CI23" s="169">
        <f t="shared" si="39"/>
        <v>0</v>
      </c>
      <c r="CJ23" s="169">
        <f t="shared" si="41"/>
        <v>0</v>
      </c>
      <c r="CK23" s="169">
        <f t="shared" si="42"/>
        <v>0</v>
      </c>
      <c r="CL23" s="169">
        <f t="shared" si="43"/>
        <v>0</v>
      </c>
      <c r="CM23" s="171">
        <f t="shared" si="44"/>
        <v>0</v>
      </c>
      <c r="CN23" s="171">
        <f t="shared" si="45"/>
        <v>0</v>
      </c>
      <c r="CO23" s="171">
        <f t="shared" si="46"/>
        <v>0</v>
      </c>
      <c r="CP23" s="171">
        <f t="shared" si="47"/>
        <v>0</v>
      </c>
      <c r="CQ23" s="171">
        <f t="shared" si="48"/>
        <v>0</v>
      </c>
      <c r="CR23" s="171">
        <f t="shared" si="49"/>
        <v>0</v>
      </c>
      <c r="CS23" s="172">
        <f t="shared" si="50"/>
        <v>0</v>
      </c>
    </row>
    <row r="24" spans="1:97" ht="16.5" customHeight="1" x14ac:dyDescent="0.3">
      <c r="A24" s="144"/>
      <c r="B24" s="145"/>
      <c r="C24" s="145"/>
      <c r="D24" s="146"/>
      <c r="E24" s="146"/>
      <c r="F24" s="4"/>
      <c r="G24" s="4"/>
      <c r="H24" s="3"/>
      <c r="I24" s="127">
        <f t="shared" si="3"/>
        <v>0</v>
      </c>
      <c r="J24" s="3"/>
      <c r="K24" s="3"/>
      <c r="L24" s="4"/>
      <c r="M24" s="4"/>
      <c r="N24" s="111">
        <f t="shared" si="4"/>
        <v>0</v>
      </c>
      <c r="O24" s="170"/>
      <c r="P24" s="147"/>
      <c r="R24" s="117" t="s">
        <v>78</v>
      </c>
      <c r="S24" s="114">
        <v>1</v>
      </c>
      <c r="T24" s="107">
        <v>2</v>
      </c>
      <c r="U24" s="108">
        <v>3</v>
      </c>
      <c r="V24" s="107">
        <v>1</v>
      </c>
      <c r="W24" s="107">
        <v>314</v>
      </c>
      <c r="X24" s="108">
        <v>1243</v>
      </c>
      <c r="Z24" s="167">
        <f t="array" ref="Z24">IF(Z$1=0,"",SQRT((_xlfn.XLOOKUP(Z$1,$R$2:$R$18,$S$2:$S$18)-$L24)^2+(_xlfn.XLOOKUP(Z$1,$R$2:$R$18,$T$2:$T$18)-$M24)^2+(_xlfn.XLOOKUP(Z$1,$R$2:$R$18,$U$2:$U$18-$N24)^2)))</f>
        <v>98.29525370026775</v>
      </c>
      <c r="AA24" s="149">
        <f t="array" ref="AA24">IF(AA$1=0,"",SQRT((_xlfn.XLOOKUP(AA$1,$R$2:$R$18,$S$2:$S$18)-$L24)^2+(_xlfn.XLOOKUP(AA$1,$R$2:$R$18,$T$2:$T$18)-$M24)^2+(_xlfn.XLOOKUP(AA$1,$R$2:$R$18,$U$2:$U$18-$N24)^2)))</f>
        <v>3.28</v>
      </c>
      <c r="AB24" s="149" t="str">
        <f t="array" ref="AB24">IF(AB$1=0,"",SQRT((_xlfn.XLOOKUP(AB$1,$R$2:$R$18,$S$2:$S$18)-$L24)^2+(_xlfn.XLOOKUP(AB$1,$R$2:$R$18,$T$2:$T$18)-$M24)^2+(_xlfn.XLOOKUP(AB$1,$R$2:$R$18,$U$2:$U$18-$N24)^2)))</f>
        <v/>
      </c>
      <c r="AC24" s="149" t="str">
        <f t="array" ref="AC24">IF(AC$1=0,"",SQRT((_xlfn.XLOOKUP(AC$1,$R$2:$R$18,$S$2:$S$18)-$L24)^2+(_xlfn.XLOOKUP(AC$1,$R$2:$R$18,$T$2:$T$18)-$M24)^2+(_xlfn.XLOOKUP(AC$1,$R$2:$R$18,$U$2:$U$18-$N24)^2)))</f>
        <v/>
      </c>
      <c r="AD24" s="149" t="str">
        <f t="array" ref="AD24">IF(AD$1=0,"",SQRT((_xlfn.XLOOKUP(AD$1,$R$2:$R$18,$S$2:$S$18)-$L24)^2+(_xlfn.XLOOKUP(AD$1,$R$2:$R$18,$T$2:$T$18)-$M24)^2+(_xlfn.XLOOKUP(AD$1,$R$2:$R$18,$U$2:$U$18-$N24)^2)))</f>
        <v/>
      </c>
      <c r="AE24" s="149" t="str">
        <f t="array" ref="AE24">IF(AE$1=0,"",SQRT((_xlfn.XLOOKUP(AE$1,$R$2:$R$18,$S$2:$S$18)-$L24)^2+(_xlfn.XLOOKUP(AE$1,$R$2:$R$18,$T$2:$T$18)-$M24)^2+(_xlfn.XLOOKUP(AE$1,$R$2:$R$18,$U$2:$U$18-$N24)^2)))</f>
        <v/>
      </c>
      <c r="AF24" s="149" t="str">
        <f t="array" ref="AF24">IF(AF$1=0,"",SQRT((_xlfn.XLOOKUP(AF$1,$R$2:$R$18,$S$2:$S$18)-$L24)^2+(_xlfn.XLOOKUP(AF$1,$R$2:$R$18,$T$2:$T$18)-$M24)^2+(_xlfn.XLOOKUP(AF$1,$R$2:$R$18,$U$2:$U$18-$N24)^2)))</f>
        <v/>
      </c>
      <c r="AG24" s="149" t="str">
        <f t="array" ref="AG24">IF(AG$1=0,"",SQRT((_xlfn.XLOOKUP(AG$1,$R$2:$R$18,$S$2:$S$18)-$L24)^2+(_xlfn.XLOOKUP(AG$1,$R$2:$R$18,$T$2:$T$18)-$M24)^2+(_xlfn.XLOOKUP(AG$1,$R$2:$R$18,$U$2:$U$18-$N24)^2)))</f>
        <v/>
      </c>
      <c r="AH24" s="150" t="str">
        <f t="array" ref="AH24">IF(AH$1=0,"",SQRT((_xlfn.XLOOKUP(AH$1,$R$2:$R$18,$S$2:$S$18)-$L24)^2+(_xlfn.XLOOKUP(AH$1,$R$2:$R$18,$T$2:$T$18)-$M24)^2+(_xlfn.XLOOKUP(AH$1,$R$2:$R$18,$U$2:$U$18-$N24)^2)))</f>
        <v/>
      </c>
      <c r="AI24" s="150" t="str">
        <f t="array" ref="AI24">IF(AI$1=0,"",SQRT((_xlfn.XLOOKUP(AI$1,$R$2:$R$18,$S$2:$S$18)-$L24)^2+(_xlfn.XLOOKUP(AI$1,$R$2:$R$18,$T$2:$T$18)-$M24)^2+(_xlfn.XLOOKUP(AI$1,$R$2:$R$18,$U$2:$U$18-$N24)^2)))</f>
        <v/>
      </c>
      <c r="AJ24" s="150" t="str">
        <f t="array" ref="AJ24">IF(AJ$1=0,"",SQRT((_xlfn.XLOOKUP(AJ$1,$R$2:$R$18,$S$2:$S$18)-$L24)^2+(_xlfn.XLOOKUP(AJ$1,$R$2:$R$18,$T$2:$T$18)-$M24)^2+(_xlfn.XLOOKUP(AJ$1,$R$2:$R$18,$U$2:$U$18-$N24)^2)))</f>
        <v/>
      </c>
      <c r="AK24" s="150" t="str">
        <f t="array" ref="AK24">IF(AK$1=0,"",SQRT((_xlfn.XLOOKUP(AK$1,$R$2:$R$18,$S$2:$S$18)-$L24)^2+(_xlfn.XLOOKUP(AK$1,$R$2:$R$18,$T$2:$T$18)-$M24)^2+(_xlfn.XLOOKUP(AK$1,$R$2:$R$18,$U$2:$U$18-$N24)^2)))</f>
        <v/>
      </c>
      <c r="AL24" s="150" t="str">
        <f t="array" ref="AL24">IF(AL$1=0,"",SQRT((_xlfn.XLOOKUP(AL$1,$R$2:$R$18,$S$2:$S$18)-$L24)^2+(_xlfn.XLOOKUP(AL$1,$R$2:$R$18,$T$2:$T$18)-$M24)^2+(_xlfn.XLOOKUP(AL$1,$R$2:$R$18,$U$2:$U$18-$N24)^2)))</f>
        <v/>
      </c>
      <c r="AM24" s="150" t="str">
        <f t="array" ref="AM24">IF(AM$1=0,"",SQRT((_xlfn.XLOOKUP(AM$1,$R$2:$R$18,$S$2:$S$18)-$L24)^2+(_xlfn.XLOOKUP(AM$1,$R$2:$R$18,$T$2:$T$18)-$M24)^2+(_xlfn.XLOOKUP(AM$1,$R$2:$R$18,$U$2:$U$18-$N24)^2)))</f>
        <v/>
      </c>
      <c r="AN24" s="151" t="str">
        <f t="array" ref="AN24">IF(AN$1=0,"",SQRT((_xlfn.XLOOKUP(AN$1,$R$2:$R$18,$S$2:$S$18)-$L24)^2+(_xlfn.XLOOKUP(AN$1,$R$2:$R$18,$T$2:$T$18)-$M24)^2+(_xlfn.XLOOKUP(AN$1,$R$2:$R$18,$U$2:$U$18-$N24)^2)))</f>
        <v/>
      </c>
      <c r="AO24" s="133"/>
      <c r="AP24" s="133"/>
      <c r="AQ24" s="134">
        <f t="shared" si="5"/>
        <v>0</v>
      </c>
      <c r="AR24" s="152">
        <f t="shared" si="6"/>
        <v>0</v>
      </c>
      <c r="AS24" s="152">
        <f t="shared" si="7"/>
        <v>0</v>
      </c>
      <c r="AT24" s="152">
        <f t="shared" si="8"/>
        <v>0</v>
      </c>
      <c r="AU24" s="152">
        <f t="shared" si="9"/>
        <v>0</v>
      </c>
      <c r="AV24" s="152">
        <f t="shared" si="10"/>
        <v>0</v>
      </c>
      <c r="AW24" s="152">
        <f t="shared" si="11"/>
        <v>0</v>
      </c>
      <c r="AX24" s="152">
        <f t="shared" si="12"/>
        <v>0</v>
      </c>
      <c r="AY24" s="153">
        <f t="shared" si="13"/>
        <v>0</v>
      </c>
      <c r="AZ24" s="153">
        <f t="shared" si="14"/>
        <v>0</v>
      </c>
      <c r="BA24" s="153">
        <f t="shared" si="15"/>
        <v>0</v>
      </c>
      <c r="BB24" s="153">
        <f t="shared" si="16"/>
        <v>0</v>
      </c>
      <c r="BC24" s="153">
        <f t="shared" si="17"/>
        <v>0</v>
      </c>
      <c r="BD24" s="153">
        <f t="shared" si="18"/>
        <v>0</v>
      </c>
      <c r="BE24" s="154">
        <f t="shared" si="19"/>
        <v>0</v>
      </c>
      <c r="BF24" s="133"/>
      <c r="BG24" s="133"/>
      <c r="BH24" s="133"/>
      <c r="BI24" s="133"/>
      <c r="BJ24" s="133"/>
      <c r="BK24" s="133"/>
      <c r="BL24" s="133"/>
      <c r="BM24" s="133"/>
      <c r="BN24" s="139"/>
      <c r="BO24" s="139"/>
      <c r="BP24" s="139"/>
      <c r="BQ24" s="139"/>
      <c r="BR24" s="139"/>
      <c r="BS24" s="139"/>
      <c r="BT24" s="139"/>
      <c r="BU24" s="139"/>
      <c r="BV24" s="139"/>
      <c r="BW24" s="139"/>
      <c r="BX24" s="139"/>
      <c r="BY24" s="139"/>
      <c r="BZ24" s="139"/>
      <c r="CA24" s="139"/>
      <c r="CB24" s="139"/>
      <c r="CC24" s="133"/>
      <c r="CD24" s="133"/>
      <c r="CE24" s="168">
        <f t="shared" si="35"/>
        <v>0</v>
      </c>
      <c r="CF24" s="169">
        <f t="shared" si="36"/>
        <v>0</v>
      </c>
      <c r="CG24" s="169">
        <f t="shared" si="37"/>
        <v>0</v>
      </c>
      <c r="CH24" s="169">
        <f t="shared" si="38"/>
        <v>0</v>
      </c>
      <c r="CI24" s="169">
        <f t="shared" si="39"/>
        <v>0</v>
      </c>
      <c r="CJ24" s="169">
        <f t="shared" si="41"/>
        <v>0</v>
      </c>
      <c r="CK24" s="169">
        <f t="shared" si="42"/>
        <v>0</v>
      </c>
      <c r="CL24" s="169">
        <f t="shared" si="43"/>
        <v>0</v>
      </c>
      <c r="CM24" s="171">
        <f t="shared" si="44"/>
        <v>0</v>
      </c>
      <c r="CN24" s="171">
        <f t="shared" si="45"/>
        <v>0</v>
      </c>
      <c r="CO24" s="171">
        <f t="shared" si="46"/>
        <v>0</v>
      </c>
      <c r="CP24" s="171">
        <f t="shared" si="47"/>
        <v>0</v>
      </c>
      <c r="CQ24" s="171">
        <f t="shared" si="48"/>
        <v>0</v>
      </c>
      <c r="CR24" s="171">
        <f t="shared" si="49"/>
        <v>0</v>
      </c>
      <c r="CS24" s="172">
        <f t="shared" si="50"/>
        <v>0</v>
      </c>
    </row>
    <row r="25" spans="1:97" ht="16.5" customHeight="1" x14ac:dyDescent="0.3">
      <c r="A25" s="144"/>
      <c r="B25" s="145"/>
      <c r="C25" s="145"/>
      <c r="D25" s="146"/>
      <c r="E25" s="146"/>
      <c r="F25" s="4"/>
      <c r="G25" s="4"/>
      <c r="H25" s="3"/>
      <c r="I25" s="127">
        <f t="shared" si="3"/>
        <v>0</v>
      </c>
      <c r="J25" s="3"/>
      <c r="K25" s="3"/>
      <c r="L25" s="4"/>
      <c r="M25" s="4"/>
      <c r="N25" s="111">
        <f t="shared" si="4"/>
        <v>0</v>
      </c>
      <c r="O25" s="170"/>
      <c r="P25" s="147"/>
      <c r="R25" s="118" t="s">
        <v>79</v>
      </c>
      <c r="S25" s="115">
        <v>47</v>
      </c>
      <c r="T25" s="54">
        <v>82</v>
      </c>
      <c r="U25" s="55">
        <v>12</v>
      </c>
      <c r="V25" s="54">
        <v>67</v>
      </c>
      <c r="W25" s="54">
        <v>85</v>
      </c>
      <c r="X25" s="55">
        <v>12</v>
      </c>
      <c r="Z25" s="167">
        <f t="array" ref="Z25">IF(Z$1=0,"",SQRT((_xlfn.XLOOKUP(Z$1,$R$2:$R$18,$S$2:$S$18)-$L25)^2+(_xlfn.XLOOKUP(Z$1,$R$2:$R$18,$T$2:$T$18)-$M25)^2+(_xlfn.XLOOKUP(Z$1,$R$2:$R$18,$U$2:$U$18-$N25)^2)))</f>
        <v>98.29525370026775</v>
      </c>
      <c r="AA25" s="149">
        <f t="array" ref="AA25">IF(AA$1=0,"",SQRT((_xlfn.XLOOKUP(AA$1,$R$2:$R$18,$S$2:$S$18)-$L25)^2+(_xlfn.XLOOKUP(AA$1,$R$2:$R$18,$T$2:$T$18)-$M25)^2+(_xlfn.XLOOKUP(AA$1,$R$2:$R$18,$U$2:$U$18-$N25)^2)))</f>
        <v>3.28</v>
      </c>
      <c r="AB25" s="149" t="str">
        <f t="array" ref="AB25">IF(AB$1=0,"",SQRT((_xlfn.XLOOKUP(AB$1,$R$2:$R$18,$S$2:$S$18)-$L25)^2+(_xlfn.XLOOKUP(AB$1,$R$2:$R$18,$T$2:$T$18)-$M25)^2+(_xlfn.XLOOKUP(AB$1,$R$2:$R$18,$U$2:$U$18-$N25)^2)))</f>
        <v/>
      </c>
      <c r="AC25" s="149" t="str">
        <f t="array" ref="AC25">IF(AC$1=0,"",SQRT((_xlfn.XLOOKUP(AC$1,$R$2:$R$18,$S$2:$S$18)-$L25)^2+(_xlfn.XLOOKUP(AC$1,$R$2:$R$18,$T$2:$T$18)-$M25)^2+(_xlfn.XLOOKUP(AC$1,$R$2:$R$18,$U$2:$U$18-$N25)^2)))</f>
        <v/>
      </c>
      <c r="AD25" s="149" t="str">
        <f t="array" ref="AD25">IF(AD$1=0,"",SQRT((_xlfn.XLOOKUP(AD$1,$R$2:$R$18,$S$2:$S$18)-$L25)^2+(_xlfn.XLOOKUP(AD$1,$R$2:$R$18,$T$2:$T$18)-$M25)^2+(_xlfn.XLOOKUP(AD$1,$R$2:$R$18,$U$2:$U$18-$N25)^2)))</f>
        <v/>
      </c>
      <c r="AE25" s="149" t="str">
        <f t="array" ref="AE25">IF(AE$1=0,"",SQRT((_xlfn.XLOOKUP(AE$1,$R$2:$R$18,$S$2:$S$18)-$L25)^2+(_xlfn.XLOOKUP(AE$1,$R$2:$R$18,$T$2:$T$18)-$M25)^2+(_xlfn.XLOOKUP(AE$1,$R$2:$R$18,$U$2:$U$18-$N25)^2)))</f>
        <v/>
      </c>
      <c r="AF25" s="149" t="str">
        <f t="array" ref="AF25">IF(AF$1=0,"",SQRT((_xlfn.XLOOKUP(AF$1,$R$2:$R$18,$S$2:$S$18)-$L25)^2+(_xlfn.XLOOKUP(AF$1,$R$2:$R$18,$T$2:$T$18)-$M25)^2+(_xlfn.XLOOKUP(AF$1,$R$2:$R$18,$U$2:$U$18-$N25)^2)))</f>
        <v/>
      </c>
      <c r="AG25" s="149" t="str">
        <f t="array" ref="AG25">IF(AG$1=0,"",SQRT((_xlfn.XLOOKUP(AG$1,$R$2:$R$18,$S$2:$S$18)-$L25)^2+(_xlfn.XLOOKUP(AG$1,$R$2:$R$18,$T$2:$T$18)-$M25)^2+(_xlfn.XLOOKUP(AG$1,$R$2:$R$18,$U$2:$U$18-$N25)^2)))</f>
        <v/>
      </c>
      <c r="AH25" s="150" t="str">
        <f t="array" ref="AH25">IF(AH$1=0,"",SQRT((_xlfn.XLOOKUP(AH$1,$R$2:$R$18,$S$2:$S$18)-$L25)^2+(_xlfn.XLOOKUP(AH$1,$R$2:$R$18,$T$2:$T$18)-$M25)^2+(_xlfn.XLOOKUP(AH$1,$R$2:$R$18,$U$2:$U$18-$N25)^2)))</f>
        <v/>
      </c>
      <c r="AI25" s="150" t="str">
        <f t="array" ref="AI25">IF(AI$1=0,"",SQRT((_xlfn.XLOOKUP(AI$1,$R$2:$R$18,$S$2:$S$18)-$L25)^2+(_xlfn.XLOOKUP(AI$1,$R$2:$R$18,$T$2:$T$18)-$M25)^2+(_xlfn.XLOOKUP(AI$1,$R$2:$R$18,$U$2:$U$18-$N25)^2)))</f>
        <v/>
      </c>
      <c r="AJ25" s="150" t="str">
        <f t="array" ref="AJ25">IF(AJ$1=0,"",SQRT((_xlfn.XLOOKUP(AJ$1,$R$2:$R$18,$S$2:$S$18)-$L25)^2+(_xlfn.XLOOKUP(AJ$1,$R$2:$R$18,$T$2:$T$18)-$M25)^2+(_xlfn.XLOOKUP(AJ$1,$R$2:$R$18,$U$2:$U$18-$N25)^2)))</f>
        <v/>
      </c>
      <c r="AK25" s="150" t="str">
        <f t="array" ref="AK25">IF(AK$1=0,"",SQRT((_xlfn.XLOOKUP(AK$1,$R$2:$R$18,$S$2:$S$18)-$L25)^2+(_xlfn.XLOOKUP(AK$1,$R$2:$R$18,$T$2:$T$18)-$M25)^2+(_xlfn.XLOOKUP(AK$1,$R$2:$R$18,$U$2:$U$18-$N25)^2)))</f>
        <v/>
      </c>
      <c r="AL25" s="150" t="str">
        <f t="array" ref="AL25">IF(AL$1=0,"",SQRT((_xlfn.XLOOKUP(AL$1,$R$2:$R$18,$S$2:$S$18)-$L25)^2+(_xlfn.XLOOKUP(AL$1,$R$2:$R$18,$T$2:$T$18)-$M25)^2+(_xlfn.XLOOKUP(AL$1,$R$2:$R$18,$U$2:$U$18-$N25)^2)))</f>
        <v/>
      </c>
      <c r="AM25" s="150" t="str">
        <f t="array" ref="AM25">IF(AM$1=0,"",SQRT((_xlfn.XLOOKUP(AM$1,$R$2:$R$18,$S$2:$S$18)-$L25)^2+(_xlfn.XLOOKUP(AM$1,$R$2:$R$18,$T$2:$T$18)-$M25)^2+(_xlfn.XLOOKUP(AM$1,$R$2:$R$18,$U$2:$U$18-$N25)^2)))</f>
        <v/>
      </c>
      <c r="AN25" s="151" t="str">
        <f t="array" ref="AN25">IF(AN$1=0,"",SQRT((_xlfn.XLOOKUP(AN$1,$R$2:$R$18,$S$2:$S$18)-$L25)^2+(_xlfn.XLOOKUP(AN$1,$R$2:$R$18,$T$2:$T$18)-$M25)^2+(_xlfn.XLOOKUP(AN$1,$R$2:$R$18,$U$2:$U$18-$N25)^2)))</f>
        <v/>
      </c>
      <c r="AO25" s="133"/>
      <c r="AP25" s="133"/>
      <c r="AQ25" s="134">
        <f t="shared" si="5"/>
        <v>0</v>
      </c>
      <c r="AR25" s="152">
        <f t="shared" si="6"/>
        <v>0</v>
      </c>
      <c r="AS25" s="152">
        <f t="shared" si="7"/>
        <v>0</v>
      </c>
      <c r="AT25" s="152">
        <f t="shared" si="8"/>
        <v>0</v>
      </c>
      <c r="AU25" s="152">
        <f t="shared" si="9"/>
        <v>0</v>
      </c>
      <c r="AV25" s="152">
        <f t="shared" si="10"/>
        <v>0</v>
      </c>
      <c r="AW25" s="152">
        <f t="shared" si="11"/>
        <v>0</v>
      </c>
      <c r="AX25" s="152">
        <f t="shared" si="12"/>
        <v>0</v>
      </c>
      <c r="AY25" s="153">
        <f t="shared" si="13"/>
        <v>0</v>
      </c>
      <c r="AZ25" s="153">
        <f t="shared" si="14"/>
        <v>0</v>
      </c>
      <c r="BA25" s="153">
        <f t="shared" si="15"/>
        <v>0</v>
      </c>
      <c r="BB25" s="153">
        <f t="shared" si="16"/>
        <v>0</v>
      </c>
      <c r="BC25" s="153">
        <f t="shared" si="17"/>
        <v>0</v>
      </c>
      <c r="BD25" s="153">
        <f t="shared" si="18"/>
        <v>0</v>
      </c>
      <c r="BE25" s="154">
        <f t="shared" si="19"/>
        <v>0</v>
      </c>
      <c r="BF25" s="133"/>
      <c r="BG25" s="133"/>
      <c r="BH25" s="133"/>
      <c r="BI25" s="133"/>
      <c r="BJ25" s="133"/>
      <c r="BK25" s="133"/>
      <c r="BL25" s="133"/>
      <c r="BM25" s="133"/>
      <c r="BN25" s="139"/>
      <c r="BO25" s="139"/>
      <c r="BP25" s="139"/>
      <c r="BQ25" s="139"/>
      <c r="BR25" s="139"/>
      <c r="BS25" s="139"/>
      <c r="BT25" s="139"/>
      <c r="BU25" s="139"/>
      <c r="BV25" s="139"/>
      <c r="BW25" s="139"/>
      <c r="BX25" s="139"/>
      <c r="BY25" s="139"/>
      <c r="BZ25" s="139"/>
      <c r="CA25" s="139"/>
      <c r="CB25" s="139"/>
      <c r="CC25" s="133"/>
      <c r="CD25" s="133"/>
      <c r="CE25" s="168">
        <f t="shared" si="35"/>
        <v>0</v>
      </c>
      <c r="CF25" s="169">
        <f t="shared" si="36"/>
        <v>0</v>
      </c>
      <c r="CG25" s="169">
        <f t="shared" si="37"/>
        <v>0</v>
      </c>
      <c r="CH25" s="169">
        <f t="shared" si="38"/>
        <v>0</v>
      </c>
      <c r="CI25" s="169">
        <f t="shared" si="39"/>
        <v>0</v>
      </c>
      <c r="CJ25" s="169">
        <f t="shared" si="41"/>
        <v>0</v>
      </c>
      <c r="CK25" s="169">
        <f t="shared" si="42"/>
        <v>0</v>
      </c>
      <c r="CL25" s="169">
        <f t="shared" si="43"/>
        <v>0</v>
      </c>
      <c r="CM25" s="171">
        <f t="shared" si="44"/>
        <v>0</v>
      </c>
      <c r="CN25" s="171">
        <f t="shared" si="45"/>
        <v>0</v>
      </c>
      <c r="CO25" s="171">
        <f t="shared" si="46"/>
        <v>0</v>
      </c>
      <c r="CP25" s="171">
        <f t="shared" si="47"/>
        <v>0</v>
      </c>
      <c r="CQ25" s="171">
        <f t="shared" si="48"/>
        <v>0</v>
      </c>
      <c r="CR25" s="171">
        <f t="shared" si="49"/>
        <v>0</v>
      </c>
      <c r="CS25" s="172">
        <f t="shared" si="50"/>
        <v>0</v>
      </c>
    </row>
    <row r="26" spans="1:97" ht="16.5" customHeight="1" x14ac:dyDescent="0.3">
      <c r="A26" s="144"/>
      <c r="B26" s="145"/>
      <c r="C26" s="145"/>
      <c r="D26" s="146"/>
      <c r="E26" s="146"/>
      <c r="F26" s="4"/>
      <c r="G26" s="4"/>
      <c r="H26" s="3"/>
      <c r="I26" s="127">
        <f t="shared" si="3"/>
        <v>0</v>
      </c>
      <c r="J26" s="3"/>
      <c r="K26" s="3"/>
      <c r="L26" s="4"/>
      <c r="M26" s="4"/>
      <c r="N26" s="111">
        <f t="shared" si="4"/>
        <v>0</v>
      </c>
      <c r="O26" s="170"/>
      <c r="P26" s="147"/>
      <c r="R26" s="118"/>
      <c r="S26" s="115"/>
      <c r="T26" s="54"/>
      <c r="U26" s="55"/>
      <c r="V26" s="54"/>
      <c r="W26" s="54"/>
      <c r="X26" s="55"/>
      <c r="Z26" s="167">
        <f t="array" ref="Z26">IF(Z$1=0,"",SQRT((_xlfn.XLOOKUP(Z$1,$R$2:$R$18,$S$2:$S$18)-$L26)^2+(_xlfn.XLOOKUP(Z$1,$R$2:$R$18,$T$2:$T$18)-$M26)^2+(_xlfn.XLOOKUP(Z$1,$R$2:$R$18,$U$2:$U$18-$N26)^2)))</f>
        <v>98.29525370026775</v>
      </c>
      <c r="AA26" s="149">
        <f t="array" ref="AA26">IF(AA$1=0,"",SQRT((_xlfn.XLOOKUP(AA$1,$R$2:$R$18,$S$2:$S$18)-$L26)^2+(_xlfn.XLOOKUP(AA$1,$R$2:$R$18,$T$2:$T$18)-$M26)^2+(_xlfn.XLOOKUP(AA$1,$R$2:$R$18,$U$2:$U$18-$N26)^2)))</f>
        <v>3.28</v>
      </c>
      <c r="AB26" s="149" t="str">
        <f t="array" ref="AB26">IF(AB$1=0,"",SQRT((_xlfn.XLOOKUP(AB$1,$R$2:$R$18,$S$2:$S$18)-$L26)^2+(_xlfn.XLOOKUP(AB$1,$R$2:$R$18,$T$2:$T$18)-$M26)^2+(_xlfn.XLOOKUP(AB$1,$R$2:$R$18,$U$2:$U$18-$N26)^2)))</f>
        <v/>
      </c>
      <c r="AC26" s="149" t="str">
        <f t="array" ref="AC26">IF(AC$1=0,"",SQRT((_xlfn.XLOOKUP(AC$1,$R$2:$R$18,$S$2:$S$18)-$L26)^2+(_xlfn.XLOOKUP(AC$1,$R$2:$R$18,$T$2:$T$18)-$M26)^2+(_xlfn.XLOOKUP(AC$1,$R$2:$R$18,$U$2:$U$18-$N26)^2)))</f>
        <v/>
      </c>
      <c r="AD26" s="149" t="str">
        <f t="array" ref="AD26">IF(AD$1=0,"",SQRT((_xlfn.XLOOKUP(AD$1,$R$2:$R$18,$S$2:$S$18)-$L26)^2+(_xlfn.XLOOKUP(AD$1,$R$2:$R$18,$T$2:$T$18)-$M26)^2+(_xlfn.XLOOKUP(AD$1,$R$2:$R$18,$U$2:$U$18-$N26)^2)))</f>
        <v/>
      </c>
      <c r="AE26" s="149" t="str">
        <f t="array" ref="AE26">IF(AE$1=0,"",SQRT((_xlfn.XLOOKUP(AE$1,$R$2:$R$18,$S$2:$S$18)-$L26)^2+(_xlfn.XLOOKUP(AE$1,$R$2:$R$18,$T$2:$T$18)-$M26)^2+(_xlfn.XLOOKUP(AE$1,$R$2:$R$18,$U$2:$U$18-$N26)^2)))</f>
        <v/>
      </c>
      <c r="AF26" s="149" t="str">
        <f t="array" ref="AF26">IF(AF$1=0,"",SQRT((_xlfn.XLOOKUP(AF$1,$R$2:$R$18,$S$2:$S$18)-$L26)^2+(_xlfn.XLOOKUP(AF$1,$R$2:$R$18,$T$2:$T$18)-$M26)^2+(_xlfn.XLOOKUP(AF$1,$R$2:$R$18,$U$2:$U$18-$N26)^2)))</f>
        <v/>
      </c>
      <c r="AG26" s="149" t="str">
        <f t="array" ref="AG26">IF(AG$1=0,"",SQRT((_xlfn.XLOOKUP(AG$1,$R$2:$R$18,$S$2:$S$18)-$L26)^2+(_xlfn.XLOOKUP(AG$1,$R$2:$R$18,$T$2:$T$18)-$M26)^2+(_xlfn.XLOOKUP(AG$1,$R$2:$R$18,$U$2:$U$18-$N26)^2)))</f>
        <v/>
      </c>
      <c r="AH26" s="150" t="str">
        <f t="array" ref="AH26">IF(AH$1=0,"",SQRT((_xlfn.XLOOKUP(AH$1,$R$2:$R$18,$S$2:$S$18)-$L26)^2+(_xlfn.XLOOKUP(AH$1,$R$2:$R$18,$T$2:$T$18)-$M26)^2+(_xlfn.XLOOKUP(AH$1,$R$2:$R$18,$U$2:$U$18-$N26)^2)))</f>
        <v/>
      </c>
      <c r="AI26" s="150" t="str">
        <f t="array" ref="AI26">IF(AI$1=0,"",SQRT((_xlfn.XLOOKUP(AI$1,$R$2:$R$18,$S$2:$S$18)-$L26)^2+(_xlfn.XLOOKUP(AI$1,$R$2:$R$18,$T$2:$T$18)-$M26)^2+(_xlfn.XLOOKUP(AI$1,$R$2:$R$18,$U$2:$U$18-$N26)^2)))</f>
        <v/>
      </c>
      <c r="AJ26" s="150" t="str">
        <f t="array" ref="AJ26">IF(AJ$1=0,"",SQRT((_xlfn.XLOOKUP(AJ$1,$R$2:$R$18,$S$2:$S$18)-$L26)^2+(_xlfn.XLOOKUP(AJ$1,$R$2:$R$18,$T$2:$T$18)-$M26)^2+(_xlfn.XLOOKUP(AJ$1,$R$2:$R$18,$U$2:$U$18-$N26)^2)))</f>
        <v/>
      </c>
      <c r="AK26" s="150" t="str">
        <f t="array" ref="AK26">IF(AK$1=0,"",SQRT((_xlfn.XLOOKUP(AK$1,$R$2:$R$18,$S$2:$S$18)-$L26)^2+(_xlfn.XLOOKUP(AK$1,$R$2:$R$18,$T$2:$T$18)-$M26)^2+(_xlfn.XLOOKUP(AK$1,$R$2:$R$18,$U$2:$U$18-$N26)^2)))</f>
        <v/>
      </c>
      <c r="AL26" s="150" t="str">
        <f t="array" ref="AL26">IF(AL$1=0,"",SQRT((_xlfn.XLOOKUP(AL$1,$R$2:$R$18,$S$2:$S$18)-$L26)^2+(_xlfn.XLOOKUP(AL$1,$R$2:$R$18,$T$2:$T$18)-$M26)^2+(_xlfn.XLOOKUP(AL$1,$R$2:$R$18,$U$2:$U$18-$N26)^2)))</f>
        <v/>
      </c>
      <c r="AM26" s="150" t="str">
        <f t="array" ref="AM26">IF(AM$1=0,"",SQRT((_xlfn.XLOOKUP(AM$1,$R$2:$R$18,$S$2:$S$18)-$L26)^2+(_xlfn.XLOOKUP(AM$1,$R$2:$R$18,$T$2:$T$18)-$M26)^2+(_xlfn.XLOOKUP(AM$1,$R$2:$R$18,$U$2:$U$18-$N26)^2)))</f>
        <v/>
      </c>
      <c r="AN26" s="151" t="str">
        <f t="array" ref="AN26">IF(AN$1=0,"",SQRT((_xlfn.XLOOKUP(AN$1,$R$2:$R$18,$S$2:$S$18)-$L26)^2+(_xlfn.XLOOKUP(AN$1,$R$2:$R$18,$T$2:$T$18)-$M26)^2+(_xlfn.XLOOKUP(AN$1,$R$2:$R$18,$U$2:$U$18-$N26)^2)))</f>
        <v/>
      </c>
      <c r="AO26" s="133"/>
      <c r="AP26" s="133"/>
      <c r="AQ26" s="134">
        <f t="shared" si="5"/>
        <v>0</v>
      </c>
      <c r="AR26" s="152">
        <f t="shared" si="6"/>
        <v>0</v>
      </c>
      <c r="AS26" s="152">
        <f t="shared" si="7"/>
        <v>0</v>
      </c>
      <c r="AT26" s="152">
        <f t="shared" si="8"/>
        <v>0</v>
      </c>
      <c r="AU26" s="152">
        <f t="shared" si="9"/>
        <v>0</v>
      </c>
      <c r="AV26" s="152">
        <f t="shared" si="10"/>
        <v>0</v>
      </c>
      <c r="AW26" s="152">
        <f t="shared" si="11"/>
        <v>0</v>
      </c>
      <c r="AX26" s="152">
        <f t="shared" si="12"/>
        <v>0</v>
      </c>
      <c r="AY26" s="153">
        <f t="shared" si="13"/>
        <v>0</v>
      </c>
      <c r="AZ26" s="153">
        <f t="shared" si="14"/>
        <v>0</v>
      </c>
      <c r="BA26" s="153">
        <f t="shared" si="15"/>
        <v>0</v>
      </c>
      <c r="BB26" s="153">
        <f t="shared" si="16"/>
        <v>0</v>
      </c>
      <c r="BC26" s="153">
        <f t="shared" si="17"/>
        <v>0</v>
      </c>
      <c r="BD26" s="153">
        <f t="shared" si="18"/>
        <v>0</v>
      </c>
      <c r="BE26" s="154">
        <f t="shared" si="19"/>
        <v>0</v>
      </c>
      <c r="BF26" s="133"/>
      <c r="BG26" s="21"/>
      <c r="BH26" s="37" t="s">
        <v>45</v>
      </c>
      <c r="BI26" s="37" t="s">
        <v>80</v>
      </c>
      <c r="BJ26" s="21" t="str">
        <f>"Path-Length Difference (L) = " &amp;ROUND('Input LwA_XYZ'!BH12,1) &amp;" ft"</f>
        <v>Path-Length Difference (L) = 5.4 ft</v>
      </c>
      <c r="BL26" s="133"/>
      <c r="BM26" s="133"/>
      <c r="BN26" s="139"/>
      <c r="BO26" s="139"/>
      <c r="BP26" s="139"/>
      <c r="BQ26" s="139"/>
      <c r="BR26" s="139"/>
      <c r="BS26" s="139"/>
      <c r="BT26" s="139"/>
      <c r="BU26" s="139"/>
      <c r="BV26" s="139"/>
      <c r="BW26" s="139"/>
      <c r="BX26" s="139"/>
      <c r="BY26" s="139"/>
      <c r="BZ26" s="139"/>
      <c r="CA26" s="139"/>
      <c r="CB26" s="139"/>
      <c r="CC26" s="133"/>
      <c r="CD26" s="133"/>
      <c r="CE26" s="168">
        <f t="shared" si="35"/>
        <v>0</v>
      </c>
      <c r="CF26" s="169">
        <f t="shared" si="36"/>
        <v>0</v>
      </c>
      <c r="CG26" s="169">
        <f t="shared" si="37"/>
        <v>0</v>
      </c>
      <c r="CH26" s="169">
        <f t="shared" si="38"/>
        <v>0</v>
      </c>
      <c r="CI26" s="169">
        <f t="shared" si="39"/>
        <v>0</v>
      </c>
      <c r="CJ26" s="169">
        <f t="shared" si="41"/>
        <v>0</v>
      </c>
      <c r="CK26" s="169">
        <f t="shared" si="42"/>
        <v>0</v>
      </c>
      <c r="CL26" s="169">
        <f t="shared" si="43"/>
        <v>0</v>
      </c>
      <c r="CM26" s="171">
        <f t="shared" si="44"/>
        <v>0</v>
      </c>
      <c r="CN26" s="171">
        <f t="shared" si="45"/>
        <v>0</v>
      </c>
      <c r="CO26" s="171">
        <f t="shared" si="46"/>
        <v>0</v>
      </c>
      <c r="CP26" s="171">
        <f t="shared" si="47"/>
        <v>0</v>
      </c>
      <c r="CQ26" s="171">
        <f t="shared" si="48"/>
        <v>0</v>
      </c>
      <c r="CR26" s="171">
        <f t="shared" si="49"/>
        <v>0</v>
      </c>
      <c r="CS26" s="172">
        <f t="shared" si="50"/>
        <v>0</v>
      </c>
    </row>
    <row r="27" spans="1:97" ht="16.5" customHeight="1" x14ac:dyDescent="0.3">
      <c r="A27" s="144"/>
      <c r="B27" s="145"/>
      <c r="C27" s="145"/>
      <c r="D27" s="146"/>
      <c r="E27" s="146"/>
      <c r="F27" s="4"/>
      <c r="G27" s="4"/>
      <c r="H27" s="3"/>
      <c r="I27" s="127">
        <f t="shared" si="3"/>
        <v>0</v>
      </c>
      <c r="J27" s="3"/>
      <c r="K27" s="3"/>
      <c r="L27" s="4"/>
      <c r="M27" s="4"/>
      <c r="N27" s="111">
        <f t="shared" si="4"/>
        <v>0</v>
      </c>
      <c r="O27" s="170"/>
      <c r="P27" s="147"/>
      <c r="R27" s="117"/>
      <c r="S27" s="114"/>
      <c r="T27" s="107"/>
      <c r="U27" s="108"/>
      <c r="V27" s="107"/>
      <c r="W27" s="107"/>
      <c r="X27" s="108"/>
      <c r="Z27" s="167">
        <f t="array" ref="Z27">IF(Z$1=0,"",SQRT((_xlfn.XLOOKUP(Z$1,$R$2:$R$18,$S$2:$S$18)-$L27)^2+(_xlfn.XLOOKUP(Z$1,$R$2:$R$18,$T$2:$T$18)-$M27)^2+(_xlfn.XLOOKUP(Z$1,$R$2:$R$18,$U$2:$U$18-$N27)^2)))</f>
        <v>98.29525370026775</v>
      </c>
      <c r="AA27" s="149">
        <f t="array" ref="AA27">IF(AA$1=0,"",SQRT((_xlfn.XLOOKUP(AA$1,$R$2:$R$18,$S$2:$S$18)-$L27)^2+(_xlfn.XLOOKUP(AA$1,$R$2:$R$18,$T$2:$T$18)-$M27)^2+(_xlfn.XLOOKUP(AA$1,$R$2:$R$18,$U$2:$U$18-$N27)^2)))</f>
        <v>3.28</v>
      </c>
      <c r="AB27" s="149" t="str">
        <f t="array" ref="AB27">IF(AB$1=0,"",SQRT((_xlfn.XLOOKUP(AB$1,$R$2:$R$18,$S$2:$S$18)-$L27)^2+(_xlfn.XLOOKUP(AB$1,$R$2:$R$18,$T$2:$T$18)-$M27)^2+(_xlfn.XLOOKUP(AB$1,$R$2:$R$18,$U$2:$U$18-$N27)^2)))</f>
        <v/>
      </c>
      <c r="AC27" s="149" t="str">
        <f t="array" ref="AC27">IF(AC$1=0,"",SQRT((_xlfn.XLOOKUP(AC$1,$R$2:$R$18,$S$2:$S$18)-$L27)^2+(_xlfn.XLOOKUP(AC$1,$R$2:$R$18,$T$2:$T$18)-$M27)^2+(_xlfn.XLOOKUP(AC$1,$R$2:$R$18,$U$2:$U$18-$N27)^2)))</f>
        <v/>
      </c>
      <c r="AD27" s="149" t="str">
        <f t="array" ref="AD27">IF(AD$1=0,"",SQRT((_xlfn.XLOOKUP(AD$1,$R$2:$R$18,$S$2:$S$18)-$L27)^2+(_xlfn.XLOOKUP(AD$1,$R$2:$R$18,$T$2:$T$18)-$M27)^2+(_xlfn.XLOOKUP(AD$1,$R$2:$R$18,$U$2:$U$18-$N27)^2)))</f>
        <v/>
      </c>
      <c r="AE27" s="149" t="str">
        <f t="array" ref="AE27">IF(AE$1=0,"",SQRT((_xlfn.XLOOKUP(AE$1,$R$2:$R$18,$S$2:$S$18)-$L27)^2+(_xlfn.XLOOKUP(AE$1,$R$2:$R$18,$T$2:$T$18)-$M27)^2+(_xlfn.XLOOKUP(AE$1,$R$2:$R$18,$U$2:$U$18-$N27)^2)))</f>
        <v/>
      </c>
      <c r="AF27" s="149" t="str">
        <f t="array" ref="AF27">IF(AF$1=0,"",SQRT((_xlfn.XLOOKUP(AF$1,$R$2:$R$18,$S$2:$S$18)-$L27)^2+(_xlfn.XLOOKUP(AF$1,$R$2:$R$18,$T$2:$T$18)-$M27)^2+(_xlfn.XLOOKUP(AF$1,$R$2:$R$18,$U$2:$U$18-$N27)^2)))</f>
        <v/>
      </c>
      <c r="AG27" s="149" t="str">
        <f t="array" ref="AG27">IF(AG$1=0,"",SQRT((_xlfn.XLOOKUP(AG$1,$R$2:$R$18,$S$2:$S$18)-$L27)^2+(_xlfn.XLOOKUP(AG$1,$R$2:$R$18,$T$2:$T$18)-$M27)^2+(_xlfn.XLOOKUP(AG$1,$R$2:$R$18,$U$2:$U$18-$N27)^2)))</f>
        <v/>
      </c>
      <c r="AH27" s="150" t="str">
        <f t="array" ref="AH27">IF(AH$1=0,"",SQRT((_xlfn.XLOOKUP(AH$1,$R$2:$R$18,$S$2:$S$18)-$L27)^2+(_xlfn.XLOOKUP(AH$1,$R$2:$R$18,$T$2:$T$18)-$M27)^2+(_xlfn.XLOOKUP(AH$1,$R$2:$R$18,$U$2:$U$18-$N27)^2)))</f>
        <v/>
      </c>
      <c r="AI27" s="150" t="str">
        <f t="array" ref="AI27">IF(AI$1=0,"",SQRT((_xlfn.XLOOKUP(AI$1,$R$2:$R$18,$S$2:$S$18)-$L27)^2+(_xlfn.XLOOKUP(AI$1,$R$2:$R$18,$T$2:$T$18)-$M27)^2+(_xlfn.XLOOKUP(AI$1,$R$2:$R$18,$U$2:$U$18-$N27)^2)))</f>
        <v/>
      </c>
      <c r="AJ27" s="150" t="str">
        <f t="array" ref="AJ27">IF(AJ$1=0,"",SQRT((_xlfn.XLOOKUP(AJ$1,$R$2:$R$18,$S$2:$S$18)-$L27)^2+(_xlfn.XLOOKUP(AJ$1,$R$2:$R$18,$T$2:$T$18)-$M27)^2+(_xlfn.XLOOKUP(AJ$1,$R$2:$R$18,$U$2:$U$18-$N27)^2)))</f>
        <v/>
      </c>
      <c r="AK27" s="150" t="str">
        <f t="array" ref="AK27">IF(AK$1=0,"",SQRT((_xlfn.XLOOKUP(AK$1,$R$2:$R$18,$S$2:$S$18)-$L27)^2+(_xlfn.XLOOKUP(AK$1,$R$2:$R$18,$T$2:$T$18)-$M27)^2+(_xlfn.XLOOKUP(AK$1,$R$2:$R$18,$U$2:$U$18-$N27)^2)))</f>
        <v/>
      </c>
      <c r="AL27" s="150" t="str">
        <f t="array" ref="AL27">IF(AL$1=0,"",SQRT((_xlfn.XLOOKUP(AL$1,$R$2:$R$18,$S$2:$S$18)-$L27)^2+(_xlfn.XLOOKUP(AL$1,$R$2:$R$18,$T$2:$T$18)-$M27)^2+(_xlfn.XLOOKUP(AL$1,$R$2:$R$18,$U$2:$U$18-$N27)^2)))</f>
        <v/>
      </c>
      <c r="AM27" s="150" t="str">
        <f t="array" ref="AM27">IF(AM$1=0,"",SQRT((_xlfn.XLOOKUP(AM$1,$R$2:$R$18,$S$2:$S$18)-$L27)^2+(_xlfn.XLOOKUP(AM$1,$R$2:$R$18,$T$2:$T$18)-$M27)^2+(_xlfn.XLOOKUP(AM$1,$R$2:$R$18,$U$2:$U$18-$N27)^2)))</f>
        <v/>
      </c>
      <c r="AN27" s="151" t="str">
        <f t="array" ref="AN27">IF(AN$1=0,"",SQRT((_xlfn.XLOOKUP(AN$1,$R$2:$R$18,$S$2:$S$18)-$L27)^2+(_xlfn.XLOOKUP(AN$1,$R$2:$R$18,$T$2:$T$18)-$M27)^2+(_xlfn.XLOOKUP(AN$1,$R$2:$R$18,$U$2:$U$18-$N27)^2)))</f>
        <v/>
      </c>
      <c r="AO27" s="133"/>
      <c r="AP27" s="133"/>
      <c r="AQ27" s="134">
        <f t="shared" si="5"/>
        <v>0</v>
      </c>
      <c r="AR27" s="152">
        <f t="shared" si="6"/>
        <v>0</v>
      </c>
      <c r="AS27" s="152">
        <f t="shared" si="7"/>
        <v>0</v>
      </c>
      <c r="AT27" s="152">
        <f t="shared" si="8"/>
        <v>0</v>
      </c>
      <c r="AU27" s="152">
        <f t="shared" si="9"/>
        <v>0</v>
      </c>
      <c r="AV27" s="152">
        <f t="shared" si="10"/>
        <v>0</v>
      </c>
      <c r="AW27" s="152">
        <f t="shared" si="11"/>
        <v>0</v>
      </c>
      <c r="AX27" s="152">
        <f t="shared" si="12"/>
        <v>0</v>
      </c>
      <c r="AY27" s="153">
        <f t="shared" si="13"/>
        <v>0</v>
      </c>
      <c r="AZ27" s="153">
        <f t="shared" si="14"/>
        <v>0</v>
      </c>
      <c r="BA27" s="153">
        <f t="shared" si="15"/>
        <v>0</v>
      </c>
      <c r="BB27" s="153">
        <f t="shared" si="16"/>
        <v>0</v>
      </c>
      <c r="BC27" s="153">
        <f t="shared" si="17"/>
        <v>0</v>
      </c>
      <c r="BD27" s="153">
        <f t="shared" si="18"/>
        <v>0</v>
      </c>
      <c r="BE27" s="154">
        <f t="shared" si="19"/>
        <v>0</v>
      </c>
      <c r="BF27" s="133"/>
      <c r="BG27" s="40" t="s">
        <v>2</v>
      </c>
      <c r="BH27" s="21">
        <v>0</v>
      </c>
      <c r="BI27" s="21">
        <f>'Input LwA_XYZ'!BK4</f>
        <v>5.583333333333333</v>
      </c>
      <c r="BJ27" s="21" t="str">
        <f>"A = " &amp; ROUND('Input LwA_XYZ'!BH13,1) &amp; ", B = " &amp;ROUND('Input LwA_XYZ'!BH14,1) &amp;", D = " &amp;ROUND('Input LwA_XYZ'!BH11,1)</f>
        <v>A = 11.1, B = 8.9, D = 14.6</v>
      </c>
      <c r="BL27" s="133"/>
      <c r="BM27" s="133"/>
      <c r="BN27" s="139"/>
      <c r="BO27" s="139"/>
      <c r="BP27" s="139"/>
      <c r="BQ27" s="139"/>
      <c r="BR27" s="139"/>
      <c r="BS27" s="139"/>
      <c r="BT27" s="139"/>
      <c r="BU27" s="139"/>
      <c r="BV27" s="139"/>
      <c r="BW27" s="139"/>
      <c r="BX27" s="139"/>
      <c r="BY27" s="139"/>
      <c r="BZ27" s="139"/>
      <c r="CA27" s="139"/>
      <c r="CB27" s="139"/>
      <c r="CC27" s="133"/>
      <c r="CD27" s="133"/>
      <c r="CE27" s="168">
        <f t="shared" si="35"/>
        <v>0</v>
      </c>
      <c r="CF27" s="169">
        <f t="shared" si="36"/>
        <v>0</v>
      </c>
      <c r="CG27" s="169">
        <f t="shared" si="37"/>
        <v>0</v>
      </c>
      <c r="CH27" s="169">
        <f t="shared" si="38"/>
        <v>0</v>
      </c>
      <c r="CI27" s="169">
        <f t="shared" si="39"/>
        <v>0</v>
      </c>
      <c r="CJ27" s="169">
        <f t="shared" si="41"/>
        <v>0</v>
      </c>
      <c r="CK27" s="169">
        <f t="shared" si="42"/>
        <v>0</v>
      </c>
      <c r="CL27" s="169">
        <f t="shared" si="43"/>
        <v>0</v>
      </c>
      <c r="CM27" s="171">
        <f t="shared" si="44"/>
        <v>0</v>
      </c>
      <c r="CN27" s="171">
        <f t="shared" si="45"/>
        <v>0</v>
      </c>
      <c r="CO27" s="171">
        <f t="shared" si="46"/>
        <v>0</v>
      </c>
      <c r="CP27" s="171">
        <f t="shared" si="47"/>
        <v>0</v>
      </c>
      <c r="CQ27" s="171">
        <f t="shared" si="48"/>
        <v>0</v>
      </c>
      <c r="CR27" s="171">
        <f t="shared" si="49"/>
        <v>0</v>
      </c>
      <c r="CS27" s="172">
        <f t="shared" si="50"/>
        <v>0</v>
      </c>
    </row>
    <row r="28" spans="1:97" ht="16.5" customHeight="1" x14ac:dyDescent="0.3">
      <c r="A28" s="144"/>
      <c r="B28" s="145"/>
      <c r="C28" s="145"/>
      <c r="D28" s="146"/>
      <c r="E28" s="146"/>
      <c r="F28" s="4"/>
      <c r="G28" s="4"/>
      <c r="H28" s="3"/>
      <c r="I28" s="127">
        <f t="shared" si="3"/>
        <v>0</v>
      </c>
      <c r="J28" s="3"/>
      <c r="K28" s="3"/>
      <c r="L28" s="4"/>
      <c r="M28" s="4"/>
      <c r="N28" s="111">
        <f t="shared" si="4"/>
        <v>0</v>
      </c>
      <c r="O28" s="170"/>
      <c r="P28" s="147"/>
      <c r="R28" s="118"/>
      <c r="S28" s="115"/>
      <c r="T28" s="54"/>
      <c r="U28" s="55"/>
      <c r="V28" s="54"/>
      <c r="W28" s="54"/>
      <c r="X28" s="55"/>
      <c r="Z28" s="167">
        <f t="array" ref="Z28">IF(Z$1=0,"",SQRT((_xlfn.XLOOKUP(Z$1,$R$2:$R$18,$S$2:$S$18)-$L28)^2+(_xlfn.XLOOKUP(Z$1,$R$2:$R$18,$T$2:$T$18)-$M28)^2+(_xlfn.XLOOKUP(Z$1,$R$2:$R$18,$U$2:$U$18-$N28)^2)))</f>
        <v>98.29525370026775</v>
      </c>
      <c r="AA28" s="149">
        <f t="array" ref="AA28">IF(AA$1=0,"",SQRT((_xlfn.XLOOKUP(AA$1,$R$2:$R$18,$S$2:$S$18)-$L28)^2+(_xlfn.XLOOKUP(AA$1,$R$2:$R$18,$T$2:$T$18)-$M28)^2+(_xlfn.XLOOKUP(AA$1,$R$2:$R$18,$U$2:$U$18-$N28)^2)))</f>
        <v>3.28</v>
      </c>
      <c r="AB28" s="149" t="str">
        <f t="array" ref="AB28">IF(AB$1=0,"",SQRT((_xlfn.XLOOKUP(AB$1,$R$2:$R$18,$S$2:$S$18)-$L28)^2+(_xlfn.XLOOKUP(AB$1,$R$2:$R$18,$T$2:$T$18)-$M28)^2+(_xlfn.XLOOKUP(AB$1,$R$2:$R$18,$U$2:$U$18-$N28)^2)))</f>
        <v/>
      </c>
      <c r="AC28" s="149" t="str">
        <f t="array" ref="AC28">IF(AC$1=0,"",SQRT((_xlfn.XLOOKUP(AC$1,$R$2:$R$18,$S$2:$S$18)-$L28)^2+(_xlfn.XLOOKUP(AC$1,$R$2:$R$18,$T$2:$T$18)-$M28)^2+(_xlfn.XLOOKUP(AC$1,$R$2:$R$18,$U$2:$U$18-$N28)^2)))</f>
        <v/>
      </c>
      <c r="AD28" s="149" t="str">
        <f t="array" ref="AD28">IF(AD$1=0,"",SQRT((_xlfn.XLOOKUP(AD$1,$R$2:$R$18,$S$2:$S$18)-$L28)^2+(_xlfn.XLOOKUP(AD$1,$R$2:$R$18,$T$2:$T$18)-$M28)^2+(_xlfn.XLOOKUP(AD$1,$R$2:$R$18,$U$2:$U$18-$N28)^2)))</f>
        <v/>
      </c>
      <c r="AE28" s="149" t="str">
        <f t="array" ref="AE28">IF(AE$1=0,"",SQRT((_xlfn.XLOOKUP(AE$1,$R$2:$R$18,$S$2:$S$18)-$L28)^2+(_xlfn.XLOOKUP(AE$1,$R$2:$R$18,$T$2:$T$18)-$M28)^2+(_xlfn.XLOOKUP(AE$1,$R$2:$R$18,$U$2:$U$18-$N28)^2)))</f>
        <v/>
      </c>
      <c r="AF28" s="149" t="str">
        <f t="array" ref="AF28">IF(AF$1=0,"",SQRT((_xlfn.XLOOKUP(AF$1,$R$2:$R$18,$S$2:$S$18)-$L28)^2+(_xlfn.XLOOKUP(AF$1,$R$2:$R$18,$T$2:$T$18)-$M28)^2+(_xlfn.XLOOKUP(AF$1,$R$2:$R$18,$U$2:$U$18-$N28)^2)))</f>
        <v/>
      </c>
      <c r="AG28" s="149" t="str">
        <f t="array" ref="AG28">IF(AG$1=0,"",SQRT((_xlfn.XLOOKUP(AG$1,$R$2:$R$18,$S$2:$S$18)-$L28)^2+(_xlfn.XLOOKUP(AG$1,$R$2:$R$18,$T$2:$T$18)-$M28)^2+(_xlfn.XLOOKUP(AG$1,$R$2:$R$18,$U$2:$U$18-$N28)^2)))</f>
        <v/>
      </c>
      <c r="AH28" s="150" t="str">
        <f t="array" ref="AH28">IF(AH$1=0,"",SQRT((_xlfn.XLOOKUP(AH$1,$R$2:$R$18,$S$2:$S$18)-$L28)^2+(_xlfn.XLOOKUP(AH$1,$R$2:$R$18,$T$2:$T$18)-$M28)^2+(_xlfn.XLOOKUP(AH$1,$R$2:$R$18,$U$2:$U$18-$N28)^2)))</f>
        <v/>
      </c>
      <c r="AI28" s="150" t="str">
        <f t="array" ref="AI28">IF(AI$1=0,"",SQRT((_xlfn.XLOOKUP(AI$1,$R$2:$R$18,$S$2:$S$18)-$L28)^2+(_xlfn.XLOOKUP(AI$1,$R$2:$R$18,$T$2:$T$18)-$M28)^2+(_xlfn.XLOOKUP(AI$1,$R$2:$R$18,$U$2:$U$18-$N28)^2)))</f>
        <v/>
      </c>
      <c r="AJ28" s="150" t="str">
        <f t="array" ref="AJ28">IF(AJ$1=0,"",SQRT((_xlfn.XLOOKUP(AJ$1,$R$2:$R$18,$S$2:$S$18)-$L28)^2+(_xlfn.XLOOKUP(AJ$1,$R$2:$R$18,$T$2:$T$18)-$M28)^2+(_xlfn.XLOOKUP(AJ$1,$R$2:$R$18,$U$2:$U$18-$N28)^2)))</f>
        <v/>
      </c>
      <c r="AK28" s="150" t="str">
        <f t="array" ref="AK28">IF(AK$1=0,"",SQRT((_xlfn.XLOOKUP(AK$1,$R$2:$R$18,$S$2:$S$18)-$L28)^2+(_xlfn.XLOOKUP(AK$1,$R$2:$R$18,$T$2:$T$18)-$M28)^2+(_xlfn.XLOOKUP(AK$1,$R$2:$R$18,$U$2:$U$18-$N28)^2)))</f>
        <v/>
      </c>
      <c r="AL28" s="150" t="str">
        <f t="array" ref="AL28">IF(AL$1=0,"",SQRT((_xlfn.XLOOKUP(AL$1,$R$2:$R$18,$S$2:$S$18)-$L28)^2+(_xlfn.XLOOKUP(AL$1,$R$2:$R$18,$T$2:$T$18)-$M28)^2+(_xlfn.XLOOKUP(AL$1,$R$2:$R$18,$U$2:$U$18-$N28)^2)))</f>
        <v/>
      </c>
      <c r="AM28" s="150" t="str">
        <f t="array" ref="AM28">IF(AM$1=0,"",SQRT((_xlfn.XLOOKUP(AM$1,$R$2:$R$18,$S$2:$S$18)-$L28)^2+(_xlfn.XLOOKUP(AM$1,$R$2:$R$18,$T$2:$T$18)-$M28)^2+(_xlfn.XLOOKUP(AM$1,$R$2:$R$18,$U$2:$U$18-$N28)^2)))</f>
        <v/>
      </c>
      <c r="AN28" s="151" t="str">
        <f t="array" ref="AN28">IF(AN$1=0,"",SQRT((_xlfn.XLOOKUP(AN$1,$R$2:$R$18,$S$2:$S$18)-$L28)^2+(_xlfn.XLOOKUP(AN$1,$R$2:$R$18,$T$2:$T$18)-$M28)^2+(_xlfn.XLOOKUP(AN$1,$R$2:$R$18,$U$2:$U$18-$N28)^2)))</f>
        <v/>
      </c>
      <c r="AO28" s="133"/>
      <c r="AP28" s="133"/>
      <c r="AQ28" s="134">
        <f t="shared" si="5"/>
        <v>0</v>
      </c>
      <c r="AR28" s="152">
        <f t="shared" si="6"/>
        <v>0</v>
      </c>
      <c r="AS28" s="152">
        <f t="shared" si="7"/>
        <v>0</v>
      </c>
      <c r="AT28" s="152">
        <f t="shared" si="8"/>
        <v>0</v>
      </c>
      <c r="AU28" s="152">
        <f t="shared" si="9"/>
        <v>0</v>
      </c>
      <c r="AV28" s="152">
        <f t="shared" si="10"/>
        <v>0</v>
      </c>
      <c r="AW28" s="152">
        <f t="shared" si="11"/>
        <v>0</v>
      </c>
      <c r="AX28" s="152">
        <f t="shared" si="12"/>
        <v>0</v>
      </c>
      <c r="AY28" s="153">
        <f t="shared" si="13"/>
        <v>0</v>
      </c>
      <c r="AZ28" s="153">
        <f t="shared" si="14"/>
        <v>0</v>
      </c>
      <c r="BA28" s="153">
        <f t="shared" si="15"/>
        <v>0</v>
      </c>
      <c r="BB28" s="153">
        <f t="shared" si="16"/>
        <v>0</v>
      </c>
      <c r="BC28" s="153">
        <f t="shared" si="17"/>
        <v>0</v>
      </c>
      <c r="BD28" s="153">
        <f t="shared" si="18"/>
        <v>0</v>
      </c>
      <c r="BE28" s="154">
        <f t="shared" si="19"/>
        <v>0</v>
      </c>
      <c r="BF28" s="133"/>
      <c r="BG28" s="40" t="s">
        <v>81</v>
      </c>
      <c r="BH28" s="21">
        <f>'Input LwA_XYZ'!BH9</f>
        <v>9.0706311768731425</v>
      </c>
      <c r="BI28" s="44">
        <f>'Input LwA_XYZ'!BH21</f>
        <v>12</v>
      </c>
      <c r="BJ28" s="21" t="str">
        <f>"Source Height: " &amp; ROUND(BI30,1) &amp; " ft"</f>
        <v>Source Height: 5.6 ft</v>
      </c>
      <c r="BL28" s="133"/>
      <c r="BM28" s="133"/>
      <c r="BN28" s="139"/>
      <c r="BO28" s="139"/>
      <c r="BP28" s="139"/>
      <c r="BQ28" s="139"/>
      <c r="BR28" s="139"/>
      <c r="BS28" s="139"/>
      <c r="BT28" s="139"/>
      <c r="BU28" s="139"/>
      <c r="BV28" s="139"/>
      <c r="BW28" s="139"/>
      <c r="BX28" s="139"/>
      <c r="BY28" s="139"/>
      <c r="BZ28" s="139"/>
      <c r="CA28" s="139"/>
      <c r="CB28" s="139"/>
      <c r="CC28" s="133"/>
      <c r="CD28" s="133"/>
      <c r="CE28" s="168">
        <f t="shared" si="35"/>
        <v>0</v>
      </c>
      <c r="CF28" s="169">
        <f t="shared" si="36"/>
        <v>0</v>
      </c>
      <c r="CG28" s="169">
        <f t="shared" si="37"/>
        <v>0</v>
      </c>
      <c r="CH28" s="169">
        <f t="shared" si="38"/>
        <v>0</v>
      </c>
      <c r="CI28" s="169">
        <f t="shared" si="39"/>
        <v>0</v>
      </c>
      <c r="CJ28" s="169">
        <f t="shared" si="41"/>
        <v>0</v>
      </c>
      <c r="CK28" s="169">
        <f t="shared" si="42"/>
        <v>0</v>
      </c>
      <c r="CL28" s="169">
        <f t="shared" si="43"/>
        <v>0</v>
      </c>
      <c r="CM28" s="171">
        <f t="shared" si="44"/>
        <v>0</v>
      </c>
      <c r="CN28" s="171">
        <f t="shared" si="45"/>
        <v>0</v>
      </c>
      <c r="CO28" s="171">
        <f t="shared" si="46"/>
        <v>0</v>
      </c>
      <c r="CP28" s="171">
        <f t="shared" si="47"/>
        <v>0</v>
      </c>
      <c r="CQ28" s="171">
        <f t="shared" si="48"/>
        <v>0</v>
      </c>
      <c r="CR28" s="171">
        <f t="shared" si="49"/>
        <v>0</v>
      </c>
      <c r="CS28" s="172">
        <f t="shared" si="50"/>
        <v>0</v>
      </c>
    </row>
    <row r="29" spans="1:97" ht="16.5" customHeight="1" x14ac:dyDescent="0.3">
      <c r="A29" s="144"/>
      <c r="B29" s="145"/>
      <c r="C29" s="145"/>
      <c r="D29" s="146"/>
      <c r="E29" s="146"/>
      <c r="F29" s="4"/>
      <c r="G29" s="4"/>
      <c r="H29" s="3"/>
      <c r="I29" s="127">
        <f t="shared" si="3"/>
        <v>0</v>
      </c>
      <c r="J29" s="3"/>
      <c r="K29" s="3"/>
      <c r="L29" s="4"/>
      <c r="M29" s="4"/>
      <c r="N29" s="111">
        <f t="shared" si="4"/>
        <v>0</v>
      </c>
      <c r="O29" s="170"/>
      <c r="P29" s="147"/>
      <c r="R29" s="118"/>
      <c r="S29" s="115"/>
      <c r="T29" s="54"/>
      <c r="U29" s="55"/>
      <c r="V29" s="54"/>
      <c r="W29" s="54"/>
      <c r="X29" s="55"/>
      <c r="Z29" s="167">
        <f t="array" ref="Z29">IF(Z$1=0,"",SQRT((_xlfn.XLOOKUP(Z$1,$R$2:$R$18,$S$2:$S$18)-$L29)^2+(_xlfn.XLOOKUP(Z$1,$R$2:$R$18,$T$2:$T$18)-$M29)^2+(_xlfn.XLOOKUP(Z$1,$R$2:$R$18,$U$2:$U$18-$N29)^2)))</f>
        <v>98.29525370026775</v>
      </c>
      <c r="AA29" s="149">
        <f t="array" ref="AA29">IF(AA$1=0,"",SQRT((_xlfn.XLOOKUP(AA$1,$R$2:$R$18,$S$2:$S$18)-$L29)^2+(_xlfn.XLOOKUP(AA$1,$R$2:$R$18,$T$2:$T$18)-$M29)^2+(_xlfn.XLOOKUP(AA$1,$R$2:$R$18,$U$2:$U$18-$N29)^2)))</f>
        <v>3.28</v>
      </c>
      <c r="AB29" s="149" t="str">
        <f t="array" ref="AB29">IF(AB$1=0,"",SQRT((_xlfn.XLOOKUP(AB$1,$R$2:$R$18,$S$2:$S$18)-$L29)^2+(_xlfn.XLOOKUP(AB$1,$R$2:$R$18,$T$2:$T$18)-$M29)^2+(_xlfn.XLOOKUP(AB$1,$R$2:$R$18,$U$2:$U$18-$N29)^2)))</f>
        <v/>
      </c>
      <c r="AC29" s="149" t="str">
        <f t="array" ref="AC29">IF(AC$1=0,"",SQRT((_xlfn.XLOOKUP(AC$1,$R$2:$R$18,$S$2:$S$18)-$L29)^2+(_xlfn.XLOOKUP(AC$1,$R$2:$R$18,$T$2:$T$18)-$M29)^2+(_xlfn.XLOOKUP(AC$1,$R$2:$R$18,$U$2:$U$18-$N29)^2)))</f>
        <v/>
      </c>
      <c r="AD29" s="149" t="str">
        <f t="array" ref="AD29">IF(AD$1=0,"",SQRT((_xlfn.XLOOKUP(AD$1,$R$2:$R$18,$S$2:$S$18)-$L29)^2+(_xlfn.XLOOKUP(AD$1,$R$2:$R$18,$T$2:$T$18)-$M29)^2+(_xlfn.XLOOKUP(AD$1,$R$2:$R$18,$U$2:$U$18-$N29)^2)))</f>
        <v/>
      </c>
      <c r="AE29" s="149" t="str">
        <f t="array" ref="AE29">IF(AE$1=0,"",SQRT((_xlfn.XLOOKUP(AE$1,$R$2:$R$18,$S$2:$S$18)-$L29)^2+(_xlfn.XLOOKUP(AE$1,$R$2:$R$18,$T$2:$T$18)-$M29)^2+(_xlfn.XLOOKUP(AE$1,$R$2:$R$18,$U$2:$U$18-$N29)^2)))</f>
        <v/>
      </c>
      <c r="AF29" s="149" t="str">
        <f t="array" ref="AF29">IF(AF$1=0,"",SQRT((_xlfn.XLOOKUP(AF$1,$R$2:$R$18,$S$2:$S$18)-$L29)^2+(_xlfn.XLOOKUP(AF$1,$R$2:$R$18,$T$2:$T$18)-$M29)^2+(_xlfn.XLOOKUP(AF$1,$R$2:$R$18,$U$2:$U$18-$N29)^2)))</f>
        <v/>
      </c>
      <c r="AG29" s="149" t="str">
        <f t="array" ref="AG29">IF(AG$1=0,"",SQRT((_xlfn.XLOOKUP(AG$1,$R$2:$R$18,$S$2:$S$18)-$L29)^2+(_xlfn.XLOOKUP(AG$1,$R$2:$R$18,$T$2:$T$18)-$M29)^2+(_xlfn.XLOOKUP(AG$1,$R$2:$R$18,$U$2:$U$18-$N29)^2)))</f>
        <v/>
      </c>
      <c r="AH29" s="150" t="str">
        <f t="array" ref="AH29">IF(AH$1=0,"",SQRT((_xlfn.XLOOKUP(AH$1,$R$2:$R$18,$S$2:$S$18)-$L29)^2+(_xlfn.XLOOKUP(AH$1,$R$2:$R$18,$T$2:$T$18)-$M29)^2+(_xlfn.XLOOKUP(AH$1,$R$2:$R$18,$U$2:$U$18-$N29)^2)))</f>
        <v/>
      </c>
      <c r="AI29" s="150" t="str">
        <f t="array" ref="AI29">IF(AI$1=0,"",SQRT((_xlfn.XLOOKUP(AI$1,$R$2:$R$18,$S$2:$S$18)-$L29)^2+(_xlfn.XLOOKUP(AI$1,$R$2:$R$18,$T$2:$T$18)-$M29)^2+(_xlfn.XLOOKUP(AI$1,$R$2:$R$18,$U$2:$U$18-$N29)^2)))</f>
        <v/>
      </c>
      <c r="AJ29" s="150" t="str">
        <f t="array" ref="AJ29">IF(AJ$1=0,"",SQRT((_xlfn.XLOOKUP(AJ$1,$R$2:$R$18,$S$2:$S$18)-$L29)^2+(_xlfn.XLOOKUP(AJ$1,$R$2:$R$18,$T$2:$T$18)-$M29)^2+(_xlfn.XLOOKUP(AJ$1,$R$2:$R$18,$U$2:$U$18-$N29)^2)))</f>
        <v/>
      </c>
      <c r="AK29" s="150" t="str">
        <f t="array" ref="AK29">IF(AK$1=0,"",SQRT((_xlfn.XLOOKUP(AK$1,$R$2:$R$18,$S$2:$S$18)-$L29)^2+(_xlfn.XLOOKUP(AK$1,$R$2:$R$18,$T$2:$T$18)-$M29)^2+(_xlfn.XLOOKUP(AK$1,$R$2:$R$18,$U$2:$U$18-$N29)^2)))</f>
        <v/>
      </c>
      <c r="AL29" s="150" t="str">
        <f t="array" ref="AL29">IF(AL$1=0,"",SQRT((_xlfn.XLOOKUP(AL$1,$R$2:$R$18,$S$2:$S$18)-$L29)^2+(_xlfn.XLOOKUP(AL$1,$R$2:$R$18,$T$2:$T$18)-$M29)^2+(_xlfn.XLOOKUP(AL$1,$R$2:$R$18,$U$2:$U$18-$N29)^2)))</f>
        <v/>
      </c>
      <c r="AM29" s="150" t="str">
        <f t="array" ref="AM29">IF(AM$1=0,"",SQRT((_xlfn.XLOOKUP(AM$1,$R$2:$R$18,$S$2:$S$18)-$L29)^2+(_xlfn.XLOOKUP(AM$1,$R$2:$R$18,$T$2:$T$18)-$M29)^2+(_xlfn.XLOOKUP(AM$1,$R$2:$R$18,$U$2:$U$18-$N29)^2)))</f>
        <v/>
      </c>
      <c r="AN29" s="151" t="str">
        <f t="array" ref="AN29">IF(AN$1=0,"",SQRT((_xlfn.XLOOKUP(AN$1,$R$2:$R$18,$S$2:$S$18)-$L29)^2+(_xlfn.XLOOKUP(AN$1,$R$2:$R$18,$T$2:$T$18)-$M29)^2+(_xlfn.XLOOKUP(AN$1,$R$2:$R$18,$U$2:$U$18-$N29)^2)))</f>
        <v/>
      </c>
      <c r="AO29" s="133"/>
      <c r="AP29" s="133"/>
      <c r="AQ29" s="134">
        <f t="shared" si="5"/>
        <v>0</v>
      </c>
      <c r="AR29" s="152">
        <f t="shared" si="6"/>
        <v>0</v>
      </c>
      <c r="AS29" s="152">
        <f t="shared" si="7"/>
        <v>0</v>
      </c>
      <c r="AT29" s="152">
        <f t="shared" si="8"/>
        <v>0</v>
      </c>
      <c r="AU29" s="152">
        <f t="shared" si="9"/>
        <v>0</v>
      </c>
      <c r="AV29" s="152">
        <f t="shared" si="10"/>
        <v>0</v>
      </c>
      <c r="AW29" s="152">
        <f t="shared" si="11"/>
        <v>0</v>
      </c>
      <c r="AX29" s="152">
        <f t="shared" si="12"/>
        <v>0</v>
      </c>
      <c r="AY29" s="153">
        <f t="shared" si="13"/>
        <v>0</v>
      </c>
      <c r="AZ29" s="153">
        <f t="shared" si="14"/>
        <v>0</v>
      </c>
      <c r="BA29" s="153">
        <f t="shared" si="15"/>
        <v>0</v>
      </c>
      <c r="BB29" s="153">
        <f t="shared" si="16"/>
        <v>0</v>
      </c>
      <c r="BC29" s="153">
        <f t="shared" si="17"/>
        <v>0</v>
      </c>
      <c r="BD29" s="153">
        <f t="shared" si="18"/>
        <v>0</v>
      </c>
      <c r="BE29" s="154">
        <f t="shared" si="19"/>
        <v>0</v>
      </c>
      <c r="BF29" s="133"/>
      <c r="BG29" s="40" t="s">
        <v>27</v>
      </c>
      <c r="BH29" s="21">
        <f>'Input LwA_XYZ'!BH8</f>
        <v>14.609236804159204</v>
      </c>
      <c r="BI29" s="21">
        <f>'Input LwA_XYZ'!BK5</f>
        <v>5</v>
      </c>
      <c r="BJ29" s="21" t="str">
        <f>"Barrier Location: X = " &amp; ROUND(BH28,1) &amp; " ft, Y = " &amp; ROUND(BI28,1) &amp; " ft"</f>
        <v>Barrier Location: X = 9.1 ft, Y = 12 ft</v>
      </c>
      <c r="BL29" s="133"/>
      <c r="BM29" s="133"/>
      <c r="BN29" s="139"/>
      <c r="BO29" s="139"/>
      <c r="BP29" s="139"/>
      <c r="BQ29" s="139"/>
      <c r="BR29" s="139"/>
      <c r="BS29" s="139"/>
      <c r="BT29" s="139"/>
      <c r="BU29" s="139"/>
      <c r="BV29" s="139"/>
      <c r="BW29" s="139"/>
      <c r="BX29" s="139"/>
      <c r="BY29" s="139"/>
      <c r="BZ29" s="139"/>
      <c r="CA29" s="139"/>
      <c r="CB29" s="139"/>
      <c r="CC29" s="133"/>
      <c r="CD29" s="133"/>
      <c r="CE29" s="168">
        <f t="shared" si="35"/>
        <v>0</v>
      </c>
      <c r="CF29" s="169">
        <f t="shared" si="36"/>
        <v>0</v>
      </c>
      <c r="CG29" s="169">
        <f t="shared" si="37"/>
        <v>0</v>
      </c>
      <c r="CH29" s="169">
        <f t="shared" si="38"/>
        <v>0</v>
      </c>
      <c r="CI29" s="169">
        <f t="shared" si="39"/>
        <v>0</v>
      </c>
      <c r="CJ29" s="169">
        <f t="shared" si="41"/>
        <v>0</v>
      </c>
      <c r="CK29" s="169">
        <f t="shared" si="42"/>
        <v>0</v>
      </c>
      <c r="CL29" s="169">
        <f t="shared" si="43"/>
        <v>0</v>
      </c>
      <c r="CM29" s="171">
        <f t="shared" si="44"/>
        <v>0</v>
      </c>
      <c r="CN29" s="171">
        <f t="shared" si="45"/>
        <v>0</v>
      </c>
      <c r="CO29" s="171">
        <f t="shared" si="46"/>
        <v>0</v>
      </c>
      <c r="CP29" s="171">
        <f t="shared" si="47"/>
        <v>0</v>
      </c>
      <c r="CQ29" s="171">
        <f t="shared" si="48"/>
        <v>0</v>
      </c>
      <c r="CR29" s="171">
        <f t="shared" si="49"/>
        <v>0</v>
      </c>
      <c r="CS29" s="172">
        <f t="shared" si="50"/>
        <v>0</v>
      </c>
    </row>
    <row r="30" spans="1:97" ht="16.5" customHeight="1" x14ac:dyDescent="0.3">
      <c r="A30" s="144"/>
      <c r="B30" s="145"/>
      <c r="C30" s="145"/>
      <c r="D30" s="146"/>
      <c r="E30" s="146"/>
      <c r="F30" s="4"/>
      <c r="G30" s="4"/>
      <c r="H30" s="3"/>
      <c r="I30" s="127">
        <f t="shared" si="3"/>
        <v>0</v>
      </c>
      <c r="J30" s="3"/>
      <c r="K30" s="3"/>
      <c r="L30" s="4"/>
      <c r="M30" s="4"/>
      <c r="N30" s="111">
        <f t="shared" si="4"/>
        <v>0</v>
      </c>
      <c r="O30" s="170"/>
      <c r="P30" s="147"/>
      <c r="R30" s="118"/>
      <c r="S30" s="115"/>
      <c r="T30" s="54"/>
      <c r="U30" s="55"/>
      <c r="V30" s="54"/>
      <c r="W30" s="54"/>
      <c r="X30" s="55"/>
      <c r="Z30" s="167">
        <f t="array" ref="Z30">IF(Z$1=0,"",SQRT((_xlfn.XLOOKUP(Z$1,$R$2:$R$18,$S$2:$S$18)-$L30)^2+(_xlfn.XLOOKUP(Z$1,$R$2:$R$18,$T$2:$T$18)-$M30)^2+(_xlfn.XLOOKUP(Z$1,$R$2:$R$18,$U$2:$U$18-$N30)^2)))</f>
        <v>98.29525370026775</v>
      </c>
      <c r="AA30" s="149">
        <f t="array" ref="AA30">IF(AA$1=0,"",SQRT((_xlfn.XLOOKUP(AA$1,$R$2:$R$18,$S$2:$S$18)-$L30)^2+(_xlfn.XLOOKUP(AA$1,$R$2:$R$18,$T$2:$T$18)-$M30)^2+(_xlfn.XLOOKUP(AA$1,$R$2:$R$18,$U$2:$U$18-$N30)^2)))</f>
        <v>3.28</v>
      </c>
      <c r="AB30" s="149" t="str">
        <f t="array" ref="AB30">IF(AB$1=0,"",SQRT((_xlfn.XLOOKUP(AB$1,$R$2:$R$18,$S$2:$S$18)-$L30)^2+(_xlfn.XLOOKUP(AB$1,$R$2:$R$18,$T$2:$T$18)-$M30)^2+(_xlfn.XLOOKUP(AB$1,$R$2:$R$18,$U$2:$U$18-$N30)^2)))</f>
        <v/>
      </c>
      <c r="AC30" s="149" t="str">
        <f t="array" ref="AC30">IF(AC$1=0,"",SQRT((_xlfn.XLOOKUP(AC$1,$R$2:$R$18,$S$2:$S$18)-$L30)^2+(_xlfn.XLOOKUP(AC$1,$R$2:$R$18,$T$2:$T$18)-$M30)^2+(_xlfn.XLOOKUP(AC$1,$R$2:$R$18,$U$2:$U$18-$N30)^2)))</f>
        <v/>
      </c>
      <c r="AD30" s="149" t="str">
        <f t="array" ref="AD30">IF(AD$1=0,"",SQRT((_xlfn.XLOOKUP(AD$1,$R$2:$R$18,$S$2:$S$18)-$L30)^2+(_xlfn.XLOOKUP(AD$1,$R$2:$R$18,$T$2:$T$18)-$M30)^2+(_xlfn.XLOOKUP(AD$1,$R$2:$R$18,$U$2:$U$18-$N30)^2)))</f>
        <v/>
      </c>
      <c r="AE30" s="149" t="str">
        <f t="array" ref="AE30">IF(AE$1=0,"",SQRT((_xlfn.XLOOKUP(AE$1,$R$2:$R$18,$S$2:$S$18)-$L30)^2+(_xlfn.XLOOKUP(AE$1,$R$2:$R$18,$T$2:$T$18)-$M30)^2+(_xlfn.XLOOKUP(AE$1,$R$2:$R$18,$U$2:$U$18-$N30)^2)))</f>
        <v/>
      </c>
      <c r="AF30" s="149" t="str">
        <f t="array" ref="AF30">IF(AF$1=0,"",SQRT((_xlfn.XLOOKUP(AF$1,$R$2:$R$18,$S$2:$S$18)-$L30)^2+(_xlfn.XLOOKUP(AF$1,$R$2:$R$18,$T$2:$T$18)-$M30)^2+(_xlfn.XLOOKUP(AF$1,$R$2:$R$18,$U$2:$U$18-$N30)^2)))</f>
        <v/>
      </c>
      <c r="AG30" s="149" t="str">
        <f t="array" ref="AG30">IF(AG$1=0,"",SQRT((_xlfn.XLOOKUP(AG$1,$R$2:$R$18,$S$2:$S$18)-$L30)^2+(_xlfn.XLOOKUP(AG$1,$R$2:$R$18,$T$2:$T$18)-$M30)^2+(_xlfn.XLOOKUP(AG$1,$R$2:$R$18,$U$2:$U$18-$N30)^2)))</f>
        <v/>
      </c>
      <c r="AH30" s="150" t="str">
        <f t="array" ref="AH30">IF(AH$1=0,"",SQRT((_xlfn.XLOOKUP(AH$1,$R$2:$R$18,$S$2:$S$18)-$L30)^2+(_xlfn.XLOOKUP(AH$1,$R$2:$R$18,$T$2:$T$18)-$M30)^2+(_xlfn.XLOOKUP(AH$1,$R$2:$R$18,$U$2:$U$18-$N30)^2)))</f>
        <v/>
      </c>
      <c r="AI30" s="150" t="str">
        <f t="array" ref="AI30">IF(AI$1=0,"",SQRT((_xlfn.XLOOKUP(AI$1,$R$2:$R$18,$S$2:$S$18)-$L30)^2+(_xlfn.XLOOKUP(AI$1,$R$2:$R$18,$T$2:$T$18)-$M30)^2+(_xlfn.XLOOKUP(AI$1,$R$2:$R$18,$U$2:$U$18-$N30)^2)))</f>
        <v/>
      </c>
      <c r="AJ30" s="150" t="str">
        <f t="array" ref="AJ30">IF(AJ$1=0,"",SQRT((_xlfn.XLOOKUP(AJ$1,$R$2:$R$18,$S$2:$S$18)-$L30)^2+(_xlfn.XLOOKUP(AJ$1,$R$2:$R$18,$T$2:$T$18)-$M30)^2+(_xlfn.XLOOKUP(AJ$1,$R$2:$R$18,$U$2:$U$18-$N30)^2)))</f>
        <v/>
      </c>
      <c r="AK30" s="150" t="str">
        <f t="array" ref="AK30">IF(AK$1=0,"",SQRT((_xlfn.XLOOKUP(AK$1,$R$2:$R$18,$S$2:$S$18)-$L30)^2+(_xlfn.XLOOKUP(AK$1,$R$2:$R$18,$T$2:$T$18)-$M30)^2+(_xlfn.XLOOKUP(AK$1,$R$2:$R$18,$U$2:$U$18-$N30)^2)))</f>
        <v/>
      </c>
      <c r="AL30" s="150" t="str">
        <f t="array" ref="AL30">IF(AL$1=0,"",SQRT((_xlfn.XLOOKUP(AL$1,$R$2:$R$18,$S$2:$S$18)-$L30)^2+(_xlfn.XLOOKUP(AL$1,$R$2:$R$18,$T$2:$T$18)-$M30)^2+(_xlfn.XLOOKUP(AL$1,$R$2:$R$18,$U$2:$U$18-$N30)^2)))</f>
        <v/>
      </c>
      <c r="AM30" s="150" t="str">
        <f t="array" ref="AM30">IF(AM$1=0,"",SQRT((_xlfn.XLOOKUP(AM$1,$R$2:$R$18,$S$2:$S$18)-$L30)^2+(_xlfn.XLOOKUP(AM$1,$R$2:$R$18,$T$2:$T$18)-$M30)^2+(_xlfn.XLOOKUP(AM$1,$R$2:$R$18,$U$2:$U$18-$N30)^2)))</f>
        <v/>
      </c>
      <c r="AN30" s="151" t="str">
        <f t="array" ref="AN30">IF(AN$1=0,"",SQRT((_xlfn.XLOOKUP(AN$1,$R$2:$R$18,$S$2:$S$18)-$L30)^2+(_xlfn.XLOOKUP(AN$1,$R$2:$R$18,$T$2:$T$18)-$M30)^2+(_xlfn.XLOOKUP(AN$1,$R$2:$R$18,$U$2:$U$18-$N30)^2)))</f>
        <v/>
      </c>
      <c r="AO30" s="133"/>
      <c r="AP30" s="133"/>
      <c r="AQ30" s="134">
        <f t="shared" si="5"/>
        <v>0</v>
      </c>
      <c r="AR30" s="152">
        <f t="shared" si="6"/>
        <v>0</v>
      </c>
      <c r="AS30" s="152">
        <f t="shared" si="7"/>
        <v>0</v>
      </c>
      <c r="AT30" s="152">
        <f t="shared" si="8"/>
        <v>0</v>
      </c>
      <c r="AU30" s="152">
        <f t="shared" si="9"/>
        <v>0</v>
      </c>
      <c r="AV30" s="152">
        <f t="shared" si="10"/>
        <v>0</v>
      </c>
      <c r="AW30" s="152">
        <f t="shared" si="11"/>
        <v>0</v>
      </c>
      <c r="AX30" s="152">
        <f t="shared" si="12"/>
        <v>0</v>
      </c>
      <c r="AY30" s="153">
        <f t="shared" si="13"/>
        <v>0</v>
      </c>
      <c r="AZ30" s="153">
        <f t="shared" si="14"/>
        <v>0</v>
      </c>
      <c r="BA30" s="153">
        <f t="shared" si="15"/>
        <v>0</v>
      </c>
      <c r="BB30" s="153">
        <f t="shared" si="16"/>
        <v>0</v>
      </c>
      <c r="BC30" s="153">
        <f t="shared" si="17"/>
        <v>0</v>
      </c>
      <c r="BD30" s="153">
        <f t="shared" si="18"/>
        <v>0</v>
      </c>
      <c r="BE30" s="154">
        <f t="shared" si="19"/>
        <v>0</v>
      </c>
      <c r="BF30" s="133"/>
      <c r="BG30" s="40" t="s">
        <v>26</v>
      </c>
      <c r="BH30" s="21">
        <v>0</v>
      </c>
      <c r="BI30" s="21">
        <f>BI27</f>
        <v>5.583333333333333</v>
      </c>
      <c r="BJ30" s="21" t="str">
        <f>"Receiver Location: X = " &amp; ROUND(BH29,1) &amp; " ft, Y = " &amp; ROUND(BI29,1) &amp; " ft"</f>
        <v>Receiver Location: X = 14.6 ft, Y = 5 ft</v>
      </c>
      <c r="BL30" s="133"/>
      <c r="BM30" s="133"/>
      <c r="BN30" s="139"/>
      <c r="BO30" s="139"/>
      <c r="BP30" s="139"/>
      <c r="BQ30" s="139"/>
      <c r="BR30" s="139"/>
      <c r="BS30" s="139"/>
      <c r="BT30" s="139"/>
      <c r="BU30" s="139"/>
      <c r="BV30" s="139"/>
      <c r="BW30" s="139"/>
      <c r="BX30" s="139"/>
      <c r="BY30" s="139"/>
      <c r="BZ30" s="139"/>
      <c r="CA30" s="139"/>
      <c r="CB30" s="139"/>
      <c r="CC30" s="133"/>
      <c r="CD30" s="133"/>
      <c r="CE30" s="168">
        <f t="shared" si="35"/>
        <v>0</v>
      </c>
      <c r="CF30" s="169">
        <f t="shared" si="36"/>
        <v>0</v>
      </c>
      <c r="CG30" s="169">
        <f t="shared" si="37"/>
        <v>0</v>
      </c>
      <c r="CH30" s="169">
        <f t="shared" si="38"/>
        <v>0</v>
      </c>
      <c r="CI30" s="169">
        <f t="shared" si="39"/>
        <v>0</v>
      </c>
      <c r="CJ30" s="169">
        <f t="shared" si="41"/>
        <v>0</v>
      </c>
      <c r="CK30" s="169">
        <f t="shared" si="42"/>
        <v>0</v>
      </c>
      <c r="CL30" s="169">
        <f t="shared" si="43"/>
        <v>0</v>
      </c>
      <c r="CM30" s="171">
        <f t="shared" si="44"/>
        <v>0</v>
      </c>
      <c r="CN30" s="171">
        <f t="shared" si="45"/>
        <v>0</v>
      </c>
      <c r="CO30" s="171">
        <f t="shared" si="46"/>
        <v>0</v>
      </c>
      <c r="CP30" s="171">
        <f t="shared" si="47"/>
        <v>0</v>
      </c>
      <c r="CQ30" s="171">
        <f t="shared" si="48"/>
        <v>0</v>
      </c>
      <c r="CR30" s="171">
        <f t="shared" si="49"/>
        <v>0</v>
      </c>
      <c r="CS30" s="172">
        <f t="shared" si="50"/>
        <v>0</v>
      </c>
    </row>
    <row r="31" spans="1:97" ht="16.5" customHeight="1" x14ac:dyDescent="0.3">
      <c r="A31" s="144"/>
      <c r="B31" s="145"/>
      <c r="C31" s="145"/>
      <c r="D31" s="146"/>
      <c r="E31" s="146"/>
      <c r="F31" s="4"/>
      <c r="G31" s="4"/>
      <c r="H31" s="3"/>
      <c r="I31" s="127">
        <f t="shared" si="3"/>
        <v>0</v>
      </c>
      <c r="J31" s="3"/>
      <c r="K31" s="3"/>
      <c r="L31" s="4"/>
      <c r="M31" s="4"/>
      <c r="N31" s="111">
        <f t="shared" si="4"/>
        <v>0</v>
      </c>
      <c r="O31" s="170"/>
      <c r="P31" s="147"/>
      <c r="R31" s="118"/>
      <c r="S31" s="115"/>
      <c r="T31" s="54"/>
      <c r="U31" s="55"/>
      <c r="V31" s="54"/>
      <c r="W31" s="54"/>
      <c r="X31" s="55"/>
      <c r="Z31" s="167">
        <f t="array" ref="Z31">IF(Z$1=0,"",SQRT((_xlfn.XLOOKUP(Z$1,$R$2:$R$18,$S$2:$S$18)-$L31)^2+(_xlfn.XLOOKUP(Z$1,$R$2:$R$18,$T$2:$T$18)-$M31)^2+(_xlfn.XLOOKUP(Z$1,$R$2:$R$18,$U$2:$U$18-$N31)^2)))</f>
        <v>98.29525370026775</v>
      </c>
      <c r="AA31" s="149">
        <f t="array" ref="AA31">IF(AA$1=0,"",SQRT((_xlfn.XLOOKUP(AA$1,$R$2:$R$18,$S$2:$S$18)-$L31)^2+(_xlfn.XLOOKUP(AA$1,$R$2:$R$18,$T$2:$T$18)-$M31)^2+(_xlfn.XLOOKUP(AA$1,$R$2:$R$18,$U$2:$U$18-$N31)^2)))</f>
        <v>3.28</v>
      </c>
      <c r="AB31" s="149" t="str">
        <f t="array" ref="AB31">IF(AB$1=0,"",SQRT((_xlfn.XLOOKUP(AB$1,$R$2:$R$18,$S$2:$S$18)-$L31)^2+(_xlfn.XLOOKUP(AB$1,$R$2:$R$18,$T$2:$T$18)-$M31)^2+(_xlfn.XLOOKUP(AB$1,$R$2:$R$18,$U$2:$U$18-$N31)^2)))</f>
        <v/>
      </c>
      <c r="AC31" s="149" t="str">
        <f t="array" ref="AC31">IF(AC$1=0,"",SQRT((_xlfn.XLOOKUP(AC$1,$R$2:$R$18,$S$2:$S$18)-$L31)^2+(_xlfn.XLOOKUP(AC$1,$R$2:$R$18,$T$2:$T$18)-$M31)^2+(_xlfn.XLOOKUP(AC$1,$R$2:$R$18,$U$2:$U$18-$N31)^2)))</f>
        <v/>
      </c>
      <c r="AD31" s="149" t="str">
        <f t="array" ref="AD31">IF(AD$1=0,"",SQRT((_xlfn.XLOOKUP(AD$1,$R$2:$R$18,$S$2:$S$18)-$L31)^2+(_xlfn.XLOOKUP(AD$1,$R$2:$R$18,$T$2:$T$18)-$M31)^2+(_xlfn.XLOOKUP(AD$1,$R$2:$R$18,$U$2:$U$18-$N31)^2)))</f>
        <v/>
      </c>
      <c r="AE31" s="149" t="str">
        <f t="array" ref="AE31">IF(AE$1=0,"",SQRT((_xlfn.XLOOKUP(AE$1,$R$2:$R$18,$S$2:$S$18)-$L31)^2+(_xlfn.XLOOKUP(AE$1,$R$2:$R$18,$T$2:$T$18)-$M31)^2+(_xlfn.XLOOKUP(AE$1,$R$2:$R$18,$U$2:$U$18-$N31)^2)))</f>
        <v/>
      </c>
      <c r="AF31" s="149" t="str">
        <f t="array" ref="AF31">IF(AF$1=0,"",SQRT((_xlfn.XLOOKUP(AF$1,$R$2:$R$18,$S$2:$S$18)-$L31)^2+(_xlfn.XLOOKUP(AF$1,$R$2:$R$18,$T$2:$T$18)-$M31)^2+(_xlfn.XLOOKUP(AF$1,$R$2:$R$18,$U$2:$U$18-$N31)^2)))</f>
        <v/>
      </c>
      <c r="AG31" s="149" t="str">
        <f t="array" ref="AG31">IF(AG$1=0,"",SQRT((_xlfn.XLOOKUP(AG$1,$R$2:$R$18,$S$2:$S$18)-$L31)^2+(_xlfn.XLOOKUP(AG$1,$R$2:$R$18,$T$2:$T$18)-$M31)^2+(_xlfn.XLOOKUP(AG$1,$R$2:$R$18,$U$2:$U$18-$N31)^2)))</f>
        <v/>
      </c>
      <c r="AH31" s="150" t="str">
        <f t="array" ref="AH31">IF(AH$1=0,"",SQRT((_xlfn.XLOOKUP(AH$1,$R$2:$R$18,$S$2:$S$18)-$L31)^2+(_xlfn.XLOOKUP(AH$1,$R$2:$R$18,$T$2:$T$18)-$M31)^2+(_xlfn.XLOOKUP(AH$1,$R$2:$R$18,$U$2:$U$18-$N31)^2)))</f>
        <v/>
      </c>
      <c r="AI31" s="150" t="str">
        <f t="array" ref="AI31">IF(AI$1=0,"",SQRT((_xlfn.XLOOKUP(AI$1,$R$2:$R$18,$S$2:$S$18)-$L31)^2+(_xlfn.XLOOKUP(AI$1,$R$2:$R$18,$T$2:$T$18)-$M31)^2+(_xlfn.XLOOKUP(AI$1,$R$2:$R$18,$U$2:$U$18-$N31)^2)))</f>
        <v/>
      </c>
      <c r="AJ31" s="150" t="str">
        <f t="array" ref="AJ31">IF(AJ$1=0,"",SQRT((_xlfn.XLOOKUP(AJ$1,$R$2:$R$18,$S$2:$S$18)-$L31)^2+(_xlfn.XLOOKUP(AJ$1,$R$2:$R$18,$T$2:$T$18)-$M31)^2+(_xlfn.XLOOKUP(AJ$1,$R$2:$R$18,$U$2:$U$18-$N31)^2)))</f>
        <v/>
      </c>
      <c r="AK31" s="150" t="str">
        <f t="array" ref="AK31">IF(AK$1=0,"",SQRT((_xlfn.XLOOKUP(AK$1,$R$2:$R$18,$S$2:$S$18)-$L31)^2+(_xlfn.XLOOKUP(AK$1,$R$2:$R$18,$T$2:$T$18)-$M31)^2+(_xlfn.XLOOKUP(AK$1,$R$2:$R$18,$U$2:$U$18-$N31)^2)))</f>
        <v/>
      </c>
      <c r="AL31" s="150" t="str">
        <f t="array" ref="AL31">IF(AL$1=0,"",SQRT((_xlfn.XLOOKUP(AL$1,$R$2:$R$18,$S$2:$S$18)-$L31)^2+(_xlfn.XLOOKUP(AL$1,$R$2:$R$18,$T$2:$T$18)-$M31)^2+(_xlfn.XLOOKUP(AL$1,$R$2:$R$18,$U$2:$U$18-$N31)^2)))</f>
        <v/>
      </c>
      <c r="AM31" s="150" t="str">
        <f t="array" ref="AM31">IF(AM$1=0,"",SQRT((_xlfn.XLOOKUP(AM$1,$R$2:$R$18,$S$2:$S$18)-$L31)^2+(_xlfn.XLOOKUP(AM$1,$R$2:$R$18,$T$2:$T$18)-$M31)^2+(_xlfn.XLOOKUP(AM$1,$R$2:$R$18,$U$2:$U$18-$N31)^2)))</f>
        <v/>
      </c>
      <c r="AN31" s="151" t="str">
        <f t="array" ref="AN31">IF(AN$1=0,"",SQRT((_xlfn.XLOOKUP(AN$1,$R$2:$R$18,$S$2:$S$18)-$L31)^2+(_xlfn.XLOOKUP(AN$1,$R$2:$R$18,$T$2:$T$18)-$M31)^2+(_xlfn.XLOOKUP(AN$1,$R$2:$R$18,$U$2:$U$18-$N31)^2)))</f>
        <v/>
      </c>
      <c r="AO31" s="133"/>
      <c r="AP31" s="133"/>
      <c r="AQ31" s="134">
        <f t="shared" si="5"/>
        <v>0</v>
      </c>
      <c r="AR31" s="152">
        <f t="shared" si="6"/>
        <v>0</v>
      </c>
      <c r="AS31" s="152">
        <f t="shared" si="7"/>
        <v>0</v>
      </c>
      <c r="AT31" s="152">
        <f t="shared" si="8"/>
        <v>0</v>
      </c>
      <c r="AU31" s="152">
        <f t="shared" si="9"/>
        <v>0</v>
      </c>
      <c r="AV31" s="152">
        <f t="shared" si="10"/>
        <v>0</v>
      </c>
      <c r="AW31" s="152">
        <f t="shared" si="11"/>
        <v>0</v>
      </c>
      <c r="AX31" s="152">
        <f t="shared" si="12"/>
        <v>0</v>
      </c>
      <c r="AY31" s="153">
        <f t="shared" si="13"/>
        <v>0</v>
      </c>
      <c r="AZ31" s="153">
        <f t="shared" si="14"/>
        <v>0</v>
      </c>
      <c r="BA31" s="153">
        <f t="shared" si="15"/>
        <v>0</v>
      </c>
      <c r="BB31" s="153">
        <f t="shared" si="16"/>
        <v>0</v>
      </c>
      <c r="BC31" s="153">
        <f t="shared" si="17"/>
        <v>0</v>
      </c>
      <c r="BD31" s="153">
        <f t="shared" si="18"/>
        <v>0</v>
      </c>
      <c r="BE31" s="154">
        <f t="shared" si="19"/>
        <v>0</v>
      </c>
      <c r="BF31" s="133"/>
      <c r="BG31" s="40" t="s">
        <v>82</v>
      </c>
      <c r="BH31" s="21" t="e">
        <f>#REF!</f>
        <v>#REF!</v>
      </c>
      <c r="BI31" s="21">
        <v>3.28</v>
      </c>
      <c r="BJ31" s="21" t="str">
        <f>BG33</f>
        <v>CU-270 to R1-Rdeck Amenity</v>
      </c>
      <c r="BL31" s="133"/>
      <c r="BM31" s="133"/>
      <c r="BN31" s="139"/>
      <c r="BO31" s="139"/>
      <c r="BP31" s="139"/>
      <c r="BQ31" s="139"/>
      <c r="BR31" s="139"/>
      <c r="BS31" s="139"/>
      <c r="BT31" s="139"/>
      <c r="BU31" s="139"/>
      <c r="BV31" s="139"/>
      <c r="BW31" s="139"/>
      <c r="BX31" s="139"/>
      <c r="BY31" s="139"/>
      <c r="BZ31" s="139"/>
      <c r="CA31" s="139"/>
      <c r="CB31" s="139"/>
      <c r="CC31" s="133"/>
      <c r="CD31" s="133"/>
      <c r="CE31" s="168">
        <f t="shared" si="35"/>
        <v>0</v>
      </c>
      <c r="CF31" s="169">
        <f t="shared" si="36"/>
        <v>0</v>
      </c>
      <c r="CG31" s="169">
        <f t="shared" si="37"/>
        <v>0</v>
      </c>
      <c r="CH31" s="169">
        <f t="shared" si="38"/>
        <v>0</v>
      </c>
      <c r="CI31" s="169">
        <f t="shared" si="39"/>
        <v>0</v>
      </c>
      <c r="CJ31" s="169">
        <f t="shared" si="41"/>
        <v>0</v>
      </c>
      <c r="CK31" s="169">
        <f t="shared" si="42"/>
        <v>0</v>
      </c>
      <c r="CL31" s="169">
        <f t="shared" si="43"/>
        <v>0</v>
      </c>
      <c r="CM31" s="171">
        <f t="shared" si="44"/>
        <v>0</v>
      </c>
      <c r="CN31" s="171">
        <f t="shared" si="45"/>
        <v>0</v>
      </c>
      <c r="CO31" s="171">
        <f t="shared" si="46"/>
        <v>0</v>
      </c>
      <c r="CP31" s="171">
        <f t="shared" si="47"/>
        <v>0</v>
      </c>
      <c r="CQ31" s="171">
        <f t="shared" si="48"/>
        <v>0</v>
      </c>
      <c r="CR31" s="171">
        <f t="shared" si="49"/>
        <v>0</v>
      </c>
      <c r="CS31" s="172">
        <f t="shared" si="50"/>
        <v>0</v>
      </c>
    </row>
    <row r="32" spans="1:97" ht="16.5" customHeight="1" x14ac:dyDescent="0.3">
      <c r="A32" s="144"/>
      <c r="B32" s="145"/>
      <c r="C32" s="145"/>
      <c r="D32" s="146"/>
      <c r="E32" s="146"/>
      <c r="F32" s="4"/>
      <c r="G32" s="4"/>
      <c r="H32" s="3"/>
      <c r="I32" s="127">
        <f t="shared" si="3"/>
        <v>0</v>
      </c>
      <c r="J32" s="3"/>
      <c r="K32" s="3"/>
      <c r="L32" s="4"/>
      <c r="M32" s="4"/>
      <c r="N32" s="111">
        <f t="shared" si="4"/>
        <v>0</v>
      </c>
      <c r="O32" s="170"/>
      <c r="P32" s="147"/>
      <c r="R32" s="118"/>
      <c r="S32" s="115"/>
      <c r="T32" s="54"/>
      <c r="U32" s="55"/>
      <c r="V32" s="54"/>
      <c r="W32" s="54"/>
      <c r="X32" s="55"/>
      <c r="Z32" s="167">
        <f t="array" ref="Z32">IF(Z$1=0,"",SQRT((_xlfn.XLOOKUP(Z$1,$R$2:$R$18,$S$2:$S$18)-$L32)^2+(_xlfn.XLOOKUP(Z$1,$R$2:$R$18,$T$2:$T$18)-$M32)^2+(_xlfn.XLOOKUP(Z$1,$R$2:$R$18,$U$2:$U$18-$N32)^2)))</f>
        <v>98.29525370026775</v>
      </c>
      <c r="AA32" s="149">
        <f t="array" ref="AA32">IF(AA$1=0,"",SQRT((_xlfn.XLOOKUP(AA$1,$R$2:$R$18,$S$2:$S$18)-$L32)^2+(_xlfn.XLOOKUP(AA$1,$R$2:$R$18,$T$2:$T$18)-$M32)^2+(_xlfn.XLOOKUP(AA$1,$R$2:$R$18,$U$2:$U$18-$N32)^2)))</f>
        <v>3.28</v>
      </c>
      <c r="AB32" s="149" t="str">
        <f t="array" ref="AB32">IF(AB$1=0,"",SQRT((_xlfn.XLOOKUP(AB$1,$R$2:$R$18,$S$2:$S$18)-$L32)^2+(_xlfn.XLOOKUP(AB$1,$R$2:$R$18,$T$2:$T$18)-$M32)^2+(_xlfn.XLOOKUP(AB$1,$R$2:$R$18,$U$2:$U$18-$N32)^2)))</f>
        <v/>
      </c>
      <c r="AC32" s="149" t="str">
        <f t="array" ref="AC32">IF(AC$1=0,"",SQRT((_xlfn.XLOOKUP(AC$1,$R$2:$R$18,$S$2:$S$18)-$L32)^2+(_xlfn.XLOOKUP(AC$1,$R$2:$R$18,$T$2:$T$18)-$M32)^2+(_xlfn.XLOOKUP(AC$1,$R$2:$R$18,$U$2:$U$18-$N32)^2)))</f>
        <v/>
      </c>
      <c r="AD32" s="149" t="str">
        <f t="array" ref="AD32">IF(AD$1=0,"",SQRT((_xlfn.XLOOKUP(AD$1,$R$2:$R$18,$S$2:$S$18)-$L32)^2+(_xlfn.XLOOKUP(AD$1,$R$2:$R$18,$T$2:$T$18)-$M32)^2+(_xlfn.XLOOKUP(AD$1,$R$2:$R$18,$U$2:$U$18-$N32)^2)))</f>
        <v/>
      </c>
      <c r="AE32" s="149" t="str">
        <f t="array" ref="AE32">IF(AE$1=0,"",SQRT((_xlfn.XLOOKUP(AE$1,$R$2:$R$18,$S$2:$S$18)-$L32)^2+(_xlfn.XLOOKUP(AE$1,$R$2:$R$18,$T$2:$T$18)-$M32)^2+(_xlfn.XLOOKUP(AE$1,$R$2:$R$18,$U$2:$U$18-$N32)^2)))</f>
        <v/>
      </c>
      <c r="AF32" s="149" t="str">
        <f t="array" ref="AF32">IF(AF$1=0,"",SQRT((_xlfn.XLOOKUP(AF$1,$R$2:$R$18,$S$2:$S$18)-$L32)^2+(_xlfn.XLOOKUP(AF$1,$R$2:$R$18,$T$2:$T$18)-$M32)^2+(_xlfn.XLOOKUP(AF$1,$R$2:$R$18,$U$2:$U$18-$N32)^2)))</f>
        <v/>
      </c>
      <c r="AG32" s="149" t="str">
        <f t="array" ref="AG32">IF(AG$1=0,"",SQRT((_xlfn.XLOOKUP(AG$1,$R$2:$R$18,$S$2:$S$18)-$L32)^2+(_xlfn.XLOOKUP(AG$1,$R$2:$R$18,$T$2:$T$18)-$M32)^2+(_xlfn.XLOOKUP(AG$1,$R$2:$R$18,$U$2:$U$18-$N32)^2)))</f>
        <v/>
      </c>
      <c r="AH32" s="150" t="str">
        <f t="array" ref="AH32">IF(AH$1=0,"",SQRT((_xlfn.XLOOKUP(AH$1,$R$2:$R$18,$S$2:$S$18)-$L32)^2+(_xlfn.XLOOKUP(AH$1,$R$2:$R$18,$T$2:$T$18)-$M32)^2+(_xlfn.XLOOKUP(AH$1,$R$2:$R$18,$U$2:$U$18-$N32)^2)))</f>
        <v/>
      </c>
      <c r="AI32" s="150" t="str">
        <f t="array" ref="AI32">IF(AI$1=0,"",SQRT((_xlfn.XLOOKUP(AI$1,$R$2:$R$18,$S$2:$S$18)-$L32)^2+(_xlfn.XLOOKUP(AI$1,$R$2:$R$18,$T$2:$T$18)-$M32)^2+(_xlfn.XLOOKUP(AI$1,$R$2:$R$18,$U$2:$U$18-$N32)^2)))</f>
        <v/>
      </c>
      <c r="AJ32" s="150" t="str">
        <f t="array" ref="AJ32">IF(AJ$1=0,"",SQRT((_xlfn.XLOOKUP(AJ$1,$R$2:$R$18,$S$2:$S$18)-$L32)^2+(_xlfn.XLOOKUP(AJ$1,$R$2:$R$18,$T$2:$T$18)-$M32)^2+(_xlfn.XLOOKUP(AJ$1,$R$2:$R$18,$U$2:$U$18-$N32)^2)))</f>
        <v/>
      </c>
      <c r="AK32" s="150" t="str">
        <f t="array" ref="AK32">IF(AK$1=0,"",SQRT((_xlfn.XLOOKUP(AK$1,$R$2:$R$18,$S$2:$S$18)-$L32)^2+(_xlfn.XLOOKUP(AK$1,$R$2:$R$18,$T$2:$T$18)-$M32)^2+(_xlfn.XLOOKUP(AK$1,$R$2:$R$18,$U$2:$U$18-$N32)^2)))</f>
        <v/>
      </c>
      <c r="AL32" s="150" t="str">
        <f t="array" ref="AL32">IF(AL$1=0,"",SQRT((_xlfn.XLOOKUP(AL$1,$R$2:$R$18,$S$2:$S$18)-$L32)^2+(_xlfn.XLOOKUP(AL$1,$R$2:$R$18,$T$2:$T$18)-$M32)^2+(_xlfn.XLOOKUP(AL$1,$R$2:$R$18,$U$2:$U$18-$N32)^2)))</f>
        <v/>
      </c>
      <c r="AM32" s="150" t="str">
        <f t="array" ref="AM32">IF(AM$1=0,"",SQRT((_xlfn.XLOOKUP(AM$1,$R$2:$R$18,$S$2:$S$18)-$L32)^2+(_xlfn.XLOOKUP(AM$1,$R$2:$R$18,$T$2:$T$18)-$M32)^2+(_xlfn.XLOOKUP(AM$1,$R$2:$R$18,$U$2:$U$18-$N32)^2)))</f>
        <v/>
      </c>
      <c r="AN32" s="151" t="str">
        <f t="array" ref="AN32">IF(AN$1=0,"",SQRT((_xlfn.XLOOKUP(AN$1,$R$2:$R$18,$S$2:$S$18)-$L32)^2+(_xlfn.XLOOKUP(AN$1,$R$2:$R$18,$T$2:$T$18)-$M32)^2+(_xlfn.XLOOKUP(AN$1,$R$2:$R$18,$U$2:$U$18-$N32)^2)))</f>
        <v/>
      </c>
      <c r="AO32" s="133"/>
      <c r="AP32" s="133"/>
      <c r="AQ32" s="134">
        <f t="shared" si="5"/>
        <v>0</v>
      </c>
      <c r="AR32" s="152">
        <f t="shared" si="6"/>
        <v>0</v>
      </c>
      <c r="AS32" s="152">
        <f t="shared" si="7"/>
        <v>0</v>
      </c>
      <c r="AT32" s="152">
        <f t="shared" si="8"/>
        <v>0</v>
      </c>
      <c r="AU32" s="152">
        <f t="shared" si="9"/>
        <v>0</v>
      </c>
      <c r="AV32" s="152">
        <f t="shared" si="10"/>
        <v>0</v>
      </c>
      <c r="AW32" s="152">
        <f t="shared" si="11"/>
        <v>0</v>
      </c>
      <c r="AX32" s="152">
        <f t="shared" si="12"/>
        <v>0</v>
      </c>
      <c r="AY32" s="153">
        <f t="shared" si="13"/>
        <v>0</v>
      </c>
      <c r="AZ32" s="153">
        <f t="shared" si="14"/>
        <v>0</v>
      </c>
      <c r="BA32" s="153">
        <f t="shared" si="15"/>
        <v>0</v>
      </c>
      <c r="BB32" s="153">
        <f t="shared" si="16"/>
        <v>0</v>
      </c>
      <c r="BC32" s="153">
        <f t="shared" si="17"/>
        <v>0</v>
      </c>
      <c r="BD32" s="153">
        <f t="shared" si="18"/>
        <v>0</v>
      </c>
      <c r="BE32" s="154">
        <f t="shared" si="19"/>
        <v>0</v>
      </c>
      <c r="BF32" s="133"/>
      <c r="BG32" s="21"/>
      <c r="BH32" s="21"/>
      <c r="BI32" s="21"/>
      <c r="BJ32" s="21" t="str">
        <f>"Barrier Reduction per ARI: " &amp; 'Input LwA_XYZ'!BH46 &amp; " dB"</f>
        <v>Barrier Reduction per ARI: 14 dB</v>
      </c>
      <c r="BL32" s="133"/>
      <c r="BM32" s="133"/>
      <c r="BN32" s="139"/>
      <c r="BO32" s="139"/>
      <c r="BP32" s="139"/>
      <c r="BQ32" s="139"/>
      <c r="BR32" s="139"/>
      <c r="BS32" s="139"/>
      <c r="BT32" s="139"/>
      <c r="BU32" s="139"/>
      <c r="BV32" s="139"/>
      <c r="BW32" s="139"/>
      <c r="BX32" s="139"/>
      <c r="BY32" s="139"/>
      <c r="BZ32" s="139"/>
      <c r="CA32" s="139"/>
      <c r="CB32" s="139"/>
      <c r="CC32" s="133"/>
      <c r="CD32" s="133"/>
      <c r="CE32" s="168">
        <f t="shared" si="35"/>
        <v>0</v>
      </c>
      <c r="CF32" s="169">
        <f t="shared" si="36"/>
        <v>0</v>
      </c>
      <c r="CG32" s="169">
        <f t="shared" si="37"/>
        <v>0</v>
      </c>
      <c r="CH32" s="169">
        <f t="shared" si="38"/>
        <v>0</v>
      </c>
      <c r="CI32" s="169">
        <f t="shared" si="39"/>
        <v>0</v>
      </c>
      <c r="CJ32" s="169">
        <f t="shared" si="41"/>
        <v>0</v>
      </c>
      <c r="CK32" s="169">
        <f t="shared" si="42"/>
        <v>0</v>
      </c>
      <c r="CL32" s="169">
        <f t="shared" si="43"/>
        <v>0</v>
      </c>
      <c r="CM32" s="171">
        <f t="shared" si="44"/>
        <v>0</v>
      </c>
      <c r="CN32" s="171">
        <f t="shared" si="45"/>
        <v>0</v>
      </c>
      <c r="CO32" s="171">
        <f t="shared" si="46"/>
        <v>0</v>
      </c>
      <c r="CP32" s="171">
        <f t="shared" si="47"/>
        <v>0</v>
      </c>
      <c r="CQ32" s="171">
        <f t="shared" si="48"/>
        <v>0</v>
      </c>
      <c r="CR32" s="171">
        <f t="shared" si="49"/>
        <v>0</v>
      </c>
      <c r="CS32" s="172">
        <f t="shared" si="50"/>
        <v>0</v>
      </c>
    </row>
    <row r="33" spans="1:97" ht="16.5" customHeight="1" x14ac:dyDescent="0.3">
      <c r="A33" s="144"/>
      <c r="B33" s="145"/>
      <c r="C33" s="145"/>
      <c r="D33" s="146"/>
      <c r="E33" s="146"/>
      <c r="F33" s="4"/>
      <c r="G33" s="4"/>
      <c r="H33" s="3"/>
      <c r="I33" s="127">
        <f t="shared" si="3"/>
        <v>0</v>
      </c>
      <c r="J33" s="3"/>
      <c r="K33" s="3"/>
      <c r="L33" s="4"/>
      <c r="M33" s="4"/>
      <c r="N33" s="111">
        <f t="shared" si="4"/>
        <v>0</v>
      </c>
      <c r="O33" s="170"/>
      <c r="P33" s="147"/>
      <c r="R33" s="118"/>
      <c r="S33" s="115"/>
      <c r="T33" s="54"/>
      <c r="U33" s="55"/>
      <c r="V33" s="54"/>
      <c r="W33" s="54"/>
      <c r="X33" s="55"/>
      <c r="Z33" s="167">
        <f t="array" ref="Z33">IF(Z$1=0,"",SQRT((_xlfn.XLOOKUP(Z$1,$R$2:$R$18,$S$2:$S$18)-$L33)^2+(_xlfn.XLOOKUP(Z$1,$R$2:$R$18,$T$2:$T$18)-$M33)^2+(_xlfn.XLOOKUP(Z$1,$R$2:$R$18,$U$2:$U$18-$N33)^2)))</f>
        <v>98.29525370026775</v>
      </c>
      <c r="AA33" s="149">
        <f t="array" ref="AA33">IF(AA$1=0,"",SQRT((_xlfn.XLOOKUP(AA$1,$R$2:$R$18,$S$2:$S$18)-$L33)^2+(_xlfn.XLOOKUP(AA$1,$R$2:$R$18,$T$2:$T$18)-$M33)^2+(_xlfn.XLOOKUP(AA$1,$R$2:$R$18,$U$2:$U$18-$N33)^2)))</f>
        <v>3.28</v>
      </c>
      <c r="AB33" s="149" t="str">
        <f t="array" ref="AB33">IF(AB$1=0,"",SQRT((_xlfn.XLOOKUP(AB$1,$R$2:$R$18,$S$2:$S$18)-$L33)^2+(_xlfn.XLOOKUP(AB$1,$R$2:$R$18,$T$2:$T$18)-$M33)^2+(_xlfn.XLOOKUP(AB$1,$R$2:$R$18,$U$2:$U$18-$N33)^2)))</f>
        <v/>
      </c>
      <c r="AC33" s="149" t="str">
        <f t="array" ref="AC33">IF(AC$1=0,"",SQRT((_xlfn.XLOOKUP(AC$1,$R$2:$R$18,$S$2:$S$18)-$L33)^2+(_xlfn.XLOOKUP(AC$1,$R$2:$R$18,$T$2:$T$18)-$M33)^2+(_xlfn.XLOOKUP(AC$1,$R$2:$R$18,$U$2:$U$18-$N33)^2)))</f>
        <v/>
      </c>
      <c r="AD33" s="149" t="str">
        <f t="array" ref="AD33">IF(AD$1=0,"",SQRT((_xlfn.XLOOKUP(AD$1,$R$2:$R$18,$S$2:$S$18)-$L33)^2+(_xlfn.XLOOKUP(AD$1,$R$2:$R$18,$T$2:$T$18)-$M33)^2+(_xlfn.XLOOKUP(AD$1,$R$2:$R$18,$U$2:$U$18-$N33)^2)))</f>
        <v/>
      </c>
      <c r="AE33" s="149" t="str">
        <f t="array" ref="AE33">IF(AE$1=0,"",SQRT((_xlfn.XLOOKUP(AE$1,$R$2:$R$18,$S$2:$S$18)-$L33)^2+(_xlfn.XLOOKUP(AE$1,$R$2:$R$18,$T$2:$T$18)-$M33)^2+(_xlfn.XLOOKUP(AE$1,$R$2:$R$18,$U$2:$U$18-$N33)^2)))</f>
        <v/>
      </c>
      <c r="AF33" s="149" t="str">
        <f t="array" ref="AF33">IF(AF$1=0,"",SQRT((_xlfn.XLOOKUP(AF$1,$R$2:$R$18,$S$2:$S$18)-$L33)^2+(_xlfn.XLOOKUP(AF$1,$R$2:$R$18,$T$2:$T$18)-$M33)^2+(_xlfn.XLOOKUP(AF$1,$R$2:$R$18,$U$2:$U$18-$N33)^2)))</f>
        <v/>
      </c>
      <c r="AG33" s="149" t="str">
        <f t="array" ref="AG33">IF(AG$1=0,"",SQRT((_xlfn.XLOOKUP(AG$1,$R$2:$R$18,$S$2:$S$18)-$L33)^2+(_xlfn.XLOOKUP(AG$1,$R$2:$R$18,$T$2:$T$18)-$M33)^2+(_xlfn.XLOOKUP(AG$1,$R$2:$R$18,$U$2:$U$18-$N33)^2)))</f>
        <v/>
      </c>
      <c r="AH33" s="150" t="str">
        <f t="array" ref="AH33">IF(AH$1=0,"",SQRT((_xlfn.XLOOKUP(AH$1,$R$2:$R$18,$S$2:$S$18)-$L33)^2+(_xlfn.XLOOKUP(AH$1,$R$2:$R$18,$T$2:$T$18)-$M33)^2+(_xlfn.XLOOKUP(AH$1,$R$2:$R$18,$U$2:$U$18-$N33)^2)))</f>
        <v/>
      </c>
      <c r="AI33" s="150" t="str">
        <f t="array" ref="AI33">IF(AI$1=0,"",SQRT((_xlfn.XLOOKUP(AI$1,$R$2:$R$18,$S$2:$S$18)-$L33)^2+(_xlfn.XLOOKUP(AI$1,$R$2:$R$18,$T$2:$T$18)-$M33)^2+(_xlfn.XLOOKUP(AI$1,$R$2:$R$18,$U$2:$U$18-$N33)^2)))</f>
        <v/>
      </c>
      <c r="AJ33" s="150" t="str">
        <f t="array" ref="AJ33">IF(AJ$1=0,"",SQRT((_xlfn.XLOOKUP(AJ$1,$R$2:$R$18,$S$2:$S$18)-$L33)^2+(_xlfn.XLOOKUP(AJ$1,$R$2:$R$18,$T$2:$T$18)-$M33)^2+(_xlfn.XLOOKUP(AJ$1,$R$2:$R$18,$U$2:$U$18-$N33)^2)))</f>
        <v/>
      </c>
      <c r="AK33" s="150" t="str">
        <f t="array" ref="AK33">IF(AK$1=0,"",SQRT((_xlfn.XLOOKUP(AK$1,$R$2:$R$18,$S$2:$S$18)-$L33)^2+(_xlfn.XLOOKUP(AK$1,$R$2:$R$18,$T$2:$T$18)-$M33)^2+(_xlfn.XLOOKUP(AK$1,$R$2:$R$18,$U$2:$U$18-$N33)^2)))</f>
        <v/>
      </c>
      <c r="AL33" s="150" t="str">
        <f t="array" ref="AL33">IF(AL$1=0,"",SQRT((_xlfn.XLOOKUP(AL$1,$R$2:$R$18,$S$2:$S$18)-$L33)^2+(_xlfn.XLOOKUP(AL$1,$R$2:$R$18,$T$2:$T$18)-$M33)^2+(_xlfn.XLOOKUP(AL$1,$R$2:$R$18,$U$2:$U$18-$N33)^2)))</f>
        <v/>
      </c>
      <c r="AM33" s="150" t="str">
        <f t="array" ref="AM33">IF(AM$1=0,"",SQRT((_xlfn.XLOOKUP(AM$1,$R$2:$R$18,$S$2:$S$18)-$L33)^2+(_xlfn.XLOOKUP(AM$1,$R$2:$R$18,$T$2:$T$18)-$M33)^2+(_xlfn.XLOOKUP(AM$1,$R$2:$R$18,$U$2:$U$18-$N33)^2)))</f>
        <v/>
      </c>
      <c r="AN33" s="151" t="str">
        <f t="array" ref="AN33">IF(AN$1=0,"",SQRT((_xlfn.XLOOKUP(AN$1,$R$2:$R$18,$S$2:$S$18)-$L33)^2+(_xlfn.XLOOKUP(AN$1,$R$2:$R$18,$T$2:$T$18)-$M33)^2+(_xlfn.XLOOKUP(AN$1,$R$2:$R$18,$U$2:$U$18-$N33)^2)))</f>
        <v/>
      </c>
      <c r="AO33" s="133"/>
      <c r="AP33" s="133"/>
      <c r="AQ33" s="134">
        <f t="shared" si="5"/>
        <v>0</v>
      </c>
      <c r="AR33" s="152">
        <f t="shared" si="6"/>
        <v>0</v>
      </c>
      <c r="AS33" s="152">
        <f t="shared" si="7"/>
        <v>0</v>
      </c>
      <c r="AT33" s="152">
        <f t="shared" si="8"/>
        <v>0</v>
      </c>
      <c r="AU33" s="152">
        <f t="shared" si="9"/>
        <v>0</v>
      </c>
      <c r="AV33" s="152">
        <f t="shared" si="10"/>
        <v>0</v>
      </c>
      <c r="AW33" s="152">
        <f t="shared" si="11"/>
        <v>0</v>
      </c>
      <c r="AX33" s="152">
        <f t="shared" si="12"/>
        <v>0</v>
      </c>
      <c r="AY33" s="153">
        <f t="shared" si="13"/>
        <v>0</v>
      </c>
      <c r="AZ33" s="153">
        <f t="shared" si="14"/>
        <v>0</v>
      </c>
      <c r="BA33" s="153">
        <f t="shared" si="15"/>
        <v>0</v>
      </c>
      <c r="BB33" s="153">
        <f t="shared" si="16"/>
        <v>0</v>
      </c>
      <c r="BC33" s="153">
        <f t="shared" si="17"/>
        <v>0</v>
      </c>
      <c r="BD33" s="153">
        <f t="shared" si="18"/>
        <v>0</v>
      </c>
      <c r="BE33" s="154">
        <f t="shared" si="19"/>
        <v>0</v>
      </c>
      <c r="BF33" s="133"/>
      <c r="BG33" s="50" t="str">
        <f>_xlfn.TEXTJOIN(" to ",TRUE,'Input LwA_XYZ'!BH4:BH5)</f>
        <v>CU-270 to R1-Rdeck Amenity</v>
      </c>
      <c r="BH33" s="21"/>
      <c r="BI33" s="21"/>
      <c r="BJ33" s="21"/>
      <c r="BK33" s="21"/>
      <c r="BL33" s="133"/>
      <c r="BM33" s="133"/>
      <c r="BN33" s="139"/>
      <c r="BO33" s="139"/>
      <c r="BP33" s="139"/>
      <c r="BQ33" s="139"/>
      <c r="BR33" s="139"/>
      <c r="BS33" s="139"/>
      <c r="BT33" s="139"/>
      <c r="BU33" s="139"/>
      <c r="BV33" s="139"/>
      <c r="BW33" s="139"/>
      <c r="BX33" s="139"/>
      <c r="BY33" s="139"/>
      <c r="BZ33" s="139"/>
      <c r="CA33" s="139"/>
      <c r="CB33" s="139"/>
      <c r="CC33" s="133"/>
      <c r="CD33" s="133"/>
      <c r="CE33" s="168">
        <f t="shared" si="35"/>
        <v>0</v>
      </c>
      <c r="CF33" s="169">
        <f t="shared" si="36"/>
        <v>0</v>
      </c>
      <c r="CG33" s="169">
        <f t="shared" si="37"/>
        <v>0</v>
      </c>
      <c r="CH33" s="169">
        <f t="shared" si="38"/>
        <v>0</v>
      </c>
      <c r="CI33" s="169">
        <f t="shared" si="39"/>
        <v>0</v>
      </c>
      <c r="CJ33" s="169">
        <f t="shared" si="41"/>
        <v>0</v>
      </c>
      <c r="CK33" s="169">
        <f t="shared" si="42"/>
        <v>0</v>
      </c>
      <c r="CL33" s="169">
        <f t="shared" si="43"/>
        <v>0</v>
      </c>
      <c r="CM33" s="171">
        <f t="shared" si="44"/>
        <v>0</v>
      </c>
      <c r="CN33" s="171">
        <f t="shared" si="45"/>
        <v>0</v>
      </c>
      <c r="CO33" s="171">
        <f t="shared" si="46"/>
        <v>0</v>
      </c>
      <c r="CP33" s="171">
        <f t="shared" si="47"/>
        <v>0</v>
      </c>
      <c r="CQ33" s="171">
        <f t="shared" si="48"/>
        <v>0</v>
      </c>
      <c r="CR33" s="171">
        <f t="shared" si="49"/>
        <v>0</v>
      </c>
      <c r="CS33" s="172">
        <f t="shared" si="50"/>
        <v>0</v>
      </c>
    </row>
    <row r="34" spans="1:97" ht="16.5" customHeight="1" x14ac:dyDescent="0.3">
      <c r="A34" s="144"/>
      <c r="B34" s="145"/>
      <c r="C34" s="145"/>
      <c r="D34" s="146"/>
      <c r="E34" s="146"/>
      <c r="F34" s="4"/>
      <c r="G34" s="4"/>
      <c r="H34" s="3"/>
      <c r="I34" s="127">
        <f t="shared" ref="I34:I58" si="51">IF(AND(A34&gt;0, G34&gt;0), F34+ABS(10*LOG10(H34/(4*PI()*CONVERT(G34,"ft", "m")^2))), F34)</f>
        <v>0</v>
      </c>
      <c r="J34" s="3"/>
      <c r="K34" s="3"/>
      <c r="L34" s="4"/>
      <c r="M34" s="4"/>
      <c r="N34" s="111">
        <f t="shared" ref="N34:N58" si="52">SUM(O34:P34)</f>
        <v>0</v>
      </c>
      <c r="O34" s="170"/>
      <c r="P34" s="147"/>
      <c r="R34" s="118"/>
      <c r="S34" s="115"/>
      <c r="T34" s="54"/>
      <c r="U34" s="55"/>
      <c r="V34" s="54"/>
      <c r="W34" s="54"/>
      <c r="X34" s="55"/>
      <c r="Z34" s="167">
        <f t="array" ref="Z34">IF(Z$1=0,"",SQRT((_xlfn.XLOOKUP(Z$1,$R$2:$R$18,$S$2:$S$18)-$L34)^2+(_xlfn.XLOOKUP(Z$1,$R$2:$R$18,$T$2:$T$18)-$M34)^2+(_xlfn.XLOOKUP(Z$1,$R$2:$R$18,$U$2:$U$18-$N34)^2)))</f>
        <v>98.29525370026775</v>
      </c>
      <c r="AA34" s="149">
        <f t="array" ref="AA34">IF(AA$1=0,"",SQRT((_xlfn.XLOOKUP(AA$1,$R$2:$R$18,$S$2:$S$18)-$L34)^2+(_xlfn.XLOOKUP(AA$1,$R$2:$R$18,$T$2:$T$18)-$M34)^2+(_xlfn.XLOOKUP(AA$1,$R$2:$R$18,$U$2:$U$18-$N34)^2)))</f>
        <v>3.28</v>
      </c>
      <c r="AB34" s="149" t="str">
        <f t="array" ref="AB34">IF(AB$1=0,"",SQRT((_xlfn.XLOOKUP(AB$1,$R$2:$R$18,$S$2:$S$18)-$L34)^2+(_xlfn.XLOOKUP(AB$1,$R$2:$R$18,$T$2:$T$18)-$M34)^2+(_xlfn.XLOOKUP(AB$1,$R$2:$R$18,$U$2:$U$18-$N34)^2)))</f>
        <v/>
      </c>
      <c r="AC34" s="149" t="str">
        <f t="array" ref="AC34">IF(AC$1=0,"",SQRT((_xlfn.XLOOKUP(AC$1,$R$2:$R$18,$S$2:$S$18)-$L34)^2+(_xlfn.XLOOKUP(AC$1,$R$2:$R$18,$T$2:$T$18)-$M34)^2+(_xlfn.XLOOKUP(AC$1,$R$2:$R$18,$U$2:$U$18-$N34)^2)))</f>
        <v/>
      </c>
      <c r="AD34" s="149" t="str">
        <f t="array" ref="AD34">IF(AD$1=0,"",SQRT((_xlfn.XLOOKUP(AD$1,$R$2:$R$18,$S$2:$S$18)-$L34)^2+(_xlfn.XLOOKUP(AD$1,$R$2:$R$18,$T$2:$T$18)-$M34)^2+(_xlfn.XLOOKUP(AD$1,$R$2:$R$18,$U$2:$U$18-$N34)^2)))</f>
        <v/>
      </c>
      <c r="AE34" s="149" t="str">
        <f t="array" ref="AE34">IF(AE$1=0,"",SQRT((_xlfn.XLOOKUP(AE$1,$R$2:$R$18,$S$2:$S$18)-$L34)^2+(_xlfn.XLOOKUP(AE$1,$R$2:$R$18,$T$2:$T$18)-$M34)^2+(_xlfn.XLOOKUP(AE$1,$R$2:$R$18,$U$2:$U$18-$N34)^2)))</f>
        <v/>
      </c>
      <c r="AF34" s="149" t="str">
        <f t="array" ref="AF34">IF(AF$1=0,"",SQRT((_xlfn.XLOOKUP(AF$1,$R$2:$R$18,$S$2:$S$18)-$L34)^2+(_xlfn.XLOOKUP(AF$1,$R$2:$R$18,$T$2:$T$18)-$M34)^2+(_xlfn.XLOOKUP(AF$1,$R$2:$R$18,$U$2:$U$18-$N34)^2)))</f>
        <v/>
      </c>
      <c r="AG34" s="149" t="str">
        <f t="array" ref="AG34">IF(AG$1=0,"",SQRT((_xlfn.XLOOKUP(AG$1,$R$2:$R$18,$S$2:$S$18)-$L34)^2+(_xlfn.XLOOKUP(AG$1,$R$2:$R$18,$T$2:$T$18)-$M34)^2+(_xlfn.XLOOKUP(AG$1,$R$2:$R$18,$U$2:$U$18-$N34)^2)))</f>
        <v/>
      </c>
      <c r="AH34" s="150" t="str">
        <f t="array" ref="AH34">IF(AH$1=0,"",SQRT((_xlfn.XLOOKUP(AH$1,$R$2:$R$18,$S$2:$S$18)-$L34)^2+(_xlfn.XLOOKUP(AH$1,$R$2:$R$18,$T$2:$T$18)-$M34)^2+(_xlfn.XLOOKUP(AH$1,$R$2:$R$18,$U$2:$U$18-$N34)^2)))</f>
        <v/>
      </c>
      <c r="AI34" s="150" t="str">
        <f t="array" ref="AI34">IF(AI$1=0,"",SQRT((_xlfn.XLOOKUP(AI$1,$R$2:$R$18,$S$2:$S$18)-$L34)^2+(_xlfn.XLOOKUP(AI$1,$R$2:$R$18,$T$2:$T$18)-$M34)^2+(_xlfn.XLOOKUP(AI$1,$R$2:$R$18,$U$2:$U$18-$N34)^2)))</f>
        <v/>
      </c>
      <c r="AJ34" s="150" t="str">
        <f t="array" ref="AJ34">IF(AJ$1=0,"",SQRT((_xlfn.XLOOKUP(AJ$1,$R$2:$R$18,$S$2:$S$18)-$L34)^2+(_xlfn.XLOOKUP(AJ$1,$R$2:$R$18,$T$2:$T$18)-$M34)^2+(_xlfn.XLOOKUP(AJ$1,$R$2:$R$18,$U$2:$U$18-$N34)^2)))</f>
        <v/>
      </c>
      <c r="AK34" s="150" t="str">
        <f t="array" ref="AK34">IF(AK$1=0,"",SQRT((_xlfn.XLOOKUP(AK$1,$R$2:$R$18,$S$2:$S$18)-$L34)^2+(_xlfn.XLOOKUP(AK$1,$R$2:$R$18,$T$2:$T$18)-$M34)^2+(_xlfn.XLOOKUP(AK$1,$R$2:$R$18,$U$2:$U$18-$N34)^2)))</f>
        <v/>
      </c>
      <c r="AL34" s="150" t="str">
        <f t="array" ref="AL34">IF(AL$1=0,"",SQRT((_xlfn.XLOOKUP(AL$1,$R$2:$R$18,$S$2:$S$18)-$L34)^2+(_xlfn.XLOOKUP(AL$1,$R$2:$R$18,$T$2:$T$18)-$M34)^2+(_xlfn.XLOOKUP(AL$1,$R$2:$R$18,$U$2:$U$18-$N34)^2)))</f>
        <v/>
      </c>
      <c r="AM34" s="150" t="str">
        <f t="array" ref="AM34">IF(AM$1=0,"",SQRT((_xlfn.XLOOKUP(AM$1,$R$2:$R$18,$S$2:$S$18)-$L34)^2+(_xlfn.XLOOKUP(AM$1,$R$2:$R$18,$T$2:$T$18)-$M34)^2+(_xlfn.XLOOKUP(AM$1,$R$2:$R$18,$U$2:$U$18-$N34)^2)))</f>
        <v/>
      </c>
      <c r="AN34" s="151" t="str">
        <f t="array" ref="AN34">IF(AN$1=0,"",SQRT((_xlfn.XLOOKUP(AN$1,$R$2:$R$18,$S$2:$S$18)-$L34)^2+(_xlfn.XLOOKUP(AN$1,$R$2:$R$18,$T$2:$T$18)-$M34)^2+(_xlfn.XLOOKUP(AN$1,$R$2:$R$18,$U$2:$U$18-$N34)^2)))</f>
        <v/>
      </c>
      <c r="AO34" s="133"/>
      <c r="AP34" s="133"/>
      <c r="AQ34" s="134">
        <f t="shared" ref="AQ34:AQ58" si="53">IFERROR(-ABS(10*LOG10(($J34/(4*PI()*CONVERT(Z34,"ft","m")^2)))),0)</f>
        <v>0</v>
      </c>
      <c r="AR34" s="152">
        <f t="shared" ref="AR34:AR58" si="54">IFERROR(-ABS(10*LOG10(($J34/(4*PI()*CONVERT(AA34,"ft","m")^2)))),0)</f>
        <v>0</v>
      </c>
      <c r="AS34" s="152">
        <f t="shared" ref="AS34:AS58" si="55">IFERROR(-ABS(10*LOG10(($J34/(4*PI()*CONVERT(AB34,"ft","m")^2)))),0)</f>
        <v>0</v>
      </c>
      <c r="AT34" s="152">
        <f t="shared" ref="AT34:AT58" si="56">IFERROR(-ABS(10*LOG10(($J34/(4*PI()*CONVERT(AC34,"ft","m")^2)))),0)</f>
        <v>0</v>
      </c>
      <c r="AU34" s="152">
        <f t="shared" ref="AU34:AU58" si="57">IFERROR(-ABS(10*LOG10(($J34/(4*PI()*CONVERT(AD34,"ft","m")^2)))),0)</f>
        <v>0</v>
      </c>
      <c r="AV34" s="152">
        <f t="shared" ref="AV34:AV58" si="58">IFERROR(-ABS(10*LOG10(($J34/(4*PI()*CONVERT(AE34,"ft","m")^2)))),0)</f>
        <v>0</v>
      </c>
      <c r="AW34" s="152">
        <f t="shared" ref="AW34:AW58" si="59">IFERROR(-ABS(10*LOG10(($J34/(4*PI()*CONVERT(AF34,"ft","m")^2)))),0)</f>
        <v>0</v>
      </c>
      <c r="AX34" s="152">
        <f t="shared" ref="AX34:AX58" si="60">IFERROR(-ABS(10*LOG10(($J34/(4*PI()*CONVERT(AG34,"ft","m")^2)))),0)</f>
        <v>0</v>
      </c>
      <c r="AY34" s="153">
        <f t="shared" ref="AY34:AY58" si="61">IFERROR(-ABS(10*LOG10(($J34/(4*PI()*CONVERT(AH34,"ft","m")^2)))),0)</f>
        <v>0</v>
      </c>
      <c r="AZ34" s="153">
        <f t="shared" ref="AZ34:AZ58" si="62">IFERROR(-ABS(10*LOG10(($J34/(4*PI()*CONVERT(AI34,"ft","m")^2)))),0)</f>
        <v>0</v>
      </c>
      <c r="BA34" s="153">
        <f t="shared" ref="BA34:BA58" si="63">IFERROR(-ABS(10*LOG10(($J34/(4*PI()*CONVERT(AJ34,"ft","m")^2)))),0)</f>
        <v>0</v>
      </c>
      <c r="BB34" s="153">
        <f t="shared" ref="BB34:BB58" si="64">IFERROR(-ABS(10*LOG10(($J34/(4*PI()*CONVERT(AK34,"ft","m")^2)))),0)</f>
        <v>0</v>
      </c>
      <c r="BC34" s="153">
        <f t="shared" ref="BC34:BC58" si="65">IFERROR(-ABS(10*LOG10(($J34/(4*PI()*CONVERT(AL34,"ft","m")^2)))),0)</f>
        <v>0</v>
      </c>
      <c r="BD34" s="153">
        <f t="shared" ref="BD34:BD58" si="66">IFERROR(-ABS(10*LOG10(($J34/(4*PI()*CONVERT(AM34,"ft","m")^2)))),0)</f>
        <v>0</v>
      </c>
      <c r="BE34" s="154">
        <f t="shared" ref="BE34:BE58" si="67">IFERROR(-ABS(10*LOG10(($J34/(4*PI()*CONVERT(AN34,"ft","m")^2)))),0)</f>
        <v>0</v>
      </c>
      <c r="BF34" s="133"/>
      <c r="BG34" s="133"/>
      <c r="BH34" s="133"/>
      <c r="BI34" s="133"/>
      <c r="BJ34" s="133"/>
      <c r="BK34" s="133"/>
      <c r="BL34" s="133"/>
      <c r="BM34" s="133"/>
      <c r="BN34" s="139"/>
      <c r="BO34" s="139"/>
      <c r="BP34" s="139"/>
      <c r="BQ34" s="139"/>
      <c r="BR34" s="139"/>
      <c r="BS34" s="139"/>
      <c r="BT34" s="139"/>
      <c r="BU34" s="139"/>
      <c r="BV34" s="139"/>
      <c r="BW34" s="139"/>
      <c r="BX34" s="139"/>
      <c r="BY34" s="139"/>
      <c r="BZ34" s="139"/>
      <c r="CA34" s="139"/>
      <c r="CB34" s="139"/>
      <c r="CC34" s="133"/>
      <c r="CD34" s="133"/>
      <c r="CE34" s="168">
        <f t="shared" si="35"/>
        <v>0</v>
      </c>
      <c r="CF34" s="169">
        <f t="shared" si="36"/>
        <v>0</v>
      </c>
      <c r="CG34" s="169">
        <f t="shared" si="37"/>
        <v>0</v>
      </c>
      <c r="CH34" s="169">
        <f t="shared" si="38"/>
        <v>0</v>
      </c>
      <c r="CI34" s="169">
        <f t="shared" si="39"/>
        <v>0</v>
      </c>
      <c r="CJ34" s="169">
        <f t="shared" si="41"/>
        <v>0</v>
      </c>
      <c r="CK34" s="169">
        <f t="shared" si="42"/>
        <v>0</v>
      </c>
      <c r="CL34" s="169">
        <f t="shared" si="43"/>
        <v>0</v>
      </c>
      <c r="CM34" s="171">
        <f t="shared" si="44"/>
        <v>0</v>
      </c>
      <c r="CN34" s="171">
        <f t="shared" si="45"/>
        <v>0</v>
      </c>
      <c r="CO34" s="171">
        <f t="shared" si="46"/>
        <v>0</v>
      </c>
      <c r="CP34" s="171">
        <f t="shared" si="47"/>
        <v>0</v>
      </c>
      <c r="CQ34" s="171">
        <f t="shared" si="48"/>
        <v>0</v>
      </c>
      <c r="CR34" s="171">
        <f t="shared" si="49"/>
        <v>0</v>
      </c>
      <c r="CS34" s="172">
        <f t="shared" si="50"/>
        <v>0</v>
      </c>
    </row>
    <row r="35" spans="1:97" ht="16.5" customHeight="1" x14ac:dyDescent="0.3">
      <c r="A35" s="144"/>
      <c r="B35" s="145"/>
      <c r="C35" s="145"/>
      <c r="D35" s="146"/>
      <c r="E35" s="146"/>
      <c r="F35" s="4"/>
      <c r="G35" s="4"/>
      <c r="H35" s="3"/>
      <c r="I35" s="127">
        <f t="shared" si="51"/>
        <v>0</v>
      </c>
      <c r="J35" s="3"/>
      <c r="K35" s="3"/>
      <c r="L35" s="4"/>
      <c r="M35" s="4"/>
      <c r="N35" s="111">
        <f t="shared" si="52"/>
        <v>0</v>
      </c>
      <c r="O35" s="170"/>
      <c r="P35" s="147"/>
      <c r="R35" s="118"/>
      <c r="S35" s="115"/>
      <c r="T35" s="54"/>
      <c r="U35" s="55"/>
      <c r="V35" s="54"/>
      <c r="W35" s="54"/>
      <c r="X35" s="55"/>
      <c r="Z35" s="167">
        <f t="array" ref="Z35">IF(Z$1=0,"",SQRT((_xlfn.XLOOKUP(Z$1,$R$2:$R$18,$S$2:$S$18)-$L35)^2+(_xlfn.XLOOKUP(Z$1,$R$2:$R$18,$T$2:$T$18)-$M35)^2+(_xlfn.XLOOKUP(Z$1,$R$2:$R$18,$U$2:$U$18-$N35)^2)))</f>
        <v>98.29525370026775</v>
      </c>
      <c r="AA35" s="149">
        <f t="array" ref="AA35">IF(AA$1=0,"",SQRT((_xlfn.XLOOKUP(AA$1,$R$2:$R$18,$S$2:$S$18)-$L35)^2+(_xlfn.XLOOKUP(AA$1,$R$2:$R$18,$T$2:$T$18)-$M35)^2+(_xlfn.XLOOKUP(AA$1,$R$2:$R$18,$U$2:$U$18-$N35)^2)))</f>
        <v>3.28</v>
      </c>
      <c r="AB35" s="149" t="str">
        <f t="array" ref="AB35">IF(AB$1=0,"",SQRT((_xlfn.XLOOKUP(AB$1,$R$2:$R$18,$S$2:$S$18)-$L35)^2+(_xlfn.XLOOKUP(AB$1,$R$2:$R$18,$T$2:$T$18)-$M35)^2+(_xlfn.XLOOKUP(AB$1,$R$2:$R$18,$U$2:$U$18-$N35)^2)))</f>
        <v/>
      </c>
      <c r="AC35" s="149" t="str">
        <f t="array" ref="AC35">IF(AC$1=0,"",SQRT((_xlfn.XLOOKUP(AC$1,$R$2:$R$18,$S$2:$S$18)-$L35)^2+(_xlfn.XLOOKUP(AC$1,$R$2:$R$18,$T$2:$T$18)-$M35)^2+(_xlfn.XLOOKUP(AC$1,$R$2:$R$18,$U$2:$U$18-$N35)^2)))</f>
        <v/>
      </c>
      <c r="AD35" s="149" t="str">
        <f t="array" ref="AD35">IF(AD$1=0,"",SQRT((_xlfn.XLOOKUP(AD$1,$R$2:$R$18,$S$2:$S$18)-$L35)^2+(_xlfn.XLOOKUP(AD$1,$R$2:$R$18,$T$2:$T$18)-$M35)^2+(_xlfn.XLOOKUP(AD$1,$R$2:$R$18,$U$2:$U$18-$N35)^2)))</f>
        <v/>
      </c>
      <c r="AE35" s="149" t="str">
        <f t="array" ref="AE35">IF(AE$1=0,"",SQRT((_xlfn.XLOOKUP(AE$1,$R$2:$R$18,$S$2:$S$18)-$L35)^2+(_xlfn.XLOOKUP(AE$1,$R$2:$R$18,$T$2:$T$18)-$M35)^2+(_xlfn.XLOOKUP(AE$1,$R$2:$R$18,$U$2:$U$18-$N35)^2)))</f>
        <v/>
      </c>
      <c r="AF35" s="149" t="str">
        <f t="array" ref="AF35">IF(AF$1=0,"",SQRT((_xlfn.XLOOKUP(AF$1,$R$2:$R$18,$S$2:$S$18)-$L35)^2+(_xlfn.XLOOKUP(AF$1,$R$2:$R$18,$T$2:$T$18)-$M35)^2+(_xlfn.XLOOKUP(AF$1,$R$2:$R$18,$U$2:$U$18-$N35)^2)))</f>
        <v/>
      </c>
      <c r="AG35" s="149" t="str">
        <f t="array" ref="AG35">IF(AG$1=0,"",SQRT((_xlfn.XLOOKUP(AG$1,$R$2:$R$18,$S$2:$S$18)-$L35)^2+(_xlfn.XLOOKUP(AG$1,$R$2:$R$18,$T$2:$T$18)-$M35)^2+(_xlfn.XLOOKUP(AG$1,$R$2:$R$18,$U$2:$U$18-$N35)^2)))</f>
        <v/>
      </c>
      <c r="AH35" s="150" t="str">
        <f t="array" ref="AH35">IF(AH$1=0,"",SQRT((_xlfn.XLOOKUP(AH$1,$R$2:$R$18,$S$2:$S$18)-$L35)^2+(_xlfn.XLOOKUP(AH$1,$R$2:$R$18,$T$2:$T$18)-$M35)^2+(_xlfn.XLOOKUP(AH$1,$R$2:$R$18,$U$2:$U$18-$N35)^2)))</f>
        <v/>
      </c>
      <c r="AI35" s="150" t="str">
        <f t="array" ref="AI35">IF(AI$1=0,"",SQRT((_xlfn.XLOOKUP(AI$1,$R$2:$R$18,$S$2:$S$18)-$L35)^2+(_xlfn.XLOOKUP(AI$1,$R$2:$R$18,$T$2:$T$18)-$M35)^2+(_xlfn.XLOOKUP(AI$1,$R$2:$R$18,$U$2:$U$18-$N35)^2)))</f>
        <v/>
      </c>
      <c r="AJ35" s="150" t="str">
        <f t="array" ref="AJ35">IF(AJ$1=0,"",SQRT((_xlfn.XLOOKUP(AJ$1,$R$2:$R$18,$S$2:$S$18)-$L35)^2+(_xlfn.XLOOKUP(AJ$1,$R$2:$R$18,$T$2:$T$18)-$M35)^2+(_xlfn.XLOOKUP(AJ$1,$R$2:$R$18,$U$2:$U$18-$N35)^2)))</f>
        <v/>
      </c>
      <c r="AK35" s="150" t="str">
        <f t="array" ref="AK35">IF(AK$1=0,"",SQRT((_xlfn.XLOOKUP(AK$1,$R$2:$R$18,$S$2:$S$18)-$L35)^2+(_xlfn.XLOOKUP(AK$1,$R$2:$R$18,$T$2:$T$18)-$M35)^2+(_xlfn.XLOOKUP(AK$1,$R$2:$R$18,$U$2:$U$18-$N35)^2)))</f>
        <v/>
      </c>
      <c r="AL35" s="150" t="str">
        <f t="array" ref="AL35">IF(AL$1=0,"",SQRT((_xlfn.XLOOKUP(AL$1,$R$2:$R$18,$S$2:$S$18)-$L35)^2+(_xlfn.XLOOKUP(AL$1,$R$2:$R$18,$T$2:$T$18)-$M35)^2+(_xlfn.XLOOKUP(AL$1,$R$2:$R$18,$U$2:$U$18-$N35)^2)))</f>
        <v/>
      </c>
      <c r="AM35" s="150" t="str">
        <f t="array" ref="AM35">IF(AM$1=0,"",SQRT((_xlfn.XLOOKUP(AM$1,$R$2:$R$18,$S$2:$S$18)-$L35)^2+(_xlfn.XLOOKUP(AM$1,$R$2:$R$18,$T$2:$T$18)-$M35)^2+(_xlfn.XLOOKUP(AM$1,$R$2:$R$18,$U$2:$U$18-$N35)^2)))</f>
        <v/>
      </c>
      <c r="AN35" s="151" t="str">
        <f t="array" ref="AN35">IF(AN$1=0,"",SQRT((_xlfn.XLOOKUP(AN$1,$R$2:$R$18,$S$2:$S$18)-$L35)^2+(_xlfn.XLOOKUP(AN$1,$R$2:$R$18,$T$2:$T$18)-$M35)^2+(_xlfn.XLOOKUP(AN$1,$R$2:$R$18,$U$2:$U$18-$N35)^2)))</f>
        <v/>
      </c>
      <c r="AO35" s="133"/>
      <c r="AP35" s="133"/>
      <c r="AQ35" s="134">
        <f t="shared" si="53"/>
        <v>0</v>
      </c>
      <c r="AR35" s="152">
        <f t="shared" si="54"/>
        <v>0</v>
      </c>
      <c r="AS35" s="152">
        <f t="shared" si="55"/>
        <v>0</v>
      </c>
      <c r="AT35" s="152">
        <f t="shared" si="56"/>
        <v>0</v>
      </c>
      <c r="AU35" s="152">
        <f t="shared" si="57"/>
        <v>0</v>
      </c>
      <c r="AV35" s="152">
        <f t="shared" si="58"/>
        <v>0</v>
      </c>
      <c r="AW35" s="152">
        <f t="shared" si="59"/>
        <v>0</v>
      </c>
      <c r="AX35" s="152">
        <f t="shared" si="60"/>
        <v>0</v>
      </c>
      <c r="AY35" s="153">
        <f t="shared" si="61"/>
        <v>0</v>
      </c>
      <c r="AZ35" s="153">
        <f t="shared" si="62"/>
        <v>0</v>
      </c>
      <c r="BA35" s="153">
        <f t="shared" si="63"/>
        <v>0</v>
      </c>
      <c r="BB35" s="153">
        <f t="shared" si="64"/>
        <v>0</v>
      </c>
      <c r="BC35" s="153">
        <f t="shared" si="65"/>
        <v>0</v>
      </c>
      <c r="BD35" s="153">
        <f t="shared" si="66"/>
        <v>0</v>
      </c>
      <c r="BE35" s="154">
        <f t="shared" si="67"/>
        <v>0</v>
      </c>
      <c r="BF35" s="133"/>
      <c r="BG35" s="133"/>
      <c r="BH35" s="133"/>
      <c r="BI35" s="133"/>
      <c r="BJ35" s="133"/>
      <c r="BK35" s="133"/>
      <c r="BL35" s="133"/>
      <c r="BM35" s="133"/>
      <c r="BN35" s="139"/>
      <c r="BO35" s="139"/>
      <c r="BP35" s="139"/>
      <c r="BQ35" s="139"/>
      <c r="BR35" s="139"/>
      <c r="BS35" s="139"/>
      <c r="BT35" s="139"/>
      <c r="BU35" s="139"/>
      <c r="BV35" s="139"/>
      <c r="BW35" s="139"/>
      <c r="BX35" s="139"/>
      <c r="BY35" s="139"/>
      <c r="BZ35" s="139"/>
      <c r="CA35" s="139"/>
      <c r="CB35" s="139"/>
      <c r="CC35" s="133"/>
      <c r="CD35" s="133"/>
      <c r="CE35" s="168">
        <f t="shared" si="35"/>
        <v>0</v>
      </c>
      <c r="CF35" s="169">
        <f t="shared" si="36"/>
        <v>0</v>
      </c>
      <c r="CG35" s="169">
        <f t="shared" si="37"/>
        <v>0</v>
      </c>
      <c r="CH35" s="169">
        <f t="shared" si="38"/>
        <v>0</v>
      </c>
      <c r="CI35" s="169">
        <f t="shared" si="39"/>
        <v>0</v>
      </c>
      <c r="CJ35" s="169">
        <f t="shared" si="41"/>
        <v>0</v>
      </c>
      <c r="CK35" s="169">
        <f t="shared" si="42"/>
        <v>0</v>
      </c>
      <c r="CL35" s="169">
        <f t="shared" si="43"/>
        <v>0</v>
      </c>
      <c r="CM35" s="171">
        <f t="shared" si="44"/>
        <v>0</v>
      </c>
      <c r="CN35" s="171">
        <f t="shared" si="45"/>
        <v>0</v>
      </c>
      <c r="CO35" s="171">
        <f t="shared" si="46"/>
        <v>0</v>
      </c>
      <c r="CP35" s="171">
        <f t="shared" si="47"/>
        <v>0</v>
      </c>
      <c r="CQ35" s="171">
        <f t="shared" si="48"/>
        <v>0</v>
      </c>
      <c r="CR35" s="171">
        <f t="shared" si="49"/>
        <v>0</v>
      </c>
      <c r="CS35" s="172">
        <f t="shared" si="50"/>
        <v>0</v>
      </c>
    </row>
    <row r="36" spans="1:97" ht="16.5" customHeight="1" x14ac:dyDescent="0.3">
      <c r="A36" s="144"/>
      <c r="B36" s="145"/>
      <c r="C36" s="145"/>
      <c r="D36" s="146"/>
      <c r="E36" s="146"/>
      <c r="F36" s="4"/>
      <c r="G36" s="4"/>
      <c r="H36" s="3"/>
      <c r="I36" s="127">
        <f t="shared" si="51"/>
        <v>0</v>
      </c>
      <c r="J36" s="3"/>
      <c r="K36" s="3"/>
      <c r="L36" s="4"/>
      <c r="M36" s="4"/>
      <c r="N36" s="111">
        <f t="shared" si="52"/>
        <v>0</v>
      </c>
      <c r="O36" s="170"/>
      <c r="P36" s="147"/>
      <c r="R36" s="118"/>
      <c r="S36" s="115"/>
      <c r="T36" s="54"/>
      <c r="U36" s="55"/>
      <c r="V36" s="54"/>
      <c r="W36" s="54"/>
      <c r="X36" s="55"/>
      <c r="Z36" s="167">
        <f t="array" ref="Z36">IF(Z$1=0,"",SQRT((_xlfn.XLOOKUP(Z$1,$R$2:$R$18,$S$2:$S$18)-$L36)^2+(_xlfn.XLOOKUP(Z$1,$R$2:$R$18,$T$2:$T$18)-$M36)^2+(_xlfn.XLOOKUP(Z$1,$R$2:$R$18,$U$2:$U$18-$N36)^2)))</f>
        <v>98.29525370026775</v>
      </c>
      <c r="AA36" s="149">
        <f t="array" ref="AA36">IF(AA$1=0,"",SQRT((_xlfn.XLOOKUP(AA$1,$R$2:$R$18,$S$2:$S$18)-$L36)^2+(_xlfn.XLOOKUP(AA$1,$R$2:$R$18,$T$2:$T$18)-$M36)^2+(_xlfn.XLOOKUP(AA$1,$R$2:$R$18,$U$2:$U$18-$N36)^2)))</f>
        <v>3.28</v>
      </c>
      <c r="AB36" s="149" t="str">
        <f t="array" ref="AB36">IF(AB$1=0,"",SQRT((_xlfn.XLOOKUP(AB$1,$R$2:$R$18,$S$2:$S$18)-$L36)^2+(_xlfn.XLOOKUP(AB$1,$R$2:$R$18,$T$2:$T$18)-$M36)^2+(_xlfn.XLOOKUP(AB$1,$R$2:$R$18,$U$2:$U$18-$N36)^2)))</f>
        <v/>
      </c>
      <c r="AC36" s="149" t="str">
        <f t="array" ref="AC36">IF(AC$1=0,"",SQRT((_xlfn.XLOOKUP(AC$1,$R$2:$R$18,$S$2:$S$18)-$L36)^2+(_xlfn.XLOOKUP(AC$1,$R$2:$R$18,$T$2:$T$18)-$M36)^2+(_xlfn.XLOOKUP(AC$1,$R$2:$R$18,$U$2:$U$18-$N36)^2)))</f>
        <v/>
      </c>
      <c r="AD36" s="149" t="str">
        <f t="array" ref="AD36">IF(AD$1=0,"",SQRT((_xlfn.XLOOKUP(AD$1,$R$2:$R$18,$S$2:$S$18)-$L36)^2+(_xlfn.XLOOKUP(AD$1,$R$2:$R$18,$T$2:$T$18)-$M36)^2+(_xlfn.XLOOKUP(AD$1,$R$2:$R$18,$U$2:$U$18-$N36)^2)))</f>
        <v/>
      </c>
      <c r="AE36" s="149" t="str">
        <f t="array" ref="AE36">IF(AE$1=0,"",SQRT((_xlfn.XLOOKUP(AE$1,$R$2:$R$18,$S$2:$S$18)-$L36)^2+(_xlfn.XLOOKUP(AE$1,$R$2:$R$18,$T$2:$T$18)-$M36)^2+(_xlfn.XLOOKUP(AE$1,$R$2:$R$18,$U$2:$U$18-$N36)^2)))</f>
        <v/>
      </c>
      <c r="AF36" s="149" t="str">
        <f t="array" ref="AF36">IF(AF$1=0,"",SQRT((_xlfn.XLOOKUP(AF$1,$R$2:$R$18,$S$2:$S$18)-$L36)^2+(_xlfn.XLOOKUP(AF$1,$R$2:$R$18,$T$2:$T$18)-$M36)^2+(_xlfn.XLOOKUP(AF$1,$R$2:$R$18,$U$2:$U$18-$N36)^2)))</f>
        <v/>
      </c>
      <c r="AG36" s="149" t="str">
        <f t="array" ref="AG36">IF(AG$1=0,"",SQRT((_xlfn.XLOOKUP(AG$1,$R$2:$R$18,$S$2:$S$18)-$L36)^2+(_xlfn.XLOOKUP(AG$1,$R$2:$R$18,$T$2:$T$18)-$M36)^2+(_xlfn.XLOOKUP(AG$1,$R$2:$R$18,$U$2:$U$18-$N36)^2)))</f>
        <v/>
      </c>
      <c r="AH36" s="150" t="str">
        <f t="array" ref="AH36">IF(AH$1=0,"",SQRT((_xlfn.XLOOKUP(AH$1,$R$2:$R$18,$S$2:$S$18)-$L36)^2+(_xlfn.XLOOKUP(AH$1,$R$2:$R$18,$T$2:$T$18)-$M36)^2+(_xlfn.XLOOKUP(AH$1,$R$2:$R$18,$U$2:$U$18-$N36)^2)))</f>
        <v/>
      </c>
      <c r="AI36" s="150" t="str">
        <f t="array" ref="AI36">IF(AI$1=0,"",SQRT((_xlfn.XLOOKUP(AI$1,$R$2:$R$18,$S$2:$S$18)-$L36)^2+(_xlfn.XLOOKUP(AI$1,$R$2:$R$18,$T$2:$T$18)-$M36)^2+(_xlfn.XLOOKUP(AI$1,$R$2:$R$18,$U$2:$U$18-$N36)^2)))</f>
        <v/>
      </c>
      <c r="AJ36" s="150" t="str">
        <f t="array" ref="AJ36">IF(AJ$1=0,"",SQRT((_xlfn.XLOOKUP(AJ$1,$R$2:$R$18,$S$2:$S$18)-$L36)^2+(_xlfn.XLOOKUP(AJ$1,$R$2:$R$18,$T$2:$T$18)-$M36)^2+(_xlfn.XLOOKUP(AJ$1,$R$2:$R$18,$U$2:$U$18-$N36)^2)))</f>
        <v/>
      </c>
      <c r="AK36" s="150" t="str">
        <f t="array" ref="AK36">IF(AK$1=0,"",SQRT((_xlfn.XLOOKUP(AK$1,$R$2:$R$18,$S$2:$S$18)-$L36)^2+(_xlfn.XLOOKUP(AK$1,$R$2:$R$18,$T$2:$T$18)-$M36)^2+(_xlfn.XLOOKUP(AK$1,$R$2:$R$18,$U$2:$U$18-$N36)^2)))</f>
        <v/>
      </c>
      <c r="AL36" s="150" t="str">
        <f t="array" ref="AL36">IF(AL$1=0,"",SQRT((_xlfn.XLOOKUP(AL$1,$R$2:$R$18,$S$2:$S$18)-$L36)^2+(_xlfn.XLOOKUP(AL$1,$R$2:$R$18,$T$2:$T$18)-$M36)^2+(_xlfn.XLOOKUP(AL$1,$R$2:$R$18,$U$2:$U$18-$N36)^2)))</f>
        <v/>
      </c>
      <c r="AM36" s="150" t="str">
        <f t="array" ref="AM36">IF(AM$1=0,"",SQRT((_xlfn.XLOOKUP(AM$1,$R$2:$R$18,$S$2:$S$18)-$L36)^2+(_xlfn.XLOOKUP(AM$1,$R$2:$R$18,$T$2:$T$18)-$M36)^2+(_xlfn.XLOOKUP(AM$1,$R$2:$R$18,$U$2:$U$18-$N36)^2)))</f>
        <v/>
      </c>
      <c r="AN36" s="151" t="str">
        <f t="array" ref="AN36">IF(AN$1=0,"",SQRT((_xlfn.XLOOKUP(AN$1,$R$2:$R$18,$S$2:$S$18)-$L36)^2+(_xlfn.XLOOKUP(AN$1,$R$2:$R$18,$T$2:$T$18)-$M36)^2+(_xlfn.XLOOKUP(AN$1,$R$2:$R$18,$U$2:$U$18-$N36)^2)))</f>
        <v/>
      </c>
      <c r="AO36" s="133"/>
      <c r="AP36" s="133"/>
      <c r="AQ36" s="134">
        <f t="shared" si="53"/>
        <v>0</v>
      </c>
      <c r="AR36" s="152">
        <f t="shared" si="54"/>
        <v>0</v>
      </c>
      <c r="AS36" s="152">
        <f t="shared" si="55"/>
        <v>0</v>
      </c>
      <c r="AT36" s="152">
        <f t="shared" si="56"/>
        <v>0</v>
      </c>
      <c r="AU36" s="152">
        <f t="shared" si="57"/>
        <v>0</v>
      </c>
      <c r="AV36" s="152">
        <f t="shared" si="58"/>
        <v>0</v>
      </c>
      <c r="AW36" s="152">
        <f t="shared" si="59"/>
        <v>0</v>
      </c>
      <c r="AX36" s="152">
        <f t="shared" si="60"/>
        <v>0</v>
      </c>
      <c r="AY36" s="153">
        <f t="shared" si="61"/>
        <v>0</v>
      </c>
      <c r="AZ36" s="153">
        <f t="shared" si="62"/>
        <v>0</v>
      </c>
      <c r="BA36" s="153">
        <f t="shared" si="63"/>
        <v>0</v>
      </c>
      <c r="BB36" s="153">
        <f t="shared" si="64"/>
        <v>0</v>
      </c>
      <c r="BC36" s="153">
        <f t="shared" si="65"/>
        <v>0</v>
      </c>
      <c r="BD36" s="153">
        <f t="shared" si="66"/>
        <v>0</v>
      </c>
      <c r="BE36" s="154">
        <f t="shared" si="67"/>
        <v>0</v>
      </c>
      <c r="BF36" s="133"/>
      <c r="BG36" s="133"/>
      <c r="BH36" s="133"/>
      <c r="BI36" s="133"/>
      <c r="BJ36" s="133"/>
      <c r="BK36" s="133"/>
      <c r="BL36" s="133"/>
      <c r="BM36" s="133"/>
      <c r="BN36" s="139"/>
      <c r="BO36" s="139"/>
      <c r="BP36" s="139"/>
      <c r="BQ36" s="139"/>
      <c r="BR36" s="139"/>
      <c r="BS36" s="139"/>
      <c r="BT36" s="139"/>
      <c r="BU36" s="139"/>
      <c r="BV36" s="139"/>
      <c r="BW36" s="139"/>
      <c r="BX36" s="139"/>
      <c r="BY36" s="139"/>
      <c r="BZ36" s="139"/>
      <c r="CA36" s="139"/>
      <c r="CB36" s="139"/>
      <c r="CC36" s="133"/>
      <c r="CD36" s="133"/>
      <c r="CE36" s="168">
        <f t="shared" si="35"/>
        <v>0</v>
      </c>
      <c r="CF36" s="169">
        <f t="shared" si="36"/>
        <v>0</v>
      </c>
      <c r="CG36" s="169">
        <f t="shared" si="37"/>
        <v>0</v>
      </c>
      <c r="CH36" s="169">
        <f t="shared" si="38"/>
        <v>0</v>
      </c>
      <c r="CI36" s="169">
        <f t="shared" si="39"/>
        <v>0</v>
      </c>
      <c r="CJ36" s="169">
        <f t="shared" si="41"/>
        <v>0</v>
      </c>
      <c r="CK36" s="169">
        <f t="shared" si="42"/>
        <v>0</v>
      </c>
      <c r="CL36" s="169">
        <f t="shared" si="43"/>
        <v>0</v>
      </c>
      <c r="CM36" s="171">
        <f t="shared" si="44"/>
        <v>0</v>
      </c>
      <c r="CN36" s="171">
        <f t="shared" si="45"/>
        <v>0</v>
      </c>
      <c r="CO36" s="171">
        <f t="shared" si="46"/>
        <v>0</v>
      </c>
      <c r="CP36" s="171">
        <f t="shared" si="47"/>
        <v>0</v>
      </c>
      <c r="CQ36" s="171">
        <f t="shared" si="48"/>
        <v>0</v>
      </c>
      <c r="CR36" s="171">
        <f t="shared" si="49"/>
        <v>0</v>
      </c>
      <c r="CS36" s="172">
        <f t="shared" si="50"/>
        <v>0</v>
      </c>
    </row>
    <row r="37" spans="1:97" ht="16.5" customHeight="1" x14ac:dyDescent="0.3">
      <c r="A37" s="144"/>
      <c r="B37" s="145"/>
      <c r="C37" s="145"/>
      <c r="D37" s="146"/>
      <c r="E37" s="146"/>
      <c r="F37" s="4"/>
      <c r="G37" s="4"/>
      <c r="H37" s="3"/>
      <c r="I37" s="127">
        <f t="shared" si="51"/>
        <v>0</v>
      </c>
      <c r="J37" s="3"/>
      <c r="K37" s="3"/>
      <c r="L37" s="4"/>
      <c r="M37" s="4"/>
      <c r="N37" s="111">
        <f t="shared" si="52"/>
        <v>0</v>
      </c>
      <c r="O37" s="170"/>
      <c r="P37" s="147"/>
      <c r="R37" s="118"/>
      <c r="S37" s="115"/>
      <c r="T37" s="54"/>
      <c r="U37" s="55"/>
      <c r="V37" s="54"/>
      <c r="W37" s="54"/>
      <c r="X37" s="55"/>
      <c r="Z37" s="167">
        <f t="array" ref="Z37">IF(Z$1=0,"",SQRT((_xlfn.XLOOKUP(Z$1,$R$2:$R$18,$S$2:$S$18)-$L37)^2+(_xlfn.XLOOKUP(Z$1,$R$2:$R$18,$T$2:$T$18)-$M37)^2+(_xlfn.XLOOKUP(Z$1,$R$2:$R$18,$U$2:$U$18-$N37)^2)))</f>
        <v>98.29525370026775</v>
      </c>
      <c r="AA37" s="149">
        <f t="array" ref="AA37">IF(AA$1=0,"",SQRT((_xlfn.XLOOKUP(AA$1,$R$2:$R$18,$S$2:$S$18)-$L37)^2+(_xlfn.XLOOKUP(AA$1,$R$2:$R$18,$T$2:$T$18)-$M37)^2+(_xlfn.XLOOKUP(AA$1,$R$2:$R$18,$U$2:$U$18-$N37)^2)))</f>
        <v>3.28</v>
      </c>
      <c r="AB37" s="149" t="str">
        <f t="array" ref="AB37">IF(AB$1=0,"",SQRT((_xlfn.XLOOKUP(AB$1,$R$2:$R$18,$S$2:$S$18)-$L37)^2+(_xlfn.XLOOKUP(AB$1,$R$2:$R$18,$T$2:$T$18)-$M37)^2+(_xlfn.XLOOKUP(AB$1,$R$2:$R$18,$U$2:$U$18-$N37)^2)))</f>
        <v/>
      </c>
      <c r="AC37" s="149" t="str">
        <f t="array" ref="AC37">IF(AC$1=0,"",SQRT((_xlfn.XLOOKUP(AC$1,$R$2:$R$18,$S$2:$S$18)-$L37)^2+(_xlfn.XLOOKUP(AC$1,$R$2:$R$18,$T$2:$T$18)-$M37)^2+(_xlfn.XLOOKUP(AC$1,$R$2:$R$18,$U$2:$U$18-$N37)^2)))</f>
        <v/>
      </c>
      <c r="AD37" s="149" t="str">
        <f t="array" ref="AD37">IF(AD$1=0,"",SQRT((_xlfn.XLOOKUP(AD$1,$R$2:$R$18,$S$2:$S$18)-$L37)^2+(_xlfn.XLOOKUP(AD$1,$R$2:$R$18,$T$2:$T$18)-$M37)^2+(_xlfn.XLOOKUP(AD$1,$R$2:$R$18,$U$2:$U$18-$N37)^2)))</f>
        <v/>
      </c>
      <c r="AE37" s="149" t="str">
        <f t="array" ref="AE37">IF(AE$1=0,"",SQRT((_xlfn.XLOOKUP(AE$1,$R$2:$R$18,$S$2:$S$18)-$L37)^2+(_xlfn.XLOOKUP(AE$1,$R$2:$R$18,$T$2:$T$18)-$M37)^2+(_xlfn.XLOOKUP(AE$1,$R$2:$R$18,$U$2:$U$18-$N37)^2)))</f>
        <v/>
      </c>
      <c r="AF37" s="149" t="str">
        <f t="array" ref="AF37">IF(AF$1=0,"",SQRT((_xlfn.XLOOKUP(AF$1,$R$2:$R$18,$S$2:$S$18)-$L37)^2+(_xlfn.XLOOKUP(AF$1,$R$2:$R$18,$T$2:$T$18)-$M37)^2+(_xlfn.XLOOKUP(AF$1,$R$2:$R$18,$U$2:$U$18-$N37)^2)))</f>
        <v/>
      </c>
      <c r="AG37" s="149" t="str">
        <f t="array" ref="AG37">IF(AG$1=0,"",SQRT((_xlfn.XLOOKUP(AG$1,$R$2:$R$18,$S$2:$S$18)-$L37)^2+(_xlfn.XLOOKUP(AG$1,$R$2:$R$18,$T$2:$T$18)-$M37)^2+(_xlfn.XLOOKUP(AG$1,$R$2:$R$18,$U$2:$U$18-$N37)^2)))</f>
        <v/>
      </c>
      <c r="AH37" s="150" t="str">
        <f t="array" ref="AH37">IF(AH$1=0,"",SQRT((_xlfn.XLOOKUP(AH$1,$R$2:$R$18,$S$2:$S$18)-$L37)^2+(_xlfn.XLOOKUP(AH$1,$R$2:$R$18,$T$2:$T$18)-$M37)^2+(_xlfn.XLOOKUP(AH$1,$R$2:$R$18,$U$2:$U$18-$N37)^2)))</f>
        <v/>
      </c>
      <c r="AI37" s="150" t="str">
        <f t="array" ref="AI37">IF(AI$1=0,"",SQRT((_xlfn.XLOOKUP(AI$1,$R$2:$R$18,$S$2:$S$18)-$L37)^2+(_xlfn.XLOOKUP(AI$1,$R$2:$R$18,$T$2:$T$18)-$M37)^2+(_xlfn.XLOOKUP(AI$1,$R$2:$R$18,$U$2:$U$18-$N37)^2)))</f>
        <v/>
      </c>
      <c r="AJ37" s="150" t="str">
        <f t="array" ref="AJ37">IF(AJ$1=0,"",SQRT((_xlfn.XLOOKUP(AJ$1,$R$2:$R$18,$S$2:$S$18)-$L37)^2+(_xlfn.XLOOKUP(AJ$1,$R$2:$R$18,$T$2:$T$18)-$M37)^2+(_xlfn.XLOOKUP(AJ$1,$R$2:$R$18,$U$2:$U$18-$N37)^2)))</f>
        <v/>
      </c>
      <c r="AK37" s="150" t="str">
        <f t="array" ref="AK37">IF(AK$1=0,"",SQRT((_xlfn.XLOOKUP(AK$1,$R$2:$R$18,$S$2:$S$18)-$L37)^2+(_xlfn.XLOOKUP(AK$1,$R$2:$R$18,$T$2:$T$18)-$M37)^2+(_xlfn.XLOOKUP(AK$1,$R$2:$R$18,$U$2:$U$18-$N37)^2)))</f>
        <v/>
      </c>
      <c r="AL37" s="150" t="str">
        <f t="array" ref="AL37">IF(AL$1=0,"",SQRT((_xlfn.XLOOKUP(AL$1,$R$2:$R$18,$S$2:$S$18)-$L37)^2+(_xlfn.XLOOKUP(AL$1,$R$2:$R$18,$T$2:$T$18)-$M37)^2+(_xlfn.XLOOKUP(AL$1,$R$2:$R$18,$U$2:$U$18-$N37)^2)))</f>
        <v/>
      </c>
      <c r="AM37" s="150" t="str">
        <f t="array" ref="AM37">IF(AM$1=0,"",SQRT((_xlfn.XLOOKUP(AM$1,$R$2:$R$18,$S$2:$S$18)-$L37)^2+(_xlfn.XLOOKUP(AM$1,$R$2:$R$18,$T$2:$T$18)-$M37)^2+(_xlfn.XLOOKUP(AM$1,$R$2:$R$18,$U$2:$U$18-$N37)^2)))</f>
        <v/>
      </c>
      <c r="AN37" s="151" t="str">
        <f t="array" ref="AN37">IF(AN$1=0,"",SQRT((_xlfn.XLOOKUP(AN$1,$R$2:$R$18,$S$2:$S$18)-$L37)^2+(_xlfn.XLOOKUP(AN$1,$R$2:$R$18,$T$2:$T$18)-$M37)^2+(_xlfn.XLOOKUP(AN$1,$R$2:$R$18,$U$2:$U$18-$N37)^2)))</f>
        <v/>
      </c>
      <c r="AO37" s="133"/>
      <c r="AP37" s="133"/>
      <c r="AQ37" s="134">
        <f t="shared" si="53"/>
        <v>0</v>
      </c>
      <c r="AR37" s="152">
        <f t="shared" si="54"/>
        <v>0</v>
      </c>
      <c r="AS37" s="152">
        <f t="shared" si="55"/>
        <v>0</v>
      </c>
      <c r="AT37" s="152">
        <f t="shared" si="56"/>
        <v>0</v>
      </c>
      <c r="AU37" s="152">
        <f t="shared" si="57"/>
        <v>0</v>
      </c>
      <c r="AV37" s="152">
        <f t="shared" si="58"/>
        <v>0</v>
      </c>
      <c r="AW37" s="152">
        <f t="shared" si="59"/>
        <v>0</v>
      </c>
      <c r="AX37" s="152">
        <f t="shared" si="60"/>
        <v>0</v>
      </c>
      <c r="AY37" s="153">
        <f t="shared" si="61"/>
        <v>0</v>
      </c>
      <c r="AZ37" s="153">
        <f t="shared" si="62"/>
        <v>0</v>
      </c>
      <c r="BA37" s="153">
        <f t="shared" si="63"/>
        <v>0</v>
      </c>
      <c r="BB37" s="153">
        <f t="shared" si="64"/>
        <v>0</v>
      </c>
      <c r="BC37" s="153">
        <f t="shared" si="65"/>
        <v>0</v>
      </c>
      <c r="BD37" s="153">
        <f t="shared" si="66"/>
        <v>0</v>
      </c>
      <c r="BE37" s="154">
        <f t="shared" si="67"/>
        <v>0</v>
      </c>
      <c r="BF37" s="133"/>
      <c r="BG37" s="199" t="s">
        <v>83</v>
      </c>
      <c r="BH37" s="200"/>
      <c r="BI37" s="21"/>
      <c r="BJ37" s="133"/>
      <c r="BK37" s="133"/>
      <c r="BL37" s="133"/>
      <c r="BM37" s="133"/>
      <c r="BN37" s="139"/>
      <c r="BO37" s="139"/>
      <c r="BP37" s="139"/>
      <c r="BQ37" s="139"/>
      <c r="BR37" s="139"/>
      <c r="BS37" s="139"/>
      <c r="BT37" s="139"/>
      <c r="BU37" s="139"/>
      <c r="BV37" s="139"/>
      <c r="BW37" s="139"/>
      <c r="BX37" s="139"/>
      <c r="BY37" s="139"/>
      <c r="BZ37" s="139"/>
      <c r="CA37" s="139"/>
      <c r="CB37" s="139"/>
      <c r="CC37" s="133"/>
      <c r="CD37" s="133"/>
      <c r="CE37" s="168">
        <f t="shared" si="35"/>
        <v>0</v>
      </c>
      <c r="CF37" s="169">
        <f t="shared" si="36"/>
        <v>0</v>
      </c>
      <c r="CG37" s="169">
        <f t="shared" si="37"/>
        <v>0</v>
      </c>
      <c r="CH37" s="169">
        <f t="shared" si="38"/>
        <v>0</v>
      </c>
      <c r="CI37" s="169">
        <f t="shared" si="39"/>
        <v>0</v>
      </c>
      <c r="CJ37" s="169">
        <f t="shared" si="41"/>
        <v>0</v>
      </c>
      <c r="CK37" s="169">
        <f t="shared" si="42"/>
        <v>0</v>
      </c>
      <c r="CL37" s="169">
        <f t="shared" si="43"/>
        <v>0</v>
      </c>
      <c r="CM37" s="171">
        <f t="shared" si="44"/>
        <v>0</v>
      </c>
      <c r="CN37" s="171">
        <f t="shared" si="45"/>
        <v>0</v>
      </c>
      <c r="CO37" s="171">
        <f t="shared" si="46"/>
        <v>0</v>
      </c>
      <c r="CP37" s="171">
        <f t="shared" si="47"/>
        <v>0</v>
      </c>
      <c r="CQ37" s="171">
        <f t="shared" si="48"/>
        <v>0</v>
      </c>
      <c r="CR37" s="171">
        <f t="shared" si="49"/>
        <v>0</v>
      </c>
      <c r="CS37" s="172">
        <f t="shared" si="50"/>
        <v>0</v>
      </c>
    </row>
    <row r="38" spans="1:97" ht="16.5" customHeight="1" x14ac:dyDescent="0.3">
      <c r="A38" s="144"/>
      <c r="B38" s="145"/>
      <c r="C38" s="145"/>
      <c r="D38" s="146"/>
      <c r="E38" s="146"/>
      <c r="F38" s="4"/>
      <c r="G38" s="4"/>
      <c r="H38" s="3"/>
      <c r="I38" s="127">
        <f t="shared" si="51"/>
        <v>0</v>
      </c>
      <c r="J38" s="3"/>
      <c r="K38" s="3"/>
      <c r="L38" s="4"/>
      <c r="M38" s="4"/>
      <c r="N38" s="111">
        <f t="shared" si="52"/>
        <v>0</v>
      </c>
      <c r="O38" s="170"/>
      <c r="P38" s="147"/>
      <c r="R38" s="118"/>
      <c r="S38" s="115"/>
      <c r="T38" s="54"/>
      <c r="U38" s="55"/>
      <c r="V38" s="54"/>
      <c r="W38" s="54"/>
      <c r="X38" s="55"/>
      <c r="Z38" s="167">
        <f t="array" ref="Z38">IF(Z$1=0,"",SQRT((_xlfn.XLOOKUP(Z$1,$R$2:$R$18,$S$2:$S$18)-$L38)^2+(_xlfn.XLOOKUP(Z$1,$R$2:$R$18,$T$2:$T$18)-$M38)^2+(_xlfn.XLOOKUP(Z$1,$R$2:$R$18,$U$2:$U$18-$N38)^2)))</f>
        <v>98.29525370026775</v>
      </c>
      <c r="AA38" s="149">
        <f t="array" ref="AA38">IF(AA$1=0,"",SQRT((_xlfn.XLOOKUP(AA$1,$R$2:$R$18,$S$2:$S$18)-$L38)^2+(_xlfn.XLOOKUP(AA$1,$R$2:$R$18,$T$2:$T$18)-$M38)^2+(_xlfn.XLOOKUP(AA$1,$R$2:$R$18,$U$2:$U$18-$N38)^2)))</f>
        <v>3.28</v>
      </c>
      <c r="AB38" s="149" t="str">
        <f t="array" ref="AB38">IF(AB$1=0,"",SQRT((_xlfn.XLOOKUP(AB$1,$R$2:$R$18,$S$2:$S$18)-$L38)^2+(_xlfn.XLOOKUP(AB$1,$R$2:$R$18,$T$2:$T$18)-$M38)^2+(_xlfn.XLOOKUP(AB$1,$R$2:$R$18,$U$2:$U$18-$N38)^2)))</f>
        <v/>
      </c>
      <c r="AC38" s="149" t="str">
        <f t="array" ref="AC38">IF(AC$1=0,"",SQRT((_xlfn.XLOOKUP(AC$1,$R$2:$R$18,$S$2:$S$18)-$L38)^2+(_xlfn.XLOOKUP(AC$1,$R$2:$R$18,$T$2:$T$18)-$M38)^2+(_xlfn.XLOOKUP(AC$1,$R$2:$R$18,$U$2:$U$18-$N38)^2)))</f>
        <v/>
      </c>
      <c r="AD38" s="149" t="str">
        <f t="array" ref="AD38">IF(AD$1=0,"",SQRT((_xlfn.XLOOKUP(AD$1,$R$2:$R$18,$S$2:$S$18)-$L38)^2+(_xlfn.XLOOKUP(AD$1,$R$2:$R$18,$T$2:$T$18)-$M38)^2+(_xlfn.XLOOKUP(AD$1,$R$2:$R$18,$U$2:$U$18-$N38)^2)))</f>
        <v/>
      </c>
      <c r="AE38" s="149" t="str">
        <f t="array" ref="AE38">IF(AE$1=0,"",SQRT((_xlfn.XLOOKUP(AE$1,$R$2:$R$18,$S$2:$S$18)-$L38)^2+(_xlfn.XLOOKUP(AE$1,$R$2:$R$18,$T$2:$T$18)-$M38)^2+(_xlfn.XLOOKUP(AE$1,$R$2:$R$18,$U$2:$U$18-$N38)^2)))</f>
        <v/>
      </c>
      <c r="AF38" s="149" t="str">
        <f t="array" ref="AF38">IF(AF$1=0,"",SQRT((_xlfn.XLOOKUP(AF$1,$R$2:$R$18,$S$2:$S$18)-$L38)^2+(_xlfn.XLOOKUP(AF$1,$R$2:$R$18,$T$2:$T$18)-$M38)^2+(_xlfn.XLOOKUP(AF$1,$R$2:$R$18,$U$2:$U$18-$N38)^2)))</f>
        <v/>
      </c>
      <c r="AG38" s="149" t="str">
        <f t="array" ref="AG38">IF(AG$1=0,"",SQRT((_xlfn.XLOOKUP(AG$1,$R$2:$R$18,$S$2:$S$18)-$L38)^2+(_xlfn.XLOOKUP(AG$1,$R$2:$R$18,$T$2:$T$18)-$M38)^2+(_xlfn.XLOOKUP(AG$1,$R$2:$R$18,$U$2:$U$18-$N38)^2)))</f>
        <v/>
      </c>
      <c r="AH38" s="150" t="str">
        <f t="array" ref="AH38">IF(AH$1=0,"",SQRT((_xlfn.XLOOKUP(AH$1,$R$2:$R$18,$S$2:$S$18)-$L38)^2+(_xlfn.XLOOKUP(AH$1,$R$2:$R$18,$T$2:$T$18)-$M38)^2+(_xlfn.XLOOKUP(AH$1,$R$2:$R$18,$U$2:$U$18-$N38)^2)))</f>
        <v/>
      </c>
      <c r="AI38" s="150" t="str">
        <f t="array" ref="AI38">IF(AI$1=0,"",SQRT((_xlfn.XLOOKUP(AI$1,$R$2:$R$18,$S$2:$S$18)-$L38)^2+(_xlfn.XLOOKUP(AI$1,$R$2:$R$18,$T$2:$T$18)-$M38)^2+(_xlfn.XLOOKUP(AI$1,$R$2:$R$18,$U$2:$U$18-$N38)^2)))</f>
        <v/>
      </c>
      <c r="AJ38" s="150" t="str">
        <f t="array" ref="AJ38">IF(AJ$1=0,"",SQRT((_xlfn.XLOOKUP(AJ$1,$R$2:$R$18,$S$2:$S$18)-$L38)^2+(_xlfn.XLOOKUP(AJ$1,$R$2:$R$18,$T$2:$T$18)-$M38)^2+(_xlfn.XLOOKUP(AJ$1,$R$2:$R$18,$U$2:$U$18-$N38)^2)))</f>
        <v/>
      </c>
      <c r="AK38" s="150" t="str">
        <f t="array" ref="AK38">IF(AK$1=0,"",SQRT((_xlfn.XLOOKUP(AK$1,$R$2:$R$18,$S$2:$S$18)-$L38)^2+(_xlfn.XLOOKUP(AK$1,$R$2:$R$18,$T$2:$T$18)-$M38)^2+(_xlfn.XLOOKUP(AK$1,$R$2:$R$18,$U$2:$U$18-$N38)^2)))</f>
        <v/>
      </c>
      <c r="AL38" s="150" t="str">
        <f t="array" ref="AL38">IF(AL$1=0,"",SQRT((_xlfn.XLOOKUP(AL$1,$R$2:$R$18,$S$2:$S$18)-$L38)^2+(_xlfn.XLOOKUP(AL$1,$R$2:$R$18,$T$2:$T$18)-$M38)^2+(_xlfn.XLOOKUP(AL$1,$R$2:$R$18,$U$2:$U$18-$N38)^2)))</f>
        <v/>
      </c>
      <c r="AM38" s="150" t="str">
        <f t="array" ref="AM38">IF(AM$1=0,"",SQRT((_xlfn.XLOOKUP(AM$1,$R$2:$R$18,$S$2:$S$18)-$L38)^2+(_xlfn.XLOOKUP(AM$1,$R$2:$R$18,$T$2:$T$18)-$M38)^2+(_xlfn.XLOOKUP(AM$1,$R$2:$R$18,$U$2:$U$18-$N38)^2)))</f>
        <v/>
      </c>
      <c r="AN38" s="151" t="str">
        <f t="array" ref="AN38">IF(AN$1=0,"",SQRT((_xlfn.XLOOKUP(AN$1,$R$2:$R$18,$S$2:$S$18)-$L38)^2+(_xlfn.XLOOKUP(AN$1,$R$2:$R$18,$T$2:$T$18)-$M38)^2+(_xlfn.XLOOKUP(AN$1,$R$2:$R$18,$U$2:$U$18-$N38)^2)))</f>
        <v/>
      </c>
      <c r="AO38" s="133"/>
      <c r="AP38" s="133"/>
      <c r="AQ38" s="134">
        <f t="shared" si="53"/>
        <v>0</v>
      </c>
      <c r="AR38" s="152">
        <f t="shared" si="54"/>
        <v>0</v>
      </c>
      <c r="AS38" s="152">
        <f t="shared" si="55"/>
        <v>0</v>
      </c>
      <c r="AT38" s="152">
        <f t="shared" si="56"/>
        <v>0</v>
      </c>
      <c r="AU38" s="152">
        <f t="shared" si="57"/>
        <v>0</v>
      </c>
      <c r="AV38" s="152">
        <f t="shared" si="58"/>
        <v>0</v>
      </c>
      <c r="AW38" s="152">
        <f t="shared" si="59"/>
        <v>0</v>
      </c>
      <c r="AX38" s="152">
        <f t="shared" si="60"/>
        <v>0</v>
      </c>
      <c r="AY38" s="153">
        <f t="shared" si="61"/>
        <v>0</v>
      </c>
      <c r="AZ38" s="153">
        <f t="shared" si="62"/>
        <v>0</v>
      </c>
      <c r="BA38" s="153">
        <f t="shared" si="63"/>
        <v>0</v>
      </c>
      <c r="BB38" s="153">
        <f t="shared" si="64"/>
        <v>0</v>
      </c>
      <c r="BC38" s="153">
        <f t="shared" si="65"/>
        <v>0</v>
      </c>
      <c r="BD38" s="153">
        <f t="shared" si="66"/>
        <v>0</v>
      </c>
      <c r="BE38" s="154">
        <f t="shared" si="67"/>
        <v>0</v>
      </c>
      <c r="BF38" s="133"/>
      <c r="BG38" s="59" t="s">
        <v>84</v>
      </c>
      <c r="BH38" s="59" t="s">
        <v>85</v>
      </c>
      <c r="BI38" s="21"/>
      <c r="BJ38" s="133"/>
      <c r="BK38" s="133"/>
      <c r="BL38" s="133"/>
      <c r="BM38" s="133"/>
      <c r="BN38" s="139"/>
      <c r="BO38" s="139"/>
      <c r="BP38" s="139"/>
      <c r="BQ38" s="139"/>
      <c r="BR38" s="139"/>
      <c r="BS38" s="139"/>
      <c r="BT38" s="139"/>
      <c r="BU38" s="139"/>
      <c r="BV38" s="139"/>
      <c r="BW38" s="139"/>
      <c r="BX38" s="139"/>
      <c r="BY38" s="139"/>
      <c r="BZ38" s="139"/>
      <c r="CA38" s="139"/>
      <c r="CB38" s="139"/>
      <c r="CC38" s="133"/>
      <c r="CD38" s="133"/>
      <c r="CE38" s="168">
        <f t="shared" si="35"/>
        <v>0</v>
      </c>
      <c r="CF38" s="169">
        <f t="shared" si="36"/>
        <v>0</v>
      </c>
      <c r="CG38" s="169">
        <f t="shared" si="37"/>
        <v>0</v>
      </c>
      <c r="CH38" s="169">
        <f t="shared" si="38"/>
        <v>0</v>
      </c>
      <c r="CI38" s="169">
        <f t="shared" si="39"/>
        <v>0</v>
      </c>
      <c r="CJ38" s="169">
        <f t="shared" si="41"/>
        <v>0</v>
      </c>
      <c r="CK38" s="169">
        <f t="shared" si="42"/>
        <v>0</v>
      </c>
      <c r="CL38" s="169">
        <f t="shared" si="43"/>
        <v>0</v>
      </c>
      <c r="CM38" s="171">
        <f t="shared" si="44"/>
        <v>0</v>
      </c>
      <c r="CN38" s="171">
        <f t="shared" si="45"/>
        <v>0</v>
      </c>
      <c r="CO38" s="171">
        <f t="shared" si="46"/>
        <v>0</v>
      </c>
      <c r="CP38" s="171">
        <f t="shared" si="47"/>
        <v>0</v>
      </c>
      <c r="CQ38" s="171">
        <f t="shared" si="48"/>
        <v>0</v>
      </c>
      <c r="CR38" s="171">
        <f t="shared" si="49"/>
        <v>0</v>
      </c>
      <c r="CS38" s="172">
        <f t="shared" si="50"/>
        <v>0</v>
      </c>
    </row>
    <row r="39" spans="1:97" ht="16.5" customHeight="1" x14ac:dyDescent="0.3">
      <c r="A39" s="144"/>
      <c r="B39" s="145"/>
      <c r="C39" s="145"/>
      <c r="D39" s="146"/>
      <c r="E39" s="146"/>
      <c r="F39" s="4"/>
      <c r="G39" s="4"/>
      <c r="H39" s="3"/>
      <c r="I39" s="127">
        <f t="shared" si="51"/>
        <v>0</v>
      </c>
      <c r="J39" s="3"/>
      <c r="K39" s="3"/>
      <c r="L39" s="4"/>
      <c r="M39" s="4"/>
      <c r="N39" s="111">
        <f t="shared" si="52"/>
        <v>0</v>
      </c>
      <c r="O39" s="170"/>
      <c r="P39" s="147"/>
      <c r="R39" s="118"/>
      <c r="S39" s="115"/>
      <c r="T39" s="54"/>
      <c r="U39" s="55"/>
      <c r="V39" s="54"/>
      <c r="W39" s="54"/>
      <c r="X39" s="55"/>
      <c r="Z39" s="167">
        <f t="array" ref="Z39">IF(Z$1=0,"",SQRT((_xlfn.XLOOKUP(Z$1,$R$2:$R$18,$S$2:$S$18)-$L39)^2+(_xlfn.XLOOKUP(Z$1,$R$2:$R$18,$T$2:$T$18)-$M39)^2+(_xlfn.XLOOKUP(Z$1,$R$2:$R$18,$U$2:$U$18-$N39)^2)))</f>
        <v>98.29525370026775</v>
      </c>
      <c r="AA39" s="149">
        <f t="array" ref="AA39">IF(AA$1=0,"",SQRT((_xlfn.XLOOKUP(AA$1,$R$2:$R$18,$S$2:$S$18)-$L39)^2+(_xlfn.XLOOKUP(AA$1,$R$2:$R$18,$T$2:$T$18)-$M39)^2+(_xlfn.XLOOKUP(AA$1,$R$2:$R$18,$U$2:$U$18-$N39)^2)))</f>
        <v>3.28</v>
      </c>
      <c r="AB39" s="149" t="str">
        <f t="array" ref="AB39">IF(AB$1=0,"",SQRT((_xlfn.XLOOKUP(AB$1,$R$2:$R$18,$S$2:$S$18)-$L39)^2+(_xlfn.XLOOKUP(AB$1,$R$2:$R$18,$T$2:$T$18)-$M39)^2+(_xlfn.XLOOKUP(AB$1,$R$2:$R$18,$U$2:$U$18-$N39)^2)))</f>
        <v/>
      </c>
      <c r="AC39" s="149" t="str">
        <f t="array" ref="AC39">IF(AC$1=0,"",SQRT((_xlfn.XLOOKUP(AC$1,$R$2:$R$18,$S$2:$S$18)-$L39)^2+(_xlfn.XLOOKUP(AC$1,$R$2:$R$18,$T$2:$T$18)-$M39)^2+(_xlfn.XLOOKUP(AC$1,$R$2:$R$18,$U$2:$U$18-$N39)^2)))</f>
        <v/>
      </c>
      <c r="AD39" s="149" t="str">
        <f t="array" ref="AD39">IF(AD$1=0,"",SQRT((_xlfn.XLOOKUP(AD$1,$R$2:$R$18,$S$2:$S$18)-$L39)^2+(_xlfn.XLOOKUP(AD$1,$R$2:$R$18,$T$2:$T$18)-$M39)^2+(_xlfn.XLOOKUP(AD$1,$R$2:$R$18,$U$2:$U$18-$N39)^2)))</f>
        <v/>
      </c>
      <c r="AE39" s="149" t="str">
        <f t="array" ref="AE39">IF(AE$1=0,"",SQRT((_xlfn.XLOOKUP(AE$1,$R$2:$R$18,$S$2:$S$18)-$L39)^2+(_xlfn.XLOOKUP(AE$1,$R$2:$R$18,$T$2:$T$18)-$M39)^2+(_xlfn.XLOOKUP(AE$1,$R$2:$R$18,$U$2:$U$18-$N39)^2)))</f>
        <v/>
      </c>
      <c r="AF39" s="149" t="str">
        <f t="array" ref="AF39">IF(AF$1=0,"",SQRT((_xlfn.XLOOKUP(AF$1,$R$2:$R$18,$S$2:$S$18)-$L39)^2+(_xlfn.XLOOKUP(AF$1,$R$2:$R$18,$T$2:$T$18)-$M39)^2+(_xlfn.XLOOKUP(AF$1,$R$2:$R$18,$U$2:$U$18-$N39)^2)))</f>
        <v/>
      </c>
      <c r="AG39" s="149" t="str">
        <f t="array" ref="AG39">IF(AG$1=0,"",SQRT((_xlfn.XLOOKUP(AG$1,$R$2:$R$18,$S$2:$S$18)-$L39)^2+(_xlfn.XLOOKUP(AG$1,$R$2:$R$18,$T$2:$T$18)-$M39)^2+(_xlfn.XLOOKUP(AG$1,$R$2:$R$18,$U$2:$U$18-$N39)^2)))</f>
        <v/>
      </c>
      <c r="AH39" s="150" t="str">
        <f t="array" ref="AH39">IF(AH$1=0,"",SQRT((_xlfn.XLOOKUP(AH$1,$R$2:$R$18,$S$2:$S$18)-$L39)^2+(_xlfn.XLOOKUP(AH$1,$R$2:$R$18,$T$2:$T$18)-$M39)^2+(_xlfn.XLOOKUP(AH$1,$R$2:$R$18,$U$2:$U$18-$N39)^2)))</f>
        <v/>
      </c>
      <c r="AI39" s="150" t="str">
        <f t="array" ref="AI39">IF(AI$1=0,"",SQRT((_xlfn.XLOOKUP(AI$1,$R$2:$R$18,$S$2:$S$18)-$L39)^2+(_xlfn.XLOOKUP(AI$1,$R$2:$R$18,$T$2:$T$18)-$M39)^2+(_xlfn.XLOOKUP(AI$1,$R$2:$R$18,$U$2:$U$18-$N39)^2)))</f>
        <v/>
      </c>
      <c r="AJ39" s="150" t="str">
        <f t="array" ref="AJ39">IF(AJ$1=0,"",SQRT((_xlfn.XLOOKUP(AJ$1,$R$2:$R$18,$S$2:$S$18)-$L39)^2+(_xlfn.XLOOKUP(AJ$1,$R$2:$R$18,$T$2:$T$18)-$M39)^2+(_xlfn.XLOOKUP(AJ$1,$R$2:$R$18,$U$2:$U$18-$N39)^2)))</f>
        <v/>
      </c>
      <c r="AK39" s="150" t="str">
        <f t="array" ref="AK39">IF(AK$1=0,"",SQRT((_xlfn.XLOOKUP(AK$1,$R$2:$R$18,$S$2:$S$18)-$L39)^2+(_xlfn.XLOOKUP(AK$1,$R$2:$R$18,$T$2:$T$18)-$M39)^2+(_xlfn.XLOOKUP(AK$1,$R$2:$R$18,$U$2:$U$18-$N39)^2)))</f>
        <v/>
      </c>
      <c r="AL39" s="150" t="str">
        <f t="array" ref="AL39">IF(AL$1=0,"",SQRT((_xlfn.XLOOKUP(AL$1,$R$2:$R$18,$S$2:$S$18)-$L39)^2+(_xlfn.XLOOKUP(AL$1,$R$2:$R$18,$T$2:$T$18)-$M39)^2+(_xlfn.XLOOKUP(AL$1,$R$2:$R$18,$U$2:$U$18-$N39)^2)))</f>
        <v/>
      </c>
      <c r="AM39" s="150" t="str">
        <f t="array" ref="AM39">IF(AM$1=0,"",SQRT((_xlfn.XLOOKUP(AM$1,$R$2:$R$18,$S$2:$S$18)-$L39)^2+(_xlfn.XLOOKUP(AM$1,$R$2:$R$18,$T$2:$T$18)-$M39)^2+(_xlfn.XLOOKUP(AM$1,$R$2:$R$18,$U$2:$U$18-$N39)^2)))</f>
        <v/>
      </c>
      <c r="AN39" s="151" t="str">
        <f t="array" ref="AN39">IF(AN$1=0,"",SQRT((_xlfn.XLOOKUP(AN$1,$R$2:$R$18,$S$2:$S$18)-$L39)^2+(_xlfn.XLOOKUP(AN$1,$R$2:$R$18,$T$2:$T$18)-$M39)^2+(_xlfn.XLOOKUP(AN$1,$R$2:$R$18,$U$2:$U$18-$N39)^2)))</f>
        <v/>
      </c>
      <c r="AO39" s="133"/>
      <c r="AP39" s="133"/>
      <c r="AQ39" s="134">
        <f t="shared" si="53"/>
        <v>0</v>
      </c>
      <c r="AR39" s="152">
        <f t="shared" si="54"/>
        <v>0</v>
      </c>
      <c r="AS39" s="152">
        <f t="shared" si="55"/>
        <v>0</v>
      </c>
      <c r="AT39" s="152">
        <f t="shared" si="56"/>
        <v>0</v>
      </c>
      <c r="AU39" s="152">
        <f t="shared" si="57"/>
        <v>0</v>
      </c>
      <c r="AV39" s="152">
        <f t="shared" si="58"/>
        <v>0</v>
      </c>
      <c r="AW39" s="152">
        <f t="shared" si="59"/>
        <v>0</v>
      </c>
      <c r="AX39" s="152">
        <f t="shared" si="60"/>
        <v>0</v>
      </c>
      <c r="AY39" s="153">
        <f t="shared" si="61"/>
        <v>0</v>
      </c>
      <c r="AZ39" s="153">
        <f t="shared" si="62"/>
        <v>0</v>
      </c>
      <c r="BA39" s="153">
        <f t="shared" si="63"/>
        <v>0</v>
      </c>
      <c r="BB39" s="153">
        <f t="shared" si="64"/>
        <v>0</v>
      </c>
      <c r="BC39" s="153">
        <f t="shared" si="65"/>
        <v>0</v>
      </c>
      <c r="BD39" s="153">
        <f t="shared" si="66"/>
        <v>0</v>
      </c>
      <c r="BE39" s="154">
        <f t="shared" si="67"/>
        <v>0</v>
      </c>
      <c r="BF39" s="133"/>
      <c r="BG39" s="58">
        <v>0</v>
      </c>
      <c r="BH39" s="58">
        <v>0</v>
      </c>
      <c r="BI39" s="21"/>
      <c r="BJ39" s="133"/>
      <c r="BK39" s="133"/>
      <c r="BL39" s="133"/>
      <c r="BM39" s="133"/>
      <c r="BN39" s="139"/>
      <c r="BO39" s="139"/>
      <c r="BP39" s="139"/>
      <c r="BQ39" s="139"/>
      <c r="BR39" s="139"/>
      <c r="BS39" s="139"/>
      <c r="BT39" s="139"/>
      <c r="BU39" s="139"/>
      <c r="BV39" s="139"/>
      <c r="BW39" s="139"/>
      <c r="BX39" s="139"/>
      <c r="BY39" s="139"/>
      <c r="BZ39" s="139"/>
      <c r="CA39" s="139"/>
      <c r="CB39" s="139"/>
      <c r="CC39" s="133"/>
      <c r="CD39" s="133"/>
      <c r="CE39" s="168">
        <f t="shared" si="35"/>
        <v>0</v>
      </c>
      <c r="CF39" s="169">
        <f t="shared" si="36"/>
        <v>0</v>
      </c>
      <c r="CG39" s="169">
        <f t="shared" si="37"/>
        <v>0</v>
      </c>
      <c r="CH39" s="169">
        <f t="shared" si="38"/>
        <v>0</v>
      </c>
      <c r="CI39" s="169">
        <f t="shared" si="39"/>
        <v>0</v>
      </c>
      <c r="CJ39" s="169">
        <f t="shared" si="41"/>
        <v>0</v>
      </c>
      <c r="CK39" s="169">
        <f t="shared" si="42"/>
        <v>0</v>
      </c>
      <c r="CL39" s="169">
        <f t="shared" si="43"/>
        <v>0</v>
      </c>
      <c r="CM39" s="171">
        <f t="shared" si="44"/>
        <v>0</v>
      </c>
      <c r="CN39" s="171">
        <f t="shared" si="45"/>
        <v>0</v>
      </c>
      <c r="CO39" s="171">
        <f t="shared" si="46"/>
        <v>0</v>
      </c>
      <c r="CP39" s="171">
        <f t="shared" si="47"/>
        <v>0</v>
      </c>
      <c r="CQ39" s="171">
        <f t="shared" si="48"/>
        <v>0</v>
      </c>
      <c r="CR39" s="171">
        <f t="shared" si="49"/>
        <v>0</v>
      </c>
      <c r="CS39" s="172">
        <f t="shared" si="50"/>
        <v>0</v>
      </c>
    </row>
    <row r="40" spans="1:97" ht="16.5" customHeight="1" x14ac:dyDescent="0.3">
      <c r="A40" s="144"/>
      <c r="B40" s="145"/>
      <c r="C40" s="145"/>
      <c r="D40" s="146"/>
      <c r="E40" s="146"/>
      <c r="F40" s="4"/>
      <c r="G40" s="4"/>
      <c r="H40" s="3"/>
      <c r="I40" s="127">
        <f t="shared" si="51"/>
        <v>0</v>
      </c>
      <c r="J40" s="3"/>
      <c r="K40" s="3"/>
      <c r="L40" s="4"/>
      <c r="M40" s="4"/>
      <c r="N40" s="111">
        <f t="shared" si="52"/>
        <v>0</v>
      </c>
      <c r="O40" s="170"/>
      <c r="P40" s="147"/>
      <c r="R40" s="118"/>
      <c r="S40" s="115"/>
      <c r="T40" s="54"/>
      <c r="U40" s="55"/>
      <c r="V40" s="54"/>
      <c r="W40" s="54"/>
      <c r="X40" s="55"/>
      <c r="Z40" s="167">
        <f t="array" ref="Z40">IF(Z$1=0,"",SQRT((_xlfn.XLOOKUP(Z$1,$R$2:$R$18,$S$2:$S$18)-$L40)^2+(_xlfn.XLOOKUP(Z$1,$R$2:$R$18,$T$2:$T$18)-$M40)^2+(_xlfn.XLOOKUP(Z$1,$R$2:$R$18,$U$2:$U$18-$N40)^2)))</f>
        <v>98.29525370026775</v>
      </c>
      <c r="AA40" s="149">
        <f t="array" ref="AA40">IF(AA$1=0,"",SQRT((_xlfn.XLOOKUP(AA$1,$R$2:$R$18,$S$2:$S$18)-$L40)^2+(_xlfn.XLOOKUP(AA$1,$R$2:$R$18,$T$2:$T$18)-$M40)^2+(_xlfn.XLOOKUP(AA$1,$R$2:$R$18,$U$2:$U$18-$N40)^2)))</f>
        <v>3.28</v>
      </c>
      <c r="AB40" s="149" t="str">
        <f t="array" ref="AB40">IF(AB$1=0,"",SQRT((_xlfn.XLOOKUP(AB$1,$R$2:$R$18,$S$2:$S$18)-$L40)^2+(_xlfn.XLOOKUP(AB$1,$R$2:$R$18,$T$2:$T$18)-$M40)^2+(_xlfn.XLOOKUP(AB$1,$R$2:$R$18,$U$2:$U$18-$N40)^2)))</f>
        <v/>
      </c>
      <c r="AC40" s="149" t="str">
        <f t="array" ref="AC40">IF(AC$1=0,"",SQRT((_xlfn.XLOOKUP(AC$1,$R$2:$R$18,$S$2:$S$18)-$L40)^2+(_xlfn.XLOOKUP(AC$1,$R$2:$R$18,$T$2:$T$18)-$M40)^2+(_xlfn.XLOOKUP(AC$1,$R$2:$R$18,$U$2:$U$18-$N40)^2)))</f>
        <v/>
      </c>
      <c r="AD40" s="149" t="str">
        <f t="array" ref="AD40">IF(AD$1=0,"",SQRT((_xlfn.XLOOKUP(AD$1,$R$2:$R$18,$S$2:$S$18)-$L40)^2+(_xlfn.XLOOKUP(AD$1,$R$2:$R$18,$T$2:$T$18)-$M40)^2+(_xlfn.XLOOKUP(AD$1,$R$2:$R$18,$U$2:$U$18-$N40)^2)))</f>
        <v/>
      </c>
      <c r="AE40" s="149" t="str">
        <f t="array" ref="AE40">IF(AE$1=0,"",SQRT((_xlfn.XLOOKUP(AE$1,$R$2:$R$18,$S$2:$S$18)-$L40)^2+(_xlfn.XLOOKUP(AE$1,$R$2:$R$18,$T$2:$T$18)-$M40)^2+(_xlfn.XLOOKUP(AE$1,$R$2:$R$18,$U$2:$U$18-$N40)^2)))</f>
        <v/>
      </c>
      <c r="AF40" s="149" t="str">
        <f t="array" ref="AF40">IF(AF$1=0,"",SQRT((_xlfn.XLOOKUP(AF$1,$R$2:$R$18,$S$2:$S$18)-$L40)^2+(_xlfn.XLOOKUP(AF$1,$R$2:$R$18,$T$2:$T$18)-$M40)^2+(_xlfn.XLOOKUP(AF$1,$R$2:$R$18,$U$2:$U$18-$N40)^2)))</f>
        <v/>
      </c>
      <c r="AG40" s="149" t="str">
        <f t="array" ref="AG40">IF(AG$1=0,"",SQRT((_xlfn.XLOOKUP(AG$1,$R$2:$R$18,$S$2:$S$18)-$L40)^2+(_xlfn.XLOOKUP(AG$1,$R$2:$R$18,$T$2:$T$18)-$M40)^2+(_xlfn.XLOOKUP(AG$1,$R$2:$R$18,$U$2:$U$18-$N40)^2)))</f>
        <v/>
      </c>
      <c r="AH40" s="150" t="str">
        <f t="array" ref="AH40">IF(AH$1=0,"",SQRT((_xlfn.XLOOKUP(AH$1,$R$2:$R$18,$S$2:$S$18)-$L40)^2+(_xlfn.XLOOKUP(AH$1,$R$2:$R$18,$T$2:$T$18)-$M40)^2+(_xlfn.XLOOKUP(AH$1,$R$2:$R$18,$U$2:$U$18-$N40)^2)))</f>
        <v/>
      </c>
      <c r="AI40" s="150" t="str">
        <f t="array" ref="AI40">IF(AI$1=0,"",SQRT((_xlfn.XLOOKUP(AI$1,$R$2:$R$18,$S$2:$S$18)-$L40)^2+(_xlfn.XLOOKUP(AI$1,$R$2:$R$18,$T$2:$T$18)-$M40)^2+(_xlfn.XLOOKUP(AI$1,$R$2:$R$18,$U$2:$U$18-$N40)^2)))</f>
        <v/>
      </c>
      <c r="AJ40" s="150" t="str">
        <f t="array" ref="AJ40">IF(AJ$1=0,"",SQRT((_xlfn.XLOOKUP(AJ$1,$R$2:$R$18,$S$2:$S$18)-$L40)^2+(_xlfn.XLOOKUP(AJ$1,$R$2:$R$18,$T$2:$T$18)-$M40)^2+(_xlfn.XLOOKUP(AJ$1,$R$2:$R$18,$U$2:$U$18-$N40)^2)))</f>
        <v/>
      </c>
      <c r="AK40" s="150" t="str">
        <f t="array" ref="AK40">IF(AK$1=0,"",SQRT((_xlfn.XLOOKUP(AK$1,$R$2:$R$18,$S$2:$S$18)-$L40)^2+(_xlfn.XLOOKUP(AK$1,$R$2:$R$18,$T$2:$T$18)-$M40)^2+(_xlfn.XLOOKUP(AK$1,$R$2:$R$18,$U$2:$U$18-$N40)^2)))</f>
        <v/>
      </c>
      <c r="AL40" s="150" t="str">
        <f t="array" ref="AL40">IF(AL$1=0,"",SQRT((_xlfn.XLOOKUP(AL$1,$R$2:$R$18,$S$2:$S$18)-$L40)^2+(_xlfn.XLOOKUP(AL$1,$R$2:$R$18,$T$2:$T$18)-$M40)^2+(_xlfn.XLOOKUP(AL$1,$R$2:$R$18,$U$2:$U$18-$N40)^2)))</f>
        <v/>
      </c>
      <c r="AM40" s="150" t="str">
        <f t="array" ref="AM40">IF(AM$1=0,"",SQRT((_xlfn.XLOOKUP(AM$1,$R$2:$R$18,$S$2:$S$18)-$L40)^2+(_xlfn.XLOOKUP(AM$1,$R$2:$R$18,$T$2:$T$18)-$M40)^2+(_xlfn.XLOOKUP(AM$1,$R$2:$R$18,$U$2:$U$18-$N40)^2)))</f>
        <v/>
      </c>
      <c r="AN40" s="151" t="str">
        <f t="array" ref="AN40">IF(AN$1=0,"",SQRT((_xlfn.XLOOKUP(AN$1,$R$2:$R$18,$S$2:$S$18)-$L40)^2+(_xlfn.XLOOKUP(AN$1,$R$2:$R$18,$T$2:$T$18)-$M40)^2+(_xlfn.XLOOKUP(AN$1,$R$2:$R$18,$U$2:$U$18-$N40)^2)))</f>
        <v/>
      </c>
      <c r="AO40" s="133"/>
      <c r="AP40" s="133"/>
      <c r="AQ40" s="134">
        <f t="shared" si="53"/>
        <v>0</v>
      </c>
      <c r="AR40" s="152">
        <f t="shared" si="54"/>
        <v>0</v>
      </c>
      <c r="AS40" s="152">
        <f t="shared" si="55"/>
        <v>0</v>
      </c>
      <c r="AT40" s="152">
        <f t="shared" si="56"/>
        <v>0</v>
      </c>
      <c r="AU40" s="152">
        <f t="shared" si="57"/>
        <v>0</v>
      </c>
      <c r="AV40" s="152">
        <f t="shared" si="58"/>
        <v>0</v>
      </c>
      <c r="AW40" s="152">
        <f t="shared" si="59"/>
        <v>0</v>
      </c>
      <c r="AX40" s="152">
        <f t="shared" si="60"/>
        <v>0</v>
      </c>
      <c r="AY40" s="153">
        <f t="shared" si="61"/>
        <v>0</v>
      </c>
      <c r="AZ40" s="153">
        <f t="shared" si="62"/>
        <v>0</v>
      </c>
      <c r="BA40" s="153">
        <f t="shared" si="63"/>
        <v>0</v>
      </c>
      <c r="BB40" s="153">
        <f t="shared" si="64"/>
        <v>0</v>
      </c>
      <c r="BC40" s="153">
        <f t="shared" si="65"/>
        <v>0</v>
      </c>
      <c r="BD40" s="153">
        <f t="shared" si="66"/>
        <v>0</v>
      </c>
      <c r="BE40" s="154">
        <f t="shared" si="67"/>
        <v>0</v>
      </c>
      <c r="BF40" s="133"/>
      <c r="BG40" s="58">
        <v>0.5</v>
      </c>
      <c r="BH40" s="58">
        <v>4</v>
      </c>
      <c r="BI40" s="21"/>
      <c r="BJ40" s="133"/>
      <c r="BK40" s="133"/>
      <c r="BL40" s="133"/>
      <c r="BM40" s="133"/>
      <c r="BN40" s="139"/>
      <c r="BO40" s="139"/>
      <c r="BP40" s="139"/>
      <c r="BQ40" s="139"/>
      <c r="BR40" s="139"/>
      <c r="BS40" s="139"/>
      <c r="BT40" s="139"/>
      <c r="BU40" s="139"/>
      <c r="BV40" s="139"/>
      <c r="BW40" s="139"/>
      <c r="BX40" s="139"/>
      <c r="BY40" s="139"/>
      <c r="BZ40" s="139"/>
      <c r="CA40" s="139"/>
      <c r="CB40" s="139"/>
      <c r="CC40" s="133"/>
      <c r="CD40" s="133"/>
      <c r="CE40" s="168">
        <f t="shared" si="35"/>
        <v>0</v>
      </c>
      <c r="CF40" s="169">
        <f t="shared" si="36"/>
        <v>0</v>
      </c>
      <c r="CG40" s="169">
        <f t="shared" si="37"/>
        <v>0</v>
      </c>
      <c r="CH40" s="169">
        <f t="shared" si="38"/>
        <v>0</v>
      </c>
      <c r="CI40" s="169">
        <f t="shared" si="39"/>
        <v>0</v>
      </c>
      <c r="CJ40" s="169">
        <f t="shared" si="41"/>
        <v>0</v>
      </c>
      <c r="CK40" s="169">
        <f t="shared" si="42"/>
        <v>0</v>
      </c>
      <c r="CL40" s="169">
        <f t="shared" si="43"/>
        <v>0</v>
      </c>
      <c r="CM40" s="171">
        <f t="shared" si="44"/>
        <v>0</v>
      </c>
      <c r="CN40" s="171">
        <f t="shared" si="45"/>
        <v>0</v>
      </c>
      <c r="CO40" s="171">
        <f t="shared" si="46"/>
        <v>0</v>
      </c>
      <c r="CP40" s="171">
        <f t="shared" si="47"/>
        <v>0</v>
      </c>
      <c r="CQ40" s="171">
        <f t="shared" si="48"/>
        <v>0</v>
      </c>
      <c r="CR40" s="171">
        <f t="shared" si="49"/>
        <v>0</v>
      </c>
      <c r="CS40" s="172">
        <f t="shared" si="50"/>
        <v>0</v>
      </c>
    </row>
    <row r="41" spans="1:97" ht="16.5" customHeight="1" x14ac:dyDescent="0.3">
      <c r="A41" s="144"/>
      <c r="B41" s="145"/>
      <c r="C41" s="145"/>
      <c r="D41" s="146"/>
      <c r="E41" s="146"/>
      <c r="F41" s="4"/>
      <c r="G41" s="4"/>
      <c r="H41" s="3"/>
      <c r="I41" s="127">
        <f t="shared" si="51"/>
        <v>0</v>
      </c>
      <c r="J41" s="3"/>
      <c r="K41" s="3"/>
      <c r="L41" s="4"/>
      <c r="M41" s="4"/>
      <c r="N41" s="111">
        <f t="shared" si="52"/>
        <v>0</v>
      </c>
      <c r="O41" s="170"/>
      <c r="P41" s="147"/>
      <c r="R41" s="118"/>
      <c r="S41" s="115"/>
      <c r="T41" s="54"/>
      <c r="U41" s="55"/>
      <c r="V41" s="54"/>
      <c r="W41" s="54"/>
      <c r="X41" s="55"/>
      <c r="Z41" s="167">
        <f t="array" ref="Z41">IF(Z$1=0,"",SQRT((_xlfn.XLOOKUP(Z$1,$R$2:$R$18,$S$2:$S$18)-$L41)^2+(_xlfn.XLOOKUP(Z$1,$R$2:$R$18,$T$2:$T$18)-$M41)^2+(_xlfn.XLOOKUP(Z$1,$R$2:$R$18,$U$2:$U$18-$N41)^2)))</f>
        <v>98.29525370026775</v>
      </c>
      <c r="AA41" s="149">
        <f t="array" ref="AA41">IF(AA$1=0,"",SQRT((_xlfn.XLOOKUP(AA$1,$R$2:$R$18,$S$2:$S$18)-$L41)^2+(_xlfn.XLOOKUP(AA$1,$R$2:$R$18,$T$2:$T$18)-$M41)^2+(_xlfn.XLOOKUP(AA$1,$R$2:$R$18,$U$2:$U$18-$N41)^2)))</f>
        <v>3.28</v>
      </c>
      <c r="AB41" s="149" t="str">
        <f t="array" ref="AB41">IF(AB$1=0,"",SQRT((_xlfn.XLOOKUP(AB$1,$R$2:$R$18,$S$2:$S$18)-$L41)^2+(_xlfn.XLOOKUP(AB$1,$R$2:$R$18,$T$2:$T$18)-$M41)^2+(_xlfn.XLOOKUP(AB$1,$R$2:$R$18,$U$2:$U$18-$N41)^2)))</f>
        <v/>
      </c>
      <c r="AC41" s="149" t="str">
        <f t="array" ref="AC41">IF(AC$1=0,"",SQRT((_xlfn.XLOOKUP(AC$1,$R$2:$R$18,$S$2:$S$18)-$L41)^2+(_xlfn.XLOOKUP(AC$1,$R$2:$R$18,$T$2:$T$18)-$M41)^2+(_xlfn.XLOOKUP(AC$1,$R$2:$R$18,$U$2:$U$18-$N41)^2)))</f>
        <v/>
      </c>
      <c r="AD41" s="149" t="str">
        <f t="array" ref="AD41">IF(AD$1=0,"",SQRT((_xlfn.XLOOKUP(AD$1,$R$2:$R$18,$S$2:$S$18)-$L41)^2+(_xlfn.XLOOKUP(AD$1,$R$2:$R$18,$T$2:$T$18)-$M41)^2+(_xlfn.XLOOKUP(AD$1,$R$2:$R$18,$U$2:$U$18-$N41)^2)))</f>
        <v/>
      </c>
      <c r="AE41" s="149" t="str">
        <f t="array" ref="AE41">IF(AE$1=0,"",SQRT((_xlfn.XLOOKUP(AE$1,$R$2:$R$18,$S$2:$S$18)-$L41)^2+(_xlfn.XLOOKUP(AE$1,$R$2:$R$18,$T$2:$T$18)-$M41)^2+(_xlfn.XLOOKUP(AE$1,$R$2:$R$18,$U$2:$U$18-$N41)^2)))</f>
        <v/>
      </c>
      <c r="AF41" s="149" t="str">
        <f t="array" ref="AF41">IF(AF$1=0,"",SQRT((_xlfn.XLOOKUP(AF$1,$R$2:$R$18,$S$2:$S$18)-$L41)^2+(_xlfn.XLOOKUP(AF$1,$R$2:$R$18,$T$2:$T$18)-$M41)^2+(_xlfn.XLOOKUP(AF$1,$R$2:$R$18,$U$2:$U$18-$N41)^2)))</f>
        <v/>
      </c>
      <c r="AG41" s="149" t="str">
        <f t="array" ref="AG41">IF(AG$1=0,"",SQRT((_xlfn.XLOOKUP(AG$1,$R$2:$R$18,$S$2:$S$18)-$L41)^2+(_xlfn.XLOOKUP(AG$1,$R$2:$R$18,$T$2:$T$18)-$M41)^2+(_xlfn.XLOOKUP(AG$1,$R$2:$R$18,$U$2:$U$18-$N41)^2)))</f>
        <v/>
      </c>
      <c r="AH41" s="150" t="str">
        <f t="array" ref="AH41">IF(AH$1=0,"",SQRT((_xlfn.XLOOKUP(AH$1,$R$2:$R$18,$S$2:$S$18)-$L41)^2+(_xlfn.XLOOKUP(AH$1,$R$2:$R$18,$T$2:$T$18)-$M41)^2+(_xlfn.XLOOKUP(AH$1,$R$2:$R$18,$U$2:$U$18-$N41)^2)))</f>
        <v/>
      </c>
      <c r="AI41" s="150" t="str">
        <f t="array" ref="AI41">IF(AI$1=0,"",SQRT((_xlfn.XLOOKUP(AI$1,$R$2:$R$18,$S$2:$S$18)-$L41)^2+(_xlfn.XLOOKUP(AI$1,$R$2:$R$18,$T$2:$T$18)-$M41)^2+(_xlfn.XLOOKUP(AI$1,$R$2:$R$18,$U$2:$U$18-$N41)^2)))</f>
        <v/>
      </c>
      <c r="AJ41" s="150" t="str">
        <f t="array" ref="AJ41">IF(AJ$1=0,"",SQRT((_xlfn.XLOOKUP(AJ$1,$R$2:$R$18,$S$2:$S$18)-$L41)^2+(_xlfn.XLOOKUP(AJ$1,$R$2:$R$18,$T$2:$T$18)-$M41)^2+(_xlfn.XLOOKUP(AJ$1,$R$2:$R$18,$U$2:$U$18-$N41)^2)))</f>
        <v/>
      </c>
      <c r="AK41" s="150" t="str">
        <f t="array" ref="AK41">IF(AK$1=0,"",SQRT((_xlfn.XLOOKUP(AK$1,$R$2:$R$18,$S$2:$S$18)-$L41)^2+(_xlfn.XLOOKUP(AK$1,$R$2:$R$18,$T$2:$T$18)-$M41)^2+(_xlfn.XLOOKUP(AK$1,$R$2:$R$18,$U$2:$U$18-$N41)^2)))</f>
        <v/>
      </c>
      <c r="AL41" s="150" t="str">
        <f t="array" ref="AL41">IF(AL$1=0,"",SQRT((_xlfn.XLOOKUP(AL$1,$R$2:$R$18,$S$2:$S$18)-$L41)^2+(_xlfn.XLOOKUP(AL$1,$R$2:$R$18,$T$2:$T$18)-$M41)^2+(_xlfn.XLOOKUP(AL$1,$R$2:$R$18,$U$2:$U$18-$N41)^2)))</f>
        <v/>
      </c>
      <c r="AM41" s="150" t="str">
        <f t="array" ref="AM41">IF(AM$1=0,"",SQRT((_xlfn.XLOOKUP(AM$1,$R$2:$R$18,$S$2:$S$18)-$L41)^2+(_xlfn.XLOOKUP(AM$1,$R$2:$R$18,$T$2:$T$18)-$M41)^2+(_xlfn.XLOOKUP(AM$1,$R$2:$R$18,$U$2:$U$18-$N41)^2)))</f>
        <v/>
      </c>
      <c r="AN41" s="151" t="str">
        <f t="array" ref="AN41">IF(AN$1=0,"",SQRT((_xlfn.XLOOKUP(AN$1,$R$2:$R$18,$S$2:$S$18)-$L41)^2+(_xlfn.XLOOKUP(AN$1,$R$2:$R$18,$T$2:$T$18)-$M41)^2+(_xlfn.XLOOKUP(AN$1,$R$2:$R$18,$U$2:$U$18-$N41)^2)))</f>
        <v/>
      </c>
      <c r="AO41" s="133"/>
      <c r="AP41" s="133"/>
      <c r="AQ41" s="134">
        <f t="shared" si="53"/>
        <v>0</v>
      </c>
      <c r="AR41" s="152">
        <f t="shared" si="54"/>
        <v>0</v>
      </c>
      <c r="AS41" s="152">
        <f t="shared" si="55"/>
        <v>0</v>
      </c>
      <c r="AT41" s="152">
        <f t="shared" si="56"/>
        <v>0</v>
      </c>
      <c r="AU41" s="152">
        <f t="shared" si="57"/>
        <v>0</v>
      </c>
      <c r="AV41" s="152">
        <f t="shared" si="58"/>
        <v>0</v>
      </c>
      <c r="AW41" s="152">
        <f t="shared" si="59"/>
        <v>0</v>
      </c>
      <c r="AX41" s="152">
        <f t="shared" si="60"/>
        <v>0</v>
      </c>
      <c r="AY41" s="153">
        <f t="shared" si="61"/>
        <v>0</v>
      </c>
      <c r="AZ41" s="153">
        <f t="shared" si="62"/>
        <v>0</v>
      </c>
      <c r="BA41" s="153">
        <f t="shared" si="63"/>
        <v>0</v>
      </c>
      <c r="BB41" s="153">
        <f t="shared" si="64"/>
        <v>0</v>
      </c>
      <c r="BC41" s="153">
        <f t="shared" si="65"/>
        <v>0</v>
      </c>
      <c r="BD41" s="153">
        <f t="shared" si="66"/>
        <v>0</v>
      </c>
      <c r="BE41" s="154">
        <f t="shared" si="67"/>
        <v>0</v>
      </c>
      <c r="BF41" s="133"/>
      <c r="BG41" s="58">
        <v>1</v>
      </c>
      <c r="BH41" s="58">
        <v>7</v>
      </c>
      <c r="BI41" s="21"/>
      <c r="BJ41" s="133"/>
      <c r="BK41" s="133"/>
      <c r="BL41" s="133"/>
      <c r="BM41" s="133"/>
      <c r="BN41" s="139"/>
      <c r="BO41" s="139"/>
      <c r="BP41" s="139"/>
      <c r="BQ41" s="139"/>
      <c r="BR41" s="139"/>
      <c r="BS41" s="139"/>
      <c r="BT41" s="139"/>
      <c r="BU41" s="139"/>
      <c r="BV41" s="139"/>
      <c r="BW41" s="139"/>
      <c r="BX41" s="139"/>
      <c r="BY41" s="139"/>
      <c r="BZ41" s="139"/>
      <c r="CA41" s="139"/>
      <c r="CB41" s="139"/>
      <c r="CC41" s="133"/>
      <c r="CD41" s="133"/>
      <c r="CE41" s="168">
        <f t="shared" si="35"/>
        <v>0</v>
      </c>
      <c r="CF41" s="169">
        <f t="shared" si="36"/>
        <v>0</v>
      </c>
      <c r="CG41" s="169">
        <f t="shared" si="37"/>
        <v>0</v>
      </c>
      <c r="CH41" s="169">
        <f t="shared" si="38"/>
        <v>0</v>
      </c>
      <c r="CI41" s="169">
        <f t="shared" si="39"/>
        <v>0</v>
      </c>
      <c r="CJ41" s="169">
        <f t="shared" si="41"/>
        <v>0</v>
      </c>
      <c r="CK41" s="169">
        <f t="shared" si="42"/>
        <v>0</v>
      </c>
      <c r="CL41" s="169">
        <f t="shared" si="43"/>
        <v>0</v>
      </c>
      <c r="CM41" s="171">
        <f t="shared" si="44"/>
        <v>0</v>
      </c>
      <c r="CN41" s="171">
        <f t="shared" si="45"/>
        <v>0</v>
      </c>
      <c r="CO41" s="171">
        <f t="shared" si="46"/>
        <v>0</v>
      </c>
      <c r="CP41" s="171">
        <f t="shared" si="47"/>
        <v>0</v>
      </c>
      <c r="CQ41" s="171">
        <f t="shared" si="48"/>
        <v>0</v>
      </c>
      <c r="CR41" s="171">
        <f t="shared" si="49"/>
        <v>0</v>
      </c>
      <c r="CS41" s="172">
        <f t="shared" si="50"/>
        <v>0</v>
      </c>
    </row>
    <row r="42" spans="1:97" ht="16.5" customHeight="1" x14ac:dyDescent="0.3">
      <c r="A42" s="144"/>
      <c r="B42" s="145"/>
      <c r="C42" s="145"/>
      <c r="D42" s="146"/>
      <c r="E42" s="146"/>
      <c r="F42" s="4"/>
      <c r="G42" s="4"/>
      <c r="H42" s="3"/>
      <c r="I42" s="127">
        <f t="shared" si="51"/>
        <v>0</v>
      </c>
      <c r="J42" s="3"/>
      <c r="K42" s="3"/>
      <c r="L42" s="4"/>
      <c r="M42" s="4"/>
      <c r="N42" s="111">
        <f t="shared" si="52"/>
        <v>0</v>
      </c>
      <c r="O42" s="170"/>
      <c r="P42" s="147"/>
      <c r="R42" s="118"/>
      <c r="S42" s="115"/>
      <c r="T42" s="54"/>
      <c r="U42" s="55"/>
      <c r="V42" s="54"/>
      <c r="W42" s="54"/>
      <c r="X42" s="55"/>
      <c r="Z42" s="167">
        <f t="array" ref="Z42">IF(Z$1=0,"",SQRT((_xlfn.XLOOKUP(Z$1,$R$2:$R$18,$S$2:$S$18)-$L42)^2+(_xlfn.XLOOKUP(Z$1,$R$2:$R$18,$T$2:$T$18)-$M42)^2+(_xlfn.XLOOKUP(Z$1,$R$2:$R$18,$U$2:$U$18-$N42)^2)))</f>
        <v>98.29525370026775</v>
      </c>
      <c r="AA42" s="149">
        <f t="array" ref="AA42">IF(AA$1=0,"",SQRT((_xlfn.XLOOKUP(AA$1,$R$2:$R$18,$S$2:$S$18)-$L42)^2+(_xlfn.XLOOKUP(AA$1,$R$2:$R$18,$T$2:$T$18)-$M42)^2+(_xlfn.XLOOKUP(AA$1,$R$2:$R$18,$U$2:$U$18-$N42)^2)))</f>
        <v>3.28</v>
      </c>
      <c r="AB42" s="149" t="str">
        <f t="array" ref="AB42">IF(AB$1=0,"",SQRT((_xlfn.XLOOKUP(AB$1,$R$2:$R$18,$S$2:$S$18)-$L42)^2+(_xlfn.XLOOKUP(AB$1,$R$2:$R$18,$T$2:$T$18)-$M42)^2+(_xlfn.XLOOKUP(AB$1,$R$2:$R$18,$U$2:$U$18-$N42)^2)))</f>
        <v/>
      </c>
      <c r="AC42" s="149" t="str">
        <f t="array" ref="AC42">IF(AC$1=0,"",SQRT((_xlfn.XLOOKUP(AC$1,$R$2:$R$18,$S$2:$S$18)-$L42)^2+(_xlfn.XLOOKUP(AC$1,$R$2:$R$18,$T$2:$T$18)-$M42)^2+(_xlfn.XLOOKUP(AC$1,$R$2:$R$18,$U$2:$U$18-$N42)^2)))</f>
        <v/>
      </c>
      <c r="AD42" s="149" t="str">
        <f t="array" ref="AD42">IF(AD$1=0,"",SQRT((_xlfn.XLOOKUP(AD$1,$R$2:$R$18,$S$2:$S$18)-$L42)^2+(_xlfn.XLOOKUP(AD$1,$R$2:$R$18,$T$2:$T$18)-$M42)^2+(_xlfn.XLOOKUP(AD$1,$R$2:$R$18,$U$2:$U$18-$N42)^2)))</f>
        <v/>
      </c>
      <c r="AE42" s="149" t="str">
        <f t="array" ref="AE42">IF(AE$1=0,"",SQRT((_xlfn.XLOOKUP(AE$1,$R$2:$R$18,$S$2:$S$18)-$L42)^2+(_xlfn.XLOOKUP(AE$1,$R$2:$R$18,$T$2:$T$18)-$M42)^2+(_xlfn.XLOOKUP(AE$1,$R$2:$R$18,$U$2:$U$18-$N42)^2)))</f>
        <v/>
      </c>
      <c r="AF42" s="149" t="str">
        <f t="array" ref="AF42">IF(AF$1=0,"",SQRT((_xlfn.XLOOKUP(AF$1,$R$2:$R$18,$S$2:$S$18)-$L42)^2+(_xlfn.XLOOKUP(AF$1,$R$2:$R$18,$T$2:$T$18)-$M42)^2+(_xlfn.XLOOKUP(AF$1,$R$2:$R$18,$U$2:$U$18-$N42)^2)))</f>
        <v/>
      </c>
      <c r="AG42" s="149" t="str">
        <f t="array" ref="AG42">IF(AG$1=0,"",SQRT((_xlfn.XLOOKUP(AG$1,$R$2:$R$18,$S$2:$S$18)-$L42)^2+(_xlfn.XLOOKUP(AG$1,$R$2:$R$18,$T$2:$T$18)-$M42)^2+(_xlfn.XLOOKUP(AG$1,$R$2:$R$18,$U$2:$U$18-$N42)^2)))</f>
        <v/>
      </c>
      <c r="AH42" s="150" t="str">
        <f t="array" ref="AH42">IF(AH$1=0,"",SQRT((_xlfn.XLOOKUP(AH$1,$R$2:$R$18,$S$2:$S$18)-$L42)^2+(_xlfn.XLOOKUP(AH$1,$R$2:$R$18,$T$2:$T$18)-$M42)^2+(_xlfn.XLOOKUP(AH$1,$R$2:$R$18,$U$2:$U$18-$N42)^2)))</f>
        <v/>
      </c>
      <c r="AI42" s="150" t="str">
        <f t="array" ref="AI42">IF(AI$1=0,"",SQRT((_xlfn.XLOOKUP(AI$1,$R$2:$R$18,$S$2:$S$18)-$L42)^2+(_xlfn.XLOOKUP(AI$1,$R$2:$R$18,$T$2:$T$18)-$M42)^2+(_xlfn.XLOOKUP(AI$1,$R$2:$R$18,$U$2:$U$18-$N42)^2)))</f>
        <v/>
      </c>
      <c r="AJ42" s="150" t="str">
        <f t="array" ref="AJ42">IF(AJ$1=0,"",SQRT((_xlfn.XLOOKUP(AJ$1,$R$2:$R$18,$S$2:$S$18)-$L42)^2+(_xlfn.XLOOKUP(AJ$1,$R$2:$R$18,$T$2:$T$18)-$M42)^2+(_xlfn.XLOOKUP(AJ$1,$R$2:$R$18,$U$2:$U$18-$N42)^2)))</f>
        <v/>
      </c>
      <c r="AK42" s="150" t="str">
        <f t="array" ref="AK42">IF(AK$1=0,"",SQRT((_xlfn.XLOOKUP(AK$1,$R$2:$R$18,$S$2:$S$18)-$L42)^2+(_xlfn.XLOOKUP(AK$1,$R$2:$R$18,$T$2:$T$18)-$M42)^2+(_xlfn.XLOOKUP(AK$1,$R$2:$R$18,$U$2:$U$18-$N42)^2)))</f>
        <v/>
      </c>
      <c r="AL42" s="150" t="str">
        <f t="array" ref="AL42">IF(AL$1=0,"",SQRT((_xlfn.XLOOKUP(AL$1,$R$2:$R$18,$S$2:$S$18)-$L42)^2+(_xlfn.XLOOKUP(AL$1,$R$2:$R$18,$T$2:$T$18)-$M42)^2+(_xlfn.XLOOKUP(AL$1,$R$2:$R$18,$U$2:$U$18-$N42)^2)))</f>
        <v/>
      </c>
      <c r="AM42" s="150" t="str">
        <f t="array" ref="AM42">IF(AM$1=0,"",SQRT((_xlfn.XLOOKUP(AM$1,$R$2:$R$18,$S$2:$S$18)-$L42)^2+(_xlfn.XLOOKUP(AM$1,$R$2:$R$18,$T$2:$T$18)-$M42)^2+(_xlfn.XLOOKUP(AM$1,$R$2:$R$18,$U$2:$U$18-$N42)^2)))</f>
        <v/>
      </c>
      <c r="AN42" s="151" t="str">
        <f t="array" ref="AN42">IF(AN$1=0,"",SQRT((_xlfn.XLOOKUP(AN$1,$R$2:$R$18,$S$2:$S$18)-$L42)^2+(_xlfn.XLOOKUP(AN$1,$R$2:$R$18,$T$2:$T$18)-$M42)^2+(_xlfn.XLOOKUP(AN$1,$R$2:$R$18,$U$2:$U$18-$N42)^2)))</f>
        <v/>
      </c>
      <c r="AO42" s="133"/>
      <c r="AP42" s="133"/>
      <c r="AQ42" s="134">
        <f t="shared" si="53"/>
        <v>0</v>
      </c>
      <c r="AR42" s="152">
        <f t="shared" si="54"/>
        <v>0</v>
      </c>
      <c r="AS42" s="152">
        <f t="shared" si="55"/>
        <v>0</v>
      </c>
      <c r="AT42" s="152">
        <f t="shared" si="56"/>
        <v>0</v>
      </c>
      <c r="AU42" s="152">
        <f t="shared" si="57"/>
        <v>0</v>
      </c>
      <c r="AV42" s="152">
        <f t="shared" si="58"/>
        <v>0</v>
      </c>
      <c r="AW42" s="152">
        <f t="shared" si="59"/>
        <v>0</v>
      </c>
      <c r="AX42" s="152">
        <f t="shared" si="60"/>
        <v>0</v>
      </c>
      <c r="AY42" s="153">
        <f t="shared" si="61"/>
        <v>0</v>
      </c>
      <c r="AZ42" s="153">
        <f t="shared" si="62"/>
        <v>0</v>
      </c>
      <c r="BA42" s="153">
        <f t="shared" si="63"/>
        <v>0</v>
      </c>
      <c r="BB42" s="153">
        <f t="shared" si="64"/>
        <v>0</v>
      </c>
      <c r="BC42" s="153">
        <f t="shared" si="65"/>
        <v>0</v>
      </c>
      <c r="BD42" s="153">
        <f t="shared" si="66"/>
        <v>0</v>
      </c>
      <c r="BE42" s="154">
        <f t="shared" si="67"/>
        <v>0</v>
      </c>
      <c r="BF42" s="133"/>
      <c r="BG42" s="58">
        <v>2</v>
      </c>
      <c r="BH42" s="58">
        <v>10</v>
      </c>
      <c r="BI42" s="21"/>
      <c r="BJ42" s="133"/>
      <c r="BK42" s="133"/>
      <c r="BL42" s="133"/>
      <c r="BM42" s="133"/>
      <c r="BN42" s="139"/>
      <c r="BO42" s="139"/>
      <c r="BP42" s="139"/>
      <c r="BQ42" s="139"/>
      <c r="BR42" s="139"/>
      <c r="BS42" s="139"/>
      <c r="BT42" s="139"/>
      <c r="BU42" s="139"/>
      <c r="BV42" s="139"/>
      <c r="BW42" s="139"/>
      <c r="BX42" s="139"/>
      <c r="BY42" s="139"/>
      <c r="BZ42" s="139"/>
      <c r="CA42" s="139"/>
      <c r="CB42" s="139"/>
      <c r="CC42" s="133"/>
      <c r="CD42" s="133"/>
      <c r="CE42" s="168">
        <f t="shared" si="35"/>
        <v>0</v>
      </c>
      <c r="CF42" s="169">
        <f t="shared" si="36"/>
        <v>0</v>
      </c>
      <c r="CG42" s="169">
        <f t="shared" si="37"/>
        <v>0</v>
      </c>
      <c r="CH42" s="169">
        <f t="shared" si="38"/>
        <v>0</v>
      </c>
      <c r="CI42" s="169">
        <f t="shared" si="39"/>
        <v>0</v>
      </c>
      <c r="CJ42" s="169">
        <f t="shared" si="41"/>
        <v>0</v>
      </c>
      <c r="CK42" s="169">
        <f t="shared" si="42"/>
        <v>0</v>
      </c>
      <c r="CL42" s="169">
        <f t="shared" si="43"/>
        <v>0</v>
      </c>
      <c r="CM42" s="171">
        <f t="shared" si="44"/>
        <v>0</v>
      </c>
      <c r="CN42" s="171">
        <f t="shared" si="45"/>
        <v>0</v>
      </c>
      <c r="CO42" s="171">
        <f t="shared" si="46"/>
        <v>0</v>
      </c>
      <c r="CP42" s="171">
        <f t="shared" si="47"/>
        <v>0</v>
      </c>
      <c r="CQ42" s="171">
        <f t="shared" si="48"/>
        <v>0</v>
      </c>
      <c r="CR42" s="171">
        <f t="shared" si="49"/>
        <v>0</v>
      </c>
      <c r="CS42" s="172">
        <f t="shared" si="50"/>
        <v>0</v>
      </c>
    </row>
    <row r="43" spans="1:97" ht="16.5" customHeight="1" x14ac:dyDescent="0.3">
      <c r="A43" s="144"/>
      <c r="B43" s="145"/>
      <c r="C43" s="145"/>
      <c r="D43" s="146"/>
      <c r="E43" s="146"/>
      <c r="F43" s="4"/>
      <c r="G43" s="4"/>
      <c r="H43" s="3"/>
      <c r="I43" s="127">
        <f t="shared" si="51"/>
        <v>0</v>
      </c>
      <c r="J43" s="3"/>
      <c r="K43" s="3"/>
      <c r="L43" s="4"/>
      <c r="M43" s="4"/>
      <c r="N43" s="111">
        <f t="shared" si="52"/>
        <v>0</v>
      </c>
      <c r="O43" s="170"/>
      <c r="P43" s="147"/>
      <c r="R43" s="118"/>
      <c r="S43" s="115"/>
      <c r="T43" s="54"/>
      <c r="U43" s="55"/>
      <c r="V43" s="54"/>
      <c r="W43" s="54"/>
      <c r="X43" s="55"/>
      <c r="Z43" s="167">
        <f t="array" ref="Z43">IF(Z$1=0,"",SQRT((_xlfn.XLOOKUP(Z$1,$R$2:$R$18,$S$2:$S$18)-$L43)^2+(_xlfn.XLOOKUP(Z$1,$R$2:$R$18,$T$2:$T$18)-$M43)^2+(_xlfn.XLOOKUP(Z$1,$R$2:$R$18,$U$2:$U$18-$N43)^2)))</f>
        <v>98.29525370026775</v>
      </c>
      <c r="AA43" s="149">
        <f t="array" ref="AA43">IF(AA$1=0,"",SQRT((_xlfn.XLOOKUP(AA$1,$R$2:$R$18,$S$2:$S$18)-$L43)^2+(_xlfn.XLOOKUP(AA$1,$R$2:$R$18,$T$2:$T$18)-$M43)^2+(_xlfn.XLOOKUP(AA$1,$R$2:$R$18,$U$2:$U$18-$N43)^2)))</f>
        <v>3.28</v>
      </c>
      <c r="AB43" s="149" t="str">
        <f t="array" ref="AB43">IF(AB$1=0,"",SQRT((_xlfn.XLOOKUP(AB$1,$R$2:$R$18,$S$2:$S$18)-$L43)^2+(_xlfn.XLOOKUP(AB$1,$R$2:$R$18,$T$2:$T$18)-$M43)^2+(_xlfn.XLOOKUP(AB$1,$R$2:$R$18,$U$2:$U$18-$N43)^2)))</f>
        <v/>
      </c>
      <c r="AC43" s="149" t="str">
        <f t="array" ref="AC43">IF(AC$1=0,"",SQRT((_xlfn.XLOOKUP(AC$1,$R$2:$R$18,$S$2:$S$18)-$L43)^2+(_xlfn.XLOOKUP(AC$1,$R$2:$R$18,$T$2:$T$18)-$M43)^2+(_xlfn.XLOOKUP(AC$1,$R$2:$R$18,$U$2:$U$18-$N43)^2)))</f>
        <v/>
      </c>
      <c r="AD43" s="149" t="str">
        <f t="array" ref="AD43">IF(AD$1=0,"",SQRT((_xlfn.XLOOKUP(AD$1,$R$2:$R$18,$S$2:$S$18)-$L43)^2+(_xlfn.XLOOKUP(AD$1,$R$2:$R$18,$T$2:$T$18)-$M43)^2+(_xlfn.XLOOKUP(AD$1,$R$2:$R$18,$U$2:$U$18-$N43)^2)))</f>
        <v/>
      </c>
      <c r="AE43" s="149" t="str">
        <f t="array" ref="AE43">IF(AE$1=0,"",SQRT((_xlfn.XLOOKUP(AE$1,$R$2:$R$18,$S$2:$S$18)-$L43)^2+(_xlfn.XLOOKUP(AE$1,$R$2:$R$18,$T$2:$T$18)-$M43)^2+(_xlfn.XLOOKUP(AE$1,$R$2:$R$18,$U$2:$U$18-$N43)^2)))</f>
        <v/>
      </c>
      <c r="AF43" s="149" t="str">
        <f t="array" ref="AF43">IF(AF$1=0,"",SQRT((_xlfn.XLOOKUP(AF$1,$R$2:$R$18,$S$2:$S$18)-$L43)^2+(_xlfn.XLOOKUP(AF$1,$R$2:$R$18,$T$2:$T$18)-$M43)^2+(_xlfn.XLOOKUP(AF$1,$R$2:$R$18,$U$2:$U$18-$N43)^2)))</f>
        <v/>
      </c>
      <c r="AG43" s="149" t="str">
        <f t="array" ref="AG43">IF(AG$1=0,"",SQRT((_xlfn.XLOOKUP(AG$1,$R$2:$R$18,$S$2:$S$18)-$L43)^2+(_xlfn.XLOOKUP(AG$1,$R$2:$R$18,$T$2:$T$18)-$M43)^2+(_xlfn.XLOOKUP(AG$1,$R$2:$R$18,$U$2:$U$18-$N43)^2)))</f>
        <v/>
      </c>
      <c r="AH43" s="150" t="str">
        <f t="array" ref="AH43">IF(AH$1=0,"",SQRT((_xlfn.XLOOKUP(AH$1,$R$2:$R$18,$S$2:$S$18)-$L43)^2+(_xlfn.XLOOKUP(AH$1,$R$2:$R$18,$T$2:$T$18)-$M43)^2+(_xlfn.XLOOKUP(AH$1,$R$2:$R$18,$U$2:$U$18-$N43)^2)))</f>
        <v/>
      </c>
      <c r="AI43" s="150" t="str">
        <f t="array" ref="AI43">IF(AI$1=0,"",SQRT((_xlfn.XLOOKUP(AI$1,$R$2:$R$18,$S$2:$S$18)-$L43)^2+(_xlfn.XLOOKUP(AI$1,$R$2:$R$18,$T$2:$T$18)-$M43)^2+(_xlfn.XLOOKUP(AI$1,$R$2:$R$18,$U$2:$U$18-$N43)^2)))</f>
        <v/>
      </c>
      <c r="AJ43" s="150" t="str">
        <f t="array" ref="AJ43">IF(AJ$1=0,"",SQRT((_xlfn.XLOOKUP(AJ$1,$R$2:$R$18,$S$2:$S$18)-$L43)^2+(_xlfn.XLOOKUP(AJ$1,$R$2:$R$18,$T$2:$T$18)-$M43)^2+(_xlfn.XLOOKUP(AJ$1,$R$2:$R$18,$U$2:$U$18-$N43)^2)))</f>
        <v/>
      </c>
      <c r="AK43" s="150" t="str">
        <f t="array" ref="AK43">IF(AK$1=0,"",SQRT((_xlfn.XLOOKUP(AK$1,$R$2:$R$18,$S$2:$S$18)-$L43)^2+(_xlfn.XLOOKUP(AK$1,$R$2:$R$18,$T$2:$T$18)-$M43)^2+(_xlfn.XLOOKUP(AK$1,$R$2:$R$18,$U$2:$U$18-$N43)^2)))</f>
        <v/>
      </c>
      <c r="AL43" s="150" t="str">
        <f t="array" ref="AL43">IF(AL$1=0,"",SQRT((_xlfn.XLOOKUP(AL$1,$R$2:$R$18,$S$2:$S$18)-$L43)^2+(_xlfn.XLOOKUP(AL$1,$R$2:$R$18,$T$2:$T$18)-$M43)^2+(_xlfn.XLOOKUP(AL$1,$R$2:$R$18,$U$2:$U$18-$N43)^2)))</f>
        <v/>
      </c>
      <c r="AM43" s="150" t="str">
        <f t="array" ref="AM43">IF(AM$1=0,"",SQRT((_xlfn.XLOOKUP(AM$1,$R$2:$R$18,$S$2:$S$18)-$L43)^2+(_xlfn.XLOOKUP(AM$1,$R$2:$R$18,$T$2:$T$18)-$M43)^2+(_xlfn.XLOOKUP(AM$1,$R$2:$R$18,$U$2:$U$18-$N43)^2)))</f>
        <v/>
      </c>
      <c r="AN43" s="151" t="str">
        <f t="array" ref="AN43">IF(AN$1=0,"",SQRT((_xlfn.XLOOKUP(AN$1,$R$2:$R$18,$S$2:$S$18)-$L43)^2+(_xlfn.XLOOKUP(AN$1,$R$2:$R$18,$T$2:$T$18)-$M43)^2+(_xlfn.XLOOKUP(AN$1,$R$2:$R$18,$U$2:$U$18-$N43)^2)))</f>
        <v/>
      </c>
      <c r="AO43" s="133"/>
      <c r="AP43" s="133"/>
      <c r="AQ43" s="134">
        <f t="shared" si="53"/>
        <v>0</v>
      </c>
      <c r="AR43" s="152">
        <f t="shared" si="54"/>
        <v>0</v>
      </c>
      <c r="AS43" s="152">
        <f t="shared" si="55"/>
        <v>0</v>
      </c>
      <c r="AT43" s="152">
        <f t="shared" si="56"/>
        <v>0</v>
      </c>
      <c r="AU43" s="152">
        <f t="shared" si="57"/>
        <v>0</v>
      </c>
      <c r="AV43" s="152">
        <f t="shared" si="58"/>
        <v>0</v>
      </c>
      <c r="AW43" s="152">
        <f t="shared" si="59"/>
        <v>0</v>
      </c>
      <c r="AX43" s="152">
        <f t="shared" si="60"/>
        <v>0</v>
      </c>
      <c r="AY43" s="153">
        <f t="shared" si="61"/>
        <v>0</v>
      </c>
      <c r="AZ43" s="153">
        <f t="shared" si="62"/>
        <v>0</v>
      </c>
      <c r="BA43" s="153">
        <f t="shared" si="63"/>
        <v>0</v>
      </c>
      <c r="BB43" s="153">
        <f t="shared" si="64"/>
        <v>0</v>
      </c>
      <c r="BC43" s="153">
        <f t="shared" si="65"/>
        <v>0</v>
      </c>
      <c r="BD43" s="153">
        <f t="shared" si="66"/>
        <v>0</v>
      </c>
      <c r="BE43" s="154">
        <f t="shared" si="67"/>
        <v>0</v>
      </c>
      <c r="BF43" s="133"/>
      <c r="BG43" s="58">
        <v>3</v>
      </c>
      <c r="BH43" s="58">
        <v>12</v>
      </c>
      <c r="BI43" s="21"/>
      <c r="BJ43" s="133"/>
      <c r="BK43" s="133"/>
      <c r="BL43" s="133"/>
      <c r="BM43" s="133"/>
      <c r="BN43" s="139"/>
      <c r="BO43" s="139"/>
      <c r="BP43" s="139"/>
      <c r="BQ43" s="139"/>
      <c r="BR43" s="139"/>
      <c r="BS43" s="139"/>
      <c r="BT43" s="139"/>
      <c r="BU43" s="139"/>
      <c r="BV43" s="139"/>
      <c r="BW43" s="139"/>
      <c r="BX43" s="139"/>
      <c r="BY43" s="139"/>
      <c r="BZ43" s="139"/>
      <c r="CA43" s="139"/>
      <c r="CB43" s="139"/>
      <c r="CC43" s="133"/>
      <c r="CD43" s="133"/>
      <c r="CE43" s="168">
        <f t="shared" si="35"/>
        <v>0</v>
      </c>
      <c r="CF43" s="169">
        <f t="shared" si="36"/>
        <v>0</v>
      </c>
      <c r="CG43" s="169">
        <f t="shared" si="37"/>
        <v>0</v>
      </c>
      <c r="CH43" s="169">
        <f t="shared" si="38"/>
        <v>0</v>
      </c>
      <c r="CI43" s="169">
        <f t="shared" si="39"/>
        <v>0</v>
      </c>
      <c r="CJ43" s="169">
        <f t="shared" si="41"/>
        <v>0</v>
      </c>
      <c r="CK43" s="169">
        <f t="shared" si="42"/>
        <v>0</v>
      </c>
      <c r="CL43" s="169">
        <f t="shared" si="43"/>
        <v>0</v>
      </c>
      <c r="CM43" s="171">
        <f t="shared" si="44"/>
        <v>0</v>
      </c>
      <c r="CN43" s="171">
        <f t="shared" si="45"/>
        <v>0</v>
      </c>
      <c r="CO43" s="171">
        <f t="shared" si="46"/>
        <v>0</v>
      </c>
      <c r="CP43" s="171">
        <f t="shared" si="47"/>
        <v>0</v>
      </c>
      <c r="CQ43" s="171">
        <f t="shared" si="48"/>
        <v>0</v>
      </c>
      <c r="CR43" s="171">
        <f t="shared" si="49"/>
        <v>0</v>
      </c>
      <c r="CS43" s="172">
        <f t="shared" si="50"/>
        <v>0</v>
      </c>
    </row>
    <row r="44" spans="1:97" ht="16.5" customHeight="1" x14ac:dyDescent="0.3">
      <c r="A44" s="144"/>
      <c r="B44" s="145"/>
      <c r="C44" s="145"/>
      <c r="D44" s="146"/>
      <c r="E44" s="146"/>
      <c r="F44" s="4"/>
      <c r="G44" s="4"/>
      <c r="H44" s="3"/>
      <c r="I44" s="127">
        <f t="shared" si="51"/>
        <v>0</v>
      </c>
      <c r="J44" s="3"/>
      <c r="K44" s="3"/>
      <c r="L44" s="4"/>
      <c r="M44" s="4"/>
      <c r="N44" s="111">
        <f t="shared" si="52"/>
        <v>0</v>
      </c>
      <c r="O44" s="170"/>
      <c r="P44" s="147"/>
      <c r="R44" s="118"/>
      <c r="S44" s="115"/>
      <c r="T44" s="54"/>
      <c r="U44" s="55"/>
      <c r="V44" s="54"/>
      <c r="W44" s="54"/>
      <c r="X44" s="55"/>
      <c r="Z44" s="167">
        <f t="array" ref="Z44">IF(Z$1=0,"",SQRT((_xlfn.XLOOKUP(Z$1,$R$2:$R$18,$S$2:$S$18)-$L44)^2+(_xlfn.XLOOKUP(Z$1,$R$2:$R$18,$T$2:$T$18)-$M44)^2+(_xlfn.XLOOKUP(Z$1,$R$2:$R$18,$U$2:$U$18-$N44)^2)))</f>
        <v>98.29525370026775</v>
      </c>
      <c r="AA44" s="149">
        <f t="array" ref="AA44">IF(AA$1=0,"",SQRT((_xlfn.XLOOKUP(AA$1,$R$2:$R$18,$S$2:$S$18)-$L44)^2+(_xlfn.XLOOKUP(AA$1,$R$2:$R$18,$T$2:$T$18)-$M44)^2+(_xlfn.XLOOKUP(AA$1,$R$2:$R$18,$U$2:$U$18-$N44)^2)))</f>
        <v>3.28</v>
      </c>
      <c r="AB44" s="149" t="str">
        <f t="array" ref="AB44">IF(AB$1=0,"",SQRT((_xlfn.XLOOKUP(AB$1,$R$2:$R$18,$S$2:$S$18)-$L44)^2+(_xlfn.XLOOKUP(AB$1,$R$2:$R$18,$T$2:$T$18)-$M44)^2+(_xlfn.XLOOKUP(AB$1,$R$2:$R$18,$U$2:$U$18-$N44)^2)))</f>
        <v/>
      </c>
      <c r="AC44" s="149" t="str">
        <f t="array" ref="AC44">IF(AC$1=0,"",SQRT((_xlfn.XLOOKUP(AC$1,$R$2:$R$18,$S$2:$S$18)-$L44)^2+(_xlfn.XLOOKUP(AC$1,$R$2:$R$18,$T$2:$T$18)-$M44)^2+(_xlfn.XLOOKUP(AC$1,$R$2:$R$18,$U$2:$U$18-$N44)^2)))</f>
        <v/>
      </c>
      <c r="AD44" s="149" t="str">
        <f t="array" ref="AD44">IF(AD$1=0,"",SQRT((_xlfn.XLOOKUP(AD$1,$R$2:$R$18,$S$2:$S$18)-$L44)^2+(_xlfn.XLOOKUP(AD$1,$R$2:$R$18,$T$2:$T$18)-$M44)^2+(_xlfn.XLOOKUP(AD$1,$R$2:$R$18,$U$2:$U$18-$N44)^2)))</f>
        <v/>
      </c>
      <c r="AE44" s="149" t="str">
        <f t="array" ref="AE44">IF(AE$1=0,"",SQRT((_xlfn.XLOOKUP(AE$1,$R$2:$R$18,$S$2:$S$18)-$L44)^2+(_xlfn.XLOOKUP(AE$1,$R$2:$R$18,$T$2:$T$18)-$M44)^2+(_xlfn.XLOOKUP(AE$1,$R$2:$R$18,$U$2:$U$18-$N44)^2)))</f>
        <v/>
      </c>
      <c r="AF44" s="149" t="str">
        <f t="array" ref="AF44">IF(AF$1=0,"",SQRT((_xlfn.XLOOKUP(AF$1,$R$2:$R$18,$S$2:$S$18)-$L44)^2+(_xlfn.XLOOKUP(AF$1,$R$2:$R$18,$T$2:$T$18)-$M44)^2+(_xlfn.XLOOKUP(AF$1,$R$2:$R$18,$U$2:$U$18-$N44)^2)))</f>
        <v/>
      </c>
      <c r="AG44" s="149" t="str">
        <f t="array" ref="AG44">IF(AG$1=0,"",SQRT((_xlfn.XLOOKUP(AG$1,$R$2:$R$18,$S$2:$S$18)-$L44)^2+(_xlfn.XLOOKUP(AG$1,$R$2:$R$18,$T$2:$T$18)-$M44)^2+(_xlfn.XLOOKUP(AG$1,$R$2:$R$18,$U$2:$U$18-$N44)^2)))</f>
        <v/>
      </c>
      <c r="AH44" s="150" t="str">
        <f t="array" ref="AH44">IF(AH$1=0,"",SQRT((_xlfn.XLOOKUP(AH$1,$R$2:$R$18,$S$2:$S$18)-$L44)^2+(_xlfn.XLOOKUP(AH$1,$R$2:$R$18,$T$2:$T$18)-$M44)^2+(_xlfn.XLOOKUP(AH$1,$R$2:$R$18,$U$2:$U$18-$N44)^2)))</f>
        <v/>
      </c>
      <c r="AI44" s="150" t="str">
        <f t="array" ref="AI44">IF(AI$1=0,"",SQRT((_xlfn.XLOOKUP(AI$1,$R$2:$R$18,$S$2:$S$18)-$L44)^2+(_xlfn.XLOOKUP(AI$1,$R$2:$R$18,$T$2:$T$18)-$M44)^2+(_xlfn.XLOOKUP(AI$1,$R$2:$R$18,$U$2:$U$18-$N44)^2)))</f>
        <v/>
      </c>
      <c r="AJ44" s="150" t="str">
        <f t="array" ref="AJ44">IF(AJ$1=0,"",SQRT((_xlfn.XLOOKUP(AJ$1,$R$2:$R$18,$S$2:$S$18)-$L44)^2+(_xlfn.XLOOKUP(AJ$1,$R$2:$R$18,$T$2:$T$18)-$M44)^2+(_xlfn.XLOOKUP(AJ$1,$R$2:$R$18,$U$2:$U$18-$N44)^2)))</f>
        <v/>
      </c>
      <c r="AK44" s="150" t="str">
        <f t="array" ref="AK44">IF(AK$1=0,"",SQRT((_xlfn.XLOOKUP(AK$1,$R$2:$R$18,$S$2:$S$18)-$L44)^2+(_xlfn.XLOOKUP(AK$1,$R$2:$R$18,$T$2:$T$18)-$M44)^2+(_xlfn.XLOOKUP(AK$1,$R$2:$R$18,$U$2:$U$18-$N44)^2)))</f>
        <v/>
      </c>
      <c r="AL44" s="150" t="str">
        <f t="array" ref="AL44">IF(AL$1=0,"",SQRT((_xlfn.XLOOKUP(AL$1,$R$2:$R$18,$S$2:$S$18)-$L44)^2+(_xlfn.XLOOKUP(AL$1,$R$2:$R$18,$T$2:$T$18)-$M44)^2+(_xlfn.XLOOKUP(AL$1,$R$2:$R$18,$U$2:$U$18-$N44)^2)))</f>
        <v/>
      </c>
      <c r="AM44" s="150" t="str">
        <f t="array" ref="AM44">IF(AM$1=0,"",SQRT((_xlfn.XLOOKUP(AM$1,$R$2:$R$18,$S$2:$S$18)-$L44)^2+(_xlfn.XLOOKUP(AM$1,$R$2:$R$18,$T$2:$T$18)-$M44)^2+(_xlfn.XLOOKUP(AM$1,$R$2:$R$18,$U$2:$U$18-$N44)^2)))</f>
        <v/>
      </c>
      <c r="AN44" s="151" t="str">
        <f t="array" ref="AN44">IF(AN$1=0,"",SQRT((_xlfn.XLOOKUP(AN$1,$R$2:$R$18,$S$2:$S$18)-$L44)^2+(_xlfn.XLOOKUP(AN$1,$R$2:$R$18,$T$2:$T$18)-$M44)^2+(_xlfn.XLOOKUP(AN$1,$R$2:$R$18,$U$2:$U$18-$N44)^2)))</f>
        <v/>
      </c>
      <c r="AO44" s="133"/>
      <c r="AP44" s="133"/>
      <c r="AQ44" s="134">
        <f t="shared" si="53"/>
        <v>0</v>
      </c>
      <c r="AR44" s="152">
        <f t="shared" si="54"/>
        <v>0</v>
      </c>
      <c r="AS44" s="152">
        <f t="shared" si="55"/>
        <v>0</v>
      </c>
      <c r="AT44" s="152">
        <f t="shared" si="56"/>
        <v>0</v>
      </c>
      <c r="AU44" s="152">
        <f t="shared" si="57"/>
        <v>0</v>
      </c>
      <c r="AV44" s="152">
        <f t="shared" si="58"/>
        <v>0</v>
      </c>
      <c r="AW44" s="152">
        <f t="shared" si="59"/>
        <v>0</v>
      </c>
      <c r="AX44" s="152">
        <f t="shared" si="60"/>
        <v>0</v>
      </c>
      <c r="AY44" s="153">
        <f t="shared" si="61"/>
        <v>0</v>
      </c>
      <c r="AZ44" s="153">
        <f t="shared" si="62"/>
        <v>0</v>
      </c>
      <c r="BA44" s="153">
        <f t="shared" si="63"/>
        <v>0</v>
      </c>
      <c r="BB44" s="153">
        <f t="shared" si="64"/>
        <v>0</v>
      </c>
      <c r="BC44" s="153">
        <f t="shared" si="65"/>
        <v>0</v>
      </c>
      <c r="BD44" s="153">
        <f t="shared" si="66"/>
        <v>0</v>
      </c>
      <c r="BE44" s="154">
        <f t="shared" si="67"/>
        <v>0</v>
      </c>
      <c r="BF44" s="133"/>
      <c r="BG44" s="58">
        <v>6</v>
      </c>
      <c r="BH44" s="58">
        <v>15</v>
      </c>
      <c r="BI44" s="21"/>
      <c r="BJ44" s="133"/>
      <c r="BK44" s="133"/>
      <c r="BL44" s="133"/>
      <c r="BM44" s="133"/>
      <c r="BN44" s="139"/>
      <c r="BO44" s="139"/>
      <c r="BP44" s="139"/>
      <c r="BQ44" s="139"/>
      <c r="BR44" s="139"/>
      <c r="BS44" s="139"/>
      <c r="BT44" s="139"/>
      <c r="BU44" s="139"/>
      <c r="BV44" s="139"/>
      <c r="BW44" s="139"/>
      <c r="BX44" s="139"/>
      <c r="BY44" s="139"/>
      <c r="BZ44" s="139"/>
      <c r="CA44" s="139"/>
      <c r="CB44" s="139"/>
      <c r="CC44" s="133"/>
      <c r="CD44" s="133"/>
      <c r="CE44" s="168">
        <f t="shared" si="35"/>
        <v>0</v>
      </c>
      <c r="CF44" s="169">
        <f t="shared" si="36"/>
        <v>0</v>
      </c>
      <c r="CG44" s="169">
        <f t="shared" si="37"/>
        <v>0</v>
      </c>
      <c r="CH44" s="169">
        <f t="shared" si="38"/>
        <v>0</v>
      </c>
      <c r="CI44" s="169">
        <f t="shared" si="39"/>
        <v>0</v>
      </c>
      <c r="CJ44" s="169">
        <f t="shared" si="41"/>
        <v>0</v>
      </c>
      <c r="CK44" s="169">
        <f t="shared" si="42"/>
        <v>0</v>
      </c>
      <c r="CL44" s="169">
        <f t="shared" si="43"/>
        <v>0</v>
      </c>
      <c r="CM44" s="171">
        <f t="shared" si="44"/>
        <v>0</v>
      </c>
      <c r="CN44" s="171">
        <f t="shared" si="45"/>
        <v>0</v>
      </c>
      <c r="CO44" s="171">
        <f t="shared" si="46"/>
        <v>0</v>
      </c>
      <c r="CP44" s="171">
        <f t="shared" si="47"/>
        <v>0</v>
      </c>
      <c r="CQ44" s="171">
        <f t="shared" si="48"/>
        <v>0</v>
      </c>
      <c r="CR44" s="171">
        <f t="shared" si="49"/>
        <v>0</v>
      </c>
      <c r="CS44" s="172">
        <f t="shared" si="50"/>
        <v>0</v>
      </c>
    </row>
    <row r="45" spans="1:97" ht="16.5" customHeight="1" x14ac:dyDescent="0.3">
      <c r="A45" s="144"/>
      <c r="B45" s="145"/>
      <c r="C45" s="145"/>
      <c r="D45" s="146"/>
      <c r="E45" s="146"/>
      <c r="F45" s="4"/>
      <c r="G45" s="4"/>
      <c r="H45" s="3"/>
      <c r="I45" s="127">
        <f t="shared" si="51"/>
        <v>0</v>
      </c>
      <c r="J45" s="3"/>
      <c r="K45" s="3"/>
      <c r="L45" s="4"/>
      <c r="M45" s="4"/>
      <c r="N45" s="111">
        <f t="shared" si="52"/>
        <v>0</v>
      </c>
      <c r="O45" s="170"/>
      <c r="P45" s="147"/>
      <c r="R45" s="118"/>
      <c r="S45" s="115"/>
      <c r="T45" s="54"/>
      <c r="U45" s="55"/>
      <c r="V45" s="54"/>
      <c r="W45" s="54"/>
      <c r="X45" s="55"/>
      <c r="Z45" s="167">
        <f t="array" ref="Z45">IF(Z$1=0,"",SQRT((_xlfn.XLOOKUP(Z$1,$R$2:$R$18,$S$2:$S$18)-$L45)^2+(_xlfn.XLOOKUP(Z$1,$R$2:$R$18,$T$2:$T$18)-$M45)^2+(_xlfn.XLOOKUP(Z$1,$R$2:$R$18,$U$2:$U$18-$N45)^2)))</f>
        <v>98.29525370026775</v>
      </c>
      <c r="AA45" s="149">
        <f t="array" ref="AA45">IF(AA$1=0,"",SQRT((_xlfn.XLOOKUP(AA$1,$R$2:$R$18,$S$2:$S$18)-$L45)^2+(_xlfn.XLOOKUP(AA$1,$R$2:$R$18,$T$2:$T$18)-$M45)^2+(_xlfn.XLOOKUP(AA$1,$R$2:$R$18,$U$2:$U$18-$N45)^2)))</f>
        <v>3.28</v>
      </c>
      <c r="AB45" s="149" t="str">
        <f t="array" ref="AB45">IF(AB$1=0,"",SQRT((_xlfn.XLOOKUP(AB$1,$R$2:$R$18,$S$2:$S$18)-$L45)^2+(_xlfn.XLOOKUP(AB$1,$R$2:$R$18,$T$2:$T$18)-$M45)^2+(_xlfn.XLOOKUP(AB$1,$R$2:$R$18,$U$2:$U$18-$N45)^2)))</f>
        <v/>
      </c>
      <c r="AC45" s="149" t="str">
        <f t="array" ref="AC45">IF(AC$1=0,"",SQRT((_xlfn.XLOOKUP(AC$1,$R$2:$R$18,$S$2:$S$18)-$L45)^2+(_xlfn.XLOOKUP(AC$1,$R$2:$R$18,$T$2:$T$18)-$M45)^2+(_xlfn.XLOOKUP(AC$1,$R$2:$R$18,$U$2:$U$18-$N45)^2)))</f>
        <v/>
      </c>
      <c r="AD45" s="149" t="str">
        <f t="array" ref="AD45">IF(AD$1=0,"",SQRT((_xlfn.XLOOKUP(AD$1,$R$2:$R$18,$S$2:$S$18)-$L45)^2+(_xlfn.XLOOKUP(AD$1,$R$2:$R$18,$T$2:$T$18)-$M45)^2+(_xlfn.XLOOKUP(AD$1,$R$2:$R$18,$U$2:$U$18-$N45)^2)))</f>
        <v/>
      </c>
      <c r="AE45" s="149" t="str">
        <f t="array" ref="AE45">IF(AE$1=0,"",SQRT((_xlfn.XLOOKUP(AE$1,$R$2:$R$18,$S$2:$S$18)-$L45)^2+(_xlfn.XLOOKUP(AE$1,$R$2:$R$18,$T$2:$T$18)-$M45)^2+(_xlfn.XLOOKUP(AE$1,$R$2:$R$18,$U$2:$U$18-$N45)^2)))</f>
        <v/>
      </c>
      <c r="AF45" s="149" t="str">
        <f t="array" ref="AF45">IF(AF$1=0,"",SQRT((_xlfn.XLOOKUP(AF$1,$R$2:$R$18,$S$2:$S$18)-$L45)^2+(_xlfn.XLOOKUP(AF$1,$R$2:$R$18,$T$2:$T$18)-$M45)^2+(_xlfn.XLOOKUP(AF$1,$R$2:$R$18,$U$2:$U$18-$N45)^2)))</f>
        <v/>
      </c>
      <c r="AG45" s="149" t="str">
        <f t="array" ref="AG45">IF(AG$1=0,"",SQRT((_xlfn.XLOOKUP(AG$1,$R$2:$R$18,$S$2:$S$18)-$L45)^2+(_xlfn.XLOOKUP(AG$1,$R$2:$R$18,$T$2:$T$18)-$M45)^2+(_xlfn.XLOOKUP(AG$1,$R$2:$R$18,$U$2:$U$18-$N45)^2)))</f>
        <v/>
      </c>
      <c r="AH45" s="150" t="str">
        <f t="array" ref="AH45">IF(AH$1=0,"",SQRT((_xlfn.XLOOKUP(AH$1,$R$2:$R$18,$S$2:$S$18)-$L45)^2+(_xlfn.XLOOKUP(AH$1,$R$2:$R$18,$T$2:$T$18)-$M45)^2+(_xlfn.XLOOKUP(AH$1,$R$2:$R$18,$U$2:$U$18-$N45)^2)))</f>
        <v/>
      </c>
      <c r="AI45" s="150" t="str">
        <f t="array" ref="AI45">IF(AI$1=0,"",SQRT((_xlfn.XLOOKUP(AI$1,$R$2:$R$18,$S$2:$S$18)-$L45)^2+(_xlfn.XLOOKUP(AI$1,$R$2:$R$18,$T$2:$T$18)-$M45)^2+(_xlfn.XLOOKUP(AI$1,$R$2:$R$18,$U$2:$U$18-$N45)^2)))</f>
        <v/>
      </c>
      <c r="AJ45" s="150" t="str">
        <f t="array" ref="AJ45">IF(AJ$1=0,"",SQRT((_xlfn.XLOOKUP(AJ$1,$R$2:$R$18,$S$2:$S$18)-$L45)^2+(_xlfn.XLOOKUP(AJ$1,$R$2:$R$18,$T$2:$T$18)-$M45)^2+(_xlfn.XLOOKUP(AJ$1,$R$2:$R$18,$U$2:$U$18-$N45)^2)))</f>
        <v/>
      </c>
      <c r="AK45" s="150" t="str">
        <f t="array" ref="AK45">IF(AK$1=0,"",SQRT((_xlfn.XLOOKUP(AK$1,$R$2:$R$18,$S$2:$S$18)-$L45)^2+(_xlfn.XLOOKUP(AK$1,$R$2:$R$18,$T$2:$T$18)-$M45)^2+(_xlfn.XLOOKUP(AK$1,$R$2:$R$18,$U$2:$U$18-$N45)^2)))</f>
        <v/>
      </c>
      <c r="AL45" s="150" t="str">
        <f t="array" ref="AL45">IF(AL$1=0,"",SQRT((_xlfn.XLOOKUP(AL$1,$R$2:$R$18,$S$2:$S$18)-$L45)^2+(_xlfn.XLOOKUP(AL$1,$R$2:$R$18,$T$2:$T$18)-$M45)^2+(_xlfn.XLOOKUP(AL$1,$R$2:$R$18,$U$2:$U$18-$N45)^2)))</f>
        <v/>
      </c>
      <c r="AM45" s="150" t="str">
        <f t="array" ref="AM45">IF(AM$1=0,"",SQRT((_xlfn.XLOOKUP(AM$1,$R$2:$R$18,$S$2:$S$18)-$L45)^2+(_xlfn.XLOOKUP(AM$1,$R$2:$R$18,$T$2:$T$18)-$M45)^2+(_xlfn.XLOOKUP(AM$1,$R$2:$R$18,$U$2:$U$18-$N45)^2)))</f>
        <v/>
      </c>
      <c r="AN45" s="151" t="str">
        <f t="array" ref="AN45">IF(AN$1=0,"",SQRT((_xlfn.XLOOKUP(AN$1,$R$2:$R$18,$S$2:$S$18)-$L45)^2+(_xlfn.XLOOKUP(AN$1,$R$2:$R$18,$T$2:$T$18)-$M45)^2+(_xlfn.XLOOKUP(AN$1,$R$2:$R$18,$U$2:$U$18-$N45)^2)))</f>
        <v/>
      </c>
      <c r="AO45" s="133"/>
      <c r="AP45" s="133"/>
      <c r="AQ45" s="134">
        <f t="shared" si="53"/>
        <v>0</v>
      </c>
      <c r="AR45" s="152">
        <f t="shared" si="54"/>
        <v>0</v>
      </c>
      <c r="AS45" s="152">
        <f t="shared" si="55"/>
        <v>0</v>
      </c>
      <c r="AT45" s="152">
        <f t="shared" si="56"/>
        <v>0</v>
      </c>
      <c r="AU45" s="152">
        <f t="shared" si="57"/>
        <v>0</v>
      </c>
      <c r="AV45" s="152">
        <f t="shared" si="58"/>
        <v>0</v>
      </c>
      <c r="AW45" s="152">
        <f t="shared" si="59"/>
        <v>0</v>
      </c>
      <c r="AX45" s="152">
        <f t="shared" si="60"/>
        <v>0</v>
      </c>
      <c r="AY45" s="153">
        <f t="shared" si="61"/>
        <v>0</v>
      </c>
      <c r="AZ45" s="153">
        <f t="shared" si="62"/>
        <v>0</v>
      </c>
      <c r="BA45" s="153">
        <f t="shared" si="63"/>
        <v>0</v>
      </c>
      <c r="BB45" s="153">
        <f t="shared" si="64"/>
        <v>0</v>
      </c>
      <c r="BC45" s="153">
        <f t="shared" si="65"/>
        <v>0</v>
      </c>
      <c r="BD45" s="153">
        <f t="shared" si="66"/>
        <v>0</v>
      </c>
      <c r="BE45" s="154">
        <f t="shared" si="67"/>
        <v>0</v>
      </c>
      <c r="BF45" s="133"/>
      <c r="BG45" s="58">
        <v>12</v>
      </c>
      <c r="BH45" s="58">
        <v>17</v>
      </c>
      <c r="BI45" s="21"/>
      <c r="BJ45" s="133"/>
      <c r="BK45" s="133"/>
      <c r="BL45" s="133"/>
      <c r="BM45" s="133"/>
      <c r="BN45" s="139"/>
      <c r="BO45" s="139"/>
      <c r="BP45" s="139"/>
      <c r="BQ45" s="139"/>
      <c r="BR45" s="139"/>
      <c r="BS45" s="139"/>
      <c r="BT45" s="139"/>
      <c r="BU45" s="139"/>
      <c r="BV45" s="139"/>
      <c r="BW45" s="139"/>
      <c r="BX45" s="139"/>
      <c r="BY45" s="139"/>
      <c r="BZ45" s="139"/>
      <c r="CA45" s="139"/>
      <c r="CB45" s="139"/>
      <c r="CC45" s="133"/>
      <c r="CD45" s="133"/>
      <c r="CE45" s="168">
        <f t="shared" si="35"/>
        <v>0</v>
      </c>
      <c r="CF45" s="169">
        <f t="shared" si="36"/>
        <v>0</v>
      </c>
      <c r="CG45" s="169">
        <f t="shared" si="37"/>
        <v>0</v>
      </c>
      <c r="CH45" s="169">
        <f t="shared" si="38"/>
        <v>0</v>
      </c>
      <c r="CI45" s="169">
        <f t="shared" si="39"/>
        <v>0</v>
      </c>
      <c r="CJ45" s="169">
        <f t="shared" si="41"/>
        <v>0</v>
      </c>
      <c r="CK45" s="169">
        <f t="shared" si="42"/>
        <v>0</v>
      </c>
      <c r="CL45" s="169">
        <f t="shared" si="43"/>
        <v>0</v>
      </c>
      <c r="CM45" s="171">
        <f t="shared" si="44"/>
        <v>0</v>
      </c>
      <c r="CN45" s="171">
        <f t="shared" si="45"/>
        <v>0</v>
      </c>
      <c r="CO45" s="171">
        <f t="shared" si="46"/>
        <v>0</v>
      </c>
      <c r="CP45" s="171">
        <f t="shared" si="47"/>
        <v>0</v>
      </c>
      <c r="CQ45" s="171">
        <f t="shared" si="48"/>
        <v>0</v>
      </c>
      <c r="CR45" s="171">
        <f t="shared" si="49"/>
        <v>0</v>
      </c>
      <c r="CS45" s="172">
        <f t="shared" si="50"/>
        <v>0</v>
      </c>
    </row>
    <row r="46" spans="1:97" ht="16.5" customHeight="1" x14ac:dyDescent="0.3">
      <c r="A46" s="144"/>
      <c r="B46" s="145"/>
      <c r="C46" s="145"/>
      <c r="D46" s="146"/>
      <c r="E46" s="146"/>
      <c r="F46" s="4"/>
      <c r="G46" s="4"/>
      <c r="H46" s="3"/>
      <c r="I46" s="127">
        <f t="shared" si="51"/>
        <v>0</v>
      </c>
      <c r="J46" s="3"/>
      <c r="K46" s="3"/>
      <c r="L46" s="4"/>
      <c r="M46" s="4"/>
      <c r="N46" s="111">
        <f t="shared" si="52"/>
        <v>0</v>
      </c>
      <c r="O46" s="170"/>
      <c r="P46" s="147"/>
      <c r="R46" s="118"/>
      <c r="S46" s="115"/>
      <c r="T46" s="54"/>
      <c r="U46" s="55"/>
      <c r="V46" s="54"/>
      <c r="W46" s="54"/>
      <c r="X46" s="55"/>
      <c r="Z46" s="167">
        <f t="array" ref="Z46">IF(Z$1=0,"",SQRT((_xlfn.XLOOKUP(Z$1,$R$2:$R$18,$S$2:$S$18)-$L46)^2+(_xlfn.XLOOKUP(Z$1,$R$2:$R$18,$T$2:$T$18)-$M46)^2+(_xlfn.XLOOKUP(Z$1,$R$2:$R$18,$U$2:$U$18-$N46)^2)))</f>
        <v>98.29525370026775</v>
      </c>
      <c r="AA46" s="149">
        <f t="array" ref="AA46">IF(AA$1=0,"",SQRT((_xlfn.XLOOKUP(AA$1,$R$2:$R$18,$S$2:$S$18)-$L46)^2+(_xlfn.XLOOKUP(AA$1,$R$2:$R$18,$T$2:$T$18)-$M46)^2+(_xlfn.XLOOKUP(AA$1,$R$2:$R$18,$U$2:$U$18-$N46)^2)))</f>
        <v>3.28</v>
      </c>
      <c r="AB46" s="149" t="str">
        <f t="array" ref="AB46">IF(AB$1=0,"",SQRT((_xlfn.XLOOKUP(AB$1,$R$2:$R$18,$S$2:$S$18)-$L46)^2+(_xlfn.XLOOKUP(AB$1,$R$2:$R$18,$T$2:$T$18)-$M46)^2+(_xlfn.XLOOKUP(AB$1,$R$2:$R$18,$U$2:$U$18-$N46)^2)))</f>
        <v/>
      </c>
      <c r="AC46" s="149" t="str">
        <f t="array" ref="AC46">IF(AC$1=0,"",SQRT((_xlfn.XLOOKUP(AC$1,$R$2:$R$18,$S$2:$S$18)-$L46)^2+(_xlfn.XLOOKUP(AC$1,$R$2:$R$18,$T$2:$T$18)-$M46)^2+(_xlfn.XLOOKUP(AC$1,$R$2:$R$18,$U$2:$U$18-$N46)^2)))</f>
        <v/>
      </c>
      <c r="AD46" s="149" t="str">
        <f t="array" ref="AD46">IF(AD$1=0,"",SQRT((_xlfn.XLOOKUP(AD$1,$R$2:$R$18,$S$2:$S$18)-$L46)^2+(_xlfn.XLOOKUP(AD$1,$R$2:$R$18,$T$2:$T$18)-$M46)^2+(_xlfn.XLOOKUP(AD$1,$R$2:$R$18,$U$2:$U$18-$N46)^2)))</f>
        <v/>
      </c>
      <c r="AE46" s="149" t="str">
        <f t="array" ref="AE46">IF(AE$1=0,"",SQRT((_xlfn.XLOOKUP(AE$1,$R$2:$R$18,$S$2:$S$18)-$L46)^2+(_xlfn.XLOOKUP(AE$1,$R$2:$R$18,$T$2:$T$18)-$M46)^2+(_xlfn.XLOOKUP(AE$1,$R$2:$R$18,$U$2:$U$18-$N46)^2)))</f>
        <v/>
      </c>
      <c r="AF46" s="149" t="str">
        <f t="array" ref="AF46">IF(AF$1=0,"",SQRT((_xlfn.XLOOKUP(AF$1,$R$2:$R$18,$S$2:$S$18)-$L46)^2+(_xlfn.XLOOKUP(AF$1,$R$2:$R$18,$T$2:$T$18)-$M46)^2+(_xlfn.XLOOKUP(AF$1,$R$2:$R$18,$U$2:$U$18-$N46)^2)))</f>
        <v/>
      </c>
      <c r="AG46" s="149" t="str">
        <f t="array" ref="AG46">IF(AG$1=0,"",SQRT((_xlfn.XLOOKUP(AG$1,$R$2:$R$18,$S$2:$S$18)-$L46)^2+(_xlfn.XLOOKUP(AG$1,$R$2:$R$18,$T$2:$T$18)-$M46)^2+(_xlfn.XLOOKUP(AG$1,$R$2:$R$18,$U$2:$U$18-$N46)^2)))</f>
        <v/>
      </c>
      <c r="AH46" s="150" t="str">
        <f t="array" ref="AH46">IF(AH$1=0,"",SQRT((_xlfn.XLOOKUP(AH$1,$R$2:$R$18,$S$2:$S$18)-$L46)^2+(_xlfn.XLOOKUP(AH$1,$R$2:$R$18,$T$2:$T$18)-$M46)^2+(_xlfn.XLOOKUP(AH$1,$R$2:$R$18,$U$2:$U$18-$N46)^2)))</f>
        <v/>
      </c>
      <c r="AI46" s="150" t="str">
        <f t="array" ref="AI46">IF(AI$1=0,"",SQRT((_xlfn.XLOOKUP(AI$1,$R$2:$R$18,$S$2:$S$18)-$L46)^2+(_xlfn.XLOOKUP(AI$1,$R$2:$R$18,$T$2:$T$18)-$M46)^2+(_xlfn.XLOOKUP(AI$1,$R$2:$R$18,$U$2:$U$18-$N46)^2)))</f>
        <v/>
      </c>
      <c r="AJ46" s="150" t="str">
        <f t="array" ref="AJ46">IF(AJ$1=0,"",SQRT((_xlfn.XLOOKUP(AJ$1,$R$2:$R$18,$S$2:$S$18)-$L46)^2+(_xlfn.XLOOKUP(AJ$1,$R$2:$R$18,$T$2:$T$18)-$M46)^2+(_xlfn.XLOOKUP(AJ$1,$R$2:$R$18,$U$2:$U$18-$N46)^2)))</f>
        <v/>
      </c>
      <c r="AK46" s="150" t="str">
        <f t="array" ref="AK46">IF(AK$1=0,"",SQRT((_xlfn.XLOOKUP(AK$1,$R$2:$R$18,$S$2:$S$18)-$L46)^2+(_xlfn.XLOOKUP(AK$1,$R$2:$R$18,$T$2:$T$18)-$M46)^2+(_xlfn.XLOOKUP(AK$1,$R$2:$R$18,$U$2:$U$18-$N46)^2)))</f>
        <v/>
      </c>
      <c r="AL46" s="150" t="str">
        <f t="array" ref="AL46">IF(AL$1=0,"",SQRT((_xlfn.XLOOKUP(AL$1,$R$2:$R$18,$S$2:$S$18)-$L46)^2+(_xlfn.XLOOKUP(AL$1,$R$2:$R$18,$T$2:$T$18)-$M46)^2+(_xlfn.XLOOKUP(AL$1,$R$2:$R$18,$U$2:$U$18-$N46)^2)))</f>
        <v/>
      </c>
      <c r="AM46" s="150" t="str">
        <f t="array" ref="AM46">IF(AM$1=0,"",SQRT((_xlfn.XLOOKUP(AM$1,$R$2:$R$18,$S$2:$S$18)-$L46)^2+(_xlfn.XLOOKUP(AM$1,$R$2:$R$18,$T$2:$T$18)-$M46)^2+(_xlfn.XLOOKUP(AM$1,$R$2:$R$18,$U$2:$U$18-$N46)^2)))</f>
        <v/>
      </c>
      <c r="AN46" s="151" t="str">
        <f t="array" ref="AN46">IF(AN$1=0,"",SQRT((_xlfn.XLOOKUP(AN$1,$R$2:$R$18,$S$2:$S$18)-$L46)^2+(_xlfn.XLOOKUP(AN$1,$R$2:$R$18,$T$2:$T$18)-$M46)^2+(_xlfn.XLOOKUP(AN$1,$R$2:$R$18,$U$2:$U$18-$N46)^2)))</f>
        <v/>
      </c>
      <c r="AO46" s="133"/>
      <c r="AP46" s="133"/>
      <c r="AQ46" s="134">
        <f t="shared" si="53"/>
        <v>0</v>
      </c>
      <c r="AR46" s="152">
        <f t="shared" si="54"/>
        <v>0</v>
      </c>
      <c r="AS46" s="152">
        <f t="shared" si="55"/>
        <v>0</v>
      </c>
      <c r="AT46" s="152">
        <f t="shared" si="56"/>
        <v>0</v>
      </c>
      <c r="AU46" s="152">
        <f t="shared" si="57"/>
        <v>0</v>
      </c>
      <c r="AV46" s="152">
        <f t="shared" si="58"/>
        <v>0</v>
      </c>
      <c r="AW46" s="152">
        <f t="shared" si="59"/>
        <v>0</v>
      </c>
      <c r="AX46" s="152">
        <f t="shared" si="60"/>
        <v>0</v>
      </c>
      <c r="AY46" s="153">
        <f t="shared" si="61"/>
        <v>0</v>
      </c>
      <c r="AZ46" s="153">
        <f t="shared" si="62"/>
        <v>0</v>
      </c>
      <c r="BA46" s="153">
        <f t="shared" si="63"/>
        <v>0</v>
      </c>
      <c r="BB46" s="153">
        <f t="shared" si="64"/>
        <v>0</v>
      </c>
      <c r="BC46" s="153">
        <f t="shared" si="65"/>
        <v>0</v>
      </c>
      <c r="BD46" s="153">
        <f t="shared" si="66"/>
        <v>0</v>
      </c>
      <c r="BE46" s="154">
        <f t="shared" si="67"/>
        <v>0</v>
      </c>
      <c r="BF46" s="133"/>
      <c r="BG46" s="21" t="s">
        <v>86</v>
      </c>
      <c r="BH46" s="21">
        <f>ROUND(BI49,0)</f>
        <v>14</v>
      </c>
      <c r="BI46" s="21">
        <f>_xlfn.XLOOKUP(BH48,BG39:BG45,BH39:BH45,"error",0,1)</f>
        <v>12</v>
      </c>
      <c r="BJ46" s="133"/>
      <c r="BK46" s="133"/>
      <c r="BL46" s="133"/>
      <c r="BM46" s="133"/>
      <c r="BN46" s="139"/>
      <c r="BO46" s="139"/>
      <c r="BP46" s="139"/>
      <c r="BQ46" s="139"/>
      <c r="BR46" s="139"/>
      <c r="BS46" s="139"/>
      <c r="BT46" s="139"/>
      <c r="BU46" s="139"/>
      <c r="BV46" s="139"/>
      <c r="BW46" s="139"/>
      <c r="BX46" s="139"/>
      <c r="BY46" s="139"/>
      <c r="BZ46" s="139"/>
      <c r="CA46" s="139"/>
      <c r="CB46" s="139"/>
      <c r="CC46" s="133"/>
      <c r="CD46" s="133"/>
      <c r="CE46" s="168">
        <f t="shared" si="35"/>
        <v>0</v>
      </c>
      <c r="CF46" s="169">
        <f t="shared" si="36"/>
        <v>0</v>
      </c>
      <c r="CG46" s="169">
        <f t="shared" si="37"/>
        <v>0</v>
      </c>
      <c r="CH46" s="169">
        <f t="shared" si="38"/>
        <v>0</v>
      </c>
      <c r="CI46" s="169">
        <f t="shared" si="39"/>
        <v>0</v>
      </c>
      <c r="CJ46" s="169">
        <f t="shared" si="41"/>
        <v>0</v>
      </c>
      <c r="CK46" s="169">
        <f t="shared" si="42"/>
        <v>0</v>
      </c>
      <c r="CL46" s="169">
        <f t="shared" si="43"/>
        <v>0</v>
      </c>
      <c r="CM46" s="171">
        <f t="shared" si="44"/>
        <v>0</v>
      </c>
      <c r="CN46" s="171">
        <f t="shared" si="45"/>
        <v>0</v>
      </c>
      <c r="CO46" s="171">
        <f t="shared" si="46"/>
        <v>0</v>
      </c>
      <c r="CP46" s="171">
        <f t="shared" si="47"/>
        <v>0</v>
      </c>
      <c r="CQ46" s="171">
        <f t="shared" si="48"/>
        <v>0</v>
      </c>
      <c r="CR46" s="171">
        <f t="shared" si="49"/>
        <v>0</v>
      </c>
      <c r="CS46" s="172">
        <f t="shared" si="50"/>
        <v>0</v>
      </c>
    </row>
    <row r="47" spans="1:97" ht="16.5" customHeight="1" x14ac:dyDescent="0.3">
      <c r="A47" s="144"/>
      <c r="B47" s="145"/>
      <c r="C47" s="145"/>
      <c r="D47" s="146"/>
      <c r="E47" s="146"/>
      <c r="F47" s="4"/>
      <c r="G47" s="4"/>
      <c r="H47" s="3"/>
      <c r="I47" s="127">
        <f t="shared" si="51"/>
        <v>0</v>
      </c>
      <c r="J47" s="3"/>
      <c r="K47" s="3"/>
      <c r="L47" s="4"/>
      <c r="M47" s="4"/>
      <c r="N47" s="111">
        <f t="shared" si="52"/>
        <v>0</v>
      </c>
      <c r="O47" s="170"/>
      <c r="P47" s="147"/>
      <c r="R47" s="118"/>
      <c r="S47" s="115"/>
      <c r="T47" s="54"/>
      <c r="U47" s="55"/>
      <c r="V47" s="54"/>
      <c r="W47" s="54"/>
      <c r="X47" s="55"/>
      <c r="Z47" s="167">
        <f t="array" ref="Z47">IF(Z$1=0,"",SQRT((_xlfn.XLOOKUP(Z$1,$R$2:$R$18,$S$2:$S$18)-$L47)^2+(_xlfn.XLOOKUP(Z$1,$R$2:$R$18,$T$2:$T$18)-$M47)^2+(_xlfn.XLOOKUP(Z$1,$R$2:$R$18,$U$2:$U$18-$N47)^2)))</f>
        <v>98.29525370026775</v>
      </c>
      <c r="AA47" s="149">
        <f t="array" ref="AA47">IF(AA$1=0,"",SQRT((_xlfn.XLOOKUP(AA$1,$R$2:$R$18,$S$2:$S$18)-$L47)^2+(_xlfn.XLOOKUP(AA$1,$R$2:$R$18,$T$2:$T$18)-$M47)^2+(_xlfn.XLOOKUP(AA$1,$R$2:$R$18,$U$2:$U$18-$N47)^2)))</f>
        <v>3.28</v>
      </c>
      <c r="AB47" s="149" t="str">
        <f t="array" ref="AB47">IF(AB$1=0,"",SQRT((_xlfn.XLOOKUP(AB$1,$R$2:$R$18,$S$2:$S$18)-$L47)^2+(_xlfn.XLOOKUP(AB$1,$R$2:$R$18,$T$2:$T$18)-$M47)^2+(_xlfn.XLOOKUP(AB$1,$R$2:$R$18,$U$2:$U$18-$N47)^2)))</f>
        <v/>
      </c>
      <c r="AC47" s="149" t="str">
        <f t="array" ref="AC47">IF(AC$1=0,"",SQRT((_xlfn.XLOOKUP(AC$1,$R$2:$R$18,$S$2:$S$18)-$L47)^2+(_xlfn.XLOOKUP(AC$1,$R$2:$R$18,$T$2:$T$18)-$M47)^2+(_xlfn.XLOOKUP(AC$1,$R$2:$R$18,$U$2:$U$18-$N47)^2)))</f>
        <v/>
      </c>
      <c r="AD47" s="149" t="str">
        <f t="array" ref="AD47">IF(AD$1=0,"",SQRT((_xlfn.XLOOKUP(AD$1,$R$2:$R$18,$S$2:$S$18)-$L47)^2+(_xlfn.XLOOKUP(AD$1,$R$2:$R$18,$T$2:$T$18)-$M47)^2+(_xlfn.XLOOKUP(AD$1,$R$2:$R$18,$U$2:$U$18-$N47)^2)))</f>
        <v/>
      </c>
      <c r="AE47" s="149" t="str">
        <f t="array" ref="AE47">IF(AE$1=0,"",SQRT((_xlfn.XLOOKUP(AE$1,$R$2:$R$18,$S$2:$S$18)-$L47)^2+(_xlfn.XLOOKUP(AE$1,$R$2:$R$18,$T$2:$T$18)-$M47)^2+(_xlfn.XLOOKUP(AE$1,$R$2:$R$18,$U$2:$U$18-$N47)^2)))</f>
        <v/>
      </c>
      <c r="AF47" s="149" t="str">
        <f t="array" ref="AF47">IF(AF$1=0,"",SQRT((_xlfn.XLOOKUP(AF$1,$R$2:$R$18,$S$2:$S$18)-$L47)^2+(_xlfn.XLOOKUP(AF$1,$R$2:$R$18,$T$2:$T$18)-$M47)^2+(_xlfn.XLOOKUP(AF$1,$R$2:$R$18,$U$2:$U$18-$N47)^2)))</f>
        <v/>
      </c>
      <c r="AG47" s="149" t="str">
        <f t="array" ref="AG47">IF(AG$1=0,"",SQRT((_xlfn.XLOOKUP(AG$1,$R$2:$R$18,$S$2:$S$18)-$L47)^2+(_xlfn.XLOOKUP(AG$1,$R$2:$R$18,$T$2:$T$18)-$M47)^2+(_xlfn.XLOOKUP(AG$1,$R$2:$R$18,$U$2:$U$18-$N47)^2)))</f>
        <v/>
      </c>
      <c r="AH47" s="150" t="str">
        <f t="array" ref="AH47">IF(AH$1=0,"",SQRT((_xlfn.XLOOKUP(AH$1,$R$2:$R$18,$S$2:$S$18)-$L47)^2+(_xlfn.XLOOKUP(AH$1,$R$2:$R$18,$T$2:$T$18)-$M47)^2+(_xlfn.XLOOKUP(AH$1,$R$2:$R$18,$U$2:$U$18-$N47)^2)))</f>
        <v/>
      </c>
      <c r="AI47" s="150" t="str">
        <f t="array" ref="AI47">IF(AI$1=0,"",SQRT((_xlfn.XLOOKUP(AI$1,$R$2:$R$18,$S$2:$S$18)-$L47)^2+(_xlfn.XLOOKUP(AI$1,$R$2:$R$18,$T$2:$T$18)-$M47)^2+(_xlfn.XLOOKUP(AI$1,$R$2:$R$18,$U$2:$U$18-$N47)^2)))</f>
        <v/>
      </c>
      <c r="AJ47" s="150" t="str">
        <f t="array" ref="AJ47">IF(AJ$1=0,"",SQRT((_xlfn.XLOOKUP(AJ$1,$R$2:$R$18,$S$2:$S$18)-$L47)^2+(_xlfn.XLOOKUP(AJ$1,$R$2:$R$18,$T$2:$T$18)-$M47)^2+(_xlfn.XLOOKUP(AJ$1,$R$2:$R$18,$U$2:$U$18-$N47)^2)))</f>
        <v/>
      </c>
      <c r="AK47" s="150" t="str">
        <f t="array" ref="AK47">IF(AK$1=0,"",SQRT((_xlfn.XLOOKUP(AK$1,$R$2:$R$18,$S$2:$S$18)-$L47)^2+(_xlfn.XLOOKUP(AK$1,$R$2:$R$18,$T$2:$T$18)-$M47)^2+(_xlfn.XLOOKUP(AK$1,$R$2:$R$18,$U$2:$U$18-$N47)^2)))</f>
        <v/>
      </c>
      <c r="AL47" s="150" t="str">
        <f t="array" ref="AL47">IF(AL$1=0,"",SQRT((_xlfn.XLOOKUP(AL$1,$R$2:$R$18,$S$2:$S$18)-$L47)^2+(_xlfn.XLOOKUP(AL$1,$R$2:$R$18,$T$2:$T$18)-$M47)^2+(_xlfn.XLOOKUP(AL$1,$R$2:$R$18,$U$2:$U$18-$N47)^2)))</f>
        <v/>
      </c>
      <c r="AM47" s="150" t="str">
        <f t="array" ref="AM47">IF(AM$1=0,"",SQRT((_xlfn.XLOOKUP(AM$1,$R$2:$R$18,$S$2:$S$18)-$L47)^2+(_xlfn.XLOOKUP(AM$1,$R$2:$R$18,$T$2:$T$18)-$M47)^2+(_xlfn.XLOOKUP(AM$1,$R$2:$R$18,$U$2:$U$18-$N47)^2)))</f>
        <v/>
      </c>
      <c r="AN47" s="151" t="str">
        <f t="array" ref="AN47">IF(AN$1=0,"",SQRT((_xlfn.XLOOKUP(AN$1,$R$2:$R$18,$S$2:$S$18)-$L47)^2+(_xlfn.XLOOKUP(AN$1,$R$2:$R$18,$T$2:$T$18)-$M47)^2+(_xlfn.XLOOKUP(AN$1,$R$2:$R$18,$U$2:$U$18-$N47)^2)))</f>
        <v/>
      </c>
      <c r="AO47" s="133"/>
      <c r="AP47" s="133"/>
      <c r="AQ47" s="134">
        <f t="shared" si="53"/>
        <v>0</v>
      </c>
      <c r="AR47" s="152">
        <f t="shared" si="54"/>
        <v>0</v>
      </c>
      <c r="AS47" s="152">
        <f t="shared" si="55"/>
        <v>0</v>
      </c>
      <c r="AT47" s="152">
        <f t="shared" si="56"/>
        <v>0</v>
      </c>
      <c r="AU47" s="152">
        <f t="shared" si="57"/>
        <v>0</v>
      </c>
      <c r="AV47" s="152">
        <f t="shared" si="58"/>
        <v>0</v>
      </c>
      <c r="AW47" s="152">
        <f t="shared" si="59"/>
        <v>0</v>
      </c>
      <c r="AX47" s="152">
        <f t="shared" si="60"/>
        <v>0</v>
      </c>
      <c r="AY47" s="153">
        <f t="shared" si="61"/>
        <v>0</v>
      </c>
      <c r="AZ47" s="153">
        <f t="shared" si="62"/>
        <v>0</v>
      </c>
      <c r="BA47" s="153">
        <f t="shared" si="63"/>
        <v>0</v>
      </c>
      <c r="BB47" s="153">
        <f t="shared" si="64"/>
        <v>0</v>
      </c>
      <c r="BC47" s="153">
        <f t="shared" si="65"/>
        <v>0</v>
      </c>
      <c r="BD47" s="153">
        <f t="shared" si="66"/>
        <v>0</v>
      </c>
      <c r="BE47" s="154">
        <f t="shared" si="67"/>
        <v>0</v>
      </c>
      <c r="BF47" s="133"/>
      <c r="BG47" s="21" t="s">
        <v>87</v>
      </c>
      <c r="BH47" s="44">
        <f>'Input LwA_XYZ'!BH12</f>
        <v>5.4160755667274358</v>
      </c>
      <c r="BI47" s="21">
        <f>_xlfn.XLOOKUP(BH49,BG39:BG45,BH39:BH45,"error",0,1)</f>
        <v>15</v>
      </c>
      <c r="BJ47" s="133"/>
      <c r="BK47" s="133"/>
      <c r="BL47" s="133"/>
      <c r="BM47" s="133"/>
      <c r="BN47" s="139"/>
      <c r="BO47" s="139"/>
      <c r="BP47" s="139"/>
      <c r="BQ47" s="139"/>
      <c r="BR47" s="139"/>
      <c r="BS47" s="139"/>
      <c r="BT47" s="139"/>
      <c r="BU47" s="139"/>
      <c r="BV47" s="139"/>
      <c r="BW47" s="139"/>
      <c r="BX47" s="139"/>
      <c r="BY47" s="139"/>
      <c r="BZ47" s="139"/>
      <c r="CA47" s="139"/>
      <c r="CB47" s="139"/>
      <c r="CC47" s="133"/>
      <c r="CD47" s="133"/>
      <c r="CE47" s="168">
        <f t="shared" si="35"/>
        <v>0</v>
      </c>
      <c r="CF47" s="169">
        <f t="shared" si="36"/>
        <v>0</v>
      </c>
      <c r="CG47" s="169">
        <f t="shared" si="37"/>
        <v>0</v>
      </c>
      <c r="CH47" s="169">
        <f t="shared" si="38"/>
        <v>0</v>
      </c>
      <c r="CI47" s="169">
        <f t="shared" si="39"/>
        <v>0</v>
      </c>
      <c r="CJ47" s="169">
        <f t="shared" si="41"/>
        <v>0</v>
      </c>
      <c r="CK47" s="169">
        <f t="shared" si="42"/>
        <v>0</v>
      </c>
      <c r="CL47" s="169">
        <f t="shared" si="43"/>
        <v>0</v>
      </c>
      <c r="CM47" s="171">
        <f t="shared" si="44"/>
        <v>0</v>
      </c>
      <c r="CN47" s="171">
        <f t="shared" si="45"/>
        <v>0</v>
      </c>
      <c r="CO47" s="171">
        <f t="shared" si="46"/>
        <v>0</v>
      </c>
      <c r="CP47" s="171">
        <f t="shared" si="47"/>
        <v>0</v>
      </c>
      <c r="CQ47" s="171">
        <f t="shared" si="48"/>
        <v>0</v>
      </c>
      <c r="CR47" s="171">
        <f t="shared" si="49"/>
        <v>0</v>
      </c>
      <c r="CS47" s="172">
        <f t="shared" si="50"/>
        <v>0</v>
      </c>
    </row>
    <row r="48" spans="1:97" ht="16.5" customHeight="1" x14ac:dyDescent="0.3">
      <c r="A48" s="144"/>
      <c r="B48" s="145"/>
      <c r="C48" s="145"/>
      <c r="D48" s="146"/>
      <c r="E48" s="146"/>
      <c r="F48" s="4"/>
      <c r="G48" s="4"/>
      <c r="H48" s="3"/>
      <c r="I48" s="127">
        <f t="shared" si="51"/>
        <v>0</v>
      </c>
      <c r="J48" s="3"/>
      <c r="K48" s="3"/>
      <c r="L48" s="4"/>
      <c r="M48" s="4"/>
      <c r="N48" s="111">
        <f t="shared" si="52"/>
        <v>0</v>
      </c>
      <c r="O48" s="170"/>
      <c r="P48" s="147"/>
      <c r="R48" s="118"/>
      <c r="S48" s="115"/>
      <c r="T48" s="54"/>
      <c r="U48" s="55"/>
      <c r="V48" s="54"/>
      <c r="W48" s="54"/>
      <c r="X48" s="55"/>
      <c r="Z48" s="167">
        <f t="array" ref="Z48">IF(Z$1=0,"",SQRT((_xlfn.XLOOKUP(Z$1,$R$2:$R$18,$S$2:$S$18)-$L48)^2+(_xlfn.XLOOKUP(Z$1,$R$2:$R$18,$T$2:$T$18)-$M48)^2+(_xlfn.XLOOKUP(Z$1,$R$2:$R$18,$U$2:$U$18-$N48)^2)))</f>
        <v>98.29525370026775</v>
      </c>
      <c r="AA48" s="149">
        <f t="array" ref="AA48">IF(AA$1=0,"",SQRT((_xlfn.XLOOKUP(AA$1,$R$2:$R$18,$S$2:$S$18)-$L48)^2+(_xlfn.XLOOKUP(AA$1,$R$2:$R$18,$T$2:$T$18)-$M48)^2+(_xlfn.XLOOKUP(AA$1,$R$2:$R$18,$U$2:$U$18-$N48)^2)))</f>
        <v>3.28</v>
      </c>
      <c r="AB48" s="149" t="str">
        <f t="array" ref="AB48">IF(AB$1=0,"",SQRT((_xlfn.XLOOKUP(AB$1,$R$2:$R$18,$S$2:$S$18)-$L48)^2+(_xlfn.XLOOKUP(AB$1,$R$2:$R$18,$T$2:$T$18)-$M48)^2+(_xlfn.XLOOKUP(AB$1,$R$2:$R$18,$U$2:$U$18-$N48)^2)))</f>
        <v/>
      </c>
      <c r="AC48" s="149" t="str">
        <f t="array" ref="AC48">IF(AC$1=0,"",SQRT((_xlfn.XLOOKUP(AC$1,$R$2:$R$18,$S$2:$S$18)-$L48)^2+(_xlfn.XLOOKUP(AC$1,$R$2:$R$18,$T$2:$T$18)-$M48)^2+(_xlfn.XLOOKUP(AC$1,$R$2:$R$18,$U$2:$U$18-$N48)^2)))</f>
        <v/>
      </c>
      <c r="AD48" s="149" t="str">
        <f t="array" ref="AD48">IF(AD$1=0,"",SQRT((_xlfn.XLOOKUP(AD$1,$R$2:$R$18,$S$2:$S$18)-$L48)^2+(_xlfn.XLOOKUP(AD$1,$R$2:$R$18,$T$2:$T$18)-$M48)^2+(_xlfn.XLOOKUP(AD$1,$R$2:$R$18,$U$2:$U$18-$N48)^2)))</f>
        <v/>
      </c>
      <c r="AE48" s="149" t="str">
        <f t="array" ref="AE48">IF(AE$1=0,"",SQRT((_xlfn.XLOOKUP(AE$1,$R$2:$R$18,$S$2:$S$18)-$L48)^2+(_xlfn.XLOOKUP(AE$1,$R$2:$R$18,$T$2:$T$18)-$M48)^2+(_xlfn.XLOOKUP(AE$1,$R$2:$R$18,$U$2:$U$18-$N48)^2)))</f>
        <v/>
      </c>
      <c r="AF48" s="149" t="str">
        <f t="array" ref="AF48">IF(AF$1=0,"",SQRT((_xlfn.XLOOKUP(AF$1,$R$2:$R$18,$S$2:$S$18)-$L48)^2+(_xlfn.XLOOKUP(AF$1,$R$2:$R$18,$T$2:$T$18)-$M48)^2+(_xlfn.XLOOKUP(AF$1,$R$2:$R$18,$U$2:$U$18-$N48)^2)))</f>
        <v/>
      </c>
      <c r="AG48" s="149" t="str">
        <f t="array" ref="AG48">IF(AG$1=0,"",SQRT((_xlfn.XLOOKUP(AG$1,$R$2:$R$18,$S$2:$S$18)-$L48)^2+(_xlfn.XLOOKUP(AG$1,$R$2:$R$18,$T$2:$T$18)-$M48)^2+(_xlfn.XLOOKUP(AG$1,$R$2:$R$18,$U$2:$U$18-$N48)^2)))</f>
        <v/>
      </c>
      <c r="AH48" s="150" t="str">
        <f t="array" ref="AH48">IF(AH$1=0,"",SQRT((_xlfn.XLOOKUP(AH$1,$R$2:$R$18,$S$2:$S$18)-$L48)^2+(_xlfn.XLOOKUP(AH$1,$R$2:$R$18,$T$2:$T$18)-$M48)^2+(_xlfn.XLOOKUP(AH$1,$R$2:$R$18,$U$2:$U$18-$N48)^2)))</f>
        <v/>
      </c>
      <c r="AI48" s="150" t="str">
        <f t="array" ref="AI48">IF(AI$1=0,"",SQRT((_xlfn.XLOOKUP(AI$1,$R$2:$R$18,$S$2:$S$18)-$L48)^2+(_xlfn.XLOOKUP(AI$1,$R$2:$R$18,$T$2:$T$18)-$M48)^2+(_xlfn.XLOOKUP(AI$1,$R$2:$R$18,$U$2:$U$18-$N48)^2)))</f>
        <v/>
      </c>
      <c r="AJ48" s="150" t="str">
        <f t="array" ref="AJ48">IF(AJ$1=0,"",SQRT((_xlfn.XLOOKUP(AJ$1,$R$2:$R$18,$S$2:$S$18)-$L48)^2+(_xlfn.XLOOKUP(AJ$1,$R$2:$R$18,$T$2:$T$18)-$M48)^2+(_xlfn.XLOOKUP(AJ$1,$R$2:$R$18,$U$2:$U$18-$N48)^2)))</f>
        <v/>
      </c>
      <c r="AK48" s="150" t="str">
        <f t="array" ref="AK48">IF(AK$1=0,"",SQRT((_xlfn.XLOOKUP(AK$1,$R$2:$R$18,$S$2:$S$18)-$L48)^2+(_xlfn.XLOOKUP(AK$1,$R$2:$R$18,$T$2:$T$18)-$M48)^2+(_xlfn.XLOOKUP(AK$1,$R$2:$R$18,$U$2:$U$18-$N48)^2)))</f>
        <v/>
      </c>
      <c r="AL48" s="150" t="str">
        <f t="array" ref="AL48">IF(AL$1=0,"",SQRT((_xlfn.XLOOKUP(AL$1,$R$2:$R$18,$S$2:$S$18)-$L48)^2+(_xlfn.XLOOKUP(AL$1,$R$2:$R$18,$T$2:$T$18)-$M48)^2+(_xlfn.XLOOKUP(AL$1,$R$2:$R$18,$U$2:$U$18-$N48)^2)))</f>
        <v/>
      </c>
      <c r="AM48" s="150" t="str">
        <f t="array" ref="AM48">IF(AM$1=0,"",SQRT((_xlfn.XLOOKUP(AM$1,$R$2:$R$18,$S$2:$S$18)-$L48)^2+(_xlfn.XLOOKUP(AM$1,$R$2:$R$18,$T$2:$T$18)-$M48)^2+(_xlfn.XLOOKUP(AM$1,$R$2:$R$18,$U$2:$U$18-$N48)^2)))</f>
        <v/>
      </c>
      <c r="AN48" s="151" t="str">
        <f t="array" ref="AN48">IF(AN$1=0,"",SQRT((_xlfn.XLOOKUP(AN$1,$R$2:$R$18,$S$2:$S$18)-$L48)^2+(_xlfn.XLOOKUP(AN$1,$R$2:$R$18,$T$2:$T$18)-$M48)^2+(_xlfn.XLOOKUP(AN$1,$R$2:$R$18,$U$2:$U$18-$N48)^2)))</f>
        <v/>
      </c>
      <c r="AO48" s="133"/>
      <c r="AP48" s="133"/>
      <c r="AQ48" s="134">
        <f t="shared" si="53"/>
        <v>0</v>
      </c>
      <c r="AR48" s="152">
        <f t="shared" si="54"/>
        <v>0</v>
      </c>
      <c r="AS48" s="152">
        <f t="shared" si="55"/>
        <v>0</v>
      </c>
      <c r="AT48" s="152">
        <f t="shared" si="56"/>
        <v>0</v>
      </c>
      <c r="AU48" s="152">
        <f t="shared" si="57"/>
        <v>0</v>
      </c>
      <c r="AV48" s="152">
        <f t="shared" si="58"/>
        <v>0</v>
      </c>
      <c r="AW48" s="152">
        <f t="shared" si="59"/>
        <v>0</v>
      </c>
      <c r="AX48" s="152">
        <f t="shared" si="60"/>
        <v>0</v>
      </c>
      <c r="AY48" s="153">
        <f t="shared" si="61"/>
        <v>0</v>
      </c>
      <c r="AZ48" s="153">
        <f t="shared" si="62"/>
        <v>0</v>
      </c>
      <c r="BA48" s="153">
        <f t="shared" si="63"/>
        <v>0</v>
      </c>
      <c r="BB48" s="153">
        <f t="shared" si="64"/>
        <v>0</v>
      </c>
      <c r="BC48" s="153">
        <f t="shared" si="65"/>
        <v>0</v>
      </c>
      <c r="BD48" s="153">
        <f t="shared" si="66"/>
        <v>0</v>
      </c>
      <c r="BE48" s="154">
        <f t="shared" si="67"/>
        <v>0</v>
      </c>
      <c r="BF48" s="133"/>
      <c r="BG48" s="21" t="s">
        <v>88</v>
      </c>
      <c r="BH48" s="21">
        <f>_xlfn.XLOOKUP(BH47,BG39:BG45,BG39:BG45,"error",-1,1)</f>
        <v>3</v>
      </c>
      <c r="BI48" s="21">
        <f>BI47-BI46</f>
        <v>3</v>
      </c>
      <c r="BJ48" s="133"/>
      <c r="BK48" s="133"/>
      <c r="BL48" s="133"/>
      <c r="BM48" s="133"/>
      <c r="BN48" s="139"/>
      <c r="BO48" s="139"/>
      <c r="BP48" s="139"/>
      <c r="BQ48" s="139"/>
      <c r="BR48" s="139"/>
      <c r="BS48" s="139"/>
      <c r="BT48" s="139"/>
      <c r="BU48" s="139"/>
      <c r="BV48" s="139"/>
      <c r="BW48" s="139"/>
      <c r="BX48" s="139"/>
      <c r="BY48" s="139"/>
      <c r="BZ48" s="139"/>
      <c r="CA48" s="139"/>
      <c r="CB48" s="139"/>
      <c r="CC48" s="133"/>
      <c r="CD48" s="133"/>
      <c r="CE48" s="168">
        <f t="shared" si="35"/>
        <v>0</v>
      </c>
      <c r="CF48" s="169">
        <f t="shared" si="36"/>
        <v>0</v>
      </c>
      <c r="CG48" s="169">
        <f t="shared" si="37"/>
        <v>0</v>
      </c>
      <c r="CH48" s="169">
        <f t="shared" si="38"/>
        <v>0</v>
      </c>
      <c r="CI48" s="169">
        <f t="shared" si="39"/>
        <v>0</v>
      </c>
      <c r="CJ48" s="169">
        <f t="shared" si="41"/>
        <v>0</v>
      </c>
      <c r="CK48" s="169">
        <f t="shared" si="42"/>
        <v>0</v>
      </c>
      <c r="CL48" s="169">
        <f t="shared" si="43"/>
        <v>0</v>
      </c>
      <c r="CM48" s="171">
        <f t="shared" si="44"/>
        <v>0</v>
      </c>
      <c r="CN48" s="171">
        <f t="shared" si="45"/>
        <v>0</v>
      </c>
      <c r="CO48" s="171">
        <f t="shared" si="46"/>
        <v>0</v>
      </c>
      <c r="CP48" s="171">
        <f t="shared" si="47"/>
        <v>0</v>
      </c>
      <c r="CQ48" s="171">
        <f t="shared" si="48"/>
        <v>0</v>
      </c>
      <c r="CR48" s="171">
        <f t="shared" si="49"/>
        <v>0</v>
      </c>
      <c r="CS48" s="172">
        <f t="shared" si="50"/>
        <v>0</v>
      </c>
    </row>
    <row r="49" spans="1:97" ht="16.5" customHeight="1" x14ac:dyDescent="0.3">
      <c r="A49" s="144"/>
      <c r="B49" s="145"/>
      <c r="C49" s="145"/>
      <c r="D49" s="146"/>
      <c r="E49" s="146"/>
      <c r="F49" s="4"/>
      <c r="G49" s="4"/>
      <c r="H49" s="3"/>
      <c r="I49" s="127">
        <f t="shared" si="51"/>
        <v>0</v>
      </c>
      <c r="J49" s="3"/>
      <c r="K49" s="3"/>
      <c r="L49" s="4"/>
      <c r="M49" s="4"/>
      <c r="N49" s="111">
        <f t="shared" si="52"/>
        <v>0</v>
      </c>
      <c r="O49" s="170"/>
      <c r="P49" s="147"/>
      <c r="R49" s="118"/>
      <c r="S49" s="115"/>
      <c r="T49" s="54"/>
      <c r="U49" s="55"/>
      <c r="V49" s="54"/>
      <c r="W49" s="54"/>
      <c r="X49" s="55"/>
      <c r="Z49" s="167">
        <f t="array" ref="Z49">IF(Z$1=0,"",SQRT((_xlfn.XLOOKUP(Z$1,$R$2:$R$18,$S$2:$S$18)-$L49)^2+(_xlfn.XLOOKUP(Z$1,$R$2:$R$18,$T$2:$T$18)-$M49)^2+(_xlfn.XLOOKUP(Z$1,$R$2:$R$18,$U$2:$U$18-$N49)^2)))</f>
        <v>98.29525370026775</v>
      </c>
      <c r="AA49" s="149">
        <f t="array" ref="AA49">IF(AA$1=0,"",SQRT((_xlfn.XLOOKUP(AA$1,$R$2:$R$18,$S$2:$S$18)-$L49)^2+(_xlfn.XLOOKUP(AA$1,$R$2:$R$18,$T$2:$T$18)-$M49)^2+(_xlfn.XLOOKUP(AA$1,$R$2:$R$18,$U$2:$U$18-$N49)^2)))</f>
        <v>3.28</v>
      </c>
      <c r="AB49" s="149" t="str">
        <f t="array" ref="AB49">IF(AB$1=0,"",SQRT((_xlfn.XLOOKUP(AB$1,$R$2:$R$18,$S$2:$S$18)-$L49)^2+(_xlfn.XLOOKUP(AB$1,$R$2:$R$18,$T$2:$T$18)-$M49)^2+(_xlfn.XLOOKUP(AB$1,$R$2:$R$18,$U$2:$U$18-$N49)^2)))</f>
        <v/>
      </c>
      <c r="AC49" s="149" t="str">
        <f t="array" ref="AC49">IF(AC$1=0,"",SQRT((_xlfn.XLOOKUP(AC$1,$R$2:$R$18,$S$2:$S$18)-$L49)^2+(_xlfn.XLOOKUP(AC$1,$R$2:$R$18,$T$2:$T$18)-$M49)^2+(_xlfn.XLOOKUP(AC$1,$R$2:$R$18,$U$2:$U$18-$N49)^2)))</f>
        <v/>
      </c>
      <c r="AD49" s="149" t="str">
        <f t="array" ref="AD49">IF(AD$1=0,"",SQRT((_xlfn.XLOOKUP(AD$1,$R$2:$R$18,$S$2:$S$18)-$L49)^2+(_xlfn.XLOOKUP(AD$1,$R$2:$R$18,$T$2:$T$18)-$M49)^2+(_xlfn.XLOOKUP(AD$1,$R$2:$R$18,$U$2:$U$18-$N49)^2)))</f>
        <v/>
      </c>
      <c r="AE49" s="149" t="str">
        <f t="array" ref="AE49">IF(AE$1=0,"",SQRT((_xlfn.XLOOKUP(AE$1,$R$2:$R$18,$S$2:$S$18)-$L49)^2+(_xlfn.XLOOKUP(AE$1,$R$2:$R$18,$T$2:$T$18)-$M49)^2+(_xlfn.XLOOKUP(AE$1,$R$2:$R$18,$U$2:$U$18-$N49)^2)))</f>
        <v/>
      </c>
      <c r="AF49" s="149" t="str">
        <f t="array" ref="AF49">IF(AF$1=0,"",SQRT((_xlfn.XLOOKUP(AF$1,$R$2:$R$18,$S$2:$S$18)-$L49)^2+(_xlfn.XLOOKUP(AF$1,$R$2:$R$18,$T$2:$T$18)-$M49)^2+(_xlfn.XLOOKUP(AF$1,$R$2:$R$18,$U$2:$U$18-$N49)^2)))</f>
        <v/>
      </c>
      <c r="AG49" s="149" t="str">
        <f t="array" ref="AG49">IF(AG$1=0,"",SQRT((_xlfn.XLOOKUP(AG$1,$R$2:$R$18,$S$2:$S$18)-$L49)^2+(_xlfn.XLOOKUP(AG$1,$R$2:$R$18,$T$2:$T$18)-$M49)^2+(_xlfn.XLOOKUP(AG$1,$R$2:$R$18,$U$2:$U$18-$N49)^2)))</f>
        <v/>
      </c>
      <c r="AH49" s="150" t="str">
        <f t="array" ref="AH49">IF(AH$1=0,"",SQRT((_xlfn.XLOOKUP(AH$1,$R$2:$R$18,$S$2:$S$18)-$L49)^2+(_xlfn.XLOOKUP(AH$1,$R$2:$R$18,$T$2:$T$18)-$M49)^2+(_xlfn.XLOOKUP(AH$1,$R$2:$R$18,$U$2:$U$18-$N49)^2)))</f>
        <v/>
      </c>
      <c r="AI49" s="150" t="str">
        <f t="array" ref="AI49">IF(AI$1=0,"",SQRT((_xlfn.XLOOKUP(AI$1,$R$2:$R$18,$S$2:$S$18)-$L49)^2+(_xlfn.XLOOKUP(AI$1,$R$2:$R$18,$T$2:$T$18)-$M49)^2+(_xlfn.XLOOKUP(AI$1,$R$2:$R$18,$U$2:$U$18-$N49)^2)))</f>
        <v/>
      </c>
      <c r="AJ49" s="150" t="str">
        <f t="array" ref="AJ49">IF(AJ$1=0,"",SQRT((_xlfn.XLOOKUP(AJ$1,$R$2:$R$18,$S$2:$S$18)-$L49)^2+(_xlfn.XLOOKUP(AJ$1,$R$2:$R$18,$T$2:$T$18)-$M49)^2+(_xlfn.XLOOKUP(AJ$1,$R$2:$R$18,$U$2:$U$18-$N49)^2)))</f>
        <v/>
      </c>
      <c r="AK49" s="150" t="str">
        <f t="array" ref="AK49">IF(AK$1=0,"",SQRT((_xlfn.XLOOKUP(AK$1,$R$2:$R$18,$S$2:$S$18)-$L49)^2+(_xlfn.XLOOKUP(AK$1,$R$2:$R$18,$T$2:$T$18)-$M49)^2+(_xlfn.XLOOKUP(AK$1,$R$2:$R$18,$U$2:$U$18-$N49)^2)))</f>
        <v/>
      </c>
      <c r="AL49" s="150" t="str">
        <f t="array" ref="AL49">IF(AL$1=0,"",SQRT((_xlfn.XLOOKUP(AL$1,$R$2:$R$18,$S$2:$S$18)-$L49)^2+(_xlfn.XLOOKUP(AL$1,$R$2:$R$18,$T$2:$T$18)-$M49)^2+(_xlfn.XLOOKUP(AL$1,$R$2:$R$18,$U$2:$U$18-$N49)^2)))</f>
        <v/>
      </c>
      <c r="AM49" s="150" t="str">
        <f t="array" ref="AM49">IF(AM$1=0,"",SQRT((_xlfn.XLOOKUP(AM$1,$R$2:$R$18,$S$2:$S$18)-$L49)^2+(_xlfn.XLOOKUP(AM$1,$R$2:$R$18,$T$2:$T$18)-$M49)^2+(_xlfn.XLOOKUP(AM$1,$R$2:$R$18,$U$2:$U$18-$N49)^2)))</f>
        <v/>
      </c>
      <c r="AN49" s="151" t="str">
        <f t="array" ref="AN49">IF(AN$1=0,"",SQRT((_xlfn.XLOOKUP(AN$1,$R$2:$R$18,$S$2:$S$18)-$L49)^2+(_xlfn.XLOOKUP(AN$1,$R$2:$R$18,$T$2:$T$18)-$M49)^2+(_xlfn.XLOOKUP(AN$1,$R$2:$R$18,$U$2:$U$18-$N49)^2)))</f>
        <v/>
      </c>
      <c r="AO49" s="133"/>
      <c r="AP49" s="133"/>
      <c r="AQ49" s="134">
        <f t="shared" si="53"/>
        <v>0</v>
      </c>
      <c r="AR49" s="152">
        <f t="shared" si="54"/>
        <v>0</v>
      </c>
      <c r="AS49" s="152">
        <f t="shared" si="55"/>
        <v>0</v>
      </c>
      <c r="AT49" s="152">
        <f t="shared" si="56"/>
        <v>0</v>
      </c>
      <c r="AU49" s="152">
        <f t="shared" si="57"/>
        <v>0</v>
      </c>
      <c r="AV49" s="152">
        <f t="shared" si="58"/>
        <v>0</v>
      </c>
      <c r="AW49" s="152">
        <f t="shared" si="59"/>
        <v>0</v>
      </c>
      <c r="AX49" s="152">
        <f t="shared" si="60"/>
        <v>0</v>
      </c>
      <c r="AY49" s="153">
        <f t="shared" si="61"/>
        <v>0</v>
      </c>
      <c r="AZ49" s="153">
        <f t="shared" si="62"/>
        <v>0</v>
      </c>
      <c r="BA49" s="153">
        <f t="shared" si="63"/>
        <v>0</v>
      </c>
      <c r="BB49" s="153">
        <f t="shared" si="64"/>
        <v>0</v>
      </c>
      <c r="BC49" s="153">
        <f t="shared" si="65"/>
        <v>0</v>
      </c>
      <c r="BD49" s="153">
        <f t="shared" si="66"/>
        <v>0</v>
      </c>
      <c r="BE49" s="154">
        <f t="shared" si="67"/>
        <v>0</v>
      </c>
      <c r="BF49" s="133"/>
      <c r="BG49" s="21" t="s">
        <v>89</v>
      </c>
      <c r="BH49" s="21">
        <f>_xlfn.XLOOKUP(BH47,BG39:BG45,BG39:BG45,12,1,1)</f>
        <v>6</v>
      </c>
      <c r="BI49" s="21">
        <f>BI46+(BI48*BH51)</f>
        <v>14.416075566727436</v>
      </c>
      <c r="BJ49" s="133"/>
      <c r="BK49" s="133"/>
      <c r="BL49" s="133"/>
      <c r="BM49" s="133"/>
      <c r="BN49" s="139"/>
      <c r="BO49" s="139"/>
      <c r="BP49" s="139"/>
      <c r="BQ49" s="139"/>
      <c r="BR49" s="139"/>
      <c r="BS49" s="139"/>
      <c r="BT49" s="139"/>
      <c r="BU49" s="139"/>
      <c r="BV49" s="139"/>
      <c r="BW49" s="139"/>
      <c r="BX49" s="139"/>
      <c r="BY49" s="139"/>
      <c r="BZ49" s="139"/>
      <c r="CA49" s="139"/>
      <c r="CB49" s="139"/>
      <c r="CC49" s="133"/>
      <c r="CD49" s="133"/>
      <c r="CE49" s="168">
        <f t="shared" si="35"/>
        <v>0</v>
      </c>
      <c r="CF49" s="169">
        <f t="shared" si="36"/>
        <v>0</v>
      </c>
      <c r="CG49" s="169">
        <f t="shared" si="37"/>
        <v>0</v>
      </c>
      <c r="CH49" s="169">
        <f t="shared" si="38"/>
        <v>0</v>
      </c>
      <c r="CI49" s="169">
        <f t="shared" si="39"/>
        <v>0</v>
      </c>
      <c r="CJ49" s="169">
        <f t="shared" si="41"/>
        <v>0</v>
      </c>
      <c r="CK49" s="169">
        <f t="shared" si="42"/>
        <v>0</v>
      </c>
      <c r="CL49" s="169">
        <f t="shared" si="43"/>
        <v>0</v>
      </c>
      <c r="CM49" s="171">
        <f t="shared" si="44"/>
        <v>0</v>
      </c>
      <c r="CN49" s="171">
        <f t="shared" si="45"/>
        <v>0</v>
      </c>
      <c r="CO49" s="171">
        <f t="shared" si="46"/>
        <v>0</v>
      </c>
      <c r="CP49" s="171">
        <f t="shared" si="47"/>
        <v>0</v>
      </c>
      <c r="CQ49" s="171">
        <f t="shared" si="48"/>
        <v>0</v>
      </c>
      <c r="CR49" s="171">
        <f t="shared" si="49"/>
        <v>0</v>
      </c>
      <c r="CS49" s="172">
        <f t="shared" si="50"/>
        <v>0</v>
      </c>
    </row>
    <row r="50" spans="1:97" ht="17.25" customHeight="1" thickBot="1" x14ac:dyDescent="0.35">
      <c r="A50" s="144"/>
      <c r="B50" s="145"/>
      <c r="C50" s="145"/>
      <c r="D50" s="146"/>
      <c r="E50" s="146"/>
      <c r="F50" s="4"/>
      <c r="G50" s="4"/>
      <c r="H50" s="3"/>
      <c r="I50" s="127">
        <f t="shared" si="51"/>
        <v>0</v>
      </c>
      <c r="J50" s="3"/>
      <c r="K50" s="3"/>
      <c r="L50" s="4"/>
      <c r="M50" s="4"/>
      <c r="N50" s="111">
        <f t="shared" si="52"/>
        <v>0</v>
      </c>
      <c r="O50" s="170"/>
      <c r="P50" s="147"/>
      <c r="R50" s="119"/>
      <c r="S50" s="116"/>
      <c r="T50" s="56"/>
      <c r="U50" s="57"/>
      <c r="V50" s="56"/>
      <c r="W50" s="56"/>
      <c r="X50" s="57"/>
      <c r="Z50" s="167">
        <f t="array" ref="Z50">IF(Z$1=0,"",SQRT((_xlfn.XLOOKUP(Z$1,$R$2:$R$18,$S$2:$S$18)-$L50)^2+(_xlfn.XLOOKUP(Z$1,$R$2:$R$18,$T$2:$T$18)-$M50)^2+(_xlfn.XLOOKUP(Z$1,$R$2:$R$18,$U$2:$U$18-$N50)^2)))</f>
        <v>98.29525370026775</v>
      </c>
      <c r="AA50" s="149">
        <f t="array" ref="AA50">IF(AA$1=0,"",SQRT((_xlfn.XLOOKUP(AA$1,$R$2:$R$18,$S$2:$S$18)-$L50)^2+(_xlfn.XLOOKUP(AA$1,$R$2:$R$18,$T$2:$T$18)-$M50)^2+(_xlfn.XLOOKUP(AA$1,$R$2:$R$18,$U$2:$U$18-$N50)^2)))</f>
        <v>3.28</v>
      </c>
      <c r="AB50" s="149" t="str">
        <f t="array" ref="AB50">IF(AB$1=0,"",SQRT((_xlfn.XLOOKUP(AB$1,$R$2:$R$18,$S$2:$S$18)-$L50)^2+(_xlfn.XLOOKUP(AB$1,$R$2:$R$18,$T$2:$T$18)-$M50)^2+(_xlfn.XLOOKUP(AB$1,$R$2:$R$18,$U$2:$U$18-$N50)^2)))</f>
        <v/>
      </c>
      <c r="AC50" s="149" t="str">
        <f t="array" ref="AC50">IF(AC$1=0,"",SQRT((_xlfn.XLOOKUP(AC$1,$R$2:$R$18,$S$2:$S$18)-$L50)^2+(_xlfn.XLOOKUP(AC$1,$R$2:$R$18,$T$2:$T$18)-$M50)^2+(_xlfn.XLOOKUP(AC$1,$R$2:$R$18,$U$2:$U$18-$N50)^2)))</f>
        <v/>
      </c>
      <c r="AD50" s="149" t="str">
        <f t="array" ref="AD50">IF(AD$1=0,"",SQRT((_xlfn.XLOOKUP(AD$1,$R$2:$R$18,$S$2:$S$18)-$L50)^2+(_xlfn.XLOOKUP(AD$1,$R$2:$R$18,$T$2:$T$18)-$M50)^2+(_xlfn.XLOOKUP(AD$1,$R$2:$R$18,$U$2:$U$18-$N50)^2)))</f>
        <v/>
      </c>
      <c r="AE50" s="149" t="str">
        <f t="array" ref="AE50">IF(AE$1=0,"",SQRT((_xlfn.XLOOKUP(AE$1,$R$2:$R$18,$S$2:$S$18)-$L50)^2+(_xlfn.XLOOKUP(AE$1,$R$2:$R$18,$T$2:$T$18)-$M50)^2+(_xlfn.XLOOKUP(AE$1,$R$2:$R$18,$U$2:$U$18-$N50)^2)))</f>
        <v/>
      </c>
      <c r="AF50" s="149" t="str">
        <f t="array" ref="AF50">IF(AF$1=0,"",SQRT((_xlfn.XLOOKUP(AF$1,$R$2:$R$18,$S$2:$S$18)-$L50)^2+(_xlfn.XLOOKUP(AF$1,$R$2:$R$18,$T$2:$T$18)-$M50)^2+(_xlfn.XLOOKUP(AF$1,$R$2:$R$18,$U$2:$U$18-$N50)^2)))</f>
        <v/>
      </c>
      <c r="AG50" s="149" t="str">
        <f t="array" ref="AG50">IF(AG$1=0,"",SQRT((_xlfn.XLOOKUP(AG$1,$R$2:$R$18,$S$2:$S$18)-$L50)^2+(_xlfn.XLOOKUP(AG$1,$R$2:$R$18,$T$2:$T$18)-$M50)^2+(_xlfn.XLOOKUP(AG$1,$R$2:$R$18,$U$2:$U$18-$N50)^2)))</f>
        <v/>
      </c>
      <c r="AH50" s="150" t="str">
        <f t="array" ref="AH50">IF(AH$1=0,"",SQRT((_xlfn.XLOOKUP(AH$1,$R$2:$R$18,$S$2:$S$18)-$L50)^2+(_xlfn.XLOOKUP(AH$1,$R$2:$R$18,$T$2:$T$18)-$M50)^2+(_xlfn.XLOOKUP(AH$1,$R$2:$R$18,$U$2:$U$18-$N50)^2)))</f>
        <v/>
      </c>
      <c r="AI50" s="150" t="str">
        <f t="array" ref="AI50">IF(AI$1=0,"",SQRT((_xlfn.XLOOKUP(AI$1,$R$2:$R$18,$S$2:$S$18)-$L50)^2+(_xlfn.XLOOKUP(AI$1,$R$2:$R$18,$T$2:$T$18)-$M50)^2+(_xlfn.XLOOKUP(AI$1,$R$2:$R$18,$U$2:$U$18-$N50)^2)))</f>
        <v/>
      </c>
      <c r="AJ50" s="150" t="str">
        <f t="array" ref="AJ50">IF(AJ$1=0,"",SQRT((_xlfn.XLOOKUP(AJ$1,$R$2:$R$18,$S$2:$S$18)-$L50)^2+(_xlfn.XLOOKUP(AJ$1,$R$2:$R$18,$T$2:$T$18)-$M50)^2+(_xlfn.XLOOKUP(AJ$1,$R$2:$R$18,$U$2:$U$18-$N50)^2)))</f>
        <v/>
      </c>
      <c r="AK50" s="150" t="str">
        <f t="array" ref="AK50">IF(AK$1=0,"",SQRT((_xlfn.XLOOKUP(AK$1,$R$2:$R$18,$S$2:$S$18)-$L50)^2+(_xlfn.XLOOKUP(AK$1,$R$2:$R$18,$T$2:$T$18)-$M50)^2+(_xlfn.XLOOKUP(AK$1,$R$2:$R$18,$U$2:$U$18-$N50)^2)))</f>
        <v/>
      </c>
      <c r="AL50" s="150" t="str">
        <f t="array" ref="AL50">IF(AL$1=0,"",SQRT((_xlfn.XLOOKUP(AL$1,$R$2:$R$18,$S$2:$S$18)-$L50)^2+(_xlfn.XLOOKUP(AL$1,$R$2:$R$18,$T$2:$T$18)-$M50)^2+(_xlfn.XLOOKUP(AL$1,$R$2:$R$18,$U$2:$U$18-$N50)^2)))</f>
        <v/>
      </c>
      <c r="AM50" s="150" t="str">
        <f t="array" ref="AM50">IF(AM$1=0,"",SQRT((_xlfn.XLOOKUP(AM$1,$R$2:$R$18,$S$2:$S$18)-$L50)^2+(_xlfn.XLOOKUP(AM$1,$R$2:$R$18,$T$2:$T$18)-$M50)^2+(_xlfn.XLOOKUP(AM$1,$R$2:$R$18,$U$2:$U$18-$N50)^2)))</f>
        <v/>
      </c>
      <c r="AN50" s="151" t="str">
        <f t="array" ref="AN50">IF(AN$1=0,"",SQRT((_xlfn.XLOOKUP(AN$1,$R$2:$R$18,$S$2:$S$18)-$L50)^2+(_xlfn.XLOOKUP(AN$1,$R$2:$R$18,$T$2:$T$18)-$M50)^2+(_xlfn.XLOOKUP(AN$1,$R$2:$R$18,$U$2:$U$18-$N50)^2)))</f>
        <v/>
      </c>
      <c r="AO50" s="133"/>
      <c r="AP50" s="133"/>
      <c r="AQ50" s="134">
        <f t="shared" si="53"/>
        <v>0</v>
      </c>
      <c r="AR50" s="152">
        <f t="shared" si="54"/>
        <v>0</v>
      </c>
      <c r="AS50" s="152">
        <f t="shared" si="55"/>
        <v>0</v>
      </c>
      <c r="AT50" s="152">
        <f t="shared" si="56"/>
        <v>0</v>
      </c>
      <c r="AU50" s="152">
        <f t="shared" si="57"/>
        <v>0</v>
      </c>
      <c r="AV50" s="152">
        <f t="shared" si="58"/>
        <v>0</v>
      </c>
      <c r="AW50" s="152">
        <f t="shared" si="59"/>
        <v>0</v>
      </c>
      <c r="AX50" s="152">
        <f t="shared" si="60"/>
        <v>0</v>
      </c>
      <c r="AY50" s="153">
        <f t="shared" si="61"/>
        <v>0</v>
      </c>
      <c r="AZ50" s="153">
        <f t="shared" si="62"/>
        <v>0</v>
      </c>
      <c r="BA50" s="153">
        <f t="shared" si="63"/>
        <v>0</v>
      </c>
      <c r="BB50" s="153">
        <f t="shared" si="64"/>
        <v>0</v>
      </c>
      <c r="BC50" s="153">
        <f t="shared" si="65"/>
        <v>0</v>
      </c>
      <c r="BD50" s="153">
        <f t="shared" si="66"/>
        <v>0</v>
      </c>
      <c r="BE50" s="154">
        <f t="shared" si="67"/>
        <v>0</v>
      </c>
      <c r="BF50" s="133"/>
      <c r="BG50" s="21" t="s">
        <v>90</v>
      </c>
      <c r="BH50" s="21">
        <f>BH49-BH48</f>
        <v>3</v>
      </c>
      <c r="BI50" s="21"/>
      <c r="BJ50" s="133"/>
      <c r="BK50" s="133"/>
      <c r="BL50" s="133"/>
      <c r="BM50" s="133"/>
      <c r="BN50" s="139"/>
      <c r="BO50" s="139"/>
      <c r="BP50" s="139"/>
      <c r="BQ50" s="139"/>
      <c r="BR50" s="139"/>
      <c r="BS50" s="139"/>
      <c r="BT50" s="139"/>
      <c r="BU50" s="139"/>
      <c r="BV50" s="139"/>
      <c r="BW50" s="139"/>
      <c r="BX50" s="139"/>
      <c r="BY50" s="139"/>
      <c r="BZ50" s="139"/>
      <c r="CA50" s="139"/>
      <c r="CB50" s="139"/>
      <c r="CC50" s="133"/>
      <c r="CD50" s="133"/>
      <c r="CE50" s="168">
        <f t="shared" si="35"/>
        <v>0</v>
      </c>
      <c r="CF50" s="169">
        <f t="shared" si="36"/>
        <v>0</v>
      </c>
      <c r="CG50" s="169">
        <f t="shared" si="37"/>
        <v>0</v>
      </c>
      <c r="CH50" s="169">
        <f t="shared" si="38"/>
        <v>0</v>
      </c>
      <c r="CI50" s="169">
        <f t="shared" si="39"/>
        <v>0</v>
      </c>
      <c r="CJ50" s="169">
        <f t="shared" si="41"/>
        <v>0</v>
      </c>
      <c r="CK50" s="169">
        <f t="shared" si="42"/>
        <v>0</v>
      </c>
      <c r="CL50" s="169">
        <f t="shared" si="43"/>
        <v>0</v>
      </c>
      <c r="CM50" s="171">
        <f t="shared" si="44"/>
        <v>0</v>
      </c>
      <c r="CN50" s="171">
        <f t="shared" si="45"/>
        <v>0</v>
      </c>
      <c r="CO50" s="171">
        <f t="shared" si="46"/>
        <v>0</v>
      </c>
      <c r="CP50" s="171">
        <f t="shared" si="47"/>
        <v>0</v>
      </c>
      <c r="CQ50" s="171">
        <f t="shared" si="48"/>
        <v>0</v>
      </c>
      <c r="CR50" s="171">
        <f t="shared" si="49"/>
        <v>0</v>
      </c>
      <c r="CS50" s="172">
        <f t="shared" si="50"/>
        <v>0</v>
      </c>
    </row>
    <row r="51" spans="1:97" ht="16.5" customHeight="1" x14ac:dyDescent="0.3">
      <c r="A51" s="144"/>
      <c r="B51" s="145"/>
      <c r="C51" s="145"/>
      <c r="D51" s="146"/>
      <c r="E51" s="146"/>
      <c r="F51" s="4"/>
      <c r="G51" s="4"/>
      <c r="H51" s="3"/>
      <c r="I51" s="127">
        <f t="shared" si="51"/>
        <v>0</v>
      </c>
      <c r="J51" s="3"/>
      <c r="K51" s="3"/>
      <c r="L51" s="4"/>
      <c r="M51" s="4"/>
      <c r="N51" s="111">
        <f t="shared" si="52"/>
        <v>0</v>
      </c>
      <c r="O51" s="170"/>
      <c r="P51" s="147"/>
      <c r="Z51" s="167">
        <f t="array" ref="Z51">IF(Z$1=0,"",SQRT((_xlfn.XLOOKUP(Z$1,$R$2:$R$18,$S$2:$S$18)-$L51)^2+(_xlfn.XLOOKUP(Z$1,$R$2:$R$18,$T$2:$T$18)-$M51)^2+(_xlfn.XLOOKUP(Z$1,$R$2:$R$18,$U$2:$U$18-$N51)^2)))</f>
        <v>98.29525370026775</v>
      </c>
      <c r="AA51" s="149">
        <f t="array" ref="AA51">IF(AA$1=0,"",SQRT((_xlfn.XLOOKUP(AA$1,$R$2:$R$18,$S$2:$S$18)-$L51)^2+(_xlfn.XLOOKUP(AA$1,$R$2:$R$18,$T$2:$T$18)-$M51)^2+(_xlfn.XLOOKUP(AA$1,$R$2:$R$18,$U$2:$U$18-$N51)^2)))</f>
        <v>3.28</v>
      </c>
      <c r="AB51" s="149" t="str">
        <f t="array" ref="AB51">IF(AB$1=0,"",SQRT((_xlfn.XLOOKUP(AB$1,$R$2:$R$18,$S$2:$S$18)-$L51)^2+(_xlfn.XLOOKUP(AB$1,$R$2:$R$18,$T$2:$T$18)-$M51)^2+(_xlfn.XLOOKUP(AB$1,$R$2:$R$18,$U$2:$U$18-$N51)^2)))</f>
        <v/>
      </c>
      <c r="AC51" s="149" t="str">
        <f t="array" ref="AC51">IF(AC$1=0,"",SQRT((_xlfn.XLOOKUP(AC$1,$R$2:$R$18,$S$2:$S$18)-$L51)^2+(_xlfn.XLOOKUP(AC$1,$R$2:$R$18,$T$2:$T$18)-$M51)^2+(_xlfn.XLOOKUP(AC$1,$R$2:$R$18,$U$2:$U$18-$N51)^2)))</f>
        <v/>
      </c>
      <c r="AD51" s="149" t="str">
        <f t="array" ref="AD51">IF(AD$1=0,"",SQRT((_xlfn.XLOOKUP(AD$1,$R$2:$R$18,$S$2:$S$18)-$L51)^2+(_xlfn.XLOOKUP(AD$1,$R$2:$R$18,$T$2:$T$18)-$M51)^2+(_xlfn.XLOOKUP(AD$1,$R$2:$R$18,$U$2:$U$18-$N51)^2)))</f>
        <v/>
      </c>
      <c r="AE51" s="149" t="str">
        <f t="array" ref="AE51">IF(AE$1=0,"",SQRT((_xlfn.XLOOKUP(AE$1,$R$2:$R$18,$S$2:$S$18)-$L51)^2+(_xlfn.XLOOKUP(AE$1,$R$2:$R$18,$T$2:$T$18)-$M51)^2+(_xlfn.XLOOKUP(AE$1,$R$2:$R$18,$U$2:$U$18-$N51)^2)))</f>
        <v/>
      </c>
      <c r="AF51" s="149" t="str">
        <f t="array" ref="AF51">IF(AF$1=0,"",SQRT((_xlfn.XLOOKUP(AF$1,$R$2:$R$18,$S$2:$S$18)-$L51)^2+(_xlfn.XLOOKUP(AF$1,$R$2:$R$18,$T$2:$T$18)-$M51)^2+(_xlfn.XLOOKUP(AF$1,$R$2:$R$18,$U$2:$U$18-$N51)^2)))</f>
        <v/>
      </c>
      <c r="AG51" s="149" t="str">
        <f t="array" ref="AG51">IF(AG$1=0,"",SQRT((_xlfn.XLOOKUP(AG$1,$R$2:$R$18,$S$2:$S$18)-$L51)^2+(_xlfn.XLOOKUP(AG$1,$R$2:$R$18,$T$2:$T$18)-$M51)^2+(_xlfn.XLOOKUP(AG$1,$R$2:$R$18,$U$2:$U$18-$N51)^2)))</f>
        <v/>
      </c>
      <c r="AH51" s="150" t="str">
        <f t="array" ref="AH51">IF(AH$1=0,"",SQRT((_xlfn.XLOOKUP(AH$1,$R$2:$R$18,$S$2:$S$18)-$L51)^2+(_xlfn.XLOOKUP(AH$1,$R$2:$R$18,$T$2:$T$18)-$M51)^2+(_xlfn.XLOOKUP(AH$1,$R$2:$R$18,$U$2:$U$18-$N51)^2)))</f>
        <v/>
      </c>
      <c r="AI51" s="150" t="str">
        <f t="array" ref="AI51">IF(AI$1=0,"",SQRT((_xlfn.XLOOKUP(AI$1,$R$2:$R$18,$S$2:$S$18)-$L51)^2+(_xlfn.XLOOKUP(AI$1,$R$2:$R$18,$T$2:$T$18)-$M51)^2+(_xlfn.XLOOKUP(AI$1,$R$2:$R$18,$U$2:$U$18-$N51)^2)))</f>
        <v/>
      </c>
      <c r="AJ51" s="150" t="str">
        <f t="array" ref="AJ51">IF(AJ$1=0,"",SQRT((_xlfn.XLOOKUP(AJ$1,$R$2:$R$18,$S$2:$S$18)-$L51)^2+(_xlfn.XLOOKUP(AJ$1,$R$2:$R$18,$T$2:$T$18)-$M51)^2+(_xlfn.XLOOKUP(AJ$1,$R$2:$R$18,$U$2:$U$18-$N51)^2)))</f>
        <v/>
      </c>
      <c r="AK51" s="150" t="str">
        <f t="array" ref="AK51">IF(AK$1=0,"",SQRT((_xlfn.XLOOKUP(AK$1,$R$2:$R$18,$S$2:$S$18)-$L51)^2+(_xlfn.XLOOKUP(AK$1,$R$2:$R$18,$T$2:$T$18)-$M51)^2+(_xlfn.XLOOKUP(AK$1,$R$2:$R$18,$U$2:$U$18-$N51)^2)))</f>
        <v/>
      </c>
      <c r="AL51" s="150" t="str">
        <f t="array" ref="AL51">IF(AL$1=0,"",SQRT((_xlfn.XLOOKUP(AL$1,$R$2:$R$18,$S$2:$S$18)-$L51)^2+(_xlfn.XLOOKUP(AL$1,$R$2:$R$18,$T$2:$T$18)-$M51)^2+(_xlfn.XLOOKUP(AL$1,$R$2:$R$18,$U$2:$U$18-$N51)^2)))</f>
        <v/>
      </c>
      <c r="AM51" s="150" t="str">
        <f t="array" ref="AM51">IF(AM$1=0,"",SQRT((_xlfn.XLOOKUP(AM$1,$R$2:$R$18,$S$2:$S$18)-$L51)^2+(_xlfn.XLOOKUP(AM$1,$R$2:$R$18,$T$2:$T$18)-$M51)^2+(_xlfn.XLOOKUP(AM$1,$R$2:$R$18,$U$2:$U$18-$N51)^2)))</f>
        <v/>
      </c>
      <c r="AN51" s="151" t="str">
        <f t="array" ref="AN51">IF(AN$1=0,"",SQRT((_xlfn.XLOOKUP(AN$1,$R$2:$R$18,$S$2:$S$18)-$L51)^2+(_xlfn.XLOOKUP(AN$1,$R$2:$R$18,$T$2:$T$18)-$M51)^2+(_xlfn.XLOOKUP(AN$1,$R$2:$R$18,$U$2:$U$18-$N51)^2)))</f>
        <v/>
      </c>
      <c r="AO51" s="133"/>
      <c r="AP51" s="133"/>
      <c r="AQ51" s="134">
        <f t="shared" si="53"/>
        <v>0</v>
      </c>
      <c r="AR51" s="152">
        <f t="shared" si="54"/>
        <v>0</v>
      </c>
      <c r="AS51" s="152">
        <f t="shared" si="55"/>
        <v>0</v>
      </c>
      <c r="AT51" s="152">
        <f t="shared" si="56"/>
        <v>0</v>
      </c>
      <c r="AU51" s="152">
        <f t="shared" si="57"/>
        <v>0</v>
      </c>
      <c r="AV51" s="152">
        <f t="shared" si="58"/>
        <v>0</v>
      </c>
      <c r="AW51" s="152">
        <f t="shared" si="59"/>
        <v>0</v>
      </c>
      <c r="AX51" s="152">
        <f t="shared" si="60"/>
        <v>0</v>
      </c>
      <c r="AY51" s="153">
        <f t="shared" si="61"/>
        <v>0</v>
      </c>
      <c r="AZ51" s="153">
        <f t="shared" si="62"/>
        <v>0</v>
      </c>
      <c r="BA51" s="153">
        <f t="shared" si="63"/>
        <v>0</v>
      </c>
      <c r="BB51" s="153">
        <f t="shared" si="64"/>
        <v>0</v>
      </c>
      <c r="BC51" s="153">
        <f t="shared" si="65"/>
        <v>0</v>
      </c>
      <c r="BD51" s="153">
        <f t="shared" si="66"/>
        <v>0</v>
      </c>
      <c r="BE51" s="154">
        <f t="shared" si="67"/>
        <v>0</v>
      </c>
      <c r="BF51" s="133"/>
      <c r="BG51" s="21" t="s">
        <v>91</v>
      </c>
      <c r="BH51" s="21">
        <f>IFERROR((BH47-BH48)/BH50,0)</f>
        <v>0.80535852224247861</v>
      </c>
      <c r="BI51" s="21"/>
      <c r="BJ51" s="133"/>
      <c r="BK51" s="133"/>
      <c r="BL51" s="133"/>
      <c r="BM51" s="133"/>
      <c r="BN51" s="139"/>
      <c r="BO51" s="139"/>
      <c r="BP51" s="139"/>
      <c r="BQ51" s="139"/>
      <c r="BR51" s="139"/>
      <c r="BS51" s="139"/>
      <c r="BT51" s="139"/>
      <c r="BU51" s="139"/>
      <c r="BV51" s="139"/>
      <c r="BW51" s="139"/>
      <c r="BX51" s="139"/>
      <c r="BY51" s="139"/>
      <c r="BZ51" s="139"/>
      <c r="CA51" s="139"/>
      <c r="CB51" s="139"/>
      <c r="CC51" s="133"/>
      <c r="CD51" s="133"/>
      <c r="CE51" s="168">
        <f t="shared" si="35"/>
        <v>0</v>
      </c>
      <c r="CF51" s="169">
        <f t="shared" si="36"/>
        <v>0</v>
      </c>
      <c r="CG51" s="169">
        <f t="shared" si="37"/>
        <v>0</v>
      </c>
      <c r="CH51" s="169">
        <f t="shared" si="38"/>
        <v>0</v>
      </c>
      <c r="CI51" s="169">
        <f t="shared" si="39"/>
        <v>0</v>
      </c>
      <c r="CJ51" s="169">
        <f t="shared" si="41"/>
        <v>0</v>
      </c>
      <c r="CK51" s="169">
        <f t="shared" si="42"/>
        <v>0</v>
      </c>
      <c r="CL51" s="169">
        <f t="shared" si="43"/>
        <v>0</v>
      </c>
      <c r="CM51" s="171">
        <f t="shared" si="44"/>
        <v>0</v>
      </c>
      <c r="CN51" s="171">
        <f t="shared" si="45"/>
        <v>0</v>
      </c>
      <c r="CO51" s="171">
        <f t="shared" si="46"/>
        <v>0</v>
      </c>
      <c r="CP51" s="171">
        <f t="shared" si="47"/>
        <v>0</v>
      </c>
      <c r="CQ51" s="171">
        <f t="shared" si="48"/>
        <v>0</v>
      </c>
      <c r="CR51" s="171">
        <f t="shared" si="49"/>
        <v>0</v>
      </c>
      <c r="CS51" s="172">
        <f t="shared" si="50"/>
        <v>0</v>
      </c>
    </row>
    <row r="52" spans="1:97" ht="16.5" customHeight="1" x14ac:dyDescent="0.3">
      <c r="A52" s="144"/>
      <c r="B52" s="145"/>
      <c r="C52" s="145"/>
      <c r="D52" s="146"/>
      <c r="E52" s="146"/>
      <c r="F52" s="4"/>
      <c r="G52" s="4"/>
      <c r="H52" s="3"/>
      <c r="I52" s="127">
        <f t="shared" si="51"/>
        <v>0</v>
      </c>
      <c r="J52" s="3"/>
      <c r="K52" s="3"/>
      <c r="L52" s="4"/>
      <c r="M52" s="4"/>
      <c r="N52" s="111">
        <f t="shared" si="52"/>
        <v>0</v>
      </c>
      <c r="O52" s="170"/>
      <c r="P52" s="147"/>
      <c r="Z52" s="167">
        <f t="array" ref="Z52">IF(Z$1=0,"",SQRT((_xlfn.XLOOKUP(Z$1,$R$2:$R$18,$S$2:$S$18)-$L52)^2+(_xlfn.XLOOKUP(Z$1,$R$2:$R$18,$T$2:$T$18)-$M52)^2+(_xlfn.XLOOKUP(Z$1,$R$2:$R$18,$U$2:$U$18-$N52)^2)))</f>
        <v>98.29525370026775</v>
      </c>
      <c r="AA52" s="149">
        <f t="array" ref="AA52">IF(AA$1=0,"",SQRT((_xlfn.XLOOKUP(AA$1,$R$2:$R$18,$S$2:$S$18)-$L52)^2+(_xlfn.XLOOKUP(AA$1,$R$2:$R$18,$T$2:$T$18)-$M52)^2+(_xlfn.XLOOKUP(AA$1,$R$2:$R$18,$U$2:$U$18-$N52)^2)))</f>
        <v>3.28</v>
      </c>
      <c r="AB52" s="149" t="str">
        <f t="array" ref="AB52">IF(AB$1=0,"",SQRT((_xlfn.XLOOKUP(AB$1,$R$2:$R$18,$S$2:$S$18)-$L52)^2+(_xlfn.XLOOKUP(AB$1,$R$2:$R$18,$T$2:$T$18)-$M52)^2+(_xlfn.XLOOKUP(AB$1,$R$2:$R$18,$U$2:$U$18-$N52)^2)))</f>
        <v/>
      </c>
      <c r="AC52" s="149" t="str">
        <f t="array" ref="AC52">IF(AC$1=0,"",SQRT((_xlfn.XLOOKUP(AC$1,$R$2:$R$18,$S$2:$S$18)-$L52)^2+(_xlfn.XLOOKUP(AC$1,$R$2:$R$18,$T$2:$T$18)-$M52)^2+(_xlfn.XLOOKUP(AC$1,$R$2:$R$18,$U$2:$U$18-$N52)^2)))</f>
        <v/>
      </c>
      <c r="AD52" s="149" t="str">
        <f t="array" ref="AD52">IF(AD$1=0,"",SQRT((_xlfn.XLOOKUP(AD$1,$R$2:$R$18,$S$2:$S$18)-$L52)^2+(_xlfn.XLOOKUP(AD$1,$R$2:$R$18,$T$2:$T$18)-$M52)^2+(_xlfn.XLOOKUP(AD$1,$R$2:$R$18,$U$2:$U$18-$N52)^2)))</f>
        <v/>
      </c>
      <c r="AE52" s="149" t="str">
        <f t="array" ref="AE52">IF(AE$1=0,"",SQRT((_xlfn.XLOOKUP(AE$1,$R$2:$R$18,$S$2:$S$18)-$L52)^2+(_xlfn.XLOOKUP(AE$1,$R$2:$R$18,$T$2:$T$18)-$M52)^2+(_xlfn.XLOOKUP(AE$1,$R$2:$R$18,$U$2:$U$18-$N52)^2)))</f>
        <v/>
      </c>
      <c r="AF52" s="149" t="str">
        <f t="array" ref="AF52">IF(AF$1=0,"",SQRT((_xlfn.XLOOKUP(AF$1,$R$2:$R$18,$S$2:$S$18)-$L52)^2+(_xlfn.XLOOKUP(AF$1,$R$2:$R$18,$T$2:$T$18)-$M52)^2+(_xlfn.XLOOKUP(AF$1,$R$2:$R$18,$U$2:$U$18-$N52)^2)))</f>
        <v/>
      </c>
      <c r="AG52" s="149" t="str">
        <f t="array" ref="AG52">IF(AG$1=0,"",SQRT((_xlfn.XLOOKUP(AG$1,$R$2:$R$18,$S$2:$S$18)-$L52)^2+(_xlfn.XLOOKUP(AG$1,$R$2:$R$18,$T$2:$T$18)-$M52)^2+(_xlfn.XLOOKUP(AG$1,$R$2:$R$18,$U$2:$U$18-$N52)^2)))</f>
        <v/>
      </c>
      <c r="AH52" s="150" t="str">
        <f t="array" ref="AH52">IF(AH$1=0,"",SQRT((_xlfn.XLOOKUP(AH$1,$R$2:$R$18,$S$2:$S$18)-$L52)^2+(_xlfn.XLOOKUP(AH$1,$R$2:$R$18,$T$2:$T$18)-$M52)^2+(_xlfn.XLOOKUP(AH$1,$R$2:$R$18,$U$2:$U$18-$N52)^2)))</f>
        <v/>
      </c>
      <c r="AI52" s="150" t="str">
        <f t="array" ref="AI52">IF(AI$1=0,"",SQRT((_xlfn.XLOOKUP(AI$1,$R$2:$R$18,$S$2:$S$18)-$L52)^2+(_xlfn.XLOOKUP(AI$1,$R$2:$R$18,$T$2:$T$18)-$M52)^2+(_xlfn.XLOOKUP(AI$1,$R$2:$R$18,$U$2:$U$18-$N52)^2)))</f>
        <v/>
      </c>
      <c r="AJ52" s="150" t="str">
        <f t="array" ref="AJ52">IF(AJ$1=0,"",SQRT((_xlfn.XLOOKUP(AJ$1,$R$2:$R$18,$S$2:$S$18)-$L52)^2+(_xlfn.XLOOKUP(AJ$1,$R$2:$R$18,$T$2:$T$18)-$M52)^2+(_xlfn.XLOOKUP(AJ$1,$R$2:$R$18,$U$2:$U$18-$N52)^2)))</f>
        <v/>
      </c>
      <c r="AK52" s="150" t="str">
        <f t="array" ref="AK52">IF(AK$1=0,"",SQRT((_xlfn.XLOOKUP(AK$1,$R$2:$R$18,$S$2:$S$18)-$L52)^2+(_xlfn.XLOOKUP(AK$1,$R$2:$R$18,$T$2:$T$18)-$M52)^2+(_xlfn.XLOOKUP(AK$1,$R$2:$R$18,$U$2:$U$18-$N52)^2)))</f>
        <v/>
      </c>
      <c r="AL52" s="150" t="str">
        <f t="array" ref="AL52">IF(AL$1=0,"",SQRT((_xlfn.XLOOKUP(AL$1,$R$2:$R$18,$S$2:$S$18)-$L52)^2+(_xlfn.XLOOKUP(AL$1,$R$2:$R$18,$T$2:$T$18)-$M52)^2+(_xlfn.XLOOKUP(AL$1,$R$2:$R$18,$U$2:$U$18-$N52)^2)))</f>
        <v/>
      </c>
      <c r="AM52" s="150" t="str">
        <f t="array" ref="AM52">IF(AM$1=0,"",SQRT((_xlfn.XLOOKUP(AM$1,$R$2:$R$18,$S$2:$S$18)-$L52)^2+(_xlfn.XLOOKUP(AM$1,$R$2:$R$18,$T$2:$T$18)-$M52)^2+(_xlfn.XLOOKUP(AM$1,$R$2:$R$18,$U$2:$U$18-$N52)^2)))</f>
        <v/>
      </c>
      <c r="AN52" s="151" t="str">
        <f t="array" ref="AN52">IF(AN$1=0,"",SQRT((_xlfn.XLOOKUP(AN$1,$R$2:$R$18,$S$2:$S$18)-$L52)^2+(_xlfn.XLOOKUP(AN$1,$R$2:$R$18,$T$2:$T$18)-$M52)^2+(_xlfn.XLOOKUP(AN$1,$R$2:$R$18,$U$2:$U$18-$N52)^2)))</f>
        <v/>
      </c>
      <c r="AO52" s="133"/>
      <c r="AP52" s="133"/>
      <c r="AQ52" s="134">
        <f t="shared" si="53"/>
        <v>0</v>
      </c>
      <c r="AR52" s="152">
        <f t="shared" si="54"/>
        <v>0</v>
      </c>
      <c r="AS52" s="152">
        <f t="shared" si="55"/>
        <v>0</v>
      </c>
      <c r="AT52" s="152">
        <f t="shared" si="56"/>
        <v>0</v>
      </c>
      <c r="AU52" s="152">
        <f t="shared" si="57"/>
        <v>0</v>
      </c>
      <c r="AV52" s="152">
        <f t="shared" si="58"/>
        <v>0</v>
      </c>
      <c r="AW52" s="152">
        <f t="shared" si="59"/>
        <v>0</v>
      </c>
      <c r="AX52" s="152">
        <f t="shared" si="60"/>
        <v>0</v>
      </c>
      <c r="AY52" s="153">
        <f t="shared" si="61"/>
        <v>0</v>
      </c>
      <c r="AZ52" s="153">
        <f t="shared" si="62"/>
        <v>0</v>
      </c>
      <c r="BA52" s="153">
        <f t="shared" si="63"/>
        <v>0</v>
      </c>
      <c r="BB52" s="153">
        <f t="shared" si="64"/>
        <v>0</v>
      </c>
      <c r="BC52" s="153">
        <f t="shared" si="65"/>
        <v>0</v>
      </c>
      <c r="BD52" s="153">
        <f t="shared" si="66"/>
        <v>0</v>
      </c>
      <c r="BE52" s="154">
        <f t="shared" si="67"/>
        <v>0</v>
      </c>
      <c r="BF52" s="133"/>
      <c r="BG52" s="133"/>
      <c r="BH52" s="133"/>
      <c r="BI52" s="133"/>
      <c r="BJ52" s="133"/>
      <c r="BK52" s="133"/>
      <c r="BL52" s="133"/>
      <c r="BM52" s="133"/>
      <c r="BN52" s="139"/>
      <c r="BO52" s="139"/>
      <c r="BP52" s="139"/>
      <c r="BQ52" s="139"/>
      <c r="BR52" s="139"/>
      <c r="BS52" s="139"/>
      <c r="BT52" s="139"/>
      <c r="BU52" s="139"/>
      <c r="BV52" s="139"/>
      <c r="BW52" s="139"/>
      <c r="BX52" s="139"/>
      <c r="BY52" s="139"/>
      <c r="BZ52" s="139"/>
      <c r="CA52" s="139"/>
      <c r="CB52" s="139"/>
      <c r="CC52" s="133"/>
      <c r="CD52" s="133"/>
      <c r="CE52" s="168">
        <f t="shared" si="35"/>
        <v>0</v>
      </c>
      <c r="CF52" s="169">
        <f t="shared" si="36"/>
        <v>0</v>
      </c>
      <c r="CG52" s="169">
        <f t="shared" si="37"/>
        <v>0</v>
      </c>
      <c r="CH52" s="169">
        <f t="shared" si="38"/>
        <v>0</v>
      </c>
      <c r="CI52" s="169">
        <f t="shared" si="39"/>
        <v>0</v>
      </c>
      <c r="CJ52" s="169">
        <f t="shared" si="41"/>
        <v>0</v>
      </c>
      <c r="CK52" s="169">
        <f t="shared" si="42"/>
        <v>0</v>
      </c>
      <c r="CL52" s="169">
        <f t="shared" si="43"/>
        <v>0</v>
      </c>
      <c r="CM52" s="171">
        <f t="shared" si="44"/>
        <v>0</v>
      </c>
      <c r="CN52" s="171">
        <f t="shared" si="45"/>
        <v>0</v>
      </c>
      <c r="CO52" s="171">
        <f t="shared" si="46"/>
        <v>0</v>
      </c>
      <c r="CP52" s="171">
        <f t="shared" si="47"/>
        <v>0</v>
      </c>
      <c r="CQ52" s="171">
        <f t="shared" si="48"/>
        <v>0</v>
      </c>
      <c r="CR52" s="171">
        <f t="shared" si="49"/>
        <v>0</v>
      </c>
      <c r="CS52" s="172">
        <f t="shared" si="50"/>
        <v>0</v>
      </c>
    </row>
    <row r="53" spans="1:97" ht="16.5" customHeight="1" x14ac:dyDescent="0.3">
      <c r="A53" s="144"/>
      <c r="B53" s="145"/>
      <c r="C53" s="145"/>
      <c r="D53" s="146"/>
      <c r="E53" s="146"/>
      <c r="F53" s="4"/>
      <c r="G53" s="4"/>
      <c r="H53" s="3"/>
      <c r="I53" s="127">
        <f t="shared" si="51"/>
        <v>0</v>
      </c>
      <c r="J53" s="3"/>
      <c r="K53" s="3"/>
      <c r="L53" s="4"/>
      <c r="M53" s="4"/>
      <c r="N53" s="111">
        <f t="shared" si="52"/>
        <v>0</v>
      </c>
      <c r="O53" s="170"/>
      <c r="P53" s="147"/>
      <c r="Z53" s="167">
        <f t="array" ref="Z53">IF(Z$1=0,"",SQRT((_xlfn.XLOOKUP(Z$1,$R$2:$R$18,$S$2:$S$18)-$L53)^2+(_xlfn.XLOOKUP(Z$1,$R$2:$R$18,$T$2:$T$18)-$M53)^2+(_xlfn.XLOOKUP(Z$1,$R$2:$R$18,$U$2:$U$18-$N53)^2)))</f>
        <v>98.29525370026775</v>
      </c>
      <c r="AA53" s="149">
        <f t="array" ref="AA53">IF(AA$1=0,"",SQRT((_xlfn.XLOOKUP(AA$1,$R$2:$R$18,$S$2:$S$18)-$L53)^2+(_xlfn.XLOOKUP(AA$1,$R$2:$R$18,$T$2:$T$18)-$M53)^2+(_xlfn.XLOOKUP(AA$1,$R$2:$R$18,$U$2:$U$18-$N53)^2)))</f>
        <v>3.28</v>
      </c>
      <c r="AB53" s="149" t="str">
        <f t="array" ref="AB53">IF(AB$1=0,"",SQRT((_xlfn.XLOOKUP(AB$1,$R$2:$R$18,$S$2:$S$18)-$L53)^2+(_xlfn.XLOOKUP(AB$1,$R$2:$R$18,$T$2:$T$18)-$M53)^2+(_xlfn.XLOOKUP(AB$1,$R$2:$R$18,$U$2:$U$18-$N53)^2)))</f>
        <v/>
      </c>
      <c r="AC53" s="149" t="str">
        <f t="array" ref="AC53">IF(AC$1=0,"",SQRT((_xlfn.XLOOKUP(AC$1,$R$2:$R$18,$S$2:$S$18)-$L53)^2+(_xlfn.XLOOKUP(AC$1,$R$2:$R$18,$T$2:$T$18)-$M53)^2+(_xlfn.XLOOKUP(AC$1,$R$2:$R$18,$U$2:$U$18-$N53)^2)))</f>
        <v/>
      </c>
      <c r="AD53" s="149" t="str">
        <f t="array" ref="AD53">IF(AD$1=0,"",SQRT((_xlfn.XLOOKUP(AD$1,$R$2:$R$18,$S$2:$S$18)-$L53)^2+(_xlfn.XLOOKUP(AD$1,$R$2:$R$18,$T$2:$T$18)-$M53)^2+(_xlfn.XLOOKUP(AD$1,$R$2:$R$18,$U$2:$U$18-$N53)^2)))</f>
        <v/>
      </c>
      <c r="AE53" s="149" t="str">
        <f t="array" ref="AE53">IF(AE$1=0,"",SQRT((_xlfn.XLOOKUP(AE$1,$R$2:$R$18,$S$2:$S$18)-$L53)^2+(_xlfn.XLOOKUP(AE$1,$R$2:$R$18,$T$2:$T$18)-$M53)^2+(_xlfn.XLOOKUP(AE$1,$R$2:$R$18,$U$2:$U$18-$N53)^2)))</f>
        <v/>
      </c>
      <c r="AF53" s="149" t="str">
        <f t="array" ref="AF53">IF(AF$1=0,"",SQRT((_xlfn.XLOOKUP(AF$1,$R$2:$R$18,$S$2:$S$18)-$L53)^2+(_xlfn.XLOOKUP(AF$1,$R$2:$R$18,$T$2:$T$18)-$M53)^2+(_xlfn.XLOOKUP(AF$1,$R$2:$R$18,$U$2:$U$18-$N53)^2)))</f>
        <v/>
      </c>
      <c r="AG53" s="149" t="str">
        <f t="array" ref="AG53">IF(AG$1=0,"",SQRT((_xlfn.XLOOKUP(AG$1,$R$2:$R$18,$S$2:$S$18)-$L53)^2+(_xlfn.XLOOKUP(AG$1,$R$2:$R$18,$T$2:$T$18)-$M53)^2+(_xlfn.XLOOKUP(AG$1,$R$2:$R$18,$U$2:$U$18-$N53)^2)))</f>
        <v/>
      </c>
      <c r="AH53" s="150" t="str">
        <f t="array" ref="AH53">IF(AH$1=0,"",SQRT((_xlfn.XLOOKUP(AH$1,$R$2:$R$18,$S$2:$S$18)-$L53)^2+(_xlfn.XLOOKUP(AH$1,$R$2:$R$18,$T$2:$T$18)-$M53)^2+(_xlfn.XLOOKUP(AH$1,$R$2:$R$18,$U$2:$U$18-$N53)^2)))</f>
        <v/>
      </c>
      <c r="AI53" s="150" t="str">
        <f t="array" ref="AI53">IF(AI$1=0,"",SQRT((_xlfn.XLOOKUP(AI$1,$R$2:$R$18,$S$2:$S$18)-$L53)^2+(_xlfn.XLOOKUP(AI$1,$R$2:$R$18,$T$2:$T$18)-$M53)^2+(_xlfn.XLOOKUP(AI$1,$R$2:$R$18,$U$2:$U$18-$N53)^2)))</f>
        <v/>
      </c>
      <c r="AJ53" s="150" t="str">
        <f t="array" ref="AJ53">IF(AJ$1=0,"",SQRT((_xlfn.XLOOKUP(AJ$1,$R$2:$R$18,$S$2:$S$18)-$L53)^2+(_xlfn.XLOOKUP(AJ$1,$R$2:$R$18,$T$2:$T$18)-$M53)^2+(_xlfn.XLOOKUP(AJ$1,$R$2:$R$18,$U$2:$U$18-$N53)^2)))</f>
        <v/>
      </c>
      <c r="AK53" s="150" t="str">
        <f t="array" ref="AK53">IF(AK$1=0,"",SQRT((_xlfn.XLOOKUP(AK$1,$R$2:$R$18,$S$2:$S$18)-$L53)^2+(_xlfn.XLOOKUP(AK$1,$R$2:$R$18,$T$2:$T$18)-$M53)^2+(_xlfn.XLOOKUP(AK$1,$R$2:$R$18,$U$2:$U$18-$N53)^2)))</f>
        <v/>
      </c>
      <c r="AL53" s="150" t="str">
        <f t="array" ref="AL53">IF(AL$1=0,"",SQRT((_xlfn.XLOOKUP(AL$1,$R$2:$R$18,$S$2:$S$18)-$L53)^2+(_xlfn.XLOOKUP(AL$1,$R$2:$R$18,$T$2:$T$18)-$M53)^2+(_xlfn.XLOOKUP(AL$1,$R$2:$R$18,$U$2:$U$18-$N53)^2)))</f>
        <v/>
      </c>
      <c r="AM53" s="150" t="str">
        <f t="array" ref="AM53">IF(AM$1=0,"",SQRT((_xlfn.XLOOKUP(AM$1,$R$2:$R$18,$S$2:$S$18)-$L53)^2+(_xlfn.XLOOKUP(AM$1,$R$2:$R$18,$T$2:$T$18)-$M53)^2+(_xlfn.XLOOKUP(AM$1,$R$2:$R$18,$U$2:$U$18-$N53)^2)))</f>
        <v/>
      </c>
      <c r="AN53" s="151" t="str">
        <f t="array" ref="AN53">IF(AN$1=0,"",SQRT((_xlfn.XLOOKUP(AN$1,$R$2:$R$18,$S$2:$S$18)-$L53)^2+(_xlfn.XLOOKUP(AN$1,$R$2:$R$18,$T$2:$T$18)-$M53)^2+(_xlfn.XLOOKUP(AN$1,$R$2:$R$18,$U$2:$U$18-$N53)^2)))</f>
        <v/>
      </c>
      <c r="AO53" s="133"/>
      <c r="AP53" s="133"/>
      <c r="AQ53" s="134">
        <f t="shared" si="53"/>
        <v>0</v>
      </c>
      <c r="AR53" s="152">
        <f t="shared" si="54"/>
        <v>0</v>
      </c>
      <c r="AS53" s="152">
        <f t="shared" si="55"/>
        <v>0</v>
      </c>
      <c r="AT53" s="152">
        <f t="shared" si="56"/>
        <v>0</v>
      </c>
      <c r="AU53" s="152">
        <f t="shared" si="57"/>
        <v>0</v>
      </c>
      <c r="AV53" s="152">
        <f t="shared" si="58"/>
        <v>0</v>
      </c>
      <c r="AW53" s="152">
        <f t="shared" si="59"/>
        <v>0</v>
      </c>
      <c r="AX53" s="152">
        <f t="shared" si="60"/>
        <v>0</v>
      </c>
      <c r="AY53" s="153">
        <f t="shared" si="61"/>
        <v>0</v>
      </c>
      <c r="AZ53" s="153">
        <f t="shared" si="62"/>
        <v>0</v>
      </c>
      <c r="BA53" s="153">
        <f t="shared" si="63"/>
        <v>0</v>
      </c>
      <c r="BB53" s="153">
        <f t="shared" si="64"/>
        <v>0</v>
      </c>
      <c r="BC53" s="153">
        <f t="shared" si="65"/>
        <v>0</v>
      </c>
      <c r="BD53" s="153">
        <f t="shared" si="66"/>
        <v>0</v>
      </c>
      <c r="BE53" s="154">
        <f t="shared" si="67"/>
        <v>0</v>
      </c>
      <c r="BF53" s="133"/>
      <c r="BG53" s="133"/>
      <c r="BH53" s="133"/>
      <c r="BI53" s="133"/>
      <c r="BJ53" s="133"/>
      <c r="BK53" s="133"/>
      <c r="BL53" s="133"/>
      <c r="BM53" s="133"/>
      <c r="BN53" s="139"/>
      <c r="BO53" s="139"/>
      <c r="BP53" s="139"/>
      <c r="BQ53" s="139"/>
      <c r="BR53" s="139"/>
      <c r="BS53" s="139"/>
      <c r="BT53" s="139"/>
      <c r="BU53" s="139"/>
      <c r="BV53" s="139"/>
      <c r="BW53" s="139"/>
      <c r="BX53" s="139"/>
      <c r="BY53" s="139"/>
      <c r="BZ53" s="139"/>
      <c r="CA53" s="139"/>
      <c r="CB53" s="139"/>
      <c r="CC53" s="133"/>
      <c r="CD53" s="133"/>
      <c r="CE53" s="168">
        <f t="shared" si="35"/>
        <v>0</v>
      </c>
      <c r="CF53" s="169">
        <f t="shared" si="36"/>
        <v>0</v>
      </c>
      <c r="CG53" s="169">
        <f t="shared" si="37"/>
        <v>0</v>
      </c>
      <c r="CH53" s="169">
        <f t="shared" si="38"/>
        <v>0</v>
      </c>
      <c r="CI53" s="169">
        <f t="shared" si="39"/>
        <v>0</v>
      </c>
      <c r="CJ53" s="169">
        <f t="shared" si="41"/>
        <v>0</v>
      </c>
      <c r="CK53" s="169">
        <f t="shared" si="42"/>
        <v>0</v>
      </c>
      <c r="CL53" s="169">
        <f t="shared" si="43"/>
        <v>0</v>
      </c>
      <c r="CM53" s="171">
        <f t="shared" si="44"/>
        <v>0</v>
      </c>
      <c r="CN53" s="171">
        <f t="shared" si="45"/>
        <v>0</v>
      </c>
      <c r="CO53" s="171">
        <f t="shared" si="46"/>
        <v>0</v>
      </c>
      <c r="CP53" s="171">
        <f t="shared" si="47"/>
        <v>0</v>
      </c>
      <c r="CQ53" s="171">
        <f t="shared" si="48"/>
        <v>0</v>
      </c>
      <c r="CR53" s="171">
        <f t="shared" si="49"/>
        <v>0</v>
      </c>
      <c r="CS53" s="172">
        <f t="shared" si="50"/>
        <v>0</v>
      </c>
    </row>
    <row r="54" spans="1:97" ht="16.5" customHeight="1" x14ac:dyDescent="0.3">
      <c r="A54" s="144"/>
      <c r="B54" s="145"/>
      <c r="C54" s="145"/>
      <c r="D54" s="146"/>
      <c r="E54" s="146"/>
      <c r="F54" s="4"/>
      <c r="G54" s="4"/>
      <c r="H54" s="3"/>
      <c r="I54" s="127">
        <f t="shared" si="51"/>
        <v>0</v>
      </c>
      <c r="J54" s="3"/>
      <c r="K54" s="3"/>
      <c r="L54" s="4"/>
      <c r="M54" s="4"/>
      <c r="N54" s="111">
        <f t="shared" si="52"/>
        <v>0</v>
      </c>
      <c r="O54" s="170"/>
      <c r="P54" s="147"/>
      <c r="Z54" s="167">
        <f t="array" ref="Z54">IF(Z$1=0,"",SQRT((_xlfn.XLOOKUP(Z$1,$R$2:$R$18,$S$2:$S$18)-$L54)^2+(_xlfn.XLOOKUP(Z$1,$R$2:$R$18,$T$2:$T$18)-$M54)^2+(_xlfn.XLOOKUP(Z$1,$R$2:$R$18,$U$2:$U$18-$N54)^2)))</f>
        <v>98.29525370026775</v>
      </c>
      <c r="AA54" s="149">
        <f t="array" ref="AA54">IF(AA$1=0,"",SQRT((_xlfn.XLOOKUP(AA$1,$R$2:$R$18,$S$2:$S$18)-$L54)^2+(_xlfn.XLOOKUP(AA$1,$R$2:$R$18,$T$2:$T$18)-$M54)^2+(_xlfn.XLOOKUP(AA$1,$R$2:$R$18,$U$2:$U$18-$N54)^2)))</f>
        <v>3.28</v>
      </c>
      <c r="AB54" s="149" t="str">
        <f t="array" ref="AB54">IF(AB$1=0,"",SQRT((_xlfn.XLOOKUP(AB$1,$R$2:$R$18,$S$2:$S$18)-$L54)^2+(_xlfn.XLOOKUP(AB$1,$R$2:$R$18,$T$2:$T$18)-$M54)^2+(_xlfn.XLOOKUP(AB$1,$R$2:$R$18,$U$2:$U$18-$N54)^2)))</f>
        <v/>
      </c>
      <c r="AC54" s="149" t="str">
        <f t="array" ref="AC54">IF(AC$1=0,"",SQRT((_xlfn.XLOOKUP(AC$1,$R$2:$R$18,$S$2:$S$18)-$L54)^2+(_xlfn.XLOOKUP(AC$1,$R$2:$R$18,$T$2:$T$18)-$M54)^2+(_xlfn.XLOOKUP(AC$1,$R$2:$R$18,$U$2:$U$18-$N54)^2)))</f>
        <v/>
      </c>
      <c r="AD54" s="149" t="str">
        <f t="array" ref="AD54">IF(AD$1=0,"",SQRT((_xlfn.XLOOKUP(AD$1,$R$2:$R$18,$S$2:$S$18)-$L54)^2+(_xlfn.XLOOKUP(AD$1,$R$2:$R$18,$T$2:$T$18)-$M54)^2+(_xlfn.XLOOKUP(AD$1,$R$2:$R$18,$U$2:$U$18-$N54)^2)))</f>
        <v/>
      </c>
      <c r="AE54" s="149" t="str">
        <f t="array" ref="AE54">IF(AE$1=0,"",SQRT((_xlfn.XLOOKUP(AE$1,$R$2:$R$18,$S$2:$S$18)-$L54)^2+(_xlfn.XLOOKUP(AE$1,$R$2:$R$18,$T$2:$T$18)-$M54)^2+(_xlfn.XLOOKUP(AE$1,$R$2:$R$18,$U$2:$U$18-$N54)^2)))</f>
        <v/>
      </c>
      <c r="AF54" s="149" t="str">
        <f t="array" ref="AF54">IF(AF$1=0,"",SQRT((_xlfn.XLOOKUP(AF$1,$R$2:$R$18,$S$2:$S$18)-$L54)^2+(_xlfn.XLOOKUP(AF$1,$R$2:$R$18,$T$2:$T$18)-$M54)^2+(_xlfn.XLOOKUP(AF$1,$R$2:$R$18,$U$2:$U$18-$N54)^2)))</f>
        <v/>
      </c>
      <c r="AG54" s="149" t="str">
        <f t="array" ref="AG54">IF(AG$1=0,"",SQRT((_xlfn.XLOOKUP(AG$1,$R$2:$R$18,$S$2:$S$18)-$L54)^2+(_xlfn.XLOOKUP(AG$1,$R$2:$R$18,$T$2:$T$18)-$M54)^2+(_xlfn.XLOOKUP(AG$1,$R$2:$R$18,$U$2:$U$18-$N54)^2)))</f>
        <v/>
      </c>
      <c r="AH54" s="150" t="str">
        <f t="array" ref="AH54">IF(AH$1=0,"",SQRT((_xlfn.XLOOKUP(AH$1,$R$2:$R$18,$S$2:$S$18)-$L54)^2+(_xlfn.XLOOKUP(AH$1,$R$2:$R$18,$T$2:$T$18)-$M54)^2+(_xlfn.XLOOKUP(AH$1,$R$2:$R$18,$U$2:$U$18-$N54)^2)))</f>
        <v/>
      </c>
      <c r="AI54" s="150" t="str">
        <f t="array" ref="AI54">IF(AI$1=0,"",SQRT((_xlfn.XLOOKUP(AI$1,$R$2:$R$18,$S$2:$S$18)-$L54)^2+(_xlfn.XLOOKUP(AI$1,$R$2:$R$18,$T$2:$T$18)-$M54)^2+(_xlfn.XLOOKUP(AI$1,$R$2:$R$18,$U$2:$U$18-$N54)^2)))</f>
        <v/>
      </c>
      <c r="AJ54" s="150" t="str">
        <f t="array" ref="AJ54">IF(AJ$1=0,"",SQRT((_xlfn.XLOOKUP(AJ$1,$R$2:$R$18,$S$2:$S$18)-$L54)^2+(_xlfn.XLOOKUP(AJ$1,$R$2:$R$18,$T$2:$T$18)-$M54)^2+(_xlfn.XLOOKUP(AJ$1,$R$2:$R$18,$U$2:$U$18-$N54)^2)))</f>
        <v/>
      </c>
      <c r="AK54" s="150" t="str">
        <f t="array" ref="AK54">IF(AK$1=0,"",SQRT((_xlfn.XLOOKUP(AK$1,$R$2:$R$18,$S$2:$S$18)-$L54)^2+(_xlfn.XLOOKUP(AK$1,$R$2:$R$18,$T$2:$T$18)-$M54)^2+(_xlfn.XLOOKUP(AK$1,$R$2:$R$18,$U$2:$U$18-$N54)^2)))</f>
        <v/>
      </c>
      <c r="AL54" s="150" t="str">
        <f t="array" ref="AL54">IF(AL$1=0,"",SQRT((_xlfn.XLOOKUP(AL$1,$R$2:$R$18,$S$2:$S$18)-$L54)^2+(_xlfn.XLOOKUP(AL$1,$R$2:$R$18,$T$2:$T$18)-$M54)^2+(_xlfn.XLOOKUP(AL$1,$R$2:$R$18,$U$2:$U$18-$N54)^2)))</f>
        <v/>
      </c>
      <c r="AM54" s="150" t="str">
        <f t="array" ref="AM54">IF(AM$1=0,"",SQRT((_xlfn.XLOOKUP(AM$1,$R$2:$R$18,$S$2:$S$18)-$L54)^2+(_xlfn.XLOOKUP(AM$1,$R$2:$R$18,$T$2:$T$18)-$M54)^2+(_xlfn.XLOOKUP(AM$1,$R$2:$R$18,$U$2:$U$18-$N54)^2)))</f>
        <v/>
      </c>
      <c r="AN54" s="151" t="str">
        <f t="array" ref="AN54">IF(AN$1=0,"",SQRT((_xlfn.XLOOKUP(AN$1,$R$2:$R$18,$S$2:$S$18)-$L54)^2+(_xlfn.XLOOKUP(AN$1,$R$2:$R$18,$T$2:$T$18)-$M54)^2+(_xlfn.XLOOKUP(AN$1,$R$2:$R$18,$U$2:$U$18-$N54)^2)))</f>
        <v/>
      </c>
      <c r="AO54" s="133"/>
      <c r="AP54" s="133"/>
      <c r="AQ54" s="134">
        <f t="shared" si="53"/>
        <v>0</v>
      </c>
      <c r="AR54" s="152">
        <f t="shared" si="54"/>
        <v>0</v>
      </c>
      <c r="AS54" s="152">
        <f t="shared" si="55"/>
        <v>0</v>
      </c>
      <c r="AT54" s="152">
        <f t="shared" si="56"/>
        <v>0</v>
      </c>
      <c r="AU54" s="152">
        <f t="shared" si="57"/>
        <v>0</v>
      </c>
      <c r="AV54" s="152">
        <f t="shared" si="58"/>
        <v>0</v>
      </c>
      <c r="AW54" s="152">
        <f t="shared" si="59"/>
        <v>0</v>
      </c>
      <c r="AX54" s="152">
        <f t="shared" si="60"/>
        <v>0</v>
      </c>
      <c r="AY54" s="153">
        <f t="shared" si="61"/>
        <v>0</v>
      </c>
      <c r="AZ54" s="153">
        <f t="shared" si="62"/>
        <v>0</v>
      </c>
      <c r="BA54" s="153">
        <f t="shared" si="63"/>
        <v>0</v>
      </c>
      <c r="BB54" s="153">
        <f t="shared" si="64"/>
        <v>0</v>
      </c>
      <c r="BC54" s="153">
        <f t="shared" si="65"/>
        <v>0</v>
      </c>
      <c r="BD54" s="153">
        <f t="shared" si="66"/>
        <v>0</v>
      </c>
      <c r="BE54" s="154">
        <f t="shared" si="67"/>
        <v>0</v>
      </c>
      <c r="BF54" s="133"/>
      <c r="BG54" s="133"/>
      <c r="BH54" s="133"/>
      <c r="BI54" s="133"/>
      <c r="BJ54" s="133"/>
      <c r="BK54" s="133"/>
      <c r="BL54" s="133"/>
      <c r="BM54" s="133"/>
      <c r="BN54" s="139"/>
      <c r="BO54" s="139"/>
      <c r="BP54" s="139"/>
      <c r="BQ54" s="139"/>
      <c r="BR54" s="139"/>
      <c r="BS54" s="139"/>
      <c r="BT54" s="139"/>
      <c r="BU54" s="139"/>
      <c r="BV54" s="139"/>
      <c r="BW54" s="139"/>
      <c r="BX54" s="139"/>
      <c r="BY54" s="139"/>
      <c r="BZ54" s="139"/>
      <c r="CA54" s="139"/>
      <c r="CB54" s="139"/>
      <c r="CC54" s="133"/>
      <c r="CD54" s="133"/>
      <c r="CE54" s="168">
        <f t="shared" si="35"/>
        <v>0</v>
      </c>
      <c r="CF54" s="169">
        <f t="shared" si="36"/>
        <v>0</v>
      </c>
      <c r="CG54" s="169">
        <f t="shared" si="37"/>
        <v>0</v>
      </c>
      <c r="CH54" s="169">
        <f t="shared" si="38"/>
        <v>0</v>
      </c>
      <c r="CI54" s="169">
        <f t="shared" si="39"/>
        <v>0</v>
      </c>
      <c r="CJ54" s="169">
        <f t="shared" si="41"/>
        <v>0</v>
      </c>
      <c r="CK54" s="169">
        <f t="shared" si="42"/>
        <v>0</v>
      </c>
      <c r="CL54" s="169">
        <f t="shared" si="43"/>
        <v>0</v>
      </c>
      <c r="CM54" s="171">
        <f t="shared" si="44"/>
        <v>0</v>
      </c>
      <c r="CN54" s="171">
        <f t="shared" si="45"/>
        <v>0</v>
      </c>
      <c r="CO54" s="171">
        <f t="shared" si="46"/>
        <v>0</v>
      </c>
      <c r="CP54" s="171">
        <f t="shared" si="47"/>
        <v>0</v>
      </c>
      <c r="CQ54" s="171">
        <f t="shared" si="48"/>
        <v>0</v>
      </c>
      <c r="CR54" s="171">
        <f t="shared" si="49"/>
        <v>0</v>
      </c>
      <c r="CS54" s="172">
        <f t="shared" si="50"/>
        <v>0</v>
      </c>
    </row>
    <row r="55" spans="1:97" ht="16.5" customHeight="1" x14ac:dyDescent="0.3">
      <c r="A55" s="144"/>
      <c r="B55" s="145"/>
      <c r="C55" s="145"/>
      <c r="D55" s="146"/>
      <c r="E55" s="146"/>
      <c r="F55" s="4"/>
      <c r="G55" s="4"/>
      <c r="H55" s="3"/>
      <c r="I55" s="127">
        <f t="shared" si="51"/>
        <v>0</v>
      </c>
      <c r="J55" s="3"/>
      <c r="K55" s="3"/>
      <c r="L55" s="4"/>
      <c r="M55" s="4"/>
      <c r="N55" s="111">
        <f t="shared" si="52"/>
        <v>0</v>
      </c>
      <c r="O55" s="170"/>
      <c r="P55" s="147"/>
      <c r="Z55" s="167">
        <f t="array" ref="Z55">IF(Z$1=0,"",SQRT((_xlfn.XLOOKUP(Z$1,$R$2:$R$18,$S$2:$S$18)-$L55)^2+(_xlfn.XLOOKUP(Z$1,$R$2:$R$18,$T$2:$T$18)-$M55)^2+(_xlfn.XLOOKUP(Z$1,$R$2:$R$18,$U$2:$U$18-$N55)^2)))</f>
        <v>98.29525370026775</v>
      </c>
      <c r="AA55" s="149">
        <f t="array" ref="AA55">IF(AA$1=0,"",SQRT((_xlfn.XLOOKUP(AA$1,$R$2:$R$18,$S$2:$S$18)-$L55)^2+(_xlfn.XLOOKUP(AA$1,$R$2:$R$18,$T$2:$T$18)-$M55)^2+(_xlfn.XLOOKUP(AA$1,$R$2:$R$18,$U$2:$U$18-$N55)^2)))</f>
        <v>3.28</v>
      </c>
      <c r="AB55" s="149" t="str">
        <f t="array" ref="AB55">IF(AB$1=0,"",SQRT((_xlfn.XLOOKUP(AB$1,$R$2:$R$18,$S$2:$S$18)-$L55)^2+(_xlfn.XLOOKUP(AB$1,$R$2:$R$18,$T$2:$T$18)-$M55)^2+(_xlfn.XLOOKUP(AB$1,$R$2:$R$18,$U$2:$U$18-$N55)^2)))</f>
        <v/>
      </c>
      <c r="AC55" s="149" t="str">
        <f t="array" ref="AC55">IF(AC$1=0,"",SQRT((_xlfn.XLOOKUP(AC$1,$R$2:$R$18,$S$2:$S$18)-$L55)^2+(_xlfn.XLOOKUP(AC$1,$R$2:$R$18,$T$2:$T$18)-$M55)^2+(_xlfn.XLOOKUP(AC$1,$R$2:$R$18,$U$2:$U$18-$N55)^2)))</f>
        <v/>
      </c>
      <c r="AD55" s="149" t="str">
        <f t="array" ref="AD55">IF(AD$1=0,"",SQRT((_xlfn.XLOOKUP(AD$1,$R$2:$R$18,$S$2:$S$18)-$L55)^2+(_xlfn.XLOOKUP(AD$1,$R$2:$R$18,$T$2:$T$18)-$M55)^2+(_xlfn.XLOOKUP(AD$1,$R$2:$R$18,$U$2:$U$18-$N55)^2)))</f>
        <v/>
      </c>
      <c r="AE55" s="149" t="str">
        <f t="array" ref="AE55">IF(AE$1=0,"",SQRT((_xlfn.XLOOKUP(AE$1,$R$2:$R$18,$S$2:$S$18)-$L55)^2+(_xlfn.XLOOKUP(AE$1,$R$2:$R$18,$T$2:$T$18)-$M55)^2+(_xlfn.XLOOKUP(AE$1,$R$2:$R$18,$U$2:$U$18-$N55)^2)))</f>
        <v/>
      </c>
      <c r="AF55" s="149" t="str">
        <f t="array" ref="AF55">IF(AF$1=0,"",SQRT((_xlfn.XLOOKUP(AF$1,$R$2:$R$18,$S$2:$S$18)-$L55)^2+(_xlfn.XLOOKUP(AF$1,$R$2:$R$18,$T$2:$T$18)-$M55)^2+(_xlfn.XLOOKUP(AF$1,$R$2:$R$18,$U$2:$U$18-$N55)^2)))</f>
        <v/>
      </c>
      <c r="AG55" s="149" t="str">
        <f t="array" ref="AG55">IF(AG$1=0,"",SQRT((_xlfn.XLOOKUP(AG$1,$R$2:$R$18,$S$2:$S$18)-$L55)^2+(_xlfn.XLOOKUP(AG$1,$R$2:$R$18,$T$2:$T$18)-$M55)^2+(_xlfn.XLOOKUP(AG$1,$R$2:$R$18,$U$2:$U$18-$N55)^2)))</f>
        <v/>
      </c>
      <c r="AH55" s="150" t="str">
        <f t="array" ref="AH55">IF(AH$1=0,"",SQRT((_xlfn.XLOOKUP(AH$1,$R$2:$R$18,$S$2:$S$18)-$L55)^2+(_xlfn.XLOOKUP(AH$1,$R$2:$R$18,$T$2:$T$18)-$M55)^2+(_xlfn.XLOOKUP(AH$1,$R$2:$R$18,$U$2:$U$18-$N55)^2)))</f>
        <v/>
      </c>
      <c r="AI55" s="150" t="str">
        <f t="array" ref="AI55">IF(AI$1=0,"",SQRT((_xlfn.XLOOKUP(AI$1,$R$2:$R$18,$S$2:$S$18)-$L55)^2+(_xlfn.XLOOKUP(AI$1,$R$2:$R$18,$T$2:$T$18)-$M55)^2+(_xlfn.XLOOKUP(AI$1,$R$2:$R$18,$U$2:$U$18-$N55)^2)))</f>
        <v/>
      </c>
      <c r="AJ55" s="150" t="str">
        <f t="array" ref="AJ55">IF(AJ$1=0,"",SQRT((_xlfn.XLOOKUP(AJ$1,$R$2:$R$18,$S$2:$S$18)-$L55)^2+(_xlfn.XLOOKUP(AJ$1,$R$2:$R$18,$T$2:$T$18)-$M55)^2+(_xlfn.XLOOKUP(AJ$1,$R$2:$R$18,$U$2:$U$18-$N55)^2)))</f>
        <v/>
      </c>
      <c r="AK55" s="150" t="str">
        <f t="array" ref="AK55">IF(AK$1=0,"",SQRT((_xlfn.XLOOKUP(AK$1,$R$2:$R$18,$S$2:$S$18)-$L55)^2+(_xlfn.XLOOKUP(AK$1,$R$2:$R$18,$T$2:$T$18)-$M55)^2+(_xlfn.XLOOKUP(AK$1,$R$2:$R$18,$U$2:$U$18-$N55)^2)))</f>
        <v/>
      </c>
      <c r="AL55" s="150" t="str">
        <f t="array" ref="AL55">IF(AL$1=0,"",SQRT((_xlfn.XLOOKUP(AL$1,$R$2:$R$18,$S$2:$S$18)-$L55)^2+(_xlfn.XLOOKUP(AL$1,$R$2:$R$18,$T$2:$T$18)-$M55)^2+(_xlfn.XLOOKUP(AL$1,$R$2:$R$18,$U$2:$U$18-$N55)^2)))</f>
        <v/>
      </c>
      <c r="AM55" s="150" t="str">
        <f t="array" ref="AM55">IF(AM$1=0,"",SQRT((_xlfn.XLOOKUP(AM$1,$R$2:$R$18,$S$2:$S$18)-$L55)^2+(_xlfn.XLOOKUP(AM$1,$R$2:$R$18,$T$2:$T$18)-$M55)^2+(_xlfn.XLOOKUP(AM$1,$R$2:$R$18,$U$2:$U$18-$N55)^2)))</f>
        <v/>
      </c>
      <c r="AN55" s="151" t="str">
        <f t="array" ref="AN55">IF(AN$1=0,"",SQRT((_xlfn.XLOOKUP(AN$1,$R$2:$R$18,$S$2:$S$18)-$L55)^2+(_xlfn.XLOOKUP(AN$1,$R$2:$R$18,$T$2:$T$18)-$M55)^2+(_xlfn.XLOOKUP(AN$1,$R$2:$R$18,$U$2:$U$18-$N55)^2)))</f>
        <v/>
      </c>
      <c r="AO55" s="133"/>
      <c r="AP55" s="133"/>
      <c r="AQ55" s="134">
        <f t="shared" si="53"/>
        <v>0</v>
      </c>
      <c r="AR55" s="152">
        <f t="shared" si="54"/>
        <v>0</v>
      </c>
      <c r="AS55" s="152">
        <f t="shared" si="55"/>
        <v>0</v>
      </c>
      <c r="AT55" s="152">
        <f t="shared" si="56"/>
        <v>0</v>
      </c>
      <c r="AU55" s="152">
        <f t="shared" si="57"/>
        <v>0</v>
      </c>
      <c r="AV55" s="152">
        <f t="shared" si="58"/>
        <v>0</v>
      </c>
      <c r="AW55" s="152">
        <f t="shared" si="59"/>
        <v>0</v>
      </c>
      <c r="AX55" s="152">
        <f t="shared" si="60"/>
        <v>0</v>
      </c>
      <c r="AY55" s="153">
        <f t="shared" si="61"/>
        <v>0</v>
      </c>
      <c r="AZ55" s="153">
        <f t="shared" si="62"/>
        <v>0</v>
      </c>
      <c r="BA55" s="153">
        <f t="shared" si="63"/>
        <v>0</v>
      </c>
      <c r="BB55" s="153">
        <f t="shared" si="64"/>
        <v>0</v>
      </c>
      <c r="BC55" s="153">
        <f t="shared" si="65"/>
        <v>0</v>
      </c>
      <c r="BD55" s="153">
        <f t="shared" si="66"/>
        <v>0</v>
      </c>
      <c r="BE55" s="154">
        <f t="shared" si="67"/>
        <v>0</v>
      </c>
      <c r="BF55" s="133"/>
      <c r="BG55" s="133"/>
      <c r="BH55" s="133"/>
      <c r="BI55" s="133"/>
      <c r="BJ55" s="133"/>
      <c r="BK55" s="133"/>
      <c r="BL55" s="133"/>
      <c r="BM55" s="133"/>
      <c r="BN55" s="139"/>
      <c r="BO55" s="139"/>
      <c r="BP55" s="139"/>
      <c r="BQ55" s="139"/>
      <c r="BR55" s="139"/>
      <c r="BS55" s="139"/>
      <c r="BT55" s="139"/>
      <c r="BU55" s="139"/>
      <c r="BV55" s="139"/>
      <c r="BW55" s="139"/>
      <c r="BX55" s="139"/>
      <c r="BY55" s="139"/>
      <c r="BZ55" s="139"/>
      <c r="CA55" s="139"/>
      <c r="CB55" s="139"/>
      <c r="CC55" s="133"/>
      <c r="CD55" s="133"/>
      <c r="CE55" s="168">
        <f t="shared" si="35"/>
        <v>0</v>
      </c>
      <c r="CF55" s="169">
        <f t="shared" si="36"/>
        <v>0</v>
      </c>
      <c r="CG55" s="169">
        <f t="shared" si="37"/>
        <v>0</v>
      </c>
      <c r="CH55" s="169">
        <f t="shared" si="38"/>
        <v>0</v>
      </c>
      <c r="CI55" s="169">
        <f t="shared" si="39"/>
        <v>0</v>
      </c>
      <c r="CJ55" s="169">
        <f t="shared" si="41"/>
        <v>0</v>
      </c>
      <c r="CK55" s="169">
        <f t="shared" si="42"/>
        <v>0</v>
      </c>
      <c r="CL55" s="169">
        <f t="shared" si="43"/>
        <v>0</v>
      </c>
      <c r="CM55" s="171">
        <f t="shared" si="44"/>
        <v>0</v>
      </c>
      <c r="CN55" s="171">
        <f t="shared" si="45"/>
        <v>0</v>
      </c>
      <c r="CO55" s="171">
        <f t="shared" si="46"/>
        <v>0</v>
      </c>
      <c r="CP55" s="171">
        <f t="shared" si="47"/>
        <v>0</v>
      </c>
      <c r="CQ55" s="171">
        <f t="shared" si="48"/>
        <v>0</v>
      </c>
      <c r="CR55" s="171">
        <f t="shared" si="49"/>
        <v>0</v>
      </c>
      <c r="CS55" s="172">
        <f t="shared" si="50"/>
        <v>0</v>
      </c>
    </row>
    <row r="56" spans="1:97" ht="16.5" customHeight="1" x14ac:dyDescent="0.3">
      <c r="A56" s="144"/>
      <c r="B56" s="145"/>
      <c r="C56" s="145"/>
      <c r="D56" s="146"/>
      <c r="E56" s="146"/>
      <c r="F56" s="4"/>
      <c r="G56" s="4"/>
      <c r="H56" s="3"/>
      <c r="I56" s="127">
        <f t="shared" si="51"/>
        <v>0</v>
      </c>
      <c r="J56" s="3"/>
      <c r="K56" s="3"/>
      <c r="L56" s="4"/>
      <c r="M56" s="4"/>
      <c r="N56" s="111">
        <f t="shared" si="52"/>
        <v>0</v>
      </c>
      <c r="O56" s="170"/>
      <c r="P56" s="147"/>
      <c r="Z56" s="167">
        <f t="array" ref="Z56">IF(Z$1=0,"",SQRT((_xlfn.XLOOKUP(Z$1,$R$2:$R$18,$S$2:$S$18)-$L56)^2+(_xlfn.XLOOKUP(Z$1,$R$2:$R$18,$T$2:$T$18)-$M56)^2+(_xlfn.XLOOKUP(Z$1,$R$2:$R$18,$U$2:$U$18-$N56)^2)))</f>
        <v>98.29525370026775</v>
      </c>
      <c r="AA56" s="149">
        <f t="array" ref="AA56">IF(AA$1=0,"",SQRT((_xlfn.XLOOKUP(AA$1,$R$2:$R$18,$S$2:$S$18)-$L56)^2+(_xlfn.XLOOKUP(AA$1,$R$2:$R$18,$T$2:$T$18)-$M56)^2+(_xlfn.XLOOKUP(AA$1,$R$2:$R$18,$U$2:$U$18-$N56)^2)))</f>
        <v>3.28</v>
      </c>
      <c r="AB56" s="149" t="str">
        <f t="array" ref="AB56">IF(AB$1=0,"",SQRT((_xlfn.XLOOKUP(AB$1,$R$2:$R$18,$S$2:$S$18)-$L56)^2+(_xlfn.XLOOKUP(AB$1,$R$2:$R$18,$T$2:$T$18)-$M56)^2+(_xlfn.XLOOKUP(AB$1,$R$2:$R$18,$U$2:$U$18-$N56)^2)))</f>
        <v/>
      </c>
      <c r="AC56" s="149" t="str">
        <f t="array" ref="AC56">IF(AC$1=0,"",SQRT((_xlfn.XLOOKUP(AC$1,$R$2:$R$18,$S$2:$S$18)-$L56)^2+(_xlfn.XLOOKUP(AC$1,$R$2:$R$18,$T$2:$T$18)-$M56)^2+(_xlfn.XLOOKUP(AC$1,$R$2:$R$18,$U$2:$U$18-$N56)^2)))</f>
        <v/>
      </c>
      <c r="AD56" s="149" t="str">
        <f t="array" ref="AD56">IF(AD$1=0,"",SQRT((_xlfn.XLOOKUP(AD$1,$R$2:$R$18,$S$2:$S$18)-$L56)^2+(_xlfn.XLOOKUP(AD$1,$R$2:$R$18,$T$2:$T$18)-$M56)^2+(_xlfn.XLOOKUP(AD$1,$R$2:$R$18,$U$2:$U$18-$N56)^2)))</f>
        <v/>
      </c>
      <c r="AE56" s="149" t="str">
        <f t="array" ref="AE56">IF(AE$1=0,"",SQRT((_xlfn.XLOOKUP(AE$1,$R$2:$R$18,$S$2:$S$18)-$L56)^2+(_xlfn.XLOOKUP(AE$1,$R$2:$R$18,$T$2:$T$18)-$M56)^2+(_xlfn.XLOOKUP(AE$1,$R$2:$R$18,$U$2:$U$18-$N56)^2)))</f>
        <v/>
      </c>
      <c r="AF56" s="149" t="str">
        <f t="array" ref="AF56">IF(AF$1=0,"",SQRT((_xlfn.XLOOKUP(AF$1,$R$2:$R$18,$S$2:$S$18)-$L56)^2+(_xlfn.XLOOKUP(AF$1,$R$2:$R$18,$T$2:$T$18)-$M56)^2+(_xlfn.XLOOKUP(AF$1,$R$2:$R$18,$U$2:$U$18-$N56)^2)))</f>
        <v/>
      </c>
      <c r="AG56" s="149" t="str">
        <f t="array" ref="AG56">IF(AG$1=0,"",SQRT((_xlfn.XLOOKUP(AG$1,$R$2:$R$18,$S$2:$S$18)-$L56)^2+(_xlfn.XLOOKUP(AG$1,$R$2:$R$18,$T$2:$T$18)-$M56)^2+(_xlfn.XLOOKUP(AG$1,$R$2:$R$18,$U$2:$U$18-$N56)^2)))</f>
        <v/>
      </c>
      <c r="AH56" s="150" t="str">
        <f t="array" ref="AH56">IF(AH$1=0,"",SQRT((_xlfn.XLOOKUP(AH$1,$R$2:$R$18,$S$2:$S$18)-$L56)^2+(_xlfn.XLOOKUP(AH$1,$R$2:$R$18,$T$2:$T$18)-$M56)^2+(_xlfn.XLOOKUP(AH$1,$R$2:$R$18,$U$2:$U$18-$N56)^2)))</f>
        <v/>
      </c>
      <c r="AI56" s="150" t="str">
        <f t="array" ref="AI56">IF(AI$1=0,"",SQRT((_xlfn.XLOOKUP(AI$1,$R$2:$R$18,$S$2:$S$18)-$L56)^2+(_xlfn.XLOOKUP(AI$1,$R$2:$R$18,$T$2:$T$18)-$M56)^2+(_xlfn.XLOOKUP(AI$1,$R$2:$R$18,$U$2:$U$18-$N56)^2)))</f>
        <v/>
      </c>
      <c r="AJ56" s="150" t="str">
        <f t="array" ref="AJ56">IF(AJ$1=0,"",SQRT((_xlfn.XLOOKUP(AJ$1,$R$2:$R$18,$S$2:$S$18)-$L56)^2+(_xlfn.XLOOKUP(AJ$1,$R$2:$R$18,$T$2:$T$18)-$M56)^2+(_xlfn.XLOOKUP(AJ$1,$R$2:$R$18,$U$2:$U$18-$N56)^2)))</f>
        <v/>
      </c>
      <c r="AK56" s="150" t="str">
        <f t="array" ref="AK56">IF(AK$1=0,"",SQRT((_xlfn.XLOOKUP(AK$1,$R$2:$R$18,$S$2:$S$18)-$L56)^2+(_xlfn.XLOOKUP(AK$1,$R$2:$R$18,$T$2:$T$18)-$M56)^2+(_xlfn.XLOOKUP(AK$1,$R$2:$R$18,$U$2:$U$18-$N56)^2)))</f>
        <v/>
      </c>
      <c r="AL56" s="150" t="str">
        <f t="array" ref="AL56">IF(AL$1=0,"",SQRT((_xlfn.XLOOKUP(AL$1,$R$2:$R$18,$S$2:$S$18)-$L56)^2+(_xlfn.XLOOKUP(AL$1,$R$2:$R$18,$T$2:$T$18)-$M56)^2+(_xlfn.XLOOKUP(AL$1,$R$2:$R$18,$U$2:$U$18-$N56)^2)))</f>
        <v/>
      </c>
      <c r="AM56" s="150" t="str">
        <f t="array" ref="AM56">IF(AM$1=0,"",SQRT((_xlfn.XLOOKUP(AM$1,$R$2:$R$18,$S$2:$S$18)-$L56)^2+(_xlfn.XLOOKUP(AM$1,$R$2:$R$18,$T$2:$T$18)-$M56)^2+(_xlfn.XLOOKUP(AM$1,$R$2:$R$18,$U$2:$U$18-$N56)^2)))</f>
        <v/>
      </c>
      <c r="AN56" s="151" t="str">
        <f t="array" ref="AN56">IF(AN$1=0,"",SQRT((_xlfn.XLOOKUP(AN$1,$R$2:$R$18,$S$2:$S$18)-$L56)^2+(_xlfn.XLOOKUP(AN$1,$R$2:$R$18,$T$2:$T$18)-$M56)^2+(_xlfn.XLOOKUP(AN$1,$R$2:$R$18,$U$2:$U$18-$N56)^2)))</f>
        <v/>
      </c>
      <c r="AO56" s="133"/>
      <c r="AP56" s="133"/>
      <c r="AQ56" s="134">
        <f t="shared" si="53"/>
        <v>0</v>
      </c>
      <c r="AR56" s="152">
        <f t="shared" si="54"/>
        <v>0</v>
      </c>
      <c r="AS56" s="152">
        <f t="shared" si="55"/>
        <v>0</v>
      </c>
      <c r="AT56" s="152">
        <f t="shared" si="56"/>
        <v>0</v>
      </c>
      <c r="AU56" s="152">
        <f t="shared" si="57"/>
        <v>0</v>
      </c>
      <c r="AV56" s="152">
        <f t="shared" si="58"/>
        <v>0</v>
      </c>
      <c r="AW56" s="152">
        <f t="shared" si="59"/>
        <v>0</v>
      </c>
      <c r="AX56" s="152">
        <f t="shared" si="60"/>
        <v>0</v>
      </c>
      <c r="AY56" s="153">
        <f t="shared" si="61"/>
        <v>0</v>
      </c>
      <c r="AZ56" s="153">
        <f t="shared" si="62"/>
        <v>0</v>
      </c>
      <c r="BA56" s="153">
        <f t="shared" si="63"/>
        <v>0</v>
      </c>
      <c r="BB56" s="153">
        <f t="shared" si="64"/>
        <v>0</v>
      </c>
      <c r="BC56" s="153">
        <f t="shared" si="65"/>
        <v>0</v>
      </c>
      <c r="BD56" s="153">
        <f t="shared" si="66"/>
        <v>0</v>
      </c>
      <c r="BE56" s="154">
        <f t="shared" si="67"/>
        <v>0</v>
      </c>
      <c r="BF56" s="133"/>
      <c r="BG56" s="133"/>
      <c r="BH56" s="133"/>
      <c r="BI56" s="133"/>
      <c r="BJ56" s="133"/>
      <c r="BK56" s="133"/>
      <c r="BL56" s="133"/>
      <c r="BM56" s="133"/>
      <c r="BN56" s="139"/>
      <c r="BO56" s="139"/>
      <c r="BP56" s="139"/>
      <c r="BQ56" s="139"/>
      <c r="BR56" s="139"/>
      <c r="BS56" s="139"/>
      <c r="BT56" s="139"/>
      <c r="BU56" s="139"/>
      <c r="BV56" s="139"/>
      <c r="BW56" s="139"/>
      <c r="BX56" s="139"/>
      <c r="BY56" s="139"/>
      <c r="BZ56" s="139"/>
      <c r="CA56" s="139"/>
      <c r="CB56" s="139"/>
      <c r="CC56" s="133"/>
      <c r="CD56" s="133"/>
      <c r="CE56" s="168">
        <f t="shared" si="35"/>
        <v>0</v>
      </c>
      <c r="CF56" s="169">
        <f t="shared" si="36"/>
        <v>0</v>
      </c>
      <c r="CG56" s="169">
        <f t="shared" si="37"/>
        <v>0</v>
      </c>
      <c r="CH56" s="169">
        <f t="shared" si="38"/>
        <v>0</v>
      </c>
      <c r="CI56" s="169">
        <f t="shared" si="39"/>
        <v>0</v>
      </c>
      <c r="CJ56" s="169">
        <f t="shared" si="41"/>
        <v>0</v>
      </c>
      <c r="CK56" s="169">
        <f t="shared" si="42"/>
        <v>0</v>
      </c>
      <c r="CL56" s="169">
        <f t="shared" si="43"/>
        <v>0</v>
      </c>
      <c r="CM56" s="171">
        <f t="shared" si="44"/>
        <v>0</v>
      </c>
      <c r="CN56" s="171">
        <f t="shared" si="45"/>
        <v>0</v>
      </c>
      <c r="CO56" s="171">
        <f t="shared" si="46"/>
        <v>0</v>
      </c>
      <c r="CP56" s="171">
        <f t="shared" si="47"/>
        <v>0</v>
      </c>
      <c r="CQ56" s="171">
        <f t="shared" si="48"/>
        <v>0</v>
      </c>
      <c r="CR56" s="171">
        <f t="shared" si="49"/>
        <v>0</v>
      </c>
      <c r="CS56" s="172">
        <f t="shared" si="50"/>
        <v>0</v>
      </c>
    </row>
    <row r="57" spans="1:97" ht="16.5" customHeight="1" x14ac:dyDescent="0.3">
      <c r="A57" s="144"/>
      <c r="B57" s="145"/>
      <c r="C57" s="145"/>
      <c r="D57" s="146"/>
      <c r="E57" s="146"/>
      <c r="F57" s="4"/>
      <c r="G57" s="4"/>
      <c r="H57" s="3"/>
      <c r="I57" s="127">
        <f t="shared" si="51"/>
        <v>0</v>
      </c>
      <c r="J57" s="3"/>
      <c r="K57" s="3"/>
      <c r="L57" s="4"/>
      <c r="M57" s="4"/>
      <c r="N57" s="111">
        <f t="shared" si="52"/>
        <v>0</v>
      </c>
      <c r="O57" s="170"/>
      <c r="P57" s="147"/>
      <c r="Z57" s="167">
        <f t="array" ref="Z57">IF(Z$1=0,"",SQRT((_xlfn.XLOOKUP(Z$1,$R$2:$R$18,$S$2:$S$18)-$L57)^2+(_xlfn.XLOOKUP(Z$1,$R$2:$R$18,$T$2:$T$18)-$M57)^2+(_xlfn.XLOOKUP(Z$1,$R$2:$R$18,$U$2:$U$18-$N57)^2)))</f>
        <v>98.29525370026775</v>
      </c>
      <c r="AA57" s="149">
        <f t="array" ref="AA57">IF(AA$1=0,"",SQRT((_xlfn.XLOOKUP(AA$1,$R$2:$R$18,$S$2:$S$18)-$L57)^2+(_xlfn.XLOOKUP(AA$1,$R$2:$R$18,$T$2:$T$18)-$M57)^2+(_xlfn.XLOOKUP(AA$1,$R$2:$R$18,$U$2:$U$18-$N57)^2)))</f>
        <v>3.28</v>
      </c>
      <c r="AB57" s="149" t="str">
        <f t="array" ref="AB57">IF(AB$1=0,"",SQRT((_xlfn.XLOOKUP(AB$1,$R$2:$R$18,$S$2:$S$18)-$L57)^2+(_xlfn.XLOOKUP(AB$1,$R$2:$R$18,$T$2:$T$18)-$M57)^2+(_xlfn.XLOOKUP(AB$1,$R$2:$R$18,$U$2:$U$18-$N57)^2)))</f>
        <v/>
      </c>
      <c r="AC57" s="149" t="str">
        <f t="array" ref="AC57">IF(AC$1=0,"",SQRT((_xlfn.XLOOKUP(AC$1,$R$2:$R$18,$S$2:$S$18)-$L57)^2+(_xlfn.XLOOKUP(AC$1,$R$2:$R$18,$T$2:$T$18)-$M57)^2+(_xlfn.XLOOKUP(AC$1,$R$2:$R$18,$U$2:$U$18-$N57)^2)))</f>
        <v/>
      </c>
      <c r="AD57" s="149" t="str">
        <f t="array" ref="AD57">IF(AD$1=0,"",SQRT((_xlfn.XLOOKUP(AD$1,$R$2:$R$18,$S$2:$S$18)-$L57)^2+(_xlfn.XLOOKUP(AD$1,$R$2:$R$18,$T$2:$T$18)-$M57)^2+(_xlfn.XLOOKUP(AD$1,$R$2:$R$18,$U$2:$U$18-$N57)^2)))</f>
        <v/>
      </c>
      <c r="AE57" s="149" t="str">
        <f t="array" ref="AE57">IF(AE$1=0,"",SQRT((_xlfn.XLOOKUP(AE$1,$R$2:$R$18,$S$2:$S$18)-$L57)^2+(_xlfn.XLOOKUP(AE$1,$R$2:$R$18,$T$2:$T$18)-$M57)^2+(_xlfn.XLOOKUP(AE$1,$R$2:$R$18,$U$2:$U$18-$N57)^2)))</f>
        <v/>
      </c>
      <c r="AF57" s="149" t="str">
        <f t="array" ref="AF57">IF(AF$1=0,"",SQRT((_xlfn.XLOOKUP(AF$1,$R$2:$R$18,$S$2:$S$18)-$L57)^2+(_xlfn.XLOOKUP(AF$1,$R$2:$R$18,$T$2:$T$18)-$M57)^2+(_xlfn.XLOOKUP(AF$1,$R$2:$R$18,$U$2:$U$18-$N57)^2)))</f>
        <v/>
      </c>
      <c r="AG57" s="149" t="str">
        <f t="array" ref="AG57">IF(AG$1=0,"",SQRT((_xlfn.XLOOKUP(AG$1,$R$2:$R$18,$S$2:$S$18)-$L57)^2+(_xlfn.XLOOKUP(AG$1,$R$2:$R$18,$T$2:$T$18)-$M57)^2+(_xlfn.XLOOKUP(AG$1,$R$2:$R$18,$U$2:$U$18-$N57)^2)))</f>
        <v/>
      </c>
      <c r="AH57" s="150" t="str">
        <f t="array" ref="AH57">IF(AH$1=0,"",SQRT((_xlfn.XLOOKUP(AH$1,$R$2:$R$18,$S$2:$S$18)-$L57)^2+(_xlfn.XLOOKUP(AH$1,$R$2:$R$18,$T$2:$T$18)-$M57)^2+(_xlfn.XLOOKUP(AH$1,$R$2:$R$18,$U$2:$U$18-$N57)^2)))</f>
        <v/>
      </c>
      <c r="AI57" s="150" t="str">
        <f t="array" ref="AI57">IF(AI$1=0,"",SQRT((_xlfn.XLOOKUP(AI$1,$R$2:$R$18,$S$2:$S$18)-$L57)^2+(_xlfn.XLOOKUP(AI$1,$R$2:$R$18,$T$2:$T$18)-$M57)^2+(_xlfn.XLOOKUP(AI$1,$R$2:$R$18,$U$2:$U$18-$N57)^2)))</f>
        <v/>
      </c>
      <c r="AJ57" s="150" t="str">
        <f t="array" ref="AJ57">IF(AJ$1=0,"",SQRT((_xlfn.XLOOKUP(AJ$1,$R$2:$R$18,$S$2:$S$18)-$L57)^2+(_xlfn.XLOOKUP(AJ$1,$R$2:$R$18,$T$2:$T$18)-$M57)^2+(_xlfn.XLOOKUP(AJ$1,$R$2:$R$18,$U$2:$U$18-$N57)^2)))</f>
        <v/>
      </c>
      <c r="AK57" s="150" t="str">
        <f t="array" ref="AK57">IF(AK$1=0,"",SQRT((_xlfn.XLOOKUP(AK$1,$R$2:$R$18,$S$2:$S$18)-$L57)^2+(_xlfn.XLOOKUP(AK$1,$R$2:$R$18,$T$2:$T$18)-$M57)^2+(_xlfn.XLOOKUP(AK$1,$R$2:$R$18,$U$2:$U$18-$N57)^2)))</f>
        <v/>
      </c>
      <c r="AL57" s="150" t="str">
        <f t="array" ref="AL57">IF(AL$1=0,"",SQRT((_xlfn.XLOOKUP(AL$1,$R$2:$R$18,$S$2:$S$18)-$L57)^2+(_xlfn.XLOOKUP(AL$1,$R$2:$R$18,$T$2:$T$18)-$M57)^2+(_xlfn.XLOOKUP(AL$1,$R$2:$R$18,$U$2:$U$18-$N57)^2)))</f>
        <v/>
      </c>
      <c r="AM57" s="150" t="str">
        <f t="array" ref="AM57">IF(AM$1=0,"",SQRT((_xlfn.XLOOKUP(AM$1,$R$2:$R$18,$S$2:$S$18)-$L57)^2+(_xlfn.XLOOKUP(AM$1,$R$2:$R$18,$T$2:$T$18)-$M57)^2+(_xlfn.XLOOKUP(AM$1,$R$2:$R$18,$U$2:$U$18-$N57)^2)))</f>
        <v/>
      </c>
      <c r="AN57" s="151" t="str">
        <f t="array" ref="AN57">IF(AN$1=0,"",SQRT((_xlfn.XLOOKUP(AN$1,$R$2:$R$18,$S$2:$S$18)-$L57)^2+(_xlfn.XLOOKUP(AN$1,$R$2:$R$18,$T$2:$T$18)-$M57)^2+(_xlfn.XLOOKUP(AN$1,$R$2:$R$18,$U$2:$U$18-$N57)^2)))</f>
        <v/>
      </c>
      <c r="AO57" s="133"/>
      <c r="AP57" s="133"/>
      <c r="AQ57" s="134">
        <f t="shared" si="53"/>
        <v>0</v>
      </c>
      <c r="AR57" s="152">
        <f t="shared" si="54"/>
        <v>0</v>
      </c>
      <c r="AS57" s="152">
        <f t="shared" si="55"/>
        <v>0</v>
      </c>
      <c r="AT57" s="152">
        <f t="shared" si="56"/>
        <v>0</v>
      </c>
      <c r="AU57" s="152">
        <f t="shared" si="57"/>
        <v>0</v>
      </c>
      <c r="AV57" s="152">
        <f t="shared" si="58"/>
        <v>0</v>
      </c>
      <c r="AW57" s="152">
        <f t="shared" si="59"/>
        <v>0</v>
      </c>
      <c r="AX57" s="152">
        <f t="shared" si="60"/>
        <v>0</v>
      </c>
      <c r="AY57" s="153">
        <f t="shared" si="61"/>
        <v>0</v>
      </c>
      <c r="AZ57" s="153">
        <f t="shared" si="62"/>
        <v>0</v>
      </c>
      <c r="BA57" s="153">
        <f t="shared" si="63"/>
        <v>0</v>
      </c>
      <c r="BB57" s="153">
        <f t="shared" si="64"/>
        <v>0</v>
      </c>
      <c r="BC57" s="153">
        <f t="shared" si="65"/>
        <v>0</v>
      </c>
      <c r="BD57" s="153">
        <f t="shared" si="66"/>
        <v>0</v>
      </c>
      <c r="BE57" s="154">
        <f t="shared" si="67"/>
        <v>0</v>
      </c>
      <c r="BF57" s="133"/>
      <c r="BG57" s="133"/>
      <c r="BH57" s="133"/>
      <c r="BI57" s="133"/>
      <c r="BJ57" s="133"/>
      <c r="BK57" s="133"/>
      <c r="BL57" s="133"/>
      <c r="BM57" s="133"/>
      <c r="BN57" s="139"/>
      <c r="BO57" s="139"/>
      <c r="BP57" s="139"/>
      <c r="BQ57" s="139"/>
      <c r="BR57" s="139"/>
      <c r="BS57" s="139"/>
      <c r="BT57" s="139"/>
      <c r="BU57" s="139"/>
      <c r="BV57" s="139"/>
      <c r="BW57" s="139"/>
      <c r="BX57" s="139"/>
      <c r="BY57" s="139"/>
      <c r="BZ57" s="139"/>
      <c r="CA57" s="139"/>
      <c r="CB57" s="139"/>
      <c r="CC57" s="133"/>
      <c r="CD57" s="133"/>
      <c r="CE57" s="168">
        <f t="shared" si="35"/>
        <v>0</v>
      </c>
      <c r="CF57" s="169">
        <f t="shared" si="36"/>
        <v>0</v>
      </c>
      <c r="CG57" s="169">
        <f t="shared" si="37"/>
        <v>0</v>
      </c>
      <c r="CH57" s="169">
        <f t="shared" si="38"/>
        <v>0</v>
      </c>
      <c r="CI57" s="169">
        <f t="shared" si="39"/>
        <v>0</v>
      </c>
      <c r="CJ57" s="169">
        <f t="shared" si="41"/>
        <v>0</v>
      </c>
      <c r="CK57" s="169">
        <f t="shared" si="42"/>
        <v>0</v>
      </c>
      <c r="CL57" s="169">
        <f t="shared" si="43"/>
        <v>0</v>
      </c>
      <c r="CM57" s="171">
        <f t="shared" si="44"/>
        <v>0</v>
      </c>
      <c r="CN57" s="171">
        <f t="shared" si="45"/>
        <v>0</v>
      </c>
      <c r="CO57" s="171">
        <f t="shared" si="46"/>
        <v>0</v>
      </c>
      <c r="CP57" s="171">
        <f t="shared" si="47"/>
        <v>0</v>
      </c>
      <c r="CQ57" s="171">
        <f t="shared" si="48"/>
        <v>0</v>
      </c>
      <c r="CR57" s="171">
        <f t="shared" si="49"/>
        <v>0</v>
      </c>
      <c r="CS57" s="172">
        <f t="shared" si="50"/>
        <v>0</v>
      </c>
    </row>
    <row r="58" spans="1:97" ht="17.25" customHeight="1" thickBot="1" x14ac:dyDescent="0.35">
      <c r="A58" s="173"/>
      <c r="B58" s="174"/>
      <c r="C58" s="174"/>
      <c r="D58" s="175"/>
      <c r="E58" s="175"/>
      <c r="F58" s="6"/>
      <c r="G58" s="6"/>
      <c r="H58" s="7"/>
      <c r="I58" s="127">
        <f t="shared" si="51"/>
        <v>0</v>
      </c>
      <c r="J58" s="7"/>
      <c r="K58" s="7"/>
      <c r="L58" s="6"/>
      <c r="M58" s="6"/>
      <c r="N58" s="111">
        <f t="shared" si="52"/>
        <v>0</v>
      </c>
      <c r="O58" s="176"/>
      <c r="P58" s="177"/>
      <c r="Z58" s="178">
        <f t="array" ref="Z58">IF(Z$1=0,"",SQRT((_xlfn.XLOOKUP(Z$1,$R$2:$R$18,$S$2:$S$18)-$L58)^2+(_xlfn.XLOOKUP(Z$1,$R$2:$R$18,$T$2:$T$18)-$M58)^2+(_xlfn.XLOOKUP(Z$1,$R$2:$R$18,$U$2:$U$18-$N58)^2)))</f>
        <v>98.29525370026775</v>
      </c>
      <c r="AA58" s="179">
        <f t="array" ref="AA58">IF(AA$1=0,"",SQRT((_xlfn.XLOOKUP(AA$1,$R$2:$R$18,$S$2:$S$18)-$L58)^2+(_xlfn.XLOOKUP(AA$1,$R$2:$R$18,$T$2:$T$18)-$M58)^2+(_xlfn.XLOOKUP(AA$1,$R$2:$R$18,$U$2:$U$18-$N58)^2)))</f>
        <v>3.28</v>
      </c>
      <c r="AB58" s="179" t="str">
        <f t="array" ref="AB58">IF(AB$1=0,"",SQRT((_xlfn.XLOOKUP(AB$1,$R$2:$R$18,$S$2:$S$18)-$L58)^2+(_xlfn.XLOOKUP(AB$1,$R$2:$R$18,$T$2:$T$18)-$M58)^2+(_xlfn.XLOOKUP(AB$1,$R$2:$R$18,$U$2:$U$18-$N58)^2)))</f>
        <v/>
      </c>
      <c r="AC58" s="179" t="str">
        <f t="array" ref="AC58">IF(AC$1=0,"",SQRT((_xlfn.XLOOKUP(AC$1,$R$2:$R$18,$S$2:$S$18)-$L58)^2+(_xlfn.XLOOKUP(AC$1,$R$2:$R$18,$T$2:$T$18)-$M58)^2+(_xlfn.XLOOKUP(AC$1,$R$2:$R$18,$U$2:$U$18-$N58)^2)))</f>
        <v/>
      </c>
      <c r="AD58" s="179" t="str">
        <f t="array" ref="AD58">IF(AD$1=0,"",SQRT((_xlfn.XLOOKUP(AD$1,$R$2:$R$18,$S$2:$S$18)-$L58)^2+(_xlfn.XLOOKUP(AD$1,$R$2:$R$18,$T$2:$T$18)-$M58)^2+(_xlfn.XLOOKUP(AD$1,$R$2:$R$18,$U$2:$U$18-$N58)^2)))</f>
        <v/>
      </c>
      <c r="AE58" s="179" t="str">
        <f t="array" ref="AE58">IF(AE$1=0,"",SQRT((_xlfn.XLOOKUP(AE$1,$R$2:$R$18,$S$2:$S$18)-$L58)^2+(_xlfn.XLOOKUP(AE$1,$R$2:$R$18,$T$2:$T$18)-$M58)^2+(_xlfn.XLOOKUP(AE$1,$R$2:$R$18,$U$2:$U$18-$N58)^2)))</f>
        <v/>
      </c>
      <c r="AF58" s="179" t="str">
        <f t="array" ref="AF58">IF(AF$1=0,"",SQRT((_xlfn.XLOOKUP(AF$1,$R$2:$R$18,$S$2:$S$18)-$L58)^2+(_xlfn.XLOOKUP(AF$1,$R$2:$R$18,$T$2:$T$18)-$M58)^2+(_xlfn.XLOOKUP(AF$1,$R$2:$R$18,$U$2:$U$18-$N58)^2)))</f>
        <v/>
      </c>
      <c r="AG58" s="179" t="str">
        <f t="array" ref="AG58">IF(AG$1=0,"",SQRT((_xlfn.XLOOKUP(AG$1,$R$2:$R$18,$S$2:$S$18)-$L58)^2+(_xlfn.XLOOKUP(AG$1,$R$2:$R$18,$T$2:$T$18)-$M58)^2+(_xlfn.XLOOKUP(AG$1,$R$2:$R$18,$U$2:$U$18-$N58)^2)))</f>
        <v/>
      </c>
      <c r="AH58" s="180" t="str">
        <f t="array" ref="AH58">IF(AH$1=0,"",SQRT((_xlfn.XLOOKUP(AH$1,$R$2:$R$18,$S$2:$S$18)-$L58)^2+(_xlfn.XLOOKUP(AH$1,$R$2:$R$18,$T$2:$T$18)-$M58)^2+(_xlfn.XLOOKUP(AH$1,$R$2:$R$18,$U$2:$U$18-$N58)^2)))</f>
        <v/>
      </c>
      <c r="AI58" s="180" t="str">
        <f t="array" ref="AI58">IF(AI$1=0,"",SQRT((_xlfn.XLOOKUP(AI$1,$R$2:$R$18,$S$2:$S$18)-$L58)^2+(_xlfn.XLOOKUP(AI$1,$R$2:$R$18,$T$2:$T$18)-$M58)^2+(_xlfn.XLOOKUP(AI$1,$R$2:$R$18,$U$2:$U$18-$N58)^2)))</f>
        <v/>
      </c>
      <c r="AJ58" s="180" t="str">
        <f t="array" ref="AJ58">IF(AJ$1=0,"",SQRT((_xlfn.XLOOKUP(AJ$1,$R$2:$R$18,$S$2:$S$18)-$L58)^2+(_xlfn.XLOOKUP(AJ$1,$R$2:$R$18,$T$2:$T$18)-$M58)^2+(_xlfn.XLOOKUP(AJ$1,$R$2:$R$18,$U$2:$U$18-$N58)^2)))</f>
        <v/>
      </c>
      <c r="AK58" s="180" t="str">
        <f t="array" ref="AK58">IF(AK$1=0,"",SQRT((_xlfn.XLOOKUP(AK$1,$R$2:$R$18,$S$2:$S$18)-$L58)^2+(_xlfn.XLOOKUP(AK$1,$R$2:$R$18,$T$2:$T$18)-$M58)^2+(_xlfn.XLOOKUP(AK$1,$R$2:$R$18,$U$2:$U$18-$N58)^2)))</f>
        <v/>
      </c>
      <c r="AL58" s="180" t="str">
        <f t="array" ref="AL58">IF(AL$1=0,"",SQRT((_xlfn.XLOOKUP(AL$1,$R$2:$R$18,$S$2:$S$18)-$L58)^2+(_xlfn.XLOOKUP(AL$1,$R$2:$R$18,$T$2:$T$18)-$M58)^2+(_xlfn.XLOOKUP(AL$1,$R$2:$R$18,$U$2:$U$18-$N58)^2)))</f>
        <v/>
      </c>
      <c r="AM58" s="180" t="str">
        <f t="array" ref="AM58">IF(AM$1=0,"",SQRT((_xlfn.XLOOKUP(AM$1,$R$2:$R$18,$S$2:$S$18)-$L58)^2+(_xlfn.XLOOKUP(AM$1,$R$2:$R$18,$T$2:$T$18)-$M58)^2+(_xlfn.XLOOKUP(AM$1,$R$2:$R$18,$U$2:$U$18-$N58)^2)))</f>
        <v/>
      </c>
      <c r="AN58" s="181" t="str">
        <f t="array" ref="AN58">IF(AN$1=0,"",SQRT((_xlfn.XLOOKUP(AN$1,$R$2:$R$18,$S$2:$S$18)-$L58)^2+(_xlfn.XLOOKUP(AN$1,$R$2:$R$18,$T$2:$T$18)-$M58)^2+(_xlfn.XLOOKUP(AN$1,$R$2:$R$18,$U$2:$U$18-$N58)^2)))</f>
        <v/>
      </c>
      <c r="AO58" s="133"/>
      <c r="AP58" s="133"/>
      <c r="AQ58" s="134">
        <f t="shared" si="53"/>
        <v>0</v>
      </c>
      <c r="AR58" s="182">
        <f t="shared" si="54"/>
        <v>0</v>
      </c>
      <c r="AS58" s="182">
        <f t="shared" si="55"/>
        <v>0</v>
      </c>
      <c r="AT58" s="182">
        <f t="shared" si="56"/>
        <v>0</v>
      </c>
      <c r="AU58" s="182">
        <f t="shared" si="57"/>
        <v>0</v>
      </c>
      <c r="AV58" s="182">
        <f t="shared" si="58"/>
        <v>0</v>
      </c>
      <c r="AW58" s="182">
        <f t="shared" si="59"/>
        <v>0</v>
      </c>
      <c r="AX58" s="182">
        <f t="shared" si="60"/>
        <v>0</v>
      </c>
      <c r="AY58" s="183">
        <f t="shared" si="61"/>
        <v>0</v>
      </c>
      <c r="AZ58" s="183">
        <f t="shared" si="62"/>
        <v>0</v>
      </c>
      <c r="BA58" s="183">
        <f t="shared" si="63"/>
        <v>0</v>
      </c>
      <c r="BB58" s="183">
        <f t="shared" si="64"/>
        <v>0</v>
      </c>
      <c r="BC58" s="183">
        <f t="shared" si="65"/>
        <v>0</v>
      </c>
      <c r="BD58" s="183">
        <f t="shared" si="66"/>
        <v>0</v>
      </c>
      <c r="BE58" s="184">
        <f t="shared" si="67"/>
        <v>0</v>
      </c>
      <c r="BF58" s="133"/>
      <c r="BG58" s="133"/>
      <c r="BH58" s="133"/>
      <c r="BI58" s="133"/>
      <c r="BJ58" s="133"/>
      <c r="BK58" s="133"/>
      <c r="BL58" s="133"/>
      <c r="BM58" s="133"/>
      <c r="BN58" s="139"/>
      <c r="BO58" s="139"/>
      <c r="BP58" s="139"/>
      <c r="BQ58" s="139"/>
      <c r="BR58" s="139"/>
      <c r="BS58" s="139"/>
      <c r="BT58" s="139"/>
      <c r="BU58" s="139"/>
      <c r="BV58" s="139"/>
      <c r="BW58" s="139"/>
      <c r="BX58" s="139"/>
      <c r="BY58" s="139"/>
      <c r="BZ58" s="139"/>
      <c r="CA58" s="139"/>
      <c r="CB58" s="139"/>
      <c r="CC58" s="133"/>
      <c r="CD58" s="133"/>
      <c r="CE58" s="185">
        <f t="shared" si="35"/>
        <v>0</v>
      </c>
      <c r="CF58" s="186">
        <f t="shared" si="36"/>
        <v>0</v>
      </c>
      <c r="CG58" s="186">
        <f t="shared" si="37"/>
        <v>0</v>
      </c>
      <c r="CH58" s="186">
        <f t="shared" si="38"/>
        <v>0</v>
      </c>
      <c r="CI58" s="186">
        <f t="shared" si="39"/>
        <v>0</v>
      </c>
      <c r="CJ58" s="186">
        <f t="shared" si="41"/>
        <v>0</v>
      </c>
      <c r="CK58" s="186">
        <f t="shared" si="42"/>
        <v>0</v>
      </c>
      <c r="CL58" s="186">
        <f t="shared" si="43"/>
        <v>0</v>
      </c>
      <c r="CM58" s="187">
        <f t="shared" si="44"/>
        <v>0</v>
      </c>
      <c r="CN58" s="187">
        <f t="shared" si="45"/>
        <v>0</v>
      </c>
      <c r="CO58" s="187">
        <f t="shared" si="46"/>
        <v>0</v>
      </c>
      <c r="CP58" s="187">
        <f t="shared" si="47"/>
        <v>0</v>
      </c>
      <c r="CQ58" s="187">
        <f t="shared" si="48"/>
        <v>0</v>
      </c>
      <c r="CR58" s="187">
        <f t="shared" si="49"/>
        <v>0</v>
      </c>
      <c r="CS58" s="188">
        <f t="shared" si="50"/>
        <v>0</v>
      </c>
    </row>
    <row r="59" spans="1:97" ht="15.75" customHeight="1" thickBot="1" x14ac:dyDescent="0.3">
      <c r="CD59" s="79" t="s">
        <v>31</v>
      </c>
      <c r="CE59" s="60">
        <f t="array" ref="CE59">IF(ISBLANK(_xlfn.XLOOKUP(CE$1,$R$2:$R$16,$S$2:$S$16)),"", 10*LOG10(SUM(10^(CE2:CE58/10))))</f>
        <v>60.158719052125385</v>
      </c>
      <c r="CF59" s="65">
        <f t="array" ref="CF59">IF(ISBLANK(_xlfn.XLOOKUP(CF$1,$R$2:$R$16,$S$2:$S$16)),"", 10*LOG10(SUM(10^(CF2:CF58/10))))</f>
        <v>57.178781472728375</v>
      </c>
      <c r="CG59" s="65" t="e">
        <f t="array" ref="CG59">IF(ISBLANK(_xlfn.XLOOKUP(CG$1,$R$2:$R$16,$S$2:$S$16)),"", 10*LOG10(SUM(10^(CG2:CG58/10))))</f>
        <v>#VALUE!</v>
      </c>
      <c r="CH59" s="65" t="e">
        <f t="array" ref="CH59">IF(ISBLANK(_xlfn.XLOOKUP(CH$1,$R$2:$R$16,$S$2:$S$16)),"", 10*LOG10(SUM(10^(CH2:CH58/10))))</f>
        <v>#VALUE!</v>
      </c>
      <c r="CI59" s="65" t="e">
        <f t="array" ref="CI59">IF(ISBLANK(_xlfn.XLOOKUP(CI$1,$R$2:$R$16,$S$2:$S$16)),"", 10*LOG10(SUM(10^(CI2:CI58/10))))</f>
        <v>#VALUE!</v>
      </c>
      <c r="CJ59" s="65" t="e">
        <f t="array" ref="CJ59">IF(ISBLANK(_xlfn.XLOOKUP(CJ$1,$R$2:$R$16,$S$2:$S$16)),"", 10*LOG10(SUM(10^(CJ2:CJ58/10))))</f>
        <v>#VALUE!</v>
      </c>
      <c r="CK59" s="65" t="e">
        <f t="array" ref="CK59">IF(ISBLANK(_xlfn.XLOOKUP(CK$1,$R$2:$R$16,$S$2:$S$16)),"", 10*LOG10(SUM(10^(CK2:CK58/10))))</f>
        <v>#VALUE!</v>
      </c>
      <c r="CL59" s="65" t="e">
        <f t="array" ref="CL59">IF(ISBLANK(_xlfn.XLOOKUP(CL$1,$R$2:$R$16,$S$2:$S$16)),"", 10*LOG10(SUM(10^(CL2:CL58/10))))</f>
        <v>#VALUE!</v>
      </c>
      <c r="CM59" s="61" t="e">
        <f t="array" ref="CM59">IF(ISBLANK(_xlfn.XLOOKUP(CM$1,$R$2:$R$16,$S$2:$S$16)),"", 10*LOG10(SUM(10^(CM2:CM58/10))))</f>
        <v>#VALUE!</v>
      </c>
      <c r="CN59" s="61" t="e">
        <f t="array" ref="CN59">IF(ISBLANK(_xlfn.XLOOKUP(CN$1,$R$2:$R$16,$S$2:$S$16)),"", 10*LOG10(SUM(10^(CN2:CN58/10))))</f>
        <v>#VALUE!</v>
      </c>
      <c r="CO59" s="61" t="e">
        <f t="array" ref="CO59">IF(ISBLANK(_xlfn.XLOOKUP(CO$1,$R$2:$R$16,$S$2:$S$16)),"", 10*LOG10(SUM(10^(CO2:CO58/10))))</f>
        <v>#VALUE!</v>
      </c>
      <c r="CP59" s="61" t="e">
        <f t="array" ref="CP59">IF(ISBLANK(_xlfn.XLOOKUP(CP$1,$R$2:$R$16,$S$2:$S$16)),"", 10*LOG10(SUM(10^(CP2:CP58/10))))</f>
        <v>#VALUE!</v>
      </c>
      <c r="CQ59" s="61" t="e">
        <f t="array" ref="CQ59">IF(ISBLANK(_xlfn.XLOOKUP(CQ$1,$R$2:$R$16,$S$2:$S$16)),"", 10*LOG10(SUM(10^(CQ2:CQ58/10))))</f>
        <v>#VALUE!</v>
      </c>
      <c r="CR59" s="61" t="e">
        <f t="array" ref="CR59">IF(ISBLANK(_xlfn.XLOOKUP(CR$1,$R$2:$R$16,$S$2:$S$16)),"", 10*LOG10(SUM(10^(CR2:CR58/10))))</f>
        <v>#VALUE!</v>
      </c>
      <c r="CS59" s="62" t="e">
        <f t="array" ref="CS59">IF(ISBLANK(_xlfn.XLOOKUP(CS$1,$R$2:$R$16,$S$2:$S$16)),"", 10*LOG10(SUM(10^(CS2:CS58/10))))</f>
        <v>#VALUE!</v>
      </c>
    </row>
    <row r="60" spans="1:97" ht="17.25" customHeight="1" thickBot="1" x14ac:dyDescent="0.35">
      <c r="CD60" t="s">
        <v>92</v>
      </c>
      <c r="CE60" s="189">
        <f t="array" ref="CE60:CS60">TRANSPOSE(V2:V16)</f>
        <v>45</v>
      </c>
      <c r="CF60" s="90">
        <v>45</v>
      </c>
      <c r="CG60" s="90">
        <v>45</v>
      </c>
      <c r="CH60" s="90">
        <v>45</v>
      </c>
      <c r="CI60" s="90">
        <v>55</v>
      </c>
      <c r="CJ60" s="90">
        <v>0</v>
      </c>
      <c r="CK60" s="90">
        <v>0</v>
      </c>
      <c r="CL60" s="90">
        <v>0</v>
      </c>
      <c r="CM60" s="90">
        <v>0</v>
      </c>
      <c r="CN60" s="90">
        <v>0</v>
      </c>
      <c r="CO60" s="90">
        <v>0</v>
      </c>
      <c r="CP60" s="90">
        <v>0</v>
      </c>
      <c r="CQ60" s="90">
        <v>0</v>
      </c>
      <c r="CR60" s="90">
        <v>0</v>
      </c>
      <c r="CS60" s="91">
        <v>0</v>
      </c>
    </row>
    <row r="62" spans="1:97" ht="15.75" customHeight="1" thickBot="1" x14ac:dyDescent="0.3"/>
    <row r="63" spans="1:97" x14ac:dyDescent="0.25">
      <c r="C63" s="74">
        <v>-26.2</v>
      </c>
      <c r="D63" s="75">
        <v>-16.100000000000001</v>
      </c>
      <c r="E63" s="75">
        <v>-8.6</v>
      </c>
      <c r="F63" s="75">
        <v>-3.2</v>
      </c>
      <c r="G63" s="76">
        <v>0</v>
      </c>
      <c r="H63" s="75"/>
      <c r="I63" s="75">
        <v>1.2</v>
      </c>
      <c r="J63" s="75"/>
      <c r="K63" s="75">
        <v>1</v>
      </c>
      <c r="L63" s="75">
        <v>-1.1000000000000001</v>
      </c>
      <c r="M63" s="77"/>
    </row>
    <row r="64" spans="1:97" x14ac:dyDescent="0.25">
      <c r="C64" s="78">
        <v>63</v>
      </c>
      <c r="D64" s="79">
        <v>125</v>
      </c>
      <c r="E64" s="79">
        <v>250</v>
      </c>
      <c r="F64" s="79">
        <v>500</v>
      </c>
      <c r="G64" s="80">
        <v>1000</v>
      </c>
      <c r="H64" s="79"/>
      <c r="I64" s="79">
        <v>2000</v>
      </c>
      <c r="J64" s="79"/>
      <c r="K64" s="79">
        <v>4000</v>
      </c>
      <c r="L64" s="79">
        <v>8000</v>
      </c>
      <c r="M64" s="81" t="s">
        <v>93</v>
      </c>
    </row>
    <row r="65" spans="3:13" ht="15.75" customHeight="1" thickBot="1" x14ac:dyDescent="0.3">
      <c r="C65" s="73">
        <v>83</v>
      </c>
      <c r="D65" s="6">
        <v>88</v>
      </c>
      <c r="E65" s="6">
        <v>84</v>
      </c>
      <c r="F65" s="6">
        <v>77</v>
      </c>
      <c r="G65" s="6">
        <v>73</v>
      </c>
      <c r="H65" s="6"/>
      <c r="I65" s="6">
        <v>64</v>
      </c>
      <c r="J65" s="6"/>
      <c r="K65" s="6">
        <v>61</v>
      </c>
      <c r="L65" s="6">
        <v>59</v>
      </c>
      <c r="M65" s="72">
        <f t="array" ref="M65">IF(AND(C65:L65=""),"",10*LOG((10^((C65-26.2)/10))+(10^((D65-16.1)/10))+(10^((E65-8.6)/10))+(10^((F65-3.2)/10))+(10^((G65)/10))+(10^((I65+1.2)/10))+(10^((K65+1)/10))+(10^((L65-1.1)/10))))</f>
        <v>80.004090563451044</v>
      </c>
    </row>
  </sheetData>
  <mergeCells count="1">
    <mergeCell ref="BG37:BH37"/>
  </mergeCells>
  <conditionalFormatting sqref="BG40:BG45">
    <cfRule type="expression" dxfId="9" priority="21">
      <formula>"Rounddown($F$3)=J35"</formula>
    </cfRule>
  </conditionalFormatting>
  <conditionalFormatting sqref="BG39">
    <cfRule type="expression" dxfId="8" priority="20">
      <formula>"Rounddown($F$3)=J35"</formula>
    </cfRule>
  </conditionalFormatting>
  <conditionalFormatting sqref="CE2:CL15 CJ18 CJ16:CL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2:CR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2:CS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">
    <cfRule type="expression" dxfId="7" priority="5">
      <formula>W16=V16+1</formula>
    </cfRule>
    <cfRule type="expression" dxfId="6" priority="6">
      <formula>W16&lt;=V16</formula>
    </cfRule>
  </conditionalFormatting>
  <conditionalFormatting sqref="W2:W16">
    <cfRule type="expression" dxfId="5" priority="44">
      <formula>W2=V2+1</formula>
    </cfRule>
    <cfRule type="expression" dxfId="4" priority="101">
      <formula>W2&lt;=V2</formula>
    </cfRule>
  </conditionalFormatting>
  <dataValidations count="3">
    <dataValidation type="list" showInputMessage="1" showErrorMessage="1" sqref="BH4" xr:uid="{00000000-0002-0000-0000-000000000000}">
      <formula1>$B$2:$B$58</formula1>
    </dataValidation>
    <dataValidation type="list" showInputMessage="1" showErrorMessage="1" sqref="BH5" xr:uid="{00000000-0002-0000-0000-000001000000}">
      <formula1>$R$2:$R$18</formula1>
    </dataValidation>
    <dataValidation type="list" showInputMessage="1" showErrorMessage="1" sqref="BH6:BH7" xr:uid="{00000000-0002-0000-0000-000002000000}">
      <formula1>$R$24:$R$50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9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9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5" t="s">
        <v>94</v>
      </c>
      <c r="C2" s="96" t="s">
        <v>95</v>
      </c>
      <c r="D2" s="97" t="s">
        <v>96</v>
      </c>
      <c r="E2" s="97" t="s">
        <v>97</v>
      </c>
      <c r="F2" s="98" t="s">
        <v>98</v>
      </c>
      <c r="G2" s="99" t="s">
        <v>99</v>
      </c>
      <c r="H2" s="100" t="s">
        <v>100</v>
      </c>
      <c r="J2" s="71" t="s">
        <v>34</v>
      </c>
      <c r="O2" s="95" t="s">
        <v>94</v>
      </c>
      <c r="P2" s="96" t="s">
        <v>95</v>
      </c>
      <c r="Q2" s="97" t="s">
        <v>96</v>
      </c>
      <c r="R2" s="97" t="s">
        <v>97</v>
      </c>
      <c r="S2" s="100" t="s">
        <v>100</v>
      </c>
    </row>
    <row r="3" spans="2:19" ht="16.5" customHeight="1" x14ac:dyDescent="0.3">
      <c r="B3" s="190">
        <f>IF('Input LwA_XYZ'!A2 = 0, "", 'Input LwA_XYZ'!A2)</f>
        <v>1</v>
      </c>
      <c r="C3" s="191" t="str">
        <f>IF($B3="","",_xlfn.TEXTJOIN(" - ",TRUE,'Input LwA_XYZ'!B2:C2))</f>
        <v>CU-230 - Radiated</v>
      </c>
      <c r="D3" s="92">
        <f>IF($B3="","",'Input LwA_XYZ'!I2)</f>
        <v>68.979574811165989</v>
      </c>
      <c r="E3" s="93" t="str">
        <f>IF($B3="","",-1*ROUND(_xlfn.XLOOKUP($J$2,'Input LwA_XYZ'!$AQ$1:$BE$1,'Input LwA_XYZ'!AQ2:BE2),0) &amp; " / " &amp; ROUND(_xlfn.XLOOKUP($J$2,'Input LwA_XYZ'!$Z$1:$AN$1,'Input LwA_XYZ'!Z2:AN2),0) &amp; " ft")</f>
        <v>38 / 109 ft</v>
      </c>
      <c r="F3" s="93" t="str">
        <f>IF($B3="","",IF(_xlfn.XLOOKUP($J$2,'Input LwA_XYZ'!$BN$1:$CB$1,'Input LwA_XYZ'!BN2:CB2)="","-",_xlfn.XLOOKUP($J$2,'Input LwA_XYZ'!$BN$1:$CB$1,'Input LwA_XYZ'!BN2:CB2)))</f>
        <v>-</v>
      </c>
      <c r="G3" s="93" t="str">
        <f>IF($B3="","",IF('Input LwA_XYZ'!K2="","-",'Input LwA_XYZ'!K2))</f>
        <v>-</v>
      </c>
      <c r="H3" s="94">
        <f>IF($B3="","",_xlfn.XLOOKUP($J$2,'Input LwA_XYZ'!$CE$1:$CS$1,'Input LwA_XYZ'!CE2:CS2))</f>
        <v>30.597603286385223</v>
      </c>
      <c r="I3" s="5">
        <f t="shared" ref="I3:I34" si="0">IFERROR(10^(H3/10),0)</f>
        <v>1147.5201719913564</v>
      </c>
      <c r="J3" s="109">
        <f t="shared" ref="J3:J34" si="1">H3</f>
        <v>30.597603286385223</v>
      </c>
      <c r="O3" s="192">
        <v>1</v>
      </c>
      <c r="P3" s="193" t="s">
        <v>101</v>
      </c>
      <c r="Q3" s="92">
        <v>83</v>
      </c>
      <c r="R3" s="93" t="s">
        <v>102</v>
      </c>
      <c r="S3" s="94">
        <v>41.458616948516692</v>
      </c>
    </row>
    <row r="4" spans="2:19" ht="16.5" customHeight="1" x14ac:dyDescent="0.3">
      <c r="B4" s="194">
        <f>IF('Input LwA_XYZ'!A3 = 0, "", 'Input LwA_XYZ'!A3)</f>
        <v>1</v>
      </c>
      <c r="C4" s="191" t="str">
        <f>IF($B4="","",_xlfn.TEXTJOIN(" - ",TRUE,'Input LwA_XYZ'!B3:C3))</f>
        <v>CU-240 - Radiated</v>
      </c>
      <c r="D4" s="66">
        <f>IF($B4="","",'Input LwA_XYZ'!I3)</f>
        <v>68.979574811165989</v>
      </c>
      <c r="E4" s="93" t="str">
        <f>IF($B4="","",-1*ROUND(_xlfn.XLOOKUP($J$2,'Input LwA_XYZ'!$AQ$1:$BE$1,'Input LwA_XYZ'!AQ3:BE3),0) &amp; " / " &amp; ROUND(_xlfn.XLOOKUP($J$2,'Input LwA_XYZ'!$Z$1:$AN$1,'Input LwA_XYZ'!Z3:AN3),0) &amp; " ft")</f>
        <v>35 / 105 ft</v>
      </c>
      <c r="F4" s="93" t="str">
        <f>IF($B4="","",IF(_xlfn.XLOOKUP($J$2,'Input LwA_XYZ'!$BN$1:$CB$1,'Input LwA_XYZ'!BN3:CB3)="","-",_xlfn.XLOOKUP($J$2,'Input LwA_XYZ'!$BN$1:$CB$1,'Input LwA_XYZ'!BN3:CB3)))</f>
        <v>-</v>
      </c>
      <c r="G4" s="93" t="str">
        <f>IF($B4="","",IF('Input LwA_XYZ'!K3="","-",'Input LwA_XYZ'!K3))</f>
        <v>-</v>
      </c>
      <c r="H4" s="67">
        <f>IF($B4="","",_xlfn.XLOOKUP($J$2,'Input LwA_XYZ'!$CE$1:$CS$1,'Input LwA_XYZ'!CE3:CS3))</f>
        <v>33.891326236202815</v>
      </c>
      <c r="I4" s="5">
        <f t="shared" si="0"/>
        <v>2449.8112440548243</v>
      </c>
      <c r="J4" s="109">
        <f t="shared" si="1"/>
        <v>33.891326236202815</v>
      </c>
      <c r="O4" s="195">
        <v>1</v>
      </c>
      <c r="P4" s="193" t="s">
        <v>103</v>
      </c>
      <c r="Q4" s="66">
        <v>80</v>
      </c>
      <c r="R4" s="93" t="s">
        <v>104</v>
      </c>
      <c r="S4" s="67">
        <v>37.497302266460508</v>
      </c>
    </row>
    <row r="5" spans="2:19" ht="16.5" customHeight="1" x14ac:dyDescent="0.3">
      <c r="B5" s="194">
        <f>IF('Input LwA_XYZ'!A4 = 0, "", 'Input LwA_XYZ'!A4)</f>
        <v>1</v>
      </c>
      <c r="C5" s="191" t="str">
        <f>IF($B5="","",_xlfn.TEXTJOIN(" - ",TRUE,'Input LwA_XYZ'!B4:C4))</f>
        <v>CU-250 - Radiated</v>
      </c>
      <c r="D5" s="66">
        <f>IF($B5="","",'Input LwA_XYZ'!I4)</f>
        <v>68.979574811165989</v>
      </c>
      <c r="E5" s="93" t="str">
        <f>IF($B5="","",-1*ROUND(_xlfn.XLOOKUP($J$2,'Input LwA_XYZ'!$AQ$1:$BE$1,'Input LwA_XYZ'!AQ4:BE4),0) &amp; " / " &amp; ROUND(_xlfn.XLOOKUP($J$2,'Input LwA_XYZ'!$Z$1:$AN$1,'Input LwA_XYZ'!Z4:AN4),0) &amp; " ft")</f>
        <v>35 / 102 ft</v>
      </c>
      <c r="F5" s="93" t="str">
        <f>IF($B5="","",IF(_xlfn.XLOOKUP($J$2,'Input LwA_XYZ'!$BN$1:$CB$1,'Input LwA_XYZ'!BN4:CB4)="","-",_xlfn.XLOOKUP($J$2,'Input LwA_XYZ'!$BN$1:$CB$1,'Input LwA_XYZ'!BN4:CB4)))</f>
        <v>-</v>
      </c>
      <c r="G5" s="93" t="str">
        <f>IF($B5="","",IF('Input LwA_XYZ'!K4="","-",'Input LwA_XYZ'!K4))</f>
        <v>-</v>
      </c>
      <c r="H5" s="67">
        <f>IF($B5="","",_xlfn.XLOOKUP($J$2,'Input LwA_XYZ'!$CE$1:$CS$1,'Input LwA_XYZ'!CE4:CS4))</f>
        <v>34.193220077515363</v>
      </c>
      <c r="I5" s="5">
        <f t="shared" si="0"/>
        <v>2626.1649923839745</v>
      </c>
      <c r="J5" s="109">
        <f t="shared" si="1"/>
        <v>34.193220077515363</v>
      </c>
      <c r="O5" s="195">
        <v>1</v>
      </c>
      <c r="P5" s="193" t="s">
        <v>105</v>
      </c>
      <c r="Q5" s="66">
        <v>69.997776127584842</v>
      </c>
      <c r="R5" s="93" t="s">
        <v>106</v>
      </c>
      <c r="S5" s="67">
        <v>28.964805972602282</v>
      </c>
    </row>
    <row r="6" spans="2:19" ht="16.5" customHeight="1" x14ac:dyDescent="0.3">
      <c r="B6" s="194">
        <f>IF('Input LwA_XYZ'!A5 = 0, "", 'Input LwA_XYZ'!A5)</f>
        <v>1</v>
      </c>
      <c r="C6" s="191" t="str">
        <f>IF($B6="","",_xlfn.TEXTJOIN(" - ",TRUE,'Input LwA_XYZ'!B5:C5))</f>
        <v>CU-260 - Radiated</v>
      </c>
      <c r="D6" s="66">
        <f>IF($B6="","",'Input LwA_XYZ'!I5)</f>
        <v>68.979574811165989</v>
      </c>
      <c r="E6" s="93" t="str">
        <f>IF($B6="","",-1*ROUND(_xlfn.XLOOKUP($J$2,'Input LwA_XYZ'!$AQ$1:$BE$1,'Input LwA_XYZ'!AQ5:BE5),0) &amp; " / " &amp; ROUND(_xlfn.XLOOKUP($J$2,'Input LwA_XYZ'!$Z$1:$AN$1,'Input LwA_XYZ'!Z5:AN5),0) &amp; " ft")</f>
        <v>35 / 107 ft</v>
      </c>
      <c r="F6" s="93" t="str">
        <f>IF($B6="","",IF(_xlfn.XLOOKUP($J$2,'Input LwA_XYZ'!$BN$1:$CB$1,'Input LwA_XYZ'!BN5:CB5)="","-",_xlfn.XLOOKUP($J$2,'Input LwA_XYZ'!$BN$1:$CB$1,'Input LwA_XYZ'!BN5:CB5)))</f>
        <v>-</v>
      </c>
      <c r="G6" s="93" t="str">
        <f>IF($B6="","",IF('Input LwA_XYZ'!K5="","-",'Input LwA_XYZ'!K5))</f>
        <v>-</v>
      </c>
      <c r="H6" s="67">
        <f>IF($B6="","",_xlfn.XLOOKUP($J$2,'Input LwA_XYZ'!$CE$1:$CS$1,'Input LwA_XYZ'!CE5:CS5))</f>
        <v>33.780543987003455</v>
      </c>
      <c r="I6" s="5">
        <f t="shared" si="0"/>
        <v>2388.1103932434048</v>
      </c>
      <c r="J6" s="109">
        <f t="shared" si="1"/>
        <v>33.780543987003455</v>
      </c>
      <c r="O6" s="195">
        <v>1</v>
      </c>
      <c r="P6" s="193" t="s">
        <v>107</v>
      </c>
      <c r="Q6" s="66">
        <v>68.997776127584856</v>
      </c>
      <c r="R6" s="93" t="s">
        <v>108</v>
      </c>
      <c r="S6" s="67">
        <v>28.003712134169799</v>
      </c>
    </row>
    <row r="7" spans="2:19" ht="16.5" customHeight="1" x14ac:dyDescent="0.3">
      <c r="B7" s="194">
        <f>IF('Input LwA_XYZ'!A6 = 0, "", 'Input LwA_XYZ'!A6)</f>
        <v>1</v>
      </c>
      <c r="C7" s="191" t="str">
        <f>IF($B7="","",_xlfn.TEXTJOIN(" - ",TRUE,'Input LwA_XYZ'!B6:C6))</f>
        <v>CU-270 - Radiated</v>
      </c>
      <c r="D7" s="66">
        <f>IF($B7="","",'Input LwA_XYZ'!I6)</f>
        <v>68.979574811165989</v>
      </c>
      <c r="E7" s="93" t="str">
        <f>IF($B7="","",-1*ROUND(_xlfn.XLOOKUP($J$2,'Input LwA_XYZ'!$AQ$1:$BE$1,'Input LwA_XYZ'!AQ6:BE6),0) &amp; " / " &amp; ROUND(_xlfn.XLOOKUP($J$2,'Input LwA_XYZ'!$Z$1:$AN$1,'Input LwA_XYZ'!Z6:AN6),0) &amp; " ft")</f>
        <v>35 / 110 ft</v>
      </c>
      <c r="F7" s="93" t="str">
        <f>IF($B7="","",IF(_xlfn.XLOOKUP($J$2,'Input LwA_XYZ'!$BN$1:$CB$1,'Input LwA_XYZ'!BN6:CB6)="","-",_xlfn.XLOOKUP($J$2,'Input LwA_XYZ'!$BN$1:$CB$1,'Input LwA_XYZ'!BN6:CB6)))</f>
        <v>-</v>
      </c>
      <c r="G7" s="93" t="str">
        <f>IF($B7="","",IF('Input LwA_XYZ'!K6="","-",'Input LwA_XYZ'!K6))</f>
        <v>-</v>
      </c>
      <c r="H7" s="67">
        <f>IF($B7="","",_xlfn.XLOOKUP($J$2,'Input LwA_XYZ'!$CE$1:$CS$1,'Input LwA_XYZ'!CE6:CS6))</f>
        <v>33.501380982696872</v>
      </c>
      <c r="I7" s="5">
        <f t="shared" si="0"/>
        <v>2239.4331270646676</v>
      </c>
      <c r="J7" s="109">
        <f t="shared" si="1"/>
        <v>33.501380982696872</v>
      </c>
      <c r="O7" s="195">
        <v>1</v>
      </c>
      <c r="P7" s="193" t="s">
        <v>109</v>
      </c>
      <c r="Q7" s="66">
        <v>69.997776127584842</v>
      </c>
      <c r="R7" s="93" t="s">
        <v>110</v>
      </c>
      <c r="S7" s="67">
        <v>29.222135437550548</v>
      </c>
    </row>
    <row r="8" spans="2:19" ht="16.5" customHeight="1" x14ac:dyDescent="0.3">
      <c r="B8" s="194">
        <f>IF('Input LwA_XYZ'!A7 = 0, "", 'Input LwA_XYZ'!A7)</f>
        <v>1</v>
      </c>
      <c r="C8" s="191" t="str">
        <f>IF($B8="","",_xlfn.TEXTJOIN(" - ",TRUE,'Input LwA_XYZ'!B7:C7))</f>
        <v>CU-280 - Radiated</v>
      </c>
      <c r="D8" s="66">
        <f>IF($B8="","",'Input LwA_XYZ'!I7)</f>
        <v>71.979574811165989</v>
      </c>
      <c r="E8" s="93" t="str">
        <f>IF($B8="","",-1*ROUND(_xlfn.XLOOKUP($J$2,'Input LwA_XYZ'!$AQ$1:$BE$1,'Input LwA_XYZ'!AQ7:BE7),0) &amp; " / " &amp; ROUND(_xlfn.XLOOKUP($J$2,'Input LwA_XYZ'!$Z$1:$AN$1,'Input LwA_XYZ'!Z7:AN7),0) &amp; " ft")</f>
        <v>33 / 118 ft</v>
      </c>
      <c r="F8" s="93" t="str">
        <f>IF($B8="","",IF(_xlfn.XLOOKUP($J$2,'Input LwA_XYZ'!$BN$1:$CB$1,'Input LwA_XYZ'!BN7:CB7)="","-",_xlfn.XLOOKUP($J$2,'Input LwA_XYZ'!$BN$1:$CB$1,'Input LwA_XYZ'!BN7:CB7)))</f>
        <v>-</v>
      </c>
      <c r="G8" s="93" t="str">
        <f>IF($B8="","",IF('Input LwA_XYZ'!K7="","-",'Input LwA_XYZ'!K7))</f>
        <v>-</v>
      </c>
      <c r="H8" s="67">
        <f>IF($B8="","",_xlfn.XLOOKUP($J$2,'Input LwA_XYZ'!$CE$1:$CS$1,'Input LwA_XYZ'!CE7:CS7))</f>
        <v>38.920217720298965</v>
      </c>
      <c r="I8" s="5">
        <f t="shared" si="0"/>
        <v>7798.692059084824</v>
      </c>
      <c r="J8" s="109">
        <f t="shared" si="1"/>
        <v>38.920217720298965</v>
      </c>
      <c r="O8" s="195">
        <v>1</v>
      </c>
      <c r="P8" s="193" t="s">
        <v>111</v>
      </c>
      <c r="Q8" s="66">
        <v>65.997776127584842</v>
      </c>
      <c r="R8" s="93" t="s">
        <v>112</v>
      </c>
      <c r="S8" s="67">
        <v>24.918693169721109</v>
      </c>
    </row>
    <row r="9" spans="2:19" ht="16.5" customHeight="1" x14ac:dyDescent="0.3">
      <c r="B9" s="194" t="str">
        <f>IF('Input LwA_XYZ'!A8 = 0, "", 'Input LwA_XYZ'!A8)</f>
        <v/>
      </c>
      <c r="C9" s="191" t="str">
        <f>IF($B9="","",_xlfn.TEXTJOIN(" - ",TRUE,'Input LwA_XYZ'!B8:C8))</f>
        <v/>
      </c>
      <c r="D9" s="66" t="str">
        <f>IF($B9="","",'Input LwA_XYZ'!I8)</f>
        <v/>
      </c>
      <c r="E9" s="93" t="str">
        <f>IF($B9="","",-1*ROUND(_xlfn.XLOOKUP($J$2,'Input LwA_XYZ'!$AQ$1:$BE$1,'Input LwA_XYZ'!AQ8:BE8),0) &amp; " / " &amp; ROUND(_xlfn.XLOOKUP($J$2,'Input LwA_XYZ'!$Z$1:$AN$1,'Input LwA_XYZ'!Z8:AN8),0) &amp; " ft")</f>
        <v/>
      </c>
      <c r="F9" s="93" t="str">
        <f>IF($B9="","",IF(_xlfn.XLOOKUP($J$2,'Input LwA_XYZ'!$BN$1:$CB$1,'Input LwA_XYZ'!BN8:CB8)="","-",_xlfn.XLOOKUP($J$2,'Input LwA_XYZ'!$BN$1:$CB$1,'Input LwA_XYZ'!BN8:CB8)))</f>
        <v/>
      </c>
      <c r="G9" s="93" t="str">
        <f>IF($B9="","",IF('Input LwA_XYZ'!K8="","-",'Input LwA_XYZ'!K8))</f>
        <v/>
      </c>
      <c r="H9" s="67" t="str">
        <f>IF($B9="","",_xlfn.XLOOKUP($J$2,'Input LwA_XYZ'!$CE$1:$CS$1,'Input LwA_XYZ'!CE8:CS8))</f>
        <v/>
      </c>
      <c r="I9" s="5">
        <f t="shared" si="0"/>
        <v>0</v>
      </c>
      <c r="J9" s="109" t="str">
        <f t="shared" si="1"/>
        <v/>
      </c>
      <c r="O9" s="195">
        <v>1</v>
      </c>
      <c r="P9" s="193" t="s">
        <v>113</v>
      </c>
      <c r="Q9" s="66">
        <v>71.997776127584842</v>
      </c>
      <c r="R9" s="93" t="s">
        <v>114</v>
      </c>
      <c r="S9" s="67">
        <v>30.648488548244959</v>
      </c>
    </row>
    <row r="10" spans="2:19" ht="16.5" customHeight="1" x14ac:dyDescent="0.3">
      <c r="B10" s="194" t="str">
        <f>IF('Input LwA_XYZ'!A9 = 0, "", 'Input LwA_XYZ'!A9)</f>
        <v/>
      </c>
      <c r="C10" s="191" t="str">
        <f>IF($B10="","",_xlfn.TEXTJOIN(" - ",TRUE,'Input LwA_XYZ'!B9:C9))</f>
        <v/>
      </c>
      <c r="D10" s="66" t="str">
        <f>IF($B10="","",'Input LwA_XYZ'!I9)</f>
        <v/>
      </c>
      <c r="E10" s="93" t="str">
        <f>IF($B10="","",-1*ROUND(_xlfn.XLOOKUP($J$2,'Input LwA_XYZ'!$AQ$1:$BE$1,'Input LwA_XYZ'!AQ9:BE9),0) &amp; " / " &amp; ROUND(_xlfn.XLOOKUP($J$2,'Input LwA_XYZ'!$Z$1:$AN$1,'Input LwA_XYZ'!Z9:AN9),0) &amp; " ft")</f>
        <v/>
      </c>
      <c r="F10" s="93" t="str">
        <f>IF($B10="","",IF(_xlfn.XLOOKUP($J$2,'Input LwA_XYZ'!$BN$1:$CB$1,'Input LwA_XYZ'!BN9:CB9)="","-",_xlfn.XLOOKUP($J$2,'Input LwA_XYZ'!$BN$1:$CB$1,'Input LwA_XYZ'!BN9:CB9)))</f>
        <v/>
      </c>
      <c r="G10" s="93" t="str">
        <f>IF($B10="","",IF('Input LwA_XYZ'!K9="","-",'Input LwA_XYZ'!K9))</f>
        <v/>
      </c>
      <c r="H10" s="67" t="str">
        <f>IF($B10="","",_xlfn.XLOOKUP($J$2,'Input LwA_XYZ'!$CE$1:$CS$1,'Input LwA_XYZ'!CE9:CS9))</f>
        <v/>
      </c>
      <c r="I10" s="5">
        <f t="shared" si="0"/>
        <v>0</v>
      </c>
      <c r="J10" s="109" t="str">
        <f t="shared" si="1"/>
        <v/>
      </c>
      <c r="O10" s="195">
        <v>1</v>
      </c>
      <c r="P10" s="193" t="s">
        <v>115</v>
      </c>
      <c r="Q10" s="66">
        <v>71.997776127584842</v>
      </c>
      <c r="R10" s="93" t="s">
        <v>116</v>
      </c>
      <c r="S10" s="67">
        <v>31.96131128074482</v>
      </c>
    </row>
    <row r="11" spans="2:19" ht="16.5" customHeight="1" x14ac:dyDescent="0.3">
      <c r="B11" s="194" t="str">
        <f>IF('Input LwA_XYZ'!A10 = 0, "", 'Input LwA_XYZ'!A10)</f>
        <v/>
      </c>
      <c r="C11" s="191" t="str">
        <f>IF($B11="","",_xlfn.TEXTJOIN(" - ",TRUE,'Input LwA_XYZ'!B10:C10))</f>
        <v/>
      </c>
      <c r="D11" s="66" t="str">
        <f>IF($B11="","",'Input LwA_XYZ'!I10)</f>
        <v/>
      </c>
      <c r="E11" s="93" t="str">
        <f>IF($B11="","",-1*ROUND(_xlfn.XLOOKUP($J$2,'Input LwA_XYZ'!$AQ$1:$BE$1,'Input LwA_XYZ'!AQ10:BE10),0) &amp; " / " &amp; ROUND(_xlfn.XLOOKUP($J$2,'Input LwA_XYZ'!$Z$1:$AN$1,'Input LwA_XYZ'!Z10:AN10),0) &amp; " ft")</f>
        <v/>
      </c>
      <c r="F11" s="93" t="str">
        <f>IF($B11="","",IF(_xlfn.XLOOKUP($J$2,'Input LwA_XYZ'!$BN$1:$CB$1,'Input LwA_XYZ'!BN10:CB10)="","-",_xlfn.XLOOKUP($J$2,'Input LwA_XYZ'!$BN$1:$CB$1,'Input LwA_XYZ'!BN10:CB10)))</f>
        <v/>
      </c>
      <c r="G11" s="93" t="str">
        <f>IF($B11="","",IF('Input LwA_XYZ'!K10="","-",'Input LwA_XYZ'!K10))</f>
        <v/>
      </c>
      <c r="H11" s="67" t="str">
        <f>IF($B11="","",_xlfn.XLOOKUP($J$2,'Input LwA_XYZ'!$CE$1:$CS$1,'Input LwA_XYZ'!CE10:CS10))</f>
        <v/>
      </c>
      <c r="I11" s="5">
        <f t="shared" si="0"/>
        <v>0</v>
      </c>
      <c r="J11" s="109" t="str">
        <f t="shared" si="1"/>
        <v/>
      </c>
      <c r="O11" s="195">
        <v>1</v>
      </c>
      <c r="P11" s="193" t="s">
        <v>117</v>
      </c>
      <c r="Q11" s="66">
        <v>60.659699340071633</v>
      </c>
      <c r="R11" s="93" t="s">
        <v>118</v>
      </c>
      <c r="S11" s="67">
        <v>15.768676619536629</v>
      </c>
    </row>
    <row r="12" spans="2:19" ht="16.5" customHeight="1" x14ac:dyDescent="0.3">
      <c r="B12" s="194" t="str">
        <f>IF('Input LwA_XYZ'!A11 = 0, "", 'Input LwA_XYZ'!A11)</f>
        <v/>
      </c>
      <c r="C12" s="191" t="str">
        <f>IF($B12="","",_xlfn.TEXTJOIN(" - ",TRUE,'Input LwA_XYZ'!B11:C11))</f>
        <v/>
      </c>
      <c r="D12" s="66" t="str">
        <f>IF($B12="","",'Input LwA_XYZ'!I11)</f>
        <v/>
      </c>
      <c r="E12" s="93" t="str">
        <f>IF($B12="","",-1*ROUND(_xlfn.XLOOKUP($J$2,'Input LwA_XYZ'!$AQ$1:$BE$1,'Input LwA_XYZ'!AQ11:BE11),0) &amp; " / " &amp; ROUND(_xlfn.XLOOKUP($J$2,'Input LwA_XYZ'!$Z$1:$AN$1,'Input LwA_XYZ'!Z11:AN11),0) &amp; " ft")</f>
        <v/>
      </c>
      <c r="F12" s="93" t="str">
        <f>IF($B12="","",IF(_xlfn.XLOOKUP($J$2,'Input LwA_XYZ'!$BN$1:$CB$1,'Input LwA_XYZ'!BN11:CB11)="","-",_xlfn.XLOOKUP($J$2,'Input LwA_XYZ'!$BN$1:$CB$1,'Input LwA_XYZ'!BN11:CB11)))</f>
        <v/>
      </c>
      <c r="G12" s="93" t="str">
        <f>IF($B12="","",IF('Input LwA_XYZ'!K11="","-",'Input LwA_XYZ'!K11))</f>
        <v/>
      </c>
      <c r="H12" s="67" t="str">
        <f>IF($B12="","",_xlfn.XLOOKUP($J$2,'Input LwA_XYZ'!$CE$1:$CS$1,'Input LwA_XYZ'!CE11:CS11))</f>
        <v/>
      </c>
      <c r="I12" s="5">
        <f t="shared" si="0"/>
        <v>0</v>
      </c>
      <c r="J12" s="109" t="str">
        <f t="shared" si="1"/>
        <v/>
      </c>
      <c r="O12" s="195">
        <v>1</v>
      </c>
      <c r="P12" s="193" t="s">
        <v>119</v>
      </c>
      <c r="Q12" s="66">
        <v>63.65969934007164</v>
      </c>
      <c r="R12" s="93" t="s">
        <v>118</v>
      </c>
      <c r="S12" s="67">
        <v>18.801073826877431</v>
      </c>
    </row>
    <row r="13" spans="2:19" ht="16.5" customHeight="1" x14ac:dyDescent="0.3">
      <c r="B13" s="194" t="str">
        <f>IF('Input LwA_XYZ'!A12 = 0, "", 'Input LwA_XYZ'!A12)</f>
        <v/>
      </c>
      <c r="C13" s="191" t="str">
        <f>IF($B13="","",_xlfn.TEXTJOIN(" - ",TRUE,'Input LwA_XYZ'!B12:C12))</f>
        <v/>
      </c>
      <c r="D13" s="66" t="str">
        <f>IF($B13="","",'Input LwA_XYZ'!I12)</f>
        <v/>
      </c>
      <c r="E13" s="93" t="str">
        <f>IF($B13="","",-1*ROUND(_xlfn.XLOOKUP($J$2,'Input LwA_XYZ'!$AQ$1:$BE$1,'Input LwA_XYZ'!AQ12:BE12),0) &amp; " / " &amp; ROUND(_xlfn.XLOOKUP($J$2,'Input LwA_XYZ'!$Z$1:$AN$1,'Input LwA_XYZ'!Z12:AN12),0) &amp; " ft")</f>
        <v/>
      </c>
      <c r="F13" s="93" t="str">
        <f>IF($B13="","",IF(_xlfn.XLOOKUP($J$2,'Input LwA_XYZ'!$BN$1:$CB$1,'Input LwA_XYZ'!BN12:CB12)="","-",_xlfn.XLOOKUP($J$2,'Input LwA_XYZ'!$BN$1:$CB$1,'Input LwA_XYZ'!BN12:CB12)))</f>
        <v/>
      </c>
      <c r="G13" s="93" t="str">
        <f>IF($B13="","",IF('Input LwA_XYZ'!K12="","-",'Input LwA_XYZ'!K12))</f>
        <v/>
      </c>
      <c r="H13" s="67" t="str">
        <f>IF($B13="","",_xlfn.XLOOKUP($J$2,'Input LwA_XYZ'!$CE$1:$CS$1,'Input LwA_XYZ'!CE12:CS12))</f>
        <v/>
      </c>
      <c r="I13" s="5">
        <f t="shared" si="0"/>
        <v>0</v>
      </c>
      <c r="J13" s="109" t="str">
        <f t="shared" si="1"/>
        <v/>
      </c>
      <c r="O13" s="195">
        <v>1</v>
      </c>
      <c r="P13" s="193" t="s">
        <v>120</v>
      </c>
      <c r="Q13" s="66">
        <v>61.659699340071647</v>
      </c>
      <c r="R13" s="93" t="s">
        <v>121</v>
      </c>
      <c r="S13" s="67">
        <v>16.54567530918138</v>
      </c>
    </row>
    <row r="14" spans="2:19" ht="16.5" customHeight="1" x14ac:dyDescent="0.3">
      <c r="B14" s="194" t="str">
        <f>IF('Input LwA_XYZ'!A13 = 0, "", 'Input LwA_XYZ'!A13)</f>
        <v/>
      </c>
      <c r="C14" s="191" t="str">
        <f>IF($B14="","",_xlfn.TEXTJOIN(" - ",TRUE,'Input LwA_XYZ'!B13:C13))</f>
        <v/>
      </c>
      <c r="D14" s="66" t="str">
        <f>IF($B14="","",'Input LwA_XYZ'!I13)</f>
        <v/>
      </c>
      <c r="E14" s="93" t="str">
        <f>IF($B14="","",-1*ROUND(_xlfn.XLOOKUP($J$2,'Input LwA_XYZ'!$AQ$1:$BE$1,'Input LwA_XYZ'!AQ13:BE13),0) &amp; " / " &amp; ROUND(_xlfn.XLOOKUP($J$2,'Input LwA_XYZ'!$Z$1:$AN$1,'Input LwA_XYZ'!Z13:AN13),0) &amp; " ft")</f>
        <v/>
      </c>
      <c r="F14" s="93" t="str">
        <f>IF($B14="","",IF(_xlfn.XLOOKUP($J$2,'Input LwA_XYZ'!$BN$1:$CB$1,'Input LwA_XYZ'!BN13:CB13)="","-",_xlfn.XLOOKUP($J$2,'Input LwA_XYZ'!$BN$1:$CB$1,'Input LwA_XYZ'!BN13:CB13)))</f>
        <v/>
      </c>
      <c r="G14" s="93" t="str">
        <f>IF($B14="","",IF('Input LwA_XYZ'!K13="","-",'Input LwA_XYZ'!K13))</f>
        <v/>
      </c>
      <c r="H14" s="67" t="str">
        <f>IF($B14="","",_xlfn.XLOOKUP($J$2,'Input LwA_XYZ'!$CE$1:$CS$1,'Input LwA_XYZ'!CE13:CS13))</f>
        <v/>
      </c>
      <c r="I14" s="5">
        <f t="shared" si="0"/>
        <v>0</v>
      </c>
      <c r="J14" s="109" t="str">
        <f t="shared" si="1"/>
        <v/>
      </c>
      <c r="O14" s="195">
        <v>1</v>
      </c>
      <c r="P14" s="193" t="s">
        <v>122</v>
      </c>
      <c r="Q14" s="66">
        <v>57.65969934007164</v>
      </c>
      <c r="R14" s="93" t="s">
        <v>123</v>
      </c>
      <c r="S14" s="67">
        <v>16.191880930775302</v>
      </c>
    </row>
    <row r="15" spans="2:19" ht="16.5" customHeight="1" x14ac:dyDescent="0.3">
      <c r="B15" s="194" t="str">
        <f>IF('Input LwA_XYZ'!A14 = 0, "", 'Input LwA_XYZ'!A14)</f>
        <v/>
      </c>
      <c r="C15" s="191" t="str">
        <f>IF($B15="","",_xlfn.TEXTJOIN(" - ",TRUE,'Input LwA_XYZ'!B14:C14))</f>
        <v/>
      </c>
      <c r="D15" s="66" t="str">
        <f>IF($B15="","",'Input LwA_XYZ'!I14)</f>
        <v/>
      </c>
      <c r="E15" s="93" t="str">
        <f>IF($B15="","",-1*ROUND(_xlfn.XLOOKUP($J$2,'Input LwA_XYZ'!$AQ$1:$BE$1,'Input LwA_XYZ'!AQ14:BE14),0) &amp; " / " &amp; ROUND(_xlfn.XLOOKUP($J$2,'Input LwA_XYZ'!$Z$1:$AN$1,'Input LwA_XYZ'!Z14:AN14),0) &amp; " ft")</f>
        <v/>
      </c>
      <c r="F15" s="93" t="str">
        <f>IF($B15="","",IF(_xlfn.XLOOKUP($J$2,'Input LwA_XYZ'!$BN$1:$CB$1,'Input LwA_XYZ'!BN14:CB14)="","-",_xlfn.XLOOKUP($J$2,'Input LwA_XYZ'!$BN$1:$CB$1,'Input LwA_XYZ'!BN14:CB14)))</f>
        <v/>
      </c>
      <c r="G15" s="93" t="str">
        <f>IF($B15="","",IF('Input LwA_XYZ'!K14="","-",'Input LwA_XYZ'!K14))</f>
        <v/>
      </c>
      <c r="H15" s="67" t="str">
        <f>IF($B15="","",_xlfn.XLOOKUP($J$2,'Input LwA_XYZ'!$CE$1:$CS$1,'Input LwA_XYZ'!CE14:CS14))</f>
        <v/>
      </c>
      <c r="I15" s="5">
        <f t="shared" si="0"/>
        <v>0</v>
      </c>
      <c r="J15" s="109" t="str">
        <f t="shared" si="1"/>
        <v/>
      </c>
      <c r="O15" s="195">
        <v>1</v>
      </c>
      <c r="P15" s="193" t="s">
        <v>124</v>
      </c>
      <c r="Q15" s="66">
        <v>57.65969934007164</v>
      </c>
      <c r="R15" s="93" t="s">
        <v>125</v>
      </c>
      <c r="S15" s="67">
        <v>16.21810532395784</v>
      </c>
    </row>
    <row r="16" spans="2:19" ht="17.25" customHeight="1" thickBot="1" x14ac:dyDescent="0.35">
      <c r="B16" s="194" t="str">
        <f>IF('Input LwA_XYZ'!A15 = 0, "", 'Input LwA_XYZ'!A15)</f>
        <v/>
      </c>
      <c r="C16" s="191" t="str">
        <f>IF($B16="","",_xlfn.TEXTJOIN(" - ",TRUE,'Input LwA_XYZ'!B15:C15))</f>
        <v/>
      </c>
      <c r="D16" s="66" t="str">
        <f>IF($B16="","",'Input LwA_XYZ'!I15)</f>
        <v/>
      </c>
      <c r="E16" s="93" t="str">
        <f>IF($B16="","",-1*ROUND(_xlfn.XLOOKUP($J$2,'Input LwA_XYZ'!$AQ$1:$BE$1,'Input LwA_XYZ'!AQ15:BE15),0) &amp; " / " &amp; ROUND(_xlfn.XLOOKUP($J$2,'Input LwA_XYZ'!$Z$1:$AN$1,'Input LwA_XYZ'!Z15:AN15),0) &amp; " ft")</f>
        <v/>
      </c>
      <c r="F16" s="93" t="str">
        <f>IF($B16="","",IF(_xlfn.XLOOKUP($J$2,'Input LwA_XYZ'!$BN$1:$CB$1,'Input LwA_XYZ'!BN15:CB15)="","-",_xlfn.XLOOKUP($J$2,'Input LwA_XYZ'!$BN$1:$CB$1,'Input LwA_XYZ'!BN15:CB15)))</f>
        <v/>
      </c>
      <c r="G16" s="93" t="str">
        <f>IF($B16="","",IF('Input LwA_XYZ'!K15="","-",'Input LwA_XYZ'!K15))</f>
        <v/>
      </c>
      <c r="H16" s="67" t="str">
        <f>IF($B16="","",_xlfn.XLOOKUP($J$2,'Input LwA_XYZ'!$CE$1:$CS$1,'Input LwA_XYZ'!CE15:CS15))</f>
        <v/>
      </c>
      <c r="I16" s="5">
        <f t="shared" si="0"/>
        <v>0</v>
      </c>
      <c r="J16" s="109" t="str">
        <f t="shared" si="1"/>
        <v/>
      </c>
      <c r="O16" s="195">
        <v>1</v>
      </c>
      <c r="P16" s="193" t="s">
        <v>126</v>
      </c>
      <c r="Q16" s="66">
        <v>57.65969934007164</v>
      </c>
      <c r="R16" s="93" t="s">
        <v>108</v>
      </c>
      <c r="S16" s="67">
        <v>16.67719275439514</v>
      </c>
    </row>
    <row r="17" spans="2:19" ht="17.25" customHeight="1" thickBot="1" x14ac:dyDescent="0.35">
      <c r="B17" s="194" t="str">
        <f>IF('Input LwA_XYZ'!A16 = 0, "", 'Input LwA_XYZ'!A16)</f>
        <v/>
      </c>
      <c r="C17" s="191" t="str">
        <f>IF($B17="","",_xlfn.TEXTJOIN(" - ",TRUE,'Input LwA_XYZ'!B16:C16))</f>
        <v/>
      </c>
      <c r="D17" s="66" t="str">
        <f>IF($B17="","",'Input LwA_XYZ'!I16)</f>
        <v/>
      </c>
      <c r="E17" s="93" t="str">
        <f>IF($B17="","",-1*ROUND(_xlfn.XLOOKUP($J$2,'Input LwA_XYZ'!$AQ$1:$BE$1,'Input LwA_XYZ'!AQ16:BE16),0) &amp; " / " &amp; ROUND(_xlfn.XLOOKUP($J$2,'Input LwA_XYZ'!$Z$1:$AN$1,'Input LwA_XYZ'!Z16:AN16),0) &amp; " ft")</f>
        <v/>
      </c>
      <c r="F17" s="93" t="str">
        <f>IF($B17="","",IF(_xlfn.XLOOKUP($J$2,'Input LwA_XYZ'!$BN$1:$CB$1,'Input LwA_XYZ'!BN16:CB16)="","-",_xlfn.XLOOKUP($J$2,'Input LwA_XYZ'!$BN$1:$CB$1,'Input LwA_XYZ'!BN16:CB16)))</f>
        <v/>
      </c>
      <c r="G17" s="93" t="str">
        <f>IF($B17="","",IF('Input LwA_XYZ'!K16="","-",'Input LwA_XYZ'!K16))</f>
        <v/>
      </c>
      <c r="H17" s="67" t="str">
        <f>IF($B17="","",_xlfn.XLOOKUP($J$2,'Input LwA_XYZ'!$CE$1:$CS$1,'Input LwA_XYZ'!CE16:CS16))</f>
        <v/>
      </c>
      <c r="I17" s="5">
        <f t="shared" si="0"/>
        <v>0</v>
      </c>
      <c r="J17" s="109" t="str">
        <f t="shared" si="1"/>
        <v/>
      </c>
      <c r="O17" s="103" t="s">
        <v>127</v>
      </c>
      <c r="P17" s="104"/>
      <c r="Q17" s="104"/>
      <c r="R17" s="104"/>
      <c r="S17" s="110">
        <v>44</v>
      </c>
    </row>
    <row r="18" spans="2:19" ht="16.5" customHeight="1" x14ac:dyDescent="0.3">
      <c r="B18" s="194" t="str">
        <f>IF('Input LwA_XYZ'!A17 = 0, "", 'Input LwA_XYZ'!A17)</f>
        <v/>
      </c>
      <c r="C18" s="191" t="str">
        <f>IF($B18="","",_xlfn.TEXTJOIN(" - ",TRUE,'Input LwA_XYZ'!B17:C17))</f>
        <v/>
      </c>
      <c r="D18" s="66" t="str">
        <f>IF($B18="","",'Input LwA_XYZ'!I17)</f>
        <v/>
      </c>
      <c r="E18" s="93" t="str">
        <f>IF($B18="","",-1*ROUND(_xlfn.XLOOKUP($J$2,'Input LwA_XYZ'!$AQ$1:$BE$1,'Input LwA_XYZ'!AQ17:BE17),0) &amp; " / " &amp; ROUND(_xlfn.XLOOKUP($J$2,'Input LwA_XYZ'!$Z$1:$AN$1,'Input LwA_XYZ'!Z17:AN17),0) &amp; " ft")</f>
        <v/>
      </c>
      <c r="F18" s="93" t="str">
        <f>IF($B18="","",IF(_xlfn.XLOOKUP($J$2,'Input LwA_XYZ'!$BN$1:$CB$1,'Input LwA_XYZ'!BN17:CB17)="","-",_xlfn.XLOOKUP($J$2,'Input LwA_XYZ'!$BN$1:$CB$1,'Input LwA_XYZ'!BN17:CB17)))</f>
        <v/>
      </c>
      <c r="G18" s="93" t="str">
        <f>IF($B18="","",IF('Input LwA_XYZ'!K17="","-",'Input LwA_XYZ'!K17))</f>
        <v/>
      </c>
      <c r="H18" s="67" t="str">
        <f>IF($B18="","",_xlfn.XLOOKUP($J$2,'Input LwA_XYZ'!$CE$1:$CS$1,'Input LwA_XYZ'!CE17:CS17))</f>
        <v/>
      </c>
      <c r="I18" s="5">
        <f t="shared" si="0"/>
        <v>0</v>
      </c>
      <c r="J18" s="109" t="str">
        <f t="shared" si="1"/>
        <v/>
      </c>
    </row>
    <row r="19" spans="2:19" ht="16.5" customHeight="1" x14ac:dyDescent="0.3">
      <c r="B19" s="194" t="str">
        <f>IF('Input LwA_XYZ'!A18 = 0, "", 'Input LwA_XYZ'!A18)</f>
        <v/>
      </c>
      <c r="C19" s="191" t="str">
        <f>IF($B19="","",_xlfn.TEXTJOIN(" - ",TRUE,'Input LwA_XYZ'!B18:C18))</f>
        <v/>
      </c>
      <c r="D19" s="66" t="str">
        <f>IF($B19="","",'Input LwA_XYZ'!I18)</f>
        <v/>
      </c>
      <c r="E19" s="93" t="str">
        <f>IF($B19="","",-1*ROUND(_xlfn.XLOOKUP($J$2,'Input LwA_XYZ'!$AQ$1:$BE$1,'Input LwA_XYZ'!AQ18:BE18),0) &amp; " / " &amp; ROUND(_xlfn.XLOOKUP($J$2,'Input LwA_XYZ'!$Z$1:$AN$1,'Input LwA_XYZ'!Z18:AN18),0) &amp; " ft")</f>
        <v/>
      </c>
      <c r="F19" s="93" t="str">
        <f>IF($B19="","",IF(_xlfn.XLOOKUP($J$2,'Input LwA_XYZ'!$BN$1:$CB$1,'Input LwA_XYZ'!BN18:CB18)="","-",_xlfn.XLOOKUP($J$2,'Input LwA_XYZ'!$BN$1:$CB$1,'Input LwA_XYZ'!BN18:CB18)))</f>
        <v/>
      </c>
      <c r="G19" s="93" t="str">
        <f>IF($B19="","",IF('Input LwA_XYZ'!K18="","-",'Input LwA_XYZ'!K18))</f>
        <v/>
      </c>
      <c r="H19" s="67" t="str">
        <f>IF($B19="","",_xlfn.XLOOKUP($J$2,'Input LwA_XYZ'!$CE$1:$CS$1,'Input LwA_XYZ'!CE18:CS18))</f>
        <v/>
      </c>
      <c r="I19" s="5">
        <f t="shared" si="0"/>
        <v>0</v>
      </c>
      <c r="J19" s="109" t="str">
        <f t="shared" si="1"/>
        <v/>
      </c>
    </row>
    <row r="20" spans="2:19" ht="16.5" customHeight="1" x14ac:dyDescent="0.3">
      <c r="B20" s="194" t="str">
        <f>IF('Input LwA_XYZ'!A19 = 0, "", 'Input LwA_XYZ'!A19)</f>
        <v/>
      </c>
      <c r="C20" s="191" t="str">
        <f>IF($B20="","",_xlfn.TEXTJOIN(" - ",TRUE,'Input LwA_XYZ'!B19:C19))</f>
        <v/>
      </c>
      <c r="D20" s="66" t="str">
        <f>IF($B20="","",'Input LwA_XYZ'!I19)</f>
        <v/>
      </c>
      <c r="E20" s="93" t="str">
        <f>IF($B20="","",-1*ROUND(_xlfn.XLOOKUP($J$2,'Input LwA_XYZ'!$AQ$1:$BE$1,'Input LwA_XYZ'!AQ19:BE19),0) &amp; " / " &amp; ROUND(_xlfn.XLOOKUP($J$2,'Input LwA_XYZ'!$Z$1:$AN$1,'Input LwA_XYZ'!Z19:AN19),0) &amp; " ft")</f>
        <v/>
      </c>
      <c r="F20" s="93" t="str">
        <f>IF($B20="","",IF(_xlfn.XLOOKUP($J$2,'Input LwA_XYZ'!$BN$1:$CB$1,'Input LwA_XYZ'!BN19:CB19)="","-",_xlfn.XLOOKUP($J$2,'Input LwA_XYZ'!$BN$1:$CB$1,'Input LwA_XYZ'!BN19:CB19)))</f>
        <v/>
      </c>
      <c r="G20" s="93" t="str">
        <f>IF($B20="","",IF('Input LwA_XYZ'!K19="","-",'Input LwA_XYZ'!K19))</f>
        <v/>
      </c>
      <c r="H20" s="67" t="str">
        <f>IF($B20="","",_xlfn.XLOOKUP($J$2,'Input LwA_XYZ'!$CE$1:$CS$1,'Input LwA_XYZ'!CE19:CS19))</f>
        <v/>
      </c>
      <c r="I20" s="5">
        <f t="shared" si="0"/>
        <v>0</v>
      </c>
      <c r="J20" s="109" t="str">
        <f t="shared" si="1"/>
        <v/>
      </c>
    </row>
    <row r="21" spans="2:19" ht="16.5" customHeight="1" x14ac:dyDescent="0.3">
      <c r="B21" s="194" t="str">
        <f>IF('Input LwA_XYZ'!A20 = 0, "", 'Input LwA_XYZ'!A20)</f>
        <v/>
      </c>
      <c r="C21" s="191" t="str">
        <f>IF($B21="","",_xlfn.TEXTJOIN(" - ",TRUE,'Input LwA_XYZ'!B20:C20))</f>
        <v/>
      </c>
      <c r="D21" s="66" t="str">
        <f>IF($B21="","",'Input LwA_XYZ'!I20)</f>
        <v/>
      </c>
      <c r="E21" s="93" t="str">
        <f>IF($B21="","",-1*ROUND(_xlfn.XLOOKUP($J$2,'Input LwA_XYZ'!$AQ$1:$BE$1,'Input LwA_XYZ'!AQ20:BE20),0) &amp; " / " &amp; ROUND(_xlfn.XLOOKUP($J$2,'Input LwA_XYZ'!$Z$1:$AN$1,'Input LwA_XYZ'!Z20:AN20),0) &amp; " ft")</f>
        <v/>
      </c>
      <c r="F21" s="93" t="str">
        <f>IF($B21="","",IF(_xlfn.XLOOKUP($J$2,'Input LwA_XYZ'!$BN$1:$CB$1,'Input LwA_XYZ'!BN20:CB20)="","-",_xlfn.XLOOKUP($J$2,'Input LwA_XYZ'!$BN$1:$CB$1,'Input LwA_XYZ'!BN20:CB20)))</f>
        <v/>
      </c>
      <c r="G21" s="93" t="str">
        <f>IF($B21="","",IF('Input LwA_XYZ'!K20="","-",'Input LwA_XYZ'!K20))</f>
        <v/>
      </c>
      <c r="H21" s="67" t="str">
        <f>IF($B21="","",_xlfn.XLOOKUP($J$2,'Input LwA_XYZ'!$CE$1:$CS$1,'Input LwA_XYZ'!CE20:CS20))</f>
        <v/>
      </c>
      <c r="I21" s="5">
        <f t="shared" si="0"/>
        <v>0</v>
      </c>
      <c r="J21" s="109" t="str">
        <f t="shared" si="1"/>
        <v/>
      </c>
    </row>
    <row r="22" spans="2:19" ht="16.5" customHeight="1" x14ac:dyDescent="0.3">
      <c r="B22" s="194" t="str">
        <f>IF('Input LwA_XYZ'!A21 = 0, "", 'Input LwA_XYZ'!A21)</f>
        <v/>
      </c>
      <c r="C22" s="191" t="str">
        <f>IF($B22="","",_xlfn.TEXTJOIN(" - ",TRUE,'Input LwA_XYZ'!B21:C21))</f>
        <v/>
      </c>
      <c r="D22" s="66" t="str">
        <f>IF($B22="","",'Input LwA_XYZ'!I21)</f>
        <v/>
      </c>
      <c r="E22" s="93" t="str">
        <f>IF($B22="","",-1*ROUND(_xlfn.XLOOKUP($J$2,'Input LwA_XYZ'!$AQ$1:$BE$1,'Input LwA_XYZ'!AQ21:BE21),0) &amp; " / " &amp; ROUND(_xlfn.XLOOKUP($J$2,'Input LwA_XYZ'!$Z$1:$AN$1,'Input LwA_XYZ'!Z21:AN21),0) &amp; " ft")</f>
        <v/>
      </c>
      <c r="F22" s="93" t="str">
        <f>IF($B22="","",IF(_xlfn.XLOOKUP($J$2,'Input LwA_XYZ'!$BN$1:$CB$1,'Input LwA_XYZ'!BN21:CB21)="","-",_xlfn.XLOOKUP($J$2,'Input LwA_XYZ'!$BN$1:$CB$1,'Input LwA_XYZ'!BN21:CB21)))</f>
        <v/>
      </c>
      <c r="G22" s="93" t="str">
        <f>IF($B22="","",IF('Input LwA_XYZ'!K21="","-",'Input LwA_XYZ'!K21))</f>
        <v/>
      </c>
      <c r="H22" s="67" t="str">
        <f>IF($B22="","",_xlfn.XLOOKUP($J$2,'Input LwA_XYZ'!$CE$1:$CS$1,'Input LwA_XYZ'!CE21:CS21))</f>
        <v/>
      </c>
      <c r="I22" s="5">
        <f t="shared" si="0"/>
        <v>0</v>
      </c>
      <c r="J22" s="109" t="str">
        <f t="shared" si="1"/>
        <v/>
      </c>
    </row>
    <row r="23" spans="2:19" ht="16.5" customHeight="1" x14ac:dyDescent="0.3">
      <c r="B23" s="194" t="str">
        <f>IF('Input LwA_XYZ'!A22 = 0, "", 'Input LwA_XYZ'!A22)</f>
        <v/>
      </c>
      <c r="C23" s="191" t="str">
        <f>IF($B23="","",_xlfn.TEXTJOIN(" - ",TRUE,'Input LwA_XYZ'!B22:C22))</f>
        <v/>
      </c>
      <c r="D23" s="66" t="str">
        <f>IF($B23="","",'Input LwA_XYZ'!I22)</f>
        <v/>
      </c>
      <c r="E23" s="93" t="str">
        <f>IF($B23="","",-1*ROUND(_xlfn.XLOOKUP($J$2,'Input LwA_XYZ'!$AQ$1:$BE$1,'Input LwA_XYZ'!AQ22:BE22),0) &amp; " / " &amp; ROUND(_xlfn.XLOOKUP($J$2,'Input LwA_XYZ'!$Z$1:$AN$1,'Input LwA_XYZ'!Z22:AN22),0) &amp; " ft")</f>
        <v/>
      </c>
      <c r="F23" s="93" t="str">
        <f>IF($B23="","",IF(_xlfn.XLOOKUP($J$2,'Input LwA_XYZ'!$BN$1:$CB$1,'Input LwA_XYZ'!BN22:CB22)="","-",_xlfn.XLOOKUP($J$2,'Input LwA_XYZ'!$BN$1:$CB$1,'Input LwA_XYZ'!BN22:CB22)))</f>
        <v/>
      </c>
      <c r="G23" s="93" t="str">
        <f>IF($B23="","",IF('Input LwA_XYZ'!K22="","-",'Input LwA_XYZ'!K22))</f>
        <v/>
      </c>
      <c r="H23" s="67" t="str">
        <f>IF($B23="","",_xlfn.XLOOKUP($J$2,'Input LwA_XYZ'!$CE$1:$CS$1,'Input LwA_XYZ'!CE22:CS22))</f>
        <v/>
      </c>
      <c r="I23" s="5">
        <f t="shared" si="0"/>
        <v>0</v>
      </c>
      <c r="J23" s="109" t="str">
        <f t="shared" si="1"/>
        <v/>
      </c>
    </row>
    <row r="24" spans="2:19" ht="16.5" customHeight="1" x14ac:dyDescent="0.3">
      <c r="B24" s="194" t="str">
        <f>IF('Input LwA_XYZ'!A23 = 0, "", 'Input LwA_XYZ'!A23)</f>
        <v/>
      </c>
      <c r="C24" s="191" t="str">
        <f>IF($B24="","",_xlfn.TEXTJOIN(" - ",TRUE,'Input LwA_XYZ'!B23:C23))</f>
        <v/>
      </c>
      <c r="D24" s="66" t="str">
        <f>IF($B24="","",'Input LwA_XYZ'!I23)</f>
        <v/>
      </c>
      <c r="E24" s="93" t="str">
        <f>IF($B24="","",-1*ROUND(_xlfn.XLOOKUP($J$2,'Input LwA_XYZ'!$AQ$1:$BE$1,'Input LwA_XYZ'!AQ23:BE23),0) &amp; " / " &amp; ROUND(_xlfn.XLOOKUP($J$2,'Input LwA_XYZ'!$Z$1:$AN$1,'Input LwA_XYZ'!Z23:AN23),0) &amp; " ft")</f>
        <v/>
      </c>
      <c r="F24" s="93" t="str">
        <f>IF($B24="","",IF(_xlfn.XLOOKUP($J$2,'Input LwA_XYZ'!$BN$1:$CB$1,'Input LwA_XYZ'!BN23:CB23)="","-",_xlfn.XLOOKUP($J$2,'Input LwA_XYZ'!$BN$1:$CB$1,'Input LwA_XYZ'!BN23:CB23)))</f>
        <v/>
      </c>
      <c r="G24" s="93" t="str">
        <f>IF($B24="","",IF('Input LwA_XYZ'!K23="","-",'Input LwA_XYZ'!K23))</f>
        <v/>
      </c>
      <c r="H24" s="67" t="str">
        <f>IF($B24="","",_xlfn.XLOOKUP($J$2,'Input LwA_XYZ'!$CE$1:$CS$1,'Input LwA_XYZ'!CE23:CS23))</f>
        <v/>
      </c>
      <c r="I24" s="5">
        <f t="shared" si="0"/>
        <v>0</v>
      </c>
      <c r="J24" s="109" t="str">
        <f t="shared" si="1"/>
        <v/>
      </c>
    </row>
    <row r="25" spans="2:19" ht="16.5" customHeight="1" x14ac:dyDescent="0.3">
      <c r="B25" s="194" t="str">
        <f>IF('Input LwA_XYZ'!A24 = 0, "", 'Input LwA_XYZ'!A24)</f>
        <v/>
      </c>
      <c r="C25" s="191" t="str">
        <f>IF($B25="","",_xlfn.TEXTJOIN(" - ",TRUE,'Input LwA_XYZ'!B24:C24))</f>
        <v/>
      </c>
      <c r="D25" s="66" t="str">
        <f>IF($B25="","",'Input LwA_XYZ'!I24)</f>
        <v/>
      </c>
      <c r="E25" s="93" t="str">
        <f>IF($B25="","",-1*ROUND(_xlfn.XLOOKUP($J$2,'Input LwA_XYZ'!$AQ$1:$BE$1,'Input LwA_XYZ'!AQ24:BE24),0) &amp; " / " &amp; ROUND(_xlfn.XLOOKUP($J$2,'Input LwA_XYZ'!$Z$1:$AN$1,'Input LwA_XYZ'!Z24:AN24),0) &amp; " ft")</f>
        <v/>
      </c>
      <c r="F25" s="93" t="str">
        <f>IF($B25="","",IF(_xlfn.XLOOKUP($J$2,'Input LwA_XYZ'!$BN$1:$CB$1,'Input LwA_XYZ'!BN24:CB24)="","-",_xlfn.XLOOKUP($J$2,'Input LwA_XYZ'!$BN$1:$CB$1,'Input LwA_XYZ'!BN24:CB24)))</f>
        <v/>
      </c>
      <c r="G25" s="93" t="str">
        <f>IF($B25="","",IF('Input LwA_XYZ'!K24="","-",'Input LwA_XYZ'!K24))</f>
        <v/>
      </c>
      <c r="H25" s="67" t="str">
        <f>IF($B25="","",_xlfn.XLOOKUP($J$2,'Input LwA_XYZ'!$CE$1:$CS$1,'Input LwA_XYZ'!CE24:CS24))</f>
        <v/>
      </c>
      <c r="I25" s="5">
        <f t="shared" si="0"/>
        <v>0</v>
      </c>
      <c r="J25" s="109" t="str">
        <f t="shared" si="1"/>
        <v/>
      </c>
    </row>
    <row r="26" spans="2:19" ht="16.5" customHeight="1" x14ac:dyDescent="0.3">
      <c r="B26" s="194" t="str">
        <f>IF('Input LwA_XYZ'!A25 = 0, "", 'Input LwA_XYZ'!A25)</f>
        <v/>
      </c>
      <c r="C26" s="191" t="str">
        <f>IF($B26="","",_xlfn.TEXTJOIN(" - ",TRUE,'Input LwA_XYZ'!B25:C25))</f>
        <v/>
      </c>
      <c r="D26" s="66" t="str">
        <f>IF($B26="","",'Input LwA_XYZ'!I25)</f>
        <v/>
      </c>
      <c r="E26" s="93" t="str">
        <f>IF($B26="","",-1*ROUND(_xlfn.XLOOKUP($J$2,'Input LwA_XYZ'!$AQ$1:$BE$1,'Input LwA_XYZ'!AQ25:BE25),0) &amp; " / " &amp; ROUND(_xlfn.XLOOKUP($J$2,'Input LwA_XYZ'!$Z$1:$AN$1,'Input LwA_XYZ'!Z25:AN25),0) &amp; " ft")</f>
        <v/>
      </c>
      <c r="F26" s="93" t="str">
        <f>IF($B26="","",IF(_xlfn.XLOOKUP($J$2,'Input LwA_XYZ'!$BN$1:$CB$1,'Input LwA_XYZ'!BN25:CB25)="","-",_xlfn.XLOOKUP($J$2,'Input LwA_XYZ'!$BN$1:$CB$1,'Input LwA_XYZ'!BN25:CB25)))</f>
        <v/>
      </c>
      <c r="G26" s="93" t="str">
        <f>IF($B26="","",IF('Input LwA_XYZ'!K25="","-",'Input LwA_XYZ'!K25))</f>
        <v/>
      </c>
      <c r="H26" s="67" t="str">
        <f>IF($B26="","",_xlfn.XLOOKUP($J$2,'Input LwA_XYZ'!$CE$1:$CS$1,'Input LwA_XYZ'!CE25:CS25))</f>
        <v/>
      </c>
      <c r="I26" s="5">
        <f t="shared" si="0"/>
        <v>0</v>
      </c>
      <c r="J26" s="109" t="str">
        <f t="shared" si="1"/>
        <v/>
      </c>
    </row>
    <row r="27" spans="2:19" ht="16.5" customHeight="1" x14ac:dyDescent="0.3">
      <c r="B27" s="194" t="str">
        <f>IF('Input LwA_XYZ'!A26 = 0, "", 'Input LwA_XYZ'!A26)</f>
        <v/>
      </c>
      <c r="C27" s="191" t="str">
        <f>IF($B27="","",_xlfn.TEXTJOIN(" - ",TRUE,'Input LwA_XYZ'!B26:C26))</f>
        <v/>
      </c>
      <c r="D27" s="66" t="str">
        <f>IF($B27="","",'Input LwA_XYZ'!I26)</f>
        <v/>
      </c>
      <c r="E27" s="93" t="str">
        <f>IF($B27="","",-1*ROUND(_xlfn.XLOOKUP($J$2,'Input LwA_XYZ'!$AQ$1:$BE$1,'Input LwA_XYZ'!AQ26:BE26),0) &amp; " / " &amp; ROUND(_xlfn.XLOOKUP($J$2,'Input LwA_XYZ'!$Z$1:$AN$1,'Input LwA_XYZ'!Z26:AN26),0) &amp; " ft")</f>
        <v/>
      </c>
      <c r="F27" s="93" t="str">
        <f>IF($B27="","",IF(_xlfn.XLOOKUP($J$2,'Input LwA_XYZ'!$BN$1:$CB$1,'Input LwA_XYZ'!BN26:CB26)="","-",_xlfn.XLOOKUP($J$2,'Input LwA_XYZ'!$BN$1:$CB$1,'Input LwA_XYZ'!BN26:CB26)))</f>
        <v/>
      </c>
      <c r="G27" s="93" t="str">
        <f>IF($B27="","",IF('Input LwA_XYZ'!K26="","-",'Input LwA_XYZ'!K26))</f>
        <v/>
      </c>
      <c r="H27" s="67" t="str">
        <f>IF($B27="","",_xlfn.XLOOKUP($J$2,'Input LwA_XYZ'!$CE$1:$CS$1,'Input LwA_XYZ'!CE26:CS26))</f>
        <v/>
      </c>
      <c r="I27" s="5">
        <f t="shared" si="0"/>
        <v>0</v>
      </c>
      <c r="J27" s="109" t="str">
        <f t="shared" si="1"/>
        <v/>
      </c>
    </row>
    <row r="28" spans="2:19" ht="16.5" customHeight="1" x14ac:dyDescent="0.3">
      <c r="B28" s="194" t="str">
        <f>IF('Input LwA_XYZ'!A27 = 0, "", 'Input LwA_XYZ'!A27)</f>
        <v/>
      </c>
      <c r="C28" s="191" t="str">
        <f>IF($B28="","",_xlfn.TEXTJOIN(" - ",TRUE,'Input LwA_XYZ'!B27:C27))</f>
        <v/>
      </c>
      <c r="D28" s="66" t="str">
        <f>IF($B28="","",'Input LwA_XYZ'!I27)</f>
        <v/>
      </c>
      <c r="E28" s="93" t="str">
        <f>IF($B28="","",-1*ROUND(_xlfn.XLOOKUP($J$2,'Input LwA_XYZ'!$AQ$1:$BE$1,'Input LwA_XYZ'!AQ27:BE27),0) &amp; " / " &amp; ROUND(_xlfn.XLOOKUP($J$2,'Input LwA_XYZ'!$Z$1:$AN$1,'Input LwA_XYZ'!Z27:AN27),0) &amp; " ft")</f>
        <v/>
      </c>
      <c r="F28" s="93" t="str">
        <f>IF($B28="","",IF(_xlfn.XLOOKUP($J$2,'Input LwA_XYZ'!$BN$1:$CB$1,'Input LwA_XYZ'!BN27:CB27)="","-",_xlfn.XLOOKUP($J$2,'Input LwA_XYZ'!$BN$1:$CB$1,'Input LwA_XYZ'!BN27:CB27)))</f>
        <v/>
      </c>
      <c r="G28" s="93" t="str">
        <f>IF($B28="","",IF('Input LwA_XYZ'!K27="","-",'Input LwA_XYZ'!K27))</f>
        <v/>
      </c>
      <c r="H28" s="67" t="str">
        <f>IF($B28="","",_xlfn.XLOOKUP($J$2,'Input LwA_XYZ'!$CE$1:$CS$1,'Input LwA_XYZ'!CE27:CS27))</f>
        <v/>
      </c>
      <c r="I28" s="5">
        <f t="shared" si="0"/>
        <v>0</v>
      </c>
      <c r="J28" s="109" t="str">
        <f t="shared" si="1"/>
        <v/>
      </c>
    </row>
    <row r="29" spans="2:19" ht="16.5" customHeight="1" x14ac:dyDescent="0.3">
      <c r="B29" s="194" t="str">
        <f>IF('Input LwA_XYZ'!A28 = 0, "", 'Input LwA_XYZ'!A28)</f>
        <v/>
      </c>
      <c r="C29" s="191" t="str">
        <f>IF($B29="","",_xlfn.TEXTJOIN(" - ",TRUE,'Input LwA_XYZ'!B28:C28))</f>
        <v/>
      </c>
      <c r="D29" s="66" t="str">
        <f>IF($B29="","",'Input LwA_XYZ'!I28)</f>
        <v/>
      </c>
      <c r="E29" s="93" t="str">
        <f>IF($B29="","",-1*ROUND(_xlfn.XLOOKUP($J$2,'Input LwA_XYZ'!$AQ$1:$BE$1,'Input LwA_XYZ'!AQ28:BE28),0) &amp; " / " &amp; ROUND(_xlfn.XLOOKUP($J$2,'Input LwA_XYZ'!$Z$1:$AN$1,'Input LwA_XYZ'!Z28:AN28),0) &amp; " ft")</f>
        <v/>
      </c>
      <c r="F29" s="93" t="str">
        <f>IF($B29="","",IF(_xlfn.XLOOKUP($J$2,'Input LwA_XYZ'!$BN$1:$CB$1,'Input LwA_XYZ'!BN28:CB28)="","-",_xlfn.XLOOKUP($J$2,'Input LwA_XYZ'!$BN$1:$CB$1,'Input LwA_XYZ'!BN28:CB28)))</f>
        <v/>
      </c>
      <c r="G29" s="93" t="str">
        <f>IF($B29="","",IF('Input LwA_XYZ'!K28="","-",'Input LwA_XYZ'!K28))</f>
        <v/>
      </c>
      <c r="H29" s="67" t="str">
        <f>IF($B29="","",_xlfn.XLOOKUP($J$2,'Input LwA_XYZ'!$CE$1:$CS$1,'Input LwA_XYZ'!CE28:CS28))</f>
        <v/>
      </c>
      <c r="I29" s="5">
        <f t="shared" si="0"/>
        <v>0</v>
      </c>
      <c r="J29" s="109" t="str">
        <f t="shared" si="1"/>
        <v/>
      </c>
    </row>
    <row r="30" spans="2:19" ht="16.5" customHeight="1" x14ac:dyDescent="0.3">
      <c r="B30" s="194" t="str">
        <f>IF('Input LwA_XYZ'!A29 = 0, "", 'Input LwA_XYZ'!A29)</f>
        <v/>
      </c>
      <c r="C30" s="191" t="str">
        <f>IF($B30="","",_xlfn.TEXTJOIN(" - ",TRUE,'Input LwA_XYZ'!B29:C29))</f>
        <v/>
      </c>
      <c r="D30" s="66" t="str">
        <f>IF($B30="","",'Input LwA_XYZ'!I29)</f>
        <v/>
      </c>
      <c r="E30" s="93" t="str">
        <f>IF($B30="","",-1*ROUND(_xlfn.XLOOKUP($J$2,'Input LwA_XYZ'!$AQ$1:$BE$1,'Input LwA_XYZ'!AQ29:BE29),0) &amp; " / " &amp; ROUND(_xlfn.XLOOKUP($J$2,'Input LwA_XYZ'!$Z$1:$AN$1,'Input LwA_XYZ'!Z29:AN29),0) &amp; " ft")</f>
        <v/>
      </c>
      <c r="F30" s="93" t="str">
        <f>IF($B30="","",IF(_xlfn.XLOOKUP($J$2,'Input LwA_XYZ'!$BN$1:$CB$1,'Input LwA_XYZ'!BN29:CB29)="","-",_xlfn.XLOOKUP($J$2,'Input LwA_XYZ'!$BN$1:$CB$1,'Input LwA_XYZ'!BN29:CB29)))</f>
        <v/>
      </c>
      <c r="G30" s="93" t="str">
        <f>IF($B30="","",IF('Input LwA_XYZ'!K29="","-",'Input LwA_XYZ'!K29))</f>
        <v/>
      </c>
      <c r="H30" s="67" t="str">
        <f>IF($B30="","",_xlfn.XLOOKUP($J$2,'Input LwA_XYZ'!$CE$1:$CS$1,'Input LwA_XYZ'!CE29:CS29))</f>
        <v/>
      </c>
      <c r="I30" s="5">
        <f t="shared" si="0"/>
        <v>0</v>
      </c>
      <c r="J30" s="109" t="str">
        <f t="shared" si="1"/>
        <v/>
      </c>
    </row>
    <row r="31" spans="2:19" ht="16.5" customHeight="1" x14ac:dyDescent="0.3">
      <c r="B31" s="194" t="str">
        <f>IF('Input LwA_XYZ'!A30 = 0, "", 'Input LwA_XYZ'!A30)</f>
        <v/>
      </c>
      <c r="C31" s="191" t="str">
        <f>IF($B31="","",_xlfn.TEXTJOIN(" - ",TRUE,'Input LwA_XYZ'!B30:C30))</f>
        <v/>
      </c>
      <c r="D31" s="66" t="str">
        <f>IF($B31="","",'Input LwA_XYZ'!I30)</f>
        <v/>
      </c>
      <c r="E31" s="93" t="str">
        <f>IF($B31="","",-1*ROUND(_xlfn.XLOOKUP($J$2,'Input LwA_XYZ'!$AQ$1:$BE$1,'Input LwA_XYZ'!AQ30:BE30),0) &amp; " / " &amp; ROUND(_xlfn.XLOOKUP($J$2,'Input LwA_XYZ'!$Z$1:$AN$1,'Input LwA_XYZ'!Z30:AN30),0) &amp; " ft")</f>
        <v/>
      </c>
      <c r="F31" s="93" t="str">
        <f>IF($B31="","",IF(_xlfn.XLOOKUP($J$2,'Input LwA_XYZ'!$BN$1:$CB$1,'Input LwA_XYZ'!BN30:CB30)="","-",_xlfn.XLOOKUP($J$2,'Input LwA_XYZ'!$BN$1:$CB$1,'Input LwA_XYZ'!BN30:CB30)))</f>
        <v/>
      </c>
      <c r="G31" s="93" t="str">
        <f>IF($B31="","",IF('Input LwA_XYZ'!K30="","-",'Input LwA_XYZ'!K30))</f>
        <v/>
      </c>
      <c r="H31" s="67" t="str">
        <f>IF($B31="","",_xlfn.XLOOKUP($J$2,'Input LwA_XYZ'!$CE$1:$CS$1,'Input LwA_XYZ'!CE30:CS30))</f>
        <v/>
      </c>
      <c r="I31" s="5">
        <f t="shared" si="0"/>
        <v>0</v>
      </c>
      <c r="J31" s="109" t="str">
        <f t="shared" si="1"/>
        <v/>
      </c>
    </row>
    <row r="32" spans="2:19" ht="16.5" customHeight="1" x14ac:dyDescent="0.3">
      <c r="B32" s="194" t="str">
        <f>IF('Input LwA_XYZ'!A31 = 0, "", 'Input LwA_XYZ'!A31)</f>
        <v/>
      </c>
      <c r="C32" s="191" t="str">
        <f>IF($B32="","",_xlfn.TEXTJOIN(" - ",TRUE,'Input LwA_XYZ'!B31:C31))</f>
        <v/>
      </c>
      <c r="D32" s="66" t="str">
        <f>IF($B32="","",'Input LwA_XYZ'!I31)</f>
        <v/>
      </c>
      <c r="E32" s="93" t="str">
        <f>IF($B32="","",-1*ROUND(_xlfn.XLOOKUP($J$2,'Input LwA_XYZ'!$AQ$1:$BE$1,'Input LwA_XYZ'!AQ31:BE31),0) &amp; " / " &amp; ROUND(_xlfn.XLOOKUP($J$2,'Input LwA_XYZ'!$Z$1:$AN$1,'Input LwA_XYZ'!Z31:AN31),0) &amp; " ft")</f>
        <v/>
      </c>
      <c r="F32" s="93" t="str">
        <f>IF($B32="","",IF(_xlfn.XLOOKUP($J$2,'Input LwA_XYZ'!$BN$1:$CB$1,'Input LwA_XYZ'!BN31:CB31)="","-",_xlfn.XLOOKUP($J$2,'Input LwA_XYZ'!$BN$1:$CB$1,'Input LwA_XYZ'!BN31:CB31)))</f>
        <v/>
      </c>
      <c r="G32" s="93" t="str">
        <f>IF($B32="","",IF('Input LwA_XYZ'!K31="","-",'Input LwA_XYZ'!K31))</f>
        <v/>
      </c>
      <c r="H32" s="67" t="str">
        <f>IF($B32="","",_xlfn.XLOOKUP($J$2,'Input LwA_XYZ'!$CE$1:$CS$1,'Input LwA_XYZ'!CE31:CS31))</f>
        <v/>
      </c>
      <c r="I32" s="5">
        <f t="shared" si="0"/>
        <v>0</v>
      </c>
      <c r="J32" s="109" t="str">
        <f t="shared" si="1"/>
        <v/>
      </c>
    </row>
    <row r="33" spans="2:10" ht="16.5" customHeight="1" x14ac:dyDescent="0.3">
      <c r="B33" s="194" t="str">
        <f>IF('Input LwA_XYZ'!A32 = 0, "", 'Input LwA_XYZ'!A32)</f>
        <v/>
      </c>
      <c r="C33" s="191" t="str">
        <f>IF($B33="","",_xlfn.TEXTJOIN(" - ",TRUE,'Input LwA_XYZ'!B32:C32))</f>
        <v/>
      </c>
      <c r="D33" s="66" t="str">
        <f>IF($B33="","",'Input LwA_XYZ'!I32)</f>
        <v/>
      </c>
      <c r="E33" s="93" t="str">
        <f>IF($B33="","",-1*ROUND(_xlfn.XLOOKUP($J$2,'Input LwA_XYZ'!$AQ$1:$BE$1,'Input LwA_XYZ'!AQ32:BE32),0) &amp; " / " &amp; ROUND(_xlfn.XLOOKUP($J$2,'Input LwA_XYZ'!$Z$1:$AN$1,'Input LwA_XYZ'!Z32:AN32),0) &amp; " ft")</f>
        <v/>
      </c>
      <c r="F33" s="93" t="str">
        <f>IF($B33="","",IF(_xlfn.XLOOKUP($J$2,'Input LwA_XYZ'!$BN$1:$CB$1,'Input LwA_XYZ'!BN32:CB32)="","-",_xlfn.XLOOKUP($J$2,'Input LwA_XYZ'!$BN$1:$CB$1,'Input LwA_XYZ'!BN32:CB32)))</f>
        <v/>
      </c>
      <c r="G33" s="93" t="str">
        <f>IF($B33="","",IF('Input LwA_XYZ'!K32="","-",'Input LwA_XYZ'!K32))</f>
        <v/>
      </c>
      <c r="H33" s="67" t="str">
        <f>IF($B33="","",_xlfn.XLOOKUP($J$2,'Input LwA_XYZ'!$CE$1:$CS$1,'Input LwA_XYZ'!CE32:CS32))</f>
        <v/>
      </c>
      <c r="I33" s="5">
        <f t="shared" si="0"/>
        <v>0</v>
      </c>
      <c r="J33" s="109" t="str">
        <f t="shared" si="1"/>
        <v/>
      </c>
    </row>
    <row r="34" spans="2:10" ht="16.5" customHeight="1" x14ac:dyDescent="0.3">
      <c r="B34" s="194" t="str">
        <f>IF('Input LwA_XYZ'!A33 = 0, "", 'Input LwA_XYZ'!A33)</f>
        <v/>
      </c>
      <c r="C34" s="191" t="str">
        <f>IF($B34="","",_xlfn.TEXTJOIN(" - ",TRUE,'Input LwA_XYZ'!B33:C33))</f>
        <v/>
      </c>
      <c r="D34" s="66" t="str">
        <f>IF($B34="","",'Input LwA_XYZ'!I33)</f>
        <v/>
      </c>
      <c r="E34" s="93" t="str">
        <f>IF($B34="","",-1*ROUND(_xlfn.XLOOKUP($J$2,'Input LwA_XYZ'!$AQ$1:$BE$1,'Input LwA_XYZ'!AQ33:BE33),0) &amp; " / " &amp; ROUND(_xlfn.XLOOKUP($J$2,'Input LwA_XYZ'!$Z$1:$AN$1,'Input LwA_XYZ'!Z33:AN33),0) &amp; " ft")</f>
        <v/>
      </c>
      <c r="F34" s="93" t="str">
        <f>IF($B34="","",IF(_xlfn.XLOOKUP($J$2,'Input LwA_XYZ'!$BN$1:$CB$1,'Input LwA_XYZ'!BN33:CB33)="","-",_xlfn.XLOOKUP($J$2,'Input LwA_XYZ'!$BN$1:$CB$1,'Input LwA_XYZ'!BN33:CB33)))</f>
        <v/>
      </c>
      <c r="G34" s="93" t="str">
        <f>IF($B34="","",IF('Input LwA_XYZ'!K33="","-",'Input LwA_XYZ'!K33))</f>
        <v/>
      </c>
      <c r="H34" s="67" t="str">
        <f>IF($B34="","",_xlfn.XLOOKUP($J$2,'Input LwA_XYZ'!$CE$1:$CS$1,'Input LwA_XYZ'!CE33:CS33))</f>
        <v/>
      </c>
      <c r="I34" s="5">
        <f t="shared" si="0"/>
        <v>0</v>
      </c>
      <c r="J34" s="109" t="str">
        <f t="shared" si="1"/>
        <v/>
      </c>
    </row>
    <row r="35" spans="2:10" ht="16.5" customHeight="1" x14ac:dyDescent="0.3">
      <c r="B35" s="194" t="str">
        <f>IF('Input LwA_XYZ'!A34 = 0, "", 'Input LwA_XYZ'!A34)</f>
        <v/>
      </c>
      <c r="C35" s="191" t="str">
        <f>IF($B35="","",_xlfn.TEXTJOIN(" - ",TRUE,'Input LwA_XYZ'!B34:C34))</f>
        <v/>
      </c>
      <c r="D35" s="66" t="str">
        <f>IF($B35="","",'Input LwA_XYZ'!I34)</f>
        <v/>
      </c>
      <c r="E35" s="93" t="str">
        <f>IF($B35="","",-1*ROUND(_xlfn.XLOOKUP($J$2,'Input LwA_XYZ'!$AQ$1:$BE$1,'Input LwA_XYZ'!AQ34:BE34),0) &amp; " / " &amp; ROUND(_xlfn.XLOOKUP($J$2,'Input LwA_XYZ'!$Z$1:$AN$1,'Input LwA_XYZ'!Z34:AN34),0) &amp; " ft")</f>
        <v/>
      </c>
      <c r="F35" s="93" t="str">
        <f>IF($B35="","",IF(_xlfn.XLOOKUP($J$2,'Input LwA_XYZ'!$BN$1:$CB$1,'Input LwA_XYZ'!BN34:CB34)="","-",_xlfn.XLOOKUP($J$2,'Input LwA_XYZ'!$BN$1:$CB$1,'Input LwA_XYZ'!BN34:CB34)))</f>
        <v/>
      </c>
      <c r="G35" s="93" t="str">
        <f>IF($B35="","",IF('Input LwA_XYZ'!K34="","-",'Input LwA_XYZ'!K34))</f>
        <v/>
      </c>
      <c r="H35" s="67" t="str">
        <f>IF($B35="","",_xlfn.XLOOKUP($J$2,'Input LwA_XYZ'!$CE$1:$CS$1,'Input LwA_XYZ'!CE34:CS34))</f>
        <v/>
      </c>
      <c r="I35" s="5">
        <f t="shared" ref="I35:I59" si="2">IFERROR(10^(H35/10),0)</f>
        <v>0</v>
      </c>
      <c r="J35" s="109" t="str">
        <f t="shared" ref="J35:J59" si="3">H35</f>
        <v/>
      </c>
    </row>
    <row r="36" spans="2:10" ht="16.5" customHeight="1" x14ac:dyDescent="0.3">
      <c r="B36" s="194" t="str">
        <f>IF('Input LwA_XYZ'!A35 = 0, "", 'Input LwA_XYZ'!A35)</f>
        <v/>
      </c>
      <c r="C36" s="191" t="str">
        <f>IF($B36="","",_xlfn.TEXTJOIN(" - ",TRUE,'Input LwA_XYZ'!B35:C35))</f>
        <v/>
      </c>
      <c r="D36" s="66" t="str">
        <f>IF($B36="","",'Input LwA_XYZ'!I35)</f>
        <v/>
      </c>
      <c r="E36" s="93" t="str">
        <f>IF($B36="","",-1*ROUND(_xlfn.XLOOKUP($J$2,'Input LwA_XYZ'!$AQ$1:$BE$1,'Input LwA_XYZ'!AQ35:BE35),0) &amp; " / " &amp; ROUND(_xlfn.XLOOKUP($J$2,'Input LwA_XYZ'!$Z$1:$AN$1,'Input LwA_XYZ'!Z35:AN35),0) &amp; " ft")</f>
        <v/>
      </c>
      <c r="F36" s="93" t="str">
        <f>IF($B36="","",IF(_xlfn.XLOOKUP($J$2,'Input LwA_XYZ'!$BN$1:$CB$1,'Input LwA_XYZ'!BN35:CB35)="","-",_xlfn.XLOOKUP($J$2,'Input LwA_XYZ'!$BN$1:$CB$1,'Input LwA_XYZ'!BN35:CB35)))</f>
        <v/>
      </c>
      <c r="G36" s="93" t="str">
        <f>IF($B36="","",IF('Input LwA_XYZ'!K35="","-",'Input LwA_XYZ'!K35))</f>
        <v/>
      </c>
      <c r="H36" s="67" t="str">
        <f>IF($B36="","",_xlfn.XLOOKUP($J$2,'Input LwA_XYZ'!$CE$1:$CS$1,'Input LwA_XYZ'!CE35:CS35))</f>
        <v/>
      </c>
      <c r="I36" s="5">
        <f t="shared" si="2"/>
        <v>0</v>
      </c>
      <c r="J36" s="109" t="str">
        <f t="shared" si="3"/>
        <v/>
      </c>
    </row>
    <row r="37" spans="2:10" ht="16.5" customHeight="1" x14ac:dyDescent="0.3">
      <c r="B37" s="194" t="str">
        <f>IF('Input LwA_XYZ'!A36 = 0, "", 'Input LwA_XYZ'!A36)</f>
        <v/>
      </c>
      <c r="C37" s="191" t="str">
        <f>IF($B37="","",_xlfn.TEXTJOIN(" - ",TRUE,'Input LwA_XYZ'!B36:C36))</f>
        <v/>
      </c>
      <c r="D37" s="66" t="str">
        <f>IF($B37="","",'Input LwA_XYZ'!I36)</f>
        <v/>
      </c>
      <c r="E37" s="93" t="str">
        <f>IF($B37="","",-1*ROUND(_xlfn.XLOOKUP($J$2,'Input LwA_XYZ'!$AQ$1:$BE$1,'Input LwA_XYZ'!AQ36:BE36),0) &amp; " / " &amp; ROUND(_xlfn.XLOOKUP($J$2,'Input LwA_XYZ'!$Z$1:$AN$1,'Input LwA_XYZ'!Z36:AN36),0) &amp; " ft")</f>
        <v/>
      </c>
      <c r="F37" s="93" t="str">
        <f>IF($B37="","",IF(_xlfn.XLOOKUP($J$2,'Input LwA_XYZ'!$BN$1:$CB$1,'Input LwA_XYZ'!BN36:CB36)="","-",_xlfn.XLOOKUP($J$2,'Input LwA_XYZ'!$BN$1:$CB$1,'Input LwA_XYZ'!BN36:CB36)))</f>
        <v/>
      </c>
      <c r="G37" s="93" t="str">
        <f>IF($B37="","",IF('Input LwA_XYZ'!K36="","-",'Input LwA_XYZ'!K36))</f>
        <v/>
      </c>
      <c r="H37" s="67" t="str">
        <f>IF($B37="","",_xlfn.XLOOKUP($J$2,'Input LwA_XYZ'!$CE$1:$CS$1,'Input LwA_XYZ'!CE36:CS36))</f>
        <v/>
      </c>
      <c r="I37" s="5">
        <f t="shared" si="2"/>
        <v>0</v>
      </c>
      <c r="J37" s="109" t="str">
        <f t="shared" si="3"/>
        <v/>
      </c>
    </row>
    <row r="38" spans="2:10" ht="16.5" customHeight="1" x14ac:dyDescent="0.3">
      <c r="B38" s="194" t="str">
        <f>IF('Input LwA_XYZ'!A37 = 0, "", 'Input LwA_XYZ'!A37)</f>
        <v/>
      </c>
      <c r="C38" s="191" t="str">
        <f>IF($B38="","",_xlfn.TEXTJOIN(" - ",TRUE,'Input LwA_XYZ'!B37:C37))</f>
        <v/>
      </c>
      <c r="D38" s="66" t="str">
        <f>IF($B38="","",'Input LwA_XYZ'!I37)</f>
        <v/>
      </c>
      <c r="E38" s="93" t="str">
        <f>IF($B38="","",-1*ROUND(_xlfn.XLOOKUP($J$2,'Input LwA_XYZ'!$AQ$1:$BE$1,'Input LwA_XYZ'!AQ37:BE37),0) &amp; " / " &amp; ROUND(_xlfn.XLOOKUP($J$2,'Input LwA_XYZ'!$Z$1:$AN$1,'Input LwA_XYZ'!Z37:AN37),0) &amp; " ft")</f>
        <v/>
      </c>
      <c r="F38" s="93" t="str">
        <f>IF($B38="","",IF(_xlfn.XLOOKUP($J$2,'Input LwA_XYZ'!$BN$1:$CB$1,'Input LwA_XYZ'!BN37:CB37)="","-",_xlfn.XLOOKUP($J$2,'Input LwA_XYZ'!$BN$1:$CB$1,'Input LwA_XYZ'!BN37:CB37)))</f>
        <v/>
      </c>
      <c r="G38" s="93" t="str">
        <f>IF($B38="","",IF('Input LwA_XYZ'!K37="","-",'Input LwA_XYZ'!K37))</f>
        <v/>
      </c>
      <c r="H38" s="67" t="str">
        <f>IF($B38="","",_xlfn.XLOOKUP($J$2,'Input LwA_XYZ'!$CE$1:$CS$1,'Input LwA_XYZ'!CE37:CS37))</f>
        <v/>
      </c>
      <c r="I38" s="5">
        <f t="shared" si="2"/>
        <v>0</v>
      </c>
      <c r="J38" s="109" t="str">
        <f t="shared" si="3"/>
        <v/>
      </c>
    </row>
    <row r="39" spans="2:10" ht="16.5" customHeight="1" x14ac:dyDescent="0.3">
      <c r="B39" s="194" t="str">
        <f>IF('Input LwA_XYZ'!A38 = 0, "", 'Input LwA_XYZ'!A38)</f>
        <v/>
      </c>
      <c r="C39" s="191" t="str">
        <f>IF($B39="","",_xlfn.TEXTJOIN(" - ",TRUE,'Input LwA_XYZ'!B38:C38))</f>
        <v/>
      </c>
      <c r="D39" s="66" t="str">
        <f>IF($B39="","",'Input LwA_XYZ'!I38)</f>
        <v/>
      </c>
      <c r="E39" s="93" t="str">
        <f>IF($B39="","",-1*ROUND(_xlfn.XLOOKUP($J$2,'Input LwA_XYZ'!$AQ$1:$BE$1,'Input LwA_XYZ'!AQ38:BE38),0) &amp; " / " &amp; ROUND(_xlfn.XLOOKUP($J$2,'Input LwA_XYZ'!$Z$1:$AN$1,'Input LwA_XYZ'!Z38:AN38),0) &amp; " ft")</f>
        <v/>
      </c>
      <c r="F39" s="93" t="str">
        <f>IF($B39="","",IF(_xlfn.XLOOKUP($J$2,'Input LwA_XYZ'!$BN$1:$CB$1,'Input LwA_XYZ'!BN38:CB38)="","-",_xlfn.XLOOKUP($J$2,'Input LwA_XYZ'!$BN$1:$CB$1,'Input LwA_XYZ'!BN38:CB38)))</f>
        <v/>
      </c>
      <c r="G39" s="93" t="str">
        <f>IF($B39="","",IF('Input LwA_XYZ'!K38="","-",'Input LwA_XYZ'!K38))</f>
        <v/>
      </c>
      <c r="H39" s="67" t="str">
        <f>IF($B39="","",_xlfn.XLOOKUP($J$2,'Input LwA_XYZ'!$CE$1:$CS$1,'Input LwA_XYZ'!CE38:CS38))</f>
        <v/>
      </c>
      <c r="I39" s="5">
        <f t="shared" si="2"/>
        <v>0</v>
      </c>
      <c r="J39" s="109" t="str">
        <f t="shared" si="3"/>
        <v/>
      </c>
    </row>
    <row r="40" spans="2:10" ht="16.5" customHeight="1" x14ac:dyDescent="0.3">
      <c r="B40" s="194" t="str">
        <f>IF('Input LwA_XYZ'!A39 = 0, "", 'Input LwA_XYZ'!A39)</f>
        <v/>
      </c>
      <c r="C40" s="191" t="str">
        <f>IF($B40="","",_xlfn.TEXTJOIN(" - ",TRUE,'Input LwA_XYZ'!B39:C39))</f>
        <v/>
      </c>
      <c r="D40" s="66" t="str">
        <f>IF($B40="","",'Input LwA_XYZ'!I39)</f>
        <v/>
      </c>
      <c r="E40" s="93" t="str">
        <f>IF($B40="","",-1*ROUND(_xlfn.XLOOKUP($J$2,'Input LwA_XYZ'!$AQ$1:$BE$1,'Input LwA_XYZ'!AQ39:BE39),0) &amp; " / " &amp; ROUND(_xlfn.XLOOKUP($J$2,'Input LwA_XYZ'!$Z$1:$AN$1,'Input LwA_XYZ'!Z39:AN39),0) &amp; " ft")</f>
        <v/>
      </c>
      <c r="F40" s="93" t="str">
        <f>IF($B40="","",IF(_xlfn.XLOOKUP($J$2,'Input LwA_XYZ'!$BN$1:$CB$1,'Input LwA_XYZ'!BN39:CB39)="","-",_xlfn.XLOOKUP($J$2,'Input LwA_XYZ'!$BN$1:$CB$1,'Input LwA_XYZ'!BN39:CB39)))</f>
        <v/>
      </c>
      <c r="G40" s="93" t="str">
        <f>IF($B40="","",IF('Input LwA_XYZ'!K39="","-",'Input LwA_XYZ'!K39))</f>
        <v/>
      </c>
      <c r="H40" s="67" t="str">
        <f>IF($B40="","",_xlfn.XLOOKUP($J$2,'Input LwA_XYZ'!$CE$1:$CS$1,'Input LwA_XYZ'!CE39:CS39))</f>
        <v/>
      </c>
      <c r="I40" s="5">
        <f t="shared" si="2"/>
        <v>0</v>
      </c>
      <c r="J40" s="109" t="str">
        <f t="shared" si="3"/>
        <v/>
      </c>
    </row>
    <row r="41" spans="2:10" ht="16.5" customHeight="1" x14ac:dyDescent="0.3">
      <c r="B41" s="194" t="str">
        <f>IF('Input LwA_XYZ'!A40 = 0, "", 'Input LwA_XYZ'!A40)</f>
        <v/>
      </c>
      <c r="C41" s="191" t="str">
        <f>IF($B41="","",_xlfn.TEXTJOIN(" - ",TRUE,'Input LwA_XYZ'!B40:C40))</f>
        <v/>
      </c>
      <c r="D41" s="66" t="str">
        <f>IF($B41="","",'Input LwA_XYZ'!I40)</f>
        <v/>
      </c>
      <c r="E41" s="93" t="str">
        <f>IF($B41="","",-1*ROUND(_xlfn.XLOOKUP($J$2,'Input LwA_XYZ'!$AQ$1:$BE$1,'Input LwA_XYZ'!AQ40:BE40),0) &amp; " / " &amp; ROUND(_xlfn.XLOOKUP($J$2,'Input LwA_XYZ'!$Z$1:$AN$1,'Input LwA_XYZ'!Z40:AN40),0) &amp; " ft")</f>
        <v/>
      </c>
      <c r="F41" s="93" t="str">
        <f>IF($B41="","",IF(_xlfn.XLOOKUP($J$2,'Input LwA_XYZ'!$BN$1:$CB$1,'Input LwA_XYZ'!BN40:CB40)="","-",_xlfn.XLOOKUP($J$2,'Input LwA_XYZ'!$BN$1:$CB$1,'Input LwA_XYZ'!BN40:CB40)))</f>
        <v/>
      </c>
      <c r="G41" s="93" t="str">
        <f>IF($B41="","",IF('Input LwA_XYZ'!K40="","-",'Input LwA_XYZ'!K40))</f>
        <v/>
      </c>
      <c r="H41" s="67" t="str">
        <f>IF($B41="","",_xlfn.XLOOKUP($J$2,'Input LwA_XYZ'!$CE$1:$CS$1,'Input LwA_XYZ'!CE40:CS40))</f>
        <v/>
      </c>
      <c r="I41" s="5">
        <f t="shared" si="2"/>
        <v>0</v>
      </c>
      <c r="J41" s="109" t="str">
        <f t="shared" si="3"/>
        <v/>
      </c>
    </row>
    <row r="42" spans="2:10" ht="16.5" customHeight="1" x14ac:dyDescent="0.3">
      <c r="B42" s="194" t="str">
        <f>IF('Input LwA_XYZ'!A41 = 0, "", 'Input LwA_XYZ'!A41)</f>
        <v/>
      </c>
      <c r="C42" s="191" t="str">
        <f>IF($B42="","",_xlfn.TEXTJOIN(" - ",TRUE,'Input LwA_XYZ'!B41:C41))</f>
        <v/>
      </c>
      <c r="D42" s="66" t="str">
        <f>IF($B42="","",'Input LwA_XYZ'!I41)</f>
        <v/>
      </c>
      <c r="E42" s="93" t="str">
        <f>IF($B42="","",-1*ROUND(_xlfn.XLOOKUP($J$2,'Input LwA_XYZ'!$AQ$1:$BE$1,'Input LwA_XYZ'!AQ41:BE41),0) &amp; " / " &amp; ROUND(_xlfn.XLOOKUP($J$2,'Input LwA_XYZ'!$Z$1:$AN$1,'Input LwA_XYZ'!Z41:AN41),0) &amp; " ft")</f>
        <v/>
      </c>
      <c r="F42" s="93" t="str">
        <f>IF($B42="","",IF(_xlfn.XLOOKUP($J$2,'Input LwA_XYZ'!$BN$1:$CB$1,'Input LwA_XYZ'!BN41:CB41)="","-",_xlfn.XLOOKUP($J$2,'Input LwA_XYZ'!$BN$1:$CB$1,'Input LwA_XYZ'!BN41:CB41)))</f>
        <v/>
      </c>
      <c r="G42" s="93" t="str">
        <f>IF($B42="","",IF('Input LwA_XYZ'!K41="","-",'Input LwA_XYZ'!K41))</f>
        <v/>
      </c>
      <c r="H42" s="67" t="str">
        <f>IF($B42="","",_xlfn.XLOOKUP($J$2,'Input LwA_XYZ'!$CE$1:$CS$1,'Input LwA_XYZ'!CE41:CS41))</f>
        <v/>
      </c>
      <c r="I42" s="5">
        <f t="shared" si="2"/>
        <v>0</v>
      </c>
      <c r="J42" s="109" t="str">
        <f t="shared" si="3"/>
        <v/>
      </c>
    </row>
    <row r="43" spans="2:10" ht="16.5" customHeight="1" x14ac:dyDescent="0.3">
      <c r="B43" s="194" t="str">
        <f>IF('Input LwA_XYZ'!A42 = 0, "", 'Input LwA_XYZ'!A42)</f>
        <v/>
      </c>
      <c r="C43" s="191" t="str">
        <f>IF($B43="","",_xlfn.TEXTJOIN(" - ",TRUE,'Input LwA_XYZ'!B42:C42))</f>
        <v/>
      </c>
      <c r="D43" s="66" t="str">
        <f>IF($B43="","",'Input LwA_XYZ'!I42)</f>
        <v/>
      </c>
      <c r="E43" s="93" t="str">
        <f>IF($B43="","",-1*ROUND(_xlfn.XLOOKUP($J$2,'Input LwA_XYZ'!$AQ$1:$BE$1,'Input LwA_XYZ'!AQ42:BE42),0) &amp; " / " &amp; ROUND(_xlfn.XLOOKUP($J$2,'Input LwA_XYZ'!$Z$1:$AN$1,'Input LwA_XYZ'!Z42:AN42),0) &amp; " ft")</f>
        <v/>
      </c>
      <c r="F43" s="93" t="str">
        <f>IF($B43="","",IF(_xlfn.XLOOKUP($J$2,'Input LwA_XYZ'!$BN$1:$CB$1,'Input LwA_XYZ'!BN42:CB42)="","-",_xlfn.XLOOKUP($J$2,'Input LwA_XYZ'!$BN$1:$CB$1,'Input LwA_XYZ'!BN42:CB42)))</f>
        <v/>
      </c>
      <c r="G43" s="93" t="str">
        <f>IF($B43="","",IF('Input LwA_XYZ'!K42="","-",'Input LwA_XYZ'!K42))</f>
        <v/>
      </c>
      <c r="H43" s="67" t="str">
        <f>IF($B43="","",_xlfn.XLOOKUP($J$2,'Input LwA_XYZ'!$CE$1:$CS$1,'Input LwA_XYZ'!CE42:CS42))</f>
        <v/>
      </c>
      <c r="I43" s="5">
        <f t="shared" si="2"/>
        <v>0</v>
      </c>
      <c r="J43" s="109" t="str">
        <f t="shared" si="3"/>
        <v/>
      </c>
    </row>
    <row r="44" spans="2:10" ht="16.5" customHeight="1" x14ac:dyDescent="0.3">
      <c r="B44" s="194" t="str">
        <f>IF('Input LwA_XYZ'!A43 = 0, "", 'Input LwA_XYZ'!A43)</f>
        <v/>
      </c>
      <c r="C44" s="191" t="str">
        <f>IF($B44="","",_xlfn.TEXTJOIN(" - ",TRUE,'Input LwA_XYZ'!B43:C43))</f>
        <v/>
      </c>
      <c r="D44" s="66" t="str">
        <f>IF($B44="","",'Input LwA_XYZ'!I43)</f>
        <v/>
      </c>
      <c r="E44" s="93" t="str">
        <f>IF($B44="","",-1*ROUND(_xlfn.XLOOKUP($J$2,'Input LwA_XYZ'!$AQ$1:$BE$1,'Input LwA_XYZ'!AQ43:BE43),0) &amp; " / " &amp; ROUND(_xlfn.XLOOKUP($J$2,'Input LwA_XYZ'!$Z$1:$AN$1,'Input LwA_XYZ'!Z43:AN43),0) &amp; " ft")</f>
        <v/>
      </c>
      <c r="F44" s="93" t="str">
        <f>IF($B44="","",IF(_xlfn.XLOOKUP($J$2,'Input LwA_XYZ'!$BN$1:$CB$1,'Input LwA_XYZ'!BN43:CB43)="","-",_xlfn.XLOOKUP($J$2,'Input LwA_XYZ'!$BN$1:$CB$1,'Input LwA_XYZ'!BN43:CB43)))</f>
        <v/>
      </c>
      <c r="G44" s="93" t="str">
        <f>IF($B44="","",IF('Input LwA_XYZ'!K43="","-",'Input LwA_XYZ'!K43))</f>
        <v/>
      </c>
      <c r="H44" s="67" t="str">
        <f>IF($B44="","",_xlfn.XLOOKUP($J$2,'Input LwA_XYZ'!$CE$1:$CS$1,'Input LwA_XYZ'!CE43:CS43))</f>
        <v/>
      </c>
      <c r="I44" s="5">
        <f t="shared" si="2"/>
        <v>0</v>
      </c>
      <c r="J44" s="109" t="str">
        <f t="shared" si="3"/>
        <v/>
      </c>
    </row>
    <row r="45" spans="2:10" ht="16.5" customHeight="1" x14ac:dyDescent="0.3">
      <c r="B45" s="194" t="str">
        <f>IF('Input LwA_XYZ'!A44 = 0, "", 'Input LwA_XYZ'!A44)</f>
        <v/>
      </c>
      <c r="C45" s="191" t="str">
        <f>IF($B45="","",_xlfn.TEXTJOIN(" - ",TRUE,'Input LwA_XYZ'!B44:C44))</f>
        <v/>
      </c>
      <c r="D45" s="66" t="str">
        <f>IF($B45="","",'Input LwA_XYZ'!I44)</f>
        <v/>
      </c>
      <c r="E45" s="93" t="str">
        <f>IF($B45="","",-1*ROUND(_xlfn.XLOOKUP($J$2,'Input LwA_XYZ'!$AQ$1:$BE$1,'Input LwA_XYZ'!AQ44:BE44),0) &amp; " / " &amp; ROUND(_xlfn.XLOOKUP($J$2,'Input LwA_XYZ'!$Z$1:$AN$1,'Input LwA_XYZ'!Z44:AN44),0) &amp; " ft")</f>
        <v/>
      </c>
      <c r="F45" s="93" t="str">
        <f>IF($B45="","",IF(_xlfn.XLOOKUP($J$2,'Input LwA_XYZ'!$BN$1:$CB$1,'Input LwA_XYZ'!BN44:CB44)="","-",_xlfn.XLOOKUP($J$2,'Input LwA_XYZ'!$BN$1:$CB$1,'Input LwA_XYZ'!BN44:CB44)))</f>
        <v/>
      </c>
      <c r="G45" s="93" t="str">
        <f>IF($B45="","",IF('Input LwA_XYZ'!K44="","-",'Input LwA_XYZ'!K44))</f>
        <v/>
      </c>
      <c r="H45" s="67" t="str">
        <f>IF($B45="","",_xlfn.XLOOKUP($J$2,'Input LwA_XYZ'!$CE$1:$CS$1,'Input LwA_XYZ'!CE44:CS44))</f>
        <v/>
      </c>
      <c r="I45" s="5">
        <f t="shared" si="2"/>
        <v>0</v>
      </c>
      <c r="J45" s="109" t="str">
        <f t="shared" si="3"/>
        <v/>
      </c>
    </row>
    <row r="46" spans="2:10" ht="16.5" customHeight="1" x14ac:dyDescent="0.3">
      <c r="B46" s="194" t="str">
        <f>IF('Input LwA_XYZ'!A45 = 0, "", 'Input LwA_XYZ'!A45)</f>
        <v/>
      </c>
      <c r="C46" s="191" t="str">
        <f>IF($B46="","",_xlfn.TEXTJOIN(" - ",TRUE,'Input LwA_XYZ'!B45:C45))</f>
        <v/>
      </c>
      <c r="D46" s="66" t="str">
        <f>IF($B46="","",'Input LwA_XYZ'!I45)</f>
        <v/>
      </c>
      <c r="E46" s="93" t="str">
        <f>IF($B46="","",-1*ROUND(_xlfn.XLOOKUP($J$2,'Input LwA_XYZ'!$AQ$1:$BE$1,'Input LwA_XYZ'!AQ45:BE45),0) &amp; " / " &amp; ROUND(_xlfn.XLOOKUP($J$2,'Input LwA_XYZ'!$Z$1:$AN$1,'Input LwA_XYZ'!Z45:AN45),0) &amp; " ft")</f>
        <v/>
      </c>
      <c r="F46" s="93" t="str">
        <f>IF($B46="","",IF(_xlfn.XLOOKUP($J$2,'Input LwA_XYZ'!$BN$1:$CB$1,'Input LwA_XYZ'!BN45:CB45)="","-",_xlfn.XLOOKUP($J$2,'Input LwA_XYZ'!$BN$1:$CB$1,'Input LwA_XYZ'!BN45:CB45)))</f>
        <v/>
      </c>
      <c r="G46" s="93" t="str">
        <f>IF($B46="","",IF('Input LwA_XYZ'!K45="","-",'Input LwA_XYZ'!K45))</f>
        <v/>
      </c>
      <c r="H46" s="67" t="str">
        <f>IF($B46="","",_xlfn.XLOOKUP($J$2,'Input LwA_XYZ'!$CE$1:$CS$1,'Input LwA_XYZ'!CE45:CS45))</f>
        <v/>
      </c>
      <c r="I46" s="5">
        <f t="shared" si="2"/>
        <v>0</v>
      </c>
      <c r="J46" s="109" t="str">
        <f t="shared" si="3"/>
        <v/>
      </c>
    </row>
    <row r="47" spans="2:10" ht="16.5" customHeight="1" x14ac:dyDescent="0.3">
      <c r="B47" s="194" t="str">
        <f>IF('Input LwA_XYZ'!A46 = 0, "", 'Input LwA_XYZ'!A46)</f>
        <v/>
      </c>
      <c r="C47" s="191" t="str">
        <f>IF($B47="","",_xlfn.TEXTJOIN(" - ",TRUE,'Input LwA_XYZ'!B46:C46))</f>
        <v/>
      </c>
      <c r="D47" s="66" t="str">
        <f>IF($B47="","",'Input LwA_XYZ'!I46)</f>
        <v/>
      </c>
      <c r="E47" s="93" t="str">
        <f>IF($B47="","",-1*ROUND(_xlfn.XLOOKUP($J$2,'Input LwA_XYZ'!$AQ$1:$BE$1,'Input LwA_XYZ'!AQ46:BE46),0) &amp; " / " &amp; ROUND(_xlfn.XLOOKUP($J$2,'Input LwA_XYZ'!$Z$1:$AN$1,'Input LwA_XYZ'!Z46:AN46),0) &amp; " ft")</f>
        <v/>
      </c>
      <c r="F47" s="93" t="str">
        <f>IF($B47="","",IF(_xlfn.XLOOKUP($J$2,'Input LwA_XYZ'!$BN$1:$CB$1,'Input LwA_XYZ'!BN46:CB46)="","-",_xlfn.XLOOKUP($J$2,'Input LwA_XYZ'!$BN$1:$CB$1,'Input LwA_XYZ'!BN46:CB46)))</f>
        <v/>
      </c>
      <c r="G47" s="93" t="str">
        <f>IF($B47="","",IF('Input LwA_XYZ'!K46="","-",'Input LwA_XYZ'!K46))</f>
        <v/>
      </c>
      <c r="H47" s="67" t="str">
        <f>IF($B47="","",_xlfn.XLOOKUP($J$2,'Input LwA_XYZ'!$CE$1:$CS$1,'Input LwA_XYZ'!CE46:CS46))</f>
        <v/>
      </c>
      <c r="I47" s="5">
        <f t="shared" si="2"/>
        <v>0</v>
      </c>
      <c r="J47" s="109" t="str">
        <f t="shared" si="3"/>
        <v/>
      </c>
    </row>
    <row r="48" spans="2:10" ht="16.5" customHeight="1" x14ac:dyDescent="0.3">
      <c r="B48" s="194" t="str">
        <f>IF('Input LwA_XYZ'!A47 = 0, "", 'Input LwA_XYZ'!A47)</f>
        <v/>
      </c>
      <c r="C48" s="191" t="str">
        <f>IF($B48="","",_xlfn.TEXTJOIN(" - ",TRUE,'Input LwA_XYZ'!B47:C47))</f>
        <v/>
      </c>
      <c r="D48" s="66" t="str">
        <f>IF($B48="","",'Input LwA_XYZ'!I47)</f>
        <v/>
      </c>
      <c r="E48" s="93" t="str">
        <f>IF($B48="","",-1*ROUND(_xlfn.XLOOKUP($J$2,'Input LwA_XYZ'!$AQ$1:$BE$1,'Input LwA_XYZ'!AQ47:BE47),0) &amp; " / " &amp; ROUND(_xlfn.XLOOKUP($J$2,'Input LwA_XYZ'!$Z$1:$AN$1,'Input LwA_XYZ'!Z47:AN47),0) &amp; " ft")</f>
        <v/>
      </c>
      <c r="F48" s="93" t="str">
        <f>IF($B48="","",IF(_xlfn.XLOOKUP($J$2,'Input LwA_XYZ'!$BN$1:$CB$1,'Input LwA_XYZ'!BN47:CB47)="","-",_xlfn.XLOOKUP($J$2,'Input LwA_XYZ'!$BN$1:$CB$1,'Input LwA_XYZ'!BN47:CB47)))</f>
        <v/>
      </c>
      <c r="G48" s="93" t="str">
        <f>IF($B48="","",IF('Input LwA_XYZ'!K47="","-",'Input LwA_XYZ'!K47))</f>
        <v/>
      </c>
      <c r="H48" s="67" t="str">
        <f>IF($B48="","",_xlfn.XLOOKUP($J$2,'Input LwA_XYZ'!$CE$1:$CS$1,'Input LwA_XYZ'!CE47:CS47))</f>
        <v/>
      </c>
      <c r="I48" s="5">
        <f t="shared" si="2"/>
        <v>0</v>
      </c>
      <c r="J48" s="109" t="str">
        <f t="shared" si="3"/>
        <v/>
      </c>
    </row>
    <row r="49" spans="2:11" ht="16.5" customHeight="1" x14ac:dyDescent="0.3">
      <c r="B49" s="194" t="str">
        <f>IF('Input LwA_XYZ'!A48 = 0, "", 'Input LwA_XYZ'!A48)</f>
        <v/>
      </c>
      <c r="C49" s="191" t="str">
        <f>IF($B49="","",_xlfn.TEXTJOIN(" - ",TRUE,'Input LwA_XYZ'!B48:C48))</f>
        <v/>
      </c>
      <c r="D49" s="66" t="str">
        <f>IF($B49="","",'Input LwA_XYZ'!I48)</f>
        <v/>
      </c>
      <c r="E49" s="93" t="str">
        <f>IF($B49="","",-1*ROUND(_xlfn.XLOOKUP($J$2,'Input LwA_XYZ'!$AQ$1:$BE$1,'Input LwA_XYZ'!AQ48:BE48),0) &amp; " / " &amp; ROUND(_xlfn.XLOOKUP($J$2,'Input LwA_XYZ'!$Z$1:$AN$1,'Input LwA_XYZ'!Z48:AN48),0) &amp; " ft")</f>
        <v/>
      </c>
      <c r="F49" s="93" t="str">
        <f>IF($B49="","",IF(_xlfn.XLOOKUP($J$2,'Input LwA_XYZ'!$BN$1:$CB$1,'Input LwA_XYZ'!BN48:CB48)="","-",_xlfn.XLOOKUP($J$2,'Input LwA_XYZ'!$BN$1:$CB$1,'Input LwA_XYZ'!BN48:CB48)))</f>
        <v/>
      </c>
      <c r="G49" s="93" t="str">
        <f>IF($B49="","",IF('Input LwA_XYZ'!K48="","-",'Input LwA_XYZ'!K48))</f>
        <v/>
      </c>
      <c r="H49" s="67" t="str">
        <f>IF($B49="","",_xlfn.XLOOKUP($J$2,'Input LwA_XYZ'!$CE$1:$CS$1,'Input LwA_XYZ'!CE48:CS48))</f>
        <v/>
      </c>
      <c r="I49" s="5">
        <f t="shared" si="2"/>
        <v>0</v>
      </c>
      <c r="J49" s="109" t="str">
        <f t="shared" si="3"/>
        <v/>
      </c>
    </row>
    <row r="50" spans="2:11" ht="16.5" customHeight="1" x14ac:dyDescent="0.3">
      <c r="B50" s="194" t="str">
        <f>IF('Input LwA_XYZ'!A49 = 0, "", 'Input LwA_XYZ'!A49)</f>
        <v/>
      </c>
      <c r="C50" s="191" t="str">
        <f>IF($B50="","",_xlfn.TEXTJOIN(" - ",TRUE,'Input LwA_XYZ'!B49:C49))</f>
        <v/>
      </c>
      <c r="D50" s="66" t="str">
        <f>IF($B50="","",'Input LwA_XYZ'!I49)</f>
        <v/>
      </c>
      <c r="E50" s="93" t="str">
        <f>IF($B50="","",-1*ROUND(_xlfn.XLOOKUP($J$2,'Input LwA_XYZ'!$AQ$1:$BE$1,'Input LwA_XYZ'!AQ49:BE49),0) &amp; " / " &amp; ROUND(_xlfn.XLOOKUP($J$2,'Input LwA_XYZ'!$Z$1:$AN$1,'Input LwA_XYZ'!Z49:AN49),0) &amp; " ft")</f>
        <v/>
      </c>
      <c r="F50" s="93" t="str">
        <f>IF($B50="","",IF(_xlfn.XLOOKUP($J$2,'Input LwA_XYZ'!$BN$1:$CB$1,'Input LwA_XYZ'!BN49:CB49)="","-",_xlfn.XLOOKUP($J$2,'Input LwA_XYZ'!$BN$1:$CB$1,'Input LwA_XYZ'!BN49:CB49)))</f>
        <v/>
      </c>
      <c r="G50" s="93" t="str">
        <f>IF($B50="","",IF('Input LwA_XYZ'!K49="","-",'Input LwA_XYZ'!K49))</f>
        <v/>
      </c>
      <c r="H50" s="67" t="str">
        <f>IF($B50="","",_xlfn.XLOOKUP($J$2,'Input LwA_XYZ'!$CE$1:$CS$1,'Input LwA_XYZ'!CE49:CS49))</f>
        <v/>
      </c>
      <c r="I50" s="5">
        <f t="shared" si="2"/>
        <v>0</v>
      </c>
      <c r="J50" s="109" t="str">
        <f t="shared" si="3"/>
        <v/>
      </c>
    </row>
    <row r="51" spans="2:11" ht="16.5" customHeight="1" x14ac:dyDescent="0.3">
      <c r="B51" s="194" t="str">
        <f>IF('Input LwA_XYZ'!A50 = 0, "", 'Input LwA_XYZ'!A50)</f>
        <v/>
      </c>
      <c r="C51" s="191" t="str">
        <f>IF($B51="","",_xlfn.TEXTJOIN(" - ",TRUE,'Input LwA_XYZ'!B50:C50))</f>
        <v/>
      </c>
      <c r="D51" s="66" t="str">
        <f>IF($B51="","",'Input LwA_XYZ'!I50)</f>
        <v/>
      </c>
      <c r="E51" s="93" t="str">
        <f>IF($B51="","",-1*ROUND(_xlfn.XLOOKUP($J$2,'Input LwA_XYZ'!$AQ$1:$BE$1,'Input LwA_XYZ'!AQ50:BE50),0) &amp; " / " &amp; ROUND(_xlfn.XLOOKUP($J$2,'Input LwA_XYZ'!$Z$1:$AN$1,'Input LwA_XYZ'!Z50:AN50),0) &amp; " ft")</f>
        <v/>
      </c>
      <c r="F51" s="93" t="str">
        <f>IF($B51="","",IF(_xlfn.XLOOKUP($J$2,'Input LwA_XYZ'!$BN$1:$CB$1,'Input LwA_XYZ'!BN50:CB50)="","-",_xlfn.XLOOKUP($J$2,'Input LwA_XYZ'!$BN$1:$CB$1,'Input LwA_XYZ'!BN50:CB50)))</f>
        <v/>
      </c>
      <c r="G51" s="93" t="str">
        <f>IF($B51="","",IF('Input LwA_XYZ'!K50="","-",'Input LwA_XYZ'!K50))</f>
        <v/>
      </c>
      <c r="H51" s="67" t="str">
        <f>IF($B51="","",_xlfn.XLOOKUP($J$2,'Input LwA_XYZ'!$CE$1:$CS$1,'Input LwA_XYZ'!CE50:CS50))</f>
        <v/>
      </c>
      <c r="I51" s="5">
        <f t="shared" si="2"/>
        <v>0</v>
      </c>
      <c r="J51" s="109" t="str">
        <f t="shared" si="3"/>
        <v/>
      </c>
    </row>
    <row r="52" spans="2:11" ht="16.5" customHeight="1" x14ac:dyDescent="0.3">
      <c r="B52" s="194" t="str">
        <f>IF('Input LwA_XYZ'!A51 = 0, "", 'Input LwA_XYZ'!A51)</f>
        <v/>
      </c>
      <c r="C52" s="191" t="str">
        <f>IF($B52="","",_xlfn.TEXTJOIN(" - ",TRUE,'Input LwA_XYZ'!B51:C51))</f>
        <v/>
      </c>
      <c r="D52" s="66" t="str">
        <f>IF($B52="","",'Input LwA_XYZ'!I51)</f>
        <v/>
      </c>
      <c r="E52" s="93" t="str">
        <f>IF($B52="","",-1*ROUND(_xlfn.XLOOKUP($J$2,'Input LwA_XYZ'!$AQ$1:$BE$1,'Input LwA_XYZ'!AQ51:BE51),0) &amp; " / " &amp; ROUND(_xlfn.XLOOKUP($J$2,'Input LwA_XYZ'!$Z$1:$AN$1,'Input LwA_XYZ'!Z51:AN51),0) &amp; " ft")</f>
        <v/>
      </c>
      <c r="F52" s="93" t="str">
        <f>IF($B52="","",IF(_xlfn.XLOOKUP($J$2,'Input LwA_XYZ'!$BN$1:$CB$1,'Input LwA_XYZ'!BN51:CB51)="","-",_xlfn.XLOOKUP($J$2,'Input LwA_XYZ'!$BN$1:$CB$1,'Input LwA_XYZ'!BN51:CB51)))</f>
        <v/>
      </c>
      <c r="G52" s="93" t="str">
        <f>IF($B52="","",IF('Input LwA_XYZ'!K51="","-",'Input LwA_XYZ'!K51))</f>
        <v/>
      </c>
      <c r="H52" s="67" t="str">
        <f>IF($B52="","",_xlfn.XLOOKUP($J$2,'Input LwA_XYZ'!$CE$1:$CS$1,'Input LwA_XYZ'!CE51:CS51))</f>
        <v/>
      </c>
      <c r="I52" s="5">
        <f t="shared" si="2"/>
        <v>0</v>
      </c>
      <c r="J52" s="109" t="str">
        <f t="shared" si="3"/>
        <v/>
      </c>
    </row>
    <row r="53" spans="2:11" ht="16.5" customHeight="1" x14ac:dyDescent="0.3">
      <c r="B53" s="194" t="str">
        <f>IF('Input LwA_XYZ'!A52 = 0, "", 'Input LwA_XYZ'!A52)</f>
        <v/>
      </c>
      <c r="C53" s="191" t="str">
        <f>IF($B53="","",_xlfn.TEXTJOIN(" - ",TRUE,'Input LwA_XYZ'!B52:C52))</f>
        <v/>
      </c>
      <c r="D53" s="66" t="str">
        <f>IF($B53="","",'Input LwA_XYZ'!I52)</f>
        <v/>
      </c>
      <c r="E53" s="93" t="str">
        <f>IF($B53="","",-1*ROUND(_xlfn.XLOOKUP($J$2,'Input LwA_XYZ'!$AQ$1:$BE$1,'Input LwA_XYZ'!AQ52:BE52),0) &amp; " / " &amp; ROUND(_xlfn.XLOOKUP($J$2,'Input LwA_XYZ'!$Z$1:$AN$1,'Input LwA_XYZ'!Z52:AN52),0) &amp; " ft")</f>
        <v/>
      </c>
      <c r="F53" s="93" t="str">
        <f>IF($B53="","",IF(_xlfn.XLOOKUP($J$2,'Input LwA_XYZ'!$BN$1:$CB$1,'Input LwA_XYZ'!BN52:CB52)="","-",_xlfn.XLOOKUP($J$2,'Input LwA_XYZ'!$BN$1:$CB$1,'Input LwA_XYZ'!BN52:CB52)))</f>
        <v/>
      </c>
      <c r="G53" s="93" t="str">
        <f>IF($B53="","",IF('Input LwA_XYZ'!K52="","-",'Input LwA_XYZ'!K52))</f>
        <v/>
      </c>
      <c r="H53" s="67" t="str">
        <f>IF($B53="","",_xlfn.XLOOKUP($J$2,'Input LwA_XYZ'!$CE$1:$CS$1,'Input LwA_XYZ'!CE52:CS52))</f>
        <v/>
      </c>
      <c r="I53" s="5">
        <f t="shared" si="2"/>
        <v>0</v>
      </c>
      <c r="J53" s="109" t="str">
        <f t="shared" si="3"/>
        <v/>
      </c>
    </row>
    <row r="54" spans="2:11" ht="16.5" customHeight="1" x14ac:dyDescent="0.3">
      <c r="B54" s="194" t="str">
        <f>IF('Input LwA_XYZ'!A53 = 0, "", 'Input LwA_XYZ'!A53)</f>
        <v/>
      </c>
      <c r="C54" s="191" t="str">
        <f>IF($B54="","",_xlfn.TEXTJOIN(" - ",TRUE,'Input LwA_XYZ'!B53:C53))</f>
        <v/>
      </c>
      <c r="D54" s="66" t="str">
        <f>IF($B54="","",'Input LwA_XYZ'!I53)</f>
        <v/>
      </c>
      <c r="E54" s="93" t="str">
        <f>IF($B54="","",-1*ROUND(_xlfn.XLOOKUP($J$2,'Input LwA_XYZ'!$AQ$1:$BE$1,'Input LwA_XYZ'!AQ53:BE53),0) &amp; " / " &amp; ROUND(_xlfn.XLOOKUP($J$2,'Input LwA_XYZ'!$Z$1:$AN$1,'Input LwA_XYZ'!Z53:AN53),0) &amp; " ft")</f>
        <v/>
      </c>
      <c r="F54" s="93" t="str">
        <f>IF($B54="","",IF(_xlfn.XLOOKUP($J$2,'Input LwA_XYZ'!$BN$1:$CB$1,'Input LwA_XYZ'!BN53:CB53)="","-",_xlfn.XLOOKUP($J$2,'Input LwA_XYZ'!$BN$1:$CB$1,'Input LwA_XYZ'!BN53:CB53)))</f>
        <v/>
      </c>
      <c r="G54" s="93" t="str">
        <f>IF($B54="","",IF('Input LwA_XYZ'!K53="","-",'Input LwA_XYZ'!K53))</f>
        <v/>
      </c>
      <c r="H54" s="67" t="str">
        <f>IF($B54="","",_xlfn.XLOOKUP($J$2,'Input LwA_XYZ'!$CE$1:$CS$1,'Input LwA_XYZ'!CE53:CS53))</f>
        <v/>
      </c>
      <c r="I54" s="5">
        <f t="shared" si="2"/>
        <v>0</v>
      </c>
      <c r="J54" s="109" t="str">
        <f t="shared" si="3"/>
        <v/>
      </c>
    </row>
    <row r="55" spans="2:11" ht="16.5" customHeight="1" x14ac:dyDescent="0.3">
      <c r="B55" s="194" t="str">
        <f>IF('Input LwA_XYZ'!A54 = 0, "", 'Input LwA_XYZ'!A54)</f>
        <v/>
      </c>
      <c r="C55" s="191" t="str">
        <f>IF($B55="","",_xlfn.TEXTJOIN(" - ",TRUE,'Input LwA_XYZ'!B54:C54))</f>
        <v/>
      </c>
      <c r="D55" s="66" t="str">
        <f>IF($B55="","",'Input LwA_XYZ'!I54)</f>
        <v/>
      </c>
      <c r="E55" s="93" t="str">
        <f>IF($B55="","",-1*ROUND(_xlfn.XLOOKUP($J$2,'Input LwA_XYZ'!$AQ$1:$BE$1,'Input LwA_XYZ'!AQ54:BE54),0) &amp; " / " &amp; ROUND(_xlfn.XLOOKUP($J$2,'Input LwA_XYZ'!$Z$1:$AN$1,'Input LwA_XYZ'!Z54:AN54),0) &amp; " ft")</f>
        <v/>
      </c>
      <c r="F55" s="93" t="str">
        <f>IF($B55="","",IF(_xlfn.XLOOKUP($J$2,'Input LwA_XYZ'!$BN$1:$CB$1,'Input LwA_XYZ'!BN54:CB54)="","-",_xlfn.XLOOKUP($J$2,'Input LwA_XYZ'!$BN$1:$CB$1,'Input LwA_XYZ'!BN54:CB54)))</f>
        <v/>
      </c>
      <c r="G55" s="93" t="str">
        <f>IF($B55="","",IF('Input LwA_XYZ'!K54="","-",'Input LwA_XYZ'!K54))</f>
        <v/>
      </c>
      <c r="H55" s="67" t="str">
        <f>IF($B55="","",_xlfn.XLOOKUP($J$2,'Input LwA_XYZ'!$CE$1:$CS$1,'Input LwA_XYZ'!CE54:CS54))</f>
        <v/>
      </c>
      <c r="I55" s="5">
        <f t="shared" si="2"/>
        <v>0</v>
      </c>
      <c r="J55" s="109" t="str">
        <f t="shared" si="3"/>
        <v/>
      </c>
    </row>
    <row r="56" spans="2:11" ht="16.5" customHeight="1" x14ac:dyDescent="0.3">
      <c r="B56" s="194" t="str">
        <f>IF('Input LwA_XYZ'!A55 = 0, "", 'Input LwA_XYZ'!A55)</f>
        <v/>
      </c>
      <c r="C56" s="191" t="str">
        <f>IF($B56="","",_xlfn.TEXTJOIN(" - ",TRUE,'Input LwA_XYZ'!B55:C55))</f>
        <v/>
      </c>
      <c r="D56" s="66" t="str">
        <f>IF($B56="","",'Input LwA_XYZ'!I55)</f>
        <v/>
      </c>
      <c r="E56" s="93" t="str">
        <f>IF($B56="","",-1*ROUND(_xlfn.XLOOKUP($J$2,'Input LwA_XYZ'!$AQ$1:$BE$1,'Input LwA_XYZ'!AQ55:BE55),0) &amp; " / " &amp; ROUND(_xlfn.XLOOKUP($J$2,'Input LwA_XYZ'!$Z$1:$AN$1,'Input LwA_XYZ'!Z55:AN55),0) &amp; " ft")</f>
        <v/>
      </c>
      <c r="F56" s="93" t="str">
        <f>IF($B56="","",IF(_xlfn.XLOOKUP($J$2,'Input LwA_XYZ'!$BN$1:$CB$1,'Input LwA_XYZ'!BN55:CB55)="","-",_xlfn.XLOOKUP($J$2,'Input LwA_XYZ'!$BN$1:$CB$1,'Input LwA_XYZ'!BN55:CB55)))</f>
        <v/>
      </c>
      <c r="G56" s="93" t="str">
        <f>IF($B56="","",IF('Input LwA_XYZ'!K55="","-",'Input LwA_XYZ'!K55))</f>
        <v/>
      </c>
      <c r="H56" s="67" t="str">
        <f>IF($B56="","",_xlfn.XLOOKUP($J$2,'Input LwA_XYZ'!$CE$1:$CS$1,'Input LwA_XYZ'!CE55:CS55))</f>
        <v/>
      </c>
      <c r="I56" s="5">
        <f t="shared" si="2"/>
        <v>0</v>
      </c>
      <c r="J56" s="109" t="str">
        <f t="shared" si="3"/>
        <v/>
      </c>
    </row>
    <row r="57" spans="2:11" ht="16.5" customHeight="1" x14ac:dyDescent="0.3">
      <c r="B57" s="194" t="str">
        <f>IF('Input LwA_XYZ'!A56 = 0, "", 'Input LwA_XYZ'!A56)</f>
        <v/>
      </c>
      <c r="C57" s="191" t="str">
        <f>IF($B57="","",_xlfn.TEXTJOIN(" - ",TRUE,'Input LwA_XYZ'!B56:C56))</f>
        <v/>
      </c>
      <c r="D57" s="66" t="str">
        <f>IF($B57="","",'Input LwA_XYZ'!I56)</f>
        <v/>
      </c>
      <c r="E57" s="93" t="str">
        <f>IF($B57="","",-1*ROUND(_xlfn.XLOOKUP($J$2,'Input LwA_XYZ'!$AQ$1:$BE$1,'Input LwA_XYZ'!AQ56:BE56),0) &amp; " / " &amp; ROUND(_xlfn.XLOOKUP($J$2,'Input LwA_XYZ'!$Z$1:$AN$1,'Input LwA_XYZ'!Z56:AN56),0) &amp; " ft")</f>
        <v/>
      </c>
      <c r="F57" s="93" t="str">
        <f>IF($B57="","",IF(_xlfn.XLOOKUP($J$2,'Input LwA_XYZ'!$BN$1:$CB$1,'Input LwA_XYZ'!BN56:CB56)="","-",_xlfn.XLOOKUP($J$2,'Input LwA_XYZ'!$BN$1:$CB$1,'Input LwA_XYZ'!BN56:CB56)))</f>
        <v/>
      </c>
      <c r="G57" s="93" t="str">
        <f>IF($B57="","",IF('Input LwA_XYZ'!K56="","-",'Input LwA_XYZ'!K56))</f>
        <v/>
      </c>
      <c r="H57" s="67" t="str">
        <f>IF($B57="","",_xlfn.XLOOKUP($J$2,'Input LwA_XYZ'!$CE$1:$CS$1,'Input LwA_XYZ'!CE56:CS56))</f>
        <v/>
      </c>
      <c r="I57" s="5">
        <f t="shared" si="2"/>
        <v>0</v>
      </c>
      <c r="J57" s="109" t="str">
        <f t="shared" si="3"/>
        <v/>
      </c>
    </row>
    <row r="58" spans="2:11" ht="16.5" customHeight="1" x14ac:dyDescent="0.3">
      <c r="B58" s="194" t="str">
        <f>IF('Input LwA_XYZ'!A57 = 0, "", 'Input LwA_XYZ'!A57)</f>
        <v/>
      </c>
      <c r="C58" s="191" t="str">
        <f>IF($B58="","",_xlfn.TEXTJOIN(" - ",TRUE,'Input LwA_XYZ'!B57:C57))</f>
        <v/>
      </c>
      <c r="D58" s="66" t="str">
        <f>IF($B58="","",'Input LwA_XYZ'!I57)</f>
        <v/>
      </c>
      <c r="E58" s="93" t="str">
        <f>IF($B58="","",-1*ROUND(_xlfn.XLOOKUP($J$2,'Input LwA_XYZ'!$AQ$1:$BE$1,'Input LwA_XYZ'!AQ57:BE57),0) &amp; " / " &amp; ROUND(_xlfn.XLOOKUP($J$2,'Input LwA_XYZ'!$Z$1:$AN$1,'Input LwA_XYZ'!Z57:AN57),0) &amp; " ft")</f>
        <v/>
      </c>
      <c r="F58" s="93" t="str">
        <f>IF($B58="","",IF(_xlfn.XLOOKUP($J$2,'Input LwA_XYZ'!$BN$1:$CB$1,'Input LwA_XYZ'!BN57:CB57)="","-",_xlfn.XLOOKUP($J$2,'Input LwA_XYZ'!$BN$1:$CB$1,'Input LwA_XYZ'!BN57:CB57)))</f>
        <v/>
      </c>
      <c r="G58" s="93" t="str">
        <f>IF($B58="","",IF('Input LwA_XYZ'!K57="","-",'Input LwA_XYZ'!K57))</f>
        <v/>
      </c>
      <c r="H58" s="67" t="str">
        <f>IF($B58="","",_xlfn.XLOOKUP($J$2,'Input LwA_XYZ'!$CE$1:$CS$1,'Input LwA_XYZ'!CE57:CS57))</f>
        <v/>
      </c>
      <c r="I58" s="5">
        <f t="shared" si="2"/>
        <v>0</v>
      </c>
      <c r="J58" s="109" t="str">
        <f t="shared" si="3"/>
        <v/>
      </c>
    </row>
    <row r="59" spans="2:11" ht="17.25" customHeight="1" thickBot="1" x14ac:dyDescent="0.35">
      <c r="B59" s="196" t="str">
        <f>IF('Input LwA_XYZ'!A58 = 0, "", 'Input LwA_XYZ'!A58)</f>
        <v/>
      </c>
      <c r="C59" s="197" t="str">
        <f>IF($B59="","",_xlfn.TEXTJOIN(" - ",TRUE,'Input LwA_XYZ'!B58:C58))</f>
        <v/>
      </c>
      <c r="D59" s="101" t="str">
        <f>IF($B59="","",'Input LwA_XYZ'!I58)</f>
        <v/>
      </c>
      <c r="E59" s="102" t="str">
        <f>IF($B59="","",-1*ROUND(_xlfn.XLOOKUP($J$2,'Input LwA_XYZ'!$AQ$1:$BE$1,'Input LwA_XYZ'!AQ58:BE58),0) &amp; " / " &amp; ROUND(_xlfn.XLOOKUP($J$2,'Input LwA_XYZ'!$Z$1:$AN$1,'Input LwA_XYZ'!Z58:AN58),0) &amp; " ft")</f>
        <v/>
      </c>
      <c r="F59" s="93" t="str">
        <f>IF($B59="","",IF(_xlfn.XLOOKUP($J$2,'Input LwA_XYZ'!$BN$1:$CB$1,'Input LwA_XYZ'!BN58:CB58)="","-",_xlfn.XLOOKUP($J$2,'Input LwA_XYZ'!$BN$1:$CB$1,'Input LwA_XYZ'!BN58:CB58)))</f>
        <v/>
      </c>
      <c r="G59" s="93" t="str">
        <f>IF($B59="","",IF('Input LwA_XYZ'!K58="","-",'Input LwA_XYZ'!K58))</f>
        <v/>
      </c>
      <c r="H59" s="68" t="str">
        <f>IF($B59="","",_xlfn.XLOOKUP($J$2,'Input LwA_XYZ'!$CE$1:$CS$1,'Input LwA_XYZ'!CE58:CS58))</f>
        <v/>
      </c>
      <c r="I59" s="5">
        <f t="shared" si="2"/>
        <v>0</v>
      </c>
      <c r="J59" s="109" t="str">
        <f t="shared" si="3"/>
        <v/>
      </c>
    </row>
    <row r="60" spans="2:11" ht="18.75" customHeight="1" thickBot="1" x14ac:dyDescent="0.35">
      <c r="B60" s="103" t="s">
        <v>127</v>
      </c>
      <c r="C60" s="104"/>
      <c r="D60" s="104"/>
      <c r="E60" s="104"/>
      <c r="F60" s="104"/>
      <c r="G60" s="105"/>
      <c r="H60" s="82">
        <f>_xlfn.XLOOKUP($J$2,'Input LwA_XYZ'!$R$2:$R$16,'Input LwA_XYZ'!$W$2:$W$16)</f>
        <v>57</v>
      </c>
      <c r="I60" s="198">
        <f>10*LOG10(SUM(I3:I59))</f>
        <v>42.706725950162408</v>
      </c>
      <c r="J60" s="70">
        <f>_xlfn.XLOOKUP($J$2,'Input LwA_XYZ'!$R$2:$R$16,'Input LwA_XYZ'!$V$2:$V$16)</f>
        <v>45</v>
      </c>
      <c r="K60" s="7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2020-08-31T15:20:18Z</dcterms:modified>
</cp:coreProperties>
</file>